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pivotTables/pivotTable3.xml" ContentType="application/vnd.openxmlformats-officedocument.spreadsheetml.pivot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24226"/>
  <bookViews>
    <workbookView xWindow="0" yWindow="0" windowWidth="20490" windowHeight="7755" firstSheet="6" activeTab="6"/>
  </bookViews>
  <sheets>
    <sheet name="ITEM LIST" sheetId="1" state="hidden" r:id="rId1"/>
    <sheet name="PIVOT" sheetId="11" state="hidden" r:id="rId2"/>
    <sheet name="WORK ORDER" sheetId="2" state="hidden" r:id="rId3"/>
    <sheet name="Sheet2" sheetId="4" state="hidden" r:id="rId4"/>
    <sheet name="Sheet3" sheetId="10" state="hidden" r:id="rId5"/>
    <sheet name="Sheet1" sheetId="9" state="hidden" r:id="rId6"/>
    <sheet name="MASTER" sheetId="15" r:id="rId7"/>
    <sheet name="FW" sheetId="21" state="hidden" r:id="rId8"/>
    <sheet name="INPUT" sheetId="13" r:id="rId9"/>
    <sheet name="Sheet4" sheetId="28" r:id="rId10"/>
    <sheet name="STEP-1" sheetId="14" r:id="rId11"/>
    <sheet name="Sheet5" sheetId="26" r:id="rId12"/>
    <sheet name="ALL FOAM ITEM CODE" sheetId="17" state="hidden" r:id="rId13"/>
  </sheets>
  <definedNames>
    <definedName name="_xlnm._FilterDatabase" localSheetId="7" hidden="1">FW!$A$1:$D$1654</definedName>
    <definedName name="_xlnm._FilterDatabase" localSheetId="0" hidden="1">'ITEM LIST'!$A$1:$D$1</definedName>
    <definedName name="_xlnm._FilterDatabase" localSheetId="6" hidden="1">MASTER!$A$1:$H$112</definedName>
    <definedName name="_xlnm._FilterDatabase" localSheetId="3" hidden="1">Sheet2!$A$1:$D$901</definedName>
    <definedName name="_xlnm._FilterDatabase" localSheetId="2" hidden="1">'WORK ORDER'!$A$1:$E$23494</definedName>
  </definedNames>
  <calcPr calcId="162913"/>
  <pivotCaches>
    <pivotCache cacheId="96" r:id="rId14"/>
    <pivotCache cacheId="97" r:id="rId15"/>
    <pivotCache cacheId="113" r:id="rId16"/>
  </pivotCaches>
</workbook>
</file>

<file path=xl/calcChain.xml><?xml version="1.0" encoding="utf-8"?>
<calcChain xmlns="http://schemas.openxmlformats.org/spreadsheetml/2006/main">
  <c r="B52" i="14" l="1"/>
  <c r="C52" i="14" s="1"/>
  <c r="D52" i="14" s="1"/>
  <c r="B53" i="14"/>
  <c r="C53" i="14" s="1"/>
  <c r="B54" i="14"/>
  <c r="C54" i="14" s="1"/>
  <c r="G54" i="14" s="1"/>
  <c r="B55" i="14"/>
  <c r="C55" i="14" s="1"/>
  <c r="D55" i="14" s="1"/>
  <c r="E55" i="14" s="1"/>
  <c r="B56" i="14"/>
  <c r="C56" i="14" s="1"/>
  <c r="D56" i="14" s="1"/>
  <c r="E56" i="14" s="1"/>
  <c r="B57" i="14"/>
  <c r="C57" i="14" s="1"/>
  <c r="B58" i="14"/>
  <c r="C58" i="14" s="1"/>
  <c r="D58" i="14" s="1"/>
  <c r="E58" i="14" s="1"/>
  <c r="B59" i="14"/>
  <c r="C59" i="14" s="1"/>
  <c r="D59" i="14" s="1"/>
  <c r="E59" i="14" s="1"/>
  <c r="B60" i="14"/>
  <c r="C60" i="14" s="1"/>
  <c r="D60" i="14" s="1"/>
  <c r="E60" i="14" s="1"/>
  <c r="B61" i="14"/>
  <c r="C61" i="14" s="1"/>
  <c r="B62" i="14"/>
  <c r="C62" i="14" s="1"/>
  <c r="B63" i="14"/>
  <c r="C63" i="14" s="1"/>
  <c r="D63" i="14" s="1"/>
  <c r="E63" i="14" s="1"/>
  <c r="B64" i="14"/>
  <c r="C64" i="14" s="1"/>
  <c r="D64" i="14" s="1"/>
  <c r="B65" i="14"/>
  <c r="C65" i="14" s="1"/>
  <c r="B66" i="14"/>
  <c r="C66" i="14" s="1"/>
  <c r="B67" i="14"/>
  <c r="C67" i="14" s="1"/>
  <c r="D67" i="14" s="1"/>
  <c r="E67" i="14" s="1"/>
  <c r="B68" i="14"/>
  <c r="C68" i="14" s="1"/>
  <c r="D68" i="14" s="1"/>
  <c r="B69" i="14"/>
  <c r="C69" i="14" s="1"/>
  <c r="B70" i="14"/>
  <c r="C70" i="14" s="1"/>
  <c r="G70" i="14" s="1"/>
  <c r="B71" i="14"/>
  <c r="C71" i="14" s="1"/>
  <c r="D71" i="14" s="1"/>
  <c r="E71" i="14" s="1"/>
  <c r="B72" i="14"/>
  <c r="C72" i="14" s="1"/>
  <c r="D72" i="14" s="1"/>
  <c r="E72" i="14" s="1"/>
  <c r="B73" i="14"/>
  <c r="C73" i="14" s="1"/>
  <c r="B74" i="14"/>
  <c r="C74" i="14" s="1"/>
  <c r="D74" i="14" s="1"/>
  <c r="B75" i="14"/>
  <c r="C75" i="14" s="1"/>
  <c r="D75" i="14" s="1"/>
  <c r="B76" i="14"/>
  <c r="C76" i="14" s="1"/>
  <c r="D76" i="14" s="1"/>
  <c r="E76" i="14" s="1"/>
  <c r="B77" i="14"/>
  <c r="C77" i="14" s="1"/>
  <c r="B78" i="14"/>
  <c r="C78" i="14" s="1"/>
  <c r="D78" i="14" s="1"/>
  <c r="E78" i="14" s="1"/>
  <c r="B79" i="14"/>
  <c r="C79" i="14" s="1"/>
  <c r="D79" i="14" s="1"/>
  <c r="E79" i="14" s="1"/>
  <c r="B80" i="14"/>
  <c r="C80" i="14" s="1"/>
  <c r="G80" i="14" s="1"/>
  <c r="B81" i="14"/>
  <c r="C81" i="14" s="1"/>
  <c r="B82" i="14"/>
  <c r="C82" i="14" s="1"/>
  <c r="D82" i="14" s="1"/>
  <c r="E82" i="14" s="1"/>
  <c r="B83" i="14"/>
  <c r="C83" i="14" s="1"/>
  <c r="D83" i="14" s="1"/>
  <c r="E83" i="14" s="1"/>
  <c r="B84" i="14"/>
  <c r="C84" i="14" s="1"/>
  <c r="G84" i="14" s="1"/>
  <c r="B85" i="14"/>
  <c r="C85" i="14" s="1"/>
  <c r="B86" i="14"/>
  <c r="C86" i="14" s="1"/>
  <c r="D86" i="14" s="1"/>
  <c r="B87" i="14"/>
  <c r="C87" i="14" s="1"/>
  <c r="B88" i="14"/>
  <c r="C88" i="14" s="1"/>
  <c r="D88" i="14" s="1"/>
  <c r="E88" i="14" s="1"/>
  <c r="B89" i="14"/>
  <c r="C89" i="14" s="1"/>
  <c r="G89" i="14" s="1"/>
  <c r="B90" i="14"/>
  <c r="C90" i="14" s="1"/>
  <c r="G90" i="14" s="1"/>
  <c r="B91" i="14"/>
  <c r="C91" i="14" s="1"/>
  <c r="D91" i="14" s="1"/>
  <c r="B92" i="14"/>
  <c r="C92" i="14" s="1"/>
  <c r="D92" i="14" s="1"/>
  <c r="B93" i="14"/>
  <c r="C93" i="14" s="1"/>
  <c r="G93" i="14" s="1"/>
  <c r="B94" i="14"/>
  <c r="C94" i="14" s="1"/>
  <c r="D94" i="14" s="1"/>
  <c r="E94" i="14" s="1"/>
  <c r="B95" i="14"/>
  <c r="C95" i="14" s="1"/>
  <c r="D95" i="14" s="1"/>
  <c r="E95" i="14" s="1"/>
  <c r="B96" i="14"/>
  <c r="C96" i="14" s="1"/>
  <c r="G96" i="14" s="1"/>
  <c r="B97" i="14"/>
  <c r="C97" i="14" s="1"/>
  <c r="G97" i="14" s="1"/>
  <c r="B98" i="14"/>
  <c r="C98" i="14" s="1"/>
  <c r="D98" i="14" s="1"/>
  <c r="E98" i="14" s="1"/>
  <c r="B99" i="14"/>
  <c r="C99" i="14" s="1"/>
  <c r="D99" i="14" s="1"/>
  <c r="E99" i="14" s="1"/>
  <c r="B100" i="14"/>
  <c r="C100" i="14" s="1"/>
  <c r="G100" i="14" s="1"/>
  <c r="B101" i="14"/>
  <c r="C101" i="14" s="1"/>
  <c r="G101" i="14" s="1"/>
  <c r="Q52" i="14"/>
  <c r="Q53" i="14"/>
  <c r="Q54" i="14"/>
  <c r="Q55" i="14"/>
  <c r="Q56" i="14"/>
  <c r="Q57" i="14"/>
  <c r="Q58" i="14"/>
  <c r="Q59" i="14"/>
  <c r="Q60" i="14"/>
  <c r="Q61" i="14"/>
  <c r="Q62" i="14"/>
  <c r="Q63" i="14"/>
  <c r="Q64" i="14"/>
  <c r="Q65" i="14"/>
  <c r="Q66" i="14"/>
  <c r="Q67" i="14"/>
  <c r="Q68" i="14"/>
  <c r="Q69" i="14"/>
  <c r="Q70" i="14"/>
  <c r="Q71" i="14"/>
  <c r="Q72" i="14"/>
  <c r="Q73" i="14"/>
  <c r="Q74" i="14"/>
  <c r="Q75" i="14"/>
  <c r="Q76" i="14"/>
  <c r="Q77" i="14"/>
  <c r="Q78" i="14"/>
  <c r="Q79" i="14"/>
  <c r="Q80" i="14"/>
  <c r="Q81" i="14"/>
  <c r="Q82" i="14"/>
  <c r="Q83" i="14"/>
  <c r="Q84" i="14"/>
  <c r="Q85" i="14"/>
  <c r="Q86" i="14"/>
  <c r="Q87" i="14"/>
  <c r="Q88" i="14"/>
  <c r="Q89" i="14"/>
  <c r="Q90" i="14"/>
  <c r="Q91" i="14"/>
  <c r="Q92" i="14"/>
  <c r="Q93" i="14"/>
  <c r="Q94" i="14"/>
  <c r="Q95" i="14"/>
  <c r="Q96" i="14"/>
  <c r="Q97" i="14"/>
  <c r="Q98" i="14"/>
  <c r="Q99" i="14"/>
  <c r="Q100" i="14"/>
  <c r="Q101" i="14"/>
  <c r="A52" i="14"/>
  <c r="A53" i="14"/>
  <c r="A54" i="14"/>
  <c r="A55" i="14"/>
  <c r="A56" i="14"/>
  <c r="A57" i="14"/>
  <c r="A58" i="14"/>
  <c r="A59" i="14"/>
  <c r="A60" i="14"/>
  <c r="A61" i="14"/>
  <c r="A62" i="14"/>
  <c r="A63" i="14"/>
  <c r="A64" i="14"/>
  <c r="A65" i="14"/>
  <c r="A66" i="14"/>
  <c r="A67" i="14"/>
  <c r="A68" i="14"/>
  <c r="A69" i="14"/>
  <c r="A70" i="14"/>
  <c r="A71" i="14"/>
  <c r="A72" i="14"/>
  <c r="A73" i="14"/>
  <c r="A74" i="14"/>
  <c r="A75" i="14"/>
  <c r="A76" i="14"/>
  <c r="A77" i="14"/>
  <c r="A78" i="14"/>
  <c r="A79" i="14"/>
  <c r="A80" i="14"/>
  <c r="A81" i="14"/>
  <c r="A82" i="14"/>
  <c r="A83" i="14"/>
  <c r="A84" i="14"/>
  <c r="A85" i="14"/>
  <c r="A86" i="14"/>
  <c r="A87" i="14"/>
  <c r="A88" i="14"/>
  <c r="A89" i="14"/>
  <c r="A90" i="14"/>
  <c r="A91" i="14"/>
  <c r="A92" i="14"/>
  <c r="A93" i="14"/>
  <c r="A94" i="14"/>
  <c r="A95" i="14"/>
  <c r="A96" i="14"/>
  <c r="A97" i="14"/>
  <c r="A98" i="14"/>
  <c r="A99" i="14"/>
  <c r="A100" i="14"/>
  <c r="A101" i="14"/>
  <c r="D90" i="14" l="1"/>
  <c r="E90" i="14" s="1"/>
  <c r="F90" i="14" s="1"/>
  <c r="D89" i="14"/>
  <c r="E89" i="14" s="1"/>
  <c r="G86" i="14"/>
  <c r="G74" i="14"/>
  <c r="D70" i="14"/>
  <c r="E70" i="14" s="1"/>
  <c r="G60" i="14"/>
  <c r="G58" i="14"/>
  <c r="G76" i="14"/>
  <c r="D87" i="14"/>
  <c r="E87" i="14" s="1"/>
  <c r="G87" i="14"/>
  <c r="D66" i="14"/>
  <c r="E66" i="14" s="1"/>
  <c r="G66" i="14"/>
  <c r="D62" i="14"/>
  <c r="E62" i="14" s="1"/>
  <c r="G62" i="14"/>
  <c r="D54" i="14"/>
  <c r="E54" i="14" s="1"/>
  <c r="F54" i="14" s="1"/>
  <c r="H54" i="14" s="1"/>
  <c r="G82" i="14"/>
  <c r="G64" i="14"/>
  <c r="G94" i="14"/>
  <c r="G78" i="14"/>
  <c r="G99" i="14"/>
  <c r="G95" i="14"/>
  <c r="D96" i="14"/>
  <c r="E96" i="14" s="1"/>
  <c r="G81" i="14"/>
  <c r="D81" i="14"/>
  <c r="E81" i="14" s="1"/>
  <c r="D77" i="14"/>
  <c r="E77" i="14" s="1"/>
  <c r="F77" i="14" s="1"/>
  <c r="I77" i="14" s="1"/>
  <c r="P77" i="14" s="1"/>
  <c r="S77" i="14" s="1"/>
  <c r="G77" i="14"/>
  <c r="D65" i="14"/>
  <c r="E65" i="14" s="1"/>
  <c r="G65" i="14"/>
  <c r="D61" i="14"/>
  <c r="E61" i="14" s="1"/>
  <c r="F61" i="14" s="1"/>
  <c r="I61" i="14" s="1"/>
  <c r="P61" i="14" s="1"/>
  <c r="S61" i="14" s="1"/>
  <c r="G61" i="14"/>
  <c r="G53" i="14"/>
  <c r="D53" i="14"/>
  <c r="E53" i="14" s="1"/>
  <c r="G73" i="14"/>
  <c r="D73" i="14"/>
  <c r="E73" i="14" s="1"/>
  <c r="D85" i="14"/>
  <c r="E85" i="14" s="1"/>
  <c r="F85" i="14" s="1"/>
  <c r="H85" i="14" s="1"/>
  <c r="G85" i="14"/>
  <c r="G69" i="14"/>
  <c r="D69" i="14"/>
  <c r="E69" i="14" s="1"/>
  <c r="F69" i="14" s="1"/>
  <c r="I69" i="14" s="1"/>
  <c r="P69" i="14" s="1"/>
  <c r="S69" i="14" s="1"/>
  <c r="G57" i="14"/>
  <c r="D57" i="14"/>
  <c r="E57" i="14" s="1"/>
  <c r="G88" i="14"/>
  <c r="G83" i="14"/>
  <c r="G72" i="14"/>
  <c r="G56" i="14"/>
  <c r="G52" i="14"/>
  <c r="D93" i="14"/>
  <c r="E93" i="14" s="1"/>
  <c r="F93" i="14" s="1"/>
  <c r="D84" i="14"/>
  <c r="E84" i="14" s="1"/>
  <c r="G55" i="14"/>
  <c r="D101" i="14"/>
  <c r="E101" i="14" s="1"/>
  <c r="G98" i="14"/>
  <c r="G92" i="14"/>
  <c r="G68" i="14"/>
  <c r="D80" i="14"/>
  <c r="E80" i="14" s="1"/>
  <c r="E74" i="14"/>
  <c r="F74" i="14" s="1"/>
  <c r="H74" i="14" s="1"/>
  <c r="F78" i="14"/>
  <c r="I78" i="14" s="1"/>
  <c r="P78" i="14" s="1"/>
  <c r="S78" i="14" s="1"/>
  <c r="G79" i="14"/>
  <c r="G75" i="14"/>
  <c r="G71" i="14"/>
  <c r="G67" i="14"/>
  <c r="G63" i="14"/>
  <c r="G59" i="14"/>
  <c r="F76" i="14"/>
  <c r="H76" i="14" s="1"/>
  <c r="F58" i="14"/>
  <c r="H58" i="14" s="1"/>
  <c r="F94" i="14"/>
  <c r="I94" i="14" s="1"/>
  <c r="P94" i="14" s="1"/>
  <c r="S94" i="14" s="1"/>
  <c r="F88" i="14"/>
  <c r="I88" i="14" s="1"/>
  <c r="P88" i="14" s="1"/>
  <c r="S88" i="14" s="1"/>
  <c r="F72" i="14"/>
  <c r="I72" i="14" s="1"/>
  <c r="P72" i="14" s="1"/>
  <c r="S72" i="14" s="1"/>
  <c r="E68" i="14"/>
  <c r="F56" i="14"/>
  <c r="I56" i="14" s="1"/>
  <c r="P56" i="14" s="1"/>
  <c r="S56" i="14" s="1"/>
  <c r="F98" i="14"/>
  <c r="I98" i="14" s="1"/>
  <c r="P98" i="14" s="1"/>
  <c r="S98" i="14" s="1"/>
  <c r="E86" i="14"/>
  <c r="D100" i="14"/>
  <c r="E64" i="14"/>
  <c r="F64" i="14" s="1"/>
  <c r="I64" i="14" s="1"/>
  <c r="P64" i="14" s="1"/>
  <c r="S64" i="14" s="1"/>
  <c r="F60" i="14"/>
  <c r="I60" i="14" s="1"/>
  <c r="P60" i="14" s="1"/>
  <c r="S60" i="14" s="1"/>
  <c r="E92" i="14"/>
  <c r="F82" i="14"/>
  <c r="I82" i="14" s="1"/>
  <c r="P82" i="14" s="1"/>
  <c r="S82" i="14" s="1"/>
  <c r="E52" i="14"/>
  <c r="F52" i="14" s="1"/>
  <c r="I52" i="14" s="1"/>
  <c r="P52" i="14" s="1"/>
  <c r="S52" i="14" s="1"/>
  <c r="D97" i="14"/>
  <c r="F95" i="14"/>
  <c r="I95" i="14" s="1"/>
  <c r="P95" i="14" s="1"/>
  <c r="S95" i="14" s="1"/>
  <c r="F99" i="14"/>
  <c r="I99" i="14" s="1"/>
  <c r="P99" i="14" s="1"/>
  <c r="S99" i="14" s="1"/>
  <c r="F79" i="14"/>
  <c r="I79" i="14" s="1"/>
  <c r="P79" i="14" s="1"/>
  <c r="S79" i="14" s="1"/>
  <c r="F71" i="14"/>
  <c r="I71" i="14" s="1"/>
  <c r="P71" i="14" s="1"/>
  <c r="S71" i="14" s="1"/>
  <c r="F67" i="14"/>
  <c r="I67" i="14" s="1"/>
  <c r="P67" i="14" s="1"/>
  <c r="S67" i="14" s="1"/>
  <c r="F63" i="14"/>
  <c r="I63" i="14" s="1"/>
  <c r="P63" i="14" s="1"/>
  <c r="S63" i="14" s="1"/>
  <c r="F59" i="14"/>
  <c r="H59" i="14" s="1"/>
  <c r="F55" i="14"/>
  <c r="I55" i="14" s="1"/>
  <c r="P55" i="14" s="1"/>
  <c r="S55" i="14" s="1"/>
  <c r="G91" i="14"/>
  <c r="E91" i="14"/>
  <c r="F91" i="14" s="1"/>
  <c r="I91" i="14" s="1"/>
  <c r="P91" i="14" s="1"/>
  <c r="S91" i="14" s="1"/>
  <c r="E75" i="14"/>
  <c r="F75" i="14" s="1"/>
  <c r="I75" i="14" s="1"/>
  <c r="P75" i="14" s="1"/>
  <c r="S75" i="14" s="1"/>
  <c r="F83" i="14"/>
  <c r="I83" i="14" s="1"/>
  <c r="P83" i="14" s="1"/>
  <c r="S83" i="14" s="1"/>
  <c r="J54" i="14" l="1"/>
  <c r="W52" i="14"/>
  <c r="W55" i="14"/>
  <c r="F70" i="14"/>
  <c r="I70" i="14" s="1"/>
  <c r="P70" i="14" s="1"/>
  <c r="S70" i="14" s="1"/>
  <c r="F62" i="14"/>
  <c r="I62" i="14" s="1"/>
  <c r="P62" i="14" s="1"/>
  <c r="S62" i="14" s="1"/>
  <c r="F66" i="14"/>
  <c r="I66" i="14" s="1"/>
  <c r="P66" i="14" s="1"/>
  <c r="S66" i="14" s="1"/>
  <c r="F87" i="14"/>
  <c r="I87" i="14" s="1"/>
  <c r="P87" i="14" s="1"/>
  <c r="S87" i="14" s="1"/>
  <c r="K74" i="14"/>
  <c r="I54" i="14"/>
  <c r="P54" i="14" s="1"/>
  <c r="S54" i="14" s="1"/>
  <c r="K54" i="14"/>
  <c r="H71" i="14"/>
  <c r="J74" i="14"/>
  <c r="M74" i="14" s="1"/>
  <c r="H78" i="14"/>
  <c r="H99" i="14"/>
  <c r="I58" i="14"/>
  <c r="P58" i="14" s="1"/>
  <c r="S58" i="14" s="1"/>
  <c r="H70" i="14"/>
  <c r="W83" i="14"/>
  <c r="T83" i="14"/>
  <c r="W82" i="14"/>
  <c r="T82" i="14"/>
  <c r="T61" i="14"/>
  <c r="W95" i="14"/>
  <c r="T95" i="14"/>
  <c r="W77" i="14"/>
  <c r="T77" i="14"/>
  <c r="T63" i="14"/>
  <c r="W79" i="14"/>
  <c r="T79" i="14"/>
  <c r="W78" i="14"/>
  <c r="T78" i="14"/>
  <c r="W67" i="14"/>
  <c r="T67" i="14"/>
  <c r="W69" i="14"/>
  <c r="T69" i="14"/>
  <c r="T60" i="14"/>
  <c r="W72" i="14"/>
  <c r="T72" i="14"/>
  <c r="W75" i="14"/>
  <c r="T75" i="14"/>
  <c r="T99" i="14"/>
  <c r="H82" i="14"/>
  <c r="T98" i="14"/>
  <c r="W88" i="14"/>
  <c r="T88" i="14"/>
  <c r="W91" i="14"/>
  <c r="T91" i="14"/>
  <c r="T71" i="14"/>
  <c r="T64" i="14"/>
  <c r="T56" i="14"/>
  <c r="W94" i="14"/>
  <c r="T94" i="14"/>
  <c r="H94" i="14"/>
  <c r="H63" i="14"/>
  <c r="H98" i="14"/>
  <c r="T55" i="14"/>
  <c r="F73" i="14"/>
  <c r="I73" i="14" s="1"/>
  <c r="P73" i="14" s="1"/>
  <c r="S73" i="14" s="1"/>
  <c r="H55" i="14"/>
  <c r="H56" i="14"/>
  <c r="J76" i="14"/>
  <c r="K76" i="14"/>
  <c r="H60" i="14"/>
  <c r="H75" i="14"/>
  <c r="H79" i="14"/>
  <c r="I76" i="14"/>
  <c r="P76" i="14" s="1"/>
  <c r="S76" i="14" s="1"/>
  <c r="H61" i="14"/>
  <c r="I74" i="14"/>
  <c r="P74" i="14" s="1"/>
  <c r="S74" i="14" s="1"/>
  <c r="J59" i="14"/>
  <c r="K59" i="14"/>
  <c r="I93" i="14"/>
  <c r="P93" i="14" s="1"/>
  <c r="S93" i="14" s="1"/>
  <c r="H93" i="14"/>
  <c r="T52" i="14"/>
  <c r="K85" i="14"/>
  <c r="J85" i="14"/>
  <c r="F57" i="14"/>
  <c r="I57" i="14" s="1"/>
  <c r="P57" i="14" s="1"/>
  <c r="S57" i="14" s="1"/>
  <c r="H77" i="14"/>
  <c r="F81" i="14"/>
  <c r="I81" i="14" s="1"/>
  <c r="P81" i="14" s="1"/>
  <c r="S81" i="14" s="1"/>
  <c r="I59" i="14"/>
  <c r="P59" i="14" s="1"/>
  <c r="S59" i="14" s="1"/>
  <c r="F68" i="14"/>
  <c r="I68" i="14" s="1"/>
  <c r="P68" i="14" s="1"/>
  <c r="S68" i="14" s="1"/>
  <c r="H64" i="14"/>
  <c r="H83" i="14"/>
  <c r="F89" i="14"/>
  <c r="I89" i="14" s="1"/>
  <c r="P89" i="14" s="1"/>
  <c r="S89" i="14" s="1"/>
  <c r="H67" i="14"/>
  <c r="H91" i="14"/>
  <c r="H95" i="14"/>
  <c r="E97" i="14"/>
  <c r="H88" i="14"/>
  <c r="F92" i="14"/>
  <c r="I92" i="14" s="1"/>
  <c r="P92" i="14" s="1"/>
  <c r="S92" i="14" s="1"/>
  <c r="F84" i="14"/>
  <c r="I84" i="14" s="1"/>
  <c r="P84" i="14" s="1"/>
  <c r="S84" i="14" s="1"/>
  <c r="H72" i="14"/>
  <c r="F101" i="14"/>
  <c r="I101" i="14" s="1"/>
  <c r="P101" i="14" s="1"/>
  <c r="S101" i="14" s="1"/>
  <c r="F65" i="14"/>
  <c r="I65" i="14" s="1"/>
  <c r="P65" i="14" s="1"/>
  <c r="S65" i="14" s="1"/>
  <c r="H69" i="14"/>
  <c r="F96" i="14"/>
  <c r="I96" i="14" s="1"/>
  <c r="P96" i="14" s="1"/>
  <c r="S96" i="14" s="1"/>
  <c r="E100" i="14"/>
  <c r="F100" i="14" s="1"/>
  <c r="I100" i="14" s="1"/>
  <c r="P100" i="14" s="1"/>
  <c r="S100" i="14" s="1"/>
  <c r="J58" i="14"/>
  <c r="K58" i="14"/>
  <c r="F80" i="14"/>
  <c r="I80" i="14" s="1"/>
  <c r="P80" i="14" s="1"/>
  <c r="S80" i="14" s="1"/>
  <c r="I85" i="14"/>
  <c r="P85" i="14" s="1"/>
  <c r="S85" i="14" s="1"/>
  <c r="I90" i="14"/>
  <c r="P90" i="14" s="1"/>
  <c r="S90" i="14" s="1"/>
  <c r="H90" i="14"/>
  <c r="H52" i="14"/>
  <c r="F86" i="14"/>
  <c r="I86" i="14" s="1"/>
  <c r="P86" i="14" s="1"/>
  <c r="S86" i="14" s="1"/>
  <c r="F53" i="14"/>
  <c r="I53" i="14" s="1"/>
  <c r="P53" i="14" s="1"/>
  <c r="S53" i="14" s="1"/>
  <c r="M54" i="14" l="1"/>
  <c r="J60" i="14"/>
  <c r="J63" i="14"/>
  <c r="J78" i="14"/>
  <c r="W54" i="14"/>
  <c r="T62" i="14"/>
  <c r="K94" i="14"/>
  <c r="K70" i="14"/>
  <c r="W70" i="14"/>
  <c r="J82" i="14"/>
  <c r="W53" i="14"/>
  <c r="J91" i="14"/>
  <c r="J79" i="14"/>
  <c r="T58" i="14"/>
  <c r="K71" i="14"/>
  <c r="W87" i="14"/>
  <c r="K61" i="14"/>
  <c r="K55" i="14"/>
  <c r="K75" i="14"/>
  <c r="K56" i="14"/>
  <c r="K98" i="14"/>
  <c r="K99" i="14"/>
  <c r="T66" i="14"/>
  <c r="H62" i="14"/>
  <c r="J99" i="14"/>
  <c r="K78" i="14"/>
  <c r="J98" i="14"/>
  <c r="K82" i="14"/>
  <c r="J70" i="14"/>
  <c r="T70" i="14"/>
  <c r="K91" i="14"/>
  <c r="H87" i="14"/>
  <c r="K63" i="14"/>
  <c r="T54" i="14"/>
  <c r="H66" i="14"/>
  <c r="L74" i="14"/>
  <c r="M76" i="14"/>
  <c r="J94" i="14"/>
  <c r="J71" i="14"/>
  <c r="L54" i="14"/>
  <c r="T87" i="14"/>
  <c r="K79" i="14"/>
  <c r="M85" i="14"/>
  <c r="J61" i="14"/>
  <c r="J56" i="14"/>
  <c r="J75" i="14"/>
  <c r="K60" i="14"/>
  <c r="J55" i="14"/>
  <c r="W86" i="14"/>
  <c r="T86" i="14"/>
  <c r="T84" i="14"/>
  <c r="W89" i="14"/>
  <c r="T89" i="14"/>
  <c r="T81" i="14"/>
  <c r="W90" i="14"/>
  <c r="T90" i="14"/>
  <c r="T80" i="14"/>
  <c r="M58" i="14"/>
  <c r="T101" i="14"/>
  <c r="W92" i="14"/>
  <c r="T92" i="14"/>
  <c r="W59" i="14"/>
  <c r="T59" i="14"/>
  <c r="L59" i="14"/>
  <c r="T85" i="14"/>
  <c r="W100" i="14"/>
  <c r="T100" i="14"/>
  <c r="W74" i="14"/>
  <c r="T74" i="14"/>
  <c r="W73" i="14"/>
  <c r="T73" i="14"/>
  <c r="W65" i="14"/>
  <c r="T65" i="14"/>
  <c r="W93" i="14"/>
  <c r="T93" i="14"/>
  <c r="W76" i="14"/>
  <c r="T76" i="14"/>
  <c r="W96" i="14"/>
  <c r="T96" i="14"/>
  <c r="H65" i="14"/>
  <c r="W68" i="14"/>
  <c r="T68" i="14"/>
  <c r="H96" i="14"/>
  <c r="H73" i="14"/>
  <c r="H86" i="14"/>
  <c r="H57" i="14"/>
  <c r="H80" i="14"/>
  <c r="L58" i="14"/>
  <c r="L76" i="14"/>
  <c r="K88" i="14"/>
  <c r="J88" i="14"/>
  <c r="K64" i="14"/>
  <c r="J64" i="14"/>
  <c r="J90" i="14"/>
  <c r="K90" i="14"/>
  <c r="H100" i="14"/>
  <c r="K72" i="14"/>
  <c r="J72" i="14"/>
  <c r="F97" i="14"/>
  <c r="I97" i="14" s="1"/>
  <c r="P97" i="14" s="1"/>
  <c r="S97" i="14" s="1"/>
  <c r="K95" i="14"/>
  <c r="J95" i="14"/>
  <c r="T57" i="14"/>
  <c r="H84" i="14"/>
  <c r="K93" i="14"/>
  <c r="J93" i="14"/>
  <c r="J52" i="14"/>
  <c r="K52" i="14"/>
  <c r="K69" i="14"/>
  <c r="J69" i="14"/>
  <c r="J83" i="14"/>
  <c r="K83" i="14"/>
  <c r="H81" i="14"/>
  <c r="L85" i="14"/>
  <c r="H101" i="14"/>
  <c r="H89" i="14"/>
  <c r="H53" i="14"/>
  <c r="J67" i="14"/>
  <c r="K67" i="14"/>
  <c r="H92" i="14"/>
  <c r="K77" i="14"/>
  <c r="J77" i="14"/>
  <c r="H68" i="14"/>
  <c r="M59" i="14"/>
  <c r="T53" i="14"/>
  <c r="M94" i="14" l="1"/>
  <c r="M98" i="14"/>
  <c r="M60" i="14"/>
  <c r="M99" i="14"/>
  <c r="M78" i="14"/>
  <c r="L82" i="14"/>
  <c r="L79" i="14"/>
  <c r="L78" i="14"/>
  <c r="M75" i="14"/>
  <c r="L71" i="14"/>
  <c r="M91" i="14"/>
  <c r="L55" i="14"/>
  <c r="L56" i="14"/>
  <c r="M63" i="14"/>
  <c r="L70" i="14"/>
  <c r="M61" i="14"/>
  <c r="J86" i="14"/>
  <c r="J57" i="14"/>
  <c r="J66" i="14"/>
  <c r="K65" i="14"/>
  <c r="J80" i="14"/>
  <c r="J96" i="14"/>
  <c r="J87" i="14"/>
  <c r="K62" i="14"/>
  <c r="N54" i="14"/>
  <c r="O54" i="14" s="1"/>
  <c r="N74" i="14"/>
  <c r="O74" i="14" s="1"/>
  <c r="L99" i="14"/>
  <c r="M79" i="14"/>
  <c r="J62" i="14"/>
  <c r="L98" i="14"/>
  <c r="N85" i="14"/>
  <c r="O85" i="14" s="1"/>
  <c r="L94" i="14"/>
  <c r="N94" i="14" s="1"/>
  <c r="O94" i="14" s="1"/>
  <c r="N76" i="14"/>
  <c r="O76" i="14" s="1"/>
  <c r="M82" i="14"/>
  <c r="K66" i="14"/>
  <c r="L91" i="14"/>
  <c r="L63" i="14"/>
  <c r="M56" i="14"/>
  <c r="L61" i="14"/>
  <c r="M70" i="14"/>
  <c r="K87" i="14"/>
  <c r="N98" i="14"/>
  <c r="U98" i="14" s="1"/>
  <c r="V98" i="14" s="1"/>
  <c r="W98" i="14" s="1"/>
  <c r="K96" i="14"/>
  <c r="M96" i="14" s="1"/>
  <c r="M71" i="14"/>
  <c r="L75" i="14"/>
  <c r="M55" i="14"/>
  <c r="N59" i="14"/>
  <c r="O59" i="14" s="1"/>
  <c r="K86" i="14"/>
  <c r="L60" i="14"/>
  <c r="J65" i="14"/>
  <c r="K57" i="14"/>
  <c r="N58" i="14"/>
  <c r="O58" i="14" s="1"/>
  <c r="L83" i="14"/>
  <c r="M95" i="14"/>
  <c r="K80" i="14"/>
  <c r="W97" i="14"/>
  <c r="T97" i="14"/>
  <c r="L64" i="14"/>
  <c r="L72" i="14"/>
  <c r="M67" i="14"/>
  <c r="K73" i="14"/>
  <c r="J73" i="14"/>
  <c r="L77" i="14"/>
  <c r="M83" i="14"/>
  <c r="M52" i="14"/>
  <c r="L90" i="14"/>
  <c r="L88" i="14"/>
  <c r="M72" i="14"/>
  <c r="M64" i="14"/>
  <c r="M69" i="14"/>
  <c r="M93" i="14"/>
  <c r="M77" i="14"/>
  <c r="L67" i="14"/>
  <c r="L69" i="14"/>
  <c r="L52" i="14"/>
  <c r="L95" i="14"/>
  <c r="J92" i="14"/>
  <c r="K92" i="14"/>
  <c r="J68" i="14"/>
  <c r="K68" i="14"/>
  <c r="K53" i="14"/>
  <c r="J53" i="14"/>
  <c r="K101" i="14"/>
  <c r="J101" i="14"/>
  <c r="L93" i="14"/>
  <c r="J84" i="14"/>
  <c r="K84" i="14"/>
  <c r="M90" i="14"/>
  <c r="K89" i="14"/>
  <c r="J89" i="14"/>
  <c r="K81" i="14"/>
  <c r="J81" i="14"/>
  <c r="J100" i="14"/>
  <c r="K100" i="14"/>
  <c r="M88" i="14"/>
  <c r="H97" i="14"/>
  <c r="M87" i="14" l="1"/>
  <c r="N78" i="14"/>
  <c r="O78" i="14" s="1"/>
  <c r="L62" i="14"/>
  <c r="L66" i="14"/>
  <c r="M80" i="14"/>
  <c r="U54" i="14"/>
  <c r="V54" i="14" s="1"/>
  <c r="M66" i="14"/>
  <c r="L86" i="14"/>
  <c r="M57" i="14"/>
  <c r="L65" i="14"/>
  <c r="M62" i="14"/>
  <c r="U74" i="14"/>
  <c r="V74" i="14" s="1"/>
  <c r="N60" i="14"/>
  <c r="O60" i="14" s="1"/>
  <c r="N75" i="14"/>
  <c r="U75" i="14" s="1"/>
  <c r="V75" i="14" s="1"/>
  <c r="N63" i="14"/>
  <c r="O63" i="14" s="1"/>
  <c r="N55" i="14"/>
  <c r="O55" i="14" s="1"/>
  <c r="N56" i="14"/>
  <c r="O56" i="14" s="1"/>
  <c r="N82" i="14"/>
  <c r="O82" i="14" s="1"/>
  <c r="N71" i="14"/>
  <c r="O71" i="14" s="1"/>
  <c r="N70" i="14"/>
  <c r="U70" i="14" s="1"/>
  <c r="V70" i="14" s="1"/>
  <c r="N91" i="14"/>
  <c r="O91" i="14" s="1"/>
  <c r="N79" i="14"/>
  <c r="O79" i="14" s="1"/>
  <c r="N61" i="14"/>
  <c r="U61" i="14" s="1"/>
  <c r="V61" i="14" s="1"/>
  <c r="W61" i="14" s="1"/>
  <c r="N99" i="14"/>
  <c r="O99" i="14" s="1"/>
  <c r="L96" i="14"/>
  <c r="U85" i="14"/>
  <c r="V85" i="14" s="1"/>
  <c r="W85" i="14" s="1"/>
  <c r="M86" i="14"/>
  <c r="U76" i="14"/>
  <c r="V76" i="14" s="1"/>
  <c r="N95" i="14"/>
  <c r="U95" i="14" s="1"/>
  <c r="V95" i="14" s="1"/>
  <c r="U94" i="14"/>
  <c r="V94" i="14" s="1"/>
  <c r="L87" i="14"/>
  <c r="U60" i="14"/>
  <c r="V60" i="14" s="1"/>
  <c r="W60" i="14" s="1"/>
  <c r="O98" i="14"/>
  <c r="U59" i="14"/>
  <c r="V59" i="14" s="1"/>
  <c r="U78" i="14"/>
  <c r="V78" i="14" s="1"/>
  <c r="L57" i="14"/>
  <c r="L89" i="14"/>
  <c r="N72" i="14"/>
  <c r="U72" i="14" s="1"/>
  <c r="V72" i="14" s="1"/>
  <c r="N83" i="14"/>
  <c r="O83" i="14" s="1"/>
  <c r="N77" i="14"/>
  <c r="U77" i="14" s="1"/>
  <c r="V77" i="14" s="1"/>
  <c r="N64" i="14"/>
  <c r="O64" i="14" s="1"/>
  <c r="L92" i="14"/>
  <c r="L80" i="14"/>
  <c r="U58" i="14"/>
  <c r="V58" i="14" s="1"/>
  <c r="W58" i="14" s="1"/>
  <c r="M65" i="14"/>
  <c r="N90" i="14"/>
  <c r="O90" i="14" s="1"/>
  <c r="N67" i="14"/>
  <c r="O67" i="14" s="1"/>
  <c r="N88" i="14"/>
  <c r="O88" i="14" s="1"/>
  <c r="N52" i="14"/>
  <c r="O52" i="14" s="1"/>
  <c r="M81" i="14"/>
  <c r="N93" i="14"/>
  <c r="M100" i="14"/>
  <c r="M84" i="14"/>
  <c r="L101" i="14"/>
  <c r="M68" i="14"/>
  <c r="L73" i="14"/>
  <c r="M73" i="14"/>
  <c r="L81" i="14"/>
  <c r="M89" i="14"/>
  <c r="M92" i="14"/>
  <c r="N69" i="14"/>
  <c r="L53" i="14"/>
  <c r="L100" i="14"/>
  <c r="L84" i="14"/>
  <c r="M53" i="14"/>
  <c r="L68" i="14"/>
  <c r="K97" i="14"/>
  <c r="J97" i="14"/>
  <c r="M101" i="14"/>
  <c r="N66" i="14" l="1"/>
  <c r="O66" i="14" s="1"/>
  <c r="N62" i="14"/>
  <c r="O62" i="14" s="1"/>
  <c r="O70" i="14"/>
  <c r="N96" i="14"/>
  <c r="O96" i="14" s="1"/>
  <c r="U91" i="14"/>
  <c r="V91" i="14" s="1"/>
  <c r="O61" i="14"/>
  <c r="U71" i="14"/>
  <c r="V71" i="14" s="1"/>
  <c r="W71" i="14" s="1"/>
  <c r="U56" i="14"/>
  <c r="V56" i="14" s="1"/>
  <c r="W56" i="14" s="1"/>
  <c r="U63" i="14"/>
  <c r="V63" i="14" s="1"/>
  <c r="W63" i="14" s="1"/>
  <c r="U55" i="14"/>
  <c r="V55" i="14" s="1"/>
  <c r="O75" i="14"/>
  <c r="U82" i="14"/>
  <c r="V82" i="14" s="1"/>
  <c r="U99" i="14"/>
  <c r="V99" i="14" s="1"/>
  <c r="W99" i="14" s="1"/>
  <c r="U79" i="14"/>
  <c r="V79" i="14" s="1"/>
  <c r="N65" i="14"/>
  <c r="O65" i="14" s="1"/>
  <c r="N87" i="14"/>
  <c r="U87" i="14" s="1"/>
  <c r="V87" i="14" s="1"/>
  <c r="N86" i="14"/>
  <c r="O86" i="14" s="1"/>
  <c r="N80" i="14"/>
  <c r="O80" i="14" s="1"/>
  <c r="N57" i="14"/>
  <c r="O57" i="14" s="1"/>
  <c r="U66" i="14"/>
  <c r="V66" i="14" s="1"/>
  <c r="W66" i="14" s="1"/>
  <c r="O95" i="14"/>
  <c r="N100" i="14"/>
  <c r="U100" i="14" s="1"/>
  <c r="V100" i="14" s="1"/>
  <c r="N89" i="14"/>
  <c r="O89" i="14" s="1"/>
  <c r="U83" i="14"/>
  <c r="V83" i="14" s="1"/>
  <c r="O72" i="14"/>
  <c r="O77" i="14"/>
  <c r="N92" i="14"/>
  <c r="U92" i="14" s="1"/>
  <c r="V92" i="14" s="1"/>
  <c r="U57" i="14"/>
  <c r="V57" i="14" s="1"/>
  <c r="W57" i="14" s="1"/>
  <c r="U64" i="14"/>
  <c r="V64" i="14" s="1"/>
  <c r="W64" i="14" s="1"/>
  <c r="U90" i="14"/>
  <c r="V90" i="14" s="1"/>
  <c r="U88" i="14"/>
  <c r="V88" i="14" s="1"/>
  <c r="U52" i="14"/>
  <c r="V52" i="14" s="1"/>
  <c r="U67" i="14"/>
  <c r="V67" i="14" s="1"/>
  <c r="N81" i="14"/>
  <c r="O81" i="14" s="1"/>
  <c r="N73" i="14"/>
  <c r="U73" i="14" s="1"/>
  <c r="V73" i="14" s="1"/>
  <c r="N101" i="14"/>
  <c r="U101" i="14" s="1"/>
  <c r="V101" i="14" s="1"/>
  <c r="W101" i="14" s="1"/>
  <c r="N53" i="14"/>
  <c r="U53" i="14" s="1"/>
  <c r="V53" i="14" s="1"/>
  <c r="N84" i="14"/>
  <c r="O84" i="14" s="1"/>
  <c r="N68" i="14"/>
  <c r="O69" i="14"/>
  <c r="U69" i="14"/>
  <c r="V69" i="14" s="1"/>
  <c r="O93" i="14"/>
  <c r="U93" i="14"/>
  <c r="V93" i="14" s="1"/>
  <c r="L97" i="14"/>
  <c r="M97" i="14"/>
  <c r="U62" i="14" l="1"/>
  <c r="V62" i="14" s="1"/>
  <c r="W62" i="14" s="1"/>
  <c r="U96" i="14"/>
  <c r="V96" i="14" s="1"/>
  <c r="U80" i="14"/>
  <c r="V80" i="14" s="1"/>
  <c r="W80" i="14" s="1"/>
  <c r="U86" i="14"/>
  <c r="V86" i="14" s="1"/>
  <c r="U65" i="14"/>
  <c r="V65" i="14" s="1"/>
  <c r="O87" i="14"/>
  <c r="O92" i="14"/>
  <c r="O100" i="14"/>
  <c r="O101" i="14"/>
  <c r="U89" i="14"/>
  <c r="V89" i="14" s="1"/>
  <c r="N97" i="14"/>
  <c r="O97" i="14" s="1"/>
  <c r="U81" i="14"/>
  <c r="V81" i="14" s="1"/>
  <c r="W81" i="14" s="1"/>
  <c r="U84" i="14"/>
  <c r="V84" i="14" s="1"/>
  <c r="W84" i="14" s="1"/>
  <c r="O73" i="14"/>
  <c r="O53" i="14"/>
  <c r="O68" i="14"/>
  <c r="U68" i="14"/>
  <c r="V68" i="14" s="1"/>
  <c r="U97" i="14" l="1"/>
  <c r="V97" i="14" s="1"/>
  <c r="E222" i="17"/>
  <c r="F222" i="17"/>
  <c r="E223" i="17"/>
  <c r="F223" i="17"/>
  <c r="E224" i="17"/>
  <c r="F224" i="17"/>
  <c r="E225" i="17"/>
  <c r="F225" i="17"/>
  <c r="E226" i="17"/>
  <c r="F226" i="17"/>
  <c r="E227" i="17"/>
  <c r="F227" i="17"/>
  <c r="E228" i="17"/>
  <c r="F228" i="17"/>
  <c r="E229" i="17"/>
  <c r="F229" i="17"/>
  <c r="E230" i="17"/>
  <c r="F230" i="17"/>
  <c r="E231" i="17"/>
  <c r="F231" i="17"/>
  <c r="E232" i="17"/>
  <c r="F232" i="17"/>
  <c r="E233" i="17"/>
  <c r="F233" i="17"/>
  <c r="E234" i="17"/>
  <c r="F234" i="17"/>
  <c r="E235" i="17"/>
  <c r="F235" i="17"/>
  <c r="E236" i="17"/>
  <c r="F236" i="17"/>
  <c r="E237" i="17"/>
  <c r="F237" i="17"/>
  <c r="E238" i="17"/>
  <c r="F238" i="17"/>
  <c r="E239" i="17"/>
  <c r="F239" i="17"/>
  <c r="E240" i="17"/>
  <c r="F240" i="17"/>
  <c r="E241" i="17"/>
  <c r="F241" i="17"/>
  <c r="E242" i="17"/>
  <c r="F242" i="17"/>
  <c r="E243" i="17"/>
  <c r="F243" i="17"/>
  <c r="E244" i="17"/>
  <c r="F244" i="17"/>
  <c r="E245" i="17"/>
  <c r="F245" i="17"/>
  <c r="E246" i="17"/>
  <c r="F246" i="17"/>
  <c r="E247" i="17"/>
  <c r="F247" i="17"/>
  <c r="E248" i="17"/>
  <c r="F248" i="17"/>
  <c r="E249" i="17"/>
  <c r="F249" i="17"/>
  <c r="E250" i="17"/>
  <c r="F250" i="17"/>
  <c r="E251" i="17"/>
  <c r="F251" i="17"/>
  <c r="E252" i="17"/>
  <c r="F252" i="17"/>
  <c r="E253" i="17"/>
  <c r="F253" i="17"/>
  <c r="E254" i="17"/>
  <c r="F254" i="17"/>
  <c r="E255" i="17"/>
  <c r="F255" i="17"/>
  <c r="E256" i="17"/>
  <c r="F256" i="17"/>
  <c r="E257" i="17"/>
  <c r="F257" i="17"/>
  <c r="E258" i="17"/>
  <c r="F258" i="17"/>
  <c r="E259" i="17"/>
  <c r="F259" i="17"/>
  <c r="E260" i="17"/>
  <c r="F260" i="17"/>
  <c r="E261" i="17"/>
  <c r="F261" i="17"/>
  <c r="E262" i="17"/>
  <c r="F262" i="17"/>
  <c r="E263" i="17"/>
  <c r="F263" i="17"/>
  <c r="E264" i="17"/>
  <c r="F264" i="17"/>
  <c r="E265" i="17"/>
  <c r="F265" i="17"/>
  <c r="E266" i="17"/>
  <c r="F266" i="17"/>
  <c r="E267" i="17"/>
  <c r="F267" i="17"/>
  <c r="E268" i="17"/>
  <c r="F268" i="17"/>
  <c r="E269" i="17"/>
  <c r="F269" i="17"/>
  <c r="E270" i="17"/>
  <c r="F270" i="17"/>
  <c r="E271" i="17"/>
  <c r="F271" i="17"/>
  <c r="E272" i="17"/>
  <c r="F272" i="17"/>
  <c r="E273" i="17"/>
  <c r="F273" i="17"/>
  <c r="E274" i="17"/>
  <c r="F274" i="17"/>
  <c r="E275" i="17"/>
  <c r="F275" i="17"/>
  <c r="E276" i="17"/>
  <c r="F276" i="17"/>
  <c r="E277" i="17"/>
  <c r="F277" i="17"/>
  <c r="E278" i="17"/>
  <c r="F278" i="17"/>
  <c r="E279" i="17"/>
  <c r="F279" i="17"/>
  <c r="E280" i="17"/>
  <c r="F280" i="17"/>
  <c r="E281" i="17"/>
  <c r="F281" i="17"/>
  <c r="E282" i="17"/>
  <c r="F282" i="17"/>
  <c r="E283" i="17"/>
  <c r="F283" i="17"/>
  <c r="E284" i="17"/>
  <c r="F284" i="17"/>
  <c r="E285" i="17"/>
  <c r="F285" i="17"/>
  <c r="E286" i="17"/>
  <c r="F286" i="17"/>
  <c r="E287" i="17"/>
  <c r="F287" i="17"/>
  <c r="E288" i="17"/>
  <c r="F288" i="17"/>
  <c r="E289" i="17"/>
  <c r="F289" i="17"/>
  <c r="E290" i="17"/>
  <c r="F290" i="17"/>
  <c r="E291" i="17"/>
  <c r="F291" i="17"/>
  <c r="E292" i="17"/>
  <c r="F292" i="17"/>
  <c r="E293" i="17"/>
  <c r="F293" i="17"/>
  <c r="E221" i="17"/>
  <c r="F221" i="17"/>
  <c r="E148" i="17"/>
  <c r="F148" i="17"/>
  <c r="E149" i="17"/>
  <c r="F149" i="17"/>
  <c r="E150" i="17"/>
  <c r="F150" i="17"/>
  <c r="E151" i="17"/>
  <c r="F151" i="17"/>
  <c r="E152" i="17"/>
  <c r="F152" i="17"/>
  <c r="E153" i="17"/>
  <c r="F153" i="17"/>
  <c r="E154" i="17"/>
  <c r="F154" i="17"/>
  <c r="E155" i="17"/>
  <c r="F155" i="17"/>
  <c r="E156" i="17"/>
  <c r="F156" i="17"/>
  <c r="E157" i="17"/>
  <c r="F157" i="17"/>
  <c r="E158" i="17"/>
  <c r="F158" i="17"/>
  <c r="E159" i="17"/>
  <c r="F159" i="17"/>
  <c r="E160" i="17"/>
  <c r="F160" i="17"/>
  <c r="E161" i="17"/>
  <c r="F161" i="17"/>
  <c r="E162" i="17"/>
  <c r="F162" i="17"/>
  <c r="E163" i="17"/>
  <c r="F163" i="17"/>
  <c r="E164" i="17"/>
  <c r="F164" i="17"/>
  <c r="E165" i="17"/>
  <c r="F165" i="17"/>
  <c r="E166" i="17"/>
  <c r="F166" i="17"/>
  <c r="E167" i="17"/>
  <c r="F167" i="17"/>
  <c r="E168" i="17"/>
  <c r="F168" i="17"/>
  <c r="E169" i="17"/>
  <c r="F169" i="17"/>
  <c r="E170" i="17"/>
  <c r="F170" i="17"/>
  <c r="E171" i="17"/>
  <c r="F171" i="17"/>
  <c r="E172" i="17"/>
  <c r="F172" i="17"/>
  <c r="E173" i="17"/>
  <c r="F173" i="17"/>
  <c r="E174" i="17"/>
  <c r="F174" i="17"/>
  <c r="E175" i="17"/>
  <c r="F175" i="17"/>
  <c r="E176" i="17"/>
  <c r="F176" i="17"/>
  <c r="E177" i="17"/>
  <c r="F177" i="17"/>
  <c r="E178" i="17"/>
  <c r="F178" i="17"/>
  <c r="E179" i="17"/>
  <c r="F179" i="17"/>
  <c r="E180" i="17"/>
  <c r="F180" i="17"/>
  <c r="E181" i="17"/>
  <c r="F181" i="17"/>
  <c r="E182" i="17"/>
  <c r="F182" i="17"/>
  <c r="E183" i="17"/>
  <c r="F183" i="17"/>
  <c r="E184" i="17"/>
  <c r="F184" i="17"/>
  <c r="E185" i="17"/>
  <c r="F185" i="17"/>
  <c r="E186" i="17"/>
  <c r="F186" i="17"/>
  <c r="E187" i="17"/>
  <c r="F187" i="17"/>
  <c r="E188" i="17"/>
  <c r="F188" i="17"/>
  <c r="E189" i="17"/>
  <c r="F189" i="17"/>
  <c r="E190" i="17"/>
  <c r="F190" i="17"/>
  <c r="E191" i="17"/>
  <c r="F191" i="17"/>
  <c r="E192" i="17"/>
  <c r="F192" i="17"/>
  <c r="E193" i="17"/>
  <c r="F193" i="17"/>
  <c r="E194" i="17"/>
  <c r="F194" i="17"/>
  <c r="E195" i="17"/>
  <c r="F195" i="17"/>
  <c r="E196" i="17"/>
  <c r="F196" i="17"/>
  <c r="E197" i="17"/>
  <c r="F197" i="17"/>
  <c r="E198" i="17"/>
  <c r="F198" i="17"/>
  <c r="E199" i="17"/>
  <c r="F199" i="17"/>
  <c r="E200" i="17"/>
  <c r="F200" i="17"/>
  <c r="E201" i="17"/>
  <c r="F201" i="17"/>
  <c r="E202" i="17"/>
  <c r="F202" i="17"/>
  <c r="E203" i="17"/>
  <c r="F203" i="17"/>
  <c r="E204" i="17"/>
  <c r="F204" i="17"/>
  <c r="E205" i="17"/>
  <c r="F205" i="17"/>
  <c r="E206" i="17"/>
  <c r="F206" i="17"/>
  <c r="E207" i="17"/>
  <c r="F207" i="17"/>
  <c r="E208" i="17"/>
  <c r="F208" i="17"/>
  <c r="E209" i="17"/>
  <c r="F209" i="17"/>
  <c r="E210" i="17"/>
  <c r="F210" i="17"/>
  <c r="E211" i="17"/>
  <c r="F211" i="17"/>
  <c r="E212" i="17"/>
  <c r="F212" i="17"/>
  <c r="E213" i="17"/>
  <c r="F213" i="17"/>
  <c r="E214" i="17"/>
  <c r="F214" i="17"/>
  <c r="E215" i="17"/>
  <c r="F215" i="17"/>
  <c r="E216" i="17"/>
  <c r="F216" i="17"/>
  <c r="E217" i="17"/>
  <c r="F217" i="17"/>
  <c r="E218" i="17"/>
  <c r="F218" i="17"/>
  <c r="E219" i="17"/>
  <c r="F219" i="17"/>
  <c r="E220" i="17"/>
  <c r="F220" i="17"/>
  <c r="E75" i="17"/>
  <c r="F75" i="17"/>
  <c r="E76" i="17"/>
  <c r="F76" i="17"/>
  <c r="E77" i="17"/>
  <c r="F77" i="17"/>
  <c r="E78" i="17"/>
  <c r="F78" i="17"/>
  <c r="E79" i="17"/>
  <c r="F79" i="17"/>
  <c r="E80" i="17"/>
  <c r="F80" i="17"/>
  <c r="E81" i="17"/>
  <c r="F81" i="17"/>
  <c r="E82" i="17"/>
  <c r="F82" i="17"/>
  <c r="E83" i="17"/>
  <c r="F83" i="17"/>
  <c r="E84" i="17"/>
  <c r="F84" i="17"/>
  <c r="E85" i="17"/>
  <c r="F85" i="17"/>
  <c r="E86" i="17"/>
  <c r="F86" i="17"/>
  <c r="E87" i="17"/>
  <c r="F87" i="17"/>
  <c r="E88" i="17"/>
  <c r="F88" i="17"/>
  <c r="E89" i="17"/>
  <c r="F89" i="17"/>
  <c r="E90" i="17"/>
  <c r="F90" i="17"/>
  <c r="E91" i="17"/>
  <c r="F91" i="17"/>
  <c r="E92" i="17"/>
  <c r="F92" i="17"/>
  <c r="E93" i="17"/>
  <c r="F93" i="17"/>
  <c r="E94" i="17"/>
  <c r="F94" i="17"/>
  <c r="E95" i="17"/>
  <c r="F95" i="17"/>
  <c r="E96" i="17"/>
  <c r="F96" i="17"/>
  <c r="E97" i="17"/>
  <c r="F97" i="17"/>
  <c r="E98" i="17"/>
  <c r="F98" i="17"/>
  <c r="E99" i="17"/>
  <c r="F99" i="17"/>
  <c r="E100" i="17"/>
  <c r="F100" i="17"/>
  <c r="E101" i="17"/>
  <c r="F101" i="17"/>
  <c r="E102" i="17"/>
  <c r="F102" i="17"/>
  <c r="E103" i="17"/>
  <c r="F103" i="17"/>
  <c r="E104" i="17"/>
  <c r="F104" i="17"/>
  <c r="E105" i="17"/>
  <c r="F105" i="17"/>
  <c r="E106" i="17"/>
  <c r="F106" i="17"/>
  <c r="E107" i="17"/>
  <c r="F107" i="17"/>
  <c r="E108" i="17"/>
  <c r="F108" i="17"/>
  <c r="E109" i="17"/>
  <c r="F109" i="17"/>
  <c r="E110" i="17"/>
  <c r="F110" i="17"/>
  <c r="E111" i="17"/>
  <c r="F111" i="17"/>
  <c r="E112" i="17"/>
  <c r="F112" i="17"/>
  <c r="E113" i="17"/>
  <c r="F113" i="17"/>
  <c r="E114" i="17"/>
  <c r="F114" i="17"/>
  <c r="E115" i="17"/>
  <c r="F115" i="17"/>
  <c r="E116" i="17"/>
  <c r="F116" i="17"/>
  <c r="E117" i="17"/>
  <c r="F117" i="17"/>
  <c r="E118" i="17"/>
  <c r="F118" i="17"/>
  <c r="E119" i="17"/>
  <c r="F119" i="17"/>
  <c r="E120" i="17"/>
  <c r="F120" i="17"/>
  <c r="E121" i="17"/>
  <c r="F121" i="17"/>
  <c r="E122" i="17"/>
  <c r="F122" i="17"/>
  <c r="E123" i="17"/>
  <c r="F123" i="17"/>
  <c r="E124" i="17"/>
  <c r="F124" i="17"/>
  <c r="E125" i="17"/>
  <c r="F125" i="17"/>
  <c r="E126" i="17"/>
  <c r="F126" i="17"/>
  <c r="E127" i="17"/>
  <c r="F127" i="17"/>
  <c r="E128" i="17"/>
  <c r="F128" i="17"/>
  <c r="E129" i="17"/>
  <c r="F129" i="17"/>
  <c r="E130" i="17"/>
  <c r="F130" i="17"/>
  <c r="E131" i="17"/>
  <c r="F131" i="17"/>
  <c r="E132" i="17"/>
  <c r="F132" i="17"/>
  <c r="E133" i="17"/>
  <c r="F133" i="17"/>
  <c r="E134" i="17"/>
  <c r="F134" i="17"/>
  <c r="E135" i="17"/>
  <c r="F135" i="17"/>
  <c r="E136" i="17"/>
  <c r="F136" i="17"/>
  <c r="E137" i="17"/>
  <c r="F137" i="17"/>
  <c r="E138" i="17"/>
  <c r="F138" i="17"/>
  <c r="E139" i="17"/>
  <c r="F139" i="17"/>
  <c r="E140" i="17"/>
  <c r="F140" i="17"/>
  <c r="E141" i="17"/>
  <c r="F141" i="17"/>
  <c r="E142" i="17"/>
  <c r="F142" i="17"/>
  <c r="E143" i="17"/>
  <c r="F143" i="17"/>
  <c r="E144" i="17"/>
  <c r="F144" i="17"/>
  <c r="E145" i="17"/>
  <c r="F145" i="17"/>
  <c r="E146" i="17"/>
  <c r="F146" i="17"/>
  <c r="E147" i="17"/>
  <c r="F147" i="17"/>
  <c r="F3" i="17"/>
  <c r="F4" i="17"/>
  <c r="F5" i="17"/>
  <c r="F6" i="17"/>
  <c r="F7" i="17"/>
  <c r="F8" i="17"/>
  <c r="F9" i="17"/>
  <c r="F10" i="17"/>
  <c r="F11" i="17"/>
  <c r="F12" i="17"/>
  <c r="F13" i="17"/>
  <c r="F14" i="17"/>
  <c r="F15" i="17"/>
  <c r="F16" i="17"/>
  <c r="F17" i="17"/>
  <c r="F18" i="17"/>
  <c r="F19" i="17"/>
  <c r="F20" i="17"/>
  <c r="F21" i="17"/>
  <c r="F22" i="17"/>
  <c r="F23" i="17"/>
  <c r="F24" i="17"/>
  <c r="F25" i="17"/>
  <c r="F26" i="17"/>
  <c r="F27" i="17"/>
  <c r="F28" i="17"/>
  <c r="F29" i="17"/>
  <c r="F30" i="17"/>
  <c r="F31" i="17"/>
  <c r="F32" i="17"/>
  <c r="F33" i="17"/>
  <c r="F34" i="17"/>
  <c r="F35" i="17"/>
  <c r="F36" i="17"/>
  <c r="F37" i="17"/>
  <c r="F38" i="17"/>
  <c r="F39" i="17"/>
  <c r="F40" i="17"/>
  <c r="F41" i="17"/>
  <c r="F42" i="17"/>
  <c r="F43" i="17"/>
  <c r="F44" i="17"/>
  <c r="F45" i="17"/>
  <c r="F46" i="17"/>
  <c r="F47" i="17"/>
  <c r="F48" i="17"/>
  <c r="F49" i="17"/>
  <c r="F50" i="17"/>
  <c r="F51" i="17"/>
  <c r="F52" i="17"/>
  <c r="F53" i="17"/>
  <c r="F54" i="17"/>
  <c r="F55" i="17"/>
  <c r="F56" i="17"/>
  <c r="F57" i="17"/>
  <c r="F58" i="17"/>
  <c r="F59" i="17"/>
  <c r="F60" i="17"/>
  <c r="F61" i="17"/>
  <c r="F62" i="17"/>
  <c r="F63" i="17"/>
  <c r="F64" i="17"/>
  <c r="F65" i="17"/>
  <c r="F66" i="17"/>
  <c r="F67" i="17"/>
  <c r="F68" i="17"/>
  <c r="F69" i="17"/>
  <c r="F70" i="17"/>
  <c r="F71" i="17"/>
  <c r="F72" i="17"/>
  <c r="F73" i="17"/>
  <c r="F74" i="17"/>
  <c r="F2" i="17"/>
  <c r="E3" i="17"/>
  <c r="E4" i="17"/>
  <c r="E5" i="17"/>
  <c r="E6" i="17"/>
  <c r="E7" i="17"/>
  <c r="E8" i="17"/>
  <c r="E9" i="17"/>
  <c r="E10" i="17"/>
  <c r="E11" i="17"/>
  <c r="E12" i="17"/>
  <c r="E13" i="17"/>
  <c r="E14" i="17"/>
  <c r="E15" i="17"/>
  <c r="E16" i="17"/>
  <c r="E17" i="17"/>
  <c r="E18" i="17"/>
  <c r="E19" i="17"/>
  <c r="E20" i="17"/>
  <c r="E21" i="17"/>
  <c r="E22" i="17"/>
  <c r="E23" i="17"/>
  <c r="E24" i="17"/>
  <c r="E25" i="17"/>
  <c r="E26" i="17"/>
  <c r="E27" i="17"/>
  <c r="E28" i="17"/>
  <c r="E29" i="17"/>
  <c r="E30" i="17"/>
  <c r="E31" i="17"/>
  <c r="E32" i="17"/>
  <c r="E33" i="17"/>
  <c r="E34" i="17"/>
  <c r="E35" i="17"/>
  <c r="E36" i="17"/>
  <c r="E37" i="17"/>
  <c r="E38" i="17"/>
  <c r="E39" i="17"/>
  <c r="E40" i="17"/>
  <c r="E41" i="17"/>
  <c r="E42" i="17"/>
  <c r="E43" i="17"/>
  <c r="E44" i="17"/>
  <c r="E45" i="17"/>
  <c r="E46" i="17"/>
  <c r="E47" i="17"/>
  <c r="E48" i="17"/>
  <c r="E49" i="17"/>
  <c r="E50" i="17"/>
  <c r="E51" i="17"/>
  <c r="E52" i="17"/>
  <c r="E53" i="17"/>
  <c r="E54" i="17"/>
  <c r="E55" i="17"/>
  <c r="E56" i="17"/>
  <c r="E57" i="17"/>
  <c r="E58" i="17"/>
  <c r="E59" i="17"/>
  <c r="E60" i="17"/>
  <c r="E61" i="17"/>
  <c r="E62" i="17"/>
  <c r="E63" i="17"/>
  <c r="E64" i="17"/>
  <c r="E65" i="17"/>
  <c r="E66" i="17"/>
  <c r="E67" i="17"/>
  <c r="E68" i="17"/>
  <c r="E69" i="17"/>
  <c r="E70" i="17"/>
  <c r="E71" i="17"/>
  <c r="E72" i="17"/>
  <c r="E73" i="17"/>
  <c r="E74" i="17"/>
  <c r="E2" i="17"/>
  <c r="Q2" i="14" l="1"/>
  <c r="Q3" i="14"/>
  <c r="Q4" i="14"/>
  <c r="Q5" i="14"/>
  <c r="Q6" i="14"/>
  <c r="Q7" i="14"/>
  <c r="Q8" i="14"/>
  <c r="Q9" i="14"/>
  <c r="Q10" i="14"/>
  <c r="Q11" i="14"/>
  <c r="Q12" i="14"/>
  <c r="Q13" i="14"/>
  <c r="Q14" i="14"/>
  <c r="Q15" i="14"/>
  <c r="Q16" i="14"/>
  <c r="Q17" i="14"/>
  <c r="Q18" i="14"/>
  <c r="Q19" i="14"/>
  <c r="Q20" i="14"/>
  <c r="Q21" i="14"/>
  <c r="Q22" i="14"/>
  <c r="Q23" i="14"/>
  <c r="Q24" i="14"/>
  <c r="Q25" i="14"/>
  <c r="Q26" i="14"/>
  <c r="Q27" i="14"/>
  <c r="Q28" i="14"/>
  <c r="Q29" i="14"/>
  <c r="Q30" i="14"/>
  <c r="Q31" i="14"/>
  <c r="Q32" i="14"/>
  <c r="Q33" i="14"/>
  <c r="Q34" i="14"/>
  <c r="Q35" i="14"/>
  <c r="Q36" i="14"/>
  <c r="Q37" i="14"/>
  <c r="Q38" i="14"/>
  <c r="Q39" i="14"/>
  <c r="Q40" i="14"/>
  <c r="Q41" i="14"/>
  <c r="Q42" i="14"/>
  <c r="Q43" i="14"/>
  <c r="Q44" i="14"/>
  <c r="Q45" i="14"/>
  <c r="Q46" i="14"/>
  <c r="Q47" i="14"/>
  <c r="Q48" i="14"/>
  <c r="Q49" i="14"/>
  <c r="Q50" i="14"/>
  <c r="Q51" i="14"/>
  <c r="B3" i="14"/>
  <c r="B4" i="14"/>
  <c r="B5" i="14"/>
  <c r="B6" i="14"/>
  <c r="B7" i="14"/>
  <c r="B8" i="14"/>
  <c r="B9" i="14"/>
  <c r="B10" i="14"/>
  <c r="B11" i="14"/>
  <c r="B12" i="14"/>
  <c r="B13" i="14"/>
  <c r="B14" i="14"/>
  <c r="B15" i="14"/>
  <c r="B16" i="14"/>
  <c r="B17" i="14"/>
  <c r="B18" i="14"/>
  <c r="B19" i="14"/>
  <c r="B20" i="14"/>
  <c r="B21" i="14"/>
  <c r="B22" i="14"/>
  <c r="B23" i="14"/>
  <c r="B24" i="14"/>
  <c r="B25" i="14"/>
  <c r="B26" i="14"/>
  <c r="B27" i="14"/>
  <c r="B28" i="14"/>
  <c r="B29" i="14"/>
  <c r="B30" i="14"/>
  <c r="B31" i="14"/>
  <c r="B32" i="14"/>
  <c r="B33" i="14"/>
  <c r="B34" i="14"/>
  <c r="B35" i="14"/>
  <c r="B36" i="14"/>
  <c r="B37" i="14"/>
  <c r="B38" i="14"/>
  <c r="B39" i="14"/>
  <c r="B40" i="14"/>
  <c r="B41" i="14"/>
  <c r="B42" i="14"/>
  <c r="B43" i="14"/>
  <c r="B44" i="14"/>
  <c r="B45" i="14"/>
  <c r="B46" i="14"/>
  <c r="B47" i="14"/>
  <c r="B48" i="14"/>
  <c r="B49" i="14"/>
  <c r="B50" i="14"/>
  <c r="B51" i="14"/>
  <c r="B2" i="14"/>
  <c r="C49" i="14" l="1"/>
  <c r="G49" i="14" s="1"/>
  <c r="C41" i="14"/>
  <c r="C48" i="14"/>
  <c r="D48" i="14" s="1"/>
  <c r="C51" i="14"/>
  <c r="C47" i="14"/>
  <c r="C43" i="14"/>
  <c r="D43" i="14" s="1"/>
  <c r="C39" i="14"/>
  <c r="C35" i="14"/>
  <c r="C31" i="14"/>
  <c r="G31" i="14" s="1"/>
  <c r="C27" i="14"/>
  <c r="C23" i="14"/>
  <c r="C19" i="14"/>
  <c r="D19" i="14" s="1"/>
  <c r="C15" i="14"/>
  <c r="C11" i="14"/>
  <c r="C7" i="14"/>
  <c r="C3" i="14"/>
  <c r="C50" i="14"/>
  <c r="C46" i="14"/>
  <c r="C42" i="14"/>
  <c r="C38" i="14"/>
  <c r="C34" i="14"/>
  <c r="C30" i="14"/>
  <c r="C26" i="14"/>
  <c r="C22" i="14"/>
  <c r="C18" i="14"/>
  <c r="D18" i="14" s="1"/>
  <c r="E18" i="14" s="1"/>
  <c r="F18" i="14" s="1"/>
  <c r="C14" i="14"/>
  <c r="C10" i="14"/>
  <c r="C6" i="14"/>
  <c r="C45" i="14"/>
  <c r="C37" i="14"/>
  <c r="C33" i="14"/>
  <c r="D33" i="14" s="1"/>
  <c r="C29" i="14"/>
  <c r="G29" i="14" s="1"/>
  <c r="C25" i="14"/>
  <c r="C21" i="14"/>
  <c r="C17" i="14"/>
  <c r="C13" i="14"/>
  <c r="C9" i="14"/>
  <c r="C5" i="14"/>
  <c r="G5" i="14" s="1"/>
  <c r="C2" i="14"/>
  <c r="C44" i="14"/>
  <c r="D44" i="14" s="1"/>
  <c r="C40" i="14"/>
  <c r="D40" i="14" s="1"/>
  <c r="C36" i="14"/>
  <c r="G36" i="14" s="1"/>
  <c r="C32" i="14"/>
  <c r="C28" i="14"/>
  <c r="D28" i="14" s="1"/>
  <c r="C24" i="14"/>
  <c r="D24" i="14" s="1"/>
  <c r="C20" i="14"/>
  <c r="D20" i="14" s="1"/>
  <c r="E20" i="14" s="1"/>
  <c r="C16" i="14"/>
  <c r="G16" i="14" s="1"/>
  <c r="C12" i="14"/>
  <c r="G12" i="14" s="1"/>
  <c r="C8" i="14"/>
  <c r="D8" i="14" s="1"/>
  <c r="C4" i="14"/>
  <c r="D4" i="14" s="1"/>
  <c r="A51" i="14"/>
  <c r="A50" i="14"/>
  <c r="A49" i="14"/>
  <c r="A48" i="14"/>
  <c r="A47" i="14"/>
  <c r="A46" i="14"/>
  <c r="A45" i="14"/>
  <c r="A44" i="14"/>
  <c r="A43" i="14"/>
  <c r="A42" i="14"/>
  <c r="A41" i="14"/>
  <c r="A40" i="14"/>
  <c r="A39" i="14"/>
  <c r="A38" i="14"/>
  <c r="A37" i="14"/>
  <c r="A36" i="14"/>
  <c r="A35" i="14"/>
  <c r="A34" i="14"/>
  <c r="A33" i="14"/>
  <c r="A32" i="14"/>
  <c r="A31" i="14"/>
  <c r="A30" i="14"/>
  <c r="A29" i="14"/>
  <c r="A28" i="14"/>
  <c r="A27" i="14"/>
  <c r="A26" i="14"/>
  <c r="A25" i="14"/>
  <c r="A24" i="14"/>
  <c r="A23" i="14"/>
  <c r="A22" i="14"/>
  <c r="A21" i="14"/>
  <c r="A20" i="14"/>
  <c r="A19" i="14"/>
  <c r="A18" i="14"/>
  <c r="A17" i="14"/>
  <c r="A16" i="14"/>
  <c r="A15" i="14"/>
  <c r="A14" i="14"/>
  <c r="A13" i="14"/>
  <c r="A12" i="14"/>
  <c r="A11" i="14"/>
  <c r="A10" i="14"/>
  <c r="A9" i="14"/>
  <c r="A8" i="14"/>
  <c r="A7" i="14"/>
  <c r="A6" i="14"/>
  <c r="A5" i="14"/>
  <c r="A4" i="14"/>
  <c r="A3" i="14"/>
  <c r="A2" i="14"/>
  <c r="D31" i="14" l="1"/>
  <c r="E31" i="14" s="1"/>
  <c r="G40" i="14"/>
  <c r="D29" i="14"/>
  <c r="E29" i="14" s="1"/>
  <c r="G20" i="14"/>
  <c r="D36" i="14"/>
  <c r="E36" i="14" s="1"/>
  <c r="F36" i="14" s="1"/>
  <c r="I36" i="14" s="1"/>
  <c r="P36" i="14" s="1"/>
  <c r="S36" i="14" s="1"/>
  <c r="D5" i="14"/>
  <c r="E5" i="14" s="1"/>
  <c r="F5" i="14" s="1"/>
  <c r="G24" i="14"/>
  <c r="G48" i="14"/>
  <c r="D49" i="14"/>
  <c r="E49" i="14" s="1"/>
  <c r="F49" i="14" s="1"/>
  <c r="I49" i="14" s="1"/>
  <c r="P49" i="14" s="1"/>
  <c r="S49" i="14" s="1"/>
  <c r="D16" i="14"/>
  <c r="E16" i="14" s="1"/>
  <c r="G44" i="14"/>
  <c r="E4" i="14"/>
  <c r="F4" i="14" s="1"/>
  <c r="H4" i="14" s="1"/>
  <c r="E8" i="14"/>
  <c r="F8" i="14" s="1"/>
  <c r="I8" i="14" s="1"/>
  <c r="P8" i="14" s="1"/>
  <c r="S8" i="14" s="1"/>
  <c r="D12" i="14"/>
  <c r="D15" i="14"/>
  <c r="G15" i="14"/>
  <c r="G8" i="14"/>
  <c r="G4" i="14"/>
  <c r="E19" i="14"/>
  <c r="G18" i="14"/>
  <c r="E28" i="14"/>
  <c r="F28" i="14" s="1"/>
  <c r="I28" i="14" s="1"/>
  <c r="P28" i="14" s="1"/>
  <c r="S28" i="14" s="1"/>
  <c r="H18" i="14"/>
  <c r="I18" i="14"/>
  <c r="P18" i="14" s="1"/>
  <c r="S18" i="14" s="1"/>
  <c r="G19" i="14"/>
  <c r="F20" i="14"/>
  <c r="H20" i="14" s="1"/>
  <c r="E24" i="14"/>
  <c r="G33" i="14"/>
  <c r="G28" i="14"/>
  <c r="E33" i="14"/>
  <c r="F33" i="14" s="1"/>
  <c r="I33" i="14" s="1"/>
  <c r="P33" i="14" s="1"/>
  <c r="S33" i="14" s="1"/>
  <c r="D34" i="14"/>
  <c r="G34" i="14"/>
  <c r="E43" i="14"/>
  <c r="F43" i="14" s="1"/>
  <c r="I43" i="14" s="1"/>
  <c r="P43" i="14" s="1"/>
  <c r="S43" i="14" s="1"/>
  <c r="E44" i="14"/>
  <c r="F44" i="14" s="1"/>
  <c r="I44" i="14" s="1"/>
  <c r="P44" i="14" s="1"/>
  <c r="S44" i="14" s="1"/>
  <c r="D47" i="14"/>
  <c r="G47" i="14"/>
  <c r="E40" i="14"/>
  <c r="F40" i="14" s="1"/>
  <c r="I40" i="14" s="1"/>
  <c r="P40" i="14" s="1"/>
  <c r="S40" i="14" s="1"/>
  <c r="G43" i="14"/>
  <c r="E48" i="14"/>
  <c r="F48" i="14" s="1"/>
  <c r="I48" i="14" s="1"/>
  <c r="P48" i="14" s="1"/>
  <c r="S48" i="14" s="1"/>
  <c r="F29" i="14" l="1"/>
  <c r="H29" i="14" s="1"/>
  <c r="W43" i="14"/>
  <c r="W18" i="14"/>
  <c r="W40" i="14"/>
  <c r="W33" i="14"/>
  <c r="W8" i="14"/>
  <c r="T18" i="14"/>
  <c r="T48" i="14"/>
  <c r="T40" i="14"/>
  <c r="T44" i="14"/>
  <c r="T33" i="14"/>
  <c r="T49" i="14"/>
  <c r="T36" i="14"/>
  <c r="T43" i="14"/>
  <c r="T28" i="14"/>
  <c r="T8" i="14"/>
  <c r="F31" i="14"/>
  <c r="I31" i="14" s="1"/>
  <c r="P31" i="14" s="1"/>
  <c r="S31" i="14" s="1"/>
  <c r="I20" i="14"/>
  <c r="P20" i="14" s="1"/>
  <c r="S20" i="14" s="1"/>
  <c r="H49" i="14"/>
  <c r="F16" i="14"/>
  <c r="H16" i="14" s="1"/>
  <c r="H28" i="14"/>
  <c r="K20" i="14"/>
  <c r="J20" i="14"/>
  <c r="H5" i="14"/>
  <c r="I5" i="14"/>
  <c r="P5" i="14" s="1"/>
  <c r="S5" i="14" s="1"/>
  <c r="H44" i="14"/>
  <c r="G38" i="14"/>
  <c r="D38" i="14"/>
  <c r="H33" i="14"/>
  <c r="H48" i="14"/>
  <c r="H40" i="14"/>
  <c r="D39" i="14"/>
  <c r="G39" i="14"/>
  <c r="H43" i="14"/>
  <c r="D27" i="14"/>
  <c r="G27" i="14"/>
  <c r="H36" i="14"/>
  <c r="G21" i="14"/>
  <c r="D21" i="14"/>
  <c r="G45" i="14"/>
  <c r="D45" i="14"/>
  <c r="G42" i="14"/>
  <c r="D42" i="14"/>
  <c r="G46" i="14"/>
  <c r="D46" i="14"/>
  <c r="E34" i="14"/>
  <c r="G25" i="14"/>
  <c r="D25" i="14"/>
  <c r="D23" i="14"/>
  <c r="G23" i="14"/>
  <c r="K18" i="14"/>
  <c r="J18" i="14"/>
  <c r="F19" i="14"/>
  <c r="I19" i="14" s="1"/>
  <c r="P19" i="14" s="1"/>
  <c r="S19" i="14" s="1"/>
  <c r="G9" i="14"/>
  <c r="D9" i="14"/>
  <c r="E12" i="14"/>
  <c r="G3" i="14"/>
  <c r="D3" i="14"/>
  <c r="H8" i="14"/>
  <c r="I4" i="14"/>
  <c r="P4" i="14" s="1"/>
  <c r="S4" i="14" s="1"/>
  <c r="D51" i="14"/>
  <c r="G51" i="14"/>
  <c r="F24" i="14"/>
  <c r="I24" i="14" s="1"/>
  <c r="P24" i="14" s="1"/>
  <c r="S24" i="14" s="1"/>
  <c r="G22" i="14"/>
  <c r="D22" i="14"/>
  <c r="D6" i="14"/>
  <c r="G6" i="14"/>
  <c r="D2" i="14"/>
  <c r="G2" i="14"/>
  <c r="G50" i="14"/>
  <c r="D50" i="14"/>
  <c r="D41" i="14"/>
  <c r="G41" i="14"/>
  <c r="E47" i="14"/>
  <c r="F47" i="14" s="1"/>
  <c r="I47" i="14" s="1"/>
  <c r="P47" i="14" s="1"/>
  <c r="S47" i="14" s="1"/>
  <c r="G26" i="14"/>
  <c r="D26" i="14"/>
  <c r="G30" i="14"/>
  <c r="D30" i="14"/>
  <c r="D35" i="14"/>
  <c r="G35" i="14"/>
  <c r="G37" i="14"/>
  <c r="D37" i="14"/>
  <c r="G32" i="14"/>
  <c r="D32" i="14"/>
  <c r="G17" i="14"/>
  <c r="D17" i="14"/>
  <c r="G13" i="14"/>
  <c r="D13" i="14"/>
  <c r="D10" i="14"/>
  <c r="G10" i="14"/>
  <c r="G14" i="14"/>
  <c r="D14" i="14"/>
  <c r="K4" i="14"/>
  <c r="J4" i="14"/>
  <c r="G11" i="14"/>
  <c r="D11" i="14"/>
  <c r="G7" i="14"/>
  <c r="D7" i="14"/>
  <c r="E15" i="14"/>
  <c r="F15" i="14" s="1"/>
  <c r="I15" i="14" s="1"/>
  <c r="P15" i="14" s="1"/>
  <c r="S15" i="14" s="1"/>
  <c r="K28" i="14" l="1"/>
  <c r="J29" i="14"/>
  <c r="K29" i="14"/>
  <c r="I29" i="14"/>
  <c r="P29" i="14" s="1"/>
  <c r="S29" i="14" s="1"/>
  <c r="L18" i="14"/>
  <c r="M20" i="14"/>
  <c r="W31" i="14"/>
  <c r="T24" i="14"/>
  <c r="T31" i="14"/>
  <c r="T15" i="14"/>
  <c r="T4" i="14"/>
  <c r="T20" i="14"/>
  <c r="T47" i="14"/>
  <c r="T19" i="14"/>
  <c r="T5" i="14"/>
  <c r="H31" i="14"/>
  <c r="M18" i="14"/>
  <c r="I16" i="14"/>
  <c r="P16" i="14" s="1"/>
  <c r="S16" i="14" s="1"/>
  <c r="K43" i="14"/>
  <c r="K16" i="14"/>
  <c r="L20" i="14"/>
  <c r="K49" i="14"/>
  <c r="L4" i="14"/>
  <c r="J33" i="14"/>
  <c r="J49" i="14"/>
  <c r="J28" i="14"/>
  <c r="K8" i="14"/>
  <c r="J8" i="14"/>
  <c r="M4" i="14"/>
  <c r="H47" i="14"/>
  <c r="K33" i="14"/>
  <c r="J16" i="14"/>
  <c r="H15" i="14"/>
  <c r="F12" i="14"/>
  <c r="I12" i="14" s="1"/>
  <c r="P12" i="14" s="1"/>
  <c r="S12" i="14" s="1"/>
  <c r="H19" i="14"/>
  <c r="E2" i="14"/>
  <c r="F2" i="14" s="1"/>
  <c r="E13" i="14"/>
  <c r="F13" i="14" s="1"/>
  <c r="E7" i="14"/>
  <c r="F7" i="14" s="1"/>
  <c r="H7" i="14" s="1"/>
  <c r="E17" i="14"/>
  <c r="F17" i="14" s="1"/>
  <c r="H17" i="14" s="1"/>
  <c r="E37" i="14"/>
  <c r="F37" i="14" s="1"/>
  <c r="H37" i="14" s="1"/>
  <c r="E22" i="14"/>
  <c r="F22" i="14" s="1"/>
  <c r="I22" i="14" s="1"/>
  <c r="P22" i="14" s="1"/>
  <c r="S22" i="14" s="1"/>
  <c r="E3" i="14"/>
  <c r="F3" i="14" s="1"/>
  <c r="F34" i="14"/>
  <c r="I34" i="14" s="1"/>
  <c r="P34" i="14" s="1"/>
  <c r="S34" i="14" s="1"/>
  <c r="E46" i="14"/>
  <c r="E45" i="14"/>
  <c r="K36" i="14"/>
  <c r="J36" i="14"/>
  <c r="E39" i="14"/>
  <c r="E10" i="14"/>
  <c r="E30" i="14"/>
  <c r="F30" i="14" s="1"/>
  <c r="I30" i="14" s="1"/>
  <c r="P30" i="14" s="1"/>
  <c r="S30" i="14" s="1"/>
  <c r="E51" i="14"/>
  <c r="F51" i="14" s="1"/>
  <c r="I51" i="14" s="1"/>
  <c r="P51" i="14" s="1"/>
  <c r="S51" i="14" s="1"/>
  <c r="J40" i="14"/>
  <c r="K40" i="14"/>
  <c r="K48" i="14"/>
  <c r="J48" i="14"/>
  <c r="K44" i="14"/>
  <c r="J44" i="14"/>
  <c r="E41" i="14"/>
  <c r="F41" i="14" s="1"/>
  <c r="H41" i="14" s="1"/>
  <c r="E9" i="14"/>
  <c r="E23" i="14"/>
  <c r="F23" i="14" s="1"/>
  <c r="I23" i="14" s="1"/>
  <c r="P23" i="14" s="1"/>
  <c r="S23" i="14" s="1"/>
  <c r="E42" i="14"/>
  <c r="E21" i="14"/>
  <c r="F21" i="14" s="1"/>
  <c r="E27" i="14"/>
  <c r="J43" i="14"/>
  <c r="E11" i="14"/>
  <c r="F11" i="14" s="1"/>
  <c r="I11" i="14" s="1"/>
  <c r="P11" i="14" s="1"/>
  <c r="S11" i="14" s="1"/>
  <c r="E14" i="14"/>
  <c r="E32" i="14"/>
  <c r="E35" i="14"/>
  <c r="E26" i="14"/>
  <c r="E50" i="14"/>
  <c r="E6" i="14"/>
  <c r="F6" i="14" s="1"/>
  <c r="E25" i="14"/>
  <c r="E38" i="14"/>
  <c r="J5" i="14"/>
  <c r="K5" i="14"/>
  <c r="H24" i="14"/>
  <c r="L28" i="14" l="1"/>
  <c r="K31" i="14"/>
  <c r="L29" i="14"/>
  <c r="M29" i="14"/>
  <c r="T29" i="14"/>
  <c r="N20" i="14"/>
  <c r="O20" i="14" s="1"/>
  <c r="L49" i="14"/>
  <c r="L43" i="14"/>
  <c r="N18" i="14"/>
  <c r="U18" i="14" s="1"/>
  <c r="V18" i="14" s="1"/>
  <c r="J31" i="14"/>
  <c r="L44" i="14"/>
  <c r="L40" i="14"/>
  <c r="M49" i="14"/>
  <c r="L48" i="14"/>
  <c r="K47" i="14"/>
  <c r="M44" i="14"/>
  <c r="M48" i="14"/>
  <c r="W51" i="14"/>
  <c r="W34" i="14"/>
  <c r="N4" i="14"/>
  <c r="T30" i="14"/>
  <c r="T16" i="14"/>
  <c r="T51" i="14"/>
  <c r="T22" i="14"/>
  <c r="T12" i="14"/>
  <c r="T34" i="14"/>
  <c r="T11" i="14"/>
  <c r="T23" i="14"/>
  <c r="L33" i="14"/>
  <c r="M36" i="14"/>
  <c r="M16" i="14"/>
  <c r="M33" i="14"/>
  <c r="M43" i="14"/>
  <c r="M28" i="14"/>
  <c r="M40" i="14"/>
  <c r="J15" i="14"/>
  <c r="K15" i="14"/>
  <c r="L8" i="14"/>
  <c r="J47" i="14"/>
  <c r="L47" i="14" s="1"/>
  <c r="H22" i="14"/>
  <c r="L36" i="14"/>
  <c r="L16" i="14"/>
  <c r="F38" i="14"/>
  <c r="I38" i="14" s="1"/>
  <c r="P38" i="14" s="1"/>
  <c r="S38" i="14" s="1"/>
  <c r="F25" i="14"/>
  <c r="I25" i="14" s="1"/>
  <c r="P25" i="14" s="1"/>
  <c r="S25" i="14" s="1"/>
  <c r="H30" i="14"/>
  <c r="F27" i="14"/>
  <c r="I27" i="14" s="1"/>
  <c r="P27" i="14" s="1"/>
  <c r="S27" i="14" s="1"/>
  <c r="F39" i="14"/>
  <c r="I39" i="14" s="1"/>
  <c r="P39" i="14" s="1"/>
  <c r="S39" i="14" s="1"/>
  <c r="H12" i="14"/>
  <c r="F10" i="14"/>
  <c r="I10" i="14" s="1"/>
  <c r="P10" i="14" s="1"/>
  <c r="S10" i="14" s="1"/>
  <c r="F9" i="14"/>
  <c r="I9" i="14" s="1"/>
  <c r="P9" i="14" s="1"/>
  <c r="S9" i="14" s="1"/>
  <c r="M8" i="14"/>
  <c r="H6" i="14"/>
  <c r="I6" i="14"/>
  <c r="P6" i="14" s="1"/>
  <c r="S6" i="14" s="1"/>
  <c r="L5" i="14"/>
  <c r="M5" i="14"/>
  <c r="H51" i="14"/>
  <c r="K19" i="14"/>
  <c r="J19" i="14"/>
  <c r="I21" i="14"/>
  <c r="P21" i="14" s="1"/>
  <c r="S21" i="14" s="1"/>
  <c r="H21" i="14"/>
  <c r="J7" i="14"/>
  <c r="K7" i="14"/>
  <c r="K41" i="14"/>
  <c r="J41" i="14"/>
  <c r="J37" i="14"/>
  <c r="K37" i="14"/>
  <c r="I13" i="14"/>
  <c r="P13" i="14" s="1"/>
  <c r="S13" i="14" s="1"/>
  <c r="H13" i="14"/>
  <c r="H2" i="14"/>
  <c r="I2" i="14"/>
  <c r="P2" i="14" s="1"/>
  <c r="S2" i="14" s="1"/>
  <c r="H3" i="14"/>
  <c r="I3" i="14"/>
  <c r="P3" i="14" s="1"/>
  <c r="S3" i="14" s="1"/>
  <c r="K17" i="14"/>
  <c r="J17" i="14"/>
  <c r="F42" i="14"/>
  <c r="I42" i="14" s="1"/>
  <c r="P42" i="14" s="1"/>
  <c r="S42" i="14" s="1"/>
  <c r="I41" i="14"/>
  <c r="P41" i="14" s="1"/>
  <c r="S41" i="14" s="1"/>
  <c r="F45" i="14"/>
  <c r="I45" i="14" s="1"/>
  <c r="P45" i="14" s="1"/>
  <c r="S45" i="14" s="1"/>
  <c r="F46" i="14"/>
  <c r="I46" i="14" s="1"/>
  <c r="P46" i="14" s="1"/>
  <c r="S46" i="14" s="1"/>
  <c r="I37" i="14"/>
  <c r="P37" i="14" s="1"/>
  <c r="S37" i="14" s="1"/>
  <c r="I17" i="14"/>
  <c r="P17" i="14" s="1"/>
  <c r="S17" i="14" s="1"/>
  <c r="F50" i="14"/>
  <c r="I50" i="14" s="1"/>
  <c r="P50" i="14" s="1"/>
  <c r="S50" i="14" s="1"/>
  <c r="F26" i="14"/>
  <c r="I26" i="14" s="1"/>
  <c r="P26" i="14" s="1"/>
  <c r="S26" i="14" s="1"/>
  <c r="J24" i="14"/>
  <c r="K24" i="14"/>
  <c r="F35" i="14"/>
  <c r="I35" i="14" s="1"/>
  <c r="P35" i="14" s="1"/>
  <c r="S35" i="14" s="1"/>
  <c r="F32" i="14"/>
  <c r="I32" i="14" s="1"/>
  <c r="P32" i="14" s="1"/>
  <c r="S32" i="14" s="1"/>
  <c r="F14" i="14"/>
  <c r="I14" i="14" s="1"/>
  <c r="P14" i="14" s="1"/>
  <c r="S14" i="14" s="1"/>
  <c r="H11" i="14"/>
  <c r="H23" i="14"/>
  <c r="I7" i="14"/>
  <c r="P7" i="14" s="1"/>
  <c r="S7" i="14" s="1"/>
  <c r="H34" i="14"/>
  <c r="M31" i="14" l="1"/>
  <c r="J22" i="14"/>
  <c r="K6" i="14"/>
  <c r="N28" i="14"/>
  <c r="U28" i="14" s="1"/>
  <c r="V28" i="14" s="1"/>
  <c r="W28" i="14" s="1"/>
  <c r="N29" i="14"/>
  <c r="U29" i="14" s="1"/>
  <c r="V29" i="14" s="1"/>
  <c r="W29" i="14" s="1"/>
  <c r="N40" i="14"/>
  <c r="U40" i="14" s="1"/>
  <c r="V40" i="14" s="1"/>
  <c r="L31" i="14"/>
  <c r="U20" i="14"/>
  <c r="V20" i="14" s="1"/>
  <c r="W20" i="14" s="1"/>
  <c r="N49" i="14"/>
  <c r="U49" i="14" s="1"/>
  <c r="V49" i="14" s="1"/>
  <c r="W49" i="14" s="1"/>
  <c r="N43" i="14"/>
  <c r="U43" i="14" s="1"/>
  <c r="V43" i="14" s="1"/>
  <c r="O18" i="14"/>
  <c r="N36" i="14"/>
  <c r="U36" i="14" s="1"/>
  <c r="V36" i="14" s="1"/>
  <c r="W36" i="14" s="1"/>
  <c r="N44" i="14"/>
  <c r="U44" i="14" s="1"/>
  <c r="V44" i="14" s="1"/>
  <c r="W44" i="14" s="1"/>
  <c r="L15" i="14"/>
  <c r="N48" i="14"/>
  <c r="M47" i="14"/>
  <c r="W17" i="14"/>
  <c r="W37" i="14"/>
  <c r="W39" i="14"/>
  <c r="N33" i="14"/>
  <c r="U33" i="14" s="1"/>
  <c r="V33" i="14" s="1"/>
  <c r="W42" i="14"/>
  <c r="W32" i="14"/>
  <c r="W9" i="14"/>
  <c r="W50" i="14"/>
  <c r="W45" i="14"/>
  <c r="W41" i="14"/>
  <c r="O4" i="14"/>
  <c r="U4" i="14"/>
  <c r="V4" i="14" s="1"/>
  <c r="W4" i="14" s="1"/>
  <c r="T14" i="14"/>
  <c r="T17" i="14"/>
  <c r="T41" i="14"/>
  <c r="T3" i="14"/>
  <c r="T10" i="14"/>
  <c r="T32" i="14"/>
  <c r="T26" i="14"/>
  <c r="T37" i="14"/>
  <c r="T42" i="14"/>
  <c r="T13" i="14"/>
  <c r="T25" i="14"/>
  <c r="T45" i="14"/>
  <c r="T9" i="14"/>
  <c r="T27" i="14"/>
  <c r="T35" i="14"/>
  <c r="T50" i="14"/>
  <c r="T46" i="14"/>
  <c r="T2" i="14"/>
  <c r="T21" i="14"/>
  <c r="T39" i="14"/>
  <c r="T38" i="14"/>
  <c r="T7" i="14"/>
  <c r="T6" i="14"/>
  <c r="L24" i="14"/>
  <c r="L41" i="14"/>
  <c r="N16" i="14"/>
  <c r="U16" i="14" s="1"/>
  <c r="V16" i="14" s="1"/>
  <c r="W16" i="14" s="1"/>
  <c r="L17" i="14"/>
  <c r="M37" i="14"/>
  <c r="M24" i="14"/>
  <c r="L37" i="14"/>
  <c r="M15" i="14"/>
  <c r="M41" i="14"/>
  <c r="J6" i="14"/>
  <c r="J51" i="14"/>
  <c r="K30" i="14"/>
  <c r="K51" i="14"/>
  <c r="L19" i="14"/>
  <c r="M19" i="14"/>
  <c r="M17" i="14"/>
  <c r="J30" i="14"/>
  <c r="K22" i="14"/>
  <c r="H25" i="14"/>
  <c r="N5" i="14"/>
  <c r="U5" i="14" s="1"/>
  <c r="V5" i="14" s="1"/>
  <c r="W5" i="14" s="1"/>
  <c r="H10" i="14"/>
  <c r="H38" i="14"/>
  <c r="N8" i="14"/>
  <c r="U8" i="14" s="1"/>
  <c r="V8" i="14" s="1"/>
  <c r="H9" i="14"/>
  <c r="H27" i="14"/>
  <c r="H39" i="14"/>
  <c r="J12" i="14"/>
  <c r="K12" i="14"/>
  <c r="L7" i="14"/>
  <c r="M7" i="14"/>
  <c r="H45" i="14"/>
  <c r="H32" i="14"/>
  <c r="J21" i="14"/>
  <c r="K21" i="14"/>
  <c r="J23" i="14"/>
  <c r="K23" i="14"/>
  <c r="J3" i="14"/>
  <c r="K3" i="14"/>
  <c r="K2" i="14"/>
  <c r="J2" i="14"/>
  <c r="J34" i="14"/>
  <c r="K34" i="14"/>
  <c r="J11" i="14"/>
  <c r="K11" i="14"/>
  <c r="J13" i="14"/>
  <c r="K13" i="14"/>
  <c r="H46" i="14"/>
  <c r="H26" i="14"/>
  <c r="H14" i="14"/>
  <c r="H35" i="14"/>
  <c r="H42" i="14"/>
  <c r="H50" i="14"/>
  <c r="L6" i="14" l="1"/>
  <c r="O40" i="14"/>
  <c r="O28" i="14"/>
  <c r="L22" i="14"/>
  <c r="K9" i="14"/>
  <c r="J25" i="14"/>
  <c r="J10" i="14"/>
  <c r="O29" i="14"/>
  <c r="N47" i="14"/>
  <c r="U47" i="14" s="1"/>
  <c r="V47" i="14" s="1"/>
  <c r="W47" i="14" s="1"/>
  <c r="N31" i="14"/>
  <c r="U31" i="14" s="1"/>
  <c r="V31" i="14" s="1"/>
  <c r="N15" i="14"/>
  <c r="U15" i="14" s="1"/>
  <c r="V15" i="14" s="1"/>
  <c r="W15" i="14" s="1"/>
  <c r="O49" i="14"/>
  <c r="O43" i="14"/>
  <c r="O36" i="14"/>
  <c r="O44" i="14"/>
  <c r="O33" i="14"/>
  <c r="M51" i="14"/>
  <c r="L23" i="14"/>
  <c r="L51" i="14"/>
  <c r="U48" i="14"/>
  <c r="V48" i="14" s="1"/>
  <c r="W48" i="14" s="1"/>
  <c r="O48" i="14"/>
  <c r="N37" i="14"/>
  <c r="U37" i="14" s="1"/>
  <c r="V37" i="14" s="1"/>
  <c r="N17" i="14"/>
  <c r="U17" i="14" s="1"/>
  <c r="V17" i="14" s="1"/>
  <c r="O16" i="14"/>
  <c r="M6" i="14"/>
  <c r="N41" i="14"/>
  <c r="U41" i="14" s="1"/>
  <c r="V41" i="14" s="1"/>
  <c r="N24" i="14"/>
  <c r="U24" i="14" s="1"/>
  <c r="V24" i="14" s="1"/>
  <c r="W24" i="14" s="1"/>
  <c r="M34" i="14"/>
  <c r="M30" i="14"/>
  <c r="N19" i="14"/>
  <c r="U19" i="14" s="1"/>
  <c r="V19" i="14" s="1"/>
  <c r="W19" i="14" s="1"/>
  <c r="M22" i="14"/>
  <c r="L30" i="14"/>
  <c r="M23" i="14"/>
  <c r="K10" i="14"/>
  <c r="O5" i="14"/>
  <c r="O8" i="14"/>
  <c r="J45" i="14"/>
  <c r="L21" i="14"/>
  <c r="M21" i="14"/>
  <c r="M11" i="14"/>
  <c r="K45" i="14"/>
  <c r="L2" i="14"/>
  <c r="J9" i="14"/>
  <c r="M13" i="14"/>
  <c r="K25" i="14"/>
  <c r="N7" i="14"/>
  <c r="U7" i="14" s="1"/>
  <c r="V7" i="14" s="1"/>
  <c r="W7" i="14" s="1"/>
  <c r="L12" i="14"/>
  <c r="K27" i="14"/>
  <c r="J27" i="14"/>
  <c r="J38" i="14"/>
  <c r="K38" i="14"/>
  <c r="L34" i="14"/>
  <c r="M2" i="14"/>
  <c r="L3" i="14"/>
  <c r="K39" i="14"/>
  <c r="J39" i="14"/>
  <c r="L13" i="14"/>
  <c r="M12" i="14"/>
  <c r="L11" i="14"/>
  <c r="M3" i="14"/>
  <c r="J14" i="14"/>
  <c r="K14" i="14"/>
  <c r="K46" i="14"/>
  <c r="J46" i="14"/>
  <c r="K32" i="14"/>
  <c r="J32" i="14"/>
  <c r="K50" i="14"/>
  <c r="J50" i="14"/>
  <c r="J26" i="14"/>
  <c r="K26" i="14"/>
  <c r="J42" i="14"/>
  <c r="K42" i="14"/>
  <c r="J35" i="14"/>
  <c r="K35" i="14"/>
  <c r="L10" i="14" l="1"/>
  <c r="L25" i="14"/>
  <c r="L9" i="14"/>
  <c r="O47" i="14"/>
  <c r="O31" i="14"/>
  <c r="N22" i="14"/>
  <c r="U22" i="14" s="1"/>
  <c r="V22" i="14" s="1"/>
  <c r="W22" i="14" s="1"/>
  <c r="N6" i="14"/>
  <c r="U6" i="14" s="1"/>
  <c r="V6" i="14" s="1"/>
  <c r="W6" i="14" s="1"/>
  <c r="N51" i="14"/>
  <c r="U51" i="14" s="1"/>
  <c r="V51" i="14" s="1"/>
  <c r="O15" i="14"/>
  <c r="N23" i="14"/>
  <c r="U23" i="14" s="1"/>
  <c r="V23" i="14" s="1"/>
  <c r="W23" i="14" s="1"/>
  <c r="L50" i="14"/>
  <c r="L46" i="14"/>
  <c r="M39" i="14"/>
  <c r="L35" i="14"/>
  <c r="L26" i="14"/>
  <c r="M45" i="14"/>
  <c r="M10" i="14"/>
  <c r="M46" i="14"/>
  <c r="M50" i="14"/>
  <c r="L45" i="14"/>
  <c r="N34" i="14"/>
  <c r="U34" i="14" s="1"/>
  <c r="V34" i="14" s="1"/>
  <c r="O37" i="14"/>
  <c r="O24" i="14"/>
  <c r="N30" i="14"/>
  <c r="U30" i="14" s="1"/>
  <c r="V30" i="14" s="1"/>
  <c r="W30" i="14" s="1"/>
  <c r="O41" i="14"/>
  <c r="O17" i="14"/>
  <c r="M38" i="14"/>
  <c r="M27" i="14"/>
  <c r="O19" i="14"/>
  <c r="M35" i="14"/>
  <c r="L42" i="14"/>
  <c r="L38" i="14"/>
  <c r="M25" i="14"/>
  <c r="M42" i="14"/>
  <c r="L32" i="14"/>
  <c r="M32" i="14"/>
  <c r="L27" i="14"/>
  <c r="M26" i="14"/>
  <c r="N2" i="14"/>
  <c r="U2" i="14" s="1"/>
  <c r="V2" i="14" s="1"/>
  <c r="W2" i="14" s="1"/>
  <c r="O7" i="14"/>
  <c r="M9" i="14"/>
  <c r="N11" i="14"/>
  <c r="U11" i="14" s="1"/>
  <c r="V11" i="14" s="1"/>
  <c r="W11" i="14" s="1"/>
  <c r="N21" i="14"/>
  <c r="U21" i="14" s="1"/>
  <c r="V21" i="14" s="1"/>
  <c r="W21" i="14" s="1"/>
  <c r="N12" i="14"/>
  <c r="U12" i="14" s="1"/>
  <c r="V12" i="14" s="1"/>
  <c r="W12" i="14" s="1"/>
  <c r="N13" i="14"/>
  <c r="U13" i="14" s="1"/>
  <c r="V13" i="14" s="1"/>
  <c r="W13" i="14" s="1"/>
  <c r="N3" i="14"/>
  <c r="U3" i="14" s="1"/>
  <c r="V3" i="14" s="1"/>
  <c r="W3" i="14" s="1"/>
  <c r="L39" i="14"/>
  <c r="L14" i="14"/>
  <c r="M14" i="14"/>
  <c r="O6" i="14" l="1"/>
  <c r="O22" i="14"/>
  <c r="N25" i="14"/>
  <c r="U25" i="14" s="1"/>
  <c r="V25" i="14" s="1"/>
  <c r="W25" i="14" s="1"/>
  <c r="N10" i="14"/>
  <c r="U10" i="14" s="1"/>
  <c r="V10" i="14" s="1"/>
  <c r="W10" i="14" s="1"/>
  <c r="N9" i="14"/>
  <c r="U9" i="14" s="1"/>
  <c r="V9" i="14" s="1"/>
  <c r="N26" i="14"/>
  <c r="U26" i="14" s="1"/>
  <c r="V26" i="14" s="1"/>
  <c r="W26" i="14" s="1"/>
  <c r="O51" i="14"/>
  <c r="N45" i="14"/>
  <c r="U45" i="14" s="1"/>
  <c r="V45" i="14" s="1"/>
  <c r="O23" i="14"/>
  <c r="N50" i="14"/>
  <c r="U50" i="14" s="1"/>
  <c r="V50" i="14" s="1"/>
  <c r="N46" i="14"/>
  <c r="U46" i="14" s="1"/>
  <c r="V46" i="14" s="1"/>
  <c r="W46" i="14" s="1"/>
  <c r="N35" i="14"/>
  <c r="U35" i="14" s="1"/>
  <c r="V35" i="14" s="1"/>
  <c r="W35" i="14" s="1"/>
  <c r="O34" i="14"/>
  <c r="N27" i="14"/>
  <c r="U27" i="14" s="1"/>
  <c r="V27" i="14" s="1"/>
  <c r="W27" i="14" s="1"/>
  <c r="O30" i="14"/>
  <c r="N38" i="14"/>
  <c r="U38" i="14" s="1"/>
  <c r="V38" i="14" s="1"/>
  <c r="W38" i="14" s="1"/>
  <c r="N42" i="14"/>
  <c r="U42" i="14" s="1"/>
  <c r="V42" i="14" s="1"/>
  <c r="N32" i="14"/>
  <c r="U32" i="14" s="1"/>
  <c r="V32" i="14" s="1"/>
  <c r="O12" i="14"/>
  <c r="O21" i="14"/>
  <c r="O3" i="14"/>
  <c r="O11" i="14"/>
  <c r="O13" i="14"/>
  <c r="O2" i="14"/>
  <c r="N14" i="14"/>
  <c r="U14" i="14" s="1"/>
  <c r="V14" i="14" s="1"/>
  <c r="W14" i="14" s="1"/>
  <c r="N39" i="14"/>
  <c r="U39" i="14" s="1"/>
  <c r="V39" i="14" s="1"/>
  <c r="O9" i="14" l="1"/>
  <c r="O26" i="14"/>
  <c r="O25" i="14"/>
  <c r="O10" i="14"/>
  <c r="O45" i="14"/>
  <c r="O50" i="14"/>
  <c r="O46" i="14"/>
  <c r="O35" i="14"/>
  <c r="O27" i="14"/>
  <c r="O38" i="14"/>
  <c r="O42" i="14"/>
  <c r="O39" i="14"/>
  <c r="O32" i="14"/>
  <c r="O14" i="14"/>
  <c r="C137" i="2"/>
  <c r="D137" i="2"/>
  <c r="C138" i="2"/>
  <c r="D138" i="2"/>
  <c r="C139" i="2"/>
  <c r="D139" i="2"/>
  <c r="C140" i="2"/>
  <c r="D140" i="2"/>
  <c r="C19" i="2" l="1"/>
  <c r="C3" i="2" l="1"/>
  <c r="C2" i="2" l="1"/>
  <c r="C4" i="2"/>
  <c r="C5" i="2"/>
  <c r="C6" i="2"/>
  <c r="C7" i="2"/>
  <c r="C8" i="2"/>
  <c r="C9" i="2"/>
  <c r="C10" i="2"/>
  <c r="C11" i="2"/>
  <c r="C12" i="2"/>
  <c r="C13" i="2"/>
  <c r="C14" i="2"/>
  <c r="C15" i="2"/>
  <c r="C16" i="2" l="1"/>
  <c r="C17" i="2"/>
  <c r="C18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8" i="2"/>
  <c r="C1879" i="2"/>
  <c r="C1880" i="2"/>
  <c r="C1881" i="2"/>
  <c r="C1882" i="2"/>
  <c r="C1883" i="2"/>
  <c r="C1884" i="2"/>
  <c r="C1885" i="2"/>
  <c r="C1886" i="2"/>
  <c r="C1887" i="2"/>
  <c r="C1888" i="2"/>
  <c r="C1889" i="2"/>
  <c r="C1890" i="2"/>
  <c r="C1891" i="2"/>
  <c r="C1892" i="2"/>
  <c r="C1893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C1906" i="2"/>
  <c r="C1907" i="2"/>
  <c r="C1908" i="2"/>
  <c r="C1909" i="2"/>
  <c r="C1910" i="2"/>
  <c r="C1911" i="2"/>
  <c r="C1912" i="2"/>
  <c r="C1913" i="2"/>
  <c r="C1914" i="2"/>
  <c r="C1915" i="2"/>
  <c r="C1916" i="2"/>
  <c r="C1917" i="2"/>
  <c r="C1918" i="2"/>
  <c r="C1919" i="2"/>
  <c r="C1920" i="2"/>
  <c r="C1921" i="2"/>
  <c r="C1922" i="2"/>
  <c r="C1923" i="2"/>
  <c r="C1924" i="2"/>
  <c r="C1925" i="2"/>
  <c r="C1926" i="2"/>
  <c r="C1927" i="2"/>
  <c r="C1928" i="2"/>
  <c r="C1929" i="2"/>
  <c r="C1930" i="2"/>
  <c r="C1931" i="2"/>
  <c r="C1932" i="2"/>
  <c r="C1933" i="2"/>
  <c r="C1934" i="2"/>
  <c r="C1935" i="2"/>
  <c r="C1936" i="2"/>
  <c r="C1937" i="2"/>
  <c r="C1938" i="2"/>
  <c r="C1939" i="2"/>
  <c r="C1940" i="2"/>
  <c r="C1941" i="2"/>
  <c r="C1942" i="2"/>
  <c r="C1943" i="2"/>
  <c r="C1944" i="2"/>
  <c r="C1945" i="2"/>
  <c r="C1946" i="2"/>
  <c r="C1947" i="2"/>
  <c r="C1948" i="2"/>
  <c r="C1949" i="2"/>
  <c r="C1950" i="2"/>
  <c r="C1951" i="2"/>
  <c r="C1952" i="2"/>
  <c r="C1953" i="2"/>
  <c r="C1954" i="2"/>
  <c r="C1955" i="2"/>
  <c r="C1956" i="2"/>
  <c r="C1957" i="2"/>
  <c r="C1958" i="2"/>
  <c r="C1959" i="2"/>
  <c r="C1960" i="2"/>
  <c r="C1961" i="2"/>
  <c r="C1962" i="2"/>
  <c r="C1963" i="2"/>
  <c r="C1964" i="2"/>
  <c r="C1965" i="2"/>
  <c r="C1966" i="2"/>
  <c r="C1967" i="2"/>
  <c r="C1968" i="2"/>
  <c r="C1969" i="2"/>
  <c r="C1970" i="2"/>
  <c r="C1971" i="2"/>
  <c r="C1972" i="2"/>
  <c r="C1973" i="2"/>
  <c r="C1974" i="2"/>
  <c r="C1975" i="2"/>
  <c r="C1976" i="2"/>
  <c r="C1977" i="2"/>
  <c r="C1978" i="2"/>
  <c r="C1979" i="2"/>
  <c r="C1980" i="2"/>
  <c r="C1981" i="2"/>
  <c r="C1982" i="2"/>
  <c r="C1983" i="2"/>
  <c r="C1984" i="2"/>
  <c r="C1985" i="2"/>
  <c r="C1986" i="2"/>
  <c r="C1987" i="2"/>
  <c r="C1988" i="2"/>
  <c r="C1989" i="2"/>
  <c r="C1990" i="2"/>
  <c r="C1991" i="2"/>
  <c r="C1992" i="2"/>
  <c r="C1993" i="2"/>
  <c r="C1994" i="2"/>
  <c r="C1995" i="2"/>
  <c r="C1996" i="2"/>
  <c r="C1997" i="2"/>
  <c r="C1998" i="2"/>
  <c r="C1999" i="2"/>
  <c r="C2000" i="2"/>
  <c r="C2001" i="2"/>
  <c r="C2002" i="2"/>
  <c r="C2003" i="2"/>
  <c r="C2004" i="2"/>
  <c r="C2005" i="2"/>
  <c r="C2006" i="2"/>
  <c r="C2007" i="2"/>
  <c r="C2008" i="2"/>
  <c r="C2009" i="2"/>
  <c r="C2010" i="2"/>
  <c r="C2011" i="2"/>
  <c r="C2012" i="2"/>
  <c r="C2013" i="2"/>
  <c r="C2014" i="2"/>
  <c r="C2015" i="2"/>
  <c r="C2016" i="2"/>
  <c r="C2017" i="2"/>
  <c r="C2018" i="2"/>
  <c r="C2019" i="2"/>
  <c r="C2020" i="2"/>
  <c r="C2021" i="2"/>
  <c r="C2022" i="2"/>
  <c r="C2023" i="2"/>
  <c r="C2024" i="2"/>
  <c r="C2025" i="2"/>
  <c r="C2026" i="2"/>
  <c r="C2027" i="2"/>
  <c r="C2028" i="2"/>
  <c r="C2029" i="2"/>
  <c r="C2030" i="2"/>
  <c r="C2031" i="2"/>
  <c r="C2032" i="2"/>
  <c r="C2033" i="2"/>
  <c r="C2034" i="2"/>
  <c r="C2035" i="2"/>
  <c r="C2036" i="2"/>
  <c r="C2037" i="2"/>
  <c r="C2038" i="2"/>
  <c r="C2039" i="2"/>
  <c r="C2040" i="2"/>
  <c r="C2041" i="2"/>
  <c r="C2042" i="2"/>
  <c r="C2043" i="2"/>
  <c r="C2044" i="2"/>
  <c r="C2045" i="2"/>
  <c r="C2046" i="2"/>
  <c r="C2047" i="2"/>
  <c r="C2048" i="2"/>
  <c r="C2049" i="2"/>
  <c r="C2050" i="2"/>
  <c r="C2051" i="2"/>
  <c r="C2052" i="2"/>
  <c r="C2053" i="2"/>
  <c r="C2054" i="2"/>
  <c r="C2055" i="2"/>
  <c r="C2056" i="2"/>
  <c r="C2057" i="2"/>
  <c r="C2058" i="2"/>
  <c r="C2059" i="2"/>
  <c r="C2060" i="2"/>
  <c r="C2061" i="2"/>
  <c r="C2062" i="2"/>
  <c r="C2063" i="2"/>
  <c r="C2064" i="2"/>
  <c r="C2065" i="2"/>
  <c r="C2066" i="2"/>
  <c r="C2067" i="2"/>
  <c r="C2068" i="2"/>
  <c r="C2069" i="2"/>
  <c r="C2070" i="2"/>
  <c r="C2071" i="2"/>
  <c r="C2072" i="2"/>
  <c r="C2073" i="2"/>
  <c r="C2074" i="2"/>
  <c r="C2075" i="2"/>
  <c r="C2076" i="2"/>
  <c r="C2077" i="2"/>
  <c r="C2078" i="2"/>
  <c r="C2079" i="2"/>
  <c r="C2080" i="2"/>
  <c r="C2081" i="2"/>
  <c r="C2082" i="2"/>
  <c r="C2083" i="2"/>
  <c r="C2084" i="2"/>
  <c r="C2085" i="2"/>
  <c r="C2086" i="2"/>
  <c r="C2087" i="2"/>
  <c r="C2088" i="2"/>
  <c r="C2089" i="2"/>
  <c r="C2090" i="2"/>
  <c r="C2091" i="2"/>
  <c r="C2092" i="2"/>
  <c r="C2093" i="2"/>
  <c r="C2094" i="2"/>
  <c r="C2095" i="2"/>
  <c r="C2096" i="2"/>
  <c r="C2097" i="2"/>
  <c r="C2098" i="2"/>
  <c r="C2099" i="2"/>
  <c r="C2100" i="2"/>
  <c r="C2101" i="2"/>
  <c r="C2102" i="2"/>
  <c r="C2103" i="2"/>
  <c r="C2104" i="2"/>
  <c r="C2105" i="2"/>
  <c r="C2106" i="2"/>
  <c r="C2107" i="2"/>
  <c r="C2108" i="2"/>
  <c r="C2109" i="2"/>
  <c r="C2110" i="2"/>
  <c r="C2111" i="2"/>
  <c r="C2112" i="2"/>
  <c r="C2113" i="2"/>
  <c r="C2114" i="2"/>
  <c r="C2115" i="2"/>
  <c r="C2116" i="2"/>
  <c r="C2117" i="2"/>
  <c r="C2118" i="2"/>
  <c r="C2119" i="2"/>
  <c r="C2120" i="2"/>
  <c r="C2121" i="2"/>
  <c r="C2122" i="2"/>
  <c r="C2123" i="2"/>
  <c r="C2124" i="2"/>
  <c r="C2125" i="2"/>
  <c r="C2126" i="2"/>
  <c r="C2127" i="2"/>
  <c r="C2128" i="2"/>
  <c r="C2129" i="2"/>
  <c r="C2130" i="2"/>
  <c r="C2131" i="2"/>
  <c r="C2132" i="2"/>
  <c r="C2133" i="2"/>
  <c r="C2134" i="2"/>
  <c r="C2135" i="2"/>
  <c r="C2136" i="2"/>
  <c r="C2137" i="2"/>
  <c r="C2138" i="2"/>
  <c r="C2139" i="2"/>
  <c r="C2140" i="2"/>
  <c r="C2141" i="2"/>
  <c r="C2142" i="2"/>
  <c r="C2143" i="2"/>
  <c r="C2144" i="2"/>
  <c r="C2145" i="2"/>
  <c r="C2146" i="2"/>
  <c r="C2147" i="2"/>
  <c r="C2148" i="2"/>
  <c r="C2149" i="2"/>
  <c r="C2150" i="2"/>
  <c r="C2151" i="2"/>
  <c r="C2152" i="2"/>
  <c r="C2153" i="2"/>
  <c r="C2154" i="2"/>
  <c r="C2155" i="2"/>
  <c r="C2156" i="2"/>
  <c r="C2157" i="2"/>
  <c r="C2158" i="2"/>
  <c r="C2159" i="2"/>
  <c r="C2160" i="2"/>
  <c r="C2161" i="2"/>
  <c r="C2162" i="2"/>
  <c r="C2163" i="2"/>
  <c r="C2164" i="2"/>
  <c r="C2165" i="2"/>
  <c r="C2166" i="2"/>
  <c r="C2167" i="2"/>
  <c r="C2168" i="2"/>
  <c r="C2169" i="2"/>
  <c r="C2170" i="2"/>
  <c r="C2171" i="2"/>
  <c r="C2172" i="2"/>
  <c r="C2173" i="2"/>
  <c r="C2174" i="2"/>
  <c r="C2175" i="2"/>
  <c r="C2176" i="2"/>
  <c r="C2177" i="2"/>
  <c r="C2178" i="2"/>
  <c r="C2179" i="2"/>
  <c r="C2180" i="2"/>
  <c r="C2181" i="2"/>
  <c r="C2182" i="2"/>
  <c r="C2183" i="2"/>
  <c r="C2184" i="2"/>
  <c r="C2185" i="2"/>
  <c r="C2186" i="2"/>
  <c r="C2187" i="2"/>
  <c r="C2188" i="2"/>
  <c r="C2189" i="2"/>
  <c r="C2190" i="2"/>
  <c r="C2191" i="2"/>
  <c r="C2192" i="2"/>
  <c r="C2193" i="2"/>
  <c r="C2194" i="2"/>
  <c r="C2195" i="2"/>
  <c r="C2196" i="2"/>
  <c r="C2197" i="2"/>
  <c r="C2198" i="2"/>
  <c r="C2199" i="2"/>
  <c r="C2200" i="2"/>
  <c r="C2201" i="2"/>
  <c r="C2202" i="2"/>
  <c r="C2203" i="2"/>
  <c r="C2204" i="2"/>
  <c r="C2205" i="2"/>
  <c r="C2206" i="2"/>
  <c r="C2207" i="2"/>
  <c r="C2208" i="2"/>
  <c r="C2209" i="2"/>
  <c r="C2210" i="2"/>
  <c r="C2211" i="2"/>
  <c r="C2212" i="2"/>
  <c r="C2213" i="2"/>
  <c r="C2214" i="2"/>
  <c r="C2215" i="2"/>
  <c r="C2216" i="2"/>
  <c r="C2217" i="2"/>
  <c r="C2218" i="2"/>
  <c r="C2219" i="2"/>
  <c r="C2220" i="2"/>
  <c r="C2221" i="2"/>
  <c r="C2222" i="2"/>
  <c r="C2223" i="2"/>
  <c r="C2224" i="2"/>
  <c r="C2225" i="2"/>
  <c r="C2226" i="2"/>
  <c r="C2227" i="2"/>
  <c r="C2228" i="2"/>
  <c r="C2229" i="2"/>
  <c r="C2230" i="2"/>
  <c r="C2231" i="2"/>
  <c r="C2232" i="2"/>
  <c r="C2233" i="2"/>
  <c r="C2234" i="2"/>
  <c r="C2235" i="2"/>
  <c r="C2236" i="2"/>
  <c r="C2237" i="2"/>
  <c r="C2238" i="2"/>
  <c r="C2239" i="2"/>
  <c r="C2240" i="2"/>
  <c r="C2241" i="2"/>
  <c r="C2242" i="2"/>
  <c r="C2243" i="2"/>
  <c r="C2244" i="2"/>
  <c r="C2245" i="2"/>
  <c r="C2246" i="2"/>
  <c r="C2247" i="2"/>
  <c r="C2248" i="2"/>
  <c r="C2249" i="2"/>
  <c r="C2250" i="2"/>
  <c r="C2251" i="2"/>
  <c r="C2252" i="2"/>
  <c r="C2253" i="2"/>
  <c r="C2254" i="2"/>
  <c r="C2255" i="2"/>
  <c r="C2256" i="2"/>
  <c r="C2257" i="2"/>
  <c r="C2258" i="2"/>
  <c r="C2259" i="2"/>
  <c r="C2260" i="2"/>
  <c r="C2261" i="2"/>
  <c r="C2262" i="2"/>
  <c r="C2263" i="2"/>
  <c r="C2264" i="2"/>
  <c r="C2265" i="2"/>
  <c r="C2266" i="2"/>
  <c r="C2267" i="2"/>
  <c r="C2268" i="2"/>
  <c r="C2269" i="2"/>
  <c r="C2270" i="2"/>
  <c r="C2271" i="2"/>
  <c r="C2272" i="2"/>
  <c r="C2273" i="2"/>
  <c r="C2274" i="2"/>
  <c r="C2275" i="2"/>
  <c r="C2276" i="2"/>
  <c r="C2277" i="2"/>
  <c r="C2278" i="2"/>
  <c r="C2279" i="2"/>
  <c r="C2280" i="2"/>
  <c r="C2281" i="2"/>
  <c r="C2282" i="2"/>
  <c r="C2283" i="2"/>
  <c r="C2284" i="2"/>
  <c r="C2285" i="2"/>
  <c r="C2286" i="2"/>
  <c r="C2287" i="2"/>
  <c r="C2288" i="2"/>
  <c r="C2289" i="2"/>
  <c r="C2290" i="2"/>
  <c r="C2291" i="2"/>
  <c r="C2292" i="2"/>
  <c r="C2293" i="2"/>
  <c r="C2294" i="2"/>
  <c r="C2295" i="2"/>
  <c r="C2296" i="2"/>
  <c r="C2297" i="2"/>
  <c r="C2298" i="2"/>
  <c r="C2299" i="2"/>
  <c r="C2300" i="2"/>
  <c r="C2301" i="2"/>
  <c r="C2302" i="2"/>
  <c r="C2303" i="2"/>
  <c r="C2304" i="2"/>
  <c r="C2305" i="2"/>
  <c r="C2306" i="2"/>
  <c r="C2307" i="2"/>
  <c r="C2308" i="2"/>
  <c r="C2309" i="2"/>
  <c r="C2310" i="2"/>
  <c r="C2311" i="2"/>
  <c r="C2312" i="2"/>
  <c r="C2313" i="2"/>
  <c r="C2314" i="2"/>
  <c r="C2315" i="2"/>
  <c r="C2316" i="2"/>
  <c r="C2317" i="2"/>
  <c r="C2318" i="2"/>
  <c r="C2319" i="2"/>
  <c r="C2320" i="2"/>
  <c r="C2321" i="2"/>
  <c r="C2322" i="2"/>
  <c r="C2323" i="2"/>
  <c r="C2324" i="2"/>
  <c r="C2325" i="2"/>
  <c r="C2326" i="2"/>
  <c r="C2327" i="2"/>
  <c r="C2328" i="2"/>
  <c r="C2329" i="2"/>
  <c r="C2330" i="2"/>
  <c r="C2331" i="2"/>
  <c r="C2332" i="2"/>
  <c r="C2333" i="2"/>
  <c r="C2334" i="2"/>
  <c r="C2335" i="2"/>
  <c r="C2336" i="2"/>
  <c r="C2337" i="2"/>
  <c r="C2338" i="2"/>
  <c r="C2339" i="2"/>
  <c r="C2340" i="2"/>
  <c r="C2341" i="2"/>
  <c r="C2342" i="2"/>
  <c r="C2343" i="2"/>
  <c r="C2344" i="2"/>
  <c r="C2345" i="2"/>
  <c r="C2346" i="2"/>
  <c r="C2347" i="2"/>
  <c r="C2348" i="2"/>
  <c r="C2349" i="2"/>
  <c r="C2350" i="2"/>
  <c r="C2351" i="2"/>
  <c r="C2352" i="2"/>
  <c r="C2353" i="2"/>
  <c r="C2354" i="2"/>
  <c r="C2355" i="2"/>
  <c r="C2356" i="2"/>
  <c r="C2357" i="2"/>
  <c r="C2358" i="2"/>
  <c r="C2359" i="2"/>
  <c r="C2360" i="2"/>
  <c r="C2361" i="2"/>
  <c r="C2362" i="2"/>
  <c r="C2363" i="2"/>
  <c r="C2364" i="2"/>
  <c r="C2365" i="2"/>
  <c r="C2366" i="2"/>
  <c r="C2367" i="2"/>
  <c r="C2368" i="2"/>
  <c r="C2369" i="2"/>
  <c r="C2370" i="2"/>
  <c r="C2371" i="2"/>
  <c r="C2372" i="2"/>
  <c r="C2373" i="2"/>
  <c r="C2374" i="2"/>
  <c r="C2375" i="2"/>
  <c r="C2376" i="2"/>
  <c r="C2377" i="2"/>
  <c r="C2378" i="2"/>
  <c r="C2379" i="2"/>
  <c r="C2380" i="2"/>
  <c r="C2381" i="2"/>
  <c r="C2382" i="2"/>
  <c r="C2383" i="2"/>
  <c r="C2384" i="2"/>
  <c r="C2385" i="2"/>
  <c r="C2386" i="2"/>
  <c r="C2387" i="2"/>
  <c r="C2388" i="2"/>
  <c r="C2389" i="2"/>
  <c r="C2390" i="2"/>
  <c r="C2391" i="2"/>
  <c r="C2392" i="2"/>
  <c r="C2393" i="2"/>
  <c r="C2394" i="2"/>
  <c r="C2395" i="2"/>
  <c r="C2396" i="2"/>
  <c r="C2397" i="2"/>
  <c r="C2398" i="2"/>
  <c r="C2399" i="2"/>
  <c r="C2400" i="2"/>
  <c r="C2401" i="2"/>
  <c r="C2402" i="2"/>
  <c r="C2403" i="2"/>
  <c r="C2404" i="2"/>
  <c r="C2405" i="2"/>
  <c r="C2406" i="2"/>
  <c r="C2407" i="2"/>
  <c r="C2408" i="2"/>
  <c r="C2409" i="2"/>
  <c r="C2410" i="2"/>
  <c r="C2411" i="2"/>
  <c r="C2412" i="2"/>
  <c r="C2413" i="2"/>
  <c r="C2414" i="2"/>
  <c r="C2415" i="2"/>
  <c r="C2416" i="2"/>
  <c r="C2417" i="2"/>
  <c r="C2418" i="2"/>
  <c r="C2419" i="2"/>
  <c r="C2420" i="2"/>
  <c r="C2421" i="2"/>
  <c r="C2422" i="2"/>
  <c r="C2423" i="2"/>
  <c r="C2424" i="2"/>
  <c r="C2425" i="2"/>
  <c r="C2426" i="2"/>
  <c r="C2427" i="2"/>
  <c r="C2428" i="2"/>
  <c r="C2429" i="2"/>
  <c r="C2430" i="2"/>
  <c r="C2431" i="2"/>
  <c r="C2432" i="2"/>
  <c r="C2433" i="2"/>
  <c r="C2434" i="2"/>
  <c r="C2435" i="2"/>
  <c r="C2436" i="2"/>
  <c r="C2437" i="2"/>
  <c r="C2438" i="2"/>
  <c r="C2439" i="2"/>
  <c r="C2440" i="2"/>
  <c r="C2441" i="2"/>
  <c r="C2442" i="2"/>
  <c r="C2443" i="2"/>
  <c r="C2444" i="2"/>
  <c r="C2445" i="2"/>
  <c r="C2446" i="2"/>
  <c r="C2447" i="2"/>
  <c r="C2448" i="2"/>
  <c r="C2449" i="2"/>
  <c r="C2450" i="2"/>
  <c r="C2451" i="2"/>
  <c r="C2452" i="2"/>
  <c r="C2453" i="2"/>
  <c r="C2454" i="2"/>
  <c r="C2455" i="2"/>
  <c r="C2456" i="2"/>
  <c r="C2457" i="2"/>
  <c r="C2458" i="2"/>
  <c r="C2459" i="2"/>
  <c r="C2460" i="2"/>
  <c r="C2461" i="2"/>
  <c r="C2462" i="2"/>
  <c r="C2463" i="2"/>
  <c r="C2464" i="2"/>
  <c r="C2465" i="2"/>
  <c r="C2466" i="2"/>
  <c r="C2467" i="2"/>
  <c r="C2468" i="2"/>
  <c r="C2469" i="2"/>
  <c r="C2470" i="2"/>
  <c r="C2471" i="2"/>
  <c r="C2472" i="2"/>
  <c r="C2473" i="2"/>
  <c r="C2474" i="2"/>
  <c r="C2475" i="2"/>
  <c r="C2476" i="2"/>
  <c r="C2477" i="2"/>
  <c r="C2478" i="2"/>
  <c r="C2479" i="2"/>
  <c r="C2480" i="2"/>
  <c r="C2481" i="2"/>
  <c r="C2482" i="2"/>
  <c r="C2483" i="2"/>
  <c r="C2484" i="2"/>
  <c r="C2485" i="2"/>
  <c r="C2486" i="2"/>
  <c r="C2487" i="2"/>
  <c r="C2488" i="2"/>
  <c r="C2489" i="2"/>
  <c r="C2490" i="2"/>
  <c r="C2491" i="2"/>
  <c r="C2492" i="2"/>
  <c r="C2493" i="2"/>
  <c r="C2494" i="2"/>
  <c r="C2495" i="2"/>
  <c r="C2496" i="2"/>
  <c r="C2497" i="2"/>
  <c r="C2498" i="2"/>
  <c r="C2499" i="2"/>
  <c r="C2500" i="2"/>
  <c r="C2501" i="2"/>
  <c r="C2502" i="2"/>
  <c r="C2503" i="2"/>
  <c r="C2504" i="2"/>
  <c r="C2505" i="2"/>
  <c r="C2506" i="2"/>
  <c r="C2507" i="2"/>
  <c r="C2508" i="2"/>
  <c r="C2509" i="2"/>
  <c r="C2510" i="2"/>
  <c r="C2511" i="2"/>
  <c r="C2512" i="2"/>
  <c r="C2513" i="2"/>
  <c r="C2514" i="2"/>
  <c r="C2515" i="2"/>
  <c r="C2516" i="2"/>
  <c r="C2517" i="2"/>
  <c r="C2518" i="2"/>
  <c r="C2519" i="2"/>
  <c r="C2520" i="2"/>
  <c r="C2521" i="2"/>
  <c r="C2522" i="2"/>
  <c r="C2523" i="2"/>
  <c r="C2524" i="2"/>
  <c r="C2525" i="2"/>
  <c r="C2526" i="2"/>
  <c r="C2527" i="2"/>
  <c r="C2528" i="2"/>
  <c r="C2529" i="2"/>
  <c r="C2530" i="2"/>
  <c r="C2531" i="2"/>
  <c r="C2532" i="2"/>
  <c r="C2533" i="2"/>
  <c r="C2534" i="2"/>
  <c r="C2535" i="2"/>
  <c r="C2536" i="2"/>
  <c r="C2537" i="2"/>
  <c r="C2538" i="2"/>
  <c r="C2539" i="2"/>
  <c r="C2540" i="2"/>
  <c r="C2541" i="2"/>
  <c r="C2542" i="2"/>
  <c r="C2543" i="2"/>
  <c r="C2544" i="2"/>
  <c r="C2545" i="2"/>
  <c r="C2546" i="2"/>
  <c r="C2547" i="2"/>
  <c r="C2548" i="2"/>
  <c r="C2549" i="2"/>
  <c r="C2550" i="2"/>
  <c r="C2551" i="2"/>
  <c r="C2552" i="2"/>
  <c r="C2553" i="2"/>
  <c r="C2554" i="2"/>
  <c r="C2555" i="2"/>
  <c r="C2556" i="2"/>
  <c r="C2557" i="2"/>
  <c r="C2558" i="2"/>
  <c r="C2559" i="2"/>
  <c r="C2560" i="2"/>
  <c r="C2561" i="2"/>
  <c r="C2562" i="2"/>
  <c r="C2563" i="2"/>
  <c r="C2564" i="2"/>
  <c r="C2565" i="2"/>
  <c r="C2566" i="2"/>
  <c r="C2567" i="2"/>
  <c r="C2568" i="2"/>
  <c r="C2569" i="2"/>
  <c r="C2570" i="2"/>
  <c r="C2571" i="2"/>
  <c r="C2572" i="2"/>
  <c r="C2573" i="2"/>
  <c r="C2574" i="2"/>
  <c r="C2575" i="2"/>
  <c r="C2576" i="2"/>
  <c r="C2577" i="2"/>
  <c r="C2578" i="2"/>
  <c r="C2579" i="2"/>
  <c r="C2580" i="2"/>
  <c r="C2581" i="2"/>
  <c r="C2582" i="2"/>
  <c r="C2583" i="2"/>
  <c r="C2584" i="2"/>
  <c r="C2585" i="2"/>
  <c r="C2586" i="2"/>
  <c r="C2587" i="2"/>
  <c r="C2588" i="2"/>
  <c r="C2589" i="2"/>
  <c r="C2590" i="2"/>
  <c r="C2591" i="2"/>
  <c r="C2592" i="2"/>
  <c r="C2593" i="2"/>
  <c r="C2594" i="2"/>
  <c r="C2595" i="2"/>
  <c r="C2596" i="2"/>
  <c r="C2597" i="2"/>
  <c r="C2598" i="2"/>
  <c r="C2599" i="2"/>
  <c r="C2600" i="2"/>
  <c r="C2601" i="2"/>
  <c r="C2602" i="2"/>
  <c r="C2603" i="2"/>
  <c r="C2604" i="2"/>
  <c r="C2605" i="2"/>
  <c r="C2606" i="2"/>
  <c r="C2607" i="2"/>
  <c r="C2608" i="2"/>
  <c r="C2609" i="2"/>
  <c r="C2610" i="2"/>
  <c r="C2611" i="2"/>
  <c r="C2612" i="2"/>
  <c r="C2613" i="2"/>
  <c r="C2614" i="2"/>
  <c r="C2615" i="2"/>
  <c r="C2616" i="2"/>
  <c r="C2617" i="2"/>
  <c r="C2618" i="2"/>
  <c r="C2619" i="2"/>
  <c r="C2620" i="2"/>
  <c r="C2621" i="2"/>
  <c r="C2622" i="2"/>
  <c r="C2623" i="2"/>
  <c r="C2624" i="2"/>
  <c r="C2625" i="2"/>
  <c r="C2626" i="2"/>
  <c r="C2627" i="2"/>
  <c r="C2628" i="2"/>
  <c r="C2629" i="2"/>
  <c r="C2630" i="2"/>
  <c r="C2631" i="2"/>
  <c r="C2632" i="2"/>
  <c r="C2633" i="2"/>
  <c r="C2634" i="2"/>
  <c r="C2635" i="2"/>
  <c r="C2636" i="2"/>
  <c r="C2637" i="2"/>
  <c r="C2638" i="2"/>
  <c r="C2639" i="2"/>
  <c r="C2640" i="2"/>
  <c r="C2641" i="2"/>
  <c r="C2642" i="2"/>
  <c r="C2643" i="2"/>
  <c r="C2644" i="2"/>
  <c r="C2645" i="2"/>
  <c r="C2646" i="2"/>
  <c r="C2647" i="2"/>
  <c r="C2648" i="2"/>
  <c r="C2649" i="2"/>
  <c r="C2650" i="2"/>
  <c r="C2651" i="2"/>
  <c r="C2652" i="2"/>
  <c r="C2653" i="2"/>
  <c r="C2654" i="2"/>
  <c r="C2655" i="2"/>
  <c r="C2656" i="2"/>
  <c r="C2657" i="2"/>
  <c r="C2658" i="2"/>
  <c r="C2659" i="2"/>
  <c r="C2660" i="2"/>
  <c r="C2661" i="2"/>
  <c r="C2662" i="2"/>
  <c r="C2663" i="2"/>
  <c r="C2664" i="2"/>
  <c r="C2665" i="2"/>
  <c r="C2666" i="2"/>
  <c r="C2667" i="2"/>
  <c r="C2668" i="2"/>
  <c r="C2669" i="2"/>
  <c r="C2670" i="2"/>
  <c r="C2671" i="2"/>
  <c r="C2672" i="2"/>
  <c r="C2673" i="2"/>
  <c r="C2674" i="2"/>
  <c r="C2675" i="2"/>
  <c r="C2676" i="2"/>
  <c r="C2677" i="2"/>
  <c r="C2678" i="2"/>
  <c r="C2679" i="2"/>
  <c r="C2680" i="2"/>
  <c r="C2681" i="2"/>
  <c r="C2682" i="2"/>
  <c r="C2683" i="2"/>
  <c r="C2684" i="2"/>
  <c r="C2685" i="2"/>
  <c r="C2686" i="2"/>
  <c r="C2687" i="2"/>
  <c r="C2688" i="2"/>
  <c r="C2689" i="2"/>
  <c r="C2690" i="2"/>
  <c r="C2691" i="2"/>
  <c r="C2692" i="2"/>
  <c r="C2693" i="2"/>
  <c r="C2694" i="2"/>
  <c r="C2695" i="2"/>
  <c r="C2696" i="2"/>
  <c r="C2697" i="2"/>
  <c r="C2698" i="2"/>
  <c r="C2699" i="2"/>
  <c r="C2700" i="2"/>
  <c r="C2701" i="2"/>
  <c r="C2702" i="2"/>
  <c r="C2703" i="2"/>
  <c r="C2704" i="2"/>
  <c r="C2705" i="2"/>
  <c r="C2706" i="2"/>
  <c r="C2707" i="2"/>
  <c r="C2708" i="2"/>
  <c r="C2709" i="2"/>
  <c r="C2710" i="2"/>
  <c r="C2711" i="2"/>
  <c r="C2712" i="2"/>
  <c r="C2713" i="2"/>
  <c r="C2714" i="2"/>
  <c r="C2715" i="2"/>
  <c r="C2716" i="2"/>
  <c r="C2717" i="2"/>
  <c r="C2718" i="2"/>
  <c r="C2719" i="2"/>
  <c r="C2720" i="2"/>
  <c r="C2721" i="2"/>
  <c r="C2722" i="2"/>
  <c r="C2723" i="2"/>
  <c r="C2724" i="2"/>
  <c r="C2725" i="2"/>
  <c r="C2726" i="2"/>
  <c r="C2727" i="2"/>
  <c r="C2728" i="2"/>
  <c r="C2729" i="2"/>
  <c r="C2730" i="2"/>
  <c r="C2731" i="2"/>
  <c r="C2732" i="2"/>
  <c r="C2733" i="2"/>
  <c r="C2734" i="2"/>
  <c r="C2735" i="2"/>
  <c r="C2736" i="2"/>
  <c r="C2737" i="2"/>
  <c r="C2738" i="2"/>
  <c r="C2739" i="2"/>
  <c r="C2740" i="2"/>
  <c r="C2741" i="2"/>
  <c r="C2742" i="2"/>
  <c r="C2743" i="2"/>
  <c r="C2744" i="2"/>
  <c r="C2745" i="2"/>
  <c r="C2746" i="2"/>
  <c r="C2747" i="2"/>
  <c r="C2748" i="2"/>
  <c r="C2749" i="2"/>
  <c r="C2750" i="2"/>
  <c r="C2751" i="2"/>
  <c r="C2752" i="2"/>
  <c r="C2753" i="2"/>
  <c r="C2754" i="2"/>
  <c r="C2755" i="2"/>
  <c r="C2756" i="2"/>
  <c r="C2757" i="2"/>
  <c r="C2758" i="2"/>
  <c r="C2759" i="2"/>
  <c r="C2760" i="2"/>
  <c r="C2761" i="2"/>
  <c r="C2762" i="2"/>
  <c r="C2763" i="2"/>
  <c r="C2764" i="2"/>
  <c r="C2765" i="2"/>
  <c r="C2766" i="2"/>
  <c r="C2767" i="2"/>
  <c r="C2768" i="2"/>
  <c r="C2769" i="2"/>
  <c r="C2770" i="2"/>
  <c r="C2771" i="2"/>
  <c r="C2772" i="2"/>
  <c r="C2773" i="2"/>
  <c r="C2774" i="2"/>
  <c r="C2775" i="2"/>
  <c r="C2776" i="2"/>
  <c r="C2777" i="2"/>
  <c r="C2778" i="2"/>
  <c r="C2779" i="2"/>
  <c r="C2780" i="2"/>
  <c r="C2781" i="2"/>
  <c r="C2782" i="2"/>
  <c r="C2783" i="2"/>
  <c r="C2784" i="2"/>
  <c r="C2785" i="2"/>
  <c r="C2786" i="2"/>
  <c r="C2787" i="2"/>
  <c r="C2788" i="2"/>
  <c r="C2789" i="2"/>
  <c r="C2790" i="2"/>
  <c r="C2791" i="2"/>
  <c r="C2792" i="2"/>
  <c r="C2793" i="2"/>
  <c r="C2794" i="2"/>
  <c r="C2795" i="2"/>
  <c r="C2796" i="2"/>
  <c r="C2797" i="2"/>
  <c r="C2798" i="2"/>
  <c r="C2799" i="2"/>
  <c r="C2800" i="2"/>
  <c r="C2801" i="2"/>
  <c r="C2802" i="2"/>
  <c r="C2803" i="2"/>
  <c r="C2804" i="2"/>
  <c r="C2805" i="2"/>
  <c r="C2806" i="2"/>
  <c r="C2807" i="2"/>
  <c r="C2808" i="2"/>
  <c r="C2809" i="2"/>
  <c r="C2810" i="2"/>
  <c r="C2811" i="2"/>
  <c r="C2812" i="2"/>
  <c r="C2813" i="2"/>
  <c r="C2814" i="2"/>
  <c r="C2815" i="2"/>
  <c r="C2816" i="2"/>
  <c r="C2817" i="2"/>
  <c r="C2818" i="2"/>
  <c r="C2819" i="2"/>
  <c r="C2820" i="2"/>
  <c r="C2821" i="2"/>
  <c r="C2822" i="2"/>
  <c r="C2823" i="2"/>
  <c r="C2824" i="2"/>
  <c r="C2825" i="2"/>
  <c r="C2826" i="2"/>
  <c r="C2827" i="2"/>
  <c r="C2828" i="2"/>
  <c r="C2829" i="2"/>
  <c r="C2830" i="2"/>
  <c r="C2831" i="2"/>
  <c r="C2832" i="2"/>
  <c r="C2833" i="2"/>
  <c r="C2834" i="2"/>
  <c r="C2835" i="2"/>
  <c r="C2836" i="2"/>
  <c r="C2837" i="2"/>
  <c r="C2838" i="2"/>
  <c r="C2839" i="2"/>
  <c r="C2840" i="2"/>
  <c r="C2841" i="2"/>
  <c r="C2842" i="2"/>
  <c r="C2843" i="2"/>
  <c r="C2844" i="2"/>
  <c r="C2845" i="2"/>
  <c r="C2846" i="2"/>
  <c r="C2847" i="2"/>
  <c r="C2848" i="2"/>
  <c r="C2849" i="2"/>
  <c r="C2850" i="2"/>
  <c r="C2851" i="2"/>
  <c r="C2852" i="2"/>
  <c r="C2853" i="2"/>
  <c r="C2854" i="2"/>
  <c r="C2855" i="2"/>
  <c r="C2856" i="2"/>
  <c r="C2857" i="2"/>
  <c r="C2858" i="2"/>
  <c r="C2859" i="2"/>
  <c r="C2860" i="2"/>
  <c r="C2861" i="2"/>
  <c r="C2862" i="2"/>
  <c r="C2863" i="2"/>
  <c r="C2864" i="2"/>
  <c r="C2865" i="2"/>
  <c r="C2866" i="2"/>
  <c r="C2867" i="2"/>
  <c r="C2868" i="2"/>
  <c r="C2869" i="2"/>
  <c r="C2870" i="2"/>
  <c r="C2871" i="2"/>
  <c r="C2872" i="2"/>
  <c r="C2873" i="2"/>
  <c r="C2874" i="2"/>
  <c r="C2875" i="2"/>
  <c r="C2876" i="2"/>
  <c r="C2877" i="2"/>
  <c r="C2878" i="2"/>
  <c r="C2879" i="2"/>
  <c r="C2880" i="2"/>
  <c r="C2881" i="2"/>
  <c r="C2882" i="2"/>
  <c r="C2883" i="2"/>
  <c r="C2884" i="2"/>
  <c r="C2885" i="2"/>
  <c r="C2886" i="2"/>
  <c r="C2887" i="2"/>
  <c r="C2888" i="2"/>
  <c r="C2889" i="2"/>
  <c r="C2890" i="2"/>
  <c r="C2891" i="2"/>
  <c r="C2892" i="2"/>
  <c r="C2893" i="2"/>
  <c r="C2894" i="2"/>
  <c r="C2895" i="2"/>
  <c r="C2896" i="2"/>
  <c r="C2897" i="2"/>
  <c r="C2898" i="2"/>
  <c r="C2899" i="2"/>
  <c r="C2900" i="2"/>
  <c r="C2901" i="2"/>
  <c r="C2902" i="2"/>
  <c r="C2903" i="2"/>
  <c r="C2904" i="2"/>
  <c r="C2905" i="2"/>
  <c r="C2906" i="2"/>
  <c r="C2907" i="2"/>
  <c r="C2908" i="2"/>
  <c r="C2909" i="2"/>
  <c r="C2910" i="2"/>
  <c r="C2911" i="2"/>
  <c r="C2912" i="2"/>
  <c r="C2913" i="2"/>
  <c r="C2914" i="2"/>
  <c r="C2915" i="2"/>
  <c r="C2916" i="2"/>
  <c r="C2917" i="2"/>
  <c r="C2918" i="2"/>
  <c r="C2919" i="2"/>
  <c r="C2920" i="2"/>
  <c r="C2921" i="2"/>
  <c r="C2922" i="2"/>
  <c r="C2923" i="2"/>
  <c r="C2924" i="2"/>
  <c r="C2925" i="2"/>
  <c r="C2926" i="2"/>
  <c r="C2927" i="2"/>
  <c r="C2928" i="2"/>
  <c r="C2929" i="2"/>
  <c r="C2930" i="2"/>
  <c r="C2931" i="2"/>
  <c r="C2932" i="2"/>
  <c r="C2933" i="2"/>
  <c r="C2934" i="2"/>
  <c r="C2935" i="2"/>
  <c r="C2936" i="2"/>
  <c r="C2937" i="2"/>
  <c r="C2938" i="2"/>
  <c r="C2939" i="2"/>
  <c r="C2940" i="2"/>
  <c r="C2941" i="2"/>
  <c r="C2942" i="2"/>
  <c r="C2943" i="2"/>
  <c r="C2944" i="2"/>
  <c r="C2945" i="2"/>
  <c r="C2946" i="2"/>
  <c r="C2947" i="2"/>
  <c r="C2948" i="2"/>
  <c r="C2949" i="2"/>
  <c r="C2950" i="2"/>
  <c r="C2951" i="2"/>
  <c r="C2952" i="2"/>
  <c r="C2953" i="2"/>
  <c r="C2954" i="2"/>
  <c r="C2955" i="2"/>
  <c r="C2956" i="2"/>
  <c r="C2957" i="2"/>
  <c r="C2958" i="2"/>
  <c r="C2959" i="2"/>
  <c r="C2960" i="2"/>
  <c r="C2961" i="2"/>
  <c r="C2962" i="2"/>
  <c r="C2963" i="2"/>
  <c r="C2964" i="2"/>
  <c r="C2965" i="2"/>
  <c r="C2966" i="2"/>
  <c r="C2967" i="2"/>
  <c r="C2968" i="2"/>
  <c r="C2969" i="2"/>
  <c r="C2970" i="2"/>
  <c r="C2971" i="2"/>
  <c r="C2972" i="2"/>
  <c r="C2973" i="2"/>
  <c r="C2974" i="2"/>
  <c r="C2975" i="2"/>
  <c r="C2976" i="2"/>
  <c r="C2977" i="2"/>
  <c r="C2978" i="2"/>
  <c r="C2979" i="2"/>
  <c r="C2980" i="2"/>
  <c r="C2981" i="2"/>
  <c r="C2982" i="2"/>
  <c r="C2983" i="2"/>
  <c r="C2984" i="2"/>
  <c r="C2985" i="2"/>
  <c r="C2986" i="2"/>
  <c r="C2987" i="2"/>
  <c r="C2988" i="2"/>
  <c r="C2989" i="2"/>
  <c r="C2990" i="2"/>
  <c r="C2991" i="2"/>
  <c r="C2992" i="2"/>
  <c r="C2993" i="2"/>
  <c r="C2994" i="2"/>
  <c r="C2995" i="2"/>
  <c r="C2996" i="2"/>
  <c r="C2997" i="2"/>
  <c r="C2998" i="2"/>
  <c r="C2999" i="2"/>
  <c r="C3000" i="2"/>
  <c r="C3001" i="2"/>
  <c r="C3002" i="2"/>
  <c r="C3003" i="2"/>
  <c r="C3004" i="2"/>
  <c r="C3005" i="2"/>
  <c r="C3006" i="2"/>
  <c r="C3007" i="2"/>
  <c r="C3008" i="2"/>
  <c r="C3009" i="2"/>
  <c r="C3010" i="2"/>
  <c r="C3011" i="2"/>
  <c r="C3012" i="2"/>
  <c r="C3013" i="2"/>
  <c r="C3014" i="2"/>
  <c r="C3015" i="2"/>
  <c r="C3016" i="2"/>
  <c r="C3017" i="2"/>
  <c r="C3018" i="2"/>
  <c r="C3019" i="2"/>
  <c r="C3020" i="2"/>
  <c r="C3021" i="2"/>
  <c r="C3022" i="2"/>
  <c r="C3023" i="2"/>
  <c r="C3024" i="2"/>
  <c r="C3025" i="2"/>
  <c r="C3026" i="2"/>
  <c r="C3027" i="2"/>
  <c r="C3028" i="2"/>
  <c r="C3029" i="2"/>
  <c r="C3030" i="2"/>
  <c r="C3031" i="2"/>
  <c r="C3032" i="2"/>
  <c r="C3033" i="2"/>
  <c r="C3034" i="2"/>
  <c r="C3035" i="2"/>
  <c r="C3036" i="2"/>
  <c r="C3037" i="2"/>
  <c r="C3038" i="2"/>
  <c r="C3039" i="2"/>
  <c r="C3040" i="2"/>
  <c r="C3041" i="2"/>
  <c r="C3042" i="2"/>
  <c r="C3043" i="2"/>
  <c r="C3044" i="2"/>
  <c r="C3045" i="2"/>
  <c r="C3046" i="2"/>
  <c r="C3047" i="2"/>
  <c r="C3048" i="2"/>
  <c r="C3049" i="2"/>
  <c r="C3050" i="2"/>
  <c r="C3051" i="2"/>
  <c r="C3052" i="2"/>
  <c r="C3053" i="2"/>
  <c r="C3054" i="2"/>
  <c r="C3055" i="2"/>
  <c r="C3056" i="2"/>
  <c r="C3057" i="2"/>
  <c r="C3058" i="2"/>
  <c r="C3059" i="2"/>
  <c r="C3060" i="2"/>
  <c r="C3061" i="2"/>
  <c r="C3062" i="2"/>
  <c r="C3063" i="2"/>
  <c r="C3064" i="2"/>
  <c r="C3065" i="2"/>
  <c r="C3066" i="2"/>
  <c r="C3067" i="2"/>
  <c r="C3068" i="2"/>
  <c r="C3069" i="2"/>
  <c r="C3070" i="2"/>
  <c r="C3071" i="2"/>
  <c r="C3072" i="2"/>
  <c r="C3073" i="2"/>
  <c r="C3074" i="2"/>
  <c r="C3075" i="2"/>
  <c r="C3076" i="2"/>
  <c r="C3077" i="2"/>
  <c r="C3078" i="2"/>
  <c r="C3079" i="2"/>
  <c r="C3080" i="2"/>
  <c r="C3081" i="2"/>
  <c r="C3082" i="2"/>
  <c r="C3083" i="2"/>
  <c r="C3084" i="2"/>
  <c r="C3085" i="2"/>
  <c r="C3086" i="2"/>
  <c r="C3087" i="2"/>
  <c r="C3088" i="2"/>
  <c r="C3089" i="2"/>
  <c r="C3090" i="2"/>
  <c r="C3091" i="2"/>
  <c r="C3092" i="2"/>
  <c r="C3093" i="2"/>
  <c r="C3094" i="2"/>
  <c r="C3095" i="2"/>
  <c r="C3096" i="2"/>
  <c r="C3097" i="2"/>
  <c r="C3098" i="2"/>
  <c r="C3099" i="2"/>
  <c r="C3100" i="2"/>
  <c r="C3101" i="2"/>
  <c r="C3102" i="2"/>
  <c r="C3103" i="2"/>
  <c r="C3104" i="2"/>
  <c r="C3105" i="2"/>
  <c r="C3106" i="2"/>
  <c r="C3107" i="2"/>
  <c r="C3108" i="2"/>
  <c r="C3109" i="2"/>
  <c r="C3110" i="2"/>
  <c r="C3111" i="2"/>
  <c r="C3112" i="2"/>
  <c r="C3113" i="2"/>
  <c r="C3114" i="2"/>
  <c r="C3115" i="2"/>
  <c r="C3116" i="2"/>
  <c r="C3117" i="2"/>
  <c r="C3118" i="2"/>
  <c r="C3119" i="2"/>
  <c r="C3120" i="2"/>
  <c r="C3121" i="2"/>
  <c r="C3122" i="2"/>
  <c r="C3123" i="2"/>
  <c r="C3124" i="2"/>
  <c r="C3125" i="2"/>
  <c r="C3126" i="2"/>
  <c r="C3127" i="2"/>
  <c r="C3128" i="2"/>
  <c r="C3129" i="2"/>
  <c r="C3130" i="2"/>
  <c r="C3131" i="2"/>
  <c r="C3132" i="2"/>
  <c r="C3133" i="2"/>
  <c r="C3134" i="2"/>
  <c r="C3135" i="2"/>
  <c r="C3136" i="2"/>
  <c r="C3137" i="2"/>
  <c r="C3138" i="2"/>
  <c r="C3139" i="2"/>
  <c r="C3140" i="2"/>
  <c r="C3141" i="2"/>
  <c r="C3142" i="2"/>
  <c r="C3143" i="2"/>
  <c r="C3144" i="2"/>
  <c r="C3145" i="2"/>
  <c r="C3146" i="2"/>
  <c r="C3147" i="2"/>
  <c r="C3148" i="2"/>
  <c r="C3149" i="2"/>
  <c r="C3150" i="2"/>
  <c r="C3151" i="2"/>
  <c r="C3152" i="2"/>
  <c r="C3153" i="2"/>
  <c r="C3154" i="2"/>
  <c r="C3155" i="2"/>
  <c r="C3156" i="2"/>
  <c r="C3157" i="2"/>
  <c r="C3158" i="2"/>
  <c r="C3159" i="2"/>
  <c r="C3160" i="2"/>
  <c r="C3161" i="2"/>
  <c r="C3162" i="2"/>
  <c r="C3163" i="2"/>
  <c r="C3164" i="2"/>
  <c r="C3165" i="2"/>
  <c r="C3166" i="2"/>
  <c r="C3167" i="2"/>
  <c r="C3168" i="2"/>
  <c r="C3169" i="2"/>
  <c r="C3170" i="2"/>
  <c r="C3171" i="2"/>
  <c r="C3172" i="2"/>
  <c r="C3173" i="2"/>
  <c r="C3174" i="2"/>
  <c r="C3175" i="2"/>
  <c r="C3176" i="2"/>
  <c r="C3177" i="2"/>
  <c r="C3178" i="2"/>
  <c r="C3179" i="2"/>
  <c r="C3180" i="2"/>
  <c r="C3181" i="2"/>
  <c r="C3182" i="2"/>
  <c r="C3183" i="2"/>
  <c r="C3184" i="2"/>
  <c r="C3185" i="2"/>
  <c r="C3186" i="2"/>
  <c r="C3187" i="2"/>
  <c r="C3188" i="2"/>
  <c r="C3189" i="2"/>
  <c r="C3190" i="2"/>
  <c r="C3191" i="2"/>
  <c r="C3192" i="2"/>
  <c r="C3193" i="2"/>
  <c r="C3194" i="2"/>
  <c r="C3195" i="2"/>
  <c r="C3196" i="2"/>
  <c r="C3197" i="2"/>
  <c r="C3198" i="2"/>
  <c r="C3199" i="2"/>
  <c r="C3200" i="2"/>
  <c r="C3201" i="2"/>
  <c r="C3202" i="2"/>
  <c r="C3203" i="2"/>
  <c r="C3204" i="2"/>
  <c r="C3205" i="2"/>
  <c r="C3206" i="2"/>
  <c r="C3207" i="2"/>
  <c r="C3208" i="2"/>
  <c r="C3209" i="2"/>
  <c r="C3210" i="2"/>
  <c r="C3211" i="2"/>
  <c r="C3212" i="2"/>
  <c r="C3213" i="2"/>
  <c r="C3214" i="2"/>
  <c r="C3215" i="2"/>
  <c r="C3216" i="2"/>
  <c r="C3217" i="2"/>
  <c r="C3218" i="2"/>
  <c r="C3219" i="2"/>
  <c r="C3220" i="2"/>
  <c r="C3221" i="2"/>
  <c r="C3222" i="2"/>
  <c r="C3223" i="2"/>
  <c r="C3224" i="2"/>
  <c r="C3225" i="2"/>
  <c r="C3226" i="2"/>
  <c r="C3227" i="2"/>
  <c r="C3228" i="2"/>
  <c r="C3229" i="2"/>
  <c r="C3230" i="2"/>
  <c r="C3231" i="2"/>
  <c r="C3232" i="2"/>
  <c r="C3233" i="2"/>
  <c r="C3234" i="2"/>
  <c r="C3235" i="2"/>
  <c r="C3236" i="2"/>
  <c r="C3237" i="2"/>
  <c r="C3238" i="2"/>
  <c r="C3239" i="2"/>
  <c r="C3240" i="2"/>
  <c r="C3241" i="2"/>
  <c r="C3242" i="2"/>
  <c r="C3243" i="2"/>
  <c r="C3244" i="2"/>
  <c r="C3245" i="2"/>
  <c r="C3246" i="2"/>
  <c r="C3247" i="2"/>
  <c r="C3248" i="2"/>
  <c r="C3249" i="2"/>
  <c r="C3250" i="2"/>
  <c r="C3251" i="2"/>
  <c r="C3252" i="2"/>
  <c r="C3253" i="2"/>
  <c r="C3254" i="2"/>
  <c r="C3255" i="2"/>
  <c r="C3256" i="2"/>
  <c r="C3257" i="2"/>
  <c r="C3258" i="2"/>
  <c r="C3259" i="2"/>
  <c r="C3260" i="2"/>
  <c r="C3261" i="2"/>
  <c r="C3262" i="2"/>
  <c r="C3263" i="2"/>
  <c r="C3264" i="2"/>
  <c r="C3265" i="2"/>
  <c r="C3266" i="2"/>
  <c r="C3267" i="2"/>
  <c r="C3268" i="2"/>
  <c r="C3269" i="2"/>
  <c r="C3270" i="2"/>
  <c r="C3271" i="2"/>
  <c r="C3272" i="2"/>
  <c r="C3273" i="2"/>
  <c r="C3274" i="2"/>
  <c r="C3275" i="2"/>
  <c r="C3276" i="2"/>
  <c r="C3277" i="2"/>
  <c r="C3278" i="2"/>
  <c r="C3279" i="2"/>
  <c r="C3280" i="2"/>
  <c r="C3281" i="2"/>
  <c r="C3282" i="2"/>
  <c r="C3283" i="2"/>
  <c r="C3284" i="2"/>
  <c r="C3285" i="2"/>
  <c r="C3286" i="2"/>
  <c r="C3287" i="2"/>
  <c r="C3288" i="2"/>
  <c r="C3289" i="2"/>
  <c r="C3290" i="2"/>
  <c r="C3291" i="2"/>
  <c r="C3292" i="2"/>
  <c r="C3293" i="2"/>
  <c r="C3294" i="2"/>
  <c r="C3295" i="2"/>
  <c r="C3296" i="2"/>
  <c r="C3297" i="2"/>
  <c r="C3298" i="2"/>
  <c r="C3299" i="2"/>
  <c r="C3300" i="2"/>
  <c r="C3301" i="2"/>
  <c r="C3302" i="2"/>
  <c r="C3303" i="2"/>
  <c r="C3304" i="2"/>
  <c r="C3305" i="2"/>
  <c r="C3306" i="2"/>
  <c r="C3307" i="2"/>
  <c r="C3308" i="2"/>
  <c r="C3309" i="2"/>
  <c r="C3310" i="2"/>
  <c r="C3311" i="2"/>
  <c r="C3312" i="2"/>
  <c r="C3313" i="2"/>
  <c r="C3314" i="2"/>
  <c r="C3315" i="2"/>
  <c r="C3316" i="2"/>
  <c r="C3317" i="2"/>
  <c r="C3318" i="2"/>
  <c r="C3319" i="2"/>
  <c r="C3320" i="2"/>
  <c r="C3321" i="2"/>
  <c r="C3322" i="2"/>
  <c r="C3323" i="2"/>
  <c r="C3324" i="2"/>
  <c r="C3325" i="2"/>
  <c r="C3326" i="2"/>
  <c r="C3327" i="2"/>
  <c r="C3328" i="2"/>
  <c r="C3329" i="2"/>
  <c r="C3330" i="2"/>
  <c r="C3331" i="2"/>
  <c r="C3332" i="2"/>
  <c r="C3333" i="2"/>
  <c r="C3334" i="2"/>
  <c r="C3335" i="2"/>
  <c r="C3336" i="2"/>
  <c r="C3337" i="2"/>
  <c r="C3338" i="2"/>
  <c r="C3339" i="2"/>
  <c r="C3340" i="2"/>
  <c r="C3341" i="2"/>
  <c r="C3342" i="2"/>
  <c r="C3343" i="2"/>
  <c r="C3344" i="2"/>
  <c r="C3345" i="2"/>
  <c r="C3346" i="2"/>
  <c r="C3347" i="2"/>
  <c r="C3348" i="2"/>
  <c r="C3349" i="2"/>
  <c r="C3350" i="2"/>
  <c r="C3351" i="2"/>
  <c r="C3352" i="2"/>
  <c r="C3353" i="2"/>
  <c r="C3354" i="2"/>
  <c r="C3355" i="2"/>
  <c r="C3356" i="2"/>
  <c r="C3357" i="2"/>
  <c r="C3358" i="2"/>
  <c r="C3359" i="2"/>
  <c r="C3360" i="2"/>
  <c r="C3361" i="2"/>
  <c r="C3362" i="2"/>
  <c r="C3363" i="2"/>
  <c r="C3364" i="2"/>
  <c r="C3365" i="2"/>
  <c r="C3366" i="2"/>
  <c r="C3367" i="2"/>
  <c r="C3368" i="2"/>
  <c r="C3369" i="2"/>
  <c r="C3370" i="2"/>
  <c r="C3371" i="2"/>
  <c r="C3372" i="2"/>
  <c r="C3373" i="2"/>
  <c r="C3374" i="2"/>
  <c r="C3375" i="2"/>
  <c r="C3376" i="2"/>
  <c r="C3377" i="2"/>
  <c r="C3378" i="2"/>
  <c r="C3379" i="2"/>
  <c r="C3380" i="2"/>
  <c r="C3381" i="2"/>
  <c r="C3382" i="2"/>
  <c r="C3383" i="2"/>
  <c r="C3384" i="2"/>
  <c r="C3385" i="2"/>
  <c r="C3386" i="2"/>
  <c r="C3387" i="2"/>
  <c r="C3388" i="2"/>
  <c r="C3389" i="2"/>
  <c r="C3390" i="2"/>
  <c r="C3391" i="2"/>
  <c r="C3392" i="2"/>
  <c r="C3393" i="2"/>
  <c r="C3394" i="2"/>
  <c r="C3395" i="2"/>
  <c r="C3396" i="2"/>
  <c r="C3397" i="2"/>
  <c r="C3398" i="2"/>
  <c r="C3399" i="2"/>
  <c r="C3400" i="2"/>
  <c r="C3401" i="2"/>
  <c r="C3402" i="2"/>
  <c r="C3403" i="2"/>
  <c r="C3404" i="2"/>
  <c r="C3405" i="2"/>
  <c r="C3406" i="2"/>
  <c r="C3407" i="2"/>
  <c r="C3408" i="2"/>
  <c r="C3409" i="2"/>
  <c r="C3410" i="2"/>
  <c r="C3411" i="2"/>
  <c r="C3412" i="2"/>
  <c r="C3413" i="2"/>
  <c r="C3414" i="2"/>
  <c r="C3415" i="2"/>
  <c r="C3416" i="2"/>
  <c r="C3417" i="2"/>
  <c r="C3418" i="2"/>
  <c r="C3419" i="2"/>
  <c r="C3420" i="2"/>
  <c r="C3421" i="2"/>
  <c r="C3422" i="2"/>
  <c r="C3423" i="2"/>
  <c r="C3424" i="2"/>
  <c r="C3425" i="2"/>
  <c r="C3426" i="2"/>
  <c r="C3427" i="2"/>
  <c r="C3428" i="2"/>
  <c r="C3429" i="2"/>
  <c r="C3430" i="2"/>
  <c r="C3431" i="2"/>
  <c r="C3432" i="2"/>
  <c r="C3433" i="2"/>
  <c r="C3434" i="2"/>
  <c r="C3435" i="2"/>
  <c r="C3436" i="2"/>
  <c r="C3437" i="2"/>
  <c r="C3438" i="2"/>
  <c r="C3439" i="2"/>
  <c r="C3440" i="2"/>
  <c r="C3441" i="2"/>
  <c r="C3442" i="2"/>
  <c r="C3443" i="2"/>
  <c r="C3444" i="2"/>
  <c r="C3445" i="2"/>
  <c r="C3446" i="2"/>
  <c r="C3447" i="2"/>
  <c r="C3448" i="2"/>
  <c r="C3449" i="2"/>
  <c r="C3450" i="2"/>
  <c r="C3451" i="2"/>
  <c r="C3452" i="2"/>
  <c r="C3453" i="2"/>
  <c r="C3454" i="2"/>
  <c r="C3455" i="2"/>
  <c r="C3456" i="2"/>
  <c r="C3457" i="2"/>
  <c r="C3458" i="2"/>
  <c r="C3459" i="2"/>
  <c r="C3460" i="2"/>
  <c r="C3461" i="2"/>
  <c r="C3462" i="2"/>
  <c r="C3463" i="2"/>
  <c r="C3464" i="2"/>
  <c r="C3465" i="2"/>
  <c r="C3466" i="2"/>
  <c r="C3467" i="2"/>
  <c r="C3468" i="2"/>
  <c r="C3469" i="2"/>
  <c r="C3470" i="2"/>
  <c r="C3471" i="2"/>
  <c r="C3472" i="2"/>
  <c r="C3473" i="2"/>
  <c r="C3474" i="2"/>
  <c r="C3475" i="2"/>
  <c r="C3476" i="2"/>
  <c r="C3477" i="2"/>
  <c r="C3478" i="2"/>
  <c r="C3479" i="2"/>
  <c r="C3480" i="2"/>
  <c r="C3481" i="2"/>
  <c r="C3482" i="2"/>
  <c r="C3483" i="2"/>
  <c r="C3484" i="2"/>
  <c r="C3485" i="2"/>
  <c r="C3486" i="2"/>
  <c r="C3487" i="2"/>
  <c r="C3488" i="2"/>
  <c r="C3489" i="2"/>
  <c r="C3490" i="2"/>
  <c r="C3491" i="2"/>
  <c r="C3492" i="2"/>
  <c r="C3493" i="2"/>
  <c r="C3494" i="2"/>
  <c r="C3495" i="2"/>
  <c r="C3496" i="2"/>
  <c r="C3497" i="2"/>
  <c r="C3498" i="2"/>
  <c r="C3499" i="2"/>
  <c r="C3500" i="2"/>
  <c r="C3501" i="2"/>
  <c r="C3502" i="2"/>
  <c r="C3503" i="2"/>
  <c r="C3504" i="2"/>
  <c r="C3505" i="2"/>
  <c r="C3506" i="2"/>
  <c r="C3507" i="2"/>
  <c r="C3508" i="2"/>
  <c r="C3509" i="2"/>
  <c r="C3510" i="2"/>
  <c r="C3511" i="2"/>
  <c r="C3512" i="2"/>
  <c r="C3513" i="2"/>
  <c r="C3514" i="2"/>
  <c r="C3515" i="2"/>
  <c r="C3516" i="2"/>
  <c r="C3517" i="2"/>
  <c r="C3518" i="2"/>
  <c r="C3519" i="2"/>
  <c r="C3520" i="2"/>
  <c r="C3521" i="2"/>
  <c r="C3522" i="2"/>
  <c r="C3523" i="2"/>
  <c r="C3524" i="2"/>
  <c r="C3525" i="2"/>
  <c r="C3526" i="2"/>
  <c r="C3527" i="2"/>
  <c r="C3528" i="2"/>
  <c r="C3529" i="2"/>
  <c r="C3530" i="2"/>
  <c r="C3531" i="2"/>
  <c r="C3532" i="2"/>
  <c r="C3533" i="2"/>
  <c r="C3534" i="2"/>
  <c r="C3535" i="2"/>
  <c r="C3536" i="2"/>
  <c r="C3537" i="2"/>
  <c r="C3538" i="2"/>
  <c r="C3539" i="2"/>
  <c r="C3540" i="2"/>
  <c r="C3541" i="2"/>
  <c r="C3542" i="2"/>
  <c r="C3543" i="2"/>
  <c r="C3544" i="2"/>
  <c r="C3545" i="2"/>
  <c r="C3546" i="2"/>
  <c r="C3547" i="2"/>
  <c r="C3548" i="2"/>
  <c r="C3549" i="2"/>
  <c r="C3550" i="2"/>
  <c r="C3551" i="2"/>
  <c r="C3552" i="2"/>
  <c r="C3553" i="2"/>
  <c r="C3554" i="2"/>
  <c r="C3555" i="2"/>
  <c r="C3556" i="2"/>
  <c r="C3557" i="2"/>
  <c r="C3558" i="2"/>
  <c r="C3559" i="2"/>
  <c r="C3560" i="2"/>
  <c r="C3561" i="2"/>
  <c r="C3562" i="2"/>
  <c r="C3563" i="2"/>
  <c r="C3564" i="2"/>
  <c r="C3565" i="2"/>
  <c r="C3566" i="2"/>
  <c r="C3567" i="2"/>
  <c r="C3568" i="2"/>
  <c r="C3569" i="2"/>
  <c r="C3570" i="2"/>
  <c r="C3571" i="2"/>
  <c r="C3572" i="2"/>
  <c r="C3573" i="2"/>
  <c r="C3574" i="2"/>
  <c r="C3575" i="2"/>
  <c r="C3576" i="2"/>
  <c r="C3577" i="2"/>
  <c r="C3578" i="2"/>
  <c r="C3579" i="2"/>
  <c r="C3580" i="2"/>
  <c r="C3581" i="2"/>
  <c r="C3582" i="2"/>
  <c r="C3583" i="2"/>
  <c r="C3584" i="2"/>
  <c r="C3585" i="2"/>
  <c r="C3586" i="2"/>
  <c r="C3587" i="2"/>
  <c r="C3588" i="2"/>
  <c r="C3589" i="2"/>
  <c r="C3590" i="2"/>
  <c r="C3591" i="2"/>
  <c r="C3592" i="2"/>
  <c r="C3593" i="2"/>
  <c r="C3594" i="2"/>
  <c r="C3595" i="2"/>
  <c r="C3596" i="2"/>
  <c r="C3597" i="2"/>
  <c r="C3598" i="2"/>
  <c r="C3599" i="2"/>
  <c r="C3600" i="2"/>
  <c r="C3601" i="2"/>
  <c r="C3602" i="2"/>
  <c r="C3603" i="2"/>
  <c r="C3604" i="2"/>
  <c r="C3605" i="2"/>
  <c r="C3606" i="2"/>
  <c r="C3607" i="2"/>
  <c r="C3608" i="2"/>
  <c r="C3609" i="2"/>
  <c r="C3610" i="2"/>
  <c r="C3611" i="2"/>
  <c r="C3612" i="2"/>
  <c r="C3613" i="2"/>
  <c r="C3614" i="2"/>
  <c r="C3615" i="2"/>
  <c r="C3616" i="2"/>
  <c r="C3617" i="2"/>
  <c r="C3618" i="2"/>
  <c r="C3619" i="2"/>
  <c r="C3620" i="2"/>
  <c r="C3621" i="2"/>
  <c r="C3622" i="2"/>
  <c r="C3623" i="2"/>
  <c r="C3624" i="2"/>
  <c r="C3625" i="2"/>
  <c r="C3626" i="2"/>
  <c r="C3627" i="2"/>
  <c r="C3628" i="2"/>
  <c r="C3629" i="2"/>
  <c r="C3630" i="2"/>
  <c r="C3631" i="2"/>
  <c r="C3632" i="2"/>
  <c r="C3633" i="2"/>
  <c r="C3634" i="2"/>
  <c r="C3635" i="2"/>
  <c r="C3636" i="2"/>
  <c r="C3637" i="2"/>
  <c r="C3638" i="2"/>
  <c r="C3639" i="2"/>
  <c r="C3640" i="2"/>
  <c r="C3641" i="2"/>
  <c r="C3642" i="2"/>
  <c r="C3643" i="2"/>
  <c r="C3644" i="2"/>
  <c r="C3645" i="2"/>
  <c r="C3646" i="2"/>
  <c r="C3647" i="2"/>
  <c r="C3648" i="2"/>
  <c r="C3649" i="2"/>
  <c r="C3650" i="2"/>
  <c r="C3651" i="2"/>
  <c r="C3652" i="2"/>
  <c r="C3653" i="2"/>
  <c r="C3654" i="2"/>
  <c r="C3655" i="2"/>
  <c r="C3656" i="2"/>
  <c r="C3657" i="2"/>
  <c r="C3658" i="2"/>
  <c r="C3659" i="2"/>
  <c r="C3660" i="2"/>
  <c r="C3661" i="2"/>
  <c r="C3662" i="2"/>
  <c r="C3663" i="2"/>
  <c r="C3664" i="2"/>
  <c r="C3665" i="2"/>
  <c r="C3666" i="2"/>
  <c r="C3667" i="2"/>
  <c r="C3668" i="2"/>
  <c r="C3669" i="2"/>
  <c r="C3670" i="2"/>
  <c r="C3671" i="2"/>
  <c r="C3672" i="2"/>
  <c r="C3673" i="2"/>
  <c r="C3674" i="2"/>
  <c r="C3675" i="2"/>
  <c r="C3676" i="2"/>
  <c r="C3677" i="2"/>
  <c r="C3678" i="2"/>
  <c r="C3679" i="2"/>
  <c r="C3680" i="2"/>
  <c r="C3681" i="2"/>
  <c r="C3682" i="2"/>
  <c r="C3683" i="2"/>
  <c r="C3684" i="2"/>
  <c r="C3685" i="2"/>
  <c r="C3686" i="2"/>
  <c r="C3687" i="2"/>
  <c r="C3688" i="2"/>
  <c r="C3689" i="2"/>
  <c r="C3690" i="2"/>
  <c r="C3691" i="2"/>
  <c r="C3692" i="2"/>
  <c r="C3693" i="2"/>
  <c r="C3694" i="2"/>
  <c r="C3695" i="2"/>
  <c r="C3696" i="2"/>
  <c r="C3697" i="2"/>
  <c r="C3698" i="2"/>
  <c r="C3699" i="2"/>
  <c r="C3700" i="2"/>
  <c r="C3701" i="2"/>
  <c r="C3702" i="2"/>
  <c r="C3703" i="2"/>
  <c r="C3704" i="2"/>
  <c r="C3705" i="2"/>
  <c r="C3706" i="2"/>
  <c r="C3707" i="2"/>
  <c r="C3708" i="2"/>
  <c r="C3709" i="2"/>
  <c r="C3710" i="2"/>
  <c r="C3711" i="2"/>
  <c r="C3712" i="2"/>
  <c r="C3713" i="2"/>
  <c r="C3714" i="2"/>
  <c r="C3715" i="2"/>
  <c r="C3716" i="2"/>
  <c r="C3717" i="2"/>
  <c r="C3718" i="2"/>
  <c r="C3719" i="2"/>
  <c r="C3720" i="2"/>
  <c r="C3721" i="2"/>
  <c r="C3722" i="2"/>
  <c r="C3723" i="2"/>
  <c r="C3724" i="2"/>
  <c r="C3725" i="2"/>
  <c r="C3726" i="2"/>
  <c r="C3727" i="2"/>
  <c r="C3728" i="2"/>
  <c r="C3729" i="2"/>
  <c r="C3730" i="2"/>
  <c r="C3731" i="2"/>
  <c r="C3732" i="2"/>
  <c r="C3733" i="2"/>
  <c r="C3734" i="2"/>
  <c r="C3735" i="2"/>
  <c r="C3736" i="2"/>
  <c r="C3737" i="2"/>
  <c r="C3738" i="2"/>
  <c r="C3739" i="2"/>
  <c r="C3740" i="2"/>
  <c r="C3741" i="2"/>
  <c r="C3742" i="2"/>
  <c r="C3743" i="2"/>
  <c r="C3744" i="2"/>
  <c r="C3745" i="2"/>
  <c r="C3746" i="2"/>
  <c r="C3747" i="2"/>
  <c r="C3748" i="2"/>
  <c r="C3749" i="2"/>
  <c r="C3750" i="2"/>
  <c r="C3751" i="2"/>
  <c r="C3752" i="2"/>
  <c r="C3753" i="2"/>
  <c r="C3754" i="2"/>
  <c r="C3755" i="2"/>
  <c r="C3756" i="2"/>
  <c r="C3757" i="2"/>
  <c r="C3758" i="2"/>
  <c r="C3759" i="2"/>
  <c r="C3760" i="2"/>
  <c r="C3761" i="2"/>
  <c r="C3762" i="2"/>
  <c r="C3763" i="2"/>
  <c r="C3764" i="2"/>
  <c r="C3765" i="2"/>
  <c r="C3766" i="2"/>
  <c r="C3767" i="2"/>
  <c r="C3768" i="2"/>
  <c r="C3769" i="2"/>
  <c r="C3770" i="2"/>
  <c r="C3771" i="2"/>
  <c r="C3772" i="2"/>
  <c r="C3773" i="2"/>
  <c r="C3774" i="2"/>
  <c r="C3775" i="2"/>
  <c r="C3776" i="2"/>
  <c r="C3777" i="2"/>
  <c r="C3778" i="2"/>
  <c r="C3779" i="2"/>
  <c r="C3780" i="2"/>
  <c r="C3781" i="2"/>
  <c r="C3782" i="2"/>
  <c r="C3783" i="2"/>
  <c r="C3784" i="2"/>
  <c r="C3785" i="2"/>
  <c r="C3786" i="2"/>
  <c r="C3787" i="2"/>
  <c r="C3788" i="2"/>
  <c r="C3789" i="2"/>
  <c r="C3790" i="2"/>
  <c r="C3791" i="2"/>
  <c r="C3792" i="2"/>
  <c r="C3793" i="2"/>
  <c r="C3794" i="2"/>
  <c r="C3795" i="2"/>
  <c r="C3796" i="2"/>
  <c r="C3797" i="2"/>
  <c r="C3798" i="2"/>
  <c r="C3799" i="2"/>
  <c r="C3800" i="2"/>
  <c r="C3801" i="2"/>
  <c r="C3802" i="2"/>
  <c r="C3803" i="2"/>
  <c r="C3804" i="2"/>
  <c r="C3805" i="2"/>
  <c r="C3806" i="2"/>
  <c r="C3807" i="2"/>
  <c r="C3808" i="2"/>
  <c r="C3809" i="2"/>
  <c r="C3810" i="2"/>
  <c r="C3811" i="2"/>
  <c r="C3812" i="2"/>
  <c r="C3813" i="2"/>
  <c r="C3814" i="2"/>
  <c r="C3815" i="2"/>
  <c r="C3816" i="2"/>
  <c r="C3817" i="2"/>
  <c r="C3818" i="2"/>
  <c r="C3819" i="2"/>
  <c r="C3820" i="2"/>
  <c r="C3821" i="2"/>
  <c r="C3822" i="2"/>
  <c r="C3823" i="2"/>
  <c r="C3824" i="2"/>
  <c r="C3825" i="2"/>
  <c r="C3826" i="2"/>
  <c r="C3827" i="2"/>
  <c r="C3828" i="2"/>
  <c r="C3829" i="2"/>
  <c r="C3830" i="2"/>
  <c r="C3831" i="2"/>
  <c r="C3832" i="2"/>
  <c r="C3833" i="2"/>
  <c r="C3834" i="2"/>
  <c r="C3835" i="2"/>
  <c r="C3836" i="2"/>
  <c r="C3837" i="2"/>
  <c r="C3838" i="2"/>
  <c r="C3839" i="2"/>
  <c r="C3840" i="2"/>
  <c r="C3841" i="2"/>
  <c r="C3842" i="2"/>
  <c r="C3843" i="2"/>
  <c r="C3844" i="2"/>
  <c r="C3845" i="2"/>
  <c r="C3846" i="2"/>
  <c r="C3847" i="2"/>
  <c r="C3848" i="2"/>
  <c r="C3849" i="2"/>
  <c r="C3850" i="2"/>
  <c r="C3851" i="2"/>
  <c r="C3852" i="2"/>
  <c r="C3853" i="2"/>
  <c r="C3854" i="2"/>
  <c r="C3855" i="2"/>
  <c r="C3856" i="2"/>
  <c r="C3857" i="2"/>
  <c r="C3858" i="2"/>
  <c r="C3859" i="2"/>
  <c r="C3860" i="2"/>
  <c r="C3861" i="2"/>
  <c r="C3862" i="2"/>
  <c r="C3863" i="2"/>
  <c r="C3864" i="2"/>
  <c r="C3865" i="2"/>
  <c r="C3866" i="2"/>
  <c r="C3867" i="2"/>
  <c r="C3868" i="2"/>
  <c r="C3869" i="2"/>
  <c r="C3870" i="2"/>
  <c r="C3871" i="2"/>
  <c r="C3872" i="2"/>
  <c r="C3873" i="2"/>
  <c r="C3874" i="2"/>
  <c r="C3875" i="2"/>
  <c r="C3876" i="2"/>
  <c r="C3877" i="2"/>
  <c r="C3878" i="2"/>
  <c r="C3879" i="2"/>
  <c r="C3880" i="2"/>
  <c r="C3881" i="2"/>
  <c r="C3882" i="2"/>
  <c r="C3883" i="2"/>
  <c r="C3884" i="2"/>
  <c r="C3885" i="2"/>
  <c r="C3886" i="2"/>
  <c r="C3887" i="2"/>
  <c r="C3888" i="2"/>
  <c r="C3889" i="2"/>
  <c r="C3890" i="2"/>
  <c r="C3891" i="2"/>
  <c r="C3892" i="2"/>
  <c r="C3893" i="2"/>
  <c r="C3894" i="2"/>
  <c r="C3895" i="2"/>
  <c r="C3896" i="2"/>
  <c r="C3897" i="2"/>
  <c r="C3898" i="2"/>
  <c r="C3899" i="2"/>
  <c r="C3900" i="2"/>
  <c r="C3901" i="2"/>
  <c r="C3902" i="2"/>
  <c r="C3903" i="2"/>
  <c r="C3904" i="2"/>
  <c r="C3905" i="2"/>
  <c r="C3906" i="2"/>
  <c r="C3907" i="2"/>
  <c r="C3908" i="2"/>
  <c r="C3909" i="2"/>
  <c r="C3910" i="2"/>
  <c r="C3911" i="2"/>
  <c r="C3912" i="2"/>
  <c r="C3913" i="2"/>
  <c r="C3914" i="2"/>
  <c r="C3915" i="2"/>
  <c r="C3916" i="2"/>
  <c r="C3917" i="2"/>
  <c r="C3918" i="2"/>
  <c r="C3919" i="2"/>
  <c r="C3920" i="2"/>
  <c r="C3921" i="2"/>
  <c r="C3922" i="2"/>
  <c r="C3923" i="2"/>
  <c r="C3924" i="2"/>
  <c r="C3925" i="2"/>
  <c r="C3926" i="2"/>
  <c r="C3927" i="2"/>
  <c r="C3928" i="2"/>
  <c r="C3929" i="2"/>
  <c r="C3930" i="2"/>
  <c r="C3931" i="2"/>
  <c r="C3932" i="2"/>
  <c r="C3933" i="2"/>
  <c r="C3934" i="2"/>
  <c r="C3935" i="2"/>
  <c r="C3936" i="2"/>
  <c r="C3937" i="2"/>
  <c r="C3938" i="2"/>
  <c r="C3939" i="2"/>
  <c r="C3940" i="2"/>
  <c r="C3941" i="2"/>
  <c r="C3942" i="2"/>
  <c r="C3943" i="2"/>
  <c r="C3944" i="2"/>
  <c r="C3945" i="2"/>
  <c r="C3946" i="2"/>
  <c r="C3947" i="2"/>
  <c r="C3948" i="2"/>
  <c r="C3949" i="2"/>
  <c r="C3950" i="2"/>
  <c r="C3951" i="2"/>
  <c r="C3952" i="2"/>
  <c r="C3953" i="2"/>
  <c r="C3954" i="2"/>
  <c r="C3955" i="2"/>
  <c r="C3956" i="2"/>
  <c r="C3957" i="2"/>
  <c r="C3958" i="2"/>
  <c r="C3959" i="2"/>
  <c r="C3960" i="2"/>
  <c r="C3961" i="2"/>
  <c r="C3962" i="2"/>
  <c r="C3963" i="2"/>
  <c r="C3964" i="2"/>
  <c r="C3965" i="2"/>
  <c r="C3966" i="2"/>
  <c r="C3967" i="2"/>
  <c r="C3968" i="2"/>
  <c r="C3969" i="2"/>
  <c r="C3970" i="2"/>
  <c r="C3971" i="2"/>
  <c r="C3972" i="2"/>
  <c r="C3973" i="2"/>
  <c r="C3974" i="2"/>
  <c r="C3975" i="2"/>
  <c r="C3976" i="2"/>
  <c r="C3977" i="2"/>
  <c r="C3978" i="2"/>
  <c r="C3979" i="2"/>
  <c r="C3980" i="2"/>
  <c r="C3981" i="2"/>
  <c r="C3982" i="2"/>
  <c r="C3983" i="2"/>
  <c r="C3984" i="2"/>
  <c r="C3985" i="2"/>
  <c r="C3986" i="2"/>
  <c r="C3987" i="2"/>
  <c r="C3988" i="2"/>
  <c r="C3989" i="2"/>
  <c r="C3990" i="2"/>
  <c r="C3991" i="2"/>
  <c r="C3992" i="2"/>
  <c r="C3993" i="2"/>
  <c r="C3994" i="2"/>
  <c r="C3995" i="2"/>
  <c r="C3996" i="2"/>
  <c r="C3997" i="2"/>
  <c r="C3998" i="2"/>
  <c r="C3999" i="2"/>
  <c r="C4000" i="2"/>
  <c r="C4001" i="2"/>
  <c r="C4002" i="2"/>
  <c r="C4003" i="2"/>
  <c r="C4004" i="2"/>
  <c r="C4005" i="2"/>
  <c r="C4006" i="2"/>
  <c r="C4007" i="2"/>
  <c r="C4008" i="2"/>
  <c r="C4009" i="2"/>
  <c r="C4010" i="2"/>
  <c r="C4011" i="2"/>
  <c r="C4012" i="2"/>
  <c r="C4013" i="2"/>
  <c r="C4014" i="2"/>
  <c r="C4015" i="2"/>
  <c r="C4016" i="2"/>
  <c r="C4017" i="2"/>
  <c r="C4018" i="2"/>
  <c r="C4019" i="2"/>
  <c r="C4020" i="2"/>
  <c r="C4021" i="2"/>
  <c r="C4022" i="2"/>
  <c r="C4023" i="2"/>
  <c r="C4024" i="2"/>
  <c r="C4025" i="2"/>
  <c r="C4026" i="2"/>
  <c r="C4027" i="2"/>
  <c r="C4028" i="2"/>
  <c r="C4029" i="2"/>
  <c r="C4030" i="2"/>
  <c r="C4031" i="2"/>
  <c r="C4032" i="2"/>
  <c r="C4033" i="2"/>
  <c r="C4034" i="2"/>
  <c r="C4035" i="2"/>
  <c r="C4036" i="2"/>
  <c r="C4037" i="2"/>
  <c r="C4038" i="2"/>
  <c r="C4039" i="2"/>
  <c r="C4040" i="2"/>
  <c r="C4041" i="2"/>
  <c r="C4042" i="2"/>
  <c r="C4043" i="2"/>
  <c r="C4044" i="2"/>
  <c r="C4045" i="2"/>
  <c r="C4046" i="2"/>
  <c r="C4047" i="2"/>
  <c r="C4048" i="2"/>
  <c r="C4049" i="2"/>
  <c r="C4050" i="2"/>
  <c r="C4051" i="2"/>
  <c r="C4052" i="2"/>
  <c r="C4053" i="2"/>
  <c r="C4054" i="2"/>
  <c r="C4055" i="2"/>
  <c r="C4056" i="2"/>
  <c r="C4057" i="2"/>
  <c r="C4058" i="2"/>
  <c r="C4059" i="2"/>
  <c r="C4060" i="2"/>
  <c r="C4061" i="2"/>
  <c r="C4062" i="2"/>
  <c r="C4063" i="2"/>
  <c r="C4064" i="2"/>
  <c r="C4065" i="2"/>
  <c r="C4066" i="2"/>
  <c r="C4067" i="2"/>
  <c r="C4068" i="2"/>
  <c r="C4069" i="2"/>
  <c r="C4070" i="2"/>
  <c r="C4071" i="2"/>
  <c r="C4072" i="2"/>
  <c r="C4073" i="2"/>
  <c r="C4074" i="2"/>
  <c r="C4075" i="2"/>
  <c r="C4076" i="2"/>
  <c r="C4077" i="2"/>
  <c r="C4078" i="2"/>
  <c r="C4079" i="2"/>
  <c r="C4080" i="2"/>
  <c r="C4081" i="2"/>
  <c r="C4082" i="2"/>
  <c r="C4083" i="2"/>
  <c r="C4084" i="2"/>
  <c r="C4085" i="2"/>
  <c r="C4086" i="2"/>
  <c r="C4087" i="2"/>
  <c r="C4088" i="2"/>
  <c r="C4089" i="2"/>
  <c r="C4090" i="2"/>
  <c r="C4091" i="2"/>
  <c r="C4092" i="2"/>
  <c r="C4093" i="2"/>
  <c r="C4094" i="2"/>
  <c r="C4095" i="2"/>
  <c r="C4096" i="2"/>
  <c r="C4097" i="2"/>
  <c r="C4098" i="2"/>
  <c r="C4099" i="2"/>
  <c r="C4100" i="2"/>
  <c r="C4101" i="2"/>
  <c r="C4102" i="2"/>
  <c r="C4103" i="2"/>
  <c r="C4104" i="2"/>
  <c r="C4105" i="2"/>
  <c r="C4106" i="2"/>
  <c r="C4107" i="2"/>
  <c r="C4108" i="2"/>
  <c r="C4109" i="2"/>
  <c r="C4110" i="2"/>
  <c r="C4111" i="2"/>
  <c r="C4112" i="2"/>
  <c r="C4113" i="2"/>
  <c r="C4114" i="2"/>
  <c r="C4115" i="2"/>
  <c r="C4116" i="2"/>
  <c r="C4117" i="2"/>
  <c r="C4118" i="2"/>
  <c r="C4119" i="2"/>
  <c r="C4120" i="2"/>
  <c r="C4121" i="2"/>
  <c r="C4122" i="2"/>
  <c r="C4123" i="2"/>
  <c r="C4124" i="2"/>
  <c r="C4125" i="2"/>
  <c r="C4126" i="2"/>
  <c r="C4127" i="2"/>
  <c r="C4128" i="2"/>
  <c r="C4129" i="2"/>
  <c r="C4130" i="2"/>
  <c r="C4131" i="2"/>
  <c r="C4132" i="2"/>
  <c r="C4133" i="2"/>
  <c r="C4134" i="2"/>
  <c r="C4135" i="2"/>
  <c r="C4136" i="2"/>
  <c r="C4137" i="2"/>
  <c r="C4138" i="2"/>
  <c r="C4139" i="2"/>
  <c r="C4140" i="2"/>
  <c r="C4141" i="2"/>
  <c r="C4142" i="2"/>
  <c r="C4143" i="2"/>
  <c r="C4144" i="2"/>
  <c r="C4145" i="2"/>
  <c r="C4146" i="2"/>
  <c r="C4147" i="2"/>
  <c r="C4148" i="2"/>
  <c r="C4149" i="2"/>
  <c r="C4150" i="2"/>
  <c r="C4151" i="2"/>
  <c r="C4152" i="2"/>
  <c r="C4153" i="2"/>
  <c r="C4154" i="2"/>
  <c r="C4155" i="2"/>
  <c r="C4156" i="2"/>
  <c r="C4157" i="2"/>
  <c r="C4158" i="2"/>
  <c r="C4159" i="2"/>
  <c r="C4160" i="2"/>
  <c r="C4161" i="2"/>
  <c r="C4162" i="2"/>
  <c r="C4163" i="2"/>
  <c r="C4164" i="2"/>
  <c r="C4165" i="2"/>
  <c r="C4166" i="2"/>
  <c r="C4167" i="2"/>
  <c r="C4168" i="2"/>
  <c r="C4169" i="2"/>
  <c r="C4170" i="2"/>
  <c r="C4171" i="2"/>
  <c r="C4172" i="2"/>
  <c r="C4173" i="2"/>
  <c r="C4174" i="2"/>
  <c r="C4175" i="2"/>
  <c r="C4176" i="2"/>
  <c r="C4177" i="2"/>
  <c r="C4178" i="2"/>
  <c r="C4179" i="2"/>
  <c r="C4180" i="2"/>
  <c r="C4181" i="2"/>
  <c r="C4182" i="2"/>
  <c r="C4183" i="2"/>
  <c r="C4184" i="2"/>
  <c r="C4185" i="2"/>
  <c r="C4186" i="2"/>
  <c r="C4187" i="2"/>
  <c r="C4188" i="2"/>
  <c r="C4189" i="2"/>
  <c r="C4190" i="2"/>
  <c r="C4191" i="2"/>
  <c r="C4192" i="2"/>
  <c r="C4193" i="2"/>
  <c r="C4194" i="2"/>
  <c r="C4195" i="2"/>
  <c r="C4196" i="2"/>
  <c r="C4197" i="2"/>
  <c r="C4198" i="2"/>
  <c r="C4199" i="2"/>
  <c r="C4200" i="2"/>
  <c r="C4201" i="2"/>
  <c r="C4202" i="2"/>
  <c r="C4203" i="2"/>
  <c r="C4204" i="2"/>
  <c r="C4205" i="2"/>
  <c r="C4206" i="2"/>
  <c r="C4207" i="2"/>
  <c r="C4208" i="2"/>
  <c r="C4209" i="2"/>
  <c r="C4210" i="2"/>
  <c r="C4211" i="2"/>
  <c r="C4212" i="2"/>
  <c r="C4213" i="2"/>
  <c r="C4214" i="2"/>
  <c r="C4215" i="2"/>
  <c r="C4216" i="2"/>
  <c r="C4217" i="2"/>
  <c r="C4218" i="2"/>
  <c r="C4219" i="2"/>
  <c r="C4220" i="2"/>
  <c r="C4221" i="2"/>
  <c r="C4222" i="2"/>
  <c r="C4223" i="2"/>
  <c r="C4224" i="2"/>
  <c r="C4225" i="2"/>
  <c r="C4226" i="2"/>
  <c r="C4227" i="2"/>
  <c r="C4228" i="2"/>
  <c r="C4229" i="2"/>
  <c r="C4230" i="2"/>
  <c r="C4231" i="2"/>
  <c r="C4232" i="2"/>
  <c r="C4233" i="2"/>
  <c r="C4234" i="2"/>
  <c r="C4235" i="2"/>
  <c r="C4236" i="2"/>
  <c r="C4237" i="2"/>
  <c r="C4238" i="2"/>
  <c r="C4239" i="2"/>
  <c r="C4240" i="2"/>
  <c r="C4241" i="2"/>
  <c r="C4242" i="2"/>
  <c r="C4243" i="2"/>
  <c r="C4244" i="2"/>
  <c r="C4245" i="2"/>
  <c r="C4246" i="2"/>
  <c r="C4247" i="2"/>
  <c r="C4248" i="2"/>
  <c r="C4249" i="2"/>
  <c r="C4250" i="2"/>
  <c r="C4251" i="2"/>
  <c r="C4252" i="2"/>
  <c r="C4253" i="2"/>
  <c r="C4254" i="2"/>
  <c r="C4255" i="2"/>
  <c r="C4256" i="2"/>
  <c r="C4257" i="2"/>
  <c r="C4258" i="2"/>
  <c r="C4259" i="2"/>
  <c r="C4260" i="2"/>
  <c r="C4261" i="2"/>
  <c r="C4262" i="2"/>
  <c r="C4263" i="2"/>
  <c r="C4264" i="2"/>
  <c r="C4265" i="2"/>
  <c r="C4266" i="2"/>
  <c r="C4267" i="2"/>
  <c r="C4268" i="2"/>
  <c r="C4269" i="2"/>
  <c r="C4270" i="2"/>
  <c r="C4271" i="2"/>
  <c r="C4272" i="2"/>
  <c r="C4273" i="2"/>
  <c r="C4274" i="2"/>
  <c r="C4275" i="2"/>
  <c r="C4276" i="2"/>
  <c r="C4277" i="2"/>
  <c r="C4278" i="2"/>
  <c r="C4279" i="2"/>
  <c r="C4280" i="2"/>
  <c r="C4281" i="2"/>
  <c r="C4282" i="2"/>
  <c r="C4283" i="2"/>
  <c r="C4284" i="2"/>
  <c r="C4285" i="2"/>
  <c r="C4286" i="2"/>
  <c r="C4287" i="2"/>
  <c r="C4288" i="2"/>
  <c r="C4289" i="2"/>
  <c r="C4290" i="2"/>
  <c r="C4291" i="2"/>
  <c r="C4292" i="2"/>
  <c r="C4293" i="2"/>
  <c r="C4294" i="2"/>
  <c r="C4295" i="2"/>
  <c r="C4296" i="2"/>
  <c r="C4297" i="2"/>
  <c r="C4298" i="2"/>
  <c r="C4299" i="2"/>
  <c r="C4300" i="2"/>
  <c r="C4301" i="2"/>
  <c r="C4302" i="2"/>
  <c r="C4303" i="2"/>
  <c r="C4304" i="2"/>
  <c r="C4305" i="2"/>
  <c r="C4306" i="2"/>
  <c r="C4307" i="2"/>
  <c r="C4308" i="2"/>
  <c r="C4309" i="2"/>
  <c r="C4310" i="2"/>
  <c r="C4311" i="2"/>
  <c r="C4312" i="2"/>
  <c r="C4313" i="2"/>
  <c r="C4314" i="2"/>
  <c r="C4315" i="2"/>
  <c r="C4316" i="2"/>
  <c r="C4317" i="2"/>
  <c r="C4318" i="2"/>
  <c r="C4319" i="2"/>
  <c r="C4320" i="2"/>
  <c r="C4321" i="2"/>
  <c r="C4322" i="2"/>
  <c r="C4323" i="2"/>
  <c r="C4324" i="2"/>
  <c r="C4325" i="2"/>
  <c r="C4326" i="2"/>
  <c r="C4327" i="2"/>
  <c r="C4328" i="2"/>
  <c r="C4329" i="2"/>
  <c r="C4330" i="2"/>
  <c r="C4331" i="2"/>
  <c r="C4332" i="2"/>
  <c r="C4333" i="2"/>
  <c r="C4334" i="2"/>
  <c r="C4335" i="2"/>
  <c r="C4336" i="2"/>
  <c r="C4337" i="2"/>
  <c r="C4338" i="2"/>
  <c r="C4339" i="2"/>
  <c r="C4340" i="2"/>
  <c r="C4341" i="2"/>
  <c r="C4342" i="2"/>
  <c r="C4343" i="2"/>
  <c r="C4344" i="2"/>
  <c r="C4345" i="2"/>
  <c r="C4346" i="2"/>
  <c r="C4347" i="2"/>
  <c r="C4348" i="2"/>
  <c r="C4349" i="2"/>
  <c r="C4350" i="2"/>
  <c r="C4351" i="2"/>
  <c r="C4352" i="2"/>
  <c r="C4353" i="2"/>
  <c r="C4354" i="2"/>
  <c r="C4355" i="2"/>
  <c r="C4356" i="2"/>
  <c r="C4357" i="2"/>
  <c r="C4358" i="2"/>
  <c r="C4359" i="2"/>
  <c r="C4360" i="2"/>
  <c r="C4361" i="2"/>
  <c r="C4362" i="2"/>
  <c r="C4363" i="2"/>
  <c r="C4364" i="2"/>
  <c r="C4365" i="2"/>
  <c r="C4366" i="2"/>
  <c r="C4367" i="2"/>
  <c r="C4368" i="2"/>
  <c r="C4369" i="2"/>
  <c r="C4370" i="2"/>
  <c r="C4371" i="2"/>
  <c r="C4372" i="2"/>
  <c r="C4373" i="2"/>
  <c r="C4374" i="2"/>
  <c r="C4375" i="2"/>
  <c r="C4376" i="2"/>
  <c r="C4377" i="2"/>
  <c r="C4378" i="2"/>
  <c r="C4379" i="2"/>
  <c r="C4380" i="2"/>
  <c r="C4381" i="2"/>
  <c r="C4382" i="2"/>
  <c r="C4383" i="2"/>
  <c r="C4384" i="2"/>
  <c r="C4385" i="2"/>
  <c r="C4386" i="2"/>
  <c r="C4387" i="2"/>
  <c r="C4388" i="2"/>
  <c r="C4389" i="2"/>
  <c r="C4390" i="2"/>
  <c r="C4391" i="2"/>
  <c r="C4392" i="2"/>
  <c r="C4393" i="2"/>
  <c r="C4394" i="2"/>
  <c r="C4395" i="2"/>
  <c r="C4396" i="2"/>
  <c r="C4397" i="2"/>
  <c r="C4398" i="2"/>
  <c r="C4399" i="2"/>
  <c r="C4400" i="2"/>
  <c r="C4401" i="2"/>
  <c r="C4402" i="2"/>
  <c r="C4403" i="2"/>
  <c r="C4404" i="2"/>
  <c r="C4405" i="2"/>
  <c r="C4406" i="2"/>
  <c r="C4407" i="2"/>
  <c r="C4408" i="2"/>
  <c r="C4409" i="2"/>
  <c r="C4410" i="2"/>
  <c r="C4411" i="2"/>
  <c r="C4412" i="2"/>
  <c r="C4413" i="2"/>
  <c r="C4414" i="2"/>
  <c r="C4415" i="2"/>
  <c r="C4416" i="2"/>
  <c r="C4417" i="2"/>
  <c r="C4418" i="2"/>
  <c r="C4419" i="2"/>
  <c r="C4420" i="2"/>
  <c r="C4421" i="2"/>
  <c r="C4422" i="2"/>
  <c r="C4423" i="2"/>
  <c r="C4424" i="2"/>
  <c r="C4425" i="2"/>
  <c r="C4426" i="2"/>
  <c r="C4427" i="2"/>
  <c r="C4428" i="2"/>
  <c r="C4429" i="2"/>
  <c r="C4430" i="2"/>
  <c r="C4431" i="2"/>
  <c r="C4432" i="2"/>
  <c r="C4433" i="2"/>
  <c r="C4434" i="2"/>
  <c r="C4435" i="2"/>
  <c r="C4436" i="2"/>
  <c r="C4437" i="2"/>
  <c r="C4438" i="2"/>
  <c r="C4439" i="2"/>
  <c r="C4440" i="2"/>
  <c r="C4441" i="2"/>
  <c r="C4442" i="2"/>
  <c r="C4443" i="2"/>
  <c r="C4444" i="2"/>
  <c r="C4445" i="2"/>
  <c r="C4446" i="2"/>
  <c r="C4447" i="2"/>
  <c r="C4448" i="2"/>
  <c r="C4449" i="2"/>
  <c r="C4450" i="2"/>
  <c r="C4451" i="2"/>
  <c r="C4452" i="2"/>
  <c r="C4453" i="2"/>
  <c r="C4454" i="2"/>
  <c r="C4455" i="2"/>
  <c r="C4456" i="2"/>
  <c r="C4457" i="2"/>
  <c r="C4458" i="2"/>
  <c r="C4459" i="2"/>
  <c r="C4460" i="2"/>
  <c r="C4461" i="2"/>
  <c r="C4462" i="2"/>
  <c r="C4463" i="2"/>
  <c r="C4464" i="2"/>
  <c r="C4465" i="2"/>
  <c r="C4466" i="2"/>
  <c r="C4467" i="2"/>
  <c r="C4468" i="2"/>
  <c r="C4469" i="2"/>
  <c r="C4470" i="2"/>
  <c r="C4471" i="2"/>
  <c r="C4472" i="2"/>
  <c r="C4473" i="2"/>
  <c r="C4474" i="2"/>
  <c r="C4475" i="2"/>
  <c r="C4476" i="2"/>
  <c r="C4477" i="2"/>
  <c r="C4478" i="2"/>
  <c r="C4479" i="2"/>
  <c r="C4480" i="2"/>
  <c r="C4481" i="2"/>
  <c r="C4482" i="2"/>
  <c r="C4483" i="2"/>
  <c r="C4484" i="2"/>
  <c r="C4485" i="2"/>
  <c r="C4486" i="2"/>
  <c r="C4487" i="2"/>
  <c r="C4488" i="2"/>
  <c r="C4489" i="2"/>
  <c r="C4490" i="2"/>
  <c r="C4491" i="2"/>
  <c r="C4492" i="2"/>
  <c r="C4493" i="2"/>
  <c r="C4494" i="2"/>
  <c r="C4495" i="2"/>
  <c r="C4496" i="2"/>
  <c r="C4497" i="2"/>
  <c r="C4498" i="2"/>
  <c r="C4499" i="2"/>
  <c r="C4500" i="2"/>
  <c r="C4501" i="2"/>
  <c r="C4502" i="2"/>
  <c r="C4503" i="2"/>
  <c r="C4504" i="2"/>
  <c r="C4505" i="2"/>
  <c r="C4506" i="2"/>
  <c r="C4507" i="2"/>
  <c r="C4508" i="2"/>
  <c r="C4509" i="2"/>
  <c r="C4510" i="2"/>
  <c r="C4511" i="2"/>
  <c r="C4512" i="2"/>
  <c r="C4513" i="2"/>
  <c r="C4514" i="2"/>
  <c r="C4515" i="2"/>
  <c r="C4516" i="2"/>
  <c r="C4517" i="2"/>
  <c r="C4518" i="2"/>
  <c r="C4519" i="2"/>
  <c r="C4520" i="2"/>
  <c r="C4521" i="2"/>
  <c r="C4522" i="2"/>
  <c r="C4523" i="2"/>
  <c r="C4524" i="2"/>
  <c r="C4525" i="2"/>
  <c r="C4526" i="2"/>
  <c r="C4527" i="2"/>
  <c r="C4528" i="2"/>
  <c r="C4529" i="2"/>
  <c r="C4530" i="2"/>
  <c r="C4531" i="2"/>
  <c r="C4532" i="2"/>
  <c r="C4533" i="2"/>
  <c r="C4534" i="2"/>
  <c r="C4535" i="2"/>
  <c r="C4536" i="2"/>
  <c r="C4537" i="2"/>
  <c r="C4538" i="2"/>
  <c r="C4539" i="2"/>
  <c r="C4540" i="2"/>
  <c r="C4541" i="2"/>
  <c r="C4542" i="2"/>
  <c r="C4543" i="2"/>
  <c r="C4544" i="2"/>
  <c r="C4545" i="2"/>
  <c r="C4546" i="2"/>
  <c r="C4547" i="2"/>
  <c r="C4548" i="2"/>
  <c r="C4549" i="2"/>
  <c r="C4550" i="2"/>
  <c r="C4551" i="2"/>
  <c r="C4552" i="2"/>
  <c r="C4553" i="2"/>
  <c r="C4554" i="2"/>
  <c r="C4555" i="2"/>
  <c r="C4556" i="2"/>
  <c r="C4557" i="2"/>
  <c r="C4558" i="2"/>
  <c r="C4559" i="2"/>
  <c r="C4560" i="2"/>
  <c r="C4561" i="2"/>
  <c r="C4562" i="2"/>
  <c r="C4563" i="2"/>
  <c r="C4564" i="2"/>
  <c r="C4565" i="2"/>
  <c r="C4566" i="2"/>
  <c r="C4567" i="2"/>
  <c r="C4568" i="2"/>
  <c r="C4569" i="2"/>
  <c r="C4570" i="2"/>
  <c r="C4571" i="2"/>
  <c r="C4572" i="2"/>
  <c r="C4573" i="2"/>
  <c r="C4574" i="2"/>
  <c r="C4575" i="2"/>
  <c r="C4576" i="2"/>
  <c r="C4577" i="2"/>
  <c r="C4578" i="2"/>
  <c r="C4579" i="2"/>
  <c r="C4580" i="2"/>
  <c r="C4581" i="2"/>
  <c r="C4582" i="2"/>
  <c r="C4583" i="2"/>
  <c r="C4584" i="2"/>
  <c r="C4585" i="2"/>
  <c r="C4586" i="2"/>
  <c r="C4587" i="2"/>
  <c r="C4588" i="2"/>
  <c r="C4589" i="2"/>
  <c r="C4590" i="2"/>
  <c r="C4591" i="2"/>
  <c r="C4592" i="2"/>
  <c r="C4593" i="2"/>
  <c r="C4594" i="2"/>
  <c r="C4595" i="2"/>
  <c r="C4596" i="2"/>
  <c r="C4597" i="2"/>
  <c r="C4598" i="2"/>
  <c r="C4599" i="2"/>
  <c r="C4600" i="2"/>
  <c r="C4601" i="2"/>
  <c r="C4602" i="2"/>
  <c r="C4603" i="2"/>
  <c r="C4604" i="2"/>
  <c r="C4605" i="2"/>
  <c r="C4606" i="2"/>
  <c r="C4607" i="2"/>
  <c r="C4608" i="2"/>
  <c r="C4609" i="2"/>
  <c r="C4610" i="2"/>
  <c r="C4611" i="2"/>
  <c r="C4612" i="2"/>
  <c r="C4613" i="2"/>
  <c r="C4614" i="2"/>
  <c r="C4615" i="2"/>
  <c r="C4616" i="2"/>
  <c r="C4617" i="2"/>
  <c r="C4618" i="2"/>
  <c r="C4619" i="2"/>
  <c r="C4620" i="2"/>
  <c r="C4621" i="2"/>
  <c r="C4622" i="2"/>
  <c r="C4623" i="2"/>
  <c r="C4624" i="2"/>
  <c r="C4625" i="2"/>
  <c r="C4626" i="2"/>
  <c r="C4627" i="2"/>
  <c r="C4628" i="2"/>
  <c r="C4629" i="2"/>
  <c r="C4630" i="2"/>
  <c r="C4631" i="2"/>
  <c r="C4632" i="2"/>
  <c r="C4633" i="2"/>
  <c r="C4634" i="2"/>
  <c r="C4635" i="2"/>
  <c r="C4636" i="2"/>
  <c r="C4637" i="2"/>
  <c r="C4638" i="2"/>
  <c r="C4639" i="2"/>
  <c r="C4640" i="2"/>
  <c r="C4641" i="2"/>
  <c r="C4642" i="2"/>
  <c r="C4643" i="2"/>
  <c r="C4644" i="2"/>
  <c r="C4645" i="2"/>
  <c r="C4646" i="2"/>
  <c r="C4647" i="2"/>
  <c r="C4648" i="2"/>
  <c r="C4649" i="2"/>
  <c r="C4650" i="2"/>
  <c r="C4651" i="2"/>
  <c r="C4652" i="2"/>
  <c r="C4653" i="2"/>
  <c r="C4654" i="2"/>
  <c r="C4655" i="2"/>
  <c r="C4656" i="2"/>
  <c r="C4657" i="2"/>
  <c r="C4658" i="2"/>
  <c r="C4659" i="2"/>
  <c r="C4660" i="2"/>
  <c r="C4661" i="2"/>
  <c r="C4662" i="2"/>
  <c r="C4663" i="2"/>
  <c r="C4664" i="2"/>
  <c r="C4665" i="2"/>
  <c r="C4666" i="2"/>
  <c r="C4667" i="2"/>
  <c r="C4668" i="2"/>
  <c r="C4669" i="2"/>
  <c r="C4670" i="2"/>
  <c r="C4671" i="2"/>
  <c r="C4672" i="2"/>
  <c r="C4673" i="2"/>
  <c r="C4674" i="2"/>
  <c r="C4675" i="2"/>
  <c r="C4676" i="2"/>
  <c r="C4677" i="2"/>
  <c r="C4678" i="2"/>
  <c r="C4679" i="2"/>
  <c r="C4680" i="2"/>
  <c r="C4681" i="2"/>
  <c r="C4682" i="2"/>
  <c r="C4683" i="2"/>
  <c r="C4684" i="2"/>
  <c r="C4685" i="2"/>
  <c r="C4686" i="2"/>
  <c r="C4687" i="2"/>
  <c r="C4688" i="2"/>
  <c r="C4689" i="2"/>
  <c r="C4690" i="2"/>
  <c r="C4691" i="2"/>
  <c r="C4692" i="2"/>
  <c r="C4693" i="2"/>
  <c r="C4694" i="2"/>
  <c r="C4695" i="2"/>
  <c r="C4696" i="2"/>
  <c r="C4697" i="2"/>
  <c r="C4698" i="2"/>
  <c r="C4699" i="2"/>
  <c r="C4700" i="2"/>
  <c r="C4701" i="2"/>
  <c r="C4702" i="2"/>
  <c r="C4703" i="2"/>
  <c r="C4704" i="2"/>
  <c r="C4705" i="2"/>
  <c r="C4706" i="2"/>
  <c r="C4707" i="2"/>
  <c r="C4708" i="2"/>
  <c r="C4709" i="2"/>
  <c r="C4710" i="2"/>
  <c r="C4711" i="2"/>
  <c r="C4712" i="2"/>
  <c r="C4713" i="2"/>
  <c r="C4714" i="2"/>
  <c r="C4715" i="2"/>
  <c r="C4716" i="2"/>
  <c r="C4717" i="2"/>
  <c r="C4718" i="2"/>
  <c r="C4719" i="2"/>
  <c r="C4720" i="2"/>
  <c r="C4721" i="2"/>
  <c r="C4722" i="2"/>
  <c r="C4723" i="2"/>
  <c r="C4724" i="2"/>
  <c r="C4725" i="2"/>
  <c r="C4726" i="2"/>
  <c r="C4727" i="2"/>
  <c r="C4728" i="2"/>
  <c r="C4729" i="2"/>
  <c r="C4730" i="2"/>
  <c r="C4731" i="2"/>
  <c r="C4732" i="2"/>
  <c r="C4733" i="2"/>
  <c r="C4734" i="2"/>
  <c r="C4735" i="2"/>
  <c r="C4736" i="2"/>
  <c r="C4737" i="2"/>
  <c r="C4738" i="2"/>
  <c r="C4739" i="2"/>
  <c r="C4740" i="2"/>
  <c r="C4741" i="2"/>
  <c r="C4742" i="2"/>
  <c r="C4743" i="2"/>
  <c r="C4744" i="2"/>
  <c r="C4745" i="2"/>
  <c r="C4746" i="2"/>
  <c r="C4747" i="2"/>
  <c r="C4748" i="2"/>
  <c r="C4749" i="2"/>
  <c r="C4750" i="2"/>
  <c r="C4751" i="2"/>
  <c r="C4752" i="2"/>
  <c r="C4753" i="2"/>
  <c r="C4754" i="2"/>
  <c r="C4755" i="2"/>
  <c r="C4756" i="2"/>
  <c r="C4757" i="2"/>
  <c r="C4758" i="2"/>
  <c r="C4759" i="2"/>
  <c r="C4760" i="2"/>
  <c r="C4761" i="2"/>
  <c r="C4762" i="2"/>
  <c r="C4763" i="2"/>
  <c r="C4764" i="2"/>
  <c r="C4765" i="2"/>
  <c r="C4766" i="2"/>
  <c r="C4767" i="2"/>
  <c r="C4768" i="2"/>
  <c r="C4769" i="2"/>
  <c r="C4770" i="2"/>
  <c r="C4771" i="2"/>
  <c r="C4772" i="2"/>
  <c r="C4773" i="2"/>
  <c r="C4774" i="2"/>
  <c r="C4775" i="2"/>
  <c r="C4776" i="2"/>
  <c r="C4777" i="2"/>
  <c r="C4778" i="2"/>
  <c r="C4779" i="2"/>
  <c r="C4780" i="2"/>
  <c r="C4781" i="2"/>
  <c r="C4782" i="2"/>
  <c r="C4783" i="2"/>
  <c r="C4784" i="2"/>
  <c r="C4785" i="2"/>
  <c r="C4786" i="2"/>
  <c r="C4787" i="2"/>
  <c r="C4788" i="2"/>
  <c r="C4789" i="2"/>
  <c r="C4790" i="2"/>
  <c r="C4791" i="2"/>
  <c r="C4792" i="2"/>
  <c r="C4793" i="2"/>
  <c r="C4794" i="2"/>
  <c r="C4795" i="2"/>
  <c r="C4796" i="2"/>
  <c r="C4797" i="2"/>
  <c r="C4798" i="2"/>
  <c r="C4799" i="2"/>
  <c r="C4800" i="2"/>
  <c r="C4801" i="2"/>
  <c r="C4802" i="2"/>
  <c r="C4803" i="2"/>
  <c r="C4804" i="2"/>
  <c r="C4805" i="2"/>
  <c r="C4806" i="2"/>
  <c r="C4807" i="2"/>
  <c r="C4808" i="2"/>
  <c r="C4809" i="2"/>
  <c r="C4810" i="2"/>
  <c r="C4811" i="2"/>
  <c r="C4812" i="2"/>
  <c r="C4813" i="2"/>
  <c r="C4814" i="2"/>
  <c r="C4815" i="2"/>
  <c r="C4816" i="2"/>
  <c r="C4817" i="2"/>
  <c r="C4818" i="2"/>
  <c r="C4819" i="2"/>
  <c r="C4820" i="2"/>
  <c r="C4821" i="2"/>
  <c r="C4822" i="2"/>
  <c r="C4823" i="2"/>
  <c r="C4824" i="2"/>
  <c r="C4825" i="2"/>
  <c r="C4826" i="2"/>
  <c r="C4827" i="2"/>
  <c r="C4828" i="2"/>
  <c r="C4829" i="2"/>
  <c r="C4830" i="2"/>
  <c r="C4831" i="2"/>
  <c r="C4832" i="2"/>
  <c r="C4833" i="2"/>
  <c r="C4834" i="2"/>
  <c r="C4835" i="2"/>
  <c r="C4836" i="2"/>
  <c r="C4837" i="2"/>
  <c r="C4838" i="2"/>
  <c r="C4839" i="2"/>
  <c r="C4840" i="2"/>
  <c r="C4841" i="2"/>
  <c r="C4842" i="2"/>
  <c r="C4843" i="2"/>
  <c r="C4844" i="2"/>
  <c r="C4845" i="2"/>
  <c r="C4846" i="2"/>
  <c r="C4847" i="2"/>
  <c r="C4848" i="2"/>
  <c r="C4849" i="2"/>
  <c r="C4850" i="2"/>
  <c r="C4851" i="2"/>
  <c r="C4852" i="2"/>
  <c r="C4853" i="2"/>
  <c r="C4854" i="2"/>
  <c r="C4855" i="2"/>
  <c r="C4856" i="2"/>
  <c r="C4857" i="2"/>
  <c r="C4858" i="2"/>
  <c r="C4859" i="2"/>
  <c r="C4860" i="2"/>
  <c r="C4861" i="2"/>
  <c r="C4862" i="2"/>
  <c r="C4863" i="2"/>
  <c r="C4864" i="2"/>
  <c r="C4865" i="2"/>
  <c r="C4866" i="2"/>
  <c r="C4867" i="2"/>
  <c r="C4868" i="2"/>
  <c r="C4869" i="2"/>
  <c r="C4870" i="2"/>
  <c r="C4871" i="2"/>
  <c r="C4872" i="2"/>
  <c r="C4873" i="2"/>
  <c r="C4874" i="2"/>
  <c r="C4875" i="2"/>
  <c r="C4876" i="2"/>
  <c r="C4877" i="2"/>
  <c r="C4878" i="2"/>
  <c r="C4879" i="2"/>
  <c r="C4880" i="2"/>
  <c r="C4881" i="2"/>
  <c r="C4882" i="2"/>
  <c r="C4883" i="2"/>
  <c r="C4884" i="2"/>
  <c r="C4885" i="2"/>
  <c r="C4886" i="2"/>
  <c r="C4887" i="2"/>
  <c r="C4888" i="2"/>
  <c r="C4889" i="2"/>
  <c r="C4890" i="2"/>
  <c r="C4891" i="2"/>
  <c r="C4892" i="2"/>
  <c r="C4893" i="2"/>
  <c r="C4894" i="2"/>
  <c r="C4895" i="2"/>
  <c r="C4896" i="2"/>
  <c r="C4897" i="2"/>
  <c r="C4898" i="2"/>
  <c r="C4899" i="2"/>
  <c r="C4900" i="2"/>
  <c r="C4901" i="2"/>
  <c r="C4902" i="2"/>
  <c r="C4903" i="2"/>
  <c r="C4904" i="2"/>
  <c r="C4905" i="2"/>
  <c r="C4906" i="2"/>
  <c r="C4907" i="2"/>
  <c r="C4908" i="2"/>
  <c r="C4909" i="2"/>
  <c r="C4910" i="2"/>
  <c r="C4911" i="2"/>
  <c r="C4912" i="2"/>
  <c r="C4913" i="2"/>
  <c r="C4914" i="2"/>
  <c r="C4915" i="2"/>
  <c r="C4916" i="2"/>
  <c r="C4917" i="2"/>
  <c r="C4918" i="2"/>
  <c r="C4919" i="2"/>
  <c r="C4920" i="2"/>
  <c r="C4921" i="2"/>
  <c r="C4922" i="2"/>
  <c r="C4923" i="2"/>
  <c r="C4924" i="2"/>
  <c r="C4925" i="2"/>
  <c r="C4926" i="2"/>
  <c r="C4927" i="2"/>
  <c r="C4928" i="2"/>
  <c r="C4929" i="2"/>
  <c r="C4930" i="2"/>
  <c r="C4931" i="2"/>
  <c r="C4932" i="2"/>
  <c r="C4933" i="2"/>
  <c r="C4934" i="2"/>
  <c r="C4935" i="2"/>
  <c r="C4936" i="2"/>
  <c r="C4937" i="2"/>
  <c r="C4938" i="2"/>
  <c r="C4939" i="2"/>
  <c r="C4940" i="2"/>
  <c r="C4941" i="2"/>
  <c r="C4942" i="2"/>
  <c r="C4943" i="2"/>
  <c r="C4944" i="2"/>
  <c r="C4945" i="2"/>
  <c r="C4946" i="2"/>
  <c r="C4947" i="2"/>
  <c r="C4948" i="2"/>
  <c r="C4949" i="2"/>
  <c r="C4950" i="2"/>
  <c r="C4951" i="2"/>
  <c r="C4952" i="2"/>
  <c r="C4953" i="2"/>
  <c r="C4954" i="2"/>
  <c r="C4955" i="2"/>
  <c r="C4956" i="2"/>
  <c r="C4957" i="2"/>
  <c r="C4958" i="2"/>
  <c r="C4959" i="2"/>
  <c r="C4960" i="2"/>
  <c r="C4961" i="2"/>
  <c r="C4962" i="2"/>
  <c r="C4963" i="2"/>
  <c r="C4964" i="2"/>
  <c r="C4965" i="2"/>
  <c r="C4966" i="2"/>
  <c r="C4967" i="2"/>
  <c r="C4968" i="2"/>
  <c r="C4969" i="2"/>
  <c r="C4970" i="2"/>
  <c r="C4971" i="2"/>
  <c r="C4972" i="2"/>
  <c r="C4973" i="2"/>
  <c r="C4974" i="2"/>
  <c r="C4975" i="2"/>
  <c r="C4976" i="2"/>
  <c r="C4977" i="2"/>
  <c r="C4978" i="2"/>
  <c r="C4979" i="2"/>
  <c r="C4980" i="2"/>
  <c r="C4981" i="2"/>
  <c r="C4982" i="2"/>
  <c r="C4983" i="2"/>
  <c r="C4984" i="2"/>
  <c r="C4985" i="2"/>
  <c r="C4986" i="2"/>
  <c r="C4987" i="2"/>
  <c r="C4988" i="2"/>
  <c r="C4989" i="2"/>
  <c r="C4990" i="2"/>
  <c r="C4991" i="2"/>
  <c r="C4992" i="2"/>
  <c r="C4993" i="2"/>
  <c r="C4994" i="2"/>
  <c r="C4995" i="2"/>
  <c r="C4996" i="2"/>
  <c r="C4997" i="2"/>
  <c r="C4998" i="2"/>
  <c r="C4999" i="2"/>
  <c r="C5000" i="2"/>
  <c r="C5001" i="2"/>
  <c r="C5002" i="2"/>
  <c r="C5003" i="2"/>
  <c r="C5004" i="2"/>
  <c r="C5005" i="2"/>
  <c r="C5006" i="2"/>
  <c r="C5007" i="2"/>
  <c r="C5008" i="2"/>
  <c r="C5009" i="2"/>
  <c r="C5010" i="2"/>
  <c r="C5011" i="2"/>
  <c r="C5012" i="2"/>
  <c r="C5013" i="2"/>
  <c r="C5014" i="2"/>
  <c r="C5015" i="2"/>
  <c r="C5016" i="2"/>
  <c r="C5017" i="2"/>
  <c r="C5018" i="2"/>
  <c r="C5019" i="2"/>
  <c r="C5020" i="2"/>
  <c r="C5021" i="2"/>
  <c r="C5022" i="2"/>
  <c r="C5023" i="2"/>
  <c r="C5024" i="2"/>
  <c r="C5025" i="2"/>
  <c r="C5026" i="2"/>
  <c r="C5027" i="2"/>
  <c r="C5028" i="2"/>
  <c r="C5029" i="2"/>
  <c r="C5030" i="2"/>
  <c r="C5031" i="2"/>
  <c r="C5032" i="2"/>
  <c r="C5033" i="2"/>
  <c r="C5034" i="2"/>
  <c r="C5035" i="2"/>
  <c r="C5036" i="2"/>
  <c r="C5037" i="2"/>
  <c r="C5038" i="2"/>
  <c r="C5039" i="2"/>
  <c r="C5040" i="2"/>
  <c r="C5041" i="2"/>
  <c r="C5042" i="2"/>
  <c r="C5043" i="2"/>
  <c r="C5044" i="2"/>
  <c r="C5045" i="2"/>
  <c r="C5046" i="2"/>
  <c r="C5047" i="2"/>
  <c r="C5048" i="2"/>
  <c r="C5049" i="2"/>
  <c r="C5050" i="2"/>
  <c r="C5051" i="2"/>
  <c r="C5052" i="2"/>
  <c r="C5053" i="2"/>
  <c r="C5054" i="2"/>
  <c r="C5055" i="2"/>
  <c r="C5056" i="2"/>
  <c r="C5057" i="2"/>
  <c r="C5058" i="2"/>
  <c r="C5059" i="2"/>
  <c r="C5060" i="2"/>
  <c r="C5061" i="2"/>
  <c r="C5062" i="2"/>
  <c r="C5063" i="2"/>
  <c r="C5064" i="2"/>
  <c r="C5065" i="2"/>
  <c r="C5066" i="2"/>
  <c r="C5067" i="2"/>
  <c r="C5068" i="2"/>
  <c r="C5069" i="2"/>
  <c r="C5070" i="2"/>
  <c r="C5071" i="2"/>
  <c r="C5072" i="2"/>
  <c r="C5073" i="2"/>
  <c r="C5074" i="2"/>
  <c r="C5075" i="2"/>
  <c r="C5076" i="2"/>
  <c r="C5077" i="2"/>
  <c r="C5078" i="2"/>
  <c r="C5079" i="2"/>
  <c r="C5080" i="2"/>
  <c r="C5081" i="2"/>
  <c r="C5082" i="2"/>
  <c r="C5083" i="2"/>
  <c r="C5084" i="2"/>
  <c r="C5085" i="2"/>
  <c r="C5086" i="2"/>
  <c r="C5087" i="2"/>
  <c r="C5088" i="2"/>
  <c r="C5089" i="2"/>
  <c r="C5090" i="2"/>
  <c r="C5091" i="2"/>
  <c r="C5092" i="2"/>
  <c r="C5093" i="2"/>
  <c r="C5094" i="2"/>
  <c r="C5095" i="2"/>
  <c r="C5096" i="2"/>
  <c r="C5097" i="2"/>
  <c r="C5098" i="2"/>
  <c r="C5099" i="2"/>
  <c r="C5100" i="2"/>
  <c r="C5101" i="2"/>
  <c r="C5102" i="2"/>
  <c r="C5103" i="2"/>
  <c r="C5104" i="2"/>
  <c r="C5105" i="2"/>
  <c r="C5106" i="2"/>
  <c r="C5107" i="2"/>
  <c r="C5108" i="2"/>
  <c r="C5109" i="2"/>
  <c r="C5110" i="2"/>
  <c r="C5111" i="2"/>
  <c r="C5112" i="2"/>
  <c r="C5113" i="2"/>
  <c r="C5114" i="2"/>
  <c r="C5115" i="2"/>
  <c r="C5116" i="2"/>
  <c r="C5117" i="2"/>
  <c r="C5118" i="2"/>
  <c r="C5119" i="2"/>
  <c r="C5120" i="2"/>
  <c r="C5121" i="2"/>
  <c r="C5122" i="2"/>
  <c r="C5123" i="2"/>
  <c r="C5124" i="2"/>
  <c r="C5125" i="2"/>
  <c r="C5126" i="2"/>
  <c r="C5127" i="2"/>
  <c r="C5128" i="2"/>
  <c r="C5129" i="2"/>
  <c r="C5130" i="2"/>
  <c r="C5131" i="2"/>
  <c r="C5132" i="2"/>
  <c r="C5133" i="2"/>
  <c r="C5134" i="2"/>
  <c r="C5135" i="2"/>
  <c r="C5136" i="2"/>
  <c r="C5137" i="2"/>
  <c r="C5138" i="2"/>
  <c r="C5139" i="2"/>
  <c r="C5140" i="2"/>
  <c r="C5141" i="2"/>
  <c r="C5142" i="2"/>
  <c r="C5143" i="2"/>
  <c r="C5144" i="2"/>
  <c r="C5145" i="2"/>
  <c r="C5146" i="2"/>
  <c r="C5147" i="2"/>
  <c r="C5148" i="2"/>
  <c r="C5149" i="2"/>
  <c r="C5150" i="2"/>
  <c r="C5151" i="2"/>
  <c r="C5152" i="2"/>
  <c r="C5153" i="2"/>
  <c r="C5154" i="2"/>
  <c r="C5155" i="2"/>
  <c r="C5156" i="2"/>
  <c r="C5157" i="2"/>
  <c r="C5158" i="2"/>
  <c r="C5159" i="2"/>
  <c r="C5160" i="2"/>
  <c r="C5161" i="2"/>
  <c r="C5162" i="2"/>
  <c r="C5163" i="2"/>
  <c r="C5164" i="2"/>
  <c r="C5165" i="2"/>
  <c r="C5166" i="2"/>
  <c r="C5167" i="2"/>
  <c r="C5168" i="2"/>
  <c r="C5169" i="2"/>
  <c r="C5170" i="2"/>
  <c r="C5171" i="2"/>
  <c r="C5172" i="2"/>
  <c r="C5173" i="2"/>
  <c r="C5174" i="2"/>
  <c r="C5175" i="2"/>
  <c r="C5176" i="2"/>
  <c r="C5177" i="2"/>
  <c r="C5178" i="2"/>
  <c r="C5179" i="2"/>
  <c r="C5180" i="2"/>
  <c r="C5181" i="2"/>
  <c r="C5182" i="2"/>
  <c r="C5183" i="2"/>
  <c r="C5184" i="2"/>
  <c r="C5185" i="2"/>
  <c r="C5186" i="2"/>
  <c r="C5187" i="2"/>
  <c r="C5188" i="2"/>
  <c r="C5189" i="2"/>
  <c r="C5190" i="2"/>
  <c r="C5191" i="2"/>
  <c r="C5192" i="2"/>
  <c r="C5193" i="2"/>
  <c r="C5194" i="2"/>
  <c r="C5195" i="2"/>
  <c r="C5196" i="2"/>
  <c r="C5197" i="2"/>
  <c r="C5198" i="2"/>
  <c r="C5199" i="2"/>
  <c r="C5200" i="2"/>
  <c r="C5201" i="2"/>
  <c r="C5202" i="2"/>
  <c r="C5203" i="2"/>
  <c r="C5204" i="2"/>
  <c r="C5205" i="2"/>
  <c r="C5206" i="2"/>
  <c r="C5207" i="2"/>
  <c r="C5208" i="2"/>
  <c r="C5209" i="2"/>
  <c r="C5210" i="2"/>
  <c r="C5211" i="2"/>
  <c r="C5212" i="2"/>
  <c r="C5213" i="2"/>
  <c r="C5214" i="2"/>
  <c r="C5215" i="2"/>
  <c r="C5216" i="2"/>
  <c r="C5217" i="2"/>
  <c r="C5218" i="2"/>
  <c r="C5219" i="2"/>
  <c r="C5220" i="2"/>
  <c r="C5221" i="2"/>
  <c r="C5222" i="2"/>
  <c r="C5223" i="2"/>
  <c r="C5224" i="2"/>
  <c r="C5225" i="2"/>
  <c r="C5226" i="2"/>
  <c r="C5227" i="2"/>
  <c r="C5228" i="2"/>
  <c r="C5229" i="2"/>
  <c r="C5230" i="2"/>
  <c r="C5231" i="2"/>
  <c r="C5232" i="2"/>
  <c r="C5233" i="2"/>
  <c r="C5234" i="2"/>
  <c r="C5235" i="2"/>
  <c r="C5236" i="2"/>
  <c r="C5237" i="2"/>
  <c r="C5238" i="2"/>
  <c r="C5239" i="2"/>
  <c r="C5240" i="2"/>
  <c r="C5241" i="2"/>
  <c r="C5242" i="2"/>
  <c r="C5243" i="2"/>
  <c r="C5244" i="2"/>
  <c r="C5245" i="2"/>
  <c r="C5246" i="2"/>
  <c r="C5247" i="2"/>
  <c r="C5248" i="2"/>
  <c r="C5249" i="2"/>
  <c r="C5250" i="2"/>
  <c r="C5251" i="2"/>
  <c r="C5252" i="2"/>
  <c r="C5253" i="2"/>
  <c r="C5254" i="2"/>
  <c r="C5255" i="2"/>
  <c r="C5256" i="2"/>
  <c r="C5257" i="2"/>
  <c r="C5258" i="2"/>
  <c r="C5259" i="2"/>
  <c r="C5260" i="2"/>
  <c r="C5261" i="2"/>
  <c r="C5262" i="2"/>
  <c r="C5263" i="2"/>
  <c r="C5264" i="2"/>
  <c r="C5265" i="2"/>
  <c r="C5266" i="2"/>
  <c r="C5267" i="2"/>
  <c r="C5268" i="2"/>
  <c r="C5269" i="2"/>
  <c r="C5270" i="2"/>
  <c r="C5271" i="2"/>
  <c r="C5272" i="2"/>
  <c r="C5273" i="2"/>
  <c r="C5274" i="2"/>
  <c r="C5275" i="2"/>
  <c r="C5276" i="2"/>
  <c r="C5277" i="2"/>
  <c r="C5278" i="2"/>
  <c r="C5279" i="2"/>
  <c r="C5280" i="2"/>
  <c r="C5281" i="2"/>
  <c r="C5282" i="2"/>
  <c r="C5283" i="2"/>
  <c r="C5284" i="2"/>
  <c r="C5285" i="2"/>
  <c r="C5286" i="2"/>
  <c r="C5287" i="2"/>
  <c r="C5288" i="2"/>
  <c r="C5289" i="2"/>
  <c r="C5290" i="2"/>
  <c r="C5291" i="2"/>
  <c r="C5292" i="2"/>
  <c r="C5293" i="2"/>
  <c r="C5294" i="2"/>
  <c r="C5295" i="2"/>
  <c r="C5296" i="2"/>
  <c r="C5297" i="2"/>
  <c r="C5298" i="2"/>
  <c r="C5299" i="2"/>
  <c r="C5300" i="2"/>
  <c r="C5301" i="2"/>
  <c r="C5302" i="2"/>
  <c r="C5303" i="2"/>
  <c r="C5304" i="2"/>
  <c r="C5305" i="2"/>
  <c r="C5306" i="2"/>
  <c r="C5307" i="2"/>
  <c r="C5308" i="2"/>
  <c r="C5309" i="2"/>
  <c r="C5310" i="2"/>
  <c r="C5311" i="2"/>
  <c r="C5312" i="2"/>
  <c r="C5313" i="2"/>
  <c r="C5314" i="2"/>
  <c r="C5315" i="2"/>
  <c r="C5316" i="2"/>
  <c r="C5317" i="2"/>
  <c r="C5318" i="2"/>
  <c r="C5319" i="2"/>
  <c r="C5320" i="2"/>
  <c r="C5321" i="2"/>
  <c r="C5322" i="2"/>
  <c r="C5323" i="2"/>
  <c r="C5324" i="2"/>
  <c r="C5325" i="2"/>
  <c r="C5326" i="2"/>
  <c r="C5327" i="2"/>
  <c r="C5328" i="2"/>
  <c r="C5329" i="2"/>
  <c r="C5330" i="2"/>
  <c r="C5331" i="2"/>
  <c r="C5332" i="2"/>
  <c r="C5333" i="2"/>
  <c r="C5334" i="2"/>
  <c r="C5335" i="2"/>
  <c r="C5336" i="2"/>
  <c r="C5337" i="2"/>
  <c r="C5338" i="2"/>
  <c r="C5339" i="2"/>
  <c r="C5340" i="2"/>
  <c r="C5341" i="2"/>
  <c r="C5342" i="2"/>
  <c r="C5343" i="2"/>
  <c r="C5344" i="2"/>
  <c r="C5345" i="2"/>
  <c r="C5346" i="2"/>
  <c r="C5347" i="2"/>
  <c r="C5348" i="2"/>
  <c r="C5349" i="2"/>
  <c r="C5350" i="2"/>
  <c r="C5351" i="2"/>
  <c r="C5352" i="2"/>
  <c r="C5353" i="2"/>
  <c r="C5354" i="2"/>
  <c r="C5355" i="2"/>
  <c r="C5356" i="2"/>
  <c r="C5357" i="2"/>
  <c r="C5358" i="2"/>
  <c r="C5359" i="2"/>
  <c r="C5360" i="2"/>
  <c r="C5361" i="2"/>
  <c r="C5362" i="2"/>
  <c r="C5363" i="2"/>
  <c r="C5364" i="2"/>
  <c r="C5365" i="2"/>
  <c r="C5366" i="2"/>
  <c r="C5367" i="2"/>
  <c r="C5368" i="2"/>
  <c r="C5369" i="2"/>
  <c r="C5370" i="2"/>
  <c r="C5371" i="2"/>
  <c r="C5372" i="2"/>
  <c r="C5373" i="2"/>
  <c r="C5374" i="2"/>
  <c r="C5375" i="2"/>
  <c r="C5376" i="2"/>
  <c r="C5377" i="2"/>
  <c r="C5378" i="2"/>
  <c r="C5379" i="2"/>
  <c r="C5380" i="2"/>
  <c r="C5381" i="2"/>
  <c r="C5382" i="2"/>
  <c r="C5383" i="2"/>
  <c r="C5384" i="2"/>
  <c r="C5385" i="2"/>
  <c r="C5386" i="2"/>
  <c r="C5387" i="2"/>
  <c r="C5388" i="2"/>
  <c r="C5389" i="2"/>
  <c r="C5390" i="2"/>
  <c r="C5391" i="2"/>
  <c r="C5392" i="2"/>
  <c r="C5393" i="2"/>
  <c r="C5394" i="2"/>
  <c r="C5395" i="2"/>
  <c r="C5396" i="2"/>
  <c r="C5397" i="2"/>
  <c r="C5398" i="2"/>
  <c r="C5399" i="2"/>
  <c r="C5400" i="2"/>
  <c r="C5401" i="2"/>
  <c r="C5402" i="2"/>
  <c r="C5403" i="2"/>
  <c r="C5404" i="2"/>
  <c r="C5405" i="2"/>
  <c r="C5406" i="2"/>
  <c r="C5407" i="2"/>
  <c r="C5408" i="2"/>
  <c r="C5409" i="2"/>
  <c r="C5410" i="2"/>
  <c r="C5411" i="2"/>
  <c r="C5412" i="2"/>
  <c r="C5413" i="2"/>
  <c r="C5414" i="2"/>
  <c r="C5415" i="2"/>
  <c r="C5416" i="2"/>
  <c r="C5417" i="2"/>
  <c r="C5418" i="2"/>
  <c r="C5419" i="2"/>
  <c r="C5420" i="2"/>
  <c r="C5421" i="2"/>
  <c r="C5422" i="2"/>
  <c r="C5423" i="2"/>
  <c r="C5424" i="2"/>
  <c r="C5425" i="2"/>
  <c r="C5426" i="2"/>
  <c r="C5427" i="2"/>
  <c r="C5428" i="2"/>
  <c r="C5429" i="2"/>
  <c r="C5430" i="2"/>
  <c r="C5431" i="2"/>
  <c r="C5432" i="2"/>
  <c r="C5433" i="2"/>
  <c r="C5434" i="2"/>
  <c r="C5435" i="2"/>
  <c r="C5436" i="2"/>
  <c r="C5437" i="2"/>
  <c r="C5438" i="2"/>
  <c r="C5439" i="2"/>
  <c r="C5440" i="2"/>
  <c r="C5441" i="2"/>
  <c r="C5442" i="2"/>
  <c r="C5443" i="2"/>
  <c r="C5444" i="2"/>
  <c r="C5445" i="2"/>
  <c r="C5446" i="2"/>
  <c r="C5447" i="2"/>
  <c r="C5448" i="2"/>
  <c r="C5449" i="2"/>
  <c r="C5450" i="2"/>
  <c r="C5451" i="2"/>
  <c r="C5452" i="2"/>
  <c r="C5453" i="2"/>
  <c r="C5454" i="2"/>
  <c r="C5455" i="2"/>
  <c r="C5456" i="2"/>
  <c r="C5457" i="2"/>
  <c r="C5458" i="2"/>
  <c r="C5459" i="2"/>
  <c r="C5460" i="2"/>
  <c r="C5461" i="2"/>
  <c r="C5462" i="2"/>
  <c r="C5463" i="2"/>
  <c r="C5464" i="2"/>
  <c r="C5465" i="2"/>
  <c r="C5466" i="2"/>
  <c r="C5467" i="2"/>
  <c r="C5468" i="2"/>
  <c r="C5469" i="2"/>
  <c r="C5470" i="2"/>
  <c r="C5471" i="2"/>
  <c r="C5472" i="2"/>
  <c r="C5473" i="2"/>
  <c r="C5474" i="2"/>
  <c r="C5475" i="2"/>
  <c r="C5476" i="2"/>
  <c r="C5477" i="2"/>
  <c r="C5478" i="2"/>
  <c r="C5479" i="2"/>
  <c r="C5480" i="2"/>
  <c r="C5481" i="2"/>
  <c r="C5482" i="2"/>
  <c r="C5483" i="2"/>
  <c r="C5484" i="2"/>
  <c r="C5485" i="2"/>
  <c r="C5486" i="2"/>
  <c r="C5487" i="2"/>
  <c r="C5488" i="2"/>
  <c r="C5489" i="2"/>
  <c r="C5490" i="2"/>
  <c r="C5491" i="2"/>
  <c r="C5492" i="2"/>
  <c r="C5493" i="2"/>
  <c r="C5494" i="2"/>
  <c r="C5495" i="2"/>
  <c r="C5496" i="2"/>
  <c r="C5497" i="2"/>
  <c r="C5498" i="2"/>
  <c r="C5499" i="2"/>
  <c r="C5500" i="2"/>
  <c r="C5501" i="2"/>
  <c r="C5502" i="2"/>
  <c r="C5503" i="2"/>
  <c r="C5504" i="2"/>
  <c r="C5505" i="2"/>
  <c r="C5506" i="2"/>
  <c r="C5507" i="2"/>
  <c r="C5508" i="2"/>
  <c r="C5509" i="2"/>
  <c r="C5510" i="2"/>
  <c r="C5511" i="2"/>
  <c r="C5512" i="2"/>
  <c r="C5513" i="2"/>
  <c r="C5514" i="2"/>
  <c r="C5515" i="2"/>
  <c r="C5516" i="2"/>
  <c r="C5517" i="2"/>
  <c r="C5518" i="2"/>
  <c r="C5519" i="2"/>
  <c r="C5520" i="2"/>
  <c r="C5521" i="2"/>
  <c r="C5522" i="2"/>
  <c r="C5523" i="2"/>
  <c r="C5524" i="2"/>
  <c r="C5525" i="2"/>
  <c r="C5526" i="2"/>
  <c r="C5527" i="2"/>
  <c r="C5528" i="2"/>
  <c r="C5529" i="2"/>
  <c r="C5530" i="2"/>
  <c r="C5531" i="2"/>
  <c r="C5532" i="2"/>
  <c r="C5533" i="2"/>
  <c r="C5534" i="2"/>
  <c r="C5535" i="2"/>
  <c r="C5536" i="2"/>
  <c r="C5537" i="2"/>
  <c r="C5538" i="2"/>
  <c r="C5539" i="2"/>
  <c r="C5540" i="2"/>
  <c r="C5541" i="2"/>
  <c r="C5542" i="2"/>
  <c r="C5543" i="2"/>
  <c r="C5544" i="2"/>
  <c r="C5545" i="2"/>
  <c r="C5546" i="2"/>
  <c r="C5547" i="2"/>
  <c r="C5548" i="2"/>
  <c r="C5549" i="2"/>
  <c r="C5550" i="2"/>
  <c r="C5551" i="2"/>
  <c r="C5552" i="2"/>
  <c r="C5553" i="2"/>
  <c r="C5554" i="2"/>
  <c r="C5555" i="2"/>
  <c r="C5556" i="2"/>
  <c r="C5557" i="2"/>
  <c r="C5558" i="2"/>
  <c r="C5559" i="2"/>
  <c r="C5560" i="2"/>
  <c r="C5561" i="2"/>
  <c r="C5562" i="2"/>
  <c r="C5563" i="2"/>
  <c r="C5564" i="2"/>
  <c r="C5565" i="2"/>
  <c r="C5566" i="2"/>
  <c r="C5567" i="2"/>
  <c r="C5568" i="2"/>
  <c r="C5569" i="2"/>
  <c r="C5570" i="2"/>
  <c r="C5571" i="2"/>
  <c r="C5572" i="2"/>
  <c r="C5573" i="2"/>
  <c r="C5574" i="2"/>
  <c r="C5575" i="2"/>
  <c r="C5576" i="2"/>
  <c r="C5577" i="2"/>
  <c r="C5578" i="2"/>
  <c r="C5579" i="2"/>
  <c r="C5580" i="2"/>
  <c r="C5581" i="2"/>
  <c r="C5582" i="2"/>
  <c r="C5583" i="2"/>
  <c r="C5584" i="2"/>
  <c r="C5585" i="2"/>
  <c r="C5586" i="2"/>
  <c r="C5587" i="2"/>
  <c r="C5588" i="2"/>
  <c r="C5589" i="2"/>
  <c r="C5590" i="2"/>
  <c r="C5591" i="2"/>
  <c r="C5592" i="2"/>
  <c r="C5593" i="2"/>
  <c r="C5594" i="2"/>
  <c r="C5595" i="2"/>
  <c r="C5596" i="2"/>
  <c r="C5597" i="2"/>
  <c r="C5598" i="2"/>
  <c r="C5599" i="2"/>
  <c r="C5600" i="2"/>
  <c r="C5601" i="2"/>
  <c r="C5602" i="2"/>
  <c r="C5603" i="2"/>
  <c r="C5604" i="2"/>
  <c r="C5605" i="2"/>
  <c r="C5606" i="2"/>
  <c r="C5607" i="2"/>
  <c r="C5608" i="2"/>
  <c r="C5609" i="2"/>
  <c r="C5610" i="2"/>
  <c r="C5611" i="2"/>
  <c r="C5612" i="2"/>
  <c r="C5613" i="2"/>
  <c r="C5614" i="2"/>
  <c r="C5615" i="2"/>
  <c r="C5616" i="2"/>
  <c r="C5617" i="2"/>
  <c r="C5618" i="2"/>
  <c r="C5619" i="2"/>
  <c r="C5620" i="2"/>
  <c r="C5621" i="2"/>
  <c r="C5622" i="2"/>
  <c r="C5623" i="2"/>
  <c r="C5624" i="2"/>
  <c r="C5625" i="2"/>
  <c r="C5626" i="2"/>
  <c r="C5627" i="2"/>
  <c r="C5628" i="2"/>
  <c r="C5629" i="2"/>
  <c r="C5630" i="2"/>
  <c r="C5631" i="2"/>
  <c r="C5632" i="2"/>
  <c r="C5633" i="2"/>
  <c r="C5634" i="2"/>
  <c r="C5635" i="2"/>
  <c r="C5636" i="2"/>
  <c r="C5637" i="2"/>
  <c r="C5638" i="2"/>
  <c r="C5639" i="2"/>
  <c r="C5640" i="2"/>
  <c r="C5641" i="2"/>
  <c r="C5642" i="2"/>
  <c r="C5643" i="2"/>
  <c r="C5644" i="2"/>
  <c r="C5645" i="2"/>
  <c r="C5646" i="2"/>
  <c r="C5647" i="2"/>
  <c r="C5648" i="2"/>
  <c r="C5649" i="2"/>
  <c r="C5650" i="2"/>
  <c r="C5651" i="2"/>
  <c r="C5652" i="2"/>
  <c r="C5653" i="2"/>
  <c r="C5654" i="2"/>
  <c r="C5655" i="2"/>
  <c r="C5656" i="2"/>
  <c r="C5657" i="2"/>
  <c r="C5658" i="2"/>
  <c r="C5659" i="2"/>
  <c r="C5660" i="2"/>
  <c r="C5661" i="2"/>
  <c r="C5662" i="2"/>
  <c r="C5663" i="2"/>
  <c r="C5664" i="2"/>
  <c r="C5665" i="2"/>
  <c r="C5666" i="2"/>
  <c r="C5667" i="2"/>
  <c r="C5668" i="2"/>
  <c r="C5669" i="2"/>
  <c r="C5670" i="2"/>
  <c r="C5671" i="2"/>
  <c r="C5672" i="2"/>
  <c r="C5673" i="2"/>
  <c r="C5674" i="2"/>
  <c r="C5675" i="2"/>
  <c r="C5676" i="2"/>
  <c r="C5677" i="2"/>
  <c r="C5678" i="2"/>
  <c r="C5679" i="2"/>
  <c r="C5680" i="2"/>
  <c r="C5681" i="2"/>
  <c r="C5682" i="2"/>
  <c r="C5683" i="2"/>
  <c r="C5684" i="2"/>
  <c r="C5685" i="2"/>
  <c r="C5686" i="2"/>
  <c r="C5687" i="2"/>
  <c r="C5688" i="2"/>
  <c r="C5689" i="2"/>
  <c r="C5690" i="2"/>
  <c r="C5691" i="2"/>
  <c r="C5692" i="2"/>
  <c r="C5693" i="2"/>
  <c r="C5694" i="2"/>
  <c r="C5695" i="2"/>
  <c r="C5696" i="2"/>
  <c r="C5697" i="2"/>
  <c r="C5698" i="2"/>
  <c r="C5699" i="2"/>
  <c r="C5700" i="2"/>
  <c r="C5701" i="2"/>
  <c r="C5702" i="2"/>
  <c r="C5703" i="2"/>
  <c r="C5704" i="2"/>
  <c r="C5705" i="2"/>
  <c r="C5706" i="2"/>
  <c r="C5707" i="2"/>
  <c r="C5708" i="2"/>
  <c r="C5709" i="2"/>
  <c r="C5710" i="2"/>
  <c r="C5711" i="2"/>
  <c r="C5712" i="2"/>
  <c r="C5713" i="2"/>
  <c r="C5714" i="2"/>
  <c r="C5715" i="2"/>
  <c r="C5716" i="2"/>
  <c r="C5717" i="2"/>
  <c r="C5718" i="2"/>
  <c r="C5719" i="2"/>
  <c r="C5720" i="2"/>
  <c r="C5721" i="2"/>
  <c r="C5722" i="2"/>
  <c r="C5723" i="2"/>
  <c r="C5724" i="2"/>
  <c r="C5725" i="2"/>
  <c r="C5726" i="2"/>
  <c r="C5727" i="2"/>
  <c r="C5728" i="2"/>
  <c r="C5729" i="2"/>
  <c r="C5730" i="2"/>
  <c r="C5731" i="2"/>
  <c r="C5732" i="2"/>
  <c r="C5733" i="2"/>
  <c r="C5734" i="2"/>
  <c r="C5735" i="2"/>
  <c r="C5736" i="2"/>
  <c r="C5737" i="2"/>
  <c r="C5738" i="2"/>
  <c r="C5739" i="2"/>
  <c r="C5740" i="2"/>
  <c r="C5741" i="2"/>
  <c r="C5742" i="2"/>
  <c r="C5743" i="2"/>
  <c r="C5744" i="2"/>
  <c r="C5745" i="2"/>
  <c r="C5746" i="2"/>
  <c r="C5747" i="2"/>
  <c r="C5748" i="2"/>
  <c r="C5749" i="2"/>
  <c r="C5750" i="2"/>
  <c r="C5751" i="2"/>
  <c r="C5752" i="2"/>
  <c r="C5753" i="2"/>
  <c r="C5754" i="2"/>
  <c r="C5755" i="2"/>
  <c r="C5756" i="2"/>
  <c r="C5757" i="2"/>
  <c r="C5758" i="2"/>
  <c r="C5759" i="2"/>
  <c r="C5760" i="2"/>
  <c r="C5761" i="2"/>
  <c r="C5762" i="2"/>
  <c r="C5763" i="2"/>
  <c r="C5764" i="2"/>
  <c r="C5765" i="2"/>
  <c r="C5766" i="2"/>
  <c r="C5767" i="2"/>
  <c r="C5768" i="2"/>
  <c r="C5769" i="2"/>
  <c r="C5770" i="2"/>
  <c r="C5771" i="2"/>
  <c r="C5772" i="2"/>
  <c r="C5773" i="2"/>
  <c r="C5774" i="2"/>
  <c r="C5775" i="2"/>
  <c r="C5776" i="2"/>
  <c r="C5777" i="2"/>
  <c r="C5778" i="2"/>
  <c r="C5779" i="2"/>
  <c r="C5780" i="2"/>
  <c r="C5781" i="2"/>
  <c r="C5782" i="2"/>
  <c r="C5783" i="2"/>
  <c r="C5784" i="2"/>
  <c r="C5785" i="2"/>
  <c r="C5786" i="2"/>
  <c r="C5787" i="2"/>
  <c r="C5788" i="2"/>
  <c r="C5789" i="2"/>
  <c r="C5790" i="2"/>
  <c r="C5791" i="2"/>
  <c r="C5792" i="2"/>
  <c r="C5793" i="2"/>
  <c r="C5794" i="2"/>
  <c r="C5795" i="2"/>
  <c r="C5796" i="2"/>
  <c r="C5797" i="2"/>
  <c r="C5798" i="2"/>
  <c r="C5799" i="2"/>
  <c r="C5800" i="2"/>
  <c r="C5801" i="2"/>
  <c r="C5802" i="2"/>
  <c r="C5803" i="2"/>
  <c r="C5804" i="2"/>
  <c r="C5805" i="2"/>
  <c r="C5806" i="2"/>
  <c r="C5807" i="2"/>
  <c r="C5808" i="2"/>
  <c r="C5809" i="2"/>
  <c r="C5810" i="2"/>
  <c r="C5811" i="2"/>
  <c r="C5812" i="2"/>
  <c r="C5813" i="2"/>
  <c r="C5814" i="2"/>
  <c r="C5815" i="2"/>
  <c r="C5816" i="2"/>
  <c r="C5817" i="2"/>
  <c r="C5818" i="2"/>
  <c r="C5819" i="2"/>
  <c r="C5820" i="2"/>
  <c r="C5821" i="2"/>
  <c r="C5822" i="2"/>
  <c r="C5823" i="2"/>
  <c r="C5824" i="2"/>
  <c r="C5825" i="2"/>
  <c r="C5826" i="2"/>
  <c r="C5827" i="2"/>
  <c r="C5828" i="2"/>
  <c r="C5829" i="2"/>
  <c r="C5830" i="2"/>
  <c r="C5831" i="2"/>
  <c r="C5832" i="2"/>
  <c r="C5833" i="2"/>
  <c r="C5834" i="2"/>
  <c r="C5835" i="2"/>
  <c r="C5836" i="2"/>
  <c r="C5837" i="2"/>
  <c r="C5838" i="2"/>
  <c r="C5839" i="2"/>
  <c r="C5840" i="2"/>
  <c r="C5841" i="2"/>
  <c r="C5842" i="2"/>
  <c r="C5843" i="2"/>
  <c r="C5844" i="2"/>
  <c r="C5845" i="2"/>
  <c r="C5846" i="2"/>
  <c r="C5847" i="2"/>
  <c r="C5848" i="2"/>
  <c r="C5849" i="2"/>
  <c r="C5850" i="2"/>
  <c r="C5851" i="2"/>
  <c r="C5852" i="2"/>
  <c r="C5853" i="2"/>
  <c r="C5854" i="2"/>
  <c r="C5855" i="2"/>
  <c r="C5856" i="2"/>
  <c r="C5857" i="2"/>
  <c r="C5858" i="2"/>
  <c r="C5859" i="2"/>
  <c r="C5860" i="2"/>
  <c r="C5861" i="2"/>
  <c r="C5862" i="2"/>
  <c r="C5863" i="2"/>
  <c r="C5864" i="2"/>
  <c r="C5865" i="2"/>
  <c r="C5866" i="2"/>
  <c r="C5867" i="2"/>
  <c r="C5868" i="2"/>
  <c r="C5869" i="2"/>
  <c r="C5870" i="2"/>
  <c r="C5871" i="2"/>
  <c r="C5872" i="2"/>
  <c r="C5873" i="2"/>
  <c r="C5874" i="2"/>
  <c r="C5875" i="2"/>
  <c r="C5876" i="2"/>
  <c r="C5877" i="2"/>
  <c r="C5878" i="2"/>
  <c r="C5879" i="2"/>
  <c r="C5880" i="2"/>
  <c r="C5881" i="2"/>
  <c r="C5882" i="2"/>
  <c r="C5883" i="2"/>
  <c r="C5884" i="2"/>
  <c r="C5885" i="2"/>
  <c r="C5886" i="2"/>
  <c r="C5887" i="2"/>
  <c r="C5888" i="2"/>
  <c r="C5889" i="2"/>
  <c r="C5890" i="2"/>
  <c r="C5891" i="2"/>
  <c r="C5892" i="2"/>
  <c r="C5893" i="2"/>
  <c r="C5894" i="2"/>
  <c r="C5895" i="2"/>
  <c r="C5896" i="2"/>
  <c r="C5897" i="2"/>
  <c r="C5898" i="2"/>
  <c r="C5899" i="2"/>
  <c r="C5900" i="2"/>
  <c r="C5901" i="2"/>
  <c r="C5902" i="2"/>
  <c r="C5903" i="2"/>
  <c r="C5904" i="2"/>
  <c r="C5905" i="2"/>
  <c r="C5906" i="2"/>
  <c r="C5907" i="2"/>
  <c r="C5908" i="2"/>
  <c r="C5909" i="2"/>
  <c r="C5910" i="2"/>
  <c r="C5911" i="2"/>
  <c r="C5912" i="2"/>
  <c r="C5913" i="2"/>
  <c r="C5914" i="2"/>
  <c r="C5915" i="2"/>
  <c r="C5916" i="2"/>
  <c r="C5917" i="2"/>
  <c r="C5918" i="2"/>
  <c r="C5919" i="2"/>
  <c r="C5920" i="2"/>
  <c r="C5921" i="2"/>
  <c r="C5922" i="2"/>
  <c r="C5923" i="2"/>
  <c r="C5924" i="2"/>
  <c r="C5925" i="2"/>
  <c r="C5926" i="2"/>
  <c r="C5927" i="2"/>
  <c r="C5928" i="2"/>
  <c r="C5929" i="2"/>
  <c r="C5930" i="2"/>
  <c r="C5931" i="2"/>
  <c r="C5932" i="2"/>
  <c r="C5933" i="2"/>
  <c r="C5934" i="2"/>
  <c r="C5935" i="2"/>
  <c r="C5936" i="2"/>
  <c r="C5937" i="2"/>
  <c r="C5938" i="2"/>
  <c r="C5939" i="2"/>
  <c r="C5940" i="2"/>
  <c r="C5941" i="2"/>
  <c r="C5942" i="2"/>
  <c r="C5943" i="2"/>
  <c r="C5944" i="2"/>
  <c r="C5945" i="2"/>
  <c r="C5946" i="2"/>
  <c r="C5947" i="2"/>
  <c r="C5948" i="2"/>
  <c r="C5949" i="2"/>
  <c r="C5950" i="2"/>
  <c r="C5951" i="2"/>
  <c r="C5952" i="2"/>
  <c r="C5953" i="2"/>
  <c r="C5954" i="2"/>
  <c r="C5955" i="2"/>
  <c r="C5956" i="2"/>
  <c r="C5957" i="2"/>
  <c r="C5958" i="2"/>
  <c r="C5959" i="2"/>
  <c r="C5960" i="2"/>
  <c r="C5961" i="2"/>
  <c r="C5962" i="2"/>
  <c r="C5963" i="2"/>
  <c r="C5964" i="2"/>
  <c r="C5965" i="2"/>
  <c r="C5966" i="2"/>
  <c r="C5967" i="2"/>
  <c r="C5968" i="2"/>
  <c r="C5969" i="2"/>
  <c r="C5970" i="2"/>
  <c r="C5971" i="2"/>
  <c r="C5972" i="2"/>
  <c r="C5973" i="2"/>
  <c r="C5974" i="2"/>
  <c r="C5975" i="2"/>
  <c r="C5976" i="2"/>
  <c r="C5977" i="2"/>
  <c r="C5978" i="2"/>
  <c r="C5979" i="2"/>
  <c r="C5980" i="2"/>
  <c r="C5981" i="2"/>
  <c r="C5982" i="2"/>
  <c r="C5983" i="2"/>
  <c r="C5984" i="2"/>
  <c r="C5985" i="2"/>
  <c r="C5986" i="2"/>
  <c r="C5987" i="2"/>
  <c r="C5988" i="2"/>
  <c r="C5989" i="2"/>
  <c r="C5990" i="2"/>
  <c r="C5991" i="2"/>
  <c r="C5992" i="2"/>
  <c r="C5993" i="2"/>
  <c r="C5994" i="2"/>
  <c r="C5995" i="2"/>
  <c r="C5996" i="2"/>
  <c r="C5997" i="2"/>
  <c r="C5998" i="2"/>
  <c r="C5999" i="2"/>
  <c r="C6000" i="2"/>
  <c r="C6001" i="2"/>
  <c r="C6002" i="2"/>
  <c r="C6003" i="2"/>
  <c r="C6004" i="2"/>
  <c r="C6005" i="2"/>
  <c r="C6006" i="2"/>
  <c r="C6007" i="2"/>
  <c r="C6008" i="2"/>
  <c r="C6009" i="2"/>
  <c r="C6010" i="2"/>
  <c r="C6011" i="2"/>
  <c r="C6012" i="2"/>
  <c r="C6013" i="2"/>
  <c r="C6014" i="2"/>
  <c r="C6015" i="2"/>
  <c r="C6016" i="2"/>
  <c r="C6017" i="2"/>
  <c r="C6018" i="2"/>
  <c r="C6019" i="2"/>
  <c r="C6020" i="2"/>
  <c r="C6021" i="2"/>
  <c r="C6022" i="2"/>
  <c r="C6023" i="2"/>
  <c r="C6024" i="2"/>
  <c r="C6025" i="2"/>
  <c r="C6026" i="2"/>
  <c r="C6027" i="2"/>
  <c r="C6028" i="2"/>
  <c r="C6029" i="2"/>
  <c r="C6030" i="2"/>
  <c r="C6031" i="2"/>
  <c r="C6032" i="2"/>
  <c r="C6033" i="2"/>
  <c r="C6034" i="2"/>
  <c r="C6035" i="2"/>
  <c r="C6036" i="2"/>
  <c r="C6037" i="2"/>
  <c r="C6038" i="2"/>
  <c r="C6039" i="2"/>
  <c r="C6040" i="2"/>
  <c r="C6041" i="2"/>
  <c r="C6042" i="2"/>
  <c r="C6043" i="2"/>
  <c r="C6044" i="2"/>
  <c r="C6045" i="2"/>
  <c r="C6046" i="2"/>
  <c r="C6047" i="2"/>
  <c r="C6048" i="2"/>
  <c r="C6049" i="2"/>
  <c r="C6050" i="2"/>
  <c r="C6051" i="2"/>
  <c r="C6052" i="2"/>
  <c r="C6053" i="2"/>
  <c r="C6054" i="2"/>
  <c r="C6055" i="2"/>
  <c r="C6056" i="2"/>
  <c r="C6057" i="2"/>
  <c r="C6058" i="2"/>
  <c r="C6059" i="2"/>
  <c r="C6060" i="2"/>
  <c r="C6061" i="2"/>
  <c r="C6062" i="2"/>
  <c r="C6063" i="2"/>
  <c r="C6064" i="2"/>
  <c r="C6065" i="2"/>
  <c r="C6066" i="2"/>
  <c r="C6067" i="2"/>
  <c r="C6068" i="2"/>
  <c r="C6069" i="2"/>
  <c r="C6070" i="2"/>
  <c r="C6071" i="2"/>
  <c r="C6072" i="2"/>
  <c r="C6073" i="2"/>
  <c r="C6074" i="2"/>
  <c r="C6075" i="2"/>
  <c r="C6076" i="2"/>
  <c r="C6077" i="2"/>
  <c r="C6078" i="2"/>
  <c r="C6079" i="2"/>
  <c r="C6080" i="2"/>
  <c r="C6081" i="2"/>
  <c r="C6082" i="2"/>
  <c r="C6083" i="2"/>
  <c r="C6084" i="2"/>
  <c r="C6085" i="2"/>
  <c r="C6086" i="2"/>
  <c r="C6087" i="2"/>
  <c r="C6088" i="2"/>
  <c r="C6089" i="2"/>
  <c r="C6090" i="2"/>
  <c r="C6091" i="2"/>
  <c r="C6092" i="2"/>
  <c r="C6093" i="2"/>
  <c r="C6094" i="2"/>
  <c r="C6095" i="2"/>
  <c r="C6096" i="2"/>
  <c r="C6097" i="2"/>
  <c r="C6098" i="2"/>
  <c r="C6099" i="2"/>
  <c r="C6100" i="2"/>
  <c r="C6101" i="2"/>
  <c r="C6102" i="2"/>
  <c r="C6103" i="2"/>
  <c r="C6104" i="2"/>
  <c r="C6105" i="2"/>
  <c r="C6106" i="2"/>
  <c r="C6107" i="2"/>
  <c r="C6108" i="2"/>
  <c r="C6109" i="2"/>
  <c r="C6110" i="2"/>
  <c r="C6111" i="2"/>
  <c r="C6112" i="2"/>
  <c r="C6113" i="2"/>
  <c r="C6114" i="2"/>
  <c r="C6115" i="2"/>
  <c r="C6116" i="2"/>
  <c r="C6117" i="2"/>
  <c r="C6118" i="2"/>
  <c r="C6119" i="2"/>
  <c r="C6120" i="2"/>
  <c r="C6121" i="2"/>
  <c r="C6122" i="2"/>
  <c r="C6123" i="2"/>
  <c r="C6124" i="2"/>
  <c r="C6125" i="2"/>
  <c r="C6126" i="2"/>
  <c r="C6127" i="2"/>
  <c r="C6128" i="2"/>
  <c r="C6129" i="2"/>
  <c r="C6130" i="2"/>
  <c r="C6131" i="2"/>
  <c r="C6132" i="2"/>
  <c r="C6133" i="2"/>
  <c r="C6134" i="2"/>
  <c r="C6135" i="2"/>
  <c r="C6136" i="2"/>
  <c r="C6137" i="2"/>
  <c r="C6138" i="2"/>
  <c r="C6139" i="2"/>
  <c r="C6140" i="2"/>
  <c r="C6141" i="2"/>
  <c r="C6142" i="2"/>
  <c r="C6143" i="2"/>
  <c r="C6144" i="2"/>
  <c r="C6145" i="2"/>
  <c r="C6146" i="2"/>
  <c r="C6147" i="2"/>
  <c r="C6148" i="2"/>
  <c r="C6149" i="2"/>
  <c r="C6150" i="2"/>
  <c r="C6151" i="2"/>
  <c r="C6152" i="2"/>
  <c r="C6153" i="2"/>
  <c r="C6154" i="2"/>
  <c r="C6155" i="2"/>
  <c r="C6156" i="2"/>
  <c r="C6157" i="2"/>
  <c r="C6158" i="2"/>
  <c r="C6159" i="2"/>
  <c r="C6160" i="2"/>
  <c r="C6161" i="2"/>
  <c r="C6162" i="2"/>
  <c r="C6163" i="2"/>
  <c r="C6164" i="2"/>
  <c r="C6165" i="2"/>
  <c r="C6166" i="2"/>
  <c r="C6167" i="2"/>
  <c r="C6168" i="2"/>
  <c r="C6169" i="2"/>
  <c r="C6170" i="2"/>
  <c r="C6171" i="2"/>
  <c r="C6172" i="2"/>
  <c r="C6173" i="2"/>
  <c r="C6174" i="2"/>
  <c r="C6175" i="2"/>
  <c r="C6176" i="2"/>
  <c r="C6177" i="2"/>
  <c r="C6178" i="2"/>
  <c r="C6179" i="2"/>
  <c r="C6180" i="2"/>
  <c r="C6181" i="2"/>
  <c r="C6182" i="2"/>
  <c r="C6183" i="2"/>
  <c r="C6184" i="2"/>
  <c r="C6185" i="2"/>
  <c r="C6186" i="2"/>
  <c r="C6187" i="2"/>
  <c r="C6188" i="2"/>
  <c r="C6189" i="2"/>
  <c r="C6190" i="2"/>
  <c r="C6191" i="2"/>
  <c r="C6192" i="2"/>
  <c r="C6193" i="2"/>
  <c r="C6194" i="2"/>
  <c r="C6195" i="2"/>
  <c r="C6196" i="2"/>
  <c r="C6197" i="2"/>
  <c r="C6198" i="2"/>
  <c r="C6199" i="2"/>
  <c r="C6200" i="2"/>
  <c r="C6201" i="2"/>
  <c r="C6202" i="2"/>
  <c r="C6203" i="2"/>
  <c r="C6204" i="2"/>
  <c r="C6205" i="2"/>
  <c r="C6206" i="2"/>
  <c r="C6207" i="2"/>
  <c r="C6208" i="2"/>
  <c r="C6209" i="2"/>
  <c r="C6210" i="2"/>
  <c r="C6211" i="2"/>
  <c r="C6212" i="2"/>
  <c r="C6213" i="2"/>
  <c r="C6214" i="2"/>
  <c r="C6215" i="2"/>
  <c r="C6216" i="2"/>
  <c r="C6217" i="2"/>
  <c r="C6218" i="2"/>
  <c r="C6219" i="2"/>
  <c r="C6220" i="2"/>
  <c r="C6221" i="2"/>
  <c r="C6222" i="2"/>
  <c r="C6223" i="2"/>
  <c r="C6224" i="2"/>
  <c r="C6225" i="2"/>
  <c r="C6226" i="2"/>
  <c r="C6227" i="2"/>
  <c r="C6228" i="2"/>
  <c r="C6229" i="2"/>
  <c r="C6230" i="2"/>
  <c r="C6231" i="2"/>
  <c r="C6232" i="2"/>
  <c r="C6233" i="2"/>
  <c r="C6234" i="2"/>
  <c r="C6235" i="2"/>
  <c r="C6236" i="2"/>
  <c r="C6237" i="2"/>
  <c r="C6238" i="2"/>
  <c r="C6239" i="2"/>
  <c r="C6240" i="2"/>
  <c r="C6241" i="2"/>
  <c r="C6242" i="2"/>
  <c r="C6243" i="2"/>
  <c r="C6244" i="2"/>
  <c r="C6245" i="2"/>
  <c r="C6246" i="2"/>
  <c r="C6247" i="2"/>
  <c r="C6248" i="2"/>
  <c r="C6249" i="2"/>
  <c r="C6250" i="2"/>
  <c r="C6251" i="2"/>
  <c r="C6252" i="2"/>
  <c r="C6253" i="2"/>
  <c r="C6254" i="2"/>
  <c r="C6255" i="2"/>
  <c r="C6256" i="2"/>
  <c r="C6257" i="2"/>
  <c r="C6258" i="2"/>
  <c r="C6259" i="2"/>
  <c r="C6260" i="2"/>
  <c r="C6261" i="2"/>
  <c r="C6262" i="2"/>
  <c r="C6263" i="2"/>
  <c r="C6264" i="2"/>
  <c r="C6265" i="2"/>
  <c r="C6266" i="2"/>
  <c r="C6267" i="2"/>
  <c r="C6268" i="2"/>
  <c r="C6269" i="2"/>
  <c r="C6270" i="2"/>
  <c r="C6271" i="2"/>
  <c r="C6272" i="2"/>
  <c r="C6273" i="2"/>
  <c r="C6274" i="2"/>
  <c r="C6275" i="2"/>
  <c r="C6276" i="2"/>
  <c r="C6277" i="2"/>
  <c r="C6278" i="2"/>
  <c r="C6279" i="2"/>
  <c r="C6280" i="2"/>
  <c r="C6281" i="2"/>
  <c r="C6282" i="2"/>
  <c r="C6283" i="2"/>
  <c r="C6284" i="2"/>
  <c r="C6285" i="2"/>
  <c r="C6286" i="2"/>
  <c r="C6287" i="2"/>
  <c r="C6288" i="2"/>
  <c r="C6289" i="2"/>
  <c r="C6290" i="2"/>
  <c r="C6291" i="2"/>
  <c r="C6292" i="2"/>
  <c r="C6293" i="2"/>
  <c r="C6294" i="2"/>
  <c r="C6295" i="2"/>
  <c r="C6296" i="2"/>
  <c r="C6297" i="2"/>
  <c r="C6298" i="2"/>
  <c r="C6299" i="2"/>
  <c r="C6300" i="2"/>
  <c r="C6301" i="2"/>
  <c r="C6302" i="2"/>
  <c r="C6303" i="2"/>
  <c r="C6304" i="2"/>
  <c r="C6305" i="2"/>
  <c r="C6306" i="2"/>
  <c r="C6307" i="2"/>
  <c r="C6308" i="2"/>
  <c r="C6309" i="2"/>
  <c r="C6310" i="2"/>
  <c r="C6311" i="2"/>
  <c r="C6312" i="2"/>
  <c r="C6313" i="2"/>
  <c r="C6314" i="2"/>
  <c r="C6315" i="2"/>
  <c r="C6316" i="2"/>
  <c r="C6317" i="2"/>
  <c r="C6318" i="2"/>
  <c r="C6319" i="2"/>
  <c r="C6320" i="2"/>
  <c r="C6321" i="2"/>
  <c r="C6322" i="2"/>
  <c r="C6323" i="2"/>
  <c r="C6324" i="2"/>
  <c r="C6325" i="2"/>
  <c r="C6326" i="2"/>
  <c r="C6327" i="2"/>
  <c r="C6328" i="2"/>
  <c r="C6329" i="2"/>
  <c r="C6330" i="2"/>
  <c r="C6331" i="2"/>
  <c r="C6332" i="2"/>
  <c r="C6333" i="2"/>
  <c r="C6334" i="2"/>
  <c r="C6335" i="2"/>
  <c r="C6336" i="2"/>
  <c r="C6337" i="2"/>
  <c r="C6338" i="2"/>
  <c r="C6339" i="2"/>
  <c r="C6340" i="2"/>
  <c r="C6341" i="2"/>
  <c r="C6342" i="2"/>
  <c r="C6343" i="2"/>
  <c r="C6344" i="2"/>
  <c r="C6345" i="2"/>
  <c r="C6346" i="2"/>
  <c r="C6347" i="2"/>
  <c r="C6348" i="2"/>
  <c r="C6349" i="2"/>
  <c r="C6350" i="2"/>
  <c r="C6351" i="2"/>
  <c r="C6352" i="2"/>
  <c r="C6353" i="2"/>
  <c r="C6354" i="2"/>
  <c r="C6355" i="2"/>
  <c r="C6356" i="2"/>
  <c r="C6357" i="2"/>
  <c r="C6358" i="2"/>
  <c r="C6359" i="2"/>
  <c r="C6360" i="2"/>
  <c r="C6361" i="2"/>
  <c r="C6362" i="2"/>
  <c r="C6363" i="2"/>
  <c r="C6364" i="2"/>
  <c r="C6365" i="2"/>
  <c r="C6366" i="2"/>
  <c r="C6367" i="2"/>
  <c r="C6368" i="2"/>
  <c r="C6369" i="2"/>
  <c r="C6370" i="2"/>
  <c r="C6371" i="2"/>
  <c r="C6372" i="2"/>
  <c r="C6373" i="2"/>
  <c r="C6374" i="2"/>
  <c r="C6375" i="2"/>
  <c r="C6376" i="2"/>
  <c r="C6377" i="2"/>
  <c r="C6378" i="2"/>
  <c r="C6379" i="2"/>
  <c r="C6380" i="2"/>
  <c r="C6381" i="2"/>
  <c r="C6382" i="2"/>
  <c r="C6383" i="2"/>
  <c r="C6384" i="2"/>
  <c r="C6385" i="2"/>
  <c r="C6386" i="2"/>
  <c r="C6387" i="2"/>
  <c r="C6388" i="2"/>
  <c r="C6389" i="2"/>
  <c r="C6390" i="2"/>
  <c r="C6391" i="2"/>
  <c r="C6392" i="2"/>
  <c r="C6393" i="2"/>
  <c r="C6394" i="2"/>
  <c r="C6395" i="2"/>
  <c r="C6396" i="2"/>
  <c r="C6397" i="2"/>
  <c r="C6398" i="2"/>
  <c r="C6399" i="2"/>
  <c r="C6400" i="2"/>
  <c r="C6401" i="2"/>
  <c r="C6402" i="2"/>
  <c r="C6403" i="2"/>
  <c r="C6404" i="2"/>
  <c r="C6405" i="2"/>
  <c r="C6406" i="2"/>
  <c r="C6407" i="2"/>
  <c r="C6408" i="2"/>
  <c r="C6409" i="2"/>
  <c r="C6410" i="2"/>
  <c r="C6411" i="2"/>
  <c r="C6412" i="2"/>
  <c r="C6413" i="2"/>
  <c r="C6414" i="2"/>
  <c r="C6415" i="2"/>
  <c r="C6416" i="2"/>
  <c r="C6417" i="2"/>
  <c r="C6418" i="2"/>
  <c r="C6419" i="2"/>
  <c r="C6420" i="2"/>
  <c r="C6421" i="2"/>
  <c r="C6422" i="2"/>
  <c r="C6423" i="2"/>
  <c r="C6424" i="2"/>
  <c r="C6425" i="2"/>
  <c r="C6426" i="2"/>
  <c r="C6427" i="2"/>
  <c r="C6428" i="2"/>
  <c r="C6429" i="2"/>
  <c r="C6430" i="2"/>
  <c r="C6431" i="2"/>
  <c r="C6432" i="2"/>
  <c r="C6433" i="2"/>
  <c r="C6434" i="2"/>
  <c r="C6435" i="2"/>
  <c r="C6436" i="2"/>
  <c r="C6437" i="2"/>
  <c r="C6438" i="2"/>
  <c r="C6439" i="2"/>
  <c r="C6440" i="2"/>
  <c r="C6441" i="2"/>
  <c r="C6442" i="2"/>
  <c r="C6443" i="2"/>
  <c r="C6444" i="2"/>
  <c r="C6445" i="2"/>
  <c r="C6446" i="2"/>
  <c r="C6447" i="2"/>
  <c r="C6448" i="2"/>
  <c r="C6449" i="2"/>
  <c r="C6450" i="2"/>
  <c r="C6451" i="2"/>
  <c r="C6452" i="2"/>
  <c r="C6453" i="2"/>
  <c r="C6454" i="2"/>
  <c r="C6455" i="2"/>
  <c r="C6456" i="2"/>
  <c r="C6457" i="2"/>
  <c r="C6458" i="2"/>
  <c r="C6459" i="2"/>
  <c r="C6460" i="2"/>
  <c r="C6461" i="2"/>
  <c r="C6462" i="2"/>
  <c r="C6463" i="2"/>
  <c r="C6464" i="2"/>
  <c r="C6465" i="2"/>
  <c r="C6466" i="2"/>
  <c r="C6467" i="2"/>
  <c r="C6468" i="2"/>
  <c r="C6469" i="2"/>
  <c r="C6470" i="2"/>
  <c r="C6471" i="2"/>
  <c r="C6472" i="2"/>
  <c r="C6473" i="2"/>
  <c r="C6474" i="2"/>
  <c r="C6475" i="2"/>
  <c r="C6476" i="2"/>
  <c r="C6477" i="2"/>
  <c r="C6478" i="2"/>
  <c r="C6479" i="2"/>
  <c r="C6480" i="2"/>
  <c r="C6481" i="2"/>
  <c r="C6482" i="2"/>
  <c r="C6483" i="2"/>
  <c r="C6484" i="2"/>
  <c r="C6485" i="2"/>
  <c r="C6486" i="2"/>
  <c r="C6487" i="2"/>
  <c r="C6488" i="2"/>
  <c r="C6489" i="2"/>
  <c r="C6490" i="2"/>
  <c r="C6491" i="2"/>
  <c r="C6492" i="2"/>
  <c r="C6493" i="2"/>
  <c r="C6494" i="2"/>
  <c r="C6495" i="2"/>
  <c r="C6496" i="2"/>
  <c r="C6497" i="2"/>
  <c r="C6498" i="2"/>
  <c r="C6499" i="2"/>
  <c r="C6500" i="2"/>
  <c r="C6501" i="2"/>
  <c r="C6502" i="2"/>
  <c r="C6503" i="2"/>
  <c r="C6504" i="2"/>
  <c r="C6505" i="2"/>
  <c r="C6506" i="2"/>
  <c r="C6507" i="2"/>
  <c r="C6508" i="2"/>
  <c r="C6509" i="2"/>
  <c r="C6510" i="2"/>
  <c r="C6511" i="2"/>
  <c r="C6512" i="2"/>
  <c r="C6513" i="2"/>
  <c r="C6514" i="2"/>
  <c r="C6515" i="2"/>
  <c r="C6516" i="2"/>
  <c r="C6517" i="2"/>
  <c r="C6518" i="2"/>
  <c r="C6519" i="2"/>
  <c r="C6520" i="2"/>
  <c r="C6521" i="2"/>
  <c r="C6522" i="2"/>
  <c r="C6523" i="2"/>
  <c r="C6524" i="2"/>
  <c r="C6525" i="2"/>
  <c r="C6526" i="2"/>
  <c r="C6527" i="2"/>
  <c r="C6528" i="2"/>
  <c r="C6529" i="2"/>
  <c r="C6530" i="2"/>
  <c r="C6531" i="2"/>
  <c r="C6532" i="2"/>
  <c r="C6533" i="2"/>
  <c r="C6534" i="2"/>
  <c r="C6535" i="2"/>
  <c r="C6536" i="2"/>
  <c r="C6537" i="2"/>
  <c r="C6538" i="2"/>
  <c r="C6539" i="2"/>
  <c r="C6540" i="2"/>
  <c r="C6541" i="2"/>
  <c r="C6542" i="2"/>
  <c r="C6543" i="2"/>
  <c r="C6544" i="2"/>
  <c r="C6545" i="2"/>
  <c r="C6546" i="2"/>
  <c r="C6547" i="2"/>
  <c r="C6548" i="2"/>
  <c r="C6549" i="2"/>
  <c r="C6550" i="2"/>
  <c r="C6551" i="2"/>
  <c r="C6552" i="2"/>
  <c r="C6553" i="2"/>
  <c r="C6554" i="2"/>
  <c r="C6555" i="2"/>
  <c r="C6556" i="2"/>
  <c r="C6557" i="2"/>
  <c r="C6558" i="2"/>
  <c r="C6559" i="2"/>
  <c r="C6560" i="2"/>
  <c r="C6561" i="2"/>
  <c r="C6562" i="2"/>
  <c r="C6563" i="2"/>
  <c r="C6564" i="2"/>
  <c r="C6565" i="2"/>
  <c r="C6566" i="2"/>
  <c r="C6567" i="2"/>
  <c r="C6568" i="2"/>
  <c r="C6569" i="2"/>
  <c r="C6570" i="2"/>
  <c r="C6571" i="2"/>
  <c r="C6572" i="2"/>
  <c r="C6573" i="2"/>
  <c r="C6574" i="2"/>
  <c r="C6575" i="2"/>
  <c r="C6576" i="2"/>
  <c r="C6577" i="2"/>
  <c r="C6578" i="2"/>
  <c r="C6579" i="2"/>
  <c r="C6580" i="2"/>
  <c r="C6581" i="2"/>
  <c r="C6582" i="2"/>
  <c r="C6583" i="2"/>
  <c r="C6584" i="2"/>
  <c r="C6585" i="2"/>
  <c r="C6586" i="2"/>
  <c r="C6587" i="2"/>
  <c r="C6588" i="2"/>
  <c r="C6589" i="2"/>
  <c r="C6590" i="2"/>
  <c r="C6591" i="2"/>
  <c r="C6592" i="2"/>
  <c r="C6593" i="2"/>
  <c r="C6594" i="2"/>
  <c r="C6595" i="2"/>
  <c r="C6596" i="2"/>
  <c r="C6597" i="2"/>
  <c r="C6598" i="2"/>
  <c r="C6599" i="2"/>
  <c r="C6600" i="2"/>
  <c r="C6601" i="2"/>
  <c r="C6602" i="2"/>
  <c r="C6603" i="2"/>
  <c r="C6604" i="2"/>
  <c r="C6605" i="2"/>
  <c r="C6606" i="2"/>
  <c r="C6607" i="2"/>
  <c r="C6608" i="2"/>
  <c r="C6609" i="2"/>
  <c r="C6610" i="2"/>
  <c r="C6611" i="2"/>
  <c r="C6612" i="2"/>
  <c r="C6613" i="2"/>
  <c r="C6614" i="2"/>
  <c r="C6615" i="2"/>
  <c r="C6616" i="2"/>
  <c r="C6617" i="2"/>
  <c r="C6618" i="2"/>
  <c r="C6619" i="2"/>
  <c r="C6620" i="2"/>
  <c r="C6621" i="2"/>
  <c r="C6622" i="2"/>
  <c r="C6623" i="2"/>
  <c r="C6624" i="2"/>
  <c r="C6625" i="2"/>
  <c r="C6626" i="2"/>
  <c r="C6627" i="2"/>
  <c r="C6628" i="2"/>
  <c r="C6629" i="2"/>
  <c r="C6630" i="2"/>
  <c r="C6631" i="2"/>
  <c r="C6632" i="2"/>
  <c r="C6633" i="2"/>
  <c r="C6634" i="2"/>
  <c r="C6635" i="2"/>
  <c r="C6636" i="2"/>
  <c r="C6637" i="2"/>
  <c r="C6638" i="2"/>
  <c r="C6639" i="2"/>
  <c r="C6640" i="2"/>
  <c r="C6641" i="2"/>
  <c r="C6642" i="2"/>
  <c r="C6643" i="2"/>
  <c r="C6644" i="2"/>
  <c r="C6645" i="2"/>
  <c r="C6646" i="2"/>
  <c r="C6647" i="2"/>
  <c r="C6648" i="2"/>
  <c r="C6649" i="2"/>
  <c r="C6650" i="2"/>
  <c r="C6651" i="2"/>
  <c r="C6652" i="2"/>
  <c r="C6653" i="2"/>
  <c r="C6654" i="2"/>
  <c r="C6655" i="2"/>
  <c r="C6656" i="2"/>
  <c r="C6657" i="2"/>
  <c r="C6658" i="2"/>
  <c r="C6659" i="2"/>
  <c r="C6660" i="2"/>
  <c r="C6661" i="2"/>
  <c r="C6662" i="2"/>
  <c r="C6663" i="2"/>
  <c r="C6664" i="2"/>
  <c r="C6665" i="2"/>
  <c r="C6666" i="2"/>
  <c r="C6667" i="2"/>
  <c r="C6668" i="2"/>
  <c r="C6669" i="2"/>
  <c r="C6670" i="2"/>
  <c r="C6671" i="2"/>
  <c r="C6672" i="2"/>
  <c r="C6673" i="2"/>
  <c r="C6674" i="2"/>
  <c r="C6675" i="2"/>
  <c r="C6676" i="2"/>
  <c r="C6677" i="2"/>
  <c r="C6678" i="2"/>
  <c r="C6679" i="2"/>
  <c r="C6680" i="2"/>
  <c r="C6681" i="2"/>
  <c r="C6682" i="2"/>
  <c r="C6683" i="2"/>
  <c r="C6684" i="2"/>
  <c r="C6685" i="2"/>
  <c r="C6686" i="2"/>
  <c r="C6687" i="2"/>
  <c r="C6688" i="2"/>
  <c r="C6689" i="2"/>
  <c r="C6690" i="2"/>
  <c r="C6691" i="2"/>
  <c r="C6692" i="2"/>
  <c r="C6693" i="2"/>
  <c r="C6694" i="2"/>
  <c r="C6695" i="2"/>
  <c r="C6696" i="2"/>
  <c r="C6697" i="2"/>
  <c r="C6698" i="2"/>
  <c r="C6699" i="2"/>
  <c r="C6700" i="2"/>
  <c r="C6701" i="2"/>
  <c r="C6702" i="2"/>
  <c r="C6703" i="2"/>
  <c r="C6704" i="2"/>
  <c r="C6705" i="2"/>
  <c r="C6706" i="2"/>
  <c r="C6707" i="2"/>
  <c r="C6708" i="2"/>
  <c r="C6709" i="2"/>
  <c r="C6710" i="2"/>
  <c r="C6711" i="2"/>
  <c r="C6712" i="2"/>
  <c r="C6713" i="2"/>
  <c r="C6714" i="2"/>
  <c r="C6715" i="2"/>
  <c r="C6716" i="2"/>
  <c r="C6717" i="2"/>
  <c r="C6718" i="2"/>
  <c r="C6719" i="2"/>
  <c r="C6720" i="2"/>
  <c r="C6721" i="2"/>
  <c r="C6722" i="2"/>
  <c r="C6723" i="2"/>
  <c r="C6724" i="2"/>
  <c r="C6725" i="2"/>
  <c r="C6726" i="2"/>
  <c r="C6727" i="2"/>
  <c r="C6728" i="2"/>
  <c r="C6729" i="2"/>
  <c r="C6730" i="2"/>
  <c r="C6731" i="2"/>
  <c r="C6732" i="2"/>
  <c r="C6733" i="2"/>
  <c r="C6734" i="2"/>
  <c r="C6735" i="2"/>
  <c r="C6736" i="2"/>
  <c r="C6737" i="2"/>
  <c r="C6738" i="2"/>
  <c r="C6739" i="2"/>
  <c r="C6740" i="2"/>
  <c r="C6741" i="2"/>
  <c r="C6742" i="2"/>
  <c r="C6743" i="2"/>
  <c r="C6744" i="2"/>
  <c r="C6745" i="2"/>
  <c r="C6746" i="2"/>
  <c r="C6747" i="2"/>
  <c r="C6748" i="2"/>
  <c r="C6749" i="2"/>
  <c r="C6750" i="2"/>
  <c r="C6751" i="2"/>
  <c r="C6752" i="2"/>
  <c r="C6753" i="2"/>
  <c r="C6754" i="2"/>
  <c r="C6755" i="2"/>
  <c r="C6756" i="2"/>
  <c r="C6757" i="2"/>
  <c r="C6758" i="2"/>
  <c r="C6759" i="2"/>
  <c r="C6760" i="2"/>
  <c r="C6761" i="2"/>
  <c r="C6762" i="2"/>
  <c r="C6763" i="2"/>
  <c r="C6764" i="2"/>
  <c r="C6765" i="2"/>
  <c r="C6766" i="2"/>
  <c r="C6767" i="2"/>
  <c r="C6768" i="2"/>
  <c r="C6769" i="2"/>
  <c r="C6770" i="2"/>
  <c r="C6771" i="2"/>
  <c r="C6772" i="2"/>
  <c r="C6773" i="2"/>
  <c r="C6774" i="2"/>
  <c r="C6775" i="2"/>
  <c r="C6776" i="2"/>
  <c r="C6777" i="2"/>
  <c r="C6778" i="2"/>
  <c r="C6779" i="2"/>
  <c r="C6780" i="2"/>
  <c r="C6781" i="2"/>
  <c r="C6782" i="2"/>
  <c r="C6783" i="2"/>
  <c r="C6784" i="2"/>
  <c r="C6785" i="2"/>
  <c r="C6786" i="2"/>
  <c r="C6787" i="2"/>
  <c r="C6788" i="2"/>
  <c r="C6789" i="2"/>
  <c r="C6790" i="2"/>
  <c r="C6791" i="2"/>
  <c r="C6792" i="2"/>
  <c r="C6793" i="2"/>
  <c r="C6794" i="2"/>
  <c r="C6795" i="2"/>
  <c r="C6796" i="2"/>
  <c r="C6797" i="2"/>
  <c r="C6798" i="2"/>
  <c r="C6799" i="2"/>
  <c r="C6800" i="2"/>
  <c r="C6801" i="2"/>
  <c r="C6802" i="2"/>
  <c r="C6803" i="2"/>
  <c r="C6804" i="2"/>
  <c r="C6805" i="2"/>
  <c r="C6806" i="2"/>
  <c r="C6807" i="2"/>
  <c r="C6808" i="2"/>
  <c r="C6809" i="2"/>
  <c r="C6810" i="2"/>
  <c r="C6811" i="2"/>
  <c r="C6812" i="2"/>
  <c r="C6813" i="2"/>
  <c r="C6814" i="2"/>
  <c r="C6815" i="2"/>
  <c r="C6816" i="2"/>
  <c r="C6817" i="2"/>
  <c r="C6818" i="2"/>
  <c r="C6819" i="2"/>
  <c r="C6820" i="2"/>
  <c r="C6821" i="2"/>
  <c r="C6822" i="2"/>
  <c r="C6823" i="2"/>
  <c r="C6824" i="2"/>
  <c r="C6825" i="2"/>
  <c r="C6826" i="2"/>
  <c r="C6827" i="2"/>
  <c r="C6828" i="2"/>
  <c r="C6829" i="2"/>
  <c r="C6830" i="2"/>
  <c r="C6831" i="2"/>
  <c r="C6832" i="2"/>
  <c r="C6833" i="2"/>
  <c r="C6834" i="2"/>
  <c r="C6835" i="2"/>
  <c r="C6836" i="2"/>
  <c r="C6837" i="2"/>
  <c r="C6838" i="2"/>
  <c r="C6839" i="2"/>
  <c r="C6840" i="2"/>
  <c r="C6841" i="2"/>
  <c r="C6842" i="2"/>
  <c r="C6843" i="2"/>
  <c r="C6844" i="2"/>
  <c r="C6845" i="2"/>
  <c r="C6846" i="2"/>
  <c r="C6847" i="2"/>
  <c r="C6848" i="2"/>
  <c r="C6849" i="2"/>
  <c r="C6850" i="2"/>
  <c r="C6851" i="2"/>
  <c r="C6852" i="2"/>
  <c r="C6853" i="2"/>
  <c r="C6854" i="2"/>
  <c r="C6855" i="2"/>
  <c r="C6856" i="2"/>
  <c r="C6857" i="2"/>
  <c r="C6858" i="2"/>
  <c r="C6859" i="2"/>
  <c r="C6860" i="2"/>
  <c r="C6861" i="2"/>
  <c r="C6862" i="2"/>
  <c r="C6863" i="2"/>
  <c r="C6864" i="2"/>
  <c r="C6865" i="2"/>
  <c r="C6866" i="2"/>
  <c r="C6867" i="2"/>
  <c r="C6868" i="2"/>
  <c r="C6869" i="2"/>
  <c r="C6870" i="2"/>
  <c r="C6871" i="2"/>
  <c r="C6872" i="2"/>
  <c r="C6873" i="2"/>
  <c r="C6874" i="2"/>
  <c r="C6875" i="2"/>
  <c r="C6876" i="2"/>
  <c r="C6877" i="2"/>
  <c r="C6878" i="2"/>
  <c r="C6879" i="2"/>
  <c r="C6880" i="2"/>
  <c r="C6881" i="2"/>
  <c r="C6882" i="2"/>
  <c r="C6883" i="2"/>
  <c r="C6884" i="2"/>
  <c r="C6885" i="2"/>
  <c r="C6886" i="2"/>
  <c r="C6887" i="2"/>
  <c r="C6888" i="2"/>
  <c r="C6889" i="2"/>
  <c r="C6890" i="2"/>
  <c r="C6891" i="2"/>
  <c r="C6892" i="2"/>
  <c r="C6893" i="2"/>
  <c r="C6894" i="2"/>
  <c r="C6895" i="2"/>
  <c r="C6896" i="2"/>
  <c r="C6897" i="2"/>
  <c r="C6898" i="2"/>
  <c r="C6899" i="2"/>
  <c r="C6900" i="2"/>
  <c r="C6901" i="2"/>
  <c r="C6902" i="2"/>
  <c r="C6903" i="2"/>
  <c r="C6904" i="2"/>
  <c r="C6905" i="2"/>
  <c r="C6906" i="2"/>
  <c r="C6907" i="2"/>
  <c r="C6908" i="2"/>
  <c r="C6909" i="2"/>
  <c r="C6910" i="2"/>
  <c r="C6911" i="2"/>
  <c r="C6912" i="2"/>
  <c r="C6913" i="2"/>
  <c r="C6914" i="2"/>
  <c r="C6915" i="2"/>
  <c r="C6916" i="2"/>
  <c r="C6917" i="2"/>
  <c r="C6918" i="2"/>
  <c r="C6919" i="2"/>
  <c r="C6920" i="2"/>
  <c r="C6921" i="2"/>
  <c r="C6922" i="2"/>
  <c r="C6923" i="2"/>
  <c r="C6924" i="2"/>
  <c r="C6925" i="2"/>
  <c r="C6926" i="2"/>
  <c r="C6927" i="2"/>
  <c r="C6928" i="2"/>
  <c r="C6929" i="2"/>
  <c r="C6930" i="2"/>
  <c r="C6931" i="2"/>
  <c r="C6932" i="2"/>
  <c r="C6933" i="2"/>
  <c r="C6934" i="2"/>
  <c r="C6935" i="2"/>
  <c r="C6936" i="2"/>
  <c r="C6937" i="2"/>
  <c r="C6938" i="2"/>
  <c r="C6939" i="2"/>
  <c r="C6940" i="2"/>
  <c r="C6941" i="2"/>
  <c r="C6942" i="2"/>
  <c r="C6943" i="2"/>
  <c r="C6944" i="2"/>
  <c r="C6945" i="2"/>
  <c r="C6946" i="2"/>
  <c r="C6947" i="2"/>
  <c r="C6948" i="2"/>
  <c r="C6949" i="2"/>
  <c r="C6950" i="2"/>
  <c r="C6951" i="2"/>
  <c r="C6952" i="2"/>
  <c r="C6953" i="2"/>
  <c r="C6954" i="2"/>
  <c r="C6955" i="2"/>
  <c r="C6956" i="2"/>
  <c r="C6957" i="2"/>
  <c r="C6958" i="2"/>
  <c r="C6959" i="2"/>
  <c r="C6960" i="2"/>
  <c r="C6961" i="2"/>
  <c r="C6962" i="2"/>
  <c r="C6963" i="2"/>
  <c r="C6964" i="2"/>
  <c r="C6965" i="2"/>
  <c r="C6966" i="2"/>
  <c r="C6967" i="2"/>
  <c r="C6968" i="2"/>
  <c r="C6969" i="2"/>
  <c r="C6970" i="2"/>
  <c r="C6971" i="2"/>
  <c r="C6972" i="2"/>
  <c r="C6973" i="2"/>
  <c r="C6974" i="2"/>
  <c r="C6975" i="2"/>
  <c r="C6976" i="2"/>
  <c r="C6977" i="2"/>
  <c r="C6978" i="2"/>
  <c r="C6979" i="2"/>
  <c r="C6980" i="2"/>
  <c r="C6981" i="2"/>
  <c r="C6982" i="2"/>
  <c r="C6983" i="2"/>
  <c r="C6984" i="2"/>
  <c r="C6985" i="2"/>
  <c r="C6986" i="2"/>
  <c r="C6987" i="2"/>
  <c r="C6988" i="2"/>
  <c r="C6989" i="2"/>
  <c r="C6990" i="2"/>
  <c r="C6991" i="2"/>
  <c r="C6992" i="2"/>
  <c r="C6993" i="2"/>
  <c r="C6994" i="2"/>
  <c r="C6995" i="2"/>
  <c r="C6996" i="2"/>
  <c r="C6997" i="2"/>
  <c r="C6998" i="2"/>
  <c r="C6999" i="2"/>
  <c r="C7000" i="2"/>
  <c r="C7001" i="2"/>
  <c r="C7002" i="2"/>
  <c r="C7003" i="2"/>
  <c r="C7004" i="2"/>
  <c r="C7005" i="2"/>
  <c r="C7006" i="2"/>
  <c r="C7007" i="2"/>
  <c r="C7008" i="2"/>
  <c r="C7009" i="2"/>
  <c r="C7010" i="2"/>
  <c r="C7011" i="2"/>
  <c r="C7012" i="2"/>
  <c r="C7013" i="2"/>
  <c r="C7014" i="2"/>
  <c r="C7015" i="2"/>
  <c r="C7016" i="2"/>
  <c r="C7017" i="2"/>
  <c r="C7018" i="2"/>
  <c r="C7019" i="2"/>
  <c r="C7020" i="2"/>
  <c r="C7021" i="2"/>
  <c r="C7022" i="2"/>
  <c r="C7023" i="2"/>
  <c r="C7024" i="2"/>
  <c r="C7025" i="2"/>
  <c r="C7026" i="2"/>
  <c r="C7027" i="2"/>
  <c r="C7028" i="2"/>
  <c r="C7029" i="2"/>
  <c r="C7030" i="2"/>
  <c r="C7031" i="2"/>
  <c r="C7032" i="2"/>
  <c r="C7033" i="2"/>
  <c r="C7034" i="2"/>
  <c r="C7035" i="2"/>
  <c r="C7036" i="2"/>
  <c r="C7037" i="2"/>
  <c r="C7038" i="2"/>
  <c r="C7039" i="2"/>
  <c r="C7040" i="2"/>
  <c r="C7041" i="2"/>
  <c r="C7042" i="2"/>
  <c r="C7043" i="2"/>
  <c r="C7044" i="2"/>
  <c r="C7045" i="2"/>
  <c r="C7046" i="2"/>
  <c r="C7047" i="2"/>
  <c r="C7048" i="2"/>
  <c r="C7049" i="2"/>
  <c r="C7050" i="2"/>
  <c r="C7051" i="2"/>
  <c r="C7052" i="2"/>
  <c r="C7053" i="2"/>
  <c r="C7054" i="2"/>
  <c r="C7055" i="2"/>
  <c r="C7056" i="2"/>
  <c r="C7057" i="2"/>
  <c r="C7058" i="2"/>
  <c r="C7059" i="2"/>
  <c r="C7060" i="2"/>
  <c r="C7061" i="2"/>
  <c r="C7062" i="2"/>
  <c r="C7063" i="2"/>
  <c r="C7064" i="2"/>
  <c r="C7065" i="2"/>
  <c r="C7066" i="2"/>
  <c r="C7067" i="2"/>
  <c r="C7068" i="2"/>
  <c r="C7069" i="2"/>
  <c r="C7070" i="2"/>
  <c r="C7071" i="2"/>
  <c r="C7072" i="2"/>
  <c r="C7073" i="2"/>
  <c r="C7074" i="2"/>
  <c r="C7075" i="2"/>
  <c r="C7076" i="2"/>
  <c r="C7077" i="2"/>
  <c r="C7078" i="2"/>
  <c r="C7079" i="2"/>
  <c r="C7080" i="2"/>
  <c r="C7081" i="2"/>
  <c r="C7082" i="2"/>
  <c r="C7083" i="2"/>
  <c r="C7084" i="2"/>
  <c r="C7085" i="2"/>
  <c r="C7086" i="2"/>
  <c r="C7087" i="2"/>
  <c r="C7088" i="2"/>
  <c r="C7089" i="2"/>
  <c r="C7090" i="2"/>
  <c r="C7091" i="2"/>
  <c r="C7092" i="2"/>
  <c r="C7093" i="2"/>
  <c r="C7094" i="2"/>
  <c r="C7095" i="2"/>
  <c r="C7096" i="2"/>
  <c r="C7097" i="2"/>
  <c r="C7098" i="2"/>
  <c r="C7099" i="2"/>
  <c r="C7100" i="2"/>
  <c r="C7101" i="2"/>
  <c r="C7102" i="2"/>
  <c r="C7103" i="2"/>
  <c r="C7104" i="2"/>
  <c r="C7105" i="2"/>
  <c r="C7106" i="2"/>
  <c r="C7107" i="2"/>
  <c r="C7108" i="2"/>
  <c r="C7109" i="2"/>
  <c r="C7110" i="2"/>
  <c r="C7111" i="2"/>
  <c r="C7112" i="2"/>
  <c r="C7113" i="2"/>
  <c r="C7114" i="2"/>
  <c r="C7115" i="2"/>
  <c r="C7116" i="2"/>
  <c r="C7117" i="2"/>
  <c r="C7118" i="2"/>
  <c r="C7119" i="2"/>
  <c r="C7120" i="2"/>
  <c r="C7121" i="2"/>
  <c r="C7122" i="2"/>
  <c r="C7123" i="2"/>
  <c r="C7124" i="2"/>
  <c r="C7125" i="2"/>
  <c r="C7126" i="2"/>
  <c r="C7127" i="2"/>
  <c r="C7128" i="2"/>
  <c r="C7129" i="2"/>
  <c r="C7130" i="2"/>
  <c r="C7131" i="2"/>
  <c r="C7132" i="2"/>
  <c r="C7133" i="2"/>
  <c r="C7134" i="2"/>
  <c r="C7135" i="2"/>
  <c r="C7136" i="2"/>
  <c r="C7137" i="2"/>
  <c r="C7138" i="2"/>
  <c r="C7139" i="2"/>
  <c r="C7140" i="2"/>
  <c r="C7141" i="2"/>
  <c r="C7142" i="2"/>
  <c r="C7143" i="2"/>
  <c r="C7144" i="2"/>
  <c r="C7145" i="2"/>
  <c r="C7146" i="2"/>
  <c r="C7147" i="2"/>
  <c r="C7148" i="2"/>
  <c r="C7149" i="2"/>
  <c r="C7150" i="2"/>
  <c r="C7151" i="2"/>
  <c r="C7152" i="2"/>
  <c r="C7153" i="2"/>
  <c r="C7154" i="2"/>
  <c r="C7155" i="2"/>
  <c r="C7156" i="2"/>
  <c r="C7157" i="2"/>
  <c r="C7158" i="2"/>
  <c r="C7159" i="2"/>
  <c r="C7160" i="2"/>
  <c r="C7161" i="2"/>
  <c r="C7162" i="2"/>
  <c r="C7163" i="2"/>
  <c r="C7164" i="2"/>
  <c r="C7165" i="2"/>
  <c r="C7166" i="2"/>
  <c r="C7167" i="2"/>
  <c r="C7168" i="2"/>
  <c r="C7169" i="2"/>
  <c r="C7170" i="2"/>
  <c r="C7171" i="2"/>
  <c r="C7172" i="2"/>
  <c r="C7173" i="2"/>
  <c r="C7174" i="2"/>
  <c r="C7175" i="2"/>
  <c r="C7176" i="2"/>
  <c r="C7177" i="2"/>
  <c r="C7178" i="2"/>
  <c r="C7179" i="2"/>
  <c r="C7180" i="2"/>
  <c r="C7181" i="2"/>
  <c r="C7182" i="2"/>
  <c r="C7183" i="2"/>
  <c r="C7184" i="2"/>
  <c r="C7185" i="2"/>
  <c r="C7186" i="2"/>
  <c r="C7187" i="2"/>
  <c r="C7188" i="2"/>
  <c r="C7189" i="2"/>
  <c r="C7190" i="2"/>
  <c r="C7191" i="2"/>
  <c r="C7192" i="2"/>
  <c r="C7193" i="2"/>
  <c r="C7194" i="2"/>
  <c r="C7195" i="2"/>
  <c r="C7196" i="2"/>
  <c r="C7197" i="2"/>
  <c r="C7198" i="2"/>
  <c r="C7199" i="2"/>
  <c r="C7200" i="2"/>
  <c r="C7201" i="2"/>
  <c r="C7202" i="2"/>
  <c r="C7203" i="2"/>
  <c r="C7204" i="2"/>
  <c r="C7205" i="2"/>
  <c r="C7206" i="2"/>
  <c r="C7207" i="2"/>
  <c r="C7208" i="2"/>
  <c r="C7209" i="2"/>
  <c r="C7210" i="2"/>
  <c r="C7211" i="2"/>
  <c r="C7212" i="2"/>
  <c r="C7213" i="2"/>
  <c r="C7214" i="2"/>
  <c r="C7215" i="2"/>
  <c r="C7216" i="2"/>
  <c r="C7217" i="2"/>
  <c r="C7218" i="2"/>
  <c r="C7219" i="2"/>
  <c r="C7220" i="2"/>
  <c r="C7221" i="2"/>
  <c r="C7222" i="2"/>
  <c r="C7223" i="2"/>
  <c r="C7224" i="2"/>
  <c r="C7225" i="2"/>
  <c r="C7226" i="2"/>
  <c r="C7227" i="2"/>
  <c r="C7228" i="2"/>
  <c r="C7229" i="2"/>
  <c r="C7230" i="2"/>
  <c r="C7231" i="2"/>
  <c r="C7232" i="2"/>
  <c r="C7233" i="2"/>
  <c r="C7234" i="2"/>
  <c r="C7235" i="2"/>
  <c r="C7236" i="2"/>
  <c r="C7237" i="2"/>
  <c r="C7238" i="2"/>
  <c r="C7239" i="2"/>
  <c r="C7240" i="2"/>
  <c r="C7241" i="2"/>
  <c r="C7242" i="2"/>
  <c r="C7243" i="2"/>
  <c r="C7244" i="2"/>
  <c r="C7245" i="2"/>
  <c r="C7246" i="2"/>
  <c r="C7247" i="2"/>
  <c r="C7248" i="2"/>
  <c r="C7249" i="2"/>
  <c r="C7250" i="2"/>
  <c r="C7251" i="2"/>
  <c r="C7252" i="2"/>
  <c r="C7253" i="2"/>
  <c r="C7254" i="2"/>
  <c r="C7255" i="2"/>
  <c r="C7256" i="2"/>
  <c r="C7257" i="2"/>
  <c r="C7258" i="2"/>
  <c r="C7259" i="2"/>
  <c r="C7260" i="2"/>
  <c r="C7261" i="2"/>
  <c r="C7262" i="2"/>
  <c r="C7263" i="2"/>
  <c r="C7264" i="2"/>
  <c r="C7265" i="2"/>
  <c r="C7266" i="2"/>
  <c r="C7267" i="2"/>
  <c r="C7268" i="2"/>
  <c r="C7269" i="2"/>
  <c r="C7270" i="2"/>
  <c r="C7271" i="2"/>
  <c r="C7272" i="2"/>
  <c r="C7273" i="2"/>
  <c r="C7274" i="2"/>
  <c r="C7275" i="2"/>
  <c r="C7276" i="2"/>
  <c r="C7277" i="2"/>
  <c r="C7278" i="2"/>
  <c r="C7279" i="2"/>
  <c r="C7280" i="2"/>
  <c r="C7281" i="2"/>
  <c r="C7282" i="2"/>
  <c r="C7283" i="2"/>
  <c r="C7284" i="2"/>
  <c r="C7285" i="2"/>
  <c r="C7286" i="2"/>
  <c r="C7287" i="2"/>
  <c r="C7288" i="2"/>
  <c r="C7289" i="2"/>
  <c r="C7290" i="2"/>
  <c r="C7291" i="2"/>
  <c r="C7292" i="2"/>
  <c r="C7293" i="2"/>
  <c r="C7294" i="2"/>
  <c r="C7295" i="2"/>
  <c r="C7296" i="2"/>
  <c r="C7297" i="2"/>
  <c r="C7298" i="2"/>
  <c r="C7299" i="2"/>
  <c r="C7300" i="2"/>
  <c r="C7301" i="2"/>
  <c r="C7302" i="2"/>
  <c r="C7303" i="2"/>
  <c r="C7304" i="2"/>
  <c r="C7305" i="2"/>
  <c r="C7306" i="2"/>
  <c r="C7307" i="2"/>
  <c r="C7308" i="2"/>
  <c r="C7309" i="2"/>
  <c r="C7310" i="2"/>
  <c r="C7311" i="2"/>
  <c r="C7312" i="2"/>
  <c r="C7313" i="2"/>
  <c r="C7314" i="2"/>
  <c r="C7315" i="2"/>
  <c r="C7316" i="2"/>
  <c r="C7317" i="2"/>
  <c r="C7318" i="2"/>
  <c r="C7319" i="2"/>
  <c r="C7320" i="2"/>
  <c r="C7321" i="2"/>
  <c r="C7322" i="2"/>
  <c r="C7323" i="2"/>
  <c r="C7324" i="2"/>
  <c r="C7325" i="2"/>
  <c r="C7326" i="2"/>
  <c r="C7327" i="2"/>
  <c r="C7328" i="2"/>
  <c r="C7329" i="2"/>
  <c r="C7330" i="2"/>
  <c r="C7331" i="2"/>
  <c r="C7332" i="2"/>
  <c r="C7333" i="2"/>
  <c r="C7334" i="2"/>
  <c r="C7335" i="2"/>
  <c r="C7336" i="2"/>
  <c r="C7337" i="2"/>
  <c r="C7338" i="2"/>
  <c r="C7339" i="2"/>
  <c r="C7340" i="2"/>
  <c r="C7341" i="2"/>
  <c r="C7342" i="2"/>
  <c r="C7343" i="2"/>
  <c r="C7344" i="2"/>
  <c r="C7345" i="2"/>
  <c r="C7346" i="2"/>
  <c r="C7347" i="2"/>
  <c r="C7348" i="2"/>
  <c r="C7349" i="2"/>
  <c r="C7350" i="2"/>
  <c r="C7351" i="2"/>
  <c r="C7352" i="2"/>
  <c r="C7353" i="2"/>
  <c r="C7354" i="2"/>
  <c r="C7355" i="2"/>
  <c r="C7356" i="2"/>
  <c r="C7357" i="2"/>
  <c r="C7358" i="2"/>
  <c r="C7359" i="2"/>
  <c r="C7360" i="2"/>
  <c r="C7361" i="2"/>
  <c r="C7362" i="2"/>
  <c r="C7363" i="2"/>
  <c r="C7364" i="2"/>
  <c r="C7365" i="2"/>
  <c r="C7366" i="2"/>
  <c r="C7367" i="2"/>
  <c r="C7368" i="2"/>
  <c r="C7369" i="2"/>
  <c r="C7370" i="2"/>
  <c r="C7371" i="2"/>
  <c r="C7372" i="2"/>
  <c r="C7373" i="2"/>
  <c r="C7374" i="2"/>
  <c r="C7375" i="2"/>
  <c r="C7376" i="2"/>
  <c r="C7377" i="2"/>
  <c r="C7378" i="2"/>
  <c r="C7379" i="2"/>
  <c r="C7380" i="2"/>
  <c r="C7381" i="2"/>
  <c r="C7382" i="2"/>
  <c r="C7383" i="2"/>
  <c r="C7384" i="2"/>
  <c r="C7385" i="2"/>
  <c r="C7386" i="2"/>
  <c r="C7387" i="2"/>
  <c r="C7388" i="2"/>
  <c r="C7389" i="2"/>
  <c r="C7390" i="2"/>
  <c r="C7391" i="2"/>
  <c r="C7392" i="2"/>
  <c r="C7393" i="2"/>
  <c r="C7394" i="2"/>
  <c r="C7395" i="2"/>
  <c r="C7396" i="2"/>
  <c r="C7397" i="2"/>
  <c r="C7398" i="2"/>
  <c r="C7399" i="2"/>
  <c r="C7400" i="2"/>
  <c r="C7401" i="2"/>
  <c r="C7402" i="2"/>
  <c r="C7403" i="2"/>
  <c r="C7404" i="2"/>
  <c r="C7405" i="2"/>
  <c r="C7406" i="2"/>
  <c r="C7407" i="2"/>
  <c r="C7408" i="2"/>
  <c r="C7409" i="2"/>
  <c r="C7410" i="2"/>
  <c r="C7411" i="2"/>
  <c r="C7412" i="2"/>
  <c r="C7413" i="2"/>
  <c r="C7414" i="2"/>
  <c r="C7415" i="2"/>
  <c r="C7416" i="2"/>
  <c r="C7417" i="2"/>
  <c r="C7418" i="2"/>
  <c r="C7419" i="2"/>
  <c r="C7420" i="2"/>
  <c r="C7421" i="2"/>
  <c r="C7422" i="2"/>
  <c r="C7423" i="2"/>
  <c r="C7424" i="2"/>
  <c r="C7425" i="2"/>
  <c r="C7426" i="2"/>
  <c r="C7427" i="2"/>
  <c r="C7428" i="2"/>
  <c r="C7429" i="2"/>
  <c r="C7430" i="2"/>
  <c r="C7431" i="2"/>
  <c r="C7432" i="2"/>
  <c r="C7433" i="2"/>
  <c r="C7434" i="2"/>
  <c r="C7435" i="2"/>
  <c r="C7436" i="2"/>
  <c r="C7437" i="2"/>
  <c r="C7438" i="2"/>
  <c r="C7439" i="2"/>
  <c r="C7440" i="2"/>
  <c r="C7441" i="2"/>
  <c r="C7442" i="2"/>
  <c r="C7443" i="2"/>
  <c r="C7444" i="2"/>
  <c r="C7445" i="2"/>
  <c r="C7446" i="2"/>
  <c r="C7447" i="2"/>
  <c r="C7448" i="2"/>
  <c r="C7449" i="2"/>
  <c r="C7450" i="2"/>
  <c r="C7451" i="2"/>
  <c r="C7452" i="2"/>
  <c r="C7453" i="2"/>
  <c r="C7454" i="2"/>
  <c r="C7455" i="2"/>
  <c r="C7456" i="2"/>
  <c r="C7457" i="2"/>
  <c r="C7458" i="2"/>
  <c r="C7459" i="2"/>
  <c r="C7460" i="2"/>
  <c r="C7461" i="2"/>
  <c r="C7462" i="2"/>
  <c r="C7463" i="2"/>
  <c r="C7464" i="2"/>
  <c r="C7465" i="2"/>
  <c r="C7466" i="2"/>
  <c r="C7467" i="2"/>
  <c r="C7468" i="2"/>
  <c r="C7469" i="2"/>
  <c r="C7470" i="2"/>
  <c r="C7471" i="2"/>
  <c r="C7472" i="2"/>
  <c r="C7473" i="2"/>
  <c r="C7474" i="2"/>
  <c r="C7475" i="2"/>
  <c r="C7476" i="2"/>
  <c r="C7477" i="2"/>
  <c r="C7478" i="2"/>
  <c r="C7479" i="2"/>
  <c r="C7480" i="2"/>
  <c r="C7481" i="2"/>
  <c r="C7482" i="2"/>
  <c r="C7483" i="2"/>
  <c r="C7484" i="2"/>
  <c r="C7485" i="2"/>
  <c r="C7486" i="2"/>
  <c r="C7487" i="2"/>
  <c r="C7488" i="2"/>
  <c r="C7489" i="2"/>
  <c r="C7490" i="2"/>
  <c r="C7491" i="2"/>
  <c r="C7492" i="2"/>
  <c r="C7493" i="2"/>
  <c r="C7494" i="2"/>
  <c r="C7495" i="2"/>
  <c r="C7496" i="2"/>
  <c r="C7497" i="2"/>
  <c r="C7498" i="2"/>
  <c r="C7499" i="2"/>
  <c r="C7500" i="2"/>
  <c r="C7501" i="2"/>
  <c r="C7502" i="2"/>
  <c r="C7503" i="2"/>
  <c r="C7504" i="2"/>
  <c r="C7505" i="2"/>
  <c r="C7506" i="2"/>
  <c r="C7507" i="2"/>
  <c r="C7508" i="2"/>
  <c r="C7509" i="2"/>
  <c r="C7510" i="2"/>
  <c r="C7511" i="2"/>
  <c r="C7512" i="2"/>
  <c r="C7513" i="2"/>
  <c r="C7514" i="2"/>
  <c r="C7515" i="2"/>
  <c r="C7516" i="2"/>
  <c r="C7517" i="2"/>
  <c r="C7518" i="2"/>
  <c r="C7519" i="2"/>
  <c r="C7520" i="2"/>
  <c r="C7521" i="2"/>
  <c r="C7522" i="2"/>
  <c r="C7523" i="2"/>
  <c r="C7524" i="2"/>
  <c r="C7525" i="2"/>
  <c r="C7526" i="2"/>
  <c r="C7527" i="2"/>
  <c r="C7528" i="2"/>
  <c r="C7529" i="2"/>
  <c r="C7530" i="2"/>
  <c r="C7531" i="2"/>
  <c r="C7532" i="2"/>
  <c r="C7533" i="2"/>
  <c r="C7534" i="2"/>
  <c r="C7535" i="2"/>
  <c r="C7536" i="2"/>
  <c r="C7537" i="2"/>
  <c r="C7538" i="2"/>
  <c r="C7539" i="2"/>
  <c r="C7540" i="2"/>
  <c r="C7541" i="2"/>
  <c r="C7542" i="2"/>
  <c r="C7543" i="2"/>
  <c r="C7544" i="2"/>
  <c r="C7545" i="2"/>
  <c r="C7546" i="2"/>
  <c r="C7547" i="2"/>
  <c r="C7548" i="2"/>
  <c r="C7549" i="2"/>
  <c r="C7550" i="2"/>
  <c r="C7551" i="2"/>
  <c r="C7552" i="2"/>
  <c r="C7553" i="2"/>
  <c r="C7554" i="2"/>
  <c r="C7555" i="2"/>
  <c r="C7556" i="2"/>
  <c r="C7557" i="2"/>
  <c r="C7558" i="2"/>
  <c r="C7559" i="2"/>
  <c r="C7560" i="2"/>
  <c r="C7561" i="2"/>
  <c r="C7562" i="2"/>
  <c r="C7563" i="2"/>
  <c r="C7564" i="2"/>
  <c r="C7565" i="2"/>
  <c r="C7566" i="2"/>
  <c r="C7567" i="2"/>
  <c r="C7568" i="2"/>
  <c r="C7569" i="2"/>
  <c r="C7570" i="2"/>
  <c r="C7571" i="2"/>
  <c r="C7572" i="2"/>
  <c r="C7573" i="2"/>
  <c r="C7574" i="2"/>
  <c r="C7575" i="2"/>
  <c r="C7576" i="2"/>
  <c r="C7577" i="2"/>
  <c r="C7578" i="2"/>
  <c r="C7579" i="2"/>
  <c r="C7580" i="2"/>
  <c r="C7581" i="2"/>
  <c r="C7582" i="2"/>
  <c r="C7583" i="2"/>
  <c r="C7584" i="2"/>
  <c r="C7585" i="2"/>
  <c r="C7586" i="2"/>
  <c r="C7587" i="2"/>
  <c r="C7588" i="2"/>
  <c r="C7589" i="2"/>
  <c r="C7590" i="2"/>
  <c r="C7591" i="2"/>
  <c r="C7592" i="2"/>
  <c r="C7593" i="2"/>
  <c r="C7594" i="2"/>
  <c r="C7595" i="2"/>
  <c r="C7596" i="2"/>
  <c r="C7597" i="2"/>
  <c r="C7598" i="2"/>
  <c r="C7599" i="2"/>
  <c r="C7600" i="2"/>
  <c r="C7601" i="2"/>
  <c r="C7602" i="2"/>
  <c r="C7603" i="2"/>
  <c r="C7604" i="2"/>
  <c r="C7605" i="2"/>
  <c r="C7606" i="2"/>
  <c r="C7607" i="2"/>
  <c r="C7608" i="2"/>
  <c r="C7609" i="2"/>
  <c r="C7610" i="2"/>
  <c r="C7611" i="2"/>
  <c r="C7612" i="2"/>
  <c r="C7613" i="2"/>
  <c r="C7614" i="2"/>
  <c r="C7615" i="2"/>
  <c r="C7616" i="2"/>
  <c r="C7617" i="2"/>
  <c r="C7618" i="2"/>
  <c r="C7619" i="2"/>
  <c r="C7620" i="2"/>
  <c r="C7621" i="2"/>
  <c r="C7622" i="2"/>
  <c r="C7623" i="2"/>
  <c r="C7624" i="2"/>
  <c r="C7625" i="2"/>
  <c r="C7626" i="2"/>
  <c r="C7627" i="2"/>
  <c r="C7628" i="2"/>
  <c r="C7629" i="2"/>
  <c r="C7630" i="2"/>
  <c r="C7631" i="2"/>
  <c r="C7632" i="2"/>
  <c r="C7633" i="2"/>
  <c r="C7634" i="2"/>
  <c r="C7635" i="2"/>
  <c r="C7636" i="2"/>
  <c r="C7637" i="2"/>
  <c r="C7638" i="2"/>
  <c r="C7639" i="2"/>
  <c r="C7640" i="2"/>
  <c r="C7641" i="2"/>
  <c r="C7642" i="2"/>
  <c r="C7643" i="2"/>
  <c r="C7644" i="2"/>
  <c r="C7645" i="2"/>
  <c r="C7646" i="2"/>
  <c r="C7647" i="2"/>
  <c r="C7648" i="2"/>
  <c r="C7649" i="2"/>
  <c r="C7650" i="2"/>
  <c r="C7651" i="2"/>
  <c r="C7652" i="2"/>
  <c r="C7653" i="2"/>
  <c r="C7654" i="2"/>
  <c r="C7655" i="2"/>
  <c r="C7656" i="2"/>
  <c r="C7657" i="2"/>
  <c r="C7658" i="2"/>
  <c r="C7659" i="2"/>
  <c r="C7660" i="2"/>
  <c r="C7661" i="2"/>
  <c r="C7662" i="2"/>
  <c r="C7663" i="2"/>
  <c r="C7664" i="2"/>
  <c r="C7665" i="2"/>
  <c r="C7666" i="2"/>
  <c r="C7667" i="2"/>
  <c r="C7668" i="2"/>
  <c r="C7669" i="2"/>
  <c r="C7670" i="2"/>
  <c r="C7671" i="2"/>
  <c r="C7672" i="2"/>
  <c r="C7673" i="2"/>
  <c r="C7674" i="2"/>
  <c r="C7675" i="2"/>
  <c r="C7676" i="2"/>
  <c r="C7677" i="2"/>
  <c r="C7678" i="2"/>
  <c r="C7679" i="2"/>
  <c r="C7680" i="2"/>
  <c r="C7681" i="2"/>
  <c r="C7682" i="2"/>
  <c r="C7683" i="2"/>
  <c r="C7684" i="2"/>
  <c r="C7685" i="2"/>
  <c r="C7686" i="2"/>
  <c r="C7687" i="2"/>
  <c r="C7688" i="2"/>
  <c r="C7689" i="2"/>
  <c r="C7690" i="2"/>
  <c r="C7691" i="2"/>
  <c r="C7692" i="2"/>
  <c r="C7693" i="2"/>
  <c r="C7694" i="2"/>
  <c r="C7695" i="2"/>
  <c r="C7696" i="2"/>
  <c r="C7697" i="2"/>
  <c r="C7698" i="2"/>
  <c r="C7699" i="2"/>
  <c r="C7700" i="2"/>
  <c r="C7701" i="2"/>
  <c r="C7702" i="2"/>
  <c r="C7703" i="2"/>
  <c r="C7704" i="2"/>
  <c r="C7705" i="2"/>
  <c r="C7706" i="2"/>
  <c r="C7707" i="2"/>
  <c r="C7708" i="2"/>
  <c r="C7709" i="2"/>
  <c r="C7710" i="2"/>
  <c r="C7711" i="2"/>
  <c r="C7712" i="2"/>
  <c r="C7713" i="2"/>
  <c r="C7714" i="2"/>
  <c r="C7715" i="2"/>
  <c r="C7716" i="2"/>
  <c r="C7717" i="2"/>
  <c r="C7718" i="2"/>
  <c r="C7719" i="2"/>
  <c r="C7720" i="2"/>
  <c r="C7721" i="2"/>
  <c r="C7722" i="2"/>
  <c r="C7723" i="2"/>
  <c r="C7724" i="2"/>
  <c r="C7725" i="2"/>
  <c r="C7726" i="2"/>
  <c r="C7727" i="2"/>
  <c r="C7728" i="2"/>
  <c r="C7729" i="2"/>
  <c r="C7730" i="2"/>
  <c r="C7731" i="2"/>
  <c r="C7732" i="2"/>
  <c r="C7733" i="2"/>
  <c r="C7734" i="2"/>
  <c r="C7735" i="2"/>
  <c r="C7736" i="2"/>
  <c r="C7737" i="2"/>
  <c r="C7738" i="2"/>
  <c r="C7739" i="2"/>
  <c r="C7740" i="2"/>
  <c r="C7741" i="2"/>
  <c r="C7742" i="2"/>
  <c r="C7743" i="2"/>
  <c r="C7744" i="2"/>
  <c r="C7745" i="2"/>
  <c r="C7746" i="2"/>
  <c r="C7747" i="2"/>
  <c r="C7748" i="2"/>
  <c r="C7749" i="2"/>
  <c r="C7750" i="2"/>
  <c r="C7751" i="2"/>
  <c r="C7752" i="2"/>
  <c r="C7753" i="2"/>
  <c r="C7754" i="2"/>
  <c r="C7755" i="2"/>
  <c r="C7756" i="2"/>
  <c r="C7757" i="2"/>
  <c r="C7758" i="2"/>
  <c r="C7759" i="2"/>
  <c r="C7760" i="2"/>
  <c r="C7761" i="2"/>
  <c r="C7762" i="2"/>
  <c r="C7763" i="2"/>
  <c r="C7764" i="2"/>
  <c r="C7765" i="2"/>
  <c r="C7766" i="2"/>
  <c r="C7767" i="2"/>
  <c r="C7768" i="2"/>
  <c r="C7769" i="2"/>
  <c r="C7770" i="2"/>
  <c r="C7771" i="2"/>
  <c r="C7772" i="2"/>
  <c r="C7773" i="2"/>
  <c r="C7774" i="2"/>
  <c r="C7775" i="2"/>
  <c r="C7776" i="2"/>
  <c r="C7777" i="2"/>
  <c r="C7778" i="2"/>
  <c r="C7779" i="2"/>
  <c r="C7780" i="2"/>
  <c r="C7781" i="2"/>
  <c r="C7782" i="2"/>
  <c r="C7783" i="2"/>
  <c r="C7784" i="2"/>
  <c r="C7785" i="2"/>
  <c r="C7786" i="2"/>
  <c r="C7787" i="2"/>
  <c r="C7788" i="2"/>
  <c r="C7789" i="2"/>
  <c r="C7790" i="2"/>
  <c r="C7791" i="2"/>
  <c r="C7792" i="2"/>
  <c r="C7793" i="2"/>
  <c r="C7794" i="2"/>
  <c r="C7795" i="2"/>
  <c r="C7796" i="2"/>
  <c r="C7797" i="2"/>
  <c r="C7798" i="2"/>
  <c r="C7799" i="2"/>
  <c r="C7800" i="2"/>
  <c r="C7801" i="2"/>
  <c r="C7802" i="2"/>
  <c r="C7803" i="2"/>
  <c r="C7804" i="2"/>
  <c r="C7805" i="2"/>
  <c r="C7806" i="2"/>
  <c r="C7807" i="2"/>
  <c r="C7808" i="2"/>
  <c r="C7809" i="2"/>
  <c r="C7810" i="2"/>
  <c r="C7811" i="2"/>
  <c r="C7812" i="2"/>
  <c r="C7813" i="2"/>
  <c r="C7814" i="2"/>
  <c r="C7815" i="2"/>
  <c r="C7816" i="2"/>
  <c r="C7817" i="2"/>
  <c r="C7818" i="2"/>
  <c r="C7819" i="2"/>
  <c r="C7820" i="2"/>
  <c r="C7821" i="2"/>
  <c r="C7822" i="2"/>
  <c r="C7823" i="2"/>
  <c r="C7824" i="2"/>
  <c r="C7825" i="2"/>
  <c r="C7826" i="2"/>
  <c r="C7827" i="2"/>
  <c r="C7828" i="2"/>
  <c r="C7829" i="2"/>
  <c r="C7830" i="2"/>
  <c r="C7831" i="2"/>
  <c r="C7832" i="2"/>
  <c r="C7833" i="2"/>
  <c r="C7834" i="2"/>
  <c r="C7835" i="2"/>
  <c r="C7836" i="2"/>
  <c r="C7837" i="2"/>
  <c r="C7838" i="2"/>
  <c r="C7839" i="2"/>
  <c r="C7840" i="2"/>
  <c r="C7841" i="2"/>
  <c r="C7842" i="2"/>
  <c r="C7843" i="2"/>
  <c r="C7844" i="2"/>
  <c r="C7845" i="2"/>
  <c r="C7846" i="2"/>
  <c r="C7847" i="2"/>
  <c r="C7848" i="2"/>
  <c r="C7849" i="2"/>
  <c r="C7850" i="2"/>
  <c r="C7851" i="2"/>
  <c r="C7852" i="2"/>
  <c r="C7853" i="2"/>
  <c r="C7854" i="2"/>
  <c r="C7855" i="2"/>
  <c r="C7856" i="2"/>
  <c r="C7857" i="2"/>
  <c r="C7858" i="2"/>
  <c r="C7859" i="2"/>
  <c r="C7860" i="2"/>
  <c r="C7861" i="2"/>
  <c r="C7862" i="2"/>
  <c r="C7863" i="2"/>
  <c r="C7864" i="2"/>
  <c r="C7865" i="2"/>
  <c r="C7866" i="2"/>
  <c r="C7867" i="2"/>
  <c r="C7868" i="2"/>
  <c r="C7869" i="2"/>
  <c r="C7870" i="2"/>
  <c r="C7871" i="2"/>
  <c r="C7872" i="2"/>
  <c r="C7873" i="2"/>
  <c r="C7874" i="2"/>
  <c r="C7875" i="2"/>
  <c r="C7876" i="2"/>
  <c r="C7877" i="2"/>
  <c r="C7878" i="2"/>
  <c r="C7879" i="2"/>
  <c r="C7880" i="2"/>
  <c r="C7881" i="2"/>
  <c r="C7882" i="2"/>
  <c r="C7883" i="2"/>
  <c r="C7884" i="2"/>
  <c r="C7885" i="2"/>
  <c r="C7886" i="2"/>
  <c r="C7887" i="2"/>
  <c r="C7888" i="2"/>
  <c r="C7889" i="2"/>
  <c r="C7890" i="2"/>
  <c r="C7891" i="2"/>
  <c r="C7892" i="2"/>
  <c r="C7893" i="2"/>
  <c r="C7894" i="2"/>
  <c r="C7895" i="2"/>
  <c r="C7896" i="2"/>
  <c r="C7897" i="2"/>
  <c r="C7898" i="2"/>
  <c r="C7899" i="2"/>
  <c r="C7900" i="2"/>
  <c r="C7901" i="2"/>
  <c r="C7902" i="2"/>
  <c r="C7903" i="2"/>
  <c r="C7904" i="2"/>
  <c r="C7905" i="2"/>
  <c r="C7906" i="2"/>
  <c r="C7907" i="2"/>
  <c r="C7908" i="2"/>
  <c r="C7909" i="2"/>
  <c r="C7910" i="2"/>
  <c r="C7911" i="2"/>
  <c r="C7912" i="2"/>
  <c r="C7913" i="2"/>
  <c r="C7914" i="2"/>
  <c r="C7915" i="2"/>
  <c r="C7916" i="2"/>
  <c r="C7917" i="2"/>
  <c r="C7918" i="2"/>
  <c r="C7919" i="2"/>
  <c r="C7920" i="2"/>
  <c r="C7921" i="2"/>
  <c r="C7922" i="2"/>
  <c r="C7923" i="2"/>
  <c r="C7924" i="2"/>
  <c r="C7925" i="2"/>
  <c r="C7926" i="2"/>
  <c r="C7927" i="2"/>
  <c r="C7928" i="2"/>
  <c r="C7929" i="2"/>
  <c r="C7930" i="2"/>
  <c r="C7931" i="2"/>
  <c r="C7932" i="2"/>
  <c r="C7933" i="2"/>
  <c r="C7934" i="2"/>
  <c r="C7935" i="2"/>
  <c r="C7936" i="2"/>
  <c r="C7937" i="2"/>
  <c r="C7938" i="2"/>
  <c r="C7939" i="2"/>
  <c r="C7940" i="2"/>
  <c r="C7941" i="2"/>
  <c r="C7942" i="2"/>
  <c r="C7943" i="2"/>
  <c r="C7944" i="2"/>
  <c r="C7945" i="2"/>
  <c r="C7946" i="2"/>
  <c r="C7947" i="2"/>
  <c r="C7948" i="2"/>
  <c r="C7949" i="2"/>
  <c r="C7950" i="2"/>
  <c r="C7951" i="2"/>
  <c r="C7952" i="2"/>
  <c r="C7953" i="2"/>
  <c r="C7954" i="2"/>
  <c r="C7955" i="2"/>
  <c r="C7956" i="2"/>
  <c r="C7957" i="2"/>
  <c r="C7958" i="2"/>
  <c r="C7959" i="2"/>
  <c r="C7960" i="2"/>
  <c r="C7961" i="2"/>
  <c r="C7962" i="2"/>
  <c r="C7963" i="2"/>
  <c r="C7964" i="2"/>
  <c r="C7965" i="2"/>
  <c r="C7966" i="2"/>
  <c r="C7967" i="2"/>
  <c r="C7968" i="2"/>
  <c r="C7969" i="2"/>
  <c r="C7970" i="2"/>
  <c r="C7971" i="2"/>
  <c r="C7972" i="2"/>
  <c r="C7973" i="2"/>
  <c r="C7974" i="2"/>
  <c r="C7975" i="2"/>
  <c r="C7976" i="2"/>
  <c r="C7977" i="2"/>
  <c r="C7978" i="2"/>
  <c r="C7979" i="2"/>
  <c r="C7980" i="2"/>
  <c r="C7981" i="2"/>
  <c r="C7982" i="2"/>
  <c r="C7983" i="2"/>
  <c r="C7984" i="2"/>
  <c r="C7985" i="2"/>
  <c r="C7986" i="2"/>
  <c r="C7987" i="2"/>
  <c r="C7988" i="2"/>
  <c r="C7989" i="2"/>
  <c r="C7990" i="2"/>
  <c r="C7991" i="2"/>
  <c r="C7992" i="2"/>
  <c r="C7993" i="2"/>
  <c r="C7994" i="2"/>
  <c r="C7995" i="2"/>
  <c r="C7996" i="2"/>
  <c r="C7997" i="2"/>
  <c r="C7998" i="2"/>
  <c r="C7999" i="2"/>
  <c r="C8000" i="2"/>
  <c r="C8001" i="2"/>
  <c r="C8002" i="2"/>
  <c r="C8003" i="2"/>
  <c r="C8004" i="2"/>
  <c r="C8005" i="2"/>
  <c r="C8006" i="2"/>
  <c r="C8007" i="2"/>
  <c r="C8008" i="2"/>
  <c r="C8009" i="2"/>
  <c r="C8010" i="2"/>
  <c r="C8011" i="2"/>
  <c r="C8012" i="2"/>
  <c r="C8013" i="2"/>
  <c r="C8014" i="2"/>
  <c r="C8015" i="2"/>
  <c r="C8016" i="2"/>
  <c r="C8017" i="2"/>
  <c r="C8018" i="2"/>
  <c r="C8019" i="2"/>
  <c r="C8020" i="2"/>
  <c r="C8021" i="2"/>
  <c r="C8022" i="2"/>
  <c r="C8023" i="2"/>
  <c r="C8024" i="2"/>
  <c r="C8025" i="2"/>
  <c r="C8026" i="2"/>
  <c r="C8027" i="2"/>
  <c r="C8028" i="2"/>
  <c r="C8029" i="2"/>
  <c r="C8030" i="2"/>
  <c r="C8031" i="2"/>
  <c r="C8032" i="2"/>
  <c r="C8033" i="2"/>
  <c r="C8034" i="2"/>
  <c r="C8035" i="2"/>
  <c r="C8036" i="2"/>
  <c r="C8037" i="2"/>
  <c r="C8038" i="2"/>
  <c r="C8039" i="2"/>
  <c r="C8040" i="2"/>
  <c r="C8041" i="2"/>
  <c r="C8042" i="2"/>
  <c r="C8043" i="2"/>
  <c r="C8044" i="2"/>
  <c r="C8045" i="2"/>
  <c r="C8046" i="2"/>
  <c r="C8047" i="2"/>
  <c r="C8048" i="2"/>
  <c r="C8049" i="2"/>
  <c r="C8050" i="2"/>
  <c r="C8051" i="2"/>
  <c r="C8052" i="2"/>
  <c r="C8053" i="2"/>
  <c r="C8054" i="2"/>
  <c r="C8055" i="2"/>
  <c r="C8056" i="2"/>
  <c r="C8057" i="2"/>
  <c r="C8058" i="2"/>
  <c r="C8059" i="2"/>
  <c r="C8060" i="2"/>
  <c r="C8061" i="2"/>
  <c r="C8062" i="2"/>
  <c r="C8063" i="2"/>
  <c r="C8064" i="2"/>
  <c r="C8065" i="2"/>
  <c r="C8066" i="2"/>
  <c r="C8067" i="2"/>
  <c r="C8068" i="2"/>
  <c r="C8069" i="2"/>
  <c r="C8070" i="2"/>
  <c r="C8071" i="2"/>
  <c r="C8072" i="2"/>
  <c r="C8073" i="2"/>
  <c r="C8074" i="2"/>
  <c r="C8075" i="2"/>
  <c r="C8076" i="2"/>
  <c r="C8077" i="2"/>
  <c r="C8078" i="2"/>
  <c r="C8079" i="2"/>
  <c r="C8080" i="2"/>
  <c r="C8081" i="2"/>
  <c r="C8082" i="2"/>
  <c r="C8083" i="2"/>
  <c r="C8084" i="2"/>
  <c r="C8085" i="2"/>
  <c r="C8086" i="2"/>
  <c r="C8087" i="2"/>
  <c r="C8088" i="2"/>
  <c r="C8089" i="2"/>
  <c r="C8090" i="2"/>
  <c r="C8091" i="2"/>
  <c r="C8092" i="2"/>
  <c r="C8093" i="2"/>
  <c r="C8094" i="2"/>
  <c r="C8095" i="2"/>
  <c r="C8096" i="2"/>
  <c r="C8097" i="2"/>
  <c r="C8098" i="2"/>
  <c r="C8099" i="2"/>
  <c r="C8100" i="2"/>
  <c r="C8101" i="2"/>
  <c r="C8102" i="2"/>
  <c r="C8103" i="2"/>
  <c r="C8104" i="2"/>
  <c r="C8105" i="2"/>
  <c r="C8106" i="2"/>
  <c r="C8107" i="2"/>
  <c r="C8108" i="2"/>
  <c r="C8109" i="2"/>
  <c r="C8110" i="2"/>
  <c r="C8111" i="2"/>
  <c r="C8112" i="2"/>
  <c r="C8113" i="2"/>
  <c r="C8114" i="2"/>
  <c r="C8115" i="2"/>
  <c r="C8116" i="2"/>
  <c r="C8117" i="2"/>
  <c r="C8118" i="2"/>
  <c r="C8119" i="2"/>
  <c r="C8120" i="2"/>
  <c r="C8121" i="2"/>
  <c r="C8122" i="2"/>
  <c r="C8123" i="2"/>
  <c r="C8124" i="2"/>
  <c r="C8125" i="2"/>
  <c r="C8126" i="2"/>
  <c r="C8127" i="2"/>
  <c r="C8128" i="2"/>
  <c r="C8129" i="2"/>
  <c r="C8130" i="2"/>
  <c r="C8131" i="2"/>
  <c r="C8132" i="2"/>
  <c r="C8133" i="2"/>
  <c r="C8134" i="2"/>
  <c r="C8135" i="2"/>
  <c r="C8136" i="2"/>
  <c r="C8137" i="2"/>
  <c r="C8138" i="2"/>
  <c r="C8139" i="2"/>
  <c r="C8140" i="2"/>
  <c r="C8141" i="2"/>
  <c r="C8142" i="2"/>
  <c r="C8143" i="2"/>
  <c r="C8144" i="2"/>
  <c r="C8145" i="2"/>
  <c r="C8146" i="2"/>
  <c r="C8147" i="2"/>
  <c r="C8148" i="2"/>
  <c r="C8149" i="2"/>
  <c r="C8150" i="2"/>
  <c r="C8151" i="2"/>
  <c r="C8152" i="2"/>
  <c r="C8153" i="2"/>
  <c r="C8154" i="2"/>
  <c r="C8155" i="2"/>
  <c r="C8156" i="2"/>
  <c r="C8157" i="2"/>
  <c r="C8158" i="2"/>
  <c r="C8159" i="2"/>
  <c r="C8160" i="2"/>
  <c r="C8161" i="2"/>
  <c r="C8162" i="2"/>
  <c r="C8163" i="2"/>
  <c r="C8164" i="2"/>
  <c r="C8165" i="2"/>
  <c r="C8166" i="2"/>
  <c r="C8167" i="2"/>
  <c r="C8168" i="2"/>
  <c r="C8169" i="2"/>
  <c r="C8170" i="2"/>
  <c r="C8171" i="2"/>
  <c r="C8172" i="2"/>
  <c r="C8173" i="2"/>
  <c r="C8174" i="2"/>
  <c r="C8175" i="2"/>
  <c r="C8176" i="2"/>
  <c r="C8177" i="2"/>
  <c r="C8178" i="2"/>
  <c r="C8179" i="2"/>
  <c r="C8180" i="2"/>
  <c r="C8181" i="2"/>
  <c r="C8182" i="2"/>
  <c r="C8183" i="2"/>
  <c r="C8184" i="2"/>
  <c r="C8185" i="2"/>
  <c r="C8186" i="2"/>
  <c r="C8187" i="2"/>
  <c r="C8188" i="2"/>
  <c r="C8189" i="2"/>
  <c r="C8190" i="2"/>
  <c r="C8191" i="2"/>
  <c r="C8192" i="2"/>
  <c r="C8193" i="2"/>
  <c r="C8194" i="2"/>
  <c r="C8195" i="2"/>
  <c r="C8196" i="2"/>
  <c r="C8197" i="2"/>
  <c r="C8198" i="2"/>
  <c r="C8199" i="2"/>
  <c r="C8200" i="2"/>
  <c r="C8201" i="2"/>
  <c r="C8202" i="2"/>
  <c r="C8203" i="2"/>
  <c r="C8204" i="2"/>
  <c r="C8205" i="2"/>
  <c r="C8206" i="2"/>
  <c r="C8207" i="2"/>
  <c r="C8208" i="2"/>
  <c r="C8209" i="2"/>
  <c r="C8210" i="2"/>
  <c r="C8211" i="2"/>
  <c r="C8212" i="2"/>
  <c r="C8213" i="2"/>
  <c r="C8214" i="2"/>
  <c r="C8215" i="2"/>
  <c r="C8216" i="2"/>
  <c r="C8217" i="2"/>
  <c r="C8218" i="2"/>
  <c r="C8219" i="2"/>
  <c r="C8220" i="2"/>
  <c r="C8221" i="2"/>
  <c r="C8222" i="2"/>
  <c r="C8223" i="2"/>
  <c r="C8224" i="2"/>
  <c r="C8225" i="2"/>
  <c r="C8226" i="2"/>
  <c r="C8227" i="2"/>
  <c r="C8228" i="2"/>
  <c r="C8229" i="2"/>
  <c r="C8230" i="2"/>
  <c r="C8231" i="2"/>
  <c r="C8232" i="2"/>
  <c r="C8233" i="2"/>
  <c r="C8234" i="2"/>
  <c r="C8235" i="2"/>
  <c r="C8236" i="2"/>
  <c r="C8237" i="2"/>
  <c r="C8238" i="2"/>
  <c r="C8239" i="2"/>
  <c r="C8240" i="2"/>
  <c r="C8241" i="2"/>
  <c r="C8242" i="2"/>
  <c r="C8243" i="2"/>
  <c r="C8244" i="2"/>
  <c r="C8245" i="2"/>
  <c r="C8246" i="2"/>
  <c r="C8247" i="2"/>
  <c r="C8248" i="2"/>
  <c r="C8249" i="2"/>
  <c r="C8250" i="2"/>
  <c r="C8251" i="2"/>
  <c r="C8252" i="2"/>
  <c r="C8253" i="2"/>
  <c r="C8254" i="2"/>
  <c r="C8255" i="2"/>
  <c r="C8256" i="2"/>
  <c r="C8257" i="2"/>
  <c r="C8258" i="2"/>
  <c r="C8259" i="2"/>
  <c r="C8260" i="2"/>
  <c r="C8261" i="2"/>
  <c r="C8262" i="2"/>
  <c r="C8263" i="2"/>
  <c r="C8264" i="2"/>
  <c r="C8265" i="2"/>
  <c r="C8266" i="2"/>
  <c r="C8267" i="2"/>
  <c r="C8268" i="2"/>
  <c r="C8269" i="2"/>
  <c r="C8270" i="2"/>
  <c r="C8271" i="2"/>
  <c r="C8272" i="2"/>
  <c r="C8273" i="2"/>
  <c r="C8274" i="2"/>
  <c r="C8275" i="2"/>
  <c r="C8276" i="2"/>
  <c r="C8277" i="2"/>
  <c r="C8278" i="2"/>
  <c r="C8279" i="2"/>
  <c r="C8280" i="2"/>
  <c r="C8281" i="2"/>
  <c r="C8282" i="2"/>
  <c r="C8283" i="2"/>
  <c r="C8284" i="2"/>
  <c r="C8285" i="2"/>
  <c r="C8286" i="2"/>
  <c r="C8287" i="2"/>
  <c r="C8288" i="2"/>
  <c r="C8289" i="2"/>
  <c r="C8290" i="2"/>
  <c r="C8291" i="2"/>
  <c r="C8292" i="2"/>
  <c r="C8293" i="2"/>
  <c r="C8294" i="2"/>
  <c r="C8295" i="2"/>
  <c r="C8296" i="2"/>
  <c r="C8297" i="2"/>
  <c r="C8298" i="2"/>
  <c r="C8299" i="2"/>
  <c r="C8300" i="2"/>
  <c r="C8301" i="2"/>
  <c r="C8302" i="2"/>
  <c r="C8303" i="2"/>
  <c r="C8304" i="2"/>
  <c r="C8305" i="2"/>
  <c r="C8306" i="2"/>
  <c r="C8307" i="2"/>
  <c r="C8308" i="2"/>
  <c r="C8309" i="2"/>
  <c r="C8310" i="2"/>
  <c r="C8311" i="2"/>
  <c r="C8312" i="2"/>
  <c r="C8313" i="2"/>
  <c r="C8314" i="2"/>
  <c r="C8315" i="2"/>
  <c r="C8316" i="2"/>
  <c r="C8317" i="2"/>
  <c r="C8318" i="2"/>
  <c r="C8319" i="2"/>
  <c r="C8320" i="2"/>
  <c r="C8321" i="2"/>
  <c r="C8322" i="2"/>
  <c r="C8323" i="2"/>
  <c r="C8324" i="2"/>
  <c r="C8325" i="2"/>
  <c r="C8326" i="2"/>
  <c r="C8327" i="2"/>
  <c r="C8328" i="2"/>
  <c r="C8329" i="2"/>
  <c r="C8330" i="2"/>
  <c r="C8331" i="2"/>
  <c r="C8332" i="2"/>
  <c r="C8333" i="2"/>
  <c r="C8334" i="2"/>
  <c r="C8335" i="2"/>
  <c r="C8336" i="2"/>
  <c r="C8337" i="2"/>
  <c r="C8338" i="2"/>
  <c r="C8339" i="2"/>
  <c r="C8340" i="2"/>
  <c r="C8341" i="2"/>
  <c r="C8342" i="2"/>
  <c r="C8343" i="2"/>
  <c r="C8344" i="2"/>
  <c r="C8345" i="2"/>
  <c r="C8346" i="2"/>
  <c r="C8347" i="2"/>
  <c r="C8348" i="2"/>
  <c r="C8349" i="2"/>
  <c r="C8350" i="2"/>
  <c r="C8351" i="2"/>
  <c r="C8352" i="2"/>
  <c r="C8353" i="2"/>
  <c r="C8354" i="2"/>
  <c r="C8355" i="2"/>
  <c r="C8356" i="2"/>
  <c r="C8357" i="2"/>
  <c r="C8358" i="2"/>
  <c r="C8359" i="2"/>
  <c r="C8360" i="2"/>
  <c r="C8361" i="2"/>
  <c r="C8362" i="2"/>
  <c r="C8363" i="2"/>
  <c r="C8364" i="2"/>
  <c r="C8365" i="2"/>
  <c r="C8366" i="2"/>
  <c r="C8367" i="2"/>
  <c r="C8368" i="2"/>
  <c r="C8369" i="2"/>
  <c r="C8370" i="2"/>
  <c r="C8371" i="2"/>
  <c r="C8372" i="2"/>
  <c r="C8373" i="2"/>
  <c r="C8374" i="2"/>
  <c r="C8375" i="2"/>
  <c r="C8376" i="2"/>
  <c r="C8377" i="2"/>
  <c r="C8378" i="2"/>
  <c r="C8379" i="2"/>
  <c r="C8380" i="2"/>
  <c r="C8381" i="2"/>
  <c r="C8382" i="2"/>
  <c r="C8383" i="2"/>
  <c r="C8384" i="2"/>
  <c r="C8385" i="2"/>
  <c r="C8386" i="2"/>
  <c r="C8387" i="2"/>
  <c r="C8388" i="2"/>
  <c r="C8389" i="2"/>
  <c r="C8390" i="2"/>
  <c r="C8391" i="2"/>
  <c r="C8392" i="2"/>
  <c r="C8393" i="2"/>
  <c r="C8394" i="2"/>
  <c r="C8395" i="2"/>
  <c r="C8396" i="2"/>
  <c r="C8397" i="2"/>
  <c r="C8398" i="2"/>
  <c r="C8399" i="2"/>
  <c r="C8400" i="2"/>
  <c r="C8401" i="2"/>
  <c r="C8402" i="2"/>
  <c r="C8403" i="2"/>
  <c r="C8404" i="2"/>
  <c r="C8405" i="2"/>
  <c r="C8406" i="2"/>
  <c r="C8407" i="2"/>
  <c r="C8408" i="2"/>
  <c r="C8409" i="2"/>
  <c r="C8410" i="2"/>
  <c r="C8411" i="2"/>
  <c r="C8412" i="2"/>
  <c r="C8413" i="2"/>
  <c r="C8414" i="2"/>
  <c r="C8415" i="2"/>
  <c r="C8416" i="2"/>
  <c r="C8417" i="2"/>
  <c r="C8418" i="2"/>
  <c r="C8419" i="2"/>
  <c r="C8420" i="2"/>
  <c r="C8421" i="2"/>
  <c r="C8422" i="2"/>
  <c r="C8423" i="2"/>
  <c r="C8424" i="2"/>
  <c r="C8425" i="2"/>
  <c r="C8426" i="2"/>
  <c r="C8427" i="2"/>
  <c r="C8428" i="2"/>
  <c r="C8429" i="2"/>
  <c r="C8430" i="2"/>
  <c r="C8431" i="2"/>
  <c r="C8432" i="2"/>
  <c r="C8433" i="2"/>
  <c r="C8434" i="2"/>
  <c r="C8435" i="2"/>
  <c r="C8436" i="2"/>
  <c r="C8437" i="2"/>
  <c r="C8438" i="2"/>
  <c r="C8439" i="2"/>
  <c r="C8440" i="2"/>
  <c r="C8441" i="2"/>
  <c r="C8442" i="2"/>
  <c r="C8443" i="2"/>
  <c r="C8444" i="2"/>
  <c r="C8445" i="2"/>
  <c r="C8446" i="2"/>
  <c r="C8447" i="2"/>
  <c r="C8448" i="2"/>
  <c r="C8449" i="2"/>
  <c r="C8450" i="2"/>
  <c r="C8451" i="2"/>
  <c r="C8452" i="2"/>
  <c r="C8453" i="2"/>
  <c r="C8454" i="2"/>
  <c r="C8455" i="2"/>
  <c r="C8456" i="2"/>
  <c r="C8457" i="2"/>
  <c r="C8458" i="2"/>
  <c r="C8459" i="2"/>
  <c r="C8460" i="2"/>
  <c r="C8461" i="2"/>
  <c r="C8462" i="2"/>
  <c r="C8463" i="2"/>
  <c r="C8464" i="2"/>
  <c r="C8465" i="2"/>
  <c r="C8466" i="2"/>
  <c r="C8467" i="2"/>
  <c r="C8468" i="2"/>
  <c r="C8469" i="2"/>
  <c r="C8470" i="2"/>
  <c r="C8471" i="2"/>
  <c r="C8472" i="2"/>
  <c r="C8473" i="2"/>
  <c r="C8474" i="2"/>
  <c r="C8475" i="2"/>
  <c r="C8476" i="2"/>
  <c r="C8477" i="2"/>
  <c r="C8478" i="2"/>
  <c r="C8479" i="2"/>
  <c r="C8480" i="2"/>
  <c r="C8481" i="2"/>
  <c r="C8482" i="2"/>
  <c r="C8483" i="2"/>
  <c r="C8484" i="2"/>
  <c r="C8485" i="2"/>
  <c r="C8486" i="2"/>
  <c r="C8487" i="2"/>
  <c r="C8488" i="2"/>
  <c r="C8489" i="2"/>
  <c r="C8490" i="2"/>
  <c r="C8491" i="2"/>
  <c r="C8492" i="2"/>
  <c r="C8493" i="2"/>
  <c r="C8494" i="2"/>
  <c r="C8495" i="2"/>
  <c r="C8496" i="2"/>
  <c r="C8497" i="2"/>
  <c r="C8498" i="2"/>
  <c r="C8499" i="2"/>
  <c r="C8500" i="2"/>
  <c r="C8501" i="2"/>
  <c r="C8502" i="2"/>
  <c r="C8503" i="2"/>
  <c r="C8504" i="2"/>
  <c r="C8505" i="2"/>
  <c r="C8506" i="2"/>
  <c r="C8507" i="2"/>
  <c r="C8508" i="2"/>
  <c r="C8509" i="2"/>
  <c r="C8510" i="2"/>
  <c r="C8511" i="2"/>
  <c r="C8512" i="2"/>
  <c r="C8513" i="2"/>
  <c r="C8514" i="2"/>
  <c r="C8515" i="2"/>
  <c r="C8516" i="2"/>
  <c r="C8517" i="2"/>
  <c r="C8518" i="2"/>
  <c r="C8519" i="2"/>
  <c r="C8520" i="2"/>
  <c r="C8521" i="2"/>
  <c r="C8522" i="2"/>
  <c r="C8523" i="2"/>
  <c r="C8524" i="2"/>
  <c r="C8525" i="2"/>
  <c r="C8526" i="2"/>
  <c r="C8527" i="2"/>
  <c r="C8528" i="2"/>
  <c r="C8529" i="2"/>
  <c r="C8530" i="2"/>
  <c r="C8531" i="2"/>
  <c r="C8532" i="2"/>
  <c r="C8533" i="2"/>
  <c r="C8534" i="2"/>
  <c r="C8535" i="2"/>
  <c r="C8536" i="2"/>
  <c r="C8537" i="2"/>
  <c r="C8538" i="2"/>
  <c r="C8539" i="2"/>
  <c r="C8540" i="2"/>
  <c r="C8541" i="2"/>
  <c r="C8542" i="2"/>
  <c r="C8543" i="2"/>
  <c r="C8544" i="2"/>
  <c r="C8545" i="2"/>
  <c r="C8546" i="2"/>
  <c r="C8547" i="2"/>
  <c r="C8548" i="2"/>
  <c r="C8549" i="2"/>
  <c r="C8550" i="2"/>
  <c r="C8551" i="2"/>
  <c r="C8552" i="2"/>
  <c r="C8553" i="2"/>
  <c r="C8554" i="2"/>
  <c r="C8555" i="2"/>
  <c r="C8556" i="2"/>
  <c r="C8557" i="2"/>
  <c r="C8558" i="2"/>
  <c r="C8559" i="2"/>
  <c r="C8560" i="2"/>
  <c r="C8561" i="2"/>
  <c r="C8562" i="2"/>
  <c r="C8563" i="2"/>
  <c r="C8564" i="2"/>
  <c r="C8565" i="2"/>
  <c r="C8566" i="2"/>
  <c r="C8567" i="2"/>
  <c r="C8568" i="2"/>
  <c r="C8569" i="2"/>
  <c r="C8570" i="2"/>
  <c r="C8571" i="2"/>
  <c r="C8572" i="2"/>
  <c r="C8573" i="2"/>
  <c r="C8574" i="2"/>
  <c r="C8575" i="2"/>
  <c r="C8576" i="2"/>
  <c r="C8577" i="2"/>
  <c r="C8578" i="2"/>
  <c r="C8579" i="2"/>
  <c r="C8580" i="2"/>
  <c r="C8581" i="2"/>
  <c r="C8582" i="2"/>
  <c r="C8583" i="2"/>
  <c r="C8584" i="2"/>
  <c r="C8585" i="2"/>
  <c r="C8586" i="2"/>
  <c r="C8587" i="2"/>
  <c r="C8588" i="2"/>
  <c r="C8589" i="2"/>
  <c r="C8590" i="2"/>
  <c r="C8591" i="2"/>
  <c r="C8592" i="2"/>
  <c r="C8593" i="2"/>
  <c r="C8594" i="2"/>
  <c r="C8595" i="2"/>
  <c r="C8596" i="2"/>
  <c r="C8597" i="2"/>
  <c r="C8598" i="2"/>
  <c r="C8599" i="2"/>
  <c r="C8600" i="2"/>
  <c r="C8601" i="2"/>
  <c r="C8602" i="2"/>
  <c r="C8603" i="2"/>
  <c r="C8604" i="2"/>
  <c r="C8605" i="2"/>
  <c r="C8606" i="2"/>
  <c r="C8607" i="2"/>
  <c r="C8608" i="2"/>
  <c r="C8609" i="2"/>
  <c r="C8610" i="2"/>
  <c r="C8611" i="2"/>
  <c r="C8612" i="2"/>
  <c r="C8613" i="2"/>
  <c r="C8614" i="2"/>
  <c r="C8615" i="2"/>
  <c r="C8616" i="2"/>
  <c r="C8617" i="2"/>
  <c r="C8618" i="2"/>
  <c r="C8619" i="2"/>
  <c r="C8620" i="2"/>
  <c r="C8621" i="2"/>
  <c r="C8622" i="2"/>
  <c r="C8623" i="2"/>
  <c r="C8624" i="2"/>
  <c r="C8625" i="2"/>
  <c r="C8626" i="2"/>
  <c r="C8627" i="2"/>
  <c r="C8628" i="2"/>
  <c r="C8629" i="2"/>
  <c r="C8630" i="2"/>
  <c r="C8631" i="2"/>
  <c r="C8632" i="2"/>
  <c r="C8633" i="2"/>
  <c r="C8634" i="2"/>
  <c r="C8635" i="2"/>
  <c r="C8636" i="2"/>
  <c r="C8637" i="2"/>
  <c r="C8638" i="2"/>
  <c r="C8639" i="2"/>
  <c r="C8640" i="2"/>
  <c r="C8641" i="2"/>
  <c r="C8642" i="2"/>
  <c r="C8643" i="2"/>
  <c r="C8644" i="2"/>
  <c r="C8645" i="2"/>
  <c r="C8646" i="2"/>
  <c r="C8647" i="2"/>
  <c r="C8648" i="2"/>
  <c r="C8649" i="2"/>
  <c r="C8650" i="2"/>
  <c r="C8651" i="2"/>
  <c r="C8652" i="2"/>
  <c r="C8653" i="2"/>
  <c r="C8654" i="2"/>
  <c r="C8655" i="2"/>
  <c r="C8656" i="2"/>
  <c r="C8657" i="2"/>
  <c r="C8658" i="2"/>
  <c r="C8659" i="2"/>
  <c r="C8660" i="2"/>
  <c r="C8661" i="2"/>
  <c r="C8662" i="2"/>
  <c r="C8663" i="2"/>
  <c r="C8664" i="2"/>
  <c r="C8665" i="2"/>
  <c r="C8666" i="2"/>
  <c r="C8667" i="2"/>
  <c r="C8668" i="2"/>
  <c r="C8669" i="2"/>
  <c r="C8670" i="2"/>
  <c r="C8671" i="2"/>
  <c r="C8672" i="2"/>
  <c r="C8673" i="2"/>
  <c r="C8674" i="2"/>
  <c r="C8675" i="2"/>
  <c r="C8676" i="2"/>
  <c r="C8677" i="2"/>
  <c r="C8678" i="2"/>
  <c r="C8679" i="2"/>
  <c r="C8680" i="2"/>
  <c r="C8681" i="2"/>
  <c r="C8682" i="2"/>
  <c r="C8683" i="2"/>
  <c r="C8684" i="2"/>
  <c r="C8685" i="2"/>
  <c r="C8686" i="2"/>
  <c r="C8687" i="2"/>
  <c r="C8688" i="2"/>
  <c r="C8689" i="2"/>
  <c r="C8690" i="2"/>
  <c r="C8691" i="2"/>
  <c r="C8692" i="2"/>
  <c r="C8693" i="2"/>
  <c r="C8694" i="2"/>
  <c r="C8695" i="2"/>
  <c r="C8696" i="2"/>
  <c r="C8697" i="2"/>
  <c r="C8698" i="2"/>
  <c r="C8699" i="2"/>
  <c r="C8700" i="2"/>
  <c r="C8701" i="2"/>
  <c r="C8702" i="2"/>
  <c r="C8703" i="2"/>
  <c r="C8704" i="2"/>
  <c r="C8705" i="2"/>
  <c r="C8706" i="2"/>
  <c r="C8707" i="2"/>
  <c r="C8708" i="2"/>
  <c r="C8709" i="2"/>
  <c r="C8710" i="2"/>
  <c r="C8711" i="2"/>
  <c r="C8712" i="2"/>
  <c r="C8713" i="2"/>
  <c r="C8714" i="2"/>
  <c r="C8715" i="2"/>
  <c r="C8716" i="2"/>
  <c r="C8717" i="2"/>
  <c r="C8718" i="2"/>
  <c r="C8719" i="2"/>
  <c r="C8720" i="2"/>
  <c r="C8721" i="2"/>
  <c r="C8722" i="2"/>
  <c r="C8723" i="2"/>
  <c r="C8724" i="2"/>
  <c r="C8725" i="2"/>
  <c r="C8726" i="2"/>
  <c r="C8727" i="2"/>
  <c r="C8728" i="2"/>
  <c r="C8729" i="2"/>
  <c r="C8730" i="2"/>
  <c r="C8731" i="2"/>
  <c r="C8732" i="2"/>
  <c r="C8733" i="2"/>
  <c r="C8734" i="2"/>
  <c r="C8735" i="2"/>
  <c r="C8736" i="2"/>
  <c r="C8737" i="2"/>
  <c r="C8738" i="2"/>
  <c r="C8739" i="2"/>
  <c r="C8740" i="2"/>
  <c r="C8741" i="2"/>
  <c r="C8742" i="2"/>
  <c r="C8743" i="2"/>
  <c r="C8744" i="2"/>
  <c r="C8745" i="2"/>
  <c r="C8746" i="2"/>
  <c r="C8747" i="2"/>
  <c r="C8748" i="2"/>
  <c r="C8749" i="2"/>
  <c r="C8750" i="2"/>
  <c r="C8751" i="2"/>
  <c r="C8752" i="2"/>
  <c r="C8753" i="2"/>
  <c r="C8754" i="2"/>
  <c r="C8755" i="2"/>
  <c r="C8756" i="2"/>
  <c r="C8757" i="2"/>
  <c r="C8758" i="2"/>
  <c r="C8759" i="2"/>
  <c r="C8760" i="2"/>
  <c r="C8761" i="2"/>
  <c r="C8762" i="2"/>
  <c r="C8763" i="2"/>
  <c r="C8764" i="2"/>
  <c r="C8765" i="2"/>
  <c r="C8766" i="2"/>
  <c r="C8767" i="2"/>
  <c r="C8768" i="2"/>
  <c r="C8769" i="2"/>
  <c r="C8770" i="2"/>
  <c r="C8771" i="2"/>
  <c r="C8772" i="2"/>
  <c r="C8773" i="2"/>
  <c r="C8774" i="2"/>
  <c r="C8775" i="2"/>
  <c r="C8776" i="2"/>
  <c r="C8777" i="2"/>
  <c r="C8778" i="2"/>
  <c r="C8779" i="2"/>
  <c r="C8780" i="2"/>
  <c r="C8781" i="2"/>
  <c r="C8782" i="2"/>
  <c r="C8783" i="2"/>
  <c r="C8784" i="2"/>
  <c r="C8785" i="2"/>
  <c r="C8786" i="2"/>
  <c r="C8787" i="2"/>
  <c r="C8788" i="2"/>
  <c r="C8789" i="2"/>
  <c r="C8790" i="2"/>
  <c r="C8791" i="2"/>
  <c r="C8792" i="2"/>
  <c r="C8793" i="2"/>
  <c r="C8794" i="2"/>
  <c r="C8795" i="2"/>
  <c r="C8796" i="2"/>
  <c r="C8797" i="2"/>
  <c r="C8798" i="2"/>
  <c r="C8799" i="2"/>
  <c r="C8800" i="2"/>
  <c r="C8801" i="2"/>
  <c r="C8802" i="2"/>
  <c r="C8803" i="2"/>
  <c r="C8804" i="2"/>
  <c r="C8805" i="2"/>
  <c r="C8806" i="2"/>
  <c r="C8807" i="2"/>
  <c r="C8808" i="2"/>
  <c r="C8809" i="2"/>
  <c r="C8810" i="2"/>
  <c r="C8811" i="2"/>
  <c r="C8812" i="2"/>
  <c r="C8813" i="2"/>
  <c r="C8814" i="2"/>
  <c r="C8815" i="2"/>
  <c r="C8816" i="2"/>
  <c r="C8817" i="2"/>
  <c r="C8818" i="2"/>
  <c r="C8819" i="2"/>
  <c r="C8820" i="2"/>
  <c r="C8821" i="2"/>
  <c r="C8822" i="2"/>
  <c r="C8823" i="2"/>
  <c r="C8824" i="2"/>
  <c r="C8825" i="2"/>
  <c r="C8826" i="2"/>
  <c r="C8827" i="2"/>
  <c r="C8828" i="2"/>
  <c r="C8829" i="2"/>
  <c r="C8830" i="2"/>
  <c r="C8831" i="2"/>
  <c r="C8832" i="2"/>
  <c r="C8833" i="2"/>
  <c r="C8834" i="2"/>
  <c r="C8835" i="2"/>
  <c r="C8836" i="2"/>
  <c r="C8837" i="2"/>
  <c r="C8838" i="2"/>
  <c r="C8839" i="2"/>
  <c r="C8840" i="2"/>
  <c r="C8841" i="2"/>
  <c r="C8842" i="2"/>
  <c r="C8843" i="2"/>
  <c r="C8844" i="2"/>
  <c r="C8845" i="2"/>
  <c r="C8846" i="2"/>
  <c r="C8847" i="2"/>
  <c r="C8848" i="2"/>
  <c r="C8849" i="2"/>
  <c r="C8850" i="2"/>
  <c r="C8851" i="2"/>
  <c r="C8852" i="2"/>
  <c r="C8853" i="2"/>
  <c r="C8854" i="2"/>
  <c r="C8855" i="2"/>
  <c r="C8856" i="2"/>
  <c r="C8857" i="2"/>
  <c r="C8858" i="2"/>
  <c r="C8859" i="2"/>
  <c r="C8860" i="2"/>
  <c r="C8861" i="2"/>
  <c r="C8862" i="2"/>
  <c r="C8863" i="2"/>
  <c r="C8864" i="2"/>
  <c r="C8865" i="2"/>
  <c r="C8866" i="2"/>
  <c r="C8867" i="2"/>
  <c r="C8868" i="2"/>
  <c r="C8869" i="2"/>
  <c r="C8870" i="2"/>
  <c r="C8871" i="2"/>
  <c r="C8872" i="2"/>
  <c r="C8873" i="2"/>
  <c r="C8874" i="2"/>
  <c r="C8875" i="2"/>
  <c r="C8876" i="2"/>
  <c r="C8877" i="2"/>
  <c r="C8878" i="2"/>
  <c r="C8879" i="2"/>
  <c r="C8880" i="2"/>
  <c r="C8881" i="2"/>
  <c r="C8882" i="2"/>
  <c r="C8883" i="2"/>
  <c r="C8884" i="2"/>
  <c r="C8885" i="2"/>
  <c r="C8886" i="2"/>
  <c r="C8887" i="2"/>
  <c r="C8888" i="2"/>
  <c r="C8889" i="2"/>
  <c r="C8890" i="2"/>
  <c r="C8891" i="2"/>
  <c r="C8892" i="2"/>
  <c r="C8893" i="2"/>
  <c r="C8894" i="2"/>
  <c r="C8895" i="2"/>
  <c r="C8896" i="2"/>
  <c r="C8897" i="2"/>
  <c r="C8898" i="2"/>
  <c r="C8899" i="2"/>
  <c r="C8900" i="2"/>
  <c r="C8901" i="2"/>
  <c r="C8902" i="2"/>
  <c r="C8903" i="2"/>
  <c r="C8904" i="2"/>
  <c r="C8905" i="2"/>
  <c r="C8906" i="2"/>
  <c r="C8907" i="2"/>
  <c r="C8908" i="2"/>
  <c r="C8909" i="2"/>
  <c r="C8910" i="2"/>
  <c r="C8911" i="2"/>
  <c r="C8912" i="2"/>
  <c r="C8913" i="2"/>
  <c r="C8914" i="2"/>
  <c r="C8915" i="2"/>
  <c r="C8916" i="2"/>
  <c r="C8917" i="2"/>
  <c r="C8918" i="2"/>
  <c r="C8919" i="2"/>
  <c r="C8920" i="2"/>
  <c r="C8921" i="2"/>
  <c r="C8922" i="2"/>
  <c r="C8923" i="2"/>
  <c r="C8924" i="2"/>
  <c r="C8925" i="2"/>
  <c r="C8926" i="2"/>
  <c r="C8927" i="2"/>
  <c r="C8928" i="2"/>
  <c r="C8929" i="2"/>
  <c r="C8930" i="2"/>
  <c r="C8931" i="2"/>
  <c r="C8932" i="2"/>
  <c r="C8933" i="2"/>
  <c r="C8934" i="2"/>
  <c r="C8935" i="2"/>
  <c r="C8936" i="2"/>
  <c r="C8937" i="2"/>
  <c r="C8938" i="2"/>
  <c r="C8939" i="2"/>
  <c r="C8940" i="2"/>
  <c r="C8941" i="2"/>
  <c r="C8942" i="2"/>
  <c r="C8943" i="2"/>
  <c r="C8944" i="2"/>
  <c r="C8945" i="2"/>
  <c r="C8946" i="2"/>
  <c r="C8947" i="2"/>
  <c r="C8948" i="2"/>
  <c r="C8949" i="2"/>
  <c r="C8950" i="2"/>
  <c r="C8951" i="2"/>
  <c r="C8952" i="2"/>
  <c r="C8953" i="2"/>
  <c r="C8954" i="2"/>
  <c r="C8955" i="2"/>
  <c r="C8956" i="2"/>
  <c r="C8957" i="2"/>
  <c r="C8958" i="2"/>
  <c r="C8959" i="2"/>
  <c r="C8960" i="2"/>
  <c r="C8961" i="2"/>
  <c r="C8962" i="2"/>
  <c r="C8963" i="2"/>
  <c r="C8964" i="2"/>
  <c r="C8965" i="2"/>
  <c r="C8966" i="2"/>
  <c r="C8967" i="2"/>
  <c r="C8968" i="2"/>
  <c r="C8969" i="2"/>
  <c r="C8970" i="2"/>
  <c r="C8971" i="2"/>
  <c r="C8972" i="2"/>
  <c r="C8973" i="2"/>
  <c r="C8974" i="2"/>
  <c r="C8975" i="2"/>
  <c r="C8976" i="2"/>
  <c r="C8977" i="2"/>
  <c r="C8978" i="2"/>
  <c r="C8979" i="2"/>
  <c r="C8980" i="2"/>
  <c r="C8981" i="2"/>
  <c r="C8982" i="2"/>
  <c r="C8983" i="2"/>
  <c r="C8984" i="2"/>
  <c r="C8985" i="2"/>
  <c r="C8986" i="2"/>
  <c r="C8987" i="2"/>
  <c r="C8988" i="2"/>
  <c r="C8989" i="2"/>
  <c r="C8990" i="2"/>
  <c r="C8991" i="2"/>
  <c r="C8992" i="2"/>
  <c r="C8993" i="2"/>
  <c r="C8994" i="2"/>
  <c r="C8995" i="2"/>
  <c r="C8996" i="2"/>
  <c r="C8997" i="2"/>
  <c r="C8998" i="2"/>
  <c r="C8999" i="2"/>
  <c r="C9000" i="2"/>
  <c r="C9001" i="2"/>
  <c r="C9002" i="2"/>
  <c r="C9003" i="2"/>
  <c r="C9004" i="2"/>
  <c r="C9005" i="2"/>
  <c r="C9006" i="2"/>
  <c r="C9007" i="2"/>
  <c r="C9008" i="2"/>
  <c r="C9009" i="2"/>
  <c r="C9010" i="2"/>
  <c r="C9011" i="2"/>
  <c r="C9012" i="2"/>
  <c r="C9013" i="2"/>
  <c r="C9014" i="2"/>
  <c r="C9015" i="2"/>
  <c r="C9016" i="2"/>
  <c r="C9017" i="2"/>
  <c r="C9018" i="2"/>
  <c r="C9019" i="2"/>
  <c r="C9020" i="2"/>
  <c r="C9021" i="2"/>
  <c r="C9022" i="2"/>
  <c r="C9023" i="2"/>
  <c r="C9024" i="2"/>
  <c r="C9025" i="2"/>
  <c r="C9026" i="2"/>
  <c r="C9027" i="2"/>
  <c r="C9028" i="2"/>
  <c r="C9029" i="2"/>
  <c r="C9030" i="2"/>
  <c r="C9031" i="2"/>
  <c r="C9032" i="2"/>
  <c r="C9033" i="2"/>
  <c r="C9034" i="2"/>
  <c r="C9035" i="2"/>
  <c r="C9036" i="2"/>
  <c r="C9037" i="2"/>
  <c r="C9038" i="2"/>
  <c r="C9039" i="2"/>
  <c r="C9040" i="2"/>
  <c r="C9041" i="2"/>
  <c r="C9042" i="2"/>
  <c r="C9043" i="2"/>
  <c r="C9044" i="2"/>
  <c r="C9045" i="2"/>
  <c r="C9046" i="2"/>
  <c r="C9047" i="2"/>
  <c r="C9048" i="2"/>
  <c r="C9049" i="2"/>
  <c r="C9050" i="2"/>
  <c r="C9051" i="2"/>
  <c r="C9052" i="2"/>
  <c r="C9053" i="2"/>
  <c r="C9054" i="2"/>
  <c r="C9055" i="2"/>
  <c r="C9056" i="2"/>
  <c r="C9057" i="2"/>
  <c r="C9058" i="2"/>
  <c r="C9059" i="2"/>
  <c r="C9060" i="2"/>
  <c r="C9061" i="2"/>
  <c r="C9062" i="2"/>
  <c r="C9063" i="2"/>
  <c r="C9064" i="2"/>
  <c r="C9065" i="2"/>
  <c r="C9066" i="2"/>
  <c r="C9067" i="2"/>
  <c r="C9068" i="2"/>
  <c r="C9069" i="2"/>
  <c r="C9070" i="2"/>
  <c r="C9071" i="2"/>
  <c r="C9072" i="2"/>
  <c r="C9073" i="2"/>
  <c r="C9074" i="2"/>
  <c r="C9075" i="2"/>
  <c r="C9076" i="2"/>
  <c r="C9077" i="2"/>
  <c r="C9078" i="2"/>
  <c r="C9079" i="2"/>
  <c r="C9080" i="2"/>
  <c r="C9081" i="2"/>
  <c r="C9082" i="2"/>
  <c r="C9083" i="2"/>
  <c r="C9084" i="2"/>
  <c r="C9085" i="2"/>
  <c r="C9086" i="2"/>
  <c r="C9087" i="2"/>
  <c r="C9088" i="2"/>
  <c r="C9089" i="2"/>
  <c r="C9090" i="2"/>
  <c r="C9091" i="2"/>
  <c r="C9092" i="2"/>
  <c r="C9093" i="2"/>
  <c r="C9094" i="2"/>
  <c r="C9095" i="2"/>
  <c r="C9096" i="2"/>
  <c r="C9097" i="2"/>
  <c r="C9098" i="2"/>
  <c r="C9099" i="2"/>
  <c r="C9100" i="2"/>
  <c r="C9101" i="2"/>
  <c r="C9102" i="2"/>
  <c r="C9103" i="2"/>
  <c r="C9104" i="2"/>
  <c r="C9105" i="2"/>
  <c r="C9106" i="2"/>
  <c r="C9107" i="2"/>
  <c r="C9108" i="2"/>
  <c r="C9109" i="2"/>
  <c r="C9110" i="2"/>
  <c r="C9111" i="2"/>
  <c r="C9112" i="2"/>
  <c r="C9113" i="2"/>
  <c r="C9114" i="2"/>
  <c r="C9115" i="2"/>
  <c r="C9116" i="2"/>
  <c r="C9117" i="2"/>
  <c r="C9118" i="2"/>
  <c r="C9119" i="2"/>
  <c r="C9120" i="2"/>
  <c r="C9121" i="2"/>
  <c r="C9122" i="2"/>
  <c r="C9123" i="2"/>
  <c r="C9124" i="2"/>
  <c r="C9125" i="2"/>
  <c r="C9126" i="2"/>
  <c r="C9127" i="2"/>
  <c r="C9128" i="2"/>
  <c r="C9129" i="2"/>
  <c r="C9130" i="2"/>
  <c r="C9131" i="2"/>
  <c r="C9132" i="2"/>
  <c r="C9133" i="2"/>
  <c r="C9134" i="2"/>
  <c r="C9135" i="2"/>
  <c r="C9136" i="2"/>
  <c r="C9137" i="2"/>
  <c r="C9138" i="2"/>
  <c r="C9139" i="2"/>
  <c r="C9140" i="2"/>
  <c r="C9141" i="2"/>
  <c r="C9142" i="2"/>
  <c r="C9143" i="2"/>
  <c r="C9144" i="2"/>
  <c r="C9145" i="2"/>
  <c r="C9146" i="2"/>
  <c r="C9147" i="2"/>
  <c r="C9148" i="2"/>
  <c r="C9149" i="2"/>
  <c r="C9150" i="2"/>
  <c r="C9151" i="2"/>
  <c r="C9152" i="2"/>
  <c r="C9153" i="2"/>
  <c r="C9154" i="2"/>
  <c r="C9155" i="2"/>
  <c r="C9156" i="2"/>
  <c r="C9157" i="2"/>
  <c r="C9158" i="2"/>
  <c r="C9159" i="2"/>
  <c r="C9160" i="2"/>
  <c r="C9161" i="2"/>
  <c r="C9162" i="2"/>
  <c r="C9163" i="2"/>
  <c r="C9164" i="2"/>
  <c r="C9165" i="2"/>
  <c r="C9166" i="2"/>
  <c r="C9167" i="2"/>
  <c r="C9168" i="2"/>
  <c r="C9169" i="2"/>
  <c r="C9170" i="2"/>
  <c r="C9171" i="2"/>
  <c r="C9172" i="2"/>
  <c r="C9173" i="2"/>
  <c r="C9174" i="2"/>
  <c r="C9175" i="2"/>
  <c r="C9176" i="2"/>
  <c r="C9177" i="2"/>
  <c r="C9178" i="2"/>
  <c r="C9179" i="2"/>
  <c r="C9180" i="2"/>
  <c r="C9181" i="2"/>
  <c r="C9182" i="2"/>
  <c r="C9183" i="2"/>
  <c r="C9184" i="2"/>
  <c r="C9185" i="2"/>
  <c r="C9186" i="2"/>
  <c r="C9187" i="2"/>
  <c r="C9188" i="2"/>
  <c r="C9189" i="2"/>
  <c r="C9190" i="2"/>
  <c r="C9191" i="2"/>
  <c r="C9192" i="2"/>
  <c r="C9193" i="2"/>
  <c r="C9194" i="2"/>
  <c r="C9195" i="2"/>
  <c r="C9196" i="2"/>
  <c r="C9197" i="2"/>
  <c r="C9198" i="2"/>
  <c r="C9199" i="2"/>
  <c r="C9200" i="2"/>
  <c r="C9201" i="2"/>
  <c r="C9202" i="2"/>
  <c r="C9203" i="2"/>
  <c r="C9204" i="2"/>
  <c r="C9205" i="2"/>
  <c r="C9206" i="2"/>
  <c r="C9207" i="2"/>
  <c r="C9208" i="2"/>
  <c r="C9209" i="2"/>
  <c r="C9210" i="2"/>
  <c r="C9211" i="2"/>
  <c r="C9212" i="2"/>
  <c r="C9213" i="2"/>
  <c r="C9214" i="2"/>
  <c r="C9215" i="2"/>
  <c r="C9216" i="2"/>
  <c r="C9217" i="2"/>
  <c r="C9218" i="2"/>
  <c r="C9219" i="2"/>
  <c r="C9220" i="2"/>
  <c r="C9221" i="2"/>
  <c r="C9222" i="2"/>
  <c r="C9223" i="2"/>
  <c r="C9224" i="2"/>
  <c r="C9225" i="2"/>
  <c r="C9226" i="2"/>
  <c r="C9227" i="2"/>
  <c r="C9228" i="2"/>
  <c r="C9229" i="2"/>
  <c r="C9230" i="2"/>
  <c r="C9231" i="2"/>
  <c r="C9232" i="2"/>
  <c r="C9233" i="2"/>
  <c r="C9234" i="2"/>
  <c r="C9235" i="2"/>
  <c r="C9236" i="2"/>
  <c r="C9237" i="2"/>
  <c r="C9238" i="2"/>
  <c r="C9239" i="2"/>
  <c r="C9240" i="2"/>
  <c r="C9241" i="2"/>
  <c r="C9242" i="2"/>
  <c r="C9243" i="2"/>
  <c r="C9244" i="2"/>
  <c r="C9245" i="2"/>
  <c r="C9246" i="2"/>
  <c r="C9247" i="2"/>
  <c r="C9248" i="2"/>
  <c r="C9249" i="2"/>
  <c r="C9250" i="2"/>
  <c r="C9251" i="2"/>
  <c r="C9252" i="2"/>
  <c r="C9253" i="2"/>
  <c r="C9254" i="2"/>
  <c r="C9255" i="2"/>
  <c r="C9256" i="2"/>
  <c r="C9257" i="2"/>
  <c r="C9258" i="2"/>
  <c r="C9259" i="2"/>
  <c r="C9260" i="2"/>
  <c r="C9261" i="2"/>
  <c r="C9262" i="2"/>
  <c r="C9263" i="2"/>
  <c r="C9264" i="2"/>
  <c r="C9265" i="2"/>
  <c r="C9266" i="2"/>
  <c r="C9267" i="2"/>
  <c r="C9268" i="2"/>
  <c r="C9269" i="2"/>
  <c r="C9270" i="2"/>
  <c r="C9271" i="2"/>
  <c r="C9272" i="2"/>
  <c r="C9273" i="2"/>
  <c r="C9274" i="2"/>
  <c r="C9275" i="2"/>
  <c r="C9276" i="2"/>
  <c r="C9277" i="2"/>
  <c r="C9278" i="2"/>
  <c r="C9279" i="2"/>
  <c r="C9280" i="2"/>
  <c r="C9281" i="2"/>
  <c r="C9282" i="2"/>
  <c r="C9283" i="2"/>
  <c r="C9284" i="2"/>
  <c r="C9285" i="2"/>
  <c r="C9286" i="2"/>
  <c r="C9287" i="2"/>
  <c r="C9288" i="2"/>
  <c r="C9289" i="2"/>
  <c r="C9290" i="2"/>
  <c r="C9291" i="2"/>
  <c r="C9292" i="2"/>
  <c r="C9293" i="2"/>
  <c r="C9294" i="2"/>
  <c r="C9295" i="2"/>
  <c r="C9296" i="2"/>
  <c r="C9297" i="2"/>
  <c r="C9298" i="2"/>
  <c r="C9299" i="2"/>
  <c r="C9300" i="2"/>
  <c r="C9301" i="2"/>
  <c r="C9302" i="2"/>
  <c r="C9303" i="2"/>
  <c r="C9304" i="2"/>
  <c r="C9305" i="2"/>
  <c r="C9306" i="2"/>
  <c r="C9307" i="2"/>
  <c r="C9308" i="2"/>
  <c r="C9309" i="2"/>
  <c r="C9310" i="2"/>
  <c r="C9311" i="2"/>
  <c r="C9312" i="2"/>
  <c r="C9313" i="2"/>
  <c r="C9314" i="2"/>
  <c r="C9315" i="2"/>
  <c r="C9316" i="2"/>
  <c r="C9317" i="2"/>
  <c r="C9318" i="2"/>
  <c r="C9319" i="2"/>
  <c r="C9320" i="2"/>
  <c r="C9321" i="2"/>
  <c r="C9322" i="2"/>
  <c r="C9323" i="2"/>
  <c r="C9324" i="2"/>
  <c r="C9325" i="2"/>
  <c r="C9326" i="2"/>
  <c r="C9327" i="2"/>
  <c r="C9328" i="2"/>
  <c r="C9329" i="2"/>
  <c r="C9330" i="2"/>
  <c r="C9331" i="2"/>
  <c r="C9332" i="2"/>
  <c r="C9333" i="2"/>
  <c r="C9334" i="2"/>
  <c r="C9335" i="2"/>
  <c r="C9336" i="2"/>
  <c r="C9337" i="2"/>
  <c r="C9338" i="2"/>
  <c r="C9339" i="2"/>
  <c r="C9340" i="2"/>
  <c r="C9341" i="2"/>
  <c r="C9342" i="2"/>
  <c r="C9343" i="2"/>
  <c r="C9344" i="2"/>
  <c r="C9345" i="2"/>
  <c r="C9346" i="2"/>
  <c r="C9347" i="2"/>
  <c r="C9348" i="2"/>
  <c r="C9349" i="2"/>
  <c r="C9350" i="2"/>
  <c r="C9351" i="2"/>
  <c r="C9352" i="2"/>
  <c r="C9353" i="2"/>
  <c r="C9354" i="2"/>
  <c r="C9355" i="2"/>
  <c r="C9356" i="2"/>
  <c r="C9357" i="2"/>
  <c r="C9358" i="2"/>
  <c r="C9359" i="2"/>
  <c r="C9360" i="2"/>
  <c r="C9361" i="2"/>
  <c r="C9362" i="2"/>
  <c r="C9363" i="2"/>
  <c r="C9364" i="2"/>
  <c r="C9365" i="2"/>
  <c r="C9366" i="2"/>
  <c r="C9367" i="2"/>
  <c r="C9368" i="2"/>
  <c r="C9369" i="2"/>
  <c r="C9370" i="2"/>
  <c r="C9371" i="2"/>
  <c r="C9372" i="2"/>
  <c r="C9373" i="2"/>
  <c r="C9374" i="2"/>
  <c r="C9375" i="2"/>
  <c r="C9376" i="2"/>
  <c r="C9377" i="2"/>
  <c r="C9378" i="2"/>
  <c r="C9379" i="2"/>
  <c r="C9380" i="2"/>
  <c r="C9381" i="2"/>
  <c r="C9382" i="2"/>
  <c r="C9383" i="2"/>
  <c r="C9384" i="2"/>
  <c r="C9385" i="2"/>
  <c r="C9386" i="2"/>
  <c r="C9387" i="2"/>
  <c r="C9388" i="2"/>
  <c r="C9389" i="2"/>
  <c r="C9390" i="2"/>
  <c r="C9391" i="2"/>
  <c r="C9392" i="2"/>
  <c r="C9393" i="2"/>
  <c r="C9394" i="2"/>
  <c r="C9395" i="2"/>
  <c r="C9396" i="2"/>
  <c r="C9397" i="2"/>
  <c r="C9398" i="2"/>
  <c r="C9399" i="2"/>
  <c r="C9400" i="2"/>
  <c r="C9401" i="2"/>
  <c r="C9402" i="2"/>
  <c r="C9403" i="2"/>
  <c r="C9404" i="2"/>
  <c r="C9405" i="2"/>
  <c r="C9406" i="2"/>
  <c r="C9407" i="2"/>
  <c r="C9408" i="2"/>
  <c r="C9409" i="2"/>
  <c r="C9410" i="2"/>
  <c r="C9411" i="2"/>
  <c r="C9412" i="2"/>
  <c r="C9413" i="2"/>
  <c r="C9414" i="2"/>
  <c r="C9415" i="2"/>
  <c r="C9416" i="2"/>
  <c r="C9417" i="2"/>
  <c r="C9418" i="2"/>
  <c r="C9419" i="2"/>
  <c r="C9420" i="2"/>
  <c r="C9421" i="2"/>
  <c r="C9422" i="2"/>
  <c r="C9423" i="2"/>
  <c r="C9424" i="2"/>
  <c r="C9425" i="2"/>
  <c r="C9426" i="2"/>
  <c r="C9427" i="2"/>
  <c r="C9428" i="2"/>
  <c r="C9429" i="2"/>
  <c r="C9430" i="2"/>
  <c r="C9431" i="2"/>
  <c r="C9432" i="2"/>
  <c r="C9433" i="2"/>
  <c r="C9434" i="2"/>
  <c r="C9435" i="2"/>
  <c r="C9436" i="2"/>
  <c r="C9437" i="2"/>
  <c r="C9438" i="2"/>
  <c r="C9439" i="2"/>
  <c r="C9440" i="2"/>
  <c r="C9441" i="2"/>
  <c r="C9442" i="2"/>
  <c r="C9443" i="2"/>
  <c r="C9444" i="2"/>
  <c r="C9445" i="2"/>
  <c r="C9446" i="2"/>
  <c r="C9447" i="2"/>
  <c r="C9448" i="2"/>
  <c r="C9449" i="2"/>
  <c r="C9450" i="2"/>
  <c r="C9451" i="2"/>
  <c r="C9452" i="2"/>
  <c r="C9453" i="2"/>
  <c r="C9454" i="2"/>
  <c r="C9455" i="2"/>
  <c r="C9456" i="2"/>
  <c r="C9457" i="2"/>
  <c r="C9458" i="2"/>
  <c r="C9459" i="2"/>
  <c r="C9460" i="2"/>
  <c r="C9461" i="2"/>
  <c r="C9462" i="2"/>
  <c r="C9463" i="2"/>
  <c r="C9464" i="2"/>
  <c r="C9465" i="2"/>
  <c r="C9466" i="2"/>
  <c r="C9467" i="2"/>
  <c r="C9468" i="2"/>
  <c r="C9469" i="2"/>
  <c r="C9470" i="2"/>
  <c r="C9471" i="2"/>
  <c r="C9472" i="2"/>
  <c r="C9473" i="2"/>
  <c r="C9474" i="2"/>
  <c r="C9475" i="2"/>
  <c r="C9476" i="2"/>
  <c r="C9477" i="2"/>
  <c r="C9478" i="2"/>
  <c r="C9479" i="2"/>
  <c r="C9480" i="2"/>
  <c r="C9481" i="2"/>
  <c r="C9482" i="2"/>
  <c r="C9483" i="2"/>
  <c r="C9484" i="2"/>
  <c r="C9485" i="2"/>
  <c r="C9486" i="2"/>
  <c r="C9487" i="2"/>
  <c r="C9488" i="2"/>
  <c r="C9489" i="2"/>
  <c r="C9490" i="2"/>
  <c r="C9491" i="2"/>
  <c r="C9492" i="2"/>
  <c r="C9493" i="2"/>
  <c r="C9494" i="2"/>
  <c r="C9495" i="2"/>
  <c r="C9496" i="2"/>
  <c r="C9497" i="2"/>
  <c r="C9498" i="2"/>
  <c r="C9499" i="2"/>
  <c r="C9500" i="2"/>
  <c r="C9501" i="2"/>
  <c r="C9502" i="2"/>
  <c r="C9503" i="2"/>
  <c r="C9504" i="2"/>
  <c r="C9505" i="2"/>
  <c r="C9506" i="2"/>
  <c r="C9507" i="2"/>
  <c r="C9508" i="2"/>
  <c r="C9509" i="2"/>
  <c r="C9510" i="2"/>
  <c r="C9511" i="2"/>
  <c r="C9512" i="2"/>
  <c r="C9513" i="2"/>
  <c r="C9514" i="2"/>
  <c r="C9515" i="2"/>
  <c r="C9516" i="2"/>
  <c r="C9517" i="2"/>
  <c r="C9518" i="2"/>
  <c r="C9519" i="2"/>
  <c r="C9520" i="2"/>
  <c r="C9521" i="2"/>
  <c r="C9522" i="2"/>
  <c r="C9523" i="2"/>
  <c r="C9524" i="2"/>
  <c r="C9525" i="2"/>
  <c r="C9526" i="2"/>
  <c r="C9527" i="2"/>
  <c r="C9528" i="2"/>
  <c r="C9529" i="2"/>
  <c r="C9530" i="2"/>
  <c r="C9531" i="2"/>
  <c r="C9532" i="2"/>
  <c r="C9533" i="2"/>
  <c r="C9534" i="2"/>
  <c r="C9535" i="2"/>
  <c r="C9536" i="2"/>
  <c r="C9537" i="2"/>
  <c r="C9538" i="2"/>
  <c r="C9539" i="2"/>
  <c r="C9540" i="2"/>
  <c r="C9541" i="2"/>
  <c r="C9542" i="2"/>
  <c r="C9543" i="2"/>
  <c r="C9544" i="2"/>
  <c r="C9545" i="2"/>
  <c r="C9546" i="2"/>
  <c r="C9547" i="2"/>
  <c r="C9548" i="2"/>
  <c r="C9549" i="2"/>
  <c r="C9550" i="2"/>
  <c r="C9551" i="2"/>
  <c r="C9552" i="2"/>
  <c r="C9553" i="2"/>
  <c r="C9554" i="2"/>
  <c r="C9555" i="2"/>
  <c r="C9556" i="2"/>
  <c r="C9557" i="2"/>
  <c r="C9558" i="2"/>
  <c r="C9559" i="2"/>
  <c r="C9560" i="2"/>
  <c r="C9561" i="2"/>
  <c r="C9562" i="2"/>
  <c r="C9563" i="2"/>
  <c r="C9564" i="2"/>
  <c r="C9565" i="2"/>
  <c r="C9566" i="2"/>
  <c r="C9567" i="2"/>
  <c r="C9568" i="2"/>
  <c r="C9569" i="2"/>
  <c r="C9570" i="2"/>
  <c r="C9571" i="2"/>
  <c r="C9572" i="2"/>
  <c r="C9573" i="2"/>
  <c r="C9574" i="2"/>
  <c r="C9575" i="2"/>
  <c r="C9576" i="2"/>
  <c r="C9577" i="2"/>
  <c r="C9578" i="2"/>
  <c r="C9579" i="2"/>
  <c r="C9580" i="2"/>
  <c r="C9581" i="2"/>
  <c r="C9582" i="2"/>
  <c r="C9583" i="2"/>
  <c r="C9584" i="2"/>
  <c r="C9585" i="2"/>
  <c r="C9586" i="2"/>
  <c r="C9587" i="2"/>
  <c r="C9588" i="2"/>
  <c r="C9589" i="2"/>
  <c r="C9590" i="2"/>
  <c r="C9591" i="2"/>
  <c r="C9592" i="2"/>
  <c r="C9593" i="2"/>
  <c r="C9594" i="2"/>
  <c r="C9595" i="2"/>
  <c r="C9596" i="2"/>
  <c r="C9597" i="2"/>
  <c r="C9598" i="2"/>
  <c r="C9599" i="2"/>
  <c r="C9600" i="2"/>
  <c r="C9601" i="2"/>
  <c r="C9602" i="2"/>
  <c r="C9603" i="2"/>
  <c r="C9604" i="2"/>
  <c r="C9605" i="2"/>
  <c r="C9606" i="2"/>
  <c r="C9607" i="2"/>
  <c r="C9608" i="2"/>
  <c r="C9609" i="2"/>
  <c r="C9610" i="2"/>
  <c r="C9611" i="2"/>
  <c r="C9612" i="2"/>
  <c r="C9613" i="2"/>
  <c r="C9614" i="2"/>
  <c r="C9615" i="2"/>
  <c r="C9616" i="2"/>
  <c r="C9617" i="2"/>
  <c r="C9618" i="2"/>
  <c r="C9619" i="2"/>
  <c r="C9620" i="2"/>
  <c r="C9621" i="2"/>
  <c r="C9622" i="2"/>
  <c r="C9623" i="2"/>
  <c r="C9624" i="2"/>
  <c r="C9625" i="2"/>
  <c r="C9626" i="2"/>
  <c r="C9627" i="2"/>
  <c r="C9628" i="2"/>
  <c r="C9629" i="2"/>
  <c r="C9630" i="2"/>
  <c r="C9631" i="2"/>
  <c r="C9632" i="2"/>
  <c r="C9633" i="2"/>
  <c r="C9634" i="2"/>
  <c r="C9635" i="2"/>
  <c r="C9636" i="2"/>
  <c r="C9637" i="2"/>
  <c r="C9638" i="2"/>
  <c r="C9639" i="2"/>
  <c r="C9640" i="2"/>
  <c r="C9641" i="2"/>
  <c r="C9642" i="2"/>
  <c r="C9643" i="2"/>
  <c r="C9644" i="2"/>
  <c r="C9645" i="2"/>
  <c r="C9646" i="2"/>
  <c r="C9647" i="2"/>
  <c r="C9648" i="2"/>
  <c r="C9649" i="2"/>
  <c r="C9650" i="2"/>
  <c r="C9651" i="2"/>
  <c r="C9652" i="2"/>
  <c r="C9653" i="2"/>
  <c r="C9654" i="2"/>
  <c r="C9655" i="2"/>
  <c r="C9656" i="2"/>
  <c r="C9657" i="2"/>
  <c r="C9658" i="2"/>
  <c r="C9659" i="2"/>
  <c r="C9660" i="2"/>
  <c r="C9661" i="2"/>
  <c r="C9662" i="2"/>
  <c r="C9663" i="2"/>
  <c r="C9664" i="2"/>
  <c r="C9665" i="2"/>
  <c r="C9666" i="2"/>
  <c r="C9667" i="2"/>
  <c r="C9668" i="2"/>
  <c r="C9669" i="2"/>
  <c r="C9670" i="2"/>
  <c r="C9671" i="2"/>
  <c r="C9672" i="2"/>
  <c r="C9673" i="2"/>
  <c r="C9674" i="2"/>
  <c r="C9675" i="2"/>
  <c r="C9676" i="2"/>
  <c r="C9677" i="2"/>
  <c r="C9678" i="2"/>
  <c r="C9679" i="2"/>
  <c r="C9680" i="2"/>
  <c r="C9681" i="2"/>
  <c r="C9682" i="2"/>
  <c r="C9683" i="2"/>
  <c r="C9684" i="2"/>
  <c r="C9685" i="2"/>
  <c r="C9686" i="2"/>
  <c r="C9687" i="2"/>
  <c r="C9688" i="2"/>
  <c r="C9689" i="2"/>
  <c r="C9690" i="2"/>
  <c r="C9691" i="2"/>
  <c r="C9692" i="2"/>
  <c r="C9693" i="2"/>
  <c r="C9694" i="2"/>
  <c r="C9695" i="2"/>
  <c r="C9696" i="2"/>
  <c r="C9697" i="2"/>
  <c r="C9698" i="2"/>
  <c r="C9699" i="2"/>
  <c r="C9700" i="2"/>
  <c r="C9701" i="2"/>
  <c r="C9702" i="2"/>
  <c r="C9703" i="2"/>
  <c r="C9704" i="2"/>
  <c r="C9705" i="2"/>
  <c r="C9706" i="2"/>
  <c r="C9707" i="2"/>
  <c r="C9708" i="2"/>
  <c r="C9709" i="2"/>
  <c r="C9710" i="2"/>
  <c r="C9711" i="2"/>
  <c r="C9712" i="2"/>
  <c r="C9713" i="2"/>
  <c r="C9714" i="2"/>
  <c r="C9715" i="2"/>
  <c r="C9716" i="2"/>
  <c r="C9717" i="2"/>
  <c r="C9718" i="2"/>
  <c r="C9719" i="2"/>
  <c r="C9720" i="2"/>
  <c r="C9721" i="2"/>
  <c r="C9722" i="2"/>
  <c r="C9723" i="2"/>
  <c r="C9724" i="2"/>
  <c r="C9725" i="2"/>
  <c r="C9726" i="2"/>
  <c r="C9727" i="2"/>
  <c r="C9728" i="2"/>
  <c r="C9729" i="2"/>
  <c r="C9730" i="2"/>
  <c r="C9731" i="2"/>
  <c r="C9732" i="2"/>
  <c r="C9733" i="2"/>
  <c r="C9734" i="2"/>
  <c r="C9735" i="2"/>
  <c r="C9736" i="2"/>
  <c r="C9737" i="2"/>
  <c r="C9738" i="2"/>
  <c r="C9739" i="2"/>
  <c r="C9740" i="2"/>
  <c r="C9741" i="2"/>
  <c r="C9742" i="2"/>
  <c r="C9743" i="2"/>
  <c r="C9744" i="2"/>
  <c r="C9745" i="2"/>
  <c r="C9746" i="2"/>
  <c r="C9747" i="2"/>
  <c r="C9748" i="2"/>
  <c r="C9749" i="2"/>
  <c r="C9750" i="2"/>
  <c r="C9751" i="2"/>
  <c r="C9752" i="2"/>
  <c r="C9753" i="2"/>
  <c r="C9754" i="2"/>
  <c r="C9755" i="2"/>
  <c r="C9756" i="2"/>
  <c r="C9757" i="2"/>
  <c r="C9758" i="2"/>
  <c r="C9759" i="2"/>
  <c r="C9760" i="2"/>
  <c r="C9761" i="2"/>
  <c r="C9762" i="2"/>
  <c r="C9763" i="2"/>
  <c r="C9764" i="2"/>
  <c r="C9765" i="2"/>
  <c r="C9766" i="2"/>
  <c r="C9767" i="2"/>
  <c r="C9768" i="2"/>
  <c r="C9769" i="2"/>
  <c r="C9770" i="2"/>
  <c r="C9771" i="2"/>
  <c r="C9772" i="2"/>
  <c r="C9773" i="2"/>
  <c r="C9774" i="2"/>
  <c r="C9775" i="2"/>
  <c r="C9776" i="2"/>
  <c r="C9777" i="2"/>
  <c r="C9778" i="2"/>
  <c r="C9779" i="2"/>
  <c r="C9780" i="2"/>
  <c r="C9781" i="2"/>
  <c r="C9782" i="2"/>
  <c r="C9783" i="2"/>
  <c r="C9784" i="2"/>
  <c r="C9785" i="2"/>
  <c r="C9786" i="2"/>
  <c r="C9787" i="2"/>
  <c r="C9788" i="2"/>
  <c r="C9789" i="2"/>
  <c r="C9790" i="2"/>
  <c r="C9791" i="2"/>
  <c r="C9792" i="2"/>
  <c r="C9793" i="2"/>
  <c r="C9794" i="2"/>
  <c r="C9795" i="2"/>
  <c r="C9796" i="2"/>
  <c r="C9797" i="2"/>
  <c r="C9798" i="2"/>
  <c r="C9799" i="2"/>
  <c r="C9800" i="2"/>
  <c r="C9801" i="2"/>
  <c r="C9802" i="2"/>
  <c r="C9803" i="2"/>
  <c r="C9804" i="2"/>
  <c r="C9805" i="2"/>
  <c r="C9806" i="2"/>
  <c r="C9807" i="2"/>
  <c r="C9808" i="2"/>
  <c r="C9809" i="2"/>
  <c r="C9810" i="2"/>
  <c r="C9811" i="2"/>
  <c r="C9812" i="2"/>
  <c r="C9813" i="2"/>
  <c r="C9814" i="2"/>
  <c r="C9815" i="2"/>
  <c r="C9816" i="2"/>
  <c r="C9817" i="2"/>
  <c r="C9818" i="2"/>
  <c r="C9819" i="2"/>
  <c r="C9820" i="2"/>
  <c r="C9821" i="2"/>
  <c r="C9822" i="2"/>
  <c r="C9823" i="2"/>
  <c r="C9824" i="2"/>
  <c r="C9825" i="2"/>
  <c r="C9826" i="2"/>
  <c r="C9827" i="2"/>
  <c r="C9828" i="2"/>
  <c r="C9829" i="2"/>
  <c r="C9830" i="2"/>
  <c r="C9831" i="2"/>
  <c r="C9832" i="2"/>
  <c r="C9833" i="2"/>
  <c r="C9834" i="2"/>
  <c r="C9835" i="2"/>
  <c r="C9836" i="2"/>
  <c r="C9837" i="2"/>
  <c r="C9838" i="2"/>
  <c r="C9839" i="2"/>
  <c r="C9840" i="2"/>
  <c r="C9841" i="2"/>
  <c r="C9842" i="2"/>
  <c r="C9843" i="2"/>
  <c r="C9844" i="2"/>
  <c r="C9845" i="2"/>
  <c r="C9846" i="2"/>
  <c r="C9847" i="2"/>
  <c r="C9848" i="2"/>
  <c r="C9849" i="2"/>
  <c r="C9850" i="2"/>
  <c r="C9851" i="2"/>
  <c r="C9852" i="2"/>
  <c r="C9853" i="2"/>
  <c r="C9854" i="2"/>
  <c r="C9855" i="2"/>
  <c r="C9856" i="2"/>
  <c r="C9857" i="2"/>
  <c r="C9858" i="2"/>
  <c r="C9859" i="2"/>
  <c r="C9860" i="2"/>
  <c r="C9861" i="2"/>
  <c r="C9862" i="2"/>
  <c r="C9863" i="2"/>
  <c r="C9864" i="2"/>
  <c r="C9865" i="2"/>
  <c r="C9866" i="2"/>
  <c r="C9867" i="2"/>
  <c r="C9868" i="2"/>
  <c r="C9869" i="2"/>
  <c r="C9870" i="2"/>
  <c r="C9871" i="2"/>
  <c r="C9872" i="2"/>
  <c r="C9873" i="2"/>
  <c r="C9874" i="2"/>
  <c r="C9875" i="2"/>
  <c r="C9876" i="2"/>
  <c r="C9877" i="2"/>
  <c r="C9878" i="2"/>
  <c r="C9879" i="2"/>
  <c r="C9880" i="2"/>
  <c r="C9881" i="2"/>
  <c r="C9882" i="2"/>
  <c r="C9883" i="2"/>
  <c r="C9884" i="2"/>
  <c r="C9885" i="2"/>
  <c r="C9886" i="2"/>
  <c r="C9887" i="2"/>
  <c r="C9888" i="2"/>
  <c r="C9889" i="2"/>
  <c r="C9890" i="2"/>
  <c r="C9891" i="2"/>
  <c r="C9892" i="2"/>
  <c r="C9893" i="2"/>
  <c r="C9894" i="2"/>
  <c r="C9895" i="2"/>
  <c r="C9896" i="2"/>
  <c r="C9897" i="2"/>
  <c r="C9898" i="2"/>
  <c r="C9899" i="2"/>
  <c r="C9900" i="2"/>
  <c r="C9901" i="2"/>
  <c r="C9902" i="2"/>
  <c r="C9903" i="2"/>
  <c r="C9904" i="2"/>
  <c r="C9905" i="2"/>
  <c r="C9906" i="2"/>
  <c r="C9907" i="2"/>
  <c r="C9908" i="2"/>
  <c r="C9909" i="2"/>
  <c r="C9910" i="2"/>
  <c r="C9911" i="2"/>
  <c r="C9912" i="2"/>
  <c r="C9913" i="2"/>
  <c r="C9914" i="2"/>
  <c r="C9915" i="2"/>
  <c r="C9916" i="2"/>
  <c r="C9917" i="2"/>
  <c r="C9918" i="2"/>
  <c r="C9919" i="2"/>
  <c r="C9920" i="2"/>
  <c r="C9921" i="2"/>
  <c r="C9922" i="2"/>
  <c r="C9923" i="2"/>
  <c r="C9924" i="2"/>
  <c r="C9925" i="2"/>
  <c r="C9926" i="2"/>
  <c r="C9927" i="2"/>
  <c r="C9928" i="2"/>
  <c r="C9929" i="2"/>
  <c r="C9930" i="2"/>
  <c r="C9931" i="2"/>
  <c r="C9932" i="2"/>
  <c r="C9933" i="2"/>
  <c r="C9934" i="2"/>
  <c r="C9935" i="2"/>
  <c r="C9936" i="2"/>
  <c r="C9937" i="2"/>
  <c r="C9938" i="2"/>
  <c r="C9939" i="2"/>
  <c r="C9940" i="2"/>
  <c r="C9941" i="2"/>
  <c r="C9942" i="2"/>
  <c r="C9943" i="2"/>
  <c r="C9944" i="2"/>
  <c r="C9945" i="2"/>
  <c r="C9946" i="2"/>
  <c r="C9947" i="2"/>
  <c r="C9948" i="2"/>
  <c r="C9949" i="2"/>
  <c r="C9950" i="2"/>
  <c r="C9951" i="2"/>
  <c r="C9952" i="2"/>
  <c r="C9953" i="2"/>
  <c r="C9954" i="2"/>
  <c r="C9955" i="2"/>
  <c r="C9956" i="2"/>
  <c r="C9957" i="2"/>
  <c r="C9958" i="2"/>
  <c r="C9959" i="2"/>
  <c r="C9960" i="2"/>
  <c r="C9961" i="2"/>
  <c r="C9962" i="2"/>
  <c r="C9963" i="2"/>
  <c r="C9964" i="2"/>
  <c r="C9965" i="2"/>
  <c r="C9966" i="2"/>
  <c r="C9967" i="2"/>
  <c r="C9968" i="2"/>
  <c r="C9969" i="2"/>
  <c r="C9970" i="2"/>
  <c r="C9971" i="2"/>
  <c r="C9972" i="2"/>
  <c r="C9973" i="2"/>
  <c r="C9974" i="2"/>
  <c r="C9975" i="2"/>
  <c r="C9976" i="2"/>
  <c r="C9977" i="2"/>
  <c r="C9978" i="2"/>
  <c r="C9979" i="2"/>
  <c r="C9980" i="2"/>
  <c r="C9981" i="2"/>
  <c r="C9982" i="2"/>
  <c r="C9983" i="2"/>
  <c r="C9984" i="2"/>
  <c r="C9985" i="2"/>
  <c r="C9986" i="2"/>
  <c r="C9987" i="2"/>
  <c r="C9988" i="2"/>
  <c r="C9989" i="2"/>
  <c r="C9990" i="2"/>
  <c r="C9991" i="2"/>
  <c r="C9992" i="2"/>
  <c r="C9993" i="2"/>
  <c r="C9994" i="2"/>
  <c r="C9995" i="2"/>
  <c r="C9996" i="2"/>
  <c r="C9997" i="2"/>
  <c r="C9998" i="2"/>
  <c r="C9999" i="2"/>
  <c r="C10000" i="2"/>
  <c r="C10001" i="2"/>
  <c r="C10002" i="2"/>
  <c r="C10003" i="2"/>
  <c r="C10004" i="2"/>
  <c r="C10005" i="2"/>
  <c r="C10006" i="2"/>
  <c r="C10007" i="2"/>
  <c r="C10008" i="2"/>
  <c r="C10009" i="2"/>
  <c r="C10010" i="2"/>
  <c r="C10011" i="2"/>
  <c r="C10012" i="2"/>
  <c r="C10013" i="2"/>
  <c r="C10014" i="2"/>
  <c r="C10015" i="2"/>
  <c r="C10016" i="2"/>
  <c r="C10017" i="2"/>
  <c r="C10018" i="2"/>
  <c r="C10019" i="2"/>
  <c r="C10020" i="2"/>
  <c r="C10021" i="2"/>
  <c r="C10022" i="2"/>
  <c r="C10023" i="2"/>
  <c r="C10024" i="2"/>
  <c r="C10025" i="2"/>
  <c r="C10026" i="2"/>
  <c r="C10027" i="2"/>
  <c r="C10028" i="2"/>
  <c r="C10029" i="2"/>
  <c r="C10030" i="2"/>
  <c r="C10031" i="2"/>
  <c r="C10032" i="2"/>
  <c r="C10033" i="2"/>
  <c r="C10034" i="2"/>
  <c r="C10035" i="2"/>
  <c r="C10036" i="2"/>
  <c r="C10037" i="2"/>
  <c r="C10038" i="2"/>
  <c r="C10039" i="2"/>
  <c r="C10040" i="2"/>
  <c r="C10041" i="2"/>
  <c r="C10042" i="2"/>
  <c r="C10043" i="2"/>
  <c r="C10044" i="2"/>
  <c r="C10045" i="2"/>
  <c r="C10046" i="2"/>
  <c r="C10047" i="2"/>
  <c r="C10048" i="2"/>
  <c r="C10049" i="2"/>
  <c r="C10050" i="2"/>
  <c r="C10051" i="2"/>
  <c r="C10052" i="2"/>
  <c r="C10053" i="2"/>
  <c r="C10054" i="2"/>
  <c r="C10055" i="2"/>
  <c r="C10056" i="2"/>
  <c r="C10057" i="2"/>
  <c r="C10058" i="2"/>
  <c r="C10059" i="2"/>
  <c r="C10060" i="2"/>
  <c r="C10061" i="2"/>
  <c r="C10062" i="2"/>
  <c r="C10063" i="2"/>
  <c r="C10064" i="2"/>
  <c r="C10065" i="2"/>
  <c r="C10066" i="2"/>
  <c r="C10067" i="2"/>
  <c r="C10068" i="2"/>
  <c r="C10069" i="2"/>
  <c r="C10070" i="2"/>
  <c r="C10071" i="2"/>
  <c r="C10072" i="2"/>
  <c r="C10073" i="2"/>
  <c r="C10074" i="2"/>
  <c r="C10075" i="2"/>
  <c r="C10076" i="2"/>
  <c r="C10077" i="2"/>
  <c r="C10078" i="2"/>
  <c r="C10079" i="2"/>
  <c r="C10080" i="2"/>
  <c r="C10081" i="2"/>
  <c r="C10082" i="2"/>
  <c r="C10083" i="2"/>
  <c r="C10084" i="2"/>
  <c r="C10085" i="2"/>
  <c r="C10086" i="2"/>
  <c r="C10087" i="2"/>
  <c r="C10088" i="2"/>
  <c r="C10089" i="2"/>
  <c r="C10090" i="2"/>
  <c r="C10091" i="2"/>
  <c r="C10092" i="2"/>
  <c r="C10093" i="2"/>
  <c r="C10094" i="2"/>
  <c r="C10095" i="2"/>
  <c r="C10096" i="2"/>
  <c r="C10097" i="2"/>
  <c r="C10098" i="2"/>
  <c r="C10099" i="2"/>
  <c r="C10100" i="2"/>
  <c r="C10101" i="2"/>
  <c r="C10102" i="2"/>
  <c r="C10103" i="2"/>
  <c r="C10104" i="2"/>
  <c r="C10105" i="2"/>
  <c r="C10106" i="2"/>
  <c r="C10107" i="2"/>
  <c r="C10108" i="2"/>
  <c r="C10109" i="2"/>
  <c r="C10110" i="2"/>
  <c r="C10111" i="2"/>
  <c r="C10112" i="2"/>
  <c r="C10113" i="2"/>
  <c r="C10114" i="2"/>
  <c r="C10115" i="2"/>
  <c r="C10116" i="2"/>
  <c r="C10117" i="2"/>
  <c r="C10118" i="2"/>
  <c r="C10119" i="2"/>
  <c r="C10120" i="2"/>
  <c r="C10121" i="2"/>
  <c r="C10122" i="2"/>
  <c r="C10123" i="2"/>
  <c r="C10124" i="2"/>
  <c r="C10125" i="2"/>
  <c r="C10126" i="2"/>
  <c r="C10127" i="2"/>
  <c r="C10128" i="2"/>
  <c r="C10129" i="2"/>
  <c r="C10130" i="2"/>
  <c r="C10131" i="2"/>
  <c r="C10132" i="2"/>
  <c r="C10133" i="2"/>
  <c r="C10134" i="2"/>
  <c r="C10135" i="2"/>
  <c r="C10136" i="2"/>
  <c r="C10137" i="2"/>
  <c r="C10138" i="2"/>
  <c r="C10139" i="2"/>
  <c r="C10140" i="2"/>
  <c r="C10141" i="2"/>
  <c r="C10142" i="2"/>
  <c r="C10143" i="2"/>
  <c r="C10144" i="2"/>
  <c r="C10145" i="2"/>
  <c r="C10146" i="2"/>
  <c r="C10147" i="2"/>
  <c r="C10148" i="2"/>
  <c r="C10149" i="2"/>
  <c r="C10150" i="2"/>
  <c r="C10151" i="2"/>
  <c r="C10152" i="2"/>
  <c r="C10153" i="2"/>
  <c r="C10154" i="2"/>
  <c r="C10155" i="2"/>
  <c r="C10156" i="2"/>
  <c r="C10157" i="2"/>
  <c r="C10158" i="2"/>
  <c r="C10159" i="2"/>
  <c r="C10160" i="2"/>
  <c r="C10161" i="2"/>
  <c r="C10162" i="2"/>
  <c r="C10163" i="2"/>
  <c r="C10164" i="2"/>
  <c r="C10165" i="2"/>
  <c r="C10166" i="2"/>
  <c r="C10167" i="2"/>
  <c r="C10168" i="2"/>
  <c r="C10169" i="2"/>
  <c r="C10170" i="2"/>
  <c r="C10171" i="2"/>
  <c r="C10172" i="2"/>
  <c r="C10173" i="2"/>
  <c r="C10174" i="2"/>
  <c r="C10175" i="2"/>
  <c r="C10176" i="2"/>
  <c r="C10177" i="2"/>
  <c r="C10178" i="2"/>
  <c r="C10179" i="2"/>
  <c r="C10180" i="2"/>
  <c r="C10181" i="2"/>
  <c r="C10182" i="2"/>
  <c r="C10183" i="2"/>
  <c r="C10184" i="2"/>
  <c r="C10185" i="2"/>
  <c r="C10186" i="2"/>
  <c r="C10187" i="2"/>
  <c r="C10188" i="2"/>
  <c r="C10189" i="2"/>
  <c r="C10190" i="2"/>
  <c r="C10191" i="2"/>
  <c r="C10192" i="2"/>
  <c r="C10193" i="2"/>
  <c r="C10194" i="2"/>
  <c r="C10195" i="2"/>
  <c r="C10196" i="2"/>
  <c r="C10197" i="2"/>
  <c r="C10198" i="2"/>
  <c r="C10199" i="2"/>
  <c r="C10200" i="2"/>
  <c r="C10201" i="2"/>
  <c r="C10202" i="2"/>
  <c r="C10203" i="2"/>
  <c r="C10204" i="2"/>
  <c r="C10205" i="2"/>
  <c r="C10206" i="2"/>
  <c r="C10207" i="2"/>
  <c r="C10208" i="2"/>
  <c r="C10209" i="2"/>
  <c r="C10210" i="2"/>
  <c r="C10211" i="2"/>
  <c r="C10212" i="2"/>
  <c r="C10213" i="2"/>
  <c r="C10214" i="2"/>
  <c r="C10215" i="2"/>
  <c r="C10216" i="2"/>
  <c r="C10217" i="2"/>
  <c r="C10218" i="2"/>
  <c r="C10219" i="2"/>
  <c r="C10220" i="2"/>
  <c r="C10221" i="2"/>
  <c r="C10222" i="2"/>
  <c r="C10223" i="2"/>
  <c r="C10224" i="2"/>
  <c r="C10225" i="2"/>
  <c r="C10226" i="2"/>
  <c r="C10227" i="2"/>
  <c r="C10228" i="2"/>
  <c r="C10229" i="2"/>
  <c r="C10230" i="2"/>
  <c r="C10231" i="2"/>
  <c r="C10232" i="2"/>
  <c r="C10233" i="2"/>
  <c r="C10234" i="2"/>
  <c r="C10235" i="2"/>
  <c r="C10236" i="2"/>
  <c r="C10237" i="2"/>
  <c r="C10238" i="2"/>
  <c r="C10239" i="2"/>
  <c r="C10240" i="2"/>
  <c r="C10241" i="2"/>
  <c r="C10242" i="2"/>
  <c r="C10243" i="2"/>
  <c r="C10244" i="2"/>
  <c r="C10245" i="2"/>
  <c r="C10246" i="2"/>
  <c r="C10247" i="2"/>
  <c r="C10248" i="2"/>
  <c r="C10249" i="2"/>
  <c r="C10250" i="2"/>
  <c r="C10251" i="2"/>
  <c r="C10252" i="2"/>
  <c r="C10253" i="2"/>
  <c r="C10254" i="2"/>
  <c r="C10255" i="2"/>
  <c r="C10256" i="2"/>
  <c r="C10257" i="2"/>
  <c r="C10258" i="2"/>
  <c r="C10259" i="2"/>
  <c r="C10260" i="2"/>
  <c r="C10261" i="2"/>
  <c r="C10262" i="2"/>
  <c r="C10263" i="2"/>
  <c r="C10264" i="2"/>
  <c r="C10265" i="2"/>
  <c r="C10266" i="2"/>
  <c r="C10267" i="2"/>
  <c r="C10268" i="2"/>
  <c r="C10269" i="2"/>
  <c r="C10270" i="2"/>
  <c r="C10271" i="2"/>
  <c r="C10272" i="2"/>
  <c r="C10273" i="2"/>
  <c r="C10274" i="2"/>
  <c r="C10275" i="2"/>
  <c r="C10276" i="2"/>
  <c r="C10277" i="2"/>
  <c r="C10278" i="2"/>
  <c r="C10279" i="2"/>
  <c r="C10280" i="2"/>
  <c r="C10281" i="2"/>
  <c r="C10282" i="2"/>
  <c r="C10283" i="2"/>
  <c r="C10284" i="2"/>
  <c r="C10285" i="2"/>
  <c r="C10286" i="2"/>
  <c r="C10287" i="2"/>
  <c r="C10288" i="2"/>
  <c r="C10289" i="2"/>
  <c r="C10290" i="2"/>
  <c r="C10291" i="2"/>
  <c r="C10292" i="2"/>
  <c r="C10293" i="2"/>
  <c r="C10294" i="2"/>
  <c r="C10295" i="2"/>
  <c r="C10296" i="2"/>
  <c r="C10297" i="2"/>
  <c r="C10298" i="2"/>
  <c r="C10299" i="2"/>
  <c r="C10300" i="2"/>
  <c r="C10301" i="2"/>
  <c r="C10302" i="2"/>
  <c r="C10303" i="2"/>
  <c r="C10304" i="2"/>
  <c r="C10305" i="2"/>
  <c r="C10306" i="2"/>
  <c r="C10307" i="2"/>
  <c r="C10308" i="2"/>
  <c r="C10309" i="2"/>
  <c r="C10310" i="2"/>
  <c r="C10311" i="2"/>
  <c r="C10312" i="2"/>
  <c r="C10313" i="2"/>
  <c r="C10314" i="2"/>
  <c r="C10315" i="2"/>
  <c r="C10316" i="2"/>
  <c r="C10317" i="2"/>
  <c r="C10318" i="2"/>
  <c r="C10319" i="2"/>
  <c r="C10320" i="2"/>
  <c r="C10321" i="2"/>
  <c r="C10322" i="2"/>
  <c r="C10323" i="2"/>
  <c r="C10324" i="2"/>
  <c r="C10325" i="2"/>
  <c r="C10326" i="2"/>
  <c r="C10327" i="2"/>
  <c r="C10328" i="2"/>
  <c r="C10329" i="2"/>
  <c r="C10330" i="2"/>
  <c r="C10331" i="2"/>
  <c r="C10332" i="2"/>
  <c r="C10333" i="2"/>
  <c r="C10334" i="2"/>
  <c r="C10335" i="2"/>
  <c r="C10336" i="2"/>
  <c r="C10337" i="2"/>
  <c r="C10338" i="2"/>
  <c r="C10339" i="2"/>
  <c r="C10340" i="2"/>
  <c r="C10341" i="2"/>
  <c r="C10342" i="2"/>
  <c r="C10343" i="2"/>
  <c r="C10344" i="2"/>
  <c r="C10345" i="2"/>
  <c r="C10346" i="2"/>
  <c r="C10347" i="2"/>
  <c r="C10348" i="2"/>
  <c r="C10349" i="2"/>
  <c r="C10350" i="2"/>
  <c r="C10351" i="2"/>
  <c r="C10352" i="2"/>
  <c r="C10353" i="2"/>
  <c r="C10354" i="2"/>
  <c r="C10355" i="2"/>
  <c r="C10356" i="2"/>
  <c r="C10357" i="2"/>
  <c r="C10358" i="2"/>
  <c r="C10359" i="2"/>
  <c r="C10360" i="2"/>
  <c r="C10361" i="2"/>
  <c r="C10362" i="2"/>
  <c r="C10363" i="2"/>
  <c r="C10364" i="2"/>
  <c r="C10365" i="2"/>
  <c r="C10366" i="2"/>
  <c r="C10367" i="2"/>
  <c r="C10368" i="2"/>
  <c r="C10369" i="2"/>
  <c r="C10370" i="2"/>
  <c r="C10371" i="2"/>
  <c r="C10372" i="2"/>
  <c r="C10373" i="2"/>
  <c r="C10374" i="2"/>
  <c r="C10375" i="2"/>
  <c r="C10376" i="2"/>
  <c r="C10377" i="2"/>
  <c r="C10378" i="2"/>
  <c r="C10379" i="2"/>
  <c r="C10380" i="2"/>
  <c r="C10381" i="2"/>
  <c r="C10382" i="2"/>
  <c r="C10383" i="2"/>
  <c r="C10384" i="2"/>
  <c r="C10385" i="2"/>
  <c r="C10386" i="2"/>
  <c r="C10387" i="2"/>
  <c r="C10388" i="2"/>
  <c r="C10389" i="2"/>
  <c r="C10390" i="2"/>
  <c r="C10391" i="2"/>
  <c r="C10392" i="2"/>
  <c r="C10393" i="2"/>
  <c r="C10394" i="2"/>
  <c r="C10395" i="2"/>
  <c r="C10396" i="2"/>
  <c r="C10397" i="2"/>
  <c r="C10398" i="2"/>
  <c r="C10399" i="2"/>
  <c r="C10400" i="2"/>
  <c r="C10401" i="2"/>
  <c r="C10402" i="2"/>
  <c r="C10403" i="2"/>
  <c r="C10404" i="2"/>
  <c r="C10405" i="2"/>
  <c r="C10406" i="2"/>
  <c r="C10407" i="2"/>
  <c r="C10408" i="2"/>
  <c r="C10409" i="2"/>
  <c r="C10410" i="2"/>
  <c r="C10411" i="2"/>
  <c r="C10412" i="2"/>
  <c r="C10413" i="2"/>
  <c r="C10414" i="2"/>
  <c r="C10415" i="2"/>
  <c r="C10416" i="2"/>
  <c r="C10417" i="2"/>
  <c r="C10418" i="2"/>
  <c r="C10419" i="2"/>
  <c r="C10420" i="2"/>
  <c r="C10421" i="2"/>
  <c r="C10422" i="2"/>
  <c r="C10423" i="2"/>
  <c r="C10424" i="2"/>
  <c r="C10425" i="2"/>
  <c r="C10426" i="2"/>
  <c r="C10427" i="2"/>
  <c r="C10428" i="2"/>
  <c r="C10429" i="2"/>
  <c r="C10430" i="2"/>
  <c r="C10431" i="2"/>
  <c r="C10432" i="2"/>
  <c r="C10433" i="2"/>
  <c r="C10434" i="2"/>
  <c r="C10435" i="2"/>
  <c r="C10436" i="2"/>
  <c r="C10437" i="2"/>
  <c r="C10438" i="2"/>
  <c r="C10439" i="2"/>
  <c r="C10440" i="2"/>
  <c r="C10441" i="2"/>
  <c r="C10442" i="2"/>
  <c r="C10443" i="2"/>
  <c r="C10444" i="2"/>
  <c r="C10445" i="2"/>
  <c r="C10446" i="2"/>
  <c r="C10447" i="2"/>
  <c r="C10448" i="2"/>
  <c r="C10449" i="2"/>
  <c r="C10450" i="2"/>
  <c r="C10451" i="2"/>
  <c r="C10452" i="2"/>
  <c r="C10453" i="2"/>
  <c r="C10454" i="2"/>
  <c r="C10455" i="2"/>
  <c r="C10456" i="2"/>
  <c r="C10457" i="2"/>
  <c r="C10458" i="2"/>
  <c r="C10459" i="2"/>
  <c r="C10460" i="2"/>
  <c r="C10461" i="2"/>
  <c r="C10462" i="2"/>
  <c r="C10463" i="2"/>
  <c r="C10464" i="2"/>
  <c r="C10465" i="2"/>
  <c r="C10466" i="2"/>
  <c r="C10467" i="2"/>
  <c r="C10468" i="2"/>
  <c r="C10469" i="2"/>
  <c r="C10470" i="2"/>
  <c r="C10471" i="2"/>
  <c r="C10472" i="2"/>
  <c r="C10473" i="2"/>
  <c r="C10474" i="2"/>
  <c r="C10475" i="2"/>
  <c r="C10476" i="2"/>
  <c r="C10477" i="2"/>
  <c r="C10478" i="2"/>
  <c r="C10479" i="2"/>
  <c r="C10480" i="2"/>
  <c r="C10481" i="2"/>
  <c r="C10482" i="2"/>
  <c r="C10483" i="2"/>
  <c r="C10484" i="2"/>
  <c r="C10485" i="2"/>
  <c r="C10486" i="2"/>
  <c r="C10487" i="2"/>
  <c r="C10488" i="2"/>
  <c r="C10489" i="2"/>
  <c r="C10490" i="2"/>
  <c r="C10491" i="2"/>
  <c r="C10492" i="2"/>
  <c r="C10493" i="2"/>
  <c r="C10494" i="2"/>
  <c r="C10495" i="2"/>
  <c r="C10496" i="2"/>
  <c r="C10497" i="2"/>
  <c r="C10498" i="2"/>
  <c r="C10499" i="2"/>
  <c r="C10500" i="2"/>
  <c r="C10501" i="2"/>
  <c r="C10502" i="2"/>
  <c r="C10503" i="2"/>
  <c r="C10504" i="2"/>
  <c r="C10505" i="2"/>
  <c r="C10506" i="2"/>
  <c r="C10507" i="2"/>
  <c r="C10508" i="2"/>
  <c r="C10509" i="2"/>
  <c r="C10510" i="2"/>
  <c r="C10511" i="2"/>
  <c r="C10512" i="2"/>
  <c r="C10513" i="2"/>
  <c r="C10514" i="2"/>
  <c r="C10515" i="2"/>
  <c r="C10516" i="2"/>
  <c r="C10517" i="2"/>
  <c r="C10518" i="2"/>
  <c r="C10519" i="2"/>
  <c r="C10520" i="2"/>
  <c r="C10521" i="2"/>
  <c r="C10522" i="2"/>
  <c r="C10523" i="2"/>
  <c r="C10524" i="2"/>
  <c r="C10525" i="2"/>
  <c r="C10526" i="2"/>
  <c r="C10527" i="2"/>
  <c r="C10528" i="2"/>
  <c r="C10529" i="2"/>
  <c r="C10530" i="2"/>
  <c r="C10531" i="2"/>
  <c r="C10532" i="2"/>
  <c r="C10533" i="2"/>
  <c r="C10534" i="2"/>
  <c r="C10535" i="2"/>
  <c r="C10536" i="2"/>
  <c r="C10537" i="2"/>
  <c r="C10538" i="2"/>
  <c r="C10539" i="2"/>
  <c r="C10540" i="2"/>
  <c r="C10541" i="2"/>
  <c r="C10542" i="2"/>
  <c r="C10543" i="2"/>
  <c r="C10544" i="2"/>
  <c r="C10545" i="2"/>
  <c r="C10546" i="2"/>
  <c r="C10547" i="2"/>
  <c r="C10548" i="2"/>
  <c r="C10549" i="2"/>
  <c r="C10550" i="2"/>
  <c r="C10551" i="2"/>
  <c r="C10552" i="2"/>
  <c r="C10553" i="2"/>
  <c r="C10554" i="2"/>
  <c r="C10555" i="2"/>
  <c r="C10556" i="2"/>
  <c r="C10557" i="2"/>
  <c r="C10558" i="2"/>
  <c r="C10559" i="2"/>
  <c r="C10560" i="2"/>
  <c r="C10561" i="2"/>
  <c r="C10562" i="2"/>
  <c r="C10563" i="2"/>
  <c r="C10564" i="2"/>
  <c r="C10565" i="2"/>
  <c r="C10566" i="2"/>
  <c r="C10567" i="2"/>
  <c r="C10568" i="2"/>
  <c r="C10569" i="2"/>
  <c r="C10570" i="2"/>
  <c r="C10571" i="2"/>
  <c r="C10572" i="2"/>
  <c r="C10573" i="2"/>
  <c r="C10574" i="2"/>
  <c r="C10575" i="2"/>
  <c r="C10576" i="2"/>
  <c r="C10577" i="2"/>
  <c r="C10578" i="2"/>
  <c r="C10579" i="2"/>
  <c r="C10580" i="2"/>
  <c r="C10581" i="2"/>
  <c r="C10582" i="2"/>
  <c r="C10583" i="2"/>
  <c r="C10584" i="2"/>
  <c r="C10585" i="2"/>
  <c r="C10586" i="2"/>
  <c r="C10587" i="2"/>
  <c r="C10588" i="2"/>
  <c r="C10589" i="2"/>
  <c r="C10590" i="2"/>
  <c r="C10591" i="2"/>
  <c r="C10592" i="2"/>
  <c r="C10593" i="2"/>
  <c r="C10594" i="2"/>
  <c r="C10595" i="2"/>
  <c r="C10596" i="2"/>
  <c r="C10597" i="2"/>
  <c r="C10598" i="2"/>
  <c r="C10599" i="2"/>
  <c r="C10600" i="2"/>
  <c r="C10601" i="2"/>
  <c r="C10602" i="2"/>
  <c r="C10603" i="2"/>
  <c r="C10604" i="2"/>
  <c r="C10605" i="2"/>
  <c r="C10606" i="2"/>
  <c r="C10607" i="2"/>
  <c r="C10608" i="2"/>
  <c r="C10609" i="2"/>
  <c r="C10610" i="2"/>
  <c r="C10611" i="2"/>
  <c r="C10612" i="2"/>
  <c r="C10613" i="2"/>
  <c r="C10614" i="2"/>
  <c r="C10615" i="2"/>
  <c r="C10616" i="2"/>
  <c r="C10617" i="2"/>
  <c r="C10618" i="2"/>
  <c r="C10619" i="2"/>
  <c r="C10620" i="2"/>
  <c r="C10621" i="2"/>
  <c r="C10622" i="2"/>
  <c r="C10623" i="2"/>
  <c r="C10624" i="2"/>
  <c r="C10625" i="2"/>
  <c r="C10626" i="2"/>
  <c r="C10627" i="2"/>
  <c r="C10628" i="2"/>
  <c r="C10629" i="2"/>
  <c r="C10630" i="2"/>
  <c r="C10631" i="2"/>
  <c r="C10632" i="2"/>
  <c r="C10633" i="2"/>
  <c r="C10634" i="2"/>
  <c r="C10635" i="2"/>
  <c r="C10636" i="2"/>
  <c r="C10637" i="2"/>
  <c r="C10638" i="2"/>
  <c r="C10639" i="2"/>
  <c r="C10640" i="2"/>
  <c r="C10641" i="2"/>
  <c r="C10642" i="2"/>
  <c r="C10643" i="2"/>
  <c r="C10644" i="2"/>
  <c r="C10645" i="2"/>
  <c r="C10646" i="2"/>
  <c r="C10647" i="2"/>
  <c r="C10648" i="2"/>
  <c r="C10649" i="2"/>
  <c r="C10650" i="2"/>
  <c r="C10651" i="2"/>
  <c r="C10652" i="2"/>
  <c r="C10653" i="2"/>
  <c r="C10654" i="2"/>
  <c r="C10655" i="2"/>
  <c r="C10656" i="2"/>
  <c r="C10657" i="2"/>
  <c r="C10658" i="2"/>
  <c r="C10659" i="2"/>
  <c r="C10660" i="2"/>
  <c r="C10661" i="2"/>
  <c r="C10662" i="2"/>
  <c r="C10663" i="2"/>
  <c r="C10664" i="2"/>
  <c r="C10665" i="2"/>
  <c r="C10666" i="2"/>
  <c r="C10667" i="2"/>
  <c r="C10668" i="2"/>
  <c r="C10669" i="2"/>
  <c r="C10670" i="2"/>
  <c r="C10671" i="2"/>
  <c r="C10672" i="2"/>
  <c r="C10673" i="2"/>
  <c r="C10674" i="2"/>
  <c r="C10675" i="2"/>
  <c r="C10676" i="2"/>
  <c r="C10677" i="2"/>
  <c r="C10678" i="2"/>
  <c r="C10679" i="2"/>
  <c r="C10680" i="2"/>
  <c r="C10681" i="2"/>
  <c r="C10682" i="2"/>
  <c r="C10683" i="2"/>
  <c r="C10684" i="2"/>
  <c r="C10685" i="2"/>
  <c r="C10686" i="2"/>
  <c r="C10687" i="2"/>
  <c r="C10688" i="2"/>
  <c r="C10689" i="2"/>
  <c r="C10690" i="2"/>
  <c r="C10691" i="2"/>
  <c r="C10692" i="2"/>
  <c r="C10693" i="2"/>
  <c r="C10694" i="2"/>
  <c r="C10695" i="2"/>
  <c r="C10696" i="2"/>
  <c r="C10697" i="2"/>
  <c r="C10698" i="2"/>
  <c r="C10699" i="2"/>
  <c r="C10700" i="2"/>
  <c r="C10701" i="2"/>
  <c r="C10702" i="2"/>
  <c r="C10703" i="2"/>
  <c r="C10704" i="2"/>
  <c r="C10705" i="2"/>
  <c r="C10706" i="2"/>
  <c r="C10707" i="2"/>
  <c r="C10708" i="2"/>
  <c r="C10709" i="2"/>
  <c r="C10710" i="2"/>
  <c r="C10711" i="2"/>
  <c r="C10712" i="2"/>
  <c r="C10713" i="2"/>
  <c r="C10714" i="2"/>
  <c r="C10715" i="2"/>
  <c r="C10716" i="2"/>
  <c r="C10717" i="2"/>
  <c r="C10718" i="2"/>
  <c r="C10719" i="2"/>
  <c r="C10720" i="2"/>
  <c r="C10721" i="2"/>
  <c r="C10722" i="2"/>
  <c r="C10723" i="2"/>
  <c r="C10724" i="2"/>
  <c r="C10725" i="2"/>
  <c r="C10726" i="2"/>
  <c r="C10727" i="2"/>
  <c r="C10728" i="2"/>
  <c r="C10729" i="2"/>
  <c r="C10730" i="2"/>
  <c r="C10731" i="2"/>
  <c r="C10732" i="2"/>
  <c r="C10733" i="2"/>
  <c r="C10734" i="2"/>
  <c r="C10735" i="2"/>
  <c r="C10736" i="2"/>
  <c r="C10737" i="2"/>
  <c r="C10738" i="2"/>
  <c r="C10739" i="2"/>
  <c r="C10740" i="2"/>
  <c r="C10741" i="2"/>
  <c r="C10742" i="2"/>
  <c r="C10743" i="2"/>
  <c r="C10744" i="2"/>
  <c r="C10745" i="2"/>
  <c r="C10746" i="2"/>
  <c r="C10747" i="2"/>
  <c r="C10748" i="2"/>
  <c r="C10749" i="2"/>
  <c r="C10750" i="2"/>
  <c r="C10751" i="2"/>
  <c r="C10752" i="2"/>
  <c r="C10753" i="2"/>
  <c r="C10754" i="2"/>
  <c r="C10755" i="2"/>
  <c r="C10756" i="2"/>
  <c r="C10757" i="2"/>
  <c r="C10758" i="2"/>
  <c r="C10759" i="2"/>
  <c r="C10760" i="2"/>
  <c r="C10761" i="2"/>
  <c r="C10762" i="2"/>
  <c r="C10763" i="2"/>
  <c r="C10764" i="2"/>
  <c r="C10765" i="2"/>
  <c r="C10766" i="2"/>
  <c r="C10767" i="2"/>
  <c r="C10768" i="2"/>
  <c r="C10769" i="2"/>
  <c r="C10770" i="2"/>
  <c r="C10771" i="2"/>
  <c r="C10772" i="2"/>
  <c r="C10773" i="2"/>
  <c r="C10774" i="2"/>
  <c r="C10775" i="2"/>
  <c r="C10776" i="2"/>
  <c r="C10777" i="2"/>
  <c r="C10778" i="2"/>
  <c r="C10779" i="2"/>
  <c r="C10780" i="2"/>
  <c r="C10781" i="2"/>
  <c r="C10782" i="2"/>
  <c r="C10783" i="2"/>
  <c r="C10784" i="2"/>
  <c r="C10785" i="2"/>
  <c r="C10786" i="2"/>
  <c r="C10787" i="2"/>
  <c r="C10788" i="2"/>
  <c r="C10789" i="2"/>
  <c r="C10790" i="2"/>
  <c r="C10791" i="2"/>
  <c r="C10792" i="2"/>
  <c r="C10793" i="2"/>
  <c r="C10794" i="2"/>
  <c r="C10795" i="2"/>
  <c r="C10796" i="2"/>
  <c r="C10797" i="2"/>
  <c r="C10798" i="2"/>
  <c r="C10799" i="2"/>
  <c r="C10800" i="2"/>
  <c r="C10801" i="2"/>
  <c r="C10802" i="2"/>
  <c r="C10803" i="2"/>
  <c r="C10804" i="2"/>
  <c r="C10805" i="2"/>
  <c r="C10806" i="2"/>
  <c r="C10807" i="2"/>
  <c r="C10808" i="2"/>
  <c r="C10809" i="2"/>
  <c r="C10810" i="2"/>
  <c r="C10811" i="2"/>
  <c r="C10812" i="2"/>
  <c r="C10813" i="2"/>
  <c r="C10814" i="2"/>
  <c r="C10815" i="2"/>
  <c r="C10816" i="2"/>
  <c r="C10817" i="2"/>
  <c r="C10818" i="2"/>
  <c r="C10819" i="2"/>
  <c r="C10820" i="2"/>
  <c r="C10821" i="2"/>
  <c r="C10822" i="2"/>
  <c r="C10823" i="2"/>
  <c r="C10824" i="2"/>
  <c r="C10825" i="2"/>
  <c r="C10826" i="2"/>
  <c r="C10827" i="2"/>
  <c r="C10828" i="2"/>
  <c r="C10829" i="2"/>
  <c r="C10830" i="2"/>
  <c r="C10831" i="2"/>
  <c r="C10832" i="2"/>
  <c r="C10833" i="2"/>
  <c r="C10834" i="2"/>
  <c r="C10835" i="2"/>
  <c r="C10836" i="2"/>
  <c r="C10837" i="2"/>
  <c r="C10838" i="2"/>
  <c r="C10839" i="2"/>
  <c r="C10840" i="2"/>
  <c r="C10841" i="2"/>
  <c r="C10842" i="2"/>
  <c r="C10843" i="2"/>
  <c r="C10844" i="2"/>
  <c r="C10845" i="2"/>
  <c r="C10846" i="2"/>
  <c r="C10847" i="2"/>
  <c r="C10848" i="2"/>
  <c r="C10849" i="2"/>
  <c r="C10850" i="2"/>
  <c r="C10851" i="2"/>
  <c r="C10852" i="2"/>
  <c r="C10853" i="2"/>
  <c r="C10854" i="2"/>
  <c r="C10855" i="2"/>
  <c r="C10856" i="2"/>
  <c r="C10857" i="2"/>
  <c r="C10858" i="2"/>
  <c r="C10859" i="2"/>
  <c r="C10860" i="2"/>
  <c r="C10861" i="2"/>
  <c r="C10862" i="2"/>
  <c r="C10863" i="2"/>
  <c r="C10864" i="2"/>
  <c r="C10865" i="2"/>
  <c r="C10866" i="2"/>
  <c r="C10867" i="2"/>
  <c r="C10868" i="2"/>
  <c r="C10869" i="2"/>
  <c r="C10870" i="2"/>
  <c r="C10871" i="2"/>
  <c r="C10872" i="2"/>
  <c r="C10873" i="2"/>
  <c r="C10874" i="2"/>
  <c r="C10875" i="2"/>
  <c r="C10876" i="2"/>
  <c r="C10877" i="2"/>
  <c r="C10878" i="2"/>
  <c r="C10879" i="2"/>
  <c r="C10880" i="2"/>
  <c r="C10881" i="2"/>
  <c r="C10882" i="2"/>
  <c r="C10883" i="2"/>
  <c r="C10884" i="2"/>
  <c r="C10885" i="2"/>
  <c r="C10886" i="2"/>
  <c r="C10887" i="2"/>
  <c r="C10888" i="2"/>
  <c r="C10889" i="2"/>
  <c r="C10890" i="2"/>
  <c r="C10891" i="2"/>
  <c r="C10892" i="2"/>
  <c r="C10893" i="2"/>
  <c r="C10894" i="2"/>
  <c r="C10895" i="2"/>
  <c r="C10896" i="2"/>
  <c r="C10897" i="2"/>
  <c r="C10898" i="2"/>
  <c r="C10899" i="2"/>
  <c r="C10900" i="2"/>
  <c r="C10901" i="2"/>
  <c r="C10902" i="2"/>
  <c r="C10903" i="2"/>
  <c r="C10904" i="2"/>
  <c r="C10905" i="2"/>
  <c r="C10906" i="2"/>
  <c r="C10907" i="2"/>
  <c r="C10908" i="2"/>
  <c r="C10909" i="2"/>
  <c r="C10910" i="2"/>
  <c r="C10911" i="2"/>
  <c r="C10912" i="2"/>
  <c r="C10913" i="2"/>
  <c r="C10914" i="2"/>
  <c r="C10915" i="2"/>
  <c r="C10916" i="2"/>
  <c r="C10917" i="2"/>
  <c r="C10918" i="2"/>
  <c r="C10919" i="2"/>
  <c r="C10920" i="2"/>
  <c r="C10921" i="2"/>
  <c r="C10922" i="2"/>
  <c r="C10923" i="2"/>
  <c r="C10924" i="2"/>
  <c r="C10925" i="2"/>
  <c r="C10926" i="2"/>
  <c r="C10927" i="2"/>
  <c r="C10928" i="2"/>
  <c r="C10929" i="2"/>
  <c r="C10930" i="2"/>
  <c r="C10931" i="2"/>
  <c r="C10932" i="2"/>
  <c r="C10933" i="2"/>
  <c r="C10934" i="2"/>
  <c r="C10935" i="2"/>
  <c r="C10936" i="2"/>
  <c r="C10937" i="2"/>
  <c r="C10938" i="2"/>
  <c r="C10939" i="2"/>
  <c r="C10940" i="2"/>
  <c r="C10941" i="2"/>
  <c r="C10942" i="2"/>
  <c r="C10943" i="2"/>
  <c r="C10944" i="2"/>
  <c r="C10945" i="2"/>
  <c r="C10946" i="2"/>
  <c r="C10947" i="2"/>
  <c r="C10948" i="2"/>
  <c r="C10949" i="2"/>
  <c r="C10950" i="2"/>
  <c r="C10951" i="2"/>
  <c r="C10952" i="2"/>
  <c r="C10953" i="2"/>
  <c r="C10954" i="2"/>
  <c r="C10955" i="2"/>
  <c r="C10956" i="2"/>
  <c r="C10957" i="2"/>
  <c r="C10958" i="2"/>
  <c r="C10959" i="2"/>
  <c r="C10960" i="2"/>
  <c r="C10961" i="2"/>
  <c r="C10962" i="2"/>
  <c r="C10963" i="2"/>
  <c r="C10964" i="2"/>
  <c r="C10965" i="2"/>
  <c r="C10966" i="2"/>
  <c r="C10967" i="2"/>
  <c r="C10968" i="2"/>
  <c r="C10969" i="2"/>
  <c r="C10970" i="2"/>
  <c r="C10971" i="2"/>
  <c r="C10972" i="2"/>
  <c r="C10973" i="2"/>
  <c r="C10974" i="2"/>
  <c r="C10975" i="2"/>
  <c r="C10976" i="2"/>
  <c r="C10977" i="2"/>
  <c r="C10978" i="2"/>
  <c r="C10979" i="2"/>
  <c r="C10980" i="2"/>
  <c r="C10981" i="2"/>
  <c r="C10982" i="2"/>
  <c r="C10983" i="2"/>
  <c r="C10984" i="2"/>
  <c r="C10985" i="2"/>
  <c r="C10986" i="2"/>
  <c r="C10987" i="2"/>
  <c r="C10988" i="2"/>
  <c r="C10989" i="2"/>
  <c r="C10990" i="2"/>
  <c r="C10991" i="2"/>
  <c r="C10992" i="2"/>
  <c r="C10993" i="2"/>
  <c r="C10994" i="2"/>
  <c r="C10995" i="2"/>
  <c r="C10996" i="2"/>
  <c r="C10997" i="2"/>
  <c r="C10998" i="2"/>
  <c r="C10999" i="2"/>
  <c r="C11000" i="2"/>
  <c r="C11001" i="2"/>
  <c r="C11002" i="2"/>
  <c r="C11003" i="2"/>
  <c r="C11004" i="2"/>
  <c r="C11005" i="2"/>
  <c r="C11006" i="2"/>
  <c r="C11007" i="2"/>
  <c r="C11008" i="2"/>
  <c r="C11009" i="2"/>
  <c r="C11010" i="2"/>
  <c r="C11011" i="2"/>
  <c r="C11012" i="2"/>
  <c r="C11013" i="2"/>
  <c r="C11014" i="2"/>
  <c r="C11015" i="2"/>
  <c r="C11016" i="2"/>
  <c r="C11017" i="2"/>
  <c r="C11018" i="2"/>
  <c r="C11019" i="2"/>
  <c r="C11020" i="2"/>
  <c r="C11021" i="2"/>
  <c r="C11022" i="2"/>
  <c r="C11023" i="2"/>
  <c r="C11024" i="2"/>
  <c r="C11025" i="2"/>
  <c r="C11026" i="2"/>
  <c r="C11027" i="2"/>
  <c r="C11028" i="2"/>
  <c r="C11029" i="2"/>
  <c r="C11030" i="2"/>
  <c r="C11031" i="2"/>
  <c r="C11032" i="2"/>
  <c r="C11033" i="2"/>
  <c r="C11034" i="2"/>
  <c r="C11035" i="2"/>
  <c r="C11036" i="2"/>
  <c r="C11037" i="2"/>
  <c r="C11038" i="2"/>
  <c r="C11039" i="2"/>
  <c r="C11040" i="2"/>
  <c r="C11041" i="2"/>
  <c r="C11042" i="2"/>
  <c r="C11043" i="2"/>
  <c r="C11044" i="2"/>
  <c r="C11045" i="2"/>
  <c r="C11046" i="2"/>
  <c r="C11047" i="2"/>
  <c r="C11048" i="2"/>
  <c r="C11049" i="2"/>
  <c r="C11050" i="2"/>
  <c r="C11051" i="2"/>
  <c r="C11052" i="2"/>
  <c r="C11053" i="2"/>
  <c r="C11054" i="2"/>
  <c r="C11055" i="2"/>
  <c r="C11056" i="2"/>
  <c r="C11057" i="2"/>
  <c r="C11058" i="2"/>
  <c r="C11059" i="2"/>
  <c r="C11060" i="2"/>
  <c r="C11061" i="2"/>
  <c r="C11062" i="2"/>
  <c r="C11063" i="2"/>
  <c r="C11064" i="2"/>
  <c r="C11065" i="2"/>
  <c r="C11066" i="2"/>
  <c r="C11067" i="2"/>
  <c r="C11068" i="2"/>
  <c r="C11069" i="2"/>
  <c r="C11070" i="2"/>
  <c r="C11071" i="2"/>
  <c r="C11072" i="2"/>
  <c r="C11073" i="2"/>
  <c r="C11074" i="2"/>
  <c r="C11075" i="2"/>
  <c r="C11076" i="2"/>
  <c r="C11077" i="2"/>
  <c r="C11078" i="2"/>
  <c r="C11079" i="2"/>
  <c r="C11080" i="2"/>
  <c r="C11081" i="2"/>
  <c r="C11082" i="2"/>
  <c r="C11083" i="2"/>
  <c r="C11084" i="2"/>
  <c r="C11085" i="2"/>
  <c r="C11086" i="2"/>
  <c r="C11087" i="2"/>
  <c r="C11088" i="2"/>
  <c r="C11089" i="2"/>
  <c r="C11090" i="2"/>
  <c r="C11091" i="2"/>
  <c r="C11092" i="2"/>
  <c r="C11093" i="2"/>
  <c r="C11094" i="2"/>
  <c r="C11095" i="2"/>
  <c r="C11096" i="2"/>
  <c r="C11097" i="2"/>
  <c r="C11098" i="2"/>
  <c r="C11099" i="2"/>
  <c r="C11100" i="2"/>
  <c r="C11101" i="2"/>
  <c r="C11102" i="2"/>
  <c r="C11103" i="2"/>
  <c r="C11104" i="2"/>
  <c r="C11105" i="2"/>
  <c r="C11106" i="2"/>
  <c r="C11107" i="2"/>
  <c r="C11108" i="2"/>
  <c r="C11109" i="2"/>
  <c r="C11110" i="2"/>
  <c r="C11111" i="2"/>
  <c r="C11112" i="2"/>
  <c r="C11113" i="2"/>
  <c r="C11114" i="2"/>
  <c r="C11115" i="2"/>
  <c r="C11116" i="2"/>
  <c r="C11117" i="2"/>
  <c r="C11118" i="2"/>
  <c r="C11119" i="2"/>
  <c r="C11120" i="2"/>
  <c r="C11121" i="2"/>
  <c r="C11122" i="2"/>
  <c r="C11123" i="2"/>
  <c r="C11124" i="2"/>
  <c r="C11125" i="2"/>
  <c r="C11126" i="2"/>
  <c r="C11127" i="2"/>
  <c r="C11128" i="2"/>
  <c r="C11129" i="2"/>
  <c r="C11130" i="2"/>
  <c r="C11131" i="2"/>
  <c r="C11132" i="2"/>
  <c r="C11133" i="2"/>
  <c r="C11134" i="2"/>
  <c r="C11135" i="2"/>
  <c r="C11136" i="2"/>
  <c r="C11137" i="2"/>
  <c r="C11138" i="2"/>
  <c r="C11139" i="2"/>
  <c r="C11140" i="2"/>
  <c r="C11141" i="2"/>
  <c r="C11142" i="2"/>
  <c r="C11143" i="2"/>
  <c r="C11144" i="2"/>
  <c r="C11145" i="2"/>
  <c r="C11146" i="2"/>
  <c r="C11147" i="2"/>
  <c r="C11148" i="2"/>
  <c r="C11149" i="2"/>
  <c r="C11150" i="2"/>
  <c r="C11151" i="2"/>
  <c r="C11152" i="2"/>
  <c r="C11153" i="2"/>
  <c r="C11154" i="2"/>
  <c r="C11155" i="2"/>
  <c r="C11156" i="2"/>
  <c r="C11157" i="2"/>
  <c r="C11158" i="2"/>
  <c r="C11159" i="2"/>
  <c r="C11160" i="2"/>
  <c r="C11161" i="2"/>
  <c r="C11162" i="2"/>
  <c r="C11163" i="2"/>
  <c r="C11164" i="2"/>
  <c r="C11165" i="2"/>
  <c r="C11166" i="2"/>
  <c r="C11167" i="2"/>
  <c r="C11168" i="2"/>
  <c r="C11169" i="2"/>
  <c r="C11170" i="2"/>
  <c r="C11171" i="2"/>
  <c r="C11172" i="2"/>
  <c r="C11173" i="2"/>
  <c r="C11174" i="2"/>
  <c r="C11175" i="2"/>
  <c r="C11176" i="2"/>
  <c r="C11177" i="2"/>
  <c r="C11178" i="2"/>
  <c r="C11179" i="2"/>
  <c r="C11180" i="2"/>
  <c r="C11181" i="2"/>
  <c r="C11182" i="2"/>
  <c r="C11183" i="2"/>
  <c r="C11184" i="2"/>
  <c r="C11185" i="2"/>
  <c r="C11186" i="2"/>
  <c r="C11187" i="2"/>
  <c r="C11188" i="2"/>
  <c r="C11189" i="2"/>
  <c r="C11190" i="2"/>
  <c r="C11191" i="2"/>
  <c r="C11192" i="2"/>
  <c r="C11193" i="2"/>
  <c r="C11194" i="2"/>
  <c r="C11195" i="2"/>
  <c r="C11196" i="2"/>
  <c r="C11197" i="2"/>
  <c r="C11198" i="2"/>
  <c r="C11199" i="2"/>
  <c r="C11200" i="2"/>
  <c r="C11201" i="2"/>
  <c r="C11202" i="2"/>
  <c r="C11203" i="2"/>
  <c r="C11204" i="2"/>
  <c r="C11205" i="2"/>
  <c r="C11206" i="2"/>
  <c r="C11207" i="2"/>
  <c r="C11208" i="2"/>
  <c r="C11209" i="2"/>
  <c r="C11210" i="2"/>
  <c r="C11211" i="2"/>
  <c r="C11212" i="2"/>
  <c r="C11213" i="2"/>
  <c r="C11214" i="2"/>
  <c r="C11215" i="2"/>
  <c r="C11216" i="2"/>
  <c r="C11217" i="2"/>
  <c r="C11218" i="2"/>
  <c r="C11219" i="2"/>
  <c r="C11220" i="2"/>
  <c r="C11221" i="2"/>
  <c r="C11222" i="2"/>
  <c r="C11223" i="2"/>
  <c r="C11224" i="2"/>
  <c r="C11225" i="2"/>
  <c r="C11226" i="2"/>
  <c r="C11227" i="2"/>
  <c r="C11228" i="2"/>
  <c r="C11229" i="2"/>
  <c r="C11230" i="2"/>
  <c r="C11231" i="2"/>
  <c r="C11232" i="2"/>
  <c r="C11233" i="2"/>
  <c r="C11234" i="2"/>
  <c r="C11235" i="2"/>
  <c r="C11236" i="2"/>
  <c r="C11237" i="2"/>
  <c r="C11238" i="2"/>
  <c r="C11239" i="2"/>
  <c r="C11240" i="2"/>
  <c r="C11241" i="2"/>
  <c r="C11242" i="2"/>
  <c r="C11243" i="2"/>
  <c r="C11244" i="2"/>
  <c r="C11245" i="2"/>
  <c r="C11246" i="2"/>
  <c r="C11247" i="2"/>
  <c r="C11248" i="2"/>
  <c r="C11249" i="2"/>
  <c r="C11250" i="2"/>
  <c r="C11251" i="2"/>
  <c r="C11252" i="2"/>
  <c r="C11253" i="2"/>
  <c r="C11254" i="2"/>
  <c r="C11255" i="2"/>
  <c r="C11256" i="2"/>
  <c r="C11257" i="2"/>
  <c r="C11258" i="2"/>
  <c r="C11259" i="2"/>
  <c r="C11260" i="2"/>
  <c r="C11261" i="2"/>
  <c r="C11262" i="2"/>
  <c r="C11263" i="2"/>
  <c r="C11264" i="2"/>
  <c r="C11265" i="2"/>
  <c r="C11266" i="2"/>
  <c r="C11267" i="2"/>
  <c r="C11268" i="2"/>
  <c r="C11269" i="2"/>
  <c r="C11270" i="2"/>
  <c r="C11271" i="2"/>
  <c r="C11272" i="2"/>
  <c r="C11273" i="2"/>
  <c r="C11274" i="2"/>
  <c r="C11275" i="2"/>
  <c r="C11276" i="2"/>
  <c r="C11277" i="2"/>
  <c r="C11278" i="2"/>
  <c r="C11279" i="2"/>
  <c r="C11280" i="2"/>
  <c r="C11281" i="2"/>
  <c r="C11282" i="2"/>
  <c r="C11283" i="2"/>
  <c r="C11284" i="2"/>
  <c r="C11285" i="2"/>
  <c r="C11286" i="2"/>
  <c r="C11287" i="2"/>
  <c r="C11288" i="2"/>
  <c r="C11289" i="2"/>
  <c r="C11290" i="2"/>
  <c r="C11291" i="2"/>
  <c r="C11292" i="2"/>
  <c r="C11293" i="2"/>
  <c r="C11294" i="2"/>
  <c r="C11295" i="2"/>
  <c r="C11296" i="2"/>
  <c r="C11297" i="2"/>
  <c r="C11298" i="2"/>
  <c r="C11299" i="2"/>
  <c r="C11300" i="2"/>
  <c r="C11301" i="2"/>
  <c r="C11302" i="2"/>
  <c r="C11303" i="2"/>
  <c r="C11304" i="2"/>
  <c r="C11305" i="2"/>
  <c r="C11306" i="2"/>
  <c r="C11307" i="2"/>
  <c r="C11308" i="2"/>
  <c r="C11309" i="2"/>
  <c r="C11310" i="2"/>
  <c r="C11311" i="2"/>
  <c r="C11312" i="2"/>
  <c r="C11313" i="2"/>
  <c r="C11314" i="2"/>
  <c r="C11315" i="2"/>
  <c r="C11316" i="2"/>
  <c r="C11317" i="2"/>
  <c r="C11318" i="2"/>
  <c r="C11319" i="2"/>
  <c r="C11320" i="2"/>
  <c r="C11321" i="2"/>
  <c r="C11322" i="2"/>
  <c r="C11323" i="2"/>
  <c r="C11324" i="2"/>
  <c r="C11325" i="2"/>
  <c r="C11326" i="2"/>
  <c r="C11327" i="2"/>
  <c r="C11328" i="2"/>
  <c r="C11329" i="2"/>
  <c r="C11330" i="2"/>
  <c r="C11331" i="2"/>
  <c r="C11332" i="2"/>
  <c r="C11333" i="2"/>
  <c r="C11334" i="2"/>
  <c r="C11335" i="2"/>
  <c r="C11336" i="2"/>
  <c r="C11337" i="2"/>
  <c r="C11338" i="2"/>
  <c r="C11339" i="2"/>
  <c r="C11340" i="2"/>
  <c r="C11341" i="2"/>
  <c r="C11342" i="2"/>
  <c r="C11343" i="2"/>
  <c r="C11344" i="2"/>
  <c r="C11345" i="2"/>
  <c r="C11346" i="2"/>
  <c r="C11347" i="2"/>
  <c r="C11348" i="2"/>
  <c r="C11349" i="2"/>
  <c r="C11350" i="2"/>
  <c r="C11351" i="2"/>
  <c r="C11352" i="2"/>
  <c r="C11353" i="2"/>
  <c r="C11354" i="2"/>
  <c r="C11355" i="2"/>
  <c r="C11356" i="2"/>
  <c r="C11357" i="2"/>
  <c r="C11358" i="2"/>
  <c r="C11359" i="2"/>
  <c r="C11360" i="2"/>
  <c r="C11361" i="2"/>
  <c r="C11362" i="2"/>
  <c r="C11363" i="2"/>
  <c r="C11364" i="2"/>
  <c r="C11365" i="2"/>
  <c r="C11366" i="2"/>
  <c r="C11367" i="2"/>
  <c r="C11368" i="2"/>
  <c r="C11369" i="2"/>
  <c r="C11370" i="2"/>
  <c r="C11371" i="2"/>
  <c r="C11372" i="2"/>
  <c r="C11373" i="2"/>
  <c r="C11374" i="2"/>
  <c r="C11375" i="2"/>
  <c r="C11376" i="2"/>
  <c r="C11377" i="2"/>
  <c r="C11378" i="2"/>
  <c r="C11379" i="2"/>
  <c r="C11380" i="2"/>
  <c r="C11381" i="2"/>
  <c r="C11382" i="2"/>
  <c r="C11383" i="2"/>
  <c r="C11384" i="2"/>
  <c r="C11385" i="2"/>
  <c r="C11386" i="2"/>
  <c r="C11387" i="2"/>
  <c r="C11388" i="2"/>
  <c r="C11389" i="2"/>
  <c r="C11390" i="2"/>
  <c r="C11391" i="2"/>
  <c r="C11392" i="2"/>
  <c r="C11393" i="2"/>
  <c r="C11394" i="2"/>
  <c r="C11395" i="2"/>
  <c r="C11396" i="2"/>
  <c r="C11397" i="2"/>
  <c r="C11398" i="2"/>
  <c r="C11399" i="2"/>
  <c r="C11400" i="2"/>
  <c r="C11401" i="2"/>
  <c r="C11402" i="2"/>
  <c r="C11403" i="2"/>
  <c r="C11404" i="2"/>
  <c r="C11405" i="2"/>
  <c r="C11406" i="2"/>
  <c r="C11407" i="2"/>
  <c r="C11408" i="2"/>
  <c r="C11409" i="2"/>
  <c r="C11410" i="2"/>
  <c r="C11411" i="2"/>
  <c r="C11412" i="2"/>
  <c r="C11413" i="2"/>
  <c r="C11414" i="2"/>
  <c r="C11415" i="2"/>
  <c r="C11416" i="2"/>
  <c r="C11417" i="2"/>
  <c r="C11418" i="2"/>
  <c r="C11419" i="2"/>
  <c r="C11420" i="2"/>
  <c r="C11421" i="2"/>
  <c r="C11422" i="2"/>
  <c r="C11423" i="2"/>
  <c r="C11424" i="2"/>
  <c r="C11425" i="2"/>
  <c r="C11426" i="2"/>
  <c r="C11427" i="2"/>
  <c r="C11428" i="2"/>
  <c r="C11429" i="2"/>
  <c r="C11430" i="2"/>
  <c r="C11431" i="2"/>
  <c r="C11432" i="2"/>
  <c r="C11433" i="2"/>
  <c r="C11434" i="2"/>
  <c r="C11435" i="2"/>
  <c r="C11436" i="2"/>
  <c r="C11437" i="2"/>
  <c r="C11438" i="2"/>
  <c r="C11439" i="2"/>
  <c r="C11440" i="2"/>
  <c r="C11441" i="2"/>
  <c r="C11442" i="2"/>
  <c r="C11443" i="2"/>
  <c r="C11444" i="2"/>
  <c r="C11445" i="2"/>
  <c r="C11446" i="2"/>
  <c r="C11447" i="2"/>
  <c r="C11448" i="2"/>
  <c r="C11449" i="2"/>
  <c r="C11450" i="2"/>
  <c r="C11451" i="2"/>
  <c r="C11452" i="2"/>
  <c r="C11453" i="2"/>
  <c r="C11454" i="2"/>
  <c r="C11455" i="2"/>
  <c r="C11456" i="2"/>
  <c r="C11457" i="2"/>
  <c r="C11458" i="2"/>
  <c r="C11459" i="2"/>
  <c r="C11460" i="2"/>
  <c r="C11461" i="2"/>
  <c r="C11462" i="2"/>
  <c r="C11463" i="2"/>
  <c r="C11464" i="2"/>
  <c r="C11465" i="2"/>
  <c r="C11466" i="2"/>
  <c r="C11467" i="2"/>
  <c r="C11468" i="2"/>
  <c r="C11469" i="2"/>
  <c r="C11470" i="2"/>
  <c r="C11471" i="2"/>
  <c r="C11472" i="2"/>
  <c r="C11473" i="2"/>
  <c r="C11474" i="2"/>
  <c r="C11475" i="2"/>
  <c r="C11476" i="2"/>
  <c r="C11477" i="2"/>
  <c r="C11478" i="2"/>
  <c r="C11479" i="2"/>
  <c r="C11480" i="2"/>
  <c r="C11481" i="2"/>
  <c r="C11482" i="2"/>
  <c r="C11483" i="2"/>
  <c r="C11484" i="2"/>
  <c r="C11485" i="2"/>
  <c r="C11486" i="2"/>
  <c r="C11487" i="2"/>
  <c r="C11488" i="2"/>
  <c r="C11489" i="2"/>
  <c r="C11490" i="2"/>
  <c r="C11491" i="2"/>
  <c r="C11492" i="2"/>
  <c r="C11493" i="2"/>
  <c r="C11494" i="2"/>
  <c r="C11495" i="2"/>
  <c r="C11496" i="2"/>
  <c r="C11497" i="2"/>
  <c r="C11498" i="2"/>
  <c r="C11499" i="2"/>
  <c r="C11500" i="2"/>
  <c r="C11501" i="2"/>
  <c r="C11502" i="2"/>
  <c r="C11503" i="2"/>
  <c r="C11504" i="2"/>
  <c r="C11505" i="2"/>
  <c r="C11506" i="2"/>
  <c r="C11507" i="2"/>
  <c r="C11508" i="2"/>
  <c r="C11509" i="2"/>
  <c r="C11510" i="2"/>
  <c r="C11511" i="2"/>
  <c r="C11512" i="2"/>
  <c r="C11513" i="2"/>
  <c r="C11514" i="2"/>
  <c r="C11515" i="2"/>
  <c r="C11516" i="2"/>
  <c r="C11517" i="2"/>
  <c r="C11518" i="2"/>
  <c r="C11519" i="2"/>
  <c r="C11520" i="2"/>
  <c r="C11521" i="2"/>
  <c r="C11522" i="2"/>
  <c r="C11523" i="2"/>
  <c r="C11524" i="2"/>
  <c r="C11525" i="2"/>
  <c r="C11526" i="2"/>
  <c r="C11527" i="2"/>
  <c r="C11528" i="2"/>
  <c r="C11529" i="2"/>
  <c r="C11530" i="2"/>
  <c r="C11531" i="2"/>
  <c r="C11532" i="2"/>
  <c r="C11533" i="2"/>
  <c r="C11534" i="2"/>
  <c r="C11535" i="2"/>
  <c r="C11536" i="2"/>
  <c r="C11537" i="2"/>
  <c r="C11538" i="2"/>
  <c r="C11539" i="2"/>
  <c r="C11540" i="2"/>
  <c r="C11541" i="2"/>
  <c r="C11542" i="2"/>
  <c r="C11543" i="2"/>
  <c r="C11544" i="2"/>
  <c r="C11545" i="2"/>
  <c r="C11546" i="2"/>
  <c r="C11547" i="2"/>
  <c r="C11548" i="2"/>
  <c r="C11549" i="2"/>
  <c r="C11550" i="2"/>
  <c r="C11551" i="2"/>
  <c r="C11552" i="2"/>
  <c r="C11553" i="2"/>
  <c r="C11554" i="2"/>
  <c r="C11555" i="2"/>
  <c r="C11556" i="2"/>
  <c r="C11557" i="2"/>
  <c r="C11558" i="2"/>
  <c r="C11559" i="2"/>
  <c r="C11560" i="2"/>
  <c r="C11561" i="2"/>
  <c r="C11562" i="2"/>
  <c r="C11563" i="2"/>
  <c r="C11564" i="2"/>
  <c r="C11565" i="2"/>
  <c r="C11566" i="2"/>
  <c r="C11567" i="2"/>
  <c r="C11568" i="2"/>
  <c r="C11569" i="2"/>
  <c r="C11570" i="2"/>
  <c r="C11571" i="2"/>
  <c r="C11572" i="2"/>
  <c r="C11573" i="2"/>
  <c r="C11574" i="2"/>
  <c r="C11575" i="2"/>
  <c r="C11576" i="2"/>
  <c r="C11577" i="2"/>
  <c r="C11578" i="2"/>
  <c r="C11579" i="2"/>
  <c r="C11580" i="2"/>
  <c r="C11581" i="2"/>
  <c r="C11582" i="2"/>
  <c r="C11583" i="2"/>
  <c r="C11584" i="2"/>
  <c r="C11585" i="2"/>
  <c r="C11586" i="2"/>
  <c r="C11587" i="2"/>
  <c r="C11588" i="2"/>
  <c r="C11589" i="2"/>
  <c r="C11590" i="2"/>
  <c r="C11591" i="2"/>
  <c r="C11592" i="2"/>
  <c r="C11593" i="2"/>
  <c r="C11594" i="2"/>
  <c r="C11595" i="2"/>
  <c r="C11596" i="2"/>
  <c r="C11597" i="2"/>
  <c r="C11598" i="2"/>
  <c r="C11599" i="2"/>
  <c r="C11600" i="2"/>
  <c r="C11601" i="2"/>
  <c r="C11602" i="2"/>
  <c r="C11603" i="2"/>
  <c r="C11604" i="2"/>
  <c r="C11605" i="2"/>
  <c r="C11606" i="2"/>
  <c r="C11607" i="2"/>
  <c r="C11608" i="2"/>
  <c r="C11609" i="2"/>
  <c r="C11610" i="2"/>
  <c r="C11611" i="2"/>
  <c r="C11612" i="2"/>
  <c r="C11613" i="2"/>
  <c r="C11614" i="2"/>
  <c r="C11615" i="2"/>
  <c r="C11616" i="2"/>
  <c r="C11617" i="2"/>
  <c r="C11618" i="2"/>
  <c r="C11619" i="2"/>
  <c r="C11620" i="2"/>
  <c r="C11621" i="2"/>
  <c r="C11622" i="2"/>
  <c r="C11623" i="2"/>
  <c r="C11624" i="2"/>
  <c r="C11625" i="2"/>
  <c r="C11626" i="2"/>
  <c r="C11627" i="2"/>
  <c r="C11628" i="2"/>
  <c r="C11629" i="2"/>
  <c r="C11630" i="2"/>
  <c r="C11631" i="2"/>
  <c r="C11632" i="2"/>
  <c r="C11633" i="2"/>
  <c r="C11634" i="2"/>
  <c r="C11635" i="2"/>
  <c r="C11636" i="2"/>
  <c r="C11637" i="2"/>
  <c r="C11638" i="2"/>
  <c r="C11639" i="2"/>
  <c r="C11640" i="2"/>
  <c r="C11641" i="2"/>
  <c r="C11642" i="2"/>
  <c r="C11643" i="2"/>
  <c r="C11644" i="2"/>
  <c r="C11645" i="2"/>
  <c r="C11646" i="2"/>
  <c r="C11647" i="2"/>
  <c r="C11648" i="2"/>
  <c r="C11649" i="2"/>
  <c r="C11650" i="2"/>
  <c r="C11651" i="2"/>
  <c r="C11652" i="2"/>
  <c r="C11653" i="2"/>
  <c r="C11654" i="2"/>
  <c r="C11655" i="2"/>
  <c r="C11656" i="2"/>
  <c r="C11657" i="2"/>
  <c r="C11658" i="2"/>
  <c r="C11659" i="2"/>
  <c r="C11660" i="2"/>
  <c r="C11661" i="2"/>
  <c r="C11662" i="2"/>
  <c r="C11663" i="2"/>
  <c r="C11664" i="2"/>
  <c r="C11665" i="2"/>
  <c r="C11666" i="2"/>
  <c r="C11667" i="2"/>
  <c r="C11668" i="2"/>
  <c r="C11669" i="2"/>
  <c r="C11670" i="2"/>
  <c r="C11671" i="2"/>
  <c r="C11672" i="2"/>
  <c r="C11673" i="2"/>
  <c r="C11674" i="2"/>
  <c r="C11675" i="2"/>
  <c r="C11676" i="2"/>
  <c r="C11677" i="2"/>
  <c r="C11678" i="2"/>
  <c r="C11679" i="2"/>
  <c r="C11680" i="2"/>
  <c r="C11681" i="2"/>
  <c r="C11682" i="2"/>
  <c r="C11683" i="2"/>
  <c r="C11684" i="2"/>
  <c r="C11685" i="2"/>
  <c r="C11686" i="2"/>
  <c r="C11687" i="2"/>
  <c r="C11688" i="2"/>
  <c r="C11689" i="2"/>
  <c r="C11690" i="2"/>
  <c r="C11691" i="2"/>
  <c r="C11692" i="2"/>
  <c r="C11693" i="2"/>
  <c r="C11694" i="2"/>
  <c r="C11695" i="2"/>
  <c r="C11696" i="2"/>
  <c r="C11697" i="2"/>
  <c r="C11698" i="2"/>
  <c r="C11699" i="2"/>
  <c r="C11700" i="2"/>
  <c r="C11701" i="2"/>
  <c r="C11702" i="2"/>
  <c r="C11703" i="2"/>
  <c r="C11704" i="2"/>
  <c r="C11705" i="2"/>
  <c r="C11706" i="2"/>
  <c r="C11707" i="2"/>
  <c r="C11708" i="2"/>
  <c r="C11709" i="2"/>
  <c r="C11710" i="2"/>
  <c r="C11711" i="2"/>
  <c r="C11712" i="2"/>
  <c r="C11713" i="2"/>
  <c r="C11714" i="2"/>
  <c r="C11715" i="2"/>
  <c r="C11716" i="2"/>
  <c r="C11717" i="2"/>
  <c r="C11718" i="2"/>
  <c r="C11719" i="2"/>
  <c r="C11720" i="2"/>
  <c r="C11721" i="2"/>
  <c r="C11722" i="2"/>
  <c r="C11723" i="2"/>
  <c r="C11724" i="2"/>
  <c r="C11725" i="2"/>
  <c r="C11726" i="2"/>
  <c r="C11727" i="2"/>
  <c r="C11728" i="2"/>
  <c r="C11729" i="2"/>
  <c r="C11730" i="2"/>
  <c r="C11731" i="2"/>
  <c r="C11732" i="2"/>
  <c r="C11733" i="2"/>
  <c r="C11734" i="2"/>
  <c r="C11735" i="2"/>
  <c r="C11736" i="2"/>
  <c r="C11737" i="2"/>
  <c r="C11738" i="2"/>
  <c r="C11739" i="2"/>
  <c r="C11740" i="2"/>
  <c r="C11741" i="2"/>
  <c r="C11742" i="2"/>
  <c r="C11743" i="2"/>
  <c r="C11744" i="2"/>
  <c r="C11745" i="2"/>
  <c r="C11746" i="2"/>
  <c r="C11747" i="2"/>
  <c r="C11748" i="2"/>
  <c r="C11749" i="2"/>
  <c r="C11750" i="2"/>
  <c r="C11751" i="2"/>
  <c r="C11752" i="2"/>
  <c r="C11753" i="2"/>
  <c r="C11754" i="2"/>
  <c r="C11755" i="2"/>
  <c r="C11756" i="2"/>
  <c r="C11757" i="2"/>
  <c r="C11758" i="2"/>
  <c r="C11759" i="2"/>
  <c r="C11760" i="2"/>
  <c r="C11761" i="2"/>
  <c r="C11762" i="2"/>
  <c r="C11763" i="2"/>
  <c r="C11764" i="2"/>
  <c r="C11765" i="2"/>
  <c r="C11766" i="2"/>
  <c r="C11767" i="2"/>
  <c r="C11768" i="2"/>
  <c r="C11769" i="2"/>
  <c r="C11770" i="2"/>
  <c r="C11771" i="2"/>
  <c r="C11772" i="2"/>
  <c r="C11773" i="2"/>
  <c r="C11774" i="2"/>
  <c r="C11775" i="2"/>
  <c r="C11776" i="2"/>
  <c r="C11777" i="2"/>
  <c r="C11778" i="2"/>
  <c r="C11779" i="2"/>
  <c r="C11780" i="2"/>
  <c r="C11781" i="2"/>
  <c r="C11782" i="2"/>
  <c r="C11783" i="2"/>
  <c r="C11784" i="2"/>
  <c r="C11785" i="2"/>
  <c r="C11786" i="2"/>
  <c r="C11787" i="2"/>
  <c r="C11788" i="2"/>
  <c r="C11789" i="2"/>
  <c r="C11790" i="2"/>
  <c r="C11791" i="2"/>
  <c r="C11792" i="2"/>
  <c r="C11793" i="2"/>
  <c r="C11794" i="2"/>
  <c r="C11795" i="2"/>
  <c r="C11796" i="2"/>
  <c r="C11797" i="2"/>
  <c r="C11798" i="2"/>
  <c r="C11799" i="2"/>
  <c r="C11800" i="2"/>
  <c r="C11801" i="2"/>
  <c r="C11802" i="2"/>
  <c r="C11803" i="2"/>
  <c r="C11804" i="2"/>
  <c r="C11805" i="2"/>
  <c r="C11806" i="2"/>
  <c r="C11807" i="2"/>
  <c r="C11808" i="2"/>
  <c r="C11809" i="2"/>
  <c r="C11810" i="2"/>
  <c r="C11811" i="2"/>
  <c r="C11812" i="2"/>
  <c r="C11813" i="2"/>
  <c r="C11814" i="2"/>
  <c r="C11815" i="2"/>
  <c r="C11816" i="2"/>
  <c r="C11817" i="2"/>
  <c r="C11818" i="2"/>
  <c r="C11819" i="2"/>
  <c r="C11820" i="2"/>
  <c r="C11821" i="2"/>
  <c r="C11822" i="2"/>
  <c r="C11823" i="2"/>
  <c r="C11824" i="2"/>
  <c r="C11825" i="2"/>
  <c r="C11826" i="2"/>
  <c r="C11827" i="2"/>
  <c r="C11828" i="2"/>
  <c r="C11829" i="2"/>
  <c r="C11830" i="2"/>
  <c r="C11831" i="2"/>
  <c r="C11832" i="2"/>
  <c r="C11833" i="2"/>
  <c r="C11834" i="2"/>
  <c r="C11835" i="2"/>
  <c r="C11836" i="2"/>
  <c r="C11837" i="2"/>
  <c r="C11838" i="2"/>
  <c r="C11839" i="2"/>
  <c r="C11840" i="2"/>
  <c r="C11841" i="2"/>
  <c r="C11842" i="2"/>
  <c r="C11843" i="2"/>
  <c r="C11844" i="2"/>
  <c r="C11845" i="2"/>
  <c r="C11846" i="2"/>
  <c r="C11847" i="2"/>
  <c r="C11848" i="2"/>
  <c r="C11849" i="2"/>
  <c r="C11850" i="2"/>
  <c r="C11851" i="2"/>
  <c r="C11852" i="2"/>
  <c r="C11853" i="2"/>
  <c r="C11854" i="2"/>
  <c r="C11855" i="2"/>
  <c r="C11856" i="2"/>
  <c r="C11857" i="2"/>
  <c r="C11858" i="2"/>
  <c r="C11859" i="2"/>
  <c r="C11860" i="2"/>
  <c r="C11861" i="2"/>
  <c r="C11862" i="2"/>
  <c r="C11863" i="2"/>
  <c r="C11864" i="2"/>
  <c r="C11865" i="2"/>
  <c r="C11866" i="2"/>
  <c r="C11867" i="2"/>
  <c r="C11868" i="2"/>
  <c r="C11869" i="2"/>
  <c r="C11870" i="2"/>
  <c r="C11871" i="2"/>
  <c r="C11872" i="2"/>
  <c r="C11873" i="2"/>
  <c r="C11874" i="2"/>
  <c r="C11875" i="2"/>
  <c r="C11876" i="2"/>
  <c r="C11877" i="2"/>
  <c r="C11878" i="2"/>
  <c r="C11879" i="2"/>
  <c r="C11880" i="2"/>
  <c r="C11881" i="2"/>
  <c r="C11882" i="2"/>
  <c r="C11883" i="2"/>
  <c r="C11884" i="2"/>
  <c r="C11885" i="2"/>
  <c r="C11886" i="2"/>
  <c r="C11887" i="2"/>
  <c r="C11888" i="2"/>
  <c r="C11889" i="2"/>
  <c r="C11890" i="2"/>
  <c r="C11891" i="2"/>
  <c r="C11892" i="2"/>
  <c r="C11893" i="2"/>
  <c r="C11894" i="2"/>
  <c r="C11895" i="2"/>
  <c r="C11896" i="2"/>
  <c r="C11897" i="2"/>
  <c r="C11898" i="2"/>
  <c r="C11899" i="2"/>
  <c r="C11900" i="2"/>
  <c r="C11901" i="2"/>
  <c r="C11902" i="2"/>
  <c r="C11903" i="2"/>
  <c r="C11904" i="2"/>
  <c r="C11905" i="2"/>
  <c r="C11906" i="2"/>
  <c r="C11907" i="2"/>
  <c r="C11908" i="2"/>
  <c r="C11909" i="2"/>
  <c r="C11910" i="2"/>
  <c r="C11911" i="2"/>
  <c r="C11912" i="2"/>
  <c r="C11913" i="2"/>
  <c r="C11914" i="2"/>
  <c r="C11915" i="2"/>
  <c r="C11916" i="2"/>
  <c r="C11917" i="2"/>
  <c r="C11918" i="2"/>
  <c r="C11919" i="2"/>
  <c r="C11920" i="2"/>
  <c r="C11921" i="2"/>
  <c r="C11922" i="2"/>
  <c r="C11923" i="2"/>
  <c r="C11924" i="2"/>
  <c r="C11925" i="2"/>
  <c r="C11926" i="2"/>
  <c r="C11927" i="2"/>
  <c r="C11928" i="2"/>
  <c r="C11929" i="2"/>
  <c r="C11930" i="2"/>
  <c r="C11931" i="2"/>
  <c r="C11932" i="2"/>
  <c r="C11933" i="2"/>
  <c r="C11934" i="2"/>
  <c r="C11935" i="2"/>
  <c r="C11936" i="2"/>
  <c r="C11937" i="2"/>
  <c r="C11938" i="2"/>
  <c r="C11939" i="2"/>
  <c r="C11940" i="2"/>
  <c r="C11941" i="2"/>
  <c r="C11942" i="2"/>
  <c r="C11943" i="2"/>
  <c r="C11944" i="2"/>
  <c r="C11945" i="2"/>
  <c r="C11946" i="2"/>
  <c r="C11947" i="2"/>
  <c r="C11948" i="2"/>
  <c r="C11949" i="2"/>
  <c r="C11950" i="2"/>
  <c r="C11951" i="2"/>
  <c r="C11952" i="2"/>
  <c r="C11953" i="2"/>
  <c r="C11954" i="2"/>
  <c r="C11955" i="2"/>
  <c r="C11956" i="2"/>
  <c r="C11957" i="2"/>
  <c r="C11958" i="2"/>
  <c r="C11959" i="2"/>
  <c r="C11960" i="2"/>
  <c r="C11961" i="2"/>
  <c r="C11962" i="2"/>
  <c r="C11963" i="2"/>
  <c r="C11964" i="2"/>
  <c r="C11965" i="2"/>
  <c r="C11966" i="2"/>
  <c r="C11967" i="2"/>
  <c r="C11968" i="2"/>
  <c r="C11969" i="2"/>
  <c r="C11970" i="2"/>
  <c r="C11971" i="2"/>
  <c r="C11972" i="2"/>
  <c r="C11973" i="2"/>
  <c r="C11974" i="2"/>
  <c r="C11975" i="2"/>
  <c r="C11976" i="2"/>
  <c r="C11977" i="2"/>
  <c r="C11978" i="2"/>
  <c r="C11979" i="2"/>
  <c r="C11980" i="2"/>
  <c r="C11981" i="2"/>
  <c r="C11982" i="2"/>
  <c r="C11983" i="2"/>
  <c r="C11984" i="2"/>
  <c r="C11985" i="2"/>
  <c r="C11986" i="2"/>
  <c r="C11987" i="2"/>
  <c r="C11988" i="2"/>
  <c r="C11989" i="2"/>
  <c r="C11990" i="2"/>
  <c r="C11991" i="2"/>
  <c r="C11992" i="2"/>
  <c r="C11993" i="2"/>
  <c r="C11994" i="2"/>
  <c r="C11995" i="2"/>
  <c r="C11996" i="2"/>
  <c r="C11997" i="2"/>
  <c r="C11998" i="2"/>
  <c r="C11999" i="2"/>
  <c r="C12000" i="2"/>
  <c r="C12001" i="2"/>
  <c r="C12002" i="2"/>
  <c r="C12003" i="2"/>
  <c r="C12004" i="2"/>
  <c r="C12005" i="2"/>
  <c r="C12006" i="2"/>
  <c r="C12007" i="2"/>
  <c r="C12008" i="2"/>
  <c r="C12009" i="2"/>
  <c r="C12010" i="2"/>
  <c r="C12011" i="2"/>
  <c r="C12012" i="2"/>
  <c r="C12013" i="2"/>
  <c r="C12014" i="2"/>
  <c r="C12015" i="2"/>
  <c r="C12016" i="2"/>
  <c r="C12017" i="2"/>
  <c r="C12018" i="2"/>
  <c r="C12019" i="2"/>
  <c r="C12020" i="2"/>
  <c r="C12021" i="2"/>
  <c r="C12022" i="2"/>
  <c r="C12023" i="2"/>
  <c r="C12024" i="2"/>
  <c r="C12025" i="2"/>
  <c r="C12026" i="2"/>
  <c r="C12027" i="2"/>
  <c r="C12028" i="2"/>
  <c r="C12029" i="2"/>
  <c r="C12030" i="2"/>
  <c r="C12031" i="2"/>
  <c r="C12032" i="2"/>
  <c r="C12033" i="2"/>
  <c r="C12034" i="2"/>
  <c r="C12035" i="2"/>
  <c r="C12036" i="2"/>
  <c r="C12037" i="2"/>
  <c r="C12038" i="2"/>
  <c r="C12039" i="2"/>
  <c r="C12040" i="2"/>
  <c r="C12041" i="2"/>
  <c r="C12042" i="2"/>
  <c r="C12043" i="2"/>
  <c r="C12044" i="2"/>
  <c r="C12045" i="2"/>
  <c r="C12046" i="2"/>
  <c r="C12047" i="2"/>
  <c r="C12048" i="2"/>
  <c r="C12049" i="2"/>
  <c r="C12050" i="2"/>
  <c r="C12051" i="2"/>
  <c r="C12052" i="2"/>
  <c r="C12053" i="2"/>
  <c r="C12054" i="2"/>
  <c r="C12055" i="2"/>
  <c r="C12056" i="2"/>
  <c r="C12057" i="2"/>
  <c r="C12058" i="2"/>
  <c r="C12059" i="2"/>
  <c r="C12060" i="2"/>
  <c r="C12061" i="2"/>
  <c r="C12062" i="2"/>
  <c r="C12063" i="2"/>
  <c r="C12064" i="2"/>
  <c r="C12065" i="2"/>
  <c r="C12066" i="2"/>
  <c r="C12067" i="2"/>
  <c r="C12068" i="2"/>
  <c r="C12069" i="2"/>
  <c r="C12070" i="2"/>
  <c r="C12071" i="2"/>
  <c r="C12072" i="2"/>
  <c r="C12073" i="2"/>
  <c r="C12074" i="2"/>
  <c r="C12075" i="2"/>
  <c r="C12076" i="2"/>
  <c r="C12077" i="2"/>
  <c r="C12078" i="2"/>
  <c r="C12079" i="2"/>
  <c r="C12080" i="2"/>
  <c r="C12081" i="2"/>
  <c r="C12082" i="2"/>
  <c r="C12083" i="2"/>
  <c r="C12084" i="2"/>
  <c r="C12085" i="2"/>
  <c r="C12086" i="2"/>
  <c r="C12087" i="2"/>
  <c r="C12088" i="2"/>
  <c r="C12089" i="2"/>
  <c r="C12090" i="2"/>
  <c r="C12091" i="2"/>
  <c r="C12092" i="2"/>
  <c r="C12093" i="2"/>
  <c r="C12094" i="2"/>
  <c r="C12095" i="2"/>
  <c r="C12096" i="2"/>
  <c r="C12097" i="2"/>
  <c r="C12098" i="2"/>
  <c r="C12099" i="2"/>
  <c r="C12100" i="2"/>
  <c r="C12101" i="2"/>
  <c r="C12102" i="2"/>
  <c r="C12103" i="2"/>
  <c r="C12104" i="2"/>
  <c r="C12105" i="2"/>
  <c r="C12106" i="2"/>
  <c r="C12107" i="2"/>
  <c r="C12108" i="2"/>
  <c r="C12109" i="2"/>
  <c r="C12110" i="2"/>
  <c r="C12111" i="2"/>
  <c r="C12112" i="2"/>
  <c r="C12113" i="2"/>
  <c r="C12114" i="2"/>
  <c r="C12115" i="2"/>
  <c r="C12116" i="2"/>
  <c r="C12117" i="2"/>
  <c r="C12118" i="2"/>
  <c r="C12119" i="2"/>
  <c r="C12120" i="2"/>
  <c r="C12121" i="2"/>
  <c r="C12122" i="2"/>
  <c r="C12123" i="2"/>
  <c r="C12124" i="2"/>
  <c r="C12125" i="2"/>
  <c r="C12126" i="2"/>
  <c r="C12127" i="2"/>
  <c r="C12128" i="2"/>
  <c r="C12129" i="2"/>
  <c r="C12130" i="2"/>
  <c r="C12131" i="2"/>
  <c r="C12132" i="2"/>
  <c r="C12133" i="2"/>
  <c r="C12134" i="2"/>
  <c r="C12135" i="2"/>
  <c r="C12136" i="2"/>
  <c r="C12137" i="2"/>
  <c r="C12138" i="2"/>
  <c r="C12139" i="2"/>
  <c r="C12140" i="2"/>
  <c r="C12141" i="2"/>
  <c r="C12142" i="2"/>
  <c r="C12143" i="2"/>
  <c r="C12144" i="2"/>
  <c r="C12145" i="2"/>
  <c r="C12146" i="2"/>
  <c r="C12147" i="2"/>
  <c r="C12148" i="2"/>
  <c r="C12149" i="2"/>
  <c r="C12150" i="2"/>
  <c r="C12151" i="2"/>
  <c r="C12152" i="2"/>
  <c r="C12153" i="2"/>
  <c r="C12154" i="2"/>
  <c r="C12155" i="2"/>
  <c r="C12156" i="2"/>
  <c r="C12157" i="2"/>
  <c r="C12158" i="2"/>
  <c r="C12159" i="2"/>
  <c r="C12160" i="2"/>
  <c r="C12161" i="2"/>
  <c r="C12162" i="2"/>
  <c r="C12163" i="2"/>
  <c r="C12164" i="2"/>
  <c r="C12165" i="2"/>
  <c r="C12166" i="2"/>
  <c r="C12167" i="2"/>
  <c r="C12168" i="2"/>
  <c r="C12169" i="2"/>
  <c r="C12170" i="2"/>
  <c r="C12171" i="2"/>
  <c r="C12172" i="2"/>
  <c r="C12173" i="2"/>
  <c r="C12174" i="2"/>
  <c r="C12175" i="2"/>
  <c r="C12176" i="2"/>
  <c r="C12177" i="2"/>
  <c r="C12178" i="2"/>
  <c r="C12179" i="2"/>
  <c r="C12180" i="2"/>
  <c r="C12181" i="2"/>
  <c r="C12182" i="2"/>
  <c r="C12183" i="2"/>
  <c r="C12184" i="2"/>
  <c r="C12185" i="2"/>
  <c r="C12186" i="2"/>
  <c r="C12187" i="2"/>
  <c r="C12188" i="2"/>
  <c r="C12189" i="2"/>
  <c r="C12190" i="2"/>
  <c r="C12191" i="2"/>
  <c r="C12192" i="2"/>
  <c r="C12193" i="2"/>
  <c r="C12194" i="2"/>
  <c r="C12195" i="2"/>
  <c r="C12196" i="2"/>
  <c r="C12197" i="2"/>
  <c r="C12198" i="2"/>
  <c r="C12199" i="2"/>
  <c r="C12200" i="2"/>
  <c r="C12201" i="2"/>
  <c r="C12202" i="2"/>
  <c r="C12203" i="2"/>
  <c r="C12204" i="2"/>
  <c r="C12205" i="2"/>
  <c r="C12206" i="2"/>
  <c r="C12207" i="2"/>
  <c r="C12208" i="2"/>
  <c r="C12209" i="2"/>
  <c r="C12210" i="2"/>
  <c r="C12211" i="2"/>
  <c r="C12212" i="2"/>
  <c r="C12213" i="2"/>
  <c r="C12214" i="2"/>
  <c r="C12215" i="2"/>
  <c r="C12216" i="2"/>
  <c r="C12217" i="2"/>
  <c r="C12218" i="2"/>
  <c r="C12219" i="2"/>
  <c r="C12220" i="2"/>
  <c r="C12221" i="2"/>
  <c r="C12222" i="2"/>
  <c r="C12223" i="2"/>
  <c r="C12224" i="2"/>
  <c r="C12225" i="2"/>
  <c r="C12226" i="2"/>
  <c r="C12227" i="2"/>
  <c r="C12228" i="2"/>
  <c r="C12229" i="2"/>
  <c r="C12230" i="2"/>
  <c r="C12231" i="2"/>
  <c r="C12232" i="2"/>
  <c r="C12233" i="2"/>
  <c r="C12234" i="2"/>
  <c r="C12235" i="2"/>
  <c r="C12236" i="2"/>
  <c r="C12237" i="2"/>
  <c r="C12238" i="2"/>
  <c r="C12239" i="2"/>
  <c r="C12240" i="2"/>
  <c r="C12241" i="2"/>
  <c r="C12242" i="2"/>
  <c r="C12243" i="2"/>
  <c r="C12244" i="2"/>
  <c r="C12245" i="2"/>
  <c r="C12246" i="2"/>
  <c r="C12247" i="2"/>
  <c r="C12248" i="2"/>
  <c r="C12249" i="2"/>
  <c r="C12250" i="2"/>
  <c r="C12251" i="2"/>
  <c r="C12252" i="2"/>
  <c r="C12253" i="2"/>
  <c r="C12254" i="2"/>
  <c r="C12255" i="2"/>
  <c r="C12256" i="2"/>
  <c r="C12257" i="2"/>
  <c r="C12258" i="2"/>
  <c r="C12259" i="2"/>
  <c r="C12260" i="2"/>
  <c r="C12261" i="2"/>
  <c r="C12262" i="2"/>
  <c r="C12263" i="2"/>
  <c r="C12264" i="2"/>
  <c r="C12265" i="2"/>
  <c r="C12266" i="2"/>
  <c r="C12267" i="2"/>
  <c r="C12268" i="2"/>
  <c r="C12269" i="2"/>
  <c r="C12270" i="2"/>
  <c r="C12271" i="2"/>
  <c r="C12272" i="2"/>
  <c r="C12273" i="2"/>
  <c r="C12274" i="2"/>
  <c r="C12275" i="2"/>
  <c r="C12276" i="2"/>
  <c r="C12277" i="2"/>
  <c r="C12278" i="2"/>
  <c r="C12279" i="2"/>
  <c r="C12280" i="2"/>
  <c r="C12281" i="2"/>
  <c r="C12282" i="2"/>
  <c r="C12283" i="2"/>
  <c r="C12284" i="2"/>
  <c r="C12285" i="2"/>
  <c r="C12286" i="2"/>
  <c r="C12287" i="2"/>
  <c r="C12288" i="2"/>
  <c r="C12289" i="2"/>
  <c r="C12290" i="2"/>
  <c r="C12291" i="2"/>
  <c r="C12292" i="2"/>
  <c r="C12293" i="2"/>
  <c r="C12294" i="2"/>
  <c r="C12295" i="2"/>
  <c r="C12296" i="2"/>
  <c r="C12297" i="2"/>
  <c r="C12298" i="2"/>
  <c r="C12299" i="2"/>
  <c r="C12300" i="2"/>
  <c r="C12301" i="2"/>
  <c r="C12302" i="2"/>
  <c r="C12303" i="2"/>
  <c r="C12304" i="2"/>
  <c r="C12305" i="2"/>
  <c r="C12306" i="2"/>
  <c r="C12307" i="2"/>
  <c r="C12308" i="2"/>
  <c r="C12309" i="2"/>
  <c r="C12310" i="2"/>
  <c r="C12311" i="2"/>
  <c r="C12312" i="2"/>
  <c r="C12313" i="2"/>
  <c r="C12314" i="2"/>
  <c r="C12315" i="2"/>
  <c r="C12316" i="2"/>
  <c r="C12317" i="2"/>
  <c r="C12318" i="2"/>
  <c r="C12319" i="2"/>
  <c r="C12320" i="2"/>
  <c r="C12321" i="2"/>
  <c r="C12322" i="2"/>
  <c r="C12323" i="2"/>
  <c r="C12324" i="2"/>
  <c r="C12325" i="2"/>
  <c r="C12326" i="2"/>
  <c r="C12327" i="2"/>
  <c r="C12328" i="2"/>
  <c r="C12329" i="2"/>
  <c r="C12330" i="2"/>
  <c r="C12331" i="2"/>
  <c r="C12332" i="2"/>
  <c r="C12333" i="2"/>
  <c r="C12334" i="2"/>
  <c r="C12335" i="2"/>
  <c r="C12336" i="2"/>
  <c r="C12337" i="2"/>
  <c r="C12338" i="2"/>
  <c r="C12339" i="2"/>
  <c r="C12340" i="2"/>
  <c r="C12341" i="2"/>
  <c r="C12342" i="2"/>
  <c r="C12343" i="2"/>
  <c r="C12344" i="2"/>
  <c r="C12345" i="2"/>
  <c r="C12346" i="2"/>
  <c r="C12347" i="2"/>
  <c r="C12348" i="2"/>
  <c r="C12349" i="2"/>
  <c r="C12350" i="2"/>
  <c r="C12351" i="2"/>
  <c r="C12352" i="2"/>
  <c r="C12353" i="2"/>
  <c r="C12354" i="2"/>
  <c r="C12355" i="2"/>
  <c r="C12356" i="2"/>
  <c r="C12357" i="2"/>
  <c r="C12358" i="2"/>
  <c r="C12359" i="2"/>
  <c r="C12360" i="2"/>
  <c r="C12361" i="2"/>
  <c r="C12362" i="2"/>
  <c r="C12363" i="2"/>
  <c r="C12364" i="2"/>
  <c r="C12365" i="2"/>
  <c r="C12366" i="2"/>
  <c r="C12367" i="2"/>
  <c r="C12368" i="2"/>
  <c r="C12369" i="2"/>
  <c r="C12370" i="2"/>
  <c r="C12371" i="2"/>
  <c r="C12372" i="2"/>
  <c r="C12373" i="2"/>
  <c r="C12374" i="2"/>
  <c r="C12375" i="2"/>
  <c r="C12376" i="2"/>
  <c r="C12377" i="2"/>
  <c r="C12378" i="2"/>
  <c r="C12379" i="2"/>
  <c r="C12380" i="2"/>
  <c r="C12381" i="2"/>
  <c r="C12382" i="2"/>
  <c r="C12383" i="2"/>
  <c r="C12384" i="2"/>
  <c r="C12385" i="2"/>
  <c r="C12386" i="2"/>
  <c r="C12387" i="2"/>
  <c r="C12388" i="2"/>
  <c r="C12389" i="2"/>
  <c r="C12390" i="2"/>
  <c r="C12391" i="2"/>
  <c r="C12392" i="2"/>
  <c r="C12393" i="2"/>
  <c r="C12394" i="2"/>
  <c r="C12395" i="2"/>
  <c r="C12396" i="2"/>
  <c r="C12397" i="2"/>
  <c r="C12398" i="2"/>
  <c r="C12399" i="2"/>
  <c r="C12400" i="2"/>
  <c r="C12401" i="2"/>
  <c r="C12402" i="2"/>
  <c r="C12403" i="2"/>
  <c r="C12404" i="2"/>
  <c r="C12405" i="2"/>
  <c r="C12406" i="2"/>
  <c r="C12407" i="2"/>
  <c r="C12408" i="2"/>
  <c r="C12409" i="2"/>
  <c r="C12410" i="2"/>
  <c r="C12411" i="2"/>
  <c r="C12412" i="2"/>
  <c r="C12413" i="2"/>
  <c r="C12414" i="2"/>
  <c r="C12415" i="2"/>
  <c r="C12416" i="2"/>
  <c r="C12417" i="2"/>
  <c r="C12418" i="2"/>
  <c r="C12419" i="2"/>
  <c r="C12420" i="2"/>
  <c r="C12421" i="2"/>
  <c r="C12422" i="2"/>
  <c r="C12423" i="2"/>
  <c r="C12424" i="2"/>
  <c r="C12425" i="2"/>
  <c r="C12426" i="2"/>
  <c r="C12427" i="2"/>
  <c r="C12428" i="2"/>
  <c r="C12429" i="2"/>
  <c r="C12430" i="2"/>
  <c r="C12431" i="2"/>
  <c r="C12432" i="2"/>
  <c r="C12433" i="2"/>
  <c r="C12434" i="2"/>
  <c r="C12435" i="2"/>
  <c r="C12436" i="2"/>
  <c r="C12437" i="2"/>
  <c r="C12438" i="2"/>
  <c r="C12439" i="2"/>
  <c r="C12440" i="2"/>
  <c r="C12441" i="2"/>
  <c r="C12442" i="2"/>
  <c r="C12443" i="2"/>
  <c r="C12444" i="2"/>
  <c r="C12445" i="2"/>
  <c r="C12446" i="2"/>
  <c r="C12447" i="2"/>
  <c r="C12448" i="2"/>
  <c r="C12449" i="2"/>
  <c r="C12450" i="2"/>
  <c r="C12451" i="2"/>
  <c r="C12452" i="2"/>
  <c r="C12453" i="2"/>
  <c r="C12454" i="2"/>
  <c r="C12455" i="2"/>
  <c r="C12456" i="2"/>
  <c r="C12457" i="2"/>
  <c r="C12458" i="2"/>
  <c r="C12459" i="2"/>
  <c r="C12460" i="2"/>
  <c r="C12461" i="2"/>
  <c r="C12462" i="2"/>
  <c r="C12463" i="2"/>
  <c r="C12464" i="2"/>
  <c r="C12465" i="2"/>
  <c r="C12466" i="2"/>
  <c r="C12467" i="2"/>
  <c r="C12468" i="2"/>
  <c r="C12469" i="2"/>
  <c r="C12470" i="2"/>
  <c r="C12471" i="2"/>
  <c r="C12472" i="2"/>
  <c r="C12473" i="2"/>
  <c r="C12474" i="2"/>
  <c r="C12475" i="2"/>
  <c r="C12476" i="2"/>
  <c r="C12477" i="2"/>
  <c r="C12478" i="2"/>
  <c r="C12479" i="2"/>
  <c r="C12480" i="2"/>
  <c r="C12481" i="2"/>
  <c r="C12482" i="2"/>
  <c r="C12483" i="2"/>
  <c r="C12484" i="2"/>
  <c r="C12485" i="2"/>
  <c r="C12486" i="2"/>
  <c r="C12487" i="2"/>
  <c r="C12488" i="2"/>
  <c r="C12489" i="2"/>
  <c r="C12490" i="2"/>
  <c r="C12491" i="2"/>
  <c r="C12492" i="2"/>
  <c r="C12493" i="2"/>
  <c r="C12494" i="2"/>
  <c r="C12495" i="2"/>
  <c r="C12496" i="2"/>
  <c r="C12497" i="2"/>
  <c r="C12498" i="2"/>
  <c r="C12499" i="2"/>
  <c r="C12500" i="2"/>
  <c r="C12501" i="2"/>
  <c r="C12502" i="2"/>
  <c r="C12503" i="2"/>
  <c r="C12504" i="2"/>
  <c r="C12505" i="2"/>
  <c r="C12506" i="2"/>
  <c r="C12507" i="2"/>
  <c r="C12508" i="2"/>
  <c r="C12509" i="2"/>
  <c r="C12510" i="2"/>
  <c r="C12511" i="2"/>
  <c r="C12512" i="2"/>
  <c r="C12513" i="2"/>
  <c r="C12514" i="2"/>
  <c r="C12515" i="2"/>
  <c r="C12516" i="2"/>
  <c r="C12517" i="2"/>
  <c r="C12518" i="2"/>
  <c r="C12519" i="2"/>
  <c r="C12520" i="2"/>
  <c r="C12521" i="2"/>
  <c r="C12522" i="2"/>
  <c r="C12523" i="2"/>
  <c r="C12524" i="2"/>
  <c r="C12525" i="2"/>
  <c r="C12526" i="2"/>
  <c r="C12527" i="2"/>
  <c r="C12528" i="2"/>
  <c r="C12529" i="2"/>
  <c r="C12530" i="2"/>
  <c r="C12531" i="2"/>
  <c r="C12532" i="2"/>
  <c r="C12533" i="2"/>
  <c r="C12534" i="2"/>
  <c r="C12535" i="2"/>
  <c r="C12536" i="2"/>
  <c r="C12537" i="2"/>
  <c r="C12538" i="2"/>
  <c r="C12539" i="2"/>
  <c r="C12540" i="2"/>
  <c r="C12541" i="2"/>
  <c r="C12542" i="2"/>
  <c r="C12543" i="2"/>
  <c r="C12544" i="2"/>
  <c r="C12545" i="2"/>
  <c r="C12546" i="2"/>
  <c r="C12547" i="2"/>
  <c r="C12548" i="2"/>
  <c r="C12549" i="2"/>
  <c r="C12550" i="2"/>
  <c r="C12551" i="2"/>
  <c r="C12552" i="2"/>
  <c r="C12553" i="2"/>
  <c r="C12554" i="2"/>
  <c r="C12555" i="2"/>
  <c r="C12556" i="2"/>
  <c r="C12557" i="2"/>
  <c r="C12558" i="2"/>
  <c r="C12559" i="2"/>
  <c r="C12560" i="2"/>
  <c r="C12561" i="2"/>
  <c r="C12562" i="2"/>
  <c r="C12563" i="2"/>
  <c r="C12564" i="2"/>
  <c r="C12565" i="2"/>
  <c r="C12566" i="2"/>
  <c r="C12567" i="2"/>
  <c r="C12568" i="2"/>
  <c r="C12569" i="2"/>
  <c r="C12570" i="2"/>
  <c r="C12571" i="2"/>
  <c r="C12572" i="2"/>
  <c r="C12573" i="2"/>
  <c r="C12574" i="2"/>
  <c r="C12575" i="2"/>
  <c r="C12576" i="2"/>
  <c r="C12577" i="2"/>
  <c r="C12578" i="2"/>
  <c r="C12579" i="2"/>
  <c r="C12580" i="2"/>
  <c r="C12581" i="2"/>
  <c r="C12582" i="2"/>
  <c r="C12583" i="2"/>
  <c r="C12584" i="2"/>
  <c r="C12585" i="2"/>
  <c r="C12586" i="2"/>
  <c r="C12587" i="2"/>
  <c r="C12588" i="2"/>
  <c r="C12589" i="2"/>
  <c r="C12590" i="2"/>
  <c r="C12591" i="2"/>
  <c r="C12592" i="2"/>
  <c r="C12593" i="2"/>
  <c r="C12594" i="2"/>
  <c r="C12595" i="2"/>
  <c r="C12596" i="2"/>
  <c r="C12597" i="2"/>
  <c r="C12598" i="2"/>
  <c r="C12599" i="2"/>
  <c r="C12600" i="2"/>
  <c r="C12601" i="2"/>
  <c r="C12602" i="2"/>
  <c r="C12603" i="2"/>
  <c r="C12604" i="2"/>
  <c r="C12605" i="2"/>
  <c r="C12606" i="2"/>
  <c r="C12607" i="2"/>
  <c r="C12608" i="2"/>
  <c r="C12609" i="2"/>
  <c r="C12610" i="2"/>
  <c r="C12611" i="2"/>
  <c r="C12612" i="2"/>
  <c r="C12613" i="2"/>
  <c r="C12614" i="2"/>
  <c r="C12615" i="2"/>
  <c r="C12616" i="2"/>
  <c r="C12617" i="2"/>
  <c r="C12618" i="2"/>
  <c r="C12619" i="2"/>
  <c r="C12620" i="2"/>
  <c r="C12621" i="2"/>
  <c r="C12622" i="2"/>
  <c r="C12623" i="2"/>
  <c r="C12624" i="2"/>
  <c r="C12625" i="2"/>
  <c r="C12626" i="2"/>
  <c r="C12627" i="2"/>
  <c r="C12628" i="2"/>
  <c r="C12629" i="2"/>
  <c r="C12630" i="2"/>
  <c r="C12631" i="2"/>
  <c r="C12632" i="2"/>
  <c r="C12633" i="2"/>
  <c r="C12634" i="2"/>
  <c r="C12635" i="2"/>
  <c r="C12636" i="2"/>
  <c r="C12637" i="2"/>
  <c r="C12638" i="2"/>
  <c r="C12639" i="2"/>
  <c r="C12640" i="2"/>
  <c r="C12641" i="2"/>
  <c r="C12642" i="2"/>
  <c r="C12643" i="2"/>
  <c r="C12644" i="2"/>
  <c r="C12645" i="2"/>
  <c r="C12646" i="2"/>
  <c r="C12647" i="2"/>
  <c r="C12648" i="2"/>
  <c r="C12649" i="2"/>
  <c r="C12650" i="2"/>
  <c r="C12651" i="2"/>
  <c r="C12652" i="2"/>
  <c r="C12653" i="2"/>
  <c r="C12654" i="2"/>
  <c r="C12655" i="2"/>
  <c r="C12656" i="2"/>
  <c r="C12657" i="2"/>
  <c r="C12658" i="2"/>
  <c r="C12659" i="2"/>
  <c r="C12660" i="2"/>
  <c r="C12661" i="2"/>
  <c r="C12662" i="2"/>
  <c r="C12663" i="2"/>
  <c r="C12664" i="2"/>
  <c r="C12665" i="2"/>
  <c r="C12666" i="2"/>
  <c r="C12667" i="2"/>
  <c r="C12668" i="2"/>
  <c r="C12669" i="2"/>
  <c r="C12670" i="2"/>
  <c r="C12671" i="2"/>
  <c r="C12672" i="2"/>
  <c r="C12673" i="2"/>
  <c r="C12674" i="2"/>
  <c r="C12675" i="2"/>
  <c r="C12676" i="2"/>
  <c r="C12677" i="2"/>
  <c r="C12678" i="2"/>
  <c r="C12679" i="2"/>
  <c r="C12680" i="2"/>
  <c r="C12681" i="2"/>
  <c r="C12682" i="2"/>
  <c r="C12683" i="2"/>
  <c r="C12684" i="2"/>
  <c r="C12685" i="2"/>
  <c r="C12686" i="2"/>
  <c r="C12687" i="2"/>
  <c r="C12688" i="2"/>
  <c r="C12689" i="2"/>
  <c r="C12690" i="2"/>
  <c r="C12691" i="2"/>
  <c r="C12692" i="2"/>
  <c r="C12693" i="2"/>
  <c r="C12694" i="2"/>
  <c r="C12695" i="2"/>
  <c r="C12696" i="2"/>
  <c r="C12697" i="2"/>
  <c r="C12698" i="2"/>
  <c r="C12699" i="2"/>
  <c r="C12700" i="2"/>
  <c r="C12701" i="2"/>
  <c r="C12702" i="2"/>
  <c r="C12703" i="2"/>
  <c r="C12704" i="2"/>
  <c r="C12705" i="2"/>
  <c r="C12706" i="2"/>
  <c r="C12707" i="2"/>
  <c r="C12708" i="2"/>
  <c r="C12709" i="2"/>
  <c r="C12710" i="2"/>
  <c r="C12711" i="2"/>
  <c r="C12712" i="2"/>
  <c r="C12713" i="2"/>
  <c r="C12714" i="2"/>
  <c r="C12715" i="2"/>
  <c r="C12716" i="2"/>
  <c r="C12717" i="2"/>
  <c r="C12718" i="2"/>
  <c r="C12719" i="2"/>
  <c r="C12720" i="2"/>
  <c r="C12721" i="2"/>
  <c r="C12722" i="2"/>
  <c r="C12723" i="2"/>
  <c r="C12724" i="2"/>
  <c r="C12725" i="2"/>
  <c r="C12726" i="2"/>
  <c r="C12727" i="2"/>
  <c r="C12728" i="2"/>
  <c r="C12729" i="2"/>
  <c r="C12730" i="2"/>
  <c r="C12731" i="2"/>
  <c r="C12732" i="2"/>
  <c r="C12733" i="2"/>
  <c r="C12734" i="2"/>
  <c r="C12735" i="2"/>
  <c r="C12736" i="2"/>
  <c r="C12737" i="2"/>
  <c r="C12738" i="2"/>
  <c r="C12739" i="2"/>
  <c r="C12740" i="2"/>
  <c r="C12741" i="2"/>
  <c r="C12742" i="2"/>
  <c r="C12743" i="2"/>
  <c r="C12744" i="2"/>
  <c r="C12745" i="2"/>
  <c r="C12746" i="2"/>
  <c r="C12747" i="2"/>
  <c r="C12748" i="2"/>
  <c r="C12749" i="2"/>
  <c r="C12750" i="2"/>
  <c r="C12751" i="2"/>
  <c r="C12752" i="2"/>
  <c r="C12753" i="2"/>
  <c r="C12754" i="2"/>
  <c r="C12755" i="2"/>
  <c r="C12756" i="2"/>
  <c r="C12757" i="2"/>
  <c r="C12758" i="2"/>
  <c r="C12759" i="2"/>
  <c r="C12760" i="2"/>
  <c r="C12761" i="2"/>
  <c r="C12762" i="2"/>
  <c r="C12763" i="2"/>
  <c r="C12764" i="2"/>
  <c r="C12765" i="2"/>
  <c r="C12766" i="2"/>
  <c r="C12767" i="2"/>
  <c r="C12768" i="2"/>
  <c r="C12769" i="2"/>
  <c r="C12770" i="2"/>
  <c r="C12771" i="2"/>
  <c r="C12772" i="2"/>
  <c r="C12773" i="2"/>
  <c r="C12774" i="2"/>
  <c r="C12775" i="2"/>
  <c r="C12776" i="2"/>
  <c r="C12777" i="2"/>
  <c r="C12778" i="2"/>
  <c r="C12779" i="2"/>
  <c r="C12780" i="2"/>
  <c r="C12781" i="2"/>
  <c r="C12782" i="2"/>
  <c r="C12783" i="2"/>
  <c r="C12784" i="2"/>
  <c r="C12785" i="2"/>
  <c r="C12786" i="2"/>
  <c r="C12787" i="2"/>
  <c r="C12788" i="2"/>
  <c r="C12789" i="2"/>
  <c r="C12790" i="2"/>
  <c r="C12791" i="2"/>
  <c r="C12792" i="2"/>
  <c r="C12793" i="2"/>
  <c r="C12794" i="2"/>
  <c r="C12795" i="2"/>
  <c r="C12796" i="2"/>
  <c r="C12797" i="2"/>
  <c r="C12798" i="2"/>
  <c r="C12799" i="2"/>
  <c r="C12800" i="2"/>
  <c r="C12801" i="2"/>
  <c r="C12802" i="2"/>
  <c r="C12803" i="2"/>
  <c r="C12804" i="2"/>
  <c r="C12805" i="2"/>
  <c r="C12806" i="2"/>
  <c r="C12807" i="2"/>
  <c r="C12808" i="2"/>
  <c r="C12809" i="2"/>
  <c r="C12810" i="2"/>
  <c r="C12811" i="2"/>
  <c r="C12812" i="2"/>
  <c r="C12813" i="2"/>
  <c r="C12814" i="2"/>
  <c r="C12815" i="2"/>
  <c r="C12816" i="2"/>
  <c r="C12817" i="2"/>
  <c r="C12818" i="2"/>
  <c r="C12819" i="2"/>
  <c r="C12820" i="2"/>
  <c r="C12821" i="2"/>
  <c r="C12822" i="2"/>
  <c r="C12823" i="2"/>
  <c r="C12824" i="2"/>
  <c r="C12825" i="2"/>
  <c r="C12826" i="2"/>
  <c r="C12827" i="2"/>
  <c r="C12828" i="2"/>
  <c r="C12829" i="2"/>
  <c r="C12830" i="2"/>
  <c r="C12831" i="2"/>
  <c r="C12832" i="2"/>
  <c r="C12833" i="2"/>
  <c r="C12834" i="2"/>
  <c r="C12835" i="2"/>
  <c r="C12836" i="2"/>
  <c r="C12837" i="2"/>
  <c r="C12838" i="2"/>
  <c r="C12839" i="2"/>
  <c r="C12840" i="2"/>
  <c r="C12841" i="2"/>
  <c r="C12842" i="2"/>
  <c r="C12843" i="2"/>
  <c r="C12844" i="2"/>
  <c r="C12845" i="2"/>
  <c r="C12846" i="2"/>
  <c r="C12847" i="2"/>
  <c r="C12848" i="2"/>
  <c r="C12849" i="2"/>
  <c r="C12850" i="2"/>
  <c r="C12851" i="2"/>
  <c r="C12852" i="2"/>
  <c r="C12853" i="2"/>
  <c r="C12854" i="2"/>
  <c r="C12855" i="2"/>
  <c r="C12856" i="2"/>
  <c r="C12857" i="2"/>
  <c r="C12858" i="2"/>
  <c r="C12859" i="2"/>
  <c r="C12860" i="2"/>
  <c r="C12861" i="2"/>
  <c r="C12862" i="2"/>
  <c r="C12863" i="2"/>
  <c r="C12864" i="2"/>
  <c r="C12865" i="2"/>
  <c r="C12866" i="2"/>
  <c r="C12867" i="2"/>
  <c r="C12868" i="2"/>
  <c r="C12869" i="2"/>
  <c r="C12870" i="2"/>
  <c r="C12871" i="2"/>
  <c r="C12872" i="2"/>
  <c r="C12873" i="2"/>
  <c r="C12874" i="2"/>
  <c r="C12875" i="2"/>
  <c r="C12876" i="2"/>
  <c r="C12877" i="2"/>
  <c r="C12878" i="2"/>
  <c r="C12879" i="2"/>
  <c r="C12880" i="2"/>
  <c r="C12881" i="2"/>
  <c r="C12882" i="2"/>
  <c r="C12883" i="2"/>
  <c r="C12884" i="2"/>
  <c r="C12885" i="2"/>
  <c r="C12886" i="2"/>
  <c r="C12887" i="2"/>
  <c r="C12888" i="2"/>
  <c r="C12889" i="2"/>
  <c r="C12890" i="2"/>
  <c r="C12891" i="2"/>
  <c r="C12892" i="2"/>
  <c r="C12893" i="2"/>
  <c r="C12894" i="2"/>
  <c r="C12895" i="2"/>
  <c r="C12896" i="2"/>
  <c r="C12897" i="2"/>
  <c r="C12898" i="2"/>
  <c r="C12899" i="2"/>
  <c r="C12900" i="2"/>
  <c r="C12901" i="2"/>
  <c r="C12902" i="2"/>
  <c r="C12903" i="2"/>
  <c r="C12904" i="2"/>
  <c r="C12905" i="2"/>
  <c r="C12906" i="2"/>
  <c r="C12907" i="2"/>
  <c r="C12908" i="2"/>
  <c r="C12909" i="2"/>
  <c r="C12910" i="2"/>
  <c r="C12911" i="2"/>
  <c r="C12912" i="2"/>
  <c r="C12913" i="2"/>
  <c r="C12914" i="2"/>
  <c r="C12915" i="2"/>
  <c r="C12916" i="2"/>
  <c r="C12917" i="2"/>
  <c r="C12918" i="2"/>
  <c r="C12919" i="2"/>
  <c r="C12920" i="2"/>
  <c r="C12921" i="2"/>
  <c r="C12922" i="2"/>
  <c r="C12923" i="2"/>
  <c r="C12924" i="2"/>
  <c r="C12925" i="2"/>
  <c r="C12926" i="2"/>
  <c r="C12927" i="2"/>
  <c r="C12928" i="2"/>
  <c r="C12929" i="2"/>
  <c r="C12930" i="2"/>
  <c r="C12931" i="2"/>
  <c r="C12932" i="2"/>
  <c r="C12933" i="2"/>
  <c r="C12934" i="2"/>
  <c r="C12935" i="2"/>
  <c r="C12936" i="2"/>
  <c r="C12937" i="2"/>
  <c r="C12938" i="2"/>
  <c r="C12939" i="2"/>
  <c r="C12940" i="2"/>
  <c r="C12941" i="2"/>
  <c r="C12942" i="2"/>
  <c r="C12943" i="2"/>
  <c r="C12944" i="2"/>
  <c r="C12945" i="2"/>
  <c r="C12946" i="2"/>
  <c r="C12947" i="2"/>
  <c r="C12948" i="2"/>
  <c r="C12949" i="2"/>
  <c r="C12950" i="2"/>
  <c r="C12951" i="2"/>
  <c r="C12952" i="2"/>
  <c r="C12953" i="2"/>
  <c r="C12954" i="2"/>
  <c r="C12955" i="2"/>
  <c r="C12956" i="2"/>
  <c r="C12957" i="2"/>
  <c r="C12958" i="2"/>
  <c r="C12959" i="2"/>
  <c r="C12960" i="2"/>
  <c r="C12961" i="2"/>
  <c r="C12962" i="2"/>
  <c r="C12963" i="2"/>
  <c r="C12964" i="2"/>
  <c r="C12965" i="2"/>
  <c r="C12966" i="2"/>
  <c r="C12967" i="2"/>
  <c r="C12968" i="2"/>
  <c r="C12969" i="2"/>
  <c r="C12970" i="2"/>
  <c r="C12971" i="2"/>
  <c r="C12972" i="2"/>
  <c r="C12973" i="2"/>
  <c r="C12974" i="2"/>
  <c r="C12975" i="2"/>
  <c r="C12976" i="2"/>
  <c r="C12977" i="2"/>
  <c r="C12978" i="2"/>
  <c r="C12979" i="2"/>
  <c r="C12980" i="2"/>
  <c r="C12981" i="2"/>
  <c r="C12982" i="2"/>
  <c r="C12983" i="2"/>
  <c r="C12984" i="2"/>
  <c r="C12985" i="2"/>
  <c r="C12986" i="2"/>
  <c r="C12987" i="2"/>
  <c r="C12988" i="2"/>
  <c r="C12989" i="2"/>
  <c r="C12990" i="2"/>
  <c r="C12991" i="2"/>
  <c r="C12992" i="2"/>
  <c r="C12993" i="2"/>
  <c r="C12994" i="2"/>
  <c r="C12995" i="2"/>
  <c r="C12996" i="2"/>
  <c r="C12997" i="2"/>
  <c r="C12998" i="2"/>
  <c r="C12999" i="2"/>
  <c r="C13000" i="2"/>
  <c r="C13001" i="2"/>
  <c r="C13002" i="2"/>
  <c r="C13003" i="2"/>
  <c r="C13004" i="2"/>
  <c r="C13005" i="2"/>
  <c r="C13006" i="2"/>
  <c r="C13007" i="2"/>
  <c r="C13008" i="2"/>
  <c r="C13009" i="2"/>
  <c r="C13010" i="2"/>
  <c r="C13011" i="2"/>
  <c r="C13012" i="2"/>
  <c r="C13013" i="2"/>
  <c r="C13014" i="2"/>
  <c r="C13015" i="2"/>
  <c r="C13016" i="2"/>
  <c r="C13017" i="2"/>
  <c r="C13018" i="2"/>
  <c r="C13019" i="2"/>
  <c r="C13020" i="2"/>
  <c r="C13021" i="2"/>
  <c r="C13022" i="2"/>
  <c r="C13023" i="2"/>
  <c r="C13024" i="2"/>
  <c r="C13025" i="2"/>
  <c r="C13026" i="2"/>
  <c r="C13027" i="2"/>
  <c r="C13028" i="2"/>
  <c r="C13029" i="2"/>
  <c r="C13030" i="2"/>
  <c r="C13031" i="2"/>
  <c r="C13032" i="2"/>
  <c r="C13033" i="2"/>
  <c r="C13034" i="2"/>
  <c r="C13035" i="2"/>
  <c r="C13036" i="2"/>
  <c r="C13037" i="2"/>
  <c r="C13038" i="2"/>
  <c r="C13039" i="2"/>
  <c r="C13040" i="2"/>
  <c r="C13041" i="2"/>
  <c r="C13042" i="2"/>
  <c r="C13043" i="2"/>
  <c r="C13044" i="2"/>
  <c r="C13045" i="2"/>
  <c r="C13046" i="2"/>
  <c r="C13047" i="2"/>
  <c r="C13048" i="2"/>
  <c r="C13049" i="2"/>
  <c r="C13050" i="2"/>
  <c r="C13051" i="2"/>
  <c r="C13052" i="2"/>
  <c r="C13053" i="2"/>
  <c r="C13054" i="2"/>
  <c r="C13055" i="2"/>
  <c r="C13056" i="2"/>
  <c r="C13057" i="2"/>
  <c r="C13058" i="2"/>
  <c r="C13059" i="2"/>
  <c r="C13060" i="2"/>
  <c r="C13061" i="2"/>
  <c r="C13062" i="2"/>
  <c r="C13063" i="2"/>
  <c r="C13064" i="2"/>
  <c r="C13065" i="2"/>
  <c r="C13066" i="2"/>
  <c r="C13067" i="2"/>
  <c r="C13068" i="2"/>
  <c r="C13069" i="2"/>
  <c r="C13070" i="2"/>
  <c r="C13071" i="2"/>
  <c r="C13072" i="2"/>
  <c r="C13073" i="2"/>
  <c r="C13074" i="2"/>
  <c r="C13075" i="2"/>
  <c r="C13076" i="2"/>
  <c r="C13077" i="2"/>
  <c r="C13078" i="2"/>
  <c r="C13079" i="2"/>
  <c r="C13080" i="2"/>
  <c r="C13081" i="2"/>
  <c r="C13082" i="2"/>
  <c r="C13083" i="2"/>
  <c r="C13084" i="2"/>
  <c r="C13085" i="2"/>
  <c r="C13086" i="2"/>
  <c r="C13087" i="2"/>
  <c r="C13088" i="2"/>
  <c r="C13089" i="2"/>
  <c r="C13090" i="2"/>
  <c r="C13091" i="2"/>
  <c r="C13092" i="2"/>
  <c r="C13093" i="2"/>
  <c r="C13094" i="2"/>
  <c r="C13095" i="2"/>
  <c r="C13096" i="2"/>
  <c r="C13097" i="2"/>
  <c r="C13098" i="2"/>
  <c r="C13099" i="2"/>
  <c r="C13100" i="2"/>
  <c r="C13101" i="2"/>
  <c r="C13102" i="2"/>
  <c r="C13103" i="2"/>
  <c r="C13104" i="2"/>
  <c r="C13105" i="2"/>
  <c r="C13106" i="2"/>
  <c r="C13107" i="2"/>
  <c r="C13108" i="2"/>
  <c r="C13109" i="2"/>
  <c r="C13110" i="2"/>
  <c r="C13111" i="2"/>
  <c r="C13112" i="2"/>
  <c r="C13113" i="2"/>
  <c r="C13114" i="2"/>
  <c r="C13115" i="2"/>
  <c r="C13116" i="2"/>
  <c r="C13117" i="2"/>
  <c r="C13118" i="2"/>
  <c r="C13119" i="2"/>
  <c r="C13120" i="2"/>
  <c r="C13121" i="2"/>
  <c r="C13122" i="2"/>
  <c r="C13123" i="2"/>
  <c r="C13124" i="2"/>
  <c r="C13125" i="2"/>
  <c r="C13126" i="2"/>
  <c r="C13127" i="2"/>
  <c r="C13128" i="2"/>
  <c r="C13129" i="2"/>
  <c r="C13130" i="2"/>
  <c r="C13131" i="2"/>
  <c r="C13132" i="2"/>
  <c r="C13133" i="2"/>
  <c r="C13134" i="2"/>
  <c r="C13135" i="2"/>
  <c r="C13136" i="2"/>
  <c r="C13137" i="2"/>
  <c r="C13138" i="2"/>
  <c r="C13139" i="2"/>
  <c r="C13140" i="2"/>
  <c r="C13141" i="2"/>
  <c r="C13142" i="2"/>
  <c r="C13143" i="2"/>
  <c r="C13144" i="2"/>
  <c r="C13145" i="2"/>
  <c r="C13146" i="2"/>
  <c r="C13147" i="2"/>
  <c r="C13148" i="2"/>
  <c r="C13149" i="2"/>
  <c r="C13150" i="2"/>
  <c r="C13151" i="2"/>
  <c r="C13152" i="2"/>
  <c r="C13153" i="2"/>
  <c r="C13154" i="2"/>
  <c r="C13155" i="2"/>
  <c r="C13156" i="2"/>
  <c r="C13157" i="2"/>
  <c r="C13158" i="2"/>
  <c r="C13159" i="2"/>
  <c r="C13160" i="2"/>
  <c r="C13161" i="2"/>
  <c r="C13162" i="2"/>
  <c r="C13163" i="2"/>
  <c r="C13164" i="2"/>
  <c r="C13165" i="2"/>
  <c r="C13166" i="2"/>
  <c r="C13167" i="2"/>
  <c r="C13168" i="2"/>
  <c r="C13169" i="2"/>
  <c r="C13170" i="2"/>
  <c r="C13171" i="2"/>
  <c r="C13172" i="2"/>
  <c r="C13173" i="2"/>
  <c r="C13174" i="2"/>
  <c r="C13175" i="2"/>
  <c r="C13176" i="2"/>
  <c r="C13177" i="2"/>
  <c r="C13178" i="2"/>
  <c r="C13179" i="2"/>
  <c r="C13180" i="2"/>
  <c r="C13181" i="2"/>
  <c r="C13182" i="2"/>
  <c r="C13183" i="2"/>
  <c r="C13184" i="2"/>
  <c r="C13185" i="2"/>
  <c r="C13186" i="2"/>
  <c r="C13187" i="2"/>
  <c r="C13188" i="2"/>
  <c r="C13189" i="2"/>
  <c r="C13190" i="2"/>
  <c r="C13191" i="2"/>
  <c r="C13192" i="2"/>
  <c r="C13193" i="2"/>
  <c r="C13194" i="2"/>
  <c r="C13195" i="2"/>
  <c r="C13196" i="2"/>
  <c r="C13197" i="2"/>
  <c r="C13198" i="2"/>
  <c r="C13199" i="2"/>
  <c r="C13200" i="2"/>
  <c r="C13201" i="2"/>
  <c r="C13202" i="2"/>
  <c r="C13203" i="2"/>
  <c r="C13204" i="2"/>
  <c r="C13205" i="2"/>
  <c r="C13206" i="2"/>
  <c r="C13207" i="2"/>
  <c r="C13208" i="2"/>
  <c r="C13209" i="2"/>
  <c r="C13210" i="2"/>
  <c r="C13211" i="2"/>
  <c r="C13212" i="2"/>
  <c r="C13213" i="2"/>
  <c r="C13214" i="2"/>
  <c r="C13215" i="2"/>
  <c r="C13216" i="2"/>
  <c r="C13217" i="2"/>
  <c r="C13218" i="2"/>
  <c r="C13219" i="2"/>
  <c r="C13220" i="2"/>
  <c r="C13221" i="2"/>
  <c r="C13222" i="2"/>
  <c r="C13223" i="2"/>
  <c r="C13224" i="2"/>
  <c r="C13225" i="2"/>
  <c r="C13226" i="2"/>
  <c r="C13227" i="2"/>
  <c r="C13228" i="2"/>
  <c r="C13229" i="2"/>
  <c r="C13230" i="2"/>
  <c r="C13231" i="2"/>
  <c r="C13232" i="2"/>
  <c r="C13233" i="2"/>
  <c r="C13234" i="2"/>
  <c r="C13235" i="2"/>
  <c r="C13236" i="2"/>
  <c r="C13237" i="2"/>
  <c r="C13238" i="2"/>
  <c r="C13239" i="2"/>
  <c r="C13240" i="2"/>
  <c r="C13241" i="2"/>
  <c r="C13242" i="2"/>
  <c r="C13243" i="2"/>
  <c r="C13244" i="2"/>
  <c r="C13245" i="2"/>
  <c r="C13246" i="2"/>
  <c r="C13247" i="2"/>
  <c r="C13248" i="2"/>
  <c r="C13249" i="2"/>
  <c r="C13250" i="2"/>
  <c r="C13251" i="2"/>
  <c r="C13252" i="2"/>
  <c r="C13253" i="2"/>
  <c r="C13254" i="2"/>
  <c r="C13255" i="2"/>
  <c r="C13256" i="2"/>
  <c r="C13257" i="2"/>
  <c r="C13258" i="2"/>
  <c r="C13259" i="2"/>
  <c r="C13260" i="2"/>
  <c r="C13261" i="2"/>
  <c r="C13262" i="2"/>
  <c r="C13263" i="2"/>
  <c r="C13264" i="2"/>
  <c r="C13265" i="2"/>
  <c r="C13266" i="2"/>
  <c r="C13267" i="2"/>
  <c r="C13268" i="2"/>
  <c r="C13269" i="2"/>
  <c r="C13270" i="2"/>
  <c r="C13271" i="2"/>
  <c r="C13272" i="2"/>
  <c r="C13273" i="2"/>
  <c r="C13274" i="2"/>
  <c r="C13275" i="2"/>
  <c r="C13276" i="2"/>
  <c r="C13277" i="2"/>
  <c r="C13278" i="2"/>
  <c r="C13279" i="2"/>
  <c r="C13280" i="2"/>
  <c r="C13281" i="2"/>
  <c r="C13282" i="2"/>
  <c r="C13283" i="2"/>
  <c r="C13284" i="2"/>
  <c r="C13285" i="2"/>
  <c r="C13286" i="2"/>
  <c r="C13287" i="2"/>
  <c r="C13288" i="2"/>
  <c r="C13289" i="2"/>
  <c r="C13290" i="2"/>
  <c r="C13291" i="2"/>
  <c r="C13292" i="2"/>
  <c r="C13293" i="2"/>
  <c r="C13294" i="2"/>
  <c r="C13295" i="2"/>
  <c r="C13296" i="2"/>
  <c r="C13297" i="2"/>
  <c r="C13298" i="2"/>
  <c r="C13299" i="2"/>
  <c r="C13300" i="2"/>
  <c r="C13301" i="2"/>
  <c r="C13302" i="2"/>
  <c r="C13303" i="2"/>
  <c r="C13304" i="2"/>
  <c r="C13305" i="2"/>
  <c r="C13306" i="2"/>
  <c r="C13307" i="2"/>
  <c r="C13308" i="2"/>
  <c r="C13309" i="2"/>
  <c r="C13310" i="2"/>
  <c r="C13311" i="2"/>
  <c r="C13312" i="2"/>
  <c r="C13313" i="2"/>
  <c r="C13314" i="2"/>
  <c r="C13315" i="2"/>
  <c r="C13316" i="2"/>
  <c r="C13317" i="2"/>
  <c r="C13318" i="2"/>
  <c r="C13319" i="2"/>
  <c r="C13320" i="2"/>
  <c r="C13321" i="2"/>
  <c r="C13322" i="2"/>
  <c r="C13323" i="2"/>
  <c r="C13324" i="2"/>
  <c r="C13325" i="2"/>
  <c r="C13326" i="2"/>
  <c r="C13327" i="2"/>
  <c r="C13328" i="2"/>
  <c r="C13329" i="2"/>
  <c r="C13330" i="2"/>
  <c r="C13331" i="2"/>
  <c r="C13332" i="2"/>
  <c r="C13333" i="2"/>
  <c r="C13334" i="2"/>
  <c r="C13335" i="2"/>
  <c r="C13336" i="2"/>
  <c r="C13337" i="2"/>
  <c r="C13338" i="2"/>
  <c r="C13339" i="2"/>
  <c r="C13340" i="2"/>
  <c r="C13341" i="2"/>
  <c r="C13342" i="2"/>
  <c r="C13343" i="2"/>
  <c r="C13344" i="2"/>
  <c r="C13345" i="2"/>
  <c r="C13346" i="2"/>
  <c r="C13347" i="2"/>
  <c r="C13348" i="2"/>
  <c r="C13349" i="2"/>
  <c r="C13350" i="2"/>
  <c r="C13351" i="2"/>
  <c r="C13352" i="2"/>
  <c r="C13353" i="2"/>
  <c r="C13354" i="2"/>
  <c r="C13355" i="2"/>
  <c r="C13356" i="2"/>
  <c r="C13357" i="2"/>
  <c r="C13358" i="2"/>
  <c r="C13359" i="2"/>
  <c r="C13360" i="2"/>
  <c r="C13361" i="2"/>
  <c r="C13362" i="2"/>
  <c r="C13363" i="2"/>
  <c r="C13364" i="2"/>
  <c r="C13365" i="2"/>
  <c r="C13366" i="2"/>
  <c r="C13367" i="2"/>
  <c r="C13368" i="2"/>
  <c r="C13369" i="2"/>
  <c r="C13370" i="2"/>
  <c r="C13371" i="2"/>
  <c r="C13372" i="2"/>
  <c r="C13373" i="2"/>
  <c r="C13374" i="2"/>
  <c r="C13375" i="2"/>
  <c r="C13376" i="2"/>
  <c r="C13377" i="2"/>
  <c r="C13378" i="2"/>
  <c r="C13379" i="2"/>
  <c r="C13380" i="2"/>
  <c r="C13381" i="2"/>
  <c r="C13382" i="2"/>
  <c r="C13383" i="2"/>
  <c r="C13384" i="2"/>
  <c r="C13385" i="2"/>
  <c r="C13386" i="2"/>
  <c r="C13387" i="2"/>
  <c r="C13388" i="2"/>
  <c r="C13389" i="2"/>
  <c r="C13390" i="2"/>
  <c r="C13391" i="2"/>
  <c r="C13392" i="2"/>
  <c r="C13393" i="2"/>
  <c r="C13394" i="2"/>
  <c r="C13395" i="2"/>
  <c r="C13396" i="2"/>
  <c r="C13397" i="2"/>
  <c r="C13398" i="2"/>
  <c r="C13399" i="2"/>
  <c r="C13400" i="2"/>
  <c r="C13401" i="2"/>
  <c r="C13402" i="2"/>
  <c r="C13403" i="2"/>
  <c r="C13404" i="2"/>
  <c r="C13405" i="2"/>
  <c r="C13406" i="2"/>
  <c r="C13407" i="2"/>
  <c r="C13408" i="2"/>
  <c r="C13409" i="2"/>
  <c r="C13410" i="2"/>
  <c r="C13411" i="2"/>
  <c r="C13412" i="2"/>
  <c r="C13413" i="2"/>
  <c r="C13414" i="2"/>
  <c r="C13415" i="2"/>
  <c r="C13416" i="2"/>
  <c r="C13417" i="2"/>
  <c r="C13418" i="2"/>
  <c r="C13419" i="2"/>
  <c r="C13420" i="2"/>
  <c r="C13421" i="2"/>
  <c r="C13422" i="2"/>
  <c r="C13423" i="2"/>
  <c r="C13424" i="2"/>
  <c r="C13425" i="2"/>
  <c r="C13426" i="2"/>
  <c r="C13427" i="2"/>
  <c r="C13428" i="2"/>
  <c r="C13429" i="2"/>
  <c r="C13430" i="2"/>
  <c r="C13431" i="2"/>
  <c r="C13432" i="2"/>
  <c r="C13433" i="2"/>
  <c r="C13434" i="2"/>
  <c r="C13435" i="2"/>
  <c r="C13436" i="2"/>
  <c r="C13437" i="2"/>
  <c r="C13438" i="2"/>
  <c r="C13439" i="2"/>
  <c r="C13440" i="2"/>
  <c r="C13441" i="2"/>
  <c r="C13442" i="2"/>
  <c r="C13443" i="2"/>
  <c r="C13444" i="2"/>
  <c r="C13445" i="2"/>
  <c r="C13446" i="2"/>
  <c r="C13447" i="2"/>
  <c r="C13448" i="2"/>
  <c r="C13449" i="2"/>
  <c r="C13450" i="2"/>
  <c r="C13451" i="2"/>
  <c r="C13452" i="2"/>
  <c r="C13453" i="2"/>
  <c r="C13454" i="2"/>
  <c r="C13455" i="2"/>
  <c r="C13456" i="2"/>
  <c r="C13457" i="2"/>
  <c r="C13458" i="2"/>
  <c r="C13459" i="2"/>
  <c r="C13460" i="2"/>
  <c r="C13461" i="2"/>
  <c r="C13462" i="2"/>
  <c r="C13463" i="2"/>
  <c r="C13464" i="2"/>
  <c r="C13465" i="2"/>
  <c r="C13466" i="2"/>
  <c r="C13467" i="2"/>
  <c r="C13468" i="2"/>
  <c r="C13469" i="2"/>
  <c r="C13470" i="2"/>
  <c r="C13471" i="2"/>
  <c r="C13472" i="2"/>
  <c r="C13473" i="2"/>
  <c r="C13474" i="2"/>
  <c r="C13475" i="2"/>
  <c r="C13476" i="2"/>
  <c r="C13477" i="2"/>
  <c r="C13478" i="2"/>
  <c r="C13479" i="2"/>
  <c r="C13480" i="2"/>
  <c r="C13481" i="2"/>
  <c r="C13482" i="2"/>
  <c r="C13483" i="2"/>
  <c r="C13484" i="2"/>
  <c r="C13485" i="2"/>
  <c r="C13486" i="2"/>
  <c r="C13487" i="2"/>
  <c r="C13488" i="2"/>
  <c r="C13489" i="2"/>
  <c r="C13490" i="2"/>
  <c r="C13491" i="2"/>
  <c r="C13492" i="2"/>
  <c r="C13493" i="2"/>
  <c r="C13494" i="2"/>
  <c r="C13495" i="2"/>
  <c r="C13496" i="2"/>
  <c r="C13497" i="2"/>
  <c r="C13498" i="2"/>
  <c r="C13499" i="2"/>
  <c r="C13500" i="2"/>
  <c r="C13501" i="2"/>
  <c r="C13502" i="2"/>
  <c r="C13503" i="2"/>
  <c r="C13504" i="2"/>
  <c r="C13505" i="2"/>
  <c r="C13506" i="2"/>
  <c r="C13507" i="2"/>
  <c r="C13508" i="2"/>
  <c r="C13509" i="2"/>
  <c r="C13510" i="2"/>
  <c r="C13511" i="2"/>
  <c r="C13512" i="2"/>
  <c r="C13513" i="2"/>
  <c r="C13514" i="2"/>
  <c r="C13515" i="2"/>
  <c r="C13516" i="2"/>
  <c r="C13517" i="2"/>
  <c r="C13518" i="2"/>
  <c r="C13519" i="2"/>
  <c r="C13520" i="2"/>
  <c r="C13521" i="2"/>
  <c r="C13522" i="2"/>
  <c r="C13523" i="2"/>
  <c r="C13524" i="2"/>
  <c r="C13525" i="2"/>
  <c r="C13526" i="2"/>
  <c r="C13527" i="2"/>
  <c r="C13528" i="2"/>
  <c r="C13529" i="2"/>
  <c r="C13530" i="2"/>
  <c r="C13531" i="2"/>
  <c r="C13532" i="2"/>
  <c r="C13533" i="2"/>
  <c r="C13534" i="2"/>
  <c r="C13535" i="2"/>
  <c r="C13536" i="2"/>
  <c r="C13537" i="2"/>
  <c r="C13538" i="2"/>
  <c r="C13539" i="2"/>
  <c r="C13540" i="2"/>
  <c r="C13541" i="2"/>
  <c r="C13542" i="2"/>
  <c r="C13543" i="2"/>
  <c r="C13544" i="2"/>
  <c r="C13545" i="2"/>
  <c r="C13546" i="2"/>
  <c r="C13547" i="2"/>
  <c r="C13548" i="2"/>
  <c r="C13549" i="2"/>
  <c r="C13550" i="2"/>
  <c r="C13551" i="2"/>
  <c r="C13552" i="2"/>
  <c r="C13553" i="2"/>
  <c r="C13554" i="2"/>
  <c r="C13555" i="2"/>
  <c r="C13556" i="2"/>
  <c r="C13557" i="2"/>
  <c r="C13558" i="2"/>
  <c r="C13559" i="2"/>
  <c r="C13560" i="2"/>
  <c r="C13561" i="2"/>
  <c r="C13562" i="2"/>
  <c r="C13563" i="2"/>
  <c r="C13564" i="2"/>
  <c r="C13565" i="2"/>
  <c r="C13566" i="2"/>
  <c r="C13567" i="2"/>
  <c r="C13568" i="2"/>
  <c r="C13569" i="2"/>
  <c r="C13570" i="2"/>
  <c r="C13571" i="2"/>
  <c r="C13572" i="2"/>
  <c r="C13573" i="2"/>
  <c r="C13574" i="2"/>
  <c r="C13575" i="2"/>
  <c r="C13576" i="2"/>
  <c r="C13577" i="2"/>
  <c r="C13578" i="2"/>
  <c r="C13579" i="2"/>
  <c r="C13580" i="2"/>
  <c r="C13581" i="2"/>
  <c r="C13582" i="2"/>
  <c r="C13583" i="2"/>
  <c r="C13584" i="2"/>
  <c r="C13585" i="2"/>
  <c r="C13586" i="2"/>
  <c r="C13587" i="2"/>
  <c r="C13588" i="2"/>
  <c r="C13589" i="2"/>
  <c r="C13590" i="2"/>
  <c r="C13591" i="2"/>
  <c r="C13592" i="2"/>
  <c r="C13593" i="2"/>
  <c r="C13594" i="2"/>
  <c r="C13595" i="2"/>
  <c r="C13596" i="2"/>
  <c r="C13597" i="2"/>
  <c r="C13598" i="2"/>
  <c r="C13599" i="2"/>
  <c r="C13600" i="2"/>
  <c r="C13601" i="2"/>
  <c r="C13602" i="2"/>
  <c r="C13603" i="2"/>
  <c r="C13604" i="2"/>
  <c r="C13605" i="2"/>
  <c r="C13606" i="2"/>
  <c r="C13607" i="2"/>
  <c r="C13608" i="2"/>
  <c r="C13609" i="2"/>
  <c r="C13610" i="2"/>
  <c r="C13611" i="2"/>
  <c r="C13612" i="2"/>
  <c r="C13613" i="2"/>
  <c r="C13614" i="2"/>
  <c r="C13615" i="2"/>
  <c r="C13616" i="2"/>
  <c r="C13617" i="2"/>
  <c r="C13618" i="2"/>
  <c r="C13619" i="2"/>
  <c r="C13620" i="2"/>
  <c r="C13621" i="2"/>
  <c r="C13622" i="2"/>
  <c r="C13623" i="2"/>
  <c r="C13624" i="2"/>
  <c r="C13625" i="2"/>
  <c r="C13626" i="2"/>
  <c r="C13627" i="2"/>
  <c r="C13628" i="2"/>
  <c r="C13629" i="2"/>
  <c r="C13630" i="2"/>
  <c r="C13631" i="2"/>
  <c r="C13632" i="2"/>
  <c r="C13633" i="2"/>
  <c r="C13634" i="2"/>
  <c r="C13635" i="2"/>
  <c r="C13636" i="2"/>
  <c r="C13637" i="2"/>
  <c r="C13638" i="2"/>
  <c r="C13639" i="2"/>
  <c r="C13640" i="2"/>
  <c r="C13641" i="2"/>
  <c r="C13642" i="2"/>
  <c r="C13643" i="2"/>
  <c r="C13644" i="2"/>
  <c r="C13645" i="2"/>
  <c r="C13646" i="2"/>
  <c r="C13647" i="2"/>
  <c r="C13648" i="2"/>
  <c r="C13649" i="2"/>
  <c r="C13650" i="2"/>
  <c r="C13651" i="2"/>
  <c r="C13652" i="2"/>
  <c r="C13653" i="2"/>
  <c r="C13654" i="2"/>
  <c r="C13655" i="2"/>
  <c r="C13656" i="2"/>
  <c r="C13657" i="2"/>
  <c r="C13658" i="2"/>
  <c r="C13659" i="2"/>
  <c r="C13660" i="2"/>
  <c r="C13661" i="2"/>
  <c r="C13662" i="2"/>
  <c r="C13663" i="2"/>
  <c r="C13664" i="2"/>
  <c r="C13665" i="2"/>
  <c r="C13666" i="2"/>
  <c r="C13667" i="2"/>
  <c r="C13668" i="2"/>
  <c r="C13669" i="2"/>
  <c r="C13670" i="2"/>
  <c r="C13671" i="2"/>
  <c r="C13672" i="2"/>
  <c r="C13673" i="2"/>
  <c r="C13674" i="2"/>
  <c r="C13675" i="2"/>
  <c r="C13676" i="2"/>
  <c r="C13677" i="2"/>
  <c r="C13678" i="2"/>
  <c r="C13679" i="2"/>
  <c r="C13680" i="2"/>
  <c r="C13681" i="2"/>
  <c r="C13682" i="2"/>
  <c r="C13683" i="2"/>
  <c r="C13684" i="2"/>
  <c r="C13685" i="2"/>
  <c r="C13686" i="2"/>
  <c r="C13687" i="2"/>
  <c r="C13688" i="2"/>
  <c r="C13689" i="2"/>
  <c r="C13690" i="2"/>
  <c r="C13691" i="2"/>
  <c r="C13692" i="2"/>
  <c r="C13693" i="2"/>
  <c r="C13694" i="2"/>
  <c r="C13695" i="2"/>
  <c r="C13696" i="2"/>
  <c r="C13697" i="2"/>
  <c r="C13698" i="2"/>
  <c r="C13699" i="2"/>
  <c r="C13700" i="2"/>
  <c r="C13701" i="2"/>
  <c r="C13702" i="2"/>
  <c r="C13703" i="2"/>
  <c r="C13704" i="2"/>
  <c r="C13705" i="2"/>
  <c r="C13706" i="2"/>
  <c r="C13707" i="2"/>
  <c r="C13708" i="2"/>
  <c r="C13709" i="2"/>
  <c r="C13710" i="2"/>
  <c r="C13711" i="2"/>
  <c r="C13712" i="2"/>
  <c r="C13713" i="2"/>
  <c r="C13714" i="2"/>
  <c r="C13715" i="2"/>
  <c r="C13716" i="2"/>
  <c r="C13717" i="2"/>
  <c r="C13718" i="2"/>
  <c r="C13719" i="2"/>
  <c r="C13720" i="2"/>
  <c r="C13721" i="2"/>
  <c r="C13722" i="2"/>
  <c r="C13723" i="2"/>
  <c r="C13724" i="2"/>
  <c r="C13725" i="2"/>
  <c r="C13726" i="2"/>
  <c r="C13727" i="2"/>
  <c r="C13728" i="2"/>
  <c r="C13729" i="2"/>
  <c r="C13730" i="2"/>
  <c r="C13731" i="2"/>
  <c r="C13732" i="2"/>
  <c r="C13733" i="2"/>
  <c r="C13734" i="2"/>
  <c r="C13735" i="2"/>
  <c r="C13736" i="2"/>
  <c r="C13737" i="2"/>
  <c r="C13738" i="2"/>
  <c r="C13739" i="2"/>
  <c r="C13740" i="2"/>
  <c r="C13741" i="2"/>
  <c r="C13742" i="2"/>
  <c r="C13743" i="2"/>
  <c r="C13744" i="2"/>
  <c r="C13745" i="2"/>
  <c r="C13746" i="2"/>
  <c r="C13747" i="2"/>
  <c r="C13748" i="2"/>
  <c r="C13749" i="2"/>
  <c r="C13750" i="2"/>
  <c r="C13751" i="2"/>
  <c r="C13752" i="2"/>
  <c r="C13753" i="2"/>
  <c r="C13754" i="2"/>
  <c r="C13755" i="2"/>
  <c r="C13756" i="2"/>
  <c r="C13757" i="2"/>
  <c r="C13758" i="2"/>
  <c r="C13759" i="2"/>
  <c r="C13760" i="2"/>
  <c r="C13761" i="2"/>
  <c r="C13762" i="2"/>
  <c r="C13763" i="2"/>
  <c r="C13764" i="2"/>
  <c r="C13765" i="2"/>
  <c r="C13766" i="2"/>
  <c r="C13767" i="2"/>
  <c r="C13768" i="2"/>
  <c r="C13769" i="2"/>
  <c r="C13770" i="2"/>
  <c r="C13771" i="2"/>
  <c r="C13772" i="2"/>
  <c r="C13773" i="2"/>
  <c r="C13774" i="2"/>
  <c r="C13775" i="2"/>
  <c r="C13776" i="2"/>
  <c r="C13777" i="2"/>
  <c r="C13778" i="2"/>
  <c r="C13779" i="2"/>
  <c r="C13780" i="2"/>
  <c r="C13781" i="2"/>
  <c r="C13782" i="2"/>
  <c r="C13783" i="2"/>
  <c r="C13784" i="2"/>
  <c r="C13785" i="2"/>
  <c r="C13786" i="2"/>
  <c r="C13787" i="2"/>
  <c r="C13788" i="2"/>
  <c r="C13789" i="2"/>
  <c r="C13790" i="2"/>
  <c r="C13791" i="2"/>
  <c r="C13792" i="2"/>
  <c r="C13793" i="2"/>
  <c r="C13794" i="2"/>
  <c r="C13795" i="2"/>
  <c r="C13796" i="2"/>
  <c r="C13797" i="2"/>
  <c r="C13798" i="2"/>
  <c r="C13799" i="2"/>
  <c r="C13800" i="2"/>
  <c r="C13801" i="2"/>
  <c r="C13802" i="2"/>
  <c r="C13803" i="2"/>
  <c r="C13804" i="2"/>
  <c r="C13805" i="2"/>
  <c r="C13806" i="2"/>
  <c r="C13807" i="2"/>
  <c r="C13808" i="2"/>
  <c r="C13809" i="2"/>
  <c r="C13810" i="2"/>
  <c r="C13811" i="2"/>
  <c r="C13812" i="2"/>
  <c r="C13813" i="2"/>
  <c r="C13814" i="2"/>
  <c r="C13815" i="2"/>
  <c r="C13816" i="2"/>
  <c r="C13817" i="2"/>
  <c r="C13818" i="2"/>
  <c r="C13819" i="2"/>
  <c r="C13820" i="2"/>
  <c r="C13821" i="2"/>
  <c r="C13822" i="2"/>
  <c r="C13823" i="2"/>
  <c r="C13824" i="2"/>
  <c r="C13825" i="2"/>
  <c r="C13826" i="2"/>
  <c r="C13827" i="2"/>
  <c r="C13828" i="2"/>
  <c r="C13829" i="2"/>
  <c r="C13830" i="2"/>
  <c r="C13831" i="2"/>
  <c r="C13832" i="2"/>
  <c r="C13833" i="2"/>
  <c r="C13834" i="2"/>
  <c r="C13835" i="2"/>
  <c r="C13836" i="2"/>
  <c r="C13837" i="2"/>
  <c r="C13838" i="2"/>
  <c r="C13839" i="2"/>
  <c r="C13840" i="2"/>
  <c r="C13841" i="2"/>
  <c r="C13842" i="2"/>
  <c r="C13843" i="2"/>
  <c r="C13844" i="2"/>
  <c r="C13845" i="2"/>
  <c r="C13846" i="2"/>
  <c r="C13847" i="2"/>
  <c r="C13848" i="2"/>
  <c r="C13849" i="2"/>
  <c r="C13850" i="2"/>
  <c r="C13851" i="2"/>
  <c r="C13852" i="2"/>
  <c r="C13853" i="2"/>
  <c r="C13854" i="2"/>
  <c r="C13855" i="2"/>
  <c r="C13856" i="2"/>
  <c r="C13857" i="2"/>
  <c r="C13858" i="2"/>
  <c r="C13859" i="2"/>
  <c r="C13860" i="2"/>
  <c r="C13861" i="2"/>
  <c r="C13862" i="2"/>
  <c r="C13863" i="2"/>
  <c r="C13864" i="2"/>
  <c r="C13865" i="2"/>
  <c r="C13866" i="2"/>
  <c r="C13867" i="2"/>
  <c r="C13868" i="2"/>
  <c r="C13869" i="2"/>
  <c r="C13870" i="2"/>
  <c r="C13871" i="2"/>
  <c r="C13872" i="2"/>
  <c r="C13873" i="2"/>
  <c r="C13874" i="2"/>
  <c r="C13875" i="2"/>
  <c r="C13876" i="2"/>
  <c r="C13877" i="2"/>
  <c r="C13878" i="2"/>
  <c r="C13879" i="2"/>
  <c r="C13880" i="2"/>
  <c r="C13881" i="2"/>
  <c r="C13882" i="2"/>
  <c r="C13883" i="2"/>
  <c r="C13884" i="2"/>
  <c r="C13885" i="2"/>
  <c r="C13886" i="2"/>
  <c r="C13887" i="2"/>
  <c r="C13888" i="2"/>
  <c r="C13889" i="2"/>
  <c r="C13890" i="2"/>
  <c r="C13891" i="2"/>
  <c r="C13892" i="2"/>
  <c r="C13893" i="2"/>
  <c r="C13894" i="2"/>
  <c r="C13895" i="2"/>
  <c r="C13896" i="2"/>
  <c r="C13897" i="2"/>
  <c r="C13898" i="2"/>
  <c r="C13899" i="2"/>
  <c r="C13900" i="2"/>
  <c r="C13901" i="2"/>
  <c r="C13902" i="2"/>
  <c r="C13903" i="2"/>
  <c r="C13904" i="2"/>
  <c r="C13905" i="2"/>
  <c r="C13906" i="2"/>
  <c r="C13907" i="2"/>
  <c r="C13908" i="2"/>
  <c r="C13909" i="2"/>
  <c r="C13910" i="2"/>
  <c r="C13911" i="2"/>
  <c r="C13912" i="2"/>
  <c r="C13913" i="2"/>
  <c r="C13914" i="2"/>
  <c r="C13915" i="2"/>
  <c r="C13916" i="2"/>
  <c r="C13917" i="2"/>
  <c r="C13918" i="2"/>
  <c r="C13919" i="2"/>
  <c r="C13920" i="2"/>
  <c r="C13921" i="2"/>
  <c r="C13922" i="2"/>
  <c r="C13923" i="2"/>
  <c r="C13924" i="2"/>
  <c r="C13925" i="2"/>
  <c r="C13926" i="2"/>
  <c r="C13927" i="2"/>
  <c r="C13928" i="2"/>
  <c r="C13929" i="2"/>
  <c r="C13930" i="2"/>
  <c r="C13931" i="2"/>
  <c r="C13932" i="2"/>
  <c r="C13933" i="2"/>
  <c r="C13934" i="2"/>
  <c r="C13935" i="2"/>
  <c r="C13936" i="2"/>
  <c r="C13937" i="2"/>
  <c r="C13938" i="2"/>
  <c r="C13939" i="2"/>
  <c r="C13940" i="2"/>
  <c r="C13941" i="2"/>
  <c r="C13942" i="2"/>
  <c r="C13943" i="2"/>
  <c r="C13944" i="2"/>
  <c r="C13945" i="2"/>
  <c r="C13946" i="2"/>
  <c r="C13947" i="2"/>
  <c r="C13948" i="2"/>
  <c r="C13949" i="2"/>
  <c r="C13950" i="2"/>
  <c r="C13951" i="2"/>
  <c r="C13952" i="2"/>
  <c r="C13953" i="2"/>
  <c r="C13954" i="2"/>
  <c r="C13955" i="2"/>
  <c r="C13956" i="2"/>
  <c r="C13957" i="2"/>
  <c r="C13958" i="2"/>
  <c r="C13959" i="2"/>
  <c r="C13960" i="2"/>
  <c r="C13961" i="2"/>
  <c r="C13962" i="2"/>
  <c r="C13963" i="2"/>
  <c r="C13964" i="2"/>
  <c r="C13965" i="2"/>
  <c r="C13966" i="2"/>
  <c r="C13967" i="2"/>
  <c r="C13968" i="2"/>
  <c r="C13969" i="2"/>
  <c r="C13970" i="2"/>
  <c r="C13971" i="2"/>
  <c r="C13972" i="2"/>
  <c r="C13973" i="2"/>
  <c r="C13974" i="2"/>
  <c r="C13975" i="2"/>
  <c r="C13976" i="2"/>
  <c r="C13977" i="2"/>
  <c r="C13978" i="2"/>
  <c r="C13979" i="2"/>
  <c r="C13980" i="2"/>
  <c r="C13981" i="2"/>
  <c r="C13982" i="2"/>
  <c r="C13983" i="2"/>
  <c r="C13984" i="2"/>
  <c r="C13985" i="2"/>
  <c r="C13986" i="2"/>
  <c r="C13987" i="2"/>
  <c r="C13988" i="2"/>
  <c r="C13989" i="2"/>
  <c r="C13990" i="2"/>
  <c r="C13991" i="2"/>
  <c r="C13992" i="2"/>
  <c r="C13993" i="2"/>
  <c r="C13994" i="2"/>
  <c r="C13995" i="2"/>
  <c r="C13996" i="2"/>
  <c r="C13997" i="2"/>
  <c r="C13998" i="2"/>
  <c r="C13999" i="2"/>
  <c r="C14000" i="2"/>
  <c r="C14001" i="2"/>
  <c r="C14002" i="2"/>
  <c r="C14003" i="2"/>
  <c r="C14004" i="2"/>
  <c r="C14005" i="2"/>
  <c r="C14006" i="2"/>
  <c r="C14007" i="2"/>
  <c r="C14008" i="2"/>
  <c r="C14009" i="2"/>
  <c r="C14010" i="2"/>
  <c r="C14011" i="2"/>
  <c r="C14012" i="2"/>
  <c r="C14013" i="2"/>
  <c r="C14014" i="2"/>
  <c r="C14015" i="2"/>
  <c r="C14016" i="2"/>
  <c r="C14017" i="2"/>
  <c r="C14018" i="2"/>
  <c r="C14019" i="2"/>
  <c r="C14020" i="2"/>
  <c r="C14021" i="2"/>
  <c r="C14022" i="2"/>
  <c r="C14023" i="2"/>
  <c r="C14024" i="2"/>
  <c r="C14025" i="2"/>
  <c r="C14026" i="2"/>
  <c r="C14027" i="2"/>
  <c r="C14028" i="2"/>
  <c r="C14029" i="2"/>
  <c r="C14030" i="2"/>
  <c r="C14031" i="2"/>
  <c r="C14032" i="2"/>
  <c r="C14033" i="2"/>
  <c r="C14034" i="2"/>
  <c r="C14035" i="2"/>
  <c r="C14036" i="2"/>
  <c r="C14037" i="2"/>
  <c r="C14038" i="2"/>
  <c r="C14039" i="2"/>
  <c r="C14040" i="2"/>
  <c r="C14041" i="2"/>
  <c r="C14042" i="2"/>
  <c r="C14043" i="2"/>
  <c r="C14044" i="2"/>
  <c r="C14045" i="2"/>
  <c r="C14046" i="2"/>
  <c r="C14047" i="2"/>
  <c r="C14048" i="2"/>
  <c r="C14049" i="2"/>
  <c r="C14050" i="2"/>
  <c r="C14051" i="2"/>
  <c r="C14052" i="2"/>
  <c r="C14053" i="2"/>
  <c r="C14054" i="2"/>
  <c r="C14055" i="2"/>
  <c r="C14056" i="2"/>
  <c r="C14057" i="2"/>
  <c r="C14058" i="2"/>
  <c r="C14059" i="2"/>
  <c r="C14060" i="2"/>
  <c r="C14061" i="2"/>
  <c r="C14062" i="2"/>
  <c r="C14063" i="2"/>
  <c r="C14064" i="2"/>
  <c r="C14065" i="2"/>
  <c r="C14066" i="2"/>
  <c r="C14067" i="2"/>
  <c r="C14068" i="2"/>
  <c r="C14069" i="2"/>
  <c r="C14070" i="2"/>
  <c r="C14071" i="2"/>
  <c r="C14072" i="2"/>
  <c r="C14073" i="2"/>
  <c r="C14074" i="2"/>
  <c r="C14075" i="2"/>
  <c r="C14076" i="2"/>
  <c r="C14077" i="2"/>
  <c r="C14078" i="2"/>
  <c r="C14079" i="2"/>
  <c r="C14080" i="2"/>
  <c r="C14081" i="2"/>
  <c r="C14082" i="2"/>
  <c r="C14083" i="2"/>
  <c r="C14084" i="2"/>
  <c r="C14085" i="2"/>
  <c r="C14086" i="2"/>
  <c r="C14087" i="2"/>
  <c r="C14088" i="2"/>
  <c r="C14089" i="2"/>
  <c r="C14090" i="2"/>
  <c r="C14091" i="2"/>
  <c r="C14092" i="2"/>
  <c r="C14093" i="2"/>
  <c r="C14094" i="2"/>
  <c r="C14095" i="2"/>
  <c r="C14096" i="2"/>
  <c r="C14097" i="2"/>
  <c r="C14098" i="2"/>
  <c r="C14099" i="2"/>
  <c r="C14100" i="2"/>
  <c r="C14101" i="2"/>
  <c r="C14102" i="2"/>
  <c r="C14103" i="2"/>
  <c r="C14104" i="2"/>
  <c r="C14105" i="2"/>
  <c r="C14106" i="2"/>
  <c r="C14107" i="2"/>
  <c r="C14108" i="2"/>
  <c r="C14109" i="2"/>
  <c r="C14110" i="2"/>
  <c r="C14111" i="2"/>
  <c r="C14112" i="2"/>
  <c r="C14113" i="2"/>
  <c r="C14114" i="2"/>
  <c r="C14115" i="2"/>
  <c r="C14116" i="2"/>
  <c r="C14117" i="2"/>
  <c r="C14118" i="2"/>
  <c r="C14119" i="2"/>
  <c r="C14120" i="2"/>
  <c r="C14121" i="2"/>
  <c r="C14122" i="2"/>
  <c r="C14123" i="2"/>
  <c r="C14124" i="2"/>
  <c r="C14125" i="2"/>
  <c r="C14126" i="2"/>
  <c r="C14127" i="2"/>
  <c r="C14128" i="2"/>
  <c r="C14129" i="2"/>
  <c r="C14130" i="2"/>
  <c r="C14131" i="2"/>
  <c r="C14132" i="2"/>
  <c r="C14133" i="2"/>
  <c r="C14134" i="2"/>
  <c r="C14135" i="2"/>
  <c r="C14136" i="2"/>
  <c r="C14137" i="2"/>
  <c r="C14138" i="2"/>
  <c r="C14139" i="2"/>
  <c r="C14140" i="2"/>
  <c r="C14141" i="2"/>
  <c r="C14142" i="2"/>
  <c r="C14143" i="2"/>
  <c r="C14144" i="2"/>
  <c r="C14145" i="2"/>
  <c r="C14146" i="2"/>
  <c r="C14147" i="2"/>
  <c r="C14148" i="2"/>
  <c r="C14149" i="2"/>
  <c r="C14150" i="2"/>
  <c r="C14151" i="2"/>
  <c r="C14152" i="2"/>
  <c r="C14153" i="2"/>
  <c r="C14154" i="2"/>
  <c r="C14155" i="2"/>
  <c r="C14156" i="2"/>
  <c r="C14157" i="2"/>
  <c r="C14158" i="2"/>
  <c r="C14159" i="2"/>
  <c r="C14160" i="2"/>
  <c r="C14161" i="2"/>
  <c r="C14162" i="2"/>
  <c r="C14163" i="2"/>
  <c r="C14164" i="2"/>
  <c r="C14165" i="2"/>
  <c r="C14166" i="2"/>
  <c r="C14167" i="2"/>
  <c r="C14168" i="2"/>
  <c r="C14169" i="2"/>
  <c r="C14170" i="2"/>
  <c r="C14171" i="2"/>
  <c r="C14172" i="2"/>
  <c r="C14173" i="2"/>
  <c r="C14174" i="2"/>
  <c r="C14175" i="2"/>
  <c r="C14176" i="2"/>
  <c r="C14177" i="2"/>
  <c r="C14178" i="2"/>
  <c r="C14179" i="2"/>
  <c r="C14180" i="2"/>
  <c r="C14181" i="2"/>
  <c r="C14182" i="2"/>
  <c r="C14183" i="2"/>
  <c r="C14184" i="2"/>
  <c r="C14185" i="2"/>
  <c r="C14186" i="2"/>
  <c r="C14187" i="2"/>
  <c r="C14188" i="2"/>
  <c r="C14189" i="2"/>
  <c r="C14190" i="2"/>
  <c r="C14191" i="2"/>
  <c r="C14192" i="2"/>
  <c r="C14193" i="2"/>
  <c r="C14194" i="2"/>
  <c r="C14195" i="2"/>
  <c r="C14196" i="2"/>
  <c r="C14197" i="2"/>
  <c r="C14198" i="2"/>
  <c r="C14199" i="2"/>
  <c r="C14200" i="2"/>
  <c r="C14201" i="2"/>
  <c r="C14202" i="2"/>
  <c r="C14203" i="2"/>
  <c r="C14204" i="2"/>
  <c r="C14205" i="2"/>
  <c r="C14206" i="2"/>
  <c r="C14207" i="2"/>
  <c r="C14208" i="2"/>
  <c r="C14209" i="2"/>
  <c r="C14210" i="2"/>
  <c r="C14211" i="2"/>
  <c r="C14212" i="2"/>
  <c r="C14213" i="2"/>
  <c r="C14214" i="2"/>
  <c r="C14215" i="2"/>
  <c r="C14216" i="2"/>
  <c r="C14217" i="2"/>
  <c r="C14218" i="2"/>
  <c r="C14219" i="2"/>
  <c r="C14220" i="2"/>
  <c r="C14221" i="2"/>
  <c r="C14222" i="2"/>
  <c r="C14223" i="2"/>
  <c r="C14224" i="2"/>
  <c r="C14225" i="2"/>
  <c r="C14226" i="2"/>
  <c r="C14227" i="2"/>
  <c r="C14228" i="2"/>
  <c r="C14229" i="2"/>
  <c r="C14230" i="2"/>
  <c r="C14231" i="2"/>
  <c r="C14232" i="2"/>
  <c r="C14233" i="2"/>
  <c r="C14234" i="2"/>
  <c r="C14235" i="2"/>
  <c r="C14236" i="2"/>
  <c r="C14237" i="2"/>
  <c r="C14238" i="2"/>
  <c r="C14239" i="2"/>
  <c r="C14240" i="2"/>
  <c r="C14241" i="2"/>
  <c r="C14242" i="2"/>
  <c r="C14243" i="2"/>
  <c r="C14244" i="2"/>
  <c r="C14245" i="2"/>
  <c r="C14246" i="2"/>
  <c r="C14247" i="2"/>
  <c r="C14248" i="2"/>
  <c r="C14249" i="2"/>
  <c r="C14250" i="2"/>
  <c r="C14251" i="2"/>
  <c r="C14252" i="2"/>
  <c r="C14253" i="2"/>
  <c r="C14254" i="2"/>
  <c r="C14255" i="2"/>
  <c r="C14256" i="2"/>
  <c r="C14257" i="2"/>
  <c r="C14258" i="2"/>
  <c r="C14259" i="2"/>
  <c r="C14260" i="2"/>
  <c r="C14261" i="2"/>
  <c r="C14262" i="2"/>
  <c r="C14263" i="2"/>
  <c r="C14264" i="2"/>
  <c r="C14265" i="2"/>
  <c r="C14266" i="2"/>
  <c r="C14267" i="2"/>
  <c r="C14268" i="2"/>
  <c r="C14269" i="2"/>
  <c r="C14270" i="2"/>
  <c r="C14271" i="2"/>
  <c r="C14272" i="2"/>
  <c r="C14273" i="2"/>
  <c r="C14274" i="2"/>
  <c r="C14275" i="2"/>
  <c r="C14276" i="2"/>
  <c r="C14277" i="2"/>
  <c r="C14278" i="2"/>
  <c r="C14279" i="2"/>
  <c r="C14280" i="2"/>
  <c r="C14281" i="2"/>
  <c r="C14282" i="2"/>
  <c r="C14283" i="2"/>
  <c r="C14284" i="2"/>
  <c r="C14285" i="2"/>
  <c r="C14286" i="2"/>
  <c r="C14287" i="2"/>
  <c r="C14288" i="2"/>
  <c r="C14289" i="2"/>
  <c r="C14290" i="2"/>
  <c r="C14291" i="2"/>
  <c r="C14292" i="2"/>
  <c r="C14293" i="2"/>
  <c r="C14294" i="2"/>
  <c r="C14295" i="2"/>
  <c r="C14296" i="2"/>
  <c r="C14297" i="2"/>
  <c r="C14298" i="2"/>
  <c r="C14299" i="2"/>
  <c r="C14300" i="2"/>
  <c r="C14301" i="2"/>
  <c r="C14302" i="2"/>
  <c r="C14303" i="2"/>
  <c r="C14304" i="2"/>
  <c r="C14305" i="2"/>
  <c r="C14306" i="2"/>
  <c r="C14307" i="2"/>
  <c r="C14308" i="2"/>
  <c r="C14309" i="2"/>
  <c r="C14310" i="2"/>
  <c r="C14311" i="2"/>
  <c r="C14312" i="2"/>
  <c r="C14313" i="2"/>
  <c r="C14314" i="2"/>
  <c r="C14315" i="2"/>
  <c r="C14316" i="2"/>
  <c r="C14317" i="2"/>
  <c r="C14318" i="2"/>
  <c r="C14319" i="2"/>
  <c r="C14320" i="2"/>
  <c r="C14321" i="2"/>
  <c r="C14322" i="2"/>
  <c r="C14323" i="2"/>
  <c r="C14324" i="2"/>
  <c r="C14325" i="2"/>
  <c r="C14326" i="2"/>
  <c r="C14327" i="2"/>
  <c r="C14328" i="2"/>
  <c r="C14329" i="2"/>
  <c r="C14330" i="2"/>
  <c r="C14331" i="2"/>
  <c r="C14332" i="2"/>
  <c r="C14333" i="2"/>
  <c r="C14334" i="2"/>
  <c r="C14335" i="2"/>
  <c r="C14336" i="2"/>
  <c r="C14337" i="2"/>
  <c r="C14338" i="2"/>
  <c r="C14339" i="2"/>
  <c r="C14340" i="2"/>
  <c r="C14341" i="2"/>
  <c r="C14342" i="2"/>
  <c r="C14343" i="2"/>
  <c r="C14344" i="2"/>
  <c r="C14345" i="2"/>
  <c r="C14346" i="2"/>
  <c r="C14347" i="2"/>
  <c r="C14348" i="2"/>
  <c r="C14349" i="2"/>
  <c r="C14350" i="2"/>
  <c r="C14351" i="2"/>
  <c r="C14352" i="2"/>
  <c r="C14353" i="2"/>
  <c r="C14354" i="2"/>
  <c r="C14355" i="2"/>
  <c r="C14356" i="2"/>
  <c r="C14357" i="2"/>
  <c r="C14358" i="2"/>
  <c r="C14359" i="2"/>
  <c r="C14360" i="2"/>
  <c r="C14361" i="2"/>
  <c r="C14362" i="2"/>
  <c r="C14363" i="2"/>
  <c r="C14364" i="2"/>
  <c r="C14365" i="2"/>
  <c r="C14366" i="2"/>
  <c r="C14367" i="2"/>
  <c r="C14368" i="2"/>
  <c r="C14369" i="2"/>
  <c r="C14370" i="2"/>
  <c r="C14371" i="2"/>
  <c r="C14372" i="2"/>
  <c r="C14373" i="2"/>
  <c r="C14374" i="2"/>
  <c r="C14375" i="2"/>
  <c r="C14376" i="2"/>
  <c r="C14377" i="2"/>
  <c r="C14378" i="2"/>
  <c r="C14379" i="2"/>
  <c r="C14380" i="2"/>
  <c r="C14381" i="2"/>
  <c r="C14382" i="2"/>
  <c r="C14383" i="2"/>
  <c r="C14384" i="2"/>
  <c r="C14385" i="2"/>
  <c r="C14386" i="2"/>
  <c r="C14387" i="2"/>
  <c r="C14388" i="2"/>
  <c r="C14389" i="2"/>
  <c r="C14390" i="2"/>
  <c r="C14391" i="2"/>
  <c r="C14392" i="2"/>
  <c r="C14393" i="2"/>
  <c r="C14394" i="2"/>
  <c r="C14395" i="2"/>
  <c r="C14396" i="2"/>
  <c r="C14397" i="2"/>
  <c r="C14398" i="2"/>
  <c r="C14399" i="2"/>
  <c r="C14400" i="2"/>
  <c r="C14401" i="2"/>
  <c r="C14402" i="2"/>
  <c r="C14403" i="2"/>
  <c r="C14404" i="2"/>
  <c r="C14405" i="2"/>
  <c r="C14406" i="2"/>
  <c r="C14407" i="2"/>
  <c r="C14408" i="2"/>
  <c r="C14409" i="2"/>
  <c r="C14410" i="2"/>
  <c r="C14411" i="2"/>
  <c r="C14412" i="2"/>
  <c r="C14413" i="2"/>
  <c r="C14414" i="2"/>
  <c r="C14415" i="2"/>
  <c r="C14416" i="2"/>
  <c r="C14417" i="2"/>
  <c r="C14418" i="2"/>
  <c r="C14419" i="2"/>
  <c r="C14420" i="2"/>
  <c r="C14421" i="2"/>
  <c r="C14422" i="2"/>
  <c r="C14423" i="2"/>
  <c r="C14424" i="2"/>
  <c r="C14425" i="2"/>
  <c r="C14426" i="2"/>
  <c r="C14427" i="2"/>
  <c r="C14428" i="2"/>
  <c r="C14429" i="2"/>
  <c r="C14430" i="2"/>
  <c r="C14431" i="2"/>
  <c r="C14432" i="2"/>
  <c r="C14433" i="2"/>
  <c r="C14434" i="2"/>
  <c r="C14435" i="2"/>
  <c r="C14436" i="2"/>
  <c r="C14437" i="2"/>
  <c r="C14438" i="2"/>
  <c r="C14439" i="2"/>
  <c r="C14440" i="2"/>
  <c r="C14441" i="2"/>
  <c r="C14442" i="2"/>
  <c r="C14443" i="2"/>
  <c r="C14444" i="2"/>
  <c r="C14445" i="2"/>
  <c r="C14446" i="2"/>
  <c r="C14447" i="2"/>
  <c r="C14448" i="2"/>
  <c r="C14449" i="2"/>
  <c r="C14450" i="2"/>
  <c r="C14451" i="2"/>
  <c r="C14452" i="2"/>
  <c r="C14453" i="2"/>
  <c r="C14454" i="2"/>
  <c r="C14455" i="2"/>
  <c r="C14456" i="2"/>
  <c r="C14457" i="2"/>
  <c r="C14458" i="2"/>
  <c r="C14459" i="2"/>
  <c r="C14460" i="2"/>
  <c r="C14461" i="2"/>
  <c r="C14462" i="2"/>
  <c r="C14463" i="2"/>
  <c r="C14464" i="2"/>
  <c r="C14465" i="2"/>
  <c r="C14466" i="2"/>
  <c r="C14467" i="2"/>
  <c r="C14468" i="2"/>
  <c r="C14469" i="2"/>
  <c r="C14470" i="2"/>
  <c r="C14471" i="2"/>
  <c r="C14472" i="2"/>
  <c r="C14473" i="2"/>
  <c r="C14474" i="2"/>
  <c r="C14475" i="2"/>
  <c r="C14476" i="2"/>
  <c r="C14477" i="2"/>
  <c r="C14478" i="2"/>
  <c r="C14479" i="2"/>
  <c r="C14480" i="2"/>
  <c r="C14481" i="2"/>
  <c r="C14482" i="2"/>
  <c r="C14483" i="2"/>
  <c r="C14484" i="2"/>
  <c r="C14485" i="2"/>
  <c r="C14486" i="2"/>
  <c r="C14487" i="2"/>
  <c r="C14488" i="2"/>
  <c r="C14489" i="2"/>
  <c r="C14490" i="2"/>
  <c r="C14491" i="2"/>
  <c r="C14492" i="2"/>
  <c r="C14493" i="2"/>
  <c r="C14494" i="2"/>
  <c r="C14495" i="2"/>
  <c r="C14496" i="2"/>
  <c r="C14497" i="2"/>
  <c r="C14498" i="2"/>
  <c r="C14499" i="2"/>
  <c r="C14500" i="2"/>
  <c r="C14501" i="2"/>
  <c r="C14502" i="2"/>
  <c r="C14503" i="2"/>
  <c r="C14504" i="2"/>
  <c r="C14505" i="2"/>
  <c r="C14506" i="2"/>
  <c r="C14507" i="2"/>
  <c r="C14508" i="2"/>
  <c r="C14509" i="2"/>
  <c r="C14510" i="2"/>
  <c r="C14511" i="2"/>
  <c r="C14512" i="2"/>
  <c r="C14513" i="2"/>
  <c r="C14514" i="2"/>
  <c r="C14515" i="2"/>
  <c r="C14516" i="2"/>
  <c r="C14517" i="2"/>
  <c r="C14518" i="2"/>
  <c r="C14519" i="2"/>
  <c r="C14520" i="2"/>
  <c r="C14521" i="2"/>
  <c r="C14522" i="2"/>
  <c r="C14523" i="2"/>
  <c r="C14524" i="2"/>
  <c r="C14525" i="2"/>
  <c r="C14526" i="2"/>
  <c r="C14527" i="2"/>
  <c r="C14528" i="2"/>
  <c r="C14529" i="2"/>
  <c r="C14530" i="2"/>
  <c r="C14531" i="2"/>
  <c r="C14532" i="2"/>
  <c r="C14533" i="2"/>
  <c r="C14534" i="2"/>
  <c r="C14535" i="2"/>
  <c r="C14536" i="2"/>
  <c r="C14537" i="2"/>
  <c r="C14538" i="2"/>
  <c r="C14539" i="2"/>
  <c r="C14540" i="2"/>
  <c r="C14541" i="2"/>
  <c r="C14542" i="2"/>
  <c r="C14543" i="2"/>
  <c r="C14544" i="2"/>
  <c r="C14545" i="2"/>
  <c r="C14546" i="2"/>
  <c r="C14547" i="2"/>
  <c r="C14548" i="2"/>
  <c r="C14549" i="2"/>
  <c r="C14550" i="2"/>
  <c r="C14551" i="2"/>
  <c r="C14552" i="2"/>
  <c r="C14553" i="2"/>
  <c r="C14554" i="2"/>
  <c r="C14555" i="2"/>
  <c r="C14556" i="2"/>
  <c r="C14557" i="2"/>
  <c r="C14558" i="2"/>
  <c r="C14559" i="2"/>
  <c r="C14560" i="2"/>
  <c r="C14561" i="2"/>
  <c r="C14562" i="2"/>
  <c r="C14563" i="2"/>
  <c r="C14564" i="2"/>
  <c r="C14565" i="2"/>
  <c r="C14566" i="2"/>
  <c r="C14567" i="2"/>
  <c r="C14568" i="2"/>
  <c r="C14569" i="2"/>
  <c r="C14570" i="2"/>
  <c r="C14571" i="2"/>
  <c r="C14572" i="2"/>
  <c r="C14573" i="2"/>
  <c r="C14574" i="2"/>
  <c r="C14575" i="2"/>
  <c r="C14576" i="2"/>
  <c r="C14577" i="2"/>
  <c r="C14578" i="2"/>
  <c r="C14579" i="2"/>
  <c r="C14580" i="2"/>
  <c r="C14581" i="2"/>
  <c r="C14582" i="2"/>
  <c r="C14583" i="2"/>
  <c r="C14584" i="2"/>
  <c r="C14585" i="2"/>
  <c r="C14586" i="2"/>
  <c r="C14587" i="2"/>
  <c r="C14588" i="2"/>
  <c r="C14589" i="2"/>
  <c r="C14590" i="2"/>
  <c r="C14591" i="2"/>
  <c r="C14592" i="2"/>
  <c r="C14593" i="2"/>
  <c r="C14594" i="2"/>
  <c r="C14595" i="2"/>
  <c r="C14596" i="2"/>
  <c r="C14597" i="2"/>
  <c r="C14598" i="2"/>
  <c r="C14599" i="2"/>
  <c r="C14600" i="2"/>
  <c r="C14601" i="2"/>
  <c r="C14602" i="2"/>
  <c r="C14603" i="2"/>
  <c r="C14604" i="2"/>
  <c r="C14605" i="2"/>
  <c r="C14606" i="2"/>
  <c r="C14607" i="2"/>
  <c r="C14608" i="2"/>
  <c r="C14609" i="2"/>
  <c r="C14610" i="2"/>
  <c r="C14611" i="2"/>
  <c r="C14612" i="2"/>
  <c r="C14613" i="2"/>
  <c r="C14614" i="2"/>
  <c r="C14615" i="2"/>
  <c r="C14616" i="2"/>
  <c r="C14617" i="2"/>
  <c r="C14618" i="2"/>
  <c r="C14619" i="2"/>
  <c r="C14620" i="2"/>
  <c r="C14621" i="2"/>
  <c r="C14622" i="2"/>
  <c r="C14623" i="2"/>
  <c r="C14624" i="2"/>
  <c r="C14625" i="2"/>
  <c r="C14626" i="2"/>
  <c r="C14627" i="2"/>
  <c r="C14628" i="2"/>
  <c r="C14629" i="2"/>
  <c r="C14630" i="2"/>
  <c r="C14631" i="2"/>
  <c r="C14632" i="2"/>
  <c r="C14633" i="2"/>
  <c r="C14634" i="2"/>
  <c r="C14635" i="2"/>
  <c r="C14636" i="2"/>
  <c r="C14637" i="2"/>
  <c r="C14638" i="2"/>
  <c r="C14639" i="2"/>
  <c r="C14640" i="2"/>
  <c r="C14641" i="2"/>
  <c r="C14642" i="2"/>
  <c r="C14643" i="2"/>
  <c r="C14644" i="2"/>
  <c r="C14645" i="2"/>
  <c r="C14646" i="2"/>
  <c r="C14647" i="2"/>
  <c r="C14648" i="2"/>
  <c r="C14649" i="2"/>
  <c r="C14650" i="2"/>
  <c r="C14651" i="2"/>
  <c r="C14652" i="2"/>
  <c r="C14653" i="2"/>
  <c r="C14654" i="2"/>
  <c r="C14655" i="2"/>
  <c r="C14656" i="2"/>
  <c r="C14657" i="2"/>
  <c r="C14658" i="2"/>
  <c r="C14659" i="2"/>
  <c r="C14660" i="2"/>
  <c r="C14661" i="2"/>
  <c r="C14662" i="2"/>
  <c r="C14663" i="2"/>
  <c r="C14664" i="2"/>
  <c r="C14665" i="2"/>
  <c r="C14666" i="2"/>
  <c r="C14667" i="2"/>
  <c r="C14668" i="2"/>
  <c r="C14669" i="2"/>
  <c r="C14670" i="2"/>
  <c r="C14671" i="2"/>
  <c r="C14672" i="2"/>
  <c r="C14673" i="2"/>
  <c r="C14674" i="2"/>
  <c r="C14675" i="2"/>
  <c r="C14676" i="2"/>
  <c r="C14677" i="2"/>
  <c r="C14678" i="2"/>
  <c r="C14679" i="2"/>
  <c r="C14680" i="2"/>
  <c r="C14681" i="2"/>
  <c r="C14682" i="2"/>
  <c r="C14683" i="2"/>
  <c r="C14684" i="2"/>
  <c r="C14685" i="2"/>
  <c r="C14686" i="2"/>
  <c r="C14687" i="2"/>
  <c r="C14688" i="2"/>
  <c r="C14689" i="2"/>
  <c r="C14690" i="2"/>
  <c r="C14691" i="2"/>
  <c r="C14692" i="2"/>
  <c r="C14693" i="2"/>
  <c r="C14694" i="2"/>
  <c r="C14695" i="2"/>
  <c r="C14696" i="2"/>
  <c r="C14697" i="2"/>
  <c r="C14698" i="2"/>
  <c r="C14699" i="2"/>
  <c r="C14700" i="2"/>
  <c r="C14701" i="2"/>
  <c r="C14702" i="2"/>
  <c r="C14703" i="2"/>
  <c r="C14704" i="2"/>
  <c r="C14705" i="2"/>
  <c r="C14706" i="2"/>
  <c r="C14707" i="2"/>
  <c r="C14708" i="2"/>
  <c r="C14709" i="2"/>
  <c r="C14710" i="2"/>
  <c r="C14711" i="2"/>
  <c r="C14712" i="2"/>
  <c r="C14713" i="2"/>
  <c r="C14714" i="2"/>
  <c r="C14715" i="2"/>
  <c r="C14716" i="2"/>
  <c r="C14717" i="2"/>
  <c r="C14718" i="2"/>
  <c r="C14719" i="2"/>
  <c r="C14720" i="2"/>
  <c r="C14721" i="2"/>
  <c r="C14722" i="2"/>
  <c r="C14723" i="2"/>
  <c r="C14724" i="2"/>
  <c r="C14725" i="2"/>
  <c r="C14726" i="2"/>
  <c r="C14727" i="2"/>
  <c r="C14728" i="2"/>
  <c r="C14729" i="2"/>
  <c r="C14730" i="2"/>
  <c r="C14731" i="2"/>
  <c r="C14732" i="2"/>
  <c r="C14733" i="2"/>
  <c r="C14734" i="2"/>
  <c r="C14735" i="2"/>
  <c r="C14736" i="2"/>
  <c r="C14737" i="2"/>
  <c r="C14738" i="2"/>
  <c r="C14739" i="2"/>
  <c r="C14740" i="2"/>
  <c r="C14741" i="2"/>
  <c r="C14742" i="2"/>
  <c r="C14743" i="2"/>
  <c r="C14744" i="2"/>
  <c r="C14745" i="2"/>
  <c r="C14746" i="2"/>
  <c r="C14747" i="2"/>
  <c r="C14748" i="2"/>
  <c r="C14749" i="2"/>
  <c r="C14750" i="2"/>
  <c r="C14751" i="2"/>
  <c r="C14752" i="2"/>
  <c r="C14753" i="2"/>
  <c r="C14754" i="2"/>
  <c r="C14755" i="2"/>
  <c r="C14756" i="2"/>
  <c r="C14757" i="2"/>
  <c r="C14758" i="2"/>
  <c r="C14759" i="2"/>
  <c r="C14760" i="2"/>
  <c r="C14761" i="2"/>
  <c r="C14762" i="2"/>
  <c r="C14763" i="2"/>
  <c r="C14764" i="2"/>
  <c r="C14765" i="2"/>
  <c r="C14766" i="2"/>
  <c r="C14767" i="2"/>
  <c r="C14768" i="2"/>
  <c r="C14769" i="2"/>
  <c r="C14770" i="2"/>
  <c r="C14771" i="2"/>
  <c r="C14772" i="2"/>
  <c r="C14773" i="2"/>
  <c r="C14774" i="2"/>
  <c r="C14775" i="2"/>
  <c r="C14776" i="2"/>
  <c r="C14777" i="2"/>
  <c r="C14778" i="2"/>
  <c r="C14779" i="2"/>
  <c r="C14780" i="2"/>
  <c r="C14781" i="2"/>
  <c r="C14782" i="2"/>
  <c r="C14783" i="2"/>
  <c r="C14784" i="2"/>
  <c r="C14785" i="2"/>
  <c r="C14786" i="2"/>
  <c r="C14787" i="2"/>
  <c r="C14788" i="2"/>
  <c r="C14789" i="2"/>
  <c r="C14790" i="2"/>
  <c r="C14791" i="2"/>
  <c r="C14792" i="2"/>
  <c r="C14793" i="2"/>
  <c r="C14794" i="2"/>
  <c r="C14795" i="2"/>
  <c r="C14796" i="2"/>
  <c r="C14797" i="2"/>
  <c r="C14798" i="2"/>
  <c r="C14799" i="2"/>
  <c r="C14800" i="2"/>
  <c r="C14801" i="2"/>
  <c r="C14802" i="2"/>
  <c r="C14803" i="2"/>
  <c r="C14804" i="2"/>
  <c r="C14805" i="2"/>
  <c r="C14806" i="2"/>
  <c r="C14807" i="2"/>
  <c r="C14808" i="2"/>
  <c r="C14809" i="2"/>
  <c r="C14810" i="2"/>
  <c r="C14811" i="2"/>
  <c r="C14812" i="2"/>
  <c r="C14813" i="2"/>
  <c r="C14814" i="2"/>
  <c r="C14815" i="2"/>
  <c r="C14816" i="2"/>
  <c r="C14817" i="2"/>
  <c r="C14818" i="2"/>
  <c r="C14819" i="2"/>
  <c r="C14820" i="2"/>
  <c r="C14821" i="2"/>
  <c r="C14822" i="2"/>
  <c r="C14823" i="2"/>
  <c r="C14824" i="2"/>
  <c r="C14825" i="2"/>
  <c r="C14826" i="2"/>
  <c r="C14827" i="2"/>
  <c r="C14828" i="2"/>
  <c r="C14829" i="2"/>
  <c r="C14830" i="2"/>
  <c r="C14831" i="2"/>
  <c r="C14832" i="2"/>
  <c r="C14833" i="2"/>
  <c r="C14834" i="2"/>
  <c r="C14835" i="2"/>
  <c r="C14836" i="2"/>
  <c r="C14837" i="2"/>
  <c r="C14838" i="2"/>
  <c r="C14839" i="2"/>
  <c r="C14840" i="2"/>
  <c r="C14841" i="2"/>
  <c r="C14842" i="2"/>
  <c r="C14843" i="2"/>
  <c r="C14844" i="2"/>
  <c r="C14845" i="2"/>
  <c r="C14846" i="2"/>
  <c r="C14847" i="2"/>
  <c r="C14848" i="2"/>
  <c r="C14849" i="2"/>
  <c r="C14850" i="2"/>
  <c r="C14851" i="2"/>
  <c r="C14852" i="2"/>
  <c r="C14853" i="2"/>
  <c r="C14854" i="2"/>
  <c r="C14855" i="2"/>
  <c r="C14856" i="2"/>
  <c r="C14857" i="2"/>
  <c r="C14858" i="2"/>
  <c r="C14859" i="2"/>
  <c r="C14860" i="2"/>
  <c r="C14861" i="2"/>
  <c r="C14862" i="2"/>
  <c r="C14863" i="2"/>
  <c r="C14864" i="2"/>
  <c r="C14865" i="2"/>
  <c r="C14866" i="2"/>
  <c r="C14867" i="2"/>
  <c r="C14868" i="2"/>
  <c r="C14869" i="2"/>
  <c r="C14870" i="2"/>
  <c r="C14871" i="2"/>
  <c r="C14872" i="2"/>
  <c r="C14873" i="2"/>
  <c r="C14874" i="2"/>
  <c r="C14875" i="2"/>
  <c r="C14876" i="2"/>
  <c r="C14877" i="2"/>
  <c r="C14878" i="2"/>
  <c r="C14879" i="2"/>
  <c r="C14880" i="2"/>
  <c r="C14881" i="2"/>
  <c r="C14882" i="2"/>
  <c r="C14883" i="2"/>
  <c r="C14884" i="2"/>
  <c r="C14885" i="2"/>
  <c r="C14886" i="2"/>
  <c r="C14887" i="2"/>
  <c r="C14888" i="2"/>
  <c r="C14889" i="2"/>
  <c r="C14890" i="2"/>
  <c r="C14891" i="2"/>
  <c r="C14892" i="2"/>
  <c r="C14893" i="2"/>
  <c r="C14894" i="2"/>
  <c r="C14895" i="2"/>
  <c r="C14896" i="2"/>
  <c r="C14897" i="2"/>
  <c r="C14898" i="2"/>
  <c r="C14899" i="2"/>
  <c r="C14900" i="2"/>
  <c r="C14901" i="2"/>
  <c r="C14902" i="2"/>
  <c r="C14903" i="2"/>
  <c r="C14904" i="2"/>
  <c r="C14905" i="2"/>
  <c r="C14906" i="2"/>
  <c r="C14907" i="2"/>
  <c r="C14908" i="2"/>
  <c r="C14909" i="2"/>
  <c r="C14910" i="2"/>
  <c r="C14911" i="2"/>
  <c r="C14912" i="2"/>
  <c r="C14913" i="2"/>
  <c r="C14914" i="2"/>
  <c r="C14915" i="2"/>
  <c r="C14916" i="2"/>
  <c r="C14917" i="2"/>
  <c r="C14918" i="2"/>
  <c r="C14919" i="2"/>
  <c r="C14920" i="2"/>
  <c r="C14921" i="2"/>
  <c r="C14922" i="2"/>
  <c r="C14923" i="2"/>
  <c r="C14924" i="2"/>
  <c r="C14925" i="2"/>
  <c r="C14926" i="2"/>
  <c r="C14927" i="2"/>
  <c r="C14928" i="2"/>
  <c r="C14929" i="2"/>
  <c r="C14930" i="2"/>
  <c r="C14931" i="2"/>
  <c r="C14932" i="2"/>
  <c r="C14933" i="2"/>
  <c r="C14934" i="2"/>
  <c r="C14935" i="2"/>
  <c r="C14936" i="2"/>
  <c r="C14937" i="2"/>
  <c r="C14938" i="2"/>
  <c r="C14939" i="2"/>
  <c r="C14940" i="2"/>
  <c r="C14941" i="2"/>
  <c r="C14942" i="2"/>
  <c r="C14943" i="2"/>
  <c r="C14944" i="2"/>
  <c r="C14945" i="2"/>
  <c r="C14946" i="2"/>
  <c r="C14947" i="2"/>
  <c r="C14948" i="2"/>
  <c r="C14949" i="2"/>
  <c r="C14950" i="2"/>
  <c r="C14951" i="2"/>
  <c r="C14952" i="2"/>
  <c r="C14953" i="2"/>
  <c r="C14954" i="2"/>
  <c r="C14955" i="2"/>
  <c r="C14956" i="2"/>
  <c r="C14957" i="2"/>
  <c r="C14958" i="2"/>
  <c r="C14959" i="2"/>
  <c r="C14960" i="2"/>
  <c r="C14961" i="2"/>
  <c r="C14962" i="2"/>
  <c r="C14963" i="2"/>
  <c r="C14964" i="2"/>
  <c r="C14965" i="2"/>
  <c r="C14966" i="2"/>
  <c r="C14967" i="2"/>
  <c r="C14968" i="2"/>
  <c r="C14969" i="2"/>
  <c r="C14970" i="2"/>
  <c r="C14971" i="2"/>
  <c r="C14972" i="2"/>
  <c r="C14973" i="2"/>
  <c r="C14974" i="2"/>
  <c r="C14975" i="2"/>
  <c r="C14976" i="2"/>
  <c r="C14977" i="2"/>
  <c r="C14978" i="2"/>
  <c r="C14979" i="2"/>
  <c r="C14980" i="2"/>
  <c r="C14981" i="2"/>
  <c r="C14982" i="2"/>
  <c r="C14983" i="2"/>
  <c r="C14984" i="2"/>
  <c r="C14985" i="2"/>
  <c r="C14986" i="2"/>
  <c r="C14987" i="2"/>
  <c r="C14988" i="2"/>
  <c r="C14989" i="2"/>
  <c r="C14990" i="2"/>
  <c r="C14991" i="2"/>
  <c r="C14992" i="2"/>
  <c r="C14993" i="2"/>
  <c r="C14994" i="2"/>
  <c r="C14995" i="2"/>
  <c r="C14996" i="2"/>
  <c r="C14997" i="2"/>
  <c r="C14998" i="2"/>
  <c r="C14999" i="2"/>
  <c r="C15000" i="2"/>
  <c r="C15001" i="2"/>
  <c r="C15002" i="2"/>
  <c r="C15003" i="2"/>
  <c r="C15004" i="2"/>
  <c r="C15005" i="2"/>
  <c r="C15006" i="2"/>
  <c r="C15007" i="2"/>
  <c r="C15008" i="2"/>
  <c r="C15009" i="2"/>
  <c r="C15010" i="2"/>
  <c r="C15011" i="2"/>
  <c r="C15012" i="2"/>
  <c r="C15013" i="2"/>
  <c r="C15014" i="2"/>
  <c r="C15015" i="2"/>
  <c r="C15016" i="2"/>
  <c r="C15017" i="2"/>
  <c r="C15018" i="2"/>
  <c r="C15019" i="2"/>
  <c r="C15020" i="2"/>
  <c r="C15021" i="2"/>
  <c r="C15022" i="2"/>
  <c r="C15023" i="2"/>
  <c r="C15024" i="2"/>
  <c r="C15025" i="2"/>
  <c r="C15026" i="2"/>
  <c r="C15027" i="2"/>
  <c r="C15028" i="2"/>
  <c r="C15029" i="2"/>
  <c r="C15030" i="2"/>
  <c r="C15031" i="2"/>
  <c r="C15032" i="2"/>
  <c r="C15033" i="2"/>
  <c r="C15034" i="2"/>
  <c r="C15035" i="2"/>
  <c r="C15036" i="2"/>
  <c r="C15037" i="2"/>
  <c r="C15038" i="2"/>
  <c r="C15039" i="2"/>
  <c r="C15040" i="2"/>
  <c r="C15041" i="2"/>
  <c r="C15042" i="2"/>
  <c r="C15043" i="2"/>
  <c r="C15044" i="2"/>
  <c r="C15045" i="2"/>
  <c r="C15046" i="2"/>
  <c r="C15047" i="2"/>
  <c r="C15048" i="2"/>
  <c r="C15049" i="2"/>
  <c r="C15050" i="2"/>
  <c r="C15051" i="2"/>
  <c r="C15052" i="2"/>
  <c r="C15053" i="2"/>
  <c r="C15054" i="2"/>
  <c r="C15055" i="2"/>
  <c r="C15056" i="2"/>
  <c r="C15057" i="2"/>
  <c r="C15058" i="2"/>
  <c r="C15059" i="2"/>
  <c r="C15060" i="2"/>
  <c r="C15061" i="2"/>
  <c r="C15062" i="2"/>
  <c r="C15063" i="2"/>
  <c r="C15064" i="2"/>
  <c r="C15065" i="2"/>
  <c r="C15066" i="2"/>
  <c r="C15067" i="2"/>
  <c r="C15068" i="2"/>
  <c r="C15069" i="2"/>
  <c r="C15070" i="2"/>
  <c r="C15071" i="2"/>
  <c r="C15072" i="2"/>
  <c r="C15073" i="2"/>
  <c r="C15074" i="2"/>
  <c r="C15075" i="2"/>
  <c r="C15076" i="2"/>
  <c r="C15077" i="2"/>
  <c r="C15078" i="2"/>
  <c r="C15079" i="2"/>
  <c r="C15080" i="2"/>
  <c r="C15081" i="2"/>
  <c r="C15082" i="2"/>
  <c r="C15083" i="2"/>
  <c r="C15084" i="2"/>
  <c r="C15085" i="2"/>
  <c r="C15086" i="2"/>
  <c r="C15087" i="2"/>
  <c r="C15088" i="2"/>
  <c r="C15089" i="2"/>
  <c r="C15090" i="2"/>
  <c r="C15091" i="2"/>
  <c r="C15092" i="2"/>
  <c r="C15093" i="2"/>
  <c r="C15094" i="2"/>
  <c r="C15095" i="2"/>
  <c r="C15096" i="2"/>
  <c r="C15097" i="2"/>
  <c r="C15098" i="2"/>
  <c r="C15099" i="2"/>
  <c r="C15100" i="2"/>
  <c r="C15101" i="2"/>
  <c r="C15102" i="2"/>
  <c r="C15103" i="2"/>
  <c r="C15104" i="2"/>
  <c r="C15105" i="2"/>
  <c r="C15106" i="2"/>
  <c r="C15107" i="2"/>
  <c r="C15108" i="2"/>
  <c r="C15109" i="2"/>
  <c r="C15110" i="2"/>
  <c r="C15111" i="2"/>
  <c r="C15112" i="2"/>
  <c r="C15113" i="2"/>
  <c r="C15114" i="2"/>
  <c r="C15115" i="2"/>
  <c r="C15116" i="2"/>
  <c r="C15117" i="2"/>
  <c r="C15118" i="2"/>
  <c r="C15119" i="2"/>
  <c r="C15120" i="2"/>
  <c r="C15121" i="2"/>
  <c r="C15122" i="2"/>
  <c r="C15123" i="2"/>
  <c r="C15124" i="2"/>
  <c r="C15125" i="2"/>
  <c r="C15126" i="2"/>
  <c r="C15127" i="2"/>
  <c r="C15128" i="2"/>
  <c r="C15129" i="2"/>
  <c r="C15130" i="2"/>
  <c r="C15131" i="2"/>
  <c r="C15132" i="2"/>
  <c r="C15133" i="2"/>
  <c r="C15134" i="2"/>
  <c r="C15135" i="2"/>
  <c r="C15136" i="2"/>
  <c r="C15137" i="2"/>
  <c r="C15138" i="2"/>
  <c r="C15139" i="2"/>
  <c r="C15140" i="2"/>
  <c r="C15141" i="2"/>
  <c r="C15142" i="2"/>
  <c r="C15143" i="2"/>
  <c r="C15144" i="2"/>
  <c r="C15145" i="2"/>
  <c r="C15146" i="2"/>
  <c r="C15147" i="2"/>
  <c r="C15148" i="2"/>
  <c r="C15149" i="2"/>
  <c r="C15150" i="2"/>
  <c r="C15151" i="2"/>
  <c r="C15152" i="2"/>
  <c r="C15153" i="2"/>
  <c r="C15154" i="2"/>
  <c r="C15155" i="2"/>
  <c r="C15156" i="2"/>
  <c r="C15157" i="2"/>
  <c r="C15158" i="2"/>
  <c r="C15159" i="2"/>
  <c r="C15160" i="2"/>
  <c r="C15161" i="2"/>
  <c r="C15162" i="2"/>
  <c r="C15163" i="2"/>
  <c r="C15164" i="2"/>
  <c r="C15165" i="2"/>
  <c r="C15166" i="2"/>
  <c r="C15167" i="2"/>
  <c r="C15168" i="2"/>
  <c r="C15169" i="2"/>
  <c r="C15170" i="2"/>
  <c r="C15171" i="2"/>
  <c r="C15172" i="2"/>
  <c r="C15173" i="2"/>
  <c r="C15174" i="2"/>
  <c r="C15175" i="2"/>
  <c r="C15176" i="2"/>
  <c r="C15177" i="2"/>
  <c r="C15178" i="2"/>
  <c r="C15179" i="2"/>
  <c r="C15180" i="2"/>
  <c r="C15181" i="2"/>
  <c r="C15182" i="2"/>
  <c r="C15183" i="2"/>
  <c r="C15184" i="2"/>
  <c r="C15185" i="2"/>
  <c r="C15186" i="2"/>
  <c r="C15187" i="2"/>
  <c r="C15188" i="2"/>
  <c r="C15189" i="2"/>
  <c r="C15190" i="2"/>
  <c r="C15191" i="2"/>
  <c r="C15192" i="2"/>
  <c r="C15193" i="2"/>
  <c r="C15194" i="2"/>
  <c r="C15195" i="2"/>
  <c r="C15196" i="2"/>
  <c r="C15197" i="2"/>
  <c r="C15198" i="2"/>
  <c r="C15199" i="2"/>
  <c r="C15200" i="2"/>
  <c r="C15201" i="2"/>
  <c r="C15202" i="2"/>
  <c r="C15203" i="2"/>
  <c r="C15204" i="2"/>
  <c r="C15205" i="2"/>
  <c r="C15206" i="2"/>
  <c r="C15207" i="2"/>
  <c r="C15208" i="2"/>
  <c r="C15209" i="2"/>
  <c r="C15210" i="2"/>
  <c r="C15211" i="2"/>
  <c r="C15212" i="2"/>
  <c r="C15213" i="2"/>
  <c r="C15214" i="2"/>
  <c r="C15215" i="2"/>
  <c r="C15216" i="2"/>
  <c r="C15217" i="2"/>
  <c r="C15218" i="2"/>
  <c r="C15219" i="2"/>
  <c r="C15220" i="2"/>
  <c r="C15221" i="2"/>
  <c r="C15222" i="2"/>
  <c r="C15223" i="2"/>
  <c r="C15224" i="2"/>
  <c r="C15225" i="2"/>
  <c r="C15226" i="2"/>
  <c r="C15227" i="2"/>
  <c r="C15228" i="2"/>
  <c r="C15229" i="2"/>
  <c r="C15230" i="2"/>
  <c r="C15231" i="2"/>
  <c r="C15232" i="2"/>
  <c r="C15233" i="2"/>
  <c r="C15234" i="2"/>
  <c r="C15235" i="2"/>
  <c r="C15236" i="2"/>
  <c r="C15237" i="2"/>
  <c r="C15238" i="2"/>
  <c r="C15239" i="2"/>
  <c r="C15240" i="2"/>
  <c r="C15241" i="2"/>
  <c r="C15242" i="2"/>
  <c r="C15243" i="2"/>
  <c r="C15244" i="2"/>
  <c r="C15245" i="2"/>
  <c r="C15246" i="2"/>
  <c r="C15247" i="2"/>
  <c r="C15248" i="2"/>
  <c r="C15249" i="2"/>
  <c r="C15250" i="2"/>
  <c r="C15251" i="2"/>
  <c r="C15252" i="2"/>
  <c r="C15253" i="2"/>
  <c r="C15254" i="2"/>
  <c r="C15255" i="2"/>
  <c r="C15256" i="2"/>
  <c r="C15257" i="2"/>
  <c r="C15258" i="2"/>
  <c r="C15259" i="2"/>
  <c r="C15260" i="2"/>
  <c r="C15261" i="2"/>
  <c r="C15262" i="2"/>
  <c r="C15263" i="2"/>
  <c r="C15264" i="2"/>
  <c r="C15265" i="2"/>
  <c r="C15266" i="2"/>
  <c r="C15267" i="2"/>
  <c r="C15268" i="2"/>
  <c r="C15269" i="2"/>
  <c r="C15270" i="2"/>
  <c r="C15271" i="2"/>
  <c r="C15272" i="2"/>
  <c r="C15273" i="2"/>
  <c r="C15274" i="2"/>
  <c r="C15275" i="2"/>
  <c r="C15276" i="2"/>
  <c r="C15277" i="2"/>
  <c r="C15278" i="2"/>
  <c r="C15279" i="2"/>
  <c r="C15280" i="2"/>
  <c r="C15281" i="2"/>
  <c r="C15282" i="2"/>
  <c r="C15283" i="2"/>
  <c r="C15284" i="2"/>
  <c r="C15285" i="2"/>
  <c r="C15286" i="2"/>
  <c r="C15287" i="2"/>
  <c r="C15288" i="2"/>
  <c r="C15289" i="2"/>
  <c r="C15290" i="2"/>
  <c r="C15291" i="2"/>
  <c r="C15292" i="2"/>
  <c r="C15293" i="2"/>
  <c r="C15294" i="2"/>
  <c r="C15295" i="2"/>
  <c r="C15296" i="2"/>
  <c r="C15297" i="2"/>
  <c r="C15298" i="2"/>
  <c r="C15299" i="2"/>
  <c r="C15300" i="2"/>
  <c r="C15301" i="2"/>
  <c r="C15302" i="2"/>
  <c r="C15303" i="2"/>
  <c r="C15304" i="2"/>
  <c r="C15305" i="2"/>
  <c r="C15306" i="2"/>
  <c r="C15307" i="2"/>
  <c r="C15308" i="2"/>
  <c r="C15309" i="2"/>
  <c r="C15310" i="2"/>
  <c r="C15311" i="2"/>
  <c r="C15312" i="2"/>
  <c r="C15313" i="2"/>
  <c r="C15314" i="2"/>
  <c r="C15315" i="2"/>
  <c r="C15316" i="2"/>
  <c r="C15317" i="2"/>
  <c r="C15318" i="2"/>
  <c r="C15319" i="2"/>
  <c r="C15320" i="2"/>
  <c r="C15321" i="2"/>
  <c r="C15322" i="2"/>
  <c r="C15323" i="2"/>
  <c r="C15324" i="2"/>
  <c r="C15325" i="2"/>
  <c r="C15326" i="2"/>
  <c r="C15327" i="2"/>
  <c r="C15328" i="2"/>
  <c r="C15329" i="2"/>
  <c r="C15330" i="2"/>
  <c r="C15331" i="2"/>
  <c r="C15332" i="2"/>
  <c r="C15333" i="2"/>
  <c r="C15334" i="2"/>
  <c r="C15335" i="2"/>
  <c r="C15336" i="2"/>
  <c r="C15337" i="2"/>
  <c r="C15338" i="2"/>
  <c r="C15339" i="2"/>
  <c r="C15340" i="2"/>
  <c r="C15341" i="2"/>
  <c r="C15342" i="2"/>
  <c r="C15343" i="2"/>
  <c r="C15344" i="2"/>
  <c r="C15345" i="2"/>
  <c r="C15346" i="2"/>
  <c r="C15347" i="2"/>
  <c r="C15348" i="2"/>
  <c r="C15349" i="2"/>
  <c r="C15350" i="2"/>
  <c r="C15351" i="2"/>
  <c r="C15352" i="2"/>
  <c r="C15353" i="2"/>
  <c r="C15354" i="2"/>
  <c r="C15355" i="2"/>
  <c r="C15356" i="2"/>
  <c r="C15357" i="2"/>
  <c r="C15358" i="2"/>
  <c r="C15359" i="2"/>
  <c r="C15360" i="2"/>
  <c r="C15361" i="2"/>
  <c r="C15362" i="2"/>
  <c r="C15363" i="2"/>
  <c r="C15364" i="2"/>
  <c r="C15365" i="2"/>
  <c r="C15366" i="2"/>
  <c r="C15367" i="2"/>
  <c r="C15368" i="2"/>
  <c r="C15369" i="2"/>
  <c r="C15370" i="2"/>
  <c r="C15371" i="2"/>
  <c r="C15372" i="2"/>
  <c r="C15373" i="2"/>
  <c r="C15374" i="2"/>
  <c r="C15375" i="2"/>
  <c r="C15376" i="2"/>
  <c r="C15377" i="2"/>
  <c r="C15378" i="2"/>
  <c r="C15379" i="2"/>
  <c r="C15380" i="2"/>
  <c r="C15381" i="2"/>
  <c r="C15382" i="2"/>
  <c r="C15383" i="2"/>
  <c r="C15384" i="2"/>
  <c r="C15385" i="2"/>
  <c r="C15386" i="2"/>
  <c r="C15387" i="2"/>
  <c r="C15388" i="2"/>
  <c r="C15389" i="2"/>
  <c r="C15390" i="2"/>
  <c r="C15391" i="2"/>
  <c r="C15392" i="2"/>
  <c r="C15393" i="2"/>
  <c r="C15394" i="2"/>
  <c r="C15395" i="2"/>
  <c r="C15396" i="2"/>
  <c r="C15397" i="2"/>
  <c r="C15398" i="2"/>
  <c r="C15399" i="2"/>
  <c r="C15400" i="2"/>
  <c r="C15401" i="2"/>
  <c r="C15402" i="2"/>
  <c r="C15403" i="2"/>
  <c r="C15404" i="2"/>
  <c r="C15405" i="2"/>
  <c r="C15406" i="2"/>
  <c r="C15407" i="2"/>
  <c r="C15408" i="2"/>
  <c r="C15409" i="2"/>
  <c r="C15410" i="2"/>
  <c r="C15411" i="2"/>
  <c r="C15412" i="2"/>
  <c r="C15413" i="2"/>
  <c r="C15414" i="2"/>
  <c r="C15415" i="2"/>
  <c r="C15416" i="2"/>
  <c r="C15417" i="2"/>
  <c r="C15418" i="2"/>
  <c r="C15419" i="2"/>
  <c r="C15420" i="2"/>
  <c r="C15421" i="2"/>
  <c r="C15422" i="2"/>
  <c r="C15423" i="2"/>
  <c r="C15424" i="2"/>
  <c r="C15425" i="2"/>
  <c r="C15426" i="2"/>
  <c r="C15427" i="2"/>
  <c r="C15428" i="2"/>
  <c r="C15429" i="2"/>
  <c r="C15430" i="2"/>
  <c r="C15431" i="2"/>
  <c r="C15432" i="2"/>
  <c r="C15433" i="2"/>
  <c r="C15434" i="2"/>
  <c r="C15435" i="2"/>
  <c r="C15436" i="2"/>
  <c r="C15437" i="2"/>
  <c r="C15438" i="2"/>
  <c r="C15439" i="2"/>
  <c r="C15440" i="2"/>
  <c r="C15441" i="2"/>
  <c r="C15442" i="2"/>
  <c r="C15443" i="2"/>
  <c r="C15444" i="2"/>
  <c r="C15445" i="2"/>
  <c r="C15446" i="2"/>
  <c r="C15447" i="2"/>
  <c r="C15448" i="2"/>
  <c r="C15449" i="2"/>
  <c r="C15450" i="2"/>
  <c r="C15451" i="2"/>
  <c r="C15452" i="2"/>
  <c r="C15453" i="2"/>
  <c r="C15454" i="2"/>
  <c r="C15455" i="2"/>
  <c r="C15456" i="2"/>
  <c r="C15457" i="2"/>
  <c r="C15458" i="2"/>
  <c r="C15459" i="2"/>
  <c r="C15460" i="2"/>
  <c r="C15461" i="2"/>
  <c r="C15462" i="2"/>
  <c r="C15463" i="2"/>
  <c r="C15464" i="2"/>
  <c r="C15465" i="2"/>
  <c r="C15466" i="2"/>
  <c r="C15467" i="2"/>
  <c r="C15468" i="2"/>
  <c r="C15469" i="2"/>
  <c r="C15470" i="2"/>
  <c r="C15471" i="2"/>
  <c r="C15472" i="2"/>
  <c r="C15473" i="2"/>
  <c r="C15474" i="2"/>
  <c r="C15475" i="2"/>
  <c r="C15476" i="2"/>
  <c r="C15477" i="2"/>
  <c r="C15478" i="2"/>
  <c r="C15479" i="2"/>
  <c r="C15480" i="2"/>
  <c r="C15481" i="2"/>
  <c r="C15482" i="2"/>
  <c r="C15483" i="2"/>
  <c r="C15484" i="2"/>
  <c r="C15485" i="2"/>
  <c r="C15486" i="2"/>
  <c r="C15487" i="2"/>
  <c r="C15488" i="2"/>
  <c r="C15489" i="2"/>
  <c r="C15490" i="2"/>
  <c r="C15491" i="2"/>
  <c r="C15492" i="2"/>
  <c r="C15493" i="2"/>
  <c r="C15494" i="2"/>
  <c r="C15495" i="2"/>
  <c r="C15496" i="2"/>
  <c r="C15497" i="2"/>
  <c r="C15498" i="2"/>
  <c r="C15499" i="2"/>
  <c r="C15500" i="2"/>
  <c r="C15501" i="2"/>
  <c r="C15502" i="2"/>
  <c r="C15503" i="2"/>
  <c r="C15504" i="2"/>
  <c r="C15505" i="2"/>
  <c r="C15506" i="2"/>
  <c r="C15507" i="2"/>
  <c r="C15508" i="2"/>
  <c r="C15509" i="2"/>
  <c r="C15510" i="2"/>
  <c r="C15511" i="2"/>
  <c r="C15512" i="2"/>
  <c r="C15513" i="2"/>
  <c r="C15514" i="2"/>
  <c r="C15515" i="2"/>
  <c r="C15516" i="2"/>
  <c r="C15517" i="2"/>
  <c r="C15518" i="2"/>
  <c r="C15519" i="2"/>
  <c r="C15520" i="2"/>
  <c r="C15521" i="2"/>
  <c r="C15522" i="2"/>
  <c r="C15523" i="2"/>
  <c r="C15524" i="2"/>
  <c r="C15525" i="2"/>
  <c r="C15526" i="2"/>
  <c r="C15527" i="2"/>
  <c r="C15528" i="2"/>
  <c r="C15529" i="2"/>
  <c r="C15530" i="2"/>
  <c r="C15531" i="2"/>
  <c r="C15532" i="2"/>
  <c r="C15533" i="2"/>
  <c r="C15534" i="2"/>
  <c r="C15535" i="2"/>
  <c r="C15536" i="2"/>
  <c r="C15537" i="2"/>
  <c r="C15538" i="2"/>
  <c r="C15539" i="2"/>
  <c r="C15540" i="2"/>
  <c r="C15541" i="2"/>
  <c r="C15542" i="2"/>
  <c r="C15543" i="2"/>
  <c r="C15544" i="2"/>
  <c r="C15545" i="2"/>
  <c r="C15546" i="2"/>
  <c r="C15547" i="2"/>
  <c r="C15548" i="2"/>
  <c r="C15549" i="2"/>
  <c r="C15550" i="2"/>
  <c r="C15551" i="2"/>
  <c r="C15552" i="2"/>
  <c r="C15553" i="2"/>
  <c r="C15554" i="2"/>
  <c r="C15555" i="2"/>
  <c r="C15556" i="2"/>
  <c r="C15557" i="2"/>
  <c r="C15558" i="2"/>
  <c r="C15559" i="2"/>
  <c r="C15560" i="2"/>
  <c r="C15561" i="2"/>
  <c r="C15562" i="2"/>
  <c r="C15563" i="2"/>
  <c r="C15564" i="2"/>
  <c r="C15565" i="2"/>
  <c r="C15566" i="2"/>
  <c r="C15567" i="2"/>
  <c r="C15568" i="2"/>
  <c r="C15569" i="2"/>
  <c r="C15570" i="2"/>
  <c r="C15571" i="2"/>
  <c r="C15572" i="2"/>
  <c r="C15573" i="2"/>
  <c r="C15574" i="2"/>
  <c r="C15575" i="2"/>
  <c r="C15576" i="2"/>
  <c r="C15577" i="2"/>
  <c r="C15578" i="2"/>
  <c r="C15579" i="2"/>
  <c r="C15580" i="2"/>
  <c r="C15581" i="2"/>
  <c r="C15582" i="2"/>
  <c r="C15583" i="2"/>
  <c r="C15584" i="2"/>
  <c r="C15585" i="2"/>
  <c r="C15586" i="2"/>
  <c r="C15587" i="2"/>
  <c r="C15588" i="2"/>
  <c r="C15589" i="2"/>
  <c r="C15590" i="2"/>
  <c r="C15591" i="2"/>
  <c r="C15592" i="2"/>
  <c r="C15593" i="2"/>
  <c r="C15594" i="2"/>
  <c r="C15595" i="2"/>
  <c r="C15596" i="2"/>
  <c r="C15597" i="2"/>
  <c r="C15598" i="2"/>
  <c r="C15599" i="2"/>
  <c r="C15600" i="2"/>
  <c r="C15601" i="2"/>
  <c r="C15602" i="2"/>
  <c r="C15603" i="2"/>
  <c r="C15604" i="2"/>
  <c r="C15605" i="2"/>
  <c r="C15606" i="2"/>
  <c r="C15607" i="2"/>
  <c r="C15608" i="2"/>
  <c r="C15609" i="2"/>
  <c r="C15610" i="2"/>
  <c r="C15611" i="2"/>
  <c r="C15612" i="2"/>
  <c r="C15613" i="2"/>
  <c r="C15614" i="2"/>
  <c r="C15615" i="2"/>
  <c r="C15616" i="2"/>
  <c r="C15617" i="2"/>
  <c r="C15618" i="2"/>
  <c r="C15619" i="2"/>
  <c r="C15620" i="2"/>
  <c r="C15621" i="2"/>
  <c r="C15622" i="2"/>
  <c r="C15623" i="2"/>
  <c r="C15624" i="2"/>
  <c r="C15625" i="2"/>
  <c r="C15626" i="2"/>
  <c r="C15627" i="2"/>
  <c r="C15628" i="2"/>
  <c r="C15629" i="2"/>
  <c r="C15630" i="2"/>
  <c r="C15631" i="2"/>
  <c r="C15632" i="2"/>
  <c r="C15633" i="2"/>
  <c r="C15634" i="2"/>
  <c r="C15635" i="2"/>
  <c r="C15636" i="2"/>
  <c r="C15637" i="2"/>
  <c r="C15638" i="2"/>
  <c r="C15639" i="2"/>
  <c r="C15640" i="2"/>
  <c r="C15641" i="2"/>
  <c r="C15642" i="2"/>
  <c r="C15643" i="2"/>
  <c r="C15644" i="2"/>
  <c r="C15645" i="2"/>
  <c r="C15646" i="2"/>
  <c r="C15647" i="2"/>
  <c r="C15648" i="2"/>
  <c r="C15649" i="2"/>
  <c r="C15650" i="2"/>
  <c r="C15651" i="2"/>
  <c r="C15652" i="2"/>
  <c r="C15653" i="2"/>
  <c r="C15654" i="2"/>
  <c r="C15655" i="2"/>
  <c r="C15656" i="2"/>
  <c r="C15657" i="2"/>
  <c r="C15658" i="2"/>
  <c r="C15659" i="2"/>
  <c r="C15660" i="2"/>
  <c r="C15661" i="2"/>
  <c r="C15662" i="2"/>
  <c r="C15663" i="2"/>
  <c r="C15664" i="2"/>
  <c r="C15665" i="2"/>
  <c r="C15666" i="2"/>
  <c r="C15667" i="2"/>
  <c r="C15668" i="2"/>
  <c r="C15669" i="2"/>
  <c r="C15670" i="2"/>
  <c r="C15671" i="2"/>
  <c r="C15672" i="2"/>
  <c r="C15673" i="2"/>
  <c r="C15674" i="2"/>
  <c r="C15675" i="2"/>
  <c r="C15676" i="2"/>
  <c r="C15677" i="2"/>
  <c r="C15678" i="2"/>
  <c r="C15679" i="2"/>
  <c r="C15680" i="2"/>
  <c r="C15681" i="2"/>
  <c r="C15682" i="2"/>
  <c r="C15683" i="2"/>
  <c r="C15684" i="2"/>
  <c r="C15685" i="2"/>
  <c r="C15686" i="2"/>
  <c r="C15687" i="2"/>
  <c r="C15688" i="2"/>
  <c r="C15689" i="2"/>
  <c r="C15690" i="2"/>
  <c r="C15691" i="2"/>
  <c r="C15692" i="2"/>
  <c r="C15693" i="2"/>
  <c r="C15694" i="2"/>
  <c r="C15695" i="2"/>
  <c r="C15696" i="2"/>
  <c r="C15697" i="2"/>
  <c r="C15698" i="2"/>
  <c r="C15699" i="2"/>
  <c r="C15700" i="2"/>
  <c r="C15701" i="2"/>
  <c r="C15702" i="2"/>
  <c r="C15703" i="2"/>
  <c r="C15704" i="2"/>
  <c r="C15705" i="2"/>
  <c r="C15706" i="2"/>
  <c r="C15707" i="2"/>
  <c r="C15708" i="2"/>
  <c r="C15709" i="2"/>
  <c r="C15710" i="2"/>
  <c r="C15711" i="2"/>
  <c r="C15712" i="2"/>
  <c r="C15713" i="2"/>
  <c r="C15714" i="2"/>
  <c r="C15715" i="2"/>
  <c r="C15716" i="2"/>
  <c r="C15717" i="2"/>
  <c r="C15718" i="2"/>
  <c r="C15719" i="2"/>
  <c r="C15720" i="2"/>
  <c r="C15721" i="2"/>
  <c r="C15722" i="2"/>
  <c r="C15723" i="2"/>
  <c r="C15724" i="2"/>
  <c r="C15725" i="2"/>
  <c r="C15726" i="2"/>
  <c r="C15727" i="2"/>
  <c r="C15728" i="2"/>
  <c r="C15729" i="2"/>
  <c r="C15730" i="2"/>
  <c r="C15731" i="2"/>
  <c r="C15732" i="2"/>
  <c r="C15733" i="2"/>
  <c r="C15734" i="2"/>
  <c r="C15735" i="2"/>
  <c r="C15736" i="2"/>
  <c r="C15737" i="2"/>
  <c r="C15738" i="2"/>
  <c r="C15739" i="2"/>
  <c r="C15740" i="2"/>
  <c r="C15741" i="2"/>
  <c r="C15742" i="2"/>
  <c r="C15743" i="2"/>
  <c r="C15744" i="2"/>
  <c r="C15745" i="2"/>
  <c r="C15746" i="2"/>
  <c r="C15747" i="2"/>
  <c r="C15748" i="2"/>
  <c r="C15749" i="2"/>
  <c r="C15750" i="2"/>
  <c r="C15751" i="2"/>
  <c r="C15752" i="2"/>
  <c r="C15753" i="2"/>
  <c r="C15754" i="2"/>
  <c r="C15755" i="2"/>
  <c r="C15756" i="2"/>
  <c r="C15757" i="2"/>
  <c r="C15758" i="2"/>
  <c r="C15759" i="2"/>
  <c r="C15760" i="2"/>
  <c r="C15761" i="2"/>
  <c r="C15762" i="2"/>
  <c r="C15763" i="2"/>
  <c r="C15764" i="2"/>
  <c r="C15765" i="2"/>
  <c r="C15766" i="2"/>
  <c r="C15767" i="2"/>
  <c r="C15768" i="2"/>
  <c r="C15769" i="2"/>
  <c r="C15770" i="2"/>
  <c r="C15771" i="2"/>
  <c r="C15772" i="2"/>
  <c r="C15773" i="2"/>
  <c r="C15774" i="2"/>
  <c r="C15775" i="2"/>
  <c r="C15776" i="2"/>
  <c r="C15777" i="2"/>
  <c r="C15778" i="2"/>
  <c r="C15779" i="2"/>
  <c r="C15780" i="2"/>
  <c r="C15781" i="2"/>
  <c r="C15782" i="2"/>
  <c r="C15783" i="2"/>
  <c r="C15784" i="2"/>
  <c r="C15785" i="2"/>
  <c r="C15786" i="2"/>
  <c r="C15787" i="2"/>
  <c r="C15788" i="2"/>
  <c r="C15789" i="2"/>
  <c r="C15790" i="2"/>
  <c r="C15791" i="2"/>
  <c r="C15792" i="2"/>
  <c r="C15793" i="2"/>
  <c r="C15794" i="2"/>
  <c r="C15795" i="2"/>
  <c r="C15796" i="2"/>
  <c r="C15797" i="2"/>
  <c r="C15798" i="2"/>
  <c r="C15799" i="2"/>
  <c r="C15800" i="2"/>
  <c r="C15801" i="2"/>
  <c r="C15802" i="2"/>
  <c r="C15803" i="2"/>
  <c r="C15804" i="2"/>
  <c r="C15805" i="2"/>
  <c r="C15806" i="2"/>
  <c r="C15807" i="2"/>
  <c r="C15808" i="2"/>
  <c r="C15809" i="2"/>
  <c r="C15810" i="2"/>
  <c r="C15811" i="2"/>
  <c r="C15812" i="2"/>
  <c r="C15813" i="2"/>
  <c r="C15814" i="2"/>
  <c r="C15815" i="2"/>
  <c r="C15816" i="2"/>
  <c r="C15817" i="2"/>
  <c r="C15818" i="2"/>
  <c r="C15819" i="2"/>
  <c r="C15820" i="2"/>
  <c r="C15821" i="2"/>
  <c r="C15822" i="2"/>
  <c r="C15823" i="2"/>
  <c r="C15824" i="2"/>
  <c r="C15825" i="2"/>
  <c r="C15826" i="2"/>
  <c r="C15827" i="2"/>
  <c r="C15828" i="2"/>
  <c r="C15829" i="2"/>
  <c r="C15830" i="2"/>
  <c r="C15831" i="2"/>
  <c r="C15832" i="2"/>
  <c r="C15833" i="2"/>
  <c r="C15834" i="2"/>
  <c r="C15835" i="2"/>
  <c r="C15836" i="2"/>
  <c r="C15837" i="2"/>
  <c r="C15838" i="2"/>
  <c r="C15839" i="2"/>
  <c r="C15840" i="2"/>
  <c r="C15841" i="2"/>
  <c r="C15842" i="2"/>
  <c r="C15843" i="2"/>
  <c r="C15844" i="2"/>
  <c r="C15845" i="2"/>
  <c r="C15846" i="2"/>
  <c r="C15847" i="2"/>
  <c r="C15848" i="2"/>
  <c r="C15849" i="2"/>
  <c r="C15850" i="2"/>
  <c r="C15851" i="2"/>
  <c r="C15852" i="2"/>
  <c r="C15853" i="2"/>
  <c r="C15854" i="2"/>
  <c r="C15855" i="2"/>
  <c r="C15856" i="2"/>
  <c r="C15857" i="2"/>
  <c r="C15858" i="2"/>
  <c r="C15859" i="2"/>
  <c r="C15860" i="2"/>
  <c r="C15861" i="2"/>
  <c r="C15862" i="2"/>
  <c r="C15863" i="2"/>
  <c r="C15864" i="2"/>
  <c r="C15865" i="2"/>
  <c r="C15866" i="2"/>
  <c r="C15867" i="2"/>
  <c r="C15868" i="2"/>
  <c r="C15869" i="2"/>
  <c r="C15870" i="2"/>
  <c r="C15871" i="2"/>
  <c r="C15872" i="2"/>
  <c r="C15873" i="2"/>
  <c r="C15874" i="2"/>
  <c r="C15875" i="2"/>
  <c r="C15876" i="2"/>
  <c r="C15877" i="2"/>
  <c r="C15878" i="2"/>
  <c r="C15879" i="2"/>
  <c r="C15880" i="2"/>
  <c r="C15881" i="2"/>
  <c r="C15882" i="2"/>
  <c r="C15883" i="2"/>
  <c r="C15884" i="2"/>
  <c r="C15885" i="2"/>
  <c r="C15886" i="2"/>
  <c r="C15887" i="2"/>
  <c r="C15888" i="2"/>
  <c r="C15889" i="2"/>
  <c r="C15890" i="2"/>
  <c r="C15891" i="2"/>
  <c r="C15892" i="2"/>
  <c r="C15893" i="2"/>
  <c r="C15894" i="2"/>
  <c r="C15895" i="2"/>
  <c r="C15896" i="2"/>
  <c r="C15897" i="2"/>
  <c r="C15898" i="2"/>
  <c r="C15899" i="2"/>
  <c r="C15900" i="2"/>
  <c r="C15901" i="2"/>
  <c r="C15902" i="2"/>
  <c r="C15903" i="2"/>
  <c r="C15904" i="2"/>
  <c r="C15905" i="2"/>
  <c r="C15906" i="2"/>
  <c r="C15907" i="2"/>
  <c r="C15908" i="2"/>
  <c r="C15909" i="2"/>
  <c r="C15910" i="2"/>
  <c r="C15911" i="2"/>
  <c r="C15912" i="2"/>
  <c r="C15913" i="2"/>
  <c r="C15914" i="2"/>
  <c r="C15915" i="2"/>
  <c r="C15916" i="2"/>
  <c r="C15917" i="2"/>
  <c r="C15918" i="2"/>
  <c r="C15919" i="2"/>
  <c r="C15920" i="2"/>
  <c r="C15921" i="2"/>
  <c r="C15922" i="2"/>
  <c r="C15923" i="2"/>
  <c r="C15924" i="2"/>
  <c r="C15925" i="2"/>
  <c r="C15926" i="2"/>
  <c r="C15927" i="2"/>
  <c r="C15928" i="2"/>
  <c r="C15929" i="2"/>
  <c r="C15930" i="2"/>
  <c r="C15931" i="2"/>
  <c r="C15932" i="2"/>
  <c r="C15933" i="2"/>
  <c r="C15934" i="2"/>
  <c r="C15935" i="2"/>
  <c r="C15936" i="2"/>
  <c r="C15937" i="2"/>
  <c r="C15938" i="2"/>
  <c r="C15939" i="2"/>
  <c r="C15940" i="2"/>
  <c r="C15941" i="2"/>
  <c r="C15942" i="2"/>
  <c r="C15943" i="2"/>
  <c r="C15944" i="2"/>
  <c r="C15945" i="2"/>
  <c r="C15946" i="2"/>
  <c r="C15947" i="2"/>
  <c r="C15948" i="2"/>
  <c r="C15949" i="2"/>
  <c r="C15950" i="2"/>
  <c r="C15951" i="2"/>
  <c r="C15952" i="2"/>
  <c r="C15953" i="2"/>
  <c r="C15954" i="2"/>
  <c r="C15955" i="2"/>
  <c r="C15956" i="2"/>
  <c r="C15957" i="2"/>
  <c r="C15958" i="2"/>
  <c r="C15959" i="2"/>
  <c r="C15960" i="2"/>
  <c r="C15961" i="2"/>
  <c r="C15962" i="2"/>
  <c r="C15963" i="2"/>
  <c r="C15964" i="2"/>
  <c r="C15965" i="2"/>
  <c r="C15966" i="2"/>
  <c r="C15967" i="2"/>
  <c r="C15968" i="2"/>
  <c r="C15969" i="2"/>
  <c r="C15970" i="2"/>
  <c r="C15971" i="2"/>
  <c r="C15972" i="2"/>
  <c r="C15973" i="2"/>
  <c r="C15974" i="2"/>
  <c r="C15975" i="2"/>
  <c r="C15976" i="2"/>
  <c r="C15977" i="2"/>
  <c r="C15978" i="2"/>
  <c r="C15979" i="2"/>
  <c r="C15980" i="2"/>
  <c r="C15981" i="2"/>
  <c r="C15982" i="2"/>
  <c r="C15983" i="2"/>
  <c r="C15984" i="2"/>
  <c r="C15985" i="2"/>
  <c r="C15986" i="2"/>
  <c r="C15987" i="2"/>
  <c r="C15988" i="2"/>
  <c r="C15989" i="2"/>
  <c r="C15990" i="2"/>
  <c r="C15991" i="2"/>
  <c r="C15992" i="2"/>
  <c r="C15993" i="2"/>
  <c r="C15994" i="2"/>
  <c r="C15995" i="2"/>
  <c r="C15996" i="2"/>
  <c r="C15997" i="2"/>
  <c r="C15998" i="2"/>
  <c r="C15999" i="2"/>
  <c r="C16000" i="2"/>
  <c r="C16001" i="2"/>
  <c r="C16002" i="2"/>
  <c r="C16003" i="2"/>
  <c r="C16004" i="2"/>
  <c r="C16005" i="2"/>
  <c r="C16006" i="2"/>
  <c r="C16007" i="2"/>
  <c r="C16008" i="2"/>
  <c r="C16009" i="2"/>
  <c r="C16010" i="2"/>
  <c r="C16011" i="2"/>
  <c r="C16012" i="2"/>
  <c r="C16013" i="2"/>
  <c r="C16014" i="2"/>
  <c r="C16015" i="2"/>
  <c r="C16016" i="2"/>
  <c r="C16017" i="2"/>
  <c r="C16018" i="2"/>
  <c r="C16019" i="2"/>
  <c r="C16020" i="2"/>
  <c r="C16021" i="2"/>
  <c r="C16022" i="2"/>
  <c r="C16023" i="2"/>
  <c r="C16024" i="2"/>
  <c r="C16025" i="2"/>
  <c r="C16026" i="2"/>
  <c r="C16027" i="2"/>
  <c r="C16028" i="2"/>
  <c r="C16029" i="2"/>
  <c r="C16030" i="2"/>
  <c r="C16031" i="2"/>
  <c r="C16032" i="2"/>
  <c r="C16033" i="2"/>
  <c r="C16034" i="2"/>
  <c r="C16035" i="2"/>
  <c r="C16036" i="2"/>
  <c r="C16037" i="2"/>
  <c r="C16038" i="2"/>
  <c r="C16039" i="2"/>
  <c r="C16040" i="2"/>
  <c r="C16041" i="2"/>
  <c r="C16042" i="2"/>
  <c r="C16043" i="2"/>
  <c r="C16044" i="2"/>
  <c r="C16045" i="2"/>
  <c r="C16046" i="2"/>
  <c r="C16047" i="2"/>
  <c r="C16048" i="2"/>
  <c r="C16049" i="2"/>
  <c r="C16050" i="2"/>
  <c r="C16051" i="2"/>
  <c r="C16052" i="2"/>
  <c r="C16053" i="2"/>
  <c r="C16054" i="2"/>
  <c r="C16055" i="2"/>
  <c r="C16056" i="2"/>
  <c r="C16057" i="2"/>
  <c r="C16058" i="2"/>
  <c r="C16059" i="2"/>
  <c r="C16060" i="2"/>
  <c r="C16061" i="2"/>
  <c r="C16062" i="2"/>
  <c r="C16063" i="2"/>
  <c r="C16064" i="2"/>
  <c r="C16065" i="2"/>
  <c r="C16066" i="2"/>
  <c r="C16067" i="2"/>
  <c r="C16068" i="2"/>
  <c r="C16069" i="2"/>
  <c r="C16070" i="2"/>
  <c r="C16071" i="2"/>
  <c r="C16072" i="2"/>
  <c r="C16073" i="2"/>
  <c r="C16074" i="2"/>
  <c r="C16075" i="2"/>
  <c r="C16076" i="2"/>
  <c r="C16077" i="2"/>
  <c r="C16078" i="2"/>
  <c r="C16079" i="2"/>
  <c r="C16080" i="2"/>
  <c r="C16081" i="2"/>
  <c r="C16082" i="2"/>
  <c r="C16083" i="2"/>
  <c r="C16084" i="2"/>
  <c r="C16085" i="2"/>
  <c r="C16086" i="2"/>
  <c r="C16087" i="2"/>
  <c r="C16088" i="2"/>
  <c r="C16089" i="2"/>
  <c r="C16090" i="2"/>
  <c r="C16091" i="2"/>
  <c r="C16092" i="2"/>
  <c r="C16093" i="2"/>
  <c r="C16094" i="2"/>
  <c r="C16095" i="2"/>
  <c r="C16096" i="2"/>
  <c r="C16097" i="2"/>
  <c r="C16098" i="2"/>
  <c r="C16099" i="2"/>
  <c r="C16100" i="2"/>
  <c r="C16101" i="2"/>
  <c r="C16102" i="2"/>
  <c r="C16103" i="2"/>
  <c r="C16104" i="2"/>
  <c r="C16105" i="2"/>
  <c r="C16106" i="2"/>
  <c r="C16107" i="2"/>
  <c r="C16108" i="2"/>
  <c r="C16109" i="2"/>
  <c r="C16110" i="2"/>
  <c r="C16111" i="2"/>
  <c r="C16112" i="2"/>
  <c r="C16113" i="2"/>
  <c r="C16114" i="2"/>
  <c r="C16115" i="2"/>
  <c r="C16116" i="2"/>
  <c r="C16117" i="2"/>
  <c r="C16118" i="2"/>
  <c r="C16119" i="2"/>
  <c r="C16120" i="2"/>
  <c r="C16121" i="2"/>
  <c r="C16122" i="2"/>
  <c r="C16123" i="2"/>
  <c r="C16124" i="2"/>
  <c r="C16125" i="2"/>
  <c r="C16126" i="2"/>
  <c r="C16127" i="2"/>
  <c r="C16128" i="2"/>
  <c r="C16129" i="2"/>
  <c r="C16130" i="2"/>
  <c r="C16131" i="2"/>
  <c r="C16132" i="2"/>
  <c r="C16133" i="2"/>
  <c r="C16134" i="2"/>
  <c r="C16135" i="2"/>
  <c r="C16136" i="2"/>
  <c r="C16137" i="2"/>
  <c r="C16138" i="2"/>
  <c r="C16139" i="2"/>
  <c r="C16140" i="2"/>
  <c r="C16141" i="2"/>
  <c r="C16142" i="2"/>
  <c r="C16143" i="2"/>
  <c r="C16144" i="2"/>
  <c r="C16145" i="2"/>
  <c r="C16146" i="2"/>
  <c r="C16147" i="2"/>
  <c r="C16148" i="2"/>
  <c r="C16149" i="2"/>
  <c r="C16150" i="2"/>
  <c r="C16151" i="2"/>
  <c r="C16152" i="2"/>
  <c r="C16153" i="2"/>
  <c r="C16154" i="2"/>
  <c r="C16155" i="2"/>
  <c r="C16156" i="2"/>
  <c r="C16157" i="2"/>
  <c r="C16158" i="2"/>
  <c r="C16159" i="2"/>
  <c r="C16160" i="2"/>
  <c r="C16161" i="2"/>
  <c r="C16162" i="2"/>
  <c r="C16163" i="2"/>
  <c r="C16164" i="2"/>
  <c r="C16165" i="2"/>
  <c r="C16166" i="2"/>
  <c r="C16167" i="2"/>
  <c r="C16168" i="2"/>
  <c r="C16169" i="2"/>
  <c r="C16170" i="2"/>
  <c r="C16171" i="2"/>
  <c r="C16172" i="2"/>
  <c r="C16173" i="2"/>
  <c r="C16174" i="2"/>
  <c r="C16175" i="2"/>
  <c r="C16176" i="2"/>
  <c r="C16177" i="2"/>
  <c r="C16178" i="2"/>
  <c r="C16179" i="2"/>
  <c r="C16180" i="2"/>
  <c r="C16181" i="2"/>
  <c r="C16182" i="2"/>
  <c r="C16183" i="2"/>
  <c r="C16184" i="2"/>
  <c r="C16185" i="2"/>
  <c r="C16186" i="2"/>
  <c r="C16187" i="2"/>
  <c r="C16188" i="2"/>
  <c r="C16189" i="2"/>
  <c r="C16190" i="2"/>
  <c r="C16191" i="2"/>
  <c r="C16192" i="2"/>
  <c r="C16193" i="2"/>
  <c r="C16194" i="2"/>
  <c r="C16195" i="2"/>
  <c r="C16196" i="2"/>
  <c r="C16197" i="2"/>
  <c r="C16198" i="2"/>
  <c r="C16199" i="2"/>
  <c r="C16200" i="2"/>
  <c r="C16201" i="2"/>
  <c r="C16202" i="2"/>
  <c r="C16203" i="2"/>
  <c r="C16204" i="2"/>
  <c r="C16205" i="2"/>
  <c r="C16206" i="2"/>
  <c r="C16207" i="2"/>
  <c r="C16208" i="2"/>
  <c r="C16209" i="2"/>
  <c r="C16210" i="2"/>
  <c r="C16211" i="2"/>
  <c r="C16212" i="2"/>
  <c r="C16213" i="2"/>
  <c r="C16214" i="2"/>
  <c r="C16215" i="2"/>
  <c r="C16216" i="2"/>
  <c r="C16217" i="2"/>
  <c r="C16218" i="2"/>
  <c r="C16219" i="2"/>
  <c r="C16220" i="2"/>
  <c r="C16221" i="2"/>
  <c r="C16222" i="2"/>
  <c r="C16223" i="2"/>
  <c r="C16224" i="2"/>
  <c r="C16225" i="2"/>
  <c r="C16226" i="2"/>
  <c r="C16227" i="2"/>
  <c r="C16228" i="2"/>
  <c r="C16229" i="2"/>
  <c r="C16230" i="2"/>
  <c r="C16231" i="2"/>
  <c r="C16232" i="2"/>
  <c r="C16233" i="2"/>
  <c r="C16234" i="2"/>
  <c r="C16235" i="2"/>
  <c r="C16236" i="2"/>
  <c r="C16237" i="2"/>
  <c r="C16238" i="2"/>
  <c r="C16239" i="2"/>
  <c r="C16240" i="2"/>
  <c r="C16241" i="2"/>
  <c r="C16242" i="2"/>
  <c r="C16243" i="2"/>
  <c r="C16244" i="2"/>
  <c r="C16245" i="2"/>
  <c r="C16246" i="2"/>
  <c r="C16247" i="2"/>
  <c r="C16248" i="2"/>
  <c r="C16249" i="2"/>
  <c r="C16250" i="2"/>
  <c r="C16251" i="2"/>
  <c r="C16252" i="2"/>
  <c r="C16253" i="2"/>
  <c r="C16254" i="2"/>
  <c r="C16255" i="2"/>
  <c r="C16256" i="2"/>
  <c r="C16257" i="2"/>
  <c r="C16258" i="2"/>
  <c r="C16259" i="2"/>
  <c r="C16260" i="2"/>
  <c r="C16261" i="2"/>
  <c r="C16262" i="2"/>
  <c r="C16263" i="2"/>
  <c r="C16264" i="2"/>
  <c r="C16265" i="2"/>
  <c r="C16266" i="2"/>
  <c r="C16267" i="2"/>
  <c r="C16268" i="2"/>
  <c r="C16269" i="2"/>
  <c r="C16270" i="2"/>
  <c r="C16271" i="2"/>
  <c r="C16272" i="2"/>
  <c r="C16273" i="2"/>
  <c r="C16274" i="2"/>
  <c r="C16275" i="2"/>
  <c r="C16276" i="2"/>
  <c r="C16277" i="2"/>
  <c r="C16278" i="2"/>
  <c r="C16279" i="2"/>
  <c r="C16280" i="2"/>
  <c r="C16281" i="2"/>
  <c r="C16282" i="2"/>
  <c r="C16283" i="2"/>
  <c r="C16284" i="2"/>
  <c r="C16285" i="2"/>
  <c r="C16286" i="2"/>
  <c r="C16287" i="2"/>
  <c r="C16288" i="2"/>
  <c r="C16289" i="2"/>
  <c r="C16290" i="2"/>
  <c r="C16291" i="2"/>
  <c r="C16292" i="2"/>
  <c r="C16293" i="2"/>
  <c r="C16294" i="2"/>
  <c r="C16295" i="2"/>
  <c r="C16296" i="2"/>
  <c r="C16297" i="2"/>
  <c r="C16298" i="2"/>
  <c r="C16299" i="2"/>
  <c r="C16300" i="2"/>
  <c r="C16301" i="2"/>
  <c r="C16302" i="2"/>
  <c r="C16303" i="2"/>
  <c r="C16304" i="2"/>
  <c r="C16305" i="2"/>
  <c r="C16306" i="2"/>
  <c r="C16307" i="2"/>
  <c r="C16308" i="2"/>
  <c r="C16309" i="2"/>
  <c r="C16310" i="2"/>
  <c r="C16311" i="2"/>
  <c r="C16312" i="2"/>
  <c r="C16313" i="2"/>
  <c r="C16314" i="2"/>
  <c r="C16315" i="2"/>
  <c r="C16316" i="2"/>
  <c r="C16317" i="2"/>
  <c r="C16318" i="2"/>
  <c r="C16319" i="2"/>
  <c r="C16320" i="2"/>
  <c r="C16321" i="2"/>
  <c r="C16322" i="2"/>
  <c r="C16323" i="2"/>
  <c r="C16324" i="2"/>
  <c r="C16325" i="2"/>
  <c r="C16326" i="2"/>
  <c r="C16327" i="2"/>
  <c r="C16328" i="2"/>
  <c r="C16329" i="2"/>
  <c r="C16330" i="2"/>
  <c r="C16331" i="2"/>
  <c r="C16332" i="2"/>
  <c r="C16333" i="2"/>
  <c r="C16334" i="2"/>
  <c r="C16335" i="2"/>
  <c r="C16336" i="2"/>
  <c r="C16337" i="2"/>
  <c r="C16338" i="2"/>
  <c r="C16339" i="2"/>
  <c r="C16340" i="2"/>
  <c r="C16341" i="2"/>
  <c r="C16342" i="2"/>
  <c r="C16343" i="2"/>
  <c r="C16344" i="2"/>
  <c r="C16345" i="2"/>
  <c r="C16346" i="2"/>
  <c r="C16347" i="2"/>
  <c r="C16348" i="2"/>
  <c r="C16349" i="2"/>
  <c r="C16350" i="2"/>
  <c r="C16351" i="2"/>
  <c r="C16352" i="2"/>
  <c r="C16353" i="2"/>
  <c r="C16354" i="2"/>
  <c r="C16355" i="2"/>
  <c r="C16356" i="2"/>
  <c r="C16357" i="2"/>
  <c r="C16358" i="2"/>
  <c r="C16359" i="2"/>
  <c r="C16360" i="2"/>
  <c r="C16361" i="2"/>
  <c r="C16362" i="2"/>
  <c r="C16363" i="2"/>
  <c r="C16364" i="2"/>
  <c r="C16365" i="2"/>
  <c r="C16366" i="2"/>
  <c r="C16367" i="2"/>
  <c r="C16368" i="2"/>
  <c r="C16369" i="2"/>
  <c r="C16370" i="2"/>
  <c r="C16371" i="2"/>
  <c r="C16372" i="2"/>
  <c r="C16373" i="2"/>
  <c r="C16374" i="2"/>
  <c r="C16375" i="2"/>
  <c r="C16376" i="2"/>
  <c r="C16377" i="2"/>
  <c r="C16378" i="2"/>
  <c r="C16379" i="2"/>
  <c r="C16380" i="2"/>
  <c r="C16381" i="2"/>
  <c r="C16382" i="2"/>
  <c r="C16383" i="2"/>
  <c r="C16384" i="2"/>
  <c r="C16385" i="2"/>
  <c r="C16386" i="2"/>
  <c r="C16387" i="2"/>
  <c r="C16388" i="2"/>
  <c r="C16389" i="2"/>
  <c r="C16390" i="2"/>
  <c r="C16391" i="2"/>
  <c r="C16392" i="2"/>
  <c r="C16393" i="2"/>
  <c r="C16394" i="2"/>
  <c r="C16395" i="2"/>
  <c r="C16396" i="2"/>
  <c r="C16397" i="2"/>
  <c r="C16398" i="2"/>
  <c r="C16399" i="2"/>
  <c r="C16400" i="2"/>
  <c r="C16401" i="2"/>
  <c r="C16402" i="2"/>
  <c r="C16403" i="2"/>
  <c r="C16404" i="2"/>
  <c r="C16405" i="2"/>
  <c r="C16406" i="2"/>
  <c r="C16407" i="2"/>
  <c r="C16408" i="2"/>
  <c r="C16409" i="2"/>
  <c r="C16410" i="2"/>
  <c r="C16411" i="2"/>
  <c r="C16412" i="2"/>
  <c r="C16413" i="2"/>
  <c r="C16414" i="2"/>
  <c r="C16415" i="2"/>
  <c r="C16416" i="2"/>
  <c r="C16417" i="2"/>
  <c r="C16418" i="2"/>
  <c r="C16419" i="2"/>
  <c r="C16420" i="2"/>
  <c r="C16421" i="2"/>
  <c r="C16422" i="2"/>
  <c r="C16423" i="2"/>
  <c r="C16424" i="2"/>
  <c r="C16425" i="2"/>
  <c r="C16426" i="2"/>
  <c r="C16427" i="2"/>
  <c r="C16428" i="2"/>
  <c r="C16429" i="2"/>
  <c r="C16430" i="2"/>
  <c r="C16431" i="2"/>
  <c r="C16432" i="2"/>
  <c r="C16433" i="2"/>
  <c r="C16434" i="2"/>
  <c r="C16435" i="2"/>
  <c r="C16436" i="2"/>
  <c r="C16437" i="2"/>
  <c r="C16438" i="2"/>
  <c r="C16439" i="2"/>
  <c r="C16440" i="2"/>
  <c r="C16441" i="2"/>
  <c r="C16442" i="2"/>
  <c r="C16443" i="2"/>
  <c r="C16444" i="2"/>
  <c r="C16445" i="2"/>
  <c r="C16446" i="2"/>
  <c r="C16447" i="2"/>
  <c r="C16448" i="2"/>
  <c r="C16449" i="2"/>
  <c r="C16450" i="2"/>
  <c r="C16451" i="2"/>
  <c r="C16452" i="2"/>
  <c r="C16453" i="2"/>
  <c r="C16454" i="2"/>
  <c r="C16455" i="2"/>
  <c r="C16456" i="2"/>
  <c r="C16457" i="2"/>
  <c r="C16458" i="2"/>
  <c r="C16459" i="2"/>
  <c r="C16460" i="2"/>
  <c r="C16461" i="2"/>
  <c r="C16462" i="2"/>
  <c r="C16463" i="2"/>
  <c r="C16464" i="2"/>
  <c r="C16465" i="2"/>
  <c r="C16466" i="2"/>
  <c r="C16467" i="2"/>
  <c r="C16468" i="2"/>
  <c r="C16469" i="2"/>
  <c r="C16470" i="2"/>
  <c r="C16471" i="2"/>
  <c r="C16472" i="2"/>
  <c r="C16473" i="2"/>
  <c r="C16474" i="2"/>
  <c r="C16475" i="2"/>
  <c r="C16476" i="2"/>
  <c r="C16477" i="2"/>
  <c r="C16478" i="2"/>
  <c r="C16479" i="2"/>
  <c r="C16480" i="2"/>
  <c r="C16481" i="2"/>
  <c r="C16482" i="2"/>
  <c r="C16483" i="2"/>
  <c r="C16484" i="2"/>
  <c r="C16485" i="2"/>
  <c r="C16486" i="2"/>
  <c r="C16487" i="2"/>
  <c r="C16488" i="2"/>
  <c r="C16489" i="2"/>
  <c r="C16490" i="2"/>
  <c r="C16491" i="2"/>
  <c r="C16492" i="2"/>
  <c r="C16493" i="2"/>
  <c r="C16494" i="2"/>
  <c r="C16495" i="2"/>
  <c r="C16496" i="2"/>
  <c r="C16497" i="2"/>
  <c r="C16498" i="2"/>
  <c r="C16499" i="2"/>
  <c r="C16500" i="2"/>
  <c r="C16501" i="2"/>
  <c r="C16502" i="2"/>
  <c r="C16503" i="2"/>
  <c r="C16504" i="2"/>
  <c r="C16505" i="2"/>
  <c r="C16506" i="2"/>
  <c r="C16507" i="2"/>
  <c r="C16508" i="2"/>
  <c r="C16509" i="2"/>
  <c r="C16510" i="2"/>
  <c r="C16511" i="2"/>
  <c r="C16512" i="2"/>
  <c r="C16513" i="2"/>
  <c r="C16514" i="2"/>
  <c r="C16515" i="2"/>
  <c r="C16516" i="2"/>
  <c r="C16517" i="2"/>
  <c r="C16518" i="2"/>
  <c r="C16519" i="2"/>
  <c r="C16520" i="2"/>
  <c r="C16521" i="2"/>
  <c r="C16522" i="2"/>
  <c r="C16523" i="2"/>
  <c r="C16524" i="2"/>
  <c r="C16525" i="2"/>
  <c r="C16526" i="2"/>
  <c r="C16527" i="2"/>
  <c r="C16528" i="2"/>
  <c r="C16529" i="2"/>
  <c r="C16530" i="2"/>
  <c r="C16531" i="2"/>
  <c r="C16532" i="2"/>
  <c r="C16533" i="2"/>
  <c r="C16534" i="2"/>
  <c r="C16535" i="2"/>
  <c r="C16536" i="2"/>
  <c r="C16537" i="2"/>
  <c r="C16538" i="2"/>
  <c r="C16539" i="2"/>
  <c r="C16540" i="2"/>
  <c r="C16541" i="2"/>
  <c r="C16542" i="2"/>
  <c r="C16543" i="2"/>
  <c r="C16544" i="2"/>
  <c r="C16545" i="2"/>
  <c r="C16546" i="2"/>
  <c r="C16547" i="2"/>
  <c r="C16548" i="2"/>
  <c r="C16549" i="2"/>
  <c r="C16550" i="2"/>
  <c r="C16551" i="2"/>
  <c r="C16552" i="2"/>
  <c r="C16553" i="2"/>
  <c r="C16554" i="2"/>
  <c r="C16555" i="2"/>
  <c r="C16556" i="2"/>
  <c r="C16557" i="2"/>
  <c r="C16558" i="2"/>
  <c r="C16559" i="2"/>
  <c r="C16560" i="2"/>
  <c r="C16561" i="2"/>
  <c r="C16562" i="2"/>
  <c r="C16563" i="2"/>
  <c r="C16564" i="2"/>
  <c r="C16565" i="2"/>
  <c r="C16566" i="2"/>
  <c r="C16567" i="2"/>
  <c r="C16568" i="2"/>
  <c r="C16569" i="2"/>
  <c r="C16570" i="2"/>
  <c r="C16571" i="2"/>
  <c r="C16572" i="2"/>
  <c r="C16573" i="2"/>
  <c r="C16574" i="2"/>
  <c r="C16575" i="2"/>
  <c r="C16576" i="2"/>
  <c r="C16577" i="2"/>
  <c r="C16578" i="2"/>
  <c r="C16579" i="2"/>
  <c r="C16580" i="2"/>
  <c r="C16581" i="2"/>
  <c r="C16582" i="2"/>
  <c r="C16583" i="2"/>
  <c r="C16584" i="2"/>
  <c r="C16585" i="2"/>
  <c r="C16586" i="2"/>
  <c r="C16587" i="2"/>
  <c r="C16588" i="2"/>
  <c r="C16589" i="2"/>
  <c r="C16590" i="2"/>
  <c r="C16591" i="2"/>
  <c r="C16592" i="2"/>
  <c r="C16593" i="2"/>
  <c r="C16594" i="2"/>
  <c r="C16595" i="2"/>
  <c r="C16596" i="2"/>
  <c r="C16597" i="2"/>
  <c r="C16598" i="2"/>
  <c r="C16599" i="2"/>
  <c r="C16600" i="2"/>
  <c r="C16601" i="2"/>
  <c r="C16602" i="2"/>
  <c r="C16603" i="2"/>
  <c r="C16604" i="2"/>
  <c r="C16605" i="2"/>
  <c r="C16606" i="2"/>
  <c r="C16607" i="2"/>
  <c r="C16608" i="2"/>
  <c r="C16609" i="2"/>
  <c r="C16610" i="2"/>
  <c r="C16611" i="2"/>
  <c r="C16612" i="2"/>
  <c r="C16613" i="2"/>
  <c r="C16614" i="2"/>
  <c r="C16615" i="2"/>
  <c r="C16616" i="2"/>
  <c r="C16617" i="2"/>
  <c r="C16618" i="2"/>
  <c r="C16619" i="2"/>
  <c r="C16620" i="2"/>
  <c r="C16621" i="2"/>
  <c r="C16622" i="2"/>
  <c r="C16623" i="2"/>
  <c r="C16624" i="2"/>
  <c r="C16625" i="2"/>
  <c r="C16626" i="2"/>
  <c r="C16627" i="2"/>
  <c r="C16628" i="2"/>
  <c r="C16629" i="2"/>
  <c r="C16630" i="2"/>
  <c r="C16631" i="2"/>
  <c r="C16632" i="2"/>
  <c r="C16633" i="2"/>
  <c r="C16634" i="2"/>
  <c r="C16635" i="2"/>
  <c r="C16636" i="2"/>
  <c r="C16637" i="2"/>
  <c r="C16638" i="2"/>
  <c r="C16639" i="2"/>
  <c r="C16640" i="2"/>
  <c r="C16641" i="2"/>
  <c r="C16642" i="2"/>
  <c r="C16643" i="2"/>
  <c r="C16644" i="2"/>
  <c r="C16645" i="2"/>
  <c r="C16646" i="2"/>
  <c r="C16647" i="2"/>
  <c r="C16648" i="2"/>
  <c r="C16649" i="2"/>
  <c r="C16650" i="2"/>
  <c r="C16651" i="2"/>
  <c r="C16652" i="2"/>
  <c r="C16653" i="2"/>
  <c r="C16654" i="2"/>
  <c r="C16655" i="2"/>
  <c r="C16656" i="2"/>
  <c r="C16657" i="2"/>
  <c r="C16658" i="2"/>
  <c r="C16659" i="2"/>
  <c r="C16660" i="2"/>
  <c r="C16661" i="2"/>
  <c r="C16662" i="2"/>
  <c r="C16663" i="2"/>
  <c r="C16664" i="2"/>
  <c r="C16665" i="2"/>
  <c r="C16666" i="2"/>
  <c r="C16667" i="2"/>
  <c r="C16668" i="2"/>
  <c r="C16669" i="2"/>
  <c r="C16670" i="2"/>
  <c r="C16671" i="2"/>
  <c r="C16672" i="2"/>
  <c r="C16673" i="2"/>
  <c r="C16674" i="2"/>
  <c r="C16675" i="2"/>
  <c r="C16676" i="2"/>
  <c r="C16677" i="2"/>
  <c r="C16678" i="2"/>
  <c r="C16679" i="2"/>
  <c r="C16680" i="2"/>
  <c r="C16681" i="2"/>
  <c r="C16682" i="2"/>
  <c r="C16683" i="2"/>
  <c r="C16684" i="2"/>
  <c r="C16685" i="2"/>
  <c r="C16686" i="2"/>
  <c r="C16687" i="2"/>
  <c r="C16688" i="2"/>
  <c r="C16689" i="2"/>
  <c r="C16690" i="2"/>
  <c r="C16691" i="2"/>
  <c r="C16692" i="2"/>
  <c r="C16693" i="2"/>
  <c r="C16694" i="2"/>
  <c r="C16695" i="2"/>
  <c r="C16696" i="2"/>
  <c r="C16697" i="2"/>
  <c r="C16698" i="2"/>
  <c r="C16699" i="2"/>
  <c r="C16700" i="2"/>
  <c r="C16701" i="2"/>
  <c r="C16702" i="2"/>
  <c r="C16703" i="2"/>
  <c r="C16704" i="2"/>
  <c r="C16705" i="2"/>
  <c r="C16706" i="2"/>
  <c r="C16707" i="2"/>
  <c r="C16708" i="2"/>
  <c r="C16709" i="2"/>
  <c r="C16710" i="2"/>
  <c r="C16711" i="2"/>
  <c r="C16712" i="2"/>
  <c r="C16713" i="2"/>
  <c r="C16714" i="2"/>
  <c r="C16715" i="2"/>
  <c r="C16716" i="2"/>
  <c r="C16717" i="2"/>
  <c r="C16718" i="2"/>
  <c r="C16719" i="2"/>
  <c r="C16720" i="2"/>
  <c r="C16721" i="2"/>
  <c r="C16722" i="2"/>
  <c r="C16723" i="2"/>
  <c r="C16724" i="2"/>
  <c r="C16725" i="2"/>
  <c r="C16726" i="2"/>
  <c r="C16727" i="2"/>
  <c r="C16728" i="2"/>
  <c r="C16729" i="2"/>
  <c r="C16730" i="2"/>
  <c r="C16731" i="2"/>
  <c r="C16732" i="2"/>
  <c r="C16733" i="2"/>
  <c r="C16734" i="2"/>
  <c r="C16735" i="2"/>
  <c r="C16736" i="2"/>
  <c r="C16737" i="2"/>
  <c r="C16738" i="2"/>
  <c r="C16739" i="2"/>
  <c r="C16740" i="2"/>
  <c r="C16741" i="2"/>
  <c r="C16742" i="2"/>
  <c r="C16743" i="2"/>
  <c r="C16744" i="2"/>
  <c r="C16745" i="2"/>
  <c r="C16746" i="2"/>
  <c r="C16747" i="2"/>
  <c r="C16748" i="2"/>
  <c r="C16749" i="2"/>
  <c r="C16750" i="2"/>
  <c r="C16751" i="2"/>
  <c r="C16752" i="2"/>
  <c r="C16753" i="2"/>
  <c r="C16754" i="2"/>
  <c r="C16755" i="2"/>
  <c r="C16756" i="2"/>
  <c r="C16757" i="2"/>
  <c r="C16758" i="2"/>
  <c r="C16759" i="2"/>
  <c r="C16760" i="2"/>
  <c r="C16761" i="2"/>
  <c r="C16762" i="2"/>
  <c r="C16763" i="2"/>
  <c r="C16764" i="2"/>
  <c r="C16765" i="2"/>
  <c r="C16766" i="2"/>
  <c r="C16767" i="2"/>
  <c r="C16768" i="2"/>
  <c r="C16769" i="2"/>
  <c r="C16770" i="2"/>
  <c r="C16771" i="2"/>
  <c r="C16772" i="2"/>
  <c r="C16773" i="2"/>
  <c r="C16774" i="2"/>
  <c r="C16775" i="2"/>
  <c r="C16776" i="2"/>
  <c r="C16777" i="2"/>
  <c r="C16778" i="2"/>
  <c r="C16779" i="2"/>
  <c r="C16780" i="2"/>
  <c r="C16781" i="2"/>
  <c r="C16782" i="2"/>
  <c r="C16783" i="2"/>
  <c r="C16784" i="2"/>
  <c r="C16785" i="2"/>
  <c r="C16786" i="2"/>
  <c r="C16787" i="2"/>
  <c r="C16788" i="2"/>
  <c r="C16789" i="2"/>
  <c r="C16790" i="2"/>
  <c r="C16791" i="2"/>
  <c r="C16792" i="2"/>
  <c r="C16793" i="2"/>
  <c r="C16794" i="2"/>
  <c r="C16795" i="2"/>
  <c r="C16796" i="2"/>
  <c r="C16797" i="2"/>
  <c r="C16798" i="2"/>
  <c r="C16799" i="2"/>
  <c r="C16800" i="2"/>
  <c r="C16801" i="2"/>
  <c r="C16802" i="2"/>
  <c r="C16803" i="2"/>
  <c r="C16804" i="2"/>
  <c r="C16805" i="2"/>
  <c r="C16806" i="2"/>
  <c r="C16807" i="2"/>
  <c r="C16808" i="2"/>
  <c r="C16809" i="2"/>
  <c r="C16810" i="2"/>
  <c r="C16811" i="2"/>
  <c r="C16812" i="2"/>
  <c r="C16813" i="2"/>
  <c r="C16814" i="2"/>
  <c r="C16815" i="2"/>
  <c r="C16816" i="2"/>
  <c r="C16817" i="2"/>
  <c r="C16818" i="2"/>
  <c r="C16819" i="2"/>
  <c r="C16820" i="2"/>
  <c r="C16821" i="2"/>
  <c r="C16822" i="2"/>
  <c r="C16823" i="2"/>
  <c r="C16824" i="2"/>
  <c r="C16825" i="2"/>
  <c r="C16826" i="2"/>
  <c r="C16827" i="2"/>
  <c r="C16828" i="2"/>
  <c r="C16829" i="2"/>
  <c r="C16830" i="2"/>
  <c r="C16831" i="2"/>
  <c r="C16832" i="2"/>
  <c r="C16833" i="2"/>
  <c r="C16834" i="2"/>
  <c r="C16835" i="2"/>
  <c r="C16836" i="2"/>
  <c r="C16837" i="2"/>
  <c r="C16838" i="2"/>
  <c r="C16839" i="2"/>
  <c r="C16840" i="2"/>
  <c r="C16841" i="2"/>
  <c r="C16842" i="2"/>
  <c r="C16843" i="2"/>
  <c r="C16844" i="2"/>
  <c r="C16845" i="2"/>
  <c r="C16846" i="2"/>
  <c r="C16847" i="2"/>
  <c r="C16848" i="2"/>
  <c r="C16849" i="2"/>
  <c r="C16850" i="2"/>
  <c r="C16851" i="2"/>
  <c r="C16852" i="2"/>
  <c r="C16853" i="2"/>
  <c r="C16854" i="2"/>
  <c r="C16855" i="2"/>
  <c r="C16856" i="2"/>
  <c r="C16857" i="2"/>
  <c r="C16858" i="2"/>
  <c r="C16859" i="2"/>
  <c r="C16860" i="2"/>
  <c r="C16861" i="2"/>
  <c r="C16862" i="2"/>
  <c r="C16863" i="2"/>
  <c r="C16864" i="2"/>
  <c r="C16865" i="2"/>
  <c r="C16866" i="2"/>
  <c r="C16867" i="2"/>
  <c r="C16868" i="2"/>
  <c r="C16869" i="2"/>
  <c r="C16870" i="2"/>
  <c r="C16871" i="2"/>
  <c r="C16872" i="2"/>
  <c r="C16873" i="2"/>
  <c r="C16874" i="2"/>
  <c r="C16875" i="2"/>
  <c r="C16876" i="2"/>
  <c r="C16877" i="2"/>
  <c r="C16878" i="2"/>
  <c r="C16879" i="2"/>
  <c r="C16880" i="2"/>
  <c r="C16881" i="2"/>
  <c r="C16882" i="2"/>
  <c r="C16883" i="2"/>
  <c r="C16884" i="2"/>
  <c r="C16885" i="2"/>
  <c r="C16886" i="2"/>
  <c r="C16887" i="2"/>
  <c r="C16888" i="2"/>
  <c r="C16889" i="2"/>
  <c r="C16890" i="2"/>
  <c r="C16891" i="2"/>
  <c r="C16892" i="2"/>
  <c r="C16893" i="2"/>
  <c r="C16894" i="2"/>
  <c r="C16895" i="2"/>
  <c r="C16896" i="2"/>
  <c r="C16897" i="2"/>
  <c r="C16898" i="2"/>
  <c r="C16899" i="2"/>
  <c r="C16900" i="2"/>
  <c r="C16901" i="2"/>
  <c r="C16902" i="2"/>
  <c r="C16903" i="2"/>
  <c r="C16904" i="2"/>
  <c r="C16905" i="2"/>
  <c r="C16906" i="2"/>
  <c r="C16907" i="2"/>
  <c r="C16908" i="2"/>
  <c r="C16909" i="2"/>
  <c r="C16910" i="2"/>
  <c r="C16911" i="2"/>
  <c r="C16912" i="2"/>
  <c r="C16913" i="2"/>
  <c r="C16914" i="2"/>
  <c r="C16915" i="2"/>
  <c r="C16916" i="2"/>
  <c r="C16917" i="2"/>
  <c r="C16918" i="2"/>
  <c r="C16919" i="2"/>
  <c r="C16920" i="2"/>
  <c r="C16921" i="2"/>
  <c r="C16922" i="2"/>
  <c r="C16923" i="2"/>
  <c r="C16924" i="2"/>
  <c r="C16925" i="2"/>
  <c r="C16926" i="2"/>
  <c r="C16927" i="2"/>
  <c r="C16928" i="2"/>
  <c r="C16929" i="2"/>
  <c r="C16930" i="2"/>
  <c r="C16931" i="2"/>
  <c r="C16932" i="2"/>
  <c r="C16933" i="2"/>
  <c r="C16934" i="2"/>
  <c r="C16935" i="2"/>
  <c r="C16936" i="2"/>
  <c r="C16937" i="2"/>
  <c r="C16938" i="2"/>
  <c r="C16939" i="2"/>
  <c r="C16940" i="2"/>
  <c r="C16941" i="2"/>
  <c r="C16942" i="2"/>
  <c r="C16943" i="2"/>
  <c r="C16944" i="2"/>
  <c r="C16945" i="2"/>
  <c r="C16946" i="2"/>
  <c r="C16947" i="2"/>
  <c r="C16948" i="2"/>
  <c r="C16949" i="2"/>
  <c r="C16950" i="2"/>
  <c r="C16951" i="2"/>
  <c r="C16952" i="2"/>
  <c r="C16953" i="2"/>
  <c r="C16954" i="2"/>
  <c r="C16955" i="2"/>
  <c r="C16956" i="2"/>
  <c r="C16957" i="2"/>
  <c r="C16958" i="2"/>
  <c r="C16959" i="2"/>
  <c r="C16960" i="2"/>
  <c r="C16961" i="2"/>
  <c r="C16962" i="2"/>
  <c r="C16963" i="2"/>
  <c r="C16964" i="2"/>
  <c r="C16965" i="2"/>
  <c r="C16966" i="2"/>
  <c r="C16967" i="2"/>
  <c r="C16968" i="2"/>
  <c r="C16969" i="2"/>
  <c r="C16970" i="2"/>
  <c r="C16971" i="2"/>
  <c r="C16972" i="2"/>
  <c r="C16973" i="2"/>
  <c r="C16974" i="2"/>
  <c r="C16975" i="2"/>
  <c r="C16976" i="2"/>
  <c r="C16977" i="2"/>
  <c r="C16978" i="2"/>
  <c r="C16979" i="2"/>
  <c r="C16980" i="2"/>
  <c r="C16981" i="2"/>
  <c r="C16982" i="2"/>
  <c r="C16983" i="2"/>
  <c r="C16984" i="2"/>
  <c r="C16985" i="2"/>
  <c r="C16986" i="2"/>
  <c r="C16987" i="2"/>
  <c r="C16988" i="2"/>
  <c r="C16989" i="2"/>
  <c r="C16990" i="2"/>
  <c r="C16991" i="2"/>
  <c r="C16992" i="2"/>
  <c r="C16993" i="2"/>
  <c r="C16994" i="2"/>
  <c r="C16995" i="2"/>
  <c r="C16996" i="2"/>
  <c r="C16997" i="2"/>
  <c r="C16998" i="2"/>
  <c r="C16999" i="2"/>
  <c r="C17000" i="2"/>
  <c r="C17001" i="2"/>
  <c r="C17002" i="2"/>
  <c r="C17003" i="2"/>
  <c r="C17004" i="2"/>
  <c r="C17005" i="2"/>
  <c r="C17006" i="2"/>
  <c r="C17007" i="2"/>
  <c r="C17008" i="2"/>
  <c r="C17009" i="2"/>
  <c r="C17010" i="2"/>
  <c r="C17011" i="2"/>
  <c r="C17012" i="2"/>
  <c r="C17013" i="2"/>
  <c r="C17014" i="2"/>
  <c r="C17015" i="2"/>
  <c r="C17016" i="2"/>
  <c r="C17017" i="2"/>
  <c r="C17018" i="2"/>
  <c r="C17019" i="2"/>
  <c r="C17020" i="2"/>
  <c r="C17021" i="2"/>
  <c r="C17022" i="2"/>
  <c r="C17023" i="2"/>
  <c r="C17024" i="2"/>
  <c r="C17025" i="2"/>
  <c r="C17026" i="2"/>
  <c r="C17027" i="2"/>
  <c r="C17028" i="2"/>
  <c r="C17029" i="2"/>
  <c r="C17030" i="2"/>
  <c r="C17031" i="2"/>
  <c r="C17032" i="2"/>
  <c r="C17033" i="2"/>
  <c r="C17034" i="2"/>
  <c r="C17035" i="2"/>
  <c r="C17036" i="2"/>
  <c r="C17037" i="2"/>
  <c r="C17038" i="2"/>
  <c r="C17039" i="2"/>
  <c r="C17040" i="2"/>
  <c r="C17041" i="2"/>
  <c r="C17042" i="2"/>
  <c r="C17043" i="2"/>
  <c r="C17044" i="2"/>
  <c r="C17045" i="2"/>
  <c r="C17046" i="2"/>
  <c r="C17047" i="2"/>
  <c r="C17048" i="2"/>
  <c r="C17049" i="2"/>
  <c r="C17050" i="2"/>
  <c r="C17051" i="2"/>
  <c r="C17052" i="2"/>
  <c r="C17053" i="2"/>
  <c r="C17054" i="2"/>
  <c r="C17055" i="2"/>
  <c r="C17056" i="2"/>
  <c r="C17057" i="2"/>
  <c r="C17058" i="2"/>
  <c r="C17059" i="2"/>
  <c r="C17060" i="2"/>
  <c r="C17061" i="2"/>
  <c r="C17062" i="2"/>
  <c r="C17063" i="2"/>
  <c r="C17064" i="2"/>
  <c r="C17065" i="2"/>
  <c r="C17066" i="2"/>
  <c r="C17067" i="2"/>
  <c r="C17068" i="2"/>
  <c r="C17069" i="2"/>
  <c r="C17070" i="2"/>
  <c r="C17071" i="2"/>
  <c r="C17072" i="2"/>
  <c r="C17073" i="2"/>
  <c r="C17074" i="2"/>
  <c r="C17075" i="2"/>
  <c r="C17076" i="2"/>
  <c r="C17077" i="2"/>
  <c r="C17078" i="2"/>
  <c r="C17079" i="2"/>
  <c r="C17080" i="2"/>
  <c r="C17081" i="2"/>
  <c r="C17082" i="2"/>
  <c r="C17083" i="2"/>
  <c r="C17084" i="2"/>
  <c r="C17085" i="2"/>
  <c r="C17086" i="2"/>
  <c r="C17087" i="2"/>
  <c r="C17088" i="2"/>
  <c r="C17089" i="2"/>
  <c r="C17090" i="2"/>
  <c r="C17091" i="2"/>
  <c r="C17092" i="2"/>
  <c r="C17093" i="2"/>
  <c r="C17094" i="2"/>
  <c r="C17095" i="2"/>
  <c r="C17096" i="2"/>
  <c r="C17097" i="2"/>
  <c r="C17098" i="2"/>
  <c r="C17099" i="2"/>
  <c r="C17100" i="2"/>
  <c r="C17101" i="2"/>
  <c r="C17102" i="2"/>
  <c r="C17103" i="2"/>
  <c r="C17104" i="2"/>
  <c r="C17105" i="2"/>
  <c r="C17106" i="2"/>
  <c r="C17107" i="2"/>
  <c r="C17108" i="2"/>
  <c r="C17109" i="2"/>
  <c r="C17110" i="2"/>
  <c r="C17111" i="2"/>
  <c r="C17112" i="2"/>
  <c r="C17113" i="2"/>
  <c r="C17114" i="2"/>
  <c r="C17115" i="2"/>
  <c r="C17116" i="2"/>
  <c r="C17117" i="2"/>
  <c r="C17118" i="2"/>
  <c r="C17119" i="2"/>
  <c r="C17120" i="2"/>
  <c r="C17121" i="2"/>
  <c r="C17122" i="2"/>
  <c r="C17123" i="2"/>
  <c r="C17124" i="2"/>
  <c r="C17125" i="2"/>
  <c r="C17126" i="2"/>
  <c r="C17127" i="2"/>
  <c r="C17128" i="2"/>
  <c r="C17129" i="2"/>
  <c r="C17130" i="2"/>
  <c r="C17131" i="2"/>
  <c r="C17132" i="2"/>
  <c r="C17133" i="2"/>
  <c r="C17134" i="2"/>
  <c r="C17135" i="2"/>
  <c r="C17136" i="2"/>
  <c r="C17137" i="2"/>
  <c r="C17138" i="2"/>
  <c r="C17139" i="2"/>
  <c r="C17140" i="2"/>
  <c r="C17141" i="2"/>
  <c r="C17142" i="2"/>
  <c r="C17143" i="2"/>
  <c r="C17144" i="2"/>
  <c r="C17145" i="2"/>
  <c r="C17146" i="2"/>
  <c r="C17147" i="2"/>
  <c r="C17148" i="2"/>
  <c r="C17149" i="2"/>
  <c r="C17150" i="2"/>
  <c r="C17151" i="2"/>
  <c r="C17152" i="2"/>
  <c r="C17153" i="2"/>
  <c r="C17154" i="2"/>
  <c r="C17155" i="2"/>
  <c r="C17156" i="2"/>
  <c r="C17157" i="2"/>
  <c r="C17158" i="2"/>
  <c r="C17159" i="2"/>
  <c r="C17160" i="2"/>
  <c r="C17161" i="2"/>
  <c r="C17162" i="2"/>
  <c r="C17163" i="2"/>
  <c r="C17164" i="2"/>
  <c r="C17165" i="2"/>
  <c r="C17166" i="2"/>
  <c r="C17167" i="2"/>
  <c r="C17168" i="2"/>
  <c r="C17169" i="2"/>
  <c r="C17170" i="2"/>
  <c r="C17171" i="2"/>
  <c r="C17172" i="2"/>
  <c r="C17173" i="2"/>
  <c r="C17174" i="2"/>
  <c r="C17175" i="2"/>
  <c r="C17176" i="2"/>
  <c r="C17177" i="2"/>
  <c r="C17178" i="2"/>
  <c r="C17179" i="2"/>
  <c r="C17180" i="2"/>
  <c r="C17181" i="2"/>
  <c r="C17182" i="2"/>
  <c r="C17183" i="2"/>
  <c r="C17184" i="2"/>
  <c r="C17185" i="2"/>
  <c r="C17186" i="2"/>
  <c r="C17187" i="2"/>
  <c r="C17188" i="2"/>
  <c r="C17189" i="2"/>
  <c r="C17190" i="2"/>
  <c r="C17191" i="2"/>
  <c r="C17192" i="2"/>
  <c r="C17193" i="2"/>
  <c r="C17194" i="2"/>
  <c r="C17195" i="2"/>
  <c r="C17196" i="2"/>
  <c r="C17197" i="2"/>
  <c r="C17198" i="2"/>
  <c r="C17199" i="2"/>
  <c r="C17200" i="2"/>
  <c r="C17201" i="2"/>
  <c r="C17202" i="2"/>
  <c r="C17203" i="2"/>
  <c r="C17204" i="2"/>
  <c r="C17205" i="2"/>
  <c r="C17206" i="2"/>
  <c r="C17207" i="2"/>
  <c r="C17208" i="2"/>
  <c r="C17209" i="2"/>
  <c r="C17210" i="2"/>
  <c r="C17211" i="2"/>
  <c r="C17212" i="2"/>
  <c r="C17213" i="2"/>
  <c r="C17214" i="2"/>
  <c r="C17215" i="2"/>
  <c r="C17216" i="2"/>
  <c r="C17217" i="2"/>
  <c r="C17218" i="2"/>
  <c r="C17219" i="2"/>
  <c r="C17220" i="2"/>
  <c r="C17221" i="2"/>
  <c r="C17222" i="2"/>
  <c r="C17223" i="2"/>
  <c r="C17224" i="2"/>
  <c r="C17225" i="2"/>
  <c r="C17226" i="2"/>
  <c r="C17227" i="2"/>
  <c r="C17228" i="2"/>
  <c r="C17229" i="2"/>
  <c r="C17230" i="2"/>
  <c r="C17231" i="2"/>
  <c r="C17232" i="2"/>
  <c r="C17233" i="2"/>
  <c r="C17234" i="2"/>
  <c r="C17235" i="2"/>
  <c r="C17236" i="2"/>
  <c r="C17237" i="2"/>
  <c r="C17238" i="2"/>
  <c r="C17239" i="2"/>
  <c r="C17240" i="2"/>
  <c r="C17241" i="2"/>
  <c r="C17242" i="2"/>
  <c r="C17243" i="2"/>
  <c r="C17244" i="2"/>
  <c r="C17245" i="2"/>
  <c r="C17246" i="2"/>
  <c r="C17247" i="2"/>
  <c r="C17248" i="2"/>
  <c r="C17249" i="2"/>
  <c r="C17250" i="2"/>
  <c r="C17251" i="2"/>
  <c r="C17252" i="2"/>
  <c r="C17253" i="2"/>
  <c r="C17254" i="2"/>
  <c r="C17255" i="2"/>
  <c r="C17256" i="2"/>
  <c r="C17257" i="2"/>
  <c r="C17258" i="2"/>
  <c r="C17259" i="2"/>
  <c r="C17260" i="2"/>
  <c r="C17261" i="2"/>
  <c r="C17262" i="2"/>
  <c r="C17263" i="2"/>
  <c r="C17264" i="2"/>
  <c r="C17265" i="2"/>
  <c r="C17266" i="2"/>
  <c r="C17267" i="2"/>
  <c r="C17268" i="2"/>
  <c r="C17269" i="2"/>
  <c r="C17270" i="2"/>
  <c r="C17271" i="2"/>
  <c r="C17272" i="2"/>
  <c r="C17273" i="2"/>
  <c r="C17274" i="2"/>
  <c r="C17275" i="2"/>
  <c r="C17276" i="2"/>
  <c r="C17277" i="2"/>
  <c r="C17278" i="2"/>
  <c r="C17279" i="2"/>
  <c r="C17280" i="2"/>
  <c r="C17281" i="2"/>
  <c r="C17282" i="2"/>
  <c r="C17283" i="2"/>
  <c r="C17284" i="2"/>
  <c r="C17285" i="2"/>
  <c r="C17286" i="2"/>
  <c r="C17287" i="2"/>
  <c r="C17288" i="2"/>
  <c r="C17289" i="2"/>
  <c r="C17290" i="2"/>
  <c r="C17291" i="2"/>
  <c r="C17292" i="2"/>
  <c r="C17293" i="2"/>
  <c r="C17294" i="2"/>
  <c r="C17295" i="2"/>
  <c r="C17296" i="2"/>
  <c r="C17297" i="2"/>
  <c r="C17298" i="2"/>
  <c r="C17299" i="2"/>
  <c r="C17300" i="2"/>
  <c r="C17301" i="2"/>
  <c r="C17302" i="2"/>
  <c r="C17303" i="2"/>
  <c r="C17304" i="2"/>
  <c r="C17305" i="2"/>
  <c r="C17306" i="2"/>
  <c r="C17307" i="2"/>
  <c r="C17308" i="2"/>
  <c r="C17309" i="2"/>
  <c r="C17310" i="2"/>
  <c r="C17311" i="2"/>
  <c r="C17312" i="2"/>
  <c r="C17313" i="2"/>
  <c r="C17314" i="2"/>
  <c r="C17315" i="2"/>
  <c r="C17316" i="2"/>
  <c r="C17317" i="2"/>
  <c r="C17318" i="2"/>
  <c r="C17319" i="2"/>
  <c r="C17320" i="2"/>
  <c r="C17321" i="2"/>
  <c r="C17322" i="2"/>
  <c r="C17323" i="2"/>
  <c r="C17324" i="2"/>
  <c r="C17325" i="2"/>
  <c r="C17326" i="2"/>
  <c r="C17327" i="2"/>
  <c r="C17328" i="2"/>
  <c r="C17329" i="2"/>
  <c r="C17330" i="2"/>
  <c r="C17331" i="2"/>
  <c r="C17332" i="2"/>
  <c r="C17333" i="2"/>
  <c r="C17334" i="2"/>
  <c r="C17335" i="2"/>
  <c r="C17336" i="2"/>
  <c r="C17337" i="2"/>
  <c r="C17338" i="2"/>
  <c r="C17339" i="2"/>
  <c r="C17340" i="2"/>
  <c r="C17341" i="2"/>
  <c r="C17342" i="2"/>
  <c r="C17343" i="2"/>
  <c r="C17344" i="2"/>
  <c r="C17345" i="2"/>
  <c r="C17346" i="2"/>
  <c r="C17347" i="2"/>
  <c r="C17348" i="2"/>
  <c r="C17349" i="2"/>
  <c r="C17350" i="2"/>
  <c r="C17351" i="2"/>
  <c r="C17352" i="2"/>
  <c r="C17353" i="2"/>
  <c r="C17354" i="2"/>
  <c r="C17355" i="2"/>
  <c r="C17356" i="2"/>
  <c r="C17357" i="2"/>
  <c r="C17358" i="2"/>
  <c r="C17359" i="2"/>
  <c r="C17360" i="2"/>
  <c r="C17361" i="2"/>
  <c r="C17362" i="2"/>
  <c r="C17363" i="2"/>
  <c r="C17364" i="2"/>
  <c r="C17365" i="2"/>
  <c r="C17366" i="2"/>
  <c r="C17367" i="2"/>
  <c r="C17368" i="2"/>
  <c r="C17369" i="2"/>
  <c r="C17370" i="2"/>
  <c r="C17371" i="2"/>
  <c r="C17372" i="2"/>
  <c r="C17373" i="2"/>
  <c r="C17374" i="2"/>
  <c r="C17375" i="2"/>
  <c r="C17376" i="2"/>
  <c r="C17377" i="2"/>
  <c r="C17378" i="2"/>
  <c r="C17379" i="2"/>
  <c r="C17380" i="2"/>
  <c r="C17381" i="2"/>
  <c r="C17382" i="2"/>
  <c r="C17383" i="2"/>
  <c r="C17384" i="2"/>
  <c r="C17385" i="2"/>
  <c r="C17386" i="2"/>
  <c r="C17387" i="2"/>
  <c r="C17388" i="2"/>
  <c r="C17389" i="2"/>
  <c r="C17390" i="2"/>
  <c r="C17391" i="2"/>
  <c r="C17392" i="2"/>
  <c r="C17393" i="2"/>
  <c r="C17394" i="2"/>
  <c r="C17395" i="2"/>
  <c r="C17396" i="2"/>
  <c r="C17397" i="2"/>
  <c r="C17398" i="2"/>
  <c r="C17399" i="2"/>
  <c r="C17400" i="2"/>
  <c r="C17401" i="2"/>
  <c r="C17402" i="2"/>
  <c r="C17403" i="2"/>
  <c r="C17404" i="2"/>
  <c r="C17405" i="2"/>
  <c r="C17406" i="2"/>
  <c r="C17407" i="2"/>
  <c r="C17408" i="2"/>
  <c r="C17409" i="2"/>
  <c r="C17410" i="2"/>
  <c r="C17411" i="2"/>
  <c r="C17412" i="2"/>
  <c r="C17413" i="2"/>
  <c r="C17414" i="2"/>
  <c r="C17415" i="2"/>
  <c r="C17416" i="2"/>
  <c r="C17417" i="2"/>
  <c r="C17418" i="2"/>
  <c r="C17419" i="2"/>
  <c r="C17420" i="2"/>
  <c r="C17421" i="2"/>
  <c r="C17422" i="2"/>
  <c r="C17423" i="2"/>
  <c r="C17424" i="2"/>
  <c r="C17425" i="2"/>
  <c r="C17426" i="2"/>
  <c r="C17427" i="2"/>
  <c r="C17428" i="2"/>
  <c r="C17429" i="2"/>
  <c r="C17430" i="2"/>
  <c r="C17431" i="2"/>
  <c r="C17432" i="2"/>
  <c r="C17433" i="2"/>
  <c r="C17434" i="2"/>
  <c r="C17435" i="2"/>
  <c r="C17436" i="2"/>
  <c r="C17437" i="2"/>
  <c r="C17438" i="2"/>
  <c r="C17439" i="2"/>
  <c r="C17440" i="2"/>
  <c r="C17441" i="2"/>
  <c r="C17442" i="2"/>
  <c r="C17443" i="2"/>
  <c r="C17444" i="2"/>
  <c r="C17445" i="2"/>
  <c r="C17446" i="2"/>
  <c r="C17447" i="2"/>
  <c r="C17448" i="2"/>
  <c r="C17449" i="2"/>
  <c r="C17450" i="2"/>
  <c r="C17451" i="2"/>
  <c r="C17452" i="2"/>
  <c r="C17453" i="2"/>
  <c r="C17454" i="2"/>
  <c r="C17455" i="2"/>
  <c r="C17456" i="2"/>
  <c r="C17457" i="2"/>
  <c r="C17458" i="2"/>
  <c r="C17459" i="2"/>
  <c r="C17460" i="2"/>
  <c r="C17461" i="2"/>
  <c r="C17462" i="2"/>
  <c r="C17463" i="2"/>
  <c r="C17464" i="2"/>
  <c r="C17465" i="2"/>
  <c r="C17466" i="2"/>
  <c r="C17467" i="2"/>
  <c r="C17468" i="2"/>
  <c r="C17469" i="2"/>
  <c r="C17470" i="2"/>
  <c r="C17471" i="2"/>
  <c r="C17472" i="2"/>
  <c r="C17473" i="2"/>
  <c r="C17474" i="2"/>
  <c r="C17475" i="2"/>
  <c r="C17476" i="2"/>
  <c r="C17477" i="2"/>
  <c r="C17478" i="2"/>
  <c r="C17479" i="2"/>
  <c r="C17480" i="2"/>
  <c r="C17481" i="2"/>
  <c r="C17482" i="2"/>
  <c r="C17483" i="2"/>
  <c r="C17484" i="2"/>
  <c r="C17485" i="2"/>
  <c r="C17486" i="2"/>
  <c r="C17487" i="2"/>
  <c r="C17488" i="2"/>
  <c r="C17489" i="2"/>
  <c r="C17490" i="2"/>
  <c r="C17491" i="2"/>
  <c r="C17492" i="2"/>
  <c r="C17493" i="2"/>
  <c r="C17494" i="2"/>
  <c r="C17495" i="2"/>
  <c r="C17496" i="2"/>
  <c r="C17497" i="2"/>
  <c r="C17498" i="2"/>
  <c r="C17499" i="2"/>
  <c r="C17500" i="2"/>
  <c r="C17501" i="2"/>
  <c r="C17502" i="2"/>
  <c r="C17503" i="2"/>
  <c r="C17504" i="2"/>
  <c r="C17505" i="2"/>
  <c r="C17506" i="2"/>
  <c r="C17507" i="2"/>
  <c r="C17508" i="2"/>
  <c r="C17509" i="2"/>
  <c r="C17510" i="2"/>
  <c r="C17511" i="2"/>
  <c r="C17512" i="2"/>
  <c r="C17513" i="2"/>
  <c r="C17514" i="2"/>
  <c r="C17515" i="2"/>
  <c r="C17516" i="2"/>
  <c r="C17517" i="2"/>
  <c r="C17518" i="2"/>
  <c r="C17519" i="2"/>
  <c r="C17520" i="2"/>
  <c r="C17521" i="2"/>
  <c r="C17522" i="2"/>
  <c r="C17523" i="2"/>
  <c r="C17524" i="2"/>
  <c r="C17525" i="2"/>
  <c r="C17526" i="2"/>
  <c r="C17527" i="2"/>
  <c r="C17528" i="2"/>
  <c r="C17529" i="2"/>
  <c r="C17530" i="2"/>
  <c r="C17531" i="2"/>
  <c r="C17532" i="2"/>
  <c r="C17533" i="2"/>
  <c r="C17534" i="2"/>
  <c r="C17535" i="2"/>
  <c r="C17536" i="2"/>
  <c r="C17537" i="2"/>
  <c r="C17538" i="2"/>
  <c r="C17539" i="2"/>
  <c r="C17540" i="2"/>
  <c r="C17541" i="2"/>
  <c r="C17542" i="2"/>
  <c r="C17543" i="2"/>
  <c r="C17544" i="2"/>
  <c r="C17545" i="2"/>
  <c r="C17546" i="2"/>
  <c r="C17547" i="2"/>
  <c r="C17548" i="2"/>
  <c r="C17549" i="2"/>
  <c r="C17550" i="2"/>
  <c r="C17551" i="2"/>
  <c r="C17552" i="2"/>
  <c r="C17553" i="2"/>
  <c r="C17554" i="2"/>
  <c r="C17555" i="2"/>
  <c r="C17556" i="2"/>
  <c r="C17557" i="2"/>
  <c r="C17558" i="2"/>
  <c r="C17559" i="2"/>
  <c r="C17560" i="2"/>
  <c r="C17561" i="2"/>
  <c r="C17562" i="2"/>
  <c r="C17563" i="2"/>
  <c r="C17564" i="2"/>
  <c r="C17565" i="2"/>
  <c r="C17566" i="2"/>
  <c r="C17567" i="2"/>
  <c r="C17568" i="2"/>
  <c r="C17569" i="2"/>
  <c r="C17570" i="2"/>
  <c r="C17571" i="2"/>
  <c r="C17572" i="2"/>
  <c r="C17573" i="2"/>
  <c r="C17574" i="2"/>
  <c r="C17575" i="2"/>
  <c r="C17576" i="2"/>
  <c r="C17577" i="2"/>
  <c r="C17578" i="2"/>
  <c r="C17579" i="2"/>
  <c r="C17580" i="2"/>
  <c r="C17581" i="2"/>
  <c r="C17582" i="2"/>
  <c r="C17583" i="2"/>
  <c r="C17584" i="2"/>
  <c r="C17585" i="2"/>
  <c r="C17586" i="2"/>
  <c r="C17587" i="2"/>
  <c r="C17588" i="2"/>
  <c r="C17589" i="2"/>
  <c r="C17590" i="2"/>
  <c r="C17591" i="2"/>
  <c r="C17592" i="2"/>
  <c r="C17593" i="2"/>
  <c r="C17594" i="2"/>
  <c r="C17595" i="2"/>
  <c r="C17596" i="2"/>
  <c r="C17597" i="2"/>
  <c r="C17598" i="2"/>
  <c r="C17599" i="2"/>
  <c r="C17600" i="2"/>
  <c r="C17601" i="2"/>
  <c r="C17602" i="2"/>
  <c r="C17603" i="2"/>
  <c r="C17604" i="2"/>
  <c r="C17605" i="2"/>
  <c r="C17606" i="2"/>
  <c r="C17607" i="2"/>
  <c r="C17608" i="2"/>
  <c r="C17609" i="2"/>
  <c r="C17610" i="2"/>
  <c r="C17611" i="2"/>
  <c r="C17612" i="2"/>
  <c r="C17613" i="2"/>
  <c r="C17614" i="2"/>
  <c r="C17615" i="2"/>
  <c r="C17616" i="2"/>
  <c r="C17617" i="2"/>
  <c r="C17618" i="2"/>
  <c r="C17619" i="2"/>
  <c r="C17620" i="2"/>
  <c r="C17621" i="2"/>
  <c r="C17622" i="2"/>
  <c r="C17623" i="2"/>
  <c r="C17624" i="2"/>
  <c r="C17625" i="2"/>
  <c r="C17626" i="2"/>
  <c r="C17627" i="2"/>
  <c r="C17628" i="2"/>
  <c r="C17629" i="2"/>
  <c r="C17630" i="2"/>
  <c r="C17631" i="2"/>
  <c r="C17632" i="2"/>
  <c r="C17633" i="2"/>
  <c r="C17634" i="2"/>
  <c r="C17635" i="2"/>
  <c r="C17636" i="2"/>
  <c r="C17637" i="2"/>
  <c r="C17638" i="2"/>
  <c r="C17639" i="2"/>
  <c r="C17640" i="2"/>
  <c r="C17641" i="2"/>
  <c r="C17642" i="2"/>
  <c r="C17643" i="2"/>
  <c r="C17644" i="2"/>
  <c r="C17645" i="2"/>
  <c r="C17646" i="2"/>
  <c r="C17647" i="2"/>
  <c r="C17648" i="2"/>
  <c r="C17649" i="2"/>
  <c r="C17650" i="2"/>
  <c r="C17651" i="2"/>
  <c r="C17652" i="2"/>
  <c r="C17653" i="2"/>
  <c r="C17654" i="2"/>
  <c r="C17655" i="2"/>
  <c r="C17656" i="2"/>
  <c r="C17657" i="2"/>
  <c r="C17658" i="2"/>
  <c r="C17659" i="2"/>
  <c r="C17660" i="2"/>
  <c r="C17661" i="2"/>
  <c r="C17662" i="2"/>
  <c r="C17663" i="2"/>
  <c r="C17664" i="2"/>
  <c r="C17665" i="2"/>
  <c r="C17666" i="2"/>
  <c r="C17667" i="2"/>
  <c r="C17668" i="2"/>
  <c r="C17669" i="2"/>
  <c r="C17670" i="2"/>
  <c r="C17671" i="2"/>
  <c r="C17672" i="2"/>
  <c r="C17673" i="2"/>
  <c r="C17674" i="2"/>
  <c r="C17675" i="2"/>
  <c r="C17676" i="2"/>
  <c r="C17677" i="2"/>
  <c r="C17678" i="2"/>
  <c r="C17679" i="2"/>
  <c r="C17680" i="2"/>
  <c r="C17681" i="2"/>
  <c r="C17682" i="2"/>
  <c r="C17683" i="2"/>
  <c r="C17684" i="2"/>
  <c r="C17685" i="2"/>
  <c r="C17686" i="2"/>
  <c r="C17687" i="2"/>
  <c r="C17688" i="2"/>
  <c r="C17689" i="2"/>
  <c r="C17690" i="2"/>
  <c r="C17691" i="2"/>
  <c r="C17692" i="2"/>
  <c r="C17693" i="2"/>
  <c r="C17694" i="2"/>
  <c r="C17695" i="2"/>
  <c r="C17696" i="2"/>
  <c r="C17697" i="2"/>
  <c r="C17698" i="2"/>
  <c r="C17699" i="2"/>
  <c r="C17700" i="2"/>
  <c r="C17701" i="2"/>
  <c r="C17702" i="2"/>
  <c r="C17703" i="2"/>
  <c r="C17704" i="2"/>
  <c r="C17705" i="2"/>
  <c r="C17706" i="2"/>
  <c r="C17707" i="2"/>
  <c r="C17708" i="2"/>
  <c r="C17709" i="2"/>
  <c r="C17710" i="2"/>
  <c r="C17711" i="2"/>
  <c r="C17712" i="2"/>
  <c r="C17713" i="2"/>
  <c r="C17714" i="2"/>
  <c r="C17715" i="2"/>
  <c r="C17716" i="2"/>
  <c r="C17717" i="2"/>
  <c r="C17718" i="2"/>
  <c r="C17719" i="2"/>
  <c r="C17720" i="2"/>
  <c r="C17721" i="2"/>
  <c r="C17722" i="2"/>
  <c r="C17723" i="2"/>
  <c r="C17724" i="2"/>
  <c r="C17725" i="2"/>
  <c r="C17726" i="2"/>
  <c r="C17727" i="2"/>
  <c r="C17728" i="2"/>
  <c r="C17729" i="2"/>
  <c r="C17730" i="2"/>
  <c r="C17731" i="2"/>
  <c r="C17732" i="2"/>
  <c r="C17733" i="2"/>
  <c r="C17734" i="2"/>
  <c r="C17735" i="2"/>
  <c r="C17736" i="2"/>
  <c r="C17737" i="2"/>
  <c r="C17738" i="2"/>
  <c r="C17739" i="2"/>
  <c r="C17740" i="2"/>
  <c r="C17741" i="2"/>
  <c r="C17742" i="2"/>
  <c r="C17743" i="2"/>
  <c r="C17744" i="2"/>
  <c r="C17745" i="2"/>
  <c r="C17746" i="2"/>
  <c r="C17747" i="2"/>
  <c r="C17748" i="2"/>
  <c r="C17749" i="2"/>
  <c r="C17750" i="2"/>
  <c r="C17751" i="2"/>
  <c r="C17752" i="2"/>
  <c r="C17753" i="2"/>
  <c r="C17754" i="2"/>
  <c r="C17755" i="2"/>
  <c r="C17756" i="2"/>
  <c r="C17757" i="2"/>
  <c r="C17758" i="2"/>
  <c r="C17759" i="2"/>
  <c r="C17760" i="2"/>
  <c r="C17761" i="2"/>
  <c r="C17762" i="2"/>
  <c r="C17763" i="2"/>
  <c r="C17764" i="2"/>
  <c r="C17765" i="2"/>
  <c r="C17766" i="2"/>
  <c r="C17767" i="2"/>
  <c r="C17768" i="2"/>
  <c r="C17769" i="2"/>
  <c r="C17770" i="2"/>
  <c r="C17771" i="2"/>
  <c r="C17772" i="2"/>
  <c r="C17773" i="2"/>
  <c r="C17774" i="2"/>
  <c r="C17775" i="2"/>
  <c r="C17776" i="2"/>
  <c r="C17777" i="2"/>
  <c r="C17778" i="2"/>
  <c r="C17779" i="2"/>
  <c r="C17780" i="2"/>
  <c r="C17781" i="2"/>
  <c r="C17782" i="2"/>
  <c r="C17783" i="2"/>
  <c r="C17784" i="2"/>
  <c r="C17785" i="2"/>
  <c r="C17786" i="2"/>
  <c r="C17787" i="2"/>
  <c r="C17788" i="2"/>
  <c r="C17789" i="2"/>
  <c r="C17790" i="2"/>
  <c r="C17791" i="2"/>
  <c r="C17792" i="2"/>
  <c r="C17793" i="2"/>
  <c r="C17794" i="2"/>
  <c r="C17795" i="2"/>
  <c r="C17796" i="2"/>
  <c r="C17797" i="2"/>
  <c r="C17798" i="2"/>
  <c r="C17799" i="2"/>
  <c r="C17800" i="2"/>
  <c r="C17801" i="2"/>
  <c r="C17802" i="2"/>
  <c r="C17803" i="2"/>
  <c r="C17804" i="2"/>
  <c r="C17805" i="2"/>
  <c r="C17806" i="2"/>
  <c r="C17807" i="2"/>
  <c r="C17808" i="2"/>
  <c r="C17809" i="2"/>
  <c r="C17810" i="2"/>
  <c r="C17811" i="2"/>
  <c r="C17812" i="2"/>
  <c r="C17813" i="2"/>
  <c r="C17814" i="2"/>
  <c r="C17815" i="2"/>
  <c r="C17816" i="2"/>
  <c r="C17817" i="2"/>
  <c r="C17818" i="2"/>
  <c r="C17819" i="2"/>
  <c r="C17820" i="2"/>
  <c r="C17821" i="2"/>
  <c r="C17822" i="2"/>
  <c r="C17823" i="2"/>
  <c r="C17824" i="2"/>
  <c r="C17825" i="2"/>
  <c r="C17826" i="2"/>
  <c r="C17827" i="2"/>
  <c r="C17828" i="2"/>
  <c r="C17829" i="2"/>
  <c r="C17830" i="2"/>
  <c r="C17831" i="2"/>
  <c r="C17832" i="2"/>
  <c r="C17833" i="2"/>
  <c r="C17834" i="2"/>
  <c r="C17835" i="2"/>
  <c r="C17836" i="2"/>
  <c r="C17837" i="2"/>
  <c r="C17838" i="2"/>
  <c r="C17839" i="2"/>
  <c r="C17840" i="2"/>
  <c r="C17841" i="2"/>
  <c r="C17842" i="2"/>
  <c r="C17843" i="2"/>
  <c r="C17844" i="2"/>
  <c r="C17845" i="2"/>
  <c r="C17846" i="2"/>
  <c r="C17847" i="2"/>
  <c r="C17848" i="2"/>
  <c r="C17849" i="2"/>
  <c r="C17850" i="2"/>
  <c r="C17851" i="2"/>
  <c r="C17852" i="2"/>
  <c r="C17853" i="2"/>
  <c r="C17854" i="2"/>
  <c r="C17855" i="2"/>
  <c r="C17856" i="2"/>
  <c r="C17857" i="2"/>
  <c r="C17858" i="2"/>
  <c r="C17859" i="2"/>
  <c r="C17860" i="2"/>
  <c r="C17861" i="2"/>
  <c r="C17862" i="2"/>
  <c r="C17863" i="2"/>
  <c r="C17864" i="2"/>
  <c r="C17865" i="2"/>
  <c r="C17866" i="2"/>
  <c r="C17867" i="2"/>
  <c r="C17868" i="2"/>
  <c r="C17869" i="2"/>
  <c r="C17870" i="2"/>
  <c r="C17871" i="2"/>
  <c r="C17872" i="2"/>
  <c r="C17873" i="2"/>
  <c r="C17874" i="2"/>
  <c r="C17875" i="2"/>
  <c r="C17876" i="2"/>
  <c r="C17877" i="2"/>
  <c r="C17878" i="2"/>
  <c r="C17879" i="2"/>
  <c r="C17880" i="2"/>
  <c r="C17881" i="2"/>
  <c r="C17882" i="2"/>
  <c r="C17883" i="2"/>
  <c r="C17884" i="2"/>
  <c r="C17885" i="2"/>
  <c r="C17886" i="2"/>
  <c r="C17887" i="2"/>
  <c r="C17888" i="2"/>
  <c r="C17889" i="2"/>
  <c r="C17890" i="2"/>
  <c r="C17891" i="2"/>
  <c r="C17892" i="2"/>
  <c r="C17893" i="2"/>
  <c r="C17894" i="2"/>
  <c r="C17895" i="2"/>
  <c r="C17896" i="2"/>
  <c r="C17897" i="2"/>
  <c r="C17898" i="2"/>
  <c r="C17899" i="2"/>
  <c r="C17900" i="2"/>
  <c r="C17901" i="2"/>
  <c r="C17902" i="2"/>
  <c r="C17903" i="2"/>
  <c r="C17904" i="2"/>
  <c r="C17905" i="2"/>
  <c r="C17906" i="2"/>
  <c r="C17907" i="2"/>
  <c r="C17908" i="2"/>
  <c r="C17909" i="2"/>
  <c r="C17910" i="2"/>
  <c r="C17911" i="2"/>
  <c r="C17912" i="2"/>
  <c r="C17913" i="2"/>
  <c r="C17914" i="2"/>
  <c r="C17915" i="2"/>
  <c r="C17916" i="2"/>
  <c r="C17917" i="2"/>
  <c r="C17918" i="2"/>
  <c r="C17919" i="2"/>
  <c r="C17920" i="2"/>
  <c r="C17921" i="2"/>
  <c r="C17922" i="2"/>
  <c r="C17923" i="2"/>
  <c r="C17924" i="2"/>
  <c r="C17925" i="2"/>
  <c r="C17926" i="2"/>
  <c r="C17927" i="2"/>
  <c r="C17928" i="2"/>
  <c r="C17929" i="2"/>
  <c r="C17930" i="2"/>
  <c r="C17931" i="2"/>
  <c r="C17932" i="2"/>
  <c r="C17933" i="2"/>
  <c r="C17934" i="2"/>
  <c r="C17935" i="2"/>
  <c r="C17936" i="2"/>
  <c r="C17937" i="2"/>
  <c r="C17938" i="2"/>
  <c r="C17939" i="2"/>
  <c r="C17940" i="2"/>
  <c r="C17941" i="2"/>
  <c r="C17942" i="2"/>
  <c r="C17943" i="2"/>
  <c r="C17944" i="2"/>
  <c r="C17945" i="2"/>
  <c r="C17946" i="2"/>
  <c r="C17947" i="2"/>
  <c r="C17948" i="2"/>
  <c r="C17949" i="2"/>
  <c r="C17950" i="2"/>
  <c r="C17951" i="2"/>
  <c r="C17952" i="2"/>
  <c r="C17953" i="2"/>
  <c r="C17954" i="2"/>
  <c r="C17955" i="2"/>
  <c r="C17956" i="2"/>
  <c r="C17957" i="2"/>
  <c r="C17958" i="2"/>
  <c r="C17959" i="2"/>
  <c r="C17960" i="2"/>
  <c r="C17961" i="2"/>
  <c r="C17962" i="2"/>
  <c r="C17963" i="2"/>
  <c r="C17964" i="2"/>
  <c r="C17965" i="2"/>
  <c r="C17966" i="2"/>
  <c r="C17967" i="2"/>
  <c r="C17968" i="2"/>
  <c r="C17969" i="2"/>
  <c r="C17970" i="2"/>
  <c r="C17971" i="2"/>
  <c r="C17972" i="2"/>
  <c r="C17973" i="2"/>
  <c r="C17974" i="2"/>
  <c r="C17975" i="2"/>
  <c r="C17976" i="2"/>
  <c r="C17977" i="2"/>
  <c r="C17978" i="2"/>
  <c r="C17979" i="2"/>
  <c r="C17980" i="2"/>
  <c r="C17981" i="2"/>
  <c r="C17982" i="2"/>
  <c r="C17983" i="2"/>
  <c r="C17984" i="2"/>
  <c r="C17985" i="2"/>
  <c r="C17986" i="2"/>
  <c r="C17987" i="2"/>
  <c r="C17988" i="2"/>
  <c r="C17989" i="2"/>
  <c r="C17990" i="2"/>
  <c r="C17991" i="2"/>
  <c r="C17992" i="2"/>
  <c r="C17993" i="2"/>
  <c r="C17994" i="2"/>
  <c r="C17995" i="2"/>
  <c r="C17996" i="2"/>
  <c r="C17997" i="2"/>
  <c r="C17998" i="2"/>
  <c r="C17999" i="2"/>
  <c r="C18000" i="2"/>
  <c r="C18001" i="2"/>
  <c r="C18002" i="2"/>
  <c r="C18003" i="2"/>
  <c r="C18004" i="2"/>
  <c r="C18005" i="2"/>
  <c r="C18006" i="2"/>
  <c r="C18007" i="2"/>
  <c r="C18008" i="2"/>
  <c r="C18009" i="2"/>
  <c r="C18010" i="2"/>
  <c r="C18011" i="2"/>
  <c r="C18012" i="2"/>
  <c r="C18013" i="2"/>
  <c r="C18014" i="2"/>
  <c r="C18015" i="2"/>
  <c r="C18016" i="2"/>
  <c r="C18017" i="2"/>
  <c r="C18018" i="2"/>
  <c r="C18019" i="2"/>
  <c r="C18020" i="2"/>
  <c r="C18021" i="2"/>
  <c r="C18022" i="2"/>
  <c r="C18023" i="2"/>
  <c r="C18024" i="2"/>
  <c r="C18025" i="2"/>
  <c r="C18026" i="2"/>
  <c r="C18027" i="2"/>
  <c r="C18028" i="2"/>
  <c r="C18029" i="2"/>
  <c r="C18030" i="2"/>
  <c r="C18031" i="2"/>
  <c r="C18032" i="2"/>
  <c r="C18033" i="2"/>
  <c r="C18034" i="2"/>
  <c r="C18035" i="2"/>
  <c r="C18036" i="2"/>
  <c r="C18037" i="2"/>
  <c r="C18038" i="2"/>
  <c r="C18039" i="2"/>
  <c r="C18040" i="2"/>
  <c r="C18041" i="2"/>
  <c r="C18042" i="2"/>
  <c r="C18043" i="2"/>
  <c r="C18044" i="2"/>
  <c r="C18045" i="2"/>
  <c r="C18046" i="2"/>
  <c r="C18047" i="2"/>
  <c r="C18048" i="2"/>
  <c r="C18049" i="2"/>
  <c r="C18050" i="2"/>
  <c r="C18051" i="2"/>
  <c r="C18052" i="2"/>
  <c r="C18053" i="2"/>
  <c r="C18054" i="2"/>
  <c r="C18055" i="2"/>
  <c r="C18056" i="2"/>
  <c r="C18057" i="2"/>
  <c r="C18058" i="2"/>
  <c r="C18059" i="2"/>
  <c r="C18060" i="2"/>
  <c r="C18061" i="2"/>
  <c r="C18062" i="2"/>
  <c r="C18063" i="2"/>
  <c r="C18064" i="2"/>
  <c r="C18065" i="2"/>
  <c r="C18066" i="2"/>
  <c r="C18067" i="2"/>
  <c r="C18068" i="2"/>
  <c r="C18069" i="2"/>
  <c r="C18070" i="2"/>
  <c r="C18071" i="2"/>
  <c r="C18072" i="2"/>
  <c r="C18073" i="2"/>
  <c r="C18074" i="2"/>
  <c r="C18075" i="2"/>
  <c r="C18076" i="2"/>
  <c r="C18077" i="2"/>
  <c r="C18078" i="2"/>
  <c r="C18079" i="2"/>
  <c r="C18080" i="2"/>
  <c r="C18081" i="2"/>
  <c r="C18082" i="2"/>
  <c r="C18083" i="2"/>
  <c r="C18084" i="2"/>
  <c r="C18085" i="2"/>
  <c r="C18086" i="2"/>
  <c r="C18087" i="2"/>
  <c r="C18088" i="2"/>
  <c r="C18089" i="2"/>
  <c r="C18090" i="2"/>
  <c r="C18091" i="2"/>
  <c r="C18092" i="2"/>
  <c r="C18093" i="2"/>
  <c r="C18094" i="2"/>
  <c r="C18095" i="2"/>
  <c r="C18096" i="2"/>
  <c r="C18097" i="2"/>
  <c r="C18098" i="2"/>
  <c r="C18099" i="2"/>
  <c r="C18100" i="2"/>
  <c r="C18101" i="2"/>
  <c r="C18102" i="2"/>
  <c r="C18103" i="2"/>
  <c r="C18104" i="2"/>
  <c r="C18105" i="2"/>
  <c r="C18106" i="2"/>
  <c r="C18107" i="2"/>
  <c r="C18108" i="2"/>
  <c r="C18109" i="2"/>
  <c r="C18110" i="2"/>
  <c r="C18111" i="2"/>
  <c r="C18112" i="2"/>
  <c r="C18113" i="2"/>
  <c r="C18114" i="2"/>
  <c r="C18115" i="2"/>
  <c r="C18116" i="2"/>
  <c r="C18117" i="2"/>
  <c r="C18118" i="2"/>
  <c r="C18119" i="2"/>
  <c r="C18120" i="2"/>
  <c r="C18121" i="2"/>
  <c r="C18122" i="2"/>
  <c r="C18123" i="2"/>
  <c r="C18124" i="2"/>
  <c r="C18125" i="2"/>
  <c r="C18126" i="2"/>
  <c r="C18127" i="2"/>
  <c r="C18128" i="2"/>
  <c r="C18129" i="2"/>
  <c r="C18130" i="2"/>
  <c r="C18131" i="2"/>
  <c r="C18132" i="2"/>
  <c r="C18133" i="2"/>
  <c r="C18134" i="2"/>
  <c r="C18135" i="2"/>
  <c r="C18136" i="2"/>
  <c r="C18137" i="2"/>
  <c r="C18138" i="2"/>
  <c r="C18139" i="2"/>
  <c r="C18140" i="2"/>
  <c r="C18141" i="2"/>
  <c r="C18142" i="2"/>
  <c r="C18143" i="2"/>
  <c r="C18144" i="2"/>
  <c r="C18145" i="2"/>
  <c r="C18146" i="2"/>
  <c r="C18147" i="2"/>
  <c r="C18148" i="2"/>
  <c r="C18149" i="2"/>
  <c r="C18150" i="2"/>
  <c r="C18151" i="2"/>
  <c r="C18152" i="2"/>
  <c r="C18153" i="2"/>
  <c r="C18154" i="2"/>
  <c r="C18155" i="2"/>
  <c r="C18156" i="2"/>
  <c r="C18157" i="2"/>
  <c r="C18158" i="2"/>
  <c r="C18159" i="2"/>
  <c r="C18160" i="2"/>
  <c r="C18161" i="2"/>
  <c r="C18162" i="2"/>
  <c r="C18163" i="2"/>
  <c r="C18164" i="2"/>
  <c r="C18165" i="2"/>
  <c r="C18166" i="2"/>
  <c r="C18167" i="2"/>
  <c r="C18168" i="2"/>
  <c r="C18169" i="2"/>
  <c r="C18170" i="2"/>
  <c r="C18171" i="2"/>
  <c r="C18172" i="2"/>
  <c r="C18173" i="2"/>
  <c r="C18174" i="2"/>
  <c r="C18175" i="2"/>
  <c r="C18176" i="2"/>
  <c r="C18177" i="2"/>
  <c r="C18178" i="2"/>
  <c r="C18179" i="2"/>
  <c r="C18180" i="2"/>
  <c r="C18181" i="2"/>
  <c r="C18182" i="2"/>
  <c r="C18183" i="2"/>
  <c r="C18184" i="2"/>
  <c r="C18185" i="2"/>
  <c r="C18186" i="2"/>
  <c r="C18187" i="2"/>
  <c r="C18188" i="2"/>
  <c r="C18189" i="2"/>
  <c r="C18190" i="2"/>
  <c r="C18191" i="2"/>
  <c r="C18192" i="2"/>
  <c r="C18193" i="2"/>
  <c r="C18194" i="2"/>
  <c r="C18195" i="2"/>
  <c r="C18196" i="2"/>
  <c r="C18197" i="2"/>
  <c r="C18198" i="2"/>
  <c r="C18199" i="2"/>
  <c r="C18200" i="2"/>
  <c r="C18201" i="2"/>
  <c r="C18202" i="2"/>
  <c r="C18203" i="2"/>
  <c r="C18204" i="2"/>
  <c r="C18205" i="2"/>
  <c r="C18206" i="2"/>
  <c r="C18207" i="2"/>
  <c r="C18208" i="2"/>
  <c r="C18209" i="2"/>
  <c r="C18210" i="2"/>
  <c r="C18211" i="2"/>
  <c r="C18212" i="2"/>
  <c r="C18213" i="2"/>
  <c r="C18214" i="2"/>
  <c r="C18215" i="2"/>
  <c r="C18216" i="2"/>
  <c r="C18217" i="2"/>
  <c r="C18218" i="2"/>
  <c r="C18219" i="2"/>
  <c r="C18220" i="2"/>
  <c r="C18221" i="2"/>
  <c r="C18222" i="2"/>
  <c r="C18223" i="2"/>
  <c r="C18224" i="2"/>
  <c r="C18225" i="2"/>
  <c r="C18226" i="2"/>
  <c r="C18227" i="2"/>
  <c r="C18228" i="2"/>
  <c r="C18229" i="2"/>
  <c r="C18230" i="2"/>
  <c r="C18231" i="2"/>
  <c r="C18232" i="2"/>
  <c r="C18233" i="2"/>
  <c r="C18234" i="2"/>
  <c r="C18235" i="2"/>
  <c r="C18236" i="2"/>
  <c r="C18237" i="2"/>
  <c r="C18238" i="2"/>
  <c r="C18239" i="2"/>
  <c r="C18240" i="2"/>
  <c r="C18241" i="2"/>
  <c r="C18242" i="2"/>
  <c r="C18243" i="2"/>
  <c r="C18244" i="2"/>
  <c r="C18245" i="2"/>
  <c r="C18246" i="2"/>
  <c r="C18247" i="2"/>
  <c r="C18248" i="2"/>
  <c r="C18249" i="2"/>
  <c r="C18250" i="2"/>
  <c r="C18251" i="2"/>
  <c r="C18252" i="2"/>
  <c r="C18253" i="2"/>
  <c r="C18254" i="2"/>
  <c r="C18255" i="2"/>
  <c r="C18256" i="2"/>
  <c r="C18257" i="2"/>
  <c r="C18258" i="2"/>
  <c r="C18259" i="2"/>
  <c r="C18260" i="2"/>
  <c r="C18261" i="2"/>
  <c r="C18262" i="2"/>
  <c r="C18263" i="2"/>
  <c r="C18264" i="2"/>
  <c r="C18265" i="2"/>
  <c r="C18266" i="2"/>
  <c r="C18267" i="2"/>
  <c r="C18268" i="2"/>
  <c r="C18269" i="2"/>
  <c r="C18270" i="2"/>
  <c r="C18271" i="2"/>
  <c r="C18272" i="2"/>
  <c r="C18273" i="2"/>
  <c r="C18274" i="2"/>
  <c r="C18275" i="2"/>
  <c r="C18276" i="2"/>
  <c r="C18277" i="2"/>
  <c r="C18278" i="2"/>
  <c r="C18279" i="2"/>
  <c r="C18280" i="2"/>
  <c r="C18281" i="2"/>
  <c r="C18282" i="2"/>
  <c r="C18283" i="2"/>
  <c r="C18284" i="2"/>
  <c r="C18285" i="2"/>
  <c r="C18286" i="2"/>
  <c r="C18287" i="2"/>
  <c r="C18288" i="2"/>
  <c r="C18289" i="2"/>
  <c r="C18290" i="2"/>
  <c r="C18291" i="2"/>
  <c r="C18292" i="2"/>
  <c r="C18293" i="2"/>
  <c r="C18294" i="2"/>
  <c r="C18295" i="2"/>
  <c r="C18296" i="2"/>
  <c r="C18297" i="2"/>
  <c r="C18298" i="2"/>
  <c r="C18299" i="2"/>
  <c r="C18300" i="2"/>
  <c r="C18301" i="2"/>
  <c r="C18302" i="2"/>
  <c r="C18303" i="2"/>
  <c r="C18304" i="2"/>
  <c r="C18305" i="2"/>
  <c r="C18306" i="2"/>
  <c r="C18307" i="2"/>
  <c r="C18308" i="2"/>
  <c r="C18309" i="2"/>
  <c r="C18310" i="2"/>
  <c r="C18311" i="2"/>
  <c r="C18312" i="2"/>
  <c r="C18313" i="2"/>
  <c r="C18314" i="2"/>
  <c r="C18315" i="2"/>
  <c r="C18316" i="2"/>
  <c r="C18317" i="2"/>
  <c r="C18318" i="2"/>
  <c r="C18319" i="2"/>
  <c r="C18320" i="2"/>
  <c r="C18321" i="2"/>
  <c r="C18322" i="2"/>
  <c r="C18323" i="2"/>
  <c r="C18324" i="2"/>
  <c r="C18325" i="2"/>
  <c r="C18326" i="2"/>
  <c r="C18327" i="2"/>
  <c r="C18328" i="2"/>
  <c r="C18329" i="2"/>
  <c r="C18330" i="2"/>
  <c r="C18331" i="2"/>
  <c r="C18332" i="2"/>
  <c r="C18333" i="2"/>
  <c r="C18334" i="2"/>
  <c r="C18335" i="2"/>
  <c r="C18336" i="2"/>
  <c r="C18337" i="2"/>
  <c r="C18338" i="2"/>
  <c r="C18339" i="2"/>
  <c r="C18340" i="2"/>
  <c r="C18341" i="2"/>
  <c r="C18342" i="2"/>
  <c r="C18343" i="2"/>
  <c r="C18344" i="2"/>
  <c r="C18345" i="2"/>
  <c r="C18346" i="2"/>
  <c r="C18347" i="2"/>
  <c r="C18348" i="2"/>
  <c r="C18349" i="2"/>
  <c r="C18350" i="2"/>
  <c r="C18351" i="2"/>
  <c r="C18352" i="2"/>
  <c r="C18353" i="2"/>
  <c r="C18354" i="2"/>
  <c r="C18355" i="2"/>
  <c r="C18356" i="2"/>
  <c r="C18357" i="2"/>
  <c r="C18358" i="2"/>
  <c r="C18359" i="2"/>
  <c r="C18360" i="2"/>
  <c r="C18361" i="2"/>
  <c r="C18362" i="2"/>
  <c r="C18363" i="2"/>
  <c r="C18364" i="2"/>
  <c r="C18365" i="2"/>
  <c r="C18366" i="2"/>
  <c r="C18367" i="2"/>
  <c r="C18368" i="2"/>
  <c r="C18369" i="2"/>
  <c r="C18370" i="2"/>
  <c r="C18371" i="2"/>
  <c r="C18372" i="2"/>
  <c r="C18373" i="2"/>
  <c r="C18374" i="2"/>
  <c r="C18375" i="2"/>
  <c r="C18376" i="2"/>
  <c r="C18377" i="2"/>
  <c r="C18378" i="2"/>
  <c r="C18379" i="2"/>
  <c r="C18380" i="2"/>
  <c r="C18381" i="2"/>
  <c r="C18382" i="2"/>
  <c r="C18383" i="2"/>
  <c r="C18384" i="2"/>
  <c r="C18385" i="2"/>
  <c r="C18386" i="2"/>
  <c r="C18387" i="2"/>
  <c r="C18388" i="2"/>
  <c r="C18389" i="2"/>
  <c r="C18390" i="2"/>
  <c r="C18391" i="2"/>
  <c r="C18392" i="2"/>
  <c r="C18393" i="2"/>
  <c r="C18394" i="2"/>
  <c r="C18395" i="2"/>
  <c r="C18396" i="2"/>
  <c r="C18397" i="2"/>
  <c r="C18398" i="2"/>
  <c r="C18399" i="2"/>
  <c r="C18400" i="2"/>
  <c r="C18401" i="2"/>
  <c r="C18402" i="2"/>
  <c r="C18403" i="2"/>
  <c r="C18404" i="2"/>
  <c r="C18405" i="2"/>
  <c r="C18406" i="2"/>
  <c r="C18407" i="2"/>
  <c r="C18408" i="2"/>
  <c r="C18409" i="2"/>
  <c r="C18410" i="2"/>
  <c r="C18411" i="2"/>
  <c r="C18412" i="2"/>
  <c r="C18413" i="2"/>
  <c r="C18414" i="2"/>
  <c r="C18415" i="2"/>
  <c r="C18416" i="2"/>
  <c r="C18417" i="2"/>
  <c r="C18418" i="2"/>
  <c r="C18419" i="2"/>
  <c r="C18420" i="2"/>
  <c r="C18421" i="2"/>
  <c r="C18422" i="2"/>
  <c r="C18423" i="2"/>
  <c r="C18424" i="2"/>
  <c r="C18425" i="2"/>
  <c r="C18426" i="2"/>
  <c r="C18427" i="2"/>
  <c r="C18428" i="2"/>
  <c r="C18429" i="2"/>
  <c r="C18430" i="2"/>
  <c r="C18431" i="2"/>
  <c r="C18432" i="2"/>
  <c r="C18433" i="2"/>
  <c r="C18434" i="2"/>
  <c r="C18435" i="2"/>
  <c r="C18436" i="2"/>
  <c r="C18437" i="2"/>
  <c r="C18438" i="2"/>
  <c r="C18439" i="2"/>
  <c r="C18440" i="2"/>
  <c r="C18441" i="2"/>
  <c r="C18442" i="2"/>
  <c r="C18443" i="2"/>
  <c r="C18444" i="2"/>
  <c r="C18445" i="2"/>
  <c r="C18446" i="2"/>
  <c r="C18447" i="2"/>
  <c r="C18448" i="2"/>
  <c r="C18449" i="2"/>
  <c r="C18450" i="2"/>
  <c r="C18451" i="2"/>
  <c r="C18452" i="2"/>
  <c r="C18453" i="2"/>
  <c r="C18454" i="2"/>
  <c r="C18455" i="2"/>
  <c r="C18456" i="2"/>
  <c r="C18457" i="2"/>
  <c r="C18458" i="2"/>
  <c r="C18459" i="2"/>
  <c r="C18460" i="2"/>
  <c r="C18461" i="2"/>
  <c r="C18462" i="2"/>
  <c r="C18463" i="2"/>
  <c r="C18464" i="2"/>
  <c r="C18465" i="2"/>
  <c r="C18466" i="2"/>
  <c r="C18467" i="2"/>
  <c r="C18468" i="2"/>
  <c r="C18469" i="2"/>
  <c r="C18470" i="2"/>
  <c r="C18471" i="2"/>
  <c r="C18472" i="2"/>
  <c r="C18473" i="2"/>
  <c r="C18474" i="2"/>
  <c r="C18475" i="2"/>
  <c r="C18476" i="2"/>
  <c r="C18477" i="2"/>
  <c r="C18478" i="2"/>
  <c r="C18479" i="2"/>
  <c r="C18480" i="2"/>
  <c r="C18481" i="2"/>
  <c r="C18482" i="2"/>
  <c r="C18483" i="2"/>
  <c r="C18484" i="2"/>
  <c r="C18485" i="2"/>
  <c r="C18486" i="2"/>
  <c r="C18487" i="2"/>
  <c r="C18488" i="2"/>
  <c r="C18489" i="2"/>
  <c r="C18490" i="2"/>
  <c r="C18491" i="2"/>
  <c r="C18492" i="2"/>
  <c r="C18493" i="2"/>
  <c r="C18494" i="2"/>
  <c r="C18495" i="2"/>
  <c r="C18496" i="2"/>
  <c r="C18497" i="2"/>
  <c r="C18498" i="2"/>
  <c r="C18499" i="2"/>
  <c r="C18500" i="2"/>
  <c r="C18501" i="2"/>
  <c r="C18502" i="2"/>
  <c r="C18503" i="2"/>
  <c r="C18504" i="2"/>
  <c r="C18505" i="2"/>
  <c r="C18506" i="2"/>
  <c r="C18507" i="2"/>
  <c r="C18508" i="2"/>
  <c r="C18509" i="2"/>
  <c r="C18510" i="2"/>
  <c r="C18511" i="2"/>
  <c r="C18512" i="2"/>
  <c r="C18513" i="2"/>
  <c r="C18514" i="2"/>
  <c r="C18515" i="2"/>
  <c r="C18516" i="2"/>
  <c r="C18517" i="2"/>
  <c r="C18518" i="2"/>
  <c r="C18519" i="2"/>
  <c r="C18520" i="2"/>
  <c r="C18521" i="2"/>
  <c r="C18522" i="2"/>
  <c r="C18523" i="2"/>
  <c r="C18524" i="2"/>
  <c r="C18525" i="2"/>
  <c r="C18526" i="2"/>
  <c r="C18527" i="2"/>
  <c r="C18528" i="2"/>
  <c r="C18529" i="2"/>
  <c r="C18530" i="2"/>
  <c r="C18531" i="2"/>
  <c r="C18532" i="2"/>
  <c r="C18533" i="2"/>
  <c r="C18534" i="2"/>
  <c r="C18535" i="2"/>
  <c r="C18536" i="2"/>
  <c r="C18537" i="2"/>
  <c r="C18538" i="2"/>
  <c r="C18539" i="2"/>
  <c r="C18540" i="2"/>
  <c r="C18541" i="2"/>
  <c r="C18542" i="2"/>
  <c r="C18543" i="2"/>
  <c r="C18544" i="2"/>
  <c r="C18545" i="2"/>
  <c r="C18546" i="2"/>
  <c r="C18547" i="2"/>
  <c r="C18548" i="2"/>
  <c r="C18549" i="2"/>
  <c r="C18550" i="2"/>
  <c r="C18551" i="2"/>
  <c r="C18552" i="2"/>
  <c r="C18553" i="2"/>
  <c r="C18554" i="2"/>
  <c r="C18555" i="2"/>
  <c r="C18556" i="2"/>
  <c r="C18557" i="2"/>
  <c r="C18558" i="2"/>
  <c r="C18559" i="2"/>
  <c r="C18560" i="2"/>
  <c r="C18561" i="2"/>
  <c r="C18562" i="2"/>
  <c r="C18563" i="2"/>
  <c r="C18564" i="2"/>
  <c r="C18565" i="2"/>
  <c r="C18566" i="2"/>
  <c r="C18567" i="2"/>
  <c r="C18568" i="2"/>
  <c r="C18569" i="2"/>
  <c r="C18570" i="2"/>
  <c r="C18571" i="2"/>
  <c r="C18572" i="2"/>
  <c r="C18573" i="2"/>
  <c r="C18574" i="2"/>
  <c r="C18575" i="2"/>
  <c r="C18576" i="2"/>
  <c r="C18577" i="2"/>
  <c r="C18578" i="2"/>
  <c r="C18579" i="2"/>
  <c r="C18580" i="2"/>
  <c r="C18581" i="2"/>
  <c r="C18582" i="2"/>
  <c r="C18583" i="2"/>
  <c r="C18584" i="2"/>
  <c r="C18585" i="2"/>
  <c r="C18586" i="2"/>
  <c r="C18587" i="2"/>
  <c r="C18588" i="2"/>
  <c r="C18589" i="2"/>
  <c r="C18590" i="2"/>
  <c r="C18591" i="2"/>
  <c r="C18592" i="2"/>
  <c r="C18593" i="2"/>
  <c r="C18594" i="2"/>
  <c r="C18595" i="2"/>
  <c r="C18596" i="2"/>
  <c r="C18597" i="2"/>
  <c r="C18598" i="2"/>
  <c r="C18599" i="2"/>
  <c r="C18600" i="2"/>
  <c r="C18601" i="2"/>
  <c r="C18602" i="2"/>
  <c r="C18603" i="2"/>
  <c r="C18604" i="2"/>
  <c r="C18605" i="2"/>
  <c r="C18606" i="2"/>
  <c r="C18607" i="2"/>
  <c r="C18608" i="2"/>
  <c r="C18609" i="2"/>
  <c r="C18610" i="2"/>
  <c r="C18611" i="2"/>
  <c r="C18612" i="2"/>
  <c r="C18613" i="2"/>
  <c r="C18614" i="2"/>
  <c r="C18615" i="2"/>
  <c r="C18616" i="2"/>
  <c r="C18617" i="2"/>
  <c r="C18618" i="2"/>
  <c r="C18619" i="2"/>
  <c r="C18620" i="2"/>
  <c r="C18621" i="2"/>
  <c r="C18622" i="2"/>
  <c r="C18623" i="2"/>
  <c r="C18624" i="2"/>
  <c r="C18625" i="2"/>
  <c r="C18626" i="2"/>
  <c r="C18627" i="2"/>
  <c r="C18628" i="2"/>
  <c r="C18629" i="2"/>
  <c r="C18630" i="2"/>
  <c r="C18631" i="2"/>
  <c r="C18632" i="2"/>
  <c r="C18633" i="2"/>
  <c r="C18634" i="2"/>
  <c r="C18635" i="2"/>
  <c r="C18636" i="2"/>
  <c r="C18637" i="2"/>
  <c r="C18638" i="2"/>
  <c r="C18639" i="2"/>
  <c r="C18640" i="2"/>
  <c r="C18641" i="2"/>
  <c r="C18642" i="2"/>
  <c r="C18643" i="2"/>
  <c r="C18644" i="2"/>
  <c r="C18645" i="2"/>
  <c r="C18646" i="2"/>
  <c r="C18647" i="2"/>
  <c r="C18648" i="2"/>
  <c r="C18649" i="2"/>
  <c r="C18650" i="2"/>
  <c r="C18651" i="2"/>
  <c r="C18652" i="2"/>
  <c r="C18653" i="2"/>
  <c r="C18654" i="2"/>
  <c r="C18655" i="2"/>
  <c r="C18656" i="2"/>
  <c r="C18657" i="2"/>
  <c r="C18658" i="2"/>
  <c r="C18659" i="2"/>
  <c r="C18660" i="2"/>
  <c r="C18661" i="2"/>
  <c r="C18662" i="2"/>
  <c r="C18663" i="2"/>
  <c r="C18664" i="2"/>
  <c r="C18665" i="2"/>
  <c r="C18666" i="2"/>
  <c r="C18667" i="2"/>
  <c r="C18668" i="2"/>
  <c r="C18669" i="2"/>
  <c r="C18670" i="2"/>
  <c r="C18671" i="2"/>
  <c r="C18672" i="2"/>
  <c r="C18673" i="2"/>
  <c r="C18674" i="2"/>
  <c r="C18675" i="2"/>
  <c r="C18676" i="2"/>
  <c r="C18677" i="2"/>
  <c r="C18678" i="2"/>
  <c r="C18679" i="2"/>
  <c r="C18680" i="2"/>
  <c r="C18681" i="2"/>
  <c r="C18682" i="2"/>
  <c r="C18683" i="2"/>
  <c r="C18684" i="2"/>
  <c r="C18685" i="2"/>
  <c r="C18686" i="2"/>
  <c r="C18687" i="2"/>
  <c r="C18688" i="2"/>
  <c r="C18689" i="2"/>
  <c r="C18690" i="2"/>
  <c r="C18691" i="2"/>
  <c r="C18692" i="2"/>
  <c r="C18693" i="2"/>
  <c r="C18694" i="2"/>
  <c r="C18695" i="2"/>
  <c r="C18696" i="2"/>
  <c r="C18697" i="2"/>
  <c r="C18698" i="2"/>
  <c r="C18699" i="2"/>
  <c r="C18700" i="2"/>
  <c r="C18701" i="2"/>
  <c r="C18702" i="2"/>
  <c r="C18703" i="2"/>
  <c r="C18704" i="2"/>
  <c r="C18705" i="2"/>
  <c r="C18706" i="2"/>
  <c r="C18707" i="2"/>
  <c r="C18708" i="2"/>
  <c r="C18709" i="2"/>
  <c r="C18710" i="2"/>
  <c r="C18711" i="2"/>
  <c r="C18712" i="2"/>
  <c r="C18713" i="2"/>
  <c r="C18714" i="2"/>
  <c r="C18715" i="2"/>
  <c r="C18716" i="2"/>
  <c r="C18717" i="2"/>
  <c r="C18718" i="2"/>
  <c r="C18719" i="2"/>
  <c r="C18720" i="2"/>
  <c r="C18721" i="2"/>
  <c r="C18722" i="2"/>
  <c r="C18723" i="2"/>
  <c r="C18724" i="2"/>
  <c r="C18725" i="2"/>
  <c r="C18726" i="2"/>
  <c r="C18727" i="2"/>
  <c r="C18728" i="2"/>
  <c r="C18729" i="2"/>
  <c r="C18730" i="2"/>
  <c r="C18731" i="2"/>
  <c r="C18732" i="2"/>
  <c r="C18733" i="2"/>
  <c r="C18734" i="2"/>
  <c r="C18735" i="2"/>
  <c r="C18736" i="2"/>
  <c r="C18737" i="2"/>
  <c r="C18738" i="2"/>
  <c r="C18739" i="2"/>
  <c r="C18740" i="2"/>
  <c r="C18741" i="2"/>
  <c r="C18742" i="2"/>
  <c r="C18743" i="2"/>
  <c r="C18744" i="2"/>
  <c r="C18745" i="2"/>
  <c r="C18746" i="2"/>
  <c r="C18747" i="2"/>
  <c r="C18748" i="2"/>
  <c r="C18749" i="2"/>
  <c r="C18750" i="2"/>
  <c r="C18751" i="2"/>
  <c r="C18752" i="2"/>
  <c r="C18753" i="2"/>
  <c r="C18754" i="2"/>
  <c r="C18755" i="2"/>
  <c r="C18756" i="2"/>
  <c r="C18757" i="2"/>
  <c r="C18758" i="2"/>
  <c r="C18759" i="2"/>
  <c r="C18760" i="2"/>
  <c r="C18761" i="2"/>
  <c r="C18762" i="2"/>
  <c r="C18763" i="2"/>
  <c r="C18764" i="2"/>
  <c r="C18765" i="2"/>
  <c r="C18766" i="2"/>
  <c r="C18767" i="2"/>
  <c r="C18768" i="2"/>
  <c r="C18769" i="2"/>
  <c r="C18770" i="2"/>
  <c r="C18771" i="2"/>
  <c r="C18772" i="2"/>
  <c r="C18773" i="2"/>
  <c r="C18774" i="2"/>
  <c r="C18775" i="2"/>
  <c r="C18776" i="2"/>
  <c r="C18777" i="2"/>
  <c r="C18778" i="2"/>
  <c r="C18779" i="2"/>
  <c r="C18780" i="2"/>
  <c r="C18781" i="2"/>
  <c r="C18782" i="2"/>
  <c r="C18783" i="2"/>
  <c r="C18784" i="2"/>
  <c r="C18785" i="2"/>
  <c r="C18786" i="2"/>
  <c r="C18787" i="2"/>
  <c r="C18788" i="2"/>
  <c r="C18789" i="2"/>
  <c r="C18790" i="2"/>
  <c r="C18791" i="2"/>
  <c r="C18792" i="2"/>
  <c r="C18793" i="2"/>
  <c r="C18794" i="2"/>
  <c r="C18795" i="2"/>
  <c r="C18796" i="2"/>
  <c r="C18797" i="2"/>
  <c r="C18798" i="2"/>
  <c r="C18799" i="2"/>
  <c r="C18800" i="2"/>
  <c r="C18801" i="2"/>
  <c r="C18802" i="2"/>
  <c r="C18803" i="2"/>
  <c r="C18804" i="2"/>
  <c r="C18805" i="2"/>
  <c r="C18806" i="2"/>
  <c r="C18807" i="2"/>
  <c r="C18808" i="2"/>
  <c r="C18809" i="2"/>
  <c r="C18810" i="2"/>
  <c r="C18811" i="2"/>
  <c r="C18812" i="2"/>
  <c r="C18813" i="2"/>
  <c r="C18814" i="2"/>
  <c r="C18815" i="2"/>
  <c r="C18816" i="2"/>
  <c r="C18817" i="2"/>
  <c r="C18818" i="2"/>
  <c r="C18819" i="2"/>
  <c r="C18820" i="2"/>
  <c r="C18821" i="2"/>
  <c r="C18822" i="2"/>
  <c r="C18823" i="2"/>
  <c r="C18824" i="2"/>
  <c r="C18825" i="2"/>
  <c r="C18826" i="2"/>
  <c r="C18827" i="2"/>
  <c r="C18828" i="2"/>
  <c r="C18829" i="2"/>
  <c r="C18830" i="2"/>
  <c r="C18831" i="2"/>
  <c r="C18832" i="2"/>
  <c r="C18833" i="2"/>
  <c r="C18834" i="2"/>
  <c r="C18835" i="2"/>
  <c r="C18836" i="2"/>
  <c r="C18837" i="2"/>
  <c r="C18838" i="2"/>
  <c r="C18839" i="2"/>
  <c r="C18840" i="2"/>
  <c r="C18841" i="2"/>
  <c r="C18842" i="2"/>
  <c r="C18843" i="2"/>
  <c r="C18844" i="2"/>
  <c r="C18845" i="2"/>
  <c r="C18846" i="2"/>
  <c r="C18847" i="2"/>
  <c r="C18848" i="2"/>
  <c r="C18849" i="2"/>
  <c r="C18850" i="2"/>
  <c r="C18851" i="2"/>
  <c r="C18852" i="2"/>
  <c r="C18853" i="2"/>
  <c r="C18854" i="2"/>
  <c r="C18855" i="2"/>
  <c r="C18856" i="2"/>
  <c r="C18857" i="2"/>
  <c r="C18858" i="2"/>
  <c r="C18859" i="2"/>
  <c r="C18860" i="2"/>
  <c r="C18861" i="2"/>
  <c r="C18862" i="2"/>
  <c r="C18863" i="2"/>
  <c r="C18864" i="2"/>
  <c r="C18865" i="2"/>
  <c r="C18866" i="2"/>
  <c r="C18867" i="2"/>
  <c r="C18868" i="2"/>
  <c r="C18869" i="2"/>
  <c r="C18870" i="2"/>
  <c r="C18871" i="2"/>
  <c r="C18872" i="2"/>
  <c r="C18873" i="2"/>
  <c r="C18874" i="2"/>
  <c r="C18875" i="2"/>
  <c r="C18876" i="2"/>
  <c r="C18877" i="2"/>
  <c r="C18878" i="2"/>
  <c r="C18879" i="2"/>
  <c r="C18880" i="2"/>
  <c r="C18881" i="2"/>
  <c r="C18882" i="2"/>
  <c r="C18883" i="2"/>
  <c r="C18884" i="2"/>
  <c r="C18885" i="2"/>
  <c r="C18886" i="2"/>
  <c r="C18887" i="2"/>
  <c r="C18888" i="2"/>
  <c r="C18889" i="2"/>
  <c r="C18890" i="2"/>
  <c r="C18891" i="2"/>
  <c r="C18892" i="2"/>
  <c r="C18893" i="2"/>
  <c r="C18894" i="2"/>
  <c r="C18895" i="2"/>
  <c r="C18896" i="2"/>
  <c r="C18897" i="2"/>
  <c r="C18898" i="2"/>
  <c r="C18899" i="2"/>
  <c r="C18900" i="2"/>
  <c r="C18901" i="2"/>
  <c r="C18902" i="2"/>
  <c r="C18903" i="2"/>
  <c r="C18904" i="2"/>
  <c r="C18905" i="2"/>
  <c r="C18906" i="2"/>
  <c r="C18907" i="2"/>
  <c r="C18908" i="2"/>
  <c r="C18909" i="2"/>
  <c r="C18910" i="2"/>
  <c r="C18911" i="2"/>
  <c r="C18912" i="2"/>
  <c r="C18913" i="2"/>
  <c r="C18914" i="2"/>
  <c r="C18915" i="2"/>
  <c r="C18916" i="2"/>
  <c r="C18917" i="2"/>
  <c r="C18918" i="2"/>
  <c r="C18919" i="2"/>
  <c r="C18920" i="2"/>
  <c r="C18921" i="2"/>
  <c r="C18922" i="2"/>
  <c r="C18923" i="2"/>
  <c r="C18924" i="2"/>
  <c r="C18925" i="2"/>
  <c r="C18926" i="2"/>
  <c r="C18927" i="2"/>
  <c r="C18928" i="2"/>
  <c r="C18929" i="2"/>
  <c r="C18930" i="2"/>
  <c r="C18931" i="2"/>
  <c r="C18932" i="2"/>
  <c r="C18933" i="2"/>
  <c r="C18934" i="2"/>
  <c r="C18935" i="2"/>
  <c r="C18936" i="2"/>
  <c r="C18937" i="2"/>
  <c r="C18938" i="2"/>
  <c r="C18939" i="2"/>
  <c r="C18940" i="2"/>
  <c r="C18941" i="2"/>
  <c r="C18942" i="2"/>
  <c r="C18943" i="2"/>
  <c r="C18944" i="2"/>
  <c r="C18945" i="2"/>
  <c r="C18946" i="2"/>
  <c r="C18947" i="2"/>
  <c r="C18948" i="2"/>
  <c r="C18949" i="2"/>
  <c r="C18950" i="2"/>
  <c r="C18951" i="2"/>
  <c r="C18952" i="2"/>
  <c r="C18953" i="2"/>
  <c r="C18954" i="2"/>
  <c r="C18955" i="2"/>
  <c r="C18956" i="2"/>
  <c r="C18957" i="2"/>
  <c r="C18958" i="2"/>
  <c r="C18959" i="2"/>
  <c r="C18960" i="2"/>
  <c r="C18961" i="2"/>
  <c r="C18962" i="2"/>
  <c r="C18963" i="2"/>
  <c r="C18964" i="2"/>
  <c r="C18965" i="2"/>
  <c r="C18966" i="2"/>
  <c r="C18967" i="2"/>
  <c r="C18968" i="2"/>
  <c r="C18969" i="2"/>
  <c r="C18970" i="2"/>
  <c r="C18971" i="2"/>
  <c r="C18972" i="2"/>
  <c r="C18973" i="2"/>
  <c r="C18974" i="2"/>
  <c r="C18975" i="2"/>
  <c r="C18976" i="2"/>
  <c r="C18977" i="2"/>
  <c r="C18978" i="2"/>
  <c r="C18979" i="2"/>
  <c r="C18980" i="2"/>
  <c r="C18981" i="2"/>
  <c r="C18982" i="2"/>
  <c r="C18983" i="2"/>
  <c r="C18984" i="2"/>
  <c r="C18985" i="2"/>
  <c r="C18986" i="2"/>
  <c r="C18987" i="2"/>
  <c r="C18988" i="2"/>
  <c r="C18989" i="2"/>
  <c r="C18990" i="2"/>
  <c r="C18991" i="2"/>
  <c r="C18992" i="2"/>
  <c r="C18993" i="2"/>
  <c r="C18994" i="2"/>
  <c r="C18995" i="2"/>
  <c r="C18996" i="2"/>
  <c r="C18997" i="2"/>
  <c r="C18998" i="2"/>
  <c r="C18999" i="2"/>
  <c r="C19000" i="2"/>
  <c r="C19001" i="2"/>
  <c r="C19002" i="2"/>
  <c r="C19003" i="2"/>
  <c r="C19004" i="2"/>
  <c r="C19005" i="2"/>
  <c r="C19006" i="2"/>
  <c r="C19007" i="2"/>
  <c r="C19008" i="2"/>
  <c r="C19009" i="2"/>
  <c r="C19010" i="2"/>
  <c r="C19011" i="2"/>
  <c r="C19012" i="2"/>
  <c r="C19013" i="2"/>
  <c r="C19014" i="2"/>
  <c r="C19015" i="2"/>
  <c r="C19016" i="2"/>
  <c r="C19017" i="2"/>
  <c r="C19018" i="2"/>
  <c r="C19019" i="2"/>
  <c r="C19020" i="2"/>
  <c r="C19021" i="2"/>
  <c r="C19022" i="2"/>
  <c r="C19023" i="2"/>
  <c r="C19024" i="2"/>
  <c r="C19025" i="2"/>
  <c r="C19026" i="2"/>
  <c r="C19027" i="2"/>
  <c r="C19028" i="2"/>
  <c r="C19029" i="2"/>
  <c r="C19030" i="2"/>
  <c r="C19031" i="2"/>
  <c r="C19032" i="2"/>
  <c r="C19033" i="2"/>
  <c r="C19034" i="2"/>
  <c r="C19035" i="2"/>
  <c r="C19036" i="2"/>
  <c r="C19037" i="2"/>
  <c r="C19038" i="2"/>
  <c r="C19039" i="2"/>
  <c r="C19040" i="2"/>
  <c r="C19041" i="2"/>
  <c r="C19042" i="2"/>
  <c r="C19043" i="2"/>
  <c r="C19044" i="2"/>
  <c r="C19045" i="2"/>
  <c r="C19046" i="2"/>
  <c r="C19047" i="2"/>
  <c r="C19048" i="2"/>
  <c r="C19049" i="2"/>
  <c r="C19050" i="2"/>
  <c r="C19051" i="2"/>
  <c r="C19052" i="2"/>
  <c r="C19053" i="2"/>
  <c r="C19054" i="2"/>
  <c r="C19055" i="2"/>
  <c r="C19056" i="2"/>
  <c r="C19057" i="2"/>
  <c r="C19058" i="2"/>
  <c r="C19059" i="2"/>
  <c r="C19060" i="2"/>
  <c r="C19061" i="2"/>
  <c r="C19062" i="2"/>
  <c r="C19063" i="2"/>
  <c r="C19064" i="2"/>
  <c r="C19065" i="2"/>
  <c r="C19066" i="2"/>
  <c r="C19067" i="2"/>
  <c r="C19068" i="2"/>
  <c r="C19069" i="2"/>
  <c r="C19070" i="2"/>
  <c r="C19071" i="2"/>
  <c r="C19072" i="2"/>
  <c r="C19073" i="2"/>
  <c r="C19074" i="2"/>
  <c r="C19075" i="2"/>
  <c r="C19076" i="2"/>
  <c r="C19077" i="2"/>
  <c r="C19078" i="2"/>
  <c r="C19079" i="2"/>
  <c r="C19080" i="2"/>
  <c r="C19081" i="2"/>
  <c r="C19082" i="2"/>
  <c r="C19083" i="2"/>
  <c r="C19084" i="2"/>
  <c r="C19085" i="2"/>
  <c r="C19086" i="2"/>
  <c r="C19087" i="2"/>
  <c r="C19088" i="2"/>
  <c r="C19089" i="2"/>
  <c r="C19090" i="2"/>
  <c r="C19091" i="2"/>
  <c r="C19092" i="2"/>
  <c r="C19093" i="2"/>
  <c r="C19094" i="2"/>
  <c r="C19095" i="2"/>
  <c r="C19096" i="2"/>
  <c r="C19097" i="2"/>
  <c r="C19098" i="2"/>
  <c r="C19099" i="2"/>
  <c r="C19100" i="2"/>
  <c r="C19101" i="2"/>
  <c r="C19102" i="2"/>
  <c r="C19103" i="2"/>
  <c r="C19104" i="2"/>
  <c r="C19105" i="2"/>
  <c r="C19106" i="2"/>
  <c r="C19107" i="2"/>
  <c r="C19108" i="2"/>
  <c r="C19109" i="2"/>
  <c r="C19110" i="2"/>
  <c r="C19111" i="2"/>
  <c r="C19112" i="2"/>
  <c r="C19113" i="2"/>
  <c r="C19114" i="2"/>
  <c r="C19115" i="2"/>
  <c r="C19116" i="2"/>
  <c r="C19117" i="2"/>
  <c r="C19118" i="2"/>
  <c r="C19119" i="2"/>
  <c r="C19120" i="2"/>
  <c r="C19121" i="2"/>
  <c r="C19122" i="2"/>
  <c r="C19123" i="2"/>
  <c r="C19124" i="2"/>
  <c r="C19125" i="2"/>
  <c r="C19126" i="2"/>
  <c r="C19127" i="2"/>
  <c r="C19128" i="2"/>
  <c r="C19129" i="2"/>
  <c r="C19130" i="2"/>
  <c r="C19131" i="2"/>
  <c r="C19132" i="2"/>
  <c r="C19133" i="2"/>
  <c r="C19134" i="2"/>
  <c r="C19135" i="2"/>
  <c r="C19136" i="2"/>
  <c r="C19137" i="2"/>
  <c r="C19138" i="2"/>
  <c r="C19139" i="2"/>
  <c r="C19140" i="2"/>
  <c r="C19141" i="2"/>
  <c r="C19142" i="2"/>
  <c r="C19143" i="2"/>
  <c r="C19144" i="2"/>
  <c r="C19145" i="2"/>
  <c r="C19146" i="2"/>
  <c r="C19147" i="2"/>
  <c r="C19148" i="2"/>
  <c r="C19149" i="2"/>
  <c r="C19150" i="2"/>
  <c r="C19151" i="2"/>
  <c r="C19152" i="2"/>
  <c r="C19153" i="2"/>
  <c r="C19154" i="2"/>
  <c r="C19155" i="2"/>
  <c r="C19156" i="2"/>
  <c r="C19157" i="2"/>
  <c r="C19158" i="2"/>
  <c r="C19159" i="2"/>
  <c r="C19160" i="2"/>
  <c r="C19161" i="2"/>
  <c r="C19162" i="2"/>
  <c r="C19163" i="2"/>
  <c r="C19164" i="2"/>
  <c r="C19165" i="2"/>
  <c r="C19166" i="2"/>
  <c r="C19167" i="2"/>
  <c r="C19168" i="2"/>
  <c r="C19169" i="2"/>
  <c r="C19170" i="2"/>
  <c r="C19171" i="2"/>
  <c r="C19172" i="2"/>
  <c r="C19173" i="2"/>
  <c r="C19174" i="2"/>
  <c r="C19175" i="2"/>
  <c r="C19176" i="2"/>
  <c r="C19177" i="2"/>
  <c r="C19178" i="2"/>
  <c r="C19179" i="2"/>
  <c r="C19180" i="2"/>
  <c r="C19181" i="2"/>
  <c r="C19182" i="2"/>
  <c r="C19183" i="2"/>
  <c r="C19184" i="2"/>
  <c r="C19185" i="2"/>
  <c r="C19186" i="2"/>
  <c r="C19187" i="2"/>
  <c r="C19188" i="2"/>
  <c r="C19189" i="2"/>
  <c r="C19190" i="2"/>
  <c r="C19191" i="2"/>
  <c r="C19192" i="2"/>
  <c r="C19193" i="2"/>
  <c r="C19194" i="2"/>
  <c r="C19195" i="2"/>
  <c r="C19196" i="2"/>
  <c r="C19197" i="2"/>
  <c r="C19198" i="2"/>
  <c r="C19199" i="2"/>
  <c r="C19200" i="2"/>
  <c r="C19201" i="2"/>
  <c r="C19202" i="2"/>
  <c r="C19203" i="2"/>
  <c r="C19204" i="2"/>
  <c r="C19205" i="2"/>
  <c r="C19206" i="2"/>
  <c r="C19207" i="2"/>
  <c r="C19208" i="2"/>
  <c r="C19209" i="2"/>
  <c r="C19210" i="2"/>
  <c r="C19211" i="2"/>
  <c r="C19212" i="2"/>
  <c r="C19213" i="2"/>
  <c r="C19214" i="2"/>
  <c r="C19215" i="2"/>
  <c r="C19216" i="2"/>
  <c r="C19217" i="2"/>
  <c r="C19218" i="2"/>
  <c r="C19219" i="2"/>
  <c r="C19220" i="2"/>
  <c r="C19221" i="2"/>
  <c r="C19222" i="2"/>
  <c r="C19223" i="2"/>
  <c r="C19224" i="2"/>
  <c r="C19225" i="2"/>
  <c r="C19226" i="2"/>
  <c r="C19227" i="2"/>
  <c r="C19228" i="2"/>
  <c r="C19229" i="2"/>
  <c r="C19230" i="2"/>
  <c r="C19231" i="2"/>
  <c r="C19232" i="2"/>
  <c r="C19233" i="2"/>
  <c r="C19234" i="2"/>
  <c r="C19235" i="2"/>
  <c r="C19236" i="2"/>
  <c r="C19237" i="2"/>
  <c r="C19238" i="2"/>
  <c r="C19239" i="2"/>
  <c r="C19240" i="2"/>
  <c r="C19241" i="2"/>
  <c r="C19242" i="2"/>
  <c r="C19243" i="2"/>
  <c r="C19244" i="2"/>
  <c r="C19245" i="2"/>
  <c r="C19246" i="2"/>
  <c r="C19247" i="2"/>
  <c r="C19248" i="2"/>
  <c r="C19249" i="2"/>
  <c r="C19250" i="2"/>
  <c r="C19251" i="2"/>
  <c r="C19252" i="2"/>
  <c r="C19253" i="2"/>
  <c r="C19254" i="2"/>
  <c r="C19255" i="2"/>
  <c r="C19256" i="2"/>
  <c r="C19257" i="2"/>
  <c r="C19258" i="2"/>
  <c r="C19259" i="2"/>
  <c r="C19260" i="2"/>
  <c r="C19261" i="2"/>
  <c r="C19262" i="2"/>
  <c r="C19263" i="2"/>
  <c r="C19264" i="2"/>
  <c r="C19265" i="2"/>
  <c r="C19266" i="2"/>
  <c r="C19267" i="2"/>
  <c r="C19268" i="2"/>
  <c r="C19269" i="2"/>
  <c r="C19270" i="2"/>
  <c r="C19271" i="2"/>
  <c r="C19272" i="2"/>
  <c r="C19273" i="2"/>
  <c r="C19274" i="2"/>
  <c r="C19275" i="2"/>
  <c r="C19276" i="2"/>
  <c r="C19277" i="2"/>
  <c r="C19278" i="2"/>
  <c r="C19279" i="2"/>
  <c r="C19280" i="2"/>
  <c r="C19281" i="2"/>
  <c r="C19282" i="2"/>
  <c r="C19283" i="2"/>
  <c r="C19284" i="2"/>
  <c r="C19285" i="2"/>
  <c r="C19286" i="2"/>
  <c r="C19287" i="2"/>
  <c r="C19288" i="2"/>
  <c r="C19289" i="2"/>
  <c r="C19290" i="2"/>
  <c r="C19291" i="2"/>
  <c r="C19292" i="2"/>
  <c r="C19293" i="2"/>
  <c r="C19294" i="2"/>
  <c r="C19295" i="2"/>
  <c r="C19296" i="2"/>
  <c r="C19297" i="2"/>
  <c r="C19298" i="2"/>
  <c r="C19299" i="2"/>
  <c r="C19300" i="2"/>
  <c r="C19301" i="2"/>
  <c r="C19302" i="2"/>
  <c r="C19303" i="2"/>
  <c r="C19304" i="2"/>
  <c r="C19305" i="2"/>
  <c r="C19306" i="2"/>
  <c r="C19307" i="2"/>
  <c r="C19308" i="2"/>
  <c r="C19309" i="2"/>
  <c r="C19310" i="2"/>
  <c r="C19311" i="2"/>
  <c r="C19312" i="2"/>
  <c r="C19313" i="2"/>
  <c r="C19314" i="2"/>
  <c r="C19315" i="2"/>
  <c r="C19316" i="2"/>
  <c r="C19317" i="2"/>
  <c r="C19318" i="2"/>
  <c r="C19319" i="2"/>
  <c r="C19320" i="2"/>
  <c r="C19321" i="2"/>
  <c r="C19322" i="2"/>
  <c r="C19323" i="2"/>
  <c r="C19324" i="2"/>
  <c r="C19325" i="2"/>
  <c r="C19326" i="2"/>
  <c r="C19327" i="2"/>
  <c r="C19328" i="2"/>
  <c r="C19329" i="2"/>
  <c r="C19330" i="2"/>
  <c r="C19331" i="2"/>
  <c r="C19332" i="2"/>
  <c r="C19333" i="2"/>
  <c r="C19334" i="2"/>
  <c r="C19335" i="2"/>
  <c r="C19336" i="2"/>
  <c r="C19337" i="2"/>
  <c r="C19338" i="2"/>
  <c r="C19339" i="2"/>
  <c r="C19340" i="2"/>
  <c r="C19341" i="2"/>
  <c r="C19342" i="2"/>
  <c r="C19343" i="2"/>
  <c r="C19344" i="2"/>
  <c r="C19345" i="2"/>
  <c r="C19346" i="2"/>
  <c r="C19347" i="2"/>
  <c r="C19348" i="2"/>
  <c r="C19349" i="2"/>
  <c r="C19350" i="2"/>
  <c r="C19351" i="2"/>
  <c r="C19352" i="2"/>
  <c r="C19353" i="2"/>
  <c r="C19354" i="2"/>
  <c r="C19355" i="2"/>
  <c r="C19356" i="2"/>
  <c r="C19357" i="2"/>
  <c r="C19358" i="2"/>
  <c r="C19359" i="2"/>
  <c r="C19360" i="2"/>
  <c r="C19361" i="2"/>
  <c r="C19362" i="2"/>
  <c r="C19363" i="2"/>
  <c r="C19364" i="2"/>
  <c r="C19365" i="2"/>
  <c r="C19366" i="2"/>
  <c r="C19367" i="2"/>
  <c r="C19368" i="2"/>
  <c r="C19369" i="2"/>
  <c r="C19370" i="2"/>
  <c r="C19371" i="2"/>
  <c r="C19372" i="2"/>
  <c r="C19373" i="2"/>
  <c r="C19374" i="2"/>
  <c r="C19375" i="2"/>
  <c r="C19376" i="2"/>
  <c r="C19377" i="2"/>
  <c r="C19378" i="2"/>
  <c r="C19379" i="2"/>
  <c r="C19380" i="2"/>
  <c r="C19381" i="2"/>
  <c r="C19382" i="2"/>
  <c r="C19383" i="2"/>
  <c r="C19384" i="2"/>
  <c r="C19385" i="2"/>
  <c r="C19386" i="2"/>
  <c r="C19387" i="2"/>
  <c r="C19388" i="2"/>
  <c r="C19389" i="2"/>
  <c r="C19390" i="2"/>
  <c r="C19391" i="2"/>
  <c r="C19392" i="2"/>
  <c r="C19393" i="2"/>
  <c r="C19394" i="2"/>
  <c r="C19395" i="2"/>
  <c r="C19396" i="2"/>
  <c r="C19397" i="2"/>
  <c r="C19398" i="2"/>
  <c r="C19399" i="2"/>
  <c r="C19400" i="2"/>
  <c r="C19401" i="2"/>
  <c r="C19402" i="2"/>
  <c r="C19403" i="2"/>
  <c r="C19404" i="2"/>
  <c r="C19405" i="2"/>
  <c r="C19406" i="2"/>
  <c r="C19407" i="2"/>
  <c r="C19408" i="2"/>
  <c r="C19409" i="2"/>
  <c r="C19410" i="2"/>
  <c r="C19411" i="2"/>
  <c r="C19412" i="2"/>
  <c r="C19413" i="2"/>
  <c r="C19414" i="2"/>
  <c r="C19415" i="2"/>
  <c r="C19416" i="2"/>
  <c r="C19417" i="2"/>
  <c r="C19418" i="2"/>
  <c r="C19419" i="2"/>
  <c r="C19420" i="2"/>
  <c r="C19421" i="2"/>
  <c r="C19422" i="2"/>
  <c r="C19423" i="2"/>
  <c r="C19424" i="2"/>
  <c r="C19425" i="2"/>
  <c r="C19426" i="2"/>
  <c r="C19427" i="2"/>
  <c r="C19428" i="2"/>
  <c r="C19429" i="2"/>
  <c r="C19430" i="2"/>
  <c r="C19431" i="2"/>
  <c r="C19432" i="2"/>
  <c r="C19433" i="2"/>
  <c r="C19434" i="2"/>
  <c r="C19435" i="2"/>
  <c r="C19436" i="2"/>
  <c r="C19437" i="2"/>
  <c r="C19438" i="2"/>
  <c r="C19439" i="2"/>
  <c r="C19440" i="2"/>
  <c r="C19441" i="2"/>
  <c r="C19442" i="2"/>
  <c r="C19443" i="2"/>
  <c r="C19444" i="2"/>
  <c r="C19445" i="2"/>
  <c r="C19446" i="2"/>
  <c r="C19447" i="2"/>
  <c r="C19448" i="2"/>
  <c r="C19449" i="2"/>
  <c r="C19450" i="2"/>
  <c r="C19451" i="2"/>
  <c r="C19452" i="2"/>
  <c r="C19453" i="2"/>
  <c r="C19454" i="2"/>
  <c r="C19455" i="2"/>
  <c r="C19456" i="2"/>
  <c r="C19457" i="2"/>
  <c r="C19458" i="2"/>
  <c r="C19459" i="2"/>
  <c r="C19460" i="2"/>
  <c r="C19461" i="2"/>
  <c r="C19462" i="2"/>
  <c r="C19463" i="2"/>
  <c r="C19464" i="2"/>
  <c r="C19465" i="2"/>
  <c r="C19466" i="2"/>
  <c r="C19467" i="2"/>
  <c r="C19468" i="2"/>
  <c r="C19469" i="2"/>
  <c r="C19470" i="2"/>
  <c r="C19471" i="2"/>
  <c r="C19472" i="2"/>
  <c r="C19473" i="2"/>
  <c r="C19474" i="2"/>
  <c r="C19475" i="2"/>
  <c r="C19476" i="2"/>
  <c r="C19477" i="2"/>
  <c r="C19478" i="2"/>
  <c r="C19479" i="2"/>
  <c r="C19480" i="2"/>
  <c r="C19481" i="2"/>
  <c r="C19482" i="2"/>
  <c r="C19483" i="2"/>
  <c r="C19484" i="2"/>
  <c r="C19485" i="2"/>
  <c r="C19486" i="2"/>
  <c r="C19487" i="2"/>
  <c r="C19488" i="2"/>
  <c r="C19489" i="2"/>
  <c r="C19490" i="2"/>
  <c r="C19491" i="2"/>
  <c r="C19492" i="2"/>
  <c r="C19493" i="2"/>
  <c r="C19494" i="2"/>
  <c r="C19495" i="2"/>
  <c r="C19496" i="2"/>
  <c r="C19497" i="2"/>
  <c r="C19498" i="2"/>
  <c r="C19499" i="2"/>
  <c r="C19500" i="2"/>
  <c r="C19501" i="2"/>
  <c r="C19502" i="2"/>
  <c r="C19503" i="2"/>
  <c r="C19504" i="2"/>
  <c r="C19505" i="2"/>
  <c r="C19506" i="2"/>
  <c r="C19507" i="2"/>
  <c r="C19508" i="2"/>
  <c r="C19509" i="2"/>
  <c r="C19510" i="2"/>
  <c r="C19511" i="2"/>
  <c r="C19512" i="2"/>
  <c r="C19513" i="2"/>
  <c r="C19514" i="2"/>
  <c r="C19515" i="2"/>
  <c r="C19516" i="2"/>
  <c r="C19517" i="2"/>
  <c r="C19518" i="2"/>
  <c r="C19519" i="2"/>
  <c r="C19520" i="2"/>
  <c r="C19521" i="2"/>
  <c r="C19522" i="2"/>
  <c r="C19523" i="2"/>
  <c r="C19524" i="2"/>
  <c r="C19525" i="2"/>
  <c r="C19526" i="2"/>
  <c r="C19527" i="2"/>
  <c r="C19528" i="2"/>
  <c r="C19529" i="2"/>
  <c r="C19530" i="2"/>
  <c r="C19531" i="2"/>
  <c r="C19532" i="2"/>
  <c r="C19533" i="2"/>
  <c r="C19534" i="2"/>
  <c r="C19535" i="2"/>
  <c r="C19536" i="2"/>
  <c r="C19537" i="2"/>
  <c r="C19538" i="2"/>
  <c r="C19539" i="2"/>
  <c r="C19540" i="2"/>
  <c r="C19541" i="2"/>
  <c r="C19542" i="2"/>
  <c r="C19543" i="2"/>
  <c r="C19544" i="2"/>
  <c r="C19545" i="2"/>
  <c r="C19546" i="2"/>
  <c r="C19547" i="2"/>
  <c r="C19548" i="2"/>
  <c r="C19549" i="2"/>
  <c r="C19550" i="2"/>
  <c r="C19551" i="2"/>
  <c r="C19552" i="2"/>
  <c r="C19553" i="2"/>
  <c r="C19554" i="2"/>
  <c r="C19555" i="2"/>
  <c r="C19556" i="2"/>
  <c r="C19557" i="2"/>
  <c r="C19558" i="2"/>
  <c r="C19559" i="2"/>
  <c r="C19560" i="2"/>
  <c r="C19561" i="2"/>
  <c r="C19562" i="2"/>
  <c r="C19563" i="2"/>
  <c r="C19564" i="2"/>
  <c r="C19565" i="2"/>
  <c r="C19566" i="2"/>
  <c r="C19567" i="2"/>
  <c r="C19568" i="2"/>
  <c r="C19569" i="2"/>
  <c r="C19570" i="2"/>
  <c r="C19571" i="2"/>
  <c r="C19572" i="2"/>
  <c r="C19573" i="2"/>
  <c r="C19574" i="2"/>
  <c r="C19575" i="2"/>
  <c r="C19576" i="2"/>
  <c r="C19577" i="2"/>
  <c r="C19578" i="2"/>
  <c r="C19579" i="2"/>
  <c r="C19580" i="2"/>
  <c r="C19581" i="2"/>
  <c r="C19582" i="2"/>
  <c r="C19583" i="2"/>
  <c r="C19584" i="2"/>
  <c r="C19585" i="2"/>
  <c r="C19586" i="2"/>
  <c r="C19587" i="2"/>
  <c r="C19588" i="2"/>
  <c r="C19589" i="2"/>
  <c r="C19590" i="2"/>
  <c r="C19591" i="2"/>
  <c r="C19592" i="2"/>
  <c r="C19593" i="2"/>
  <c r="C19594" i="2"/>
  <c r="C19595" i="2"/>
  <c r="C19596" i="2"/>
  <c r="C19597" i="2"/>
  <c r="C19598" i="2"/>
  <c r="C19599" i="2"/>
  <c r="C19600" i="2"/>
  <c r="C19601" i="2"/>
  <c r="C19602" i="2"/>
  <c r="C19603" i="2"/>
  <c r="C19604" i="2"/>
  <c r="C19605" i="2"/>
  <c r="C19606" i="2"/>
  <c r="C19607" i="2"/>
  <c r="C19608" i="2"/>
  <c r="C19609" i="2"/>
  <c r="C19610" i="2"/>
  <c r="C19611" i="2"/>
  <c r="C19612" i="2"/>
  <c r="C19613" i="2"/>
  <c r="C19614" i="2"/>
  <c r="C19615" i="2"/>
  <c r="C19616" i="2"/>
  <c r="C19617" i="2"/>
  <c r="C19618" i="2"/>
  <c r="C19619" i="2"/>
  <c r="C19620" i="2"/>
  <c r="C19621" i="2"/>
  <c r="C19622" i="2"/>
  <c r="C19623" i="2"/>
  <c r="C19624" i="2"/>
  <c r="C19625" i="2"/>
  <c r="C19626" i="2"/>
  <c r="C19627" i="2"/>
  <c r="C19628" i="2"/>
  <c r="C19629" i="2"/>
  <c r="C19630" i="2"/>
  <c r="C19631" i="2"/>
  <c r="C19632" i="2"/>
  <c r="C19633" i="2"/>
  <c r="C19634" i="2"/>
  <c r="C19635" i="2"/>
  <c r="C19636" i="2"/>
  <c r="C19637" i="2"/>
  <c r="C19638" i="2"/>
  <c r="C19639" i="2"/>
  <c r="C19640" i="2"/>
  <c r="C19641" i="2"/>
  <c r="C19642" i="2"/>
  <c r="C19643" i="2"/>
  <c r="C19644" i="2"/>
  <c r="C19645" i="2"/>
  <c r="C19646" i="2"/>
  <c r="C19647" i="2"/>
  <c r="C19648" i="2"/>
  <c r="C19649" i="2"/>
  <c r="C19650" i="2"/>
  <c r="C19651" i="2"/>
  <c r="C19652" i="2"/>
  <c r="C19653" i="2"/>
  <c r="C19654" i="2"/>
  <c r="C19655" i="2"/>
  <c r="C19656" i="2"/>
  <c r="C19657" i="2"/>
  <c r="C19658" i="2"/>
  <c r="C19659" i="2"/>
  <c r="C19660" i="2"/>
  <c r="C19661" i="2"/>
  <c r="C19662" i="2"/>
  <c r="C19663" i="2"/>
  <c r="C19664" i="2"/>
  <c r="C19665" i="2"/>
  <c r="C19666" i="2"/>
  <c r="C19667" i="2"/>
  <c r="C19668" i="2"/>
  <c r="C19669" i="2"/>
  <c r="C19670" i="2"/>
  <c r="C19671" i="2"/>
  <c r="C19672" i="2"/>
  <c r="C19673" i="2"/>
  <c r="C19674" i="2"/>
  <c r="C19675" i="2"/>
  <c r="C19676" i="2"/>
  <c r="C19677" i="2"/>
  <c r="C19678" i="2"/>
  <c r="C19679" i="2"/>
  <c r="C19680" i="2"/>
  <c r="C19681" i="2"/>
  <c r="C19682" i="2"/>
  <c r="C19683" i="2"/>
  <c r="C19684" i="2"/>
  <c r="C19685" i="2"/>
  <c r="C19686" i="2"/>
  <c r="C19687" i="2"/>
  <c r="C19688" i="2"/>
  <c r="C19689" i="2"/>
  <c r="C19690" i="2"/>
  <c r="C19691" i="2"/>
  <c r="C19692" i="2"/>
  <c r="C19693" i="2"/>
  <c r="C19694" i="2"/>
  <c r="C19695" i="2"/>
  <c r="C19696" i="2"/>
  <c r="C19697" i="2"/>
  <c r="C19698" i="2"/>
  <c r="C19699" i="2"/>
  <c r="C19700" i="2"/>
  <c r="C19701" i="2"/>
  <c r="C19702" i="2"/>
  <c r="C19703" i="2"/>
  <c r="C19704" i="2"/>
  <c r="C19705" i="2"/>
  <c r="C19706" i="2"/>
  <c r="C19707" i="2"/>
  <c r="C19708" i="2"/>
  <c r="C19709" i="2"/>
  <c r="C19710" i="2"/>
  <c r="C19711" i="2"/>
  <c r="C19712" i="2"/>
  <c r="C19713" i="2"/>
  <c r="C19714" i="2"/>
  <c r="C19715" i="2"/>
  <c r="C19716" i="2"/>
  <c r="C19717" i="2"/>
  <c r="C19718" i="2"/>
  <c r="C19719" i="2"/>
  <c r="C19720" i="2"/>
  <c r="C19721" i="2"/>
  <c r="C19722" i="2"/>
  <c r="C19723" i="2"/>
  <c r="C19724" i="2"/>
  <c r="C19725" i="2"/>
  <c r="C19726" i="2"/>
  <c r="C19727" i="2"/>
  <c r="C19728" i="2"/>
  <c r="C19729" i="2"/>
  <c r="C19730" i="2"/>
  <c r="C19731" i="2"/>
  <c r="C19732" i="2"/>
  <c r="C19733" i="2"/>
  <c r="C19734" i="2"/>
  <c r="C19735" i="2"/>
  <c r="C19736" i="2"/>
  <c r="C19737" i="2"/>
  <c r="C19738" i="2"/>
  <c r="C19739" i="2"/>
  <c r="C19740" i="2"/>
  <c r="C19741" i="2"/>
  <c r="C19742" i="2"/>
  <c r="C19743" i="2"/>
  <c r="C19744" i="2"/>
  <c r="C19745" i="2"/>
  <c r="C19746" i="2"/>
  <c r="C19747" i="2"/>
  <c r="C19748" i="2"/>
  <c r="C19749" i="2"/>
  <c r="C19750" i="2"/>
  <c r="C19751" i="2"/>
  <c r="C19752" i="2"/>
  <c r="C19753" i="2"/>
  <c r="C19754" i="2"/>
  <c r="C19755" i="2"/>
  <c r="C19756" i="2"/>
  <c r="C19757" i="2"/>
  <c r="C19758" i="2"/>
  <c r="C19759" i="2"/>
  <c r="C19760" i="2"/>
  <c r="C19761" i="2"/>
  <c r="C19762" i="2"/>
  <c r="C19763" i="2"/>
  <c r="C19764" i="2"/>
  <c r="C19765" i="2"/>
  <c r="C19766" i="2"/>
  <c r="C19767" i="2"/>
  <c r="C19768" i="2"/>
  <c r="C19769" i="2"/>
  <c r="C19770" i="2"/>
  <c r="C19771" i="2"/>
  <c r="C19772" i="2"/>
  <c r="C19773" i="2"/>
  <c r="C19774" i="2"/>
  <c r="C19775" i="2"/>
  <c r="C19776" i="2"/>
  <c r="C19777" i="2"/>
  <c r="C19778" i="2"/>
  <c r="C19779" i="2"/>
  <c r="C19780" i="2"/>
  <c r="C19781" i="2"/>
  <c r="C19782" i="2"/>
  <c r="C19783" i="2"/>
  <c r="C19784" i="2"/>
  <c r="C19785" i="2"/>
  <c r="C19786" i="2"/>
  <c r="C19787" i="2"/>
  <c r="C19788" i="2"/>
  <c r="C19789" i="2"/>
  <c r="C19790" i="2"/>
  <c r="C19791" i="2"/>
  <c r="C19792" i="2"/>
  <c r="C19793" i="2"/>
  <c r="C19794" i="2"/>
  <c r="C19795" i="2"/>
  <c r="C19796" i="2"/>
  <c r="C19797" i="2"/>
  <c r="C19798" i="2"/>
  <c r="C19799" i="2"/>
  <c r="C19800" i="2"/>
  <c r="C19801" i="2"/>
  <c r="C19802" i="2"/>
  <c r="C19803" i="2"/>
  <c r="C19804" i="2"/>
  <c r="C19805" i="2"/>
  <c r="C19806" i="2"/>
  <c r="C19807" i="2"/>
  <c r="C19808" i="2"/>
  <c r="C19809" i="2"/>
  <c r="C19810" i="2"/>
  <c r="C19811" i="2"/>
  <c r="C19812" i="2"/>
  <c r="C19813" i="2"/>
  <c r="C19814" i="2"/>
  <c r="C19815" i="2"/>
  <c r="C19816" i="2"/>
  <c r="C19817" i="2"/>
  <c r="C19818" i="2"/>
  <c r="C19819" i="2"/>
  <c r="C19820" i="2"/>
  <c r="C19821" i="2"/>
  <c r="C19822" i="2"/>
  <c r="C19823" i="2"/>
  <c r="C19824" i="2"/>
  <c r="C19825" i="2"/>
  <c r="C19826" i="2"/>
  <c r="C19827" i="2"/>
  <c r="C19828" i="2"/>
  <c r="C19829" i="2"/>
  <c r="C19830" i="2"/>
  <c r="C19831" i="2"/>
  <c r="C19832" i="2"/>
  <c r="C19833" i="2"/>
  <c r="C19834" i="2"/>
  <c r="C19835" i="2"/>
  <c r="C19836" i="2"/>
  <c r="C19837" i="2"/>
  <c r="C19838" i="2"/>
  <c r="C19839" i="2"/>
  <c r="C19840" i="2"/>
  <c r="C19841" i="2"/>
  <c r="C19842" i="2"/>
  <c r="C19843" i="2"/>
  <c r="C19844" i="2"/>
  <c r="C19845" i="2"/>
  <c r="C19846" i="2"/>
  <c r="C19847" i="2"/>
  <c r="C19848" i="2"/>
  <c r="C19849" i="2"/>
  <c r="C19850" i="2"/>
  <c r="C19851" i="2"/>
  <c r="C19852" i="2"/>
  <c r="C19853" i="2"/>
  <c r="C19854" i="2"/>
  <c r="C19855" i="2"/>
  <c r="C19856" i="2"/>
  <c r="C19857" i="2"/>
  <c r="C19858" i="2"/>
  <c r="C19859" i="2"/>
  <c r="C19860" i="2"/>
  <c r="C19861" i="2"/>
  <c r="C19862" i="2"/>
  <c r="C19863" i="2"/>
  <c r="C19864" i="2"/>
  <c r="C19865" i="2"/>
  <c r="C19866" i="2"/>
  <c r="C19867" i="2"/>
  <c r="C19868" i="2"/>
  <c r="C19869" i="2"/>
  <c r="C19870" i="2"/>
  <c r="C19871" i="2"/>
  <c r="C19872" i="2"/>
  <c r="C19873" i="2"/>
  <c r="C19874" i="2"/>
  <c r="C19875" i="2"/>
  <c r="C19876" i="2"/>
  <c r="C19877" i="2"/>
  <c r="C19878" i="2"/>
  <c r="C19879" i="2"/>
  <c r="C19880" i="2"/>
  <c r="C19881" i="2"/>
  <c r="C19882" i="2"/>
  <c r="C19883" i="2"/>
  <c r="C19884" i="2"/>
  <c r="C19885" i="2"/>
  <c r="C19886" i="2"/>
  <c r="C19887" i="2"/>
  <c r="C19888" i="2"/>
  <c r="C19889" i="2"/>
  <c r="C19890" i="2"/>
  <c r="C19891" i="2"/>
  <c r="C19892" i="2"/>
  <c r="C19893" i="2"/>
  <c r="C19894" i="2"/>
  <c r="C19895" i="2"/>
  <c r="C19896" i="2"/>
  <c r="C19897" i="2"/>
  <c r="C19898" i="2"/>
  <c r="C19899" i="2"/>
  <c r="C19900" i="2"/>
  <c r="C19901" i="2"/>
  <c r="C19902" i="2"/>
  <c r="C19903" i="2"/>
  <c r="C19904" i="2"/>
  <c r="C19905" i="2"/>
  <c r="C19906" i="2"/>
  <c r="C19907" i="2"/>
  <c r="C19908" i="2"/>
  <c r="C19909" i="2"/>
  <c r="C19910" i="2"/>
  <c r="C19911" i="2"/>
  <c r="C19912" i="2"/>
  <c r="C19913" i="2"/>
  <c r="C19914" i="2"/>
  <c r="C19915" i="2"/>
  <c r="C19916" i="2"/>
  <c r="C19917" i="2"/>
  <c r="C19918" i="2"/>
  <c r="C19919" i="2"/>
  <c r="C19920" i="2"/>
  <c r="C19921" i="2"/>
  <c r="C19922" i="2"/>
  <c r="C19923" i="2"/>
  <c r="C19924" i="2"/>
  <c r="C19925" i="2"/>
  <c r="C19926" i="2"/>
  <c r="C19927" i="2"/>
  <c r="C19928" i="2"/>
  <c r="C19929" i="2"/>
  <c r="C19930" i="2"/>
  <c r="C19931" i="2"/>
  <c r="C19932" i="2"/>
  <c r="C19933" i="2"/>
  <c r="C19934" i="2"/>
  <c r="C19935" i="2"/>
  <c r="C19936" i="2"/>
  <c r="C19937" i="2"/>
  <c r="C19938" i="2"/>
  <c r="C19939" i="2"/>
  <c r="C19940" i="2"/>
  <c r="C19941" i="2"/>
  <c r="C19942" i="2"/>
  <c r="C19943" i="2"/>
  <c r="C19944" i="2"/>
  <c r="C19945" i="2"/>
  <c r="C19946" i="2"/>
  <c r="C19947" i="2"/>
  <c r="C19948" i="2"/>
  <c r="C19949" i="2"/>
  <c r="C19950" i="2"/>
  <c r="C19951" i="2"/>
  <c r="C19952" i="2"/>
  <c r="C19953" i="2"/>
  <c r="C19954" i="2"/>
  <c r="C19955" i="2"/>
  <c r="C19956" i="2"/>
  <c r="C19957" i="2"/>
  <c r="C19958" i="2"/>
  <c r="C19959" i="2"/>
  <c r="C19960" i="2"/>
  <c r="C19961" i="2"/>
  <c r="C19962" i="2"/>
  <c r="C19963" i="2"/>
  <c r="C19964" i="2"/>
  <c r="C19965" i="2"/>
  <c r="C19966" i="2"/>
  <c r="C19967" i="2"/>
  <c r="C19968" i="2"/>
  <c r="C19969" i="2"/>
  <c r="C19970" i="2"/>
  <c r="C19971" i="2"/>
  <c r="C19972" i="2"/>
  <c r="C19973" i="2"/>
  <c r="C19974" i="2"/>
  <c r="C19975" i="2"/>
  <c r="C19976" i="2"/>
  <c r="C19977" i="2"/>
  <c r="C19978" i="2"/>
  <c r="C19979" i="2"/>
  <c r="C19980" i="2"/>
  <c r="C19981" i="2"/>
  <c r="C19982" i="2"/>
  <c r="C19983" i="2"/>
  <c r="C19984" i="2"/>
  <c r="C19985" i="2"/>
  <c r="C19986" i="2"/>
  <c r="C19987" i="2"/>
  <c r="C19988" i="2"/>
  <c r="C19989" i="2"/>
  <c r="C19990" i="2"/>
  <c r="C19991" i="2"/>
  <c r="C19992" i="2"/>
  <c r="C19993" i="2"/>
  <c r="C19994" i="2"/>
  <c r="C19995" i="2"/>
  <c r="C19996" i="2"/>
  <c r="C19997" i="2"/>
  <c r="C19998" i="2"/>
  <c r="C19999" i="2"/>
  <c r="C20000" i="2"/>
  <c r="C20001" i="2"/>
  <c r="C20002" i="2"/>
  <c r="C20003" i="2"/>
  <c r="C20004" i="2"/>
  <c r="C20005" i="2"/>
  <c r="C20006" i="2"/>
  <c r="C20007" i="2"/>
  <c r="C20008" i="2"/>
  <c r="C20009" i="2"/>
  <c r="C20010" i="2"/>
  <c r="C20011" i="2"/>
  <c r="C20012" i="2"/>
  <c r="C20013" i="2"/>
  <c r="C20014" i="2"/>
  <c r="C20015" i="2"/>
  <c r="C20016" i="2"/>
  <c r="C20017" i="2"/>
  <c r="C20018" i="2"/>
  <c r="C20019" i="2"/>
  <c r="C20020" i="2"/>
  <c r="C20021" i="2"/>
  <c r="C20022" i="2"/>
  <c r="C20023" i="2"/>
  <c r="C20024" i="2"/>
  <c r="C20025" i="2"/>
  <c r="C20026" i="2"/>
  <c r="C20027" i="2"/>
  <c r="C20028" i="2"/>
  <c r="C20029" i="2"/>
  <c r="C20030" i="2"/>
  <c r="C20031" i="2"/>
  <c r="C20032" i="2"/>
  <c r="C20033" i="2"/>
  <c r="C20034" i="2"/>
  <c r="C20035" i="2"/>
  <c r="C20036" i="2"/>
  <c r="C20037" i="2"/>
  <c r="C20038" i="2"/>
  <c r="C20039" i="2"/>
  <c r="C20040" i="2"/>
  <c r="C20041" i="2"/>
  <c r="C20042" i="2"/>
  <c r="C20043" i="2"/>
  <c r="C20044" i="2"/>
  <c r="C20045" i="2"/>
  <c r="C20046" i="2"/>
  <c r="C20047" i="2"/>
  <c r="C20048" i="2"/>
  <c r="C20049" i="2"/>
  <c r="C20050" i="2"/>
  <c r="C20051" i="2"/>
  <c r="C20052" i="2"/>
  <c r="C20053" i="2"/>
  <c r="C20054" i="2"/>
  <c r="C20055" i="2"/>
  <c r="C20056" i="2"/>
  <c r="C20057" i="2"/>
  <c r="C20058" i="2"/>
  <c r="C20059" i="2"/>
  <c r="C20060" i="2"/>
  <c r="C20061" i="2"/>
  <c r="C20062" i="2"/>
  <c r="C20063" i="2"/>
  <c r="C20064" i="2"/>
  <c r="C20065" i="2"/>
  <c r="C20066" i="2"/>
  <c r="C20067" i="2"/>
  <c r="C20068" i="2"/>
  <c r="C20069" i="2"/>
  <c r="C20070" i="2"/>
  <c r="C20071" i="2"/>
  <c r="C20072" i="2"/>
  <c r="C20073" i="2"/>
  <c r="C20074" i="2"/>
  <c r="C20075" i="2"/>
  <c r="C20076" i="2"/>
  <c r="C20077" i="2"/>
  <c r="C20078" i="2"/>
  <c r="C20079" i="2"/>
  <c r="C20080" i="2"/>
  <c r="C20081" i="2"/>
  <c r="C20082" i="2"/>
  <c r="C20083" i="2"/>
  <c r="C20084" i="2"/>
  <c r="C20085" i="2"/>
  <c r="C20086" i="2"/>
  <c r="C20087" i="2"/>
  <c r="C20088" i="2"/>
  <c r="C20089" i="2"/>
  <c r="C20090" i="2"/>
  <c r="C20091" i="2"/>
  <c r="C20092" i="2"/>
  <c r="C20093" i="2"/>
  <c r="C20094" i="2"/>
  <c r="C20095" i="2"/>
  <c r="C20096" i="2"/>
  <c r="C20097" i="2"/>
  <c r="C20098" i="2"/>
  <c r="C20099" i="2"/>
  <c r="C20100" i="2"/>
  <c r="C20101" i="2"/>
  <c r="C20102" i="2"/>
  <c r="C20103" i="2"/>
  <c r="C20104" i="2"/>
  <c r="C20105" i="2"/>
  <c r="C20106" i="2"/>
  <c r="C20107" i="2"/>
  <c r="C20108" i="2"/>
  <c r="C20109" i="2"/>
  <c r="C20110" i="2"/>
  <c r="C20111" i="2"/>
  <c r="C20112" i="2"/>
  <c r="C20113" i="2"/>
  <c r="C20114" i="2"/>
  <c r="C20115" i="2"/>
  <c r="C20116" i="2"/>
  <c r="C20117" i="2"/>
  <c r="C20118" i="2"/>
  <c r="C20119" i="2"/>
  <c r="C20120" i="2"/>
  <c r="C20121" i="2"/>
  <c r="C20122" i="2"/>
  <c r="C20123" i="2"/>
  <c r="C20124" i="2"/>
  <c r="C20125" i="2"/>
  <c r="C20126" i="2"/>
  <c r="C20127" i="2"/>
  <c r="C20128" i="2"/>
  <c r="C20129" i="2"/>
  <c r="C20130" i="2"/>
  <c r="C20131" i="2"/>
  <c r="C20132" i="2"/>
  <c r="C20133" i="2"/>
  <c r="C20134" i="2"/>
  <c r="C20135" i="2"/>
  <c r="C20136" i="2"/>
  <c r="C20137" i="2"/>
  <c r="C20138" i="2"/>
  <c r="C20139" i="2"/>
  <c r="C20140" i="2"/>
  <c r="C20141" i="2"/>
  <c r="C20142" i="2"/>
  <c r="C20143" i="2"/>
  <c r="C20144" i="2"/>
  <c r="C20145" i="2"/>
  <c r="C20146" i="2"/>
  <c r="C20147" i="2"/>
  <c r="C20148" i="2"/>
  <c r="C20149" i="2"/>
  <c r="C20150" i="2"/>
  <c r="C20151" i="2"/>
  <c r="C20152" i="2"/>
  <c r="C20153" i="2"/>
  <c r="C20154" i="2"/>
  <c r="C20155" i="2"/>
  <c r="C20156" i="2"/>
  <c r="C20157" i="2"/>
  <c r="C20158" i="2"/>
  <c r="C20159" i="2"/>
  <c r="C20160" i="2"/>
  <c r="C20161" i="2"/>
  <c r="C20162" i="2"/>
  <c r="C20163" i="2"/>
  <c r="C20164" i="2"/>
  <c r="C20165" i="2"/>
  <c r="C20166" i="2"/>
  <c r="C20167" i="2"/>
  <c r="C20168" i="2"/>
  <c r="C20169" i="2"/>
  <c r="C20170" i="2"/>
  <c r="C20171" i="2"/>
  <c r="C20172" i="2"/>
  <c r="C20173" i="2"/>
  <c r="C20174" i="2"/>
  <c r="C20175" i="2"/>
  <c r="C20176" i="2"/>
  <c r="C20177" i="2"/>
  <c r="C20178" i="2"/>
  <c r="C20179" i="2"/>
  <c r="C20180" i="2"/>
  <c r="C20181" i="2"/>
  <c r="C20182" i="2"/>
  <c r="C20183" i="2"/>
  <c r="C20184" i="2"/>
  <c r="C20185" i="2"/>
  <c r="C20186" i="2"/>
  <c r="C20187" i="2"/>
  <c r="C20188" i="2"/>
  <c r="C20189" i="2"/>
  <c r="C20190" i="2"/>
  <c r="C20191" i="2"/>
  <c r="C20192" i="2"/>
  <c r="C20193" i="2"/>
  <c r="C20194" i="2"/>
  <c r="C20195" i="2"/>
  <c r="C20196" i="2"/>
  <c r="C20197" i="2"/>
  <c r="C20198" i="2"/>
  <c r="C20199" i="2"/>
  <c r="C20200" i="2"/>
  <c r="C20201" i="2"/>
  <c r="C20202" i="2"/>
  <c r="C20203" i="2"/>
  <c r="C20204" i="2"/>
  <c r="C20205" i="2"/>
  <c r="C20206" i="2"/>
  <c r="C20207" i="2"/>
  <c r="C20208" i="2"/>
  <c r="C20209" i="2"/>
  <c r="C20210" i="2"/>
  <c r="C20211" i="2"/>
  <c r="C20212" i="2"/>
  <c r="C20213" i="2"/>
  <c r="C20214" i="2"/>
  <c r="C20215" i="2"/>
  <c r="C20216" i="2"/>
  <c r="C20217" i="2"/>
  <c r="C20218" i="2"/>
  <c r="C20219" i="2"/>
  <c r="C20220" i="2"/>
  <c r="C20221" i="2"/>
  <c r="C20222" i="2"/>
  <c r="C20223" i="2"/>
  <c r="C20224" i="2"/>
  <c r="C20225" i="2"/>
  <c r="C20226" i="2"/>
  <c r="C20227" i="2"/>
  <c r="C20228" i="2"/>
  <c r="C20229" i="2"/>
  <c r="C20230" i="2"/>
  <c r="C20231" i="2"/>
  <c r="C20232" i="2"/>
  <c r="C20233" i="2"/>
  <c r="C20234" i="2"/>
  <c r="C20235" i="2"/>
  <c r="C20236" i="2"/>
  <c r="C20237" i="2"/>
  <c r="C20238" i="2"/>
  <c r="C20239" i="2"/>
  <c r="C20240" i="2"/>
  <c r="C20241" i="2"/>
  <c r="C20242" i="2"/>
  <c r="C20243" i="2"/>
  <c r="C20244" i="2"/>
  <c r="C20245" i="2"/>
  <c r="C20246" i="2"/>
  <c r="C20247" i="2"/>
  <c r="C20248" i="2"/>
  <c r="C20249" i="2"/>
  <c r="C20250" i="2"/>
  <c r="C20251" i="2"/>
  <c r="C20252" i="2"/>
  <c r="C20253" i="2"/>
  <c r="C20254" i="2"/>
  <c r="C20255" i="2"/>
  <c r="C20256" i="2"/>
  <c r="C20257" i="2"/>
  <c r="C20258" i="2"/>
  <c r="C20259" i="2"/>
  <c r="C20260" i="2"/>
  <c r="C20261" i="2"/>
  <c r="C20262" i="2"/>
  <c r="C20263" i="2"/>
  <c r="C20264" i="2"/>
  <c r="C20265" i="2"/>
  <c r="C20266" i="2"/>
  <c r="C20267" i="2"/>
  <c r="C20268" i="2"/>
  <c r="C20269" i="2"/>
  <c r="C20270" i="2"/>
  <c r="C20271" i="2"/>
  <c r="C20272" i="2"/>
  <c r="C20273" i="2"/>
  <c r="C20274" i="2"/>
  <c r="C20275" i="2"/>
  <c r="C20276" i="2"/>
  <c r="C20277" i="2"/>
  <c r="C20278" i="2"/>
  <c r="C20279" i="2"/>
  <c r="C20280" i="2"/>
  <c r="C20281" i="2"/>
  <c r="C20282" i="2"/>
  <c r="C20283" i="2"/>
  <c r="C20284" i="2"/>
  <c r="C20285" i="2"/>
  <c r="C20286" i="2"/>
  <c r="C20287" i="2"/>
  <c r="C20288" i="2"/>
  <c r="C20289" i="2"/>
  <c r="C20290" i="2"/>
  <c r="C20291" i="2"/>
  <c r="C20292" i="2"/>
  <c r="C20293" i="2"/>
  <c r="C20294" i="2"/>
  <c r="C20295" i="2"/>
  <c r="C20296" i="2"/>
  <c r="C20297" i="2"/>
  <c r="C20298" i="2"/>
  <c r="C20299" i="2"/>
  <c r="C20300" i="2"/>
  <c r="C20301" i="2"/>
  <c r="C20302" i="2"/>
  <c r="C20303" i="2"/>
  <c r="C20304" i="2"/>
  <c r="C20305" i="2"/>
  <c r="C20306" i="2"/>
  <c r="C20307" i="2"/>
  <c r="C20308" i="2"/>
  <c r="C20309" i="2"/>
  <c r="C20310" i="2"/>
  <c r="C20311" i="2"/>
  <c r="C20312" i="2"/>
  <c r="C20313" i="2"/>
  <c r="C20314" i="2"/>
  <c r="C20315" i="2"/>
  <c r="C20316" i="2"/>
  <c r="C20317" i="2"/>
  <c r="C20318" i="2"/>
  <c r="C20319" i="2"/>
  <c r="C20320" i="2"/>
  <c r="C20321" i="2"/>
  <c r="C20322" i="2"/>
  <c r="C20323" i="2"/>
  <c r="C20324" i="2"/>
  <c r="C20325" i="2"/>
  <c r="C20326" i="2"/>
  <c r="C20327" i="2"/>
  <c r="C20328" i="2"/>
  <c r="C20329" i="2"/>
  <c r="C20330" i="2"/>
  <c r="C20331" i="2"/>
  <c r="C20332" i="2"/>
  <c r="C20333" i="2"/>
  <c r="C20334" i="2"/>
  <c r="C20335" i="2"/>
  <c r="C20336" i="2"/>
  <c r="C20337" i="2"/>
  <c r="C20338" i="2"/>
  <c r="C20339" i="2"/>
  <c r="C20340" i="2"/>
  <c r="C20341" i="2"/>
  <c r="C20342" i="2"/>
  <c r="C20343" i="2"/>
  <c r="C20344" i="2"/>
  <c r="C20345" i="2"/>
  <c r="C20346" i="2"/>
  <c r="C20347" i="2"/>
  <c r="C20348" i="2"/>
  <c r="C20349" i="2"/>
  <c r="C20350" i="2"/>
  <c r="C20351" i="2"/>
  <c r="C20352" i="2"/>
  <c r="C20353" i="2"/>
  <c r="C20354" i="2"/>
  <c r="C20355" i="2"/>
  <c r="C20356" i="2"/>
  <c r="C20357" i="2"/>
  <c r="C20358" i="2"/>
  <c r="C20359" i="2"/>
  <c r="C20360" i="2"/>
  <c r="C20361" i="2"/>
  <c r="C20362" i="2"/>
  <c r="C20363" i="2"/>
  <c r="C20364" i="2"/>
  <c r="C20365" i="2"/>
  <c r="C20366" i="2"/>
  <c r="C20367" i="2"/>
  <c r="C20368" i="2"/>
  <c r="C20369" i="2"/>
  <c r="C20370" i="2"/>
  <c r="C20371" i="2"/>
  <c r="C20372" i="2"/>
  <c r="C20373" i="2"/>
  <c r="C20374" i="2"/>
  <c r="C20375" i="2"/>
  <c r="C20376" i="2"/>
  <c r="C20377" i="2"/>
  <c r="C20378" i="2"/>
  <c r="C20379" i="2"/>
  <c r="C20380" i="2"/>
  <c r="C20381" i="2"/>
  <c r="C20382" i="2"/>
  <c r="C20383" i="2"/>
  <c r="C20384" i="2"/>
  <c r="C20385" i="2"/>
  <c r="C20386" i="2"/>
  <c r="C20387" i="2"/>
  <c r="C20388" i="2"/>
  <c r="C20389" i="2"/>
  <c r="C20390" i="2"/>
  <c r="C20391" i="2"/>
  <c r="C20392" i="2"/>
  <c r="C20393" i="2"/>
  <c r="C20394" i="2"/>
  <c r="C20395" i="2"/>
  <c r="C20396" i="2"/>
  <c r="C20397" i="2"/>
  <c r="C20398" i="2"/>
  <c r="C20399" i="2"/>
  <c r="C20400" i="2"/>
  <c r="C20401" i="2"/>
  <c r="C20402" i="2"/>
  <c r="C20403" i="2"/>
  <c r="C20404" i="2"/>
  <c r="C20405" i="2"/>
  <c r="C20406" i="2"/>
  <c r="C20407" i="2"/>
  <c r="C20408" i="2"/>
  <c r="C20409" i="2"/>
  <c r="C20410" i="2"/>
  <c r="C20411" i="2"/>
  <c r="C20412" i="2"/>
  <c r="C20413" i="2"/>
  <c r="C20414" i="2"/>
  <c r="C20415" i="2"/>
  <c r="C20416" i="2"/>
  <c r="C20417" i="2"/>
  <c r="C20418" i="2"/>
  <c r="C20419" i="2"/>
  <c r="C20420" i="2"/>
  <c r="C20421" i="2"/>
  <c r="C20422" i="2"/>
  <c r="C20423" i="2"/>
  <c r="C20424" i="2"/>
  <c r="C20425" i="2"/>
  <c r="C20426" i="2"/>
  <c r="C20427" i="2"/>
  <c r="C20428" i="2"/>
  <c r="C20429" i="2"/>
  <c r="C20430" i="2"/>
  <c r="C20431" i="2"/>
  <c r="C20432" i="2"/>
  <c r="C20433" i="2"/>
  <c r="C20434" i="2"/>
  <c r="C20435" i="2"/>
  <c r="C20436" i="2"/>
  <c r="C20437" i="2"/>
  <c r="C20438" i="2"/>
  <c r="C20439" i="2"/>
  <c r="C20440" i="2"/>
  <c r="C20441" i="2"/>
  <c r="C20442" i="2"/>
  <c r="C20443" i="2"/>
  <c r="C20444" i="2"/>
  <c r="C20445" i="2"/>
  <c r="C20446" i="2"/>
  <c r="C20447" i="2"/>
  <c r="C20448" i="2"/>
  <c r="C20449" i="2"/>
  <c r="C20450" i="2"/>
  <c r="C20451" i="2"/>
  <c r="C20452" i="2"/>
  <c r="C20453" i="2"/>
  <c r="C20454" i="2"/>
  <c r="C20455" i="2"/>
  <c r="C20456" i="2"/>
  <c r="C20457" i="2"/>
  <c r="C20458" i="2"/>
  <c r="C20459" i="2"/>
  <c r="C20460" i="2"/>
  <c r="C20461" i="2"/>
  <c r="C20462" i="2"/>
  <c r="C20463" i="2"/>
  <c r="C20464" i="2"/>
  <c r="C20465" i="2"/>
  <c r="C20466" i="2"/>
  <c r="C20467" i="2"/>
  <c r="C20468" i="2"/>
  <c r="C20469" i="2"/>
  <c r="C20470" i="2"/>
  <c r="C20471" i="2"/>
  <c r="C20472" i="2"/>
  <c r="C20473" i="2"/>
  <c r="C20474" i="2"/>
  <c r="C20475" i="2"/>
  <c r="C20476" i="2"/>
  <c r="C20477" i="2"/>
  <c r="C20478" i="2"/>
  <c r="C20479" i="2"/>
  <c r="C20480" i="2"/>
  <c r="C20481" i="2"/>
  <c r="C20482" i="2"/>
  <c r="C20483" i="2"/>
  <c r="C20484" i="2"/>
  <c r="C20485" i="2"/>
  <c r="C20486" i="2"/>
  <c r="C20487" i="2"/>
  <c r="C20488" i="2"/>
  <c r="C20489" i="2"/>
  <c r="C20490" i="2"/>
  <c r="C20491" i="2"/>
  <c r="C20492" i="2"/>
  <c r="C20493" i="2"/>
  <c r="C20494" i="2"/>
  <c r="C20495" i="2"/>
  <c r="C20496" i="2"/>
  <c r="C20497" i="2"/>
  <c r="C20498" i="2"/>
  <c r="C20499" i="2"/>
  <c r="C20500" i="2"/>
  <c r="C20501" i="2"/>
  <c r="C20502" i="2"/>
  <c r="C20503" i="2"/>
  <c r="C20504" i="2"/>
  <c r="C20505" i="2"/>
  <c r="C20506" i="2"/>
  <c r="C20507" i="2"/>
  <c r="C20508" i="2"/>
  <c r="C20509" i="2"/>
  <c r="C20510" i="2"/>
  <c r="C20511" i="2"/>
  <c r="C20512" i="2"/>
  <c r="C20513" i="2"/>
  <c r="C20514" i="2"/>
  <c r="C20515" i="2"/>
  <c r="C20516" i="2"/>
  <c r="C20517" i="2"/>
  <c r="C20518" i="2"/>
  <c r="C20519" i="2"/>
  <c r="C20520" i="2"/>
  <c r="C20521" i="2"/>
  <c r="C20522" i="2"/>
  <c r="C20523" i="2"/>
  <c r="C20524" i="2"/>
  <c r="C20525" i="2"/>
  <c r="C20526" i="2"/>
  <c r="C20527" i="2"/>
  <c r="C20528" i="2"/>
  <c r="C20529" i="2"/>
  <c r="C20530" i="2"/>
  <c r="C20531" i="2"/>
  <c r="C20532" i="2"/>
  <c r="C20533" i="2"/>
  <c r="C20534" i="2"/>
  <c r="C20535" i="2"/>
  <c r="C20536" i="2"/>
  <c r="C20537" i="2"/>
  <c r="C20538" i="2"/>
  <c r="C20539" i="2"/>
  <c r="C20540" i="2"/>
  <c r="C20541" i="2"/>
  <c r="C20542" i="2"/>
  <c r="C20543" i="2"/>
  <c r="C20544" i="2"/>
  <c r="C20545" i="2"/>
  <c r="C20546" i="2"/>
  <c r="C20547" i="2"/>
  <c r="C20548" i="2"/>
  <c r="C20549" i="2"/>
  <c r="C20550" i="2"/>
  <c r="C20551" i="2"/>
  <c r="C20552" i="2"/>
  <c r="C20553" i="2"/>
  <c r="C20554" i="2"/>
  <c r="C20555" i="2"/>
  <c r="C20556" i="2"/>
  <c r="C20557" i="2"/>
  <c r="C20558" i="2"/>
  <c r="C20559" i="2"/>
  <c r="C20560" i="2"/>
  <c r="C20561" i="2"/>
  <c r="C20562" i="2"/>
  <c r="C20563" i="2"/>
  <c r="C20564" i="2"/>
  <c r="C20565" i="2"/>
  <c r="C20566" i="2"/>
  <c r="C20567" i="2"/>
  <c r="C20568" i="2"/>
  <c r="C20569" i="2"/>
  <c r="C20570" i="2"/>
  <c r="C20571" i="2"/>
  <c r="C20572" i="2"/>
  <c r="C20573" i="2"/>
  <c r="C20574" i="2"/>
  <c r="C20575" i="2"/>
  <c r="C20576" i="2"/>
  <c r="C20577" i="2"/>
  <c r="C20578" i="2"/>
  <c r="C20579" i="2"/>
  <c r="C20580" i="2"/>
  <c r="C20581" i="2"/>
  <c r="C20582" i="2"/>
  <c r="C20583" i="2"/>
  <c r="C20584" i="2"/>
  <c r="C20585" i="2"/>
  <c r="C20586" i="2"/>
  <c r="C20587" i="2"/>
  <c r="C20588" i="2"/>
  <c r="C20589" i="2"/>
  <c r="C20590" i="2"/>
  <c r="C20591" i="2"/>
  <c r="C20592" i="2"/>
  <c r="C20593" i="2"/>
  <c r="C20594" i="2"/>
  <c r="C20595" i="2"/>
  <c r="C20596" i="2"/>
  <c r="C20597" i="2"/>
  <c r="C20598" i="2"/>
  <c r="C20599" i="2"/>
  <c r="C20600" i="2"/>
  <c r="C20601" i="2"/>
  <c r="C20602" i="2"/>
  <c r="C20603" i="2"/>
  <c r="C20604" i="2"/>
  <c r="C20605" i="2"/>
  <c r="C20606" i="2"/>
  <c r="C20607" i="2"/>
  <c r="C20608" i="2"/>
  <c r="C20609" i="2"/>
  <c r="C20610" i="2"/>
  <c r="C20611" i="2"/>
  <c r="C20612" i="2"/>
  <c r="C20613" i="2"/>
  <c r="C20614" i="2"/>
  <c r="C20615" i="2"/>
  <c r="C20616" i="2"/>
  <c r="C20617" i="2"/>
  <c r="C20618" i="2"/>
  <c r="C20619" i="2"/>
  <c r="C20620" i="2"/>
  <c r="C20621" i="2"/>
  <c r="C20622" i="2"/>
  <c r="C20623" i="2"/>
  <c r="C20624" i="2"/>
  <c r="C20625" i="2"/>
  <c r="C20626" i="2"/>
  <c r="C20627" i="2"/>
  <c r="C20628" i="2"/>
  <c r="C20629" i="2"/>
  <c r="C20630" i="2"/>
  <c r="C20631" i="2"/>
  <c r="C20632" i="2"/>
  <c r="C20633" i="2"/>
  <c r="C20634" i="2"/>
  <c r="C20635" i="2"/>
  <c r="C20636" i="2"/>
  <c r="C20637" i="2"/>
  <c r="C20638" i="2"/>
  <c r="C20639" i="2"/>
  <c r="C20640" i="2"/>
  <c r="C20641" i="2"/>
  <c r="C20642" i="2"/>
  <c r="C20643" i="2"/>
  <c r="C20644" i="2"/>
  <c r="C20645" i="2"/>
  <c r="C20646" i="2"/>
  <c r="C20647" i="2"/>
  <c r="C20648" i="2"/>
  <c r="C20649" i="2"/>
  <c r="C20650" i="2"/>
  <c r="C20651" i="2"/>
  <c r="C20652" i="2"/>
  <c r="C20653" i="2"/>
  <c r="C20654" i="2"/>
  <c r="C20655" i="2"/>
  <c r="C20656" i="2"/>
  <c r="C20657" i="2"/>
  <c r="C20658" i="2"/>
  <c r="C20659" i="2"/>
  <c r="C20660" i="2"/>
  <c r="C20661" i="2"/>
  <c r="C20662" i="2"/>
  <c r="C20663" i="2"/>
  <c r="C20664" i="2"/>
  <c r="C20665" i="2"/>
  <c r="C20666" i="2"/>
  <c r="C20667" i="2"/>
  <c r="C20668" i="2"/>
  <c r="C20669" i="2"/>
  <c r="C20670" i="2"/>
  <c r="C20671" i="2"/>
  <c r="C20672" i="2"/>
  <c r="C20673" i="2"/>
  <c r="C20674" i="2"/>
  <c r="C20675" i="2"/>
  <c r="C20676" i="2"/>
  <c r="C20677" i="2"/>
  <c r="C20678" i="2"/>
  <c r="C20679" i="2"/>
  <c r="C20680" i="2"/>
  <c r="C20681" i="2"/>
  <c r="C20682" i="2"/>
  <c r="C20683" i="2"/>
  <c r="C20684" i="2"/>
  <c r="C20685" i="2"/>
  <c r="C20686" i="2"/>
  <c r="C20687" i="2"/>
  <c r="C20688" i="2"/>
  <c r="C20689" i="2"/>
  <c r="C20690" i="2"/>
  <c r="C20691" i="2"/>
  <c r="C20692" i="2"/>
  <c r="C20693" i="2"/>
  <c r="C20694" i="2"/>
  <c r="C20695" i="2"/>
  <c r="C20696" i="2"/>
  <c r="C20697" i="2"/>
  <c r="C20698" i="2"/>
  <c r="C20699" i="2"/>
  <c r="C20700" i="2"/>
  <c r="C20701" i="2"/>
  <c r="C20702" i="2"/>
  <c r="C20703" i="2"/>
  <c r="C20704" i="2"/>
  <c r="C20705" i="2"/>
  <c r="C20706" i="2"/>
  <c r="C20707" i="2"/>
  <c r="C20708" i="2"/>
  <c r="C20709" i="2"/>
  <c r="C20710" i="2"/>
  <c r="C20711" i="2"/>
  <c r="C20712" i="2"/>
  <c r="C20713" i="2"/>
  <c r="C20714" i="2"/>
  <c r="C20715" i="2"/>
  <c r="C20716" i="2"/>
  <c r="C20717" i="2"/>
  <c r="C20718" i="2"/>
  <c r="C20719" i="2"/>
  <c r="C20720" i="2"/>
  <c r="C20721" i="2"/>
  <c r="C20722" i="2"/>
  <c r="C20723" i="2"/>
  <c r="C20724" i="2"/>
  <c r="C20725" i="2"/>
  <c r="C20726" i="2"/>
  <c r="C20727" i="2"/>
  <c r="C20728" i="2"/>
  <c r="C20729" i="2"/>
  <c r="C20730" i="2"/>
  <c r="C20731" i="2"/>
  <c r="C20732" i="2"/>
  <c r="C20733" i="2"/>
  <c r="C20734" i="2"/>
  <c r="C20735" i="2"/>
  <c r="C20736" i="2"/>
  <c r="C20737" i="2"/>
  <c r="C20738" i="2"/>
  <c r="C20739" i="2"/>
  <c r="C20740" i="2"/>
  <c r="C20741" i="2"/>
  <c r="C20742" i="2"/>
  <c r="C20743" i="2"/>
  <c r="C20744" i="2"/>
  <c r="C20745" i="2"/>
  <c r="C20746" i="2"/>
  <c r="C20747" i="2"/>
  <c r="C20748" i="2"/>
  <c r="C20749" i="2"/>
  <c r="C20750" i="2"/>
  <c r="C20751" i="2"/>
  <c r="C20752" i="2"/>
  <c r="C20753" i="2"/>
  <c r="C20754" i="2"/>
  <c r="C20755" i="2"/>
  <c r="C20756" i="2"/>
  <c r="C20757" i="2"/>
  <c r="C20758" i="2"/>
  <c r="C20759" i="2"/>
  <c r="C20760" i="2"/>
  <c r="C20761" i="2"/>
  <c r="C20762" i="2"/>
  <c r="C20763" i="2"/>
  <c r="C20764" i="2"/>
  <c r="C20765" i="2"/>
  <c r="C20766" i="2"/>
  <c r="C20767" i="2"/>
  <c r="C20768" i="2"/>
  <c r="C20769" i="2"/>
  <c r="C20770" i="2"/>
  <c r="C20771" i="2"/>
  <c r="C20772" i="2"/>
  <c r="C20773" i="2"/>
  <c r="C20774" i="2"/>
  <c r="C20775" i="2"/>
  <c r="C20776" i="2"/>
  <c r="C20777" i="2"/>
  <c r="C20778" i="2"/>
  <c r="C20779" i="2"/>
  <c r="C20780" i="2"/>
  <c r="C20781" i="2"/>
  <c r="C20782" i="2"/>
  <c r="C20783" i="2"/>
  <c r="C20784" i="2"/>
  <c r="C20785" i="2"/>
  <c r="C20786" i="2"/>
  <c r="C20787" i="2"/>
  <c r="C20788" i="2"/>
  <c r="C20789" i="2"/>
  <c r="C20790" i="2"/>
  <c r="C20791" i="2"/>
  <c r="C20792" i="2"/>
  <c r="C20793" i="2"/>
  <c r="C20794" i="2"/>
  <c r="C20795" i="2"/>
  <c r="C20796" i="2"/>
  <c r="C20797" i="2"/>
  <c r="C20798" i="2"/>
  <c r="C20799" i="2"/>
  <c r="C20800" i="2"/>
  <c r="C20801" i="2"/>
  <c r="C20802" i="2"/>
  <c r="C20803" i="2"/>
  <c r="C20804" i="2"/>
  <c r="C20805" i="2"/>
  <c r="C20806" i="2"/>
  <c r="C20807" i="2"/>
  <c r="C20808" i="2"/>
  <c r="C20809" i="2"/>
  <c r="C20810" i="2"/>
  <c r="C20811" i="2"/>
  <c r="C20812" i="2"/>
  <c r="C20813" i="2"/>
  <c r="C20814" i="2"/>
  <c r="C20815" i="2"/>
  <c r="C20816" i="2"/>
  <c r="C20817" i="2"/>
  <c r="C20818" i="2"/>
  <c r="C20819" i="2"/>
  <c r="C20820" i="2"/>
  <c r="C20821" i="2"/>
  <c r="C20822" i="2"/>
  <c r="C20823" i="2"/>
  <c r="C20824" i="2"/>
  <c r="C20825" i="2"/>
  <c r="C20826" i="2"/>
  <c r="C20827" i="2"/>
  <c r="C20828" i="2"/>
  <c r="C20829" i="2"/>
  <c r="C20830" i="2"/>
  <c r="C20831" i="2"/>
  <c r="C20832" i="2"/>
  <c r="C20833" i="2"/>
  <c r="C20834" i="2"/>
  <c r="C20835" i="2"/>
  <c r="C20836" i="2"/>
  <c r="C20837" i="2"/>
  <c r="C20838" i="2"/>
  <c r="C20839" i="2"/>
  <c r="C20840" i="2"/>
  <c r="C20841" i="2"/>
  <c r="C20842" i="2"/>
  <c r="C20843" i="2"/>
  <c r="C20844" i="2"/>
  <c r="C20845" i="2"/>
  <c r="C20846" i="2"/>
  <c r="C20847" i="2"/>
  <c r="C20848" i="2"/>
  <c r="C20849" i="2"/>
  <c r="C20850" i="2"/>
  <c r="C20851" i="2"/>
  <c r="C20852" i="2"/>
  <c r="C20853" i="2"/>
  <c r="C20854" i="2"/>
  <c r="C20855" i="2"/>
  <c r="C20856" i="2"/>
  <c r="C20857" i="2"/>
  <c r="C20858" i="2"/>
  <c r="C20859" i="2"/>
  <c r="C20860" i="2"/>
  <c r="C20861" i="2"/>
  <c r="C20862" i="2"/>
  <c r="C20863" i="2"/>
  <c r="C20864" i="2"/>
  <c r="C20865" i="2"/>
  <c r="C20866" i="2"/>
  <c r="C20867" i="2"/>
  <c r="C20868" i="2"/>
  <c r="C20869" i="2"/>
  <c r="C20870" i="2"/>
  <c r="C20871" i="2"/>
  <c r="C20872" i="2"/>
  <c r="C20873" i="2"/>
  <c r="C20874" i="2"/>
  <c r="C20875" i="2"/>
  <c r="C20876" i="2"/>
  <c r="C20877" i="2"/>
  <c r="C20878" i="2"/>
  <c r="C20879" i="2"/>
  <c r="C20880" i="2"/>
  <c r="C20881" i="2"/>
  <c r="C20882" i="2"/>
  <c r="C20883" i="2"/>
  <c r="C20884" i="2"/>
  <c r="C20885" i="2"/>
  <c r="C20886" i="2"/>
  <c r="C20887" i="2"/>
  <c r="C20888" i="2"/>
  <c r="C20889" i="2"/>
  <c r="C20890" i="2"/>
  <c r="C20891" i="2"/>
  <c r="C20892" i="2"/>
  <c r="C20893" i="2"/>
  <c r="C20894" i="2"/>
  <c r="C20895" i="2"/>
  <c r="C20896" i="2"/>
  <c r="C20897" i="2"/>
  <c r="C20898" i="2"/>
  <c r="C20899" i="2"/>
  <c r="C20900" i="2"/>
  <c r="C20901" i="2"/>
  <c r="C20902" i="2"/>
  <c r="C20903" i="2"/>
  <c r="C20904" i="2"/>
  <c r="C20905" i="2"/>
  <c r="C20906" i="2"/>
  <c r="C20907" i="2"/>
  <c r="C20908" i="2"/>
  <c r="C20909" i="2"/>
  <c r="C20910" i="2"/>
  <c r="C20911" i="2"/>
  <c r="C20912" i="2"/>
  <c r="C20913" i="2"/>
  <c r="C20914" i="2"/>
  <c r="C20915" i="2"/>
  <c r="C20916" i="2"/>
  <c r="C20917" i="2"/>
  <c r="C20918" i="2"/>
  <c r="C20919" i="2"/>
  <c r="C20920" i="2"/>
  <c r="C20921" i="2"/>
  <c r="C20922" i="2"/>
  <c r="C20923" i="2"/>
  <c r="C20924" i="2"/>
  <c r="C20925" i="2"/>
  <c r="C20926" i="2"/>
  <c r="C20927" i="2"/>
  <c r="C20928" i="2"/>
  <c r="C20929" i="2"/>
  <c r="C20930" i="2"/>
  <c r="C20931" i="2"/>
  <c r="C20932" i="2"/>
  <c r="C20933" i="2"/>
  <c r="C20934" i="2"/>
  <c r="C20935" i="2"/>
  <c r="C20936" i="2"/>
  <c r="C20937" i="2"/>
  <c r="C20938" i="2"/>
  <c r="C20939" i="2"/>
  <c r="C20940" i="2"/>
  <c r="C20941" i="2"/>
  <c r="C20942" i="2"/>
  <c r="C20943" i="2"/>
  <c r="C20944" i="2"/>
  <c r="C20945" i="2"/>
  <c r="C20946" i="2"/>
  <c r="C20947" i="2"/>
  <c r="C20948" i="2"/>
  <c r="C20949" i="2"/>
  <c r="C20950" i="2"/>
  <c r="C20951" i="2"/>
  <c r="C20952" i="2"/>
  <c r="C20953" i="2"/>
  <c r="C20954" i="2"/>
  <c r="C20955" i="2"/>
  <c r="C20956" i="2"/>
  <c r="C20957" i="2"/>
  <c r="C20958" i="2"/>
  <c r="C20959" i="2"/>
  <c r="C20960" i="2"/>
  <c r="C20961" i="2"/>
  <c r="C20962" i="2"/>
  <c r="C20963" i="2"/>
  <c r="C20964" i="2"/>
  <c r="C20965" i="2"/>
  <c r="C20966" i="2"/>
  <c r="C20967" i="2"/>
  <c r="C20968" i="2"/>
  <c r="C20969" i="2"/>
  <c r="C20970" i="2"/>
  <c r="C20971" i="2"/>
  <c r="C20972" i="2"/>
  <c r="C20973" i="2"/>
  <c r="C20974" i="2"/>
  <c r="C20975" i="2"/>
  <c r="C20976" i="2"/>
  <c r="C20977" i="2"/>
  <c r="C20978" i="2"/>
  <c r="C20979" i="2"/>
  <c r="C20980" i="2"/>
  <c r="C20981" i="2"/>
  <c r="C20982" i="2"/>
  <c r="C20983" i="2"/>
  <c r="C20984" i="2"/>
  <c r="C20985" i="2"/>
  <c r="C20986" i="2"/>
  <c r="C20987" i="2"/>
  <c r="C20988" i="2"/>
  <c r="C20989" i="2"/>
  <c r="C20990" i="2"/>
  <c r="C20991" i="2"/>
  <c r="C20992" i="2"/>
  <c r="C20993" i="2"/>
  <c r="C20994" i="2"/>
  <c r="C20995" i="2"/>
  <c r="C20996" i="2"/>
  <c r="C20997" i="2"/>
  <c r="C20998" i="2"/>
  <c r="C20999" i="2"/>
  <c r="C21000" i="2"/>
  <c r="C21001" i="2"/>
  <c r="C21002" i="2"/>
  <c r="C21003" i="2"/>
  <c r="C21004" i="2"/>
  <c r="C21005" i="2"/>
  <c r="C21006" i="2"/>
  <c r="C21007" i="2"/>
  <c r="C21008" i="2"/>
  <c r="C21009" i="2"/>
  <c r="C21010" i="2"/>
  <c r="C21011" i="2"/>
  <c r="C21012" i="2"/>
  <c r="C21013" i="2"/>
  <c r="C21014" i="2"/>
  <c r="C21015" i="2"/>
  <c r="C21016" i="2"/>
  <c r="C21017" i="2"/>
  <c r="C21018" i="2"/>
  <c r="C21019" i="2"/>
  <c r="C21020" i="2"/>
  <c r="C21021" i="2"/>
  <c r="C21022" i="2"/>
  <c r="C21023" i="2"/>
  <c r="C21024" i="2"/>
  <c r="C21025" i="2"/>
  <c r="C21026" i="2"/>
  <c r="C21027" i="2"/>
  <c r="C21028" i="2"/>
  <c r="C21029" i="2"/>
  <c r="C21030" i="2"/>
  <c r="C21031" i="2"/>
  <c r="C21032" i="2"/>
  <c r="C21033" i="2"/>
  <c r="C21034" i="2"/>
  <c r="C21035" i="2"/>
  <c r="C21036" i="2"/>
  <c r="C21037" i="2"/>
  <c r="C21038" i="2"/>
  <c r="C21039" i="2"/>
  <c r="C21040" i="2"/>
  <c r="C21041" i="2"/>
  <c r="C21042" i="2"/>
  <c r="C21043" i="2"/>
  <c r="C21044" i="2"/>
  <c r="C21045" i="2"/>
  <c r="C21046" i="2"/>
  <c r="C21047" i="2"/>
  <c r="C21048" i="2"/>
  <c r="C21049" i="2"/>
  <c r="C21050" i="2"/>
  <c r="C21051" i="2"/>
  <c r="C21052" i="2"/>
  <c r="C21053" i="2"/>
  <c r="C21054" i="2"/>
  <c r="C21055" i="2"/>
  <c r="C21056" i="2"/>
  <c r="C21057" i="2"/>
  <c r="C21058" i="2"/>
  <c r="C21059" i="2"/>
  <c r="C21060" i="2"/>
  <c r="C21061" i="2"/>
  <c r="C21062" i="2"/>
  <c r="C21063" i="2"/>
  <c r="C21064" i="2"/>
  <c r="C21065" i="2"/>
  <c r="C21066" i="2"/>
  <c r="C21067" i="2"/>
  <c r="C21068" i="2"/>
  <c r="C21069" i="2"/>
  <c r="C21070" i="2"/>
  <c r="C21071" i="2"/>
  <c r="C21072" i="2"/>
  <c r="C21073" i="2"/>
  <c r="C21074" i="2"/>
  <c r="C21075" i="2"/>
  <c r="C21076" i="2"/>
  <c r="C21077" i="2"/>
  <c r="C21078" i="2"/>
  <c r="C21079" i="2"/>
  <c r="C21080" i="2"/>
  <c r="C21081" i="2"/>
  <c r="C21082" i="2"/>
  <c r="C21083" i="2"/>
  <c r="C21084" i="2"/>
  <c r="C21085" i="2"/>
  <c r="C21086" i="2"/>
  <c r="C21087" i="2"/>
  <c r="C21088" i="2"/>
  <c r="C21089" i="2"/>
  <c r="C21090" i="2"/>
  <c r="C21091" i="2"/>
  <c r="C21092" i="2"/>
  <c r="C21093" i="2"/>
  <c r="C21094" i="2"/>
  <c r="C21095" i="2"/>
  <c r="C21096" i="2"/>
  <c r="C21097" i="2"/>
  <c r="C21098" i="2"/>
  <c r="C21099" i="2"/>
  <c r="C21100" i="2"/>
  <c r="C21101" i="2"/>
  <c r="C21102" i="2"/>
  <c r="C21103" i="2"/>
  <c r="C21104" i="2"/>
  <c r="C21105" i="2"/>
  <c r="C21106" i="2"/>
  <c r="C21107" i="2"/>
  <c r="C21108" i="2"/>
  <c r="C21109" i="2"/>
  <c r="C21110" i="2"/>
  <c r="C21111" i="2"/>
  <c r="C21112" i="2"/>
  <c r="C21113" i="2"/>
  <c r="C21114" i="2"/>
  <c r="C21115" i="2"/>
  <c r="C21116" i="2"/>
  <c r="C21117" i="2"/>
  <c r="C21118" i="2"/>
  <c r="C21119" i="2"/>
  <c r="C21120" i="2"/>
  <c r="C21121" i="2"/>
  <c r="C21122" i="2"/>
  <c r="C21123" i="2"/>
  <c r="C21124" i="2"/>
  <c r="C21125" i="2"/>
  <c r="C21126" i="2"/>
  <c r="C21127" i="2"/>
  <c r="C21128" i="2"/>
  <c r="C21129" i="2"/>
  <c r="C21130" i="2"/>
  <c r="C21131" i="2"/>
  <c r="C21132" i="2"/>
  <c r="C21133" i="2"/>
  <c r="C21134" i="2"/>
  <c r="C21135" i="2"/>
  <c r="C21136" i="2"/>
  <c r="C21137" i="2"/>
  <c r="C21138" i="2"/>
  <c r="C21139" i="2"/>
  <c r="C21140" i="2"/>
  <c r="C21141" i="2"/>
  <c r="C21142" i="2"/>
  <c r="C21143" i="2"/>
  <c r="C21144" i="2"/>
  <c r="C21145" i="2"/>
  <c r="C21146" i="2"/>
  <c r="C21147" i="2"/>
  <c r="C21148" i="2"/>
  <c r="C21149" i="2"/>
  <c r="C21150" i="2"/>
  <c r="C21151" i="2"/>
  <c r="C21152" i="2"/>
  <c r="C21153" i="2"/>
  <c r="C21154" i="2"/>
  <c r="C21155" i="2"/>
  <c r="C21156" i="2"/>
  <c r="C21157" i="2"/>
  <c r="C21158" i="2"/>
  <c r="C21159" i="2"/>
  <c r="C21160" i="2"/>
  <c r="C21161" i="2"/>
  <c r="C21162" i="2"/>
  <c r="C21163" i="2"/>
  <c r="C21164" i="2"/>
  <c r="C21165" i="2"/>
  <c r="C21166" i="2"/>
  <c r="C21167" i="2"/>
  <c r="C21168" i="2"/>
  <c r="C21169" i="2"/>
  <c r="C21170" i="2"/>
  <c r="C21171" i="2"/>
  <c r="C21172" i="2"/>
  <c r="C21173" i="2"/>
  <c r="C21174" i="2"/>
  <c r="C21175" i="2"/>
  <c r="C21176" i="2"/>
  <c r="C21177" i="2"/>
  <c r="C21178" i="2"/>
  <c r="C21179" i="2"/>
  <c r="C21180" i="2"/>
  <c r="C21181" i="2"/>
  <c r="C21182" i="2"/>
  <c r="C21183" i="2"/>
  <c r="C21184" i="2"/>
  <c r="C21185" i="2"/>
  <c r="C21186" i="2"/>
  <c r="C21187" i="2"/>
  <c r="C21188" i="2"/>
  <c r="C21189" i="2"/>
  <c r="C21190" i="2"/>
  <c r="C21191" i="2"/>
  <c r="C21192" i="2"/>
  <c r="C21193" i="2"/>
  <c r="C21194" i="2"/>
  <c r="C21195" i="2"/>
  <c r="C21196" i="2"/>
  <c r="C21197" i="2"/>
  <c r="C21198" i="2"/>
  <c r="C21199" i="2"/>
  <c r="C21200" i="2"/>
  <c r="C21201" i="2"/>
  <c r="C21202" i="2"/>
  <c r="C21203" i="2"/>
  <c r="C21204" i="2"/>
  <c r="C21205" i="2"/>
  <c r="C21206" i="2"/>
  <c r="C21207" i="2"/>
  <c r="C21208" i="2"/>
  <c r="C21209" i="2"/>
  <c r="C21210" i="2"/>
  <c r="C21211" i="2"/>
  <c r="C21212" i="2"/>
  <c r="C21213" i="2"/>
  <c r="C21214" i="2"/>
  <c r="C21215" i="2"/>
  <c r="C21216" i="2"/>
  <c r="C21217" i="2"/>
  <c r="C21218" i="2"/>
  <c r="C21219" i="2"/>
  <c r="C21220" i="2"/>
  <c r="C21221" i="2"/>
  <c r="C21222" i="2"/>
  <c r="C21223" i="2"/>
  <c r="C21224" i="2"/>
  <c r="C21225" i="2"/>
  <c r="C21226" i="2"/>
  <c r="C21227" i="2"/>
  <c r="C21228" i="2"/>
  <c r="C21229" i="2"/>
  <c r="C21230" i="2"/>
  <c r="C21231" i="2"/>
  <c r="C21232" i="2"/>
  <c r="C21233" i="2"/>
  <c r="C21234" i="2"/>
  <c r="C21235" i="2"/>
  <c r="C21236" i="2"/>
  <c r="C21237" i="2"/>
  <c r="C21238" i="2"/>
  <c r="C21239" i="2"/>
  <c r="C21240" i="2"/>
  <c r="C21241" i="2"/>
  <c r="C21242" i="2"/>
  <c r="C21243" i="2"/>
  <c r="C21244" i="2"/>
  <c r="C21245" i="2"/>
  <c r="C21246" i="2"/>
  <c r="C21247" i="2"/>
  <c r="C21248" i="2"/>
  <c r="C21249" i="2"/>
  <c r="C21250" i="2"/>
  <c r="C21251" i="2"/>
  <c r="C21252" i="2"/>
  <c r="C21253" i="2"/>
  <c r="C21254" i="2"/>
  <c r="C21255" i="2"/>
  <c r="C21256" i="2"/>
  <c r="C21257" i="2"/>
  <c r="C21258" i="2"/>
  <c r="C21259" i="2"/>
  <c r="C21260" i="2"/>
  <c r="C21261" i="2"/>
  <c r="C21262" i="2"/>
  <c r="C21263" i="2"/>
  <c r="C21264" i="2"/>
  <c r="C21265" i="2"/>
  <c r="C21266" i="2"/>
  <c r="C21267" i="2"/>
  <c r="C21268" i="2"/>
  <c r="C21269" i="2"/>
  <c r="C21270" i="2"/>
  <c r="C21271" i="2"/>
  <c r="C21272" i="2"/>
  <c r="C21273" i="2"/>
  <c r="C21274" i="2"/>
  <c r="C21275" i="2"/>
  <c r="C21276" i="2"/>
  <c r="C21277" i="2"/>
  <c r="C21278" i="2"/>
  <c r="C21279" i="2"/>
  <c r="C21280" i="2"/>
  <c r="C21281" i="2"/>
  <c r="C21282" i="2"/>
  <c r="C21283" i="2"/>
  <c r="C21284" i="2"/>
  <c r="C21285" i="2"/>
  <c r="C21286" i="2"/>
  <c r="C21287" i="2"/>
  <c r="C21288" i="2"/>
  <c r="C21289" i="2"/>
  <c r="C21290" i="2"/>
  <c r="C21291" i="2"/>
  <c r="C21292" i="2"/>
  <c r="C21293" i="2"/>
  <c r="C21294" i="2"/>
  <c r="C21295" i="2"/>
  <c r="C21296" i="2"/>
  <c r="C21297" i="2"/>
  <c r="C21298" i="2"/>
  <c r="C21299" i="2"/>
  <c r="C21300" i="2"/>
  <c r="C21301" i="2"/>
  <c r="C21302" i="2"/>
  <c r="C21303" i="2"/>
  <c r="C21304" i="2"/>
  <c r="C21305" i="2"/>
  <c r="C21306" i="2"/>
  <c r="C21307" i="2"/>
  <c r="C21308" i="2"/>
  <c r="C21309" i="2"/>
  <c r="C21310" i="2"/>
  <c r="C21311" i="2"/>
  <c r="C21312" i="2"/>
  <c r="C21313" i="2"/>
  <c r="C21314" i="2"/>
  <c r="C21315" i="2"/>
  <c r="C21316" i="2"/>
  <c r="C21317" i="2"/>
  <c r="C21318" i="2"/>
  <c r="C21319" i="2"/>
  <c r="C21320" i="2"/>
  <c r="C21321" i="2"/>
  <c r="C21322" i="2"/>
  <c r="C21323" i="2"/>
  <c r="C21324" i="2"/>
  <c r="C21325" i="2"/>
  <c r="C21326" i="2"/>
  <c r="C21327" i="2"/>
  <c r="C21328" i="2"/>
  <c r="C21329" i="2"/>
  <c r="C21330" i="2"/>
  <c r="C21331" i="2"/>
  <c r="C21332" i="2"/>
  <c r="C21333" i="2"/>
  <c r="C21334" i="2"/>
  <c r="C21335" i="2"/>
  <c r="C21336" i="2"/>
  <c r="C21337" i="2"/>
  <c r="C21338" i="2"/>
  <c r="C21339" i="2"/>
  <c r="C21340" i="2"/>
  <c r="C21341" i="2"/>
  <c r="C21342" i="2"/>
  <c r="C21343" i="2"/>
  <c r="C21344" i="2"/>
  <c r="C21345" i="2"/>
  <c r="C21346" i="2"/>
  <c r="C21347" i="2"/>
  <c r="C21348" i="2"/>
  <c r="C21349" i="2"/>
  <c r="C21350" i="2"/>
  <c r="C21351" i="2"/>
  <c r="C21352" i="2"/>
  <c r="C21353" i="2"/>
  <c r="C21354" i="2"/>
  <c r="C21355" i="2"/>
  <c r="C21356" i="2"/>
  <c r="C21357" i="2"/>
  <c r="C21358" i="2"/>
  <c r="C21359" i="2"/>
  <c r="C21360" i="2"/>
  <c r="C21361" i="2"/>
  <c r="C21362" i="2"/>
  <c r="C21363" i="2"/>
  <c r="C21364" i="2"/>
  <c r="C21365" i="2"/>
  <c r="C21366" i="2"/>
  <c r="C21367" i="2"/>
  <c r="C21368" i="2"/>
  <c r="C21369" i="2"/>
  <c r="C21370" i="2"/>
  <c r="C21371" i="2"/>
  <c r="C21372" i="2"/>
  <c r="C21373" i="2"/>
  <c r="C21374" i="2"/>
  <c r="C21375" i="2"/>
  <c r="C21376" i="2"/>
  <c r="C21377" i="2"/>
  <c r="C21378" i="2"/>
  <c r="C21379" i="2"/>
  <c r="C21380" i="2"/>
  <c r="C21381" i="2"/>
  <c r="C21382" i="2"/>
  <c r="C21383" i="2"/>
  <c r="C21384" i="2"/>
  <c r="C21385" i="2"/>
  <c r="C21386" i="2"/>
  <c r="C21387" i="2"/>
  <c r="C21388" i="2"/>
  <c r="C21389" i="2"/>
  <c r="C21390" i="2"/>
  <c r="C21391" i="2"/>
  <c r="C21392" i="2"/>
  <c r="C21393" i="2"/>
  <c r="C21394" i="2"/>
  <c r="C21395" i="2"/>
  <c r="C21396" i="2"/>
  <c r="C21397" i="2"/>
  <c r="C21398" i="2"/>
  <c r="C21399" i="2"/>
  <c r="C21400" i="2"/>
  <c r="C21401" i="2"/>
  <c r="C21402" i="2"/>
  <c r="C21403" i="2"/>
  <c r="C21404" i="2"/>
  <c r="C21405" i="2"/>
  <c r="C21406" i="2"/>
  <c r="C21407" i="2"/>
  <c r="C21408" i="2"/>
  <c r="C21409" i="2"/>
  <c r="C21410" i="2"/>
  <c r="C21411" i="2"/>
  <c r="C21412" i="2"/>
  <c r="C21413" i="2"/>
  <c r="C21414" i="2"/>
  <c r="C21415" i="2"/>
  <c r="C21416" i="2"/>
  <c r="C21417" i="2"/>
  <c r="C21418" i="2"/>
  <c r="C21419" i="2"/>
  <c r="C21420" i="2"/>
  <c r="C21421" i="2"/>
  <c r="C21422" i="2"/>
  <c r="C21423" i="2"/>
  <c r="C21424" i="2"/>
  <c r="C21425" i="2"/>
  <c r="C21426" i="2"/>
  <c r="C21427" i="2"/>
  <c r="C21428" i="2"/>
  <c r="C21429" i="2"/>
  <c r="C21430" i="2"/>
  <c r="C21431" i="2"/>
  <c r="C21432" i="2"/>
  <c r="C21433" i="2"/>
  <c r="C21434" i="2"/>
  <c r="C21435" i="2"/>
  <c r="C21436" i="2"/>
  <c r="C21437" i="2"/>
  <c r="C21438" i="2"/>
  <c r="C21439" i="2"/>
  <c r="C21440" i="2"/>
  <c r="C21441" i="2"/>
  <c r="C21442" i="2"/>
  <c r="C21443" i="2"/>
  <c r="C21444" i="2"/>
  <c r="C21445" i="2"/>
  <c r="C21446" i="2"/>
  <c r="C21447" i="2"/>
  <c r="C21448" i="2"/>
  <c r="C21449" i="2"/>
  <c r="C21450" i="2"/>
  <c r="C21451" i="2"/>
  <c r="C21452" i="2"/>
  <c r="C21453" i="2"/>
  <c r="C21454" i="2"/>
  <c r="C21455" i="2"/>
  <c r="C21456" i="2"/>
  <c r="C21457" i="2"/>
  <c r="C21458" i="2"/>
  <c r="C21459" i="2"/>
  <c r="C21460" i="2"/>
  <c r="C21461" i="2"/>
  <c r="C21462" i="2"/>
  <c r="C21463" i="2"/>
  <c r="C21464" i="2"/>
  <c r="C21465" i="2"/>
  <c r="C21466" i="2"/>
  <c r="C21467" i="2"/>
  <c r="C21468" i="2"/>
  <c r="C21469" i="2"/>
  <c r="C21470" i="2"/>
  <c r="C21471" i="2"/>
  <c r="C21472" i="2"/>
  <c r="C21473" i="2"/>
  <c r="C21474" i="2"/>
  <c r="C21475" i="2"/>
  <c r="C21476" i="2"/>
  <c r="C21477" i="2"/>
  <c r="C21478" i="2"/>
  <c r="C21479" i="2"/>
  <c r="C21480" i="2"/>
  <c r="C21481" i="2"/>
  <c r="C21482" i="2"/>
  <c r="C21483" i="2"/>
  <c r="C21484" i="2"/>
  <c r="C21485" i="2"/>
  <c r="C21486" i="2"/>
  <c r="C21487" i="2"/>
  <c r="C21488" i="2"/>
  <c r="C21489" i="2"/>
  <c r="C21490" i="2"/>
  <c r="C21491" i="2"/>
  <c r="C21492" i="2"/>
  <c r="C21493" i="2"/>
  <c r="C21494" i="2"/>
  <c r="C21495" i="2"/>
  <c r="C21496" i="2"/>
  <c r="C21497" i="2"/>
  <c r="C21498" i="2"/>
  <c r="C21499" i="2"/>
  <c r="C21500" i="2"/>
  <c r="C21501" i="2"/>
  <c r="C21502" i="2"/>
  <c r="C21503" i="2"/>
  <c r="C21504" i="2"/>
  <c r="C21505" i="2"/>
  <c r="C21506" i="2"/>
  <c r="C21507" i="2"/>
  <c r="C21508" i="2"/>
  <c r="C21509" i="2"/>
  <c r="C21510" i="2"/>
  <c r="C21511" i="2"/>
  <c r="C21512" i="2"/>
  <c r="C21513" i="2"/>
  <c r="C21514" i="2"/>
  <c r="C21515" i="2"/>
  <c r="C21516" i="2"/>
  <c r="C21517" i="2"/>
  <c r="C21518" i="2"/>
  <c r="C21519" i="2"/>
  <c r="C21520" i="2"/>
  <c r="C21521" i="2"/>
  <c r="C21522" i="2"/>
  <c r="C21523" i="2"/>
  <c r="C21524" i="2"/>
  <c r="C21525" i="2"/>
  <c r="C21526" i="2"/>
  <c r="C21527" i="2"/>
  <c r="C21528" i="2"/>
  <c r="C21529" i="2"/>
  <c r="C21530" i="2"/>
  <c r="C21531" i="2"/>
  <c r="C21532" i="2"/>
  <c r="C21533" i="2"/>
  <c r="C21534" i="2"/>
  <c r="C21535" i="2"/>
  <c r="C21536" i="2"/>
  <c r="C21537" i="2"/>
  <c r="C21538" i="2"/>
  <c r="C21539" i="2"/>
  <c r="C21540" i="2"/>
  <c r="C21541" i="2"/>
  <c r="C21542" i="2"/>
  <c r="C21543" i="2"/>
  <c r="C21544" i="2"/>
  <c r="C21545" i="2"/>
  <c r="C21546" i="2"/>
  <c r="C21547" i="2"/>
  <c r="C21548" i="2"/>
  <c r="C21549" i="2"/>
  <c r="C21550" i="2"/>
  <c r="C21551" i="2"/>
  <c r="C21552" i="2"/>
  <c r="C21553" i="2"/>
  <c r="C21554" i="2"/>
  <c r="C21555" i="2"/>
  <c r="C21556" i="2"/>
  <c r="C21557" i="2"/>
  <c r="C21558" i="2"/>
  <c r="C21559" i="2"/>
  <c r="C21560" i="2"/>
  <c r="C21561" i="2"/>
  <c r="C21562" i="2"/>
  <c r="C21563" i="2"/>
  <c r="C21564" i="2"/>
  <c r="C21565" i="2"/>
  <c r="C21566" i="2"/>
  <c r="C21567" i="2"/>
  <c r="C21568" i="2"/>
  <c r="C21569" i="2"/>
  <c r="C21570" i="2"/>
  <c r="C21571" i="2"/>
  <c r="C21572" i="2"/>
  <c r="C21573" i="2"/>
  <c r="C21574" i="2"/>
  <c r="C21575" i="2"/>
  <c r="C21576" i="2"/>
  <c r="C21577" i="2"/>
  <c r="C21578" i="2"/>
  <c r="C21579" i="2"/>
  <c r="C21580" i="2"/>
  <c r="C21581" i="2"/>
  <c r="C21582" i="2"/>
  <c r="C21583" i="2"/>
  <c r="C21584" i="2"/>
  <c r="C21585" i="2"/>
  <c r="C21586" i="2"/>
  <c r="C21587" i="2"/>
  <c r="C21588" i="2"/>
  <c r="C21589" i="2"/>
  <c r="C21590" i="2"/>
  <c r="C21591" i="2"/>
  <c r="C21592" i="2"/>
  <c r="C21593" i="2"/>
  <c r="C21594" i="2"/>
  <c r="C21595" i="2"/>
  <c r="C21596" i="2"/>
  <c r="C21597" i="2"/>
  <c r="C21598" i="2"/>
  <c r="C21599" i="2"/>
  <c r="C21600" i="2"/>
  <c r="C21601" i="2"/>
  <c r="C21602" i="2"/>
  <c r="C21603" i="2"/>
  <c r="C21604" i="2"/>
  <c r="C21605" i="2"/>
  <c r="C21606" i="2"/>
  <c r="C21607" i="2"/>
  <c r="C21608" i="2"/>
  <c r="C21609" i="2"/>
  <c r="C21610" i="2"/>
  <c r="C21611" i="2"/>
  <c r="C21612" i="2"/>
  <c r="C21613" i="2"/>
  <c r="C21614" i="2"/>
  <c r="C21615" i="2"/>
  <c r="C21616" i="2"/>
  <c r="C21617" i="2"/>
  <c r="C21618" i="2"/>
  <c r="C21619" i="2"/>
  <c r="C21620" i="2"/>
  <c r="C21621" i="2"/>
  <c r="C21622" i="2"/>
  <c r="C21623" i="2"/>
  <c r="C21624" i="2"/>
  <c r="C21625" i="2"/>
  <c r="C21626" i="2"/>
  <c r="C21627" i="2"/>
  <c r="C21628" i="2"/>
  <c r="C21629" i="2"/>
  <c r="C21630" i="2"/>
  <c r="C21631" i="2"/>
  <c r="C21632" i="2"/>
  <c r="C21633" i="2"/>
  <c r="C21634" i="2"/>
  <c r="C21635" i="2"/>
  <c r="C21636" i="2"/>
  <c r="C21637" i="2"/>
  <c r="C21638" i="2"/>
  <c r="C21639" i="2"/>
  <c r="C21640" i="2"/>
  <c r="C21641" i="2"/>
  <c r="C21642" i="2"/>
  <c r="C21643" i="2"/>
  <c r="C21644" i="2"/>
  <c r="C21645" i="2"/>
  <c r="C21646" i="2"/>
  <c r="C21647" i="2"/>
  <c r="C21648" i="2"/>
  <c r="C21649" i="2"/>
  <c r="C21650" i="2"/>
  <c r="C21651" i="2"/>
  <c r="C21652" i="2"/>
  <c r="C21653" i="2"/>
  <c r="C21654" i="2"/>
  <c r="C21655" i="2"/>
  <c r="C21656" i="2"/>
  <c r="C21657" i="2"/>
  <c r="C21658" i="2"/>
  <c r="C21659" i="2"/>
  <c r="C21660" i="2"/>
  <c r="C21661" i="2"/>
  <c r="C21662" i="2"/>
  <c r="C21663" i="2"/>
  <c r="C21664" i="2"/>
  <c r="C21665" i="2"/>
  <c r="C21666" i="2"/>
  <c r="C21667" i="2"/>
  <c r="C21668" i="2"/>
  <c r="C21669" i="2"/>
  <c r="C21670" i="2"/>
  <c r="C21671" i="2"/>
  <c r="C21672" i="2"/>
  <c r="C21673" i="2"/>
  <c r="C21674" i="2"/>
  <c r="C21675" i="2"/>
  <c r="C21676" i="2"/>
  <c r="C21677" i="2"/>
  <c r="C21678" i="2"/>
  <c r="C21679" i="2"/>
  <c r="C21680" i="2"/>
  <c r="C21681" i="2"/>
  <c r="C21682" i="2"/>
  <c r="C21683" i="2"/>
  <c r="C21684" i="2"/>
  <c r="C21685" i="2"/>
  <c r="C21686" i="2"/>
  <c r="C21687" i="2"/>
  <c r="C21688" i="2"/>
  <c r="C21689" i="2"/>
  <c r="C21690" i="2"/>
  <c r="C21691" i="2"/>
  <c r="C21692" i="2"/>
  <c r="C21693" i="2"/>
  <c r="C21694" i="2"/>
  <c r="C21695" i="2"/>
  <c r="C21696" i="2"/>
  <c r="C21697" i="2"/>
  <c r="C21698" i="2"/>
  <c r="C21699" i="2"/>
  <c r="C21700" i="2"/>
  <c r="C21701" i="2"/>
  <c r="C21702" i="2"/>
  <c r="C21703" i="2"/>
  <c r="C21704" i="2"/>
  <c r="C21705" i="2"/>
  <c r="C21706" i="2"/>
  <c r="C21707" i="2"/>
  <c r="C21708" i="2"/>
  <c r="C21709" i="2"/>
  <c r="C21710" i="2"/>
  <c r="C21711" i="2"/>
  <c r="C21712" i="2"/>
  <c r="C21713" i="2"/>
  <c r="C21714" i="2"/>
  <c r="C21715" i="2"/>
  <c r="C21716" i="2"/>
  <c r="C21717" i="2"/>
  <c r="C21718" i="2"/>
  <c r="C21719" i="2"/>
  <c r="C21720" i="2"/>
  <c r="C21721" i="2"/>
  <c r="C21722" i="2"/>
  <c r="C21723" i="2"/>
  <c r="C21724" i="2"/>
  <c r="C21725" i="2"/>
  <c r="C21726" i="2"/>
  <c r="C21727" i="2"/>
  <c r="C21728" i="2"/>
  <c r="C21729" i="2"/>
  <c r="C21730" i="2"/>
  <c r="C21731" i="2"/>
  <c r="C21732" i="2"/>
  <c r="C21733" i="2"/>
  <c r="C21734" i="2"/>
  <c r="C21735" i="2"/>
  <c r="C21736" i="2"/>
  <c r="C21737" i="2"/>
  <c r="C21738" i="2"/>
  <c r="C21739" i="2"/>
  <c r="C21740" i="2"/>
  <c r="C21741" i="2"/>
  <c r="C21742" i="2"/>
  <c r="C21743" i="2"/>
  <c r="C21744" i="2"/>
  <c r="C21745" i="2"/>
  <c r="C21746" i="2"/>
  <c r="C21747" i="2"/>
  <c r="C21748" i="2"/>
  <c r="C21749" i="2"/>
  <c r="C21750" i="2"/>
  <c r="C21751" i="2"/>
  <c r="C21752" i="2"/>
  <c r="C21753" i="2"/>
  <c r="C21754" i="2"/>
  <c r="C21755" i="2"/>
  <c r="C21756" i="2"/>
  <c r="C21757" i="2"/>
  <c r="C21758" i="2"/>
  <c r="C21759" i="2"/>
  <c r="C21760" i="2"/>
  <c r="C21761" i="2"/>
  <c r="C21762" i="2"/>
  <c r="C21763" i="2"/>
  <c r="C21764" i="2"/>
  <c r="C21765" i="2"/>
  <c r="C21766" i="2"/>
  <c r="C21767" i="2"/>
  <c r="C21768" i="2"/>
  <c r="C21769" i="2"/>
  <c r="C21770" i="2"/>
  <c r="C21771" i="2"/>
  <c r="C21772" i="2"/>
  <c r="C21773" i="2"/>
  <c r="C21774" i="2"/>
  <c r="C21775" i="2"/>
  <c r="C21776" i="2"/>
  <c r="C21777" i="2"/>
  <c r="C21778" i="2"/>
  <c r="C21779" i="2"/>
  <c r="C21780" i="2"/>
  <c r="C21781" i="2"/>
  <c r="C21782" i="2"/>
  <c r="C21783" i="2"/>
  <c r="C21784" i="2"/>
  <c r="C21785" i="2"/>
  <c r="C21786" i="2"/>
  <c r="C21787" i="2"/>
  <c r="C21788" i="2"/>
  <c r="C21789" i="2"/>
  <c r="C21790" i="2"/>
  <c r="C21791" i="2"/>
  <c r="C21792" i="2"/>
  <c r="C21793" i="2"/>
  <c r="C21794" i="2"/>
  <c r="C21795" i="2"/>
  <c r="C21796" i="2"/>
  <c r="C21797" i="2"/>
  <c r="C21798" i="2"/>
  <c r="C21799" i="2"/>
  <c r="C21800" i="2"/>
  <c r="C21801" i="2"/>
  <c r="C21802" i="2"/>
  <c r="C21803" i="2"/>
  <c r="C21804" i="2"/>
  <c r="C21805" i="2"/>
  <c r="C21806" i="2"/>
  <c r="C21807" i="2"/>
  <c r="C21808" i="2"/>
  <c r="C21809" i="2"/>
  <c r="C21810" i="2"/>
  <c r="C21811" i="2"/>
  <c r="C21812" i="2"/>
  <c r="C21813" i="2"/>
  <c r="C21814" i="2"/>
  <c r="C21815" i="2"/>
  <c r="C21816" i="2"/>
  <c r="C21817" i="2"/>
  <c r="C21818" i="2"/>
  <c r="C21819" i="2"/>
  <c r="C21820" i="2"/>
  <c r="C21821" i="2"/>
  <c r="C21822" i="2"/>
  <c r="C21823" i="2"/>
  <c r="C21824" i="2"/>
  <c r="C21825" i="2"/>
  <c r="C21826" i="2"/>
  <c r="C21827" i="2"/>
  <c r="C21828" i="2"/>
  <c r="C21829" i="2"/>
  <c r="C21830" i="2"/>
  <c r="C21831" i="2"/>
  <c r="C21832" i="2"/>
  <c r="C21833" i="2"/>
  <c r="C21834" i="2"/>
  <c r="C21835" i="2"/>
  <c r="C21836" i="2"/>
  <c r="C21837" i="2"/>
  <c r="C21838" i="2"/>
  <c r="C21839" i="2"/>
  <c r="C21840" i="2"/>
  <c r="C21841" i="2"/>
  <c r="C21842" i="2"/>
  <c r="C21843" i="2"/>
  <c r="C21844" i="2"/>
  <c r="C21845" i="2"/>
  <c r="C21846" i="2"/>
  <c r="C21847" i="2"/>
  <c r="C21848" i="2"/>
  <c r="C21849" i="2"/>
  <c r="C21850" i="2"/>
  <c r="C21851" i="2"/>
  <c r="C21852" i="2"/>
  <c r="C21853" i="2"/>
  <c r="C21854" i="2"/>
  <c r="C21855" i="2"/>
  <c r="C21856" i="2"/>
  <c r="C21857" i="2"/>
  <c r="C21858" i="2"/>
  <c r="C21859" i="2"/>
  <c r="C21860" i="2"/>
  <c r="C21861" i="2"/>
  <c r="C21862" i="2"/>
  <c r="C21863" i="2"/>
  <c r="C21864" i="2"/>
  <c r="C21865" i="2"/>
  <c r="C21866" i="2"/>
  <c r="C21867" i="2"/>
  <c r="C21868" i="2"/>
  <c r="C21869" i="2"/>
  <c r="C21870" i="2"/>
  <c r="C21871" i="2"/>
  <c r="C21872" i="2"/>
  <c r="C21873" i="2"/>
  <c r="C21874" i="2"/>
  <c r="C21875" i="2"/>
  <c r="C21876" i="2"/>
  <c r="C21877" i="2"/>
  <c r="C21878" i="2"/>
  <c r="C21879" i="2"/>
  <c r="C21880" i="2"/>
  <c r="C21881" i="2"/>
  <c r="C21882" i="2"/>
  <c r="C21883" i="2"/>
  <c r="C21884" i="2"/>
  <c r="C21885" i="2"/>
  <c r="C21886" i="2"/>
  <c r="C21887" i="2"/>
  <c r="C21888" i="2"/>
  <c r="C21889" i="2"/>
  <c r="C21890" i="2"/>
  <c r="C21891" i="2"/>
  <c r="C21892" i="2"/>
  <c r="C21893" i="2"/>
  <c r="C21894" i="2"/>
  <c r="C21895" i="2"/>
  <c r="C21896" i="2"/>
  <c r="C21897" i="2"/>
  <c r="C21898" i="2"/>
  <c r="C21899" i="2"/>
  <c r="C21900" i="2"/>
  <c r="C21901" i="2"/>
  <c r="C21902" i="2"/>
  <c r="C21903" i="2"/>
  <c r="C21904" i="2"/>
  <c r="C21905" i="2"/>
  <c r="C21906" i="2"/>
  <c r="C21907" i="2"/>
  <c r="C21908" i="2"/>
  <c r="C21909" i="2"/>
  <c r="C21910" i="2"/>
  <c r="C21911" i="2"/>
  <c r="C21912" i="2"/>
  <c r="C21913" i="2"/>
  <c r="C21914" i="2"/>
  <c r="C21915" i="2"/>
  <c r="C21916" i="2"/>
  <c r="C21917" i="2"/>
  <c r="C21918" i="2"/>
  <c r="C21919" i="2"/>
  <c r="C21920" i="2"/>
  <c r="C21921" i="2"/>
  <c r="C21922" i="2"/>
  <c r="C21923" i="2"/>
  <c r="C21924" i="2"/>
  <c r="C21925" i="2"/>
  <c r="C21926" i="2"/>
  <c r="C21927" i="2"/>
  <c r="C21928" i="2"/>
  <c r="C21929" i="2"/>
  <c r="C21930" i="2"/>
  <c r="C21931" i="2"/>
  <c r="C21932" i="2"/>
  <c r="C21933" i="2"/>
  <c r="C21934" i="2"/>
  <c r="C21935" i="2"/>
  <c r="C21936" i="2"/>
  <c r="C21937" i="2"/>
  <c r="C21938" i="2"/>
  <c r="C21939" i="2"/>
  <c r="C21940" i="2"/>
  <c r="C21941" i="2"/>
  <c r="C21942" i="2"/>
  <c r="C21943" i="2"/>
  <c r="C21944" i="2"/>
  <c r="C21945" i="2"/>
  <c r="C21946" i="2"/>
  <c r="C21947" i="2"/>
  <c r="C21948" i="2"/>
  <c r="C21949" i="2"/>
  <c r="C21950" i="2"/>
  <c r="C21951" i="2"/>
  <c r="C21952" i="2"/>
  <c r="C21953" i="2"/>
  <c r="C21954" i="2"/>
  <c r="C21955" i="2"/>
  <c r="C21956" i="2"/>
  <c r="C21957" i="2"/>
  <c r="C21958" i="2"/>
  <c r="C21959" i="2"/>
  <c r="C21960" i="2"/>
  <c r="C21961" i="2"/>
  <c r="C21962" i="2"/>
  <c r="C21963" i="2"/>
  <c r="C21964" i="2"/>
  <c r="C21965" i="2"/>
  <c r="C21966" i="2"/>
  <c r="C21967" i="2"/>
  <c r="C21968" i="2"/>
  <c r="C21969" i="2"/>
  <c r="C21970" i="2"/>
  <c r="C21971" i="2"/>
  <c r="C21972" i="2"/>
  <c r="C21973" i="2"/>
  <c r="C21974" i="2"/>
  <c r="C21975" i="2"/>
  <c r="C21976" i="2"/>
  <c r="C21977" i="2"/>
  <c r="C21978" i="2"/>
  <c r="C21979" i="2"/>
  <c r="C21980" i="2"/>
  <c r="C21981" i="2"/>
  <c r="C21982" i="2"/>
  <c r="C21983" i="2"/>
  <c r="C21984" i="2"/>
  <c r="C21985" i="2"/>
  <c r="C21986" i="2"/>
  <c r="C21987" i="2"/>
  <c r="C21988" i="2"/>
  <c r="C21989" i="2"/>
  <c r="C21990" i="2"/>
  <c r="C21991" i="2"/>
  <c r="C21992" i="2"/>
  <c r="C21993" i="2"/>
  <c r="C21994" i="2"/>
  <c r="C21995" i="2"/>
  <c r="C21996" i="2"/>
  <c r="C21997" i="2"/>
  <c r="C21998" i="2"/>
  <c r="C21999" i="2"/>
  <c r="C22000" i="2"/>
  <c r="C22001" i="2"/>
  <c r="C22002" i="2"/>
  <c r="C22003" i="2"/>
  <c r="C22004" i="2"/>
  <c r="C22005" i="2"/>
  <c r="C22006" i="2"/>
  <c r="C22007" i="2"/>
  <c r="C22008" i="2"/>
  <c r="C22009" i="2"/>
  <c r="C22010" i="2"/>
  <c r="C22011" i="2"/>
  <c r="C22012" i="2"/>
  <c r="C22013" i="2"/>
  <c r="C22014" i="2"/>
  <c r="C22015" i="2"/>
  <c r="C22016" i="2"/>
  <c r="C22017" i="2"/>
  <c r="C22018" i="2"/>
  <c r="C22019" i="2"/>
  <c r="C22020" i="2"/>
  <c r="C22021" i="2"/>
  <c r="C22022" i="2"/>
  <c r="C22023" i="2"/>
  <c r="C22024" i="2"/>
  <c r="C22025" i="2"/>
  <c r="C22026" i="2"/>
  <c r="C22027" i="2"/>
  <c r="C22028" i="2"/>
  <c r="C22029" i="2"/>
  <c r="C22030" i="2"/>
  <c r="C22031" i="2"/>
  <c r="C22032" i="2"/>
  <c r="C22033" i="2"/>
  <c r="C22034" i="2"/>
  <c r="C22035" i="2"/>
  <c r="C22036" i="2"/>
  <c r="C22037" i="2"/>
  <c r="C22038" i="2"/>
  <c r="C22039" i="2"/>
  <c r="C22040" i="2"/>
  <c r="C22041" i="2"/>
  <c r="C22042" i="2"/>
  <c r="C22043" i="2"/>
  <c r="C22044" i="2"/>
  <c r="C22045" i="2"/>
  <c r="C22046" i="2"/>
  <c r="C22047" i="2"/>
  <c r="C22048" i="2"/>
  <c r="C22049" i="2"/>
  <c r="C22050" i="2"/>
  <c r="C22051" i="2"/>
  <c r="C22052" i="2"/>
  <c r="C22053" i="2"/>
  <c r="C22054" i="2"/>
  <c r="C22055" i="2"/>
  <c r="C22056" i="2"/>
  <c r="C22057" i="2"/>
  <c r="C22058" i="2"/>
  <c r="C22059" i="2"/>
  <c r="C22060" i="2"/>
  <c r="C22061" i="2"/>
  <c r="C22062" i="2"/>
  <c r="C22063" i="2"/>
  <c r="C22064" i="2"/>
  <c r="C22065" i="2"/>
  <c r="C22066" i="2"/>
  <c r="C22067" i="2"/>
  <c r="C22068" i="2"/>
  <c r="C22069" i="2"/>
  <c r="C22070" i="2"/>
  <c r="C22071" i="2"/>
  <c r="C22072" i="2"/>
  <c r="C22073" i="2"/>
  <c r="C22074" i="2"/>
  <c r="C22075" i="2"/>
  <c r="C22076" i="2"/>
  <c r="C22077" i="2"/>
  <c r="C22078" i="2"/>
  <c r="C22079" i="2"/>
  <c r="C22080" i="2"/>
  <c r="C22081" i="2"/>
  <c r="C22082" i="2"/>
  <c r="C22083" i="2"/>
  <c r="C22084" i="2"/>
  <c r="C22085" i="2"/>
  <c r="C22086" i="2"/>
  <c r="C22087" i="2"/>
  <c r="C22088" i="2"/>
  <c r="C22089" i="2"/>
  <c r="C22090" i="2"/>
  <c r="C22091" i="2"/>
  <c r="C22092" i="2"/>
  <c r="C22093" i="2"/>
  <c r="C22094" i="2"/>
  <c r="C22095" i="2"/>
  <c r="C22096" i="2"/>
  <c r="C22097" i="2"/>
  <c r="C22098" i="2"/>
  <c r="C22099" i="2"/>
  <c r="C22100" i="2"/>
  <c r="C22101" i="2"/>
  <c r="C22102" i="2"/>
  <c r="C22103" i="2"/>
  <c r="C22104" i="2"/>
  <c r="C22105" i="2"/>
  <c r="C22106" i="2"/>
  <c r="C22107" i="2"/>
  <c r="C22108" i="2"/>
  <c r="C22109" i="2"/>
  <c r="C22110" i="2"/>
  <c r="C22111" i="2"/>
  <c r="C22112" i="2"/>
  <c r="C22113" i="2"/>
  <c r="C22114" i="2"/>
  <c r="C22115" i="2"/>
  <c r="C22116" i="2"/>
  <c r="C22117" i="2"/>
  <c r="C22118" i="2"/>
  <c r="C22119" i="2"/>
  <c r="C22120" i="2"/>
  <c r="C22121" i="2"/>
  <c r="C22122" i="2"/>
  <c r="C22123" i="2"/>
  <c r="C22124" i="2"/>
  <c r="C22125" i="2"/>
  <c r="C22126" i="2"/>
  <c r="C22127" i="2"/>
  <c r="C22128" i="2"/>
  <c r="C22129" i="2"/>
  <c r="C22130" i="2"/>
  <c r="C22131" i="2"/>
  <c r="C22132" i="2"/>
  <c r="C22133" i="2"/>
  <c r="C22134" i="2"/>
  <c r="C22135" i="2"/>
  <c r="C22136" i="2"/>
  <c r="C22137" i="2"/>
  <c r="C22138" i="2"/>
  <c r="C22139" i="2"/>
  <c r="C22140" i="2"/>
  <c r="C22141" i="2"/>
  <c r="C22142" i="2"/>
  <c r="C22143" i="2"/>
  <c r="C22144" i="2"/>
  <c r="C22145" i="2"/>
  <c r="C22146" i="2"/>
  <c r="C22147" i="2"/>
  <c r="C22148" i="2"/>
  <c r="C22149" i="2"/>
  <c r="C22150" i="2"/>
  <c r="C22151" i="2"/>
  <c r="C22152" i="2"/>
  <c r="C22153" i="2"/>
  <c r="C22154" i="2"/>
  <c r="C22155" i="2"/>
  <c r="C22156" i="2"/>
  <c r="C22157" i="2"/>
  <c r="C22158" i="2"/>
  <c r="C22159" i="2"/>
  <c r="C22160" i="2"/>
  <c r="C22161" i="2"/>
  <c r="C22162" i="2"/>
  <c r="C22163" i="2"/>
  <c r="C22164" i="2"/>
  <c r="C22165" i="2"/>
  <c r="C22166" i="2"/>
  <c r="C22167" i="2"/>
  <c r="C22168" i="2"/>
  <c r="C22169" i="2"/>
  <c r="C22170" i="2"/>
  <c r="C22171" i="2"/>
  <c r="C22172" i="2"/>
  <c r="C22173" i="2"/>
  <c r="C22174" i="2"/>
  <c r="C22175" i="2"/>
  <c r="C22176" i="2"/>
  <c r="C22177" i="2"/>
  <c r="C22178" i="2"/>
  <c r="C22179" i="2"/>
  <c r="C22180" i="2"/>
  <c r="C22181" i="2"/>
  <c r="C22182" i="2"/>
  <c r="C22183" i="2"/>
  <c r="C22184" i="2"/>
  <c r="C22185" i="2"/>
  <c r="C22186" i="2"/>
  <c r="C22187" i="2"/>
  <c r="C22188" i="2"/>
  <c r="C22189" i="2"/>
  <c r="C22190" i="2"/>
  <c r="C22191" i="2"/>
  <c r="C22192" i="2"/>
  <c r="C22193" i="2"/>
  <c r="C22194" i="2"/>
  <c r="C22195" i="2"/>
  <c r="C22196" i="2"/>
  <c r="C22197" i="2"/>
  <c r="C22198" i="2"/>
  <c r="C22199" i="2"/>
  <c r="C22200" i="2"/>
  <c r="C22201" i="2"/>
  <c r="C22202" i="2"/>
  <c r="C22203" i="2"/>
  <c r="C22204" i="2"/>
  <c r="C22205" i="2"/>
  <c r="C22206" i="2"/>
  <c r="C22207" i="2"/>
  <c r="C22208" i="2"/>
  <c r="C22209" i="2"/>
  <c r="C22210" i="2"/>
  <c r="C22211" i="2"/>
  <c r="C22212" i="2"/>
  <c r="C22213" i="2"/>
  <c r="C22214" i="2"/>
  <c r="C22215" i="2"/>
  <c r="C22216" i="2"/>
  <c r="C22217" i="2"/>
  <c r="C22218" i="2"/>
  <c r="C22219" i="2"/>
  <c r="C22220" i="2"/>
  <c r="C22221" i="2"/>
  <c r="C22222" i="2"/>
  <c r="C22223" i="2"/>
  <c r="C22224" i="2"/>
  <c r="C22225" i="2"/>
  <c r="C22226" i="2"/>
  <c r="C22227" i="2"/>
  <c r="C22228" i="2"/>
  <c r="C22229" i="2"/>
  <c r="C22230" i="2"/>
  <c r="C22231" i="2"/>
  <c r="C22232" i="2"/>
  <c r="C22233" i="2"/>
  <c r="C22234" i="2"/>
  <c r="C22235" i="2"/>
  <c r="C22236" i="2"/>
  <c r="C22237" i="2"/>
  <c r="C22238" i="2"/>
  <c r="C22239" i="2"/>
  <c r="C22240" i="2"/>
  <c r="C22241" i="2"/>
  <c r="C22242" i="2"/>
  <c r="C22243" i="2"/>
  <c r="C22244" i="2"/>
  <c r="C22245" i="2"/>
  <c r="C22246" i="2"/>
  <c r="C22247" i="2"/>
  <c r="C22248" i="2"/>
  <c r="C22249" i="2"/>
  <c r="C22250" i="2"/>
  <c r="C22251" i="2"/>
  <c r="C22252" i="2"/>
  <c r="C22253" i="2"/>
  <c r="C22254" i="2"/>
  <c r="C22255" i="2"/>
  <c r="C22256" i="2"/>
  <c r="C22257" i="2"/>
  <c r="C22258" i="2"/>
  <c r="C22259" i="2"/>
  <c r="C22260" i="2"/>
  <c r="C22261" i="2"/>
  <c r="C22262" i="2"/>
  <c r="C22263" i="2"/>
  <c r="C22264" i="2"/>
  <c r="C22265" i="2"/>
  <c r="C22266" i="2"/>
  <c r="C22267" i="2"/>
  <c r="C22268" i="2"/>
  <c r="C22269" i="2"/>
  <c r="C22270" i="2"/>
  <c r="C22271" i="2"/>
  <c r="C22272" i="2"/>
  <c r="C22273" i="2"/>
  <c r="C22274" i="2"/>
  <c r="C22275" i="2"/>
  <c r="C22276" i="2"/>
  <c r="C22277" i="2"/>
  <c r="C22278" i="2"/>
  <c r="C22279" i="2"/>
  <c r="C22280" i="2"/>
  <c r="C22281" i="2"/>
  <c r="C22282" i="2"/>
  <c r="C22283" i="2"/>
  <c r="C22284" i="2"/>
  <c r="C22285" i="2"/>
  <c r="C22286" i="2"/>
  <c r="C22287" i="2"/>
  <c r="C22288" i="2"/>
  <c r="C22289" i="2"/>
  <c r="C22290" i="2"/>
  <c r="C22291" i="2"/>
  <c r="C22292" i="2"/>
  <c r="C22293" i="2"/>
  <c r="C22294" i="2"/>
  <c r="C22295" i="2"/>
  <c r="C22296" i="2"/>
  <c r="C22297" i="2"/>
  <c r="C22298" i="2"/>
  <c r="C22299" i="2"/>
  <c r="C22300" i="2"/>
  <c r="C22301" i="2"/>
  <c r="C22302" i="2"/>
  <c r="C22303" i="2"/>
  <c r="C22304" i="2"/>
  <c r="C22305" i="2"/>
  <c r="C22306" i="2"/>
  <c r="C22307" i="2"/>
  <c r="C22308" i="2"/>
  <c r="C22309" i="2"/>
  <c r="C22310" i="2"/>
  <c r="C22311" i="2"/>
  <c r="C22312" i="2"/>
  <c r="C22313" i="2"/>
  <c r="C22314" i="2"/>
  <c r="C22315" i="2"/>
  <c r="C22316" i="2"/>
  <c r="C22317" i="2"/>
  <c r="C22318" i="2"/>
  <c r="C22319" i="2"/>
  <c r="C22320" i="2"/>
  <c r="C22321" i="2"/>
  <c r="C22322" i="2"/>
  <c r="C22323" i="2"/>
  <c r="C22324" i="2"/>
  <c r="C22325" i="2"/>
  <c r="C22326" i="2"/>
  <c r="C22327" i="2"/>
  <c r="C22328" i="2"/>
  <c r="C22329" i="2"/>
  <c r="C22330" i="2"/>
  <c r="C22331" i="2"/>
  <c r="C22332" i="2"/>
  <c r="C22333" i="2"/>
  <c r="C22334" i="2"/>
  <c r="C22335" i="2"/>
  <c r="C22336" i="2"/>
  <c r="C22337" i="2"/>
  <c r="C22338" i="2"/>
  <c r="C22339" i="2"/>
  <c r="C22340" i="2"/>
  <c r="C22341" i="2"/>
  <c r="C22342" i="2"/>
  <c r="C22343" i="2"/>
  <c r="C22344" i="2"/>
  <c r="C22345" i="2"/>
  <c r="C22346" i="2"/>
  <c r="C22347" i="2"/>
  <c r="C22348" i="2"/>
  <c r="C22349" i="2"/>
  <c r="C22350" i="2"/>
  <c r="C22351" i="2"/>
  <c r="C22352" i="2"/>
  <c r="C22353" i="2"/>
  <c r="C22354" i="2"/>
  <c r="C22355" i="2"/>
  <c r="C22356" i="2"/>
  <c r="C22357" i="2"/>
  <c r="C22358" i="2"/>
  <c r="C22359" i="2"/>
  <c r="C22360" i="2"/>
  <c r="C22361" i="2"/>
  <c r="C22362" i="2"/>
  <c r="C22363" i="2"/>
  <c r="C22364" i="2"/>
  <c r="C22365" i="2"/>
  <c r="C22366" i="2"/>
  <c r="C22367" i="2"/>
  <c r="C22368" i="2"/>
  <c r="C22369" i="2"/>
  <c r="C22370" i="2"/>
  <c r="C22371" i="2"/>
  <c r="C22372" i="2"/>
  <c r="C22373" i="2"/>
  <c r="C22374" i="2"/>
  <c r="C22375" i="2"/>
  <c r="C22376" i="2"/>
  <c r="C22377" i="2"/>
  <c r="C22378" i="2"/>
  <c r="C22379" i="2"/>
  <c r="C22380" i="2"/>
  <c r="C22381" i="2"/>
  <c r="C22382" i="2"/>
  <c r="C22383" i="2"/>
  <c r="C22384" i="2"/>
  <c r="C22385" i="2"/>
  <c r="C22386" i="2"/>
  <c r="C22387" i="2"/>
  <c r="C22388" i="2"/>
  <c r="C22389" i="2"/>
  <c r="C22390" i="2"/>
  <c r="C22391" i="2"/>
  <c r="C22392" i="2"/>
  <c r="C22393" i="2"/>
  <c r="C22394" i="2"/>
  <c r="C22395" i="2"/>
  <c r="C22396" i="2"/>
  <c r="C22397" i="2"/>
  <c r="C22398" i="2"/>
  <c r="C22399" i="2"/>
  <c r="C22400" i="2"/>
  <c r="C22401" i="2"/>
  <c r="C22402" i="2"/>
  <c r="C22403" i="2"/>
  <c r="C22404" i="2"/>
  <c r="C22405" i="2"/>
  <c r="C22406" i="2"/>
  <c r="C22407" i="2"/>
  <c r="C22408" i="2"/>
  <c r="C22409" i="2"/>
  <c r="C22410" i="2"/>
  <c r="C22411" i="2"/>
  <c r="C22412" i="2"/>
  <c r="C22413" i="2"/>
  <c r="C22414" i="2"/>
  <c r="C22415" i="2"/>
  <c r="C22416" i="2"/>
  <c r="C22417" i="2"/>
  <c r="C22418" i="2"/>
  <c r="C22419" i="2"/>
  <c r="C22420" i="2"/>
  <c r="C22421" i="2"/>
  <c r="C22422" i="2"/>
  <c r="C22423" i="2"/>
  <c r="C22424" i="2"/>
  <c r="C22425" i="2"/>
  <c r="C22426" i="2"/>
  <c r="C22427" i="2"/>
  <c r="C22428" i="2"/>
  <c r="C22429" i="2"/>
  <c r="C22430" i="2"/>
  <c r="C22431" i="2"/>
  <c r="C22432" i="2"/>
  <c r="C22433" i="2"/>
  <c r="C22434" i="2"/>
  <c r="C22435" i="2"/>
  <c r="C22436" i="2"/>
  <c r="C22437" i="2"/>
  <c r="C22438" i="2"/>
  <c r="C22439" i="2"/>
  <c r="C22440" i="2"/>
  <c r="C22441" i="2"/>
  <c r="C22442" i="2"/>
  <c r="C22443" i="2"/>
  <c r="C22444" i="2"/>
  <c r="C22445" i="2"/>
  <c r="C22446" i="2"/>
  <c r="C22447" i="2"/>
  <c r="C22448" i="2"/>
  <c r="C22449" i="2"/>
  <c r="C22450" i="2"/>
  <c r="C22451" i="2"/>
  <c r="C22452" i="2"/>
  <c r="C22453" i="2"/>
  <c r="C22454" i="2"/>
  <c r="C22455" i="2"/>
  <c r="C22456" i="2"/>
  <c r="C22457" i="2"/>
  <c r="C22458" i="2"/>
  <c r="C22459" i="2"/>
  <c r="C22460" i="2"/>
  <c r="C22461" i="2"/>
  <c r="C22462" i="2"/>
  <c r="C22463" i="2"/>
  <c r="C22464" i="2"/>
  <c r="C22465" i="2"/>
  <c r="C22466" i="2"/>
  <c r="C22467" i="2"/>
  <c r="C22468" i="2"/>
  <c r="C22469" i="2"/>
  <c r="C22470" i="2"/>
  <c r="C22471" i="2"/>
  <c r="C22472" i="2"/>
  <c r="C22473" i="2"/>
  <c r="C22474" i="2"/>
  <c r="C22475" i="2"/>
  <c r="C22476" i="2"/>
  <c r="C22477" i="2"/>
  <c r="C22478" i="2"/>
  <c r="C22479" i="2"/>
  <c r="C22480" i="2"/>
  <c r="C22481" i="2"/>
  <c r="C22482" i="2"/>
  <c r="C22483" i="2"/>
  <c r="C22484" i="2"/>
  <c r="C22485" i="2"/>
  <c r="C22486" i="2"/>
  <c r="C22487" i="2"/>
  <c r="C22488" i="2"/>
  <c r="C22489" i="2"/>
  <c r="C22490" i="2"/>
  <c r="C22491" i="2"/>
  <c r="C22492" i="2"/>
  <c r="C22493" i="2"/>
  <c r="C22494" i="2"/>
  <c r="C22495" i="2"/>
  <c r="C22496" i="2"/>
  <c r="C22497" i="2"/>
  <c r="C22498" i="2"/>
  <c r="C22499" i="2"/>
  <c r="C22500" i="2"/>
  <c r="C22501" i="2"/>
  <c r="C22502" i="2"/>
  <c r="C22503" i="2"/>
  <c r="C22504" i="2"/>
  <c r="C22505" i="2"/>
  <c r="C22506" i="2"/>
  <c r="C22507" i="2"/>
  <c r="C22508" i="2"/>
  <c r="C22509" i="2"/>
  <c r="C22510" i="2"/>
  <c r="C22511" i="2"/>
  <c r="C22512" i="2"/>
  <c r="C22513" i="2"/>
  <c r="C22514" i="2"/>
  <c r="C22515" i="2"/>
  <c r="C22516" i="2"/>
  <c r="C22517" i="2"/>
  <c r="C22518" i="2"/>
  <c r="C22519" i="2"/>
  <c r="C22520" i="2"/>
  <c r="C22521" i="2"/>
  <c r="C22522" i="2"/>
  <c r="C22523" i="2"/>
  <c r="C22524" i="2"/>
  <c r="C22525" i="2"/>
  <c r="C22526" i="2"/>
  <c r="C22527" i="2"/>
  <c r="C22528" i="2"/>
  <c r="C22529" i="2"/>
  <c r="C22530" i="2"/>
  <c r="C22531" i="2"/>
  <c r="C22532" i="2"/>
  <c r="C22533" i="2"/>
  <c r="C22534" i="2"/>
  <c r="C22535" i="2"/>
  <c r="C22536" i="2"/>
  <c r="C22537" i="2"/>
  <c r="C22538" i="2"/>
  <c r="C22539" i="2"/>
  <c r="C22540" i="2"/>
  <c r="C22541" i="2"/>
  <c r="C22542" i="2"/>
  <c r="C22543" i="2"/>
  <c r="C22544" i="2"/>
  <c r="C22545" i="2"/>
  <c r="C22546" i="2"/>
  <c r="C22547" i="2"/>
  <c r="C22548" i="2"/>
  <c r="C22549" i="2"/>
  <c r="C22550" i="2"/>
  <c r="C22551" i="2"/>
  <c r="C22552" i="2"/>
  <c r="C22553" i="2"/>
  <c r="C22554" i="2"/>
  <c r="C22555" i="2"/>
  <c r="C22556" i="2"/>
  <c r="C22557" i="2"/>
  <c r="C22558" i="2"/>
  <c r="C22559" i="2"/>
  <c r="C22560" i="2"/>
  <c r="C22561" i="2"/>
  <c r="C22562" i="2"/>
  <c r="C22563" i="2"/>
  <c r="C22564" i="2"/>
  <c r="C22565" i="2"/>
  <c r="C22566" i="2"/>
  <c r="C22567" i="2"/>
  <c r="C22568" i="2"/>
  <c r="C22569" i="2"/>
  <c r="C22570" i="2"/>
  <c r="C22571" i="2"/>
  <c r="C22572" i="2"/>
  <c r="C22573" i="2"/>
  <c r="C22574" i="2"/>
  <c r="C22575" i="2"/>
  <c r="C22576" i="2"/>
  <c r="C22577" i="2"/>
  <c r="C22578" i="2"/>
  <c r="C22579" i="2"/>
  <c r="C22580" i="2"/>
  <c r="C22581" i="2"/>
  <c r="C22582" i="2"/>
  <c r="C22583" i="2"/>
  <c r="C22584" i="2"/>
  <c r="C22585" i="2"/>
  <c r="C22586" i="2"/>
  <c r="C22587" i="2"/>
  <c r="C22588" i="2"/>
  <c r="C22589" i="2"/>
  <c r="C22590" i="2"/>
  <c r="C22591" i="2"/>
  <c r="C22592" i="2"/>
  <c r="C22593" i="2"/>
  <c r="C22594" i="2"/>
  <c r="C22595" i="2"/>
  <c r="C22596" i="2"/>
  <c r="C22597" i="2"/>
  <c r="C22598" i="2"/>
  <c r="C22599" i="2"/>
  <c r="C22600" i="2"/>
  <c r="C22601" i="2"/>
  <c r="C22602" i="2"/>
  <c r="C22603" i="2"/>
  <c r="C22604" i="2"/>
  <c r="C22605" i="2"/>
  <c r="C22606" i="2"/>
  <c r="C22607" i="2"/>
  <c r="C22608" i="2"/>
  <c r="C22609" i="2"/>
  <c r="C22610" i="2"/>
  <c r="C22611" i="2"/>
  <c r="C22612" i="2"/>
  <c r="C22613" i="2"/>
  <c r="C22614" i="2"/>
  <c r="C22615" i="2"/>
  <c r="C22616" i="2"/>
  <c r="C22617" i="2"/>
  <c r="C22618" i="2"/>
  <c r="C22619" i="2"/>
  <c r="C22620" i="2"/>
  <c r="C22621" i="2"/>
  <c r="C22622" i="2"/>
  <c r="C22623" i="2"/>
  <c r="C22624" i="2"/>
  <c r="C22625" i="2"/>
  <c r="C22626" i="2"/>
  <c r="C22627" i="2"/>
  <c r="C22628" i="2"/>
  <c r="C22629" i="2"/>
  <c r="C22630" i="2"/>
  <c r="C22631" i="2"/>
  <c r="C22632" i="2"/>
  <c r="C22633" i="2"/>
  <c r="C22634" i="2"/>
  <c r="C22635" i="2"/>
  <c r="C22636" i="2"/>
  <c r="C22637" i="2"/>
  <c r="C22638" i="2"/>
  <c r="C22639" i="2"/>
  <c r="C22640" i="2"/>
  <c r="C22641" i="2"/>
  <c r="C22642" i="2"/>
  <c r="C22643" i="2"/>
  <c r="C22644" i="2"/>
  <c r="C22645" i="2"/>
  <c r="C22646" i="2"/>
  <c r="C22647" i="2"/>
  <c r="C22648" i="2"/>
  <c r="C22649" i="2"/>
  <c r="C22650" i="2"/>
  <c r="C22651" i="2"/>
  <c r="C22652" i="2"/>
  <c r="C22653" i="2"/>
  <c r="C22654" i="2"/>
  <c r="C22655" i="2"/>
  <c r="C22656" i="2"/>
  <c r="C22657" i="2"/>
  <c r="C22658" i="2"/>
  <c r="C22659" i="2"/>
  <c r="C22660" i="2"/>
  <c r="C22661" i="2"/>
  <c r="C22662" i="2"/>
  <c r="C22663" i="2"/>
  <c r="C22664" i="2"/>
  <c r="C22665" i="2"/>
  <c r="C22666" i="2"/>
  <c r="C22667" i="2"/>
  <c r="C22668" i="2"/>
  <c r="C22669" i="2"/>
  <c r="C22670" i="2"/>
  <c r="C22671" i="2"/>
  <c r="C22672" i="2"/>
  <c r="C22673" i="2"/>
  <c r="C22674" i="2"/>
  <c r="C22675" i="2"/>
  <c r="C22676" i="2"/>
  <c r="C22677" i="2"/>
  <c r="C22678" i="2"/>
  <c r="C22679" i="2"/>
  <c r="C22680" i="2"/>
  <c r="C22681" i="2"/>
  <c r="C22682" i="2"/>
  <c r="C22683" i="2"/>
  <c r="C22684" i="2"/>
  <c r="C22685" i="2"/>
  <c r="C22686" i="2"/>
  <c r="C22687" i="2"/>
  <c r="C22688" i="2"/>
  <c r="C22689" i="2"/>
  <c r="C22690" i="2"/>
  <c r="C22691" i="2"/>
  <c r="C22692" i="2"/>
  <c r="C22693" i="2"/>
  <c r="C22694" i="2"/>
  <c r="C22695" i="2"/>
  <c r="C22696" i="2"/>
  <c r="C22697" i="2"/>
  <c r="C22698" i="2"/>
  <c r="C22699" i="2"/>
  <c r="C22700" i="2"/>
  <c r="C22701" i="2"/>
  <c r="C22702" i="2"/>
  <c r="C22703" i="2"/>
  <c r="C22704" i="2"/>
  <c r="C22705" i="2"/>
  <c r="C22706" i="2"/>
  <c r="C22707" i="2"/>
  <c r="C22708" i="2"/>
  <c r="C22709" i="2"/>
  <c r="C22710" i="2"/>
  <c r="C22711" i="2"/>
  <c r="C22712" i="2"/>
  <c r="C22713" i="2"/>
  <c r="C22714" i="2"/>
  <c r="C22715" i="2"/>
  <c r="C22716" i="2"/>
  <c r="C22717" i="2"/>
  <c r="C22718" i="2"/>
  <c r="C22719" i="2"/>
  <c r="C22720" i="2"/>
  <c r="C22721" i="2"/>
  <c r="C22722" i="2"/>
  <c r="C22723" i="2"/>
  <c r="C22724" i="2"/>
  <c r="C22725" i="2"/>
  <c r="C22726" i="2"/>
  <c r="C22727" i="2"/>
  <c r="C22728" i="2"/>
  <c r="C22729" i="2"/>
  <c r="C22730" i="2"/>
  <c r="C22731" i="2"/>
  <c r="C22732" i="2"/>
  <c r="C22733" i="2"/>
  <c r="C22734" i="2"/>
  <c r="C22735" i="2"/>
  <c r="C22736" i="2"/>
  <c r="C22737" i="2"/>
  <c r="C22738" i="2"/>
  <c r="C22739" i="2"/>
  <c r="C22740" i="2"/>
  <c r="C22741" i="2"/>
  <c r="C22742" i="2"/>
  <c r="C22743" i="2"/>
  <c r="C22744" i="2"/>
  <c r="C22745" i="2"/>
  <c r="C22746" i="2"/>
  <c r="C22747" i="2"/>
  <c r="C22748" i="2"/>
  <c r="C22749" i="2"/>
  <c r="C22750" i="2"/>
  <c r="C22751" i="2"/>
  <c r="C22752" i="2"/>
  <c r="C22753" i="2"/>
  <c r="C22754" i="2"/>
  <c r="C22755" i="2"/>
  <c r="C22756" i="2"/>
  <c r="C22757" i="2"/>
  <c r="C22758" i="2"/>
  <c r="C22759" i="2"/>
  <c r="C22760" i="2"/>
  <c r="C22761" i="2"/>
  <c r="C22762" i="2"/>
  <c r="C22763" i="2"/>
  <c r="C22764" i="2"/>
  <c r="C22765" i="2"/>
  <c r="C22766" i="2"/>
  <c r="C22767" i="2"/>
  <c r="C22768" i="2"/>
  <c r="C22769" i="2"/>
  <c r="C22770" i="2"/>
  <c r="C22771" i="2"/>
  <c r="C22772" i="2"/>
  <c r="C22773" i="2"/>
  <c r="C22774" i="2"/>
  <c r="C22775" i="2"/>
  <c r="C22776" i="2"/>
  <c r="C22777" i="2"/>
  <c r="C22778" i="2"/>
  <c r="C22779" i="2"/>
  <c r="C22780" i="2"/>
  <c r="C22781" i="2"/>
  <c r="C22782" i="2"/>
  <c r="C22783" i="2"/>
  <c r="C22784" i="2"/>
  <c r="C22785" i="2"/>
  <c r="C22786" i="2"/>
  <c r="C22787" i="2"/>
  <c r="C22788" i="2"/>
  <c r="C22789" i="2"/>
  <c r="C22790" i="2"/>
  <c r="C22791" i="2"/>
  <c r="C22792" i="2"/>
  <c r="C22793" i="2"/>
  <c r="C22794" i="2"/>
  <c r="C22795" i="2"/>
  <c r="C22796" i="2"/>
  <c r="C22797" i="2"/>
  <c r="C22798" i="2"/>
  <c r="C22799" i="2"/>
  <c r="C22800" i="2"/>
  <c r="C22801" i="2"/>
  <c r="C22802" i="2"/>
  <c r="C22803" i="2"/>
  <c r="C22804" i="2"/>
  <c r="C22805" i="2"/>
  <c r="C22806" i="2"/>
  <c r="C22807" i="2"/>
  <c r="C22808" i="2"/>
  <c r="C22809" i="2"/>
  <c r="C22810" i="2"/>
  <c r="C22811" i="2"/>
  <c r="C22812" i="2"/>
  <c r="C22813" i="2"/>
  <c r="C22814" i="2"/>
  <c r="C22815" i="2"/>
  <c r="C22816" i="2"/>
  <c r="C22817" i="2"/>
  <c r="C22818" i="2"/>
  <c r="C22819" i="2"/>
  <c r="C22820" i="2"/>
  <c r="C22821" i="2"/>
  <c r="C22822" i="2"/>
  <c r="C22823" i="2"/>
  <c r="C22824" i="2"/>
  <c r="C22825" i="2"/>
  <c r="C22826" i="2"/>
  <c r="C22827" i="2"/>
  <c r="C22828" i="2"/>
  <c r="C22829" i="2"/>
  <c r="C22830" i="2"/>
  <c r="C22831" i="2"/>
  <c r="C22832" i="2"/>
  <c r="C22833" i="2"/>
  <c r="C22834" i="2"/>
  <c r="C22835" i="2"/>
  <c r="C22836" i="2"/>
  <c r="C22837" i="2"/>
  <c r="C22838" i="2"/>
  <c r="C22839" i="2"/>
  <c r="C22840" i="2"/>
  <c r="C22841" i="2"/>
  <c r="C22842" i="2"/>
  <c r="C22843" i="2"/>
  <c r="C22844" i="2"/>
  <c r="C22845" i="2"/>
  <c r="C22846" i="2"/>
  <c r="C22847" i="2"/>
  <c r="C22848" i="2"/>
  <c r="C22849" i="2"/>
  <c r="C22850" i="2"/>
  <c r="C22851" i="2"/>
  <c r="C22852" i="2"/>
  <c r="C22853" i="2"/>
  <c r="C22854" i="2"/>
  <c r="C22855" i="2"/>
  <c r="C22856" i="2"/>
  <c r="C22857" i="2"/>
  <c r="C22858" i="2"/>
  <c r="C22859" i="2"/>
  <c r="C22860" i="2"/>
  <c r="C22861" i="2"/>
  <c r="C22862" i="2"/>
  <c r="C22863" i="2"/>
  <c r="C22864" i="2"/>
  <c r="C22865" i="2"/>
  <c r="C22866" i="2"/>
  <c r="C22867" i="2"/>
  <c r="C22868" i="2"/>
  <c r="C22869" i="2"/>
  <c r="C22870" i="2"/>
  <c r="C22871" i="2"/>
  <c r="C22872" i="2"/>
  <c r="C22873" i="2"/>
  <c r="C22874" i="2"/>
  <c r="C22875" i="2"/>
  <c r="C22876" i="2"/>
  <c r="C22877" i="2"/>
  <c r="C22878" i="2"/>
  <c r="C22879" i="2"/>
  <c r="C22880" i="2"/>
  <c r="C22881" i="2"/>
  <c r="C22882" i="2"/>
  <c r="C22883" i="2"/>
  <c r="C22884" i="2"/>
  <c r="C22885" i="2"/>
  <c r="C22886" i="2"/>
  <c r="C22887" i="2"/>
  <c r="C22888" i="2"/>
  <c r="C22889" i="2"/>
  <c r="C22890" i="2"/>
  <c r="C22891" i="2"/>
  <c r="C22892" i="2"/>
  <c r="C22893" i="2"/>
  <c r="C22894" i="2"/>
  <c r="C22895" i="2"/>
  <c r="C22896" i="2"/>
  <c r="C22897" i="2"/>
  <c r="C22898" i="2"/>
  <c r="C22899" i="2"/>
  <c r="C22900" i="2"/>
  <c r="C22901" i="2"/>
  <c r="C22902" i="2"/>
  <c r="C22903" i="2"/>
  <c r="C22904" i="2"/>
  <c r="C22905" i="2"/>
  <c r="C22906" i="2"/>
  <c r="C22907" i="2"/>
  <c r="C22908" i="2"/>
  <c r="C22909" i="2"/>
  <c r="C22910" i="2"/>
  <c r="C22911" i="2"/>
  <c r="C22912" i="2"/>
  <c r="C22913" i="2"/>
  <c r="C22914" i="2"/>
  <c r="C22915" i="2"/>
  <c r="C22916" i="2"/>
  <c r="C22917" i="2"/>
  <c r="C22918" i="2"/>
  <c r="C22919" i="2"/>
  <c r="C22920" i="2"/>
  <c r="C22921" i="2"/>
  <c r="C22922" i="2"/>
  <c r="C22923" i="2"/>
  <c r="C22924" i="2"/>
  <c r="C22925" i="2"/>
  <c r="C22926" i="2"/>
  <c r="C22927" i="2"/>
  <c r="C22928" i="2"/>
  <c r="C22929" i="2"/>
  <c r="C22930" i="2"/>
  <c r="C22931" i="2"/>
  <c r="C22932" i="2"/>
  <c r="C22933" i="2"/>
  <c r="C22934" i="2"/>
  <c r="C22935" i="2"/>
  <c r="C22936" i="2"/>
  <c r="C22937" i="2"/>
  <c r="C22938" i="2"/>
  <c r="C22939" i="2"/>
  <c r="C22940" i="2"/>
  <c r="C22941" i="2"/>
  <c r="C22942" i="2"/>
  <c r="C22943" i="2"/>
  <c r="C22944" i="2"/>
  <c r="C22945" i="2"/>
  <c r="C22946" i="2"/>
  <c r="C22947" i="2"/>
  <c r="C22948" i="2"/>
  <c r="C22949" i="2"/>
  <c r="C22950" i="2"/>
  <c r="C22951" i="2"/>
  <c r="C22952" i="2"/>
  <c r="C22953" i="2"/>
  <c r="C22954" i="2"/>
  <c r="C22955" i="2"/>
  <c r="C22956" i="2"/>
  <c r="C22957" i="2"/>
  <c r="C22958" i="2"/>
  <c r="C22959" i="2"/>
  <c r="C22960" i="2"/>
  <c r="C22961" i="2"/>
  <c r="C22962" i="2"/>
  <c r="C22963" i="2"/>
  <c r="C22964" i="2"/>
  <c r="C22965" i="2"/>
  <c r="C22966" i="2"/>
  <c r="C22967" i="2"/>
  <c r="C22968" i="2"/>
  <c r="C22969" i="2"/>
  <c r="C22970" i="2"/>
  <c r="C22971" i="2"/>
  <c r="C22972" i="2"/>
  <c r="C22973" i="2"/>
  <c r="C22974" i="2"/>
  <c r="C22975" i="2"/>
  <c r="C22976" i="2"/>
  <c r="C22977" i="2"/>
  <c r="C22978" i="2"/>
  <c r="C22979" i="2"/>
  <c r="C22980" i="2"/>
  <c r="C22981" i="2"/>
  <c r="C22982" i="2"/>
  <c r="C22983" i="2"/>
  <c r="C22984" i="2"/>
  <c r="C22985" i="2"/>
  <c r="C22986" i="2"/>
  <c r="C22987" i="2"/>
  <c r="C22988" i="2"/>
  <c r="C22989" i="2"/>
  <c r="C22990" i="2"/>
  <c r="C22991" i="2"/>
  <c r="C22992" i="2"/>
  <c r="C22993" i="2"/>
  <c r="C22994" i="2"/>
  <c r="C22995" i="2"/>
  <c r="C22996" i="2"/>
  <c r="C22997" i="2"/>
  <c r="C22998" i="2"/>
  <c r="C22999" i="2"/>
  <c r="C23000" i="2"/>
  <c r="C23001" i="2"/>
  <c r="C23002" i="2"/>
  <c r="C23003" i="2"/>
  <c r="C23004" i="2"/>
  <c r="C23005" i="2"/>
  <c r="C23006" i="2"/>
  <c r="C23007" i="2"/>
  <c r="C23008" i="2"/>
  <c r="C23009" i="2"/>
  <c r="C23010" i="2"/>
  <c r="C23011" i="2"/>
  <c r="C23012" i="2"/>
  <c r="C23013" i="2"/>
  <c r="C23014" i="2"/>
  <c r="C23015" i="2"/>
  <c r="C23016" i="2"/>
  <c r="C23017" i="2"/>
  <c r="C23018" i="2"/>
  <c r="C23019" i="2"/>
  <c r="C23020" i="2"/>
  <c r="C23021" i="2"/>
  <c r="C23022" i="2"/>
  <c r="C23023" i="2"/>
  <c r="C23024" i="2"/>
  <c r="C23025" i="2"/>
  <c r="C23026" i="2"/>
  <c r="C23027" i="2"/>
  <c r="C23028" i="2"/>
  <c r="C23029" i="2"/>
  <c r="C23030" i="2"/>
  <c r="C23031" i="2"/>
  <c r="C23032" i="2"/>
  <c r="C23033" i="2"/>
  <c r="C23034" i="2"/>
  <c r="C23035" i="2"/>
  <c r="C23036" i="2"/>
  <c r="C23037" i="2"/>
  <c r="C23038" i="2"/>
  <c r="C23039" i="2"/>
  <c r="C23040" i="2"/>
  <c r="C23041" i="2"/>
  <c r="C23042" i="2"/>
  <c r="C23043" i="2"/>
  <c r="C23044" i="2"/>
  <c r="C23045" i="2"/>
  <c r="C23046" i="2"/>
  <c r="C23047" i="2"/>
  <c r="C23048" i="2"/>
  <c r="C23049" i="2"/>
  <c r="C23050" i="2"/>
  <c r="C23051" i="2"/>
  <c r="C23052" i="2"/>
  <c r="C23053" i="2"/>
  <c r="C23054" i="2"/>
  <c r="C23055" i="2"/>
  <c r="C23056" i="2"/>
  <c r="C23057" i="2"/>
  <c r="C23058" i="2"/>
  <c r="C23059" i="2"/>
  <c r="C23060" i="2"/>
  <c r="C23061" i="2"/>
  <c r="C23062" i="2"/>
  <c r="C23063" i="2"/>
  <c r="C23064" i="2"/>
  <c r="C23065" i="2"/>
  <c r="C23066" i="2"/>
  <c r="C23067" i="2"/>
  <c r="C23068" i="2"/>
  <c r="C23069" i="2"/>
  <c r="C23070" i="2"/>
  <c r="C23071" i="2"/>
  <c r="C23072" i="2"/>
  <c r="C23073" i="2"/>
  <c r="C23074" i="2"/>
  <c r="C23075" i="2"/>
  <c r="C23076" i="2"/>
  <c r="C23077" i="2"/>
  <c r="C23078" i="2"/>
  <c r="C23079" i="2"/>
  <c r="C23080" i="2"/>
  <c r="C23081" i="2"/>
  <c r="C23082" i="2"/>
  <c r="C23083" i="2"/>
  <c r="C23084" i="2"/>
  <c r="C23085" i="2"/>
  <c r="C23086" i="2"/>
  <c r="C23087" i="2"/>
  <c r="C23088" i="2"/>
  <c r="C23089" i="2"/>
  <c r="C23090" i="2"/>
  <c r="C23091" i="2"/>
  <c r="C23092" i="2"/>
  <c r="C23093" i="2"/>
  <c r="C23094" i="2"/>
  <c r="C23095" i="2"/>
  <c r="C23096" i="2"/>
  <c r="C23097" i="2"/>
  <c r="C23098" i="2"/>
  <c r="C23099" i="2"/>
  <c r="C23100" i="2"/>
  <c r="C23101" i="2"/>
  <c r="C23102" i="2"/>
  <c r="C23103" i="2"/>
  <c r="C23104" i="2"/>
  <c r="C23105" i="2"/>
  <c r="C23106" i="2"/>
  <c r="C23107" i="2"/>
  <c r="C23108" i="2"/>
  <c r="C23109" i="2"/>
  <c r="C23110" i="2"/>
  <c r="C23111" i="2"/>
  <c r="C23112" i="2"/>
  <c r="C23113" i="2"/>
  <c r="C23114" i="2"/>
  <c r="C23115" i="2"/>
  <c r="C23116" i="2"/>
  <c r="C23117" i="2"/>
  <c r="C23118" i="2"/>
  <c r="C23119" i="2"/>
  <c r="C23120" i="2"/>
  <c r="C23121" i="2"/>
  <c r="C23122" i="2"/>
  <c r="C23123" i="2"/>
  <c r="C23124" i="2"/>
  <c r="C23125" i="2"/>
  <c r="C23126" i="2"/>
  <c r="C23127" i="2"/>
  <c r="C23128" i="2"/>
  <c r="C23129" i="2"/>
  <c r="C23130" i="2"/>
  <c r="C23131" i="2"/>
  <c r="C23132" i="2"/>
  <c r="C23133" i="2"/>
  <c r="C23134" i="2"/>
  <c r="C23135" i="2"/>
  <c r="C23136" i="2"/>
  <c r="C23137" i="2"/>
  <c r="C23138" i="2"/>
  <c r="C23139" i="2"/>
  <c r="C23140" i="2"/>
  <c r="C23141" i="2"/>
  <c r="C23142" i="2"/>
  <c r="C23143" i="2"/>
  <c r="C23144" i="2"/>
  <c r="C23145" i="2"/>
  <c r="C23146" i="2"/>
  <c r="C23147" i="2"/>
  <c r="C23148" i="2"/>
  <c r="C23149" i="2"/>
  <c r="C23150" i="2"/>
  <c r="C23151" i="2"/>
  <c r="C23152" i="2"/>
  <c r="C23153" i="2"/>
  <c r="C23154" i="2"/>
  <c r="C23155" i="2"/>
  <c r="C23156" i="2"/>
  <c r="C23157" i="2"/>
  <c r="C23158" i="2"/>
  <c r="C23159" i="2"/>
  <c r="C23160" i="2"/>
  <c r="C23161" i="2"/>
  <c r="C23162" i="2"/>
  <c r="C23163" i="2"/>
  <c r="C23164" i="2"/>
  <c r="C23165" i="2"/>
  <c r="C23166" i="2"/>
  <c r="C23167" i="2"/>
  <c r="C23168" i="2"/>
  <c r="C23169" i="2"/>
  <c r="C23170" i="2"/>
  <c r="C23171" i="2"/>
  <c r="C23172" i="2"/>
  <c r="C23173" i="2"/>
  <c r="C23174" i="2"/>
  <c r="C23175" i="2"/>
  <c r="C23176" i="2"/>
  <c r="C23177" i="2"/>
  <c r="C23178" i="2"/>
  <c r="C23179" i="2"/>
  <c r="C23180" i="2"/>
  <c r="C23181" i="2"/>
  <c r="C23182" i="2"/>
  <c r="C23183" i="2"/>
  <c r="C23184" i="2"/>
  <c r="C23185" i="2"/>
  <c r="C23186" i="2"/>
  <c r="C23187" i="2"/>
  <c r="C23188" i="2"/>
  <c r="C23189" i="2"/>
  <c r="C23190" i="2"/>
  <c r="C23191" i="2"/>
  <c r="C23192" i="2"/>
  <c r="C23193" i="2"/>
  <c r="C23194" i="2"/>
  <c r="C23195" i="2"/>
  <c r="C23196" i="2"/>
  <c r="C23197" i="2"/>
  <c r="C23198" i="2"/>
  <c r="C23199" i="2"/>
  <c r="C23200" i="2"/>
  <c r="C23201" i="2"/>
  <c r="C23202" i="2"/>
  <c r="C23203" i="2"/>
  <c r="C23204" i="2"/>
  <c r="C23205" i="2"/>
  <c r="C23206" i="2"/>
  <c r="C23207" i="2"/>
  <c r="C23208" i="2"/>
  <c r="C23209" i="2"/>
  <c r="C23210" i="2"/>
  <c r="C23211" i="2"/>
  <c r="C23212" i="2"/>
  <c r="C23213" i="2"/>
  <c r="C23214" i="2"/>
  <c r="C23215" i="2"/>
  <c r="C23216" i="2"/>
  <c r="C23217" i="2"/>
  <c r="C23218" i="2"/>
  <c r="C23219" i="2"/>
  <c r="C23220" i="2"/>
  <c r="C23221" i="2"/>
  <c r="C23222" i="2"/>
  <c r="C23223" i="2"/>
  <c r="C23224" i="2"/>
  <c r="C23225" i="2"/>
  <c r="C23226" i="2"/>
  <c r="C23227" i="2"/>
  <c r="C23228" i="2"/>
  <c r="C23229" i="2"/>
  <c r="C23230" i="2"/>
  <c r="C23231" i="2"/>
  <c r="C23232" i="2"/>
  <c r="C23233" i="2"/>
  <c r="C23234" i="2"/>
  <c r="C23235" i="2"/>
  <c r="C23236" i="2"/>
  <c r="C23237" i="2"/>
  <c r="C23238" i="2"/>
  <c r="C23239" i="2"/>
  <c r="C23240" i="2"/>
  <c r="C23241" i="2"/>
  <c r="C23242" i="2"/>
  <c r="C23243" i="2"/>
  <c r="C23244" i="2"/>
  <c r="C23245" i="2"/>
  <c r="C23246" i="2"/>
  <c r="C23247" i="2"/>
  <c r="C23248" i="2"/>
  <c r="C23249" i="2"/>
  <c r="C23250" i="2"/>
  <c r="C23251" i="2"/>
  <c r="C23252" i="2"/>
  <c r="C23253" i="2"/>
  <c r="C23254" i="2"/>
  <c r="C23255" i="2"/>
  <c r="C23256" i="2"/>
  <c r="C23257" i="2"/>
  <c r="C23258" i="2"/>
  <c r="C23259" i="2"/>
  <c r="C23260" i="2"/>
  <c r="C23261" i="2"/>
  <c r="C23262" i="2"/>
  <c r="C23263" i="2"/>
  <c r="C23264" i="2"/>
  <c r="C23265" i="2"/>
  <c r="C23266" i="2"/>
  <c r="C23267" i="2"/>
  <c r="C23268" i="2"/>
  <c r="C23269" i="2"/>
  <c r="C23270" i="2"/>
  <c r="C23271" i="2"/>
  <c r="C23272" i="2"/>
  <c r="C23273" i="2"/>
  <c r="C23274" i="2"/>
  <c r="C23275" i="2"/>
  <c r="C23276" i="2"/>
  <c r="C23277" i="2"/>
  <c r="C23278" i="2"/>
  <c r="C23279" i="2"/>
  <c r="C23280" i="2"/>
  <c r="C23281" i="2"/>
  <c r="C23282" i="2"/>
  <c r="C23283" i="2"/>
  <c r="C23284" i="2"/>
  <c r="C23285" i="2"/>
  <c r="C23286" i="2"/>
  <c r="C23287" i="2"/>
  <c r="C23288" i="2"/>
  <c r="C23289" i="2"/>
  <c r="C23290" i="2"/>
  <c r="C23291" i="2"/>
  <c r="C23292" i="2"/>
  <c r="C23293" i="2"/>
  <c r="C23294" i="2"/>
  <c r="C23295" i="2"/>
  <c r="C23296" i="2"/>
  <c r="C23297" i="2"/>
  <c r="C23298" i="2"/>
  <c r="C23299" i="2"/>
  <c r="C23300" i="2"/>
  <c r="C23301" i="2"/>
  <c r="C23302" i="2"/>
  <c r="C23303" i="2"/>
  <c r="C23304" i="2"/>
  <c r="C23305" i="2"/>
  <c r="C23306" i="2"/>
  <c r="C23307" i="2"/>
  <c r="C23308" i="2"/>
  <c r="C23309" i="2"/>
  <c r="C23310" i="2"/>
  <c r="C23311" i="2"/>
  <c r="C23312" i="2"/>
  <c r="C23313" i="2"/>
  <c r="C23314" i="2"/>
  <c r="C23315" i="2"/>
  <c r="C23316" i="2"/>
  <c r="C23317" i="2"/>
  <c r="C23318" i="2"/>
  <c r="C23319" i="2"/>
  <c r="C23320" i="2"/>
  <c r="C23321" i="2"/>
  <c r="C23322" i="2"/>
  <c r="C23323" i="2"/>
  <c r="C23324" i="2"/>
  <c r="C23325" i="2"/>
  <c r="C23326" i="2"/>
  <c r="C23327" i="2"/>
  <c r="C23328" i="2"/>
  <c r="C23329" i="2"/>
  <c r="C23330" i="2"/>
  <c r="C23331" i="2"/>
  <c r="C23332" i="2"/>
  <c r="C23333" i="2"/>
  <c r="C23334" i="2"/>
  <c r="C23335" i="2"/>
  <c r="C23336" i="2"/>
  <c r="C23337" i="2"/>
  <c r="C23338" i="2"/>
  <c r="C23339" i="2"/>
  <c r="C23340" i="2"/>
  <c r="C23341" i="2"/>
  <c r="C23342" i="2"/>
  <c r="C23343" i="2"/>
  <c r="C23344" i="2"/>
  <c r="C23345" i="2"/>
  <c r="C23346" i="2"/>
  <c r="C23347" i="2"/>
  <c r="C23348" i="2"/>
  <c r="C23349" i="2"/>
  <c r="C23350" i="2"/>
  <c r="C23351" i="2"/>
  <c r="C23352" i="2"/>
  <c r="C23353" i="2"/>
  <c r="C23354" i="2"/>
  <c r="C23355" i="2"/>
  <c r="C23356" i="2"/>
  <c r="C23357" i="2"/>
  <c r="C23358" i="2"/>
  <c r="C23359" i="2"/>
  <c r="C23360" i="2"/>
  <c r="C23361" i="2"/>
  <c r="C23362" i="2"/>
  <c r="C23363" i="2"/>
  <c r="C23364" i="2"/>
  <c r="C23365" i="2"/>
  <c r="C23366" i="2"/>
  <c r="C23367" i="2"/>
  <c r="C23368" i="2"/>
  <c r="C23369" i="2"/>
  <c r="C23370" i="2"/>
  <c r="C23371" i="2"/>
  <c r="C23372" i="2"/>
  <c r="C23373" i="2"/>
  <c r="C23374" i="2"/>
  <c r="C23375" i="2"/>
  <c r="C23376" i="2"/>
  <c r="C23377" i="2"/>
  <c r="C23378" i="2"/>
  <c r="C23379" i="2"/>
  <c r="C23380" i="2"/>
  <c r="C23381" i="2"/>
  <c r="C23382" i="2"/>
  <c r="C23383" i="2"/>
  <c r="C23384" i="2"/>
  <c r="C23385" i="2"/>
  <c r="C23386" i="2"/>
  <c r="C23387" i="2"/>
  <c r="C23388" i="2"/>
  <c r="C23389" i="2"/>
  <c r="C23390" i="2"/>
  <c r="C23391" i="2"/>
  <c r="C23392" i="2"/>
  <c r="C23393" i="2"/>
  <c r="C23394" i="2"/>
  <c r="C23395" i="2"/>
  <c r="C23396" i="2"/>
  <c r="C23397" i="2"/>
  <c r="C23398" i="2"/>
  <c r="C23399" i="2"/>
  <c r="C23400" i="2"/>
  <c r="C23401" i="2"/>
  <c r="C23402" i="2"/>
  <c r="C23403" i="2"/>
  <c r="C23404" i="2"/>
  <c r="C23405" i="2"/>
  <c r="C23406" i="2"/>
  <c r="C23407" i="2"/>
  <c r="C23408" i="2"/>
  <c r="C23409" i="2"/>
  <c r="C23410" i="2"/>
  <c r="C23411" i="2"/>
  <c r="C23412" i="2"/>
  <c r="C23413" i="2"/>
  <c r="C23414" i="2"/>
  <c r="C23415" i="2"/>
  <c r="C23416" i="2"/>
  <c r="C23417" i="2"/>
  <c r="C23418" i="2"/>
  <c r="C23419" i="2"/>
  <c r="C23420" i="2"/>
  <c r="C23421" i="2"/>
  <c r="C23422" i="2"/>
  <c r="C23423" i="2"/>
  <c r="C23424" i="2"/>
  <c r="C23425" i="2"/>
  <c r="C23426" i="2"/>
  <c r="C23427" i="2"/>
  <c r="C23428" i="2"/>
  <c r="C23429" i="2"/>
  <c r="C23430" i="2"/>
  <c r="C23431" i="2"/>
  <c r="C23432" i="2"/>
  <c r="C23433" i="2"/>
  <c r="C23434" i="2"/>
  <c r="C23435" i="2"/>
  <c r="C23436" i="2"/>
  <c r="C23437" i="2"/>
  <c r="C23438" i="2"/>
  <c r="C23439" i="2"/>
  <c r="C23440" i="2"/>
  <c r="C23441" i="2"/>
  <c r="C23442" i="2"/>
  <c r="C23443" i="2"/>
  <c r="C23444" i="2"/>
  <c r="C23445" i="2"/>
  <c r="C23446" i="2"/>
  <c r="C23447" i="2"/>
  <c r="C23448" i="2"/>
  <c r="C23449" i="2"/>
  <c r="C23450" i="2"/>
  <c r="C23451" i="2"/>
  <c r="C23452" i="2"/>
  <c r="C23453" i="2"/>
  <c r="C23454" i="2"/>
  <c r="C23455" i="2"/>
  <c r="C23456" i="2"/>
  <c r="C23457" i="2"/>
  <c r="C23458" i="2"/>
  <c r="C23459" i="2"/>
  <c r="C23460" i="2"/>
  <c r="C23461" i="2"/>
  <c r="C23462" i="2"/>
  <c r="C23463" i="2"/>
  <c r="C23464" i="2"/>
  <c r="C23465" i="2"/>
  <c r="C23466" i="2"/>
  <c r="C23467" i="2"/>
  <c r="C23468" i="2"/>
  <c r="C23469" i="2"/>
  <c r="C23470" i="2"/>
  <c r="C23471" i="2"/>
  <c r="C23472" i="2"/>
  <c r="C23473" i="2"/>
  <c r="C23474" i="2"/>
  <c r="C23475" i="2"/>
  <c r="C23476" i="2"/>
  <c r="C23477" i="2"/>
  <c r="C23478" i="2"/>
  <c r="C23479" i="2"/>
  <c r="C23480" i="2"/>
  <c r="C23481" i="2"/>
  <c r="C23482" i="2"/>
  <c r="C23483" i="2"/>
  <c r="C23484" i="2"/>
  <c r="C23485" i="2"/>
  <c r="C23486" i="2"/>
  <c r="C23487" i="2"/>
  <c r="C23488" i="2"/>
  <c r="C23489" i="2"/>
  <c r="C23490" i="2"/>
  <c r="C23491" i="2"/>
  <c r="C23492" i="2"/>
  <c r="C23493" i="2"/>
  <c r="C23494" i="2"/>
  <c r="D2" i="2"/>
  <c r="D3" i="2"/>
  <c r="D4" i="2" l="1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7" i="2"/>
  <c r="D2158" i="2"/>
  <c r="D2159" i="2"/>
  <c r="D2160" i="2"/>
  <c r="D2161" i="2"/>
  <c r="D2162" i="2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2193" i="2"/>
  <c r="D2194" i="2"/>
  <c r="D2195" i="2"/>
  <c r="D2196" i="2"/>
  <c r="D2197" i="2"/>
  <c r="D2198" i="2"/>
  <c r="D2199" i="2"/>
  <c r="D2200" i="2"/>
  <c r="D2201" i="2"/>
  <c r="D2202" i="2"/>
  <c r="D2203" i="2"/>
  <c r="D2204" i="2"/>
  <c r="D2205" i="2"/>
  <c r="D2206" i="2"/>
  <c r="D2207" i="2"/>
  <c r="D2208" i="2"/>
  <c r="D2209" i="2"/>
  <c r="D2210" i="2"/>
  <c r="D2211" i="2"/>
  <c r="D2212" i="2"/>
  <c r="D2213" i="2"/>
  <c r="D2214" i="2"/>
  <c r="D2215" i="2"/>
  <c r="D2216" i="2"/>
  <c r="D2217" i="2"/>
  <c r="D2218" i="2"/>
  <c r="D2219" i="2"/>
  <c r="D2220" i="2"/>
  <c r="D2221" i="2"/>
  <c r="D2222" i="2"/>
  <c r="D2223" i="2"/>
  <c r="D2224" i="2"/>
  <c r="D2225" i="2"/>
  <c r="D2226" i="2"/>
  <c r="D2227" i="2"/>
  <c r="D2228" i="2"/>
  <c r="D2229" i="2"/>
  <c r="D2230" i="2"/>
  <c r="D2231" i="2"/>
  <c r="D2232" i="2"/>
  <c r="D2233" i="2"/>
  <c r="D2234" i="2"/>
  <c r="D2235" i="2"/>
  <c r="D2236" i="2"/>
  <c r="D2237" i="2"/>
  <c r="D2238" i="2"/>
  <c r="D2239" i="2"/>
  <c r="D2240" i="2"/>
  <c r="D2241" i="2"/>
  <c r="D2242" i="2"/>
  <c r="D2243" i="2"/>
  <c r="D2244" i="2"/>
  <c r="D2245" i="2"/>
  <c r="D2246" i="2"/>
  <c r="D2247" i="2"/>
  <c r="D2248" i="2"/>
  <c r="D2249" i="2"/>
  <c r="D2250" i="2"/>
  <c r="D2251" i="2"/>
  <c r="D2252" i="2"/>
  <c r="D2253" i="2"/>
  <c r="D2254" i="2"/>
  <c r="D2255" i="2"/>
  <c r="D2256" i="2"/>
  <c r="D2257" i="2"/>
  <c r="D2258" i="2"/>
  <c r="D2259" i="2"/>
  <c r="D2260" i="2"/>
  <c r="D2261" i="2"/>
  <c r="D2262" i="2"/>
  <c r="D2263" i="2"/>
  <c r="D2264" i="2"/>
  <c r="D2265" i="2"/>
  <c r="D2266" i="2"/>
  <c r="D2267" i="2"/>
  <c r="D2268" i="2"/>
  <c r="D2269" i="2"/>
  <c r="D2270" i="2"/>
  <c r="D2271" i="2"/>
  <c r="D2272" i="2"/>
  <c r="D2273" i="2"/>
  <c r="D2274" i="2"/>
  <c r="D2275" i="2"/>
  <c r="D2276" i="2"/>
  <c r="D2277" i="2"/>
  <c r="D2278" i="2"/>
  <c r="D2279" i="2"/>
  <c r="D2280" i="2"/>
  <c r="D2281" i="2"/>
  <c r="D2282" i="2"/>
  <c r="D2283" i="2"/>
  <c r="D2284" i="2"/>
  <c r="D2285" i="2"/>
  <c r="D2286" i="2"/>
  <c r="D2287" i="2"/>
  <c r="D2288" i="2"/>
  <c r="D2289" i="2"/>
  <c r="D2290" i="2"/>
  <c r="D2291" i="2"/>
  <c r="D2292" i="2"/>
  <c r="D2293" i="2"/>
  <c r="D2294" i="2"/>
  <c r="D2295" i="2"/>
  <c r="D2296" i="2"/>
  <c r="D2297" i="2"/>
  <c r="D2298" i="2"/>
  <c r="D2299" i="2"/>
  <c r="D2300" i="2"/>
  <c r="D2301" i="2"/>
  <c r="D2302" i="2"/>
  <c r="D2303" i="2"/>
  <c r="D2304" i="2"/>
  <c r="D2305" i="2"/>
  <c r="D2306" i="2"/>
  <c r="D2307" i="2"/>
  <c r="D2308" i="2"/>
  <c r="D2309" i="2"/>
  <c r="D2310" i="2"/>
  <c r="D2311" i="2"/>
  <c r="D2312" i="2"/>
  <c r="D2313" i="2"/>
  <c r="D2314" i="2"/>
  <c r="D2315" i="2"/>
  <c r="D2316" i="2"/>
  <c r="D2317" i="2"/>
  <c r="D2318" i="2"/>
  <c r="D2319" i="2"/>
  <c r="D2320" i="2"/>
  <c r="D2321" i="2"/>
  <c r="D2322" i="2"/>
  <c r="D2323" i="2"/>
  <c r="D2324" i="2"/>
  <c r="D2325" i="2"/>
  <c r="D2326" i="2"/>
  <c r="D2327" i="2"/>
  <c r="D2328" i="2"/>
  <c r="D2329" i="2"/>
  <c r="D2330" i="2"/>
  <c r="D2331" i="2"/>
  <c r="D2332" i="2"/>
  <c r="D2333" i="2"/>
  <c r="D2334" i="2"/>
  <c r="D2335" i="2"/>
  <c r="D2336" i="2"/>
  <c r="D2337" i="2"/>
  <c r="D2338" i="2"/>
  <c r="D2339" i="2"/>
  <c r="D2340" i="2"/>
  <c r="D2341" i="2"/>
  <c r="D2342" i="2"/>
  <c r="D2343" i="2"/>
  <c r="D2344" i="2"/>
  <c r="D2345" i="2"/>
  <c r="D2346" i="2"/>
  <c r="D2347" i="2"/>
  <c r="D2348" i="2"/>
  <c r="D2349" i="2"/>
  <c r="D2350" i="2"/>
  <c r="D2351" i="2"/>
  <c r="D2352" i="2"/>
  <c r="D2353" i="2"/>
  <c r="D2354" i="2"/>
  <c r="D2355" i="2"/>
  <c r="D2356" i="2"/>
  <c r="D2357" i="2"/>
  <c r="D2358" i="2"/>
  <c r="D2359" i="2"/>
  <c r="D2360" i="2"/>
  <c r="D2361" i="2"/>
  <c r="D2362" i="2"/>
  <c r="D2363" i="2"/>
  <c r="D2364" i="2"/>
  <c r="D2365" i="2"/>
  <c r="D2366" i="2"/>
  <c r="D2367" i="2"/>
  <c r="D2368" i="2"/>
  <c r="D2369" i="2"/>
  <c r="D2370" i="2"/>
  <c r="D2371" i="2"/>
  <c r="D2372" i="2"/>
  <c r="D2373" i="2"/>
  <c r="D2374" i="2"/>
  <c r="D2375" i="2"/>
  <c r="D2376" i="2"/>
  <c r="D2377" i="2"/>
  <c r="D2378" i="2"/>
  <c r="D2379" i="2"/>
  <c r="D2380" i="2"/>
  <c r="D2381" i="2"/>
  <c r="D2382" i="2"/>
  <c r="D2383" i="2"/>
  <c r="D2384" i="2"/>
  <c r="D2385" i="2"/>
  <c r="D2386" i="2"/>
  <c r="D2387" i="2"/>
  <c r="D2388" i="2"/>
  <c r="D2389" i="2"/>
  <c r="D2390" i="2"/>
  <c r="D2391" i="2"/>
  <c r="D2392" i="2"/>
  <c r="D2393" i="2"/>
  <c r="D2394" i="2"/>
  <c r="D2395" i="2"/>
  <c r="D2396" i="2"/>
  <c r="D2397" i="2"/>
  <c r="D2398" i="2"/>
  <c r="D2399" i="2"/>
  <c r="D2400" i="2"/>
  <c r="D2401" i="2"/>
  <c r="D2402" i="2"/>
  <c r="D2403" i="2"/>
  <c r="D2404" i="2"/>
  <c r="D2405" i="2"/>
  <c r="D2406" i="2"/>
  <c r="D2407" i="2"/>
  <c r="D2408" i="2"/>
  <c r="D2409" i="2"/>
  <c r="D2410" i="2"/>
  <c r="D2411" i="2"/>
  <c r="D2412" i="2"/>
  <c r="D2413" i="2"/>
  <c r="D2414" i="2"/>
  <c r="D2415" i="2"/>
  <c r="D2416" i="2"/>
  <c r="D2417" i="2"/>
  <c r="D2418" i="2"/>
  <c r="D2419" i="2"/>
  <c r="D2420" i="2"/>
  <c r="D2421" i="2"/>
  <c r="D2422" i="2"/>
  <c r="D2423" i="2"/>
  <c r="D2424" i="2"/>
  <c r="D2425" i="2"/>
  <c r="D2426" i="2"/>
  <c r="D2427" i="2"/>
  <c r="D2428" i="2"/>
  <c r="D2429" i="2"/>
  <c r="D2430" i="2"/>
  <c r="D2431" i="2"/>
  <c r="D2432" i="2"/>
  <c r="D2433" i="2"/>
  <c r="D2434" i="2"/>
  <c r="D2435" i="2"/>
  <c r="D2436" i="2"/>
  <c r="D2437" i="2"/>
  <c r="D2438" i="2"/>
  <c r="D2439" i="2"/>
  <c r="D2440" i="2"/>
  <c r="D2441" i="2"/>
  <c r="D2442" i="2"/>
  <c r="D2443" i="2"/>
  <c r="D2444" i="2"/>
  <c r="D2445" i="2"/>
  <c r="D2446" i="2"/>
  <c r="D2447" i="2"/>
  <c r="D2448" i="2"/>
  <c r="D2449" i="2"/>
  <c r="D2450" i="2"/>
  <c r="D2451" i="2"/>
  <c r="D2452" i="2"/>
  <c r="D2453" i="2"/>
  <c r="D2454" i="2"/>
  <c r="D2455" i="2"/>
  <c r="D2456" i="2"/>
  <c r="D2457" i="2"/>
  <c r="D2458" i="2"/>
  <c r="D2459" i="2"/>
  <c r="D2460" i="2"/>
  <c r="D2461" i="2"/>
  <c r="D2462" i="2"/>
  <c r="D2463" i="2"/>
  <c r="D2464" i="2"/>
  <c r="D2465" i="2"/>
  <c r="D2466" i="2"/>
  <c r="D2467" i="2"/>
  <c r="D2468" i="2"/>
  <c r="D2469" i="2"/>
  <c r="D2470" i="2"/>
  <c r="D2471" i="2"/>
  <c r="D2472" i="2"/>
  <c r="D2473" i="2"/>
  <c r="D2474" i="2"/>
  <c r="D2475" i="2"/>
  <c r="D2476" i="2"/>
  <c r="D2477" i="2"/>
  <c r="D2478" i="2"/>
  <c r="D2479" i="2"/>
  <c r="D2480" i="2"/>
  <c r="D2481" i="2"/>
  <c r="D2482" i="2"/>
  <c r="D2483" i="2"/>
  <c r="D2484" i="2"/>
  <c r="D2485" i="2"/>
  <c r="D2486" i="2"/>
  <c r="D2487" i="2"/>
  <c r="D2488" i="2"/>
  <c r="D2489" i="2"/>
  <c r="D2490" i="2"/>
  <c r="D2491" i="2"/>
  <c r="D2492" i="2"/>
  <c r="D2493" i="2"/>
  <c r="D2494" i="2"/>
  <c r="D2495" i="2"/>
  <c r="D2496" i="2"/>
  <c r="D2497" i="2"/>
  <c r="D2498" i="2"/>
  <c r="D2499" i="2"/>
  <c r="D2500" i="2"/>
  <c r="D2501" i="2"/>
  <c r="D2502" i="2"/>
  <c r="D2503" i="2"/>
  <c r="D2504" i="2"/>
  <c r="D2505" i="2"/>
  <c r="D2506" i="2"/>
  <c r="D2507" i="2"/>
  <c r="D2508" i="2"/>
  <c r="D2509" i="2"/>
  <c r="D2510" i="2"/>
  <c r="D2511" i="2"/>
  <c r="D2512" i="2"/>
  <c r="D2513" i="2"/>
  <c r="D2514" i="2"/>
  <c r="D2515" i="2"/>
  <c r="D2516" i="2"/>
  <c r="D2517" i="2"/>
  <c r="D2518" i="2"/>
  <c r="D2519" i="2"/>
  <c r="D2520" i="2"/>
  <c r="D2521" i="2"/>
  <c r="D2522" i="2"/>
  <c r="D2523" i="2"/>
  <c r="D2524" i="2"/>
  <c r="D2525" i="2"/>
  <c r="D2526" i="2"/>
  <c r="D2527" i="2"/>
  <c r="D2528" i="2"/>
  <c r="D2529" i="2"/>
  <c r="D2530" i="2"/>
  <c r="D2531" i="2"/>
  <c r="D2532" i="2"/>
  <c r="D2533" i="2"/>
  <c r="D2534" i="2"/>
  <c r="D2535" i="2"/>
  <c r="D2536" i="2"/>
  <c r="D2537" i="2"/>
  <c r="D2538" i="2"/>
  <c r="D2539" i="2"/>
  <c r="D2540" i="2"/>
  <c r="D2541" i="2"/>
  <c r="D2542" i="2"/>
  <c r="D2543" i="2"/>
  <c r="D2544" i="2"/>
  <c r="D2545" i="2"/>
  <c r="D2546" i="2"/>
  <c r="D2547" i="2"/>
  <c r="D2548" i="2"/>
  <c r="D2549" i="2"/>
  <c r="D2550" i="2"/>
  <c r="D2551" i="2"/>
  <c r="D2552" i="2"/>
  <c r="D2553" i="2"/>
  <c r="D2554" i="2"/>
  <c r="D2555" i="2"/>
  <c r="D2556" i="2"/>
  <c r="D2557" i="2"/>
  <c r="D2558" i="2"/>
  <c r="D2559" i="2"/>
  <c r="D2560" i="2"/>
  <c r="D2561" i="2"/>
  <c r="D2562" i="2"/>
  <c r="D2563" i="2"/>
  <c r="D2564" i="2"/>
  <c r="D2565" i="2"/>
  <c r="D2566" i="2"/>
  <c r="D2567" i="2"/>
  <c r="D2568" i="2"/>
  <c r="D2569" i="2"/>
  <c r="D2570" i="2"/>
  <c r="D2571" i="2"/>
  <c r="D2572" i="2"/>
  <c r="D2573" i="2"/>
  <c r="D2574" i="2"/>
  <c r="D2575" i="2"/>
  <c r="D2576" i="2"/>
  <c r="D2577" i="2"/>
  <c r="D2578" i="2"/>
  <c r="D2579" i="2"/>
  <c r="D2580" i="2"/>
  <c r="D2581" i="2"/>
  <c r="D2582" i="2"/>
  <c r="D2583" i="2"/>
  <c r="D2584" i="2"/>
  <c r="D2585" i="2"/>
  <c r="D2586" i="2"/>
  <c r="D2587" i="2"/>
  <c r="D2588" i="2"/>
  <c r="D2589" i="2"/>
  <c r="D2590" i="2"/>
  <c r="D2591" i="2"/>
  <c r="D2592" i="2"/>
  <c r="D2593" i="2"/>
  <c r="D2594" i="2"/>
  <c r="D2595" i="2"/>
  <c r="D2596" i="2"/>
  <c r="D2597" i="2"/>
  <c r="D2598" i="2"/>
  <c r="D2599" i="2"/>
  <c r="D2600" i="2"/>
  <c r="D2601" i="2"/>
  <c r="D2602" i="2"/>
  <c r="D2603" i="2"/>
  <c r="D2604" i="2"/>
  <c r="D2605" i="2"/>
  <c r="D2606" i="2"/>
  <c r="D2607" i="2"/>
  <c r="D2608" i="2"/>
  <c r="D2609" i="2"/>
  <c r="D2610" i="2"/>
  <c r="D2611" i="2"/>
  <c r="D2612" i="2"/>
  <c r="D2613" i="2"/>
  <c r="D2614" i="2"/>
  <c r="D2615" i="2"/>
  <c r="D2616" i="2"/>
  <c r="D2617" i="2"/>
  <c r="D2618" i="2"/>
  <c r="D2619" i="2"/>
  <c r="D2620" i="2"/>
  <c r="D2621" i="2"/>
  <c r="D2622" i="2"/>
  <c r="D2623" i="2"/>
  <c r="D2624" i="2"/>
  <c r="D2625" i="2"/>
  <c r="D2626" i="2"/>
  <c r="D2627" i="2"/>
  <c r="D2628" i="2"/>
  <c r="D2629" i="2"/>
  <c r="D2630" i="2"/>
  <c r="D2631" i="2"/>
  <c r="D2632" i="2"/>
  <c r="D2633" i="2"/>
  <c r="D2634" i="2"/>
  <c r="D2635" i="2"/>
  <c r="D2636" i="2"/>
  <c r="D2637" i="2"/>
  <c r="D2638" i="2"/>
  <c r="D2639" i="2"/>
  <c r="D2640" i="2"/>
  <c r="D2641" i="2"/>
  <c r="D2642" i="2"/>
  <c r="D2643" i="2"/>
  <c r="D2644" i="2"/>
  <c r="D2645" i="2"/>
  <c r="D2646" i="2"/>
  <c r="D2647" i="2"/>
  <c r="D2648" i="2"/>
  <c r="D2649" i="2"/>
  <c r="D2650" i="2"/>
  <c r="D2651" i="2"/>
  <c r="D2652" i="2"/>
  <c r="D2653" i="2"/>
  <c r="D2654" i="2"/>
  <c r="D2655" i="2"/>
  <c r="D2656" i="2"/>
  <c r="D2657" i="2"/>
  <c r="D2658" i="2"/>
  <c r="D2659" i="2"/>
  <c r="D2660" i="2"/>
  <c r="D2661" i="2"/>
  <c r="D2662" i="2"/>
  <c r="D2663" i="2"/>
  <c r="D2664" i="2"/>
  <c r="D2665" i="2"/>
  <c r="D2666" i="2"/>
  <c r="D2667" i="2"/>
  <c r="D2668" i="2"/>
  <c r="D2669" i="2"/>
  <c r="D2670" i="2"/>
  <c r="D2671" i="2"/>
  <c r="D2672" i="2"/>
  <c r="D2673" i="2"/>
  <c r="D2674" i="2"/>
  <c r="D2675" i="2"/>
  <c r="D2676" i="2"/>
  <c r="D2677" i="2"/>
  <c r="D2678" i="2"/>
  <c r="D2679" i="2"/>
  <c r="D2680" i="2"/>
  <c r="D2681" i="2"/>
  <c r="D2682" i="2"/>
  <c r="D2683" i="2"/>
  <c r="D2684" i="2"/>
  <c r="D2685" i="2"/>
  <c r="D2686" i="2"/>
  <c r="D2687" i="2"/>
  <c r="D2688" i="2"/>
  <c r="D2689" i="2"/>
  <c r="D2690" i="2"/>
  <c r="D2691" i="2"/>
  <c r="D2692" i="2"/>
  <c r="D2693" i="2"/>
  <c r="D2694" i="2"/>
  <c r="D2695" i="2"/>
  <c r="D2696" i="2"/>
  <c r="D2697" i="2"/>
  <c r="D2698" i="2"/>
  <c r="D2699" i="2"/>
  <c r="D2700" i="2"/>
  <c r="D2701" i="2"/>
  <c r="D2702" i="2"/>
  <c r="D2703" i="2"/>
  <c r="D2704" i="2"/>
  <c r="D2705" i="2"/>
  <c r="D2706" i="2"/>
  <c r="D2707" i="2"/>
  <c r="D2708" i="2"/>
  <c r="D2709" i="2"/>
  <c r="D2710" i="2"/>
  <c r="D2711" i="2"/>
  <c r="D2712" i="2"/>
  <c r="D2713" i="2"/>
  <c r="D2714" i="2"/>
  <c r="D2715" i="2"/>
  <c r="D2716" i="2"/>
  <c r="D2717" i="2"/>
  <c r="D2718" i="2"/>
  <c r="D2719" i="2"/>
  <c r="D2720" i="2"/>
  <c r="D2721" i="2"/>
  <c r="D2722" i="2"/>
  <c r="D2723" i="2"/>
  <c r="D2724" i="2"/>
  <c r="D2725" i="2"/>
  <c r="D2726" i="2"/>
  <c r="D2727" i="2"/>
  <c r="D2728" i="2"/>
  <c r="D2729" i="2"/>
  <c r="D2730" i="2"/>
  <c r="D2731" i="2"/>
  <c r="D2732" i="2"/>
  <c r="D2733" i="2"/>
  <c r="D2734" i="2"/>
  <c r="D2735" i="2"/>
  <c r="D2736" i="2"/>
  <c r="D2737" i="2"/>
  <c r="D2738" i="2"/>
  <c r="D2739" i="2"/>
  <c r="D2740" i="2"/>
  <c r="D2741" i="2"/>
  <c r="D2742" i="2"/>
  <c r="D2743" i="2"/>
  <c r="D2744" i="2"/>
  <c r="D2745" i="2"/>
  <c r="D2746" i="2"/>
  <c r="D2747" i="2"/>
  <c r="D2748" i="2"/>
  <c r="D2749" i="2"/>
  <c r="D2750" i="2"/>
  <c r="D2751" i="2"/>
  <c r="D2752" i="2"/>
  <c r="D2753" i="2"/>
  <c r="D2754" i="2"/>
  <c r="D2755" i="2"/>
  <c r="D2756" i="2"/>
  <c r="D2757" i="2"/>
  <c r="D2758" i="2"/>
  <c r="D2759" i="2"/>
  <c r="D2760" i="2"/>
  <c r="D2761" i="2"/>
  <c r="D2762" i="2"/>
  <c r="D2763" i="2"/>
  <c r="D2764" i="2"/>
  <c r="D2765" i="2"/>
  <c r="D2766" i="2"/>
  <c r="D2767" i="2"/>
  <c r="D2768" i="2"/>
  <c r="D2769" i="2"/>
  <c r="D2770" i="2"/>
  <c r="D2771" i="2"/>
  <c r="D2772" i="2"/>
  <c r="D2773" i="2"/>
  <c r="D2774" i="2"/>
  <c r="D2775" i="2"/>
  <c r="D2776" i="2"/>
  <c r="D2777" i="2"/>
  <c r="D2778" i="2"/>
  <c r="D2779" i="2"/>
  <c r="D2780" i="2"/>
  <c r="D2781" i="2"/>
  <c r="D2782" i="2"/>
  <c r="D2783" i="2"/>
  <c r="D2784" i="2"/>
  <c r="D2785" i="2"/>
  <c r="D2786" i="2"/>
  <c r="D2787" i="2"/>
  <c r="D2788" i="2"/>
  <c r="D2789" i="2"/>
  <c r="D2790" i="2"/>
  <c r="D2791" i="2"/>
  <c r="D2792" i="2"/>
  <c r="D2793" i="2"/>
  <c r="D2794" i="2"/>
  <c r="D2795" i="2"/>
  <c r="D2796" i="2"/>
  <c r="D2797" i="2"/>
  <c r="D2798" i="2"/>
  <c r="D2799" i="2"/>
  <c r="D2800" i="2"/>
  <c r="D2801" i="2"/>
  <c r="D2802" i="2"/>
  <c r="D2803" i="2"/>
  <c r="D2804" i="2"/>
  <c r="D2805" i="2"/>
  <c r="D2806" i="2"/>
  <c r="D2807" i="2"/>
  <c r="D2808" i="2"/>
  <c r="D2809" i="2"/>
  <c r="D2810" i="2"/>
  <c r="D2811" i="2"/>
  <c r="D2812" i="2"/>
  <c r="D2813" i="2"/>
  <c r="D2814" i="2"/>
  <c r="D2815" i="2"/>
  <c r="D2816" i="2"/>
  <c r="D2817" i="2"/>
  <c r="D2818" i="2"/>
  <c r="D2819" i="2"/>
  <c r="D2820" i="2"/>
  <c r="D2821" i="2"/>
  <c r="D2822" i="2"/>
  <c r="D2823" i="2"/>
  <c r="D2824" i="2"/>
  <c r="D2825" i="2"/>
  <c r="D2826" i="2"/>
  <c r="D2827" i="2"/>
  <c r="D2828" i="2"/>
  <c r="D2829" i="2"/>
  <c r="D2830" i="2"/>
  <c r="D2831" i="2"/>
  <c r="D2832" i="2"/>
  <c r="D2833" i="2"/>
  <c r="D2834" i="2"/>
  <c r="D2835" i="2"/>
  <c r="D2836" i="2"/>
  <c r="D2837" i="2"/>
  <c r="D2838" i="2"/>
  <c r="D2839" i="2"/>
  <c r="D2840" i="2"/>
  <c r="D2841" i="2"/>
  <c r="D2842" i="2"/>
  <c r="D2843" i="2"/>
  <c r="D2844" i="2"/>
  <c r="D2845" i="2"/>
  <c r="D2846" i="2"/>
  <c r="D2847" i="2"/>
  <c r="D2848" i="2"/>
  <c r="D2849" i="2"/>
  <c r="D2850" i="2"/>
  <c r="D2851" i="2"/>
  <c r="D2852" i="2"/>
  <c r="D2853" i="2"/>
  <c r="D2854" i="2"/>
  <c r="D2855" i="2"/>
  <c r="D2856" i="2"/>
  <c r="D2857" i="2"/>
  <c r="D2858" i="2"/>
  <c r="D2859" i="2"/>
  <c r="D2860" i="2"/>
  <c r="D2861" i="2"/>
  <c r="D2862" i="2"/>
  <c r="D2863" i="2"/>
  <c r="D2864" i="2"/>
  <c r="D2865" i="2"/>
  <c r="D2866" i="2"/>
  <c r="D2867" i="2"/>
  <c r="D2868" i="2"/>
  <c r="D2869" i="2"/>
  <c r="D2870" i="2"/>
  <c r="D2871" i="2"/>
  <c r="D2872" i="2"/>
  <c r="D2873" i="2"/>
  <c r="D2874" i="2"/>
  <c r="D2875" i="2"/>
  <c r="D2876" i="2"/>
  <c r="D2877" i="2"/>
  <c r="D2878" i="2"/>
  <c r="D2879" i="2"/>
  <c r="D2880" i="2"/>
  <c r="D2881" i="2"/>
  <c r="D2882" i="2"/>
  <c r="D2883" i="2"/>
  <c r="D2884" i="2"/>
  <c r="D2885" i="2"/>
  <c r="D2886" i="2"/>
  <c r="D2887" i="2"/>
  <c r="D2888" i="2"/>
  <c r="D2889" i="2"/>
  <c r="D2890" i="2"/>
  <c r="D2891" i="2"/>
  <c r="D2892" i="2"/>
  <c r="D2893" i="2"/>
  <c r="D2894" i="2"/>
  <c r="D2895" i="2"/>
  <c r="D2896" i="2"/>
  <c r="D2897" i="2"/>
  <c r="D2898" i="2"/>
  <c r="D2899" i="2"/>
  <c r="D2900" i="2"/>
  <c r="D2901" i="2"/>
  <c r="D2902" i="2"/>
  <c r="D2903" i="2"/>
  <c r="D2904" i="2"/>
  <c r="D2905" i="2"/>
  <c r="D2906" i="2"/>
  <c r="D2907" i="2"/>
  <c r="D2908" i="2"/>
  <c r="D2909" i="2"/>
  <c r="D2910" i="2"/>
  <c r="D2911" i="2"/>
  <c r="D2912" i="2"/>
  <c r="D2913" i="2"/>
  <c r="D2914" i="2"/>
  <c r="D2915" i="2"/>
  <c r="D2916" i="2"/>
  <c r="D2917" i="2"/>
  <c r="D2918" i="2"/>
  <c r="D2919" i="2"/>
  <c r="D2920" i="2"/>
  <c r="D2921" i="2"/>
  <c r="D2922" i="2"/>
  <c r="D2923" i="2"/>
  <c r="D2924" i="2"/>
  <c r="D2925" i="2"/>
  <c r="D2926" i="2"/>
  <c r="D2927" i="2"/>
  <c r="D2928" i="2"/>
  <c r="D2929" i="2"/>
  <c r="D2930" i="2"/>
  <c r="D2931" i="2"/>
  <c r="D2932" i="2"/>
  <c r="D2933" i="2"/>
  <c r="D2934" i="2"/>
  <c r="D2935" i="2"/>
  <c r="D2936" i="2"/>
  <c r="D2937" i="2"/>
  <c r="D2938" i="2"/>
  <c r="D2939" i="2"/>
  <c r="D2940" i="2"/>
  <c r="D2941" i="2"/>
  <c r="D2942" i="2"/>
  <c r="D2943" i="2"/>
  <c r="D2944" i="2"/>
  <c r="D2945" i="2"/>
  <c r="D2946" i="2"/>
  <c r="D2947" i="2"/>
  <c r="D2948" i="2"/>
  <c r="D2949" i="2"/>
  <c r="D2950" i="2"/>
  <c r="D2951" i="2"/>
  <c r="D2952" i="2"/>
  <c r="D2953" i="2"/>
  <c r="D2954" i="2"/>
  <c r="D2955" i="2"/>
  <c r="D2956" i="2"/>
  <c r="D2957" i="2"/>
  <c r="D2958" i="2"/>
  <c r="D2959" i="2"/>
  <c r="D2960" i="2"/>
  <c r="D2961" i="2"/>
  <c r="D2962" i="2"/>
  <c r="D2963" i="2"/>
  <c r="D2964" i="2"/>
  <c r="D2965" i="2"/>
  <c r="D2966" i="2"/>
  <c r="D2967" i="2"/>
  <c r="D2968" i="2"/>
  <c r="D2969" i="2"/>
  <c r="D2970" i="2"/>
  <c r="D2971" i="2"/>
  <c r="D2972" i="2"/>
  <c r="D2973" i="2"/>
  <c r="D2974" i="2"/>
  <c r="D2975" i="2"/>
  <c r="D2976" i="2"/>
  <c r="D2977" i="2"/>
  <c r="D2978" i="2"/>
  <c r="D2979" i="2"/>
  <c r="D2980" i="2"/>
  <c r="D2981" i="2"/>
  <c r="D2982" i="2"/>
  <c r="D2983" i="2"/>
  <c r="D2984" i="2"/>
  <c r="D2985" i="2"/>
  <c r="D2986" i="2"/>
  <c r="D2987" i="2"/>
  <c r="D2988" i="2"/>
  <c r="D2989" i="2"/>
  <c r="D2990" i="2"/>
  <c r="D2991" i="2"/>
  <c r="D2992" i="2"/>
  <c r="D2993" i="2"/>
  <c r="D2994" i="2"/>
  <c r="D2995" i="2"/>
  <c r="D2996" i="2"/>
  <c r="D2997" i="2"/>
  <c r="D2998" i="2"/>
  <c r="D2999" i="2"/>
  <c r="D3000" i="2"/>
  <c r="D3001" i="2"/>
  <c r="D3002" i="2"/>
  <c r="D3003" i="2"/>
  <c r="D3004" i="2"/>
  <c r="D3005" i="2"/>
  <c r="D3006" i="2"/>
  <c r="D3007" i="2"/>
  <c r="D3008" i="2"/>
  <c r="D3009" i="2"/>
  <c r="D3010" i="2"/>
  <c r="D3011" i="2"/>
  <c r="D3012" i="2"/>
  <c r="D3013" i="2"/>
  <c r="D3014" i="2"/>
  <c r="D3015" i="2"/>
  <c r="D3016" i="2"/>
  <c r="D3017" i="2"/>
  <c r="D3018" i="2"/>
  <c r="D3019" i="2"/>
  <c r="D3020" i="2"/>
  <c r="D3021" i="2"/>
  <c r="D3022" i="2"/>
  <c r="D3023" i="2"/>
  <c r="D3024" i="2"/>
  <c r="D3025" i="2"/>
  <c r="D3026" i="2"/>
  <c r="D3027" i="2"/>
  <c r="D3028" i="2"/>
  <c r="D3029" i="2"/>
  <c r="D3030" i="2"/>
  <c r="D3031" i="2"/>
  <c r="D3032" i="2"/>
  <c r="D3033" i="2"/>
  <c r="D3034" i="2"/>
  <c r="D3035" i="2"/>
  <c r="D3036" i="2"/>
  <c r="D3037" i="2"/>
  <c r="D3038" i="2"/>
  <c r="D3039" i="2"/>
  <c r="D3040" i="2"/>
  <c r="D3041" i="2"/>
  <c r="D3042" i="2"/>
  <c r="D3043" i="2"/>
  <c r="D3044" i="2"/>
  <c r="D3045" i="2"/>
  <c r="D3046" i="2"/>
  <c r="D3047" i="2"/>
  <c r="D3048" i="2"/>
  <c r="D3049" i="2"/>
  <c r="D3050" i="2"/>
  <c r="D3051" i="2"/>
  <c r="D3052" i="2"/>
  <c r="D3053" i="2"/>
  <c r="D3054" i="2"/>
  <c r="D3055" i="2"/>
  <c r="D3056" i="2"/>
  <c r="D3057" i="2"/>
  <c r="D3058" i="2"/>
  <c r="D3059" i="2"/>
  <c r="D3060" i="2"/>
  <c r="D3061" i="2"/>
  <c r="D3062" i="2"/>
  <c r="D3063" i="2"/>
  <c r="D3064" i="2"/>
  <c r="D3065" i="2"/>
  <c r="D3066" i="2"/>
  <c r="D3067" i="2"/>
  <c r="D3068" i="2"/>
  <c r="D3069" i="2"/>
  <c r="D3070" i="2"/>
  <c r="D3071" i="2"/>
  <c r="D3072" i="2"/>
  <c r="D3073" i="2"/>
  <c r="D3074" i="2"/>
  <c r="D3075" i="2"/>
  <c r="D3076" i="2"/>
  <c r="D3077" i="2"/>
  <c r="D3078" i="2"/>
  <c r="D3079" i="2"/>
  <c r="D3080" i="2"/>
  <c r="D3081" i="2"/>
  <c r="D3082" i="2"/>
  <c r="D3083" i="2"/>
  <c r="D3084" i="2"/>
  <c r="D3085" i="2"/>
  <c r="D3086" i="2"/>
  <c r="D3087" i="2"/>
  <c r="D3088" i="2"/>
  <c r="D3089" i="2"/>
  <c r="D3090" i="2"/>
  <c r="D3091" i="2"/>
  <c r="D3092" i="2"/>
  <c r="D3093" i="2"/>
  <c r="D3094" i="2"/>
  <c r="D3095" i="2"/>
  <c r="D3096" i="2"/>
  <c r="D3097" i="2"/>
  <c r="D3098" i="2"/>
  <c r="D3099" i="2"/>
  <c r="D3100" i="2"/>
  <c r="D3101" i="2"/>
  <c r="D3102" i="2"/>
  <c r="D3103" i="2"/>
  <c r="D3104" i="2"/>
  <c r="D3105" i="2"/>
  <c r="D3106" i="2"/>
  <c r="D3107" i="2"/>
  <c r="D3108" i="2"/>
  <c r="D3109" i="2"/>
  <c r="D3110" i="2"/>
  <c r="D3111" i="2"/>
  <c r="D3112" i="2"/>
  <c r="D3113" i="2"/>
  <c r="D3114" i="2"/>
  <c r="D3115" i="2"/>
  <c r="D3116" i="2"/>
  <c r="D3117" i="2"/>
  <c r="D3118" i="2"/>
  <c r="D3119" i="2"/>
  <c r="D3120" i="2"/>
  <c r="D3121" i="2"/>
  <c r="D3122" i="2"/>
  <c r="D3123" i="2"/>
  <c r="D3124" i="2"/>
  <c r="D3125" i="2"/>
  <c r="D3126" i="2"/>
  <c r="D3127" i="2"/>
  <c r="D3128" i="2"/>
  <c r="D3129" i="2"/>
  <c r="D3130" i="2"/>
  <c r="D3131" i="2"/>
  <c r="D3132" i="2"/>
  <c r="D3133" i="2"/>
  <c r="D3134" i="2"/>
  <c r="D3135" i="2"/>
  <c r="D3136" i="2"/>
  <c r="D3137" i="2"/>
  <c r="D3138" i="2"/>
  <c r="D3139" i="2"/>
  <c r="D3140" i="2"/>
  <c r="D3141" i="2"/>
  <c r="D3142" i="2"/>
  <c r="D3143" i="2"/>
  <c r="D3144" i="2"/>
  <c r="D3145" i="2"/>
  <c r="D3146" i="2"/>
  <c r="D3147" i="2"/>
  <c r="D3148" i="2"/>
  <c r="D3149" i="2"/>
  <c r="D3150" i="2"/>
  <c r="D3151" i="2"/>
  <c r="D3152" i="2"/>
  <c r="D3153" i="2"/>
  <c r="D3154" i="2"/>
  <c r="D3155" i="2"/>
  <c r="D3156" i="2"/>
  <c r="D3157" i="2"/>
  <c r="D3158" i="2"/>
  <c r="D3159" i="2"/>
  <c r="D3160" i="2"/>
  <c r="D3161" i="2"/>
  <c r="D3162" i="2"/>
  <c r="D3163" i="2"/>
  <c r="D3164" i="2"/>
  <c r="D3165" i="2"/>
  <c r="D3166" i="2"/>
  <c r="D3167" i="2"/>
  <c r="D3168" i="2"/>
  <c r="D3169" i="2"/>
  <c r="D3170" i="2"/>
  <c r="D3171" i="2"/>
  <c r="D3172" i="2"/>
  <c r="D3173" i="2"/>
  <c r="D3174" i="2"/>
  <c r="D3175" i="2"/>
  <c r="D3176" i="2"/>
  <c r="D3177" i="2"/>
  <c r="D3178" i="2"/>
  <c r="D3179" i="2"/>
  <c r="D3180" i="2"/>
  <c r="D3181" i="2"/>
  <c r="D3182" i="2"/>
  <c r="D3183" i="2"/>
  <c r="D3184" i="2"/>
  <c r="D3185" i="2"/>
  <c r="D3186" i="2"/>
  <c r="D3187" i="2"/>
  <c r="D3188" i="2"/>
  <c r="D3189" i="2"/>
  <c r="D3190" i="2"/>
  <c r="D3191" i="2"/>
  <c r="D3192" i="2"/>
  <c r="D3193" i="2"/>
  <c r="D3194" i="2"/>
  <c r="D3195" i="2"/>
  <c r="D3196" i="2"/>
  <c r="D3197" i="2"/>
  <c r="D3198" i="2"/>
  <c r="D3199" i="2"/>
  <c r="D3200" i="2"/>
  <c r="D3201" i="2"/>
  <c r="D3202" i="2"/>
  <c r="D3203" i="2"/>
  <c r="D3204" i="2"/>
  <c r="D3205" i="2"/>
  <c r="D3206" i="2"/>
  <c r="D3207" i="2"/>
  <c r="D3208" i="2"/>
  <c r="D3209" i="2"/>
  <c r="D3210" i="2"/>
  <c r="D3211" i="2"/>
  <c r="D3212" i="2"/>
  <c r="D3213" i="2"/>
  <c r="D3214" i="2"/>
  <c r="D3215" i="2"/>
  <c r="D3216" i="2"/>
  <c r="D3217" i="2"/>
  <c r="D3218" i="2"/>
  <c r="D3219" i="2"/>
  <c r="D3220" i="2"/>
  <c r="D3221" i="2"/>
  <c r="D3222" i="2"/>
  <c r="D3223" i="2"/>
  <c r="D3224" i="2"/>
  <c r="D3225" i="2"/>
  <c r="D3226" i="2"/>
  <c r="D3227" i="2"/>
  <c r="D3228" i="2"/>
  <c r="D3229" i="2"/>
  <c r="D3230" i="2"/>
  <c r="D3231" i="2"/>
  <c r="D3232" i="2"/>
  <c r="D3233" i="2"/>
  <c r="D3234" i="2"/>
  <c r="D3235" i="2"/>
  <c r="D3236" i="2"/>
  <c r="D3237" i="2"/>
  <c r="D3238" i="2"/>
  <c r="D3239" i="2"/>
  <c r="D3240" i="2"/>
  <c r="D3241" i="2"/>
  <c r="D3242" i="2"/>
  <c r="D3243" i="2"/>
  <c r="D3244" i="2"/>
  <c r="D3245" i="2"/>
  <c r="D3246" i="2"/>
  <c r="D3247" i="2"/>
  <c r="D3248" i="2"/>
  <c r="D3249" i="2"/>
  <c r="D3250" i="2"/>
  <c r="D3251" i="2"/>
  <c r="D3252" i="2"/>
  <c r="D3253" i="2"/>
  <c r="D3254" i="2"/>
  <c r="D3255" i="2"/>
  <c r="D3256" i="2"/>
  <c r="D3257" i="2"/>
  <c r="D3258" i="2"/>
  <c r="D3259" i="2"/>
  <c r="D3260" i="2"/>
  <c r="D3261" i="2"/>
  <c r="D3262" i="2"/>
  <c r="D3263" i="2"/>
  <c r="D3264" i="2"/>
  <c r="D3265" i="2"/>
  <c r="D3266" i="2"/>
  <c r="D3267" i="2"/>
  <c r="D3268" i="2"/>
  <c r="D3269" i="2"/>
  <c r="D3270" i="2"/>
  <c r="D3271" i="2"/>
  <c r="D3272" i="2"/>
  <c r="D3273" i="2"/>
  <c r="D3274" i="2"/>
  <c r="D3275" i="2"/>
  <c r="D3276" i="2"/>
  <c r="D3277" i="2"/>
  <c r="D3278" i="2"/>
  <c r="D3279" i="2"/>
  <c r="D3280" i="2"/>
  <c r="D3281" i="2"/>
  <c r="D3282" i="2"/>
  <c r="D3283" i="2"/>
  <c r="D3284" i="2"/>
  <c r="D3285" i="2"/>
  <c r="D3286" i="2"/>
  <c r="D3287" i="2"/>
  <c r="D3288" i="2"/>
  <c r="D3289" i="2"/>
  <c r="D3290" i="2"/>
  <c r="D3291" i="2"/>
  <c r="D3292" i="2"/>
  <c r="D3293" i="2"/>
  <c r="D3294" i="2"/>
  <c r="D3295" i="2"/>
  <c r="D3296" i="2"/>
  <c r="D3297" i="2"/>
  <c r="D3298" i="2"/>
  <c r="D3299" i="2"/>
  <c r="D3300" i="2"/>
  <c r="D3301" i="2"/>
  <c r="D3302" i="2"/>
  <c r="D3303" i="2"/>
  <c r="D3304" i="2"/>
  <c r="D3305" i="2"/>
  <c r="D3306" i="2"/>
  <c r="D3307" i="2"/>
  <c r="D3308" i="2"/>
  <c r="D3309" i="2"/>
  <c r="D3310" i="2"/>
  <c r="D3311" i="2"/>
  <c r="D3312" i="2"/>
  <c r="D3313" i="2"/>
  <c r="D3314" i="2"/>
  <c r="D3315" i="2"/>
  <c r="D3316" i="2"/>
  <c r="D3317" i="2"/>
  <c r="D3318" i="2"/>
  <c r="D3319" i="2"/>
  <c r="D3320" i="2"/>
  <c r="D3321" i="2"/>
  <c r="D3322" i="2"/>
  <c r="D3323" i="2"/>
  <c r="D3324" i="2"/>
  <c r="D3325" i="2"/>
  <c r="D3326" i="2"/>
  <c r="D3327" i="2"/>
  <c r="D3328" i="2"/>
  <c r="D3329" i="2"/>
  <c r="D3330" i="2"/>
  <c r="D3331" i="2"/>
  <c r="D3332" i="2"/>
  <c r="D3333" i="2"/>
  <c r="D3334" i="2"/>
  <c r="D3335" i="2"/>
  <c r="D3336" i="2"/>
  <c r="D3337" i="2"/>
  <c r="D3338" i="2"/>
  <c r="D3339" i="2"/>
  <c r="D3340" i="2"/>
  <c r="D3341" i="2"/>
  <c r="D3342" i="2"/>
  <c r="D3343" i="2"/>
  <c r="D3344" i="2"/>
  <c r="D3345" i="2"/>
  <c r="D3346" i="2"/>
  <c r="D3347" i="2"/>
  <c r="D3348" i="2"/>
  <c r="D3349" i="2"/>
  <c r="D3350" i="2"/>
  <c r="D3351" i="2"/>
  <c r="D3352" i="2"/>
  <c r="D3353" i="2"/>
  <c r="D3354" i="2"/>
  <c r="D3355" i="2"/>
  <c r="D3356" i="2"/>
  <c r="D3357" i="2"/>
  <c r="D3358" i="2"/>
  <c r="D3359" i="2"/>
  <c r="D3360" i="2"/>
  <c r="D3361" i="2"/>
  <c r="D3362" i="2"/>
  <c r="D3363" i="2"/>
  <c r="D3364" i="2"/>
  <c r="D3365" i="2"/>
  <c r="D3366" i="2"/>
  <c r="D3367" i="2"/>
  <c r="D3368" i="2"/>
  <c r="D3369" i="2"/>
  <c r="D3370" i="2"/>
  <c r="D3371" i="2"/>
  <c r="D3372" i="2"/>
  <c r="D3373" i="2"/>
  <c r="D3374" i="2"/>
  <c r="D3375" i="2"/>
  <c r="D3376" i="2"/>
  <c r="D3377" i="2"/>
  <c r="D3378" i="2"/>
  <c r="D3379" i="2"/>
  <c r="D3380" i="2"/>
  <c r="D3381" i="2"/>
  <c r="D3382" i="2"/>
  <c r="D3383" i="2"/>
  <c r="D3384" i="2"/>
  <c r="D3385" i="2"/>
  <c r="D3386" i="2"/>
  <c r="D3387" i="2"/>
  <c r="D3388" i="2"/>
  <c r="D3389" i="2"/>
  <c r="D3390" i="2"/>
  <c r="D3391" i="2"/>
  <c r="D3392" i="2"/>
  <c r="D3393" i="2"/>
  <c r="D3394" i="2"/>
  <c r="D3395" i="2"/>
  <c r="D3396" i="2"/>
  <c r="D3397" i="2"/>
  <c r="D3398" i="2"/>
  <c r="D3399" i="2"/>
  <c r="D3400" i="2"/>
  <c r="D3401" i="2"/>
  <c r="D3402" i="2"/>
  <c r="D3403" i="2"/>
  <c r="D3404" i="2"/>
  <c r="D3405" i="2"/>
  <c r="D3406" i="2"/>
  <c r="D3407" i="2"/>
  <c r="D3408" i="2"/>
  <c r="D3409" i="2"/>
  <c r="D3410" i="2"/>
  <c r="D3411" i="2"/>
  <c r="D3412" i="2"/>
  <c r="D3413" i="2"/>
  <c r="D3414" i="2"/>
  <c r="D3415" i="2"/>
  <c r="D3416" i="2"/>
  <c r="D3417" i="2"/>
  <c r="D3418" i="2"/>
  <c r="D3419" i="2"/>
  <c r="D3420" i="2"/>
  <c r="D3421" i="2"/>
  <c r="D3422" i="2"/>
  <c r="D3423" i="2"/>
  <c r="D3424" i="2"/>
  <c r="D3425" i="2"/>
  <c r="D3426" i="2"/>
  <c r="D3427" i="2"/>
  <c r="D3428" i="2"/>
  <c r="D3429" i="2"/>
  <c r="D3430" i="2"/>
  <c r="D3431" i="2"/>
  <c r="D3432" i="2"/>
  <c r="D3433" i="2"/>
  <c r="D3434" i="2"/>
  <c r="D3435" i="2"/>
  <c r="D3436" i="2"/>
  <c r="D3437" i="2"/>
  <c r="D3438" i="2"/>
  <c r="D3439" i="2"/>
  <c r="D3440" i="2"/>
  <c r="D3441" i="2"/>
  <c r="D3442" i="2"/>
  <c r="D3443" i="2"/>
  <c r="D3444" i="2"/>
  <c r="D3445" i="2"/>
  <c r="D3446" i="2"/>
  <c r="D3447" i="2"/>
  <c r="D3448" i="2"/>
  <c r="D3449" i="2"/>
  <c r="D3450" i="2"/>
  <c r="D3451" i="2"/>
  <c r="D3452" i="2"/>
  <c r="D3453" i="2"/>
  <c r="D3454" i="2"/>
  <c r="D3455" i="2"/>
  <c r="D3456" i="2"/>
  <c r="D3457" i="2"/>
  <c r="D3458" i="2"/>
  <c r="D3459" i="2"/>
  <c r="D3460" i="2"/>
  <c r="D3461" i="2"/>
  <c r="D3462" i="2"/>
  <c r="D3463" i="2"/>
  <c r="D3464" i="2"/>
  <c r="D3465" i="2"/>
  <c r="D3466" i="2"/>
  <c r="D3467" i="2"/>
  <c r="D3468" i="2"/>
  <c r="D3469" i="2"/>
  <c r="D3470" i="2"/>
  <c r="D3471" i="2"/>
  <c r="D3472" i="2"/>
  <c r="D3473" i="2"/>
  <c r="D3474" i="2"/>
  <c r="D3475" i="2"/>
  <c r="D3476" i="2"/>
  <c r="D3477" i="2"/>
  <c r="D3478" i="2"/>
  <c r="D3479" i="2"/>
  <c r="D3480" i="2"/>
  <c r="D3481" i="2"/>
  <c r="D3482" i="2"/>
  <c r="D3483" i="2"/>
  <c r="D3484" i="2"/>
  <c r="D3485" i="2"/>
  <c r="D3486" i="2"/>
  <c r="D3487" i="2"/>
  <c r="D3488" i="2"/>
  <c r="D3489" i="2"/>
  <c r="D3490" i="2"/>
  <c r="D3491" i="2"/>
  <c r="D3492" i="2"/>
  <c r="D3493" i="2"/>
  <c r="D3494" i="2"/>
  <c r="D3495" i="2"/>
  <c r="D3496" i="2"/>
  <c r="D3497" i="2"/>
  <c r="D3498" i="2"/>
  <c r="D3499" i="2"/>
  <c r="D3500" i="2"/>
  <c r="D3501" i="2"/>
  <c r="D3502" i="2"/>
  <c r="D3503" i="2"/>
  <c r="D3504" i="2"/>
  <c r="D3505" i="2"/>
  <c r="D3506" i="2"/>
  <c r="D3507" i="2"/>
  <c r="D3508" i="2"/>
  <c r="D3509" i="2"/>
  <c r="D3510" i="2"/>
  <c r="D3511" i="2"/>
  <c r="D3512" i="2"/>
  <c r="D3513" i="2"/>
  <c r="D3514" i="2"/>
  <c r="D3515" i="2"/>
  <c r="D3516" i="2"/>
  <c r="D3517" i="2"/>
  <c r="D3518" i="2"/>
  <c r="D3519" i="2"/>
  <c r="D3520" i="2"/>
  <c r="D3521" i="2"/>
  <c r="D3522" i="2"/>
  <c r="D3523" i="2"/>
  <c r="D3524" i="2"/>
  <c r="D3525" i="2"/>
  <c r="D3526" i="2"/>
  <c r="D3527" i="2"/>
  <c r="D3528" i="2"/>
  <c r="D3529" i="2"/>
  <c r="D3530" i="2"/>
  <c r="D3531" i="2"/>
  <c r="D3532" i="2"/>
  <c r="D3533" i="2"/>
  <c r="D3534" i="2"/>
  <c r="D3535" i="2"/>
  <c r="D3536" i="2"/>
  <c r="D3537" i="2"/>
  <c r="D3538" i="2"/>
  <c r="D3539" i="2"/>
  <c r="D3540" i="2"/>
  <c r="D3541" i="2"/>
  <c r="D3542" i="2"/>
  <c r="D3543" i="2"/>
  <c r="D3544" i="2"/>
  <c r="D3545" i="2"/>
  <c r="D3546" i="2"/>
  <c r="D3547" i="2"/>
  <c r="D3548" i="2"/>
  <c r="D3549" i="2"/>
  <c r="D3550" i="2"/>
  <c r="D3551" i="2"/>
  <c r="D3552" i="2"/>
  <c r="D3553" i="2"/>
  <c r="D3554" i="2"/>
  <c r="D3555" i="2"/>
  <c r="D3556" i="2"/>
  <c r="D3557" i="2"/>
  <c r="D3558" i="2"/>
  <c r="D3559" i="2"/>
  <c r="D3560" i="2"/>
  <c r="D3561" i="2"/>
  <c r="D3562" i="2"/>
  <c r="D3563" i="2"/>
  <c r="D3564" i="2"/>
  <c r="D3565" i="2"/>
  <c r="D3566" i="2"/>
  <c r="D3567" i="2"/>
  <c r="D3568" i="2"/>
  <c r="D3569" i="2"/>
  <c r="D3570" i="2"/>
  <c r="D3571" i="2"/>
  <c r="D3572" i="2"/>
  <c r="D3573" i="2"/>
  <c r="D3574" i="2"/>
  <c r="D3575" i="2"/>
  <c r="D3576" i="2"/>
  <c r="D3577" i="2"/>
  <c r="D3578" i="2"/>
  <c r="D3579" i="2"/>
  <c r="D3580" i="2"/>
  <c r="D3581" i="2"/>
  <c r="D3582" i="2"/>
  <c r="D3583" i="2"/>
  <c r="D3584" i="2"/>
  <c r="D3585" i="2"/>
  <c r="D3586" i="2"/>
  <c r="D3587" i="2"/>
  <c r="D3588" i="2"/>
  <c r="D3589" i="2"/>
  <c r="D3590" i="2"/>
  <c r="D3591" i="2"/>
  <c r="D3592" i="2"/>
  <c r="D3593" i="2"/>
  <c r="D3594" i="2"/>
  <c r="D3595" i="2"/>
  <c r="D3596" i="2"/>
  <c r="D3597" i="2"/>
  <c r="D3598" i="2"/>
  <c r="D3599" i="2"/>
  <c r="D3600" i="2"/>
  <c r="D3601" i="2"/>
  <c r="D3602" i="2"/>
  <c r="D3603" i="2"/>
  <c r="D3604" i="2"/>
  <c r="D3605" i="2"/>
  <c r="D3606" i="2"/>
  <c r="D3607" i="2"/>
  <c r="D3608" i="2"/>
  <c r="D3609" i="2"/>
  <c r="D3610" i="2"/>
  <c r="D3611" i="2"/>
  <c r="D3612" i="2"/>
  <c r="D3613" i="2"/>
  <c r="D3614" i="2"/>
  <c r="D3615" i="2"/>
  <c r="D3616" i="2"/>
  <c r="D3617" i="2"/>
  <c r="D3618" i="2"/>
  <c r="D3619" i="2"/>
  <c r="D3620" i="2"/>
  <c r="D3621" i="2"/>
  <c r="D3622" i="2"/>
  <c r="D3623" i="2"/>
  <c r="D3624" i="2"/>
  <c r="D3625" i="2"/>
  <c r="D3626" i="2"/>
  <c r="D3627" i="2"/>
  <c r="D3628" i="2"/>
  <c r="D3629" i="2"/>
  <c r="D3630" i="2"/>
  <c r="D3631" i="2"/>
  <c r="D3632" i="2"/>
  <c r="D3633" i="2"/>
  <c r="D3634" i="2"/>
  <c r="D3635" i="2"/>
  <c r="D3636" i="2"/>
  <c r="D3637" i="2"/>
  <c r="D3638" i="2"/>
  <c r="D3639" i="2"/>
  <c r="D3640" i="2"/>
  <c r="D3641" i="2"/>
  <c r="D3642" i="2"/>
  <c r="D3643" i="2"/>
  <c r="D3644" i="2"/>
  <c r="D3645" i="2"/>
  <c r="D3646" i="2"/>
  <c r="D3647" i="2"/>
  <c r="D3648" i="2"/>
  <c r="D3649" i="2"/>
  <c r="D3650" i="2"/>
  <c r="D3651" i="2"/>
  <c r="D3652" i="2"/>
  <c r="D3653" i="2"/>
  <c r="D3654" i="2"/>
  <c r="D3655" i="2"/>
  <c r="D3656" i="2"/>
  <c r="D3657" i="2"/>
  <c r="D3658" i="2"/>
  <c r="D3659" i="2"/>
  <c r="D3660" i="2"/>
  <c r="D3661" i="2"/>
  <c r="D3662" i="2"/>
  <c r="D3663" i="2"/>
  <c r="D3664" i="2"/>
  <c r="D3665" i="2"/>
  <c r="D3666" i="2"/>
  <c r="D3667" i="2"/>
  <c r="D3668" i="2"/>
  <c r="D3669" i="2"/>
  <c r="D3670" i="2"/>
  <c r="D3671" i="2"/>
  <c r="D3672" i="2"/>
  <c r="D3673" i="2"/>
  <c r="D3674" i="2"/>
  <c r="D3675" i="2"/>
  <c r="D3676" i="2"/>
  <c r="D3677" i="2"/>
  <c r="D3678" i="2"/>
  <c r="D3679" i="2"/>
  <c r="D3680" i="2"/>
  <c r="D3681" i="2"/>
  <c r="D3682" i="2"/>
  <c r="D3683" i="2"/>
  <c r="D3684" i="2"/>
  <c r="D3685" i="2"/>
  <c r="D3686" i="2"/>
  <c r="D3687" i="2"/>
  <c r="D3688" i="2"/>
  <c r="D3689" i="2"/>
  <c r="D3690" i="2"/>
  <c r="D3691" i="2"/>
  <c r="D3692" i="2"/>
  <c r="D3693" i="2"/>
  <c r="D3694" i="2"/>
  <c r="D3695" i="2"/>
  <c r="D3696" i="2"/>
  <c r="D3697" i="2"/>
  <c r="D3698" i="2"/>
  <c r="D3699" i="2"/>
  <c r="D3700" i="2"/>
  <c r="D3701" i="2"/>
  <c r="D3702" i="2"/>
  <c r="D3703" i="2"/>
  <c r="D3704" i="2"/>
  <c r="D3705" i="2"/>
  <c r="D3706" i="2"/>
  <c r="D3707" i="2"/>
  <c r="D3708" i="2"/>
  <c r="D3709" i="2"/>
  <c r="D3710" i="2"/>
  <c r="D3711" i="2"/>
  <c r="D3712" i="2"/>
  <c r="D3713" i="2"/>
  <c r="D3714" i="2"/>
  <c r="D3715" i="2"/>
  <c r="D3716" i="2"/>
  <c r="D3717" i="2"/>
  <c r="D3718" i="2"/>
  <c r="D3719" i="2"/>
  <c r="D3720" i="2"/>
  <c r="D3721" i="2"/>
  <c r="D3722" i="2"/>
  <c r="D3723" i="2"/>
  <c r="D3724" i="2"/>
  <c r="D3725" i="2"/>
  <c r="D3726" i="2"/>
  <c r="D3727" i="2"/>
  <c r="D3728" i="2"/>
  <c r="D3729" i="2"/>
  <c r="D3730" i="2"/>
  <c r="D3731" i="2"/>
  <c r="D3732" i="2"/>
  <c r="D3733" i="2"/>
  <c r="D3734" i="2"/>
  <c r="D3735" i="2"/>
  <c r="D3736" i="2"/>
  <c r="D3737" i="2"/>
  <c r="D3738" i="2"/>
  <c r="D3739" i="2"/>
  <c r="D3740" i="2"/>
  <c r="D3741" i="2"/>
  <c r="D3742" i="2"/>
  <c r="D3743" i="2"/>
  <c r="D3744" i="2"/>
  <c r="D3745" i="2"/>
  <c r="D3746" i="2"/>
  <c r="D3747" i="2"/>
  <c r="D3748" i="2"/>
  <c r="D3749" i="2"/>
  <c r="D3750" i="2"/>
  <c r="D3751" i="2"/>
  <c r="D3752" i="2"/>
  <c r="D3753" i="2"/>
  <c r="D3754" i="2"/>
  <c r="D3755" i="2"/>
  <c r="D3756" i="2"/>
  <c r="D3757" i="2"/>
  <c r="D3758" i="2"/>
  <c r="D3759" i="2"/>
  <c r="D3760" i="2"/>
  <c r="D3761" i="2"/>
  <c r="D3762" i="2"/>
  <c r="D3763" i="2"/>
  <c r="D3764" i="2"/>
  <c r="D3765" i="2"/>
  <c r="D3766" i="2"/>
  <c r="D3767" i="2"/>
  <c r="D3768" i="2"/>
  <c r="D3769" i="2"/>
  <c r="D3770" i="2"/>
  <c r="D3771" i="2"/>
  <c r="D3772" i="2"/>
  <c r="D3773" i="2"/>
  <c r="D3774" i="2"/>
  <c r="D3775" i="2"/>
  <c r="D3776" i="2"/>
  <c r="D3777" i="2"/>
  <c r="D3778" i="2"/>
  <c r="D3779" i="2"/>
  <c r="D3780" i="2"/>
  <c r="D3781" i="2"/>
  <c r="D3782" i="2"/>
  <c r="D3783" i="2"/>
  <c r="D3784" i="2"/>
  <c r="D3785" i="2"/>
  <c r="D3786" i="2"/>
  <c r="D3787" i="2"/>
  <c r="D3788" i="2"/>
  <c r="D3789" i="2"/>
  <c r="D3790" i="2"/>
  <c r="D3791" i="2"/>
  <c r="D3792" i="2"/>
  <c r="D3793" i="2"/>
  <c r="D3794" i="2"/>
  <c r="D3795" i="2"/>
  <c r="D3796" i="2"/>
  <c r="D3797" i="2"/>
  <c r="D3798" i="2"/>
  <c r="D3799" i="2"/>
  <c r="D3800" i="2"/>
  <c r="D3801" i="2"/>
  <c r="D3802" i="2"/>
  <c r="D3803" i="2"/>
  <c r="D3804" i="2"/>
  <c r="D3805" i="2"/>
  <c r="D3806" i="2"/>
  <c r="D3807" i="2"/>
  <c r="D3808" i="2"/>
  <c r="D3809" i="2"/>
  <c r="D3810" i="2"/>
  <c r="D3811" i="2"/>
  <c r="D3812" i="2"/>
  <c r="D3813" i="2"/>
  <c r="D3814" i="2"/>
  <c r="D3815" i="2"/>
  <c r="D3816" i="2"/>
  <c r="D3817" i="2"/>
  <c r="D3818" i="2"/>
  <c r="D3819" i="2"/>
  <c r="D3820" i="2"/>
  <c r="D3821" i="2"/>
  <c r="D3822" i="2"/>
  <c r="D3823" i="2"/>
  <c r="D3824" i="2"/>
  <c r="D3825" i="2"/>
  <c r="D3826" i="2"/>
  <c r="D3827" i="2"/>
  <c r="D3828" i="2"/>
  <c r="D3829" i="2"/>
  <c r="D3830" i="2"/>
  <c r="D3831" i="2"/>
  <c r="D3832" i="2"/>
  <c r="D3833" i="2"/>
  <c r="D3834" i="2"/>
  <c r="D3835" i="2"/>
  <c r="D3836" i="2"/>
  <c r="D3837" i="2"/>
  <c r="D3838" i="2"/>
  <c r="D3839" i="2"/>
  <c r="D3840" i="2"/>
  <c r="D3841" i="2"/>
  <c r="D3842" i="2"/>
  <c r="D3843" i="2"/>
  <c r="D3844" i="2"/>
  <c r="D3845" i="2"/>
  <c r="D3846" i="2"/>
  <c r="D3847" i="2"/>
  <c r="D3848" i="2"/>
  <c r="D3849" i="2"/>
  <c r="D3850" i="2"/>
  <c r="D3851" i="2"/>
  <c r="D3852" i="2"/>
  <c r="D3853" i="2"/>
  <c r="D3854" i="2"/>
  <c r="D3855" i="2"/>
  <c r="D3856" i="2"/>
  <c r="D3857" i="2"/>
  <c r="D3858" i="2"/>
  <c r="D3859" i="2"/>
  <c r="D3860" i="2"/>
  <c r="D3861" i="2"/>
  <c r="D3862" i="2"/>
  <c r="D3863" i="2"/>
  <c r="D3864" i="2"/>
  <c r="D3865" i="2"/>
  <c r="D3866" i="2"/>
  <c r="D3867" i="2"/>
  <c r="D3868" i="2"/>
  <c r="D3869" i="2"/>
  <c r="D3870" i="2"/>
  <c r="D3871" i="2"/>
  <c r="D3872" i="2"/>
  <c r="D3873" i="2"/>
  <c r="D3874" i="2"/>
  <c r="D3875" i="2"/>
  <c r="D3876" i="2"/>
  <c r="D3877" i="2"/>
  <c r="D3878" i="2"/>
  <c r="D3879" i="2"/>
  <c r="D3880" i="2"/>
  <c r="D3881" i="2"/>
  <c r="D3882" i="2"/>
  <c r="D3883" i="2"/>
  <c r="D3884" i="2"/>
  <c r="D3885" i="2"/>
  <c r="D3886" i="2"/>
  <c r="D3887" i="2"/>
  <c r="D3888" i="2"/>
  <c r="D3889" i="2"/>
  <c r="D3890" i="2"/>
  <c r="D3891" i="2"/>
  <c r="D3892" i="2"/>
  <c r="D3893" i="2"/>
  <c r="D3894" i="2"/>
  <c r="D3895" i="2"/>
  <c r="D3896" i="2"/>
  <c r="D3897" i="2"/>
  <c r="D3898" i="2"/>
  <c r="D3899" i="2"/>
  <c r="D3900" i="2"/>
  <c r="D3901" i="2"/>
  <c r="D3902" i="2"/>
  <c r="D3903" i="2"/>
  <c r="D3904" i="2"/>
  <c r="D3905" i="2"/>
  <c r="D3906" i="2"/>
  <c r="D3907" i="2"/>
  <c r="D3908" i="2"/>
  <c r="D3909" i="2"/>
  <c r="D3910" i="2"/>
  <c r="D3911" i="2"/>
  <c r="D3912" i="2"/>
  <c r="D3913" i="2"/>
  <c r="D3914" i="2"/>
  <c r="D3915" i="2"/>
  <c r="D3916" i="2"/>
  <c r="D3917" i="2"/>
  <c r="D3918" i="2"/>
  <c r="D3919" i="2"/>
  <c r="D3920" i="2"/>
  <c r="D3921" i="2"/>
  <c r="D3922" i="2"/>
  <c r="D3923" i="2"/>
  <c r="D3924" i="2"/>
  <c r="D3925" i="2"/>
  <c r="D3926" i="2"/>
  <c r="D3927" i="2"/>
  <c r="D3928" i="2"/>
  <c r="D3929" i="2"/>
  <c r="D3930" i="2"/>
  <c r="D3931" i="2"/>
  <c r="D3932" i="2"/>
  <c r="D3933" i="2"/>
  <c r="D3934" i="2"/>
  <c r="D3935" i="2"/>
  <c r="D3936" i="2"/>
  <c r="D3937" i="2"/>
  <c r="D3938" i="2"/>
  <c r="D3939" i="2"/>
  <c r="D3940" i="2"/>
  <c r="D3941" i="2"/>
  <c r="D3942" i="2"/>
  <c r="D3943" i="2"/>
  <c r="D3944" i="2"/>
  <c r="D3945" i="2"/>
  <c r="D3946" i="2"/>
  <c r="D3947" i="2"/>
  <c r="D3948" i="2"/>
  <c r="D3949" i="2"/>
  <c r="D3950" i="2"/>
  <c r="D3951" i="2"/>
  <c r="D3952" i="2"/>
  <c r="D3953" i="2"/>
  <c r="D3954" i="2"/>
  <c r="D3955" i="2"/>
  <c r="D3956" i="2"/>
  <c r="D3957" i="2"/>
  <c r="D3958" i="2"/>
  <c r="D3959" i="2"/>
  <c r="D3960" i="2"/>
  <c r="D3961" i="2"/>
  <c r="D3962" i="2"/>
  <c r="D3963" i="2"/>
  <c r="D3964" i="2"/>
  <c r="D3965" i="2"/>
  <c r="D3966" i="2"/>
  <c r="D3967" i="2"/>
  <c r="D3968" i="2"/>
  <c r="D3969" i="2"/>
  <c r="D3970" i="2"/>
  <c r="D3971" i="2"/>
  <c r="D3972" i="2"/>
  <c r="D3973" i="2"/>
  <c r="D3974" i="2"/>
  <c r="D3975" i="2"/>
  <c r="D3976" i="2"/>
  <c r="D3977" i="2"/>
  <c r="D3978" i="2"/>
  <c r="D3979" i="2"/>
  <c r="D3980" i="2"/>
  <c r="D3981" i="2"/>
  <c r="D3982" i="2"/>
  <c r="D3983" i="2"/>
  <c r="D3984" i="2"/>
  <c r="D3985" i="2"/>
  <c r="D3986" i="2"/>
  <c r="D3987" i="2"/>
  <c r="D3988" i="2"/>
  <c r="D3989" i="2"/>
  <c r="D3990" i="2"/>
  <c r="D3991" i="2"/>
  <c r="D3992" i="2"/>
  <c r="D3993" i="2"/>
  <c r="D3994" i="2"/>
  <c r="D3995" i="2"/>
  <c r="D3996" i="2"/>
  <c r="D3997" i="2"/>
  <c r="D3998" i="2"/>
  <c r="D3999" i="2"/>
  <c r="D4000" i="2"/>
  <c r="D4001" i="2"/>
  <c r="D4002" i="2"/>
  <c r="D4003" i="2"/>
  <c r="D4004" i="2"/>
  <c r="D4005" i="2"/>
  <c r="D4006" i="2"/>
  <c r="D4007" i="2"/>
  <c r="D4008" i="2"/>
  <c r="D4009" i="2"/>
  <c r="D4010" i="2"/>
  <c r="D4011" i="2"/>
  <c r="D4012" i="2"/>
  <c r="D4013" i="2"/>
  <c r="D4014" i="2"/>
  <c r="D4015" i="2"/>
  <c r="D4016" i="2"/>
  <c r="D4017" i="2"/>
  <c r="D4018" i="2"/>
  <c r="D4019" i="2"/>
  <c r="D4020" i="2"/>
  <c r="D4021" i="2"/>
  <c r="D4022" i="2"/>
  <c r="D4023" i="2"/>
  <c r="D4024" i="2"/>
  <c r="D4025" i="2"/>
  <c r="D4026" i="2"/>
  <c r="D4027" i="2"/>
  <c r="D4028" i="2"/>
  <c r="D4029" i="2"/>
  <c r="D4030" i="2"/>
  <c r="D4031" i="2"/>
  <c r="D4032" i="2"/>
  <c r="D4033" i="2"/>
  <c r="D4034" i="2"/>
  <c r="D4035" i="2"/>
  <c r="D4036" i="2"/>
  <c r="D4037" i="2"/>
  <c r="D4038" i="2"/>
  <c r="D4039" i="2"/>
  <c r="D4040" i="2"/>
  <c r="D4041" i="2"/>
  <c r="D4042" i="2"/>
  <c r="D4043" i="2"/>
  <c r="D4044" i="2"/>
  <c r="D4045" i="2"/>
  <c r="D4046" i="2"/>
  <c r="D4047" i="2"/>
  <c r="D4048" i="2"/>
  <c r="D4049" i="2"/>
  <c r="D4050" i="2"/>
  <c r="D4051" i="2"/>
  <c r="D4052" i="2"/>
  <c r="D4053" i="2"/>
  <c r="D4054" i="2"/>
  <c r="D4055" i="2"/>
  <c r="D4056" i="2"/>
  <c r="D4057" i="2"/>
  <c r="D4058" i="2"/>
  <c r="D4059" i="2"/>
  <c r="D4060" i="2"/>
  <c r="D4061" i="2"/>
  <c r="D4062" i="2"/>
  <c r="D4063" i="2"/>
  <c r="D4064" i="2"/>
  <c r="D4065" i="2"/>
  <c r="D4066" i="2"/>
  <c r="D4067" i="2"/>
  <c r="D4068" i="2"/>
  <c r="D4069" i="2"/>
  <c r="D4070" i="2"/>
  <c r="D4071" i="2"/>
  <c r="D4072" i="2"/>
  <c r="D4073" i="2"/>
  <c r="D4074" i="2"/>
  <c r="D4075" i="2"/>
  <c r="D4076" i="2"/>
  <c r="D4077" i="2"/>
  <c r="D4078" i="2"/>
  <c r="D4079" i="2"/>
  <c r="D4080" i="2"/>
  <c r="D4081" i="2"/>
  <c r="D4082" i="2"/>
  <c r="D4083" i="2"/>
  <c r="D4084" i="2"/>
  <c r="D4085" i="2"/>
  <c r="D4086" i="2"/>
  <c r="D4087" i="2"/>
  <c r="D4088" i="2"/>
  <c r="D4089" i="2"/>
  <c r="D4090" i="2"/>
  <c r="D4091" i="2"/>
  <c r="D4092" i="2"/>
  <c r="D4093" i="2"/>
  <c r="D4094" i="2"/>
  <c r="D4095" i="2"/>
  <c r="D4096" i="2"/>
  <c r="D4097" i="2"/>
  <c r="D4098" i="2"/>
  <c r="D4099" i="2"/>
  <c r="D4100" i="2"/>
  <c r="D4101" i="2"/>
  <c r="D4102" i="2"/>
  <c r="D4103" i="2"/>
  <c r="D4104" i="2"/>
  <c r="D4105" i="2"/>
  <c r="D4106" i="2"/>
  <c r="D4107" i="2"/>
  <c r="D4108" i="2"/>
  <c r="D4109" i="2"/>
  <c r="D4110" i="2"/>
  <c r="D4111" i="2"/>
  <c r="D4112" i="2"/>
  <c r="D4113" i="2"/>
  <c r="D4114" i="2"/>
  <c r="D4115" i="2"/>
  <c r="D4116" i="2"/>
  <c r="D4117" i="2"/>
  <c r="D4118" i="2"/>
  <c r="D4119" i="2"/>
  <c r="D4120" i="2"/>
  <c r="D4121" i="2"/>
  <c r="D4122" i="2"/>
  <c r="D4123" i="2"/>
  <c r="D4124" i="2"/>
  <c r="D4125" i="2"/>
  <c r="D4126" i="2"/>
  <c r="D4127" i="2"/>
  <c r="D4128" i="2"/>
  <c r="D4129" i="2"/>
  <c r="D4130" i="2"/>
  <c r="D4131" i="2"/>
  <c r="D4132" i="2"/>
  <c r="D4133" i="2"/>
  <c r="D4134" i="2"/>
  <c r="D4135" i="2"/>
  <c r="D4136" i="2"/>
  <c r="D4137" i="2"/>
  <c r="D4138" i="2"/>
  <c r="D4139" i="2"/>
  <c r="D4140" i="2"/>
  <c r="D4141" i="2"/>
  <c r="D4142" i="2"/>
  <c r="D4143" i="2"/>
  <c r="D4144" i="2"/>
  <c r="D4145" i="2"/>
  <c r="D4146" i="2"/>
  <c r="D4147" i="2"/>
  <c r="D4148" i="2"/>
  <c r="D4149" i="2"/>
  <c r="D4150" i="2"/>
  <c r="D4151" i="2"/>
  <c r="D4152" i="2"/>
  <c r="D4153" i="2"/>
  <c r="D4154" i="2"/>
  <c r="D4155" i="2"/>
  <c r="D4156" i="2"/>
  <c r="D4157" i="2"/>
  <c r="D4158" i="2"/>
  <c r="D4159" i="2"/>
  <c r="D4160" i="2"/>
  <c r="D4161" i="2"/>
  <c r="D4162" i="2"/>
  <c r="D4163" i="2"/>
  <c r="D4164" i="2"/>
  <c r="D4165" i="2"/>
  <c r="D4166" i="2"/>
  <c r="D4167" i="2"/>
  <c r="D4168" i="2"/>
  <c r="D4169" i="2"/>
  <c r="D4170" i="2"/>
  <c r="D4171" i="2"/>
  <c r="D4172" i="2"/>
  <c r="D4173" i="2"/>
  <c r="D4174" i="2"/>
  <c r="D4175" i="2"/>
  <c r="D4176" i="2"/>
  <c r="D4177" i="2"/>
  <c r="D4178" i="2"/>
  <c r="D4179" i="2"/>
  <c r="D4180" i="2"/>
  <c r="D4181" i="2"/>
  <c r="D4182" i="2"/>
  <c r="D4183" i="2"/>
  <c r="D4184" i="2"/>
  <c r="D4185" i="2"/>
  <c r="D4186" i="2"/>
  <c r="D4187" i="2"/>
  <c r="D4188" i="2"/>
  <c r="D4189" i="2"/>
  <c r="D4190" i="2"/>
  <c r="D4191" i="2"/>
  <c r="D4192" i="2"/>
  <c r="D4193" i="2"/>
  <c r="D4194" i="2"/>
  <c r="D4195" i="2"/>
  <c r="D4196" i="2"/>
  <c r="D4197" i="2"/>
  <c r="D4198" i="2"/>
  <c r="D4199" i="2"/>
  <c r="D4200" i="2"/>
  <c r="D4201" i="2"/>
  <c r="D4202" i="2"/>
  <c r="D4203" i="2"/>
  <c r="D4204" i="2"/>
  <c r="D4205" i="2"/>
  <c r="D4206" i="2"/>
  <c r="D4207" i="2"/>
  <c r="D4208" i="2"/>
  <c r="D4209" i="2"/>
  <c r="D4210" i="2"/>
  <c r="D4211" i="2"/>
  <c r="D4212" i="2"/>
  <c r="D4213" i="2"/>
  <c r="D4214" i="2"/>
  <c r="D4215" i="2"/>
  <c r="D4216" i="2"/>
  <c r="D4217" i="2"/>
  <c r="D4218" i="2"/>
  <c r="D4219" i="2"/>
  <c r="D4220" i="2"/>
  <c r="D4221" i="2"/>
  <c r="D4222" i="2"/>
  <c r="D4223" i="2"/>
  <c r="D4224" i="2"/>
  <c r="D4225" i="2"/>
  <c r="D4226" i="2"/>
  <c r="D4227" i="2"/>
  <c r="D4228" i="2"/>
  <c r="D4229" i="2"/>
  <c r="D4230" i="2"/>
  <c r="D4231" i="2"/>
  <c r="D4232" i="2"/>
  <c r="D4233" i="2"/>
  <c r="D4234" i="2"/>
  <c r="D4235" i="2"/>
  <c r="D4236" i="2"/>
  <c r="D4237" i="2"/>
  <c r="D4238" i="2"/>
  <c r="D4239" i="2"/>
  <c r="D4240" i="2"/>
  <c r="D4241" i="2"/>
  <c r="D4242" i="2"/>
  <c r="D4243" i="2"/>
  <c r="D4244" i="2"/>
  <c r="D4245" i="2"/>
  <c r="D4246" i="2"/>
  <c r="D4247" i="2"/>
  <c r="D4248" i="2"/>
  <c r="D4249" i="2"/>
  <c r="D4250" i="2"/>
  <c r="D4251" i="2"/>
  <c r="D4252" i="2"/>
  <c r="D4253" i="2"/>
  <c r="D4254" i="2"/>
  <c r="D4255" i="2"/>
  <c r="D4256" i="2"/>
  <c r="D4257" i="2"/>
  <c r="D4258" i="2"/>
  <c r="D4259" i="2"/>
  <c r="D4260" i="2"/>
  <c r="D4261" i="2"/>
  <c r="D4262" i="2"/>
  <c r="D4263" i="2"/>
  <c r="D4264" i="2"/>
  <c r="D4265" i="2"/>
  <c r="D4266" i="2"/>
  <c r="D4267" i="2"/>
  <c r="D4268" i="2"/>
  <c r="D4269" i="2"/>
  <c r="D4270" i="2"/>
  <c r="D4271" i="2"/>
  <c r="D4272" i="2"/>
  <c r="D4273" i="2"/>
  <c r="D4274" i="2"/>
  <c r="D4275" i="2"/>
  <c r="D4276" i="2"/>
  <c r="D4277" i="2"/>
  <c r="D4278" i="2"/>
  <c r="D4279" i="2"/>
  <c r="D4280" i="2"/>
  <c r="D4281" i="2"/>
  <c r="D4282" i="2"/>
  <c r="D4283" i="2"/>
  <c r="D4284" i="2"/>
  <c r="D4285" i="2"/>
  <c r="D4286" i="2"/>
  <c r="D4287" i="2"/>
  <c r="D4288" i="2"/>
  <c r="D4289" i="2"/>
  <c r="D4290" i="2"/>
  <c r="D4291" i="2"/>
  <c r="D4292" i="2"/>
  <c r="D4293" i="2"/>
  <c r="D4294" i="2"/>
  <c r="D4295" i="2"/>
  <c r="D4296" i="2"/>
  <c r="D4297" i="2"/>
  <c r="D4298" i="2"/>
  <c r="D4299" i="2"/>
  <c r="D4300" i="2"/>
  <c r="D4301" i="2"/>
  <c r="D4302" i="2"/>
  <c r="D4303" i="2"/>
  <c r="D4304" i="2"/>
  <c r="D4305" i="2"/>
  <c r="D4306" i="2"/>
  <c r="D4307" i="2"/>
  <c r="D4308" i="2"/>
  <c r="D4309" i="2"/>
  <c r="D4310" i="2"/>
  <c r="D4311" i="2"/>
  <c r="D4312" i="2"/>
  <c r="D4313" i="2"/>
  <c r="D4314" i="2"/>
  <c r="D4315" i="2"/>
  <c r="D4316" i="2"/>
  <c r="D4317" i="2"/>
  <c r="D4318" i="2"/>
  <c r="D4319" i="2"/>
  <c r="D4320" i="2"/>
  <c r="D4321" i="2"/>
  <c r="D4322" i="2"/>
  <c r="D4323" i="2"/>
  <c r="D4324" i="2"/>
  <c r="D4325" i="2"/>
  <c r="D4326" i="2"/>
  <c r="D4327" i="2"/>
  <c r="D4328" i="2"/>
  <c r="D4329" i="2"/>
  <c r="D4330" i="2"/>
  <c r="D4331" i="2"/>
  <c r="D4332" i="2"/>
  <c r="D4333" i="2"/>
  <c r="D4334" i="2"/>
  <c r="D4335" i="2"/>
  <c r="D4336" i="2"/>
  <c r="D4337" i="2"/>
  <c r="D4338" i="2"/>
  <c r="D4339" i="2"/>
  <c r="D4340" i="2"/>
  <c r="D4341" i="2"/>
  <c r="D4342" i="2"/>
  <c r="D4343" i="2"/>
  <c r="D4344" i="2"/>
  <c r="D4345" i="2"/>
  <c r="D4346" i="2"/>
  <c r="D4347" i="2"/>
  <c r="D4348" i="2"/>
  <c r="D4349" i="2"/>
  <c r="D4350" i="2"/>
  <c r="D4351" i="2"/>
  <c r="D4352" i="2"/>
  <c r="D4353" i="2"/>
  <c r="D4354" i="2"/>
  <c r="D4355" i="2"/>
  <c r="D4356" i="2"/>
  <c r="D4357" i="2"/>
  <c r="D4358" i="2"/>
  <c r="D4359" i="2"/>
  <c r="D4360" i="2"/>
  <c r="D4361" i="2"/>
  <c r="D4362" i="2"/>
  <c r="D4363" i="2"/>
  <c r="D4364" i="2"/>
  <c r="D4365" i="2"/>
  <c r="D4366" i="2"/>
  <c r="D4367" i="2"/>
  <c r="D4368" i="2"/>
  <c r="D4369" i="2"/>
  <c r="D4370" i="2"/>
  <c r="D4371" i="2"/>
  <c r="D4372" i="2"/>
  <c r="D4373" i="2"/>
  <c r="D4374" i="2"/>
  <c r="D4375" i="2"/>
  <c r="D4376" i="2"/>
  <c r="D4377" i="2"/>
  <c r="D4378" i="2"/>
  <c r="D4379" i="2"/>
  <c r="D4380" i="2"/>
  <c r="D4381" i="2"/>
  <c r="D4382" i="2"/>
  <c r="D4383" i="2"/>
  <c r="D4384" i="2"/>
  <c r="D4385" i="2"/>
  <c r="D4386" i="2"/>
  <c r="D4387" i="2"/>
  <c r="D4388" i="2"/>
  <c r="D4389" i="2"/>
  <c r="D4390" i="2"/>
  <c r="D4391" i="2"/>
  <c r="D4392" i="2"/>
  <c r="D4393" i="2"/>
  <c r="D4394" i="2"/>
  <c r="D4395" i="2"/>
  <c r="D4396" i="2"/>
  <c r="D4397" i="2"/>
  <c r="D4398" i="2"/>
  <c r="D4399" i="2"/>
  <c r="D4400" i="2"/>
  <c r="D4401" i="2"/>
  <c r="D4402" i="2"/>
  <c r="D4403" i="2"/>
  <c r="D4404" i="2"/>
  <c r="D4405" i="2"/>
  <c r="D4406" i="2"/>
  <c r="D4407" i="2"/>
  <c r="D4408" i="2"/>
  <c r="D4409" i="2"/>
  <c r="D4410" i="2"/>
  <c r="D4411" i="2"/>
  <c r="D4412" i="2"/>
  <c r="D4413" i="2"/>
  <c r="D4414" i="2"/>
  <c r="D4415" i="2"/>
  <c r="D4416" i="2"/>
  <c r="D4417" i="2"/>
  <c r="D4418" i="2"/>
  <c r="D4419" i="2"/>
  <c r="D4420" i="2"/>
  <c r="D4421" i="2"/>
  <c r="D4422" i="2"/>
  <c r="D4423" i="2"/>
  <c r="D4424" i="2"/>
  <c r="D4425" i="2"/>
  <c r="D4426" i="2"/>
  <c r="D4427" i="2"/>
  <c r="D4428" i="2"/>
  <c r="D4429" i="2"/>
  <c r="D4430" i="2"/>
  <c r="D4431" i="2"/>
  <c r="D4432" i="2"/>
  <c r="D4433" i="2"/>
  <c r="D4434" i="2"/>
  <c r="D4435" i="2"/>
  <c r="D4436" i="2"/>
  <c r="D4437" i="2"/>
  <c r="D4438" i="2"/>
  <c r="D4439" i="2"/>
  <c r="D4440" i="2"/>
  <c r="D4441" i="2"/>
  <c r="D4442" i="2"/>
  <c r="D4443" i="2"/>
  <c r="D4444" i="2"/>
  <c r="D4445" i="2"/>
  <c r="D4446" i="2"/>
  <c r="D4447" i="2"/>
  <c r="D4448" i="2"/>
  <c r="D4449" i="2"/>
  <c r="D4450" i="2"/>
  <c r="D4451" i="2"/>
  <c r="D4452" i="2"/>
  <c r="D4453" i="2"/>
  <c r="D4454" i="2"/>
  <c r="D4455" i="2"/>
  <c r="D4456" i="2"/>
  <c r="D4457" i="2"/>
  <c r="D4458" i="2"/>
  <c r="D4459" i="2"/>
  <c r="D4460" i="2"/>
  <c r="D4461" i="2"/>
  <c r="D4462" i="2"/>
  <c r="D4463" i="2"/>
  <c r="D4464" i="2"/>
  <c r="D4465" i="2"/>
  <c r="D4466" i="2"/>
  <c r="D4467" i="2"/>
  <c r="D4468" i="2"/>
  <c r="D4469" i="2"/>
  <c r="D4470" i="2"/>
  <c r="D4471" i="2"/>
  <c r="D4472" i="2"/>
  <c r="D4473" i="2"/>
  <c r="D4474" i="2"/>
  <c r="D4475" i="2"/>
  <c r="D4476" i="2"/>
  <c r="D4477" i="2"/>
  <c r="D4478" i="2"/>
  <c r="D4479" i="2"/>
  <c r="D4480" i="2"/>
  <c r="D4481" i="2"/>
  <c r="D4482" i="2"/>
  <c r="D4483" i="2"/>
  <c r="D4484" i="2"/>
  <c r="D4485" i="2"/>
  <c r="D4486" i="2"/>
  <c r="D4487" i="2"/>
  <c r="D4488" i="2"/>
  <c r="D4489" i="2"/>
  <c r="D4490" i="2"/>
  <c r="D4491" i="2"/>
  <c r="D4492" i="2"/>
  <c r="D4493" i="2"/>
  <c r="D4494" i="2"/>
  <c r="D4495" i="2"/>
  <c r="D4496" i="2"/>
  <c r="D4497" i="2"/>
  <c r="D4498" i="2"/>
  <c r="D4499" i="2"/>
  <c r="D4500" i="2"/>
  <c r="D4501" i="2"/>
  <c r="D4502" i="2"/>
  <c r="D4503" i="2"/>
  <c r="D4504" i="2"/>
  <c r="D4505" i="2"/>
  <c r="D4506" i="2"/>
  <c r="D4507" i="2"/>
  <c r="D4508" i="2"/>
  <c r="D4509" i="2"/>
  <c r="D4510" i="2"/>
  <c r="D4511" i="2"/>
  <c r="D4512" i="2"/>
  <c r="D4513" i="2"/>
  <c r="D4514" i="2"/>
  <c r="D4515" i="2"/>
  <c r="D4516" i="2"/>
  <c r="D4517" i="2"/>
  <c r="D4518" i="2"/>
  <c r="D4519" i="2"/>
  <c r="D4520" i="2"/>
  <c r="D4521" i="2"/>
  <c r="D4522" i="2"/>
  <c r="D4523" i="2"/>
  <c r="D4524" i="2"/>
  <c r="D4525" i="2"/>
  <c r="D4526" i="2"/>
  <c r="D4527" i="2"/>
  <c r="D4528" i="2"/>
  <c r="D4529" i="2"/>
  <c r="D4530" i="2"/>
  <c r="D4531" i="2"/>
  <c r="D4532" i="2"/>
  <c r="D4533" i="2"/>
  <c r="D4534" i="2"/>
  <c r="D4535" i="2"/>
  <c r="D4536" i="2"/>
  <c r="D4537" i="2"/>
  <c r="D4538" i="2"/>
  <c r="D4539" i="2"/>
  <c r="D4540" i="2"/>
  <c r="D4541" i="2"/>
  <c r="D4542" i="2"/>
  <c r="D4543" i="2"/>
  <c r="D4544" i="2"/>
  <c r="D4545" i="2"/>
  <c r="D4546" i="2"/>
  <c r="D4547" i="2"/>
  <c r="D4548" i="2"/>
  <c r="D4549" i="2"/>
  <c r="D4550" i="2"/>
  <c r="D4551" i="2"/>
  <c r="D4552" i="2"/>
  <c r="D4553" i="2"/>
  <c r="D4554" i="2"/>
  <c r="D4555" i="2"/>
  <c r="D4556" i="2"/>
  <c r="D4557" i="2"/>
  <c r="D4558" i="2"/>
  <c r="D4559" i="2"/>
  <c r="D4560" i="2"/>
  <c r="D4561" i="2"/>
  <c r="D4562" i="2"/>
  <c r="D4563" i="2"/>
  <c r="D4564" i="2"/>
  <c r="D4565" i="2"/>
  <c r="D4566" i="2"/>
  <c r="D4567" i="2"/>
  <c r="D4568" i="2"/>
  <c r="D4569" i="2"/>
  <c r="D4570" i="2"/>
  <c r="D4571" i="2"/>
  <c r="D4572" i="2"/>
  <c r="D4573" i="2"/>
  <c r="D4574" i="2"/>
  <c r="D4575" i="2"/>
  <c r="D4576" i="2"/>
  <c r="D4577" i="2"/>
  <c r="D4578" i="2"/>
  <c r="D4579" i="2"/>
  <c r="D4580" i="2"/>
  <c r="D4581" i="2"/>
  <c r="D4582" i="2"/>
  <c r="D4583" i="2"/>
  <c r="D4584" i="2"/>
  <c r="D4585" i="2"/>
  <c r="D4586" i="2"/>
  <c r="D4587" i="2"/>
  <c r="D4588" i="2"/>
  <c r="D4589" i="2"/>
  <c r="D4590" i="2"/>
  <c r="D4591" i="2"/>
  <c r="D4592" i="2"/>
  <c r="D4593" i="2"/>
  <c r="D4594" i="2"/>
  <c r="D4595" i="2"/>
  <c r="D4596" i="2"/>
  <c r="D4597" i="2"/>
  <c r="D4598" i="2"/>
  <c r="D4599" i="2"/>
  <c r="D4600" i="2"/>
  <c r="D4601" i="2"/>
  <c r="D4602" i="2"/>
  <c r="D4603" i="2"/>
  <c r="D4604" i="2"/>
  <c r="D4605" i="2"/>
  <c r="D4606" i="2"/>
  <c r="D4607" i="2"/>
  <c r="D4608" i="2"/>
  <c r="D4609" i="2"/>
  <c r="D4610" i="2"/>
  <c r="D4611" i="2"/>
  <c r="D4612" i="2"/>
  <c r="D4613" i="2"/>
  <c r="D4614" i="2"/>
  <c r="D4615" i="2"/>
  <c r="D4616" i="2"/>
  <c r="D4617" i="2"/>
  <c r="D4618" i="2"/>
  <c r="D4619" i="2"/>
  <c r="D4620" i="2"/>
  <c r="D4621" i="2"/>
  <c r="D4622" i="2"/>
  <c r="D4623" i="2"/>
  <c r="D4624" i="2"/>
  <c r="D4625" i="2"/>
  <c r="D4626" i="2"/>
  <c r="D4627" i="2"/>
  <c r="D4628" i="2"/>
  <c r="D4629" i="2"/>
  <c r="D4630" i="2"/>
  <c r="D4631" i="2"/>
  <c r="D4632" i="2"/>
  <c r="D4633" i="2"/>
  <c r="D4634" i="2"/>
  <c r="D4635" i="2"/>
  <c r="D4636" i="2"/>
  <c r="D4637" i="2"/>
  <c r="D4638" i="2"/>
  <c r="D4639" i="2"/>
  <c r="D4640" i="2"/>
  <c r="D4641" i="2"/>
  <c r="D4642" i="2"/>
  <c r="D4643" i="2"/>
  <c r="D4644" i="2"/>
  <c r="D4645" i="2"/>
  <c r="D4646" i="2"/>
  <c r="D4647" i="2"/>
  <c r="D4648" i="2"/>
  <c r="D4649" i="2"/>
  <c r="D4650" i="2"/>
  <c r="D4651" i="2"/>
  <c r="D4652" i="2"/>
  <c r="D4653" i="2"/>
  <c r="D4654" i="2"/>
  <c r="D4655" i="2"/>
  <c r="D4656" i="2"/>
  <c r="D4657" i="2"/>
  <c r="D4658" i="2"/>
  <c r="D4659" i="2"/>
  <c r="D4660" i="2"/>
  <c r="D4661" i="2"/>
  <c r="D4662" i="2"/>
  <c r="D4663" i="2"/>
  <c r="D4664" i="2"/>
  <c r="D4665" i="2"/>
  <c r="D4666" i="2"/>
  <c r="D4667" i="2"/>
  <c r="D4668" i="2"/>
  <c r="D4669" i="2"/>
  <c r="D4670" i="2"/>
  <c r="D4671" i="2"/>
  <c r="D4672" i="2"/>
  <c r="D4673" i="2"/>
  <c r="D4674" i="2"/>
  <c r="D4675" i="2"/>
  <c r="D4676" i="2"/>
  <c r="D4677" i="2"/>
  <c r="D4678" i="2"/>
  <c r="D4679" i="2"/>
  <c r="D4680" i="2"/>
  <c r="D4681" i="2"/>
  <c r="D4682" i="2"/>
  <c r="D4683" i="2"/>
  <c r="D4684" i="2"/>
  <c r="D4685" i="2"/>
  <c r="D4686" i="2"/>
  <c r="D4687" i="2"/>
  <c r="D4688" i="2"/>
  <c r="D4689" i="2"/>
  <c r="D4690" i="2"/>
  <c r="D4691" i="2"/>
  <c r="D4692" i="2"/>
  <c r="D4693" i="2"/>
  <c r="D4694" i="2"/>
  <c r="D4695" i="2"/>
  <c r="D4696" i="2"/>
  <c r="D4697" i="2"/>
  <c r="D4698" i="2"/>
  <c r="D4699" i="2"/>
  <c r="D4700" i="2"/>
  <c r="D4701" i="2"/>
  <c r="D4702" i="2"/>
  <c r="D4703" i="2"/>
  <c r="D4704" i="2"/>
  <c r="D4705" i="2"/>
  <c r="D4706" i="2"/>
  <c r="D4707" i="2"/>
  <c r="D4708" i="2"/>
  <c r="D4709" i="2"/>
  <c r="D4710" i="2"/>
  <c r="D4711" i="2"/>
  <c r="D4712" i="2"/>
  <c r="D4713" i="2"/>
  <c r="D4714" i="2"/>
  <c r="D4715" i="2"/>
  <c r="D4716" i="2"/>
  <c r="D4717" i="2"/>
  <c r="D4718" i="2"/>
  <c r="D4719" i="2"/>
  <c r="D4720" i="2"/>
  <c r="D4721" i="2"/>
  <c r="D4722" i="2"/>
  <c r="D4723" i="2"/>
  <c r="D4724" i="2"/>
  <c r="D4725" i="2"/>
  <c r="D4726" i="2"/>
  <c r="D4727" i="2"/>
  <c r="D4728" i="2"/>
  <c r="D4729" i="2"/>
  <c r="D4730" i="2"/>
  <c r="D4731" i="2"/>
  <c r="D4732" i="2"/>
  <c r="D4733" i="2"/>
  <c r="D4734" i="2"/>
  <c r="D4735" i="2"/>
  <c r="D4736" i="2"/>
  <c r="D4737" i="2"/>
  <c r="D4738" i="2"/>
  <c r="D4739" i="2"/>
  <c r="D4740" i="2"/>
  <c r="D4741" i="2"/>
  <c r="D4742" i="2"/>
  <c r="D4743" i="2"/>
  <c r="D4744" i="2"/>
  <c r="D4745" i="2"/>
  <c r="D4746" i="2"/>
  <c r="D4747" i="2"/>
  <c r="D4748" i="2"/>
  <c r="D4749" i="2"/>
  <c r="D4750" i="2"/>
  <c r="D4751" i="2"/>
  <c r="D4752" i="2"/>
  <c r="D4753" i="2"/>
  <c r="D4754" i="2"/>
  <c r="D4755" i="2"/>
  <c r="D4756" i="2"/>
  <c r="D4757" i="2"/>
  <c r="D4758" i="2"/>
  <c r="D4759" i="2"/>
  <c r="D4760" i="2"/>
  <c r="D4761" i="2"/>
  <c r="D4762" i="2"/>
  <c r="D4763" i="2"/>
  <c r="D4764" i="2"/>
  <c r="D4765" i="2"/>
  <c r="D4766" i="2"/>
  <c r="D4767" i="2"/>
  <c r="D4768" i="2"/>
  <c r="D4769" i="2"/>
  <c r="D4770" i="2"/>
  <c r="D4771" i="2"/>
  <c r="D4772" i="2"/>
  <c r="D4773" i="2"/>
  <c r="D4774" i="2"/>
  <c r="D4775" i="2"/>
  <c r="D4776" i="2"/>
  <c r="D4777" i="2"/>
  <c r="D4778" i="2"/>
  <c r="D4779" i="2"/>
  <c r="D4780" i="2"/>
  <c r="D4781" i="2"/>
  <c r="D4782" i="2"/>
  <c r="D4783" i="2"/>
  <c r="D4784" i="2"/>
  <c r="D4785" i="2"/>
  <c r="D4786" i="2"/>
  <c r="D4787" i="2"/>
  <c r="D4788" i="2"/>
  <c r="D4789" i="2"/>
  <c r="D4790" i="2"/>
  <c r="D4791" i="2"/>
  <c r="D4792" i="2"/>
  <c r="D4793" i="2"/>
  <c r="D4794" i="2"/>
  <c r="D4795" i="2"/>
  <c r="D4796" i="2"/>
  <c r="D4797" i="2"/>
  <c r="D4798" i="2"/>
  <c r="D4799" i="2"/>
  <c r="D4800" i="2"/>
  <c r="D4801" i="2"/>
  <c r="D4802" i="2"/>
  <c r="D4803" i="2"/>
  <c r="D4804" i="2"/>
  <c r="D4805" i="2"/>
  <c r="D4806" i="2"/>
  <c r="D4807" i="2"/>
  <c r="D4808" i="2"/>
  <c r="D4809" i="2"/>
  <c r="D4810" i="2"/>
  <c r="D4811" i="2"/>
  <c r="D4812" i="2"/>
  <c r="D4813" i="2"/>
  <c r="D4814" i="2"/>
  <c r="D4815" i="2"/>
  <c r="D4816" i="2"/>
  <c r="D4817" i="2"/>
  <c r="D4818" i="2"/>
  <c r="D4819" i="2"/>
  <c r="D4820" i="2"/>
  <c r="D4821" i="2"/>
  <c r="D4822" i="2"/>
  <c r="D4823" i="2"/>
  <c r="D4824" i="2"/>
  <c r="D4825" i="2"/>
  <c r="D4826" i="2"/>
  <c r="D4827" i="2"/>
  <c r="D4828" i="2"/>
  <c r="D4829" i="2"/>
  <c r="D4830" i="2"/>
  <c r="D4831" i="2"/>
  <c r="D4832" i="2"/>
  <c r="D4833" i="2"/>
  <c r="D4834" i="2"/>
  <c r="D4835" i="2"/>
  <c r="D4836" i="2"/>
  <c r="D4837" i="2"/>
  <c r="D4838" i="2"/>
  <c r="D4839" i="2"/>
  <c r="D4840" i="2"/>
  <c r="D4841" i="2"/>
  <c r="D4842" i="2"/>
  <c r="D4843" i="2"/>
  <c r="D4844" i="2"/>
  <c r="D4845" i="2"/>
  <c r="D4846" i="2"/>
  <c r="D4847" i="2"/>
  <c r="D4848" i="2"/>
  <c r="D4849" i="2"/>
  <c r="D4850" i="2"/>
  <c r="D4851" i="2"/>
  <c r="D4852" i="2"/>
  <c r="D4853" i="2"/>
  <c r="D4854" i="2"/>
  <c r="D4855" i="2"/>
  <c r="D4856" i="2"/>
  <c r="D4857" i="2"/>
  <c r="D4858" i="2"/>
  <c r="D4859" i="2"/>
  <c r="D4860" i="2"/>
  <c r="D4861" i="2"/>
  <c r="D4862" i="2"/>
  <c r="D4863" i="2"/>
  <c r="D4864" i="2"/>
  <c r="D4865" i="2"/>
  <c r="D4866" i="2"/>
  <c r="D4867" i="2"/>
  <c r="D4868" i="2"/>
  <c r="D4869" i="2"/>
  <c r="D4870" i="2"/>
  <c r="D4871" i="2"/>
  <c r="D4872" i="2"/>
  <c r="D4873" i="2"/>
  <c r="D4874" i="2"/>
  <c r="D4875" i="2"/>
  <c r="D4876" i="2"/>
  <c r="D4877" i="2"/>
  <c r="D4878" i="2"/>
  <c r="D4879" i="2"/>
  <c r="D4880" i="2"/>
  <c r="D4881" i="2"/>
  <c r="D4882" i="2"/>
  <c r="D4883" i="2"/>
  <c r="D4884" i="2"/>
  <c r="D4885" i="2"/>
  <c r="D4886" i="2"/>
  <c r="D4887" i="2"/>
  <c r="D4888" i="2"/>
  <c r="D4889" i="2"/>
  <c r="D4890" i="2"/>
  <c r="D4891" i="2"/>
  <c r="D4892" i="2"/>
  <c r="D4893" i="2"/>
  <c r="D4894" i="2"/>
  <c r="D4895" i="2"/>
  <c r="D4896" i="2"/>
  <c r="D4897" i="2"/>
  <c r="D4898" i="2"/>
  <c r="D4899" i="2"/>
  <c r="D4900" i="2"/>
  <c r="D4901" i="2"/>
  <c r="D4902" i="2"/>
  <c r="D4903" i="2"/>
  <c r="D4904" i="2"/>
  <c r="D4905" i="2"/>
  <c r="D4906" i="2"/>
  <c r="D4907" i="2"/>
  <c r="D4908" i="2"/>
  <c r="D4909" i="2"/>
  <c r="D4910" i="2"/>
  <c r="D4911" i="2"/>
  <c r="D4912" i="2"/>
  <c r="D4913" i="2"/>
  <c r="D4914" i="2"/>
  <c r="D4915" i="2"/>
  <c r="D4916" i="2"/>
  <c r="D4917" i="2"/>
  <c r="D4918" i="2"/>
  <c r="D4919" i="2"/>
  <c r="D4920" i="2"/>
  <c r="D4921" i="2"/>
  <c r="D4922" i="2"/>
  <c r="D4923" i="2"/>
  <c r="D4924" i="2"/>
  <c r="D4925" i="2"/>
  <c r="D4926" i="2"/>
  <c r="D4927" i="2"/>
  <c r="D4928" i="2"/>
  <c r="D4929" i="2"/>
  <c r="D4930" i="2"/>
  <c r="D4931" i="2"/>
  <c r="D4932" i="2"/>
  <c r="D4933" i="2"/>
  <c r="D4934" i="2"/>
  <c r="D4935" i="2"/>
  <c r="D4936" i="2"/>
  <c r="D4937" i="2"/>
  <c r="D4938" i="2"/>
  <c r="D4939" i="2"/>
  <c r="D4940" i="2"/>
  <c r="D4941" i="2"/>
  <c r="D4942" i="2"/>
  <c r="D4943" i="2"/>
  <c r="D4944" i="2"/>
  <c r="D4945" i="2"/>
  <c r="D4946" i="2"/>
  <c r="D4947" i="2"/>
  <c r="D4948" i="2"/>
  <c r="D4949" i="2"/>
  <c r="D4950" i="2"/>
  <c r="D4951" i="2"/>
  <c r="D4952" i="2"/>
  <c r="D4953" i="2"/>
  <c r="D4954" i="2"/>
  <c r="D4955" i="2"/>
  <c r="D4956" i="2"/>
  <c r="D4957" i="2"/>
  <c r="D4958" i="2"/>
  <c r="D4959" i="2"/>
  <c r="D4960" i="2"/>
  <c r="D4961" i="2"/>
  <c r="D4962" i="2"/>
  <c r="D4963" i="2"/>
  <c r="D4964" i="2"/>
  <c r="D4965" i="2"/>
  <c r="D4966" i="2"/>
  <c r="D4967" i="2"/>
  <c r="D4968" i="2"/>
  <c r="D4969" i="2"/>
  <c r="D4970" i="2"/>
  <c r="D4971" i="2"/>
  <c r="D4972" i="2"/>
  <c r="D4973" i="2"/>
  <c r="D4974" i="2"/>
  <c r="D4975" i="2"/>
  <c r="D4976" i="2"/>
  <c r="D4977" i="2"/>
  <c r="D4978" i="2"/>
  <c r="D4979" i="2"/>
  <c r="D4980" i="2"/>
  <c r="D4981" i="2"/>
  <c r="D4982" i="2"/>
  <c r="D4983" i="2"/>
  <c r="D4984" i="2"/>
  <c r="D4985" i="2"/>
  <c r="D4986" i="2"/>
  <c r="D4987" i="2"/>
  <c r="D4988" i="2"/>
  <c r="D4989" i="2"/>
  <c r="D4990" i="2"/>
  <c r="D4991" i="2"/>
  <c r="D4992" i="2"/>
  <c r="D4993" i="2"/>
  <c r="D4994" i="2"/>
  <c r="D4995" i="2"/>
  <c r="D4996" i="2"/>
  <c r="D4997" i="2"/>
  <c r="D4998" i="2"/>
  <c r="D4999" i="2"/>
  <c r="D5000" i="2"/>
  <c r="D5001" i="2"/>
  <c r="D5002" i="2"/>
  <c r="D5003" i="2"/>
  <c r="D5004" i="2"/>
  <c r="D5005" i="2"/>
  <c r="D5006" i="2"/>
  <c r="D5007" i="2"/>
  <c r="D5008" i="2"/>
  <c r="D5009" i="2"/>
  <c r="D5010" i="2"/>
  <c r="D5011" i="2"/>
  <c r="D5012" i="2"/>
  <c r="D5013" i="2"/>
  <c r="D5014" i="2"/>
  <c r="D5015" i="2"/>
  <c r="D5016" i="2"/>
  <c r="D5017" i="2"/>
  <c r="D5018" i="2"/>
  <c r="D5019" i="2"/>
  <c r="D5020" i="2"/>
  <c r="D5021" i="2"/>
  <c r="D5022" i="2"/>
  <c r="D5023" i="2"/>
  <c r="D5024" i="2"/>
  <c r="D5025" i="2"/>
  <c r="D5026" i="2"/>
  <c r="D5027" i="2"/>
  <c r="D5028" i="2"/>
  <c r="D5029" i="2"/>
  <c r="D5030" i="2"/>
  <c r="D5031" i="2"/>
  <c r="D5032" i="2"/>
  <c r="D5033" i="2"/>
  <c r="D5034" i="2"/>
  <c r="D5035" i="2"/>
  <c r="D5036" i="2"/>
  <c r="D5037" i="2"/>
  <c r="D5038" i="2"/>
  <c r="D5039" i="2"/>
  <c r="D5040" i="2"/>
  <c r="D5041" i="2"/>
  <c r="D5042" i="2"/>
  <c r="D5043" i="2"/>
  <c r="D5044" i="2"/>
  <c r="D5045" i="2"/>
  <c r="D5046" i="2"/>
  <c r="D5047" i="2"/>
  <c r="D5048" i="2"/>
  <c r="D5049" i="2"/>
  <c r="D5050" i="2"/>
  <c r="D5051" i="2"/>
  <c r="D5052" i="2"/>
  <c r="D5053" i="2"/>
  <c r="D5054" i="2"/>
  <c r="D5055" i="2"/>
  <c r="D5056" i="2"/>
  <c r="D5057" i="2"/>
  <c r="D5058" i="2"/>
  <c r="D5059" i="2"/>
  <c r="D5060" i="2"/>
  <c r="D5061" i="2"/>
  <c r="D5062" i="2"/>
  <c r="D5063" i="2"/>
  <c r="D5064" i="2"/>
  <c r="D5065" i="2"/>
  <c r="D5066" i="2"/>
  <c r="D5067" i="2"/>
  <c r="D5068" i="2"/>
  <c r="D5069" i="2"/>
  <c r="D5070" i="2"/>
  <c r="D5071" i="2"/>
  <c r="D5072" i="2"/>
  <c r="D5073" i="2"/>
  <c r="D5074" i="2"/>
  <c r="D5075" i="2"/>
  <c r="D5076" i="2"/>
  <c r="D5077" i="2"/>
  <c r="D5078" i="2"/>
  <c r="D5079" i="2"/>
  <c r="D5080" i="2"/>
  <c r="D5081" i="2"/>
  <c r="D5082" i="2"/>
  <c r="D5083" i="2"/>
  <c r="D5084" i="2"/>
  <c r="D5085" i="2"/>
  <c r="D5086" i="2"/>
  <c r="D5087" i="2"/>
  <c r="D5088" i="2"/>
  <c r="D5089" i="2"/>
  <c r="D5090" i="2"/>
  <c r="D5091" i="2"/>
  <c r="D5092" i="2"/>
  <c r="D5093" i="2"/>
  <c r="D5094" i="2"/>
  <c r="D5095" i="2"/>
  <c r="D5096" i="2"/>
  <c r="D5097" i="2"/>
  <c r="D5098" i="2"/>
  <c r="D5099" i="2"/>
  <c r="D5100" i="2"/>
  <c r="D5101" i="2"/>
  <c r="D5102" i="2"/>
  <c r="D5103" i="2"/>
  <c r="D5104" i="2"/>
  <c r="D5105" i="2"/>
  <c r="D5106" i="2"/>
  <c r="D5107" i="2"/>
  <c r="D5108" i="2"/>
  <c r="D5109" i="2"/>
  <c r="D5110" i="2"/>
  <c r="D5111" i="2"/>
  <c r="D5112" i="2"/>
  <c r="D5113" i="2"/>
  <c r="D5114" i="2"/>
  <c r="D5115" i="2"/>
  <c r="D5116" i="2"/>
  <c r="D5117" i="2"/>
  <c r="D5118" i="2"/>
  <c r="D5119" i="2"/>
  <c r="D5120" i="2"/>
  <c r="D5121" i="2"/>
  <c r="D5122" i="2"/>
  <c r="D5123" i="2"/>
  <c r="D5124" i="2"/>
  <c r="D5125" i="2"/>
  <c r="D5126" i="2"/>
  <c r="D5127" i="2"/>
  <c r="D5128" i="2"/>
  <c r="D5129" i="2"/>
  <c r="D5130" i="2"/>
  <c r="D5131" i="2"/>
  <c r="D5132" i="2"/>
  <c r="D5133" i="2"/>
  <c r="D5134" i="2"/>
  <c r="D5135" i="2"/>
  <c r="D5136" i="2"/>
  <c r="D5137" i="2"/>
  <c r="D5138" i="2"/>
  <c r="D5139" i="2"/>
  <c r="D5140" i="2"/>
  <c r="D5141" i="2"/>
  <c r="D5142" i="2"/>
  <c r="D5143" i="2"/>
  <c r="D5144" i="2"/>
  <c r="D5145" i="2"/>
  <c r="D5146" i="2"/>
  <c r="D5147" i="2"/>
  <c r="D5148" i="2"/>
  <c r="D5149" i="2"/>
  <c r="D5150" i="2"/>
  <c r="D5151" i="2"/>
  <c r="D5152" i="2"/>
  <c r="D5153" i="2"/>
  <c r="D5154" i="2"/>
  <c r="D5155" i="2"/>
  <c r="D5156" i="2"/>
  <c r="D5157" i="2"/>
  <c r="D5158" i="2"/>
  <c r="D5159" i="2"/>
  <c r="D5160" i="2"/>
  <c r="D5161" i="2"/>
  <c r="D5162" i="2"/>
  <c r="D5163" i="2"/>
  <c r="D5164" i="2"/>
  <c r="D5165" i="2"/>
  <c r="D5166" i="2"/>
  <c r="D5167" i="2"/>
  <c r="D5168" i="2"/>
  <c r="D5169" i="2"/>
  <c r="D5170" i="2"/>
  <c r="D5171" i="2"/>
  <c r="D5172" i="2"/>
  <c r="D5173" i="2"/>
  <c r="D5174" i="2"/>
  <c r="D5175" i="2"/>
  <c r="D5176" i="2"/>
  <c r="D5177" i="2"/>
  <c r="D5178" i="2"/>
  <c r="D5179" i="2"/>
  <c r="D5180" i="2"/>
  <c r="D5181" i="2"/>
  <c r="D5182" i="2"/>
  <c r="D5183" i="2"/>
  <c r="D5184" i="2"/>
  <c r="D5185" i="2"/>
  <c r="D5186" i="2"/>
  <c r="D5187" i="2"/>
  <c r="D5188" i="2"/>
  <c r="D5189" i="2"/>
  <c r="D5190" i="2"/>
  <c r="D5191" i="2"/>
  <c r="D5192" i="2"/>
  <c r="D5193" i="2"/>
  <c r="D5194" i="2"/>
  <c r="D5195" i="2"/>
  <c r="D5196" i="2"/>
  <c r="D5197" i="2"/>
  <c r="D5198" i="2"/>
  <c r="D5199" i="2"/>
  <c r="D5200" i="2"/>
  <c r="D5201" i="2"/>
  <c r="D5202" i="2"/>
  <c r="D5203" i="2"/>
  <c r="D5204" i="2"/>
  <c r="D5205" i="2"/>
  <c r="D5206" i="2"/>
  <c r="D5207" i="2"/>
  <c r="D5208" i="2"/>
  <c r="D5209" i="2"/>
  <c r="D5210" i="2"/>
  <c r="D5211" i="2"/>
  <c r="D5212" i="2"/>
  <c r="D5213" i="2"/>
  <c r="D5214" i="2"/>
  <c r="D5215" i="2"/>
  <c r="D5216" i="2"/>
  <c r="D5217" i="2"/>
  <c r="D5218" i="2"/>
  <c r="D5219" i="2"/>
  <c r="D5220" i="2"/>
  <c r="D5221" i="2"/>
  <c r="D5222" i="2"/>
  <c r="D5223" i="2"/>
  <c r="D5224" i="2"/>
  <c r="D5225" i="2"/>
  <c r="D5226" i="2"/>
  <c r="D5227" i="2"/>
  <c r="D5228" i="2"/>
  <c r="D5229" i="2"/>
  <c r="D5230" i="2"/>
  <c r="D5231" i="2"/>
  <c r="D5232" i="2"/>
  <c r="D5233" i="2"/>
  <c r="D5234" i="2"/>
  <c r="D5235" i="2"/>
  <c r="D5236" i="2"/>
  <c r="D5237" i="2"/>
  <c r="D5238" i="2"/>
  <c r="D5239" i="2"/>
  <c r="D5240" i="2"/>
  <c r="D5241" i="2"/>
  <c r="D5242" i="2"/>
  <c r="D5243" i="2"/>
  <c r="D5244" i="2"/>
  <c r="D5245" i="2"/>
  <c r="D5246" i="2"/>
  <c r="D5247" i="2"/>
  <c r="D5248" i="2"/>
  <c r="D5249" i="2"/>
  <c r="D5250" i="2"/>
  <c r="D5251" i="2"/>
  <c r="D5252" i="2"/>
  <c r="D5253" i="2"/>
  <c r="D5254" i="2"/>
  <c r="D5255" i="2"/>
  <c r="D5256" i="2"/>
  <c r="D5257" i="2"/>
  <c r="D5258" i="2"/>
  <c r="D5259" i="2"/>
  <c r="D5260" i="2"/>
  <c r="D5261" i="2"/>
  <c r="D5262" i="2"/>
  <c r="D5263" i="2"/>
  <c r="D5264" i="2"/>
  <c r="D5265" i="2"/>
  <c r="D5266" i="2"/>
  <c r="D5267" i="2"/>
  <c r="D5268" i="2"/>
  <c r="D5269" i="2"/>
  <c r="D5270" i="2"/>
  <c r="D5271" i="2"/>
  <c r="D5272" i="2"/>
  <c r="D5273" i="2"/>
  <c r="D5274" i="2"/>
  <c r="D5275" i="2"/>
  <c r="D5276" i="2"/>
  <c r="D5277" i="2"/>
  <c r="D5278" i="2"/>
  <c r="D5279" i="2"/>
  <c r="D5280" i="2"/>
  <c r="D5281" i="2"/>
  <c r="D5282" i="2"/>
  <c r="D5283" i="2"/>
  <c r="D5284" i="2"/>
  <c r="D5285" i="2"/>
  <c r="D5286" i="2"/>
  <c r="D5287" i="2"/>
  <c r="D5288" i="2"/>
  <c r="D5289" i="2"/>
  <c r="D5290" i="2"/>
  <c r="D5291" i="2"/>
  <c r="D5292" i="2"/>
  <c r="D5293" i="2"/>
  <c r="D5294" i="2"/>
  <c r="D5295" i="2"/>
  <c r="D5296" i="2"/>
  <c r="D5297" i="2"/>
  <c r="D5298" i="2"/>
  <c r="D5299" i="2"/>
  <c r="D5300" i="2"/>
  <c r="D5301" i="2"/>
  <c r="D5302" i="2"/>
  <c r="D5303" i="2"/>
  <c r="D5304" i="2"/>
  <c r="D5305" i="2"/>
  <c r="D5306" i="2"/>
  <c r="D5307" i="2"/>
  <c r="D5308" i="2"/>
  <c r="D5309" i="2"/>
  <c r="D5310" i="2"/>
  <c r="D5311" i="2"/>
  <c r="D5312" i="2"/>
  <c r="D5313" i="2"/>
  <c r="D5314" i="2"/>
  <c r="D5315" i="2"/>
  <c r="D5316" i="2"/>
  <c r="D5317" i="2"/>
  <c r="D5318" i="2"/>
  <c r="D5319" i="2"/>
  <c r="D5320" i="2"/>
  <c r="D5321" i="2"/>
  <c r="D5322" i="2"/>
  <c r="D5323" i="2"/>
  <c r="D5324" i="2"/>
  <c r="D5325" i="2"/>
  <c r="D5326" i="2"/>
  <c r="D5327" i="2"/>
  <c r="D5328" i="2"/>
  <c r="D5329" i="2"/>
  <c r="D5330" i="2"/>
  <c r="D5331" i="2"/>
  <c r="D5332" i="2"/>
  <c r="D5333" i="2"/>
  <c r="D5334" i="2"/>
  <c r="D5335" i="2"/>
  <c r="D5336" i="2"/>
  <c r="D5337" i="2"/>
  <c r="D5338" i="2"/>
  <c r="D5339" i="2"/>
  <c r="D5340" i="2"/>
  <c r="D5341" i="2"/>
  <c r="D5342" i="2"/>
  <c r="D5343" i="2"/>
  <c r="D5344" i="2"/>
  <c r="D5345" i="2"/>
  <c r="D5346" i="2"/>
  <c r="D5347" i="2"/>
  <c r="D5348" i="2"/>
  <c r="D5349" i="2"/>
  <c r="D5350" i="2"/>
  <c r="D5351" i="2"/>
  <c r="D5352" i="2"/>
  <c r="D5353" i="2"/>
  <c r="D5354" i="2"/>
  <c r="D5355" i="2"/>
  <c r="D5356" i="2"/>
  <c r="D5357" i="2"/>
  <c r="D5358" i="2"/>
  <c r="D5359" i="2"/>
  <c r="D5360" i="2"/>
  <c r="D5361" i="2"/>
  <c r="D5362" i="2"/>
  <c r="D5363" i="2"/>
  <c r="D5364" i="2"/>
  <c r="D5365" i="2"/>
  <c r="D5366" i="2"/>
  <c r="D5367" i="2"/>
  <c r="D5368" i="2"/>
  <c r="D5369" i="2"/>
  <c r="D5370" i="2"/>
  <c r="D5371" i="2"/>
  <c r="D5372" i="2"/>
  <c r="D5373" i="2"/>
  <c r="D5374" i="2"/>
  <c r="D5375" i="2"/>
  <c r="D5376" i="2"/>
  <c r="D5377" i="2"/>
  <c r="D5378" i="2"/>
  <c r="D5379" i="2"/>
  <c r="D5380" i="2"/>
  <c r="D5381" i="2"/>
  <c r="D5382" i="2"/>
  <c r="D5383" i="2"/>
  <c r="D5384" i="2"/>
  <c r="D5385" i="2"/>
  <c r="D5386" i="2"/>
  <c r="D5387" i="2"/>
  <c r="D5388" i="2"/>
  <c r="D5389" i="2"/>
  <c r="D5390" i="2"/>
  <c r="D5391" i="2"/>
  <c r="D5392" i="2"/>
  <c r="D5393" i="2"/>
  <c r="D5394" i="2"/>
  <c r="D5395" i="2"/>
  <c r="D5396" i="2"/>
  <c r="D5397" i="2"/>
  <c r="D5398" i="2"/>
  <c r="D5399" i="2"/>
  <c r="D5400" i="2"/>
  <c r="D5401" i="2"/>
  <c r="D5402" i="2"/>
  <c r="D5403" i="2"/>
  <c r="D5404" i="2"/>
  <c r="D5405" i="2"/>
  <c r="D5406" i="2"/>
  <c r="D5407" i="2"/>
  <c r="D5408" i="2"/>
  <c r="D5409" i="2"/>
  <c r="D5410" i="2"/>
  <c r="D5411" i="2"/>
  <c r="D5412" i="2"/>
  <c r="D5413" i="2"/>
  <c r="D5414" i="2"/>
  <c r="D5415" i="2"/>
  <c r="D5416" i="2"/>
  <c r="D5417" i="2"/>
  <c r="D5418" i="2"/>
  <c r="D5419" i="2"/>
  <c r="D5420" i="2"/>
  <c r="D5421" i="2"/>
  <c r="D5422" i="2"/>
  <c r="D5423" i="2"/>
  <c r="D5424" i="2"/>
  <c r="D5425" i="2"/>
  <c r="D5426" i="2"/>
  <c r="D5427" i="2"/>
  <c r="D5428" i="2"/>
  <c r="D5429" i="2"/>
  <c r="D5430" i="2"/>
  <c r="D5431" i="2"/>
  <c r="D5432" i="2"/>
  <c r="D5433" i="2"/>
  <c r="D5434" i="2"/>
  <c r="D5435" i="2"/>
  <c r="D5436" i="2"/>
  <c r="D5437" i="2"/>
  <c r="D5438" i="2"/>
  <c r="D5439" i="2"/>
  <c r="D5440" i="2"/>
  <c r="D5441" i="2"/>
  <c r="D5442" i="2"/>
  <c r="D5443" i="2"/>
  <c r="D5444" i="2"/>
  <c r="D5445" i="2"/>
  <c r="D5446" i="2"/>
  <c r="D5447" i="2"/>
  <c r="D5448" i="2"/>
  <c r="D5449" i="2"/>
  <c r="D5450" i="2"/>
  <c r="D5451" i="2"/>
  <c r="D5452" i="2"/>
  <c r="D5453" i="2"/>
  <c r="D5454" i="2"/>
  <c r="D5455" i="2"/>
  <c r="D5456" i="2"/>
  <c r="D5457" i="2"/>
  <c r="D5458" i="2"/>
  <c r="D5459" i="2"/>
  <c r="D5460" i="2"/>
  <c r="D5461" i="2"/>
  <c r="D5462" i="2"/>
  <c r="D5463" i="2"/>
  <c r="D5464" i="2"/>
  <c r="D5465" i="2"/>
  <c r="D5466" i="2"/>
  <c r="D5467" i="2"/>
  <c r="D5468" i="2"/>
  <c r="D5469" i="2"/>
  <c r="D5470" i="2"/>
  <c r="D5471" i="2"/>
  <c r="D5472" i="2"/>
  <c r="D5473" i="2"/>
  <c r="D5474" i="2"/>
  <c r="D5475" i="2"/>
  <c r="D5476" i="2"/>
  <c r="D5477" i="2"/>
  <c r="D5478" i="2"/>
  <c r="D5479" i="2"/>
  <c r="D5480" i="2"/>
  <c r="D5481" i="2"/>
  <c r="D5482" i="2"/>
  <c r="D5483" i="2"/>
  <c r="D5484" i="2"/>
  <c r="D5485" i="2"/>
  <c r="D5486" i="2"/>
  <c r="D5487" i="2"/>
  <c r="D5488" i="2"/>
  <c r="D5489" i="2"/>
  <c r="D5490" i="2"/>
  <c r="D5491" i="2"/>
  <c r="D5492" i="2"/>
  <c r="D5493" i="2"/>
  <c r="D5494" i="2"/>
  <c r="D5495" i="2"/>
  <c r="D5496" i="2"/>
  <c r="D5497" i="2"/>
  <c r="D5498" i="2"/>
  <c r="D5499" i="2"/>
  <c r="D5500" i="2"/>
  <c r="D5501" i="2"/>
  <c r="D5502" i="2"/>
  <c r="D5503" i="2"/>
  <c r="D5504" i="2"/>
  <c r="D5505" i="2"/>
  <c r="D5506" i="2"/>
  <c r="D5507" i="2"/>
  <c r="D5508" i="2"/>
  <c r="D5509" i="2"/>
  <c r="D5510" i="2"/>
  <c r="D5511" i="2"/>
  <c r="D5512" i="2"/>
  <c r="D5513" i="2"/>
  <c r="D5514" i="2"/>
  <c r="D5515" i="2"/>
  <c r="D5516" i="2"/>
  <c r="D5517" i="2"/>
  <c r="D5518" i="2"/>
  <c r="D5519" i="2"/>
  <c r="D5520" i="2"/>
  <c r="D5521" i="2"/>
  <c r="D5522" i="2"/>
  <c r="D5523" i="2"/>
  <c r="D5524" i="2"/>
  <c r="D5525" i="2"/>
  <c r="D5526" i="2"/>
  <c r="D5527" i="2"/>
  <c r="D5528" i="2"/>
  <c r="D5529" i="2"/>
  <c r="D5530" i="2"/>
  <c r="D5531" i="2"/>
  <c r="D5532" i="2"/>
  <c r="D5533" i="2"/>
  <c r="D5534" i="2"/>
  <c r="D5535" i="2"/>
  <c r="D5536" i="2"/>
  <c r="D5537" i="2"/>
  <c r="D5538" i="2"/>
  <c r="D5539" i="2"/>
  <c r="D5540" i="2"/>
  <c r="D5541" i="2"/>
  <c r="D5542" i="2"/>
  <c r="D5543" i="2"/>
  <c r="D5544" i="2"/>
  <c r="D5545" i="2"/>
  <c r="D5546" i="2"/>
  <c r="D5547" i="2"/>
  <c r="D5548" i="2"/>
  <c r="D5549" i="2"/>
  <c r="D5550" i="2"/>
  <c r="D5551" i="2"/>
  <c r="D5552" i="2"/>
  <c r="D5553" i="2"/>
  <c r="D5554" i="2"/>
  <c r="D5555" i="2"/>
  <c r="D5556" i="2"/>
  <c r="D5557" i="2"/>
  <c r="D5558" i="2"/>
  <c r="D5559" i="2"/>
  <c r="D5560" i="2"/>
  <c r="D5561" i="2"/>
  <c r="D5562" i="2"/>
  <c r="D5563" i="2"/>
  <c r="D5564" i="2"/>
  <c r="D5565" i="2"/>
  <c r="D5566" i="2"/>
  <c r="D5567" i="2"/>
  <c r="D5568" i="2"/>
  <c r="D5569" i="2"/>
  <c r="D5570" i="2"/>
  <c r="D5571" i="2"/>
  <c r="D5572" i="2"/>
  <c r="D5573" i="2"/>
  <c r="D5574" i="2"/>
  <c r="D5575" i="2"/>
  <c r="D5576" i="2"/>
  <c r="D5577" i="2"/>
  <c r="D5578" i="2"/>
  <c r="D5579" i="2"/>
  <c r="D5580" i="2"/>
  <c r="D5581" i="2"/>
  <c r="D5582" i="2"/>
  <c r="D5583" i="2"/>
  <c r="D5584" i="2"/>
  <c r="D5585" i="2"/>
  <c r="D5586" i="2"/>
  <c r="D5587" i="2"/>
  <c r="D5588" i="2"/>
  <c r="D5589" i="2"/>
  <c r="D5590" i="2"/>
  <c r="D5591" i="2"/>
  <c r="D5592" i="2"/>
  <c r="D5593" i="2"/>
  <c r="D5594" i="2"/>
  <c r="D5595" i="2"/>
  <c r="D5596" i="2"/>
  <c r="D5597" i="2"/>
  <c r="D5598" i="2"/>
  <c r="D5599" i="2"/>
  <c r="D5600" i="2"/>
  <c r="D5601" i="2"/>
  <c r="D5602" i="2"/>
  <c r="D5603" i="2"/>
  <c r="D5604" i="2"/>
  <c r="D5605" i="2"/>
  <c r="D5606" i="2"/>
  <c r="D5607" i="2"/>
  <c r="D5608" i="2"/>
  <c r="D5609" i="2"/>
  <c r="D5610" i="2"/>
  <c r="D5611" i="2"/>
  <c r="D5612" i="2"/>
  <c r="D5613" i="2"/>
  <c r="D5614" i="2"/>
  <c r="D5615" i="2"/>
  <c r="D5616" i="2"/>
  <c r="D5617" i="2"/>
  <c r="D5618" i="2"/>
  <c r="D5619" i="2"/>
  <c r="D5620" i="2"/>
  <c r="D5621" i="2"/>
  <c r="D5622" i="2"/>
  <c r="D5623" i="2"/>
  <c r="D5624" i="2"/>
  <c r="D5625" i="2"/>
  <c r="D5626" i="2"/>
  <c r="D5627" i="2"/>
  <c r="D5628" i="2"/>
  <c r="D5629" i="2"/>
  <c r="D5630" i="2"/>
  <c r="D5631" i="2"/>
  <c r="D5632" i="2"/>
  <c r="D5633" i="2"/>
  <c r="D5634" i="2"/>
  <c r="D5635" i="2"/>
  <c r="D5636" i="2"/>
  <c r="D5637" i="2"/>
  <c r="D5638" i="2"/>
  <c r="D5639" i="2"/>
  <c r="D5640" i="2"/>
  <c r="D5641" i="2"/>
  <c r="D5642" i="2"/>
  <c r="D5643" i="2"/>
  <c r="D5644" i="2"/>
  <c r="D5645" i="2"/>
  <c r="D5646" i="2"/>
  <c r="D5647" i="2"/>
  <c r="D5648" i="2"/>
  <c r="D5649" i="2"/>
  <c r="D5650" i="2"/>
  <c r="D5651" i="2"/>
  <c r="D5652" i="2"/>
  <c r="D5653" i="2"/>
  <c r="D5654" i="2"/>
  <c r="D5655" i="2"/>
  <c r="D5656" i="2"/>
  <c r="D5657" i="2"/>
  <c r="D5658" i="2"/>
  <c r="D5659" i="2"/>
  <c r="D5660" i="2"/>
  <c r="D5661" i="2"/>
  <c r="D5662" i="2"/>
  <c r="D5663" i="2"/>
  <c r="D5664" i="2"/>
  <c r="D5665" i="2"/>
  <c r="D5666" i="2"/>
  <c r="D5667" i="2"/>
  <c r="D5668" i="2"/>
  <c r="D5669" i="2"/>
  <c r="D5670" i="2"/>
  <c r="D5671" i="2"/>
  <c r="D5672" i="2"/>
  <c r="D5673" i="2"/>
  <c r="D5674" i="2"/>
  <c r="D5675" i="2"/>
  <c r="D5676" i="2"/>
  <c r="D5677" i="2"/>
  <c r="D5678" i="2"/>
  <c r="D5679" i="2"/>
  <c r="D5680" i="2"/>
  <c r="D5681" i="2"/>
  <c r="D5682" i="2"/>
  <c r="D5683" i="2"/>
  <c r="D5684" i="2"/>
  <c r="D5685" i="2"/>
  <c r="D5686" i="2"/>
  <c r="D5687" i="2"/>
  <c r="D5688" i="2"/>
  <c r="D5689" i="2"/>
  <c r="D5690" i="2"/>
  <c r="D5691" i="2"/>
  <c r="D5692" i="2"/>
  <c r="D5693" i="2"/>
  <c r="D5694" i="2"/>
  <c r="D5695" i="2"/>
  <c r="D5696" i="2"/>
  <c r="D5697" i="2"/>
  <c r="D5698" i="2"/>
  <c r="D5699" i="2"/>
  <c r="D5700" i="2"/>
  <c r="D5701" i="2"/>
  <c r="D5702" i="2"/>
  <c r="D5703" i="2"/>
  <c r="D5704" i="2"/>
  <c r="D5705" i="2"/>
  <c r="D5706" i="2"/>
  <c r="D5707" i="2"/>
  <c r="D5708" i="2"/>
  <c r="D5709" i="2"/>
  <c r="D5710" i="2"/>
  <c r="D5711" i="2"/>
  <c r="D5712" i="2"/>
  <c r="D5713" i="2"/>
  <c r="D5714" i="2"/>
  <c r="D5715" i="2"/>
  <c r="D5716" i="2"/>
  <c r="D5717" i="2"/>
  <c r="D5718" i="2"/>
  <c r="D5719" i="2"/>
  <c r="D5720" i="2"/>
  <c r="D5721" i="2"/>
  <c r="D5722" i="2"/>
  <c r="D5723" i="2"/>
  <c r="D5724" i="2"/>
  <c r="D5725" i="2"/>
  <c r="D5726" i="2"/>
  <c r="D5727" i="2"/>
  <c r="D5728" i="2"/>
  <c r="D5729" i="2"/>
  <c r="D5730" i="2"/>
  <c r="D5731" i="2"/>
  <c r="D5732" i="2"/>
  <c r="D5733" i="2"/>
  <c r="D5734" i="2"/>
  <c r="D5735" i="2"/>
  <c r="D5736" i="2"/>
  <c r="D5737" i="2"/>
  <c r="D5738" i="2"/>
  <c r="D5739" i="2"/>
  <c r="D5740" i="2"/>
  <c r="D5741" i="2"/>
  <c r="D5742" i="2"/>
  <c r="D5743" i="2"/>
  <c r="D5744" i="2"/>
  <c r="D5745" i="2"/>
  <c r="D5746" i="2"/>
  <c r="D5747" i="2"/>
  <c r="D5748" i="2"/>
  <c r="D5749" i="2"/>
  <c r="D5750" i="2"/>
  <c r="D5751" i="2"/>
  <c r="D5752" i="2"/>
  <c r="D5753" i="2"/>
  <c r="D5754" i="2"/>
  <c r="D5755" i="2"/>
  <c r="D5756" i="2"/>
  <c r="D5757" i="2"/>
  <c r="D5758" i="2"/>
  <c r="D5759" i="2"/>
  <c r="D5760" i="2"/>
  <c r="D5761" i="2"/>
  <c r="D5762" i="2"/>
  <c r="D5763" i="2"/>
  <c r="D5764" i="2"/>
  <c r="D5765" i="2"/>
  <c r="D5766" i="2"/>
  <c r="D5767" i="2"/>
  <c r="D5768" i="2"/>
  <c r="D5769" i="2"/>
  <c r="D5770" i="2"/>
  <c r="D5771" i="2"/>
  <c r="D5772" i="2"/>
  <c r="D5773" i="2"/>
  <c r="D5774" i="2"/>
  <c r="D5775" i="2"/>
  <c r="D5776" i="2"/>
  <c r="D5777" i="2"/>
  <c r="D5778" i="2"/>
  <c r="D5779" i="2"/>
  <c r="D5780" i="2"/>
  <c r="D5781" i="2"/>
  <c r="D5782" i="2"/>
  <c r="D5783" i="2"/>
  <c r="D5784" i="2"/>
  <c r="D5785" i="2"/>
  <c r="D5786" i="2"/>
  <c r="D5787" i="2"/>
  <c r="D5788" i="2"/>
  <c r="D5789" i="2"/>
  <c r="D5790" i="2"/>
  <c r="D5791" i="2"/>
  <c r="D5792" i="2"/>
  <c r="D5793" i="2"/>
  <c r="D5794" i="2"/>
  <c r="D5795" i="2"/>
  <c r="D5796" i="2"/>
  <c r="D5797" i="2"/>
  <c r="D5798" i="2"/>
  <c r="D5799" i="2"/>
  <c r="D5800" i="2"/>
  <c r="D5801" i="2"/>
  <c r="D5802" i="2"/>
  <c r="D5803" i="2"/>
  <c r="D5804" i="2"/>
  <c r="D5805" i="2"/>
  <c r="D5806" i="2"/>
  <c r="D5807" i="2"/>
  <c r="D5808" i="2"/>
  <c r="D5809" i="2"/>
  <c r="D5810" i="2"/>
  <c r="D5811" i="2"/>
  <c r="D5812" i="2"/>
  <c r="D5813" i="2"/>
  <c r="D5814" i="2"/>
  <c r="D5815" i="2"/>
  <c r="D5816" i="2"/>
  <c r="D5817" i="2"/>
  <c r="D5818" i="2"/>
  <c r="D5819" i="2"/>
  <c r="D5820" i="2"/>
  <c r="D5821" i="2"/>
  <c r="D5822" i="2"/>
  <c r="D5823" i="2"/>
  <c r="D5824" i="2"/>
  <c r="D5825" i="2"/>
  <c r="D5826" i="2"/>
  <c r="D5827" i="2"/>
  <c r="D5828" i="2"/>
  <c r="D5829" i="2"/>
  <c r="D5830" i="2"/>
  <c r="D5831" i="2"/>
  <c r="D5832" i="2"/>
  <c r="D5833" i="2"/>
  <c r="D5834" i="2"/>
  <c r="D5835" i="2"/>
  <c r="D5836" i="2"/>
  <c r="D5837" i="2"/>
  <c r="D5838" i="2"/>
  <c r="D5839" i="2"/>
  <c r="D5840" i="2"/>
  <c r="D5841" i="2"/>
  <c r="D5842" i="2"/>
  <c r="D5843" i="2"/>
  <c r="D5844" i="2"/>
  <c r="D5845" i="2"/>
  <c r="D5846" i="2"/>
  <c r="D5847" i="2"/>
  <c r="D5848" i="2"/>
  <c r="D5849" i="2"/>
  <c r="D5850" i="2"/>
  <c r="D5851" i="2"/>
  <c r="D5852" i="2"/>
  <c r="D5853" i="2"/>
  <c r="D5854" i="2"/>
  <c r="D5855" i="2"/>
  <c r="D5856" i="2"/>
  <c r="D5857" i="2"/>
  <c r="D5858" i="2"/>
  <c r="D5859" i="2"/>
  <c r="D5860" i="2"/>
  <c r="D5861" i="2"/>
  <c r="D5862" i="2"/>
  <c r="D5863" i="2"/>
  <c r="D5864" i="2"/>
  <c r="D5865" i="2"/>
  <c r="D5866" i="2"/>
  <c r="D5867" i="2"/>
  <c r="D5868" i="2"/>
  <c r="D5869" i="2"/>
  <c r="D5870" i="2"/>
  <c r="D5871" i="2"/>
  <c r="D5872" i="2"/>
  <c r="D5873" i="2"/>
  <c r="D5874" i="2"/>
  <c r="D5875" i="2"/>
  <c r="D5876" i="2"/>
  <c r="D5877" i="2"/>
  <c r="D5878" i="2"/>
  <c r="D5879" i="2"/>
  <c r="D5880" i="2"/>
  <c r="D5881" i="2"/>
  <c r="D5882" i="2"/>
  <c r="D5883" i="2"/>
  <c r="D5884" i="2"/>
  <c r="D5885" i="2"/>
  <c r="D5886" i="2"/>
  <c r="D5887" i="2"/>
  <c r="D5888" i="2"/>
  <c r="D5889" i="2"/>
  <c r="D5890" i="2"/>
  <c r="D5891" i="2"/>
  <c r="D5892" i="2"/>
  <c r="D5893" i="2"/>
  <c r="D5894" i="2"/>
  <c r="D5895" i="2"/>
  <c r="D5896" i="2"/>
  <c r="D5897" i="2"/>
  <c r="D5898" i="2"/>
  <c r="D5899" i="2"/>
  <c r="D5900" i="2"/>
  <c r="D5901" i="2"/>
  <c r="D5902" i="2"/>
  <c r="D5903" i="2"/>
  <c r="D5904" i="2"/>
  <c r="D5905" i="2"/>
  <c r="D5906" i="2"/>
  <c r="D5907" i="2"/>
  <c r="D5908" i="2"/>
  <c r="D5909" i="2"/>
  <c r="D5910" i="2"/>
  <c r="D5911" i="2"/>
  <c r="D5912" i="2"/>
  <c r="D5913" i="2"/>
  <c r="D5914" i="2"/>
  <c r="D5915" i="2"/>
  <c r="D5916" i="2"/>
  <c r="D5917" i="2"/>
  <c r="D5918" i="2"/>
  <c r="D5919" i="2"/>
  <c r="D5920" i="2"/>
  <c r="D5921" i="2"/>
  <c r="D5922" i="2"/>
  <c r="D5923" i="2"/>
  <c r="D5924" i="2"/>
  <c r="D5925" i="2"/>
  <c r="D5926" i="2"/>
  <c r="D5927" i="2"/>
  <c r="D5928" i="2"/>
  <c r="D5929" i="2"/>
  <c r="D5930" i="2"/>
  <c r="D5931" i="2"/>
  <c r="D5932" i="2"/>
  <c r="D5933" i="2"/>
  <c r="D5934" i="2"/>
  <c r="D5935" i="2"/>
  <c r="D5936" i="2"/>
  <c r="D5937" i="2"/>
  <c r="D5938" i="2"/>
  <c r="D5939" i="2"/>
  <c r="D5940" i="2"/>
  <c r="D5941" i="2"/>
  <c r="D5942" i="2"/>
  <c r="D5943" i="2"/>
  <c r="D5944" i="2"/>
  <c r="D5945" i="2"/>
  <c r="D5946" i="2"/>
  <c r="D5947" i="2"/>
  <c r="D5948" i="2"/>
  <c r="D5949" i="2"/>
  <c r="D5950" i="2"/>
  <c r="D5951" i="2"/>
  <c r="D5952" i="2"/>
  <c r="D5953" i="2"/>
  <c r="D5954" i="2"/>
  <c r="D5955" i="2"/>
  <c r="D5956" i="2"/>
  <c r="D5957" i="2"/>
  <c r="D5958" i="2"/>
  <c r="D5959" i="2"/>
  <c r="D5960" i="2"/>
  <c r="D5961" i="2"/>
  <c r="D5962" i="2"/>
  <c r="D5963" i="2"/>
  <c r="D5964" i="2"/>
  <c r="D5965" i="2"/>
  <c r="D5966" i="2"/>
  <c r="D5967" i="2"/>
  <c r="D5968" i="2"/>
  <c r="D5969" i="2"/>
  <c r="D5970" i="2"/>
  <c r="D5971" i="2"/>
  <c r="D5972" i="2"/>
  <c r="D5973" i="2"/>
  <c r="D5974" i="2"/>
  <c r="D5975" i="2"/>
  <c r="D5976" i="2"/>
  <c r="D5977" i="2"/>
  <c r="D5978" i="2"/>
  <c r="D5979" i="2"/>
  <c r="D5980" i="2"/>
  <c r="D5981" i="2"/>
  <c r="D5982" i="2"/>
  <c r="D5983" i="2"/>
  <c r="D5984" i="2"/>
  <c r="D5985" i="2"/>
  <c r="D5986" i="2"/>
  <c r="D5987" i="2"/>
  <c r="D5988" i="2"/>
  <c r="D5989" i="2"/>
  <c r="D5990" i="2"/>
  <c r="D5991" i="2"/>
  <c r="D5992" i="2"/>
  <c r="D5993" i="2"/>
  <c r="D5994" i="2"/>
  <c r="D5995" i="2"/>
  <c r="D5996" i="2"/>
  <c r="D5997" i="2"/>
  <c r="D5998" i="2"/>
  <c r="D5999" i="2"/>
  <c r="D6000" i="2"/>
  <c r="D6001" i="2"/>
  <c r="D6002" i="2"/>
  <c r="D6003" i="2"/>
  <c r="D6004" i="2"/>
  <c r="D6005" i="2"/>
  <c r="D6006" i="2"/>
  <c r="D6007" i="2"/>
  <c r="D6008" i="2"/>
  <c r="D6009" i="2"/>
  <c r="D6010" i="2"/>
  <c r="D6011" i="2"/>
  <c r="D6012" i="2"/>
  <c r="D6013" i="2"/>
  <c r="D6014" i="2"/>
  <c r="D6015" i="2"/>
  <c r="D6016" i="2"/>
  <c r="D6017" i="2"/>
  <c r="D6018" i="2"/>
  <c r="D6019" i="2"/>
  <c r="D6020" i="2"/>
  <c r="D6021" i="2"/>
  <c r="D6022" i="2"/>
  <c r="D6023" i="2"/>
  <c r="D6024" i="2"/>
  <c r="D6025" i="2"/>
  <c r="D6026" i="2"/>
  <c r="D6027" i="2"/>
  <c r="D6028" i="2"/>
  <c r="D6029" i="2"/>
  <c r="D6030" i="2"/>
  <c r="D6031" i="2"/>
  <c r="D6032" i="2"/>
  <c r="D6033" i="2"/>
  <c r="D6034" i="2"/>
  <c r="D6035" i="2"/>
  <c r="D6036" i="2"/>
  <c r="D6037" i="2"/>
  <c r="D6038" i="2"/>
  <c r="D6039" i="2"/>
  <c r="D6040" i="2"/>
  <c r="D6041" i="2"/>
  <c r="D6042" i="2"/>
  <c r="D6043" i="2"/>
  <c r="D6044" i="2"/>
  <c r="D6045" i="2"/>
  <c r="D6046" i="2"/>
  <c r="D6047" i="2"/>
  <c r="D6048" i="2"/>
  <c r="D6049" i="2"/>
  <c r="D6050" i="2"/>
  <c r="D6051" i="2"/>
  <c r="D6052" i="2"/>
  <c r="D6053" i="2"/>
  <c r="D6054" i="2"/>
  <c r="D6055" i="2"/>
  <c r="D6056" i="2"/>
  <c r="D6057" i="2"/>
  <c r="D6058" i="2"/>
  <c r="D6059" i="2"/>
  <c r="D6060" i="2"/>
  <c r="D6061" i="2"/>
  <c r="D6062" i="2"/>
  <c r="D6063" i="2"/>
  <c r="D6064" i="2"/>
  <c r="D6065" i="2"/>
  <c r="D6066" i="2"/>
  <c r="D6067" i="2"/>
  <c r="D6068" i="2"/>
  <c r="D6069" i="2"/>
  <c r="D6070" i="2"/>
  <c r="D6071" i="2"/>
  <c r="D6072" i="2"/>
  <c r="D6073" i="2"/>
  <c r="D6074" i="2"/>
  <c r="D6075" i="2"/>
  <c r="D6076" i="2"/>
  <c r="D6077" i="2"/>
  <c r="D6078" i="2"/>
  <c r="D6079" i="2"/>
  <c r="D6080" i="2"/>
  <c r="D6081" i="2"/>
  <c r="D6082" i="2"/>
  <c r="D6083" i="2"/>
  <c r="D6084" i="2"/>
  <c r="D6085" i="2"/>
  <c r="D6086" i="2"/>
  <c r="D6087" i="2"/>
  <c r="D6088" i="2"/>
  <c r="D6089" i="2"/>
  <c r="D6090" i="2"/>
  <c r="D6091" i="2"/>
  <c r="D6092" i="2"/>
  <c r="D6093" i="2"/>
  <c r="D6094" i="2"/>
  <c r="D6095" i="2"/>
  <c r="D6096" i="2"/>
  <c r="D6097" i="2"/>
  <c r="D6098" i="2"/>
  <c r="D6099" i="2"/>
  <c r="D6100" i="2"/>
  <c r="D6101" i="2"/>
  <c r="D6102" i="2"/>
  <c r="D6103" i="2"/>
  <c r="D6104" i="2"/>
  <c r="D6105" i="2"/>
  <c r="D6106" i="2"/>
  <c r="D6107" i="2"/>
  <c r="D6108" i="2"/>
  <c r="D6109" i="2"/>
  <c r="D6110" i="2"/>
  <c r="D6111" i="2"/>
  <c r="D6112" i="2"/>
  <c r="D6113" i="2"/>
  <c r="D6114" i="2"/>
  <c r="D6115" i="2"/>
  <c r="D6116" i="2"/>
  <c r="D6117" i="2"/>
  <c r="D6118" i="2"/>
  <c r="D6119" i="2"/>
  <c r="D6120" i="2"/>
  <c r="D6121" i="2"/>
  <c r="D6122" i="2"/>
  <c r="D6123" i="2"/>
  <c r="D6124" i="2"/>
  <c r="D6125" i="2"/>
  <c r="D6126" i="2"/>
  <c r="D6127" i="2"/>
  <c r="D6128" i="2"/>
  <c r="D6129" i="2"/>
  <c r="D6130" i="2"/>
  <c r="D6131" i="2"/>
  <c r="D6132" i="2"/>
  <c r="D6133" i="2"/>
  <c r="D6134" i="2"/>
  <c r="D6135" i="2"/>
  <c r="D6136" i="2"/>
  <c r="D6137" i="2"/>
  <c r="D6138" i="2"/>
  <c r="D6139" i="2"/>
  <c r="D6140" i="2"/>
  <c r="D6141" i="2"/>
  <c r="D6142" i="2"/>
  <c r="D6143" i="2"/>
  <c r="D6144" i="2"/>
  <c r="D6145" i="2"/>
  <c r="D6146" i="2"/>
  <c r="D6147" i="2"/>
  <c r="D6148" i="2"/>
  <c r="D6149" i="2"/>
  <c r="D6150" i="2"/>
  <c r="D6151" i="2"/>
  <c r="D6152" i="2"/>
  <c r="D6153" i="2"/>
  <c r="D6154" i="2"/>
  <c r="D6155" i="2"/>
  <c r="D6156" i="2"/>
  <c r="D6157" i="2"/>
  <c r="D6158" i="2"/>
  <c r="D6159" i="2"/>
  <c r="D6160" i="2"/>
  <c r="D6161" i="2"/>
  <c r="D6162" i="2"/>
  <c r="D6163" i="2"/>
  <c r="D6164" i="2"/>
  <c r="D6165" i="2"/>
  <c r="D6166" i="2"/>
  <c r="D6167" i="2"/>
  <c r="D6168" i="2"/>
  <c r="D6169" i="2"/>
  <c r="D6170" i="2"/>
  <c r="D6171" i="2"/>
  <c r="D6172" i="2"/>
  <c r="D6173" i="2"/>
  <c r="D6174" i="2"/>
  <c r="D6175" i="2"/>
  <c r="D6176" i="2"/>
  <c r="D6177" i="2"/>
  <c r="D6178" i="2"/>
  <c r="D6179" i="2"/>
  <c r="D6180" i="2"/>
  <c r="D6181" i="2"/>
  <c r="D6182" i="2"/>
  <c r="D6183" i="2"/>
  <c r="D6184" i="2"/>
  <c r="D6185" i="2"/>
  <c r="D6186" i="2"/>
  <c r="D6187" i="2"/>
  <c r="D6188" i="2"/>
  <c r="D6189" i="2"/>
  <c r="D6190" i="2"/>
  <c r="D6191" i="2"/>
  <c r="D6192" i="2"/>
  <c r="D6193" i="2"/>
  <c r="D6194" i="2"/>
  <c r="D6195" i="2"/>
  <c r="D6196" i="2"/>
  <c r="D6197" i="2"/>
  <c r="D6198" i="2"/>
  <c r="D6199" i="2"/>
  <c r="D6200" i="2"/>
  <c r="D6201" i="2"/>
  <c r="D6202" i="2"/>
  <c r="D6203" i="2"/>
  <c r="D6204" i="2"/>
  <c r="D6205" i="2"/>
  <c r="D6206" i="2"/>
  <c r="D6207" i="2"/>
  <c r="D6208" i="2"/>
  <c r="D6209" i="2"/>
  <c r="D6210" i="2"/>
  <c r="D6211" i="2"/>
  <c r="D6212" i="2"/>
  <c r="D6213" i="2"/>
  <c r="D6214" i="2"/>
  <c r="D6215" i="2"/>
  <c r="D6216" i="2"/>
  <c r="D6217" i="2"/>
  <c r="D6218" i="2"/>
  <c r="D6219" i="2"/>
  <c r="D6220" i="2"/>
  <c r="D6221" i="2"/>
  <c r="D6222" i="2"/>
  <c r="D6223" i="2"/>
  <c r="D6224" i="2"/>
  <c r="D6225" i="2"/>
  <c r="D6226" i="2"/>
  <c r="D6227" i="2"/>
  <c r="D6228" i="2"/>
  <c r="D6229" i="2"/>
  <c r="D6230" i="2"/>
  <c r="D6231" i="2"/>
  <c r="D6232" i="2"/>
  <c r="D6233" i="2"/>
  <c r="D6234" i="2"/>
  <c r="D6235" i="2"/>
  <c r="D6236" i="2"/>
  <c r="D6237" i="2"/>
  <c r="D6238" i="2"/>
  <c r="D6239" i="2"/>
  <c r="D6240" i="2"/>
  <c r="D6241" i="2"/>
  <c r="D6242" i="2"/>
  <c r="D6243" i="2"/>
  <c r="D6244" i="2"/>
  <c r="D6245" i="2"/>
  <c r="D6246" i="2"/>
  <c r="D6247" i="2"/>
  <c r="D6248" i="2"/>
  <c r="D6249" i="2"/>
  <c r="D6250" i="2"/>
  <c r="D6251" i="2"/>
  <c r="D6252" i="2"/>
  <c r="D6253" i="2"/>
  <c r="D6254" i="2"/>
  <c r="D6255" i="2"/>
  <c r="D6256" i="2"/>
  <c r="D6257" i="2"/>
  <c r="D6258" i="2"/>
  <c r="D6259" i="2"/>
  <c r="D6260" i="2"/>
  <c r="D6261" i="2"/>
  <c r="D6262" i="2"/>
  <c r="D6263" i="2"/>
  <c r="D6264" i="2"/>
  <c r="D6265" i="2"/>
  <c r="D6266" i="2"/>
  <c r="D6267" i="2"/>
  <c r="D6268" i="2"/>
  <c r="D6269" i="2"/>
  <c r="D6270" i="2"/>
  <c r="D6271" i="2"/>
  <c r="D6272" i="2"/>
  <c r="D6273" i="2"/>
  <c r="D6274" i="2"/>
  <c r="D6275" i="2"/>
  <c r="D6276" i="2"/>
  <c r="D6277" i="2"/>
  <c r="D6278" i="2"/>
  <c r="D6279" i="2"/>
  <c r="D6280" i="2"/>
  <c r="D6281" i="2"/>
  <c r="D6282" i="2"/>
  <c r="D6283" i="2"/>
  <c r="D6284" i="2"/>
  <c r="D6285" i="2"/>
  <c r="D6286" i="2"/>
  <c r="D6287" i="2"/>
  <c r="D6288" i="2"/>
  <c r="D6289" i="2"/>
  <c r="D6290" i="2"/>
  <c r="D6291" i="2"/>
  <c r="D6292" i="2"/>
  <c r="D6293" i="2"/>
  <c r="D6294" i="2"/>
  <c r="D6295" i="2"/>
  <c r="D6296" i="2"/>
  <c r="D6297" i="2"/>
  <c r="D6298" i="2"/>
  <c r="D6299" i="2"/>
  <c r="D6300" i="2"/>
  <c r="D6301" i="2"/>
  <c r="D6302" i="2"/>
  <c r="D6303" i="2"/>
  <c r="D6304" i="2"/>
  <c r="D6305" i="2"/>
  <c r="D6306" i="2"/>
  <c r="D6307" i="2"/>
  <c r="D6308" i="2"/>
  <c r="D6309" i="2"/>
  <c r="D6310" i="2"/>
  <c r="D6311" i="2"/>
  <c r="D6312" i="2"/>
  <c r="D6313" i="2"/>
  <c r="D6314" i="2"/>
  <c r="D6315" i="2"/>
  <c r="D6316" i="2"/>
  <c r="D6317" i="2"/>
  <c r="D6318" i="2"/>
  <c r="D6319" i="2"/>
  <c r="D6320" i="2"/>
  <c r="D6321" i="2"/>
  <c r="D6322" i="2"/>
  <c r="D6323" i="2"/>
  <c r="D6324" i="2"/>
  <c r="D6325" i="2"/>
  <c r="D6326" i="2"/>
  <c r="D6327" i="2"/>
  <c r="D6328" i="2"/>
  <c r="D6329" i="2"/>
  <c r="D6330" i="2"/>
  <c r="D6331" i="2"/>
  <c r="D6332" i="2"/>
  <c r="D6333" i="2"/>
  <c r="D6334" i="2"/>
  <c r="D6335" i="2"/>
  <c r="D6336" i="2"/>
  <c r="D6337" i="2"/>
  <c r="D6338" i="2"/>
  <c r="D6339" i="2"/>
  <c r="D6340" i="2"/>
  <c r="D6341" i="2"/>
  <c r="D6342" i="2"/>
  <c r="D6343" i="2"/>
  <c r="D6344" i="2"/>
  <c r="D6345" i="2"/>
  <c r="D6346" i="2"/>
  <c r="D6347" i="2"/>
  <c r="D6348" i="2"/>
  <c r="D6349" i="2"/>
  <c r="D6350" i="2"/>
  <c r="D6351" i="2"/>
  <c r="D6352" i="2"/>
  <c r="D6353" i="2"/>
  <c r="D6354" i="2"/>
  <c r="D6355" i="2"/>
  <c r="D6356" i="2"/>
  <c r="D6357" i="2"/>
  <c r="D6358" i="2"/>
  <c r="D6359" i="2"/>
  <c r="D6360" i="2"/>
  <c r="D6361" i="2"/>
  <c r="D6362" i="2"/>
  <c r="D6363" i="2"/>
  <c r="D6364" i="2"/>
  <c r="D6365" i="2"/>
  <c r="D6366" i="2"/>
  <c r="D6367" i="2"/>
  <c r="D6368" i="2"/>
  <c r="D6369" i="2"/>
  <c r="D6370" i="2"/>
  <c r="D6371" i="2"/>
  <c r="D6372" i="2"/>
  <c r="D6373" i="2"/>
  <c r="D6374" i="2"/>
  <c r="D6375" i="2"/>
  <c r="D6376" i="2"/>
  <c r="D6377" i="2"/>
  <c r="D6378" i="2"/>
  <c r="D6379" i="2"/>
  <c r="D6380" i="2"/>
  <c r="D6381" i="2"/>
  <c r="D6382" i="2"/>
  <c r="D6383" i="2"/>
  <c r="D6384" i="2"/>
  <c r="D6385" i="2"/>
  <c r="D6386" i="2"/>
  <c r="D6387" i="2"/>
  <c r="D6388" i="2"/>
  <c r="D6389" i="2"/>
  <c r="D6390" i="2"/>
  <c r="D6391" i="2"/>
  <c r="D6392" i="2"/>
  <c r="D6393" i="2"/>
  <c r="D6394" i="2"/>
  <c r="D6395" i="2"/>
  <c r="D6396" i="2"/>
  <c r="D6397" i="2"/>
  <c r="D6398" i="2"/>
  <c r="D6399" i="2"/>
  <c r="D6400" i="2"/>
  <c r="D6401" i="2"/>
  <c r="D6402" i="2"/>
  <c r="D6403" i="2"/>
  <c r="D6404" i="2"/>
  <c r="D6405" i="2"/>
  <c r="D6406" i="2"/>
  <c r="D6407" i="2"/>
  <c r="D6408" i="2"/>
  <c r="D6409" i="2"/>
  <c r="D6410" i="2"/>
  <c r="D6411" i="2"/>
  <c r="D6412" i="2"/>
  <c r="D6413" i="2"/>
  <c r="D6414" i="2"/>
  <c r="D6415" i="2"/>
  <c r="D6416" i="2"/>
  <c r="D6417" i="2"/>
  <c r="D6418" i="2"/>
  <c r="D6419" i="2"/>
  <c r="D6420" i="2"/>
  <c r="D6421" i="2"/>
  <c r="D6422" i="2"/>
  <c r="D6423" i="2"/>
  <c r="D6424" i="2"/>
  <c r="D6425" i="2"/>
  <c r="D6426" i="2"/>
  <c r="D6427" i="2"/>
  <c r="D6428" i="2"/>
  <c r="D6429" i="2"/>
  <c r="D6430" i="2"/>
  <c r="D6431" i="2"/>
  <c r="D6432" i="2"/>
  <c r="D6433" i="2"/>
  <c r="D6434" i="2"/>
  <c r="D6435" i="2"/>
  <c r="D6436" i="2"/>
  <c r="D6437" i="2"/>
  <c r="D6438" i="2"/>
  <c r="D6439" i="2"/>
  <c r="D6440" i="2"/>
  <c r="D6441" i="2"/>
  <c r="D6442" i="2"/>
  <c r="D6443" i="2"/>
  <c r="D6444" i="2"/>
  <c r="D6445" i="2"/>
  <c r="D6446" i="2"/>
  <c r="D6447" i="2"/>
  <c r="D6448" i="2"/>
  <c r="D6449" i="2"/>
  <c r="D6450" i="2"/>
  <c r="D6451" i="2"/>
  <c r="D6452" i="2"/>
  <c r="D6453" i="2"/>
  <c r="D6454" i="2"/>
  <c r="D6455" i="2"/>
  <c r="D6456" i="2"/>
  <c r="D6457" i="2"/>
  <c r="D6458" i="2"/>
  <c r="D6459" i="2"/>
  <c r="D6460" i="2"/>
  <c r="D6461" i="2"/>
  <c r="D6462" i="2"/>
  <c r="D6463" i="2"/>
  <c r="D6464" i="2"/>
  <c r="D6465" i="2"/>
  <c r="D6466" i="2"/>
  <c r="D6467" i="2"/>
  <c r="D6468" i="2"/>
  <c r="D6469" i="2"/>
  <c r="D6470" i="2"/>
  <c r="D6471" i="2"/>
  <c r="D6472" i="2"/>
  <c r="D6473" i="2"/>
  <c r="D6474" i="2"/>
  <c r="D6475" i="2"/>
  <c r="D6476" i="2"/>
  <c r="D6477" i="2"/>
  <c r="D6478" i="2"/>
  <c r="D6479" i="2"/>
  <c r="D6480" i="2"/>
  <c r="D6481" i="2"/>
  <c r="D6482" i="2"/>
  <c r="D6483" i="2"/>
  <c r="D6484" i="2"/>
  <c r="D6485" i="2"/>
  <c r="D6486" i="2"/>
  <c r="D6487" i="2"/>
  <c r="D6488" i="2"/>
  <c r="D6489" i="2"/>
  <c r="D6490" i="2"/>
  <c r="D6491" i="2"/>
  <c r="D6492" i="2"/>
  <c r="D6493" i="2"/>
  <c r="D6494" i="2"/>
  <c r="D6495" i="2"/>
  <c r="D6496" i="2"/>
  <c r="D6497" i="2"/>
  <c r="D6498" i="2"/>
  <c r="D6499" i="2"/>
  <c r="D6500" i="2"/>
  <c r="D6501" i="2"/>
  <c r="D6502" i="2"/>
  <c r="D6503" i="2"/>
  <c r="D6504" i="2"/>
  <c r="D6505" i="2"/>
  <c r="D6506" i="2"/>
  <c r="D6507" i="2"/>
  <c r="D6508" i="2"/>
  <c r="D6509" i="2"/>
  <c r="D6510" i="2"/>
  <c r="D6511" i="2"/>
  <c r="D6512" i="2"/>
  <c r="D6513" i="2"/>
  <c r="D6514" i="2"/>
  <c r="D6515" i="2"/>
  <c r="D6516" i="2"/>
  <c r="D6517" i="2"/>
  <c r="D6518" i="2"/>
  <c r="D6519" i="2"/>
  <c r="D6520" i="2"/>
  <c r="D6521" i="2"/>
  <c r="D6522" i="2"/>
  <c r="D6523" i="2"/>
  <c r="D6524" i="2"/>
  <c r="D6525" i="2"/>
  <c r="D6526" i="2"/>
  <c r="D6527" i="2"/>
  <c r="D6528" i="2"/>
  <c r="D6529" i="2"/>
  <c r="D6530" i="2"/>
  <c r="D6531" i="2"/>
  <c r="D6532" i="2"/>
  <c r="D6533" i="2"/>
  <c r="D6534" i="2"/>
  <c r="D6535" i="2"/>
  <c r="D6536" i="2"/>
  <c r="D6537" i="2"/>
  <c r="D6538" i="2"/>
  <c r="D6539" i="2"/>
  <c r="D6540" i="2"/>
  <c r="D6541" i="2"/>
  <c r="D6542" i="2"/>
  <c r="D6543" i="2"/>
  <c r="D6544" i="2"/>
  <c r="D6545" i="2"/>
  <c r="D6546" i="2"/>
  <c r="D6547" i="2"/>
  <c r="D6548" i="2"/>
  <c r="D6549" i="2"/>
  <c r="D6550" i="2"/>
  <c r="D6551" i="2"/>
  <c r="D6552" i="2"/>
  <c r="D6553" i="2"/>
  <c r="D6554" i="2"/>
  <c r="D6555" i="2"/>
  <c r="D6556" i="2"/>
  <c r="D6557" i="2"/>
  <c r="D6558" i="2"/>
  <c r="D6559" i="2"/>
  <c r="D6560" i="2"/>
  <c r="D6561" i="2"/>
  <c r="D6562" i="2"/>
  <c r="D6563" i="2"/>
  <c r="D6564" i="2"/>
  <c r="D6565" i="2"/>
  <c r="D6566" i="2"/>
  <c r="D6567" i="2"/>
  <c r="D6568" i="2"/>
  <c r="D6569" i="2"/>
  <c r="D6570" i="2"/>
  <c r="D6571" i="2"/>
  <c r="D6572" i="2"/>
  <c r="D6573" i="2"/>
  <c r="D6574" i="2"/>
  <c r="D6575" i="2"/>
  <c r="D6576" i="2"/>
  <c r="D6577" i="2"/>
  <c r="D6578" i="2"/>
  <c r="D6579" i="2"/>
  <c r="D6580" i="2"/>
  <c r="D6581" i="2"/>
  <c r="D6582" i="2"/>
  <c r="D6583" i="2"/>
  <c r="D6584" i="2"/>
  <c r="D6585" i="2"/>
  <c r="D6586" i="2"/>
  <c r="D6587" i="2"/>
  <c r="D6588" i="2"/>
  <c r="D6589" i="2"/>
  <c r="D6590" i="2"/>
  <c r="D6591" i="2"/>
  <c r="D6592" i="2"/>
  <c r="D6593" i="2"/>
  <c r="D6594" i="2"/>
  <c r="D6595" i="2"/>
  <c r="D6596" i="2"/>
  <c r="D6597" i="2"/>
  <c r="D6598" i="2"/>
  <c r="D6599" i="2"/>
  <c r="D6600" i="2"/>
  <c r="D6601" i="2"/>
  <c r="D6602" i="2"/>
  <c r="D6603" i="2"/>
  <c r="D6604" i="2"/>
  <c r="D6605" i="2"/>
  <c r="D6606" i="2"/>
  <c r="D6607" i="2"/>
  <c r="D6608" i="2"/>
  <c r="D6609" i="2"/>
  <c r="D6610" i="2"/>
  <c r="D6611" i="2"/>
  <c r="D6612" i="2"/>
  <c r="D6613" i="2"/>
  <c r="D6614" i="2"/>
  <c r="D6615" i="2"/>
  <c r="D6616" i="2"/>
  <c r="D6617" i="2"/>
  <c r="D6618" i="2"/>
  <c r="D6619" i="2"/>
  <c r="D6620" i="2"/>
  <c r="D6621" i="2"/>
  <c r="D6622" i="2"/>
  <c r="D6623" i="2"/>
  <c r="D6624" i="2"/>
  <c r="D6625" i="2"/>
  <c r="D6626" i="2"/>
  <c r="D6627" i="2"/>
  <c r="D6628" i="2"/>
  <c r="D6629" i="2"/>
  <c r="D6630" i="2"/>
  <c r="D6631" i="2"/>
  <c r="D6632" i="2"/>
  <c r="D6633" i="2"/>
  <c r="D6634" i="2"/>
  <c r="D6635" i="2"/>
  <c r="D6636" i="2"/>
  <c r="D6637" i="2"/>
  <c r="D6638" i="2"/>
  <c r="D6639" i="2"/>
  <c r="D6640" i="2"/>
  <c r="D6641" i="2"/>
  <c r="D6642" i="2"/>
  <c r="D6643" i="2"/>
  <c r="D6644" i="2"/>
  <c r="D6645" i="2"/>
  <c r="D6646" i="2"/>
  <c r="D6647" i="2"/>
  <c r="D6648" i="2"/>
  <c r="D6649" i="2"/>
  <c r="D6650" i="2"/>
  <c r="D6651" i="2"/>
  <c r="D6652" i="2"/>
  <c r="D6653" i="2"/>
  <c r="D6654" i="2"/>
  <c r="D6655" i="2"/>
  <c r="D6656" i="2"/>
  <c r="D6657" i="2"/>
  <c r="D6658" i="2"/>
  <c r="D6659" i="2"/>
  <c r="D6660" i="2"/>
  <c r="D6661" i="2"/>
  <c r="D6662" i="2"/>
  <c r="D6663" i="2"/>
  <c r="D6664" i="2"/>
  <c r="D6665" i="2"/>
  <c r="D6666" i="2"/>
  <c r="D6667" i="2"/>
  <c r="D6668" i="2"/>
  <c r="D6669" i="2"/>
  <c r="D6670" i="2"/>
  <c r="D6671" i="2"/>
  <c r="D6672" i="2"/>
  <c r="D6673" i="2"/>
  <c r="D6674" i="2"/>
  <c r="D6675" i="2"/>
  <c r="D6676" i="2"/>
  <c r="D6677" i="2"/>
  <c r="D6678" i="2"/>
  <c r="D6679" i="2"/>
  <c r="D6680" i="2"/>
  <c r="D6681" i="2"/>
  <c r="D6682" i="2"/>
  <c r="D6683" i="2"/>
  <c r="D6684" i="2"/>
  <c r="D6685" i="2"/>
  <c r="D6686" i="2"/>
  <c r="D6687" i="2"/>
  <c r="D6688" i="2"/>
  <c r="D6689" i="2"/>
  <c r="D6690" i="2"/>
  <c r="D6691" i="2"/>
  <c r="D6692" i="2"/>
  <c r="D6693" i="2"/>
  <c r="D6694" i="2"/>
  <c r="D6695" i="2"/>
  <c r="D6696" i="2"/>
  <c r="D6697" i="2"/>
  <c r="D6698" i="2"/>
  <c r="D6699" i="2"/>
  <c r="D6700" i="2"/>
  <c r="D6701" i="2"/>
  <c r="D6702" i="2"/>
  <c r="D6703" i="2"/>
  <c r="D6704" i="2"/>
  <c r="D6705" i="2"/>
  <c r="D6706" i="2"/>
  <c r="D6707" i="2"/>
  <c r="D6708" i="2"/>
  <c r="D6709" i="2"/>
  <c r="D6710" i="2"/>
  <c r="D6711" i="2"/>
  <c r="D6712" i="2"/>
  <c r="D6713" i="2"/>
  <c r="D6714" i="2"/>
  <c r="D6715" i="2"/>
  <c r="D6716" i="2"/>
  <c r="D6717" i="2"/>
  <c r="D6718" i="2"/>
  <c r="D6719" i="2"/>
  <c r="D6720" i="2"/>
  <c r="D6721" i="2"/>
  <c r="D6722" i="2"/>
  <c r="D6723" i="2"/>
  <c r="D6724" i="2"/>
  <c r="D6725" i="2"/>
  <c r="D6726" i="2"/>
  <c r="D6727" i="2"/>
  <c r="D6728" i="2"/>
  <c r="D6729" i="2"/>
  <c r="D6730" i="2"/>
  <c r="D6731" i="2"/>
  <c r="D6732" i="2"/>
  <c r="D6733" i="2"/>
  <c r="D6734" i="2"/>
  <c r="D6735" i="2"/>
  <c r="D6736" i="2"/>
  <c r="D6737" i="2"/>
  <c r="D6738" i="2"/>
  <c r="D6739" i="2"/>
  <c r="D6740" i="2"/>
  <c r="D6741" i="2"/>
  <c r="D6742" i="2"/>
  <c r="D6743" i="2"/>
  <c r="D6744" i="2"/>
  <c r="D6745" i="2"/>
  <c r="D6746" i="2"/>
  <c r="D6747" i="2"/>
  <c r="D6748" i="2"/>
  <c r="D6749" i="2"/>
  <c r="D6750" i="2"/>
  <c r="D6751" i="2"/>
  <c r="D6752" i="2"/>
  <c r="D6753" i="2"/>
  <c r="D6754" i="2"/>
  <c r="D6755" i="2"/>
  <c r="D6756" i="2"/>
  <c r="D6757" i="2"/>
  <c r="D6758" i="2"/>
  <c r="D6759" i="2"/>
  <c r="D6760" i="2"/>
  <c r="D6761" i="2"/>
  <c r="D6762" i="2"/>
  <c r="D6763" i="2"/>
  <c r="D6764" i="2"/>
  <c r="D6765" i="2"/>
  <c r="D6766" i="2"/>
  <c r="D6767" i="2"/>
  <c r="D6768" i="2"/>
  <c r="D6769" i="2"/>
  <c r="D6770" i="2"/>
  <c r="D6771" i="2"/>
  <c r="D6772" i="2"/>
  <c r="D6773" i="2"/>
  <c r="D6774" i="2"/>
  <c r="D6775" i="2"/>
  <c r="D6776" i="2"/>
  <c r="D6777" i="2"/>
  <c r="D6778" i="2"/>
  <c r="D6779" i="2"/>
  <c r="D6780" i="2"/>
  <c r="D6781" i="2"/>
  <c r="D6782" i="2"/>
  <c r="D6783" i="2"/>
  <c r="D6784" i="2"/>
  <c r="D6785" i="2"/>
  <c r="D6786" i="2"/>
  <c r="D6787" i="2"/>
  <c r="D6788" i="2"/>
  <c r="D6789" i="2"/>
  <c r="D6790" i="2"/>
  <c r="D6791" i="2"/>
  <c r="D6792" i="2"/>
  <c r="D6793" i="2"/>
  <c r="D6794" i="2"/>
  <c r="D6795" i="2"/>
  <c r="D6796" i="2"/>
  <c r="D6797" i="2"/>
  <c r="D6798" i="2"/>
  <c r="D6799" i="2"/>
  <c r="D6800" i="2"/>
  <c r="D6801" i="2"/>
  <c r="D6802" i="2"/>
  <c r="D6803" i="2"/>
  <c r="D6804" i="2"/>
  <c r="D6805" i="2"/>
  <c r="D6806" i="2"/>
  <c r="D6807" i="2"/>
  <c r="D6808" i="2"/>
  <c r="D6809" i="2"/>
  <c r="D6810" i="2"/>
  <c r="D6811" i="2"/>
  <c r="D6812" i="2"/>
  <c r="D6813" i="2"/>
  <c r="D6814" i="2"/>
  <c r="D6815" i="2"/>
  <c r="D6816" i="2"/>
  <c r="D6817" i="2"/>
  <c r="D6818" i="2"/>
  <c r="D6819" i="2"/>
  <c r="D6820" i="2"/>
  <c r="D6821" i="2"/>
  <c r="D6822" i="2"/>
  <c r="D6823" i="2"/>
  <c r="D6824" i="2"/>
  <c r="D6825" i="2"/>
  <c r="D6826" i="2"/>
  <c r="D6827" i="2"/>
  <c r="D6828" i="2"/>
  <c r="D6829" i="2"/>
  <c r="D6830" i="2"/>
  <c r="D6831" i="2"/>
  <c r="D6832" i="2"/>
  <c r="D6833" i="2"/>
  <c r="D6834" i="2"/>
  <c r="D6835" i="2"/>
  <c r="D6836" i="2"/>
  <c r="D6837" i="2"/>
  <c r="D6838" i="2"/>
  <c r="D6839" i="2"/>
  <c r="D6840" i="2"/>
  <c r="D6841" i="2"/>
  <c r="D6842" i="2"/>
  <c r="D6843" i="2"/>
  <c r="D6844" i="2"/>
  <c r="D6845" i="2"/>
  <c r="D6846" i="2"/>
  <c r="D6847" i="2"/>
  <c r="D6848" i="2"/>
  <c r="D6849" i="2"/>
  <c r="D6850" i="2"/>
  <c r="D6851" i="2"/>
  <c r="D6852" i="2"/>
  <c r="D6853" i="2"/>
  <c r="D6854" i="2"/>
  <c r="D6855" i="2"/>
  <c r="D6856" i="2"/>
  <c r="D6857" i="2"/>
  <c r="D6858" i="2"/>
  <c r="D6859" i="2"/>
  <c r="D6860" i="2"/>
  <c r="D6861" i="2"/>
  <c r="D6862" i="2"/>
  <c r="D6863" i="2"/>
  <c r="D6864" i="2"/>
  <c r="D6865" i="2"/>
  <c r="D6866" i="2"/>
  <c r="D6867" i="2"/>
  <c r="D6868" i="2"/>
  <c r="D6869" i="2"/>
  <c r="D6870" i="2"/>
  <c r="D6871" i="2"/>
  <c r="D6872" i="2"/>
  <c r="D6873" i="2"/>
  <c r="D6874" i="2"/>
  <c r="D6875" i="2"/>
  <c r="D6876" i="2"/>
  <c r="D6877" i="2"/>
  <c r="D6878" i="2"/>
  <c r="D6879" i="2"/>
  <c r="D6880" i="2"/>
  <c r="D6881" i="2"/>
  <c r="D6882" i="2"/>
  <c r="D6883" i="2"/>
  <c r="D6884" i="2"/>
  <c r="D6885" i="2"/>
  <c r="D6886" i="2"/>
  <c r="D6887" i="2"/>
  <c r="D6888" i="2"/>
  <c r="D6889" i="2"/>
  <c r="D6890" i="2"/>
  <c r="D6891" i="2"/>
  <c r="D6892" i="2"/>
  <c r="D6893" i="2"/>
  <c r="D6894" i="2"/>
  <c r="D6895" i="2"/>
  <c r="D6896" i="2"/>
  <c r="D6897" i="2"/>
  <c r="D6898" i="2"/>
  <c r="D6899" i="2"/>
  <c r="D6900" i="2"/>
  <c r="D6901" i="2"/>
  <c r="D6902" i="2"/>
  <c r="D6903" i="2"/>
  <c r="D6904" i="2"/>
  <c r="D6905" i="2"/>
  <c r="D6906" i="2"/>
  <c r="D6907" i="2"/>
  <c r="D6908" i="2"/>
  <c r="D6909" i="2"/>
  <c r="D6910" i="2"/>
  <c r="D6911" i="2"/>
  <c r="D6912" i="2"/>
  <c r="D6913" i="2"/>
  <c r="D6914" i="2"/>
  <c r="D6915" i="2"/>
  <c r="D6916" i="2"/>
  <c r="D6917" i="2"/>
  <c r="D6918" i="2"/>
  <c r="D6919" i="2"/>
  <c r="D6920" i="2"/>
  <c r="D6921" i="2"/>
  <c r="D6922" i="2"/>
  <c r="D6923" i="2"/>
  <c r="D6924" i="2"/>
  <c r="D6925" i="2"/>
  <c r="D6926" i="2"/>
  <c r="D6927" i="2"/>
  <c r="D6928" i="2"/>
  <c r="D6929" i="2"/>
  <c r="D6930" i="2"/>
  <c r="D6931" i="2"/>
  <c r="D6932" i="2"/>
  <c r="D6933" i="2"/>
  <c r="D6934" i="2"/>
  <c r="D6935" i="2"/>
  <c r="D6936" i="2"/>
  <c r="D6937" i="2"/>
  <c r="D6938" i="2"/>
  <c r="D6939" i="2"/>
  <c r="D6940" i="2"/>
  <c r="D6941" i="2"/>
  <c r="D6942" i="2"/>
  <c r="D6943" i="2"/>
  <c r="D6944" i="2"/>
  <c r="D6945" i="2"/>
  <c r="D6946" i="2"/>
  <c r="D6947" i="2"/>
  <c r="D6948" i="2"/>
  <c r="D6949" i="2"/>
  <c r="D6950" i="2"/>
  <c r="D6951" i="2"/>
  <c r="D6952" i="2"/>
  <c r="D6953" i="2"/>
  <c r="D6954" i="2"/>
  <c r="D6955" i="2"/>
  <c r="D6956" i="2"/>
  <c r="D6957" i="2"/>
  <c r="D6958" i="2"/>
  <c r="D6959" i="2"/>
  <c r="D6960" i="2"/>
  <c r="D6961" i="2"/>
  <c r="D6962" i="2"/>
  <c r="D6963" i="2"/>
  <c r="D6964" i="2"/>
  <c r="D6965" i="2"/>
  <c r="D6966" i="2"/>
  <c r="D6967" i="2"/>
  <c r="D6968" i="2"/>
  <c r="D6969" i="2"/>
  <c r="D6970" i="2"/>
  <c r="D6971" i="2"/>
  <c r="D6972" i="2"/>
  <c r="D6973" i="2"/>
  <c r="D6974" i="2"/>
  <c r="D6975" i="2"/>
  <c r="D6976" i="2"/>
  <c r="D6977" i="2"/>
  <c r="D6978" i="2"/>
  <c r="D6979" i="2"/>
  <c r="D6980" i="2"/>
  <c r="D6981" i="2"/>
  <c r="D6982" i="2"/>
  <c r="D6983" i="2"/>
  <c r="D6984" i="2"/>
  <c r="D6985" i="2"/>
  <c r="D6986" i="2"/>
  <c r="D6987" i="2"/>
  <c r="D6988" i="2"/>
  <c r="D6989" i="2"/>
  <c r="D6990" i="2"/>
  <c r="D6991" i="2"/>
  <c r="D6992" i="2"/>
  <c r="D6993" i="2"/>
  <c r="D6994" i="2"/>
  <c r="D6995" i="2"/>
  <c r="D6996" i="2"/>
  <c r="D6997" i="2"/>
  <c r="D6998" i="2"/>
  <c r="D6999" i="2"/>
  <c r="D7000" i="2"/>
  <c r="D7001" i="2"/>
  <c r="D7002" i="2"/>
  <c r="D7003" i="2"/>
  <c r="D7004" i="2"/>
  <c r="D7005" i="2"/>
  <c r="D7006" i="2"/>
  <c r="D7007" i="2"/>
  <c r="D7008" i="2"/>
  <c r="D7009" i="2"/>
  <c r="D7010" i="2"/>
  <c r="D7011" i="2"/>
  <c r="D7012" i="2"/>
  <c r="D7013" i="2"/>
  <c r="D7014" i="2"/>
  <c r="D7015" i="2"/>
  <c r="D7016" i="2"/>
  <c r="D7017" i="2"/>
  <c r="D7018" i="2"/>
  <c r="D7019" i="2"/>
  <c r="D7020" i="2"/>
  <c r="D7021" i="2"/>
  <c r="D7022" i="2"/>
  <c r="D7023" i="2"/>
  <c r="D7024" i="2"/>
  <c r="D7025" i="2"/>
  <c r="D7026" i="2"/>
  <c r="D7027" i="2"/>
  <c r="D7028" i="2"/>
  <c r="D7029" i="2"/>
  <c r="D7030" i="2"/>
  <c r="D7031" i="2"/>
  <c r="D7032" i="2"/>
  <c r="D7033" i="2"/>
  <c r="D7034" i="2"/>
  <c r="D7035" i="2"/>
  <c r="D7036" i="2"/>
  <c r="D7037" i="2"/>
  <c r="D7038" i="2"/>
  <c r="D7039" i="2"/>
  <c r="D7040" i="2"/>
  <c r="D7041" i="2"/>
  <c r="D7042" i="2"/>
  <c r="D7043" i="2"/>
  <c r="D7044" i="2"/>
  <c r="D7045" i="2"/>
  <c r="D7046" i="2"/>
  <c r="D7047" i="2"/>
  <c r="D7048" i="2"/>
  <c r="D7049" i="2"/>
  <c r="D7050" i="2"/>
  <c r="D7051" i="2"/>
  <c r="D7052" i="2"/>
  <c r="D7053" i="2"/>
  <c r="D7054" i="2"/>
  <c r="D7055" i="2"/>
  <c r="D7056" i="2"/>
  <c r="D7057" i="2"/>
  <c r="D7058" i="2"/>
  <c r="D7059" i="2"/>
  <c r="D7060" i="2"/>
  <c r="D7061" i="2"/>
  <c r="D7062" i="2"/>
  <c r="D7063" i="2"/>
  <c r="D7064" i="2"/>
  <c r="D7065" i="2"/>
  <c r="D7066" i="2"/>
  <c r="D7067" i="2"/>
  <c r="D7068" i="2"/>
  <c r="D7069" i="2"/>
  <c r="D7070" i="2"/>
  <c r="D7071" i="2"/>
  <c r="D7072" i="2"/>
  <c r="D7073" i="2"/>
  <c r="D7074" i="2"/>
  <c r="D7075" i="2"/>
  <c r="D7076" i="2"/>
  <c r="D7077" i="2"/>
  <c r="D7078" i="2"/>
  <c r="D7079" i="2"/>
  <c r="D7080" i="2"/>
  <c r="D7081" i="2"/>
  <c r="D7082" i="2"/>
  <c r="D7083" i="2"/>
  <c r="D7084" i="2"/>
  <c r="D7085" i="2"/>
  <c r="D7086" i="2"/>
  <c r="D7087" i="2"/>
  <c r="D7088" i="2"/>
  <c r="D7089" i="2"/>
  <c r="D7090" i="2"/>
  <c r="D7091" i="2"/>
  <c r="D7092" i="2"/>
  <c r="D7093" i="2"/>
  <c r="D7094" i="2"/>
  <c r="D7095" i="2"/>
  <c r="D7096" i="2"/>
  <c r="D7097" i="2"/>
  <c r="D7098" i="2"/>
  <c r="D7099" i="2"/>
  <c r="D7100" i="2"/>
  <c r="D7101" i="2"/>
  <c r="D7102" i="2"/>
  <c r="D7103" i="2"/>
  <c r="D7104" i="2"/>
  <c r="D7105" i="2"/>
  <c r="D7106" i="2"/>
  <c r="D7107" i="2"/>
  <c r="D7108" i="2"/>
  <c r="D7109" i="2"/>
  <c r="D7110" i="2"/>
  <c r="D7111" i="2"/>
  <c r="D7112" i="2"/>
  <c r="D7113" i="2"/>
  <c r="D7114" i="2"/>
  <c r="D7115" i="2"/>
  <c r="D7116" i="2"/>
  <c r="D7117" i="2"/>
  <c r="D7118" i="2"/>
  <c r="D7119" i="2"/>
  <c r="D7120" i="2"/>
  <c r="D7121" i="2"/>
  <c r="D7122" i="2"/>
  <c r="D7123" i="2"/>
  <c r="D7124" i="2"/>
  <c r="D7125" i="2"/>
  <c r="D7126" i="2"/>
  <c r="D7127" i="2"/>
  <c r="D7128" i="2"/>
  <c r="D7129" i="2"/>
  <c r="D7130" i="2"/>
  <c r="D7131" i="2"/>
  <c r="D7132" i="2"/>
  <c r="D7133" i="2"/>
  <c r="D7134" i="2"/>
  <c r="D7135" i="2"/>
  <c r="D7136" i="2"/>
  <c r="D7137" i="2"/>
  <c r="D7138" i="2"/>
  <c r="D7139" i="2"/>
  <c r="D7140" i="2"/>
  <c r="D7141" i="2"/>
  <c r="D7142" i="2"/>
  <c r="D7143" i="2"/>
  <c r="D7144" i="2"/>
  <c r="D7145" i="2"/>
  <c r="D7146" i="2"/>
  <c r="D7147" i="2"/>
  <c r="D7148" i="2"/>
  <c r="D7149" i="2"/>
  <c r="D7150" i="2"/>
  <c r="D7151" i="2"/>
  <c r="D7152" i="2"/>
  <c r="D7153" i="2"/>
  <c r="D7154" i="2"/>
  <c r="D7155" i="2"/>
  <c r="D7156" i="2"/>
  <c r="D7157" i="2"/>
  <c r="D7158" i="2"/>
  <c r="D7159" i="2"/>
  <c r="D7160" i="2"/>
  <c r="D7161" i="2"/>
  <c r="D7162" i="2"/>
  <c r="D7163" i="2"/>
  <c r="D7164" i="2"/>
  <c r="D7165" i="2"/>
  <c r="D7166" i="2"/>
  <c r="D7167" i="2"/>
  <c r="D7168" i="2"/>
  <c r="D7169" i="2"/>
  <c r="D7170" i="2"/>
  <c r="D7171" i="2"/>
  <c r="D7172" i="2"/>
  <c r="D7173" i="2"/>
  <c r="D7174" i="2"/>
  <c r="D7175" i="2"/>
  <c r="D7176" i="2"/>
  <c r="D7177" i="2"/>
  <c r="D7178" i="2"/>
  <c r="D7179" i="2"/>
  <c r="D7180" i="2"/>
  <c r="D7181" i="2"/>
  <c r="D7182" i="2"/>
  <c r="D7183" i="2"/>
  <c r="D7184" i="2"/>
  <c r="D7185" i="2"/>
  <c r="D7186" i="2"/>
  <c r="D7187" i="2"/>
  <c r="D7188" i="2"/>
  <c r="D7189" i="2"/>
  <c r="D7190" i="2"/>
  <c r="D7191" i="2"/>
  <c r="D7192" i="2"/>
  <c r="D7193" i="2"/>
  <c r="D7194" i="2"/>
  <c r="D7195" i="2"/>
  <c r="D7196" i="2"/>
  <c r="D7197" i="2"/>
  <c r="D7198" i="2"/>
  <c r="D7199" i="2"/>
  <c r="D7200" i="2"/>
  <c r="D7201" i="2"/>
  <c r="D7202" i="2"/>
  <c r="D7203" i="2"/>
  <c r="D7204" i="2"/>
  <c r="D7205" i="2"/>
  <c r="D7206" i="2"/>
  <c r="D7207" i="2"/>
  <c r="D7208" i="2"/>
  <c r="D7209" i="2"/>
  <c r="D7210" i="2"/>
  <c r="D7211" i="2"/>
  <c r="D7212" i="2"/>
  <c r="D7213" i="2"/>
  <c r="D7214" i="2"/>
  <c r="D7215" i="2"/>
  <c r="D7216" i="2"/>
  <c r="D7217" i="2"/>
  <c r="D7218" i="2"/>
  <c r="D7219" i="2"/>
  <c r="D7220" i="2"/>
  <c r="D7221" i="2"/>
  <c r="D7222" i="2"/>
  <c r="D7223" i="2"/>
  <c r="D7224" i="2"/>
  <c r="D7225" i="2"/>
  <c r="D7226" i="2"/>
  <c r="D7227" i="2"/>
  <c r="D7228" i="2"/>
  <c r="D7229" i="2"/>
  <c r="D7230" i="2"/>
  <c r="D7231" i="2"/>
  <c r="D7232" i="2"/>
  <c r="D7233" i="2"/>
  <c r="D7234" i="2"/>
  <c r="D7235" i="2"/>
  <c r="D7236" i="2"/>
  <c r="D7237" i="2"/>
  <c r="D7238" i="2"/>
  <c r="D7239" i="2"/>
  <c r="D7240" i="2"/>
  <c r="D7241" i="2"/>
  <c r="D7242" i="2"/>
  <c r="D7243" i="2"/>
  <c r="D7244" i="2"/>
  <c r="D7245" i="2"/>
  <c r="D7246" i="2"/>
  <c r="D7247" i="2"/>
  <c r="D7248" i="2"/>
  <c r="D7249" i="2"/>
  <c r="D7250" i="2"/>
  <c r="D7251" i="2"/>
  <c r="D7252" i="2"/>
  <c r="D7253" i="2"/>
  <c r="D7254" i="2"/>
  <c r="D7255" i="2"/>
  <c r="D7256" i="2"/>
  <c r="D7257" i="2"/>
  <c r="D7258" i="2"/>
  <c r="D7259" i="2"/>
  <c r="D7260" i="2"/>
  <c r="D7261" i="2"/>
  <c r="D7262" i="2"/>
  <c r="D7263" i="2"/>
  <c r="D7264" i="2"/>
  <c r="D7265" i="2"/>
  <c r="D7266" i="2"/>
  <c r="D7267" i="2"/>
  <c r="D7268" i="2"/>
  <c r="D7269" i="2"/>
  <c r="D7270" i="2"/>
  <c r="D7271" i="2"/>
  <c r="D7272" i="2"/>
  <c r="D7273" i="2"/>
  <c r="D7274" i="2"/>
  <c r="D7275" i="2"/>
  <c r="D7276" i="2"/>
  <c r="D7277" i="2"/>
  <c r="D7278" i="2"/>
  <c r="D7279" i="2"/>
  <c r="D7280" i="2"/>
  <c r="D7281" i="2"/>
  <c r="D7282" i="2"/>
  <c r="D7283" i="2"/>
  <c r="D7284" i="2"/>
  <c r="D7285" i="2"/>
  <c r="D7286" i="2"/>
  <c r="D7287" i="2"/>
  <c r="D7288" i="2"/>
  <c r="D7289" i="2"/>
  <c r="D7290" i="2"/>
  <c r="D7291" i="2"/>
  <c r="D7292" i="2"/>
  <c r="D7293" i="2"/>
  <c r="D7294" i="2"/>
  <c r="D7295" i="2"/>
  <c r="D7296" i="2"/>
  <c r="D7297" i="2"/>
  <c r="D7298" i="2"/>
  <c r="D7299" i="2"/>
  <c r="D7300" i="2"/>
  <c r="D7301" i="2"/>
  <c r="D7302" i="2"/>
  <c r="D7303" i="2"/>
  <c r="D7304" i="2"/>
  <c r="D7305" i="2"/>
  <c r="D7306" i="2"/>
  <c r="D7307" i="2"/>
  <c r="D7308" i="2"/>
  <c r="D7309" i="2"/>
  <c r="D7310" i="2"/>
  <c r="D7311" i="2"/>
  <c r="D7312" i="2"/>
  <c r="D7313" i="2"/>
  <c r="D7314" i="2"/>
  <c r="D7315" i="2"/>
  <c r="D7316" i="2"/>
  <c r="D7317" i="2"/>
  <c r="D7318" i="2"/>
  <c r="D7319" i="2"/>
  <c r="D7320" i="2"/>
  <c r="D7321" i="2"/>
  <c r="D7322" i="2"/>
  <c r="D7323" i="2"/>
  <c r="D7324" i="2"/>
  <c r="D7325" i="2"/>
  <c r="D7326" i="2"/>
  <c r="D7327" i="2"/>
  <c r="D7328" i="2"/>
  <c r="D7329" i="2"/>
  <c r="D7330" i="2"/>
  <c r="D7331" i="2"/>
  <c r="D7332" i="2"/>
  <c r="D7333" i="2"/>
  <c r="D7334" i="2"/>
  <c r="D7335" i="2"/>
  <c r="D7336" i="2"/>
  <c r="D7337" i="2"/>
  <c r="D7338" i="2"/>
  <c r="D7339" i="2"/>
  <c r="D7340" i="2"/>
  <c r="D7341" i="2"/>
  <c r="D7342" i="2"/>
  <c r="D7343" i="2"/>
  <c r="D7344" i="2"/>
  <c r="D7345" i="2"/>
  <c r="D7346" i="2"/>
  <c r="D7347" i="2"/>
  <c r="D7348" i="2"/>
  <c r="D7349" i="2"/>
  <c r="D7350" i="2"/>
  <c r="D7351" i="2"/>
  <c r="D7352" i="2"/>
  <c r="D7353" i="2"/>
  <c r="D7354" i="2"/>
  <c r="D7355" i="2"/>
  <c r="D7356" i="2"/>
  <c r="D7357" i="2"/>
  <c r="D7358" i="2"/>
  <c r="D7359" i="2"/>
  <c r="D7360" i="2"/>
  <c r="D7361" i="2"/>
  <c r="D7362" i="2"/>
  <c r="D7363" i="2"/>
  <c r="D7364" i="2"/>
  <c r="D7365" i="2"/>
  <c r="D7366" i="2"/>
  <c r="D7367" i="2"/>
  <c r="D7368" i="2"/>
  <c r="D7369" i="2"/>
  <c r="D7370" i="2"/>
  <c r="D7371" i="2"/>
  <c r="D7372" i="2"/>
  <c r="D7373" i="2"/>
  <c r="D7374" i="2"/>
  <c r="D7375" i="2"/>
  <c r="D7376" i="2"/>
  <c r="D7377" i="2"/>
  <c r="D7378" i="2"/>
  <c r="D7379" i="2"/>
  <c r="D7380" i="2"/>
  <c r="D7381" i="2"/>
  <c r="D7382" i="2"/>
  <c r="D7383" i="2"/>
  <c r="D7384" i="2"/>
  <c r="D7385" i="2"/>
  <c r="D7386" i="2"/>
  <c r="D7387" i="2"/>
  <c r="D7388" i="2"/>
  <c r="D7389" i="2"/>
  <c r="D7390" i="2"/>
  <c r="D7391" i="2"/>
  <c r="D7392" i="2"/>
  <c r="D7393" i="2"/>
  <c r="D7394" i="2"/>
  <c r="D7395" i="2"/>
  <c r="D7396" i="2"/>
  <c r="D7397" i="2"/>
  <c r="D7398" i="2"/>
  <c r="D7399" i="2"/>
  <c r="D7400" i="2"/>
  <c r="D7401" i="2"/>
  <c r="D7402" i="2"/>
  <c r="D7403" i="2"/>
  <c r="D7404" i="2"/>
  <c r="D7405" i="2"/>
  <c r="D7406" i="2"/>
  <c r="D7407" i="2"/>
  <c r="D7408" i="2"/>
  <c r="D7409" i="2"/>
  <c r="D7410" i="2"/>
  <c r="D7411" i="2"/>
  <c r="D7412" i="2"/>
  <c r="D7413" i="2"/>
  <c r="D7414" i="2"/>
  <c r="D7415" i="2"/>
  <c r="D7416" i="2"/>
  <c r="D7417" i="2"/>
  <c r="D7418" i="2"/>
  <c r="D7419" i="2"/>
  <c r="D7420" i="2"/>
  <c r="D7421" i="2"/>
  <c r="D7422" i="2"/>
  <c r="D7423" i="2"/>
  <c r="D7424" i="2"/>
  <c r="D7425" i="2"/>
  <c r="D7426" i="2"/>
  <c r="D7427" i="2"/>
  <c r="D7428" i="2"/>
  <c r="D7429" i="2"/>
  <c r="D7430" i="2"/>
  <c r="D7431" i="2"/>
  <c r="D7432" i="2"/>
  <c r="D7433" i="2"/>
  <c r="D7434" i="2"/>
  <c r="D7435" i="2"/>
  <c r="D7436" i="2"/>
  <c r="D7437" i="2"/>
  <c r="D7438" i="2"/>
  <c r="D7439" i="2"/>
  <c r="D7440" i="2"/>
  <c r="D7441" i="2"/>
  <c r="D7442" i="2"/>
  <c r="D7443" i="2"/>
  <c r="D7444" i="2"/>
  <c r="D7445" i="2"/>
  <c r="D7446" i="2"/>
  <c r="D7447" i="2"/>
  <c r="D7448" i="2"/>
  <c r="D7449" i="2"/>
  <c r="D7450" i="2"/>
  <c r="D7451" i="2"/>
  <c r="D7452" i="2"/>
  <c r="D7453" i="2"/>
  <c r="D7454" i="2"/>
  <c r="D7455" i="2"/>
  <c r="D7456" i="2"/>
  <c r="D7457" i="2"/>
  <c r="D7458" i="2"/>
  <c r="D7459" i="2"/>
  <c r="D7460" i="2"/>
  <c r="D7461" i="2"/>
  <c r="D7462" i="2"/>
  <c r="D7463" i="2"/>
  <c r="D7464" i="2"/>
  <c r="D7465" i="2"/>
  <c r="D7466" i="2"/>
  <c r="D7467" i="2"/>
  <c r="D7468" i="2"/>
  <c r="D7469" i="2"/>
  <c r="D7470" i="2"/>
  <c r="D7471" i="2"/>
  <c r="D7472" i="2"/>
  <c r="D7473" i="2"/>
  <c r="D7474" i="2"/>
  <c r="D7475" i="2"/>
  <c r="D7476" i="2"/>
  <c r="D7477" i="2"/>
  <c r="D7478" i="2"/>
  <c r="D7479" i="2"/>
  <c r="D7480" i="2"/>
  <c r="D7481" i="2"/>
  <c r="D7482" i="2"/>
  <c r="D7483" i="2"/>
  <c r="D7484" i="2"/>
  <c r="D7485" i="2"/>
  <c r="D7486" i="2"/>
  <c r="D7487" i="2"/>
  <c r="D7488" i="2"/>
  <c r="D7489" i="2"/>
  <c r="D7490" i="2"/>
  <c r="D7491" i="2"/>
  <c r="D7492" i="2"/>
  <c r="D7493" i="2"/>
  <c r="D7494" i="2"/>
  <c r="D7495" i="2"/>
  <c r="D7496" i="2"/>
  <c r="D7497" i="2"/>
  <c r="D7498" i="2"/>
  <c r="D7499" i="2"/>
  <c r="D7500" i="2"/>
  <c r="D7501" i="2"/>
  <c r="D7502" i="2"/>
  <c r="D7503" i="2"/>
  <c r="D7504" i="2"/>
  <c r="D7505" i="2"/>
  <c r="D7506" i="2"/>
  <c r="D7507" i="2"/>
  <c r="D7508" i="2"/>
  <c r="D7509" i="2"/>
  <c r="D7510" i="2"/>
  <c r="D7511" i="2"/>
  <c r="D7512" i="2"/>
  <c r="D7513" i="2"/>
  <c r="D7514" i="2"/>
  <c r="D7515" i="2"/>
  <c r="D7516" i="2"/>
  <c r="D7517" i="2"/>
  <c r="D7518" i="2"/>
  <c r="D7519" i="2"/>
  <c r="D7520" i="2"/>
  <c r="D7521" i="2"/>
  <c r="D7522" i="2"/>
  <c r="D7523" i="2"/>
  <c r="D7524" i="2"/>
  <c r="D7525" i="2"/>
  <c r="D7526" i="2"/>
  <c r="D7527" i="2"/>
  <c r="D7528" i="2"/>
  <c r="D7529" i="2"/>
  <c r="D7530" i="2"/>
  <c r="D7531" i="2"/>
  <c r="D7532" i="2"/>
  <c r="D7533" i="2"/>
  <c r="D7534" i="2"/>
  <c r="D7535" i="2"/>
  <c r="D7536" i="2"/>
  <c r="D7537" i="2"/>
  <c r="D7538" i="2"/>
  <c r="D7539" i="2"/>
  <c r="D7540" i="2"/>
  <c r="D7541" i="2"/>
  <c r="D7542" i="2"/>
  <c r="D7543" i="2"/>
  <c r="D7544" i="2"/>
  <c r="D7545" i="2"/>
  <c r="D7546" i="2"/>
  <c r="D7547" i="2"/>
  <c r="D7548" i="2"/>
  <c r="D7549" i="2"/>
  <c r="D7550" i="2"/>
  <c r="D7551" i="2"/>
  <c r="D7552" i="2"/>
  <c r="D7553" i="2"/>
  <c r="D7554" i="2"/>
  <c r="D7555" i="2"/>
  <c r="D7556" i="2"/>
  <c r="D7557" i="2"/>
  <c r="D7558" i="2"/>
  <c r="D7559" i="2"/>
  <c r="D7560" i="2"/>
  <c r="D7561" i="2"/>
  <c r="D7562" i="2"/>
  <c r="D7563" i="2"/>
  <c r="D7564" i="2"/>
  <c r="D7565" i="2"/>
  <c r="D7566" i="2"/>
  <c r="D7567" i="2"/>
  <c r="D7568" i="2"/>
  <c r="D7569" i="2"/>
  <c r="D7570" i="2"/>
  <c r="D7571" i="2"/>
  <c r="D7572" i="2"/>
  <c r="D7573" i="2"/>
  <c r="D7574" i="2"/>
  <c r="D7575" i="2"/>
  <c r="D7576" i="2"/>
  <c r="D7577" i="2"/>
  <c r="D7578" i="2"/>
  <c r="D7579" i="2"/>
  <c r="D7580" i="2"/>
  <c r="D7581" i="2"/>
  <c r="D7582" i="2"/>
  <c r="D7583" i="2"/>
  <c r="D7584" i="2"/>
  <c r="D7585" i="2"/>
  <c r="D7586" i="2"/>
  <c r="D7587" i="2"/>
  <c r="D7588" i="2"/>
  <c r="D7589" i="2"/>
  <c r="D7590" i="2"/>
  <c r="D7591" i="2"/>
  <c r="D7592" i="2"/>
  <c r="D7593" i="2"/>
  <c r="D7594" i="2"/>
  <c r="D7595" i="2"/>
  <c r="D7596" i="2"/>
  <c r="D7597" i="2"/>
  <c r="D7598" i="2"/>
  <c r="D7599" i="2"/>
  <c r="D7600" i="2"/>
  <c r="D7601" i="2"/>
  <c r="D7602" i="2"/>
  <c r="D7603" i="2"/>
  <c r="D7604" i="2"/>
  <c r="D7605" i="2"/>
  <c r="D7606" i="2"/>
  <c r="D7607" i="2"/>
  <c r="D7608" i="2"/>
  <c r="D7609" i="2"/>
  <c r="D7610" i="2"/>
  <c r="D7611" i="2"/>
  <c r="D7612" i="2"/>
  <c r="D7613" i="2"/>
  <c r="D7614" i="2"/>
  <c r="D7615" i="2"/>
  <c r="D7616" i="2"/>
  <c r="D7617" i="2"/>
  <c r="D7618" i="2"/>
  <c r="D7619" i="2"/>
  <c r="D7620" i="2"/>
  <c r="D7621" i="2"/>
  <c r="D7622" i="2"/>
  <c r="D7623" i="2"/>
  <c r="D7624" i="2"/>
  <c r="D7625" i="2"/>
  <c r="D7626" i="2"/>
  <c r="D7627" i="2"/>
  <c r="D7628" i="2"/>
  <c r="D7629" i="2"/>
  <c r="D7630" i="2"/>
  <c r="D7631" i="2"/>
  <c r="D7632" i="2"/>
  <c r="D7633" i="2"/>
  <c r="D7634" i="2"/>
  <c r="D7635" i="2"/>
  <c r="D7636" i="2"/>
  <c r="D7637" i="2"/>
  <c r="D7638" i="2"/>
  <c r="D7639" i="2"/>
  <c r="D7640" i="2"/>
  <c r="D7641" i="2"/>
  <c r="D7642" i="2"/>
  <c r="D7643" i="2"/>
  <c r="D7644" i="2"/>
  <c r="D7645" i="2"/>
  <c r="D7646" i="2"/>
  <c r="D7647" i="2"/>
  <c r="D7648" i="2"/>
  <c r="D7649" i="2"/>
  <c r="D7650" i="2"/>
  <c r="D7651" i="2"/>
  <c r="D7652" i="2"/>
  <c r="D7653" i="2"/>
  <c r="D7654" i="2"/>
  <c r="D7655" i="2"/>
  <c r="D7656" i="2"/>
  <c r="D7657" i="2"/>
  <c r="D7658" i="2"/>
  <c r="D7659" i="2"/>
  <c r="D7660" i="2"/>
  <c r="D7661" i="2"/>
  <c r="D7662" i="2"/>
  <c r="D7663" i="2"/>
  <c r="D7664" i="2"/>
  <c r="D7665" i="2"/>
  <c r="D7666" i="2"/>
  <c r="D7667" i="2"/>
  <c r="D7668" i="2"/>
  <c r="D7669" i="2"/>
  <c r="D7670" i="2"/>
  <c r="D7671" i="2"/>
  <c r="D7672" i="2"/>
  <c r="D7673" i="2"/>
  <c r="D7674" i="2"/>
  <c r="D7675" i="2"/>
  <c r="D7676" i="2"/>
  <c r="D7677" i="2"/>
  <c r="D7678" i="2"/>
  <c r="D7679" i="2"/>
  <c r="D7680" i="2"/>
  <c r="D7681" i="2"/>
  <c r="D7682" i="2"/>
  <c r="D7683" i="2"/>
  <c r="D7684" i="2"/>
  <c r="D7685" i="2"/>
  <c r="D7686" i="2"/>
  <c r="D7687" i="2"/>
  <c r="D7688" i="2"/>
  <c r="D7689" i="2"/>
  <c r="D7690" i="2"/>
  <c r="D7691" i="2"/>
  <c r="D7692" i="2"/>
  <c r="D7693" i="2"/>
  <c r="D7694" i="2"/>
  <c r="D7695" i="2"/>
  <c r="D7696" i="2"/>
  <c r="D7697" i="2"/>
  <c r="D7698" i="2"/>
  <c r="D7699" i="2"/>
  <c r="D7700" i="2"/>
  <c r="D7701" i="2"/>
  <c r="D7702" i="2"/>
  <c r="D7703" i="2"/>
  <c r="D7704" i="2"/>
  <c r="D7705" i="2"/>
  <c r="D7706" i="2"/>
  <c r="D7707" i="2"/>
  <c r="D7708" i="2"/>
  <c r="D7709" i="2"/>
  <c r="D7710" i="2"/>
  <c r="D7711" i="2"/>
  <c r="D7712" i="2"/>
  <c r="D7713" i="2"/>
  <c r="D7714" i="2"/>
  <c r="D7715" i="2"/>
  <c r="D7716" i="2"/>
  <c r="D7717" i="2"/>
  <c r="D7718" i="2"/>
  <c r="D7719" i="2"/>
  <c r="D7720" i="2"/>
  <c r="D7721" i="2"/>
  <c r="D7722" i="2"/>
  <c r="D7723" i="2"/>
  <c r="D7724" i="2"/>
  <c r="D7725" i="2"/>
  <c r="D7726" i="2"/>
  <c r="D7727" i="2"/>
  <c r="D7728" i="2"/>
  <c r="D7729" i="2"/>
  <c r="D7730" i="2"/>
  <c r="D7731" i="2"/>
  <c r="D7732" i="2"/>
  <c r="D7733" i="2"/>
  <c r="D7734" i="2"/>
  <c r="D7735" i="2"/>
  <c r="D7736" i="2"/>
  <c r="D7737" i="2"/>
  <c r="D7738" i="2"/>
  <c r="D7739" i="2"/>
  <c r="D7740" i="2"/>
  <c r="D7741" i="2"/>
  <c r="D7742" i="2"/>
  <c r="D7743" i="2"/>
  <c r="D7744" i="2"/>
  <c r="D7745" i="2"/>
  <c r="D7746" i="2"/>
  <c r="D7747" i="2"/>
  <c r="D7748" i="2"/>
  <c r="D7749" i="2"/>
  <c r="D7750" i="2"/>
  <c r="D7751" i="2"/>
  <c r="D7752" i="2"/>
  <c r="D7753" i="2"/>
  <c r="D7754" i="2"/>
  <c r="D7755" i="2"/>
  <c r="D7756" i="2"/>
  <c r="D7757" i="2"/>
  <c r="D7758" i="2"/>
  <c r="D7759" i="2"/>
  <c r="D7760" i="2"/>
  <c r="D7761" i="2"/>
  <c r="D7762" i="2"/>
  <c r="D7763" i="2"/>
  <c r="D7764" i="2"/>
  <c r="D7765" i="2"/>
  <c r="D7766" i="2"/>
  <c r="D7767" i="2"/>
  <c r="D7768" i="2"/>
  <c r="D7769" i="2"/>
  <c r="D7770" i="2"/>
  <c r="D7771" i="2"/>
  <c r="D7772" i="2"/>
  <c r="D7773" i="2"/>
  <c r="D7774" i="2"/>
  <c r="D7775" i="2"/>
  <c r="D7776" i="2"/>
  <c r="D7777" i="2"/>
  <c r="D7778" i="2"/>
  <c r="D7779" i="2"/>
  <c r="D7780" i="2"/>
  <c r="D7781" i="2"/>
  <c r="D7782" i="2"/>
  <c r="D7783" i="2"/>
  <c r="D7784" i="2"/>
  <c r="D7785" i="2"/>
  <c r="D7786" i="2"/>
  <c r="D7787" i="2"/>
  <c r="D7788" i="2"/>
  <c r="D7789" i="2"/>
  <c r="D7790" i="2"/>
  <c r="D7791" i="2"/>
  <c r="D7792" i="2"/>
  <c r="D7793" i="2"/>
  <c r="D7794" i="2"/>
  <c r="D7795" i="2"/>
  <c r="D7796" i="2"/>
  <c r="D7797" i="2"/>
  <c r="D7798" i="2"/>
  <c r="D7799" i="2"/>
  <c r="D7800" i="2"/>
  <c r="D7801" i="2"/>
  <c r="D7802" i="2"/>
  <c r="D7803" i="2"/>
  <c r="D7804" i="2"/>
  <c r="D7805" i="2"/>
  <c r="D7806" i="2"/>
  <c r="D7807" i="2"/>
  <c r="D7808" i="2"/>
  <c r="D7809" i="2"/>
  <c r="D7810" i="2"/>
  <c r="D7811" i="2"/>
  <c r="D7812" i="2"/>
  <c r="D7813" i="2"/>
  <c r="D7814" i="2"/>
  <c r="D7815" i="2"/>
  <c r="D7816" i="2"/>
  <c r="D7817" i="2"/>
  <c r="D7818" i="2"/>
  <c r="D7819" i="2"/>
  <c r="D7820" i="2"/>
  <c r="D7821" i="2"/>
  <c r="D7822" i="2"/>
  <c r="D7823" i="2"/>
  <c r="D7824" i="2"/>
  <c r="D7825" i="2"/>
  <c r="D7826" i="2"/>
  <c r="D7827" i="2"/>
  <c r="D7828" i="2"/>
  <c r="D7829" i="2"/>
  <c r="D7830" i="2"/>
  <c r="D7831" i="2"/>
  <c r="D7832" i="2"/>
  <c r="D7833" i="2"/>
  <c r="D7834" i="2"/>
  <c r="D7835" i="2"/>
  <c r="D7836" i="2"/>
  <c r="D7837" i="2"/>
  <c r="D7838" i="2"/>
  <c r="D7839" i="2"/>
  <c r="D7840" i="2"/>
  <c r="D7841" i="2"/>
  <c r="D7842" i="2"/>
  <c r="D7843" i="2"/>
  <c r="D7844" i="2"/>
  <c r="D7845" i="2"/>
  <c r="D7846" i="2"/>
  <c r="D7847" i="2"/>
  <c r="D7848" i="2"/>
  <c r="D7849" i="2"/>
  <c r="D7850" i="2"/>
  <c r="D7851" i="2"/>
  <c r="D7852" i="2"/>
  <c r="D7853" i="2"/>
  <c r="D7854" i="2"/>
  <c r="D7855" i="2"/>
  <c r="D7856" i="2"/>
  <c r="D7857" i="2"/>
  <c r="D7858" i="2"/>
  <c r="D7859" i="2"/>
  <c r="D7860" i="2"/>
  <c r="D7861" i="2"/>
  <c r="D7862" i="2"/>
  <c r="D7863" i="2"/>
  <c r="D7864" i="2"/>
  <c r="D7865" i="2"/>
  <c r="D7866" i="2"/>
  <c r="D7867" i="2"/>
  <c r="D7868" i="2"/>
  <c r="D7869" i="2"/>
  <c r="D7870" i="2"/>
  <c r="D7871" i="2"/>
  <c r="D7872" i="2"/>
  <c r="D7873" i="2"/>
  <c r="D7874" i="2"/>
  <c r="D7875" i="2"/>
  <c r="D7876" i="2"/>
  <c r="D7877" i="2"/>
  <c r="D7878" i="2"/>
  <c r="D7879" i="2"/>
  <c r="D7880" i="2"/>
  <c r="D7881" i="2"/>
  <c r="D7882" i="2"/>
  <c r="D7883" i="2"/>
  <c r="D7884" i="2"/>
  <c r="D7885" i="2"/>
  <c r="D7886" i="2"/>
  <c r="D7887" i="2"/>
  <c r="D7888" i="2"/>
  <c r="D7889" i="2"/>
  <c r="D7890" i="2"/>
  <c r="D7891" i="2"/>
  <c r="D7892" i="2"/>
  <c r="D7893" i="2"/>
  <c r="D7894" i="2"/>
  <c r="D7895" i="2"/>
  <c r="D7896" i="2"/>
  <c r="D7897" i="2"/>
  <c r="D7898" i="2"/>
  <c r="D7899" i="2"/>
  <c r="D7900" i="2"/>
  <c r="D7901" i="2"/>
  <c r="D7902" i="2"/>
  <c r="D7903" i="2"/>
  <c r="D7904" i="2"/>
  <c r="D7905" i="2"/>
  <c r="D7906" i="2"/>
  <c r="D7907" i="2"/>
  <c r="D7908" i="2"/>
  <c r="D7909" i="2"/>
  <c r="D7910" i="2"/>
  <c r="D7911" i="2"/>
  <c r="D7912" i="2"/>
  <c r="D7913" i="2"/>
  <c r="D7914" i="2"/>
  <c r="D7915" i="2"/>
  <c r="D7916" i="2"/>
  <c r="D7917" i="2"/>
  <c r="D7918" i="2"/>
  <c r="D7919" i="2"/>
  <c r="D7920" i="2"/>
  <c r="D7921" i="2"/>
  <c r="D7922" i="2"/>
  <c r="D7923" i="2"/>
  <c r="D7924" i="2"/>
  <c r="D7925" i="2"/>
  <c r="D7926" i="2"/>
  <c r="D7927" i="2"/>
  <c r="D7928" i="2"/>
  <c r="D7929" i="2"/>
  <c r="D7930" i="2"/>
  <c r="D7931" i="2"/>
  <c r="D7932" i="2"/>
  <c r="D7933" i="2"/>
  <c r="D7934" i="2"/>
  <c r="D7935" i="2"/>
  <c r="D7936" i="2"/>
  <c r="D7937" i="2"/>
  <c r="D7938" i="2"/>
  <c r="D7939" i="2"/>
  <c r="D7940" i="2"/>
  <c r="D7941" i="2"/>
  <c r="D7942" i="2"/>
  <c r="D7943" i="2"/>
  <c r="D7944" i="2"/>
  <c r="D7945" i="2"/>
  <c r="D7946" i="2"/>
  <c r="D7947" i="2"/>
  <c r="D7948" i="2"/>
  <c r="D7949" i="2"/>
  <c r="D7950" i="2"/>
  <c r="D7951" i="2"/>
  <c r="D7952" i="2"/>
  <c r="D7953" i="2"/>
  <c r="D7954" i="2"/>
  <c r="D7955" i="2"/>
  <c r="D7956" i="2"/>
  <c r="D7957" i="2"/>
  <c r="D7958" i="2"/>
  <c r="D7959" i="2"/>
  <c r="D7960" i="2"/>
  <c r="D7961" i="2"/>
  <c r="D7962" i="2"/>
  <c r="D7963" i="2"/>
  <c r="D7964" i="2"/>
  <c r="D7965" i="2"/>
  <c r="D7966" i="2"/>
  <c r="D7967" i="2"/>
  <c r="D7968" i="2"/>
  <c r="D7969" i="2"/>
  <c r="D7970" i="2"/>
  <c r="D7971" i="2"/>
  <c r="D7972" i="2"/>
  <c r="D7973" i="2"/>
  <c r="D7974" i="2"/>
  <c r="D7975" i="2"/>
  <c r="D7976" i="2"/>
  <c r="D7977" i="2"/>
  <c r="D7978" i="2"/>
  <c r="D7979" i="2"/>
  <c r="D7980" i="2"/>
  <c r="D7981" i="2"/>
  <c r="D7982" i="2"/>
  <c r="D7983" i="2"/>
  <c r="D7984" i="2"/>
  <c r="D7985" i="2"/>
  <c r="D7986" i="2"/>
  <c r="D7987" i="2"/>
  <c r="D7988" i="2"/>
  <c r="D7989" i="2"/>
  <c r="D7990" i="2"/>
  <c r="D7991" i="2"/>
  <c r="D7992" i="2"/>
  <c r="D7993" i="2"/>
  <c r="D7994" i="2"/>
  <c r="D7995" i="2"/>
  <c r="D7996" i="2"/>
  <c r="D7997" i="2"/>
  <c r="D7998" i="2"/>
  <c r="D7999" i="2"/>
  <c r="D8000" i="2"/>
  <c r="D8001" i="2"/>
  <c r="D8002" i="2"/>
  <c r="D8003" i="2"/>
  <c r="D8004" i="2"/>
  <c r="D8005" i="2"/>
  <c r="D8006" i="2"/>
  <c r="D8007" i="2"/>
  <c r="D8008" i="2"/>
  <c r="D8009" i="2"/>
  <c r="D8010" i="2"/>
  <c r="D8011" i="2"/>
  <c r="D8012" i="2"/>
  <c r="D8013" i="2"/>
  <c r="D8014" i="2"/>
  <c r="D8015" i="2"/>
  <c r="D8016" i="2"/>
  <c r="D8017" i="2"/>
  <c r="D8018" i="2"/>
  <c r="D8019" i="2"/>
  <c r="D8020" i="2"/>
  <c r="D8021" i="2"/>
  <c r="D8022" i="2"/>
  <c r="D8023" i="2"/>
  <c r="D8024" i="2"/>
  <c r="D8025" i="2"/>
  <c r="D8026" i="2"/>
  <c r="D8027" i="2"/>
  <c r="D8028" i="2"/>
  <c r="D8029" i="2"/>
  <c r="D8030" i="2"/>
  <c r="D8031" i="2"/>
  <c r="D8032" i="2"/>
  <c r="D8033" i="2"/>
  <c r="D8034" i="2"/>
  <c r="D8035" i="2"/>
  <c r="D8036" i="2"/>
  <c r="D8037" i="2"/>
  <c r="D8038" i="2"/>
  <c r="D8039" i="2"/>
  <c r="D8040" i="2"/>
  <c r="D8041" i="2"/>
  <c r="D8042" i="2"/>
  <c r="D8043" i="2"/>
  <c r="D8044" i="2"/>
  <c r="D8045" i="2"/>
  <c r="D8046" i="2"/>
  <c r="D8047" i="2"/>
  <c r="D8048" i="2"/>
  <c r="D8049" i="2"/>
  <c r="D8050" i="2"/>
  <c r="D8051" i="2"/>
  <c r="D8052" i="2"/>
  <c r="D8053" i="2"/>
  <c r="D8054" i="2"/>
  <c r="D8055" i="2"/>
  <c r="D8056" i="2"/>
  <c r="D8057" i="2"/>
  <c r="D8058" i="2"/>
  <c r="D8059" i="2"/>
  <c r="D8060" i="2"/>
  <c r="D8061" i="2"/>
  <c r="D8062" i="2"/>
  <c r="D8063" i="2"/>
  <c r="D8064" i="2"/>
  <c r="D8065" i="2"/>
  <c r="D8066" i="2"/>
  <c r="D8067" i="2"/>
  <c r="D8068" i="2"/>
  <c r="D8069" i="2"/>
  <c r="D8070" i="2"/>
  <c r="D8071" i="2"/>
  <c r="D8072" i="2"/>
  <c r="D8073" i="2"/>
  <c r="D8074" i="2"/>
  <c r="D8075" i="2"/>
  <c r="D8076" i="2"/>
  <c r="D8077" i="2"/>
  <c r="D8078" i="2"/>
  <c r="D8079" i="2"/>
  <c r="D8080" i="2"/>
  <c r="D8081" i="2"/>
  <c r="D8082" i="2"/>
  <c r="D8083" i="2"/>
  <c r="D8084" i="2"/>
  <c r="D8085" i="2"/>
  <c r="D8086" i="2"/>
  <c r="D8087" i="2"/>
  <c r="D8088" i="2"/>
  <c r="D8089" i="2"/>
  <c r="D8090" i="2"/>
  <c r="D8091" i="2"/>
  <c r="D8092" i="2"/>
  <c r="D8093" i="2"/>
  <c r="D8094" i="2"/>
  <c r="D8095" i="2"/>
  <c r="D8096" i="2"/>
  <c r="D8097" i="2"/>
  <c r="D8098" i="2"/>
  <c r="D8099" i="2"/>
  <c r="D8100" i="2"/>
  <c r="D8101" i="2"/>
  <c r="D8102" i="2"/>
  <c r="D8103" i="2"/>
  <c r="D8104" i="2"/>
  <c r="D8105" i="2"/>
  <c r="D8106" i="2"/>
  <c r="D8107" i="2"/>
  <c r="D8108" i="2"/>
  <c r="D8109" i="2"/>
  <c r="D8110" i="2"/>
  <c r="D8111" i="2"/>
  <c r="D8112" i="2"/>
  <c r="D8113" i="2"/>
  <c r="D8114" i="2"/>
  <c r="D8115" i="2"/>
  <c r="D8116" i="2"/>
  <c r="D8117" i="2"/>
  <c r="D8118" i="2"/>
  <c r="D8119" i="2"/>
  <c r="D8120" i="2"/>
  <c r="D8121" i="2"/>
  <c r="D8122" i="2"/>
  <c r="D8123" i="2"/>
  <c r="D8124" i="2"/>
  <c r="D8125" i="2"/>
  <c r="D8126" i="2"/>
  <c r="D8127" i="2"/>
  <c r="D8128" i="2"/>
  <c r="D8129" i="2"/>
  <c r="D8130" i="2"/>
  <c r="D8131" i="2"/>
  <c r="D8132" i="2"/>
  <c r="D8133" i="2"/>
  <c r="D8134" i="2"/>
  <c r="D8135" i="2"/>
  <c r="D8136" i="2"/>
  <c r="D8137" i="2"/>
  <c r="D8138" i="2"/>
  <c r="D8139" i="2"/>
  <c r="D8140" i="2"/>
  <c r="D8141" i="2"/>
  <c r="D8142" i="2"/>
  <c r="D8143" i="2"/>
  <c r="D8144" i="2"/>
  <c r="D8145" i="2"/>
  <c r="D8146" i="2"/>
  <c r="D8147" i="2"/>
  <c r="D8148" i="2"/>
  <c r="D8149" i="2"/>
  <c r="D8150" i="2"/>
  <c r="D8151" i="2"/>
  <c r="D8152" i="2"/>
  <c r="D8153" i="2"/>
  <c r="D8154" i="2"/>
  <c r="D8155" i="2"/>
  <c r="D8156" i="2"/>
  <c r="D8157" i="2"/>
  <c r="D8158" i="2"/>
  <c r="D8159" i="2"/>
  <c r="D8160" i="2"/>
  <c r="D8161" i="2"/>
  <c r="D8162" i="2"/>
  <c r="D8163" i="2"/>
  <c r="D8164" i="2"/>
  <c r="D8165" i="2"/>
  <c r="D8166" i="2"/>
  <c r="D8167" i="2"/>
  <c r="D8168" i="2"/>
  <c r="D8169" i="2"/>
  <c r="D8170" i="2"/>
  <c r="D8171" i="2"/>
  <c r="D8172" i="2"/>
  <c r="D8173" i="2"/>
  <c r="D8174" i="2"/>
  <c r="D8175" i="2"/>
  <c r="D8176" i="2"/>
  <c r="D8177" i="2"/>
  <c r="D8178" i="2"/>
  <c r="D8179" i="2"/>
  <c r="D8180" i="2"/>
  <c r="D8181" i="2"/>
  <c r="D8182" i="2"/>
  <c r="D8183" i="2"/>
  <c r="D8184" i="2"/>
  <c r="D8185" i="2"/>
  <c r="D8186" i="2"/>
  <c r="D8187" i="2"/>
  <c r="D8188" i="2"/>
  <c r="D8189" i="2"/>
  <c r="D8190" i="2"/>
  <c r="D8191" i="2"/>
  <c r="D8192" i="2"/>
  <c r="D8193" i="2"/>
  <c r="D8194" i="2"/>
  <c r="D8195" i="2"/>
  <c r="D8196" i="2"/>
  <c r="D8197" i="2"/>
  <c r="D8198" i="2"/>
  <c r="D8199" i="2"/>
  <c r="D8200" i="2"/>
  <c r="D8201" i="2"/>
  <c r="D8202" i="2"/>
  <c r="D8203" i="2"/>
  <c r="D8204" i="2"/>
  <c r="D8205" i="2"/>
  <c r="D8206" i="2"/>
  <c r="D8207" i="2"/>
  <c r="D8208" i="2"/>
  <c r="D8209" i="2"/>
  <c r="D8210" i="2"/>
  <c r="D8211" i="2"/>
  <c r="D8212" i="2"/>
  <c r="D8213" i="2"/>
  <c r="D8214" i="2"/>
  <c r="D8215" i="2"/>
  <c r="D8216" i="2"/>
  <c r="D8217" i="2"/>
  <c r="D8218" i="2"/>
  <c r="D8219" i="2"/>
  <c r="D8220" i="2"/>
  <c r="D8221" i="2"/>
  <c r="D8222" i="2"/>
  <c r="D8223" i="2"/>
  <c r="D8224" i="2"/>
  <c r="D8225" i="2"/>
  <c r="D8226" i="2"/>
  <c r="D8227" i="2"/>
  <c r="D8228" i="2"/>
  <c r="D8229" i="2"/>
  <c r="D8230" i="2"/>
  <c r="D8231" i="2"/>
  <c r="D8232" i="2"/>
  <c r="D8233" i="2"/>
  <c r="D8234" i="2"/>
  <c r="D8235" i="2"/>
  <c r="D8236" i="2"/>
  <c r="D8237" i="2"/>
  <c r="D8238" i="2"/>
  <c r="D8239" i="2"/>
  <c r="D8240" i="2"/>
  <c r="D8241" i="2"/>
  <c r="D8242" i="2"/>
  <c r="D8243" i="2"/>
  <c r="D8244" i="2"/>
  <c r="D8245" i="2"/>
  <c r="D8246" i="2"/>
  <c r="D8247" i="2"/>
  <c r="D8248" i="2"/>
  <c r="D8249" i="2"/>
  <c r="D8250" i="2"/>
  <c r="D8251" i="2"/>
  <c r="D8252" i="2"/>
  <c r="D8253" i="2"/>
  <c r="D8254" i="2"/>
  <c r="D8255" i="2"/>
  <c r="D8256" i="2"/>
  <c r="D8257" i="2"/>
  <c r="D8258" i="2"/>
  <c r="D8259" i="2"/>
  <c r="D8260" i="2"/>
  <c r="D8261" i="2"/>
  <c r="D8262" i="2"/>
  <c r="D8263" i="2"/>
  <c r="D8264" i="2"/>
  <c r="D8265" i="2"/>
  <c r="D8266" i="2"/>
  <c r="D8267" i="2"/>
  <c r="D8268" i="2"/>
  <c r="D8269" i="2"/>
  <c r="D8270" i="2"/>
  <c r="D8271" i="2"/>
  <c r="D8272" i="2"/>
  <c r="D8273" i="2"/>
  <c r="D8274" i="2"/>
  <c r="D8275" i="2"/>
  <c r="D8276" i="2"/>
  <c r="D8277" i="2"/>
  <c r="D8278" i="2"/>
  <c r="D8279" i="2"/>
  <c r="D8280" i="2"/>
  <c r="D8281" i="2"/>
  <c r="D8282" i="2"/>
  <c r="D8283" i="2"/>
  <c r="D8284" i="2"/>
  <c r="D8285" i="2"/>
  <c r="D8286" i="2"/>
  <c r="D8287" i="2"/>
  <c r="D8288" i="2"/>
  <c r="D8289" i="2"/>
  <c r="D8290" i="2"/>
  <c r="D8291" i="2"/>
  <c r="D8292" i="2"/>
  <c r="D8293" i="2"/>
  <c r="D8294" i="2"/>
  <c r="D8295" i="2"/>
  <c r="D8296" i="2"/>
  <c r="D8297" i="2"/>
  <c r="D8298" i="2"/>
  <c r="D8299" i="2"/>
  <c r="D8300" i="2"/>
  <c r="D8301" i="2"/>
  <c r="D8302" i="2"/>
  <c r="D8303" i="2"/>
  <c r="D8304" i="2"/>
  <c r="D8305" i="2"/>
  <c r="D8306" i="2"/>
  <c r="D8307" i="2"/>
  <c r="D8308" i="2"/>
  <c r="D8309" i="2"/>
  <c r="D8310" i="2"/>
  <c r="D8311" i="2"/>
  <c r="D8312" i="2"/>
  <c r="D8313" i="2"/>
  <c r="D8314" i="2"/>
  <c r="D8315" i="2"/>
  <c r="D8316" i="2"/>
  <c r="D8317" i="2"/>
  <c r="D8318" i="2"/>
  <c r="D8319" i="2"/>
  <c r="D8320" i="2"/>
  <c r="D8321" i="2"/>
  <c r="D8322" i="2"/>
  <c r="D8323" i="2"/>
  <c r="D8324" i="2"/>
  <c r="D8325" i="2"/>
  <c r="D8326" i="2"/>
  <c r="D8327" i="2"/>
  <c r="D8328" i="2"/>
  <c r="D8329" i="2"/>
  <c r="D8330" i="2"/>
  <c r="D8331" i="2"/>
  <c r="D8332" i="2"/>
  <c r="D8333" i="2"/>
  <c r="D8334" i="2"/>
  <c r="D8335" i="2"/>
  <c r="D8336" i="2"/>
  <c r="D8337" i="2"/>
  <c r="D8338" i="2"/>
  <c r="D8339" i="2"/>
  <c r="D8340" i="2"/>
  <c r="D8341" i="2"/>
  <c r="D8342" i="2"/>
  <c r="D8343" i="2"/>
  <c r="D8344" i="2"/>
  <c r="D8345" i="2"/>
  <c r="D8346" i="2"/>
  <c r="D8347" i="2"/>
  <c r="D8348" i="2"/>
  <c r="D8349" i="2"/>
  <c r="D8350" i="2"/>
  <c r="D8351" i="2"/>
  <c r="D8352" i="2"/>
  <c r="D8353" i="2"/>
  <c r="D8354" i="2"/>
  <c r="D8355" i="2"/>
  <c r="D8356" i="2"/>
  <c r="D8357" i="2"/>
  <c r="D8358" i="2"/>
  <c r="D8359" i="2"/>
  <c r="D8360" i="2"/>
  <c r="D8361" i="2"/>
  <c r="D8362" i="2"/>
  <c r="D8363" i="2"/>
  <c r="D8364" i="2"/>
  <c r="D8365" i="2"/>
  <c r="D8366" i="2"/>
  <c r="D8367" i="2"/>
  <c r="D8368" i="2"/>
  <c r="D8369" i="2"/>
  <c r="D8370" i="2"/>
  <c r="D8371" i="2"/>
  <c r="D8372" i="2"/>
  <c r="D8373" i="2"/>
  <c r="D8374" i="2"/>
  <c r="D8375" i="2"/>
  <c r="D8376" i="2"/>
  <c r="D8377" i="2"/>
  <c r="D8378" i="2"/>
  <c r="D8379" i="2"/>
  <c r="D8380" i="2"/>
  <c r="D8381" i="2"/>
  <c r="D8382" i="2"/>
  <c r="D8383" i="2"/>
  <c r="D8384" i="2"/>
  <c r="D8385" i="2"/>
  <c r="D8386" i="2"/>
  <c r="D8387" i="2"/>
  <c r="D8388" i="2"/>
  <c r="D8389" i="2"/>
  <c r="D8390" i="2"/>
  <c r="D8391" i="2"/>
  <c r="D8392" i="2"/>
  <c r="D8393" i="2"/>
  <c r="D8394" i="2"/>
  <c r="D8395" i="2"/>
  <c r="D8396" i="2"/>
  <c r="D8397" i="2"/>
  <c r="D8398" i="2"/>
  <c r="D8399" i="2"/>
  <c r="D8400" i="2"/>
  <c r="D8401" i="2"/>
  <c r="D8402" i="2"/>
  <c r="D8403" i="2"/>
  <c r="D8404" i="2"/>
  <c r="D8405" i="2"/>
  <c r="D8406" i="2"/>
  <c r="D8407" i="2"/>
  <c r="D8408" i="2"/>
  <c r="D8409" i="2"/>
  <c r="D8410" i="2"/>
  <c r="D8411" i="2"/>
  <c r="D8412" i="2"/>
  <c r="D8413" i="2"/>
  <c r="D8414" i="2"/>
  <c r="D8415" i="2"/>
  <c r="D8416" i="2"/>
  <c r="D8417" i="2"/>
  <c r="D8418" i="2"/>
  <c r="D8419" i="2"/>
  <c r="D8420" i="2"/>
  <c r="D8421" i="2"/>
  <c r="D8422" i="2"/>
  <c r="D8423" i="2"/>
  <c r="D8424" i="2"/>
  <c r="D8425" i="2"/>
  <c r="D8426" i="2"/>
  <c r="D8427" i="2"/>
  <c r="D8428" i="2"/>
  <c r="D8429" i="2"/>
  <c r="D8430" i="2"/>
  <c r="D8431" i="2"/>
  <c r="D8432" i="2"/>
  <c r="D8433" i="2"/>
  <c r="D8434" i="2"/>
  <c r="D8435" i="2"/>
  <c r="D8436" i="2"/>
  <c r="D8437" i="2"/>
  <c r="D8438" i="2"/>
  <c r="D8439" i="2"/>
  <c r="D8440" i="2"/>
  <c r="D8441" i="2"/>
  <c r="D8442" i="2"/>
  <c r="D8443" i="2"/>
  <c r="D8444" i="2"/>
  <c r="D8445" i="2"/>
  <c r="D8446" i="2"/>
  <c r="D8447" i="2"/>
  <c r="D8448" i="2"/>
  <c r="D8449" i="2"/>
  <c r="D8450" i="2"/>
  <c r="D8451" i="2"/>
  <c r="D8452" i="2"/>
  <c r="D8453" i="2"/>
  <c r="D8454" i="2"/>
  <c r="D8455" i="2"/>
  <c r="D8456" i="2"/>
  <c r="D8457" i="2"/>
  <c r="D8458" i="2"/>
  <c r="D8459" i="2"/>
  <c r="D8460" i="2"/>
  <c r="D8461" i="2"/>
  <c r="D8462" i="2"/>
  <c r="D8463" i="2"/>
  <c r="D8464" i="2"/>
  <c r="D8465" i="2"/>
  <c r="D8466" i="2"/>
  <c r="D8467" i="2"/>
  <c r="D8468" i="2"/>
  <c r="D8469" i="2"/>
  <c r="D8470" i="2"/>
  <c r="D8471" i="2"/>
  <c r="D8472" i="2"/>
  <c r="D8473" i="2"/>
  <c r="D8474" i="2"/>
  <c r="D8475" i="2"/>
  <c r="D8476" i="2"/>
  <c r="D8477" i="2"/>
  <c r="D8478" i="2"/>
  <c r="D8479" i="2"/>
  <c r="D8480" i="2"/>
  <c r="D8481" i="2"/>
  <c r="D8482" i="2"/>
  <c r="D8483" i="2"/>
  <c r="D8484" i="2"/>
  <c r="D8485" i="2"/>
  <c r="D8486" i="2"/>
  <c r="D8487" i="2"/>
  <c r="D8488" i="2"/>
  <c r="D8489" i="2"/>
  <c r="D8490" i="2"/>
  <c r="D8491" i="2"/>
  <c r="D8492" i="2"/>
  <c r="D8493" i="2"/>
  <c r="D8494" i="2"/>
  <c r="D8495" i="2"/>
  <c r="D8496" i="2"/>
  <c r="D8497" i="2"/>
  <c r="D8498" i="2"/>
  <c r="D8499" i="2"/>
  <c r="D8500" i="2"/>
  <c r="D8501" i="2"/>
  <c r="D8502" i="2"/>
  <c r="D8503" i="2"/>
  <c r="D8504" i="2"/>
  <c r="D8505" i="2"/>
  <c r="D8506" i="2"/>
  <c r="D8507" i="2"/>
  <c r="D8508" i="2"/>
  <c r="D8509" i="2"/>
  <c r="D8510" i="2"/>
  <c r="D8511" i="2"/>
  <c r="D8512" i="2"/>
  <c r="D8513" i="2"/>
  <c r="D8514" i="2"/>
  <c r="D8515" i="2"/>
  <c r="D8516" i="2"/>
  <c r="D8517" i="2"/>
  <c r="D8518" i="2"/>
  <c r="D8519" i="2"/>
  <c r="D8520" i="2"/>
  <c r="D8521" i="2"/>
  <c r="D8522" i="2"/>
  <c r="D8523" i="2"/>
  <c r="D8524" i="2"/>
  <c r="D8525" i="2"/>
  <c r="D8526" i="2"/>
  <c r="D8527" i="2"/>
  <c r="D8528" i="2"/>
  <c r="D8529" i="2"/>
  <c r="D8530" i="2"/>
  <c r="D8531" i="2"/>
  <c r="D8532" i="2"/>
  <c r="D8533" i="2"/>
  <c r="D8534" i="2"/>
  <c r="D8535" i="2"/>
  <c r="D8536" i="2"/>
  <c r="D8537" i="2"/>
  <c r="D8538" i="2"/>
  <c r="D8539" i="2"/>
  <c r="D8540" i="2"/>
  <c r="D8541" i="2"/>
  <c r="D8542" i="2"/>
  <c r="D8543" i="2"/>
  <c r="D8544" i="2"/>
  <c r="D8545" i="2"/>
  <c r="D8546" i="2"/>
  <c r="D8547" i="2"/>
  <c r="D8548" i="2"/>
  <c r="D8549" i="2"/>
  <c r="D8550" i="2"/>
  <c r="D8551" i="2"/>
  <c r="D8552" i="2"/>
  <c r="D8553" i="2"/>
  <c r="D8554" i="2"/>
  <c r="D8555" i="2"/>
  <c r="D8556" i="2"/>
  <c r="D8557" i="2"/>
  <c r="D8558" i="2"/>
  <c r="D8559" i="2"/>
  <c r="D8560" i="2"/>
  <c r="D8561" i="2"/>
  <c r="D8562" i="2"/>
  <c r="D8563" i="2"/>
  <c r="D8564" i="2"/>
  <c r="D8565" i="2"/>
  <c r="D8566" i="2"/>
  <c r="D8567" i="2"/>
  <c r="D8568" i="2"/>
  <c r="D8569" i="2"/>
  <c r="D8570" i="2"/>
  <c r="D8571" i="2"/>
  <c r="D8572" i="2"/>
  <c r="D8573" i="2"/>
  <c r="D8574" i="2"/>
  <c r="D8575" i="2"/>
  <c r="D8576" i="2"/>
  <c r="D8577" i="2"/>
  <c r="D8578" i="2"/>
  <c r="D8579" i="2"/>
  <c r="D8580" i="2"/>
  <c r="D8581" i="2"/>
  <c r="D8582" i="2"/>
  <c r="D8583" i="2"/>
  <c r="D8584" i="2"/>
  <c r="D8585" i="2"/>
  <c r="D8586" i="2"/>
  <c r="D8587" i="2"/>
  <c r="D8588" i="2"/>
  <c r="D8589" i="2"/>
  <c r="D8590" i="2"/>
  <c r="D8591" i="2"/>
  <c r="D8592" i="2"/>
  <c r="D8593" i="2"/>
  <c r="D8594" i="2"/>
  <c r="D8595" i="2"/>
  <c r="D8596" i="2"/>
  <c r="D8597" i="2"/>
  <c r="D8598" i="2"/>
  <c r="D8599" i="2"/>
  <c r="D8600" i="2"/>
  <c r="D8601" i="2"/>
  <c r="D8602" i="2"/>
  <c r="D8603" i="2"/>
  <c r="D8604" i="2"/>
  <c r="D8605" i="2"/>
  <c r="D8606" i="2"/>
  <c r="D8607" i="2"/>
  <c r="D8608" i="2"/>
  <c r="D8609" i="2"/>
  <c r="D8610" i="2"/>
  <c r="D8611" i="2"/>
  <c r="D8612" i="2"/>
  <c r="D8613" i="2"/>
  <c r="D8614" i="2"/>
  <c r="D8615" i="2"/>
  <c r="D8616" i="2"/>
  <c r="D8617" i="2"/>
  <c r="D8618" i="2"/>
  <c r="D8619" i="2"/>
  <c r="D8620" i="2"/>
  <c r="D8621" i="2"/>
  <c r="D8622" i="2"/>
  <c r="D8623" i="2"/>
  <c r="D8624" i="2"/>
  <c r="D8625" i="2"/>
  <c r="D8626" i="2"/>
  <c r="D8627" i="2"/>
  <c r="D8628" i="2"/>
  <c r="D8629" i="2"/>
  <c r="D8630" i="2"/>
  <c r="D8631" i="2"/>
  <c r="D8632" i="2"/>
  <c r="D8633" i="2"/>
  <c r="D8634" i="2"/>
  <c r="D8635" i="2"/>
  <c r="D8636" i="2"/>
  <c r="D8637" i="2"/>
  <c r="D8638" i="2"/>
  <c r="D8639" i="2"/>
  <c r="D8640" i="2"/>
  <c r="D8641" i="2"/>
  <c r="D8642" i="2"/>
  <c r="D8643" i="2"/>
  <c r="D8644" i="2"/>
  <c r="D8645" i="2"/>
  <c r="D8646" i="2"/>
  <c r="D8647" i="2"/>
  <c r="D8648" i="2"/>
  <c r="D8649" i="2"/>
  <c r="D8650" i="2"/>
  <c r="D8651" i="2"/>
  <c r="D8652" i="2"/>
  <c r="D8653" i="2"/>
  <c r="D8654" i="2"/>
  <c r="D8655" i="2"/>
  <c r="D8656" i="2"/>
  <c r="D8657" i="2"/>
  <c r="D8658" i="2"/>
  <c r="D8659" i="2"/>
  <c r="D8660" i="2"/>
  <c r="D8661" i="2"/>
  <c r="D8662" i="2"/>
  <c r="D8663" i="2"/>
  <c r="D8664" i="2"/>
  <c r="D8665" i="2"/>
  <c r="D8666" i="2"/>
  <c r="D8667" i="2"/>
  <c r="D8668" i="2"/>
  <c r="D8669" i="2"/>
  <c r="D8670" i="2"/>
  <c r="D8671" i="2"/>
  <c r="D8672" i="2"/>
  <c r="D8673" i="2"/>
  <c r="D8674" i="2"/>
  <c r="D8675" i="2"/>
  <c r="D8676" i="2"/>
  <c r="D8677" i="2"/>
  <c r="D8678" i="2"/>
  <c r="D8679" i="2"/>
  <c r="D8680" i="2"/>
  <c r="D8681" i="2"/>
  <c r="D8682" i="2"/>
  <c r="D8683" i="2"/>
  <c r="D8684" i="2"/>
  <c r="D8685" i="2"/>
  <c r="D8686" i="2"/>
  <c r="D8687" i="2"/>
  <c r="D8688" i="2"/>
  <c r="D8689" i="2"/>
  <c r="D8690" i="2"/>
  <c r="D8691" i="2"/>
  <c r="D8692" i="2"/>
  <c r="D8693" i="2"/>
  <c r="D8694" i="2"/>
  <c r="D8695" i="2"/>
  <c r="D8696" i="2"/>
  <c r="D8697" i="2"/>
  <c r="D8698" i="2"/>
  <c r="D8699" i="2"/>
  <c r="D8700" i="2"/>
  <c r="D8701" i="2"/>
  <c r="D8702" i="2"/>
  <c r="D8703" i="2"/>
  <c r="D8704" i="2"/>
  <c r="D8705" i="2"/>
  <c r="D8706" i="2"/>
  <c r="D8707" i="2"/>
  <c r="D8708" i="2"/>
  <c r="D8709" i="2"/>
  <c r="D8710" i="2"/>
  <c r="D8711" i="2"/>
  <c r="D8712" i="2"/>
  <c r="D8713" i="2"/>
  <c r="D8714" i="2"/>
  <c r="D8715" i="2"/>
  <c r="D8716" i="2"/>
  <c r="D8717" i="2"/>
  <c r="D8718" i="2"/>
  <c r="D8719" i="2"/>
  <c r="D8720" i="2"/>
  <c r="D8721" i="2"/>
  <c r="D8722" i="2"/>
  <c r="D8723" i="2"/>
  <c r="D8724" i="2"/>
  <c r="D8725" i="2"/>
  <c r="D8726" i="2"/>
  <c r="D8727" i="2"/>
  <c r="D8728" i="2"/>
  <c r="D8729" i="2"/>
  <c r="D8730" i="2"/>
  <c r="D8731" i="2"/>
  <c r="D8732" i="2"/>
  <c r="D8733" i="2"/>
  <c r="D8734" i="2"/>
  <c r="D8735" i="2"/>
  <c r="D8736" i="2"/>
  <c r="D8737" i="2"/>
  <c r="D8738" i="2"/>
  <c r="D8739" i="2"/>
  <c r="D8740" i="2"/>
  <c r="D8741" i="2"/>
  <c r="D8742" i="2"/>
  <c r="D8743" i="2"/>
  <c r="D8744" i="2"/>
  <c r="D8745" i="2"/>
  <c r="D8746" i="2"/>
  <c r="D8747" i="2"/>
  <c r="D8748" i="2"/>
  <c r="D8749" i="2"/>
  <c r="D8750" i="2"/>
  <c r="D8751" i="2"/>
  <c r="D8752" i="2"/>
  <c r="D8753" i="2"/>
  <c r="D8754" i="2"/>
  <c r="D8755" i="2"/>
  <c r="D8756" i="2"/>
  <c r="D8757" i="2"/>
  <c r="D8758" i="2"/>
  <c r="D8759" i="2"/>
  <c r="D8760" i="2"/>
  <c r="D8761" i="2"/>
  <c r="D8762" i="2"/>
  <c r="D8763" i="2"/>
  <c r="D8764" i="2"/>
  <c r="D8765" i="2"/>
  <c r="D8766" i="2"/>
  <c r="D8767" i="2"/>
  <c r="D8768" i="2"/>
  <c r="D8769" i="2"/>
  <c r="D8770" i="2"/>
  <c r="D8771" i="2"/>
  <c r="D8772" i="2"/>
  <c r="D8773" i="2"/>
  <c r="D8774" i="2"/>
  <c r="D8775" i="2"/>
  <c r="D8776" i="2"/>
  <c r="D8777" i="2"/>
  <c r="D8778" i="2"/>
  <c r="D8779" i="2"/>
  <c r="D8780" i="2"/>
  <c r="D8781" i="2"/>
  <c r="D8782" i="2"/>
  <c r="D8783" i="2"/>
  <c r="D8784" i="2"/>
  <c r="D8785" i="2"/>
  <c r="D8786" i="2"/>
  <c r="D8787" i="2"/>
  <c r="D8788" i="2"/>
  <c r="D8789" i="2"/>
  <c r="D8790" i="2"/>
  <c r="D8791" i="2"/>
  <c r="D8792" i="2"/>
  <c r="D8793" i="2"/>
  <c r="D8794" i="2"/>
  <c r="D8795" i="2"/>
  <c r="D8796" i="2"/>
  <c r="D8797" i="2"/>
  <c r="D8798" i="2"/>
  <c r="D8799" i="2"/>
  <c r="D8800" i="2"/>
  <c r="D8801" i="2"/>
  <c r="D8802" i="2"/>
  <c r="D8803" i="2"/>
  <c r="D8804" i="2"/>
  <c r="D8805" i="2"/>
  <c r="D8806" i="2"/>
  <c r="D8807" i="2"/>
  <c r="D8808" i="2"/>
  <c r="D8809" i="2"/>
  <c r="D8810" i="2"/>
  <c r="D8811" i="2"/>
  <c r="D8812" i="2"/>
  <c r="D8813" i="2"/>
  <c r="D8814" i="2"/>
  <c r="D8815" i="2"/>
  <c r="D8816" i="2"/>
  <c r="D8817" i="2"/>
  <c r="D8818" i="2"/>
  <c r="D8819" i="2"/>
  <c r="D8820" i="2"/>
  <c r="D8821" i="2"/>
  <c r="D8822" i="2"/>
  <c r="D8823" i="2"/>
  <c r="D8824" i="2"/>
  <c r="D8825" i="2"/>
  <c r="D8826" i="2"/>
  <c r="D8827" i="2"/>
  <c r="D8828" i="2"/>
  <c r="D8829" i="2"/>
  <c r="D8830" i="2"/>
  <c r="D8831" i="2"/>
  <c r="D8832" i="2"/>
  <c r="D8833" i="2"/>
  <c r="D8834" i="2"/>
  <c r="D8835" i="2"/>
  <c r="D8836" i="2"/>
  <c r="D8837" i="2"/>
  <c r="D8838" i="2"/>
  <c r="D8839" i="2"/>
  <c r="D8840" i="2"/>
  <c r="D8841" i="2"/>
  <c r="D8842" i="2"/>
  <c r="D8843" i="2"/>
  <c r="D8844" i="2"/>
  <c r="D8845" i="2"/>
  <c r="D8846" i="2"/>
  <c r="D8847" i="2"/>
  <c r="D8848" i="2"/>
  <c r="D8849" i="2"/>
  <c r="D8850" i="2"/>
  <c r="D8851" i="2"/>
  <c r="D8852" i="2"/>
  <c r="D8853" i="2"/>
  <c r="D8854" i="2"/>
  <c r="D8855" i="2"/>
  <c r="D8856" i="2"/>
  <c r="D8857" i="2"/>
  <c r="D8858" i="2"/>
  <c r="D8859" i="2"/>
  <c r="D8860" i="2"/>
  <c r="D8861" i="2"/>
  <c r="D8862" i="2"/>
  <c r="D8863" i="2"/>
  <c r="D8864" i="2"/>
  <c r="D8865" i="2"/>
  <c r="D8866" i="2"/>
  <c r="D8867" i="2"/>
  <c r="D8868" i="2"/>
  <c r="D8869" i="2"/>
  <c r="D8870" i="2"/>
  <c r="D8871" i="2"/>
  <c r="D8872" i="2"/>
  <c r="D8873" i="2"/>
  <c r="D8874" i="2"/>
  <c r="D8875" i="2"/>
  <c r="D8876" i="2"/>
  <c r="D8877" i="2"/>
  <c r="D8878" i="2"/>
  <c r="D8879" i="2"/>
  <c r="D8880" i="2"/>
  <c r="D8881" i="2"/>
  <c r="D8882" i="2"/>
  <c r="D8883" i="2"/>
  <c r="D8884" i="2"/>
  <c r="D8885" i="2"/>
  <c r="D8886" i="2"/>
  <c r="D8887" i="2"/>
  <c r="D8888" i="2"/>
  <c r="D8889" i="2"/>
  <c r="D8890" i="2"/>
  <c r="D8891" i="2"/>
  <c r="D8892" i="2"/>
  <c r="D8893" i="2"/>
  <c r="D8894" i="2"/>
  <c r="D8895" i="2"/>
  <c r="D8896" i="2"/>
  <c r="D8897" i="2"/>
  <c r="D8898" i="2"/>
  <c r="D8899" i="2"/>
  <c r="D8900" i="2"/>
  <c r="D8901" i="2"/>
  <c r="D8902" i="2"/>
  <c r="D8903" i="2"/>
  <c r="D8904" i="2"/>
  <c r="D8905" i="2"/>
  <c r="D8906" i="2"/>
  <c r="D8907" i="2"/>
  <c r="D8908" i="2"/>
  <c r="D8909" i="2"/>
  <c r="D8910" i="2"/>
  <c r="D8911" i="2"/>
  <c r="D8912" i="2"/>
  <c r="D8913" i="2"/>
  <c r="D8914" i="2"/>
  <c r="D8915" i="2"/>
  <c r="D8916" i="2"/>
  <c r="D8917" i="2"/>
  <c r="D8918" i="2"/>
  <c r="D8919" i="2"/>
  <c r="D8920" i="2"/>
  <c r="D8921" i="2"/>
  <c r="D8922" i="2"/>
  <c r="D8923" i="2"/>
  <c r="D8924" i="2"/>
  <c r="D8925" i="2"/>
  <c r="D8926" i="2"/>
  <c r="D8927" i="2"/>
  <c r="D8928" i="2"/>
  <c r="D8929" i="2"/>
  <c r="D8930" i="2"/>
  <c r="D8931" i="2"/>
  <c r="D8932" i="2"/>
  <c r="D8933" i="2"/>
  <c r="D8934" i="2"/>
  <c r="D8935" i="2"/>
  <c r="D8936" i="2"/>
  <c r="D8937" i="2"/>
  <c r="D8938" i="2"/>
  <c r="D8939" i="2"/>
  <c r="D8940" i="2"/>
  <c r="D8941" i="2"/>
  <c r="D8942" i="2"/>
  <c r="D8943" i="2"/>
  <c r="D8944" i="2"/>
  <c r="D8945" i="2"/>
  <c r="D8946" i="2"/>
  <c r="D8947" i="2"/>
  <c r="D8948" i="2"/>
  <c r="D8949" i="2"/>
  <c r="D8950" i="2"/>
  <c r="D8951" i="2"/>
  <c r="D8952" i="2"/>
  <c r="D8953" i="2"/>
  <c r="D8954" i="2"/>
  <c r="D8955" i="2"/>
  <c r="D8956" i="2"/>
  <c r="D8957" i="2"/>
  <c r="D8958" i="2"/>
  <c r="D8959" i="2"/>
  <c r="D8960" i="2"/>
  <c r="D8961" i="2"/>
  <c r="D8962" i="2"/>
  <c r="D8963" i="2"/>
  <c r="D8964" i="2"/>
  <c r="D8965" i="2"/>
  <c r="D8966" i="2"/>
  <c r="D8967" i="2"/>
  <c r="D8968" i="2"/>
  <c r="D8969" i="2"/>
  <c r="D8970" i="2"/>
  <c r="D8971" i="2"/>
  <c r="D8972" i="2"/>
  <c r="D8973" i="2"/>
  <c r="D8974" i="2"/>
  <c r="D8975" i="2"/>
  <c r="D8976" i="2"/>
  <c r="D8977" i="2"/>
  <c r="D8978" i="2"/>
  <c r="D8979" i="2"/>
  <c r="D8980" i="2"/>
  <c r="D8981" i="2"/>
  <c r="D8982" i="2"/>
  <c r="D8983" i="2"/>
  <c r="D8984" i="2"/>
  <c r="D8985" i="2"/>
  <c r="D8986" i="2"/>
  <c r="D8987" i="2"/>
  <c r="D8988" i="2"/>
  <c r="D8989" i="2"/>
  <c r="D8990" i="2"/>
  <c r="D8991" i="2"/>
  <c r="D8992" i="2"/>
  <c r="D8993" i="2"/>
  <c r="D8994" i="2"/>
  <c r="D8995" i="2"/>
  <c r="D8996" i="2"/>
  <c r="D8997" i="2"/>
  <c r="D8998" i="2"/>
  <c r="D8999" i="2"/>
  <c r="D9000" i="2"/>
  <c r="D9001" i="2"/>
  <c r="D9002" i="2"/>
  <c r="D9003" i="2"/>
  <c r="D9004" i="2"/>
  <c r="D9005" i="2"/>
  <c r="D9006" i="2"/>
  <c r="D9007" i="2"/>
  <c r="D9008" i="2"/>
  <c r="D9009" i="2"/>
  <c r="D9010" i="2"/>
  <c r="D9011" i="2"/>
  <c r="D9012" i="2"/>
  <c r="D9013" i="2"/>
  <c r="D9014" i="2"/>
  <c r="D9015" i="2"/>
  <c r="D9016" i="2"/>
  <c r="D9017" i="2"/>
  <c r="D9018" i="2"/>
  <c r="D9019" i="2"/>
  <c r="D9020" i="2"/>
  <c r="D9021" i="2"/>
  <c r="D9022" i="2"/>
  <c r="D9023" i="2"/>
  <c r="D9024" i="2"/>
  <c r="D9025" i="2"/>
  <c r="D9026" i="2"/>
  <c r="D9027" i="2"/>
  <c r="D9028" i="2"/>
  <c r="D9029" i="2"/>
  <c r="D9030" i="2"/>
  <c r="D9031" i="2"/>
  <c r="D9032" i="2"/>
  <c r="D9033" i="2"/>
  <c r="D9034" i="2"/>
  <c r="D9035" i="2"/>
  <c r="D9036" i="2"/>
  <c r="D9037" i="2"/>
  <c r="D9038" i="2"/>
  <c r="D9039" i="2"/>
  <c r="D9040" i="2"/>
  <c r="D9041" i="2"/>
  <c r="D9042" i="2"/>
  <c r="D9043" i="2"/>
  <c r="D9044" i="2"/>
  <c r="D9045" i="2"/>
  <c r="D9046" i="2"/>
  <c r="D9047" i="2"/>
  <c r="D9048" i="2"/>
  <c r="D9049" i="2"/>
  <c r="D9050" i="2"/>
  <c r="D9051" i="2"/>
  <c r="D9052" i="2"/>
  <c r="D9053" i="2"/>
  <c r="D9054" i="2"/>
  <c r="D9055" i="2"/>
  <c r="D9056" i="2"/>
  <c r="D9057" i="2"/>
  <c r="D9058" i="2"/>
  <c r="D9059" i="2"/>
  <c r="D9060" i="2"/>
  <c r="D9061" i="2"/>
  <c r="D9062" i="2"/>
  <c r="D9063" i="2"/>
  <c r="D9064" i="2"/>
  <c r="D9065" i="2"/>
  <c r="D9066" i="2"/>
  <c r="D9067" i="2"/>
  <c r="D9068" i="2"/>
  <c r="D9069" i="2"/>
  <c r="D9070" i="2"/>
  <c r="D9071" i="2"/>
  <c r="D9072" i="2"/>
  <c r="D9073" i="2"/>
  <c r="D9074" i="2"/>
  <c r="D9075" i="2"/>
  <c r="D9076" i="2"/>
  <c r="D9077" i="2"/>
  <c r="D9078" i="2"/>
  <c r="D9079" i="2"/>
  <c r="D9080" i="2"/>
  <c r="D9081" i="2"/>
  <c r="D9082" i="2"/>
  <c r="D9083" i="2"/>
  <c r="D9084" i="2"/>
  <c r="D9085" i="2"/>
  <c r="D9086" i="2"/>
  <c r="D9087" i="2"/>
  <c r="D9088" i="2"/>
  <c r="D9089" i="2"/>
  <c r="D9090" i="2"/>
  <c r="D9091" i="2"/>
  <c r="D9092" i="2"/>
  <c r="D9093" i="2"/>
  <c r="D9094" i="2"/>
  <c r="D9095" i="2"/>
  <c r="D9096" i="2"/>
  <c r="D9097" i="2"/>
  <c r="D9098" i="2"/>
  <c r="D9099" i="2"/>
  <c r="D9100" i="2"/>
  <c r="D9101" i="2"/>
  <c r="D9102" i="2"/>
  <c r="D9103" i="2"/>
  <c r="D9104" i="2"/>
  <c r="D9105" i="2"/>
  <c r="D9106" i="2"/>
  <c r="D9107" i="2"/>
  <c r="D9108" i="2"/>
  <c r="D9109" i="2"/>
  <c r="D9110" i="2"/>
  <c r="D9111" i="2"/>
  <c r="D9112" i="2"/>
  <c r="D9113" i="2"/>
  <c r="D9114" i="2"/>
  <c r="D9115" i="2"/>
  <c r="D9116" i="2"/>
  <c r="D9117" i="2"/>
  <c r="D9118" i="2"/>
  <c r="D9119" i="2"/>
  <c r="D9120" i="2"/>
  <c r="D9121" i="2"/>
  <c r="D9122" i="2"/>
  <c r="D9123" i="2"/>
  <c r="D9124" i="2"/>
  <c r="D9125" i="2"/>
  <c r="D9126" i="2"/>
  <c r="D9127" i="2"/>
  <c r="D9128" i="2"/>
  <c r="D9129" i="2"/>
  <c r="D9130" i="2"/>
  <c r="D9131" i="2"/>
  <c r="D9132" i="2"/>
  <c r="D9133" i="2"/>
  <c r="D9134" i="2"/>
  <c r="D9135" i="2"/>
  <c r="D9136" i="2"/>
  <c r="D9137" i="2"/>
  <c r="D9138" i="2"/>
  <c r="D9139" i="2"/>
  <c r="D9140" i="2"/>
  <c r="D9141" i="2"/>
  <c r="D9142" i="2"/>
  <c r="D9143" i="2"/>
  <c r="D9144" i="2"/>
  <c r="D9145" i="2"/>
  <c r="D9146" i="2"/>
  <c r="D9147" i="2"/>
  <c r="D9148" i="2"/>
  <c r="D9149" i="2"/>
  <c r="D9150" i="2"/>
  <c r="D9151" i="2"/>
  <c r="D9152" i="2"/>
  <c r="D9153" i="2"/>
  <c r="D9154" i="2"/>
  <c r="D9155" i="2"/>
  <c r="D9156" i="2"/>
  <c r="D9157" i="2"/>
  <c r="D9158" i="2"/>
  <c r="D9159" i="2"/>
  <c r="D9160" i="2"/>
  <c r="D9161" i="2"/>
  <c r="D9162" i="2"/>
  <c r="D9163" i="2"/>
  <c r="D9164" i="2"/>
  <c r="D9165" i="2"/>
  <c r="D9166" i="2"/>
  <c r="D9167" i="2"/>
  <c r="D9168" i="2"/>
  <c r="D9169" i="2"/>
  <c r="D9170" i="2"/>
  <c r="D9171" i="2"/>
  <c r="D9172" i="2"/>
  <c r="D9173" i="2"/>
  <c r="D9174" i="2"/>
  <c r="D9175" i="2"/>
  <c r="D9176" i="2"/>
  <c r="D9177" i="2"/>
  <c r="D9178" i="2"/>
  <c r="D9179" i="2"/>
  <c r="D9180" i="2"/>
  <c r="D9181" i="2"/>
  <c r="D9182" i="2"/>
  <c r="D9183" i="2"/>
  <c r="D9184" i="2"/>
  <c r="D9185" i="2"/>
  <c r="D9186" i="2"/>
  <c r="D9187" i="2"/>
  <c r="D9188" i="2"/>
  <c r="D9189" i="2"/>
  <c r="D9190" i="2"/>
  <c r="D9191" i="2"/>
  <c r="D9192" i="2"/>
  <c r="D9193" i="2"/>
  <c r="D9194" i="2"/>
  <c r="D9195" i="2"/>
  <c r="D9196" i="2"/>
  <c r="D9197" i="2"/>
  <c r="D9198" i="2"/>
  <c r="D9199" i="2"/>
  <c r="D9200" i="2"/>
  <c r="D9201" i="2"/>
  <c r="D9202" i="2"/>
  <c r="D9203" i="2"/>
  <c r="D9204" i="2"/>
  <c r="D9205" i="2"/>
  <c r="D9206" i="2"/>
  <c r="D9207" i="2"/>
  <c r="D9208" i="2"/>
  <c r="D9209" i="2"/>
  <c r="D9210" i="2"/>
  <c r="D9211" i="2"/>
  <c r="D9212" i="2"/>
  <c r="D9213" i="2"/>
  <c r="D9214" i="2"/>
  <c r="D9215" i="2"/>
  <c r="D9216" i="2"/>
  <c r="D9217" i="2"/>
  <c r="D9218" i="2"/>
  <c r="D9219" i="2"/>
  <c r="D9220" i="2"/>
  <c r="D9221" i="2"/>
  <c r="D9222" i="2"/>
  <c r="D9223" i="2"/>
  <c r="D9224" i="2"/>
  <c r="D9225" i="2"/>
  <c r="D9226" i="2"/>
  <c r="D9227" i="2"/>
  <c r="D9228" i="2"/>
  <c r="D9229" i="2"/>
  <c r="D9230" i="2"/>
  <c r="D9231" i="2"/>
  <c r="D9232" i="2"/>
  <c r="D9233" i="2"/>
  <c r="D9234" i="2"/>
  <c r="D9235" i="2"/>
  <c r="D9236" i="2"/>
  <c r="D9237" i="2"/>
  <c r="D9238" i="2"/>
  <c r="D9239" i="2"/>
  <c r="D9240" i="2"/>
  <c r="D9241" i="2"/>
  <c r="D9242" i="2"/>
  <c r="D9243" i="2"/>
  <c r="D9244" i="2"/>
  <c r="D9245" i="2"/>
  <c r="D9246" i="2"/>
  <c r="D9247" i="2"/>
  <c r="D9248" i="2"/>
  <c r="D9249" i="2"/>
  <c r="D9250" i="2"/>
  <c r="D9251" i="2"/>
  <c r="D9252" i="2"/>
  <c r="D9253" i="2"/>
  <c r="D9254" i="2"/>
  <c r="D9255" i="2"/>
  <c r="D9256" i="2"/>
  <c r="D9257" i="2"/>
  <c r="D9258" i="2"/>
  <c r="D9259" i="2"/>
  <c r="D9260" i="2"/>
  <c r="D9261" i="2"/>
  <c r="D9262" i="2"/>
  <c r="D9263" i="2"/>
  <c r="D9264" i="2"/>
  <c r="D9265" i="2"/>
  <c r="D9266" i="2"/>
  <c r="D9267" i="2"/>
  <c r="D9268" i="2"/>
  <c r="D9269" i="2"/>
  <c r="D9270" i="2"/>
  <c r="D9271" i="2"/>
  <c r="D9272" i="2"/>
  <c r="D9273" i="2"/>
  <c r="D9274" i="2"/>
  <c r="D9275" i="2"/>
  <c r="D9276" i="2"/>
  <c r="D9277" i="2"/>
  <c r="D9278" i="2"/>
  <c r="D9279" i="2"/>
  <c r="D9280" i="2"/>
  <c r="D9281" i="2"/>
  <c r="D9282" i="2"/>
  <c r="D9283" i="2"/>
  <c r="D9284" i="2"/>
  <c r="D9285" i="2"/>
  <c r="D9286" i="2"/>
  <c r="D9287" i="2"/>
  <c r="D9288" i="2"/>
  <c r="D9289" i="2"/>
  <c r="D9290" i="2"/>
  <c r="D9291" i="2"/>
  <c r="D9292" i="2"/>
  <c r="D9293" i="2"/>
  <c r="D9294" i="2"/>
  <c r="D9295" i="2"/>
  <c r="D9296" i="2"/>
  <c r="D9297" i="2"/>
  <c r="D9298" i="2"/>
  <c r="D9299" i="2"/>
  <c r="D9300" i="2"/>
  <c r="D9301" i="2"/>
  <c r="D9302" i="2"/>
  <c r="D9303" i="2"/>
  <c r="D9304" i="2"/>
  <c r="D9305" i="2"/>
  <c r="D9306" i="2"/>
  <c r="D9307" i="2"/>
  <c r="D9308" i="2"/>
  <c r="D9309" i="2"/>
  <c r="D9310" i="2"/>
  <c r="D9311" i="2"/>
  <c r="D9312" i="2"/>
  <c r="D9313" i="2"/>
  <c r="D9314" i="2"/>
  <c r="D9315" i="2"/>
  <c r="D9316" i="2"/>
  <c r="D9317" i="2"/>
  <c r="D9318" i="2"/>
  <c r="D9319" i="2"/>
  <c r="D9320" i="2"/>
  <c r="D9321" i="2"/>
  <c r="D9322" i="2"/>
  <c r="D9323" i="2"/>
  <c r="D9324" i="2"/>
  <c r="D9325" i="2"/>
  <c r="D9326" i="2"/>
  <c r="D9327" i="2"/>
  <c r="D9328" i="2"/>
  <c r="D9329" i="2"/>
  <c r="D9330" i="2"/>
  <c r="D9331" i="2"/>
  <c r="D9332" i="2"/>
  <c r="D9333" i="2"/>
  <c r="D9334" i="2"/>
  <c r="D9335" i="2"/>
  <c r="D9336" i="2"/>
  <c r="D9337" i="2"/>
  <c r="D9338" i="2"/>
  <c r="D9339" i="2"/>
  <c r="D9340" i="2"/>
  <c r="D9341" i="2"/>
  <c r="D9342" i="2"/>
  <c r="D9343" i="2"/>
  <c r="D9344" i="2"/>
  <c r="D9345" i="2"/>
  <c r="D9346" i="2"/>
  <c r="D9347" i="2"/>
  <c r="D9348" i="2"/>
  <c r="D9349" i="2"/>
  <c r="D9350" i="2"/>
  <c r="D9351" i="2"/>
  <c r="D9352" i="2"/>
  <c r="D9353" i="2"/>
  <c r="D9354" i="2"/>
  <c r="D9355" i="2"/>
  <c r="D9356" i="2"/>
  <c r="D9357" i="2"/>
  <c r="D9358" i="2"/>
  <c r="D9359" i="2"/>
  <c r="D9360" i="2"/>
  <c r="D9361" i="2"/>
  <c r="D9362" i="2"/>
  <c r="D9363" i="2"/>
  <c r="D9364" i="2"/>
  <c r="D9365" i="2"/>
  <c r="D9366" i="2"/>
  <c r="D9367" i="2"/>
  <c r="D9368" i="2"/>
  <c r="D9369" i="2"/>
  <c r="D9370" i="2"/>
  <c r="D9371" i="2"/>
  <c r="D9372" i="2"/>
  <c r="D9373" i="2"/>
  <c r="D9374" i="2"/>
  <c r="D9375" i="2"/>
  <c r="D9376" i="2"/>
  <c r="D9377" i="2"/>
  <c r="D9378" i="2"/>
  <c r="D9379" i="2"/>
  <c r="D9380" i="2"/>
  <c r="D9381" i="2"/>
  <c r="D9382" i="2"/>
  <c r="D9383" i="2"/>
  <c r="D9384" i="2"/>
  <c r="D9385" i="2"/>
  <c r="D9386" i="2"/>
  <c r="D9387" i="2"/>
  <c r="D9388" i="2"/>
  <c r="D9389" i="2"/>
  <c r="D9390" i="2"/>
  <c r="D9391" i="2"/>
  <c r="D9392" i="2"/>
  <c r="D9393" i="2"/>
  <c r="D9394" i="2"/>
  <c r="D9395" i="2"/>
  <c r="D9396" i="2"/>
  <c r="D9397" i="2"/>
  <c r="D9398" i="2"/>
  <c r="D9399" i="2"/>
  <c r="D9400" i="2"/>
  <c r="D9401" i="2"/>
  <c r="D9402" i="2"/>
  <c r="D9403" i="2"/>
  <c r="D9404" i="2"/>
  <c r="D9405" i="2"/>
  <c r="D9406" i="2"/>
  <c r="D9407" i="2"/>
  <c r="D9408" i="2"/>
  <c r="D9409" i="2"/>
  <c r="D9410" i="2"/>
  <c r="D9411" i="2"/>
  <c r="D9412" i="2"/>
  <c r="D9413" i="2"/>
  <c r="D9414" i="2"/>
  <c r="D9415" i="2"/>
  <c r="D9416" i="2"/>
  <c r="D9417" i="2"/>
  <c r="D9418" i="2"/>
  <c r="D9419" i="2"/>
  <c r="D9420" i="2"/>
  <c r="D9421" i="2"/>
  <c r="D9422" i="2"/>
  <c r="D9423" i="2"/>
  <c r="D9424" i="2"/>
  <c r="D9425" i="2"/>
  <c r="D9426" i="2"/>
  <c r="D9427" i="2"/>
  <c r="D9428" i="2"/>
  <c r="D9429" i="2"/>
  <c r="D9430" i="2"/>
  <c r="D9431" i="2"/>
  <c r="D9432" i="2"/>
  <c r="D9433" i="2"/>
  <c r="D9434" i="2"/>
  <c r="D9435" i="2"/>
  <c r="D9436" i="2"/>
  <c r="D9437" i="2"/>
  <c r="D9438" i="2"/>
  <c r="D9439" i="2"/>
  <c r="D9440" i="2"/>
  <c r="D9441" i="2"/>
  <c r="D9442" i="2"/>
  <c r="D9443" i="2"/>
  <c r="D9444" i="2"/>
  <c r="D9445" i="2"/>
  <c r="D9446" i="2"/>
  <c r="D9447" i="2"/>
  <c r="D9448" i="2"/>
  <c r="D9449" i="2"/>
  <c r="D9450" i="2"/>
  <c r="D9451" i="2"/>
  <c r="D9452" i="2"/>
  <c r="D9453" i="2"/>
  <c r="D9454" i="2"/>
  <c r="D9455" i="2"/>
  <c r="D9456" i="2"/>
  <c r="D9457" i="2"/>
  <c r="D9458" i="2"/>
  <c r="D9459" i="2"/>
  <c r="D9460" i="2"/>
  <c r="D9461" i="2"/>
  <c r="D9462" i="2"/>
  <c r="D9463" i="2"/>
  <c r="D9464" i="2"/>
  <c r="D9465" i="2"/>
  <c r="D9466" i="2"/>
  <c r="D9467" i="2"/>
  <c r="D9468" i="2"/>
  <c r="D9469" i="2"/>
  <c r="D9470" i="2"/>
  <c r="D9471" i="2"/>
  <c r="D9472" i="2"/>
  <c r="D9473" i="2"/>
  <c r="D9474" i="2"/>
  <c r="D9475" i="2"/>
  <c r="D9476" i="2"/>
  <c r="D9477" i="2"/>
  <c r="D9478" i="2"/>
  <c r="D9479" i="2"/>
  <c r="D9480" i="2"/>
  <c r="D9481" i="2"/>
  <c r="D9482" i="2"/>
  <c r="D9483" i="2"/>
  <c r="D9484" i="2"/>
  <c r="D9485" i="2"/>
  <c r="D9486" i="2"/>
  <c r="D9487" i="2"/>
  <c r="D9488" i="2"/>
  <c r="D9489" i="2"/>
  <c r="D9490" i="2"/>
  <c r="D9491" i="2"/>
  <c r="D9492" i="2"/>
  <c r="D9493" i="2"/>
  <c r="D9494" i="2"/>
  <c r="D9495" i="2"/>
  <c r="D9496" i="2"/>
  <c r="D9497" i="2"/>
  <c r="D9498" i="2"/>
  <c r="D9499" i="2"/>
  <c r="D9500" i="2"/>
  <c r="D9501" i="2"/>
  <c r="D9502" i="2"/>
  <c r="D9503" i="2"/>
  <c r="D9504" i="2"/>
  <c r="D9505" i="2"/>
  <c r="D9506" i="2"/>
  <c r="D9507" i="2"/>
  <c r="D9508" i="2"/>
  <c r="D9509" i="2"/>
  <c r="D9510" i="2"/>
  <c r="D9511" i="2"/>
  <c r="D9512" i="2"/>
  <c r="D9513" i="2"/>
  <c r="D9514" i="2"/>
  <c r="D9515" i="2"/>
  <c r="D9516" i="2"/>
  <c r="D9517" i="2"/>
  <c r="D9518" i="2"/>
  <c r="D9519" i="2"/>
  <c r="D9520" i="2"/>
  <c r="D9521" i="2"/>
  <c r="D9522" i="2"/>
  <c r="D9523" i="2"/>
  <c r="D9524" i="2"/>
  <c r="D9525" i="2"/>
  <c r="D9526" i="2"/>
  <c r="D9527" i="2"/>
  <c r="D9528" i="2"/>
  <c r="D9529" i="2"/>
  <c r="D9530" i="2"/>
  <c r="D9531" i="2"/>
  <c r="D9532" i="2"/>
  <c r="D9533" i="2"/>
  <c r="D9534" i="2"/>
  <c r="D9535" i="2"/>
  <c r="D9536" i="2"/>
  <c r="D9537" i="2"/>
  <c r="D9538" i="2"/>
  <c r="D9539" i="2"/>
  <c r="D9540" i="2"/>
  <c r="D9541" i="2"/>
  <c r="D9542" i="2"/>
  <c r="D9543" i="2"/>
  <c r="D9544" i="2"/>
  <c r="D9545" i="2"/>
  <c r="D9546" i="2"/>
  <c r="D9547" i="2"/>
  <c r="D9548" i="2"/>
  <c r="D9549" i="2"/>
  <c r="D9550" i="2"/>
  <c r="D9551" i="2"/>
  <c r="D9552" i="2"/>
  <c r="D9553" i="2"/>
  <c r="D9554" i="2"/>
  <c r="D9555" i="2"/>
  <c r="D9556" i="2"/>
  <c r="D9557" i="2"/>
  <c r="D9558" i="2"/>
  <c r="D9559" i="2"/>
  <c r="D9560" i="2"/>
  <c r="D9561" i="2"/>
  <c r="D9562" i="2"/>
  <c r="D9563" i="2"/>
  <c r="D9564" i="2"/>
  <c r="D9565" i="2"/>
  <c r="D9566" i="2"/>
  <c r="D9567" i="2"/>
  <c r="D9568" i="2"/>
  <c r="D9569" i="2"/>
  <c r="D9570" i="2"/>
  <c r="D9571" i="2"/>
  <c r="D9572" i="2"/>
  <c r="D9573" i="2"/>
  <c r="D9574" i="2"/>
  <c r="D9575" i="2"/>
  <c r="D9576" i="2"/>
  <c r="D9577" i="2"/>
  <c r="D9578" i="2"/>
  <c r="D9579" i="2"/>
  <c r="D9580" i="2"/>
  <c r="D9581" i="2"/>
  <c r="D9582" i="2"/>
  <c r="D9583" i="2"/>
  <c r="D9584" i="2"/>
  <c r="D9585" i="2"/>
  <c r="D9586" i="2"/>
  <c r="D9587" i="2"/>
  <c r="D9588" i="2"/>
  <c r="D9589" i="2"/>
  <c r="D9590" i="2"/>
  <c r="D9591" i="2"/>
  <c r="D9592" i="2"/>
  <c r="D9593" i="2"/>
  <c r="D9594" i="2"/>
  <c r="D9595" i="2"/>
  <c r="D9596" i="2"/>
  <c r="D9597" i="2"/>
  <c r="D9598" i="2"/>
  <c r="D9599" i="2"/>
  <c r="D9600" i="2"/>
  <c r="D9601" i="2"/>
  <c r="D9602" i="2"/>
  <c r="D9603" i="2"/>
  <c r="D9604" i="2"/>
  <c r="D9605" i="2"/>
  <c r="D9606" i="2"/>
  <c r="D9607" i="2"/>
  <c r="D9608" i="2"/>
  <c r="D9609" i="2"/>
  <c r="D9610" i="2"/>
  <c r="D9611" i="2"/>
  <c r="D9612" i="2"/>
  <c r="D9613" i="2"/>
  <c r="D9614" i="2"/>
  <c r="D9615" i="2"/>
  <c r="D9616" i="2"/>
  <c r="D9617" i="2"/>
  <c r="D9618" i="2"/>
  <c r="D9619" i="2"/>
  <c r="D9620" i="2"/>
  <c r="D9621" i="2"/>
  <c r="D9622" i="2"/>
  <c r="D9623" i="2"/>
  <c r="D9624" i="2"/>
  <c r="D9625" i="2"/>
  <c r="D9626" i="2"/>
  <c r="D9627" i="2"/>
  <c r="D9628" i="2"/>
  <c r="D9629" i="2"/>
  <c r="D9630" i="2"/>
  <c r="D9631" i="2"/>
  <c r="D9632" i="2"/>
  <c r="D9633" i="2"/>
  <c r="D9634" i="2"/>
  <c r="D9635" i="2"/>
  <c r="D9636" i="2"/>
  <c r="D9637" i="2"/>
  <c r="D9638" i="2"/>
  <c r="D9639" i="2"/>
  <c r="D9640" i="2"/>
  <c r="D9641" i="2"/>
  <c r="D9642" i="2"/>
  <c r="D9643" i="2"/>
  <c r="D9644" i="2"/>
  <c r="D9645" i="2"/>
  <c r="D9646" i="2"/>
  <c r="D9647" i="2"/>
  <c r="D9648" i="2"/>
  <c r="D9649" i="2"/>
  <c r="D9650" i="2"/>
  <c r="D9651" i="2"/>
  <c r="D9652" i="2"/>
  <c r="D9653" i="2"/>
  <c r="D9654" i="2"/>
  <c r="D9655" i="2"/>
  <c r="D9656" i="2"/>
  <c r="D9657" i="2"/>
  <c r="D9658" i="2"/>
  <c r="D9659" i="2"/>
  <c r="D9660" i="2"/>
  <c r="D9661" i="2"/>
  <c r="D9662" i="2"/>
  <c r="D9663" i="2"/>
  <c r="D9664" i="2"/>
  <c r="D9665" i="2"/>
  <c r="D9666" i="2"/>
  <c r="D9667" i="2"/>
  <c r="D9668" i="2"/>
  <c r="D9669" i="2"/>
  <c r="D9670" i="2"/>
  <c r="D9671" i="2"/>
  <c r="D9672" i="2"/>
  <c r="D9673" i="2"/>
  <c r="D9674" i="2"/>
  <c r="D9675" i="2"/>
  <c r="D9676" i="2"/>
  <c r="D9677" i="2"/>
  <c r="D9678" i="2"/>
  <c r="D9679" i="2"/>
  <c r="D9680" i="2"/>
  <c r="D9681" i="2"/>
  <c r="D9682" i="2"/>
  <c r="D9683" i="2"/>
  <c r="D9684" i="2"/>
  <c r="D9685" i="2"/>
  <c r="D9686" i="2"/>
  <c r="D9687" i="2"/>
  <c r="D9688" i="2"/>
  <c r="D9689" i="2"/>
  <c r="D9690" i="2"/>
  <c r="D9691" i="2"/>
  <c r="D9692" i="2"/>
  <c r="D9693" i="2"/>
  <c r="D9694" i="2"/>
  <c r="D9695" i="2"/>
  <c r="D9696" i="2"/>
  <c r="D9697" i="2"/>
  <c r="D9698" i="2"/>
  <c r="D9699" i="2"/>
  <c r="D9700" i="2"/>
  <c r="D9701" i="2"/>
  <c r="D9702" i="2"/>
  <c r="D9703" i="2"/>
  <c r="D9704" i="2"/>
  <c r="D9705" i="2"/>
  <c r="D9706" i="2"/>
  <c r="D9707" i="2"/>
  <c r="D9708" i="2"/>
  <c r="D9709" i="2"/>
  <c r="D9710" i="2"/>
  <c r="D9711" i="2"/>
  <c r="D9712" i="2"/>
  <c r="D9713" i="2"/>
  <c r="D9714" i="2"/>
  <c r="D9715" i="2"/>
  <c r="D9716" i="2"/>
  <c r="D9717" i="2"/>
  <c r="D9718" i="2"/>
  <c r="D9719" i="2"/>
  <c r="D9720" i="2"/>
  <c r="D9721" i="2"/>
  <c r="D9722" i="2"/>
  <c r="D9723" i="2"/>
  <c r="D9724" i="2"/>
  <c r="D9725" i="2"/>
  <c r="D9726" i="2"/>
  <c r="D9727" i="2"/>
  <c r="D9728" i="2"/>
  <c r="D9729" i="2"/>
  <c r="D9730" i="2"/>
  <c r="D9731" i="2"/>
  <c r="D9732" i="2"/>
  <c r="D9733" i="2"/>
  <c r="D9734" i="2"/>
  <c r="D9735" i="2"/>
  <c r="D9736" i="2"/>
  <c r="D9737" i="2"/>
  <c r="D9738" i="2"/>
  <c r="D9739" i="2"/>
  <c r="D9740" i="2"/>
  <c r="D9741" i="2"/>
  <c r="D9742" i="2"/>
  <c r="D9743" i="2"/>
  <c r="D9744" i="2"/>
  <c r="D9745" i="2"/>
  <c r="D9746" i="2"/>
  <c r="D9747" i="2"/>
  <c r="D9748" i="2"/>
  <c r="D9749" i="2"/>
  <c r="D9750" i="2"/>
  <c r="D9751" i="2"/>
  <c r="D9752" i="2"/>
  <c r="D9753" i="2"/>
  <c r="D9754" i="2"/>
  <c r="D9755" i="2"/>
  <c r="D9756" i="2"/>
  <c r="D9757" i="2"/>
  <c r="D9758" i="2"/>
  <c r="D9759" i="2"/>
  <c r="D9760" i="2"/>
  <c r="D9761" i="2"/>
  <c r="D9762" i="2"/>
  <c r="D9763" i="2"/>
  <c r="D9764" i="2"/>
  <c r="D9765" i="2"/>
  <c r="D9766" i="2"/>
  <c r="D9767" i="2"/>
  <c r="D9768" i="2"/>
  <c r="D9769" i="2"/>
  <c r="D9770" i="2"/>
  <c r="D9771" i="2"/>
  <c r="D9772" i="2"/>
  <c r="D9773" i="2"/>
  <c r="D9774" i="2"/>
  <c r="D9775" i="2"/>
  <c r="D9776" i="2"/>
  <c r="D9777" i="2"/>
  <c r="D9778" i="2"/>
  <c r="D9779" i="2"/>
  <c r="D9780" i="2"/>
  <c r="D9781" i="2"/>
  <c r="D9782" i="2"/>
  <c r="D9783" i="2"/>
  <c r="D9784" i="2"/>
  <c r="D9785" i="2"/>
  <c r="D9786" i="2"/>
  <c r="D9787" i="2"/>
  <c r="D9788" i="2"/>
  <c r="D9789" i="2"/>
  <c r="D9790" i="2"/>
  <c r="D9791" i="2"/>
  <c r="D9792" i="2"/>
  <c r="D9793" i="2"/>
  <c r="D9794" i="2"/>
  <c r="D9795" i="2"/>
  <c r="D9796" i="2"/>
  <c r="D9797" i="2"/>
  <c r="D9798" i="2"/>
  <c r="D9799" i="2"/>
  <c r="D9800" i="2"/>
  <c r="D9801" i="2"/>
  <c r="D9802" i="2"/>
  <c r="D9803" i="2"/>
  <c r="D9804" i="2"/>
  <c r="D9805" i="2"/>
  <c r="D9806" i="2"/>
  <c r="D9807" i="2"/>
  <c r="D9808" i="2"/>
  <c r="D9809" i="2"/>
  <c r="D9810" i="2"/>
  <c r="D9811" i="2"/>
  <c r="D9812" i="2"/>
  <c r="D9813" i="2"/>
  <c r="D9814" i="2"/>
  <c r="D9815" i="2"/>
  <c r="D9816" i="2"/>
  <c r="D9817" i="2"/>
  <c r="D9818" i="2"/>
  <c r="D9819" i="2"/>
  <c r="D9820" i="2"/>
  <c r="D9821" i="2"/>
  <c r="D9822" i="2"/>
  <c r="D9823" i="2"/>
  <c r="D9824" i="2"/>
  <c r="D9825" i="2"/>
  <c r="D9826" i="2"/>
  <c r="D9827" i="2"/>
  <c r="D9828" i="2"/>
  <c r="D9829" i="2"/>
  <c r="D9830" i="2"/>
  <c r="D9831" i="2"/>
  <c r="D9832" i="2"/>
  <c r="D9833" i="2"/>
  <c r="D9834" i="2"/>
  <c r="D9835" i="2"/>
  <c r="D9836" i="2"/>
  <c r="D9837" i="2"/>
  <c r="D9838" i="2"/>
  <c r="D9839" i="2"/>
  <c r="D9840" i="2"/>
  <c r="D9841" i="2"/>
  <c r="D9842" i="2"/>
  <c r="D9843" i="2"/>
  <c r="D9844" i="2"/>
  <c r="D9845" i="2"/>
  <c r="D9846" i="2"/>
  <c r="D9847" i="2"/>
  <c r="D9848" i="2"/>
  <c r="D9849" i="2"/>
  <c r="D9850" i="2"/>
  <c r="D9851" i="2"/>
  <c r="D9852" i="2"/>
  <c r="D9853" i="2"/>
  <c r="D9854" i="2"/>
  <c r="D9855" i="2"/>
  <c r="D9856" i="2"/>
  <c r="D9857" i="2"/>
  <c r="D9858" i="2"/>
  <c r="D9859" i="2"/>
  <c r="D9860" i="2"/>
  <c r="D9861" i="2"/>
  <c r="D9862" i="2"/>
  <c r="D9863" i="2"/>
  <c r="D9864" i="2"/>
  <c r="D9865" i="2"/>
  <c r="D9866" i="2"/>
  <c r="D9867" i="2"/>
  <c r="D9868" i="2"/>
  <c r="D9869" i="2"/>
  <c r="D9870" i="2"/>
  <c r="D9871" i="2"/>
  <c r="D9872" i="2"/>
  <c r="D9873" i="2"/>
  <c r="D9874" i="2"/>
  <c r="D9875" i="2"/>
  <c r="D9876" i="2"/>
  <c r="D9877" i="2"/>
  <c r="D9878" i="2"/>
  <c r="D9879" i="2"/>
  <c r="D9880" i="2"/>
  <c r="D9881" i="2"/>
  <c r="D9882" i="2"/>
  <c r="D9883" i="2"/>
  <c r="D9884" i="2"/>
  <c r="D9885" i="2"/>
  <c r="D9886" i="2"/>
  <c r="D9887" i="2"/>
  <c r="D9888" i="2"/>
  <c r="D9889" i="2"/>
  <c r="D9890" i="2"/>
  <c r="D9891" i="2"/>
  <c r="D9892" i="2"/>
  <c r="D9893" i="2"/>
  <c r="D9894" i="2"/>
  <c r="D9895" i="2"/>
  <c r="D9896" i="2"/>
  <c r="D9897" i="2"/>
  <c r="D9898" i="2"/>
  <c r="D9899" i="2"/>
  <c r="D9900" i="2"/>
  <c r="D9901" i="2"/>
  <c r="D9902" i="2"/>
  <c r="D9903" i="2"/>
  <c r="D9904" i="2"/>
  <c r="D9905" i="2"/>
  <c r="D9906" i="2"/>
  <c r="D9907" i="2"/>
  <c r="D9908" i="2"/>
  <c r="D9909" i="2"/>
  <c r="D9910" i="2"/>
  <c r="D9911" i="2"/>
  <c r="D9912" i="2"/>
  <c r="D9913" i="2"/>
  <c r="D9914" i="2"/>
  <c r="D9915" i="2"/>
  <c r="D9916" i="2"/>
  <c r="D9917" i="2"/>
  <c r="D9918" i="2"/>
  <c r="D9919" i="2"/>
  <c r="D9920" i="2"/>
  <c r="D9921" i="2"/>
  <c r="D9922" i="2"/>
  <c r="D9923" i="2"/>
  <c r="D9924" i="2"/>
  <c r="D9925" i="2"/>
  <c r="D9926" i="2"/>
  <c r="D9927" i="2"/>
  <c r="D9928" i="2"/>
  <c r="D9929" i="2"/>
  <c r="D9930" i="2"/>
  <c r="D9931" i="2"/>
  <c r="D9932" i="2"/>
  <c r="D9933" i="2"/>
  <c r="D9934" i="2"/>
  <c r="D9935" i="2"/>
  <c r="D9936" i="2"/>
  <c r="D9937" i="2"/>
  <c r="D9938" i="2"/>
  <c r="D9939" i="2"/>
  <c r="D9940" i="2"/>
  <c r="D9941" i="2"/>
  <c r="D9942" i="2"/>
  <c r="D9943" i="2"/>
  <c r="D9944" i="2"/>
  <c r="D9945" i="2"/>
  <c r="D9946" i="2"/>
  <c r="D9947" i="2"/>
  <c r="D9948" i="2"/>
  <c r="D9949" i="2"/>
  <c r="D9950" i="2"/>
  <c r="D9951" i="2"/>
  <c r="D9952" i="2"/>
  <c r="D9953" i="2"/>
  <c r="D9954" i="2"/>
  <c r="D9955" i="2"/>
  <c r="D9956" i="2"/>
  <c r="D9957" i="2"/>
  <c r="D9958" i="2"/>
  <c r="D9959" i="2"/>
  <c r="D9960" i="2"/>
  <c r="D9961" i="2"/>
  <c r="D9962" i="2"/>
  <c r="D9963" i="2"/>
  <c r="D9964" i="2"/>
  <c r="D9965" i="2"/>
  <c r="D9966" i="2"/>
  <c r="D9967" i="2"/>
  <c r="D9968" i="2"/>
  <c r="D9969" i="2"/>
  <c r="D9970" i="2"/>
  <c r="D9971" i="2"/>
  <c r="D9972" i="2"/>
  <c r="D9973" i="2"/>
  <c r="D9974" i="2"/>
  <c r="D9975" i="2"/>
  <c r="D9976" i="2"/>
  <c r="D9977" i="2"/>
  <c r="D9978" i="2"/>
  <c r="D9979" i="2"/>
  <c r="D9980" i="2"/>
  <c r="D9981" i="2"/>
  <c r="D9982" i="2"/>
  <c r="D9983" i="2"/>
  <c r="D9984" i="2"/>
  <c r="D9985" i="2"/>
  <c r="D9986" i="2"/>
  <c r="D9987" i="2"/>
  <c r="D9988" i="2"/>
  <c r="D9989" i="2"/>
  <c r="D9990" i="2"/>
  <c r="D9991" i="2"/>
  <c r="D9992" i="2"/>
  <c r="D9993" i="2"/>
  <c r="D9994" i="2"/>
  <c r="D9995" i="2"/>
  <c r="D9996" i="2"/>
  <c r="D9997" i="2"/>
  <c r="D9998" i="2"/>
  <c r="D9999" i="2"/>
  <c r="D10000" i="2"/>
  <c r="D10001" i="2"/>
  <c r="D10002" i="2"/>
  <c r="D10003" i="2"/>
  <c r="D10004" i="2"/>
  <c r="D10005" i="2"/>
  <c r="D10006" i="2"/>
  <c r="D10007" i="2"/>
  <c r="D10008" i="2"/>
  <c r="D10009" i="2"/>
  <c r="D10010" i="2"/>
  <c r="D10011" i="2"/>
  <c r="D10012" i="2"/>
  <c r="D10013" i="2"/>
  <c r="D10014" i="2"/>
  <c r="D10015" i="2"/>
  <c r="D10016" i="2"/>
  <c r="D10017" i="2"/>
  <c r="D10018" i="2"/>
  <c r="D10019" i="2"/>
  <c r="D10020" i="2"/>
  <c r="D10021" i="2"/>
  <c r="D10022" i="2"/>
  <c r="D10023" i="2"/>
  <c r="D10024" i="2"/>
  <c r="D10025" i="2"/>
  <c r="D10026" i="2"/>
  <c r="D10027" i="2"/>
  <c r="D10028" i="2"/>
  <c r="D10029" i="2"/>
  <c r="D10030" i="2"/>
  <c r="D10031" i="2"/>
  <c r="D10032" i="2"/>
  <c r="D10033" i="2"/>
  <c r="D10034" i="2"/>
  <c r="D10035" i="2"/>
  <c r="D10036" i="2"/>
  <c r="D10037" i="2"/>
  <c r="D10038" i="2"/>
  <c r="D10039" i="2"/>
  <c r="D10040" i="2"/>
  <c r="D10041" i="2"/>
  <c r="D10042" i="2"/>
  <c r="D10043" i="2"/>
  <c r="D10044" i="2"/>
  <c r="D10045" i="2"/>
  <c r="D10046" i="2"/>
  <c r="D10047" i="2"/>
  <c r="D10048" i="2"/>
  <c r="D10049" i="2"/>
  <c r="D10050" i="2"/>
  <c r="D10051" i="2"/>
  <c r="D10052" i="2"/>
  <c r="D10053" i="2"/>
  <c r="D10054" i="2"/>
  <c r="D10055" i="2"/>
  <c r="D10056" i="2"/>
  <c r="D10057" i="2"/>
  <c r="D10058" i="2"/>
  <c r="D10059" i="2"/>
  <c r="D10060" i="2"/>
  <c r="D10061" i="2"/>
  <c r="D10062" i="2"/>
  <c r="D10063" i="2"/>
  <c r="D10064" i="2"/>
  <c r="D10065" i="2"/>
  <c r="D10066" i="2"/>
  <c r="D10067" i="2"/>
  <c r="D10068" i="2"/>
  <c r="D10069" i="2"/>
  <c r="D10070" i="2"/>
  <c r="D10071" i="2"/>
  <c r="D10072" i="2"/>
  <c r="D10073" i="2"/>
  <c r="D10074" i="2"/>
  <c r="D10075" i="2"/>
  <c r="D10076" i="2"/>
  <c r="D10077" i="2"/>
  <c r="D10078" i="2"/>
  <c r="D10079" i="2"/>
  <c r="D10080" i="2"/>
  <c r="D10081" i="2"/>
  <c r="D10082" i="2"/>
  <c r="D10083" i="2"/>
  <c r="D10084" i="2"/>
  <c r="D10085" i="2"/>
  <c r="D10086" i="2"/>
  <c r="D10087" i="2"/>
  <c r="D10088" i="2"/>
  <c r="D10089" i="2"/>
  <c r="D10090" i="2"/>
  <c r="D10091" i="2"/>
  <c r="D10092" i="2"/>
  <c r="D10093" i="2"/>
  <c r="D10094" i="2"/>
  <c r="D10095" i="2"/>
  <c r="D10096" i="2"/>
  <c r="D10097" i="2"/>
  <c r="D10098" i="2"/>
  <c r="D10099" i="2"/>
  <c r="D10100" i="2"/>
  <c r="D10101" i="2"/>
  <c r="D10102" i="2"/>
  <c r="D10103" i="2"/>
  <c r="D10104" i="2"/>
  <c r="D10105" i="2"/>
  <c r="D10106" i="2"/>
  <c r="D10107" i="2"/>
  <c r="D10108" i="2"/>
  <c r="D10109" i="2"/>
  <c r="D10110" i="2"/>
  <c r="D10111" i="2"/>
  <c r="D10112" i="2"/>
  <c r="D10113" i="2"/>
  <c r="D10114" i="2"/>
  <c r="D10115" i="2"/>
  <c r="D10116" i="2"/>
  <c r="D10117" i="2"/>
  <c r="D10118" i="2"/>
  <c r="D10119" i="2"/>
  <c r="D10120" i="2"/>
  <c r="D10121" i="2"/>
  <c r="D10122" i="2"/>
  <c r="D10123" i="2"/>
  <c r="D10124" i="2"/>
  <c r="D10125" i="2"/>
  <c r="D10126" i="2"/>
  <c r="D10127" i="2"/>
  <c r="D10128" i="2"/>
  <c r="D10129" i="2"/>
  <c r="D10130" i="2"/>
  <c r="D10131" i="2"/>
  <c r="D10132" i="2"/>
  <c r="D10133" i="2"/>
  <c r="D10134" i="2"/>
  <c r="D10135" i="2"/>
  <c r="D10136" i="2"/>
  <c r="D10137" i="2"/>
  <c r="D10138" i="2"/>
  <c r="D10139" i="2"/>
  <c r="D10140" i="2"/>
  <c r="D10141" i="2"/>
  <c r="D10142" i="2"/>
  <c r="D10143" i="2"/>
  <c r="D10144" i="2"/>
  <c r="D10145" i="2"/>
  <c r="D10146" i="2"/>
  <c r="D10147" i="2"/>
  <c r="D10148" i="2"/>
  <c r="D10149" i="2"/>
  <c r="D10150" i="2"/>
  <c r="D10151" i="2"/>
  <c r="D10152" i="2"/>
  <c r="D10153" i="2"/>
  <c r="D10154" i="2"/>
  <c r="D10155" i="2"/>
  <c r="D10156" i="2"/>
  <c r="D10157" i="2"/>
  <c r="D10158" i="2"/>
  <c r="D10159" i="2"/>
  <c r="D10160" i="2"/>
  <c r="D10161" i="2"/>
  <c r="D10162" i="2"/>
  <c r="D10163" i="2"/>
  <c r="D10164" i="2"/>
  <c r="D10165" i="2"/>
  <c r="D10166" i="2"/>
  <c r="D10167" i="2"/>
  <c r="D10168" i="2"/>
  <c r="D10169" i="2"/>
  <c r="D10170" i="2"/>
  <c r="D10171" i="2"/>
  <c r="D10172" i="2"/>
  <c r="D10173" i="2"/>
  <c r="D10174" i="2"/>
  <c r="D10175" i="2"/>
  <c r="D10176" i="2"/>
  <c r="D10177" i="2"/>
  <c r="D10178" i="2"/>
  <c r="D10179" i="2"/>
  <c r="D10180" i="2"/>
  <c r="D10181" i="2"/>
  <c r="D10182" i="2"/>
  <c r="D10183" i="2"/>
  <c r="D10184" i="2"/>
  <c r="D10185" i="2"/>
  <c r="D10186" i="2"/>
  <c r="D10187" i="2"/>
  <c r="D10188" i="2"/>
  <c r="D10189" i="2"/>
  <c r="D10190" i="2"/>
  <c r="D10191" i="2"/>
  <c r="D10192" i="2"/>
  <c r="D10193" i="2"/>
  <c r="D10194" i="2"/>
  <c r="D10195" i="2"/>
  <c r="D10196" i="2"/>
  <c r="D10197" i="2"/>
  <c r="D10198" i="2"/>
  <c r="D10199" i="2"/>
  <c r="D10200" i="2"/>
  <c r="D10201" i="2"/>
  <c r="D10202" i="2"/>
  <c r="D10203" i="2"/>
  <c r="D10204" i="2"/>
  <c r="D10205" i="2"/>
  <c r="D10206" i="2"/>
  <c r="D10207" i="2"/>
  <c r="D10208" i="2"/>
  <c r="D10209" i="2"/>
  <c r="D10210" i="2"/>
  <c r="D10211" i="2"/>
  <c r="D10212" i="2"/>
  <c r="D10213" i="2"/>
  <c r="D10214" i="2"/>
  <c r="D10215" i="2"/>
  <c r="D10216" i="2"/>
  <c r="D10217" i="2"/>
  <c r="D10218" i="2"/>
  <c r="D10219" i="2"/>
  <c r="D10220" i="2"/>
  <c r="D10221" i="2"/>
  <c r="D10222" i="2"/>
  <c r="D10223" i="2"/>
  <c r="D10224" i="2"/>
  <c r="D10225" i="2"/>
  <c r="D10226" i="2"/>
  <c r="D10227" i="2"/>
  <c r="D10228" i="2"/>
  <c r="D10229" i="2"/>
  <c r="D10230" i="2"/>
  <c r="D10231" i="2"/>
  <c r="D10232" i="2"/>
  <c r="D10233" i="2"/>
  <c r="D10234" i="2"/>
  <c r="D10235" i="2"/>
  <c r="D10236" i="2"/>
  <c r="D10237" i="2"/>
  <c r="D10238" i="2"/>
  <c r="D10239" i="2"/>
  <c r="D10240" i="2"/>
  <c r="D10241" i="2"/>
  <c r="D10242" i="2"/>
  <c r="D10243" i="2"/>
  <c r="D10244" i="2"/>
  <c r="D10245" i="2"/>
  <c r="D10246" i="2"/>
  <c r="D10247" i="2"/>
  <c r="D10248" i="2"/>
  <c r="D10249" i="2"/>
  <c r="D10250" i="2"/>
  <c r="D10251" i="2"/>
  <c r="D10252" i="2"/>
  <c r="D10253" i="2"/>
  <c r="D10254" i="2"/>
  <c r="D10255" i="2"/>
  <c r="D10256" i="2"/>
  <c r="D10257" i="2"/>
  <c r="D10258" i="2"/>
  <c r="D10259" i="2"/>
  <c r="D10260" i="2"/>
  <c r="D10261" i="2"/>
  <c r="D10262" i="2"/>
  <c r="D10263" i="2"/>
  <c r="D10264" i="2"/>
  <c r="D10265" i="2"/>
  <c r="D10266" i="2"/>
  <c r="D10267" i="2"/>
  <c r="D10268" i="2"/>
  <c r="D10269" i="2"/>
  <c r="D10270" i="2"/>
  <c r="D10271" i="2"/>
  <c r="D10272" i="2"/>
  <c r="D10273" i="2"/>
  <c r="D10274" i="2"/>
  <c r="D10275" i="2"/>
  <c r="D10276" i="2"/>
  <c r="D10277" i="2"/>
  <c r="D10278" i="2"/>
  <c r="D10279" i="2"/>
  <c r="D10280" i="2"/>
  <c r="D10281" i="2"/>
  <c r="D10282" i="2"/>
  <c r="D10283" i="2"/>
  <c r="D10284" i="2"/>
  <c r="D10285" i="2"/>
  <c r="D10286" i="2"/>
  <c r="D10287" i="2"/>
  <c r="D10288" i="2"/>
  <c r="D10289" i="2"/>
  <c r="D10290" i="2"/>
  <c r="D10291" i="2"/>
  <c r="D10292" i="2"/>
  <c r="D10293" i="2"/>
  <c r="D10294" i="2"/>
  <c r="D10295" i="2"/>
  <c r="D10296" i="2"/>
  <c r="D10297" i="2"/>
  <c r="D10298" i="2"/>
  <c r="D10299" i="2"/>
  <c r="D10300" i="2"/>
  <c r="D10301" i="2"/>
  <c r="D10302" i="2"/>
  <c r="D10303" i="2"/>
  <c r="D10304" i="2"/>
  <c r="D10305" i="2"/>
  <c r="D10306" i="2"/>
  <c r="D10307" i="2"/>
  <c r="D10308" i="2"/>
  <c r="D10309" i="2"/>
  <c r="D10310" i="2"/>
  <c r="D10311" i="2"/>
  <c r="D10312" i="2"/>
  <c r="D10313" i="2"/>
  <c r="D10314" i="2"/>
  <c r="D10315" i="2"/>
  <c r="D10316" i="2"/>
  <c r="D10317" i="2"/>
  <c r="D10318" i="2"/>
  <c r="D10319" i="2"/>
  <c r="D10320" i="2"/>
  <c r="D10321" i="2"/>
  <c r="D10322" i="2"/>
  <c r="D10323" i="2"/>
  <c r="D10324" i="2"/>
  <c r="D10325" i="2"/>
  <c r="D10326" i="2"/>
  <c r="D10327" i="2"/>
  <c r="D10328" i="2"/>
  <c r="D10329" i="2"/>
  <c r="D10330" i="2"/>
  <c r="D10331" i="2"/>
  <c r="D10332" i="2"/>
  <c r="D10333" i="2"/>
  <c r="D10334" i="2"/>
  <c r="D10335" i="2"/>
  <c r="D10336" i="2"/>
  <c r="D10337" i="2"/>
  <c r="D10338" i="2"/>
  <c r="D10339" i="2"/>
  <c r="D10340" i="2"/>
  <c r="D10341" i="2"/>
  <c r="D10342" i="2"/>
  <c r="D10343" i="2"/>
  <c r="D10344" i="2"/>
  <c r="D10345" i="2"/>
  <c r="D10346" i="2"/>
  <c r="D10347" i="2"/>
  <c r="D10348" i="2"/>
  <c r="D10349" i="2"/>
  <c r="D10350" i="2"/>
  <c r="D10351" i="2"/>
  <c r="D10352" i="2"/>
  <c r="D10353" i="2"/>
  <c r="D10354" i="2"/>
  <c r="D10355" i="2"/>
  <c r="D10356" i="2"/>
  <c r="D10357" i="2"/>
  <c r="D10358" i="2"/>
  <c r="D10359" i="2"/>
  <c r="D10360" i="2"/>
  <c r="D10361" i="2"/>
  <c r="D10362" i="2"/>
  <c r="D10363" i="2"/>
  <c r="D10364" i="2"/>
  <c r="D10365" i="2"/>
  <c r="D10366" i="2"/>
  <c r="D10367" i="2"/>
  <c r="D10368" i="2"/>
  <c r="D10369" i="2"/>
  <c r="D10370" i="2"/>
  <c r="D10371" i="2"/>
  <c r="D10372" i="2"/>
  <c r="D10373" i="2"/>
  <c r="D10374" i="2"/>
  <c r="D10375" i="2"/>
  <c r="D10376" i="2"/>
  <c r="D10377" i="2"/>
  <c r="D10378" i="2"/>
  <c r="D10379" i="2"/>
  <c r="D10380" i="2"/>
  <c r="D10381" i="2"/>
  <c r="D10382" i="2"/>
  <c r="D10383" i="2"/>
  <c r="D10384" i="2"/>
  <c r="D10385" i="2"/>
  <c r="D10386" i="2"/>
  <c r="D10387" i="2"/>
  <c r="D10388" i="2"/>
  <c r="D10389" i="2"/>
  <c r="D10390" i="2"/>
  <c r="D10391" i="2"/>
  <c r="D10392" i="2"/>
  <c r="D10393" i="2"/>
  <c r="D10394" i="2"/>
  <c r="D10395" i="2"/>
  <c r="D10396" i="2"/>
  <c r="D10397" i="2"/>
  <c r="D10398" i="2"/>
  <c r="D10399" i="2"/>
  <c r="D10400" i="2"/>
  <c r="D10401" i="2"/>
  <c r="D10402" i="2"/>
  <c r="D10403" i="2"/>
  <c r="D10404" i="2"/>
  <c r="D10405" i="2"/>
  <c r="D10406" i="2"/>
  <c r="D10407" i="2"/>
  <c r="D10408" i="2"/>
  <c r="D10409" i="2"/>
  <c r="D10410" i="2"/>
  <c r="D10411" i="2"/>
  <c r="D10412" i="2"/>
  <c r="D10413" i="2"/>
  <c r="D10414" i="2"/>
  <c r="D10415" i="2"/>
  <c r="D10416" i="2"/>
  <c r="D10417" i="2"/>
  <c r="D10418" i="2"/>
  <c r="D10419" i="2"/>
  <c r="D10420" i="2"/>
  <c r="D10421" i="2"/>
  <c r="D10422" i="2"/>
  <c r="D10423" i="2"/>
  <c r="D10424" i="2"/>
  <c r="D10425" i="2"/>
  <c r="D10426" i="2"/>
  <c r="D10427" i="2"/>
  <c r="D10428" i="2"/>
  <c r="D10429" i="2"/>
  <c r="D10430" i="2"/>
  <c r="D10431" i="2"/>
  <c r="D10432" i="2"/>
  <c r="D10433" i="2"/>
  <c r="D10434" i="2"/>
  <c r="D10435" i="2"/>
  <c r="D10436" i="2"/>
  <c r="D10437" i="2"/>
  <c r="D10438" i="2"/>
  <c r="D10439" i="2"/>
  <c r="D10440" i="2"/>
  <c r="D10441" i="2"/>
  <c r="D10442" i="2"/>
  <c r="D10443" i="2"/>
  <c r="D10444" i="2"/>
  <c r="D10445" i="2"/>
  <c r="D10446" i="2"/>
  <c r="D10447" i="2"/>
  <c r="D10448" i="2"/>
  <c r="D10449" i="2"/>
  <c r="D10450" i="2"/>
  <c r="D10451" i="2"/>
  <c r="D10452" i="2"/>
  <c r="D10453" i="2"/>
  <c r="D10454" i="2"/>
  <c r="D10455" i="2"/>
  <c r="D10456" i="2"/>
  <c r="D10457" i="2"/>
  <c r="D10458" i="2"/>
  <c r="D10459" i="2"/>
  <c r="D10460" i="2"/>
  <c r="D10461" i="2"/>
  <c r="D10462" i="2"/>
  <c r="D10463" i="2"/>
  <c r="D10464" i="2"/>
  <c r="D10465" i="2"/>
  <c r="D10466" i="2"/>
  <c r="D10467" i="2"/>
  <c r="D10468" i="2"/>
  <c r="D10469" i="2"/>
  <c r="D10470" i="2"/>
  <c r="D10471" i="2"/>
  <c r="D10472" i="2"/>
  <c r="D10473" i="2"/>
  <c r="D10474" i="2"/>
  <c r="D10475" i="2"/>
  <c r="D10476" i="2"/>
  <c r="D10477" i="2"/>
  <c r="D10478" i="2"/>
  <c r="D10479" i="2"/>
  <c r="D10480" i="2"/>
  <c r="D10481" i="2"/>
  <c r="D10482" i="2"/>
  <c r="D10483" i="2"/>
  <c r="D10484" i="2"/>
  <c r="D10485" i="2"/>
  <c r="D10486" i="2"/>
  <c r="D10487" i="2"/>
  <c r="D10488" i="2"/>
  <c r="D10489" i="2"/>
  <c r="D10490" i="2"/>
  <c r="D10491" i="2"/>
  <c r="D10492" i="2"/>
  <c r="D10493" i="2"/>
  <c r="D10494" i="2"/>
  <c r="D10495" i="2"/>
  <c r="D10496" i="2"/>
  <c r="D10497" i="2"/>
  <c r="D10498" i="2"/>
  <c r="D10499" i="2"/>
  <c r="D10500" i="2"/>
  <c r="D10501" i="2"/>
  <c r="D10502" i="2"/>
  <c r="D10503" i="2"/>
  <c r="D10504" i="2"/>
  <c r="D10505" i="2"/>
  <c r="D10506" i="2"/>
  <c r="D10507" i="2"/>
  <c r="D10508" i="2"/>
  <c r="D10509" i="2"/>
  <c r="D10510" i="2"/>
  <c r="D10511" i="2"/>
  <c r="D10512" i="2"/>
  <c r="D10513" i="2"/>
  <c r="D10514" i="2"/>
  <c r="D10515" i="2"/>
  <c r="D10516" i="2"/>
  <c r="D10517" i="2"/>
  <c r="D10518" i="2"/>
  <c r="D10519" i="2"/>
  <c r="D10520" i="2"/>
  <c r="D10521" i="2"/>
  <c r="D10522" i="2"/>
  <c r="D10523" i="2"/>
  <c r="D10524" i="2"/>
  <c r="D10525" i="2"/>
  <c r="D10526" i="2"/>
  <c r="D10527" i="2"/>
  <c r="D10528" i="2"/>
  <c r="D10529" i="2"/>
  <c r="D10530" i="2"/>
  <c r="D10531" i="2"/>
  <c r="D10532" i="2"/>
  <c r="D10533" i="2"/>
  <c r="D10534" i="2"/>
  <c r="D10535" i="2"/>
  <c r="D10536" i="2"/>
  <c r="D10537" i="2"/>
  <c r="D10538" i="2"/>
  <c r="D10539" i="2"/>
  <c r="D10540" i="2"/>
  <c r="D10541" i="2"/>
  <c r="D10542" i="2"/>
  <c r="D10543" i="2"/>
  <c r="D10544" i="2"/>
  <c r="D10545" i="2"/>
  <c r="D10546" i="2"/>
  <c r="D10547" i="2"/>
  <c r="D10548" i="2"/>
  <c r="D10549" i="2"/>
  <c r="D10550" i="2"/>
  <c r="D10551" i="2"/>
  <c r="D10552" i="2"/>
  <c r="D10553" i="2"/>
  <c r="D10554" i="2"/>
  <c r="D10555" i="2"/>
  <c r="D10556" i="2"/>
  <c r="D10557" i="2"/>
  <c r="D10558" i="2"/>
  <c r="D10559" i="2"/>
  <c r="D10560" i="2"/>
  <c r="D10561" i="2"/>
  <c r="D10562" i="2"/>
  <c r="D10563" i="2"/>
  <c r="D10564" i="2"/>
  <c r="D10565" i="2"/>
  <c r="D10566" i="2"/>
  <c r="D10567" i="2"/>
  <c r="D10568" i="2"/>
  <c r="D10569" i="2"/>
  <c r="D10570" i="2"/>
  <c r="D10571" i="2"/>
  <c r="D10572" i="2"/>
  <c r="D10573" i="2"/>
  <c r="D10574" i="2"/>
  <c r="D10575" i="2"/>
  <c r="D10576" i="2"/>
  <c r="D10577" i="2"/>
  <c r="D10578" i="2"/>
  <c r="D10579" i="2"/>
  <c r="D10580" i="2"/>
  <c r="D10581" i="2"/>
  <c r="D10582" i="2"/>
  <c r="D10583" i="2"/>
  <c r="D10584" i="2"/>
  <c r="D10585" i="2"/>
  <c r="D10586" i="2"/>
  <c r="D10587" i="2"/>
  <c r="D10588" i="2"/>
  <c r="D10589" i="2"/>
  <c r="D10590" i="2"/>
  <c r="D10591" i="2"/>
  <c r="D10592" i="2"/>
  <c r="D10593" i="2"/>
  <c r="D10594" i="2"/>
  <c r="D10595" i="2"/>
  <c r="D10596" i="2"/>
  <c r="D10597" i="2"/>
  <c r="D10598" i="2"/>
  <c r="D10599" i="2"/>
  <c r="D10600" i="2"/>
  <c r="D10601" i="2"/>
  <c r="D10602" i="2"/>
  <c r="D10603" i="2"/>
  <c r="D10604" i="2"/>
  <c r="D10605" i="2"/>
  <c r="D10606" i="2"/>
  <c r="D10607" i="2"/>
  <c r="D10608" i="2"/>
  <c r="D10609" i="2"/>
  <c r="D10610" i="2"/>
  <c r="D10611" i="2"/>
  <c r="D10612" i="2"/>
  <c r="D10613" i="2"/>
  <c r="D10614" i="2"/>
  <c r="D10615" i="2"/>
  <c r="D10616" i="2"/>
  <c r="D10617" i="2"/>
  <c r="D10618" i="2"/>
  <c r="D10619" i="2"/>
  <c r="D10620" i="2"/>
  <c r="D10621" i="2"/>
  <c r="D10622" i="2"/>
  <c r="D10623" i="2"/>
  <c r="D10624" i="2"/>
  <c r="D10625" i="2"/>
  <c r="D10626" i="2"/>
  <c r="D10627" i="2"/>
  <c r="D10628" i="2"/>
  <c r="D10629" i="2"/>
  <c r="D10630" i="2"/>
  <c r="D10631" i="2"/>
  <c r="D10632" i="2"/>
  <c r="D10633" i="2"/>
  <c r="D10634" i="2"/>
  <c r="D10635" i="2"/>
  <c r="D10636" i="2"/>
  <c r="D10637" i="2"/>
  <c r="D10638" i="2"/>
  <c r="D10639" i="2"/>
  <c r="D10640" i="2"/>
  <c r="D10641" i="2"/>
  <c r="D10642" i="2"/>
  <c r="D10643" i="2"/>
  <c r="D10644" i="2"/>
  <c r="D10645" i="2"/>
  <c r="D10646" i="2"/>
  <c r="D10647" i="2"/>
  <c r="D10648" i="2"/>
  <c r="D10649" i="2"/>
  <c r="D10650" i="2"/>
  <c r="D10651" i="2"/>
  <c r="D10652" i="2"/>
  <c r="D10653" i="2"/>
  <c r="D10654" i="2"/>
  <c r="D10655" i="2"/>
  <c r="D10656" i="2"/>
  <c r="D10657" i="2"/>
  <c r="D10658" i="2"/>
  <c r="D10659" i="2"/>
  <c r="D10660" i="2"/>
  <c r="D10661" i="2"/>
  <c r="D10662" i="2"/>
  <c r="D10663" i="2"/>
  <c r="D10664" i="2"/>
  <c r="D10665" i="2"/>
  <c r="D10666" i="2"/>
  <c r="D10667" i="2"/>
  <c r="D10668" i="2"/>
  <c r="D10669" i="2"/>
  <c r="D10670" i="2"/>
  <c r="D10671" i="2"/>
  <c r="D10672" i="2"/>
  <c r="D10673" i="2"/>
  <c r="D10674" i="2"/>
  <c r="D10675" i="2"/>
  <c r="D10676" i="2"/>
  <c r="D10677" i="2"/>
  <c r="D10678" i="2"/>
  <c r="D10679" i="2"/>
  <c r="D10680" i="2"/>
  <c r="D10681" i="2"/>
  <c r="D10682" i="2"/>
  <c r="D10683" i="2"/>
  <c r="D10684" i="2"/>
  <c r="D10685" i="2"/>
  <c r="D10686" i="2"/>
  <c r="D10687" i="2"/>
  <c r="D10688" i="2"/>
  <c r="D10689" i="2"/>
  <c r="D10690" i="2"/>
  <c r="D10691" i="2"/>
  <c r="D10692" i="2"/>
  <c r="D10693" i="2"/>
  <c r="D10694" i="2"/>
  <c r="D10695" i="2"/>
  <c r="D10696" i="2"/>
  <c r="D10697" i="2"/>
  <c r="D10698" i="2"/>
  <c r="D10699" i="2"/>
  <c r="D10700" i="2"/>
  <c r="D10701" i="2"/>
  <c r="D10702" i="2"/>
  <c r="D10703" i="2"/>
  <c r="D10704" i="2"/>
  <c r="D10705" i="2"/>
  <c r="D10706" i="2"/>
  <c r="D10707" i="2"/>
  <c r="D10708" i="2"/>
  <c r="D10709" i="2"/>
  <c r="D10710" i="2"/>
  <c r="D10711" i="2"/>
  <c r="D10712" i="2"/>
  <c r="D10713" i="2"/>
  <c r="D10714" i="2"/>
  <c r="D10715" i="2"/>
  <c r="D10716" i="2"/>
  <c r="D10717" i="2"/>
  <c r="D10718" i="2"/>
  <c r="D10719" i="2"/>
  <c r="D10720" i="2"/>
  <c r="D10721" i="2"/>
  <c r="D10722" i="2"/>
  <c r="D10723" i="2"/>
  <c r="D10724" i="2"/>
  <c r="D10725" i="2"/>
  <c r="D10726" i="2"/>
  <c r="D10727" i="2"/>
  <c r="D10728" i="2"/>
  <c r="D10729" i="2"/>
  <c r="D10730" i="2"/>
  <c r="D10731" i="2"/>
  <c r="D10732" i="2"/>
  <c r="D10733" i="2"/>
  <c r="D10734" i="2"/>
  <c r="D10735" i="2"/>
  <c r="D10736" i="2"/>
  <c r="D10737" i="2"/>
  <c r="D10738" i="2"/>
  <c r="D10739" i="2"/>
  <c r="D10740" i="2"/>
  <c r="D10741" i="2"/>
  <c r="D10742" i="2"/>
  <c r="D10743" i="2"/>
  <c r="D10744" i="2"/>
  <c r="D10745" i="2"/>
  <c r="D10746" i="2"/>
  <c r="D10747" i="2"/>
  <c r="D10748" i="2"/>
  <c r="D10749" i="2"/>
  <c r="D10750" i="2"/>
  <c r="D10751" i="2"/>
  <c r="D10752" i="2"/>
  <c r="D10753" i="2"/>
  <c r="D10754" i="2"/>
  <c r="D10755" i="2"/>
  <c r="D10756" i="2"/>
  <c r="D10757" i="2"/>
  <c r="D10758" i="2"/>
  <c r="D10759" i="2"/>
  <c r="D10760" i="2"/>
  <c r="D10761" i="2"/>
  <c r="D10762" i="2"/>
  <c r="D10763" i="2"/>
  <c r="D10764" i="2"/>
  <c r="D10765" i="2"/>
  <c r="D10766" i="2"/>
  <c r="D10767" i="2"/>
  <c r="D10768" i="2"/>
  <c r="D10769" i="2"/>
  <c r="D10770" i="2"/>
  <c r="D10771" i="2"/>
  <c r="D10772" i="2"/>
  <c r="D10773" i="2"/>
  <c r="D10774" i="2"/>
  <c r="D10775" i="2"/>
  <c r="D10776" i="2"/>
  <c r="D10777" i="2"/>
  <c r="D10778" i="2"/>
  <c r="D10779" i="2"/>
  <c r="D10780" i="2"/>
  <c r="D10781" i="2"/>
  <c r="D10782" i="2"/>
  <c r="D10783" i="2"/>
  <c r="D10784" i="2"/>
  <c r="D10785" i="2"/>
  <c r="D10786" i="2"/>
  <c r="D10787" i="2"/>
  <c r="D10788" i="2"/>
  <c r="D10789" i="2"/>
  <c r="D10790" i="2"/>
  <c r="D10791" i="2"/>
  <c r="D10792" i="2"/>
  <c r="D10793" i="2"/>
  <c r="D10794" i="2"/>
  <c r="D10795" i="2"/>
  <c r="D10796" i="2"/>
  <c r="D10797" i="2"/>
  <c r="D10798" i="2"/>
  <c r="D10799" i="2"/>
  <c r="D10800" i="2"/>
  <c r="D10801" i="2"/>
  <c r="D10802" i="2"/>
  <c r="D10803" i="2"/>
  <c r="D10804" i="2"/>
  <c r="D10805" i="2"/>
  <c r="D10806" i="2"/>
  <c r="D10807" i="2"/>
  <c r="D10808" i="2"/>
  <c r="D10809" i="2"/>
  <c r="D10810" i="2"/>
  <c r="D10811" i="2"/>
  <c r="D10812" i="2"/>
  <c r="D10813" i="2"/>
  <c r="D10814" i="2"/>
  <c r="D10815" i="2"/>
  <c r="D10816" i="2"/>
  <c r="D10817" i="2"/>
  <c r="D10818" i="2"/>
  <c r="D10819" i="2"/>
  <c r="D10820" i="2"/>
  <c r="D10821" i="2"/>
  <c r="D10822" i="2"/>
  <c r="D10823" i="2"/>
  <c r="D10824" i="2"/>
  <c r="D10825" i="2"/>
  <c r="D10826" i="2"/>
  <c r="D10827" i="2"/>
  <c r="D10828" i="2"/>
  <c r="D10829" i="2"/>
  <c r="D10830" i="2"/>
  <c r="D10831" i="2"/>
  <c r="D10832" i="2"/>
  <c r="D10833" i="2"/>
  <c r="D10834" i="2"/>
  <c r="D10835" i="2"/>
  <c r="D10836" i="2"/>
  <c r="D10837" i="2"/>
  <c r="D10838" i="2"/>
  <c r="D10839" i="2"/>
  <c r="D10840" i="2"/>
  <c r="D10841" i="2"/>
  <c r="D10842" i="2"/>
  <c r="D10843" i="2"/>
  <c r="D10844" i="2"/>
  <c r="D10845" i="2"/>
  <c r="D10846" i="2"/>
  <c r="D10847" i="2"/>
  <c r="D10848" i="2"/>
  <c r="D10849" i="2"/>
  <c r="D10850" i="2"/>
  <c r="D10851" i="2"/>
  <c r="D10852" i="2"/>
  <c r="D10853" i="2"/>
  <c r="D10854" i="2"/>
  <c r="D10855" i="2"/>
  <c r="D10856" i="2"/>
  <c r="D10857" i="2"/>
  <c r="D10858" i="2"/>
  <c r="D10859" i="2"/>
  <c r="D10860" i="2"/>
  <c r="D10861" i="2"/>
  <c r="D10862" i="2"/>
  <c r="D10863" i="2"/>
  <c r="D10864" i="2"/>
  <c r="D10865" i="2"/>
  <c r="D10866" i="2"/>
  <c r="D10867" i="2"/>
  <c r="D10868" i="2"/>
  <c r="D10869" i="2"/>
  <c r="D10870" i="2"/>
  <c r="D10871" i="2"/>
  <c r="D10872" i="2"/>
  <c r="D10873" i="2"/>
  <c r="D10874" i="2"/>
  <c r="D10875" i="2"/>
  <c r="D10876" i="2"/>
  <c r="D10877" i="2"/>
  <c r="D10878" i="2"/>
  <c r="D10879" i="2"/>
  <c r="D10880" i="2"/>
  <c r="D10881" i="2"/>
  <c r="D10882" i="2"/>
  <c r="D10883" i="2"/>
  <c r="D10884" i="2"/>
  <c r="D10885" i="2"/>
  <c r="D10886" i="2"/>
  <c r="D10887" i="2"/>
  <c r="D10888" i="2"/>
  <c r="D10889" i="2"/>
  <c r="D10890" i="2"/>
  <c r="D10891" i="2"/>
  <c r="D10892" i="2"/>
  <c r="D10893" i="2"/>
  <c r="D10894" i="2"/>
  <c r="D10895" i="2"/>
  <c r="D10896" i="2"/>
  <c r="D10897" i="2"/>
  <c r="D10898" i="2"/>
  <c r="D10899" i="2"/>
  <c r="D10900" i="2"/>
  <c r="D10901" i="2"/>
  <c r="D10902" i="2"/>
  <c r="D10903" i="2"/>
  <c r="D10904" i="2"/>
  <c r="D10905" i="2"/>
  <c r="D10906" i="2"/>
  <c r="D10907" i="2"/>
  <c r="D10908" i="2"/>
  <c r="D10909" i="2"/>
  <c r="D10910" i="2"/>
  <c r="D10911" i="2"/>
  <c r="D10912" i="2"/>
  <c r="D10913" i="2"/>
  <c r="D10914" i="2"/>
  <c r="D10915" i="2"/>
  <c r="D10916" i="2"/>
  <c r="D10917" i="2"/>
  <c r="D10918" i="2"/>
  <c r="D10919" i="2"/>
  <c r="D10920" i="2"/>
  <c r="D10921" i="2"/>
  <c r="D10922" i="2"/>
  <c r="D10923" i="2"/>
  <c r="D10924" i="2"/>
  <c r="D10925" i="2"/>
  <c r="D10926" i="2"/>
  <c r="D10927" i="2"/>
  <c r="D10928" i="2"/>
  <c r="D10929" i="2"/>
  <c r="D10930" i="2"/>
  <c r="D10931" i="2"/>
  <c r="D10932" i="2"/>
  <c r="D10933" i="2"/>
  <c r="D10934" i="2"/>
  <c r="D10935" i="2"/>
  <c r="D10936" i="2"/>
  <c r="D10937" i="2"/>
  <c r="D10938" i="2"/>
  <c r="D10939" i="2"/>
  <c r="D10940" i="2"/>
  <c r="D10941" i="2"/>
  <c r="D10942" i="2"/>
  <c r="D10943" i="2"/>
  <c r="D10944" i="2"/>
  <c r="D10945" i="2"/>
  <c r="D10946" i="2"/>
  <c r="D10947" i="2"/>
  <c r="D10948" i="2"/>
  <c r="D10949" i="2"/>
  <c r="D10950" i="2"/>
  <c r="D10951" i="2"/>
  <c r="D10952" i="2"/>
  <c r="D10953" i="2"/>
  <c r="D10954" i="2"/>
  <c r="D10955" i="2"/>
  <c r="D10956" i="2"/>
  <c r="D10957" i="2"/>
  <c r="D10958" i="2"/>
  <c r="D10959" i="2"/>
  <c r="D10960" i="2"/>
  <c r="D10961" i="2"/>
  <c r="D10962" i="2"/>
  <c r="D10963" i="2"/>
  <c r="D10964" i="2"/>
  <c r="D10965" i="2"/>
  <c r="D10966" i="2"/>
  <c r="D10967" i="2"/>
  <c r="D10968" i="2"/>
  <c r="D10969" i="2"/>
  <c r="D10970" i="2"/>
  <c r="D10971" i="2"/>
  <c r="D10972" i="2"/>
  <c r="D10973" i="2"/>
  <c r="D10974" i="2"/>
  <c r="D10975" i="2"/>
  <c r="D10976" i="2"/>
  <c r="D10977" i="2"/>
  <c r="D10978" i="2"/>
  <c r="D10979" i="2"/>
  <c r="D10980" i="2"/>
  <c r="D10981" i="2"/>
  <c r="D10982" i="2"/>
  <c r="D10983" i="2"/>
  <c r="D10984" i="2"/>
  <c r="D10985" i="2"/>
  <c r="D10986" i="2"/>
  <c r="D10987" i="2"/>
  <c r="D10988" i="2"/>
  <c r="D10989" i="2"/>
  <c r="D10990" i="2"/>
  <c r="D10991" i="2"/>
  <c r="D10992" i="2"/>
  <c r="D10993" i="2"/>
  <c r="D10994" i="2"/>
  <c r="D10995" i="2"/>
  <c r="D10996" i="2"/>
  <c r="D10997" i="2"/>
  <c r="D10998" i="2"/>
  <c r="D10999" i="2"/>
  <c r="D11000" i="2"/>
  <c r="D11001" i="2"/>
  <c r="D11002" i="2"/>
  <c r="D11003" i="2"/>
  <c r="D11004" i="2"/>
  <c r="D11005" i="2"/>
  <c r="D11006" i="2"/>
  <c r="D11007" i="2"/>
  <c r="D11008" i="2"/>
  <c r="D11009" i="2"/>
  <c r="D11010" i="2"/>
  <c r="D11011" i="2"/>
  <c r="D11012" i="2"/>
  <c r="D11013" i="2"/>
  <c r="D11014" i="2"/>
  <c r="D11015" i="2"/>
  <c r="D11016" i="2"/>
  <c r="D11017" i="2"/>
  <c r="D11018" i="2"/>
  <c r="D11019" i="2"/>
  <c r="D11020" i="2"/>
  <c r="D11021" i="2"/>
  <c r="D11022" i="2"/>
  <c r="D11023" i="2"/>
  <c r="D11024" i="2"/>
  <c r="D11025" i="2"/>
  <c r="D11026" i="2"/>
  <c r="D11027" i="2"/>
  <c r="D11028" i="2"/>
  <c r="D11029" i="2"/>
  <c r="D11030" i="2"/>
  <c r="D11031" i="2"/>
  <c r="D11032" i="2"/>
  <c r="D11033" i="2"/>
  <c r="D11034" i="2"/>
  <c r="D11035" i="2"/>
  <c r="D11036" i="2"/>
  <c r="D11037" i="2"/>
  <c r="D11038" i="2"/>
  <c r="D11039" i="2"/>
  <c r="D11040" i="2"/>
  <c r="D11041" i="2"/>
  <c r="D11042" i="2"/>
  <c r="D11043" i="2"/>
  <c r="D11044" i="2"/>
  <c r="D11045" i="2"/>
  <c r="D11046" i="2"/>
  <c r="D11047" i="2"/>
  <c r="D11048" i="2"/>
  <c r="D11049" i="2"/>
  <c r="D11050" i="2"/>
  <c r="D11051" i="2"/>
  <c r="D11052" i="2"/>
  <c r="D11053" i="2"/>
  <c r="D11054" i="2"/>
  <c r="D11055" i="2"/>
  <c r="D11056" i="2"/>
  <c r="D11057" i="2"/>
  <c r="D11058" i="2"/>
  <c r="D11059" i="2"/>
  <c r="D11060" i="2"/>
  <c r="D11061" i="2"/>
  <c r="D11062" i="2"/>
  <c r="D11063" i="2"/>
  <c r="D11064" i="2"/>
  <c r="D11065" i="2"/>
  <c r="D11066" i="2"/>
  <c r="D11067" i="2"/>
  <c r="D11068" i="2"/>
  <c r="D11069" i="2"/>
  <c r="D11070" i="2"/>
  <c r="D11071" i="2"/>
  <c r="D11072" i="2"/>
  <c r="D11073" i="2"/>
  <c r="D11074" i="2"/>
  <c r="D11075" i="2"/>
  <c r="D11076" i="2"/>
  <c r="D11077" i="2"/>
  <c r="D11078" i="2"/>
  <c r="D11079" i="2"/>
  <c r="D11080" i="2"/>
  <c r="D11081" i="2"/>
  <c r="D11082" i="2"/>
  <c r="D11083" i="2"/>
  <c r="D11084" i="2"/>
  <c r="D11085" i="2"/>
  <c r="D11086" i="2"/>
  <c r="D11087" i="2"/>
  <c r="D11088" i="2"/>
  <c r="D11089" i="2"/>
  <c r="D11090" i="2"/>
  <c r="D11091" i="2"/>
  <c r="D11092" i="2"/>
  <c r="D11093" i="2"/>
  <c r="D11094" i="2"/>
  <c r="D11095" i="2"/>
  <c r="D11096" i="2"/>
  <c r="D11097" i="2"/>
  <c r="D11098" i="2"/>
  <c r="D11099" i="2"/>
  <c r="D11100" i="2"/>
  <c r="D11101" i="2"/>
  <c r="D11102" i="2"/>
  <c r="D11103" i="2"/>
  <c r="D11104" i="2"/>
  <c r="D11105" i="2"/>
  <c r="D11106" i="2"/>
  <c r="D11107" i="2"/>
  <c r="D11108" i="2"/>
  <c r="D11109" i="2"/>
  <c r="D11110" i="2"/>
  <c r="D11111" i="2"/>
  <c r="D11112" i="2"/>
  <c r="D11113" i="2"/>
  <c r="D11114" i="2"/>
  <c r="D11115" i="2"/>
  <c r="D11116" i="2"/>
  <c r="D11117" i="2"/>
  <c r="D11118" i="2"/>
  <c r="D11119" i="2"/>
  <c r="D11120" i="2"/>
  <c r="D11121" i="2"/>
  <c r="D11122" i="2"/>
  <c r="D11123" i="2"/>
  <c r="D11124" i="2"/>
  <c r="D11125" i="2"/>
  <c r="D11126" i="2"/>
  <c r="D11127" i="2"/>
  <c r="D11128" i="2"/>
  <c r="D11129" i="2"/>
  <c r="D11130" i="2"/>
  <c r="D11131" i="2"/>
  <c r="D11132" i="2"/>
  <c r="D11133" i="2"/>
  <c r="D11134" i="2"/>
  <c r="D11135" i="2"/>
  <c r="D11136" i="2"/>
  <c r="D11137" i="2"/>
  <c r="D11138" i="2"/>
  <c r="D11139" i="2"/>
  <c r="D11140" i="2"/>
  <c r="D11141" i="2"/>
  <c r="D11142" i="2"/>
  <c r="D11143" i="2"/>
  <c r="D11144" i="2"/>
  <c r="D11145" i="2"/>
  <c r="D11146" i="2"/>
  <c r="D11147" i="2"/>
  <c r="D11148" i="2"/>
  <c r="D11149" i="2"/>
  <c r="D11150" i="2"/>
  <c r="D11151" i="2"/>
  <c r="D11152" i="2"/>
  <c r="D11153" i="2"/>
  <c r="D11154" i="2"/>
  <c r="D11155" i="2"/>
  <c r="D11156" i="2"/>
  <c r="D11157" i="2"/>
  <c r="D11158" i="2"/>
  <c r="D11159" i="2"/>
  <c r="D11160" i="2"/>
  <c r="D11161" i="2"/>
  <c r="D11162" i="2"/>
  <c r="D11163" i="2"/>
  <c r="D11164" i="2"/>
  <c r="D11165" i="2"/>
  <c r="D11166" i="2"/>
  <c r="D11167" i="2"/>
  <c r="D11168" i="2"/>
  <c r="D11169" i="2"/>
  <c r="D11170" i="2"/>
  <c r="D11171" i="2"/>
  <c r="D11172" i="2"/>
  <c r="D11173" i="2"/>
  <c r="D11174" i="2"/>
  <c r="D11175" i="2"/>
  <c r="D11176" i="2"/>
  <c r="D11177" i="2"/>
  <c r="D11178" i="2"/>
  <c r="D11179" i="2"/>
  <c r="D11180" i="2"/>
  <c r="D11181" i="2"/>
  <c r="D11182" i="2"/>
  <c r="D11183" i="2"/>
  <c r="D11184" i="2"/>
  <c r="D11185" i="2"/>
  <c r="D11186" i="2"/>
  <c r="D11187" i="2"/>
  <c r="D11188" i="2"/>
  <c r="D11189" i="2"/>
  <c r="D11190" i="2"/>
  <c r="D11191" i="2"/>
  <c r="D11192" i="2"/>
  <c r="D11193" i="2"/>
  <c r="D11194" i="2"/>
  <c r="D11195" i="2"/>
  <c r="D11196" i="2"/>
  <c r="D11197" i="2"/>
  <c r="D11198" i="2"/>
  <c r="D11199" i="2"/>
  <c r="D11200" i="2"/>
  <c r="D11201" i="2"/>
  <c r="D11202" i="2"/>
  <c r="D11203" i="2"/>
  <c r="D11204" i="2"/>
  <c r="D11205" i="2"/>
  <c r="D11206" i="2"/>
  <c r="D11207" i="2"/>
  <c r="D11208" i="2"/>
  <c r="D11209" i="2"/>
  <c r="D11210" i="2"/>
  <c r="D11211" i="2"/>
  <c r="D11212" i="2"/>
  <c r="D11213" i="2"/>
  <c r="D11214" i="2"/>
  <c r="D11215" i="2"/>
  <c r="D11216" i="2"/>
  <c r="D11217" i="2"/>
  <c r="D11218" i="2"/>
  <c r="D11219" i="2"/>
  <c r="D11220" i="2"/>
  <c r="D11221" i="2"/>
  <c r="D11222" i="2"/>
  <c r="D11223" i="2"/>
  <c r="D11224" i="2"/>
  <c r="D11225" i="2"/>
  <c r="D11226" i="2"/>
  <c r="D11227" i="2"/>
  <c r="D11228" i="2"/>
  <c r="D11229" i="2"/>
  <c r="D11230" i="2"/>
  <c r="D11231" i="2"/>
  <c r="D11232" i="2"/>
  <c r="D11233" i="2"/>
  <c r="D11234" i="2"/>
  <c r="D11235" i="2"/>
  <c r="D11236" i="2"/>
  <c r="D11237" i="2"/>
  <c r="D11238" i="2"/>
  <c r="D11239" i="2"/>
  <c r="D11240" i="2"/>
  <c r="D11241" i="2"/>
  <c r="D11242" i="2"/>
  <c r="D11243" i="2"/>
  <c r="D11244" i="2"/>
  <c r="D11245" i="2"/>
  <c r="D11246" i="2"/>
  <c r="D11247" i="2"/>
  <c r="D11248" i="2"/>
  <c r="D11249" i="2"/>
  <c r="D11250" i="2"/>
  <c r="D11251" i="2"/>
  <c r="D11252" i="2"/>
  <c r="D11253" i="2"/>
  <c r="D11254" i="2"/>
  <c r="D11255" i="2"/>
  <c r="D11256" i="2"/>
  <c r="D11257" i="2"/>
  <c r="D11258" i="2"/>
  <c r="D11259" i="2"/>
  <c r="D11260" i="2"/>
  <c r="D11261" i="2"/>
  <c r="D11262" i="2"/>
  <c r="D11263" i="2"/>
  <c r="D11264" i="2"/>
  <c r="D11265" i="2"/>
  <c r="D11266" i="2"/>
  <c r="D11267" i="2"/>
  <c r="D11268" i="2"/>
  <c r="D11269" i="2"/>
  <c r="D11270" i="2"/>
  <c r="D11271" i="2"/>
  <c r="D11272" i="2"/>
  <c r="D11273" i="2"/>
  <c r="D11274" i="2"/>
  <c r="D11275" i="2"/>
  <c r="D11276" i="2"/>
  <c r="D11277" i="2"/>
  <c r="D11278" i="2"/>
  <c r="D11279" i="2"/>
  <c r="D11280" i="2"/>
  <c r="D11281" i="2"/>
  <c r="D11282" i="2"/>
  <c r="D11283" i="2"/>
  <c r="D11284" i="2"/>
  <c r="D11285" i="2"/>
  <c r="D11286" i="2"/>
  <c r="D11287" i="2"/>
  <c r="D11288" i="2"/>
  <c r="D11289" i="2"/>
  <c r="D11290" i="2"/>
  <c r="D11291" i="2"/>
  <c r="D11292" i="2"/>
  <c r="D11293" i="2"/>
  <c r="D11294" i="2"/>
  <c r="D11295" i="2"/>
  <c r="D11296" i="2"/>
  <c r="D11297" i="2"/>
  <c r="D11298" i="2"/>
  <c r="D11299" i="2"/>
  <c r="D11300" i="2"/>
  <c r="D11301" i="2"/>
  <c r="D11302" i="2"/>
  <c r="D11303" i="2"/>
  <c r="D11304" i="2"/>
  <c r="D11305" i="2"/>
  <c r="D11306" i="2"/>
  <c r="D11307" i="2"/>
  <c r="D11308" i="2"/>
  <c r="D11309" i="2"/>
  <c r="D11310" i="2"/>
  <c r="D11311" i="2"/>
  <c r="D11312" i="2"/>
  <c r="D11313" i="2"/>
  <c r="D11314" i="2"/>
  <c r="D11315" i="2"/>
  <c r="D11316" i="2"/>
  <c r="D11317" i="2"/>
  <c r="D11318" i="2"/>
  <c r="D11319" i="2"/>
  <c r="D11320" i="2"/>
  <c r="D11321" i="2"/>
  <c r="D11322" i="2"/>
  <c r="D11323" i="2"/>
  <c r="D11324" i="2"/>
  <c r="D11325" i="2"/>
  <c r="D11326" i="2"/>
  <c r="D11327" i="2"/>
  <c r="D11328" i="2"/>
  <c r="D11329" i="2"/>
  <c r="D11330" i="2"/>
  <c r="D11331" i="2"/>
  <c r="D11332" i="2"/>
  <c r="D11333" i="2"/>
  <c r="D11334" i="2"/>
  <c r="D11335" i="2"/>
  <c r="D11336" i="2"/>
  <c r="D11337" i="2"/>
  <c r="D11338" i="2"/>
  <c r="D11339" i="2"/>
  <c r="D11340" i="2"/>
  <c r="D11341" i="2"/>
  <c r="D11342" i="2"/>
  <c r="D11343" i="2"/>
  <c r="D11344" i="2"/>
  <c r="D11345" i="2"/>
  <c r="D11346" i="2"/>
  <c r="D11347" i="2"/>
  <c r="D11348" i="2"/>
  <c r="D11349" i="2"/>
  <c r="D11350" i="2"/>
  <c r="D11351" i="2"/>
  <c r="D11352" i="2"/>
  <c r="D11353" i="2"/>
  <c r="D11354" i="2"/>
  <c r="D11355" i="2"/>
  <c r="D11356" i="2"/>
  <c r="D11357" i="2"/>
  <c r="D11358" i="2"/>
  <c r="D11359" i="2"/>
  <c r="D11360" i="2"/>
  <c r="D11361" i="2"/>
  <c r="D11362" i="2"/>
  <c r="D11363" i="2"/>
  <c r="D11364" i="2"/>
  <c r="D11365" i="2"/>
  <c r="D11366" i="2"/>
  <c r="D11367" i="2"/>
  <c r="D11368" i="2"/>
  <c r="D11369" i="2"/>
  <c r="D11370" i="2"/>
  <c r="D11371" i="2"/>
  <c r="D11372" i="2"/>
  <c r="D11373" i="2"/>
  <c r="D11374" i="2"/>
  <c r="D11375" i="2"/>
  <c r="D11376" i="2"/>
  <c r="D11377" i="2"/>
  <c r="D11378" i="2"/>
  <c r="D11379" i="2"/>
  <c r="D11380" i="2"/>
  <c r="D11381" i="2"/>
  <c r="D11382" i="2"/>
  <c r="D11383" i="2"/>
  <c r="D11384" i="2"/>
  <c r="D11385" i="2"/>
  <c r="D11386" i="2"/>
  <c r="D11387" i="2"/>
  <c r="D11388" i="2"/>
  <c r="D11389" i="2"/>
  <c r="D11390" i="2"/>
  <c r="D11391" i="2"/>
  <c r="D11392" i="2"/>
  <c r="D11393" i="2"/>
  <c r="D11394" i="2"/>
  <c r="D11395" i="2"/>
  <c r="D11396" i="2"/>
  <c r="D11397" i="2"/>
  <c r="D11398" i="2"/>
  <c r="D11399" i="2"/>
  <c r="D11400" i="2"/>
  <c r="D11401" i="2"/>
  <c r="D11402" i="2"/>
  <c r="D11403" i="2"/>
  <c r="D11404" i="2"/>
  <c r="D11405" i="2"/>
  <c r="D11406" i="2"/>
  <c r="D11407" i="2"/>
  <c r="D11408" i="2"/>
  <c r="D11409" i="2"/>
  <c r="D11410" i="2"/>
  <c r="D11411" i="2"/>
  <c r="D11412" i="2"/>
  <c r="D11413" i="2"/>
  <c r="D11414" i="2"/>
  <c r="D11415" i="2"/>
  <c r="D11416" i="2"/>
  <c r="D11417" i="2"/>
  <c r="D11418" i="2"/>
  <c r="D11419" i="2"/>
  <c r="D11420" i="2"/>
  <c r="D11421" i="2"/>
  <c r="D11422" i="2"/>
  <c r="D11423" i="2"/>
  <c r="D11424" i="2"/>
  <c r="D11425" i="2"/>
  <c r="D11426" i="2"/>
  <c r="D11427" i="2"/>
  <c r="D11428" i="2"/>
  <c r="D11429" i="2"/>
  <c r="D11430" i="2"/>
  <c r="D11431" i="2"/>
  <c r="D11432" i="2"/>
  <c r="D11433" i="2"/>
  <c r="D11434" i="2"/>
  <c r="D11435" i="2"/>
  <c r="D11436" i="2"/>
  <c r="D11437" i="2"/>
  <c r="D11438" i="2"/>
  <c r="D11439" i="2"/>
  <c r="D11440" i="2"/>
  <c r="D11441" i="2"/>
  <c r="D11442" i="2"/>
  <c r="D11443" i="2"/>
  <c r="D11444" i="2"/>
  <c r="D11445" i="2"/>
  <c r="D11446" i="2"/>
  <c r="D11447" i="2"/>
  <c r="D11448" i="2"/>
  <c r="D11449" i="2"/>
  <c r="D11450" i="2"/>
  <c r="D11451" i="2"/>
  <c r="D11452" i="2"/>
  <c r="D11453" i="2"/>
  <c r="D11454" i="2"/>
  <c r="D11455" i="2"/>
  <c r="D11456" i="2"/>
  <c r="D11457" i="2"/>
  <c r="D11458" i="2"/>
  <c r="D11459" i="2"/>
  <c r="D11460" i="2"/>
  <c r="D11461" i="2"/>
  <c r="D11462" i="2"/>
  <c r="D11463" i="2"/>
  <c r="D11464" i="2"/>
  <c r="D11465" i="2"/>
  <c r="D11466" i="2"/>
  <c r="D11467" i="2"/>
  <c r="D11468" i="2"/>
  <c r="D11469" i="2"/>
  <c r="D11470" i="2"/>
  <c r="D11471" i="2"/>
  <c r="D11472" i="2"/>
  <c r="D11473" i="2"/>
  <c r="D11474" i="2"/>
  <c r="D11475" i="2"/>
  <c r="D11476" i="2"/>
  <c r="D11477" i="2"/>
  <c r="D11478" i="2"/>
  <c r="D11479" i="2"/>
  <c r="D11480" i="2"/>
  <c r="D11481" i="2"/>
  <c r="D11482" i="2"/>
  <c r="D11483" i="2"/>
  <c r="D11484" i="2"/>
  <c r="D11485" i="2"/>
  <c r="D11486" i="2"/>
  <c r="D11487" i="2"/>
  <c r="D11488" i="2"/>
  <c r="D11489" i="2"/>
  <c r="D11490" i="2"/>
  <c r="D11491" i="2"/>
  <c r="D11492" i="2"/>
  <c r="D11493" i="2"/>
  <c r="D11494" i="2"/>
  <c r="D11495" i="2"/>
  <c r="D11496" i="2"/>
  <c r="D11497" i="2"/>
  <c r="D11498" i="2"/>
  <c r="D11499" i="2"/>
  <c r="D11500" i="2"/>
  <c r="D11501" i="2"/>
  <c r="D11502" i="2"/>
  <c r="D11503" i="2"/>
  <c r="D11504" i="2"/>
  <c r="D11505" i="2"/>
  <c r="D11506" i="2"/>
  <c r="D11507" i="2"/>
  <c r="D11508" i="2"/>
  <c r="D11509" i="2"/>
  <c r="D11510" i="2"/>
  <c r="D11511" i="2"/>
  <c r="D11512" i="2"/>
  <c r="D11513" i="2"/>
  <c r="D11514" i="2"/>
  <c r="D11515" i="2"/>
  <c r="D11516" i="2"/>
  <c r="D11517" i="2"/>
  <c r="D11518" i="2"/>
  <c r="D11519" i="2"/>
  <c r="D11520" i="2"/>
  <c r="D11521" i="2"/>
  <c r="D11522" i="2"/>
  <c r="D11523" i="2"/>
  <c r="D11524" i="2"/>
  <c r="D11525" i="2"/>
  <c r="D11526" i="2"/>
  <c r="D11527" i="2"/>
  <c r="D11528" i="2"/>
  <c r="D11529" i="2"/>
  <c r="D11530" i="2"/>
  <c r="D11531" i="2"/>
  <c r="D11532" i="2"/>
  <c r="D11533" i="2"/>
  <c r="D11534" i="2"/>
  <c r="D11535" i="2"/>
  <c r="D11536" i="2"/>
  <c r="D11537" i="2"/>
  <c r="D11538" i="2"/>
  <c r="D11539" i="2"/>
  <c r="D11540" i="2"/>
  <c r="D11541" i="2"/>
  <c r="D11542" i="2"/>
  <c r="D11543" i="2"/>
  <c r="D11544" i="2"/>
  <c r="D11545" i="2"/>
  <c r="D11546" i="2"/>
  <c r="D11547" i="2"/>
  <c r="D11548" i="2"/>
  <c r="D11549" i="2"/>
  <c r="D11550" i="2"/>
  <c r="D11551" i="2"/>
  <c r="D11552" i="2"/>
  <c r="D11553" i="2"/>
  <c r="D11554" i="2"/>
  <c r="D11555" i="2"/>
  <c r="D11556" i="2"/>
  <c r="D11557" i="2"/>
  <c r="D11558" i="2"/>
  <c r="D11559" i="2"/>
  <c r="D11560" i="2"/>
  <c r="D11561" i="2"/>
  <c r="D11562" i="2"/>
  <c r="D11563" i="2"/>
  <c r="D11564" i="2"/>
  <c r="D11565" i="2"/>
  <c r="D11566" i="2"/>
  <c r="D11567" i="2"/>
  <c r="D11568" i="2"/>
  <c r="D11569" i="2"/>
  <c r="D11570" i="2"/>
  <c r="D11571" i="2"/>
  <c r="D11572" i="2"/>
  <c r="D11573" i="2"/>
  <c r="D11574" i="2"/>
  <c r="D11575" i="2"/>
  <c r="D11576" i="2"/>
  <c r="D11577" i="2"/>
  <c r="D11578" i="2"/>
  <c r="D11579" i="2"/>
  <c r="D11580" i="2"/>
  <c r="D11581" i="2"/>
  <c r="D11582" i="2"/>
  <c r="D11583" i="2"/>
  <c r="D11584" i="2"/>
  <c r="D11585" i="2"/>
  <c r="D11586" i="2"/>
  <c r="D11587" i="2"/>
  <c r="D11588" i="2"/>
  <c r="D11589" i="2"/>
  <c r="D11590" i="2"/>
  <c r="D11591" i="2"/>
  <c r="D11592" i="2"/>
  <c r="D11593" i="2"/>
  <c r="D11594" i="2"/>
  <c r="D11595" i="2"/>
  <c r="D11596" i="2"/>
  <c r="D11597" i="2"/>
  <c r="D11598" i="2"/>
  <c r="D11599" i="2"/>
  <c r="D11600" i="2"/>
  <c r="D11601" i="2"/>
  <c r="D11602" i="2"/>
  <c r="D11603" i="2"/>
  <c r="D11604" i="2"/>
  <c r="D11605" i="2"/>
  <c r="D11606" i="2"/>
  <c r="D11607" i="2"/>
  <c r="D11608" i="2"/>
  <c r="D11609" i="2"/>
  <c r="D11610" i="2"/>
  <c r="D11611" i="2"/>
  <c r="D11612" i="2"/>
  <c r="D11613" i="2"/>
  <c r="D11614" i="2"/>
  <c r="D11615" i="2"/>
  <c r="D11616" i="2"/>
  <c r="D11617" i="2"/>
  <c r="D11618" i="2"/>
  <c r="D11619" i="2"/>
  <c r="D11620" i="2"/>
  <c r="D11621" i="2"/>
  <c r="D11622" i="2"/>
  <c r="D11623" i="2"/>
  <c r="D11624" i="2"/>
  <c r="D11625" i="2"/>
  <c r="D11626" i="2"/>
  <c r="D11627" i="2"/>
  <c r="D11628" i="2"/>
  <c r="D11629" i="2"/>
  <c r="D11630" i="2"/>
  <c r="D11631" i="2"/>
  <c r="D11632" i="2"/>
  <c r="D11633" i="2"/>
  <c r="D11634" i="2"/>
  <c r="D11635" i="2"/>
  <c r="D11636" i="2"/>
  <c r="D11637" i="2"/>
  <c r="D11638" i="2"/>
  <c r="D11639" i="2"/>
  <c r="D11640" i="2"/>
  <c r="D11641" i="2"/>
  <c r="D11642" i="2"/>
  <c r="D11643" i="2"/>
  <c r="D11644" i="2"/>
  <c r="D11645" i="2"/>
  <c r="D11646" i="2"/>
  <c r="D11647" i="2"/>
  <c r="D11648" i="2"/>
  <c r="D11649" i="2"/>
  <c r="D11650" i="2"/>
  <c r="D11651" i="2"/>
  <c r="D11652" i="2"/>
  <c r="D11653" i="2"/>
  <c r="D11654" i="2"/>
  <c r="D11655" i="2"/>
  <c r="D11656" i="2"/>
  <c r="D11657" i="2"/>
  <c r="D11658" i="2"/>
  <c r="D11659" i="2"/>
  <c r="D11660" i="2"/>
  <c r="D11661" i="2"/>
  <c r="D11662" i="2"/>
  <c r="D11663" i="2"/>
  <c r="D11664" i="2"/>
  <c r="D11665" i="2"/>
  <c r="D11666" i="2"/>
  <c r="D11667" i="2"/>
  <c r="D11668" i="2"/>
  <c r="D11669" i="2"/>
  <c r="D11670" i="2"/>
  <c r="D11671" i="2"/>
  <c r="D11672" i="2"/>
  <c r="D11673" i="2"/>
  <c r="D11674" i="2"/>
  <c r="D11675" i="2"/>
  <c r="D11676" i="2"/>
  <c r="D11677" i="2"/>
  <c r="D11678" i="2"/>
  <c r="D11679" i="2"/>
  <c r="D11680" i="2"/>
  <c r="D11681" i="2"/>
  <c r="D11682" i="2"/>
  <c r="D11683" i="2"/>
  <c r="D11684" i="2"/>
  <c r="D11685" i="2"/>
  <c r="D11686" i="2"/>
  <c r="D11687" i="2"/>
  <c r="D11688" i="2"/>
  <c r="D11689" i="2"/>
  <c r="D11690" i="2"/>
  <c r="D11691" i="2"/>
  <c r="D11692" i="2"/>
  <c r="D11693" i="2"/>
  <c r="D11694" i="2"/>
  <c r="D11695" i="2"/>
  <c r="D11696" i="2"/>
  <c r="D11697" i="2"/>
  <c r="D11698" i="2"/>
  <c r="D11699" i="2"/>
  <c r="D11700" i="2"/>
  <c r="D11701" i="2"/>
  <c r="D11702" i="2"/>
  <c r="D11703" i="2"/>
  <c r="D11704" i="2"/>
  <c r="D11705" i="2"/>
  <c r="D11706" i="2"/>
  <c r="D11707" i="2"/>
  <c r="D11708" i="2"/>
  <c r="D11709" i="2"/>
  <c r="D11710" i="2"/>
  <c r="D11711" i="2"/>
  <c r="D11712" i="2"/>
  <c r="D11713" i="2"/>
  <c r="D11714" i="2"/>
  <c r="D11715" i="2"/>
  <c r="D11716" i="2"/>
  <c r="D11717" i="2"/>
  <c r="D11718" i="2"/>
  <c r="D11719" i="2"/>
  <c r="D11720" i="2"/>
  <c r="D11721" i="2"/>
  <c r="D11722" i="2"/>
  <c r="D11723" i="2"/>
  <c r="D11724" i="2"/>
  <c r="D11725" i="2"/>
  <c r="D11726" i="2"/>
  <c r="D11727" i="2"/>
  <c r="D11728" i="2"/>
  <c r="D11729" i="2"/>
  <c r="D11730" i="2"/>
  <c r="D11731" i="2"/>
  <c r="D11732" i="2"/>
  <c r="D11733" i="2"/>
  <c r="D11734" i="2"/>
  <c r="D11735" i="2"/>
  <c r="D11736" i="2"/>
  <c r="D11737" i="2"/>
  <c r="D11738" i="2"/>
  <c r="D11739" i="2"/>
  <c r="D11740" i="2"/>
  <c r="D11741" i="2"/>
  <c r="D11742" i="2"/>
  <c r="D11743" i="2"/>
  <c r="D11744" i="2"/>
  <c r="D11745" i="2"/>
  <c r="D11746" i="2"/>
  <c r="D11747" i="2"/>
  <c r="D11748" i="2"/>
  <c r="D11749" i="2"/>
  <c r="D11750" i="2"/>
  <c r="D11751" i="2"/>
  <c r="D11752" i="2"/>
  <c r="D11753" i="2"/>
  <c r="D11754" i="2"/>
  <c r="D11755" i="2"/>
  <c r="D11756" i="2"/>
  <c r="D11757" i="2"/>
  <c r="D11758" i="2"/>
  <c r="D11759" i="2"/>
  <c r="D11760" i="2"/>
  <c r="D11761" i="2"/>
  <c r="D11762" i="2"/>
  <c r="D11763" i="2"/>
  <c r="D11764" i="2"/>
  <c r="D11765" i="2"/>
  <c r="D11766" i="2"/>
  <c r="D11767" i="2"/>
  <c r="D11768" i="2"/>
  <c r="D11769" i="2"/>
  <c r="D11770" i="2"/>
  <c r="D11771" i="2"/>
  <c r="D11772" i="2"/>
  <c r="D11773" i="2"/>
  <c r="D11774" i="2"/>
  <c r="D11775" i="2"/>
  <c r="D11776" i="2"/>
  <c r="D11777" i="2"/>
  <c r="D11778" i="2"/>
  <c r="D11779" i="2"/>
  <c r="D11780" i="2"/>
  <c r="D11781" i="2"/>
  <c r="D11782" i="2"/>
  <c r="D11783" i="2"/>
  <c r="D11784" i="2"/>
  <c r="D11785" i="2"/>
  <c r="D11786" i="2"/>
  <c r="D11787" i="2"/>
  <c r="D11788" i="2"/>
  <c r="D11789" i="2"/>
  <c r="D11790" i="2"/>
  <c r="D11791" i="2"/>
  <c r="D11792" i="2"/>
  <c r="D11793" i="2"/>
  <c r="D11794" i="2"/>
  <c r="D11795" i="2"/>
  <c r="D11796" i="2"/>
  <c r="D11797" i="2"/>
  <c r="D11798" i="2"/>
  <c r="D11799" i="2"/>
  <c r="D11800" i="2"/>
  <c r="D11801" i="2"/>
  <c r="D11802" i="2"/>
  <c r="D11803" i="2"/>
  <c r="D11804" i="2"/>
  <c r="D11805" i="2"/>
  <c r="D11806" i="2"/>
  <c r="D11807" i="2"/>
  <c r="D11808" i="2"/>
  <c r="D11809" i="2"/>
  <c r="D11810" i="2"/>
  <c r="D11811" i="2"/>
  <c r="D11812" i="2"/>
  <c r="D11813" i="2"/>
  <c r="D11814" i="2"/>
  <c r="D11815" i="2"/>
  <c r="D11816" i="2"/>
  <c r="D11817" i="2"/>
  <c r="D11818" i="2"/>
  <c r="D11819" i="2"/>
  <c r="D11820" i="2"/>
  <c r="D11821" i="2"/>
  <c r="D11822" i="2"/>
  <c r="D11823" i="2"/>
  <c r="D11824" i="2"/>
  <c r="D11825" i="2"/>
  <c r="D11826" i="2"/>
  <c r="D11827" i="2"/>
  <c r="D11828" i="2"/>
  <c r="D11829" i="2"/>
  <c r="D11830" i="2"/>
  <c r="D11831" i="2"/>
  <c r="D11832" i="2"/>
  <c r="D11833" i="2"/>
  <c r="D11834" i="2"/>
  <c r="D11835" i="2"/>
  <c r="D11836" i="2"/>
  <c r="D11837" i="2"/>
  <c r="D11838" i="2"/>
  <c r="D11839" i="2"/>
  <c r="D11840" i="2"/>
  <c r="D11841" i="2"/>
  <c r="D11842" i="2"/>
  <c r="D11843" i="2"/>
  <c r="D11844" i="2"/>
  <c r="D11845" i="2"/>
  <c r="D11846" i="2"/>
  <c r="D11847" i="2"/>
  <c r="D11848" i="2"/>
  <c r="D11849" i="2"/>
  <c r="D11850" i="2"/>
  <c r="D11851" i="2"/>
  <c r="D11852" i="2"/>
  <c r="D11853" i="2"/>
  <c r="D11854" i="2"/>
  <c r="D11855" i="2"/>
  <c r="D11856" i="2"/>
  <c r="D11857" i="2"/>
  <c r="D11858" i="2"/>
  <c r="D11859" i="2"/>
  <c r="D11860" i="2"/>
  <c r="D11861" i="2"/>
  <c r="D11862" i="2"/>
  <c r="D11863" i="2"/>
  <c r="D11864" i="2"/>
  <c r="D11865" i="2"/>
  <c r="D11866" i="2"/>
  <c r="D11867" i="2"/>
  <c r="D11868" i="2"/>
  <c r="D11869" i="2"/>
  <c r="D11870" i="2"/>
  <c r="D11871" i="2"/>
  <c r="D11872" i="2"/>
  <c r="D11873" i="2"/>
  <c r="D11874" i="2"/>
  <c r="D11875" i="2"/>
  <c r="D11876" i="2"/>
  <c r="D11877" i="2"/>
  <c r="D11878" i="2"/>
  <c r="D11879" i="2"/>
  <c r="D11880" i="2"/>
  <c r="D11881" i="2"/>
  <c r="D11882" i="2"/>
  <c r="D11883" i="2"/>
  <c r="D11884" i="2"/>
  <c r="D11885" i="2"/>
  <c r="D11886" i="2"/>
  <c r="D11887" i="2"/>
  <c r="D11888" i="2"/>
  <c r="D11889" i="2"/>
  <c r="D11890" i="2"/>
  <c r="D11891" i="2"/>
  <c r="D11892" i="2"/>
  <c r="D11893" i="2"/>
  <c r="D11894" i="2"/>
  <c r="D11895" i="2"/>
  <c r="D11896" i="2"/>
  <c r="D11897" i="2"/>
  <c r="D11898" i="2"/>
  <c r="D11899" i="2"/>
  <c r="D11900" i="2"/>
  <c r="D11901" i="2"/>
  <c r="D11902" i="2"/>
  <c r="D11903" i="2"/>
  <c r="D11904" i="2"/>
  <c r="D11905" i="2"/>
  <c r="D11906" i="2"/>
  <c r="D11907" i="2"/>
  <c r="D11908" i="2"/>
  <c r="D11909" i="2"/>
  <c r="D11910" i="2"/>
  <c r="D11911" i="2"/>
  <c r="D11912" i="2"/>
  <c r="D11913" i="2"/>
  <c r="D11914" i="2"/>
  <c r="D11915" i="2"/>
  <c r="D11916" i="2"/>
  <c r="D11917" i="2"/>
  <c r="D11918" i="2"/>
  <c r="D11919" i="2"/>
  <c r="D11920" i="2"/>
  <c r="D11921" i="2"/>
  <c r="D11922" i="2"/>
  <c r="D11923" i="2"/>
  <c r="D11924" i="2"/>
  <c r="D11925" i="2"/>
  <c r="D11926" i="2"/>
  <c r="D11927" i="2"/>
  <c r="D11928" i="2"/>
  <c r="D11929" i="2"/>
  <c r="D11930" i="2"/>
  <c r="D11931" i="2"/>
  <c r="D11932" i="2"/>
  <c r="D11933" i="2"/>
  <c r="D11934" i="2"/>
  <c r="D11935" i="2"/>
  <c r="D11936" i="2"/>
  <c r="D11937" i="2"/>
  <c r="D11938" i="2"/>
  <c r="D11939" i="2"/>
  <c r="D11940" i="2"/>
  <c r="D11941" i="2"/>
  <c r="D11942" i="2"/>
  <c r="D11943" i="2"/>
  <c r="D11944" i="2"/>
  <c r="D11945" i="2"/>
  <c r="D11946" i="2"/>
  <c r="D11947" i="2"/>
  <c r="D11948" i="2"/>
  <c r="D11949" i="2"/>
  <c r="D11950" i="2"/>
  <c r="D11951" i="2"/>
  <c r="D11952" i="2"/>
  <c r="D11953" i="2"/>
  <c r="D11954" i="2"/>
  <c r="D11955" i="2"/>
  <c r="D11956" i="2"/>
  <c r="D11957" i="2"/>
  <c r="D11958" i="2"/>
  <c r="D11959" i="2"/>
  <c r="D11960" i="2"/>
  <c r="D11961" i="2"/>
  <c r="D11962" i="2"/>
  <c r="D11963" i="2"/>
  <c r="D11964" i="2"/>
  <c r="D11965" i="2"/>
  <c r="D11966" i="2"/>
  <c r="D11967" i="2"/>
  <c r="D11968" i="2"/>
  <c r="D11969" i="2"/>
  <c r="D11970" i="2"/>
  <c r="D11971" i="2"/>
  <c r="D11972" i="2"/>
  <c r="D11973" i="2"/>
  <c r="D11974" i="2"/>
  <c r="D11975" i="2"/>
  <c r="D11976" i="2"/>
  <c r="D11977" i="2"/>
  <c r="D11978" i="2"/>
  <c r="D11979" i="2"/>
  <c r="D11980" i="2"/>
  <c r="D11981" i="2"/>
  <c r="D11982" i="2"/>
  <c r="D11983" i="2"/>
  <c r="D11984" i="2"/>
  <c r="D11985" i="2"/>
  <c r="D11986" i="2"/>
  <c r="D11987" i="2"/>
  <c r="D11988" i="2"/>
  <c r="D11989" i="2"/>
  <c r="D11990" i="2"/>
  <c r="D11991" i="2"/>
  <c r="D11992" i="2"/>
  <c r="D11993" i="2"/>
  <c r="D11994" i="2"/>
  <c r="D11995" i="2"/>
  <c r="D11996" i="2"/>
  <c r="D11997" i="2"/>
  <c r="D11998" i="2"/>
  <c r="D11999" i="2"/>
  <c r="D12000" i="2"/>
  <c r="D12001" i="2"/>
  <c r="D12002" i="2"/>
  <c r="D12003" i="2"/>
  <c r="D12004" i="2"/>
  <c r="D12005" i="2"/>
  <c r="D12006" i="2"/>
  <c r="D12007" i="2"/>
  <c r="D12008" i="2"/>
  <c r="D12009" i="2"/>
  <c r="D12010" i="2"/>
  <c r="D12011" i="2"/>
  <c r="D12012" i="2"/>
  <c r="D12013" i="2"/>
  <c r="D12014" i="2"/>
  <c r="D12015" i="2"/>
  <c r="D12016" i="2"/>
  <c r="D12017" i="2"/>
  <c r="D12018" i="2"/>
  <c r="D12019" i="2"/>
  <c r="D12020" i="2"/>
  <c r="D12021" i="2"/>
  <c r="D12022" i="2"/>
  <c r="D12023" i="2"/>
  <c r="D12024" i="2"/>
  <c r="D12025" i="2"/>
  <c r="D12026" i="2"/>
  <c r="D12027" i="2"/>
  <c r="D12028" i="2"/>
  <c r="D12029" i="2"/>
  <c r="D12030" i="2"/>
  <c r="D12031" i="2"/>
  <c r="D12032" i="2"/>
  <c r="D12033" i="2"/>
  <c r="D12034" i="2"/>
  <c r="D12035" i="2"/>
  <c r="D12036" i="2"/>
  <c r="D12037" i="2"/>
  <c r="D12038" i="2"/>
  <c r="D12039" i="2"/>
  <c r="D12040" i="2"/>
  <c r="D12041" i="2"/>
  <c r="D12042" i="2"/>
  <c r="D12043" i="2"/>
  <c r="D12044" i="2"/>
  <c r="D12045" i="2"/>
  <c r="D12046" i="2"/>
  <c r="D12047" i="2"/>
  <c r="D12048" i="2"/>
  <c r="D12049" i="2"/>
  <c r="D12050" i="2"/>
  <c r="D12051" i="2"/>
  <c r="D12052" i="2"/>
  <c r="D12053" i="2"/>
  <c r="D12054" i="2"/>
  <c r="D12055" i="2"/>
  <c r="D12056" i="2"/>
  <c r="D12057" i="2"/>
  <c r="D12058" i="2"/>
  <c r="D12059" i="2"/>
  <c r="D12060" i="2"/>
  <c r="D12061" i="2"/>
  <c r="D12062" i="2"/>
  <c r="D12063" i="2"/>
  <c r="D12064" i="2"/>
  <c r="D12065" i="2"/>
  <c r="D12066" i="2"/>
  <c r="D12067" i="2"/>
  <c r="D12068" i="2"/>
  <c r="D12069" i="2"/>
  <c r="D12070" i="2"/>
  <c r="D12071" i="2"/>
  <c r="D12072" i="2"/>
  <c r="D12073" i="2"/>
  <c r="D12074" i="2"/>
  <c r="D12075" i="2"/>
  <c r="D12076" i="2"/>
  <c r="D12077" i="2"/>
  <c r="D12078" i="2"/>
  <c r="D12079" i="2"/>
  <c r="D12080" i="2"/>
  <c r="D12081" i="2"/>
  <c r="D12082" i="2"/>
  <c r="D12083" i="2"/>
  <c r="D12084" i="2"/>
  <c r="D12085" i="2"/>
  <c r="D12086" i="2"/>
  <c r="D12087" i="2"/>
  <c r="D12088" i="2"/>
  <c r="D12089" i="2"/>
  <c r="D12090" i="2"/>
  <c r="D12091" i="2"/>
  <c r="D12092" i="2"/>
  <c r="D12093" i="2"/>
  <c r="D12094" i="2"/>
  <c r="D12095" i="2"/>
  <c r="D12096" i="2"/>
  <c r="D12097" i="2"/>
  <c r="D12098" i="2"/>
  <c r="D12099" i="2"/>
  <c r="D12100" i="2"/>
  <c r="D12101" i="2"/>
  <c r="D12102" i="2"/>
  <c r="D12103" i="2"/>
  <c r="D12104" i="2"/>
  <c r="D12105" i="2"/>
  <c r="D12106" i="2"/>
  <c r="D12107" i="2"/>
  <c r="D12108" i="2"/>
  <c r="D12109" i="2"/>
  <c r="D12110" i="2"/>
  <c r="D12111" i="2"/>
  <c r="D12112" i="2"/>
  <c r="D12113" i="2"/>
  <c r="D12114" i="2"/>
  <c r="D12115" i="2"/>
  <c r="D12116" i="2"/>
  <c r="D12117" i="2"/>
  <c r="D12118" i="2"/>
  <c r="D12119" i="2"/>
  <c r="D12120" i="2"/>
  <c r="D12121" i="2"/>
  <c r="D12122" i="2"/>
  <c r="D12123" i="2"/>
  <c r="D12124" i="2"/>
  <c r="D12125" i="2"/>
  <c r="D12126" i="2"/>
  <c r="D12127" i="2"/>
  <c r="D12128" i="2"/>
  <c r="D12129" i="2"/>
  <c r="D12130" i="2"/>
  <c r="D12131" i="2"/>
  <c r="D12132" i="2"/>
  <c r="D12133" i="2"/>
  <c r="D12134" i="2"/>
  <c r="D12135" i="2"/>
  <c r="D12136" i="2"/>
  <c r="D12137" i="2"/>
  <c r="D12138" i="2"/>
  <c r="D12139" i="2"/>
  <c r="D12140" i="2"/>
  <c r="D12141" i="2"/>
  <c r="D12142" i="2"/>
  <c r="D12143" i="2"/>
  <c r="D12144" i="2"/>
  <c r="D12145" i="2"/>
  <c r="D12146" i="2"/>
  <c r="D12147" i="2"/>
  <c r="D12148" i="2"/>
  <c r="D12149" i="2"/>
  <c r="D12150" i="2"/>
  <c r="D12151" i="2"/>
  <c r="D12152" i="2"/>
  <c r="D12153" i="2"/>
  <c r="D12154" i="2"/>
  <c r="D12155" i="2"/>
  <c r="D12156" i="2"/>
  <c r="D12157" i="2"/>
  <c r="D12158" i="2"/>
  <c r="D12159" i="2"/>
  <c r="D12160" i="2"/>
  <c r="D12161" i="2"/>
  <c r="D12162" i="2"/>
  <c r="D12163" i="2"/>
  <c r="D12164" i="2"/>
  <c r="D12165" i="2"/>
  <c r="D12166" i="2"/>
  <c r="D12167" i="2"/>
  <c r="D12168" i="2"/>
  <c r="D12169" i="2"/>
  <c r="D12170" i="2"/>
  <c r="D12171" i="2"/>
  <c r="D12172" i="2"/>
  <c r="D12173" i="2"/>
  <c r="D12174" i="2"/>
  <c r="D12175" i="2"/>
  <c r="D12176" i="2"/>
  <c r="D12177" i="2"/>
  <c r="D12178" i="2"/>
  <c r="D12179" i="2"/>
  <c r="D12180" i="2"/>
  <c r="D12181" i="2"/>
  <c r="D12182" i="2"/>
  <c r="D12183" i="2"/>
  <c r="D12184" i="2"/>
  <c r="D12185" i="2"/>
  <c r="D12186" i="2"/>
  <c r="D12187" i="2"/>
  <c r="D12188" i="2"/>
  <c r="D12189" i="2"/>
  <c r="D12190" i="2"/>
  <c r="D12191" i="2"/>
  <c r="D12192" i="2"/>
  <c r="D12193" i="2"/>
  <c r="D12194" i="2"/>
  <c r="D12195" i="2"/>
  <c r="D12196" i="2"/>
  <c r="D12197" i="2"/>
  <c r="D12198" i="2"/>
  <c r="D12199" i="2"/>
  <c r="D12200" i="2"/>
  <c r="D12201" i="2"/>
  <c r="D12202" i="2"/>
  <c r="D12203" i="2"/>
  <c r="D12204" i="2"/>
  <c r="D12205" i="2"/>
  <c r="D12206" i="2"/>
  <c r="D12207" i="2"/>
  <c r="D12208" i="2"/>
  <c r="D12209" i="2"/>
  <c r="D12210" i="2"/>
  <c r="D12211" i="2"/>
  <c r="D12212" i="2"/>
  <c r="D12213" i="2"/>
  <c r="D12214" i="2"/>
  <c r="D12215" i="2"/>
  <c r="D12216" i="2"/>
  <c r="D12217" i="2"/>
  <c r="D12218" i="2"/>
  <c r="D12219" i="2"/>
  <c r="D12220" i="2"/>
  <c r="D12221" i="2"/>
  <c r="D12222" i="2"/>
  <c r="D12223" i="2"/>
  <c r="D12224" i="2"/>
  <c r="D12225" i="2"/>
  <c r="D12226" i="2"/>
  <c r="D12227" i="2"/>
  <c r="D12228" i="2"/>
  <c r="D12229" i="2"/>
  <c r="D12230" i="2"/>
  <c r="D12231" i="2"/>
  <c r="D12232" i="2"/>
  <c r="D12233" i="2"/>
  <c r="D12234" i="2"/>
  <c r="D12235" i="2"/>
  <c r="D12236" i="2"/>
  <c r="D12237" i="2"/>
  <c r="D12238" i="2"/>
  <c r="D12239" i="2"/>
  <c r="D12240" i="2"/>
  <c r="D12241" i="2"/>
  <c r="D12242" i="2"/>
  <c r="D12243" i="2"/>
  <c r="D12244" i="2"/>
  <c r="D12245" i="2"/>
  <c r="D12246" i="2"/>
  <c r="D12247" i="2"/>
  <c r="D12248" i="2"/>
  <c r="D12249" i="2"/>
  <c r="D12250" i="2"/>
  <c r="D12251" i="2"/>
  <c r="D12252" i="2"/>
  <c r="D12253" i="2"/>
  <c r="D12254" i="2"/>
  <c r="D12255" i="2"/>
  <c r="D12256" i="2"/>
  <c r="D12257" i="2"/>
  <c r="D12258" i="2"/>
  <c r="D12259" i="2"/>
  <c r="D12260" i="2"/>
  <c r="D12261" i="2"/>
  <c r="D12262" i="2"/>
  <c r="D12263" i="2"/>
  <c r="D12264" i="2"/>
  <c r="D12265" i="2"/>
  <c r="D12266" i="2"/>
  <c r="D12267" i="2"/>
  <c r="D12268" i="2"/>
  <c r="D12269" i="2"/>
  <c r="D12270" i="2"/>
  <c r="D12271" i="2"/>
  <c r="D12272" i="2"/>
  <c r="D12273" i="2"/>
  <c r="D12274" i="2"/>
  <c r="D12275" i="2"/>
  <c r="D12276" i="2"/>
  <c r="D12277" i="2"/>
  <c r="D12278" i="2"/>
  <c r="D12279" i="2"/>
  <c r="D12280" i="2"/>
  <c r="D12281" i="2"/>
  <c r="D12282" i="2"/>
  <c r="D12283" i="2"/>
  <c r="D12284" i="2"/>
  <c r="D12285" i="2"/>
  <c r="D12286" i="2"/>
  <c r="D12287" i="2"/>
  <c r="D12288" i="2"/>
  <c r="D12289" i="2"/>
  <c r="D12290" i="2"/>
  <c r="D12291" i="2"/>
  <c r="D12292" i="2"/>
  <c r="D12293" i="2"/>
  <c r="D12294" i="2"/>
  <c r="D12295" i="2"/>
  <c r="D12296" i="2"/>
  <c r="D12297" i="2"/>
  <c r="D12298" i="2"/>
  <c r="D12299" i="2"/>
  <c r="D12300" i="2"/>
  <c r="D12301" i="2"/>
  <c r="D12302" i="2"/>
  <c r="D12303" i="2"/>
  <c r="D12304" i="2"/>
  <c r="D12305" i="2"/>
  <c r="D12306" i="2"/>
  <c r="D12307" i="2"/>
  <c r="D12308" i="2"/>
  <c r="D12309" i="2"/>
  <c r="D12310" i="2"/>
  <c r="D12311" i="2"/>
  <c r="D12312" i="2"/>
  <c r="D12313" i="2"/>
  <c r="D12314" i="2"/>
  <c r="D12315" i="2"/>
  <c r="D12316" i="2"/>
  <c r="D12317" i="2"/>
  <c r="D12318" i="2"/>
  <c r="D12319" i="2"/>
  <c r="D12320" i="2"/>
  <c r="D12321" i="2"/>
  <c r="D12322" i="2"/>
  <c r="D12323" i="2"/>
  <c r="D12324" i="2"/>
  <c r="D12325" i="2"/>
  <c r="D12326" i="2"/>
  <c r="D12327" i="2"/>
  <c r="D12328" i="2"/>
  <c r="D12329" i="2"/>
  <c r="D12330" i="2"/>
  <c r="D12331" i="2"/>
  <c r="D12332" i="2"/>
  <c r="D12333" i="2"/>
  <c r="D12334" i="2"/>
  <c r="D12335" i="2"/>
  <c r="D12336" i="2"/>
  <c r="D12337" i="2"/>
  <c r="D12338" i="2"/>
  <c r="D12339" i="2"/>
  <c r="D12340" i="2"/>
  <c r="D12341" i="2"/>
  <c r="D12342" i="2"/>
  <c r="D12343" i="2"/>
  <c r="D12344" i="2"/>
  <c r="D12345" i="2"/>
  <c r="D12346" i="2"/>
  <c r="D12347" i="2"/>
  <c r="D12348" i="2"/>
  <c r="D12349" i="2"/>
  <c r="D12350" i="2"/>
  <c r="D12351" i="2"/>
  <c r="D12352" i="2"/>
  <c r="D12353" i="2"/>
  <c r="D12354" i="2"/>
  <c r="D12355" i="2"/>
  <c r="D12356" i="2"/>
  <c r="D12357" i="2"/>
  <c r="D12358" i="2"/>
  <c r="D12359" i="2"/>
  <c r="D12360" i="2"/>
  <c r="D12361" i="2"/>
  <c r="D12362" i="2"/>
  <c r="D12363" i="2"/>
  <c r="D12364" i="2"/>
  <c r="D12365" i="2"/>
  <c r="D12366" i="2"/>
  <c r="D12367" i="2"/>
  <c r="D12368" i="2"/>
  <c r="D12369" i="2"/>
  <c r="D12370" i="2"/>
  <c r="D12371" i="2"/>
  <c r="D12372" i="2"/>
  <c r="D12373" i="2"/>
  <c r="D12374" i="2"/>
  <c r="D12375" i="2"/>
  <c r="D12376" i="2"/>
  <c r="D12377" i="2"/>
  <c r="D12378" i="2"/>
  <c r="D12379" i="2"/>
  <c r="D12380" i="2"/>
  <c r="D12381" i="2"/>
  <c r="D12382" i="2"/>
  <c r="D12383" i="2"/>
  <c r="D12384" i="2"/>
  <c r="D12385" i="2"/>
  <c r="D12386" i="2"/>
  <c r="D12387" i="2"/>
  <c r="D12388" i="2"/>
  <c r="D12389" i="2"/>
  <c r="D12390" i="2"/>
  <c r="D12391" i="2"/>
  <c r="D12392" i="2"/>
  <c r="D12393" i="2"/>
  <c r="D12394" i="2"/>
  <c r="D12395" i="2"/>
  <c r="D12396" i="2"/>
  <c r="D12397" i="2"/>
  <c r="D12398" i="2"/>
  <c r="D12399" i="2"/>
  <c r="D12400" i="2"/>
  <c r="D12401" i="2"/>
  <c r="D12402" i="2"/>
  <c r="D12403" i="2"/>
  <c r="D12404" i="2"/>
  <c r="D12405" i="2"/>
  <c r="D12406" i="2"/>
  <c r="D12407" i="2"/>
  <c r="D12408" i="2"/>
  <c r="D12409" i="2"/>
  <c r="D12410" i="2"/>
  <c r="D12411" i="2"/>
  <c r="D12412" i="2"/>
  <c r="D12413" i="2"/>
  <c r="D12414" i="2"/>
  <c r="D12415" i="2"/>
  <c r="D12416" i="2"/>
  <c r="D12417" i="2"/>
  <c r="D12418" i="2"/>
  <c r="D12419" i="2"/>
  <c r="D12420" i="2"/>
  <c r="D12421" i="2"/>
  <c r="D12422" i="2"/>
  <c r="D12423" i="2"/>
  <c r="D12424" i="2"/>
  <c r="D12425" i="2"/>
  <c r="D12426" i="2"/>
  <c r="D12427" i="2"/>
  <c r="D12428" i="2"/>
  <c r="D12429" i="2"/>
  <c r="D12430" i="2"/>
  <c r="D12431" i="2"/>
  <c r="D12432" i="2"/>
  <c r="D12433" i="2"/>
  <c r="D12434" i="2"/>
  <c r="D12435" i="2"/>
  <c r="D12436" i="2"/>
  <c r="D12437" i="2"/>
  <c r="D12438" i="2"/>
  <c r="D12439" i="2"/>
  <c r="D12440" i="2"/>
  <c r="D12441" i="2"/>
  <c r="D12442" i="2"/>
  <c r="D12443" i="2"/>
  <c r="D12444" i="2"/>
  <c r="D12445" i="2"/>
  <c r="D12446" i="2"/>
  <c r="D12447" i="2"/>
  <c r="D12448" i="2"/>
  <c r="D12449" i="2"/>
  <c r="D12450" i="2"/>
  <c r="D12451" i="2"/>
  <c r="D12452" i="2"/>
  <c r="D12453" i="2"/>
  <c r="D12454" i="2"/>
  <c r="D12455" i="2"/>
  <c r="D12456" i="2"/>
  <c r="D12457" i="2"/>
  <c r="D12458" i="2"/>
  <c r="D12459" i="2"/>
  <c r="D12460" i="2"/>
  <c r="D12461" i="2"/>
  <c r="D12462" i="2"/>
  <c r="D12463" i="2"/>
  <c r="D12464" i="2"/>
  <c r="D12465" i="2"/>
  <c r="D12466" i="2"/>
  <c r="D12467" i="2"/>
  <c r="D12468" i="2"/>
  <c r="D12469" i="2"/>
  <c r="D12470" i="2"/>
  <c r="D12471" i="2"/>
  <c r="D12472" i="2"/>
  <c r="D12473" i="2"/>
  <c r="D12474" i="2"/>
  <c r="D12475" i="2"/>
  <c r="D12476" i="2"/>
  <c r="D12477" i="2"/>
  <c r="D12478" i="2"/>
  <c r="D12479" i="2"/>
  <c r="D12480" i="2"/>
  <c r="D12481" i="2"/>
  <c r="D12482" i="2"/>
  <c r="D12483" i="2"/>
  <c r="D12484" i="2"/>
  <c r="D12485" i="2"/>
  <c r="D12486" i="2"/>
  <c r="D12487" i="2"/>
  <c r="D12488" i="2"/>
  <c r="D12489" i="2"/>
  <c r="D12490" i="2"/>
  <c r="D12491" i="2"/>
  <c r="D12492" i="2"/>
  <c r="D12493" i="2"/>
  <c r="D12494" i="2"/>
  <c r="D12495" i="2"/>
  <c r="D12496" i="2"/>
  <c r="D12497" i="2"/>
  <c r="D12498" i="2"/>
  <c r="D12499" i="2"/>
  <c r="D12500" i="2"/>
  <c r="D12501" i="2"/>
  <c r="D12502" i="2"/>
  <c r="D12503" i="2"/>
  <c r="D12504" i="2"/>
  <c r="D12505" i="2"/>
  <c r="D12506" i="2"/>
  <c r="D12507" i="2"/>
  <c r="D12508" i="2"/>
  <c r="D12509" i="2"/>
  <c r="D12510" i="2"/>
  <c r="D12511" i="2"/>
  <c r="D12512" i="2"/>
  <c r="D12513" i="2"/>
  <c r="D12514" i="2"/>
  <c r="D12515" i="2"/>
  <c r="D12516" i="2"/>
  <c r="D12517" i="2"/>
  <c r="D12518" i="2"/>
  <c r="D12519" i="2"/>
  <c r="D12520" i="2"/>
  <c r="D12521" i="2"/>
  <c r="D12522" i="2"/>
  <c r="D12523" i="2"/>
  <c r="D12524" i="2"/>
  <c r="D12525" i="2"/>
  <c r="D12526" i="2"/>
  <c r="D12527" i="2"/>
  <c r="D12528" i="2"/>
  <c r="D12529" i="2"/>
  <c r="D12530" i="2"/>
  <c r="D12531" i="2"/>
  <c r="D12532" i="2"/>
  <c r="D12533" i="2"/>
  <c r="D12534" i="2"/>
  <c r="D12535" i="2"/>
  <c r="D12536" i="2"/>
  <c r="D12537" i="2"/>
  <c r="D12538" i="2"/>
  <c r="D12539" i="2"/>
  <c r="D12540" i="2"/>
  <c r="D12541" i="2"/>
  <c r="D12542" i="2"/>
  <c r="D12543" i="2"/>
  <c r="D12544" i="2"/>
  <c r="D12545" i="2"/>
  <c r="D12546" i="2"/>
  <c r="D12547" i="2"/>
  <c r="D12548" i="2"/>
  <c r="D12549" i="2"/>
  <c r="D12550" i="2"/>
  <c r="D12551" i="2"/>
  <c r="D12552" i="2"/>
  <c r="D12553" i="2"/>
  <c r="D12554" i="2"/>
  <c r="D12555" i="2"/>
  <c r="D12556" i="2"/>
  <c r="D12557" i="2"/>
  <c r="D12558" i="2"/>
  <c r="D12559" i="2"/>
  <c r="D12560" i="2"/>
  <c r="D12561" i="2"/>
  <c r="D12562" i="2"/>
  <c r="D12563" i="2"/>
  <c r="D12564" i="2"/>
  <c r="D12565" i="2"/>
  <c r="D12566" i="2"/>
  <c r="D12567" i="2"/>
  <c r="D12568" i="2"/>
  <c r="D12569" i="2"/>
  <c r="D12570" i="2"/>
  <c r="D12571" i="2"/>
  <c r="D12572" i="2"/>
  <c r="D12573" i="2"/>
  <c r="D12574" i="2"/>
  <c r="D12575" i="2"/>
  <c r="D12576" i="2"/>
  <c r="D12577" i="2"/>
  <c r="D12578" i="2"/>
  <c r="D12579" i="2"/>
  <c r="D12580" i="2"/>
  <c r="D12581" i="2"/>
  <c r="D12582" i="2"/>
  <c r="D12583" i="2"/>
  <c r="D12584" i="2"/>
  <c r="D12585" i="2"/>
  <c r="D12586" i="2"/>
  <c r="D12587" i="2"/>
  <c r="D12588" i="2"/>
  <c r="D12589" i="2"/>
  <c r="D12590" i="2"/>
  <c r="D12591" i="2"/>
  <c r="D12592" i="2"/>
  <c r="D12593" i="2"/>
  <c r="D12594" i="2"/>
  <c r="D12595" i="2"/>
  <c r="D12596" i="2"/>
  <c r="D12597" i="2"/>
  <c r="D12598" i="2"/>
  <c r="D12599" i="2"/>
  <c r="D12600" i="2"/>
  <c r="D12601" i="2"/>
  <c r="D12602" i="2"/>
  <c r="D12603" i="2"/>
  <c r="D12604" i="2"/>
  <c r="D12605" i="2"/>
  <c r="D12606" i="2"/>
  <c r="D12607" i="2"/>
  <c r="D12608" i="2"/>
  <c r="D12609" i="2"/>
  <c r="D12610" i="2"/>
  <c r="D12611" i="2"/>
  <c r="D12612" i="2"/>
  <c r="D12613" i="2"/>
  <c r="D12614" i="2"/>
  <c r="D12615" i="2"/>
  <c r="D12616" i="2"/>
  <c r="D12617" i="2"/>
  <c r="D12618" i="2"/>
  <c r="D12619" i="2"/>
  <c r="D12620" i="2"/>
  <c r="D12621" i="2"/>
  <c r="D12622" i="2"/>
  <c r="D12623" i="2"/>
  <c r="D12624" i="2"/>
  <c r="D12625" i="2"/>
  <c r="D12626" i="2"/>
  <c r="D12627" i="2"/>
  <c r="D12628" i="2"/>
  <c r="D12629" i="2"/>
  <c r="D12630" i="2"/>
  <c r="D12631" i="2"/>
  <c r="D12632" i="2"/>
  <c r="D12633" i="2"/>
  <c r="D12634" i="2"/>
  <c r="D12635" i="2"/>
  <c r="D12636" i="2"/>
  <c r="D12637" i="2"/>
  <c r="D12638" i="2"/>
  <c r="D12639" i="2"/>
  <c r="D12640" i="2"/>
  <c r="D12641" i="2"/>
  <c r="D12642" i="2"/>
  <c r="D12643" i="2"/>
  <c r="D12644" i="2"/>
  <c r="D12645" i="2"/>
  <c r="D12646" i="2"/>
  <c r="D12647" i="2"/>
  <c r="D12648" i="2"/>
  <c r="D12649" i="2"/>
  <c r="D12650" i="2"/>
  <c r="D12651" i="2"/>
  <c r="D12652" i="2"/>
  <c r="D12653" i="2"/>
  <c r="D12654" i="2"/>
  <c r="D12655" i="2"/>
  <c r="D12656" i="2"/>
  <c r="D12657" i="2"/>
  <c r="D12658" i="2"/>
  <c r="D12659" i="2"/>
  <c r="D12660" i="2"/>
  <c r="D12661" i="2"/>
  <c r="D12662" i="2"/>
  <c r="D12663" i="2"/>
  <c r="D12664" i="2"/>
  <c r="D12665" i="2"/>
  <c r="D12666" i="2"/>
  <c r="D12667" i="2"/>
  <c r="D12668" i="2"/>
  <c r="D12669" i="2"/>
  <c r="D12670" i="2"/>
  <c r="D12671" i="2"/>
  <c r="D12672" i="2"/>
  <c r="D12673" i="2"/>
  <c r="D12674" i="2"/>
  <c r="D12675" i="2"/>
  <c r="D12676" i="2"/>
  <c r="D12677" i="2"/>
  <c r="D12678" i="2"/>
  <c r="D12679" i="2"/>
  <c r="D12680" i="2"/>
  <c r="D12681" i="2"/>
  <c r="D12682" i="2"/>
  <c r="D12683" i="2"/>
  <c r="D12684" i="2"/>
  <c r="D12685" i="2"/>
  <c r="D12686" i="2"/>
  <c r="D12687" i="2"/>
  <c r="D12688" i="2"/>
  <c r="D12689" i="2"/>
  <c r="D12690" i="2"/>
  <c r="D12691" i="2"/>
  <c r="D12692" i="2"/>
  <c r="D12693" i="2"/>
  <c r="D12694" i="2"/>
  <c r="D12695" i="2"/>
  <c r="D12696" i="2"/>
  <c r="D12697" i="2"/>
  <c r="D12698" i="2"/>
  <c r="D12699" i="2"/>
  <c r="D12700" i="2"/>
  <c r="D12701" i="2"/>
  <c r="D12702" i="2"/>
  <c r="D12703" i="2"/>
  <c r="D12704" i="2"/>
  <c r="D12705" i="2"/>
  <c r="D12706" i="2"/>
  <c r="D12707" i="2"/>
  <c r="D12708" i="2"/>
  <c r="D12709" i="2"/>
  <c r="D12710" i="2"/>
  <c r="D12711" i="2"/>
  <c r="D12712" i="2"/>
  <c r="D12713" i="2"/>
  <c r="D12714" i="2"/>
  <c r="D12715" i="2"/>
  <c r="D12716" i="2"/>
  <c r="D12717" i="2"/>
  <c r="D12718" i="2"/>
  <c r="D12719" i="2"/>
  <c r="D12720" i="2"/>
  <c r="D12721" i="2"/>
  <c r="D12722" i="2"/>
  <c r="D12723" i="2"/>
  <c r="D12724" i="2"/>
  <c r="D12725" i="2"/>
  <c r="D12726" i="2"/>
  <c r="D12727" i="2"/>
  <c r="D12728" i="2"/>
  <c r="D12729" i="2"/>
  <c r="D12730" i="2"/>
  <c r="D12731" i="2"/>
  <c r="D12732" i="2"/>
  <c r="D12733" i="2"/>
  <c r="D12734" i="2"/>
  <c r="D12735" i="2"/>
  <c r="D12736" i="2"/>
  <c r="D12737" i="2"/>
  <c r="D12738" i="2"/>
  <c r="D12739" i="2"/>
  <c r="D12740" i="2"/>
  <c r="D12741" i="2"/>
  <c r="D12742" i="2"/>
  <c r="D12743" i="2"/>
  <c r="D12744" i="2"/>
  <c r="D12745" i="2"/>
  <c r="D12746" i="2"/>
  <c r="D12747" i="2"/>
  <c r="D12748" i="2"/>
  <c r="D12749" i="2"/>
  <c r="D12750" i="2"/>
  <c r="D12751" i="2"/>
  <c r="D12752" i="2"/>
  <c r="D12753" i="2"/>
  <c r="D12754" i="2"/>
  <c r="D12755" i="2"/>
  <c r="D12756" i="2"/>
  <c r="D12757" i="2"/>
  <c r="D12758" i="2"/>
  <c r="D12759" i="2"/>
  <c r="D12760" i="2"/>
  <c r="D12761" i="2"/>
  <c r="D12762" i="2"/>
  <c r="D12763" i="2"/>
  <c r="D12764" i="2"/>
  <c r="D12765" i="2"/>
  <c r="D12766" i="2"/>
  <c r="D12767" i="2"/>
  <c r="D12768" i="2"/>
  <c r="D12769" i="2"/>
  <c r="D12770" i="2"/>
  <c r="D12771" i="2"/>
  <c r="D12772" i="2"/>
  <c r="D12773" i="2"/>
  <c r="D12774" i="2"/>
  <c r="D12775" i="2"/>
  <c r="D12776" i="2"/>
  <c r="D12777" i="2"/>
  <c r="D12778" i="2"/>
  <c r="D12779" i="2"/>
  <c r="D12780" i="2"/>
  <c r="D12781" i="2"/>
  <c r="D12782" i="2"/>
  <c r="D12783" i="2"/>
  <c r="D12784" i="2"/>
  <c r="D12785" i="2"/>
  <c r="D12786" i="2"/>
  <c r="D12787" i="2"/>
  <c r="D12788" i="2"/>
  <c r="D12789" i="2"/>
  <c r="D12790" i="2"/>
  <c r="D12791" i="2"/>
  <c r="D12792" i="2"/>
  <c r="D12793" i="2"/>
  <c r="D12794" i="2"/>
  <c r="D12795" i="2"/>
  <c r="D12796" i="2"/>
  <c r="D12797" i="2"/>
  <c r="D12798" i="2"/>
  <c r="D12799" i="2"/>
  <c r="D12800" i="2"/>
  <c r="D12801" i="2"/>
  <c r="D12802" i="2"/>
  <c r="D12803" i="2"/>
  <c r="D12804" i="2"/>
  <c r="D12805" i="2"/>
  <c r="D12806" i="2"/>
  <c r="D12807" i="2"/>
  <c r="D12808" i="2"/>
  <c r="D12809" i="2"/>
  <c r="D12810" i="2"/>
  <c r="D12811" i="2"/>
  <c r="D12812" i="2"/>
  <c r="D12813" i="2"/>
  <c r="D12814" i="2"/>
  <c r="D12815" i="2"/>
  <c r="D12816" i="2"/>
  <c r="D12817" i="2"/>
  <c r="D12818" i="2"/>
  <c r="D12819" i="2"/>
  <c r="D12820" i="2"/>
  <c r="D12821" i="2"/>
  <c r="D12822" i="2"/>
  <c r="D12823" i="2"/>
  <c r="D12824" i="2"/>
  <c r="D12825" i="2"/>
  <c r="D12826" i="2"/>
  <c r="D12827" i="2"/>
  <c r="D12828" i="2"/>
  <c r="D12829" i="2"/>
  <c r="D12830" i="2"/>
  <c r="D12831" i="2"/>
  <c r="D12832" i="2"/>
  <c r="D12833" i="2"/>
  <c r="D12834" i="2"/>
  <c r="D12835" i="2"/>
  <c r="D12836" i="2"/>
  <c r="D12837" i="2"/>
  <c r="D12838" i="2"/>
  <c r="D12839" i="2"/>
  <c r="D12840" i="2"/>
  <c r="D12841" i="2"/>
  <c r="D12842" i="2"/>
  <c r="D12843" i="2"/>
  <c r="D12844" i="2"/>
  <c r="D12845" i="2"/>
  <c r="D12846" i="2"/>
  <c r="D12847" i="2"/>
  <c r="D12848" i="2"/>
  <c r="D12849" i="2"/>
  <c r="D12850" i="2"/>
  <c r="D12851" i="2"/>
  <c r="D12852" i="2"/>
  <c r="D12853" i="2"/>
  <c r="D12854" i="2"/>
  <c r="D12855" i="2"/>
  <c r="D12856" i="2"/>
  <c r="D12857" i="2"/>
  <c r="D12858" i="2"/>
  <c r="D12859" i="2"/>
  <c r="D12860" i="2"/>
  <c r="D12861" i="2"/>
  <c r="D12862" i="2"/>
  <c r="D12863" i="2"/>
  <c r="D12864" i="2"/>
  <c r="D12865" i="2"/>
  <c r="D12866" i="2"/>
  <c r="D12867" i="2"/>
  <c r="D12868" i="2"/>
  <c r="D12869" i="2"/>
  <c r="D12870" i="2"/>
  <c r="D12871" i="2"/>
  <c r="D12872" i="2"/>
  <c r="D12873" i="2"/>
  <c r="D12874" i="2"/>
  <c r="D12875" i="2"/>
  <c r="D12876" i="2"/>
  <c r="D12877" i="2"/>
  <c r="D12878" i="2"/>
  <c r="D12879" i="2"/>
  <c r="D12880" i="2"/>
  <c r="D12881" i="2"/>
  <c r="D12882" i="2"/>
  <c r="D12883" i="2"/>
  <c r="D12884" i="2"/>
  <c r="D12885" i="2"/>
  <c r="D12886" i="2"/>
  <c r="D12887" i="2"/>
  <c r="D12888" i="2"/>
  <c r="D12889" i="2"/>
  <c r="D12890" i="2"/>
  <c r="D12891" i="2"/>
  <c r="D12892" i="2"/>
  <c r="D12893" i="2"/>
  <c r="D12894" i="2"/>
  <c r="D12895" i="2"/>
  <c r="D12896" i="2"/>
  <c r="D12897" i="2"/>
  <c r="D12898" i="2"/>
  <c r="D12899" i="2"/>
  <c r="D12900" i="2"/>
  <c r="D12901" i="2"/>
  <c r="D12902" i="2"/>
  <c r="D12903" i="2"/>
  <c r="D12904" i="2"/>
  <c r="D12905" i="2"/>
  <c r="D12906" i="2"/>
  <c r="D12907" i="2"/>
  <c r="D12908" i="2"/>
  <c r="D12909" i="2"/>
  <c r="D12910" i="2"/>
  <c r="D12911" i="2"/>
  <c r="D12912" i="2"/>
  <c r="D12913" i="2"/>
  <c r="D12914" i="2"/>
  <c r="D12915" i="2"/>
  <c r="D12916" i="2"/>
  <c r="D12917" i="2"/>
  <c r="D12918" i="2"/>
  <c r="D12919" i="2"/>
  <c r="D12920" i="2"/>
  <c r="D12921" i="2"/>
  <c r="D12922" i="2"/>
  <c r="D12923" i="2"/>
  <c r="D12924" i="2"/>
  <c r="D12925" i="2"/>
  <c r="D12926" i="2"/>
  <c r="D12927" i="2"/>
  <c r="D12928" i="2"/>
  <c r="D12929" i="2"/>
  <c r="D12930" i="2"/>
  <c r="D12931" i="2"/>
  <c r="D12932" i="2"/>
  <c r="D12933" i="2"/>
  <c r="D12934" i="2"/>
  <c r="D12935" i="2"/>
  <c r="D12936" i="2"/>
  <c r="D12937" i="2"/>
  <c r="D12938" i="2"/>
  <c r="D12939" i="2"/>
  <c r="D12940" i="2"/>
  <c r="D12941" i="2"/>
  <c r="D12942" i="2"/>
  <c r="D12943" i="2"/>
  <c r="D12944" i="2"/>
  <c r="D12945" i="2"/>
  <c r="D12946" i="2"/>
  <c r="D12947" i="2"/>
  <c r="D12948" i="2"/>
  <c r="D12949" i="2"/>
  <c r="D12950" i="2"/>
  <c r="D12951" i="2"/>
  <c r="D12952" i="2"/>
  <c r="D12953" i="2"/>
  <c r="D12954" i="2"/>
  <c r="D12955" i="2"/>
  <c r="D12956" i="2"/>
  <c r="D12957" i="2"/>
  <c r="D12958" i="2"/>
  <c r="D12959" i="2"/>
  <c r="D12960" i="2"/>
  <c r="D12961" i="2"/>
  <c r="D12962" i="2"/>
  <c r="D12963" i="2"/>
  <c r="D12964" i="2"/>
  <c r="D12965" i="2"/>
  <c r="D12966" i="2"/>
  <c r="D12967" i="2"/>
  <c r="D12968" i="2"/>
  <c r="D12969" i="2"/>
  <c r="D12970" i="2"/>
  <c r="D12971" i="2"/>
  <c r="D12972" i="2"/>
  <c r="D12973" i="2"/>
  <c r="D12974" i="2"/>
  <c r="D12975" i="2"/>
  <c r="D12976" i="2"/>
  <c r="D12977" i="2"/>
  <c r="D12978" i="2"/>
  <c r="D12979" i="2"/>
  <c r="D12980" i="2"/>
  <c r="D12981" i="2"/>
  <c r="D12982" i="2"/>
  <c r="D12983" i="2"/>
  <c r="D12984" i="2"/>
  <c r="D12985" i="2"/>
  <c r="D12986" i="2"/>
  <c r="D12987" i="2"/>
  <c r="D12988" i="2"/>
  <c r="D12989" i="2"/>
  <c r="D12990" i="2"/>
  <c r="D12991" i="2"/>
  <c r="D12992" i="2"/>
  <c r="D12993" i="2"/>
  <c r="D12994" i="2"/>
  <c r="D12995" i="2"/>
  <c r="D12996" i="2"/>
  <c r="D12997" i="2"/>
  <c r="D12998" i="2"/>
  <c r="D12999" i="2"/>
  <c r="D13000" i="2"/>
  <c r="D13001" i="2"/>
  <c r="D13002" i="2"/>
  <c r="D13003" i="2"/>
  <c r="D13004" i="2"/>
  <c r="D13005" i="2"/>
  <c r="D13006" i="2"/>
  <c r="D13007" i="2"/>
  <c r="D13008" i="2"/>
  <c r="D13009" i="2"/>
  <c r="D13010" i="2"/>
  <c r="D13011" i="2"/>
  <c r="D13012" i="2"/>
  <c r="D13013" i="2"/>
  <c r="D13014" i="2"/>
  <c r="D13015" i="2"/>
  <c r="D13016" i="2"/>
  <c r="D13017" i="2"/>
  <c r="D13018" i="2"/>
  <c r="D13019" i="2"/>
  <c r="D13020" i="2"/>
  <c r="D13021" i="2"/>
  <c r="D13022" i="2"/>
  <c r="D13023" i="2"/>
  <c r="D13024" i="2"/>
  <c r="D13025" i="2"/>
  <c r="D13026" i="2"/>
  <c r="D13027" i="2"/>
  <c r="D13028" i="2"/>
  <c r="D13029" i="2"/>
  <c r="D13030" i="2"/>
  <c r="D13031" i="2"/>
  <c r="D13032" i="2"/>
  <c r="D13033" i="2"/>
  <c r="D13034" i="2"/>
  <c r="D13035" i="2"/>
  <c r="D13036" i="2"/>
  <c r="D13037" i="2"/>
  <c r="D13038" i="2"/>
  <c r="D13039" i="2"/>
  <c r="D13040" i="2"/>
  <c r="D13041" i="2"/>
  <c r="D13042" i="2"/>
  <c r="D13043" i="2"/>
  <c r="D13044" i="2"/>
  <c r="D13045" i="2"/>
  <c r="D13046" i="2"/>
  <c r="D13047" i="2"/>
  <c r="D13048" i="2"/>
  <c r="D13049" i="2"/>
  <c r="D13050" i="2"/>
  <c r="D13051" i="2"/>
  <c r="D13052" i="2"/>
  <c r="D13053" i="2"/>
  <c r="D13054" i="2"/>
  <c r="D13055" i="2"/>
  <c r="D13056" i="2"/>
  <c r="D13057" i="2"/>
  <c r="D13058" i="2"/>
  <c r="D13059" i="2"/>
  <c r="D13060" i="2"/>
  <c r="D13061" i="2"/>
  <c r="D13062" i="2"/>
  <c r="D13063" i="2"/>
  <c r="D13064" i="2"/>
  <c r="D13065" i="2"/>
  <c r="D13066" i="2"/>
  <c r="D13067" i="2"/>
  <c r="D13068" i="2"/>
  <c r="D13069" i="2"/>
  <c r="D13070" i="2"/>
  <c r="D13071" i="2"/>
  <c r="D13072" i="2"/>
  <c r="D13073" i="2"/>
  <c r="D13074" i="2"/>
  <c r="D13075" i="2"/>
  <c r="D13076" i="2"/>
  <c r="D13077" i="2"/>
  <c r="D13078" i="2"/>
  <c r="D13079" i="2"/>
  <c r="D13080" i="2"/>
  <c r="D13081" i="2"/>
  <c r="D13082" i="2"/>
  <c r="D13083" i="2"/>
  <c r="D13084" i="2"/>
  <c r="D13085" i="2"/>
  <c r="D13086" i="2"/>
  <c r="D13087" i="2"/>
  <c r="D13088" i="2"/>
  <c r="D13089" i="2"/>
  <c r="D13090" i="2"/>
  <c r="D13091" i="2"/>
  <c r="D13092" i="2"/>
  <c r="D13093" i="2"/>
  <c r="D13094" i="2"/>
  <c r="D13095" i="2"/>
  <c r="D13096" i="2"/>
  <c r="D13097" i="2"/>
  <c r="D13098" i="2"/>
  <c r="D13099" i="2"/>
  <c r="D13100" i="2"/>
  <c r="D13101" i="2"/>
  <c r="D13102" i="2"/>
  <c r="D13103" i="2"/>
  <c r="D13104" i="2"/>
  <c r="D13105" i="2"/>
  <c r="D13106" i="2"/>
  <c r="D13107" i="2"/>
  <c r="D13108" i="2"/>
  <c r="D13109" i="2"/>
  <c r="D13110" i="2"/>
  <c r="D13111" i="2"/>
  <c r="D13112" i="2"/>
  <c r="D13113" i="2"/>
  <c r="D13114" i="2"/>
  <c r="D13115" i="2"/>
  <c r="D13116" i="2"/>
  <c r="D13117" i="2"/>
  <c r="D13118" i="2"/>
  <c r="D13119" i="2"/>
  <c r="D13120" i="2"/>
  <c r="D13121" i="2"/>
  <c r="D13122" i="2"/>
  <c r="D13123" i="2"/>
  <c r="D13124" i="2"/>
  <c r="D13125" i="2"/>
  <c r="D13126" i="2"/>
  <c r="D13127" i="2"/>
  <c r="D13128" i="2"/>
  <c r="D13129" i="2"/>
  <c r="D13130" i="2"/>
  <c r="D13131" i="2"/>
  <c r="D13132" i="2"/>
  <c r="D13133" i="2"/>
  <c r="D13134" i="2"/>
  <c r="D13135" i="2"/>
  <c r="D13136" i="2"/>
  <c r="D13137" i="2"/>
  <c r="D13138" i="2"/>
  <c r="D13139" i="2"/>
  <c r="D13140" i="2"/>
  <c r="D13141" i="2"/>
  <c r="D13142" i="2"/>
  <c r="D13143" i="2"/>
  <c r="D13144" i="2"/>
  <c r="D13145" i="2"/>
  <c r="D13146" i="2"/>
  <c r="D13147" i="2"/>
  <c r="D13148" i="2"/>
  <c r="D13149" i="2"/>
  <c r="D13150" i="2"/>
  <c r="D13151" i="2"/>
  <c r="D13152" i="2"/>
  <c r="D13153" i="2"/>
  <c r="D13154" i="2"/>
  <c r="D13155" i="2"/>
  <c r="D13156" i="2"/>
  <c r="D13157" i="2"/>
  <c r="D13158" i="2"/>
  <c r="D13159" i="2"/>
  <c r="D13160" i="2"/>
  <c r="D13161" i="2"/>
  <c r="D13162" i="2"/>
  <c r="D13163" i="2"/>
  <c r="D13164" i="2"/>
  <c r="D13165" i="2"/>
  <c r="D13166" i="2"/>
  <c r="D13167" i="2"/>
  <c r="D13168" i="2"/>
  <c r="D13169" i="2"/>
  <c r="D13170" i="2"/>
  <c r="D13171" i="2"/>
  <c r="D13172" i="2"/>
  <c r="D13173" i="2"/>
  <c r="D13174" i="2"/>
  <c r="D13175" i="2"/>
  <c r="D13176" i="2"/>
  <c r="D13177" i="2"/>
  <c r="D13178" i="2"/>
  <c r="D13179" i="2"/>
  <c r="D13180" i="2"/>
  <c r="D13181" i="2"/>
  <c r="D13182" i="2"/>
  <c r="D13183" i="2"/>
  <c r="D13184" i="2"/>
  <c r="D13185" i="2"/>
  <c r="D13186" i="2"/>
  <c r="D13187" i="2"/>
  <c r="D13188" i="2"/>
  <c r="D13189" i="2"/>
  <c r="D13190" i="2"/>
  <c r="D13191" i="2"/>
  <c r="D13192" i="2"/>
  <c r="D13193" i="2"/>
  <c r="D13194" i="2"/>
  <c r="D13195" i="2"/>
  <c r="D13196" i="2"/>
  <c r="D13197" i="2"/>
  <c r="D13198" i="2"/>
  <c r="D13199" i="2"/>
  <c r="D13200" i="2"/>
  <c r="D13201" i="2"/>
  <c r="D13202" i="2"/>
  <c r="D13203" i="2"/>
  <c r="D13204" i="2"/>
  <c r="D13205" i="2"/>
  <c r="D13206" i="2"/>
  <c r="D13207" i="2"/>
  <c r="D13208" i="2"/>
  <c r="D13209" i="2"/>
  <c r="D13210" i="2"/>
  <c r="D13211" i="2"/>
  <c r="D13212" i="2"/>
  <c r="D13213" i="2"/>
  <c r="D13214" i="2"/>
  <c r="D13215" i="2"/>
  <c r="D13216" i="2"/>
  <c r="D13217" i="2"/>
  <c r="D13218" i="2"/>
  <c r="D13219" i="2"/>
  <c r="D13220" i="2"/>
  <c r="D13221" i="2"/>
  <c r="D13222" i="2"/>
  <c r="D13223" i="2"/>
  <c r="D13224" i="2"/>
  <c r="D13225" i="2"/>
  <c r="D13226" i="2"/>
  <c r="D13227" i="2"/>
  <c r="D13228" i="2"/>
  <c r="D13229" i="2"/>
  <c r="D13230" i="2"/>
  <c r="D13231" i="2"/>
  <c r="D13232" i="2"/>
  <c r="D13233" i="2"/>
  <c r="D13234" i="2"/>
  <c r="D13235" i="2"/>
  <c r="D13236" i="2"/>
  <c r="D13237" i="2"/>
  <c r="D13238" i="2"/>
  <c r="D13239" i="2"/>
  <c r="D13240" i="2"/>
  <c r="D13241" i="2"/>
  <c r="D13242" i="2"/>
  <c r="D13243" i="2"/>
  <c r="D13244" i="2"/>
  <c r="D13245" i="2"/>
  <c r="D13246" i="2"/>
  <c r="D13247" i="2"/>
  <c r="D13248" i="2"/>
  <c r="D13249" i="2"/>
  <c r="D13250" i="2"/>
  <c r="D13251" i="2"/>
  <c r="D13252" i="2"/>
  <c r="D13253" i="2"/>
  <c r="D13254" i="2"/>
  <c r="D13255" i="2"/>
  <c r="D13256" i="2"/>
  <c r="D13257" i="2"/>
  <c r="D13258" i="2"/>
  <c r="D13259" i="2"/>
  <c r="D13260" i="2"/>
  <c r="D13261" i="2"/>
  <c r="D13262" i="2"/>
  <c r="D13263" i="2"/>
  <c r="D13264" i="2"/>
  <c r="D13265" i="2"/>
  <c r="D13266" i="2"/>
  <c r="D13267" i="2"/>
  <c r="D13268" i="2"/>
  <c r="D13269" i="2"/>
  <c r="D13270" i="2"/>
  <c r="D13271" i="2"/>
  <c r="D13272" i="2"/>
  <c r="D13273" i="2"/>
  <c r="D13274" i="2"/>
  <c r="D13275" i="2"/>
  <c r="D13276" i="2"/>
  <c r="D13277" i="2"/>
  <c r="D13278" i="2"/>
  <c r="D13279" i="2"/>
  <c r="D13280" i="2"/>
  <c r="D13281" i="2"/>
  <c r="D13282" i="2"/>
  <c r="D13283" i="2"/>
  <c r="D13284" i="2"/>
  <c r="D13285" i="2"/>
  <c r="D13286" i="2"/>
  <c r="D13287" i="2"/>
  <c r="D13288" i="2"/>
  <c r="D13289" i="2"/>
  <c r="D13290" i="2"/>
  <c r="D13291" i="2"/>
  <c r="D13292" i="2"/>
  <c r="D13293" i="2"/>
  <c r="D13294" i="2"/>
  <c r="D13295" i="2"/>
  <c r="D13296" i="2"/>
  <c r="D13297" i="2"/>
  <c r="D13298" i="2"/>
  <c r="D13299" i="2"/>
  <c r="D13300" i="2"/>
  <c r="D13301" i="2"/>
  <c r="D13302" i="2"/>
  <c r="D13303" i="2"/>
  <c r="D13304" i="2"/>
  <c r="D13305" i="2"/>
  <c r="D13306" i="2"/>
  <c r="D13307" i="2"/>
  <c r="D13308" i="2"/>
  <c r="D13309" i="2"/>
  <c r="D13310" i="2"/>
  <c r="D13311" i="2"/>
  <c r="D13312" i="2"/>
  <c r="D13313" i="2"/>
  <c r="D13314" i="2"/>
  <c r="D13315" i="2"/>
  <c r="D13316" i="2"/>
  <c r="D13317" i="2"/>
  <c r="D13318" i="2"/>
  <c r="D13319" i="2"/>
  <c r="D13320" i="2"/>
  <c r="D13321" i="2"/>
  <c r="D13322" i="2"/>
  <c r="D13323" i="2"/>
  <c r="D13324" i="2"/>
  <c r="D13325" i="2"/>
  <c r="D13326" i="2"/>
  <c r="D13327" i="2"/>
  <c r="D13328" i="2"/>
  <c r="D13329" i="2"/>
  <c r="D13330" i="2"/>
  <c r="D13331" i="2"/>
  <c r="D13332" i="2"/>
  <c r="D13333" i="2"/>
  <c r="D13334" i="2"/>
  <c r="D13335" i="2"/>
  <c r="D13336" i="2"/>
  <c r="D13337" i="2"/>
  <c r="D13338" i="2"/>
  <c r="D13339" i="2"/>
  <c r="D13340" i="2"/>
  <c r="D13341" i="2"/>
  <c r="D13342" i="2"/>
  <c r="D13343" i="2"/>
  <c r="D13344" i="2"/>
  <c r="D13345" i="2"/>
  <c r="D13346" i="2"/>
  <c r="D13347" i="2"/>
  <c r="D13348" i="2"/>
  <c r="D13349" i="2"/>
  <c r="D13350" i="2"/>
  <c r="D13351" i="2"/>
  <c r="D13352" i="2"/>
  <c r="D13353" i="2"/>
  <c r="D13354" i="2"/>
  <c r="D13355" i="2"/>
  <c r="D13356" i="2"/>
  <c r="D13357" i="2"/>
  <c r="D13358" i="2"/>
  <c r="D13359" i="2"/>
  <c r="D13360" i="2"/>
  <c r="D13361" i="2"/>
  <c r="D13362" i="2"/>
  <c r="D13363" i="2"/>
  <c r="D13364" i="2"/>
  <c r="D13365" i="2"/>
  <c r="D13366" i="2"/>
  <c r="D13367" i="2"/>
  <c r="D13368" i="2"/>
  <c r="D13369" i="2"/>
  <c r="D13370" i="2"/>
  <c r="D13371" i="2"/>
  <c r="D13372" i="2"/>
  <c r="D13373" i="2"/>
  <c r="D13374" i="2"/>
  <c r="D13375" i="2"/>
  <c r="D13376" i="2"/>
  <c r="D13377" i="2"/>
  <c r="D13378" i="2"/>
  <c r="D13379" i="2"/>
  <c r="D13380" i="2"/>
  <c r="D13381" i="2"/>
  <c r="D13382" i="2"/>
  <c r="D13383" i="2"/>
  <c r="D13384" i="2"/>
  <c r="D13385" i="2"/>
  <c r="D13386" i="2"/>
  <c r="D13387" i="2"/>
  <c r="D13388" i="2"/>
  <c r="D13389" i="2"/>
  <c r="D13390" i="2"/>
  <c r="D13391" i="2"/>
  <c r="D13392" i="2"/>
  <c r="D13393" i="2"/>
  <c r="D13394" i="2"/>
  <c r="D13395" i="2"/>
  <c r="D13396" i="2"/>
  <c r="D13397" i="2"/>
  <c r="D13398" i="2"/>
  <c r="D13399" i="2"/>
  <c r="D13400" i="2"/>
  <c r="D13401" i="2"/>
  <c r="D13402" i="2"/>
  <c r="D13403" i="2"/>
  <c r="D13404" i="2"/>
  <c r="D13405" i="2"/>
  <c r="D13406" i="2"/>
  <c r="D13407" i="2"/>
  <c r="D13408" i="2"/>
  <c r="D13409" i="2"/>
  <c r="D13410" i="2"/>
  <c r="D13411" i="2"/>
  <c r="D13412" i="2"/>
  <c r="D13413" i="2"/>
  <c r="D13414" i="2"/>
  <c r="D13415" i="2"/>
  <c r="D13416" i="2"/>
  <c r="D13417" i="2"/>
  <c r="D13418" i="2"/>
  <c r="D13419" i="2"/>
  <c r="D13420" i="2"/>
  <c r="D13421" i="2"/>
  <c r="D13422" i="2"/>
  <c r="D13423" i="2"/>
  <c r="D13424" i="2"/>
  <c r="D13425" i="2"/>
  <c r="D13426" i="2"/>
  <c r="D13427" i="2"/>
  <c r="D13428" i="2"/>
  <c r="D13429" i="2"/>
  <c r="D13430" i="2"/>
  <c r="D13431" i="2"/>
  <c r="D13432" i="2"/>
  <c r="D13433" i="2"/>
  <c r="D13434" i="2"/>
  <c r="D13435" i="2"/>
  <c r="D13436" i="2"/>
  <c r="D13437" i="2"/>
  <c r="D13438" i="2"/>
  <c r="D13439" i="2"/>
  <c r="D13440" i="2"/>
  <c r="D13441" i="2"/>
  <c r="D13442" i="2"/>
  <c r="D13443" i="2"/>
  <c r="D13444" i="2"/>
  <c r="D13445" i="2"/>
  <c r="D13446" i="2"/>
  <c r="D13447" i="2"/>
  <c r="D13448" i="2"/>
  <c r="D13449" i="2"/>
  <c r="D13450" i="2"/>
  <c r="D13451" i="2"/>
  <c r="D13452" i="2"/>
  <c r="D13453" i="2"/>
  <c r="D13454" i="2"/>
  <c r="D13455" i="2"/>
  <c r="D13456" i="2"/>
  <c r="D13457" i="2"/>
  <c r="D13458" i="2"/>
  <c r="D13459" i="2"/>
  <c r="D13460" i="2"/>
  <c r="D13461" i="2"/>
  <c r="D13462" i="2"/>
  <c r="D13463" i="2"/>
  <c r="D13464" i="2"/>
  <c r="D13465" i="2"/>
  <c r="D13466" i="2"/>
  <c r="D13467" i="2"/>
  <c r="D13468" i="2"/>
  <c r="D13469" i="2"/>
  <c r="D13470" i="2"/>
  <c r="D13471" i="2"/>
  <c r="D13472" i="2"/>
  <c r="D13473" i="2"/>
  <c r="D13474" i="2"/>
  <c r="D13475" i="2"/>
  <c r="D13476" i="2"/>
  <c r="D13477" i="2"/>
  <c r="D13478" i="2"/>
  <c r="D13479" i="2"/>
  <c r="D13480" i="2"/>
  <c r="D13481" i="2"/>
  <c r="D13482" i="2"/>
  <c r="D13483" i="2"/>
  <c r="D13484" i="2"/>
  <c r="D13485" i="2"/>
  <c r="D13486" i="2"/>
  <c r="D13487" i="2"/>
  <c r="D13488" i="2"/>
  <c r="D13489" i="2"/>
  <c r="D13490" i="2"/>
  <c r="D13491" i="2"/>
  <c r="D13492" i="2"/>
  <c r="D13493" i="2"/>
  <c r="D13494" i="2"/>
  <c r="D13495" i="2"/>
  <c r="D13496" i="2"/>
  <c r="D13497" i="2"/>
  <c r="D13498" i="2"/>
  <c r="D13499" i="2"/>
  <c r="D13500" i="2"/>
  <c r="D13501" i="2"/>
  <c r="D13502" i="2"/>
  <c r="D13503" i="2"/>
  <c r="D13504" i="2"/>
  <c r="D13505" i="2"/>
  <c r="D13506" i="2"/>
  <c r="D13507" i="2"/>
  <c r="D13508" i="2"/>
  <c r="D13509" i="2"/>
  <c r="D13510" i="2"/>
  <c r="D13511" i="2"/>
  <c r="D13512" i="2"/>
  <c r="D13513" i="2"/>
  <c r="D13514" i="2"/>
  <c r="D13515" i="2"/>
  <c r="D13516" i="2"/>
  <c r="D13517" i="2"/>
  <c r="D13518" i="2"/>
  <c r="D13519" i="2"/>
  <c r="D13520" i="2"/>
  <c r="D13521" i="2"/>
  <c r="D13522" i="2"/>
  <c r="D13523" i="2"/>
  <c r="D13524" i="2"/>
  <c r="D13525" i="2"/>
  <c r="D13526" i="2"/>
  <c r="D13527" i="2"/>
  <c r="D13528" i="2"/>
  <c r="D13529" i="2"/>
  <c r="D13530" i="2"/>
  <c r="D13531" i="2"/>
  <c r="D13532" i="2"/>
  <c r="D13533" i="2"/>
  <c r="D13534" i="2"/>
  <c r="D13535" i="2"/>
  <c r="D13536" i="2"/>
  <c r="D13537" i="2"/>
  <c r="D13538" i="2"/>
  <c r="D13539" i="2"/>
  <c r="D13540" i="2"/>
  <c r="D13541" i="2"/>
  <c r="D13542" i="2"/>
  <c r="D13543" i="2"/>
  <c r="D13544" i="2"/>
  <c r="D13545" i="2"/>
  <c r="D13546" i="2"/>
  <c r="D13547" i="2"/>
  <c r="D13548" i="2"/>
  <c r="D13549" i="2"/>
  <c r="D13550" i="2"/>
  <c r="D13551" i="2"/>
  <c r="D13552" i="2"/>
  <c r="D13553" i="2"/>
  <c r="D13554" i="2"/>
  <c r="D13555" i="2"/>
  <c r="D13556" i="2"/>
  <c r="D13557" i="2"/>
  <c r="D13558" i="2"/>
  <c r="D13559" i="2"/>
  <c r="D13560" i="2"/>
  <c r="D13561" i="2"/>
  <c r="D13562" i="2"/>
  <c r="D13563" i="2"/>
  <c r="D13564" i="2"/>
  <c r="D13565" i="2"/>
  <c r="D13566" i="2"/>
  <c r="D13567" i="2"/>
  <c r="D13568" i="2"/>
  <c r="D13569" i="2"/>
  <c r="D13570" i="2"/>
  <c r="D13571" i="2"/>
  <c r="D13572" i="2"/>
  <c r="D13573" i="2"/>
  <c r="D13574" i="2"/>
  <c r="D13575" i="2"/>
  <c r="D13576" i="2"/>
  <c r="D13577" i="2"/>
  <c r="D13578" i="2"/>
  <c r="D13579" i="2"/>
  <c r="D13580" i="2"/>
  <c r="D13581" i="2"/>
  <c r="D13582" i="2"/>
  <c r="D13583" i="2"/>
  <c r="D13584" i="2"/>
  <c r="D13585" i="2"/>
  <c r="D13586" i="2"/>
  <c r="D13587" i="2"/>
  <c r="D13588" i="2"/>
  <c r="D13589" i="2"/>
  <c r="D13590" i="2"/>
  <c r="D13591" i="2"/>
  <c r="D13592" i="2"/>
  <c r="D13593" i="2"/>
  <c r="D13594" i="2"/>
  <c r="D13595" i="2"/>
  <c r="D13596" i="2"/>
  <c r="D13597" i="2"/>
  <c r="D13598" i="2"/>
  <c r="D13599" i="2"/>
  <c r="D13600" i="2"/>
  <c r="D13601" i="2"/>
  <c r="D13602" i="2"/>
  <c r="D13603" i="2"/>
  <c r="D13604" i="2"/>
  <c r="D13605" i="2"/>
  <c r="D13606" i="2"/>
  <c r="D13607" i="2"/>
  <c r="D13608" i="2"/>
  <c r="D13609" i="2"/>
  <c r="D13610" i="2"/>
  <c r="D13611" i="2"/>
  <c r="D13612" i="2"/>
  <c r="D13613" i="2"/>
  <c r="D13614" i="2"/>
  <c r="D13615" i="2"/>
  <c r="D13616" i="2"/>
  <c r="D13617" i="2"/>
  <c r="D13618" i="2"/>
  <c r="D13619" i="2"/>
  <c r="D13620" i="2"/>
  <c r="D13621" i="2"/>
  <c r="D13622" i="2"/>
  <c r="D13623" i="2"/>
  <c r="D13624" i="2"/>
  <c r="D13625" i="2"/>
  <c r="D13626" i="2"/>
  <c r="D13627" i="2"/>
  <c r="D13628" i="2"/>
  <c r="D13629" i="2"/>
  <c r="D13630" i="2"/>
  <c r="D13631" i="2"/>
  <c r="D13632" i="2"/>
  <c r="D13633" i="2"/>
  <c r="D13634" i="2"/>
  <c r="D13635" i="2"/>
  <c r="D13636" i="2"/>
  <c r="D13637" i="2"/>
  <c r="D13638" i="2"/>
  <c r="D13639" i="2"/>
  <c r="D13640" i="2"/>
  <c r="D13641" i="2"/>
  <c r="D13642" i="2"/>
  <c r="D13643" i="2"/>
  <c r="D13644" i="2"/>
  <c r="D13645" i="2"/>
  <c r="D13646" i="2"/>
  <c r="D13647" i="2"/>
  <c r="D13648" i="2"/>
  <c r="D13649" i="2"/>
  <c r="D13650" i="2"/>
  <c r="D13651" i="2"/>
  <c r="D13652" i="2"/>
  <c r="D13653" i="2"/>
  <c r="D13654" i="2"/>
  <c r="D13655" i="2"/>
  <c r="D13656" i="2"/>
  <c r="D13657" i="2"/>
  <c r="D13658" i="2"/>
  <c r="D13659" i="2"/>
  <c r="D13660" i="2"/>
  <c r="D13661" i="2"/>
  <c r="D13662" i="2"/>
  <c r="D13663" i="2"/>
  <c r="D13664" i="2"/>
  <c r="D13665" i="2"/>
  <c r="D13666" i="2"/>
  <c r="D13667" i="2"/>
  <c r="D13668" i="2"/>
  <c r="D13669" i="2"/>
  <c r="D13670" i="2"/>
  <c r="D13671" i="2"/>
  <c r="D13672" i="2"/>
  <c r="D13673" i="2"/>
  <c r="D13674" i="2"/>
  <c r="D13675" i="2"/>
  <c r="D13676" i="2"/>
  <c r="D13677" i="2"/>
  <c r="D13678" i="2"/>
  <c r="D13679" i="2"/>
  <c r="D13680" i="2"/>
  <c r="D13681" i="2"/>
  <c r="D13682" i="2"/>
  <c r="D13683" i="2"/>
  <c r="D13684" i="2"/>
  <c r="D13685" i="2"/>
  <c r="D13686" i="2"/>
  <c r="D13687" i="2"/>
  <c r="D13688" i="2"/>
  <c r="D13689" i="2"/>
  <c r="D13690" i="2"/>
  <c r="D13691" i="2"/>
  <c r="D13692" i="2"/>
  <c r="D13693" i="2"/>
  <c r="D13694" i="2"/>
  <c r="D13695" i="2"/>
  <c r="D13696" i="2"/>
  <c r="D13697" i="2"/>
  <c r="D13698" i="2"/>
  <c r="D13699" i="2"/>
  <c r="D13700" i="2"/>
  <c r="D13701" i="2"/>
  <c r="D13702" i="2"/>
  <c r="D13703" i="2"/>
  <c r="D13704" i="2"/>
  <c r="D13705" i="2"/>
  <c r="D13706" i="2"/>
  <c r="D13707" i="2"/>
  <c r="D13708" i="2"/>
  <c r="D13709" i="2"/>
  <c r="D13710" i="2"/>
  <c r="D13711" i="2"/>
  <c r="D13712" i="2"/>
  <c r="D13713" i="2"/>
  <c r="D13714" i="2"/>
  <c r="D13715" i="2"/>
  <c r="D13716" i="2"/>
  <c r="D13717" i="2"/>
  <c r="D13718" i="2"/>
  <c r="D13719" i="2"/>
  <c r="D13720" i="2"/>
  <c r="D13721" i="2"/>
  <c r="D13722" i="2"/>
  <c r="D13723" i="2"/>
  <c r="D13724" i="2"/>
  <c r="D13725" i="2"/>
  <c r="D13726" i="2"/>
  <c r="D13727" i="2"/>
  <c r="D13728" i="2"/>
  <c r="D13729" i="2"/>
  <c r="D13730" i="2"/>
  <c r="D13731" i="2"/>
  <c r="D13732" i="2"/>
  <c r="D13733" i="2"/>
  <c r="D13734" i="2"/>
  <c r="D13735" i="2"/>
  <c r="D13736" i="2"/>
  <c r="D13737" i="2"/>
  <c r="D13738" i="2"/>
  <c r="D13739" i="2"/>
  <c r="D13740" i="2"/>
  <c r="D13741" i="2"/>
  <c r="D13742" i="2"/>
  <c r="D13743" i="2"/>
  <c r="D13744" i="2"/>
  <c r="D13745" i="2"/>
  <c r="D13746" i="2"/>
  <c r="D13747" i="2"/>
  <c r="D13748" i="2"/>
  <c r="D13749" i="2"/>
  <c r="D13750" i="2"/>
  <c r="D13751" i="2"/>
  <c r="D13752" i="2"/>
  <c r="D13753" i="2"/>
  <c r="D13754" i="2"/>
  <c r="D13755" i="2"/>
  <c r="D13756" i="2"/>
  <c r="D13757" i="2"/>
  <c r="D13758" i="2"/>
  <c r="D13759" i="2"/>
  <c r="D13760" i="2"/>
  <c r="D13761" i="2"/>
  <c r="D13762" i="2"/>
  <c r="D13763" i="2"/>
  <c r="D13764" i="2"/>
  <c r="D13765" i="2"/>
  <c r="D13766" i="2"/>
  <c r="D13767" i="2"/>
  <c r="D13768" i="2"/>
  <c r="D13769" i="2"/>
  <c r="D13770" i="2"/>
  <c r="D13771" i="2"/>
  <c r="D13772" i="2"/>
  <c r="D13773" i="2"/>
  <c r="D13774" i="2"/>
  <c r="D13775" i="2"/>
  <c r="D13776" i="2"/>
  <c r="D13777" i="2"/>
  <c r="D13778" i="2"/>
  <c r="D13779" i="2"/>
  <c r="D13780" i="2"/>
  <c r="D13781" i="2"/>
  <c r="D13782" i="2"/>
  <c r="D13783" i="2"/>
  <c r="D13784" i="2"/>
  <c r="D13785" i="2"/>
  <c r="D13786" i="2"/>
  <c r="D13787" i="2"/>
  <c r="D13788" i="2"/>
  <c r="D13789" i="2"/>
  <c r="D13790" i="2"/>
  <c r="D13791" i="2"/>
  <c r="D13792" i="2"/>
  <c r="D13793" i="2"/>
  <c r="D13794" i="2"/>
  <c r="D13795" i="2"/>
  <c r="D13796" i="2"/>
  <c r="D13797" i="2"/>
  <c r="D13798" i="2"/>
  <c r="D13799" i="2"/>
  <c r="D13800" i="2"/>
  <c r="D13801" i="2"/>
  <c r="D13802" i="2"/>
  <c r="D13803" i="2"/>
  <c r="D13804" i="2"/>
  <c r="D13805" i="2"/>
  <c r="D13806" i="2"/>
  <c r="D13807" i="2"/>
  <c r="D13808" i="2"/>
  <c r="D13809" i="2"/>
  <c r="D13810" i="2"/>
  <c r="D13811" i="2"/>
  <c r="D13812" i="2"/>
  <c r="D13813" i="2"/>
  <c r="D13814" i="2"/>
  <c r="D13815" i="2"/>
  <c r="D13816" i="2"/>
  <c r="D13817" i="2"/>
  <c r="D13818" i="2"/>
  <c r="D13819" i="2"/>
  <c r="D13820" i="2"/>
  <c r="D13821" i="2"/>
  <c r="D13822" i="2"/>
  <c r="D13823" i="2"/>
  <c r="D13824" i="2"/>
  <c r="D13825" i="2"/>
  <c r="D13826" i="2"/>
  <c r="D13827" i="2"/>
  <c r="D13828" i="2"/>
  <c r="D13829" i="2"/>
  <c r="D13830" i="2"/>
  <c r="D13831" i="2"/>
  <c r="D13832" i="2"/>
  <c r="D13833" i="2"/>
  <c r="D13834" i="2"/>
  <c r="D13835" i="2"/>
  <c r="D13836" i="2"/>
  <c r="D13837" i="2"/>
  <c r="D13838" i="2"/>
  <c r="D13839" i="2"/>
  <c r="D13840" i="2"/>
  <c r="D13841" i="2"/>
  <c r="D13842" i="2"/>
  <c r="D13843" i="2"/>
  <c r="D13844" i="2"/>
  <c r="D13845" i="2"/>
  <c r="D13846" i="2"/>
  <c r="D13847" i="2"/>
  <c r="D13848" i="2"/>
  <c r="D13849" i="2"/>
  <c r="D13850" i="2"/>
  <c r="D13851" i="2"/>
  <c r="D13852" i="2"/>
  <c r="D13853" i="2"/>
  <c r="D13854" i="2"/>
  <c r="D13855" i="2"/>
  <c r="D13856" i="2"/>
  <c r="D13857" i="2"/>
  <c r="D13858" i="2"/>
  <c r="D13859" i="2"/>
  <c r="D13860" i="2"/>
  <c r="D13861" i="2"/>
  <c r="D13862" i="2"/>
  <c r="D13863" i="2"/>
  <c r="D13864" i="2"/>
  <c r="D13865" i="2"/>
  <c r="D13866" i="2"/>
  <c r="D13867" i="2"/>
  <c r="D13868" i="2"/>
  <c r="D13869" i="2"/>
  <c r="D13870" i="2"/>
  <c r="D13871" i="2"/>
  <c r="D13872" i="2"/>
  <c r="D13873" i="2"/>
  <c r="D13874" i="2"/>
  <c r="D13875" i="2"/>
  <c r="D13876" i="2"/>
  <c r="D13877" i="2"/>
  <c r="D13878" i="2"/>
  <c r="D13879" i="2"/>
  <c r="D13880" i="2"/>
  <c r="D13881" i="2"/>
  <c r="D13882" i="2"/>
  <c r="D13883" i="2"/>
  <c r="D13884" i="2"/>
  <c r="D13885" i="2"/>
  <c r="D13886" i="2"/>
  <c r="D13887" i="2"/>
  <c r="D13888" i="2"/>
  <c r="D13889" i="2"/>
  <c r="D13890" i="2"/>
  <c r="D13891" i="2"/>
  <c r="D13892" i="2"/>
  <c r="D13893" i="2"/>
  <c r="D13894" i="2"/>
  <c r="D13895" i="2"/>
  <c r="D13896" i="2"/>
  <c r="D13897" i="2"/>
  <c r="D13898" i="2"/>
  <c r="D13899" i="2"/>
  <c r="D13900" i="2"/>
  <c r="D13901" i="2"/>
  <c r="D13902" i="2"/>
  <c r="D13903" i="2"/>
  <c r="D13904" i="2"/>
  <c r="D13905" i="2"/>
  <c r="D13906" i="2"/>
  <c r="D13907" i="2"/>
  <c r="D13908" i="2"/>
  <c r="D13909" i="2"/>
  <c r="D13910" i="2"/>
  <c r="D13911" i="2"/>
  <c r="D13912" i="2"/>
  <c r="D13913" i="2"/>
  <c r="D13914" i="2"/>
  <c r="D13915" i="2"/>
  <c r="D13916" i="2"/>
  <c r="D13917" i="2"/>
  <c r="D13918" i="2"/>
  <c r="D13919" i="2"/>
  <c r="D13920" i="2"/>
  <c r="D13921" i="2"/>
  <c r="D13922" i="2"/>
  <c r="D13923" i="2"/>
  <c r="D13924" i="2"/>
  <c r="D13925" i="2"/>
  <c r="D13926" i="2"/>
  <c r="D13927" i="2"/>
  <c r="D13928" i="2"/>
  <c r="D13929" i="2"/>
  <c r="D13930" i="2"/>
  <c r="D13931" i="2"/>
  <c r="D13932" i="2"/>
  <c r="D13933" i="2"/>
  <c r="D13934" i="2"/>
  <c r="D13935" i="2"/>
  <c r="D13936" i="2"/>
  <c r="D13937" i="2"/>
  <c r="D13938" i="2"/>
  <c r="D13939" i="2"/>
  <c r="D13940" i="2"/>
  <c r="D13941" i="2"/>
  <c r="D13942" i="2"/>
  <c r="D13943" i="2"/>
  <c r="D13944" i="2"/>
  <c r="D13945" i="2"/>
  <c r="D13946" i="2"/>
  <c r="D13947" i="2"/>
  <c r="D13948" i="2"/>
  <c r="D13949" i="2"/>
  <c r="D13950" i="2"/>
  <c r="D13951" i="2"/>
  <c r="D13952" i="2"/>
  <c r="D13953" i="2"/>
  <c r="D13954" i="2"/>
  <c r="D13955" i="2"/>
  <c r="D13956" i="2"/>
  <c r="D13957" i="2"/>
  <c r="D13958" i="2"/>
  <c r="D13959" i="2"/>
  <c r="D13960" i="2"/>
  <c r="D13961" i="2"/>
  <c r="D13962" i="2"/>
  <c r="D13963" i="2"/>
  <c r="D13964" i="2"/>
  <c r="D13965" i="2"/>
  <c r="D13966" i="2"/>
  <c r="D13967" i="2"/>
  <c r="D13968" i="2"/>
  <c r="D13969" i="2"/>
  <c r="D13970" i="2"/>
  <c r="D13971" i="2"/>
  <c r="D13972" i="2"/>
  <c r="D13973" i="2"/>
  <c r="D13974" i="2"/>
  <c r="D13975" i="2"/>
  <c r="D13976" i="2"/>
  <c r="D13977" i="2"/>
  <c r="D13978" i="2"/>
  <c r="D13979" i="2"/>
  <c r="D13980" i="2"/>
  <c r="D13981" i="2"/>
  <c r="D13982" i="2"/>
  <c r="D13983" i="2"/>
  <c r="D13984" i="2"/>
  <c r="D13985" i="2"/>
  <c r="D13986" i="2"/>
  <c r="D13987" i="2"/>
  <c r="D13988" i="2"/>
  <c r="D13989" i="2"/>
  <c r="D13990" i="2"/>
  <c r="D13991" i="2"/>
  <c r="D13992" i="2"/>
  <c r="D13993" i="2"/>
  <c r="D13994" i="2"/>
  <c r="D13995" i="2"/>
  <c r="D13996" i="2"/>
  <c r="D13997" i="2"/>
  <c r="D13998" i="2"/>
  <c r="D13999" i="2"/>
  <c r="D14000" i="2"/>
  <c r="D14001" i="2"/>
  <c r="D14002" i="2"/>
  <c r="D14003" i="2"/>
  <c r="D14004" i="2"/>
  <c r="D14005" i="2"/>
  <c r="D14006" i="2"/>
  <c r="D14007" i="2"/>
  <c r="D14008" i="2"/>
  <c r="D14009" i="2"/>
  <c r="D14010" i="2"/>
  <c r="D14011" i="2"/>
  <c r="D14012" i="2"/>
  <c r="D14013" i="2"/>
  <c r="D14014" i="2"/>
  <c r="D14015" i="2"/>
  <c r="D14016" i="2"/>
  <c r="D14017" i="2"/>
  <c r="D14018" i="2"/>
  <c r="D14019" i="2"/>
  <c r="D14020" i="2"/>
  <c r="D14021" i="2"/>
  <c r="D14022" i="2"/>
  <c r="D14023" i="2"/>
  <c r="D14024" i="2"/>
  <c r="D14025" i="2"/>
  <c r="D14026" i="2"/>
  <c r="D14027" i="2"/>
  <c r="D14028" i="2"/>
  <c r="D14029" i="2"/>
  <c r="D14030" i="2"/>
  <c r="D14031" i="2"/>
  <c r="D14032" i="2"/>
  <c r="D14033" i="2"/>
  <c r="D14034" i="2"/>
  <c r="D14035" i="2"/>
  <c r="D14036" i="2"/>
  <c r="D14037" i="2"/>
  <c r="D14038" i="2"/>
  <c r="D14039" i="2"/>
  <c r="D14040" i="2"/>
  <c r="D14041" i="2"/>
  <c r="D14042" i="2"/>
  <c r="D14043" i="2"/>
  <c r="D14044" i="2"/>
  <c r="D14045" i="2"/>
  <c r="D14046" i="2"/>
  <c r="D14047" i="2"/>
  <c r="D14048" i="2"/>
  <c r="D14049" i="2"/>
  <c r="D14050" i="2"/>
  <c r="D14051" i="2"/>
  <c r="D14052" i="2"/>
  <c r="D14053" i="2"/>
  <c r="D14054" i="2"/>
  <c r="D14055" i="2"/>
  <c r="D14056" i="2"/>
  <c r="D14057" i="2"/>
  <c r="D14058" i="2"/>
  <c r="D14059" i="2"/>
  <c r="D14060" i="2"/>
  <c r="D14061" i="2"/>
  <c r="D14062" i="2"/>
  <c r="D14063" i="2"/>
  <c r="D14064" i="2"/>
  <c r="D14065" i="2"/>
  <c r="D14066" i="2"/>
  <c r="D14067" i="2"/>
  <c r="D14068" i="2"/>
  <c r="D14069" i="2"/>
  <c r="D14070" i="2"/>
  <c r="D14071" i="2"/>
  <c r="D14072" i="2"/>
  <c r="D14073" i="2"/>
  <c r="D14074" i="2"/>
  <c r="D14075" i="2"/>
  <c r="D14076" i="2"/>
  <c r="D14077" i="2"/>
  <c r="D14078" i="2"/>
  <c r="D14079" i="2"/>
  <c r="D14080" i="2"/>
  <c r="D14081" i="2"/>
  <c r="D14082" i="2"/>
  <c r="D14083" i="2"/>
  <c r="D14084" i="2"/>
  <c r="D14085" i="2"/>
  <c r="D14086" i="2"/>
  <c r="D14087" i="2"/>
  <c r="D14088" i="2"/>
  <c r="D14089" i="2"/>
  <c r="D14090" i="2"/>
  <c r="D14091" i="2"/>
  <c r="D14092" i="2"/>
  <c r="D14093" i="2"/>
  <c r="D14094" i="2"/>
  <c r="D14095" i="2"/>
  <c r="D14096" i="2"/>
  <c r="D14097" i="2"/>
  <c r="D14098" i="2"/>
  <c r="D14099" i="2"/>
  <c r="D14100" i="2"/>
  <c r="D14101" i="2"/>
  <c r="D14102" i="2"/>
  <c r="D14103" i="2"/>
  <c r="D14104" i="2"/>
  <c r="D14105" i="2"/>
  <c r="D14106" i="2"/>
  <c r="D14107" i="2"/>
  <c r="D14108" i="2"/>
  <c r="D14109" i="2"/>
  <c r="D14110" i="2"/>
  <c r="D14111" i="2"/>
  <c r="D14112" i="2"/>
  <c r="D14113" i="2"/>
  <c r="D14114" i="2"/>
  <c r="D14115" i="2"/>
  <c r="D14116" i="2"/>
  <c r="D14117" i="2"/>
  <c r="D14118" i="2"/>
  <c r="D14119" i="2"/>
  <c r="D14120" i="2"/>
  <c r="D14121" i="2"/>
  <c r="D14122" i="2"/>
  <c r="D14123" i="2"/>
  <c r="D14124" i="2"/>
  <c r="D14125" i="2"/>
  <c r="D14126" i="2"/>
  <c r="D14127" i="2"/>
  <c r="D14128" i="2"/>
  <c r="D14129" i="2"/>
  <c r="D14130" i="2"/>
  <c r="D14131" i="2"/>
  <c r="D14132" i="2"/>
  <c r="D14133" i="2"/>
  <c r="D14134" i="2"/>
  <c r="D14135" i="2"/>
  <c r="D14136" i="2"/>
  <c r="D14137" i="2"/>
  <c r="D14138" i="2"/>
  <c r="D14139" i="2"/>
  <c r="D14140" i="2"/>
  <c r="D14141" i="2"/>
  <c r="D14142" i="2"/>
  <c r="D14143" i="2"/>
  <c r="D14144" i="2"/>
  <c r="D14145" i="2"/>
  <c r="D14146" i="2"/>
  <c r="D14147" i="2"/>
  <c r="D14148" i="2"/>
  <c r="D14149" i="2"/>
  <c r="D14150" i="2"/>
  <c r="D14151" i="2"/>
  <c r="D14152" i="2"/>
  <c r="D14153" i="2"/>
  <c r="D14154" i="2"/>
  <c r="D14155" i="2"/>
  <c r="D14156" i="2"/>
  <c r="D14157" i="2"/>
  <c r="D14158" i="2"/>
  <c r="D14159" i="2"/>
  <c r="D14160" i="2"/>
  <c r="D14161" i="2"/>
  <c r="D14162" i="2"/>
  <c r="D14163" i="2"/>
  <c r="D14164" i="2"/>
  <c r="D14165" i="2"/>
  <c r="D14166" i="2"/>
  <c r="D14167" i="2"/>
  <c r="D14168" i="2"/>
  <c r="D14169" i="2"/>
  <c r="D14170" i="2"/>
  <c r="D14171" i="2"/>
  <c r="D14172" i="2"/>
  <c r="D14173" i="2"/>
  <c r="D14174" i="2"/>
  <c r="D14175" i="2"/>
  <c r="D14176" i="2"/>
  <c r="D14177" i="2"/>
  <c r="D14178" i="2"/>
  <c r="D14179" i="2"/>
  <c r="D14180" i="2"/>
  <c r="D14181" i="2"/>
  <c r="D14182" i="2"/>
  <c r="D14183" i="2"/>
  <c r="D14184" i="2"/>
  <c r="D14185" i="2"/>
  <c r="D14186" i="2"/>
  <c r="D14187" i="2"/>
  <c r="D14188" i="2"/>
  <c r="D14189" i="2"/>
  <c r="D14190" i="2"/>
  <c r="D14191" i="2"/>
  <c r="D14192" i="2"/>
  <c r="D14193" i="2"/>
  <c r="D14194" i="2"/>
  <c r="D14195" i="2"/>
  <c r="D14196" i="2"/>
  <c r="D14197" i="2"/>
  <c r="D14198" i="2"/>
  <c r="D14199" i="2"/>
  <c r="D14200" i="2"/>
  <c r="D14201" i="2"/>
  <c r="D14202" i="2"/>
  <c r="D14203" i="2"/>
  <c r="D14204" i="2"/>
  <c r="D14205" i="2"/>
  <c r="D14206" i="2"/>
  <c r="D14207" i="2"/>
  <c r="D14208" i="2"/>
  <c r="D14209" i="2"/>
  <c r="D14210" i="2"/>
  <c r="D14211" i="2"/>
  <c r="D14212" i="2"/>
  <c r="D14213" i="2"/>
  <c r="D14214" i="2"/>
  <c r="D14215" i="2"/>
  <c r="D14216" i="2"/>
  <c r="D14217" i="2"/>
  <c r="D14218" i="2"/>
  <c r="D14219" i="2"/>
  <c r="D14220" i="2"/>
  <c r="D14221" i="2"/>
  <c r="D14222" i="2"/>
  <c r="D14223" i="2"/>
  <c r="D14224" i="2"/>
  <c r="D14225" i="2"/>
  <c r="D14226" i="2"/>
  <c r="D14227" i="2"/>
  <c r="D14228" i="2"/>
  <c r="D14229" i="2"/>
  <c r="D14230" i="2"/>
  <c r="D14231" i="2"/>
  <c r="D14232" i="2"/>
  <c r="D14233" i="2"/>
  <c r="D14234" i="2"/>
  <c r="D14235" i="2"/>
  <c r="D14236" i="2"/>
  <c r="D14237" i="2"/>
  <c r="D14238" i="2"/>
  <c r="D14239" i="2"/>
  <c r="D14240" i="2"/>
  <c r="D14241" i="2"/>
  <c r="D14242" i="2"/>
  <c r="D14243" i="2"/>
  <c r="D14244" i="2"/>
  <c r="D14245" i="2"/>
  <c r="D14246" i="2"/>
  <c r="D14247" i="2"/>
  <c r="D14248" i="2"/>
  <c r="D14249" i="2"/>
  <c r="D14250" i="2"/>
  <c r="D14251" i="2"/>
  <c r="D14252" i="2"/>
  <c r="D14253" i="2"/>
  <c r="D14254" i="2"/>
  <c r="D14255" i="2"/>
  <c r="D14256" i="2"/>
  <c r="D14257" i="2"/>
  <c r="D14258" i="2"/>
  <c r="D14259" i="2"/>
  <c r="D14260" i="2"/>
  <c r="D14261" i="2"/>
  <c r="D14262" i="2"/>
  <c r="D14263" i="2"/>
  <c r="D14264" i="2"/>
  <c r="D14265" i="2"/>
  <c r="D14266" i="2"/>
  <c r="D14267" i="2"/>
  <c r="D14268" i="2"/>
  <c r="D14269" i="2"/>
  <c r="D14270" i="2"/>
  <c r="D14271" i="2"/>
  <c r="D14272" i="2"/>
  <c r="D14273" i="2"/>
  <c r="D14274" i="2"/>
  <c r="D14275" i="2"/>
  <c r="D14276" i="2"/>
  <c r="D14277" i="2"/>
  <c r="D14278" i="2"/>
  <c r="D14279" i="2"/>
  <c r="D14280" i="2"/>
  <c r="D14281" i="2"/>
  <c r="D14282" i="2"/>
  <c r="D14283" i="2"/>
  <c r="D14284" i="2"/>
  <c r="D14285" i="2"/>
  <c r="D14286" i="2"/>
  <c r="D14287" i="2"/>
  <c r="D14288" i="2"/>
  <c r="D14289" i="2"/>
  <c r="D14290" i="2"/>
  <c r="D14291" i="2"/>
  <c r="D14292" i="2"/>
  <c r="D14293" i="2"/>
  <c r="D14294" i="2"/>
  <c r="D14295" i="2"/>
  <c r="D14296" i="2"/>
  <c r="D14297" i="2"/>
  <c r="D14298" i="2"/>
  <c r="D14299" i="2"/>
  <c r="D14300" i="2"/>
  <c r="D14301" i="2"/>
  <c r="D14302" i="2"/>
  <c r="D14303" i="2"/>
  <c r="D14304" i="2"/>
  <c r="D14305" i="2"/>
  <c r="D14306" i="2"/>
  <c r="D14307" i="2"/>
  <c r="D14308" i="2"/>
  <c r="D14309" i="2"/>
  <c r="D14310" i="2"/>
  <c r="D14311" i="2"/>
  <c r="D14312" i="2"/>
  <c r="D14313" i="2"/>
  <c r="D14314" i="2"/>
  <c r="D14315" i="2"/>
  <c r="D14316" i="2"/>
  <c r="D14317" i="2"/>
  <c r="D14318" i="2"/>
  <c r="D14319" i="2"/>
  <c r="D14320" i="2"/>
  <c r="D14321" i="2"/>
  <c r="D14322" i="2"/>
  <c r="D14323" i="2"/>
  <c r="D14324" i="2"/>
  <c r="D14325" i="2"/>
  <c r="D14326" i="2"/>
  <c r="D14327" i="2"/>
  <c r="D14328" i="2"/>
  <c r="D14329" i="2"/>
  <c r="D14330" i="2"/>
  <c r="D14331" i="2"/>
  <c r="D14332" i="2"/>
  <c r="D14333" i="2"/>
  <c r="D14334" i="2"/>
  <c r="D14335" i="2"/>
  <c r="D14336" i="2"/>
  <c r="D14337" i="2"/>
  <c r="D14338" i="2"/>
  <c r="D14339" i="2"/>
  <c r="D14340" i="2"/>
  <c r="D14341" i="2"/>
  <c r="D14342" i="2"/>
  <c r="D14343" i="2"/>
  <c r="D14344" i="2"/>
  <c r="D14345" i="2"/>
  <c r="D14346" i="2"/>
  <c r="D14347" i="2"/>
  <c r="D14348" i="2"/>
  <c r="D14349" i="2"/>
  <c r="D14350" i="2"/>
  <c r="D14351" i="2"/>
  <c r="D14352" i="2"/>
  <c r="D14353" i="2"/>
  <c r="D14354" i="2"/>
  <c r="D14355" i="2"/>
  <c r="D14356" i="2"/>
  <c r="D14357" i="2"/>
  <c r="D14358" i="2"/>
  <c r="D14359" i="2"/>
  <c r="D14360" i="2"/>
  <c r="D14361" i="2"/>
  <c r="D14362" i="2"/>
  <c r="D14363" i="2"/>
  <c r="D14364" i="2"/>
  <c r="D14365" i="2"/>
  <c r="D14366" i="2"/>
  <c r="D14367" i="2"/>
  <c r="D14368" i="2"/>
  <c r="D14369" i="2"/>
  <c r="D14370" i="2"/>
  <c r="D14371" i="2"/>
  <c r="D14372" i="2"/>
  <c r="D14373" i="2"/>
  <c r="D14374" i="2"/>
  <c r="D14375" i="2"/>
  <c r="D14376" i="2"/>
  <c r="D14377" i="2"/>
  <c r="D14378" i="2"/>
  <c r="D14379" i="2"/>
  <c r="D14380" i="2"/>
  <c r="D14381" i="2"/>
  <c r="D14382" i="2"/>
  <c r="D14383" i="2"/>
  <c r="D14384" i="2"/>
  <c r="D14385" i="2"/>
  <c r="D14386" i="2"/>
  <c r="D14387" i="2"/>
  <c r="D14388" i="2"/>
  <c r="D14389" i="2"/>
  <c r="D14390" i="2"/>
  <c r="D14391" i="2"/>
  <c r="D14392" i="2"/>
  <c r="D14393" i="2"/>
  <c r="D14394" i="2"/>
  <c r="D14395" i="2"/>
  <c r="D14396" i="2"/>
  <c r="D14397" i="2"/>
  <c r="D14398" i="2"/>
  <c r="D14399" i="2"/>
  <c r="D14400" i="2"/>
  <c r="D14401" i="2"/>
  <c r="D14402" i="2"/>
  <c r="D14403" i="2"/>
  <c r="D14404" i="2"/>
  <c r="D14405" i="2"/>
  <c r="D14406" i="2"/>
  <c r="D14407" i="2"/>
  <c r="D14408" i="2"/>
  <c r="D14409" i="2"/>
  <c r="D14410" i="2"/>
  <c r="D14411" i="2"/>
  <c r="D14412" i="2"/>
  <c r="D14413" i="2"/>
  <c r="D14414" i="2"/>
  <c r="D14415" i="2"/>
  <c r="D14416" i="2"/>
  <c r="D14417" i="2"/>
  <c r="D14418" i="2"/>
  <c r="D14419" i="2"/>
  <c r="D14420" i="2"/>
  <c r="D14421" i="2"/>
  <c r="D14422" i="2"/>
  <c r="D14423" i="2"/>
  <c r="D14424" i="2"/>
  <c r="D14425" i="2"/>
  <c r="D14426" i="2"/>
  <c r="D14427" i="2"/>
  <c r="D14428" i="2"/>
  <c r="D14429" i="2"/>
  <c r="D14430" i="2"/>
  <c r="D14431" i="2"/>
  <c r="D14432" i="2"/>
  <c r="D14433" i="2"/>
  <c r="D14434" i="2"/>
  <c r="D14435" i="2"/>
  <c r="D14436" i="2"/>
  <c r="D14437" i="2"/>
  <c r="D14438" i="2"/>
  <c r="D14439" i="2"/>
  <c r="D14440" i="2"/>
  <c r="D14441" i="2"/>
  <c r="D14442" i="2"/>
  <c r="D14443" i="2"/>
  <c r="D14444" i="2"/>
  <c r="D14445" i="2"/>
  <c r="D14446" i="2"/>
  <c r="D14447" i="2"/>
  <c r="D14448" i="2"/>
  <c r="D14449" i="2"/>
  <c r="D14450" i="2"/>
  <c r="D14451" i="2"/>
  <c r="D14452" i="2"/>
  <c r="D14453" i="2"/>
  <c r="D14454" i="2"/>
  <c r="D14455" i="2"/>
  <c r="D14456" i="2"/>
  <c r="D14457" i="2"/>
  <c r="D14458" i="2"/>
  <c r="D14459" i="2"/>
  <c r="D14460" i="2"/>
  <c r="D14461" i="2"/>
  <c r="D14462" i="2"/>
  <c r="D14463" i="2"/>
  <c r="D14464" i="2"/>
  <c r="D14465" i="2"/>
  <c r="D14466" i="2"/>
  <c r="D14467" i="2"/>
  <c r="D14468" i="2"/>
  <c r="D14469" i="2"/>
  <c r="D14470" i="2"/>
  <c r="D14471" i="2"/>
  <c r="D14472" i="2"/>
  <c r="D14473" i="2"/>
  <c r="D14474" i="2"/>
  <c r="D14475" i="2"/>
  <c r="D14476" i="2"/>
  <c r="D14477" i="2"/>
  <c r="D14478" i="2"/>
  <c r="D14479" i="2"/>
  <c r="D14480" i="2"/>
  <c r="D14481" i="2"/>
  <c r="D14482" i="2"/>
  <c r="D14483" i="2"/>
  <c r="D14484" i="2"/>
  <c r="D14485" i="2"/>
  <c r="D14486" i="2"/>
  <c r="D14487" i="2"/>
  <c r="D14488" i="2"/>
  <c r="D14489" i="2"/>
  <c r="D14490" i="2"/>
  <c r="D14491" i="2"/>
  <c r="D14492" i="2"/>
  <c r="D14493" i="2"/>
  <c r="D14494" i="2"/>
  <c r="D14495" i="2"/>
  <c r="D14496" i="2"/>
  <c r="D14497" i="2"/>
  <c r="D14498" i="2"/>
  <c r="D14499" i="2"/>
  <c r="D14500" i="2"/>
  <c r="D14501" i="2"/>
  <c r="D14502" i="2"/>
  <c r="D14503" i="2"/>
  <c r="D14504" i="2"/>
  <c r="D14505" i="2"/>
  <c r="D14506" i="2"/>
  <c r="D14507" i="2"/>
  <c r="D14508" i="2"/>
  <c r="D14509" i="2"/>
  <c r="D14510" i="2"/>
  <c r="D14511" i="2"/>
  <c r="D14512" i="2"/>
  <c r="D14513" i="2"/>
  <c r="D14514" i="2"/>
  <c r="D14515" i="2"/>
  <c r="D14516" i="2"/>
  <c r="D14517" i="2"/>
  <c r="D14518" i="2"/>
  <c r="D14519" i="2"/>
  <c r="D14520" i="2"/>
  <c r="D14521" i="2"/>
  <c r="D14522" i="2"/>
  <c r="D14523" i="2"/>
  <c r="D14524" i="2"/>
  <c r="D14525" i="2"/>
  <c r="D14526" i="2"/>
  <c r="D14527" i="2"/>
  <c r="D14528" i="2"/>
  <c r="D14529" i="2"/>
  <c r="D14530" i="2"/>
  <c r="D14531" i="2"/>
  <c r="D14532" i="2"/>
  <c r="D14533" i="2"/>
  <c r="D14534" i="2"/>
  <c r="D14535" i="2"/>
  <c r="D14536" i="2"/>
  <c r="D14537" i="2"/>
  <c r="D14538" i="2"/>
  <c r="D14539" i="2"/>
  <c r="D14540" i="2"/>
  <c r="D14541" i="2"/>
  <c r="D14542" i="2"/>
  <c r="D14543" i="2"/>
  <c r="D14544" i="2"/>
  <c r="D14545" i="2"/>
  <c r="D14546" i="2"/>
  <c r="D14547" i="2"/>
  <c r="D14548" i="2"/>
  <c r="D14549" i="2"/>
  <c r="D14550" i="2"/>
  <c r="D14551" i="2"/>
  <c r="D14552" i="2"/>
  <c r="D14553" i="2"/>
  <c r="D14554" i="2"/>
  <c r="D14555" i="2"/>
  <c r="D14556" i="2"/>
  <c r="D14557" i="2"/>
  <c r="D14558" i="2"/>
  <c r="D14559" i="2"/>
  <c r="D14560" i="2"/>
  <c r="D14561" i="2"/>
  <c r="D14562" i="2"/>
  <c r="D14563" i="2"/>
  <c r="D14564" i="2"/>
  <c r="D14565" i="2"/>
  <c r="D14566" i="2"/>
  <c r="D14567" i="2"/>
  <c r="D14568" i="2"/>
  <c r="D14569" i="2"/>
  <c r="D14570" i="2"/>
  <c r="D14571" i="2"/>
  <c r="D14572" i="2"/>
  <c r="D14573" i="2"/>
  <c r="D14574" i="2"/>
  <c r="D14575" i="2"/>
  <c r="D14576" i="2"/>
  <c r="D14577" i="2"/>
  <c r="D14578" i="2"/>
  <c r="D14579" i="2"/>
  <c r="D14580" i="2"/>
  <c r="D14581" i="2"/>
  <c r="D14582" i="2"/>
  <c r="D14583" i="2"/>
  <c r="D14584" i="2"/>
  <c r="D14585" i="2"/>
  <c r="D14586" i="2"/>
  <c r="D14587" i="2"/>
  <c r="D14588" i="2"/>
  <c r="D14589" i="2"/>
  <c r="D14590" i="2"/>
  <c r="D14591" i="2"/>
  <c r="D14592" i="2"/>
  <c r="D14593" i="2"/>
  <c r="D14594" i="2"/>
  <c r="D14595" i="2"/>
  <c r="D14596" i="2"/>
  <c r="D14597" i="2"/>
  <c r="D14598" i="2"/>
  <c r="D14599" i="2"/>
  <c r="D14600" i="2"/>
  <c r="D14601" i="2"/>
  <c r="D14602" i="2"/>
  <c r="D14603" i="2"/>
  <c r="D14604" i="2"/>
  <c r="D14605" i="2"/>
  <c r="D14606" i="2"/>
  <c r="D14607" i="2"/>
  <c r="D14608" i="2"/>
  <c r="D14609" i="2"/>
  <c r="D14610" i="2"/>
  <c r="D14611" i="2"/>
  <c r="D14612" i="2"/>
  <c r="D14613" i="2"/>
  <c r="D14614" i="2"/>
  <c r="D14615" i="2"/>
  <c r="D14616" i="2"/>
  <c r="D14617" i="2"/>
  <c r="D14618" i="2"/>
  <c r="D14619" i="2"/>
  <c r="D14620" i="2"/>
  <c r="D14621" i="2"/>
  <c r="D14622" i="2"/>
  <c r="D14623" i="2"/>
  <c r="D14624" i="2"/>
  <c r="D14625" i="2"/>
  <c r="D14626" i="2"/>
  <c r="D14627" i="2"/>
  <c r="D14628" i="2"/>
  <c r="D14629" i="2"/>
  <c r="D14630" i="2"/>
  <c r="D14631" i="2"/>
  <c r="D14632" i="2"/>
  <c r="D14633" i="2"/>
  <c r="D14634" i="2"/>
  <c r="D14635" i="2"/>
  <c r="D14636" i="2"/>
  <c r="D14637" i="2"/>
  <c r="D14638" i="2"/>
  <c r="D14639" i="2"/>
  <c r="D14640" i="2"/>
  <c r="D14641" i="2"/>
  <c r="D14642" i="2"/>
  <c r="D14643" i="2"/>
  <c r="D14644" i="2"/>
  <c r="D14645" i="2"/>
  <c r="D14646" i="2"/>
  <c r="D14647" i="2"/>
  <c r="D14648" i="2"/>
  <c r="D14649" i="2"/>
  <c r="D14650" i="2"/>
  <c r="D14651" i="2"/>
  <c r="D14652" i="2"/>
  <c r="D14653" i="2"/>
  <c r="D14654" i="2"/>
  <c r="D14655" i="2"/>
  <c r="D14656" i="2"/>
  <c r="D14657" i="2"/>
  <c r="D14658" i="2"/>
  <c r="D14659" i="2"/>
  <c r="D14660" i="2"/>
  <c r="D14661" i="2"/>
  <c r="D14662" i="2"/>
  <c r="D14663" i="2"/>
  <c r="D14664" i="2"/>
  <c r="D14665" i="2"/>
  <c r="D14666" i="2"/>
  <c r="D14667" i="2"/>
  <c r="D14668" i="2"/>
  <c r="D14669" i="2"/>
  <c r="D14670" i="2"/>
  <c r="D14671" i="2"/>
  <c r="D14672" i="2"/>
  <c r="D14673" i="2"/>
  <c r="D14674" i="2"/>
  <c r="D14675" i="2"/>
  <c r="D14676" i="2"/>
  <c r="D14677" i="2"/>
  <c r="D14678" i="2"/>
  <c r="D14679" i="2"/>
  <c r="D14680" i="2"/>
  <c r="D14681" i="2"/>
  <c r="D14682" i="2"/>
  <c r="D14683" i="2"/>
  <c r="D14684" i="2"/>
  <c r="D14685" i="2"/>
  <c r="D14686" i="2"/>
  <c r="D14687" i="2"/>
  <c r="D14688" i="2"/>
  <c r="D14689" i="2"/>
  <c r="D14690" i="2"/>
  <c r="D14691" i="2"/>
  <c r="D14692" i="2"/>
  <c r="D14693" i="2"/>
  <c r="D14694" i="2"/>
  <c r="D14695" i="2"/>
  <c r="D14696" i="2"/>
  <c r="D14697" i="2"/>
  <c r="D14698" i="2"/>
  <c r="D14699" i="2"/>
  <c r="D14700" i="2"/>
  <c r="D14701" i="2"/>
  <c r="D14702" i="2"/>
  <c r="D14703" i="2"/>
  <c r="D14704" i="2"/>
  <c r="D14705" i="2"/>
  <c r="D14706" i="2"/>
  <c r="D14707" i="2"/>
  <c r="D14708" i="2"/>
  <c r="D14709" i="2"/>
  <c r="D14710" i="2"/>
  <c r="D14711" i="2"/>
  <c r="D14712" i="2"/>
  <c r="D14713" i="2"/>
  <c r="D14714" i="2"/>
  <c r="D14715" i="2"/>
  <c r="D14716" i="2"/>
  <c r="D14717" i="2"/>
  <c r="D14718" i="2"/>
  <c r="D14719" i="2"/>
  <c r="D14720" i="2"/>
  <c r="D14721" i="2"/>
  <c r="D14722" i="2"/>
  <c r="D14723" i="2"/>
  <c r="D14724" i="2"/>
  <c r="D14725" i="2"/>
  <c r="D14726" i="2"/>
  <c r="D14727" i="2"/>
  <c r="D14728" i="2"/>
  <c r="D14729" i="2"/>
  <c r="D14730" i="2"/>
  <c r="D14731" i="2"/>
  <c r="D14732" i="2"/>
  <c r="D14733" i="2"/>
  <c r="D14734" i="2"/>
  <c r="D14735" i="2"/>
  <c r="D14736" i="2"/>
  <c r="D14737" i="2"/>
  <c r="D14738" i="2"/>
  <c r="D14739" i="2"/>
  <c r="D14740" i="2"/>
  <c r="D14741" i="2"/>
  <c r="D14742" i="2"/>
  <c r="D14743" i="2"/>
  <c r="D14744" i="2"/>
  <c r="D14745" i="2"/>
  <c r="D14746" i="2"/>
  <c r="D14747" i="2"/>
  <c r="D14748" i="2"/>
  <c r="D14749" i="2"/>
  <c r="D14750" i="2"/>
  <c r="D14751" i="2"/>
  <c r="D14752" i="2"/>
  <c r="D14753" i="2"/>
  <c r="D14754" i="2"/>
  <c r="D14755" i="2"/>
  <c r="D14756" i="2"/>
  <c r="D14757" i="2"/>
  <c r="D14758" i="2"/>
  <c r="D14759" i="2"/>
  <c r="D14760" i="2"/>
  <c r="D14761" i="2"/>
  <c r="D14762" i="2"/>
  <c r="D14763" i="2"/>
  <c r="D14764" i="2"/>
  <c r="D14765" i="2"/>
  <c r="D14766" i="2"/>
  <c r="D14767" i="2"/>
  <c r="D14768" i="2"/>
  <c r="D14769" i="2"/>
  <c r="D14770" i="2"/>
  <c r="D14771" i="2"/>
  <c r="D14772" i="2"/>
  <c r="D14773" i="2"/>
  <c r="D14774" i="2"/>
  <c r="D14775" i="2"/>
  <c r="D14776" i="2"/>
  <c r="D14777" i="2"/>
  <c r="D14778" i="2"/>
  <c r="D14779" i="2"/>
  <c r="D14780" i="2"/>
  <c r="D14781" i="2"/>
  <c r="D14782" i="2"/>
  <c r="D14783" i="2"/>
  <c r="D14784" i="2"/>
  <c r="D14785" i="2"/>
  <c r="D14786" i="2"/>
  <c r="D14787" i="2"/>
  <c r="D14788" i="2"/>
  <c r="D14789" i="2"/>
  <c r="D14790" i="2"/>
  <c r="D14791" i="2"/>
  <c r="D14792" i="2"/>
  <c r="D14793" i="2"/>
  <c r="D14794" i="2"/>
  <c r="D14795" i="2"/>
  <c r="D14796" i="2"/>
  <c r="D14797" i="2"/>
  <c r="D14798" i="2"/>
  <c r="D14799" i="2"/>
  <c r="D14800" i="2"/>
  <c r="D14801" i="2"/>
  <c r="D14802" i="2"/>
  <c r="D14803" i="2"/>
  <c r="D14804" i="2"/>
  <c r="D14805" i="2"/>
  <c r="D14806" i="2"/>
  <c r="D14807" i="2"/>
  <c r="D14808" i="2"/>
  <c r="D14809" i="2"/>
  <c r="D14810" i="2"/>
  <c r="D14811" i="2"/>
  <c r="D14812" i="2"/>
  <c r="D14813" i="2"/>
  <c r="D14814" i="2"/>
  <c r="D14815" i="2"/>
  <c r="D14816" i="2"/>
  <c r="D14817" i="2"/>
  <c r="D14818" i="2"/>
  <c r="D14819" i="2"/>
  <c r="D14820" i="2"/>
  <c r="D14821" i="2"/>
  <c r="D14822" i="2"/>
  <c r="D14823" i="2"/>
  <c r="D14824" i="2"/>
  <c r="D14825" i="2"/>
  <c r="D14826" i="2"/>
  <c r="D14827" i="2"/>
  <c r="D14828" i="2"/>
  <c r="D14829" i="2"/>
  <c r="D14830" i="2"/>
  <c r="D14831" i="2"/>
  <c r="D14832" i="2"/>
  <c r="D14833" i="2"/>
  <c r="D14834" i="2"/>
  <c r="D14835" i="2"/>
  <c r="D14836" i="2"/>
  <c r="D14837" i="2"/>
  <c r="D14838" i="2"/>
  <c r="D14839" i="2"/>
  <c r="D14840" i="2"/>
  <c r="D14841" i="2"/>
  <c r="D14842" i="2"/>
  <c r="D14843" i="2"/>
  <c r="D14844" i="2"/>
  <c r="D14845" i="2"/>
  <c r="D14846" i="2"/>
  <c r="D14847" i="2"/>
  <c r="D14848" i="2"/>
  <c r="D14849" i="2"/>
  <c r="D14850" i="2"/>
  <c r="D14851" i="2"/>
  <c r="D14852" i="2"/>
  <c r="D14853" i="2"/>
  <c r="D14854" i="2"/>
  <c r="D14855" i="2"/>
  <c r="D14856" i="2"/>
  <c r="D14857" i="2"/>
  <c r="D14858" i="2"/>
  <c r="D14859" i="2"/>
  <c r="D14860" i="2"/>
  <c r="D14861" i="2"/>
  <c r="D14862" i="2"/>
  <c r="D14863" i="2"/>
  <c r="D14864" i="2"/>
  <c r="D14865" i="2"/>
  <c r="D14866" i="2"/>
  <c r="D14867" i="2"/>
  <c r="D14868" i="2"/>
  <c r="D14869" i="2"/>
  <c r="D14870" i="2"/>
  <c r="D14871" i="2"/>
  <c r="D14872" i="2"/>
  <c r="D14873" i="2"/>
  <c r="D14874" i="2"/>
  <c r="D14875" i="2"/>
  <c r="D14876" i="2"/>
  <c r="D14877" i="2"/>
  <c r="D14878" i="2"/>
  <c r="D14879" i="2"/>
  <c r="D14880" i="2"/>
  <c r="D14881" i="2"/>
  <c r="D14882" i="2"/>
  <c r="D14883" i="2"/>
  <c r="D14884" i="2"/>
  <c r="D14885" i="2"/>
  <c r="D14886" i="2"/>
  <c r="D14887" i="2"/>
  <c r="D14888" i="2"/>
  <c r="D14889" i="2"/>
  <c r="D14890" i="2"/>
  <c r="D14891" i="2"/>
  <c r="D14892" i="2"/>
  <c r="D14893" i="2"/>
  <c r="D14894" i="2"/>
  <c r="D14895" i="2"/>
  <c r="D14896" i="2"/>
  <c r="D14897" i="2"/>
  <c r="D14898" i="2"/>
  <c r="D14899" i="2"/>
  <c r="D14900" i="2"/>
  <c r="D14901" i="2"/>
  <c r="D14902" i="2"/>
  <c r="D14903" i="2"/>
  <c r="D14904" i="2"/>
  <c r="D14905" i="2"/>
  <c r="D14906" i="2"/>
  <c r="D14907" i="2"/>
  <c r="D14908" i="2"/>
  <c r="D14909" i="2"/>
  <c r="D14910" i="2"/>
  <c r="D14911" i="2"/>
  <c r="D14912" i="2"/>
  <c r="D14913" i="2"/>
  <c r="D14914" i="2"/>
  <c r="D14915" i="2"/>
  <c r="D14916" i="2"/>
  <c r="D14917" i="2"/>
  <c r="D14918" i="2"/>
  <c r="D14919" i="2"/>
  <c r="D14920" i="2"/>
  <c r="D14921" i="2"/>
  <c r="D14922" i="2"/>
  <c r="D14923" i="2"/>
  <c r="D14924" i="2"/>
  <c r="D14925" i="2"/>
  <c r="D14926" i="2"/>
  <c r="D14927" i="2"/>
  <c r="D14928" i="2"/>
  <c r="D14929" i="2"/>
  <c r="D14930" i="2"/>
  <c r="D14931" i="2"/>
  <c r="D14932" i="2"/>
  <c r="D14933" i="2"/>
  <c r="D14934" i="2"/>
  <c r="D14935" i="2"/>
  <c r="D14936" i="2"/>
  <c r="D14937" i="2"/>
  <c r="D14938" i="2"/>
  <c r="D14939" i="2"/>
  <c r="D14940" i="2"/>
  <c r="D14941" i="2"/>
  <c r="D14942" i="2"/>
  <c r="D14943" i="2"/>
  <c r="D14944" i="2"/>
  <c r="D14945" i="2"/>
  <c r="D14946" i="2"/>
  <c r="D14947" i="2"/>
  <c r="D14948" i="2"/>
  <c r="D14949" i="2"/>
  <c r="D14950" i="2"/>
  <c r="D14951" i="2"/>
  <c r="D14952" i="2"/>
  <c r="D14953" i="2"/>
  <c r="D14954" i="2"/>
  <c r="D14955" i="2"/>
  <c r="D14956" i="2"/>
  <c r="D14957" i="2"/>
  <c r="D14958" i="2"/>
  <c r="D14959" i="2"/>
  <c r="D14960" i="2"/>
  <c r="D14961" i="2"/>
  <c r="D14962" i="2"/>
  <c r="D14963" i="2"/>
  <c r="D14964" i="2"/>
  <c r="D14965" i="2"/>
  <c r="D14966" i="2"/>
  <c r="D14967" i="2"/>
  <c r="D14968" i="2"/>
  <c r="D14969" i="2"/>
  <c r="D14970" i="2"/>
  <c r="D14971" i="2"/>
  <c r="D14972" i="2"/>
  <c r="D14973" i="2"/>
  <c r="D14974" i="2"/>
  <c r="D14975" i="2"/>
  <c r="D14976" i="2"/>
  <c r="D14977" i="2"/>
  <c r="D14978" i="2"/>
  <c r="D14979" i="2"/>
  <c r="D14980" i="2"/>
  <c r="D14981" i="2"/>
  <c r="D14982" i="2"/>
  <c r="D14983" i="2"/>
  <c r="D14984" i="2"/>
  <c r="D14985" i="2"/>
  <c r="D14986" i="2"/>
  <c r="D14987" i="2"/>
  <c r="D14988" i="2"/>
  <c r="D14989" i="2"/>
  <c r="D14990" i="2"/>
  <c r="D14991" i="2"/>
  <c r="D14992" i="2"/>
  <c r="D14993" i="2"/>
  <c r="D14994" i="2"/>
  <c r="D14995" i="2"/>
  <c r="D14996" i="2"/>
  <c r="D14997" i="2"/>
  <c r="D14998" i="2"/>
  <c r="D14999" i="2"/>
  <c r="D15000" i="2"/>
  <c r="D15001" i="2"/>
  <c r="D15002" i="2"/>
  <c r="D15003" i="2"/>
  <c r="D15004" i="2"/>
  <c r="D15005" i="2"/>
  <c r="D15006" i="2"/>
  <c r="D15007" i="2"/>
  <c r="D15008" i="2"/>
  <c r="D15009" i="2"/>
  <c r="D15010" i="2"/>
  <c r="D15011" i="2"/>
  <c r="D15012" i="2"/>
  <c r="D15013" i="2"/>
  <c r="D15014" i="2"/>
  <c r="D15015" i="2"/>
  <c r="D15016" i="2"/>
  <c r="D15017" i="2"/>
  <c r="D15018" i="2"/>
  <c r="D15019" i="2"/>
  <c r="D15020" i="2"/>
  <c r="D15021" i="2"/>
  <c r="D15022" i="2"/>
  <c r="D15023" i="2"/>
  <c r="D15024" i="2"/>
  <c r="D15025" i="2"/>
  <c r="D15026" i="2"/>
  <c r="D15027" i="2"/>
  <c r="D15028" i="2"/>
  <c r="D15029" i="2"/>
  <c r="D15030" i="2"/>
  <c r="D15031" i="2"/>
  <c r="D15032" i="2"/>
  <c r="D15033" i="2"/>
  <c r="D15034" i="2"/>
  <c r="D15035" i="2"/>
  <c r="D15036" i="2"/>
  <c r="D15037" i="2"/>
  <c r="D15038" i="2"/>
  <c r="D15039" i="2"/>
  <c r="D15040" i="2"/>
  <c r="D15041" i="2"/>
  <c r="D15042" i="2"/>
  <c r="D15043" i="2"/>
  <c r="D15044" i="2"/>
  <c r="D15045" i="2"/>
  <c r="D15046" i="2"/>
  <c r="D15047" i="2"/>
  <c r="D15048" i="2"/>
  <c r="D15049" i="2"/>
  <c r="D15050" i="2"/>
  <c r="D15051" i="2"/>
  <c r="D15052" i="2"/>
  <c r="D15053" i="2"/>
  <c r="D15054" i="2"/>
  <c r="D15055" i="2"/>
  <c r="D15056" i="2"/>
  <c r="D15057" i="2"/>
  <c r="D15058" i="2"/>
  <c r="D15059" i="2"/>
  <c r="D15060" i="2"/>
  <c r="D15061" i="2"/>
  <c r="D15062" i="2"/>
  <c r="D15063" i="2"/>
  <c r="D15064" i="2"/>
  <c r="D15065" i="2"/>
  <c r="D15066" i="2"/>
  <c r="D15067" i="2"/>
  <c r="D15068" i="2"/>
  <c r="D15069" i="2"/>
  <c r="D15070" i="2"/>
  <c r="D15071" i="2"/>
  <c r="D15072" i="2"/>
  <c r="D15073" i="2"/>
  <c r="D15074" i="2"/>
  <c r="D15075" i="2"/>
  <c r="D15076" i="2"/>
  <c r="D15077" i="2"/>
  <c r="D15078" i="2"/>
  <c r="D15079" i="2"/>
  <c r="D15080" i="2"/>
  <c r="D15081" i="2"/>
  <c r="D15082" i="2"/>
  <c r="D15083" i="2"/>
  <c r="D15084" i="2"/>
  <c r="D15085" i="2"/>
  <c r="D15086" i="2"/>
  <c r="D15087" i="2"/>
  <c r="D15088" i="2"/>
  <c r="D15089" i="2"/>
  <c r="D15090" i="2"/>
  <c r="D15091" i="2"/>
  <c r="D15092" i="2"/>
  <c r="D15093" i="2"/>
  <c r="D15094" i="2"/>
  <c r="D15095" i="2"/>
  <c r="D15096" i="2"/>
  <c r="D15097" i="2"/>
  <c r="D15098" i="2"/>
  <c r="D15099" i="2"/>
  <c r="D15100" i="2"/>
  <c r="D15101" i="2"/>
  <c r="D15102" i="2"/>
  <c r="D15103" i="2"/>
  <c r="D15104" i="2"/>
  <c r="D15105" i="2"/>
  <c r="D15106" i="2"/>
  <c r="D15107" i="2"/>
  <c r="D15108" i="2"/>
  <c r="D15109" i="2"/>
  <c r="D15110" i="2"/>
  <c r="D15111" i="2"/>
  <c r="D15112" i="2"/>
  <c r="D15113" i="2"/>
  <c r="D15114" i="2"/>
  <c r="D15115" i="2"/>
  <c r="D15116" i="2"/>
  <c r="D15117" i="2"/>
  <c r="D15118" i="2"/>
  <c r="D15119" i="2"/>
  <c r="D15120" i="2"/>
  <c r="D15121" i="2"/>
  <c r="D15122" i="2"/>
  <c r="D15123" i="2"/>
  <c r="D15124" i="2"/>
  <c r="D15125" i="2"/>
  <c r="D15126" i="2"/>
  <c r="D15127" i="2"/>
  <c r="D15128" i="2"/>
  <c r="D15129" i="2"/>
  <c r="D15130" i="2"/>
  <c r="D15131" i="2"/>
  <c r="D15132" i="2"/>
  <c r="D15133" i="2"/>
  <c r="D15134" i="2"/>
  <c r="D15135" i="2"/>
  <c r="D15136" i="2"/>
  <c r="D15137" i="2"/>
  <c r="D15138" i="2"/>
  <c r="D15139" i="2"/>
  <c r="D15140" i="2"/>
  <c r="D15141" i="2"/>
  <c r="D15142" i="2"/>
  <c r="D15143" i="2"/>
  <c r="D15144" i="2"/>
  <c r="D15145" i="2"/>
  <c r="D15146" i="2"/>
  <c r="D15147" i="2"/>
  <c r="D15148" i="2"/>
  <c r="D15149" i="2"/>
  <c r="D15150" i="2"/>
  <c r="D15151" i="2"/>
  <c r="D15152" i="2"/>
  <c r="D15153" i="2"/>
  <c r="D15154" i="2"/>
  <c r="D15155" i="2"/>
  <c r="D15156" i="2"/>
  <c r="D15157" i="2"/>
  <c r="D15158" i="2"/>
  <c r="D15159" i="2"/>
  <c r="D15160" i="2"/>
  <c r="D15161" i="2"/>
  <c r="D15162" i="2"/>
  <c r="D15163" i="2"/>
  <c r="D15164" i="2"/>
  <c r="D15165" i="2"/>
  <c r="D15166" i="2"/>
  <c r="D15167" i="2"/>
  <c r="D15168" i="2"/>
  <c r="D15169" i="2"/>
  <c r="D15170" i="2"/>
  <c r="D15171" i="2"/>
  <c r="D15172" i="2"/>
  <c r="D15173" i="2"/>
  <c r="D15174" i="2"/>
  <c r="D15175" i="2"/>
  <c r="D15176" i="2"/>
  <c r="D15177" i="2"/>
  <c r="D15178" i="2"/>
  <c r="D15179" i="2"/>
  <c r="D15180" i="2"/>
  <c r="D15181" i="2"/>
  <c r="D15182" i="2"/>
  <c r="D15183" i="2"/>
  <c r="D15184" i="2"/>
  <c r="D15185" i="2"/>
  <c r="D15186" i="2"/>
  <c r="D15187" i="2"/>
  <c r="D15188" i="2"/>
  <c r="D15189" i="2"/>
  <c r="D15190" i="2"/>
  <c r="D15191" i="2"/>
  <c r="D15192" i="2"/>
  <c r="D15193" i="2"/>
  <c r="D15194" i="2"/>
  <c r="D15195" i="2"/>
  <c r="D15196" i="2"/>
  <c r="D15197" i="2"/>
  <c r="D15198" i="2"/>
  <c r="D15199" i="2"/>
  <c r="D15200" i="2"/>
  <c r="D15201" i="2"/>
  <c r="D15202" i="2"/>
  <c r="D15203" i="2"/>
  <c r="D15204" i="2"/>
  <c r="D15205" i="2"/>
  <c r="D15206" i="2"/>
  <c r="D15207" i="2"/>
  <c r="D15208" i="2"/>
  <c r="D15209" i="2"/>
  <c r="D15210" i="2"/>
  <c r="D15211" i="2"/>
  <c r="D15212" i="2"/>
  <c r="D15213" i="2"/>
  <c r="D15214" i="2"/>
  <c r="D15215" i="2"/>
  <c r="D15216" i="2"/>
  <c r="D15217" i="2"/>
  <c r="D15218" i="2"/>
  <c r="D15219" i="2"/>
  <c r="D15220" i="2"/>
  <c r="D15221" i="2"/>
  <c r="D15222" i="2"/>
  <c r="D15223" i="2"/>
  <c r="D15224" i="2"/>
  <c r="D15225" i="2"/>
  <c r="D15226" i="2"/>
  <c r="D15227" i="2"/>
  <c r="D15228" i="2"/>
  <c r="D15229" i="2"/>
  <c r="D15230" i="2"/>
  <c r="D15231" i="2"/>
  <c r="D15232" i="2"/>
  <c r="D15233" i="2"/>
  <c r="D15234" i="2"/>
  <c r="D15235" i="2"/>
  <c r="D15236" i="2"/>
  <c r="D15237" i="2"/>
  <c r="D15238" i="2"/>
  <c r="D15239" i="2"/>
  <c r="D15240" i="2"/>
  <c r="D15241" i="2"/>
  <c r="D15242" i="2"/>
  <c r="D15243" i="2"/>
  <c r="D15244" i="2"/>
  <c r="D15245" i="2"/>
  <c r="D15246" i="2"/>
  <c r="D15247" i="2"/>
  <c r="D15248" i="2"/>
  <c r="D15249" i="2"/>
  <c r="D15250" i="2"/>
  <c r="D15251" i="2"/>
  <c r="D15252" i="2"/>
  <c r="D15253" i="2"/>
  <c r="D15254" i="2"/>
  <c r="D15255" i="2"/>
  <c r="D15256" i="2"/>
  <c r="D15257" i="2"/>
  <c r="D15258" i="2"/>
  <c r="D15259" i="2"/>
  <c r="D15260" i="2"/>
  <c r="D15261" i="2"/>
  <c r="D15262" i="2"/>
  <c r="D15263" i="2"/>
  <c r="D15264" i="2"/>
  <c r="D15265" i="2"/>
  <c r="D15266" i="2"/>
  <c r="D15267" i="2"/>
  <c r="D15268" i="2"/>
  <c r="D15269" i="2"/>
  <c r="D15270" i="2"/>
  <c r="D15271" i="2"/>
  <c r="D15272" i="2"/>
  <c r="D15273" i="2"/>
  <c r="D15274" i="2"/>
  <c r="D15275" i="2"/>
  <c r="D15276" i="2"/>
  <c r="D15277" i="2"/>
  <c r="D15278" i="2"/>
  <c r="D15279" i="2"/>
  <c r="D15280" i="2"/>
  <c r="D15281" i="2"/>
  <c r="D15282" i="2"/>
  <c r="D15283" i="2"/>
  <c r="D15284" i="2"/>
  <c r="D15285" i="2"/>
  <c r="D15286" i="2"/>
  <c r="D15287" i="2"/>
  <c r="D15288" i="2"/>
  <c r="D15289" i="2"/>
  <c r="D15290" i="2"/>
  <c r="D15291" i="2"/>
  <c r="D15292" i="2"/>
  <c r="D15293" i="2"/>
  <c r="D15294" i="2"/>
  <c r="D15295" i="2"/>
  <c r="D15296" i="2"/>
  <c r="D15297" i="2"/>
  <c r="D15298" i="2"/>
  <c r="D15299" i="2"/>
  <c r="D15300" i="2"/>
  <c r="D15301" i="2"/>
  <c r="D15302" i="2"/>
  <c r="D15303" i="2"/>
  <c r="D15304" i="2"/>
  <c r="D15305" i="2"/>
  <c r="D15306" i="2"/>
  <c r="D15307" i="2"/>
  <c r="D15308" i="2"/>
  <c r="D15309" i="2"/>
  <c r="D15310" i="2"/>
  <c r="D15311" i="2"/>
  <c r="D15312" i="2"/>
  <c r="D15313" i="2"/>
  <c r="D15314" i="2"/>
  <c r="D15315" i="2"/>
  <c r="D15316" i="2"/>
  <c r="D15317" i="2"/>
  <c r="D15318" i="2"/>
  <c r="D15319" i="2"/>
  <c r="D15320" i="2"/>
  <c r="D15321" i="2"/>
  <c r="D15322" i="2"/>
  <c r="D15323" i="2"/>
  <c r="D15324" i="2"/>
  <c r="D15325" i="2"/>
  <c r="D15326" i="2"/>
  <c r="D15327" i="2"/>
  <c r="D15328" i="2"/>
  <c r="D15329" i="2"/>
  <c r="D15330" i="2"/>
  <c r="D15331" i="2"/>
  <c r="D15332" i="2"/>
  <c r="D15333" i="2"/>
  <c r="D15334" i="2"/>
  <c r="D15335" i="2"/>
  <c r="D15336" i="2"/>
  <c r="D15337" i="2"/>
  <c r="D15338" i="2"/>
  <c r="D15339" i="2"/>
  <c r="D15340" i="2"/>
  <c r="D15341" i="2"/>
  <c r="D15342" i="2"/>
  <c r="D15343" i="2"/>
  <c r="D15344" i="2"/>
  <c r="D15345" i="2"/>
  <c r="D15346" i="2"/>
  <c r="D15347" i="2"/>
  <c r="D15348" i="2"/>
  <c r="D15349" i="2"/>
  <c r="D15350" i="2"/>
  <c r="D15351" i="2"/>
  <c r="D15352" i="2"/>
  <c r="D15353" i="2"/>
  <c r="D15354" i="2"/>
  <c r="D15355" i="2"/>
  <c r="D15356" i="2"/>
  <c r="D15357" i="2"/>
  <c r="D15358" i="2"/>
  <c r="D15359" i="2"/>
  <c r="D15360" i="2"/>
  <c r="D15361" i="2"/>
  <c r="D15362" i="2"/>
  <c r="D15363" i="2"/>
  <c r="D15364" i="2"/>
  <c r="D15365" i="2"/>
  <c r="D15366" i="2"/>
  <c r="D15367" i="2"/>
  <c r="D15368" i="2"/>
  <c r="D15369" i="2"/>
  <c r="D15370" i="2"/>
  <c r="D15371" i="2"/>
  <c r="D15372" i="2"/>
  <c r="D15373" i="2"/>
  <c r="D15374" i="2"/>
  <c r="D15375" i="2"/>
  <c r="D15376" i="2"/>
  <c r="D15377" i="2"/>
  <c r="D15378" i="2"/>
  <c r="D15379" i="2"/>
  <c r="D15380" i="2"/>
  <c r="D15381" i="2"/>
  <c r="D15382" i="2"/>
  <c r="D15383" i="2"/>
  <c r="D15384" i="2"/>
  <c r="D15385" i="2"/>
  <c r="D15386" i="2"/>
  <c r="D15387" i="2"/>
  <c r="D15388" i="2"/>
  <c r="D15389" i="2"/>
  <c r="D15390" i="2"/>
  <c r="D15391" i="2"/>
  <c r="D15392" i="2"/>
  <c r="D15393" i="2"/>
  <c r="D15394" i="2"/>
  <c r="D15395" i="2"/>
  <c r="D15396" i="2"/>
  <c r="D15397" i="2"/>
  <c r="D15398" i="2"/>
  <c r="D15399" i="2"/>
  <c r="D15400" i="2"/>
  <c r="D15401" i="2"/>
  <c r="D15402" i="2"/>
  <c r="D15403" i="2"/>
  <c r="D15404" i="2"/>
  <c r="D15405" i="2"/>
  <c r="D15406" i="2"/>
  <c r="D15407" i="2"/>
  <c r="D15408" i="2"/>
  <c r="D15409" i="2"/>
  <c r="D15410" i="2"/>
  <c r="D15411" i="2"/>
  <c r="D15412" i="2"/>
  <c r="D15413" i="2"/>
  <c r="D15414" i="2"/>
  <c r="D15415" i="2"/>
  <c r="D15416" i="2"/>
  <c r="D15417" i="2"/>
  <c r="D15418" i="2"/>
  <c r="D15419" i="2"/>
  <c r="D15420" i="2"/>
  <c r="D15421" i="2"/>
  <c r="D15422" i="2"/>
  <c r="D15423" i="2"/>
  <c r="D15424" i="2"/>
  <c r="D15425" i="2"/>
  <c r="D15426" i="2"/>
  <c r="D15427" i="2"/>
  <c r="D15428" i="2"/>
  <c r="D15429" i="2"/>
  <c r="D15430" i="2"/>
  <c r="D15431" i="2"/>
  <c r="D15432" i="2"/>
  <c r="D15433" i="2"/>
  <c r="D15434" i="2"/>
  <c r="D15435" i="2"/>
  <c r="D15436" i="2"/>
  <c r="D15437" i="2"/>
  <c r="D15438" i="2"/>
  <c r="D15439" i="2"/>
  <c r="D15440" i="2"/>
  <c r="D15441" i="2"/>
  <c r="D15442" i="2"/>
  <c r="D15443" i="2"/>
  <c r="D15444" i="2"/>
  <c r="D15445" i="2"/>
  <c r="D15446" i="2"/>
  <c r="D15447" i="2"/>
  <c r="D15448" i="2"/>
  <c r="D15449" i="2"/>
  <c r="D15450" i="2"/>
  <c r="D15451" i="2"/>
  <c r="D15452" i="2"/>
  <c r="D15453" i="2"/>
  <c r="D15454" i="2"/>
  <c r="D15455" i="2"/>
  <c r="D15456" i="2"/>
  <c r="D15457" i="2"/>
  <c r="D15458" i="2"/>
  <c r="D15459" i="2"/>
  <c r="D15460" i="2"/>
  <c r="D15461" i="2"/>
  <c r="D15462" i="2"/>
  <c r="D15463" i="2"/>
  <c r="D15464" i="2"/>
  <c r="D15465" i="2"/>
  <c r="D15466" i="2"/>
  <c r="D15467" i="2"/>
  <c r="D15468" i="2"/>
  <c r="D15469" i="2"/>
  <c r="D15470" i="2"/>
  <c r="D15471" i="2"/>
  <c r="D15472" i="2"/>
  <c r="D15473" i="2"/>
  <c r="D15474" i="2"/>
  <c r="D15475" i="2"/>
  <c r="D15476" i="2"/>
  <c r="D15477" i="2"/>
  <c r="D15478" i="2"/>
  <c r="D15479" i="2"/>
  <c r="D15480" i="2"/>
  <c r="D15481" i="2"/>
  <c r="D15482" i="2"/>
  <c r="D15483" i="2"/>
  <c r="D15484" i="2"/>
  <c r="D15485" i="2"/>
  <c r="D15486" i="2"/>
  <c r="D15487" i="2"/>
  <c r="D15488" i="2"/>
  <c r="D15489" i="2"/>
  <c r="D15490" i="2"/>
  <c r="D15491" i="2"/>
  <c r="D15492" i="2"/>
  <c r="D15493" i="2"/>
  <c r="D15494" i="2"/>
  <c r="D15495" i="2"/>
  <c r="D15496" i="2"/>
  <c r="D15497" i="2"/>
  <c r="D15498" i="2"/>
  <c r="D15499" i="2"/>
  <c r="D15500" i="2"/>
  <c r="D15501" i="2"/>
  <c r="D15502" i="2"/>
  <c r="D15503" i="2"/>
  <c r="D15504" i="2"/>
  <c r="D15505" i="2"/>
  <c r="D15506" i="2"/>
  <c r="D15507" i="2"/>
  <c r="D15508" i="2"/>
  <c r="D15509" i="2"/>
  <c r="D15510" i="2"/>
  <c r="D15511" i="2"/>
  <c r="D15512" i="2"/>
  <c r="D15513" i="2"/>
  <c r="D15514" i="2"/>
  <c r="D15515" i="2"/>
  <c r="D15516" i="2"/>
  <c r="D15517" i="2"/>
  <c r="D15518" i="2"/>
  <c r="D15519" i="2"/>
  <c r="D15520" i="2"/>
  <c r="D15521" i="2"/>
  <c r="D15522" i="2"/>
  <c r="D15523" i="2"/>
  <c r="D15524" i="2"/>
  <c r="D15525" i="2"/>
  <c r="D15526" i="2"/>
  <c r="D15527" i="2"/>
  <c r="D15528" i="2"/>
  <c r="D15529" i="2"/>
  <c r="D15530" i="2"/>
  <c r="D15531" i="2"/>
  <c r="D15532" i="2"/>
  <c r="D15533" i="2"/>
  <c r="D15534" i="2"/>
  <c r="D15535" i="2"/>
  <c r="D15536" i="2"/>
  <c r="D15537" i="2"/>
  <c r="D15538" i="2"/>
  <c r="D15539" i="2"/>
  <c r="D15540" i="2"/>
  <c r="D15541" i="2"/>
  <c r="D15542" i="2"/>
  <c r="D15543" i="2"/>
  <c r="D15544" i="2"/>
  <c r="D15545" i="2"/>
  <c r="D15546" i="2"/>
  <c r="D15547" i="2"/>
  <c r="D15548" i="2"/>
  <c r="D15549" i="2"/>
  <c r="D15550" i="2"/>
  <c r="D15551" i="2"/>
  <c r="D15552" i="2"/>
  <c r="D15553" i="2"/>
  <c r="D15554" i="2"/>
  <c r="D15555" i="2"/>
  <c r="D15556" i="2"/>
  <c r="D15557" i="2"/>
  <c r="D15558" i="2"/>
  <c r="D15559" i="2"/>
  <c r="D15560" i="2"/>
  <c r="D15561" i="2"/>
  <c r="D15562" i="2"/>
  <c r="D15563" i="2"/>
  <c r="D15564" i="2"/>
  <c r="D15565" i="2"/>
  <c r="D15566" i="2"/>
  <c r="D15567" i="2"/>
  <c r="D15568" i="2"/>
  <c r="D15569" i="2"/>
  <c r="D15570" i="2"/>
  <c r="D15571" i="2"/>
  <c r="D15572" i="2"/>
  <c r="D15573" i="2"/>
  <c r="D15574" i="2"/>
  <c r="D15575" i="2"/>
  <c r="D15576" i="2"/>
  <c r="D15577" i="2"/>
  <c r="D15578" i="2"/>
  <c r="D15579" i="2"/>
  <c r="D15580" i="2"/>
  <c r="D15581" i="2"/>
  <c r="D15582" i="2"/>
  <c r="D15583" i="2"/>
  <c r="D15584" i="2"/>
  <c r="D15585" i="2"/>
  <c r="D15586" i="2"/>
  <c r="D15587" i="2"/>
  <c r="D15588" i="2"/>
  <c r="D15589" i="2"/>
  <c r="D15590" i="2"/>
  <c r="D15591" i="2"/>
  <c r="D15592" i="2"/>
  <c r="D15593" i="2"/>
  <c r="D15594" i="2"/>
  <c r="D15595" i="2"/>
  <c r="D15596" i="2"/>
  <c r="D15597" i="2"/>
  <c r="D15598" i="2"/>
  <c r="D15599" i="2"/>
  <c r="D15600" i="2"/>
  <c r="D15601" i="2"/>
  <c r="D15602" i="2"/>
  <c r="D15603" i="2"/>
  <c r="D15604" i="2"/>
  <c r="D15605" i="2"/>
  <c r="D15606" i="2"/>
  <c r="D15607" i="2"/>
  <c r="D15608" i="2"/>
  <c r="D15609" i="2"/>
  <c r="D15610" i="2"/>
  <c r="D15611" i="2"/>
  <c r="D15612" i="2"/>
  <c r="D15613" i="2"/>
  <c r="D15614" i="2"/>
  <c r="D15615" i="2"/>
  <c r="D15616" i="2"/>
  <c r="D15617" i="2"/>
  <c r="D15618" i="2"/>
  <c r="D15619" i="2"/>
  <c r="D15620" i="2"/>
  <c r="D15621" i="2"/>
  <c r="D15622" i="2"/>
  <c r="D15623" i="2"/>
  <c r="D15624" i="2"/>
  <c r="D15625" i="2"/>
  <c r="D15626" i="2"/>
  <c r="D15627" i="2"/>
  <c r="D15628" i="2"/>
  <c r="D15629" i="2"/>
  <c r="D15630" i="2"/>
  <c r="D15631" i="2"/>
  <c r="D15632" i="2"/>
  <c r="D15633" i="2"/>
  <c r="D15634" i="2"/>
  <c r="D15635" i="2"/>
  <c r="D15636" i="2"/>
  <c r="D15637" i="2"/>
  <c r="D15638" i="2"/>
  <c r="D15639" i="2"/>
  <c r="D15640" i="2"/>
  <c r="D15641" i="2"/>
  <c r="D15642" i="2"/>
  <c r="D15643" i="2"/>
  <c r="D15644" i="2"/>
  <c r="D15645" i="2"/>
  <c r="D15646" i="2"/>
  <c r="D15647" i="2"/>
  <c r="D15648" i="2"/>
  <c r="D15649" i="2"/>
  <c r="D15650" i="2"/>
  <c r="D15651" i="2"/>
  <c r="D15652" i="2"/>
  <c r="D15653" i="2"/>
  <c r="D15654" i="2"/>
  <c r="D15655" i="2"/>
  <c r="D15656" i="2"/>
  <c r="D15657" i="2"/>
  <c r="D15658" i="2"/>
  <c r="D15659" i="2"/>
  <c r="D15660" i="2"/>
  <c r="D15661" i="2"/>
  <c r="D15662" i="2"/>
  <c r="D15663" i="2"/>
  <c r="D15664" i="2"/>
  <c r="D15665" i="2"/>
  <c r="D15666" i="2"/>
  <c r="D15667" i="2"/>
  <c r="D15668" i="2"/>
  <c r="D15669" i="2"/>
  <c r="D15670" i="2"/>
  <c r="D15671" i="2"/>
  <c r="D15672" i="2"/>
  <c r="D15673" i="2"/>
  <c r="D15674" i="2"/>
  <c r="D15675" i="2"/>
  <c r="D15676" i="2"/>
  <c r="D15677" i="2"/>
  <c r="D15678" i="2"/>
  <c r="D15679" i="2"/>
  <c r="D15680" i="2"/>
  <c r="D15681" i="2"/>
  <c r="D15682" i="2"/>
  <c r="D15683" i="2"/>
  <c r="D15684" i="2"/>
  <c r="D15685" i="2"/>
  <c r="D15686" i="2"/>
  <c r="D15687" i="2"/>
  <c r="D15688" i="2"/>
  <c r="D15689" i="2"/>
  <c r="D15690" i="2"/>
  <c r="D15691" i="2"/>
  <c r="D15692" i="2"/>
  <c r="D15693" i="2"/>
  <c r="D15694" i="2"/>
  <c r="D15695" i="2"/>
  <c r="D15696" i="2"/>
  <c r="D15697" i="2"/>
  <c r="D15698" i="2"/>
  <c r="D15699" i="2"/>
  <c r="D15700" i="2"/>
  <c r="D15701" i="2"/>
  <c r="D15702" i="2"/>
  <c r="D15703" i="2"/>
  <c r="D15704" i="2"/>
  <c r="D15705" i="2"/>
  <c r="D15706" i="2"/>
  <c r="D15707" i="2"/>
  <c r="D15708" i="2"/>
  <c r="D15709" i="2"/>
  <c r="D15710" i="2"/>
  <c r="D15711" i="2"/>
  <c r="D15712" i="2"/>
  <c r="D15713" i="2"/>
  <c r="D15714" i="2"/>
  <c r="D15715" i="2"/>
  <c r="D15716" i="2"/>
  <c r="D15717" i="2"/>
  <c r="D15718" i="2"/>
  <c r="D15719" i="2"/>
  <c r="D15720" i="2"/>
  <c r="D15721" i="2"/>
  <c r="D15722" i="2"/>
  <c r="D15723" i="2"/>
  <c r="D15724" i="2"/>
  <c r="D15725" i="2"/>
  <c r="D15726" i="2"/>
  <c r="D15727" i="2"/>
  <c r="D15728" i="2"/>
  <c r="D15729" i="2"/>
  <c r="D15730" i="2"/>
  <c r="D15731" i="2"/>
  <c r="D15732" i="2"/>
  <c r="D15733" i="2"/>
  <c r="D15734" i="2"/>
  <c r="D15735" i="2"/>
  <c r="D15736" i="2"/>
  <c r="D15737" i="2"/>
  <c r="D15738" i="2"/>
  <c r="D15739" i="2"/>
  <c r="D15740" i="2"/>
  <c r="D15741" i="2"/>
  <c r="D15742" i="2"/>
  <c r="D15743" i="2"/>
  <c r="D15744" i="2"/>
  <c r="D15745" i="2"/>
  <c r="D15746" i="2"/>
  <c r="D15747" i="2"/>
  <c r="D15748" i="2"/>
  <c r="D15749" i="2"/>
  <c r="D15750" i="2"/>
  <c r="D15751" i="2"/>
  <c r="D15752" i="2"/>
  <c r="D15753" i="2"/>
  <c r="D15754" i="2"/>
  <c r="D15755" i="2"/>
  <c r="D15756" i="2"/>
  <c r="D15757" i="2"/>
  <c r="D15758" i="2"/>
  <c r="D15759" i="2"/>
  <c r="D15760" i="2"/>
  <c r="D15761" i="2"/>
  <c r="D15762" i="2"/>
  <c r="D15763" i="2"/>
  <c r="D15764" i="2"/>
  <c r="D15765" i="2"/>
  <c r="D15766" i="2"/>
  <c r="D15767" i="2"/>
  <c r="D15768" i="2"/>
  <c r="D15769" i="2"/>
  <c r="D15770" i="2"/>
  <c r="D15771" i="2"/>
  <c r="D15772" i="2"/>
  <c r="D15773" i="2"/>
  <c r="D15774" i="2"/>
  <c r="D15775" i="2"/>
  <c r="D15776" i="2"/>
  <c r="D15777" i="2"/>
  <c r="D15778" i="2"/>
  <c r="D15779" i="2"/>
  <c r="D15780" i="2"/>
  <c r="D15781" i="2"/>
  <c r="D15782" i="2"/>
  <c r="D15783" i="2"/>
  <c r="D15784" i="2"/>
  <c r="D15785" i="2"/>
  <c r="D15786" i="2"/>
  <c r="D15787" i="2"/>
  <c r="D15788" i="2"/>
  <c r="D15789" i="2"/>
  <c r="D15790" i="2"/>
  <c r="D15791" i="2"/>
  <c r="D15792" i="2"/>
  <c r="D15793" i="2"/>
  <c r="D15794" i="2"/>
  <c r="D15795" i="2"/>
  <c r="D15796" i="2"/>
  <c r="D15797" i="2"/>
  <c r="D15798" i="2"/>
  <c r="D15799" i="2"/>
  <c r="D15800" i="2"/>
  <c r="D15801" i="2"/>
  <c r="D15802" i="2"/>
  <c r="D15803" i="2"/>
  <c r="D15804" i="2"/>
  <c r="D15805" i="2"/>
  <c r="D15806" i="2"/>
  <c r="D15807" i="2"/>
  <c r="D15808" i="2"/>
  <c r="D15809" i="2"/>
  <c r="D15810" i="2"/>
  <c r="D15811" i="2"/>
  <c r="D15812" i="2"/>
  <c r="D15813" i="2"/>
  <c r="D15814" i="2"/>
  <c r="D15815" i="2"/>
  <c r="D15816" i="2"/>
  <c r="D15817" i="2"/>
  <c r="D15818" i="2"/>
  <c r="D15819" i="2"/>
  <c r="D15820" i="2"/>
  <c r="D15821" i="2"/>
  <c r="D15822" i="2"/>
  <c r="D15823" i="2"/>
  <c r="D15824" i="2"/>
  <c r="D15825" i="2"/>
  <c r="D15826" i="2"/>
  <c r="D15827" i="2"/>
  <c r="D15828" i="2"/>
  <c r="D15829" i="2"/>
  <c r="D15830" i="2"/>
  <c r="D15831" i="2"/>
  <c r="D15832" i="2"/>
  <c r="D15833" i="2"/>
  <c r="D15834" i="2"/>
  <c r="D15835" i="2"/>
  <c r="D15836" i="2"/>
  <c r="D15837" i="2"/>
  <c r="D15838" i="2"/>
  <c r="D15839" i="2"/>
  <c r="D15840" i="2"/>
  <c r="D15841" i="2"/>
  <c r="D15842" i="2"/>
  <c r="D15843" i="2"/>
  <c r="D15844" i="2"/>
  <c r="D15845" i="2"/>
  <c r="D15846" i="2"/>
  <c r="D15847" i="2"/>
  <c r="D15848" i="2"/>
  <c r="D15849" i="2"/>
  <c r="D15850" i="2"/>
  <c r="D15851" i="2"/>
  <c r="D15852" i="2"/>
  <c r="D15853" i="2"/>
  <c r="D15854" i="2"/>
  <c r="D15855" i="2"/>
  <c r="D15856" i="2"/>
  <c r="D15857" i="2"/>
  <c r="D15858" i="2"/>
  <c r="D15859" i="2"/>
  <c r="D15860" i="2"/>
  <c r="D15861" i="2"/>
  <c r="D15862" i="2"/>
  <c r="D15863" i="2"/>
  <c r="D15864" i="2"/>
  <c r="D15865" i="2"/>
  <c r="D15866" i="2"/>
  <c r="D15867" i="2"/>
  <c r="D15868" i="2"/>
  <c r="D15869" i="2"/>
  <c r="D15870" i="2"/>
  <c r="D15871" i="2"/>
  <c r="D15872" i="2"/>
  <c r="D15873" i="2"/>
  <c r="D15874" i="2"/>
  <c r="D15875" i="2"/>
  <c r="D15876" i="2"/>
  <c r="D15877" i="2"/>
  <c r="D15878" i="2"/>
  <c r="D15879" i="2"/>
  <c r="D15880" i="2"/>
  <c r="D15881" i="2"/>
  <c r="D15882" i="2"/>
  <c r="D15883" i="2"/>
  <c r="D15884" i="2"/>
  <c r="D15885" i="2"/>
  <c r="D15886" i="2"/>
  <c r="D15887" i="2"/>
  <c r="D15888" i="2"/>
  <c r="D15889" i="2"/>
  <c r="D15890" i="2"/>
  <c r="D15891" i="2"/>
  <c r="D15892" i="2"/>
  <c r="D15893" i="2"/>
  <c r="D15894" i="2"/>
  <c r="D15895" i="2"/>
  <c r="D15896" i="2"/>
  <c r="D15897" i="2"/>
  <c r="D15898" i="2"/>
  <c r="D15899" i="2"/>
  <c r="D15900" i="2"/>
  <c r="D15901" i="2"/>
  <c r="D15902" i="2"/>
  <c r="D15903" i="2"/>
  <c r="D15904" i="2"/>
  <c r="D15905" i="2"/>
  <c r="D15906" i="2"/>
  <c r="D15907" i="2"/>
  <c r="D15908" i="2"/>
  <c r="D15909" i="2"/>
  <c r="D15910" i="2"/>
  <c r="D15911" i="2"/>
  <c r="D15912" i="2"/>
  <c r="D15913" i="2"/>
  <c r="D15914" i="2"/>
  <c r="D15915" i="2"/>
  <c r="D15916" i="2"/>
  <c r="D15917" i="2"/>
  <c r="D15918" i="2"/>
  <c r="D15919" i="2"/>
  <c r="D15920" i="2"/>
  <c r="D15921" i="2"/>
  <c r="D15922" i="2"/>
  <c r="D15923" i="2"/>
  <c r="D15924" i="2"/>
  <c r="D15925" i="2"/>
  <c r="D15926" i="2"/>
  <c r="D15927" i="2"/>
  <c r="D15928" i="2"/>
  <c r="D15929" i="2"/>
  <c r="D15930" i="2"/>
  <c r="D15931" i="2"/>
  <c r="D15932" i="2"/>
  <c r="D15933" i="2"/>
  <c r="D15934" i="2"/>
  <c r="D15935" i="2"/>
  <c r="D15936" i="2"/>
  <c r="D15937" i="2"/>
  <c r="D15938" i="2"/>
  <c r="D15939" i="2"/>
  <c r="D15940" i="2"/>
  <c r="D15941" i="2"/>
  <c r="D15942" i="2"/>
  <c r="D15943" i="2"/>
  <c r="D15944" i="2"/>
  <c r="D15945" i="2"/>
  <c r="D15946" i="2"/>
  <c r="D15947" i="2"/>
  <c r="D15948" i="2"/>
  <c r="D15949" i="2"/>
  <c r="D15950" i="2"/>
  <c r="D15951" i="2"/>
  <c r="D15952" i="2"/>
  <c r="D15953" i="2"/>
  <c r="D15954" i="2"/>
  <c r="D15955" i="2"/>
  <c r="D15956" i="2"/>
  <c r="D15957" i="2"/>
  <c r="D15958" i="2"/>
  <c r="D15959" i="2"/>
  <c r="D15960" i="2"/>
  <c r="D15961" i="2"/>
  <c r="D15962" i="2"/>
  <c r="D15963" i="2"/>
  <c r="D15964" i="2"/>
  <c r="D15965" i="2"/>
  <c r="D15966" i="2"/>
  <c r="D15967" i="2"/>
  <c r="D15968" i="2"/>
  <c r="D15969" i="2"/>
  <c r="D15970" i="2"/>
  <c r="D15971" i="2"/>
  <c r="D15972" i="2"/>
  <c r="D15973" i="2"/>
  <c r="D15974" i="2"/>
  <c r="D15975" i="2"/>
  <c r="D15976" i="2"/>
  <c r="D15977" i="2"/>
  <c r="D15978" i="2"/>
  <c r="D15979" i="2"/>
  <c r="D15980" i="2"/>
  <c r="D15981" i="2"/>
  <c r="D15982" i="2"/>
  <c r="D15983" i="2"/>
  <c r="D15984" i="2"/>
  <c r="D15985" i="2"/>
  <c r="D15986" i="2"/>
  <c r="D15987" i="2"/>
  <c r="D15988" i="2"/>
  <c r="D15989" i="2"/>
  <c r="D15990" i="2"/>
  <c r="D15991" i="2"/>
  <c r="D15992" i="2"/>
  <c r="D15993" i="2"/>
  <c r="D15994" i="2"/>
  <c r="D15995" i="2"/>
  <c r="D15996" i="2"/>
  <c r="D15997" i="2"/>
  <c r="D15998" i="2"/>
  <c r="D15999" i="2"/>
  <c r="D16000" i="2"/>
  <c r="D16001" i="2"/>
  <c r="D16002" i="2"/>
  <c r="D16003" i="2"/>
  <c r="D16004" i="2"/>
  <c r="D16005" i="2"/>
  <c r="D16006" i="2"/>
  <c r="D16007" i="2"/>
  <c r="D16008" i="2"/>
  <c r="D16009" i="2"/>
  <c r="D16010" i="2"/>
  <c r="D16011" i="2"/>
  <c r="D16012" i="2"/>
  <c r="D16013" i="2"/>
  <c r="D16014" i="2"/>
  <c r="D16015" i="2"/>
  <c r="D16016" i="2"/>
  <c r="D16017" i="2"/>
  <c r="D16018" i="2"/>
  <c r="D16019" i="2"/>
  <c r="D16020" i="2"/>
  <c r="D16021" i="2"/>
  <c r="D16022" i="2"/>
  <c r="D16023" i="2"/>
  <c r="D16024" i="2"/>
  <c r="D16025" i="2"/>
  <c r="D16026" i="2"/>
  <c r="D16027" i="2"/>
  <c r="D16028" i="2"/>
  <c r="D16029" i="2"/>
  <c r="D16030" i="2"/>
  <c r="D16031" i="2"/>
  <c r="D16032" i="2"/>
  <c r="D16033" i="2"/>
  <c r="D16034" i="2"/>
  <c r="D16035" i="2"/>
  <c r="D16036" i="2"/>
  <c r="D16037" i="2"/>
  <c r="D16038" i="2"/>
  <c r="D16039" i="2"/>
  <c r="D16040" i="2"/>
  <c r="D16041" i="2"/>
  <c r="D16042" i="2"/>
  <c r="D16043" i="2"/>
  <c r="D16044" i="2"/>
  <c r="D16045" i="2"/>
  <c r="D16046" i="2"/>
  <c r="D16047" i="2"/>
  <c r="D16048" i="2"/>
  <c r="D16049" i="2"/>
  <c r="D16050" i="2"/>
  <c r="D16051" i="2"/>
  <c r="D16052" i="2"/>
  <c r="D16053" i="2"/>
  <c r="D16054" i="2"/>
  <c r="D16055" i="2"/>
  <c r="D16056" i="2"/>
  <c r="D16057" i="2"/>
  <c r="D16058" i="2"/>
  <c r="D16059" i="2"/>
  <c r="D16060" i="2"/>
  <c r="D16061" i="2"/>
  <c r="D16062" i="2"/>
  <c r="D16063" i="2"/>
  <c r="D16064" i="2"/>
  <c r="D16065" i="2"/>
  <c r="D16066" i="2"/>
  <c r="D16067" i="2"/>
  <c r="D16068" i="2"/>
  <c r="D16069" i="2"/>
  <c r="D16070" i="2"/>
  <c r="D16071" i="2"/>
  <c r="D16072" i="2"/>
  <c r="D16073" i="2"/>
  <c r="D16074" i="2"/>
  <c r="D16075" i="2"/>
  <c r="D16076" i="2"/>
  <c r="D16077" i="2"/>
  <c r="D16078" i="2"/>
  <c r="D16079" i="2"/>
  <c r="D16080" i="2"/>
  <c r="D16081" i="2"/>
  <c r="D16082" i="2"/>
  <c r="D16083" i="2"/>
  <c r="D16084" i="2"/>
  <c r="D16085" i="2"/>
  <c r="D16086" i="2"/>
  <c r="D16087" i="2"/>
  <c r="D16088" i="2"/>
  <c r="D16089" i="2"/>
  <c r="D16090" i="2"/>
  <c r="D16091" i="2"/>
  <c r="D16092" i="2"/>
  <c r="D16093" i="2"/>
  <c r="D16094" i="2"/>
  <c r="D16095" i="2"/>
  <c r="D16096" i="2"/>
  <c r="D16097" i="2"/>
  <c r="D16098" i="2"/>
  <c r="D16099" i="2"/>
  <c r="D16100" i="2"/>
  <c r="D16101" i="2"/>
  <c r="D16102" i="2"/>
  <c r="D16103" i="2"/>
  <c r="D16104" i="2"/>
  <c r="D16105" i="2"/>
  <c r="D16106" i="2"/>
  <c r="D16107" i="2"/>
  <c r="D16108" i="2"/>
  <c r="D16109" i="2"/>
  <c r="D16110" i="2"/>
  <c r="D16111" i="2"/>
  <c r="D16112" i="2"/>
  <c r="D16113" i="2"/>
  <c r="D16114" i="2"/>
  <c r="D16115" i="2"/>
  <c r="D16116" i="2"/>
  <c r="D16117" i="2"/>
  <c r="D16118" i="2"/>
  <c r="D16119" i="2"/>
  <c r="D16120" i="2"/>
  <c r="D16121" i="2"/>
  <c r="D16122" i="2"/>
  <c r="D16123" i="2"/>
  <c r="D16124" i="2"/>
  <c r="D16125" i="2"/>
  <c r="D16126" i="2"/>
  <c r="D16127" i="2"/>
  <c r="D16128" i="2"/>
  <c r="D16129" i="2"/>
  <c r="D16130" i="2"/>
  <c r="D16131" i="2"/>
  <c r="D16132" i="2"/>
  <c r="D16133" i="2"/>
  <c r="D16134" i="2"/>
  <c r="D16135" i="2"/>
  <c r="D16136" i="2"/>
  <c r="D16137" i="2"/>
  <c r="D16138" i="2"/>
  <c r="D16139" i="2"/>
  <c r="D16140" i="2"/>
  <c r="D16141" i="2"/>
  <c r="D16142" i="2"/>
  <c r="D16143" i="2"/>
  <c r="D16144" i="2"/>
  <c r="D16145" i="2"/>
  <c r="D16146" i="2"/>
  <c r="D16147" i="2"/>
  <c r="D16148" i="2"/>
  <c r="D16149" i="2"/>
  <c r="D16150" i="2"/>
  <c r="D16151" i="2"/>
  <c r="D16152" i="2"/>
  <c r="D16153" i="2"/>
  <c r="D16154" i="2"/>
  <c r="D16155" i="2"/>
  <c r="D16156" i="2"/>
  <c r="D16157" i="2"/>
  <c r="D16158" i="2"/>
  <c r="D16159" i="2"/>
  <c r="D16160" i="2"/>
  <c r="D16161" i="2"/>
  <c r="D16162" i="2"/>
  <c r="D16163" i="2"/>
  <c r="D16164" i="2"/>
  <c r="D16165" i="2"/>
  <c r="D16166" i="2"/>
  <c r="D16167" i="2"/>
  <c r="D16168" i="2"/>
  <c r="D16169" i="2"/>
  <c r="D16170" i="2"/>
  <c r="D16171" i="2"/>
  <c r="D16172" i="2"/>
  <c r="D16173" i="2"/>
  <c r="D16174" i="2"/>
  <c r="D16175" i="2"/>
  <c r="D16176" i="2"/>
  <c r="D16177" i="2"/>
  <c r="D16178" i="2"/>
  <c r="D16179" i="2"/>
  <c r="D16180" i="2"/>
  <c r="D16181" i="2"/>
  <c r="D16182" i="2"/>
  <c r="D16183" i="2"/>
  <c r="D16184" i="2"/>
  <c r="D16185" i="2"/>
  <c r="D16186" i="2"/>
  <c r="D16187" i="2"/>
  <c r="D16188" i="2"/>
  <c r="D16189" i="2"/>
  <c r="D16190" i="2"/>
  <c r="D16191" i="2"/>
  <c r="D16192" i="2"/>
  <c r="D16193" i="2"/>
  <c r="D16194" i="2"/>
  <c r="D16195" i="2"/>
  <c r="D16196" i="2"/>
  <c r="D16197" i="2"/>
  <c r="D16198" i="2"/>
  <c r="D16199" i="2"/>
  <c r="D16200" i="2"/>
  <c r="D16201" i="2"/>
  <c r="D16202" i="2"/>
  <c r="D16203" i="2"/>
  <c r="D16204" i="2"/>
  <c r="D16205" i="2"/>
  <c r="D16206" i="2"/>
  <c r="D16207" i="2"/>
  <c r="D16208" i="2"/>
  <c r="D16209" i="2"/>
  <c r="D16210" i="2"/>
  <c r="D16211" i="2"/>
  <c r="D16212" i="2"/>
  <c r="D16213" i="2"/>
  <c r="D16214" i="2"/>
  <c r="D16215" i="2"/>
  <c r="D16216" i="2"/>
  <c r="D16217" i="2"/>
  <c r="D16218" i="2"/>
  <c r="D16219" i="2"/>
  <c r="D16220" i="2"/>
  <c r="D16221" i="2"/>
  <c r="D16222" i="2"/>
  <c r="D16223" i="2"/>
  <c r="D16224" i="2"/>
  <c r="D16225" i="2"/>
  <c r="D16226" i="2"/>
  <c r="D16227" i="2"/>
  <c r="D16228" i="2"/>
  <c r="D16229" i="2"/>
  <c r="D16230" i="2"/>
  <c r="D16231" i="2"/>
  <c r="D16232" i="2"/>
  <c r="D16233" i="2"/>
  <c r="D16234" i="2"/>
  <c r="D16235" i="2"/>
  <c r="D16236" i="2"/>
  <c r="D16237" i="2"/>
  <c r="D16238" i="2"/>
  <c r="D16239" i="2"/>
  <c r="D16240" i="2"/>
  <c r="D16241" i="2"/>
  <c r="D16242" i="2"/>
  <c r="D16243" i="2"/>
  <c r="D16244" i="2"/>
  <c r="D16245" i="2"/>
  <c r="D16246" i="2"/>
  <c r="D16247" i="2"/>
  <c r="D16248" i="2"/>
  <c r="D16249" i="2"/>
  <c r="D16250" i="2"/>
  <c r="D16251" i="2"/>
  <c r="D16252" i="2"/>
  <c r="D16253" i="2"/>
  <c r="D16254" i="2"/>
  <c r="D16255" i="2"/>
  <c r="D16256" i="2"/>
  <c r="D16257" i="2"/>
  <c r="D16258" i="2"/>
  <c r="D16259" i="2"/>
  <c r="D16260" i="2"/>
  <c r="D16261" i="2"/>
  <c r="D16262" i="2"/>
  <c r="D16263" i="2"/>
  <c r="D16264" i="2"/>
  <c r="D16265" i="2"/>
  <c r="D16266" i="2"/>
  <c r="D16267" i="2"/>
  <c r="D16268" i="2"/>
  <c r="D16269" i="2"/>
  <c r="D16270" i="2"/>
  <c r="D16271" i="2"/>
  <c r="D16272" i="2"/>
  <c r="D16273" i="2"/>
  <c r="D16274" i="2"/>
  <c r="D16275" i="2"/>
  <c r="D16276" i="2"/>
  <c r="D16277" i="2"/>
  <c r="D16278" i="2"/>
  <c r="D16279" i="2"/>
  <c r="D16280" i="2"/>
  <c r="D16281" i="2"/>
  <c r="D16282" i="2"/>
  <c r="D16283" i="2"/>
  <c r="D16284" i="2"/>
  <c r="D16285" i="2"/>
  <c r="D16286" i="2"/>
  <c r="D16287" i="2"/>
  <c r="D16288" i="2"/>
  <c r="D16289" i="2"/>
  <c r="D16290" i="2"/>
  <c r="D16291" i="2"/>
  <c r="D16292" i="2"/>
  <c r="D16293" i="2"/>
  <c r="D16294" i="2"/>
  <c r="D16295" i="2"/>
  <c r="D16296" i="2"/>
  <c r="D16297" i="2"/>
  <c r="D16298" i="2"/>
  <c r="D16299" i="2"/>
  <c r="D16300" i="2"/>
  <c r="D16301" i="2"/>
  <c r="D16302" i="2"/>
  <c r="D16303" i="2"/>
  <c r="D16304" i="2"/>
  <c r="D16305" i="2"/>
  <c r="D16306" i="2"/>
  <c r="D16307" i="2"/>
  <c r="D16308" i="2"/>
  <c r="D16309" i="2"/>
  <c r="D16310" i="2"/>
  <c r="D16311" i="2"/>
  <c r="D16312" i="2"/>
  <c r="D16313" i="2"/>
  <c r="D16314" i="2"/>
  <c r="D16315" i="2"/>
  <c r="D16316" i="2"/>
  <c r="D16317" i="2"/>
  <c r="D16318" i="2"/>
  <c r="D16319" i="2"/>
  <c r="D16320" i="2"/>
  <c r="D16321" i="2"/>
  <c r="D16322" i="2"/>
  <c r="D16323" i="2"/>
  <c r="D16324" i="2"/>
  <c r="D16325" i="2"/>
  <c r="D16326" i="2"/>
  <c r="D16327" i="2"/>
  <c r="D16328" i="2"/>
  <c r="D16329" i="2"/>
  <c r="D16330" i="2"/>
  <c r="D16331" i="2"/>
  <c r="D16332" i="2"/>
  <c r="D16333" i="2"/>
  <c r="D16334" i="2"/>
  <c r="D16335" i="2"/>
  <c r="D16336" i="2"/>
  <c r="D16337" i="2"/>
  <c r="D16338" i="2"/>
  <c r="D16339" i="2"/>
  <c r="D16340" i="2"/>
  <c r="D16341" i="2"/>
  <c r="D16342" i="2"/>
  <c r="D16343" i="2"/>
  <c r="D16344" i="2"/>
  <c r="D16345" i="2"/>
  <c r="D16346" i="2"/>
  <c r="D16347" i="2"/>
  <c r="D16348" i="2"/>
  <c r="D16349" i="2"/>
  <c r="D16350" i="2"/>
  <c r="D16351" i="2"/>
  <c r="D16352" i="2"/>
  <c r="D16353" i="2"/>
  <c r="D16354" i="2"/>
  <c r="D16355" i="2"/>
  <c r="D16356" i="2"/>
  <c r="D16357" i="2"/>
  <c r="D16358" i="2"/>
  <c r="D16359" i="2"/>
  <c r="D16360" i="2"/>
  <c r="D16361" i="2"/>
  <c r="D16362" i="2"/>
  <c r="D16363" i="2"/>
  <c r="D16364" i="2"/>
  <c r="D16365" i="2"/>
  <c r="D16366" i="2"/>
  <c r="D16367" i="2"/>
  <c r="D16368" i="2"/>
  <c r="D16369" i="2"/>
  <c r="D16370" i="2"/>
  <c r="D16371" i="2"/>
  <c r="D16372" i="2"/>
  <c r="D16373" i="2"/>
  <c r="D16374" i="2"/>
  <c r="D16375" i="2"/>
  <c r="D16376" i="2"/>
  <c r="D16377" i="2"/>
  <c r="D16378" i="2"/>
  <c r="D16379" i="2"/>
  <c r="D16380" i="2"/>
  <c r="D16381" i="2"/>
  <c r="D16382" i="2"/>
  <c r="D16383" i="2"/>
  <c r="D16384" i="2"/>
  <c r="D16385" i="2"/>
  <c r="D16386" i="2"/>
  <c r="D16387" i="2"/>
  <c r="D16388" i="2"/>
  <c r="D16389" i="2"/>
  <c r="D16390" i="2"/>
  <c r="D16391" i="2"/>
  <c r="D16392" i="2"/>
  <c r="D16393" i="2"/>
  <c r="D16394" i="2"/>
  <c r="D16395" i="2"/>
  <c r="D16396" i="2"/>
  <c r="D16397" i="2"/>
  <c r="D16398" i="2"/>
  <c r="D16399" i="2"/>
  <c r="D16400" i="2"/>
  <c r="D16401" i="2"/>
  <c r="D16402" i="2"/>
  <c r="D16403" i="2"/>
  <c r="D16404" i="2"/>
  <c r="D16405" i="2"/>
  <c r="D16406" i="2"/>
  <c r="D16407" i="2"/>
  <c r="D16408" i="2"/>
  <c r="D16409" i="2"/>
  <c r="D16410" i="2"/>
  <c r="D16411" i="2"/>
  <c r="D16412" i="2"/>
  <c r="D16413" i="2"/>
  <c r="D16414" i="2"/>
  <c r="D16415" i="2"/>
  <c r="D16416" i="2"/>
  <c r="D16417" i="2"/>
  <c r="D16418" i="2"/>
  <c r="D16419" i="2"/>
  <c r="D16420" i="2"/>
  <c r="D16421" i="2"/>
  <c r="D16422" i="2"/>
  <c r="D16423" i="2"/>
  <c r="D16424" i="2"/>
  <c r="D16425" i="2"/>
  <c r="D16426" i="2"/>
  <c r="D16427" i="2"/>
  <c r="D16428" i="2"/>
  <c r="D16429" i="2"/>
  <c r="D16430" i="2"/>
  <c r="D16431" i="2"/>
  <c r="D16432" i="2"/>
  <c r="D16433" i="2"/>
  <c r="D16434" i="2"/>
  <c r="D16435" i="2"/>
  <c r="D16436" i="2"/>
  <c r="D16437" i="2"/>
  <c r="D16438" i="2"/>
  <c r="D16439" i="2"/>
  <c r="D16440" i="2"/>
  <c r="D16441" i="2"/>
  <c r="D16442" i="2"/>
  <c r="D16443" i="2"/>
  <c r="D16444" i="2"/>
  <c r="D16445" i="2"/>
  <c r="D16446" i="2"/>
  <c r="D16447" i="2"/>
  <c r="D16448" i="2"/>
  <c r="D16449" i="2"/>
  <c r="D16450" i="2"/>
  <c r="D16451" i="2"/>
  <c r="D16452" i="2"/>
  <c r="D16453" i="2"/>
  <c r="D16454" i="2"/>
  <c r="D16455" i="2"/>
  <c r="D16456" i="2"/>
  <c r="D16457" i="2"/>
  <c r="D16458" i="2"/>
  <c r="D16459" i="2"/>
  <c r="D16460" i="2"/>
  <c r="D16461" i="2"/>
  <c r="D16462" i="2"/>
  <c r="D16463" i="2"/>
  <c r="D16464" i="2"/>
  <c r="D16465" i="2"/>
  <c r="D16466" i="2"/>
  <c r="D16467" i="2"/>
  <c r="D16468" i="2"/>
  <c r="D16469" i="2"/>
  <c r="D16470" i="2"/>
  <c r="D16471" i="2"/>
  <c r="D16472" i="2"/>
  <c r="D16473" i="2"/>
  <c r="D16474" i="2"/>
  <c r="D16475" i="2"/>
  <c r="D16476" i="2"/>
  <c r="D16477" i="2"/>
  <c r="D16478" i="2"/>
  <c r="D16479" i="2"/>
  <c r="D16480" i="2"/>
  <c r="D16481" i="2"/>
  <c r="D16482" i="2"/>
  <c r="D16483" i="2"/>
  <c r="D16484" i="2"/>
  <c r="D16485" i="2"/>
  <c r="D16486" i="2"/>
  <c r="D16487" i="2"/>
  <c r="D16488" i="2"/>
  <c r="D16489" i="2"/>
  <c r="D16490" i="2"/>
  <c r="D16491" i="2"/>
  <c r="D16492" i="2"/>
  <c r="D16493" i="2"/>
  <c r="D16494" i="2"/>
  <c r="D16495" i="2"/>
  <c r="D16496" i="2"/>
  <c r="D16497" i="2"/>
  <c r="D16498" i="2"/>
  <c r="D16499" i="2"/>
  <c r="D16500" i="2"/>
  <c r="D16501" i="2"/>
  <c r="D16502" i="2"/>
  <c r="D16503" i="2"/>
  <c r="D16504" i="2"/>
  <c r="D16505" i="2"/>
  <c r="D16506" i="2"/>
  <c r="D16507" i="2"/>
  <c r="D16508" i="2"/>
  <c r="D16509" i="2"/>
  <c r="D16510" i="2"/>
  <c r="D16511" i="2"/>
  <c r="D16512" i="2"/>
  <c r="D16513" i="2"/>
  <c r="D16514" i="2"/>
  <c r="D16515" i="2"/>
  <c r="D16516" i="2"/>
  <c r="D16517" i="2"/>
  <c r="D16518" i="2"/>
  <c r="D16519" i="2"/>
  <c r="D16520" i="2"/>
  <c r="D16521" i="2"/>
  <c r="D16522" i="2"/>
  <c r="D16523" i="2"/>
  <c r="D16524" i="2"/>
  <c r="D16525" i="2"/>
  <c r="D16526" i="2"/>
  <c r="D16527" i="2"/>
  <c r="D16528" i="2"/>
  <c r="D16529" i="2"/>
  <c r="D16530" i="2"/>
  <c r="D16531" i="2"/>
  <c r="D16532" i="2"/>
  <c r="D16533" i="2"/>
  <c r="D16534" i="2"/>
  <c r="D16535" i="2"/>
  <c r="D16536" i="2"/>
  <c r="D16537" i="2"/>
  <c r="D16538" i="2"/>
  <c r="D16539" i="2"/>
  <c r="D16540" i="2"/>
  <c r="D16541" i="2"/>
  <c r="D16542" i="2"/>
  <c r="D16543" i="2"/>
  <c r="D16544" i="2"/>
  <c r="D16545" i="2"/>
  <c r="D16546" i="2"/>
  <c r="D16547" i="2"/>
  <c r="D16548" i="2"/>
  <c r="D16549" i="2"/>
  <c r="D16550" i="2"/>
  <c r="D16551" i="2"/>
  <c r="D16552" i="2"/>
  <c r="D16553" i="2"/>
  <c r="D16554" i="2"/>
  <c r="D16555" i="2"/>
  <c r="D16556" i="2"/>
  <c r="D16557" i="2"/>
  <c r="D16558" i="2"/>
  <c r="D16559" i="2"/>
  <c r="D16560" i="2"/>
  <c r="D16561" i="2"/>
  <c r="D16562" i="2"/>
  <c r="D16563" i="2"/>
  <c r="D16564" i="2"/>
  <c r="D16565" i="2"/>
  <c r="D16566" i="2"/>
  <c r="D16567" i="2"/>
  <c r="D16568" i="2"/>
  <c r="D16569" i="2"/>
  <c r="D16570" i="2"/>
  <c r="D16571" i="2"/>
  <c r="D16572" i="2"/>
  <c r="D16573" i="2"/>
  <c r="D16574" i="2"/>
  <c r="D16575" i="2"/>
  <c r="D16576" i="2"/>
  <c r="D16577" i="2"/>
  <c r="D16578" i="2"/>
  <c r="D16579" i="2"/>
  <c r="D16580" i="2"/>
  <c r="D16581" i="2"/>
  <c r="D16582" i="2"/>
  <c r="D16583" i="2"/>
  <c r="D16584" i="2"/>
  <c r="D16585" i="2"/>
  <c r="D16586" i="2"/>
  <c r="D16587" i="2"/>
  <c r="D16588" i="2"/>
  <c r="D16589" i="2"/>
  <c r="D16590" i="2"/>
  <c r="D16591" i="2"/>
  <c r="D16592" i="2"/>
  <c r="D16593" i="2"/>
  <c r="D16594" i="2"/>
  <c r="D16595" i="2"/>
  <c r="D16596" i="2"/>
  <c r="D16597" i="2"/>
  <c r="D16598" i="2"/>
  <c r="D16599" i="2"/>
  <c r="D16600" i="2"/>
  <c r="D16601" i="2"/>
  <c r="D16602" i="2"/>
  <c r="D16603" i="2"/>
  <c r="D16604" i="2"/>
  <c r="D16605" i="2"/>
  <c r="D16606" i="2"/>
  <c r="D16607" i="2"/>
  <c r="D16608" i="2"/>
  <c r="D16609" i="2"/>
  <c r="D16610" i="2"/>
  <c r="D16611" i="2"/>
  <c r="D16612" i="2"/>
  <c r="D16613" i="2"/>
  <c r="D16614" i="2"/>
  <c r="D16615" i="2"/>
  <c r="D16616" i="2"/>
  <c r="D16617" i="2"/>
  <c r="D16618" i="2"/>
  <c r="D16619" i="2"/>
  <c r="D16620" i="2"/>
  <c r="D16621" i="2"/>
  <c r="D16622" i="2"/>
  <c r="D16623" i="2"/>
  <c r="D16624" i="2"/>
  <c r="D16625" i="2"/>
  <c r="D16626" i="2"/>
  <c r="D16627" i="2"/>
  <c r="D16628" i="2"/>
  <c r="D16629" i="2"/>
  <c r="D16630" i="2"/>
  <c r="D16631" i="2"/>
  <c r="D16632" i="2"/>
  <c r="D16633" i="2"/>
  <c r="D16634" i="2"/>
  <c r="D16635" i="2"/>
  <c r="D16636" i="2"/>
  <c r="D16637" i="2"/>
  <c r="D16638" i="2"/>
  <c r="D16639" i="2"/>
  <c r="D16640" i="2"/>
  <c r="D16641" i="2"/>
  <c r="D16642" i="2"/>
  <c r="D16643" i="2"/>
  <c r="D16644" i="2"/>
  <c r="D16645" i="2"/>
  <c r="D16646" i="2"/>
  <c r="D16647" i="2"/>
  <c r="D16648" i="2"/>
  <c r="D16649" i="2"/>
  <c r="D16650" i="2"/>
  <c r="D16651" i="2"/>
  <c r="D16652" i="2"/>
  <c r="D16653" i="2"/>
  <c r="D16654" i="2"/>
  <c r="D16655" i="2"/>
  <c r="D16656" i="2"/>
  <c r="D16657" i="2"/>
  <c r="D16658" i="2"/>
  <c r="D16659" i="2"/>
  <c r="D16660" i="2"/>
  <c r="D16661" i="2"/>
  <c r="D16662" i="2"/>
  <c r="D16663" i="2"/>
  <c r="D16664" i="2"/>
  <c r="D16665" i="2"/>
  <c r="D16666" i="2"/>
  <c r="D16667" i="2"/>
  <c r="D16668" i="2"/>
  <c r="D16669" i="2"/>
  <c r="D16670" i="2"/>
  <c r="D16671" i="2"/>
  <c r="D16672" i="2"/>
  <c r="D16673" i="2"/>
  <c r="D16674" i="2"/>
  <c r="D16675" i="2"/>
  <c r="D16676" i="2"/>
  <c r="D16677" i="2"/>
  <c r="D16678" i="2"/>
  <c r="D16679" i="2"/>
  <c r="D16680" i="2"/>
  <c r="D16681" i="2"/>
  <c r="D16682" i="2"/>
  <c r="D16683" i="2"/>
  <c r="D16684" i="2"/>
  <c r="D16685" i="2"/>
  <c r="D16686" i="2"/>
  <c r="D16687" i="2"/>
  <c r="D16688" i="2"/>
  <c r="D16689" i="2"/>
  <c r="D16690" i="2"/>
  <c r="D16691" i="2"/>
  <c r="D16692" i="2"/>
  <c r="D16693" i="2"/>
  <c r="D16694" i="2"/>
  <c r="D16695" i="2"/>
  <c r="D16696" i="2"/>
  <c r="D16697" i="2"/>
  <c r="D16698" i="2"/>
  <c r="D16699" i="2"/>
  <c r="D16700" i="2"/>
  <c r="D16701" i="2"/>
  <c r="D16702" i="2"/>
  <c r="D16703" i="2"/>
  <c r="D16704" i="2"/>
  <c r="D16705" i="2"/>
  <c r="D16706" i="2"/>
  <c r="D16707" i="2"/>
  <c r="D16708" i="2"/>
  <c r="D16709" i="2"/>
  <c r="D16710" i="2"/>
  <c r="D16711" i="2"/>
  <c r="D16712" i="2"/>
  <c r="D16713" i="2"/>
  <c r="D16714" i="2"/>
  <c r="D16715" i="2"/>
  <c r="D16716" i="2"/>
  <c r="D16717" i="2"/>
  <c r="D16718" i="2"/>
  <c r="D16719" i="2"/>
  <c r="D16720" i="2"/>
  <c r="D16721" i="2"/>
  <c r="D16722" i="2"/>
  <c r="D16723" i="2"/>
  <c r="D16724" i="2"/>
  <c r="D16725" i="2"/>
  <c r="D16726" i="2"/>
  <c r="D16727" i="2"/>
  <c r="D16728" i="2"/>
  <c r="D16729" i="2"/>
  <c r="D16730" i="2"/>
  <c r="D16731" i="2"/>
  <c r="D16732" i="2"/>
  <c r="D16733" i="2"/>
  <c r="D16734" i="2"/>
  <c r="D16735" i="2"/>
  <c r="D16736" i="2"/>
  <c r="D16737" i="2"/>
  <c r="D16738" i="2"/>
  <c r="D16739" i="2"/>
  <c r="D16740" i="2"/>
  <c r="D16741" i="2"/>
  <c r="D16742" i="2"/>
  <c r="D16743" i="2"/>
  <c r="D16744" i="2"/>
  <c r="D16745" i="2"/>
  <c r="D16746" i="2"/>
  <c r="D16747" i="2"/>
  <c r="D16748" i="2"/>
  <c r="D16749" i="2"/>
  <c r="D16750" i="2"/>
  <c r="D16751" i="2"/>
  <c r="D16752" i="2"/>
  <c r="D16753" i="2"/>
  <c r="D16754" i="2"/>
  <c r="D16755" i="2"/>
  <c r="D16756" i="2"/>
  <c r="D16757" i="2"/>
  <c r="D16758" i="2"/>
  <c r="D16759" i="2"/>
  <c r="D16760" i="2"/>
  <c r="D16761" i="2"/>
  <c r="D16762" i="2"/>
  <c r="D16763" i="2"/>
  <c r="D16764" i="2"/>
  <c r="D16765" i="2"/>
  <c r="D16766" i="2"/>
  <c r="D16767" i="2"/>
  <c r="D16768" i="2"/>
  <c r="D16769" i="2"/>
  <c r="D16770" i="2"/>
  <c r="D16771" i="2"/>
  <c r="D16772" i="2"/>
  <c r="D16773" i="2"/>
  <c r="D16774" i="2"/>
  <c r="D16775" i="2"/>
  <c r="D16776" i="2"/>
  <c r="D16777" i="2"/>
  <c r="D16778" i="2"/>
  <c r="D16779" i="2"/>
  <c r="D16780" i="2"/>
  <c r="D16781" i="2"/>
  <c r="D16782" i="2"/>
  <c r="D16783" i="2"/>
  <c r="D16784" i="2"/>
  <c r="D16785" i="2"/>
  <c r="D16786" i="2"/>
  <c r="D16787" i="2"/>
  <c r="D16788" i="2"/>
  <c r="D16789" i="2"/>
  <c r="D16790" i="2"/>
  <c r="D16791" i="2"/>
  <c r="D16792" i="2"/>
  <c r="D16793" i="2"/>
  <c r="D16794" i="2"/>
  <c r="D16795" i="2"/>
  <c r="D16796" i="2"/>
  <c r="D16797" i="2"/>
  <c r="D16798" i="2"/>
  <c r="D16799" i="2"/>
  <c r="D16800" i="2"/>
  <c r="D16801" i="2"/>
  <c r="D16802" i="2"/>
  <c r="D16803" i="2"/>
  <c r="D16804" i="2"/>
  <c r="D16805" i="2"/>
  <c r="D16806" i="2"/>
  <c r="D16807" i="2"/>
  <c r="D16808" i="2"/>
  <c r="D16809" i="2"/>
  <c r="D16810" i="2"/>
  <c r="D16811" i="2"/>
  <c r="D16812" i="2"/>
  <c r="D16813" i="2"/>
  <c r="D16814" i="2"/>
  <c r="D16815" i="2"/>
  <c r="D16816" i="2"/>
  <c r="D16817" i="2"/>
  <c r="D16818" i="2"/>
  <c r="D16819" i="2"/>
  <c r="D16820" i="2"/>
  <c r="D16821" i="2"/>
  <c r="D16822" i="2"/>
  <c r="D16823" i="2"/>
  <c r="D16824" i="2"/>
  <c r="D16825" i="2"/>
  <c r="D16826" i="2"/>
  <c r="D16827" i="2"/>
  <c r="D16828" i="2"/>
  <c r="D16829" i="2"/>
  <c r="D16830" i="2"/>
  <c r="D16831" i="2"/>
  <c r="D16832" i="2"/>
  <c r="D16833" i="2"/>
  <c r="D16834" i="2"/>
  <c r="D16835" i="2"/>
  <c r="D16836" i="2"/>
  <c r="D16837" i="2"/>
  <c r="D16838" i="2"/>
  <c r="D16839" i="2"/>
  <c r="D16840" i="2"/>
  <c r="D16841" i="2"/>
  <c r="D16842" i="2"/>
  <c r="D16843" i="2"/>
  <c r="D16844" i="2"/>
  <c r="D16845" i="2"/>
  <c r="D16846" i="2"/>
  <c r="D16847" i="2"/>
  <c r="D16848" i="2"/>
  <c r="D16849" i="2"/>
  <c r="D16850" i="2"/>
  <c r="D16851" i="2"/>
  <c r="D16852" i="2"/>
  <c r="D16853" i="2"/>
  <c r="D16854" i="2"/>
  <c r="D16855" i="2"/>
  <c r="D16856" i="2"/>
  <c r="D16857" i="2"/>
  <c r="D16858" i="2"/>
  <c r="D16859" i="2"/>
  <c r="D16860" i="2"/>
  <c r="D16861" i="2"/>
  <c r="D16862" i="2"/>
  <c r="D16863" i="2"/>
  <c r="D16864" i="2"/>
  <c r="D16865" i="2"/>
  <c r="D16866" i="2"/>
  <c r="D16867" i="2"/>
  <c r="D16868" i="2"/>
  <c r="D16869" i="2"/>
  <c r="D16870" i="2"/>
  <c r="D16871" i="2"/>
  <c r="D16872" i="2"/>
  <c r="D16873" i="2"/>
  <c r="D16874" i="2"/>
  <c r="D16875" i="2"/>
  <c r="D16876" i="2"/>
  <c r="D16877" i="2"/>
  <c r="D16878" i="2"/>
  <c r="D16879" i="2"/>
  <c r="D16880" i="2"/>
  <c r="D16881" i="2"/>
  <c r="D16882" i="2"/>
  <c r="D16883" i="2"/>
  <c r="D16884" i="2"/>
  <c r="D16885" i="2"/>
  <c r="D16886" i="2"/>
  <c r="D16887" i="2"/>
  <c r="D16888" i="2"/>
  <c r="D16889" i="2"/>
  <c r="D16890" i="2"/>
  <c r="D16891" i="2"/>
  <c r="D16892" i="2"/>
  <c r="D16893" i="2"/>
  <c r="D16894" i="2"/>
  <c r="D16895" i="2"/>
  <c r="D16896" i="2"/>
  <c r="D16897" i="2"/>
  <c r="D16898" i="2"/>
  <c r="D16899" i="2"/>
  <c r="D16900" i="2"/>
  <c r="D16901" i="2"/>
  <c r="D16902" i="2"/>
  <c r="D16903" i="2"/>
  <c r="D16904" i="2"/>
  <c r="D16905" i="2"/>
  <c r="D16906" i="2"/>
  <c r="D16907" i="2"/>
  <c r="D16908" i="2"/>
  <c r="D16909" i="2"/>
  <c r="D16910" i="2"/>
  <c r="D16911" i="2"/>
  <c r="D16912" i="2"/>
  <c r="D16913" i="2"/>
  <c r="D16914" i="2"/>
  <c r="D16915" i="2"/>
  <c r="D16916" i="2"/>
  <c r="D16917" i="2"/>
  <c r="D16918" i="2"/>
  <c r="D16919" i="2"/>
  <c r="D16920" i="2"/>
  <c r="D16921" i="2"/>
  <c r="D16922" i="2"/>
  <c r="D16923" i="2"/>
  <c r="D16924" i="2"/>
  <c r="D16925" i="2"/>
  <c r="D16926" i="2"/>
  <c r="D16927" i="2"/>
  <c r="D16928" i="2"/>
  <c r="D16929" i="2"/>
  <c r="D16930" i="2"/>
  <c r="D16931" i="2"/>
  <c r="D16932" i="2"/>
  <c r="D16933" i="2"/>
  <c r="D16934" i="2"/>
  <c r="D16935" i="2"/>
  <c r="D16936" i="2"/>
  <c r="D16937" i="2"/>
  <c r="D16938" i="2"/>
  <c r="D16939" i="2"/>
  <c r="D16940" i="2"/>
  <c r="D16941" i="2"/>
  <c r="D16942" i="2"/>
  <c r="D16943" i="2"/>
  <c r="D16944" i="2"/>
  <c r="D16945" i="2"/>
  <c r="D16946" i="2"/>
  <c r="D16947" i="2"/>
  <c r="D16948" i="2"/>
  <c r="D16949" i="2"/>
  <c r="D16950" i="2"/>
  <c r="D16951" i="2"/>
  <c r="D16952" i="2"/>
  <c r="D16953" i="2"/>
  <c r="D16954" i="2"/>
  <c r="D16955" i="2"/>
  <c r="D16956" i="2"/>
  <c r="D16957" i="2"/>
  <c r="D16958" i="2"/>
  <c r="D16959" i="2"/>
  <c r="D16960" i="2"/>
  <c r="D16961" i="2"/>
  <c r="D16962" i="2"/>
  <c r="D16963" i="2"/>
  <c r="D16964" i="2"/>
  <c r="D16965" i="2"/>
  <c r="D16966" i="2"/>
  <c r="D16967" i="2"/>
  <c r="D16968" i="2"/>
  <c r="D16969" i="2"/>
  <c r="D16970" i="2"/>
  <c r="D16971" i="2"/>
  <c r="D16972" i="2"/>
  <c r="D16973" i="2"/>
  <c r="D16974" i="2"/>
  <c r="D16975" i="2"/>
  <c r="D16976" i="2"/>
  <c r="D16977" i="2"/>
  <c r="D16978" i="2"/>
  <c r="D16979" i="2"/>
  <c r="D16980" i="2"/>
  <c r="D16981" i="2"/>
  <c r="D16982" i="2"/>
  <c r="D16983" i="2"/>
  <c r="D16984" i="2"/>
  <c r="D16985" i="2"/>
  <c r="D16986" i="2"/>
  <c r="D16987" i="2"/>
  <c r="D16988" i="2"/>
  <c r="D16989" i="2"/>
  <c r="D16990" i="2"/>
  <c r="D16991" i="2"/>
  <c r="D16992" i="2"/>
  <c r="D16993" i="2"/>
  <c r="D16994" i="2"/>
  <c r="D16995" i="2"/>
  <c r="D16996" i="2"/>
  <c r="D16997" i="2"/>
  <c r="D16998" i="2"/>
  <c r="D16999" i="2"/>
  <c r="D17000" i="2"/>
  <c r="D17001" i="2"/>
  <c r="D17002" i="2"/>
  <c r="D17003" i="2"/>
  <c r="D17004" i="2"/>
  <c r="D17005" i="2"/>
  <c r="D17006" i="2"/>
  <c r="D17007" i="2"/>
  <c r="D17008" i="2"/>
  <c r="D17009" i="2"/>
  <c r="D17010" i="2"/>
  <c r="D17011" i="2"/>
  <c r="D17012" i="2"/>
  <c r="D17013" i="2"/>
  <c r="D17014" i="2"/>
  <c r="D17015" i="2"/>
  <c r="D17016" i="2"/>
  <c r="D17017" i="2"/>
  <c r="D17018" i="2"/>
  <c r="D17019" i="2"/>
  <c r="D17020" i="2"/>
  <c r="D17021" i="2"/>
  <c r="D17022" i="2"/>
  <c r="D17023" i="2"/>
  <c r="D17024" i="2"/>
  <c r="D17025" i="2"/>
  <c r="D17026" i="2"/>
  <c r="D17027" i="2"/>
  <c r="D17028" i="2"/>
  <c r="D17029" i="2"/>
  <c r="D17030" i="2"/>
  <c r="D17031" i="2"/>
  <c r="D17032" i="2"/>
  <c r="D17033" i="2"/>
  <c r="D17034" i="2"/>
  <c r="D17035" i="2"/>
  <c r="D17036" i="2"/>
  <c r="D17037" i="2"/>
  <c r="D17038" i="2"/>
  <c r="D17039" i="2"/>
  <c r="D17040" i="2"/>
  <c r="D17041" i="2"/>
  <c r="D17042" i="2"/>
  <c r="D17043" i="2"/>
  <c r="D17044" i="2"/>
  <c r="D17045" i="2"/>
  <c r="D17046" i="2"/>
  <c r="D17047" i="2"/>
  <c r="D17048" i="2"/>
  <c r="D17049" i="2"/>
  <c r="D17050" i="2"/>
  <c r="D17051" i="2"/>
  <c r="D17052" i="2"/>
  <c r="D17053" i="2"/>
  <c r="D17054" i="2"/>
  <c r="D17055" i="2"/>
  <c r="D17056" i="2"/>
  <c r="D17057" i="2"/>
  <c r="D17058" i="2"/>
  <c r="D17059" i="2"/>
  <c r="D17060" i="2"/>
  <c r="D17061" i="2"/>
  <c r="D17062" i="2"/>
  <c r="D17063" i="2"/>
  <c r="D17064" i="2"/>
  <c r="D17065" i="2"/>
  <c r="D17066" i="2"/>
  <c r="D17067" i="2"/>
  <c r="D17068" i="2"/>
  <c r="D17069" i="2"/>
  <c r="D17070" i="2"/>
  <c r="D17071" i="2"/>
  <c r="D17072" i="2"/>
  <c r="D17073" i="2"/>
  <c r="D17074" i="2"/>
  <c r="D17075" i="2"/>
  <c r="D17076" i="2"/>
  <c r="D17077" i="2"/>
  <c r="D17078" i="2"/>
  <c r="D17079" i="2"/>
  <c r="D17080" i="2"/>
  <c r="D17081" i="2"/>
  <c r="D17082" i="2"/>
  <c r="D17083" i="2"/>
  <c r="D17084" i="2"/>
  <c r="D17085" i="2"/>
  <c r="D17086" i="2"/>
  <c r="D17087" i="2"/>
  <c r="D17088" i="2"/>
  <c r="D17089" i="2"/>
  <c r="D17090" i="2"/>
  <c r="D17091" i="2"/>
  <c r="D17092" i="2"/>
  <c r="D17093" i="2"/>
  <c r="D17094" i="2"/>
  <c r="D17095" i="2"/>
  <c r="D17096" i="2"/>
  <c r="D17097" i="2"/>
  <c r="D17098" i="2"/>
  <c r="D17099" i="2"/>
  <c r="D17100" i="2"/>
  <c r="D17101" i="2"/>
  <c r="D17102" i="2"/>
  <c r="D17103" i="2"/>
  <c r="D17104" i="2"/>
  <c r="D17105" i="2"/>
  <c r="D17106" i="2"/>
  <c r="D17107" i="2"/>
  <c r="D17108" i="2"/>
  <c r="D17109" i="2"/>
  <c r="D17110" i="2"/>
  <c r="D17111" i="2"/>
  <c r="D17112" i="2"/>
  <c r="D17113" i="2"/>
  <c r="D17114" i="2"/>
  <c r="D17115" i="2"/>
  <c r="D17116" i="2"/>
  <c r="D17117" i="2"/>
  <c r="D17118" i="2"/>
  <c r="D17119" i="2"/>
  <c r="D17120" i="2"/>
  <c r="D17121" i="2"/>
  <c r="D17122" i="2"/>
  <c r="D17123" i="2"/>
  <c r="D17124" i="2"/>
  <c r="D17125" i="2"/>
  <c r="D17126" i="2"/>
  <c r="D17127" i="2"/>
  <c r="D17128" i="2"/>
  <c r="D17129" i="2"/>
  <c r="D17130" i="2"/>
  <c r="D17131" i="2"/>
  <c r="D17132" i="2"/>
  <c r="D17133" i="2"/>
  <c r="D17134" i="2"/>
  <c r="D17135" i="2"/>
  <c r="D17136" i="2"/>
  <c r="D17137" i="2"/>
  <c r="D17138" i="2"/>
  <c r="D17139" i="2"/>
  <c r="D17140" i="2"/>
  <c r="D17141" i="2"/>
  <c r="D17142" i="2"/>
  <c r="D17143" i="2"/>
  <c r="D17144" i="2"/>
  <c r="D17145" i="2"/>
  <c r="D17146" i="2"/>
  <c r="D17147" i="2"/>
  <c r="D17148" i="2"/>
  <c r="D17149" i="2"/>
  <c r="D17150" i="2"/>
  <c r="D17151" i="2"/>
  <c r="D17152" i="2"/>
  <c r="D17153" i="2"/>
  <c r="D17154" i="2"/>
  <c r="D17155" i="2"/>
  <c r="D17156" i="2"/>
  <c r="D17157" i="2"/>
  <c r="D17158" i="2"/>
  <c r="D17159" i="2"/>
  <c r="D17160" i="2"/>
  <c r="D17161" i="2"/>
  <c r="D17162" i="2"/>
  <c r="D17163" i="2"/>
  <c r="D17164" i="2"/>
  <c r="D17165" i="2"/>
  <c r="D17166" i="2"/>
  <c r="D17167" i="2"/>
  <c r="D17168" i="2"/>
  <c r="D17169" i="2"/>
  <c r="D17170" i="2"/>
  <c r="D17171" i="2"/>
  <c r="D17172" i="2"/>
  <c r="D17173" i="2"/>
  <c r="D17174" i="2"/>
  <c r="D17175" i="2"/>
  <c r="D17176" i="2"/>
  <c r="D17177" i="2"/>
  <c r="D17178" i="2"/>
  <c r="D17179" i="2"/>
  <c r="D17180" i="2"/>
  <c r="D17181" i="2"/>
  <c r="D17182" i="2"/>
  <c r="D17183" i="2"/>
  <c r="D17184" i="2"/>
  <c r="D17185" i="2"/>
  <c r="D17186" i="2"/>
  <c r="D17187" i="2"/>
  <c r="D17188" i="2"/>
  <c r="D17189" i="2"/>
  <c r="D17190" i="2"/>
  <c r="D17191" i="2"/>
  <c r="D17192" i="2"/>
  <c r="D17193" i="2"/>
  <c r="D17194" i="2"/>
  <c r="D17195" i="2"/>
  <c r="D17196" i="2"/>
  <c r="D17197" i="2"/>
  <c r="D17198" i="2"/>
  <c r="D17199" i="2"/>
  <c r="D17200" i="2"/>
  <c r="D17201" i="2"/>
  <c r="D17202" i="2"/>
  <c r="D17203" i="2"/>
  <c r="D17204" i="2"/>
  <c r="D17205" i="2"/>
  <c r="D17206" i="2"/>
  <c r="D17207" i="2"/>
  <c r="D17208" i="2"/>
  <c r="D17209" i="2"/>
  <c r="D17210" i="2"/>
  <c r="D17211" i="2"/>
  <c r="D17212" i="2"/>
  <c r="D17213" i="2"/>
  <c r="D17214" i="2"/>
  <c r="D17215" i="2"/>
  <c r="D17216" i="2"/>
  <c r="D17217" i="2"/>
  <c r="D17218" i="2"/>
  <c r="D17219" i="2"/>
  <c r="D17220" i="2"/>
  <c r="D17221" i="2"/>
  <c r="D17222" i="2"/>
  <c r="D17223" i="2"/>
  <c r="D17224" i="2"/>
  <c r="D17225" i="2"/>
  <c r="D17226" i="2"/>
  <c r="D17227" i="2"/>
  <c r="D17228" i="2"/>
  <c r="D17229" i="2"/>
  <c r="D17230" i="2"/>
  <c r="D17231" i="2"/>
  <c r="D17232" i="2"/>
  <c r="D17233" i="2"/>
  <c r="D17234" i="2"/>
  <c r="D17235" i="2"/>
  <c r="D17236" i="2"/>
  <c r="D17237" i="2"/>
  <c r="D17238" i="2"/>
  <c r="D17239" i="2"/>
  <c r="D17240" i="2"/>
  <c r="D17241" i="2"/>
  <c r="D17242" i="2"/>
  <c r="D17243" i="2"/>
  <c r="D17244" i="2"/>
  <c r="D17245" i="2"/>
  <c r="D17246" i="2"/>
  <c r="D17247" i="2"/>
  <c r="D17248" i="2"/>
  <c r="D17249" i="2"/>
  <c r="D17250" i="2"/>
  <c r="D17251" i="2"/>
  <c r="D17252" i="2"/>
  <c r="D17253" i="2"/>
  <c r="D17254" i="2"/>
  <c r="D17255" i="2"/>
  <c r="D17256" i="2"/>
  <c r="D17257" i="2"/>
  <c r="D17258" i="2"/>
  <c r="D17259" i="2"/>
  <c r="D17260" i="2"/>
  <c r="D17261" i="2"/>
  <c r="D17262" i="2"/>
  <c r="D17263" i="2"/>
  <c r="D17264" i="2"/>
  <c r="D17265" i="2"/>
  <c r="D17266" i="2"/>
  <c r="D17267" i="2"/>
  <c r="D17268" i="2"/>
  <c r="D17269" i="2"/>
  <c r="D17270" i="2"/>
  <c r="D17271" i="2"/>
  <c r="D17272" i="2"/>
  <c r="D17273" i="2"/>
  <c r="D17274" i="2"/>
  <c r="D17275" i="2"/>
  <c r="D17276" i="2"/>
  <c r="D17277" i="2"/>
  <c r="D17278" i="2"/>
  <c r="D17279" i="2"/>
  <c r="D17280" i="2"/>
  <c r="D17281" i="2"/>
  <c r="D17282" i="2"/>
  <c r="D17283" i="2"/>
  <c r="D17284" i="2"/>
  <c r="D17285" i="2"/>
  <c r="D17286" i="2"/>
  <c r="D17287" i="2"/>
  <c r="D17288" i="2"/>
  <c r="D17289" i="2"/>
  <c r="D17290" i="2"/>
  <c r="D17291" i="2"/>
  <c r="D17292" i="2"/>
  <c r="D17293" i="2"/>
  <c r="D17294" i="2"/>
  <c r="D17295" i="2"/>
  <c r="D17296" i="2"/>
  <c r="D17297" i="2"/>
  <c r="D17298" i="2"/>
  <c r="D17299" i="2"/>
  <c r="D17300" i="2"/>
  <c r="D17301" i="2"/>
  <c r="D17302" i="2"/>
  <c r="D17303" i="2"/>
  <c r="D17304" i="2"/>
  <c r="D17305" i="2"/>
  <c r="D17306" i="2"/>
  <c r="D17307" i="2"/>
  <c r="D17308" i="2"/>
  <c r="D17309" i="2"/>
  <c r="D17310" i="2"/>
  <c r="D17311" i="2"/>
  <c r="D17312" i="2"/>
  <c r="D17313" i="2"/>
  <c r="D17314" i="2"/>
  <c r="D17315" i="2"/>
  <c r="D17316" i="2"/>
  <c r="D17317" i="2"/>
  <c r="D17318" i="2"/>
  <c r="D17319" i="2"/>
  <c r="D17320" i="2"/>
  <c r="D17321" i="2"/>
  <c r="D17322" i="2"/>
  <c r="D17323" i="2"/>
  <c r="D17324" i="2"/>
  <c r="D17325" i="2"/>
  <c r="D17326" i="2"/>
  <c r="D17327" i="2"/>
  <c r="D17328" i="2"/>
  <c r="D17329" i="2"/>
  <c r="D17330" i="2"/>
  <c r="D17331" i="2"/>
  <c r="D17332" i="2"/>
  <c r="D17333" i="2"/>
  <c r="D17334" i="2"/>
  <c r="D17335" i="2"/>
  <c r="D17336" i="2"/>
  <c r="D17337" i="2"/>
  <c r="D17338" i="2"/>
  <c r="D17339" i="2"/>
  <c r="D17340" i="2"/>
  <c r="D17341" i="2"/>
  <c r="D17342" i="2"/>
  <c r="D17343" i="2"/>
  <c r="D17344" i="2"/>
  <c r="D17345" i="2"/>
  <c r="D17346" i="2"/>
  <c r="D17347" i="2"/>
  <c r="D17348" i="2"/>
  <c r="D17349" i="2"/>
  <c r="D17350" i="2"/>
  <c r="D17351" i="2"/>
  <c r="D17352" i="2"/>
  <c r="D17353" i="2"/>
  <c r="D17354" i="2"/>
  <c r="D17355" i="2"/>
  <c r="D17356" i="2"/>
  <c r="D17357" i="2"/>
  <c r="D17358" i="2"/>
  <c r="D17359" i="2"/>
  <c r="D17360" i="2"/>
  <c r="D17361" i="2"/>
  <c r="D17362" i="2"/>
  <c r="D17363" i="2"/>
  <c r="D17364" i="2"/>
  <c r="D17365" i="2"/>
  <c r="D17366" i="2"/>
  <c r="D17367" i="2"/>
  <c r="D17368" i="2"/>
  <c r="D17369" i="2"/>
  <c r="D17370" i="2"/>
  <c r="D17371" i="2"/>
  <c r="D17372" i="2"/>
  <c r="D17373" i="2"/>
  <c r="D17374" i="2"/>
  <c r="D17375" i="2"/>
  <c r="D17376" i="2"/>
  <c r="D17377" i="2"/>
  <c r="D17378" i="2"/>
  <c r="D17379" i="2"/>
  <c r="D17380" i="2"/>
  <c r="D17381" i="2"/>
  <c r="D17382" i="2"/>
  <c r="D17383" i="2"/>
  <c r="D17384" i="2"/>
  <c r="D17385" i="2"/>
  <c r="D17386" i="2"/>
  <c r="D17387" i="2"/>
  <c r="D17388" i="2"/>
  <c r="D17389" i="2"/>
  <c r="D17390" i="2"/>
  <c r="D17391" i="2"/>
  <c r="D17392" i="2"/>
  <c r="D17393" i="2"/>
  <c r="D17394" i="2"/>
  <c r="D17395" i="2"/>
  <c r="D17396" i="2"/>
  <c r="D17397" i="2"/>
  <c r="D17398" i="2"/>
  <c r="D17399" i="2"/>
  <c r="D17400" i="2"/>
  <c r="D17401" i="2"/>
  <c r="D17402" i="2"/>
  <c r="D17403" i="2"/>
  <c r="D17404" i="2"/>
  <c r="D17405" i="2"/>
  <c r="D17406" i="2"/>
  <c r="D17407" i="2"/>
  <c r="D17408" i="2"/>
  <c r="D17409" i="2"/>
  <c r="D17410" i="2"/>
  <c r="D17411" i="2"/>
  <c r="D17412" i="2"/>
  <c r="D17413" i="2"/>
  <c r="D17414" i="2"/>
  <c r="D17415" i="2"/>
  <c r="D17416" i="2"/>
  <c r="D17417" i="2"/>
  <c r="D17418" i="2"/>
  <c r="D17419" i="2"/>
  <c r="D17420" i="2"/>
  <c r="D17421" i="2"/>
  <c r="D17422" i="2"/>
  <c r="D17423" i="2"/>
  <c r="D17424" i="2"/>
  <c r="D17425" i="2"/>
  <c r="D17426" i="2"/>
  <c r="D17427" i="2"/>
  <c r="D17428" i="2"/>
  <c r="D17429" i="2"/>
  <c r="D17430" i="2"/>
  <c r="D17431" i="2"/>
  <c r="D17432" i="2"/>
  <c r="D17433" i="2"/>
  <c r="D17434" i="2"/>
  <c r="D17435" i="2"/>
  <c r="D17436" i="2"/>
  <c r="D17437" i="2"/>
  <c r="D17438" i="2"/>
  <c r="D17439" i="2"/>
  <c r="D17440" i="2"/>
  <c r="D17441" i="2"/>
  <c r="D17442" i="2"/>
  <c r="D17443" i="2"/>
  <c r="D17444" i="2"/>
  <c r="D17445" i="2"/>
  <c r="D17446" i="2"/>
  <c r="D17447" i="2"/>
  <c r="D17448" i="2"/>
  <c r="D17449" i="2"/>
  <c r="D17450" i="2"/>
  <c r="D17451" i="2"/>
  <c r="D17452" i="2"/>
  <c r="D17453" i="2"/>
  <c r="D17454" i="2"/>
  <c r="D17455" i="2"/>
  <c r="D17456" i="2"/>
  <c r="D17457" i="2"/>
  <c r="D17458" i="2"/>
  <c r="D17459" i="2"/>
  <c r="D17460" i="2"/>
  <c r="D17461" i="2"/>
  <c r="D17462" i="2"/>
  <c r="D17463" i="2"/>
  <c r="D17464" i="2"/>
  <c r="D17465" i="2"/>
  <c r="D17466" i="2"/>
  <c r="D17467" i="2"/>
  <c r="D17468" i="2"/>
  <c r="D17469" i="2"/>
  <c r="D17470" i="2"/>
  <c r="D17471" i="2"/>
  <c r="D17472" i="2"/>
  <c r="D17473" i="2"/>
  <c r="D17474" i="2"/>
  <c r="D17475" i="2"/>
  <c r="D17476" i="2"/>
  <c r="D17477" i="2"/>
  <c r="D17478" i="2"/>
  <c r="D17479" i="2"/>
  <c r="D17480" i="2"/>
  <c r="D17481" i="2"/>
  <c r="D17482" i="2"/>
  <c r="D17483" i="2"/>
  <c r="D17484" i="2"/>
  <c r="D17485" i="2"/>
  <c r="D17486" i="2"/>
  <c r="D17487" i="2"/>
  <c r="D17488" i="2"/>
  <c r="D17489" i="2"/>
  <c r="D17490" i="2"/>
  <c r="D17491" i="2"/>
  <c r="D17492" i="2"/>
  <c r="D17493" i="2"/>
  <c r="D17494" i="2"/>
  <c r="D17495" i="2"/>
  <c r="D17496" i="2"/>
  <c r="D17497" i="2"/>
  <c r="D17498" i="2"/>
  <c r="D17499" i="2"/>
  <c r="D17500" i="2"/>
  <c r="D17501" i="2"/>
  <c r="D17502" i="2"/>
  <c r="D17503" i="2"/>
  <c r="D17504" i="2"/>
  <c r="D17505" i="2"/>
  <c r="D17506" i="2"/>
  <c r="D17507" i="2"/>
  <c r="D17508" i="2"/>
  <c r="D17509" i="2"/>
  <c r="D17510" i="2"/>
  <c r="D17511" i="2"/>
  <c r="D17512" i="2"/>
  <c r="D17513" i="2"/>
  <c r="D17514" i="2"/>
  <c r="D17515" i="2"/>
  <c r="D17516" i="2"/>
  <c r="D17517" i="2"/>
  <c r="D17518" i="2"/>
  <c r="D17519" i="2"/>
  <c r="D17520" i="2"/>
  <c r="D17521" i="2"/>
  <c r="D17522" i="2"/>
  <c r="D17523" i="2"/>
  <c r="D17524" i="2"/>
  <c r="D17525" i="2"/>
  <c r="D17526" i="2"/>
  <c r="D17527" i="2"/>
  <c r="D17528" i="2"/>
  <c r="D17529" i="2"/>
  <c r="D17530" i="2"/>
  <c r="D17531" i="2"/>
  <c r="D17532" i="2"/>
  <c r="D17533" i="2"/>
  <c r="D17534" i="2"/>
  <c r="D17535" i="2"/>
  <c r="D17536" i="2"/>
  <c r="D17537" i="2"/>
  <c r="D17538" i="2"/>
  <c r="D17539" i="2"/>
  <c r="D17540" i="2"/>
  <c r="D17541" i="2"/>
  <c r="D17542" i="2"/>
  <c r="D17543" i="2"/>
  <c r="D17544" i="2"/>
  <c r="D17545" i="2"/>
  <c r="D17546" i="2"/>
  <c r="D17547" i="2"/>
  <c r="D17548" i="2"/>
  <c r="D17549" i="2"/>
  <c r="D17550" i="2"/>
  <c r="D17551" i="2"/>
  <c r="D17552" i="2"/>
  <c r="D17553" i="2"/>
  <c r="D17554" i="2"/>
  <c r="D17555" i="2"/>
  <c r="D17556" i="2"/>
  <c r="D17557" i="2"/>
  <c r="D17558" i="2"/>
  <c r="D17559" i="2"/>
  <c r="D17560" i="2"/>
  <c r="D17561" i="2"/>
  <c r="D17562" i="2"/>
  <c r="D17563" i="2"/>
  <c r="D17564" i="2"/>
  <c r="D17565" i="2"/>
  <c r="D17566" i="2"/>
  <c r="D17567" i="2"/>
  <c r="D17568" i="2"/>
  <c r="D17569" i="2"/>
  <c r="D17570" i="2"/>
  <c r="D17571" i="2"/>
  <c r="D17572" i="2"/>
  <c r="D17573" i="2"/>
  <c r="D17574" i="2"/>
  <c r="D17575" i="2"/>
  <c r="D17576" i="2"/>
  <c r="D17577" i="2"/>
  <c r="D17578" i="2"/>
  <c r="D17579" i="2"/>
  <c r="D17580" i="2"/>
  <c r="D17581" i="2"/>
  <c r="D17582" i="2"/>
  <c r="D17583" i="2"/>
  <c r="D17584" i="2"/>
  <c r="D17585" i="2"/>
  <c r="D17586" i="2"/>
  <c r="D17587" i="2"/>
  <c r="D17588" i="2"/>
  <c r="D17589" i="2"/>
  <c r="D17590" i="2"/>
  <c r="D17591" i="2"/>
  <c r="D17592" i="2"/>
  <c r="D17593" i="2"/>
  <c r="D17594" i="2"/>
  <c r="D17595" i="2"/>
  <c r="D17596" i="2"/>
  <c r="D17597" i="2"/>
  <c r="D17598" i="2"/>
  <c r="D17599" i="2"/>
  <c r="D17600" i="2"/>
  <c r="D17601" i="2"/>
  <c r="D17602" i="2"/>
  <c r="D17603" i="2"/>
  <c r="D17604" i="2"/>
  <c r="D17605" i="2"/>
  <c r="D17606" i="2"/>
  <c r="D17607" i="2"/>
  <c r="D17608" i="2"/>
  <c r="D17609" i="2"/>
  <c r="D17610" i="2"/>
  <c r="D17611" i="2"/>
  <c r="D17612" i="2"/>
  <c r="D17613" i="2"/>
  <c r="D17614" i="2"/>
  <c r="D17615" i="2"/>
  <c r="D17616" i="2"/>
  <c r="D17617" i="2"/>
  <c r="D17618" i="2"/>
  <c r="D17619" i="2"/>
  <c r="D17620" i="2"/>
  <c r="D17621" i="2"/>
  <c r="D17622" i="2"/>
  <c r="D17623" i="2"/>
  <c r="D17624" i="2"/>
  <c r="D17625" i="2"/>
  <c r="D17626" i="2"/>
  <c r="D17627" i="2"/>
  <c r="D17628" i="2"/>
  <c r="D17629" i="2"/>
  <c r="D17630" i="2"/>
  <c r="D17631" i="2"/>
  <c r="D17632" i="2"/>
  <c r="D17633" i="2"/>
  <c r="D17634" i="2"/>
  <c r="D17635" i="2"/>
  <c r="D17636" i="2"/>
  <c r="D17637" i="2"/>
  <c r="D17638" i="2"/>
  <c r="D17639" i="2"/>
  <c r="D17640" i="2"/>
  <c r="D17641" i="2"/>
  <c r="D17642" i="2"/>
  <c r="D17643" i="2"/>
  <c r="D17644" i="2"/>
  <c r="D17645" i="2"/>
  <c r="D17646" i="2"/>
  <c r="D17647" i="2"/>
  <c r="D17648" i="2"/>
  <c r="D17649" i="2"/>
  <c r="D17650" i="2"/>
  <c r="D17651" i="2"/>
  <c r="D17652" i="2"/>
  <c r="D17653" i="2"/>
  <c r="D17654" i="2"/>
  <c r="D17655" i="2"/>
  <c r="D17656" i="2"/>
  <c r="D17657" i="2"/>
  <c r="D17658" i="2"/>
  <c r="D17659" i="2"/>
  <c r="D17660" i="2"/>
  <c r="D17661" i="2"/>
  <c r="D17662" i="2"/>
  <c r="D17663" i="2"/>
  <c r="D17664" i="2"/>
  <c r="D17665" i="2"/>
  <c r="D17666" i="2"/>
  <c r="D17667" i="2"/>
  <c r="D17668" i="2"/>
  <c r="D17669" i="2"/>
  <c r="D17670" i="2"/>
  <c r="D17671" i="2"/>
  <c r="D17672" i="2"/>
  <c r="D17673" i="2"/>
  <c r="D17674" i="2"/>
  <c r="D17675" i="2"/>
  <c r="D17676" i="2"/>
  <c r="D17677" i="2"/>
  <c r="D17678" i="2"/>
  <c r="D17679" i="2"/>
  <c r="D17680" i="2"/>
  <c r="D17681" i="2"/>
  <c r="D17682" i="2"/>
  <c r="D17683" i="2"/>
  <c r="D17684" i="2"/>
  <c r="D17685" i="2"/>
  <c r="D17686" i="2"/>
  <c r="D17687" i="2"/>
  <c r="D17688" i="2"/>
  <c r="D17689" i="2"/>
  <c r="D17690" i="2"/>
  <c r="D17691" i="2"/>
  <c r="D17692" i="2"/>
  <c r="D17693" i="2"/>
  <c r="D17694" i="2"/>
  <c r="D17695" i="2"/>
  <c r="D17696" i="2"/>
  <c r="D17697" i="2"/>
  <c r="D17698" i="2"/>
  <c r="D17699" i="2"/>
  <c r="D17700" i="2"/>
  <c r="D17701" i="2"/>
  <c r="D17702" i="2"/>
  <c r="D17703" i="2"/>
  <c r="D17704" i="2"/>
  <c r="D17705" i="2"/>
  <c r="D17706" i="2"/>
  <c r="D17707" i="2"/>
  <c r="D17708" i="2"/>
  <c r="D17709" i="2"/>
  <c r="D17710" i="2"/>
  <c r="D17711" i="2"/>
  <c r="D17712" i="2"/>
  <c r="D17713" i="2"/>
  <c r="D17714" i="2"/>
  <c r="D17715" i="2"/>
  <c r="D17716" i="2"/>
  <c r="D17717" i="2"/>
  <c r="D17718" i="2"/>
  <c r="D17719" i="2"/>
  <c r="D17720" i="2"/>
  <c r="D17721" i="2"/>
  <c r="D17722" i="2"/>
  <c r="D17723" i="2"/>
  <c r="D17724" i="2"/>
  <c r="D17725" i="2"/>
  <c r="D17726" i="2"/>
  <c r="D17727" i="2"/>
  <c r="D17728" i="2"/>
  <c r="D17729" i="2"/>
  <c r="D17730" i="2"/>
  <c r="D17731" i="2"/>
  <c r="D17732" i="2"/>
  <c r="D17733" i="2"/>
  <c r="D17734" i="2"/>
  <c r="D17735" i="2"/>
  <c r="D17736" i="2"/>
  <c r="D17737" i="2"/>
  <c r="D17738" i="2"/>
  <c r="D17739" i="2"/>
  <c r="D17740" i="2"/>
  <c r="D17741" i="2"/>
  <c r="D17742" i="2"/>
  <c r="D17743" i="2"/>
  <c r="D17744" i="2"/>
  <c r="D17745" i="2"/>
  <c r="D17746" i="2"/>
  <c r="D17747" i="2"/>
  <c r="D17748" i="2"/>
  <c r="D17749" i="2"/>
  <c r="D17750" i="2"/>
  <c r="D17751" i="2"/>
  <c r="D17752" i="2"/>
  <c r="D17753" i="2"/>
  <c r="D17754" i="2"/>
  <c r="D17755" i="2"/>
  <c r="D17756" i="2"/>
  <c r="D17757" i="2"/>
  <c r="D17758" i="2"/>
  <c r="D17759" i="2"/>
  <c r="D17760" i="2"/>
  <c r="D17761" i="2"/>
  <c r="D17762" i="2"/>
  <c r="D17763" i="2"/>
  <c r="D17764" i="2"/>
  <c r="D17765" i="2"/>
  <c r="D17766" i="2"/>
  <c r="D17767" i="2"/>
  <c r="D17768" i="2"/>
  <c r="D17769" i="2"/>
  <c r="D17770" i="2"/>
  <c r="D17771" i="2"/>
  <c r="D17772" i="2"/>
  <c r="D17773" i="2"/>
  <c r="D17774" i="2"/>
  <c r="D17775" i="2"/>
  <c r="D17776" i="2"/>
  <c r="D17777" i="2"/>
  <c r="D17778" i="2"/>
  <c r="D17779" i="2"/>
  <c r="D17780" i="2"/>
  <c r="D17781" i="2"/>
  <c r="D17782" i="2"/>
  <c r="D17783" i="2"/>
  <c r="D17784" i="2"/>
  <c r="D17785" i="2"/>
  <c r="D17786" i="2"/>
  <c r="D17787" i="2"/>
  <c r="D17788" i="2"/>
  <c r="D17789" i="2"/>
  <c r="D17790" i="2"/>
  <c r="D17791" i="2"/>
  <c r="D17792" i="2"/>
  <c r="D17793" i="2"/>
  <c r="D17794" i="2"/>
  <c r="D17795" i="2"/>
  <c r="D17796" i="2"/>
  <c r="D17797" i="2"/>
  <c r="D17798" i="2"/>
  <c r="D17799" i="2"/>
  <c r="D17800" i="2"/>
  <c r="D17801" i="2"/>
  <c r="D17802" i="2"/>
  <c r="D17803" i="2"/>
  <c r="D17804" i="2"/>
  <c r="D17805" i="2"/>
  <c r="D17806" i="2"/>
  <c r="D17807" i="2"/>
  <c r="D17808" i="2"/>
  <c r="D17809" i="2"/>
  <c r="D17810" i="2"/>
  <c r="D17811" i="2"/>
  <c r="D17812" i="2"/>
  <c r="D17813" i="2"/>
  <c r="D17814" i="2"/>
  <c r="D17815" i="2"/>
  <c r="D17816" i="2"/>
  <c r="D17817" i="2"/>
  <c r="D17818" i="2"/>
  <c r="D17819" i="2"/>
  <c r="D17820" i="2"/>
  <c r="D17821" i="2"/>
  <c r="D17822" i="2"/>
  <c r="D17823" i="2"/>
  <c r="D17824" i="2"/>
  <c r="D17825" i="2"/>
  <c r="D17826" i="2"/>
  <c r="D17827" i="2"/>
  <c r="D17828" i="2"/>
  <c r="D17829" i="2"/>
  <c r="D17830" i="2"/>
  <c r="D17831" i="2"/>
  <c r="D17832" i="2"/>
  <c r="D17833" i="2"/>
  <c r="D17834" i="2"/>
  <c r="D17835" i="2"/>
  <c r="D17836" i="2"/>
  <c r="D17837" i="2"/>
  <c r="D17838" i="2"/>
  <c r="D17839" i="2"/>
  <c r="D17840" i="2"/>
  <c r="D17841" i="2"/>
  <c r="D17842" i="2"/>
  <c r="D17843" i="2"/>
  <c r="D17844" i="2"/>
  <c r="D17845" i="2"/>
  <c r="D17846" i="2"/>
  <c r="D17847" i="2"/>
  <c r="D17848" i="2"/>
  <c r="D17849" i="2"/>
  <c r="D17850" i="2"/>
  <c r="D17851" i="2"/>
  <c r="D17852" i="2"/>
  <c r="D17853" i="2"/>
  <c r="D17854" i="2"/>
  <c r="D17855" i="2"/>
  <c r="D17856" i="2"/>
  <c r="D17857" i="2"/>
  <c r="D17858" i="2"/>
  <c r="D17859" i="2"/>
  <c r="D17860" i="2"/>
  <c r="D17861" i="2"/>
  <c r="D17862" i="2"/>
  <c r="D17863" i="2"/>
  <c r="D17864" i="2"/>
  <c r="D17865" i="2"/>
  <c r="D17866" i="2"/>
  <c r="D17867" i="2"/>
  <c r="D17868" i="2"/>
  <c r="D17869" i="2"/>
  <c r="D17870" i="2"/>
  <c r="D17871" i="2"/>
  <c r="D17872" i="2"/>
  <c r="D17873" i="2"/>
  <c r="D17874" i="2"/>
  <c r="D17875" i="2"/>
  <c r="D17876" i="2"/>
  <c r="D17877" i="2"/>
  <c r="D17878" i="2"/>
  <c r="D17879" i="2"/>
  <c r="D17880" i="2"/>
  <c r="D17881" i="2"/>
  <c r="D17882" i="2"/>
  <c r="D17883" i="2"/>
  <c r="D17884" i="2"/>
  <c r="D17885" i="2"/>
  <c r="D17886" i="2"/>
  <c r="D17887" i="2"/>
  <c r="D17888" i="2"/>
  <c r="D17889" i="2"/>
  <c r="D17890" i="2"/>
  <c r="D17891" i="2"/>
  <c r="D17892" i="2"/>
  <c r="D17893" i="2"/>
  <c r="D17894" i="2"/>
  <c r="D17895" i="2"/>
  <c r="D17896" i="2"/>
  <c r="D17897" i="2"/>
  <c r="D17898" i="2"/>
  <c r="D17899" i="2"/>
  <c r="D17900" i="2"/>
  <c r="D17901" i="2"/>
  <c r="D17902" i="2"/>
  <c r="D17903" i="2"/>
  <c r="D17904" i="2"/>
  <c r="D17905" i="2"/>
  <c r="D17906" i="2"/>
  <c r="D17907" i="2"/>
  <c r="D17908" i="2"/>
  <c r="D17909" i="2"/>
  <c r="D17910" i="2"/>
  <c r="D17911" i="2"/>
  <c r="D17912" i="2"/>
  <c r="D17913" i="2"/>
  <c r="D17914" i="2"/>
  <c r="D17915" i="2"/>
  <c r="D17916" i="2"/>
  <c r="D17917" i="2"/>
  <c r="D17918" i="2"/>
  <c r="D17919" i="2"/>
  <c r="D17920" i="2"/>
  <c r="D17921" i="2"/>
  <c r="D17922" i="2"/>
  <c r="D17923" i="2"/>
  <c r="D17924" i="2"/>
  <c r="D17925" i="2"/>
  <c r="D17926" i="2"/>
  <c r="D17927" i="2"/>
  <c r="D17928" i="2"/>
  <c r="D17929" i="2"/>
  <c r="D17930" i="2"/>
  <c r="D17931" i="2"/>
  <c r="D17932" i="2"/>
  <c r="D17933" i="2"/>
  <c r="D17934" i="2"/>
  <c r="D17935" i="2"/>
  <c r="D17936" i="2"/>
  <c r="D17937" i="2"/>
  <c r="D17938" i="2"/>
  <c r="D17939" i="2"/>
  <c r="D17940" i="2"/>
  <c r="D17941" i="2"/>
  <c r="D17942" i="2"/>
  <c r="D17943" i="2"/>
  <c r="D17944" i="2"/>
  <c r="D17945" i="2"/>
  <c r="D17946" i="2"/>
  <c r="D17947" i="2"/>
  <c r="D17948" i="2"/>
  <c r="D17949" i="2"/>
  <c r="D17950" i="2"/>
  <c r="D17951" i="2"/>
  <c r="D17952" i="2"/>
  <c r="D17953" i="2"/>
  <c r="D17954" i="2"/>
  <c r="D17955" i="2"/>
  <c r="D17956" i="2"/>
  <c r="D17957" i="2"/>
  <c r="D17958" i="2"/>
  <c r="D17959" i="2"/>
  <c r="D17960" i="2"/>
  <c r="D17961" i="2"/>
  <c r="D17962" i="2"/>
  <c r="D17963" i="2"/>
  <c r="D17964" i="2"/>
  <c r="D17965" i="2"/>
  <c r="D17966" i="2"/>
  <c r="D17967" i="2"/>
  <c r="D17968" i="2"/>
  <c r="D17969" i="2"/>
  <c r="D17970" i="2"/>
  <c r="D17971" i="2"/>
  <c r="D17972" i="2"/>
  <c r="D17973" i="2"/>
  <c r="D17974" i="2"/>
  <c r="D17975" i="2"/>
  <c r="D17976" i="2"/>
  <c r="D17977" i="2"/>
  <c r="D17978" i="2"/>
  <c r="D17979" i="2"/>
  <c r="D17980" i="2"/>
  <c r="D17981" i="2"/>
  <c r="D17982" i="2"/>
  <c r="D17983" i="2"/>
  <c r="D17984" i="2"/>
  <c r="D17985" i="2"/>
  <c r="D17986" i="2"/>
  <c r="D17987" i="2"/>
  <c r="D17988" i="2"/>
  <c r="D17989" i="2"/>
  <c r="D17990" i="2"/>
  <c r="D17991" i="2"/>
  <c r="D17992" i="2"/>
  <c r="D17993" i="2"/>
  <c r="D17994" i="2"/>
  <c r="D17995" i="2"/>
  <c r="D17996" i="2"/>
  <c r="D17997" i="2"/>
  <c r="D17998" i="2"/>
  <c r="D17999" i="2"/>
  <c r="D18000" i="2"/>
  <c r="D18001" i="2"/>
  <c r="D18002" i="2"/>
  <c r="D18003" i="2"/>
  <c r="D18004" i="2"/>
  <c r="D18005" i="2"/>
  <c r="D18006" i="2"/>
  <c r="D18007" i="2"/>
  <c r="D18008" i="2"/>
  <c r="D18009" i="2"/>
  <c r="D18010" i="2"/>
  <c r="D18011" i="2"/>
  <c r="D18012" i="2"/>
  <c r="D18013" i="2"/>
  <c r="D18014" i="2"/>
  <c r="D18015" i="2"/>
  <c r="D18016" i="2"/>
  <c r="D18017" i="2"/>
  <c r="D18018" i="2"/>
  <c r="D18019" i="2"/>
  <c r="D18020" i="2"/>
  <c r="D18021" i="2"/>
  <c r="D18022" i="2"/>
  <c r="D18023" i="2"/>
  <c r="D18024" i="2"/>
  <c r="D18025" i="2"/>
  <c r="D18026" i="2"/>
  <c r="D18027" i="2"/>
  <c r="D18028" i="2"/>
  <c r="D18029" i="2"/>
  <c r="D18030" i="2"/>
  <c r="D18031" i="2"/>
  <c r="D18032" i="2"/>
  <c r="D18033" i="2"/>
  <c r="D18034" i="2"/>
  <c r="D18035" i="2"/>
  <c r="D18036" i="2"/>
  <c r="D18037" i="2"/>
  <c r="D18038" i="2"/>
  <c r="D18039" i="2"/>
  <c r="D18040" i="2"/>
  <c r="D18041" i="2"/>
  <c r="D18042" i="2"/>
  <c r="D18043" i="2"/>
  <c r="D18044" i="2"/>
  <c r="D18045" i="2"/>
  <c r="D18046" i="2"/>
  <c r="D18047" i="2"/>
  <c r="D18048" i="2"/>
  <c r="D18049" i="2"/>
  <c r="D18050" i="2"/>
  <c r="D18051" i="2"/>
  <c r="D18052" i="2"/>
  <c r="D18053" i="2"/>
  <c r="D18054" i="2"/>
  <c r="D18055" i="2"/>
  <c r="D18056" i="2"/>
  <c r="D18057" i="2"/>
  <c r="D18058" i="2"/>
  <c r="D18059" i="2"/>
  <c r="D18060" i="2"/>
  <c r="D18061" i="2"/>
  <c r="D18062" i="2"/>
  <c r="D18063" i="2"/>
  <c r="D18064" i="2"/>
  <c r="D18065" i="2"/>
  <c r="D18066" i="2"/>
  <c r="D18067" i="2"/>
  <c r="D18068" i="2"/>
  <c r="D18069" i="2"/>
  <c r="D18070" i="2"/>
  <c r="D18071" i="2"/>
  <c r="D18072" i="2"/>
  <c r="D18073" i="2"/>
  <c r="D18074" i="2"/>
  <c r="D18075" i="2"/>
  <c r="D18076" i="2"/>
  <c r="D18077" i="2"/>
  <c r="D18078" i="2"/>
  <c r="D18079" i="2"/>
  <c r="D18080" i="2"/>
  <c r="D18081" i="2"/>
  <c r="D18082" i="2"/>
  <c r="D18083" i="2"/>
  <c r="D18084" i="2"/>
  <c r="D18085" i="2"/>
  <c r="D18086" i="2"/>
  <c r="D18087" i="2"/>
  <c r="D18088" i="2"/>
  <c r="D18089" i="2"/>
  <c r="D18090" i="2"/>
  <c r="D18091" i="2"/>
  <c r="D18092" i="2"/>
  <c r="D18093" i="2"/>
  <c r="D18094" i="2"/>
  <c r="D18095" i="2"/>
  <c r="D18096" i="2"/>
  <c r="D18097" i="2"/>
  <c r="D18098" i="2"/>
  <c r="D18099" i="2"/>
  <c r="D18100" i="2"/>
  <c r="D18101" i="2"/>
  <c r="D18102" i="2"/>
  <c r="D18103" i="2"/>
  <c r="D18104" i="2"/>
  <c r="D18105" i="2"/>
  <c r="D18106" i="2"/>
  <c r="D18107" i="2"/>
  <c r="D18108" i="2"/>
  <c r="D18109" i="2"/>
  <c r="D18110" i="2"/>
  <c r="D18111" i="2"/>
  <c r="D18112" i="2"/>
  <c r="D18113" i="2"/>
  <c r="D18114" i="2"/>
  <c r="D18115" i="2"/>
  <c r="D18116" i="2"/>
  <c r="D18117" i="2"/>
  <c r="D18118" i="2"/>
  <c r="D18119" i="2"/>
  <c r="D18120" i="2"/>
  <c r="D18121" i="2"/>
  <c r="D18122" i="2"/>
  <c r="D18123" i="2"/>
  <c r="D18124" i="2"/>
  <c r="D18125" i="2"/>
  <c r="D18126" i="2"/>
  <c r="D18127" i="2"/>
  <c r="D18128" i="2"/>
  <c r="D18129" i="2"/>
  <c r="D18130" i="2"/>
  <c r="D18131" i="2"/>
  <c r="D18132" i="2"/>
  <c r="D18133" i="2"/>
  <c r="D18134" i="2"/>
  <c r="D18135" i="2"/>
  <c r="D18136" i="2"/>
  <c r="D18137" i="2"/>
  <c r="D18138" i="2"/>
  <c r="D18139" i="2"/>
  <c r="D18140" i="2"/>
  <c r="D18141" i="2"/>
  <c r="D18142" i="2"/>
  <c r="D18143" i="2"/>
  <c r="D18144" i="2"/>
  <c r="D18145" i="2"/>
  <c r="D18146" i="2"/>
  <c r="D18147" i="2"/>
  <c r="D18148" i="2"/>
  <c r="D18149" i="2"/>
  <c r="D18150" i="2"/>
  <c r="D18151" i="2"/>
  <c r="D18152" i="2"/>
  <c r="D18153" i="2"/>
  <c r="D18154" i="2"/>
  <c r="D18155" i="2"/>
  <c r="D18156" i="2"/>
  <c r="D18157" i="2"/>
  <c r="D18158" i="2"/>
  <c r="D18159" i="2"/>
  <c r="D18160" i="2"/>
  <c r="D18161" i="2"/>
  <c r="D18162" i="2"/>
  <c r="D18163" i="2"/>
  <c r="D18164" i="2"/>
  <c r="D18165" i="2"/>
  <c r="D18166" i="2"/>
  <c r="D18167" i="2"/>
  <c r="D18168" i="2"/>
  <c r="D18169" i="2"/>
  <c r="D18170" i="2"/>
  <c r="D18171" i="2"/>
  <c r="D18172" i="2"/>
  <c r="D18173" i="2"/>
  <c r="D18174" i="2"/>
  <c r="D18175" i="2"/>
  <c r="D18176" i="2"/>
  <c r="D18177" i="2"/>
  <c r="D18178" i="2"/>
  <c r="D18179" i="2"/>
  <c r="D18180" i="2"/>
  <c r="D18181" i="2"/>
  <c r="D18182" i="2"/>
  <c r="D18183" i="2"/>
  <c r="D18184" i="2"/>
  <c r="D18185" i="2"/>
  <c r="D18186" i="2"/>
  <c r="D18187" i="2"/>
  <c r="D18188" i="2"/>
  <c r="D18189" i="2"/>
  <c r="D18190" i="2"/>
  <c r="D18191" i="2"/>
  <c r="D18192" i="2"/>
  <c r="D18193" i="2"/>
  <c r="D18194" i="2"/>
  <c r="D18195" i="2"/>
  <c r="D18196" i="2"/>
  <c r="D18197" i="2"/>
  <c r="D18198" i="2"/>
  <c r="D18199" i="2"/>
  <c r="D18200" i="2"/>
  <c r="D18201" i="2"/>
  <c r="D18202" i="2"/>
  <c r="D18203" i="2"/>
  <c r="D18204" i="2"/>
  <c r="D18205" i="2"/>
  <c r="D18206" i="2"/>
  <c r="D18207" i="2"/>
  <c r="D18208" i="2"/>
  <c r="D18209" i="2"/>
  <c r="D18210" i="2"/>
  <c r="D18211" i="2"/>
  <c r="D18212" i="2"/>
  <c r="D18213" i="2"/>
  <c r="D18214" i="2"/>
  <c r="D18215" i="2"/>
  <c r="D18216" i="2"/>
  <c r="D18217" i="2"/>
  <c r="D18218" i="2"/>
  <c r="D18219" i="2"/>
  <c r="D18220" i="2"/>
  <c r="D18221" i="2"/>
  <c r="D18222" i="2"/>
  <c r="D18223" i="2"/>
  <c r="D18224" i="2"/>
  <c r="D18225" i="2"/>
  <c r="D18226" i="2"/>
  <c r="D18227" i="2"/>
  <c r="D18228" i="2"/>
  <c r="D18229" i="2"/>
  <c r="D18230" i="2"/>
  <c r="D18231" i="2"/>
  <c r="D18232" i="2"/>
  <c r="D18233" i="2"/>
  <c r="D18234" i="2"/>
  <c r="D18235" i="2"/>
  <c r="D18236" i="2"/>
  <c r="D18237" i="2"/>
  <c r="D18238" i="2"/>
  <c r="D18239" i="2"/>
  <c r="D18240" i="2"/>
  <c r="D18241" i="2"/>
  <c r="D18242" i="2"/>
  <c r="D18243" i="2"/>
  <c r="D18244" i="2"/>
  <c r="D18245" i="2"/>
  <c r="D18246" i="2"/>
  <c r="D18247" i="2"/>
  <c r="D18248" i="2"/>
  <c r="D18249" i="2"/>
  <c r="D18250" i="2"/>
  <c r="D18251" i="2"/>
  <c r="D18252" i="2"/>
  <c r="D18253" i="2"/>
  <c r="D18254" i="2"/>
  <c r="D18255" i="2"/>
  <c r="D18256" i="2"/>
  <c r="D18257" i="2"/>
  <c r="D18258" i="2"/>
  <c r="D18259" i="2"/>
  <c r="D18260" i="2"/>
  <c r="D18261" i="2"/>
  <c r="D18262" i="2"/>
  <c r="D18263" i="2"/>
  <c r="D18264" i="2"/>
  <c r="D18265" i="2"/>
  <c r="D18266" i="2"/>
  <c r="D18267" i="2"/>
  <c r="D18268" i="2"/>
  <c r="D18269" i="2"/>
  <c r="D18270" i="2"/>
  <c r="D18271" i="2"/>
  <c r="D18272" i="2"/>
  <c r="D18273" i="2"/>
  <c r="D18274" i="2"/>
  <c r="D18275" i="2"/>
  <c r="D18276" i="2"/>
  <c r="D18277" i="2"/>
  <c r="D18278" i="2"/>
  <c r="D18279" i="2"/>
  <c r="D18280" i="2"/>
  <c r="D18281" i="2"/>
  <c r="D18282" i="2"/>
  <c r="D18283" i="2"/>
  <c r="D18284" i="2"/>
  <c r="D18285" i="2"/>
  <c r="D18286" i="2"/>
  <c r="D18287" i="2"/>
  <c r="D18288" i="2"/>
  <c r="D18289" i="2"/>
  <c r="D18290" i="2"/>
  <c r="D18291" i="2"/>
  <c r="D18292" i="2"/>
  <c r="D18293" i="2"/>
  <c r="D18294" i="2"/>
  <c r="D18295" i="2"/>
  <c r="D18296" i="2"/>
  <c r="D18297" i="2"/>
  <c r="D18298" i="2"/>
  <c r="D18299" i="2"/>
  <c r="D18300" i="2"/>
  <c r="D18301" i="2"/>
  <c r="D18302" i="2"/>
  <c r="D18303" i="2"/>
  <c r="D18304" i="2"/>
  <c r="D18305" i="2"/>
  <c r="D18306" i="2"/>
  <c r="D18307" i="2"/>
  <c r="D18308" i="2"/>
  <c r="D18309" i="2"/>
  <c r="D18310" i="2"/>
  <c r="D18311" i="2"/>
  <c r="D18312" i="2"/>
  <c r="D18313" i="2"/>
  <c r="D18314" i="2"/>
  <c r="D18315" i="2"/>
  <c r="D18316" i="2"/>
  <c r="D18317" i="2"/>
  <c r="D18318" i="2"/>
  <c r="D18319" i="2"/>
  <c r="D18320" i="2"/>
  <c r="D18321" i="2"/>
  <c r="D18322" i="2"/>
  <c r="D18323" i="2"/>
  <c r="D18324" i="2"/>
  <c r="D18325" i="2"/>
  <c r="D18326" i="2"/>
  <c r="D18327" i="2"/>
  <c r="D18328" i="2"/>
  <c r="D18329" i="2"/>
  <c r="D18330" i="2"/>
  <c r="D18331" i="2"/>
  <c r="D18332" i="2"/>
  <c r="D18333" i="2"/>
  <c r="D18334" i="2"/>
  <c r="D18335" i="2"/>
  <c r="D18336" i="2"/>
  <c r="D18337" i="2"/>
  <c r="D18338" i="2"/>
  <c r="D18339" i="2"/>
  <c r="D18340" i="2"/>
  <c r="D18341" i="2"/>
  <c r="D18342" i="2"/>
  <c r="D18343" i="2"/>
  <c r="D18344" i="2"/>
  <c r="D18345" i="2"/>
  <c r="D18346" i="2"/>
  <c r="D18347" i="2"/>
  <c r="D18348" i="2"/>
  <c r="D18349" i="2"/>
  <c r="D18350" i="2"/>
  <c r="D18351" i="2"/>
  <c r="D18352" i="2"/>
  <c r="D18353" i="2"/>
  <c r="D18354" i="2"/>
  <c r="D18355" i="2"/>
  <c r="D18356" i="2"/>
  <c r="D18357" i="2"/>
  <c r="D18358" i="2"/>
  <c r="D18359" i="2"/>
  <c r="D18360" i="2"/>
  <c r="D18361" i="2"/>
  <c r="D18362" i="2"/>
  <c r="D18363" i="2"/>
  <c r="D18364" i="2"/>
  <c r="D18365" i="2"/>
  <c r="D18366" i="2"/>
  <c r="D18367" i="2"/>
  <c r="D18368" i="2"/>
  <c r="D18369" i="2"/>
  <c r="D18370" i="2"/>
  <c r="D18371" i="2"/>
  <c r="D18372" i="2"/>
  <c r="D18373" i="2"/>
  <c r="D18374" i="2"/>
  <c r="D18375" i="2"/>
  <c r="D18376" i="2"/>
  <c r="D18377" i="2"/>
  <c r="D18378" i="2"/>
  <c r="D18379" i="2"/>
  <c r="D18380" i="2"/>
  <c r="D18381" i="2"/>
  <c r="D18382" i="2"/>
  <c r="D18383" i="2"/>
  <c r="D18384" i="2"/>
  <c r="D18385" i="2"/>
  <c r="D18386" i="2"/>
  <c r="D18387" i="2"/>
  <c r="D18388" i="2"/>
  <c r="D18389" i="2"/>
  <c r="D18390" i="2"/>
  <c r="D18391" i="2"/>
  <c r="D18392" i="2"/>
  <c r="D18393" i="2"/>
  <c r="D18394" i="2"/>
  <c r="D18395" i="2"/>
  <c r="D18396" i="2"/>
  <c r="D18397" i="2"/>
  <c r="D18398" i="2"/>
  <c r="D18399" i="2"/>
  <c r="D18400" i="2"/>
  <c r="D18401" i="2"/>
  <c r="D18402" i="2"/>
  <c r="D18403" i="2"/>
  <c r="D18404" i="2"/>
  <c r="D18405" i="2"/>
  <c r="D18406" i="2"/>
  <c r="D18407" i="2"/>
  <c r="D18408" i="2"/>
  <c r="D18409" i="2"/>
  <c r="D18410" i="2"/>
  <c r="D18411" i="2"/>
  <c r="D18412" i="2"/>
  <c r="D18413" i="2"/>
  <c r="D18414" i="2"/>
  <c r="D18415" i="2"/>
  <c r="D18416" i="2"/>
  <c r="D18417" i="2"/>
  <c r="D18418" i="2"/>
  <c r="D18419" i="2"/>
  <c r="D18420" i="2"/>
  <c r="D18421" i="2"/>
  <c r="D18422" i="2"/>
  <c r="D18423" i="2"/>
  <c r="D18424" i="2"/>
  <c r="D18425" i="2"/>
  <c r="D18426" i="2"/>
  <c r="D18427" i="2"/>
  <c r="D18428" i="2"/>
  <c r="D18429" i="2"/>
  <c r="D18430" i="2"/>
  <c r="D18431" i="2"/>
  <c r="D18432" i="2"/>
  <c r="D18433" i="2"/>
  <c r="D18434" i="2"/>
  <c r="D18435" i="2"/>
  <c r="D18436" i="2"/>
  <c r="D18437" i="2"/>
  <c r="D18438" i="2"/>
  <c r="D18439" i="2"/>
  <c r="D18440" i="2"/>
  <c r="D18441" i="2"/>
  <c r="D18442" i="2"/>
  <c r="D18443" i="2"/>
  <c r="D18444" i="2"/>
  <c r="D18445" i="2"/>
  <c r="D18446" i="2"/>
  <c r="D18447" i="2"/>
  <c r="D18448" i="2"/>
  <c r="D18449" i="2"/>
  <c r="D18450" i="2"/>
  <c r="D18451" i="2"/>
  <c r="D18452" i="2"/>
  <c r="D18453" i="2"/>
  <c r="D18454" i="2"/>
  <c r="D18455" i="2"/>
  <c r="D18456" i="2"/>
  <c r="D18457" i="2"/>
  <c r="D18458" i="2"/>
  <c r="D18459" i="2"/>
  <c r="D18460" i="2"/>
  <c r="D18461" i="2"/>
  <c r="D18462" i="2"/>
  <c r="D18463" i="2"/>
  <c r="D18464" i="2"/>
  <c r="D18465" i="2"/>
  <c r="D18466" i="2"/>
  <c r="D18467" i="2"/>
  <c r="D18468" i="2"/>
  <c r="D18469" i="2"/>
  <c r="D18470" i="2"/>
  <c r="D18471" i="2"/>
  <c r="D18472" i="2"/>
  <c r="D18473" i="2"/>
  <c r="D18474" i="2"/>
  <c r="D18475" i="2"/>
  <c r="D18476" i="2"/>
  <c r="D18477" i="2"/>
  <c r="D18478" i="2"/>
  <c r="D18479" i="2"/>
  <c r="D18480" i="2"/>
  <c r="D18481" i="2"/>
  <c r="D18482" i="2"/>
  <c r="D18483" i="2"/>
  <c r="D18484" i="2"/>
  <c r="D18485" i="2"/>
  <c r="D18486" i="2"/>
  <c r="D18487" i="2"/>
  <c r="D18488" i="2"/>
  <c r="D18489" i="2"/>
  <c r="D18490" i="2"/>
  <c r="D18491" i="2"/>
  <c r="D18492" i="2"/>
  <c r="D18493" i="2"/>
  <c r="D18494" i="2"/>
  <c r="D18495" i="2"/>
  <c r="D18496" i="2"/>
  <c r="D18497" i="2"/>
  <c r="D18498" i="2"/>
  <c r="D18499" i="2"/>
  <c r="D18500" i="2"/>
  <c r="D18501" i="2"/>
  <c r="D18502" i="2"/>
  <c r="D18503" i="2"/>
  <c r="D18504" i="2"/>
  <c r="D18505" i="2"/>
  <c r="D18506" i="2"/>
  <c r="D18507" i="2"/>
  <c r="D18508" i="2"/>
  <c r="D18509" i="2"/>
  <c r="D18510" i="2"/>
  <c r="D18511" i="2"/>
  <c r="D18512" i="2"/>
  <c r="D18513" i="2"/>
  <c r="D18514" i="2"/>
  <c r="D18515" i="2"/>
  <c r="D18516" i="2"/>
  <c r="D18517" i="2"/>
  <c r="D18518" i="2"/>
  <c r="D18519" i="2"/>
  <c r="D18520" i="2"/>
  <c r="D18521" i="2"/>
  <c r="D18522" i="2"/>
  <c r="D18523" i="2"/>
  <c r="D18524" i="2"/>
  <c r="D18525" i="2"/>
  <c r="D18526" i="2"/>
  <c r="D18527" i="2"/>
  <c r="D18528" i="2"/>
  <c r="D18529" i="2"/>
  <c r="D18530" i="2"/>
  <c r="D18531" i="2"/>
  <c r="D18532" i="2"/>
  <c r="D18533" i="2"/>
  <c r="D18534" i="2"/>
  <c r="D18535" i="2"/>
  <c r="D18536" i="2"/>
  <c r="D18537" i="2"/>
  <c r="D18538" i="2"/>
  <c r="D18539" i="2"/>
  <c r="D18540" i="2"/>
  <c r="D18541" i="2"/>
  <c r="D18542" i="2"/>
  <c r="D18543" i="2"/>
  <c r="D18544" i="2"/>
  <c r="D18545" i="2"/>
  <c r="D18546" i="2"/>
  <c r="D18547" i="2"/>
  <c r="D18548" i="2"/>
  <c r="D18549" i="2"/>
  <c r="D18550" i="2"/>
  <c r="D18551" i="2"/>
  <c r="D18552" i="2"/>
  <c r="D18553" i="2"/>
  <c r="D18554" i="2"/>
  <c r="D18555" i="2"/>
  <c r="D18556" i="2"/>
  <c r="D18557" i="2"/>
  <c r="D18558" i="2"/>
  <c r="D18559" i="2"/>
  <c r="D18560" i="2"/>
  <c r="D18561" i="2"/>
  <c r="D18562" i="2"/>
  <c r="D18563" i="2"/>
  <c r="D18564" i="2"/>
  <c r="D18565" i="2"/>
  <c r="D18566" i="2"/>
  <c r="D18567" i="2"/>
  <c r="D18568" i="2"/>
  <c r="D18569" i="2"/>
  <c r="D18570" i="2"/>
  <c r="D18571" i="2"/>
  <c r="D18572" i="2"/>
  <c r="D18573" i="2"/>
  <c r="D18574" i="2"/>
  <c r="D18575" i="2"/>
  <c r="D18576" i="2"/>
  <c r="D18577" i="2"/>
  <c r="D18578" i="2"/>
  <c r="D18579" i="2"/>
  <c r="D18580" i="2"/>
  <c r="D18581" i="2"/>
  <c r="D18582" i="2"/>
  <c r="D18583" i="2"/>
  <c r="D18584" i="2"/>
  <c r="D18585" i="2"/>
  <c r="D18586" i="2"/>
  <c r="D18587" i="2"/>
  <c r="D18588" i="2"/>
  <c r="D18589" i="2"/>
  <c r="D18590" i="2"/>
  <c r="D18591" i="2"/>
  <c r="D18592" i="2"/>
  <c r="D18593" i="2"/>
  <c r="D18594" i="2"/>
  <c r="D18595" i="2"/>
  <c r="D18596" i="2"/>
  <c r="D18597" i="2"/>
  <c r="D18598" i="2"/>
  <c r="D18599" i="2"/>
  <c r="D18600" i="2"/>
  <c r="D18601" i="2"/>
  <c r="D18602" i="2"/>
  <c r="D18603" i="2"/>
  <c r="D18604" i="2"/>
  <c r="D18605" i="2"/>
  <c r="D18606" i="2"/>
  <c r="D18607" i="2"/>
  <c r="D18608" i="2"/>
  <c r="D18609" i="2"/>
  <c r="D18610" i="2"/>
  <c r="D18611" i="2"/>
  <c r="D18612" i="2"/>
  <c r="D18613" i="2"/>
  <c r="D18614" i="2"/>
  <c r="D18615" i="2"/>
  <c r="D18616" i="2"/>
  <c r="D18617" i="2"/>
  <c r="D18618" i="2"/>
  <c r="D18619" i="2"/>
  <c r="D18620" i="2"/>
  <c r="D18621" i="2"/>
  <c r="D18622" i="2"/>
  <c r="D18623" i="2"/>
  <c r="D18624" i="2"/>
  <c r="D18625" i="2"/>
  <c r="D18626" i="2"/>
  <c r="D18627" i="2"/>
  <c r="D18628" i="2"/>
  <c r="D18629" i="2"/>
  <c r="D18630" i="2"/>
  <c r="D18631" i="2"/>
  <c r="D18632" i="2"/>
  <c r="D18633" i="2"/>
  <c r="D18634" i="2"/>
  <c r="D18635" i="2"/>
  <c r="D18636" i="2"/>
  <c r="D18637" i="2"/>
  <c r="D18638" i="2"/>
  <c r="D18639" i="2"/>
  <c r="D18640" i="2"/>
  <c r="D18641" i="2"/>
  <c r="D18642" i="2"/>
  <c r="D18643" i="2"/>
  <c r="D18644" i="2"/>
  <c r="D18645" i="2"/>
  <c r="D18646" i="2"/>
  <c r="D18647" i="2"/>
  <c r="D18648" i="2"/>
  <c r="D18649" i="2"/>
  <c r="D18650" i="2"/>
  <c r="D18651" i="2"/>
  <c r="D18652" i="2"/>
  <c r="D18653" i="2"/>
  <c r="D18654" i="2"/>
  <c r="D18655" i="2"/>
  <c r="D18656" i="2"/>
  <c r="D18657" i="2"/>
  <c r="D18658" i="2"/>
  <c r="D18659" i="2"/>
  <c r="D18660" i="2"/>
  <c r="D18661" i="2"/>
  <c r="D18662" i="2"/>
  <c r="D18663" i="2"/>
  <c r="D18664" i="2"/>
  <c r="D18665" i="2"/>
  <c r="D18666" i="2"/>
  <c r="D18667" i="2"/>
  <c r="D18668" i="2"/>
  <c r="D18669" i="2"/>
  <c r="D18670" i="2"/>
  <c r="D18671" i="2"/>
  <c r="D18672" i="2"/>
  <c r="D18673" i="2"/>
  <c r="D18674" i="2"/>
  <c r="D18675" i="2"/>
  <c r="D18676" i="2"/>
  <c r="D18677" i="2"/>
  <c r="D18678" i="2"/>
  <c r="D18679" i="2"/>
  <c r="D18680" i="2"/>
  <c r="D18681" i="2"/>
  <c r="D18682" i="2"/>
  <c r="D18683" i="2"/>
  <c r="D18684" i="2"/>
  <c r="D18685" i="2"/>
  <c r="D18686" i="2"/>
  <c r="D18687" i="2"/>
  <c r="D18688" i="2"/>
  <c r="D18689" i="2"/>
  <c r="D18690" i="2"/>
  <c r="D18691" i="2"/>
  <c r="D18692" i="2"/>
  <c r="D18693" i="2"/>
  <c r="D18694" i="2"/>
  <c r="D18695" i="2"/>
  <c r="D18696" i="2"/>
  <c r="D18697" i="2"/>
  <c r="D18698" i="2"/>
  <c r="D18699" i="2"/>
  <c r="D18700" i="2"/>
  <c r="D18701" i="2"/>
  <c r="D18702" i="2"/>
  <c r="D18703" i="2"/>
  <c r="D18704" i="2"/>
  <c r="D18705" i="2"/>
  <c r="D18706" i="2"/>
  <c r="D18707" i="2"/>
  <c r="D18708" i="2"/>
  <c r="D18709" i="2"/>
  <c r="D18710" i="2"/>
  <c r="D18711" i="2"/>
  <c r="D18712" i="2"/>
  <c r="D18713" i="2"/>
  <c r="D18714" i="2"/>
  <c r="D18715" i="2"/>
  <c r="D18716" i="2"/>
  <c r="D18717" i="2"/>
  <c r="D18718" i="2"/>
  <c r="D18719" i="2"/>
  <c r="D18720" i="2"/>
  <c r="D18721" i="2"/>
  <c r="D18722" i="2"/>
  <c r="D18723" i="2"/>
  <c r="D18724" i="2"/>
  <c r="D18725" i="2"/>
  <c r="D18726" i="2"/>
  <c r="D18727" i="2"/>
  <c r="D18728" i="2"/>
  <c r="D18729" i="2"/>
  <c r="D18730" i="2"/>
  <c r="D18731" i="2"/>
  <c r="D18732" i="2"/>
  <c r="D18733" i="2"/>
  <c r="D18734" i="2"/>
  <c r="D18735" i="2"/>
  <c r="D18736" i="2"/>
  <c r="D18737" i="2"/>
  <c r="D18738" i="2"/>
  <c r="D18739" i="2"/>
  <c r="D18740" i="2"/>
  <c r="D18741" i="2"/>
  <c r="D18742" i="2"/>
  <c r="D18743" i="2"/>
  <c r="D18744" i="2"/>
  <c r="D18745" i="2"/>
  <c r="D18746" i="2"/>
  <c r="D18747" i="2"/>
  <c r="D18748" i="2"/>
  <c r="D18749" i="2"/>
  <c r="D18750" i="2"/>
  <c r="D18751" i="2"/>
  <c r="D18752" i="2"/>
  <c r="D18753" i="2"/>
  <c r="D18754" i="2"/>
  <c r="D18755" i="2"/>
  <c r="D18756" i="2"/>
  <c r="D18757" i="2"/>
  <c r="D18758" i="2"/>
  <c r="D18759" i="2"/>
  <c r="D18760" i="2"/>
  <c r="D18761" i="2"/>
  <c r="D18762" i="2"/>
  <c r="D18763" i="2"/>
  <c r="D18764" i="2"/>
  <c r="D18765" i="2"/>
  <c r="D18766" i="2"/>
  <c r="D18767" i="2"/>
  <c r="D18768" i="2"/>
  <c r="D18769" i="2"/>
  <c r="D18770" i="2"/>
  <c r="D18771" i="2"/>
  <c r="D18772" i="2"/>
  <c r="D18773" i="2"/>
  <c r="D18774" i="2"/>
  <c r="D18775" i="2"/>
  <c r="D18776" i="2"/>
  <c r="D18777" i="2"/>
  <c r="D18778" i="2"/>
  <c r="D18779" i="2"/>
  <c r="D18780" i="2"/>
  <c r="D18781" i="2"/>
  <c r="D18782" i="2"/>
  <c r="D18783" i="2"/>
  <c r="D18784" i="2"/>
  <c r="D18785" i="2"/>
  <c r="D18786" i="2"/>
  <c r="D18787" i="2"/>
  <c r="D18788" i="2"/>
  <c r="D18789" i="2"/>
  <c r="D18790" i="2"/>
  <c r="D18791" i="2"/>
  <c r="D18792" i="2"/>
  <c r="D18793" i="2"/>
  <c r="D18794" i="2"/>
  <c r="D18795" i="2"/>
  <c r="D18796" i="2"/>
  <c r="D18797" i="2"/>
  <c r="D18798" i="2"/>
  <c r="D18799" i="2"/>
  <c r="D18800" i="2"/>
  <c r="D18801" i="2"/>
  <c r="D18802" i="2"/>
  <c r="D18803" i="2"/>
  <c r="D18804" i="2"/>
  <c r="D18805" i="2"/>
  <c r="D18806" i="2"/>
  <c r="D18807" i="2"/>
  <c r="D18808" i="2"/>
  <c r="D18809" i="2"/>
  <c r="D18810" i="2"/>
  <c r="D18811" i="2"/>
  <c r="D18812" i="2"/>
  <c r="D18813" i="2"/>
  <c r="D18814" i="2"/>
  <c r="D18815" i="2"/>
  <c r="D18816" i="2"/>
  <c r="D18817" i="2"/>
  <c r="D18818" i="2"/>
  <c r="D18819" i="2"/>
  <c r="D18820" i="2"/>
  <c r="D18821" i="2"/>
  <c r="D18822" i="2"/>
  <c r="D18823" i="2"/>
  <c r="D18824" i="2"/>
  <c r="D18825" i="2"/>
  <c r="D18826" i="2"/>
  <c r="D18827" i="2"/>
  <c r="D18828" i="2"/>
  <c r="D18829" i="2"/>
  <c r="D18830" i="2"/>
  <c r="D18831" i="2"/>
  <c r="D18832" i="2"/>
  <c r="D18833" i="2"/>
  <c r="D18834" i="2"/>
  <c r="D18835" i="2"/>
  <c r="D18836" i="2"/>
  <c r="D18837" i="2"/>
  <c r="D18838" i="2"/>
  <c r="D18839" i="2"/>
  <c r="D18840" i="2"/>
  <c r="D18841" i="2"/>
  <c r="D18842" i="2"/>
  <c r="D18843" i="2"/>
  <c r="D18844" i="2"/>
  <c r="D18845" i="2"/>
  <c r="D18846" i="2"/>
  <c r="D18847" i="2"/>
  <c r="D18848" i="2"/>
  <c r="D18849" i="2"/>
  <c r="D18850" i="2"/>
  <c r="D18851" i="2"/>
  <c r="D18852" i="2"/>
  <c r="D18853" i="2"/>
  <c r="D18854" i="2"/>
  <c r="D18855" i="2"/>
  <c r="D18856" i="2"/>
  <c r="D18857" i="2"/>
  <c r="D18858" i="2"/>
  <c r="D18859" i="2"/>
  <c r="D18860" i="2"/>
  <c r="D18861" i="2"/>
  <c r="D18862" i="2"/>
  <c r="D18863" i="2"/>
  <c r="D18864" i="2"/>
  <c r="D18865" i="2"/>
  <c r="D18866" i="2"/>
  <c r="D18867" i="2"/>
  <c r="D18868" i="2"/>
  <c r="D18869" i="2"/>
  <c r="D18870" i="2"/>
  <c r="D18871" i="2"/>
  <c r="D18872" i="2"/>
  <c r="D18873" i="2"/>
  <c r="D18874" i="2"/>
  <c r="D18875" i="2"/>
  <c r="D18876" i="2"/>
  <c r="D18877" i="2"/>
  <c r="D18878" i="2"/>
  <c r="D18879" i="2"/>
  <c r="D18880" i="2"/>
  <c r="D18881" i="2"/>
  <c r="D18882" i="2"/>
  <c r="D18883" i="2"/>
  <c r="D18884" i="2"/>
  <c r="D18885" i="2"/>
  <c r="D18886" i="2"/>
  <c r="D18887" i="2"/>
  <c r="D18888" i="2"/>
  <c r="D18889" i="2"/>
  <c r="D18890" i="2"/>
  <c r="D18891" i="2"/>
  <c r="D18892" i="2"/>
  <c r="D18893" i="2"/>
  <c r="D18894" i="2"/>
  <c r="D18895" i="2"/>
  <c r="D18896" i="2"/>
  <c r="D18897" i="2"/>
  <c r="D18898" i="2"/>
  <c r="D18899" i="2"/>
  <c r="D18900" i="2"/>
  <c r="D18901" i="2"/>
  <c r="D18902" i="2"/>
  <c r="D18903" i="2"/>
  <c r="D18904" i="2"/>
  <c r="D18905" i="2"/>
  <c r="D18906" i="2"/>
  <c r="D18907" i="2"/>
  <c r="D18908" i="2"/>
  <c r="D18909" i="2"/>
  <c r="D18910" i="2"/>
  <c r="D18911" i="2"/>
  <c r="D18912" i="2"/>
  <c r="D18913" i="2"/>
  <c r="D18914" i="2"/>
  <c r="D18915" i="2"/>
  <c r="D18916" i="2"/>
  <c r="D18917" i="2"/>
  <c r="D18918" i="2"/>
  <c r="D18919" i="2"/>
  <c r="D18920" i="2"/>
  <c r="D18921" i="2"/>
  <c r="D18922" i="2"/>
  <c r="D18923" i="2"/>
  <c r="D18924" i="2"/>
  <c r="D18925" i="2"/>
  <c r="D18926" i="2"/>
  <c r="D18927" i="2"/>
  <c r="D18928" i="2"/>
  <c r="D18929" i="2"/>
  <c r="D18930" i="2"/>
  <c r="D18931" i="2"/>
  <c r="D18932" i="2"/>
  <c r="D18933" i="2"/>
  <c r="D18934" i="2"/>
  <c r="D18935" i="2"/>
  <c r="D18936" i="2"/>
  <c r="D18937" i="2"/>
  <c r="D18938" i="2"/>
  <c r="D18939" i="2"/>
  <c r="D18940" i="2"/>
  <c r="D18941" i="2"/>
  <c r="D18942" i="2"/>
  <c r="D18943" i="2"/>
  <c r="D18944" i="2"/>
  <c r="D18945" i="2"/>
  <c r="D18946" i="2"/>
  <c r="D18947" i="2"/>
  <c r="D18948" i="2"/>
  <c r="D18949" i="2"/>
  <c r="D18950" i="2"/>
  <c r="D18951" i="2"/>
  <c r="D18952" i="2"/>
  <c r="D18953" i="2"/>
  <c r="D18954" i="2"/>
  <c r="D18955" i="2"/>
  <c r="D18956" i="2"/>
  <c r="D18957" i="2"/>
  <c r="D18958" i="2"/>
  <c r="D18959" i="2"/>
  <c r="D18960" i="2"/>
  <c r="D18961" i="2"/>
  <c r="D18962" i="2"/>
  <c r="D18963" i="2"/>
  <c r="D18964" i="2"/>
  <c r="D18965" i="2"/>
  <c r="D18966" i="2"/>
  <c r="D18967" i="2"/>
  <c r="D18968" i="2"/>
  <c r="D18969" i="2"/>
  <c r="D18970" i="2"/>
  <c r="D18971" i="2"/>
  <c r="D18972" i="2"/>
  <c r="D18973" i="2"/>
  <c r="D18974" i="2"/>
  <c r="D18975" i="2"/>
  <c r="D18976" i="2"/>
  <c r="D18977" i="2"/>
  <c r="D18978" i="2"/>
  <c r="D18979" i="2"/>
  <c r="D18980" i="2"/>
  <c r="D18981" i="2"/>
  <c r="D18982" i="2"/>
  <c r="D18983" i="2"/>
  <c r="D18984" i="2"/>
  <c r="D18985" i="2"/>
  <c r="D18986" i="2"/>
  <c r="D18987" i="2"/>
  <c r="D18988" i="2"/>
  <c r="D18989" i="2"/>
  <c r="D18990" i="2"/>
  <c r="D18991" i="2"/>
  <c r="D18992" i="2"/>
  <c r="D18993" i="2"/>
  <c r="D18994" i="2"/>
  <c r="D18995" i="2"/>
  <c r="D18996" i="2"/>
  <c r="D18997" i="2"/>
  <c r="D18998" i="2"/>
  <c r="D18999" i="2"/>
  <c r="D19000" i="2"/>
  <c r="D19001" i="2"/>
  <c r="D19002" i="2"/>
  <c r="D19003" i="2"/>
  <c r="D19004" i="2"/>
  <c r="D19005" i="2"/>
  <c r="D19006" i="2"/>
  <c r="D19007" i="2"/>
  <c r="D19008" i="2"/>
  <c r="D19009" i="2"/>
  <c r="D19010" i="2"/>
  <c r="D19011" i="2"/>
  <c r="D19012" i="2"/>
  <c r="D19013" i="2"/>
  <c r="D19014" i="2"/>
  <c r="D19015" i="2"/>
  <c r="D19016" i="2"/>
  <c r="D19017" i="2"/>
  <c r="D19018" i="2"/>
  <c r="D19019" i="2"/>
  <c r="D19020" i="2"/>
  <c r="D19021" i="2"/>
  <c r="D19022" i="2"/>
  <c r="D19023" i="2"/>
  <c r="D19024" i="2"/>
  <c r="D19025" i="2"/>
  <c r="D19026" i="2"/>
  <c r="D19027" i="2"/>
  <c r="D19028" i="2"/>
  <c r="D19029" i="2"/>
  <c r="D19030" i="2"/>
  <c r="D19031" i="2"/>
  <c r="D19032" i="2"/>
  <c r="D19033" i="2"/>
  <c r="D19034" i="2"/>
  <c r="D19035" i="2"/>
  <c r="D19036" i="2"/>
  <c r="D19037" i="2"/>
  <c r="D19038" i="2"/>
  <c r="D19039" i="2"/>
  <c r="D19040" i="2"/>
  <c r="D19041" i="2"/>
  <c r="D19042" i="2"/>
  <c r="D19043" i="2"/>
  <c r="D19044" i="2"/>
  <c r="D19045" i="2"/>
  <c r="D19046" i="2"/>
  <c r="D19047" i="2"/>
  <c r="D19048" i="2"/>
  <c r="D19049" i="2"/>
  <c r="D19050" i="2"/>
  <c r="D19051" i="2"/>
  <c r="D19052" i="2"/>
  <c r="D19053" i="2"/>
  <c r="D19054" i="2"/>
  <c r="D19055" i="2"/>
  <c r="D19056" i="2"/>
  <c r="D19057" i="2"/>
  <c r="D19058" i="2"/>
  <c r="D19059" i="2"/>
  <c r="D19060" i="2"/>
  <c r="D19061" i="2"/>
  <c r="D19062" i="2"/>
  <c r="D19063" i="2"/>
  <c r="D19064" i="2"/>
  <c r="D19065" i="2"/>
  <c r="D19066" i="2"/>
  <c r="D19067" i="2"/>
  <c r="D19068" i="2"/>
  <c r="D19069" i="2"/>
  <c r="D19070" i="2"/>
  <c r="D19071" i="2"/>
  <c r="D19072" i="2"/>
  <c r="D19073" i="2"/>
  <c r="D19074" i="2"/>
  <c r="D19075" i="2"/>
  <c r="D19076" i="2"/>
  <c r="D19077" i="2"/>
  <c r="D19078" i="2"/>
  <c r="D19079" i="2"/>
  <c r="D19080" i="2"/>
  <c r="D19081" i="2"/>
  <c r="D19082" i="2"/>
  <c r="D19083" i="2"/>
  <c r="D19084" i="2"/>
  <c r="D19085" i="2"/>
  <c r="D19086" i="2"/>
  <c r="D19087" i="2"/>
  <c r="D19088" i="2"/>
  <c r="D19089" i="2"/>
  <c r="D19090" i="2"/>
  <c r="D19091" i="2"/>
  <c r="D19092" i="2"/>
  <c r="D19093" i="2"/>
  <c r="D19094" i="2"/>
  <c r="D19095" i="2"/>
  <c r="D19096" i="2"/>
  <c r="D19097" i="2"/>
  <c r="D19098" i="2"/>
  <c r="D19099" i="2"/>
  <c r="D19100" i="2"/>
  <c r="D19101" i="2"/>
  <c r="D19102" i="2"/>
  <c r="D19103" i="2"/>
  <c r="D19104" i="2"/>
  <c r="D19105" i="2"/>
  <c r="D19106" i="2"/>
  <c r="D19107" i="2"/>
  <c r="D19108" i="2"/>
  <c r="D19109" i="2"/>
  <c r="D19110" i="2"/>
  <c r="D19111" i="2"/>
  <c r="D19112" i="2"/>
  <c r="D19113" i="2"/>
  <c r="D19114" i="2"/>
  <c r="D19115" i="2"/>
  <c r="D19116" i="2"/>
  <c r="D19117" i="2"/>
  <c r="D19118" i="2"/>
  <c r="D19119" i="2"/>
  <c r="D19120" i="2"/>
  <c r="D19121" i="2"/>
  <c r="D19122" i="2"/>
  <c r="D19123" i="2"/>
  <c r="D19124" i="2"/>
  <c r="D19125" i="2"/>
  <c r="D19126" i="2"/>
  <c r="D19127" i="2"/>
  <c r="D19128" i="2"/>
  <c r="D19129" i="2"/>
  <c r="D19130" i="2"/>
  <c r="D19131" i="2"/>
  <c r="D19132" i="2"/>
  <c r="D19133" i="2"/>
  <c r="D19134" i="2"/>
  <c r="D19135" i="2"/>
  <c r="D19136" i="2"/>
  <c r="D19137" i="2"/>
  <c r="D19138" i="2"/>
  <c r="D19139" i="2"/>
  <c r="D19140" i="2"/>
  <c r="D19141" i="2"/>
  <c r="D19142" i="2"/>
  <c r="D19143" i="2"/>
  <c r="D19144" i="2"/>
  <c r="D19145" i="2"/>
  <c r="D19146" i="2"/>
  <c r="D19147" i="2"/>
  <c r="D19148" i="2"/>
  <c r="D19149" i="2"/>
  <c r="D19150" i="2"/>
  <c r="D19151" i="2"/>
  <c r="D19152" i="2"/>
  <c r="D19153" i="2"/>
  <c r="D19154" i="2"/>
  <c r="D19155" i="2"/>
  <c r="D19156" i="2"/>
  <c r="D19157" i="2"/>
  <c r="D19158" i="2"/>
  <c r="D19159" i="2"/>
  <c r="D19160" i="2"/>
  <c r="D19161" i="2"/>
  <c r="D19162" i="2"/>
  <c r="D19163" i="2"/>
  <c r="D19164" i="2"/>
  <c r="D19165" i="2"/>
  <c r="D19166" i="2"/>
  <c r="D19167" i="2"/>
  <c r="D19168" i="2"/>
  <c r="D19169" i="2"/>
  <c r="D19170" i="2"/>
  <c r="D19171" i="2"/>
  <c r="D19172" i="2"/>
  <c r="D19173" i="2"/>
  <c r="D19174" i="2"/>
  <c r="D19175" i="2"/>
  <c r="D19176" i="2"/>
  <c r="D19177" i="2"/>
  <c r="D19178" i="2"/>
  <c r="D19179" i="2"/>
  <c r="D19180" i="2"/>
  <c r="D19181" i="2"/>
  <c r="D19182" i="2"/>
  <c r="D19183" i="2"/>
  <c r="D19184" i="2"/>
  <c r="D19185" i="2"/>
  <c r="D19186" i="2"/>
  <c r="D19187" i="2"/>
  <c r="D19188" i="2"/>
  <c r="D19189" i="2"/>
  <c r="D19190" i="2"/>
  <c r="D19191" i="2"/>
  <c r="D19192" i="2"/>
  <c r="D19193" i="2"/>
  <c r="D19194" i="2"/>
  <c r="D19195" i="2"/>
  <c r="D19196" i="2"/>
  <c r="D19197" i="2"/>
  <c r="D19198" i="2"/>
  <c r="D19199" i="2"/>
  <c r="D19200" i="2"/>
  <c r="D19201" i="2"/>
  <c r="D19202" i="2"/>
  <c r="D19203" i="2"/>
  <c r="D19204" i="2"/>
  <c r="D19205" i="2"/>
  <c r="D19206" i="2"/>
  <c r="D19207" i="2"/>
  <c r="D19208" i="2"/>
  <c r="D19209" i="2"/>
  <c r="D19210" i="2"/>
  <c r="D19211" i="2"/>
  <c r="D19212" i="2"/>
  <c r="D19213" i="2"/>
  <c r="D19214" i="2"/>
  <c r="D19215" i="2"/>
  <c r="D19216" i="2"/>
  <c r="D19217" i="2"/>
  <c r="D19218" i="2"/>
  <c r="D19219" i="2"/>
  <c r="D19220" i="2"/>
  <c r="D19221" i="2"/>
  <c r="D19222" i="2"/>
  <c r="D19223" i="2"/>
  <c r="D19224" i="2"/>
  <c r="D19225" i="2"/>
  <c r="D19226" i="2"/>
  <c r="D19227" i="2"/>
  <c r="D19228" i="2"/>
  <c r="D19229" i="2"/>
  <c r="D19230" i="2"/>
  <c r="D19231" i="2"/>
  <c r="D19232" i="2"/>
  <c r="D19233" i="2"/>
  <c r="D19234" i="2"/>
  <c r="D19235" i="2"/>
  <c r="D19236" i="2"/>
  <c r="D19237" i="2"/>
  <c r="D19238" i="2"/>
  <c r="D19239" i="2"/>
  <c r="D19240" i="2"/>
  <c r="D19241" i="2"/>
  <c r="D19242" i="2"/>
  <c r="D19243" i="2"/>
  <c r="D19244" i="2"/>
  <c r="D19245" i="2"/>
  <c r="D19246" i="2"/>
  <c r="D19247" i="2"/>
  <c r="D19248" i="2"/>
  <c r="D19249" i="2"/>
  <c r="D19250" i="2"/>
  <c r="D19251" i="2"/>
  <c r="D19252" i="2"/>
  <c r="D19253" i="2"/>
  <c r="D19254" i="2"/>
  <c r="D19255" i="2"/>
  <c r="D19256" i="2"/>
  <c r="D19257" i="2"/>
  <c r="D19258" i="2"/>
  <c r="D19259" i="2"/>
  <c r="D19260" i="2"/>
  <c r="D19261" i="2"/>
  <c r="D19262" i="2"/>
  <c r="D19263" i="2"/>
  <c r="D19264" i="2"/>
  <c r="D19265" i="2"/>
  <c r="D19266" i="2"/>
  <c r="D19267" i="2"/>
  <c r="D19268" i="2"/>
  <c r="D19269" i="2"/>
  <c r="D19270" i="2"/>
  <c r="D19271" i="2"/>
  <c r="D19272" i="2"/>
  <c r="D19273" i="2"/>
  <c r="D19274" i="2"/>
  <c r="D19275" i="2"/>
  <c r="D19276" i="2"/>
  <c r="D19277" i="2"/>
  <c r="D19278" i="2"/>
  <c r="D19279" i="2"/>
  <c r="D19280" i="2"/>
  <c r="D19281" i="2"/>
  <c r="D19282" i="2"/>
  <c r="D19283" i="2"/>
  <c r="D19284" i="2"/>
  <c r="D19285" i="2"/>
  <c r="D19286" i="2"/>
  <c r="D19287" i="2"/>
  <c r="D19288" i="2"/>
  <c r="D19289" i="2"/>
  <c r="D19290" i="2"/>
  <c r="D19291" i="2"/>
  <c r="D19292" i="2"/>
  <c r="D19293" i="2"/>
  <c r="D19294" i="2"/>
  <c r="D19295" i="2"/>
  <c r="D19296" i="2"/>
  <c r="D19297" i="2"/>
  <c r="D19298" i="2"/>
  <c r="D19299" i="2"/>
  <c r="D19300" i="2"/>
  <c r="D19301" i="2"/>
  <c r="D19302" i="2"/>
  <c r="D19303" i="2"/>
  <c r="D19304" i="2"/>
  <c r="D19305" i="2"/>
  <c r="D19306" i="2"/>
  <c r="D19307" i="2"/>
  <c r="D19308" i="2"/>
  <c r="D19309" i="2"/>
  <c r="D19310" i="2"/>
  <c r="D19311" i="2"/>
  <c r="D19312" i="2"/>
  <c r="D19313" i="2"/>
  <c r="D19314" i="2"/>
  <c r="D19315" i="2"/>
  <c r="D19316" i="2"/>
  <c r="D19317" i="2"/>
  <c r="D19318" i="2"/>
  <c r="D19319" i="2"/>
  <c r="D19320" i="2"/>
  <c r="D19321" i="2"/>
  <c r="D19322" i="2"/>
  <c r="D19323" i="2"/>
  <c r="D19324" i="2"/>
  <c r="D19325" i="2"/>
  <c r="D19326" i="2"/>
  <c r="D19327" i="2"/>
  <c r="D19328" i="2"/>
  <c r="D19329" i="2"/>
  <c r="D19330" i="2"/>
  <c r="D19331" i="2"/>
  <c r="D19332" i="2"/>
  <c r="D19333" i="2"/>
  <c r="D19334" i="2"/>
  <c r="D19335" i="2"/>
  <c r="D19336" i="2"/>
  <c r="D19337" i="2"/>
  <c r="D19338" i="2"/>
  <c r="D19339" i="2"/>
  <c r="D19340" i="2"/>
  <c r="D19341" i="2"/>
  <c r="D19342" i="2"/>
  <c r="D19343" i="2"/>
  <c r="D19344" i="2"/>
  <c r="D19345" i="2"/>
  <c r="D19346" i="2"/>
  <c r="D19347" i="2"/>
  <c r="D19348" i="2"/>
  <c r="D19349" i="2"/>
  <c r="D19350" i="2"/>
  <c r="D19351" i="2"/>
  <c r="D19352" i="2"/>
  <c r="D19353" i="2"/>
  <c r="D19354" i="2"/>
  <c r="D19355" i="2"/>
  <c r="D19356" i="2"/>
  <c r="D19357" i="2"/>
  <c r="D19358" i="2"/>
  <c r="D19359" i="2"/>
  <c r="D19360" i="2"/>
  <c r="D19361" i="2"/>
  <c r="D19362" i="2"/>
  <c r="D19363" i="2"/>
  <c r="D19364" i="2"/>
  <c r="D19365" i="2"/>
  <c r="D19366" i="2"/>
  <c r="D19367" i="2"/>
  <c r="D19368" i="2"/>
  <c r="D19369" i="2"/>
  <c r="D19370" i="2"/>
  <c r="D19371" i="2"/>
  <c r="D19372" i="2"/>
  <c r="D19373" i="2"/>
  <c r="D19374" i="2"/>
  <c r="D19375" i="2"/>
  <c r="D19376" i="2"/>
  <c r="D19377" i="2"/>
  <c r="D19378" i="2"/>
  <c r="D19379" i="2"/>
  <c r="D19380" i="2"/>
  <c r="D19381" i="2"/>
  <c r="D19382" i="2"/>
  <c r="D19383" i="2"/>
  <c r="D19384" i="2"/>
  <c r="D19385" i="2"/>
  <c r="D19386" i="2"/>
  <c r="D19387" i="2"/>
  <c r="D19388" i="2"/>
  <c r="D19389" i="2"/>
  <c r="D19390" i="2"/>
  <c r="D19391" i="2"/>
  <c r="D19392" i="2"/>
  <c r="D19393" i="2"/>
  <c r="D19394" i="2"/>
  <c r="D19395" i="2"/>
  <c r="D19396" i="2"/>
  <c r="D19397" i="2"/>
  <c r="D19398" i="2"/>
  <c r="D19399" i="2"/>
  <c r="D19400" i="2"/>
  <c r="D19401" i="2"/>
  <c r="D19402" i="2"/>
  <c r="D19403" i="2"/>
  <c r="D19404" i="2"/>
  <c r="D19405" i="2"/>
  <c r="D19406" i="2"/>
  <c r="D19407" i="2"/>
  <c r="D19408" i="2"/>
  <c r="D19409" i="2"/>
  <c r="D19410" i="2"/>
  <c r="D19411" i="2"/>
  <c r="D19412" i="2"/>
  <c r="D19413" i="2"/>
  <c r="D19414" i="2"/>
  <c r="D19415" i="2"/>
  <c r="D19416" i="2"/>
  <c r="D19417" i="2"/>
  <c r="D19418" i="2"/>
  <c r="D19419" i="2"/>
  <c r="D19420" i="2"/>
  <c r="D19421" i="2"/>
  <c r="D19422" i="2"/>
  <c r="D19423" i="2"/>
  <c r="D19424" i="2"/>
  <c r="D19425" i="2"/>
  <c r="D19426" i="2"/>
  <c r="D19427" i="2"/>
  <c r="D19428" i="2"/>
  <c r="D19429" i="2"/>
  <c r="D19430" i="2"/>
  <c r="D19431" i="2"/>
  <c r="D19432" i="2"/>
  <c r="D19433" i="2"/>
  <c r="D19434" i="2"/>
  <c r="D19435" i="2"/>
  <c r="D19436" i="2"/>
  <c r="D19437" i="2"/>
  <c r="D19438" i="2"/>
  <c r="D19439" i="2"/>
  <c r="D19440" i="2"/>
  <c r="D19441" i="2"/>
  <c r="D19442" i="2"/>
  <c r="D19443" i="2"/>
  <c r="D19444" i="2"/>
  <c r="D19445" i="2"/>
  <c r="D19446" i="2"/>
  <c r="D19447" i="2"/>
  <c r="D19448" i="2"/>
  <c r="D19449" i="2"/>
  <c r="D19450" i="2"/>
  <c r="D19451" i="2"/>
  <c r="D19452" i="2"/>
  <c r="D19453" i="2"/>
  <c r="D19454" i="2"/>
  <c r="D19455" i="2"/>
  <c r="D19456" i="2"/>
  <c r="D19457" i="2"/>
  <c r="D19458" i="2"/>
  <c r="D19459" i="2"/>
  <c r="D19460" i="2"/>
  <c r="D19461" i="2"/>
  <c r="D19462" i="2"/>
  <c r="D19463" i="2"/>
  <c r="D19464" i="2"/>
  <c r="D19465" i="2"/>
  <c r="D19466" i="2"/>
  <c r="D19467" i="2"/>
  <c r="D19468" i="2"/>
  <c r="D19469" i="2"/>
  <c r="D19470" i="2"/>
  <c r="D19471" i="2"/>
  <c r="D19472" i="2"/>
  <c r="D19473" i="2"/>
  <c r="D19474" i="2"/>
  <c r="D19475" i="2"/>
  <c r="D19476" i="2"/>
  <c r="D19477" i="2"/>
  <c r="D19478" i="2"/>
  <c r="D19479" i="2"/>
  <c r="D19480" i="2"/>
  <c r="D19481" i="2"/>
  <c r="D19482" i="2"/>
  <c r="D19483" i="2"/>
  <c r="D19484" i="2"/>
  <c r="D19485" i="2"/>
  <c r="D19486" i="2"/>
  <c r="D19487" i="2"/>
  <c r="D19488" i="2"/>
  <c r="D19489" i="2"/>
  <c r="D19490" i="2"/>
  <c r="D19491" i="2"/>
  <c r="D19492" i="2"/>
  <c r="D19493" i="2"/>
  <c r="D19494" i="2"/>
  <c r="D19495" i="2"/>
  <c r="D19496" i="2"/>
  <c r="D19497" i="2"/>
  <c r="D19498" i="2"/>
  <c r="D19499" i="2"/>
  <c r="D19500" i="2"/>
  <c r="D19501" i="2"/>
  <c r="D19502" i="2"/>
  <c r="D19503" i="2"/>
  <c r="D19504" i="2"/>
  <c r="D19505" i="2"/>
  <c r="D19506" i="2"/>
  <c r="D19507" i="2"/>
  <c r="D19508" i="2"/>
  <c r="D19509" i="2"/>
  <c r="D19510" i="2"/>
  <c r="D19511" i="2"/>
  <c r="D19512" i="2"/>
  <c r="D19513" i="2"/>
  <c r="D19514" i="2"/>
  <c r="D19515" i="2"/>
  <c r="D19516" i="2"/>
  <c r="D19517" i="2"/>
  <c r="D19518" i="2"/>
  <c r="D19519" i="2"/>
  <c r="D19520" i="2"/>
  <c r="D19521" i="2"/>
  <c r="D19522" i="2"/>
  <c r="D19523" i="2"/>
  <c r="D19524" i="2"/>
  <c r="D19525" i="2"/>
  <c r="D19526" i="2"/>
  <c r="D19527" i="2"/>
  <c r="D19528" i="2"/>
  <c r="D19529" i="2"/>
  <c r="D19530" i="2"/>
  <c r="D19531" i="2"/>
  <c r="D19532" i="2"/>
  <c r="D19533" i="2"/>
  <c r="D19534" i="2"/>
  <c r="D19535" i="2"/>
  <c r="D19536" i="2"/>
  <c r="D19537" i="2"/>
  <c r="D19538" i="2"/>
  <c r="D19539" i="2"/>
  <c r="D19540" i="2"/>
  <c r="D19541" i="2"/>
  <c r="D19542" i="2"/>
  <c r="D19543" i="2"/>
  <c r="D19544" i="2"/>
  <c r="D19545" i="2"/>
  <c r="D19546" i="2"/>
  <c r="D19547" i="2"/>
  <c r="D19548" i="2"/>
  <c r="D19549" i="2"/>
  <c r="D19550" i="2"/>
  <c r="D19551" i="2"/>
  <c r="D19552" i="2"/>
  <c r="D19553" i="2"/>
  <c r="D19554" i="2"/>
  <c r="D19555" i="2"/>
  <c r="D19556" i="2"/>
  <c r="D19557" i="2"/>
  <c r="D19558" i="2"/>
  <c r="D19559" i="2"/>
  <c r="D19560" i="2"/>
  <c r="D19561" i="2"/>
  <c r="D19562" i="2"/>
  <c r="D19563" i="2"/>
  <c r="D19564" i="2"/>
  <c r="D19565" i="2"/>
  <c r="D19566" i="2"/>
  <c r="D19567" i="2"/>
  <c r="D19568" i="2"/>
  <c r="D19569" i="2"/>
  <c r="D19570" i="2"/>
  <c r="D19571" i="2"/>
  <c r="D19572" i="2"/>
  <c r="D19573" i="2"/>
  <c r="D19574" i="2"/>
  <c r="D19575" i="2"/>
  <c r="D19576" i="2"/>
  <c r="D19577" i="2"/>
  <c r="D19578" i="2"/>
  <c r="D19579" i="2"/>
  <c r="D19580" i="2"/>
  <c r="D19581" i="2"/>
  <c r="D19582" i="2"/>
  <c r="D19583" i="2"/>
  <c r="D19584" i="2"/>
  <c r="D19585" i="2"/>
  <c r="D19586" i="2"/>
  <c r="D19587" i="2"/>
  <c r="D19588" i="2"/>
  <c r="D19589" i="2"/>
  <c r="D19590" i="2"/>
  <c r="D19591" i="2"/>
  <c r="D19592" i="2"/>
  <c r="D19593" i="2"/>
  <c r="D19594" i="2"/>
  <c r="D19595" i="2"/>
  <c r="D19596" i="2"/>
  <c r="D19597" i="2"/>
  <c r="D19598" i="2"/>
  <c r="D19599" i="2"/>
  <c r="D19600" i="2"/>
  <c r="D19601" i="2"/>
  <c r="D19602" i="2"/>
  <c r="D19603" i="2"/>
  <c r="D19604" i="2"/>
</calcChain>
</file>

<file path=xl/sharedStrings.xml><?xml version="1.0" encoding="utf-8"?>
<sst xmlns="http://schemas.openxmlformats.org/spreadsheetml/2006/main" count="24794" uniqueCount="10974">
  <si>
    <t>ITEM CODE</t>
  </si>
  <si>
    <t>ITEM DESCRIPTION</t>
  </si>
  <si>
    <t>BLOCK CODES</t>
  </si>
  <si>
    <t>HYPFOMFMMR72X30X04</t>
  </si>
  <si>
    <t>Peps Hypnos Foamera Soft Top Maroon 72X30X04</t>
  </si>
  <si>
    <t>FOAMERA-FOAM-BLOCK-72X30X04</t>
  </si>
  <si>
    <t>HYPFOMFMMR72X36X04</t>
  </si>
  <si>
    <t>Peps Hypnos Foamera Soft Top Maroon 72X36X04</t>
  </si>
  <si>
    <t>FOAMERA-FOAM-BLOCK-72X36X04</t>
  </si>
  <si>
    <t>HYPFOMFMMR72X42X04</t>
  </si>
  <si>
    <t>Peps Hypnos Foamera Soft Top Maroon 72X42X04</t>
  </si>
  <si>
    <t>FOAMERA-FOAM-BLOCK-72X42X04</t>
  </si>
  <si>
    <t>HYPFOMFMMR72X48X04</t>
  </si>
  <si>
    <t>Peps Hypnos Foamera Soft Top Maroon 72X48X04</t>
  </si>
  <si>
    <t>FOAMERA-FOAM-BLOCK-72X48X04</t>
  </si>
  <si>
    <t>HYPFOMFMMR72X60X04</t>
  </si>
  <si>
    <t>Peps Hypnos Foamera Soft Top Maroon 72X60X04</t>
  </si>
  <si>
    <t>FOAMERA-FOAM-BLOCK-72X60X04</t>
  </si>
  <si>
    <t>HYPFOMFMMR72X66X04</t>
  </si>
  <si>
    <t>Peps Hypnos Foamera Soft Top Maroon 72X66X04</t>
  </si>
  <si>
    <t>FOAMERA-FOAM-BLOCK-72X66X04</t>
  </si>
  <si>
    <t>HYPFOMFMMR72X72X04</t>
  </si>
  <si>
    <t>Peps Hypnos Foamera Soft Top Maroon 72X72X04</t>
  </si>
  <si>
    <t>FOAMERA-FOAM-BLOCK-72X72X04</t>
  </si>
  <si>
    <t>HYPFOMFMMR75X30X04</t>
  </si>
  <si>
    <t>Peps Hypnos Foamera Soft Top Maroon 75X30X04</t>
  </si>
  <si>
    <t>FOAMERA-FOAM-BLOCK-75X30X04</t>
  </si>
  <si>
    <t>HYPFOMFMMR75X36X04</t>
  </si>
  <si>
    <t>Peps Hypnos Foamera Soft Top Maroon 75X36X04</t>
  </si>
  <si>
    <t>FOAMERA-FOAM-BLOCK-75X36X04</t>
  </si>
  <si>
    <t>HYPFOMFMMR75X42X04</t>
  </si>
  <si>
    <t>Peps Hypnos Foamera Soft Top Maroon 75X42X04</t>
  </si>
  <si>
    <t>FOAMERA-FOAM-BLOCK-75X42X04</t>
  </si>
  <si>
    <t>HYPFOMFMMR75X48X04</t>
  </si>
  <si>
    <t>Peps Hypnos Foamera Soft Top Maroon 75X48X04</t>
  </si>
  <si>
    <t>FOAMERA-FOAM-BLOCK-75X48X04</t>
  </si>
  <si>
    <t>HYPFOMFMMR75X60X04</t>
  </si>
  <si>
    <t>Peps Hypnos Foamera Soft Top Maroon 75X60X04</t>
  </si>
  <si>
    <t>FOAMERA-FOAM-BLOCK-75X60X04</t>
  </si>
  <si>
    <t>HYPFOMFMMR75X66X04</t>
  </si>
  <si>
    <t>Peps Hypnos Foamera Soft Top Maroon 75X66X04</t>
  </si>
  <si>
    <t>FOAMERA-FOAM-BLOCK-75X66X04</t>
  </si>
  <si>
    <t>HYPFOMFMMR75X72X04</t>
  </si>
  <si>
    <t>Peps Hypnos Foamera Soft Top Maroon 75X72X04</t>
  </si>
  <si>
    <t>FOAMERA-FOAM-BLOCK-75X72X04</t>
  </si>
  <si>
    <t>HYPFOMFMMR78X30X04</t>
  </si>
  <si>
    <t>Peps Hypnos Foamera Soft Top Maroon 78X30X04</t>
  </si>
  <si>
    <t>FOAMERA-FOAM-BLOCK-78X30X04</t>
  </si>
  <si>
    <t>HYPFOMFMMR78X36X04</t>
  </si>
  <si>
    <t>Peps Hypnos Foamera Soft Top Maroon 78X36X04</t>
  </si>
  <si>
    <t>FOAMERA-FOAM-BLOCK-78X36X04</t>
  </si>
  <si>
    <t>HYPFOMFMMR78X42X04</t>
  </si>
  <si>
    <t>Peps Hypnos Foamera Soft Top Maroon 78X42X04</t>
  </si>
  <si>
    <t>FOAMERA-FOAM-BLOCK-78X42X04</t>
  </si>
  <si>
    <t>HYPFOMFMMR78X48X04</t>
  </si>
  <si>
    <t>Peps Hypnos Foamera Soft Top Maroon 78X48X04</t>
  </si>
  <si>
    <t>FOAMERA-FOAM-BLOCK-78X48X04</t>
  </si>
  <si>
    <t>HYPFOMFMMR78X60X04</t>
  </si>
  <si>
    <t>Peps Hypnos Foamera Soft Top Maroon 78X60X04</t>
  </si>
  <si>
    <t>FOAMERA-FOAM-BLOCK-78X60X04</t>
  </si>
  <si>
    <t>HYPFOMFMMR78X66X04</t>
  </si>
  <si>
    <t>Peps Hypnos Foamera Soft Top Maroon 78X66X04</t>
  </si>
  <si>
    <t>FOAMERA-FOAM-BLOCK-78X66X04</t>
  </si>
  <si>
    <t>HYPFOMFMMR78X72X04</t>
  </si>
  <si>
    <t>Peps Hypnos Foamera Soft Top Maroon 78X72X04</t>
  </si>
  <si>
    <t>FOAMERA-FOAM-BLOCK-78X72X04</t>
  </si>
  <si>
    <t>HYPFOMFMMR80X30X04</t>
  </si>
  <si>
    <t>Peps Hypnos Foamera Soft Top Maroon 80X30X04</t>
  </si>
  <si>
    <t>FOAMERA-FOAM-BLOCK-80X30X04</t>
  </si>
  <si>
    <t>HYPFOMFMMR80X36X04</t>
  </si>
  <si>
    <t>Peps Hypnos Foamera Soft Top Maroon 80X36X04</t>
  </si>
  <si>
    <t>FOAMERA-FOAM-BLOCK-80X36X04</t>
  </si>
  <si>
    <t>HYPFOMFMMR80X42X04</t>
  </si>
  <si>
    <t>Peps Hypnos Foamera Soft Top Maroon 80X42X04</t>
  </si>
  <si>
    <t>FOAMERA-FOAM-BLOCK-80X42X04</t>
  </si>
  <si>
    <t>HYPFOMFMMR80X48X04</t>
  </si>
  <si>
    <t>Peps Hypnos Foamera Soft Top Maroon 80X48X04</t>
  </si>
  <si>
    <t>FOAMERA-FOAM-BLOCK-80X48X04</t>
  </si>
  <si>
    <t>HYPFOMFMMR80X60X04</t>
  </si>
  <si>
    <t>Peps Hypnos Foamera Soft Top Maroon 80X60X04</t>
  </si>
  <si>
    <t>FOAMERA-FOAM-BLOCK-80X60X04</t>
  </si>
  <si>
    <t>HYPFOMFMMR80X66X04</t>
  </si>
  <si>
    <t>Peps Hypnos Foamera Soft Top Maroon 80X66X04</t>
  </si>
  <si>
    <t>FOAMERA-FOAM-BLOCK-80X66X04</t>
  </si>
  <si>
    <t>HYPFOMFMMR80X72X04</t>
  </si>
  <si>
    <t>Peps Hypnos Foamera Soft Top Maroon 80X72X04</t>
  </si>
  <si>
    <t>FOAMERA-FOAM-BLOCK-80X72X04</t>
  </si>
  <si>
    <t>HYPFOMFMMR84X30X04</t>
  </si>
  <si>
    <t>Peps Hypnos Foamera Soft Top Maroon 84X30X04</t>
  </si>
  <si>
    <t>FOAMERA-FOAM-BLOCK-84X30X04</t>
  </si>
  <si>
    <t>HYPFOMFMMR84X36X04</t>
  </si>
  <si>
    <t>Peps Hypnos Foamera Soft Top Maroon 84X36X04</t>
  </si>
  <si>
    <t>FOAMERA-FOAM-BLOCK-84X36X04</t>
  </si>
  <si>
    <t>HYPFOMFMMR84X42X04</t>
  </si>
  <si>
    <t>Peps Hypnos Foamera Soft Top Maroon 84X42X04</t>
  </si>
  <si>
    <t>FOAMERA-FOAM-BLOCK-84X42X04</t>
  </si>
  <si>
    <t>HYPFOMFMMR84X48X04</t>
  </si>
  <si>
    <t>Peps Hypnos Foamera Soft Top Maroon 84X48X04</t>
  </si>
  <si>
    <t>FOAMERA-FOAM-BLOCK-84X48X04</t>
  </si>
  <si>
    <t>HYPFOMFMMR84X60X04</t>
  </si>
  <si>
    <t>Peps Hypnos Foamera Soft Top Maroon 84X60X04</t>
  </si>
  <si>
    <t>FOAMERA-FOAM-BLOCK-84X60X04</t>
  </si>
  <si>
    <t>HYPFOMFMMR84X66X04</t>
  </si>
  <si>
    <t>Peps Hypnos Foamera Soft Top Maroon 84X66X04</t>
  </si>
  <si>
    <t>FOAMERA-FOAM-BLOCK-84X66X04</t>
  </si>
  <si>
    <t>HYPFOMFMMR84X72X04</t>
  </si>
  <si>
    <t>Peps Hypnos Foamera Soft Top Maroon 84X72X04</t>
  </si>
  <si>
    <t>FOAMERA-FOAM-BLOCK-84X72X04</t>
  </si>
  <si>
    <t>HYPFOMFMDB72X30X04</t>
  </si>
  <si>
    <t>Peps Hypnos Foamera Soft Top Dark Blue 72X30X04</t>
  </si>
  <si>
    <t>HYPFOMFMDB72X36X04</t>
  </si>
  <si>
    <t>Peps Hypnos Foamera Soft Top Dark Blue 72X36X04</t>
  </si>
  <si>
    <t>HYPFOMFMDB72X42X04</t>
  </si>
  <si>
    <t>Peps Hypnos Foamera Soft Top Dark Blue 72X42X04</t>
  </si>
  <si>
    <t>HYPFOMFMDB72X48X04</t>
  </si>
  <si>
    <t>Peps Hypnos Foamera Soft Top Dark Blue 72X48X04</t>
  </si>
  <si>
    <t>HYPFOMFMDB72X60X04</t>
  </si>
  <si>
    <t>Peps Hypnos Foamera Soft Top Dark Blue 72X60X04</t>
  </si>
  <si>
    <t>HYPFOMFMDB72X66X04</t>
  </si>
  <si>
    <t>Peps Hypnos Foamera Soft Top Dark Blue 72X66X04</t>
  </si>
  <si>
    <t>HYPFOMFMDB72X72X04</t>
  </si>
  <si>
    <t>Peps Hypnos Foamera Soft Top Dark Blue 72X72X04</t>
  </si>
  <si>
    <t>HYPFOMFMDB75X30X04</t>
  </si>
  <si>
    <t>Peps Hypnos Foamera Soft Top Dark Blue 75X30X04</t>
  </si>
  <si>
    <t>HYPFOMFMDB75X36X04</t>
  </si>
  <si>
    <t>Peps Hypnos Foamera Soft Top Dark Blue 75X36X04</t>
  </si>
  <si>
    <t>HYPFOMFMDB75X42X04</t>
  </si>
  <si>
    <t>Peps Hypnos Foamera Soft Top Dark Blue 75X42X04</t>
  </si>
  <si>
    <t>HYPFOMFMDB75X48X04</t>
  </si>
  <si>
    <t>Peps Hypnos Foamera Soft Top Dark Blue 75X48X04</t>
  </si>
  <si>
    <t>HYPFOMFMDB75X60X04</t>
  </si>
  <si>
    <t>Peps Hypnos Foamera Soft Top Dark Blue 75X60X04</t>
  </si>
  <si>
    <t>HYPFOMFMDB75X66X04</t>
  </si>
  <si>
    <t>Peps Hypnos Foamera Soft Top Dark Blue 75X66X04</t>
  </si>
  <si>
    <t>HYPFOMFMDB75X72X04</t>
  </si>
  <si>
    <t>Peps Hypnos Foamera Soft Top Dark Blue 75X72X04</t>
  </si>
  <si>
    <t>HYPFOMFMDB78X30X04</t>
  </si>
  <si>
    <t>Peps Hypnos Foamera Soft Top Dark Blue 78X30X04</t>
  </si>
  <si>
    <t>HYPFOMFMDB78X36X04</t>
  </si>
  <si>
    <t>Peps Hypnos Foamera Soft Top Dark Blue 78X36X04</t>
  </si>
  <si>
    <t>HYPFOMFMDB78X42X04</t>
  </si>
  <si>
    <t>Peps Hypnos Foamera Soft Top Dark Blue 78X42X04</t>
  </si>
  <si>
    <t>HYPFOMFMDB78X48X04</t>
  </si>
  <si>
    <t>Peps Hypnos Foamera Soft Top Dark Blue 78X48X04</t>
  </si>
  <si>
    <t>HYPFOMFMDB78X60X04</t>
  </si>
  <si>
    <t>Peps Hypnos Foamera Soft Top Dark Blue 78X60X04</t>
  </si>
  <si>
    <t>HYPFOMFMDB78X66X04</t>
  </si>
  <si>
    <t>Peps Hypnos Foamera Soft Top Dark Blue 78X66X04</t>
  </si>
  <si>
    <t>HYPFOMFMDB78X72X04</t>
  </si>
  <si>
    <t>Peps Hypnos Foamera Soft Top Dark Blue 78X72X04</t>
  </si>
  <si>
    <t>HYPFOMFMDB80X30X04</t>
  </si>
  <si>
    <t>Peps Hypnos Foamera Soft Top Dark Blue 80X30X04</t>
  </si>
  <si>
    <t>HYPFOMFMDB80X36X04</t>
  </si>
  <si>
    <t>Peps Hypnos Foamera Soft Top Dark Blue 80X36X04</t>
  </si>
  <si>
    <t>HYPFOMFMDB80X42X04</t>
  </si>
  <si>
    <t>Peps Hypnos Foamera Soft Top Dark Blue 80X42X04</t>
  </si>
  <si>
    <t>HYPFOMFMDB80X48X04</t>
  </si>
  <si>
    <t>Peps Hypnos Foamera Soft Top Dark Blue 80X48X04</t>
  </si>
  <si>
    <t>HYPFOMFMDB80X60X04</t>
  </si>
  <si>
    <t>Peps Hypnos Foamera Soft Top Dark Blue 80X60X04</t>
  </si>
  <si>
    <t>HYPFOMFMDB80X66X04</t>
  </si>
  <si>
    <t>Peps Hypnos Foamera Soft Top Dark Blue 80X66X04</t>
  </si>
  <si>
    <t>HYPFOMFMDB80X72X04</t>
  </si>
  <si>
    <t>Peps Hypnos Foamera Soft Top Dark Blue 80X72X04</t>
  </si>
  <si>
    <t>HYPFOMFMDB84X30X04</t>
  </si>
  <si>
    <t>Peps Hypnos Foamera Soft Top Dark Blue 84X30X04</t>
  </si>
  <si>
    <t>HYPFOMFMDB84X36X04</t>
  </si>
  <si>
    <t>Peps Hypnos Foamera Soft Top Dark Blue 84X36X04</t>
  </si>
  <si>
    <t>HYPFOMFMDB84X42X04</t>
  </si>
  <si>
    <t>Peps Hypnos Foamera Soft Top Dark Blue 84X42X04</t>
  </si>
  <si>
    <t>HYPFOMFMDB84X48X04</t>
  </si>
  <si>
    <t>Peps Hypnos Foamera Soft Top Dark Blue 84X48X04</t>
  </si>
  <si>
    <t>HYPFOMFMDB84X60X04</t>
  </si>
  <si>
    <t>Peps Hypnos Foamera Soft Top Dark Blue 84X60X04</t>
  </si>
  <si>
    <t>HYPFOMFMDB84X66X04</t>
  </si>
  <si>
    <t>Peps Hypnos Foamera Soft Top Dark Blue 84X66X04</t>
  </si>
  <si>
    <t>HYPFOMFMDB84X72X04</t>
  </si>
  <si>
    <t>Peps Hypnos Foamera Soft Top Dark Blue 84X72X04</t>
  </si>
  <si>
    <t>HYPFOMFMBW72X30X04</t>
  </si>
  <si>
    <t>Peps Hypnos Foamera Soft Top Brown 72X30X04</t>
  </si>
  <si>
    <t>HYPFOMFMBW72X36X04</t>
  </si>
  <si>
    <t>Peps Hypnos Foamera Soft Top Brown 72X36X04</t>
  </si>
  <si>
    <t>HYPFOMFMBW72X42X04</t>
  </si>
  <si>
    <t>Peps Hypnos Foamera Soft Top Brown 72X42X04</t>
  </si>
  <si>
    <t>HYPFOMFMBW72X48X04</t>
  </si>
  <si>
    <t>Peps Hypnos Foamera Soft Top Brown 72X48X04</t>
  </si>
  <si>
    <t>HYPFOMFMBW72X60X04</t>
  </si>
  <si>
    <t>Peps Hypnos Foamera Soft Top Brown 72X60X04</t>
  </si>
  <si>
    <t>HYPFOMFMBW72X66X04</t>
  </si>
  <si>
    <t>Peps Hypnos Foamera Soft Top Brown 72X66X04</t>
  </si>
  <si>
    <t>HYPFOMFMBW72X72X04</t>
  </si>
  <si>
    <t>Peps Hypnos Foamera Soft Top Brown 72X72X04</t>
  </si>
  <si>
    <t>HYPFOMFMBW75X30X04</t>
  </si>
  <si>
    <t>Peps Hypnos Foamera Soft Top Brown 75X30X04</t>
  </si>
  <si>
    <t>HYPFOMFMBW75X36X04</t>
  </si>
  <si>
    <t>Peps Hypnos Foamera Soft Top Brown 75X36X04</t>
  </si>
  <si>
    <t>HYPFOMFMBW75X42X04</t>
  </si>
  <si>
    <t>Peps Hypnos Foamera Soft Top Brown 75X42X04</t>
  </si>
  <si>
    <t>HYPFOMFMBW75X48X04</t>
  </si>
  <si>
    <t>Peps Hypnos Foamera Soft Top Brown 75X48X04</t>
  </si>
  <si>
    <t>HYPFOMFMBW75X60X04</t>
  </si>
  <si>
    <t>Peps Hypnos Foamera Soft Top Brown 75X60X04</t>
  </si>
  <si>
    <t>HYPFOMFMBW75X66X04</t>
  </si>
  <si>
    <t>Peps Hypnos Foamera Soft Top Brown 75X66X04</t>
  </si>
  <si>
    <t>HYPFOMFMBW75X72X04</t>
  </si>
  <si>
    <t>Peps Hypnos Foamera Soft Top Brown 75X72X04</t>
  </si>
  <si>
    <t>HYPFOMFMBW78X30X04</t>
  </si>
  <si>
    <t>Peps Hypnos Foamera Soft Top Brown 78X30X04</t>
  </si>
  <si>
    <t>HYPFOMFMBW78X36X04</t>
  </si>
  <si>
    <t>Peps Hypnos Foamera Soft Top Brown 78X36X04</t>
  </si>
  <si>
    <t>HYPFOMFMBW78X42X04</t>
  </si>
  <si>
    <t>Peps Hypnos Foamera Soft Top Brown 78X42X04</t>
  </si>
  <si>
    <t>HYPFOMFMBW78X48X04</t>
  </si>
  <si>
    <t>Peps Hypnos Foamera Soft Top Brown 78X48X04</t>
  </si>
  <si>
    <t>HYPFOMFMBW78X60X04</t>
  </si>
  <si>
    <t>Peps Hypnos Foamera Soft Top Brown 78X60X04</t>
  </si>
  <si>
    <t>HYPFOMFMBW78X66X04</t>
  </si>
  <si>
    <t>Peps Hypnos Foamera Soft Top Brown 78X66X04</t>
  </si>
  <si>
    <t>HYPFOMFMBW78X72X04</t>
  </si>
  <si>
    <t>Peps Hypnos Foamera Soft Top Brown 78X72X04</t>
  </si>
  <si>
    <t>HYPFOMFMBW80X30X04</t>
  </si>
  <si>
    <t>Peps Hypnos Foamera Soft Top Brown 80X30X04</t>
  </si>
  <si>
    <t>HYPFOMFMBW80X36X04</t>
  </si>
  <si>
    <t>Peps Hypnos Foamera Soft Top Brown 80X36X04</t>
  </si>
  <si>
    <t>HYPFOMFMBW80X42X04</t>
  </si>
  <si>
    <t>Peps Hypnos Foamera Soft Top Brown 80X42X04</t>
  </si>
  <si>
    <t>HYPFOMFMBW80X48X04</t>
  </si>
  <si>
    <t>Peps Hypnos Foamera Soft Top Brown 80X48X04</t>
  </si>
  <si>
    <t>HYPFOMFMBW80X60X04</t>
  </si>
  <si>
    <t>Peps Hypnos Foamera Soft Top Brown 80X60X04</t>
  </si>
  <si>
    <t>HYPFOMFMBW80X66X04</t>
  </si>
  <si>
    <t>Peps Hypnos Foamera Soft Top Brown 80X66X04</t>
  </si>
  <si>
    <t>HYPFOMFMBW80X72X04</t>
  </si>
  <si>
    <t>Peps Hypnos Foamera Soft Top Brown 80X72X04</t>
  </si>
  <si>
    <t>HYPFOMFMBW84X30X04</t>
  </si>
  <si>
    <t>Peps Hypnos Foamera Soft Top Brown 84X30X04</t>
  </si>
  <si>
    <t>HYPFOMFMBW84X36X04</t>
  </si>
  <si>
    <t>Peps Hypnos Foamera Soft Top Brown 84X36X04</t>
  </si>
  <si>
    <t>HYPFOMFMBW84X42X04</t>
  </si>
  <si>
    <t>Peps Hypnos Foamera Soft Top Brown 84X42X04</t>
  </si>
  <si>
    <t>HYPFOMFMBW84X48X04</t>
  </si>
  <si>
    <t>Peps Hypnos Foamera Soft Top Brown 84X48X04</t>
  </si>
  <si>
    <t>HYPFOMFMBW84X60X04</t>
  </si>
  <si>
    <t>Peps Hypnos Foamera Soft Top Brown 84X60X04</t>
  </si>
  <si>
    <t>HYPFOMFMBW84X66X04</t>
  </si>
  <si>
    <t>Peps Hypnos Foamera Soft Top Brown 84X66X04</t>
  </si>
  <si>
    <t>HYPFOMFMBW84X72X04</t>
  </si>
  <si>
    <t>Peps Hypnos Foamera Soft Top Brown 84X72X04</t>
  </si>
  <si>
    <t>HYPFOMFMMR72X30X05</t>
  </si>
  <si>
    <t>Peps Hypnos Foamera Soft Top Maroon 72X30X05</t>
  </si>
  <si>
    <t>FOAMERA-FOAM-BLOCK-72X30X05</t>
  </si>
  <si>
    <t>HYPFOMFMMR72X36X05</t>
  </si>
  <si>
    <t>Peps Hypnos Foamera Soft Top Maroon 72X36X05</t>
  </si>
  <si>
    <t>FOAMERA-FOAM-BLOCK-72X36X05</t>
  </si>
  <si>
    <t>HYPFOMFMMR72X42X05</t>
  </si>
  <si>
    <t>Peps Hypnos Foamera Soft Top Maroon 72X42X05</t>
  </si>
  <si>
    <t>FOAMERA-FOAM-BLOCK-72X42X05</t>
  </si>
  <si>
    <t>HYPFOMFMMR72X48X05</t>
  </si>
  <si>
    <t>Peps Hypnos Foamera Soft Top Maroon 72X48X05</t>
  </si>
  <si>
    <t>FOAMERA-FOAM-BLOCK-72X48X05</t>
  </si>
  <si>
    <t>HYPFOMFMMR72X60X05</t>
  </si>
  <si>
    <t>Peps Hypnos Foamera Soft Top Maroon 72X60X05</t>
  </si>
  <si>
    <t>FOAMERA-FOAM-BLOCK-72X60X05</t>
  </si>
  <si>
    <t>HYPFOMFMMR72X66X05</t>
  </si>
  <si>
    <t>Peps Hypnos Foamera Soft Top Maroon 72X66X05</t>
  </si>
  <si>
    <t>FOAMERA-FOAM-BLOCK-72X66X05</t>
  </si>
  <si>
    <t>HYPFOMFMMR72X72X05</t>
  </si>
  <si>
    <t>Peps Hypnos Foamera Soft Top Maroon 72X72X05</t>
  </si>
  <si>
    <t>FOAMERA-FOAM-BLOCK-72X72X05</t>
  </si>
  <si>
    <t>HYPFOMFMMR75X30X05</t>
  </si>
  <si>
    <t>Peps Hypnos Foamera Soft Top Maroon 75X30X05</t>
  </si>
  <si>
    <t>FOAMERA-FOAM-BLOCK-75X30X05</t>
  </si>
  <si>
    <t>HYPFOMFMMR75X36X05</t>
  </si>
  <si>
    <t>Peps Hypnos Foamera Soft Top Maroon 75X36X05</t>
  </si>
  <si>
    <t>FOAMERA-FOAM-BLOCK-75X36X05</t>
  </si>
  <si>
    <t>HYPFOMFMMR75X42X05</t>
  </si>
  <si>
    <t>Peps Hypnos Foamera Soft Top Maroon 75X42X05</t>
  </si>
  <si>
    <t>FOAMERA-FOAM-BLOCK-75X42X05</t>
  </si>
  <si>
    <t>HYPFOMFMMR75X48X05</t>
  </si>
  <si>
    <t>Peps Hypnos Foamera Soft Top Maroon 75X48X05</t>
  </si>
  <si>
    <t>FOAMERA-FOAM-BLOCK-75X48X05</t>
  </si>
  <si>
    <t>HYPFOMFMMR75X60X05</t>
  </si>
  <si>
    <t>Peps Hypnos Foamera Soft Top Maroon 75X60X05</t>
  </si>
  <si>
    <t>FOAMERA-FOAM-BLOCK-75X60X05</t>
  </si>
  <si>
    <t>HYPFOMFMMR75X66X05</t>
  </si>
  <si>
    <t>Peps Hypnos Foamera Soft Top Maroon 75X66X05</t>
  </si>
  <si>
    <t>FOAMERA-FOAM-BLOCK-75X66X05</t>
  </si>
  <si>
    <t>HYPFOMFMMR75X72X05</t>
  </si>
  <si>
    <t>Peps Hypnos Foamera Soft Top Maroon 75X72X05</t>
  </si>
  <si>
    <t>FOAMERA-FOAM-BLOCK-75X72X05</t>
  </si>
  <si>
    <t>HYPFOMFMMR78X30X05</t>
  </si>
  <si>
    <t>Peps Hypnos Foamera Soft Top Maroon 78X30X05</t>
  </si>
  <si>
    <t>FOAMERA-FOAM-BLOCK-78X30X05</t>
  </si>
  <si>
    <t>HYPFOMFMMR78X36X05</t>
  </si>
  <si>
    <t>Peps Hypnos Foamera Soft Top Maroon 78X36X05</t>
  </si>
  <si>
    <t>FOAMERA-FOAM-BLOCK-78X36X05</t>
  </si>
  <si>
    <t>HYPFOMFMMR78X42X05</t>
  </si>
  <si>
    <t>Peps Hypnos Foamera Soft Top Maroon 78X42X05</t>
  </si>
  <si>
    <t>FOAMERA-FOAM-BLOCK-78X42X05</t>
  </si>
  <si>
    <t>HYPFOMFMMR78X48X05</t>
  </si>
  <si>
    <t>Peps Hypnos Foamera Soft Top Maroon 78X48X05</t>
  </si>
  <si>
    <t>FOAMERA-FOAM-BLOCK-78X48X05</t>
  </si>
  <si>
    <t>HYPFOMFMMR78X60X05</t>
  </si>
  <si>
    <t>Peps Hypnos Foamera Soft Top Maroon 78X60X05</t>
  </si>
  <si>
    <t>FOAMERA-FOAM-BLOCK-78X60X05</t>
  </si>
  <si>
    <t>HYPFOMFMMR78X66X05</t>
  </si>
  <si>
    <t>Peps Hypnos Foamera Soft Top Maroon 78X66X05</t>
  </si>
  <si>
    <t>FOAMERA-FOAM-BLOCK-78X66X05</t>
  </si>
  <si>
    <t>HYPFOMFMMR78X72X05</t>
  </si>
  <si>
    <t>Peps Hypnos Foamera Soft Top Maroon 78X72X05</t>
  </si>
  <si>
    <t>FOAMERA-FOAM-BLOCK-78X72X05</t>
  </si>
  <si>
    <t>HYPFOMFMMR80X30X05</t>
  </si>
  <si>
    <t>Peps Hypnos Foamera Soft Top Maroon 80X30X05</t>
  </si>
  <si>
    <t>FOAMERA-FOAM-BLOCK-80X30X05</t>
  </si>
  <si>
    <t>HYPFOMFMMR80X36X05</t>
  </si>
  <si>
    <t>Peps Hypnos Foamera Soft Top Maroon 80X36X05</t>
  </si>
  <si>
    <t>FOAMERA-FOAM-BLOCK-80X36X05</t>
  </si>
  <si>
    <t>HYPFOMFMMR80X42X05</t>
  </si>
  <si>
    <t>Peps Hypnos Foamera Soft Top Maroon 80X42X05</t>
  </si>
  <si>
    <t>FOAMERA-FOAM-BLOCK-80X42X05</t>
  </si>
  <si>
    <t>HYPFOMFMMR80X48X05</t>
  </si>
  <si>
    <t>Peps Hypnos Foamera Soft Top Maroon 80X48X05</t>
  </si>
  <si>
    <t>FOAMERA-FOAM-BLOCK-80X48X05</t>
  </si>
  <si>
    <t>HYPFOMFMMR80X60X05</t>
  </si>
  <si>
    <t>Peps Hypnos Foamera Soft Top Maroon 80X60X05</t>
  </si>
  <si>
    <t>FOAMERA-FOAM-BLOCK-80X60X05</t>
  </si>
  <si>
    <t>HYPFOMFMMR80X66X05</t>
  </si>
  <si>
    <t>Peps Hypnos Foamera Soft Top Maroon 80X66X05</t>
  </si>
  <si>
    <t>FOAMERA-FOAM-BLOCK-80X66X05</t>
  </si>
  <si>
    <t>HYPFOMFMMR80X72X05</t>
  </si>
  <si>
    <t>Peps Hypnos Foamera Soft Top Maroon 80X72X05</t>
  </si>
  <si>
    <t>FOAMERA-FOAM-BLOCK-80X72X05</t>
  </si>
  <si>
    <t>HYPFOMFMMR84X30X05</t>
  </si>
  <si>
    <t>Peps Hypnos Foamera Soft Top Maroon 84X30X05</t>
  </si>
  <si>
    <t>FOAMERA-FOAM-BLOCK-84X30X05</t>
  </si>
  <si>
    <t>HYPFOMFMMR84X36X05</t>
  </si>
  <si>
    <t>Peps Hypnos Foamera Soft Top Maroon 84X36X05</t>
  </si>
  <si>
    <t>FOAMERA-FOAM-BLOCK-84X36X05</t>
  </si>
  <si>
    <t>HYPFOMFMMR84X42X05</t>
  </si>
  <si>
    <t>Peps Hypnos Foamera Soft Top Maroon 84X42X05</t>
  </si>
  <si>
    <t>FOAMERA-FOAM-BLOCK-84X42X05</t>
  </si>
  <si>
    <t>HYPFOMFMMR84X48X05</t>
  </si>
  <si>
    <t>Peps Hypnos Foamera Soft Top Maroon 84X48X05</t>
  </si>
  <si>
    <t>FOAMERA-FOAM-BLOCK-84X48X05</t>
  </si>
  <si>
    <t>HYPFOMFMMR84X60X05</t>
  </si>
  <si>
    <t>Peps Hypnos Foamera Soft Top Maroon 84X60X05</t>
  </si>
  <si>
    <t>FOAMERA-FOAM-BLOCK-84X60X05</t>
  </si>
  <si>
    <t>HYPFOMFMMR84X66X05</t>
  </si>
  <si>
    <t>Peps Hypnos Foamera Soft Top Maroon 84X66X05</t>
  </si>
  <si>
    <t>FOAMERA-FOAM-BLOCK-84X66X05</t>
  </si>
  <si>
    <t>HYPFOMFMMR84X72X05</t>
  </si>
  <si>
    <t>Peps Hypnos Foamera Soft Top Maroon 84X72X05</t>
  </si>
  <si>
    <t>FOAMERA-FOAM-BLOCK-84X72X05</t>
  </si>
  <si>
    <t>HYPFOMFMDB72X30X05</t>
  </si>
  <si>
    <t>Peps Hypnos Foamera Soft Top Dark Blue 72X30X05</t>
  </si>
  <si>
    <t>HYPFOMFMDB72X36X05</t>
  </si>
  <si>
    <t>Peps Hypnos Foamera Soft Top Dark Blue 72X36X05</t>
  </si>
  <si>
    <t>HYPFOMFMDB72X42X05</t>
  </si>
  <si>
    <t>Peps Hypnos Foamera Soft Top Dark Blue 72X42X05</t>
  </si>
  <si>
    <t>HYPFOMFMDB72X48X05</t>
  </si>
  <si>
    <t>Peps Hypnos Foamera Soft Top Dark Blue 72X48X05</t>
  </si>
  <si>
    <t>HYPFOMFMDB72X60X05</t>
  </si>
  <si>
    <t>Peps Hypnos Foamera Soft Top Dark Blue 72X60X05</t>
  </si>
  <si>
    <t>HYPFOMFMDB72X66X05</t>
  </si>
  <si>
    <t>Peps Hypnos Foamera Soft Top Dark Blue 72X66X05</t>
  </si>
  <si>
    <t>HYPFOMFMDB72X72X05</t>
  </si>
  <si>
    <t>Peps Hypnos Foamera Soft Top Dark Blue 72X72X05</t>
  </si>
  <si>
    <t>HYPFOMFMDB75X30X05</t>
  </si>
  <si>
    <t>Peps Hypnos Foamera Soft Top Dark Blue 75X30X05</t>
  </si>
  <si>
    <t>HYPFOMFMDB75X36X05</t>
  </si>
  <si>
    <t>Peps Hypnos Foamera Soft Top Dark Blue 75X36X05</t>
  </si>
  <si>
    <t>HYPFOMFMDB75X42X05</t>
  </si>
  <si>
    <t>Peps Hypnos Foamera Soft Top Dark Blue 75X42X05</t>
  </si>
  <si>
    <t>HYPFOMFMDB75X48X05</t>
  </si>
  <si>
    <t>Peps Hypnos Foamera Soft Top Dark Blue 75X48X05</t>
  </si>
  <si>
    <t>HYPFOMFMDB75X60X05</t>
  </si>
  <si>
    <t>Peps Hypnos Foamera Soft Top Dark Blue 75X60X05</t>
  </si>
  <si>
    <t>HYPFOMFMDB75X66X05</t>
  </si>
  <si>
    <t>Peps Hypnos Foamera Soft Top Dark Blue 75X66X05</t>
  </si>
  <si>
    <t>HYPFOMFMDB75X72X05</t>
  </si>
  <si>
    <t>Peps Hypnos Foamera Soft Top Dark Blue 75X72X05</t>
  </si>
  <si>
    <t>HYPFOMFMDB78X30X05</t>
  </si>
  <si>
    <t>Peps Hypnos Foamera Soft Top Dark Blue 78X30X05</t>
  </si>
  <si>
    <t>HYPFOMFMDB78X36X05</t>
  </si>
  <si>
    <t>Peps Hypnos Foamera Soft Top Dark Blue 78X36X05</t>
  </si>
  <si>
    <t>HYPFOMFMDB78X42X05</t>
  </si>
  <si>
    <t>Peps Hypnos Foamera Soft Top Dark Blue 78X42X05</t>
  </si>
  <si>
    <t>HYPFOMFMDB78X48X05</t>
  </si>
  <si>
    <t>Peps Hypnos Foamera Soft Top Dark Blue 78X48X05</t>
  </si>
  <si>
    <t>HYPFOMFMDB78X60X05</t>
  </si>
  <si>
    <t>Peps Hypnos Foamera Soft Top Dark Blue 78X60X05</t>
  </si>
  <si>
    <t>HYPFOMFMDB78X66X05</t>
  </si>
  <si>
    <t>Peps Hypnos Foamera Soft Top Dark Blue 78X66X05</t>
  </si>
  <si>
    <t>HYPFOMFMDB78X72X05</t>
  </si>
  <si>
    <t>Peps Hypnos Foamera Soft Top Dark Blue 78X72X05</t>
  </si>
  <si>
    <t>HYPFOMFMDB80X30X05</t>
  </si>
  <si>
    <t>Peps Hypnos Foamera Soft Top Dark Blue 80X30X05</t>
  </si>
  <si>
    <t>HYPFOMFMDB80X36X05</t>
  </si>
  <si>
    <t>Peps Hypnos Foamera Soft Top Dark Blue 80X36X05</t>
  </si>
  <si>
    <t>HYPFOMFMDB80X42X05</t>
  </si>
  <si>
    <t>Peps Hypnos Foamera Soft Top Dark Blue 80X42X05</t>
  </si>
  <si>
    <t>HYPFOMFMDB80X48X05</t>
  </si>
  <si>
    <t>Peps Hypnos Foamera Soft Top Dark Blue 80X48X05</t>
  </si>
  <si>
    <t>HYPFOMFMDB80X60X05</t>
  </si>
  <si>
    <t>Peps Hypnos Foamera Soft Top Dark Blue 80X60X05</t>
  </si>
  <si>
    <t>HYPFOMFMDB80X66X05</t>
  </si>
  <si>
    <t>Peps Hypnos Foamera Soft Top Dark Blue 80X66X05</t>
  </si>
  <si>
    <t>HYPFOMFMDB80X72X05</t>
  </si>
  <si>
    <t>Peps Hypnos Foamera Soft Top Dark Blue 80X72X05</t>
  </si>
  <si>
    <t>HYPFOMFMDB84X30X05</t>
  </si>
  <si>
    <t>Peps Hypnos Foamera Soft Top Dark Blue 84X30X05</t>
  </si>
  <si>
    <t>HYPFOMFMDB84X36X05</t>
  </si>
  <si>
    <t>Peps Hypnos Foamera Soft Top Dark Blue 84X36X05</t>
  </si>
  <si>
    <t>HYPFOMFMDB84X42X05</t>
  </si>
  <si>
    <t>Peps Hypnos Foamera Soft Top Dark Blue 84X42X05</t>
  </si>
  <si>
    <t>HYPFOMFMDB84X48X05</t>
  </si>
  <si>
    <t>Peps Hypnos Foamera Soft Top Dark Blue 84X48X05</t>
  </si>
  <si>
    <t>HYPFOMFMDB84X60X05</t>
  </si>
  <si>
    <t>Peps Hypnos Foamera Soft Top Dark Blue 84X60X05</t>
  </si>
  <si>
    <t>HYPFOMFMDB84X66X05</t>
  </si>
  <si>
    <t>Peps Hypnos Foamera Soft Top Dark Blue 84X66X05</t>
  </si>
  <si>
    <t>HYPFOMFMDB84X72X05</t>
  </si>
  <si>
    <t>Peps Hypnos Foamera Soft Top Dark Blue 84X72X05</t>
  </si>
  <si>
    <t>HYPFOMFMBW72X30X05</t>
  </si>
  <si>
    <t>Peps Hypnos Foamera Soft Top Brown 72X30X05</t>
  </si>
  <si>
    <t>HYPFOMFMBW72X36X05</t>
  </si>
  <si>
    <t>Peps Hypnos Foamera Soft Top Brown 72X36X05</t>
  </si>
  <si>
    <t>HYPFOMFMBW72X42X05</t>
  </si>
  <si>
    <t>Peps Hypnos Foamera Soft Top Brown 72X42X05</t>
  </si>
  <si>
    <t>HYPFOMFMBW72X48X05</t>
  </si>
  <si>
    <t>Peps Hypnos Foamera Soft Top Brown 72X48X05</t>
  </si>
  <si>
    <t>HYPFOMFMBW72X60X05</t>
  </si>
  <si>
    <t>Peps Hypnos Foamera Soft Top Brown 72X60X05</t>
  </si>
  <si>
    <t>HYPFOMFMBW72X66X05</t>
  </si>
  <si>
    <t>Peps Hypnos Foamera Soft Top Brown 72X66X05</t>
  </si>
  <si>
    <t>HYPFOMFMBW72X72X05</t>
  </si>
  <si>
    <t>Peps Hypnos Foamera Soft Top Brown 72X72X05</t>
  </si>
  <si>
    <t>HYPFOMFMBW75X30X05</t>
  </si>
  <si>
    <t>Peps Hypnos Foamera Soft Top Brown 75X30X05</t>
  </si>
  <si>
    <t>HYPFOMFMBW75X36X05</t>
  </si>
  <si>
    <t>Peps Hypnos Foamera Soft Top Brown 75X36X05</t>
  </si>
  <si>
    <t>HYPFOMFMBW75X42X05</t>
  </si>
  <si>
    <t>Peps Hypnos Foamera Soft Top Brown 75X42X05</t>
  </si>
  <si>
    <t>HYPFOMFMBW75X48X05</t>
  </si>
  <si>
    <t>Peps Hypnos Foamera Soft Top Brown 75X48X05</t>
  </si>
  <si>
    <t>HYPFOMFMBW75X60X05</t>
  </si>
  <si>
    <t>Peps Hypnos Foamera Soft Top Brown 75X60X05</t>
  </si>
  <si>
    <t>HYPFOMFMBW75X66X05</t>
  </si>
  <si>
    <t>Peps Hypnos Foamera Soft Top Brown 75X66X05</t>
  </si>
  <si>
    <t>HYPFOMFMBW75X72X05</t>
  </si>
  <si>
    <t>Peps Hypnos Foamera Soft Top Brown 75X72X05</t>
  </si>
  <si>
    <t>HYPFOMFMBW78X30X05</t>
  </si>
  <si>
    <t>Peps Hypnos Foamera Soft Top Brown 78X30X05</t>
  </si>
  <si>
    <t>HYPFOMFMBW78X36X05</t>
  </si>
  <si>
    <t>Peps Hypnos Foamera Soft Top Brown 78X36X05</t>
  </si>
  <si>
    <t>HYPFOMFMBW78X42X05</t>
  </si>
  <si>
    <t>Peps Hypnos Foamera Soft Top Brown 78X42X05</t>
  </si>
  <si>
    <t>HYPFOMFMBW78X48X05</t>
  </si>
  <si>
    <t>Peps Hypnos Foamera Soft Top Brown 78X48X05</t>
  </si>
  <si>
    <t>HYPFOMFMBW78X60X05</t>
  </si>
  <si>
    <t>Peps Hypnos Foamera Soft Top Brown 78X60X05</t>
  </si>
  <si>
    <t>HYPFOMFMBW78X66X05</t>
  </si>
  <si>
    <t>Peps Hypnos Foamera Soft Top Brown 78X66X05</t>
  </si>
  <si>
    <t>HYPFOMFMBW78X72X05</t>
  </si>
  <si>
    <t>Peps Hypnos Foamera Soft Top Brown 78X72X05</t>
  </si>
  <si>
    <t>HYPFOMFMBW80X30X05</t>
  </si>
  <si>
    <t>Peps Hypnos Foamera Soft Top Brown 80X30X05</t>
  </si>
  <si>
    <t>HYPFOMFMBW80X36X05</t>
  </si>
  <si>
    <t>Peps Hypnos Foamera Soft Top Brown 80X36X05</t>
  </si>
  <si>
    <t>HYPFOMFMBW80X42X05</t>
  </si>
  <si>
    <t>Peps Hypnos Foamera Soft Top Brown 80X42X05</t>
  </si>
  <si>
    <t>HYPFOMFMBW80X48X05</t>
  </si>
  <si>
    <t>Peps Hypnos Foamera Soft Top Brown 80X48X05</t>
  </si>
  <si>
    <t>HYPFOMFMBW80X60X05</t>
  </si>
  <si>
    <t>Peps Hypnos Foamera Soft Top Brown 80X60X05</t>
  </si>
  <si>
    <t>HYPFOMFMBW80X66X05</t>
  </si>
  <si>
    <t>Peps Hypnos Foamera Soft Top Brown 80X66X05</t>
  </si>
  <si>
    <t>HYPFOMFMBW80X72X05</t>
  </si>
  <si>
    <t>Peps Hypnos Foamera Soft Top Brown 80X72X05</t>
  </si>
  <si>
    <t>HYPFOMFMBW84X30X05</t>
  </si>
  <si>
    <t>Peps Hypnos Foamera Soft Top Brown 84X30X05</t>
  </si>
  <si>
    <t>HYPFOMFMBW84X36X05</t>
  </si>
  <si>
    <t>Peps Hypnos Foamera Soft Top Brown 84X36X05</t>
  </si>
  <si>
    <t>HYPFOMFMBW84X42X05</t>
  </si>
  <si>
    <t>Peps Hypnos Foamera Soft Top Brown 84X42X05</t>
  </si>
  <si>
    <t>HYPFOMFMBW84X48X05</t>
  </si>
  <si>
    <t>Peps Hypnos Foamera Soft Top Brown 84X48X05</t>
  </si>
  <si>
    <t>HYPFOMFMBW84X60X05</t>
  </si>
  <si>
    <t>Peps Hypnos Foamera Soft Top Brown 84X60X05</t>
  </si>
  <si>
    <t>HYPFOMFMBW84X66X05</t>
  </si>
  <si>
    <t>Peps Hypnos Foamera Soft Top Brown 84X66X05</t>
  </si>
  <si>
    <t>HYPFOMFMBW84X72X05</t>
  </si>
  <si>
    <t>Peps Hypnos Foamera Soft Top Brown 84X72X05</t>
  </si>
  <si>
    <t>HYPFOMFMMR72X30X06</t>
  </si>
  <si>
    <t>Peps Hypnos Foamera Soft Top Maroon 72X30X06</t>
  </si>
  <si>
    <t>FOAMERA-FOAM-BLOCK-72X30X06</t>
  </si>
  <si>
    <t>HYPFOMFMMR72X36X06</t>
  </si>
  <si>
    <t>Peps Hypnos Foamera Soft Top Maroon 72X36X06</t>
  </si>
  <si>
    <t>FOAMERA-FOAM-BLOCK-72X36X06</t>
  </si>
  <si>
    <t>HYPFOMFMMR72X42X06</t>
  </si>
  <si>
    <t>Peps Hypnos Foamera Soft Top Maroon 72X42X06</t>
  </si>
  <si>
    <t>FOAMERA-FOAM-BLOCK-72X42X06</t>
  </si>
  <si>
    <t>HYPFOMFMMR72X48X06</t>
  </si>
  <si>
    <t>Peps Hypnos Foamera Soft Top Maroon 72X48X06</t>
  </si>
  <si>
    <t>FOAMERA-FOAM-BLOCK-72X48X06</t>
  </si>
  <si>
    <t>HYPFOMFMMR72X60X06</t>
  </si>
  <si>
    <t>Peps Hypnos Foamera Soft Top Maroon 72X60X06</t>
  </si>
  <si>
    <t>FOAMERA-FOAM-BLOCK-72X60X06</t>
  </si>
  <si>
    <t>HYPFOMFMMR72X66X06</t>
  </si>
  <si>
    <t>Peps Hypnos Foamera Soft Top Maroon 72X66X06</t>
  </si>
  <si>
    <t>FOAMERA-FOAM-BLOCK-72X66X06</t>
  </si>
  <si>
    <t>HYPFOMFMMR72X72X06</t>
  </si>
  <si>
    <t>Peps Hypnos Foamera Soft Top Maroon 72X72X06</t>
  </si>
  <si>
    <t>FOAMERA-FOAM-BLOCK-72X72X06</t>
  </si>
  <si>
    <t>HYPFOMFMMR75X30X06</t>
  </si>
  <si>
    <t>Peps Hypnos Foamera Soft Top Maroon 75X30X06</t>
  </si>
  <si>
    <t>FOAMERA-FOAM-BLOCK-75X30X06</t>
  </si>
  <si>
    <t>HYPFOMFMMR75X36X06</t>
  </si>
  <si>
    <t>Peps Hypnos Foamera Soft Top Maroon 75X36X06</t>
  </si>
  <si>
    <t>FOAMERA-FOAM-BLOCK-75X36X06</t>
  </si>
  <si>
    <t>HYPFOMFMMR75X42X06</t>
  </si>
  <si>
    <t>Peps Hypnos Foamera Soft Top Maroon 75X42X06</t>
  </si>
  <si>
    <t>FOAMERA-FOAM-BLOCK-75X42X06</t>
  </si>
  <si>
    <t>HYPFOMFMMR75X48X06</t>
  </si>
  <si>
    <t>Peps Hypnos Foamera Soft Top Maroon 75X48X06</t>
  </si>
  <si>
    <t>FOAMERA-FOAM-BLOCK-75X48X06</t>
  </si>
  <si>
    <t>HYPFOMFMMR75X60X06</t>
  </si>
  <si>
    <t>Peps Hypnos Foamera Soft Top Maroon 75X60X06</t>
  </si>
  <si>
    <t>FOAMERA-FOAM-BLOCK-75X60X06</t>
  </si>
  <si>
    <t>HYPFOMFMMR75X66X06</t>
  </si>
  <si>
    <t>Peps Hypnos Foamera Soft Top Maroon 75X66X06</t>
  </si>
  <si>
    <t>FOAMERA-FOAM-BLOCK-75X66X06</t>
  </si>
  <si>
    <t>HYPFOMFMMR75X72X06</t>
  </si>
  <si>
    <t>Peps Hypnos Foamera Soft Top Maroon 75X72X06</t>
  </si>
  <si>
    <t>FOAMERA-FOAM-BLOCK-75X72X06</t>
  </si>
  <si>
    <t>HYPFOMFMMR78X30X06</t>
  </si>
  <si>
    <t>Peps Hypnos Foamera Soft Top Maroon 78X30X06</t>
  </si>
  <si>
    <t>FOAMERA-FOAM-BLOCK-78X30X06</t>
  </si>
  <si>
    <t>HYPFOMFMMR78X36X06</t>
  </si>
  <si>
    <t>Peps Hypnos Foamera Soft Top Maroon 78X36X06</t>
  </si>
  <si>
    <t>FOAMERA-FOAM-BLOCK-78X36X06</t>
  </si>
  <si>
    <t>HYPFOMFMMR78X42X06</t>
  </si>
  <si>
    <t>Peps Hypnos Foamera Soft Top Maroon 78X42X06</t>
  </si>
  <si>
    <t>FOAMERA-FOAM-BLOCK-78X42X06</t>
  </si>
  <si>
    <t>HYPFOMFMMR78X48X06</t>
  </si>
  <si>
    <t>Peps Hypnos Foamera Soft Top Maroon 78X48X06</t>
  </si>
  <si>
    <t>FOAMERA-FOAM-BLOCK-78X48X06</t>
  </si>
  <si>
    <t>HYPFOMFMMR78X60X06</t>
  </si>
  <si>
    <t>Peps Hypnos Foamera Soft Top Maroon 78X60X06</t>
  </si>
  <si>
    <t>FOAMERA-FOAM-BLOCK-78X60X06</t>
  </si>
  <si>
    <t>HYPFOMFMMR78X66X06</t>
  </si>
  <si>
    <t>Peps Hypnos Foamera Soft Top Maroon 78X66X06</t>
  </si>
  <si>
    <t>FOAMERA-FOAM-BLOCK-78X66X06</t>
  </si>
  <si>
    <t>HYPFOMFMMR78X72X06</t>
  </si>
  <si>
    <t>Peps Hypnos Foamera Soft Top Maroon 78X72X06</t>
  </si>
  <si>
    <t>FOAMERA-FOAM-BLOCK-78X72X06</t>
  </si>
  <si>
    <t>HYPFOMFMMR80X30X06</t>
  </si>
  <si>
    <t>Peps Hypnos Foamera Soft Top Maroon 80X30X06</t>
  </si>
  <si>
    <t>FOAMERA-FOAM-BLOCK-80X30X06</t>
  </si>
  <si>
    <t>HYPFOMFMMR80X36X06</t>
  </si>
  <si>
    <t>Peps Hypnos Foamera Soft Top Maroon 80X36X06</t>
  </si>
  <si>
    <t>FOAMERA-FOAM-BLOCK-80X36X06</t>
  </si>
  <si>
    <t>HYPFOMFMMR80X42X06</t>
  </si>
  <si>
    <t>Peps Hypnos Foamera Soft Top Maroon 80X42X06</t>
  </si>
  <si>
    <t>FOAMERA-FOAM-BLOCK-80X42X06</t>
  </si>
  <si>
    <t>HYPFOMFMMR80X48X06</t>
  </si>
  <si>
    <t>Peps Hypnos Foamera Soft Top Maroon 80X48X06</t>
  </si>
  <si>
    <t>FOAMERA-FOAM-BLOCK-80X48X06</t>
  </si>
  <si>
    <t>HYPFOMFMMR80X60X06</t>
  </si>
  <si>
    <t>Peps Hypnos Foamera Soft Top Maroon 80X60X06</t>
  </si>
  <si>
    <t>FOAMERA-FOAM-BLOCK-80X60X06</t>
  </si>
  <si>
    <t>HYPFOMFMMR80X66X06</t>
  </si>
  <si>
    <t>Peps Hypnos Foamera Soft Top Maroon 80X66X06</t>
  </si>
  <si>
    <t>FOAMERA-FOAM-BLOCK-80X66X06</t>
  </si>
  <si>
    <t>HYPFOMFMMR80X72X06</t>
  </si>
  <si>
    <t>Peps Hypnos Foamera Soft Top Maroon 80X72X06</t>
  </si>
  <si>
    <t>FOAMERA-FOAM-BLOCK-80X72X06</t>
  </si>
  <si>
    <t>HYPFOMFMMR84X30X06</t>
  </si>
  <si>
    <t>Peps Hypnos Foamera Soft Top Maroon 84X30X06</t>
  </si>
  <si>
    <t>FOAMERA-FOAM-BLOCK-84X30X06</t>
  </si>
  <si>
    <t>HYPFOMFMMR84X36X06</t>
  </si>
  <si>
    <t>Peps Hypnos Foamera Soft Top Maroon 84X36X06</t>
  </si>
  <si>
    <t>FOAMERA-FOAM-BLOCK-84X36X06</t>
  </si>
  <si>
    <t>HYPFOMFMMR84X42X06</t>
  </si>
  <si>
    <t>Peps Hypnos Foamera Soft Top Maroon 84X42X06</t>
  </si>
  <si>
    <t>FOAMERA-FOAM-BLOCK-84X42X06</t>
  </si>
  <si>
    <t>HYPFOMFMMR84X48X06</t>
  </si>
  <si>
    <t>Peps Hypnos Foamera Soft Top Maroon 84X48X06</t>
  </si>
  <si>
    <t>FOAMERA-FOAM-BLOCK-84X48X06</t>
  </si>
  <si>
    <t>HYPFOMFMMR84X60X06</t>
  </si>
  <si>
    <t>Peps Hypnos Foamera Soft Top Maroon 84X60X06</t>
  </si>
  <si>
    <t>FOAMERA-FOAM-BLOCK-84X60X06</t>
  </si>
  <si>
    <t>HYPFOMFMMR84X66X06</t>
  </si>
  <si>
    <t>Peps Hypnos Foamera Soft Top Maroon 84X66X06</t>
  </si>
  <si>
    <t>FOAMERA-FOAM-BLOCK-84X66X06</t>
  </si>
  <si>
    <t>HYPFOMFMMR84X72X06</t>
  </si>
  <si>
    <t>Peps Hypnos Foamera Soft Top Maroon 84X72X06</t>
  </si>
  <si>
    <t>FOAMERA-FOAM-BLOCK-84X72X06</t>
  </si>
  <si>
    <t>HYPFOMFMDB72X30X06</t>
  </si>
  <si>
    <t>Peps Hypnos Foamera Soft Top Dark Blue 72X30X06</t>
  </si>
  <si>
    <t>HYPFOMFMDB72X36X06</t>
  </si>
  <si>
    <t>Peps Hypnos Foamera Soft Top Dark Blue 72X36X06</t>
  </si>
  <si>
    <t>HYPFOMFMDB72X42X06</t>
  </si>
  <si>
    <t>Peps Hypnos Foamera Soft Top Dark Blue 72X42X06</t>
  </si>
  <si>
    <t>HYPFOMFMDB72X48X06</t>
  </si>
  <si>
    <t>Peps Hypnos Foamera Soft Top Dark Blue 72X48X06</t>
  </si>
  <si>
    <t>HYPFOMFMDB72X60X06</t>
  </si>
  <si>
    <t>Peps Hypnos Foamera Soft Top Dark Blue 72X60X06</t>
  </si>
  <si>
    <t>HYPFOMFMDB72X66X06</t>
  </si>
  <si>
    <t>Peps Hypnos Foamera Soft Top Dark Blue 72X66X06</t>
  </si>
  <si>
    <t>HYPFOMFMDB72X72X06</t>
  </si>
  <si>
    <t>Peps Hypnos Foamera Soft Top Dark Blue 72X72X06</t>
  </si>
  <si>
    <t>HYPFOMFMDB75X30X06</t>
  </si>
  <si>
    <t>Peps Hypnos Foamera Soft Top Dark Blue 75X30X06</t>
  </si>
  <si>
    <t>HYPFOMFMDB75X36X06</t>
  </si>
  <si>
    <t>Peps Hypnos Foamera Soft Top Dark Blue 75X36X06</t>
  </si>
  <si>
    <t>HYPFOMFMDB75X42X06</t>
  </si>
  <si>
    <t>Peps Hypnos Foamera Soft Top Dark Blue 75X42X06</t>
  </si>
  <si>
    <t>HYPFOMFMDB75X48X06</t>
  </si>
  <si>
    <t>Peps Hypnos Foamera Soft Top Dark Blue 75X48X06</t>
  </si>
  <si>
    <t>HYPFOMFMDB75X60X06</t>
  </si>
  <si>
    <t>Peps Hypnos Foamera Soft Top Dark Blue 75X60X06</t>
  </si>
  <si>
    <t>HYPFOMFMDB75X66X06</t>
  </si>
  <si>
    <t>Peps Hypnos Foamera Soft Top Dark Blue 75X66X06</t>
  </si>
  <si>
    <t>HYPFOMFMDB75X72X06</t>
  </si>
  <si>
    <t>Peps Hypnos Foamera Soft Top Dark Blue 75X72X06</t>
  </si>
  <si>
    <t>HYPFOMFMDB78X30X06</t>
  </si>
  <si>
    <t>Peps Hypnos Foamera Soft Top Dark Blue 78X30X06</t>
  </si>
  <si>
    <t>HYPFOMFMDB78X36X06</t>
  </si>
  <si>
    <t>Peps Hypnos Foamera Soft Top Dark Blue 78X36X06</t>
  </si>
  <si>
    <t>HYPFOMFMDB78X42X06</t>
  </si>
  <si>
    <t>Peps Hypnos Foamera Soft Top Dark Blue 78X42X06</t>
  </si>
  <si>
    <t>HYPFOMFMDB78X48X06</t>
  </si>
  <si>
    <t>Peps Hypnos Foamera Soft Top Dark Blue 78X48X06</t>
  </si>
  <si>
    <t>HYPFOMFMDB78X60X06</t>
  </si>
  <si>
    <t>Peps Hypnos Foamera Soft Top Dark Blue 78X60X06</t>
  </si>
  <si>
    <t>HYPFOMFMDB78X66X06</t>
  </si>
  <si>
    <t>Peps Hypnos Foamera Soft Top Dark Blue 78X66X06</t>
  </si>
  <si>
    <t>HYPFOMFMDB78X72X06</t>
  </si>
  <si>
    <t>Peps Hypnos Foamera Soft Top Dark Blue 78X72X06</t>
  </si>
  <si>
    <t>HYPFOMFMDB80X30X06</t>
  </si>
  <si>
    <t>Peps Hypnos Foamera Soft Top Dark Blue 80X30X06</t>
  </si>
  <si>
    <t>HYPFOMFMDB80X36X06</t>
  </si>
  <si>
    <t>Peps Hypnos Foamera Soft Top Dark Blue 80X36X06</t>
  </si>
  <si>
    <t>HYPFOMFMDB80X42X06</t>
  </si>
  <si>
    <t>Peps Hypnos Foamera Soft Top Dark Blue 80X42X06</t>
  </si>
  <si>
    <t>HYPFOMFMDB80X48X06</t>
  </si>
  <si>
    <t>Peps Hypnos Foamera Soft Top Dark Blue 80X48X06</t>
  </si>
  <si>
    <t>HYPFOMFMDB80X60X06</t>
  </si>
  <si>
    <t>Peps Hypnos Foamera Soft Top Dark Blue 80X60X06</t>
  </si>
  <si>
    <t>HYPFOMFMDB80X66X06</t>
  </si>
  <si>
    <t>Peps Hypnos Foamera Soft Top Dark Blue 80X66X06</t>
  </si>
  <si>
    <t>HYPFOMFMDB80X72X06</t>
  </si>
  <si>
    <t>Peps Hypnos Foamera Soft Top Dark Blue 80X72X06</t>
  </si>
  <si>
    <t>HYPFOMFMDB84X30X06</t>
  </si>
  <si>
    <t>Peps Hypnos Foamera Soft Top Dark Blue 84X30X06</t>
  </si>
  <si>
    <t>HYPFOMFMDB84X36X06</t>
  </si>
  <si>
    <t>Peps Hypnos Foamera Soft Top Dark Blue 84X36X06</t>
  </si>
  <si>
    <t>HYPFOMFMDB84X42X06</t>
  </si>
  <si>
    <t>Peps Hypnos Foamera Soft Top Dark Blue 84X42X06</t>
  </si>
  <si>
    <t>HYPFOMFMDB84X48X06</t>
  </si>
  <si>
    <t>Peps Hypnos Foamera Soft Top Dark Blue 84X48X06</t>
  </si>
  <si>
    <t>HYPFOMFMDB84X60X06</t>
  </si>
  <si>
    <t>Peps Hypnos Foamera Soft Top Dark Blue 84X60X06</t>
  </si>
  <si>
    <t>HYPFOMFMDB84X66X06</t>
  </si>
  <si>
    <t>Peps Hypnos Foamera Soft Top Dark Blue 84X66X06</t>
  </si>
  <si>
    <t>HYPFOMFMDB84X72X06</t>
  </si>
  <si>
    <t>Peps Hypnos Foamera Soft Top Dark Blue 84X72X06</t>
  </si>
  <si>
    <t>HYPFOMFMBW72X30X06</t>
  </si>
  <si>
    <t>Peps Hypnos Foamera Soft Top Brown 72X30X06</t>
  </si>
  <si>
    <t>HYPFOMFMBW72X36X06</t>
  </si>
  <si>
    <t>Peps Hypnos Foamera Soft Top Brown 72X36X06</t>
  </si>
  <si>
    <t>HYPFOMFMBW72X42X06</t>
  </si>
  <si>
    <t>Peps Hypnos Foamera Soft Top Brown 72X42X06</t>
  </si>
  <si>
    <t>HYPFOMFMBW72X48X06</t>
  </si>
  <si>
    <t>Peps Hypnos Foamera Soft Top Brown 72X48X06</t>
  </si>
  <si>
    <t>HYPFOMFMBW72X60X06</t>
  </si>
  <si>
    <t>Peps Hypnos Foamera Soft Top Brown 72X60X06</t>
  </si>
  <si>
    <t>HYPFOMFMBW72X66X06</t>
  </si>
  <si>
    <t>Peps Hypnos Foamera Soft Top Brown 72X66X06</t>
  </si>
  <si>
    <t>HYPFOMFMBW72X72X06</t>
  </si>
  <si>
    <t>Peps Hypnos Foamera Soft Top Brown 72X72X06</t>
  </si>
  <si>
    <t>HYPFOMFMBW75X30X06</t>
  </si>
  <si>
    <t>Peps Hypnos Foamera Soft Top Brown 75X30X06</t>
  </si>
  <si>
    <t>HYPFOMFMBW75X36X06</t>
  </si>
  <si>
    <t>Peps Hypnos Foamera Soft Top Brown 75X36X06</t>
  </si>
  <si>
    <t>HYPFOMFMBW75X42X06</t>
  </si>
  <si>
    <t>Peps Hypnos Foamera Soft Top Brown 75X42X06</t>
  </si>
  <si>
    <t>HYPFOMFMBW75X48X06</t>
  </si>
  <si>
    <t>Peps Hypnos Foamera Soft Top Brown 75X48X06</t>
  </si>
  <si>
    <t>HYPFOMFMBW75X60X06</t>
  </si>
  <si>
    <t>Peps Hypnos Foamera Soft Top Brown 75X60X06</t>
  </si>
  <si>
    <t>HYPFOMFMBW75X66X06</t>
  </si>
  <si>
    <t>Peps Hypnos Foamera Soft Top Brown 75X66X06</t>
  </si>
  <si>
    <t>HYPFOMFMBW75X72X06</t>
  </si>
  <si>
    <t>Peps Hypnos Foamera Soft Top Brown 75X72X06</t>
  </si>
  <si>
    <t>HYPFOMFMBW78X30X06</t>
  </si>
  <si>
    <t>Peps Hypnos Foamera Soft Top Brown 78X30X06</t>
  </si>
  <si>
    <t>HYPFOMFMBW78X36X06</t>
  </si>
  <si>
    <t>Peps Hypnos Foamera Soft Top Brown 78X36X06</t>
  </si>
  <si>
    <t>HYPFOMFMBW78X42X06</t>
  </si>
  <si>
    <t>Peps Hypnos Foamera Soft Top Brown 78X42X06</t>
  </si>
  <si>
    <t>HYPFOMFMBW78X48X06</t>
  </si>
  <si>
    <t>Peps Hypnos Foamera Soft Top Brown 78X48X06</t>
  </si>
  <si>
    <t>HYPFOMFMBW78X60X06</t>
  </si>
  <si>
    <t>Peps Hypnos Foamera Soft Top Brown 78X60X06</t>
  </si>
  <si>
    <t>HYPFOMFMBW78X66X06</t>
  </si>
  <si>
    <t>Peps Hypnos Foamera Soft Top Brown 78X66X06</t>
  </si>
  <si>
    <t>HYPFOMFMBW78X72X06</t>
  </si>
  <si>
    <t>Peps Hypnos Foamera Soft Top Brown 78X72X06</t>
  </si>
  <si>
    <t>HYPFOMFMBW80X30X06</t>
  </si>
  <si>
    <t>Peps Hypnos Foamera Soft Top Brown 80X30X06</t>
  </si>
  <si>
    <t>HYPFOMFMBW80X36X06</t>
  </si>
  <si>
    <t>Peps Hypnos Foamera Soft Top Brown 80X36X06</t>
  </si>
  <si>
    <t>HYPFOMFMBW80X42X06</t>
  </si>
  <si>
    <t>Peps Hypnos Foamera Soft Top Brown 80X42X06</t>
  </si>
  <si>
    <t>HYPFOMFMBW80X48X06</t>
  </si>
  <si>
    <t>Peps Hypnos Foamera Soft Top Brown 80X48X06</t>
  </si>
  <si>
    <t>HYPFOMFMBW80X60X06</t>
  </si>
  <si>
    <t>Peps Hypnos Foamera Soft Top Brown 80X60X06</t>
  </si>
  <si>
    <t>HYPFOMFMBW80X66X06</t>
  </si>
  <si>
    <t>Peps Hypnos Foamera Soft Top Brown 80X66X06</t>
  </si>
  <si>
    <t>HYPFOMFMBW80X72X06</t>
  </si>
  <si>
    <t>Peps Hypnos Foamera Soft Top Brown 80X72X06</t>
  </si>
  <si>
    <t>HYPFOMFMBW84X30X06</t>
  </si>
  <si>
    <t>Peps Hypnos Foamera Soft Top Brown 84X30X06</t>
  </si>
  <si>
    <t>HYPFOMFMBW84X36X06</t>
  </si>
  <si>
    <t>Peps Hypnos Foamera Soft Top Brown 84X36X06</t>
  </si>
  <si>
    <t>HYPFOMFMBW84X42X06</t>
  </si>
  <si>
    <t>Peps Hypnos Foamera Soft Top Brown 84X42X06</t>
  </si>
  <si>
    <t>HYPFOMFMBW84X48X06</t>
  </si>
  <si>
    <t>Peps Hypnos Foamera Soft Top Brown 84X48X06</t>
  </si>
  <si>
    <t>HYPFOMFMBW84X60X06</t>
  </si>
  <si>
    <t>Peps Hypnos Foamera Soft Top Brown 84X60X06</t>
  </si>
  <si>
    <t>HYPFOMFMBW84X66X06</t>
  </si>
  <si>
    <t>Peps Hypnos Foamera Soft Top Brown 84X66X06</t>
  </si>
  <si>
    <t>HYPFOMFMBW84X72X06</t>
  </si>
  <si>
    <t>Peps Hypnos Foamera Soft Top Brown 84X72X06</t>
  </si>
  <si>
    <t>HYPMEMFMOR72X30X05</t>
  </si>
  <si>
    <t>Peps Hypnos Memorio Soft Top Orange 72X30X05</t>
  </si>
  <si>
    <t>MEMORIO-FOAM-BLOCK-72X30X05</t>
  </si>
  <si>
    <t>HYPMEMFMOR72X36X05</t>
  </si>
  <si>
    <t>Peps Hypnos Memorio Soft Top Orange 72X36X05</t>
  </si>
  <si>
    <t>MEMORIO-FOAM-BLOCK-72X36X05</t>
  </si>
  <si>
    <t>HYPMEMFMOR72X42X05</t>
  </si>
  <si>
    <t>Peps Hypnos Memorio Soft Top Orange 72X42X05</t>
  </si>
  <si>
    <t>MEMORIO-FOAM-BLOCK-72X42X05</t>
  </si>
  <si>
    <t>HYPMEMFMOR72X48X05</t>
  </si>
  <si>
    <t>Peps Hypnos Memorio Soft Top Orange 72X48X05</t>
  </si>
  <si>
    <t>MEMORIO-FOAM-BLOCK-72X48X05</t>
  </si>
  <si>
    <t>HYPMEMFMOR72X60X05</t>
  </si>
  <si>
    <t>Peps Hypnos Memorio Soft Top Orange 72X60X05</t>
  </si>
  <si>
    <t>MEMORIO-FOAM-BLOCK-72X60X05</t>
  </si>
  <si>
    <t>HYPMEMFMOR72X66X05</t>
  </si>
  <si>
    <t>Peps Hypnos Memorio Soft Top Orange 72X66X05</t>
  </si>
  <si>
    <t>MEMORIO-FOAM-BLOCK-72X66X05</t>
  </si>
  <si>
    <t>HYPMEMFMOR72X72X05</t>
  </si>
  <si>
    <t>Peps Hypnos Memorio Soft Top Orange 72X72X05</t>
  </si>
  <si>
    <t>MEMORIO-FOAM-BLOCK-72X72X05</t>
  </si>
  <si>
    <t>HYPMEMFMOR75X30X05</t>
  </si>
  <si>
    <t>Peps Hypnos Memorio Soft Top Orange 75X30X05</t>
  </si>
  <si>
    <t>MEMORIO-FOAM-BLOCK-75X30X05</t>
  </si>
  <si>
    <t>HYPMEMFMOR75X36X05</t>
  </si>
  <si>
    <t>Peps Hypnos Memorio Soft Top Orange 75X36X05</t>
  </si>
  <si>
    <t>MEMORIO-FOAM-BLOCK-75X36X05</t>
  </si>
  <si>
    <t>HYPMEMFMOR75X42X05</t>
  </si>
  <si>
    <t>Peps Hypnos Memorio Soft Top Orange 75X42X05</t>
  </si>
  <si>
    <t>MEMORIO-FOAM-BLOCK-75X42X05</t>
  </si>
  <si>
    <t>HYPMEMFMOR75X48X05</t>
  </si>
  <si>
    <t>Peps Hypnos Memorio Soft Top Orange 75X48X05</t>
  </si>
  <si>
    <t>MEMORIO-FOAM-BLOCK-75X48X05</t>
  </si>
  <si>
    <t>HYPMEMFMOR75X60X05</t>
  </si>
  <si>
    <t>Peps Hypnos Memorio Soft Top Orange 75X60X05</t>
  </si>
  <si>
    <t>MEMORIO-FOAM-BLOCK-75X60X05</t>
  </si>
  <si>
    <t>HYPMEMFMOR75X66X05</t>
  </si>
  <si>
    <t>Peps Hypnos Memorio Soft Top Orange 75X66X05</t>
  </si>
  <si>
    <t>MEMORIO-FOAM-BLOCK-75X66X05</t>
  </si>
  <si>
    <t>HYPMEMFMOR75X72X05</t>
  </si>
  <si>
    <t>Peps Hypnos Memorio Soft Top Orange 75X72X05</t>
  </si>
  <si>
    <t>MEMORIO-FOAM-BLOCK-75X72X05</t>
  </si>
  <si>
    <t>HYPMEMFMOR78X30X05</t>
  </si>
  <si>
    <t>Peps Hypnos Memorio Soft Top Orange 78X30X05</t>
  </si>
  <si>
    <t>MEMORIO-FOAM-BLOCK-78X30X05</t>
  </si>
  <si>
    <t>HYPMEMFMOR78X36X05</t>
  </si>
  <si>
    <t>Peps Hypnos Memorio Soft Top Orange 78X36X05</t>
  </si>
  <si>
    <t>MEMORIO-FOAM-BLOCK-78X36X05</t>
  </si>
  <si>
    <t>HYPMEMFMOR78X42X05</t>
  </si>
  <si>
    <t>Peps Hypnos Memorio Soft Top Orange 78X42X05</t>
  </si>
  <si>
    <t>MEMORIO-FOAM-BLOCK-78X42X05</t>
  </si>
  <si>
    <t>HYPMEMFMOR78X48X05</t>
  </si>
  <si>
    <t>Peps Hypnos Memorio Soft Top Orange 78X48X05</t>
  </si>
  <si>
    <t>MEMORIO-FOAM-BLOCK-78X48X05</t>
  </si>
  <si>
    <t>HYPMEMFMOR78X60X05</t>
  </si>
  <si>
    <t>Peps Hypnos Memorio Soft Top Orange 78X60X05</t>
  </si>
  <si>
    <t>MEMORIO-FOAM-BLOCK-78X60X05</t>
  </si>
  <si>
    <t>HYPMEMFMOR78X66X05</t>
  </si>
  <si>
    <t>Peps Hypnos Memorio Soft Top Orange 78X66X05</t>
  </si>
  <si>
    <t>MEMORIO-FOAM-BLOCK-78X66X05</t>
  </si>
  <si>
    <t>HYPMEMFMOR78X72X05</t>
  </si>
  <si>
    <t>Peps Hypnos Memorio Soft Top Orange 78X72X05</t>
  </si>
  <si>
    <t>MEMORIO-FOAM-BLOCK-78X72X05</t>
  </si>
  <si>
    <t>HYPMEMFMOR80X30X05</t>
  </si>
  <si>
    <t>Peps Hypnos Memorio Soft Top Orange 80X30X05</t>
  </si>
  <si>
    <t>MEMORIO-FOAM-BLOCK-80X30X05</t>
  </si>
  <si>
    <t>HYPMEMFMOR80X36X05</t>
  </si>
  <si>
    <t>Peps Hypnos Memorio Soft Top Orange 80X36X05</t>
  </si>
  <si>
    <t>MEMORIO-FOAM-BLOCK-80X36X05</t>
  </si>
  <si>
    <t>HYPMEMFMOR80X42X05</t>
  </si>
  <si>
    <t>Peps Hypnos Memorio Soft Top Orange 80X42X05</t>
  </si>
  <si>
    <t>MEMORIO-FOAM-BLOCK-80X42X05</t>
  </si>
  <si>
    <t>HYPMEMFMOR80X48X05</t>
  </si>
  <si>
    <t>Peps Hypnos Memorio Soft Top Orange 80X48X05</t>
  </si>
  <si>
    <t>MEMORIO-FOAM-BLOCK-80X48X05</t>
  </si>
  <si>
    <t>HYPMEMFMOR80X60X05</t>
  </si>
  <si>
    <t>Peps Hypnos Memorio Soft Top Orange 80X60X05</t>
  </si>
  <si>
    <t>MEMORIO-FOAM-BLOCK-80X60X05</t>
  </si>
  <si>
    <t>HYPMEMFMOR80X66X05</t>
  </si>
  <si>
    <t>Peps Hypnos Memorio Soft Top Orange 80X66X05</t>
  </si>
  <si>
    <t>MEMORIO-FOAM-BLOCK-80X66X05</t>
  </si>
  <si>
    <t>HYPMEMFMOR80X72X05</t>
  </si>
  <si>
    <t>Peps Hypnos Memorio Soft Top Orange 80X72X05</t>
  </si>
  <si>
    <t>MEMORIO-FOAM-BLOCK-80X72X05</t>
  </si>
  <si>
    <t>HYPMEMFMOR84X30X05</t>
  </si>
  <si>
    <t>Peps Hypnos Memorio Soft Top Orange 84X30X05</t>
  </si>
  <si>
    <t>MEMORIO-FOAM-BLOCK-84X30X05</t>
  </si>
  <si>
    <t>HYPMEMFMOR84X36X05</t>
  </si>
  <si>
    <t>Peps Hypnos Memorio Soft Top Orange 84X36X05</t>
  </si>
  <si>
    <t>MEMORIO-FOAM-BLOCK-84X36X05</t>
  </si>
  <si>
    <t>HYPMEMFMOR84X42X05</t>
  </si>
  <si>
    <t>Peps Hypnos Memorio Soft Top Orange 84X42X05</t>
  </si>
  <si>
    <t>MEMORIO-FOAM-BLOCK-84X42X05</t>
  </si>
  <si>
    <t>HYPMEMFMOR84X48X05</t>
  </si>
  <si>
    <t>Peps Hypnos Memorio Soft Top Orange 84X48X05</t>
  </si>
  <si>
    <t>MEMORIO-FOAM-BLOCK-84X48X05</t>
  </si>
  <si>
    <t>HYPMEMFMOR84X60X05</t>
  </si>
  <si>
    <t>Peps Hypnos Memorio Soft Top Orange 84X60X05</t>
  </si>
  <si>
    <t>MEMORIO-FOAM-BLOCK-84X60X05</t>
  </si>
  <si>
    <t>HYPMEMFMOR84X66X05</t>
  </si>
  <si>
    <t>Peps Hypnos Memorio Soft Top Orange 84X66X05</t>
  </si>
  <si>
    <t>MEMORIO-FOAM-BLOCK-84X66X05</t>
  </si>
  <si>
    <t>HYPMEMFMOR84X72X05</t>
  </si>
  <si>
    <t>Peps Hypnos Memorio Soft Top Orange 84X72X05</t>
  </si>
  <si>
    <t>MEMORIO-FOAM-BLOCK-84X72X05</t>
  </si>
  <si>
    <t>HYPMEMFMVL72X30X05</t>
  </si>
  <si>
    <t>Peps Hypnos Memorio Soft Top Violet 72X30X05</t>
  </si>
  <si>
    <t>HYPMEMFMVL72X36X05</t>
  </si>
  <si>
    <t>Peps Hypnos Memorio Soft Top Violet 72X36X05</t>
  </si>
  <si>
    <t>HYPMEMFMVL72X42X05</t>
  </si>
  <si>
    <t>Peps Hypnos Memorio Soft Top Violet 72X42X05</t>
  </si>
  <si>
    <t>HYPMEMFMVL72X48X05</t>
  </si>
  <si>
    <t>Peps Hypnos Memorio Soft Top Violet 72X48X05</t>
  </si>
  <si>
    <t>HYPMEMFMVL72X60X05</t>
  </si>
  <si>
    <t>Peps Hypnos Memorio Soft Top Violet 72X60X05</t>
  </si>
  <si>
    <t>HYPMEMFMVL72X66X05</t>
  </si>
  <si>
    <t>Peps Hypnos Memorio Soft Top Violet 72X66X05</t>
  </si>
  <si>
    <t>HYPMEMFMVL72X72X05</t>
  </si>
  <si>
    <t>Peps Hypnos Memorio Soft Top Violet 72X72X05</t>
  </si>
  <si>
    <t>HYPMEMFMVL75X30X05</t>
  </si>
  <si>
    <t>Peps Hypnos Memorio Soft Top Violet 75X30X05</t>
  </si>
  <si>
    <t>HYPMEMFMVL75X36X05</t>
  </si>
  <si>
    <t>Peps Hypnos Memorio Soft Top Violet 75X36X05</t>
  </si>
  <si>
    <t>HYPMEMFMVL75X42X05</t>
  </si>
  <si>
    <t>Peps Hypnos Memorio Soft Top Violet 75X42X05</t>
  </si>
  <si>
    <t>HYPMEMFMVL75X48X05</t>
  </si>
  <si>
    <t>Peps Hypnos Memorio Soft Top Violet 75X48X05</t>
  </si>
  <si>
    <t>HYPMEMFMVL75X60X05</t>
  </si>
  <si>
    <t>Peps Hypnos Memorio Soft Top Violet 75X60X05</t>
  </si>
  <si>
    <t>HYPMEMFMVL75X66X05</t>
  </si>
  <si>
    <t>Peps Hypnos Memorio Soft Top Violet 75X66X05</t>
  </si>
  <si>
    <t>HYPMEMFMVL75X72X05</t>
  </si>
  <si>
    <t>Peps Hypnos Memorio Soft Top Violet 75X72X05</t>
  </si>
  <si>
    <t>HYPMEMFMVL78X30X05</t>
  </si>
  <si>
    <t>Peps Hypnos Memorio Soft Top Violet 78X30X05</t>
  </si>
  <si>
    <t>HYPMEMFMVL78X36X05</t>
  </si>
  <si>
    <t>Peps Hypnos Memorio Soft Top Violet 78X36X05</t>
  </si>
  <si>
    <t>HYPMEMFMVL78X42X05</t>
  </si>
  <si>
    <t>Peps Hypnos Memorio Soft Top Violet 78X42X05</t>
  </si>
  <si>
    <t>HYPMEMFMVL78X48X05</t>
  </si>
  <si>
    <t>Peps Hypnos Memorio Soft Top Violet 78X48X05</t>
  </si>
  <si>
    <t>HYPMEMFMVL78X60X05</t>
  </si>
  <si>
    <t>Peps Hypnos Memorio Soft Top Violet 78X60X05</t>
  </si>
  <si>
    <t>HYPMEMFMVL78X66X05</t>
  </si>
  <si>
    <t>Peps Hypnos Memorio Soft Top Violet 78X66X05</t>
  </si>
  <si>
    <t>HYPMEMFMVL78X72X05</t>
  </si>
  <si>
    <t>Peps Hypnos Memorio Soft Top Violet 78X72X05</t>
  </si>
  <si>
    <t>HYPMEMFMVL80X30X05</t>
  </si>
  <si>
    <t>Peps Hypnos Memorio Soft Top Violet 80X30X05</t>
  </si>
  <si>
    <t>HYPMEMFMVL80X36X05</t>
  </si>
  <si>
    <t>Peps Hypnos Memorio Soft Top Violet 80X36X05</t>
  </si>
  <si>
    <t>HYPMEMFMVL80X42X05</t>
  </si>
  <si>
    <t>Peps Hypnos Memorio Soft Top Violet 80X42X05</t>
  </si>
  <si>
    <t>HYPMEMFMVL80X48X05</t>
  </si>
  <si>
    <t>Peps Hypnos Memorio Soft Top Violet 80X48X05</t>
  </si>
  <si>
    <t>HYPMEMFMVL80X60X05</t>
  </si>
  <si>
    <t>Peps Hypnos Memorio Soft Top Violet 80X60X05</t>
  </si>
  <si>
    <t>HYPMEMFMVL80X66X05</t>
  </si>
  <si>
    <t>Peps Hypnos Memorio Soft Top Violet 80X66X05</t>
  </si>
  <si>
    <t>HYPMEMFMVL80X72X05</t>
  </si>
  <si>
    <t>Peps Hypnos Memorio Soft Top Violet 80X72X05</t>
  </si>
  <si>
    <t>HYPMEMFMVL84X30X05</t>
  </si>
  <si>
    <t>Peps Hypnos Memorio Soft Top Violet 84X30X05</t>
  </si>
  <si>
    <t>HYPMEMFMVL84X36X05</t>
  </si>
  <si>
    <t>Peps Hypnos Memorio Soft Top Violet 84X36X05</t>
  </si>
  <si>
    <t>HYPMEMFMVL84X42X05</t>
  </si>
  <si>
    <t>Peps Hypnos Memorio Soft Top Violet 84X42X05</t>
  </si>
  <si>
    <t>HYPMEMFMVL84X48X05</t>
  </si>
  <si>
    <t>Peps Hypnos Memorio Soft Top Violet 84X48X05</t>
  </si>
  <si>
    <t>HYPMEMFMVL84X60X05</t>
  </si>
  <si>
    <t>Peps Hypnos Memorio Soft Top Violet 84X60X05</t>
  </si>
  <si>
    <t>HYPMEMFMVL84X66X05</t>
  </si>
  <si>
    <t>Peps Hypnos Memorio Soft Top Violet 84X66X05</t>
  </si>
  <si>
    <t>HYPMEMFMVL84X72X05</t>
  </si>
  <si>
    <t>Peps Hypnos Memorio Soft Top Violet 84X72X05</t>
  </si>
  <si>
    <t>HYPMEMFMOR72X30X06</t>
  </si>
  <si>
    <t>Peps Hypnos Memorio Soft Top Orange 72X30X06</t>
  </si>
  <si>
    <t>MEMORIO-FOAM-BLOCK-72X30X06</t>
  </si>
  <si>
    <t>HYPMEMFMOR72X36X06</t>
  </si>
  <si>
    <t>Peps Hypnos Memorio Soft Top Orange 72X36X06</t>
  </si>
  <si>
    <t>MEMORIO-FOAM-BLOCK-72X36X06</t>
  </si>
  <si>
    <t>HYPMEMFMOR72X42X06</t>
  </si>
  <si>
    <t>Peps Hypnos Memorio Soft Top Orange 72X42X06</t>
  </si>
  <si>
    <t>MEMORIO-FOAM-BLOCK-72X42X06</t>
  </si>
  <si>
    <t>HYPMEMFMOR72X48X06</t>
  </si>
  <si>
    <t>Peps Hypnos Memorio Soft Top Orange 72X48X06</t>
  </si>
  <si>
    <t>MEMORIO-FOAM-BLOCK-72X48X06</t>
  </si>
  <si>
    <t>HYPMEMFMOR72X60X06</t>
  </si>
  <si>
    <t>Peps Hypnos Memorio Soft Top Orange 72X60X06</t>
  </si>
  <si>
    <t>MEMORIO-FOAM-BLOCK-72X60X06</t>
  </si>
  <si>
    <t>HYPMEMFMOR72X66X06</t>
  </si>
  <si>
    <t>Peps Hypnos Memorio Soft Top Orange 72X66X06</t>
  </si>
  <si>
    <t>MEMORIO-FOAM-BLOCK-72X66X06</t>
  </si>
  <si>
    <t>HYPMEMFMOR72X72X06</t>
  </si>
  <si>
    <t>Peps Hypnos Memorio Soft Top Orange 72X72X06</t>
  </si>
  <si>
    <t>MEMORIO-FOAM-BLOCK-72X72X06</t>
  </si>
  <si>
    <t>HYPMEMFMOR75X30X06</t>
  </si>
  <si>
    <t>Peps Hypnos Memorio Soft Top Orange 75X30X06</t>
  </si>
  <si>
    <t>MEMORIO-FOAM-BLOCK-75X30X06</t>
  </si>
  <si>
    <t>HYPMEMFMOR75X36X06</t>
  </si>
  <si>
    <t>Peps Hypnos Memorio Soft Top Orange 75X36X06</t>
  </si>
  <si>
    <t>MEMORIO-FOAM-BLOCK-75X36X06</t>
  </si>
  <si>
    <t>HYPMEMFMOR75X42X06</t>
  </si>
  <si>
    <t>Peps Hypnos Memorio Soft Top Orange 75X42X06</t>
  </si>
  <si>
    <t>MEMORIO-FOAM-BLOCK-75X42X06</t>
  </si>
  <si>
    <t>HYPMEMFMOR75X48X06</t>
  </si>
  <si>
    <t>Peps Hypnos Memorio Soft Top Orange 75X48X06</t>
  </si>
  <si>
    <t>MEMORIO-FOAM-BLOCK-75X48X06</t>
  </si>
  <si>
    <t>HYPMEMFMOR75X60X06</t>
  </si>
  <si>
    <t>Peps Hypnos Memorio Soft Top Orange 75X60X06</t>
  </si>
  <si>
    <t>MEMORIO-FOAM-BLOCK-75X60X06</t>
  </si>
  <si>
    <t>HYPMEMFMOR75X66X06</t>
  </si>
  <si>
    <t>Peps Hypnos Memorio Soft Top Orange 75X66X06</t>
  </si>
  <si>
    <t>MEMORIO-FOAM-BLOCK-75X66X06</t>
  </si>
  <si>
    <t>HYPMEMFMOR75X72X06</t>
  </si>
  <si>
    <t>Peps Hypnos Memorio Soft Top Orange 75X72X06</t>
  </si>
  <si>
    <t>MEMORIO-FOAM-BLOCK-75X72X06</t>
  </si>
  <si>
    <t>HYPMEMFMOR78X30X06</t>
  </si>
  <si>
    <t>Peps Hypnos Memorio Soft Top Orange 78X30X06</t>
  </si>
  <si>
    <t>MEMORIO-FOAM-BLOCK-78X30X06</t>
  </si>
  <si>
    <t>HYPMEMFMOR78X36X06</t>
  </si>
  <si>
    <t>Peps Hypnos Memorio Soft Top Orange 78X36X06</t>
  </si>
  <si>
    <t>MEMORIO-FOAM-BLOCK-78X36X06</t>
  </si>
  <si>
    <t>HYPMEMFMOR78X42X06</t>
  </si>
  <si>
    <t>Peps Hypnos Memorio Soft Top Orange 78X42X06</t>
  </si>
  <si>
    <t>MEMORIO-FOAM-BLOCK-78X42X06</t>
  </si>
  <si>
    <t>HYPMEMFMOR78X48X06</t>
  </si>
  <si>
    <t>Peps Hypnos Memorio Soft Top Orange 78X48X06</t>
  </si>
  <si>
    <t>MEMORIO-FOAM-BLOCK-78X48X06</t>
  </si>
  <si>
    <t>HYPMEMFMOR78X60X06</t>
  </si>
  <si>
    <t>Peps Hypnos Memorio Soft Top Orange 78X60X06</t>
  </si>
  <si>
    <t>MEMORIO-FOAM-BLOCK-78X60X06</t>
  </si>
  <si>
    <t>HYPMEMFMOR78X66X06</t>
  </si>
  <si>
    <t>Peps Hypnos Memorio Soft Top Orange 78X66X06</t>
  </si>
  <si>
    <t>MEMORIO-FOAM-BLOCK-78X66X06</t>
  </si>
  <si>
    <t>HYPMEMFMOR78X72X06</t>
  </si>
  <si>
    <t>Peps Hypnos Memorio Soft Top Orange 78X72X06</t>
  </si>
  <si>
    <t>MEMORIO-FOAM-BLOCK-78X72X06</t>
  </si>
  <si>
    <t>HYPMEMFMOR80X30X06</t>
  </si>
  <si>
    <t>Peps Hypnos Memorio Soft Top Orange 80X30X06</t>
  </si>
  <si>
    <t>MEMORIO-FOAM-BLOCK-80X30X06</t>
  </si>
  <si>
    <t>HYPMEMFMOR80X36X06</t>
  </si>
  <si>
    <t>Peps Hypnos Memorio Soft Top Orange 80X36X06</t>
  </si>
  <si>
    <t>MEMORIO-FOAM-BLOCK-80X36X06</t>
  </si>
  <si>
    <t>HYPMEMFMOR80X42X06</t>
  </si>
  <si>
    <t>Peps Hypnos Memorio Soft Top Orange 80X42X06</t>
  </si>
  <si>
    <t>MEMORIO-FOAM-BLOCK-80X42X06</t>
  </si>
  <si>
    <t>HYPMEMFMOR80X48X06</t>
  </si>
  <si>
    <t>Peps Hypnos Memorio Soft Top Orange 80X48X06</t>
  </si>
  <si>
    <t>MEMORIO-FOAM-BLOCK-80X48X06</t>
  </si>
  <si>
    <t>HYPMEMFMOR80X60X06</t>
  </si>
  <si>
    <t>Peps Hypnos Memorio Soft Top Orange 80X60X06</t>
  </si>
  <si>
    <t>MEMORIO-FOAM-BLOCK-80X60X06</t>
  </si>
  <si>
    <t>HYPMEMFMOR80X66X06</t>
  </si>
  <si>
    <t>Peps Hypnos Memorio Soft Top Orange 80X66X06</t>
  </si>
  <si>
    <t>MEMORIO-FOAM-BLOCK-80X66X06</t>
  </si>
  <si>
    <t>HYPMEMFMOR80X72X06</t>
  </si>
  <si>
    <t>Peps Hypnos Memorio Soft Top Orange 80X72X06</t>
  </si>
  <si>
    <t>MEMORIO-FOAM-BLOCK-80X72X06</t>
  </si>
  <si>
    <t>HYPMEMFMOR84X30X06</t>
  </si>
  <si>
    <t>Peps Hypnos Memorio Soft Top Orange 84X30X06</t>
  </si>
  <si>
    <t>MEMORIO-FOAM-BLOCK-84X30X06</t>
  </si>
  <si>
    <t>HYPMEMFMOR84X36X06</t>
  </si>
  <si>
    <t>Peps Hypnos Memorio Soft Top Orange 84X36X06</t>
  </si>
  <si>
    <t>MEMORIO-FOAM-BLOCK-84X36X06</t>
  </si>
  <si>
    <t>HYPMEMFMOR84X42X06</t>
  </si>
  <si>
    <t>Peps Hypnos Memorio Soft Top Orange 84X42X06</t>
  </si>
  <si>
    <t>MEMORIO-FOAM-BLOCK-84X42X06</t>
  </si>
  <si>
    <t>HYPMEMFMOR84X48X06</t>
  </si>
  <si>
    <t>Peps Hypnos Memorio Soft Top Orange 84X48X06</t>
  </si>
  <si>
    <t>MEMORIO-FOAM-BLOCK-84X48X06</t>
  </si>
  <si>
    <t>HYPMEMFMOR84X60X06</t>
  </si>
  <si>
    <t>Peps Hypnos Memorio Soft Top Orange 84X60X06</t>
  </si>
  <si>
    <t>MEMORIO-FOAM-BLOCK-84X60X06</t>
  </si>
  <si>
    <t>HYPMEMFMOR84X66X06</t>
  </si>
  <si>
    <t>Peps Hypnos Memorio Soft Top Orange 84X66X06</t>
  </si>
  <si>
    <t>MEMORIO-FOAM-BLOCK-84X66X06</t>
  </si>
  <si>
    <t>HYPMEMFMOR84X72X06</t>
  </si>
  <si>
    <t>Peps Hypnos Memorio Soft Top Orange 84X72X06</t>
  </si>
  <si>
    <t>MEMORIO-FOAM-BLOCK-84X72X06</t>
  </si>
  <si>
    <t>HYPMEMFMVL72X30X06</t>
  </si>
  <si>
    <t>Peps Hypnos Memorio Soft Top Violet 72X30X06</t>
  </si>
  <si>
    <t>HYPMEMFMVL72X36X06</t>
  </si>
  <si>
    <t>Peps Hypnos Memorio Soft Top Violet 72X36X06</t>
  </si>
  <si>
    <t>HYPMEMFMVL72X42X06</t>
  </si>
  <si>
    <t>Peps Hypnos Memorio Soft Top Violet 72X42X06</t>
  </si>
  <si>
    <t>HYPMEMFMVL72X48X06</t>
  </si>
  <si>
    <t>Peps Hypnos Memorio Soft Top Violet 72X48X06</t>
  </si>
  <si>
    <t>HYPMEMFMVL72X60X06</t>
  </si>
  <si>
    <t>Peps Hypnos Memorio Soft Top Violet 72X60X06</t>
  </si>
  <si>
    <t>HYPMEMFMVL72X66X06</t>
  </si>
  <si>
    <t>Peps Hypnos Memorio Soft Top Violet 72X66X06</t>
  </si>
  <si>
    <t>HYPMEMFMVL72X72X06</t>
  </si>
  <si>
    <t>Peps Hypnos Memorio Soft Top Violet 72X72X06</t>
  </si>
  <si>
    <t>HYPMEMFMVL75X30X06</t>
  </si>
  <si>
    <t>Peps Hypnos Memorio Soft Top Violet 75X30X06</t>
  </si>
  <si>
    <t>HYPMEMFMVL75X36X06</t>
  </si>
  <si>
    <t>Peps Hypnos Memorio Soft Top Violet 75X36X06</t>
  </si>
  <si>
    <t>HYPMEMFMVL75X42X06</t>
  </si>
  <si>
    <t>Peps Hypnos Memorio Soft Top Violet 75X42X06</t>
  </si>
  <si>
    <t>HYPMEMFMVL75X48X06</t>
  </si>
  <si>
    <t>Peps Hypnos Memorio Soft Top Violet 75X48X06</t>
  </si>
  <si>
    <t>HYPMEMFMVL75X60X06</t>
  </si>
  <si>
    <t>Peps Hypnos Memorio Soft Top Violet 75X60X06</t>
  </si>
  <si>
    <t>HYPMEMFMVL75X66X06</t>
  </si>
  <si>
    <t>Peps Hypnos Memorio Soft Top Violet 75X66X06</t>
  </si>
  <si>
    <t>HYPMEMFMVL75X72X06</t>
  </si>
  <si>
    <t>Peps Hypnos Memorio Soft Top Violet 75X72X06</t>
  </si>
  <si>
    <t>HYPMEMFMVL78X30X06</t>
  </si>
  <si>
    <t>Peps Hypnos Memorio Soft Top Violet 78X30X06</t>
  </si>
  <si>
    <t>HYPMEMFMVL78X36X06</t>
  </si>
  <si>
    <t>Peps Hypnos Memorio Soft Top Violet 78X36X06</t>
  </si>
  <si>
    <t>HYPMEMFMVL78X42X06</t>
  </si>
  <si>
    <t>Peps Hypnos Memorio Soft Top Violet 78X42X06</t>
  </si>
  <si>
    <t>HYPMEMFMVL78X48X06</t>
  </si>
  <si>
    <t>Peps Hypnos Memorio Soft Top Violet 78X48X06</t>
  </si>
  <si>
    <t>HYPMEMFMVL78X60X06</t>
  </si>
  <si>
    <t>Peps Hypnos Memorio Soft Top Violet 78X60X06</t>
  </si>
  <si>
    <t>HYPMEMFMVL78X66X06</t>
  </si>
  <si>
    <t>Peps Hypnos Memorio Soft Top Violet 78X66X06</t>
  </si>
  <si>
    <t>HYPMEMFMVL78X72X06</t>
  </si>
  <si>
    <t>Peps Hypnos Memorio Soft Top Violet 78X72X06</t>
  </si>
  <si>
    <t>HYPMEMFMVL80X30X06</t>
  </si>
  <si>
    <t>Peps Hypnos Memorio Soft Top Violet 80X30X06</t>
  </si>
  <si>
    <t>HYPMEMFMVL80X36X06</t>
  </si>
  <si>
    <t>Peps Hypnos Memorio Soft Top Violet 80X36X06</t>
  </si>
  <si>
    <t>HYPMEMFMVL80X42X06</t>
  </si>
  <si>
    <t>Peps Hypnos Memorio Soft Top Violet 80X42X06</t>
  </si>
  <si>
    <t>HYPMEMFMVL80X48X06</t>
  </si>
  <si>
    <t>Peps Hypnos Memorio Soft Top Violet 80X48X06</t>
  </si>
  <si>
    <t>HYPMEMFMVL80X60X06</t>
  </si>
  <si>
    <t>Peps Hypnos Memorio Soft Top Violet 80X60X06</t>
  </si>
  <si>
    <t>HYPMEMFMVL80X66X06</t>
  </si>
  <si>
    <t>Peps Hypnos Memorio Soft Top Violet 80X66X06</t>
  </si>
  <si>
    <t>HYPMEMFMVL80X72X06</t>
  </si>
  <si>
    <t>Peps Hypnos Memorio Soft Top Violet 80X72X06</t>
  </si>
  <si>
    <t>HYPMEMFMVL84X30X06</t>
  </si>
  <si>
    <t>Peps Hypnos Memorio Soft Top Violet 84X30X06</t>
  </si>
  <si>
    <t>HYPMEMFMVL84X36X06</t>
  </si>
  <si>
    <t>Peps Hypnos Memorio Soft Top Violet 84X36X06</t>
  </si>
  <si>
    <t>HYPMEMFMVL84X42X06</t>
  </si>
  <si>
    <t>Peps Hypnos Memorio Soft Top Violet 84X42X06</t>
  </si>
  <si>
    <t>HYPMEMFMVL84X48X06</t>
  </si>
  <si>
    <t>Peps Hypnos Memorio Soft Top Violet 84X48X06</t>
  </si>
  <si>
    <t>HYPMEMFMVL84X60X06</t>
  </si>
  <si>
    <t>Peps Hypnos Memorio Soft Top Violet 84X60X06</t>
  </si>
  <si>
    <t>HYPMEMFMVL84X66X06</t>
  </si>
  <si>
    <t>Peps Hypnos Memorio Soft Top Violet 84X66X06</t>
  </si>
  <si>
    <t>HYPMEMFMVL84X72X06</t>
  </si>
  <si>
    <t>Peps Hypnos Memorio Soft Top Violet 84X72X06</t>
  </si>
  <si>
    <t>HYPMEMFMOR72X30X08</t>
  </si>
  <si>
    <t>Peps Hypnos Memorio Soft Top Orange 72X30X08</t>
  </si>
  <si>
    <t>MEMORIO-FOAM-BLOCK-72X30X08</t>
  </si>
  <si>
    <t>HYPMEMFMOR72X36X08</t>
  </si>
  <si>
    <t>Peps Hypnos Memorio Soft Top Orange 72X36X08</t>
  </si>
  <si>
    <t>MEMORIO-FOAM-BLOCK-72X36X08</t>
  </si>
  <si>
    <t>HYPMEMFMOR72X42X08</t>
  </si>
  <si>
    <t>Peps Hypnos Memorio Soft Top Orange 72X42X08</t>
  </si>
  <si>
    <t>MEMORIO-FOAM-BLOCK-72X42X08</t>
  </si>
  <si>
    <t>HYPMEMFMOR72X48X08</t>
  </si>
  <si>
    <t>Peps Hypnos Memorio Soft Top Orange 72X48X08</t>
  </si>
  <si>
    <t>MEMORIO-FOAM-BLOCK-72X48X08</t>
  </si>
  <si>
    <t>HYPMEMFMOR72X60X08</t>
  </si>
  <si>
    <t>Peps Hypnos Memorio Soft Top Orange 72X60X08</t>
  </si>
  <si>
    <t>MEMORIO-FOAM-BLOCK-72X60X08</t>
  </si>
  <si>
    <t>HYPMEMFMOR72X66X08</t>
  </si>
  <si>
    <t>Peps Hypnos Memorio Soft Top Orange 72X66X08</t>
  </si>
  <si>
    <t>MEMORIO-FOAM-BLOCK-72X66X08</t>
  </si>
  <si>
    <t>HYPMEMFMOR72X72X08</t>
  </si>
  <si>
    <t>Peps Hypnos Memorio Soft Top Orange 72X72X08</t>
  </si>
  <si>
    <t>MEMORIO-FOAM-BLOCK-72X72X08</t>
  </si>
  <si>
    <t>HYPMEMFMOR75X30X08</t>
  </si>
  <si>
    <t>Peps Hypnos Memorio Soft Top Orange 75X30X08</t>
  </si>
  <si>
    <t>MEMORIO-FOAM-BLOCK-75X30X08</t>
  </si>
  <si>
    <t>HYPMEMFMOR75X36X08</t>
  </si>
  <si>
    <t>Peps Hypnos Memorio Soft Top Orange 75X36X08</t>
  </si>
  <si>
    <t>MEMORIO-FOAM-BLOCK-75X36X08</t>
  </si>
  <si>
    <t>HYPMEMFMOR75X42X08</t>
  </si>
  <si>
    <t>Peps Hypnos Memorio Soft Top Orange 75X42X08</t>
  </si>
  <si>
    <t>MEMORIO-FOAM-BLOCK-75X42X08</t>
  </si>
  <si>
    <t>HYPMEMFMOR75X48X08</t>
  </si>
  <si>
    <t>Peps Hypnos Memorio Soft Top Orange 75X48X08</t>
  </si>
  <si>
    <t>MEMORIO-FOAM-BLOCK-75X48X08</t>
  </si>
  <si>
    <t>HYPMEMFMOR75X60X08</t>
  </si>
  <si>
    <t>Peps Hypnos Memorio Soft Top Orange 75X60X08</t>
  </si>
  <si>
    <t>MEMORIO-FOAM-BLOCK-75X60X08</t>
  </si>
  <si>
    <t>HYPMEMFMOR75X66X08</t>
  </si>
  <si>
    <t>Peps Hypnos Memorio Soft Top Orange 75X66X08</t>
  </si>
  <si>
    <t>MEMORIO-FOAM-BLOCK-75X66X08</t>
  </si>
  <si>
    <t>HYPMEMFMOR75X72X08</t>
  </si>
  <si>
    <t>Peps Hypnos Memorio Soft Top Orange 75X72X08</t>
  </si>
  <si>
    <t>MEMORIO-FOAM-BLOCK-75X72X08</t>
  </si>
  <si>
    <t>HYPMEMFMOR78X30X08</t>
  </si>
  <si>
    <t>Peps Hypnos Memorio Soft Top Orange 78X30X08</t>
  </si>
  <si>
    <t>MEMORIO-FOAM-BLOCK-78X30X08</t>
  </si>
  <si>
    <t>HYPMEMFMOR78X36X08</t>
  </si>
  <si>
    <t>Peps Hypnos Memorio Soft Top Orange 78X36X08</t>
  </si>
  <si>
    <t>MEMORIO-FOAM-BLOCK-78X36X08</t>
  </si>
  <si>
    <t>HYPMEMFMOR78X42X08</t>
  </si>
  <si>
    <t>Peps Hypnos Memorio Soft Top Orange 78X42X08</t>
  </si>
  <si>
    <t>MEMORIO-FOAM-BLOCK-78X42X08</t>
  </si>
  <si>
    <t>HYPMEMFMOR78X48X08</t>
  </si>
  <si>
    <t>Peps Hypnos Memorio Soft Top Orange 78X48X08</t>
  </si>
  <si>
    <t>MEMORIO-FOAM-BLOCK-78X48X08</t>
  </si>
  <si>
    <t>HYPMEMFMOR78X60X08</t>
  </si>
  <si>
    <t>Peps Hypnos Memorio Soft Top Orange 78X60X08</t>
  </si>
  <si>
    <t>MEMORIO-FOAM-BLOCK-78X60X08</t>
  </si>
  <si>
    <t>HYPMEMFMOR78X66X08</t>
  </si>
  <si>
    <t>Peps Hypnos Memorio Soft Top Orange 78X66X08</t>
  </si>
  <si>
    <t>MEMORIO-FOAM-BLOCK-78X66X08</t>
  </si>
  <si>
    <t>HYPMEMFMOR78X72X08</t>
  </si>
  <si>
    <t>Peps Hypnos Memorio Soft Top Orange 78X72X08</t>
  </si>
  <si>
    <t>MEMORIO-FOAM-BLOCK-78X72X08</t>
  </si>
  <si>
    <t>HYPMEMFMOR80X30X08</t>
  </si>
  <si>
    <t>Peps Hypnos Memorio Soft Top Orange 80X30X08</t>
  </si>
  <si>
    <t>MEMORIO-FOAM-BLOCK-80X30X08</t>
  </si>
  <si>
    <t>HYPMEMFMOR80X36X08</t>
  </si>
  <si>
    <t>Peps Hypnos Memorio Soft Top Orange 80X36X08</t>
  </si>
  <si>
    <t>MEMORIO-FOAM-BLOCK-80X36X08</t>
  </si>
  <si>
    <t>HYPMEMFMOR80X42X08</t>
  </si>
  <si>
    <t>Peps Hypnos Memorio Soft Top Orange 80X42X08</t>
  </si>
  <si>
    <t>MEMORIO-FOAM-BLOCK-80X42X08</t>
  </si>
  <si>
    <t>HYPMEMFMOR80X48X08</t>
  </si>
  <si>
    <t>Peps Hypnos Memorio Soft Top Orange 80X48X08</t>
  </si>
  <si>
    <t>MEMORIO-FOAM-BLOCK-80X48X08</t>
  </si>
  <si>
    <t>HYPMEMFMOR80X60X08</t>
  </si>
  <si>
    <t>Peps Hypnos Memorio Soft Top Orange 80X60X08</t>
  </si>
  <si>
    <t>MEMORIO-FOAM-BLOCK-80X60X08</t>
  </si>
  <si>
    <t>HYPMEMFMOR80X66X08</t>
  </si>
  <si>
    <t>Peps Hypnos Memorio Soft Top Orange 80X66X08</t>
  </si>
  <si>
    <t>MEMORIO-FOAM-BLOCK-80X66X08</t>
  </si>
  <si>
    <t>HYPMEMFMOR80X72X08</t>
  </si>
  <si>
    <t>Peps Hypnos Memorio Soft Top Orange 80X72X08</t>
  </si>
  <si>
    <t>MEMORIO-FOAM-BLOCK-80X72X08</t>
  </si>
  <si>
    <t>HYPMEMFMOR84X30X08</t>
  </si>
  <si>
    <t>Peps Hypnos Memorio Soft Top Orange 84X30X08</t>
  </si>
  <si>
    <t>MEMORIO-FOAM-BLOCK-84X30X08</t>
  </si>
  <si>
    <t>HYPMEMFMOR84X36X08</t>
  </si>
  <si>
    <t>Peps Hypnos Memorio Soft Top Orange 84X36X08</t>
  </si>
  <si>
    <t>MEMORIO-FOAM-BLOCK-84X36X08</t>
  </si>
  <si>
    <t>HYPMEMFMOR84X42X08</t>
  </si>
  <si>
    <t>Peps Hypnos Memorio Soft Top Orange 84X42X08</t>
  </si>
  <si>
    <t>MEMORIO-FOAM-BLOCK-84X42X08</t>
  </si>
  <si>
    <t>HYPMEMFMOR84X48X08</t>
  </si>
  <si>
    <t>Peps Hypnos Memorio Soft Top Orange 84X48X08</t>
  </si>
  <si>
    <t>MEMORIO-FOAM-BLOCK-84X48X08</t>
  </si>
  <si>
    <t>HYPMEMFMOR84X60X08</t>
  </si>
  <si>
    <t>Peps Hypnos Memorio Soft Top Orange 84X60X08</t>
  </si>
  <si>
    <t>MEMORIO-FOAM-BLOCK-84X60X08</t>
  </si>
  <si>
    <t>HYPMEMFMOR84X66X08</t>
  </si>
  <si>
    <t>Peps Hypnos Memorio Soft Top Orange 84X66X08</t>
  </si>
  <si>
    <t>MEMORIO-FOAM-BLOCK-84X66X08</t>
  </si>
  <si>
    <t>HYPMEMFMOR84X72X08</t>
  </si>
  <si>
    <t>Peps Hypnos Memorio Soft Top Orange 84X72X08</t>
  </si>
  <si>
    <t>MEMORIO-FOAM-BLOCK-84X72X08</t>
  </si>
  <si>
    <t>HYPMEMFMVL72X30X08</t>
  </si>
  <si>
    <t>Peps Hypnos Memorio Soft Top Violet 72X30X08</t>
  </si>
  <si>
    <t>HYPMEMFMVL72X36X08</t>
  </si>
  <si>
    <t>Peps Hypnos Memorio Soft Top Violet 72X36X08</t>
  </si>
  <si>
    <t>HYPMEMFMVL72X42X08</t>
  </si>
  <si>
    <t>Peps Hypnos Memorio Soft Top Violet 72X42X08</t>
  </si>
  <si>
    <t>HYPMEMFMVL72X48X08</t>
  </si>
  <si>
    <t>Peps Hypnos Memorio Soft Top Violet 72X48X08</t>
  </si>
  <si>
    <t>HYPMEMFMVL72X60X08</t>
  </si>
  <si>
    <t>Peps Hypnos Memorio Soft Top Violet 72X60X08</t>
  </si>
  <si>
    <t>HYPMEMFMVL72X66X08</t>
  </si>
  <si>
    <t>Peps Hypnos Memorio Soft Top Violet 72X66X08</t>
  </si>
  <si>
    <t>HYPMEMFMVL72X72X08</t>
  </si>
  <si>
    <t>Peps Hypnos Memorio Soft Top Violet 72X72X08</t>
  </si>
  <si>
    <t>HYPMEMFMVL75X30X08</t>
  </si>
  <si>
    <t>Peps Hypnos Memorio Soft Top Violet 75X30X08</t>
  </si>
  <si>
    <t>HYPMEMFMVL75X36X08</t>
  </si>
  <si>
    <t>Peps Hypnos Memorio Soft Top Violet 75X36X08</t>
  </si>
  <si>
    <t>HYPMEMFMVL75X42X08</t>
  </si>
  <si>
    <t>Peps Hypnos Memorio Soft Top Violet 75X42X08</t>
  </si>
  <si>
    <t>HYPMEMFMVL75X48X08</t>
  </si>
  <si>
    <t>Peps Hypnos Memorio Soft Top Violet 75X48X08</t>
  </si>
  <si>
    <t>HYPMEMFMVL75X60X08</t>
  </si>
  <si>
    <t>Peps Hypnos Memorio Soft Top Violet 75X60X08</t>
  </si>
  <si>
    <t>HYPMEMFMVL75X66X08</t>
  </si>
  <si>
    <t>Peps Hypnos Memorio Soft Top Violet 75X66X08</t>
  </si>
  <si>
    <t>HYPMEMFMVL75X72X08</t>
  </si>
  <si>
    <t>Peps Hypnos Memorio Soft Top Violet 75X72X08</t>
  </si>
  <si>
    <t>HYPMEMFMVL78X30X08</t>
  </si>
  <si>
    <t>Peps Hypnos Memorio Soft Top Violet 78X30X08</t>
  </si>
  <si>
    <t>HYPMEMFMVL78X36X08</t>
  </si>
  <si>
    <t>Peps Hypnos Memorio Soft Top Violet 78X36X08</t>
  </si>
  <si>
    <t>HYPMEMFMVL78X42X08</t>
  </si>
  <si>
    <t>Peps Hypnos Memorio Soft Top Violet 78X42X08</t>
  </si>
  <si>
    <t>HYPMEMFMVL78X48X08</t>
  </si>
  <si>
    <t>Peps Hypnos Memorio Soft Top Violet 78X48X08</t>
  </si>
  <si>
    <t>HYPMEMFMVL78X60X08</t>
  </si>
  <si>
    <t>Peps Hypnos Memorio Soft Top Violet 78X60X08</t>
  </si>
  <si>
    <t>HYPMEMFMVL78X66X08</t>
  </si>
  <si>
    <t>Peps Hypnos Memorio Soft Top Violet 78X66X08</t>
  </si>
  <si>
    <t>HYPMEMFMVL78X72X08</t>
  </si>
  <si>
    <t>Peps Hypnos Memorio Soft Top Violet 78X72X08</t>
  </si>
  <si>
    <t>HYPMEMFMVL80X30X08</t>
  </si>
  <si>
    <t>Peps Hypnos Memorio Soft Top Violet 80X30X08</t>
  </si>
  <si>
    <t>HYPMEMFMVL80X36X08</t>
  </si>
  <si>
    <t>Peps Hypnos Memorio Soft Top Violet 80X36X08</t>
  </si>
  <si>
    <t>HYPMEMFMVL80X42X08</t>
  </si>
  <si>
    <t>Peps Hypnos Memorio Soft Top Violet 80X42X08</t>
  </si>
  <si>
    <t>HYPMEMFMVL80X48X08</t>
  </si>
  <si>
    <t>Peps Hypnos Memorio Soft Top Violet 80X48X08</t>
  </si>
  <si>
    <t>HYPMEMFMVL80X60X08</t>
  </si>
  <si>
    <t>Peps Hypnos Memorio Soft Top Violet 80X60X08</t>
  </si>
  <si>
    <t>HYPMEMFMVL80X66X08</t>
  </si>
  <si>
    <t>Peps Hypnos Memorio Soft Top Violet 80X66X08</t>
  </si>
  <si>
    <t>HYPMEMFMVL80X72X08</t>
  </si>
  <si>
    <t>Peps Hypnos Memorio Soft Top Violet 80X72X08</t>
  </si>
  <si>
    <t>HYPMEMFMVL84X30X08</t>
  </si>
  <si>
    <t>Peps Hypnos Memorio Soft Top Violet 84X30X08</t>
  </si>
  <si>
    <t>HYPMEMFMVL84X36X08</t>
  </si>
  <si>
    <t>Peps Hypnos Memorio Soft Top Violet 84X36X08</t>
  </si>
  <si>
    <t>HYPMEMFMVL84X42X08</t>
  </si>
  <si>
    <t>Peps Hypnos Memorio Soft Top Violet 84X42X08</t>
  </si>
  <si>
    <t>HYPMEMFMVL84X48X08</t>
  </si>
  <si>
    <t>Peps Hypnos Memorio Soft Top Violet 84X48X08</t>
  </si>
  <si>
    <t>HYPMEMFMVL84X60X08</t>
  </si>
  <si>
    <t>Peps Hypnos Memorio Soft Top Violet 84X60X08</t>
  </si>
  <si>
    <t>HYPMEMFMVL84X66X08</t>
  </si>
  <si>
    <t>Peps Hypnos Memorio Soft Top Violet 84X66X08</t>
  </si>
  <si>
    <t>HYPMEMFMVL84X72X08</t>
  </si>
  <si>
    <t>Peps Hypnos Memorio Soft Top Violet 84X72X08</t>
  </si>
  <si>
    <t>HYPSPSFMGR72X30X05</t>
  </si>
  <si>
    <t>Peps Hypnos Spine Safe Soft Top Grey 72X30X05</t>
  </si>
  <si>
    <t>SPINE-SAFE-FOAM-BLOCK-72X30X05</t>
  </si>
  <si>
    <t>HYPSPSFMGR72X36X05</t>
  </si>
  <si>
    <t>Peps Hypnos Spine Safe Soft Top Grey 72X36X05</t>
  </si>
  <si>
    <t>SPINE-SAFE-FOAM-BLOCK-72X36X05</t>
  </si>
  <si>
    <t>HYPSPSFMGR72X42X05</t>
  </si>
  <si>
    <t>Peps Hypnos Spine Safe Soft Top Grey 72X42X05</t>
  </si>
  <si>
    <t>SPINE-SAFE-FOAM-BLOCK-72X42X05</t>
  </si>
  <si>
    <t>HYPSPSFMGR72X48X05</t>
  </si>
  <si>
    <t>Peps Hypnos Spine Safe Soft Top Grey 72X48X05</t>
  </si>
  <si>
    <t>SPINE-SAFE-FOAM-BLOCK-72X48X05</t>
  </si>
  <si>
    <t>HYPSPSFMGR72X60X05</t>
  </si>
  <si>
    <t>Peps Hypnos Spine Safe Soft Top Grey 72X60X05</t>
  </si>
  <si>
    <t>SPINE-SAFE-FOAM-BLOCK-72X60X05</t>
  </si>
  <si>
    <t>HYPSPSFMGR72X66X05</t>
  </si>
  <si>
    <t>Peps Hypnos Spine Safe Soft Top Grey 72X66X05</t>
  </si>
  <si>
    <t>SPINE-SAFE-FOAM-BLOCK-72X66X05</t>
  </si>
  <si>
    <t>HYPSPSFMGR72X72X05</t>
  </si>
  <si>
    <t>Peps Hypnos Spine Safe Soft Top Grey 72X72X05</t>
  </si>
  <si>
    <t>SPINE-SAFE-FOAM-BLOCK-72X72X05</t>
  </si>
  <si>
    <t>HYPSPSFMGR75X30X05</t>
  </si>
  <si>
    <t>Peps Hypnos Spine Safe Soft Top Grey 75X30X05</t>
  </si>
  <si>
    <t>SPINE-SAFE-FOAM-BLOCK-75X30X05</t>
  </si>
  <si>
    <t>HYPSPSFMGR75X36X05</t>
  </si>
  <si>
    <t>Peps Hypnos Spine Safe Soft Top Grey 75X36X05</t>
  </si>
  <si>
    <t>SPINE-SAFE-FOAM-BLOCK-75X36X05</t>
  </si>
  <si>
    <t>HYPSPSFMGR75X42X05</t>
  </si>
  <si>
    <t>Peps Hypnos Spine Safe Soft Top Grey 75X42X05</t>
  </si>
  <si>
    <t>SPINE-SAFE-FOAM-BLOCK-75X42X05</t>
  </si>
  <si>
    <t>HYPSPSFMGR75X48X05</t>
  </si>
  <si>
    <t>Peps Hypnos Spine Safe Soft Top Grey 75X48X05</t>
  </si>
  <si>
    <t>SPINE-SAFE-FOAM-BLOCK-75X48X05</t>
  </si>
  <si>
    <t>HYPSPSFMGR75X60X05</t>
  </si>
  <si>
    <t>Peps Hypnos Spine Safe Soft Top Grey 75X60X05</t>
  </si>
  <si>
    <t>SPINE-SAFE-FOAM-BLOCK-75X60X05</t>
  </si>
  <si>
    <t>HYPSPSFMGR75X66X05</t>
  </si>
  <si>
    <t>Peps Hypnos Spine Safe Soft Top Grey 75X66X05</t>
  </si>
  <si>
    <t>SPINE-SAFE-FOAM-BLOCK-75X66X05</t>
  </si>
  <si>
    <t>HYPSPSFMGR75X72X05</t>
  </si>
  <si>
    <t>Peps Hypnos Spine Safe Soft Top Grey 75X72X05</t>
  </si>
  <si>
    <t>SPINE-SAFE-FOAM-BLOCK-75X72X05</t>
  </si>
  <si>
    <t>HYPSPSFMGR78X30X05</t>
  </si>
  <si>
    <t>Peps Hypnos Spine Safe Soft Top Grey 78X30X05</t>
  </si>
  <si>
    <t>SPINE-SAFE-FOAM-BLOCK-78X30X05</t>
  </si>
  <si>
    <t>HYPSPSFMGR78X36X05</t>
  </si>
  <si>
    <t>Peps Hypnos Spine Safe Soft Top Grey 78X36X05</t>
  </si>
  <si>
    <t>SPINE-SAFE-FOAM-BLOCK-78X36X05</t>
  </si>
  <si>
    <t>HYPSPSFMGR78X42X05</t>
  </si>
  <si>
    <t>Peps Hypnos Spine Safe Soft Top Grey 78X42X05</t>
  </si>
  <si>
    <t>SPINE-SAFE-FOAM-BLOCK-78X42X05</t>
  </si>
  <si>
    <t>HYPSPSFMGR78X48X05</t>
  </si>
  <si>
    <t>Peps Hypnos Spine Safe Soft Top Grey 78X48X05</t>
  </si>
  <si>
    <t>SPINE-SAFE-FOAM-BLOCK-78X48X05</t>
  </si>
  <si>
    <t>HYPSPSFMGR78X60X05</t>
  </si>
  <si>
    <t>Peps Hypnos Spine Safe Soft Top Grey 78X60X05</t>
  </si>
  <si>
    <t>SPINE-SAFE-FOAM-BLOCK-78X60X05</t>
  </si>
  <si>
    <t>HYPSPSFMGR78X66X05</t>
  </si>
  <si>
    <t>Peps Hypnos Spine Safe Soft Top Grey 78X66X05</t>
  </si>
  <si>
    <t>SPINE-SAFE-FOAM-BLOCK-78X66X05</t>
  </si>
  <si>
    <t>HYPSPSFMGR78X72X05</t>
  </si>
  <si>
    <t>Peps Hypnos Spine Safe Soft Top Grey 78X72X05</t>
  </si>
  <si>
    <t>SPINE-SAFE-FOAM-BLOCK-78X72X05</t>
  </si>
  <si>
    <t>HYPSPSFMGR80X30X05</t>
  </si>
  <si>
    <t>Peps Hypnos Spine Safe Soft Top Grey 80X30X05</t>
  </si>
  <si>
    <t>SPINE-SAFE-FOAM-BLOCK-80X30X05</t>
  </si>
  <si>
    <t>HYPSPSFMGR80X36X05</t>
  </si>
  <si>
    <t>Peps Hypnos Spine Safe Soft Top Grey 80X36X05</t>
  </si>
  <si>
    <t>SPINE-SAFE-FOAM-BLOCK-80X36X05</t>
  </si>
  <si>
    <t>HYPSPSFMGR80X42X05</t>
  </si>
  <si>
    <t>Peps Hypnos Spine Safe Soft Top Grey 80X42X05</t>
  </si>
  <si>
    <t>SPINE-SAFE-FOAM-BLOCK-80X42X05</t>
  </si>
  <si>
    <t>HYPSPSFMGR80X48X05</t>
  </si>
  <si>
    <t>Peps Hypnos Spine Safe Soft Top Grey 80X48X05</t>
  </si>
  <si>
    <t>SPINE-SAFE-FOAM-BLOCK-80X48X05</t>
  </si>
  <si>
    <t>HYPSPSFMGR80X60X05</t>
  </si>
  <si>
    <t>Peps Hypnos Spine Safe Soft Top Grey 80X60X05</t>
  </si>
  <si>
    <t>SPINE-SAFE-FOAM-BLOCK-80X60X05</t>
  </si>
  <si>
    <t>HYPSPSFMGR80X66X05</t>
  </si>
  <si>
    <t>Peps Hypnos Spine Safe Soft Top Grey 80X66X05</t>
  </si>
  <si>
    <t>SPINE-SAFE-FOAM-BLOCK-80X66X05</t>
  </si>
  <si>
    <t>HYPSPSFMGR80X72X05</t>
  </si>
  <si>
    <t>Peps Hypnos Spine Safe Soft Top Grey 80X72X05</t>
  </si>
  <si>
    <t>SPINE-SAFE-FOAM-BLOCK-80X72X05</t>
  </si>
  <si>
    <t>HYPSPSFMGR84X30X05</t>
  </si>
  <si>
    <t>Peps Hypnos Spine Safe Soft Top Grey 84X30X05</t>
  </si>
  <si>
    <t>SPINE-SAFE-FOAM-BLOCK-84X30X05</t>
  </si>
  <si>
    <t>HYPSPSFMGR84X36X05</t>
  </si>
  <si>
    <t>Peps Hypnos Spine Safe Soft Top Grey 84X36X05</t>
  </si>
  <si>
    <t>SPINE-SAFE-FOAM-BLOCK-84X36X05</t>
  </si>
  <si>
    <t>HYPSPSFMGR84X42X05</t>
  </si>
  <si>
    <t>Peps Hypnos Spine Safe Soft Top Grey 84X42X05</t>
  </si>
  <si>
    <t>SPINE-SAFE-FOAM-BLOCK-84X42X05</t>
  </si>
  <si>
    <t>HYPSPSFMGR84X48X05</t>
  </si>
  <si>
    <t>Peps Hypnos Spine Safe Soft Top Grey 84X48X05</t>
  </si>
  <si>
    <t>SPINE-SAFE-FOAM-BLOCK-84X48X05</t>
  </si>
  <si>
    <t>HYPSPSFMGR84X60X05</t>
  </si>
  <si>
    <t>Peps Hypnos Spine Safe Soft Top Grey 84X60X05</t>
  </si>
  <si>
    <t>SPINE-SAFE-FOAM-BLOCK-84X60X05</t>
  </si>
  <si>
    <t>HYPSPSFMGR84X66X05</t>
  </si>
  <si>
    <t>Peps Hypnos Spine Safe Soft Top Grey 84X66X05</t>
  </si>
  <si>
    <t>SPINE-SAFE-FOAM-BLOCK-84X66X05</t>
  </si>
  <si>
    <t>HYPSPSFMGR84X72X05</t>
  </si>
  <si>
    <t>Peps Hypnos Spine Safe Soft Top Grey 84X72X05</t>
  </si>
  <si>
    <t>SPINE-SAFE-FOAM-BLOCK-84X72X05</t>
  </si>
  <si>
    <t>HYPSPSFMNB72X30X05</t>
  </si>
  <si>
    <t>Peps Hypnos Spine Safe Soft Top Navy Blue 72X30X05</t>
  </si>
  <si>
    <t>HYPSPSFMNB72X36X05</t>
  </si>
  <si>
    <t>Peps Hypnos Spine Safe Soft Top Navy Blue 72X36X05</t>
  </si>
  <si>
    <t>HYPSPSFMNB72X42X05</t>
  </si>
  <si>
    <t>Peps Hypnos Spine Safe Soft Top Navy Blue 72X42X05</t>
  </si>
  <si>
    <t>HYPSPSFMNB72X48X05</t>
  </si>
  <si>
    <t>Peps Hypnos Spine Safe Soft Top Navy Blue 72X48X05</t>
  </si>
  <si>
    <t>HYPSPSFMNB72X60X05</t>
  </si>
  <si>
    <t>Peps Hypnos Spine Safe Soft Top Navy Blue 72X60X05</t>
  </si>
  <si>
    <t>HYPSPSFMNB72X66X05</t>
  </si>
  <si>
    <t>Peps Hypnos Spine Safe Soft Top Navy Blue 72X66X05</t>
  </si>
  <si>
    <t>HYPSPSFMNB72X72X05</t>
  </si>
  <si>
    <t>Peps Hypnos Spine Safe Soft Top Navy Blue 72X72X05</t>
  </si>
  <si>
    <t>HYPSPSFMNB75X30X05</t>
  </si>
  <si>
    <t>Peps Hypnos Spine Safe Soft Top Navy Blue 75X30X05</t>
  </si>
  <si>
    <t>HYPSPSFMNB75X36X05</t>
  </si>
  <si>
    <t>Peps Hypnos Spine Safe Soft Top Navy Blue 75X36X05</t>
  </si>
  <si>
    <t>HYPSPSFMNB75X42X05</t>
  </si>
  <si>
    <t>Peps Hypnos Spine Safe Soft Top Navy Blue 75X42X05</t>
  </si>
  <si>
    <t>HYPSPSFMNB75X48X05</t>
  </si>
  <si>
    <t>Peps Hypnos Spine Safe Soft Top Navy Blue 75X48X05</t>
  </si>
  <si>
    <t>HYPSPSFMNB75X60X05</t>
  </si>
  <si>
    <t>Peps Hypnos Spine Safe Soft Top Navy Blue 75X60X05</t>
  </si>
  <si>
    <t>HYPSPSFMNB75X66X05</t>
  </si>
  <si>
    <t>Peps Hypnos Spine Safe Soft Top Navy Blue 75X66X05</t>
  </si>
  <si>
    <t>HYPSPSFMNB75X72X05</t>
  </si>
  <si>
    <t>Peps Hypnos Spine Safe Soft Top Navy Blue 75X72X05</t>
  </si>
  <si>
    <t>HYPSPSFMNB78X30X05</t>
  </si>
  <si>
    <t>Peps Hypnos Spine Safe Soft Top Navy Blue 78X30X05</t>
  </si>
  <si>
    <t>HYPSPSFMNB78X36X05</t>
  </si>
  <si>
    <t>Peps Hypnos Spine Safe Soft Top Navy Blue 78X36X05</t>
  </si>
  <si>
    <t>HYPSPSFMNB78X42X05</t>
  </si>
  <si>
    <t>Peps Hypnos Spine Safe Soft Top Navy Blue 78X42X05</t>
  </si>
  <si>
    <t>HYPSPSFMNB78X48X05</t>
  </si>
  <si>
    <t>Peps Hypnos Spine Safe Soft Top Navy Blue 78X48X05</t>
  </si>
  <si>
    <t>HYPSPSFMNB78X60X05</t>
  </si>
  <si>
    <t>Peps Hypnos Spine Safe Soft Top Navy Blue 78X60X05</t>
  </si>
  <si>
    <t>HYPSPSFMNB78X66X05</t>
  </si>
  <si>
    <t>Peps Hypnos Spine Safe Soft Top Navy Blue 78X66X05</t>
  </si>
  <si>
    <t>HYPSPSFMNB78X72X05</t>
  </si>
  <si>
    <t>Peps Hypnos Spine Safe Soft Top Navy Blue 78X72X05</t>
  </si>
  <si>
    <t>HYPSPSFMNB80X30X05</t>
  </si>
  <si>
    <t>Peps Hypnos Spine Safe Soft Top Navy Blue 80X30X05</t>
  </si>
  <si>
    <t>HYPSPSFMNB80X36X05</t>
  </si>
  <si>
    <t>Peps Hypnos Spine Safe Soft Top Navy Blue 80X36X05</t>
  </si>
  <si>
    <t>HYPSPSFMNB80X42X05</t>
  </si>
  <si>
    <t>Peps Hypnos Spine Safe Soft Top Navy Blue 80X42X05</t>
  </si>
  <si>
    <t>HYPSPSFMNB80X48X05</t>
  </si>
  <si>
    <t>Peps Hypnos Spine Safe Soft Top Navy Blue 80X48X05</t>
  </si>
  <si>
    <t>HYPSPSFMNB80X60X05</t>
  </si>
  <si>
    <t>Peps Hypnos Spine Safe Soft Top Navy Blue 80X60X05</t>
  </si>
  <si>
    <t>HYPSPSFMNB80X66X05</t>
  </si>
  <si>
    <t>Peps Hypnos Spine Safe Soft Top Navy Blue 80X66X05</t>
  </si>
  <si>
    <t>HYPSPSFMNB80X72X05</t>
  </si>
  <si>
    <t>Peps Hypnos Spine Safe Soft Top Navy Blue 80X72X05</t>
  </si>
  <si>
    <t>HYPSPSFMNB84X30X05</t>
  </si>
  <si>
    <t>Peps Hypnos Spine Safe Soft Top Navy Blue 84X30X05</t>
  </si>
  <si>
    <t>HYPSPSFMNB84X36X05</t>
  </si>
  <si>
    <t>Peps Hypnos Spine Safe Soft Top Navy Blue 84X36X05</t>
  </si>
  <si>
    <t>HYPSPSFMNB84X42X05</t>
  </si>
  <si>
    <t>Peps Hypnos Spine Safe Soft Top Navy Blue 84X42X05</t>
  </si>
  <si>
    <t>HYPSPSFMNB84X48X05</t>
  </si>
  <si>
    <t>Peps Hypnos Spine Safe Soft Top Navy Blue 84X48X05</t>
  </si>
  <si>
    <t>HYPSPSFMNB84X60X05</t>
  </si>
  <si>
    <t>Peps Hypnos Spine Safe Soft Top Navy Blue 84X60X05</t>
  </si>
  <si>
    <t>HYPSPSFMNB84X66X05</t>
  </si>
  <si>
    <t>Peps Hypnos Spine Safe Soft Top Navy Blue 84X66X05</t>
  </si>
  <si>
    <t>HYPSPSFMNB84X72X05</t>
  </si>
  <si>
    <t>Peps Hypnos Spine Safe Soft Top Navy Blue 84X72X05</t>
  </si>
  <si>
    <t>HYPSPSFMGR72X30X06</t>
  </si>
  <si>
    <t>Peps Hypnos Spine Safe Soft Top Grey 72X30X06</t>
  </si>
  <si>
    <t>SPINE-SAFE-FOAM-BLOCK-72X30X06</t>
  </si>
  <si>
    <t>HYPSPSFMGR72X36X06</t>
  </si>
  <si>
    <t>Peps Hypnos Spine Safe Soft Top Grey 72X36X06</t>
  </si>
  <si>
    <t>SPINE-SAFE-FOAM-BLOCK-72X36X06</t>
  </si>
  <si>
    <t>HYPSPSFMGR72X42X06</t>
  </si>
  <si>
    <t>Peps Hypnos Spine Safe Soft Top Grey 72X42X06</t>
  </si>
  <si>
    <t>SPINE-SAFE-FOAM-BLOCK-72X42X06</t>
  </si>
  <si>
    <t>HYPSPSFMGR72X48X06</t>
  </si>
  <si>
    <t>Peps Hypnos Spine Safe Soft Top Grey 72X48X06</t>
  </si>
  <si>
    <t>SPINE-SAFE-FOAM-BLOCK-72X48X06</t>
  </si>
  <si>
    <t>HYPSPSFMGR72X60X06</t>
  </si>
  <si>
    <t>Peps Hypnos Spine Safe Soft Top Grey 72X60X06</t>
  </si>
  <si>
    <t>SPINE-SAFE-FOAM-BLOCK-72X60X06</t>
  </si>
  <si>
    <t>HYPSPSFMGR72X66X06</t>
  </si>
  <si>
    <t>Peps Hypnos Spine Safe Soft Top Grey 72X66X06</t>
  </si>
  <si>
    <t>SPINE-SAFE-FOAM-BLOCK-72X66X06</t>
  </si>
  <si>
    <t>HYPSPSFMGR72X72X06</t>
  </si>
  <si>
    <t>Peps Hypnos Spine Safe Soft Top Grey 72X72X06</t>
  </si>
  <si>
    <t>SPINE-SAFE-FOAM-BLOCK-72X72X06</t>
  </si>
  <si>
    <t>HYPSPSFMGR75X30X06</t>
  </si>
  <si>
    <t>Peps Hypnos Spine Safe Soft Top Grey 75X30X06</t>
  </si>
  <si>
    <t>SPINE-SAFE-FOAM-BLOCK-75X30X06</t>
  </si>
  <si>
    <t>HYPSPSFMGR75X36X06</t>
  </si>
  <si>
    <t>Peps Hypnos Spine Safe Soft Top Grey 75X36X06</t>
  </si>
  <si>
    <t>SPINE-SAFE-FOAM-BLOCK-75X36X06</t>
  </si>
  <si>
    <t>HYPSPSFMGR75X42X06</t>
  </si>
  <si>
    <t>Peps Hypnos Spine Safe Soft Top Grey 75X42X06</t>
  </si>
  <si>
    <t>SPINE-SAFE-FOAM-BLOCK-75X42X06</t>
  </si>
  <si>
    <t>HYPSPSFMGR75X48X06</t>
  </si>
  <si>
    <t>Peps Hypnos Spine Safe Soft Top Grey 75X48X06</t>
  </si>
  <si>
    <t>SPINE-SAFE-FOAM-BLOCK-75X48X06</t>
  </si>
  <si>
    <t>HYPSPSFMGR75X60X06</t>
  </si>
  <si>
    <t>Peps Hypnos Spine Safe Soft Top Grey 75X60X06</t>
  </si>
  <si>
    <t>SPINE-SAFE-FOAM-BLOCK-75X60X06</t>
  </si>
  <si>
    <t>HYPSPSFMGR75X66X06</t>
  </si>
  <si>
    <t>Peps Hypnos Spine Safe Soft Top Grey 75X66X06</t>
  </si>
  <si>
    <t>SPINE-SAFE-FOAM-BLOCK-75X66X06</t>
  </si>
  <si>
    <t>HYPSPSFMGR75X72X06</t>
  </si>
  <si>
    <t>Peps Hypnos Spine Safe Soft Top Grey 75X72X06</t>
  </si>
  <si>
    <t>SPINE-SAFE-FOAM-BLOCK-75X72X06</t>
  </si>
  <si>
    <t>HYPSPSFMGR78X30X06</t>
  </si>
  <si>
    <t>Peps Hypnos Spine Safe Soft Top Grey 78X30X06</t>
  </si>
  <si>
    <t>SPINE-SAFE-FOAM-BLOCK-78X30X06</t>
  </si>
  <si>
    <t>HYPSPSFMGR78X36X06</t>
  </si>
  <si>
    <t>Peps Hypnos Spine Safe Soft Top Grey 78X36X06</t>
  </si>
  <si>
    <t>SPINE-SAFE-FOAM-BLOCK-78X36X06</t>
  </si>
  <si>
    <t>HYPSPSFMGR78X42X06</t>
  </si>
  <si>
    <t>Peps Hypnos Spine Safe Soft Top Grey 78X42X06</t>
  </si>
  <si>
    <t>SPINE-SAFE-FOAM-BLOCK-78X42X06</t>
  </si>
  <si>
    <t>HYPSPSFMGR78X48X06</t>
  </si>
  <si>
    <t>Peps Hypnos Spine Safe Soft Top Grey 78X48X06</t>
  </si>
  <si>
    <t>SPINE-SAFE-FOAM-BLOCK-78X48X06</t>
  </si>
  <si>
    <t>HYPSPSFMGR78X60X06</t>
  </si>
  <si>
    <t>Peps Hypnos Spine Safe Soft Top Grey 78X60X06</t>
  </si>
  <si>
    <t>SPINE-SAFE-FOAM-BLOCK-78X60X06</t>
  </si>
  <si>
    <t>HYPSPSFMGR78X66X06</t>
  </si>
  <si>
    <t>Peps Hypnos Spine Safe Soft Top Grey 78X66X06</t>
  </si>
  <si>
    <t>SPINE-SAFE-FOAM-BLOCK-78X66X06</t>
  </si>
  <si>
    <t>HYPSPSFMGR78X72X06</t>
  </si>
  <si>
    <t>Peps Hypnos Spine Safe Soft Top Grey 78X72X06</t>
  </si>
  <si>
    <t>SPINE-SAFE-FOAM-BLOCK-78X72X06</t>
  </si>
  <si>
    <t>HYPSPSFMGR80X30X06</t>
  </si>
  <si>
    <t>Peps Hypnos Spine Safe Soft Top Grey 80X30X06</t>
  </si>
  <si>
    <t>SPINE-SAFE-FOAM-BLOCK-80X30X06</t>
  </si>
  <si>
    <t>HYPSPSFMGR80X36X06</t>
  </si>
  <si>
    <t>Peps Hypnos Spine Safe Soft Top Grey 80X36X06</t>
  </si>
  <si>
    <t>SPINE-SAFE-FOAM-BLOCK-80X36X06</t>
  </si>
  <si>
    <t>HYPSPSFMGR80X42X06</t>
  </si>
  <si>
    <t>Peps Hypnos Spine Safe Soft Top Grey 80X42X06</t>
  </si>
  <si>
    <t>SPINE-SAFE-FOAM-BLOCK-80X42X06</t>
  </si>
  <si>
    <t>HYPSPSFMGR80X48X06</t>
  </si>
  <si>
    <t>Peps Hypnos Spine Safe Soft Top Grey 80X48X06</t>
  </si>
  <si>
    <t>SPINE-SAFE-FOAM-BLOCK-80X48X06</t>
  </si>
  <si>
    <t>HYPSPSFMGR80X60X06</t>
  </si>
  <si>
    <t>Peps Hypnos Spine Safe Soft Top Grey 80X60X06</t>
  </si>
  <si>
    <t>SPINE-SAFE-FOAM-BLOCK-80X60X06</t>
  </si>
  <si>
    <t>HYPSPSFMGR80X66X06</t>
  </si>
  <si>
    <t>Peps Hypnos Spine Safe Soft Top Grey 80X66X06</t>
  </si>
  <si>
    <t>SPINE-SAFE-FOAM-BLOCK-80X66X06</t>
  </si>
  <si>
    <t>HYPSPSFMGR80X72X06</t>
  </si>
  <si>
    <t>Peps Hypnos Spine Safe Soft Top Grey 80X72X06</t>
  </si>
  <si>
    <t>SPINE-SAFE-FOAM-BLOCK-80X72X06</t>
  </si>
  <si>
    <t>HYPSPSFMGR84X30X06</t>
  </si>
  <si>
    <t>Peps Hypnos Spine Safe Soft Top Grey 84X30X06</t>
  </si>
  <si>
    <t>SPINE-SAFE-FOAM-BLOCK-84X30X06</t>
  </si>
  <si>
    <t>HYPSPSFMGR84X36X06</t>
  </si>
  <si>
    <t>Peps Hypnos Spine Safe Soft Top Grey 84X36X06</t>
  </si>
  <si>
    <t>SPINE-SAFE-FOAM-BLOCK-84X36X06</t>
  </si>
  <si>
    <t>HYPSPSFMGR84X42X06</t>
  </si>
  <si>
    <t>Peps Hypnos Spine Safe Soft Top Grey 84X42X06</t>
  </si>
  <si>
    <t>SPINE-SAFE-FOAM-BLOCK-84X42X06</t>
  </si>
  <si>
    <t>HYPSPSFMGR84X48X06</t>
  </si>
  <si>
    <t>Peps Hypnos Spine Safe Soft Top Grey 84X48X06</t>
  </si>
  <si>
    <t>SPINE-SAFE-FOAM-BLOCK-84X48X06</t>
  </si>
  <si>
    <t>HYPSPSFMGR84X60X06</t>
  </si>
  <si>
    <t>Peps Hypnos Spine Safe Soft Top Grey 84X60X06</t>
  </si>
  <si>
    <t>SPINE-SAFE-FOAM-BLOCK-84X60X06</t>
  </si>
  <si>
    <t>HYPSPSFMGR84X66X06</t>
  </si>
  <si>
    <t>Peps Hypnos Spine Safe Soft Top Grey 84X66X06</t>
  </si>
  <si>
    <t>SPINE-SAFE-FOAM-BLOCK-84X66X06</t>
  </si>
  <si>
    <t>HYPSPSFMGR84X72X06</t>
  </si>
  <si>
    <t>Peps Hypnos Spine Safe Soft Top Grey 84X72X06</t>
  </si>
  <si>
    <t>SPINE-SAFE-FOAM-BLOCK-84X72X06</t>
  </si>
  <si>
    <t>HYPSPSFMNB72X30X06</t>
  </si>
  <si>
    <t>Peps Hypnos Spine Safe Soft Top Navy Blue 72X30X06</t>
  </si>
  <si>
    <t>HYPSPSFMNB72X36X06</t>
  </si>
  <si>
    <t>Peps Hypnos Spine Safe Soft Top Navy Blue 72X36X06</t>
  </si>
  <si>
    <t>HYPSPSFMNB72X42X06</t>
  </si>
  <si>
    <t>Peps Hypnos Spine Safe Soft Top Navy Blue 72X42X06</t>
  </si>
  <si>
    <t>HYPSPSFMNB72X48X06</t>
  </si>
  <si>
    <t>Peps Hypnos Spine Safe Soft Top Navy Blue 72X48X06</t>
  </si>
  <si>
    <t>HYPSPSFMNB72X60X06</t>
  </si>
  <si>
    <t>Peps Hypnos Spine Safe Soft Top Navy Blue 72X60X06</t>
  </si>
  <si>
    <t>HYPSPSFMNB72X66X06</t>
  </si>
  <si>
    <t>Peps Hypnos Spine Safe Soft Top Navy Blue 72X66X06</t>
  </si>
  <si>
    <t>HYPSPSFMNB72X72X06</t>
  </si>
  <si>
    <t>Peps Hypnos Spine Safe Soft Top Navy Blue 72X72X06</t>
  </si>
  <si>
    <t>HYPSPSFMNB75X30X06</t>
  </si>
  <si>
    <t>Peps Hypnos Spine Safe Soft Top Navy Blue 75X30X06</t>
  </si>
  <si>
    <t>HYPSPSFMNB75X36X06</t>
  </si>
  <si>
    <t>Peps Hypnos Spine Safe Soft Top Navy Blue 75X36X06</t>
  </si>
  <si>
    <t>HYPSPSFMNB75X42X06</t>
  </si>
  <si>
    <t>Peps Hypnos Spine Safe Soft Top Navy Blue 75X42X06</t>
  </si>
  <si>
    <t>HYPSPSFMNB75X48X06</t>
  </si>
  <si>
    <t>Peps Hypnos Spine Safe Soft Top Navy Blue 75X48X06</t>
  </si>
  <si>
    <t>HYPSPSFMNB75X60X06</t>
  </si>
  <si>
    <t>Peps Hypnos Spine Safe Soft Top Navy Blue 75X60X06</t>
  </si>
  <si>
    <t>HYPSPSFMNB75X66X06</t>
  </si>
  <si>
    <t>Peps Hypnos Spine Safe Soft Top Navy Blue 75X66X06</t>
  </si>
  <si>
    <t>HYPSPSFMNB75X72X06</t>
  </si>
  <si>
    <t>Peps Hypnos Spine Safe Soft Top Navy Blue 75X72X06</t>
  </si>
  <si>
    <t>HYPSPSFMNB78X30X06</t>
  </si>
  <si>
    <t>Peps Hypnos Spine Safe Soft Top Navy Blue 78X30X06</t>
  </si>
  <si>
    <t>HYPSPSFMNB78X36X06</t>
  </si>
  <si>
    <t>Peps Hypnos Spine Safe Soft Top Navy Blue 78X36X06</t>
  </si>
  <si>
    <t>HYPSPSFMNB78X42X06</t>
  </si>
  <si>
    <t>Peps Hypnos Spine Safe Soft Top Navy Blue 78X42X06</t>
  </si>
  <si>
    <t>HYPSPSFMNB78X48X06</t>
  </si>
  <si>
    <t>Peps Hypnos Spine Safe Soft Top Navy Blue 78X48X06</t>
  </si>
  <si>
    <t>HYPSPSFMNB78X60X06</t>
  </si>
  <si>
    <t>Peps Hypnos Spine Safe Soft Top Navy Blue 78X60X06</t>
  </si>
  <si>
    <t>HYPSPSFMNB78X66X06</t>
  </si>
  <si>
    <t>Peps Hypnos Spine Safe Soft Top Navy Blue 78X66X06</t>
  </si>
  <si>
    <t>HYPSPSFMNB78X72X06</t>
  </si>
  <si>
    <t>Peps Hypnos Spine Safe Soft Top Navy Blue 78X72X06</t>
  </si>
  <si>
    <t>HYPSPSFMNB80X30X06</t>
  </si>
  <si>
    <t>Peps Hypnos Spine Safe Soft Top Navy Blue 80X30X06</t>
  </si>
  <si>
    <t>HYPSPSFMNB80X36X06</t>
  </si>
  <si>
    <t>Peps Hypnos Spine Safe Soft Top Navy Blue 80X36X06</t>
  </si>
  <si>
    <t>HYPSPSFMNB80X42X06</t>
  </si>
  <si>
    <t>Peps Hypnos Spine Safe Soft Top Navy Blue 80X42X06</t>
  </si>
  <si>
    <t>HYPSPSFMNB80X48X06</t>
  </si>
  <si>
    <t>Peps Hypnos Spine Safe Soft Top Navy Blue 80X48X06</t>
  </si>
  <si>
    <t>HYPSPSFMNB80X60X06</t>
  </si>
  <si>
    <t>Peps Hypnos Spine Safe Soft Top Navy Blue 80X60X06</t>
  </si>
  <si>
    <t>HYPSPSFMNB80X66X06</t>
  </si>
  <si>
    <t>Peps Hypnos Spine Safe Soft Top Navy Blue 80X66X06</t>
  </si>
  <si>
    <t>HYPSPSFMNB80X72X06</t>
  </si>
  <si>
    <t>Peps Hypnos Spine Safe Soft Top Navy Blue 80X72X06</t>
  </si>
  <si>
    <t>HYPSPSFMNB84X30X06</t>
  </si>
  <si>
    <t>Peps Hypnos Spine Safe Soft Top Navy Blue 84X30X06</t>
  </si>
  <si>
    <t>HYPSPSFMNB84X36X06</t>
  </si>
  <si>
    <t>Peps Hypnos Spine Safe Soft Top Navy Blue 84X36X06</t>
  </si>
  <si>
    <t>HYPSPSFMNB84X42X06</t>
  </si>
  <si>
    <t>Peps Hypnos Spine Safe Soft Top Navy Blue 84X42X06</t>
  </si>
  <si>
    <t>HYPSPSFMNB84X48X06</t>
  </si>
  <si>
    <t>Peps Hypnos Spine Safe Soft Top Navy Blue 84X48X06</t>
  </si>
  <si>
    <t>HYPSPSFMNB84X60X06</t>
  </si>
  <si>
    <t>Peps Hypnos Spine Safe Soft Top Navy Blue 84X60X06</t>
  </si>
  <si>
    <t>HYPSPSFMNB84X66X06</t>
  </si>
  <si>
    <t>Peps Hypnos Spine Safe Soft Top Navy Blue 84X66X06</t>
  </si>
  <si>
    <t>HYPSPSFMNB84X72X06</t>
  </si>
  <si>
    <t>Peps Hypnos Spine Safe Soft Top Navy Blue 84X72X06</t>
  </si>
  <si>
    <t>HYPSPSFMGR72X30X08</t>
  </si>
  <si>
    <t>Peps Hypnos Spine Safe Soft Top Grey 72X30X08</t>
  </si>
  <si>
    <t>SPINE-SAFE-FOAM-BLOCK-72X30X08</t>
  </si>
  <si>
    <t>HYPSPSFMGR72X36X08</t>
  </si>
  <si>
    <t>Peps Hypnos Spine Safe Soft Top Grey 72X36X08</t>
  </si>
  <si>
    <t>SPINE-SAFE-FOAM-BLOCK-72X36X08</t>
  </si>
  <si>
    <t>HYPSPSFMGR72X42X08</t>
  </si>
  <si>
    <t>Peps Hypnos Spine Safe Soft Top Grey 72X42X08</t>
  </si>
  <si>
    <t>SPINE-SAFE-FOAM-BLOCK-72X42X08</t>
  </si>
  <si>
    <t>HYPSPSFMGR72X48X08</t>
  </si>
  <si>
    <t>Peps Hypnos Spine Safe Soft Top Grey 72X48X08</t>
  </si>
  <si>
    <t>SPINE-SAFE-FOAM-BLOCK-72X48X08</t>
  </si>
  <si>
    <t>HYPSPSFMGR72X60X08</t>
  </si>
  <si>
    <t>Peps Hypnos Spine Safe Soft Top Grey 72X60X08</t>
  </si>
  <si>
    <t>SPINE-SAFE-FOAM-BLOCK-72X60X08</t>
  </si>
  <si>
    <t>HYPSPSFMGR72X66X08</t>
  </si>
  <si>
    <t>Peps Hypnos Spine Safe Soft Top Grey 72X66X08</t>
  </si>
  <si>
    <t>SPINE-SAFE-FOAM-BLOCK-72X66X08</t>
  </si>
  <si>
    <t>HYPSPSFMGR72X72X08</t>
  </si>
  <si>
    <t>Peps Hypnos Spine Safe Soft Top Grey 72X72X08</t>
  </si>
  <si>
    <t>SPINE-SAFE-FOAM-BLOCK-72X72X08</t>
  </si>
  <si>
    <t>HYPSPSFMGR75X30X08</t>
  </si>
  <si>
    <t>Peps Hypnos Spine Safe Soft Top Grey 75X30X08</t>
  </si>
  <si>
    <t>SPINE-SAFE-FOAM-BLOCK-75X30X08</t>
  </si>
  <si>
    <t>HYPSPSFMGR75X36X08</t>
  </si>
  <si>
    <t>Peps Hypnos Spine Safe Soft Top Grey 75X36X08</t>
  </si>
  <si>
    <t>SPINE-SAFE-FOAM-BLOCK-75X36X08</t>
  </si>
  <si>
    <t>HYPSPSFMGR75X42X08</t>
  </si>
  <si>
    <t>Peps Hypnos Spine Safe Soft Top Grey 75X42X08</t>
  </si>
  <si>
    <t>SPINE-SAFE-FOAM-BLOCK-75X42X08</t>
  </si>
  <si>
    <t>HYPSPSFMGR75X48X08</t>
  </si>
  <si>
    <t>Peps Hypnos Spine Safe Soft Top Grey 75X48X08</t>
  </si>
  <si>
    <t>SPINE-SAFE-FOAM-BLOCK-75X48X08</t>
  </si>
  <si>
    <t>HYPSPSFMGR75X60X08</t>
  </si>
  <si>
    <t>Peps Hypnos Spine Safe Soft Top Grey 75X60X08</t>
  </si>
  <si>
    <t>SPINE-SAFE-FOAM-BLOCK-75X60X08</t>
  </si>
  <si>
    <t>HYPSPSFMGR75X66X08</t>
  </si>
  <si>
    <t>Peps Hypnos Spine Safe Soft Top Grey 75X66X08</t>
  </si>
  <si>
    <t>SPINE-SAFE-FOAM-BLOCK-75X66X08</t>
  </si>
  <si>
    <t>HYPSPSFMGR75X72X08</t>
  </si>
  <si>
    <t>Peps Hypnos Spine Safe Soft Top Grey 75X72X08</t>
  </si>
  <si>
    <t>SPINE-SAFE-FOAM-BLOCK-75X72X08</t>
  </si>
  <si>
    <t>HYPSPSFMGR78X30X08</t>
  </si>
  <si>
    <t>Peps Hypnos Spine Safe Soft Top Grey 78X30X08</t>
  </si>
  <si>
    <t>SPINE-SAFE-FOAM-BLOCK-78X30X08</t>
  </si>
  <si>
    <t>HYPSPSFMGR78X36X08</t>
  </si>
  <si>
    <t>Peps Hypnos Spine Safe Soft Top Grey 78X36X08</t>
  </si>
  <si>
    <t>SPINE-SAFE-FOAM-BLOCK-78X36X08</t>
  </si>
  <si>
    <t>HYPSPSFMGR78X42X08</t>
  </si>
  <si>
    <t>Peps Hypnos Spine Safe Soft Top Grey 78X42X08</t>
  </si>
  <si>
    <t>SPINE-SAFE-FOAM-BLOCK-78X42X08</t>
  </si>
  <si>
    <t>HYPSPSFMGR78X48X08</t>
  </si>
  <si>
    <t>Peps Hypnos Spine Safe Soft Top Grey 78X48X08</t>
  </si>
  <si>
    <t>SPINE-SAFE-FOAM-BLOCK-78X48X08</t>
  </si>
  <si>
    <t>HYPSPSFMGR78X60X08</t>
  </si>
  <si>
    <t>Peps Hypnos Spine Safe Soft Top Grey 78X60X08</t>
  </si>
  <si>
    <t>SPINE-SAFE-FOAM-BLOCK-78X60X08</t>
  </si>
  <si>
    <t>HYPSPSFMGR78X66X08</t>
  </si>
  <si>
    <t>Peps Hypnos Spine Safe Soft Top Grey 78X66X08</t>
  </si>
  <si>
    <t>SPINE-SAFE-FOAM-BLOCK-78X66X08</t>
  </si>
  <si>
    <t>HYPSPSFMGR78X72X08</t>
  </si>
  <si>
    <t>Peps Hypnos Spine Safe Soft Top Grey 78X72X08</t>
  </si>
  <si>
    <t>SPINE-SAFE-FOAM-BLOCK-78X72X08</t>
  </si>
  <si>
    <t>HYPSPSFMGR80X30X08</t>
  </si>
  <si>
    <t>Peps Hypnos Spine Safe Soft Top Grey 80X30X08</t>
  </si>
  <si>
    <t>SPINE-SAFE-FOAM-BLOCK-80X30X08</t>
  </si>
  <si>
    <t>HYPSPSFMGR80X36X08</t>
  </si>
  <si>
    <t>Peps Hypnos Spine Safe Soft Top Grey 80X36X08</t>
  </si>
  <si>
    <t>SPINE-SAFE-FOAM-BLOCK-80X36X08</t>
  </si>
  <si>
    <t>HYPSPSFMGR80X42X08</t>
  </si>
  <si>
    <t>Peps Hypnos Spine Safe Soft Top Grey 80X42X08</t>
  </si>
  <si>
    <t>SPINE-SAFE-FOAM-BLOCK-80X42X08</t>
  </si>
  <si>
    <t>HYPSPSFMGR80X48X08</t>
  </si>
  <si>
    <t>Peps Hypnos Spine Safe Soft Top Grey 80X48X08</t>
  </si>
  <si>
    <t>SPINE-SAFE-FOAM-BLOCK-80X48X08</t>
  </si>
  <si>
    <t>HYPSPSFMGR80X60X08</t>
  </si>
  <si>
    <t>Peps Hypnos Spine Safe Soft Top Grey 80X60X08</t>
  </si>
  <si>
    <t>SPINE-SAFE-FOAM-BLOCK-80X60X08</t>
  </si>
  <si>
    <t>HYPSPSFMGR80X66X08</t>
  </si>
  <si>
    <t>Peps Hypnos Spine Safe Soft Top Grey 80X66X08</t>
  </si>
  <si>
    <t>SPINE-SAFE-FOAM-BLOCK-80X66X08</t>
  </si>
  <si>
    <t>HYPSPSFMGR80X72X08</t>
  </si>
  <si>
    <t>Peps Hypnos Spine Safe Soft Top Grey 80X72X08</t>
  </si>
  <si>
    <t>SPINE-SAFE-FOAM-BLOCK-80X72X08</t>
  </si>
  <si>
    <t>HYPSPSFMGR84X30X08</t>
  </si>
  <si>
    <t>Peps Hypnos Spine Safe Soft Top Grey 84X30X08</t>
  </si>
  <si>
    <t>SPINE-SAFE-FOAM-BLOCK-84X30X08</t>
  </si>
  <si>
    <t>HYPSPSFMGR84X36X08</t>
  </si>
  <si>
    <t>Peps Hypnos Spine Safe Soft Top Grey 84X36X08</t>
  </si>
  <si>
    <t>SPINE-SAFE-FOAM-BLOCK-84X36X08</t>
  </si>
  <si>
    <t>HYPSPSFMGR84X42X08</t>
  </si>
  <si>
    <t>Peps Hypnos Spine Safe Soft Top Grey 84X42X08</t>
  </si>
  <si>
    <t>SPINE-SAFE-FOAM-BLOCK-84X42X08</t>
  </si>
  <si>
    <t>HYPSPSFMGR84X48X08</t>
  </si>
  <si>
    <t>Peps Hypnos Spine Safe Soft Top Grey 84X48X08</t>
  </si>
  <si>
    <t>SPINE-SAFE-FOAM-BLOCK-84X48X08</t>
  </si>
  <si>
    <t>HYPSPSFMGR84X60X08</t>
  </si>
  <si>
    <t>Peps Hypnos Spine Safe Soft Top Grey 84X60X08</t>
  </si>
  <si>
    <t>SPINE-SAFE-FOAM-BLOCK-84X60X08</t>
  </si>
  <si>
    <t>HYPSPSFMGR84X66X08</t>
  </si>
  <si>
    <t>Peps Hypnos Spine Safe Soft Top Grey 84X66X08</t>
  </si>
  <si>
    <t>SPINE-SAFE-FOAM-BLOCK-84X66X08</t>
  </si>
  <si>
    <t>HYPSPSFMGR84X72X08</t>
  </si>
  <si>
    <t>Peps Hypnos Spine Safe Soft Top Grey 84X72X08</t>
  </si>
  <si>
    <t>SPINE-SAFE-FOAM-BLOCK-84X72X08</t>
  </si>
  <si>
    <t>HYPSPSFMNB72X30X08</t>
  </si>
  <si>
    <t>Peps Hypnos Spine Safe Soft Top Navy Blue 72X30X08</t>
  </si>
  <si>
    <t>HYPSPSFMNB72X36X08</t>
  </si>
  <si>
    <t>Peps Hypnos Spine Safe Soft Top Navy Blue 72X36X08</t>
  </si>
  <si>
    <t>HYPSPSFMNB72X42X08</t>
  </si>
  <si>
    <t>Peps Hypnos Spine Safe Soft Top Navy Blue 72X42X08</t>
  </si>
  <si>
    <t>HYPSPSFMNB72X48X08</t>
  </si>
  <si>
    <t>Peps Hypnos Spine Safe Soft Top Navy Blue 72X48X08</t>
  </si>
  <si>
    <t>HYPSPSFMNB72X60X08</t>
  </si>
  <si>
    <t>Peps Hypnos Spine Safe Soft Top Navy Blue 72X60X08</t>
  </si>
  <si>
    <t>HYPSPSFMNB72X66X08</t>
  </si>
  <si>
    <t>Peps Hypnos Spine Safe Soft Top Navy Blue 72X66X08</t>
  </si>
  <si>
    <t>HYPSPSFMNB72X72X08</t>
  </si>
  <si>
    <t>Peps Hypnos Spine Safe Soft Top Navy Blue 72X72X08</t>
  </si>
  <si>
    <t>HYPSPSFMNB75X30X08</t>
  </si>
  <si>
    <t>Peps Hypnos Spine Safe Soft Top Navy Blue 75X30X08</t>
  </si>
  <si>
    <t>HYPSPSFMNB75X36X08</t>
  </si>
  <si>
    <t>Peps Hypnos Spine Safe Soft Top Navy Blue 75X36X08</t>
  </si>
  <si>
    <t>HYPSPSFMNB75X42X08</t>
  </si>
  <si>
    <t>Peps Hypnos Spine Safe Soft Top Navy Blue 75X42X08</t>
  </si>
  <si>
    <t>HYPSPSFMNB75X48X08</t>
  </si>
  <si>
    <t>Peps Hypnos Spine Safe Soft Top Navy Blue 75X48X08</t>
  </si>
  <si>
    <t>HYPSPSFMNB75X60X08</t>
  </si>
  <si>
    <t>Peps Hypnos Spine Safe Soft Top Navy Blue 75X60X08</t>
  </si>
  <si>
    <t>HYPSPSFMNB75X66X08</t>
  </si>
  <si>
    <t>Peps Hypnos Spine Safe Soft Top Navy Blue 75X66X08</t>
  </si>
  <si>
    <t>HYPSPSFMNB75X72X08</t>
  </si>
  <si>
    <t>Peps Hypnos Spine Safe Soft Top Navy Blue 75X72X08</t>
  </si>
  <si>
    <t>HYPSPSFMNB78X30X08</t>
  </si>
  <si>
    <t>Peps Hypnos Spine Safe Soft Top Navy Blue 78X30X08</t>
  </si>
  <si>
    <t>HYPSPSFMNB78X36X08</t>
  </si>
  <si>
    <t>Peps Hypnos Spine Safe Soft Top Navy Blue 78X36X08</t>
  </si>
  <si>
    <t>HYPSPSFMNB78X42X08</t>
  </si>
  <si>
    <t>Peps Hypnos Spine Safe Soft Top Navy Blue 78X42X08</t>
  </si>
  <si>
    <t>HYPSPSFMNB78X48X08</t>
  </si>
  <si>
    <t>Peps Hypnos Spine Safe Soft Top Navy Blue 78X48X08</t>
  </si>
  <si>
    <t>HYPSPSFMNB78X60X08</t>
  </si>
  <si>
    <t>Peps Hypnos Spine Safe Soft Top Navy Blue 78X60X08</t>
  </si>
  <si>
    <t>HYPSPSFMNB78X66X08</t>
  </si>
  <si>
    <t>Peps Hypnos Spine Safe Soft Top Navy Blue 78X66X08</t>
  </si>
  <si>
    <t>HYPSPSFMNB78X72X08</t>
  </si>
  <si>
    <t>Peps Hypnos Spine Safe Soft Top Navy Blue 78X72X08</t>
  </si>
  <si>
    <t>HYPSPSFMNB80X30X08</t>
  </si>
  <si>
    <t>Peps Hypnos Spine Safe Soft Top Navy Blue 80X30X08</t>
  </si>
  <si>
    <t>HYPSPSFMNB80X36X08</t>
  </si>
  <si>
    <t>Peps Hypnos Spine Safe Soft Top Navy Blue 80X36X08</t>
  </si>
  <si>
    <t>HYPSPSFMNB80X42X08</t>
  </si>
  <si>
    <t>Peps Hypnos Spine Safe Soft Top Navy Blue 80X42X08</t>
  </si>
  <si>
    <t>HYPSPSFMNB80X48X08</t>
  </si>
  <si>
    <t>Peps Hypnos Spine Safe Soft Top Navy Blue 80X48X08</t>
  </si>
  <si>
    <t>HYPSPSFMNB80X60X08</t>
  </si>
  <si>
    <t>Peps Hypnos Spine Safe Soft Top Navy Blue 80X60X08</t>
  </si>
  <si>
    <t>HYPSPSFMNB80X66X08</t>
  </si>
  <si>
    <t>Peps Hypnos Spine Safe Soft Top Navy Blue 80X66X08</t>
  </si>
  <si>
    <t>HYPSPSFMNB80X72X08</t>
  </si>
  <si>
    <t>Peps Hypnos Spine Safe Soft Top Navy Blue 80X72X08</t>
  </si>
  <si>
    <t>HYPSPSFMNB84X30X08</t>
  </si>
  <si>
    <t>Peps Hypnos Spine Safe Soft Top Navy Blue 84X30X08</t>
  </si>
  <si>
    <t>HYPSPSFMNB84X36X08</t>
  </si>
  <si>
    <t>Peps Hypnos Spine Safe Soft Top Navy Blue 84X36X08</t>
  </si>
  <si>
    <t>HYPSPSFMNB84X42X08</t>
  </si>
  <si>
    <t>Peps Hypnos Spine Safe Soft Top Navy Blue 84X42X08</t>
  </si>
  <si>
    <t>HYPSPSFMNB84X48X08</t>
  </si>
  <si>
    <t>Peps Hypnos Spine Safe Soft Top Navy Blue 84X48X08</t>
  </si>
  <si>
    <t>HYPSPSFMNB84X60X08</t>
  </si>
  <si>
    <t>Peps Hypnos Spine Safe Soft Top Navy Blue 84X60X08</t>
  </si>
  <si>
    <t>HYPSPSFMNB84X66X08</t>
  </si>
  <si>
    <t>Peps Hypnos Spine Safe Soft Top Navy Blue 84X66X08</t>
  </si>
  <si>
    <t>HYPSPSFMNB84X72X08</t>
  </si>
  <si>
    <t>Peps Hypnos Spine Safe Soft Top Navy Blue 84X72X08</t>
  </si>
  <si>
    <t>HYPFURFMMR72X30X04</t>
  </si>
  <si>
    <t>Peps Hypnos Furno Soft Top Maroon 72X30X04</t>
  </si>
  <si>
    <t>FURNO-FOAM-BLOCK-72X30X04</t>
  </si>
  <si>
    <t>HYPFURFMMR72X36X04</t>
  </si>
  <si>
    <t>Peps Hypnos Furno Soft Top Maroon 72X36X04</t>
  </si>
  <si>
    <t>FURNO-FOAM-BLOCK-72X36X04</t>
  </si>
  <si>
    <t>HYPFURFMMR72X42X04</t>
  </si>
  <si>
    <t>Peps Hypnos Furno Soft Top Maroon 72X42X04</t>
  </si>
  <si>
    <t>FURNO-FOAM-BLOCK-72X42X04</t>
  </si>
  <si>
    <t>HYPFURFMMR72X48X04</t>
  </si>
  <si>
    <t>Peps Hypnos Furno Soft Top Maroon 72X48X04</t>
  </si>
  <si>
    <t>FURNO-FOAM-BLOCK-72X48X04</t>
  </si>
  <si>
    <t>HYPFURFMMR72X60X04</t>
  </si>
  <si>
    <t>Peps Hypnos Furno Soft Top Maroon 72X60X04</t>
  </si>
  <si>
    <t>FURNO-FOAM-BLOCK-72X60X04</t>
  </si>
  <si>
    <t>HYPFURFMMR72X66X04</t>
  </si>
  <si>
    <t>Peps Hypnos Furno Soft Top Maroon 72X66X04</t>
  </si>
  <si>
    <t>FURNO-FOAM-BLOCK-72X66X04</t>
  </si>
  <si>
    <t>HYPFURFMMR72X72X04</t>
  </si>
  <si>
    <t>Peps Hypnos Furno Soft Top Maroon 72X72X04</t>
  </si>
  <si>
    <t>FURNO-FOAM-BLOCK-72X72X04</t>
  </si>
  <si>
    <t>HYPFURFMMR75X30X04</t>
  </si>
  <si>
    <t>Peps Hypnos Furno Soft Top Maroon 75X30X04</t>
  </si>
  <si>
    <t>FURNO-FOAM-BLOCK-75X30X04</t>
  </si>
  <si>
    <t>HYPFURFMMR75X36X04</t>
  </si>
  <si>
    <t>Peps Hypnos Furno Soft Top Maroon 75X36X04</t>
  </si>
  <si>
    <t>FURNO-FOAM-BLOCK-75X36X04</t>
  </si>
  <si>
    <t>HYPFURFMMR75X42X04</t>
  </si>
  <si>
    <t>Peps Hypnos Furno Soft Top Maroon 75X42X04</t>
  </si>
  <si>
    <t>FURNO-FOAM-BLOCK-75X42X04</t>
  </si>
  <si>
    <t>HYPFURFMMR75X48X04</t>
  </si>
  <si>
    <t>Peps Hypnos Furno Soft Top Maroon 75X48X04</t>
  </si>
  <si>
    <t>FURNO-FOAM-BLOCK-75X48X04</t>
  </si>
  <si>
    <t>HYPFURFMMR75X60X04</t>
  </si>
  <si>
    <t>Peps Hypnos Furno Soft Top Maroon 75X60X04</t>
  </si>
  <si>
    <t>FURNO-FOAM-BLOCK-75X60X04</t>
  </si>
  <si>
    <t>HYPFURFMMR75X66X04</t>
  </si>
  <si>
    <t>Peps Hypnos Furno Soft Top Maroon 75X66X04</t>
  </si>
  <si>
    <t>FURNO-FOAM-BLOCK-75X66X04</t>
  </si>
  <si>
    <t>HYPFURFMMR75X72X04</t>
  </si>
  <si>
    <t>Peps Hypnos Furno Soft Top Maroon 75X72X04</t>
  </si>
  <si>
    <t>FURNO-FOAM-BLOCK-75X72X04</t>
  </si>
  <si>
    <t>HYPFURFMMR78X30X04</t>
  </si>
  <si>
    <t>Peps Hypnos Furno Soft Top Maroon 78X30X04</t>
  </si>
  <si>
    <t>FURNO-FOAM-BLOCK-78X30X04</t>
  </si>
  <si>
    <t>HYPFURFMMR78X36X04</t>
  </si>
  <si>
    <t>Peps Hypnos Furno Soft Top Maroon 78X36X04</t>
  </si>
  <si>
    <t>FURNO-FOAM-BLOCK-78X36X04</t>
  </si>
  <si>
    <t>HYPFURFMMR78X42X04</t>
  </si>
  <si>
    <t>Peps Hypnos Furno Soft Top Maroon 78X42X04</t>
  </si>
  <si>
    <t>FURNO-FOAM-BLOCK-78X42X04</t>
  </si>
  <si>
    <t>HYPFURFMMR78X48X04</t>
  </si>
  <si>
    <t>Peps Hypnos Furno Soft Top Maroon 78X48X04</t>
  </si>
  <si>
    <t>FURNO-FOAM-BLOCK-78X48X04</t>
  </si>
  <si>
    <t>HYPFURFMMR78X60X04</t>
  </si>
  <si>
    <t>Peps Hypnos Furno Soft Top Maroon 78X60X04</t>
  </si>
  <si>
    <t>FURNO-FOAM-BLOCK-78X60X04</t>
  </si>
  <si>
    <t>HYPFURFMMR78X66X04</t>
  </si>
  <si>
    <t>Peps Hypnos Furno Soft Top Maroon 78X66X04</t>
  </si>
  <si>
    <t>FURNO-FOAM-BLOCK-78X66X04</t>
  </si>
  <si>
    <t>HYPFURFMMR78X72X04</t>
  </si>
  <si>
    <t>Peps Hypnos Furno Soft Top Maroon 78X72X04</t>
  </si>
  <si>
    <t>FURNO-FOAM-BLOCK-78X72X04</t>
  </si>
  <si>
    <t>HYPFURFMMR80X30X04</t>
  </si>
  <si>
    <t>Peps Hypnos Furno Soft Top Maroon 80X30X04</t>
  </si>
  <si>
    <t>FURNO-FOAM-BLOCK-80X30X04</t>
  </si>
  <si>
    <t>HYPFURFMMR80X36X04</t>
  </si>
  <si>
    <t>Peps Hypnos Furno Soft Top Maroon 80X36X04</t>
  </si>
  <si>
    <t>FURNO-FOAM-BLOCK-80X36X04</t>
  </si>
  <si>
    <t>HYPFURFMMR80X42X04</t>
  </si>
  <si>
    <t>Peps Hypnos Furno Soft Top Maroon 80X42X04</t>
  </si>
  <si>
    <t>FURNO-FOAM-BLOCK-80X42X04</t>
  </si>
  <si>
    <t>HYPFURFMMR80X48X04</t>
  </si>
  <si>
    <t>Peps Hypnos Furno Soft Top Maroon 80X48X04</t>
  </si>
  <si>
    <t>FURNO-FOAM-BLOCK-80X48X04</t>
  </si>
  <si>
    <t>HYPFURFMMR80X60X04</t>
  </si>
  <si>
    <t>Peps Hypnos Furno Soft Top Maroon 80X60X04</t>
  </si>
  <si>
    <t>FURNO-FOAM-BLOCK-80X60X04</t>
  </si>
  <si>
    <t>HYPFURFMMR80X66X04</t>
  </si>
  <si>
    <t>Peps Hypnos Furno Soft Top Maroon 80X66X04</t>
  </si>
  <si>
    <t>FURNO-FOAM-BLOCK-80X66X04</t>
  </si>
  <si>
    <t>HYPFURFMMR80X72X04</t>
  </si>
  <si>
    <t>Peps Hypnos Furno Soft Top Maroon 80X72X04</t>
  </si>
  <si>
    <t>FURNO-FOAM-BLOCK-80X72X04</t>
  </si>
  <si>
    <t>HYPFURFMMR84X30X04</t>
  </si>
  <si>
    <t>Peps Hypnos Furno Soft Top Maroon 84X30X04</t>
  </si>
  <si>
    <t>FURNO-FOAM-BLOCK-84X30X04</t>
  </si>
  <si>
    <t>HYPFURFMMR84X36X04</t>
  </si>
  <si>
    <t>Peps Hypnos Furno Soft Top Maroon 84X36X04</t>
  </si>
  <si>
    <t>FURNO-FOAM-BLOCK-84X36X04</t>
  </si>
  <si>
    <t>HYPFURFMMR84X42X04</t>
  </si>
  <si>
    <t>Peps Hypnos Furno Soft Top Maroon 84X42X04</t>
  </si>
  <si>
    <t>FURNO-FOAM-BLOCK-84X42X04</t>
  </si>
  <si>
    <t>HYPFURFMMR84X48X04</t>
  </si>
  <si>
    <t>Peps Hypnos Furno Soft Top Maroon 84X48X04</t>
  </si>
  <si>
    <t>FURNO-FOAM-BLOCK-84X48X04</t>
  </si>
  <si>
    <t>HYPFURFMMR84X60X04</t>
  </si>
  <si>
    <t>Peps Hypnos Furno Soft Top Maroon 84X60X04</t>
  </si>
  <si>
    <t>FURNO-FOAM-BLOCK-84X60X04</t>
  </si>
  <si>
    <t>HYPFURFMMR84X66X04</t>
  </si>
  <si>
    <t>Peps Hypnos Furno Soft Top Maroon 84X66X04</t>
  </si>
  <si>
    <t>FURNO-FOAM-BLOCK-84X66X04</t>
  </si>
  <si>
    <t>HYPFURFMMR84X72X04</t>
  </si>
  <si>
    <t>Peps Hypnos Furno Soft Top Maroon 84X72X04</t>
  </si>
  <si>
    <t>FURNO-FOAM-BLOCK-84X72X04</t>
  </si>
  <si>
    <t>HYPFURFMDB72X30X04</t>
  </si>
  <si>
    <t>Peps Hypnos Furno Soft Top Dark Blue 72X30X04</t>
  </si>
  <si>
    <t>HYPFURFMDB72X36X04</t>
  </si>
  <si>
    <t>Peps Hypnos Furno Soft Top Dark Blue 72X36X04</t>
  </si>
  <si>
    <t>HYPFURFMDB72X42X04</t>
  </si>
  <si>
    <t>Peps Hypnos Furno Soft Top Dark Blue 72X42X04</t>
  </si>
  <si>
    <t>HYPFURFMDB72X48X04</t>
  </si>
  <si>
    <t>Peps Hypnos Furno Soft Top Dark Blue 72X48X04</t>
  </si>
  <si>
    <t>HYPFURFMDB72X60X04</t>
  </si>
  <si>
    <t>Peps Hypnos Furno Soft Top Dark Blue 72X60X04</t>
  </si>
  <si>
    <t>HYPFURFMDB72X66X04</t>
  </si>
  <si>
    <t>Peps Hypnos Furno Soft Top Dark Blue 72X66X04</t>
  </si>
  <si>
    <t>HYPFURFMDB72X72X04</t>
  </si>
  <si>
    <t>Peps Hypnos Furno Soft Top Dark Blue 72X72X04</t>
  </si>
  <si>
    <t>HYPFURFMDB75X30X04</t>
  </si>
  <si>
    <t>Peps Hypnos Furno Soft Top Dark Blue 75X30X04</t>
  </si>
  <si>
    <t>HYPFURFMDB75X36X04</t>
  </si>
  <si>
    <t>Peps Hypnos Furno Soft Top Dark Blue 75X36X04</t>
  </si>
  <si>
    <t>HYPFURFMDB75X42X04</t>
  </si>
  <si>
    <t>Peps Hypnos Furno Soft Top Dark Blue 75X42X04</t>
  </si>
  <si>
    <t>HYPFURFMDB75X48X04</t>
  </si>
  <si>
    <t>Peps Hypnos Furno Soft Top Dark Blue 75X48X04</t>
  </si>
  <si>
    <t>HYPFURFMDB75X60X04</t>
  </si>
  <si>
    <t>Peps Hypnos Furno Soft Top Dark Blue 75X60X04</t>
  </si>
  <si>
    <t>HYPFURFMDB75X66X04</t>
  </si>
  <si>
    <t>Peps Hypnos Furno Soft Top Dark Blue 75X66X04</t>
  </si>
  <si>
    <t>HYPFURFMDB75X72X04</t>
  </si>
  <si>
    <t>Peps Hypnos Furno Soft Top Dark Blue 75X72X04</t>
  </si>
  <si>
    <t>HYPFURFMDB78X30X04</t>
  </si>
  <si>
    <t>Peps Hypnos Furno Soft Top Dark Blue 78X30X04</t>
  </si>
  <si>
    <t>HYPFURFMDB78X36X04</t>
  </si>
  <si>
    <t>Peps Hypnos Furno Soft Top Dark Blue 78X36X04</t>
  </si>
  <si>
    <t>HYPFURFMDB78X42X04</t>
  </si>
  <si>
    <t>Peps Hypnos Furno Soft Top Dark Blue 78X42X04</t>
  </si>
  <si>
    <t>HYPFURFMDB78X48X04</t>
  </si>
  <si>
    <t>Peps Hypnos Furno Soft Top Dark Blue 78X48X04</t>
  </si>
  <si>
    <t>HYPFURFMDB78X60X04</t>
  </si>
  <si>
    <t>Peps Hypnos Furno Soft Top Dark Blue 78X60X04</t>
  </si>
  <si>
    <t>HYPFURFMDB78X66X04</t>
  </si>
  <si>
    <t>Peps Hypnos Furno Soft Top Dark Blue 78X66X04</t>
  </si>
  <si>
    <t>HYPFURFMDB78X72X04</t>
  </si>
  <si>
    <t>Peps Hypnos Furno Soft Top Dark Blue 78X72X04</t>
  </si>
  <si>
    <t>HYPFURFMDB80X30X04</t>
  </si>
  <si>
    <t>Peps Hypnos Furno Soft Top Dark Blue 80X30X04</t>
  </si>
  <si>
    <t>HYPFURFMDB80X36X04</t>
  </si>
  <si>
    <t>Peps Hypnos Furno Soft Top Dark Blue 80X36X04</t>
  </si>
  <si>
    <t>HYPFURFMDB80X42X04</t>
  </si>
  <si>
    <t>Peps Hypnos Furno Soft Top Dark Blue 80X42X04</t>
  </si>
  <si>
    <t>HYPFURFMDB80X48X04</t>
  </si>
  <si>
    <t>Peps Hypnos Furno Soft Top Dark Blue 80X48X04</t>
  </si>
  <si>
    <t>HYPFURFMDB80X60X04</t>
  </si>
  <si>
    <t>Peps Hypnos Furno Soft Top Dark Blue 80X60X04</t>
  </si>
  <si>
    <t>HYPFURFMDB80X66X04</t>
  </si>
  <si>
    <t>Peps Hypnos Furno Soft Top Dark Blue 80X66X04</t>
  </si>
  <si>
    <t>HYPFURFMDB80X72X04</t>
  </si>
  <si>
    <t>Peps Hypnos Furno Soft Top Dark Blue 80X72X04</t>
  </si>
  <si>
    <t>HYPFURFMDB84X30X04</t>
  </si>
  <si>
    <t>Peps Hypnos Furno Soft Top Dark Blue 84X30X04</t>
  </si>
  <si>
    <t>HYPFURFMDB84X36X04</t>
  </si>
  <si>
    <t>Peps Hypnos Furno Soft Top Dark Blue 84X36X04</t>
  </si>
  <si>
    <t>HYPFURFMDB84X42X04</t>
  </si>
  <si>
    <t>Peps Hypnos Furno Soft Top Dark Blue 84X42X04</t>
  </si>
  <si>
    <t>HYPFURFMDB84X48X04</t>
  </si>
  <si>
    <t>Peps Hypnos Furno Soft Top Dark Blue 84X48X04</t>
  </si>
  <si>
    <t>HYPFURFMDB84X60X04</t>
  </si>
  <si>
    <t>Peps Hypnos Furno Soft Top Dark Blue 84X60X04</t>
  </si>
  <si>
    <t>HYPFURFMDB84X66X04</t>
  </si>
  <si>
    <t>Peps Hypnos Furno Soft Top Dark Blue 84X66X04</t>
  </si>
  <si>
    <t>HYPFURFMDB84X72X04</t>
  </si>
  <si>
    <t>Peps Hypnos Furno Soft Top Dark Blue 84X72X04</t>
  </si>
  <si>
    <t>HYPFURFMBG72X30X04</t>
  </si>
  <si>
    <t>Peps Hypnos Furno Soft Top Beige 72X30X04</t>
  </si>
  <si>
    <t>HYPFURFMBG72X36X04</t>
  </si>
  <si>
    <t>Peps Hypnos Furno Soft Top Beige 72X36X04</t>
  </si>
  <si>
    <t>HYPFURFMBG72X42X04</t>
  </si>
  <si>
    <t>Peps Hypnos Furno Soft Top Beige 72X42X04</t>
  </si>
  <si>
    <t>HYPFURFMBG72X48X04</t>
  </si>
  <si>
    <t>Peps Hypnos Furno Soft Top Beige 72X48X04</t>
  </si>
  <si>
    <t>HYPFURFMBG72X60X04</t>
  </si>
  <si>
    <t>Peps Hypnos Furno Soft Top Beige 72X60X04</t>
  </si>
  <si>
    <t>HYPFURFMBG72X66X04</t>
  </si>
  <si>
    <t>Peps Hypnos Furno Soft Top Beige 72X66X04</t>
  </si>
  <si>
    <t>HYPFURFMBG72X72X04</t>
  </si>
  <si>
    <t>Peps Hypnos Furno Soft Top Beige 72X72X04</t>
  </si>
  <si>
    <t>HYPFURFMBG75X30X04</t>
  </si>
  <si>
    <t>Peps Hypnos Furno Soft Top Beige 75X30X04</t>
  </si>
  <si>
    <t>HYPFURFMBG75X36X04</t>
  </si>
  <si>
    <t>Peps Hypnos Furno Soft Top Beige 75X36X04</t>
  </si>
  <si>
    <t>HYPFURFMBG75X42X04</t>
  </si>
  <si>
    <t>Peps Hypnos Furno Soft Top Beige 75X42X04</t>
  </si>
  <si>
    <t>HYPFURFMBG75X48X04</t>
  </si>
  <si>
    <t>Peps Hypnos Furno Soft Top Beige 75X48X04</t>
  </si>
  <si>
    <t>HYPFURFMBG75X60X04</t>
  </si>
  <si>
    <t>Peps Hypnos Furno Soft Top Beige 75X60X04</t>
  </si>
  <si>
    <t>HYPFURFMBG75X66X04</t>
  </si>
  <si>
    <t>Peps Hypnos Furno Soft Top Beige 75X66X04</t>
  </si>
  <si>
    <t>HYPFURFMBG75X72X04</t>
  </si>
  <si>
    <t>Peps Hypnos Furno Soft Top Beige 75X72X04</t>
  </si>
  <si>
    <t>HYPFURFMBG78X30X04</t>
  </si>
  <si>
    <t>Peps Hypnos Furno Soft Top Beige 78X30X04</t>
  </si>
  <si>
    <t>HYPFURFMBG78X36X04</t>
  </si>
  <si>
    <t>Peps Hypnos Furno Soft Top Beige 78X36X04</t>
  </si>
  <si>
    <t>HYPFURFMBG78X42X04</t>
  </si>
  <si>
    <t>Peps Hypnos Furno Soft Top Beige 78X42X04</t>
  </si>
  <si>
    <t>HYPFURFMBG78X48X04</t>
  </si>
  <si>
    <t>Peps Hypnos Furno Soft Top Beige 78X48X04</t>
  </si>
  <si>
    <t>HYPFURFMBG78X60X04</t>
  </si>
  <si>
    <t>Peps Hypnos Furno Soft Top Beige 78X60X04</t>
  </si>
  <si>
    <t>HYPFURFMBG78X66X04</t>
  </si>
  <si>
    <t>Peps Hypnos Furno Soft Top Beige 78X66X04</t>
  </si>
  <si>
    <t>HYPFURFMBG78X72X04</t>
  </si>
  <si>
    <t>Peps Hypnos Furno Soft Top Beige 78X72X04</t>
  </si>
  <si>
    <t>HYPFURFMBG80X30X04</t>
  </si>
  <si>
    <t>Peps Hypnos Furno Soft Top Beige 80X30X04</t>
  </si>
  <si>
    <t>HYPFURFMBG80X36X04</t>
  </si>
  <si>
    <t>Peps Hypnos Furno Soft Top Beige 80X36X04</t>
  </si>
  <si>
    <t>HYPFURFMBG80X42X04</t>
  </si>
  <si>
    <t>Peps Hypnos Furno Soft Top Beige 80X42X04</t>
  </si>
  <si>
    <t>HYPFURFMBG80X48X04</t>
  </si>
  <si>
    <t>Peps Hypnos Furno Soft Top Beige 80X48X04</t>
  </si>
  <si>
    <t>HYPFURFMBG80X60X04</t>
  </si>
  <si>
    <t>Peps Hypnos Furno Soft Top Beige 80X60X04</t>
  </si>
  <si>
    <t>HYPFURFMBG80X66X04</t>
  </si>
  <si>
    <t>Peps Hypnos Furno Soft Top Beige 80X66X04</t>
  </si>
  <si>
    <t>HYPFURFMBG80X72X04</t>
  </si>
  <si>
    <t>Peps Hypnos Furno Soft Top Beige 80X72X04</t>
  </si>
  <si>
    <t>HYPFURFMBG84X30X04</t>
  </si>
  <si>
    <t>Peps Hypnos Furno Soft Top Beige 84X30X04</t>
  </si>
  <si>
    <t>HYPFURFMBG84X36X04</t>
  </si>
  <si>
    <t>Peps Hypnos Furno Soft Top Beige 84X36X04</t>
  </si>
  <si>
    <t>HYPFURFMBG84X42X04</t>
  </si>
  <si>
    <t>Peps Hypnos Furno Soft Top Beige 84X42X04</t>
  </si>
  <si>
    <t>HYPFURFMBG84X48X04</t>
  </si>
  <si>
    <t>Peps Hypnos Furno Soft Top Beige 84X48X04</t>
  </si>
  <si>
    <t>HYPFURFMBG84X60X04</t>
  </si>
  <si>
    <t>Peps Hypnos Furno Soft Top Beige 84X60X04</t>
  </si>
  <si>
    <t>HYPFURFMBG84X66X04</t>
  </si>
  <si>
    <t>Peps Hypnos Furno Soft Top Beige 84X66X04</t>
  </si>
  <si>
    <t>HYPFURFMBG84X72X04</t>
  </si>
  <si>
    <t>Peps Hypnos Furno Soft Top Beige 84X72X04</t>
  </si>
  <si>
    <t>HYPFURFMMR72X30X05</t>
  </si>
  <si>
    <t>Peps Hypnos Furno Soft Top Maroon 72X30X05</t>
  </si>
  <si>
    <t>FURNO-FOAM-BLOCK-72X30X05</t>
  </si>
  <si>
    <t>HYPFURFMMR72X36X05</t>
  </si>
  <si>
    <t>Peps Hypnos Furno Soft Top Maroon 72X36X05</t>
  </si>
  <si>
    <t>FURNO-FOAM-BLOCK-72X36X05</t>
  </si>
  <si>
    <t>HYPFURFMMR72X42X05</t>
  </si>
  <si>
    <t>Peps Hypnos Furno Soft Top Maroon 72X42X05</t>
  </si>
  <si>
    <t>FURNO-FOAM-BLOCK-72X42X05</t>
  </si>
  <si>
    <t>HYPFURFMMR72X48X05</t>
  </si>
  <si>
    <t>Peps Hypnos Furno Soft Top Maroon 72X48X05</t>
  </si>
  <si>
    <t>FURNO-FOAM-BLOCK-72X48X05</t>
  </si>
  <si>
    <t>HYPFURFMMR72X60X05</t>
  </si>
  <si>
    <t>Peps Hypnos Furno Soft Top Maroon 72X60X05</t>
  </si>
  <si>
    <t>FURNO-FOAM-BLOCK-72X60X05</t>
  </si>
  <si>
    <t>HYPFURFMMR72X66X05</t>
  </si>
  <si>
    <t>Peps Hypnos Furno Soft Top Maroon 72X66X05</t>
  </si>
  <si>
    <t>FURNO-FOAM-BLOCK-72X66X05</t>
  </si>
  <si>
    <t>HYPFURFMMR72X72X05</t>
  </si>
  <si>
    <t>Peps Hypnos Furno Soft Top Maroon 72X72X05</t>
  </si>
  <si>
    <t>FURNO-FOAM-BLOCK-72X72X05</t>
  </si>
  <si>
    <t>HYPFURFMMR75X30X05</t>
  </si>
  <si>
    <t>Peps Hypnos Furno Soft Top Maroon 75X30X05</t>
  </si>
  <si>
    <t>FURNO-FOAM-BLOCK-75X30X05</t>
  </si>
  <si>
    <t>HYPFURFMMR75X36X05</t>
  </si>
  <si>
    <t>Peps Hypnos Furno Soft Top Maroon 75X36X05</t>
  </si>
  <si>
    <t>FURNO-FOAM-BLOCK-75X36X05</t>
  </si>
  <si>
    <t>HYPFURFMMR75X42X05</t>
  </si>
  <si>
    <t>Peps Hypnos Furno Soft Top Maroon 75X42X05</t>
  </si>
  <si>
    <t>FURNO-FOAM-BLOCK-75X42X05</t>
  </si>
  <si>
    <t>HYPFURFMMR75X48X05</t>
  </si>
  <si>
    <t>Peps Hypnos Furno Soft Top Maroon 75X48X05</t>
  </si>
  <si>
    <t>FURNO-FOAM-BLOCK-75X48X05</t>
  </si>
  <si>
    <t>HYPFURFMMR75X60X05</t>
  </si>
  <si>
    <t>Peps Hypnos Furno Soft Top Maroon 75X60X05</t>
  </si>
  <si>
    <t>FURNO-FOAM-BLOCK-75X60X05</t>
  </si>
  <si>
    <t>HYPFURFMMR75X66X05</t>
  </si>
  <si>
    <t>Peps Hypnos Furno Soft Top Maroon 75X66X05</t>
  </si>
  <si>
    <t>FURNO-FOAM-BLOCK-75X66X05</t>
  </si>
  <si>
    <t>HYPFURFMMR75X72X05</t>
  </si>
  <si>
    <t>Peps Hypnos Furno Soft Top Maroon 75X72X05</t>
  </si>
  <si>
    <t>FURNO-FOAM-BLOCK-75X72X05</t>
  </si>
  <si>
    <t>HYPFURFMMR78X30X05</t>
  </si>
  <si>
    <t>Peps Hypnos Furno Soft Top Maroon 78X30X05</t>
  </si>
  <si>
    <t>FURNO-FOAM-BLOCK-78X30X05</t>
  </si>
  <si>
    <t>HYPFURFMMR78X36X05</t>
  </si>
  <si>
    <t>Peps Hypnos Furno Soft Top Maroon 78X36X05</t>
  </si>
  <si>
    <t>FURNO-FOAM-BLOCK-78X36X05</t>
  </si>
  <si>
    <t>HYPFURFMMR78X42X05</t>
  </si>
  <si>
    <t>Peps Hypnos Furno Soft Top Maroon 78X42X05</t>
  </si>
  <si>
    <t>FURNO-FOAM-BLOCK-78X42X05</t>
  </si>
  <si>
    <t>HYPFURFMMR78X48X05</t>
  </si>
  <si>
    <t>Peps Hypnos Furno Soft Top Maroon 78X48X05</t>
  </si>
  <si>
    <t>FURNO-FOAM-BLOCK-78X48X05</t>
  </si>
  <si>
    <t>HYPFURFMMR78X60X05</t>
  </si>
  <si>
    <t>Peps Hypnos Furno Soft Top Maroon 78X60X05</t>
  </si>
  <si>
    <t>FURNO-FOAM-BLOCK-78X60X05</t>
  </si>
  <si>
    <t>HYPFURFMMR78X66X05</t>
  </si>
  <si>
    <t>Peps Hypnos Furno Soft Top Maroon 78X66X05</t>
  </si>
  <si>
    <t>FURNO-FOAM-BLOCK-78X66X05</t>
  </si>
  <si>
    <t>HYPFURFMMR78X72X05</t>
  </si>
  <si>
    <t>Peps Hypnos Furno Soft Top Maroon 78X72X05</t>
  </si>
  <si>
    <t>FURNO-FOAM-BLOCK-78X72X05</t>
  </si>
  <si>
    <t>HYPFURFMMR80X30X05</t>
  </si>
  <si>
    <t>Peps Hypnos Furno Soft Top Maroon 80X30X05</t>
  </si>
  <si>
    <t>FURNO-FOAM-BLOCK-80X30X05</t>
  </si>
  <si>
    <t>HYPFURFMMR80X36X05</t>
  </si>
  <si>
    <t>Peps Hypnos Furno Soft Top Maroon 80X36X05</t>
  </si>
  <si>
    <t>FURNO-FOAM-BLOCK-80X36X05</t>
  </si>
  <si>
    <t>HYPFURFMMR80X42X05</t>
  </si>
  <si>
    <t>Peps Hypnos Furno Soft Top Maroon 80X42X05</t>
  </si>
  <si>
    <t>FURNO-FOAM-BLOCK-80X42X05</t>
  </si>
  <si>
    <t>HYPFURFMMR80X48X05</t>
  </si>
  <si>
    <t>Peps Hypnos Furno Soft Top Maroon 80X48X05</t>
  </si>
  <si>
    <t>FURNO-FOAM-BLOCK-80X48X05</t>
  </si>
  <si>
    <t>HYPFURFMMR80X60X05</t>
  </si>
  <si>
    <t>Peps Hypnos Furno Soft Top Maroon 80X60X05</t>
  </si>
  <si>
    <t>FURNO-FOAM-BLOCK-80X60X05</t>
  </si>
  <si>
    <t>HYPFURFMMR80X66X05</t>
  </si>
  <si>
    <t>Peps Hypnos Furno Soft Top Maroon 80X66X05</t>
  </si>
  <si>
    <t>FURNO-FOAM-BLOCK-80X66X05</t>
  </si>
  <si>
    <t>HYPFURFMMR80X72X05</t>
  </si>
  <si>
    <t>Peps Hypnos Furno Soft Top Maroon 80X72X05</t>
  </si>
  <si>
    <t>FURNO-FOAM-BLOCK-80X72X05</t>
  </si>
  <si>
    <t>HYPFURFMMR84X30X05</t>
  </si>
  <si>
    <t>Peps Hypnos Furno Soft Top Maroon 84X30X05</t>
  </si>
  <si>
    <t>FURNO-FOAM-BLOCK-84X30X05</t>
  </si>
  <si>
    <t>HYPFURFMMR84X36X05</t>
  </si>
  <si>
    <t>Peps Hypnos Furno Soft Top Maroon 84X36X05</t>
  </si>
  <si>
    <t>FURNO-FOAM-BLOCK-84X36X05</t>
  </si>
  <si>
    <t>HYPFURFMMR84X42X05</t>
  </si>
  <si>
    <t>Peps Hypnos Furno Soft Top Maroon 84X42X05</t>
  </si>
  <si>
    <t>FURNO-FOAM-BLOCK-84X42X05</t>
  </si>
  <si>
    <t>HYPFURFMMR84X48X05</t>
  </si>
  <si>
    <t>Peps Hypnos Furno Soft Top Maroon 84X48X05</t>
  </si>
  <si>
    <t>FURNO-FOAM-BLOCK-84X48X05</t>
  </si>
  <si>
    <t>HYPFURFMMR84X60X05</t>
  </si>
  <si>
    <t>Peps Hypnos Furno Soft Top Maroon 84X60X05</t>
  </si>
  <si>
    <t>FURNO-FOAM-BLOCK-84X60X05</t>
  </si>
  <si>
    <t>HYPFURFMMR84X66X05</t>
  </si>
  <si>
    <t>Peps Hypnos Furno Soft Top Maroon 84X66X05</t>
  </si>
  <si>
    <t>FURNO-FOAM-BLOCK-84X66X05</t>
  </si>
  <si>
    <t>HYPFURFMMR84X72X05</t>
  </si>
  <si>
    <t>Peps Hypnos Furno Soft Top Maroon 84X72X05</t>
  </si>
  <si>
    <t>FURNO-FOAM-BLOCK-84X72X05</t>
  </si>
  <si>
    <t>HYPFURFMDB72X30X05</t>
  </si>
  <si>
    <t>Peps Hypnos Furno Soft Top Dark Blue 72X30X05</t>
  </si>
  <si>
    <t>HYPFURFMDB72X36X05</t>
  </si>
  <si>
    <t>Peps Hypnos Furno Soft Top Dark Blue 72X36X05</t>
  </si>
  <si>
    <t>HYPFURFMDB72X42X05</t>
  </si>
  <si>
    <t>Peps Hypnos Furno Soft Top Dark Blue 72X42X05</t>
  </si>
  <si>
    <t>HYPFURFMDB72X48X05</t>
  </si>
  <si>
    <t>Peps Hypnos Furno Soft Top Dark Blue 72X48X05</t>
  </si>
  <si>
    <t>HYPFURFMDB72X60X05</t>
  </si>
  <si>
    <t>Peps Hypnos Furno Soft Top Dark Blue 72X60X05</t>
  </si>
  <si>
    <t>HYPFURFMDB72X66X05</t>
  </si>
  <si>
    <t>Peps Hypnos Furno Soft Top Dark Blue 72X66X05</t>
  </si>
  <si>
    <t>HYPFURFMDB72X72X05</t>
  </si>
  <si>
    <t>Peps Hypnos Furno Soft Top Dark Blue 72X72X05</t>
  </si>
  <si>
    <t>HYPFURFMDB75X30X05</t>
  </si>
  <si>
    <t>Peps Hypnos Furno Soft Top Dark Blue 75X30X05</t>
  </si>
  <si>
    <t>HYPFURFMDB75X36X05</t>
  </si>
  <si>
    <t>Peps Hypnos Furno Soft Top Dark Blue 75X36X05</t>
  </si>
  <si>
    <t>HYPFURFMDB75X42X05</t>
  </si>
  <si>
    <t>Peps Hypnos Furno Soft Top Dark Blue 75X42X05</t>
  </si>
  <si>
    <t>HYPFURFMDB75X48X05</t>
  </si>
  <si>
    <t>Peps Hypnos Furno Soft Top Dark Blue 75X48X05</t>
  </si>
  <si>
    <t>HYPFURFMDB75X60X05</t>
  </si>
  <si>
    <t>Peps Hypnos Furno Soft Top Dark Blue 75X60X05</t>
  </si>
  <si>
    <t>HYPFURFMDB75X66X05</t>
  </si>
  <si>
    <t>Peps Hypnos Furno Soft Top Dark Blue 75X66X05</t>
  </si>
  <si>
    <t>HYPFURFMDB75X72X05</t>
  </si>
  <si>
    <t>Peps Hypnos Furno Soft Top Dark Blue 75X72X05</t>
  </si>
  <si>
    <t>HYPFURFMDB78X30X05</t>
  </si>
  <si>
    <t>Peps Hypnos Furno Soft Top Dark Blue 78X30X05</t>
  </si>
  <si>
    <t>HYPFURFMDB78X36X05</t>
  </si>
  <si>
    <t>Peps Hypnos Furno Soft Top Dark Blue 78X36X05</t>
  </si>
  <si>
    <t>HYPFURFMDB78X42X05</t>
  </si>
  <si>
    <t>Peps Hypnos Furno Soft Top Dark Blue 78X42X05</t>
  </si>
  <si>
    <t>HYPFURFMDB78X48X05</t>
  </si>
  <si>
    <t>Peps Hypnos Furno Soft Top Dark Blue 78X48X05</t>
  </si>
  <si>
    <t>HYPFURFMDB78X60X05</t>
  </si>
  <si>
    <t>Peps Hypnos Furno Soft Top Dark Blue 78X60X05</t>
  </si>
  <si>
    <t>HYPFURFMDB78X66X05</t>
  </si>
  <si>
    <t>Peps Hypnos Furno Soft Top Dark Blue 78X66X05</t>
  </si>
  <si>
    <t>HYPFURFMDB78X72X05</t>
  </si>
  <si>
    <t>Peps Hypnos Furno Soft Top Dark Blue 78X72X05</t>
  </si>
  <si>
    <t>HYPFURFMDB80X30X05</t>
  </si>
  <si>
    <t>Peps Hypnos Furno Soft Top Dark Blue 80X30X05</t>
  </si>
  <si>
    <t>HYPFURFMDB80X36X05</t>
  </si>
  <si>
    <t>Peps Hypnos Furno Soft Top Dark Blue 80X36X05</t>
  </si>
  <si>
    <t>HYPFURFMDB80X42X05</t>
  </si>
  <si>
    <t>Peps Hypnos Furno Soft Top Dark Blue 80X42X05</t>
  </si>
  <si>
    <t>HYPFURFMDB80X48X05</t>
  </si>
  <si>
    <t>Peps Hypnos Furno Soft Top Dark Blue 80X48X05</t>
  </si>
  <si>
    <t>HYPFURFMDB80X60X05</t>
  </si>
  <si>
    <t>Peps Hypnos Furno Soft Top Dark Blue 80X60X05</t>
  </si>
  <si>
    <t>HYPFURFMDB80X66X05</t>
  </si>
  <si>
    <t>Peps Hypnos Furno Soft Top Dark Blue 80X66X05</t>
  </si>
  <si>
    <t>HYPFURFMDB80X72X05</t>
  </si>
  <si>
    <t>Peps Hypnos Furno Soft Top Dark Blue 80X72X05</t>
  </si>
  <si>
    <t>HYPFURFMDB84X30X05</t>
  </si>
  <si>
    <t>Peps Hypnos Furno Soft Top Dark Blue 84X30X05</t>
  </si>
  <si>
    <t>HYPFURFMDB84X36X05</t>
  </si>
  <si>
    <t>Peps Hypnos Furno Soft Top Dark Blue 84X36X05</t>
  </si>
  <si>
    <t>HYPFURFMDB84X42X05</t>
  </si>
  <si>
    <t>Peps Hypnos Furno Soft Top Dark Blue 84X42X05</t>
  </si>
  <si>
    <t>HYPFURFMDB84X48X05</t>
  </si>
  <si>
    <t>Peps Hypnos Furno Soft Top Dark Blue 84X48X05</t>
  </si>
  <si>
    <t>HYPFURFMDB84X60X05</t>
  </si>
  <si>
    <t>Peps Hypnos Furno Soft Top Dark Blue 84X60X05</t>
  </si>
  <si>
    <t>HYPFURFMDB84X66X05</t>
  </si>
  <si>
    <t>Peps Hypnos Furno Soft Top Dark Blue 84X66X05</t>
  </si>
  <si>
    <t>HYPFURFMDB84X72X05</t>
  </si>
  <si>
    <t>Peps Hypnos Furno Soft Top Dark Blue 84X72X05</t>
  </si>
  <si>
    <t>HYPFURFMBG72X30X05</t>
  </si>
  <si>
    <t>Peps Hypnos Furno Soft Top Beige 72X30X05</t>
  </si>
  <si>
    <t>HYPFURFMBG72X36X05</t>
  </si>
  <si>
    <t>Peps Hypnos Furno Soft Top Beige 72X36X05</t>
  </si>
  <si>
    <t>HYPFURFMBG72X42X05</t>
  </si>
  <si>
    <t>Peps Hypnos Furno Soft Top Beige 72X42X05</t>
  </si>
  <si>
    <t>HYPFURFMBG72X48X05</t>
  </si>
  <si>
    <t>Peps Hypnos Furno Soft Top Beige 72X48X05</t>
  </si>
  <si>
    <t>HYPFURFMBG72X60X05</t>
  </si>
  <si>
    <t>Peps Hypnos Furno Soft Top Beige 72X60X05</t>
  </si>
  <si>
    <t>HYPFURFMBG72X66X05</t>
  </si>
  <si>
    <t>Peps Hypnos Furno Soft Top Beige 72X66X05</t>
  </si>
  <si>
    <t>HYPFURFMBG72X72X05</t>
  </si>
  <si>
    <t>Peps Hypnos Furno Soft Top Beige 72X72X05</t>
  </si>
  <si>
    <t>HYPFURFMBG75X30X05</t>
  </si>
  <si>
    <t>Peps Hypnos Furno Soft Top Beige 75X30X05</t>
  </si>
  <si>
    <t>HYPFURFMBG75X36X05</t>
  </si>
  <si>
    <t>Peps Hypnos Furno Soft Top Beige 75X36X05</t>
  </si>
  <si>
    <t>HYPFURFMBG75X42X05</t>
  </si>
  <si>
    <t>Peps Hypnos Furno Soft Top Beige 75X42X05</t>
  </si>
  <si>
    <t>HYPFURFMBG75X48X05</t>
  </si>
  <si>
    <t>Peps Hypnos Furno Soft Top Beige 75X48X05</t>
  </si>
  <si>
    <t>HYPFURFMBG75X60X05</t>
  </si>
  <si>
    <t>Peps Hypnos Furno Soft Top Beige 75X60X05</t>
  </si>
  <si>
    <t>HYPFURFMBG75X66X05</t>
  </si>
  <si>
    <t>Peps Hypnos Furno Soft Top Beige 75X66X05</t>
  </si>
  <si>
    <t>HYPFURFMBG75X72X05</t>
  </si>
  <si>
    <t>Peps Hypnos Furno Soft Top Beige 75X72X05</t>
  </si>
  <si>
    <t>HYPFURFMBG78X30X05</t>
  </si>
  <si>
    <t>Peps Hypnos Furno Soft Top Beige 78X30X05</t>
  </si>
  <si>
    <t>HYPFURFMBG78X36X05</t>
  </si>
  <si>
    <t>Peps Hypnos Furno Soft Top Beige 78X36X05</t>
  </si>
  <si>
    <t>HYPFURFMBG78X42X05</t>
  </si>
  <si>
    <t>Peps Hypnos Furno Soft Top Beige 78X42X05</t>
  </si>
  <si>
    <t>HYPFURFMBG78X48X05</t>
  </si>
  <si>
    <t>Peps Hypnos Furno Soft Top Beige 78X48X05</t>
  </si>
  <si>
    <t>HYPFURFMBG78X60X05</t>
  </si>
  <si>
    <t>Peps Hypnos Furno Soft Top Beige 78X60X05</t>
  </si>
  <si>
    <t>HYPFURFMBG78X66X05</t>
  </si>
  <si>
    <t>Peps Hypnos Furno Soft Top Beige 78X66X05</t>
  </si>
  <si>
    <t>HYPFURFMBG78X72X05</t>
  </si>
  <si>
    <t>Peps Hypnos Furno Soft Top Beige 78X72X05</t>
  </si>
  <si>
    <t>HYPFURFMBG80X30X05</t>
  </si>
  <si>
    <t>Peps Hypnos Furno Soft Top Beige 80X30X05</t>
  </si>
  <si>
    <t>HYPFURFMBG80X36X05</t>
  </si>
  <si>
    <t>Peps Hypnos Furno Soft Top Beige 80X36X05</t>
  </si>
  <si>
    <t>HYPFURFMBG80X42X05</t>
  </si>
  <si>
    <t>Peps Hypnos Furno Soft Top Beige 80X42X05</t>
  </si>
  <si>
    <t>HYPFURFMBG80X48X05</t>
  </si>
  <si>
    <t>Peps Hypnos Furno Soft Top Beige 80X48X05</t>
  </si>
  <si>
    <t>HYPFURFMBG80X60X05</t>
  </si>
  <si>
    <t>Peps Hypnos Furno Soft Top Beige 80X60X05</t>
  </si>
  <si>
    <t>HYPFURFMBG80X66X05</t>
  </si>
  <si>
    <t>Peps Hypnos Furno Soft Top Beige 80X66X05</t>
  </si>
  <si>
    <t>HYPFURFMBG80X72X05</t>
  </si>
  <si>
    <t>Peps Hypnos Furno Soft Top Beige 80X72X05</t>
  </si>
  <si>
    <t>HYPFURFMBG84X30X05</t>
  </si>
  <si>
    <t>Peps Hypnos Furno Soft Top Beige 84X30X05</t>
  </si>
  <si>
    <t>HYPFURFMBG84X36X05</t>
  </si>
  <si>
    <t>Peps Hypnos Furno Soft Top Beige 84X36X05</t>
  </si>
  <si>
    <t>HYPFURFMBG84X42X05</t>
  </si>
  <si>
    <t>Peps Hypnos Furno Soft Top Beige 84X42X05</t>
  </si>
  <si>
    <t>HYPFURFMBG84X48X05</t>
  </si>
  <si>
    <t>Peps Hypnos Furno Soft Top Beige 84X48X05</t>
  </si>
  <si>
    <t>HYPFURFMBG84X60X05</t>
  </si>
  <si>
    <t>Peps Hypnos Furno Soft Top Beige 84X60X05</t>
  </si>
  <si>
    <t>HYPFURFMBG84X66X05</t>
  </si>
  <si>
    <t>Peps Hypnos Furno Soft Top Beige 84X66X05</t>
  </si>
  <si>
    <t>HYPFURFMBG84X72X05</t>
  </si>
  <si>
    <t>Peps Hypnos Furno Soft Top Beige 84X72X05</t>
  </si>
  <si>
    <t>HYPFURFMMR72X30X06</t>
  </si>
  <si>
    <t>Peps Hypnos Furno Soft Top Maroon 72X30X06</t>
  </si>
  <si>
    <t>FURNO-FOAM-BLOCK-72X30X06</t>
  </si>
  <si>
    <t>HYPFURFMMR72X36X06</t>
  </si>
  <si>
    <t>Peps Hypnos Furno Soft Top Maroon 72X36X06</t>
  </si>
  <si>
    <t>FURNO-FOAM-BLOCK-72X36X06</t>
  </si>
  <si>
    <t>HYPFURFMMR72X42X06</t>
  </si>
  <si>
    <t>Peps Hypnos Furno Soft Top Maroon 72X42X06</t>
  </si>
  <si>
    <t>FURNO-FOAM-BLOCK-72X42X06</t>
  </si>
  <si>
    <t>HYPFURFMMR72X48X06</t>
  </si>
  <si>
    <t>Peps Hypnos Furno Soft Top Maroon 72X48X06</t>
  </si>
  <si>
    <t>FURNO-FOAM-BLOCK-72X48X06</t>
  </si>
  <si>
    <t>HYPFURFMMR72X60X06</t>
  </si>
  <si>
    <t>Peps Hypnos Furno Soft Top Maroon 72X60X06</t>
  </si>
  <si>
    <t>FURNO-FOAM-BLOCK-72X60X06</t>
  </si>
  <si>
    <t>HYPFURFMMR72X66X06</t>
  </si>
  <si>
    <t>Peps Hypnos Furno Soft Top Maroon 72X66X06</t>
  </si>
  <si>
    <t>FURNO-FOAM-BLOCK-72X66X06</t>
  </si>
  <si>
    <t>HYPFURFMMR72X72X06</t>
  </si>
  <si>
    <t>Peps Hypnos Furno Soft Top Maroon 72X72X06</t>
  </si>
  <si>
    <t>FURNO-FOAM-BLOCK-72X72X06</t>
  </si>
  <si>
    <t>HYPFURFMMR75X30X06</t>
  </si>
  <si>
    <t>Peps Hypnos Furno Soft Top Maroon 75X30X06</t>
  </si>
  <si>
    <t>FURNO-FOAM-BLOCK-75X30X06</t>
  </si>
  <si>
    <t>HYPFURFMMR75X36X06</t>
  </si>
  <si>
    <t>Peps Hypnos Furno Soft Top Maroon 75X36X06</t>
  </si>
  <si>
    <t>FURNO-FOAM-BLOCK-75X36X06</t>
  </si>
  <si>
    <t>HYPFURFMMR75X42X06</t>
  </si>
  <si>
    <t>Peps Hypnos Furno Soft Top Maroon 75X42X06</t>
  </si>
  <si>
    <t>FURNO-FOAM-BLOCK-75X42X06</t>
  </si>
  <si>
    <t>HYPFURFMMR75X48X06</t>
  </si>
  <si>
    <t>Peps Hypnos Furno Soft Top Maroon 75X48X06</t>
  </si>
  <si>
    <t>FURNO-FOAM-BLOCK-75X48X06</t>
  </si>
  <si>
    <t>HYPFURFMMR75X60X06</t>
  </si>
  <si>
    <t>Peps Hypnos Furno Soft Top Maroon 75X60X06</t>
  </si>
  <si>
    <t>FURNO-FOAM-BLOCK-75X60X06</t>
  </si>
  <si>
    <t>HYPFURFMMR75X66X06</t>
  </si>
  <si>
    <t>Peps Hypnos Furno Soft Top Maroon 75X66X06</t>
  </si>
  <si>
    <t>FURNO-FOAM-BLOCK-75X66X06</t>
  </si>
  <si>
    <t>HYPFURFMMR75X72X06</t>
  </si>
  <si>
    <t>Peps Hypnos Furno Soft Top Maroon 75X72X06</t>
  </si>
  <si>
    <t>FURNO-FOAM-BLOCK-75X72X06</t>
  </si>
  <si>
    <t>HYPFURFMMR78X30X06</t>
  </si>
  <si>
    <t>Peps Hypnos Furno Soft Top Maroon 78X30X06</t>
  </si>
  <si>
    <t>FURNO-FOAM-BLOCK-78X30X06</t>
  </si>
  <si>
    <t>HYPFURFMMR78X36X06</t>
  </si>
  <si>
    <t>Peps Hypnos Furno Soft Top Maroon 78X36X06</t>
  </si>
  <si>
    <t>FURNO-FOAM-BLOCK-78X36X06</t>
  </si>
  <si>
    <t>HYPFURFMMR78X42X06</t>
  </si>
  <si>
    <t>Peps Hypnos Furno Soft Top Maroon 78X42X06</t>
  </si>
  <si>
    <t>FURNO-FOAM-BLOCK-78X42X06</t>
  </si>
  <si>
    <t>HYPFURFMMR78X48X06</t>
  </si>
  <si>
    <t>Peps Hypnos Furno Soft Top Maroon 78X48X06</t>
  </si>
  <si>
    <t>FURNO-FOAM-BLOCK-78X48X06</t>
  </si>
  <si>
    <t>HYPFURFMMR78X60X06</t>
  </si>
  <si>
    <t>Peps Hypnos Furno Soft Top Maroon 78X60X06</t>
  </si>
  <si>
    <t>FURNO-FOAM-BLOCK-78X60X06</t>
  </si>
  <si>
    <t>HYPFURFMMR78X66X06</t>
  </si>
  <si>
    <t>Peps Hypnos Furno Soft Top Maroon 78X66X06</t>
  </si>
  <si>
    <t>FURNO-FOAM-BLOCK-78X66X06</t>
  </si>
  <si>
    <t>HYPFURFMMR78X72X06</t>
  </si>
  <si>
    <t>Peps Hypnos Furno Soft Top Maroon 78X72X06</t>
  </si>
  <si>
    <t>FURNO-FOAM-BLOCK-78X72X06</t>
  </si>
  <si>
    <t>HYPFURFMMR80X30X06</t>
  </si>
  <si>
    <t>Peps Hypnos Furno Soft Top Maroon 80X30X06</t>
  </si>
  <si>
    <t>FURNO-FOAM-BLOCK-80X30X06</t>
  </si>
  <si>
    <t>HYPFURFMMR80X36X06</t>
  </si>
  <si>
    <t>Peps Hypnos Furno Soft Top Maroon 80X36X06</t>
  </si>
  <si>
    <t>FURNO-FOAM-BLOCK-80X36X06</t>
  </si>
  <si>
    <t>HYPFURFMMR80X42X06</t>
  </si>
  <si>
    <t>Peps Hypnos Furno Soft Top Maroon 80X42X06</t>
  </si>
  <si>
    <t>FURNO-FOAM-BLOCK-80X42X06</t>
  </si>
  <si>
    <t>HYPFURFMMR80X48X06</t>
  </si>
  <si>
    <t>Peps Hypnos Furno Soft Top Maroon 80X48X06</t>
  </si>
  <si>
    <t>FURNO-FOAM-BLOCK-80X48X06</t>
  </si>
  <si>
    <t>HYPFURFMMR80X60X06</t>
  </si>
  <si>
    <t>Peps Hypnos Furno Soft Top Maroon 80X60X06</t>
  </si>
  <si>
    <t>FURNO-FOAM-BLOCK-80X60X06</t>
  </si>
  <si>
    <t>HYPFURFMMR80X66X06</t>
  </si>
  <si>
    <t>Peps Hypnos Furno Soft Top Maroon 80X66X06</t>
  </si>
  <si>
    <t>FURNO-FOAM-BLOCK-80X66X06</t>
  </si>
  <si>
    <t>HYPFURFMMR80X72X06</t>
  </si>
  <si>
    <t>Peps Hypnos Furno Soft Top Maroon 80X72X06</t>
  </si>
  <si>
    <t>FURNO-FOAM-BLOCK-80X72X06</t>
  </si>
  <si>
    <t>HYPFURFMMR84X30X06</t>
  </si>
  <si>
    <t>Peps Hypnos Furno Soft Top Maroon 84X30X06</t>
  </si>
  <si>
    <t>FURNO-FOAM-BLOCK-84X30X06</t>
  </si>
  <si>
    <t>HYPFURFMMR84X36X06</t>
  </si>
  <si>
    <t>Peps Hypnos Furno Soft Top Maroon 84X36X06</t>
  </si>
  <si>
    <t>FURNO-FOAM-BLOCK-84X36X06</t>
  </si>
  <si>
    <t>HYPFURFMMR84X42X06</t>
  </si>
  <si>
    <t>Peps Hypnos Furno Soft Top Maroon 84X42X06</t>
  </si>
  <si>
    <t>FURNO-FOAM-BLOCK-84X42X06</t>
  </si>
  <si>
    <t>HYPFURFMMR84X48X06</t>
  </si>
  <si>
    <t>Peps Hypnos Furno Soft Top Maroon 84X48X06</t>
  </si>
  <si>
    <t>FURNO-FOAM-BLOCK-84X48X06</t>
  </si>
  <si>
    <t>HYPFURFMMR84X60X06</t>
  </si>
  <si>
    <t>Peps Hypnos Furno Soft Top Maroon 84X60X06</t>
  </si>
  <si>
    <t>FURNO-FOAM-BLOCK-84X60X06</t>
  </si>
  <si>
    <t>HYPFURFMMR84X66X06</t>
  </si>
  <si>
    <t>Peps Hypnos Furno Soft Top Maroon 84X66X06</t>
  </si>
  <si>
    <t>FURNO-FOAM-BLOCK-84X66X06</t>
  </si>
  <si>
    <t>HYPFURFMMR84X72X06</t>
  </si>
  <si>
    <t>Peps Hypnos Furno Soft Top Maroon 84X72X06</t>
  </si>
  <si>
    <t>FURNO-FOAM-BLOCK-84X72X06</t>
  </si>
  <si>
    <t>HYPFURFMDB72X30X06</t>
  </si>
  <si>
    <t>Peps Hypnos Furno Soft Top Dark Blue 72X30X06</t>
  </si>
  <si>
    <t>HYPFURFMDB72X36X06</t>
  </si>
  <si>
    <t>Peps Hypnos Furno Soft Top Dark Blue 72X36X06</t>
  </si>
  <si>
    <t>HYPFURFMDB72X42X06</t>
  </si>
  <si>
    <t>Peps Hypnos Furno Soft Top Dark Blue 72X42X06</t>
  </si>
  <si>
    <t>HYPFURFMDB72X48X06</t>
  </si>
  <si>
    <t>Peps Hypnos Furno Soft Top Dark Blue 72X48X06</t>
  </si>
  <si>
    <t>HYPFURFMDB72X60X06</t>
  </si>
  <si>
    <t>Peps Hypnos Furno Soft Top Dark Blue 72X60X06</t>
  </si>
  <si>
    <t>HYPFURFMDB72X66X06</t>
  </si>
  <si>
    <t>Peps Hypnos Furno Soft Top Dark Blue 72X66X06</t>
  </si>
  <si>
    <t>HYPFURFMDB72X72X06</t>
  </si>
  <si>
    <t>Peps Hypnos Furno Soft Top Dark Blue 72X72X06</t>
  </si>
  <si>
    <t>HYPFURFMDB75X30X06</t>
  </si>
  <si>
    <t>Peps Hypnos Furno Soft Top Dark Blue 75X30X06</t>
  </si>
  <si>
    <t>HYPFURFMDB75X36X06</t>
  </si>
  <si>
    <t>Peps Hypnos Furno Soft Top Dark Blue 75X36X06</t>
  </si>
  <si>
    <t>HYPFURFMDB75X42X06</t>
  </si>
  <si>
    <t>Peps Hypnos Furno Soft Top Dark Blue 75X42X06</t>
  </si>
  <si>
    <t>HYPFURFMDB75X48X06</t>
  </si>
  <si>
    <t>Peps Hypnos Furno Soft Top Dark Blue 75X48X06</t>
  </si>
  <si>
    <t>HYPFURFMDB75X60X06</t>
  </si>
  <si>
    <t>Peps Hypnos Furno Soft Top Dark Blue 75X60X06</t>
  </si>
  <si>
    <t>HYPFURFMDB75X66X06</t>
  </si>
  <si>
    <t>Peps Hypnos Furno Soft Top Dark Blue 75X66X06</t>
  </si>
  <si>
    <t>HYPFURFMDB75X72X06</t>
  </si>
  <si>
    <t>Peps Hypnos Furno Soft Top Dark Blue 75X72X06</t>
  </si>
  <si>
    <t>HYPFURFMDB78X30X06</t>
  </si>
  <si>
    <t>Peps Hypnos Furno Soft Top Dark Blue 78X30X06</t>
  </si>
  <si>
    <t>HYPFURFMDB78X36X06</t>
  </si>
  <si>
    <t>Peps Hypnos Furno Soft Top Dark Blue 78X36X06</t>
  </si>
  <si>
    <t>HYPFURFMDB78X42X06</t>
  </si>
  <si>
    <t>Peps Hypnos Furno Soft Top Dark Blue 78X42X06</t>
  </si>
  <si>
    <t>HYPFURFMDB78X48X06</t>
  </si>
  <si>
    <t>Peps Hypnos Furno Soft Top Dark Blue 78X48X06</t>
  </si>
  <si>
    <t>HYPFURFMDB78X60X06</t>
  </si>
  <si>
    <t>Peps Hypnos Furno Soft Top Dark Blue 78X60X06</t>
  </si>
  <si>
    <t>HYPFURFMDB78X66X06</t>
  </si>
  <si>
    <t>Peps Hypnos Furno Soft Top Dark Blue 78X66X06</t>
  </si>
  <si>
    <t>HYPFURFMDB78X72X06</t>
  </si>
  <si>
    <t>Peps Hypnos Furno Soft Top Dark Blue 78X72X06</t>
  </si>
  <si>
    <t>HYPFURFMDB80X30X06</t>
  </si>
  <si>
    <t>Peps Hypnos Furno Soft Top Dark Blue 80X30X06</t>
  </si>
  <si>
    <t>HYPFURFMDB80X36X06</t>
  </si>
  <si>
    <t>Peps Hypnos Furno Soft Top Dark Blue 80X36X06</t>
  </si>
  <si>
    <t>HYPFURFMDB80X42X06</t>
  </si>
  <si>
    <t>Peps Hypnos Furno Soft Top Dark Blue 80X42X06</t>
  </si>
  <si>
    <t>HYPFURFMDB80X48X06</t>
  </si>
  <si>
    <t>Peps Hypnos Furno Soft Top Dark Blue 80X48X06</t>
  </si>
  <si>
    <t>HYPFURFMDB80X60X06</t>
  </si>
  <si>
    <t>Peps Hypnos Furno Soft Top Dark Blue 80X60X06</t>
  </si>
  <si>
    <t>HYPFURFMDB80X66X06</t>
  </si>
  <si>
    <t>Peps Hypnos Furno Soft Top Dark Blue 80X66X06</t>
  </si>
  <si>
    <t>HYPFURFMDB80X72X06</t>
  </si>
  <si>
    <t>Peps Hypnos Furno Soft Top Dark Blue 80X72X06</t>
  </si>
  <si>
    <t>HYPFURFMDB84X30X06</t>
  </si>
  <si>
    <t>Peps Hypnos Furno Soft Top Dark Blue 84X30X06</t>
  </si>
  <si>
    <t>HYPFURFMDB84X36X06</t>
  </si>
  <si>
    <t>Peps Hypnos Furno Soft Top Dark Blue 84X36X06</t>
  </si>
  <si>
    <t>HYPFURFMDB84X42X06</t>
  </si>
  <si>
    <t>Peps Hypnos Furno Soft Top Dark Blue 84X42X06</t>
  </si>
  <si>
    <t>HYPFURFMDB84X48X06</t>
  </si>
  <si>
    <t>Peps Hypnos Furno Soft Top Dark Blue 84X48X06</t>
  </si>
  <si>
    <t>HYPFURFMDB84X60X06</t>
  </si>
  <si>
    <t>Peps Hypnos Furno Soft Top Dark Blue 84X60X06</t>
  </si>
  <si>
    <t>HYPFURFMDB84X66X06</t>
  </si>
  <si>
    <t>Peps Hypnos Furno Soft Top Dark Blue 84X66X06</t>
  </si>
  <si>
    <t>HYPFURFMDB84X72X06</t>
  </si>
  <si>
    <t>Peps Hypnos Furno Soft Top Dark Blue 84X72X06</t>
  </si>
  <si>
    <t>HYPFURFMBG72X30X06</t>
  </si>
  <si>
    <t>Peps Hypnos Furno Soft Top Beige 72X30X06</t>
  </si>
  <si>
    <t>HYPFURFMBG72X36X06</t>
  </si>
  <si>
    <t>Peps Hypnos Furno Soft Top Beige 72X36X06</t>
  </si>
  <si>
    <t>HYPFURFMBG72X42X06</t>
  </si>
  <si>
    <t>Peps Hypnos Furno Soft Top Beige 72X42X06</t>
  </si>
  <si>
    <t>HYPFURFMBG72X48X06</t>
  </si>
  <si>
    <t>Peps Hypnos Furno Soft Top Beige 72X48X06</t>
  </si>
  <si>
    <t>HYPFURFMBG72X60X06</t>
  </si>
  <si>
    <t>Peps Hypnos Furno Soft Top Beige 72X60X06</t>
  </si>
  <si>
    <t>HYPFURFMBG72X66X06</t>
  </si>
  <si>
    <t>Peps Hypnos Furno Soft Top Beige 72X66X06</t>
  </si>
  <si>
    <t>HYPFURFMBG72X72X06</t>
  </si>
  <si>
    <t>Peps Hypnos Furno Soft Top Beige 72X72X06</t>
  </si>
  <si>
    <t>HYPFURFMBG75X30X06</t>
  </si>
  <si>
    <t>Peps Hypnos Furno Soft Top Beige 75X30X06</t>
  </si>
  <si>
    <t>HYPFURFMBG75X36X06</t>
  </si>
  <si>
    <t>Peps Hypnos Furno Soft Top Beige 75X36X06</t>
  </si>
  <si>
    <t>HYPFURFMBG75X42X06</t>
  </si>
  <si>
    <t>Peps Hypnos Furno Soft Top Beige 75X42X06</t>
  </si>
  <si>
    <t>HYPFURFMBG75X48X06</t>
  </si>
  <si>
    <t>Peps Hypnos Furno Soft Top Beige 75X48X06</t>
  </si>
  <si>
    <t>HYPFURFMBG75X60X06</t>
  </si>
  <si>
    <t>Peps Hypnos Furno Soft Top Beige 75X60X06</t>
  </si>
  <si>
    <t>HYPFURFMBG75X66X06</t>
  </si>
  <si>
    <t>Peps Hypnos Furno Soft Top Beige 75X66X06</t>
  </si>
  <si>
    <t>HYPFURFMBG75X72X06</t>
  </si>
  <si>
    <t>Peps Hypnos Furno Soft Top Beige 75X72X06</t>
  </si>
  <si>
    <t>HYPFURFMBG78X30X06</t>
  </si>
  <si>
    <t>Peps Hypnos Furno Soft Top Beige 78X30X06</t>
  </si>
  <si>
    <t>HYPFURFMBG78X36X06</t>
  </si>
  <si>
    <t>Peps Hypnos Furno Soft Top Beige 78X36X06</t>
  </si>
  <si>
    <t>HYPFURFMBG78X42X06</t>
  </si>
  <si>
    <t>Peps Hypnos Furno Soft Top Beige 78X42X06</t>
  </si>
  <si>
    <t>HYPFURFMBG78X48X06</t>
  </si>
  <si>
    <t>Peps Hypnos Furno Soft Top Beige 78X48X06</t>
  </si>
  <si>
    <t>HYPFURFMBG78X60X06</t>
  </si>
  <si>
    <t>Peps Hypnos Furno Soft Top Beige 78X60X06</t>
  </si>
  <si>
    <t>HYPFURFMBG78X66X06</t>
  </si>
  <si>
    <t>Peps Hypnos Furno Soft Top Beige 78X66X06</t>
  </si>
  <si>
    <t>HYPFURFMBG78X72X06</t>
  </si>
  <si>
    <t>Peps Hypnos Furno Soft Top Beige 78X72X06</t>
  </si>
  <si>
    <t>HYPFURFMBG80X30X06</t>
  </si>
  <si>
    <t>Peps Hypnos Furno Soft Top Beige 80X30X06</t>
  </si>
  <si>
    <t>HYPFURFMBG80X36X06</t>
  </si>
  <si>
    <t>Peps Hypnos Furno Soft Top Beige 80X36X06</t>
  </si>
  <si>
    <t>HYPFURFMBG80X42X06</t>
  </si>
  <si>
    <t>Peps Hypnos Furno Soft Top Beige 80X42X06</t>
  </si>
  <si>
    <t>HYPFURFMBG80X48X06</t>
  </si>
  <si>
    <t>Peps Hypnos Furno Soft Top Beige 80X48X06</t>
  </si>
  <si>
    <t>HYPFURFMBG80X60X06</t>
  </si>
  <si>
    <t>Peps Hypnos Furno Soft Top Beige 80X60X06</t>
  </si>
  <si>
    <t>HYPFURFMBG80X66X06</t>
  </si>
  <si>
    <t>Peps Hypnos Furno Soft Top Beige 80X66X06</t>
  </si>
  <si>
    <t>HYPFURFMBG80X72X06</t>
  </si>
  <si>
    <t>Peps Hypnos Furno Soft Top Beige 80X72X06</t>
  </si>
  <si>
    <t>HYPFURFMBG84X30X06</t>
  </si>
  <si>
    <t>Peps Hypnos Furno Soft Top Beige 84X30X06</t>
  </si>
  <si>
    <t>HYPFURFMBG84X36X06</t>
  </si>
  <si>
    <t>Peps Hypnos Furno Soft Top Beige 84X36X06</t>
  </si>
  <si>
    <t>HYPFURFMBG84X42X06</t>
  </si>
  <si>
    <t>Peps Hypnos Furno Soft Top Beige 84X42X06</t>
  </si>
  <si>
    <t>HYPFURFMBG84X48X06</t>
  </si>
  <si>
    <t>Peps Hypnos Furno Soft Top Beige 84X48X06</t>
  </si>
  <si>
    <t>HYPFURFMBG84X60X06</t>
  </si>
  <si>
    <t>Peps Hypnos Furno Soft Top Beige 84X60X06</t>
  </si>
  <si>
    <t>HYPFURFMBG84X66X06</t>
  </si>
  <si>
    <t>Peps Hypnos Furno Soft Top Beige 84X66X06</t>
  </si>
  <si>
    <t>HYPFURFMBG84X72X06</t>
  </si>
  <si>
    <t>Peps Hypnos Furno Soft Top Beige 84X72X06</t>
  </si>
  <si>
    <t>HYPMIRFMMR72X30X04</t>
  </si>
  <si>
    <t>Peps Hypnos Mirage Soft Top Maroon 72X30X04</t>
  </si>
  <si>
    <t>MIRAGE-FOAM-BLOCK-72X30X04</t>
  </si>
  <si>
    <t>HYPMIRFMMR72X36X04</t>
  </si>
  <si>
    <t>Peps Hypnos Mirage Soft Top Maroon 72X36X04</t>
  </si>
  <si>
    <t>MIRAGE-FOAM-BLOCK-72X36X04</t>
  </si>
  <si>
    <t>HYPMIRFMMR72X42X04</t>
  </si>
  <si>
    <t>Peps Hypnos Mirage Soft Top Maroon 72X42X04</t>
  </si>
  <si>
    <t>MIRAGE-FOAM-BLOCK-72X42X04</t>
  </si>
  <si>
    <t>HYPMIRFMMR72X48X04</t>
  </si>
  <si>
    <t>Peps Hypnos Mirage Soft Top Maroon 72X48X04</t>
  </si>
  <si>
    <t>MIRAGE-FOAM-BLOCK-72X48X04</t>
  </si>
  <si>
    <t>HYPMIRFMMR72X60X04</t>
  </si>
  <si>
    <t>Peps Hypnos Mirage Soft Top Maroon 72X60X04</t>
  </si>
  <si>
    <t>MIRAGE-FOAM-BLOCK-72X60X04</t>
  </si>
  <si>
    <t>HYPMIRFMMR72X66X04</t>
  </si>
  <si>
    <t>Peps Hypnos Mirage Soft Top Maroon 72X66X04</t>
  </si>
  <si>
    <t>MIRAGE-FOAM-BLOCK-72X66X04</t>
  </si>
  <si>
    <t>HYPMIRFMMR72X72X04</t>
  </si>
  <si>
    <t>Peps Hypnos Mirage Soft Top Maroon 72X72X04</t>
  </si>
  <si>
    <t>MIRAGE-FOAM-BLOCK-72X72X04</t>
  </si>
  <si>
    <t>HYPMIRFMMR75X30X04</t>
  </si>
  <si>
    <t>Peps Hypnos Mirage Soft Top Maroon 75X30X04</t>
  </si>
  <si>
    <t>MIRAGE-FOAM-BLOCK-75X30X04</t>
  </si>
  <si>
    <t>HYPMIRFMMR75X36X04</t>
  </si>
  <si>
    <t>Peps Hypnos Mirage Soft Top Maroon 75X36X04</t>
  </si>
  <si>
    <t>MIRAGE-FOAM-BLOCK-75X36X04</t>
  </si>
  <si>
    <t>HYPMIRFMMR75X42X04</t>
  </si>
  <si>
    <t>Peps Hypnos Mirage Soft Top Maroon 75X42X04</t>
  </si>
  <si>
    <t>MIRAGE-FOAM-BLOCK-75X42X04</t>
  </si>
  <si>
    <t>HYPMIRFMMR75X48X04</t>
  </si>
  <si>
    <t>Peps Hypnos Mirage Soft Top Maroon 75X48X04</t>
  </si>
  <si>
    <t>MIRAGE-FOAM-BLOCK-75X48X04</t>
  </si>
  <si>
    <t>HYPMIRFMMR75X60X04</t>
  </si>
  <si>
    <t>Peps Hypnos Mirage Soft Top Maroon 75X60X04</t>
  </si>
  <si>
    <t>MIRAGE-FOAM-BLOCK-75X60X04</t>
  </si>
  <si>
    <t>HYPMIRFMMR75X66X04</t>
  </si>
  <si>
    <t>Peps Hypnos Mirage Soft Top Maroon 75X66X04</t>
  </si>
  <si>
    <t>MIRAGE-FOAM-BLOCK-75X66X04</t>
  </si>
  <si>
    <t>HYPMIRFMMR75X72X04</t>
  </si>
  <si>
    <t>Peps Hypnos Mirage Soft Top Maroon 75X72X04</t>
  </si>
  <si>
    <t>MIRAGE-FOAM-BLOCK-75X72X04</t>
  </si>
  <si>
    <t>HYPMIRFMMR78X30X04</t>
  </si>
  <si>
    <t>Peps Hypnos Mirage Soft Top Maroon 78X30X04</t>
  </si>
  <si>
    <t>MIRAGE-FOAM-BLOCK-78X30X04</t>
  </si>
  <si>
    <t>HYPMIRFMMR78X36X04</t>
  </si>
  <si>
    <t>Peps Hypnos Mirage Soft Top Maroon 78X36X04</t>
  </si>
  <si>
    <t>MIRAGE-FOAM-BLOCK-78X36X04</t>
  </si>
  <si>
    <t>HYPMIRFMMR78X42X04</t>
  </si>
  <si>
    <t>Peps Hypnos Mirage Soft Top Maroon 78X42X04</t>
  </si>
  <si>
    <t>MIRAGE-FOAM-BLOCK-78X42X04</t>
  </si>
  <si>
    <t>HYPMIRFMMR78X48X04</t>
  </si>
  <si>
    <t>Peps Hypnos Mirage Soft Top Maroon 78X48X04</t>
  </si>
  <si>
    <t>MIRAGE-FOAM-BLOCK-78X48X04</t>
  </si>
  <si>
    <t>HYPMIRFMMR78X60X04</t>
  </si>
  <si>
    <t>Peps Hypnos Mirage Soft Top Maroon 78X60X04</t>
  </si>
  <si>
    <t>MIRAGE-FOAM-BLOCK-78X60X04</t>
  </si>
  <si>
    <t>HYPMIRFMMR78X66X04</t>
  </si>
  <si>
    <t>Peps Hypnos Mirage Soft Top Maroon 78X66X04</t>
  </si>
  <si>
    <t>MIRAGE-FOAM-BLOCK-78X66X04</t>
  </si>
  <si>
    <t>HYPMIRFMMR78X72X04</t>
  </si>
  <si>
    <t>Peps Hypnos Mirage Soft Top Maroon 78X72X04</t>
  </si>
  <si>
    <t>MIRAGE-FOAM-BLOCK-78X72X04</t>
  </si>
  <si>
    <t>HYPMIRFMMR80X30X04</t>
  </si>
  <si>
    <t>Peps Hypnos Mirage Soft Top Maroon 80X30X04</t>
  </si>
  <si>
    <t>MIRAGE-FOAM-BLOCK-80X30X04</t>
  </si>
  <si>
    <t>HYPMIRFMMR80X36X04</t>
  </si>
  <si>
    <t>Peps Hypnos Mirage Soft Top Maroon 80X36X04</t>
  </si>
  <si>
    <t>MIRAGE-FOAM-BLOCK-80X36X04</t>
  </si>
  <si>
    <t>HYPMIRFMMR80X42X04</t>
  </si>
  <si>
    <t>Peps Hypnos Mirage Soft Top Maroon 80X42X04</t>
  </si>
  <si>
    <t>MIRAGE-FOAM-BLOCK-80X42X04</t>
  </si>
  <si>
    <t>HYPMIRFMMR80X48X04</t>
  </si>
  <si>
    <t>Peps Hypnos Mirage Soft Top Maroon 80X48X04</t>
  </si>
  <si>
    <t>MIRAGE-FOAM-BLOCK-80X48X04</t>
  </si>
  <si>
    <t>HYPMIRFMMR80X60X04</t>
  </si>
  <si>
    <t>Peps Hypnos Mirage Soft Top Maroon 80X60X04</t>
  </si>
  <si>
    <t>MIRAGE-FOAM-BLOCK-80X60X04</t>
  </si>
  <si>
    <t>HYPMIRFMMR80X66X04</t>
  </si>
  <si>
    <t>Peps Hypnos Mirage Soft Top Maroon 80X66X04</t>
  </si>
  <si>
    <t>MIRAGE-FOAM-BLOCK-80X66X04</t>
  </si>
  <si>
    <t>HYPMIRFMMR80X72X04</t>
  </si>
  <si>
    <t>Peps Hypnos Mirage Soft Top Maroon 80X72X04</t>
  </si>
  <si>
    <t>MIRAGE-FOAM-BLOCK-80X72X04</t>
  </si>
  <si>
    <t>HYPMIRFMMR84X30X04</t>
  </si>
  <si>
    <t>Peps Hypnos Mirage Soft Top Maroon 84X30X04</t>
  </si>
  <si>
    <t>MIRAGE-FOAM-BLOCK-84X30X04</t>
  </si>
  <si>
    <t>HYPMIRFMMR84X36X04</t>
  </si>
  <si>
    <t>Peps Hypnos Mirage Soft Top Maroon 84X36X04</t>
  </si>
  <si>
    <t>MIRAGE-FOAM-BLOCK-84X36X04</t>
  </si>
  <si>
    <t>HYPMIRFMMR84X42X04</t>
  </si>
  <si>
    <t>Peps Hypnos Mirage Soft Top Maroon 84X42X04</t>
  </si>
  <si>
    <t>MIRAGE-FOAM-BLOCK-84X42X04</t>
  </si>
  <si>
    <t>HYPMIRFMMR84X48X04</t>
  </si>
  <si>
    <t>Peps Hypnos Mirage Soft Top Maroon 84X48X04</t>
  </si>
  <si>
    <t>MIRAGE-FOAM-BLOCK-84X48X04</t>
  </si>
  <si>
    <t>HYPMIRFMMR84X60X04</t>
  </si>
  <si>
    <t>Peps Hypnos Mirage Soft Top Maroon 84X60X04</t>
  </si>
  <si>
    <t>MIRAGE-FOAM-BLOCK-84X60X04</t>
  </si>
  <si>
    <t>HYPMIRFMMR84X66X04</t>
  </si>
  <si>
    <t>Peps Hypnos Mirage Soft Top Maroon 84X66X04</t>
  </si>
  <si>
    <t>MIRAGE-FOAM-BLOCK-84X66X04</t>
  </si>
  <si>
    <t>HYPMIRFMMR84X72X04</t>
  </si>
  <si>
    <t>Peps Hypnos Mirage Soft Top Maroon 84X72X04</t>
  </si>
  <si>
    <t>MIRAGE-FOAM-BLOCK-84X72X04</t>
  </si>
  <si>
    <t>HYPMIRFMDB72X30X04</t>
  </si>
  <si>
    <t>Peps Hypnos Mirage Soft Top Dark Blue 72X30X04</t>
  </si>
  <si>
    <t>HYPMIRFMDB72X36X04</t>
  </si>
  <si>
    <t>Peps Hypnos Mirage Soft Top Dark Blue 72X36X04</t>
  </si>
  <si>
    <t>HYPMIRFMDB72X42X04</t>
  </si>
  <si>
    <t>Peps Hypnos Mirage Soft Top Dark Blue 72X42X04</t>
  </si>
  <si>
    <t>HYPMIRFMDB72X48X04</t>
  </si>
  <si>
    <t>Peps Hypnos Mirage Soft Top Dark Blue 72X48X04</t>
  </si>
  <si>
    <t>HYPMIRFMDB72X60X04</t>
  </si>
  <si>
    <t>Peps Hypnos Mirage Soft Top Dark Blue 72X60X04</t>
  </si>
  <si>
    <t>HYPMIRFMDB72X66X04</t>
  </si>
  <si>
    <t>Peps Hypnos Mirage Soft Top Dark Blue 72X66X04</t>
  </si>
  <si>
    <t>HYPMIRFMDB72X72X04</t>
  </si>
  <si>
    <t>Peps Hypnos Mirage Soft Top Dark Blue 72X72X04</t>
  </si>
  <si>
    <t>HYPMIRFMDB75X30X04</t>
  </si>
  <si>
    <t>Peps Hypnos Mirage Soft Top Dark Blue 75X30X04</t>
  </si>
  <si>
    <t>HYPMIRFMDB75X36X04</t>
  </si>
  <si>
    <t>Peps Hypnos Mirage Soft Top Dark Blue 75X36X04</t>
  </si>
  <si>
    <t>HYPMIRFMDB75X42X04</t>
  </si>
  <si>
    <t>Peps Hypnos Mirage Soft Top Dark Blue 75X42X04</t>
  </si>
  <si>
    <t>HYPMIRFMDB75X48X04</t>
  </si>
  <si>
    <t>Peps Hypnos Mirage Soft Top Dark Blue 75X48X04</t>
  </si>
  <si>
    <t>HYPMIRFMDB75X60X04</t>
  </si>
  <si>
    <t>Peps Hypnos Mirage Soft Top Dark Blue 75X60X04</t>
  </si>
  <si>
    <t>HYPMIRFMDB75X66X04</t>
  </si>
  <si>
    <t>Peps Hypnos Mirage Soft Top Dark Blue 75X66X04</t>
  </si>
  <si>
    <t>HYPMIRFMDB75X72X04</t>
  </si>
  <si>
    <t>Peps Hypnos Mirage Soft Top Dark Blue 75X72X04</t>
  </si>
  <si>
    <t>HYPMIRFMDB78X30X04</t>
  </si>
  <si>
    <t>Peps Hypnos Mirage Soft Top Dark Blue 78X30X04</t>
  </si>
  <si>
    <t>HYPMIRFMDB78X36X04</t>
  </si>
  <si>
    <t>Peps Hypnos Mirage Soft Top Dark Blue 78X36X04</t>
  </si>
  <si>
    <t>HYPMIRFMDB78X42X04</t>
  </si>
  <si>
    <t>Peps Hypnos Mirage Soft Top Dark Blue 78X42X04</t>
  </si>
  <si>
    <t>HYPMIRFMDB78X48X04</t>
  </si>
  <si>
    <t>Peps Hypnos Mirage Soft Top Dark Blue 78X48X04</t>
  </si>
  <si>
    <t>HYPMIRFMDB78X60X04</t>
  </si>
  <si>
    <t>Peps Hypnos Mirage Soft Top Dark Blue 78X60X04</t>
  </si>
  <si>
    <t>HYPMIRFMDB78X66X04</t>
  </si>
  <si>
    <t>Peps Hypnos Mirage Soft Top Dark Blue 78X66X04</t>
  </si>
  <si>
    <t>HYPMIRFMDB78X72X04</t>
  </si>
  <si>
    <t>Peps Hypnos Mirage Soft Top Dark Blue 78X72X04</t>
  </si>
  <si>
    <t>HYPMIRFMDB80X30X04</t>
  </si>
  <si>
    <t>Peps Hypnos Mirage Soft Top Dark Blue 80X30X04</t>
  </si>
  <si>
    <t>HYPMIRFMDB80X36X04</t>
  </si>
  <si>
    <t>Peps Hypnos Mirage Soft Top Dark Blue 80X36X04</t>
  </si>
  <si>
    <t>HYPMIRFMDB80X42X04</t>
  </si>
  <si>
    <t>Peps Hypnos Mirage Soft Top Dark Blue 80X42X04</t>
  </si>
  <si>
    <t>HYPMIRFMDB80X48X04</t>
  </si>
  <si>
    <t>Peps Hypnos Mirage Soft Top Dark Blue 80X48X04</t>
  </si>
  <si>
    <t>HYPMIRFMDB80X60X04</t>
  </si>
  <si>
    <t>Peps Hypnos Mirage Soft Top Dark Blue 80X60X04</t>
  </si>
  <si>
    <t>HYPMIRFMDB80X66X04</t>
  </si>
  <si>
    <t>Peps Hypnos Mirage Soft Top Dark Blue 80X66X04</t>
  </si>
  <si>
    <t>HYPMIRFMDB80X72X04</t>
  </si>
  <si>
    <t>Peps Hypnos Mirage Soft Top Dark Blue 80X72X04</t>
  </si>
  <si>
    <t>HYPMIRFMDB84X30X04</t>
  </si>
  <si>
    <t>Peps Hypnos Mirage Soft Top Dark Blue 84X30X04</t>
  </si>
  <si>
    <t>HYPMIRFMDB84X36X04</t>
  </si>
  <si>
    <t>Peps Hypnos Mirage Soft Top Dark Blue 84X36X04</t>
  </si>
  <si>
    <t>HYPMIRFMDB84X42X04</t>
  </si>
  <si>
    <t>Peps Hypnos Mirage Soft Top Dark Blue 84X42X04</t>
  </si>
  <si>
    <t>HYPMIRFMDB84X48X04</t>
  </si>
  <si>
    <t>Peps Hypnos Mirage Soft Top Dark Blue 84X48X04</t>
  </si>
  <si>
    <t>HYPMIRFMDB84X60X04</t>
  </si>
  <si>
    <t>Peps Hypnos Mirage Soft Top Dark Blue 84X60X04</t>
  </si>
  <si>
    <t>HYPMIRFMDB84X66X04</t>
  </si>
  <si>
    <t>Peps Hypnos Mirage Soft Top Dark Blue 84X66X04</t>
  </si>
  <si>
    <t>HYPMIRFMDB84X72X04</t>
  </si>
  <si>
    <t>Peps Hypnos Mirage Soft Top Dark Blue 84X72X04</t>
  </si>
  <si>
    <t>HYPMIRFMBG72X30X04</t>
  </si>
  <si>
    <t>Peps Hypnos Mirage Soft Top Beige 72X30X04</t>
  </si>
  <si>
    <t>HYPMIRFMBG72X36X04</t>
  </si>
  <si>
    <t>Peps Hypnos Mirage Soft Top Beige 72X36X04</t>
  </si>
  <si>
    <t>HYPMIRFMBG72X42X04</t>
  </si>
  <si>
    <t>Peps Hypnos Mirage Soft Top Beige 72X42X04</t>
  </si>
  <si>
    <t>HYPMIRFMBG72X48X04</t>
  </si>
  <si>
    <t>Peps Hypnos Mirage Soft Top Beige 72X48X04</t>
  </si>
  <si>
    <t>HYPMIRFMBG72X60X04</t>
  </si>
  <si>
    <t>Peps Hypnos Mirage Soft Top Beige 72X60X04</t>
  </si>
  <si>
    <t>HYPMIRFMBG72X66X04</t>
  </si>
  <si>
    <t>Peps Hypnos Mirage Soft Top Beige 72X66X04</t>
  </si>
  <si>
    <t>HYPMIRFMBG72X72X04</t>
  </si>
  <si>
    <t>Peps Hypnos Mirage Soft Top Beige 72X72X04</t>
  </si>
  <si>
    <t>HYPMIRFMBG75X30X04</t>
  </si>
  <si>
    <t>Peps Hypnos Mirage Soft Top Beige 75X30X04</t>
  </si>
  <si>
    <t>HYPMIRFMBG75X36X04</t>
  </si>
  <si>
    <t>Peps Hypnos Mirage Soft Top Beige 75X36X04</t>
  </si>
  <si>
    <t>HYPMIRFMBG75X42X04</t>
  </si>
  <si>
    <t>Peps Hypnos Mirage Soft Top Beige 75X42X04</t>
  </si>
  <si>
    <t>HYPMIRFMBG75X48X04</t>
  </si>
  <si>
    <t>Peps Hypnos Mirage Soft Top Beige 75X48X04</t>
  </si>
  <si>
    <t>HYPMIRFMBG75X60X04</t>
  </si>
  <si>
    <t>Peps Hypnos Mirage Soft Top Beige 75X60X04</t>
  </si>
  <si>
    <t>HYPMIRFMBG75X66X04</t>
  </si>
  <si>
    <t>Peps Hypnos Mirage Soft Top Beige 75X66X04</t>
  </si>
  <si>
    <t>HYPMIRFMBG75X72X04</t>
  </si>
  <si>
    <t>Peps Hypnos Mirage Soft Top Beige 75X72X04</t>
  </si>
  <si>
    <t>HYPMIRFMBG78X30X04</t>
  </si>
  <si>
    <t>Peps Hypnos Mirage Soft Top Beige 78X30X04</t>
  </si>
  <si>
    <t>HYPMIRFMBG78X36X04</t>
  </si>
  <si>
    <t>Peps Hypnos Mirage Soft Top Beige 78X36X04</t>
  </si>
  <si>
    <t>HYPMIRFMBG78X42X04</t>
  </si>
  <si>
    <t>Peps Hypnos Mirage Soft Top Beige 78X42X04</t>
  </si>
  <si>
    <t>HYPMIRFMBG78X48X04</t>
  </si>
  <si>
    <t>Peps Hypnos Mirage Soft Top Beige 78X48X04</t>
  </si>
  <si>
    <t>HYPMIRFMBG78X60X04</t>
  </si>
  <si>
    <t>Peps Hypnos Mirage Soft Top Beige 78X60X04</t>
  </si>
  <si>
    <t>HYPMIRFMBG78X66X04</t>
  </si>
  <si>
    <t>Peps Hypnos Mirage Soft Top Beige 78X66X04</t>
  </si>
  <si>
    <t>HYPMIRFMBG78X72X04</t>
  </si>
  <si>
    <t>Peps Hypnos Mirage Soft Top Beige 78X72X04</t>
  </si>
  <si>
    <t>HYPMIRFMBG80X30X04</t>
  </si>
  <si>
    <t>Peps Hypnos Mirage Soft Top Beige 80X30X04</t>
  </si>
  <si>
    <t>HYPMIRFMBG80X36X04</t>
  </si>
  <si>
    <t>Peps Hypnos Mirage Soft Top Beige 80X36X04</t>
  </si>
  <si>
    <t>HYPMIRFMBG80X42X04</t>
  </si>
  <si>
    <t>Peps Hypnos Mirage Soft Top Beige 80X42X04</t>
  </si>
  <si>
    <t>HYPMIRFMBG80X48X04</t>
  </si>
  <si>
    <t>Peps Hypnos Mirage Soft Top Beige 80X48X04</t>
  </si>
  <si>
    <t>HYPMIRFMBG80X60X04</t>
  </si>
  <si>
    <t>Peps Hypnos Mirage Soft Top Beige 80X60X04</t>
  </si>
  <si>
    <t>HYPMIRFMBG80X66X04</t>
  </si>
  <si>
    <t>Peps Hypnos Mirage Soft Top Beige 80X66X04</t>
  </si>
  <si>
    <t>HYPMIRFMBG80X72X04</t>
  </si>
  <si>
    <t>Peps Hypnos Mirage Soft Top Beige 80X72X04</t>
  </si>
  <si>
    <t>HYPMIRFMBG84X30X04</t>
  </si>
  <si>
    <t>Peps Hypnos Mirage Soft Top Beige 84X30X04</t>
  </si>
  <si>
    <t>HYPMIRFMBG84X36X04</t>
  </si>
  <si>
    <t>Peps Hypnos Mirage Soft Top Beige 84X36X04</t>
  </si>
  <si>
    <t>HYPMIRFMBG84X42X04</t>
  </si>
  <si>
    <t>Peps Hypnos Mirage Soft Top Beige 84X42X04</t>
  </si>
  <si>
    <t>HYPMIRFMBG84X48X04</t>
  </si>
  <si>
    <t>Peps Hypnos Mirage Soft Top Beige 84X48X04</t>
  </si>
  <si>
    <t>HYPMIRFMBG84X60X04</t>
  </si>
  <si>
    <t>Peps Hypnos Mirage Soft Top Beige 84X60X04</t>
  </si>
  <si>
    <t>HYPMIRFMBG84X66X04</t>
  </si>
  <si>
    <t>Peps Hypnos Mirage Soft Top Beige 84X66X04</t>
  </si>
  <si>
    <t>HYPMIRFMBG84X72X04</t>
  </si>
  <si>
    <t>Peps Hypnos Mirage Soft Top Beige 84X72X04</t>
  </si>
  <si>
    <t>HYPMIRFMMR72X30X05</t>
  </si>
  <si>
    <t>Peps Hypnos Mirage Soft Top Maroon 72X30X05</t>
  </si>
  <si>
    <t>MIRAGE-FOAM-BLOCK-72X30X05</t>
  </si>
  <si>
    <t>HYPMIRFMMR72X36X05</t>
  </si>
  <si>
    <t>Peps Hypnos Mirage Soft Top Maroon 72X36X05</t>
  </si>
  <si>
    <t>MIRAGE-FOAM-BLOCK-72X36X05</t>
  </si>
  <si>
    <t>HYPMIRFMMR72X42X05</t>
  </si>
  <si>
    <t>Peps Hypnos Mirage Soft Top Maroon 72X42X05</t>
  </si>
  <si>
    <t>MIRAGE-FOAM-BLOCK-72X42X05</t>
  </si>
  <si>
    <t>HYPMIRFMMR72X48X05</t>
  </si>
  <si>
    <t>Peps Hypnos Mirage Soft Top Maroon 72X48X05</t>
  </si>
  <si>
    <t>MIRAGE-FOAM-BLOCK-72X48X05</t>
  </si>
  <si>
    <t>HYPMIRFMMR72X60X05</t>
  </si>
  <si>
    <t>Peps Hypnos Mirage Soft Top Maroon 72X60X05</t>
  </si>
  <si>
    <t>MIRAGE-FOAM-BLOCK-72X60X05</t>
  </si>
  <si>
    <t>HYPMIRFMMR72X66X05</t>
  </si>
  <si>
    <t>Peps Hypnos Mirage Soft Top Maroon 72X66X05</t>
  </si>
  <si>
    <t>MIRAGE-FOAM-BLOCK-72X66X05</t>
  </si>
  <si>
    <t>HYPMIRFMMR72X72X05</t>
  </si>
  <si>
    <t>Peps Hypnos Mirage Soft Top Maroon 72X72X05</t>
  </si>
  <si>
    <t>MIRAGE-FOAM-BLOCK-72X72X05</t>
  </si>
  <si>
    <t>HYPMIRFMMR75X30X05</t>
  </si>
  <si>
    <t>Peps Hypnos Mirage Soft Top Maroon 75X30X05</t>
  </si>
  <si>
    <t>MIRAGE-FOAM-BLOCK-75X30X05</t>
  </si>
  <si>
    <t>HYPMIRFMMR75X36X05</t>
  </si>
  <si>
    <t>Peps Hypnos Mirage Soft Top Maroon 75X36X05</t>
  </si>
  <si>
    <t>MIRAGE-FOAM-BLOCK-75X36X05</t>
  </si>
  <si>
    <t>HYPMIRFMMR75X42X05</t>
  </si>
  <si>
    <t>Peps Hypnos Mirage Soft Top Maroon 75X42X05</t>
  </si>
  <si>
    <t>MIRAGE-FOAM-BLOCK-75X42X05</t>
  </si>
  <si>
    <t>HYPMIRFMMR75X48X05</t>
  </si>
  <si>
    <t>Peps Hypnos Mirage Soft Top Maroon 75X48X05</t>
  </si>
  <si>
    <t>MIRAGE-FOAM-BLOCK-75X48X05</t>
  </si>
  <si>
    <t>HYPMIRFMMR75X60X05</t>
  </si>
  <si>
    <t>Peps Hypnos Mirage Soft Top Maroon 75X60X05</t>
  </si>
  <si>
    <t>MIRAGE-FOAM-BLOCK-75X60X05</t>
  </si>
  <si>
    <t>HYPMIRFMMR75X66X05</t>
  </si>
  <si>
    <t>Peps Hypnos Mirage Soft Top Maroon 75X66X05</t>
  </si>
  <si>
    <t>MIRAGE-FOAM-BLOCK-75X66X05</t>
  </si>
  <si>
    <t>HYPMIRFMMR75X72X05</t>
  </si>
  <si>
    <t>Peps Hypnos Mirage Soft Top Maroon 75X72X05</t>
  </si>
  <si>
    <t>MIRAGE-FOAM-BLOCK-75X72X05</t>
  </si>
  <si>
    <t>HYPMIRFMMR78X30X05</t>
  </si>
  <si>
    <t>Peps Hypnos Mirage Soft Top Maroon 78X30X05</t>
  </si>
  <si>
    <t>MIRAGE-FOAM-BLOCK-78X30X05</t>
  </si>
  <si>
    <t>HYPMIRFMMR78X36X05</t>
  </si>
  <si>
    <t>Peps Hypnos Mirage Soft Top Maroon 78X36X05</t>
  </si>
  <si>
    <t>MIRAGE-FOAM-BLOCK-78X36X05</t>
  </si>
  <si>
    <t>HYPMIRFMMR78X42X05</t>
  </si>
  <si>
    <t>Peps Hypnos Mirage Soft Top Maroon 78X42X05</t>
  </si>
  <si>
    <t>MIRAGE-FOAM-BLOCK-78X42X05</t>
  </si>
  <si>
    <t>HYPMIRFMMR78X48X05</t>
  </si>
  <si>
    <t>Peps Hypnos Mirage Soft Top Maroon 78X48X05</t>
  </si>
  <si>
    <t>MIRAGE-FOAM-BLOCK-78X48X05</t>
  </si>
  <si>
    <t>HYPMIRFMMR78X60X05</t>
  </si>
  <si>
    <t>Peps Hypnos Mirage Soft Top Maroon 78X60X05</t>
  </si>
  <si>
    <t>MIRAGE-FOAM-BLOCK-78X60X05</t>
  </si>
  <si>
    <t>HYPMIRFMMR78X66X05</t>
  </si>
  <si>
    <t>Peps Hypnos Mirage Soft Top Maroon 78X66X05</t>
  </si>
  <si>
    <t>MIRAGE-FOAM-BLOCK-78X66X05</t>
  </si>
  <si>
    <t>HYPMIRFMMR78X72X05</t>
  </si>
  <si>
    <t>Peps Hypnos Mirage Soft Top Maroon 78X72X05</t>
  </si>
  <si>
    <t>MIRAGE-FOAM-BLOCK-78X72X05</t>
  </si>
  <si>
    <t>HYPMIRFMMR80X30X05</t>
  </si>
  <si>
    <t>Peps Hypnos Mirage Soft Top Maroon 80X30X05</t>
  </si>
  <si>
    <t>MIRAGE-FOAM-BLOCK-80X30X05</t>
  </si>
  <si>
    <t>HYPMIRFMMR80X36X05</t>
  </si>
  <si>
    <t>Peps Hypnos Mirage Soft Top Maroon 80X36X05</t>
  </si>
  <si>
    <t>MIRAGE-FOAM-BLOCK-80X36X05</t>
  </si>
  <si>
    <t>HYPMIRFMMR80X42X05</t>
  </si>
  <si>
    <t>Peps Hypnos Mirage Soft Top Maroon 80X42X05</t>
  </si>
  <si>
    <t>MIRAGE-FOAM-BLOCK-80X42X05</t>
  </si>
  <si>
    <t>HYPMIRFMMR80X48X05</t>
  </si>
  <si>
    <t>Peps Hypnos Mirage Soft Top Maroon 80X48X05</t>
  </si>
  <si>
    <t>MIRAGE-FOAM-BLOCK-80X48X05</t>
  </si>
  <si>
    <t>HYPMIRFMMR80X60X05</t>
  </si>
  <si>
    <t>Peps Hypnos Mirage Soft Top Maroon 80X60X05</t>
  </si>
  <si>
    <t>MIRAGE-FOAM-BLOCK-80X60X05</t>
  </si>
  <si>
    <t>HYPMIRFMMR80X66X05</t>
  </si>
  <si>
    <t>Peps Hypnos Mirage Soft Top Maroon 80X66X05</t>
  </si>
  <si>
    <t>MIRAGE-FOAM-BLOCK-80X66X05</t>
  </si>
  <si>
    <t>HYPMIRFMMR80X72X05</t>
  </si>
  <si>
    <t>Peps Hypnos Mirage Soft Top Maroon 80X72X05</t>
  </si>
  <si>
    <t>MIRAGE-FOAM-BLOCK-80X72X05</t>
  </si>
  <si>
    <t>HYPMIRFMMR84X30X05</t>
  </si>
  <si>
    <t>Peps Hypnos Mirage Soft Top Maroon 84X30X05</t>
  </si>
  <si>
    <t>MIRAGE-FOAM-BLOCK-84X30X05</t>
  </si>
  <si>
    <t>HYPMIRFMMR84X36X05</t>
  </si>
  <si>
    <t>Peps Hypnos Mirage Soft Top Maroon 84X36X05</t>
  </si>
  <si>
    <t>MIRAGE-FOAM-BLOCK-84X36X05</t>
  </si>
  <si>
    <t>HYPMIRFMMR84X42X05</t>
  </si>
  <si>
    <t>Peps Hypnos Mirage Soft Top Maroon 84X42X05</t>
  </si>
  <si>
    <t>MIRAGE-FOAM-BLOCK-84X42X05</t>
  </si>
  <si>
    <t>HYPMIRFMMR84X48X05</t>
  </si>
  <si>
    <t>Peps Hypnos Mirage Soft Top Maroon 84X48X05</t>
  </si>
  <si>
    <t>MIRAGE-FOAM-BLOCK-84X48X05</t>
  </si>
  <si>
    <t>HYPMIRFMMR84X60X05</t>
  </si>
  <si>
    <t>Peps Hypnos Mirage Soft Top Maroon 84X60X05</t>
  </si>
  <si>
    <t>MIRAGE-FOAM-BLOCK-84X60X05</t>
  </si>
  <si>
    <t>HYPMIRFMMR84X66X05</t>
  </si>
  <si>
    <t>Peps Hypnos Mirage Soft Top Maroon 84X66X05</t>
  </si>
  <si>
    <t>MIRAGE-FOAM-BLOCK-84X66X05</t>
  </si>
  <si>
    <t>HYPMIRFMMR84X72X05</t>
  </si>
  <si>
    <t>Peps Hypnos Mirage Soft Top Maroon 84X72X05</t>
  </si>
  <si>
    <t>MIRAGE-FOAM-BLOCK-84X72X05</t>
  </si>
  <si>
    <t>HYPMIRFMDB72X30X05</t>
  </si>
  <si>
    <t>Peps Hypnos Mirage Soft Top Dark Blue 72X30X05</t>
  </si>
  <si>
    <t>HYPMIRFMDB72X36X05</t>
  </si>
  <si>
    <t>Peps Hypnos Mirage Soft Top Dark Blue 72X36X05</t>
  </si>
  <si>
    <t>HYPMIRFMDB72X42X05</t>
  </si>
  <si>
    <t>Peps Hypnos Mirage Soft Top Dark Blue 72X42X05</t>
  </si>
  <si>
    <t>HYPMIRFMDB72X48X05</t>
  </si>
  <si>
    <t>Peps Hypnos Mirage Soft Top Dark Blue 72X48X05</t>
  </si>
  <si>
    <t>HYPMIRFMDB72X60X05</t>
  </si>
  <si>
    <t>Peps Hypnos Mirage Soft Top Dark Blue 72X60X05</t>
  </si>
  <si>
    <t>HYPMIRFMDB72X66X05</t>
  </si>
  <si>
    <t>Peps Hypnos Mirage Soft Top Dark Blue 72X66X05</t>
  </si>
  <si>
    <t>HYPMIRFMDB72X72X05</t>
  </si>
  <si>
    <t>Peps Hypnos Mirage Soft Top Dark Blue 72X72X05</t>
  </si>
  <si>
    <t>HYPMIRFMDB75X30X05</t>
  </si>
  <si>
    <t>Peps Hypnos Mirage Soft Top Dark Blue 75X30X05</t>
  </si>
  <si>
    <t>HYPMIRFMDB75X36X05</t>
  </si>
  <si>
    <t>Peps Hypnos Mirage Soft Top Dark Blue 75X36X05</t>
  </si>
  <si>
    <t>HYPMIRFMDB75X42X05</t>
  </si>
  <si>
    <t>Peps Hypnos Mirage Soft Top Dark Blue 75X42X05</t>
  </si>
  <si>
    <t>HYPMIRFMDB75X48X05</t>
  </si>
  <si>
    <t>Peps Hypnos Mirage Soft Top Dark Blue 75X48X05</t>
  </si>
  <si>
    <t>HYPMIRFMDB75X60X05</t>
  </si>
  <si>
    <t>Peps Hypnos Mirage Soft Top Dark Blue 75X60X05</t>
  </si>
  <si>
    <t>HYPMIRFMDB75X66X05</t>
  </si>
  <si>
    <t>Peps Hypnos Mirage Soft Top Dark Blue 75X66X05</t>
  </si>
  <si>
    <t>HYPMIRFMDB75X72X05</t>
  </si>
  <si>
    <t>Peps Hypnos Mirage Soft Top Dark Blue 75X72X05</t>
  </si>
  <si>
    <t>HYPMIRFMDB78X30X05</t>
  </si>
  <si>
    <t>Peps Hypnos Mirage Soft Top Dark Blue 78X30X05</t>
  </si>
  <si>
    <t>HYPMIRFMDB78X36X05</t>
  </si>
  <si>
    <t>Peps Hypnos Mirage Soft Top Dark Blue 78X36X05</t>
  </si>
  <si>
    <t>HYPMIRFMDB78X42X05</t>
  </si>
  <si>
    <t>Peps Hypnos Mirage Soft Top Dark Blue 78X42X05</t>
  </si>
  <si>
    <t>HYPMIRFMDB78X48X05</t>
  </si>
  <si>
    <t>Peps Hypnos Mirage Soft Top Dark Blue 78X48X05</t>
  </si>
  <si>
    <t>HYPMIRFMDB78X60X05</t>
  </si>
  <si>
    <t>Peps Hypnos Mirage Soft Top Dark Blue 78X60X05</t>
  </si>
  <si>
    <t>HYPMIRFMDB78X66X05</t>
  </si>
  <si>
    <t>Peps Hypnos Mirage Soft Top Dark Blue 78X66X05</t>
  </si>
  <si>
    <t>HYPMIRFMDB78X72X05</t>
  </si>
  <si>
    <t>Peps Hypnos Mirage Soft Top Dark Blue 78X72X05</t>
  </si>
  <si>
    <t>HYPMIRFMDB80X30X05</t>
  </si>
  <si>
    <t>Peps Hypnos Mirage Soft Top Dark Blue 80X30X05</t>
  </si>
  <si>
    <t>HYPMIRFMDB80X36X05</t>
  </si>
  <si>
    <t>Peps Hypnos Mirage Soft Top Dark Blue 80X36X05</t>
  </si>
  <si>
    <t>HYPMIRFMDB80X42X05</t>
  </si>
  <si>
    <t>Peps Hypnos Mirage Soft Top Dark Blue 80X42X05</t>
  </si>
  <si>
    <t>HYPMIRFMDB80X48X05</t>
  </si>
  <si>
    <t>Peps Hypnos Mirage Soft Top Dark Blue 80X48X05</t>
  </si>
  <si>
    <t>HYPMIRFMDB80X60X05</t>
  </si>
  <si>
    <t>Peps Hypnos Mirage Soft Top Dark Blue 80X60X05</t>
  </si>
  <si>
    <t>HYPMIRFMDB80X66X05</t>
  </si>
  <si>
    <t>Peps Hypnos Mirage Soft Top Dark Blue 80X66X05</t>
  </si>
  <si>
    <t>HYPMIRFMDB80X72X05</t>
  </si>
  <si>
    <t>Peps Hypnos Mirage Soft Top Dark Blue 80X72X05</t>
  </si>
  <si>
    <t>HYPMIRFMDB84X30X05</t>
  </si>
  <si>
    <t>Peps Hypnos Mirage Soft Top Dark Blue 84X30X05</t>
  </si>
  <si>
    <t>HYPMIRFMDB84X36X05</t>
  </si>
  <si>
    <t>Peps Hypnos Mirage Soft Top Dark Blue 84X36X05</t>
  </si>
  <si>
    <t>HYPMIRFMDB84X42X05</t>
  </si>
  <si>
    <t>Peps Hypnos Mirage Soft Top Dark Blue 84X42X05</t>
  </si>
  <si>
    <t>HYPMIRFMDB84X48X05</t>
  </si>
  <si>
    <t>Peps Hypnos Mirage Soft Top Dark Blue 84X48X05</t>
  </si>
  <si>
    <t>HYPMIRFMDB84X60X05</t>
  </si>
  <si>
    <t>Peps Hypnos Mirage Soft Top Dark Blue 84X60X05</t>
  </si>
  <si>
    <t>HYPMIRFMDB84X66X05</t>
  </si>
  <si>
    <t>Peps Hypnos Mirage Soft Top Dark Blue 84X66X05</t>
  </si>
  <si>
    <t>HYPMIRFMDB84X72X05</t>
  </si>
  <si>
    <t>Peps Hypnos Mirage Soft Top Dark Blue 84X72X05</t>
  </si>
  <si>
    <t>HYPMIRFMBG72X30X05</t>
  </si>
  <si>
    <t>Peps Hypnos Mirage Soft Top Beige 72X30X05</t>
  </si>
  <si>
    <t>HYPMIRFMBG72X36X05</t>
  </si>
  <si>
    <t>Peps Hypnos Mirage Soft Top Beige 72X36X05</t>
  </si>
  <si>
    <t>HYPMIRFMBG72X42X05</t>
  </si>
  <si>
    <t>Peps Hypnos Mirage Soft Top Beige 72X42X05</t>
  </si>
  <si>
    <t>HYPMIRFMBG72X48X05</t>
  </si>
  <si>
    <t>Peps Hypnos Mirage Soft Top Beige 72X48X05</t>
  </si>
  <si>
    <t>HYPMIRFMBG72X60X05</t>
  </si>
  <si>
    <t>Peps Hypnos Mirage Soft Top Beige 72X60X05</t>
  </si>
  <si>
    <t>HYPMIRFMBG72X66X05</t>
  </si>
  <si>
    <t>Peps Hypnos Mirage Soft Top Beige 72X66X05</t>
  </si>
  <si>
    <t>HYPMIRFMBG72X72X05</t>
  </si>
  <si>
    <t>Peps Hypnos Mirage Soft Top Beige 72X72X05</t>
  </si>
  <si>
    <t>HYPMIRFMBG75X30X05</t>
  </si>
  <si>
    <t>Peps Hypnos Mirage Soft Top Beige 75X30X05</t>
  </si>
  <si>
    <t>HYPMIRFMBG75X36X05</t>
  </si>
  <si>
    <t>Peps Hypnos Mirage Soft Top Beige 75X36X05</t>
  </si>
  <si>
    <t>HYPMIRFMBG75X42X05</t>
  </si>
  <si>
    <t>Peps Hypnos Mirage Soft Top Beige 75X42X05</t>
  </si>
  <si>
    <t>HYPMIRFMBG75X48X05</t>
  </si>
  <si>
    <t>Peps Hypnos Mirage Soft Top Beige 75X48X05</t>
  </si>
  <si>
    <t>HYPMIRFMBG75X60X05</t>
  </si>
  <si>
    <t>Peps Hypnos Mirage Soft Top Beige 75X60X05</t>
  </si>
  <si>
    <t>HYPMIRFMBG75X66X05</t>
  </si>
  <si>
    <t>Peps Hypnos Mirage Soft Top Beige 75X66X05</t>
  </si>
  <si>
    <t>HYPMIRFMBG75X72X05</t>
  </si>
  <si>
    <t>Peps Hypnos Mirage Soft Top Beige 75X72X05</t>
  </si>
  <si>
    <t>HYPMIRFMBG78X30X05</t>
  </si>
  <si>
    <t>Peps Hypnos Mirage Soft Top Beige 78X30X05</t>
  </si>
  <si>
    <t>HYPMIRFMBG78X36X05</t>
  </si>
  <si>
    <t>Peps Hypnos Mirage Soft Top Beige 78X36X05</t>
  </si>
  <si>
    <t>HYPMIRFMBG78X42X05</t>
  </si>
  <si>
    <t>Peps Hypnos Mirage Soft Top Beige 78X42X05</t>
  </si>
  <si>
    <t>HYPMIRFMBG78X48X05</t>
  </si>
  <si>
    <t>Peps Hypnos Mirage Soft Top Beige 78X48X05</t>
  </si>
  <si>
    <t>HYPMIRFMBG78X60X05</t>
  </si>
  <si>
    <t>Peps Hypnos Mirage Soft Top Beige 78X60X05</t>
  </si>
  <si>
    <t>HYPMIRFMBG78X66X05</t>
  </si>
  <si>
    <t>Peps Hypnos Mirage Soft Top Beige 78X66X05</t>
  </si>
  <si>
    <t>HYPMIRFMBG78X72X05</t>
  </si>
  <si>
    <t>Peps Hypnos Mirage Soft Top Beige 78X72X05</t>
  </si>
  <si>
    <t>HYPMIRFMBG80X30X05</t>
  </si>
  <si>
    <t>Peps Hypnos Mirage Soft Top Beige 80X30X05</t>
  </si>
  <si>
    <t>HYPMIRFMBG80X36X05</t>
  </si>
  <si>
    <t>Peps Hypnos Mirage Soft Top Beige 80X36X05</t>
  </si>
  <si>
    <t>HYPMIRFMBG80X42X05</t>
  </si>
  <si>
    <t>Peps Hypnos Mirage Soft Top Beige 80X42X05</t>
  </si>
  <si>
    <t>HYPMIRFMBG80X48X05</t>
  </si>
  <si>
    <t>Peps Hypnos Mirage Soft Top Beige 80X48X05</t>
  </si>
  <si>
    <t>HYPMIRFMBG80X60X05</t>
  </si>
  <si>
    <t>Peps Hypnos Mirage Soft Top Beige 80X60X05</t>
  </si>
  <si>
    <t>HYPMIRFMBG80X66X05</t>
  </si>
  <si>
    <t>Peps Hypnos Mirage Soft Top Beige 80X66X05</t>
  </si>
  <si>
    <t>HYPMIRFMBG80X72X05</t>
  </si>
  <si>
    <t>Peps Hypnos Mirage Soft Top Beige 80X72X05</t>
  </si>
  <si>
    <t>HYPMIRFMBG84X30X05</t>
  </si>
  <si>
    <t>Peps Hypnos Mirage Soft Top Beige 84X30X05</t>
  </si>
  <si>
    <t>HYPMIRFMBG84X36X05</t>
  </si>
  <si>
    <t>Peps Hypnos Mirage Soft Top Beige 84X36X05</t>
  </si>
  <si>
    <t>HYPMIRFMBG84X42X05</t>
  </si>
  <si>
    <t>Peps Hypnos Mirage Soft Top Beige 84X42X05</t>
  </si>
  <si>
    <t>HYPMIRFMBG84X48X05</t>
  </si>
  <si>
    <t>Peps Hypnos Mirage Soft Top Beige 84X48X05</t>
  </si>
  <si>
    <t>HYPMIRFMBG84X60X05</t>
  </si>
  <si>
    <t>Peps Hypnos Mirage Soft Top Beige 84X60X05</t>
  </si>
  <si>
    <t>HYPMIRFMBG84X66X05</t>
  </si>
  <si>
    <t>Peps Hypnos Mirage Soft Top Beige 84X66X05</t>
  </si>
  <si>
    <t>HYPMIRFMBG84X72X05</t>
  </si>
  <si>
    <t>Peps Hypnos Mirage Soft Top Beige 84X72X05</t>
  </si>
  <si>
    <t>HYPMIRFMMR72X30X06</t>
  </si>
  <si>
    <t>Peps Hypnos Mirage Soft Top Maroon 72X30X06</t>
  </si>
  <si>
    <t>MIRAGE-FOAM-BLOCK-72X30X06</t>
  </si>
  <si>
    <t>HYPMIRFMMR72X36X06</t>
  </si>
  <si>
    <t>Peps Hypnos Mirage Soft Top Maroon 72X36X06</t>
  </si>
  <si>
    <t>MIRAGE-FOAM-BLOCK-72X36X06</t>
  </si>
  <si>
    <t>HYPMIRFMMR72X42X06</t>
  </si>
  <si>
    <t>Peps Hypnos Mirage Soft Top Maroon 72X42X06</t>
  </si>
  <si>
    <t>MIRAGE-FOAM-BLOCK-72X42X06</t>
  </si>
  <si>
    <t>HYPMIRFMMR72X48X06</t>
  </si>
  <si>
    <t>Peps Hypnos Mirage Soft Top Maroon 72X48X06</t>
  </si>
  <si>
    <t>MIRAGE-FOAM-BLOCK-72X48X06</t>
  </si>
  <si>
    <t>HYPMIRFMMR72X60X06</t>
  </si>
  <si>
    <t>Peps Hypnos Mirage Soft Top Maroon 72X60X06</t>
  </si>
  <si>
    <t>MIRAGE-FOAM-BLOCK-72X60X06</t>
  </si>
  <si>
    <t>HYPMIRFMMR72X66X06</t>
  </si>
  <si>
    <t>Peps Hypnos Mirage Soft Top Maroon 72X66X06</t>
  </si>
  <si>
    <t>MIRAGE-FOAM-BLOCK-72X66X06</t>
  </si>
  <si>
    <t>HYPMIRFMMR72X72X06</t>
  </si>
  <si>
    <t>Peps Hypnos Mirage Soft Top Maroon 72X72X06</t>
  </si>
  <si>
    <t>MIRAGE-FOAM-BLOCK-72X72X06</t>
  </si>
  <si>
    <t>HYPMIRFMMR75X30X06</t>
  </si>
  <si>
    <t>Peps Hypnos Mirage Soft Top Maroon 75X30X06</t>
  </si>
  <si>
    <t>MIRAGE-FOAM-BLOCK-75X30X06</t>
  </si>
  <si>
    <t>HYPMIRFMMR75X36X06</t>
  </si>
  <si>
    <t>Peps Hypnos Mirage Soft Top Maroon 75X36X06</t>
  </si>
  <si>
    <t>MIRAGE-FOAM-BLOCK-75X36X06</t>
  </si>
  <si>
    <t>HYPMIRFMMR75X42X06</t>
  </si>
  <si>
    <t>Peps Hypnos Mirage Soft Top Maroon 75X42X06</t>
  </si>
  <si>
    <t>MIRAGE-FOAM-BLOCK-75X42X06</t>
  </si>
  <si>
    <t>HYPMIRFMMR75X48X06</t>
  </si>
  <si>
    <t>Peps Hypnos Mirage Soft Top Maroon 75X48X06</t>
  </si>
  <si>
    <t>MIRAGE-FOAM-BLOCK-75X48X06</t>
  </si>
  <si>
    <t>HYPMIRFMMR75X60X06</t>
  </si>
  <si>
    <t>Peps Hypnos Mirage Soft Top Maroon 75X60X06</t>
  </si>
  <si>
    <t>MIRAGE-FOAM-BLOCK-75X60X06</t>
  </si>
  <si>
    <t>HYPMIRFMMR75X66X06</t>
  </si>
  <si>
    <t>Peps Hypnos Mirage Soft Top Maroon 75X66X06</t>
  </si>
  <si>
    <t>MIRAGE-FOAM-BLOCK-75X66X06</t>
  </si>
  <si>
    <t>HYPMIRFMMR75X72X06</t>
  </si>
  <si>
    <t>Peps Hypnos Mirage Soft Top Maroon 75X72X06</t>
  </si>
  <si>
    <t>MIRAGE-FOAM-BLOCK-75X72X06</t>
  </si>
  <si>
    <t>HYPMIRFMMR78X30X06</t>
  </si>
  <si>
    <t>Peps Hypnos Mirage Soft Top Maroon 78X30X06</t>
  </si>
  <si>
    <t>MIRAGE-FOAM-BLOCK-78X30X06</t>
  </si>
  <si>
    <t>HYPMIRFMMR78X36X06</t>
  </si>
  <si>
    <t>Peps Hypnos Mirage Soft Top Maroon 78X36X06</t>
  </si>
  <si>
    <t>MIRAGE-FOAM-BLOCK-78X36X06</t>
  </si>
  <si>
    <t>HYPMIRFMMR78X42X06</t>
  </si>
  <si>
    <t>Peps Hypnos Mirage Soft Top Maroon 78X42X06</t>
  </si>
  <si>
    <t>MIRAGE-FOAM-BLOCK-78X42X06</t>
  </si>
  <si>
    <t>HYPMIRFMMR78X48X06</t>
  </si>
  <si>
    <t>Peps Hypnos Mirage Soft Top Maroon 78X48X06</t>
  </si>
  <si>
    <t>MIRAGE-FOAM-BLOCK-78X48X06</t>
  </si>
  <si>
    <t>HYPMIRFMMR78X60X06</t>
  </si>
  <si>
    <t>Peps Hypnos Mirage Soft Top Maroon 78X60X06</t>
  </si>
  <si>
    <t>MIRAGE-FOAM-BLOCK-78X60X06</t>
  </si>
  <si>
    <t>HYPMIRFMMR78X66X06</t>
  </si>
  <si>
    <t>Peps Hypnos Mirage Soft Top Maroon 78X66X06</t>
  </si>
  <si>
    <t>MIRAGE-FOAM-BLOCK-78X66X06</t>
  </si>
  <si>
    <t>HYPMIRFMMR78X72X06</t>
  </si>
  <si>
    <t>Peps Hypnos Mirage Soft Top Maroon 78X72X06</t>
  </si>
  <si>
    <t>MIRAGE-FOAM-BLOCK-78X72X06</t>
  </si>
  <si>
    <t>HYPMIRFMMR80X30X06</t>
  </si>
  <si>
    <t>Peps Hypnos Mirage Soft Top Maroon 80X30X06</t>
  </si>
  <si>
    <t>MIRAGE-FOAM-BLOCK-80X30X06</t>
  </si>
  <si>
    <t>HYPMIRFMMR80X36X06</t>
  </si>
  <si>
    <t>Peps Hypnos Mirage Soft Top Maroon 80X36X06</t>
  </si>
  <si>
    <t>MIRAGE-FOAM-BLOCK-80X36X06</t>
  </si>
  <si>
    <t>HYPMIRFMMR80X42X06</t>
  </si>
  <si>
    <t>Peps Hypnos Mirage Soft Top Maroon 80X42X06</t>
  </si>
  <si>
    <t>MIRAGE-FOAM-BLOCK-80X42X06</t>
  </si>
  <si>
    <t>HYPMIRFMMR80X48X06</t>
  </si>
  <si>
    <t>Peps Hypnos Mirage Soft Top Maroon 80X48X06</t>
  </si>
  <si>
    <t>MIRAGE-FOAM-BLOCK-80X48X06</t>
  </si>
  <si>
    <t>HYPMIRFMMR80X60X06</t>
  </si>
  <si>
    <t>Peps Hypnos Mirage Soft Top Maroon 80X60X06</t>
  </si>
  <si>
    <t>MIRAGE-FOAM-BLOCK-80X60X06</t>
  </si>
  <si>
    <t>HYPMIRFMMR80X66X06</t>
  </si>
  <si>
    <t>Peps Hypnos Mirage Soft Top Maroon 80X66X06</t>
  </si>
  <si>
    <t>MIRAGE-FOAM-BLOCK-80X66X06</t>
  </si>
  <si>
    <t>HYPMIRFMMR80X72X06</t>
  </si>
  <si>
    <t>Peps Hypnos Mirage Soft Top Maroon 80X72X06</t>
  </si>
  <si>
    <t>MIRAGE-FOAM-BLOCK-80X72X06</t>
  </si>
  <si>
    <t>HYPMIRFMMR84X30X06</t>
  </si>
  <si>
    <t>Peps Hypnos Mirage Soft Top Maroon 84X30X06</t>
  </si>
  <si>
    <t>MIRAGE-FOAM-BLOCK-84X30X06</t>
  </si>
  <si>
    <t>HYPMIRFMMR84X36X06</t>
  </si>
  <si>
    <t>Peps Hypnos Mirage Soft Top Maroon 84X36X06</t>
  </si>
  <si>
    <t>MIRAGE-FOAM-BLOCK-84X36X06</t>
  </si>
  <si>
    <t>HYPMIRFMMR84X42X06</t>
  </si>
  <si>
    <t>Peps Hypnos Mirage Soft Top Maroon 84X42X06</t>
  </si>
  <si>
    <t>MIRAGE-FOAM-BLOCK-84X42X06</t>
  </si>
  <si>
    <t>HYPMIRFMMR84X48X06</t>
  </si>
  <si>
    <t>Peps Hypnos Mirage Soft Top Maroon 84X48X06</t>
  </si>
  <si>
    <t>MIRAGE-FOAM-BLOCK-84X48X06</t>
  </si>
  <si>
    <t>HYPMIRFMMR84X60X06</t>
  </si>
  <si>
    <t>Peps Hypnos Mirage Soft Top Maroon 84X60X06</t>
  </si>
  <si>
    <t>MIRAGE-FOAM-BLOCK-84X60X06</t>
  </si>
  <si>
    <t>HYPMIRFMMR84X66X06</t>
  </si>
  <si>
    <t>Peps Hypnos Mirage Soft Top Maroon 84X66X06</t>
  </si>
  <si>
    <t>MIRAGE-FOAM-BLOCK-84X66X06</t>
  </si>
  <si>
    <t>HYPMIRFMMR84X72X06</t>
  </si>
  <si>
    <t>Peps Hypnos Mirage Soft Top Maroon 84X72X06</t>
  </si>
  <si>
    <t>MIRAGE-FOAM-BLOCK-84X72X06</t>
  </si>
  <si>
    <t>HYPMIRFMDB72X30X06</t>
  </si>
  <si>
    <t>Peps Hypnos Mirage Soft Top Dark Blue 72X30X06</t>
  </si>
  <si>
    <t>HYPMIRFMDB72X36X06</t>
  </si>
  <si>
    <t>Peps Hypnos Mirage Soft Top Dark Blue 72X36X06</t>
  </si>
  <si>
    <t>HYPMIRFMDB72X42X06</t>
  </si>
  <si>
    <t>Peps Hypnos Mirage Soft Top Dark Blue 72X42X06</t>
  </si>
  <si>
    <t>HYPMIRFMDB72X48X06</t>
  </si>
  <si>
    <t>Peps Hypnos Mirage Soft Top Dark Blue 72X48X06</t>
  </si>
  <si>
    <t>HYPMIRFMDB72X60X06</t>
  </si>
  <si>
    <t>Peps Hypnos Mirage Soft Top Dark Blue 72X60X06</t>
  </si>
  <si>
    <t>HYPMIRFMDB72X66X06</t>
  </si>
  <si>
    <t>Peps Hypnos Mirage Soft Top Dark Blue 72X66X06</t>
  </si>
  <si>
    <t>HYPMIRFMDB72X72X06</t>
  </si>
  <si>
    <t>Peps Hypnos Mirage Soft Top Dark Blue 72X72X06</t>
  </si>
  <si>
    <t>HYPMIRFMDB75X30X06</t>
  </si>
  <si>
    <t>Peps Hypnos Mirage Soft Top Dark Blue 75X30X06</t>
  </si>
  <si>
    <t>HYPMIRFMDB75X36X06</t>
  </si>
  <si>
    <t>Peps Hypnos Mirage Soft Top Dark Blue 75X36X06</t>
  </si>
  <si>
    <t>HYPMIRFMDB75X42X06</t>
  </si>
  <si>
    <t>Peps Hypnos Mirage Soft Top Dark Blue 75X42X06</t>
  </si>
  <si>
    <t>HYPMIRFMDB75X48X06</t>
  </si>
  <si>
    <t>Peps Hypnos Mirage Soft Top Dark Blue 75X48X06</t>
  </si>
  <si>
    <t>HYPMIRFMDB75X60X06</t>
  </si>
  <si>
    <t>Peps Hypnos Mirage Soft Top Dark Blue 75X60X06</t>
  </si>
  <si>
    <t>HYPMIRFMDB75X66X06</t>
  </si>
  <si>
    <t>Peps Hypnos Mirage Soft Top Dark Blue 75X66X06</t>
  </si>
  <si>
    <t>HYPMIRFMDB75X72X06</t>
  </si>
  <si>
    <t>Peps Hypnos Mirage Soft Top Dark Blue 75X72X06</t>
  </si>
  <si>
    <t>HYPMIRFMDB78X30X06</t>
  </si>
  <si>
    <t>Peps Hypnos Mirage Soft Top Dark Blue 78X30X06</t>
  </si>
  <si>
    <t>HYPMIRFMDB78X36X06</t>
  </si>
  <si>
    <t>Peps Hypnos Mirage Soft Top Dark Blue 78X36X06</t>
  </si>
  <si>
    <t>HYPMIRFMDB78X42X06</t>
  </si>
  <si>
    <t>Peps Hypnos Mirage Soft Top Dark Blue 78X42X06</t>
  </si>
  <si>
    <t>HYPMIRFMDB78X48X06</t>
  </si>
  <si>
    <t>Peps Hypnos Mirage Soft Top Dark Blue 78X48X06</t>
  </si>
  <si>
    <t>HYPMIRFMDB78X60X06</t>
  </si>
  <si>
    <t>Peps Hypnos Mirage Soft Top Dark Blue 78X60X06</t>
  </si>
  <si>
    <t>HYPMIRFMDB78X66X06</t>
  </si>
  <si>
    <t>Peps Hypnos Mirage Soft Top Dark Blue 78X66X06</t>
  </si>
  <si>
    <t>HYPMIRFMDB78X72X06</t>
  </si>
  <si>
    <t>Peps Hypnos Mirage Soft Top Dark Blue 78X72X06</t>
  </si>
  <si>
    <t>HYPMIRFMDB80X30X06</t>
  </si>
  <si>
    <t>Peps Hypnos Mirage Soft Top Dark Blue 80X30X06</t>
  </si>
  <si>
    <t>HYPMIRFMDB80X36X06</t>
  </si>
  <si>
    <t>Peps Hypnos Mirage Soft Top Dark Blue 80X36X06</t>
  </si>
  <si>
    <t>HYPMIRFMDB80X42X06</t>
  </si>
  <si>
    <t>Peps Hypnos Mirage Soft Top Dark Blue 80X42X06</t>
  </si>
  <si>
    <t>HYPMIRFMDB80X48X06</t>
  </si>
  <si>
    <t>Peps Hypnos Mirage Soft Top Dark Blue 80X48X06</t>
  </si>
  <si>
    <t>HYPMIRFMDB80X60X06</t>
  </si>
  <si>
    <t>Peps Hypnos Mirage Soft Top Dark Blue 80X60X06</t>
  </si>
  <si>
    <t>HYPMIRFMDB80X66X06</t>
  </si>
  <si>
    <t>Peps Hypnos Mirage Soft Top Dark Blue 80X66X06</t>
  </si>
  <si>
    <t>HYPMIRFMDB80X72X06</t>
  </si>
  <si>
    <t>Peps Hypnos Mirage Soft Top Dark Blue 80X72X06</t>
  </si>
  <si>
    <t>HYPMIRFMDB84X30X06</t>
  </si>
  <si>
    <t>Peps Hypnos Mirage Soft Top Dark Blue 84X30X06</t>
  </si>
  <si>
    <t>HYPMIRFMDB84X36X06</t>
  </si>
  <si>
    <t>Peps Hypnos Mirage Soft Top Dark Blue 84X36X06</t>
  </si>
  <si>
    <t>HYPMIRFMDB84X42X06</t>
  </si>
  <si>
    <t>Peps Hypnos Mirage Soft Top Dark Blue 84X42X06</t>
  </si>
  <si>
    <t>HYPMIRFMDB84X48X06</t>
  </si>
  <si>
    <t>Peps Hypnos Mirage Soft Top Dark Blue 84X48X06</t>
  </si>
  <si>
    <t>HYPMIRFMDB84X60X06</t>
  </si>
  <si>
    <t>Peps Hypnos Mirage Soft Top Dark Blue 84X60X06</t>
  </si>
  <si>
    <t>HYPMIRFMDB84X66X06</t>
  </si>
  <si>
    <t>Peps Hypnos Mirage Soft Top Dark Blue 84X66X06</t>
  </si>
  <si>
    <t>HYPMIRFMDB84X72X06</t>
  </si>
  <si>
    <t>Peps Hypnos Mirage Soft Top Dark Blue 84X72X06</t>
  </si>
  <si>
    <t>HYPMIRFMBG72X30X06</t>
  </si>
  <si>
    <t>Peps Hypnos Mirage Soft Top Beige 72X30X06</t>
  </si>
  <si>
    <t>HYPMIRFMBG72X36X06</t>
  </si>
  <si>
    <t>Peps Hypnos Mirage Soft Top Beige 72X36X06</t>
  </si>
  <si>
    <t>HYPMIRFMBG72X42X06</t>
  </si>
  <si>
    <t>Peps Hypnos Mirage Soft Top Beige 72X42X06</t>
  </si>
  <si>
    <t>HYPMIRFMBG72X48X06</t>
  </si>
  <si>
    <t>Peps Hypnos Mirage Soft Top Beige 72X48X06</t>
  </si>
  <si>
    <t>HYPMIRFMBG72X60X06</t>
  </si>
  <si>
    <t>Peps Hypnos Mirage Soft Top Beige 72X60X06</t>
  </si>
  <si>
    <t>HYPMIRFMBG72X66X06</t>
  </si>
  <si>
    <t>Peps Hypnos Mirage Soft Top Beige 72X66X06</t>
  </si>
  <si>
    <t>HYPMIRFMBG72X72X06</t>
  </si>
  <si>
    <t>Peps Hypnos Mirage Soft Top Beige 72X72X06</t>
  </si>
  <si>
    <t>HYPMIRFMBG75X30X06</t>
  </si>
  <si>
    <t>Peps Hypnos Mirage Soft Top Beige 75X30X06</t>
  </si>
  <si>
    <t>HYPMIRFMBG75X36X06</t>
  </si>
  <si>
    <t>Peps Hypnos Mirage Soft Top Beige 75X36X06</t>
  </si>
  <si>
    <t>HYPMIRFMBG75X42X06</t>
  </si>
  <si>
    <t>Peps Hypnos Mirage Soft Top Beige 75X42X06</t>
  </si>
  <si>
    <t>HYPMIRFMBG75X48X06</t>
  </si>
  <si>
    <t>Peps Hypnos Mirage Soft Top Beige 75X48X06</t>
  </si>
  <si>
    <t>HYPMIRFMBG75X60X06</t>
  </si>
  <si>
    <t>Peps Hypnos Mirage Soft Top Beige 75X60X06</t>
  </si>
  <si>
    <t>HYPMIRFMBG75X66X06</t>
  </si>
  <si>
    <t>Peps Hypnos Mirage Soft Top Beige 75X66X06</t>
  </si>
  <si>
    <t>HYPMIRFMBG75X72X06</t>
  </si>
  <si>
    <t>Peps Hypnos Mirage Soft Top Beige 75X72X06</t>
  </si>
  <si>
    <t>HYPMIRFMBG78X30X06</t>
  </si>
  <si>
    <t>Peps Hypnos Mirage Soft Top Beige 78X30X06</t>
  </si>
  <si>
    <t>HYPMIRFMBG78X36X06</t>
  </si>
  <si>
    <t>Peps Hypnos Mirage Soft Top Beige 78X36X06</t>
  </si>
  <si>
    <t>HYPMIRFMBG78X42X06</t>
  </si>
  <si>
    <t>Peps Hypnos Mirage Soft Top Beige 78X42X06</t>
  </si>
  <si>
    <t>HYPMIRFMBG78X48X06</t>
  </si>
  <si>
    <t>Peps Hypnos Mirage Soft Top Beige 78X48X06</t>
  </si>
  <si>
    <t>HYPMIRFMBG78X60X06</t>
  </si>
  <si>
    <t>Peps Hypnos Mirage Soft Top Beige 78X60X06</t>
  </si>
  <si>
    <t>HYPMIRFMBG78X66X06</t>
  </si>
  <si>
    <t>Peps Hypnos Mirage Soft Top Beige 78X66X06</t>
  </si>
  <si>
    <t>HYPMIRFMBG78X72X06</t>
  </si>
  <si>
    <t>Peps Hypnos Mirage Soft Top Beige 78X72X06</t>
  </si>
  <si>
    <t>HYPMIRFMBG80X30X06</t>
  </si>
  <si>
    <t>Peps Hypnos Mirage Soft Top Beige 80X30X06</t>
  </si>
  <si>
    <t>HYPMIRFMBG80X36X06</t>
  </si>
  <si>
    <t>Peps Hypnos Mirage Soft Top Beige 80X36X06</t>
  </si>
  <si>
    <t>HYPMIRFMBG80X42X06</t>
  </si>
  <si>
    <t>Peps Hypnos Mirage Soft Top Beige 80X42X06</t>
  </si>
  <si>
    <t>HYPMIRFMBG80X48X06</t>
  </si>
  <si>
    <t>Peps Hypnos Mirage Soft Top Beige 80X48X06</t>
  </si>
  <si>
    <t>HYPMIRFMBG80X60X06</t>
  </si>
  <si>
    <t>Peps Hypnos Mirage Soft Top Beige 80X60X06</t>
  </si>
  <si>
    <t>HYPMIRFMBG80X66X06</t>
  </si>
  <si>
    <t>Peps Hypnos Mirage Soft Top Beige 80X66X06</t>
  </si>
  <si>
    <t>HYPMIRFMBG80X72X06</t>
  </si>
  <si>
    <t>Peps Hypnos Mirage Soft Top Beige 80X72X06</t>
  </si>
  <si>
    <t>HYPMIRFMBG84X30X06</t>
  </si>
  <si>
    <t>Peps Hypnos Mirage Soft Top Beige 84X30X06</t>
  </si>
  <si>
    <t>HYPMIRFMBG84X36X06</t>
  </si>
  <si>
    <t>Peps Hypnos Mirage Soft Top Beige 84X36X06</t>
  </si>
  <si>
    <t>HYPMIRFMBG84X42X06</t>
  </si>
  <si>
    <t>Peps Hypnos Mirage Soft Top Beige 84X42X06</t>
  </si>
  <si>
    <t>HYPMIRFMBG84X48X06</t>
  </si>
  <si>
    <t>Peps Hypnos Mirage Soft Top Beige 84X48X06</t>
  </si>
  <si>
    <t>HYPMIRFMBG84X60X06</t>
  </si>
  <si>
    <t>Peps Hypnos Mirage Soft Top Beige 84X60X06</t>
  </si>
  <si>
    <t>HYPMIRFMBG84X66X06</t>
  </si>
  <si>
    <t>Peps Hypnos Mirage Soft Top Beige 84X66X06</t>
  </si>
  <si>
    <t>HYPMIRFMBG84X72X06</t>
  </si>
  <si>
    <t>Peps Hypnos Mirage Soft Top Beige 84X72X06</t>
  </si>
  <si>
    <t>HYPINSFMMR72X30X04</t>
  </si>
  <si>
    <t>Peps Hypnos Inspree Soft Top Maroon 72X30X04</t>
  </si>
  <si>
    <t>INSPREE-FOAM-BLOCK-72X30X04</t>
  </si>
  <si>
    <t>HYPINSFMMR72X36X04</t>
  </si>
  <si>
    <t>Peps Hypnos Inspree Soft Top Maroon 72X36X04</t>
  </si>
  <si>
    <t>INSPREE-FOAM-BLOCK-72X36X04</t>
  </si>
  <si>
    <t>HYPINSFMMR72X42X04</t>
  </si>
  <si>
    <t>Peps Hypnos Inspree Soft Top Maroon 72X42X04</t>
  </si>
  <si>
    <t>INSPREE-FOAM-BLOCK-72X42X04</t>
  </si>
  <si>
    <t>HYPINSFMMR72X48X04</t>
  </si>
  <si>
    <t>Peps Hypnos Inspree Soft Top Maroon 72X48X04</t>
  </si>
  <si>
    <t>INSPREE-FOAM-BLOCK-72X48X04</t>
  </si>
  <si>
    <t>HYPINSFMMR72X60X04</t>
  </si>
  <si>
    <t>Peps Hypnos Inspree Soft Top Maroon 72X60X04</t>
  </si>
  <si>
    <t>INSPREE-FOAM-BLOCK-72X60X04</t>
  </si>
  <si>
    <t>HYPINSFMMR72X66X04</t>
  </si>
  <si>
    <t>Peps Hypnos Inspree Soft Top Maroon 72X66X04</t>
  </si>
  <si>
    <t>INSPREE-FOAM-BLOCK-72X66X04</t>
  </si>
  <si>
    <t>HYPINSFMMR72X72X04</t>
  </si>
  <si>
    <t>Peps Hypnos Inspree Soft Top Maroon 72X72X04</t>
  </si>
  <si>
    <t>INSPREE-FOAM-BLOCK-72X72X04</t>
  </si>
  <si>
    <t>HYPINSFMMR75X30X04</t>
  </si>
  <si>
    <t>Peps Hypnos Inspree Soft Top Maroon 75X30X04</t>
  </si>
  <si>
    <t>INSPREE-FOAM-BLOCK-75X30X04</t>
  </si>
  <si>
    <t>HYPINSFMMR75X36X04</t>
  </si>
  <si>
    <t>Peps Hypnos Inspree Soft Top Maroon 75X36X04</t>
  </si>
  <si>
    <t>INSPREE-FOAM-BLOCK-75X36X04</t>
  </si>
  <si>
    <t>HYPINSFMMR75X42X04</t>
  </si>
  <si>
    <t>Peps Hypnos Inspree Soft Top Maroon 75X42X04</t>
  </si>
  <si>
    <t>INSPREE-FOAM-BLOCK-75X42X04</t>
  </si>
  <si>
    <t>HYPINSFMMR75X48X04</t>
  </si>
  <si>
    <t>Peps Hypnos Inspree Soft Top Maroon 75X48X04</t>
  </si>
  <si>
    <t>INSPREE-FOAM-BLOCK-75X48X04</t>
  </si>
  <si>
    <t>HYPINSFMMR75X60X04</t>
  </si>
  <si>
    <t>Peps Hypnos Inspree Soft Top Maroon 75X60X04</t>
  </si>
  <si>
    <t>INSPREE-FOAM-BLOCK-75X60X04</t>
  </si>
  <si>
    <t>HYPINSFMMR75X66X04</t>
  </si>
  <si>
    <t>Peps Hypnos Inspree Soft Top Maroon 75X66X04</t>
  </si>
  <si>
    <t>INSPREE-FOAM-BLOCK-75X66X04</t>
  </si>
  <si>
    <t>HYPINSFMMR75X72X04</t>
  </si>
  <si>
    <t>Peps Hypnos Inspree Soft Top Maroon 75X72X04</t>
  </si>
  <si>
    <t>INSPREE-FOAM-BLOCK-75X72X04</t>
  </si>
  <si>
    <t>HYPINSFMMR78X30X04</t>
  </si>
  <si>
    <t>Peps Hypnos Inspree Soft Top Maroon 78X30X04</t>
  </si>
  <si>
    <t>INSPREE-FOAM-BLOCK-78X30X04</t>
  </si>
  <si>
    <t>HYPINSFMMR78X36X04</t>
  </si>
  <si>
    <t>Peps Hypnos Inspree Soft Top Maroon 78X36X04</t>
  </si>
  <si>
    <t>INSPREE-FOAM-BLOCK-78X36X04</t>
  </si>
  <si>
    <t>HYPINSFMMR78X42X04</t>
  </si>
  <si>
    <t>Peps Hypnos Inspree Soft Top Maroon 78X42X04</t>
  </si>
  <si>
    <t>INSPREE-FOAM-BLOCK-78X42X04</t>
  </si>
  <si>
    <t>HYPINSFMMR78X48X04</t>
  </si>
  <si>
    <t>Peps Hypnos Inspree Soft Top Maroon 78X48X04</t>
  </si>
  <si>
    <t>INSPREE-FOAM-BLOCK-78X48X04</t>
  </si>
  <si>
    <t>HYPINSFMMR78X60X04</t>
  </si>
  <si>
    <t>Peps Hypnos Inspree Soft Top Maroon 78X60X04</t>
  </si>
  <si>
    <t>INSPREE-FOAM-BLOCK-78X60X04</t>
  </si>
  <si>
    <t>HYPINSFMMR78X66X04</t>
  </si>
  <si>
    <t>Peps Hypnos Inspree Soft Top Maroon 78X66X04</t>
  </si>
  <si>
    <t>INSPREE-FOAM-BLOCK-78X66X04</t>
  </si>
  <si>
    <t>HYPINSFMMR78X72X04</t>
  </si>
  <si>
    <t>Peps Hypnos Inspree Soft Top Maroon 78X72X04</t>
  </si>
  <si>
    <t>INSPREE-FOAM-BLOCK-78X72X04</t>
  </si>
  <si>
    <t>HYPINSFMMR80X30X04</t>
  </si>
  <si>
    <t>Peps Hypnos Inspree Soft Top Maroon 80X30X04</t>
  </si>
  <si>
    <t>INSPREE-FOAM-BLOCK-80X30X04</t>
  </si>
  <si>
    <t>HYPINSFMMR80X36X04</t>
  </si>
  <si>
    <t>Peps Hypnos Inspree Soft Top Maroon 80X36X04</t>
  </si>
  <si>
    <t>INSPREE-FOAM-BLOCK-80X36X04</t>
  </si>
  <si>
    <t>HYPINSFMMR80X42X04</t>
  </si>
  <si>
    <t>Peps Hypnos Inspree Soft Top Maroon 80X42X04</t>
  </si>
  <si>
    <t>INSPREE-FOAM-BLOCK-80X42X04</t>
  </si>
  <si>
    <t>HYPINSFMMR80X48X04</t>
  </si>
  <si>
    <t>Peps Hypnos Inspree Soft Top Maroon 80X48X04</t>
  </si>
  <si>
    <t>INSPREE-FOAM-BLOCK-80X48X04</t>
  </si>
  <si>
    <t>HYPINSFMMR80X60X04</t>
  </si>
  <si>
    <t>Peps Hypnos Inspree Soft Top Maroon 80X60X04</t>
  </si>
  <si>
    <t>INSPREE-FOAM-BLOCK-80X60X04</t>
  </si>
  <si>
    <t>HYPINSFMMR80X66X04</t>
  </si>
  <si>
    <t>Peps Hypnos Inspree Soft Top Maroon 80X66X04</t>
  </si>
  <si>
    <t>INSPREE-FOAM-BLOCK-80X66X04</t>
  </si>
  <si>
    <t>HYPINSFMMR80X72X04</t>
  </si>
  <si>
    <t>Peps Hypnos Inspree Soft Top Maroon 80X72X04</t>
  </si>
  <si>
    <t>INSPREE-FOAM-BLOCK-80X72X04</t>
  </si>
  <si>
    <t>HYPINSFMMR84X30X04</t>
  </si>
  <si>
    <t>Peps Hypnos Inspree Soft Top Maroon 84X30X04</t>
  </si>
  <si>
    <t>INSPREE-FOAM-BLOCK-84X30X04</t>
  </si>
  <si>
    <t>HYPINSFMMR84X36X04</t>
  </si>
  <si>
    <t>Peps Hypnos Inspree Soft Top Maroon 84X36X04</t>
  </si>
  <si>
    <t>INSPREE-FOAM-BLOCK-84X36X04</t>
  </si>
  <si>
    <t>HYPINSFMMR84X42X04</t>
  </si>
  <si>
    <t>Peps Hypnos Inspree Soft Top Maroon 84X42X04</t>
  </si>
  <si>
    <t>INSPREE-FOAM-BLOCK-84X42X04</t>
  </si>
  <si>
    <t>HYPINSFMMR84X48X04</t>
  </si>
  <si>
    <t>Peps Hypnos Inspree Soft Top Maroon 84X48X04</t>
  </si>
  <si>
    <t>INSPREE-FOAM-BLOCK-84X48X04</t>
  </si>
  <si>
    <t>HYPINSFMMR84X60X04</t>
  </si>
  <si>
    <t>Peps Hypnos Inspree Soft Top Maroon 84X60X04</t>
  </si>
  <si>
    <t>INSPREE-FOAM-BLOCK-84X60X04</t>
  </si>
  <si>
    <t>HYPINSFMMR84X66X04</t>
  </si>
  <si>
    <t>Peps Hypnos Inspree Soft Top Maroon 84X66X04</t>
  </si>
  <si>
    <t>INSPREE-FOAM-BLOCK-84X66X04</t>
  </si>
  <si>
    <t>HYPINSFMMR84X72X04</t>
  </si>
  <si>
    <t>Peps Hypnos Inspree Soft Top Maroon 84X72X04</t>
  </si>
  <si>
    <t>INSPREE-FOAM-BLOCK-84X72X04</t>
  </si>
  <si>
    <t>HYPINSFMDB72X30X04</t>
  </si>
  <si>
    <t>Peps Hypnos Inspree Soft Top Dark Blue 72X30X04</t>
  </si>
  <si>
    <t>HYPINSFMDB72X36X04</t>
  </si>
  <si>
    <t>Peps Hypnos Inspree Soft Top Dark Blue 72X36X04</t>
  </si>
  <si>
    <t>HYPINSFMDB72X42X04</t>
  </si>
  <si>
    <t>Peps Hypnos Inspree Soft Top Dark Blue 72X42X04</t>
  </si>
  <si>
    <t>HYPINSFMDB72X48X04</t>
  </si>
  <si>
    <t>Peps Hypnos Inspree Soft Top Dark Blue 72X48X04</t>
  </si>
  <si>
    <t>HYPINSFMDB72X60X04</t>
  </si>
  <si>
    <t>Peps Hypnos Inspree Soft Top Dark Blue 72X60X04</t>
  </si>
  <si>
    <t>HYPINSFMDB72X66X04</t>
  </si>
  <si>
    <t>Peps Hypnos Inspree Soft Top Dark Blue 72X66X04</t>
  </si>
  <si>
    <t>HYPINSFMDB72X72X04</t>
  </si>
  <si>
    <t>Peps Hypnos Inspree Soft Top Dark Blue 72X72X04</t>
  </si>
  <si>
    <t>HYPINSFMDB75X30X04</t>
  </si>
  <si>
    <t>Peps Hypnos Inspree Soft Top Dark Blue 75X30X04</t>
  </si>
  <si>
    <t>HYPINSFMDB75X36X04</t>
  </si>
  <si>
    <t>Peps Hypnos Inspree Soft Top Dark Blue 75X36X04</t>
  </si>
  <si>
    <t>HYPINSFMDB75X42X04</t>
  </si>
  <si>
    <t>Peps Hypnos Inspree Soft Top Dark Blue 75X42X04</t>
  </si>
  <si>
    <t>HYPINSFMDB75X48X04</t>
  </si>
  <si>
    <t>Peps Hypnos Inspree Soft Top Dark Blue 75X48X04</t>
  </si>
  <si>
    <t>HYPINSFMDB75X60X04</t>
  </si>
  <si>
    <t>Peps Hypnos Inspree Soft Top Dark Blue 75X60X04</t>
  </si>
  <si>
    <t>HYPINSFMDB75X66X04</t>
  </si>
  <si>
    <t>Peps Hypnos Inspree Soft Top Dark Blue 75X66X04</t>
  </si>
  <si>
    <t>HYPINSFMDB75X72X04</t>
  </si>
  <si>
    <t>Peps Hypnos Inspree Soft Top Dark Blue 75X72X04</t>
  </si>
  <si>
    <t>HYPINSFMDB78X30X04</t>
  </si>
  <si>
    <t>Peps Hypnos Inspree Soft Top Dark Blue 78X30X04</t>
  </si>
  <si>
    <t>HYPINSFMDB78X36X04</t>
  </si>
  <si>
    <t>Peps Hypnos Inspree Soft Top Dark Blue 78X36X04</t>
  </si>
  <si>
    <t>HYPINSFMDB78X42X04</t>
  </si>
  <si>
    <t>Peps Hypnos Inspree Soft Top Dark Blue 78X42X04</t>
  </si>
  <si>
    <t>HYPINSFMDB78X48X04</t>
  </si>
  <si>
    <t>Peps Hypnos Inspree Soft Top Dark Blue 78X48X04</t>
  </si>
  <si>
    <t>HYPINSFMDB78X60X04</t>
  </si>
  <si>
    <t>Peps Hypnos Inspree Soft Top Dark Blue 78X60X04</t>
  </si>
  <si>
    <t>HYPINSFMDB78X66X04</t>
  </si>
  <si>
    <t>Peps Hypnos Inspree Soft Top Dark Blue 78X66X04</t>
  </si>
  <si>
    <t>HYPINSFMDB78X72X04</t>
  </si>
  <si>
    <t>Peps Hypnos Inspree Soft Top Dark Blue 78X72X04</t>
  </si>
  <si>
    <t>HYPINSFMDB80X30X04</t>
  </si>
  <si>
    <t>Peps Hypnos Inspree Soft Top Dark Blue 80X30X04</t>
  </si>
  <si>
    <t>HYPINSFMDB80X36X04</t>
  </si>
  <si>
    <t>Peps Hypnos Inspree Soft Top Dark Blue 80X36X04</t>
  </si>
  <si>
    <t>HYPINSFMDB80X42X04</t>
  </si>
  <si>
    <t>Peps Hypnos Inspree Soft Top Dark Blue 80X42X04</t>
  </si>
  <si>
    <t>HYPINSFMDB80X48X04</t>
  </si>
  <si>
    <t>Peps Hypnos Inspree Soft Top Dark Blue 80X48X04</t>
  </si>
  <si>
    <t>HYPINSFMDB80X60X04</t>
  </si>
  <si>
    <t>Peps Hypnos Inspree Soft Top Dark Blue 80X60X04</t>
  </si>
  <si>
    <t>HYPINSFMDB80X66X04</t>
  </si>
  <si>
    <t>Peps Hypnos Inspree Soft Top Dark Blue 80X66X04</t>
  </si>
  <si>
    <t>HYPINSFMDB80X72X04</t>
  </si>
  <si>
    <t>Peps Hypnos Inspree Soft Top Dark Blue 80X72X04</t>
  </si>
  <si>
    <t>HYPINSFMDB84X30X04</t>
  </si>
  <si>
    <t>Peps Hypnos Inspree Soft Top Dark Blue 84X30X04</t>
  </si>
  <si>
    <t>HYPINSFMDB84X36X04</t>
  </si>
  <si>
    <t>Peps Hypnos Inspree Soft Top Dark Blue 84X36X04</t>
  </si>
  <si>
    <t>HYPINSFMDB84X42X04</t>
  </si>
  <si>
    <t>Peps Hypnos Inspree Soft Top Dark Blue 84X42X04</t>
  </si>
  <si>
    <t>HYPINSFMDB84X48X04</t>
  </si>
  <si>
    <t>Peps Hypnos Inspree Soft Top Dark Blue 84X48X04</t>
  </si>
  <si>
    <t>HYPINSFMDB84X60X04</t>
  </si>
  <si>
    <t>Peps Hypnos Inspree Soft Top Dark Blue 84X60X04</t>
  </si>
  <si>
    <t>HYPINSFMDB84X66X04</t>
  </si>
  <si>
    <t>Peps Hypnos Inspree Soft Top Dark Blue 84X66X04</t>
  </si>
  <si>
    <t>HYPINSFMDB84X72X04</t>
  </si>
  <si>
    <t>Peps Hypnos Inspree Soft Top Dark Blue 84X72X04</t>
  </si>
  <si>
    <t>HYPINSFMBG72X30X04</t>
  </si>
  <si>
    <t>Peps Hypnos Inspree Soft Top Beige 72X30X04</t>
  </si>
  <si>
    <t>HYPINSFMBG72X36X04</t>
  </si>
  <si>
    <t>Peps Hypnos Inspree Soft Top Beige 72X36X04</t>
  </si>
  <si>
    <t>HYPINSFMBG72X42X04</t>
  </si>
  <si>
    <t>Peps Hypnos Inspree Soft Top Beige 72X42X04</t>
  </si>
  <si>
    <t>HYPINSFMBG72X48X04</t>
  </si>
  <si>
    <t>Peps Hypnos Inspree Soft Top Beige 72X48X04</t>
  </si>
  <si>
    <t>HYPINSFMBG72X60X04</t>
  </si>
  <si>
    <t>Peps Hypnos Inspree Soft Top Beige 72X60X04</t>
  </si>
  <si>
    <t>HYPINSFMBG72X66X04</t>
  </si>
  <si>
    <t>Peps Hypnos Inspree Soft Top Beige 72X66X04</t>
  </si>
  <si>
    <t>HYPINSFMBG72X72X04</t>
  </si>
  <si>
    <t>Peps Hypnos Inspree Soft Top Beige 72X72X04</t>
  </si>
  <si>
    <t>HYPINSFMBG75X30X04</t>
  </si>
  <si>
    <t>Peps Hypnos Inspree Soft Top Beige 75X30X04</t>
  </si>
  <si>
    <t>HYPINSFMBG75X36X04</t>
  </si>
  <si>
    <t>Peps Hypnos Inspree Soft Top Beige 75X36X04</t>
  </si>
  <si>
    <t>HYPINSFMBG75X42X04</t>
  </si>
  <si>
    <t>Peps Hypnos Inspree Soft Top Beige 75X42X04</t>
  </si>
  <si>
    <t>HYPINSFMBG75X48X04</t>
  </si>
  <si>
    <t>Peps Hypnos Inspree Soft Top Beige 75X48X04</t>
  </si>
  <si>
    <t>HYPINSFMBG75X60X04</t>
  </si>
  <si>
    <t>Peps Hypnos Inspree Soft Top Beige 75X60X04</t>
  </si>
  <si>
    <t>HYPINSFMBG75X66X04</t>
  </si>
  <si>
    <t>Peps Hypnos Inspree Soft Top Beige 75X66X04</t>
  </si>
  <si>
    <t>HYPINSFMBG75X72X04</t>
  </si>
  <si>
    <t>Peps Hypnos Inspree Soft Top Beige 75X72X04</t>
  </si>
  <si>
    <t>HYPINSFMBG78X30X04</t>
  </si>
  <si>
    <t>Peps Hypnos Inspree Soft Top Beige 78X30X04</t>
  </si>
  <si>
    <t>HYPINSFMBG78X36X04</t>
  </si>
  <si>
    <t>Peps Hypnos Inspree Soft Top Beige 78X36X04</t>
  </si>
  <si>
    <t>HYPINSFMBG78X42X04</t>
  </si>
  <si>
    <t>Peps Hypnos Inspree Soft Top Beige 78X42X04</t>
  </si>
  <si>
    <t>HYPINSFMBG78X48X04</t>
  </si>
  <si>
    <t>Peps Hypnos Inspree Soft Top Beige 78X48X04</t>
  </si>
  <si>
    <t>HYPINSFMBG78X60X04</t>
  </si>
  <si>
    <t>Peps Hypnos Inspree Soft Top Beige 78X60X04</t>
  </si>
  <si>
    <t>HYPINSFMBG78X66X04</t>
  </si>
  <si>
    <t>Peps Hypnos Inspree Soft Top Beige 78X66X04</t>
  </si>
  <si>
    <t>HYPINSFMBG78X72X04</t>
  </si>
  <si>
    <t>Peps Hypnos Inspree Soft Top Beige 78X72X04</t>
  </si>
  <si>
    <t>HYPINSFMBG80X30X04</t>
  </si>
  <si>
    <t>Peps Hypnos Inspree Soft Top Beige 80X30X04</t>
  </si>
  <si>
    <t>HYPINSFMBG80X36X04</t>
  </si>
  <si>
    <t>Peps Hypnos Inspree Soft Top Beige 80X36X04</t>
  </si>
  <si>
    <t>HYPINSFMBG80X42X04</t>
  </si>
  <si>
    <t>Peps Hypnos Inspree Soft Top Beige 80X42X04</t>
  </si>
  <si>
    <t>HYPINSFMBG80X48X04</t>
  </si>
  <si>
    <t>Peps Hypnos Inspree Soft Top Beige 80X48X04</t>
  </si>
  <si>
    <t>HYPINSFMBG80X60X04</t>
  </si>
  <si>
    <t>Peps Hypnos Inspree Soft Top Beige 80X60X04</t>
  </si>
  <si>
    <t>HYPINSFMBG80X66X04</t>
  </si>
  <si>
    <t>Peps Hypnos Inspree Soft Top Beige 80X66X04</t>
  </si>
  <si>
    <t>HYPINSFMBG80X72X04</t>
  </si>
  <si>
    <t>Peps Hypnos Inspree Soft Top Beige 80X72X04</t>
  </si>
  <si>
    <t>HYPINSFMBG84X30X04</t>
  </si>
  <si>
    <t>Peps Hypnos Inspree Soft Top Beige 84X30X04</t>
  </si>
  <si>
    <t>HYPINSFMBG84X36X04</t>
  </si>
  <si>
    <t>Peps Hypnos Inspree Soft Top Beige 84X36X04</t>
  </si>
  <si>
    <t>HYPINSFMBG84X42X04</t>
  </si>
  <si>
    <t>Peps Hypnos Inspree Soft Top Beige 84X42X04</t>
  </si>
  <si>
    <t>HYPINSFMBG84X48X04</t>
  </si>
  <si>
    <t>Peps Hypnos Inspree Soft Top Beige 84X48X04</t>
  </si>
  <si>
    <t>HYPINSFMBG84X60X04</t>
  </si>
  <si>
    <t>Peps Hypnos Inspree Soft Top Beige 84X60X04</t>
  </si>
  <si>
    <t>HYPINSFMBG84X66X04</t>
  </si>
  <si>
    <t>Peps Hypnos Inspree Soft Top Beige 84X66X04</t>
  </si>
  <si>
    <t>HYPINSFMBG84X72X04</t>
  </si>
  <si>
    <t>Peps Hypnos Inspree Soft Top Beige 84X72X04</t>
  </si>
  <si>
    <t>HYPINSFMMR72X30X05</t>
  </si>
  <si>
    <t>Peps Hypnos Inspree Soft Top Maroon 72X30X05</t>
  </si>
  <si>
    <t>INSPREE-FOAM-BLOCK-72X30X05</t>
  </si>
  <si>
    <t>HYPINSFMMR72X36X05</t>
  </si>
  <si>
    <t>Peps Hypnos Inspree Soft Top Maroon 72X36X05</t>
  </si>
  <si>
    <t>INSPREE-FOAM-BLOCK-72X36X05</t>
  </si>
  <si>
    <t>HYPINSFMMR72X42X05</t>
  </si>
  <si>
    <t>Peps Hypnos Inspree Soft Top Maroon 72X42X05</t>
  </si>
  <si>
    <t>INSPREE-FOAM-BLOCK-72X42X05</t>
  </si>
  <si>
    <t>HYPINSFMMR72X48X05</t>
  </si>
  <si>
    <t>Peps Hypnos Inspree Soft Top Maroon 72X48X05</t>
  </si>
  <si>
    <t>INSPREE-FOAM-BLOCK-72X48X05</t>
  </si>
  <si>
    <t>HYPINSFMMR72X60X05</t>
  </si>
  <si>
    <t>Peps Hypnos Inspree Soft Top Maroon 72X60X05</t>
  </si>
  <si>
    <t>INSPREE-FOAM-BLOCK-72X60X05</t>
  </si>
  <si>
    <t>HYPINSFMMR72X66X05</t>
  </si>
  <si>
    <t>Peps Hypnos Inspree Soft Top Maroon 72X66X05</t>
  </si>
  <si>
    <t>INSPREE-FOAM-BLOCK-72X66X05</t>
  </si>
  <si>
    <t>HYPINSFMMR72X72X05</t>
  </si>
  <si>
    <t>Peps Hypnos Inspree Soft Top Maroon 72X72X05</t>
  </si>
  <si>
    <t>INSPREE-FOAM-BLOCK-72X72X05</t>
  </si>
  <si>
    <t>HYPINSFMMR75X30X05</t>
  </si>
  <si>
    <t>Peps Hypnos Inspree Soft Top Maroon 75X30X05</t>
  </si>
  <si>
    <t>INSPREE-FOAM-BLOCK-75X30X05</t>
  </si>
  <si>
    <t>HYPINSFMMR75X36X05</t>
  </si>
  <si>
    <t>Peps Hypnos Inspree Soft Top Maroon 75X36X05</t>
  </si>
  <si>
    <t>INSPREE-FOAM-BLOCK-75X36X05</t>
  </si>
  <si>
    <t>HYPINSFMMR75X42X05</t>
  </si>
  <si>
    <t>Peps Hypnos Inspree Soft Top Maroon 75X42X05</t>
  </si>
  <si>
    <t>INSPREE-FOAM-BLOCK-75X42X05</t>
  </si>
  <si>
    <t>HYPINSFMMR75X48X05</t>
  </si>
  <si>
    <t>Peps Hypnos Inspree Soft Top Maroon 75X48X05</t>
  </si>
  <si>
    <t>INSPREE-FOAM-BLOCK-75X48X05</t>
  </si>
  <si>
    <t>HYPINSFMMR75X60X05</t>
  </si>
  <si>
    <t>Peps Hypnos Inspree Soft Top Maroon 75X60X05</t>
  </si>
  <si>
    <t>INSPREE-FOAM-BLOCK-75X60X05</t>
  </si>
  <si>
    <t>HYPINSFMMR75X66X05</t>
  </si>
  <si>
    <t>Peps Hypnos Inspree Soft Top Maroon 75X66X05</t>
  </si>
  <si>
    <t>INSPREE-FOAM-BLOCK-75X66X05</t>
  </si>
  <si>
    <t>HYPINSFMMR75X72X05</t>
  </si>
  <si>
    <t>Peps Hypnos Inspree Soft Top Maroon 75X72X05</t>
  </si>
  <si>
    <t>INSPREE-FOAM-BLOCK-75X72X05</t>
  </si>
  <si>
    <t>HYPINSFMMR78X30X05</t>
  </si>
  <si>
    <t>Peps Hypnos Inspree Soft Top Maroon 78X30X05</t>
  </si>
  <si>
    <t>INSPREE-FOAM-BLOCK-78X30X05</t>
  </si>
  <si>
    <t>HYPINSFMMR78X36X05</t>
  </si>
  <si>
    <t>Peps Hypnos Inspree Soft Top Maroon 78X36X05</t>
  </si>
  <si>
    <t>INSPREE-FOAM-BLOCK-78X36X05</t>
  </si>
  <si>
    <t>HYPINSFMMR78X42X05</t>
  </si>
  <si>
    <t>Peps Hypnos Inspree Soft Top Maroon 78X42X05</t>
  </si>
  <si>
    <t>INSPREE-FOAM-BLOCK-78X42X05</t>
  </si>
  <si>
    <t>HYPINSFMMR78X48X05</t>
  </si>
  <si>
    <t>Peps Hypnos Inspree Soft Top Maroon 78X48X05</t>
  </si>
  <si>
    <t>INSPREE-FOAM-BLOCK-78X48X05</t>
  </si>
  <si>
    <t>HYPINSFMMR78X60X05</t>
  </si>
  <si>
    <t>Peps Hypnos Inspree Soft Top Maroon 78X60X05</t>
  </si>
  <si>
    <t>INSPREE-FOAM-BLOCK-78X60X05</t>
  </si>
  <si>
    <t>HYPINSFMMR78X66X05</t>
  </si>
  <si>
    <t>Peps Hypnos Inspree Soft Top Maroon 78X66X05</t>
  </si>
  <si>
    <t>INSPREE-FOAM-BLOCK-78X66X05</t>
  </si>
  <si>
    <t>HYPINSFMMR78X72X05</t>
  </si>
  <si>
    <t>Peps Hypnos Inspree Soft Top Maroon 78X72X05</t>
  </si>
  <si>
    <t>INSPREE-FOAM-BLOCK-78X72X05</t>
  </si>
  <si>
    <t>HYPINSFMMR80X30X05</t>
  </si>
  <si>
    <t>Peps Hypnos Inspree Soft Top Maroon 80X30X05</t>
  </si>
  <si>
    <t>INSPREE-FOAM-BLOCK-80X30X05</t>
  </si>
  <si>
    <t>HYPINSFMMR80X36X05</t>
  </si>
  <si>
    <t>Peps Hypnos Inspree Soft Top Maroon 80X36X05</t>
  </si>
  <si>
    <t>INSPREE-FOAM-BLOCK-80X36X05</t>
  </si>
  <si>
    <t>HYPINSFMMR80X42X05</t>
  </si>
  <si>
    <t>Peps Hypnos Inspree Soft Top Maroon 80X42X05</t>
  </si>
  <si>
    <t>INSPREE-FOAM-BLOCK-80X42X05</t>
  </si>
  <si>
    <t>HYPINSFMMR80X48X05</t>
  </si>
  <si>
    <t>Peps Hypnos Inspree Soft Top Maroon 80X48X05</t>
  </si>
  <si>
    <t>INSPREE-FOAM-BLOCK-80X48X05</t>
  </si>
  <si>
    <t>HYPINSFMMR80X60X05</t>
  </si>
  <si>
    <t>Peps Hypnos Inspree Soft Top Maroon 80X60X05</t>
  </si>
  <si>
    <t>INSPREE-FOAM-BLOCK-80X60X05</t>
  </si>
  <si>
    <t>HYPINSFMMR80X66X05</t>
  </si>
  <si>
    <t>Peps Hypnos Inspree Soft Top Maroon 80X66X05</t>
  </si>
  <si>
    <t>INSPREE-FOAM-BLOCK-80X66X05</t>
  </si>
  <si>
    <t>HYPINSFMMR80X72X05</t>
  </si>
  <si>
    <t>Peps Hypnos Inspree Soft Top Maroon 80X72X05</t>
  </si>
  <si>
    <t>INSPREE-FOAM-BLOCK-80X72X05</t>
  </si>
  <si>
    <t>HYPINSFMMR84X30X05</t>
  </si>
  <si>
    <t>Peps Hypnos Inspree Soft Top Maroon 84X30X05</t>
  </si>
  <si>
    <t>INSPREE-FOAM-BLOCK-84X30X05</t>
  </si>
  <si>
    <t>HYPINSFMMR84X36X05</t>
  </si>
  <si>
    <t>Peps Hypnos Inspree Soft Top Maroon 84X36X05</t>
  </si>
  <si>
    <t>INSPREE-FOAM-BLOCK-84X36X05</t>
  </si>
  <si>
    <t>HYPINSFMMR84X42X05</t>
  </si>
  <si>
    <t>Peps Hypnos Inspree Soft Top Maroon 84X42X05</t>
  </si>
  <si>
    <t>INSPREE-FOAM-BLOCK-84X42X05</t>
  </si>
  <si>
    <t>HYPINSFMMR84X48X05</t>
  </si>
  <si>
    <t>Peps Hypnos Inspree Soft Top Maroon 84X48X05</t>
  </si>
  <si>
    <t>INSPREE-FOAM-BLOCK-84X48X05</t>
  </si>
  <si>
    <t>HYPINSFMMR84X60X05</t>
  </si>
  <si>
    <t>Peps Hypnos Inspree Soft Top Maroon 84X60X05</t>
  </si>
  <si>
    <t>INSPREE-FOAM-BLOCK-84X60X05</t>
  </si>
  <si>
    <t>HYPINSFMMR84X66X05</t>
  </si>
  <si>
    <t>Peps Hypnos Inspree Soft Top Maroon 84X66X05</t>
  </si>
  <si>
    <t>INSPREE-FOAM-BLOCK-84X66X05</t>
  </si>
  <si>
    <t>HYPINSFMMR84X72X05</t>
  </si>
  <si>
    <t>Peps Hypnos Inspree Soft Top Maroon 84X72X05</t>
  </si>
  <si>
    <t>INSPREE-FOAM-BLOCK-84X72X05</t>
  </si>
  <si>
    <t>HYPINSFMDB72X30X05</t>
  </si>
  <si>
    <t>Peps Hypnos Inspree Soft Top Dark Blue 72X30X05</t>
  </si>
  <si>
    <t>HYPINSFMDB72X36X05</t>
  </si>
  <si>
    <t>Peps Hypnos Inspree Soft Top Dark Blue 72X36X05</t>
  </si>
  <si>
    <t>HYPINSFMDB72X42X05</t>
  </si>
  <si>
    <t>Peps Hypnos Inspree Soft Top Dark Blue 72X42X05</t>
  </si>
  <si>
    <t>HYPINSFMDB72X48X05</t>
  </si>
  <si>
    <t>Peps Hypnos Inspree Soft Top Dark Blue 72X48X05</t>
  </si>
  <si>
    <t>HYPINSFMDB72X60X05</t>
  </si>
  <si>
    <t>Peps Hypnos Inspree Soft Top Dark Blue 72X60X05</t>
  </si>
  <si>
    <t>HYPINSFMDB72X66X05</t>
  </si>
  <si>
    <t>Peps Hypnos Inspree Soft Top Dark Blue 72X66X05</t>
  </si>
  <si>
    <t>HYPINSFMDB72X72X05</t>
  </si>
  <si>
    <t>Peps Hypnos Inspree Soft Top Dark Blue 72X72X05</t>
  </si>
  <si>
    <t>HYPINSFMDB75X30X05</t>
  </si>
  <si>
    <t>Peps Hypnos Inspree Soft Top Dark Blue 75X30X05</t>
  </si>
  <si>
    <t>HYPINSFMDB75X36X05</t>
  </si>
  <si>
    <t>Peps Hypnos Inspree Soft Top Dark Blue 75X36X05</t>
  </si>
  <si>
    <t>HYPINSFMDB75X42X05</t>
  </si>
  <si>
    <t>Peps Hypnos Inspree Soft Top Dark Blue 75X42X05</t>
  </si>
  <si>
    <t>HYPINSFMDB75X48X05</t>
  </si>
  <si>
    <t>Peps Hypnos Inspree Soft Top Dark Blue 75X48X05</t>
  </si>
  <si>
    <t>HYPINSFMDB75X60X05</t>
  </si>
  <si>
    <t>Peps Hypnos Inspree Soft Top Dark Blue 75X60X05</t>
  </si>
  <si>
    <t>HYPINSFMDB75X66X05</t>
  </si>
  <si>
    <t>Peps Hypnos Inspree Soft Top Dark Blue 75X66X05</t>
  </si>
  <si>
    <t>HYPINSFMDB75X72X05</t>
  </si>
  <si>
    <t>Peps Hypnos Inspree Soft Top Dark Blue 75X72X05</t>
  </si>
  <si>
    <t>HYPINSFMDB78X30X05</t>
  </si>
  <si>
    <t>Peps Hypnos Inspree Soft Top Dark Blue 78X30X05</t>
  </si>
  <si>
    <t>HYPINSFMDB78X36X05</t>
  </si>
  <si>
    <t>Peps Hypnos Inspree Soft Top Dark Blue 78X36X05</t>
  </si>
  <si>
    <t>HYPINSFMDB78X42X05</t>
  </si>
  <si>
    <t>Peps Hypnos Inspree Soft Top Dark Blue 78X42X05</t>
  </si>
  <si>
    <t>HYPINSFMDB78X48X05</t>
  </si>
  <si>
    <t>Peps Hypnos Inspree Soft Top Dark Blue 78X48X05</t>
  </si>
  <si>
    <t>HYPINSFMDB78X60X05</t>
  </si>
  <si>
    <t>Peps Hypnos Inspree Soft Top Dark Blue 78X60X05</t>
  </si>
  <si>
    <t>HYPINSFMDB78X66X05</t>
  </si>
  <si>
    <t>Peps Hypnos Inspree Soft Top Dark Blue 78X66X05</t>
  </si>
  <si>
    <t>HYPINSFMDB78X72X05</t>
  </si>
  <si>
    <t>Peps Hypnos Inspree Soft Top Dark Blue 78X72X05</t>
  </si>
  <si>
    <t>HYPINSFMDB80X30X05</t>
  </si>
  <si>
    <t>Peps Hypnos Inspree Soft Top Dark Blue 80X30X05</t>
  </si>
  <si>
    <t>HYPINSFMDB80X36X05</t>
  </si>
  <si>
    <t>Peps Hypnos Inspree Soft Top Dark Blue 80X36X05</t>
  </si>
  <si>
    <t>HYPINSFMDB80X42X05</t>
  </si>
  <si>
    <t>Peps Hypnos Inspree Soft Top Dark Blue 80X42X05</t>
  </si>
  <si>
    <t>HYPINSFMDB80X48X05</t>
  </si>
  <si>
    <t>Peps Hypnos Inspree Soft Top Dark Blue 80X48X05</t>
  </si>
  <si>
    <t>HYPINSFMDB80X60X05</t>
  </si>
  <si>
    <t>Peps Hypnos Inspree Soft Top Dark Blue 80X60X05</t>
  </si>
  <si>
    <t>HYPINSFMDB80X66X05</t>
  </si>
  <si>
    <t>Peps Hypnos Inspree Soft Top Dark Blue 80X66X05</t>
  </si>
  <si>
    <t>HYPINSFMDB80X72X05</t>
  </si>
  <si>
    <t>Peps Hypnos Inspree Soft Top Dark Blue 80X72X05</t>
  </si>
  <si>
    <t>HYPINSFMDB84X30X05</t>
  </si>
  <si>
    <t>Peps Hypnos Inspree Soft Top Dark Blue 84X30X05</t>
  </si>
  <si>
    <t>HYPINSFMDB84X36X05</t>
  </si>
  <si>
    <t>Peps Hypnos Inspree Soft Top Dark Blue 84X36X05</t>
  </si>
  <si>
    <t>HYPINSFMDB84X42X05</t>
  </si>
  <si>
    <t>Peps Hypnos Inspree Soft Top Dark Blue 84X42X05</t>
  </si>
  <si>
    <t>HYPINSFMDB84X48X05</t>
  </si>
  <si>
    <t>Peps Hypnos Inspree Soft Top Dark Blue 84X48X05</t>
  </si>
  <si>
    <t>HYPINSFMDB84X60X05</t>
  </si>
  <si>
    <t>Peps Hypnos Inspree Soft Top Dark Blue 84X60X05</t>
  </si>
  <si>
    <t>HYPINSFMDB84X66X05</t>
  </si>
  <si>
    <t>Peps Hypnos Inspree Soft Top Dark Blue 84X66X05</t>
  </si>
  <si>
    <t>HYPINSFMDB84X72X05</t>
  </si>
  <si>
    <t>Peps Hypnos Inspree Soft Top Dark Blue 84X72X05</t>
  </si>
  <si>
    <t>HYPINSFMBG72X30X05</t>
  </si>
  <si>
    <t>Peps Hypnos Inspree Soft Top Beige 72X30X05</t>
  </si>
  <si>
    <t>HYPINSFMBG72X36X05</t>
  </si>
  <si>
    <t>Peps Hypnos Inspree Soft Top Beige 72X36X05</t>
  </si>
  <si>
    <t>HYPINSFMBG72X42X05</t>
  </si>
  <si>
    <t>Peps Hypnos Inspree Soft Top Beige 72X42X05</t>
  </si>
  <si>
    <t>HYPINSFMBG72X48X05</t>
  </si>
  <si>
    <t>Peps Hypnos Inspree Soft Top Beige 72X48X05</t>
  </si>
  <si>
    <t>HYPINSFMBG72X60X05</t>
  </si>
  <si>
    <t>Peps Hypnos Inspree Soft Top Beige 72X60X05</t>
  </si>
  <si>
    <t>HYPINSFMBG72X66X05</t>
  </si>
  <si>
    <t>Peps Hypnos Inspree Soft Top Beige 72X66X05</t>
  </si>
  <si>
    <t>HYPINSFMBG72X72X05</t>
  </si>
  <si>
    <t>Peps Hypnos Inspree Soft Top Beige 72X72X05</t>
  </si>
  <si>
    <t>HYPINSFMBG75X30X05</t>
  </si>
  <si>
    <t>Peps Hypnos Inspree Soft Top Beige 75X30X05</t>
  </si>
  <si>
    <t>HYPINSFMBG75X36X05</t>
  </si>
  <si>
    <t>Peps Hypnos Inspree Soft Top Beige 75X36X05</t>
  </si>
  <si>
    <t>HYPINSFMBG75X42X05</t>
  </si>
  <si>
    <t>Peps Hypnos Inspree Soft Top Beige 75X42X05</t>
  </si>
  <si>
    <t>HYPINSFMBG75X48X05</t>
  </si>
  <si>
    <t>Peps Hypnos Inspree Soft Top Beige 75X48X05</t>
  </si>
  <si>
    <t>HYPINSFMBG75X60X05</t>
  </si>
  <si>
    <t>Peps Hypnos Inspree Soft Top Beige 75X60X05</t>
  </si>
  <si>
    <t>HYPINSFMBG75X66X05</t>
  </si>
  <si>
    <t>Peps Hypnos Inspree Soft Top Beige 75X66X05</t>
  </si>
  <si>
    <t>HYPINSFMBG75X72X05</t>
  </si>
  <si>
    <t>Peps Hypnos Inspree Soft Top Beige 75X72X05</t>
  </si>
  <si>
    <t>HYPINSFMBG78X30X05</t>
  </si>
  <si>
    <t>Peps Hypnos Inspree Soft Top Beige 78X30X05</t>
  </si>
  <si>
    <t>HYPINSFMBG78X36X05</t>
  </si>
  <si>
    <t>Peps Hypnos Inspree Soft Top Beige 78X36X05</t>
  </si>
  <si>
    <t>HYPINSFMBG78X42X05</t>
  </si>
  <si>
    <t>Peps Hypnos Inspree Soft Top Beige 78X42X05</t>
  </si>
  <si>
    <t>HYPINSFMBG78X48X05</t>
  </si>
  <si>
    <t>Peps Hypnos Inspree Soft Top Beige 78X48X05</t>
  </si>
  <si>
    <t>HYPINSFMBG78X60X05</t>
  </si>
  <si>
    <t>Peps Hypnos Inspree Soft Top Beige 78X60X05</t>
  </si>
  <si>
    <t>HYPINSFMBG78X66X05</t>
  </si>
  <si>
    <t>Peps Hypnos Inspree Soft Top Beige 78X66X05</t>
  </si>
  <si>
    <t>HYPINSFMBG78X72X05</t>
  </si>
  <si>
    <t>Peps Hypnos Inspree Soft Top Beige 78X72X05</t>
  </si>
  <si>
    <t>HYPINSFMBG80X30X05</t>
  </si>
  <si>
    <t>Peps Hypnos Inspree Soft Top Beige 80X30X05</t>
  </si>
  <si>
    <t>HYPINSFMBG80X36X05</t>
  </si>
  <si>
    <t>Peps Hypnos Inspree Soft Top Beige 80X36X05</t>
  </si>
  <si>
    <t>HYPINSFMBG80X42X05</t>
  </si>
  <si>
    <t>Peps Hypnos Inspree Soft Top Beige 80X42X05</t>
  </si>
  <si>
    <t>HYPINSFMBG80X48X05</t>
  </si>
  <si>
    <t>Peps Hypnos Inspree Soft Top Beige 80X48X05</t>
  </si>
  <si>
    <t>HYPINSFMBG80X60X05</t>
  </si>
  <si>
    <t>Peps Hypnos Inspree Soft Top Beige 80X60X05</t>
  </si>
  <si>
    <t>HYPINSFMBG80X66X05</t>
  </si>
  <si>
    <t>Peps Hypnos Inspree Soft Top Beige 80X66X05</t>
  </si>
  <si>
    <t>HYPINSFMBG80X72X05</t>
  </si>
  <si>
    <t>Peps Hypnos Inspree Soft Top Beige 80X72X05</t>
  </si>
  <si>
    <t>HYPINSFMBG84X30X05</t>
  </si>
  <si>
    <t>Peps Hypnos Inspree Soft Top Beige 84X30X05</t>
  </si>
  <si>
    <t>HYPINSFMBG84X36X05</t>
  </si>
  <si>
    <t>Peps Hypnos Inspree Soft Top Beige 84X36X05</t>
  </si>
  <si>
    <t>HYPINSFMBG84X42X05</t>
  </si>
  <si>
    <t>Peps Hypnos Inspree Soft Top Beige 84X42X05</t>
  </si>
  <si>
    <t>HYPINSFMBG84X48X05</t>
  </si>
  <si>
    <t>Peps Hypnos Inspree Soft Top Beige 84X48X05</t>
  </si>
  <si>
    <t>HYPINSFMBG84X60X05</t>
  </si>
  <si>
    <t>Peps Hypnos Inspree Soft Top Beige 84X60X05</t>
  </si>
  <si>
    <t>HYPINSFMBG84X66X05</t>
  </si>
  <si>
    <t>Peps Hypnos Inspree Soft Top Beige 84X66X05</t>
  </si>
  <si>
    <t>HYPINSFMBG84X72X05</t>
  </si>
  <si>
    <t>Peps Hypnos Inspree Soft Top Beige 84X72X05</t>
  </si>
  <si>
    <t>HYPINSFMMR72X30X06</t>
  </si>
  <si>
    <t>Peps Hypnos Inspree Soft Top Maroon 72X30X06</t>
  </si>
  <si>
    <t>INSPREE-FOAM-BLOCK-72X30X06</t>
  </si>
  <si>
    <t>HYPINSFMMR72X36X06</t>
  </si>
  <si>
    <t>Peps Hypnos Inspree Soft Top Maroon 72X36X06</t>
  </si>
  <si>
    <t>INSPREE-FOAM-BLOCK-72X36X06</t>
  </si>
  <si>
    <t>HYPINSFMMR72X42X06</t>
  </si>
  <si>
    <t>Peps Hypnos Inspree Soft Top Maroon 72X42X06</t>
  </si>
  <si>
    <t>INSPREE-FOAM-BLOCK-72X42X06</t>
  </si>
  <si>
    <t>HYPINSFMMR72X48X06</t>
  </si>
  <si>
    <t>Peps Hypnos Inspree Soft Top Maroon 72X48X06</t>
  </si>
  <si>
    <t>INSPREE-FOAM-BLOCK-72X48X06</t>
  </si>
  <si>
    <t>HYPINSFMMR72X60X06</t>
  </si>
  <si>
    <t>Peps Hypnos Inspree Soft Top Maroon 72X60X06</t>
  </si>
  <si>
    <t>INSPREE-FOAM-BLOCK-72X60X06</t>
  </si>
  <si>
    <t>HYPINSFMMR72X66X06</t>
  </si>
  <si>
    <t>Peps Hypnos Inspree Soft Top Maroon 72X66X06</t>
  </si>
  <si>
    <t>INSPREE-FOAM-BLOCK-72X66X06</t>
  </si>
  <si>
    <t>HYPINSFMMR72X72X06</t>
  </si>
  <si>
    <t>Peps Hypnos Inspree Soft Top Maroon 72X72X06</t>
  </si>
  <si>
    <t>INSPREE-FOAM-BLOCK-72X72X06</t>
  </si>
  <si>
    <t>HYPINSFMMR75X30X06</t>
  </si>
  <si>
    <t>Peps Hypnos Inspree Soft Top Maroon 75X30X06</t>
  </si>
  <si>
    <t>INSPREE-FOAM-BLOCK-75X30X06</t>
  </si>
  <si>
    <t>HYPINSFMMR75X36X06</t>
  </si>
  <si>
    <t>Peps Hypnos Inspree Soft Top Maroon 75X36X06</t>
  </si>
  <si>
    <t>INSPREE-FOAM-BLOCK-75X36X06</t>
  </si>
  <si>
    <t>HYPINSFMMR75X42X06</t>
  </si>
  <si>
    <t>Peps Hypnos Inspree Soft Top Maroon 75X42X06</t>
  </si>
  <si>
    <t>INSPREE-FOAM-BLOCK-75X42X06</t>
  </si>
  <si>
    <t>HYPINSFMMR75X48X06</t>
  </si>
  <si>
    <t>Peps Hypnos Inspree Soft Top Maroon 75X48X06</t>
  </si>
  <si>
    <t>INSPREE-FOAM-BLOCK-75X48X06</t>
  </si>
  <si>
    <t>HYPINSFMMR75X60X06</t>
  </si>
  <si>
    <t>Peps Hypnos Inspree Soft Top Maroon 75X60X06</t>
  </si>
  <si>
    <t>INSPREE-FOAM-BLOCK-75X60X06</t>
  </si>
  <si>
    <t>HYPINSFMMR75X66X06</t>
  </si>
  <si>
    <t>Peps Hypnos Inspree Soft Top Maroon 75X66X06</t>
  </si>
  <si>
    <t>INSPREE-FOAM-BLOCK-75X66X06</t>
  </si>
  <si>
    <t>HYPINSFMMR75X72X06</t>
  </si>
  <si>
    <t>Peps Hypnos Inspree Soft Top Maroon 75X72X06</t>
  </si>
  <si>
    <t>INSPREE-FOAM-BLOCK-75X72X06</t>
  </si>
  <si>
    <t>HYPINSFMMR78X30X06</t>
  </si>
  <si>
    <t>Peps Hypnos Inspree Soft Top Maroon 78X30X06</t>
  </si>
  <si>
    <t>INSPREE-FOAM-BLOCK-78X30X06</t>
  </si>
  <si>
    <t>HYPINSFMMR78X36X06</t>
  </si>
  <si>
    <t>Peps Hypnos Inspree Soft Top Maroon 78X36X06</t>
  </si>
  <si>
    <t>INSPREE-FOAM-BLOCK-78X36X06</t>
  </si>
  <si>
    <t>HYPINSFMMR78X42X06</t>
  </si>
  <si>
    <t>Peps Hypnos Inspree Soft Top Maroon 78X42X06</t>
  </si>
  <si>
    <t>INSPREE-FOAM-BLOCK-78X42X06</t>
  </si>
  <si>
    <t>HYPINSFMMR78X48X06</t>
  </si>
  <si>
    <t>Peps Hypnos Inspree Soft Top Maroon 78X48X06</t>
  </si>
  <si>
    <t>INSPREE-FOAM-BLOCK-78X48X06</t>
  </si>
  <si>
    <t>HYPINSFMMR78X60X06</t>
  </si>
  <si>
    <t>Peps Hypnos Inspree Soft Top Maroon 78X60X06</t>
  </si>
  <si>
    <t>INSPREE-FOAM-BLOCK-78X60X06</t>
  </si>
  <si>
    <t>HYPINSFMMR78X66X06</t>
  </si>
  <si>
    <t>Peps Hypnos Inspree Soft Top Maroon 78X66X06</t>
  </si>
  <si>
    <t>INSPREE-FOAM-BLOCK-78X66X06</t>
  </si>
  <si>
    <t>HYPINSFMMR78X72X06</t>
  </si>
  <si>
    <t>Peps Hypnos Inspree Soft Top Maroon 78X72X06</t>
  </si>
  <si>
    <t>INSPREE-FOAM-BLOCK-78X72X06</t>
  </si>
  <si>
    <t>HYPINSFMMR80X30X06</t>
  </si>
  <si>
    <t>Peps Hypnos Inspree Soft Top Maroon 80X30X06</t>
  </si>
  <si>
    <t>INSPREE-FOAM-BLOCK-80X30X06</t>
  </si>
  <si>
    <t>HYPINSFMMR80X36X06</t>
  </si>
  <si>
    <t>Peps Hypnos Inspree Soft Top Maroon 80X36X06</t>
  </si>
  <si>
    <t>INSPREE-FOAM-BLOCK-80X36X06</t>
  </si>
  <si>
    <t>HYPINSFMMR80X42X06</t>
  </si>
  <si>
    <t>Peps Hypnos Inspree Soft Top Maroon 80X42X06</t>
  </si>
  <si>
    <t>INSPREE-FOAM-BLOCK-80X42X06</t>
  </si>
  <si>
    <t>HYPINSFMMR80X48X06</t>
  </si>
  <si>
    <t>Peps Hypnos Inspree Soft Top Maroon 80X48X06</t>
  </si>
  <si>
    <t>INSPREE-FOAM-BLOCK-80X48X06</t>
  </si>
  <si>
    <t>HYPINSFMMR80X60X06</t>
  </si>
  <si>
    <t>Peps Hypnos Inspree Soft Top Maroon 80X60X06</t>
  </si>
  <si>
    <t>INSPREE-FOAM-BLOCK-80X60X06</t>
  </si>
  <si>
    <t>HYPINSFMMR80X66X06</t>
  </si>
  <si>
    <t>Peps Hypnos Inspree Soft Top Maroon 80X66X06</t>
  </si>
  <si>
    <t>INSPREE-FOAM-BLOCK-80X66X06</t>
  </si>
  <si>
    <t>HYPINSFMMR80X72X06</t>
  </si>
  <si>
    <t>Peps Hypnos Inspree Soft Top Maroon 80X72X06</t>
  </si>
  <si>
    <t>INSPREE-FOAM-BLOCK-80X72X06</t>
  </si>
  <si>
    <t>HYPINSFMMR84X30X06</t>
  </si>
  <si>
    <t>Peps Hypnos Inspree Soft Top Maroon 84X30X06</t>
  </si>
  <si>
    <t>INSPREE-FOAM-BLOCK-84X30X06</t>
  </si>
  <si>
    <t>HYPINSFMMR84X36X06</t>
  </si>
  <si>
    <t>Peps Hypnos Inspree Soft Top Maroon 84X36X06</t>
  </si>
  <si>
    <t>INSPREE-FOAM-BLOCK-84X36X06</t>
  </si>
  <si>
    <t>HYPINSFMMR84X42X06</t>
  </si>
  <si>
    <t>Peps Hypnos Inspree Soft Top Maroon 84X42X06</t>
  </si>
  <si>
    <t>INSPREE-FOAM-BLOCK-84X42X06</t>
  </si>
  <si>
    <t>HYPINSFMMR84X48X06</t>
  </si>
  <si>
    <t>Peps Hypnos Inspree Soft Top Maroon 84X48X06</t>
  </si>
  <si>
    <t>INSPREE-FOAM-BLOCK-84X48X06</t>
  </si>
  <si>
    <t>HYPINSFMMR84X60X06</t>
  </si>
  <si>
    <t>Peps Hypnos Inspree Soft Top Maroon 84X60X06</t>
  </si>
  <si>
    <t>INSPREE-FOAM-BLOCK-84X60X06</t>
  </si>
  <si>
    <t>HYPINSFMMR84X66X06</t>
  </si>
  <si>
    <t>Peps Hypnos Inspree Soft Top Maroon 84X66X06</t>
  </si>
  <si>
    <t>INSPREE-FOAM-BLOCK-84X66X06</t>
  </si>
  <si>
    <t>HYPINSFMMR84X72X06</t>
  </si>
  <si>
    <t>Peps Hypnos Inspree Soft Top Maroon 84X72X06</t>
  </si>
  <si>
    <t>INSPREE-FOAM-BLOCK-84X72X06</t>
  </si>
  <si>
    <t>HYPINSFMDB72X30X06</t>
  </si>
  <si>
    <t>Peps Hypnos Inspree Soft Top Dark Blue 72X30X06</t>
  </si>
  <si>
    <t>HYPINSFMDB72X36X06</t>
  </si>
  <si>
    <t>Peps Hypnos Inspree Soft Top Dark Blue 72X36X06</t>
  </si>
  <si>
    <t>HYPINSFMDB72X42X06</t>
  </si>
  <si>
    <t>Peps Hypnos Inspree Soft Top Dark Blue 72X42X06</t>
  </si>
  <si>
    <t>HYPINSFMDB72X48X06</t>
  </si>
  <si>
    <t>Peps Hypnos Inspree Soft Top Dark Blue 72X48X06</t>
  </si>
  <si>
    <t>HYPINSFMDB72X60X06</t>
  </si>
  <si>
    <t>Peps Hypnos Inspree Soft Top Dark Blue 72X60X06</t>
  </si>
  <si>
    <t>HYPINSFMDB72X66X06</t>
  </si>
  <si>
    <t>Peps Hypnos Inspree Soft Top Dark Blue 72X66X06</t>
  </si>
  <si>
    <t>HYPINSFMDB72X72X06</t>
  </si>
  <si>
    <t>Peps Hypnos Inspree Soft Top Dark Blue 72X72X06</t>
  </si>
  <si>
    <t>HYPINSFMDB75X30X06</t>
  </si>
  <si>
    <t>Peps Hypnos Inspree Soft Top Dark Blue 75X30X06</t>
  </si>
  <si>
    <t>HYPINSFMDB75X36X06</t>
  </si>
  <si>
    <t>Peps Hypnos Inspree Soft Top Dark Blue 75X36X06</t>
  </si>
  <si>
    <t>HYPINSFMDB75X42X06</t>
  </si>
  <si>
    <t>Peps Hypnos Inspree Soft Top Dark Blue 75X42X06</t>
  </si>
  <si>
    <t>HYPINSFMDB75X48X06</t>
  </si>
  <si>
    <t>Peps Hypnos Inspree Soft Top Dark Blue 75X48X06</t>
  </si>
  <si>
    <t>HYPINSFMDB75X60X06</t>
  </si>
  <si>
    <t>Peps Hypnos Inspree Soft Top Dark Blue 75X60X06</t>
  </si>
  <si>
    <t>HYPINSFMDB75X66X06</t>
  </si>
  <si>
    <t>Peps Hypnos Inspree Soft Top Dark Blue 75X66X06</t>
  </si>
  <si>
    <t>HYPINSFMDB75X72X06</t>
  </si>
  <si>
    <t>Peps Hypnos Inspree Soft Top Dark Blue 75X72X06</t>
  </si>
  <si>
    <t>HYPINSFMDB78X30X06</t>
  </si>
  <si>
    <t>Peps Hypnos Inspree Soft Top Dark Blue 78X30X06</t>
  </si>
  <si>
    <t>HYPINSFMDB78X36X06</t>
  </si>
  <si>
    <t>Peps Hypnos Inspree Soft Top Dark Blue 78X36X06</t>
  </si>
  <si>
    <t>HYPINSFMDB78X42X06</t>
  </si>
  <si>
    <t>Peps Hypnos Inspree Soft Top Dark Blue 78X42X06</t>
  </si>
  <si>
    <t>HYPINSFMDB78X48X06</t>
  </si>
  <si>
    <t>Peps Hypnos Inspree Soft Top Dark Blue 78X48X06</t>
  </si>
  <si>
    <t>HYPINSFMDB78X60X06</t>
  </si>
  <si>
    <t>Peps Hypnos Inspree Soft Top Dark Blue 78X60X06</t>
  </si>
  <si>
    <t>HYPINSFMDB78X66X06</t>
  </si>
  <si>
    <t>Peps Hypnos Inspree Soft Top Dark Blue 78X66X06</t>
  </si>
  <si>
    <t>HYPINSFMDB78X72X06</t>
  </si>
  <si>
    <t>Peps Hypnos Inspree Soft Top Dark Blue 78X72X06</t>
  </si>
  <si>
    <t>HYPINSFMDB80X30X06</t>
  </si>
  <si>
    <t>Peps Hypnos Inspree Soft Top Dark Blue 80X30X06</t>
  </si>
  <si>
    <t>HYPINSFMDB80X36X06</t>
  </si>
  <si>
    <t>Peps Hypnos Inspree Soft Top Dark Blue 80X36X06</t>
  </si>
  <si>
    <t>HYPINSFMDB80X42X06</t>
  </si>
  <si>
    <t>Peps Hypnos Inspree Soft Top Dark Blue 80X42X06</t>
  </si>
  <si>
    <t>HYPINSFMDB80X48X06</t>
  </si>
  <si>
    <t>Peps Hypnos Inspree Soft Top Dark Blue 80X48X06</t>
  </si>
  <si>
    <t>HYPINSFMDB80X60X06</t>
  </si>
  <si>
    <t>Peps Hypnos Inspree Soft Top Dark Blue 80X60X06</t>
  </si>
  <si>
    <t>HYPINSFMDB80X66X06</t>
  </si>
  <si>
    <t>Peps Hypnos Inspree Soft Top Dark Blue 80X66X06</t>
  </si>
  <si>
    <t>HYPINSFMDB80X72X06</t>
  </si>
  <si>
    <t>Peps Hypnos Inspree Soft Top Dark Blue 80X72X06</t>
  </si>
  <si>
    <t>HYPINSFMDB84X30X06</t>
  </si>
  <si>
    <t>Peps Hypnos Inspree Soft Top Dark Blue 84X30X06</t>
  </si>
  <si>
    <t>HYPINSFMDB84X36X06</t>
  </si>
  <si>
    <t>Peps Hypnos Inspree Soft Top Dark Blue 84X36X06</t>
  </si>
  <si>
    <t>HYPINSFMDB84X42X06</t>
  </si>
  <si>
    <t>Peps Hypnos Inspree Soft Top Dark Blue 84X42X06</t>
  </si>
  <si>
    <t>HYPINSFMDB84X48X06</t>
  </si>
  <si>
    <t>Peps Hypnos Inspree Soft Top Dark Blue 84X48X06</t>
  </si>
  <si>
    <t>HYPINSFMDB84X60X06</t>
  </si>
  <si>
    <t>Peps Hypnos Inspree Soft Top Dark Blue 84X60X06</t>
  </si>
  <si>
    <t>HYPINSFMDB84X66X06</t>
  </si>
  <si>
    <t>Peps Hypnos Inspree Soft Top Dark Blue 84X66X06</t>
  </si>
  <si>
    <t>HYPINSFMDB84X72X06</t>
  </si>
  <si>
    <t>Peps Hypnos Inspree Soft Top Dark Blue 84X72X06</t>
  </si>
  <si>
    <t>HYPINSFMBG72X30X06</t>
  </si>
  <si>
    <t>Peps Hypnos Inspree Soft Top Beige 72X30X06</t>
  </si>
  <si>
    <t>HYPINSFMBG72X36X06</t>
  </si>
  <si>
    <t>Peps Hypnos Inspree Soft Top Beige 72X36X06</t>
  </si>
  <si>
    <t>HYPINSFMBG72X42X06</t>
  </si>
  <si>
    <t>Peps Hypnos Inspree Soft Top Beige 72X42X06</t>
  </si>
  <si>
    <t>HYPINSFMBG72X48X06</t>
  </si>
  <si>
    <t>Peps Hypnos Inspree Soft Top Beige 72X48X06</t>
  </si>
  <si>
    <t>HYPINSFMBG72X60X06</t>
  </si>
  <si>
    <t>Peps Hypnos Inspree Soft Top Beige 72X60X06</t>
  </si>
  <si>
    <t>HYPINSFMBG72X66X06</t>
  </si>
  <si>
    <t>Peps Hypnos Inspree Soft Top Beige 72X66X06</t>
  </si>
  <si>
    <t>HYPINSFMBG72X72X06</t>
  </si>
  <si>
    <t>Peps Hypnos Inspree Soft Top Beige 72X72X06</t>
  </si>
  <si>
    <t>HYPINSFMBG75X30X06</t>
  </si>
  <si>
    <t>Peps Hypnos Inspree Soft Top Beige 75X30X06</t>
  </si>
  <si>
    <t>HYPINSFMBG75X36X06</t>
  </si>
  <si>
    <t>Peps Hypnos Inspree Soft Top Beige 75X36X06</t>
  </si>
  <si>
    <t>HYPINSFMBG75X42X06</t>
  </si>
  <si>
    <t>Peps Hypnos Inspree Soft Top Beige 75X42X06</t>
  </si>
  <si>
    <t>HYPINSFMBG75X48X06</t>
  </si>
  <si>
    <t>Peps Hypnos Inspree Soft Top Beige 75X48X06</t>
  </si>
  <si>
    <t>HYPINSFMBG75X60X06</t>
  </si>
  <si>
    <t>Peps Hypnos Inspree Soft Top Beige 75X60X06</t>
  </si>
  <si>
    <t>HYPINSFMBG75X66X06</t>
  </si>
  <si>
    <t>Peps Hypnos Inspree Soft Top Beige 75X66X06</t>
  </si>
  <si>
    <t>HYPINSFMBG75X72X06</t>
  </si>
  <si>
    <t>Peps Hypnos Inspree Soft Top Beige 75X72X06</t>
  </si>
  <si>
    <t>HYPINSFMBG78X30X06</t>
  </si>
  <si>
    <t>Peps Hypnos Inspree Soft Top Beige 78X30X06</t>
  </si>
  <si>
    <t>HYPINSFMBG78X36X06</t>
  </si>
  <si>
    <t>Peps Hypnos Inspree Soft Top Beige 78X36X06</t>
  </si>
  <si>
    <t>HYPINSFMBG78X42X06</t>
  </si>
  <si>
    <t>Peps Hypnos Inspree Soft Top Beige 78X42X06</t>
  </si>
  <si>
    <t>HYPINSFMBG78X48X06</t>
  </si>
  <si>
    <t>Peps Hypnos Inspree Soft Top Beige 78X48X06</t>
  </si>
  <si>
    <t>HYPINSFMBG78X60X06</t>
  </si>
  <si>
    <t>Peps Hypnos Inspree Soft Top Beige 78X60X06</t>
  </si>
  <si>
    <t>HYPINSFMBG78X66X06</t>
  </si>
  <si>
    <t>Peps Hypnos Inspree Soft Top Beige 78X66X06</t>
  </si>
  <si>
    <t>HYPINSFMBG78X72X06</t>
  </si>
  <si>
    <t>Peps Hypnos Inspree Soft Top Beige 78X72X06</t>
  </si>
  <si>
    <t>HYPINSFMBG80X30X06</t>
  </si>
  <si>
    <t>Peps Hypnos Inspree Soft Top Beige 80X30X06</t>
  </si>
  <si>
    <t>HYPINSFMBG80X36X06</t>
  </si>
  <si>
    <t>Peps Hypnos Inspree Soft Top Beige 80X36X06</t>
  </si>
  <si>
    <t>HYPINSFMBG80X42X06</t>
  </si>
  <si>
    <t>Peps Hypnos Inspree Soft Top Beige 80X42X06</t>
  </si>
  <si>
    <t>HYPINSFMBG80X48X06</t>
  </si>
  <si>
    <t>Peps Hypnos Inspree Soft Top Beige 80X48X06</t>
  </si>
  <si>
    <t>HYPINSFMBG80X60X06</t>
  </si>
  <si>
    <t>Peps Hypnos Inspree Soft Top Beige 80X60X06</t>
  </si>
  <si>
    <t>HYPINSFMBG80X66X06</t>
  </si>
  <si>
    <t>Peps Hypnos Inspree Soft Top Beige 80X66X06</t>
  </si>
  <si>
    <t>HYPINSFMBG80X72X06</t>
  </si>
  <si>
    <t>Peps Hypnos Inspree Soft Top Beige 80X72X06</t>
  </si>
  <si>
    <t>HYPINSFMBG84X30X06</t>
  </si>
  <si>
    <t>Peps Hypnos Inspree Soft Top Beige 84X30X06</t>
  </si>
  <si>
    <t>HYPINSFMBG84X36X06</t>
  </si>
  <si>
    <t>Peps Hypnos Inspree Soft Top Beige 84X36X06</t>
  </si>
  <si>
    <t>HYPINSFMBG84X42X06</t>
  </si>
  <si>
    <t>Peps Hypnos Inspree Soft Top Beige 84X42X06</t>
  </si>
  <si>
    <t>HYPINSFMBG84X48X06</t>
  </si>
  <si>
    <t>Peps Hypnos Inspree Soft Top Beige 84X48X06</t>
  </si>
  <si>
    <t>HYPINSFMBG84X60X06</t>
  </si>
  <si>
    <t>Peps Hypnos Inspree Soft Top Beige 84X60X06</t>
  </si>
  <si>
    <t>HYPINSFMBG84X66X06</t>
  </si>
  <si>
    <t>Peps Hypnos Inspree Soft Top Beige 84X66X06</t>
  </si>
  <si>
    <t>HYPINSFMBG84X72X06</t>
  </si>
  <si>
    <t>Peps Hypnos Inspree Soft Top Beige 84X72X06</t>
  </si>
  <si>
    <t>HYPPANFMMR72X30X05</t>
  </si>
  <si>
    <t>Peps Hypnos Panorama Soft Top Maroon 72X30X05</t>
  </si>
  <si>
    <t>PANORAMA-FOAM-BLOCK-72X30X05</t>
  </si>
  <si>
    <t>HYPPANFMMR72X36X05</t>
  </si>
  <si>
    <t>Peps Hypnos Panorama Soft Top Maroon 72X36X05</t>
  </si>
  <si>
    <t>PANORAMA-FOAM-BLOCK-72X36X05</t>
  </si>
  <si>
    <t>HYPPANFMMR72X42X05</t>
  </si>
  <si>
    <t>Peps Hypnos Panorama Soft Top Maroon 72X42X05</t>
  </si>
  <si>
    <t>PANORAMA-FOAM-BLOCK-72X42X05</t>
  </si>
  <si>
    <t>HYPPANFMMR72X48X05</t>
  </si>
  <si>
    <t>Peps Hypnos Panorama Soft Top Maroon 72X48X05</t>
  </si>
  <si>
    <t>PANORAMA-FOAM-BLOCK-72X48X05</t>
  </si>
  <si>
    <t>HYPPANFMMR72X60X05</t>
  </si>
  <si>
    <t>Peps Hypnos Panorama Soft Top Maroon 72X60X05</t>
  </si>
  <si>
    <t>PANORAMA-FOAM-BLOCK-72X60X05</t>
  </si>
  <si>
    <t>HYPPANFMMR72X66X05</t>
  </si>
  <si>
    <t>Peps Hypnos Panorama Soft Top Maroon 72X66X05</t>
  </si>
  <si>
    <t>PANORAMA-FOAM-BLOCK-72X66X05</t>
  </si>
  <si>
    <t>HYPPANFMMR72X72X05</t>
  </si>
  <si>
    <t>Peps Hypnos Panorama Soft Top Maroon 72X72X05</t>
  </si>
  <si>
    <t>PANORAMA-FOAM-BLOCK-72X72X05</t>
  </si>
  <si>
    <t>HYPPANFMMR75X30X05</t>
  </si>
  <si>
    <t>Peps Hypnos Panorama Soft Top Maroon 75X30X05</t>
  </si>
  <si>
    <t>PANORAMA-FOAM-BLOCK-75X30X05</t>
  </si>
  <si>
    <t>HYPPANFMMR75X36X05</t>
  </si>
  <si>
    <t>Peps Hypnos Panorama Soft Top Maroon 75X36X05</t>
  </si>
  <si>
    <t>PANORAMA-FOAM-BLOCK-75X36X05</t>
  </si>
  <si>
    <t>HYPPANFMMR75X42X05</t>
  </si>
  <si>
    <t>Peps Hypnos Panorama Soft Top Maroon 75X42X05</t>
  </si>
  <si>
    <t>PANORAMA-FOAM-BLOCK-75X42X05</t>
  </si>
  <si>
    <t>HYPPANFMMR75X48X05</t>
  </si>
  <si>
    <t>Peps Hypnos Panorama Soft Top Maroon 75X48X05</t>
  </si>
  <si>
    <t>PANORAMA-FOAM-BLOCK-75X48X05</t>
  </si>
  <si>
    <t>HYPPANFMMR75X60X05</t>
  </si>
  <si>
    <t>Peps Hypnos Panorama Soft Top Maroon 75X60X05</t>
  </si>
  <si>
    <t>PANORAMA-FOAM-BLOCK-75X60X05</t>
  </si>
  <si>
    <t>HYPPANFMMR75X66X05</t>
  </si>
  <si>
    <t>Peps Hypnos Panorama Soft Top Maroon 75X66X05</t>
  </si>
  <si>
    <t>PANORAMA-FOAM-BLOCK-75X66X05</t>
  </si>
  <si>
    <t>HYPPANFMMR75X72X05</t>
  </si>
  <si>
    <t>Peps Hypnos Panorama Soft Top Maroon 75X72X05</t>
  </si>
  <si>
    <t>PANORAMA-FOAM-BLOCK-75X72X05</t>
  </si>
  <si>
    <t>HYPPANFMMR78X30X05</t>
  </si>
  <si>
    <t>Peps Hypnos Panorama Soft Top Maroon 78X30X05</t>
  </si>
  <si>
    <t>PANORAMA-FOAM-BLOCK-78X30X05</t>
  </si>
  <si>
    <t>HYPPANFMMR78X36X05</t>
  </si>
  <si>
    <t>Peps Hypnos Panorama Soft Top Maroon 78X36X05</t>
  </si>
  <si>
    <t>PANORAMA-FOAM-BLOCK-78X36X05</t>
  </si>
  <si>
    <t>HYPPANFMMR78X42X05</t>
  </si>
  <si>
    <t>Peps Hypnos Panorama Soft Top Maroon 78X42X05</t>
  </si>
  <si>
    <t>PANORAMA-FOAM-BLOCK-78X42X05</t>
  </si>
  <si>
    <t>HYPPANFMMR78X48X05</t>
  </si>
  <si>
    <t>Peps Hypnos Panorama Soft Top Maroon 78X48X05</t>
  </si>
  <si>
    <t>PANORAMA-FOAM-BLOCK-78X48X05</t>
  </si>
  <si>
    <t>HYPPANFMMR78X60X05</t>
  </si>
  <si>
    <t>Peps Hypnos Panorama Soft Top Maroon 78X60X05</t>
  </si>
  <si>
    <t>PANORAMA-FOAM-BLOCK-78X60X05</t>
  </si>
  <si>
    <t>HYPPANFMMR78X66X05</t>
  </si>
  <si>
    <t>Peps Hypnos Panorama Soft Top Maroon 78X66X05</t>
  </si>
  <si>
    <t>PANORAMA-FOAM-BLOCK-78X66X05</t>
  </si>
  <si>
    <t>HYPPANFMMR78X72X05</t>
  </si>
  <si>
    <t>Peps Hypnos Panorama Soft Top Maroon 78X72X05</t>
  </si>
  <si>
    <t>PANORAMA-FOAM-BLOCK-78X72X05</t>
  </si>
  <si>
    <t>HYPPANFMMR80X30X05</t>
  </si>
  <si>
    <t>Peps Hypnos Panorama Soft Top Maroon 80X30X05</t>
  </si>
  <si>
    <t>PANORAMA-FOAM-BLOCK-80X30X05</t>
  </si>
  <si>
    <t>HYPPANFMMR80X36X05</t>
  </si>
  <si>
    <t>Peps Hypnos Panorama Soft Top Maroon 80X36X05</t>
  </si>
  <si>
    <t>PANORAMA-FOAM-BLOCK-80X36X05</t>
  </si>
  <si>
    <t>HYPPANFMMR80X42X05</t>
  </si>
  <si>
    <t>Peps Hypnos Panorama Soft Top Maroon 80X42X05</t>
  </si>
  <si>
    <t>PANORAMA-FOAM-BLOCK-80X42X05</t>
  </si>
  <si>
    <t>HYPPANFMMR80X48X05</t>
  </si>
  <si>
    <t>Peps Hypnos Panorama Soft Top Maroon 80X48X05</t>
  </si>
  <si>
    <t>PANORAMA-FOAM-BLOCK-80X48X05</t>
  </si>
  <si>
    <t>HYPPANFMMR80X60X05</t>
  </si>
  <si>
    <t>Peps Hypnos Panorama Soft Top Maroon 80X60X05</t>
  </si>
  <si>
    <t>PANORAMA-FOAM-BLOCK-80X60X05</t>
  </si>
  <si>
    <t>HYPPANFMMR80X66X05</t>
  </si>
  <si>
    <t>Peps Hypnos Panorama Soft Top Maroon 80X66X05</t>
  </si>
  <si>
    <t>PANORAMA-FOAM-BLOCK-80X66X05</t>
  </si>
  <si>
    <t>HYPPANFMMR80X72X05</t>
  </si>
  <si>
    <t>Peps Hypnos Panorama Soft Top Maroon 80X72X05</t>
  </si>
  <si>
    <t>PANORAMA-FOAM-BLOCK-80X72X05</t>
  </si>
  <si>
    <t>HYPPANFMMR84X30X05</t>
  </si>
  <si>
    <t>Peps Hypnos Panorama Soft Top Maroon 84X30X05</t>
  </si>
  <si>
    <t>PANORAMA-FOAM-BLOCK-84X30X05</t>
  </si>
  <si>
    <t>HYPPANFMMR84X36X05</t>
  </si>
  <si>
    <t>Peps Hypnos Panorama Soft Top Maroon 84X36X05</t>
  </si>
  <si>
    <t>PANORAMA-FOAM-BLOCK-84X36X05</t>
  </si>
  <si>
    <t>HYPPANFMMR84X42X05</t>
  </si>
  <si>
    <t>Peps Hypnos Panorama Soft Top Maroon 84X42X05</t>
  </si>
  <si>
    <t>PANORAMA-FOAM-BLOCK-84X42X05</t>
  </si>
  <si>
    <t>HYPPANFMMR84X48X05</t>
  </si>
  <si>
    <t>Peps Hypnos Panorama Soft Top Maroon 84X48X05</t>
  </si>
  <si>
    <t>PANORAMA-FOAM-BLOCK-84X48X05</t>
  </si>
  <si>
    <t>HYPPANFMMR84X60X05</t>
  </si>
  <si>
    <t>Peps Hypnos Panorama Soft Top Maroon 84X60X05</t>
  </si>
  <si>
    <t>PANORAMA-FOAM-BLOCK-84X60X05</t>
  </si>
  <si>
    <t>HYPPANFMMR84X66X05</t>
  </si>
  <si>
    <t>Peps Hypnos Panorama Soft Top Maroon 84X66X05</t>
  </si>
  <si>
    <t>PANORAMA-FOAM-BLOCK-84X66X05</t>
  </si>
  <si>
    <t>HYPPANFMMR84X72X05</t>
  </si>
  <si>
    <t>Peps Hypnos Panorama Soft Top Maroon 84X72X05</t>
  </si>
  <si>
    <t>PANORAMA-FOAM-BLOCK-84X72X05</t>
  </si>
  <si>
    <t>HYPPANFMDB72X30X05</t>
  </si>
  <si>
    <t>Peps Hypnos Panorama Soft Top Light Blue 72X30X05</t>
  </si>
  <si>
    <t>HYPPANFMDB72X36X05</t>
  </si>
  <si>
    <t>Peps Hypnos Panorama Soft Top Light Blue 72X36X05</t>
  </si>
  <si>
    <t>HYPPANFMDB72X42X05</t>
  </si>
  <si>
    <t>Peps Hypnos Panorama Soft Top Light Blue 72X42X05</t>
  </si>
  <si>
    <t>HYPPANFMDB72X48X05</t>
  </si>
  <si>
    <t>Peps Hypnos Panorama Soft Top Light Blue 72X48X05</t>
  </si>
  <si>
    <t>HYPPANFMDB72X60X05</t>
  </si>
  <si>
    <t>Peps Hypnos Panorama Soft Top Light Blue 72X60X05</t>
  </si>
  <si>
    <t>HYPPANFMDB72X66X05</t>
  </si>
  <si>
    <t>Peps Hypnos Panorama Soft Top Light Blue 72X66X05</t>
  </si>
  <si>
    <t>HYPPANFMDB72X72X05</t>
  </si>
  <si>
    <t>Peps Hypnos Panorama Soft Top Light Blue 72X72X05</t>
  </si>
  <si>
    <t>HYPPANFMDB75X30X05</t>
  </si>
  <si>
    <t>Peps Hypnos Panorama Soft Top Light Blue 75X30X05</t>
  </si>
  <si>
    <t>HYPPANFMDB75X36X05</t>
  </si>
  <si>
    <t>Peps Hypnos Panorama Soft Top Light Blue 75X36X05</t>
  </si>
  <si>
    <t>HYPPANFMDB75X42X05</t>
  </si>
  <si>
    <t>Peps Hypnos Panorama Soft Top Light Blue 75X42X05</t>
  </si>
  <si>
    <t>HYPPANFMDB75X48X05</t>
  </si>
  <si>
    <t>Peps Hypnos Panorama Soft Top Light Blue 75X48X05</t>
  </si>
  <si>
    <t>HYPPANFMDB75X60X05</t>
  </si>
  <si>
    <t>Peps Hypnos Panorama Soft Top Light Blue 75X60X05</t>
  </si>
  <si>
    <t>HYPPANFMDB75X66X05</t>
  </si>
  <si>
    <t>Peps Hypnos Panorama Soft Top Light Blue 75X66X05</t>
  </si>
  <si>
    <t>HYPPANFMDB75X72X05</t>
  </si>
  <si>
    <t>Peps Hypnos Panorama Soft Top Light Blue 75X72X05</t>
  </si>
  <si>
    <t>HYPPANFMDB78X30X05</t>
  </si>
  <si>
    <t>Peps Hypnos Panorama Soft Top Light Blue 78X30X05</t>
  </si>
  <si>
    <t>HYPPANFMDB78X36X05</t>
  </si>
  <si>
    <t>Peps Hypnos Panorama Soft Top Light Blue 78X36X05</t>
  </si>
  <si>
    <t>HYPPANFMDB78X42X05</t>
  </si>
  <si>
    <t>Peps Hypnos Panorama Soft Top Light Blue 78X42X05</t>
  </si>
  <si>
    <t>HYPPANFMDB78X48X05</t>
  </si>
  <si>
    <t>Peps Hypnos Panorama Soft Top Light Blue 78X48X05</t>
  </si>
  <si>
    <t>HYPPANFMDB78X60X05</t>
  </si>
  <si>
    <t>Peps Hypnos Panorama Soft Top Light Blue 78X60X05</t>
  </si>
  <si>
    <t>HYPPANFMDB78X66X05</t>
  </si>
  <si>
    <t>Peps Hypnos Panorama Soft Top Light Blue 78X66X05</t>
  </si>
  <si>
    <t>HYPPANFMDB78X72X05</t>
  </si>
  <si>
    <t>Peps Hypnos Panorama Soft Top Light Blue 78X72X05</t>
  </si>
  <si>
    <t>HYPPANFMDB80X30X05</t>
  </si>
  <si>
    <t>Peps Hypnos Panorama Soft Top Light Blue 80X30X05</t>
  </si>
  <si>
    <t>HYPPANFMDB80X36X05</t>
  </si>
  <si>
    <t>Peps Hypnos Panorama Soft Top Light Blue 80X36X05</t>
  </si>
  <si>
    <t>HYPPANFMDB80X42X05</t>
  </si>
  <si>
    <t>Peps Hypnos Panorama Soft Top Light Blue 80X42X05</t>
  </si>
  <si>
    <t>HYPPANFMDB80X48X05</t>
  </si>
  <si>
    <t>Peps Hypnos Panorama Soft Top Light Blue 80X48X05</t>
  </si>
  <si>
    <t>HYPPANFMDB80X60X05</t>
  </si>
  <si>
    <t>Peps Hypnos Panorama Soft Top Light Blue 80X60X05</t>
  </si>
  <si>
    <t>HYPPANFMDB80X66X05</t>
  </si>
  <si>
    <t>Peps Hypnos Panorama Soft Top Light Blue 80X66X05</t>
  </si>
  <si>
    <t>HYPPANFMDB80X72X05</t>
  </si>
  <si>
    <t>Peps Hypnos Panorama Soft Top Light Blue 80X72X05</t>
  </si>
  <si>
    <t>HYPPANFMDB84X30X05</t>
  </si>
  <si>
    <t>Peps Hypnos Panorama Soft Top Light Blue 84X30X05</t>
  </si>
  <si>
    <t>HYPPANFMDB84X36X05</t>
  </si>
  <si>
    <t>Peps Hypnos Panorama Soft Top Light Blue 84X36X05</t>
  </si>
  <si>
    <t>HYPPANFMDB84X42X05</t>
  </si>
  <si>
    <t>Peps Hypnos Panorama Soft Top Light Blue 84X42X05</t>
  </si>
  <si>
    <t>HYPPANFMDB84X48X05</t>
  </si>
  <si>
    <t>Peps Hypnos Panorama Soft Top Light Blue 84X48X05</t>
  </si>
  <si>
    <t>HYPPANFMDB84X60X05</t>
  </si>
  <si>
    <t>Peps Hypnos Panorama Soft Top Light Blue 84X60X05</t>
  </si>
  <si>
    <t>HYPPANFMDB84X66X05</t>
  </si>
  <si>
    <t>Peps Hypnos Panorama Soft Top Light Blue 84X66X05</t>
  </si>
  <si>
    <t>HYPPANFMDB84X72X05</t>
  </si>
  <si>
    <t>Peps Hypnos Panorama Soft Top Light Blue 84X72X05</t>
  </si>
  <si>
    <t>HYPPANFMBG72X30X05</t>
  </si>
  <si>
    <t>Peps Hypnos Panorama Soft Top Beige 72X30X05</t>
  </si>
  <si>
    <t>HYPPANFMBG72X36X05</t>
  </si>
  <si>
    <t>Peps Hypnos Panorama Soft Top Beige 72X36X05</t>
  </si>
  <si>
    <t>HYPPANFMBG72X42X05</t>
  </si>
  <si>
    <t>Peps Hypnos Panorama Soft Top Beige 72X42X05</t>
  </si>
  <si>
    <t>HYPPANFMBG72X48X05</t>
  </si>
  <si>
    <t>Peps Hypnos Panorama Soft Top Beige 72X48X05</t>
  </si>
  <si>
    <t>HYPPANFMBG72X60X05</t>
  </si>
  <si>
    <t>Peps Hypnos Panorama Soft Top Beige 72X60X05</t>
  </si>
  <si>
    <t>HYPPANFMBG72X66X05</t>
  </si>
  <si>
    <t>Peps Hypnos Panorama Soft Top Beige 72X66X05</t>
  </si>
  <si>
    <t>HYPPANFMBG72X72X05</t>
  </si>
  <si>
    <t>Peps Hypnos Panorama Soft Top Beige 72X72X05</t>
  </si>
  <si>
    <t>HYPPANFMBG75X30X05</t>
  </si>
  <si>
    <t>Peps Hypnos Panorama Soft Top Beige 75X30X05</t>
  </si>
  <si>
    <t>HYPPANFMBG75X36X05</t>
  </si>
  <si>
    <t>Peps Hypnos Panorama Soft Top Beige 75X36X05</t>
  </si>
  <si>
    <t>HYPPANFMBG75X42X05</t>
  </si>
  <si>
    <t>Peps Hypnos Panorama Soft Top Beige 75X42X05</t>
  </si>
  <si>
    <t>HYPPANFMBG75X48X05</t>
  </si>
  <si>
    <t>Peps Hypnos Panorama Soft Top Beige 75X48X05</t>
  </si>
  <si>
    <t>HYPPANFMBG75X60X05</t>
  </si>
  <si>
    <t>Peps Hypnos Panorama Soft Top Beige 75X60X05</t>
  </si>
  <si>
    <t>HYPPANFMBG75X66X05</t>
  </si>
  <si>
    <t>Peps Hypnos Panorama Soft Top Beige 75X66X05</t>
  </si>
  <si>
    <t>HYPPANFMBG75X72X05</t>
  </si>
  <si>
    <t>Peps Hypnos Panorama Soft Top Beige 75X72X05</t>
  </si>
  <si>
    <t>HYPPANFMBG78X30X05</t>
  </si>
  <si>
    <t>Peps Hypnos Panorama Soft Top Beige 78X30X05</t>
  </si>
  <si>
    <t>HYPPANFMBG78X36X05</t>
  </si>
  <si>
    <t>Peps Hypnos Panorama Soft Top Beige 78X36X05</t>
  </si>
  <si>
    <t>HYPPANFMBG78X42X05</t>
  </si>
  <si>
    <t>Peps Hypnos Panorama Soft Top Beige 78X42X05</t>
  </si>
  <si>
    <t>HYPPANFMBG78X48X05</t>
  </si>
  <si>
    <t>Peps Hypnos Panorama Soft Top Beige 78X48X05</t>
  </si>
  <si>
    <t>HYPPANFMBG78X60X05</t>
  </si>
  <si>
    <t>Peps Hypnos Panorama Soft Top Beige 78X60X05</t>
  </si>
  <si>
    <t>HYPPANFMBG78X66X05</t>
  </si>
  <si>
    <t>Peps Hypnos Panorama Soft Top Beige 78X66X05</t>
  </si>
  <si>
    <t>HYPPANFMBG78X72X05</t>
  </si>
  <si>
    <t>Peps Hypnos Panorama Soft Top Beige 78X72X05</t>
  </si>
  <si>
    <t>HYPPANFMBG80X30X05</t>
  </si>
  <si>
    <t>Peps Hypnos Panorama Soft Top Beige 80X30X05</t>
  </si>
  <si>
    <t>HYPPANFMBG80X36X05</t>
  </si>
  <si>
    <t>Peps Hypnos Panorama Soft Top Beige 80X36X05</t>
  </si>
  <si>
    <t>HYPPANFMBG80X42X05</t>
  </si>
  <si>
    <t>Peps Hypnos Panorama Soft Top Beige 80X42X05</t>
  </si>
  <si>
    <t>HYPPANFMBG80X48X05</t>
  </si>
  <si>
    <t>Peps Hypnos Panorama Soft Top Beige 80X48X05</t>
  </si>
  <si>
    <t>HYPPANFMBG80X60X05</t>
  </si>
  <si>
    <t>Peps Hypnos Panorama Soft Top Beige 80X60X05</t>
  </si>
  <si>
    <t>HYPPANFMBG80X66X05</t>
  </si>
  <si>
    <t>Peps Hypnos Panorama Soft Top Beige 80X66X05</t>
  </si>
  <si>
    <t>HYPPANFMBG80X72X05</t>
  </si>
  <si>
    <t>Peps Hypnos Panorama Soft Top Beige 80X72X05</t>
  </si>
  <si>
    <t>HYPPANFMBG84X30X05</t>
  </si>
  <si>
    <t>Peps Hypnos Panorama Soft Top Beige 84X30X05</t>
  </si>
  <si>
    <t>HYPPANFMBG84X36X05</t>
  </si>
  <si>
    <t>Peps Hypnos Panorama Soft Top Beige 84X36X05</t>
  </si>
  <si>
    <t>HYPPANFMBG84X42X05</t>
  </si>
  <si>
    <t>Peps Hypnos Panorama Soft Top Beige 84X42X05</t>
  </si>
  <si>
    <t>HYPPANFMBG84X48X05</t>
  </si>
  <si>
    <t>Peps Hypnos Panorama Soft Top Beige 84X48X05</t>
  </si>
  <si>
    <t>HYPPANFMBG84X60X05</t>
  </si>
  <si>
    <t>Peps Hypnos Panorama Soft Top Beige 84X60X05</t>
  </si>
  <si>
    <t>HYPPANFMBG84X66X05</t>
  </si>
  <si>
    <t>Peps Hypnos Panorama Soft Top Beige 84X66X05</t>
  </si>
  <si>
    <t>HYPPANFMBG84X72X05</t>
  </si>
  <si>
    <t>Peps Hypnos Panorama Soft Top Beige 84X72X05</t>
  </si>
  <si>
    <t>HYPPANFMMR72X30X06</t>
  </si>
  <si>
    <t>Peps Hypnos Panorama Soft Top Maroon 72X30X06</t>
  </si>
  <si>
    <t>PANORAMA-FOAM-BLOCK-72X30X06</t>
  </si>
  <si>
    <t>HYPPANFMMR72X36X06</t>
  </si>
  <si>
    <t>Peps Hypnos Panorama Soft Top Maroon 72X36X06</t>
  </si>
  <si>
    <t>PANORAMA-FOAM-BLOCK-72X36X06</t>
  </si>
  <si>
    <t>HYPPANFMMR72X42X06</t>
  </si>
  <si>
    <t>Peps Hypnos Panorama Soft Top Maroon 72X42X06</t>
  </si>
  <si>
    <t>PANORAMA-FOAM-BLOCK-72X42X06</t>
  </si>
  <si>
    <t>HYPPANFMMR72X48X06</t>
  </si>
  <si>
    <t>Peps Hypnos Panorama Soft Top Maroon 72X48X06</t>
  </si>
  <si>
    <t>PANORAMA-FOAM-BLOCK-72X48X06</t>
  </si>
  <si>
    <t>HYPPANFMMR72X60X06</t>
  </si>
  <si>
    <t>Peps Hypnos Panorama Soft Top Maroon 72X60X06</t>
  </si>
  <si>
    <t>PANORAMA-FOAM-BLOCK-72X60X06</t>
  </si>
  <si>
    <t>HYPPANFMMR72X66X06</t>
  </si>
  <si>
    <t>Peps Hypnos Panorama Soft Top Maroon 72X66X06</t>
  </si>
  <si>
    <t>PANORAMA-FOAM-BLOCK-72X66X06</t>
  </si>
  <si>
    <t>HYPPANFMMR72X72X06</t>
  </si>
  <si>
    <t>Peps Hypnos Panorama Soft Top Maroon 72X72X06</t>
  </si>
  <si>
    <t>PANORAMA-FOAM-BLOCK-72X72X06</t>
  </si>
  <si>
    <t>HYPPANFMMR75X30X06</t>
  </si>
  <si>
    <t>Peps Hypnos Panorama Soft Top Maroon 75X30X06</t>
  </si>
  <si>
    <t>PANORAMA-FOAM-BLOCK-75X30X06</t>
  </si>
  <si>
    <t>HYPPANFMMR75X36X06</t>
  </si>
  <si>
    <t>Peps Hypnos Panorama Soft Top Maroon 75X36X06</t>
  </si>
  <si>
    <t>PANORAMA-FOAM-BLOCK-75X36X06</t>
  </si>
  <si>
    <t>HYPPANFMMR75X42X06</t>
  </si>
  <si>
    <t>Peps Hypnos Panorama Soft Top Maroon 75X42X06</t>
  </si>
  <si>
    <t>PANORAMA-FOAM-BLOCK-75X42X06</t>
  </si>
  <si>
    <t>HYPPANFMMR75X48X06</t>
  </si>
  <si>
    <t>Peps Hypnos Panorama Soft Top Maroon 75X48X06</t>
  </si>
  <si>
    <t>PANORAMA-FOAM-BLOCK-75X48X06</t>
  </si>
  <si>
    <t>HYPPANFMMR75X60X06</t>
  </si>
  <si>
    <t>Peps Hypnos Panorama Soft Top Maroon 75X60X06</t>
  </si>
  <si>
    <t>PANORAMA-FOAM-BLOCK-75X60X06</t>
  </si>
  <si>
    <t>HYPPANFMMR75X66X06</t>
  </si>
  <si>
    <t>Peps Hypnos Panorama Soft Top Maroon 75X66X06</t>
  </si>
  <si>
    <t>PANORAMA-FOAM-BLOCK-75X66X06</t>
  </si>
  <si>
    <t>HYPPANFMMR75X72X06</t>
  </si>
  <si>
    <t>Peps Hypnos Panorama Soft Top Maroon 75X72X06</t>
  </si>
  <si>
    <t>PANORAMA-FOAM-BLOCK-75X72X06</t>
  </si>
  <si>
    <t>HYPPANFMMR78X30X06</t>
  </si>
  <si>
    <t>Peps Hypnos Panorama Soft Top Maroon 78X30X06</t>
  </si>
  <si>
    <t>PANORAMA-FOAM-BLOCK-78X30X06</t>
  </si>
  <si>
    <t>HYPPANFMMR78X36X06</t>
  </si>
  <si>
    <t>Peps Hypnos Panorama Soft Top Maroon 78X36X06</t>
  </si>
  <si>
    <t>PANORAMA-FOAM-BLOCK-78X36X06</t>
  </si>
  <si>
    <t>HYPPANFMMR78X42X06</t>
  </si>
  <si>
    <t>Peps Hypnos Panorama Soft Top Maroon 78X42X06</t>
  </si>
  <si>
    <t>PANORAMA-FOAM-BLOCK-78X42X06</t>
  </si>
  <si>
    <t>HYPPANFMMR78X48X06</t>
  </si>
  <si>
    <t>Peps Hypnos Panorama Soft Top Maroon 78X48X06</t>
  </si>
  <si>
    <t>PANORAMA-FOAM-BLOCK-78X48X06</t>
  </si>
  <si>
    <t>HYPPANFMMR78X60X06</t>
  </si>
  <si>
    <t>Peps Hypnos Panorama Soft Top Maroon 78X60X06</t>
  </si>
  <si>
    <t>PANORAMA-FOAM-BLOCK-78X60X06</t>
  </si>
  <si>
    <t>HYPPANFMMR78X66X06</t>
  </si>
  <si>
    <t>Peps Hypnos Panorama Soft Top Maroon 78X66X06</t>
  </si>
  <si>
    <t>PANORAMA-FOAM-BLOCK-78X66X06</t>
  </si>
  <si>
    <t>HYPPANFMMR78X72X06</t>
  </si>
  <si>
    <t>Peps Hypnos Panorama Soft Top Maroon 78X72X06</t>
  </si>
  <si>
    <t>PANORAMA-FOAM-BLOCK-78X72X06</t>
  </si>
  <si>
    <t>HYPPANFMMR80X30X06</t>
  </si>
  <si>
    <t>Peps Hypnos Panorama Soft Top Maroon 80X30X06</t>
  </si>
  <si>
    <t>PANORAMA-FOAM-BLOCK-80X30X06</t>
  </si>
  <si>
    <t>HYPPANFMMR80X36X06</t>
  </si>
  <si>
    <t>Peps Hypnos Panorama Soft Top Maroon 80X36X06</t>
  </si>
  <si>
    <t>PANORAMA-FOAM-BLOCK-80X36X06</t>
  </si>
  <si>
    <t>HYPPANFMMR80X42X06</t>
  </si>
  <si>
    <t>Peps Hypnos Panorama Soft Top Maroon 80X42X06</t>
  </si>
  <si>
    <t>PANORAMA-FOAM-BLOCK-80X42X06</t>
  </si>
  <si>
    <t>HYPPANFMMR80X48X06</t>
  </si>
  <si>
    <t>Peps Hypnos Panorama Soft Top Maroon 80X48X06</t>
  </si>
  <si>
    <t>PANORAMA-FOAM-BLOCK-80X48X06</t>
  </si>
  <si>
    <t>HYPPANFMMR80X60X06</t>
  </si>
  <si>
    <t>Peps Hypnos Panorama Soft Top Maroon 80X60X06</t>
  </si>
  <si>
    <t>PANORAMA-FOAM-BLOCK-80X60X06</t>
  </si>
  <si>
    <t>HYPPANFMMR80X66X06</t>
  </si>
  <si>
    <t>Peps Hypnos Panorama Soft Top Maroon 80X66X06</t>
  </si>
  <si>
    <t>PANORAMA-FOAM-BLOCK-80X66X06</t>
  </si>
  <si>
    <t>HYPPANFMMR80X72X06</t>
  </si>
  <si>
    <t>Peps Hypnos Panorama Soft Top Maroon 80X72X06</t>
  </si>
  <si>
    <t>PANORAMA-FOAM-BLOCK-80X72X06</t>
  </si>
  <si>
    <t>HYPPANFMMR84X30X06</t>
  </si>
  <si>
    <t>Peps Hypnos Panorama Soft Top Maroon 84X30X06</t>
  </si>
  <si>
    <t>PANORAMA-FOAM-BLOCK-84X30X06</t>
  </si>
  <si>
    <t>HYPPANFMMR84X36X06</t>
  </si>
  <si>
    <t>Peps Hypnos Panorama Soft Top Maroon 84X36X06</t>
  </si>
  <si>
    <t>PANORAMA-FOAM-BLOCK-84X36X06</t>
  </si>
  <si>
    <t>HYPPANFMMR84X42X06</t>
  </si>
  <si>
    <t>Peps Hypnos Panorama Soft Top Maroon 84X42X06</t>
  </si>
  <si>
    <t>PANORAMA-FOAM-BLOCK-84X42X06</t>
  </si>
  <si>
    <t>HYPPANFMMR84X48X06</t>
  </si>
  <si>
    <t>Peps Hypnos Panorama Soft Top Maroon 84X48X06</t>
  </si>
  <si>
    <t>PANORAMA-FOAM-BLOCK-84X48X06</t>
  </si>
  <si>
    <t>HYPPANFMMR84X60X06</t>
  </si>
  <si>
    <t>Peps Hypnos Panorama Soft Top Maroon 84X60X06</t>
  </si>
  <si>
    <t>PANORAMA-FOAM-BLOCK-84X60X06</t>
  </si>
  <si>
    <t>HYPPANFMMR84X66X06</t>
  </si>
  <si>
    <t>Peps Hypnos Panorama Soft Top Maroon 84X66X06</t>
  </si>
  <si>
    <t>PANORAMA-FOAM-BLOCK-84X66X06</t>
  </si>
  <si>
    <t>HYPPANFMMR84X72X06</t>
  </si>
  <si>
    <t>Peps Hypnos Panorama Soft Top Maroon 84X72X06</t>
  </si>
  <si>
    <t>PANORAMA-FOAM-BLOCK-84X72X06</t>
  </si>
  <si>
    <t>HYPPANFMDB72X30X06</t>
  </si>
  <si>
    <t>Peps Hypnos Panorama Soft Top Light Blue 72X30X06</t>
  </si>
  <si>
    <t>HYPPANFMDB72X36X06</t>
  </si>
  <si>
    <t>Peps Hypnos Panorama Soft Top Light Blue 72X36X06</t>
  </si>
  <si>
    <t>HYPPANFMDB72X42X06</t>
  </si>
  <si>
    <t>Peps Hypnos Panorama Soft Top Light Blue 72X42X06</t>
  </si>
  <si>
    <t>HYPPANFMDB72X48X06</t>
  </si>
  <si>
    <t>Peps Hypnos Panorama Soft Top Light Blue 72X48X06</t>
  </si>
  <si>
    <t>HYPPANFMDB72X60X06</t>
  </si>
  <si>
    <t>Peps Hypnos Panorama Soft Top Light Blue 72X60X06</t>
  </si>
  <si>
    <t>HYPPANFMDB72X66X06</t>
  </si>
  <si>
    <t>Peps Hypnos Panorama Soft Top Light Blue 72X66X06</t>
  </si>
  <si>
    <t>HYPPANFMDB72X72X06</t>
  </si>
  <si>
    <t>Peps Hypnos Panorama Soft Top Light Blue 72X72X06</t>
  </si>
  <si>
    <t>HYPPANFMDB75X30X06</t>
  </si>
  <si>
    <t>Peps Hypnos Panorama Soft Top Light Blue 75X30X06</t>
  </si>
  <si>
    <t>HYPPANFMDB75X36X06</t>
  </si>
  <si>
    <t>Peps Hypnos Panorama Soft Top Light Blue 75X36X06</t>
  </si>
  <si>
    <t>HYPPANFMDB75X42X06</t>
  </si>
  <si>
    <t>Peps Hypnos Panorama Soft Top Light Blue 75X42X06</t>
  </si>
  <si>
    <t>HYPPANFMDB75X48X06</t>
  </si>
  <si>
    <t>Peps Hypnos Panorama Soft Top Light Blue 75X48X06</t>
  </si>
  <si>
    <t>HYPPANFMDB75X60X06</t>
  </si>
  <si>
    <t>Peps Hypnos Panorama Soft Top Light Blue 75X60X06</t>
  </si>
  <si>
    <t>HYPPANFMDB75X66X06</t>
  </si>
  <si>
    <t>Peps Hypnos Panorama Soft Top Light Blue 75X66X06</t>
  </si>
  <si>
    <t>HYPPANFMDB75X72X06</t>
  </si>
  <si>
    <t>Peps Hypnos Panorama Soft Top Light Blue 75X72X06</t>
  </si>
  <si>
    <t>HYPPANFMDB78X30X06</t>
  </si>
  <si>
    <t>Peps Hypnos Panorama Soft Top Light Blue 78X30X06</t>
  </si>
  <si>
    <t>HYPPANFMDB78X36X06</t>
  </si>
  <si>
    <t>Peps Hypnos Panorama Soft Top Light Blue 78X36X06</t>
  </si>
  <si>
    <t>HYPPANFMDB78X42X06</t>
  </si>
  <si>
    <t>Peps Hypnos Panorama Soft Top Light Blue 78X42X06</t>
  </si>
  <si>
    <t>HYPPANFMDB78X48X06</t>
  </si>
  <si>
    <t>Peps Hypnos Panorama Soft Top Light Blue 78X48X06</t>
  </si>
  <si>
    <t>HYPPANFMDB78X60X06</t>
  </si>
  <si>
    <t>Peps Hypnos Panorama Soft Top Light Blue 78X60X06</t>
  </si>
  <si>
    <t>HYPPANFMDB78X66X06</t>
  </si>
  <si>
    <t>Peps Hypnos Panorama Soft Top Light Blue 78X66X06</t>
  </si>
  <si>
    <t>HYPPANFMDB78X72X06</t>
  </si>
  <si>
    <t>Peps Hypnos Panorama Soft Top Light Blue 78X72X06</t>
  </si>
  <si>
    <t>HYPPANFMDB80X30X06</t>
  </si>
  <si>
    <t>Peps Hypnos Panorama Soft Top Light Blue 80X30X06</t>
  </si>
  <si>
    <t>HYPPANFMDB80X36X06</t>
  </si>
  <si>
    <t>Peps Hypnos Panorama Soft Top Light Blue 80X36X06</t>
  </si>
  <si>
    <t>HYPPANFMDB80X42X06</t>
  </si>
  <si>
    <t>Peps Hypnos Panorama Soft Top Light Blue 80X42X06</t>
  </si>
  <si>
    <t>HYPPANFMDB80X48X06</t>
  </si>
  <si>
    <t>Peps Hypnos Panorama Soft Top Light Blue 80X48X06</t>
  </si>
  <si>
    <t>HYPPANFMDB80X60X06</t>
  </si>
  <si>
    <t>Peps Hypnos Panorama Soft Top Light Blue 80X60X06</t>
  </si>
  <si>
    <t>HYPPANFMDB80X66X06</t>
  </si>
  <si>
    <t>Peps Hypnos Panorama Soft Top Light Blue 80X66X06</t>
  </si>
  <si>
    <t>HYPPANFMDB80X72X06</t>
  </si>
  <si>
    <t>Peps Hypnos Panorama Soft Top Light Blue 80X72X06</t>
  </si>
  <si>
    <t>HYPPANFMDB84X30X06</t>
  </si>
  <si>
    <t>Peps Hypnos Panorama Soft Top Light Blue 84X30X06</t>
  </si>
  <si>
    <t>HYPPANFMDB84X36X06</t>
  </si>
  <si>
    <t>Peps Hypnos Panorama Soft Top Light Blue 84X36X06</t>
  </si>
  <si>
    <t>HYPPANFMDB84X42X06</t>
  </si>
  <si>
    <t>Peps Hypnos Panorama Soft Top Light Blue 84X42X06</t>
  </si>
  <si>
    <t>HYPPANFMDB84X48X06</t>
  </si>
  <si>
    <t>Peps Hypnos Panorama Soft Top Light Blue 84X48X06</t>
  </si>
  <si>
    <t>HYPPANFMDB84X60X06</t>
  </si>
  <si>
    <t>Peps Hypnos Panorama Soft Top Light Blue 84X60X06</t>
  </si>
  <si>
    <t>HYPPANFMDB84X66X06</t>
  </si>
  <si>
    <t>Peps Hypnos Panorama Soft Top Light Blue 84X66X06</t>
  </si>
  <si>
    <t>HYPPANFMDB84X72X06</t>
  </si>
  <si>
    <t>Peps Hypnos Panorama Soft Top Light Blue 84X72X06</t>
  </si>
  <si>
    <t>HYPPANFMBG72X30X06</t>
  </si>
  <si>
    <t>Peps Hypnos Panorama Soft Top Beige 72X30X06</t>
  </si>
  <si>
    <t>HYPPANFMBG72X36X06</t>
  </si>
  <si>
    <t>Peps Hypnos Panorama Soft Top Beige 72X36X06</t>
  </si>
  <si>
    <t>HYPPANFMBG72X42X06</t>
  </si>
  <si>
    <t>Peps Hypnos Panorama Soft Top Beige 72X42X06</t>
  </si>
  <si>
    <t>HYPPANFMBG72X48X06</t>
  </si>
  <si>
    <t>Peps Hypnos Panorama Soft Top Beige 72X48X06</t>
  </si>
  <si>
    <t>HYPPANFMBG72X60X06</t>
  </si>
  <si>
    <t>Peps Hypnos Panorama Soft Top Beige 72X60X06</t>
  </si>
  <si>
    <t>HYPPANFMBG72X66X06</t>
  </si>
  <si>
    <t>Peps Hypnos Panorama Soft Top Beige 72X66X06</t>
  </si>
  <si>
    <t>HYPPANFMBG72X72X06</t>
  </si>
  <si>
    <t>Peps Hypnos Panorama Soft Top Beige 72X72X06</t>
  </si>
  <si>
    <t>HYPPANFMBG75X30X06</t>
  </si>
  <si>
    <t>Peps Hypnos Panorama Soft Top Beige 75X30X06</t>
  </si>
  <si>
    <t>HYPPANFMBG75X36X06</t>
  </si>
  <si>
    <t>Peps Hypnos Panorama Soft Top Beige 75X36X06</t>
  </si>
  <si>
    <t>HYPPANFMBG75X42X06</t>
  </si>
  <si>
    <t>Peps Hypnos Panorama Soft Top Beige 75X42X06</t>
  </si>
  <si>
    <t>HYPPANFMBG75X48X06</t>
  </si>
  <si>
    <t>Peps Hypnos Panorama Soft Top Beige 75X48X06</t>
  </si>
  <si>
    <t>HYPPANFMBG75X60X06</t>
  </si>
  <si>
    <t>Peps Hypnos Panorama Soft Top Beige 75X60X06</t>
  </si>
  <si>
    <t>HYPPANFMBG75X66X06</t>
  </si>
  <si>
    <t>Peps Hypnos Panorama Soft Top Beige 75X66X06</t>
  </si>
  <si>
    <t>HYPPANFMBG75X72X06</t>
  </si>
  <si>
    <t>Peps Hypnos Panorama Soft Top Beige 75X72X06</t>
  </si>
  <si>
    <t>HYPPANFMBG78X30X06</t>
  </si>
  <si>
    <t>Peps Hypnos Panorama Soft Top Beige 78X30X06</t>
  </si>
  <si>
    <t>HYPPANFMBG78X36X06</t>
  </si>
  <si>
    <t>Peps Hypnos Panorama Soft Top Beige 78X36X06</t>
  </si>
  <si>
    <t>HYPPANFMBG78X42X06</t>
  </si>
  <si>
    <t>Peps Hypnos Panorama Soft Top Beige 78X42X06</t>
  </si>
  <si>
    <t>HYPPANFMBG78X48X06</t>
  </si>
  <si>
    <t>Peps Hypnos Panorama Soft Top Beige 78X48X06</t>
  </si>
  <si>
    <t>HYPPANFMBG78X60X06</t>
  </si>
  <si>
    <t>Peps Hypnos Panorama Soft Top Beige 78X60X06</t>
  </si>
  <si>
    <t>HYPPANFMBG78X66X06</t>
  </si>
  <si>
    <t>Peps Hypnos Panorama Soft Top Beige 78X66X06</t>
  </si>
  <si>
    <t>HYPPANFMBG78X72X06</t>
  </si>
  <si>
    <t>Peps Hypnos Panorama Soft Top Beige 78X72X06</t>
  </si>
  <si>
    <t>HYPPANFMBG80X30X06</t>
  </si>
  <si>
    <t>Peps Hypnos Panorama Soft Top Beige 80X30X06</t>
  </si>
  <si>
    <t>HYPPANFMBG80X36X06</t>
  </si>
  <si>
    <t>Peps Hypnos Panorama Soft Top Beige 80X36X06</t>
  </si>
  <si>
    <t>HYPPANFMBG80X42X06</t>
  </si>
  <si>
    <t>Peps Hypnos Panorama Soft Top Beige 80X42X06</t>
  </si>
  <si>
    <t>HYPPANFMBG80X48X06</t>
  </si>
  <si>
    <t>Peps Hypnos Panorama Soft Top Beige 80X48X06</t>
  </si>
  <si>
    <t>HYPPANFMBG80X60X06</t>
  </si>
  <si>
    <t>Peps Hypnos Panorama Soft Top Beige 80X60X06</t>
  </si>
  <si>
    <t>HYPPANFMBG80X66X06</t>
  </si>
  <si>
    <t>Peps Hypnos Panorama Soft Top Beige 80X66X06</t>
  </si>
  <si>
    <t>HYPPANFMBG80X72X06</t>
  </si>
  <si>
    <t>Peps Hypnos Panorama Soft Top Beige 80X72X06</t>
  </si>
  <si>
    <t>HYPPANFMBG84X30X06</t>
  </si>
  <si>
    <t>Peps Hypnos Panorama Soft Top Beige 84X30X06</t>
  </si>
  <si>
    <t>HYPPANFMBG84X36X06</t>
  </si>
  <si>
    <t>Peps Hypnos Panorama Soft Top Beige 84X36X06</t>
  </si>
  <si>
    <t>HYPPANFMBG84X42X06</t>
  </si>
  <si>
    <t>Peps Hypnos Panorama Soft Top Beige 84X42X06</t>
  </si>
  <si>
    <t>HYPPANFMBG84X48X06</t>
  </si>
  <si>
    <t>Peps Hypnos Panorama Soft Top Beige 84X48X06</t>
  </si>
  <si>
    <t>HYPPANFMBG84X60X06</t>
  </si>
  <si>
    <t>Peps Hypnos Panorama Soft Top Beige 84X60X06</t>
  </si>
  <si>
    <t>HYPPANFMBG84X66X06</t>
  </si>
  <si>
    <t>Peps Hypnos Panorama Soft Top Beige 84X66X06</t>
  </si>
  <si>
    <t>HYPPANFMBG84X72X06</t>
  </si>
  <si>
    <t>Peps Hypnos Panorama Soft Top Beige 84X72X06</t>
  </si>
  <si>
    <t>HYPPANFMMR72X30X08</t>
  </si>
  <si>
    <t>Peps Hypnos Panorama Soft Top Maroon 72X30X08</t>
  </si>
  <si>
    <t>PANORAMA-FOAM-BLOCK-72X30X08</t>
  </si>
  <si>
    <t>HYPPANFMMR72X36X08</t>
  </si>
  <si>
    <t>Peps Hypnos Panorama Soft Top Maroon 72X36X08</t>
  </si>
  <si>
    <t>PANORAMA-FOAM-BLOCK-72X36X08</t>
  </si>
  <si>
    <t>HYPPANFMMR72X42X08</t>
  </si>
  <si>
    <t>Peps Hypnos Panorama Soft Top Maroon 72X42X08</t>
  </si>
  <si>
    <t>PANORAMA-FOAM-BLOCK-72X42X08</t>
  </si>
  <si>
    <t>HYPPANFMMR72X48X08</t>
  </si>
  <si>
    <t>Peps Hypnos Panorama Soft Top Maroon 72X48X08</t>
  </si>
  <si>
    <t>PANORAMA-FOAM-BLOCK-72X48X08</t>
  </si>
  <si>
    <t>HYPPANFMMR72X60X08</t>
  </si>
  <si>
    <t>Peps Hypnos Panorama Soft Top Maroon 72X60X08</t>
  </si>
  <si>
    <t>PANORAMA-FOAM-BLOCK-72X60X08</t>
  </si>
  <si>
    <t>HYPPANFMMR72X66X08</t>
  </si>
  <si>
    <t>Peps Hypnos Panorama Soft Top Maroon 72X66X08</t>
  </si>
  <si>
    <t>PANORAMA-FOAM-BLOCK-72X66X08</t>
  </si>
  <si>
    <t>HYPPANFMMR72X72X08</t>
  </si>
  <si>
    <t>Peps Hypnos Panorama Soft Top Maroon 72X72X08</t>
  </si>
  <si>
    <t>PANORAMA-FOAM-BLOCK-72X72X08</t>
  </si>
  <si>
    <t>HYPPANFMMR75X30X08</t>
  </si>
  <si>
    <t>Peps Hypnos Panorama Soft Top Maroon 75X30X08</t>
  </si>
  <si>
    <t>PANORAMA-FOAM-BLOCK-75X30X08</t>
  </si>
  <si>
    <t>HYPPANFMMR75X36X08</t>
  </si>
  <si>
    <t>Peps Hypnos Panorama Soft Top Maroon 75X36X08</t>
  </si>
  <si>
    <t>PANORAMA-FOAM-BLOCK-75X36X08</t>
  </si>
  <si>
    <t>HYPPANFMMR75X42X08</t>
  </si>
  <si>
    <t>Peps Hypnos Panorama Soft Top Maroon 75X42X08</t>
  </si>
  <si>
    <t>PANORAMA-FOAM-BLOCK-75X42X08</t>
  </si>
  <si>
    <t>HYPPANFMMR75X48X08</t>
  </si>
  <si>
    <t>Peps Hypnos Panorama Soft Top Maroon 75X48X08</t>
  </si>
  <si>
    <t>PANORAMA-FOAM-BLOCK-75X48X08</t>
  </si>
  <si>
    <t>HYPPANFMMR75X60X08</t>
  </si>
  <si>
    <t>Peps Hypnos Panorama Soft Top Maroon 75X60X08</t>
  </si>
  <si>
    <t>PANORAMA-FOAM-BLOCK-75X60X08</t>
  </si>
  <si>
    <t>HYPPANFMMR75X66X08</t>
  </si>
  <si>
    <t>Peps Hypnos Panorama Soft Top Maroon 75X66X08</t>
  </si>
  <si>
    <t>PANORAMA-FOAM-BLOCK-75X66X08</t>
  </si>
  <si>
    <t>HYPPANFMMR75X72X08</t>
  </si>
  <si>
    <t>Peps Hypnos Panorama Soft Top Maroon 75X72X08</t>
  </si>
  <si>
    <t>PANORAMA-FOAM-BLOCK-75X72X08</t>
  </si>
  <si>
    <t>HYPPANFMMR78X30X08</t>
  </si>
  <si>
    <t>Peps Hypnos Panorama Soft Top Maroon 78X30X08</t>
  </si>
  <si>
    <t>PANORAMA-FOAM-BLOCK-78X30X08</t>
  </si>
  <si>
    <t>HYPPANFMMR78X36X08</t>
  </si>
  <si>
    <t>Peps Hypnos Panorama Soft Top Maroon 78X36X08</t>
  </si>
  <si>
    <t>PANORAMA-FOAM-BLOCK-78X36X08</t>
  </si>
  <si>
    <t>HYPPANFMMR78X42X08</t>
  </si>
  <si>
    <t>Peps Hypnos Panorama Soft Top Maroon 78X42X08</t>
  </si>
  <si>
    <t>PANORAMA-FOAM-BLOCK-78X42X08</t>
  </si>
  <si>
    <t>HYPPANFMMR78X48X08</t>
  </si>
  <si>
    <t>Peps Hypnos Panorama Soft Top Maroon 78X48X08</t>
  </si>
  <si>
    <t>PANORAMA-FOAM-BLOCK-78X48X08</t>
  </si>
  <si>
    <t>HYPPANFMMR78X60X08</t>
  </si>
  <si>
    <t>Peps Hypnos Panorama Soft Top Maroon 78X60X08</t>
  </si>
  <si>
    <t>PANORAMA-FOAM-BLOCK-78X60X08</t>
  </si>
  <si>
    <t>HYPPANFMMR78X66X08</t>
  </si>
  <si>
    <t>Peps Hypnos Panorama Soft Top Maroon 78X66X08</t>
  </si>
  <si>
    <t>PANORAMA-FOAM-BLOCK-78X66X08</t>
  </si>
  <si>
    <t>HYPPANFMMR78X72X08</t>
  </si>
  <si>
    <t>Peps Hypnos Panorama Soft Top Maroon 78X72X08</t>
  </si>
  <si>
    <t>PANORAMA-FOAM-BLOCK-78X72X08</t>
  </si>
  <si>
    <t>HYPPANFMMR80X30X08</t>
  </si>
  <si>
    <t>Peps Hypnos Panorama Soft Top Maroon 80X30X08</t>
  </si>
  <si>
    <t>PANORAMA-FOAM-BLOCK-80X30X08</t>
  </si>
  <si>
    <t>HYPPANFMMR80X36X08</t>
  </si>
  <si>
    <t>Peps Hypnos Panorama Soft Top Maroon 80X36X08</t>
  </si>
  <si>
    <t>PANORAMA-FOAM-BLOCK-80X36X08</t>
  </si>
  <si>
    <t>HYPPANFMMR80X42X08</t>
  </si>
  <si>
    <t>Peps Hypnos Panorama Soft Top Maroon 80X42X08</t>
  </si>
  <si>
    <t>PANORAMA-FOAM-BLOCK-80X42X08</t>
  </si>
  <si>
    <t>HYPPANFMMR80X48X08</t>
  </si>
  <si>
    <t>Peps Hypnos Panorama Soft Top Maroon 80X48X08</t>
  </si>
  <si>
    <t>PANORAMA-FOAM-BLOCK-80X48X08</t>
  </si>
  <si>
    <t>HYPPANFMMR80X60X08</t>
  </si>
  <si>
    <t>Peps Hypnos Panorama Soft Top Maroon 80X60X08</t>
  </si>
  <si>
    <t>PANORAMA-FOAM-BLOCK-80X60X08</t>
  </si>
  <si>
    <t>HYPPANFMMR80X66X08</t>
  </si>
  <si>
    <t>Peps Hypnos Panorama Soft Top Maroon 80X66X08</t>
  </si>
  <si>
    <t>PANORAMA-FOAM-BLOCK-80X66X08</t>
  </si>
  <si>
    <t>HYPPANFMMR80X72X08</t>
  </si>
  <si>
    <t>Peps Hypnos Panorama Soft Top Maroon 80X72X08</t>
  </si>
  <si>
    <t>PANORAMA-FOAM-BLOCK-80X72X08</t>
  </si>
  <si>
    <t>HYPPANFMMR84X30X08</t>
  </si>
  <si>
    <t>Peps Hypnos Panorama Soft Top Maroon 84X30X08</t>
  </si>
  <si>
    <t>PANORAMA-FOAM-BLOCK-84X30X08</t>
  </si>
  <si>
    <t>HYPPANFMMR84X36X08</t>
  </si>
  <si>
    <t>Peps Hypnos Panorama Soft Top Maroon 84X36X08</t>
  </si>
  <si>
    <t>PANORAMA-FOAM-BLOCK-84X36X08</t>
  </si>
  <si>
    <t>HYPPANFMMR84X42X08</t>
  </si>
  <si>
    <t>Peps Hypnos Panorama Soft Top Maroon 84X42X08</t>
  </si>
  <si>
    <t>PANORAMA-FOAM-BLOCK-84X42X08</t>
  </si>
  <si>
    <t>HYPPANFMMR84X48X08</t>
  </si>
  <si>
    <t>Peps Hypnos Panorama Soft Top Maroon 84X48X08</t>
  </si>
  <si>
    <t>PANORAMA-FOAM-BLOCK-84X48X08</t>
  </si>
  <si>
    <t>HYPPANFMMR84X60X08</t>
  </si>
  <si>
    <t>Peps Hypnos Panorama Soft Top Maroon 84X60X08</t>
  </si>
  <si>
    <t>PANORAMA-FOAM-BLOCK-84X60X08</t>
  </si>
  <si>
    <t>HYPPANFMMR84X66X08</t>
  </si>
  <si>
    <t>Peps Hypnos Panorama Soft Top Maroon 84X66X08</t>
  </si>
  <si>
    <t>PANORAMA-FOAM-BLOCK-84X66X08</t>
  </si>
  <si>
    <t>HYPPANFMMR84X72X08</t>
  </si>
  <si>
    <t>Peps Hypnos Panorama Soft Top Maroon 84X72X08</t>
  </si>
  <si>
    <t>PANORAMA-FOAM-BLOCK-84X72X08</t>
  </si>
  <si>
    <t>HYPPANFMDB72X30X08</t>
  </si>
  <si>
    <t>Peps Hypnos Panorama Soft Top Light Blue 72X30X08</t>
  </si>
  <si>
    <t>HYPPANFMDB72X36X08</t>
  </si>
  <si>
    <t>Peps Hypnos Panorama Soft Top Light Blue 72X36X08</t>
  </si>
  <si>
    <t>HYPPANFMDB72X42X08</t>
  </si>
  <si>
    <t>Peps Hypnos Panorama Soft Top Light Blue 72X42X08</t>
  </si>
  <si>
    <t>HYPPANFMDB72X48X08</t>
  </si>
  <si>
    <t>Peps Hypnos Panorama Soft Top Light Blue 72X48X08</t>
  </si>
  <si>
    <t>HYPPANFMDB72X60X08</t>
  </si>
  <si>
    <t>Peps Hypnos Panorama Soft Top Light Blue 72X60X08</t>
  </si>
  <si>
    <t>HYPPANFMDB72X66X08</t>
  </si>
  <si>
    <t>Peps Hypnos Panorama Soft Top Light Blue 72X66X08</t>
  </si>
  <si>
    <t>HYPPANFMDB72X72X08</t>
  </si>
  <si>
    <t>Peps Hypnos Panorama Soft Top Light Blue 72X72X08</t>
  </si>
  <si>
    <t>HYPPANFMDB75X30X08</t>
  </si>
  <si>
    <t>Peps Hypnos Panorama Soft Top Light Blue 75X30X08</t>
  </si>
  <si>
    <t>HYPPANFMDB75X36X08</t>
  </si>
  <si>
    <t>Peps Hypnos Panorama Soft Top Light Blue 75X36X08</t>
  </si>
  <si>
    <t>HYPPANFMDB75X42X08</t>
  </si>
  <si>
    <t>Peps Hypnos Panorama Soft Top Light Blue 75X42X08</t>
  </si>
  <si>
    <t>HYPPANFMDB75X48X08</t>
  </si>
  <si>
    <t>Peps Hypnos Panorama Soft Top Light Blue 75X48X08</t>
  </si>
  <si>
    <t>HYPPANFMDB75X60X08</t>
  </si>
  <si>
    <t>Peps Hypnos Panorama Soft Top Light Blue 75X60X08</t>
  </si>
  <si>
    <t>HYPPANFMDB75X66X08</t>
  </si>
  <si>
    <t>Peps Hypnos Panorama Soft Top Light Blue 75X66X08</t>
  </si>
  <si>
    <t>HYPPANFMDB75X72X08</t>
  </si>
  <si>
    <t>Peps Hypnos Panorama Soft Top Light Blue 75X72X08</t>
  </si>
  <si>
    <t>HYPPANFMDB78X30X08</t>
  </si>
  <si>
    <t>Peps Hypnos Panorama Soft Top Light Blue 78X30X08</t>
  </si>
  <si>
    <t>HYPPANFMDB78X36X08</t>
  </si>
  <si>
    <t>Peps Hypnos Panorama Soft Top Light Blue 78X36X08</t>
  </si>
  <si>
    <t>HYPPANFMDB78X42X08</t>
  </si>
  <si>
    <t>Peps Hypnos Panorama Soft Top Light Blue 78X42X08</t>
  </si>
  <si>
    <t>HYPPANFMDB78X48X08</t>
  </si>
  <si>
    <t>Peps Hypnos Panorama Soft Top Light Blue 78X48X08</t>
  </si>
  <si>
    <t>HYPPANFMDB78X60X08</t>
  </si>
  <si>
    <t>Peps Hypnos Panorama Soft Top Light Blue 78X60X08</t>
  </si>
  <si>
    <t>HYPPANFMDB78X66X08</t>
  </si>
  <si>
    <t>Peps Hypnos Panorama Soft Top Light Blue 78X66X08</t>
  </si>
  <si>
    <t>HYPPANFMDB78X72X08</t>
  </si>
  <si>
    <t>Peps Hypnos Panorama Soft Top Light Blue 78X72X08</t>
  </si>
  <si>
    <t>HYPPANFMDB80X30X08</t>
  </si>
  <si>
    <t>Peps Hypnos Panorama Soft Top Light Blue 80X30X08</t>
  </si>
  <si>
    <t>HYPPANFMDB80X36X08</t>
  </si>
  <si>
    <t>Peps Hypnos Panorama Soft Top Light Blue 80X36X08</t>
  </si>
  <si>
    <t>HYPPANFMDB80X42X08</t>
  </si>
  <si>
    <t>Peps Hypnos Panorama Soft Top Light Blue 80X42X08</t>
  </si>
  <si>
    <t>HYPPANFMDB80X48X08</t>
  </si>
  <si>
    <t>Peps Hypnos Panorama Soft Top Light Blue 80X48X08</t>
  </si>
  <si>
    <t>HYPPANFMDB80X60X08</t>
  </si>
  <si>
    <t>Peps Hypnos Panorama Soft Top Light Blue 80X60X08</t>
  </si>
  <si>
    <t>HYPPANFMDB80X66X08</t>
  </si>
  <si>
    <t>Peps Hypnos Panorama Soft Top Light Blue 80X66X08</t>
  </si>
  <si>
    <t>HYPPANFMDB80X72X08</t>
  </si>
  <si>
    <t>Peps Hypnos Panorama Soft Top Light Blue 80X72X08</t>
  </si>
  <si>
    <t>HYPPANFMDB84X30X08</t>
  </si>
  <si>
    <t>Peps Hypnos Panorama Soft Top Light Blue 84X30X08</t>
  </si>
  <si>
    <t>HYPPANFMDB84X36X08</t>
  </si>
  <si>
    <t>Peps Hypnos Panorama Soft Top Light Blue 84X36X08</t>
  </si>
  <si>
    <t>HYPPANFMDB84X42X08</t>
  </si>
  <si>
    <t>Peps Hypnos Panorama Soft Top Light Blue 84X42X08</t>
  </si>
  <si>
    <t>HYPPANFMDB84X48X08</t>
  </si>
  <si>
    <t>Peps Hypnos Panorama Soft Top Light Blue 84X48X08</t>
  </si>
  <si>
    <t>HYPPANFMDB84X60X08</t>
  </si>
  <si>
    <t>Peps Hypnos Panorama Soft Top Light Blue 84X60X08</t>
  </si>
  <si>
    <t>HYPPANFMDB84X66X08</t>
  </si>
  <si>
    <t>Peps Hypnos Panorama Soft Top Light Blue 84X66X08</t>
  </si>
  <si>
    <t>HYPPANFMDB84X72X08</t>
  </si>
  <si>
    <t>Peps Hypnos Panorama Soft Top Light Blue 84X72X08</t>
  </si>
  <si>
    <t>HYPPANFMBG72X30X08</t>
  </si>
  <si>
    <t>Peps Hypnos Panorama Soft Top Beige 72X30X08</t>
  </si>
  <si>
    <t>HYPPANFMBG72X36X08</t>
  </si>
  <si>
    <t>Peps Hypnos Panorama Soft Top Beige 72X36X08</t>
  </si>
  <si>
    <t>HYPPANFMBG72X42X08</t>
  </si>
  <si>
    <t>Peps Hypnos Panorama Soft Top Beige 72X42X08</t>
  </si>
  <si>
    <t>HYPPANFMBG72X48X08</t>
  </si>
  <si>
    <t>Peps Hypnos Panorama Soft Top Beige 72X48X08</t>
  </si>
  <si>
    <t>HYPPANFMBG72X60X08</t>
  </si>
  <si>
    <t>Peps Hypnos Panorama Soft Top Beige 72X60X08</t>
  </si>
  <si>
    <t>HYPPANFMBG72X66X08</t>
  </si>
  <si>
    <t>Peps Hypnos Panorama Soft Top Beige 72X66X08</t>
  </si>
  <si>
    <t>HYPPANFMBG72X72X08</t>
  </si>
  <si>
    <t>Peps Hypnos Panorama Soft Top Beige 72X72X08</t>
  </si>
  <si>
    <t>HYPPANFMBG75X30X08</t>
  </si>
  <si>
    <t>Peps Hypnos Panorama Soft Top Beige 75X30X08</t>
  </si>
  <si>
    <t>HYPPANFMBG75X36X08</t>
  </si>
  <si>
    <t>Peps Hypnos Panorama Soft Top Beige 75X36X08</t>
  </si>
  <si>
    <t>HYPPANFMBG75X42X08</t>
  </si>
  <si>
    <t>Peps Hypnos Panorama Soft Top Beige 75X42X08</t>
  </si>
  <si>
    <t>HYPPANFMBG75X48X08</t>
  </si>
  <si>
    <t>Peps Hypnos Panorama Soft Top Beige 75X48X08</t>
  </si>
  <si>
    <t>HYPPANFMBG75X60X08</t>
  </si>
  <si>
    <t>Peps Hypnos Panorama Soft Top Beige 75X60X08</t>
  </si>
  <si>
    <t>HYPPANFMBG75X66X08</t>
  </si>
  <si>
    <t>Peps Hypnos Panorama Soft Top Beige 75X66X08</t>
  </si>
  <si>
    <t>HYPPANFMBG75X72X08</t>
  </si>
  <si>
    <t>Peps Hypnos Panorama Soft Top Beige 75X72X08</t>
  </si>
  <si>
    <t>HYPPANFMBG78X30X08</t>
  </si>
  <si>
    <t>Peps Hypnos Panorama Soft Top Beige 78X30X08</t>
  </si>
  <si>
    <t>HYPPANFMBG78X36X08</t>
  </si>
  <si>
    <t>Peps Hypnos Panorama Soft Top Beige 78X36X08</t>
  </si>
  <si>
    <t>HYPPANFMBG78X42X08</t>
  </si>
  <si>
    <t>Peps Hypnos Panorama Soft Top Beige 78X42X08</t>
  </si>
  <si>
    <t>HYPPANFMBG78X48X08</t>
  </si>
  <si>
    <t>Peps Hypnos Panorama Soft Top Beige 78X48X08</t>
  </si>
  <si>
    <t>HYPPANFMBG78X60X08</t>
  </si>
  <si>
    <t>Peps Hypnos Panorama Soft Top Beige 78X60X08</t>
  </si>
  <si>
    <t>HYPPANFMBG78X66X08</t>
  </si>
  <si>
    <t>Peps Hypnos Panorama Soft Top Beige 78X66X08</t>
  </si>
  <si>
    <t>HYPPANFMBG78X72X08</t>
  </si>
  <si>
    <t>Peps Hypnos Panorama Soft Top Beige 78X72X08</t>
  </si>
  <si>
    <t>HYPPANFMBG80X30X08</t>
  </si>
  <si>
    <t>Peps Hypnos Panorama Soft Top Beige 80X30X08</t>
  </si>
  <si>
    <t>HYPPANFMBG80X36X08</t>
  </si>
  <si>
    <t>Peps Hypnos Panorama Soft Top Beige 80X36X08</t>
  </si>
  <si>
    <t>HYPPANFMBG80X42X08</t>
  </si>
  <si>
    <t>Peps Hypnos Panorama Soft Top Beige 80X42X08</t>
  </si>
  <si>
    <t>HYPPANFMBG80X48X08</t>
  </si>
  <si>
    <t>Peps Hypnos Panorama Soft Top Beige 80X48X08</t>
  </si>
  <si>
    <t>HYPPANFMBG80X60X08</t>
  </si>
  <si>
    <t>Peps Hypnos Panorama Soft Top Beige 80X60X08</t>
  </si>
  <si>
    <t>HYPPANFMBG80X66X08</t>
  </si>
  <si>
    <t>Peps Hypnos Panorama Soft Top Beige 80X66X08</t>
  </si>
  <si>
    <t>HYPPANFMBG80X72X08</t>
  </si>
  <si>
    <t>Peps Hypnos Panorama Soft Top Beige 80X72X08</t>
  </si>
  <si>
    <t>HYPPANFMBG84X30X08</t>
  </si>
  <si>
    <t>Peps Hypnos Panorama Soft Top Beige 84X30X08</t>
  </si>
  <si>
    <t>HYPPANFMBG84X36X08</t>
  </si>
  <si>
    <t>Peps Hypnos Panorama Soft Top Beige 84X36X08</t>
  </si>
  <si>
    <t>HYPPANFMBG84X42X08</t>
  </si>
  <si>
    <t>Peps Hypnos Panorama Soft Top Beige 84X42X08</t>
  </si>
  <si>
    <t>HYPPANFMBG84X48X08</t>
  </si>
  <si>
    <t>Peps Hypnos Panorama Soft Top Beige 84X48X08</t>
  </si>
  <si>
    <t>HYPPANFMBG84X60X08</t>
  </si>
  <si>
    <t>Peps Hypnos Panorama Soft Top Beige 84X60X08</t>
  </si>
  <si>
    <t>HYPPANFMBG84X66X08</t>
  </si>
  <si>
    <t>Peps Hypnos Panorama Soft Top Beige 84X66X08</t>
  </si>
  <si>
    <t>HYPPANFMBG84X72X08</t>
  </si>
  <si>
    <t>Peps Hypnos Panorama Soft Top Beige 84X72X08</t>
  </si>
  <si>
    <t>HYPMULTFMDB72X30X05</t>
  </si>
  <si>
    <t>Peps Hypnos  Memorio-Ultra Dark Blue 72X30X05</t>
  </si>
  <si>
    <t>MEM-ULTRA-FOAM-BLOCK-72X30X05</t>
  </si>
  <si>
    <t>HYPMULTFMDB72X36X05</t>
  </si>
  <si>
    <t>Peps Hypnos  Memorio-Ultra Dark Blue 72X36X05</t>
  </si>
  <si>
    <t>MEM-ULTRA-FOAM-BLOCK-72X36X05</t>
  </si>
  <si>
    <t>HYPMULTFMDB72X42X05</t>
  </si>
  <si>
    <t>Peps Hypnos  Memorio-Ultra Dark Blue 72X42X05</t>
  </si>
  <si>
    <t>MEM-ULTRA-FOAM-BLOCK-72X42X05</t>
  </si>
  <si>
    <t>HYPMULTFMDB72X48X05</t>
  </si>
  <si>
    <t>Peps Hypnos  Memorio-Ultra Dark Blue 72X48X05</t>
  </si>
  <si>
    <t>MEM-ULTRA-FOAM-BLOCK-72X48X05</t>
  </si>
  <si>
    <t>HYPMULTFMDB72X60X05</t>
  </si>
  <si>
    <t>Peps Hypnos  Memorio-Ultra Dark Blue 72X60X05</t>
  </si>
  <si>
    <t>MEM-ULTRA-FOAM-BLOCK-72X60X05</t>
  </si>
  <si>
    <t>HYPMULTFMDB72X66X05</t>
  </si>
  <si>
    <t>Peps Hypnos  Memorio-Ultra Dark Blue 72X66X05</t>
  </si>
  <si>
    <t>MEM-ULTRA-FOAM-BLOCK-72X66X05</t>
  </si>
  <si>
    <t>HYPMULTFMDB72X72X05</t>
  </si>
  <si>
    <t>Peps Hypnos  Memorio-Ultra Dark Blue 72X72X05</t>
  </si>
  <si>
    <t>MEM-ULTRA-FOAM-BLOCK-72X72X05</t>
  </si>
  <si>
    <t>HYPMULTFMDB75X30X05</t>
  </si>
  <si>
    <t>Peps Hypnos  Memorio-Ultra Dark Blue 75X30X05</t>
  </si>
  <si>
    <t>MEM-ULTRA-FOAM-BLOCK-75X30X05</t>
  </si>
  <si>
    <t>HYPMULTFMDB75X36X05</t>
  </si>
  <si>
    <t>Peps Hypnos  Memorio-Ultra Dark Blue 75X36X05</t>
  </si>
  <si>
    <t>MEM-ULTRA-FOAM-BLOCK-75X36X05</t>
  </si>
  <si>
    <t>HYPMULTFMDB75X42X05</t>
  </si>
  <si>
    <t>Peps Hypnos  Memorio-Ultra Dark Blue 75X42X05</t>
  </si>
  <si>
    <t>MEM-ULTRA-FOAM-BLOCK-75X42X05</t>
  </si>
  <si>
    <t>HYPMULTFMDB75X48X05</t>
  </si>
  <si>
    <t>Peps Hypnos  Memorio-Ultra Dark Blue 75X48X05</t>
  </si>
  <si>
    <t>MEM-ULTRA-FOAM-BLOCK-75X48X05</t>
  </si>
  <si>
    <t>HYPMULTFMDB75X60X05</t>
  </si>
  <si>
    <t>Peps Hypnos  Memorio-Ultra Dark Blue 75X60X05</t>
  </si>
  <si>
    <t>MEM-ULTRA-FOAM-BLOCK-75X60X05</t>
  </si>
  <si>
    <t>HYPMULTFMDB75X66X05</t>
  </si>
  <si>
    <t>Peps Hypnos  Memorio-Ultra Dark Blue 75X66X05</t>
  </si>
  <si>
    <t>MEM-ULTRA-FOAM-BLOCK-75X66X05</t>
  </si>
  <si>
    <t>HYPMULTFMDB75X72X05</t>
  </si>
  <si>
    <t>Peps Hypnos  Memorio-Ultra Dark Blue 75X72X05</t>
  </si>
  <si>
    <t>MEM-ULTRA-FOAM-BLOCK-75X72X05</t>
  </si>
  <si>
    <t>HYPMULTFMDB78X30X05</t>
  </si>
  <si>
    <t>Peps Hypnos  Memorio-Ultra Dark Blue 78X30X05</t>
  </si>
  <si>
    <t>MEM-ULTRA-FOAM-BLOCK-78X30X05</t>
  </si>
  <si>
    <t>HYPMULTFMDB78X36X05</t>
  </si>
  <si>
    <t>Peps Hypnos  Memorio-Ultra Dark Blue 78X36X05</t>
  </si>
  <si>
    <t>MEM-ULTRA-FOAM-BLOCK-78X36X05</t>
  </si>
  <si>
    <t>HYPMULTFMDB78X42X05</t>
  </si>
  <si>
    <t>Peps Hypnos  Memorio-Ultra Dark Blue 78X42X05</t>
  </si>
  <si>
    <t>MEM-ULTRA-FOAM-BLOCK-78X42X05</t>
  </si>
  <si>
    <t>HYPMULTFMDB78X48X05</t>
  </si>
  <si>
    <t>Peps Hypnos  Memorio-Ultra Dark Blue 78X48X05</t>
  </si>
  <si>
    <t>MEM-ULTRA-FOAM-BLOCK-78X48X05</t>
  </si>
  <si>
    <t>HYPMULTFMDB78X60X05</t>
  </si>
  <si>
    <t>Peps Hypnos  Memorio-Ultra Dark Blue 78X60X05</t>
  </si>
  <si>
    <t>MEM-ULTRA-FOAM-BLOCK-78X60X05</t>
  </si>
  <si>
    <t>HYPMULTFMDB78X66X05</t>
  </si>
  <si>
    <t>Peps Hypnos  Memorio-Ultra Dark Blue 78X66X05</t>
  </si>
  <si>
    <t>MEM-ULTRA-FOAM-BLOCK-78X66X05</t>
  </si>
  <si>
    <t>HYPMULTFMDB78X72X05</t>
  </si>
  <si>
    <t>Peps Hypnos  Memorio-Ultra Dark Blue 78X72X05</t>
  </si>
  <si>
    <t>MEM-ULTRA-FOAM-BLOCK-78X72X05</t>
  </si>
  <si>
    <t>HYPMULTFMDB80X30X05</t>
  </si>
  <si>
    <t>Peps Hypnos  Memorio-Ultra Dark Blue 80X30X05</t>
  </si>
  <si>
    <t>MEM-ULTRA-FOAM-BLOCK-80X30X05</t>
  </si>
  <si>
    <t>HYPMULTFMDB80X36X05</t>
  </si>
  <si>
    <t>Peps Hypnos  Memorio-Ultra Dark Blue 80X36X05</t>
  </si>
  <si>
    <t>MEM-ULTRA-FOAM-BLOCK-80X36X05</t>
  </si>
  <si>
    <t>HYPMULTFMDB80X42X05</t>
  </si>
  <si>
    <t>Peps Hypnos  Memorio-Ultra Dark Blue 80X42X05</t>
  </si>
  <si>
    <t>MEM-ULTRA-FOAM-BLOCK-80X42X05</t>
  </si>
  <si>
    <t>HYPMULTFMDB80X48X05</t>
  </si>
  <si>
    <t>Peps Hypnos  Memorio-Ultra Dark Blue 80X48X05</t>
  </si>
  <si>
    <t>MEM-ULTRA-FOAM-BLOCK-80X48X05</t>
  </si>
  <si>
    <t>HYPMULTFMDB80X60X05</t>
  </si>
  <si>
    <t>Peps Hypnos  Memorio-Ultra Dark Blue 80X60X05</t>
  </si>
  <si>
    <t>MEM-ULTRA-FOAM-BLOCK-80X60X05</t>
  </si>
  <si>
    <t>HYPMULTFMDB80X66X05</t>
  </si>
  <si>
    <t>Peps Hypnos  Memorio-Ultra Dark Blue 80X66X05</t>
  </si>
  <si>
    <t>MEM-ULTRA-FOAM-BLOCK-80X66X05</t>
  </si>
  <si>
    <t>HYPMULTFMDB80X72X05</t>
  </si>
  <si>
    <t>Peps Hypnos  Memorio-Ultra Dark Blue 80X72X05</t>
  </si>
  <si>
    <t>MEM-ULTRA-FOAM-BLOCK-80X72X05</t>
  </si>
  <si>
    <t>HYPMULTFMDB84X30X05</t>
  </si>
  <si>
    <t>Peps Hypnos  Memorio-Ultra Dark Blue 84X30X05</t>
  </si>
  <si>
    <t>MEM-ULTRA-FOAM-BLOCK-84X30X05</t>
  </si>
  <si>
    <t>HYPMULTFMDB84X36X05</t>
  </si>
  <si>
    <t>Peps Hypnos  Memorio-Ultra Dark Blue 84X36X05</t>
  </si>
  <si>
    <t>MEM-ULTRA-FOAM-BLOCK-84X36X05</t>
  </si>
  <si>
    <t>HYPMULTFMDB84X42X05</t>
  </si>
  <si>
    <t>Peps Hypnos  Memorio-Ultra Dark Blue 84X42X05</t>
  </si>
  <si>
    <t>MEM-ULTRA-FOAM-BLOCK-84X42X05</t>
  </si>
  <si>
    <t>HYPMULTFMDB84X48X05</t>
  </si>
  <si>
    <t>Peps Hypnos  Memorio-Ultra Dark Blue 84X48X05</t>
  </si>
  <si>
    <t>MEM-ULTRA-FOAM-BLOCK-84X48X05</t>
  </si>
  <si>
    <t>HYPMULTFMDB84X60X05</t>
  </si>
  <si>
    <t>Peps Hypnos  Memorio-Ultra Dark Blue 84X60X05</t>
  </si>
  <si>
    <t>MEM-ULTRA-FOAM-BLOCK-84X60X05</t>
  </si>
  <si>
    <t>HYPMULTFMDB84X66X05</t>
  </si>
  <si>
    <t>Peps Hypnos  Memorio-Ultra Dark Blue 84X66X05</t>
  </si>
  <si>
    <t>MEM-ULTRA-FOAM-BLOCK-84X66X05</t>
  </si>
  <si>
    <t>HYPMULTFMDB84X72X05</t>
  </si>
  <si>
    <t>Peps Hypnos  Memorio-Ultra Dark Blue 84X72X05</t>
  </si>
  <si>
    <t>MEM-ULTRA-FOAM-BLOCK-84X72X05</t>
  </si>
  <si>
    <t>HYPMULTFMGR72X30X05</t>
  </si>
  <si>
    <t>Peps Hypnos  Memorio-Ultra Grey 72X30X05</t>
  </si>
  <si>
    <t>HYPMULTFMGR72X36X05</t>
  </si>
  <si>
    <t>Peps Hypnos  Memorio-Ultra Grey 72X36X05</t>
  </si>
  <si>
    <t>HYPMULTFMGR72X42X05</t>
  </si>
  <si>
    <t>Peps Hypnos  Memorio-Ultra Grey 72X42X05</t>
  </si>
  <si>
    <t>HYPMULTFMGR72X48X05</t>
  </si>
  <si>
    <t>Peps Hypnos  Memorio-Ultra Grey 72X48X05</t>
  </si>
  <si>
    <t>HYPMULTFMGR72X60X05</t>
  </si>
  <si>
    <t>Peps Hypnos  Memorio-Ultra Grey 72X60X05</t>
  </si>
  <si>
    <t>HYPMULTFMGR72X66X05</t>
  </si>
  <si>
    <t>Peps Hypnos  Memorio-Ultra Grey 72X66X05</t>
  </si>
  <si>
    <t>HYPMULTFMGR72X72X05</t>
  </si>
  <si>
    <t>Peps Hypnos  Memorio-Ultra Grey 72X72X05</t>
  </si>
  <si>
    <t>HYPMULTFMGR75X30X05</t>
  </si>
  <si>
    <t>Peps Hypnos  Memorio-Ultra Grey 75X30X05</t>
  </si>
  <si>
    <t>HYPMULTFMGR75X36X05</t>
  </si>
  <si>
    <t>Peps Hypnos  Memorio-Ultra Grey 75X36X05</t>
  </si>
  <si>
    <t>HYPMULTFMGR75X42X05</t>
  </si>
  <si>
    <t>Peps Hypnos  Memorio-Ultra Grey 75X42X05</t>
  </si>
  <si>
    <t>HYPMULTFMGR75X48X05</t>
  </si>
  <si>
    <t>Peps Hypnos  Memorio-Ultra Grey 75X48X05</t>
  </si>
  <si>
    <t>HYPMULTFMGR75X60X05</t>
  </si>
  <si>
    <t>Peps Hypnos  Memorio-Ultra Grey 75X60X05</t>
  </si>
  <si>
    <t>HYPMULTFMGR75X66X05</t>
  </si>
  <si>
    <t>Peps Hypnos  Memorio-Ultra Grey 75X66X05</t>
  </si>
  <si>
    <t>HYPMULTFMGR75X72X05</t>
  </si>
  <si>
    <t>Peps Hypnos  Memorio-Ultra Grey 75X72X05</t>
  </si>
  <si>
    <t>HYPMULTFMGR78X30X05</t>
  </si>
  <si>
    <t>Peps Hypnos  Memorio-Ultra Grey 78X30X05</t>
  </si>
  <si>
    <t>HYPMULTFMGR78X36X05</t>
  </si>
  <si>
    <t>Peps Hypnos  Memorio-Ultra Grey 78X36X05</t>
  </si>
  <si>
    <t>HYPMULTFMGR78X42X05</t>
  </si>
  <si>
    <t>Peps Hypnos  Memorio-Ultra Grey 78X42X05</t>
  </si>
  <si>
    <t>HYPMULTFMGR78X48X05</t>
  </si>
  <si>
    <t>Peps Hypnos  Memorio-Ultra Grey 78X48X05</t>
  </si>
  <si>
    <t>HYPMULTFMGR78X60X05</t>
  </si>
  <si>
    <t>Peps Hypnos  Memorio-Ultra Grey 78X60X05</t>
  </si>
  <si>
    <t>HYPMULTFMGR78X66X05</t>
  </si>
  <si>
    <t>Peps Hypnos  Memorio-Ultra Grey 78X66X05</t>
  </si>
  <si>
    <t>HYPMULTFMGR78X72X05</t>
  </si>
  <si>
    <t>Peps Hypnos  Memorio-Ultra Grey 78X72X05</t>
  </si>
  <si>
    <t>HYPMULTFMGR80X30X05</t>
  </si>
  <si>
    <t>Peps Hypnos  Memorio-Ultra Grey 80X30X05</t>
  </si>
  <si>
    <t>HYPMULTFMGR80X36X05</t>
  </si>
  <si>
    <t>Peps Hypnos  Memorio-Ultra Grey 80X36X05</t>
  </si>
  <si>
    <t>HYPMULTFMGR80X42X05</t>
  </si>
  <si>
    <t>Peps Hypnos  Memorio-Ultra Grey 80X42X05</t>
  </si>
  <si>
    <t>HYPMULTFMGR80X48X05</t>
  </si>
  <si>
    <t>Peps Hypnos  Memorio-Ultra Grey 80X48X05</t>
  </si>
  <si>
    <t>HYPMULTFMGR80X60X05</t>
  </si>
  <si>
    <t>Peps Hypnos  Memorio-Ultra Grey 80X60X05</t>
  </si>
  <si>
    <t>HYPMULTFMGR80X66X05</t>
  </si>
  <si>
    <t>Peps Hypnos  Memorio-Ultra Grey 80X66X05</t>
  </si>
  <si>
    <t>HYPMULTFMGR80X72X05</t>
  </si>
  <si>
    <t>Peps Hypnos  Memorio-Ultra Grey 80X72X05</t>
  </si>
  <si>
    <t>HYPMULTFMGR84X30X05</t>
  </si>
  <si>
    <t>Peps Hypnos  Memorio-Ultra Grey 84X30X05</t>
  </si>
  <si>
    <t>HYPMULTFMGR84X36X05</t>
  </si>
  <si>
    <t>Peps Hypnos  Memorio-Ultra Grey 84X36X05</t>
  </si>
  <si>
    <t>HYPMULTFMGR84X42X05</t>
  </si>
  <si>
    <t>Peps Hypnos  Memorio-Ultra Grey 84X42X05</t>
  </si>
  <si>
    <t>HYPMULTFMGR84X48X05</t>
  </si>
  <si>
    <t>Peps Hypnos  Memorio-Ultra Grey 84X48X05</t>
  </si>
  <si>
    <t>HYPMULTFMGR84X60X05</t>
  </si>
  <si>
    <t>Peps Hypnos  Memorio-Ultra Grey 84X60X05</t>
  </si>
  <si>
    <t>HYPMULTFMGR84X66X05</t>
  </si>
  <si>
    <t>Peps Hypnos  Memorio-Ultra Grey 84X66X05</t>
  </si>
  <si>
    <t>HYPMULTFMGR84X72X05</t>
  </si>
  <si>
    <t>Peps Hypnos  Memorio-Ultra Grey 84X72X05</t>
  </si>
  <si>
    <t>HYPMULTFMDB72X30X06</t>
  </si>
  <si>
    <t>Peps Hypnos  Memorio-Ultra Dark Blue 72X30X06</t>
  </si>
  <si>
    <t>MEM-ULTRA-FOAM-BLOCK-72X30X06</t>
  </si>
  <si>
    <t>HYPMULTFMDB72X36X06</t>
  </si>
  <si>
    <t>Peps Hypnos  Memorio-Ultra Dark Blue 72X36X06</t>
  </si>
  <si>
    <t>MEM-ULTRA-FOAM-BLOCK-72X36X06</t>
  </si>
  <si>
    <t>HYPMULTFMDB72X42X06</t>
  </si>
  <si>
    <t>Peps Hypnos  Memorio-Ultra Dark Blue 72X42X06</t>
  </si>
  <si>
    <t>MEM-ULTRA-FOAM-BLOCK-72X42X06</t>
  </si>
  <si>
    <t>HYPMULTFMDB72X48X06</t>
  </si>
  <si>
    <t>Peps Hypnos  Memorio-Ultra Dark Blue 72X48X06</t>
  </si>
  <si>
    <t>MEM-ULTRA-FOAM-BLOCK-72X48X06</t>
  </si>
  <si>
    <t>HYPMULTFMDB72X60X06</t>
  </si>
  <si>
    <t>Peps Hypnos  Memorio-Ultra Dark Blue 72X60X06</t>
  </si>
  <si>
    <t>MEM-ULTRA-FOAM-BLOCK-72X60X06</t>
  </si>
  <si>
    <t>HYPMULTFMDB72X66X06</t>
  </si>
  <si>
    <t>Peps Hypnos  Memorio-Ultra Dark Blue 72X66X06</t>
  </si>
  <si>
    <t>MEM-ULTRA-FOAM-BLOCK-72X66X06</t>
  </si>
  <si>
    <t>HYPMULTFMDB72X72X06</t>
  </si>
  <si>
    <t>Peps Hypnos  Memorio-Ultra Dark Blue 72X72X06</t>
  </si>
  <si>
    <t>MEM-ULTRA-FOAM-BLOCK-72X72X06</t>
  </si>
  <si>
    <t>HYPMULTFMDB75X30X06</t>
  </si>
  <si>
    <t>Peps Hypnos  Memorio-Ultra Dark Blue 75X30X06</t>
  </si>
  <si>
    <t>MEM-ULTRA-FOAM-BLOCK-75X30X06</t>
  </si>
  <si>
    <t>HYPMULTFMDB75X36X06</t>
  </si>
  <si>
    <t>Peps Hypnos  Memorio-Ultra Dark Blue 75X36X06</t>
  </si>
  <si>
    <t>MEM-ULTRA-FOAM-BLOCK-75X36X06</t>
  </si>
  <si>
    <t>HYPMULTFMDB75X42X06</t>
  </si>
  <si>
    <t>Peps Hypnos  Memorio-Ultra Dark Blue 75X42X06</t>
  </si>
  <si>
    <t>MEM-ULTRA-FOAM-BLOCK-75X42X06</t>
  </si>
  <si>
    <t>HYPMULTFMDB75X48X06</t>
  </si>
  <si>
    <t>Peps Hypnos  Memorio-Ultra Dark Blue 75X48X06</t>
  </si>
  <si>
    <t>MEM-ULTRA-FOAM-BLOCK-75X48X06</t>
  </si>
  <si>
    <t>HYPMULTFMDB75X60X06</t>
  </si>
  <si>
    <t>Peps Hypnos  Memorio-Ultra Dark Blue 75X60X06</t>
  </si>
  <si>
    <t>MEM-ULTRA-FOAM-BLOCK-75X60X06</t>
  </si>
  <si>
    <t>HYPMULTFMDB75X66X06</t>
  </si>
  <si>
    <t>Peps Hypnos  Memorio-Ultra Dark Blue 75X66X06</t>
  </si>
  <si>
    <t>MEM-ULTRA-FOAM-BLOCK-75X66X06</t>
  </si>
  <si>
    <t>HYPMULTFMDB75X72X06</t>
  </si>
  <si>
    <t>Peps Hypnos  Memorio-Ultra Dark Blue 75X72X06</t>
  </si>
  <si>
    <t>MEM-ULTRA-FOAM-BLOCK-75X72X06</t>
  </si>
  <si>
    <t>HYPMULTFMDB78X30X06</t>
  </si>
  <si>
    <t>Peps Hypnos  Memorio-Ultra Dark Blue 78X30X06</t>
  </si>
  <si>
    <t>MEM-ULTRA-FOAM-BLOCK-78X30X06</t>
  </si>
  <si>
    <t>HYPMULTFMDB78X36X06</t>
  </si>
  <si>
    <t>Peps Hypnos  Memorio-Ultra Dark Blue 78X36X06</t>
  </si>
  <si>
    <t>MEM-ULTRA-FOAM-BLOCK-78X36X06</t>
  </si>
  <si>
    <t>HYPMULTFMDB78X42X06</t>
  </si>
  <si>
    <t>Peps Hypnos  Memorio-Ultra Dark Blue 78X42X06</t>
  </si>
  <si>
    <t>MEM-ULTRA-FOAM-BLOCK-78X42X06</t>
  </si>
  <si>
    <t>HYPMULTFMDB78X48X06</t>
  </si>
  <si>
    <t>Peps Hypnos  Memorio-Ultra Dark Blue 78X48X06</t>
  </si>
  <si>
    <t>MEM-ULTRA-FOAM-BLOCK-78X48X06</t>
  </si>
  <si>
    <t>HYPMULTFMDB78X60X06</t>
  </si>
  <si>
    <t>Peps Hypnos  Memorio-Ultra Dark Blue 78X60X06</t>
  </si>
  <si>
    <t>MEM-ULTRA-FOAM-BLOCK-78X60X06</t>
  </si>
  <si>
    <t>HYPMULTFMDB78X66X06</t>
  </si>
  <si>
    <t>Peps Hypnos  Memorio-Ultra Dark Blue 78X66X06</t>
  </si>
  <si>
    <t>MEM-ULTRA-FOAM-BLOCK-78X66X06</t>
  </si>
  <si>
    <t>HYPMULTFMDB78X72X06</t>
  </si>
  <si>
    <t>Peps Hypnos  Memorio-Ultra Dark Blue 78X72X06</t>
  </si>
  <si>
    <t>MEM-ULTRA-FOAM-BLOCK-78X72X06</t>
  </si>
  <si>
    <t>HYPMULTFMDB80X30X06</t>
  </si>
  <si>
    <t>Peps Hypnos  Memorio-Ultra Dark Blue 80X30X06</t>
  </si>
  <si>
    <t>MEM-ULTRA-FOAM-BLOCK-80X30X06</t>
  </si>
  <si>
    <t>HYPMULTFMDB80X36X06</t>
  </si>
  <si>
    <t>Peps Hypnos  Memorio-Ultra Dark Blue 80X36X06</t>
  </si>
  <si>
    <t>MEM-ULTRA-FOAM-BLOCK-80X36X06</t>
  </si>
  <si>
    <t>HYPMULTFMDB80X42X06</t>
  </si>
  <si>
    <t>Peps Hypnos  Memorio-Ultra Dark Blue 80X42X06</t>
  </si>
  <si>
    <t>MEM-ULTRA-FOAM-BLOCK-80X42X06</t>
  </si>
  <si>
    <t>HYPMULTFMDB80X48X06</t>
  </si>
  <si>
    <t>Peps Hypnos  Memorio-Ultra Dark Blue 80X48X06</t>
  </si>
  <si>
    <t>MEM-ULTRA-FOAM-BLOCK-80X48X06</t>
  </si>
  <si>
    <t>HYPMULTFMDB80X60X06</t>
  </si>
  <si>
    <t>Peps Hypnos  Memorio-Ultra Dark Blue 80X60X06</t>
  </si>
  <si>
    <t>MEM-ULTRA-FOAM-BLOCK-80X60X06</t>
  </si>
  <si>
    <t>HYPMULTFMDB80X66X06</t>
  </si>
  <si>
    <t>Peps Hypnos  Memorio-Ultra Dark Blue 80X66X06</t>
  </si>
  <si>
    <t>MEM-ULTRA-FOAM-BLOCK-80X66X06</t>
  </si>
  <si>
    <t>HYPMULTFMDB80X72X06</t>
  </si>
  <si>
    <t>Peps Hypnos  Memorio-Ultra Dark Blue 80X72X06</t>
  </si>
  <si>
    <t>MEM-ULTRA-FOAM-BLOCK-80X72X06</t>
  </si>
  <si>
    <t>HYPMULTFMDB84X30X06</t>
  </si>
  <si>
    <t>Peps Hypnos  Memorio-Ultra Dark Blue 84X30X06</t>
  </si>
  <si>
    <t>MEM-ULTRA-FOAM-BLOCK-84X30X06</t>
  </si>
  <si>
    <t>HYPMULTFMDB84X36X06</t>
  </si>
  <si>
    <t>Peps Hypnos  Memorio-Ultra Dark Blue 84X36X06</t>
  </si>
  <si>
    <t>MEM-ULTRA-FOAM-BLOCK-84X36X06</t>
  </si>
  <si>
    <t>HYPMULTFMDB84X42X06</t>
  </si>
  <si>
    <t>Peps Hypnos  Memorio-Ultra Dark Blue 84X42X06</t>
  </si>
  <si>
    <t>MEM-ULTRA-FOAM-BLOCK-84X42X06</t>
  </si>
  <si>
    <t>HYPMULTFMDB84X48X06</t>
  </si>
  <si>
    <t>Peps Hypnos  Memorio-Ultra Dark Blue 84X48X06</t>
  </si>
  <si>
    <t>MEM-ULTRA-FOAM-BLOCK-84X48X06</t>
  </si>
  <si>
    <t>HYPMULTFMDB84X60X06</t>
  </si>
  <si>
    <t>Peps Hypnos  Memorio-Ultra Dark Blue 84X60X06</t>
  </si>
  <si>
    <t>MEM-ULTRA-FOAM-BLOCK-84X60X06</t>
  </si>
  <si>
    <t>HYPMULTFMDB84X66X06</t>
  </si>
  <si>
    <t>Peps Hypnos  Memorio-Ultra Dark Blue 84X66X06</t>
  </si>
  <si>
    <t>MEM-ULTRA-FOAM-BLOCK-84X66X06</t>
  </si>
  <si>
    <t>HYPMULTFMDB84X72X06</t>
  </si>
  <si>
    <t>Peps Hypnos  Memorio-Ultra Dark Blue 84X72X06</t>
  </si>
  <si>
    <t>MEM-ULTRA-FOAM-BLOCK-84X72X06</t>
  </si>
  <si>
    <t>HYPMULTFMGR72X30X06</t>
  </si>
  <si>
    <t>Peps Hypnos  Memorio-Ultra Grey 72X30X06</t>
  </si>
  <si>
    <t>HYPMULTFMGR72X36X06</t>
  </si>
  <si>
    <t>Peps Hypnos  Memorio-Ultra Grey 72X36X06</t>
  </si>
  <si>
    <t>HYPMULTFMGR72X42X06</t>
  </si>
  <si>
    <t>Peps Hypnos  Memorio-Ultra Grey 72X42X06</t>
  </si>
  <si>
    <t>HYPMULTFMGR72X48X06</t>
  </si>
  <si>
    <t>Peps Hypnos  Memorio-Ultra Grey 72X48X06</t>
  </si>
  <si>
    <t>HYPMULTFMGR72X60X06</t>
  </si>
  <si>
    <t>Peps Hypnos  Memorio-Ultra Grey 72X60X06</t>
  </si>
  <si>
    <t>HYPMULTFMGR72X66X06</t>
  </si>
  <si>
    <t>Peps Hypnos  Memorio-Ultra Grey 72X66X06</t>
  </si>
  <si>
    <t>HYPMULTFMGR72X72X06</t>
  </si>
  <si>
    <t>Peps Hypnos  Memorio-Ultra Grey 72X72X06</t>
  </si>
  <si>
    <t>HYPMULTFMGR75X30X06</t>
  </si>
  <si>
    <t>Peps Hypnos  Memorio-Ultra Grey 75X30X06</t>
  </si>
  <si>
    <t>HYPMULTFMGR75X36X06</t>
  </si>
  <si>
    <t>Peps Hypnos  Memorio-Ultra Grey 75X36X06</t>
  </si>
  <si>
    <t>HYPMULTFMGR75X42X06</t>
  </si>
  <si>
    <t>Peps Hypnos  Memorio-Ultra Grey 75X42X06</t>
  </si>
  <si>
    <t>HYPMULTFMGR75X48X06</t>
  </si>
  <si>
    <t>Peps Hypnos  Memorio-Ultra Grey 75X48X06</t>
  </si>
  <si>
    <t>HYPMULTFMGR75X60X06</t>
  </si>
  <si>
    <t>Peps Hypnos  Memorio-Ultra Grey 75X60X06</t>
  </si>
  <si>
    <t>HYPMULTFMGR75X66X06</t>
  </si>
  <si>
    <t>Peps Hypnos  Memorio-Ultra Grey 75X66X06</t>
  </si>
  <si>
    <t>HYPMULTFMGR75X72X06</t>
  </si>
  <si>
    <t>Peps Hypnos  Memorio-Ultra Grey 75X72X06</t>
  </si>
  <si>
    <t>HYPMULTFMGR78X30X06</t>
  </si>
  <si>
    <t>Peps Hypnos  Memorio-Ultra Grey 78X30X06</t>
  </si>
  <si>
    <t>HYPMULTFMGR78X36X06</t>
  </si>
  <si>
    <t>Peps Hypnos  Memorio-Ultra Grey 78X36X06</t>
  </si>
  <si>
    <t>HYPMULTFMGR78X42X06</t>
  </si>
  <si>
    <t>Peps Hypnos  Memorio-Ultra Grey 78X42X06</t>
  </si>
  <si>
    <t>HYPMULTFMGR78X48X06</t>
  </si>
  <si>
    <t>Peps Hypnos  Memorio-Ultra Grey 78X48X06</t>
  </si>
  <si>
    <t>HYPMULTFMGR78X60X06</t>
  </si>
  <si>
    <t>Peps Hypnos  Memorio-Ultra Grey 78X60X06</t>
  </si>
  <si>
    <t>HYPMULTFMGR78X66X06</t>
  </si>
  <si>
    <t>Peps Hypnos  Memorio-Ultra Grey 78X66X06</t>
  </si>
  <si>
    <t>HYPMULTFMGR78X72X06</t>
  </si>
  <si>
    <t>Peps Hypnos  Memorio-Ultra Grey 78X72X06</t>
  </si>
  <si>
    <t>HYPMULTFMGR80X30X06</t>
  </si>
  <si>
    <t>Peps Hypnos  Memorio-Ultra Grey 80X30X06</t>
  </si>
  <si>
    <t>HYPMULTFMGR80X36X06</t>
  </si>
  <si>
    <t>Peps Hypnos  Memorio-Ultra Grey 80X36X06</t>
  </si>
  <si>
    <t>HYPMULTFMGR80X42X06</t>
  </si>
  <si>
    <t>Peps Hypnos  Memorio-Ultra Grey 80X42X06</t>
  </si>
  <si>
    <t>HYPMULTFMGR80X48X06</t>
  </si>
  <si>
    <t>Peps Hypnos  Memorio-Ultra Grey 80X48X06</t>
  </si>
  <si>
    <t>HYPMULTFMGR80X60X06</t>
  </si>
  <si>
    <t>Peps Hypnos  Memorio-Ultra Grey 80X60X06</t>
  </si>
  <si>
    <t>HYPMULTFMGR80X66X06</t>
  </si>
  <si>
    <t>Peps Hypnos  Memorio-Ultra Grey 80X66X06</t>
  </si>
  <si>
    <t>HYPMULTFMGR80X72X06</t>
  </si>
  <si>
    <t>Peps Hypnos  Memorio-Ultra Grey 80X72X06</t>
  </si>
  <si>
    <t>HYPMULTFMGR84X30X06</t>
  </si>
  <si>
    <t>Peps Hypnos  Memorio-Ultra Grey 84X30X06</t>
  </si>
  <si>
    <t>HYPMULTFMGR84X36X06</t>
  </si>
  <si>
    <t>Peps Hypnos  Memorio-Ultra Grey 84X36X06</t>
  </si>
  <si>
    <t>HYPMULTFMGR84X42X06</t>
  </si>
  <si>
    <t>Peps Hypnos  Memorio-Ultra Grey 84X42X06</t>
  </si>
  <si>
    <t>HYPMULTFMGR84X48X06</t>
  </si>
  <si>
    <t>Peps Hypnos  Memorio-Ultra Grey 84X48X06</t>
  </si>
  <si>
    <t>HYPMULTFMGR84X60X06</t>
  </si>
  <si>
    <t>Peps Hypnos  Memorio-Ultra Grey 84X60X06</t>
  </si>
  <si>
    <t>HYPMULTFMGR84X66X06</t>
  </si>
  <si>
    <t>Peps Hypnos  Memorio-Ultra Grey 84X66X06</t>
  </si>
  <si>
    <t>HYPMULTFMGR84X72X06</t>
  </si>
  <si>
    <t>Peps Hypnos  Memorio-Ultra Grey 84X72X06</t>
  </si>
  <si>
    <t>HYPMULTFMDB72X30X08</t>
  </si>
  <si>
    <t>Peps Hypnos  Memorio-Ultra Dark Blue 72X30X08</t>
  </si>
  <si>
    <t>MEM-ULTRA-FOAM-BLOCK-72X30X08</t>
  </si>
  <si>
    <t>HYPMULTFMDB72X36X08</t>
  </si>
  <si>
    <t>Peps Hypnos  Memorio-Ultra Dark Blue 72X36X08</t>
  </si>
  <si>
    <t>MEM-ULTRA-FOAM-BLOCK-72X36X08</t>
  </si>
  <si>
    <t>HYPMULTFMDB72X42X08</t>
  </si>
  <si>
    <t>Peps Hypnos  Memorio-Ultra Dark Blue 72X42X08</t>
  </si>
  <si>
    <t>MEM-ULTRA-FOAM-BLOCK-72X42X08</t>
  </si>
  <si>
    <t>HYPMULTFMDB72X48X08</t>
  </si>
  <si>
    <t>Peps Hypnos  Memorio-Ultra Dark Blue 72X48X08</t>
  </si>
  <si>
    <t>MEM-ULTRA-FOAM-BLOCK-72X48X08</t>
  </si>
  <si>
    <t>HYPMULTFMDB72X60X08</t>
  </si>
  <si>
    <t>Peps Hypnos  Memorio-Ultra Dark Blue 72X60X08</t>
  </si>
  <si>
    <t>MEM-ULTRA-FOAM-BLOCK-72X60X08</t>
  </si>
  <si>
    <t>HYPMULTFMDB72X66X08</t>
  </si>
  <si>
    <t>Peps Hypnos  Memorio-Ultra Dark Blue 72X66X08</t>
  </si>
  <si>
    <t>MEM-ULTRA-FOAM-BLOCK-72X66X08</t>
  </si>
  <si>
    <t>HYPMULTFMDB72X72X08</t>
  </si>
  <si>
    <t>Peps Hypnos  Memorio-Ultra Dark Blue 72X72X08</t>
  </si>
  <si>
    <t>MEM-ULTRA-FOAM-BLOCK-72X72X08</t>
  </si>
  <si>
    <t>HYPMULTFMDB75X30X08</t>
  </si>
  <si>
    <t>Peps Hypnos  Memorio-Ultra Dark Blue 75X30X08</t>
  </si>
  <si>
    <t>MEM-ULTRA-FOAM-BLOCK-75X30X08</t>
  </si>
  <si>
    <t>HYPMULTFMDB75X36X08</t>
  </si>
  <si>
    <t>Peps Hypnos  Memorio-Ultra Dark Blue 75X36X08</t>
  </si>
  <si>
    <t>MEM-ULTRA-FOAM-BLOCK-75X36X08</t>
  </si>
  <si>
    <t>HYPMULTFMDB75X42X08</t>
  </si>
  <si>
    <t>Peps Hypnos  Memorio-Ultra Dark Blue 75X42X08</t>
  </si>
  <si>
    <t>MEM-ULTRA-FOAM-BLOCK-75X42X08</t>
  </si>
  <si>
    <t>HYPMULTFMDB75X48X08</t>
  </si>
  <si>
    <t>Peps Hypnos  Memorio-Ultra Dark Blue 75X48X08</t>
  </si>
  <si>
    <t>MEM-ULTRA-FOAM-BLOCK-75X48X08</t>
  </si>
  <si>
    <t>HYPMULTFMDB75X60X08</t>
  </si>
  <si>
    <t>Peps Hypnos  Memorio-Ultra Dark Blue 75X60X08</t>
  </si>
  <si>
    <t>MEM-ULTRA-FOAM-BLOCK-75X60X08</t>
  </si>
  <si>
    <t>HYPMULTFMDB75X66X08</t>
  </si>
  <si>
    <t>Peps Hypnos  Memorio-Ultra Dark Blue 75X66X08</t>
  </si>
  <si>
    <t>MEM-ULTRA-FOAM-BLOCK-75X66X08</t>
  </si>
  <si>
    <t>HYPMULTFMDB75X72X08</t>
  </si>
  <si>
    <t>Peps Hypnos  Memorio-Ultra Dark Blue 75X72X08</t>
  </si>
  <si>
    <t>MEM-ULTRA-FOAM-BLOCK-75X72X08</t>
  </si>
  <si>
    <t>HYPMULTFMDB78X30X08</t>
  </si>
  <si>
    <t>Peps Hypnos  Memorio-Ultra Dark Blue 78X30X08</t>
  </si>
  <si>
    <t>MEM-ULTRA-FOAM-BLOCK-78X30X08</t>
  </si>
  <si>
    <t>HYPMULTFMDB78X36X08</t>
  </si>
  <si>
    <t>Peps Hypnos  Memorio-Ultra Dark Blue 78X36X08</t>
  </si>
  <si>
    <t>MEM-ULTRA-FOAM-BLOCK-78X36X08</t>
  </si>
  <si>
    <t>HYPMULTFMDB78X42X08</t>
  </si>
  <si>
    <t>Peps Hypnos  Memorio-Ultra Dark Blue 78X42X08</t>
  </si>
  <si>
    <t>MEM-ULTRA-FOAM-BLOCK-78X42X08</t>
  </si>
  <si>
    <t>HYPMULTFMDB78X48X08</t>
  </si>
  <si>
    <t>Peps Hypnos  Memorio-Ultra Dark Blue 78X48X08</t>
  </si>
  <si>
    <t>MEM-ULTRA-FOAM-BLOCK-78X48X08</t>
  </si>
  <si>
    <t>HYPMULTFMDB78X60X08</t>
  </si>
  <si>
    <t>Peps Hypnos  Memorio-Ultra Dark Blue 78X60X08</t>
  </si>
  <si>
    <t>MEM-ULTRA-FOAM-BLOCK-78X60X08</t>
  </si>
  <si>
    <t>HYPMULTFMDB78X66X08</t>
  </si>
  <si>
    <t>Peps Hypnos  Memorio-Ultra Dark Blue 78X66X08</t>
  </si>
  <si>
    <t>MEM-ULTRA-FOAM-BLOCK-78X66X08</t>
  </si>
  <si>
    <t>HYPMULTFMDB78X72X08</t>
  </si>
  <si>
    <t>Peps Hypnos  Memorio-Ultra Dark Blue 78X72X08</t>
  </si>
  <si>
    <t>MEM-ULTRA-FOAM-BLOCK-78X72X08</t>
  </si>
  <si>
    <t>HYPMULTFMDB80X30X08</t>
  </si>
  <si>
    <t>Peps Hypnos  Memorio-Ultra Dark Blue 80X30X08</t>
  </si>
  <si>
    <t>MEM-ULTRA-FOAM-BLOCK-80X30X08</t>
  </si>
  <si>
    <t>HYPMULTFMDB80X36X08</t>
  </si>
  <si>
    <t>Peps Hypnos  Memorio-Ultra Dark Blue 80X36X08</t>
  </si>
  <si>
    <t>MEM-ULTRA-FOAM-BLOCK-80X36X08</t>
  </si>
  <si>
    <t>HYPMULTFMDB80X42X08</t>
  </si>
  <si>
    <t>Peps Hypnos  Memorio-Ultra Dark Blue 80X42X08</t>
  </si>
  <si>
    <t>MEM-ULTRA-FOAM-BLOCK-80X42X08</t>
  </si>
  <si>
    <t>HYPMULTFMDB80X48X08</t>
  </si>
  <si>
    <t>Peps Hypnos  Memorio-Ultra Dark Blue 80X48X08</t>
  </si>
  <si>
    <t>MEM-ULTRA-FOAM-BLOCK-80X48X08</t>
  </si>
  <si>
    <t>HYPMULTFMDB80X60X08</t>
  </si>
  <si>
    <t>Peps Hypnos  Memorio-Ultra Dark Blue 80X60X08</t>
  </si>
  <si>
    <t>MEM-ULTRA-FOAM-BLOCK-80X60X08</t>
  </si>
  <si>
    <t>HYPMULTFMDB80X66X08</t>
  </si>
  <si>
    <t>Peps Hypnos  Memorio-Ultra Dark Blue 80X66X08</t>
  </si>
  <si>
    <t>MEM-ULTRA-FOAM-BLOCK-80X66X08</t>
  </si>
  <si>
    <t>HYPMULTFMDB80X72X08</t>
  </si>
  <si>
    <t>Peps Hypnos  Memorio-Ultra Dark Blue 80X72X08</t>
  </si>
  <si>
    <t>MEM-ULTRA-FOAM-BLOCK-80X72X08</t>
  </si>
  <si>
    <t>HYPMULTFMDB84X30X08</t>
  </si>
  <si>
    <t>Peps Hypnos  Memorio-Ultra Dark Blue 84X30X08</t>
  </si>
  <si>
    <t>MEM-ULTRA-FOAM-BLOCK-84X30X08</t>
  </si>
  <si>
    <t>HYPMULTFMDB84X36X08</t>
  </si>
  <si>
    <t>Peps Hypnos  Memorio-Ultra Dark Blue 84X36X08</t>
  </si>
  <si>
    <t>MEM-ULTRA-FOAM-BLOCK-84X36X08</t>
  </si>
  <si>
    <t>HYPMULTFMDB84X42X08</t>
  </si>
  <si>
    <t>Peps Hypnos  Memorio-Ultra Dark Blue 84X42X08</t>
  </si>
  <si>
    <t>MEM-ULTRA-FOAM-BLOCK-84X42X08</t>
  </si>
  <si>
    <t>HYPMULTFMDB84X48X08</t>
  </si>
  <si>
    <t>Peps Hypnos  Memorio-Ultra Dark Blue 84X48X08</t>
  </si>
  <si>
    <t>MEM-ULTRA-FOAM-BLOCK-84X48X08</t>
  </si>
  <si>
    <t>HYPMULTFMDB84X60X08</t>
  </si>
  <si>
    <t>Peps Hypnos  Memorio-Ultra Dark Blue 84X60X08</t>
  </si>
  <si>
    <t>MEM-ULTRA-FOAM-BLOCK-84X60X08</t>
  </si>
  <si>
    <t>HYPMULTFMDB84X66X08</t>
  </si>
  <si>
    <t>Peps Hypnos  Memorio-Ultra Dark Blue 84X66X08</t>
  </si>
  <si>
    <t>MEM-ULTRA-FOAM-BLOCK-84X66X08</t>
  </si>
  <si>
    <t>HYPMULTFMDB84X72X08</t>
  </si>
  <si>
    <t>Peps Hypnos  Memorio-Ultra Dark Blue 84X72X08</t>
  </si>
  <si>
    <t>MEM-ULTRA-FOAM-BLOCK-84X72X08</t>
  </si>
  <si>
    <t>HYPMULTFMGR72X30X08</t>
  </si>
  <si>
    <t>Peps Hypnos  Memorio-Ultra Grey 72X30X08</t>
  </si>
  <si>
    <t>HYPMULTFMGR72X36X08</t>
  </si>
  <si>
    <t>Peps Hypnos  Memorio-Ultra Grey 72X36X08</t>
  </si>
  <si>
    <t>HYPMULTFMGR72X42X08</t>
  </si>
  <si>
    <t>Peps Hypnos  Memorio-Ultra Grey 72X42X08</t>
  </si>
  <si>
    <t>HYPMULTFMGR72X48X08</t>
  </si>
  <si>
    <t>Peps Hypnos  Memorio-Ultra Grey 72X48X08</t>
  </si>
  <si>
    <t>HYPMULTFMGR72X60X08</t>
  </si>
  <si>
    <t>Peps Hypnos  Memorio-Ultra Grey 72X60X08</t>
  </si>
  <si>
    <t>HYPMULTFMGR72X66X08</t>
  </si>
  <si>
    <t>Peps Hypnos  Memorio-Ultra Grey 72X66X08</t>
  </si>
  <si>
    <t>HYPMULTFMGR72X72X08</t>
  </si>
  <si>
    <t>Peps Hypnos  Memorio-Ultra Grey 72X72X08</t>
  </si>
  <si>
    <t>HYPMULTFMGR75X30X08</t>
  </si>
  <si>
    <t>Peps Hypnos  Memorio-Ultra Grey 75X30X08</t>
  </si>
  <si>
    <t>HYPMULTFMGR75X36X08</t>
  </si>
  <si>
    <t>Peps Hypnos  Memorio-Ultra Grey 75X36X08</t>
  </si>
  <si>
    <t>HYPMULTFMGR75X42X08</t>
  </si>
  <si>
    <t>Peps Hypnos  Memorio-Ultra Grey 75X42X08</t>
  </si>
  <si>
    <t>HYPMULTFMGR75X48X08</t>
  </si>
  <si>
    <t>Peps Hypnos  Memorio-Ultra Grey 75X48X08</t>
  </si>
  <si>
    <t>HYPMULTFMGR75X60X08</t>
  </si>
  <si>
    <t>Peps Hypnos  Memorio-Ultra Grey 75X60X08</t>
  </si>
  <si>
    <t>HYPMULTFMGR75X66X08</t>
  </si>
  <si>
    <t>Peps Hypnos  Memorio-Ultra Grey 75X66X08</t>
  </si>
  <si>
    <t>HYPMULTFMGR75X72X08</t>
  </si>
  <si>
    <t>Peps Hypnos  Memorio-Ultra Grey 75X72X08</t>
  </si>
  <si>
    <t>HYPMULTFMGR78X30X08</t>
  </si>
  <si>
    <t>Peps Hypnos  Memorio-Ultra Grey 78X30X08</t>
  </si>
  <si>
    <t>HYPMULTFMGR78X36X08</t>
  </si>
  <si>
    <t>Peps Hypnos  Memorio-Ultra Grey 78X36X08</t>
  </si>
  <si>
    <t>HYPMULTFMGR78X42X08</t>
  </si>
  <si>
    <t>Peps Hypnos  Memorio-Ultra Grey 78X42X08</t>
  </si>
  <si>
    <t>HYPMULTFMGR78X48X08</t>
  </si>
  <si>
    <t>Peps Hypnos  Memorio-Ultra Grey 78X48X08</t>
  </si>
  <si>
    <t>HYPMULTFMGR78X60X08</t>
  </si>
  <si>
    <t>Peps Hypnos  Memorio-Ultra Grey 78X60X08</t>
  </si>
  <si>
    <t>HYPMULTFMGR78X66X08</t>
  </si>
  <si>
    <t>Peps Hypnos  Memorio-Ultra Grey 78X66X08</t>
  </si>
  <si>
    <t>HYPMULTFMGR78X72X08</t>
  </si>
  <si>
    <t>Peps Hypnos  Memorio-Ultra Grey 78X72X08</t>
  </si>
  <si>
    <t>HYPMULTFMGR80X30X08</t>
  </si>
  <si>
    <t>Peps Hypnos  Memorio-Ultra Grey 80X30X08</t>
  </si>
  <si>
    <t>HYPMULTFMGR80X36X08</t>
  </si>
  <si>
    <t>Peps Hypnos  Memorio-Ultra Grey 80X36X08</t>
  </si>
  <si>
    <t>HYPMULTFMGR80X42X08</t>
  </si>
  <si>
    <t>Peps Hypnos  Memorio-Ultra Grey 80X42X08</t>
  </si>
  <si>
    <t>HYPMULTFMGR80X48X08</t>
  </si>
  <si>
    <t>Peps Hypnos  Memorio-Ultra Grey 80X48X08</t>
  </si>
  <si>
    <t>HYPMULTFMGR80X60X08</t>
  </si>
  <si>
    <t>Peps Hypnos  Memorio-Ultra Grey 80X60X08</t>
  </si>
  <si>
    <t>HYPMULTFMGR80X66X08</t>
  </si>
  <si>
    <t>Peps Hypnos  Memorio-Ultra Grey 80X66X08</t>
  </si>
  <si>
    <t>HYPMULTFMGR80X72X08</t>
  </si>
  <si>
    <t>Peps Hypnos  Memorio-Ultra Grey 80X72X08</t>
  </si>
  <si>
    <t>HYPMULTFMGR84X30X08</t>
  </si>
  <si>
    <t>Peps Hypnos  Memorio-Ultra Grey 84X30X08</t>
  </si>
  <si>
    <t>HYPMULTFMGR84X36X08</t>
  </si>
  <si>
    <t>Peps Hypnos  Memorio-Ultra Grey 84X36X08</t>
  </si>
  <si>
    <t>HYPMULTFMGR84X42X08</t>
  </si>
  <si>
    <t>Peps Hypnos  Memorio-Ultra Grey 84X42X08</t>
  </si>
  <si>
    <t>HYPMULTFMGR84X48X08</t>
  </si>
  <si>
    <t>Peps Hypnos  Memorio-Ultra Grey 84X48X08</t>
  </si>
  <si>
    <t>HYPMULTFMGR84X60X08</t>
  </si>
  <si>
    <t>Peps Hypnos  Memorio-Ultra Grey 84X60X08</t>
  </si>
  <si>
    <t>HYPMULTFMGR84X66X08</t>
  </si>
  <si>
    <t>Peps Hypnos  Memorio-Ultra Grey 84X66X08</t>
  </si>
  <si>
    <t>HYPMULTFMGR84X72X08</t>
  </si>
  <si>
    <t>Peps Hypnos  Memorio-Ultra Grey 84X72X08</t>
  </si>
  <si>
    <t xml:space="preserve">SFG ITEM </t>
  </si>
  <si>
    <t>FOAMERA-FOAM-BLOCK-20X18X04</t>
  </si>
  <si>
    <t>FOAMERA-FOAM-BLOCK-20X18X05</t>
  </si>
  <si>
    <t>FOAMERA-FOAM-BLOCK-20X18X06</t>
  </si>
  <si>
    <t>Peps Hypnos Foamera Soft Top Maroon 20X18X04</t>
  </si>
  <si>
    <t>Peps Hypnos Foamera Soft Top Maroon 20X18X05</t>
  </si>
  <si>
    <t>Peps Hypnos Foamera Soft Top Maroon 20X18X06</t>
  </si>
  <si>
    <t>Peps Hypnos Foamera Soft Top Dark Blue 20X18X04</t>
  </si>
  <si>
    <t>Peps Hypnos Foamera Soft Top Dark Blue 20X18X05</t>
  </si>
  <si>
    <t>Peps Hypnos Foamera Soft Top Dark Blue 20X18X06</t>
  </si>
  <si>
    <t>Peps Hypnos Foamera Soft Top Brown 20X18X04</t>
  </si>
  <si>
    <t>Peps Hypnos Foamera Soft Top Brown 20X18X05</t>
  </si>
  <si>
    <t>Peps Hypnos Foamera Soft Top Brown 20X18X06</t>
  </si>
  <si>
    <t>HYPFOMFMMR20X18X04</t>
  </si>
  <si>
    <t>HYPFOMFMMR20X18X05</t>
  </si>
  <si>
    <t>HYPFOMFMMR20X18X06</t>
  </si>
  <si>
    <t>HYPFOMFMDB20X18X04</t>
  </si>
  <si>
    <t>HYPFOMFMDB20X18X05</t>
  </si>
  <si>
    <t>HYPFOMFMDB20X18X06</t>
  </si>
  <si>
    <t>HYPFOMFMBW20X18X04</t>
  </si>
  <si>
    <t>HYPFOMFMBW20X18X05</t>
  </si>
  <si>
    <t>HYPFOMFMBW20X18X06</t>
  </si>
  <si>
    <t>FURNO-FOAM-BLOCK-20X18X04</t>
  </si>
  <si>
    <t>FURNO-FOAM-BLOCK-20X18X05</t>
  </si>
  <si>
    <t>FURNO-FOAM-BLOCK-20X18X06</t>
  </si>
  <si>
    <t>Peps Hypnos FURNO Soft Top Maroon 20X18X04</t>
  </si>
  <si>
    <t>Peps Hypnos FURNO Soft Top Maroon 20X18X05</t>
  </si>
  <si>
    <t>Peps Hypnos FURNO Soft Top Maroon 20X18X06</t>
  </si>
  <si>
    <t>Peps Hypnos FURNO Soft Top Dark Blue 20X18X04</t>
  </si>
  <si>
    <t>Peps Hypnos FURNO Soft Top Dark Blue 20X18X05</t>
  </si>
  <si>
    <t>Peps Hypnos FURNO Soft Top Dark Blue 20X18X06</t>
  </si>
  <si>
    <t>Peps Hypnos FURNO Soft Top Brown 20X18X04</t>
  </si>
  <si>
    <t>Peps Hypnos FURNO Soft Top Brown 20X18X05</t>
  </si>
  <si>
    <t>Peps Hypnos FURNO Soft Top Brown 20X18X06</t>
  </si>
  <si>
    <t>HYPFURFMMR20X18X04</t>
  </si>
  <si>
    <t>HYPFURFMMR20X18X05</t>
  </si>
  <si>
    <t>HYPFURFMMR20X18X06</t>
  </si>
  <si>
    <t>HYPFURFMDB20X18X04</t>
  </si>
  <si>
    <t>HYPFURFMDB20X18X05</t>
  </si>
  <si>
    <t>HYPFURFMDB20X18X06</t>
  </si>
  <si>
    <t>HYPFURFMBW20X18X04</t>
  </si>
  <si>
    <t>HYPFURFMBW20X18X05</t>
  </si>
  <si>
    <t>HYPFURFMBW20X18X06</t>
  </si>
  <si>
    <t>MIRAGE-FOAM-BLOCK-20X18X04</t>
  </si>
  <si>
    <t>PEPS HYPNOS MIRAGE DARK BLUE 20X18X06</t>
  </si>
  <si>
    <t>PEPS HYPNOS MIRAGE DARK BLUE 20X18X04</t>
  </si>
  <si>
    <t>PEPS HYPNOS MIRAGE DARK BLUE 20X18X05</t>
  </si>
  <si>
    <t>MIRAGE-FOAM-BLOCK-20X18X05</t>
  </si>
  <si>
    <t>MIRAGE-FOAM-BLOCK-20X18X06</t>
  </si>
  <si>
    <t>HYPMIRFMDB20X18X05</t>
  </si>
  <si>
    <t>HYPMIRFMDB20X18X04</t>
  </si>
  <si>
    <t>HYPMIRFMDB20X18X06</t>
  </si>
  <si>
    <t>HYPSPSFMGR20X18X05</t>
  </si>
  <si>
    <t>HYPNOS SPINE SAFE GREY 20X18X05</t>
  </si>
  <si>
    <t>HYPNOS SPINE SAFE GREY 20X18X06</t>
  </si>
  <si>
    <t>HYPNOS SPINE SAFE GREY 20X18X08</t>
  </si>
  <si>
    <t>HYPSPSFMGR20X18X06</t>
  </si>
  <si>
    <t>HYPSPSFMGR20X18X08</t>
  </si>
  <si>
    <t>SPINE-SAFE-FOAM-BLOCK-20X18X05</t>
  </si>
  <si>
    <t>SPINE-SAFE-FOAM-BLOCK-20X18X06</t>
  </si>
  <si>
    <t>SPINE-SAFE-FOAM-BLOCK-20X18X08</t>
  </si>
  <si>
    <t>HYPSPSFMNB20X18X05</t>
  </si>
  <si>
    <t>HYPSPSFMNB20X18X06</t>
  </si>
  <si>
    <t>HYPSPSFMNB20X18X08</t>
  </si>
  <si>
    <t>HYPNOS SPINE SAFE NAVY BLUE 20X18X05</t>
  </si>
  <si>
    <t>HYPNOS SPINE SAFE NAVY BLUE 20X18X06</t>
  </si>
  <si>
    <t>HYPNOS SPINE SAFE NAVY BLUE 20X18X08</t>
  </si>
  <si>
    <t>MEMORIO-FOAM-BLOCK-20X18X05</t>
  </si>
  <si>
    <t>MEMORIO-FOAM-BLOCK-20X18X06</t>
  </si>
  <si>
    <t>MEMORIO-FOAM-BLOCK-20X18X08</t>
  </si>
  <si>
    <t>MEMORIO ORANGE 20X18X05</t>
  </si>
  <si>
    <t>MEMORIO ORANGE 20X18X06</t>
  </si>
  <si>
    <t>MEMORIO ORANGE 20X18X08</t>
  </si>
  <si>
    <t>HYPMEMFMOR20X18X05</t>
  </si>
  <si>
    <t>HYPMEMFMOR20X18X06</t>
  </si>
  <si>
    <t>HYPMEMFMOR20X18X08</t>
  </si>
  <si>
    <t>HYPMEMFMVL20X18X05</t>
  </si>
  <si>
    <t>HYPMEMFMVL20X18X06</t>
  </si>
  <si>
    <t>HYPMEMFMVL20X18X08</t>
  </si>
  <si>
    <t>HYPINSFMMR20X18X04</t>
  </si>
  <si>
    <t>HYPINSFMMR20X18X05</t>
  </si>
  <si>
    <t>HYPINSFMMR20X18X06</t>
  </si>
  <si>
    <t>INSPREE-FOAM-BLOCK-20X18X04</t>
  </si>
  <si>
    <t>INSPRE-FOAM-BLOCK-20X18X05</t>
  </si>
  <si>
    <t>INSPRE-FOAM-BLOCK-20X18X06</t>
  </si>
  <si>
    <t>INSPREE MAROON 20X18X04</t>
  </si>
  <si>
    <t>INSPREE MAROON 20X18X05</t>
  </si>
  <si>
    <t>INSPREE MAROON 20X18X06</t>
  </si>
  <si>
    <t>HYPINSFMBG20X18X04</t>
  </si>
  <si>
    <t>HYPINSFMBG20X18X05</t>
  </si>
  <si>
    <t>HYPINSFMBG20X18X06</t>
  </si>
  <si>
    <t>INSPREE BEIGE 20X18X04</t>
  </si>
  <si>
    <t>INSPREE BEIGE 20X18X05</t>
  </si>
  <si>
    <t>INSPREE BEIGE 20X18X06</t>
  </si>
  <si>
    <t>HYPINSFMDB20X18X04</t>
  </si>
  <si>
    <t>HYPINSFMDB20X18X05</t>
  </si>
  <si>
    <t>HYPINSFMDB20X18X06</t>
  </si>
  <si>
    <t>INSPREE DARK BLUE 20X18X04</t>
  </si>
  <si>
    <t>INSPREE DARK BLUE 20X18X05</t>
  </si>
  <si>
    <t>INSPREE DARK BLUE 20X18X06</t>
  </si>
  <si>
    <t>HYPPANFMDB20X18X05</t>
  </si>
  <si>
    <t>HYPPANFMDB20X18X06</t>
  </si>
  <si>
    <t>HYPPANFMDB20X18X08</t>
  </si>
  <si>
    <t>PANORAMA-FOAM-BLOCK-20X18X05</t>
  </si>
  <si>
    <t>PANORAMA-FOAM-BLOCK-20X18X06</t>
  </si>
  <si>
    <t>PANORAMA-FOAM-BLOCK-20X18X08</t>
  </si>
  <si>
    <t>PANORAMA FOAM BLOCK 20X18X05</t>
  </si>
  <si>
    <t>PANORAMA FOAM BLOCK 20X18X06</t>
  </si>
  <si>
    <t>PANORAMA FOAM BLOCK 20X18X08</t>
  </si>
  <si>
    <t>MEM-ULTRA-FOAM-BLOCK-20X18X05</t>
  </si>
  <si>
    <t>MEM-ULTRA-FOAM-BLOCK-20X18X06</t>
  </si>
  <si>
    <t>MEM-ULTRA-FOAM-BLOCK-20X18X08</t>
  </si>
  <si>
    <t>MEMORIO ULTRA DARK BLUE 20X18X05</t>
  </si>
  <si>
    <t>MEMORIO ULTRA DARK BLUE 20X18X06</t>
  </si>
  <si>
    <t>MEMORIO ULTRA DARK BLUE 20X18X08</t>
  </si>
  <si>
    <t>MEMORIO ULTRA GREY 20X18X05</t>
  </si>
  <si>
    <t>MEMORIO ULTRA GREY 20X18X06</t>
  </si>
  <si>
    <t>MEMORIO ULTRA GREY 20X18X08</t>
  </si>
  <si>
    <t>HYPMULTFMDB20X18X05</t>
  </si>
  <si>
    <t>HYPMULTFMDB20X18X06</t>
  </si>
  <si>
    <t>HYPMULTFMDB20X18X08</t>
  </si>
  <si>
    <t>HYPMULTFMGR20X18X05</t>
  </si>
  <si>
    <t>HYPMULTFMGR20X18X06</t>
  </si>
  <si>
    <t>HYPMULTFMDGR20X18X08</t>
  </si>
  <si>
    <t>QTY</t>
  </si>
  <si>
    <t>HYPKBRZFMDB72X30X04</t>
  </si>
  <si>
    <t>HYPKBRZFMDB72X30X05</t>
  </si>
  <si>
    <t>HYPKBRZFMDB72X30X06</t>
  </si>
  <si>
    <t>HYPKBRZFMDB72X36X04</t>
  </si>
  <si>
    <t>HYPKBRZFMDB72X36X05</t>
  </si>
  <si>
    <t>HYPKBRZFMDB72X36X06</t>
  </si>
  <si>
    <t>HYPKBRZFMDB72X48X04</t>
  </si>
  <si>
    <t>HYPKBRZFMDB72X48X05</t>
  </si>
  <si>
    <t>HYPKBRZFMDB72X48X06</t>
  </si>
  <si>
    <t>HYPKBRZFMDB72X60X04</t>
  </si>
  <si>
    <t>HYPKBRZFMDB72X60X05</t>
  </si>
  <si>
    <t>HYPKBRZFMDB72X60X06</t>
  </si>
  <si>
    <t>HYPKBRZFMDB72X66X04</t>
  </si>
  <si>
    <t>HYPKBRZFMDB72X66X05</t>
  </si>
  <si>
    <t>HYPKBRZFMDB72X66X06</t>
  </si>
  <si>
    <t>HYPKBRZFMDB72X72X04</t>
  </si>
  <si>
    <t>HYPKBRZFMDB72X72X05</t>
  </si>
  <si>
    <t>HYPKBRZFMDB72X72X06</t>
  </si>
  <si>
    <t>HYPKBRZFMDB75X30X04</t>
  </si>
  <si>
    <t>HYPKBRZFMDB75X30X05</t>
  </si>
  <si>
    <t>HYPKBRZFMDB75X30X06</t>
  </si>
  <si>
    <t>HYPKBRZFMDB75X36X04</t>
  </si>
  <si>
    <t>HYPKBRZFMDB75X36X05</t>
  </si>
  <si>
    <t>HYPKBRZFMDB75X36X06</t>
  </si>
  <si>
    <t>HYPKBRZFMDB75X48X04</t>
  </si>
  <si>
    <t>HYPKBRZFMDB75X48X05</t>
  </si>
  <si>
    <t>HYPKBRZFMDB75X48X06</t>
  </si>
  <si>
    <t>HYPKBRZFMDB75X60X04</t>
  </si>
  <si>
    <t>HYPKBRZFMDB75X60X05</t>
  </si>
  <si>
    <t>HYPKBRZFMDB75X60X06</t>
  </si>
  <si>
    <t>HYPKBRZFMDB75X72X04</t>
  </si>
  <si>
    <t>HYPKBRZFMDB75X66X04</t>
  </si>
  <si>
    <t>HYPKBRZFMDB75X66X05</t>
  </si>
  <si>
    <t>HYPKBRZFMDB75X66X06</t>
  </si>
  <si>
    <t>HYPKBRZFMDB75X72X05</t>
  </si>
  <si>
    <t>HYPKBRZFMDB75X72X06</t>
  </si>
  <si>
    <t>HYPKBRZFMDB78X30X04</t>
  </si>
  <si>
    <t>HYPKBRZFMDB78X30X05</t>
  </si>
  <si>
    <t>HYPKBRZFMDB78X30X06</t>
  </si>
  <si>
    <t>HYPKBRZFMDB78X36X04</t>
  </si>
  <si>
    <t>HYPKBRZFMDB78X36X05</t>
  </si>
  <si>
    <t>HYPKBRZFMDB78X36X06</t>
  </si>
  <si>
    <t>HYPKBRZFMDB78X48X04</t>
  </si>
  <si>
    <t>HYPKBRZFMDB78X48X05</t>
  </si>
  <si>
    <t>HYPKBRZFMDB78X48X06</t>
  </si>
  <si>
    <t>HYPKBRZFMDB78X60X04</t>
  </si>
  <si>
    <t>HYPKBRZFMDB78X60X05</t>
  </si>
  <si>
    <t>HYPKBRZFMDB78X60X06</t>
  </si>
  <si>
    <t>HYPKBRZFMDB78X66X04</t>
  </si>
  <si>
    <t>HYPKBRZFMDB78X66X05</t>
  </si>
  <si>
    <t>HYPKBRZFMDB78X66X06</t>
  </si>
  <si>
    <t>HYPKBRZFMDB78X72X04</t>
  </si>
  <si>
    <t>HYPKBRZFMDB78X72X05</t>
  </si>
  <si>
    <t>HYPKBRZFMDB78X72X06</t>
  </si>
  <si>
    <t>KOZY-BREEZE-FOAM-BLOCK-72X30X04</t>
  </si>
  <si>
    <t>KOZY-BREEZE-FOAM-BLOCK-72X30X05</t>
  </si>
  <si>
    <t>KOZY-BREEZE-FOAM-BLOCK-72X30X06</t>
  </si>
  <si>
    <t>KOZY-BREEZE-FOAM-BLOCK-72X36X04</t>
  </si>
  <si>
    <t>KOZY-BREEZE-FOAM-BLOCK-72X36X05</t>
  </si>
  <si>
    <t>KOZY-BREEZE-FOAM-BLOCK-72X36X06</t>
  </si>
  <si>
    <t>KOZY-BREEZE-FOAM-BLOCK-72X48X04</t>
  </si>
  <si>
    <t>KOZY-BREEZE-FOAM-BLOCK-72X48X05</t>
  </si>
  <si>
    <t>KOZY-BREEZE-FOAM-BLOCK-72X48X06</t>
  </si>
  <si>
    <t>KOZY-BREEZE-FOAM-BLOCK-72X60X04</t>
  </si>
  <si>
    <t>KOZY-BREEZE-FOAM-BLOCK-72X60X05</t>
  </si>
  <si>
    <t>KOZY-BREEZE-FOAM-BLOCK-72X60X06</t>
  </si>
  <si>
    <t>KOZY-BREEZE-FOAM-BLOCK-72X66X04</t>
  </si>
  <si>
    <t>KOZY-BREEZE-FOAM-BLOCK-72X66X05</t>
  </si>
  <si>
    <t>KOZY-BREEZE-FOAM-BLOCK-72X66X06</t>
  </si>
  <si>
    <t>KOZY-BREEZE-FOAM-BLOCK-72X72X04</t>
  </si>
  <si>
    <t>KOZY-BREEZE-FOAM-BLOCK-72X72X05</t>
  </si>
  <si>
    <t>KOZY-BREEZE-FOAM-BLOCK-72X72X06</t>
  </si>
  <si>
    <t>KOZY-BREEZE-FOAM-BLOCK-75X30X04</t>
  </si>
  <si>
    <t>KOZY-BREEZE-FOAM-BLOCK-75X30X05</t>
  </si>
  <si>
    <t>KOZY-BREEZE-FOAM-BLOCK-75X30X06</t>
  </si>
  <si>
    <t>KOZY-BREEZE-FOAM-BLOCK-75X36X04</t>
  </si>
  <si>
    <t>KOZY-BREEZE-FOAM-BLOCK-75X36X05</t>
  </si>
  <si>
    <t>KOZY-BREEZE-FOAM-BLOCK-75X36X06</t>
  </si>
  <si>
    <t>KOZY-BREEZE-FOAM-BLOCK-75X48X04</t>
  </si>
  <si>
    <t>KOZY-BREEZE-FOAM-BLOCK-75X48X05</t>
  </si>
  <si>
    <t>KOZY-BREEZE-FOAM-BLOCK-75X48X06</t>
  </si>
  <si>
    <t>KOZY-BREEZE-FOAM-BLOCK-75X60X04</t>
  </si>
  <si>
    <t>KOZY-BREEZE-FOAM-BLOCK-75X60X05</t>
  </si>
  <si>
    <t>KOZY-BREEZE-FOAM-BLOCK-75X60X06</t>
  </si>
  <si>
    <t>KOZY-BREEZE-FOAM-BLOCK-75X66X04</t>
  </si>
  <si>
    <t>KOZY-BREEZE-FOAM-BLOCK-75X66X05</t>
  </si>
  <si>
    <t>KOZY-BREEZE-FOAM-BLOCK-75X66X06</t>
  </si>
  <si>
    <t>KOZY-BREEZE-FOAM-BLOCK-75X72X04</t>
  </si>
  <si>
    <t>KOZY-BREEZE-FOAM-BLOCK-75X72X05</t>
  </si>
  <si>
    <t>KOZY-BREEZE-FOAM-BLOCK-75X72X06</t>
  </si>
  <si>
    <t>KOZY-BREEZE-FOAM-BLOCK-78X30X04</t>
  </si>
  <si>
    <t>KOZY-BREEZE-FOAM-BLOCK-78X30X05</t>
  </si>
  <si>
    <t>KOZY-BREEZE-FOAM-BLOCK-78X30X06</t>
  </si>
  <si>
    <t>KOZY-BREEZE-FOAM-BLOCK-78X36X04</t>
  </si>
  <si>
    <t>KOZY-BREEZE-FOAM-BLOCK-78X36X05</t>
  </si>
  <si>
    <t>KOZY-BREEZE-FOAM-BLOCK-78X36X06</t>
  </si>
  <si>
    <t>KOZY-BREEZE-FOAM-BLOCK-78X48X04</t>
  </si>
  <si>
    <t>KOZY-BREEZE-FOAM-BLOCK-78X48X05</t>
  </si>
  <si>
    <t>KOZY-BREEZE-FOAM-BLOCK-78X48X06</t>
  </si>
  <si>
    <t>KOZY-BREEZE-FOAM-BLOCK-78X60X04</t>
  </si>
  <si>
    <t>KOZY-BREEZE-FOAM-BLOCK-78X60X05</t>
  </si>
  <si>
    <t>KOZY-BREEZE-FOAM-BLOCK-78X60X06</t>
  </si>
  <si>
    <t>KOZY-BREEZE-FOAM-BLOCK-78X66X04</t>
  </si>
  <si>
    <t>KOZY-BREEZE-FOAM-BLOCK-78X66X05</t>
  </si>
  <si>
    <t>KOZY-BREEZE-FOAM-BLOCK-78X66X06</t>
  </si>
  <si>
    <t>KOZY-BREEZE-FOAM-BLOCK-78X72X04</t>
  </si>
  <si>
    <t>KOZY-BREEZE-FOAM-BLOCK-78X72X05</t>
  </si>
  <si>
    <t>KOZY-BREEZE-FOAM-BLOCK-78X72X06</t>
  </si>
  <si>
    <t>HYPHSPFMLB72X30X08</t>
  </si>
  <si>
    <t>HYPHSPFMLB72X36X08</t>
  </si>
  <si>
    <t>HYPHSPFMLB72X48X06</t>
  </si>
  <si>
    <t>HYPHSPFMLB72X72X08</t>
  </si>
  <si>
    <t>HYPHSPFMLB75X42X06</t>
  </si>
  <si>
    <t>HYPHSPFMLB75X48X08</t>
  </si>
  <si>
    <t>HYPHSPFMLB75X60X06</t>
  </si>
  <si>
    <t>HYPHSPFMLB75X72X08</t>
  </si>
  <si>
    <t>HYPHSPFMLB78X36X08</t>
  </si>
  <si>
    <t>HYPHSPFMLB78X60X08</t>
  </si>
  <si>
    <t>HEAVENSPACE-FOAM-BLOCK-72X30X08</t>
  </si>
  <si>
    <t>HEAVENSPACE-FOAM-BLOCK-72X36X08</t>
  </si>
  <si>
    <t>HEAVENSPACE-FOAM-BLOCK-72X48X06</t>
  </si>
  <si>
    <t>HEAVENSPACE-FOAM-BLOCK-72X72X08</t>
  </si>
  <si>
    <t>HEAVENSPACE-FOAM-BLOCK-75X42X06</t>
  </si>
  <si>
    <t>HEAVENSPACE-FOAM-BLOCK-75X48X08</t>
  </si>
  <si>
    <t>HEAVENSPACE-FOAM-BLOCK-75X60X06</t>
  </si>
  <si>
    <t>HEAVENSPACE-FOAM-BLOCK-75X72X08</t>
  </si>
  <si>
    <t>HEAVENSPACE-FOAM-BLOCK-78X36X08</t>
  </si>
  <si>
    <t>HYPHSPFMLB75X72X06</t>
  </si>
  <si>
    <t>HYPHSPFMLB78X60X06</t>
  </si>
  <si>
    <t>HYPHSPFMLB78X72X06</t>
  </si>
  <si>
    <t>HEAVENSPACE-FOAM-BLOCK-75X72X06</t>
  </si>
  <si>
    <t>HEAVENSPACE-FOAM-BLOCK-78X60X06</t>
  </si>
  <si>
    <t>HEAVENSPACE-FOAM-BLOCK-78X72X06</t>
  </si>
  <si>
    <t>ITEM</t>
  </si>
  <si>
    <t>HYPHSPFMLB78X72X08</t>
  </si>
  <si>
    <t>HEAVENSPACE-FOAM-BLOCK-78X72X08</t>
  </si>
  <si>
    <t>HYPHSPFMLB72X48X08</t>
  </si>
  <si>
    <t>HEAVENSPACE-FOAM-BLOCK-72X48X08</t>
  </si>
  <si>
    <t>HYPHSPFMLB72X72X06</t>
  </si>
  <si>
    <t>HEAVENSPACE-FOAM-BLOCK-72X72X06</t>
  </si>
  <si>
    <t>HYPHSPFMLB72X36X05</t>
  </si>
  <si>
    <t>HYPHSPFMLB75X60X05</t>
  </si>
  <si>
    <t>HEAVENSPACE-FOAM-BLOCK-72X36X05</t>
  </si>
  <si>
    <t>HEAVENSPACE-FOAM-BLOCK-75X60X05</t>
  </si>
  <si>
    <t>HYPKBRZFMDB75X42X04</t>
  </si>
  <si>
    <t>KOZY-BREEZE-FOAM-BLOCK-75X42X04</t>
  </si>
  <si>
    <t>FOAMERA</t>
  </si>
  <si>
    <t>MEMORIO</t>
  </si>
  <si>
    <t>SPINE SAFE</t>
  </si>
  <si>
    <t>FURNO</t>
  </si>
  <si>
    <t>MIRAGE</t>
  </si>
  <si>
    <t>INSPREE</t>
  </si>
  <si>
    <t>PANORAMA</t>
  </si>
  <si>
    <t>MEM ULTRA</t>
  </si>
  <si>
    <t>KOZY</t>
  </si>
  <si>
    <t>HEAVEN</t>
  </si>
  <si>
    <t>HEAVENSPACE-FOAM-BLOCK-78X60X08</t>
  </si>
  <si>
    <t>HYPHSPFMLB75X60X08</t>
  </si>
  <si>
    <t>HEAVENSPACE-FOAM-BLOCK-75X60X08</t>
  </si>
  <si>
    <t>HYPHSPFMLB72X60X05</t>
  </si>
  <si>
    <t>HEAVENSPACE-FOAM-BLOCK-72X60X05</t>
  </si>
  <si>
    <t>HYPINSFMLTGRN72X30X05-90D</t>
  </si>
  <si>
    <t>HYPINSFMLTGRN72X36X05-90D</t>
  </si>
  <si>
    <t>HYPINSFMLTGRN72X42X05-90D</t>
  </si>
  <si>
    <t>HYPINSFMLTGRN72X48X05-90D</t>
  </si>
  <si>
    <t>HYPINSFMLTGRN72X60X05-90D</t>
  </si>
  <si>
    <t>HYPINSFMLTGRN72X66X05-90D</t>
  </si>
  <si>
    <t>HYPINSFMLTGRN72X72X05-90D</t>
  </si>
  <si>
    <t>HYPINSFMLTGRN75X30X05-90D</t>
  </si>
  <si>
    <t>HYPINSFMLTGRN75X36X05-90D</t>
  </si>
  <si>
    <t>HYPINSFMLTGRN75X42X05-90D</t>
  </si>
  <si>
    <t>HYPINSFMLTGRN75X48X05-90D</t>
  </si>
  <si>
    <t>HYPINSFMLTGRN75X60X05-90D</t>
  </si>
  <si>
    <t>HYPINSFMLTGRN75X66X05-90D</t>
  </si>
  <si>
    <t>HYPINSFMLTGRN75X72X05-90D</t>
  </si>
  <si>
    <t>HYPINSFMLTGRN78X30X05-90D</t>
  </si>
  <si>
    <t>HYPINSFMLTGRN78X36X05-90D</t>
  </si>
  <si>
    <t>HYPINSFMLTGRN78X42X05-90D</t>
  </si>
  <si>
    <t>HYPINSFMLTGRN78X48X05-90D</t>
  </si>
  <si>
    <t>HYPINSFMLTGRN78X60X05-90D</t>
  </si>
  <si>
    <t>HYPINSFMLTGRN78X66X05-90D</t>
  </si>
  <si>
    <t>HYPINSFMLTGRN78X72X05-90D</t>
  </si>
  <si>
    <t>HYPINSFMLTGRN80X30X05-90D</t>
  </si>
  <si>
    <t>HYPINSFMLTGRN80X36X05-90D</t>
  </si>
  <si>
    <t>HYPINSFMLTGRN80X42X05-90D</t>
  </si>
  <si>
    <t>HYPINSFMLTGRN80X48X05-90D</t>
  </si>
  <si>
    <t>HYPINSFMLTGRN80X60X05-90D</t>
  </si>
  <si>
    <t>HYPINSFMLTGRN80X66X05-90D</t>
  </si>
  <si>
    <t>HYPINSFMLTGRN80X72X05-90D</t>
  </si>
  <si>
    <t>HYPINSFMLTGRN84X30X05-90D</t>
  </si>
  <si>
    <t>HYPINSFMLTGRN84X36X05-90D</t>
  </si>
  <si>
    <t>HYPINSFMLTGRN84X42X05-90D</t>
  </si>
  <si>
    <t>HYPINSFMLTGRN84X48X05-90D</t>
  </si>
  <si>
    <t>HYPINSFMLTGRN84X60X05-90D</t>
  </si>
  <si>
    <t>HYPINSFMLTGRN84X66X05-90D</t>
  </si>
  <si>
    <t>HYPINSFMLTGRN84X72X05-90D</t>
  </si>
  <si>
    <t>HYPINSFMLTGRN72X30X06-90D</t>
  </si>
  <si>
    <t>HYPINSFMLTGRN72X36X06-90D</t>
  </si>
  <si>
    <t>HYPINSFMLTGRN72X42X06-90D</t>
  </si>
  <si>
    <t>HYPINSFMLTGRN72X48X06-90D</t>
  </si>
  <si>
    <t>HYPINSFMLTGRN72X60X06-90D</t>
  </si>
  <si>
    <t>HYPINSFMLTGRN72X66X06-90D</t>
  </si>
  <si>
    <t>HYPINSFMLTGRN72X72X06-90D</t>
  </si>
  <si>
    <t>HYPINSFMLTGRN75X30X06-90D</t>
  </si>
  <si>
    <t>HYPINSFMLTGRN75X36X06-90D</t>
  </si>
  <si>
    <t>HYPINSFMLTGRN75X42X06-90D</t>
  </si>
  <si>
    <t>HYPINSFMLTGRN75X48X06-90D</t>
  </si>
  <si>
    <t>HYPINSFMLTGRN75X60X06-90D</t>
  </si>
  <si>
    <t>HYPINSFMLTGRN75X66X06-90D</t>
  </si>
  <si>
    <t>HYPINSFMLTGRN75X72X06-90D</t>
  </si>
  <si>
    <t>HYPINSFMLTGRN78X30X06-90D</t>
  </si>
  <si>
    <t>HYPINSFMLTGRN78X36X06-90D</t>
  </si>
  <si>
    <t>HYPINSFMLTGRN78X42X06-90D</t>
  </si>
  <si>
    <t>HYPINSFMLTGRN78X48X06-90D</t>
  </si>
  <si>
    <t>HYPINSFMLTGRN78X60X06-90D</t>
  </si>
  <si>
    <t>HYPINSFMLTGRN78X66X06-90D</t>
  </si>
  <si>
    <t>HYPINSFMLTGRN78X72X06-90D</t>
  </si>
  <si>
    <t>HYPINSFMLTGRN80X30X06-90D</t>
  </si>
  <si>
    <t>HYPINSFMLTGRN80X36X06-90D</t>
  </si>
  <si>
    <t>HYPINSFMLTGRN80X42X06-90D</t>
  </si>
  <si>
    <t>HYPINSFMLTGRN80X48X06-90D</t>
  </si>
  <si>
    <t>HYPINSFMLTGRN80X60X06-90D</t>
  </si>
  <si>
    <t>HYPINSFMLTGRN80X66X06-90D</t>
  </si>
  <si>
    <t>HYPINSFMLTGRN80X72X06-90D</t>
  </si>
  <si>
    <t>HYPINSFMLTGRN84X30X06-90D</t>
  </si>
  <si>
    <t>HYPINSFMLTGRN84X36X06-90D</t>
  </si>
  <si>
    <t>HYPINSFMLTGRN84X42X06-90D</t>
  </si>
  <si>
    <t>HYPINSFMLTGRN84X48X06-90D</t>
  </si>
  <si>
    <t>HYPINSFMLTGRN84X60X06-90D</t>
  </si>
  <si>
    <t>HYPINSFMLTGRN84X66X06-90D</t>
  </si>
  <si>
    <t>HYPINSFMLTGRN84X72X06-90D</t>
  </si>
  <si>
    <t>HYPINSFMLTGRN72X30X08-90D</t>
  </si>
  <si>
    <t>HYPINSFMLTGRN72X36X08-90D</t>
  </si>
  <si>
    <t>HYPINSFMLTGRN72X42X08-90D</t>
  </si>
  <si>
    <t>HYPINSFMLTGRN72X48X08-90D</t>
  </si>
  <si>
    <t>HYPINSFMLTGRN72X60X08-90D</t>
  </si>
  <si>
    <t>HYPINSFMLTGRN72X66X08-90D</t>
  </si>
  <si>
    <t>HYPINSFMLTGRN72X72X08-90D</t>
  </si>
  <si>
    <t>HYPINSFMLTGRN75X30X08-90D</t>
  </si>
  <si>
    <t>HYPINSFMLTGRN75X36X08-90D</t>
  </si>
  <si>
    <t>HYPINSFMLTGRN75X42X08-90D</t>
  </si>
  <si>
    <t>HYPINSFMLTGRN75X48X08-90D</t>
  </si>
  <si>
    <t>HYPINSFMLTGRN75X60X08-90D</t>
  </si>
  <si>
    <t>HYPINSFMLTGRN75X66X08-90D</t>
  </si>
  <si>
    <t>HYPINSFMLTGRN75X72X08-90D</t>
  </si>
  <si>
    <t>HYPINSFMLTGRN78X30X08-90D</t>
  </si>
  <si>
    <t>HYPINSFMLTGRN78X36X08-90D</t>
  </si>
  <si>
    <t>HYPINSFMLTGRN78X42X08-90D</t>
  </si>
  <si>
    <t>HYPINSFMLTGRN78X48X08-90D</t>
  </si>
  <si>
    <t>HYPINSFMLTGRN78X60X08-90D</t>
  </si>
  <si>
    <t>HYPINSFMLTGRN78X66X08-90D</t>
  </si>
  <si>
    <t>HYPINSFMLTGRN78X72X08-90D</t>
  </si>
  <si>
    <t>HYPINSFMLTGRN80X30X08-90D</t>
  </si>
  <si>
    <t>HYPINSFMLTGRN80X36X08-90D</t>
  </si>
  <si>
    <t>HYPINSFMLTGRN80X42X08-90D</t>
  </si>
  <si>
    <t>HYPINSFMLTGRN80X48X08-90D</t>
  </si>
  <si>
    <t>HYPINSFMLTGRN80X60X08-90D</t>
  </si>
  <si>
    <t>HYPINSFMLTGRN80X66X08-90D</t>
  </si>
  <si>
    <t>HYPINSFMLTGRN80X72X08-90D</t>
  </si>
  <si>
    <t>HYPINSFMLTGRN84X30X08-90D</t>
  </si>
  <si>
    <t>HYPINSFMLTGRN84X36X08-90D</t>
  </si>
  <si>
    <t>HYPINSFMLTGRN84X42X08-90D</t>
  </si>
  <si>
    <t>HYPINSFMLTGRN84X48X08-90D</t>
  </si>
  <si>
    <t>HYPINSFMLTGRN84X60X08-90D</t>
  </si>
  <si>
    <t>HYPINSFMLTGRN84X66X08-90D</t>
  </si>
  <si>
    <t>HYPINSFMLTGRN84X72X08-90D</t>
  </si>
  <si>
    <t>HYPINSFMLTPNK72X30X05-90D</t>
  </si>
  <si>
    <t>HYPINSFMLTPNK72X36X05-90D</t>
  </si>
  <si>
    <t>HYPINSFMLTPNK72X42X05-90D</t>
  </si>
  <si>
    <t>HYPINSFMLTPNK72X48X05-90D</t>
  </si>
  <si>
    <t>HYPINSFMLTPNK72X60X05-90D</t>
  </si>
  <si>
    <t>HYPINSFMLTPNK72X66X05-90D</t>
  </si>
  <si>
    <t>HYPINSFMLTPNK72X72X05-90D</t>
  </si>
  <si>
    <t>HYPINSFMLTPNK75X30X05-90D</t>
  </si>
  <si>
    <t>HYPINSFMLTPNK75X36X05-90D</t>
  </si>
  <si>
    <t>HYPINSFMLTPNK75X42X05-90D</t>
  </si>
  <si>
    <t>HYPINSFMLTPNK75X48X05-90D</t>
  </si>
  <si>
    <t>HYPINSFMLTPNK75X60X05-90D</t>
  </si>
  <si>
    <t>HYPINSFMLTPNK75X66X05-90D</t>
  </si>
  <si>
    <t>HYPINSFMLTPNK75X72X05-90D</t>
  </si>
  <si>
    <t>HYPINSFMLTPNK78X30X05-90D</t>
  </si>
  <si>
    <t>HYPINSFMLTPNK78X36X05-90D</t>
  </si>
  <si>
    <t>HYPINSFMLTPNK78X42X05-90D</t>
  </si>
  <si>
    <t>HYPINSFMLTPNK78X48X05-90D</t>
  </si>
  <si>
    <t>HYPINSFMLTPNK78X60X05-90D</t>
  </si>
  <si>
    <t>HYPINSFMLTPNK78X66X05-90D</t>
  </si>
  <si>
    <t>HYPINSFMLTPNK78X72X05-90D</t>
  </si>
  <si>
    <t>HYPINSFMLTPNK80X30X05-90D</t>
  </si>
  <si>
    <t>HYPINSFMLTPNK80X36X05-90D</t>
  </si>
  <si>
    <t>HYPINSFMLTPNK80X42X05-90D</t>
  </si>
  <si>
    <t>HYPINSFMLTPNK80X48X05-90D</t>
  </si>
  <si>
    <t>HYPINSFMLTPNK80X60X05-90D</t>
  </si>
  <si>
    <t>HYPINSFMLTPNK80X66X05-90D</t>
  </si>
  <si>
    <t>HYPINSFMLTPNK80X72X05-90D</t>
  </si>
  <si>
    <t>HYPINSFMLTPNK84X30X05-90D</t>
  </si>
  <si>
    <t>HYPINSFMLTPNK84X36X05-90D</t>
  </si>
  <si>
    <t>HYPINSFMLTPNK84X42X05-90D</t>
  </si>
  <si>
    <t>HYPINSFMLTPNK84X48X05-90D</t>
  </si>
  <si>
    <t>HYPINSFMLTPNK84X60X05-90D</t>
  </si>
  <si>
    <t>HYPINSFMLTPNK84X66X05-90D</t>
  </si>
  <si>
    <t>HYPINSFMLTPNK84X72X05-90D</t>
  </si>
  <si>
    <t>HYPINSFMLTPNK72X30X06-90D</t>
  </si>
  <si>
    <t>HYPINSFMLTPNK72X36X06-90D</t>
  </si>
  <si>
    <t>HYPINSFMLTPNK72X42X06-90D</t>
  </si>
  <si>
    <t>HYPINSFMLTPNK72X48X06-90D</t>
  </si>
  <si>
    <t>HYPINSFMLTPNK72X60X06-90D</t>
  </si>
  <si>
    <t>HYPINSFMLTPNK72X66X06-90D</t>
  </si>
  <si>
    <t>HYPINSFMLTPNK72X72X06-90D</t>
  </si>
  <si>
    <t>HYPINSFMLTPNK75X30X06-90D</t>
  </si>
  <si>
    <t>HYPINSFMLTPNK75X36X06-90D</t>
  </si>
  <si>
    <t>HYPINSFMLTPNK75X42X06-90D</t>
  </si>
  <si>
    <t>HYPINSFMLTPNK75X48X06-90D</t>
  </si>
  <si>
    <t>HYPINSFMLTPNK75X60X06-90D</t>
  </si>
  <si>
    <t>HYPINSFMLTPNK75X66X06-90D</t>
  </si>
  <si>
    <t>HYPINSFMLTPNK75X72X06-90D</t>
  </si>
  <si>
    <t>HYPINSFMLTPNK78X30X06-90D</t>
  </si>
  <si>
    <t>HYPINSFMLTPNK78X36X06-90D</t>
  </si>
  <si>
    <t>HYPINSFMLTPNK78X42X06-90D</t>
  </si>
  <si>
    <t>HYPINSFMLTPNK78X48X06-90D</t>
  </si>
  <si>
    <t>HYPINSFMLTPNK78X60X06-90D</t>
  </si>
  <si>
    <t>HYPINSFMLTPNK78X66X06-90D</t>
  </si>
  <si>
    <t>HYPINSFMLTPNK78X72X06-90D</t>
  </si>
  <si>
    <t>HYPINSFMLTPNK80X30X06-90D</t>
  </si>
  <si>
    <t>HYPINSFMLTPNK80X36X06-90D</t>
  </si>
  <si>
    <t>HYPINSFMLTPNK80X42X06-90D</t>
  </si>
  <si>
    <t>HYPINSFMLTPNK80X48X06-90D</t>
  </si>
  <si>
    <t>HYPINSFMLTPNK80X60X06-90D</t>
  </si>
  <si>
    <t>HYPINSFMLTPNK80X66X06-90D</t>
  </si>
  <si>
    <t>HYPINSFMLTPNK80X72X06-90D</t>
  </si>
  <si>
    <t>HYPINSFMLTPNK84X30X06-90D</t>
  </si>
  <si>
    <t>HYPINSFMLTPNK84X36X06-90D</t>
  </si>
  <si>
    <t>HYPINSFMLTPNK84X42X06-90D</t>
  </si>
  <si>
    <t>HYPINSFMLTPNK84X48X06-90D</t>
  </si>
  <si>
    <t>HYPINSFMLTPNK84X60X06-90D</t>
  </si>
  <si>
    <t>HYPINSFMLTPNK84X66X06-90D</t>
  </si>
  <si>
    <t>HYPINSFMLTPNK84X72X06-90D</t>
  </si>
  <si>
    <t>HYPINSFMLTPNK72X30X08-90D</t>
  </si>
  <si>
    <t>HYPINSFMLTPNK72X36X08-90D</t>
  </si>
  <si>
    <t>HYPINSFMLTPNK72X42X08-90D</t>
  </si>
  <si>
    <t>HYPINSFMLTPNK72X48X08-90D</t>
  </si>
  <si>
    <t>HYPINSFMLTPNK72X60X08-90D</t>
  </si>
  <si>
    <t>HYPINSFMLTPNK72X66X08-90D</t>
  </si>
  <si>
    <t>HYPINSFMLTPNK72X72X08-90D</t>
  </si>
  <si>
    <t>HYPINSFMLTPNK75X30X08-90D</t>
  </si>
  <si>
    <t>HYPINSFMLTPNK75X36X08-90D</t>
  </si>
  <si>
    <t>HYPINSFMLTPNK75X42X08-90D</t>
  </si>
  <si>
    <t>HYPINSFMLTPNK75X48X08-90D</t>
  </si>
  <si>
    <t>HYPINSFMLTPNK75X60X08-90D</t>
  </si>
  <si>
    <t>HYPINSFMLTPNK75X66X08-90D</t>
  </si>
  <si>
    <t>HYPINSFMLTPNK75X72X08-90D</t>
  </si>
  <si>
    <t>HYPINSFMLTPNK78X30X08-90D</t>
  </si>
  <si>
    <t>HYPINSFMLTPNK78X36X08-90D</t>
  </si>
  <si>
    <t>HYPINSFMLTPNK78X42X08-90D</t>
  </si>
  <si>
    <t>HYPINSFMLTPNK78X48X08-90D</t>
  </si>
  <si>
    <t>HYPINSFMLTPNK78X60X08-90D</t>
  </si>
  <si>
    <t>HYPINSFMLTPNK78X66X08-90D</t>
  </si>
  <si>
    <t>HYPINSFMLTPNK78X72X08-90D</t>
  </si>
  <si>
    <t>HYPINSFMLTPNK80X30X08-90D</t>
  </si>
  <si>
    <t>HYPINSFMLTPNK80X36X08-90D</t>
  </si>
  <si>
    <t>HYPINSFMLTPNK80X42X08-90D</t>
  </si>
  <si>
    <t>HYPINSFMLTPNK80X48X08-90D</t>
  </si>
  <si>
    <t>HYPINSFMLTPNK80X60X08-90D</t>
  </si>
  <si>
    <t>HYPINSFMLTPNK80X66X08-90D</t>
  </si>
  <si>
    <t>HYPINSFMLTPNK80X72X08-90D</t>
  </si>
  <si>
    <t>HYPINSFMLTPNK84X30X08-90D</t>
  </si>
  <si>
    <t>HYPINSFMLTPNK84X36X08-90D</t>
  </si>
  <si>
    <t>HYPINSFMLTPNK84X42X08-90D</t>
  </si>
  <si>
    <t>HYPINSFMLTPNK84X48X08-90D</t>
  </si>
  <si>
    <t>HYPINSFMLTPNK84X60X08-90D</t>
  </si>
  <si>
    <t>HYPINSFMLTPNK84X66X08-90D</t>
  </si>
  <si>
    <t>HYPINSFMLTPNK84X72X08-90D</t>
  </si>
  <si>
    <t>HYPINSFMLTETGRN72X30X05-90D</t>
  </si>
  <si>
    <t>HYPINSFMLTETGRN72X36X05-90D</t>
  </si>
  <si>
    <t>HYPINSFMLTETGRN72X42X05-90D</t>
  </si>
  <si>
    <t>HYPINSFMLTETGRN72X48X05-90D</t>
  </si>
  <si>
    <t>HYPINSFMLTETGRN72X60X05-90D</t>
  </si>
  <si>
    <t>HYPINSFMLTETGRN72X66X05-90D</t>
  </si>
  <si>
    <t>HYPINSFMLTETGRN72X72X05-90D</t>
  </si>
  <si>
    <t>HYPINSFMLTETGRN75X30X05-90D</t>
  </si>
  <si>
    <t>HYPINSFMLTETGRN75X36X05-90D</t>
  </si>
  <si>
    <t>HYPINSFMLTETGRN75X42X05-90D</t>
  </si>
  <si>
    <t>HYPINSFMLTETGRN75X48X05-90D</t>
  </si>
  <si>
    <t>HYPINSFMLTETGRN75X60X05-90D</t>
  </si>
  <si>
    <t>HYPINSFMLTETGRN75X66X05-90D</t>
  </si>
  <si>
    <t>HYPINSFMLTETGRN75X72X05-90D</t>
  </si>
  <si>
    <t>HYPINSFMLTETGRN78X30X05-90D</t>
  </si>
  <si>
    <t>HYPINSFMLTETGRN78X36X05-90D</t>
  </si>
  <si>
    <t>HYPINSFMLTETGRN78X42X05-90D</t>
  </si>
  <si>
    <t>HYPINSFMLTETGRN78X48X05-90D</t>
  </si>
  <si>
    <t>HYPINSFMLTETGRN78X60X05-90D</t>
  </si>
  <si>
    <t>HYPINSFMLTETGRN78X66X05-90D</t>
  </si>
  <si>
    <t>HYPINSFMLTETGRN78X72X05-90D</t>
  </si>
  <si>
    <t>HYPINSFMLTETGRN80X30X05-90D</t>
  </si>
  <si>
    <t>HYPINSFMLTETGRN80X36X05-90D</t>
  </si>
  <si>
    <t>HYPINSFMLTETGRN80X42X05-90D</t>
  </si>
  <si>
    <t>HYPINSFMLTETGRN80X48X05-90D</t>
  </si>
  <si>
    <t>HYPINSFMLTETGRN80X60X05-90D</t>
  </si>
  <si>
    <t>HYPINSFMLTETGRN80X66X05-90D</t>
  </si>
  <si>
    <t>HYPINSFMLTETGRN80X72X05-90D</t>
  </si>
  <si>
    <t>HYPINSFMLTETGRN84X30X05-90D</t>
  </si>
  <si>
    <t>HYPINSFMLTETGRN84X36X05-90D</t>
  </si>
  <si>
    <t>HYPINSFMLTETGRN84X42X05-90D</t>
  </si>
  <si>
    <t>HYPINSFMLTETGRN84X48X05-90D</t>
  </si>
  <si>
    <t>HYPINSFMLTETGRN84X60X05-90D</t>
  </si>
  <si>
    <t>HYPINSFMLTETGRN84X66X05-90D</t>
  </si>
  <si>
    <t>HYPINSFMLTETGRN84X72X05-90D</t>
  </si>
  <si>
    <t>HYPINSFMLTETGRN72X30X06-90D</t>
  </si>
  <si>
    <t>HYPINSFMLTETGRN72X36X06-90D</t>
  </si>
  <si>
    <t>HYPINSFMLTETGRN72X42X06-90D</t>
  </si>
  <si>
    <t>HYPINSFMLTETGRN72X48X06-90D</t>
  </si>
  <si>
    <t>HYPINSFMLTETGRN72X60X06-90D</t>
  </si>
  <si>
    <t>HYPINSFMLTETGRN72X66X06-90D</t>
  </si>
  <si>
    <t>HYPINSFMLTETGRN72X72X06-90D</t>
  </si>
  <si>
    <t>HYPINSFMLTETGRN75X30X06-90D</t>
  </si>
  <si>
    <t>HYPINSFMLTETGRN75X36X06-90D</t>
  </si>
  <si>
    <t>HYPINSFMLTETGRN75X42X06-90D</t>
  </si>
  <si>
    <t>HYPINSFMLTETGRN75X48X06-90D</t>
  </si>
  <si>
    <t>HYPINSFMLTETGRN75X60X06-90D</t>
  </si>
  <si>
    <t>HYPINSFMLTETGRN75X66X06-90D</t>
  </si>
  <si>
    <t>HYPINSFMLTETGRN75X72X06-90D</t>
  </si>
  <si>
    <t>HYPINSFMLTETGRN78X30X06-90D</t>
  </si>
  <si>
    <t>HYPINSFMLTETGRN78X36X06-90D</t>
  </si>
  <si>
    <t>HYPINSFMLTETGRN78X42X06-90D</t>
  </si>
  <si>
    <t>HYPINSFMLTETGRN78X48X06-90D</t>
  </si>
  <si>
    <t>HYPINSFMLTETGRN78X60X06-90D</t>
  </si>
  <si>
    <t>HYPINSFMLTETGRN78X66X06-90D</t>
  </si>
  <si>
    <t>HYPINSFMLTETGRN78X72X06-90D</t>
  </si>
  <si>
    <t>HYPINSFMLTETGRN80X30X06-90D</t>
  </si>
  <si>
    <t>HYPINSFMLTETGRN80X36X06-90D</t>
  </si>
  <si>
    <t>HYPINSFMLTETGRN80X42X06-90D</t>
  </si>
  <si>
    <t>HYPINSFMLTETGRN80X48X06-90D</t>
  </si>
  <si>
    <t>HYPINSFMLTETGRN80X60X06-90D</t>
  </si>
  <si>
    <t>HYPINSFMLTETGRN80X66X06-90D</t>
  </si>
  <si>
    <t>HYPINSFMLTETGRN80X72X06-90D</t>
  </si>
  <si>
    <t>HYPINSFMLTETGRN84X30X06-90D</t>
  </si>
  <si>
    <t>HYPINSFMLTETGRN84X36X06-90D</t>
  </si>
  <si>
    <t>HYPINSFMLTETGRN84X42X06-90D</t>
  </si>
  <si>
    <t>HYPINSFMLTETGRN84X48X06-90D</t>
  </si>
  <si>
    <t>HYPINSFMLTETGRN84X60X06-90D</t>
  </si>
  <si>
    <t>HYPINSFMLTETGRN84X66X06-90D</t>
  </si>
  <si>
    <t>HYPINSFMLTETGRN84X72X06-90D</t>
  </si>
  <si>
    <t>HYPINSFMLTETGRN72X30X08-90D</t>
  </si>
  <si>
    <t>HYPINSFMLTETGRN72X36X08-90D</t>
  </si>
  <si>
    <t>HYPINSFMLTETGRN72X42X08-90D</t>
  </si>
  <si>
    <t>HYPINSFMLTETGRN72X48X08-90D</t>
  </si>
  <si>
    <t>HYPINSFMLTETGRN72X60X08-90D</t>
  </si>
  <si>
    <t>HYPINSFMLTETGRN72X66X08-90D</t>
  </si>
  <si>
    <t>HYPINSFMLTETGRN72X72X08-90D</t>
  </si>
  <si>
    <t>HYPINSFMLTETGRN75X30X08-90D</t>
  </si>
  <si>
    <t>HYPINSFMLTETGRN75X36X08-90D</t>
  </si>
  <si>
    <t>HYPINSFMLTETGRN75X42X08-90D</t>
  </si>
  <si>
    <t>HYPINSFMLTETGRN75X48X08-90D</t>
  </si>
  <si>
    <t>HYPINSFMLTETGRN75X60X08-90D</t>
  </si>
  <si>
    <t>HYPINSFMLTETGRN75X66X08-90D</t>
  </si>
  <si>
    <t>HYPINSFMLTETGRN75X72X08-90D</t>
  </si>
  <si>
    <t>HYPINSFMLTETGRN78X30X08-90D</t>
  </si>
  <si>
    <t>HYPINSFMLTETGRN78X36X08-90D</t>
  </si>
  <si>
    <t>HYPINSFMLTETGRN78X42X08-90D</t>
  </si>
  <si>
    <t>HYPINSFMLTETGRN78X48X08-90D</t>
  </si>
  <si>
    <t>HYPINSFMLTETGRN78X60X08-90D</t>
  </si>
  <si>
    <t>HYPINSFMLTETGRN78X66X08-90D</t>
  </si>
  <si>
    <t>HYPINSFMLTETGRN78X72X08-90D</t>
  </si>
  <si>
    <t>HYPINSFMLTETGRN80X30X08-90D</t>
  </si>
  <si>
    <t>HYPINSFMLTETGRN80X36X08-90D</t>
  </si>
  <si>
    <t>HYPINSFMLTETGRN80X42X08-90D</t>
  </si>
  <si>
    <t>HYPINSFMLTETGRN80X48X08-90D</t>
  </si>
  <si>
    <t>HYPINSFMLTETGRN80X60X08-90D</t>
  </si>
  <si>
    <t>HYPINSFMLTETGRN80X66X08-90D</t>
  </si>
  <si>
    <t>HYPINSFMLTETGRN80X72X08-90D</t>
  </si>
  <si>
    <t>HYPINSFMLTETGRN84X30X08-90D</t>
  </si>
  <si>
    <t>HYPINSFMLTETGRN84X36X08-90D</t>
  </si>
  <si>
    <t>HYPINSFMLTETGRN84X42X08-90D</t>
  </si>
  <si>
    <t>HYPINSFMLTETGRN84X48X08-90D</t>
  </si>
  <si>
    <t>HYPINSFMLTETGRN84X60X08-90D</t>
  </si>
  <si>
    <t>HYPINSFMLTETGRN84X66X08-90D</t>
  </si>
  <si>
    <t>HYPINSFMLTETGRN84X72X08-90D</t>
  </si>
  <si>
    <t>HYPINSFMLTETPNK72X30X05-90D</t>
  </si>
  <si>
    <t>HYPINSFMLTETPNK72X36X05-90D</t>
  </si>
  <si>
    <t>HYPINSFMLTETPNK72X42X05-90D</t>
  </si>
  <si>
    <t>HYPINSFMLTETPNK72X48X05-90D</t>
  </si>
  <si>
    <t>HYPINSFMLTETPNK72X60X05-90D</t>
  </si>
  <si>
    <t>HYPINSFMLTETPNK72X66X05-90D</t>
  </si>
  <si>
    <t>HYPINSFMLTETPNK72X72X05-90D</t>
  </si>
  <si>
    <t>HYPINSFMLTETPNK75X30X05-90D</t>
  </si>
  <si>
    <t>HYPINSFMLTETPNK75X36X05-90D</t>
  </si>
  <si>
    <t>HYPINSFMLTETPNK75X42X05-90D</t>
  </si>
  <si>
    <t>HYPINSFMLTETPNK75X48X05-90D</t>
  </si>
  <si>
    <t>HYPINSFMLTETPNK75X60X05-90D</t>
  </si>
  <si>
    <t>HYPINSFMLTETPNK75X66X05-90D</t>
  </si>
  <si>
    <t>HYPINSFMLTETPNK75X72X05-90D</t>
  </si>
  <si>
    <t>HYPINSFMLTETPNK78X30X05-90D</t>
  </si>
  <si>
    <t>HYPINSFMLTETPNK78X36X05-90D</t>
  </si>
  <si>
    <t>HYPINSFMLTETPNK78X42X05-90D</t>
  </si>
  <si>
    <t>HYPINSFMLTETPNK78X48X05-90D</t>
  </si>
  <si>
    <t>HYPINSFMLTETPNK78X60X05-90D</t>
  </si>
  <si>
    <t>HYPINSFMLTETPNK78X66X05-90D</t>
  </si>
  <si>
    <t>HYPINSFMLTETPNK78X72X05-90D</t>
  </si>
  <si>
    <t>HYPINSFMLTETPNK80X30X05-90D</t>
  </si>
  <si>
    <t>HYPINSFMLTETPNK80X36X05-90D</t>
  </si>
  <si>
    <t>HYPINSFMLTETPNK80X42X05-90D</t>
  </si>
  <si>
    <t>HYPINSFMLTETPNK80X48X05-90D</t>
  </si>
  <si>
    <t>HYPINSFMLTETPNK80X60X05-90D</t>
  </si>
  <si>
    <t>HYPINSFMLTETPNK80X66X05-90D</t>
  </si>
  <si>
    <t>HYPINSFMLTETPNK80X72X05-90D</t>
  </si>
  <si>
    <t>HYPINSFMLTETPNK84X30X05-90D</t>
  </si>
  <si>
    <t>HYPINSFMLTETPNK84X36X05-90D</t>
  </si>
  <si>
    <t>HYPINSFMLTETPNK84X42X05-90D</t>
  </si>
  <si>
    <t>HYPINSFMLTETPNK84X48X05-90D</t>
  </si>
  <si>
    <t>HYPINSFMLTETPNK84X60X05-90D</t>
  </si>
  <si>
    <t>HYPINSFMLTETPNK84X66X05-90D</t>
  </si>
  <si>
    <t>HYPINSFMLTETPNK84X72X05-90D</t>
  </si>
  <si>
    <t>HYPINSFMLTETPNK72X30X06-90D</t>
  </si>
  <si>
    <t>HYPINSFMLTETPNK72X36X06-90D</t>
  </si>
  <si>
    <t>HYPINSFMLTETPNK72X42X06-90D</t>
  </si>
  <si>
    <t>HYPINSFMLTETPNK72X48X06-90D</t>
  </si>
  <si>
    <t>HYPINSFMLTETPNK72X60X06-90D</t>
  </si>
  <si>
    <t>HYPINSFMLTETPNK72X66X06-90D</t>
  </si>
  <si>
    <t>HYPINSFMLTETPNK72X72X06-90D</t>
  </si>
  <si>
    <t>HYPINSFMLTETPNK75X30X06-90D</t>
  </si>
  <si>
    <t>HYPINSFMLTETPNK75X36X06-90D</t>
  </si>
  <si>
    <t>HYPINSFMLTETPNK75X42X06-90D</t>
  </si>
  <si>
    <t>HYPINSFMLTETPNK75X48X06-90D</t>
  </si>
  <si>
    <t>HYPINSFMLTETPNK75X60X06-90D</t>
  </si>
  <si>
    <t>HYPINSFMLTETPNK75X66X06-90D</t>
  </si>
  <si>
    <t>HYPINSFMLTETPNK75X72X06-90D</t>
  </si>
  <si>
    <t>HYPINSFMLTETPNK78X30X06-90D</t>
  </si>
  <si>
    <t>HYPINSFMLTETPNK78X36X06-90D</t>
  </si>
  <si>
    <t>HYPINSFMLTETPNK78X42X06-90D</t>
  </si>
  <si>
    <t>HYPINSFMLTETPNK78X48X06-90D</t>
  </si>
  <si>
    <t>HYPINSFMLTETPNK78X60X06-90D</t>
  </si>
  <si>
    <t>HYPINSFMLTETPNK78X66X06-90D</t>
  </si>
  <si>
    <t>HYPINSFMLTETPNK78X72X06-90D</t>
  </si>
  <si>
    <t>HYPINSFMLTETPNK80X30X06-90D</t>
  </si>
  <si>
    <t>HYPINSFMLTETPNK80X36X06-90D</t>
  </si>
  <si>
    <t>HYPINSFMLTETPNK80X42X06-90D</t>
  </si>
  <si>
    <t>HYPINSFMLTETPNK80X48X06-90D</t>
  </si>
  <si>
    <t>HYPINSFMLTETPNK80X60X06-90D</t>
  </si>
  <si>
    <t>HYPINSFMLTETPNK80X66X06-90D</t>
  </si>
  <si>
    <t>HYPINSFMLTETPNK80X72X06-90D</t>
  </si>
  <si>
    <t>HYPINSFMLTETPNK84X30X06-90D</t>
  </si>
  <si>
    <t>HYPINSFMLTETPNK84X36X06-90D</t>
  </si>
  <si>
    <t>HYPINSFMLTETPNK84X42X06-90D</t>
  </si>
  <si>
    <t>HYPINSFMLTETPNK84X48X06-90D</t>
  </si>
  <si>
    <t>HYPINSFMLTETPNK84X60X06-90D</t>
  </si>
  <si>
    <t>HYPINSFMLTETPNK84X66X06-90D</t>
  </si>
  <si>
    <t>HYPINSFMLTETPNK84X72X06-90D</t>
  </si>
  <si>
    <t>HYPINSFMLTETPNK72X30X08-90D</t>
  </si>
  <si>
    <t>HYPINSFMLTETPNK72X36X08-90D</t>
  </si>
  <si>
    <t>HYPINSFMLTETPNK72X42X08-90D</t>
  </si>
  <si>
    <t>HYPINSFMLTETPNK72X48X08-90D</t>
  </si>
  <si>
    <t>HYPINSFMLTETPNK72X60X08-90D</t>
  </si>
  <si>
    <t>HYPINSFMLTETPNK72X66X08-90D</t>
  </si>
  <si>
    <t>HYPINSFMLTETPNK72X72X08-90D</t>
  </si>
  <si>
    <t>HYPINSFMLTETPNK75X30X08-90D</t>
  </si>
  <si>
    <t>HYPINSFMLTETPNK75X36X08-90D</t>
  </si>
  <si>
    <t>HYPINSFMLTETPNK75X42X08-90D</t>
  </si>
  <si>
    <t>HYPINSFMLTETPNK75X48X08-90D</t>
  </si>
  <si>
    <t>HYPINSFMLTETPNK75X60X08-90D</t>
  </si>
  <si>
    <t>HYPINSFMLTETPNK75X66X08-90D</t>
  </si>
  <si>
    <t>HYPINSFMLTETPNK75X72X08-90D</t>
  </si>
  <si>
    <t>HYPINSFMLTETPNK78X30X08-90D</t>
  </si>
  <si>
    <t>HYPINSFMLTETPNK78X36X08-90D</t>
  </si>
  <si>
    <t>HYPINSFMLTETPNK78X42X08-90D</t>
  </si>
  <si>
    <t>HYPINSFMLTETPNK78X48X08-90D</t>
  </si>
  <si>
    <t>HYPINSFMLTETPNK78X60X08-90D</t>
  </si>
  <si>
    <t>HYPINSFMLTETPNK78X66X08-90D</t>
  </si>
  <si>
    <t>HYPINSFMLTETPNK78X72X08-90D</t>
  </si>
  <si>
    <t>HYPINSFMLTETPNK80X30X08-90D</t>
  </si>
  <si>
    <t>HYPINSFMLTETPNK80X36X08-90D</t>
  </si>
  <si>
    <t>HYPINSFMLTETPNK80X42X08-90D</t>
  </si>
  <si>
    <t>HYPINSFMLTETPNK80X48X08-90D</t>
  </si>
  <si>
    <t>HYPINSFMLTETPNK80X60X08-90D</t>
  </si>
  <si>
    <t>HYPINSFMLTETPNK80X66X08-90D</t>
  </si>
  <si>
    <t>HYPINSFMLTETPNK80X72X08-90D</t>
  </si>
  <si>
    <t>HYPINSFMLTETPNK84X30X08-90D</t>
  </si>
  <si>
    <t>HYPINSFMLTETPNK84X36X08-90D</t>
  </si>
  <si>
    <t>HYPINSFMLTETPNK84X42X08-90D</t>
  </si>
  <si>
    <t>HYPINSFMLTETPNK84X48X08-90D</t>
  </si>
  <si>
    <t>HYPINSFMLTETPNK84X60X08-90D</t>
  </si>
  <si>
    <t>HYPINSFMLTETPNK84X66X08-90D</t>
  </si>
  <si>
    <t>HYPINSFMLTETPNK84X72X08-90D</t>
  </si>
  <si>
    <t>CK</t>
  </si>
  <si>
    <t>HYPINSFMLTGRN</t>
  </si>
  <si>
    <t>HYPINSFMLTGRN72X33X05-90D</t>
  </si>
  <si>
    <t>HYPINSFMLTGRN72X39X05-90D</t>
  </si>
  <si>
    <t>HYPINSFMLTGRN72X45X05-90D</t>
  </si>
  <si>
    <t>HYPINSFMLTGRN72X51X05-90D</t>
  </si>
  <si>
    <t>HYPINSFMLTGRN72X54X05-90D</t>
  </si>
  <si>
    <t>HYPINSFMLTGRN72X57X05-90D</t>
  </si>
  <si>
    <t>HYPINSFMLTGRN72X63X05-90D</t>
  </si>
  <si>
    <t>HYPINSFMLTGRN72X69X05-90D</t>
  </si>
  <si>
    <t>HYPINSFMLTGRN75X33X05-90D</t>
  </si>
  <si>
    <t>HYPINSFMLTGRN75X39X05-90D</t>
  </si>
  <si>
    <t>HYPINSFMLTGRN75X45X05-90D</t>
  </si>
  <si>
    <t>HYPINSFMLTGRN75X51X05-90D</t>
  </si>
  <si>
    <t>HYPINSFMLTGRN75X54X05-90D</t>
  </si>
  <si>
    <t>HYPINSFMLTGRN75X57X05-90D</t>
  </si>
  <si>
    <t>HYPINSFMLTGRN75X63X05-90D</t>
  </si>
  <si>
    <t>HYPINSFMLTGRN75X69X05-90D</t>
  </si>
  <si>
    <t>HYPINSFMLTGRN78X33X05-90D</t>
  </si>
  <si>
    <t>HYPINSFMLTGRN78X39X05-90D</t>
  </si>
  <si>
    <t>HYPINSFMLTGRN78X45X05-90D</t>
  </si>
  <si>
    <t>HYPINSFMLTGRN78X51X05-90D</t>
  </si>
  <si>
    <t>HYPINSFMLTGRN78X54X05-90D</t>
  </si>
  <si>
    <t>HYPINSFMLTGRN78X57X05-90D</t>
  </si>
  <si>
    <t>HYPINSFMLTGRN78X63X05-90D</t>
  </si>
  <si>
    <t>HYPINSFMLTGRN78X69X05-90D</t>
  </si>
  <si>
    <t>HYPINSFMLTGRN80X33X05-90D</t>
  </si>
  <si>
    <t>HYPINSFMLTGRN80X39X05-90D</t>
  </si>
  <si>
    <t>HYPINSFMLTGRN80X45X05-90D</t>
  </si>
  <si>
    <t>HYPINSFMLTGRN80X51X05-90D</t>
  </si>
  <si>
    <t>HYPINSFMLTGRN80X54X05-90D</t>
  </si>
  <si>
    <t>HYPINSFMLTGRN80X57X05-90D</t>
  </si>
  <si>
    <t>HYPINSFMLTGRN80X63X05-90D</t>
  </si>
  <si>
    <t>HYPINSFMLTGRN80X69X05-90D</t>
  </si>
  <si>
    <t>HYPINSFMLTGRN84X33X05-90D</t>
  </si>
  <si>
    <t>HYPINSFMLTGRN84X39X05-90D</t>
  </si>
  <si>
    <t>HYPINSFMLTGRN84X45X05-90D</t>
  </si>
  <si>
    <t>HYPINSFMLTGRN84X51X05-90D</t>
  </si>
  <si>
    <t>HYPINSFMLTGRN84X54X05-90D</t>
  </si>
  <si>
    <t>HYPINSFMLTGRN84X57X05-90D</t>
  </si>
  <si>
    <t>HYPINSFMLTGRN84X63X05-90D</t>
  </si>
  <si>
    <t>HYPINSFMLTGRN84X69X05-90D</t>
  </si>
  <si>
    <t>HYPINSFMLTPNK72X33X05-90D</t>
  </si>
  <si>
    <t>HYPINSFMLTPNK72X39X05-90D</t>
  </si>
  <si>
    <t>HYPINSFMLTPNK72X45X05-90D</t>
  </si>
  <si>
    <t>HYPINSFMLTPNK72X51X05-90D</t>
  </si>
  <si>
    <t>HYPINSFMLTPNK72X54X05-90D</t>
  </si>
  <si>
    <t>HYPINSFMLTPNK72X57X05-90D</t>
  </si>
  <si>
    <t>HYPINSFMLTPNK72X63X05-90D</t>
  </si>
  <si>
    <t>HYPINSFMLTPNK72X69X05-90D</t>
  </si>
  <si>
    <t>HYPINSFMLTPNK75X33X05-90D</t>
  </si>
  <si>
    <t>HYPINSFMLTPNK75X39X05-90D</t>
  </si>
  <si>
    <t>HYPINSFMLTPNK75X45X05-90D</t>
  </si>
  <si>
    <t>HYPINSFMLTPNK75X51X05-90D</t>
  </si>
  <si>
    <t>HYPINSFMLTPNK75X54X05-90D</t>
  </si>
  <si>
    <t>HYPINSFMLTPNK75X57X05-90D</t>
  </si>
  <si>
    <t>HYPINSFMLTPNK75X63X05-90D</t>
  </si>
  <si>
    <t>HYPINSFMLTPNK75X69X05-90D</t>
  </si>
  <si>
    <t>HYPINSFMLTPNK78X33X05-90D</t>
  </si>
  <si>
    <t>HYPINSFMLTPNK78X39X05-90D</t>
  </si>
  <si>
    <t>HYPINSFMLTPNK78X45X05-90D</t>
  </si>
  <si>
    <t>HYPINSFMLTPNK78X51X05-90D</t>
  </si>
  <si>
    <t>HYPINSFMLTPNK78X54X05-90D</t>
  </si>
  <si>
    <t>HYPINSFMLTPNK78X57X05-90D</t>
  </si>
  <si>
    <t>HYPINSFMLTPNK78X63X05-90D</t>
  </si>
  <si>
    <t>HYPINSFMLTPNK78X69X05-90D</t>
  </si>
  <si>
    <t>HYPINSFMLTPNK80X33X05-90D</t>
  </si>
  <si>
    <t>HYPINSFMLTPNK80X39X05-90D</t>
  </si>
  <si>
    <t>HYPINSFMLTPNK80X45X05-90D</t>
  </si>
  <si>
    <t>HYPINSFMLTPNK80X51X05-90D</t>
  </si>
  <si>
    <t>HYPINSFMLTPNK80X54X05-90D</t>
  </si>
  <si>
    <t>HYPINSFMLTPNK80X57X05-90D</t>
  </si>
  <si>
    <t>HYPINSFMLTPNK80X63X05-90D</t>
  </si>
  <si>
    <t>HYPINSFMLTPNK80X69X05-90D</t>
  </si>
  <si>
    <t>HYPINSFMLTPNK84X33X05-90D</t>
  </si>
  <si>
    <t>HYPINSFMLTPNK84X39X05-90D</t>
  </si>
  <si>
    <t>HYPINSFMLTPNK84X45X05-90D</t>
  </si>
  <si>
    <t>HYPINSFMLTPNK84X51X05-90D</t>
  </si>
  <si>
    <t>HYPINSFMLTPNK84X54X05-90D</t>
  </si>
  <si>
    <t>HYPINSFMLTPNK84X57X05-90D</t>
  </si>
  <si>
    <t>HYPINSFMLTPNK84X63X05-90D</t>
  </si>
  <si>
    <t>HYPINSFMLTPNK84X69X05-90D</t>
  </si>
  <si>
    <t>HYPINSFMLTETGRN72X33X05-90D</t>
  </si>
  <si>
    <t>HYPINSFMLTETGRN72X39X05-90D</t>
  </si>
  <si>
    <t>HYPINSFMLTETGRN72X45X05-90D</t>
  </si>
  <si>
    <t>HYPINSFMLTETGRN72X51X05-90D</t>
  </si>
  <si>
    <t>HYPINSFMLTETGRN72X54X05-90D</t>
  </si>
  <si>
    <t>HYPINSFMLTETGRN72X57X05-90D</t>
  </si>
  <si>
    <t>HYPINSFMLTETGRN72X63X05-90D</t>
  </si>
  <si>
    <t>HYPINSFMLTETGRN72X69X05-90D</t>
  </si>
  <si>
    <t>HYPINSFMLTETGRN75X33X05-90D</t>
  </si>
  <si>
    <t>HYPINSFMLTETGRN75X39X05-90D</t>
  </si>
  <si>
    <t>HYPINSFMLTETGRN75X45X05-90D</t>
  </si>
  <si>
    <t>HYPINSFMLTETGRN75X51X05-90D</t>
  </si>
  <si>
    <t>HYPINSFMLTETGRN75X54X05-90D</t>
  </si>
  <si>
    <t>HYPINSFMLTETGRN75X57X05-90D</t>
  </si>
  <si>
    <t>HYPINSFMLTETGRN75X63X05-90D</t>
  </si>
  <si>
    <t>HYPINSFMLTETGRN75X69X05-90D</t>
  </si>
  <si>
    <t>HYPINSFMLTETGRN78X33X05-90D</t>
  </si>
  <si>
    <t>HYPINSFMLTETGRN78X39X05-90D</t>
  </si>
  <si>
    <t>HYPINSFMLTETGRN78X45X05-90D</t>
  </si>
  <si>
    <t>HYPINSFMLTETGRN78X51X05-90D</t>
  </si>
  <si>
    <t>HYPINSFMLTETGRN78X54X05-90D</t>
  </si>
  <si>
    <t>HYPINSFMLTETGRN78X57X05-90D</t>
  </si>
  <si>
    <t>HYPINSFMLTETGRN78X63X05-90D</t>
  </si>
  <si>
    <t>HYPINSFMLTETGRN78X69X05-90D</t>
  </si>
  <si>
    <t>HYPINSFMLTETGRN80X33X05-90D</t>
  </si>
  <si>
    <t>HYPINSFMLTETGRN80X39X05-90D</t>
  </si>
  <si>
    <t>HYPINSFMLTETGRN80X45X05-90D</t>
  </si>
  <si>
    <t>HYPINSFMLTETGRN80X51X05-90D</t>
  </si>
  <si>
    <t>HYPINSFMLTETGRN80X54X05-90D</t>
  </si>
  <si>
    <t>HYPINSFMLTETGRN80X57X05-90D</t>
  </si>
  <si>
    <t>HYPINSFMLTETGRN80X63X05-90D</t>
  </si>
  <si>
    <t>HYPINSFMLTETGRN80X69X05-90D</t>
  </si>
  <si>
    <t>HYPINSFMLTETGRN84X33X05-90D</t>
  </si>
  <si>
    <t>HYPINSFMLTETGRN84X39X05-90D</t>
  </si>
  <si>
    <t>HYPINSFMLTETGRN84X45X05-90D</t>
  </si>
  <si>
    <t>HYPINSFMLTETGRN84X51X05-90D</t>
  </si>
  <si>
    <t>HYPINSFMLTETGRN84X54X05-90D</t>
  </si>
  <si>
    <t>HYPINSFMLTETGRN84X57X05-90D</t>
  </si>
  <si>
    <t>HYPINSFMLTETGRN84X63X05-90D</t>
  </si>
  <si>
    <t>HYPINSFMLTETGRN84X69X05-90D</t>
  </si>
  <si>
    <t>HYPINSFMLTETPNK72X33X05-90D</t>
  </si>
  <si>
    <t>HYPINSFMLTETPNK72X39X05-90D</t>
  </si>
  <si>
    <t>HYPINSFMLTETPNK72X45X05-90D</t>
  </si>
  <si>
    <t>HYPINSFMLTETPNK72X51X05-90D</t>
  </si>
  <si>
    <t>HYPINSFMLTETPNK72X54X05-90D</t>
  </si>
  <si>
    <t>HYPINSFMLTETPNK72X57X05-90D</t>
  </si>
  <si>
    <t>HYPINSFMLTETPNK72X63X05-90D</t>
  </si>
  <si>
    <t>HYPINSFMLTETPNK72X69X05-90D</t>
  </si>
  <si>
    <t>HYPINSFMLTETPNK75X33X05-90D</t>
  </si>
  <si>
    <t>HYPINSFMLTETPNK75X39X05-90D</t>
  </si>
  <si>
    <t>HYPINSFMLTETPNK75X45X05-90D</t>
  </si>
  <si>
    <t>HYPINSFMLTETPNK75X51X05-90D</t>
  </si>
  <si>
    <t>HYPINSFMLTETPNK75X54X05-90D</t>
  </si>
  <si>
    <t>HYPINSFMLTETPNK75X57X05-90D</t>
  </si>
  <si>
    <t>HYPINSFMLTETPNK75X63X05-90D</t>
  </si>
  <si>
    <t>HYPINSFMLTETPNK75X69X05-90D</t>
  </si>
  <si>
    <t>HYPINSFMLTETPNK78X33X05-90D</t>
  </si>
  <si>
    <t>HYPINSFMLTETPNK78X39X05-90D</t>
  </si>
  <si>
    <t>HYPINSFMLTETPNK78X45X05-90D</t>
  </si>
  <si>
    <t>HYPINSFMLTETPNK78X51X05-90D</t>
  </si>
  <si>
    <t>HYPINSFMLTETPNK78X54X05-90D</t>
  </si>
  <si>
    <t>HYPINSFMLTETPNK78X57X05-90D</t>
  </si>
  <si>
    <t>HYPINSFMLTETPNK78X63X05-90D</t>
  </si>
  <si>
    <t>HYPINSFMLTETPNK78X69X05-90D</t>
  </si>
  <si>
    <t>HYPINSFMLTETPNK80X33X05-90D</t>
  </si>
  <si>
    <t>HYPINSFMLTETPNK80X39X05-90D</t>
  </si>
  <si>
    <t>HYPINSFMLTETPNK80X45X05-90D</t>
  </si>
  <si>
    <t>HYPINSFMLTETPNK80X51X05-90D</t>
  </si>
  <si>
    <t>HYPINSFMLTETPNK80X54X05-90D</t>
  </si>
  <si>
    <t>HYPINSFMLTETPNK80X57X05-90D</t>
  </si>
  <si>
    <t>HYPINSFMLTETPNK80X63X05-90D</t>
  </si>
  <si>
    <t>HYPINSFMLTETPNK80X69X05-90D</t>
  </si>
  <si>
    <t>HYPINSFMLTETPNK84X33X05-90D</t>
  </si>
  <si>
    <t>HYPINSFMLTETPNK84X39X05-90D</t>
  </si>
  <si>
    <t>HYPINSFMLTETPNK84X45X05-90D</t>
  </si>
  <si>
    <t>HYPINSFMLTETPNK84X51X05-90D</t>
  </si>
  <si>
    <t>HYPINSFMLTETPNK84X54X05-90D</t>
  </si>
  <si>
    <t>HYPINSFMLTETPNK84X57X05-90D</t>
  </si>
  <si>
    <t>HYPINSFMLTETPNK84X63X05-90D</t>
  </si>
  <si>
    <t>HYPINSFMLTETPNK84X69X05-90D</t>
  </si>
  <si>
    <t>HYPINSFMLTGRN72X33X06-90D</t>
  </si>
  <si>
    <t>HYPINSFMLTGRN72X39X06-90D</t>
  </si>
  <si>
    <t>HYPINSFMLTGRN72X45X06-90D</t>
  </si>
  <si>
    <t>HYPINSFMLTGRN72X51X06-90D</t>
  </si>
  <si>
    <t>HYPINSFMLTGRN72X54X06-90D</t>
  </si>
  <si>
    <t>HYPINSFMLTGRN72X57X06-90D</t>
  </si>
  <si>
    <t>HYPINSFMLTGRN72X63X06-90D</t>
  </si>
  <si>
    <t>HYPINSFMLTGRN72X69X06-90D</t>
  </si>
  <si>
    <t>HYPINSFMLTGRN75X33X06-90D</t>
  </si>
  <si>
    <t>HYPINSFMLTGRN75X39X06-90D</t>
  </si>
  <si>
    <t>HYPINSFMLTGRN75X45X06-90D</t>
  </si>
  <si>
    <t>HYPINSFMLTGRN75X51X06-90D</t>
  </si>
  <si>
    <t>HYPINSFMLTGRN75X54X06-90D</t>
  </si>
  <si>
    <t>HYPINSFMLTGRN75X57X06-90D</t>
  </si>
  <si>
    <t>HYPINSFMLTGRN75X63X06-90D</t>
  </si>
  <si>
    <t>HYPINSFMLTGRN75X69X06-90D</t>
  </si>
  <si>
    <t>HYPINSFMLTGRN78X33X06-90D</t>
  </si>
  <si>
    <t>HYPINSFMLTGRN78X39X06-90D</t>
  </si>
  <si>
    <t>HYPINSFMLTGRN78X45X06-90D</t>
  </si>
  <si>
    <t>HYPINSFMLTGRN78X51X06-90D</t>
  </si>
  <si>
    <t>HYPINSFMLTGRN78X54X06-90D</t>
  </si>
  <si>
    <t>HYPINSFMLTGRN78X57X06-90D</t>
  </si>
  <si>
    <t>HYPINSFMLTGRN78X63X06-90D</t>
  </si>
  <si>
    <t>HYPINSFMLTGRN78X69X06-90D</t>
  </si>
  <si>
    <t>HYPINSFMLTGRN80X33X06-90D</t>
  </si>
  <si>
    <t>HYPINSFMLTGRN80X39X06-90D</t>
  </si>
  <si>
    <t>HYPINSFMLTGRN80X45X06-90D</t>
  </si>
  <si>
    <t>HYPINSFMLTGRN80X51X06-90D</t>
  </si>
  <si>
    <t>HYPINSFMLTGRN80X54X06-90D</t>
  </si>
  <si>
    <t>HYPINSFMLTGRN80X57X06-90D</t>
  </si>
  <si>
    <t>HYPINSFMLTGRN80X63X06-90D</t>
  </si>
  <si>
    <t>HYPINSFMLTGRN80X69X06-90D</t>
  </si>
  <si>
    <t>HYPINSFMLTGRN84X33X06-90D</t>
  </si>
  <si>
    <t>HYPINSFMLTGRN84X39X06-90D</t>
  </si>
  <si>
    <t>HYPINSFMLTGRN84X45X06-90D</t>
  </si>
  <si>
    <t>HYPINSFMLTGRN84X51X06-90D</t>
  </si>
  <si>
    <t>HYPINSFMLTGRN84X54X06-90D</t>
  </si>
  <si>
    <t>HYPINSFMLTGRN84X57X06-90D</t>
  </si>
  <si>
    <t>HYPINSFMLTGRN84X63X06-90D</t>
  </si>
  <si>
    <t>HYPINSFMLTGRN84X69X06-90D</t>
  </si>
  <si>
    <t>HYPINSFMLTPNK72X33X06-90D</t>
  </si>
  <si>
    <t>HYPINSFMLTPNK72X39X06-90D</t>
  </si>
  <si>
    <t>HYPINSFMLTPNK72X45X06-90D</t>
  </si>
  <si>
    <t>HYPINSFMLTPNK72X51X06-90D</t>
  </si>
  <si>
    <t>HYPINSFMLTPNK72X54X06-90D</t>
  </si>
  <si>
    <t>HYPINSFMLTPNK72X57X06-90D</t>
  </si>
  <si>
    <t>HYPINSFMLTPNK72X63X06-90D</t>
  </si>
  <si>
    <t>HYPINSFMLTPNK72X69X06-90D</t>
  </si>
  <si>
    <t>HYPINSFMLTPNK75X33X06-90D</t>
  </si>
  <si>
    <t>HYPINSFMLTPNK75X39X06-90D</t>
  </si>
  <si>
    <t>HYPINSFMLTPNK75X45X06-90D</t>
  </si>
  <si>
    <t>HYPINSFMLTPNK75X51X06-90D</t>
  </si>
  <si>
    <t>HYPINSFMLTPNK75X54X06-90D</t>
  </si>
  <si>
    <t>HYPINSFMLTPNK75X57X06-90D</t>
  </si>
  <si>
    <t>HYPINSFMLTPNK75X63X06-90D</t>
  </si>
  <si>
    <t>HYPINSFMLTPNK75X69X06-90D</t>
  </si>
  <si>
    <t>HYPINSFMLTPNK78X33X06-90D</t>
  </si>
  <si>
    <t>HYPINSFMLTPNK78X39X06-90D</t>
  </si>
  <si>
    <t>HYPINSFMLTPNK78X45X06-90D</t>
  </si>
  <si>
    <t>HYPINSFMLTPNK78X51X06-90D</t>
  </si>
  <si>
    <t>HYPINSFMLTPNK78X54X06-90D</t>
  </si>
  <si>
    <t>HYPINSFMLTPNK78X57X06-90D</t>
  </si>
  <si>
    <t>HYPINSFMLTPNK78X63X06-90D</t>
  </si>
  <si>
    <t>HYPINSFMLTPNK78X69X06-90D</t>
  </si>
  <si>
    <t>HYPINSFMLTPNK80X33X06-90D</t>
  </si>
  <si>
    <t>HYPINSFMLTPNK80X39X06-90D</t>
  </si>
  <si>
    <t>HYPINSFMLTPNK80X45X06-90D</t>
  </si>
  <si>
    <t>HYPINSFMLTPNK80X51X06-90D</t>
  </si>
  <si>
    <t>HYPINSFMLTPNK80X54X06-90D</t>
  </si>
  <si>
    <t>HYPINSFMLTPNK80X57X06-90D</t>
  </si>
  <si>
    <t>HYPINSFMLTPNK80X63X06-90D</t>
  </si>
  <si>
    <t>HYPINSFMLTPNK80X69X06-90D</t>
  </si>
  <si>
    <t>HYPINSFMLTPNK84X33X06-90D</t>
  </si>
  <si>
    <t>HYPINSFMLTPNK84X39X06-90D</t>
  </si>
  <si>
    <t>HYPINSFMLTPNK84X45X06-90D</t>
  </si>
  <si>
    <t>HYPINSFMLTPNK84X51X06-90D</t>
  </si>
  <si>
    <t>HYPINSFMLTPNK84X54X06-90D</t>
  </si>
  <si>
    <t>HYPINSFMLTPNK84X57X06-90D</t>
  </si>
  <si>
    <t>HYPINSFMLTPNK84X63X06-90D</t>
  </si>
  <si>
    <t>HYPINSFMLTPNK84X69X06-90D</t>
  </si>
  <si>
    <t>HYPINSFMLTETGRN72X33X06-90D</t>
  </si>
  <si>
    <t>HYPINSFMLTETGRN72X39X06-90D</t>
  </si>
  <si>
    <t>HYPINSFMLTETGRN72X45X06-90D</t>
  </si>
  <si>
    <t>HYPINSFMLTETGRN72X51X06-90D</t>
  </si>
  <si>
    <t>HYPINSFMLTETGRN72X54X06-90D</t>
  </si>
  <si>
    <t>HYPINSFMLTETGRN72X57X06-90D</t>
  </si>
  <si>
    <t>HYPINSFMLTETGRN72X63X06-90D</t>
  </si>
  <si>
    <t>HYPINSFMLTETGRN72X69X06-90D</t>
  </si>
  <si>
    <t>HYPINSFMLTETGRN75X33X06-90D</t>
  </si>
  <si>
    <t>HYPINSFMLTETGRN75X39X06-90D</t>
  </si>
  <si>
    <t>HYPINSFMLTETGRN75X45X06-90D</t>
  </si>
  <si>
    <t>HYPINSFMLTETGRN75X51X06-90D</t>
  </si>
  <si>
    <t>HYPINSFMLTETGRN75X54X06-90D</t>
  </si>
  <si>
    <t>HYPINSFMLTETGRN75X57X06-90D</t>
  </si>
  <si>
    <t>HYPINSFMLTETGRN75X63X06-90D</t>
  </si>
  <si>
    <t>HYPINSFMLTETGRN75X69X06-90D</t>
  </si>
  <si>
    <t>HYPINSFMLTETGRN78X33X06-90D</t>
  </si>
  <si>
    <t>HYPINSFMLTETGRN78X39X06-90D</t>
  </si>
  <si>
    <t>HYPINSFMLTETGRN78X45X06-90D</t>
  </si>
  <si>
    <t>HYPINSFMLTETGRN78X51X06-90D</t>
  </si>
  <si>
    <t>HYPINSFMLTETGRN78X54X06-90D</t>
  </si>
  <si>
    <t>HYPINSFMLTETGRN78X57X06-90D</t>
  </si>
  <si>
    <t>HYPINSFMLTETGRN78X63X06-90D</t>
  </si>
  <si>
    <t>HYPINSFMLTETGRN78X69X06-90D</t>
  </si>
  <si>
    <t>HYPINSFMLTETGRN80X33X06-90D</t>
  </si>
  <si>
    <t>HYPINSFMLTETGRN80X39X06-90D</t>
  </si>
  <si>
    <t>HYPINSFMLTETGRN80X45X06-90D</t>
  </si>
  <si>
    <t>HYPINSFMLTETGRN80X51X06-90D</t>
  </si>
  <si>
    <t>HYPINSFMLTETGRN80X54X06-90D</t>
  </si>
  <si>
    <t>HYPINSFMLTETGRN80X57X06-90D</t>
  </si>
  <si>
    <t>HYPINSFMLTETGRN80X63X06-90D</t>
  </si>
  <si>
    <t>HYPINSFMLTETGRN80X69X06-90D</t>
  </si>
  <si>
    <t>HYPINSFMLTETGRN84X33X06-90D</t>
  </si>
  <si>
    <t>HYPINSFMLTETGRN84X39X06-90D</t>
  </si>
  <si>
    <t>HYPINSFMLTETGRN84X45X06-90D</t>
  </si>
  <si>
    <t>HYPINSFMLTETGRN84X51X06-90D</t>
  </si>
  <si>
    <t>HYPINSFMLTETGRN84X54X06-90D</t>
  </si>
  <si>
    <t>HYPINSFMLTETGRN84X57X06-90D</t>
  </si>
  <si>
    <t>HYPINSFMLTETGRN84X63X06-90D</t>
  </si>
  <si>
    <t>HYPINSFMLTETGRN84X69X06-90D</t>
  </si>
  <si>
    <t>HYPINSFMLTETPNK72X33X06-90D</t>
  </si>
  <si>
    <t>HYPINSFMLTETPNK72X39X06-90D</t>
  </si>
  <si>
    <t>HYPINSFMLTETPNK72X45X06-90D</t>
  </si>
  <si>
    <t>HYPINSFMLTETPNK72X51X06-90D</t>
  </si>
  <si>
    <t>HYPINSFMLTETPNK72X54X06-90D</t>
  </si>
  <si>
    <t>HYPINSFMLTETPNK72X57X06-90D</t>
  </si>
  <si>
    <t>HYPINSFMLTETPNK72X63X06-90D</t>
  </si>
  <si>
    <t>HYPINSFMLTETPNK72X69X06-90D</t>
  </si>
  <si>
    <t>HYPINSFMLTETPNK75X33X06-90D</t>
  </si>
  <si>
    <t>HYPINSFMLTETPNK75X39X06-90D</t>
  </si>
  <si>
    <t>HYPINSFMLTETPNK75X45X06-90D</t>
  </si>
  <si>
    <t>HYPINSFMLTETPNK75X51X06-90D</t>
  </si>
  <si>
    <t>HYPINSFMLTETPNK75X54X06-90D</t>
  </si>
  <si>
    <t>HYPINSFMLTETPNK75X57X06-90D</t>
  </si>
  <si>
    <t>HYPINSFMLTETPNK75X63X06-90D</t>
  </si>
  <si>
    <t>HYPINSFMLTETPNK75X69X06-90D</t>
  </si>
  <si>
    <t>HYPINSFMLTETPNK78X33X06-90D</t>
  </si>
  <si>
    <t>HYPINSFMLTETPNK78X39X06-90D</t>
  </si>
  <si>
    <t>HYPINSFMLTETPNK78X45X06-90D</t>
  </si>
  <si>
    <t>HYPINSFMLTETPNK78X51X06-90D</t>
  </si>
  <si>
    <t>HYPINSFMLTETPNK78X54X06-90D</t>
  </si>
  <si>
    <t>HYPINSFMLTETPNK78X57X06-90D</t>
  </si>
  <si>
    <t>HYPINSFMLTETPNK78X63X06-90D</t>
  </si>
  <si>
    <t>HYPINSFMLTETPNK78X69X06-90D</t>
  </si>
  <si>
    <t>HYPINSFMLTETPNK80X33X06-90D</t>
  </si>
  <si>
    <t>HYPINSFMLTETPNK80X39X06-90D</t>
  </si>
  <si>
    <t>HYPINSFMLTETPNK80X45X06-90D</t>
  </si>
  <si>
    <t>HYPINSFMLTETPNK80X51X06-90D</t>
  </si>
  <si>
    <t>HYPINSFMLTETPNK80X54X06-90D</t>
  </si>
  <si>
    <t>HYPINSFMLTETPNK80X57X06-90D</t>
  </si>
  <si>
    <t>HYPINSFMLTETPNK80X63X06-90D</t>
  </si>
  <si>
    <t>HYPINSFMLTETPNK80X69X06-90D</t>
  </si>
  <si>
    <t>HYPINSFMLTETPNK84X33X06-90D</t>
  </si>
  <si>
    <t>HYPINSFMLTETPNK84X39X06-90D</t>
  </si>
  <si>
    <t>HYPINSFMLTETPNK84X45X06-90D</t>
  </si>
  <si>
    <t>HYPINSFMLTETPNK84X51X06-90D</t>
  </si>
  <si>
    <t>HYPINSFMLTETPNK84X54X06-90D</t>
  </si>
  <si>
    <t>HYPINSFMLTETPNK84X57X06-90D</t>
  </si>
  <si>
    <t>HYPINSFMLTETPNK84X63X06-90D</t>
  </si>
  <si>
    <t>HYPINSFMLTETPNK84X69X06-90D</t>
  </si>
  <si>
    <t>HYPINSFMLTGRN72X33X08-90D</t>
  </si>
  <si>
    <t>HYPINSFMLTGRN72X39X08-90D</t>
  </si>
  <si>
    <t>HYPINSFMLTGRN72X45X08-90D</t>
  </si>
  <si>
    <t>HYPINSFMLTGRN72X51X08-90D</t>
  </si>
  <si>
    <t>HYPINSFMLTGRN72X54X08-90D</t>
  </si>
  <si>
    <t>HYPINSFMLTGRN72X57X08-90D</t>
  </si>
  <si>
    <t>HYPINSFMLTGRN72X63X08-90D</t>
  </si>
  <si>
    <t>HYPINSFMLTGRN72X69X08-90D</t>
  </si>
  <si>
    <t>HYPINSFMLTGRN75X33X08-90D</t>
  </si>
  <si>
    <t>HYPINSFMLTGRN75X39X08-90D</t>
  </si>
  <si>
    <t>HYPINSFMLTGRN75X45X08-90D</t>
  </si>
  <si>
    <t>HYPINSFMLTGRN75X51X08-90D</t>
  </si>
  <si>
    <t>HYPINSFMLTGRN75X54X08-90D</t>
  </si>
  <si>
    <t>HYPINSFMLTGRN75X57X08-90D</t>
  </si>
  <si>
    <t>HYPINSFMLTGRN75X63X08-90D</t>
  </si>
  <si>
    <t>HYPINSFMLTGRN75X69X08-90D</t>
  </si>
  <si>
    <t>HYPINSFMLTGRN78X33X08-90D</t>
  </si>
  <si>
    <t>HYPINSFMLTGRN78X39X08-90D</t>
  </si>
  <si>
    <t>HYPINSFMLTGRN78X45X08-90D</t>
  </si>
  <si>
    <t>HYPINSFMLTGRN78X51X08-90D</t>
  </si>
  <si>
    <t>HYPINSFMLTGRN78X54X08-90D</t>
  </si>
  <si>
    <t>HYPINSFMLTGRN78X57X08-90D</t>
  </si>
  <si>
    <t>HYPINSFMLTGRN78X63X08-90D</t>
  </si>
  <si>
    <t>HYPINSFMLTGRN78X69X08-90D</t>
  </si>
  <si>
    <t>HYPINSFMLTGRN80X33X08-90D</t>
  </si>
  <si>
    <t>HYPINSFMLTGRN80X39X08-90D</t>
  </si>
  <si>
    <t>HYPINSFMLTGRN80X45X08-90D</t>
  </si>
  <si>
    <t>HYPINSFMLTGRN80X51X08-90D</t>
  </si>
  <si>
    <t>HYPINSFMLTGRN80X54X08-90D</t>
  </si>
  <si>
    <t>HYPINSFMLTGRN80X57X08-90D</t>
  </si>
  <si>
    <t>HYPINSFMLTGRN80X63X08-90D</t>
  </si>
  <si>
    <t>HYPINSFMLTGRN80X69X08-90D</t>
  </si>
  <si>
    <t>HYPINSFMLTGRN84X33X08-90D</t>
  </si>
  <si>
    <t>HYPINSFMLTGRN84X39X08-90D</t>
  </si>
  <si>
    <t>HYPINSFMLTGRN84X45X08-90D</t>
  </si>
  <si>
    <t>HYPINSFMLTGRN84X51X08-90D</t>
  </si>
  <si>
    <t>HYPINSFMLTGRN84X54X08-90D</t>
  </si>
  <si>
    <t>HYPINSFMLTGRN84X57X08-90D</t>
  </si>
  <si>
    <t>HYPINSFMLTGRN84X63X08-90D</t>
  </si>
  <si>
    <t>HYPINSFMLTGRN84X69X08-90D</t>
  </si>
  <si>
    <t>HYPINSFMLTPNK72X33X08-90D</t>
  </si>
  <si>
    <t>HYPINSFMLTPNK72X39X08-90D</t>
  </si>
  <si>
    <t>HYPINSFMLTPNK72X45X08-90D</t>
  </si>
  <si>
    <t>HYPINSFMLTPNK72X51X08-90D</t>
  </si>
  <si>
    <t>HYPINSFMLTPNK72X54X08-90D</t>
  </si>
  <si>
    <t>HYPINSFMLTPNK72X57X08-90D</t>
  </si>
  <si>
    <t>HYPINSFMLTPNK72X63X08-90D</t>
  </si>
  <si>
    <t>HYPINSFMLTPNK72X69X08-90D</t>
  </si>
  <si>
    <t>HYPINSFMLTPNK75X33X08-90D</t>
  </si>
  <si>
    <t>HYPINSFMLTPNK75X39X08-90D</t>
  </si>
  <si>
    <t>HYPINSFMLTPNK75X45X08-90D</t>
  </si>
  <si>
    <t>HYPINSFMLTPNK75X51X08-90D</t>
  </si>
  <si>
    <t>HYPINSFMLTPNK75X54X08-90D</t>
  </si>
  <si>
    <t>HYPINSFMLTPNK75X57X08-90D</t>
  </si>
  <si>
    <t>HYPINSFMLTPNK75X63X08-90D</t>
  </si>
  <si>
    <t>HYPINSFMLTPNK75X69X08-90D</t>
  </si>
  <si>
    <t>HYPINSFMLTPNK78X33X08-90D</t>
  </si>
  <si>
    <t>HYPINSFMLTPNK78X39X08-90D</t>
  </si>
  <si>
    <t>HYPINSFMLTPNK78X45X08-90D</t>
  </si>
  <si>
    <t>HYPINSFMLTPNK78X51X08-90D</t>
  </si>
  <si>
    <t>HYPINSFMLTPNK78X54X08-90D</t>
  </si>
  <si>
    <t>HYPINSFMLTPNK78X57X08-90D</t>
  </si>
  <si>
    <t>HYPINSFMLTPNK78X63X08-90D</t>
  </si>
  <si>
    <t>HYPINSFMLTPNK78X69X08-90D</t>
  </si>
  <si>
    <t>HYPINSFMLTPNK80X33X08-90D</t>
  </si>
  <si>
    <t>HYPINSFMLTPNK80X39X08-90D</t>
  </si>
  <si>
    <t>HYPINSFMLTPNK80X45X08-90D</t>
  </si>
  <si>
    <t>HYPINSFMLTPNK80X51X08-90D</t>
  </si>
  <si>
    <t>HYPINSFMLTPNK80X54X08-90D</t>
  </si>
  <si>
    <t>HYPINSFMLTPNK80X57X08-90D</t>
  </si>
  <si>
    <t>HYPINSFMLTPNK80X63X08-90D</t>
  </si>
  <si>
    <t>HYPINSFMLTPNK80X69X08-90D</t>
  </si>
  <si>
    <t>HYPINSFMLTPNK84X33X08-90D</t>
  </si>
  <si>
    <t>HYPINSFMLTPNK84X39X08-90D</t>
  </si>
  <si>
    <t>HYPINSFMLTPNK84X45X08-90D</t>
  </si>
  <si>
    <t>HYPINSFMLTPNK84X51X08-90D</t>
  </si>
  <si>
    <t>HYPINSFMLTPNK84X54X08-90D</t>
  </si>
  <si>
    <t>HYPINSFMLTPNK84X57X08-90D</t>
  </si>
  <si>
    <t>HYPINSFMLTPNK84X63X08-90D</t>
  </si>
  <si>
    <t>HYPINSFMLTPNK84X69X08-90D</t>
  </si>
  <si>
    <t>HYPINSFMLTETGRN72X33X08-90D</t>
  </si>
  <si>
    <t>HYPINSFMLTETGRN72X39X08-90D</t>
  </si>
  <si>
    <t>HYPINSFMLTETGRN72X45X08-90D</t>
  </si>
  <si>
    <t>HYPINSFMLTETGRN72X51X08-90D</t>
  </si>
  <si>
    <t>HYPINSFMLTETGRN72X54X08-90D</t>
  </si>
  <si>
    <t>HYPINSFMLTETGRN72X57X08-90D</t>
  </si>
  <si>
    <t>HYPINSFMLTETGRN72X63X08-90D</t>
  </si>
  <si>
    <t>HYPINSFMLTETGRN72X69X08-90D</t>
  </si>
  <si>
    <t>HYPINSFMLTETGRN75X33X08-90D</t>
  </si>
  <si>
    <t>HYPINSFMLTETGRN75X39X08-90D</t>
  </si>
  <si>
    <t>HYPINSFMLTETGRN75X45X08-90D</t>
  </si>
  <si>
    <t>HYPINSFMLTETGRN75X51X08-90D</t>
  </si>
  <si>
    <t>HYPINSFMLTETGRN75X54X08-90D</t>
  </si>
  <si>
    <t>HYPINSFMLTETGRN75X57X08-90D</t>
  </si>
  <si>
    <t>HYPINSFMLTETGRN75X63X08-90D</t>
  </si>
  <si>
    <t>HYPINSFMLTETGRN75X69X08-90D</t>
  </si>
  <si>
    <t>HYPINSFMLTETGRN78X33X08-90D</t>
  </si>
  <si>
    <t>HYPINSFMLTETGRN78X39X08-90D</t>
  </si>
  <si>
    <t>HYPINSFMLTETGRN78X45X08-90D</t>
  </si>
  <si>
    <t>HYPINSFMLTETGRN78X51X08-90D</t>
  </si>
  <si>
    <t>HYPINSFMLTETGRN78X54X08-90D</t>
  </si>
  <si>
    <t>HYPINSFMLTETGRN78X57X08-90D</t>
  </si>
  <si>
    <t>HYPINSFMLTETGRN78X63X08-90D</t>
  </si>
  <si>
    <t>HYPINSFMLTETGRN78X69X08-90D</t>
  </si>
  <si>
    <t>HYPINSFMLTETGRN80X33X08-90D</t>
  </si>
  <si>
    <t>HYPINSFMLTETGRN80X39X08-90D</t>
  </si>
  <si>
    <t>HYPINSFMLTETGRN80X45X08-90D</t>
  </si>
  <si>
    <t>HYPINSFMLTETGRN80X51X08-90D</t>
  </si>
  <si>
    <t>HYPINSFMLTETGRN80X54X08-90D</t>
  </si>
  <si>
    <t>HYPINSFMLTETGRN80X57X08-90D</t>
  </si>
  <si>
    <t>HYPINSFMLTETGRN80X63X08-90D</t>
  </si>
  <si>
    <t>HYPINSFMLTETGRN80X69X08-90D</t>
  </si>
  <si>
    <t>HYPINSFMLTETGRN84X33X08-90D</t>
  </si>
  <si>
    <t>HYPINSFMLTETGRN84X39X08-90D</t>
  </si>
  <si>
    <t>HYPINSFMLTETGRN84X45X08-90D</t>
  </si>
  <si>
    <t>HYPINSFMLTETGRN84X51X08-90D</t>
  </si>
  <si>
    <t>HYPINSFMLTETGRN84X54X08-90D</t>
  </si>
  <si>
    <t>HYPINSFMLTETGRN84X57X08-90D</t>
  </si>
  <si>
    <t>HYPINSFMLTETGRN84X63X08-90D</t>
  </si>
  <si>
    <t>HYPINSFMLTETGRN84X69X08-90D</t>
  </si>
  <si>
    <t>HYPINSFMLTETPNK72X33X08-90D</t>
  </si>
  <si>
    <t>HYPINSFMLTETPNK72X39X08-90D</t>
  </si>
  <si>
    <t>HYPINSFMLTETPNK72X45X08-90D</t>
  </si>
  <si>
    <t>HYPINSFMLTETPNK72X51X08-90D</t>
  </si>
  <si>
    <t>HYPINSFMLTETPNK72X54X08-90D</t>
  </si>
  <si>
    <t>HYPINSFMLTETPNK72X57X08-90D</t>
  </si>
  <si>
    <t>HYPINSFMLTETPNK72X63X08-90D</t>
  </si>
  <si>
    <t>HYPINSFMLTETPNK72X69X08-90D</t>
  </si>
  <si>
    <t>HYPINSFMLTETPNK75X33X08-90D</t>
  </si>
  <si>
    <t>HYPINSFMLTETPNK75X39X08-90D</t>
  </si>
  <si>
    <t>HYPINSFMLTETPNK75X45X08-90D</t>
  </si>
  <si>
    <t>HYPINSFMLTETPNK75X51X08-90D</t>
  </si>
  <si>
    <t>HYPINSFMLTETPNK75X54X08-90D</t>
  </si>
  <si>
    <t>HYPINSFMLTETPNK75X57X08-90D</t>
  </si>
  <si>
    <t>HYPINSFMLTETPNK75X63X08-90D</t>
  </si>
  <si>
    <t>HYPINSFMLTETPNK75X69X08-90D</t>
  </si>
  <si>
    <t>HYPINSFMLTETPNK78X33X08-90D</t>
  </si>
  <si>
    <t>HYPINSFMLTETPNK78X39X08-90D</t>
  </si>
  <si>
    <t>HYPINSFMLTETPNK78X45X08-90D</t>
  </si>
  <si>
    <t>HYPINSFMLTETPNK78X51X08-90D</t>
  </si>
  <si>
    <t>HYPINSFMLTETPNK78X54X08-90D</t>
  </si>
  <si>
    <t>HYPINSFMLTETPNK78X57X08-90D</t>
  </si>
  <si>
    <t>HYPINSFMLTETPNK78X63X08-90D</t>
  </si>
  <si>
    <t>HYPINSFMLTETPNK78X69X08-90D</t>
  </si>
  <si>
    <t>HYPINSFMLTETPNK80X33X08-90D</t>
  </si>
  <si>
    <t>HYPINSFMLTETPNK80X39X08-90D</t>
  </si>
  <si>
    <t>HYPINSFMLTETPNK80X45X08-90D</t>
  </si>
  <si>
    <t>HYPINSFMLTETPNK80X51X08-90D</t>
  </si>
  <si>
    <t>HYPINSFMLTETPNK80X54X08-90D</t>
  </si>
  <si>
    <t>HYPINSFMLTETPNK80X57X08-90D</t>
  </si>
  <si>
    <t>HYPINSFMLTETPNK80X63X08-90D</t>
  </si>
  <si>
    <t>HYPINSFMLTETPNK80X69X08-90D</t>
  </si>
  <si>
    <t>HYPINSFMLTETPNK84X33X08-90D</t>
  </si>
  <si>
    <t>HYPINSFMLTETPNK84X39X08-90D</t>
  </si>
  <si>
    <t>HYPINSFMLTETPNK84X45X08-90D</t>
  </si>
  <si>
    <t>HYPINSFMLTETPNK84X51X08-90D</t>
  </si>
  <si>
    <t>HYPINSFMLTETPNK84X54X08-90D</t>
  </si>
  <si>
    <t>HYPINSFMLTETPNK84X57X08-90D</t>
  </si>
  <si>
    <t>HYPINSFMLTETPNK84X63X08-90D</t>
  </si>
  <si>
    <t>HYPINSFMLTETPNK84X69X08-90D</t>
  </si>
  <si>
    <t>90D-HYP-INSPREE-BLOCK-72X30X05</t>
  </si>
  <si>
    <t>90D-HYP-INSPREE-BLOCK-72X33X05</t>
  </si>
  <si>
    <t>90D-HYP-INSPREE-BLOCK-72X36X05</t>
  </si>
  <si>
    <t>90D-HYP-INSPREE-BLOCK-72X39X05</t>
  </si>
  <si>
    <t>90D-HYP-INSPREE-BLOCK-72X42X05</t>
  </si>
  <si>
    <t>90D-HYP-INSPREE-BLOCK-72X45X05</t>
  </si>
  <si>
    <t>90D-HYP-INSPREE-BLOCK-72X48X05</t>
  </si>
  <si>
    <t>90D-HYP-INSPREE-BLOCK-72X51X05</t>
  </si>
  <si>
    <t>90D-HYP-INSPREE-BLOCK-72X54X05</t>
  </si>
  <si>
    <t>90D-HYP-INSPREE-BLOCK-72X57X05</t>
  </si>
  <si>
    <t>90D-HYP-INSPREE-BLOCK-72X60X05</t>
  </si>
  <si>
    <t>90D-HYP-INSPREE-BLOCK-72X63X05</t>
  </si>
  <si>
    <t>90D-HYP-INSPREE-BLOCK-72X66X05</t>
  </si>
  <si>
    <t>90D-HYP-INSPREE-BLOCK-72X69X05</t>
  </si>
  <si>
    <t>90D-HYP-INSPREE-BLOCK-72X72X05</t>
  </si>
  <si>
    <t>90D-HYP-INSPREE-BLOCK-75X30X05</t>
  </si>
  <si>
    <t>90D-HYP-INSPREE-BLOCK-75X33X05</t>
  </si>
  <si>
    <t>90D-HYP-INSPREE-BLOCK-75X36X05</t>
  </si>
  <si>
    <t>90D-HYP-INSPREE-BLOCK-75X39X05</t>
  </si>
  <si>
    <t>90D-HYP-INSPREE-BLOCK-75X42X05</t>
  </si>
  <si>
    <t>90D-HYP-INSPREE-BLOCK-75X45X05</t>
  </si>
  <si>
    <t>90D-HYP-INSPREE-BLOCK-75X48X05</t>
  </si>
  <si>
    <t>90D-HYP-INSPREE-BLOCK-75X51X05</t>
  </si>
  <si>
    <t>90D-HYP-INSPREE-BLOCK-75X54X05</t>
  </si>
  <si>
    <t>90D-HYP-INSPREE-BLOCK-75X57X05</t>
  </si>
  <si>
    <t>90D-HYP-INSPREE-BLOCK-75X60X05</t>
  </si>
  <si>
    <t>90D-HYP-INSPREE-BLOCK-75X63X05</t>
  </si>
  <si>
    <t>90D-HYP-INSPREE-BLOCK-75X66X05</t>
  </si>
  <si>
    <t>90D-HYP-INSPREE-BLOCK-75X69X05</t>
  </si>
  <si>
    <t>90D-HYP-INSPREE-BLOCK-75X72X05</t>
  </si>
  <si>
    <t>90D-HYP-INSPREE-BLOCK-78X30X05</t>
  </si>
  <si>
    <t>90D-HYP-INSPREE-BLOCK-78X33X05</t>
  </si>
  <si>
    <t>90D-HYP-INSPREE-BLOCK-78X36X05</t>
  </si>
  <si>
    <t>90D-HYP-INSPREE-BLOCK-78X39X05</t>
  </si>
  <si>
    <t>90D-HYP-INSPREE-BLOCK-78X42X05</t>
  </si>
  <si>
    <t>90D-HYP-INSPREE-BLOCK-78X45X05</t>
  </si>
  <si>
    <t>90D-HYP-INSPREE-BLOCK-78X48X05</t>
  </si>
  <si>
    <t>90D-HYP-INSPREE-BLOCK-78X51X05</t>
  </si>
  <si>
    <t>90D-HYP-INSPREE-BLOCK-78X54X05</t>
  </si>
  <si>
    <t>90D-HYP-INSPREE-BLOCK-78X57X05</t>
  </si>
  <si>
    <t>90D-HYP-INSPREE-BLOCK-78X60X05</t>
  </si>
  <si>
    <t>90D-HYP-INSPREE-BLOCK-78X63X05</t>
  </si>
  <si>
    <t>90D-HYP-INSPREE-BLOCK-78X66X05</t>
  </si>
  <si>
    <t>90D-HYP-INSPREE-BLOCK-78X69X05</t>
  </si>
  <si>
    <t>90D-HYP-INSPREE-BLOCK-78X72X05</t>
  </si>
  <si>
    <t>90D-HYP-INSPREE-BLOCK-80X30X05</t>
  </si>
  <si>
    <t>90D-HYP-INSPREE-BLOCK-80X33X05</t>
  </si>
  <si>
    <t>90D-HYP-INSPREE-BLOCK-80X36X05</t>
  </si>
  <si>
    <t>90D-HYP-INSPREE-BLOCK-80X39X05</t>
  </si>
  <si>
    <t>90D-HYP-INSPREE-BLOCK-80X42X05</t>
  </si>
  <si>
    <t>90D-HYP-INSPREE-BLOCK-80X45X05</t>
  </si>
  <si>
    <t>90D-HYP-INSPREE-BLOCK-80X48X05</t>
  </si>
  <si>
    <t>90D-HYP-INSPREE-BLOCK-80X51X05</t>
  </si>
  <si>
    <t>90D-HYP-INSPREE-BLOCK-80X54X05</t>
  </si>
  <si>
    <t>90D-HYP-INSPREE-BLOCK-80X57X05</t>
  </si>
  <si>
    <t>90D-HYP-INSPREE-BLOCK-80X60X05</t>
  </si>
  <si>
    <t>90D-HYP-INSPREE-BLOCK-80X63X05</t>
  </si>
  <si>
    <t>90D-HYP-INSPREE-BLOCK-80X66X05</t>
  </si>
  <si>
    <t>90D-HYP-INSPREE-BLOCK-80X69X05</t>
  </si>
  <si>
    <t>90D-HYP-INSPREE-BLOCK-80X72X05</t>
  </si>
  <si>
    <t>90D-HYP-INSPREE-BLOCK-84X30X05</t>
  </si>
  <si>
    <t>90D-HYP-INSPREE-BLOCK-84X33X05</t>
  </si>
  <si>
    <t>90D-HYP-INSPREE-BLOCK-84X36X05</t>
  </si>
  <si>
    <t>90D-HYP-INSPREE-BLOCK-84X39X05</t>
  </si>
  <si>
    <t>90D-HYP-INSPREE-BLOCK-84X42X05</t>
  </si>
  <si>
    <t>90D-HYP-INSPREE-BLOCK-84X45X05</t>
  </si>
  <si>
    <t>90D-HYP-INSPREE-BLOCK-84X48X05</t>
  </si>
  <si>
    <t>90D-HYP-INSPREE-BLOCK-84X51X05</t>
  </si>
  <si>
    <t>90D-HYP-INSPREE-BLOCK-84X54X05</t>
  </si>
  <si>
    <t>90D-HYP-INSPREE-BLOCK-84X57X05</t>
  </si>
  <si>
    <t>90D-HYP-INSPREE-BLOCK-84X60X05</t>
  </si>
  <si>
    <t>90D-HYP-INSPREE-BLOCK-84X63X05</t>
  </si>
  <si>
    <t>90D-HYP-INSPREE-BLOCK-84X66X05</t>
  </si>
  <si>
    <t>90D-HYP-INSPREE-BLOCK-84X69X05</t>
  </si>
  <si>
    <t>90D-HYP-INSPREE-BLOCK-84X72X05</t>
  </si>
  <si>
    <t>90D-HYP-INSPREE-BLOCK-72X30X06</t>
  </si>
  <si>
    <t>90D-HYP-INSPREE-BLOCK-72X33X06</t>
  </si>
  <si>
    <t>90D-HYP-INSPREE-BLOCK-72X36X06</t>
  </si>
  <si>
    <t>90D-HYP-INSPREE-BLOCK-72X39X06</t>
  </si>
  <si>
    <t>90D-HYP-INSPREE-BLOCK-72X42X06</t>
  </si>
  <si>
    <t>90D-HYP-INSPREE-BLOCK-72X45X06</t>
  </si>
  <si>
    <t>90D-HYP-INSPREE-BLOCK-72X48X06</t>
  </si>
  <si>
    <t>90D-HYP-INSPREE-BLOCK-72X51X06</t>
  </si>
  <si>
    <t>90D-HYP-INSPREE-BLOCK-72X54X06</t>
  </si>
  <si>
    <t>90D-HYP-INSPREE-BLOCK-72X57X06</t>
  </si>
  <si>
    <t>90D-HYP-INSPREE-BLOCK-72X60X06</t>
  </si>
  <si>
    <t>90D-HYP-INSPREE-BLOCK-72X63X06</t>
  </si>
  <si>
    <t>90D-HYP-INSPREE-BLOCK-72X66X06</t>
  </si>
  <si>
    <t>90D-HYP-INSPREE-BLOCK-72X69X06</t>
  </si>
  <si>
    <t>90D-HYP-INSPREE-BLOCK-72X72X06</t>
  </si>
  <si>
    <t>90D-HYP-INSPREE-BLOCK-75X30X06</t>
  </si>
  <si>
    <t>90D-HYP-INSPREE-BLOCK-75X33X06</t>
  </si>
  <si>
    <t>90D-HYP-INSPREE-BLOCK-75X36X06</t>
  </si>
  <si>
    <t>90D-HYP-INSPREE-BLOCK-75X39X06</t>
  </si>
  <si>
    <t>90D-HYP-INSPREE-BLOCK-75X42X06</t>
  </si>
  <si>
    <t>90D-HYP-INSPREE-BLOCK-75X45X06</t>
  </si>
  <si>
    <t>90D-HYP-INSPREE-BLOCK-75X48X06</t>
  </si>
  <si>
    <t>90D-HYP-INSPREE-BLOCK-75X51X06</t>
  </si>
  <si>
    <t>90D-HYP-INSPREE-BLOCK-75X54X06</t>
  </si>
  <si>
    <t>90D-HYP-INSPREE-BLOCK-75X57X06</t>
  </si>
  <si>
    <t>90D-HYP-INSPREE-BLOCK-75X60X06</t>
  </si>
  <si>
    <t>90D-HYP-INSPREE-BLOCK-75X63X06</t>
  </si>
  <si>
    <t>90D-HYP-INSPREE-BLOCK-75X66X06</t>
  </si>
  <si>
    <t>90D-HYP-INSPREE-BLOCK-75X69X06</t>
  </si>
  <si>
    <t>90D-HYP-INSPREE-BLOCK-75X72X06</t>
  </si>
  <si>
    <t>90D-HYP-INSPREE-BLOCK-78X30X06</t>
  </si>
  <si>
    <t>90D-HYP-INSPREE-BLOCK-78X33X06</t>
  </si>
  <si>
    <t>90D-HYP-INSPREE-BLOCK-78X36X06</t>
  </si>
  <si>
    <t>90D-HYP-INSPREE-BLOCK-78X39X06</t>
  </si>
  <si>
    <t>90D-HYP-INSPREE-BLOCK-78X42X06</t>
  </si>
  <si>
    <t>90D-HYP-INSPREE-BLOCK-78X45X06</t>
  </si>
  <si>
    <t>90D-HYP-INSPREE-BLOCK-78X48X06</t>
  </si>
  <si>
    <t>90D-HYP-INSPREE-BLOCK-78X51X06</t>
  </si>
  <si>
    <t>90D-HYP-INSPREE-BLOCK-78X54X06</t>
  </si>
  <si>
    <t>90D-HYP-INSPREE-BLOCK-78X57X06</t>
  </si>
  <si>
    <t>90D-HYP-INSPREE-BLOCK-78X60X06</t>
  </si>
  <si>
    <t>90D-HYP-INSPREE-BLOCK-78X63X06</t>
  </si>
  <si>
    <t>90D-HYP-INSPREE-BLOCK-78X66X06</t>
  </si>
  <si>
    <t>90D-HYP-INSPREE-BLOCK-78X69X06</t>
  </si>
  <si>
    <t>90D-HYP-INSPREE-BLOCK-78X72X06</t>
  </si>
  <si>
    <t>90D-HYP-INSPREE-BLOCK-80X30X06</t>
  </si>
  <si>
    <t>90D-HYP-INSPREE-BLOCK-80X33X06</t>
  </si>
  <si>
    <t>90D-HYP-INSPREE-BLOCK-80X36X06</t>
  </si>
  <si>
    <t>90D-HYP-INSPREE-BLOCK-80X39X06</t>
  </si>
  <si>
    <t>90D-HYP-INSPREE-BLOCK-80X42X06</t>
  </si>
  <si>
    <t>90D-HYP-INSPREE-BLOCK-80X45X06</t>
  </si>
  <si>
    <t>90D-HYP-INSPREE-BLOCK-80X48X06</t>
  </si>
  <si>
    <t>90D-HYP-INSPREE-BLOCK-80X51X06</t>
  </si>
  <si>
    <t>90D-HYP-INSPREE-BLOCK-80X54X06</t>
  </si>
  <si>
    <t>90D-HYP-INSPREE-BLOCK-80X57X06</t>
  </si>
  <si>
    <t>90D-HYP-INSPREE-BLOCK-80X60X06</t>
  </si>
  <si>
    <t>90D-HYP-INSPREE-BLOCK-80X63X06</t>
  </si>
  <si>
    <t>90D-HYP-INSPREE-BLOCK-80X66X06</t>
  </si>
  <si>
    <t>90D-HYP-INSPREE-BLOCK-80X69X06</t>
  </si>
  <si>
    <t>90D-HYP-INSPREE-BLOCK-80X72X06</t>
  </si>
  <si>
    <t>90D-HYP-INSPREE-BLOCK-84X30X06</t>
  </si>
  <si>
    <t>90D-HYP-INSPREE-BLOCK-84X33X06</t>
  </si>
  <si>
    <t>90D-HYP-INSPREE-BLOCK-84X36X06</t>
  </si>
  <si>
    <t>90D-HYP-INSPREE-BLOCK-84X39X06</t>
  </si>
  <si>
    <t>90D-HYP-INSPREE-BLOCK-84X42X06</t>
  </si>
  <si>
    <t>90D-HYP-INSPREE-BLOCK-84X45X06</t>
  </si>
  <si>
    <t>90D-HYP-INSPREE-BLOCK-84X48X06</t>
  </si>
  <si>
    <t>90D-HYP-INSPREE-BLOCK-84X51X06</t>
  </si>
  <si>
    <t>90D-HYP-INSPREE-BLOCK-84X54X06</t>
  </si>
  <si>
    <t>90D-HYP-INSPREE-BLOCK-84X57X06</t>
  </si>
  <si>
    <t>90D-HYP-INSPREE-BLOCK-84X60X06</t>
  </si>
  <si>
    <t>90D-HYP-INSPREE-BLOCK-84X63X06</t>
  </si>
  <si>
    <t>90D-HYP-INSPREE-BLOCK-84X66X06</t>
  </si>
  <si>
    <t>90D-HYP-INSPREE-BLOCK-84X69X06</t>
  </si>
  <si>
    <t>90D-HYP-INSPREE-BLOCK-84X72X06</t>
  </si>
  <si>
    <t>90D-HYP-INSPREE-BLOCK-72X30X08</t>
  </si>
  <si>
    <t>90D-HYP-INSPREE-BLOCK-72X33X08</t>
  </si>
  <si>
    <t>90D-HYP-INSPREE-BLOCK-72X36X08</t>
  </si>
  <si>
    <t>90D-HYP-INSPREE-BLOCK-72X39X08</t>
  </si>
  <si>
    <t>90D-HYP-INSPREE-BLOCK-72X42X08</t>
  </si>
  <si>
    <t>90D-HYP-INSPREE-BLOCK-72X45X08</t>
  </si>
  <si>
    <t>90D-HYP-INSPREE-BLOCK-72X48X08</t>
  </si>
  <si>
    <t>90D-HYP-INSPREE-BLOCK-72X51X08</t>
  </si>
  <si>
    <t>90D-HYP-INSPREE-BLOCK-72X54X08</t>
  </si>
  <si>
    <t>90D-HYP-INSPREE-BLOCK-72X57X08</t>
  </si>
  <si>
    <t>90D-HYP-INSPREE-BLOCK-72X60X08</t>
  </si>
  <si>
    <t>90D-HYP-INSPREE-BLOCK-72X63X08</t>
  </si>
  <si>
    <t>90D-HYP-INSPREE-BLOCK-72X66X08</t>
  </si>
  <si>
    <t>90D-HYP-INSPREE-BLOCK-72X69X08</t>
  </si>
  <si>
    <t>90D-HYP-INSPREE-BLOCK-72X72X08</t>
  </si>
  <si>
    <t>90D-HYP-INSPREE-BLOCK-75X30X08</t>
  </si>
  <si>
    <t>90D-HYP-INSPREE-BLOCK-75X33X08</t>
  </si>
  <si>
    <t>90D-HYP-INSPREE-BLOCK-75X36X08</t>
  </si>
  <si>
    <t>90D-HYP-INSPREE-BLOCK-75X39X08</t>
  </si>
  <si>
    <t>90D-HYP-INSPREE-BLOCK-75X42X08</t>
  </si>
  <si>
    <t>90D-HYP-INSPREE-BLOCK-75X45X08</t>
  </si>
  <si>
    <t>90D-HYP-INSPREE-BLOCK-75X48X08</t>
  </si>
  <si>
    <t>90D-HYP-INSPREE-BLOCK-75X51X08</t>
  </si>
  <si>
    <t>90D-HYP-INSPREE-BLOCK-75X54X08</t>
  </si>
  <si>
    <t>90D-HYP-INSPREE-BLOCK-75X57X08</t>
  </si>
  <si>
    <t>90D-HYP-INSPREE-BLOCK-75X60X08</t>
  </si>
  <si>
    <t>90D-HYP-INSPREE-BLOCK-75X63X08</t>
  </si>
  <si>
    <t>90D-HYP-INSPREE-BLOCK-75X66X08</t>
  </si>
  <si>
    <t>90D-HYP-INSPREE-BLOCK-75X69X08</t>
  </si>
  <si>
    <t>90D-HYP-INSPREE-BLOCK-75X72X08</t>
  </si>
  <si>
    <t>90D-HYP-INSPREE-BLOCK-78X30X08</t>
  </si>
  <si>
    <t>90D-HYP-INSPREE-BLOCK-78X33X08</t>
  </si>
  <si>
    <t>90D-HYP-INSPREE-BLOCK-78X36X08</t>
  </si>
  <si>
    <t>90D-HYP-INSPREE-BLOCK-78X39X08</t>
  </si>
  <si>
    <t>90D-HYP-INSPREE-BLOCK-78X42X08</t>
  </si>
  <si>
    <t>90D-HYP-INSPREE-BLOCK-78X45X08</t>
  </si>
  <si>
    <t>90D-HYP-INSPREE-BLOCK-78X48X08</t>
  </si>
  <si>
    <t>90D-HYP-INSPREE-BLOCK-78X51X08</t>
  </si>
  <si>
    <t>90D-HYP-INSPREE-BLOCK-78X54X08</t>
  </si>
  <si>
    <t>90D-HYP-INSPREE-BLOCK-78X57X08</t>
  </si>
  <si>
    <t>90D-HYP-INSPREE-BLOCK-78X60X08</t>
  </si>
  <si>
    <t>90D-HYP-INSPREE-BLOCK-78X63X08</t>
  </si>
  <si>
    <t>90D-HYP-INSPREE-BLOCK-78X66X08</t>
  </si>
  <si>
    <t>90D-HYP-INSPREE-BLOCK-78X69X08</t>
  </si>
  <si>
    <t>90D-HYP-INSPREE-BLOCK-78X72X08</t>
  </si>
  <si>
    <t>90D-HYP-INSPREE-BLOCK-80X30X08</t>
  </si>
  <si>
    <t>90D-HYP-INSPREE-BLOCK-80X33X08</t>
  </si>
  <si>
    <t>90D-HYP-INSPREE-BLOCK-80X36X08</t>
  </si>
  <si>
    <t>90D-HYP-INSPREE-BLOCK-80X39X08</t>
  </si>
  <si>
    <t>90D-HYP-INSPREE-BLOCK-80X42X08</t>
  </si>
  <si>
    <t>90D-HYP-INSPREE-BLOCK-80X45X08</t>
  </si>
  <si>
    <t>90D-HYP-INSPREE-BLOCK-80X48X08</t>
  </si>
  <si>
    <t>90D-HYP-INSPREE-BLOCK-80X51X08</t>
  </si>
  <si>
    <t>90D-HYP-INSPREE-BLOCK-80X54X08</t>
  </si>
  <si>
    <t>90D-HYP-INSPREE-BLOCK-80X57X08</t>
  </si>
  <si>
    <t>90D-HYP-INSPREE-BLOCK-80X60X08</t>
  </si>
  <si>
    <t>90D-HYP-INSPREE-BLOCK-80X63X08</t>
  </si>
  <si>
    <t>90D-HYP-INSPREE-BLOCK-80X66X08</t>
  </si>
  <si>
    <t>90D-HYP-INSPREE-BLOCK-80X69X08</t>
  </si>
  <si>
    <t>90D-HYP-INSPREE-BLOCK-80X72X08</t>
  </si>
  <si>
    <t>90D-HYP-INSPREE-BLOCK-84X30X08</t>
  </si>
  <si>
    <t>90D-HYP-INSPREE-BLOCK-84X33X08</t>
  </si>
  <si>
    <t>90D-HYP-INSPREE-BLOCK-84X36X08</t>
  </si>
  <si>
    <t>90D-HYP-INSPREE-BLOCK-84X39X08</t>
  </si>
  <si>
    <t>90D-HYP-INSPREE-BLOCK-84X42X08</t>
  </si>
  <si>
    <t>90D-HYP-INSPREE-BLOCK-84X45X08</t>
  </si>
  <si>
    <t>90D-HYP-INSPREE-BLOCK-84X48X08</t>
  </si>
  <si>
    <t>90D-HYP-INSPREE-BLOCK-84X51X08</t>
  </si>
  <si>
    <t>90D-HYP-INSPREE-BLOCK-84X54X08</t>
  </si>
  <si>
    <t>90D-HYP-INSPREE-BLOCK-84X57X08</t>
  </si>
  <si>
    <t>90D-HYP-INSPREE-BLOCK-84X60X08</t>
  </si>
  <si>
    <t>90D-HYP-INSPREE-BLOCK-84X63X08</t>
  </si>
  <si>
    <t>90D-HYP-INSPREE-BLOCK-84X66X08</t>
  </si>
  <si>
    <t>90D-HYP-INSPREE-BLOCK-84X69X08</t>
  </si>
  <si>
    <t>90D-HYP-INSPREE-BLOCK-84X72X08</t>
  </si>
  <si>
    <t>INSPREE-90D-GRN</t>
  </si>
  <si>
    <t>INSPREE-90D-PNK</t>
  </si>
  <si>
    <t>INSPREE-90D-ETGRN</t>
  </si>
  <si>
    <t>INSPREE-90D-ETPNK</t>
  </si>
  <si>
    <t>HYPINSFMMFGR</t>
  </si>
  <si>
    <t>HYPINSFMLTPNK</t>
  </si>
  <si>
    <t>ET</t>
  </si>
  <si>
    <t>HYPINSFMMFBL</t>
  </si>
  <si>
    <t>CK-2</t>
  </si>
  <si>
    <t>HYPINSFMMFETBL</t>
  </si>
  <si>
    <t>HYPINSFMMFETGR</t>
  </si>
  <si>
    <t>HYPINSFMMFBL72X30X05-90D</t>
  </si>
  <si>
    <t>HYPINSFMMFBL72X33X05-90D</t>
  </si>
  <si>
    <t>HYPINSFMMFBL72X36X05-90D</t>
  </si>
  <si>
    <t>HYPINSFMMFBL72X39X05-90D</t>
  </si>
  <si>
    <t>HYPINSFMMFBL72X42X05-90D</t>
  </si>
  <si>
    <t>HYPINSFMMFBL72X45X05-90D</t>
  </si>
  <si>
    <t>HYPINSFMMFBL72X48X05-90D</t>
  </si>
  <si>
    <t>HYPINSFMMFBL72X51X05-90D</t>
  </si>
  <si>
    <t>HYPINSFMMFBL72X54X05-90D</t>
  </si>
  <si>
    <t>HYPINSFMMFBL72X57X05-90D</t>
  </si>
  <si>
    <t>HYPINSFMMFBL72X60X05-90D</t>
  </si>
  <si>
    <t>HYPINSFMMFBL72X63X05-90D</t>
  </si>
  <si>
    <t>HYPINSFMMFBL72X66X05-90D</t>
  </si>
  <si>
    <t>HYPINSFMMFBL72X69X05-90D</t>
  </si>
  <si>
    <t>HYPINSFMMFBL72X72X05-90D</t>
  </si>
  <si>
    <t>HYPINSFMMFBL75X30X05-90D</t>
  </si>
  <si>
    <t>HYPINSFMMFBL75X33X05-90D</t>
  </si>
  <si>
    <t>HYPINSFMMFBL75X36X05-90D</t>
  </si>
  <si>
    <t>HYPINSFMMFBL75X39X05-90D</t>
  </si>
  <si>
    <t>HYPINSFMMFBL75X42X05-90D</t>
  </si>
  <si>
    <t>HYPINSFMMFBL75X45X05-90D</t>
  </si>
  <si>
    <t>HYPINSFMMFBL75X48X05-90D</t>
  </si>
  <si>
    <t>HYPINSFMMFBL75X51X05-90D</t>
  </si>
  <si>
    <t>HYPINSFMMFBL75X54X05-90D</t>
  </si>
  <si>
    <t>HYPINSFMMFBL75X57X05-90D</t>
  </si>
  <si>
    <t>HYPINSFMMFBL75X60X05-90D</t>
  </si>
  <si>
    <t>HYPINSFMMFBL75X63X05-90D</t>
  </si>
  <si>
    <t>HYPINSFMMFBL75X66X05-90D</t>
  </si>
  <si>
    <t>HYPINSFMMFBL75X69X05-90D</t>
  </si>
  <si>
    <t>HYPINSFMMFBL75X72X05-90D</t>
  </si>
  <si>
    <t>HYPINSFMMFBL78X30X05-90D</t>
  </si>
  <si>
    <t>HYPINSFMMFBL78X33X05-90D</t>
  </si>
  <si>
    <t>HYPINSFMMFBL78X36X05-90D</t>
  </si>
  <si>
    <t>HYPINSFMMFBL78X39X05-90D</t>
  </si>
  <si>
    <t>HYPINSFMMFBL78X42X05-90D</t>
  </si>
  <si>
    <t>HYPINSFMMFBL78X45X05-90D</t>
  </si>
  <si>
    <t>HYPINSFMMFBL78X48X05-90D</t>
  </si>
  <si>
    <t>HYPINSFMMFBL78X51X05-90D</t>
  </si>
  <si>
    <t>HYPINSFMMFBL78X54X05-90D</t>
  </si>
  <si>
    <t>HYPINSFMMFBL78X57X05-90D</t>
  </si>
  <si>
    <t>HYPINSFMMFBL78X60X05-90D</t>
  </si>
  <si>
    <t>HYPINSFMMFBL78X63X05-90D</t>
  </si>
  <si>
    <t>HYPINSFMMFBL78X66X05-90D</t>
  </si>
  <si>
    <t>HYPINSFMMFBL78X69X05-90D</t>
  </si>
  <si>
    <t>HYPINSFMMFBL78X72X05-90D</t>
  </si>
  <si>
    <t>HYPINSFMMFBL80X30X05-90D</t>
  </si>
  <si>
    <t>HYPINSFMMFBL80X33X05-90D</t>
  </si>
  <si>
    <t>HYPINSFMMFBL80X36X05-90D</t>
  </si>
  <si>
    <t>HYPINSFMMFBL80X39X05-90D</t>
  </si>
  <si>
    <t>HYPINSFMMFBL80X42X05-90D</t>
  </si>
  <si>
    <t>HYPINSFMMFBL80X45X05-90D</t>
  </si>
  <si>
    <t>HYPINSFMMFBL80X48X05-90D</t>
  </si>
  <si>
    <t>HYPINSFMMFBL80X51X05-90D</t>
  </si>
  <si>
    <t>HYPINSFMMFBL80X54X05-90D</t>
  </si>
  <si>
    <t>HYPINSFMMFBL80X57X05-90D</t>
  </si>
  <si>
    <t>HYPINSFMMFBL80X60X05-90D</t>
  </si>
  <si>
    <t>HYPINSFMMFBL80X63X05-90D</t>
  </si>
  <si>
    <t>HYPINSFMMFBL80X66X05-90D</t>
  </si>
  <si>
    <t>HYPINSFMMFBL80X69X05-90D</t>
  </si>
  <si>
    <t>HYPINSFMMFBL80X72X05-90D</t>
  </si>
  <si>
    <t>HYPINSFMMFBL84X30X05-90D</t>
  </si>
  <si>
    <t>HYPINSFMMFBL84X33X05-90D</t>
  </si>
  <si>
    <t>HYPINSFMMFBL84X36X05-90D</t>
  </si>
  <si>
    <t>HYPINSFMMFBL84X39X05-90D</t>
  </si>
  <si>
    <t>HYPINSFMMFBL84X42X05-90D</t>
  </si>
  <si>
    <t>HYPINSFMMFBL84X45X05-90D</t>
  </si>
  <si>
    <t>HYPINSFMMFBL84X48X05-90D</t>
  </si>
  <si>
    <t>HYPINSFMMFBL84X51X05-90D</t>
  </si>
  <si>
    <t>HYPINSFMMFBL84X54X05-90D</t>
  </si>
  <si>
    <t>HYPINSFMMFBL84X57X05-90D</t>
  </si>
  <si>
    <t>HYPINSFMMFBL84X60X05-90D</t>
  </si>
  <si>
    <t>HYPINSFMMFBL84X63X05-90D</t>
  </si>
  <si>
    <t>HYPINSFMMFBL84X66X05-90D</t>
  </si>
  <si>
    <t>HYPINSFMMFBL84X69X05-90D</t>
  </si>
  <si>
    <t>HYPINSFMMFBL84X72X05-90D</t>
  </si>
  <si>
    <t>HYPINSFMMFBL72X30X06-90D</t>
  </si>
  <si>
    <t>HYPINSFMMFBL72X33X06-90D</t>
  </si>
  <si>
    <t>HYPINSFMMFBL72X36X06-90D</t>
  </si>
  <si>
    <t>HYPINSFMMFBL72X39X06-90D</t>
  </si>
  <si>
    <t>HYPINSFMMFBL72X42X06-90D</t>
  </si>
  <si>
    <t>HYPINSFMMFBL72X45X06-90D</t>
  </si>
  <si>
    <t>HYPINSFMMFBL72X48X06-90D</t>
  </si>
  <si>
    <t>HYPINSFMMFBL72X51X06-90D</t>
  </si>
  <si>
    <t>HYPINSFMMFBL72X54X06-90D</t>
  </si>
  <si>
    <t>HYPINSFMMFBL72X57X06-90D</t>
  </si>
  <si>
    <t>HYPINSFMMFBL72X60X06-90D</t>
  </si>
  <si>
    <t>HYPINSFMMFBL72X63X06-90D</t>
  </si>
  <si>
    <t>HYPINSFMMFBL72X66X06-90D</t>
  </si>
  <si>
    <t>HYPINSFMMFBL72X69X06-90D</t>
  </si>
  <si>
    <t>HYPINSFMMFBL72X72X06-90D</t>
  </si>
  <si>
    <t>HYPINSFMMFBL75X30X06-90D</t>
  </si>
  <si>
    <t>HYPINSFMMFBL75X33X06-90D</t>
  </si>
  <si>
    <t>HYPINSFMMFBL75X36X06-90D</t>
  </si>
  <si>
    <t>HYPINSFMMFBL75X39X06-90D</t>
  </si>
  <si>
    <t>HYPINSFMMFBL75X42X06-90D</t>
  </si>
  <si>
    <t>HYPINSFMMFBL75X45X06-90D</t>
  </si>
  <si>
    <t>HYPINSFMMFBL75X48X06-90D</t>
  </si>
  <si>
    <t>HYPINSFMMFBL75X51X06-90D</t>
  </si>
  <si>
    <t>HYPINSFMMFBL75X54X06-90D</t>
  </si>
  <si>
    <t>HYPINSFMMFBL75X57X06-90D</t>
  </si>
  <si>
    <t>HYPINSFMMFBL75X60X06-90D</t>
  </si>
  <si>
    <t>HYPINSFMMFBL75X63X06-90D</t>
  </si>
  <si>
    <t>HYPINSFMMFBL75X66X06-90D</t>
  </si>
  <si>
    <t>HYPINSFMMFBL75X69X06-90D</t>
  </si>
  <si>
    <t>HYPINSFMMFBL75X72X06-90D</t>
  </si>
  <si>
    <t>HYPINSFMMFBL78X30X06-90D</t>
  </si>
  <si>
    <t>HYPINSFMMFBL78X33X06-90D</t>
  </si>
  <si>
    <t>HYPINSFMMFBL78X36X06-90D</t>
  </si>
  <si>
    <t>HYPINSFMMFBL78X39X06-90D</t>
  </si>
  <si>
    <t>HYPINSFMMFBL78X42X06-90D</t>
  </si>
  <si>
    <t>HYPINSFMMFBL78X45X06-90D</t>
  </si>
  <si>
    <t>HYPINSFMMFBL78X48X06-90D</t>
  </si>
  <si>
    <t>HYPINSFMMFBL78X51X06-90D</t>
  </si>
  <si>
    <t>HYPINSFMMFBL78X54X06-90D</t>
  </si>
  <si>
    <t>HYPINSFMMFBL78X57X06-90D</t>
  </si>
  <si>
    <t>HYPINSFMMFBL78X60X06-90D</t>
  </si>
  <si>
    <t>HYPINSFMMFBL78X63X06-90D</t>
  </si>
  <si>
    <t>HYPINSFMMFBL78X66X06-90D</t>
  </si>
  <si>
    <t>HYPINSFMMFBL78X69X06-90D</t>
  </si>
  <si>
    <t>HYPINSFMMFBL78X72X06-90D</t>
  </si>
  <si>
    <t>HYPINSFMMFBL80X30X06-90D</t>
  </si>
  <si>
    <t>HYPINSFMMFBL80X33X06-90D</t>
  </si>
  <si>
    <t>HYPINSFMMFBL80X36X06-90D</t>
  </si>
  <si>
    <t>HYPINSFMMFBL80X39X06-90D</t>
  </si>
  <si>
    <t>HYPINSFMMFBL80X42X06-90D</t>
  </si>
  <si>
    <t>HYPINSFMMFBL80X45X06-90D</t>
  </si>
  <si>
    <t>HYPINSFMMFBL80X48X06-90D</t>
  </si>
  <si>
    <t>HYPINSFMMFBL80X51X06-90D</t>
  </si>
  <si>
    <t>HYPINSFMMFBL80X54X06-90D</t>
  </si>
  <si>
    <t>HYPINSFMMFBL80X57X06-90D</t>
  </si>
  <si>
    <t>HYPINSFMMFBL80X60X06-90D</t>
  </si>
  <si>
    <t>HYPINSFMMFBL80X63X06-90D</t>
  </si>
  <si>
    <t>HYPINSFMMFBL80X66X06-90D</t>
  </si>
  <si>
    <t>HYPINSFMMFBL80X69X06-90D</t>
  </si>
  <si>
    <t>HYPINSFMMFBL80X72X06-90D</t>
  </si>
  <si>
    <t>HYPINSFMMFBL84X30X06-90D</t>
  </si>
  <si>
    <t>HYPINSFMMFBL84X33X06-90D</t>
  </si>
  <si>
    <t>HYPINSFMMFBL84X36X06-90D</t>
  </si>
  <si>
    <t>HYPINSFMMFBL84X39X06-90D</t>
  </si>
  <si>
    <t>HYPINSFMMFBL84X42X06-90D</t>
  </si>
  <si>
    <t>HYPINSFMMFBL84X45X06-90D</t>
  </si>
  <si>
    <t>HYPINSFMMFBL84X48X06-90D</t>
  </si>
  <si>
    <t>HYPINSFMMFBL84X51X06-90D</t>
  </si>
  <si>
    <t>HYPINSFMMFBL84X54X06-90D</t>
  </si>
  <si>
    <t>HYPINSFMMFBL84X57X06-90D</t>
  </si>
  <si>
    <t>HYPINSFMMFBL84X60X06-90D</t>
  </si>
  <si>
    <t>HYPINSFMMFBL84X63X06-90D</t>
  </si>
  <si>
    <t>HYPINSFMMFBL84X66X06-90D</t>
  </si>
  <si>
    <t>HYPINSFMMFBL84X69X06-90D</t>
  </si>
  <si>
    <t>HYPINSFMMFBL84X72X06-90D</t>
  </si>
  <si>
    <t>HYPINSFMMFBL72X30X08-90D</t>
  </si>
  <si>
    <t>HYPINSFMMFBL72X33X08-90D</t>
  </si>
  <si>
    <t>HYPINSFMMFBL72X36X08-90D</t>
  </si>
  <si>
    <t>HYPINSFMMFBL72X39X08-90D</t>
  </si>
  <si>
    <t>HYPINSFMMFBL72X42X08-90D</t>
  </si>
  <si>
    <t>HYPINSFMMFBL72X45X08-90D</t>
  </si>
  <si>
    <t>HYPINSFMMFBL72X48X08-90D</t>
  </si>
  <si>
    <t>HYPINSFMMFBL72X51X08-90D</t>
  </si>
  <si>
    <t>HYPINSFMMFBL72X54X08-90D</t>
  </si>
  <si>
    <t>HYPINSFMMFBL72X57X08-90D</t>
  </si>
  <si>
    <t>HYPINSFMMFBL72X60X08-90D</t>
  </si>
  <si>
    <t>HYPINSFMMFBL72X63X08-90D</t>
  </si>
  <si>
    <t>HYPINSFMMFBL72X66X08-90D</t>
  </si>
  <si>
    <t>HYPINSFMMFBL72X69X08-90D</t>
  </si>
  <si>
    <t>HYPINSFMMFBL72X72X08-90D</t>
  </si>
  <si>
    <t>HYPINSFMMFBL75X30X08-90D</t>
  </si>
  <si>
    <t>HYPINSFMMFBL75X33X08-90D</t>
  </si>
  <si>
    <t>HYPINSFMMFBL75X36X08-90D</t>
  </si>
  <si>
    <t>HYPINSFMMFBL75X39X08-90D</t>
  </si>
  <si>
    <t>HYPINSFMMFBL75X42X08-90D</t>
  </si>
  <si>
    <t>HYPINSFMMFBL75X45X08-90D</t>
  </si>
  <si>
    <t>HYPINSFMMFBL75X48X08-90D</t>
  </si>
  <si>
    <t>HYPINSFMMFBL75X51X08-90D</t>
  </si>
  <si>
    <t>HYPINSFMMFBL75X54X08-90D</t>
  </si>
  <si>
    <t>HYPINSFMMFBL75X57X08-90D</t>
  </si>
  <si>
    <t>HYPINSFMMFBL75X60X08-90D</t>
  </si>
  <si>
    <t>HYPINSFMMFBL75X63X08-90D</t>
  </si>
  <si>
    <t>HYPINSFMMFBL75X66X08-90D</t>
  </si>
  <si>
    <t>HYPINSFMMFBL75X69X08-90D</t>
  </si>
  <si>
    <t>HYPINSFMMFBL75X72X08-90D</t>
  </si>
  <si>
    <t>HYPINSFMMFBL78X30X08-90D</t>
  </si>
  <si>
    <t>HYPINSFMMFBL78X33X08-90D</t>
  </si>
  <si>
    <t>HYPINSFMMFBL78X36X08-90D</t>
  </si>
  <si>
    <t>HYPINSFMMFBL78X39X08-90D</t>
  </si>
  <si>
    <t>HYPINSFMMFBL78X42X08-90D</t>
  </si>
  <si>
    <t>HYPINSFMMFBL78X45X08-90D</t>
  </si>
  <si>
    <t>HYPINSFMMFBL78X48X08-90D</t>
  </si>
  <si>
    <t>HYPINSFMMFBL78X51X08-90D</t>
  </si>
  <si>
    <t>HYPINSFMMFBL78X54X08-90D</t>
  </si>
  <si>
    <t>HYPINSFMMFBL78X57X08-90D</t>
  </si>
  <si>
    <t>HYPINSFMMFBL78X60X08-90D</t>
  </si>
  <si>
    <t>HYPINSFMMFBL78X63X08-90D</t>
  </si>
  <si>
    <t>HYPINSFMMFBL78X66X08-90D</t>
  </si>
  <si>
    <t>HYPINSFMMFBL78X69X08-90D</t>
  </si>
  <si>
    <t>HYPINSFMMFBL78X72X08-90D</t>
  </si>
  <si>
    <t>HYPINSFMMFBL80X30X08-90D</t>
  </si>
  <si>
    <t>HYPINSFMMFBL80X33X08-90D</t>
  </si>
  <si>
    <t>HYPINSFMMFBL80X36X08-90D</t>
  </si>
  <si>
    <t>HYPINSFMMFBL80X39X08-90D</t>
  </si>
  <si>
    <t>HYPINSFMMFBL80X42X08-90D</t>
  </si>
  <si>
    <t>HYPINSFMMFBL80X45X08-90D</t>
  </si>
  <si>
    <t>HYPINSFMMFBL80X48X08-90D</t>
  </si>
  <si>
    <t>HYPINSFMMFBL80X51X08-90D</t>
  </si>
  <si>
    <t>HYPINSFMMFBL80X54X08-90D</t>
  </si>
  <si>
    <t>HYPINSFMMFBL80X57X08-90D</t>
  </si>
  <si>
    <t>HYPINSFMMFBL80X60X08-90D</t>
  </si>
  <si>
    <t>HYPINSFMMFBL80X63X08-90D</t>
  </si>
  <si>
    <t>HYPINSFMMFBL80X66X08-90D</t>
  </si>
  <si>
    <t>HYPINSFMMFBL80X69X08-90D</t>
  </si>
  <si>
    <t>HYPINSFMMFBL80X72X08-90D</t>
  </si>
  <si>
    <t>HYPINSFMMFBL84X30X08-90D</t>
  </si>
  <si>
    <t>HYPINSFMMFBL84X33X08-90D</t>
  </si>
  <si>
    <t>HYPINSFMMFBL84X36X08-90D</t>
  </si>
  <si>
    <t>HYPINSFMMFBL84X39X08-90D</t>
  </si>
  <si>
    <t>HYPINSFMMFBL84X42X08-90D</t>
  </si>
  <si>
    <t>HYPINSFMMFBL84X45X08-90D</t>
  </si>
  <si>
    <t>HYPINSFMMFBL84X48X08-90D</t>
  </si>
  <si>
    <t>HYPINSFMMFBL84X51X08-90D</t>
  </si>
  <si>
    <t>HYPINSFMMFBL84X54X08-90D</t>
  </si>
  <si>
    <t>HYPINSFMMFBL84X57X08-90D</t>
  </si>
  <si>
    <t>HYPINSFMMFBL84X60X08-90D</t>
  </si>
  <si>
    <t>HYPINSFMMFBL84X63X08-90D</t>
  </si>
  <si>
    <t>HYPINSFMMFBL84X66X08-90D</t>
  </si>
  <si>
    <t>HYPINSFMMFBL84X69X08-90D</t>
  </si>
  <si>
    <t>HYPINSFMMFBL84X72X08-90D</t>
  </si>
  <si>
    <t>HYPINSFMMFGR72X30X05-90D</t>
  </si>
  <si>
    <t>HYPINSFMMFGR72X33X05-90D</t>
  </si>
  <si>
    <t>HYPINSFMMFGR72X36X05-90D</t>
  </si>
  <si>
    <t>HYPINSFMMFGR72X39X05-90D</t>
  </si>
  <si>
    <t>HYPINSFMMFGR72X42X05-90D</t>
  </si>
  <si>
    <t>HYPINSFMMFGR72X45X05-90D</t>
  </si>
  <si>
    <t>HYPINSFMMFGR72X48X05-90D</t>
  </si>
  <si>
    <t>HYPINSFMMFGR72X51X05-90D</t>
  </si>
  <si>
    <t>HYPINSFMMFGR72X54X05-90D</t>
  </si>
  <si>
    <t>HYPINSFMMFGR72X57X05-90D</t>
  </si>
  <si>
    <t>HYPINSFMMFGR72X60X05-90D</t>
  </si>
  <si>
    <t>HYPINSFMMFGR72X63X05-90D</t>
  </si>
  <si>
    <t>HYPINSFMMFGR72X66X05-90D</t>
  </si>
  <si>
    <t>HYPINSFMMFGR72X69X05-90D</t>
  </si>
  <si>
    <t>HYPINSFMMFGR72X72X05-90D</t>
  </si>
  <si>
    <t>HYPINSFMMFGR75X30X05-90D</t>
  </si>
  <si>
    <t>HYPINSFMMFGR75X33X05-90D</t>
  </si>
  <si>
    <t>HYPINSFMMFGR75X36X05-90D</t>
  </si>
  <si>
    <t>HYPINSFMMFGR75X39X05-90D</t>
  </si>
  <si>
    <t>HYPINSFMMFGR75X42X05-90D</t>
  </si>
  <si>
    <t>HYPINSFMMFGR75X45X05-90D</t>
  </si>
  <si>
    <t>HYPINSFMMFGR75X48X05-90D</t>
  </si>
  <si>
    <t>HYPINSFMMFGR75X51X05-90D</t>
  </si>
  <si>
    <t>HYPINSFMMFGR75X54X05-90D</t>
  </si>
  <si>
    <t>HYPINSFMMFGR75X57X05-90D</t>
  </si>
  <si>
    <t>HYPINSFMMFGR75X60X05-90D</t>
  </si>
  <si>
    <t>HYPINSFMMFGR75X63X05-90D</t>
  </si>
  <si>
    <t>HYPINSFMMFGR75X66X05-90D</t>
  </si>
  <si>
    <t>HYPINSFMMFGR75X69X05-90D</t>
  </si>
  <si>
    <t>HYPINSFMMFGR75X72X05-90D</t>
  </si>
  <si>
    <t>HYPINSFMMFGR78X30X05-90D</t>
  </si>
  <si>
    <t>HYPINSFMMFGR78X33X05-90D</t>
  </si>
  <si>
    <t>HYPINSFMMFGR78X36X05-90D</t>
  </si>
  <si>
    <t>HYPINSFMMFGR78X39X05-90D</t>
  </si>
  <si>
    <t>HYPINSFMMFGR78X42X05-90D</t>
  </si>
  <si>
    <t>HYPINSFMMFGR78X45X05-90D</t>
  </si>
  <si>
    <t>HYPINSFMMFGR78X48X05-90D</t>
  </si>
  <si>
    <t>HYPINSFMMFGR78X51X05-90D</t>
  </si>
  <si>
    <t>HYPINSFMMFGR78X54X05-90D</t>
  </si>
  <si>
    <t>HYPINSFMMFGR78X57X05-90D</t>
  </si>
  <si>
    <t>HYPINSFMMFGR78X60X05-90D</t>
  </si>
  <si>
    <t>HYPINSFMMFGR78X63X05-90D</t>
  </si>
  <si>
    <t>HYPINSFMMFGR78X66X05-90D</t>
  </si>
  <si>
    <t>HYPINSFMMFGR78X69X05-90D</t>
  </si>
  <si>
    <t>HYPINSFMMFGR78X72X05-90D</t>
  </si>
  <si>
    <t>HYPINSFMMFGR80X30X05-90D</t>
  </si>
  <si>
    <t>HYPINSFMMFGR80X33X05-90D</t>
  </si>
  <si>
    <t>HYPINSFMMFGR80X36X05-90D</t>
  </si>
  <si>
    <t>HYPINSFMMFGR80X39X05-90D</t>
  </si>
  <si>
    <t>HYPINSFMMFGR80X42X05-90D</t>
  </si>
  <si>
    <t>HYPINSFMMFGR80X45X05-90D</t>
  </si>
  <si>
    <t>HYPINSFMMFGR80X48X05-90D</t>
  </si>
  <si>
    <t>HYPINSFMMFGR80X51X05-90D</t>
  </si>
  <si>
    <t>HYPINSFMMFGR80X54X05-90D</t>
  </si>
  <si>
    <t>HYPINSFMMFGR80X57X05-90D</t>
  </si>
  <si>
    <t>HYPINSFMMFGR80X60X05-90D</t>
  </si>
  <si>
    <t>HYPINSFMMFGR80X63X05-90D</t>
  </si>
  <si>
    <t>HYPINSFMMFGR80X66X05-90D</t>
  </si>
  <si>
    <t>HYPINSFMMFGR80X69X05-90D</t>
  </si>
  <si>
    <t>HYPINSFMMFGR80X72X05-90D</t>
  </si>
  <si>
    <t>HYPINSFMMFGR84X30X05-90D</t>
  </si>
  <si>
    <t>HYPINSFMMFGR84X33X05-90D</t>
  </si>
  <si>
    <t>HYPINSFMMFGR84X36X05-90D</t>
  </si>
  <si>
    <t>HYPINSFMMFGR84X39X05-90D</t>
  </si>
  <si>
    <t>HYPINSFMMFGR84X42X05-90D</t>
  </si>
  <si>
    <t>HYPINSFMMFGR84X45X05-90D</t>
  </si>
  <si>
    <t>HYPINSFMMFGR84X48X05-90D</t>
  </si>
  <si>
    <t>HYPINSFMMFGR84X51X05-90D</t>
  </si>
  <si>
    <t>HYPINSFMMFGR84X54X05-90D</t>
  </si>
  <si>
    <t>HYPINSFMMFGR84X57X05-90D</t>
  </si>
  <si>
    <t>HYPINSFMMFGR84X60X05-90D</t>
  </si>
  <si>
    <t>HYPINSFMMFGR84X63X05-90D</t>
  </si>
  <si>
    <t>HYPINSFMMFGR84X66X05-90D</t>
  </si>
  <si>
    <t>HYPINSFMMFGR84X69X05-90D</t>
  </si>
  <si>
    <t>HYPINSFMMFGR84X72X05-90D</t>
  </si>
  <si>
    <t>HYPINSFMMFGR72X30X06-90D</t>
  </si>
  <si>
    <t>HYPINSFMMFGR72X33X06-90D</t>
  </si>
  <si>
    <t>HYPINSFMMFGR72X36X06-90D</t>
  </si>
  <si>
    <t>HYPINSFMMFGR72X39X06-90D</t>
  </si>
  <si>
    <t>HYPINSFMMFGR72X42X06-90D</t>
  </si>
  <si>
    <t>HYPINSFMMFGR72X45X06-90D</t>
  </si>
  <si>
    <t>HYPINSFMMFGR72X48X06-90D</t>
  </si>
  <si>
    <t>HYPINSFMMFGR72X51X06-90D</t>
  </si>
  <si>
    <t>HYPINSFMMFGR72X54X06-90D</t>
  </si>
  <si>
    <t>HYPINSFMMFGR72X57X06-90D</t>
  </si>
  <si>
    <t>HYPINSFMMFGR72X60X06-90D</t>
  </si>
  <si>
    <t>HYPINSFMMFGR72X63X06-90D</t>
  </si>
  <si>
    <t>HYPINSFMMFGR72X66X06-90D</t>
  </si>
  <si>
    <t>HYPINSFMMFGR72X69X06-90D</t>
  </si>
  <si>
    <t>HYPINSFMMFGR72X72X06-90D</t>
  </si>
  <si>
    <t>HYPINSFMMFGR75X30X06-90D</t>
  </si>
  <si>
    <t>HYPINSFMMFGR75X33X06-90D</t>
  </si>
  <si>
    <t>HYPINSFMMFGR75X36X06-90D</t>
  </si>
  <si>
    <t>HYPINSFMMFGR75X39X06-90D</t>
  </si>
  <si>
    <t>HYPINSFMMFGR75X42X06-90D</t>
  </si>
  <si>
    <t>HYPINSFMMFGR75X45X06-90D</t>
  </si>
  <si>
    <t>HYPINSFMMFGR75X48X06-90D</t>
  </si>
  <si>
    <t>HYPINSFMMFGR75X51X06-90D</t>
  </si>
  <si>
    <t>HYPINSFMMFGR75X54X06-90D</t>
  </si>
  <si>
    <t>HYPINSFMMFGR75X57X06-90D</t>
  </si>
  <si>
    <t>HYPINSFMMFGR75X60X06-90D</t>
  </si>
  <si>
    <t>HYPINSFMMFGR75X63X06-90D</t>
  </si>
  <si>
    <t>HYPINSFMMFGR75X66X06-90D</t>
  </si>
  <si>
    <t>HYPINSFMMFGR75X69X06-90D</t>
  </si>
  <si>
    <t>HYPINSFMMFGR75X72X06-90D</t>
  </si>
  <si>
    <t>HYPINSFMMFGR78X30X06-90D</t>
  </si>
  <si>
    <t>HYPINSFMMFGR78X33X06-90D</t>
  </si>
  <si>
    <t>HYPINSFMMFGR78X36X06-90D</t>
  </si>
  <si>
    <t>HYPINSFMMFGR78X39X06-90D</t>
  </si>
  <si>
    <t>HYPINSFMMFGR78X42X06-90D</t>
  </si>
  <si>
    <t>HYPINSFMMFGR78X45X06-90D</t>
  </si>
  <si>
    <t>HYPINSFMMFGR78X48X06-90D</t>
  </si>
  <si>
    <t>HYPINSFMMFGR78X51X06-90D</t>
  </si>
  <si>
    <t>HYPINSFMMFGR78X54X06-90D</t>
  </si>
  <si>
    <t>HYPINSFMMFGR78X57X06-90D</t>
  </si>
  <si>
    <t>HYPINSFMMFGR78X60X06-90D</t>
  </si>
  <si>
    <t>HYPINSFMMFGR78X63X06-90D</t>
  </si>
  <si>
    <t>HYPINSFMMFGR78X66X06-90D</t>
  </si>
  <si>
    <t>HYPINSFMMFGR78X69X06-90D</t>
  </si>
  <si>
    <t>HYPINSFMMFGR78X72X06-90D</t>
  </si>
  <si>
    <t>HYPINSFMMFGR80X30X06-90D</t>
  </si>
  <si>
    <t>HYPINSFMMFGR80X33X06-90D</t>
  </si>
  <si>
    <t>HYPINSFMMFGR80X36X06-90D</t>
  </si>
  <si>
    <t>HYPINSFMMFGR80X39X06-90D</t>
  </si>
  <si>
    <t>HYPINSFMMFGR80X42X06-90D</t>
  </si>
  <si>
    <t>HYPINSFMMFGR80X45X06-90D</t>
  </si>
  <si>
    <t>HYPINSFMMFGR80X48X06-90D</t>
  </si>
  <si>
    <t>HYPINSFMMFGR80X51X06-90D</t>
  </si>
  <si>
    <t>HYPINSFMMFGR80X54X06-90D</t>
  </si>
  <si>
    <t>HYPINSFMMFGR80X57X06-90D</t>
  </si>
  <si>
    <t>HYPINSFMMFGR80X60X06-90D</t>
  </si>
  <si>
    <t>HYPINSFMMFGR80X63X06-90D</t>
  </si>
  <si>
    <t>HYPINSFMMFGR80X66X06-90D</t>
  </si>
  <si>
    <t>HYPINSFMMFGR80X69X06-90D</t>
  </si>
  <si>
    <t>HYPINSFMMFGR80X72X06-90D</t>
  </si>
  <si>
    <t>HYPINSFMMFGR84X30X06-90D</t>
  </si>
  <si>
    <t>HYPINSFMMFGR84X33X06-90D</t>
  </si>
  <si>
    <t>HYPINSFMMFGR84X36X06-90D</t>
  </si>
  <si>
    <t>HYPINSFMMFGR84X39X06-90D</t>
  </si>
  <si>
    <t>HYPINSFMMFGR84X42X06-90D</t>
  </si>
  <si>
    <t>HYPINSFMMFGR84X45X06-90D</t>
  </si>
  <si>
    <t>HYPINSFMMFGR84X48X06-90D</t>
  </si>
  <si>
    <t>HYPINSFMMFGR84X51X06-90D</t>
  </si>
  <si>
    <t>HYPINSFMMFGR84X54X06-90D</t>
  </si>
  <si>
    <t>HYPINSFMMFGR84X57X06-90D</t>
  </si>
  <si>
    <t>HYPINSFMMFGR84X60X06-90D</t>
  </si>
  <si>
    <t>HYPINSFMMFGR84X63X06-90D</t>
  </si>
  <si>
    <t>HYPINSFMMFGR84X66X06-90D</t>
  </si>
  <si>
    <t>HYPINSFMMFGR84X69X06-90D</t>
  </si>
  <si>
    <t>HYPINSFMMFGR84X72X06-90D</t>
  </si>
  <si>
    <t>HYPINSFMMFGR72X30X08-90D</t>
  </si>
  <si>
    <t>HYPINSFMMFGR72X33X08-90D</t>
  </si>
  <si>
    <t>HYPINSFMMFGR72X36X08-90D</t>
  </si>
  <si>
    <t>HYPINSFMMFGR72X39X08-90D</t>
  </si>
  <si>
    <t>HYPINSFMMFGR72X42X08-90D</t>
  </si>
  <si>
    <t>HYPINSFMMFGR72X45X08-90D</t>
  </si>
  <si>
    <t>HYPINSFMMFGR72X48X08-90D</t>
  </si>
  <si>
    <t>HYPINSFMMFGR72X51X08-90D</t>
  </si>
  <si>
    <t>HYPINSFMMFGR72X54X08-90D</t>
  </si>
  <si>
    <t>HYPINSFMMFGR72X57X08-90D</t>
  </si>
  <si>
    <t>HYPINSFMMFGR72X60X08-90D</t>
  </si>
  <si>
    <t>HYPINSFMMFGR72X63X08-90D</t>
  </si>
  <si>
    <t>HYPINSFMMFGR72X66X08-90D</t>
  </si>
  <si>
    <t>HYPINSFMMFGR72X69X08-90D</t>
  </si>
  <si>
    <t>HYPINSFMMFGR72X72X08-90D</t>
  </si>
  <si>
    <t>HYPINSFMMFGR75X30X08-90D</t>
  </si>
  <si>
    <t>HYPINSFMMFGR75X33X08-90D</t>
  </si>
  <si>
    <t>HYPINSFMMFGR75X36X08-90D</t>
  </si>
  <si>
    <t>HYPINSFMMFGR75X39X08-90D</t>
  </si>
  <si>
    <t>HYPINSFMMFGR75X42X08-90D</t>
  </si>
  <si>
    <t>HYPINSFMMFGR75X45X08-90D</t>
  </si>
  <si>
    <t>HYPINSFMMFGR75X48X08-90D</t>
  </si>
  <si>
    <t>HYPINSFMMFGR75X51X08-90D</t>
  </si>
  <si>
    <t>HYPINSFMMFGR75X54X08-90D</t>
  </si>
  <si>
    <t>HYPINSFMMFGR75X57X08-90D</t>
  </si>
  <si>
    <t>HYPINSFMMFGR75X60X08-90D</t>
  </si>
  <si>
    <t>HYPINSFMMFGR75X63X08-90D</t>
  </si>
  <si>
    <t>HYPINSFMMFGR75X66X08-90D</t>
  </si>
  <si>
    <t>HYPINSFMMFGR75X69X08-90D</t>
  </si>
  <si>
    <t>HYPINSFMMFGR75X72X08-90D</t>
  </si>
  <si>
    <t>HYPINSFMMFGR78X30X08-90D</t>
  </si>
  <si>
    <t>HYPINSFMMFGR78X33X08-90D</t>
  </si>
  <si>
    <t>HYPINSFMMFGR78X36X08-90D</t>
  </si>
  <si>
    <t>HYPINSFMMFGR78X39X08-90D</t>
  </si>
  <si>
    <t>HYPINSFMMFGR78X42X08-90D</t>
  </si>
  <si>
    <t>HYPINSFMMFGR78X45X08-90D</t>
  </si>
  <si>
    <t>HYPINSFMMFGR78X48X08-90D</t>
  </si>
  <si>
    <t>HYPINSFMMFGR78X51X08-90D</t>
  </si>
  <si>
    <t>HYPINSFMMFGR78X54X08-90D</t>
  </si>
  <si>
    <t>HYPINSFMMFGR78X57X08-90D</t>
  </si>
  <si>
    <t>HYPINSFMMFGR78X60X08-90D</t>
  </si>
  <si>
    <t>HYPINSFMMFGR78X63X08-90D</t>
  </si>
  <si>
    <t>HYPINSFMMFGR78X66X08-90D</t>
  </si>
  <si>
    <t>HYPINSFMMFGR78X69X08-90D</t>
  </si>
  <si>
    <t>HYPINSFMMFGR78X72X08-90D</t>
  </si>
  <si>
    <t>HYPINSFMMFGR80X30X08-90D</t>
  </si>
  <si>
    <t>HYPINSFMMFGR80X33X08-90D</t>
  </si>
  <si>
    <t>HYPINSFMMFGR80X36X08-90D</t>
  </si>
  <si>
    <t>HYPINSFMMFGR80X39X08-90D</t>
  </si>
  <si>
    <t>HYPINSFMMFGR80X42X08-90D</t>
  </si>
  <si>
    <t>HYPINSFMMFGR80X45X08-90D</t>
  </si>
  <si>
    <t>HYPINSFMMFGR80X48X08-90D</t>
  </si>
  <si>
    <t>HYPINSFMMFGR80X51X08-90D</t>
  </si>
  <si>
    <t>HYPINSFMMFGR80X54X08-90D</t>
  </si>
  <si>
    <t>HYPINSFMMFGR80X57X08-90D</t>
  </si>
  <si>
    <t>HYPINSFMMFGR80X60X08-90D</t>
  </si>
  <si>
    <t>HYPINSFMMFGR80X63X08-90D</t>
  </si>
  <si>
    <t>HYPINSFMMFGR80X66X08-90D</t>
  </si>
  <si>
    <t>HYPINSFMMFGR80X69X08-90D</t>
  </si>
  <si>
    <t>HYPINSFMMFGR80X72X08-90D</t>
  </si>
  <si>
    <t>HYPINSFMMFGR84X30X08-90D</t>
  </si>
  <si>
    <t>HYPINSFMMFGR84X33X08-90D</t>
  </si>
  <si>
    <t>HYPINSFMMFGR84X36X08-90D</t>
  </si>
  <si>
    <t>HYPINSFMMFGR84X39X08-90D</t>
  </si>
  <si>
    <t>HYPINSFMMFGR84X42X08-90D</t>
  </si>
  <si>
    <t>HYPINSFMMFGR84X45X08-90D</t>
  </si>
  <si>
    <t>HYPINSFMMFGR84X48X08-90D</t>
  </si>
  <si>
    <t>HYPINSFMMFGR84X51X08-90D</t>
  </si>
  <si>
    <t>HYPINSFMMFGR84X54X08-90D</t>
  </si>
  <si>
    <t>HYPINSFMMFGR84X57X08-90D</t>
  </si>
  <si>
    <t>HYPINSFMMFGR84X60X08-90D</t>
  </si>
  <si>
    <t>HYPINSFMMFGR84X63X08-90D</t>
  </si>
  <si>
    <t>HYPINSFMMFGR84X66X08-90D</t>
  </si>
  <si>
    <t>HYPINSFMMFGR84X69X08-90D</t>
  </si>
  <si>
    <t>HYPINSFMMFGR84X72X08-90D</t>
  </si>
  <si>
    <t>HYPINSFMMFETBL72X30X05-90D</t>
  </si>
  <si>
    <t>HYPINSFMMFETBL72X33X05-90D</t>
  </si>
  <si>
    <t>HYPINSFMMFETBL72X36X05-90D</t>
  </si>
  <si>
    <t>HYPINSFMMFETBL72X39X05-90D</t>
  </si>
  <si>
    <t>HYPINSFMMFETBL72X42X05-90D</t>
  </si>
  <si>
    <t>HYPINSFMMFETBL72X45X05-90D</t>
  </si>
  <si>
    <t>HYPINSFMMFETBL72X48X05-90D</t>
  </si>
  <si>
    <t>HYPINSFMMFETBL72X51X05-90D</t>
  </si>
  <si>
    <t>HYPINSFMMFETBL72X54X05-90D</t>
  </si>
  <si>
    <t>HYPINSFMMFETBL72X57X05-90D</t>
  </si>
  <si>
    <t>HYPINSFMMFETBL72X60X05-90D</t>
  </si>
  <si>
    <t>HYPINSFMMFETBL72X63X05-90D</t>
  </si>
  <si>
    <t>HYPINSFMMFETBL72X66X05-90D</t>
  </si>
  <si>
    <t>HYPINSFMMFETBL72X69X05-90D</t>
  </si>
  <si>
    <t>HYPINSFMMFETBL72X72X05-90D</t>
  </si>
  <si>
    <t>HYPINSFMMFETBL75X30X05-90D</t>
  </si>
  <si>
    <t>HYPINSFMMFETBL75X33X05-90D</t>
  </si>
  <si>
    <t>HYPINSFMMFETBL75X36X05-90D</t>
  </si>
  <si>
    <t>HYPINSFMMFETBL75X39X05-90D</t>
  </si>
  <si>
    <t>HYPINSFMMFETBL75X42X05-90D</t>
  </si>
  <si>
    <t>HYPINSFMMFETBL75X45X05-90D</t>
  </si>
  <si>
    <t>HYPINSFMMFETBL75X48X05-90D</t>
  </si>
  <si>
    <t>HYPINSFMMFETBL75X51X05-90D</t>
  </si>
  <si>
    <t>HYPINSFMMFETBL75X54X05-90D</t>
  </si>
  <si>
    <t>HYPINSFMMFETBL75X57X05-90D</t>
  </si>
  <si>
    <t>HYPINSFMMFETBL75X60X05-90D</t>
  </si>
  <si>
    <t>HYPINSFMMFETBL75X63X05-90D</t>
  </si>
  <si>
    <t>HYPINSFMMFETBL75X66X05-90D</t>
  </si>
  <si>
    <t>HYPINSFMMFETBL75X69X05-90D</t>
  </si>
  <si>
    <t>HYPINSFMMFETBL75X72X05-90D</t>
  </si>
  <si>
    <t>HYPINSFMMFETBL78X30X05-90D</t>
  </si>
  <si>
    <t>HYPINSFMMFETBL78X33X05-90D</t>
  </si>
  <si>
    <t>HYPINSFMMFETBL78X36X05-90D</t>
  </si>
  <si>
    <t>HYPINSFMMFETBL78X39X05-90D</t>
  </si>
  <si>
    <t>HYPINSFMMFETBL78X42X05-90D</t>
  </si>
  <si>
    <t>HYPINSFMMFETBL78X45X05-90D</t>
  </si>
  <si>
    <t>HYPINSFMMFETBL78X48X05-90D</t>
  </si>
  <si>
    <t>HYPINSFMMFETBL78X51X05-90D</t>
  </si>
  <si>
    <t>HYPINSFMMFETBL78X54X05-90D</t>
  </si>
  <si>
    <t>HYPINSFMMFETBL78X57X05-90D</t>
  </si>
  <si>
    <t>HYPINSFMMFETBL78X60X05-90D</t>
  </si>
  <si>
    <t>HYPINSFMMFETBL78X63X05-90D</t>
  </si>
  <si>
    <t>HYPINSFMMFETBL78X66X05-90D</t>
  </si>
  <si>
    <t>HYPINSFMMFETBL78X69X05-90D</t>
  </si>
  <si>
    <t>HYPINSFMMFETBL78X72X05-90D</t>
  </si>
  <si>
    <t>HYPINSFMMFETBL80X30X05-90D</t>
  </si>
  <si>
    <t>HYPINSFMMFETBL80X33X05-90D</t>
  </si>
  <si>
    <t>HYPINSFMMFETBL80X36X05-90D</t>
  </si>
  <si>
    <t>HYPINSFMMFETBL80X39X05-90D</t>
  </si>
  <si>
    <t>HYPINSFMMFETBL80X42X05-90D</t>
  </si>
  <si>
    <t>HYPINSFMMFETBL80X45X05-90D</t>
  </si>
  <si>
    <t>HYPINSFMMFETBL80X48X05-90D</t>
  </si>
  <si>
    <t>HYPINSFMMFETBL80X51X05-90D</t>
  </si>
  <si>
    <t>HYPINSFMMFETBL80X54X05-90D</t>
  </si>
  <si>
    <t>HYPINSFMMFETBL80X57X05-90D</t>
  </si>
  <si>
    <t>HYPINSFMMFETBL80X60X05-90D</t>
  </si>
  <si>
    <t>HYPINSFMMFETBL80X63X05-90D</t>
  </si>
  <si>
    <t>HYPINSFMMFETBL80X66X05-90D</t>
  </si>
  <si>
    <t>HYPINSFMMFETBL80X69X05-90D</t>
  </si>
  <si>
    <t>HYPINSFMMFETBL80X72X05-90D</t>
  </si>
  <si>
    <t>HYPINSFMMFETBL84X30X05-90D</t>
  </si>
  <si>
    <t>HYPINSFMMFETBL84X33X05-90D</t>
  </si>
  <si>
    <t>HYPINSFMMFETBL84X36X05-90D</t>
  </si>
  <si>
    <t>HYPINSFMMFETBL84X39X05-90D</t>
  </si>
  <si>
    <t>HYPINSFMMFETBL84X42X05-90D</t>
  </si>
  <si>
    <t>HYPINSFMMFETBL84X45X05-90D</t>
  </si>
  <si>
    <t>HYPINSFMMFETBL84X48X05-90D</t>
  </si>
  <si>
    <t>HYPINSFMMFETBL84X51X05-90D</t>
  </si>
  <si>
    <t>HYPINSFMMFETBL84X54X05-90D</t>
  </si>
  <si>
    <t>HYPINSFMMFETBL84X57X05-90D</t>
  </si>
  <si>
    <t>HYPINSFMMFETBL84X60X05-90D</t>
  </si>
  <si>
    <t>HYPINSFMMFETBL84X63X05-90D</t>
  </si>
  <si>
    <t>HYPINSFMMFETBL84X66X05-90D</t>
  </si>
  <si>
    <t>HYPINSFMMFETBL84X69X05-90D</t>
  </si>
  <si>
    <t>HYPINSFMMFETBL84X72X05-90D</t>
  </si>
  <si>
    <t>HYPINSFMMFETBL72X30X06-90D</t>
  </si>
  <si>
    <t>HYPINSFMMFETBL72X33X06-90D</t>
  </si>
  <si>
    <t>HYPINSFMMFETBL72X36X06-90D</t>
  </si>
  <si>
    <t>HYPINSFMMFETBL72X39X06-90D</t>
  </si>
  <si>
    <t>HYPINSFMMFETBL72X42X06-90D</t>
  </si>
  <si>
    <t>HYPINSFMMFETBL72X45X06-90D</t>
  </si>
  <si>
    <t>HYPINSFMMFETBL72X48X06-90D</t>
  </si>
  <si>
    <t>HYPINSFMMFETBL72X51X06-90D</t>
  </si>
  <si>
    <t>HYPINSFMMFETBL72X54X06-90D</t>
  </si>
  <si>
    <t>HYPINSFMMFETBL72X57X06-90D</t>
  </si>
  <si>
    <t>HYPINSFMMFETBL72X60X06-90D</t>
  </si>
  <si>
    <t>HYPINSFMMFETBL72X63X06-90D</t>
  </si>
  <si>
    <t>HYPINSFMMFETBL72X66X06-90D</t>
  </si>
  <si>
    <t>HYPINSFMMFETBL72X69X06-90D</t>
  </si>
  <si>
    <t>HYPINSFMMFETBL72X72X06-90D</t>
  </si>
  <si>
    <t>HYPINSFMMFETBL75X30X06-90D</t>
  </si>
  <si>
    <t>HYPINSFMMFETBL75X33X06-90D</t>
  </si>
  <si>
    <t>HYPINSFMMFETBL75X36X06-90D</t>
  </si>
  <si>
    <t>HYPINSFMMFETBL75X39X06-90D</t>
  </si>
  <si>
    <t>HYPINSFMMFETBL75X42X06-90D</t>
  </si>
  <si>
    <t>HYPINSFMMFETBL75X45X06-90D</t>
  </si>
  <si>
    <t>HYPINSFMMFETBL75X48X06-90D</t>
  </si>
  <si>
    <t>HYPINSFMMFETBL75X51X06-90D</t>
  </si>
  <si>
    <t>HYPINSFMMFETBL75X54X06-90D</t>
  </si>
  <si>
    <t>HYPINSFMMFETBL75X57X06-90D</t>
  </si>
  <si>
    <t>HYPINSFMMFETBL75X60X06-90D</t>
  </si>
  <si>
    <t>HYPINSFMMFETBL75X63X06-90D</t>
  </si>
  <si>
    <t>HYPINSFMMFETBL75X66X06-90D</t>
  </si>
  <si>
    <t>HYPINSFMMFETBL75X69X06-90D</t>
  </si>
  <si>
    <t>HYPINSFMMFETBL75X72X06-90D</t>
  </si>
  <si>
    <t>HYPINSFMMFETBL78X30X06-90D</t>
  </si>
  <si>
    <t>HYPINSFMMFETBL78X33X06-90D</t>
  </si>
  <si>
    <t>HYPINSFMMFETBL78X36X06-90D</t>
  </si>
  <si>
    <t>HYPINSFMMFETBL78X39X06-90D</t>
  </si>
  <si>
    <t>HYPINSFMMFETBL78X42X06-90D</t>
  </si>
  <si>
    <t>HYPINSFMMFETBL78X45X06-90D</t>
  </si>
  <si>
    <t>HYPINSFMMFETBL78X48X06-90D</t>
  </si>
  <si>
    <t>HYPINSFMMFETBL78X51X06-90D</t>
  </si>
  <si>
    <t>HYPINSFMMFETBL78X54X06-90D</t>
  </si>
  <si>
    <t>HYPINSFMMFETBL78X57X06-90D</t>
  </si>
  <si>
    <t>HYPINSFMMFETBL78X60X06-90D</t>
  </si>
  <si>
    <t>HYPINSFMMFETBL78X63X06-90D</t>
  </si>
  <si>
    <t>HYPINSFMMFETBL78X66X06-90D</t>
  </si>
  <si>
    <t>HYPINSFMMFETBL78X69X06-90D</t>
  </si>
  <si>
    <t>HYPINSFMMFETBL78X72X06-90D</t>
  </si>
  <si>
    <t>HYPINSFMMFETBL80X30X06-90D</t>
  </si>
  <si>
    <t>HYPINSFMMFETBL80X33X06-90D</t>
  </si>
  <si>
    <t>HYPINSFMMFETBL80X36X06-90D</t>
  </si>
  <si>
    <t>HYPINSFMMFETBL80X39X06-90D</t>
  </si>
  <si>
    <t>HYPINSFMMFETBL80X42X06-90D</t>
  </si>
  <si>
    <t>HYPINSFMMFETBL80X45X06-90D</t>
  </si>
  <si>
    <t>HYPINSFMMFETBL80X48X06-90D</t>
  </si>
  <si>
    <t>HYPINSFMMFETBL80X51X06-90D</t>
  </si>
  <si>
    <t>HYPINSFMMFETBL80X54X06-90D</t>
  </si>
  <si>
    <t>HYPINSFMMFETBL80X57X06-90D</t>
  </si>
  <si>
    <t>HYPINSFMMFETBL80X60X06-90D</t>
  </si>
  <si>
    <t>HYPINSFMMFETBL80X63X06-90D</t>
  </si>
  <si>
    <t>HYPINSFMMFETBL80X66X06-90D</t>
  </si>
  <si>
    <t>HYPINSFMMFETBL80X69X06-90D</t>
  </si>
  <si>
    <t>HYPINSFMMFETBL80X72X06-90D</t>
  </si>
  <si>
    <t>HYPINSFMMFETBL84X30X06-90D</t>
  </si>
  <si>
    <t>HYPINSFMMFETBL84X33X06-90D</t>
  </si>
  <si>
    <t>HYPINSFMMFETBL84X36X06-90D</t>
  </si>
  <si>
    <t>HYPINSFMMFETBL84X39X06-90D</t>
  </si>
  <si>
    <t>HYPINSFMMFETBL84X42X06-90D</t>
  </si>
  <si>
    <t>HYPINSFMMFETBL84X45X06-90D</t>
  </si>
  <si>
    <t>HYPINSFMMFETBL84X48X06-90D</t>
  </si>
  <si>
    <t>HYPINSFMMFETBL84X51X06-90D</t>
  </si>
  <si>
    <t>HYPINSFMMFETBL84X54X06-90D</t>
  </si>
  <si>
    <t>HYPINSFMMFETBL84X57X06-90D</t>
  </si>
  <si>
    <t>HYPINSFMMFETBL84X60X06-90D</t>
  </si>
  <si>
    <t>HYPINSFMMFETBL84X63X06-90D</t>
  </si>
  <si>
    <t>HYPINSFMMFETBL84X66X06-90D</t>
  </si>
  <si>
    <t>HYPINSFMMFETBL84X69X06-90D</t>
  </si>
  <si>
    <t>HYPINSFMMFETBL84X72X06-90D</t>
  </si>
  <si>
    <t>HYPINSFMMFETBL72X30X08-90D</t>
  </si>
  <si>
    <t>HYPINSFMMFETBL72X33X08-90D</t>
  </si>
  <si>
    <t>HYPINSFMMFETBL72X36X08-90D</t>
  </si>
  <si>
    <t>HYPINSFMMFETBL72X39X08-90D</t>
  </si>
  <si>
    <t>HYPINSFMMFETBL72X42X08-90D</t>
  </si>
  <si>
    <t>HYPINSFMMFETBL72X45X08-90D</t>
  </si>
  <si>
    <t>HYPINSFMMFETBL72X48X08-90D</t>
  </si>
  <si>
    <t>HYPINSFMMFETBL72X51X08-90D</t>
  </si>
  <si>
    <t>HYPINSFMMFETBL72X54X08-90D</t>
  </si>
  <si>
    <t>HYPINSFMMFETBL72X57X08-90D</t>
  </si>
  <si>
    <t>HYPINSFMMFETBL72X60X08-90D</t>
  </si>
  <si>
    <t>HYPINSFMMFETBL72X63X08-90D</t>
  </si>
  <si>
    <t>HYPINSFMMFETBL72X66X08-90D</t>
  </si>
  <si>
    <t>HYPINSFMMFETBL72X69X08-90D</t>
  </si>
  <si>
    <t>HYPINSFMMFETBL72X72X08-90D</t>
  </si>
  <si>
    <t>HYPINSFMMFETBL75X30X08-90D</t>
  </si>
  <si>
    <t>HYPINSFMMFETBL75X33X08-90D</t>
  </si>
  <si>
    <t>HYPINSFMMFETBL75X36X08-90D</t>
  </si>
  <si>
    <t>HYPINSFMMFETBL75X39X08-90D</t>
  </si>
  <si>
    <t>HYPINSFMMFETBL75X42X08-90D</t>
  </si>
  <si>
    <t>HYPINSFMMFETBL75X45X08-90D</t>
  </si>
  <si>
    <t>HYPINSFMMFETBL75X48X08-90D</t>
  </si>
  <si>
    <t>HYPINSFMMFETBL75X51X08-90D</t>
  </si>
  <si>
    <t>HYPINSFMMFETBL75X54X08-90D</t>
  </si>
  <si>
    <t>HYPINSFMMFETBL75X57X08-90D</t>
  </si>
  <si>
    <t>HYPINSFMMFETBL75X60X08-90D</t>
  </si>
  <si>
    <t>HYPINSFMMFETBL75X63X08-90D</t>
  </si>
  <si>
    <t>HYPINSFMMFETBL75X66X08-90D</t>
  </si>
  <si>
    <t>HYPINSFMMFETBL75X69X08-90D</t>
  </si>
  <si>
    <t>HYPINSFMMFETBL75X72X08-90D</t>
  </si>
  <si>
    <t>HYPINSFMMFETBL78X30X08-90D</t>
  </si>
  <si>
    <t>HYPINSFMMFETBL78X33X08-90D</t>
  </si>
  <si>
    <t>HYPINSFMMFETBL78X36X08-90D</t>
  </si>
  <si>
    <t>HYPINSFMMFETBL78X39X08-90D</t>
  </si>
  <si>
    <t>HYPINSFMMFETBL78X42X08-90D</t>
  </si>
  <si>
    <t>HYPINSFMMFETBL78X45X08-90D</t>
  </si>
  <si>
    <t>HYPINSFMMFETBL78X48X08-90D</t>
  </si>
  <si>
    <t>HYPINSFMMFETBL78X51X08-90D</t>
  </si>
  <si>
    <t>HYPINSFMMFETBL78X54X08-90D</t>
  </si>
  <si>
    <t>HYPINSFMMFETBL78X57X08-90D</t>
  </si>
  <si>
    <t>HYPINSFMMFETBL78X60X08-90D</t>
  </si>
  <si>
    <t>HYPINSFMMFETBL78X63X08-90D</t>
  </si>
  <si>
    <t>HYPINSFMMFETBL78X66X08-90D</t>
  </si>
  <si>
    <t>HYPINSFMMFETBL78X69X08-90D</t>
  </si>
  <si>
    <t>HYPINSFMMFETBL78X72X08-90D</t>
  </si>
  <si>
    <t>HYPINSFMMFETBL80X30X08-90D</t>
  </si>
  <si>
    <t>HYPINSFMMFETBL80X33X08-90D</t>
  </si>
  <si>
    <t>HYPINSFMMFETBL80X36X08-90D</t>
  </si>
  <si>
    <t>HYPINSFMMFETBL80X39X08-90D</t>
  </si>
  <si>
    <t>HYPINSFMMFETBL80X42X08-90D</t>
  </si>
  <si>
    <t>HYPINSFMMFETBL80X45X08-90D</t>
  </si>
  <si>
    <t>HYPINSFMMFETBL80X48X08-90D</t>
  </si>
  <si>
    <t>HYPINSFMMFETBL80X51X08-90D</t>
  </si>
  <si>
    <t>HYPINSFMMFETBL80X54X08-90D</t>
  </si>
  <si>
    <t>HYPINSFMMFETBL80X57X08-90D</t>
  </si>
  <si>
    <t>HYPINSFMMFETBL80X60X08-90D</t>
  </si>
  <si>
    <t>HYPINSFMMFETBL80X63X08-90D</t>
  </si>
  <si>
    <t>HYPINSFMMFETBL80X66X08-90D</t>
  </si>
  <si>
    <t>HYPINSFMMFETBL80X69X08-90D</t>
  </si>
  <si>
    <t>HYPINSFMMFETBL80X72X08-90D</t>
  </si>
  <si>
    <t>HYPINSFMMFETBL84X30X08-90D</t>
  </si>
  <si>
    <t>HYPINSFMMFETBL84X33X08-90D</t>
  </si>
  <si>
    <t>HYPINSFMMFETBL84X36X08-90D</t>
  </si>
  <si>
    <t>HYPINSFMMFETBL84X39X08-90D</t>
  </si>
  <si>
    <t>HYPINSFMMFETBL84X42X08-90D</t>
  </si>
  <si>
    <t>HYPINSFMMFETBL84X45X08-90D</t>
  </si>
  <si>
    <t>HYPINSFMMFETBL84X48X08-90D</t>
  </si>
  <si>
    <t>HYPINSFMMFETBL84X51X08-90D</t>
  </si>
  <si>
    <t>HYPINSFMMFETBL84X54X08-90D</t>
  </si>
  <si>
    <t>HYPINSFMMFETBL84X57X08-90D</t>
  </si>
  <si>
    <t>HYPINSFMMFETBL84X60X08-90D</t>
  </si>
  <si>
    <t>HYPINSFMMFETBL84X63X08-90D</t>
  </si>
  <si>
    <t>HYPINSFMMFETBL84X66X08-90D</t>
  </si>
  <si>
    <t>HYPINSFMMFETBL84X69X08-90D</t>
  </si>
  <si>
    <t>HYPINSFMMFETBL84X72X08-90D</t>
  </si>
  <si>
    <t>HYPINSFMMFETGR72X30X05-90D</t>
  </si>
  <si>
    <t>HYPINSFMMFETGR72X33X05-90D</t>
  </si>
  <si>
    <t>HYPINSFMMFETGR72X36X05-90D</t>
  </si>
  <si>
    <t>HYPINSFMMFETGR72X39X05-90D</t>
  </si>
  <si>
    <t>HYPINSFMMFETGR72X42X05-90D</t>
  </si>
  <si>
    <t>HYPINSFMMFETGR72X45X05-90D</t>
  </si>
  <si>
    <t>HYPINSFMMFETGR72X48X05-90D</t>
  </si>
  <si>
    <t>HYPINSFMMFETGR72X51X05-90D</t>
  </si>
  <si>
    <t>HYPINSFMMFETGR72X54X05-90D</t>
  </si>
  <si>
    <t>HYPINSFMMFETGR72X57X05-90D</t>
  </si>
  <si>
    <t>HYPINSFMMFETGR72X60X05-90D</t>
  </si>
  <si>
    <t>HYPINSFMMFETGR72X63X05-90D</t>
  </si>
  <si>
    <t>HYPINSFMMFETGR72X66X05-90D</t>
  </si>
  <si>
    <t>HYPINSFMMFETGR72X69X05-90D</t>
  </si>
  <si>
    <t>HYPINSFMMFETGR72X72X05-90D</t>
  </si>
  <si>
    <t>HYPINSFMMFETGR75X30X05-90D</t>
  </si>
  <si>
    <t>HYPINSFMMFETGR75X33X05-90D</t>
  </si>
  <si>
    <t>HYPINSFMMFETGR75X36X05-90D</t>
  </si>
  <si>
    <t>HYPINSFMMFETGR75X39X05-90D</t>
  </si>
  <si>
    <t>HYPINSFMMFETGR75X42X05-90D</t>
  </si>
  <si>
    <t>HYPINSFMMFETGR75X45X05-90D</t>
  </si>
  <si>
    <t>HYPINSFMMFETGR75X48X05-90D</t>
  </si>
  <si>
    <t>HYPINSFMMFETGR75X51X05-90D</t>
  </si>
  <si>
    <t>HYPINSFMMFETGR75X54X05-90D</t>
  </si>
  <si>
    <t>HYPINSFMMFETGR75X57X05-90D</t>
  </si>
  <si>
    <t>HYPINSFMMFETGR75X60X05-90D</t>
  </si>
  <si>
    <t>HYPINSFMMFETGR75X63X05-90D</t>
  </si>
  <si>
    <t>HYPINSFMMFETGR75X66X05-90D</t>
  </si>
  <si>
    <t>HYPINSFMMFETGR75X69X05-90D</t>
  </si>
  <si>
    <t>HYPINSFMMFETGR75X72X05-90D</t>
  </si>
  <si>
    <t>HYPINSFMMFETGR78X30X05-90D</t>
  </si>
  <si>
    <t>HYPINSFMMFETGR78X33X05-90D</t>
  </si>
  <si>
    <t>HYPINSFMMFETGR78X36X05-90D</t>
  </si>
  <si>
    <t>HYPINSFMMFETGR78X39X05-90D</t>
  </si>
  <si>
    <t>HYPINSFMMFETGR78X42X05-90D</t>
  </si>
  <si>
    <t>HYPINSFMMFETGR78X45X05-90D</t>
  </si>
  <si>
    <t>HYPINSFMMFETGR78X48X05-90D</t>
  </si>
  <si>
    <t>HYPINSFMMFETGR78X51X05-90D</t>
  </si>
  <si>
    <t>HYPINSFMMFETGR78X54X05-90D</t>
  </si>
  <si>
    <t>HYPINSFMMFETGR78X57X05-90D</t>
  </si>
  <si>
    <t>HYPINSFMMFETGR78X60X05-90D</t>
  </si>
  <si>
    <t>HYPINSFMMFETGR78X63X05-90D</t>
  </si>
  <si>
    <t>HYPINSFMMFETGR78X66X05-90D</t>
  </si>
  <si>
    <t>HYPINSFMMFETGR78X69X05-90D</t>
  </si>
  <si>
    <t>HYPINSFMMFETGR78X72X05-90D</t>
  </si>
  <si>
    <t>HYPINSFMMFETGR80X30X05-90D</t>
  </si>
  <si>
    <t>HYPINSFMMFETGR80X33X05-90D</t>
  </si>
  <si>
    <t>HYPINSFMMFETGR80X36X05-90D</t>
  </si>
  <si>
    <t>HYPINSFMMFETGR80X39X05-90D</t>
  </si>
  <si>
    <t>HYPINSFMMFETGR80X42X05-90D</t>
  </si>
  <si>
    <t>HYPINSFMMFETGR80X45X05-90D</t>
  </si>
  <si>
    <t>HYPINSFMMFETGR80X48X05-90D</t>
  </si>
  <si>
    <t>HYPINSFMMFETGR80X51X05-90D</t>
  </si>
  <si>
    <t>HYPINSFMMFETGR80X54X05-90D</t>
  </si>
  <si>
    <t>HYPINSFMMFETGR80X57X05-90D</t>
  </si>
  <si>
    <t>HYPINSFMMFETGR80X60X05-90D</t>
  </si>
  <si>
    <t>HYPINSFMMFETGR80X63X05-90D</t>
  </si>
  <si>
    <t>HYPINSFMMFETGR80X66X05-90D</t>
  </si>
  <si>
    <t>HYPINSFMMFETGR80X69X05-90D</t>
  </si>
  <si>
    <t>HYPINSFMMFETGR80X72X05-90D</t>
  </si>
  <si>
    <t>HYPINSFMMFETGR84X30X05-90D</t>
  </si>
  <si>
    <t>HYPINSFMMFETGR84X33X05-90D</t>
  </si>
  <si>
    <t>HYPINSFMMFETGR84X36X05-90D</t>
  </si>
  <si>
    <t>HYPINSFMMFETGR84X39X05-90D</t>
  </si>
  <si>
    <t>HYPINSFMMFETGR84X42X05-90D</t>
  </si>
  <si>
    <t>HYPINSFMMFETGR84X45X05-90D</t>
  </si>
  <si>
    <t>HYPINSFMMFETGR84X48X05-90D</t>
  </si>
  <si>
    <t>HYPINSFMMFETGR84X51X05-90D</t>
  </si>
  <si>
    <t>HYPINSFMMFETGR84X54X05-90D</t>
  </si>
  <si>
    <t>HYPINSFMMFETGR84X57X05-90D</t>
  </si>
  <si>
    <t>HYPINSFMMFETGR84X60X05-90D</t>
  </si>
  <si>
    <t>HYPINSFMMFETGR84X63X05-90D</t>
  </si>
  <si>
    <t>HYPINSFMMFETGR84X66X05-90D</t>
  </si>
  <si>
    <t>HYPINSFMMFETGR84X69X05-90D</t>
  </si>
  <si>
    <t>HYPINSFMMFETGR84X72X05-90D</t>
  </si>
  <si>
    <t>HYPINSFMMFETGR72X30X06-90D</t>
  </si>
  <si>
    <t>HYPINSFMMFETGR72X33X06-90D</t>
  </si>
  <si>
    <t>HYPINSFMMFETGR72X36X06-90D</t>
  </si>
  <si>
    <t>HYPINSFMMFETGR72X39X06-90D</t>
  </si>
  <si>
    <t>HYPINSFMMFETGR72X42X06-90D</t>
  </si>
  <si>
    <t>HYPINSFMMFETGR72X45X06-90D</t>
  </si>
  <si>
    <t>HYPINSFMMFETGR72X48X06-90D</t>
  </si>
  <si>
    <t>HYPINSFMMFETGR72X51X06-90D</t>
  </si>
  <si>
    <t>HYPINSFMMFETGR72X54X06-90D</t>
  </si>
  <si>
    <t>HYPINSFMMFETGR72X57X06-90D</t>
  </si>
  <si>
    <t>HYPINSFMMFETGR72X60X06-90D</t>
  </si>
  <si>
    <t>HYPINSFMMFETGR72X63X06-90D</t>
  </si>
  <si>
    <t>HYPINSFMMFETGR72X66X06-90D</t>
  </si>
  <si>
    <t>HYPINSFMMFETGR72X69X06-90D</t>
  </si>
  <si>
    <t>HYPINSFMMFETGR72X72X06-90D</t>
  </si>
  <si>
    <t>HYPINSFMMFETGR75X30X06-90D</t>
  </si>
  <si>
    <t>HYPINSFMMFETGR75X33X06-90D</t>
  </si>
  <si>
    <t>HYPINSFMMFETGR75X36X06-90D</t>
  </si>
  <si>
    <t>HYPINSFMMFETGR75X39X06-90D</t>
  </si>
  <si>
    <t>HYPINSFMMFETGR75X42X06-90D</t>
  </si>
  <si>
    <t>HYPINSFMMFETGR75X45X06-90D</t>
  </si>
  <si>
    <t>HYPINSFMMFETGR75X48X06-90D</t>
  </si>
  <si>
    <t>HYPINSFMMFETGR75X51X06-90D</t>
  </si>
  <si>
    <t>HYPINSFMMFETGR75X54X06-90D</t>
  </si>
  <si>
    <t>HYPINSFMMFETGR75X57X06-90D</t>
  </si>
  <si>
    <t>HYPINSFMMFETGR75X60X06-90D</t>
  </si>
  <si>
    <t>HYPINSFMMFETGR75X63X06-90D</t>
  </si>
  <si>
    <t>HYPINSFMMFETGR75X66X06-90D</t>
  </si>
  <si>
    <t>HYPINSFMMFETGR75X69X06-90D</t>
  </si>
  <si>
    <t>HYPINSFMMFETGR75X72X06-90D</t>
  </si>
  <si>
    <t>HYPINSFMMFETGR78X30X06-90D</t>
  </si>
  <si>
    <t>HYPINSFMMFETGR78X33X06-90D</t>
  </si>
  <si>
    <t>HYPINSFMMFETGR78X36X06-90D</t>
  </si>
  <si>
    <t>HYPINSFMMFETGR78X39X06-90D</t>
  </si>
  <si>
    <t>HYPINSFMMFETGR78X42X06-90D</t>
  </si>
  <si>
    <t>HYPINSFMMFETGR78X45X06-90D</t>
  </si>
  <si>
    <t>HYPINSFMMFETGR78X48X06-90D</t>
  </si>
  <si>
    <t>HYPINSFMMFETGR78X51X06-90D</t>
  </si>
  <si>
    <t>HYPINSFMMFETGR78X54X06-90D</t>
  </si>
  <si>
    <t>HYPINSFMMFETGR78X57X06-90D</t>
  </si>
  <si>
    <t>HYPINSFMMFETGR78X60X06-90D</t>
  </si>
  <si>
    <t>HYPINSFMMFETGR78X63X06-90D</t>
  </si>
  <si>
    <t>HYPINSFMMFETGR78X66X06-90D</t>
  </si>
  <si>
    <t>HYPINSFMMFETGR78X69X06-90D</t>
  </si>
  <si>
    <t>HYPINSFMMFETGR78X72X06-90D</t>
  </si>
  <si>
    <t>HYPINSFMMFETGR80X30X06-90D</t>
  </si>
  <si>
    <t>HYPINSFMMFETGR80X33X06-90D</t>
  </si>
  <si>
    <t>HYPINSFMMFETGR80X36X06-90D</t>
  </si>
  <si>
    <t>HYPINSFMMFETGR80X39X06-90D</t>
  </si>
  <si>
    <t>HYPINSFMMFETGR80X42X06-90D</t>
  </si>
  <si>
    <t>HYPINSFMMFETGR80X45X06-90D</t>
  </si>
  <si>
    <t>HYPINSFMMFETGR80X48X06-90D</t>
  </si>
  <si>
    <t>HYPINSFMMFETGR80X51X06-90D</t>
  </si>
  <si>
    <t>HYPINSFMMFETGR80X54X06-90D</t>
  </si>
  <si>
    <t>HYPINSFMMFETGR80X57X06-90D</t>
  </si>
  <si>
    <t>HYPINSFMMFETGR80X60X06-90D</t>
  </si>
  <si>
    <t>HYPINSFMMFETGR80X63X06-90D</t>
  </si>
  <si>
    <t>HYPINSFMMFETGR80X66X06-90D</t>
  </si>
  <si>
    <t>HYPINSFMMFETGR80X69X06-90D</t>
  </si>
  <si>
    <t>HYPINSFMMFETGR80X72X06-90D</t>
  </si>
  <si>
    <t>HYPINSFMMFETGR84X30X06-90D</t>
  </si>
  <si>
    <t>HYPINSFMMFETGR84X33X06-90D</t>
  </si>
  <si>
    <t>HYPINSFMMFETGR84X36X06-90D</t>
  </si>
  <si>
    <t>HYPINSFMMFETGR84X39X06-90D</t>
  </si>
  <si>
    <t>HYPINSFMMFETGR84X42X06-90D</t>
  </si>
  <si>
    <t>HYPINSFMMFETGR84X45X06-90D</t>
  </si>
  <si>
    <t>HYPINSFMMFETGR84X48X06-90D</t>
  </si>
  <si>
    <t>HYPINSFMMFETGR84X51X06-90D</t>
  </si>
  <si>
    <t>HYPINSFMMFETGR84X54X06-90D</t>
  </si>
  <si>
    <t>HYPINSFMMFETGR84X57X06-90D</t>
  </si>
  <si>
    <t>HYPINSFMMFETGR84X60X06-90D</t>
  </si>
  <si>
    <t>HYPINSFMMFETGR84X63X06-90D</t>
  </si>
  <si>
    <t>HYPINSFMMFETGR84X66X06-90D</t>
  </si>
  <si>
    <t>HYPINSFMMFETGR84X69X06-90D</t>
  </si>
  <si>
    <t>HYPINSFMMFETGR84X72X06-90D</t>
  </si>
  <si>
    <t>HYPINSFMMFETGR72X30X08-90D</t>
  </si>
  <si>
    <t>HYPINSFMMFETGR72X33X08-90D</t>
  </si>
  <si>
    <t>HYPINSFMMFETGR72X36X08-90D</t>
  </si>
  <si>
    <t>HYPINSFMMFETGR72X39X08-90D</t>
  </si>
  <si>
    <t>HYPINSFMMFETGR72X42X08-90D</t>
  </si>
  <si>
    <t>HYPINSFMMFETGR72X45X08-90D</t>
  </si>
  <si>
    <t>HYPINSFMMFETGR72X48X08-90D</t>
  </si>
  <si>
    <t>HYPINSFMMFETGR72X51X08-90D</t>
  </si>
  <si>
    <t>HYPINSFMMFETGR72X54X08-90D</t>
  </si>
  <si>
    <t>HYPINSFMMFETGR72X57X08-90D</t>
  </si>
  <si>
    <t>HYPINSFMMFETGR72X60X08-90D</t>
  </si>
  <si>
    <t>HYPINSFMMFETGR72X63X08-90D</t>
  </si>
  <si>
    <t>HYPINSFMMFETGR72X66X08-90D</t>
  </si>
  <si>
    <t>HYPINSFMMFETGR72X69X08-90D</t>
  </si>
  <si>
    <t>HYPINSFMMFETGR72X72X08-90D</t>
  </si>
  <si>
    <t>HYPINSFMMFETGR75X30X08-90D</t>
  </si>
  <si>
    <t>HYPINSFMMFETGR75X33X08-90D</t>
  </si>
  <si>
    <t>HYPINSFMMFETGR75X36X08-90D</t>
  </si>
  <si>
    <t>HYPINSFMMFETGR75X39X08-90D</t>
  </si>
  <si>
    <t>HYPINSFMMFETGR75X42X08-90D</t>
  </si>
  <si>
    <t>HYPINSFMMFETGR75X45X08-90D</t>
  </si>
  <si>
    <t>HYPINSFMMFETGR75X48X08-90D</t>
  </si>
  <si>
    <t>HYPINSFMMFETGR75X51X08-90D</t>
  </si>
  <si>
    <t>HYPINSFMMFETGR75X54X08-90D</t>
  </si>
  <si>
    <t>HYPINSFMMFETGR75X57X08-90D</t>
  </si>
  <si>
    <t>HYPINSFMMFETGR75X60X08-90D</t>
  </si>
  <si>
    <t>HYPINSFMMFETGR75X63X08-90D</t>
  </si>
  <si>
    <t>HYPINSFMMFETGR75X66X08-90D</t>
  </si>
  <si>
    <t>HYPINSFMMFETGR75X69X08-90D</t>
  </si>
  <si>
    <t>HYPINSFMMFETGR75X72X08-90D</t>
  </si>
  <si>
    <t>HYPINSFMMFETGR78X30X08-90D</t>
  </si>
  <si>
    <t>HYPINSFMMFETGR78X33X08-90D</t>
  </si>
  <si>
    <t>HYPINSFMMFETGR78X36X08-90D</t>
  </si>
  <si>
    <t>HYPINSFMMFETGR78X39X08-90D</t>
  </si>
  <si>
    <t>HYPINSFMMFETGR78X42X08-90D</t>
  </si>
  <si>
    <t>HYPINSFMMFETGR78X45X08-90D</t>
  </si>
  <si>
    <t>HYPINSFMMFETGR78X48X08-90D</t>
  </si>
  <si>
    <t>HYPINSFMMFETGR78X51X08-90D</t>
  </si>
  <si>
    <t>HYPINSFMMFETGR78X54X08-90D</t>
  </si>
  <si>
    <t>HYPINSFMMFETGR78X57X08-90D</t>
  </si>
  <si>
    <t>HYPINSFMMFETGR78X60X08-90D</t>
  </si>
  <si>
    <t>HYPINSFMMFETGR78X63X08-90D</t>
  </si>
  <si>
    <t>HYPINSFMMFETGR78X66X08-90D</t>
  </si>
  <si>
    <t>HYPINSFMMFETGR78X69X08-90D</t>
  </si>
  <si>
    <t>HYPINSFMMFETGR78X72X08-90D</t>
  </si>
  <si>
    <t>HYPINSFMMFETGR80X30X08-90D</t>
  </si>
  <si>
    <t>HYPINSFMMFETGR80X33X08-90D</t>
  </si>
  <si>
    <t>HYPINSFMMFETGR80X36X08-90D</t>
  </si>
  <si>
    <t>HYPINSFMMFETGR80X39X08-90D</t>
  </si>
  <si>
    <t>HYPINSFMMFETGR80X42X08-90D</t>
  </si>
  <si>
    <t>HYPINSFMMFETGR80X45X08-90D</t>
  </si>
  <si>
    <t>HYPINSFMMFETGR80X48X08-90D</t>
  </si>
  <si>
    <t>HYPINSFMMFETGR80X51X08-90D</t>
  </si>
  <si>
    <t>HYPINSFMMFETGR80X54X08-90D</t>
  </si>
  <si>
    <t>HYPINSFMMFETGR80X57X08-90D</t>
  </si>
  <si>
    <t>HYPINSFMMFETGR80X60X08-90D</t>
  </si>
  <si>
    <t>HYPINSFMMFETGR80X63X08-90D</t>
  </si>
  <si>
    <t>HYPINSFMMFETGR80X66X08-90D</t>
  </si>
  <si>
    <t>HYPINSFMMFETGR80X69X08-90D</t>
  </si>
  <si>
    <t>HYPINSFMMFETGR80X72X08-90D</t>
  </si>
  <si>
    <t>HYPINSFMMFETGR84X30X08-90D</t>
  </si>
  <si>
    <t>HYPINSFMMFETGR84X33X08-90D</t>
  </si>
  <si>
    <t>HYPINSFMMFETGR84X36X08-90D</t>
  </si>
  <si>
    <t>HYPINSFMMFETGR84X39X08-90D</t>
  </si>
  <si>
    <t>HYPINSFMMFETGR84X42X08-90D</t>
  </si>
  <si>
    <t>HYPINSFMMFETGR84X45X08-90D</t>
  </si>
  <si>
    <t>HYPINSFMMFETGR84X48X08-90D</t>
  </si>
  <si>
    <t>HYPINSFMMFETGR84X51X08-90D</t>
  </si>
  <si>
    <t>HYPINSFMMFETGR84X54X08-90D</t>
  </si>
  <si>
    <t>HYPINSFMMFETGR84X57X08-90D</t>
  </si>
  <si>
    <t>HYPINSFMMFETGR84X60X08-90D</t>
  </si>
  <si>
    <t>HYPINSFMMFETGR84X63X08-90D</t>
  </si>
  <si>
    <t>HYPINSFMMFETGR84X66X08-90D</t>
  </si>
  <si>
    <t>HYPINSFMMFETGR84X69X08-90D</t>
  </si>
  <si>
    <t>HYPINSFMMFETGR84X72X08-90D</t>
  </si>
  <si>
    <t>HYPINSFMMR</t>
  </si>
  <si>
    <t>HYPINSFMETMR</t>
  </si>
  <si>
    <t>CK3</t>
  </si>
  <si>
    <t>HYPINSFMMR72X30X05-90D</t>
  </si>
  <si>
    <t>HYPINSFMMR72X33X05-90D</t>
  </si>
  <si>
    <t>HYPINSFMMR72X36X05-90D</t>
  </si>
  <si>
    <t>HYPINSFMMR72X39X05-90D</t>
  </si>
  <si>
    <t>HYPINSFMMR72X42X05-90D</t>
  </si>
  <si>
    <t>HYPINSFMMR72X45X05-90D</t>
  </si>
  <si>
    <t>HYPINSFMMR72X48X05-90D</t>
  </si>
  <si>
    <t>HYPINSFMMR72X51X05-90D</t>
  </si>
  <si>
    <t>HYPINSFMMR72X54X05-90D</t>
  </si>
  <si>
    <t>HYPINSFMMR72X57X05-90D</t>
  </si>
  <si>
    <t>HYPINSFMMR72X60X05-90D</t>
  </si>
  <si>
    <t>HYPINSFMMR72X63X05-90D</t>
  </si>
  <si>
    <t>HYPINSFMMR72X66X05-90D</t>
  </si>
  <si>
    <t>HYPINSFMMR72X69X05-90D</t>
  </si>
  <si>
    <t>HYPINSFMMR72X72X05-90D</t>
  </si>
  <si>
    <t>HYPINSFMMR75X30X05-90D</t>
  </si>
  <si>
    <t>HYPINSFMMR75X33X05-90D</t>
  </si>
  <si>
    <t>HYPINSFMMR75X36X05-90D</t>
  </si>
  <si>
    <t>HYPINSFMMR75X39X05-90D</t>
  </si>
  <si>
    <t>HYPINSFMMR75X42X05-90D</t>
  </si>
  <si>
    <t>HYPINSFMMR75X45X05-90D</t>
  </si>
  <si>
    <t>HYPINSFMMR75X48X05-90D</t>
  </si>
  <si>
    <t>HYPINSFMMR75X51X05-90D</t>
  </si>
  <si>
    <t>HYPINSFMMR75X54X05-90D</t>
  </si>
  <si>
    <t>HYPINSFMMR75X57X05-90D</t>
  </si>
  <si>
    <t>HYPINSFMMR75X60X05-90D</t>
  </si>
  <si>
    <t>HYPINSFMMR75X63X05-90D</t>
  </si>
  <si>
    <t>HYPINSFMMR75X66X05-90D</t>
  </si>
  <si>
    <t>HYPINSFMMR75X69X05-90D</t>
  </si>
  <si>
    <t>HYPINSFMMR75X72X05-90D</t>
  </si>
  <si>
    <t>HYPINSFMMR78X30X05-90D</t>
  </si>
  <si>
    <t>HYPINSFMMR78X33X05-90D</t>
  </si>
  <si>
    <t>HYPINSFMMR78X36X05-90D</t>
  </si>
  <si>
    <t>HYPINSFMMR78X39X05-90D</t>
  </si>
  <si>
    <t>HYPINSFMMR78X42X05-90D</t>
  </si>
  <si>
    <t>HYPINSFMMR78X45X05-90D</t>
  </si>
  <si>
    <t>HYPINSFMMR78X48X05-90D</t>
  </si>
  <si>
    <t>HYPINSFMMR78X51X05-90D</t>
  </si>
  <si>
    <t>HYPINSFMMR78X54X05-90D</t>
  </si>
  <si>
    <t>HYPINSFMMR78X57X05-90D</t>
  </si>
  <si>
    <t>HYPINSFMMR78X60X05-90D</t>
  </si>
  <si>
    <t>HYPINSFMMR78X63X05-90D</t>
  </si>
  <si>
    <t>HYPINSFMMR78X66X05-90D</t>
  </si>
  <si>
    <t>HYPINSFMMR78X69X05-90D</t>
  </si>
  <si>
    <t>HYPINSFMMR78X72X05-90D</t>
  </si>
  <si>
    <t>HYPINSFMMR80X30X05-90D</t>
  </si>
  <si>
    <t>HYPINSFMMR80X33X05-90D</t>
  </si>
  <si>
    <t>HYPINSFMMR80X36X05-90D</t>
  </si>
  <si>
    <t>HYPINSFMMR80X39X05-90D</t>
  </si>
  <si>
    <t>HYPINSFMMR80X42X05-90D</t>
  </si>
  <si>
    <t>HYPINSFMMR80X45X05-90D</t>
  </si>
  <si>
    <t>HYPINSFMMR80X48X05-90D</t>
  </si>
  <si>
    <t>HYPINSFMMR80X51X05-90D</t>
  </si>
  <si>
    <t>HYPINSFMMR80X54X05-90D</t>
  </si>
  <si>
    <t>HYPINSFMMR80X57X05-90D</t>
  </si>
  <si>
    <t>HYPINSFMMR80X60X05-90D</t>
  </si>
  <si>
    <t>HYPINSFMMR80X63X05-90D</t>
  </si>
  <si>
    <t>HYPINSFMMR80X66X05-90D</t>
  </si>
  <si>
    <t>HYPINSFMMR80X69X05-90D</t>
  </si>
  <si>
    <t>HYPINSFMMR80X72X05-90D</t>
  </si>
  <si>
    <t>HYPINSFMMR84X30X05-90D</t>
  </si>
  <si>
    <t>HYPINSFMMR84X33X05-90D</t>
  </si>
  <si>
    <t>HYPINSFMMR84X36X05-90D</t>
  </si>
  <si>
    <t>HYPINSFMMR84X39X05-90D</t>
  </si>
  <si>
    <t>HYPINSFMMR84X42X05-90D</t>
  </si>
  <si>
    <t>HYPINSFMMR84X45X05-90D</t>
  </si>
  <si>
    <t>HYPINSFMMR84X48X05-90D</t>
  </si>
  <si>
    <t>HYPINSFMMR84X51X05-90D</t>
  </si>
  <si>
    <t>HYPINSFMMR84X54X05-90D</t>
  </si>
  <si>
    <t>HYPINSFMMR84X57X05-90D</t>
  </si>
  <si>
    <t>HYPINSFMMR84X60X05-90D</t>
  </si>
  <si>
    <t>HYPINSFMMR84X63X05-90D</t>
  </si>
  <si>
    <t>HYPINSFMMR84X66X05-90D</t>
  </si>
  <si>
    <t>HYPINSFMMR84X69X05-90D</t>
  </si>
  <si>
    <t>HYPINSFMMR84X72X05-90D</t>
  </si>
  <si>
    <t>HYPINSFMMR72X30X06-90D</t>
  </si>
  <si>
    <t>HYPINSFMMR72X33X06-90D</t>
  </si>
  <si>
    <t>HYPINSFMMR72X36X06-90D</t>
  </si>
  <si>
    <t>HYPINSFMMR72X39X06-90D</t>
  </si>
  <si>
    <t>HYPINSFMMR72X42X06-90D</t>
  </si>
  <si>
    <t>HYPINSFMMR72X45X06-90D</t>
  </si>
  <si>
    <t>HYPINSFMMR72X48X06-90D</t>
  </si>
  <si>
    <t>HYPINSFMMR72X51X06-90D</t>
  </si>
  <si>
    <t>HYPINSFMMR72X54X06-90D</t>
  </si>
  <si>
    <t>HYPINSFMMR72X57X06-90D</t>
  </si>
  <si>
    <t>HYPINSFMMR72X60X06-90D</t>
  </si>
  <si>
    <t>HYPINSFMMR72X63X06-90D</t>
  </si>
  <si>
    <t>HYPINSFMMR72X66X06-90D</t>
  </si>
  <si>
    <t>HYPINSFMMR72X69X06-90D</t>
  </si>
  <si>
    <t>HYPINSFMMR72X72X06-90D</t>
  </si>
  <si>
    <t>HYPINSFMMR75X30X06-90D</t>
  </si>
  <si>
    <t>HYPINSFMMR75X33X06-90D</t>
  </si>
  <si>
    <t>HYPINSFMMR75X36X06-90D</t>
  </si>
  <si>
    <t>HYPINSFMMR75X39X06-90D</t>
  </si>
  <si>
    <t>HYPINSFMMR75X42X06-90D</t>
  </si>
  <si>
    <t>HYPINSFMMR75X45X06-90D</t>
  </si>
  <si>
    <t>HYPINSFMMR75X48X06-90D</t>
  </si>
  <si>
    <t>HYPINSFMMR75X51X06-90D</t>
  </si>
  <si>
    <t>HYPINSFMMR75X54X06-90D</t>
  </si>
  <si>
    <t>HYPINSFMMR75X57X06-90D</t>
  </si>
  <si>
    <t>HYPINSFMMR75X60X06-90D</t>
  </si>
  <si>
    <t>HYPINSFMMR75X63X06-90D</t>
  </si>
  <si>
    <t>HYPINSFMMR75X66X06-90D</t>
  </si>
  <si>
    <t>HYPINSFMMR75X69X06-90D</t>
  </si>
  <si>
    <t>HYPINSFMMR75X72X06-90D</t>
  </si>
  <si>
    <t>HYPINSFMMR78X30X06-90D</t>
  </si>
  <si>
    <t>HYPINSFMMR78X33X06-90D</t>
  </si>
  <si>
    <t>HYPINSFMMR78X36X06-90D</t>
  </si>
  <si>
    <t>HYPINSFMMR78X39X06-90D</t>
  </si>
  <si>
    <t>HYPINSFMMR78X42X06-90D</t>
  </si>
  <si>
    <t>HYPINSFMMR78X45X06-90D</t>
  </si>
  <si>
    <t>HYPINSFMMR78X48X06-90D</t>
  </si>
  <si>
    <t>HYPINSFMMR78X51X06-90D</t>
  </si>
  <si>
    <t>HYPINSFMMR78X54X06-90D</t>
  </si>
  <si>
    <t>HYPINSFMMR78X57X06-90D</t>
  </si>
  <si>
    <t>HYPINSFMMR78X60X06-90D</t>
  </si>
  <si>
    <t>HYPINSFMMR78X63X06-90D</t>
  </si>
  <si>
    <t>HYPINSFMMR78X66X06-90D</t>
  </si>
  <si>
    <t>HYPINSFMMR78X69X06-90D</t>
  </si>
  <si>
    <t>HYPINSFMMR78X72X06-90D</t>
  </si>
  <si>
    <t>HYPINSFMMR80X30X06-90D</t>
  </si>
  <si>
    <t>HYPINSFMMR80X33X06-90D</t>
  </si>
  <si>
    <t>HYPINSFMMR80X36X06-90D</t>
  </si>
  <si>
    <t>HYPINSFMMR80X39X06-90D</t>
  </si>
  <si>
    <t>HYPINSFMMR80X42X06-90D</t>
  </si>
  <si>
    <t>HYPINSFMMR80X45X06-90D</t>
  </si>
  <si>
    <t>HYPINSFMMR80X48X06-90D</t>
  </si>
  <si>
    <t>HYPINSFMMR80X51X06-90D</t>
  </si>
  <si>
    <t>HYPINSFMMR80X54X06-90D</t>
  </si>
  <si>
    <t>HYPINSFMMR80X57X06-90D</t>
  </si>
  <si>
    <t>HYPINSFMMR80X60X06-90D</t>
  </si>
  <si>
    <t>HYPINSFMMR80X63X06-90D</t>
  </si>
  <si>
    <t>HYPINSFMMR80X66X06-90D</t>
  </si>
  <si>
    <t>HYPINSFMMR80X69X06-90D</t>
  </si>
  <si>
    <t>HYPINSFMMR80X72X06-90D</t>
  </si>
  <si>
    <t>HYPINSFMMR84X30X06-90D</t>
  </si>
  <si>
    <t>HYPINSFMMR84X33X06-90D</t>
  </si>
  <si>
    <t>HYPINSFMMR84X36X06-90D</t>
  </si>
  <si>
    <t>HYPINSFMMR84X39X06-90D</t>
  </si>
  <si>
    <t>HYPINSFMMR84X42X06-90D</t>
  </si>
  <si>
    <t>HYPINSFMMR84X45X06-90D</t>
  </si>
  <si>
    <t>HYPINSFMMR84X48X06-90D</t>
  </si>
  <si>
    <t>HYPINSFMMR84X51X06-90D</t>
  </si>
  <si>
    <t>HYPINSFMMR84X54X06-90D</t>
  </si>
  <si>
    <t>HYPINSFMMR84X57X06-90D</t>
  </si>
  <si>
    <t>HYPINSFMMR84X60X06-90D</t>
  </si>
  <si>
    <t>HYPINSFMMR84X63X06-90D</t>
  </si>
  <si>
    <t>HYPINSFMMR84X66X06-90D</t>
  </si>
  <si>
    <t>HYPINSFMMR84X69X06-90D</t>
  </si>
  <si>
    <t>HYPINSFMMR84X72X06-90D</t>
  </si>
  <si>
    <t>HYPINSFMMR72X30X08-90D</t>
  </si>
  <si>
    <t>HYPINSFMMR72X33X08-90D</t>
  </si>
  <si>
    <t>HYPINSFMMR72X36X08-90D</t>
  </si>
  <si>
    <t>HYPINSFMMR72X39X08-90D</t>
  </si>
  <si>
    <t>HYPINSFMMR72X42X08-90D</t>
  </si>
  <si>
    <t>HYPINSFMMR72X45X08-90D</t>
  </si>
  <si>
    <t>HYPINSFMMR72X48X08-90D</t>
  </si>
  <si>
    <t>HYPINSFMMR72X51X08-90D</t>
  </si>
  <si>
    <t>HYPINSFMMR72X54X08-90D</t>
  </si>
  <si>
    <t>HYPINSFMMR72X57X08-90D</t>
  </si>
  <si>
    <t>HYPINSFMMR72X60X08-90D</t>
  </si>
  <si>
    <t>HYPINSFMMR72X63X08-90D</t>
  </si>
  <si>
    <t>HYPINSFMMR72X66X08-90D</t>
  </si>
  <si>
    <t>HYPINSFMMR72X69X08-90D</t>
  </si>
  <si>
    <t>HYPINSFMMR72X72X08-90D</t>
  </si>
  <si>
    <t>HYPINSFMMR75X30X08-90D</t>
  </si>
  <si>
    <t>HYPINSFMMR75X33X08-90D</t>
  </si>
  <si>
    <t>HYPINSFMMR75X36X08-90D</t>
  </si>
  <si>
    <t>HYPINSFMMR75X39X08-90D</t>
  </si>
  <si>
    <t>HYPINSFMMR75X42X08-90D</t>
  </si>
  <si>
    <t>HYPINSFMMR75X45X08-90D</t>
  </si>
  <si>
    <t>HYPINSFMMR75X48X08-90D</t>
  </si>
  <si>
    <t>HYPINSFMMR75X51X08-90D</t>
  </si>
  <si>
    <t>HYPINSFMMR75X54X08-90D</t>
  </si>
  <si>
    <t>HYPINSFMMR75X57X08-90D</t>
  </si>
  <si>
    <t>HYPINSFMMR75X60X08-90D</t>
  </si>
  <si>
    <t>HYPINSFMMR75X63X08-90D</t>
  </si>
  <si>
    <t>HYPINSFMMR75X66X08-90D</t>
  </si>
  <si>
    <t>HYPINSFMMR75X69X08-90D</t>
  </si>
  <si>
    <t>HYPINSFMMR75X72X08-90D</t>
  </si>
  <si>
    <t>HYPINSFMMR78X30X08-90D</t>
  </si>
  <si>
    <t>HYPINSFMMR78X33X08-90D</t>
  </si>
  <si>
    <t>HYPINSFMMR78X36X08-90D</t>
  </si>
  <si>
    <t>HYPINSFMMR78X39X08-90D</t>
  </si>
  <si>
    <t>HYPINSFMMR78X42X08-90D</t>
  </si>
  <si>
    <t>HYPINSFMMR78X45X08-90D</t>
  </si>
  <si>
    <t>HYPINSFMMR78X48X08-90D</t>
  </si>
  <si>
    <t>HYPINSFMMR78X51X08-90D</t>
  </si>
  <si>
    <t>HYPINSFMMR78X54X08-90D</t>
  </si>
  <si>
    <t>HYPINSFMMR78X57X08-90D</t>
  </si>
  <si>
    <t>HYPINSFMMR78X60X08-90D</t>
  </si>
  <si>
    <t>HYPINSFMMR78X63X08-90D</t>
  </si>
  <si>
    <t>HYPINSFMMR78X66X08-90D</t>
  </si>
  <si>
    <t>HYPINSFMMR78X69X08-90D</t>
  </si>
  <si>
    <t>HYPINSFMMR78X72X08-90D</t>
  </si>
  <si>
    <t>HYPINSFMMR80X30X08-90D</t>
  </si>
  <si>
    <t>HYPINSFMMR80X33X08-90D</t>
  </si>
  <si>
    <t>HYPINSFMMR80X36X08-90D</t>
  </si>
  <si>
    <t>HYPINSFMMR80X39X08-90D</t>
  </si>
  <si>
    <t>HYPINSFMMR80X42X08-90D</t>
  </si>
  <si>
    <t>HYPINSFMMR80X45X08-90D</t>
  </si>
  <si>
    <t>HYPINSFMMR80X48X08-90D</t>
  </si>
  <si>
    <t>HYPINSFMMR80X51X08-90D</t>
  </si>
  <si>
    <t>HYPINSFMMR80X54X08-90D</t>
  </si>
  <si>
    <t>HYPINSFMMR80X57X08-90D</t>
  </si>
  <si>
    <t>HYPINSFMMR80X60X08-90D</t>
  </si>
  <si>
    <t>HYPINSFMMR80X63X08-90D</t>
  </si>
  <si>
    <t>HYPINSFMMR80X66X08-90D</t>
  </si>
  <si>
    <t>HYPINSFMMR80X69X08-90D</t>
  </si>
  <si>
    <t>HYPINSFMMR80X72X08-90D</t>
  </si>
  <si>
    <t>HYPINSFMMR84X30X08-90D</t>
  </si>
  <si>
    <t>HYPINSFMMR84X33X08-90D</t>
  </si>
  <si>
    <t>HYPINSFMMR84X36X08-90D</t>
  </si>
  <si>
    <t>HYPINSFMMR84X39X08-90D</t>
  </si>
  <si>
    <t>HYPINSFMMR84X42X08-90D</t>
  </si>
  <si>
    <t>HYPINSFMMR84X45X08-90D</t>
  </si>
  <si>
    <t>HYPINSFMMR84X48X08-90D</t>
  </si>
  <si>
    <t>HYPINSFMMR84X51X08-90D</t>
  </si>
  <si>
    <t>HYPINSFMMR84X54X08-90D</t>
  </si>
  <si>
    <t>HYPINSFMMR84X57X08-90D</t>
  </si>
  <si>
    <t>HYPINSFMMR84X60X08-90D</t>
  </si>
  <si>
    <t>HYPINSFMMR84X63X08-90D</t>
  </si>
  <si>
    <t>HYPINSFMMR84X66X08-90D</t>
  </si>
  <si>
    <t>HYPINSFMMR84X69X08-90D</t>
  </si>
  <si>
    <t>HYPINSFMMR84X72X08-90D</t>
  </si>
  <si>
    <t>HYPINSFMETMR72X30X05-90D</t>
  </si>
  <si>
    <t>HYPINSFMETMR72X33X05-90D</t>
  </si>
  <si>
    <t>HYPINSFMETMR72X36X05-90D</t>
  </si>
  <si>
    <t>HYPINSFMETMR72X39X05-90D</t>
  </si>
  <si>
    <t>HYPINSFMETMR72X42X05-90D</t>
  </si>
  <si>
    <t>HYPINSFMETMR72X45X05-90D</t>
  </si>
  <si>
    <t>HYPINSFMETMR72X48X05-90D</t>
  </si>
  <si>
    <t>HYPINSFMETMR72X51X05-90D</t>
  </si>
  <si>
    <t>HYPINSFMETMR72X54X05-90D</t>
  </si>
  <si>
    <t>HYPINSFMETMR72X57X05-90D</t>
  </si>
  <si>
    <t>HYPINSFMETMR72X60X05-90D</t>
  </si>
  <si>
    <t>HYPINSFMETMR72X63X05-90D</t>
  </si>
  <si>
    <t>HYPINSFMETMR72X66X05-90D</t>
  </si>
  <si>
    <t>HYPINSFMETMR72X69X05-90D</t>
  </si>
  <si>
    <t>HYPINSFMETMR72X72X05-90D</t>
  </si>
  <si>
    <t>HYPINSFMETMR75X30X05-90D</t>
  </si>
  <si>
    <t>HYPINSFMETMR75X33X05-90D</t>
  </si>
  <si>
    <t>HYPINSFMETMR75X36X05-90D</t>
  </si>
  <si>
    <t>HYPINSFMETMR75X39X05-90D</t>
  </si>
  <si>
    <t>HYPINSFMETMR75X42X05-90D</t>
  </si>
  <si>
    <t>HYPINSFMETMR75X45X05-90D</t>
  </si>
  <si>
    <t>HYPINSFMETMR75X48X05-90D</t>
  </si>
  <si>
    <t>HYPINSFMETMR75X51X05-90D</t>
  </si>
  <si>
    <t>HYPINSFMETMR75X54X05-90D</t>
  </si>
  <si>
    <t>HYPINSFMETMR75X57X05-90D</t>
  </si>
  <si>
    <t>HYPINSFMETMR75X60X05-90D</t>
  </si>
  <si>
    <t>HYPINSFMETMR75X63X05-90D</t>
  </si>
  <si>
    <t>HYPINSFMETMR75X66X05-90D</t>
  </si>
  <si>
    <t>HYPINSFMETMR75X69X05-90D</t>
  </si>
  <si>
    <t>HYPINSFMETMR75X72X05-90D</t>
  </si>
  <si>
    <t>HYPINSFMETMR78X30X05-90D</t>
  </si>
  <si>
    <t>HYPINSFMETMR78X33X05-90D</t>
  </si>
  <si>
    <t>HYPINSFMETMR78X36X05-90D</t>
  </si>
  <si>
    <t>HYPINSFMETMR78X39X05-90D</t>
  </si>
  <si>
    <t>HYPINSFMETMR78X42X05-90D</t>
  </si>
  <si>
    <t>HYPINSFMETMR78X45X05-90D</t>
  </si>
  <si>
    <t>HYPINSFMETMR78X48X05-90D</t>
  </si>
  <si>
    <t>HYPINSFMETMR78X51X05-90D</t>
  </si>
  <si>
    <t>HYPINSFMETMR78X54X05-90D</t>
  </si>
  <si>
    <t>HYPINSFMETMR78X57X05-90D</t>
  </si>
  <si>
    <t>HYPINSFMETMR78X60X05-90D</t>
  </si>
  <si>
    <t>HYPINSFMETMR78X63X05-90D</t>
  </si>
  <si>
    <t>HYPINSFMETMR78X66X05-90D</t>
  </si>
  <si>
    <t>HYPINSFMETMR78X69X05-90D</t>
  </si>
  <si>
    <t>HYPINSFMETMR78X72X05-90D</t>
  </si>
  <si>
    <t>HYPINSFMETMR80X30X05-90D</t>
  </si>
  <si>
    <t>HYPINSFMETMR80X33X05-90D</t>
  </si>
  <si>
    <t>HYPINSFMETMR80X36X05-90D</t>
  </si>
  <si>
    <t>HYPINSFMETMR80X39X05-90D</t>
  </si>
  <si>
    <t>HYPINSFMETMR80X42X05-90D</t>
  </si>
  <si>
    <t>HYPINSFMETMR80X45X05-90D</t>
  </si>
  <si>
    <t>HYPINSFMETMR80X48X05-90D</t>
  </si>
  <si>
    <t>HYPINSFMETMR80X51X05-90D</t>
  </si>
  <si>
    <t>HYPINSFMETMR80X54X05-90D</t>
  </si>
  <si>
    <t>HYPINSFMETMR80X57X05-90D</t>
  </si>
  <si>
    <t>HYPINSFMETMR80X60X05-90D</t>
  </si>
  <si>
    <t>HYPINSFMETMR80X63X05-90D</t>
  </si>
  <si>
    <t>HYPINSFMETMR80X66X05-90D</t>
  </si>
  <si>
    <t>HYPINSFMETMR80X69X05-90D</t>
  </si>
  <si>
    <t>HYPINSFMETMR80X72X05-90D</t>
  </si>
  <si>
    <t>HYPINSFMETMR84X30X05-90D</t>
  </si>
  <si>
    <t>HYPINSFMETMR84X33X05-90D</t>
  </si>
  <si>
    <t>HYPINSFMETMR84X36X05-90D</t>
  </si>
  <si>
    <t>HYPINSFMETMR84X39X05-90D</t>
  </si>
  <si>
    <t>HYPINSFMETMR84X42X05-90D</t>
  </si>
  <si>
    <t>HYPINSFMETMR84X45X05-90D</t>
  </si>
  <si>
    <t>HYPINSFMETMR84X48X05-90D</t>
  </si>
  <si>
    <t>HYPINSFMETMR84X51X05-90D</t>
  </si>
  <si>
    <t>HYPINSFMETMR84X54X05-90D</t>
  </si>
  <si>
    <t>HYPINSFMETMR84X57X05-90D</t>
  </si>
  <si>
    <t>HYPINSFMETMR84X60X05-90D</t>
  </si>
  <si>
    <t>HYPINSFMETMR84X63X05-90D</t>
  </si>
  <si>
    <t>HYPINSFMETMR84X66X05-90D</t>
  </si>
  <si>
    <t>HYPINSFMETMR84X69X05-90D</t>
  </si>
  <si>
    <t>HYPINSFMETMR84X72X05-90D</t>
  </si>
  <si>
    <t>HYPINSFMETMR72X30X06-90D</t>
  </si>
  <si>
    <t>HYPINSFMETMR72X33X06-90D</t>
  </si>
  <si>
    <t>HYPINSFMETMR72X36X06-90D</t>
  </si>
  <si>
    <t>HYPINSFMETMR72X39X06-90D</t>
  </si>
  <si>
    <t>HYPINSFMETMR72X42X06-90D</t>
  </si>
  <si>
    <t>HYPINSFMETMR72X45X06-90D</t>
  </si>
  <si>
    <t>HYPINSFMETMR72X48X06-90D</t>
  </si>
  <si>
    <t>HYPINSFMETMR72X51X06-90D</t>
  </si>
  <si>
    <t>HYPINSFMETMR72X54X06-90D</t>
  </si>
  <si>
    <t>HYPINSFMETMR72X57X06-90D</t>
  </si>
  <si>
    <t>HYPINSFMETMR72X60X06-90D</t>
  </si>
  <si>
    <t>HYPINSFMETMR72X63X06-90D</t>
  </si>
  <si>
    <t>HYPINSFMETMR72X66X06-90D</t>
  </si>
  <si>
    <t>HYPINSFMETMR72X69X06-90D</t>
  </si>
  <si>
    <t>HYPINSFMETMR72X72X06-90D</t>
  </si>
  <si>
    <t>HYPINSFMETMR75X30X06-90D</t>
  </si>
  <si>
    <t>HYPINSFMETMR75X33X06-90D</t>
  </si>
  <si>
    <t>HYPINSFMETMR75X36X06-90D</t>
  </si>
  <si>
    <t>HYPINSFMETMR75X39X06-90D</t>
  </si>
  <si>
    <t>HYPINSFMETMR75X42X06-90D</t>
  </si>
  <si>
    <t>HYPINSFMETMR75X45X06-90D</t>
  </si>
  <si>
    <t>HYPINSFMETMR75X48X06-90D</t>
  </si>
  <si>
    <t>HYPINSFMETMR75X51X06-90D</t>
  </si>
  <si>
    <t>HYPINSFMETMR75X54X06-90D</t>
  </si>
  <si>
    <t>HYPINSFMETMR75X57X06-90D</t>
  </si>
  <si>
    <t>HYPINSFMETMR75X60X06-90D</t>
  </si>
  <si>
    <t>HYPINSFMETMR75X63X06-90D</t>
  </si>
  <si>
    <t>HYPINSFMETMR75X66X06-90D</t>
  </si>
  <si>
    <t>HYPINSFMETMR75X69X06-90D</t>
  </si>
  <si>
    <t>HYPINSFMETMR75X72X06-90D</t>
  </si>
  <si>
    <t>HYPINSFMETMR78X30X06-90D</t>
  </si>
  <si>
    <t>HYPINSFMETMR78X33X06-90D</t>
  </si>
  <si>
    <t>HYPINSFMETMR78X36X06-90D</t>
  </si>
  <si>
    <t>HYPINSFMETMR78X39X06-90D</t>
  </si>
  <si>
    <t>HYPINSFMETMR78X42X06-90D</t>
  </si>
  <si>
    <t>HYPINSFMETMR78X45X06-90D</t>
  </si>
  <si>
    <t>HYPINSFMETMR78X48X06-90D</t>
  </si>
  <si>
    <t>HYPINSFMETMR78X51X06-90D</t>
  </si>
  <si>
    <t>HYPINSFMETMR78X54X06-90D</t>
  </si>
  <si>
    <t>HYPINSFMETMR78X57X06-90D</t>
  </si>
  <si>
    <t>HYPINSFMETMR78X60X06-90D</t>
  </si>
  <si>
    <t>HYPINSFMETMR78X63X06-90D</t>
  </si>
  <si>
    <t>HYPINSFMETMR78X66X06-90D</t>
  </si>
  <si>
    <t>HYPINSFMETMR78X69X06-90D</t>
  </si>
  <si>
    <t>HYPINSFMETMR78X72X06-90D</t>
  </si>
  <si>
    <t>HYPINSFMETMR80X30X06-90D</t>
  </si>
  <si>
    <t>HYPINSFMETMR80X33X06-90D</t>
  </si>
  <si>
    <t>HYPINSFMETMR80X36X06-90D</t>
  </si>
  <si>
    <t>HYPINSFMETMR80X39X06-90D</t>
  </si>
  <si>
    <t>HYPINSFMETMR80X42X06-90D</t>
  </si>
  <si>
    <t>HYPINSFMETMR80X45X06-90D</t>
  </si>
  <si>
    <t>HYPINSFMETMR80X48X06-90D</t>
  </si>
  <si>
    <t>HYPINSFMETMR80X51X06-90D</t>
  </si>
  <si>
    <t>HYPINSFMETMR80X54X06-90D</t>
  </si>
  <si>
    <t>HYPINSFMETMR80X57X06-90D</t>
  </si>
  <si>
    <t>HYPINSFMETMR80X60X06-90D</t>
  </si>
  <si>
    <t>HYPINSFMETMR80X63X06-90D</t>
  </si>
  <si>
    <t>HYPINSFMETMR80X66X06-90D</t>
  </si>
  <si>
    <t>HYPINSFMETMR80X69X06-90D</t>
  </si>
  <si>
    <t>HYPINSFMETMR80X72X06-90D</t>
  </si>
  <si>
    <t>HYPINSFMETMR84X30X06-90D</t>
  </si>
  <si>
    <t>HYPINSFMETMR84X33X06-90D</t>
  </si>
  <si>
    <t>HYPINSFMETMR84X36X06-90D</t>
  </si>
  <si>
    <t>HYPINSFMETMR84X39X06-90D</t>
  </si>
  <si>
    <t>HYPINSFMETMR84X42X06-90D</t>
  </si>
  <si>
    <t>HYPINSFMETMR84X45X06-90D</t>
  </si>
  <si>
    <t>HYPINSFMETMR84X48X06-90D</t>
  </si>
  <si>
    <t>HYPINSFMETMR84X51X06-90D</t>
  </si>
  <si>
    <t>HYPINSFMETMR84X54X06-90D</t>
  </si>
  <si>
    <t>HYPINSFMETMR84X57X06-90D</t>
  </si>
  <si>
    <t>HYPINSFMETMR84X60X06-90D</t>
  </si>
  <si>
    <t>HYPINSFMETMR84X63X06-90D</t>
  </si>
  <si>
    <t>HYPINSFMETMR84X66X06-90D</t>
  </si>
  <si>
    <t>HYPINSFMETMR84X69X06-90D</t>
  </si>
  <si>
    <t>HYPINSFMETMR84X72X06-90D</t>
  </si>
  <si>
    <t>HYPINSFMETMR72X30X08-90D</t>
  </si>
  <si>
    <t>HYPINSFMETMR72X33X08-90D</t>
  </si>
  <si>
    <t>HYPINSFMETMR72X36X08-90D</t>
  </si>
  <si>
    <t>HYPINSFMETMR72X39X08-90D</t>
  </si>
  <si>
    <t>HYPINSFMETMR72X42X08-90D</t>
  </si>
  <si>
    <t>HYPINSFMETMR72X45X08-90D</t>
  </si>
  <si>
    <t>HYPINSFMETMR72X48X08-90D</t>
  </si>
  <si>
    <t>HYPINSFMETMR72X51X08-90D</t>
  </si>
  <si>
    <t>HYPINSFMETMR72X54X08-90D</t>
  </si>
  <si>
    <t>HYPINSFMETMR72X57X08-90D</t>
  </si>
  <si>
    <t>HYPINSFMETMR72X60X08-90D</t>
  </si>
  <si>
    <t>HYPINSFMETMR72X63X08-90D</t>
  </si>
  <si>
    <t>HYPINSFMETMR72X66X08-90D</t>
  </si>
  <si>
    <t>HYPINSFMETMR72X69X08-90D</t>
  </si>
  <si>
    <t>HYPINSFMETMR72X72X08-90D</t>
  </si>
  <si>
    <t>HYPINSFMETMR75X30X08-90D</t>
  </si>
  <si>
    <t>HYPINSFMETMR75X33X08-90D</t>
  </si>
  <si>
    <t>HYPINSFMETMR75X36X08-90D</t>
  </si>
  <si>
    <t>HYPINSFMETMR75X39X08-90D</t>
  </si>
  <si>
    <t>HYPINSFMETMR75X42X08-90D</t>
  </si>
  <si>
    <t>HYPINSFMETMR75X45X08-90D</t>
  </si>
  <si>
    <t>HYPINSFMETMR75X48X08-90D</t>
  </si>
  <si>
    <t>HYPINSFMETMR75X51X08-90D</t>
  </si>
  <si>
    <t>HYPINSFMETMR75X54X08-90D</t>
  </si>
  <si>
    <t>HYPINSFMETMR75X57X08-90D</t>
  </si>
  <si>
    <t>HYPINSFMETMR75X60X08-90D</t>
  </si>
  <si>
    <t>HYPINSFMETMR75X63X08-90D</t>
  </si>
  <si>
    <t>HYPINSFMETMR75X66X08-90D</t>
  </si>
  <si>
    <t>HYPINSFMETMR75X69X08-90D</t>
  </si>
  <si>
    <t>HYPINSFMETMR75X72X08-90D</t>
  </si>
  <si>
    <t>HYPINSFMETMR78X30X08-90D</t>
  </si>
  <si>
    <t>HYPINSFMETMR78X33X08-90D</t>
  </si>
  <si>
    <t>HYPINSFMETMR78X36X08-90D</t>
  </si>
  <si>
    <t>HYPINSFMETMR78X39X08-90D</t>
  </si>
  <si>
    <t>HYPINSFMETMR78X42X08-90D</t>
  </si>
  <si>
    <t>HYPINSFMETMR78X45X08-90D</t>
  </si>
  <si>
    <t>HYPINSFMETMR78X48X08-90D</t>
  </si>
  <si>
    <t>HYPINSFMETMR78X51X08-90D</t>
  </si>
  <si>
    <t>HYPINSFMETMR78X54X08-90D</t>
  </si>
  <si>
    <t>HYPINSFMETMR78X57X08-90D</t>
  </si>
  <si>
    <t>HYPINSFMETMR78X60X08-90D</t>
  </si>
  <si>
    <t>HYPINSFMETMR78X63X08-90D</t>
  </si>
  <si>
    <t>HYPINSFMETMR78X66X08-90D</t>
  </si>
  <si>
    <t>HYPINSFMETMR78X69X08-90D</t>
  </si>
  <si>
    <t>HYPINSFMETMR78X72X08-90D</t>
  </si>
  <si>
    <t>HYPINSFMETMR80X30X08-90D</t>
  </si>
  <si>
    <t>HYPINSFMETMR80X33X08-90D</t>
  </si>
  <si>
    <t>HYPINSFMETMR80X36X08-90D</t>
  </si>
  <si>
    <t>HYPINSFMETMR80X39X08-90D</t>
  </si>
  <si>
    <t>HYPINSFMETMR80X42X08-90D</t>
  </si>
  <si>
    <t>HYPINSFMETMR80X45X08-90D</t>
  </si>
  <si>
    <t>HYPINSFMETMR80X48X08-90D</t>
  </si>
  <si>
    <t>HYPINSFMETMR80X51X08-90D</t>
  </si>
  <si>
    <t>HYPINSFMETMR80X54X08-90D</t>
  </si>
  <si>
    <t>HYPINSFMETMR80X57X08-90D</t>
  </si>
  <si>
    <t>HYPINSFMETMR80X60X08-90D</t>
  </si>
  <si>
    <t>HYPINSFMETMR80X63X08-90D</t>
  </si>
  <si>
    <t>HYPINSFMETMR80X66X08-90D</t>
  </si>
  <si>
    <t>HYPINSFMETMR80X69X08-90D</t>
  </si>
  <si>
    <t>HYPINSFMETMR80X72X08-90D</t>
  </si>
  <si>
    <t>HYPINSFMETMR84X30X08-90D</t>
  </si>
  <si>
    <t>HYPINSFMETMR84X33X08-90D</t>
  </si>
  <si>
    <t>HYPINSFMETMR84X36X08-90D</t>
  </si>
  <si>
    <t>HYPINSFMETMR84X39X08-90D</t>
  </si>
  <si>
    <t>HYPINSFMETMR84X42X08-90D</t>
  </si>
  <si>
    <t>HYPINSFMETMR84X45X08-90D</t>
  </si>
  <si>
    <t>HYPINSFMETMR84X48X08-90D</t>
  </si>
  <si>
    <t>HYPINSFMETMR84X51X08-90D</t>
  </si>
  <si>
    <t>HYPINSFMETMR84X54X08-90D</t>
  </si>
  <si>
    <t>HYPINSFMETMR84X57X08-90D</t>
  </si>
  <si>
    <t>HYPINSFMETMR84X60X08-90D</t>
  </si>
  <si>
    <t>HYPINSFMETMR84X63X08-90D</t>
  </si>
  <si>
    <t>HYPINSFMETMR84X66X08-90D</t>
  </si>
  <si>
    <t>HYPINSFMETMR84X69X08-90D</t>
  </si>
  <si>
    <t>HYPINSFMETMR84X72X08-90D</t>
  </si>
  <si>
    <t>HYPINSFMMR72X30X04-90D</t>
  </si>
  <si>
    <t>HYPINSFMMR72X33X04-90D</t>
  </si>
  <si>
    <t>HYPINSFMMR72X36X04-90D</t>
  </si>
  <si>
    <t>HYPINSFMMR72X39X04-90D</t>
  </si>
  <si>
    <t>HYPINSFMMR72X42X04-90D</t>
  </si>
  <si>
    <t>HYPINSFMMR72X45X04-90D</t>
  </si>
  <si>
    <t>HYPINSFMMR72X48X04-90D</t>
  </si>
  <si>
    <t>HYPINSFMMR72X51X04-90D</t>
  </si>
  <si>
    <t>HYPINSFMMR72X54X04-90D</t>
  </si>
  <si>
    <t>HYPINSFMMR72X57X04-90D</t>
  </si>
  <si>
    <t>HYPINSFMMR72X60X04-90D</t>
  </si>
  <si>
    <t>HYPINSFMMR72X63X04-90D</t>
  </si>
  <si>
    <t>HYPINSFMMR72X66X04-90D</t>
  </si>
  <si>
    <t>HYPINSFMMR72X69X04-90D</t>
  </si>
  <si>
    <t>HYPINSFMMR72X72X04-90D</t>
  </si>
  <si>
    <t>HYPINSFMMR75X30X04-90D</t>
  </si>
  <si>
    <t>HYPINSFMMR75X33X04-90D</t>
  </si>
  <si>
    <t>HYPINSFMMR75X36X04-90D</t>
  </si>
  <si>
    <t>HYPINSFMMR75X39X04-90D</t>
  </si>
  <si>
    <t>HYPINSFMMR75X42X04-90D</t>
  </si>
  <si>
    <t>HYPINSFMMR75X45X04-90D</t>
  </si>
  <si>
    <t>HYPINSFMMR75X48X04-90D</t>
  </si>
  <si>
    <t>HYPINSFMMR75X51X04-90D</t>
  </si>
  <si>
    <t>HYPINSFMMR75X54X04-90D</t>
  </si>
  <si>
    <t>HYPINSFMMR75X57X04-90D</t>
  </si>
  <si>
    <t>HYPINSFMMR75X60X04-90D</t>
  </si>
  <si>
    <t>HYPINSFMMR75X63X04-90D</t>
  </si>
  <si>
    <t>HYPINSFMMR75X66X04-90D</t>
  </si>
  <si>
    <t>HYPINSFMMR75X69X04-90D</t>
  </si>
  <si>
    <t>HYPINSFMMR75X72X04-90D</t>
  </si>
  <si>
    <t>HYPINSFMMR78X30X04-90D</t>
  </si>
  <si>
    <t>HYPINSFMMR78X33X04-90D</t>
  </si>
  <si>
    <t>HYPINSFMMR78X36X04-90D</t>
  </si>
  <si>
    <t>HYPINSFMMR78X39X04-90D</t>
  </si>
  <si>
    <t>HYPINSFMMR78X42X04-90D</t>
  </si>
  <si>
    <t>HYPINSFMMR78X45X04-90D</t>
  </si>
  <si>
    <t>HYPINSFMMR78X48X04-90D</t>
  </si>
  <si>
    <t>HYPINSFMMR78X51X04-90D</t>
  </si>
  <si>
    <t>HYPINSFMMR78X54X04-90D</t>
  </si>
  <si>
    <t>HYPINSFMMR78X57X04-90D</t>
  </si>
  <si>
    <t>HYPINSFMMR78X60X04-90D</t>
  </si>
  <si>
    <t>HYPINSFMMR78X63X04-90D</t>
  </si>
  <si>
    <t>HYPINSFMMR78X66X04-90D</t>
  </si>
  <si>
    <t>HYPINSFMMR78X69X04-90D</t>
  </si>
  <si>
    <t>HYPINSFMMR78X72X04-90D</t>
  </si>
  <si>
    <t>HYPINSFMMR80X30X04-90D</t>
  </si>
  <si>
    <t>HYPINSFMMR80X33X04-90D</t>
  </si>
  <si>
    <t>HYPINSFMMR80X36X04-90D</t>
  </si>
  <si>
    <t>HYPINSFMMR80X39X04-90D</t>
  </si>
  <si>
    <t>HYPINSFMMR80X42X04-90D</t>
  </si>
  <si>
    <t>HYPINSFMMR80X45X04-90D</t>
  </si>
  <si>
    <t>HYPINSFMMR80X48X04-90D</t>
  </si>
  <si>
    <t>HYPINSFMMR80X51X04-90D</t>
  </si>
  <si>
    <t>HYPINSFMMR80X54X04-90D</t>
  </si>
  <si>
    <t>HYPINSFMMR80X57X04-90D</t>
  </si>
  <si>
    <t>HYPINSFMMR80X60X04-90D</t>
  </si>
  <si>
    <t>HYPINSFMMR80X63X04-90D</t>
  </si>
  <si>
    <t>HYPINSFMMR80X66X04-90D</t>
  </si>
  <si>
    <t>HYPINSFMMR80X69X04-90D</t>
  </si>
  <si>
    <t>HYPINSFMMR80X72X04-90D</t>
  </si>
  <si>
    <t>HYPINSFMMR84X30X04-90D</t>
  </si>
  <si>
    <t>HYPINSFMMR84X33X04-90D</t>
  </si>
  <si>
    <t>HYPINSFMMR84X36X04-90D</t>
  </si>
  <si>
    <t>HYPINSFMMR84X39X04-90D</t>
  </si>
  <si>
    <t>HYPINSFMMR84X42X04-90D</t>
  </si>
  <si>
    <t>HYPINSFMMR84X45X04-90D</t>
  </si>
  <si>
    <t>HYPINSFMMR84X48X04-90D</t>
  </si>
  <si>
    <t>HYPINSFMMR84X51X04-90D</t>
  </si>
  <si>
    <t>HYPINSFMMR84X54X04-90D</t>
  </si>
  <si>
    <t>HYPINSFMMR84X57X04-90D</t>
  </si>
  <si>
    <t>HYPINSFMMR84X60X04-90D</t>
  </si>
  <si>
    <t>HYPINSFMMR84X63X04-90D</t>
  </si>
  <si>
    <t>HYPINSFMMR84X66X04-90D</t>
  </si>
  <si>
    <t>HYPINSFMMR84X69X04-90D</t>
  </si>
  <si>
    <t>HYPINSFMMR84X72X04-90D</t>
  </si>
  <si>
    <t>90D-HYP-INSPREE-BLOCK-72X30X04</t>
  </si>
  <si>
    <t>90D-HYP-INSPREE-BLOCK-72X33X04</t>
  </si>
  <si>
    <t>90D-HYP-INSPREE-BLOCK-72X36X04</t>
  </si>
  <si>
    <t>90D-HYP-INSPREE-BLOCK-72X39X04</t>
  </si>
  <si>
    <t>90D-HYP-INSPREE-BLOCK-72X42X04</t>
  </si>
  <si>
    <t>90D-HYP-INSPREE-BLOCK-72X45X04</t>
  </si>
  <si>
    <t>90D-HYP-INSPREE-BLOCK-72X48X04</t>
  </si>
  <si>
    <t>90D-HYP-INSPREE-BLOCK-72X51X04</t>
  </si>
  <si>
    <t>90D-HYP-INSPREE-BLOCK-72X54X04</t>
  </si>
  <si>
    <t>90D-HYP-INSPREE-BLOCK-72X57X04</t>
  </si>
  <si>
    <t>90D-HYP-INSPREE-BLOCK-72X60X04</t>
  </si>
  <si>
    <t>90D-HYP-INSPREE-BLOCK-72X63X04</t>
  </si>
  <si>
    <t>90D-HYP-INSPREE-BLOCK-72X66X04</t>
  </si>
  <si>
    <t>90D-HYP-INSPREE-BLOCK-72X69X04</t>
  </si>
  <si>
    <t>90D-HYP-INSPREE-BLOCK-72X72X04</t>
  </si>
  <si>
    <t>90D-HYP-INSPREE-BLOCK-75X30X04</t>
  </si>
  <si>
    <t>90D-HYP-INSPREE-BLOCK-75X33X04</t>
  </si>
  <si>
    <t>90D-HYP-INSPREE-BLOCK-75X36X04</t>
  </si>
  <si>
    <t>90D-HYP-INSPREE-BLOCK-75X39X04</t>
  </si>
  <si>
    <t>90D-HYP-INSPREE-BLOCK-75X42X04</t>
  </si>
  <si>
    <t>90D-HYP-INSPREE-BLOCK-75X45X04</t>
  </si>
  <si>
    <t>90D-HYP-INSPREE-BLOCK-75X48X04</t>
  </si>
  <si>
    <t>90D-HYP-INSPREE-BLOCK-75X51X04</t>
  </si>
  <si>
    <t>90D-HYP-INSPREE-BLOCK-75X54X04</t>
  </si>
  <si>
    <t>90D-HYP-INSPREE-BLOCK-75X57X04</t>
  </si>
  <si>
    <t>90D-HYP-INSPREE-BLOCK-75X60X04</t>
  </si>
  <si>
    <t>90D-HYP-INSPREE-BLOCK-75X63X04</t>
  </si>
  <si>
    <t>90D-HYP-INSPREE-BLOCK-75X66X04</t>
  </si>
  <si>
    <t>90D-HYP-INSPREE-BLOCK-75X69X04</t>
  </si>
  <si>
    <t>90D-HYP-INSPREE-BLOCK-75X72X04</t>
  </si>
  <si>
    <t>90D-HYP-INSPREE-BLOCK-78X30X04</t>
  </si>
  <si>
    <t>90D-HYP-INSPREE-BLOCK-78X33X04</t>
  </si>
  <si>
    <t>90D-HYP-INSPREE-BLOCK-78X36X04</t>
  </si>
  <si>
    <t>90D-HYP-INSPREE-BLOCK-78X39X04</t>
  </si>
  <si>
    <t>90D-HYP-INSPREE-BLOCK-78X42X04</t>
  </si>
  <si>
    <t>90D-HYP-INSPREE-BLOCK-78X45X04</t>
  </si>
  <si>
    <t>90D-HYP-INSPREE-BLOCK-78X48X04</t>
  </si>
  <si>
    <t>90D-HYP-INSPREE-BLOCK-78X51X04</t>
  </si>
  <si>
    <t>90D-HYP-INSPREE-BLOCK-78X54X04</t>
  </si>
  <si>
    <t>90D-HYP-INSPREE-BLOCK-78X57X04</t>
  </si>
  <si>
    <t>90D-HYP-INSPREE-BLOCK-78X60X04</t>
  </si>
  <si>
    <t>90D-HYP-INSPREE-BLOCK-78X63X04</t>
  </si>
  <si>
    <t>90D-HYP-INSPREE-BLOCK-78X66X04</t>
  </si>
  <si>
    <t>90D-HYP-INSPREE-BLOCK-78X69X04</t>
  </si>
  <si>
    <t>90D-HYP-INSPREE-BLOCK-78X72X04</t>
  </si>
  <si>
    <t>90D-HYP-INSPREE-BLOCK-80X30X04</t>
  </si>
  <si>
    <t>90D-HYP-INSPREE-BLOCK-80X33X04</t>
  </si>
  <si>
    <t>90D-HYP-INSPREE-BLOCK-80X36X04</t>
  </si>
  <si>
    <t>90D-HYP-INSPREE-BLOCK-80X39X04</t>
  </si>
  <si>
    <t>90D-HYP-INSPREE-BLOCK-80X42X04</t>
  </si>
  <si>
    <t>90D-HYP-INSPREE-BLOCK-80X45X04</t>
  </si>
  <si>
    <t>90D-HYP-INSPREE-BLOCK-80X48X04</t>
  </si>
  <si>
    <t>90D-HYP-INSPREE-BLOCK-80X51X04</t>
  </si>
  <si>
    <t>90D-HYP-INSPREE-BLOCK-80X54X04</t>
  </si>
  <si>
    <t>90D-HYP-INSPREE-BLOCK-80X57X04</t>
  </si>
  <si>
    <t>90D-HYP-INSPREE-BLOCK-80X60X04</t>
  </si>
  <si>
    <t>90D-HYP-INSPREE-BLOCK-80X63X04</t>
  </si>
  <si>
    <t>90D-HYP-INSPREE-BLOCK-80X66X04</t>
  </si>
  <si>
    <t>90D-HYP-INSPREE-BLOCK-80X69X04</t>
  </si>
  <si>
    <t>90D-HYP-INSPREE-BLOCK-80X72X04</t>
  </si>
  <si>
    <t>90D-HYP-INSPREE-BLOCK-84X30X04</t>
  </si>
  <si>
    <t>90D-HYP-INSPREE-BLOCK-84X33X04</t>
  </si>
  <si>
    <t>90D-HYP-INSPREE-BLOCK-84X36X04</t>
  </si>
  <si>
    <t>90D-HYP-INSPREE-BLOCK-84X39X04</t>
  </si>
  <si>
    <t>90D-HYP-INSPREE-BLOCK-84X42X04</t>
  </si>
  <si>
    <t>90D-HYP-INSPREE-BLOCK-84X45X04</t>
  </si>
  <si>
    <t>90D-HYP-INSPREE-BLOCK-84X48X04</t>
  </si>
  <si>
    <t>90D-HYP-INSPREE-BLOCK-84X51X04</t>
  </si>
  <si>
    <t>90D-HYP-INSPREE-BLOCK-84X54X04</t>
  </si>
  <si>
    <t>90D-HYP-INSPREE-BLOCK-84X57X04</t>
  </si>
  <si>
    <t>90D-HYP-INSPREE-BLOCK-84X60X04</t>
  </si>
  <si>
    <t>90D-HYP-INSPREE-BLOCK-84X63X04</t>
  </si>
  <si>
    <t>90D-HYP-INSPREE-BLOCK-84X66X04</t>
  </si>
  <si>
    <t>90D-HYP-INSPREE-BLOCK-84X69X04</t>
  </si>
  <si>
    <t>90D-HYP-INSPREE-BLOCK-84X72X04</t>
  </si>
  <si>
    <t>INSPREE 90D-PU</t>
  </si>
  <si>
    <t>INSPREE 90D-PU-ET</t>
  </si>
  <si>
    <t>INSPREE 90D MFET</t>
  </si>
  <si>
    <t>INSPREE 90DMF</t>
  </si>
  <si>
    <t>CK4</t>
  </si>
  <si>
    <t>HYPVISBND72X30X04</t>
  </si>
  <si>
    <t>HYPVISBND72X33X04</t>
  </si>
  <si>
    <t>HYPVISBND72X36X04</t>
  </si>
  <si>
    <t>HYPVISBND72X39X04</t>
  </si>
  <si>
    <t>HYPVISBND72X42X04</t>
  </si>
  <si>
    <t>HYPVISBND72X45X04</t>
  </si>
  <si>
    <t>HYPVISBND72X48X04</t>
  </si>
  <si>
    <t>HYPVISBND72X51X04</t>
  </si>
  <si>
    <t>HYPVISBND72X54X04</t>
  </si>
  <si>
    <t>HYPVISBND72X57X04</t>
  </si>
  <si>
    <t>HYPVISBND72X60X04</t>
  </si>
  <si>
    <t>HYPVISBND72X63X04</t>
  </si>
  <si>
    <t>HYPVISBND72X66X04</t>
  </si>
  <si>
    <t>HYPVISBND72X69X04</t>
  </si>
  <si>
    <t>HYPVISBND72X72X04</t>
  </si>
  <si>
    <t>HYPVISBND75X30X04</t>
  </si>
  <si>
    <t>HYPVISBND75X33X04</t>
  </si>
  <si>
    <t>HYPVISBND75X36X04</t>
  </si>
  <si>
    <t>HYPVISBND75X39X04</t>
  </si>
  <si>
    <t>HYPVISBND75X42X04</t>
  </si>
  <si>
    <t>HYPVISBND75X45X04</t>
  </si>
  <si>
    <t>HYPVISBND75X48X04</t>
  </si>
  <si>
    <t>HYPVISBND75X51X04</t>
  </si>
  <si>
    <t>HYPVISBND75X54X04</t>
  </si>
  <si>
    <t>HYPVISBND75X57X04</t>
  </si>
  <si>
    <t>HYPVISBND75X60X04</t>
  </si>
  <si>
    <t>HYPVISBND75X63X04</t>
  </si>
  <si>
    <t>HYPVISBND75X66X04</t>
  </si>
  <si>
    <t>HYPVISBND75X69X04</t>
  </si>
  <si>
    <t>HYPVISBND75X72X04</t>
  </si>
  <si>
    <t>HYPVISBND78X30X04</t>
  </si>
  <si>
    <t>HYPVISBND78X33X04</t>
  </si>
  <si>
    <t>HYPVISBND78X36X04</t>
  </si>
  <si>
    <t>HYPVISBND78X39X04</t>
  </si>
  <si>
    <t>HYPVISBND78X42X04</t>
  </si>
  <si>
    <t>HYPVISBND78X45X04</t>
  </si>
  <si>
    <t>HYPVISBND78X48X04</t>
  </si>
  <si>
    <t>HYPVISBND78X51X04</t>
  </si>
  <si>
    <t>HYPVISBND78X54X04</t>
  </si>
  <si>
    <t>HYPVISBND78X57X04</t>
  </si>
  <si>
    <t>HYPVISBND78X60X04</t>
  </si>
  <si>
    <t>HYPVISBND78X63X04</t>
  </si>
  <si>
    <t>HYPVISBND78X66X04</t>
  </si>
  <si>
    <t>HYPVISBND78X69X04</t>
  </si>
  <si>
    <t>HYPVISBND78X72X04</t>
  </si>
  <si>
    <t>HYPVISBND80X30X04</t>
  </si>
  <si>
    <t>HYPVISBND80X33X04</t>
  </si>
  <si>
    <t>HYPVISBND80X36X04</t>
  </si>
  <si>
    <t>HYPVISBND80X39X04</t>
  </si>
  <si>
    <t>HYPVISBND80X42X04</t>
  </si>
  <si>
    <t>HYPVISBND80X45X04</t>
  </si>
  <si>
    <t>HYPVISBND80X48X04</t>
  </si>
  <si>
    <t>HYPVISBND80X51X04</t>
  </si>
  <si>
    <t>HYPVISBND80X54X04</t>
  </si>
  <si>
    <t>HYPVISBND80X57X04</t>
  </si>
  <si>
    <t>HYPVISBND80X60X04</t>
  </si>
  <si>
    <t>HYPVISBND80X63X04</t>
  </si>
  <si>
    <t>HYPVISBND80X66X04</t>
  </si>
  <si>
    <t>HYPVISBND80X69X04</t>
  </si>
  <si>
    <t>HYPVISBND80X72X04</t>
  </si>
  <si>
    <t>HYPVISBND84X30X04</t>
  </si>
  <si>
    <t>HYPVISBND84X33X04</t>
  </si>
  <si>
    <t>HYPVISBND84X36X04</t>
  </si>
  <si>
    <t>HYPVISBND84X39X04</t>
  </si>
  <si>
    <t>HYPVISBND84X42X04</t>
  </si>
  <si>
    <t>HYPVISBND84X45X04</t>
  </si>
  <si>
    <t>HYPVISBND84X48X04</t>
  </si>
  <si>
    <t>HYPVISBND84X51X04</t>
  </si>
  <si>
    <t>HYPVISBND84X54X04</t>
  </si>
  <si>
    <t>HYPVISBND84X57X04</t>
  </si>
  <si>
    <t>HYPVISBND84X60X04</t>
  </si>
  <si>
    <t>HYPVISBND84X63X04</t>
  </si>
  <si>
    <t>HYPVISBND84X66X04</t>
  </si>
  <si>
    <t>HYPVISBND84X69X04</t>
  </si>
  <si>
    <t>HYPVISBND84X72X04</t>
  </si>
  <si>
    <t>HYPVISBND72X30X05</t>
  </si>
  <si>
    <t>HYPVISBND72X33X05</t>
  </si>
  <si>
    <t>HYPVISBND72X36X05</t>
  </si>
  <si>
    <t>HYPVISBND72X39X05</t>
  </si>
  <si>
    <t>HYPVISBND72X42X05</t>
  </si>
  <si>
    <t>HYPVISBND72X45X05</t>
  </si>
  <si>
    <t>HYPVISBND72X48X05</t>
  </si>
  <si>
    <t>HYPVISBND72X51X05</t>
  </si>
  <si>
    <t>HYPVISBND72X54X05</t>
  </si>
  <si>
    <t>HYPVISBND72X57X05</t>
  </si>
  <si>
    <t>HYPVISBND72X60X05</t>
  </si>
  <si>
    <t>HYPVISBND72X63X05</t>
  </si>
  <si>
    <t>HYPVISBND72X66X05</t>
  </si>
  <si>
    <t>HYPVISBND72X69X05</t>
  </si>
  <si>
    <t>HYPVISBND72X72X05</t>
  </si>
  <si>
    <t>HYPVISBND75X30X05</t>
  </si>
  <si>
    <t>HYPVISBND75X33X05</t>
  </si>
  <si>
    <t>HYPVISBND75X36X05</t>
  </si>
  <si>
    <t>HYPVISBND75X39X05</t>
  </si>
  <si>
    <t>HYPVISBND75X42X05</t>
  </si>
  <si>
    <t>HYPVISBND75X45X05</t>
  </si>
  <si>
    <t>HYPVISBND75X48X05</t>
  </si>
  <si>
    <t>HYPVISBND75X51X05</t>
  </si>
  <si>
    <t>HYPVISBND75X54X05</t>
  </si>
  <si>
    <t>HYPVISBND75X57X05</t>
  </si>
  <si>
    <t>HYPVISBND75X60X05</t>
  </si>
  <si>
    <t>HYPVISBND75X63X05</t>
  </si>
  <si>
    <t>HYPVISBND75X66X05</t>
  </si>
  <si>
    <t>HYPVISBND75X69X05</t>
  </si>
  <si>
    <t>HYPVISBND75X72X05</t>
  </si>
  <si>
    <t>HYPVISBND78X30X05</t>
  </si>
  <si>
    <t>HYPVISBND78X33X05</t>
  </si>
  <si>
    <t>HYPVISBND78X36X05</t>
  </si>
  <si>
    <t>HYPVISBND78X39X05</t>
  </si>
  <si>
    <t>HYPVISBND78X42X05</t>
  </si>
  <si>
    <t>HYPVISBND78X45X05</t>
  </si>
  <si>
    <t>HYPVISBND78X48X05</t>
  </si>
  <si>
    <t>HYPVISBND78X51X05</t>
  </si>
  <si>
    <t>HYPVISBND78X54X05</t>
  </si>
  <si>
    <t>HYPVISBND78X57X05</t>
  </si>
  <si>
    <t>HYPVISBND78X60X05</t>
  </si>
  <si>
    <t>HYPVISBND78X63X05</t>
  </si>
  <si>
    <t>HYPVISBND78X66X05</t>
  </si>
  <si>
    <t>HYPVISBND78X69X05</t>
  </si>
  <si>
    <t>HYPVISBND78X72X05</t>
  </si>
  <si>
    <t>HYPVISBND80X30X05</t>
  </si>
  <si>
    <t>HYPVISBND80X33X05</t>
  </si>
  <si>
    <t>HYPVISBND80X36X05</t>
  </si>
  <si>
    <t>HYPVISBND80X39X05</t>
  </si>
  <si>
    <t>HYPVISBND80X42X05</t>
  </si>
  <si>
    <t>HYPVISBND80X45X05</t>
  </si>
  <si>
    <t>HYPVISBND80X48X05</t>
  </si>
  <si>
    <t>HYPVISBND80X51X05</t>
  </si>
  <si>
    <t>HYPVISBND80X54X05</t>
  </si>
  <si>
    <t>HYPVISBND80X57X05</t>
  </si>
  <si>
    <t>HYPVISBND80X60X05</t>
  </si>
  <si>
    <t>HYPVISBND80X63X05</t>
  </si>
  <si>
    <t>HYPVISBND80X66X05</t>
  </si>
  <si>
    <t>HYPVISBND80X69X05</t>
  </si>
  <si>
    <t>HYPVISBND80X72X05</t>
  </si>
  <si>
    <t>HYPVISBND84X30X05</t>
  </si>
  <si>
    <t>HYPVISBND84X33X05</t>
  </si>
  <si>
    <t>HYPVISBND84X36X05</t>
  </si>
  <si>
    <t>HYPVISBND84X39X05</t>
  </si>
  <si>
    <t>HYPVISBND84X42X05</t>
  </si>
  <si>
    <t>HYPVISBND84X45X05</t>
  </si>
  <si>
    <t>HYPVISBND84X48X05</t>
  </si>
  <si>
    <t>HYPVISBND84X51X05</t>
  </si>
  <si>
    <t>HYPVISBND84X54X05</t>
  </si>
  <si>
    <t>HYPVISBND84X57X05</t>
  </si>
  <si>
    <t>HYPVISBND84X60X05</t>
  </si>
  <si>
    <t>HYPVISBND84X63X05</t>
  </si>
  <si>
    <t>HYPVISBND84X66X05</t>
  </si>
  <si>
    <t>HYPVISBND84X69X05</t>
  </si>
  <si>
    <t>HYPVISBND84X72X05</t>
  </si>
  <si>
    <t>HYPVISBND72X30X06</t>
  </si>
  <si>
    <t>HYPVISBND72X33X06</t>
  </si>
  <si>
    <t>HYPVISBND72X36X06</t>
  </si>
  <si>
    <t>HYPVISBND72X39X06</t>
  </si>
  <si>
    <t>HYPVISBND72X42X06</t>
  </si>
  <si>
    <t>HYPVISBND72X45X06</t>
  </si>
  <si>
    <t>HYPVISBND72X48X06</t>
  </si>
  <si>
    <t>HYPVISBND72X51X06</t>
  </si>
  <si>
    <t>HYPVISBND72X54X06</t>
  </si>
  <si>
    <t>HYPVISBND72X57X06</t>
  </si>
  <si>
    <t>HYPVISBND72X60X06</t>
  </si>
  <si>
    <t>HYPVISBND72X63X06</t>
  </si>
  <si>
    <t>HYPVISBND72X66X06</t>
  </si>
  <si>
    <t>HYPVISBND72X69X06</t>
  </si>
  <si>
    <t>HYPVISBND72X72X06</t>
  </si>
  <si>
    <t>HYPVISBND75X30X06</t>
  </si>
  <si>
    <t>HYPVISBND75X33X06</t>
  </si>
  <si>
    <t>HYPVISBND75X36X06</t>
  </si>
  <si>
    <t>HYPVISBND75X39X06</t>
  </si>
  <si>
    <t>HYPVISBND75X42X06</t>
  </si>
  <si>
    <t>HYPVISBND75X45X06</t>
  </si>
  <si>
    <t>HYPVISBND75X48X06</t>
  </si>
  <si>
    <t>HYPVISBND75X51X06</t>
  </si>
  <si>
    <t>HYPVISBND75X54X06</t>
  </si>
  <si>
    <t>HYPVISBND75X57X06</t>
  </si>
  <si>
    <t>HYPVISBND75X60X06</t>
  </si>
  <si>
    <t>HYPVISBND75X63X06</t>
  </si>
  <si>
    <t>HYPVISBND75X66X06</t>
  </si>
  <si>
    <t>HYPVISBND75X69X06</t>
  </si>
  <si>
    <t>HYPVISBND75X72X06</t>
  </si>
  <si>
    <t>HYPVISBND78X30X06</t>
  </si>
  <si>
    <t>HYPVISBND78X33X06</t>
  </si>
  <si>
    <t>HYPVISBND78X36X06</t>
  </si>
  <si>
    <t>HYPVISBND78X39X06</t>
  </si>
  <si>
    <t>HYPVISBND78X42X06</t>
  </si>
  <si>
    <t>HYPVISBND78X45X06</t>
  </si>
  <si>
    <t>HYPVISBND78X48X06</t>
  </si>
  <si>
    <t>HYPVISBND78X51X06</t>
  </si>
  <si>
    <t>HYPVISBND78X54X06</t>
  </si>
  <si>
    <t>HYPVISBND78X57X06</t>
  </si>
  <si>
    <t>HYPVISBND78X60X06</t>
  </si>
  <si>
    <t>HYPVISBND78X63X06</t>
  </si>
  <si>
    <t>HYPVISBND78X66X06</t>
  </si>
  <si>
    <t>HYPVISBND78X69X06</t>
  </si>
  <si>
    <t>HYPVISBND78X72X06</t>
  </si>
  <si>
    <t>HYPVISBND80X30X06</t>
  </si>
  <si>
    <t>HYPVISBND80X33X06</t>
  </si>
  <si>
    <t>HYPVISBND80X36X06</t>
  </si>
  <si>
    <t>HYPVISBND80X39X06</t>
  </si>
  <si>
    <t>HYPVISBND80X42X06</t>
  </si>
  <si>
    <t>HYPVISBND80X45X06</t>
  </si>
  <si>
    <t>HYPVISBND80X48X06</t>
  </si>
  <si>
    <t>HYPVISBND80X51X06</t>
  </si>
  <si>
    <t>HYPVISBND80X54X06</t>
  </si>
  <si>
    <t>HYPVISBND80X57X06</t>
  </si>
  <si>
    <t>HYPVISBND80X60X06</t>
  </si>
  <si>
    <t>HYPVISBND80X63X06</t>
  </si>
  <si>
    <t>HYPVISBND80X66X06</t>
  </si>
  <si>
    <t>HYPVISBND80X69X06</t>
  </si>
  <si>
    <t>HYPVISBND80X72X06</t>
  </si>
  <si>
    <t>HYPVISBND84X30X06</t>
  </si>
  <si>
    <t>HYPVISBND84X33X06</t>
  </si>
  <si>
    <t>HYPVISBND84X36X06</t>
  </si>
  <si>
    <t>HYPVISBND84X39X06</t>
  </si>
  <si>
    <t>HYPVISBND84X42X06</t>
  </si>
  <si>
    <t>HYPVISBND84X45X06</t>
  </si>
  <si>
    <t>HYPVISBND84X48X06</t>
  </si>
  <si>
    <t>HYPVISBND84X51X06</t>
  </si>
  <si>
    <t>HYPVISBND84X54X06</t>
  </si>
  <si>
    <t>HYPVISBND84X57X06</t>
  </si>
  <si>
    <t>HYPVISBND84X60X06</t>
  </si>
  <si>
    <t>HYPVISBND84X63X06</t>
  </si>
  <si>
    <t>HYPVISBND84X66X06</t>
  </si>
  <si>
    <t>HYPVISBND84X69X06</t>
  </si>
  <si>
    <t>HYPVISBND84X72X06</t>
  </si>
  <si>
    <t>VISTA-BOND-FOAM-BLOCK-72X30X04</t>
  </si>
  <si>
    <t>VISTA-BOND-FOAM-BLOCK-72X33X04</t>
  </si>
  <si>
    <t>VISTA-BOND-FOAM-BLOCK-72X36X04</t>
  </si>
  <si>
    <t>VISTA-BOND-FOAM-BLOCK-72X39X04</t>
  </si>
  <si>
    <t>VISTA-BOND-FOAM-BLOCK-72X42X04</t>
  </si>
  <si>
    <t>VISTA-BOND-FOAM-BLOCK-72X45X04</t>
  </si>
  <si>
    <t>VISTA-BOND-FOAM-BLOCK-72X48X04</t>
  </si>
  <si>
    <t>VISTA-BOND-FOAM-BLOCK-72X51X04</t>
  </si>
  <si>
    <t>VISTA-BOND-FOAM-BLOCK-72X54X04</t>
  </si>
  <si>
    <t>VISTA-BOND-FOAM-BLOCK-72X57X04</t>
  </si>
  <si>
    <t>VISTA-BOND-FOAM-BLOCK-72X60X04</t>
  </si>
  <si>
    <t>VISTA-BOND-FOAM-BLOCK-72X63X04</t>
  </si>
  <si>
    <t>VISTA-BOND-FOAM-BLOCK-72X66X04</t>
  </si>
  <si>
    <t>VISTA-BOND-FOAM-BLOCK-72X69X04</t>
  </si>
  <si>
    <t>VISTA-BOND-FOAM-BLOCK-72X72X04</t>
  </si>
  <si>
    <t>VISTA-BOND-FOAM-BLOCK-75X30X04</t>
  </si>
  <si>
    <t>VISTA-BOND-FOAM-BLOCK-75X33X04</t>
  </si>
  <si>
    <t>VISTA-BOND-FOAM-BLOCK-75X36X04</t>
  </si>
  <si>
    <t>VISTA-BOND-FOAM-BLOCK-75X39X04</t>
  </si>
  <si>
    <t>VISTA-BOND-FOAM-BLOCK-75X42X04</t>
  </si>
  <si>
    <t>VISTA-BOND-FOAM-BLOCK-75X45X04</t>
  </si>
  <si>
    <t>VISTA-BOND-FOAM-BLOCK-75X48X04</t>
  </si>
  <si>
    <t>VISTA-BOND-FOAM-BLOCK-75X51X04</t>
  </si>
  <si>
    <t>VISTA-BOND-FOAM-BLOCK-75X54X04</t>
  </si>
  <si>
    <t>VISTA-BOND-FOAM-BLOCK-75X57X04</t>
  </si>
  <si>
    <t>VISTA-BOND-FOAM-BLOCK-75X60X04</t>
  </si>
  <si>
    <t>VISTA-BOND-FOAM-BLOCK-75X63X04</t>
  </si>
  <si>
    <t>VISTA-BOND-FOAM-BLOCK-75X66X04</t>
  </si>
  <si>
    <t>VISTA-BOND-FOAM-BLOCK-75X69X04</t>
  </si>
  <si>
    <t>VISTA-BOND-FOAM-BLOCK-75X72X04</t>
  </si>
  <si>
    <t>VISTA-BOND-FOAM-BLOCK-78X30X04</t>
  </si>
  <si>
    <t>VISTA-BOND-FOAM-BLOCK-78X33X04</t>
  </si>
  <si>
    <t>VISTA-BOND-FOAM-BLOCK-78X36X04</t>
  </si>
  <si>
    <t>VISTA-BOND-FOAM-BLOCK-78X39X04</t>
  </si>
  <si>
    <t>VISTA-BOND-FOAM-BLOCK-78X42X04</t>
  </si>
  <si>
    <t>VISTA-BOND-FOAM-BLOCK-78X45X04</t>
  </si>
  <si>
    <t>VISTA-BOND-FOAM-BLOCK-78X48X04</t>
  </si>
  <si>
    <t>VISTA-BOND-FOAM-BLOCK-78X51X04</t>
  </si>
  <si>
    <t>VISTA-BOND-FOAM-BLOCK-78X54X04</t>
  </si>
  <si>
    <t>VISTA-BOND-FOAM-BLOCK-78X57X04</t>
  </si>
  <si>
    <t>VISTA-BOND-FOAM-BLOCK-78X60X04</t>
  </si>
  <si>
    <t>VISTA-BOND-FOAM-BLOCK-78X63X04</t>
  </si>
  <si>
    <t>VISTA-BOND-FOAM-BLOCK-78X66X04</t>
  </si>
  <si>
    <t>VISTA-BOND-FOAM-BLOCK-78X69X04</t>
  </si>
  <si>
    <t>VISTA-BOND-FOAM-BLOCK-78X72X04</t>
  </si>
  <si>
    <t>VISTA-BOND-FOAM-BLOCK-80X30X04</t>
  </si>
  <si>
    <t>VISTA-BOND-FOAM-BLOCK-80X33X04</t>
  </si>
  <si>
    <t>VISTA-BOND-FOAM-BLOCK-80X36X04</t>
  </si>
  <si>
    <t>VISTA-BOND-FOAM-BLOCK-80X39X04</t>
  </si>
  <si>
    <t>VISTA-BOND-FOAM-BLOCK-80X42X04</t>
  </si>
  <si>
    <t>VISTA-BOND-FOAM-BLOCK-80X45X04</t>
  </si>
  <si>
    <t>VISTA-BOND-FOAM-BLOCK-80X48X04</t>
  </si>
  <si>
    <t>VISTA-BOND-FOAM-BLOCK-80X51X04</t>
  </si>
  <si>
    <t>VISTA-BOND-FOAM-BLOCK-80X54X04</t>
  </si>
  <si>
    <t>VISTA-BOND-FOAM-BLOCK-80X57X04</t>
  </si>
  <si>
    <t>VISTA-BOND-FOAM-BLOCK-80X60X04</t>
  </si>
  <si>
    <t>VISTA-BOND-FOAM-BLOCK-80X63X04</t>
  </si>
  <si>
    <t>VISTA-BOND-FOAM-BLOCK-80X66X04</t>
  </si>
  <si>
    <t>VISTA-BOND-FOAM-BLOCK-80X69X04</t>
  </si>
  <si>
    <t>VISTA-BOND-FOAM-BLOCK-80X72X04</t>
  </si>
  <si>
    <t>VISTA-BOND-FOAM-BLOCK-84X30X04</t>
  </si>
  <si>
    <t>VISTA-BOND-FOAM-BLOCK-84X33X04</t>
  </si>
  <si>
    <t>VISTA-BOND-FOAM-BLOCK-84X36X04</t>
  </si>
  <si>
    <t>VISTA-BOND-FOAM-BLOCK-84X39X04</t>
  </si>
  <si>
    <t>VISTA-BOND-FOAM-BLOCK-84X42X04</t>
  </si>
  <si>
    <t>VISTA-BOND-FOAM-BLOCK-84X45X04</t>
  </si>
  <si>
    <t>VISTA-BOND-FOAM-BLOCK-84X48X04</t>
  </si>
  <si>
    <t>VISTA-BOND-FOAM-BLOCK-84X51X04</t>
  </si>
  <si>
    <t>VISTA-BOND-FOAM-BLOCK-84X54X04</t>
  </si>
  <si>
    <t>VISTA-BOND-FOAM-BLOCK-84X57X04</t>
  </si>
  <si>
    <t>VISTA-BOND-FOAM-BLOCK-84X60X04</t>
  </si>
  <si>
    <t>VISTA-BOND-FOAM-BLOCK-84X63X04</t>
  </si>
  <si>
    <t>VISTA-BOND-FOAM-BLOCK-84X66X04</t>
  </si>
  <si>
    <t>VISTA-BOND-FOAM-BLOCK-84X69X04</t>
  </si>
  <si>
    <t>VISTA-BOND-FOAM-BLOCK-84X72X04</t>
  </si>
  <si>
    <t>VISTA-BOND-FOAM-BLOCK-72X30X05</t>
  </si>
  <si>
    <t>VISTA-BOND-FOAM-BLOCK-72X33X05</t>
  </si>
  <si>
    <t>VISTA-BOND-FOAM-BLOCK-72X36X05</t>
  </si>
  <si>
    <t>VISTA-BOND-FOAM-BLOCK-72X39X05</t>
  </si>
  <si>
    <t>VISTA-BOND-FOAM-BLOCK-72X42X05</t>
  </si>
  <si>
    <t>VISTA-BOND-FOAM-BLOCK-72X45X05</t>
  </si>
  <si>
    <t>VISTA-BOND-FOAM-BLOCK-72X48X05</t>
  </si>
  <si>
    <t>VISTA-BOND-FOAM-BLOCK-72X51X05</t>
  </si>
  <si>
    <t>VISTA-BOND-FOAM-BLOCK-72X54X05</t>
  </si>
  <si>
    <t>VISTA-BOND-FOAM-BLOCK-72X57X05</t>
  </si>
  <si>
    <t>VISTA-BOND-FOAM-BLOCK-72X60X05</t>
  </si>
  <si>
    <t>VISTA-BOND-FOAM-BLOCK-72X63X05</t>
  </si>
  <si>
    <t>VISTA-BOND-FOAM-BLOCK-72X66X05</t>
  </si>
  <si>
    <t>VISTA-BOND-FOAM-BLOCK-72X69X05</t>
  </si>
  <si>
    <t>VISTA-BOND-FOAM-BLOCK-72X72X05</t>
  </si>
  <si>
    <t>VISTA-BOND-FOAM-BLOCK-75X30X05</t>
  </si>
  <si>
    <t>VISTA-BOND-FOAM-BLOCK-75X33X05</t>
  </si>
  <si>
    <t>VISTA-BOND-FOAM-BLOCK-75X36X05</t>
  </si>
  <si>
    <t>VISTA-BOND-FOAM-BLOCK-75X39X05</t>
  </si>
  <si>
    <t>VISTA-BOND-FOAM-BLOCK-75X42X05</t>
  </si>
  <si>
    <t>VISTA-BOND-FOAM-BLOCK-75X45X05</t>
  </si>
  <si>
    <t>VISTA-BOND-FOAM-BLOCK-75X48X05</t>
  </si>
  <si>
    <t>VISTA-BOND-FOAM-BLOCK-75X51X05</t>
  </si>
  <si>
    <t>VISTA-BOND-FOAM-BLOCK-75X54X05</t>
  </si>
  <si>
    <t>VISTA-BOND-FOAM-BLOCK-75X57X05</t>
  </si>
  <si>
    <t>VISTA-BOND-FOAM-BLOCK-75X60X05</t>
  </si>
  <si>
    <t>VISTA-BOND-FOAM-BLOCK-75X63X05</t>
  </si>
  <si>
    <t>VISTA-BOND-FOAM-BLOCK-75X66X05</t>
  </si>
  <si>
    <t>VISTA-BOND-FOAM-BLOCK-75X69X05</t>
  </si>
  <si>
    <t>VISTA-BOND-FOAM-BLOCK-75X72X05</t>
  </si>
  <si>
    <t>VISTA-BOND-FOAM-BLOCK-78X30X05</t>
  </si>
  <si>
    <t>VISTA-BOND-FOAM-BLOCK-78X33X05</t>
  </si>
  <si>
    <t>VISTA-BOND-FOAM-BLOCK-78X36X05</t>
  </si>
  <si>
    <t>VISTA-BOND-FOAM-BLOCK-78X39X05</t>
  </si>
  <si>
    <t>VISTA-BOND-FOAM-BLOCK-78X42X05</t>
  </si>
  <si>
    <t>VISTA-BOND-FOAM-BLOCK-78X45X05</t>
  </si>
  <si>
    <t>VISTA-BOND-FOAM-BLOCK-78X48X05</t>
  </si>
  <si>
    <t>VISTA-BOND-FOAM-BLOCK-78X51X05</t>
  </si>
  <si>
    <t>VISTA-BOND-FOAM-BLOCK-78X54X05</t>
  </si>
  <si>
    <t>VISTA-BOND-FOAM-BLOCK-78X57X05</t>
  </si>
  <si>
    <t>VISTA-BOND-FOAM-BLOCK-78X60X05</t>
  </si>
  <si>
    <t>VISTA-BOND-FOAM-BLOCK-78X63X05</t>
  </si>
  <si>
    <t>VISTA-BOND-FOAM-BLOCK-78X66X05</t>
  </si>
  <si>
    <t>VISTA-BOND-FOAM-BLOCK-78X69X05</t>
  </si>
  <si>
    <t>VISTA-BOND-FOAM-BLOCK-78X72X05</t>
  </si>
  <si>
    <t>VISTA-BOND-FOAM-BLOCK-80X30X05</t>
  </si>
  <si>
    <t>VISTA-BOND-FOAM-BLOCK-80X33X05</t>
  </si>
  <si>
    <t>VISTA-BOND-FOAM-BLOCK-80X36X05</t>
  </si>
  <si>
    <t>VISTA-BOND-FOAM-BLOCK-80X39X05</t>
  </si>
  <si>
    <t>VISTA-BOND-FOAM-BLOCK-80X42X05</t>
  </si>
  <si>
    <t>VISTA-BOND-FOAM-BLOCK-80X45X05</t>
  </si>
  <si>
    <t>VISTA-BOND-FOAM-BLOCK-80X48X05</t>
  </si>
  <si>
    <t>VISTA-BOND-FOAM-BLOCK-80X51X05</t>
  </si>
  <si>
    <t>VISTA-BOND-FOAM-BLOCK-80X54X05</t>
  </si>
  <si>
    <t>VISTA-BOND-FOAM-BLOCK-80X57X05</t>
  </si>
  <si>
    <t>VISTA-BOND-FOAM-BLOCK-80X60X05</t>
  </si>
  <si>
    <t>VISTA-BOND-FOAM-BLOCK-80X63X05</t>
  </si>
  <si>
    <t>VISTA-BOND-FOAM-BLOCK-80X66X05</t>
  </si>
  <si>
    <t>VISTA-BOND-FOAM-BLOCK-80X69X05</t>
  </si>
  <si>
    <t>VISTA-BOND-FOAM-BLOCK-80X72X05</t>
  </si>
  <si>
    <t>VISTA-BOND-FOAM-BLOCK-84X30X05</t>
  </si>
  <si>
    <t>VISTA-BOND-FOAM-BLOCK-84X33X05</t>
  </si>
  <si>
    <t>VISTA-BOND-FOAM-BLOCK-84X36X05</t>
  </si>
  <si>
    <t>VISTA-BOND-FOAM-BLOCK-84X39X05</t>
  </si>
  <si>
    <t>VISTA-BOND-FOAM-BLOCK-84X42X05</t>
  </si>
  <si>
    <t>VISTA-BOND-FOAM-BLOCK-84X45X05</t>
  </si>
  <si>
    <t>VISTA-BOND-FOAM-BLOCK-84X48X05</t>
  </si>
  <si>
    <t>VISTA-BOND-FOAM-BLOCK-84X51X05</t>
  </si>
  <si>
    <t>VISTA-BOND-FOAM-BLOCK-84X54X05</t>
  </si>
  <si>
    <t>VISTA-BOND-FOAM-BLOCK-84X57X05</t>
  </si>
  <si>
    <t>VISTA-BOND-FOAM-BLOCK-84X60X05</t>
  </si>
  <si>
    <t>VISTA-BOND-FOAM-BLOCK-84X63X05</t>
  </si>
  <si>
    <t>VISTA-BOND-FOAM-BLOCK-84X66X05</t>
  </si>
  <si>
    <t>VISTA-BOND-FOAM-BLOCK-84X69X05</t>
  </si>
  <si>
    <t>VISTA-BOND-FOAM-BLOCK-84X72X05</t>
  </si>
  <si>
    <t>VISTA-BOND-FOAM-BLOCK-72X30X06</t>
  </si>
  <si>
    <t>VISTA-BOND-FOAM-BLOCK-72X33X06</t>
  </si>
  <si>
    <t>VISTA-BOND-FOAM-BLOCK-72X36X06</t>
  </si>
  <si>
    <t>VISTA-BOND-FOAM-BLOCK-72X39X06</t>
  </si>
  <si>
    <t>VISTA-BOND-FOAM-BLOCK-72X42X06</t>
  </si>
  <si>
    <t>VISTA-BOND-FOAM-BLOCK-72X45X06</t>
  </si>
  <si>
    <t>VISTA-BOND-FOAM-BLOCK-72X48X06</t>
  </si>
  <si>
    <t>VISTA-BOND-FOAM-BLOCK-72X51X06</t>
  </si>
  <si>
    <t>VISTA-BOND-FOAM-BLOCK-72X54X06</t>
  </si>
  <si>
    <t>VISTA-BOND-FOAM-BLOCK-72X57X06</t>
  </si>
  <si>
    <t>VISTA-BOND-FOAM-BLOCK-72X60X06</t>
  </si>
  <si>
    <t>VISTA-BOND-FOAM-BLOCK-72X63X06</t>
  </si>
  <si>
    <t>VISTA-BOND-FOAM-BLOCK-72X66X06</t>
  </si>
  <si>
    <t>VISTA-BOND-FOAM-BLOCK-72X69X06</t>
  </si>
  <si>
    <t>VISTA-BOND-FOAM-BLOCK-72X72X06</t>
  </si>
  <si>
    <t>VISTA-BOND-FOAM-BLOCK-75X30X06</t>
  </si>
  <si>
    <t>VISTA-BOND-FOAM-BLOCK-75X33X06</t>
  </si>
  <si>
    <t>VISTA-BOND-FOAM-BLOCK-75X36X06</t>
  </si>
  <si>
    <t>VISTA-BOND-FOAM-BLOCK-75X39X06</t>
  </si>
  <si>
    <t>VISTA-BOND-FOAM-BLOCK-75X42X06</t>
  </si>
  <si>
    <t>VISTA-BOND-FOAM-BLOCK-75X45X06</t>
  </si>
  <si>
    <t>VISTA-BOND-FOAM-BLOCK-75X48X06</t>
  </si>
  <si>
    <t>VISTA-BOND-FOAM-BLOCK-75X51X06</t>
  </si>
  <si>
    <t>VISTA-BOND-FOAM-BLOCK-75X54X06</t>
  </si>
  <si>
    <t>VISTA-BOND-FOAM-BLOCK-75X57X06</t>
  </si>
  <si>
    <t>VISTA-BOND-FOAM-BLOCK-75X60X06</t>
  </si>
  <si>
    <t>VISTA-BOND-FOAM-BLOCK-75X63X06</t>
  </si>
  <si>
    <t>VISTA-BOND-FOAM-BLOCK-75X66X06</t>
  </si>
  <si>
    <t>VISTA-BOND-FOAM-BLOCK-75X69X06</t>
  </si>
  <si>
    <t>VISTA-BOND-FOAM-BLOCK-75X72X06</t>
  </si>
  <si>
    <t>VISTA-BOND-FOAM-BLOCK-78X30X06</t>
  </si>
  <si>
    <t>VISTA-BOND-FOAM-BLOCK-78X33X06</t>
  </si>
  <si>
    <t>VISTA-BOND-FOAM-BLOCK-78X36X06</t>
  </si>
  <si>
    <t>VISTA-BOND-FOAM-BLOCK-78X39X06</t>
  </si>
  <si>
    <t>VISTA-BOND-FOAM-BLOCK-78X42X06</t>
  </si>
  <si>
    <t>VISTA-BOND-FOAM-BLOCK-78X45X06</t>
  </si>
  <si>
    <t>VISTA-BOND-FOAM-BLOCK-78X48X06</t>
  </si>
  <si>
    <t>VISTA-BOND-FOAM-BLOCK-78X51X06</t>
  </si>
  <si>
    <t>VISTA-BOND-FOAM-BLOCK-78X54X06</t>
  </si>
  <si>
    <t>VISTA-BOND-FOAM-BLOCK-78X57X06</t>
  </si>
  <si>
    <t>VISTA-BOND-FOAM-BLOCK-78X60X06</t>
  </si>
  <si>
    <t>VISTA-BOND-FOAM-BLOCK-78X63X06</t>
  </si>
  <si>
    <t>VISTA-BOND-FOAM-BLOCK-78X66X06</t>
  </si>
  <si>
    <t>VISTA-BOND-FOAM-BLOCK-78X69X06</t>
  </si>
  <si>
    <t>VISTA-BOND-FOAM-BLOCK-78X72X06</t>
  </si>
  <si>
    <t>VISTA-BOND-FOAM-BLOCK-80X30X06</t>
  </si>
  <si>
    <t>VISTA-BOND-FOAM-BLOCK-80X33X06</t>
  </si>
  <si>
    <t>VISTA-BOND-FOAM-BLOCK-80X36X06</t>
  </si>
  <si>
    <t>VISTA-BOND-FOAM-BLOCK-80X39X06</t>
  </si>
  <si>
    <t>VISTA-BOND-FOAM-BLOCK-80X42X06</t>
  </si>
  <si>
    <t>VISTA-BOND-FOAM-BLOCK-80X45X06</t>
  </si>
  <si>
    <t>VISTA-BOND-FOAM-BLOCK-80X48X06</t>
  </si>
  <si>
    <t>VISTA-BOND-FOAM-BLOCK-80X51X06</t>
  </si>
  <si>
    <t>VISTA-BOND-FOAM-BLOCK-80X54X06</t>
  </si>
  <si>
    <t>VISTA-BOND-FOAM-BLOCK-80X57X06</t>
  </si>
  <si>
    <t>VISTA-BOND-FOAM-BLOCK-80X60X06</t>
  </si>
  <si>
    <t>VISTA-BOND-FOAM-BLOCK-80X63X06</t>
  </si>
  <si>
    <t>VISTA-BOND-FOAM-BLOCK-80X66X06</t>
  </si>
  <si>
    <t>VISTA-BOND-FOAM-BLOCK-80X69X06</t>
  </si>
  <si>
    <t>VISTA-BOND-FOAM-BLOCK-80X72X06</t>
  </si>
  <si>
    <t>VISTA-BOND-FOAM-BLOCK-84X30X06</t>
  </si>
  <si>
    <t>VISTA-BOND-FOAM-BLOCK-84X33X06</t>
  </si>
  <si>
    <t>VISTA-BOND-FOAM-BLOCK-84X36X06</t>
  </si>
  <si>
    <t>VISTA-BOND-FOAM-BLOCK-84X39X06</t>
  </si>
  <si>
    <t>VISTA-BOND-FOAM-BLOCK-84X42X06</t>
  </si>
  <si>
    <t>VISTA-BOND-FOAM-BLOCK-84X45X06</t>
  </si>
  <si>
    <t>VISTA-BOND-FOAM-BLOCK-84X48X06</t>
  </si>
  <si>
    <t>VISTA-BOND-FOAM-BLOCK-84X51X06</t>
  </si>
  <si>
    <t>VISTA-BOND-FOAM-BLOCK-84X54X06</t>
  </si>
  <si>
    <t>VISTA-BOND-FOAM-BLOCK-84X57X06</t>
  </si>
  <si>
    <t>VISTA-BOND-FOAM-BLOCK-84X60X06</t>
  </si>
  <si>
    <t>VISTA-BOND-FOAM-BLOCK-84X63X06</t>
  </si>
  <si>
    <t>VISTA-BOND-FOAM-BLOCK-84X66X06</t>
  </si>
  <si>
    <t>VISTA-BOND-FOAM-BLOCK-84X69X06</t>
  </si>
  <si>
    <t>VISTA-BOND-FOAM-BLOCK-84X72X06</t>
  </si>
  <si>
    <t>VISTA BOND</t>
  </si>
  <si>
    <t>SKSGFM72X30X06</t>
  </si>
  <si>
    <t>SKSGFM72X33X06</t>
  </si>
  <si>
    <t>SKSGFM72X36X06</t>
  </si>
  <si>
    <t>SKSGFM72X39X06</t>
  </si>
  <si>
    <t>SKSGFM72X42X06</t>
  </si>
  <si>
    <t>SKSGFM72X45X06</t>
  </si>
  <si>
    <t>SKSGFM72X48X06</t>
  </si>
  <si>
    <t>SKSGFM72X51X06</t>
  </si>
  <si>
    <t>SKSGFM72X54X06</t>
  </si>
  <si>
    <t>SKSGFM72X57X06</t>
  </si>
  <si>
    <t>SKSGFM72X60X06</t>
  </si>
  <si>
    <t>SKSGFM72X63X06</t>
  </si>
  <si>
    <t>SKSGFM72X66X06</t>
  </si>
  <si>
    <t>SKSGFM72X69X06</t>
  </si>
  <si>
    <t>SKSGFM72X72X06</t>
  </si>
  <si>
    <t>SKSGFM75X30X06</t>
  </si>
  <si>
    <t>SKSGFM75X33X06</t>
  </si>
  <si>
    <t>SKSGFM75X36X06</t>
  </si>
  <si>
    <t>SKSGFM75X39X06</t>
  </si>
  <si>
    <t>SKSGFM75X42X06</t>
  </si>
  <si>
    <t>SKSGFM75X45X06</t>
  </si>
  <si>
    <t>SKSGFM75X48X06</t>
  </si>
  <si>
    <t>SKSGFM75X51X06</t>
  </si>
  <si>
    <t>SKSGFM75X54X06</t>
  </si>
  <si>
    <t>SKSGFM75X57X06</t>
  </si>
  <si>
    <t>SKSGFM75X60X06</t>
  </si>
  <si>
    <t>SKSGFM75X63X06</t>
  </si>
  <si>
    <t>SKSGFM75X66X06</t>
  </si>
  <si>
    <t>SKSGFM75X69X06</t>
  </si>
  <si>
    <t>SKSGFM75X72X06</t>
  </si>
  <si>
    <t>SKSGFM78X30X06</t>
  </si>
  <si>
    <t>SKSGFM78X33X06</t>
  </si>
  <si>
    <t>SKSGFM78X36X06</t>
  </si>
  <si>
    <t>SKSGFM78X39X06</t>
  </si>
  <si>
    <t>SKSGFM78X42X06</t>
  </si>
  <si>
    <t>SKSGFM78X45X06</t>
  </si>
  <si>
    <t>SKSGFM78X48X06</t>
  </si>
  <si>
    <t>SKSGFM78X51X06</t>
  </si>
  <si>
    <t>SKSGFM78X54X06</t>
  </si>
  <si>
    <t>SKSGFM78X57X06</t>
  </si>
  <si>
    <t>SKSGFM78X60X06</t>
  </si>
  <si>
    <t>SKSGFM78X63X06</t>
  </si>
  <si>
    <t>SKSGFM78X66X06</t>
  </si>
  <si>
    <t>SKSGFM78X69X06</t>
  </si>
  <si>
    <t>SKSGFM78X72X06</t>
  </si>
  <si>
    <t>SKSGFM80X30X06</t>
  </si>
  <si>
    <t>SKSGFM80X33X06</t>
  </si>
  <si>
    <t>SKSGFM80X36X06</t>
  </si>
  <si>
    <t>SKSGFM80X39X06</t>
  </si>
  <si>
    <t>SKSGFM80X42X06</t>
  </si>
  <si>
    <t>SKSGFM80X45X06</t>
  </si>
  <si>
    <t>SKSGFM80X48X06</t>
  </si>
  <si>
    <t>SKSGFM80X51X06</t>
  </si>
  <si>
    <t>SKSGFM80X54X06</t>
  </si>
  <si>
    <t>SKSGFM80X57X06</t>
  </si>
  <si>
    <t>SKSGFM80X60X06</t>
  </si>
  <si>
    <t>SKSGFM80X63X06</t>
  </si>
  <si>
    <t>SKSGFM80X66X06</t>
  </si>
  <si>
    <t>SKSGFM80X69X06</t>
  </si>
  <si>
    <t>SKSGFM80X72X06</t>
  </si>
  <si>
    <t>SKSGFM84X30X06</t>
  </si>
  <si>
    <t>SKSGFM84X33X06</t>
  </si>
  <si>
    <t>SKSGFM84X36X06</t>
  </si>
  <si>
    <t>SKSGFM84X39X06</t>
  </si>
  <si>
    <t>SKSGFM84X42X06</t>
  </si>
  <si>
    <t>SKSGFM84X45X06</t>
  </si>
  <si>
    <t>SKSGFM84X48X06</t>
  </si>
  <si>
    <t>SKSGFM84X51X06</t>
  </si>
  <si>
    <t>SKSGFM84X54X06</t>
  </si>
  <si>
    <t>SKSGFM84X57X06</t>
  </si>
  <si>
    <t>SKSGFM84X60X06</t>
  </si>
  <si>
    <t>SKSGFM84X63X06</t>
  </si>
  <si>
    <t>SKSGFM84X66X06</t>
  </si>
  <si>
    <t>SKSGFM84X69X06</t>
  </si>
  <si>
    <t>SKSGFM84X72X06</t>
  </si>
  <si>
    <t>SKSGFM72X30X08</t>
  </si>
  <si>
    <t>SKSGFM72X33X08</t>
  </si>
  <si>
    <t>SKSGFM72X36X08</t>
  </si>
  <si>
    <t>SKSGFM72X39X08</t>
  </si>
  <si>
    <t>SKSGFM72X42X08</t>
  </si>
  <si>
    <t>SKSGFM72X45X08</t>
  </si>
  <si>
    <t>SKSGFM72X48X08</t>
  </si>
  <si>
    <t>SKSGFM72X51X08</t>
  </si>
  <si>
    <t>SKSGFM72X54X08</t>
  </si>
  <si>
    <t>SKSGFM72X57X08</t>
  </si>
  <si>
    <t>SKSGFM72X60X08</t>
  </si>
  <si>
    <t>SKSGFM72X63X08</t>
  </si>
  <si>
    <t>SKSGFM72X66X08</t>
  </si>
  <si>
    <t>SKSGFM72X69X08</t>
  </si>
  <si>
    <t>SKSGFM72X72X08</t>
  </si>
  <si>
    <t>SKSGFM75X30X08</t>
  </si>
  <si>
    <t>SKSGFM75X33X08</t>
  </si>
  <si>
    <t>SKSGFM75X36X08</t>
  </si>
  <si>
    <t>SKSGFM75X39X08</t>
  </si>
  <si>
    <t>SKSGFM75X42X08</t>
  </si>
  <si>
    <t>SKSGFM75X45X08</t>
  </si>
  <si>
    <t>SKSGFM75X48X08</t>
  </si>
  <si>
    <t>SKSGFM75X51X08</t>
  </si>
  <si>
    <t>SKSGFM75X54X08</t>
  </si>
  <si>
    <t>SKSGFM75X57X08</t>
  </si>
  <si>
    <t>SKSGFM75X60X08</t>
  </si>
  <si>
    <t>SKSGFM75X63X08</t>
  </si>
  <si>
    <t>SKSGFM75X66X08</t>
  </si>
  <si>
    <t>SKSGFM75X69X08</t>
  </si>
  <si>
    <t>SKSGFM75X72X08</t>
  </si>
  <si>
    <t>SKSGFM78X30X08</t>
  </si>
  <si>
    <t>SKSGFM78X33X08</t>
  </si>
  <si>
    <t>SKSGFM78X36X08</t>
  </si>
  <si>
    <t>SKSGFM78X39X08</t>
  </si>
  <si>
    <t>SKSGFM78X42X08</t>
  </si>
  <si>
    <t>SKSGFM78X45X08</t>
  </si>
  <si>
    <t>SKSGFM78X48X08</t>
  </si>
  <si>
    <t>SKSGFM78X51X08</t>
  </si>
  <si>
    <t>SKSGFM78X54X08</t>
  </si>
  <si>
    <t>SKSGFM78X57X08</t>
  </si>
  <si>
    <t>SKSGFM78X60X08</t>
  </si>
  <si>
    <t>SKSGFM78X63X08</t>
  </si>
  <si>
    <t>SKSGFM78X66X08</t>
  </si>
  <si>
    <t>SKSGFM78X69X08</t>
  </si>
  <si>
    <t>SKSGFM78X72X08</t>
  </si>
  <si>
    <t>SKSGFM80X30X08</t>
  </si>
  <si>
    <t>SKSGFM80X33X08</t>
  </si>
  <si>
    <t>SKSGFM80X36X08</t>
  </si>
  <si>
    <t>SKSGFM80X39X08</t>
  </si>
  <si>
    <t>SKSGFM80X42X08</t>
  </si>
  <si>
    <t>SKSGFM80X45X08</t>
  </si>
  <si>
    <t>SKSGFM80X48X08</t>
  </si>
  <si>
    <t>SKSGFM80X51X08</t>
  </si>
  <si>
    <t>SKSGFM80X54X08</t>
  </si>
  <si>
    <t>SKSGFM80X57X08</t>
  </si>
  <si>
    <t>SKSGFM80X60X08</t>
  </si>
  <si>
    <t>SKSGFM80X63X08</t>
  </si>
  <si>
    <t>SKSGFM80X66X08</t>
  </si>
  <si>
    <t>SKSGFM80X69X08</t>
  </si>
  <si>
    <t>SKSGFM80X72X08</t>
  </si>
  <si>
    <t>SKSGFM84X30X08</t>
  </si>
  <si>
    <t>SKSGFM84X33X08</t>
  </si>
  <si>
    <t>SKSGFM84X36X08</t>
  </si>
  <si>
    <t>SKSGFM84X39X08</t>
  </si>
  <si>
    <t>SKSGFM84X42X08</t>
  </si>
  <si>
    <t>SKSGFM84X45X08</t>
  </si>
  <si>
    <t>SKSGFM84X48X08</t>
  </si>
  <si>
    <t>SKSGFM84X51X08</t>
  </si>
  <si>
    <t>SKSGFM84X54X08</t>
  </si>
  <si>
    <t>SKSGFM84X57X08</t>
  </si>
  <si>
    <t>SKSGFM84X60X08</t>
  </si>
  <si>
    <t>SKSGFM84X63X08</t>
  </si>
  <si>
    <t>SKSGFM84X66X08</t>
  </si>
  <si>
    <t>SKSGFM84X69X08</t>
  </si>
  <si>
    <t>SKSGFM84X72X08</t>
  </si>
  <si>
    <t>25D-HELIXA-FOAM-78X66X119MM</t>
  </si>
  <si>
    <t>25D-HELIXA-FOAM-72X30X119MM</t>
  </si>
  <si>
    <t>25D-HELIXA-FOAM-72X33X119MM</t>
  </si>
  <si>
    <t>25D-HELIXA-FOAM-72X36X119MM</t>
  </si>
  <si>
    <t>25D-HELIXA-FOAM-72X39X119MM</t>
  </si>
  <si>
    <t>25D-HELIXA-FOAM-72X42X119MM</t>
  </si>
  <si>
    <t>25D-HELIXA-FOAM-72X45X119MM</t>
  </si>
  <si>
    <t>25D-HELIXA-FOAM-72X48X119MM</t>
  </si>
  <si>
    <t>25D-HELIXA-FOAM-72X51X119MM</t>
  </si>
  <si>
    <t>25D-HELIXA-FOAM-72X54X119MM</t>
  </si>
  <si>
    <t>25D-HELIXA-FOAM-72X57X119MM</t>
  </si>
  <si>
    <t>25D-HELIXA-FOAM-72X60X119MM</t>
  </si>
  <si>
    <t>25D-HELIXA-FOAM-72X63X119MM</t>
  </si>
  <si>
    <t>25D-HELIXA-FOAM-72X66X119MM</t>
  </si>
  <si>
    <t>25D-HELIXA-FOAM-72X69X119MM</t>
  </si>
  <si>
    <t>25D-HELIXA-FOAM-72X72X119MM</t>
  </si>
  <si>
    <t>25D-HELIXA-FOAM-75X30X119MM</t>
  </si>
  <si>
    <t>25D-HELIXA-FOAM-75X33X119MM</t>
  </si>
  <si>
    <t>25D-HELIXA-FOAM-75X36X119MM</t>
  </si>
  <si>
    <t>25D-HELIXA-FOAM-75X39X119MM</t>
  </si>
  <si>
    <t>25D-HELIXA-FOAM-75X42X119MM</t>
  </si>
  <si>
    <t>25D-HELIXA-FOAM-75X45X119MM</t>
  </si>
  <si>
    <t>25D-HELIXA-FOAM-75X48X119MM</t>
  </si>
  <si>
    <t>25D-HELIXA-FOAM-75X51X119MM</t>
  </si>
  <si>
    <t>25D-HELIXA-FOAM-75X54X119MM</t>
  </si>
  <si>
    <t>25D-HELIXA-FOAM-75X57X119MM</t>
  </si>
  <si>
    <t>25D-HELIXA-FOAM-75X60X119MM</t>
  </si>
  <si>
    <t>25D-HELIXA-FOAM-75X63X119MM</t>
  </si>
  <si>
    <t>25D-HELIXA-FOAM-75X66X119MM</t>
  </si>
  <si>
    <t>25D-HELIXA-FOAM-75X69X119MM</t>
  </si>
  <si>
    <t>25D-HELIXA-FOAM-75X72X119MM</t>
  </si>
  <si>
    <t>25D-HELIXA-FOAM-78X30X119MM</t>
  </si>
  <si>
    <t>25D-HELIXA-FOAM-78X33X119MM</t>
  </si>
  <si>
    <t>25D-HELIXA-FOAM-78X36X119MM</t>
  </si>
  <si>
    <t>25D-HELIXA-FOAM-78X39X119MM</t>
  </si>
  <si>
    <t>25D-HELIXA-FOAM-78X42X119MM</t>
  </si>
  <si>
    <t>25D-HELIXA-FOAM-78X45X119MM</t>
  </si>
  <si>
    <t>25D-HELIXA-FOAM-78X48X119MM</t>
  </si>
  <si>
    <t>25D-HELIXA-FOAM-78X51X119MM</t>
  </si>
  <si>
    <t>25D-HELIXA-FOAM-78X54X119MM</t>
  </si>
  <si>
    <t>25D-HELIXA-FOAM-78X57X119MM</t>
  </si>
  <si>
    <t>25D-HELIXA-FOAM-78X60X119MM</t>
  </si>
  <si>
    <t>25D-HELIXA-FOAM-78X63X119MM</t>
  </si>
  <si>
    <t>25D-HELIXA-FOAM-78X69X119MM</t>
  </si>
  <si>
    <t>25D-HELIXA-FOAM-78X72X119MM</t>
  </si>
  <si>
    <t>25D-HELIXA-FOAM-80X30X119MM</t>
  </si>
  <si>
    <t>25D-HELIXA-FOAM-80X33X119MM</t>
  </si>
  <si>
    <t>25D-HELIXA-FOAM-80X36X119MM</t>
  </si>
  <si>
    <t>25D-HELIXA-FOAM-80X39X119MM</t>
  </si>
  <si>
    <t>25D-HELIXA-FOAM-80X42X119MM</t>
  </si>
  <si>
    <t>25D-HELIXA-FOAM-80X45X119MM</t>
  </si>
  <si>
    <t>25D-HELIXA-FOAM-80X48X119MM</t>
  </si>
  <si>
    <t>25D-HELIXA-FOAM-80X51X119MM</t>
  </si>
  <si>
    <t>25D-HELIXA-FOAM-80X54X119MM</t>
  </si>
  <si>
    <t>25D-HELIXA-FOAM-80X57X119MM</t>
  </si>
  <si>
    <t>25D-HELIXA-FOAM-80X60X119MM</t>
  </si>
  <si>
    <t>25D-HELIXA-FOAM-80X63X119MM</t>
  </si>
  <si>
    <t>25D-HELIXA-FOAM-80X66X119MM</t>
  </si>
  <si>
    <t>25D-HELIXA-FOAM-80X69X119MM</t>
  </si>
  <si>
    <t>25D-HELIXA-FOAM-80X72X119MM</t>
  </si>
  <si>
    <t>25D-HELIXA-FOAM-84X30X119MM</t>
  </si>
  <si>
    <t>25D-HELIXA-FOAM-84X33X119MM</t>
  </si>
  <si>
    <t>25D-HELIXA-FOAM-84X36X119MM</t>
  </si>
  <si>
    <t>25D-HELIXA-FOAM-84X39X119MM</t>
  </si>
  <si>
    <t>25D-HELIXA-FOAM-84X42X119MM</t>
  </si>
  <si>
    <t>25D-HELIXA-FOAM-84X45X119MM</t>
  </si>
  <si>
    <t>25D-HELIXA-FOAM-84X48X119MM</t>
  </si>
  <si>
    <t>25D-HELIXA-FOAM-84X51X119MM</t>
  </si>
  <si>
    <t>25D-HELIXA-FOAM-84X54X119MM</t>
  </si>
  <si>
    <t>25D-HELIXA-FOAM-84X57X119MM</t>
  </si>
  <si>
    <t>25D-HELIXA-FOAM-84X60X119MM</t>
  </si>
  <si>
    <t>25D-HELIXA-FOAM-84X63X119MM</t>
  </si>
  <si>
    <t>25D-HELIXA-FOAM-84X66X119MM</t>
  </si>
  <si>
    <t>25D-HELIXA-FOAM-84X69X119MM</t>
  </si>
  <si>
    <t>25D-HELIXA-FOAM-84X72X119MM</t>
  </si>
  <si>
    <t>25D-HELIXA-FOAM-72X30X170MM</t>
  </si>
  <si>
    <t>25D-HELIXA-FOAM-72X33X170MM</t>
  </si>
  <si>
    <t>25D-HELIXA-FOAM-72X36X170MM</t>
  </si>
  <si>
    <t>25D-HELIXA-FOAM-72X39X170MM</t>
  </si>
  <si>
    <t>25D-HELIXA-FOAM-72X42X170MM</t>
  </si>
  <si>
    <t>25D-HELIXA-FOAM-72X45X170MM</t>
  </si>
  <si>
    <t>25D-HELIXA-FOAM-72X48X170MM</t>
  </si>
  <si>
    <t>25D-HELIXA-FOAM-72X51X170MM</t>
  </si>
  <si>
    <t>25D-HELIXA-FOAM-72X54X170MM</t>
  </si>
  <si>
    <t>25D-HELIXA-FOAM-72X57X170MM</t>
  </si>
  <si>
    <t>25D-HELIXA-FOAM-72X60X170MM</t>
  </si>
  <si>
    <t>25D-HELIXA-FOAM-72X63X170MM</t>
  </si>
  <si>
    <t>25D-HELIXA-FOAM-72X66X170MM</t>
  </si>
  <si>
    <t>25D-HELIXA-FOAM-72X69X170MM</t>
  </si>
  <si>
    <t>25D-HELIXA-FOAM-72X72X170MM</t>
  </si>
  <si>
    <t>25D-HELIXA-FOAM-75X30X170MM</t>
  </si>
  <si>
    <t>25D-HELIXA-FOAM-75X33X170MM</t>
  </si>
  <si>
    <t>25D-HELIXA-FOAM-75X36X170MM</t>
  </si>
  <si>
    <t>25D-HELIXA-FOAM-75X39X170MM</t>
  </si>
  <si>
    <t>25D-HELIXA-FOAM-75X42X170MM</t>
  </si>
  <si>
    <t>25D-HELIXA-FOAM-75X45X170MM</t>
  </si>
  <si>
    <t>25D-HELIXA-FOAM-75X48X170MM</t>
  </si>
  <si>
    <t>25D-HELIXA-FOAM-75X51X170MM</t>
  </si>
  <si>
    <t>25D-HELIXA-FOAM-75X54X170MM</t>
  </si>
  <si>
    <t>25D-HELIXA-FOAM-75X57X170MM</t>
  </si>
  <si>
    <t>25D-HELIXA-FOAM-75X60X170MM</t>
  </si>
  <si>
    <t>25D-HELIXA-FOAM-75X63X170MM</t>
  </si>
  <si>
    <t>25D-HELIXA-FOAM-75X66X170MM</t>
  </si>
  <si>
    <t>25D-HELIXA-FOAM-75X69X170MM</t>
  </si>
  <si>
    <t>25D-HELIXA-FOAM-75X72X170MM</t>
  </si>
  <si>
    <t>25D-HELIXA-FOAM-78X30X170MM</t>
  </si>
  <si>
    <t>25D-HELIXA-FOAM-78X33X170MM</t>
  </si>
  <si>
    <t>25D-HELIXA-FOAM-78X36X170MM</t>
  </si>
  <si>
    <t>25D-HELIXA-FOAM-78X39X170MM</t>
  </si>
  <si>
    <t>25D-HELIXA-FOAM-78X42X170MM</t>
  </si>
  <si>
    <t>25D-HELIXA-FOAM-78X45X170MM</t>
  </si>
  <si>
    <t>25D-HELIXA-FOAM-78X48X170MM</t>
  </si>
  <si>
    <t>25D-HELIXA-FOAM-78X51X170MM</t>
  </si>
  <si>
    <t>25D-HELIXA-FOAM-78X54X170MM</t>
  </si>
  <si>
    <t>25D-HELIXA-FOAM-78X57X170MM</t>
  </si>
  <si>
    <t>25D-HELIXA-FOAM-78X60X170MM</t>
  </si>
  <si>
    <t>25D-HELIXA-FOAM-78X63X170MM</t>
  </si>
  <si>
    <t>25D-HELIXA-FOAM-78X66X170MM</t>
  </si>
  <si>
    <t>25D-HELIXA-FOAM-78X69X170MM</t>
  </si>
  <si>
    <t>25D-HELIXA-FOAM-78X72X170MM</t>
  </si>
  <si>
    <t>25D-HELIXA-FOAM-80X30X170MM</t>
  </si>
  <si>
    <t>25D-HELIXA-FOAM-80X33X170MM</t>
  </si>
  <si>
    <t>25D-HELIXA-FOAM-80X36X170MM</t>
  </si>
  <si>
    <t>25D-HELIXA-FOAM-80X39X170MM</t>
  </si>
  <si>
    <t>25D-HELIXA-FOAM-80X42X170MM</t>
  </si>
  <si>
    <t>25D-HELIXA-FOAM-80X45X170MM</t>
  </si>
  <si>
    <t>25D-HELIXA-FOAM-80X48X170MM</t>
  </si>
  <si>
    <t>25D-HELIXA-FOAM-80X51X170MM</t>
  </si>
  <si>
    <t>25D-HELIXA-FOAM-80X54X170MM</t>
  </si>
  <si>
    <t>25D-HELIXA-FOAM-80X57X170MM</t>
  </si>
  <si>
    <t>25D-HELIXA-FOAM-80X60X170MM</t>
  </si>
  <si>
    <t>25D-HELIXA-FOAM-80X63X170MM</t>
  </si>
  <si>
    <t>25D-HELIXA-FOAM-80X66X170MM</t>
  </si>
  <si>
    <t>25D-HELIXA-FOAM-80X69X170MM</t>
  </si>
  <si>
    <t>25D-HELIXA-FOAM-80X72X170MM</t>
  </si>
  <si>
    <t>25D-HELIXA-FOAM-84X30X170MM</t>
  </si>
  <si>
    <t>25D-HELIXA-FOAM-84X33X170MM</t>
  </si>
  <si>
    <t>25D-HELIXA-FOAM-84X36X170MM</t>
  </si>
  <si>
    <t>25D-HELIXA-FOAM-84X39X170MM</t>
  </si>
  <si>
    <t>25D-HELIXA-FOAM-84X42X170MM</t>
  </si>
  <si>
    <t>25D-HELIXA-FOAM-84X45X170MM</t>
  </si>
  <si>
    <t>25D-HELIXA-FOAM-84X48X170MM</t>
  </si>
  <si>
    <t>25D-HELIXA-FOAM-84X51X170MM</t>
  </si>
  <si>
    <t>25D-HELIXA-FOAM-84X54X170MM</t>
  </si>
  <si>
    <t>25D-HELIXA-FOAM-84X57X170MM</t>
  </si>
  <si>
    <t>25D-HELIXA-FOAM-84X60X170MM</t>
  </si>
  <si>
    <t>25D-HELIXA-FOAM-84X63X170MM</t>
  </si>
  <si>
    <t>25D-HELIXA-FOAM-84X66X170MM</t>
  </si>
  <si>
    <t>25D-HELIXA-FOAM-84X69X170MM</t>
  </si>
  <si>
    <t>25D-HELIXA-FOAM-84X72X170MM</t>
  </si>
  <si>
    <t>40D-MDI-MEM-FOAM</t>
  </si>
  <si>
    <t>40D-MDI-MEM-FOAM-72X30X25MM</t>
  </si>
  <si>
    <t>40D-MDI-MEM-FOAM-72X33X25MM</t>
  </si>
  <si>
    <t>40D-MDI-MEM-FOAM-72X36X25MM</t>
  </si>
  <si>
    <t>40D-MDI-MEM-FOAM-72X39X25MM</t>
  </si>
  <si>
    <t>40D-MDI-MEM-FOAM-72X42X25MM</t>
  </si>
  <si>
    <t>40D-MDI-MEM-FOAM-72X45X25MM</t>
  </si>
  <si>
    <t>40D-MDI-MEM-FOAM-72X48X25MM</t>
  </si>
  <si>
    <t>40D-MDI-MEM-FOAM-72X51X25MM</t>
  </si>
  <si>
    <t>40D-MDI-MEM-FOAM-72X54X25MM</t>
  </si>
  <si>
    <t>40D-MDI-MEM-FOAM-72X57X25MM</t>
  </si>
  <si>
    <t>40D-MDI-MEM-FOAM-72X60X25MM</t>
  </si>
  <si>
    <t>40D-MDI-MEM-FOAM-72X63X25MM</t>
  </si>
  <si>
    <t>40D-MDI-MEM-FOAM-72X66X25MM</t>
  </si>
  <si>
    <t>40D-MDI-MEM-FOAM-72X69X25MM</t>
  </si>
  <si>
    <t>40D-MDI-MEM-FOAM-72X72X25MM</t>
  </si>
  <si>
    <t>40D-MDI-MEM-FOAM-75X30X25MM</t>
  </si>
  <si>
    <t>40D-MDI-MEM-FOAM-75X33X25MM</t>
  </si>
  <si>
    <t>40D-MDI-MEM-FOAM-75X36X25MM</t>
  </si>
  <si>
    <t>40D-MDI-MEM-FOAM-75X39X25MM</t>
  </si>
  <si>
    <t>40D-MDI-MEM-FOAM-75X42X25MM</t>
  </si>
  <si>
    <t>40D-MDI-MEM-FOAM-75X45X25MM</t>
  </si>
  <si>
    <t>40D-MDI-MEM-FOAM-75X48X25MM</t>
  </si>
  <si>
    <t>40D-MDI-MEM-FOAM-75X51X25MM</t>
  </si>
  <si>
    <t>40D-MDI-MEM-FOAM-75X54X25MM</t>
  </si>
  <si>
    <t>40D-MDI-MEM-FOAM-75X57X25MM</t>
  </si>
  <si>
    <t>40D-MDI-MEM-FOAM-75X60X25MM</t>
  </si>
  <si>
    <t>40D-MDI-MEM-FOAM-75X63X25MM</t>
  </si>
  <si>
    <t>40D-MDI-MEM-FOAM-75X66X25MM</t>
  </si>
  <si>
    <t>40D-MDI-MEM-FOAM-75X69X25MM</t>
  </si>
  <si>
    <t>40D-MDI-MEM-FOAM-75X72X25MM</t>
  </si>
  <si>
    <t>40D-MDI-MEM-FOAM-78X30X25MM</t>
  </si>
  <si>
    <t>40D-MDI-MEM-FOAM-78X33X25MM</t>
  </si>
  <si>
    <t>40D-MDI-MEM-FOAM-78X36X25MM</t>
  </si>
  <si>
    <t>40D-MDI-MEM-FOAM-78X39X25MM</t>
  </si>
  <si>
    <t>40D-MDI-MEM-FOAM-78X42X25MM</t>
  </si>
  <si>
    <t>40D-MDI-MEM-FOAM-78X45X25MM</t>
  </si>
  <si>
    <t>40D-MDI-MEM-FOAM-78X48X25MM</t>
  </si>
  <si>
    <t>40D-MDI-MEM-FOAM-78X51X25MM</t>
  </si>
  <si>
    <t>40D-MDI-MEM-FOAM-78X54X25MM</t>
  </si>
  <si>
    <t>40D-MDI-MEM-FOAM-78X57X25MM</t>
  </si>
  <si>
    <t>40D-MDI-MEM-FOAM-78X60X25MM</t>
  </si>
  <si>
    <t>40D-MDI-MEM-FOAM-78X63X25MM</t>
  </si>
  <si>
    <t>40D-MDI-MEM-FOAM-78X66X25MM</t>
  </si>
  <si>
    <t>40D-MDI-MEM-FOAM-78X69X25MM</t>
  </si>
  <si>
    <t>40D-MDI-MEM-FOAM-78X72X25MM</t>
  </si>
  <si>
    <t>40D-MDI-MEM-FOAM-80X30X25MM</t>
  </si>
  <si>
    <t>40D-MDI-MEM-FOAM-80X33X25MM</t>
  </si>
  <si>
    <t>40D-MDI-MEM-FOAM-80X36X25MM</t>
  </si>
  <si>
    <t>40D-MDI-MEM-FOAM-80X39X25MM</t>
  </si>
  <si>
    <t>40D-MDI-MEM-FOAM-80X42X25MM</t>
  </si>
  <si>
    <t>40D-MDI-MEM-FOAM-80X45X25MM</t>
  </si>
  <si>
    <t>40D-MDI-MEM-FOAM-80X48X25MM</t>
  </si>
  <si>
    <t>40D-MDI-MEM-FOAM-80X51X25MM</t>
  </si>
  <si>
    <t>40D-MDI-MEM-FOAM-80X54X25MM</t>
  </si>
  <si>
    <t>40D-MDI-MEM-FOAM-80X57X25MM</t>
  </si>
  <si>
    <t>40D-MDI-MEM-FOAM-80X60X25MM</t>
  </si>
  <si>
    <t>40D-MDI-MEM-FOAM-80X63X25MM</t>
  </si>
  <si>
    <t>40D-MDI-MEM-FOAM-80X66X25MM</t>
  </si>
  <si>
    <t>40D-MDI-MEM-FOAM-80X69X25MM</t>
  </si>
  <si>
    <t>40D-MDI-MEM-FOAM-80X72X25MM</t>
  </si>
  <si>
    <t>40D-MDI-MEM-FOAM-84X30X25MM</t>
  </si>
  <si>
    <t>40D-MDI-MEM-FOAM-84X33X25MM</t>
  </si>
  <si>
    <t>40D-MDI-MEM-FOAM-84X36X25MM</t>
  </si>
  <si>
    <t>40D-MDI-MEM-FOAM-84X39X25MM</t>
  </si>
  <si>
    <t>40D-MDI-MEM-FOAM-84X42X25MM</t>
  </si>
  <si>
    <t>40D-MDI-MEM-FOAM-84X45X25MM</t>
  </si>
  <si>
    <t>40D-MDI-MEM-FOAM-84X48X25MM</t>
  </si>
  <si>
    <t>40D-MDI-MEM-FOAM-84X51X25MM</t>
  </si>
  <si>
    <t>40D-MDI-MEM-FOAM-84X54X25MM</t>
  </si>
  <si>
    <t>40D-MDI-MEM-FOAM-84X57X25MM</t>
  </si>
  <si>
    <t>40D-MDI-MEM-FOAM-84X60X25MM</t>
  </si>
  <si>
    <t>40D-MDI-MEM-FOAM-84X63X25MM</t>
  </si>
  <si>
    <t>40D-MDI-MEM-FOAM-84X66X25MM</t>
  </si>
  <si>
    <t>40D-MDI-MEM-FOAM-84X69X25MM</t>
  </si>
  <si>
    <t>40D-MDI-MEM-FOAM-84X72X25MM</t>
  </si>
  <si>
    <t>HYPFURFMMR78X54X06</t>
  </si>
  <si>
    <t>HYPFURFMBG84X45X04</t>
  </si>
  <si>
    <t>Peps Hypnos Furno Soft Top Beige 84X45X04</t>
  </si>
  <si>
    <t>FURNO-FOAM-BLOCK-84X45X04</t>
  </si>
  <si>
    <t>Peps Hypnos Furno Soft Top Maroon 78X54X06</t>
  </si>
  <si>
    <t>FURNO-FOAM-BLOCK-78X54X06</t>
  </si>
  <si>
    <t>HYPKBRZFMDB84X60X05</t>
  </si>
  <si>
    <t>KOZY-BREEZE-FOAM-BLOCK-84X60X06</t>
  </si>
  <si>
    <t>HYPMULTFMGR72X51X06</t>
  </si>
  <si>
    <t>HYPMULTFMGR72X51X08</t>
  </si>
  <si>
    <t>MEM-ULTRA-FOAM-BLOCK-72X51X08</t>
  </si>
  <si>
    <t>MEM-ULTRA-FOAM-BLOCK-72X51X06</t>
  </si>
  <si>
    <t>HYPINSFMETMR20X18X06-90D</t>
  </si>
  <si>
    <t>HYPINSFMLTETGRN20X18X06-90D</t>
  </si>
  <si>
    <t>HYPINSFMLTETPNK20X18X06-90D</t>
  </si>
  <si>
    <t>HYPINSFMMFBL20X18X06-90D</t>
  </si>
  <si>
    <t>HYPINSFMMFETBL20X18X06-90D</t>
  </si>
  <si>
    <t>HYPINSFMMFETGR20X18X06-90D</t>
  </si>
  <si>
    <t>HYPINSFMMFGR20X18X06-90D</t>
  </si>
  <si>
    <t>HYPINSFMMR20X18X06-90D</t>
  </si>
  <si>
    <t>HYPKBRZFMDB20X18X06</t>
  </si>
  <si>
    <t>HYPKBRZFMMR20X18X06</t>
  </si>
  <si>
    <t>HYPSPSFMNB78X54X06</t>
  </si>
  <si>
    <t>KOZY-BREEZE-FOAM-BLOCK-20X18X06</t>
  </si>
  <si>
    <t>SPINE-SAFE-FOAM-BLOCK-78X54X06</t>
  </si>
  <si>
    <t>90D-HYP-INSPREE-BLOCK-20X18X06</t>
  </si>
  <si>
    <t>HYPKBRZFMMR72X54X06</t>
  </si>
  <si>
    <t>KOZY-BREEZE-FOAM-BLOCK-72X54X06</t>
  </si>
  <si>
    <t>HYPMEMFMOR72X54X05</t>
  </si>
  <si>
    <t>MEMORIO-FOAM-BLOCK-72X54X05</t>
  </si>
  <si>
    <t>HYPKBRZFMDB75X54X04</t>
  </si>
  <si>
    <t>HYPKBRZFMMR72X30X04</t>
  </si>
  <si>
    <t>HYPKBRZFMMR78X60X04</t>
  </si>
  <si>
    <t>KOZY-BREEZE-FOAM-BLOCK-75X54X04</t>
  </si>
  <si>
    <t>HYPKBRZFMDB78X42X04</t>
  </si>
  <si>
    <t>KOZY-BREEZE-FOAM-BLOCK-78X42X04</t>
  </si>
  <si>
    <t>HYPFURFMMR78X33X05</t>
  </si>
  <si>
    <t>HYPFURFMMR75X33X05</t>
  </si>
  <si>
    <t>Peps Hypnos FURNO Soft Top Brown 75X33X05</t>
  </si>
  <si>
    <t>Peps Hypnos FURNO Soft Top Brown 78X33X06</t>
  </si>
  <si>
    <t>FURNO-FOAM-BLOCK-75X33X05</t>
  </si>
  <si>
    <t>FURNO-FOAM-BLOCK-78X33X06</t>
  </si>
  <si>
    <t>HYPKBRZFMMR72X60X04</t>
  </si>
  <si>
    <t>HYPKBRZFMMR78X36X04</t>
  </si>
  <si>
    <t>HYPKBRZFMMR72X48X04</t>
  </si>
  <si>
    <t>HYPKBRZFMMR72X48X05</t>
  </si>
  <si>
    <t>HYPKBRZFMMR75X60X04</t>
  </si>
  <si>
    <t>HYPKBRZFMMR78X72X04</t>
  </si>
  <si>
    <t>Row Labels</t>
  </si>
  <si>
    <t>Grand Total</t>
  </si>
  <si>
    <t>Sum of 2</t>
  </si>
  <si>
    <t>HYPKBRZFMMR72X30X05</t>
  </si>
  <si>
    <t>HYPKBRZFMMR72X36X04</t>
  </si>
  <si>
    <t>HYPKBRZFMMR72X36X05</t>
  </si>
  <si>
    <t>HYPKBRZFMMR75X48X04</t>
  </si>
  <si>
    <t>HYPKBRZFMMR78X60X05</t>
  </si>
  <si>
    <t>HYPSPSFMNB84X69X08</t>
  </si>
  <si>
    <t>HYPSPSFMNB84X57X08</t>
  </si>
  <si>
    <t>SPINE-SAFE-FOAM-BLOCK-84X57X08</t>
  </si>
  <si>
    <t>SPINE-SAFE-FOAM-BLOCK-84X69X08</t>
  </si>
  <si>
    <t>HYPSPSFMNB78X57X08</t>
  </si>
  <si>
    <t>SPINE-SAFE-FOAM-BLOCK-78X57X08</t>
  </si>
  <si>
    <t>HYPKBRZFMMR75X36X04</t>
  </si>
  <si>
    <t>HYPKBRZFMMR84X72X04</t>
  </si>
  <si>
    <t>KOZY-BREEZE-FOAM-BLOCK-84X72X04</t>
  </si>
  <si>
    <t>HYPKBRZFMMR78X30X04</t>
  </si>
  <si>
    <t>HYPSPSFMGR80X57X06</t>
  </si>
  <si>
    <t>SPINE-SAFE-FOAM-BLOCK-80X57X08</t>
  </si>
  <si>
    <t>75*45</t>
  </si>
  <si>
    <t>75*51</t>
  </si>
  <si>
    <t>HYPKBRZFMMR72X30X06</t>
  </si>
  <si>
    <t>HYPKBRZFMMR75X60X06</t>
  </si>
  <si>
    <t>HYPKBRZFMMR78X60X06</t>
  </si>
  <si>
    <t>HYPFOMFMMR78X69X05</t>
  </si>
  <si>
    <t>FOAMERA-FOAM-BLOCK-78X69X05</t>
  </si>
  <si>
    <t>HYPSPSFMNB78X69X06</t>
  </si>
  <si>
    <t>SPINE-SAFE-FOAM-BLOCK-78X69X06</t>
  </si>
  <si>
    <t>HYPFOMFMDB75X54X05</t>
  </si>
  <si>
    <t>FOAMERA-FOAM-BLOCK-75X54X05</t>
  </si>
  <si>
    <t>HYPKBRZFMMR75X48X05</t>
  </si>
  <si>
    <t>HYPKBRZFMDB84X30X04</t>
  </si>
  <si>
    <t>HYPFOMFMMR84X63X06</t>
  </si>
  <si>
    <t>KOZY-BREEZE-FOAM-BLOCK-84X30X04</t>
  </si>
  <si>
    <t>FOAMERA-FOAM-BLOCK-84X63X05</t>
  </si>
  <si>
    <t>HYPKBRZFMDB72X42X05</t>
  </si>
  <si>
    <t>HYPPANFMDB78X57X06</t>
  </si>
  <si>
    <t>KOZY-BREEZE-FOAM-BLOCK-72X42X05</t>
  </si>
  <si>
    <t>PANORAMA-FOAM-BLOCK-78X57X06</t>
  </si>
  <si>
    <t>HYPPANFMDB72X51X06</t>
  </si>
  <si>
    <t>PANORAMA-FOAM-BLOCK-72X51X06</t>
  </si>
  <si>
    <t>HYPSPSFMNB80X69X05</t>
  </si>
  <si>
    <t>SPINE-SAFE-FOAM-BLOCK-80X69X05</t>
  </si>
  <si>
    <t>HYPKBRZFMMR72X48X06</t>
  </si>
  <si>
    <t>HYPKBRZFMMR75X60X05</t>
  </si>
  <si>
    <t>HYPKBRZFMMR72X42X04</t>
  </si>
  <si>
    <t>KOZY-BREEZE-FOAM-BLOCK-72X42X04</t>
  </si>
  <si>
    <t>HYPFOMFMBW84X69X06</t>
  </si>
  <si>
    <t>FOAMERA-FOAM-BLOCK-84X69X06</t>
  </si>
  <si>
    <t>HYPKBRZFMMR78X72X05</t>
  </si>
  <si>
    <t>HYPKBRZFMMR72X54X05</t>
  </si>
  <si>
    <t>HYPKBRZFMMR72X39X05</t>
  </si>
  <si>
    <t>HYPKBRZFMMR78X57X05</t>
  </si>
  <si>
    <t>KOZY-BREEZE-FOAM-BLOCK-72X39X05</t>
  </si>
  <si>
    <t>KOZY-BREEZE-FOAM-BLOCK-72X54X05</t>
  </si>
  <si>
    <t>KOZY-BREEZE-FOAM-BLOCK-78X57X05</t>
  </si>
  <si>
    <t>HYPVISBND20X18X04</t>
  </si>
  <si>
    <t>HYPKBRZFMDB72X33X04</t>
  </si>
  <si>
    <t>KOZY-BREEZE-FOAM-BLOCK-72X33X04</t>
  </si>
  <si>
    <t>HYPVISBND20X18X05</t>
  </si>
  <si>
    <t>HYPVISBND20X18X06</t>
  </si>
  <si>
    <t>VISTA-BOND-FOAM-BLOCK-20X18X04</t>
  </si>
  <si>
    <t>VISTA-BOND-FOAM-BLOCK-20X18X05</t>
  </si>
  <si>
    <t>VISTA-BOND-FOAM-BLOCK-20X18X06</t>
  </si>
  <si>
    <t>HYPKBRZFMDB80X33X06</t>
  </si>
  <si>
    <t>KOZY-BREEZE-FOAM-BLOCK-80X33X06</t>
  </si>
  <si>
    <t>HYPINSFMLTGRN20X18X06-90D</t>
  </si>
  <si>
    <t>HYPINSFMLTPNK20X18X06-90D</t>
  </si>
  <si>
    <t>HYPKBRZFMMR75X66X06</t>
  </si>
  <si>
    <t>HYPKBRZFMMR78X72X06</t>
  </si>
  <si>
    <t>HYPKBRZFMMR80X72X04</t>
  </si>
  <si>
    <t>KOZY-BREEZE-FOAM-BLOCK-80X72X04</t>
  </si>
  <si>
    <t>HYPSPSFMGR72X51X05</t>
  </si>
  <si>
    <t>SPINE-SAFE-FOAM-BLOCK-72X51X05</t>
  </si>
  <si>
    <t>HYPKBRZFMDB84X72X05</t>
  </si>
  <si>
    <t>KOZY-BREEZE-FOAM-BLOCK-80X72X05</t>
  </si>
  <si>
    <t>HYPKBRZFMMR75X72X04</t>
  </si>
  <si>
    <t>HYPKBRZFMMR75X48X06</t>
  </si>
  <si>
    <t>HYPFOMFMBW75X45X05</t>
  </si>
  <si>
    <t>FOAMERA-FOAM-BLOCK-75X45X06</t>
  </si>
  <si>
    <t>HYPKBRZFMDB75X45X04</t>
  </si>
  <si>
    <t>KOZY-BREEZE-FOAM-BLOCK-75X45X04</t>
  </si>
  <si>
    <t>HYPKBRZFMMR78X48X04</t>
  </si>
  <si>
    <t>HYPFURFMMR75X39X04</t>
  </si>
  <si>
    <t>FURNO-FOAM-BLOCK-75X39X04</t>
  </si>
  <si>
    <t>HYPKBRZFMMR72X66X04</t>
  </si>
  <si>
    <t>HYPKBRZFMMR72X72X04</t>
  </si>
  <si>
    <t>HYPKBRZFMMR72X57X04</t>
  </si>
  <si>
    <t>KOZY-BREEZE-FOAM-BLOCK-72X57X04</t>
  </si>
  <si>
    <t>HYPKBRZFMMR72X60X06</t>
  </si>
  <si>
    <t>HYPKBRZFMMR75X36X05</t>
  </si>
  <si>
    <t>HYPKBRZFMMR75X72X06</t>
  </si>
  <si>
    <t>HYPKBRZFMDB75X45X05</t>
  </si>
  <si>
    <t>KOZY-BREEZE-FOAM-BLOCK-75X45X05</t>
  </si>
  <si>
    <t>HYPKBRZFMDB78X39X05</t>
  </si>
  <si>
    <t>KOZY-BREEZE-FOAM-BLOCK-78X39X05</t>
  </si>
  <si>
    <t>HYPVISBND75X60X08</t>
  </si>
  <si>
    <t>VISTA-BOND-FOAM-BLOCK-75X60X08</t>
  </si>
  <si>
    <t>HYPFOMFMMR75X45X06</t>
  </si>
  <si>
    <t>HYPKBRZFMDB72X42X04</t>
  </si>
  <si>
    <t>HYPKBRZFMMR72X33X04</t>
  </si>
  <si>
    <t>HYPKBRZFMMR72X33X05</t>
  </si>
  <si>
    <t>HYPKBRZFMMR75X72X05</t>
  </si>
  <si>
    <t>FOAMERA-FOAM-BLOCK-75X45X05</t>
  </si>
  <si>
    <t>HYPFURFMDB72X51X06</t>
  </si>
  <si>
    <t>FURNO-FOAM-BLOCK-72X51X06</t>
  </si>
  <si>
    <t>HYPKBRZFMMR75X30X04</t>
  </si>
  <si>
    <t>KOZY-BREEZE-FOAM-BLOCK-72X33X05</t>
  </si>
  <si>
    <t>HYPKBRZFMDB72X45X04</t>
  </si>
  <si>
    <t>KOZY-BREEZE-FOAM-BLOCK-72X45X04</t>
  </si>
  <si>
    <t>HYPINSFMLTPNK20X18X05-90D</t>
  </si>
  <si>
    <t>HYPINSFMMFBL20X18X05-90D</t>
  </si>
  <si>
    <t>HYPINSFMMR20X18X05-90D</t>
  </si>
  <si>
    <t>HYPKBRZFMDB78X54X05</t>
  </si>
  <si>
    <t>90D-HYP-INSPREE-BLOCK-20X18X05</t>
  </si>
  <si>
    <t>HYPFURFMMR75X69X04</t>
  </si>
  <si>
    <t>FURNO-FOAM-BLOCK-75X69X04</t>
  </si>
  <si>
    <t>HYPKBRZFMMR72X63X04</t>
  </si>
  <si>
    <t>KOZY-BREEZE-FOAM-BLOCK-72X63X04</t>
  </si>
  <si>
    <t>HYPKBRZFMDB72X63X04</t>
  </si>
  <si>
    <t>HYPINSFMLTETGRN20X18X08-90D</t>
  </si>
  <si>
    <t>90D-HYP-INSPREE-BLOCK-20X18X08</t>
  </si>
  <si>
    <t>INSPREE 90D-MINI</t>
  </si>
  <si>
    <t>#N/A</t>
  </si>
  <si>
    <t>(blank)</t>
  </si>
  <si>
    <t>Sum of QTY</t>
  </si>
  <si>
    <t>HYPFOMFMMR72X33X04</t>
  </si>
  <si>
    <t>Peps Hypnos Foamera Soft Top Maroon 72X33X04</t>
  </si>
  <si>
    <t>FOAMERA-FOAM-BLOCK-72X33X04</t>
  </si>
  <si>
    <t>HYPFOMFMMR72X39X04</t>
  </si>
  <si>
    <t>Peps Hypnos Foamera Soft Top Maroon 72X39X04</t>
  </si>
  <si>
    <t>FOAMERA-FOAM-BLOCK-72X39X04</t>
  </si>
  <si>
    <t>HYPFOMFMMR72X45X04</t>
  </si>
  <si>
    <t>Peps Hypnos Foamera Soft Top Maroon 72X45X04</t>
  </si>
  <si>
    <t>FOAMERA-FOAM-BLOCK-72X45X04</t>
  </si>
  <si>
    <t>HYPFOMFMMR72X51X04</t>
  </si>
  <si>
    <t>Peps Hypnos Foamera Soft Top Maroon 72X51X04</t>
  </si>
  <si>
    <t>FOAMERA-FOAM-BLOCK-72X51X04</t>
  </si>
  <si>
    <t>HYPFOMFMMR72X57X04</t>
  </si>
  <si>
    <t>Peps Hypnos Foamera Soft Top Maroon 72X57X04</t>
  </si>
  <si>
    <t>FOAMERA-FOAM-BLOCK-72X57X04</t>
  </si>
  <si>
    <t>HYPFOMFMMR72X63X04</t>
  </si>
  <si>
    <t>Peps Hypnos Foamera Soft Top Maroon 72X63X04</t>
  </si>
  <si>
    <t>FOAMERA-FOAM-BLOCK-72X63X04</t>
  </si>
  <si>
    <t>HYPFOMFMMR72X69X04</t>
  </si>
  <si>
    <t>Peps Hypnos Foamera Soft Top Maroon 72X69X04</t>
  </si>
  <si>
    <t>FOAMERA-FOAM-BLOCK-72X69X04</t>
  </si>
  <si>
    <t>HYPFOMFMMR75X33X04</t>
  </si>
  <si>
    <t>Peps Hypnos Foamera Soft Top Maroon 75X33X04</t>
  </si>
  <si>
    <t>FOAMERA-FOAM-BLOCK-75X33X04</t>
  </si>
  <si>
    <t>HYPFOMFMMR75X39X04</t>
  </si>
  <si>
    <t>Peps Hypnos Foamera Soft Top Maroon 75X39X04</t>
  </si>
  <si>
    <t>FOAMERA-FOAM-BLOCK-75X39X04</t>
  </si>
  <si>
    <t>HYPFOMFMMR75X45X04</t>
  </si>
  <si>
    <t>Peps Hypnos Foamera Soft Top Maroon 75X45X04</t>
  </si>
  <si>
    <t>FOAMERA-FOAM-BLOCK-75X45X04</t>
  </si>
  <si>
    <t>HYPFOMFMMR75X51X04</t>
  </si>
  <si>
    <t>Peps Hypnos Foamera Soft Top Maroon 75X51X04</t>
  </si>
  <si>
    <t>FOAMERA-FOAM-BLOCK-75X51X04</t>
  </si>
  <si>
    <t>HYPFOMFMMR72X54X04</t>
  </si>
  <si>
    <t>Peps Hypnos Foamera Soft Top Maroon 72X54X04</t>
  </si>
  <si>
    <t>FOAMERA-FOAM-BLOCK-72X54X04</t>
  </si>
  <si>
    <t>HYPFOMFMMR75X54X04</t>
  </si>
  <si>
    <t>Peps Hypnos Foamera Soft Top Maroon 75X54X04</t>
  </si>
  <si>
    <t>FOAMERA-FOAM-BLOCK-75X54X04</t>
  </si>
  <si>
    <t>HYPFOMFMMR75X57X04</t>
  </si>
  <si>
    <t>Peps Hypnos Foamera Soft Top Maroon 75X57X04</t>
  </si>
  <si>
    <t>FOAMERA-FOAM-BLOCK-75X57X04</t>
  </si>
  <si>
    <t>HYPFOMFMMR75X63X04</t>
  </si>
  <si>
    <t>Peps Hypnos Foamera Soft Top Maroon 75X63X04</t>
  </si>
  <si>
    <t>FOAMERA-FOAM-BLOCK-75X63X04</t>
  </si>
  <si>
    <t>HYPFOMFMMR75X69X04</t>
  </si>
  <si>
    <t>Peps Hypnos Foamera Soft Top Maroon 75X69X04</t>
  </si>
  <si>
    <t>FOAMERA-FOAM-BLOCK-75X69X04</t>
  </si>
  <si>
    <t>VARIETY</t>
  </si>
  <si>
    <t>KOZY BREEZE</t>
  </si>
  <si>
    <t>SL.NO</t>
  </si>
  <si>
    <t>SNO</t>
  </si>
  <si>
    <t>1</t>
  </si>
  <si>
    <t>2</t>
  </si>
  <si>
    <t>3</t>
  </si>
  <si>
    <t>4</t>
  </si>
  <si>
    <t>5</t>
  </si>
  <si>
    <t>L</t>
  </si>
  <si>
    <t>W</t>
  </si>
  <si>
    <t>H</t>
  </si>
  <si>
    <t>L1</t>
  </si>
  <si>
    <t>W1</t>
  </si>
  <si>
    <t>STD-L</t>
  </si>
  <si>
    <t>STD-W</t>
  </si>
  <si>
    <t>UNIT SIZE</t>
  </si>
  <si>
    <t>STD ITEMCODE</t>
  </si>
  <si>
    <t>HYPFOMFMMR06</t>
  </si>
  <si>
    <t>FOAMERA SOFT TOP</t>
  </si>
  <si>
    <t>HYPFOMFMDB06</t>
  </si>
  <si>
    <t>HYPFOMFMDB04</t>
  </si>
  <si>
    <t>HYPFOMFMDB05</t>
  </si>
  <si>
    <t>HYPINSFMMR05</t>
  </si>
  <si>
    <t>INSPREE SOFT TOP</t>
  </si>
  <si>
    <t>HYPINSFMMR04</t>
  </si>
  <si>
    <t>HYPINSFMETMR06</t>
  </si>
  <si>
    <t>HYPINSFMMR06</t>
  </si>
  <si>
    <t>HYPINSFMMR08</t>
  </si>
  <si>
    <t>HYPINSFMETMR05</t>
  </si>
  <si>
    <t>HYPINSFMETMR08</t>
  </si>
  <si>
    <t>HYPINSFMLTETGRN08</t>
  </si>
  <si>
    <t>INSPREE SOFT TOP LATEX</t>
  </si>
  <si>
    <t>HYPINSFMLTPNK05</t>
  </si>
  <si>
    <t>HYPINSFMLTETGRN06</t>
  </si>
  <si>
    <t>HYPINSFMLTPNK06</t>
  </si>
  <si>
    <t>HYPINSFMLTGRN06</t>
  </si>
  <si>
    <t>HYPINSFMLTPNK08</t>
  </si>
  <si>
    <t>HYPINSFMLTETGRN05</t>
  </si>
  <si>
    <t>HYPINSFMLTGRN08</t>
  </si>
  <si>
    <t>HYPINSFMLTETPNK08</t>
  </si>
  <si>
    <t>HYPINSFMLTGRN05</t>
  </si>
  <si>
    <t>HYPINSFMMFGR06</t>
  </si>
  <si>
    <t>INSPREE SOFT TOP MEMORY</t>
  </si>
  <si>
    <t>HYPINSFMMFGR05</t>
  </si>
  <si>
    <t>HYPINSFMMFETBL06</t>
  </si>
  <si>
    <t>HYPINSFMMFETGR06</t>
  </si>
  <si>
    <t>HYPINSFMMFETGR08</t>
  </si>
  <si>
    <t>HYPINSFMMFGR08</t>
  </si>
  <si>
    <t>HYPINSFMMFBL06</t>
  </si>
  <si>
    <t>HYPINSFMMFBL08</t>
  </si>
  <si>
    <t>HYPINSFMMFETBL05</t>
  </si>
  <si>
    <t>HYPINSFMMFETBL08</t>
  </si>
  <si>
    <t>HYPINSFMMFBL05</t>
  </si>
  <si>
    <t>HYPINSFMMFETGR05</t>
  </si>
  <si>
    <t>HYPKBRZFMDB05</t>
  </si>
  <si>
    <t>HYPKBRZFMDB04</t>
  </si>
  <si>
    <t>HYPKBRZFMDB06</t>
  </si>
  <si>
    <t>HYPKBRZFMMR04</t>
  </si>
  <si>
    <t>HYPKBRZFMMR05</t>
  </si>
  <si>
    <t>HYPKBRZFMMR06</t>
  </si>
  <si>
    <t>HYPMEMFMOR06</t>
  </si>
  <si>
    <t>MEMORIO SOFT</t>
  </si>
  <si>
    <t>HYPMEMFMOR05</t>
  </si>
  <si>
    <t>HYPMEMFMVL06</t>
  </si>
  <si>
    <t>SKSGFM06</t>
  </si>
  <si>
    <t>SPG-FOAM</t>
  </si>
  <si>
    <t>SKSGFM08</t>
  </si>
  <si>
    <t>HYPSPSFMGR06</t>
  </si>
  <si>
    <t>HYPSPSFMNB06</t>
  </si>
  <si>
    <t>HYPSPSFMGR05</t>
  </si>
  <si>
    <t>HYPSPSFMNB05</t>
  </si>
  <si>
    <t>SKSFRD05</t>
  </si>
  <si>
    <t>HYPVISBND04</t>
  </si>
  <si>
    <t>HYPVISBND05</t>
  </si>
  <si>
    <t>HYPVISBND06</t>
  </si>
  <si>
    <t>CIRLUMCFBL06</t>
  </si>
  <si>
    <t xml:space="preserve">LUMINOUS DUAL </t>
  </si>
  <si>
    <t>CIRLUMCFBL05</t>
  </si>
  <si>
    <t>CIRLUMCFBL04</t>
  </si>
  <si>
    <t xml:space="preserve"> HAVEN MEMORY FOAM</t>
  </si>
  <si>
    <t>CIRHVNMFCR05</t>
  </si>
  <si>
    <t>CIRHVNMFCR06</t>
  </si>
  <si>
    <t>CIRHVNMFCR08</t>
  </si>
  <si>
    <t xml:space="preserve">HYPNOS PU LATEX </t>
  </si>
  <si>
    <t>HYPLTXGR05</t>
  </si>
  <si>
    <t>HYPLTXGR06</t>
  </si>
  <si>
    <t>HYPLTXGR08</t>
  </si>
  <si>
    <t>ITEMCODE</t>
  </si>
  <si>
    <t>90D-HYP-INSPREE-BLOCK-</t>
  </si>
  <si>
    <t>FOAMERA-FOAM-BLOCK-</t>
  </si>
  <si>
    <t>KOZY-BREEZE-FOAM-BLOCK-</t>
  </si>
  <si>
    <t>MEMORIO-FOAM-BLOCK-</t>
  </si>
  <si>
    <t>SPINE-SAFE-FOAM-BLOCK-</t>
  </si>
  <si>
    <t>VISTA-BOND-FOAM-BLOCK-</t>
  </si>
  <si>
    <t>32D-HR-FOAM-78X72X120MM</t>
  </si>
  <si>
    <t>KGS</t>
  </si>
  <si>
    <t>NOS</t>
  </si>
  <si>
    <t>32D-HR-FOAM-78X72X145MM</t>
  </si>
  <si>
    <t>32D-HR-FOAM-78X72X195MM</t>
  </si>
  <si>
    <t>32D-HR-FOAM-78X72X110MM</t>
  </si>
  <si>
    <t>32D-HR-FOAM-78X72X135MM</t>
  </si>
  <si>
    <t>32D-HR-FOAM-78X72X190MM</t>
  </si>
  <si>
    <t>23D-ECO-FOAM-13X13X50MM</t>
  </si>
  <si>
    <t>23D-ECO-FOAM-13X13X80MM</t>
  </si>
  <si>
    <t>23D-ECO-FOAM-13X13X100MM</t>
  </si>
  <si>
    <t>23D-ECO-FOAM-13X13X124MM</t>
  </si>
  <si>
    <t>HYPMEMFMVL05</t>
  </si>
  <si>
    <t>BLOCK NAME</t>
  </si>
  <si>
    <t>HYPFOMFMMR04</t>
  </si>
  <si>
    <t>HYPFOMFMMR05</t>
  </si>
  <si>
    <t>HYPINSFMDB04</t>
  </si>
  <si>
    <t>HYPINSFMDB05</t>
  </si>
  <si>
    <t>HYPINSFMDB06</t>
  </si>
  <si>
    <t>HYPINSFMDB08</t>
  </si>
  <si>
    <t>HYPINSFMETDB05</t>
  </si>
  <si>
    <t>HYPINSFMETDB06</t>
  </si>
  <si>
    <t>HYPINSFMETDB08</t>
  </si>
  <si>
    <t>HYPINSFMLTETPNK05</t>
  </si>
  <si>
    <t>HYPINSFMLTETPNK06</t>
  </si>
  <si>
    <t>HYPMEMFMOR08</t>
  </si>
  <si>
    <t>HYPMEMFMVL08</t>
  </si>
  <si>
    <t>HYPSPSFMGR08</t>
  </si>
  <si>
    <t>HYPSPSFMNB08</t>
  </si>
  <si>
    <t>KOZY BOND</t>
  </si>
  <si>
    <t>HYPKOZBND04</t>
  </si>
  <si>
    <t>HYPKOZBND05</t>
  </si>
  <si>
    <t>HYPKOZBND06</t>
  </si>
  <si>
    <t>SPRINGSOFT</t>
  </si>
  <si>
    <t>23D-ECO-FOAM-</t>
  </si>
  <si>
    <t>50MM</t>
  </si>
  <si>
    <t>HEIGHT</t>
  </si>
  <si>
    <t>SKSFRD06</t>
  </si>
  <si>
    <t>SKSFRD03</t>
  </si>
  <si>
    <t>SKSFRD04</t>
  </si>
  <si>
    <t>80MM</t>
  </si>
  <si>
    <t>100MM</t>
  </si>
  <si>
    <t>124MM</t>
  </si>
  <si>
    <t>LENGTH</t>
  </si>
  <si>
    <t>WIDTH</t>
  </si>
  <si>
    <t>THICKNESS</t>
  </si>
  <si>
    <t>DENSITY</t>
  </si>
  <si>
    <t>WEIGHT</t>
  </si>
  <si>
    <t>PANORAMA-FOAM-BLOCK-</t>
  </si>
  <si>
    <t>HYPPANFMDB08</t>
  </si>
  <si>
    <t>HYPPANFMDB05</t>
  </si>
  <si>
    <t>HYPPANFMDB06</t>
  </si>
  <si>
    <t>MEM-ULTRA-FOAM-BLOCK-</t>
  </si>
  <si>
    <t>HYPMULTFMGR06</t>
  </si>
  <si>
    <t>HYPMULTFMGR05</t>
  </si>
  <si>
    <t>HYPMULTFMGR08</t>
  </si>
  <si>
    <t>MEMORIO ULTRA SOFT</t>
  </si>
  <si>
    <t>HYPMULTFMDB05</t>
  </si>
  <si>
    <t>HYPMULTFMDB06</t>
  </si>
  <si>
    <t>HYPMULTFMDB08</t>
  </si>
  <si>
    <t>HYPPANFMMR05</t>
  </si>
  <si>
    <t>HYPPANFMMR06</t>
  </si>
  <si>
    <t>HYPPANFMMR08</t>
  </si>
  <si>
    <t>HYPPANFMBG05</t>
  </si>
  <si>
    <t>HYPPANFMBG06</t>
  </si>
  <si>
    <t>HYPPANFMBG08</t>
  </si>
  <si>
    <t>ORTHO-BOND-FOAM-BLOCK-</t>
  </si>
  <si>
    <t>ORTHO BOND</t>
  </si>
  <si>
    <t>ORTHOBOND04</t>
  </si>
  <si>
    <t>ORTHOBOND05</t>
  </si>
  <si>
    <t>ORTHOBOND06</t>
  </si>
  <si>
    <t>HEAVEN-MEM-FOAM-BLOCK-</t>
  </si>
  <si>
    <t>UOM</t>
  </si>
  <si>
    <t xml:space="preserve">ORTHO FOAM </t>
  </si>
  <si>
    <t>ORTHOFOAM05</t>
  </si>
  <si>
    <t>ORTHOFOAM06</t>
  </si>
  <si>
    <t>ORTHOFOAM08</t>
  </si>
  <si>
    <t>INSPREET05</t>
  </si>
  <si>
    <t>INSPREET06</t>
  </si>
  <si>
    <t>INSPREET08</t>
  </si>
  <si>
    <t>INSPREE REBOUNDED ET</t>
  </si>
  <si>
    <t>90D-HYP-INS-ET-BLOCK-</t>
  </si>
  <si>
    <t>170MM</t>
  </si>
  <si>
    <t>25D-HELIXA-FOAM-</t>
  </si>
  <si>
    <t>119MM</t>
  </si>
  <si>
    <t>102MM</t>
  </si>
  <si>
    <t>127MM</t>
  </si>
  <si>
    <t>153MM</t>
  </si>
  <si>
    <t>110MM</t>
  </si>
  <si>
    <t>135MM</t>
  </si>
  <si>
    <t>190MM</t>
  </si>
  <si>
    <t>120MM</t>
  </si>
  <si>
    <t>145MM</t>
  </si>
  <si>
    <t>195MM</t>
  </si>
  <si>
    <t>32D-HR-FOAM-</t>
  </si>
  <si>
    <t>S.No</t>
  </si>
  <si>
    <t>23D-ECO-FOAM-20X18X100MM</t>
  </si>
  <si>
    <t>23D-ECO-FOAM-72X30X100MM</t>
  </si>
  <si>
    <t>23D-ECO-FOAM-72X33X100MM</t>
  </si>
  <si>
    <t>23D-ECO-FOAM-72X36X100MM</t>
  </si>
  <si>
    <t>23D-ECO-FOAM-72X39X100MM</t>
  </si>
  <si>
    <t>23D-ECO-FOAM-72X42X100MM</t>
  </si>
  <si>
    <t>23D-ECO-FOAM-72X45X100MM</t>
  </si>
  <si>
    <t>23D-ECO-FOAM-72X48X100MM</t>
  </si>
  <si>
    <t>23D-ECO-FOAM-72X51X100MM</t>
  </si>
  <si>
    <t>23D-ECO-FOAM-72X54X100MM</t>
  </si>
  <si>
    <t>23D-ECO-FOAM-72X57X100MM</t>
  </si>
  <si>
    <t>23D-ECO-FOAM-72X60X100MM</t>
  </si>
  <si>
    <t>23D-ECO-FOAM-72X63X100MM</t>
  </si>
  <si>
    <t>23D-ECO-FOAM-72X66X100MM</t>
  </si>
  <si>
    <t>23D-ECO-FOAM-72X69X100MM</t>
  </si>
  <si>
    <t>23D-ECO-FOAM-72X72X100MM</t>
  </si>
  <si>
    <t>23D-ECO-FOAM-75X30X100MM</t>
  </si>
  <si>
    <t>23D-ECO-FOAM-75X33X100MM</t>
  </si>
  <si>
    <t>23D-ECO-FOAM-75X36X100MM</t>
  </si>
  <si>
    <t>23D-ECO-FOAM-75X39X100MM</t>
  </si>
  <si>
    <t>23D-ECO-FOAM-75X42X100MM</t>
  </si>
  <si>
    <t>23D-ECO-FOAM-75X45X100MM</t>
  </si>
  <si>
    <t>23D-ECO-FOAM-75X48X100MM</t>
  </si>
  <si>
    <t>23D-ECO-FOAM-75X51X100MM</t>
  </si>
  <si>
    <t>23D-ECO-FOAM-75X54X100MM</t>
  </si>
  <si>
    <t>23D-ECO-FOAM-75X57X100MM</t>
  </si>
  <si>
    <t>23D-ECO-FOAM-75X60X100MM</t>
  </si>
  <si>
    <t>23D-ECO-FOAM-75X63X100MM</t>
  </si>
  <si>
    <t>23D-ECO-FOAM-75X66X100MM</t>
  </si>
  <si>
    <t>23D-ECO-FOAM-75X69X100MM</t>
  </si>
  <si>
    <t>23D-ECO-FOAM-75X72X100MM</t>
  </si>
  <si>
    <t>23D-ECO-FOAM-78X30X100MM</t>
  </si>
  <si>
    <t>23D-ECO-FOAM-78X33X100MM</t>
  </si>
  <si>
    <t>23D-ECO-FOAM-78X36X100MM</t>
  </si>
  <si>
    <t>23D-ECO-FOAM-78X39X100MM</t>
  </si>
  <si>
    <t>23D-ECO-FOAM-78X42X100MM</t>
  </si>
  <si>
    <t>23D-ECO-FOAM-78X45X100MM</t>
  </si>
  <si>
    <t>23D-ECO-FOAM-78X48X100MM</t>
  </si>
  <si>
    <t>23D-ECO-FOAM-78X51X100MM</t>
  </si>
  <si>
    <t>23D-ECO-FOAM-78X54X100MM</t>
  </si>
  <si>
    <t>23D-ECO-FOAM-78X57X100MM</t>
  </si>
  <si>
    <t>23D-ECO-FOAM-78X60X100MM</t>
  </si>
  <si>
    <t>23D-ECO-FOAM-78X63X100MM</t>
  </si>
  <si>
    <t>23D-ECO-FOAM-78X66X100MM</t>
  </si>
  <si>
    <t>23D-ECO-FOAM-78X69X100MM</t>
  </si>
  <si>
    <t>23D-ECO-FOAM-78X72X100MM</t>
  </si>
  <si>
    <t>23D-ECO-FOAM-80X30X100MM</t>
  </si>
  <si>
    <t>23D-ECO-FOAM-80X33X100MM</t>
  </si>
  <si>
    <t>23D-ECO-FOAM-80X36X100MM</t>
  </si>
  <si>
    <t>23D-ECO-FOAM-80X39X100MM</t>
  </si>
  <si>
    <t>23D-ECO-FOAM-80X42X100MM</t>
  </si>
  <si>
    <t>23D-ECO-FOAM-80X45X100MM</t>
  </si>
  <si>
    <t>23D-ECO-FOAM-80X48X100MM</t>
  </si>
  <si>
    <t>23D-ECO-FOAM-80X51X100MM</t>
  </si>
  <si>
    <t>23D-ECO-FOAM-80X54X100MM</t>
  </si>
  <si>
    <t>23D-ECO-FOAM-80X57X100MM</t>
  </si>
  <si>
    <t>23D-ECO-FOAM-80X60X100MM</t>
  </si>
  <si>
    <t>23D-ECO-FOAM-80X63X100MM</t>
  </si>
  <si>
    <t>23D-ECO-FOAM-80X66X100MM</t>
  </si>
  <si>
    <t>23D-ECO-FOAM-80X69X100MM</t>
  </si>
  <si>
    <t>23D-ECO-FOAM-80X72X100MM</t>
  </si>
  <si>
    <t>23D-ECO-FOAM-84X30X100MM</t>
  </si>
  <si>
    <t>23D-ECO-FOAM-84X33X100MM</t>
  </si>
  <si>
    <t>23D-ECO-FOAM-84X36X100MM</t>
  </si>
  <si>
    <t>23D-ECO-FOAM-84X39X100MM</t>
  </si>
  <si>
    <t>23D-ECO-FOAM-84X42X100MM</t>
  </si>
  <si>
    <t>23D-ECO-FOAM-84X45X100MM</t>
  </si>
  <si>
    <t>23D-ECO-FOAM-84X48X100MM</t>
  </si>
  <si>
    <t>23D-ECO-FOAM-84X51X100MM</t>
  </si>
  <si>
    <t>23D-ECO-FOAM-84X54X100MM</t>
  </si>
  <si>
    <t>23D-ECO-FOAM-84X57X100MM</t>
  </si>
  <si>
    <t>23D-ECO-FOAM-84X60X100MM</t>
  </si>
  <si>
    <t>23D-ECO-FOAM-84X63X100MM</t>
  </si>
  <si>
    <t>23D-ECO-FOAM-84X66X100MM</t>
  </si>
  <si>
    <t>23D-ECO-FOAM-84X69X100MM</t>
  </si>
  <si>
    <t>23D-ECO-FOAM-84X72X100MM</t>
  </si>
  <si>
    <t>23D-ECO-FOAM-20X18X124MM</t>
  </si>
  <si>
    <t>23D-ECO-FOAM-72X30X124MM</t>
  </si>
  <si>
    <t>23D-ECO-FOAM-72X33X124MM</t>
  </si>
  <si>
    <t>23D-ECO-FOAM-72X36X124MM</t>
  </si>
  <si>
    <t>23D-ECO-FOAM-72X39X124MM</t>
  </si>
  <si>
    <t>23D-ECO-FOAM-72X42X124MM</t>
  </si>
  <si>
    <t>23D-ECO-FOAM-72X45X124MM</t>
  </si>
  <si>
    <t>23D-ECO-FOAM-72X48X124MM</t>
  </si>
  <si>
    <t>23D-ECO-FOAM-72X51X124MM</t>
  </si>
  <si>
    <t>23D-ECO-FOAM-72X54X124MM</t>
  </si>
  <si>
    <t>23D-ECO-FOAM-72X57X124MM</t>
  </si>
  <si>
    <t>23D-ECO-FOAM-72X60X124MM</t>
  </si>
  <si>
    <t>23D-ECO-FOAM-72X63X124MM</t>
  </si>
  <si>
    <t>23D-ECO-FOAM-72X66X124MM</t>
  </si>
  <si>
    <t>23D-ECO-FOAM-72X69X124MM</t>
  </si>
  <si>
    <t>23D-ECO-FOAM-72X72X124MM</t>
  </si>
  <si>
    <t>23D-ECO-FOAM-75X30X124MM</t>
  </si>
  <si>
    <t>23D-ECO-FOAM-75X33X124MM</t>
  </si>
  <si>
    <t>23D-ECO-FOAM-75X36X124MM</t>
  </si>
  <si>
    <t>23D-ECO-FOAM-75X39X124MM</t>
  </si>
  <si>
    <t>23D-ECO-FOAM-75X42X124MM</t>
  </si>
  <si>
    <t>23D-ECO-FOAM-75X45X124MM</t>
  </si>
  <si>
    <t>23D-ECO-FOAM-75X48X124MM</t>
  </si>
  <si>
    <t>23D-ECO-FOAM-75X51X124MM</t>
  </si>
  <si>
    <t>23D-ECO-FOAM-75X54X124MM</t>
  </si>
  <si>
    <t>23D-ECO-FOAM-75X57X124MM</t>
  </si>
  <si>
    <t>23D-ECO-FOAM-75X60X124MM</t>
  </si>
  <si>
    <t>23D-ECO-FOAM-75X63X124MM</t>
  </si>
  <si>
    <t>23D-ECO-FOAM-75X66X124MM</t>
  </si>
  <si>
    <t>23D-ECO-FOAM-75X69X124MM</t>
  </si>
  <si>
    <t>23D-ECO-FOAM-75X72X124MM</t>
  </si>
  <si>
    <t>23D-ECO-FOAM-78X30X124MM</t>
  </si>
  <si>
    <t>23D-ECO-FOAM-78X33X124MM</t>
  </si>
  <si>
    <t>23D-ECO-FOAM-78X36X124MM</t>
  </si>
  <si>
    <t>23D-ECO-FOAM-78X39X124MM</t>
  </si>
  <si>
    <t>23D-ECO-FOAM-78X42X124MM</t>
  </si>
  <si>
    <t>23D-ECO-FOAM-78X45X124MM</t>
  </si>
  <si>
    <t>23D-ECO-FOAM-78X48X124MM</t>
  </si>
  <si>
    <t>23D-ECO-FOAM-78X51X124MM</t>
  </si>
  <si>
    <t>23D-ECO-FOAM-78X54X124MM</t>
  </si>
  <si>
    <t>23D-ECO-FOAM-78X57X124MM</t>
  </si>
  <si>
    <t>23D-ECO-FOAM-78X60X124MM</t>
  </si>
  <si>
    <t>23D-ECO-FOAM-78X63X124MM</t>
  </si>
  <si>
    <t>23D-ECO-FOAM-78X66X124MM</t>
  </si>
  <si>
    <t>23D-ECO-FOAM-78X69X124MM</t>
  </si>
  <si>
    <t>23D-ECO-FOAM-78X72X124MM</t>
  </si>
  <si>
    <t>23D-ECO-FOAM-80X30X124MM</t>
  </si>
  <si>
    <t>23D-ECO-FOAM-80X33X124MM</t>
  </si>
  <si>
    <t>23D-ECO-FOAM-80X36X124MM</t>
  </si>
  <si>
    <t>23D-ECO-FOAM-80X39X124MM</t>
  </si>
  <si>
    <t>23D-ECO-FOAM-80X42X124MM</t>
  </si>
  <si>
    <t>23D-ECO-FOAM-80X45X124MM</t>
  </si>
  <si>
    <t>23D-ECO-FOAM-80X48X124MM</t>
  </si>
  <si>
    <t>23D-ECO-FOAM-80X51X124MM</t>
  </si>
  <si>
    <t>23D-ECO-FOAM-80X54X124MM</t>
  </si>
  <si>
    <t>23D-ECO-FOAM-80X57X124MM</t>
  </si>
  <si>
    <t>23D-ECO-FOAM-80X60X124MM</t>
  </si>
  <si>
    <t>23D-ECO-FOAM-80X63X124MM</t>
  </si>
  <si>
    <t>23D-ECO-FOAM-80X66X124MM</t>
  </si>
  <si>
    <t>23D-ECO-FOAM-80X69X124MM</t>
  </si>
  <si>
    <t>23D-ECO-FOAM-80X72X124MM</t>
  </si>
  <si>
    <t>23D-ECO-FOAM-84X30X124MM</t>
  </si>
  <si>
    <t>23D-ECO-FOAM-84X33X124MM</t>
  </si>
  <si>
    <t>23D-ECO-FOAM-84X36X124MM</t>
  </si>
  <si>
    <t>23D-ECO-FOAM-84X39X124MM</t>
  </si>
  <si>
    <t>23D-ECO-FOAM-84X42X124MM</t>
  </si>
  <si>
    <t>23D-ECO-FOAM-84X45X124MM</t>
  </si>
  <si>
    <t>23D-ECO-FOAM-84X48X124MM</t>
  </si>
  <si>
    <t>23D-ECO-FOAM-84X51X124MM</t>
  </si>
  <si>
    <t>23D-ECO-FOAM-84X54X124MM</t>
  </si>
  <si>
    <t>23D-ECO-FOAM-84X57X124MM</t>
  </si>
  <si>
    <t>23D-ECO-FOAM-84X60X124MM</t>
  </si>
  <si>
    <t>23D-ECO-FOAM-84X63X124MM</t>
  </si>
  <si>
    <t>23D-ECO-FOAM-84X66X124MM</t>
  </si>
  <si>
    <t>23D-ECO-FOAM-84X69X124MM</t>
  </si>
  <si>
    <t>23D-ECO-FOAM-84X72X124MM</t>
  </si>
  <si>
    <t>18D-PU-FOAM-71.50X29.50X10MM</t>
  </si>
  <si>
    <t>18D-PU-FOAM-71.50X32.50X10MM</t>
  </si>
  <si>
    <t>18D-PU-FOAM-71.50X35.50X10MM</t>
  </si>
  <si>
    <t>18D-PU-FOAM-71.50X38.50X10MM</t>
  </si>
  <si>
    <t>18D-PU-FOAM-71.50X41.50X10MM</t>
  </si>
  <si>
    <t>18D-PU-FOAM-71.50X44.50X10MM</t>
  </si>
  <si>
    <t>18D-PU-FOAM-71.50X47.50X10MM</t>
  </si>
  <si>
    <t>18D-PU-FOAM-71.50X50.50X10MM</t>
  </si>
  <si>
    <t>18D-PU-FOAM-71.50X53.50X10MM</t>
  </si>
  <si>
    <t>18D-PU-FOAM-71.50X56.50X10MM</t>
  </si>
  <si>
    <t>18D-PU-FOAM-71.50X59.50X10MM</t>
  </si>
  <si>
    <t>18D-PU-FOAM-71.50X62.50X10MM</t>
  </si>
  <si>
    <t>18D-PU-FOAM-71.50X68.50X10MM</t>
  </si>
  <si>
    <t>18D-PU-FOAM-71.50X71.50X10MM</t>
  </si>
  <si>
    <t>18D-PU-FOAM-74.50X29.50X10MM</t>
  </si>
  <si>
    <t>18D-PU-FOAM-74.50X32.50X10MM</t>
  </si>
  <si>
    <t>18D-PU-FOAM-74.50X35.50X10MM</t>
  </si>
  <si>
    <t>18D-PU-FOAM-74.50X38.50X10MM</t>
  </si>
  <si>
    <t>18D-PU-FOAM-74.50X41.50X10MM</t>
  </si>
  <si>
    <t>18D-PU-FOAM-74.50X44.50X10MM</t>
  </si>
  <si>
    <t>18D-PU-FOAM-74.50X47.50X10MM</t>
  </si>
  <si>
    <t>18D-PU-FOAM-74.50X50.50X10MM</t>
  </si>
  <si>
    <t>18D-PU-FOAM-74.50X53.50X10MM</t>
  </si>
  <si>
    <t>18D-PU-FOAM-74.50X56.50X10MM</t>
  </si>
  <si>
    <t>18D-PU-FOAM-74.50X59.50X10MM</t>
  </si>
  <si>
    <t>18D-PU-FOAM-74.50X62.50X10MM</t>
  </si>
  <si>
    <t>18D-PU-FOAM-74.50X65.50X10MM</t>
  </si>
  <si>
    <t>18D-PU-FOAM-74.50X68.50X10MM</t>
  </si>
  <si>
    <t>18D-PU-FOAM-74.50X71.50X10MM</t>
  </si>
  <si>
    <t>18D-PU-FOAM-77.50X29.50X10MM</t>
  </si>
  <si>
    <t>18D-PU-FOAM-77.50X32.50X10MM</t>
  </si>
  <si>
    <t>18D-PU-FOAM-77.50X35.50X10MM</t>
  </si>
  <si>
    <t>18D-PU-FOAM-77.50X38.50X10MM</t>
  </si>
  <si>
    <t>18D-PU-FOAM-77.50X41.50X10MM</t>
  </si>
  <si>
    <t>18D-PU-FOAM-77.50X44.50X10MM</t>
  </si>
  <si>
    <t>18D-PU-FOAM-77.50X47.50X10MM</t>
  </si>
  <si>
    <t>18D-PU-FOAM-77.50X50.50X10MM</t>
  </si>
  <si>
    <t>18D-PU-FOAM-77.50X53.50X10MM</t>
  </si>
  <si>
    <t>18D-PU-FOAM-77.50X56.50X10MM</t>
  </si>
  <si>
    <t>18D-PU-FOAM-77.50X62.50X10MM</t>
  </si>
  <si>
    <t>18D-PU-FOAM-77.50X65.50X10MM</t>
  </si>
  <si>
    <t>18D-PU-FOAM-77.50X68.50X10MM</t>
  </si>
  <si>
    <t>18D-PU-FOAM-77.50X71.50X10MM</t>
  </si>
  <si>
    <t>18D-PU-FOAM-79.50X29.50X10MM</t>
  </si>
  <si>
    <t>18D-PU-FOAM-79.50X32.50X10MM</t>
  </si>
  <si>
    <t>18D-PU-FOAM-79.50X35.50X10MM</t>
  </si>
  <si>
    <t>18D-PU-FOAM-79.50X38.50X10MM</t>
  </si>
  <si>
    <t>18D-PU-FOAM-79.50X41.50X10MM</t>
  </si>
  <si>
    <t>18D-PU-FOAM-79.50X44.50X10MM</t>
  </si>
  <si>
    <t>18D-PU-FOAM-79.50X47.50X10MM</t>
  </si>
  <si>
    <t>18D-PU-FOAM-79.50X50.50X10MM</t>
  </si>
  <si>
    <t>18D-PU-FOAM-79.50X53.50X10MM</t>
  </si>
  <si>
    <t>18D-PU-FOAM-79.50X56.50X10MM</t>
  </si>
  <si>
    <t>18D-PU-FOAM-79.50X59.50X10MM</t>
  </si>
  <si>
    <t>18D-PU-FOAM-79.50X62.50X10MM</t>
  </si>
  <si>
    <t>18D-PU-FOAM-79.50X65.50X10MM</t>
  </si>
  <si>
    <t>18D-PU-FOAM-79.50X68.50X10MM</t>
  </si>
  <si>
    <t>18D-PU-FOAM-79.50X71.50X10MM</t>
  </si>
  <si>
    <t>18D-PU-FOAM-83.50X29.50X10MM</t>
  </si>
  <si>
    <t>18D-PU-FOAM-83.50X32.50X10MM</t>
  </si>
  <si>
    <t>18D-PU-FOAM-83.50X35.50X10MM</t>
  </si>
  <si>
    <t>18D-PU-FOAM-83.50X38.50X10MM</t>
  </si>
  <si>
    <t>18D-PU-FOAM-83.50X41.50X10MM</t>
  </si>
  <si>
    <t>18D-PU-FOAM-83.50X44.50X10MM</t>
  </si>
  <si>
    <t>18D-PU-FOAM-83.50X47.50X10MM</t>
  </si>
  <si>
    <t>18D-PU-FOAM-83.50X50.50X10MM</t>
  </si>
  <si>
    <t>18D-PU-FOAM-83.50X53.50X10MM</t>
  </si>
  <si>
    <t>18D-PU-FOAM-83.50X56.50X10MM</t>
  </si>
  <si>
    <t>18D-PU-FOAM-83.50X59.50X10MM</t>
  </si>
  <si>
    <t>18D-PU-FOAM-83.50X62.50X10MM</t>
  </si>
  <si>
    <t>18D-PU-FOAM-83.50X65.50X10MM</t>
  </si>
  <si>
    <t>18D-PU-FOAM-83.50X68.50X10MM</t>
  </si>
  <si>
    <t>18D-PU-FOAM-83.50X71.50X10MM</t>
  </si>
  <si>
    <t>40D-MDI-MEM-FM-71.50X29.50X10MM</t>
  </si>
  <si>
    <t>40D-MDI-MEM-FM-71.50X32.50X10MM</t>
  </si>
  <si>
    <t>40D-MDI-MEM-FM-71.50X35.50X10MM</t>
  </si>
  <si>
    <t>40D-MDI-MEM-FM-71.50X38.50X10MM</t>
  </si>
  <si>
    <t>40D-MDI-MEM-FM-71.50X41.50X10MM</t>
  </si>
  <si>
    <t>40D-MDI-MEM-FM-71.50X44.50X10MM</t>
  </si>
  <si>
    <t>40D-MDI-MEM-FM-71.50X47.50X10MM</t>
  </si>
  <si>
    <t>40D-MDI-MEM-FM-71.50X50.50X10MM</t>
  </si>
  <si>
    <t>40D-MDI-MEM-FM-71.50X53.50X10MM</t>
  </si>
  <si>
    <t>40D-MDI-MEM-FM-71.50X56.50X10MM</t>
  </si>
  <si>
    <t>40D-MDI-MEM-FM-71.50X59.50X10MM</t>
  </si>
  <si>
    <t>40D-MDI-MEM-FM-71.50X62.50X10MM</t>
  </si>
  <si>
    <t>40D-MDI-MEM-FM-71.50X65.50X10MM</t>
  </si>
  <si>
    <t>40D-MDI-MEM-FM-71.50X68.50X10MM</t>
  </si>
  <si>
    <t>40D-MDI-MEM-FM-71.50X71.50X10MM</t>
  </si>
  <si>
    <t>40D-MDI-MEM-FM-74.50X29.50X10MM</t>
  </si>
  <si>
    <t>40D-MDI-MEM-FM-74.50X32.50X10MM</t>
  </si>
  <si>
    <t>40D-MDI-MEM-FM-74.50X35.50X10MM</t>
  </si>
  <si>
    <t>40D-MDI-MEM-FM-74.50X38.50X10MM</t>
  </si>
  <si>
    <t>40D-MDI-MEM-FM-74.50X41.50X10MM</t>
  </si>
  <si>
    <t>40D-MDI-MEM-FM-74.50X44.50X10MM</t>
  </si>
  <si>
    <t>40D-MDI-MEM-FM-74.50X47.50X10MM</t>
  </si>
  <si>
    <t>40D-MDI-MEM-FM-74.50X50.50X10MM</t>
  </si>
  <si>
    <t>40D-MDI-MEM-FM-74.50X53.50X10MM</t>
  </si>
  <si>
    <t>40D-MDI-MEM-FM-74.50X56.50X10MM</t>
  </si>
  <si>
    <t>40D-MDI-MEM-FM-74.50X59.50X10MM</t>
  </si>
  <si>
    <t>40D-MDI-MEM-FM-74.50X62.50X10MM</t>
  </si>
  <si>
    <t>40D-MDI-MEM-FM-74.50X65.50X10MM</t>
  </si>
  <si>
    <t>40D-MDI-MEM-FM-74.50X68.50X10MM</t>
  </si>
  <si>
    <t>40D-MDI-MEM-FM-74.50X71.50X10MM</t>
  </si>
  <si>
    <t>40D-MDI-MEM-FM-77.50X29.50X10MM</t>
  </si>
  <si>
    <t>40D-MDI-MEM-FM-77.50X32.50X10MM</t>
  </si>
  <si>
    <t>40D-MDI-MEM-FM-77.50X35.50X10MM</t>
  </si>
  <si>
    <t>40D-MDI-MEM-FM-77.50X38.50X10MM</t>
  </si>
  <si>
    <t>40D-MDI-MEM-FM-77.50X41.50X10MM</t>
  </si>
  <si>
    <t>40D-MDI-MEM-FM-77.50X44.50X10MM</t>
  </si>
  <si>
    <t>40D-MDI-MEM-FM-77.50X47.50X10MM</t>
  </si>
  <si>
    <t>40D-MDI-MEM-FM-77.50X50.50X10MM</t>
  </si>
  <si>
    <t>40D-MDI-MEM-FM-77.50X53.50X10MM</t>
  </si>
  <si>
    <t>40D-MDI-MEM-FM-77.50X56.50X10MM</t>
  </si>
  <si>
    <t>40D-MDI-MEM-FM-77.50X59.50X10MM</t>
  </si>
  <si>
    <t>40D-MDI-MEM-FM-77.50X62.50X10MM</t>
  </si>
  <si>
    <t>40D-MDI-MEM-FM-77.50X65.50X10MM</t>
  </si>
  <si>
    <t>40D-MDI-MEM-FM-77.50X68.50X10MM</t>
  </si>
  <si>
    <t>40D-MDI-MEM-FM-77.50X71.50X10MM</t>
  </si>
  <si>
    <t>40D-MDI-MEM-FM-79.50X29.50X10MM</t>
  </si>
  <si>
    <t>40D-MDI-MEM-FM-79.50X32.50X10MM</t>
  </si>
  <si>
    <t>40D-MDI-MEM-FM-79.50X35.50X10MM</t>
  </si>
  <si>
    <t>40D-MDI-MEM-FM-79.50X38.50X10MM</t>
  </si>
  <si>
    <t>40D-MDI-MEM-FM-79.50X41.50X10MM</t>
  </si>
  <si>
    <t>40D-MDI-MEM-FM-79.50X44.50X10MM</t>
  </si>
  <si>
    <t>40D-MDI-MEM-FM-79.50X47.50X10MM</t>
  </si>
  <si>
    <t>40D-MDI-MEM-FM-79.50X50.50X10MM</t>
  </si>
  <si>
    <t>40D-MDI-MEM-FM-79.50X53.50X10MM</t>
  </si>
  <si>
    <t>40D-MDI-MEM-FM-79.50X56.50X10MM</t>
  </si>
  <si>
    <t>40D-MDI-MEM-FM-79.50X59.50X10MM</t>
  </si>
  <si>
    <t>40D-MDI-MEM-FM-79.50X62.50X10MM</t>
  </si>
  <si>
    <t>40D-MDI-MEM-FM-79.50X65.50X10MM</t>
  </si>
  <si>
    <t>40D-MDI-MEM-FM-79.50X68.50X10MM</t>
  </si>
  <si>
    <t>40D-MDI-MEM-FM-79.50X71.50X10MM</t>
  </si>
  <si>
    <t>40D-MDI-MEM-FM-83.50X29.50X10MM</t>
  </si>
  <si>
    <t>40D-MDI-MEM-FM-83.50X32.50X10MM</t>
  </si>
  <si>
    <t>40D-MDI-MEM-FM-83.50X35.50X10MM</t>
  </si>
  <si>
    <t>40D-MDI-MEM-FM-83.50X38.50X10MM</t>
  </si>
  <si>
    <t>40D-MDI-MEM-FM-83.50X41.50X10MM</t>
  </si>
  <si>
    <t>40D-MDI-MEM-FM-83.50X44.50X10MM</t>
  </si>
  <si>
    <t>40D-MDI-MEM-FM-83.50X47.50X10MM</t>
  </si>
  <si>
    <t>40D-MDI-MEM-FM-83.50X50.50X10MM</t>
  </si>
  <si>
    <t>40D-MDI-MEM-FM-83.50X53.50X10MM</t>
  </si>
  <si>
    <t>40D-MDI-MEM-FM-83.50X56.50X10MM</t>
  </si>
  <si>
    <t>40D-MDI-MEM-FM-83.50X59.50X10MM</t>
  </si>
  <si>
    <t>40D-MDI-MEM-FM-83.50X62.50X10MM</t>
  </si>
  <si>
    <t>40D-MDI-MEM-FM-83.50X65.50X10MM</t>
  </si>
  <si>
    <t>40D-MDI-MEM-FM-83.50X68.50X10MM</t>
  </si>
  <si>
    <t>40D-MDI-MEM-FM-83.50X71.50X10MM</t>
  </si>
  <si>
    <t>25D-HELIXA-FOAM-70X70X50MM</t>
  </si>
  <si>
    <t>25D-HELIXA-FOAM-73X70X50MM</t>
  </si>
  <si>
    <t>25D-HELIXA-FOAM-76X28X50MM</t>
  </si>
  <si>
    <t>25D-HELIXA-FOAM-76X34X50MM</t>
  </si>
  <si>
    <t>25D-HELIXA-FOAM-76X40X50MM</t>
  </si>
  <si>
    <t>25D-HELIXA-FOAM-76X46X50MM</t>
  </si>
  <si>
    <t>25D-HELIXA-FOAM-76X58X50MM</t>
  </si>
  <si>
    <t>25D-HELIXA-FOAM-76X64X50MM</t>
  </si>
  <si>
    <t>25D-HELIXA-FOAM-76X70X50MM</t>
  </si>
  <si>
    <t>25D-HELIXA-FOAM-78X28X50MM</t>
  </si>
  <si>
    <t>25D-HELIXA-FOAM-78X34X50MM</t>
  </si>
  <si>
    <t>25D-HELIXA-FOAM-78X40X50MM</t>
  </si>
  <si>
    <t>25D-HELIXA-FOAM-78X46X50MM</t>
  </si>
  <si>
    <t>25D-HELIXA-FOAM-78X58X50MM</t>
  </si>
  <si>
    <t>25D-HELIXA-FOAM-78X64X50MM</t>
  </si>
  <si>
    <t>25D-HELIXA-FOAM-78X70X50MM</t>
  </si>
  <si>
    <t>25D-HELIXA-FOAM-82X28X50MM</t>
  </si>
  <si>
    <t>25D-HELIXA-FOAM-82X34X50MM</t>
  </si>
  <si>
    <t>25D-HELIXA-FOAM-82X40X50MM</t>
  </si>
  <si>
    <t>25D-HELIXA-FOAM-82X46X50MM</t>
  </si>
  <si>
    <t>25D-HELIXA-FOAM-82X58X50MM</t>
  </si>
  <si>
    <t>25D-HELIXA-FOAM-82X64X50MM</t>
  </si>
  <si>
    <t>25D-HELIXA-FOAM-82X70X50MM</t>
  </si>
  <si>
    <t>25D-HELIXA-FOAM-70X68X50MM</t>
  </si>
  <si>
    <t>25D-HELIXA-FOAM-73X68X50MM</t>
  </si>
  <si>
    <t>25D-HELIXA-FOAM-76X31X50MM</t>
  </si>
  <si>
    <t>25D-HELIXA-FOAM-76X37X50MM</t>
  </si>
  <si>
    <t>25D-HELIXA-FOAM-76X43X50MM</t>
  </si>
  <si>
    <t>25D-HELIXA-FOAM-76X49X50MM</t>
  </si>
  <si>
    <t>25D-HELIXA-FOAM-76X52X50MM</t>
  </si>
  <si>
    <t>25D-HELIXA-FOAM-76X55X50MM</t>
  </si>
  <si>
    <t>25D-HELIXA-FOAM-76X61X50MM</t>
  </si>
  <si>
    <t>25D-HELIXA-FOAM-78X31X50MM</t>
  </si>
  <si>
    <t>25D-HELIXA-FOAM-78X37X50MM</t>
  </si>
  <si>
    <t>25D-HELIXA-FOAM-78X43X50MM</t>
  </si>
  <si>
    <t>25D-HELIXA-FOAM-78X49X50MM</t>
  </si>
  <si>
    <t>25D-HELIXA-FOAM-78X52X50MM</t>
  </si>
  <si>
    <t>25D-HELIXA-FOAM-78X55X50MM</t>
  </si>
  <si>
    <t>25D-HELIXA-FOAM-78X61X50MM</t>
  </si>
  <si>
    <t>25D-HELIXA-FOAM-78X68X50MM</t>
  </si>
  <si>
    <t>25D-HELIXA-FOAM-82X31X50MM</t>
  </si>
  <si>
    <t>25D-HELIXA-FOAM-82X37X50MM</t>
  </si>
  <si>
    <t>25D-HELIXA-FOAM-82X43X50MM</t>
  </si>
  <si>
    <t>25D-HELIXA-FOAM-82X49X50MM</t>
  </si>
  <si>
    <t>25D-HELIXA-FOAM-82X52X50MM</t>
  </si>
  <si>
    <t>25D-HELIXA-FOAM-82X55X50MM</t>
  </si>
  <si>
    <t>25D-HELIXA-FOAM-82X61X50MM</t>
  </si>
  <si>
    <t>25D-HELIXA-FOAM-82X68X50MM</t>
  </si>
  <si>
    <t>25D-HELIXA-FOAM-66.50X24.50X25MM</t>
  </si>
  <si>
    <t>25D-HELIXA-FOAM-66.50X30.50X25MM</t>
  </si>
  <si>
    <t>25D-HELIXA-FOAM-66.50X36.50X25MM</t>
  </si>
  <si>
    <t>25D-HELIXA-FOAM-66.50X42.50X25MM</t>
  </si>
  <si>
    <t>25D-HELIXA-FOAM-66.50X54.50X25MM</t>
  </si>
  <si>
    <t>25D-HELIXA-FOAM-66.50X60.50X25MM</t>
  </si>
  <si>
    <t>25D-HELIXA-FOAM-66.50X66.50X25MM</t>
  </si>
  <si>
    <t>25D-HELIXA-FOAM-69.50X24.50X25MM</t>
  </si>
  <si>
    <t>25D-HELIXA-FOAM-69.50X30.50X25MM</t>
  </si>
  <si>
    <t>25D-HELIXA-FOAM-69.50X36.50X25MM</t>
  </si>
  <si>
    <t>25D-HELIXA-FOAM-69.50X42.50X25MM</t>
  </si>
  <si>
    <t>25D-HELIXA-FOAM-69.50X54.50X25MM</t>
  </si>
  <si>
    <t>25D-HELIXA-FOAM-69.50X60.50X25MM</t>
  </si>
  <si>
    <t>25D-HELIXA-FOAM-69.50X66.50X25MM</t>
  </si>
  <si>
    <t>25D-HELIXA-FOAM-72.50X24.50X25MM</t>
  </si>
  <si>
    <t>25D-HELIXA-FOAM-72.50X30.50X25MM</t>
  </si>
  <si>
    <t>25D-HELIXA-FOAM-72.50X36.50X25MM</t>
  </si>
  <si>
    <t>25D-HELIXA-FOAM-72.50X42.50X25MM</t>
  </si>
  <si>
    <t>25D-HELIXA-FOAM-72.50X54.50X25MM</t>
  </si>
  <si>
    <t>25D-HELIXA-FOAM-72.50X60.50X25MM</t>
  </si>
  <si>
    <t>25D-HELIXA-FOAM-72.50X66.50X25MM</t>
  </si>
  <si>
    <t>25D-HELIXA-FOAM-74.50X24.50X25MM</t>
  </si>
  <si>
    <t>25D-HELIXA-FOAM-74.50X30.50X25MM</t>
  </si>
  <si>
    <t>25D-HELIXA-FOAM-74.50X36.50X25MM</t>
  </si>
  <si>
    <t>25D-HELIXA-FOAM-74.50X42.50X25MM</t>
  </si>
  <si>
    <t>25D-HELIXA-FOAM-74.50X54.50X25MM</t>
  </si>
  <si>
    <t>25D-HELIXA-FOAM-74.50X60.50X25MM</t>
  </si>
  <si>
    <t>25D-HELIXA-FOAM-74.50X66.50X25MM</t>
  </si>
  <si>
    <t>25D-HELIXA-FOAM-78.50X24.50X25MM</t>
  </si>
  <si>
    <t>25D-HELIXA-FOAM-78.50X30.50X25MM</t>
  </si>
  <si>
    <t>25D-HELIXA-FOAM-78.50X36.50X25MM</t>
  </si>
  <si>
    <t>25D-HELIXA-FOAM-78.50X42.50X25MM</t>
  </si>
  <si>
    <t>25D-HELIXA-FOAM-78.50X54.50X25MM</t>
  </si>
  <si>
    <t>25D-HELIXA-FOAM-78.50X60.50X25MM</t>
  </si>
  <si>
    <t>25D-HELIXA-FOAM-78.50X66.50X25MM</t>
  </si>
  <si>
    <t>25D-HELIXA-FOAM-66.50X27.50X25MM</t>
  </si>
  <si>
    <t>25D-HELIXA-FOAM-66.50X33.50X25MM</t>
  </si>
  <si>
    <t>25D-HELIXA-FOAM-66.50X39.50X25MM</t>
  </si>
  <si>
    <t>25D-HELIXA-FOAM-66.50X45.50X25MM</t>
  </si>
  <si>
    <t>25D-HELIXA-FOAM-66.50X48.50X25MM</t>
  </si>
  <si>
    <t>25D-HELIXA-FOAM-66.50X51.50X25MM</t>
  </si>
  <si>
    <t>25D-HELIXA-FOAM-66.50X57.50X25MM</t>
  </si>
  <si>
    <t>25D-HELIXA-FOAM-66.50X63.50X25MM</t>
  </si>
  <si>
    <t>25D-HELIXA-FOAM-69.50X27.50X25MM</t>
  </si>
  <si>
    <t>25D-HELIXA-FOAM-69.50X33.50X25MM</t>
  </si>
  <si>
    <t>25D-HELIXA-FOAM-69.50X39.50X25MM</t>
  </si>
  <si>
    <t>25D-HELIXA-FOAM-69.50X45.50X25MM</t>
  </si>
  <si>
    <t>25D-HELIXA-FOAM-69.50X48.50X25MM</t>
  </si>
  <si>
    <t>25D-HELIXA-FOAM-69.50X51.50X25MM</t>
  </si>
  <si>
    <t>25D-HELIXA-FOAM-69.50X57.50X25MM</t>
  </si>
  <si>
    <t>25D-HELIXA-FOAM-69.50X63.50X25MM</t>
  </si>
  <si>
    <t>25D-HELIXA-FOAM-72.50X27.50X25MM</t>
  </si>
  <si>
    <t>25D-HELIXA-FOAM-72.50X33.50X25MM</t>
  </si>
  <si>
    <t>25D-HELIXA-FOAM-72.50X39.50X25MM</t>
  </si>
  <si>
    <t>25D-HELIXA-FOAM-72.50X45.50X25MM</t>
  </si>
  <si>
    <t>25D-HELIXA-FOAM-72.50X48.50X25MM</t>
  </si>
  <si>
    <t>25D-HELIXA-FOAM-72.50X51.50X25MM</t>
  </si>
  <si>
    <t>25D-HELIXA-FOAM-72.50X57.50X25MM</t>
  </si>
  <si>
    <t>25D-HELIXA-FOAM-72.50X63.50X25MM</t>
  </si>
  <si>
    <t>25D-HELIXA-FOAM-74.50X27.50X25MM</t>
  </si>
  <si>
    <t>25D-HELIXA-FOAM-74.50X33.50X25MM</t>
  </si>
  <si>
    <t>25D-HELIXA-FOAM-74.50X39.50X25MM</t>
  </si>
  <si>
    <t>25D-HELIXA-FOAM-74.50X45.50X25MM</t>
  </si>
  <si>
    <t>25D-HELIXA-FOAM-74.50X48.50X25MM</t>
  </si>
  <si>
    <t>25D-HELIXA-FOAM-74.50X51.50X25MM</t>
  </si>
  <si>
    <t>25D-HELIXA-FOAM-74.50X57.50X25MM</t>
  </si>
  <si>
    <t>25D-HELIXA-FOAM-74.50X63.50X25MM</t>
  </si>
  <si>
    <t>25D-HELIXA-FOAM-78.50X27.50X25MM</t>
  </si>
  <si>
    <t>25D-HELIXA-FOAM-78.50X33.50X25MM</t>
  </si>
  <si>
    <t>25D-HELIXA-FOAM-78.50X39.50X25MM</t>
  </si>
  <si>
    <t>25D-HELIXA-FOAM-78.50X45.50X25MM</t>
  </si>
  <si>
    <t>25D-HELIXA-FOAM-78.50X48.50X25MM</t>
  </si>
  <si>
    <t>25D-HELIXA-FOAM-78.50X51.50X25MM</t>
  </si>
  <si>
    <t>25D-HELIXA-FOAM-78.50X57.50X25MM</t>
  </si>
  <si>
    <t>25D-HELIXA-FOAM-78.50X63.50X25MM</t>
  </si>
  <si>
    <t>25D-HELIXA-FOAM-67X25X25MM</t>
  </si>
  <si>
    <t>25D-HELIXA-FOAM-67X28X25MM</t>
  </si>
  <si>
    <t>25D-HELIXA-FOAM-67X31X25MM</t>
  </si>
  <si>
    <t>25D-HELIXA-FOAM-67X34X25MM</t>
  </si>
  <si>
    <t>25D-HELIXA-FOAM-67X37X25MM</t>
  </si>
  <si>
    <t>25D-HELIXA-FOAM-67X40X25MM</t>
  </si>
  <si>
    <t>25D-HELIXA-FOAM-67X43X25MM</t>
  </si>
  <si>
    <t>25D-HELIXA-FOAM-67X46X25MM</t>
  </si>
  <si>
    <t>25D-HELIXA-FOAM-67X49X25MM</t>
  </si>
  <si>
    <t>25D-HELIXA-FOAM-67X52X25MM</t>
  </si>
  <si>
    <t>25D-HELIXA-FOAM-67X55X25MM</t>
  </si>
  <si>
    <t>25D-HELIXA-FOAM-67X58X25MM</t>
  </si>
  <si>
    <t>25D-HELIXA-FOAM-67X61X25MM</t>
  </si>
  <si>
    <t>25D-HELIXA-FOAM-67X64X25MM</t>
  </si>
  <si>
    <t>25D-HELIXA-FOAM-67X67X25MM</t>
  </si>
  <si>
    <t>25D-HELIXA-FOAM-70X25X25MM</t>
  </si>
  <si>
    <t>25D-HELIXA-FOAM-70X28X25MM</t>
  </si>
  <si>
    <t>25D-HELIXA-FOAM-70X31X25MM</t>
  </si>
  <si>
    <t>25D-HELIXA-FOAM-70X34X25MM</t>
  </si>
  <si>
    <t>25D-HELIXA-FOAM-70X37X25MM</t>
  </si>
  <si>
    <t>25D-HELIXA-FOAM-70X40X25MM</t>
  </si>
  <si>
    <t>25D-HELIXA-FOAM-70X43X25MM</t>
  </si>
  <si>
    <t>25D-HELIXA-FOAM-70X46X25MM</t>
  </si>
  <si>
    <t>25D-HELIXA-FOAM-70X49X25MM</t>
  </si>
  <si>
    <t>25D-HELIXA-FOAM-70X52X25MM</t>
  </si>
  <si>
    <t>25D-HELIXA-FOAM-70X55X25MM</t>
  </si>
  <si>
    <t>25D-HELIXA-FOAM-70X58X25MM</t>
  </si>
  <si>
    <t>25D-HELIXA-FOAM-70X61X25MM</t>
  </si>
  <si>
    <t>25D-HELIXA-FOAM-70X64X25MM</t>
  </si>
  <si>
    <t>25D-HELIXA-FOAM-70X67X25MM</t>
  </si>
  <si>
    <t>25D-HELIXA-FOAM-73X25X25MM</t>
  </si>
  <si>
    <t>25D-HELIXA-FOAM-73X28X25MM</t>
  </si>
  <si>
    <t>25D-HELIXA-FOAM-73X31X25MM</t>
  </si>
  <si>
    <t>25D-HELIXA-FOAM-73X34X25MM</t>
  </si>
  <si>
    <t>25D-HELIXA-FOAM-73X37X25MM</t>
  </si>
  <si>
    <t>25D-HELIXA-FOAM-73X40X25MM</t>
  </si>
  <si>
    <t>25D-HELIXA-FOAM-73X43X25MM</t>
  </si>
  <si>
    <t>25D-HELIXA-FOAM-73X46X25MM</t>
  </si>
  <si>
    <t>25D-HELIXA-FOAM-73X49X25MM</t>
  </si>
  <si>
    <t>25D-HELIXA-FOAM-73X52X25MM</t>
  </si>
  <si>
    <t>25D-HELIXA-FOAM-73X55X25MM</t>
  </si>
  <si>
    <t>25D-HELIXA-FOAM-73X58X25MM</t>
  </si>
  <si>
    <t>25D-HELIXA-FOAM-73X61X25MM</t>
  </si>
  <si>
    <t>25D-HELIXA-FOAM-73X64X25MM</t>
  </si>
  <si>
    <t>25D-HELIXA-FOAM-73X67X25MM</t>
  </si>
  <si>
    <t>25D-HELIXA-FOAM-75X25X25MM</t>
  </si>
  <si>
    <t>25D-HELIXA-FOAM-75X28X25MM</t>
  </si>
  <si>
    <t>25D-HELIXA-FOAM-75X31X25MM</t>
  </si>
  <si>
    <t>25D-HELIXA-FOAM-75X34X25MM</t>
  </si>
  <si>
    <t>25D-HELIXA-FOAM-75X37X25MM</t>
  </si>
  <si>
    <t>25D-HELIXA-FOAM-75X40X25MM</t>
  </si>
  <si>
    <t>25D-HELIXA-FOAM-75X43X25MM</t>
  </si>
  <si>
    <t>25D-HELIXA-FOAM-75X46X25MM</t>
  </si>
  <si>
    <t>25D-HELIXA-FOAM-75X49X25MM</t>
  </si>
  <si>
    <t>25D-HELIXA-FOAM-75X52X25MM</t>
  </si>
  <si>
    <t>25D-HELIXA-FOAM-75X55X25MM</t>
  </si>
  <si>
    <t>25D-HELIXA-FOAM-75X58X25MM</t>
  </si>
  <si>
    <t>25D-HELIXA-FOAM-75X61X25MM</t>
  </si>
  <si>
    <t>25D-HELIXA-FOAM-75X64X25MM</t>
  </si>
  <si>
    <t>25D-HELIXA-FOAM-75X67X25MM</t>
  </si>
  <si>
    <t>25D-HELIXA-FOAM-79X25X25MM</t>
  </si>
  <si>
    <t>25D-HELIXA-FOAM-79X28X25MM</t>
  </si>
  <si>
    <t>25D-HELIXA-FOAM-79X31X25MM</t>
  </si>
  <si>
    <t>25D-HELIXA-FOAM-79X34X25MM</t>
  </si>
  <si>
    <t>25D-HELIXA-FOAM-79X37X25MM</t>
  </si>
  <si>
    <t>25D-HELIXA-FOAM-79X40X25MM</t>
  </si>
  <si>
    <t>25D-HELIXA-FOAM-79X43X25MM</t>
  </si>
  <si>
    <t>25D-HELIXA-FOAM-79X46X25MM</t>
  </si>
  <si>
    <t>25D-HELIXA-FOAM-79X49X25MM</t>
  </si>
  <si>
    <t>25D-HELIXA-FOAM-79X52X25MM</t>
  </si>
  <si>
    <t>25D-HELIXA-FOAM-79X55X25MM</t>
  </si>
  <si>
    <t>25D-HELIXA-FOAM-79X58X25MM</t>
  </si>
  <si>
    <t>25D-HELIXA-FOAM-79X61X25MM</t>
  </si>
  <si>
    <t>25D-HELIXA-FOAM-79X64X25MM</t>
  </si>
  <si>
    <t>25D-HELIXA-FOAM-79X67X25MM</t>
  </si>
  <si>
    <t>25D-HELIXA-FOAM-67X25X50MM</t>
  </si>
  <si>
    <t>25D-HELIXA-FOAM-67X28X50MM</t>
  </si>
  <si>
    <t>25D-HELIXA-FOAM-67X31X50MM</t>
  </si>
  <si>
    <t>25D-HELIXA-FOAM-67X34X50MM</t>
  </si>
  <si>
    <t>25D-HELIXA-FOAM-67X37X50MM</t>
  </si>
  <si>
    <t>25D-HELIXA-FOAM-67X40X50MM</t>
  </si>
  <si>
    <t>25D-HELIXA-FOAM-67X43X50MM</t>
  </si>
  <si>
    <t>25D-HELIXA-FOAM-67X46X50MM</t>
  </si>
  <si>
    <t>25D-HELIXA-FOAM-67X49X50MM</t>
  </si>
  <si>
    <t>25D-HELIXA-FOAM-67X52X50MM</t>
  </si>
  <si>
    <t>25D-HELIXA-FOAM-67X55X50MM</t>
  </si>
  <si>
    <t>25D-HELIXA-FOAM-67X58X50MM</t>
  </si>
  <si>
    <t>25D-HELIXA-FOAM-67X61X50MM</t>
  </si>
  <si>
    <t>25D-HELIXA-FOAM-67X64X50MM</t>
  </si>
  <si>
    <t>25D-HELIXA-FOAM-67X67X50MM</t>
  </si>
  <si>
    <t>25D-HELIXA-FOAM-70X25X50MM</t>
  </si>
  <si>
    <t>25D-HELIXA-FOAM-70X28X50MM</t>
  </si>
  <si>
    <t>25D-HELIXA-FOAM-70X31X50MM</t>
  </si>
  <si>
    <t>25D-HELIXA-FOAM-70X34X50MM</t>
  </si>
  <si>
    <t>25D-HELIXA-FOAM-70X37X50MM</t>
  </si>
  <si>
    <t>25D-HELIXA-FOAM-70X40X50MM</t>
  </si>
  <si>
    <t>25D-HELIXA-FOAM-70X43X50MM</t>
  </si>
  <si>
    <t>25D-HELIXA-FOAM-70X46X50MM</t>
  </si>
  <si>
    <t>25D-HELIXA-FOAM-70X49X50MM</t>
  </si>
  <si>
    <t>25D-HELIXA-FOAM-70X52X50MM</t>
  </si>
  <si>
    <t>25D-HELIXA-FOAM-70X55X50MM</t>
  </si>
  <si>
    <t>25D-HELIXA-FOAM-70X58X50MM</t>
  </si>
  <si>
    <t>25D-HELIXA-FOAM-70X61X50MM</t>
  </si>
  <si>
    <t>25D-HELIXA-FOAM-70X64X50MM</t>
  </si>
  <si>
    <t>25D-HELIXA-FOAM-70X67X50MM</t>
  </si>
  <si>
    <t>25D-HELIXA-FOAM-73X25X50MM</t>
  </si>
  <si>
    <t>25D-HELIXA-FOAM-73X28X50MM</t>
  </si>
  <si>
    <t>25D-HELIXA-FOAM-73X31X50MM</t>
  </si>
  <si>
    <t>25D-HELIXA-FOAM-73X34X50MM</t>
  </si>
  <si>
    <t>25D-HELIXA-FOAM-73X37X50MM</t>
  </si>
  <si>
    <t>25D-HELIXA-FOAM-73X40X50MM</t>
  </si>
  <si>
    <t>25D-HELIXA-FOAM-73X43X50MM</t>
  </si>
  <si>
    <t>25D-HELIXA-FOAM-73X46X50MM</t>
  </si>
  <si>
    <t>25D-HELIXA-FOAM-73X49X50MM</t>
  </si>
  <si>
    <t>25D-HELIXA-FOAM-73X52X50MM</t>
  </si>
  <si>
    <t>25D-HELIXA-FOAM-73X55X50MM</t>
  </si>
  <si>
    <t>25D-HELIXA-FOAM-73X58X50MM</t>
  </si>
  <si>
    <t>25D-HELIXA-FOAM-73X61X50MM</t>
  </si>
  <si>
    <t>25D-HELIXA-FOAM-73X64X50MM</t>
  </si>
  <si>
    <t>25D-HELIXA-FOAM-73X67X50MM</t>
  </si>
  <si>
    <t>25D-HELIXA-FOAM-75X25X50MM</t>
  </si>
  <si>
    <t>25D-HELIXA-FOAM-75X28X50MM</t>
  </si>
  <si>
    <t>25D-HELIXA-FOAM-75X31X50MM</t>
  </si>
  <si>
    <t>25D-HELIXA-FOAM-75X34X50MM</t>
  </si>
  <si>
    <t>25D-HELIXA-FOAM-75X37X50MM</t>
  </si>
  <si>
    <t>25D-HELIXA-FOAM-75X40X50MM</t>
  </si>
  <si>
    <t>25D-HELIXA-FOAM-75X43X50MM</t>
  </si>
  <si>
    <t>25D-HELIXA-FOAM-75X46X50MM</t>
  </si>
  <si>
    <t>25D-HELIXA-FOAM-75X49X50MM</t>
  </si>
  <si>
    <t>25D-HELIXA-FOAM-75X52X50MM</t>
  </si>
  <si>
    <t>25D-HELIXA-FOAM-75X55X50MM</t>
  </si>
  <si>
    <t>25D-HELIXA-FOAM-75X58X50MM</t>
  </si>
  <si>
    <t>25D-HELIXA-FOAM-75X61X50MM</t>
  </si>
  <si>
    <t>25D-HELIXA-FOAM-75X64X50MM</t>
  </si>
  <si>
    <t>25D-HELIXA-FOAM-75X67X50MM</t>
  </si>
  <si>
    <t>25D-HELIXA-FOAM-79X25X50MM</t>
  </si>
  <si>
    <t>25D-HELIXA-FOAM-79X28X50MM</t>
  </si>
  <si>
    <t>25D-HELIXA-FOAM-79X31X50MM</t>
  </si>
  <si>
    <t>25D-HELIXA-FOAM-79X34X50MM</t>
  </si>
  <si>
    <t>25D-HELIXA-FOAM-79X37X50MM</t>
  </si>
  <si>
    <t>25D-HELIXA-FOAM-79X40X50MM</t>
  </si>
  <si>
    <t>25D-HELIXA-FOAM-79X43X50MM</t>
  </si>
  <si>
    <t>25D-HELIXA-FOAM-79X46X50MM</t>
  </si>
  <si>
    <t>25D-HELIXA-FOAM-79X49X50MM</t>
  </si>
  <si>
    <t>25D-HELIXA-FOAM-79X52X50MM</t>
  </si>
  <si>
    <t>25D-HELIXA-FOAM-79X55X50MM</t>
  </si>
  <si>
    <t>25D-HELIXA-FOAM-79X58X50MM</t>
  </si>
  <si>
    <t>25D-HELIXA-FOAM-79X61X50MM</t>
  </si>
  <si>
    <t>25D-HELIXA-FOAM-79X64X50MM</t>
  </si>
  <si>
    <t>25D-HELIXA-FOAM-79X67X50MM</t>
  </si>
  <si>
    <t>25D-HXA-CONV-FM-13X13X25MM</t>
  </si>
  <si>
    <t>25D-HXA-CONV-FM-20X18X25MM</t>
  </si>
  <si>
    <t>25D-HXA-CONV-FM-72X30X25MM</t>
  </si>
  <si>
    <t>25D-HXA-CONV-FM-72X36X25MM</t>
  </si>
  <si>
    <t>25D-HXA-CONV-FM-72X42X25MM</t>
  </si>
  <si>
    <t>25D-HXA-CONV-FM-72X48X25MM</t>
  </si>
  <si>
    <t>25D-HXA-CONV-FM-72X60X25MM</t>
  </si>
  <si>
    <t>25D-HXA-CONV-FM-72X66X25MM</t>
  </si>
  <si>
    <t>25D-HXA-CONV-FM-72X72X25MM</t>
  </si>
  <si>
    <t>25D-HXA-CONV-FM-75X30X25MM</t>
  </si>
  <si>
    <t>25D-HXA-CONV-FM-75X36X25MM</t>
  </si>
  <si>
    <t>25D-HXA-CONV-FM-75X42X25MM</t>
  </si>
  <si>
    <t>25D-HXA-CONV-FM-75X48X25MM</t>
  </si>
  <si>
    <t>25D-HXA-CONV-FM-75X60X25MM</t>
  </si>
  <si>
    <t>25D-HXA-CONV-FM-75X66X25MM</t>
  </si>
  <si>
    <t>25D-HXA-CONV-FM-75X72X25MM</t>
  </si>
  <si>
    <t>25D-HXA-CONV-FM-78X30X25MM</t>
  </si>
  <si>
    <t>25D-HXA-CONV-FM-78X36X25MM</t>
  </si>
  <si>
    <t>25D-HXA-CONV-FM-78X42X25MM</t>
  </si>
  <si>
    <t>25D-HXA-CONV-FM-78X48X25MM</t>
  </si>
  <si>
    <t>25D-HXA-CONV-FM-78X60X25MM</t>
  </si>
  <si>
    <t>25D-HXA-CONV-FM-78X66X25MM</t>
  </si>
  <si>
    <t>25D-HXA-CONV-FM-78X72X25MM</t>
  </si>
  <si>
    <t>25D-HXA-CONV-FM-80X30X25MM</t>
  </si>
  <si>
    <t>25D-HXA-CONV-FM-80X36X25MM</t>
  </si>
  <si>
    <t>25D-HXA-CONV-FM-80X42X25MM</t>
  </si>
  <si>
    <t>25D-HXA-CONV-FM-80X48X25MM</t>
  </si>
  <si>
    <t>25D-HXA-CONV-FM-80X60X25MM</t>
  </si>
  <si>
    <t>25D-HXA-CONV-FM-80X66X25MM</t>
  </si>
  <si>
    <t>25D-HXA-CONV-FM-80X72X25MM</t>
  </si>
  <si>
    <t>25D-HXA-CONV-FM-84X30X25MM</t>
  </si>
  <si>
    <t>25D-HXA-CONV-FM-84X36X25MM</t>
  </si>
  <si>
    <t>25D-HXA-CONV-FM-84X42X25MM</t>
  </si>
  <si>
    <t>25D-HXA-CONV-FM-84X48X25MM</t>
  </si>
  <si>
    <t>25D-HXA-CONV-FM-84X60X25MM</t>
  </si>
  <si>
    <t>25D-HXA-CONV-FM-84X66X25MM</t>
  </si>
  <si>
    <t>25D-HXA-CONV-FM-84X72X25MM</t>
  </si>
  <si>
    <t>25D-HXA-CONV-FM-72X33X25MM</t>
  </si>
  <si>
    <t>25D-HXA-CONV-FM-72X39X25MM</t>
  </si>
  <si>
    <t>25D-HXA-CONV-FM-72X45X25MM</t>
  </si>
  <si>
    <t>25D-HXA-CONV-FM-72X51X25MM</t>
  </si>
  <si>
    <t>25D-HXA-CONV-FM-72X54X25MM</t>
  </si>
  <si>
    <t>25D-HXA-CONV-FM-72X57X25MM</t>
  </si>
  <si>
    <t>25D-HXA-CONV-FM-72X63X25MM</t>
  </si>
  <si>
    <t>25D-HXA-CONV-FM-72X69X25MM</t>
  </si>
  <si>
    <t>25D-HXA-CONV-FM-75X33X25MM</t>
  </si>
  <si>
    <t>25D-HXA-CONV-FM-75X39X25MM</t>
  </si>
  <si>
    <t>25D-HXA-CONV-FM-75X45X25MM</t>
  </si>
  <si>
    <t>25D-HXA-CONV-FM-75X51X25MM</t>
  </si>
  <si>
    <t>25D-HXA-CONV-FM-75X54X25MM</t>
  </si>
  <si>
    <t>25D-HXA-CONV-FM-75X57X25MM</t>
  </si>
  <si>
    <t>25D-HXA-CONV-FM-75X63X25MM</t>
  </si>
  <si>
    <t>25D-HXA-CONV-FM-75X69X25MM</t>
  </si>
  <si>
    <t>25D-HXA-CONV-FM-78X33X25MM</t>
  </si>
  <si>
    <t>25D-HXA-CONV-FM-78X39X25MM</t>
  </si>
  <si>
    <t>25D-HXA-CONV-FM-78X45X25MM</t>
  </si>
  <si>
    <t>25D-HXA-CONV-FM-78X51X25MM</t>
  </si>
  <si>
    <t>25D-HXA-CONV-FM-78X54X25MM</t>
  </si>
  <si>
    <t>25D-HXA-CONV-FM-78X57X25MM</t>
  </si>
  <si>
    <t>25D-HXA-CONV-FM-78X63X25MM</t>
  </si>
  <si>
    <t>25D-HXA-CONV-FM-78X69X25MM</t>
  </si>
  <si>
    <t>25D-HXA-CONV-FM-80X33X25MM</t>
  </si>
  <si>
    <t>25D-HXA-CONV-FM-80X39X25MM</t>
  </si>
  <si>
    <t>25D-HXA-CONV-FM-80X45X25MM</t>
  </si>
  <si>
    <t>25D-HXA-CONV-FM-80X51X25MM</t>
  </si>
  <si>
    <t>25D-HXA-CONV-FM-80X54X25MM</t>
  </si>
  <si>
    <t>25D-HXA-CONV-FM-80X57X25MM</t>
  </si>
  <si>
    <t>25D-HXA-CONV-FM-80X63X25MM</t>
  </si>
  <si>
    <t>25D-HXA-CONV-FM-80X69X25MM</t>
  </si>
  <si>
    <t>25D-HXA-CONV-FM-84X33X25MM</t>
  </si>
  <si>
    <t>25D-HXA-CONV-FM-84X39X25MM</t>
  </si>
  <si>
    <t>25D-HXA-CONV-FM-84X45X25MM</t>
  </si>
  <si>
    <t>25D-HXA-CONV-FM-84X51X25MM</t>
  </si>
  <si>
    <t>25D-HXA-CONV-FM-84X54X25MM</t>
  </si>
  <si>
    <t>25D-HXA-CONV-FM-84X57X25MM</t>
  </si>
  <si>
    <t>25D-HXA-CONV-FM-84X63X25MM</t>
  </si>
  <si>
    <t>25D-HXA-CONV-FM-84X69X25MM</t>
  </si>
  <si>
    <t>25D-HXA-CONV-FM-13X13X50MM</t>
  </si>
  <si>
    <t>25D-HXA-CONV-FM-20X18X50MM</t>
  </si>
  <si>
    <t>25D-HXA-CONV-FM-72X30X50MM</t>
  </si>
  <si>
    <t>25D-HXA-CONV-FM-72X36X50MM</t>
  </si>
  <si>
    <t>25D-HXA-CONV-FM-72X42X50MM</t>
  </si>
  <si>
    <t>25D-HXA-CONV-FM-72X48X50MM</t>
  </si>
  <si>
    <t>25D-HXA-CONV-FM-72X60X50MM</t>
  </si>
  <si>
    <t>25D-HXA-CONV-FM-72X66X50MM</t>
  </si>
  <si>
    <t>25D-HXA-CONV-FM-72X72X50MM</t>
  </si>
  <si>
    <t>25D-HXA-CONV-FM-75X30X50MM</t>
  </si>
  <si>
    <t>25D-HXA-CONV-FM-75X36X50MM</t>
  </si>
  <si>
    <t>25D-HXA-CONV-FM-75X42X50MM</t>
  </si>
  <si>
    <t>25D-HXA-CONV-FM-75X48X50MM</t>
  </si>
  <si>
    <t>25D-HXA-CONV-FM-75X60X50MM</t>
  </si>
  <si>
    <t>25D-HXA-CONV-FM-75X66X50MM</t>
  </si>
  <si>
    <t>25D-HXA-CONV-FM-75X72X50MM</t>
  </si>
  <si>
    <t>25D-HXA-CONV-FM-78X30X50MM</t>
  </si>
  <si>
    <t>25D-HXA-CONV-FM-78X36X50MM</t>
  </si>
  <si>
    <t>25D-HXA-CONV-FM-78X42X50MM</t>
  </si>
  <si>
    <t>25D-HXA-CONV-FM-78X48X50MM</t>
  </si>
  <si>
    <t>25D-HXA-CONV-FM-78X60X50MM</t>
  </si>
  <si>
    <t>25D-HXA-CONV-FM-78X66X50MM</t>
  </si>
  <si>
    <t>25D-HXA-CONV-FM-78X72X50MM</t>
  </si>
  <si>
    <t>25D-HXA-CONV-FM-80X30X50MM</t>
  </si>
  <si>
    <t>25D-HXA-CONV-FM-80X36X50MM</t>
  </si>
  <si>
    <t>25D-HXA-CONV-FM-80X42X50MM</t>
  </si>
  <si>
    <t>25D-HXA-CONV-FM-80X48X50MM</t>
  </si>
  <si>
    <t>25D-HXA-CONV-FM-80X60X50MM</t>
  </si>
  <si>
    <t>25D-HXA-CONV-FM-80X66X50MM</t>
  </si>
  <si>
    <t>25D-HXA-CONV-FM-80X72X50MM</t>
  </si>
  <si>
    <t>25D-HXA-CONV-FM-84X30X50MM</t>
  </si>
  <si>
    <t>25D-HXA-CONV-FM-84X36X50MM</t>
  </si>
  <si>
    <t>25D-HXA-CONV-FM-84X42X50MM</t>
  </si>
  <si>
    <t>25D-HXA-CONV-FM-84X48X50MM</t>
  </si>
  <si>
    <t>25D-HXA-CONV-FM-84X60X50MM</t>
  </si>
  <si>
    <t>25D-HXA-CONV-FM-84X66X50MM</t>
  </si>
  <si>
    <t>25D-HXA-CONV-FM-84X72X50MM</t>
  </si>
  <si>
    <t>25D-HXA-CONV-FM-72X33X50MM</t>
  </si>
  <si>
    <t>25D-HXA-CONV-FM-72X39X50MM</t>
  </si>
  <si>
    <t>25D-HXA-CONV-FM-72X45X50MM</t>
  </si>
  <si>
    <t>25D-HXA-CONV-FM-72X51X50MM</t>
  </si>
  <si>
    <t>25D-HXA-CONV-FM-72X54X50MM</t>
  </si>
  <si>
    <t>25D-HXA-CONV-FM-72X57X50MM</t>
  </si>
  <si>
    <t>25D-HXA-CONV-FM-72X63X50MM</t>
  </si>
  <si>
    <t>25D-HXA-CONV-FM-72X69X50MM</t>
  </si>
  <si>
    <t>25D-HXA-CONV-FM-75X33X50MM</t>
  </si>
  <si>
    <t>25D-HXA-CONV-FM-75X39X50MM</t>
  </si>
  <si>
    <t>25D-HXA-CONV-FM-75X45X50MM</t>
  </si>
  <si>
    <t>25D-HXA-CONV-FM-75X51X50MM</t>
  </si>
  <si>
    <t>25D-HXA-CONV-FM-75X54X50MM</t>
  </si>
  <si>
    <t>25D-HXA-CONV-FM-75X57X50MM</t>
  </si>
  <si>
    <t>25D-HXA-CONV-FM-75X63X50MM</t>
  </si>
  <si>
    <t>25D-HXA-CONV-FM-75X69X50MM</t>
  </si>
  <si>
    <t>25D-HXA-CONV-FM-78X33X50MM</t>
  </si>
  <si>
    <t>25D-HXA-CONV-FM-78X39X50MM</t>
  </si>
  <si>
    <t>25D-HXA-CONV-FM-78X45X50MM</t>
  </si>
  <si>
    <t>25D-HXA-CONV-FM-78X51X50MM</t>
  </si>
  <si>
    <t>25D-HXA-CONV-FM-78X54X50MM</t>
  </si>
  <si>
    <t>25D-HXA-CONV-FM-78X57X50MM</t>
  </si>
  <si>
    <t>25D-HXA-CONV-FM-78X63X50MM</t>
  </si>
  <si>
    <t>25D-HXA-CONV-FM-78X69X50MM</t>
  </si>
  <si>
    <t>25D-HXA-CONV-FM-80X33X50MM</t>
  </si>
  <si>
    <t>25D-HXA-CONV-FM-80X39X50MM</t>
  </si>
  <si>
    <t>25D-HXA-CONV-FM-80X45X50MM</t>
  </si>
  <si>
    <t>25D-HXA-CONV-FM-80X51X50MM</t>
  </si>
  <si>
    <t>25D-HXA-CONV-FM-80X54X50MM</t>
  </si>
  <si>
    <t>25D-HXA-CONV-FM-80X57X50MM</t>
  </si>
  <si>
    <t>25D-HXA-CONV-FM-80X63X50MM</t>
  </si>
  <si>
    <t>25D-HXA-CONV-FM-80X69X50MM</t>
  </si>
  <si>
    <t>25D-HXA-CONV-FM-84X33X50MM</t>
  </si>
  <si>
    <t>25D-HXA-CONV-FM-84X39X50MM</t>
  </si>
  <si>
    <t>25D-HXA-CONV-FM-84X45X50MM</t>
  </si>
  <si>
    <t>25D-HXA-CONV-FM-84X51X50MM</t>
  </si>
  <si>
    <t>25D-HXA-CONV-FM-84X54X50MM</t>
  </si>
  <si>
    <t>25D-HXA-CONV-FM-84X57X50MM</t>
  </si>
  <si>
    <t>25D-HXA-CONV-FM-84X63X50MM</t>
  </si>
  <si>
    <t>25D-HXA-CONV-FM-84X69X50MM</t>
  </si>
  <si>
    <t>32D-HR-FOAM-13X13X120MM</t>
  </si>
  <si>
    <t>32D-HR-FOAM-20X18X120MM</t>
  </si>
  <si>
    <t>32D-HR-FOAM-72X30X120MM</t>
  </si>
  <si>
    <t>32D-HR-FOAM-72X33X120MM</t>
  </si>
  <si>
    <t>32D-HR-FOAM-72X36X120MM</t>
  </si>
  <si>
    <t>32D-HR-FOAM-72X39X120MM</t>
  </si>
  <si>
    <t>32D-HR-FOAM-72X42X120MM</t>
  </si>
  <si>
    <t>32D-HR-FOAM-72X45X120MM</t>
  </si>
  <si>
    <t>32D-HR-FOAM-72X48X120MM</t>
  </si>
  <si>
    <t>32D-HR-FOAM-72X51X120MM</t>
  </si>
  <si>
    <t>32D-HR-FOAM-72X54X120MM</t>
  </si>
  <si>
    <t>32D-HR-FOAM-72X57X120MM</t>
  </si>
  <si>
    <t>32D-HR-FOAM-72X60X120MM</t>
  </si>
  <si>
    <t>32D-HR-FOAM-72X63X120MM</t>
  </si>
  <si>
    <t>32D-HR-FOAM-72X66X120MM</t>
  </si>
  <si>
    <t>32D-HR-FOAM-72X69X120MM</t>
  </si>
  <si>
    <t>32D-HR-FOAM-72X72X120MM</t>
  </si>
  <si>
    <t>32D-HR-FOAM-75X30X120MM</t>
  </si>
  <si>
    <t>32D-HR-FOAM-75X33X120MM</t>
  </si>
  <si>
    <t>32D-HR-FOAM-75X36X120MM</t>
  </si>
  <si>
    <t>32D-HR-FOAM-75X39X120MM</t>
  </si>
  <si>
    <t>32D-HR-FOAM-75X42X120MM</t>
  </si>
  <si>
    <t>32D-HR-FOAM-75X45X120MM</t>
  </si>
  <si>
    <t>32D-HR-FOAM-75X48X120MM</t>
  </si>
  <si>
    <t>32D-HR-FOAM-75X51X120MM</t>
  </si>
  <si>
    <t>32D-HR-FOAM-75X54X120MM</t>
  </si>
  <si>
    <t>32D-HR-FOAM-75X57X120MM</t>
  </si>
  <si>
    <t>32D-HR-FOAM-75X60X120MM</t>
  </si>
  <si>
    <t>32D-HR-FOAM-75X63X120MM</t>
  </si>
  <si>
    <t>32D-HR-FOAM-75X66X120MM</t>
  </si>
  <si>
    <t>32D-HR-FOAM-75X69X120MM</t>
  </si>
  <si>
    <t>32D-HR-FOAM-75X72X120MM</t>
  </si>
  <si>
    <t>32D-HR-FOAM-78X30X120MM</t>
  </si>
  <si>
    <t>32D-HR-FOAM-78X33X120MM</t>
  </si>
  <si>
    <t>32D-HR-FOAM-78X36X120MM</t>
  </si>
  <si>
    <t>32D-HR-FOAM-78X39X120MM</t>
  </si>
  <si>
    <t>32D-HR-FOAM-78X42X120MM</t>
  </si>
  <si>
    <t>32D-HR-FOAM-78X45X120MM</t>
  </si>
  <si>
    <t>32D-HR-FOAM-78X48X120MM</t>
  </si>
  <si>
    <t>32D-HR-FOAM-78X51X120MM</t>
  </si>
  <si>
    <t>32D-HR-FOAM-78X54X120MM</t>
  </si>
  <si>
    <t>32D-HR-FOAM-78X57X120MM</t>
  </si>
  <si>
    <t>32D-HR-FOAM-78X60X120MM</t>
  </si>
  <si>
    <t>32D-HR-FOAM-78X63X120MM</t>
  </si>
  <si>
    <t>32D-HR-FOAM-78X66X120MM</t>
  </si>
  <si>
    <t>32D-HR-FOAM-78X69X120MM</t>
  </si>
  <si>
    <t>32D-HR-FOAM-80X30X120MM</t>
  </si>
  <si>
    <t>32D-HR-FOAM-80X33X120MM</t>
  </si>
  <si>
    <t>32D-HR-FOAM-80X36X120MM</t>
  </si>
  <si>
    <t>32D-HR-FOAM-80X39X120MM</t>
  </si>
  <si>
    <t>32D-HR-FOAM-80X42X120MM</t>
  </si>
  <si>
    <t>32D-HR-FOAM-80X45X120MM</t>
  </si>
  <si>
    <t>32D-HR-FOAM-80X48X120MM</t>
  </si>
  <si>
    <t>32D-HR-FOAM-80X51X120MM</t>
  </si>
  <si>
    <t>32D-HR-FOAM-80X54X120MM</t>
  </si>
  <si>
    <t>32D-HR-FOAM-80X57X120MM</t>
  </si>
  <si>
    <t>32D-HR-FOAM-80X60X120MM</t>
  </si>
  <si>
    <t>32D-HR-FOAM-80X63X120MM</t>
  </si>
  <si>
    <t>32D-HR-FOAM-80X66X120MM</t>
  </si>
  <si>
    <t>32D-HR-FOAM-80X69X120MM</t>
  </si>
  <si>
    <t>32D-HR-FOAM-80X72X120MM</t>
  </si>
  <si>
    <t>32D-HR-FOAM-84X30X120MM</t>
  </si>
  <si>
    <t>32D-HR-FOAM-84X33X120MM</t>
  </si>
  <si>
    <t>32D-HR-FOAM-84X36X120MM</t>
  </si>
  <si>
    <t>32D-HR-FOAM-84X39X120MM</t>
  </si>
  <si>
    <t>32D-HR-FOAM-84X42X120MM</t>
  </si>
  <si>
    <t>32D-HR-FOAM-84X45X120MM</t>
  </si>
  <si>
    <t>32D-HR-FOAM-84X48X120MM</t>
  </si>
  <si>
    <t>32D-HR-FOAM-84X51X120MM</t>
  </si>
  <si>
    <t>32D-HR-FOAM-84X54X120MM</t>
  </si>
  <si>
    <t>32D-HR-FOAM-84X57X120MM</t>
  </si>
  <si>
    <t>32D-HR-FOAM-84X60X120MM</t>
  </si>
  <si>
    <t>32D-HR-FOAM-84X63X120MM</t>
  </si>
  <si>
    <t>32D-HR-FOAM-84X66X120MM</t>
  </si>
  <si>
    <t>32D-HR-FOAM-84X69X120MM</t>
  </si>
  <si>
    <t>32D-HR-FOAM-84X72X120MM</t>
  </si>
  <si>
    <t>32D-HR-FOAM-13X13X145MM</t>
  </si>
  <si>
    <t>32D-HR-FOAM-20X18X145MM</t>
  </si>
  <si>
    <t>32D-HR-FOAM-72X30X145MM</t>
  </si>
  <si>
    <t>32D-HR-FOAM-72X33X145MM</t>
  </si>
  <si>
    <t>32D-HR-FOAM-72X36X145MM</t>
  </si>
  <si>
    <t>32D-HR-FOAM-72X39X145MM</t>
  </si>
  <si>
    <t>32D-HR-FOAM-72X42X145MM</t>
  </si>
  <si>
    <t>32D-HR-FOAM-72X45X145MM</t>
  </si>
  <si>
    <t>32D-HR-FOAM-72X48X145MM</t>
  </si>
  <si>
    <t>32D-HR-FOAM-72X51X145MM</t>
  </si>
  <si>
    <t>32D-HR-FOAM-72X54X145MM</t>
  </si>
  <si>
    <t>32D-HR-FOAM-72X57X145MM</t>
  </si>
  <si>
    <t>32D-HR-FOAM-72X60X145MM</t>
  </si>
  <si>
    <t>32D-HR-FOAM-72X63X145MM</t>
  </si>
  <si>
    <t>32D-HR-FOAM-72X66X145MM</t>
  </si>
  <si>
    <t>32D-HR-FOAM-72X69X145MM</t>
  </si>
  <si>
    <t>32D-HR-FOAM-72X72X145MM</t>
  </si>
  <si>
    <t>32D-HR-FOAM-75X30X145MM</t>
  </si>
  <si>
    <t>32D-HR-FOAM-75X33X145MM</t>
  </si>
  <si>
    <t>32D-HR-FOAM-75X36X145MM</t>
  </si>
  <si>
    <t>32D-HR-FOAM-75X39X145MM</t>
  </si>
  <si>
    <t>32D-HR-FOAM-75X42X145MM</t>
  </si>
  <si>
    <t>32D-HR-FOAM-75X45X145MM</t>
  </si>
  <si>
    <t>32D-HR-FOAM-75X48X145MM</t>
  </si>
  <si>
    <t>32D-HR-FOAM-75X51X145MM</t>
  </si>
  <si>
    <t>32D-HR-FOAM-75X54X145MM</t>
  </si>
  <si>
    <t>32D-HR-FOAM-75X57X145MM</t>
  </si>
  <si>
    <t>32D-HR-FOAM-75X60X145MM</t>
  </si>
  <si>
    <t>32D-HR-FOAM-75X63X145MM</t>
  </si>
  <si>
    <t>32D-HR-FOAM-75X66X145MM</t>
  </si>
  <si>
    <t>32D-HR-FOAM-75X69X145MM</t>
  </si>
  <si>
    <t>32D-HR-FOAM-75X72X145MM</t>
  </si>
  <si>
    <t>32D-HR-FOAM-78X30X145MM</t>
  </si>
  <si>
    <t>32D-HR-FOAM-78X33X145MM</t>
  </si>
  <si>
    <t>32D-HR-FOAM-78X36X145MM</t>
  </si>
  <si>
    <t>32D-HR-FOAM-78X39X145MM</t>
  </si>
  <si>
    <t>32D-HR-FOAM-78X42X145MM</t>
  </si>
  <si>
    <t>32D-HR-FOAM-78X45X145MM</t>
  </si>
  <si>
    <t>32D-HR-FOAM-78X48X145MM</t>
  </si>
  <si>
    <t>32D-HR-FOAM-78X51X145MM</t>
  </si>
  <si>
    <t>32D-HR-FOAM-78X54X145MM</t>
  </si>
  <si>
    <t>32D-HR-FOAM-78X57X145MM</t>
  </si>
  <si>
    <t>32D-HR-FOAM-78X60X145MM</t>
  </si>
  <si>
    <t>32D-HR-FOAM-78X63X145MM</t>
  </si>
  <si>
    <t>32D-HR-FOAM-78X66X145MM</t>
  </si>
  <si>
    <t>32D-HR-FOAM-78X69X145MM</t>
  </si>
  <si>
    <t>32D-HR-FOAM-80X30X145MM</t>
  </si>
  <si>
    <t>32D-HR-FOAM-80X33X145MM</t>
  </si>
  <si>
    <t>32D-HR-FOAM-80X36X145MM</t>
  </si>
  <si>
    <t>32D-HR-FOAM-80X39X145MM</t>
  </si>
  <si>
    <t>32D-HR-FOAM-80X42X145MM</t>
  </si>
  <si>
    <t>32D-HR-FOAM-80X45X145MM</t>
  </si>
  <si>
    <t>32D-HR-FOAM-80X48X145MM</t>
  </si>
  <si>
    <t>32D-HR-FOAM-80X51X145MM</t>
  </si>
  <si>
    <t>32D-HR-FOAM-80X54X145MM</t>
  </si>
  <si>
    <t>32D-HR-FOAM-80X57X145MM</t>
  </si>
  <si>
    <t>32D-HR-FOAM-80X60X145MM</t>
  </si>
  <si>
    <t>32D-HR-FOAM-80X63X145MM</t>
  </si>
  <si>
    <t>32D-HR-FOAM-80X66X145MM</t>
  </si>
  <si>
    <t>32D-HR-FOAM-80X69X145MM</t>
  </si>
  <si>
    <t>32D-HR-FOAM-80X72X145MM</t>
  </si>
  <si>
    <t>32D-HR-FOAM-84X30X145MM</t>
  </si>
  <si>
    <t>32D-HR-FOAM-84X33X145MM</t>
  </si>
  <si>
    <t>32D-HR-FOAM-84X36X145MM</t>
  </si>
  <si>
    <t>32D-HR-FOAM-84X39X145MM</t>
  </si>
  <si>
    <t>32D-HR-FOAM-84X42X145MM</t>
  </si>
  <si>
    <t>32D-HR-FOAM-84X45X145MM</t>
  </si>
  <si>
    <t>32D-HR-FOAM-84X48X145MM</t>
  </si>
  <si>
    <t>32D-HR-FOAM-84X51X145MM</t>
  </si>
  <si>
    <t>32D-HR-FOAM-84X54X145MM</t>
  </si>
  <si>
    <t>32D-HR-FOAM-84X57X145MM</t>
  </si>
  <si>
    <t>32D-HR-FOAM-84X60X145MM</t>
  </si>
  <si>
    <t>32D-HR-FOAM-84X63X145MM</t>
  </si>
  <si>
    <t>32D-HR-FOAM-84X66X145MM</t>
  </si>
  <si>
    <t>32D-HR-FOAM-84X69X145MM</t>
  </si>
  <si>
    <t>32D-HR-FOAM-84X72X145MM</t>
  </si>
  <si>
    <t>32D-HR-FOAM-13X13X195MM</t>
  </si>
  <si>
    <t>32D-HR-FOAM-20X18X195MM</t>
  </si>
  <si>
    <t>32D-HR-FOAM-72X30X195MM</t>
  </si>
  <si>
    <t>32D-HR-FOAM-72X33X195MM</t>
  </si>
  <si>
    <t>32D-HR-FOAM-72X36X195MM</t>
  </si>
  <si>
    <t>32D-HR-FOAM-72X39X195MM</t>
  </si>
  <si>
    <t>32D-HR-FOAM-72X42X195MM</t>
  </si>
  <si>
    <t>32D-HR-FOAM-72X45X195MM</t>
  </si>
  <si>
    <t>32D-HR-FOAM-72X48X195MM</t>
  </si>
  <si>
    <t>32D-HR-FOAM-72X51X195MM</t>
  </si>
  <si>
    <t>32D-HR-FOAM-72X54X195MM</t>
  </si>
  <si>
    <t>32D-HR-FOAM-72X57X195MM</t>
  </si>
  <si>
    <t>32D-HR-FOAM-72X60X195MM</t>
  </si>
  <si>
    <t>32D-HR-FOAM-72X63X195MM</t>
  </si>
  <si>
    <t>32D-HR-FOAM-72X66X195MM</t>
  </si>
  <si>
    <t>32D-HR-FOAM-72X69X195MM</t>
  </si>
  <si>
    <t>32D-HR-FOAM-72X72X195MM</t>
  </si>
  <si>
    <t>32D-HR-FOAM-75X30X195MM</t>
  </si>
  <si>
    <t>32D-HR-FOAM-75X33X195MM</t>
  </si>
  <si>
    <t>32D-HR-FOAM-75X36X195MM</t>
  </si>
  <si>
    <t>32D-HR-FOAM-75X39X195MM</t>
  </si>
  <si>
    <t>32D-HR-FOAM-75X42X195MM</t>
  </si>
  <si>
    <t>32D-HR-FOAM-75X45X195MM</t>
  </si>
  <si>
    <t>32D-HR-FOAM-75X48X195MM</t>
  </si>
  <si>
    <t>32D-HR-FOAM-75X51X195MM</t>
  </si>
  <si>
    <t>32D-HR-FOAM-75X54X195MM</t>
  </si>
  <si>
    <t>32D-HR-FOAM-75X57X195MM</t>
  </si>
  <si>
    <t>32D-HR-FOAM-75X60X195MM</t>
  </si>
  <si>
    <t>32D-HR-FOAM-75X63X195MM</t>
  </si>
  <si>
    <t>32D-HR-FOAM-75X66X195MM</t>
  </si>
  <si>
    <t>32D-HR-FOAM-75X69X195MM</t>
  </si>
  <si>
    <t>32D-HR-FOAM-75X72X195MM</t>
  </si>
  <si>
    <t>32D-HR-FOAM-78X30X195MM</t>
  </si>
  <si>
    <t>32D-HR-FOAM-78X33X195MM</t>
  </si>
  <si>
    <t>32D-HR-FOAM-78X36X195MM</t>
  </si>
  <si>
    <t>32D-HR-FOAM-78X39X195MM</t>
  </si>
  <si>
    <t>32D-HR-FOAM-78X42X195MM</t>
  </si>
  <si>
    <t>32D-HR-FOAM-78X45X195MM</t>
  </si>
  <si>
    <t>32D-HR-FOAM-78X48X195MM</t>
  </si>
  <si>
    <t>32D-HR-FOAM-78X51X195MM</t>
  </si>
  <si>
    <t>32D-HR-FOAM-78X54X195MM</t>
  </si>
  <si>
    <t>32D-HR-FOAM-78X57X195MM</t>
  </si>
  <si>
    <t>32D-HR-FOAM-78X60X195MM</t>
  </si>
  <si>
    <t>32D-HR-FOAM-78X63X195MM</t>
  </si>
  <si>
    <t>32D-HR-FOAM-78X66X195MM</t>
  </si>
  <si>
    <t>32D-HR-FOAM-78X69X195MM</t>
  </si>
  <si>
    <t>32D-HR-FOAM-80X30X195MM</t>
  </si>
  <si>
    <t>32D-HR-FOAM-80X33X195MM</t>
  </si>
  <si>
    <t>32D-HR-FOAM-80X36X195MM</t>
  </si>
  <si>
    <t>32D-HR-FOAM-80X39X195MM</t>
  </si>
  <si>
    <t>32D-HR-FOAM-80X42X195MM</t>
  </si>
  <si>
    <t>32D-HR-FOAM-80X45X195MM</t>
  </si>
  <si>
    <t>32D-HR-FOAM-80X48X195MM</t>
  </si>
  <si>
    <t>32D-HR-FOAM-80X51X195MM</t>
  </si>
  <si>
    <t>32D-HR-FOAM-80X54X195MM</t>
  </si>
  <si>
    <t>32D-HR-FOAM-80X57X195MM</t>
  </si>
  <si>
    <t>32D-HR-FOAM-80X60X195MM</t>
  </si>
  <si>
    <t>32D-HR-FOAM-80X63X195MM</t>
  </si>
  <si>
    <t>32D-HR-FOAM-80X66X195MM</t>
  </si>
  <si>
    <t>32D-HR-FOAM-80X69X195MM</t>
  </si>
  <si>
    <t>32D-HR-FOAM-80X72X195MM</t>
  </si>
  <si>
    <t>32D-HR-FOAM-84X30X195MM</t>
  </si>
  <si>
    <t>32D-HR-FOAM-84X33X195MM</t>
  </si>
  <si>
    <t>32D-HR-FOAM-84X36X195MM</t>
  </si>
  <si>
    <t>32D-HR-FOAM-84X39X195MM</t>
  </si>
  <si>
    <t>32D-HR-FOAM-84X42X195MM</t>
  </si>
  <si>
    <t>32D-HR-FOAM-84X45X195MM</t>
  </si>
  <si>
    <t>32D-HR-FOAM-84X48X195MM</t>
  </si>
  <si>
    <t>32D-HR-FOAM-84X51X195MM</t>
  </si>
  <si>
    <t>32D-HR-FOAM-84X54X195MM</t>
  </si>
  <si>
    <t>32D-HR-FOAM-84X57X195MM</t>
  </si>
  <si>
    <t>32D-HR-FOAM-84X60X195MM</t>
  </si>
  <si>
    <t>32D-HR-FOAM-84X63X195MM</t>
  </si>
  <si>
    <t>32D-HR-FOAM-84X66X195MM</t>
  </si>
  <si>
    <t>32D-HR-FOAM-84X69X195MM</t>
  </si>
  <si>
    <t>32D-HR-FOAM-84X72X195MM</t>
  </si>
  <si>
    <t>32D-HR-FOAM-13X13X110MM</t>
  </si>
  <si>
    <t>32D-HR-FOAM-20X18X110MM</t>
  </si>
  <si>
    <t>32D-HR-FOAM-72X30X110MM</t>
  </si>
  <si>
    <t>32D-HR-FOAM-72X33X110MM</t>
  </si>
  <si>
    <t>32D-HR-FOAM-72X36X110MM</t>
  </si>
  <si>
    <t>32D-HR-FOAM-72X39X110MM</t>
  </si>
  <si>
    <t>32D-HR-FOAM-72X42X110MM</t>
  </si>
  <si>
    <t>32D-HR-FOAM-72X45X110MM</t>
  </si>
  <si>
    <t>32D-HR-FOAM-72X48X110MM</t>
  </si>
  <si>
    <t>32D-HR-FOAM-72X51X110MM</t>
  </si>
  <si>
    <t>32D-HR-FOAM-72X54X110MM</t>
  </si>
  <si>
    <t>32D-HR-FOAM-72X57X110MM</t>
  </si>
  <si>
    <t>32D-HR-FOAM-72X60X110MM</t>
  </si>
  <si>
    <t>32D-HR-FOAM-72X63X110MM</t>
  </si>
  <si>
    <t>32D-HR-FOAM-72X66X110MM</t>
  </si>
  <si>
    <t>32D-HR-FOAM-72X69X110MM</t>
  </si>
  <si>
    <t>32D-HR-FOAM-72X72X110MM</t>
  </si>
  <si>
    <t>32D-HR-FOAM-75X30X110MM</t>
  </si>
  <si>
    <t>32D-HR-FOAM-75X33X110MM</t>
  </si>
  <si>
    <t>32D-HR-FOAM-75X36X110MM</t>
  </si>
  <si>
    <t>32D-HR-FOAM-75X39X110MM</t>
  </si>
  <si>
    <t>32D-HR-FOAM-75X42X110MM</t>
  </si>
  <si>
    <t>32D-HR-FOAM-75X45X110MM</t>
  </si>
  <si>
    <t>32D-HR-FOAM-75X48X110MM</t>
  </si>
  <si>
    <t>32D-HR-FOAM-75X51X110MM</t>
  </si>
  <si>
    <t>32D-HR-FOAM-75X54X110MM</t>
  </si>
  <si>
    <t>32D-HR-FOAM-75X57X110MM</t>
  </si>
  <si>
    <t>32D-HR-FOAM-75X60X110MM</t>
  </si>
  <si>
    <t>32D-HR-FOAM-75X63X110MM</t>
  </si>
  <si>
    <t>32D-HR-FOAM-75X66X110MM</t>
  </si>
  <si>
    <t>32D-HR-FOAM-75X69X110MM</t>
  </si>
  <si>
    <t>32D-HR-FOAM-75X72X110MM</t>
  </si>
  <si>
    <t>32D-HR-FOAM-78X30X110MM</t>
  </si>
  <si>
    <t>32D-HR-FOAM-78X33X110MM</t>
  </si>
  <si>
    <t>32D-HR-FOAM-78X36X110MM</t>
  </si>
  <si>
    <t>32D-HR-FOAM-78X39X110MM</t>
  </si>
  <si>
    <t>32D-HR-FOAM-78X42X110MM</t>
  </si>
  <si>
    <t>32D-HR-FOAM-78X45X110MM</t>
  </si>
  <si>
    <t>32D-HR-FOAM-78X48X110MM</t>
  </si>
  <si>
    <t>32D-HR-FOAM-78X51X110MM</t>
  </si>
  <si>
    <t>32D-HR-FOAM-78X54X110MM</t>
  </si>
  <si>
    <t>32D-HR-FOAM-78X57X110MM</t>
  </si>
  <si>
    <t>32D-HR-FOAM-78X60X110MM</t>
  </si>
  <si>
    <t>32D-HR-FOAM-78X63X110MM</t>
  </si>
  <si>
    <t>32D-HR-FOAM-78X66X110MM</t>
  </si>
  <si>
    <t>32D-HR-FOAM-78X69X110MM</t>
  </si>
  <si>
    <t>32D-HR-FOAM-80X30X110MM</t>
  </si>
  <si>
    <t>32D-HR-FOAM-80X33X110MM</t>
  </si>
  <si>
    <t>32D-HR-FOAM-80X36X110MM</t>
  </si>
  <si>
    <t>32D-HR-FOAM-80X39X110MM</t>
  </si>
  <si>
    <t>32D-HR-FOAM-80X42X110MM</t>
  </si>
  <si>
    <t>32D-HR-FOAM-80X45X110MM</t>
  </si>
  <si>
    <t>32D-HR-FOAM-80X48X110MM</t>
  </si>
  <si>
    <t>32D-HR-FOAM-80X51X110MM</t>
  </si>
  <si>
    <t>32D-HR-FOAM-80X54X110MM</t>
  </si>
  <si>
    <t>32D-HR-FOAM-80X57X110MM</t>
  </si>
  <si>
    <t>32D-HR-FOAM-80X60X110MM</t>
  </si>
  <si>
    <t>32D-HR-FOAM-80X63X110MM</t>
  </si>
  <si>
    <t>32D-HR-FOAM-80X66X110MM</t>
  </si>
  <si>
    <t>32D-HR-FOAM-80X69X110MM</t>
  </si>
  <si>
    <t>32D-HR-FOAM-80X72X110MM</t>
  </si>
  <si>
    <t>32D-HR-FOAM-84X30X110MM</t>
  </si>
  <si>
    <t>32D-HR-FOAM-84X33X110MM</t>
  </si>
  <si>
    <t>32D-HR-FOAM-84X36X110MM</t>
  </si>
  <si>
    <t>32D-HR-FOAM-84X39X110MM</t>
  </si>
  <si>
    <t>32D-HR-FOAM-84X42X110MM</t>
  </si>
  <si>
    <t>32D-HR-FOAM-84X45X110MM</t>
  </si>
  <si>
    <t>32D-HR-FOAM-84X48X110MM</t>
  </si>
  <si>
    <t>32D-HR-FOAM-84X51X110MM</t>
  </si>
  <si>
    <t>32D-HR-FOAM-84X54X110MM</t>
  </si>
  <si>
    <t>32D-HR-FOAM-84X57X110MM</t>
  </si>
  <si>
    <t>32D-HR-FOAM-84X60X110MM</t>
  </si>
  <si>
    <t>32D-HR-FOAM-84X63X110MM</t>
  </si>
  <si>
    <t>32D-HR-FOAM-84X66X110MM</t>
  </si>
  <si>
    <t>32D-HR-FOAM-84X69X110MM</t>
  </si>
  <si>
    <t>32D-HR-FOAM-84X72X110MM</t>
  </si>
  <si>
    <t>32D-HR-FOAM-13X13X135MM</t>
  </si>
  <si>
    <t>32D-HR-FOAM-20X18X135MM</t>
  </si>
  <si>
    <t>32D-HR-FOAM-72X30X135MM</t>
  </si>
  <si>
    <t>32D-HR-FOAM-72X33X135MM</t>
  </si>
  <si>
    <t>32D-HR-FOAM-72X36X135MM</t>
  </si>
  <si>
    <t>32D-HR-FOAM-72X39X135MM</t>
  </si>
  <si>
    <t>32D-HR-FOAM-72X42X135MM</t>
  </si>
  <si>
    <t>32D-HR-FOAM-72X45X135MM</t>
  </si>
  <si>
    <t>32D-HR-FOAM-72X48X135MM</t>
  </si>
  <si>
    <t>32D-HR-FOAM-72X51X135MM</t>
  </si>
  <si>
    <t>32D-HR-FOAM-72X54X135MM</t>
  </si>
  <si>
    <t>32D-HR-FOAM-72X57X135MM</t>
  </si>
  <si>
    <t>32D-HR-FOAM-72X60X135MM</t>
  </si>
  <si>
    <t>32D-HR-FOAM-72X63X135MM</t>
  </si>
  <si>
    <t>32D-HR-FOAM-72X66X135MM</t>
  </si>
  <si>
    <t>32D-HR-FOAM-72X69X135MM</t>
  </si>
  <si>
    <t>32D-HR-FOAM-72X72X135MM</t>
  </si>
  <si>
    <t>32D-HR-FOAM-75X30X135MM</t>
  </si>
  <si>
    <t>32D-HR-FOAM-75X33X135MM</t>
  </si>
  <si>
    <t>32D-HR-FOAM-75X36X135MM</t>
  </si>
  <si>
    <t>32D-HR-FOAM-75X39X135MM</t>
  </si>
  <si>
    <t>32D-HR-FOAM-75X42X135MM</t>
  </si>
  <si>
    <t>32D-HR-FOAM-75X45X135MM</t>
  </si>
  <si>
    <t>32D-HR-FOAM-75X48X135MM</t>
  </si>
  <si>
    <t>32D-HR-FOAM-75X51X135MM</t>
  </si>
  <si>
    <t>32D-HR-FOAM-75X54X135MM</t>
  </si>
  <si>
    <t>32D-HR-FOAM-75X57X135MM</t>
  </si>
  <si>
    <t>32D-HR-FOAM-75X60X135MM</t>
  </si>
  <si>
    <t>32D-HR-FOAM-75X63X135MM</t>
  </si>
  <si>
    <t>32D-HR-FOAM-75X66X135MM</t>
  </si>
  <si>
    <t>32D-HR-FOAM-75X69X135MM</t>
  </si>
  <si>
    <t>32D-HR-FOAM-75X72X135MM</t>
  </si>
  <si>
    <t>32D-HR-FOAM-78X30X135MM</t>
  </si>
  <si>
    <t>32D-HR-FOAM-78X33X135MM</t>
  </si>
  <si>
    <t>32D-HR-FOAM-78X36X135MM</t>
  </si>
  <si>
    <t>32D-HR-FOAM-78X39X135MM</t>
  </si>
  <si>
    <t>32D-HR-FOAM-78X42X135MM</t>
  </si>
  <si>
    <t>32D-HR-FOAM-78X45X135MM</t>
  </si>
  <si>
    <t>32D-HR-FOAM-78X48X135MM</t>
  </si>
  <si>
    <t>32D-HR-FOAM-78X51X135MM</t>
  </si>
  <si>
    <t>32D-HR-FOAM-78X54X135MM</t>
  </si>
  <si>
    <t>32D-HR-FOAM-78X57X135MM</t>
  </si>
  <si>
    <t>32D-HR-FOAM-78X60X135MM</t>
  </si>
  <si>
    <t>32D-HR-FOAM-78X63X135MM</t>
  </si>
  <si>
    <t>32D-HR-FOAM-78X66X135MM</t>
  </si>
  <si>
    <t>32D-HR-FOAM-78X69X135MM</t>
  </si>
  <si>
    <t>32D-HR-FOAM-80X30X135MM</t>
  </si>
  <si>
    <t>32D-HR-FOAM-80X33X135MM</t>
  </si>
  <si>
    <t>32D-HR-FOAM-80X36X135MM</t>
  </si>
  <si>
    <t>32D-HR-FOAM-80X39X135MM</t>
  </si>
  <si>
    <t>32D-HR-FOAM-80X42X135MM</t>
  </si>
  <si>
    <t>32D-HR-FOAM-80X45X135MM</t>
  </si>
  <si>
    <t>32D-HR-FOAM-80X48X135MM</t>
  </si>
  <si>
    <t>32D-HR-FOAM-80X51X135MM</t>
  </si>
  <si>
    <t>32D-HR-FOAM-80X54X135MM</t>
  </si>
  <si>
    <t>32D-HR-FOAM-80X57X135MM</t>
  </si>
  <si>
    <t>32D-HR-FOAM-80X60X135MM</t>
  </si>
  <si>
    <t>32D-HR-FOAM-80X63X135MM</t>
  </si>
  <si>
    <t>32D-HR-FOAM-80X66X135MM</t>
  </si>
  <si>
    <t>32D-HR-FOAM-80X69X135MM</t>
  </si>
  <si>
    <t>32D-HR-FOAM-80X72X135MM</t>
  </si>
  <si>
    <t>32D-HR-FOAM-84X30X135MM</t>
  </si>
  <si>
    <t>32D-HR-FOAM-84X33X135MM</t>
  </si>
  <si>
    <t>32D-HR-FOAM-84X36X135MM</t>
  </si>
  <si>
    <t>32D-HR-FOAM-84X39X135MM</t>
  </si>
  <si>
    <t>32D-HR-FOAM-84X42X135MM</t>
  </si>
  <si>
    <t>32D-HR-FOAM-84X45X135MM</t>
  </si>
  <si>
    <t>32D-HR-FOAM-84X48X135MM</t>
  </si>
  <si>
    <t>32D-HR-FOAM-84X51X135MM</t>
  </si>
  <si>
    <t>32D-HR-FOAM-84X54X135MM</t>
  </si>
  <si>
    <t>32D-HR-FOAM-84X57X135MM</t>
  </si>
  <si>
    <t>32D-HR-FOAM-84X60X135MM</t>
  </si>
  <si>
    <t>32D-HR-FOAM-84X63X135MM</t>
  </si>
  <si>
    <t>32D-HR-FOAM-84X66X135MM</t>
  </si>
  <si>
    <t>32D-HR-FOAM-84X69X135MM</t>
  </si>
  <si>
    <t>32D-HR-FOAM-84X72X135MM</t>
  </si>
  <si>
    <t>32D-HR-FOAM-13X13X190MM</t>
  </si>
  <si>
    <t>32D-HR-FOAM-20X18X190MM</t>
  </si>
  <si>
    <t>32D-HR-FOAM-72X30X190MM</t>
  </si>
  <si>
    <t>32D-HR-FOAM-72X33X190MM</t>
  </si>
  <si>
    <t>32D-HR-FOAM-72X36X190MM</t>
  </si>
  <si>
    <t>32D-HR-FOAM-72X39X190MM</t>
  </si>
  <si>
    <t>32D-HR-FOAM-72X42X190MM</t>
  </si>
  <si>
    <t>32D-HR-FOAM-72X45X190MM</t>
  </si>
  <si>
    <t>32D-HR-FOAM-72X48X190MM</t>
  </si>
  <si>
    <t>32D-HR-FOAM-72X51X190MM</t>
  </si>
  <si>
    <t>32D-HR-FOAM-72X54X190MM</t>
  </si>
  <si>
    <t>32D-HR-FOAM-72X57X190MM</t>
  </si>
  <si>
    <t>32D-HR-FOAM-72X60X190MM</t>
  </si>
  <si>
    <t>32D-HR-FOAM-72X63X190MM</t>
  </si>
  <si>
    <t>32D-HR-FOAM-72X66X190MM</t>
  </si>
  <si>
    <t>32D-HR-FOAM-72X69X190MM</t>
  </si>
  <si>
    <t>32D-HR-FOAM-72X72X190MM</t>
  </si>
  <si>
    <t>32D-HR-FOAM-75X30X190MM</t>
  </si>
  <si>
    <t>32D-HR-FOAM-75X33X190MM</t>
  </si>
  <si>
    <t>32D-HR-FOAM-75X36X190MM</t>
  </si>
  <si>
    <t>32D-HR-FOAM-75X39X190MM</t>
  </si>
  <si>
    <t>32D-HR-FOAM-75X42X190MM</t>
  </si>
  <si>
    <t>32D-HR-FOAM-75X45X190MM</t>
  </si>
  <si>
    <t>32D-HR-FOAM-75X48X190MM</t>
  </si>
  <si>
    <t>32D-HR-FOAM-75X51X190MM</t>
  </si>
  <si>
    <t>32D-HR-FOAM-75X54X190MM</t>
  </si>
  <si>
    <t>32D-HR-FOAM-75X57X190MM</t>
  </si>
  <si>
    <t>32D-HR-FOAM-75X60X190MM</t>
  </si>
  <si>
    <t>32D-HR-FOAM-75X63X190MM</t>
  </si>
  <si>
    <t>32D-HR-FOAM-75X66X190MM</t>
  </si>
  <si>
    <t>32D-HR-FOAM-75X69X190MM</t>
  </si>
  <si>
    <t>32D-HR-FOAM-75X72X190MM</t>
  </si>
  <si>
    <t>32D-HR-FOAM-78X30X190MM</t>
  </si>
  <si>
    <t>32D-HR-FOAM-78X33X190MM</t>
  </si>
  <si>
    <t>32D-HR-FOAM-78X36X190MM</t>
  </si>
  <si>
    <t>32D-HR-FOAM-78X39X190MM</t>
  </si>
  <si>
    <t>32D-HR-FOAM-78X42X190MM</t>
  </si>
  <si>
    <t>32D-HR-FOAM-78X45X190MM</t>
  </si>
  <si>
    <t>32D-HR-FOAM-78X48X190MM</t>
  </si>
  <si>
    <t>32D-HR-FOAM-78X51X190MM</t>
  </si>
  <si>
    <t>32D-HR-FOAM-78X54X190MM</t>
  </si>
  <si>
    <t>32D-HR-FOAM-78X57X190MM</t>
  </si>
  <si>
    <t>32D-HR-FOAM-78X60X190MM</t>
  </si>
  <si>
    <t>32D-HR-FOAM-78X63X190MM</t>
  </si>
  <si>
    <t>32D-HR-FOAM-78X66X190MM</t>
  </si>
  <si>
    <t>32D-HR-FOAM-78X69X190MM</t>
  </si>
  <si>
    <t>32D-HR-FOAM-80X30X190MM</t>
  </si>
  <si>
    <t>32D-HR-FOAM-80X33X190MM</t>
  </si>
  <si>
    <t>32D-HR-FOAM-80X36X190MM</t>
  </si>
  <si>
    <t>32D-HR-FOAM-80X39X190MM</t>
  </si>
  <si>
    <t>32D-HR-FOAM-80X42X190MM</t>
  </si>
  <si>
    <t>32D-HR-FOAM-80X45X190MM</t>
  </si>
  <si>
    <t>32D-HR-FOAM-80X48X190MM</t>
  </si>
  <si>
    <t>32D-HR-FOAM-80X51X190MM</t>
  </si>
  <si>
    <t>32D-HR-FOAM-80X54X190MM</t>
  </si>
  <si>
    <t>32D-HR-FOAM-80X57X190MM</t>
  </si>
  <si>
    <t>32D-HR-FOAM-80X60X190MM</t>
  </si>
  <si>
    <t>32D-HR-FOAM-80X63X190MM</t>
  </si>
  <si>
    <t>32D-HR-FOAM-80X66X190MM</t>
  </si>
  <si>
    <t>32D-HR-FOAM-80X69X190MM</t>
  </si>
  <si>
    <t>32D-HR-FOAM-80X72X190MM</t>
  </si>
  <si>
    <t>32D-HR-FOAM-84X30X190MM</t>
  </si>
  <si>
    <t>32D-HR-FOAM-84X33X190MM</t>
  </si>
  <si>
    <t>32D-HR-FOAM-84X36X190MM</t>
  </si>
  <si>
    <t>32D-HR-FOAM-84X39X190MM</t>
  </si>
  <si>
    <t>32D-HR-FOAM-84X42X190MM</t>
  </si>
  <si>
    <t>32D-HR-FOAM-84X45X190MM</t>
  </si>
  <si>
    <t>32D-HR-FOAM-84X48X190MM</t>
  </si>
  <si>
    <t>32D-HR-FOAM-84X51X190MM</t>
  </si>
  <si>
    <t>32D-HR-FOAM-84X54X190MM</t>
  </si>
  <si>
    <t>32D-HR-FOAM-84X57X190MM</t>
  </si>
  <si>
    <t>32D-HR-FOAM-84X60X190MM</t>
  </si>
  <si>
    <t>32D-HR-FOAM-84X63X190MM</t>
  </si>
  <si>
    <t>32D-HR-FOAM-84X66X190MM</t>
  </si>
  <si>
    <t>32D-HR-FOAM-84X69X190MM</t>
  </si>
  <si>
    <t>32D-HR-FOAM-84X72X190MM</t>
  </si>
  <si>
    <t>25D-HXA-CONV-FM-12.50X12.50X50MM</t>
  </si>
  <si>
    <t>25D-HXA-CONV-FM-19.50X17.50X50MM</t>
  </si>
  <si>
    <t>25D-HXA-CONV-FM-71.50X29.50X50MM</t>
  </si>
  <si>
    <t>25D-HXA-CONV-FM-71.50X32.50X50MM</t>
  </si>
  <si>
    <t>25D-HXA-CONV-FM-71.50X35.50X50MM</t>
  </si>
  <si>
    <t>25D-HXA-CONV-FM-71.50X38.50X50MM</t>
  </si>
  <si>
    <t>25D-HXA-CONV-FM-71.50X41.50X50MM</t>
  </si>
  <si>
    <t>25D-HXA-CONV-FM-71.50X44.50X50MM</t>
  </si>
  <si>
    <t>25D-HXA-CONV-FM-71.50X47.50X50MM</t>
  </si>
  <si>
    <t>25D-HXA-CONV-FM-71.50X50.50X50MM</t>
  </si>
  <si>
    <t>25D-HXA-CONV-FM-71.50X53.50X50MM</t>
  </si>
  <si>
    <t>25D-HXA-CONV-FM-71.50X56.50X50MM</t>
  </si>
  <si>
    <t>25D-HXA-CONV-FM-71.50X59.50X50MM</t>
  </si>
  <si>
    <t>25D-HXA-CONV-FM-71.50X62.50X50MM</t>
  </si>
  <si>
    <t>25D-HXA-CONV-FM-71.50X65.50X50MM</t>
  </si>
  <si>
    <t>25D-HXA-CONV-FM-71.50X68.50X50MM</t>
  </si>
  <si>
    <t>25D-HXA-CONV-FM-71.50X71.50X50MM</t>
  </si>
  <si>
    <t>25D-HXA-CONV-FM-74.50X29.50X50MM</t>
  </si>
  <si>
    <t>25D-HXA-CONV-FM-74.50X32.50X50MM</t>
  </si>
  <si>
    <t>25D-HXA-CONV-FM-74.50X35.50X50MM</t>
  </si>
  <si>
    <t>25D-HXA-CONV-FM-74.50X38.50X50MM</t>
  </si>
  <si>
    <t>25D-HXA-CONV-FM-74.50X41.50X50MM</t>
  </si>
  <si>
    <t>25D-HXA-CONV-FM-74.50X44.50X50MM</t>
  </si>
  <si>
    <t>25D-HXA-CONV-FM-74.50X47.50X50MM</t>
  </si>
  <si>
    <t>25D-HXA-CONV-FM-74.50X50.50X50MM</t>
  </si>
  <si>
    <t>25D-HXA-CONV-FM-74.50X53.50X50MM</t>
  </si>
  <si>
    <t>25D-HXA-CONV-FM-74.50X56.50X50MM</t>
  </si>
  <si>
    <t>25D-HXA-CONV-FM-74.50X59.50X50MM</t>
  </si>
  <si>
    <t>25D-HXA-CONV-FM-74.50X62.50X50MM</t>
  </si>
  <si>
    <t>25D-HXA-CONV-FM-74.50X65.50X50MM</t>
  </si>
  <si>
    <t>25D-HXA-CONV-FM-74.50X68.50X50MM</t>
  </si>
  <si>
    <t>25D-HXA-CONV-FM-74.50X71.50X50MM</t>
  </si>
  <si>
    <t>25D-HXA-CONV-FM-77.50X29.50X50MM</t>
  </si>
  <si>
    <t>25D-HXA-CONV-FM-77.50X32.50X50MM</t>
  </si>
  <si>
    <t>25D-HXA-CONV-FM-77.50X35.50X50MM</t>
  </si>
  <si>
    <t>25D-HXA-CONV-FM-77.50X38.50X50MM</t>
  </si>
  <si>
    <t>25D-HXA-CONV-FM-77.50X41.50X50MM</t>
  </si>
  <si>
    <t>25D-HXA-CONV-FM-77.50X44.50X50MM</t>
  </si>
  <si>
    <t>25D-HXA-CONV-FM-77.50X47.50X50MM</t>
  </si>
  <si>
    <t>25D-HXA-CONV-FM-77.50X50.50X50MM</t>
  </si>
  <si>
    <t>25D-HXA-CONV-FM-77.50X53.50X50MM</t>
  </si>
  <si>
    <t>25D-HXA-CONV-FM-77.50X56.50X50MM</t>
  </si>
  <si>
    <t>25D-HXA-CONV-FM-77.50X59.50X50MM</t>
  </si>
  <si>
    <t>25D-HXA-CONV-FM-77.50X62.50X50MM</t>
  </si>
  <si>
    <t>25D-HXA-CONV-FM-77.50X65.50X50MM</t>
  </si>
  <si>
    <t>25D-HXA-CONV-FM-77.50X68.50X50MM</t>
  </si>
  <si>
    <t>25D-HXA-CONV-FM-77.50X71.50X50MM</t>
  </si>
  <si>
    <t>25D-HXA-CONV-FM-79.50X29.50X50MM</t>
  </si>
  <si>
    <t>25D-HXA-CONV-FM-79.50X32.50X50MM</t>
  </si>
  <si>
    <t>25D-HXA-CONV-FM-79.50X35.50X50MM</t>
  </si>
  <si>
    <t>25D-HXA-CONV-FM-79.50X38.50X50MM</t>
  </si>
  <si>
    <t>25D-HXA-CONV-FM-79.50X41.50X50MM</t>
  </si>
  <si>
    <t>25D-HXA-CONV-FM-79.50X44.50X50MM</t>
  </si>
  <si>
    <t>25D-HXA-CONV-FM-79.50X47.50X50MM</t>
  </si>
  <si>
    <t>25D-HXA-CONV-FM-79.50X50.50X50MM</t>
  </si>
  <si>
    <t>25D-HXA-CONV-FM-79.50X53.50X50MM</t>
  </si>
  <si>
    <t>25D-HXA-CONV-FM-79.50X56.50X50MM</t>
  </si>
  <si>
    <t>25D-HXA-CONV-FM-79.50X59.50X50MM</t>
  </si>
  <si>
    <t>25D-HXA-CONV-FM-79.50X62.50X50MM</t>
  </si>
  <si>
    <t>25D-HXA-CONV-FM-79.50X65.50X50MM</t>
  </si>
  <si>
    <t>25D-HXA-CONV-FM-79.50X68.50X50MM</t>
  </si>
  <si>
    <t>25D-HXA-CONV-FM-79.50X71.50X50MM</t>
  </si>
  <si>
    <t>25D-HXA-CONV-FM-83.50X29.50X50MM</t>
  </si>
  <si>
    <t>25D-HXA-CONV-FM-83.50X32.50X50MM</t>
  </si>
  <si>
    <t>25D-HXA-CONV-FM-83.50X35.50X50MM</t>
  </si>
  <si>
    <t>25D-HXA-CONV-FM-83.50X38.50X50MM</t>
  </si>
  <si>
    <t>25D-HXA-CONV-FM-83.50X41.50X50MM</t>
  </si>
  <si>
    <t>25D-HXA-CONV-FM-83.50X44.50X50MM</t>
  </si>
  <si>
    <t>25D-HXA-CONV-FM-83.50X47.50X50MM</t>
  </si>
  <si>
    <t>25D-HXA-CONV-FM-83.50X50.50X50MM</t>
  </si>
  <si>
    <t>25D-HXA-CONV-FM-83.50X53.50X50MM</t>
  </si>
  <si>
    <t>25D-HXA-CONV-FM-83.50X56.50X50MM</t>
  </si>
  <si>
    <t>25D-HXA-CONV-FM-83.50X59.50X50MM</t>
  </si>
  <si>
    <t>25D-HXA-CONV-FM-83.50X62.50X50MM</t>
  </si>
  <si>
    <t>25D-HXA-CONV-FM-83.50X65.50X50MM</t>
  </si>
  <si>
    <t>25D-HXA-CONV-FM-83.50X68.50X50MM</t>
  </si>
  <si>
    <t>25D-HXA-CONV-FM-83.50X71.50X50MM</t>
  </si>
  <si>
    <t>Column1</t>
  </si>
  <si>
    <t>FOAM WEIGHT</t>
  </si>
  <si>
    <t>23D-ECO-FOAM-20X18X50MM</t>
  </si>
  <si>
    <t>23D-ECO-FOAM-72X30X50MM</t>
  </si>
  <si>
    <t>23D-ECO-FOAM-72X33X50MM</t>
  </si>
  <si>
    <t>23D-ECO-FOAM-72X36X50MM</t>
  </si>
  <si>
    <t>23D-ECO-FOAM-72X39X50MM</t>
  </si>
  <si>
    <t>23D-ECO-FOAM-72X42X50MM</t>
  </si>
  <si>
    <t>23D-ECO-FOAM-72X45X50MM</t>
  </si>
  <si>
    <t>23D-ECO-FOAM-72X48X50MM</t>
  </si>
  <si>
    <t>23D-ECO-FOAM-72X51X50MM</t>
  </si>
  <si>
    <t>23D-ECO-FOAM-72X54X50MM</t>
  </si>
  <si>
    <t>23D-ECO-FOAM-72X57X50MM</t>
  </si>
  <si>
    <t>23D-ECO-FOAM-72X60X50MM</t>
  </si>
  <si>
    <t>23D-ECO-FOAM-72X63X50MM</t>
  </si>
  <si>
    <t>23D-ECO-FOAM-72X66X50MM</t>
  </si>
  <si>
    <t>23D-ECO-FOAM-72X69X50MM</t>
  </si>
  <si>
    <t>23D-ECO-FOAM-72X72X50MM</t>
  </si>
  <si>
    <t>23D-ECO-FOAM-75X30X50MM</t>
  </si>
  <si>
    <t>23D-ECO-FOAM-75X33X50MM</t>
  </si>
  <si>
    <t>23D-ECO-FOAM-75X36X50MM</t>
  </si>
  <si>
    <t>23D-ECO-FOAM-75X39X50MM</t>
  </si>
  <si>
    <t>23D-ECO-FOAM-75X42X50MM</t>
  </si>
  <si>
    <t>23D-ECO-FOAM-75X45X50MM</t>
  </si>
  <si>
    <t>23D-ECO-FOAM-75X48X50MM</t>
  </si>
  <si>
    <t>23D-ECO-FOAM-75X51X50MM</t>
  </si>
  <si>
    <t>23D-ECO-FOAM-75X54X50MM</t>
  </si>
  <si>
    <t>23D-ECO-FOAM-75X57X50MM</t>
  </si>
  <si>
    <t>23D-ECO-FOAM-75X60X50MM</t>
  </si>
  <si>
    <t>23D-ECO-FOAM-75X63X50MM</t>
  </si>
  <si>
    <t>23D-ECO-FOAM-75X66X50MM</t>
  </si>
  <si>
    <t>23D-ECO-FOAM-75X69X50MM</t>
  </si>
  <si>
    <t>23D-ECO-FOAM-75X72X50MM</t>
  </si>
  <si>
    <t>23D-ECO-FOAM-78X30X50MM</t>
  </si>
  <si>
    <t>23D-ECO-FOAM-78X33X50MM</t>
  </si>
  <si>
    <t>23D-ECO-FOAM-78X36X50MM</t>
  </si>
  <si>
    <t>23D-ECO-FOAM-78X39X50MM</t>
  </si>
  <si>
    <t>23D-ECO-FOAM-78X42X50MM</t>
  </si>
  <si>
    <t>23D-ECO-FOAM-78X45X50MM</t>
  </si>
  <si>
    <t>23D-ECO-FOAM-78X48X50MM</t>
  </si>
  <si>
    <t>23D-ECO-FOAM-78X51X50MM</t>
  </si>
  <si>
    <t>23D-ECO-FOAM-78X54X50MM</t>
  </si>
  <si>
    <t>23D-ECO-FOAM-78X57X50MM</t>
  </si>
  <si>
    <t>23D-ECO-FOAM-78X60X50MM</t>
  </si>
  <si>
    <t>23D-ECO-FOAM-78X63X50MM</t>
  </si>
  <si>
    <t>23D-ECO-FOAM-78X66X50MM</t>
  </si>
  <si>
    <t>23D-ECO-FOAM-78X69X50MM</t>
  </si>
  <si>
    <t>23D-ECO-FOAM-78X72X50MM</t>
  </si>
  <si>
    <t>23D-ECO-FOAM-80X30X50MM</t>
  </si>
  <si>
    <t>23D-ECO-FOAM-80X33X50MM</t>
  </si>
  <si>
    <t>23D-ECO-FOAM-80X36X50MM</t>
  </si>
  <si>
    <t>23D-ECO-FOAM-80X39X50MM</t>
  </si>
  <si>
    <t>23D-ECO-FOAM-80X42X50MM</t>
  </si>
  <si>
    <t>23D-ECO-FOAM-80X45X50MM</t>
  </si>
  <si>
    <t>23D-ECO-FOAM-80X48X50MM</t>
  </si>
  <si>
    <t>23D-ECO-FOAM-80X51X50MM</t>
  </si>
  <si>
    <t>23D-ECO-FOAM-80X54X50MM</t>
  </si>
  <si>
    <t>23D-ECO-FOAM-80X57X50MM</t>
  </si>
  <si>
    <t>23D-ECO-FOAM-80X60X50MM</t>
  </si>
  <si>
    <t>23D-ECO-FOAM-80X63X50MM</t>
  </si>
  <si>
    <t>23D-ECO-FOAM-80X66X50MM</t>
  </si>
  <si>
    <t>23D-ECO-FOAM-80X69X50MM</t>
  </si>
  <si>
    <t>23D-ECO-FOAM-80X72X50MM</t>
  </si>
  <si>
    <t>23D-ECO-FOAM-84X30X50MM</t>
  </si>
  <si>
    <t>23D-ECO-FOAM-84X33X50MM</t>
  </si>
  <si>
    <t>23D-ECO-FOAM-84X36X50MM</t>
  </si>
  <si>
    <t>23D-ECO-FOAM-84X39X50MM</t>
  </si>
  <si>
    <t>23D-ECO-FOAM-84X42X50MM</t>
  </si>
  <si>
    <t>23D-ECO-FOAM-84X45X50MM</t>
  </si>
  <si>
    <t>23D-ECO-FOAM-84X48X50MM</t>
  </si>
  <si>
    <t>23D-ECO-FOAM-84X51X50MM</t>
  </si>
  <si>
    <t>23D-ECO-FOAM-84X54X50MM</t>
  </si>
  <si>
    <t>23D-ECO-FOAM-84X57X50MM</t>
  </si>
  <si>
    <t>23D-ECO-FOAM-84X60X50MM</t>
  </si>
  <si>
    <t>23D-ECO-FOAM-84X63X50MM</t>
  </si>
  <si>
    <t>23D-ECO-FOAM-84X66X50MM</t>
  </si>
  <si>
    <t>23D-ECO-FOAM-84X69X50MM</t>
  </si>
  <si>
    <t>23D-ECO-FOAM-84X72X50MM</t>
  </si>
  <si>
    <t>23D-ECO-FOAM-20X18X80MM</t>
  </si>
  <si>
    <t>23D-ECO-FOAM-72X30X80MM</t>
  </si>
  <si>
    <t>23D-ECO-FOAM-72X33X80MM</t>
  </si>
  <si>
    <t>23D-ECO-FOAM-72X36X80MM</t>
  </si>
  <si>
    <t>23D-ECO-FOAM-72X39X80MM</t>
  </si>
  <si>
    <t>23D-ECO-FOAM-72X42X80MM</t>
  </si>
  <si>
    <t>23D-ECO-FOAM-72X45X80MM</t>
  </si>
  <si>
    <t>23D-ECO-FOAM-72X48X80MM</t>
  </si>
  <si>
    <t>23D-ECO-FOAM-72X51X80MM</t>
  </si>
  <si>
    <t>23D-ECO-FOAM-72X54X80MM</t>
  </si>
  <si>
    <t>23D-ECO-FOAM-72X57X80MM</t>
  </si>
  <si>
    <t>23D-ECO-FOAM-72X60X80MM</t>
  </si>
  <si>
    <t>23D-ECO-FOAM-72X63X80MM</t>
  </si>
  <si>
    <t>23D-ECO-FOAM-72X66X80MM</t>
  </si>
  <si>
    <t>23D-ECO-FOAM-72X69X80MM</t>
  </si>
  <si>
    <t>23D-ECO-FOAM-72X72X80MM</t>
  </si>
  <si>
    <t>23D-ECO-FOAM-75X30X80MM</t>
  </si>
  <si>
    <t>23D-ECO-FOAM-75X33X80MM</t>
  </si>
  <si>
    <t>23D-ECO-FOAM-75X36X80MM</t>
  </si>
  <si>
    <t>23D-ECO-FOAM-75X39X80MM</t>
  </si>
  <si>
    <t>23D-ECO-FOAM-75X42X80MM</t>
  </si>
  <si>
    <t>23D-ECO-FOAM-75X45X80MM</t>
  </si>
  <si>
    <t>23D-ECO-FOAM-75X48X80MM</t>
  </si>
  <si>
    <t>23D-ECO-FOAM-75X51X80MM</t>
  </si>
  <si>
    <t>23D-ECO-FOAM-75X54X80MM</t>
  </si>
  <si>
    <t>23D-ECO-FOAM-75X57X80MM</t>
  </si>
  <si>
    <t>23D-ECO-FOAM-75X60X80MM</t>
  </si>
  <si>
    <t>23D-ECO-FOAM-75X63X80MM</t>
  </si>
  <si>
    <t>23D-ECO-FOAM-75X66X80MM</t>
  </si>
  <si>
    <t>23D-ECO-FOAM-75X69X80MM</t>
  </si>
  <si>
    <t>23D-ECO-FOAM-75X72X80MM</t>
  </si>
  <si>
    <t>23D-ECO-FOAM-78X30X80MM</t>
  </si>
  <si>
    <t>23D-ECO-FOAM-78X33X80MM</t>
  </si>
  <si>
    <t>23D-ECO-FOAM-78X36X80MM</t>
  </si>
  <si>
    <t>23D-ECO-FOAM-78X39X80MM</t>
  </si>
  <si>
    <t>23D-ECO-FOAM-78X42X80MM</t>
  </si>
  <si>
    <t>23D-ECO-FOAM-78X45X80MM</t>
  </si>
  <si>
    <t>23D-ECO-FOAM-78X48X80MM</t>
  </si>
  <si>
    <t>23D-ECO-FOAM-78X51X80MM</t>
  </si>
  <si>
    <t>23D-ECO-FOAM-78X54X80MM</t>
  </si>
  <si>
    <t>23D-ECO-FOAM-78X57X80MM</t>
  </si>
  <si>
    <t>23D-ECO-FOAM-78X60X80MM</t>
  </si>
  <si>
    <t>23D-ECO-FOAM-78X63X80MM</t>
  </si>
  <si>
    <t>23D-ECO-FOAM-78X66X80MM</t>
  </si>
  <si>
    <t>23D-ECO-FOAM-78X69X80MM</t>
  </si>
  <si>
    <t>23D-ECO-FOAM-78X72X80MM</t>
  </si>
  <si>
    <t>23D-ECO-FOAM-80X30X80MM</t>
  </si>
  <si>
    <t>23D-ECO-FOAM-80X33X80MM</t>
  </si>
  <si>
    <t>23D-ECO-FOAM-80X36X80MM</t>
  </si>
  <si>
    <t>23D-ECO-FOAM-80X39X80MM</t>
  </si>
  <si>
    <t>23D-ECO-FOAM-80X42X80MM</t>
  </si>
  <si>
    <t>23D-ECO-FOAM-80X45X80MM</t>
  </si>
  <si>
    <t>23D-ECO-FOAM-80X48X80MM</t>
  </si>
  <si>
    <t>23D-ECO-FOAM-80X51X80MM</t>
  </si>
  <si>
    <t>23D-ECO-FOAM-80X54X80MM</t>
  </si>
  <si>
    <t>23D-ECO-FOAM-80X57X80MM</t>
  </si>
  <si>
    <t>23D-ECO-FOAM-80X60X80MM</t>
  </si>
  <si>
    <t>23D-ECO-FOAM-80X63X80MM</t>
  </si>
  <si>
    <t>23D-ECO-FOAM-80X66X80MM</t>
  </si>
  <si>
    <t>23D-ECO-FOAM-80X69X80MM</t>
  </si>
  <si>
    <t>23D-ECO-FOAM-80X72X80MM</t>
  </si>
  <si>
    <t>23D-ECO-FOAM-84X30X80MM</t>
  </si>
  <si>
    <t>23D-ECO-FOAM-84X33X80MM</t>
  </si>
  <si>
    <t>23D-ECO-FOAM-84X36X80MM</t>
  </si>
  <si>
    <t>23D-ECO-FOAM-84X39X80MM</t>
  </si>
  <si>
    <t>23D-ECO-FOAM-84X42X80MM</t>
  </si>
  <si>
    <t>23D-ECO-FOAM-84X45X80MM</t>
  </si>
  <si>
    <t>23D-ECO-FOAM-84X48X80MM</t>
  </si>
  <si>
    <t>23D-ECO-FOAM-84X51X80MM</t>
  </si>
  <si>
    <t>23D-ECO-FOAM-84X54X80MM</t>
  </si>
  <si>
    <t>23D-ECO-FOAM-84X57X80MM</t>
  </si>
  <si>
    <t>23D-ECO-FOAM-84X60X80MM</t>
  </si>
  <si>
    <t>23D-ECO-FOAM-84X63X80MM</t>
  </si>
  <si>
    <t>23D-ECO-FOAM-84X66X80MM</t>
  </si>
  <si>
    <t>23D-ECO-FOAM-84X69X80MM</t>
  </si>
  <si>
    <t>23D-ECO-FOAM-84X72X80MM</t>
  </si>
  <si>
    <t>25D-HELIXA-FOAM-20X18X119MM</t>
  </si>
  <si>
    <t>25D-HELIXA-FOAM-13X13X119MM</t>
  </si>
  <si>
    <t>25D-HELIXA-FOAM-20X18X170MM</t>
  </si>
  <si>
    <t>25D-HELIXA-FOAM-13X13X170MM</t>
  </si>
  <si>
    <t>40D-MDI-MEM-FOAM-20X18X25MM</t>
  </si>
  <si>
    <t>40D-MDI-MEM-FOAM-13X13X25MM</t>
  </si>
  <si>
    <t>25MM</t>
  </si>
  <si>
    <t>40D LAX FOAM-</t>
  </si>
  <si>
    <t>15MM</t>
  </si>
  <si>
    <t>TOPLAYER FOAM</t>
  </si>
  <si>
    <t>40D-MDI-MEM-FOAM-</t>
  </si>
  <si>
    <t xml:space="preserve">65D LATEX FOAM </t>
  </si>
  <si>
    <t>HYPSPSFMNB10</t>
  </si>
  <si>
    <t>FURNO-FOAM-BLOCK-</t>
  </si>
  <si>
    <t>FURNO 4</t>
  </si>
  <si>
    <t>FURNO 5</t>
  </si>
  <si>
    <t>FURNO 6</t>
  </si>
  <si>
    <t>INSPREE-RB/50D 4</t>
  </si>
  <si>
    <t>INSPREE-RB/50D 5</t>
  </si>
  <si>
    <t>INSPREE-RB/50D 6</t>
  </si>
  <si>
    <t>INSPREE-RB-50D-BLOCK-</t>
  </si>
  <si>
    <t>INSPREE-PLUSH/50D 6</t>
  </si>
  <si>
    <t>INSPREE-PLUSH-50D-BLOCK-</t>
  </si>
  <si>
    <t>MIRAGE-SOFT 4</t>
  </si>
  <si>
    <t>MIRAGE-SOFT 5</t>
  </si>
  <si>
    <t>MIRAGE-SOFT 6</t>
  </si>
  <si>
    <t>MIRAGE-SOFT-FOAM-BLOCK-</t>
  </si>
  <si>
    <t>HEAVENSPACE 5</t>
  </si>
  <si>
    <t>HEAVENSPACE 6</t>
  </si>
  <si>
    <t>HEAVENSPACE 8</t>
  </si>
  <si>
    <t>HEAVENSPACE-FOAM-BLOCK-</t>
  </si>
  <si>
    <t>HYPFURFMDB04</t>
  </si>
  <si>
    <t>HYPFURFMDB05</t>
  </si>
  <si>
    <t>HYPFURFMDB06</t>
  </si>
  <si>
    <t>Cirrus Vista Bond05</t>
  </si>
  <si>
    <t>CIRRUS VISTA BOND</t>
  </si>
  <si>
    <t>HYPNOS MR</t>
  </si>
  <si>
    <t>DATE</t>
  </si>
  <si>
    <t>TIME</t>
  </si>
  <si>
    <t>MR NO</t>
  </si>
  <si>
    <t>STATUS</t>
  </si>
  <si>
    <t>REMARKS</t>
  </si>
  <si>
    <t>ORDER NO</t>
  </si>
  <si>
    <t>SESSION</t>
  </si>
  <si>
    <t>INVST/13838/25-26</t>
  </si>
  <si>
    <t>INVST/13839/25-26</t>
  </si>
  <si>
    <t>INVST/13840/25-26</t>
  </si>
  <si>
    <t>INVST/13841/25-26</t>
  </si>
  <si>
    <t>INVST/13888/25-26</t>
  </si>
  <si>
    <t>INVST/13944/25-26</t>
  </si>
  <si>
    <t>Caprina Gel Memory04</t>
  </si>
  <si>
    <t>Caprina Gel Memory05</t>
  </si>
  <si>
    <t>Caprina Gel Memory06</t>
  </si>
  <si>
    <t>HYPCAPMFLAX04</t>
  </si>
  <si>
    <t>HYPCAPMFLAX05</t>
  </si>
  <si>
    <t>HYPCAPMFLAX06</t>
  </si>
  <si>
    <t>CAPRINA-GEL-FOAM-BLOCK-</t>
  </si>
  <si>
    <t>HYPVISFM04</t>
  </si>
  <si>
    <t>HYPVISFM05</t>
  </si>
  <si>
    <t>HYPVISFM06</t>
  </si>
  <si>
    <t>VISTA FOAM04</t>
  </si>
  <si>
    <t>VISTA FOAM05</t>
  </si>
  <si>
    <t>VISTA FOAM06</t>
  </si>
  <si>
    <t>HYPVISSFT04</t>
  </si>
  <si>
    <t>HYPVISSFT05</t>
  </si>
  <si>
    <t>HYPVISSFT06</t>
  </si>
  <si>
    <t>VISTA SOFT04</t>
  </si>
  <si>
    <t>VISTA SOFT05</t>
  </si>
  <si>
    <t>VISTA SOFT06</t>
  </si>
  <si>
    <t>VISTA-SOFT-FOAM-BLOCK-</t>
  </si>
  <si>
    <t>HYPCAPHRLTX04</t>
  </si>
  <si>
    <t>HYPCAPHRLTX05</t>
  </si>
  <si>
    <t>HYPCAPHRLTX06</t>
  </si>
  <si>
    <t xml:space="preserve"> Caprina HR </t>
  </si>
  <si>
    <t>CAPRINA-FOAM-BLOCK-</t>
  </si>
  <si>
    <t>INVST/14404/25-26</t>
  </si>
  <si>
    <t>CWO - 436,438 &amp; 440 (STO) : 17-02-2026</t>
  </si>
  <si>
    <t>UPTO  13&amp; 14th AGEWISE PENDING</t>
  </si>
  <si>
    <t>INVST/14407/25-26</t>
  </si>
  <si>
    <t>CWO -442 &amp; BASE ORDER</t>
  </si>
  <si>
    <t>INVST/14408/25-26</t>
  </si>
  <si>
    <t>90D-HYP-INS-ET-BLOCK-75X60X06</t>
  </si>
  <si>
    <t>90D-HYP-INS-ET-BLOCK-78X72X08</t>
  </si>
  <si>
    <t>90D-HYP-INS-ET-BLOCK-72X48X06</t>
  </si>
  <si>
    <t>90D-HYP-INS-ET-BLOCK-75X48X06</t>
  </si>
  <si>
    <t>90D-HYP-INS-ET-BLOCK-75X72X06</t>
  </si>
  <si>
    <t>90D-HYP-INS-ET-BLOCK-78X60X08</t>
  </si>
  <si>
    <t>90D-HYP-INS-ET-BLOCK-78X60X06</t>
  </si>
  <si>
    <t>90D-HYP-INS-ET-BLOCK-78X36X05</t>
  </si>
  <si>
    <t>90D-HYP-INS-ET-BLOCK-75X48X05</t>
  </si>
  <si>
    <t>CAPRINA-FOAM-BLOCK-75X60X06</t>
  </si>
  <si>
    <t>CAPRINA-GEL-FOAM-BLOCK-72X48X05</t>
  </si>
  <si>
    <t>VISTA-FOAM-FOAM-BLOCK-78X60X05</t>
  </si>
  <si>
    <t>CAPRINA-GEL-FOAM-BLOCK-75X60X06</t>
  </si>
  <si>
    <t>KOZY-BREEZE-FOAM-BLOCK-72X51X05</t>
  </si>
  <si>
    <t>VISTA-FOAM-FOAM-BLOCK-72X36X05</t>
  </si>
  <si>
    <t>VISTA-FOAM-FOAM-BLOCK-75X60X05</t>
  </si>
  <si>
    <t>CAPRINA-FOAM-BLOCK-75X60X05</t>
  </si>
  <si>
    <t>CAPRINA-GEL-FOAM-BLOCK-75X60X05</t>
  </si>
  <si>
    <t>VISTA-FOAM-FOAM-BLOCK-75X60X06</t>
  </si>
  <si>
    <t>VISTA-SOFT-FOAM-BLOCK-75X60X05</t>
  </si>
  <si>
    <t>VISTA-SOFT-FOAM-BLOCK-72X30X04</t>
  </si>
  <si>
    <t>90D-HYP-INS-ET-BLOCK-80X60X06</t>
  </si>
  <si>
    <t>MEMORIO-FOAM-BLOCK-75X69X06</t>
  </si>
  <si>
    <t>VISTA-SOFT-FOAM-BLOCK-75X72X04</t>
  </si>
  <si>
    <t>VISTA-FOAM-FOAM-BLOCK-75X60X04</t>
  </si>
  <si>
    <t>VISTA-SOFT-FOAM-BLOCK-75X72X05</t>
  </si>
  <si>
    <t>VISTA-SOFT-FOAM-BLOCK-72X36X04</t>
  </si>
  <si>
    <t>90D-HYP-INS-ET-BLOCK-75X60X08</t>
  </si>
  <si>
    <t>90D-HYP-INS-ET-BLOCK-75X72X08</t>
  </si>
  <si>
    <t>90D-HYP-INS-ET-BLOCK-78X42X06</t>
  </si>
  <si>
    <t>90D-HYP-INS-ET-BLOCK-75X72X05</t>
  </si>
  <si>
    <t>VISTA-FOAM-FOAM-BLOCK-75X72X04</t>
  </si>
  <si>
    <t>CAPRINA-GEL-FOAM-BLOCK-78X60X05</t>
  </si>
  <si>
    <t>CAPRINA-GEL-FOAM-BLOCK-78X72X05</t>
  </si>
  <si>
    <t>90D-HYP-INS-ET-BLOCK-72X48X05</t>
  </si>
  <si>
    <t>90D-HYP-INS-ET-BLOCK-75X36X06</t>
  </si>
  <si>
    <t>90D-HYP-INS-ET-BLOCK-78X72X06</t>
  </si>
  <si>
    <t>90D-HYP-INS-ET-BLOCK-78X72X05</t>
  </si>
  <si>
    <t>90D-HYP-INS-ET-BLOCK-80X72X08</t>
  </si>
  <si>
    <t>90D-HYP-INS-ET-BLOCK-72X36X06</t>
  </si>
  <si>
    <t>90D-HYP-INS-ET-BLOCK-72X45X05</t>
  </si>
  <si>
    <t>90D-HYP-INS-ET-BLOCK-72X48X08</t>
  </si>
  <si>
    <t>90D-HYP-INS-ET-BLOCK-72X60X06</t>
  </si>
  <si>
    <t>90D-HYP-INS-ET-BLOCK-72X60X08</t>
  </si>
  <si>
    <t>90D-HYP-INS-ET-BLOCK-72X72X06</t>
  </si>
  <si>
    <t>CAPRINA-FOAM-BLOCK-78X36X06</t>
  </si>
  <si>
    <t>CAPRINA-GEL-FOAM-BLOCK-75X72X06</t>
  </si>
  <si>
    <t>CAPRINA-GEL-FOAM-BLOCK-78X72X06</t>
  </si>
  <si>
    <t>90D-HYP-INS-ET-BLOCK-72X30X06</t>
  </si>
  <si>
    <t>VISTA-FOAM-FOAM-BLOCK-72X45X05</t>
  </si>
  <si>
    <t>VISTA-FOAM-BLOCK-</t>
  </si>
  <si>
    <t>HYPMIRFMDB72X36X04-ECOM</t>
  </si>
  <si>
    <t>HYPMIRFMDB72X30X04-ECOM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</si>
</sst>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sz val="10"/>
      <color indexed="8"/>
      <name val="Helvetica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9"/>
      <color rgb="FF111111"/>
      <name val="Arial"/>
      <family val="2"/>
    </font>
    <font>
      <sz val="12"/>
      <color theme="1"/>
      <name val="Bookman Old Style"/>
      <family val="1"/>
    </font>
    <font>
      <b/>
      <sz val="16"/>
      <name val="Calibri"/>
      <family val="2"/>
      <scheme val="minor"/>
    </font>
    <font>
      <sz val="14"/>
      <color theme="1"/>
      <name val="Bookman Old Style"/>
      <family val="1"/>
    </font>
    <font>
      <b/>
      <sz val="12"/>
      <color theme="1"/>
      <name val="Bookman Old Style"/>
      <family val="1"/>
    </font>
    <font>
      <b/>
      <sz val="20"/>
      <color indexed="9"/>
      <name val="Bookman Old Style"/>
      <family val="1"/>
    </font>
    <font>
      <sz val="20"/>
      <color theme="1"/>
      <name val="Calibri"/>
      <family val="2"/>
      <scheme val="minor"/>
    </font>
    <font>
      <sz val="20"/>
      <color theme="1"/>
      <name val="Bookman Old Style"/>
      <family val="1"/>
    </font>
    <font>
      <sz val="20"/>
      <name val="Bookman Old Style"/>
      <family val="1"/>
    </font>
    <font>
      <sz val="12"/>
      <color theme="1"/>
      <name val="Bookman Old Style"/>
      <family val="1"/>
    </font>
    <font>
      <b/>
      <sz val="14"/>
      <color theme="1"/>
      <name val="Bookman Old Style"/>
      <family val="1"/>
    </font>
    <font>
      <sz val="16"/>
      <color theme="1"/>
      <name val="Bookman Old Style"/>
      <family val="1"/>
    </font>
    <font>
      <sz val="16"/>
      <color theme="1"/>
      <name val="Bookman Old Style"/>
      <family val="1"/>
    </font>
    <font>
      <sz val="16"/>
      <color theme="1"/>
      <name val="Bookman Old Style"/>
      <family val="1"/>
    </font>
  </fonts>
  <fills count="1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EFBB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rgb="FFB8CCE4"/>
      </patternFill>
    </fill>
    <fill>
      <patternFill patternType="solid">
        <fgColor theme="0"/>
        <bgColor rgb="FFDCE6F1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9">
    <xf numFmtId="0" fontId="0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4" fillId="0" borderId="0"/>
    <xf numFmtId="0" fontId="3" fillId="0" borderId="0"/>
  </cellStyleXfs>
  <cellXfs count="127">
    <xf numFmtId="0" fontId="0" fillId="0" borderId="0" xfId="0"/>
    <xf numFmtId="0" fontId="0" fillId="0" borderId="1" xfId="0" applyBorder="1" applyAlignment="1">
      <alignment horizontal="center" vertical="center"/>
    </xf>
    <xf numFmtId="0" fontId="5" fillId="2" borderId="1" xfId="0" applyFont="1" applyFill="1" applyBorder="1" applyAlignment="1" applyProtection="1">
      <alignment horizontal="left" vertical="center"/>
      <protection locked="0"/>
    </xf>
    <xf numFmtId="0" fontId="0" fillId="0" borderId="1" xfId="0" applyBorder="1"/>
    <xf numFmtId="0" fontId="0" fillId="0" borderId="1" xfId="0" applyFill="1" applyBorder="1" applyAlignment="1">
      <alignment horizontal="center" vertical="center"/>
    </xf>
    <xf numFmtId="0" fontId="0" fillId="0" borderId="1" xfId="0" applyFill="1" applyBorder="1"/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0" xfId="0" applyFont="1" applyFill="1" applyBorder="1" applyAlignment="1">
      <alignment horizontal="center"/>
    </xf>
    <xf numFmtId="0" fontId="0" fillId="0" borderId="1" xfId="0" applyFont="1" applyBorder="1" applyAlignment="1">
      <alignment horizontal="left"/>
    </xf>
    <xf numFmtId="0" fontId="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" xfId="0" applyFill="1" applyBorder="1" applyAlignment="1">
      <alignment horizontal="center" vertical="center"/>
    </xf>
    <xf numFmtId="0" fontId="0" fillId="0" borderId="3" xfId="0" applyFont="1" applyBorder="1" applyAlignment="1">
      <alignment horizontal="left"/>
    </xf>
    <xf numFmtId="0" fontId="0" fillId="0" borderId="3" xfId="0" applyBorder="1"/>
    <xf numFmtId="0" fontId="0" fillId="0" borderId="3" xfId="0" applyBorder="1" applyAlignment="1">
      <alignment horizontal="left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0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/>
    </xf>
    <xf numFmtId="0" fontId="7" fillId="7" borderId="5" xfId="0" applyFont="1" applyFill="1" applyBorder="1" applyAlignment="1">
      <alignment horizontal="center" vertical="center"/>
    </xf>
    <xf numFmtId="0" fontId="7" fillId="7" borderId="6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8" fillId="8" borderId="7" xfId="0" applyFont="1" applyFill="1" applyBorder="1" applyAlignment="1">
      <alignment vertical="center"/>
    </xf>
    <xf numFmtId="0" fontId="7" fillId="7" borderId="8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3" borderId="3" xfId="0" applyFont="1" applyFill="1" applyBorder="1" applyAlignment="1">
      <alignment horizontal="left"/>
    </xf>
    <xf numFmtId="0" fontId="1" fillId="0" borderId="3" xfId="0" applyFont="1" applyBorder="1" applyAlignment="1">
      <alignment horizontal="left"/>
    </xf>
    <xf numFmtId="0" fontId="0" fillId="0" borderId="0" xfId="0" pivotButton="1"/>
    <xf numFmtId="0" fontId="0" fillId="0" borderId="0" xfId="0" applyNumberFormat="1"/>
    <xf numFmtId="0" fontId="6" fillId="5" borderId="0" xfId="0" applyFont="1" applyFill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6" fillId="3" borderId="1" xfId="0" applyFont="1" applyFill="1" applyBorder="1" applyAlignment="1">
      <alignment horizontal="left"/>
    </xf>
    <xf numFmtId="0" fontId="0" fillId="0" borderId="9" xfId="0" applyBorder="1"/>
    <xf numFmtId="0" fontId="6" fillId="3" borderId="10" xfId="0" applyFont="1" applyFill="1" applyBorder="1" applyAlignment="1">
      <alignment horizontal="left"/>
    </xf>
    <xf numFmtId="0" fontId="0" fillId="0" borderId="10" xfId="0" applyBorder="1"/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1" fillId="0" borderId="11" xfId="0" applyFont="1" applyBorder="1" applyAlignment="1">
      <alignment horizontal="left"/>
    </xf>
    <xf numFmtId="0" fontId="0" fillId="0" borderId="11" xfId="0" applyBorder="1"/>
    <xf numFmtId="0" fontId="1" fillId="0" borderId="10" xfId="0" applyFont="1" applyBorder="1" applyAlignment="1">
      <alignment horizontal="left"/>
    </xf>
    <xf numFmtId="0" fontId="0" fillId="0" borderId="12" xfId="0" applyBorder="1"/>
    <xf numFmtId="0" fontId="0" fillId="0" borderId="12" xfId="0" applyBorder="1" applyAlignment="1">
      <alignment horizontal="left"/>
    </xf>
    <xf numFmtId="0" fontId="6" fillId="3" borderId="13" xfId="0" applyFont="1" applyFill="1" applyBorder="1" applyAlignment="1">
      <alignment horizontal="left"/>
    </xf>
    <xf numFmtId="0" fontId="0" fillId="0" borderId="13" xfId="0" applyBorder="1"/>
    <xf numFmtId="0" fontId="6" fillId="3" borderId="14" xfId="0" applyFont="1" applyFill="1" applyBorder="1" applyAlignment="1">
      <alignment horizontal="left"/>
    </xf>
    <xf numFmtId="0" fontId="0" fillId="0" borderId="14" xfId="0" applyBorder="1"/>
    <xf numFmtId="0" fontId="1" fillId="0" borderId="13" xfId="0" applyFont="1" applyBorder="1" applyAlignment="1">
      <alignment horizontal="left"/>
    </xf>
    <xf numFmtId="0" fontId="0" fillId="0" borderId="13" xfId="0" applyBorder="1" applyAlignment="1">
      <alignment horizontal="left"/>
    </xf>
    <xf numFmtId="0" fontId="9" fillId="0" borderId="11" xfId="0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/>
    </xf>
    <xf numFmtId="0" fontId="0" fillId="5" borderId="0" xfId="0" applyFill="1"/>
    <xf numFmtId="0" fontId="0" fillId="5" borderId="2" xfId="0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" fillId="7" borderId="0" xfId="0" applyFont="1" applyFill="1"/>
    <xf numFmtId="0" fontId="10" fillId="9" borderId="15" xfId="0" applyFont="1" applyFill="1" applyBorder="1" applyAlignment="1">
      <alignment horizontal="center" vertical="center"/>
    </xf>
    <xf numFmtId="0" fontId="11" fillId="5" borderId="16" xfId="0" applyFont="1" applyFill="1" applyBorder="1" applyAlignment="1">
      <alignment horizontal="center" vertical="center"/>
    </xf>
    <xf numFmtId="0" fontId="12" fillId="7" borderId="17" xfId="0" applyFont="1" applyFill="1" applyBorder="1" applyAlignment="1">
      <alignment horizontal="center" vertical="center"/>
    </xf>
    <xf numFmtId="0" fontId="12" fillId="7" borderId="14" xfId="0" applyFont="1" applyFill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13" fillId="10" borderId="14" xfId="0" applyFont="1" applyFill="1" applyBorder="1" applyAlignment="1" applyProtection="1">
      <alignment horizontal="center" vertical="center" wrapText="1"/>
      <protection locked="0"/>
    </xf>
    <xf numFmtId="0" fontId="14" fillId="0" borderId="0" xfId="0" applyFont="1"/>
    <xf numFmtId="0" fontId="13" fillId="10" borderId="18" xfId="0" applyFont="1" applyFill="1" applyBorder="1" applyAlignment="1" applyProtection="1">
      <alignment horizontal="center" vertical="center" wrapText="1"/>
      <protection locked="0"/>
    </xf>
    <xf numFmtId="0" fontId="14" fillId="0" borderId="14" xfId="0" applyFont="1" applyBorder="1" applyAlignment="1">
      <alignment horizontal="center" vertical="center"/>
    </xf>
    <xf numFmtId="0" fontId="1" fillId="7" borderId="13" xfId="0" applyFont="1" applyFill="1" applyBorder="1" applyAlignment="1">
      <alignment vertical="center"/>
    </xf>
    <xf numFmtId="0" fontId="1" fillId="7" borderId="18" xfId="0" applyFont="1" applyFill="1" applyBorder="1" applyAlignment="1">
      <alignment vertical="center"/>
    </xf>
    <xf numFmtId="0" fontId="15" fillId="5" borderId="14" xfId="0" applyFont="1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17" fillId="0" borderId="14" xfId="0" applyNumberFormat="1" applyFont="1" applyBorder="1" applyAlignment="1">
      <alignment horizontal="center" vertical="center"/>
    </xf>
    <xf numFmtId="0" fontId="17" fillId="0" borderId="4" xfId="0" applyNumberFormat="1" applyFont="1" applyBorder="1" applyAlignment="1">
      <alignment horizontal="center" vertical="center"/>
    </xf>
    <xf numFmtId="0" fontId="17" fillId="0" borderId="13" xfId="0" applyNumberFormat="1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1" borderId="14" xfId="0" applyFont="1" applyFill="1" applyBorder="1" applyAlignment="1">
      <alignment horizontal="center" vertical="center"/>
    </xf>
    <xf numFmtId="0" fontId="11" fillId="4" borderId="14" xfId="0" applyFont="1" applyFill="1" applyBorder="1" applyAlignment="1">
      <alignment horizontal="center" vertical="center"/>
    </xf>
    <xf numFmtId="164" fontId="11" fillId="4" borderId="14" xfId="0" applyNumberFormat="1" applyFont="1" applyFill="1" applyBorder="1" applyAlignment="1">
      <alignment horizontal="center" vertical="center"/>
    </xf>
    <xf numFmtId="0" fontId="11" fillId="5" borderId="14" xfId="0" applyFont="1" applyFill="1" applyBorder="1" applyAlignment="1">
      <alignment horizontal="center" vertical="center"/>
    </xf>
    <xf numFmtId="164" fontId="11" fillId="5" borderId="14" xfId="0" applyNumberFormat="1" applyFont="1" applyFill="1" applyBorder="1" applyAlignment="1">
      <alignment horizontal="center" vertical="center"/>
    </xf>
    <xf numFmtId="0" fontId="14" fillId="5" borderId="14" xfId="0" applyFont="1" applyFill="1" applyBorder="1"/>
    <xf numFmtId="0" fontId="14" fillId="5" borderId="14" xfId="0" applyFont="1" applyFill="1" applyBorder="1" applyAlignment="1">
      <alignment horizontal="center" vertical="center"/>
    </xf>
    <xf numFmtId="0" fontId="16" fillId="5" borderId="14" xfId="0" applyFont="1" applyFill="1" applyBorder="1" applyAlignment="1">
      <alignment horizontal="center" vertical="center"/>
    </xf>
    <xf numFmtId="0" fontId="11" fillId="0" borderId="14" xfId="0" applyFont="1" applyBorder="1"/>
    <xf numFmtId="0" fontId="14" fillId="12" borderId="14" xfId="0" applyFont="1" applyFill="1" applyBorder="1" applyAlignment="1">
      <alignment horizontal="center" vertical="center"/>
    </xf>
    <xf numFmtId="0" fontId="9" fillId="0" borderId="14" xfId="0" applyNumberFormat="1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 wrapText="1"/>
    </xf>
    <xf numFmtId="0" fontId="15" fillId="12" borderId="14" xfId="0" applyFont="1" applyFill="1" applyBorder="1" applyAlignment="1">
      <alignment horizontal="center" vertical="center"/>
    </xf>
    <xf numFmtId="0" fontId="14" fillId="12" borderId="14" xfId="0" applyFont="1" applyFill="1" applyBorder="1"/>
    <xf numFmtId="0" fontId="11" fillId="0" borderId="14" xfId="0" applyFont="1" applyBorder="1" applyAlignment="1">
      <alignment horizontal="center" vertical="center"/>
    </xf>
    <xf numFmtId="14" fontId="11" fillId="0" borderId="14" xfId="0" applyNumberFormat="1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9" fillId="5" borderId="17" xfId="0" applyFont="1" applyFill="1" applyBorder="1" applyAlignment="1">
      <alignment horizontal="center" vertical="center"/>
    </xf>
    <xf numFmtId="0" fontId="15" fillId="5" borderId="17" xfId="0" applyFont="1" applyFill="1" applyBorder="1" applyAlignment="1">
      <alignment horizontal="center" vertical="center"/>
    </xf>
    <xf numFmtId="0" fontId="15" fillId="12" borderId="17" xfId="0" applyFont="1" applyFill="1" applyBorder="1" applyAlignment="1">
      <alignment horizontal="center" vertical="center"/>
    </xf>
    <xf numFmtId="0" fontId="14" fillId="12" borderId="17" xfId="0" applyFont="1" applyFill="1" applyBorder="1"/>
    <xf numFmtId="0" fontId="14" fillId="12" borderId="17" xfId="0" applyFont="1" applyFill="1" applyBorder="1" applyAlignment="1">
      <alignment horizontal="center" vertical="center"/>
    </xf>
    <xf numFmtId="0" fontId="14" fillId="5" borderId="17" xfId="0" applyFont="1" applyFill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20" fillId="5" borderId="17" xfId="0" applyFont="1" applyFill="1" applyBorder="1" applyAlignment="1">
      <alignment horizontal="center" vertical="center"/>
    </xf>
    <xf numFmtId="0" fontId="11" fillId="0" borderId="14" xfId="0" applyFont="1" applyBorder="1" applyAlignment="1">
      <alignment horizontal="center" vertical="center" wrapText="1"/>
    </xf>
    <xf numFmtId="0" fontId="21" fillId="5" borderId="17" xfId="0" applyFont="1" applyFill="1" applyBorder="1" applyAlignment="1">
      <alignment horizontal="center" vertical="center"/>
    </xf>
    <xf numFmtId="49" fontId="21" fillId="14" borderId="14" xfId="0" applyNumberFormat="1" applyFont="1" applyFill="1" applyBorder="1" applyAlignment="1">
      <alignment wrapText="1"/>
    </xf>
    <xf numFmtId="0" fontId="21" fillId="14" borderId="14" xfId="0" applyNumberFormat="1" applyFont="1" applyFill="1" applyBorder="1" applyAlignment="1">
      <alignment horizontal="center"/>
    </xf>
    <xf numFmtId="0" fontId="10" fillId="9" borderId="20" xfId="0" applyFont="1" applyFill="1" applyBorder="1" applyAlignment="1">
      <alignment horizontal="center" vertical="center"/>
    </xf>
    <xf numFmtId="0" fontId="10" fillId="9" borderId="21" xfId="0" applyFont="1" applyFill="1" applyBorder="1" applyAlignment="1">
      <alignment horizontal="center" vertical="center"/>
    </xf>
    <xf numFmtId="0" fontId="0" fillId="13" borderId="14" xfId="0" applyFont="1" applyFill="1" applyBorder="1" applyAlignment="1">
      <alignment horizontal="center" vertical="center"/>
    </xf>
    <xf numFmtId="0" fontId="0" fillId="0" borderId="14" xfId="0" applyFont="1" applyBorder="1" applyAlignment="1">
      <alignment horizontal="center" vertical="center"/>
    </xf>
    <xf numFmtId="0" fontId="0" fillId="13" borderId="19" xfId="0" applyFont="1" applyFill="1" applyBorder="1" applyAlignment="1">
      <alignment horizontal="center" vertical="center"/>
    </xf>
    <xf numFmtId="0" fontId="0" fillId="0" borderId="19" xfId="0" applyFont="1" applyBorder="1" applyAlignment="1">
      <alignment horizontal="center" vertical="center"/>
    </xf>
    <xf numFmtId="0" fontId="0" fillId="0" borderId="14" xfId="0" applyBorder="1" applyAlignment="1">
      <alignment wrapText="1"/>
    </xf>
    <xf numFmtId="0" fontId="0" fillId="0" borderId="14" xfId="0" applyBorder="1" applyAlignment="1">
      <alignment horizontal="center" wrapText="1"/>
    </xf>
    <xf numFmtId="0" fontId="0" fillId="0" borderId="14" xfId="0" applyBorder="1" applyAlignment="1">
      <alignment horizontal="center"/>
    </xf>
    <xf numFmtId="49" fontId="0" fillId="14" borderId="14" xfId="0" applyNumberFormat="1" applyFill="1" applyBorder="1" applyAlignment="1">
      <alignment wrapText="1"/>
    </xf>
    <xf numFmtId="49" fontId="0" fillId="15" borderId="14" xfId="0" applyNumberFormat="1" applyFill="1" applyBorder="1" applyAlignment="1">
      <alignment wrapText="1"/>
    </xf>
    <xf numFmtId="0" fontId="0" fillId="14" borderId="14" xfId="0" applyNumberFormat="1" applyFill="1" applyBorder="1" applyAlignment="1">
      <alignment horizontal="center"/>
    </xf>
    <xf numFmtId="0" fontId="0" fillId="15" borderId="14" xfId="0" applyNumberFormat="1" applyFill="1" applyBorder="1" applyAlignment="1">
      <alignment horizontal="center"/>
    </xf>
    <xf numFmtId="0" fontId="0" fillId="14" borderId="14" xfId="0" applyNumberFormat="1" applyFill="1" applyBorder="1" applyAlignment="1">
      <alignment horizontal="center" wrapText="1"/>
    </xf>
    <xf numFmtId="0" fontId="0" fillId="0" borderId="14" xfId="0" applyBorder="1" applyAlignment="1">
      <alignment wrapText="1"/>
    </xf>
    <xf numFmtId="0" fontId="0" fillId="0" borderId="0" xfId="0" pivotButton="1"/>
    <xf numFmtId="0" fontId="0" fillId="0" borderId="0" xfId="0" applyNumberFormat="1"/>
    <xf numFmtId="0" fontId="18" fillId="0" borderId="14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</cellXfs>
  <cellStyles count="9">
    <cellStyle name="Normal" xfId="0" builtinId="0"/>
    <cellStyle name="Normal 2" xfId="2"/>
    <cellStyle name="Normal 2 2" xfId="4"/>
    <cellStyle name="Normal 2 3" xfId="5"/>
    <cellStyle name="Normal 2 4" xfId="7"/>
    <cellStyle name="Normal 2 5" xfId="3"/>
    <cellStyle name="Normal 3" xfId="1"/>
    <cellStyle name="Normal 3 2" xfId="6"/>
    <cellStyle name="Normal 3 3" xfId="8"/>
  </cellStyles>
  <dxfs count="103">
    <dxf>
      <font>
        <sz val="12"/>
        <name val="Bookman Old Style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z val="12"/>
        <name val="Bookman Old Style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z val="12"/>
        <name val="Bookman Old Style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2"/>
        <color theme="1"/>
        <name val="Bookman Old Style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Bookman Old Style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Bookman Old Style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Bookman Old Style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Bookman Old Style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Bookman Old Style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Bookman Old Style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2"/>
        <color theme="1"/>
        <name val="Bookman Old Style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Bookman Old Style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Bookman Old Style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Bookman Old Style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Bookman Old Style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Bookman Old Style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Bookman Old Style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Bookman Old Style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2"/>
        <color theme="1"/>
        <name val="Bookman Old Style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Bookman Old Style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Bookman Old Style"/>
        <scheme val="none"/>
      </font>
      <numFmt numFmtId="0" formatCode="General"/>
      <fill>
        <patternFill patternType="solid">
          <fgColor rgb="FFB8CCE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6"/>
        <color theme="1"/>
        <name val="Bookman Old Style"/>
        <scheme val="none"/>
      </font>
      <numFmt numFmtId="30" formatCode="@"/>
      <fill>
        <patternFill patternType="solid">
          <fgColor rgb="FFB8CCE4"/>
          <bgColor theme="0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6"/>
        <color theme="1"/>
        <name val="Bookman Old Style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Bookman Old Style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indent="0" justifyLastLine="0" shrinkToFit="0" readingOrder="0"/>
    </dxf>
    <dxf>
      <border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auto="1"/>
        <name val="Calibri"/>
        <scheme val="minor"/>
      </font>
      <fill>
        <patternFill>
          <fgColor indexed="64"/>
          <bgColor theme="5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3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FOAM%20MR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microsoft.com/office/2006/relationships/xlExternalLinkPath/xlPathMissing" Target="FOAM%20MR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microsoft.com/office/2006/relationships/xlExternalLinkPath/xlPathMissing" Target="FOAM%20MR.xlsx" TargetMode="External"/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thor" refreshedDate="45735.346951041669" createdVersion="4" refreshedVersion="4" minRefreshableVersion="3" recordCount="117">
  <cacheSource type="worksheet">
    <worksheetSource ref="A1:B118" sheet="Sheet1" r:id="rId2"/>
  </cacheSource>
  <cacheFields count="2">
    <cacheField name="1" numFmtId="0">
      <sharedItems count="77">
        <s v="FOAMERA-FOAM-BLOCK-72X30X04"/>
        <s v="90D-HYP-INSPREE-BLOCK-72X60X06"/>
        <s v="90D-HYP-INSPREE-BLOCK-75X36X06"/>
        <s v="90D-HYP-INSPREE-BLOCK-75X60X05"/>
        <s v="90D-HYP-INSPREE-BLOCK-78X72X08"/>
        <s v="90D-HYP-INSPREE-BLOCK-75X66X05"/>
        <s v="90D-HYP-INSPREE-BLOCK-72X48X06"/>
        <s v="90D-HYP-INSPREE-BLOCK-75X72X06"/>
        <s v="90D-HYP-INSPREE-BLOCK-80X66X06"/>
        <s v="KOZY-BREEZE-FOAM-BLOCK-75X60X04"/>
        <s v="KOZY-BREEZE-FOAM-BLOCK-78X72X04"/>
        <s v="MEMORIO-FOAM-BLOCK-78X72X06"/>
        <s v="MEM-ULTRA-FOAM-BLOCK-72X48X06"/>
        <s v="PANORAMA-FOAM-BLOCK-78X72X06"/>
        <s v="SPINE-SAFE-FOAM-BLOCK-78X72X05"/>
        <s v="VISTA-BOND-FOAM-BLOCK-72X30X06"/>
        <s v="VISTA-BOND-FOAM-BLOCK-72X48X05"/>
        <s v="VISTA-BOND-FOAM-BLOCK-75X36X04"/>
        <s v="VISTA-BOND-FOAM-BLOCK-75X48X04"/>
        <s v="VISTA-BOND-FOAM-BLOCK-75X48X06"/>
        <s v="VISTA-BOND-FOAM-BLOCK-75X60X04"/>
        <s v="VISTA-BOND-FOAM-BLOCK-75X60X05"/>
        <s v="VISTA-BOND-FOAM-BLOCK-75X60X06"/>
        <s v="VISTA-BOND-FOAM-BLOCK-75X72X04"/>
        <s v="VISTA-BOND-FOAM-BLOCK-75X72X05"/>
        <s v="VISTA-BOND-FOAM-BLOCK-75X72X06"/>
        <s v="VISTA-BOND-FOAM-BLOCK-78X48X06"/>
        <s v="VISTA-BOND-FOAM-BLOCK-78X60X05"/>
        <s v="90D-HYP-INSPREE-BLOCK-78X72X06"/>
        <s v="90D-HYP-INSPREE-BLOCK-72X42X05"/>
        <s v="90D-HYP-INSPREE-BLOCK-80X72X08"/>
        <s v="90D-HYP-INSPREE-BLOCK-72X72X05"/>
        <s v="90D-HYP-INSPREE-BLOCK-72X48X05"/>
        <s v="FOAMERA-FOAM-BLOCK-72X36X04"/>
        <s v="FOAMERA-FOAM-BLOCK-78X60X06"/>
        <s v="FURNO-FOAM-BLOCK-78X60X05"/>
        <s v="90D-HYP-INSPREE-BLOCK-75X60X06"/>
        <s v="90D-HYP-INSPREE-BLOCK-80X72X06"/>
        <s v="90D-HYP-INSPREE-BLOCK-72X30X06"/>
        <s v="90D-HYP-INSPREE-BLOCK-75X48X06"/>
        <s v="90D-HYP-INSPREE-BLOCK-78X60X05"/>
        <s v="90D-HYP-INSPREE-BLOCK-72X36X05"/>
        <s v="90D-HYP-INSPREE-BLOCK-78X51X08"/>
        <s v="90D-HYP-INSPREE-BLOCK-78X63X08"/>
        <s v="90D-HYP-INSPREE-BLOCK-75X48X05"/>
        <s v="90D-HYP-INSPREE-BLOCK-72X30X05"/>
        <s v="KOZY-BREEZE-FOAM-BLOCK-72X30X04"/>
        <s v="KOZY-BREEZE-FOAM-BLOCK-72X30X05"/>
        <s v="KOZY-BREEZE-FOAM-BLOCK-72X36X04"/>
        <s v="KOZY-BREEZE-FOAM-BLOCK-72X36X05"/>
        <s v="KOZY-BREEZE-FOAM-BLOCK-72X48X04"/>
        <s v="KOZY-BREEZE-FOAM-BLOCK-72X48X05"/>
        <s v="KOZY-BREEZE-FOAM-BLOCK-78X30X04"/>
        <s v="KOZY-BREEZE-FOAM-BLOCK-75X48X04"/>
        <s v="KOZY-BREEZE-FOAM-BLOCK-78X60X04"/>
        <s v="KOZY-BREEZE-FOAM-BLOCK-78X60X05"/>
        <s v="MEMORIO-FOAM-BLOCK-75X60X06"/>
        <s v="SPINE-SAFE-FOAM-BLOCK-78X57X08"/>
        <s v="SPINE-SAFE-FOAM-BLOCK-84X57X08"/>
        <s v="SPINE-SAFE-FOAM-BLOCK-84X69X08"/>
        <s v="VISTA-BOND-FOAM-BLOCK-72X30X04"/>
        <s v="VISTA-BOND-FOAM-BLOCK-72X36X04"/>
        <s v="VISTA-BOND-FOAM-BLOCK-72X36X05"/>
        <s v="VISTA-BOND-FOAM-BLOCK-72X45X04"/>
        <s v="VISTA-BOND-FOAM-BLOCK-72X45X05"/>
        <s v="VISTA-BOND-FOAM-BLOCK-75X42X04"/>
        <s v="VISTA-BOND-FOAM-BLOCK-75X48X05"/>
        <s v="VISTA-BOND-FOAM-BLOCK-75X51X05"/>
        <s v="VISTA-BOND-FOAM-BLOCK-78X60X04"/>
        <s v="FOAMERA-FOAM-BLOCK-78X60X05"/>
        <s v="FOAMERA-FOAM-BLOCK-78X72X06"/>
        <s v="FOAMERA-FOAM-BLOCK-78X72X05"/>
        <s v="INSPREE-FOAM-BLOCK-78X60X06"/>
        <s v="90D-HYP-INSPREE-BLOCK-72X36X06"/>
        <s v="INSPREE-FOAM-BLOCK-78X72X05"/>
        <s v="KOZY-BREEZE-FOAM-BLOCK-75X36X04"/>
        <s v="VISTA-BOND-FOAM-BLOCK-72X48X04"/>
      </sharedItems>
    </cacheField>
    <cacheField name="2" numFmtId="0">
      <sharedItems containsSemiMixedTypes="0" containsString="0" containsNumber="1" containsInteger="1" minValue="1" maxValue="1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uthor" refreshedDate="45925.984549189816" createdVersion="4" refreshedVersion="4" minRefreshableVersion="3" recordCount="23494">
  <cacheSource type="worksheet">
    <worksheetSource ref="C1:D1048576" sheet="WORK ORDER" r:id="rId2"/>
  </cacheSource>
  <cacheFields count="2">
    <cacheField name="SFG ITEM " numFmtId="0">
      <sharedItems containsBlank="1" count="141">
        <s v="90D-HYP-INSPREE-BLOCK-72X30X04"/>
        <s v="90D-HYP-INSPREE-BLOCK-75X48X06"/>
        <s v="90D-HYP-INSPREE-BLOCK-84X72X05"/>
        <s v="90D-HYP-INSPREE-BLOCK-75X66X06"/>
        <s v="90D-HYP-INSPREE-BLOCK-72X36X05"/>
        <s v="90D-HYP-INSPREE-BLOCK-78X60X06"/>
        <s v="90D-HYP-INSPREE-BLOCK-20X18X06"/>
        <s v="90D-HYP-INSPREE-BLOCK-75X30X05"/>
        <s v="90D-HYP-INSPREE-BLOCK-72X30X05"/>
        <s v="90D-HYP-INSPREE-BLOCK-78X72X06"/>
        <s v="90D-HYP-INSPREE-BLOCK-75X36X06"/>
        <s v="90D-HYP-INSPREE-BLOCK-75X60X06"/>
        <s v="90D-HYP-INSPREE-BLOCK-72X60X06"/>
        <s v="90D-HYP-INSPREE-BLOCK-75X60X08"/>
        <s v="90D-HYP-INSPREE-BLOCK-84X72X06"/>
        <s v="VISTA-BOND-FOAM-BLOCK-72X48X04"/>
        <s v="VISTA-BOND-FOAM-BLOCK-75X60X05"/>
        <s v="VISTA-BOND-FOAM-BLOCK-72X48X05"/>
        <s v="VISTA-BOND-FOAM-BLOCK-72X36X05"/>
        <s v="VISTA-BOND-FOAM-BLOCK-75X60X04"/>
        <s v="VISTA-BOND-FOAM-BLOCK-72X36X04"/>
        <s v="VISTA-BOND-FOAM-BLOCK-75X48X04"/>
        <s v="VISTA-BOND-FOAM-BLOCK-72X60X05"/>
        <s v="VISTA-BOND-FOAM-BLOCK-75X36X04"/>
        <s v="VISTA-BOND-FOAM-BLOCK-75X60X06"/>
        <s v="VISTA-BOND-FOAM-BLOCK-72X30X05"/>
        <s v="VISTA-BOND-FOAM-BLOCK-84X60X04"/>
        <s v="VISTA-BOND-FOAM-BLOCK-75X48X06"/>
        <s v="KOZY-BREEZE-FOAM-BLOCK-72X30X04"/>
        <s v="KOZY-BREEZE-FOAM-BLOCK-72X30X05"/>
        <s v="KOZY-BREEZE-FOAM-BLOCK-78X60X05"/>
        <s v="KOZY-BREEZE-FOAM-BLOCK-72X48X04"/>
        <s v="KOZY-BREEZE-FOAM-BLOCK-75X60X05"/>
        <s v="KOZY-BREEZE-FOAM-BLOCK-78X60X04"/>
        <s v="KOZY-BREEZE-FOAM-BLOCK-75X48X04"/>
        <s v="KOZY-BREEZE-FOAM-BLOCK-75X36X04"/>
        <s v="KOZY-BREEZE-FOAM-BLOCK-72X36X05"/>
        <s v="KOZY-BREEZE-FOAM-BLOCK-20X18X06"/>
        <s v="KOZY-BREEZE-FOAM-BLOCK-75X72X05"/>
        <s v="KOZY-BREEZE-FOAM-BLOCK-72X48X05"/>
        <s v="90D-HYP-INSPREE-BLOCK-72X36X06"/>
        <s v="90D-HYP-INSPREE-BLOCK-78X72X08"/>
        <s v="SPINE-SAFE-FOAM-BLOCK-78X60X06"/>
        <s v="SPINE-SAFE-FOAM-BLOCK-78X72X08"/>
        <s v="SPINE-SAFE-FOAM-BLOCK-78X60X08"/>
        <s v="MEMORIO-FOAM-BLOCK-20X18X06"/>
        <s v="MIRAGE-FOAM-BLOCK-75X60X06"/>
        <s v="PANORAMA-FOAM-BLOCK-78X48X08"/>
        <e v="#N/A"/>
        <m/>
        <s v="FOAMERA-FOAM-BLOCK-72X30X05" u="1"/>
        <s v="VISTA-BOND-FOAM-BLOCK-78X72X04" u="1"/>
        <s v="KOZY-BREEZE-FOAM-BLOCK-75X36X05" u="1"/>
        <s v="VISTA-BOND-FOAM-BLOCK-78X72X05" u="1"/>
        <s v="VISTA-BOND-FOAM-BLOCK-72X42X04" u="1"/>
        <s v="SPINE-SAFE-FOAM-BLOCK-72X60X06" u="1"/>
        <s v="SPINE-SAFE-FOAM-BLOCK-72X36X05" u="1"/>
        <s v="VISTA-BOND-FOAM-BLOCK-78X72X06" u="1"/>
        <s v="VISTA-BOND-FOAM-BLOCK-72X42X05" u="1"/>
        <s v="KOZY-BREEZE-FOAM-BLOCK-72X60X05" u="1"/>
        <s v="90D-HYP-INSPREE-BLOCK-20X18X05" u="1"/>
        <s v="VISTA-BOND-FOAM-BLOCK-72X72X05" u="1"/>
        <s v="KOZY-BREEZE-FOAM-BLOCK-78X36X05" u="1"/>
        <s v="FOAMERA-FOAM-BLOCK-78X72X06" u="1"/>
        <s v="90D-HYP-INSPREE-BLOCK-84X72X08" u="1"/>
        <s v="VISTA-BOND-FOAM-BLOCK-72X48X06" u="1"/>
        <s v="MEMORIO-FOAM-BLOCK-72X72X06" u="1"/>
        <s v="KOZY-BREEZE-FOAM-BLOCK-75X72X06" u="1"/>
        <s v="90D-HYP-INSPREE-BLOCK-78X60X05" u="1"/>
        <s v="MEMORIO-FOAM-BLOCK-78X36X05" u="1"/>
        <s v="90D-HYP-INSPREE-BLOCK-78X36X05" u="1"/>
        <s v="90D-HYP-INSPREE-BLOCK-72X30X06" u="1"/>
        <s v="SPINE-SAFE-FOAM-BLOCK-75X72X06" u="1"/>
        <s v="90D-HYP-INSPREE-BLOCK-78X36X06" u="1"/>
        <s v="90D-HYP-INSPREE-BLOCK-78X60X08" u="1"/>
        <s v="KOZY-BREEZE-FOAM-BLOCK-72X36X04" u="1"/>
        <s v="SPINE-SAFE-FOAM-BLOCK-75X48X06" u="1"/>
        <s v="KOZY-BREEZE-FOAM-BLOCK-78X72X06" u="1"/>
        <s v="VISTA-BOND-FOAM-BLOCK-78X30X04" u="1"/>
        <s v="90D-HYP-INSPREE-BLOCK-78X66X08" u="1"/>
        <s v="90D-HYP-INSPREE-BLOCK-72X66X06" u="1"/>
        <s v="90D-HYP-INSPREE-BLOCK-72X36X08" u="1"/>
        <s v="VISTA-BOND-FOAM-BLOCK-78X60X04" u="1"/>
        <s v="KOZY-BREEZE-FOAM-BLOCK-75X48X05" u="1"/>
        <s v="MEMORIO-FOAM-BLOCK-78X48X05" u="1"/>
        <s v="PANORAMA-FOAM-BLOCK-72X60X06" u="1"/>
        <s v="VISTA-BOND-FOAM-BLOCK-78X60X05" u="1"/>
        <s v="VISTA-BOND-FOAM-BLOCK-72X30X04" u="1"/>
        <s v="VISTA-BOND-FOAM-BLOCK-78X36X04" u="1"/>
        <s v="VISTA-BOND-FOAM-BLOCK-78X60X06" u="1"/>
        <s v="VISTA-BOND-FOAM-BLOCK-72X60X04" u="1"/>
        <s v="MEM-ULTRA-FOAM-BLOCK-72X36X06" u="1"/>
        <s v="90D-HYP-INSPREE-BLOCK-75X42X06" u="1"/>
        <s v="90D-HYP-INSPREE-BLOCK-75X72X05" u="1"/>
        <s v="90D-HYP-INSPREE-BLOCK-75X48X04" u="1"/>
        <s v="90D-HYP-INSPREE-BLOCK-75X72X06" u="1"/>
        <s v="VISTA-BOND-FOAM-BLOCK-72X60X06" u="1"/>
        <s v="90D-HYP-INSPREE-BLOCK-75X48X05" u="1"/>
        <s v="VISTA-BOND-FOAM-BLOCK-72X36X06" u="1"/>
        <s v="KOZY-BREEZE-FOAM-BLOCK-75X30X04" u="1"/>
        <s v="90D-HYP-INSPREE-BLOCK-75X72X08" u="1"/>
        <s v="KOZY-BREEZE-FOAM-BLOCK-75X60X04" u="1"/>
        <s v="90D-HYP-INSPREE-BLOCK-75X48X08" u="1"/>
        <s v="90D-HYP-INSPREE-BLOCK-80X66X06" u="1"/>
        <s v="VISTA-BOND-FOAM-BLOCK-75X42X04" u="1"/>
        <s v="SPINE-SAFE-FOAM-BLOCK-75X60X06" u="1"/>
        <s v="VISTA-BOND-FOAM-BLOCK-75X42X05" u="1"/>
        <s v="VISTA-BOND-FOAM-BLOCK-75X72X04" u="1"/>
        <s v="VISTA-BOND-FOAM-BLOCK-75X72X05" u="1"/>
        <s v="PANORAMA-FOAM-BLOCK-78X66X06" u="1"/>
        <s v="KOZY-BREEZE-FOAM-BLOCK-78X72X05" u="1"/>
        <s v="VISTA-BOND-FOAM-BLOCK-75X72X06" u="1"/>
        <s v="VISTA-BOND-FOAM-BLOCK-75X48X05" u="1"/>
        <s v="90D-HYP-INSPREE-BLOCK-75X60X04" u="1"/>
        <s v="90D-HYP-INSPREE-BLOCK-75X30X06" u="1"/>
        <s v="90D-HYP-INSPREE-BLOCK-75X60X05" u="1"/>
        <s v="MEMORIO-FOAM-BLOCK-75X72X06" u="1"/>
        <s v="FOAMERA-FOAM-BLOCK-75X42X05" u="1"/>
        <s v="90D-HYP-INSPREE-BLOCK-75X36X05" u="1"/>
        <s v="SPINE-SAFE-FOAM-BLOCK-72X72X06" u="1"/>
        <s v="KOZY-BREEZE-FOAM-BLOCK-75X42X04" u="1"/>
        <s v="SPINE-SAFE-FOAM-BLOCK-72X48X06" u="1"/>
        <s v="MEMORIO-FOAM-BLOCK-78X60X08" u="1"/>
        <s v="90D-HYP-INSPREE-BLOCK-75X36X08" u="1"/>
        <s v="VISTA-BOND-FOAM-BLOCK-75X30X04" u="1"/>
        <s v="KOZY-BREEZE-FOAM-BLOCK-75X60X06" u="1"/>
        <s v="90D-HYP-INSPREE-BLOCK-78X72X05" u="1"/>
        <s v="PANORAMA-FOAM-BLOCK-72X30X05" u="1"/>
        <s v="KOZY-BREEZE-FOAM-BLOCK-78X72X04" u="1"/>
        <s v="90D-HYP-INSPREE-BLOCK-78X48X05" u="1"/>
        <s v="VISTA-BOND-FOAM-BLOCK-75X36X05" u="1"/>
        <s v="SPINE-SAFE-FOAM-BLOCK-20X18X06" u="1"/>
        <s v="VISTA-BOND-FOAM-BLOCK-75X66X04" u="1"/>
        <s v="90D-HYP-INSPREE-BLOCK-72X42X06" u="1"/>
        <s v="VISTA-BOND-FOAM-BLOCK-75X36X06" u="1"/>
        <s v="VISTA-BOND-FOAM-BLOCK-75X60X08" u="1"/>
        <s v="SPINE-SAFE-FOAM-BLOCK-20X18X08" u="1"/>
        <s v="90D-HYP-INSPREE-BLOCK-72X72X06" u="1"/>
        <s v="90D-HYP-INSPREE-BLOCK-72X48X05" u="1"/>
        <s v="KOZY-BREEZE-FOAM-BLOCK-78X60X06" u="1"/>
        <s v="90D-HYP-INSPREE-BLOCK-72X48X06" u="1"/>
      </sharedItems>
    </cacheField>
    <cacheField name="QTY" numFmtId="0">
      <sharedItems containsString="0" containsBlank="1" containsNumber="1" containsInteger="1" minValue="0" maxValue="3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Author" refreshedDate="46077.618608101853" createdVersion="5" refreshedVersion="6" minRefreshableVersion="3" recordCount="101">
  <cacheSource type="worksheet">
    <worksheetSource ref="U1:W1048576" sheet="STEP-1" r:id="rId2"/>
  </cacheSource>
  <cacheFields count="3">
    <cacheField name="ITEM CODE" numFmtId="0">
      <sharedItems containsBlank="1" count="357">
        <s v=""/>
        <s v="25D-HELIXA-FOAM-72X48X119MM"/>
        <m/>
        <s v="90D-HYP-INSPREE-BLOCK-75X48X05" u="1"/>
        <s v="90D-HYP-INSPREE-BLOCK-78X72X06" u="1"/>
        <s v="SPINE-SAFE-FOAM-BLOCK-75X36X06" u="1"/>
        <s v="SPINE-SAFE-FOAM-BLOCK-75X72X06" u="1"/>
        <s v="VISTA-BOND-FOAM-BLOCK-72X60X05" u="1"/>
        <s v="23D-ECO-FOAM-72X60X80MM" u="1"/>
        <s v="90D-HYP-INS-ET-BLOCK-72X48X05" u="1"/>
        <s v="90D-HYP-INSPREE-BLOCK-75X60X08" u="1"/>
        <s v="90D-HYP-INSPREE-BLOCK-75X69X06" u="1"/>
        <s v="KOZY-BREEZE-FOAM-BLOCK-75X48X04" u="1"/>
        <s v="KOZY-BREEZE-FOAM-BLOCK-78X72X05" u="1"/>
        <s v="MEMORIO-FOAM-BLOCK-75X48X05" u="1"/>
        <s v="MEMORIO-FOAM-BLOCK-78X72X06" u="1"/>
        <s v="90D-HYP-INS-ET-BLOCK-20X18X06" u="1"/>
        <s v="90D-HYP-INSPREE-BLOCK-72X60X04" u="1"/>
        <s v="90D-HYP-INSPREE-BLOCK-78X66X05" u="1"/>
        <s v="SPINE-SAFE-FOAM-BLOCK-72X60X08" u="1"/>
        <s v="VISTA-BOND-FOAM-BLOCK-75X42X05" u="1"/>
        <s v="VISTA-BOND-FOAM-BLOCK-72X54X04" u="1"/>
        <s v="CAPRINA-GEL-FOAM-BLOCK-75X60X06" u="1"/>
        <s v="KOZY-BREEZE-FOAM-BLOCK-78X69X05" u="1"/>
        <s v="90D-HYP-INS-ET-BLOCK-72X72X08" u="1"/>
        <s v="90D-HYP-INS-ET-BLOCK-78X60X05" u="1"/>
        <s v="SPINE-SAFE-FOAM-BLOCK-84X72X06" u="1"/>
        <s v="VISTA-BOND-FOAM-BLOCK-20X18X06" u="1"/>
        <s v="VISTA-BOND-FOAM-BLOCK-75X63X06" u="1"/>
        <s v="KOZY-BREEZE-FOAM-BLOCK-75X54X04" u="1"/>
        <s v="MEMORIO-FOAM-BLOCK-75X60X05" u="1"/>
        <s v="90D-HYP-INS-ET-BLOCK-84X69X06" u="1"/>
        <s v="90D-HYP-INSPREE-BLOCK-78X51X06" u="1"/>
        <s v="VISTA-BOND-FOAM-BLOCK-75X36X04" u="1"/>
        <s v="VISTA-BOND-FOAM-BLOCK-78X60X05" u="1"/>
        <s v="VISTA-FOAM-FOAM-BLOCK-78X60X05" u="1"/>
        <s v="FURNO-FOAM-BLOCK-75X36X04" u="1"/>
        <s v="VISTA-FOAM-BLOCK-75X72X06" u="1"/>
        <s v="CAPRINA-FOAM-BLOCK-72X30X06" u="1"/>
        <s v="MEM-ULTRA-FOAM-BLOCK-75X60X06" u="1"/>
        <s v="90D-HYP-INSPREE-BLOCK-72X30X06" u="1"/>
        <s v="VISTA-BOND-FOAM-BLOCK-75X72X04" u="1"/>
        <s v="VISTA-FOAM-FOAM-BLOCK-75X72X04" u="1"/>
        <s v="VISTA-SOFT-FOAM-BLOCK-75X72X04" u="1"/>
        <s v="90D-HYP-INS-ET-BLOCK-72X48X06" u="1"/>
        <s v="90D-HYP-INSPREE-BLOCK-75X48X06" u="1"/>
        <s v="KOZY-BREEZE-FOAM-BLOCK-72X48X06" u="1"/>
        <s v="KOZY-BREEZE-FOAM-BLOCK-75X60X04" u="1"/>
        <s v="VISTA-FOAM-BLOCK-75X36X06" u="1"/>
        <s v="MEMORIO-FOAM-BLOCK-78X66X08" u="1"/>
        <s v="90D-HYP-INS-ET-BLOCK-72X36X08" u="1"/>
        <s v="VISTA-BOND-FOAM-BLOCK-72X60X06" u="1"/>
        <s v="VISTA-BOND-FOAM-BLOCK-78X54X04" u="1"/>
        <s v="KOZY-BREEZE-FOAM-BLOCK-84X60X06" u="1"/>
        <s v="VISTA-BOND-FOAM-BLOCK-72X33X04" u="1"/>
        <s v="VISTA-BOND-FOAM-BLOCK-84X36X04" u="1"/>
        <s v="PANORAMA-FOAM-BLOCK-72X30X08" u="1"/>
        <s v="90D-HYP-INS-ET-BLOCK-78X60X06" u="1"/>
        <s v="90D-HYP-INSPREE-BLOCK-72X60X05" u="1"/>
        <s v="90D-HYP-INSPREE-BLOCK-72X72X08" u="1"/>
        <s v="VISTA-BOND-FOAM-BLOCK-75X42X06" u="1"/>
        <s v="KOZY-BREEZE-FOAM-BLOCK-78X48X04" u="1"/>
        <s v="VISTA-FOAM-BLOCK-72X60X06" u="1"/>
        <s v="CAPRINA-FOAM-BLOCK-72X36X06" u="1"/>
        <s v="90D-HYP-INSPREE-BLOCK-72X45X06" u="1"/>
        <s v="VISTA-BOND-FOAM-BLOCK-72X54X05" u="1"/>
        <s v="90D-HYP-INS-ET-BLOCK-78X42X06" u="1"/>
        <s v="90D-HYP-INSPREE-BLOCK-75X42X05" u="1"/>
        <s v="90D-HYP-INSPREE-BLOCK-75X54X08" u="1"/>
        <s v="CAPRINA-GEL-FOAM-BLOCK-78X60X06" u="1"/>
        <s v="KOZY-BREEZE-FOAM-BLOCK-72X30X05" u="1"/>
        <s v="KOZY-BREEZE-FOAM-BLOCK-78X36X06" u="1"/>
        <s v="90D-HYP-INS-ET-BLOCK-78X30X08" u="1"/>
        <s v="VISTA-BOND-FOAM-BLOCK-75X36X05" u="1"/>
        <s v="VISTA-BOND-FOAM-BLOCK-78X60X06" u="1"/>
        <s v="VISTA-FOAM-FOAM-BLOCK-78X60X06" u="1"/>
        <s v="VISTA-SOFT-FOAM-BLOCK-78X60X06" u="1"/>
        <s v="KOZY-BREEZE-FOAM-BLOCK-72X60X06" u="1"/>
        <s v="KOZY-BREEZE-FOAM-BLOCK-78X54X04" u="1"/>
        <s v="90D-HYP-INSPREE-BLOCK-20X18X06" u="1"/>
        <s v="90D-HYP-INSPREE-BLOCK-78X36X08" u="1"/>
        <s v="VISTA-BOND-FOAM-BLOCK-72X48X04" u="1"/>
        <s v="VISTA-BOND-FOAM-BLOCK-75X72X05" u="1"/>
        <s v="VISTA-SOFT-FOAM-BLOCK-75X72X05" u="1"/>
        <s v="90D-HYP-INS-ET-BLOCK-78X72X05" u="1"/>
        <s v="90D-HYP-INSPREE-BLOCK-75X36X04" u="1"/>
        <s v="90D-HYP-INSPREE-BLOCK-78X60X05" u="1"/>
        <s v="90D-HYP-INSPREE-BLOCK-78X72X08" u="1"/>
        <s v="SPINE-SAFE-FOAM-BLOCK-75X60X05" u="1"/>
        <s v="CAPRINA-GEL-FOAM-BLOCK-72X48X05" u="1"/>
        <s v="CAPRINA-GEL-FOAM-BLOCK-75X72X06" u="1"/>
        <s v="KOZY-BREEZE-FOAM-BLOCK-75X48X06" u="1"/>
        <s v="KOZY-BREEZE-FOAM-BLOCK-78X60X04" u="1"/>
        <s v="MEM-ULTRA-FOAM-BLOCK-75X72X06" u="1"/>
        <s v="VISTA-BOND-FOAM-BLOCK-72X33X05" u="1"/>
        <s v="VISTA-FOAM-BLOCK-72X48X04" u="1"/>
        <s v="90D-HYP-INS-ET-BLOCK-78X45X05" u="1"/>
        <s v="90D-HYP-INSPREE-BLOCK-72X60X06" u="1"/>
        <s v="VISTA-BOND-FOAM-BLOCK-75X30X04" u="1"/>
        <s v="VISTA-BOND-FOAM-BLOCK-84X72X05" u="1"/>
        <s v="MEMORIO-FOAM-BLOCK-72X48X06" u="1"/>
        <s v="90D-HYP-INS-ET-BLOCK-72X48X08" u="1"/>
        <s v="90D-HYP-INS-ET-BLOCK-78X36X05" u="1"/>
        <s v="90D-HYP-INSPREE-BLOCK-78X39X05" u="1"/>
        <s v="VISTA-BOND-FOAM-BLOCK-78X48X04" u="1"/>
        <s v="CAPRINA-FOAM-BLOCK-78X36X06" u="1"/>
        <s v="90D-HYP-INS-ET-BLOCK-80X72X08" u="1"/>
        <s v="90D-HYP-INSPREE-BLOCK-75X42X06" u="1"/>
        <s v="KOZY-BREEZE-FOAM-BLOCK-75X72X04" u="1"/>
        <s v="90D-HYP-INS-ET-BLOCK-78X72X06" u="1"/>
        <s v="VISTA-BOND-FOAM-BLOCK-75X36X06" u="1"/>
        <s v="VISTA-BOND-FOAM-BLOCK-84X66X04" u="1"/>
        <s v="VISTA-SOFT-FOAM-BLOCK-75X36X06" u="1"/>
        <s v="KOZY-BREEZE-FOAM-BLOCK-84X72X06" u="1"/>
        <s v="CAPRINA-FOAM-BLOCK-75X48X06" u="1"/>
        <s v="90D-HYP-INS-ET-BLOCK-78X60X08" u="1"/>
        <s v="90D-HYP-INSPREE-BLOCK-72X30X08" u="1"/>
        <s v="VISTA-BOND-FOAM-BLOCK-72X48X05" u="1"/>
        <s v="VISTA-BOND-FOAM-BLOCK-75X72X06" u="1"/>
        <s v="VISTA-BOND-FOAM-BLOCK-84X30X04" u="1"/>
        <s v="VISTA-FOAM-FOAM-BLOCK-72X48X05" u="1"/>
        <s v="VISTA-SOFT-FOAM-BLOCK-75X72X06" u="1"/>
        <s v="KOZY-BREEZE-FOAM-BLOCK-72X36X05" u="1"/>
        <s v="KOZY-BREEZE-FOAM-BLOCK-75X60X06" u="1"/>
        <s v="90D-HYP-INSPREE-BLOCK-75X36X05" u="1"/>
        <s v="90D-HYP-INSPREE-BLOCK-75X48X08" u="1"/>
        <s v="90D-HYP-INSPREE-BLOCK-78X60X06" u="1"/>
        <s v="VISTA-BOND-FOAM-BLOCK-75X45X04" u="1"/>
        <s v="90D-HYP-INSPREE-BLOCK-72X48X04" u="1"/>
        <s v="90D-HYP-INSPREE-BLOCK-75X72X05" u="1"/>
        <s v="SPINE-SAFE-FOAM-BLOCK-72X36X05" u="1"/>
        <s v="SPINE-SAFE-FOAM-BLOCK-75X60X06" u="1"/>
        <s v="CAPRINA-FOAM-BLOCK-75X60X06" u="1"/>
        <s v="90D-HYP-INS-ET-BLOCK-75X60X05" u="1"/>
        <s v="90D-HYP-INS-ET-BLOCK-78X36X06" u="1"/>
        <s v="90D-HYP-INSPREE-BLOCK-75X57X06" u="1"/>
        <s v="CAPRINA-GEL-FOAM-BLOCK-78X72X06" u="1"/>
        <s v="MEMORIO-FOAM-BLOCK-84X72X06" u="1"/>
        <s v="90D-HYP-INSPREE-BLOCK-78X66X08" u="1"/>
        <s v="VISTA-BOND-FOAM-BLOCK-75X30X05" u="1"/>
        <s v="KOZY-BREEZE-FOAM-BLOCK-78X66X04" u="1"/>
        <s v="90D-HYP-INSPREE-BLOCK-72X33X05" u="1"/>
        <s v="VISTA-BOND-FOAM-BLOCK-72X42X04" u="1"/>
        <s v="VISTA-BOND-FOAM-BLOCK-78X48X05" u="1"/>
        <s v="90D-HYP-INSPREE-BLOCK-75X30X04" u="1"/>
        <s v="90D-HYP-INSPREE-BLOCK-84X72X05" u="1"/>
        <s v="SPINE-SAFE-FOAM-BLOCK-75X39X06" u="1"/>
        <s v="MEM-ULTRA-FOAM-BLOCK-75X72X08" u="1"/>
        <s v="90D-HYP-INSPREE-BLOCK-78X48X04" u="1"/>
        <s v="KOZY-BREEZE-FOAM-BLOCK-78X72X04" u="1"/>
        <s v="90D-HYP-INS-ET-BLOCK-78X48X05" u="1"/>
        <s v="90D-HYP-INSPREE-BLOCK-20X18X08" u="1"/>
        <s v="VISTA-BOND-FOAM-BLOCK-72X48X06" u="1"/>
        <s v="VISTA-BOND-FOAM-BLOCK-75X60X04" u="1"/>
        <s v="VISTA-FOAM-FOAM-BLOCK-75X60X04" u="1"/>
        <s v="KOZY-BREEZE-FOAM-BLOCK-78X30X05" u="1"/>
        <s v="VISTA-FOAM-BLOCK-78X72X06" u="1"/>
        <s v="MEMORIO-FOAM-BLOCK-75X36X05" u="1"/>
        <s v="MEMORIO-FOAM-BLOCK-78X60X06" u="1"/>
        <s v="90D-HYP-INS-ET-BLOCK-75X60X06" u="1"/>
        <s v="90D-HYP-INSPREE-BLOCK-75X36X06" u="1"/>
        <s v="VISTA-BOND-FOAM-BLOCK-75X45X05" u="1"/>
        <s v="CAPRINA-GEL-FOAM-BLOCK-75X60X05" u="1"/>
        <s v="KOZY-BREEZE-FOAM-BLOCK-75X36X05" u="1"/>
        <s v="KOZY-BREEZE-FOAM-BLOCK-78X60X06" u="1"/>
        <s v="MEM-ULTRA-FOAM-BLOCK-75X48X06" u="1"/>
        <s v="90D-HYP-INSPREE-BLOCK-72X48X05" u="1"/>
        <s v="90D-HYP-INSPREE-BLOCK-75X72X06" u="1"/>
        <s v="SPINE-SAFE-FOAM-BLOCK-72X36X06" u="1"/>
        <s v="23D-ECO-FOAM-72X30X50MM" u="1"/>
        <s v="MEMORIO-FOAM-BLOCK-75X72X06" u="1"/>
        <s v="90D-HYP-INS-ET-BLOCK-78X72X08" u="1"/>
        <s v="90D-HYP-INSPREE-BLOCK-75X45X04" u="1"/>
        <s v="90D-HYP-INSPREE-BLOCK-80X60X06" u="1"/>
        <s v="90D-HYP-INSPREE-BLOCK-80X69X04" u="1"/>
        <s v="SPINE-SAFE-FOAM-BLOCK-72X72X06" u="1"/>
        <s v="KOZY-BREEZE-FOAM-BLOCK-72X51X05" u="1"/>
        <s v="MEMORIO-FOAM-BLOCK-75X60X08" u="1"/>
        <s v="MEMORIO-FOAM-BLOCK-75X69X06" u="1"/>
        <s v="90D-HYP-INS-ET-BLOCK-78X66X06" u="1"/>
        <s v="90D-HYP-INSPREE-BLOCK-72X60X08" u="1"/>
        <s v="VISTA-BOND-FOAM-BLOCK-72X42X05" u="1"/>
        <s v="KOZY-BREEZE-FOAM-BLOCK-72X48X05" u="1"/>
        <s v="KOZY-BREEZE-FOAM-BLOCK-75X72X06" u="1"/>
        <s v="VISTA-FOAM-BLOCK-75X60X06" u="1"/>
        <s v="CAPRINA-FOAM-BLOCK-78X72X06" u="1"/>
        <s v="90D-HYP-INS-ET-BLOCK-75X72X05" u="1"/>
        <s v="90D-HYP-INS-ET-BLOCK-78X48X06" u="1"/>
        <s v="90D-HYP-INSPREE-BLOCK-84X72X06" u="1"/>
        <s v="CAPRINA-GEL-FOAM-BLOCK-72X30X06" u="1"/>
        <s v="KOZY-BREEZE-FOAM-BLOCK-84X60X05" u="1"/>
        <s v="90D-HYP-INS-ET-BLOCK-72X30X05" u="1"/>
        <s v="90D-HYP-INSPREE-BLOCK-78X48X05" u="1"/>
        <s v="90D-HYP-INS-ET-BLOCK-75X54X05" u="1"/>
        <s v="90D-HYP-INSPREE-BLOCK-75X51X06" u="1"/>
        <s v="SPINE-SAFE-FOAM-BLOCK-75X48X05" u="1"/>
        <s v="SPINE-SAFE-FOAM-BLOCK-78X72X06" u="1"/>
        <s v="VISTA-BOND-FOAM-BLOCK-72X36X04" u="1"/>
        <s v="VISTA-BOND-FOAM-BLOCK-75X60X05" u="1"/>
        <s v="VISTA-FOAM-FOAM-BLOCK-75X60X05" u="1"/>
        <s v="VISTA-SOFT-FOAM-BLOCK-72X36X04" u="1"/>
        <s v="VISTA-SOFT-FOAM-BLOCK-75X60X05" u="1"/>
        <s v="KOZY-BREEZE-FOAM-BLOCK-72X54X05" u="1"/>
        <s v="CAPRINA-FOAM-BLOCK-75X60X05" u="1"/>
        <s v="FOAMERA-FOAM-BLOCK-78X60X06" u="1"/>
        <s v="90D-HYP-INSPREE-BLOCK-78X60X08" u="1"/>
        <s v="90D-HYP-INSPREE-BLOCK-78X69X06" u="1"/>
        <s v="VISTA-BOND-FOAM-BLOCK-72X72X04" u="1"/>
        <s v="KOZY-BREEZE-FOAM-BLOCK-75X45X05" u="1"/>
        <s v="FURNO-FOAM-BLOCK-72X30X04" u="1"/>
        <s v="25D-HELIXA-FOAM-72X36X119MM" u="1"/>
        <s v="90D-HYP-INS-ET-BLOCK-75X36X05" u="1"/>
        <s v="90D-HYP-INS-ET-BLOCK-84X60X06" u="1"/>
        <s v="90D-HYP-INSPREE-BLOCK-72X48X06" u="1"/>
        <s v="90D-HYP-INSPREE-BLOCK-75X60X04" u="1"/>
        <s v="90D-HYP-INSPREE-BLOCK-84X30X05" u="1"/>
        <s v="CAPRINA-GEL-FOAM-BLOCK-78X60X05" u="1"/>
        <s v="KOZY-BREEZE-FOAM-BLOCK-72X30X04" u="1"/>
        <s v="KOZY-BREEZE-FOAM-BLOCK-78X36X05" u="1"/>
        <s v="KOZY-BREEZE-FOAM-BLOCK-72X60X05" u="1"/>
        <s v="90D-HYP-INS-ET-BLOCK-75X72X06" u="1"/>
        <s v="23D-ECO-FOAM-72X48X80MM" u="1"/>
        <s v="90D-HYP-INS-ET-BLOCK-72X30X06" u="1"/>
        <s v="90D-HYP-INS-ET-BLOCK-75X60X08" u="1"/>
        <s v="90D-HYP-INSPREE-BLOCK-75X66X06" u="1"/>
        <s v="VISTA-BOND-FOAM-BLOCK-78X36X04" u="1"/>
        <s v="90D-HYP-INS-ET-BLOCK-75X54X06" u="1"/>
        <s v="MEM-ULTRA-FOAM-BLOCK-75X48X08" u="1"/>
        <s v="90D-HYP-INSPREE-BLOCK-75X30X06" u="1"/>
        <s v="VISTA-BOND-FOAM-BLOCK-78X72X04" u="1"/>
        <s v="KOZY-BREEZE-FOAM-BLOCK-75X48X05" u="1"/>
        <s v="KOZY-BREEZE-FOAM-BLOCK-78X72X06" u="1"/>
        <s v="MEMORIO-FOAM-BLOCK-78X60X05" u="1"/>
        <s v="90D-HYP-INS-ET-BLOCK-75X42X08" u="1"/>
        <s v="90D-HYP-INSPREE-BLOCK-72X42X05" u="1"/>
        <s v="90D-HYP-INSPREE-BLOCK-78X48X06" u="1"/>
        <s v="KOZY-BREEZE-FOAM-BLOCK-72X33X04" u="1"/>
        <s v="90D-HYP-INS-ET-BLOCK-72X60X05" u="1"/>
        <s v="90D-HYP-INS-ET-BLOCK-75X36X06" u="1"/>
        <s v="90D-HYP-INS-ET-BLOCK-78X69X06" u="1"/>
        <s v="VISTA-BOND-FOAM-BLOCK-72X36X05" u="1"/>
        <s v="VISTA-BOND-FOAM-BLOCK-75X60X06" u="1"/>
        <s v="VISTA-FOAM-FOAM-BLOCK-72X36X05" u="1"/>
        <s v="VISTA-FOAM-FOAM-BLOCK-75X60X06" u="1"/>
        <s v="VISTA-SOFT-FOAM-BLOCK-75X60X06" u="1"/>
        <s v="CAPRINA-GEL-FOAM-BLOCK-72X36X06" u="1"/>
        <s v="90D-HYP-INS-ET-BLOCK-78X57X08" u="1"/>
        <s v="90D-HYP-INSPREE-BLOCK-72X63X06" u="1"/>
        <s v="90D-HYP-INSPREE-BLOCK-75X36X08" u="1"/>
        <s v="VISTA-BOND-FOAM-BLOCK-72X72X05" u="1"/>
        <s v="90D-HYP-INS-ET-BLOCK-72X42X05" u="1"/>
        <s v="90D-HYP-INSPREE-BLOCK-72X36X04" u="1"/>
        <s v="90D-HYP-INSPREE-BLOCK-75X60X05" u="1"/>
        <s v="90D-HYP-INSPREE-BLOCK-75X72X08" u="1"/>
        <s v="23D-ECO-FOAM-75X60X80MM" u="1"/>
        <s v="VISTA-FOAM-BLOCK-75X48X06" u="1"/>
        <s v="KOZY-BREEZE-FOAM-BLOCK-75X30X04" u="1"/>
        <s v="FURNO-FOAM-BLOCK-75X48X05" u="1"/>
        <s v="KOZY-BREEZE-FOAM-BLOCK-72X36X04" u="1"/>
        <s v="KOZY-BREEZE-FOAM-BLOCK-75X60X05" u="1"/>
        <s v="CAPRINA-FOAM-BLOCK-75X36X06" u="1"/>
        <s v="90D-HYP-INS-ET-BLOCK-75X48X05" u="1"/>
        <s v="90D-HYP-INS-ET-BLOCK-84X72X06" u="1"/>
        <s v="VISTA-BOND-FOAM-BLOCK-72X30X04" u="1"/>
        <s v="VISTA-BOND-FOAM-BLOCK-78X36X05" u="1"/>
        <s v="VISTA-FOAM-FOAM-BLOCK-72X30X04" u="1"/>
        <s v="VISTA-SOFT-FOAM-BLOCK-72X30X04" u="1"/>
        <s v="FURNO-FOAM-BLOCK-72X36X04" u="1"/>
        <s v="90D-HYP-INS-ET-BLOCK-72X60X06" u="1"/>
        <s v="90D-HYP-INSPREE-BLOCK-84X60X05" u="1"/>
        <s v="90D-HYP-INSPREE-BLOCK-84X72X08" u="1"/>
        <s v="VISTA-BOND-FOAM-BLOCK-75X48X04" u="1"/>
        <s v="VISTA-BOND-FOAM-BLOCK-78X72X05" u="1"/>
        <s v="MEM-ULTRA-FOAM-BLOCK-72X48X06" u="1"/>
        <s v="90D-HYP-INSPREE-BLOCK-72X42X06" u="1"/>
        <s v="CAPRINA-GEL-FOAM-BLOCK-78X72X05" u="1"/>
        <s v="KOZY-BREEZE-FOAM-BLOCK-78X48X05" u="1"/>
        <s v="90D-HYP-INS-ET-BLOCK-72X42X06" u="1"/>
        <s v="90D-HYP-INS-ET-BLOCK-75X72X08" u="1"/>
        <s v="90D-HYP-INSPREE-BLOCK-78X72X04" u="1"/>
        <s v="SPINE-SAFE-FOAM-BLOCK-78X72X08" u="1"/>
        <s v="VISTA-BOND-FOAM-BLOCK-72X36X06" u="1"/>
        <s v="KOZY-BREEZE-FOAM-BLOCK-72X72X05" u="1"/>
        <s v="KOZY-BREEZE-FOAM-BLOCK-75X33X04" u="1"/>
        <s v="90D-HYP-INSPREE-BLOCK-78X69X08" u="1"/>
        <s v="VISTA-BOND-FOAM-BLOCK-72X72X06" u="1"/>
        <s v="VISTA-BOND-FOAM-BLOCK-75X33X05" u="1"/>
        <s v="VISTA-BOND-FOAM-BLOCK-78X66X04" u="1"/>
        <s v="CAPRINA-GEL-FOAM-BLOCK-75X36X06" u="1"/>
        <s v="KOZY-BREEZE-FOAM-BLOCK-72X30X06" u="1"/>
        <s v="90D-HYP-INS-ET-BLOCK-75X57X06" u="1"/>
        <s v="MEM-ULTRA-FOAM-BLOCK-78X60X06" u="1"/>
        <s v="90D-HYP-INSPREE-BLOCK-72X36X05" u="1"/>
        <s v="90D-HYP-INSPREE-BLOCK-72X48X08" u="1"/>
        <s v="90D-HYP-INSPREE-BLOCK-75X60X06" u="1"/>
        <s v="MEMORIO-FOAM-BLOCK-78X36X06" u="1"/>
        <s v="90D-HYP-INS-ET-BLOCK-75X48X06" u="1"/>
        <s v="90D-HYP-INSPREE-BLOCK-72X72X05" u="1"/>
        <s v="90D-HYP-INSPREE-BLOCK-78X42X06" u="1"/>
        <s v="KOZY-BREEZE-FOAM-BLOCK-78X30X04" u="1"/>
        <s v="MEMORIO-FOAM-BLOCK-75X48X06" u="1"/>
        <s v="HEAVEN-MEM-FOAM-BLOCK-75X60X05" u="1"/>
        <s v="VISTA-BOND-FOAM-BLOCK-72X30X05" u="1"/>
        <s v="VISTA-SOFT-FOAM-BLOCK-72X30X05" u="1"/>
        <s v="KOZY-BREEZE-FOAM-BLOCK-75X36X04" u="1"/>
        <s v="KOZY-BREEZE-FOAM-BLOCK-78X60X05" u="1"/>
        <s v="90D-HYP-INS-ET-BLOCK-72X45X05" u="1"/>
        <s v="VISTA-BOND-FOAM-BLOCK-75X48X05" u="1"/>
        <s v="VISTA-BOND-FOAM-BLOCK-78X72X06" u="1"/>
        <s v="VISTA-SOFT-FOAM-BLOCK-78X72X06" u="1"/>
        <s v="VISTA-FOAM-BLOCK-78X60X06" u="1"/>
        <s v="90D-HYP-INS-ET-BLOCK-72X36X05" u="1"/>
        <s v="90D-HYP-INSPREE-BLOCK-78X36X05" u="1"/>
        <s v="VISTA-BOND-FOAM-BLOCK-78X45X04" u="1"/>
        <s v="MEMORIO-FOAM-BLOCK-75X60X06" u="1"/>
        <s v="90D-HYP-INSPREE-BLOCK-75X48X04" u="1"/>
        <s v="90D-HYP-INSPREE-BLOCK-78X72X05" u="1"/>
        <s v="90D-HYP-INSPREE-BLOCK-80X63X06" u="1"/>
        <s v="SPINE-SAFE-FOAM-BLOCK-75X36X05" u="1"/>
        <s v="SPINE-SAFE-FOAM-BLOCK-78X60X06" u="1"/>
        <s v="VISTA-BOND-FOAM-BLOCK-75X69X06" u="1"/>
        <s v="90D-HYP-INS-ET-BLOCK-72X72X06" u="1"/>
        <s v="SPINE-SAFE-FOAM-BLOCK-75X72X05" u="1"/>
        <s v="VISTA-BOND-FOAM-BLOCK-72X60X04" u="1"/>
        <s v="VISTA-BOND-FOAM-BLOCK-78X66X05" u="1"/>
        <s v="KOZY-BREEZE-FOAM-BLOCK-72X48X04" u="1"/>
        <s v="KOZY-BREEZE-FOAM-BLOCK-75X72X05" u="1"/>
        <s v="90D-HYP-INS-ET-BLOCK-72X60X08" u="1"/>
        <s v="90D-HYP-INSPREE-BLOCK-72X36X06" u="1"/>
        <s v="VISTA-BOND-FOAM-BLOCK-72X45X05" u="1"/>
        <s v="VISTA-BOND-FOAM-BLOCK-78X30X05" u="1"/>
        <s v="VISTA-FOAM-FOAM-BLOCK-72X45X05" u="1"/>
        <s v="KOZY-BREEZE-FOAM-BLOCK-78X63X05" u="1"/>
        <s v="CAPRINA-FOAM-BLOCK-78X60X06" u="1"/>
        <s v="90D-HYP-INSPREE-BLOCK-72X72X06" u="1"/>
        <s v="VISTA-BOND-FOAM-BLOCK-75X42X04" u="1"/>
        <s v="KOZY-BREEZE-FOAM-BLOCK-72X54X04" u="1"/>
        <s v="32D-HR-FOAM-75X72X135MM" u="1"/>
        <s v="CAPRINA-FOAM-BLOCK-75X72X06" u="1"/>
        <s v="90D-HYP-INS-ET-BLOCK-72X36X06" u="1"/>
        <s v="90D-HYP-INS-ET-BLOCK-75X69X06" u="1"/>
        <s v="MEM-ULTRA-FOAM-BLOCK-78X72X06" u="1"/>
        <s v="VISTA-BOND-FOAM-BLOCK-72X30X06" u="1"/>
        <s v="VISTA-BOND-FOAM-BLOCK-72X39X04" u="1"/>
        <s v="VISTA-SOFT-FOAM-BLOCK-72X30X06" u="1"/>
        <s v="KOZY-BREEZE-FOAM-BLOCK-75X45X04" u="1"/>
        <s v="KOZY-BREEZE-FOAM-BLOCK-80X60X06" u="1"/>
        <s v="90D-HYP-INS-ET-BLOCK-75X57X08" u="1"/>
        <s v="90D-HYP-INS-ET-BLOCK-80X60X06" u="1"/>
        <s v="90D-HYP-INSPREE-BLOCK-78X63X08" u="1"/>
        <s v="VISTA-BOND-FOAM-BLOCK-75X48X06" u="1"/>
        <s v="VISTA-BOND-FOAM-BLOCK-78X60X04" u="1"/>
        <s v="VISTA-SOFT-FOAM-BLOCK-75X48X06" u="1"/>
        <s v="CAPRINA-GEL-FOAM-BLOCK-75X48X06" u="1"/>
        <s v="90D-HYP-INS-ET-BLOCK-75X48X08" u="1"/>
        <s v="90D-HYP-INSPREE-BLOCK-72X30X05" u="1"/>
        <s v="KOZY-BREEZE-FOAM-BLOCK-72X60X04" u="1"/>
      </sharedItems>
    </cacheField>
    <cacheField name="FOAM WEIGHT" numFmtId="0">
      <sharedItems containsBlank="1" containsMixedTypes="1" containsNumber="1" minValue="6.633" maxValue="6.633"/>
    </cacheField>
    <cacheField name="QTY" numFmtId="0">
      <sharedItems containsString="0" containsBlank="1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17">
  <r>
    <x v="0"/>
    <n v="1"/>
  </r>
  <r>
    <x v="1"/>
    <n v="1"/>
  </r>
  <r>
    <x v="2"/>
    <n v="2"/>
  </r>
  <r>
    <x v="3"/>
    <n v="1"/>
  </r>
  <r>
    <x v="4"/>
    <n v="1"/>
  </r>
  <r>
    <x v="5"/>
    <n v="1"/>
  </r>
  <r>
    <x v="6"/>
    <n v="1"/>
  </r>
  <r>
    <x v="7"/>
    <n v="1"/>
  </r>
  <r>
    <x v="8"/>
    <n v="2"/>
  </r>
  <r>
    <x v="6"/>
    <n v="1"/>
  </r>
  <r>
    <x v="9"/>
    <n v="1"/>
  </r>
  <r>
    <x v="10"/>
    <n v="2"/>
  </r>
  <r>
    <x v="11"/>
    <n v="2"/>
  </r>
  <r>
    <x v="11"/>
    <n v="1"/>
  </r>
  <r>
    <x v="12"/>
    <n v="1"/>
  </r>
  <r>
    <x v="13"/>
    <n v="1"/>
  </r>
  <r>
    <x v="14"/>
    <n v="1"/>
  </r>
  <r>
    <x v="15"/>
    <n v="4"/>
  </r>
  <r>
    <x v="16"/>
    <n v="2"/>
  </r>
  <r>
    <x v="17"/>
    <n v="2"/>
  </r>
  <r>
    <x v="18"/>
    <n v="3"/>
  </r>
  <r>
    <x v="19"/>
    <n v="1"/>
  </r>
  <r>
    <x v="20"/>
    <n v="4"/>
  </r>
  <r>
    <x v="21"/>
    <n v="15"/>
  </r>
  <r>
    <x v="21"/>
    <n v="10"/>
  </r>
  <r>
    <x v="22"/>
    <n v="2"/>
  </r>
  <r>
    <x v="22"/>
    <n v="10"/>
  </r>
  <r>
    <x v="23"/>
    <n v="4"/>
  </r>
  <r>
    <x v="24"/>
    <n v="10"/>
  </r>
  <r>
    <x v="25"/>
    <n v="2"/>
  </r>
  <r>
    <x v="25"/>
    <n v="10"/>
  </r>
  <r>
    <x v="26"/>
    <n v="1"/>
  </r>
  <r>
    <x v="27"/>
    <n v="6"/>
  </r>
  <r>
    <x v="28"/>
    <n v="1"/>
  </r>
  <r>
    <x v="29"/>
    <n v="1"/>
  </r>
  <r>
    <x v="30"/>
    <n v="2"/>
  </r>
  <r>
    <x v="31"/>
    <n v="1"/>
  </r>
  <r>
    <x v="3"/>
    <n v="1"/>
  </r>
  <r>
    <x v="32"/>
    <n v="1"/>
  </r>
  <r>
    <x v="33"/>
    <n v="2"/>
  </r>
  <r>
    <x v="34"/>
    <n v="1"/>
  </r>
  <r>
    <x v="34"/>
    <n v="1"/>
  </r>
  <r>
    <x v="35"/>
    <n v="1"/>
  </r>
  <r>
    <x v="28"/>
    <n v="1"/>
  </r>
  <r>
    <x v="3"/>
    <n v="1"/>
  </r>
  <r>
    <x v="36"/>
    <n v="2"/>
  </r>
  <r>
    <x v="37"/>
    <n v="1"/>
  </r>
  <r>
    <x v="38"/>
    <n v="2"/>
  </r>
  <r>
    <x v="32"/>
    <n v="1"/>
  </r>
  <r>
    <x v="32"/>
    <n v="1"/>
  </r>
  <r>
    <x v="6"/>
    <n v="1"/>
  </r>
  <r>
    <x v="39"/>
    <n v="1"/>
  </r>
  <r>
    <x v="40"/>
    <n v="1"/>
  </r>
  <r>
    <x v="28"/>
    <n v="2"/>
  </r>
  <r>
    <x v="41"/>
    <n v="1"/>
  </r>
  <r>
    <x v="42"/>
    <n v="1"/>
  </r>
  <r>
    <x v="43"/>
    <n v="1"/>
  </r>
  <r>
    <x v="7"/>
    <n v="2"/>
  </r>
  <r>
    <x v="44"/>
    <n v="1"/>
  </r>
  <r>
    <x v="32"/>
    <n v="1"/>
  </r>
  <r>
    <x v="40"/>
    <n v="2"/>
  </r>
  <r>
    <x v="45"/>
    <n v="1"/>
  </r>
  <r>
    <x v="3"/>
    <n v="3"/>
  </r>
  <r>
    <x v="46"/>
    <n v="5"/>
  </r>
  <r>
    <x v="47"/>
    <n v="6"/>
  </r>
  <r>
    <x v="48"/>
    <n v="1"/>
  </r>
  <r>
    <x v="49"/>
    <n v="2"/>
  </r>
  <r>
    <x v="50"/>
    <n v="2"/>
  </r>
  <r>
    <x v="51"/>
    <n v="1"/>
  </r>
  <r>
    <x v="52"/>
    <n v="1"/>
  </r>
  <r>
    <x v="47"/>
    <n v="5"/>
  </r>
  <r>
    <x v="47"/>
    <n v="6"/>
  </r>
  <r>
    <x v="48"/>
    <n v="2"/>
  </r>
  <r>
    <x v="49"/>
    <n v="1"/>
  </r>
  <r>
    <x v="50"/>
    <n v="1"/>
  </r>
  <r>
    <x v="51"/>
    <n v="1"/>
  </r>
  <r>
    <x v="53"/>
    <n v="1"/>
  </r>
  <r>
    <x v="54"/>
    <n v="1"/>
  </r>
  <r>
    <x v="55"/>
    <n v="1"/>
  </r>
  <r>
    <x v="56"/>
    <n v="1"/>
  </r>
  <r>
    <x v="57"/>
    <n v="1"/>
  </r>
  <r>
    <x v="58"/>
    <n v="2"/>
  </r>
  <r>
    <x v="59"/>
    <n v="1"/>
  </r>
  <r>
    <x v="60"/>
    <n v="5"/>
  </r>
  <r>
    <x v="61"/>
    <n v="2"/>
  </r>
  <r>
    <x v="62"/>
    <n v="2"/>
  </r>
  <r>
    <x v="63"/>
    <n v="1"/>
  </r>
  <r>
    <x v="64"/>
    <n v="1"/>
  </r>
  <r>
    <x v="17"/>
    <n v="2"/>
  </r>
  <r>
    <x v="65"/>
    <n v="2"/>
  </r>
  <r>
    <x v="18"/>
    <n v="2"/>
  </r>
  <r>
    <x v="66"/>
    <n v="8"/>
  </r>
  <r>
    <x v="67"/>
    <n v="2"/>
  </r>
  <r>
    <x v="20"/>
    <n v="4"/>
  </r>
  <r>
    <x v="21"/>
    <n v="3"/>
  </r>
  <r>
    <x v="68"/>
    <n v="3"/>
  </r>
  <r>
    <x v="69"/>
    <n v="2"/>
  </r>
  <r>
    <x v="34"/>
    <n v="3"/>
  </r>
  <r>
    <x v="70"/>
    <n v="1"/>
  </r>
  <r>
    <x v="71"/>
    <n v="1"/>
  </r>
  <r>
    <x v="72"/>
    <n v="1"/>
  </r>
  <r>
    <x v="73"/>
    <n v="1"/>
  </r>
  <r>
    <x v="36"/>
    <n v="1"/>
  </r>
  <r>
    <x v="36"/>
    <n v="1"/>
  </r>
  <r>
    <x v="74"/>
    <n v="1"/>
  </r>
  <r>
    <x v="48"/>
    <n v="2"/>
  </r>
  <r>
    <x v="75"/>
    <n v="1"/>
  </r>
  <r>
    <x v="75"/>
    <n v="2"/>
  </r>
  <r>
    <x v="61"/>
    <n v="1"/>
  </r>
  <r>
    <x v="62"/>
    <n v="1"/>
  </r>
  <r>
    <x v="76"/>
    <n v="5"/>
  </r>
  <r>
    <x v="16"/>
    <n v="7"/>
  </r>
  <r>
    <x v="18"/>
    <n v="4"/>
  </r>
  <r>
    <x v="66"/>
    <n v="4"/>
  </r>
  <r>
    <x v="21"/>
    <n v="6"/>
  </r>
  <r>
    <x v="68"/>
    <n v="5"/>
  </r>
  <r>
    <x v="27"/>
    <n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3494">
  <r>
    <x v="0"/>
    <n v="1"/>
  </r>
  <r>
    <x v="1"/>
    <n v="1"/>
  </r>
  <r>
    <x v="2"/>
    <n v="1"/>
  </r>
  <r>
    <x v="3"/>
    <n v="1"/>
  </r>
  <r>
    <x v="4"/>
    <n v="2"/>
  </r>
  <r>
    <x v="5"/>
    <n v="1"/>
  </r>
  <r>
    <x v="5"/>
    <n v="3"/>
  </r>
  <r>
    <x v="6"/>
    <n v="1"/>
  </r>
  <r>
    <x v="6"/>
    <n v="1"/>
  </r>
  <r>
    <x v="7"/>
    <n v="2"/>
  </r>
  <r>
    <x v="8"/>
    <n v="1"/>
  </r>
  <r>
    <x v="9"/>
    <n v="2"/>
  </r>
  <r>
    <x v="10"/>
    <n v="1"/>
  </r>
  <r>
    <x v="10"/>
    <n v="1"/>
  </r>
  <r>
    <x v="11"/>
    <n v="1"/>
  </r>
  <r>
    <x v="12"/>
    <n v="1"/>
  </r>
  <r>
    <x v="11"/>
    <n v="2"/>
  </r>
  <r>
    <x v="13"/>
    <n v="1"/>
  </r>
  <r>
    <x v="6"/>
    <n v="2"/>
  </r>
  <r>
    <x v="14"/>
    <n v="1"/>
  </r>
  <r>
    <x v="9"/>
    <n v="1"/>
  </r>
  <r>
    <x v="15"/>
    <n v="2"/>
  </r>
  <r>
    <x v="16"/>
    <n v="14"/>
  </r>
  <r>
    <x v="17"/>
    <n v="4"/>
  </r>
  <r>
    <x v="18"/>
    <n v="10"/>
  </r>
  <r>
    <x v="15"/>
    <n v="20"/>
  </r>
  <r>
    <x v="19"/>
    <n v="20"/>
  </r>
  <r>
    <x v="20"/>
    <n v="30"/>
  </r>
  <r>
    <x v="21"/>
    <n v="20"/>
  </r>
  <r>
    <x v="22"/>
    <n v="5"/>
  </r>
  <r>
    <x v="23"/>
    <n v="10"/>
  </r>
  <r>
    <x v="24"/>
    <n v="10"/>
  </r>
  <r>
    <x v="25"/>
    <n v="20"/>
  </r>
  <r>
    <x v="26"/>
    <n v="1"/>
  </r>
  <r>
    <x v="27"/>
    <n v="3"/>
  </r>
  <r>
    <x v="21"/>
    <n v="5"/>
  </r>
  <r>
    <x v="28"/>
    <n v="4"/>
  </r>
  <r>
    <x v="29"/>
    <n v="8"/>
  </r>
  <r>
    <x v="30"/>
    <n v="2"/>
  </r>
  <r>
    <x v="31"/>
    <n v="4"/>
  </r>
  <r>
    <x v="31"/>
    <n v="2"/>
  </r>
  <r>
    <x v="32"/>
    <n v="2"/>
  </r>
  <r>
    <x v="32"/>
    <n v="1"/>
  </r>
  <r>
    <x v="33"/>
    <n v="1"/>
  </r>
  <r>
    <x v="33"/>
    <n v="1"/>
  </r>
  <r>
    <x v="34"/>
    <n v="1"/>
  </r>
  <r>
    <x v="34"/>
    <n v="2"/>
  </r>
  <r>
    <x v="35"/>
    <n v="2"/>
  </r>
  <r>
    <x v="29"/>
    <n v="2"/>
  </r>
  <r>
    <x v="30"/>
    <n v="1"/>
  </r>
  <r>
    <x v="36"/>
    <n v="2"/>
  </r>
  <r>
    <x v="36"/>
    <n v="2"/>
  </r>
  <r>
    <x v="37"/>
    <n v="1"/>
  </r>
  <r>
    <x v="38"/>
    <n v="3"/>
  </r>
  <r>
    <x v="32"/>
    <n v="1"/>
  </r>
  <r>
    <x v="38"/>
    <n v="1"/>
  </r>
  <r>
    <x v="39"/>
    <n v="3"/>
  </r>
  <r>
    <x v="40"/>
    <n v="2"/>
  </r>
  <r>
    <x v="13"/>
    <n v="1"/>
  </r>
  <r>
    <x v="9"/>
    <n v="1"/>
  </r>
  <r>
    <x v="12"/>
    <n v="1"/>
  </r>
  <r>
    <x v="41"/>
    <n v="2"/>
  </r>
  <r>
    <x v="6"/>
    <n v="1"/>
  </r>
  <r>
    <x v="11"/>
    <n v="2"/>
  </r>
  <r>
    <x v="42"/>
    <n v="1"/>
  </r>
  <r>
    <x v="43"/>
    <n v="1"/>
  </r>
  <r>
    <x v="44"/>
    <n v="1"/>
  </r>
  <r>
    <x v="45"/>
    <n v="1"/>
  </r>
  <r>
    <x v="46"/>
    <n v="1"/>
  </r>
  <r>
    <x v="47"/>
    <n v="1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n v="0"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8"/>
    <m/>
  </r>
  <r>
    <x v="49"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01">
  <r>
    <x v="0"/>
    <s v=""/>
    <n v="1"/>
  </r>
  <r>
    <x v="0"/>
    <s v=""/>
    <n v="1"/>
  </r>
  <r>
    <x v="0"/>
    <s v=""/>
    <n v="0"/>
  </r>
  <r>
    <x v="0"/>
    <s v=""/>
    <n v="0"/>
  </r>
  <r>
    <x v="0"/>
    <s v=""/>
    <n v="0"/>
  </r>
  <r>
    <x v="0"/>
    <s v=""/>
    <n v="0"/>
  </r>
  <r>
    <x v="0"/>
    <s v=""/>
    <n v="0"/>
  </r>
  <r>
    <x v="0"/>
    <s v=""/>
    <n v="0"/>
  </r>
  <r>
    <x v="0"/>
    <s v=""/>
    <n v="0"/>
  </r>
  <r>
    <x v="0"/>
    <s v=""/>
    <n v="0"/>
  </r>
  <r>
    <x v="0"/>
    <s v=""/>
    <n v="0"/>
  </r>
  <r>
    <x v="0"/>
    <s v=""/>
    <n v="0"/>
  </r>
  <r>
    <x v="0"/>
    <s v=""/>
    <n v="0"/>
  </r>
  <r>
    <x v="0"/>
    <s v=""/>
    <n v="0"/>
  </r>
  <r>
    <x v="0"/>
    <s v=""/>
    <n v="0"/>
  </r>
  <r>
    <x v="0"/>
    <s v=""/>
    <n v="0"/>
  </r>
  <r>
    <x v="0"/>
    <s v=""/>
    <n v="0"/>
  </r>
  <r>
    <x v="0"/>
    <s v=""/>
    <n v="0"/>
  </r>
  <r>
    <x v="0"/>
    <s v=""/>
    <n v="0"/>
  </r>
  <r>
    <x v="0"/>
    <s v=""/>
    <n v="0"/>
  </r>
  <r>
    <x v="0"/>
    <s v=""/>
    <n v="0"/>
  </r>
  <r>
    <x v="1"/>
    <n v="6.633"/>
    <n v="0"/>
  </r>
  <r>
    <x v="0"/>
    <s v=""/>
    <n v="0"/>
  </r>
  <r>
    <x v="0"/>
    <s v=""/>
    <n v="0"/>
  </r>
  <r>
    <x v="0"/>
    <s v=""/>
    <n v="0"/>
  </r>
  <r>
    <x v="0"/>
    <s v=""/>
    <n v="0"/>
  </r>
  <r>
    <x v="0"/>
    <s v=""/>
    <n v="0"/>
  </r>
  <r>
    <x v="0"/>
    <s v=""/>
    <n v="0"/>
  </r>
  <r>
    <x v="0"/>
    <s v=""/>
    <n v="0"/>
  </r>
  <r>
    <x v="0"/>
    <s v=""/>
    <n v="0"/>
  </r>
  <r>
    <x v="0"/>
    <s v=""/>
    <n v="0"/>
  </r>
  <r>
    <x v="0"/>
    <s v=""/>
    <n v="0"/>
  </r>
  <r>
    <x v="0"/>
    <s v=""/>
    <n v="0"/>
  </r>
  <r>
    <x v="0"/>
    <s v=""/>
    <n v="0"/>
  </r>
  <r>
    <x v="0"/>
    <s v=""/>
    <n v="0"/>
  </r>
  <r>
    <x v="0"/>
    <s v=""/>
    <n v="0"/>
  </r>
  <r>
    <x v="0"/>
    <s v=""/>
    <n v="0"/>
  </r>
  <r>
    <x v="0"/>
    <s v=""/>
    <n v="0"/>
  </r>
  <r>
    <x v="0"/>
    <s v=""/>
    <n v="0"/>
  </r>
  <r>
    <x v="0"/>
    <s v=""/>
    <n v="0"/>
  </r>
  <r>
    <x v="0"/>
    <s v=""/>
    <n v="0"/>
  </r>
  <r>
    <x v="0"/>
    <s v=""/>
    <n v="0"/>
  </r>
  <r>
    <x v="0"/>
    <s v=""/>
    <n v="0"/>
  </r>
  <r>
    <x v="0"/>
    <s v=""/>
    <n v="0"/>
  </r>
  <r>
    <x v="0"/>
    <s v=""/>
    <n v="0"/>
  </r>
  <r>
    <x v="0"/>
    <s v=""/>
    <n v="0"/>
  </r>
  <r>
    <x v="0"/>
    <s v=""/>
    <n v="0"/>
  </r>
  <r>
    <x v="0"/>
    <s v=""/>
    <n v="0"/>
  </r>
  <r>
    <x v="0"/>
    <s v=""/>
    <n v="0"/>
  </r>
  <r>
    <x v="0"/>
    <s v=""/>
    <n v="0"/>
  </r>
  <r>
    <x v="0"/>
    <s v=""/>
    <n v="0"/>
  </r>
  <r>
    <x v="0"/>
    <s v=""/>
    <n v="0"/>
  </r>
  <r>
    <x v="0"/>
    <s v=""/>
    <n v="0"/>
  </r>
  <r>
    <x v="0"/>
    <s v=""/>
    <n v="0"/>
  </r>
  <r>
    <x v="0"/>
    <s v=""/>
    <n v="0"/>
  </r>
  <r>
    <x v="0"/>
    <s v=""/>
    <n v="0"/>
  </r>
  <r>
    <x v="0"/>
    <s v=""/>
    <n v="0"/>
  </r>
  <r>
    <x v="0"/>
    <s v=""/>
    <n v="0"/>
  </r>
  <r>
    <x v="0"/>
    <s v=""/>
    <n v="0"/>
  </r>
  <r>
    <x v="0"/>
    <s v=""/>
    <n v="0"/>
  </r>
  <r>
    <x v="0"/>
    <s v=""/>
    <n v="0"/>
  </r>
  <r>
    <x v="0"/>
    <s v=""/>
    <n v="0"/>
  </r>
  <r>
    <x v="0"/>
    <s v=""/>
    <n v="0"/>
  </r>
  <r>
    <x v="0"/>
    <s v=""/>
    <n v="0"/>
  </r>
  <r>
    <x v="0"/>
    <s v=""/>
    <n v="0"/>
  </r>
  <r>
    <x v="0"/>
    <s v=""/>
    <n v="0"/>
  </r>
  <r>
    <x v="0"/>
    <s v=""/>
    <n v="0"/>
  </r>
  <r>
    <x v="0"/>
    <s v=""/>
    <n v="0"/>
  </r>
  <r>
    <x v="0"/>
    <s v=""/>
    <n v="0"/>
  </r>
  <r>
    <x v="0"/>
    <s v=""/>
    <n v="0"/>
  </r>
  <r>
    <x v="0"/>
    <s v=""/>
    <n v="0"/>
  </r>
  <r>
    <x v="0"/>
    <s v=""/>
    <n v="0"/>
  </r>
  <r>
    <x v="0"/>
    <s v=""/>
    <n v="0"/>
  </r>
  <r>
    <x v="0"/>
    <s v=""/>
    <n v="0"/>
  </r>
  <r>
    <x v="0"/>
    <s v=""/>
    <n v="0"/>
  </r>
  <r>
    <x v="0"/>
    <s v=""/>
    <n v="0"/>
  </r>
  <r>
    <x v="0"/>
    <s v=""/>
    <n v="0"/>
  </r>
  <r>
    <x v="0"/>
    <s v=""/>
    <n v="0"/>
  </r>
  <r>
    <x v="0"/>
    <s v=""/>
    <n v="0"/>
  </r>
  <r>
    <x v="0"/>
    <s v=""/>
    <n v="0"/>
  </r>
  <r>
    <x v="0"/>
    <s v=""/>
    <n v="0"/>
  </r>
  <r>
    <x v="0"/>
    <s v=""/>
    <n v="0"/>
  </r>
  <r>
    <x v="0"/>
    <s v=""/>
    <n v="0"/>
  </r>
  <r>
    <x v="0"/>
    <s v=""/>
    <n v="0"/>
  </r>
  <r>
    <x v="0"/>
    <s v=""/>
    <n v="0"/>
  </r>
  <r>
    <x v="0"/>
    <s v=""/>
    <n v="0"/>
  </r>
  <r>
    <x v="0"/>
    <s v=""/>
    <n v="0"/>
  </r>
  <r>
    <x v="0"/>
    <s v=""/>
    <n v="0"/>
  </r>
  <r>
    <x v="0"/>
    <s v=""/>
    <n v="0"/>
  </r>
  <r>
    <x v="0"/>
    <s v=""/>
    <n v="0"/>
  </r>
  <r>
    <x v="0"/>
    <s v=""/>
    <n v="0"/>
  </r>
  <r>
    <x v="0"/>
    <s v=""/>
    <n v="0"/>
  </r>
  <r>
    <x v="0"/>
    <s v=""/>
    <n v="0"/>
  </r>
  <r>
    <x v="0"/>
    <s v=""/>
    <n v="0"/>
  </r>
  <r>
    <x v="0"/>
    <s v=""/>
    <n v="0"/>
  </r>
  <r>
    <x v="0"/>
    <s v=""/>
    <n v="0"/>
  </r>
  <r>
    <x v="0"/>
    <s v=""/>
    <n v="0"/>
  </r>
  <r>
    <x v="0"/>
    <s v=""/>
    <n v="0"/>
  </r>
  <r>
    <x v="0"/>
    <s v=""/>
    <n v="0"/>
  </r>
  <r>
    <x v="0"/>
    <s v=""/>
    <n v="0"/>
  </r>
  <r>
    <x v="2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PivotTable1" cacheId="97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B54" firstHeaderRow="1" firstDataRow="1" firstDataCol="1"/>
  <pivotFields count="2">
    <pivotField axis="axisRow" showAll="0">
      <items count="142">
        <item x="8"/>
        <item x="40"/>
        <item m="1" x="140"/>
        <item x="12"/>
        <item m="1" x="114"/>
        <item m="1" x="118"/>
        <item x="10"/>
        <item m="1" x="123"/>
        <item m="1" x="94"/>
        <item m="1" x="97"/>
        <item m="1" x="102"/>
        <item m="1" x="113"/>
        <item x="11"/>
        <item x="13"/>
        <item m="1" x="93"/>
        <item m="1" x="95"/>
        <item m="1" x="100"/>
        <item m="1" x="70"/>
        <item m="1" x="129"/>
        <item m="1" x="68"/>
        <item x="5"/>
        <item m="1" x="74"/>
        <item m="1" x="126"/>
        <item x="9"/>
        <item x="41"/>
        <item m="1" x="64"/>
        <item x="28"/>
        <item x="29"/>
        <item m="1" x="75"/>
        <item x="31"/>
        <item m="1" x="99"/>
        <item m="1" x="52"/>
        <item m="1" x="101"/>
        <item m="1" x="125"/>
        <item m="1" x="67"/>
        <item x="33"/>
        <item m="1" x="66"/>
        <item m="1" x="127"/>
        <item m="1" x="55"/>
        <item m="1" x="119"/>
        <item m="1" x="87"/>
        <item x="25"/>
        <item x="20"/>
        <item x="18"/>
        <item m="1" x="98"/>
        <item x="15"/>
        <item x="17"/>
        <item m="1" x="65"/>
        <item x="23"/>
        <item m="1" x="130"/>
        <item m="1" x="134"/>
        <item x="21"/>
        <item m="1" x="112"/>
        <item x="27"/>
        <item x="19"/>
        <item x="16"/>
        <item x="24"/>
        <item m="1" x="135"/>
        <item m="1" x="107"/>
        <item m="1" x="108"/>
        <item m="1" x="111"/>
        <item m="1" x="82"/>
        <item m="1" x="86"/>
        <item m="1" x="51"/>
        <item x="48"/>
        <item x="49"/>
        <item m="1" x="85"/>
        <item m="1" x="124"/>
        <item m="1" x="88"/>
        <item x="22"/>
        <item m="1" x="137"/>
        <item m="1" x="80"/>
        <item m="1" x="96"/>
        <item m="1" x="121"/>
        <item m="1" x="71"/>
        <item x="39"/>
        <item x="32"/>
        <item x="30"/>
        <item m="1" x="128"/>
        <item m="1" x="110"/>
        <item m="1" x="104"/>
        <item m="1" x="79"/>
        <item x="1"/>
        <item m="1" x="81"/>
        <item m="1" x="109"/>
        <item x="34"/>
        <item x="3"/>
        <item m="1" x="115"/>
        <item x="7"/>
        <item m="1" x="73"/>
        <item m="1" x="139"/>
        <item m="1" x="59"/>
        <item m="1" x="62"/>
        <item m="1" x="133"/>
        <item m="1" x="103"/>
        <item m="1" x="138"/>
        <item m="1" x="53"/>
        <item m="1" x="61"/>
        <item m="1" x="72"/>
        <item m="1" x="50"/>
        <item m="1" x="58"/>
        <item m="1" x="91"/>
        <item m="1" x="83"/>
        <item m="1" x="77"/>
        <item x="6"/>
        <item x="35"/>
        <item m="1" x="90"/>
        <item m="1" x="54"/>
        <item m="1" x="78"/>
        <item m="1" x="56"/>
        <item m="1" x="89"/>
        <item m="1" x="105"/>
        <item m="1" x="120"/>
        <item m="1" x="76"/>
        <item m="1" x="63"/>
        <item m="1" x="117"/>
        <item x="4"/>
        <item m="1" x="60"/>
        <item m="1" x="92"/>
        <item m="1" x="106"/>
        <item m="1" x="57"/>
        <item m="1" x="132"/>
        <item x="37"/>
        <item m="1" x="136"/>
        <item m="1" x="131"/>
        <item x="42"/>
        <item m="1" x="122"/>
        <item m="1" x="116"/>
        <item m="1" x="69"/>
        <item m="1" x="84"/>
        <item x="0"/>
        <item x="2"/>
        <item x="14"/>
        <item x="26"/>
        <item x="36"/>
        <item x="38"/>
        <item x="43"/>
        <item x="44"/>
        <item x="45"/>
        <item x="46"/>
        <item x="47"/>
        <item t="default"/>
      </items>
    </pivotField>
    <pivotField dataField="1" showAll="0"/>
  </pivotFields>
  <rowFields count="1">
    <field x="0"/>
  </rowFields>
  <rowItems count="51">
    <i>
      <x/>
    </i>
    <i>
      <x v="1"/>
    </i>
    <i>
      <x v="3"/>
    </i>
    <i>
      <x v="6"/>
    </i>
    <i>
      <x v="12"/>
    </i>
    <i>
      <x v="13"/>
    </i>
    <i>
      <x v="20"/>
    </i>
    <i>
      <x v="23"/>
    </i>
    <i>
      <x v="24"/>
    </i>
    <i>
      <x v="26"/>
    </i>
    <i>
      <x v="27"/>
    </i>
    <i>
      <x v="29"/>
    </i>
    <i>
      <x v="35"/>
    </i>
    <i>
      <x v="41"/>
    </i>
    <i>
      <x v="42"/>
    </i>
    <i>
      <x v="43"/>
    </i>
    <i>
      <x v="45"/>
    </i>
    <i>
      <x v="46"/>
    </i>
    <i>
      <x v="48"/>
    </i>
    <i>
      <x v="51"/>
    </i>
    <i>
      <x v="53"/>
    </i>
    <i>
      <x v="54"/>
    </i>
    <i>
      <x v="55"/>
    </i>
    <i>
      <x v="56"/>
    </i>
    <i>
      <x v="64"/>
    </i>
    <i>
      <x v="65"/>
    </i>
    <i>
      <x v="69"/>
    </i>
    <i>
      <x v="75"/>
    </i>
    <i>
      <x v="76"/>
    </i>
    <i>
      <x v="77"/>
    </i>
    <i>
      <x v="82"/>
    </i>
    <i>
      <x v="85"/>
    </i>
    <i>
      <x v="86"/>
    </i>
    <i>
      <x v="88"/>
    </i>
    <i>
      <x v="104"/>
    </i>
    <i>
      <x v="105"/>
    </i>
    <i>
      <x v="116"/>
    </i>
    <i>
      <x v="122"/>
    </i>
    <i>
      <x v="125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 t="grand">
      <x/>
    </i>
  </rowItems>
  <colItems count="1">
    <i/>
  </colItems>
  <dataFields count="1">
    <dataField name="Sum of QTY" fld="1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4" cacheId="96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B81" firstHeaderRow="1" firstDataRow="1" firstDataCol="1"/>
  <pivotFields count="2">
    <pivotField axis="axisRow" showAll="0">
      <items count="78">
        <item x="45"/>
        <item x="38"/>
        <item x="41"/>
        <item x="73"/>
        <item x="29"/>
        <item x="32"/>
        <item x="6"/>
        <item x="1"/>
        <item x="31"/>
        <item x="2"/>
        <item x="44"/>
        <item x="39"/>
        <item x="3"/>
        <item x="36"/>
        <item x="5"/>
        <item x="7"/>
        <item x="42"/>
        <item x="40"/>
        <item x="43"/>
        <item x="28"/>
        <item x="4"/>
        <item x="8"/>
        <item x="37"/>
        <item x="30"/>
        <item x="0"/>
        <item x="33"/>
        <item x="69"/>
        <item x="34"/>
        <item x="71"/>
        <item x="70"/>
        <item x="35"/>
        <item x="72"/>
        <item x="74"/>
        <item x="46"/>
        <item x="47"/>
        <item x="48"/>
        <item x="49"/>
        <item x="50"/>
        <item x="51"/>
        <item x="75"/>
        <item x="53"/>
        <item x="9"/>
        <item x="52"/>
        <item x="54"/>
        <item x="55"/>
        <item x="10"/>
        <item x="56"/>
        <item x="11"/>
        <item x="12"/>
        <item x="13"/>
        <item x="57"/>
        <item x="14"/>
        <item x="58"/>
        <item x="59"/>
        <item x="60"/>
        <item x="15"/>
        <item x="61"/>
        <item x="62"/>
        <item x="63"/>
        <item x="64"/>
        <item x="76"/>
        <item x="16"/>
        <item x="17"/>
        <item x="65"/>
        <item x="18"/>
        <item x="66"/>
        <item x="19"/>
        <item x="67"/>
        <item x="20"/>
        <item x="21"/>
        <item x="22"/>
        <item x="23"/>
        <item x="24"/>
        <item x="25"/>
        <item x="26"/>
        <item x="68"/>
        <item x="27"/>
        <item t="default"/>
      </items>
    </pivotField>
    <pivotField dataField="1" showAll="0"/>
  </pivotFields>
  <rowFields count="1">
    <field x="0"/>
  </rowFields>
  <rowItems count="7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 t="grand">
      <x/>
    </i>
  </rowItems>
  <colItems count="1">
    <i/>
  </colItems>
  <dataFields count="1">
    <dataField name="Sum of 2" fld="1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113" applyNumberFormats="0" applyBorderFormats="0" applyFontFormats="0" applyPatternFormats="0" applyAlignmentFormats="0" applyWidthHeightFormats="1" dataCaption="Values" updatedVersion="6" minRefreshableVersion="3" useAutoFormatting="1" itemPrintTitles="1" createdVersion="5" indent="0" outline="1" outlineData="1" multipleFieldFilters="0">
  <location ref="A3:B7" firstHeaderRow="1" firstDataRow="1" firstDataCol="1"/>
  <pivotFields count="3">
    <pivotField axis="axisRow" showAll="0">
      <items count="358">
        <item x="0"/>
        <item m="1" x="50"/>
        <item m="1" x="9"/>
        <item m="1" x="24"/>
        <item m="1" x="159"/>
        <item m="1" x="84"/>
        <item m="1" x="171"/>
        <item m="1" x="274"/>
        <item m="1" x="213"/>
        <item m="1" x="58"/>
        <item m="1" x="180"/>
        <item m="1" x="252"/>
        <item m="1" x="294"/>
        <item m="1" x="129"/>
        <item m="1" x="217"/>
        <item m="1" x="325"/>
        <item m="1" x="230"/>
        <item m="1" x="155"/>
        <item m="1" x="263"/>
        <item m="1" x="197"/>
        <item m="1" x="81"/>
        <item m="1" x="323"/>
        <item m="1" x="33"/>
        <item m="1" x="271"/>
        <item m="1" x="307"/>
        <item m="1" x="153"/>
        <item m="1" x="198"/>
        <item m="1" x="241"/>
        <item m="1" x="41"/>
        <item m="1" x="82"/>
        <item m="1" x="272"/>
        <item x="2"/>
        <item m="1" x="93"/>
        <item m="1" x="124"/>
        <item m="1" x="86"/>
        <item m="1" x="25"/>
        <item m="1" x="117"/>
        <item m="1" x="302"/>
        <item m="1" x="240"/>
        <item m="1" x="142"/>
        <item m="1" x="329"/>
        <item m="1" x="152"/>
        <item m="1" x="7"/>
        <item m="1" x="51"/>
        <item m="1" x="98"/>
        <item m="1" x="286"/>
        <item m="1" x="335"/>
        <item m="1" x="350"/>
        <item m="1" x="118"/>
        <item m="1" x="264"/>
        <item m="1" x="34"/>
        <item m="1" x="324"/>
        <item m="1" x="122"/>
        <item m="1" x="182"/>
        <item m="1" x="46"/>
        <item m="1" x="356"/>
        <item m="1" x="283"/>
        <item m="1" x="12"/>
        <item m="1" x="47"/>
        <item m="1" x="259"/>
        <item m="1" x="218"/>
        <item m="1" x="61"/>
        <item m="1" x="78"/>
        <item m="1" x="92"/>
        <item m="1" x="149"/>
        <item m="1" x="13"/>
        <item m="1" x="258"/>
        <item m="1" x="305"/>
        <item m="1" x="157"/>
        <item m="1" x="14"/>
        <item m="1" x="318"/>
        <item m="1" x="6"/>
        <item m="1" x="267"/>
        <item m="1" x="36"/>
        <item m="1" x="80"/>
        <item m="1" x="235"/>
        <item m="1" x="40"/>
        <item m="1" x="328"/>
        <item m="1" x="166"/>
        <item m="1" x="334"/>
        <item m="1" x="3"/>
        <item m="1" x="205"/>
        <item m="1" x="138"/>
        <item m="1" x="141"/>
        <item m="1" x="234"/>
        <item m="1" x="292"/>
        <item m="1" x="17"/>
        <item m="1" x="85"/>
        <item m="1" x="45"/>
        <item m="1" x="10"/>
        <item m="1" x="253"/>
        <item m="1" x="316"/>
        <item m="1" x="290"/>
        <item m="1" x="354"/>
        <item m="1" x="223"/>
        <item m="1" x="44"/>
        <item m="1" x="296"/>
        <item m="1" x="150"/>
        <item m="1" x="106"/>
        <item m="1" x="133"/>
        <item m="1" x="220"/>
        <item m="1" x="237"/>
        <item m="1" x="225"/>
        <item m="1" x="304"/>
        <item m="1" x="232"/>
        <item m="1" x="251"/>
        <item m="1" x="172"/>
        <item m="1" x="224"/>
        <item m="1" x="206"/>
        <item m="1" x="97"/>
        <item m="1" x="4"/>
        <item m="1" x="238"/>
        <item m="1" x="179"/>
        <item m="1" x="284"/>
        <item m="1" x="79"/>
        <item m="1" x="151"/>
        <item m="1" x="27"/>
        <item m="1" x="210"/>
        <item m="1" x="192"/>
        <item m="1" x="233"/>
        <item m="1" x="115"/>
        <item m="1" x="109"/>
        <item m="1" x="167"/>
        <item m="1" x="174"/>
        <item m="1" x="219"/>
        <item m="1" x="113"/>
        <item m="1" x="256"/>
        <item m="1" x="345"/>
        <item m="1" x="123"/>
        <item m="1" x="163"/>
        <item m="1" x="177"/>
        <item m="1" x="88"/>
        <item m="1" x="54"/>
        <item m="1" x="281"/>
        <item m="1" x="73"/>
        <item m="1" x="127"/>
        <item m="1" x="74"/>
        <item m="1" x="119"/>
        <item m="1" x="221"/>
        <item m="1" x="254"/>
        <item m="1" x="191"/>
        <item m="1" x="278"/>
        <item m="1" x="326"/>
        <item m="1" x="339"/>
        <item m="1" x="181"/>
        <item m="1" x="276"/>
        <item m="1" x="116"/>
        <item m="1" x="308"/>
        <item m="1" x="15"/>
        <item m="1" x="214"/>
        <item m="1" x="315"/>
        <item m="1" x="196"/>
        <item m="1" x="87"/>
        <item m="1" x="20"/>
        <item m="1" x="30"/>
        <item m="1" x="249"/>
        <item m="1" x="60"/>
        <item m="1" x="209"/>
        <item m="1" x="226"/>
        <item m="1" x="246"/>
        <item m="1" x="57"/>
        <item m="1" x="355"/>
        <item m="1" x="293"/>
        <item m="1" x="160"/>
        <item m="1" x="126"/>
        <item m="1" x="72"/>
        <item m="1" x="262"/>
        <item m="1" x="125"/>
        <item m="1" x="312"/>
        <item m="1" x="289"/>
        <item m="1" x="208"/>
        <item m="1" x="91"/>
        <item m="1" x="183"/>
        <item m="1" x="77"/>
        <item m="1" x="337"/>
        <item m="1" x="314"/>
        <item m="1" x="139"/>
        <item m="1" x="161"/>
        <item m="1" x="313"/>
        <item m="1" x="351"/>
        <item m="1" x="229"/>
        <item m="1" x="99"/>
        <item m="1" x="311"/>
        <item m="1" x="299"/>
        <item m="1" x="306"/>
        <item m="1" x="297"/>
        <item m="1" x="107"/>
        <item m="1" x="28"/>
        <item m="1" x="143"/>
        <item m="1" x="53"/>
        <item m="1" x="187"/>
        <item m="1" x="32"/>
        <item m="1" x="298"/>
        <item m="1" x="103"/>
        <item m="1" x="169"/>
        <item m="1" x="202"/>
        <item m="1" x="158"/>
        <item m="1" x="207"/>
        <item m="1" x="170"/>
        <item m="1" x="70"/>
        <item m="1" x="101"/>
        <item m="1" x="330"/>
        <item m="1" x="319"/>
        <item m="1" x="336"/>
        <item m="1" x="301"/>
        <item m="1" x="56"/>
        <item m="1" x="39"/>
        <item m="1" x="135"/>
        <item m="1" x="204"/>
        <item m="1" x="96"/>
        <item m="1" x="102"/>
        <item m="1" x="247"/>
        <item m="1" x="146"/>
        <item m="1" x="347"/>
        <item m="1" x="188"/>
        <item m="1" x="277"/>
        <item m="1" x="261"/>
        <item m="1" x="268"/>
        <item m="1" x="239"/>
        <item m="1" x="148"/>
        <item m="1" x="295"/>
        <item m="1" x="131"/>
        <item m="1" x="270"/>
        <item m="1" x="340"/>
        <item m="1" x="5"/>
        <item m="1" x="8"/>
        <item m="1" x="285"/>
        <item m="1" x="110"/>
        <item m="1" x="257"/>
        <item m="1" x="23"/>
        <item m="1" x="164"/>
        <item m="1" x="346"/>
        <item m="1" x="147"/>
        <item m="1" x="66"/>
        <item m="1" x="71"/>
        <item m="1" x="327"/>
        <item m="1" x="212"/>
        <item m="1" x="231"/>
        <item m="1" x="332"/>
        <item m="1" x="190"/>
        <item m="1" x="19"/>
        <item m="1" x="55"/>
        <item m="1" x="111"/>
        <item m="1" x="59"/>
        <item m="1" x="215"/>
        <item m="1" x="16"/>
        <item m="1" x="31"/>
        <item m="1" x="29"/>
        <item m="1" x="248"/>
        <item m="1" x="11"/>
        <item m="1" x="18"/>
        <item m="1" x="175"/>
        <item m="1" x="130"/>
        <item m="1" x="63"/>
        <item m="1" x="260"/>
        <item m="1" x="132"/>
        <item m="1" x="185"/>
        <item m="1" x="201"/>
        <item m="1" x="282"/>
        <item m="1" x="250"/>
        <item m="1" x="227"/>
        <item m="1" x="193"/>
        <item m="1" x="75"/>
        <item m="1" x="94"/>
        <item m="1" x="269"/>
        <item m="1" x="89"/>
        <item m="1" x="341"/>
        <item m="1" x="35"/>
        <item m="1" x="266"/>
        <item m="1" x="265"/>
        <item m="1" x="22"/>
        <item m="1" x="348"/>
        <item m="1" x="173"/>
        <item m="1" x="342"/>
        <item m="1" x="280"/>
        <item m="1" x="317"/>
        <item m="1" x="144"/>
        <item m="1" x="349"/>
        <item m="1" x="176"/>
        <item m="1" x="300"/>
        <item m="1" x="242"/>
        <item m="1" x="134"/>
        <item m="1" x="279"/>
        <item m="1" x="100"/>
        <item m="1" x="178"/>
        <item m="1" x="108"/>
        <item m="1" x="43"/>
        <item m="1" x="199"/>
        <item m="1" x="120"/>
        <item m="1" x="154"/>
        <item m="1" x="244"/>
        <item m="1" x="83"/>
        <item m="1" x="200"/>
        <item m="1" x="203"/>
        <item m="1" x="333"/>
        <item m="1" x="162"/>
        <item m="1" x="69"/>
        <item m="1" x="67"/>
        <item m="1" x="211"/>
        <item m="1" x="128"/>
        <item m="1" x="291"/>
        <item m="1" x="168"/>
        <item m="1" x="343"/>
        <item m="1" x="76"/>
        <item m="1" x="194"/>
        <item m="1" x="104"/>
        <item m="1" x="68"/>
        <item m="1" x="64"/>
        <item m="1" x="186"/>
        <item m="1" x="137"/>
        <item m="1" x="273"/>
        <item m="1" x="195"/>
        <item m="1" x="42"/>
        <item m="1" x="140"/>
        <item m="1" x="216"/>
        <item m="1" x="275"/>
        <item m="1" x="321"/>
        <item m="1" x="243"/>
        <item m="1" x="105"/>
        <item m="1" x="90"/>
        <item m="1" x="136"/>
        <item m="1" x="222"/>
        <item m="1" x="145"/>
        <item m="1" x="236"/>
        <item m="1" x="49"/>
        <item m="1" x="165"/>
        <item m="1" x="322"/>
        <item m="1" x="26"/>
        <item m="1" x="320"/>
        <item m="1" x="331"/>
        <item m="1" x="303"/>
        <item m="1" x="344"/>
        <item m="1" x="228"/>
        <item m="1" x="21"/>
        <item m="1" x="65"/>
        <item m="1" x="52"/>
        <item m="1" x="287"/>
        <item m="1" x="255"/>
        <item m="1" x="184"/>
        <item m="1" x="37"/>
        <item m="1" x="48"/>
        <item m="1" x="310"/>
        <item m="1" x="156"/>
        <item m="1" x="112"/>
        <item m="1" x="352"/>
        <item m="1" x="121"/>
        <item m="1" x="309"/>
        <item m="1" x="288"/>
        <item m="1" x="353"/>
        <item m="1" x="114"/>
        <item m="1" x="338"/>
        <item m="1" x="62"/>
        <item m="1" x="95"/>
        <item m="1" x="38"/>
        <item m="1" x="189"/>
        <item m="1" x="245"/>
        <item x="1"/>
        <item t="default"/>
      </items>
    </pivotField>
    <pivotField showAll="0"/>
    <pivotField dataField="1" showAll="0"/>
  </pivotFields>
  <rowFields count="1">
    <field x="0"/>
  </rowFields>
  <rowItems count="4">
    <i>
      <x/>
    </i>
    <i>
      <x v="31"/>
    </i>
    <i>
      <x v="356"/>
    </i>
    <i t="grand">
      <x/>
    </i>
  </rowItems>
  <colItems count="1">
    <i/>
  </colItems>
  <dataFields count="1">
    <dataField name="Sum of QTY" fld="2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D5004" totalsRowShown="0" headerRowDxfId="102" tableBorderDxfId="101">
  <autoFilter ref="A1:D5004">
    <filterColumn colId="3">
      <filters>
        <filter val="PANORAMA"/>
      </filters>
    </filterColumn>
  </autoFilter>
  <tableColumns count="4">
    <tableColumn id="1" name="ITEM CODE" dataDxfId="100"/>
    <tableColumn id="2" name="ITEM DESCRIPTION" dataDxfId="99"/>
    <tableColumn id="3" name="BLOCK CODES" dataDxfId="98"/>
    <tableColumn id="4" name="ITEM" dataDxfId="97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id="2" name="Table13" displayName="Table13" ref="A1:C345" totalsRowShown="0" headerRowDxfId="35" dataDxfId="33" headerRowBorderDxfId="34" tableBorderDxfId="32" totalsRowBorderDxfId="31">
  <autoFilter ref="A1:C345"/>
  <tableColumns count="3">
    <tableColumn id="1" name="SL.NO" dataDxfId="30"/>
    <tableColumn id="4" name="ITEM CODE" dataDxfId="29"/>
    <tableColumn id="3" name="QTY" dataDxfId="2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2" displayName="Table2" ref="B1:R101" totalsRowShown="0" headerRowDxfId="27" dataDxfId="26" tableBorderDxfId="25">
  <autoFilter ref="B1:R101"/>
  <tableColumns count="17">
    <tableColumn id="1" name="1" dataDxfId="24">
      <calculatedColumnFormula>LEFT(Table13[[#This Row],[ITEM CODE]],MIN(FIND({0,1,2,3,4,5,6,7,8,9},Table13[[#This Row],[ITEM CODE]]&amp;"0123456789"))-1)</calculatedColumnFormula>
    </tableColumn>
    <tableColumn id="2" name="2" dataDxfId="23">
      <calculatedColumnFormula>SUBSTITUTE(Table13[[#This Row],[ITEM CODE]],B2,"")</calculatedColumnFormula>
    </tableColumn>
    <tableColumn id="3" name="3" dataDxfId="22">
      <calculatedColumnFormula>IFERROR(LEFT(C2,FIND("-",C2)-1),C2)</calculatedColumnFormula>
    </tableColumn>
    <tableColumn id="4" name="4" dataDxfId="21">
      <calculatedColumnFormula>IFERROR(SEARCH("X",D2),"")</calculatedColumnFormula>
    </tableColumn>
    <tableColumn id="5" name="5" dataDxfId="20">
      <calculatedColumnFormula>IFERROR(SEARCH("X",D2,E2+1),"")</calculatedColumnFormula>
    </tableColumn>
    <tableColumn id="6" name="L" dataDxfId="19">
      <calculatedColumnFormula>IFERROR(LEFT(C2,SEARCH("x",C2)-1),"")</calculatedColumnFormula>
    </tableColumn>
    <tableColumn id="7" name="W" dataDxfId="18">
      <calculatedColumnFormula>IFERROR(MID(D2,E2+1,F2-E2-1),"")</calculatedColumnFormula>
    </tableColumn>
    <tableColumn id="8" name="H" dataDxfId="17">
      <calculatedColumnFormula>IFERROR(MID(D2,F2+1,20),"")</calculatedColumnFormula>
    </tableColumn>
    <tableColumn id="16" name="L1" dataDxfId="16">
      <calculatedColumnFormula>IFERROR(IF(Table2[[#This Row],[L]]&lt;Table2[[#This Row],[W]],Table2[[#This Row],[W]],Table2[[#This Row],[L]]),"")</calculatedColumnFormula>
    </tableColumn>
    <tableColumn id="15" name="W1" dataDxfId="15">
      <calculatedColumnFormula>IF(Table2[[#This Row],[L]]&lt;Table2[[#This Row],[W]],Table2[[#This Row],[L]],Table2[[#This Row],[W]])</calculatedColumnFormula>
    </tableColumn>
    <tableColumn id="9" name="STD-L" dataDxfId="14">
      <calculatedColumnFormula>IFERROR(IF(J2="","",IF(VALUE(J2)&gt;=VALUE(K2),IF(OR(VALUE(J2)=13,VALUE(J2)=20,VALUE(J2)=72,VALUE(J2)=75,VALUE(J2)=78,VALUE(J2)=80,VALUE(J2)=84),J2,IF(VALUE(J2)&lt;72,72,IF(VALUE(J2)&lt;75,75,IF(VALUE(J2)&lt;78,78,IF(VALUE(J2)&lt;80,80,IF(VALUE(J2)&lt;84,84,IF(VALUE(J2)&gt;84,84,""""))))))))),0)</calculatedColumnFormula>
    </tableColumn>
    <tableColumn id="10" name="STD-W" dataDxfId="13">
      <calculatedColumnFormula>IF(H2="","",IF(VALUE(J2)&gt;=VALUE(K2),IF(OR(VALUE(K2)=13,VALUE(K2)=18,VALUE(K2)=18,VALUE(K2)=30,VALUE(K2)=33,VALUE(K2)=36,VALUE(K2)=39,VALUE(K2)=42,VALUE(K2)=45,VALUE(K2)=48,VALUE(K2)=51,VALUE(K2)=54,VALUE(K2)=57,VALUE(K2)=60,VALUE(K2)=63,VALUE(K2)=66,VALUE(K2)=69,VALUE(K2)=72),K2,IF(VALUE(K2)&lt;30,30,IF(VALUE(K2)&lt;33,33,IF(VALUE(H2)&lt;36,36,IF(VALUE(H2)&lt;39,39,IF(VALUE(H2)&lt;42,42,IF(VALUE(H2)&lt;45,45,IF(VALUE(H2)&lt;48,48,IF(VALUE(H2)&lt;51,51,IF(VALUE(H2)&lt;54,54,IF(VALUE(H2)&lt;57,57,IF(VALUE(K2)&lt;60,60,IF(VALUE(K2)&lt;63,63,IF(VALUE(K2)&lt;66,66,IF(VALUE(K2)&lt;69,69,IF(VALUE(K2)&lt;72,72,IF(VALUE(K2)&gt;72,72,"""")))))))))))))))))))</calculatedColumnFormula>
    </tableColumn>
    <tableColumn id="11" name="UNIT SIZE" dataDxfId="12">
      <calculatedColumnFormula>IFERROR(CONCATENATE(L2,"X",M2,"X",I2),"")</calculatedColumnFormula>
    </tableColumn>
    <tableColumn id="12" name="STD ITEMCODE" dataDxfId="11">
      <calculatedColumnFormula>IFERROR(CONCATENATE(B2,N2),"")</calculatedColumnFormula>
    </tableColumn>
    <tableColumn id="13" name="VARIETY" dataDxfId="10">
      <calculatedColumnFormula>+CONCATENATE(Table2[[#This Row],[1]],Table2[[#This Row],[H]])</calculatedColumnFormula>
    </tableColumn>
    <tableColumn id="14" name="QTY" dataDxfId="9">
      <calculatedColumnFormula>IFERROR(Table13[[#This Row],[QTY]],"")</calculatedColumnFormula>
    </tableColumn>
    <tableColumn id="17" name="Column1" dataDxfId="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9" name="Table9" displayName="Table9" ref="S1:W101" totalsRowShown="0" headerRowDxfId="7" headerRowBorderDxfId="6" tableBorderDxfId="5">
  <autoFilter ref="S1:W101"/>
  <tableColumns count="5">
    <tableColumn id="1" name="VARIETY" dataDxfId="4">
      <calculatedColumnFormula>+Table2[[#This Row],[VARIETY]]</calculatedColumnFormula>
    </tableColumn>
    <tableColumn id="2" name="BLOCK NAME" dataDxfId="3">
      <calculatedColumnFormula>IFERROR(VLOOKUP(Table9[[#This Row],[VARIETY]],MASTER!B:D,3,0),"")</calculatedColumnFormula>
    </tableColumn>
    <tableColumn id="4" name="ITEM CODE" dataDxfId="2">
      <calculatedColumnFormula>IFERROR(IF(OR(S2=MASTER!$B$95,S2=MASTER!$B$96,S2=MASTER!$B$97,S2=MASTER!$B$98,S2=MASTER!$B$102,S2=MASTER!$B$103,S2=MASTER!$B$99,S2=MASTER!$B$100,S2=MASTER!$B$101,S2=MASTER!$B$104,S2=MASTER!$B$105,S2=MASTER!$B$106,S2=MASTER!$B$107,S2=MASTER!$B$108,S2=MASTER!$B$109),(CONCATENATE(VLOOKUP(S2,MASTER!$B:$D,3,0),L2,"X",M2,"X",VLOOKUP(S2,MASTER!$B:$F,5,0))),(CONCATENATE(VLOOKUP(S2,MASTER!$B:$D,3,0),N2))),"")</calculatedColumnFormula>
    </tableColumn>
    <tableColumn id="5" name="FOAM WEIGHT" dataDxfId="1">
      <calculatedColumnFormula>IFERROR(VLOOKUP(Table9[[#This Row],[ITEM CODE]],FW!$B:$D,3,0),"")</calculatedColumnFormula>
    </tableColumn>
    <tableColumn id="3" name="QTY" dataDxfId="0">
      <calculatedColumnFormula>IF(OR(S2=MASTER!$B$95,S2=MASTER!$B$96,S2=MASTER!$B$97,S2=MASTER!$B$98,S2=MASTER!$B$102,S2=MASTER!$B$103,S2=MASTER!$B$99,S2=MASTER!$B$100,S2=MASTER!$B$101,S2=MASTER!$B$104,S2=MASTER!$B$105,S2=MASTER!$B$106,S2=MASTER!$B$107,S2=MASTER!$B$108,S2=MASTER!$B$109),(Q2*V2),Q2)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5004"/>
  <sheetViews>
    <sheetView zoomScale="115" zoomScaleNormal="115" workbookViewId="0">
      <pane ySplit="1" topLeftCell="A2000" activePane="bottomLeft" state="frozen"/>
      <selection activeCell="D17" sqref="D17"/>
      <selection pane="bottomLeft" activeCell="A1707" sqref="A1707"/>
    </sheetView>
  </sheetViews>
  <sheetFormatPr defaultRowHeight="15" x14ac:dyDescent="0.25"/>
  <cols>
    <col min="1" max="1" width="35" bestFit="1" customWidth="1"/>
    <col min="2" max="2" width="48.28515625" customWidth="1"/>
    <col min="3" max="3" width="36.28515625" bestFit="1" customWidth="1"/>
    <col min="4" max="4" width="26.28515625" customWidth="1"/>
  </cols>
  <sheetData>
    <row r="1" spans="1:4" s="59" customFormat="1" x14ac:dyDescent="0.25">
      <c r="A1" s="57" t="s">
        <v>0</v>
      </c>
      <c r="B1" s="57" t="s">
        <v>1</v>
      </c>
      <c r="C1" s="57" t="s">
        <v>2</v>
      </c>
      <c r="D1" s="58" t="s">
        <v>5511</v>
      </c>
    </row>
    <row r="2" spans="1:4" s="55" customFormat="1" hidden="1" x14ac:dyDescent="0.25">
      <c r="A2" s="19" t="s">
        <v>3</v>
      </c>
      <c r="B2" s="19" t="s">
        <v>4</v>
      </c>
      <c r="C2" s="19" t="s">
        <v>5</v>
      </c>
      <c r="D2" s="56" t="s">
        <v>5524</v>
      </c>
    </row>
    <row r="3" spans="1:4" s="55" customFormat="1" hidden="1" x14ac:dyDescent="0.25">
      <c r="A3" s="19" t="s">
        <v>9187</v>
      </c>
      <c r="B3" s="19" t="s">
        <v>9188</v>
      </c>
      <c r="C3" s="19" t="s">
        <v>9189</v>
      </c>
      <c r="D3" s="56" t="s">
        <v>5524</v>
      </c>
    </row>
    <row r="4" spans="1:4" s="55" customFormat="1" hidden="1" x14ac:dyDescent="0.25">
      <c r="A4" s="19" t="s">
        <v>6</v>
      </c>
      <c r="B4" s="19" t="s">
        <v>7</v>
      </c>
      <c r="C4" s="19" t="s">
        <v>8</v>
      </c>
      <c r="D4" s="56" t="s">
        <v>5524</v>
      </c>
    </row>
    <row r="5" spans="1:4" s="55" customFormat="1" hidden="1" x14ac:dyDescent="0.25">
      <c r="A5" s="19" t="s">
        <v>9190</v>
      </c>
      <c r="B5" s="19" t="s">
        <v>9191</v>
      </c>
      <c r="C5" s="19" t="s">
        <v>9192</v>
      </c>
      <c r="D5" s="56" t="s">
        <v>5524</v>
      </c>
    </row>
    <row r="6" spans="1:4" s="55" customFormat="1" hidden="1" x14ac:dyDescent="0.25">
      <c r="A6" s="19" t="s">
        <v>9</v>
      </c>
      <c r="B6" s="19" t="s">
        <v>10</v>
      </c>
      <c r="C6" s="19" t="s">
        <v>11</v>
      </c>
      <c r="D6" s="56" t="s">
        <v>5524</v>
      </c>
    </row>
    <row r="7" spans="1:4" s="55" customFormat="1" hidden="1" x14ac:dyDescent="0.25">
      <c r="A7" s="19" t="s">
        <v>9193</v>
      </c>
      <c r="B7" s="19" t="s">
        <v>9194</v>
      </c>
      <c r="C7" s="19" t="s">
        <v>9195</v>
      </c>
      <c r="D7" s="56" t="s">
        <v>5524</v>
      </c>
    </row>
    <row r="8" spans="1:4" s="55" customFormat="1" hidden="1" x14ac:dyDescent="0.25">
      <c r="A8" s="19" t="s">
        <v>12</v>
      </c>
      <c r="B8" s="19" t="s">
        <v>13</v>
      </c>
      <c r="C8" s="19" t="s">
        <v>14</v>
      </c>
      <c r="D8" s="56" t="s">
        <v>5524</v>
      </c>
    </row>
    <row r="9" spans="1:4" s="55" customFormat="1" hidden="1" x14ac:dyDescent="0.25">
      <c r="A9" s="19" t="s">
        <v>9196</v>
      </c>
      <c r="B9" s="19" t="s">
        <v>9197</v>
      </c>
      <c r="C9" s="19" t="s">
        <v>9198</v>
      </c>
      <c r="D9" s="56" t="s">
        <v>5524</v>
      </c>
    </row>
    <row r="10" spans="1:4" s="55" customFormat="1" hidden="1" x14ac:dyDescent="0.25">
      <c r="A10" s="19" t="s">
        <v>9220</v>
      </c>
      <c r="B10" s="19" t="s">
        <v>9221</v>
      </c>
      <c r="C10" s="19" t="s">
        <v>9222</v>
      </c>
      <c r="D10" s="56" t="s">
        <v>5524</v>
      </c>
    </row>
    <row r="11" spans="1:4" s="55" customFormat="1" hidden="1" x14ac:dyDescent="0.25">
      <c r="A11" s="19" t="s">
        <v>9199</v>
      </c>
      <c r="B11" s="19" t="s">
        <v>9200</v>
      </c>
      <c r="C11" s="19" t="s">
        <v>9201</v>
      </c>
      <c r="D11" s="56" t="s">
        <v>5524</v>
      </c>
    </row>
    <row r="12" spans="1:4" s="55" customFormat="1" hidden="1" x14ac:dyDescent="0.25">
      <c r="A12" s="19" t="s">
        <v>15</v>
      </c>
      <c r="B12" s="19" t="s">
        <v>16</v>
      </c>
      <c r="C12" s="19" t="s">
        <v>17</v>
      </c>
      <c r="D12" s="56" t="s">
        <v>5524</v>
      </c>
    </row>
    <row r="13" spans="1:4" s="55" customFormat="1" hidden="1" x14ac:dyDescent="0.25">
      <c r="A13" s="19" t="s">
        <v>9202</v>
      </c>
      <c r="B13" s="19" t="s">
        <v>9203</v>
      </c>
      <c r="C13" s="19" t="s">
        <v>9204</v>
      </c>
      <c r="D13" s="56" t="s">
        <v>5524</v>
      </c>
    </row>
    <row r="14" spans="1:4" s="55" customFormat="1" hidden="1" x14ac:dyDescent="0.25">
      <c r="A14" s="19" t="s">
        <v>18</v>
      </c>
      <c r="B14" s="19" t="s">
        <v>19</v>
      </c>
      <c r="C14" s="19" t="s">
        <v>20</v>
      </c>
      <c r="D14" s="56" t="s">
        <v>5524</v>
      </c>
    </row>
    <row r="15" spans="1:4" s="55" customFormat="1" hidden="1" x14ac:dyDescent="0.25">
      <c r="A15" s="19" t="s">
        <v>9205</v>
      </c>
      <c r="B15" s="19" t="s">
        <v>9206</v>
      </c>
      <c r="C15" s="19" t="s">
        <v>9207</v>
      </c>
      <c r="D15" s="56" t="s">
        <v>5524</v>
      </c>
    </row>
    <row r="16" spans="1:4" s="55" customFormat="1" hidden="1" x14ac:dyDescent="0.25">
      <c r="A16" s="19" t="s">
        <v>21</v>
      </c>
      <c r="B16" s="19" t="s">
        <v>22</v>
      </c>
      <c r="C16" s="19" t="s">
        <v>23</v>
      </c>
      <c r="D16" s="56" t="s">
        <v>5524</v>
      </c>
    </row>
    <row r="17" spans="1:4" s="55" customFormat="1" hidden="1" x14ac:dyDescent="0.25">
      <c r="A17" s="19" t="s">
        <v>24</v>
      </c>
      <c r="B17" s="19" t="s">
        <v>25</v>
      </c>
      <c r="C17" s="19" t="s">
        <v>26</v>
      </c>
      <c r="D17" s="56" t="s">
        <v>5524</v>
      </c>
    </row>
    <row r="18" spans="1:4" s="55" customFormat="1" hidden="1" x14ac:dyDescent="0.25">
      <c r="A18" s="19" t="s">
        <v>9208</v>
      </c>
      <c r="B18" s="19" t="s">
        <v>9209</v>
      </c>
      <c r="C18" s="19" t="s">
        <v>9210</v>
      </c>
      <c r="D18" s="56" t="s">
        <v>5524</v>
      </c>
    </row>
    <row r="19" spans="1:4" s="55" customFormat="1" hidden="1" x14ac:dyDescent="0.25">
      <c r="A19" s="19" t="s">
        <v>27</v>
      </c>
      <c r="B19" s="19" t="s">
        <v>28</v>
      </c>
      <c r="C19" s="19" t="s">
        <v>29</v>
      </c>
      <c r="D19" s="56" t="s">
        <v>5524</v>
      </c>
    </row>
    <row r="20" spans="1:4" s="55" customFormat="1" hidden="1" x14ac:dyDescent="0.25">
      <c r="A20" s="19" t="s">
        <v>9211</v>
      </c>
      <c r="B20" s="19" t="s">
        <v>9212</v>
      </c>
      <c r="C20" s="19" t="s">
        <v>9213</v>
      </c>
      <c r="D20" s="56" t="s">
        <v>5524</v>
      </c>
    </row>
    <row r="21" spans="1:4" s="55" customFormat="1" hidden="1" x14ac:dyDescent="0.25">
      <c r="A21" s="19" t="s">
        <v>30</v>
      </c>
      <c r="B21" s="19" t="s">
        <v>31</v>
      </c>
      <c r="C21" s="19" t="s">
        <v>32</v>
      </c>
      <c r="D21" s="56" t="s">
        <v>5524</v>
      </c>
    </row>
    <row r="22" spans="1:4" s="55" customFormat="1" hidden="1" x14ac:dyDescent="0.25">
      <c r="A22" s="19" t="s">
        <v>9214</v>
      </c>
      <c r="B22" s="19" t="s">
        <v>9215</v>
      </c>
      <c r="C22" s="19" t="s">
        <v>9216</v>
      </c>
      <c r="D22" s="56" t="s">
        <v>5524</v>
      </c>
    </row>
    <row r="23" spans="1:4" s="55" customFormat="1" hidden="1" x14ac:dyDescent="0.25">
      <c r="A23" s="19" t="s">
        <v>33</v>
      </c>
      <c r="B23" s="19" t="s">
        <v>34</v>
      </c>
      <c r="C23" s="19" t="s">
        <v>35</v>
      </c>
      <c r="D23" s="56" t="s">
        <v>5524</v>
      </c>
    </row>
    <row r="24" spans="1:4" s="55" customFormat="1" hidden="1" x14ac:dyDescent="0.25">
      <c r="A24" s="19" t="s">
        <v>9217</v>
      </c>
      <c r="B24" s="19" t="s">
        <v>9218</v>
      </c>
      <c r="C24" s="19" t="s">
        <v>9219</v>
      </c>
      <c r="D24" s="56" t="s">
        <v>5524</v>
      </c>
    </row>
    <row r="25" spans="1:4" s="55" customFormat="1" hidden="1" x14ac:dyDescent="0.25">
      <c r="A25" s="19" t="s">
        <v>9223</v>
      </c>
      <c r="B25" s="19" t="s">
        <v>9224</v>
      </c>
      <c r="C25" s="19" t="s">
        <v>9225</v>
      </c>
      <c r="D25" s="56" t="s">
        <v>5524</v>
      </c>
    </row>
    <row r="26" spans="1:4" s="55" customFormat="1" hidden="1" x14ac:dyDescent="0.25">
      <c r="A26" s="19" t="s">
        <v>9226</v>
      </c>
      <c r="B26" s="19" t="s">
        <v>9227</v>
      </c>
      <c r="C26" s="19" t="s">
        <v>9228</v>
      </c>
      <c r="D26" s="56" t="s">
        <v>5524</v>
      </c>
    </row>
    <row r="27" spans="1:4" s="55" customFormat="1" hidden="1" x14ac:dyDescent="0.25">
      <c r="A27" s="19" t="s">
        <v>36</v>
      </c>
      <c r="B27" s="19" t="s">
        <v>37</v>
      </c>
      <c r="C27" s="19" t="s">
        <v>38</v>
      </c>
      <c r="D27" s="56" t="s">
        <v>5524</v>
      </c>
    </row>
    <row r="28" spans="1:4" s="55" customFormat="1" hidden="1" x14ac:dyDescent="0.25">
      <c r="A28" s="19" t="s">
        <v>9229</v>
      </c>
      <c r="B28" s="19" t="s">
        <v>9230</v>
      </c>
      <c r="C28" s="19" t="s">
        <v>9231</v>
      </c>
      <c r="D28" s="56" t="s">
        <v>5524</v>
      </c>
    </row>
    <row r="29" spans="1:4" s="55" customFormat="1" hidden="1" x14ac:dyDescent="0.25">
      <c r="A29" s="19" t="s">
        <v>39</v>
      </c>
      <c r="B29" s="19" t="s">
        <v>40</v>
      </c>
      <c r="C29" s="19" t="s">
        <v>41</v>
      </c>
      <c r="D29" s="56" t="s">
        <v>5524</v>
      </c>
    </row>
    <row r="30" spans="1:4" s="55" customFormat="1" hidden="1" x14ac:dyDescent="0.25">
      <c r="A30" s="19" t="s">
        <v>9232</v>
      </c>
      <c r="B30" s="19" t="s">
        <v>9233</v>
      </c>
      <c r="C30" s="19" t="s">
        <v>9234</v>
      </c>
      <c r="D30" s="56" t="s">
        <v>5524</v>
      </c>
    </row>
    <row r="31" spans="1:4" s="55" customFormat="1" hidden="1" x14ac:dyDescent="0.25">
      <c r="A31" s="19" t="s">
        <v>42</v>
      </c>
      <c r="B31" s="19" t="s">
        <v>43</v>
      </c>
      <c r="C31" s="19" t="s">
        <v>44</v>
      </c>
      <c r="D31" s="56" t="s">
        <v>5524</v>
      </c>
    </row>
    <row r="32" spans="1:4" hidden="1" x14ac:dyDescent="0.25">
      <c r="A32" s="1" t="s">
        <v>45</v>
      </c>
      <c r="B32" s="1" t="s">
        <v>46</v>
      </c>
      <c r="C32" s="1" t="s">
        <v>47</v>
      </c>
      <c r="D32" s="14" t="s">
        <v>5524</v>
      </c>
    </row>
    <row r="33" spans="1:4" hidden="1" x14ac:dyDescent="0.25">
      <c r="A33" s="1" t="s">
        <v>48</v>
      </c>
      <c r="B33" s="1" t="s">
        <v>49</v>
      </c>
      <c r="C33" s="1" t="s">
        <v>50</v>
      </c>
      <c r="D33" s="14" t="s">
        <v>5524</v>
      </c>
    </row>
    <row r="34" spans="1:4" hidden="1" x14ac:dyDescent="0.25">
      <c r="A34" s="1" t="s">
        <v>51</v>
      </c>
      <c r="B34" s="1" t="s">
        <v>52</v>
      </c>
      <c r="C34" s="1" t="s">
        <v>53</v>
      </c>
      <c r="D34" s="14" t="s">
        <v>5524</v>
      </c>
    </row>
    <row r="35" spans="1:4" hidden="1" x14ac:dyDescent="0.25">
      <c r="A35" s="1" t="s">
        <v>54</v>
      </c>
      <c r="B35" s="1" t="s">
        <v>55</v>
      </c>
      <c r="C35" s="1" t="s">
        <v>56</v>
      </c>
      <c r="D35" s="14" t="s">
        <v>5524</v>
      </c>
    </row>
    <row r="36" spans="1:4" hidden="1" x14ac:dyDescent="0.25">
      <c r="A36" s="1" t="s">
        <v>57</v>
      </c>
      <c r="B36" s="1" t="s">
        <v>58</v>
      </c>
      <c r="C36" s="1" t="s">
        <v>59</v>
      </c>
      <c r="D36" s="14" t="s">
        <v>5524</v>
      </c>
    </row>
    <row r="37" spans="1:4" hidden="1" x14ac:dyDescent="0.25">
      <c r="A37" s="1" t="s">
        <v>60</v>
      </c>
      <c r="B37" s="1" t="s">
        <v>61</v>
      </c>
      <c r="C37" s="1" t="s">
        <v>62</v>
      </c>
      <c r="D37" s="14" t="s">
        <v>5524</v>
      </c>
    </row>
    <row r="38" spans="1:4" hidden="1" x14ac:dyDescent="0.25">
      <c r="A38" s="1" t="s">
        <v>63</v>
      </c>
      <c r="B38" s="1" t="s">
        <v>64</v>
      </c>
      <c r="C38" s="1" t="s">
        <v>65</v>
      </c>
      <c r="D38" s="14" t="s">
        <v>5524</v>
      </c>
    </row>
    <row r="39" spans="1:4" hidden="1" x14ac:dyDescent="0.25">
      <c r="A39" s="1" t="s">
        <v>66</v>
      </c>
      <c r="B39" s="1" t="s">
        <v>67</v>
      </c>
      <c r="C39" s="1" t="s">
        <v>68</v>
      </c>
      <c r="D39" s="14" t="s">
        <v>5524</v>
      </c>
    </row>
    <row r="40" spans="1:4" hidden="1" x14ac:dyDescent="0.25">
      <c r="A40" s="1" t="s">
        <v>69</v>
      </c>
      <c r="B40" s="1" t="s">
        <v>70</v>
      </c>
      <c r="C40" s="1" t="s">
        <v>71</v>
      </c>
      <c r="D40" s="14" t="s">
        <v>5524</v>
      </c>
    </row>
    <row r="41" spans="1:4" hidden="1" x14ac:dyDescent="0.25">
      <c r="A41" s="1" t="s">
        <v>72</v>
      </c>
      <c r="B41" s="1" t="s">
        <v>73</v>
      </c>
      <c r="C41" s="1" t="s">
        <v>74</v>
      </c>
      <c r="D41" s="14" t="s">
        <v>5524</v>
      </c>
    </row>
    <row r="42" spans="1:4" hidden="1" x14ac:dyDescent="0.25">
      <c r="A42" s="1" t="s">
        <v>75</v>
      </c>
      <c r="B42" s="1" t="s">
        <v>76</v>
      </c>
      <c r="C42" s="1" t="s">
        <v>77</v>
      </c>
      <c r="D42" s="14" t="s">
        <v>5524</v>
      </c>
    </row>
    <row r="43" spans="1:4" hidden="1" x14ac:dyDescent="0.25">
      <c r="A43" s="1" t="s">
        <v>78</v>
      </c>
      <c r="B43" s="1" t="s">
        <v>79</v>
      </c>
      <c r="C43" s="1" t="s">
        <v>80</v>
      </c>
      <c r="D43" s="14" t="s">
        <v>5524</v>
      </c>
    </row>
    <row r="44" spans="1:4" hidden="1" x14ac:dyDescent="0.25">
      <c r="A44" s="1" t="s">
        <v>81</v>
      </c>
      <c r="B44" s="1" t="s">
        <v>82</v>
      </c>
      <c r="C44" s="1" t="s">
        <v>83</v>
      </c>
      <c r="D44" s="14" t="s">
        <v>5524</v>
      </c>
    </row>
    <row r="45" spans="1:4" hidden="1" x14ac:dyDescent="0.25">
      <c r="A45" s="1" t="s">
        <v>84</v>
      </c>
      <c r="B45" s="1" t="s">
        <v>85</v>
      </c>
      <c r="C45" s="1" t="s">
        <v>86</v>
      </c>
      <c r="D45" s="14" t="s">
        <v>5524</v>
      </c>
    </row>
    <row r="46" spans="1:4" hidden="1" x14ac:dyDescent="0.25">
      <c r="A46" s="1" t="s">
        <v>87</v>
      </c>
      <c r="B46" s="1" t="s">
        <v>88</v>
      </c>
      <c r="C46" s="1" t="s">
        <v>89</v>
      </c>
      <c r="D46" s="14" t="s">
        <v>5524</v>
      </c>
    </row>
    <row r="47" spans="1:4" hidden="1" x14ac:dyDescent="0.25">
      <c r="A47" s="1" t="s">
        <v>90</v>
      </c>
      <c r="B47" s="1" t="s">
        <v>91</v>
      </c>
      <c r="C47" s="1" t="s">
        <v>92</v>
      </c>
      <c r="D47" s="14" t="s">
        <v>5524</v>
      </c>
    </row>
    <row r="48" spans="1:4" hidden="1" x14ac:dyDescent="0.25">
      <c r="A48" s="1" t="s">
        <v>93</v>
      </c>
      <c r="B48" s="1" t="s">
        <v>94</v>
      </c>
      <c r="C48" s="1" t="s">
        <v>95</v>
      </c>
      <c r="D48" s="14" t="s">
        <v>5524</v>
      </c>
    </row>
    <row r="49" spans="1:4" hidden="1" x14ac:dyDescent="0.25">
      <c r="A49" s="1" t="s">
        <v>96</v>
      </c>
      <c r="B49" s="1" t="s">
        <v>97</v>
      </c>
      <c r="C49" s="1" t="s">
        <v>98</v>
      </c>
      <c r="D49" s="14" t="s">
        <v>5524</v>
      </c>
    </row>
    <row r="50" spans="1:4" hidden="1" x14ac:dyDescent="0.25">
      <c r="A50" s="1" t="s">
        <v>99</v>
      </c>
      <c r="B50" s="1" t="s">
        <v>100</v>
      </c>
      <c r="C50" s="1" t="s">
        <v>101</v>
      </c>
      <c r="D50" s="14" t="s">
        <v>5524</v>
      </c>
    </row>
    <row r="51" spans="1:4" hidden="1" x14ac:dyDescent="0.25">
      <c r="A51" s="1" t="s">
        <v>102</v>
      </c>
      <c r="B51" s="1" t="s">
        <v>103</v>
      </c>
      <c r="C51" s="1" t="s">
        <v>104</v>
      </c>
      <c r="D51" s="14" t="s">
        <v>5524</v>
      </c>
    </row>
    <row r="52" spans="1:4" hidden="1" x14ac:dyDescent="0.25">
      <c r="A52" s="1" t="s">
        <v>105</v>
      </c>
      <c r="B52" s="1" t="s">
        <v>106</v>
      </c>
      <c r="C52" s="1" t="s">
        <v>107</v>
      </c>
      <c r="D52" s="14" t="s">
        <v>5524</v>
      </c>
    </row>
    <row r="53" spans="1:4" hidden="1" x14ac:dyDescent="0.25">
      <c r="A53" s="1" t="s">
        <v>108</v>
      </c>
      <c r="B53" s="1" t="s">
        <v>109</v>
      </c>
      <c r="C53" s="1" t="s">
        <v>5</v>
      </c>
      <c r="D53" s="14" t="s">
        <v>5524</v>
      </c>
    </row>
    <row r="54" spans="1:4" hidden="1" x14ac:dyDescent="0.25">
      <c r="A54" s="1" t="s">
        <v>110</v>
      </c>
      <c r="B54" s="1" t="s">
        <v>111</v>
      </c>
      <c r="C54" s="1" t="s">
        <v>8</v>
      </c>
      <c r="D54" s="14" t="s">
        <v>5524</v>
      </c>
    </row>
    <row r="55" spans="1:4" hidden="1" x14ac:dyDescent="0.25">
      <c r="A55" s="1" t="s">
        <v>112</v>
      </c>
      <c r="B55" s="1" t="s">
        <v>113</v>
      </c>
      <c r="C55" s="1" t="s">
        <v>11</v>
      </c>
      <c r="D55" s="14" t="s">
        <v>5524</v>
      </c>
    </row>
    <row r="56" spans="1:4" hidden="1" x14ac:dyDescent="0.25">
      <c r="A56" s="1" t="s">
        <v>114</v>
      </c>
      <c r="B56" s="1" t="s">
        <v>115</v>
      </c>
      <c r="C56" s="1" t="s">
        <v>14</v>
      </c>
      <c r="D56" s="14" t="s">
        <v>5524</v>
      </c>
    </row>
    <row r="57" spans="1:4" hidden="1" x14ac:dyDescent="0.25">
      <c r="A57" s="1" t="s">
        <v>116</v>
      </c>
      <c r="B57" s="1" t="s">
        <v>117</v>
      </c>
      <c r="C57" s="1" t="s">
        <v>17</v>
      </c>
      <c r="D57" s="14" t="s">
        <v>5524</v>
      </c>
    </row>
    <row r="58" spans="1:4" hidden="1" x14ac:dyDescent="0.25">
      <c r="A58" s="1" t="s">
        <v>118</v>
      </c>
      <c r="B58" s="1" t="s">
        <v>119</v>
      </c>
      <c r="C58" s="1" t="s">
        <v>20</v>
      </c>
      <c r="D58" s="14" t="s">
        <v>5524</v>
      </c>
    </row>
    <row r="59" spans="1:4" hidden="1" x14ac:dyDescent="0.25">
      <c r="A59" s="1" t="s">
        <v>120</v>
      </c>
      <c r="B59" s="1" t="s">
        <v>121</v>
      </c>
      <c r="C59" s="1" t="s">
        <v>23</v>
      </c>
      <c r="D59" s="14" t="s">
        <v>5524</v>
      </c>
    </row>
    <row r="60" spans="1:4" hidden="1" x14ac:dyDescent="0.25">
      <c r="A60" s="1" t="s">
        <v>122</v>
      </c>
      <c r="B60" s="1" t="s">
        <v>123</v>
      </c>
      <c r="C60" s="1" t="s">
        <v>26</v>
      </c>
      <c r="D60" s="14" t="s">
        <v>5524</v>
      </c>
    </row>
    <row r="61" spans="1:4" hidden="1" x14ac:dyDescent="0.25">
      <c r="A61" s="1" t="s">
        <v>124</v>
      </c>
      <c r="B61" s="1" t="s">
        <v>125</v>
      </c>
      <c r="C61" s="1" t="s">
        <v>29</v>
      </c>
      <c r="D61" s="14" t="s">
        <v>5524</v>
      </c>
    </row>
    <row r="62" spans="1:4" hidden="1" x14ac:dyDescent="0.25">
      <c r="A62" s="1" t="s">
        <v>126</v>
      </c>
      <c r="B62" s="1" t="s">
        <v>127</v>
      </c>
      <c r="C62" s="1" t="s">
        <v>32</v>
      </c>
      <c r="D62" s="14" t="s">
        <v>5524</v>
      </c>
    </row>
    <row r="63" spans="1:4" hidden="1" x14ac:dyDescent="0.25">
      <c r="A63" s="1" t="s">
        <v>128</v>
      </c>
      <c r="B63" s="1" t="s">
        <v>129</v>
      </c>
      <c r="C63" s="1" t="s">
        <v>35</v>
      </c>
      <c r="D63" s="14" t="s">
        <v>5524</v>
      </c>
    </row>
    <row r="64" spans="1:4" hidden="1" x14ac:dyDescent="0.25">
      <c r="A64" s="1" t="s">
        <v>130</v>
      </c>
      <c r="B64" s="1" t="s">
        <v>131</v>
      </c>
      <c r="C64" s="1" t="s">
        <v>38</v>
      </c>
      <c r="D64" s="14" t="s">
        <v>5524</v>
      </c>
    </row>
    <row r="65" spans="1:4" hidden="1" x14ac:dyDescent="0.25">
      <c r="A65" s="1" t="s">
        <v>132</v>
      </c>
      <c r="B65" s="1" t="s">
        <v>133</v>
      </c>
      <c r="C65" s="1" t="s">
        <v>41</v>
      </c>
      <c r="D65" s="14" t="s">
        <v>5524</v>
      </c>
    </row>
    <row r="66" spans="1:4" hidden="1" x14ac:dyDescent="0.25">
      <c r="A66" s="1" t="s">
        <v>134</v>
      </c>
      <c r="B66" s="1" t="s">
        <v>135</v>
      </c>
      <c r="C66" s="1" t="s">
        <v>44</v>
      </c>
      <c r="D66" s="14" t="s">
        <v>5524</v>
      </c>
    </row>
    <row r="67" spans="1:4" hidden="1" x14ac:dyDescent="0.25">
      <c r="A67" s="1" t="s">
        <v>136</v>
      </c>
      <c r="B67" s="1" t="s">
        <v>137</v>
      </c>
      <c r="C67" s="1" t="s">
        <v>47</v>
      </c>
      <c r="D67" s="14" t="s">
        <v>5524</v>
      </c>
    </row>
    <row r="68" spans="1:4" hidden="1" x14ac:dyDescent="0.25">
      <c r="A68" s="1" t="s">
        <v>138</v>
      </c>
      <c r="B68" s="1" t="s">
        <v>139</v>
      </c>
      <c r="C68" s="1" t="s">
        <v>50</v>
      </c>
      <c r="D68" s="14" t="s">
        <v>5524</v>
      </c>
    </row>
    <row r="69" spans="1:4" hidden="1" x14ac:dyDescent="0.25">
      <c r="A69" s="1" t="s">
        <v>140</v>
      </c>
      <c r="B69" s="1" t="s">
        <v>141</v>
      </c>
      <c r="C69" s="1" t="s">
        <v>53</v>
      </c>
      <c r="D69" s="14" t="s">
        <v>5524</v>
      </c>
    </row>
    <row r="70" spans="1:4" hidden="1" x14ac:dyDescent="0.25">
      <c r="A70" s="1" t="s">
        <v>142</v>
      </c>
      <c r="B70" s="1" t="s">
        <v>143</v>
      </c>
      <c r="C70" s="1" t="s">
        <v>56</v>
      </c>
      <c r="D70" s="14" t="s">
        <v>5524</v>
      </c>
    </row>
    <row r="71" spans="1:4" hidden="1" x14ac:dyDescent="0.25">
      <c r="A71" s="1" t="s">
        <v>144</v>
      </c>
      <c r="B71" s="1" t="s">
        <v>145</v>
      </c>
      <c r="C71" s="1" t="s">
        <v>59</v>
      </c>
      <c r="D71" s="14" t="s">
        <v>5524</v>
      </c>
    </row>
    <row r="72" spans="1:4" hidden="1" x14ac:dyDescent="0.25">
      <c r="A72" s="1" t="s">
        <v>146</v>
      </c>
      <c r="B72" s="1" t="s">
        <v>147</v>
      </c>
      <c r="C72" s="1" t="s">
        <v>62</v>
      </c>
      <c r="D72" s="14" t="s">
        <v>5524</v>
      </c>
    </row>
    <row r="73" spans="1:4" hidden="1" x14ac:dyDescent="0.25">
      <c r="A73" s="1" t="s">
        <v>148</v>
      </c>
      <c r="B73" s="1" t="s">
        <v>149</v>
      </c>
      <c r="C73" s="1" t="s">
        <v>65</v>
      </c>
      <c r="D73" s="14" t="s">
        <v>5524</v>
      </c>
    </row>
    <row r="74" spans="1:4" hidden="1" x14ac:dyDescent="0.25">
      <c r="A74" s="1" t="s">
        <v>150</v>
      </c>
      <c r="B74" s="1" t="s">
        <v>151</v>
      </c>
      <c r="C74" s="1" t="s">
        <v>68</v>
      </c>
      <c r="D74" s="14" t="s">
        <v>5524</v>
      </c>
    </row>
    <row r="75" spans="1:4" hidden="1" x14ac:dyDescent="0.25">
      <c r="A75" s="1" t="s">
        <v>152</v>
      </c>
      <c r="B75" s="1" t="s">
        <v>153</v>
      </c>
      <c r="C75" s="1" t="s">
        <v>71</v>
      </c>
      <c r="D75" s="14" t="s">
        <v>5524</v>
      </c>
    </row>
    <row r="76" spans="1:4" hidden="1" x14ac:dyDescent="0.25">
      <c r="A76" s="1" t="s">
        <v>154</v>
      </c>
      <c r="B76" s="1" t="s">
        <v>155</v>
      </c>
      <c r="C76" s="1" t="s">
        <v>74</v>
      </c>
      <c r="D76" s="14" t="s">
        <v>5524</v>
      </c>
    </row>
    <row r="77" spans="1:4" hidden="1" x14ac:dyDescent="0.25">
      <c r="A77" s="1" t="s">
        <v>156</v>
      </c>
      <c r="B77" s="1" t="s">
        <v>157</v>
      </c>
      <c r="C77" s="1" t="s">
        <v>77</v>
      </c>
      <c r="D77" s="14" t="s">
        <v>5524</v>
      </c>
    </row>
    <row r="78" spans="1:4" hidden="1" x14ac:dyDescent="0.25">
      <c r="A78" s="1" t="s">
        <v>158</v>
      </c>
      <c r="B78" s="1" t="s">
        <v>159</v>
      </c>
      <c r="C78" s="1" t="s">
        <v>80</v>
      </c>
      <c r="D78" s="14" t="s">
        <v>5524</v>
      </c>
    </row>
    <row r="79" spans="1:4" hidden="1" x14ac:dyDescent="0.25">
      <c r="A79" s="1" t="s">
        <v>160</v>
      </c>
      <c r="B79" s="1" t="s">
        <v>161</v>
      </c>
      <c r="C79" s="1" t="s">
        <v>83</v>
      </c>
      <c r="D79" s="14" t="s">
        <v>5524</v>
      </c>
    </row>
    <row r="80" spans="1:4" hidden="1" x14ac:dyDescent="0.25">
      <c r="A80" s="1" t="s">
        <v>162</v>
      </c>
      <c r="B80" s="1" t="s">
        <v>163</v>
      </c>
      <c r="C80" s="1" t="s">
        <v>86</v>
      </c>
      <c r="D80" s="14" t="s">
        <v>5524</v>
      </c>
    </row>
    <row r="81" spans="1:4" hidden="1" x14ac:dyDescent="0.25">
      <c r="A81" s="1" t="s">
        <v>164</v>
      </c>
      <c r="B81" s="1" t="s">
        <v>165</v>
      </c>
      <c r="C81" s="1" t="s">
        <v>89</v>
      </c>
      <c r="D81" s="14" t="s">
        <v>5524</v>
      </c>
    </row>
    <row r="82" spans="1:4" hidden="1" x14ac:dyDescent="0.25">
      <c r="A82" s="1" t="s">
        <v>166</v>
      </c>
      <c r="B82" s="1" t="s">
        <v>167</v>
      </c>
      <c r="C82" s="1" t="s">
        <v>92</v>
      </c>
      <c r="D82" s="14" t="s">
        <v>5524</v>
      </c>
    </row>
    <row r="83" spans="1:4" hidden="1" x14ac:dyDescent="0.25">
      <c r="A83" s="1" t="s">
        <v>168</v>
      </c>
      <c r="B83" s="1" t="s">
        <v>169</v>
      </c>
      <c r="C83" s="1" t="s">
        <v>95</v>
      </c>
      <c r="D83" s="14" t="s">
        <v>5524</v>
      </c>
    </row>
    <row r="84" spans="1:4" hidden="1" x14ac:dyDescent="0.25">
      <c r="A84" s="1" t="s">
        <v>170</v>
      </c>
      <c r="B84" s="1" t="s">
        <v>171</v>
      </c>
      <c r="C84" s="1" t="s">
        <v>98</v>
      </c>
      <c r="D84" s="14" t="s">
        <v>5524</v>
      </c>
    </row>
    <row r="85" spans="1:4" hidden="1" x14ac:dyDescent="0.25">
      <c r="A85" s="1" t="s">
        <v>172</v>
      </c>
      <c r="B85" s="1" t="s">
        <v>173</v>
      </c>
      <c r="C85" s="1" t="s">
        <v>101</v>
      </c>
      <c r="D85" s="14" t="s">
        <v>5524</v>
      </c>
    </row>
    <row r="86" spans="1:4" hidden="1" x14ac:dyDescent="0.25">
      <c r="A86" s="1" t="s">
        <v>174</v>
      </c>
      <c r="B86" s="1" t="s">
        <v>175</v>
      </c>
      <c r="C86" s="1" t="s">
        <v>104</v>
      </c>
      <c r="D86" s="14" t="s">
        <v>5524</v>
      </c>
    </row>
    <row r="87" spans="1:4" hidden="1" x14ac:dyDescent="0.25">
      <c r="A87" s="1" t="s">
        <v>176</v>
      </c>
      <c r="B87" s="1" t="s">
        <v>177</v>
      </c>
      <c r="C87" s="1" t="s">
        <v>107</v>
      </c>
      <c r="D87" s="14" t="s">
        <v>5524</v>
      </c>
    </row>
    <row r="88" spans="1:4" hidden="1" x14ac:dyDescent="0.25">
      <c r="A88" s="1" t="s">
        <v>178</v>
      </c>
      <c r="B88" s="1" t="s">
        <v>179</v>
      </c>
      <c r="C88" s="1" t="s">
        <v>5</v>
      </c>
      <c r="D88" s="14" t="s">
        <v>5524</v>
      </c>
    </row>
    <row r="89" spans="1:4" hidden="1" x14ac:dyDescent="0.25">
      <c r="A89" s="1" t="s">
        <v>180</v>
      </c>
      <c r="B89" s="1" t="s">
        <v>181</v>
      </c>
      <c r="C89" s="1" t="s">
        <v>8</v>
      </c>
      <c r="D89" s="14" t="s">
        <v>5524</v>
      </c>
    </row>
    <row r="90" spans="1:4" hidden="1" x14ac:dyDescent="0.25">
      <c r="A90" s="1" t="s">
        <v>182</v>
      </c>
      <c r="B90" s="1" t="s">
        <v>183</v>
      </c>
      <c r="C90" s="1" t="s">
        <v>11</v>
      </c>
      <c r="D90" s="14" t="s">
        <v>5524</v>
      </c>
    </row>
    <row r="91" spans="1:4" hidden="1" x14ac:dyDescent="0.25">
      <c r="A91" s="1" t="s">
        <v>184</v>
      </c>
      <c r="B91" s="1" t="s">
        <v>185</v>
      </c>
      <c r="C91" s="1" t="s">
        <v>14</v>
      </c>
      <c r="D91" s="14" t="s">
        <v>5524</v>
      </c>
    </row>
    <row r="92" spans="1:4" hidden="1" x14ac:dyDescent="0.25">
      <c r="A92" s="1" t="s">
        <v>186</v>
      </c>
      <c r="B92" s="1" t="s">
        <v>187</v>
      </c>
      <c r="C92" s="1" t="s">
        <v>17</v>
      </c>
      <c r="D92" s="14" t="s">
        <v>5524</v>
      </c>
    </row>
    <row r="93" spans="1:4" hidden="1" x14ac:dyDescent="0.25">
      <c r="A93" s="1" t="s">
        <v>188</v>
      </c>
      <c r="B93" s="1" t="s">
        <v>189</v>
      </c>
      <c r="C93" s="1" t="s">
        <v>20</v>
      </c>
      <c r="D93" s="14" t="s">
        <v>5524</v>
      </c>
    </row>
    <row r="94" spans="1:4" hidden="1" x14ac:dyDescent="0.25">
      <c r="A94" s="1" t="s">
        <v>190</v>
      </c>
      <c r="B94" s="1" t="s">
        <v>191</v>
      </c>
      <c r="C94" s="1" t="s">
        <v>23</v>
      </c>
      <c r="D94" s="14" t="s">
        <v>5524</v>
      </c>
    </row>
    <row r="95" spans="1:4" hidden="1" x14ac:dyDescent="0.25">
      <c r="A95" s="1" t="s">
        <v>192</v>
      </c>
      <c r="B95" s="1" t="s">
        <v>193</v>
      </c>
      <c r="C95" s="1" t="s">
        <v>26</v>
      </c>
      <c r="D95" s="14" t="s">
        <v>5524</v>
      </c>
    </row>
    <row r="96" spans="1:4" hidden="1" x14ac:dyDescent="0.25">
      <c r="A96" s="1" t="s">
        <v>194</v>
      </c>
      <c r="B96" s="1" t="s">
        <v>195</v>
      </c>
      <c r="C96" s="1" t="s">
        <v>29</v>
      </c>
      <c r="D96" s="14" t="s">
        <v>5524</v>
      </c>
    </row>
    <row r="97" spans="1:4" hidden="1" x14ac:dyDescent="0.25">
      <c r="A97" s="1" t="s">
        <v>196</v>
      </c>
      <c r="B97" s="1" t="s">
        <v>197</v>
      </c>
      <c r="C97" s="1" t="s">
        <v>32</v>
      </c>
      <c r="D97" s="14" t="s">
        <v>5524</v>
      </c>
    </row>
    <row r="98" spans="1:4" hidden="1" x14ac:dyDescent="0.25">
      <c r="A98" s="1" t="s">
        <v>198</v>
      </c>
      <c r="B98" s="1" t="s">
        <v>199</v>
      </c>
      <c r="C98" s="1" t="s">
        <v>35</v>
      </c>
      <c r="D98" s="14" t="s">
        <v>5524</v>
      </c>
    </row>
    <row r="99" spans="1:4" hidden="1" x14ac:dyDescent="0.25">
      <c r="A99" s="1" t="s">
        <v>200</v>
      </c>
      <c r="B99" s="1" t="s">
        <v>201</v>
      </c>
      <c r="C99" s="1" t="s">
        <v>38</v>
      </c>
      <c r="D99" s="14" t="s">
        <v>5524</v>
      </c>
    </row>
    <row r="100" spans="1:4" hidden="1" x14ac:dyDescent="0.25">
      <c r="A100" s="1" t="s">
        <v>202</v>
      </c>
      <c r="B100" s="1" t="s">
        <v>203</v>
      </c>
      <c r="C100" s="1" t="s">
        <v>41</v>
      </c>
      <c r="D100" s="14" t="s">
        <v>5524</v>
      </c>
    </row>
    <row r="101" spans="1:4" hidden="1" x14ac:dyDescent="0.25">
      <c r="A101" s="1" t="s">
        <v>204</v>
      </c>
      <c r="B101" s="1" t="s">
        <v>205</v>
      </c>
      <c r="C101" s="1" t="s">
        <v>44</v>
      </c>
      <c r="D101" s="14" t="s">
        <v>5524</v>
      </c>
    </row>
    <row r="102" spans="1:4" hidden="1" x14ac:dyDescent="0.25">
      <c r="A102" s="1" t="s">
        <v>206</v>
      </c>
      <c r="B102" s="1" t="s">
        <v>207</v>
      </c>
      <c r="C102" s="1" t="s">
        <v>47</v>
      </c>
      <c r="D102" s="14" t="s">
        <v>5524</v>
      </c>
    </row>
    <row r="103" spans="1:4" hidden="1" x14ac:dyDescent="0.25">
      <c r="A103" s="1" t="s">
        <v>208</v>
      </c>
      <c r="B103" s="1" t="s">
        <v>209</v>
      </c>
      <c r="C103" s="1" t="s">
        <v>50</v>
      </c>
      <c r="D103" s="14" t="s">
        <v>5524</v>
      </c>
    </row>
    <row r="104" spans="1:4" hidden="1" x14ac:dyDescent="0.25">
      <c r="A104" s="1" t="s">
        <v>210</v>
      </c>
      <c r="B104" s="1" t="s">
        <v>211</v>
      </c>
      <c r="C104" s="1" t="s">
        <v>53</v>
      </c>
      <c r="D104" s="14" t="s">
        <v>5524</v>
      </c>
    </row>
    <row r="105" spans="1:4" hidden="1" x14ac:dyDescent="0.25">
      <c r="A105" s="1" t="s">
        <v>212</v>
      </c>
      <c r="B105" s="1" t="s">
        <v>213</v>
      </c>
      <c r="C105" s="1" t="s">
        <v>56</v>
      </c>
      <c r="D105" s="14" t="s">
        <v>5524</v>
      </c>
    </row>
    <row r="106" spans="1:4" hidden="1" x14ac:dyDescent="0.25">
      <c r="A106" s="1" t="s">
        <v>214</v>
      </c>
      <c r="B106" s="1" t="s">
        <v>215</v>
      </c>
      <c r="C106" s="1" t="s">
        <v>59</v>
      </c>
      <c r="D106" s="14" t="s">
        <v>5524</v>
      </c>
    </row>
    <row r="107" spans="1:4" hidden="1" x14ac:dyDescent="0.25">
      <c r="A107" s="1" t="s">
        <v>216</v>
      </c>
      <c r="B107" s="1" t="s">
        <v>217</v>
      </c>
      <c r="C107" s="1" t="s">
        <v>62</v>
      </c>
      <c r="D107" s="14" t="s">
        <v>5524</v>
      </c>
    </row>
    <row r="108" spans="1:4" hidden="1" x14ac:dyDescent="0.25">
      <c r="A108" s="1" t="s">
        <v>218</v>
      </c>
      <c r="B108" s="1" t="s">
        <v>219</v>
      </c>
      <c r="C108" s="1" t="s">
        <v>65</v>
      </c>
      <c r="D108" s="14" t="s">
        <v>5524</v>
      </c>
    </row>
    <row r="109" spans="1:4" hidden="1" x14ac:dyDescent="0.25">
      <c r="A109" s="1" t="s">
        <v>220</v>
      </c>
      <c r="B109" s="1" t="s">
        <v>221</v>
      </c>
      <c r="C109" s="1" t="s">
        <v>68</v>
      </c>
      <c r="D109" s="14" t="s">
        <v>5524</v>
      </c>
    </row>
    <row r="110" spans="1:4" hidden="1" x14ac:dyDescent="0.25">
      <c r="A110" s="1" t="s">
        <v>222</v>
      </c>
      <c r="B110" s="1" t="s">
        <v>223</v>
      </c>
      <c r="C110" s="1" t="s">
        <v>71</v>
      </c>
      <c r="D110" s="14" t="s">
        <v>5524</v>
      </c>
    </row>
    <row r="111" spans="1:4" hidden="1" x14ac:dyDescent="0.25">
      <c r="A111" s="1" t="s">
        <v>224</v>
      </c>
      <c r="B111" s="1" t="s">
        <v>225</v>
      </c>
      <c r="C111" s="1" t="s">
        <v>74</v>
      </c>
      <c r="D111" s="14" t="s">
        <v>5524</v>
      </c>
    </row>
    <row r="112" spans="1:4" hidden="1" x14ac:dyDescent="0.25">
      <c r="A112" s="1" t="s">
        <v>226</v>
      </c>
      <c r="B112" s="1" t="s">
        <v>227</v>
      </c>
      <c r="C112" s="1" t="s">
        <v>77</v>
      </c>
      <c r="D112" s="14" t="s">
        <v>5524</v>
      </c>
    </row>
    <row r="113" spans="1:4" hidden="1" x14ac:dyDescent="0.25">
      <c r="A113" s="1" t="s">
        <v>228</v>
      </c>
      <c r="B113" s="1" t="s">
        <v>229</v>
      </c>
      <c r="C113" s="1" t="s">
        <v>80</v>
      </c>
      <c r="D113" s="14" t="s">
        <v>5524</v>
      </c>
    </row>
    <row r="114" spans="1:4" hidden="1" x14ac:dyDescent="0.25">
      <c r="A114" s="1" t="s">
        <v>230</v>
      </c>
      <c r="B114" s="1" t="s">
        <v>231</v>
      </c>
      <c r="C114" s="1" t="s">
        <v>83</v>
      </c>
      <c r="D114" s="14" t="s">
        <v>5524</v>
      </c>
    </row>
    <row r="115" spans="1:4" hidden="1" x14ac:dyDescent="0.25">
      <c r="A115" s="1" t="s">
        <v>232</v>
      </c>
      <c r="B115" s="1" t="s">
        <v>233</v>
      </c>
      <c r="C115" s="1" t="s">
        <v>86</v>
      </c>
      <c r="D115" s="14" t="s">
        <v>5524</v>
      </c>
    </row>
    <row r="116" spans="1:4" hidden="1" x14ac:dyDescent="0.25">
      <c r="A116" s="1" t="s">
        <v>234</v>
      </c>
      <c r="B116" s="1" t="s">
        <v>235</v>
      </c>
      <c r="C116" s="1" t="s">
        <v>89</v>
      </c>
      <c r="D116" s="14" t="s">
        <v>5524</v>
      </c>
    </row>
    <row r="117" spans="1:4" hidden="1" x14ac:dyDescent="0.25">
      <c r="A117" s="1" t="s">
        <v>236</v>
      </c>
      <c r="B117" s="1" t="s">
        <v>237</v>
      </c>
      <c r="C117" s="1" t="s">
        <v>92</v>
      </c>
      <c r="D117" s="14" t="s">
        <v>5524</v>
      </c>
    </row>
    <row r="118" spans="1:4" hidden="1" x14ac:dyDescent="0.25">
      <c r="A118" s="1" t="s">
        <v>238</v>
      </c>
      <c r="B118" s="1" t="s">
        <v>239</v>
      </c>
      <c r="C118" s="1" t="s">
        <v>95</v>
      </c>
      <c r="D118" s="14" t="s">
        <v>5524</v>
      </c>
    </row>
    <row r="119" spans="1:4" hidden="1" x14ac:dyDescent="0.25">
      <c r="A119" s="1" t="s">
        <v>240</v>
      </c>
      <c r="B119" s="1" t="s">
        <v>241</v>
      </c>
      <c r="C119" s="1" t="s">
        <v>98</v>
      </c>
      <c r="D119" s="14" t="s">
        <v>5524</v>
      </c>
    </row>
    <row r="120" spans="1:4" hidden="1" x14ac:dyDescent="0.25">
      <c r="A120" s="1" t="s">
        <v>242</v>
      </c>
      <c r="B120" s="1" t="s">
        <v>243</v>
      </c>
      <c r="C120" s="1" t="s">
        <v>101</v>
      </c>
      <c r="D120" s="14" t="s">
        <v>5524</v>
      </c>
    </row>
    <row r="121" spans="1:4" hidden="1" x14ac:dyDescent="0.25">
      <c r="A121" s="1" t="s">
        <v>244</v>
      </c>
      <c r="B121" s="1" t="s">
        <v>245</v>
      </c>
      <c r="C121" s="1" t="s">
        <v>104</v>
      </c>
      <c r="D121" s="14" t="s">
        <v>5524</v>
      </c>
    </row>
    <row r="122" spans="1:4" hidden="1" x14ac:dyDescent="0.25">
      <c r="A122" s="1" t="s">
        <v>246</v>
      </c>
      <c r="B122" s="1" t="s">
        <v>247</v>
      </c>
      <c r="C122" s="1" t="s">
        <v>107</v>
      </c>
      <c r="D122" s="14" t="s">
        <v>5524</v>
      </c>
    </row>
    <row r="123" spans="1:4" hidden="1" x14ac:dyDescent="0.25">
      <c r="A123" s="1" t="s">
        <v>248</v>
      </c>
      <c r="B123" s="1" t="s">
        <v>249</v>
      </c>
      <c r="C123" s="1" t="s">
        <v>250</v>
      </c>
      <c r="D123" s="14" t="s">
        <v>5524</v>
      </c>
    </row>
    <row r="124" spans="1:4" hidden="1" x14ac:dyDescent="0.25">
      <c r="A124" s="1" t="s">
        <v>251</v>
      </c>
      <c r="B124" s="1" t="s">
        <v>252</v>
      </c>
      <c r="C124" s="1" t="s">
        <v>253</v>
      </c>
      <c r="D124" s="14" t="s">
        <v>5524</v>
      </c>
    </row>
    <row r="125" spans="1:4" hidden="1" x14ac:dyDescent="0.25">
      <c r="A125" s="1" t="s">
        <v>254</v>
      </c>
      <c r="B125" s="1" t="s">
        <v>255</v>
      </c>
      <c r="C125" s="1" t="s">
        <v>256</v>
      </c>
      <c r="D125" s="14" t="s">
        <v>5524</v>
      </c>
    </row>
    <row r="126" spans="1:4" hidden="1" x14ac:dyDescent="0.25">
      <c r="A126" s="1" t="s">
        <v>257</v>
      </c>
      <c r="B126" s="1" t="s">
        <v>258</v>
      </c>
      <c r="C126" s="1" t="s">
        <v>259</v>
      </c>
      <c r="D126" s="14" t="s">
        <v>5524</v>
      </c>
    </row>
    <row r="127" spans="1:4" hidden="1" x14ac:dyDescent="0.25">
      <c r="A127" s="1" t="s">
        <v>260</v>
      </c>
      <c r="B127" s="1" t="s">
        <v>261</v>
      </c>
      <c r="C127" s="1" t="s">
        <v>262</v>
      </c>
      <c r="D127" s="14" t="s">
        <v>5524</v>
      </c>
    </row>
    <row r="128" spans="1:4" hidden="1" x14ac:dyDescent="0.25">
      <c r="A128" s="1" t="s">
        <v>263</v>
      </c>
      <c r="B128" s="1" t="s">
        <v>264</v>
      </c>
      <c r="C128" s="1" t="s">
        <v>265</v>
      </c>
      <c r="D128" s="14" t="s">
        <v>5524</v>
      </c>
    </row>
    <row r="129" spans="1:4" hidden="1" x14ac:dyDescent="0.25">
      <c r="A129" s="1" t="s">
        <v>266</v>
      </c>
      <c r="B129" s="1" t="s">
        <v>267</v>
      </c>
      <c r="C129" s="1" t="s">
        <v>268</v>
      </c>
      <c r="D129" s="14" t="s">
        <v>5524</v>
      </c>
    </row>
    <row r="130" spans="1:4" hidden="1" x14ac:dyDescent="0.25">
      <c r="A130" s="1" t="s">
        <v>269</v>
      </c>
      <c r="B130" s="1" t="s">
        <v>270</v>
      </c>
      <c r="C130" s="1" t="s">
        <v>271</v>
      </c>
      <c r="D130" s="14" t="s">
        <v>5524</v>
      </c>
    </row>
    <row r="131" spans="1:4" hidden="1" x14ac:dyDescent="0.25">
      <c r="A131" s="1" t="s">
        <v>272</v>
      </c>
      <c r="B131" s="1" t="s">
        <v>273</v>
      </c>
      <c r="C131" s="1" t="s">
        <v>274</v>
      </c>
      <c r="D131" s="14" t="s">
        <v>5524</v>
      </c>
    </row>
    <row r="132" spans="1:4" hidden="1" x14ac:dyDescent="0.25">
      <c r="A132" s="1" t="s">
        <v>275</v>
      </c>
      <c r="B132" s="1" t="s">
        <v>276</v>
      </c>
      <c r="C132" s="1" t="s">
        <v>277</v>
      </c>
      <c r="D132" s="14" t="s">
        <v>5524</v>
      </c>
    </row>
    <row r="133" spans="1:4" hidden="1" x14ac:dyDescent="0.25">
      <c r="A133" s="1" t="s">
        <v>278</v>
      </c>
      <c r="B133" s="1" t="s">
        <v>279</v>
      </c>
      <c r="C133" s="1" t="s">
        <v>280</v>
      </c>
      <c r="D133" s="14" t="s">
        <v>5524</v>
      </c>
    </row>
    <row r="134" spans="1:4" hidden="1" x14ac:dyDescent="0.25">
      <c r="A134" s="1" t="s">
        <v>281</v>
      </c>
      <c r="B134" s="1" t="s">
        <v>282</v>
      </c>
      <c r="C134" s="1" t="s">
        <v>283</v>
      </c>
      <c r="D134" s="14" t="s">
        <v>5524</v>
      </c>
    </row>
    <row r="135" spans="1:4" hidden="1" x14ac:dyDescent="0.25">
      <c r="A135" s="1" t="s">
        <v>284</v>
      </c>
      <c r="B135" s="1" t="s">
        <v>285</v>
      </c>
      <c r="C135" s="1" t="s">
        <v>286</v>
      </c>
      <c r="D135" s="14" t="s">
        <v>5524</v>
      </c>
    </row>
    <row r="136" spans="1:4" hidden="1" x14ac:dyDescent="0.25">
      <c r="A136" s="1" t="s">
        <v>287</v>
      </c>
      <c r="B136" s="1" t="s">
        <v>288</v>
      </c>
      <c r="C136" s="1" t="s">
        <v>289</v>
      </c>
      <c r="D136" s="14" t="s">
        <v>5524</v>
      </c>
    </row>
    <row r="137" spans="1:4" hidden="1" x14ac:dyDescent="0.25">
      <c r="A137" s="1" t="s">
        <v>290</v>
      </c>
      <c r="B137" s="1" t="s">
        <v>291</v>
      </c>
      <c r="C137" s="1" t="s">
        <v>292</v>
      </c>
      <c r="D137" s="14" t="s">
        <v>5524</v>
      </c>
    </row>
    <row r="138" spans="1:4" hidden="1" x14ac:dyDescent="0.25">
      <c r="A138" s="1" t="s">
        <v>293</v>
      </c>
      <c r="B138" s="1" t="s">
        <v>294</v>
      </c>
      <c r="C138" s="1" t="s">
        <v>295</v>
      </c>
      <c r="D138" s="14" t="s">
        <v>5524</v>
      </c>
    </row>
    <row r="139" spans="1:4" hidden="1" x14ac:dyDescent="0.25">
      <c r="A139" s="1" t="s">
        <v>296</v>
      </c>
      <c r="B139" s="1" t="s">
        <v>297</v>
      </c>
      <c r="C139" s="1" t="s">
        <v>298</v>
      </c>
      <c r="D139" s="14" t="s">
        <v>5524</v>
      </c>
    </row>
    <row r="140" spans="1:4" hidden="1" x14ac:dyDescent="0.25">
      <c r="A140" s="1" t="s">
        <v>299</v>
      </c>
      <c r="B140" s="1" t="s">
        <v>300</v>
      </c>
      <c r="C140" s="1" t="s">
        <v>301</v>
      </c>
      <c r="D140" s="14" t="s">
        <v>5524</v>
      </c>
    </row>
    <row r="141" spans="1:4" hidden="1" x14ac:dyDescent="0.25">
      <c r="A141" s="1" t="s">
        <v>302</v>
      </c>
      <c r="B141" s="1" t="s">
        <v>303</v>
      </c>
      <c r="C141" s="1" t="s">
        <v>304</v>
      </c>
      <c r="D141" s="14" t="s">
        <v>5524</v>
      </c>
    </row>
    <row r="142" spans="1:4" hidden="1" x14ac:dyDescent="0.25">
      <c r="A142" s="1" t="s">
        <v>305</v>
      </c>
      <c r="B142" s="1" t="s">
        <v>306</v>
      </c>
      <c r="C142" s="1" t="s">
        <v>307</v>
      </c>
      <c r="D142" s="14" t="s">
        <v>5524</v>
      </c>
    </row>
    <row r="143" spans="1:4" hidden="1" x14ac:dyDescent="0.25">
      <c r="A143" s="1" t="s">
        <v>308</v>
      </c>
      <c r="B143" s="1" t="s">
        <v>309</v>
      </c>
      <c r="C143" s="1" t="s">
        <v>310</v>
      </c>
      <c r="D143" s="14" t="s">
        <v>5524</v>
      </c>
    </row>
    <row r="144" spans="1:4" hidden="1" x14ac:dyDescent="0.25">
      <c r="A144" s="1" t="s">
        <v>311</v>
      </c>
      <c r="B144" s="1" t="s">
        <v>312</v>
      </c>
      <c r="C144" s="1" t="s">
        <v>313</v>
      </c>
      <c r="D144" s="14" t="s">
        <v>5524</v>
      </c>
    </row>
    <row r="145" spans="1:4" hidden="1" x14ac:dyDescent="0.25">
      <c r="A145" s="1" t="s">
        <v>314</v>
      </c>
      <c r="B145" s="1" t="s">
        <v>315</v>
      </c>
      <c r="C145" s="1" t="s">
        <v>316</v>
      </c>
      <c r="D145" s="14" t="s">
        <v>5524</v>
      </c>
    </row>
    <row r="146" spans="1:4" hidden="1" x14ac:dyDescent="0.25">
      <c r="A146" s="1" t="s">
        <v>317</v>
      </c>
      <c r="B146" s="1" t="s">
        <v>318</v>
      </c>
      <c r="C146" s="1" t="s">
        <v>319</v>
      </c>
      <c r="D146" s="14" t="s">
        <v>5524</v>
      </c>
    </row>
    <row r="147" spans="1:4" hidden="1" x14ac:dyDescent="0.25">
      <c r="A147" s="1" t="s">
        <v>320</v>
      </c>
      <c r="B147" s="1" t="s">
        <v>321</v>
      </c>
      <c r="C147" s="1" t="s">
        <v>322</v>
      </c>
      <c r="D147" s="14" t="s">
        <v>5524</v>
      </c>
    </row>
    <row r="148" spans="1:4" hidden="1" x14ac:dyDescent="0.25">
      <c r="A148" s="1" t="s">
        <v>323</v>
      </c>
      <c r="B148" s="1" t="s">
        <v>324</v>
      </c>
      <c r="C148" s="1" t="s">
        <v>325</v>
      </c>
      <c r="D148" s="14" t="s">
        <v>5524</v>
      </c>
    </row>
    <row r="149" spans="1:4" hidden="1" x14ac:dyDescent="0.25">
      <c r="A149" s="1" t="s">
        <v>326</v>
      </c>
      <c r="B149" s="1" t="s">
        <v>327</v>
      </c>
      <c r="C149" s="1" t="s">
        <v>328</v>
      </c>
      <c r="D149" s="14" t="s">
        <v>5524</v>
      </c>
    </row>
    <row r="150" spans="1:4" hidden="1" x14ac:dyDescent="0.25">
      <c r="A150" s="1" t="s">
        <v>329</v>
      </c>
      <c r="B150" s="1" t="s">
        <v>330</v>
      </c>
      <c r="C150" s="1" t="s">
        <v>331</v>
      </c>
      <c r="D150" s="14" t="s">
        <v>5524</v>
      </c>
    </row>
    <row r="151" spans="1:4" hidden="1" x14ac:dyDescent="0.25">
      <c r="A151" s="1" t="s">
        <v>332</v>
      </c>
      <c r="B151" s="1" t="s">
        <v>333</v>
      </c>
      <c r="C151" s="1" t="s">
        <v>334</v>
      </c>
      <c r="D151" s="14" t="s">
        <v>5524</v>
      </c>
    </row>
    <row r="152" spans="1:4" hidden="1" x14ac:dyDescent="0.25">
      <c r="A152" s="1" t="s">
        <v>335</v>
      </c>
      <c r="B152" s="1" t="s">
        <v>336</v>
      </c>
      <c r="C152" s="1" t="s">
        <v>337</v>
      </c>
      <c r="D152" s="14" t="s">
        <v>5524</v>
      </c>
    </row>
    <row r="153" spans="1:4" hidden="1" x14ac:dyDescent="0.25">
      <c r="A153" s="1" t="s">
        <v>338</v>
      </c>
      <c r="B153" s="1" t="s">
        <v>339</v>
      </c>
      <c r="C153" s="1" t="s">
        <v>340</v>
      </c>
      <c r="D153" s="14" t="s">
        <v>5524</v>
      </c>
    </row>
    <row r="154" spans="1:4" hidden="1" x14ac:dyDescent="0.25">
      <c r="A154" s="1" t="s">
        <v>341</v>
      </c>
      <c r="B154" s="1" t="s">
        <v>342</v>
      </c>
      <c r="C154" s="1" t="s">
        <v>343</v>
      </c>
      <c r="D154" s="14" t="s">
        <v>5524</v>
      </c>
    </row>
    <row r="155" spans="1:4" hidden="1" x14ac:dyDescent="0.25">
      <c r="A155" s="1" t="s">
        <v>344</v>
      </c>
      <c r="B155" s="1" t="s">
        <v>345</v>
      </c>
      <c r="C155" s="1" t="s">
        <v>346</v>
      </c>
      <c r="D155" s="14" t="s">
        <v>5524</v>
      </c>
    </row>
    <row r="156" spans="1:4" hidden="1" x14ac:dyDescent="0.25">
      <c r="A156" s="1" t="s">
        <v>347</v>
      </c>
      <c r="B156" s="1" t="s">
        <v>348</v>
      </c>
      <c r="C156" s="1" t="s">
        <v>349</v>
      </c>
      <c r="D156" s="14" t="s">
        <v>5524</v>
      </c>
    </row>
    <row r="157" spans="1:4" hidden="1" x14ac:dyDescent="0.25">
      <c r="A157" s="1" t="s">
        <v>350</v>
      </c>
      <c r="B157" s="1" t="s">
        <v>351</v>
      </c>
      <c r="C157" s="1" t="s">
        <v>352</v>
      </c>
      <c r="D157" s="14" t="s">
        <v>5524</v>
      </c>
    </row>
    <row r="158" spans="1:4" hidden="1" x14ac:dyDescent="0.25">
      <c r="A158" s="1" t="s">
        <v>353</v>
      </c>
      <c r="B158" s="1" t="s">
        <v>354</v>
      </c>
      <c r="C158" s="1" t="s">
        <v>250</v>
      </c>
      <c r="D158" s="14" t="s">
        <v>5524</v>
      </c>
    </row>
    <row r="159" spans="1:4" hidden="1" x14ac:dyDescent="0.25">
      <c r="A159" s="1" t="s">
        <v>355</v>
      </c>
      <c r="B159" s="1" t="s">
        <v>356</v>
      </c>
      <c r="C159" s="1" t="s">
        <v>253</v>
      </c>
      <c r="D159" s="14" t="s">
        <v>5524</v>
      </c>
    </row>
    <row r="160" spans="1:4" hidden="1" x14ac:dyDescent="0.25">
      <c r="A160" s="1" t="s">
        <v>357</v>
      </c>
      <c r="B160" s="1" t="s">
        <v>358</v>
      </c>
      <c r="C160" s="1" t="s">
        <v>256</v>
      </c>
      <c r="D160" s="14" t="s">
        <v>5524</v>
      </c>
    </row>
    <row r="161" spans="1:4" hidden="1" x14ac:dyDescent="0.25">
      <c r="A161" s="1" t="s">
        <v>359</v>
      </c>
      <c r="B161" s="1" t="s">
        <v>360</v>
      </c>
      <c r="C161" s="1" t="s">
        <v>259</v>
      </c>
      <c r="D161" s="14" t="s">
        <v>5524</v>
      </c>
    </row>
    <row r="162" spans="1:4" hidden="1" x14ac:dyDescent="0.25">
      <c r="A162" s="1" t="s">
        <v>361</v>
      </c>
      <c r="B162" s="1" t="s">
        <v>362</v>
      </c>
      <c r="C162" s="1" t="s">
        <v>262</v>
      </c>
      <c r="D162" s="14" t="s">
        <v>5524</v>
      </c>
    </row>
    <row r="163" spans="1:4" hidden="1" x14ac:dyDescent="0.25">
      <c r="A163" s="1" t="s">
        <v>363</v>
      </c>
      <c r="B163" s="1" t="s">
        <v>364</v>
      </c>
      <c r="C163" s="1" t="s">
        <v>265</v>
      </c>
      <c r="D163" s="14" t="s">
        <v>5524</v>
      </c>
    </row>
    <row r="164" spans="1:4" hidden="1" x14ac:dyDescent="0.25">
      <c r="A164" s="1" t="s">
        <v>365</v>
      </c>
      <c r="B164" s="1" t="s">
        <v>366</v>
      </c>
      <c r="C164" s="1" t="s">
        <v>268</v>
      </c>
      <c r="D164" s="14" t="s">
        <v>5524</v>
      </c>
    </row>
    <row r="165" spans="1:4" hidden="1" x14ac:dyDescent="0.25">
      <c r="A165" s="1" t="s">
        <v>367</v>
      </c>
      <c r="B165" s="1" t="s">
        <v>368</v>
      </c>
      <c r="C165" s="1" t="s">
        <v>271</v>
      </c>
      <c r="D165" s="14" t="s">
        <v>5524</v>
      </c>
    </row>
    <row r="166" spans="1:4" hidden="1" x14ac:dyDescent="0.25">
      <c r="A166" s="1" t="s">
        <v>369</v>
      </c>
      <c r="B166" s="1" t="s">
        <v>370</v>
      </c>
      <c r="C166" s="1" t="s">
        <v>274</v>
      </c>
      <c r="D166" s="14" t="s">
        <v>5524</v>
      </c>
    </row>
    <row r="167" spans="1:4" hidden="1" x14ac:dyDescent="0.25">
      <c r="A167" s="1" t="s">
        <v>371</v>
      </c>
      <c r="B167" s="1" t="s">
        <v>372</v>
      </c>
      <c r="C167" s="1" t="s">
        <v>277</v>
      </c>
      <c r="D167" s="14" t="s">
        <v>5524</v>
      </c>
    </row>
    <row r="168" spans="1:4" hidden="1" x14ac:dyDescent="0.25">
      <c r="A168" s="1" t="s">
        <v>373</v>
      </c>
      <c r="B168" s="1" t="s">
        <v>374</v>
      </c>
      <c r="C168" s="1" t="s">
        <v>280</v>
      </c>
      <c r="D168" s="14" t="s">
        <v>5524</v>
      </c>
    </row>
    <row r="169" spans="1:4" hidden="1" x14ac:dyDescent="0.25">
      <c r="A169" s="1" t="s">
        <v>375</v>
      </c>
      <c r="B169" s="1" t="s">
        <v>376</v>
      </c>
      <c r="C169" s="1" t="s">
        <v>283</v>
      </c>
      <c r="D169" s="14" t="s">
        <v>5524</v>
      </c>
    </row>
    <row r="170" spans="1:4" hidden="1" x14ac:dyDescent="0.25">
      <c r="A170" s="1" t="s">
        <v>377</v>
      </c>
      <c r="B170" s="1" t="s">
        <v>378</v>
      </c>
      <c r="C170" s="1" t="s">
        <v>286</v>
      </c>
      <c r="D170" s="14" t="s">
        <v>5524</v>
      </c>
    </row>
    <row r="171" spans="1:4" hidden="1" x14ac:dyDescent="0.25">
      <c r="A171" s="1" t="s">
        <v>379</v>
      </c>
      <c r="B171" s="1" t="s">
        <v>380</v>
      </c>
      <c r="C171" s="1" t="s">
        <v>289</v>
      </c>
      <c r="D171" s="14" t="s">
        <v>5524</v>
      </c>
    </row>
    <row r="172" spans="1:4" hidden="1" x14ac:dyDescent="0.25">
      <c r="A172" s="1" t="s">
        <v>381</v>
      </c>
      <c r="B172" s="1" t="s">
        <v>382</v>
      </c>
      <c r="C172" s="1" t="s">
        <v>292</v>
      </c>
      <c r="D172" s="14" t="s">
        <v>5524</v>
      </c>
    </row>
    <row r="173" spans="1:4" hidden="1" x14ac:dyDescent="0.25">
      <c r="A173" s="1" t="s">
        <v>383</v>
      </c>
      <c r="B173" s="1" t="s">
        <v>384</v>
      </c>
      <c r="C173" s="1" t="s">
        <v>295</v>
      </c>
      <c r="D173" s="14" t="s">
        <v>5524</v>
      </c>
    </row>
    <row r="174" spans="1:4" hidden="1" x14ac:dyDescent="0.25">
      <c r="A174" s="1" t="s">
        <v>385</v>
      </c>
      <c r="B174" s="1" t="s">
        <v>386</v>
      </c>
      <c r="C174" s="1" t="s">
        <v>298</v>
      </c>
      <c r="D174" s="14" t="s">
        <v>5524</v>
      </c>
    </row>
    <row r="175" spans="1:4" hidden="1" x14ac:dyDescent="0.25">
      <c r="A175" s="1" t="s">
        <v>387</v>
      </c>
      <c r="B175" s="1" t="s">
        <v>388</v>
      </c>
      <c r="C175" s="1" t="s">
        <v>301</v>
      </c>
      <c r="D175" s="14" t="s">
        <v>5524</v>
      </c>
    </row>
    <row r="176" spans="1:4" hidden="1" x14ac:dyDescent="0.25">
      <c r="A176" s="1" t="s">
        <v>389</v>
      </c>
      <c r="B176" s="1" t="s">
        <v>390</v>
      </c>
      <c r="C176" s="1" t="s">
        <v>304</v>
      </c>
      <c r="D176" s="14" t="s">
        <v>5524</v>
      </c>
    </row>
    <row r="177" spans="1:4" hidden="1" x14ac:dyDescent="0.25">
      <c r="A177" s="1" t="s">
        <v>391</v>
      </c>
      <c r="B177" s="1" t="s">
        <v>392</v>
      </c>
      <c r="C177" s="1" t="s">
        <v>307</v>
      </c>
      <c r="D177" s="14" t="s">
        <v>5524</v>
      </c>
    </row>
    <row r="178" spans="1:4" hidden="1" x14ac:dyDescent="0.25">
      <c r="A178" s="1" t="s">
        <v>393</v>
      </c>
      <c r="B178" s="1" t="s">
        <v>394</v>
      </c>
      <c r="C178" s="1" t="s">
        <v>310</v>
      </c>
      <c r="D178" s="14" t="s">
        <v>5524</v>
      </c>
    </row>
    <row r="179" spans="1:4" hidden="1" x14ac:dyDescent="0.25">
      <c r="A179" s="1" t="s">
        <v>395</v>
      </c>
      <c r="B179" s="1" t="s">
        <v>396</v>
      </c>
      <c r="C179" s="1" t="s">
        <v>313</v>
      </c>
      <c r="D179" s="14" t="s">
        <v>5524</v>
      </c>
    </row>
    <row r="180" spans="1:4" hidden="1" x14ac:dyDescent="0.25">
      <c r="A180" s="1" t="s">
        <v>397</v>
      </c>
      <c r="B180" s="1" t="s">
        <v>398</v>
      </c>
      <c r="C180" s="1" t="s">
        <v>316</v>
      </c>
      <c r="D180" s="14" t="s">
        <v>5524</v>
      </c>
    </row>
    <row r="181" spans="1:4" hidden="1" x14ac:dyDescent="0.25">
      <c r="A181" s="1" t="s">
        <v>399</v>
      </c>
      <c r="B181" s="1" t="s">
        <v>400</v>
      </c>
      <c r="C181" s="1" t="s">
        <v>319</v>
      </c>
      <c r="D181" s="14" t="s">
        <v>5524</v>
      </c>
    </row>
    <row r="182" spans="1:4" hidden="1" x14ac:dyDescent="0.25">
      <c r="A182" s="1" t="s">
        <v>401</v>
      </c>
      <c r="B182" s="1" t="s">
        <v>402</v>
      </c>
      <c r="C182" s="1" t="s">
        <v>322</v>
      </c>
      <c r="D182" s="14" t="s">
        <v>5524</v>
      </c>
    </row>
    <row r="183" spans="1:4" hidden="1" x14ac:dyDescent="0.25">
      <c r="A183" s="1" t="s">
        <v>403</v>
      </c>
      <c r="B183" s="1" t="s">
        <v>404</v>
      </c>
      <c r="C183" s="1" t="s">
        <v>325</v>
      </c>
      <c r="D183" s="14" t="s">
        <v>5524</v>
      </c>
    </row>
    <row r="184" spans="1:4" hidden="1" x14ac:dyDescent="0.25">
      <c r="A184" s="1" t="s">
        <v>405</v>
      </c>
      <c r="B184" s="1" t="s">
        <v>406</v>
      </c>
      <c r="C184" s="1" t="s">
        <v>328</v>
      </c>
      <c r="D184" s="14" t="s">
        <v>5524</v>
      </c>
    </row>
    <row r="185" spans="1:4" hidden="1" x14ac:dyDescent="0.25">
      <c r="A185" s="1" t="s">
        <v>407</v>
      </c>
      <c r="B185" s="1" t="s">
        <v>408</v>
      </c>
      <c r="C185" s="1" t="s">
        <v>331</v>
      </c>
      <c r="D185" s="14" t="s">
        <v>5524</v>
      </c>
    </row>
    <row r="186" spans="1:4" hidden="1" x14ac:dyDescent="0.25">
      <c r="A186" s="1" t="s">
        <v>409</v>
      </c>
      <c r="B186" s="1" t="s">
        <v>410</v>
      </c>
      <c r="C186" s="1" t="s">
        <v>334</v>
      </c>
      <c r="D186" s="14" t="s">
        <v>5524</v>
      </c>
    </row>
    <row r="187" spans="1:4" hidden="1" x14ac:dyDescent="0.25">
      <c r="A187" s="1" t="s">
        <v>411</v>
      </c>
      <c r="B187" s="1" t="s">
        <v>412</v>
      </c>
      <c r="C187" s="1" t="s">
        <v>337</v>
      </c>
      <c r="D187" s="14" t="s">
        <v>5524</v>
      </c>
    </row>
    <row r="188" spans="1:4" hidden="1" x14ac:dyDescent="0.25">
      <c r="A188" s="1" t="s">
        <v>413</v>
      </c>
      <c r="B188" s="1" t="s">
        <v>414</v>
      </c>
      <c r="C188" s="1" t="s">
        <v>340</v>
      </c>
      <c r="D188" s="14" t="s">
        <v>5524</v>
      </c>
    </row>
    <row r="189" spans="1:4" hidden="1" x14ac:dyDescent="0.25">
      <c r="A189" s="1" t="s">
        <v>415</v>
      </c>
      <c r="B189" s="1" t="s">
        <v>416</v>
      </c>
      <c r="C189" s="1" t="s">
        <v>343</v>
      </c>
      <c r="D189" s="14" t="s">
        <v>5524</v>
      </c>
    </row>
    <row r="190" spans="1:4" hidden="1" x14ac:dyDescent="0.25">
      <c r="A190" s="1" t="s">
        <v>417</v>
      </c>
      <c r="B190" s="1" t="s">
        <v>418</v>
      </c>
      <c r="C190" s="1" t="s">
        <v>346</v>
      </c>
      <c r="D190" s="14" t="s">
        <v>5524</v>
      </c>
    </row>
    <row r="191" spans="1:4" hidden="1" x14ac:dyDescent="0.25">
      <c r="A191" s="1" t="s">
        <v>419</v>
      </c>
      <c r="B191" s="1" t="s">
        <v>420</v>
      </c>
      <c r="C191" s="1" t="s">
        <v>349</v>
      </c>
      <c r="D191" s="14" t="s">
        <v>5524</v>
      </c>
    </row>
    <row r="192" spans="1:4" hidden="1" x14ac:dyDescent="0.25">
      <c r="A192" s="1" t="s">
        <v>421</v>
      </c>
      <c r="B192" s="1" t="s">
        <v>422</v>
      </c>
      <c r="C192" s="1" t="s">
        <v>352</v>
      </c>
      <c r="D192" s="14" t="s">
        <v>5524</v>
      </c>
    </row>
    <row r="193" spans="1:4" hidden="1" x14ac:dyDescent="0.25">
      <c r="A193" s="1" t="s">
        <v>423</v>
      </c>
      <c r="B193" s="1" t="s">
        <v>424</v>
      </c>
      <c r="C193" s="1" t="s">
        <v>250</v>
      </c>
      <c r="D193" s="14" t="s">
        <v>5524</v>
      </c>
    </row>
    <row r="194" spans="1:4" hidden="1" x14ac:dyDescent="0.25">
      <c r="A194" s="1" t="s">
        <v>425</v>
      </c>
      <c r="B194" s="1" t="s">
        <v>426</v>
      </c>
      <c r="C194" s="1" t="s">
        <v>253</v>
      </c>
      <c r="D194" s="14" t="s">
        <v>5524</v>
      </c>
    </row>
    <row r="195" spans="1:4" hidden="1" x14ac:dyDescent="0.25">
      <c r="A195" s="1" t="s">
        <v>427</v>
      </c>
      <c r="B195" s="1" t="s">
        <v>428</v>
      </c>
      <c r="C195" s="1" t="s">
        <v>256</v>
      </c>
      <c r="D195" s="14" t="s">
        <v>5524</v>
      </c>
    </row>
    <row r="196" spans="1:4" hidden="1" x14ac:dyDescent="0.25">
      <c r="A196" s="1" t="s">
        <v>429</v>
      </c>
      <c r="B196" s="1" t="s">
        <v>430</v>
      </c>
      <c r="C196" s="1" t="s">
        <v>259</v>
      </c>
      <c r="D196" s="14" t="s">
        <v>5524</v>
      </c>
    </row>
    <row r="197" spans="1:4" hidden="1" x14ac:dyDescent="0.25">
      <c r="A197" s="1" t="s">
        <v>431</v>
      </c>
      <c r="B197" s="1" t="s">
        <v>432</v>
      </c>
      <c r="C197" s="1" t="s">
        <v>262</v>
      </c>
      <c r="D197" s="14" t="s">
        <v>5524</v>
      </c>
    </row>
    <row r="198" spans="1:4" hidden="1" x14ac:dyDescent="0.25">
      <c r="A198" s="1" t="s">
        <v>433</v>
      </c>
      <c r="B198" s="1" t="s">
        <v>434</v>
      </c>
      <c r="C198" s="1" t="s">
        <v>265</v>
      </c>
      <c r="D198" s="14" t="s">
        <v>5524</v>
      </c>
    </row>
    <row r="199" spans="1:4" hidden="1" x14ac:dyDescent="0.25">
      <c r="A199" s="1" t="s">
        <v>435</v>
      </c>
      <c r="B199" s="1" t="s">
        <v>436</v>
      </c>
      <c r="C199" s="1" t="s">
        <v>268</v>
      </c>
      <c r="D199" s="14" t="s">
        <v>5524</v>
      </c>
    </row>
    <row r="200" spans="1:4" hidden="1" x14ac:dyDescent="0.25">
      <c r="A200" s="1" t="s">
        <v>437</v>
      </c>
      <c r="B200" s="1" t="s">
        <v>438</v>
      </c>
      <c r="C200" s="1" t="s">
        <v>271</v>
      </c>
      <c r="D200" s="14" t="s">
        <v>5524</v>
      </c>
    </row>
    <row r="201" spans="1:4" hidden="1" x14ac:dyDescent="0.25">
      <c r="A201" s="1" t="s">
        <v>439</v>
      </c>
      <c r="B201" s="1" t="s">
        <v>440</v>
      </c>
      <c r="C201" s="1" t="s">
        <v>274</v>
      </c>
      <c r="D201" s="14" t="s">
        <v>5524</v>
      </c>
    </row>
    <row r="202" spans="1:4" hidden="1" x14ac:dyDescent="0.25">
      <c r="A202" s="1" t="s">
        <v>441</v>
      </c>
      <c r="B202" s="1" t="s">
        <v>442</v>
      </c>
      <c r="C202" s="1" t="s">
        <v>277</v>
      </c>
      <c r="D202" s="14" t="s">
        <v>5524</v>
      </c>
    </row>
    <row r="203" spans="1:4" hidden="1" x14ac:dyDescent="0.25">
      <c r="A203" s="1" t="s">
        <v>443</v>
      </c>
      <c r="B203" s="1" t="s">
        <v>444</v>
      </c>
      <c r="C203" s="1" t="s">
        <v>280</v>
      </c>
      <c r="D203" s="14" t="s">
        <v>5524</v>
      </c>
    </row>
    <row r="204" spans="1:4" hidden="1" x14ac:dyDescent="0.25">
      <c r="A204" s="1" t="s">
        <v>445</v>
      </c>
      <c r="B204" s="1" t="s">
        <v>446</v>
      </c>
      <c r="C204" s="1" t="s">
        <v>283</v>
      </c>
      <c r="D204" s="14" t="s">
        <v>5524</v>
      </c>
    </row>
    <row r="205" spans="1:4" hidden="1" x14ac:dyDescent="0.25">
      <c r="A205" s="1" t="s">
        <v>447</v>
      </c>
      <c r="B205" s="1" t="s">
        <v>448</v>
      </c>
      <c r="C205" s="1" t="s">
        <v>286</v>
      </c>
      <c r="D205" s="14" t="s">
        <v>5524</v>
      </c>
    </row>
    <row r="206" spans="1:4" hidden="1" x14ac:dyDescent="0.25">
      <c r="A206" s="1" t="s">
        <v>449</v>
      </c>
      <c r="B206" s="1" t="s">
        <v>450</v>
      </c>
      <c r="C206" s="1" t="s">
        <v>289</v>
      </c>
      <c r="D206" s="14" t="s">
        <v>5524</v>
      </c>
    </row>
    <row r="207" spans="1:4" hidden="1" x14ac:dyDescent="0.25">
      <c r="A207" s="1" t="s">
        <v>451</v>
      </c>
      <c r="B207" s="1" t="s">
        <v>452</v>
      </c>
      <c r="C207" s="1" t="s">
        <v>292</v>
      </c>
      <c r="D207" s="14" t="s">
        <v>5524</v>
      </c>
    </row>
    <row r="208" spans="1:4" hidden="1" x14ac:dyDescent="0.25">
      <c r="A208" s="1" t="s">
        <v>453</v>
      </c>
      <c r="B208" s="1" t="s">
        <v>454</v>
      </c>
      <c r="C208" s="1" t="s">
        <v>295</v>
      </c>
      <c r="D208" s="14" t="s">
        <v>5524</v>
      </c>
    </row>
    <row r="209" spans="1:4" hidden="1" x14ac:dyDescent="0.25">
      <c r="A209" s="1" t="s">
        <v>455</v>
      </c>
      <c r="B209" s="1" t="s">
        <v>456</v>
      </c>
      <c r="C209" s="1" t="s">
        <v>298</v>
      </c>
      <c r="D209" s="14" t="s">
        <v>5524</v>
      </c>
    </row>
    <row r="210" spans="1:4" hidden="1" x14ac:dyDescent="0.25">
      <c r="A210" s="1" t="s">
        <v>457</v>
      </c>
      <c r="B210" s="1" t="s">
        <v>458</v>
      </c>
      <c r="C210" s="1" t="s">
        <v>301</v>
      </c>
      <c r="D210" s="14" t="s">
        <v>5524</v>
      </c>
    </row>
    <row r="211" spans="1:4" hidden="1" x14ac:dyDescent="0.25">
      <c r="A211" s="1" t="s">
        <v>459</v>
      </c>
      <c r="B211" s="1" t="s">
        <v>460</v>
      </c>
      <c r="C211" s="1" t="s">
        <v>304</v>
      </c>
      <c r="D211" s="14" t="s">
        <v>5524</v>
      </c>
    </row>
    <row r="212" spans="1:4" hidden="1" x14ac:dyDescent="0.25">
      <c r="A212" s="1" t="s">
        <v>461</v>
      </c>
      <c r="B212" s="1" t="s">
        <v>462</v>
      </c>
      <c r="C212" s="1" t="s">
        <v>307</v>
      </c>
      <c r="D212" s="14" t="s">
        <v>5524</v>
      </c>
    </row>
    <row r="213" spans="1:4" hidden="1" x14ac:dyDescent="0.25">
      <c r="A213" s="1" t="s">
        <v>463</v>
      </c>
      <c r="B213" s="1" t="s">
        <v>464</v>
      </c>
      <c r="C213" s="1" t="s">
        <v>310</v>
      </c>
      <c r="D213" s="14" t="s">
        <v>5524</v>
      </c>
    </row>
    <row r="214" spans="1:4" hidden="1" x14ac:dyDescent="0.25">
      <c r="A214" s="1" t="s">
        <v>465</v>
      </c>
      <c r="B214" s="1" t="s">
        <v>466</v>
      </c>
      <c r="C214" s="1" t="s">
        <v>313</v>
      </c>
      <c r="D214" s="14" t="s">
        <v>5524</v>
      </c>
    </row>
    <row r="215" spans="1:4" hidden="1" x14ac:dyDescent="0.25">
      <c r="A215" s="1" t="s">
        <v>467</v>
      </c>
      <c r="B215" s="1" t="s">
        <v>468</v>
      </c>
      <c r="C215" s="1" t="s">
        <v>316</v>
      </c>
      <c r="D215" s="14" t="s">
        <v>5524</v>
      </c>
    </row>
    <row r="216" spans="1:4" hidden="1" x14ac:dyDescent="0.25">
      <c r="A216" s="1" t="s">
        <v>469</v>
      </c>
      <c r="B216" s="1" t="s">
        <v>470</v>
      </c>
      <c r="C216" s="1" t="s">
        <v>319</v>
      </c>
      <c r="D216" s="14" t="s">
        <v>5524</v>
      </c>
    </row>
    <row r="217" spans="1:4" hidden="1" x14ac:dyDescent="0.25">
      <c r="A217" s="1" t="s">
        <v>471</v>
      </c>
      <c r="B217" s="1" t="s">
        <v>472</v>
      </c>
      <c r="C217" s="1" t="s">
        <v>322</v>
      </c>
      <c r="D217" s="14" t="s">
        <v>5524</v>
      </c>
    </row>
    <row r="218" spans="1:4" hidden="1" x14ac:dyDescent="0.25">
      <c r="A218" s="1" t="s">
        <v>473</v>
      </c>
      <c r="B218" s="1" t="s">
        <v>474</v>
      </c>
      <c r="C218" s="1" t="s">
        <v>325</v>
      </c>
      <c r="D218" s="14" t="s">
        <v>5524</v>
      </c>
    </row>
    <row r="219" spans="1:4" hidden="1" x14ac:dyDescent="0.25">
      <c r="A219" s="1" t="s">
        <v>475</v>
      </c>
      <c r="B219" s="1" t="s">
        <v>476</v>
      </c>
      <c r="C219" s="1" t="s">
        <v>328</v>
      </c>
      <c r="D219" s="14" t="s">
        <v>5524</v>
      </c>
    </row>
    <row r="220" spans="1:4" hidden="1" x14ac:dyDescent="0.25">
      <c r="A220" s="1" t="s">
        <v>477</v>
      </c>
      <c r="B220" s="1" t="s">
        <v>478</v>
      </c>
      <c r="C220" s="1" t="s">
        <v>331</v>
      </c>
      <c r="D220" s="14" t="s">
        <v>5524</v>
      </c>
    </row>
    <row r="221" spans="1:4" hidden="1" x14ac:dyDescent="0.25">
      <c r="A221" s="1" t="s">
        <v>479</v>
      </c>
      <c r="B221" s="1" t="s">
        <v>480</v>
      </c>
      <c r="C221" s="1" t="s">
        <v>334</v>
      </c>
      <c r="D221" s="14" t="s">
        <v>5524</v>
      </c>
    </row>
    <row r="222" spans="1:4" hidden="1" x14ac:dyDescent="0.25">
      <c r="A222" s="1" t="s">
        <v>481</v>
      </c>
      <c r="B222" s="1" t="s">
        <v>482</v>
      </c>
      <c r="C222" s="1" t="s">
        <v>337</v>
      </c>
      <c r="D222" s="14" t="s">
        <v>5524</v>
      </c>
    </row>
    <row r="223" spans="1:4" hidden="1" x14ac:dyDescent="0.25">
      <c r="A223" s="1" t="s">
        <v>483</v>
      </c>
      <c r="B223" s="1" t="s">
        <v>484</v>
      </c>
      <c r="C223" s="1" t="s">
        <v>340</v>
      </c>
      <c r="D223" s="14" t="s">
        <v>5524</v>
      </c>
    </row>
    <row r="224" spans="1:4" hidden="1" x14ac:dyDescent="0.25">
      <c r="A224" s="1" t="s">
        <v>485</v>
      </c>
      <c r="B224" s="1" t="s">
        <v>486</v>
      </c>
      <c r="C224" s="1" t="s">
        <v>343</v>
      </c>
      <c r="D224" s="14" t="s">
        <v>5524</v>
      </c>
    </row>
    <row r="225" spans="1:4" hidden="1" x14ac:dyDescent="0.25">
      <c r="A225" s="1" t="s">
        <v>487</v>
      </c>
      <c r="B225" s="1" t="s">
        <v>488</v>
      </c>
      <c r="C225" s="1" t="s">
        <v>346</v>
      </c>
      <c r="D225" s="14" t="s">
        <v>5524</v>
      </c>
    </row>
    <row r="226" spans="1:4" hidden="1" x14ac:dyDescent="0.25">
      <c r="A226" s="1" t="s">
        <v>489</v>
      </c>
      <c r="B226" s="1" t="s">
        <v>490</v>
      </c>
      <c r="C226" s="1" t="s">
        <v>349</v>
      </c>
      <c r="D226" s="14" t="s">
        <v>5524</v>
      </c>
    </row>
    <row r="227" spans="1:4" hidden="1" x14ac:dyDescent="0.25">
      <c r="A227" s="1" t="s">
        <v>491</v>
      </c>
      <c r="B227" s="1" t="s">
        <v>492</v>
      </c>
      <c r="C227" s="1" t="s">
        <v>352</v>
      </c>
      <c r="D227" s="14" t="s">
        <v>5524</v>
      </c>
    </row>
    <row r="228" spans="1:4" hidden="1" x14ac:dyDescent="0.25">
      <c r="A228" s="1" t="s">
        <v>493</v>
      </c>
      <c r="B228" s="1" t="s">
        <v>494</v>
      </c>
      <c r="C228" s="1" t="s">
        <v>495</v>
      </c>
      <c r="D228" s="14" t="s">
        <v>5524</v>
      </c>
    </row>
    <row r="229" spans="1:4" hidden="1" x14ac:dyDescent="0.25">
      <c r="A229" s="1" t="s">
        <v>496</v>
      </c>
      <c r="B229" s="1" t="s">
        <v>497</v>
      </c>
      <c r="C229" s="1" t="s">
        <v>498</v>
      </c>
      <c r="D229" s="14" t="s">
        <v>5524</v>
      </c>
    </row>
    <row r="230" spans="1:4" hidden="1" x14ac:dyDescent="0.25">
      <c r="A230" s="1" t="s">
        <v>499</v>
      </c>
      <c r="B230" s="1" t="s">
        <v>500</v>
      </c>
      <c r="C230" s="1" t="s">
        <v>501</v>
      </c>
      <c r="D230" s="14" t="s">
        <v>5524</v>
      </c>
    </row>
    <row r="231" spans="1:4" hidden="1" x14ac:dyDescent="0.25">
      <c r="A231" s="1" t="s">
        <v>502</v>
      </c>
      <c r="B231" s="1" t="s">
        <v>503</v>
      </c>
      <c r="C231" s="1" t="s">
        <v>504</v>
      </c>
      <c r="D231" s="14" t="s">
        <v>5524</v>
      </c>
    </row>
    <row r="232" spans="1:4" hidden="1" x14ac:dyDescent="0.25">
      <c r="A232" s="1" t="s">
        <v>505</v>
      </c>
      <c r="B232" s="1" t="s">
        <v>506</v>
      </c>
      <c r="C232" s="1" t="s">
        <v>507</v>
      </c>
      <c r="D232" s="14" t="s">
        <v>5524</v>
      </c>
    </row>
    <row r="233" spans="1:4" hidden="1" x14ac:dyDescent="0.25">
      <c r="A233" s="1" t="s">
        <v>508</v>
      </c>
      <c r="B233" s="1" t="s">
        <v>509</v>
      </c>
      <c r="C233" s="1" t="s">
        <v>510</v>
      </c>
      <c r="D233" s="14" t="s">
        <v>5524</v>
      </c>
    </row>
    <row r="234" spans="1:4" hidden="1" x14ac:dyDescent="0.25">
      <c r="A234" s="1" t="s">
        <v>511</v>
      </c>
      <c r="B234" s="1" t="s">
        <v>512</v>
      </c>
      <c r="C234" s="1" t="s">
        <v>513</v>
      </c>
      <c r="D234" s="14" t="s">
        <v>5524</v>
      </c>
    </row>
    <row r="235" spans="1:4" hidden="1" x14ac:dyDescent="0.25">
      <c r="A235" s="1" t="s">
        <v>514</v>
      </c>
      <c r="B235" s="1" t="s">
        <v>515</v>
      </c>
      <c r="C235" s="1" t="s">
        <v>516</v>
      </c>
      <c r="D235" s="14" t="s">
        <v>5524</v>
      </c>
    </row>
    <row r="236" spans="1:4" hidden="1" x14ac:dyDescent="0.25">
      <c r="A236" s="1" t="s">
        <v>517</v>
      </c>
      <c r="B236" s="1" t="s">
        <v>518</v>
      </c>
      <c r="C236" s="1" t="s">
        <v>519</v>
      </c>
      <c r="D236" s="14" t="s">
        <v>5524</v>
      </c>
    </row>
    <row r="237" spans="1:4" hidden="1" x14ac:dyDescent="0.25">
      <c r="A237" s="1" t="s">
        <v>520</v>
      </c>
      <c r="B237" s="1" t="s">
        <v>521</v>
      </c>
      <c r="C237" s="1" t="s">
        <v>522</v>
      </c>
      <c r="D237" s="14" t="s">
        <v>5524</v>
      </c>
    </row>
    <row r="238" spans="1:4" hidden="1" x14ac:dyDescent="0.25">
      <c r="A238" s="1" t="s">
        <v>523</v>
      </c>
      <c r="B238" s="1" t="s">
        <v>524</v>
      </c>
      <c r="C238" s="1" t="s">
        <v>525</v>
      </c>
      <c r="D238" s="14" t="s">
        <v>5524</v>
      </c>
    </row>
    <row r="239" spans="1:4" hidden="1" x14ac:dyDescent="0.25">
      <c r="A239" s="1" t="s">
        <v>526</v>
      </c>
      <c r="B239" s="1" t="s">
        <v>527</v>
      </c>
      <c r="C239" s="1" t="s">
        <v>528</v>
      </c>
      <c r="D239" s="14" t="s">
        <v>5524</v>
      </c>
    </row>
    <row r="240" spans="1:4" hidden="1" x14ac:dyDescent="0.25">
      <c r="A240" s="1" t="s">
        <v>529</v>
      </c>
      <c r="B240" s="1" t="s">
        <v>530</v>
      </c>
      <c r="C240" s="1" t="s">
        <v>531</v>
      </c>
      <c r="D240" s="14" t="s">
        <v>5524</v>
      </c>
    </row>
    <row r="241" spans="1:4" hidden="1" x14ac:dyDescent="0.25">
      <c r="A241" s="1" t="s">
        <v>532</v>
      </c>
      <c r="B241" s="1" t="s">
        <v>533</v>
      </c>
      <c r="C241" s="1" t="s">
        <v>534</v>
      </c>
      <c r="D241" s="14" t="s">
        <v>5524</v>
      </c>
    </row>
    <row r="242" spans="1:4" hidden="1" x14ac:dyDescent="0.25">
      <c r="A242" s="1" t="s">
        <v>535</v>
      </c>
      <c r="B242" s="1" t="s">
        <v>536</v>
      </c>
      <c r="C242" s="1" t="s">
        <v>537</v>
      </c>
      <c r="D242" s="14" t="s">
        <v>5524</v>
      </c>
    </row>
    <row r="243" spans="1:4" hidden="1" x14ac:dyDescent="0.25">
      <c r="A243" s="1" t="s">
        <v>538</v>
      </c>
      <c r="B243" s="1" t="s">
        <v>539</v>
      </c>
      <c r="C243" s="1" t="s">
        <v>540</v>
      </c>
      <c r="D243" s="14" t="s">
        <v>5524</v>
      </c>
    </row>
    <row r="244" spans="1:4" hidden="1" x14ac:dyDescent="0.25">
      <c r="A244" s="1" t="s">
        <v>541</v>
      </c>
      <c r="B244" s="1" t="s">
        <v>542</v>
      </c>
      <c r="C244" s="1" t="s">
        <v>543</v>
      </c>
      <c r="D244" s="14" t="s">
        <v>5524</v>
      </c>
    </row>
    <row r="245" spans="1:4" hidden="1" x14ac:dyDescent="0.25">
      <c r="A245" s="1" t="s">
        <v>544</v>
      </c>
      <c r="B245" s="1" t="s">
        <v>545</v>
      </c>
      <c r="C245" s="1" t="s">
        <v>546</v>
      </c>
      <c r="D245" s="14" t="s">
        <v>5524</v>
      </c>
    </row>
    <row r="246" spans="1:4" hidden="1" x14ac:dyDescent="0.25">
      <c r="A246" s="1" t="s">
        <v>547</v>
      </c>
      <c r="B246" s="1" t="s">
        <v>548</v>
      </c>
      <c r="C246" s="1" t="s">
        <v>549</v>
      </c>
      <c r="D246" s="14" t="s">
        <v>5524</v>
      </c>
    </row>
    <row r="247" spans="1:4" hidden="1" x14ac:dyDescent="0.25">
      <c r="A247" s="1" t="s">
        <v>550</v>
      </c>
      <c r="B247" s="1" t="s">
        <v>551</v>
      </c>
      <c r="C247" s="1" t="s">
        <v>552</v>
      </c>
      <c r="D247" s="14" t="s">
        <v>5524</v>
      </c>
    </row>
    <row r="248" spans="1:4" hidden="1" x14ac:dyDescent="0.25">
      <c r="A248" s="1" t="s">
        <v>553</v>
      </c>
      <c r="B248" s="1" t="s">
        <v>554</v>
      </c>
      <c r="C248" s="1" t="s">
        <v>555</v>
      </c>
      <c r="D248" s="14" t="s">
        <v>5524</v>
      </c>
    </row>
    <row r="249" spans="1:4" hidden="1" x14ac:dyDescent="0.25">
      <c r="A249" s="1" t="s">
        <v>556</v>
      </c>
      <c r="B249" s="1" t="s">
        <v>557</v>
      </c>
      <c r="C249" s="1" t="s">
        <v>558</v>
      </c>
      <c r="D249" s="14" t="s">
        <v>5524</v>
      </c>
    </row>
    <row r="250" spans="1:4" hidden="1" x14ac:dyDescent="0.25">
      <c r="A250" s="1" t="s">
        <v>559</v>
      </c>
      <c r="B250" s="1" t="s">
        <v>560</v>
      </c>
      <c r="C250" s="1" t="s">
        <v>561</v>
      </c>
      <c r="D250" s="14" t="s">
        <v>5524</v>
      </c>
    </row>
    <row r="251" spans="1:4" hidden="1" x14ac:dyDescent="0.25">
      <c r="A251" s="1" t="s">
        <v>562</v>
      </c>
      <c r="B251" s="1" t="s">
        <v>563</v>
      </c>
      <c r="C251" s="1" t="s">
        <v>564</v>
      </c>
      <c r="D251" s="14" t="s">
        <v>5524</v>
      </c>
    </row>
    <row r="252" spans="1:4" hidden="1" x14ac:dyDescent="0.25">
      <c r="A252" s="1" t="s">
        <v>565</v>
      </c>
      <c r="B252" s="1" t="s">
        <v>566</v>
      </c>
      <c r="C252" s="1" t="s">
        <v>567</v>
      </c>
      <c r="D252" s="14" t="s">
        <v>5524</v>
      </c>
    </row>
    <row r="253" spans="1:4" hidden="1" x14ac:dyDescent="0.25">
      <c r="A253" s="1" t="s">
        <v>568</v>
      </c>
      <c r="B253" s="1" t="s">
        <v>569</v>
      </c>
      <c r="C253" s="1" t="s">
        <v>570</v>
      </c>
      <c r="D253" s="14" t="s">
        <v>5524</v>
      </c>
    </row>
    <row r="254" spans="1:4" hidden="1" x14ac:dyDescent="0.25">
      <c r="A254" s="1" t="s">
        <v>571</v>
      </c>
      <c r="B254" s="1" t="s">
        <v>572</v>
      </c>
      <c r="C254" s="1" t="s">
        <v>573</v>
      </c>
      <c r="D254" s="14" t="s">
        <v>5524</v>
      </c>
    </row>
    <row r="255" spans="1:4" hidden="1" x14ac:dyDescent="0.25">
      <c r="A255" s="1" t="s">
        <v>574</v>
      </c>
      <c r="B255" s="1" t="s">
        <v>575</v>
      </c>
      <c r="C255" s="1" t="s">
        <v>576</v>
      </c>
      <c r="D255" s="14" t="s">
        <v>5524</v>
      </c>
    </row>
    <row r="256" spans="1:4" hidden="1" x14ac:dyDescent="0.25">
      <c r="A256" s="1" t="s">
        <v>577</v>
      </c>
      <c r="B256" s="1" t="s">
        <v>578</v>
      </c>
      <c r="C256" s="1" t="s">
        <v>579</v>
      </c>
      <c r="D256" s="14" t="s">
        <v>5524</v>
      </c>
    </row>
    <row r="257" spans="1:4" hidden="1" x14ac:dyDescent="0.25">
      <c r="A257" s="1" t="s">
        <v>580</v>
      </c>
      <c r="B257" s="1" t="s">
        <v>581</v>
      </c>
      <c r="C257" s="1" t="s">
        <v>582</v>
      </c>
      <c r="D257" s="14" t="s">
        <v>5524</v>
      </c>
    </row>
    <row r="258" spans="1:4" hidden="1" x14ac:dyDescent="0.25">
      <c r="A258" s="1" t="s">
        <v>583</v>
      </c>
      <c r="B258" s="1" t="s">
        <v>584</v>
      </c>
      <c r="C258" s="1" t="s">
        <v>585</v>
      </c>
      <c r="D258" s="14" t="s">
        <v>5524</v>
      </c>
    </row>
    <row r="259" spans="1:4" hidden="1" x14ac:dyDescent="0.25">
      <c r="A259" s="1" t="s">
        <v>586</v>
      </c>
      <c r="B259" s="1" t="s">
        <v>587</v>
      </c>
      <c r="C259" s="1" t="s">
        <v>588</v>
      </c>
      <c r="D259" s="14" t="s">
        <v>5524</v>
      </c>
    </row>
    <row r="260" spans="1:4" hidden="1" x14ac:dyDescent="0.25">
      <c r="A260" s="1" t="s">
        <v>589</v>
      </c>
      <c r="B260" s="1" t="s">
        <v>590</v>
      </c>
      <c r="C260" s="1" t="s">
        <v>591</v>
      </c>
      <c r="D260" s="14" t="s">
        <v>5524</v>
      </c>
    </row>
    <row r="261" spans="1:4" hidden="1" x14ac:dyDescent="0.25">
      <c r="A261" s="1" t="s">
        <v>592</v>
      </c>
      <c r="B261" s="1" t="s">
        <v>593</v>
      </c>
      <c r="C261" s="1" t="s">
        <v>594</v>
      </c>
      <c r="D261" s="14" t="s">
        <v>5524</v>
      </c>
    </row>
    <row r="262" spans="1:4" hidden="1" x14ac:dyDescent="0.25">
      <c r="A262" s="1" t="s">
        <v>595</v>
      </c>
      <c r="B262" s="1" t="s">
        <v>596</v>
      </c>
      <c r="C262" s="1" t="s">
        <v>597</v>
      </c>
      <c r="D262" s="14" t="s">
        <v>5524</v>
      </c>
    </row>
    <row r="263" spans="1:4" hidden="1" x14ac:dyDescent="0.25">
      <c r="A263" s="1" t="s">
        <v>598</v>
      </c>
      <c r="B263" s="1" t="s">
        <v>599</v>
      </c>
      <c r="C263" s="1" t="s">
        <v>495</v>
      </c>
      <c r="D263" s="14" t="s">
        <v>5524</v>
      </c>
    </row>
    <row r="264" spans="1:4" hidden="1" x14ac:dyDescent="0.25">
      <c r="A264" s="1" t="s">
        <v>600</v>
      </c>
      <c r="B264" s="1" t="s">
        <v>601</v>
      </c>
      <c r="C264" s="1" t="s">
        <v>498</v>
      </c>
      <c r="D264" s="14" t="s">
        <v>5524</v>
      </c>
    </row>
    <row r="265" spans="1:4" hidden="1" x14ac:dyDescent="0.25">
      <c r="A265" s="1" t="s">
        <v>602</v>
      </c>
      <c r="B265" s="1" t="s">
        <v>603</v>
      </c>
      <c r="C265" s="1" t="s">
        <v>501</v>
      </c>
      <c r="D265" s="14" t="s">
        <v>5524</v>
      </c>
    </row>
    <row r="266" spans="1:4" hidden="1" x14ac:dyDescent="0.25">
      <c r="A266" s="1" t="s">
        <v>604</v>
      </c>
      <c r="B266" s="1" t="s">
        <v>605</v>
      </c>
      <c r="C266" s="1" t="s">
        <v>504</v>
      </c>
      <c r="D266" s="14" t="s">
        <v>5524</v>
      </c>
    </row>
    <row r="267" spans="1:4" hidden="1" x14ac:dyDescent="0.25">
      <c r="A267" s="1" t="s">
        <v>606</v>
      </c>
      <c r="B267" s="1" t="s">
        <v>607</v>
      </c>
      <c r="C267" s="1" t="s">
        <v>507</v>
      </c>
      <c r="D267" s="14" t="s">
        <v>5524</v>
      </c>
    </row>
    <row r="268" spans="1:4" hidden="1" x14ac:dyDescent="0.25">
      <c r="A268" s="1" t="s">
        <v>608</v>
      </c>
      <c r="B268" s="1" t="s">
        <v>609</v>
      </c>
      <c r="C268" s="1" t="s">
        <v>510</v>
      </c>
      <c r="D268" s="14" t="s">
        <v>5524</v>
      </c>
    </row>
    <row r="269" spans="1:4" hidden="1" x14ac:dyDescent="0.25">
      <c r="A269" s="1" t="s">
        <v>610</v>
      </c>
      <c r="B269" s="1" t="s">
        <v>611</v>
      </c>
      <c r="C269" s="1" t="s">
        <v>513</v>
      </c>
      <c r="D269" s="14" t="s">
        <v>5524</v>
      </c>
    </row>
    <row r="270" spans="1:4" hidden="1" x14ac:dyDescent="0.25">
      <c r="A270" s="1" t="s">
        <v>612</v>
      </c>
      <c r="B270" s="1" t="s">
        <v>613</v>
      </c>
      <c r="C270" s="1" t="s">
        <v>516</v>
      </c>
      <c r="D270" s="14" t="s">
        <v>5524</v>
      </c>
    </row>
    <row r="271" spans="1:4" hidden="1" x14ac:dyDescent="0.25">
      <c r="A271" s="1" t="s">
        <v>614</v>
      </c>
      <c r="B271" s="1" t="s">
        <v>615</v>
      </c>
      <c r="C271" s="1" t="s">
        <v>519</v>
      </c>
      <c r="D271" s="14" t="s">
        <v>5524</v>
      </c>
    </row>
    <row r="272" spans="1:4" hidden="1" x14ac:dyDescent="0.25">
      <c r="A272" s="1" t="s">
        <v>616</v>
      </c>
      <c r="B272" s="1" t="s">
        <v>617</v>
      </c>
      <c r="C272" s="1" t="s">
        <v>522</v>
      </c>
      <c r="D272" s="14" t="s">
        <v>5524</v>
      </c>
    </row>
    <row r="273" spans="1:4" hidden="1" x14ac:dyDescent="0.25">
      <c r="A273" s="1" t="s">
        <v>618</v>
      </c>
      <c r="B273" s="1" t="s">
        <v>619</v>
      </c>
      <c r="C273" s="1" t="s">
        <v>525</v>
      </c>
      <c r="D273" s="14" t="s">
        <v>5524</v>
      </c>
    </row>
    <row r="274" spans="1:4" hidden="1" x14ac:dyDescent="0.25">
      <c r="A274" s="1" t="s">
        <v>620</v>
      </c>
      <c r="B274" s="1" t="s">
        <v>621</v>
      </c>
      <c r="C274" s="1" t="s">
        <v>528</v>
      </c>
      <c r="D274" s="14" t="s">
        <v>5524</v>
      </c>
    </row>
    <row r="275" spans="1:4" hidden="1" x14ac:dyDescent="0.25">
      <c r="A275" s="1" t="s">
        <v>622</v>
      </c>
      <c r="B275" s="1" t="s">
        <v>623</v>
      </c>
      <c r="C275" s="1" t="s">
        <v>531</v>
      </c>
      <c r="D275" s="14" t="s">
        <v>5524</v>
      </c>
    </row>
    <row r="276" spans="1:4" hidden="1" x14ac:dyDescent="0.25">
      <c r="A276" s="1" t="s">
        <v>624</v>
      </c>
      <c r="B276" s="1" t="s">
        <v>625</v>
      </c>
      <c r="C276" s="1" t="s">
        <v>534</v>
      </c>
      <c r="D276" s="14" t="s">
        <v>5524</v>
      </c>
    </row>
    <row r="277" spans="1:4" hidden="1" x14ac:dyDescent="0.25">
      <c r="A277" s="1" t="s">
        <v>626</v>
      </c>
      <c r="B277" s="1" t="s">
        <v>627</v>
      </c>
      <c r="C277" s="1" t="s">
        <v>537</v>
      </c>
      <c r="D277" s="14" t="s">
        <v>5524</v>
      </c>
    </row>
    <row r="278" spans="1:4" hidden="1" x14ac:dyDescent="0.25">
      <c r="A278" s="1" t="s">
        <v>628</v>
      </c>
      <c r="B278" s="1" t="s">
        <v>629</v>
      </c>
      <c r="C278" s="1" t="s">
        <v>540</v>
      </c>
      <c r="D278" s="14" t="s">
        <v>5524</v>
      </c>
    </row>
    <row r="279" spans="1:4" hidden="1" x14ac:dyDescent="0.25">
      <c r="A279" s="1" t="s">
        <v>630</v>
      </c>
      <c r="B279" s="1" t="s">
        <v>631</v>
      </c>
      <c r="C279" s="1" t="s">
        <v>543</v>
      </c>
      <c r="D279" s="14" t="s">
        <v>5524</v>
      </c>
    </row>
    <row r="280" spans="1:4" hidden="1" x14ac:dyDescent="0.25">
      <c r="A280" s="1" t="s">
        <v>632</v>
      </c>
      <c r="B280" s="1" t="s">
        <v>633</v>
      </c>
      <c r="C280" s="1" t="s">
        <v>546</v>
      </c>
      <c r="D280" s="14" t="s">
        <v>5524</v>
      </c>
    </row>
    <row r="281" spans="1:4" hidden="1" x14ac:dyDescent="0.25">
      <c r="A281" s="1" t="s">
        <v>634</v>
      </c>
      <c r="B281" s="1" t="s">
        <v>635</v>
      </c>
      <c r="C281" s="1" t="s">
        <v>549</v>
      </c>
      <c r="D281" s="14" t="s">
        <v>5524</v>
      </c>
    </row>
    <row r="282" spans="1:4" hidden="1" x14ac:dyDescent="0.25">
      <c r="A282" s="1" t="s">
        <v>636</v>
      </c>
      <c r="B282" s="1" t="s">
        <v>637</v>
      </c>
      <c r="C282" s="1" t="s">
        <v>552</v>
      </c>
      <c r="D282" s="14" t="s">
        <v>5524</v>
      </c>
    </row>
    <row r="283" spans="1:4" hidden="1" x14ac:dyDescent="0.25">
      <c r="A283" s="1" t="s">
        <v>638</v>
      </c>
      <c r="B283" s="1" t="s">
        <v>639</v>
      </c>
      <c r="C283" s="1" t="s">
        <v>555</v>
      </c>
      <c r="D283" s="14" t="s">
        <v>5524</v>
      </c>
    </row>
    <row r="284" spans="1:4" hidden="1" x14ac:dyDescent="0.25">
      <c r="A284" s="1" t="s">
        <v>640</v>
      </c>
      <c r="B284" s="1" t="s">
        <v>641</v>
      </c>
      <c r="C284" s="1" t="s">
        <v>558</v>
      </c>
      <c r="D284" s="14" t="s">
        <v>5524</v>
      </c>
    </row>
    <row r="285" spans="1:4" hidden="1" x14ac:dyDescent="0.25">
      <c r="A285" s="1" t="s">
        <v>642</v>
      </c>
      <c r="B285" s="1" t="s">
        <v>643</v>
      </c>
      <c r="C285" s="1" t="s">
        <v>561</v>
      </c>
      <c r="D285" s="14" t="s">
        <v>5524</v>
      </c>
    </row>
    <row r="286" spans="1:4" hidden="1" x14ac:dyDescent="0.25">
      <c r="A286" s="1" t="s">
        <v>644</v>
      </c>
      <c r="B286" s="1" t="s">
        <v>645</v>
      </c>
      <c r="C286" s="1" t="s">
        <v>564</v>
      </c>
      <c r="D286" s="14" t="s">
        <v>5524</v>
      </c>
    </row>
    <row r="287" spans="1:4" hidden="1" x14ac:dyDescent="0.25">
      <c r="A287" s="1" t="s">
        <v>646</v>
      </c>
      <c r="B287" s="1" t="s">
        <v>647</v>
      </c>
      <c r="C287" s="1" t="s">
        <v>567</v>
      </c>
      <c r="D287" s="14" t="s">
        <v>5524</v>
      </c>
    </row>
    <row r="288" spans="1:4" hidden="1" x14ac:dyDescent="0.25">
      <c r="A288" s="1" t="s">
        <v>648</v>
      </c>
      <c r="B288" s="1" t="s">
        <v>649</v>
      </c>
      <c r="C288" s="1" t="s">
        <v>570</v>
      </c>
      <c r="D288" s="14" t="s">
        <v>5524</v>
      </c>
    </row>
    <row r="289" spans="1:4" hidden="1" x14ac:dyDescent="0.25">
      <c r="A289" s="1" t="s">
        <v>650</v>
      </c>
      <c r="B289" s="1" t="s">
        <v>651</v>
      </c>
      <c r="C289" s="1" t="s">
        <v>573</v>
      </c>
      <c r="D289" s="14" t="s">
        <v>5524</v>
      </c>
    </row>
    <row r="290" spans="1:4" hidden="1" x14ac:dyDescent="0.25">
      <c r="A290" s="1" t="s">
        <v>652</v>
      </c>
      <c r="B290" s="1" t="s">
        <v>653</v>
      </c>
      <c r="C290" s="1" t="s">
        <v>576</v>
      </c>
      <c r="D290" s="14" t="s">
        <v>5524</v>
      </c>
    </row>
    <row r="291" spans="1:4" hidden="1" x14ac:dyDescent="0.25">
      <c r="A291" s="1" t="s">
        <v>654</v>
      </c>
      <c r="B291" s="1" t="s">
        <v>655</v>
      </c>
      <c r="C291" s="1" t="s">
        <v>579</v>
      </c>
      <c r="D291" s="14" t="s">
        <v>5524</v>
      </c>
    </row>
    <row r="292" spans="1:4" hidden="1" x14ac:dyDescent="0.25">
      <c r="A292" s="1" t="s">
        <v>656</v>
      </c>
      <c r="B292" s="1" t="s">
        <v>657</v>
      </c>
      <c r="C292" s="1" t="s">
        <v>582</v>
      </c>
      <c r="D292" s="14" t="s">
        <v>5524</v>
      </c>
    </row>
    <row r="293" spans="1:4" hidden="1" x14ac:dyDescent="0.25">
      <c r="A293" s="1" t="s">
        <v>658</v>
      </c>
      <c r="B293" s="1" t="s">
        <v>659</v>
      </c>
      <c r="C293" s="1" t="s">
        <v>585</v>
      </c>
      <c r="D293" s="14" t="s">
        <v>5524</v>
      </c>
    </row>
    <row r="294" spans="1:4" hidden="1" x14ac:dyDescent="0.25">
      <c r="A294" s="1" t="s">
        <v>660</v>
      </c>
      <c r="B294" s="1" t="s">
        <v>661</v>
      </c>
      <c r="C294" s="1" t="s">
        <v>588</v>
      </c>
      <c r="D294" s="14" t="s">
        <v>5524</v>
      </c>
    </row>
    <row r="295" spans="1:4" hidden="1" x14ac:dyDescent="0.25">
      <c r="A295" s="1" t="s">
        <v>662</v>
      </c>
      <c r="B295" s="1" t="s">
        <v>663</v>
      </c>
      <c r="C295" s="1" t="s">
        <v>591</v>
      </c>
      <c r="D295" s="14" t="s">
        <v>5524</v>
      </c>
    </row>
    <row r="296" spans="1:4" hidden="1" x14ac:dyDescent="0.25">
      <c r="A296" s="1" t="s">
        <v>664</v>
      </c>
      <c r="B296" s="1" t="s">
        <v>665</v>
      </c>
      <c r="C296" s="1" t="s">
        <v>594</v>
      </c>
      <c r="D296" s="14" t="s">
        <v>5524</v>
      </c>
    </row>
    <row r="297" spans="1:4" hidden="1" x14ac:dyDescent="0.25">
      <c r="A297" s="1" t="s">
        <v>666</v>
      </c>
      <c r="B297" s="1" t="s">
        <v>667</v>
      </c>
      <c r="C297" s="1" t="s">
        <v>597</v>
      </c>
      <c r="D297" s="14" t="s">
        <v>5524</v>
      </c>
    </row>
    <row r="298" spans="1:4" hidden="1" x14ac:dyDescent="0.25">
      <c r="A298" s="1" t="s">
        <v>668</v>
      </c>
      <c r="B298" s="1" t="s">
        <v>669</v>
      </c>
      <c r="C298" s="1" t="s">
        <v>495</v>
      </c>
      <c r="D298" s="14" t="s">
        <v>5524</v>
      </c>
    </row>
    <row r="299" spans="1:4" hidden="1" x14ac:dyDescent="0.25">
      <c r="A299" s="1" t="s">
        <v>670</v>
      </c>
      <c r="B299" s="1" t="s">
        <v>671</v>
      </c>
      <c r="C299" s="1" t="s">
        <v>498</v>
      </c>
      <c r="D299" s="14" t="s">
        <v>5524</v>
      </c>
    </row>
    <row r="300" spans="1:4" hidden="1" x14ac:dyDescent="0.25">
      <c r="A300" s="1" t="s">
        <v>672</v>
      </c>
      <c r="B300" s="1" t="s">
        <v>673</v>
      </c>
      <c r="C300" s="1" t="s">
        <v>501</v>
      </c>
      <c r="D300" s="14" t="s">
        <v>5524</v>
      </c>
    </row>
    <row r="301" spans="1:4" hidden="1" x14ac:dyDescent="0.25">
      <c r="A301" s="1" t="s">
        <v>674</v>
      </c>
      <c r="B301" s="1" t="s">
        <v>675</v>
      </c>
      <c r="C301" s="1" t="s">
        <v>504</v>
      </c>
      <c r="D301" s="14" t="s">
        <v>5524</v>
      </c>
    </row>
    <row r="302" spans="1:4" hidden="1" x14ac:dyDescent="0.25">
      <c r="A302" s="1" t="s">
        <v>676</v>
      </c>
      <c r="B302" s="1" t="s">
        <v>677</v>
      </c>
      <c r="C302" s="1" t="s">
        <v>507</v>
      </c>
      <c r="D302" s="14" t="s">
        <v>5524</v>
      </c>
    </row>
    <row r="303" spans="1:4" hidden="1" x14ac:dyDescent="0.25">
      <c r="A303" s="1" t="s">
        <v>678</v>
      </c>
      <c r="B303" s="1" t="s">
        <v>679</v>
      </c>
      <c r="C303" s="1" t="s">
        <v>510</v>
      </c>
      <c r="D303" s="14" t="s">
        <v>5524</v>
      </c>
    </row>
    <row r="304" spans="1:4" hidden="1" x14ac:dyDescent="0.25">
      <c r="A304" s="1" t="s">
        <v>680</v>
      </c>
      <c r="B304" s="1" t="s">
        <v>681</v>
      </c>
      <c r="C304" s="1" t="s">
        <v>513</v>
      </c>
      <c r="D304" s="14" t="s">
        <v>5524</v>
      </c>
    </row>
    <row r="305" spans="1:4" hidden="1" x14ac:dyDescent="0.25">
      <c r="A305" s="1" t="s">
        <v>682</v>
      </c>
      <c r="B305" s="1" t="s">
        <v>683</v>
      </c>
      <c r="C305" s="1" t="s">
        <v>516</v>
      </c>
      <c r="D305" s="14" t="s">
        <v>5524</v>
      </c>
    </row>
    <row r="306" spans="1:4" hidden="1" x14ac:dyDescent="0.25">
      <c r="A306" s="1" t="s">
        <v>684</v>
      </c>
      <c r="B306" s="1" t="s">
        <v>685</v>
      </c>
      <c r="C306" s="1" t="s">
        <v>519</v>
      </c>
      <c r="D306" s="14" t="s">
        <v>5524</v>
      </c>
    </row>
    <row r="307" spans="1:4" hidden="1" x14ac:dyDescent="0.25">
      <c r="A307" s="1" t="s">
        <v>686</v>
      </c>
      <c r="B307" s="1" t="s">
        <v>687</v>
      </c>
      <c r="C307" s="1" t="s">
        <v>522</v>
      </c>
      <c r="D307" s="14" t="s">
        <v>5524</v>
      </c>
    </row>
    <row r="308" spans="1:4" hidden="1" x14ac:dyDescent="0.25">
      <c r="A308" s="1" t="s">
        <v>688</v>
      </c>
      <c r="B308" s="1" t="s">
        <v>689</v>
      </c>
      <c r="C308" s="1" t="s">
        <v>525</v>
      </c>
      <c r="D308" s="14" t="s">
        <v>5524</v>
      </c>
    </row>
    <row r="309" spans="1:4" hidden="1" x14ac:dyDescent="0.25">
      <c r="A309" s="1" t="s">
        <v>690</v>
      </c>
      <c r="B309" s="1" t="s">
        <v>691</v>
      </c>
      <c r="C309" s="1" t="s">
        <v>528</v>
      </c>
      <c r="D309" s="14" t="s">
        <v>5524</v>
      </c>
    </row>
    <row r="310" spans="1:4" hidden="1" x14ac:dyDescent="0.25">
      <c r="A310" s="1" t="s">
        <v>692</v>
      </c>
      <c r="B310" s="1" t="s">
        <v>693</v>
      </c>
      <c r="C310" s="1" t="s">
        <v>531</v>
      </c>
      <c r="D310" s="14" t="s">
        <v>5524</v>
      </c>
    </row>
    <row r="311" spans="1:4" hidden="1" x14ac:dyDescent="0.25">
      <c r="A311" s="1" t="s">
        <v>694</v>
      </c>
      <c r="B311" s="1" t="s">
        <v>695</v>
      </c>
      <c r="C311" s="1" t="s">
        <v>534</v>
      </c>
      <c r="D311" s="14" t="s">
        <v>5524</v>
      </c>
    </row>
    <row r="312" spans="1:4" hidden="1" x14ac:dyDescent="0.25">
      <c r="A312" s="1" t="s">
        <v>696</v>
      </c>
      <c r="B312" s="1" t="s">
        <v>697</v>
      </c>
      <c r="C312" s="1" t="s">
        <v>537</v>
      </c>
      <c r="D312" s="14" t="s">
        <v>5524</v>
      </c>
    </row>
    <row r="313" spans="1:4" hidden="1" x14ac:dyDescent="0.25">
      <c r="A313" s="1" t="s">
        <v>698</v>
      </c>
      <c r="B313" s="1" t="s">
        <v>699</v>
      </c>
      <c r="C313" s="1" t="s">
        <v>540</v>
      </c>
      <c r="D313" s="14" t="s">
        <v>5524</v>
      </c>
    </row>
    <row r="314" spans="1:4" hidden="1" x14ac:dyDescent="0.25">
      <c r="A314" s="1" t="s">
        <v>700</v>
      </c>
      <c r="B314" s="1" t="s">
        <v>701</v>
      </c>
      <c r="C314" s="1" t="s">
        <v>543</v>
      </c>
      <c r="D314" s="14" t="s">
        <v>5524</v>
      </c>
    </row>
    <row r="315" spans="1:4" hidden="1" x14ac:dyDescent="0.25">
      <c r="A315" s="1" t="s">
        <v>702</v>
      </c>
      <c r="B315" s="1" t="s">
        <v>703</v>
      </c>
      <c r="C315" s="1" t="s">
        <v>546</v>
      </c>
      <c r="D315" s="14" t="s">
        <v>5524</v>
      </c>
    </row>
    <row r="316" spans="1:4" hidden="1" x14ac:dyDescent="0.25">
      <c r="A316" s="1" t="s">
        <v>704</v>
      </c>
      <c r="B316" s="1" t="s">
        <v>705</v>
      </c>
      <c r="C316" s="1" t="s">
        <v>549</v>
      </c>
      <c r="D316" s="14" t="s">
        <v>5524</v>
      </c>
    </row>
    <row r="317" spans="1:4" hidden="1" x14ac:dyDescent="0.25">
      <c r="A317" s="1" t="s">
        <v>706</v>
      </c>
      <c r="B317" s="1" t="s">
        <v>707</v>
      </c>
      <c r="C317" s="1" t="s">
        <v>552</v>
      </c>
      <c r="D317" s="14" t="s">
        <v>5524</v>
      </c>
    </row>
    <row r="318" spans="1:4" hidden="1" x14ac:dyDescent="0.25">
      <c r="A318" s="1" t="s">
        <v>708</v>
      </c>
      <c r="B318" s="1" t="s">
        <v>709</v>
      </c>
      <c r="C318" s="1" t="s">
        <v>555</v>
      </c>
      <c r="D318" s="14" t="s">
        <v>5524</v>
      </c>
    </row>
    <row r="319" spans="1:4" hidden="1" x14ac:dyDescent="0.25">
      <c r="A319" s="1" t="s">
        <v>710</v>
      </c>
      <c r="B319" s="1" t="s">
        <v>711</v>
      </c>
      <c r="C319" s="1" t="s">
        <v>558</v>
      </c>
      <c r="D319" s="14" t="s">
        <v>5524</v>
      </c>
    </row>
    <row r="320" spans="1:4" hidden="1" x14ac:dyDescent="0.25">
      <c r="A320" s="1" t="s">
        <v>712</v>
      </c>
      <c r="B320" s="1" t="s">
        <v>713</v>
      </c>
      <c r="C320" s="1" t="s">
        <v>561</v>
      </c>
      <c r="D320" s="14" t="s">
        <v>5524</v>
      </c>
    </row>
    <row r="321" spans="1:4" hidden="1" x14ac:dyDescent="0.25">
      <c r="A321" s="1" t="s">
        <v>714</v>
      </c>
      <c r="B321" s="1" t="s">
        <v>715</v>
      </c>
      <c r="C321" s="1" t="s">
        <v>564</v>
      </c>
      <c r="D321" s="14" t="s">
        <v>5524</v>
      </c>
    </row>
    <row r="322" spans="1:4" hidden="1" x14ac:dyDescent="0.25">
      <c r="A322" s="1" t="s">
        <v>716</v>
      </c>
      <c r="B322" s="1" t="s">
        <v>717</v>
      </c>
      <c r="C322" s="1" t="s">
        <v>567</v>
      </c>
      <c r="D322" s="14" t="s">
        <v>5524</v>
      </c>
    </row>
    <row r="323" spans="1:4" hidden="1" x14ac:dyDescent="0.25">
      <c r="A323" s="1" t="s">
        <v>718</v>
      </c>
      <c r="B323" s="1" t="s">
        <v>719</v>
      </c>
      <c r="C323" s="1" t="s">
        <v>570</v>
      </c>
      <c r="D323" s="14" t="s">
        <v>5524</v>
      </c>
    </row>
    <row r="324" spans="1:4" hidden="1" x14ac:dyDescent="0.25">
      <c r="A324" s="1" t="s">
        <v>720</v>
      </c>
      <c r="B324" s="1" t="s">
        <v>721</v>
      </c>
      <c r="C324" s="1" t="s">
        <v>573</v>
      </c>
      <c r="D324" s="14" t="s">
        <v>5524</v>
      </c>
    </row>
    <row r="325" spans="1:4" hidden="1" x14ac:dyDescent="0.25">
      <c r="A325" s="1" t="s">
        <v>722</v>
      </c>
      <c r="B325" s="1" t="s">
        <v>723</v>
      </c>
      <c r="C325" s="1" t="s">
        <v>576</v>
      </c>
      <c r="D325" s="14" t="s">
        <v>5524</v>
      </c>
    </row>
    <row r="326" spans="1:4" hidden="1" x14ac:dyDescent="0.25">
      <c r="A326" s="1" t="s">
        <v>724</v>
      </c>
      <c r="B326" s="1" t="s">
        <v>725</v>
      </c>
      <c r="C326" s="1" t="s">
        <v>579</v>
      </c>
      <c r="D326" s="14" t="s">
        <v>5524</v>
      </c>
    </row>
    <row r="327" spans="1:4" hidden="1" x14ac:dyDescent="0.25">
      <c r="A327" s="1" t="s">
        <v>726</v>
      </c>
      <c r="B327" s="1" t="s">
        <v>727</v>
      </c>
      <c r="C327" s="1" t="s">
        <v>582</v>
      </c>
      <c r="D327" s="14" t="s">
        <v>5524</v>
      </c>
    </row>
    <row r="328" spans="1:4" hidden="1" x14ac:dyDescent="0.25">
      <c r="A328" s="1" t="s">
        <v>728</v>
      </c>
      <c r="B328" s="1" t="s">
        <v>729</v>
      </c>
      <c r="C328" s="1" t="s">
        <v>585</v>
      </c>
      <c r="D328" s="14" t="s">
        <v>5524</v>
      </c>
    </row>
    <row r="329" spans="1:4" hidden="1" x14ac:dyDescent="0.25">
      <c r="A329" s="1" t="s">
        <v>730</v>
      </c>
      <c r="B329" s="1" t="s">
        <v>731</v>
      </c>
      <c r="C329" s="1" t="s">
        <v>588</v>
      </c>
      <c r="D329" s="14" t="s">
        <v>5524</v>
      </c>
    </row>
    <row r="330" spans="1:4" hidden="1" x14ac:dyDescent="0.25">
      <c r="A330" s="1" t="s">
        <v>732</v>
      </c>
      <c r="B330" s="1" t="s">
        <v>733</v>
      </c>
      <c r="C330" s="1" t="s">
        <v>591</v>
      </c>
      <c r="D330" s="14" t="s">
        <v>5524</v>
      </c>
    </row>
    <row r="331" spans="1:4" hidden="1" x14ac:dyDescent="0.25">
      <c r="A331" s="1" t="s">
        <v>734</v>
      </c>
      <c r="B331" s="1" t="s">
        <v>735</v>
      </c>
      <c r="C331" s="1" t="s">
        <v>594</v>
      </c>
      <c r="D331" s="14" t="s">
        <v>5524</v>
      </c>
    </row>
    <row r="332" spans="1:4" hidden="1" x14ac:dyDescent="0.25">
      <c r="A332" s="1" t="s">
        <v>736</v>
      </c>
      <c r="B332" s="1" t="s">
        <v>737</v>
      </c>
      <c r="C332" s="1" t="s">
        <v>597</v>
      </c>
      <c r="D332" s="14" t="s">
        <v>5524</v>
      </c>
    </row>
    <row r="333" spans="1:4" hidden="1" x14ac:dyDescent="0.25">
      <c r="A333" s="1" t="s">
        <v>738</v>
      </c>
      <c r="B333" s="1" t="s">
        <v>739</v>
      </c>
      <c r="C333" s="1" t="s">
        <v>740</v>
      </c>
      <c r="D333" s="14" t="s">
        <v>5525</v>
      </c>
    </row>
    <row r="334" spans="1:4" hidden="1" x14ac:dyDescent="0.25">
      <c r="A334" s="1" t="s">
        <v>741</v>
      </c>
      <c r="B334" s="1" t="s">
        <v>742</v>
      </c>
      <c r="C334" s="1" t="s">
        <v>743</v>
      </c>
      <c r="D334" s="14" t="s">
        <v>5525</v>
      </c>
    </row>
    <row r="335" spans="1:4" hidden="1" x14ac:dyDescent="0.25">
      <c r="A335" s="1" t="s">
        <v>744</v>
      </c>
      <c r="B335" s="1" t="s">
        <v>745</v>
      </c>
      <c r="C335" s="1" t="s">
        <v>746</v>
      </c>
      <c r="D335" s="14" t="s">
        <v>5525</v>
      </c>
    </row>
    <row r="336" spans="1:4" hidden="1" x14ac:dyDescent="0.25">
      <c r="A336" s="1" t="s">
        <v>747</v>
      </c>
      <c r="B336" s="1" t="s">
        <v>748</v>
      </c>
      <c r="C336" s="1" t="s">
        <v>749</v>
      </c>
      <c r="D336" s="14" t="s">
        <v>5525</v>
      </c>
    </row>
    <row r="337" spans="1:4" hidden="1" x14ac:dyDescent="0.25">
      <c r="A337" s="1" t="s">
        <v>750</v>
      </c>
      <c r="B337" s="1" t="s">
        <v>751</v>
      </c>
      <c r="C337" s="1" t="s">
        <v>752</v>
      </c>
      <c r="D337" s="14" t="s">
        <v>5525</v>
      </c>
    </row>
    <row r="338" spans="1:4" hidden="1" x14ac:dyDescent="0.25">
      <c r="A338" s="1" t="s">
        <v>753</v>
      </c>
      <c r="B338" s="1" t="s">
        <v>754</v>
      </c>
      <c r="C338" s="1" t="s">
        <v>755</v>
      </c>
      <c r="D338" s="14" t="s">
        <v>5525</v>
      </c>
    </row>
    <row r="339" spans="1:4" hidden="1" x14ac:dyDescent="0.25">
      <c r="A339" s="1" t="s">
        <v>756</v>
      </c>
      <c r="B339" s="1" t="s">
        <v>757</v>
      </c>
      <c r="C339" s="1" t="s">
        <v>758</v>
      </c>
      <c r="D339" s="14" t="s">
        <v>5525</v>
      </c>
    </row>
    <row r="340" spans="1:4" hidden="1" x14ac:dyDescent="0.25">
      <c r="A340" s="1" t="s">
        <v>759</v>
      </c>
      <c r="B340" s="1" t="s">
        <v>760</v>
      </c>
      <c r="C340" s="1" t="s">
        <v>761</v>
      </c>
      <c r="D340" s="14" t="s">
        <v>5525</v>
      </c>
    </row>
    <row r="341" spans="1:4" hidden="1" x14ac:dyDescent="0.25">
      <c r="A341" s="1" t="s">
        <v>762</v>
      </c>
      <c r="B341" s="1" t="s">
        <v>763</v>
      </c>
      <c r="C341" s="1" t="s">
        <v>764</v>
      </c>
      <c r="D341" s="14" t="s">
        <v>5525</v>
      </c>
    </row>
    <row r="342" spans="1:4" hidden="1" x14ac:dyDescent="0.25">
      <c r="A342" s="1" t="s">
        <v>765</v>
      </c>
      <c r="B342" s="1" t="s">
        <v>766</v>
      </c>
      <c r="C342" s="1" t="s">
        <v>767</v>
      </c>
      <c r="D342" s="14" t="s">
        <v>5525</v>
      </c>
    </row>
    <row r="343" spans="1:4" hidden="1" x14ac:dyDescent="0.25">
      <c r="A343" s="1" t="s">
        <v>768</v>
      </c>
      <c r="B343" s="1" t="s">
        <v>769</v>
      </c>
      <c r="C343" s="1" t="s">
        <v>770</v>
      </c>
      <c r="D343" s="14" t="s">
        <v>5525</v>
      </c>
    </row>
    <row r="344" spans="1:4" hidden="1" x14ac:dyDescent="0.25">
      <c r="A344" s="1" t="s">
        <v>771</v>
      </c>
      <c r="B344" s="1" t="s">
        <v>772</v>
      </c>
      <c r="C344" s="1" t="s">
        <v>773</v>
      </c>
      <c r="D344" s="14" t="s">
        <v>5525</v>
      </c>
    </row>
    <row r="345" spans="1:4" hidden="1" x14ac:dyDescent="0.25">
      <c r="A345" s="1" t="s">
        <v>774</v>
      </c>
      <c r="B345" s="1" t="s">
        <v>775</v>
      </c>
      <c r="C345" s="1" t="s">
        <v>776</v>
      </c>
      <c r="D345" s="14" t="s">
        <v>5525</v>
      </c>
    </row>
    <row r="346" spans="1:4" hidden="1" x14ac:dyDescent="0.25">
      <c r="A346" s="1" t="s">
        <v>777</v>
      </c>
      <c r="B346" s="1" t="s">
        <v>778</v>
      </c>
      <c r="C346" s="1" t="s">
        <v>779</v>
      </c>
      <c r="D346" s="14" t="s">
        <v>5525</v>
      </c>
    </row>
    <row r="347" spans="1:4" hidden="1" x14ac:dyDescent="0.25">
      <c r="A347" s="1" t="s">
        <v>780</v>
      </c>
      <c r="B347" s="1" t="s">
        <v>781</v>
      </c>
      <c r="C347" s="1" t="s">
        <v>782</v>
      </c>
      <c r="D347" s="14" t="s">
        <v>5525</v>
      </c>
    </row>
    <row r="348" spans="1:4" hidden="1" x14ac:dyDescent="0.25">
      <c r="A348" s="1" t="s">
        <v>783</v>
      </c>
      <c r="B348" s="1" t="s">
        <v>784</v>
      </c>
      <c r="C348" s="1" t="s">
        <v>785</v>
      </c>
      <c r="D348" s="14" t="s">
        <v>5525</v>
      </c>
    </row>
    <row r="349" spans="1:4" hidden="1" x14ac:dyDescent="0.25">
      <c r="A349" s="1" t="s">
        <v>786</v>
      </c>
      <c r="B349" s="1" t="s">
        <v>787</v>
      </c>
      <c r="C349" s="1" t="s">
        <v>788</v>
      </c>
      <c r="D349" s="14" t="s">
        <v>5525</v>
      </c>
    </row>
    <row r="350" spans="1:4" hidden="1" x14ac:dyDescent="0.25">
      <c r="A350" s="1" t="s">
        <v>789</v>
      </c>
      <c r="B350" s="1" t="s">
        <v>790</v>
      </c>
      <c r="C350" s="1" t="s">
        <v>791</v>
      </c>
      <c r="D350" s="14" t="s">
        <v>5525</v>
      </c>
    </row>
    <row r="351" spans="1:4" hidden="1" x14ac:dyDescent="0.25">
      <c r="A351" s="1" t="s">
        <v>792</v>
      </c>
      <c r="B351" s="1" t="s">
        <v>793</v>
      </c>
      <c r="C351" s="1" t="s">
        <v>794</v>
      </c>
      <c r="D351" s="14" t="s">
        <v>5525</v>
      </c>
    </row>
    <row r="352" spans="1:4" hidden="1" x14ac:dyDescent="0.25">
      <c r="A352" s="1" t="s">
        <v>795</v>
      </c>
      <c r="B352" s="1" t="s">
        <v>796</v>
      </c>
      <c r="C352" s="1" t="s">
        <v>797</v>
      </c>
      <c r="D352" s="14" t="s">
        <v>5525</v>
      </c>
    </row>
    <row r="353" spans="1:4" hidden="1" x14ac:dyDescent="0.25">
      <c r="A353" s="1" t="s">
        <v>798</v>
      </c>
      <c r="B353" s="1" t="s">
        <v>799</v>
      </c>
      <c r="C353" s="1" t="s">
        <v>800</v>
      </c>
      <c r="D353" s="14" t="s">
        <v>5525</v>
      </c>
    </row>
    <row r="354" spans="1:4" hidden="1" x14ac:dyDescent="0.25">
      <c r="A354" s="1" t="s">
        <v>801</v>
      </c>
      <c r="B354" s="1" t="s">
        <v>802</v>
      </c>
      <c r="C354" s="1" t="s">
        <v>803</v>
      </c>
      <c r="D354" s="14" t="s">
        <v>5525</v>
      </c>
    </row>
    <row r="355" spans="1:4" hidden="1" x14ac:dyDescent="0.25">
      <c r="A355" s="1" t="s">
        <v>804</v>
      </c>
      <c r="B355" s="1" t="s">
        <v>805</v>
      </c>
      <c r="C355" s="1" t="s">
        <v>806</v>
      </c>
      <c r="D355" s="14" t="s">
        <v>5525</v>
      </c>
    </row>
    <row r="356" spans="1:4" hidden="1" x14ac:dyDescent="0.25">
      <c r="A356" s="1" t="s">
        <v>807</v>
      </c>
      <c r="B356" s="1" t="s">
        <v>808</v>
      </c>
      <c r="C356" s="1" t="s">
        <v>809</v>
      </c>
      <c r="D356" s="14" t="s">
        <v>5525</v>
      </c>
    </row>
    <row r="357" spans="1:4" hidden="1" x14ac:dyDescent="0.25">
      <c r="A357" s="1" t="s">
        <v>810</v>
      </c>
      <c r="B357" s="1" t="s">
        <v>811</v>
      </c>
      <c r="C357" s="1" t="s">
        <v>812</v>
      </c>
      <c r="D357" s="14" t="s">
        <v>5525</v>
      </c>
    </row>
    <row r="358" spans="1:4" hidden="1" x14ac:dyDescent="0.25">
      <c r="A358" s="1" t="s">
        <v>813</v>
      </c>
      <c r="B358" s="1" t="s">
        <v>814</v>
      </c>
      <c r="C358" s="1" t="s">
        <v>815</v>
      </c>
      <c r="D358" s="14" t="s">
        <v>5525</v>
      </c>
    </row>
    <row r="359" spans="1:4" hidden="1" x14ac:dyDescent="0.25">
      <c r="A359" s="1" t="s">
        <v>816</v>
      </c>
      <c r="B359" s="1" t="s">
        <v>817</v>
      </c>
      <c r="C359" s="1" t="s">
        <v>818</v>
      </c>
      <c r="D359" s="14" t="s">
        <v>5525</v>
      </c>
    </row>
    <row r="360" spans="1:4" hidden="1" x14ac:dyDescent="0.25">
      <c r="A360" s="1" t="s">
        <v>819</v>
      </c>
      <c r="B360" s="1" t="s">
        <v>820</v>
      </c>
      <c r="C360" s="1" t="s">
        <v>821</v>
      </c>
      <c r="D360" s="14" t="s">
        <v>5525</v>
      </c>
    </row>
    <row r="361" spans="1:4" hidden="1" x14ac:dyDescent="0.25">
      <c r="A361" s="1" t="s">
        <v>822</v>
      </c>
      <c r="B361" s="1" t="s">
        <v>823</v>
      </c>
      <c r="C361" s="1" t="s">
        <v>824</v>
      </c>
      <c r="D361" s="14" t="s">
        <v>5525</v>
      </c>
    </row>
    <row r="362" spans="1:4" hidden="1" x14ac:dyDescent="0.25">
      <c r="A362" s="1" t="s">
        <v>825</v>
      </c>
      <c r="B362" s="1" t="s">
        <v>826</v>
      </c>
      <c r="C362" s="1" t="s">
        <v>827</v>
      </c>
      <c r="D362" s="14" t="s">
        <v>5525</v>
      </c>
    </row>
    <row r="363" spans="1:4" hidden="1" x14ac:dyDescent="0.25">
      <c r="A363" s="1" t="s">
        <v>828</v>
      </c>
      <c r="B363" s="1" t="s">
        <v>829</v>
      </c>
      <c r="C363" s="1" t="s">
        <v>830</v>
      </c>
      <c r="D363" s="14" t="s">
        <v>5525</v>
      </c>
    </row>
    <row r="364" spans="1:4" hidden="1" x14ac:dyDescent="0.25">
      <c r="A364" s="1" t="s">
        <v>831</v>
      </c>
      <c r="B364" s="1" t="s">
        <v>832</v>
      </c>
      <c r="C364" s="1" t="s">
        <v>833</v>
      </c>
      <c r="D364" s="14" t="s">
        <v>5525</v>
      </c>
    </row>
    <row r="365" spans="1:4" hidden="1" x14ac:dyDescent="0.25">
      <c r="A365" s="1" t="s">
        <v>834</v>
      </c>
      <c r="B365" s="1" t="s">
        <v>835</v>
      </c>
      <c r="C365" s="1" t="s">
        <v>836</v>
      </c>
      <c r="D365" s="14" t="s">
        <v>5525</v>
      </c>
    </row>
    <row r="366" spans="1:4" hidden="1" x14ac:dyDescent="0.25">
      <c r="A366" s="1" t="s">
        <v>837</v>
      </c>
      <c r="B366" s="1" t="s">
        <v>838</v>
      </c>
      <c r="C366" s="1" t="s">
        <v>839</v>
      </c>
      <c r="D366" s="14" t="s">
        <v>5525</v>
      </c>
    </row>
    <row r="367" spans="1:4" hidden="1" x14ac:dyDescent="0.25">
      <c r="A367" s="1" t="s">
        <v>840</v>
      </c>
      <c r="B367" s="1" t="s">
        <v>841</v>
      </c>
      <c r="C367" s="1" t="s">
        <v>842</v>
      </c>
      <c r="D367" s="14" t="s">
        <v>5525</v>
      </c>
    </row>
    <row r="368" spans="1:4" hidden="1" x14ac:dyDescent="0.25">
      <c r="A368" s="1" t="s">
        <v>843</v>
      </c>
      <c r="B368" s="1" t="s">
        <v>844</v>
      </c>
      <c r="C368" s="1" t="s">
        <v>740</v>
      </c>
      <c r="D368" s="14" t="s">
        <v>5525</v>
      </c>
    </row>
    <row r="369" spans="1:4" hidden="1" x14ac:dyDescent="0.25">
      <c r="A369" s="1" t="s">
        <v>845</v>
      </c>
      <c r="B369" s="1" t="s">
        <v>846</v>
      </c>
      <c r="C369" s="1" t="s">
        <v>743</v>
      </c>
      <c r="D369" s="14" t="s">
        <v>5525</v>
      </c>
    </row>
    <row r="370" spans="1:4" hidden="1" x14ac:dyDescent="0.25">
      <c r="A370" s="1" t="s">
        <v>847</v>
      </c>
      <c r="B370" s="1" t="s">
        <v>848</v>
      </c>
      <c r="C370" s="1" t="s">
        <v>746</v>
      </c>
      <c r="D370" s="14" t="s">
        <v>5525</v>
      </c>
    </row>
    <row r="371" spans="1:4" hidden="1" x14ac:dyDescent="0.25">
      <c r="A371" s="1" t="s">
        <v>849</v>
      </c>
      <c r="B371" s="1" t="s">
        <v>850</v>
      </c>
      <c r="C371" s="1" t="s">
        <v>749</v>
      </c>
      <c r="D371" s="14" t="s">
        <v>5525</v>
      </c>
    </row>
    <row r="372" spans="1:4" hidden="1" x14ac:dyDescent="0.25">
      <c r="A372" s="1" t="s">
        <v>851</v>
      </c>
      <c r="B372" s="1" t="s">
        <v>852</v>
      </c>
      <c r="C372" s="1" t="s">
        <v>752</v>
      </c>
      <c r="D372" s="14" t="s">
        <v>5525</v>
      </c>
    </row>
    <row r="373" spans="1:4" hidden="1" x14ac:dyDescent="0.25">
      <c r="A373" s="1" t="s">
        <v>853</v>
      </c>
      <c r="B373" s="1" t="s">
        <v>854</v>
      </c>
      <c r="C373" s="1" t="s">
        <v>755</v>
      </c>
      <c r="D373" s="14" t="s">
        <v>5525</v>
      </c>
    </row>
    <row r="374" spans="1:4" hidden="1" x14ac:dyDescent="0.25">
      <c r="A374" s="1" t="s">
        <v>855</v>
      </c>
      <c r="B374" s="1" t="s">
        <v>856</v>
      </c>
      <c r="C374" s="1" t="s">
        <v>758</v>
      </c>
      <c r="D374" s="14" t="s">
        <v>5525</v>
      </c>
    </row>
    <row r="375" spans="1:4" hidden="1" x14ac:dyDescent="0.25">
      <c r="A375" s="1" t="s">
        <v>857</v>
      </c>
      <c r="B375" s="1" t="s">
        <v>858</v>
      </c>
      <c r="C375" s="1" t="s">
        <v>761</v>
      </c>
      <c r="D375" s="14" t="s">
        <v>5525</v>
      </c>
    </row>
    <row r="376" spans="1:4" hidden="1" x14ac:dyDescent="0.25">
      <c r="A376" s="1" t="s">
        <v>859</v>
      </c>
      <c r="B376" s="1" t="s">
        <v>860</v>
      </c>
      <c r="C376" s="1" t="s">
        <v>764</v>
      </c>
      <c r="D376" s="14" t="s">
        <v>5525</v>
      </c>
    </row>
    <row r="377" spans="1:4" hidden="1" x14ac:dyDescent="0.25">
      <c r="A377" s="1" t="s">
        <v>861</v>
      </c>
      <c r="B377" s="1" t="s">
        <v>862</v>
      </c>
      <c r="C377" s="1" t="s">
        <v>767</v>
      </c>
      <c r="D377" s="14" t="s">
        <v>5525</v>
      </c>
    </row>
    <row r="378" spans="1:4" hidden="1" x14ac:dyDescent="0.25">
      <c r="A378" s="1" t="s">
        <v>863</v>
      </c>
      <c r="B378" s="1" t="s">
        <v>864</v>
      </c>
      <c r="C378" s="1" t="s">
        <v>770</v>
      </c>
      <c r="D378" s="14" t="s">
        <v>5525</v>
      </c>
    </row>
    <row r="379" spans="1:4" hidden="1" x14ac:dyDescent="0.25">
      <c r="A379" s="1" t="s">
        <v>865</v>
      </c>
      <c r="B379" s="1" t="s">
        <v>866</v>
      </c>
      <c r="C379" s="1" t="s">
        <v>773</v>
      </c>
      <c r="D379" s="14" t="s">
        <v>5525</v>
      </c>
    </row>
    <row r="380" spans="1:4" hidden="1" x14ac:dyDescent="0.25">
      <c r="A380" s="1" t="s">
        <v>867</v>
      </c>
      <c r="B380" s="1" t="s">
        <v>868</v>
      </c>
      <c r="C380" s="1" t="s">
        <v>776</v>
      </c>
      <c r="D380" s="14" t="s">
        <v>5525</v>
      </c>
    </row>
    <row r="381" spans="1:4" hidden="1" x14ac:dyDescent="0.25">
      <c r="A381" s="1" t="s">
        <v>869</v>
      </c>
      <c r="B381" s="1" t="s">
        <v>870</v>
      </c>
      <c r="C381" s="1" t="s">
        <v>779</v>
      </c>
      <c r="D381" s="14" t="s">
        <v>5525</v>
      </c>
    </row>
    <row r="382" spans="1:4" hidden="1" x14ac:dyDescent="0.25">
      <c r="A382" s="1" t="s">
        <v>871</v>
      </c>
      <c r="B382" s="1" t="s">
        <v>872</v>
      </c>
      <c r="C382" s="1" t="s">
        <v>782</v>
      </c>
      <c r="D382" s="14" t="s">
        <v>5525</v>
      </c>
    </row>
    <row r="383" spans="1:4" hidden="1" x14ac:dyDescent="0.25">
      <c r="A383" s="1" t="s">
        <v>873</v>
      </c>
      <c r="B383" s="1" t="s">
        <v>874</v>
      </c>
      <c r="C383" s="1" t="s">
        <v>785</v>
      </c>
      <c r="D383" s="14" t="s">
        <v>5525</v>
      </c>
    </row>
    <row r="384" spans="1:4" hidden="1" x14ac:dyDescent="0.25">
      <c r="A384" s="1" t="s">
        <v>875</v>
      </c>
      <c r="B384" s="1" t="s">
        <v>876</v>
      </c>
      <c r="C384" s="1" t="s">
        <v>788</v>
      </c>
      <c r="D384" s="14" t="s">
        <v>5525</v>
      </c>
    </row>
    <row r="385" spans="1:4" hidden="1" x14ac:dyDescent="0.25">
      <c r="A385" s="1" t="s">
        <v>877</v>
      </c>
      <c r="B385" s="1" t="s">
        <v>878</v>
      </c>
      <c r="C385" s="1" t="s">
        <v>791</v>
      </c>
      <c r="D385" s="14" t="s">
        <v>5525</v>
      </c>
    </row>
    <row r="386" spans="1:4" hidden="1" x14ac:dyDescent="0.25">
      <c r="A386" s="1" t="s">
        <v>879</v>
      </c>
      <c r="B386" s="1" t="s">
        <v>880</v>
      </c>
      <c r="C386" s="1" t="s">
        <v>794</v>
      </c>
      <c r="D386" s="14" t="s">
        <v>5525</v>
      </c>
    </row>
    <row r="387" spans="1:4" hidden="1" x14ac:dyDescent="0.25">
      <c r="A387" s="1" t="s">
        <v>881</v>
      </c>
      <c r="B387" s="1" t="s">
        <v>882</v>
      </c>
      <c r="C387" s="1" t="s">
        <v>797</v>
      </c>
      <c r="D387" s="14" t="s">
        <v>5525</v>
      </c>
    </row>
    <row r="388" spans="1:4" hidden="1" x14ac:dyDescent="0.25">
      <c r="A388" s="1" t="s">
        <v>883</v>
      </c>
      <c r="B388" s="1" t="s">
        <v>884</v>
      </c>
      <c r="C388" s="1" t="s">
        <v>800</v>
      </c>
      <c r="D388" s="14" t="s">
        <v>5525</v>
      </c>
    </row>
    <row r="389" spans="1:4" hidden="1" x14ac:dyDescent="0.25">
      <c r="A389" s="1" t="s">
        <v>885</v>
      </c>
      <c r="B389" s="1" t="s">
        <v>886</v>
      </c>
      <c r="C389" s="1" t="s">
        <v>803</v>
      </c>
      <c r="D389" s="14" t="s">
        <v>5525</v>
      </c>
    </row>
    <row r="390" spans="1:4" hidden="1" x14ac:dyDescent="0.25">
      <c r="A390" s="1" t="s">
        <v>887</v>
      </c>
      <c r="B390" s="1" t="s">
        <v>888</v>
      </c>
      <c r="C390" s="1" t="s">
        <v>806</v>
      </c>
      <c r="D390" s="14" t="s">
        <v>5525</v>
      </c>
    </row>
    <row r="391" spans="1:4" hidden="1" x14ac:dyDescent="0.25">
      <c r="A391" s="1" t="s">
        <v>889</v>
      </c>
      <c r="B391" s="1" t="s">
        <v>890</v>
      </c>
      <c r="C391" s="1" t="s">
        <v>809</v>
      </c>
      <c r="D391" s="14" t="s">
        <v>5525</v>
      </c>
    </row>
    <row r="392" spans="1:4" hidden="1" x14ac:dyDescent="0.25">
      <c r="A392" s="1" t="s">
        <v>891</v>
      </c>
      <c r="B392" s="1" t="s">
        <v>892</v>
      </c>
      <c r="C392" s="1" t="s">
        <v>812</v>
      </c>
      <c r="D392" s="14" t="s">
        <v>5525</v>
      </c>
    </row>
    <row r="393" spans="1:4" hidden="1" x14ac:dyDescent="0.25">
      <c r="A393" s="1" t="s">
        <v>893</v>
      </c>
      <c r="B393" s="1" t="s">
        <v>894</v>
      </c>
      <c r="C393" s="1" t="s">
        <v>815</v>
      </c>
      <c r="D393" s="14" t="s">
        <v>5525</v>
      </c>
    </row>
    <row r="394" spans="1:4" hidden="1" x14ac:dyDescent="0.25">
      <c r="A394" s="1" t="s">
        <v>895</v>
      </c>
      <c r="B394" s="1" t="s">
        <v>896</v>
      </c>
      <c r="C394" s="1" t="s">
        <v>818</v>
      </c>
      <c r="D394" s="14" t="s">
        <v>5525</v>
      </c>
    </row>
    <row r="395" spans="1:4" hidden="1" x14ac:dyDescent="0.25">
      <c r="A395" s="1" t="s">
        <v>897</v>
      </c>
      <c r="B395" s="1" t="s">
        <v>898</v>
      </c>
      <c r="C395" s="1" t="s">
        <v>821</v>
      </c>
      <c r="D395" s="14" t="s">
        <v>5525</v>
      </c>
    </row>
    <row r="396" spans="1:4" hidden="1" x14ac:dyDescent="0.25">
      <c r="A396" s="1" t="s">
        <v>899</v>
      </c>
      <c r="B396" s="1" t="s">
        <v>900</v>
      </c>
      <c r="C396" s="1" t="s">
        <v>824</v>
      </c>
      <c r="D396" s="14" t="s">
        <v>5525</v>
      </c>
    </row>
    <row r="397" spans="1:4" hidden="1" x14ac:dyDescent="0.25">
      <c r="A397" s="1" t="s">
        <v>901</v>
      </c>
      <c r="B397" s="1" t="s">
        <v>902</v>
      </c>
      <c r="C397" s="1" t="s">
        <v>827</v>
      </c>
      <c r="D397" s="14" t="s">
        <v>5525</v>
      </c>
    </row>
    <row r="398" spans="1:4" hidden="1" x14ac:dyDescent="0.25">
      <c r="A398" s="1" t="s">
        <v>903</v>
      </c>
      <c r="B398" s="1" t="s">
        <v>904</v>
      </c>
      <c r="C398" s="1" t="s">
        <v>830</v>
      </c>
      <c r="D398" s="14" t="s">
        <v>5525</v>
      </c>
    </row>
    <row r="399" spans="1:4" hidden="1" x14ac:dyDescent="0.25">
      <c r="A399" s="1" t="s">
        <v>905</v>
      </c>
      <c r="B399" s="1" t="s">
        <v>906</v>
      </c>
      <c r="C399" s="1" t="s">
        <v>833</v>
      </c>
      <c r="D399" s="14" t="s">
        <v>5525</v>
      </c>
    </row>
    <row r="400" spans="1:4" hidden="1" x14ac:dyDescent="0.25">
      <c r="A400" s="1" t="s">
        <v>907</v>
      </c>
      <c r="B400" s="1" t="s">
        <v>908</v>
      </c>
      <c r="C400" s="1" t="s">
        <v>836</v>
      </c>
      <c r="D400" s="14" t="s">
        <v>5525</v>
      </c>
    </row>
    <row r="401" spans="1:4" hidden="1" x14ac:dyDescent="0.25">
      <c r="A401" s="1" t="s">
        <v>909</v>
      </c>
      <c r="B401" s="1" t="s">
        <v>910</v>
      </c>
      <c r="C401" s="1" t="s">
        <v>839</v>
      </c>
      <c r="D401" s="14" t="s">
        <v>5525</v>
      </c>
    </row>
    <row r="402" spans="1:4" hidden="1" x14ac:dyDescent="0.25">
      <c r="A402" s="1" t="s">
        <v>911</v>
      </c>
      <c r="B402" s="1" t="s">
        <v>912</v>
      </c>
      <c r="C402" s="1" t="s">
        <v>842</v>
      </c>
      <c r="D402" s="14" t="s">
        <v>5525</v>
      </c>
    </row>
    <row r="403" spans="1:4" hidden="1" x14ac:dyDescent="0.25">
      <c r="A403" s="1" t="s">
        <v>913</v>
      </c>
      <c r="B403" s="1" t="s">
        <v>914</v>
      </c>
      <c r="C403" s="1" t="s">
        <v>915</v>
      </c>
      <c r="D403" s="14" t="s">
        <v>5525</v>
      </c>
    </row>
    <row r="404" spans="1:4" hidden="1" x14ac:dyDescent="0.25">
      <c r="A404" s="1" t="s">
        <v>916</v>
      </c>
      <c r="B404" s="1" t="s">
        <v>917</v>
      </c>
      <c r="C404" s="1" t="s">
        <v>918</v>
      </c>
      <c r="D404" s="14" t="s">
        <v>5525</v>
      </c>
    </row>
    <row r="405" spans="1:4" hidden="1" x14ac:dyDescent="0.25">
      <c r="A405" s="1" t="s">
        <v>919</v>
      </c>
      <c r="B405" s="1" t="s">
        <v>920</v>
      </c>
      <c r="C405" s="1" t="s">
        <v>921</v>
      </c>
      <c r="D405" s="14" t="s">
        <v>5525</v>
      </c>
    </row>
    <row r="406" spans="1:4" hidden="1" x14ac:dyDescent="0.25">
      <c r="A406" s="1" t="s">
        <v>922</v>
      </c>
      <c r="B406" s="1" t="s">
        <v>923</v>
      </c>
      <c r="C406" s="1" t="s">
        <v>924</v>
      </c>
      <c r="D406" s="14" t="s">
        <v>5525</v>
      </c>
    </row>
    <row r="407" spans="1:4" hidden="1" x14ac:dyDescent="0.25">
      <c r="A407" s="1" t="s">
        <v>925</v>
      </c>
      <c r="B407" s="1" t="s">
        <v>926</v>
      </c>
      <c r="C407" s="1" t="s">
        <v>927</v>
      </c>
      <c r="D407" s="14" t="s">
        <v>5525</v>
      </c>
    </row>
    <row r="408" spans="1:4" hidden="1" x14ac:dyDescent="0.25">
      <c r="A408" s="1" t="s">
        <v>928</v>
      </c>
      <c r="B408" s="1" t="s">
        <v>929</v>
      </c>
      <c r="C408" s="1" t="s">
        <v>930</v>
      </c>
      <c r="D408" s="14" t="s">
        <v>5525</v>
      </c>
    </row>
    <row r="409" spans="1:4" hidden="1" x14ac:dyDescent="0.25">
      <c r="A409" s="1" t="s">
        <v>931</v>
      </c>
      <c r="B409" s="1" t="s">
        <v>932</v>
      </c>
      <c r="C409" s="1" t="s">
        <v>933</v>
      </c>
      <c r="D409" s="14" t="s">
        <v>5525</v>
      </c>
    </row>
    <row r="410" spans="1:4" hidden="1" x14ac:dyDescent="0.25">
      <c r="A410" s="1" t="s">
        <v>934</v>
      </c>
      <c r="B410" s="1" t="s">
        <v>935</v>
      </c>
      <c r="C410" s="1" t="s">
        <v>936</v>
      </c>
      <c r="D410" s="14" t="s">
        <v>5525</v>
      </c>
    </row>
    <row r="411" spans="1:4" hidden="1" x14ac:dyDescent="0.25">
      <c r="A411" s="1" t="s">
        <v>937</v>
      </c>
      <c r="B411" s="1" t="s">
        <v>938</v>
      </c>
      <c r="C411" s="1" t="s">
        <v>939</v>
      </c>
      <c r="D411" s="14" t="s">
        <v>5525</v>
      </c>
    </row>
    <row r="412" spans="1:4" hidden="1" x14ac:dyDescent="0.25">
      <c r="A412" s="1" t="s">
        <v>940</v>
      </c>
      <c r="B412" s="1" t="s">
        <v>941</v>
      </c>
      <c r="C412" s="1" t="s">
        <v>942</v>
      </c>
      <c r="D412" s="14" t="s">
        <v>5525</v>
      </c>
    </row>
    <row r="413" spans="1:4" hidden="1" x14ac:dyDescent="0.25">
      <c r="A413" s="1" t="s">
        <v>943</v>
      </c>
      <c r="B413" s="1" t="s">
        <v>944</v>
      </c>
      <c r="C413" s="1" t="s">
        <v>945</v>
      </c>
      <c r="D413" s="14" t="s">
        <v>5525</v>
      </c>
    </row>
    <row r="414" spans="1:4" hidden="1" x14ac:dyDescent="0.25">
      <c r="A414" s="1" t="s">
        <v>946</v>
      </c>
      <c r="B414" s="1" t="s">
        <v>947</v>
      </c>
      <c r="C414" s="1" t="s">
        <v>948</v>
      </c>
      <c r="D414" s="14" t="s">
        <v>5525</v>
      </c>
    </row>
    <row r="415" spans="1:4" hidden="1" x14ac:dyDescent="0.25">
      <c r="A415" s="1" t="s">
        <v>949</v>
      </c>
      <c r="B415" s="1" t="s">
        <v>950</v>
      </c>
      <c r="C415" s="1" t="s">
        <v>951</v>
      </c>
      <c r="D415" s="14" t="s">
        <v>5525</v>
      </c>
    </row>
    <row r="416" spans="1:4" hidden="1" x14ac:dyDescent="0.25">
      <c r="A416" s="1" t="s">
        <v>952</v>
      </c>
      <c r="B416" s="1" t="s">
        <v>953</v>
      </c>
      <c r="C416" s="1" t="s">
        <v>954</v>
      </c>
      <c r="D416" s="14" t="s">
        <v>5525</v>
      </c>
    </row>
    <row r="417" spans="1:4" hidden="1" x14ac:dyDescent="0.25">
      <c r="A417" s="1" t="s">
        <v>955</v>
      </c>
      <c r="B417" s="1" t="s">
        <v>956</v>
      </c>
      <c r="C417" s="1" t="s">
        <v>957</v>
      </c>
      <c r="D417" s="14" t="s">
        <v>5525</v>
      </c>
    </row>
    <row r="418" spans="1:4" hidden="1" x14ac:dyDescent="0.25">
      <c r="A418" s="1" t="s">
        <v>958</v>
      </c>
      <c r="B418" s="1" t="s">
        <v>959</v>
      </c>
      <c r="C418" s="1" t="s">
        <v>960</v>
      </c>
      <c r="D418" s="14" t="s">
        <v>5525</v>
      </c>
    </row>
    <row r="419" spans="1:4" hidden="1" x14ac:dyDescent="0.25">
      <c r="A419" s="1" t="s">
        <v>961</v>
      </c>
      <c r="B419" s="1" t="s">
        <v>962</v>
      </c>
      <c r="C419" s="1" t="s">
        <v>963</v>
      </c>
      <c r="D419" s="14" t="s">
        <v>5525</v>
      </c>
    </row>
    <row r="420" spans="1:4" hidden="1" x14ac:dyDescent="0.25">
      <c r="A420" s="1" t="s">
        <v>964</v>
      </c>
      <c r="B420" s="1" t="s">
        <v>965</v>
      </c>
      <c r="C420" s="1" t="s">
        <v>966</v>
      </c>
      <c r="D420" s="14" t="s">
        <v>5525</v>
      </c>
    </row>
    <row r="421" spans="1:4" hidden="1" x14ac:dyDescent="0.25">
      <c r="A421" s="1" t="s">
        <v>967</v>
      </c>
      <c r="B421" s="1" t="s">
        <v>968</v>
      </c>
      <c r="C421" s="1" t="s">
        <v>969</v>
      </c>
      <c r="D421" s="14" t="s">
        <v>5525</v>
      </c>
    </row>
    <row r="422" spans="1:4" hidden="1" x14ac:dyDescent="0.25">
      <c r="A422" s="1" t="s">
        <v>970</v>
      </c>
      <c r="B422" s="1" t="s">
        <v>971</v>
      </c>
      <c r="C422" s="1" t="s">
        <v>972</v>
      </c>
      <c r="D422" s="14" t="s">
        <v>5525</v>
      </c>
    </row>
    <row r="423" spans="1:4" hidden="1" x14ac:dyDescent="0.25">
      <c r="A423" s="1" t="s">
        <v>973</v>
      </c>
      <c r="B423" s="1" t="s">
        <v>974</v>
      </c>
      <c r="C423" s="1" t="s">
        <v>975</v>
      </c>
      <c r="D423" s="14" t="s">
        <v>5525</v>
      </c>
    </row>
    <row r="424" spans="1:4" hidden="1" x14ac:dyDescent="0.25">
      <c r="A424" s="1" t="s">
        <v>976</v>
      </c>
      <c r="B424" s="1" t="s">
        <v>977</v>
      </c>
      <c r="C424" s="1" t="s">
        <v>978</v>
      </c>
      <c r="D424" s="14" t="s">
        <v>5525</v>
      </c>
    </row>
    <row r="425" spans="1:4" hidden="1" x14ac:dyDescent="0.25">
      <c r="A425" s="1" t="s">
        <v>979</v>
      </c>
      <c r="B425" s="1" t="s">
        <v>980</v>
      </c>
      <c r="C425" s="1" t="s">
        <v>981</v>
      </c>
      <c r="D425" s="14" t="s">
        <v>5525</v>
      </c>
    </row>
    <row r="426" spans="1:4" hidden="1" x14ac:dyDescent="0.25">
      <c r="A426" s="1" t="s">
        <v>982</v>
      </c>
      <c r="B426" s="1" t="s">
        <v>983</v>
      </c>
      <c r="C426" s="1" t="s">
        <v>984</v>
      </c>
      <c r="D426" s="14" t="s">
        <v>5525</v>
      </c>
    </row>
    <row r="427" spans="1:4" hidden="1" x14ac:dyDescent="0.25">
      <c r="A427" s="1" t="s">
        <v>985</v>
      </c>
      <c r="B427" s="1" t="s">
        <v>986</v>
      </c>
      <c r="C427" s="1" t="s">
        <v>987</v>
      </c>
      <c r="D427" s="14" t="s">
        <v>5525</v>
      </c>
    </row>
    <row r="428" spans="1:4" hidden="1" x14ac:dyDescent="0.25">
      <c r="A428" s="1" t="s">
        <v>988</v>
      </c>
      <c r="B428" s="1" t="s">
        <v>989</v>
      </c>
      <c r="C428" s="1" t="s">
        <v>990</v>
      </c>
      <c r="D428" s="14" t="s">
        <v>5525</v>
      </c>
    </row>
    <row r="429" spans="1:4" hidden="1" x14ac:dyDescent="0.25">
      <c r="A429" s="1" t="s">
        <v>991</v>
      </c>
      <c r="B429" s="1" t="s">
        <v>992</v>
      </c>
      <c r="C429" s="1" t="s">
        <v>993</v>
      </c>
      <c r="D429" s="14" t="s">
        <v>5525</v>
      </c>
    </row>
    <row r="430" spans="1:4" hidden="1" x14ac:dyDescent="0.25">
      <c r="A430" s="1" t="s">
        <v>994</v>
      </c>
      <c r="B430" s="1" t="s">
        <v>995</v>
      </c>
      <c r="C430" s="1" t="s">
        <v>996</v>
      </c>
      <c r="D430" s="14" t="s">
        <v>5525</v>
      </c>
    </row>
    <row r="431" spans="1:4" hidden="1" x14ac:dyDescent="0.25">
      <c r="A431" s="1" t="s">
        <v>997</v>
      </c>
      <c r="B431" s="1" t="s">
        <v>998</v>
      </c>
      <c r="C431" s="1" t="s">
        <v>999</v>
      </c>
      <c r="D431" s="14" t="s">
        <v>5525</v>
      </c>
    </row>
    <row r="432" spans="1:4" hidden="1" x14ac:dyDescent="0.25">
      <c r="A432" s="1" t="s">
        <v>1000</v>
      </c>
      <c r="B432" s="1" t="s">
        <v>1001</v>
      </c>
      <c r="C432" s="1" t="s">
        <v>1002</v>
      </c>
      <c r="D432" s="14" t="s">
        <v>5525</v>
      </c>
    </row>
    <row r="433" spans="1:4" hidden="1" x14ac:dyDescent="0.25">
      <c r="A433" s="1" t="s">
        <v>1003</v>
      </c>
      <c r="B433" s="1" t="s">
        <v>1004</v>
      </c>
      <c r="C433" s="1" t="s">
        <v>1005</v>
      </c>
      <c r="D433" s="14" t="s">
        <v>5525</v>
      </c>
    </row>
    <row r="434" spans="1:4" hidden="1" x14ac:dyDescent="0.25">
      <c r="A434" s="1" t="s">
        <v>1006</v>
      </c>
      <c r="B434" s="1" t="s">
        <v>1007</v>
      </c>
      <c r="C434" s="1" t="s">
        <v>1008</v>
      </c>
      <c r="D434" s="14" t="s">
        <v>5525</v>
      </c>
    </row>
    <row r="435" spans="1:4" hidden="1" x14ac:dyDescent="0.25">
      <c r="A435" s="1" t="s">
        <v>1009</v>
      </c>
      <c r="B435" s="1" t="s">
        <v>1010</v>
      </c>
      <c r="C435" s="1" t="s">
        <v>1011</v>
      </c>
      <c r="D435" s="14" t="s">
        <v>5525</v>
      </c>
    </row>
    <row r="436" spans="1:4" hidden="1" x14ac:dyDescent="0.25">
      <c r="A436" s="1" t="s">
        <v>1012</v>
      </c>
      <c r="B436" s="1" t="s">
        <v>1013</v>
      </c>
      <c r="C436" s="1" t="s">
        <v>1014</v>
      </c>
      <c r="D436" s="14" t="s">
        <v>5525</v>
      </c>
    </row>
    <row r="437" spans="1:4" hidden="1" x14ac:dyDescent="0.25">
      <c r="A437" s="1" t="s">
        <v>1015</v>
      </c>
      <c r="B437" s="1" t="s">
        <v>1016</v>
      </c>
      <c r="C437" s="1" t="s">
        <v>1017</v>
      </c>
      <c r="D437" s="14" t="s">
        <v>5525</v>
      </c>
    </row>
    <row r="438" spans="1:4" hidden="1" x14ac:dyDescent="0.25">
      <c r="A438" s="1" t="s">
        <v>1018</v>
      </c>
      <c r="B438" s="1" t="s">
        <v>1019</v>
      </c>
      <c r="C438" s="1" t="s">
        <v>915</v>
      </c>
      <c r="D438" s="14" t="s">
        <v>5525</v>
      </c>
    </row>
    <row r="439" spans="1:4" hidden="1" x14ac:dyDescent="0.25">
      <c r="A439" s="1" t="s">
        <v>1020</v>
      </c>
      <c r="B439" s="1" t="s">
        <v>1021</v>
      </c>
      <c r="C439" s="1" t="s">
        <v>918</v>
      </c>
      <c r="D439" s="14" t="s">
        <v>5525</v>
      </c>
    </row>
    <row r="440" spans="1:4" hidden="1" x14ac:dyDescent="0.25">
      <c r="A440" s="1" t="s">
        <v>1022</v>
      </c>
      <c r="B440" s="1" t="s">
        <v>1023</v>
      </c>
      <c r="C440" s="1" t="s">
        <v>921</v>
      </c>
      <c r="D440" s="14" t="s">
        <v>5525</v>
      </c>
    </row>
    <row r="441" spans="1:4" hidden="1" x14ac:dyDescent="0.25">
      <c r="A441" s="1" t="s">
        <v>1024</v>
      </c>
      <c r="B441" s="1" t="s">
        <v>1025</v>
      </c>
      <c r="C441" s="1" t="s">
        <v>924</v>
      </c>
      <c r="D441" s="14" t="s">
        <v>5525</v>
      </c>
    </row>
    <row r="442" spans="1:4" hidden="1" x14ac:dyDescent="0.25">
      <c r="A442" s="1" t="s">
        <v>1026</v>
      </c>
      <c r="B442" s="1" t="s">
        <v>1027</v>
      </c>
      <c r="C442" s="1" t="s">
        <v>927</v>
      </c>
      <c r="D442" s="14" t="s">
        <v>5525</v>
      </c>
    </row>
    <row r="443" spans="1:4" hidden="1" x14ac:dyDescent="0.25">
      <c r="A443" s="1" t="s">
        <v>1028</v>
      </c>
      <c r="B443" s="1" t="s">
        <v>1029</v>
      </c>
      <c r="C443" s="1" t="s">
        <v>930</v>
      </c>
      <c r="D443" s="14" t="s">
        <v>5525</v>
      </c>
    </row>
    <row r="444" spans="1:4" hidden="1" x14ac:dyDescent="0.25">
      <c r="A444" s="1" t="s">
        <v>1030</v>
      </c>
      <c r="B444" s="1" t="s">
        <v>1031</v>
      </c>
      <c r="C444" s="1" t="s">
        <v>933</v>
      </c>
      <c r="D444" s="14" t="s">
        <v>5525</v>
      </c>
    </row>
    <row r="445" spans="1:4" hidden="1" x14ac:dyDescent="0.25">
      <c r="A445" s="1" t="s">
        <v>1032</v>
      </c>
      <c r="B445" s="1" t="s">
        <v>1033</v>
      </c>
      <c r="C445" s="1" t="s">
        <v>936</v>
      </c>
      <c r="D445" s="14" t="s">
        <v>5525</v>
      </c>
    </row>
    <row r="446" spans="1:4" hidden="1" x14ac:dyDescent="0.25">
      <c r="A446" s="1" t="s">
        <v>1034</v>
      </c>
      <c r="B446" s="1" t="s">
        <v>1035</v>
      </c>
      <c r="C446" s="1" t="s">
        <v>939</v>
      </c>
      <c r="D446" s="14" t="s">
        <v>5525</v>
      </c>
    </row>
    <row r="447" spans="1:4" hidden="1" x14ac:dyDescent="0.25">
      <c r="A447" s="1" t="s">
        <v>1036</v>
      </c>
      <c r="B447" s="1" t="s">
        <v>1037</v>
      </c>
      <c r="C447" s="1" t="s">
        <v>942</v>
      </c>
      <c r="D447" s="14" t="s">
        <v>5525</v>
      </c>
    </row>
    <row r="448" spans="1:4" hidden="1" x14ac:dyDescent="0.25">
      <c r="A448" s="1" t="s">
        <v>1038</v>
      </c>
      <c r="B448" s="1" t="s">
        <v>1039</v>
      </c>
      <c r="C448" s="1" t="s">
        <v>945</v>
      </c>
      <c r="D448" s="14" t="s">
        <v>5525</v>
      </c>
    </row>
    <row r="449" spans="1:4" hidden="1" x14ac:dyDescent="0.25">
      <c r="A449" s="1" t="s">
        <v>1040</v>
      </c>
      <c r="B449" s="1" t="s">
        <v>1041</v>
      </c>
      <c r="C449" s="1" t="s">
        <v>948</v>
      </c>
      <c r="D449" s="14" t="s">
        <v>5525</v>
      </c>
    </row>
    <row r="450" spans="1:4" hidden="1" x14ac:dyDescent="0.25">
      <c r="A450" s="1" t="s">
        <v>1042</v>
      </c>
      <c r="B450" s="1" t="s">
        <v>1043</v>
      </c>
      <c r="C450" s="1" t="s">
        <v>951</v>
      </c>
      <c r="D450" s="14" t="s">
        <v>5525</v>
      </c>
    </row>
    <row r="451" spans="1:4" hidden="1" x14ac:dyDescent="0.25">
      <c r="A451" s="1" t="s">
        <v>1044</v>
      </c>
      <c r="B451" s="1" t="s">
        <v>1045</v>
      </c>
      <c r="C451" s="1" t="s">
        <v>954</v>
      </c>
      <c r="D451" s="14" t="s">
        <v>5525</v>
      </c>
    </row>
    <row r="452" spans="1:4" hidden="1" x14ac:dyDescent="0.25">
      <c r="A452" s="1" t="s">
        <v>1046</v>
      </c>
      <c r="B452" s="1" t="s">
        <v>1047</v>
      </c>
      <c r="C452" s="1" t="s">
        <v>957</v>
      </c>
      <c r="D452" s="14" t="s">
        <v>5525</v>
      </c>
    </row>
    <row r="453" spans="1:4" hidden="1" x14ac:dyDescent="0.25">
      <c r="A453" s="1" t="s">
        <v>1048</v>
      </c>
      <c r="B453" s="1" t="s">
        <v>1049</v>
      </c>
      <c r="C453" s="1" t="s">
        <v>960</v>
      </c>
      <c r="D453" s="14" t="s">
        <v>5525</v>
      </c>
    </row>
    <row r="454" spans="1:4" hidden="1" x14ac:dyDescent="0.25">
      <c r="A454" s="1" t="s">
        <v>1050</v>
      </c>
      <c r="B454" s="1" t="s">
        <v>1051</v>
      </c>
      <c r="C454" s="1" t="s">
        <v>963</v>
      </c>
      <c r="D454" s="14" t="s">
        <v>5525</v>
      </c>
    </row>
    <row r="455" spans="1:4" hidden="1" x14ac:dyDescent="0.25">
      <c r="A455" s="1" t="s">
        <v>1052</v>
      </c>
      <c r="B455" s="1" t="s">
        <v>1053</v>
      </c>
      <c r="C455" s="1" t="s">
        <v>966</v>
      </c>
      <c r="D455" s="14" t="s">
        <v>5525</v>
      </c>
    </row>
    <row r="456" spans="1:4" hidden="1" x14ac:dyDescent="0.25">
      <c r="A456" s="1" t="s">
        <v>1054</v>
      </c>
      <c r="B456" s="1" t="s">
        <v>1055</v>
      </c>
      <c r="C456" s="1" t="s">
        <v>969</v>
      </c>
      <c r="D456" s="14" t="s">
        <v>5525</v>
      </c>
    </row>
    <row r="457" spans="1:4" hidden="1" x14ac:dyDescent="0.25">
      <c r="A457" s="1" t="s">
        <v>1056</v>
      </c>
      <c r="B457" s="1" t="s">
        <v>1057</v>
      </c>
      <c r="C457" s="1" t="s">
        <v>972</v>
      </c>
      <c r="D457" s="14" t="s">
        <v>5525</v>
      </c>
    </row>
    <row r="458" spans="1:4" hidden="1" x14ac:dyDescent="0.25">
      <c r="A458" s="1" t="s">
        <v>1058</v>
      </c>
      <c r="B458" s="1" t="s">
        <v>1059</v>
      </c>
      <c r="C458" s="1" t="s">
        <v>975</v>
      </c>
      <c r="D458" s="14" t="s">
        <v>5525</v>
      </c>
    </row>
    <row r="459" spans="1:4" hidden="1" x14ac:dyDescent="0.25">
      <c r="A459" s="1" t="s">
        <v>1060</v>
      </c>
      <c r="B459" s="1" t="s">
        <v>1061</v>
      </c>
      <c r="C459" s="1" t="s">
        <v>978</v>
      </c>
      <c r="D459" s="14" t="s">
        <v>5525</v>
      </c>
    </row>
    <row r="460" spans="1:4" hidden="1" x14ac:dyDescent="0.25">
      <c r="A460" s="1" t="s">
        <v>1062</v>
      </c>
      <c r="B460" s="1" t="s">
        <v>1063</v>
      </c>
      <c r="C460" s="1" t="s">
        <v>981</v>
      </c>
      <c r="D460" s="14" t="s">
        <v>5525</v>
      </c>
    </row>
    <row r="461" spans="1:4" hidden="1" x14ac:dyDescent="0.25">
      <c r="A461" s="1" t="s">
        <v>1064</v>
      </c>
      <c r="B461" s="1" t="s">
        <v>1065</v>
      </c>
      <c r="C461" s="1" t="s">
        <v>984</v>
      </c>
      <c r="D461" s="14" t="s">
        <v>5525</v>
      </c>
    </row>
    <row r="462" spans="1:4" hidden="1" x14ac:dyDescent="0.25">
      <c r="A462" s="1" t="s">
        <v>1066</v>
      </c>
      <c r="B462" s="1" t="s">
        <v>1067</v>
      </c>
      <c r="C462" s="1" t="s">
        <v>987</v>
      </c>
      <c r="D462" s="14" t="s">
        <v>5525</v>
      </c>
    </row>
    <row r="463" spans="1:4" hidden="1" x14ac:dyDescent="0.25">
      <c r="A463" s="1" t="s">
        <v>1068</v>
      </c>
      <c r="B463" s="1" t="s">
        <v>1069</v>
      </c>
      <c r="C463" s="1" t="s">
        <v>990</v>
      </c>
      <c r="D463" s="14" t="s">
        <v>5525</v>
      </c>
    </row>
    <row r="464" spans="1:4" hidden="1" x14ac:dyDescent="0.25">
      <c r="A464" s="1" t="s">
        <v>1070</v>
      </c>
      <c r="B464" s="1" t="s">
        <v>1071</v>
      </c>
      <c r="C464" s="1" t="s">
        <v>993</v>
      </c>
      <c r="D464" s="14" t="s">
        <v>5525</v>
      </c>
    </row>
    <row r="465" spans="1:4" hidden="1" x14ac:dyDescent="0.25">
      <c r="A465" s="1" t="s">
        <v>1072</v>
      </c>
      <c r="B465" s="1" t="s">
        <v>1073</v>
      </c>
      <c r="C465" s="1" t="s">
        <v>996</v>
      </c>
      <c r="D465" s="14" t="s">
        <v>5525</v>
      </c>
    </row>
    <row r="466" spans="1:4" hidden="1" x14ac:dyDescent="0.25">
      <c r="A466" s="1" t="s">
        <v>1074</v>
      </c>
      <c r="B466" s="1" t="s">
        <v>1075</v>
      </c>
      <c r="C466" s="1" t="s">
        <v>999</v>
      </c>
      <c r="D466" s="14" t="s">
        <v>5525</v>
      </c>
    </row>
    <row r="467" spans="1:4" hidden="1" x14ac:dyDescent="0.25">
      <c r="A467" s="1" t="s">
        <v>1076</v>
      </c>
      <c r="B467" s="1" t="s">
        <v>1077</v>
      </c>
      <c r="C467" s="1" t="s">
        <v>1002</v>
      </c>
      <c r="D467" s="14" t="s">
        <v>5525</v>
      </c>
    </row>
    <row r="468" spans="1:4" hidden="1" x14ac:dyDescent="0.25">
      <c r="A468" s="1" t="s">
        <v>1078</v>
      </c>
      <c r="B468" s="1" t="s">
        <v>1079</v>
      </c>
      <c r="C468" s="1" t="s">
        <v>1005</v>
      </c>
      <c r="D468" s="14" t="s">
        <v>5525</v>
      </c>
    </row>
    <row r="469" spans="1:4" hidden="1" x14ac:dyDescent="0.25">
      <c r="A469" s="1" t="s">
        <v>1080</v>
      </c>
      <c r="B469" s="1" t="s">
        <v>1081</v>
      </c>
      <c r="C469" s="1" t="s">
        <v>1008</v>
      </c>
      <c r="D469" s="14" t="s">
        <v>5525</v>
      </c>
    </row>
    <row r="470" spans="1:4" hidden="1" x14ac:dyDescent="0.25">
      <c r="A470" s="1" t="s">
        <v>1082</v>
      </c>
      <c r="B470" s="1" t="s">
        <v>1083</v>
      </c>
      <c r="C470" s="1" t="s">
        <v>1011</v>
      </c>
      <c r="D470" s="14" t="s">
        <v>5525</v>
      </c>
    </row>
    <row r="471" spans="1:4" hidden="1" x14ac:dyDescent="0.25">
      <c r="A471" s="1" t="s">
        <v>1084</v>
      </c>
      <c r="B471" s="1" t="s">
        <v>1085</v>
      </c>
      <c r="C471" s="1" t="s">
        <v>1014</v>
      </c>
      <c r="D471" s="14" t="s">
        <v>5525</v>
      </c>
    </row>
    <row r="472" spans="1:4" hidden="1" x14ac:dyDescent="0.25">
      <c r="A472" s="1" t="s">
        <v>1086</v>
      </c>
      <c r="B472" s="1" t="s">
        <v>1087</v>
      </c>
      <c r="C472" s="1" t="s">
        <v>1017</v>
      </c>
      <c r="D472" s="14" t="s">
        <v>5525</v>
      </c>
    </row>
    <row r="473" spans="1:4" hidden="1" x14ac:dyDescent="0.25">
      <c r="A473" s="1" t="s">
        <v>1088</v>
      </c>
      <c r="B473" s="1" t="s">
        <v>1089</v>
      </c>
      <c r="C473" s="1" t="s">
        <v>1090</v>
      </c>
      <c r="D473" s="14" t="s">
        <v>5525</v>
      </c>
    </row>
    <row r="474" spans="1:4" hidden="1" x14ac:dyDescent="0.25">
      <c r="A474" s="1" t="s">
        <v>1091</v>
      </c>
      <c r="B474" s="1" t="s">
        <v>1092</v>
      </c>
      <c r="C474" s="1" t="s">
        <v>1093</v>
      </c>
      <c r="D474" s="14" t="s">
        <v>5525</v>
      </c>
    </row>
    <row r="475" spans="1:4" hidden="1" x14ac:dyDescent="0.25">
      <c r="A475" s="1" t="s">
        <v>1094</v>
      </c>
      <c r="B475" s="1" t="s">
        <v>1095</v>
      </c>
      <c r="C475" s="1" t="s">
        <v>1096</v>
      </c>
      <c r="D475" s="14" t="s">
        <v>5525</v>
      </c>
    </row>
    <row r="476" spans="1:4" hidden="1" x14ac:dyDescent="0.25">
      <c r="A476" s="1" t="s">
        <v>1097</v>
      </c>
      <c r="B476" s="1" t="s">
        <v>1098</v>
      </c>
      <c r="C476" s="1" t="s">
        <v>1099</v>
      </c>
      <c r="D476" s="14" t="s">
        <v>5525</v>
      </c>
    </row>
    <row r="477" spans="1:4" hidden="1" x14ac:dyDescent="0.25">
      <c r="A477" s="1" t="s">
        <v>1100</v>
      </c>
      <c r="B477" s="1" t="s">
        <v>1101</v>
      </c>
      <c r="C477" s="1" t="s">
        <v>1102</v>
      </c>
      <c r="D477" s="14" t="s">
        <v>5525</v>
      </c>
    </row>
    <row r="478" spans="1:4" hidden="1" x14ac:dyDescent="0.25">
      <c r="A478" s="1" t="s">
        <v>1103</v>
      </c>
      <c r="B478" s="1" t="s">
        <v>1104</v>
      </c>
      <c r="C478" s="1" t="s">
        <v>1105</v>
      </c>
      <c r="D478" s="14" t="s">
        <v>5525</v>
      </c>
    </row>
    <row r="479" spans="1:4" hidden="1" x14ac:dyDescent="0.25">
      <c r="A479" s="1" t="s">
        <v>1106</v>
      </c>
      <c r="B479" s="1" t="s">
        <v>1107</v>
      </c>
      <c r="C479" s="1" t="s">
        <v>1108</v>
      </c>
      <c r="D479" s="14" t="s">
        <v>5525</v>
      </c>
    </row>
    <row r="480" spans="1:4" hidden="1" x14ac:dyDescent="0.25">
      <c r="A480" s="1" t="s">
        <v>1109</v>
      </c>
      <c r="B480" s="1" t="s">
        <v>1110</v>
      </c>
      <c r="C480" s="1" t="s">
        <v>1111</v>
      </c>
      <c r="D480" s="14" t="s">
        <v>5525</v>
      </c>
    </row>
    <row r="481" spans="1:4" hidden="1" x14ac:dyDescent="0.25">
      <c r="A481" s="1" t="s">
        <v>1112</v>
      </c>
      <c r="B481" s="1" t="s">
        <v>1113</v>
      </c>
      <c r="C481" s="1" t="s">
        <v>1114</v>
      </c>
      <c r="D481" s="14" t="s">
        <v>5525</v>
      </c>
    </row>
    <row r="482" spans="1:4" hidden="1" x14ac:dyDescent="0.25">
      <c r="A482" s="1" t="s">
        <v>1115</v>
      </c>
      <c r="B482" s="1" t="s">
        <v>1116</v>
      </c>
      <c r="C482" s="1" t="s">
        <v>1117</v>
      </c>
      <c r="D482" s="14" t="s">
        <v>5525</v>
      </c>
    </row>
    <row r="483" spans="1:4" hidden="1" x14ac:dyDescent="0.25">
      <c r="A483" s="1" t="s">
        <v>1118</v>
      </c>
      <c r="B483" s="1" t="s">
        <v>1119</v>
      </c>
      <c r="C483" s="1" t="s">
        <v>1120</v>
      </c>
      <c r="D483" s="14" t="s">
        <v>5525</v>
      </c>
    </row>
    <row r="484" spans="1:4" hidden="1" x14ac:dyDescent="0.25">
      <c r="A484" s="1" t="s">
        <v>1121</v>
      </c>
      <c r="B484" s="1" t="s">
        <v>1122</v>
      </c>
      <c r="C484" s="1" t="s">
        <v>1123</v>
      </c>
      <c r="D484" s="14" t="s">
        <v>5525</v>
      </c>
    </row>
    <row r="485" spans="1:4" hidden="1" x14ac:dyDescent="0.25">
      <c r="A485" s="1" t="s">
        <v>1124</v>
      </c>
      <c r="B485" s="1" t="s">
        <v>1125</v>
      </c>
      <c r="C485" s="1" t="s">
        <v>1126</v>
      </c>
      <c r="D485" s="14" t="s">
        <v>5525</v>
      </c>
    </row>
    <row r="486" spans="1:4" hidden="1" x14ac:dyDescent="0.25">
      <c r="A486" s="1" t="s">
        <v>1127</v>
      </c>
      <c r="B486" s="1" t="s">
        <v>1128</v>
      </c>
      <c r="C486" s="1" t="s">
        <v>1129</v>
      </c>
      <c r="D486" s="14" t="s">
        <v>5525</v>
      </c>
    </row>
    <row r="487" spans="1:4" hidden="1" x14ac:dyDescent="0.25">
      <c r="A487" s="1" t="s">
        <v>1130</v>
      </c>
      <c r="B487" s="1" t="s">
        <v>1131</v>
      </c>
      <c r="C487" s="1" t="s">
        <v>1132</v>
      </c>
      <c r="D487" s="14" t="s">
        <v>5525</v>
      </c>
    </row>
    <row r="488" spans="1:4" hidden="1" x14ac:dyDescent="0.25">
      <c r="A488" s="1" t="s">
        <v>1133</v>
      </c>
      <c r="B488" s="1" t="s">
        <v>1134</v>
      </c>
      <c r="C488" s="1" t="s">
        <v>1135</v>
      </c>
      <c r="D488" s="14" t="s">
        <v>5525</v>
      </c>
    </row>
    <row r="489" spans="1:4" hidden="1" x14ac:dyDescent="0.25">
      <c r="A489" s="1" t="s">
        <v>1136</v>
      </c>
      <c r="B489" s="1" t="s">
        <v>1137</v>
      </c>
      <c r="C489" s="1" t="s">
        <v>1138</v>
      </c>
      <c r="D489" s="14" t="s">
        <v>5525</v>
      </c>
    </row>
    <row r="490" spans="1:4" hidden="1" x14ac:dyDescent="0.25">
      <c r="A490" s="1" t="s">
        <v>1139</v>
      </c>
      <c r="B490" s="1" t="s">
        <v>1140</v>
      </c>
      <c r="C490" s="1" t="s">
        <v>1141</v>
      </c>
      <c r="D490" s="14" t="s">
        <v>5525</v>
      </c>
    </row>
    <row r="491" spans="1:4" hidden="1" x14ac:dyDescent="0.25">
      <c r="A491" s="1" t="s">
        <v>1142</v>
      </c>
      <c r="B491" s="1" t="s">
        <v>1143</v>
      </c>
      <c r="C491" s="1" t="s">
        <v>1144</v>
      </c>
      <c r="D491" s="14" t="s">
        <v>5525</v>
      </c>
    </row>
    <row r="492" spans="1:4" hidden="1" x14ac:dyDescent="0.25">
      <c r="A492" s="1" t="s">
        <v>1145</v>
      </c>
      <c r="B492" s="1" t="s">
        <v>1146</v>
      </c>
      <c r="C492" s="1" t="s">
        <v>1147</v>
      </c>
      <c r="D492" s="14" t="s">
        <v>5525</v>
      </c>
    </row>
    <row r="493" spans="1:4" hidden="1" x14ac:dyDescent="0.25">
      <c r="A493" s="1" t="s">
        <v>1148</v>
      </c>
      <c r="B493" s="1" t="s">
        <v>1149</v>
      </c>
      <c r="C493" s="1" t="s">
        <v>1150</v>
      </c>
      <c r="D493" s="14" t="s">
        <v>5525</v>
      </c>
    </row>
    <row r="494" spans="1:4" hidden="1" x14ac:dyDescent="0.25">
      <c r="A494" s="1" t="s">
        <v>1151</v>
      </c>
      <c r="B494" s="1" t="s">
        <v>1152</v>
      </c>
      <c r="C494" s="1" t="s">
        <v>1153</v>
      </c>
      <c r="D494" s="14" t="s">
        <v>5525</v>
      </c>
    </row>
    <row r="495" spans="1:4" hidden="1" x14ac:dyDescent="0.25">
      <c r="A495" s="1" t="s">
        <v>1154</v>
      </c>
      <c r="B495" s="1" t="s">
        <v>1155</v>
      </c>
      <c r="C495" s="1" t="s">
        <v>1156</v>
      </c>
      <c r="D495" s="14" t="s">
        <v>5525</v>
      </c>
    </row>
    <row r="496" spans="1:4" hidden="1" x14ac:dyDescent="0.25">
      <c r="A496" s="1" t="s">
        <v>1157</v>
      </c>
      <c r="B496" s="1" t="s">
        <v>1158</v>
      </c>
      <c r="C496" s="1" t="s">
        <v>1159</v>
      </c>
      <c r="D496" s="14" t="s">
        <v>5525</v>
      </c>
    </row>
    <row r="497" spans="1:4" hidden="1" x14ac:dyDescent="0.25">
      <c r="A497" s="1" t="s">
        <v>1160</v>
      </c>
      <c r="B497" s="1" t="s">
        <v>1161</v>
      </c>
      <c r="C497" s="1" t="s">
        <v>1162</v>
      </c>
      <c r="D497" s="14" t="s">
        <v>5525</v>
      </c>
    </row>
    <row r="498" spans="1:4" hidden="1" x14ac:dyDescent="0.25">
      <c r="A498" s="1" t="s">
        <v>1163</v>
      </c>
      <c r="B498" s="1" t="s">
        <v>1164</v>
      </c>
      <c r="C498" s="1" t="s">
        <v>1165</v>
      </c>
      <c r="D498" s="14" t="s">
        <v>5525</v>
      </c>
    </row>
    <row r="499" spans="1:4" hidden="1" x14ac:dyDescent="0.25">
      <c r="A499" s="1" t="s">
        <v>1166</v>
      </c>
      <c r="B499" s="1" t="s">
        <v>1167</v>
      </c>
      <c r="C499" s="1" t="s">
        <v>1168</v>
      </c>
      <c r="D499" s="14" t="s">
        <v>5525</v>
      </c>
    </row>
    <row r="500" spans="1:4" hidden="1" x14ac:dyDescent="0.25">
      <c r="A500" s="1" t="s">
        <v>1169</v>
      </c>
      <c r="B500" s="1" t="s">
        <v>1170</v>
      </c>
      <c r="C500" s="1" t="s">
        <v>1171</v>
      </c>
      <c r="D500" s="14" t="s">
        <v>5525</v>
      </c>
    </row>
    <row r="501" spans="1:4" hidden="1" x14ac:dyDescent="0.25">
      <c r="A501" s="1" t="s">
        <v>1172</v>
      </c>
      <c r="B501" s="1" t="s">
        <v>1173</v>
      </c>
      <c r="C501" s="1" t="s">
        <v>1174</v>
      </c>
      <c r="D501" s="14" t="s">
        <v>5525</v>
      </c>
    </row>
    <row r="502" spans="1:4" hidden="1" x14ac:dyDescent="0.25">
      <c r="A502" s="1" t="s">
        <v>1175</v>
      </c>
      <c r="B502" s="1" t="s">
        <v>1176</v>
      </c>
      <c r="C502" s="1" t="s">
        <v>1177</v>
      </c>
      <c r="D502" s="14" t="s">
        <v>5525</v>
      </c>
    </row>
    <row r="503" spans="1:4" hidden="1" x14ac:dyDescent="0.25">
      <c r="A503" s="1" t="s">
        <v>1178</v>
      </c>
      <c r="B503" s="1" t="s">
        <v>1179</v>
      </c>
      <c r="C503" s="1" t="s">
        <v>1180</v>
      </c>
      <c r="D503" s="14" t="s">
        <v>5525</v>
      </c>
    </row>
    <row r="504" spans="1:4" hidden="1" x14ac:dyDescent="0.25">
      <c r="A504" s="1" t="s">
        <v>1181</v>
      </c>
      <c r="B504" s="1" t="s">
        <v>1182</v>
      </c>
      <c r="C504" s="1" t="s">
        <v>1183</v>
      </c>
      <c r="D504" s="14" t="s">
        <v>5525</v>
      </c>
    </row>
    <row r="505" spans="1:4" hidden="1" x14ac:dyDescent="0.25">
      <c r="A505" s="1" t="s">
        <v>1184</v>
      </c>
      <c r="B505" s="1" t="s">
        <v>1185</v>
      </c>
      <c r="C505" s="1" t="s">
        <v>1186</v>
      </c>
      <c r="D505" s="14" t="s">
        <v>5525</v>
      </c>
    </row>
    <row r="506" spans="1:4" hidden="1" x14ac:dyDescent="0.25">
      <c r="A506" s="1" t="s">
        <v>1187</v>
      </c>
      <c r="B506" s="1" t="s">
        <v>1188</v>
      </c>
      <c r="C506" s="1" t="s">
        <v>1189</v>
      </c>
      <c r="D506" s="14" t="s">
        <v>5525</v>
      </c>
    </row>
    <row r="507" spans="1:4" hidden="1" x14ac:dyDescent="0.25">
      <c r="A507" s="1" t="s">
        <v>1190</v>
      </c>
      <c r="B507" s="1" t="s">
        <v>1191</v>
      </c>
      <c r="C507" s="1" t="s">
        <v>1192</v>
      </c>
      <c r="D507" s="14" t="s">
        <v>5525</v>
      </c>
    </row>
    <row r="508" spans="1:4" hidden="1" x14ac:dyDescent="0.25">
      <c r="A508" s="1" t="s">
        <v>1193</v>
      </c>
      <c r="B508" s="1" t="s">
        <v>1194</v>
      </c>
      <c r="C508" s="1" t="s">
        <v>1090</v>
      </c>
      <c r="D508" s="14" t="s">
        <v>5525</v>
      </c>
    </row>
    <row r="509" spans="1:4" hidden="1" x14ac:dyDescent="0.25">
      <c r="A509" s="1" t="s">
        <v>1195</v>
      </c>
      <c r="B509" s="1" t="s">
        <v>1196</v>
      </c>
      <c r="C509" s="1" t="s">
        <v>1093</v>
      </c>
      <c r="D509" s="14" t="s">
        <v>5525</v>
      </c>
    </row>
    <row r="510" spans="1:4" hidden="1" x14ac:dyDescent="0.25">
      <c r="A510" s="1" t="s">
        <v>1197</v>
      </c>
      <c r="B510" s="1" t="s">
        <v>1198</v>
      </c>
      <c r="C510" s="1" t="s">
        <v>1096</v>
      </c>
      <c r="D510" s="14" t="s">
        <v>5525</v>
      </c>
    </row>
    <row r="511" spans="1:4" hidden="1" x14ac:dyDescent="0.25">
      <c r="A511" s="1" t="s">
        <v>1199</v>
      </c>
      <c r="B511" s="1" t="s">
        <v>1200</v>
      </c>
      <c r="C511" s="1" t="s">
        <v>1099</v>
      </c>
      <c r="D511" s="14" t="s">
        <v>5525</v>
      </c>
    </row>
    <row r="512" spans="1:4" hidden="1" x14ac:dyDescent="0.25">
      <c r="A512" s="1" t="s">
        <v>1201</v>
      </c>
      <c r="B512" s="1" t="s">
        <v>1202</v>
      </c>
      <c r="C512" s="1" t="s">
        <v>1102</v>
      </c>
      <c r="D512" s="14" t="s">
        <v>5525</v>
      </c>
    </row>
    <row r="513" spans="1:4" hidden="1" x14ac:dyDescent="0.25">
      <c r="A513" s="1" t="s">
        <v>1203</v>
      </c>
      <c r="B513" s="1" t="s">
        <v>1204</v>
      </c>
      <c r="C513" s="1" t="s">
        <v>1105</v>
      </c>
      <c r="D513" s="14" t="s">
        <v>5525</v>
      </c>
    </row>
    <row r="514" spans="1:4" hidden="1" x14ac:dyDescent="0.25">
      <c r="A514" s="1" t="s">
        <v>1205</v>
      </c>
      <c r="B514" s="1" t="s">
        <v>1206</v>
      </c>
      <c r="C514" s="1" t="s">
        <v>1108</v>
      </c>
      <c r="D514" s="14" t="s">
        <v>5525</v>
      </c>
    </row>
    <row r="515" spans="1:4" hidden="1" x14ac:dyDescent="0.25">
      <c r="A515" s="1" t="s">
        <v>1207</v>
      </c>
      <c r="B515" s="1" t="s">
        <v>1208</v>
      </c>
      <c r="C515" s="1" t="s">
        <v>1111</v>
      </c>
      <c r="D515" s="14" t="s">
        <v>5525</v>
      </c>
    </row>
    <row r="516" spans="1:4" hidden="1" x14ac:dyDescent="0.25">
      <c r="A516" s="1" t="s">
        <v>1209</v>
      </c>
      <c r="B516" s="1" t="s">
        <v>1210</v>
      </c>
      <c r="C516" s="1" t="s">
        <v>1114</v>
      </c>
      <c r="D516" s="14" t="s">
        <v>5525</v>
      </c>
    </row>
    <row r="517" spans="1:4" hidden="1" x14ac:dyDescent="0.25">
      <c r="A517" s="1" t="s">
        <v>1211</v>
      </c>
      <c r="B517" s="1" t="s">
        <v>1212</v>
      </c>
      <c r="C517" s="1" t="s">
        <v>1117</v>
      </c>
      <c r="D517" s="14" t="s">
        <v>5525</v>
      </c>
    </row>
    <row r="518" spans="1:4" hidden="1" x14ac:dyDescent="0.25">
      <c r="A518" s="1" t="s">
        <v>1213</v>
      </c>
      <c r="B518" s="1" t="s">
        <v>1214</v>
      </c>
      <c r="C518" s="1" t="s">
        <v>1120</v>
      </c>
      <c r="D518" s="14" t="s">
        <v>5525</v>
      </c>
    </row>
    <row r="519" spans="1:4" hidden="1" x14ac:dyDescent="0.25">
      <c r="A519" s="1" t="s">
        <v>1215</v>
      </c>
      <c r="B519" s="1" t="s">
        <v>1216</v>
      </c>
      <c r="C519" s="1" t="s">
        <v>1123</v>
      </c>
      <c r="D519" s="14" t="s">
        <v>5525</v>
      </c>
    </row>
    <row r="520" spans="1:4" hidden="1" x14ac:dyDescent="0.25">
      <c r="A520" s="1" t="s">
        <v>1217</v>
      </c>
      <c r="B520" s="1" t="s">
        <v>1218</v>
      </c>
      <c r="C520" s="1" t="s">
        <v>1126</v>
      </c>
      <c r="D520" s="14" t="s">
        <v>5525</v>
      </c>
    </row>
    <row r="521" spans="1:4" hidden="1" x14ac:dyDescent="0.25">
      <c r="A521" s="1" t="s">
        <v>1219</v>
      </c>
      <c r="B521" s="1" t="s">
        <v>1220</v>
      </c>
      <c r="C521" s="1" t="s">
        <v>1129</v>
      </c>
      <c r="D521" s="14" t="s">
        <v>5525</v>
      </c>
    </row>
    <row r="522" spans="1:4" hidden="1" x14ac:dyDescent="0.25">
      <c r="A522" s="1" t="s">
        <v>1221</v>
      </c>
      <c r="B522" s="1" t="s">
        <v>1222</v>
      </c>
      <c r="C522" s="1" t="s">
        <v>1132</v>
      </c>
      <c r="D522" s="14" t="s">
        <v>5525</v>
      </c>
    </row>
    <row r="523" spans="1:4" hidden="1" x14ac:dyDescent="0.25">
      <c r="A523" s="1" t="s">
        <v>1223</v>
      </c>
      <c r="B523" s="1" t="s">
        <v>1224</v>
      </c>
      <c r="C523" s="1" t="s">
        <v>1135</v>
      </c>
      <c r="D523" s="14" t="s">
        <v>5525</v>
      </c>
    </row>
    <row r="524" spans="1:4" hidden="1" x14ac:dyDescent="0.25">
      <c r="A524" s="1" t="s">
        <v>1225</v>
      </c>
      <c r="B524" s="1" t="s">
        <v>1226</v>
      </c>
      <c r="C524" s="1" t="s">
        <v>1138</v>
      </c>
      <c r="D524" s="14" t="s">
        <v>5525</v>
      </c>
    </row>
    <row r="525" spans="1:4" hidden="1" x14ac:dyDescent="0.25">
      <c r="A525" s="1" t="s">
        <v>1227</v>
      </c>
      <c r="B525" s="1" t="s">
        <v>1228</v>
      </c>
      <c r="C525" s="1" t="s">
        <v>1141</v>
      </c>
      <c r="D525" s="14" t="s">
        <v>5525</v>
      </c>
    </row>
    <row r="526" spans="1:4" hidden="1" x14ac:dyDescent="0.25">
      <c r="A526" s="1" t="s">
        <v>1229</v>
      </c>
      <c r="B526" s="1" t="s">
        <v>1230</v>
      </c>
      <c r="C526" s="1" t="s">
        <v>1144</v>
      </c>
      <c r="D526" s="14" t="s">
        <v>5525</v>
      </c>
    </row>
    <row r="527" spans="1:4" hidden="1" x14ac:dyDescent="0.25">
      <c r="A527" s="1" t="s">
        <v>1231</v>
      </c>
      <c r="B527" s="1" t="s">
        <v>1232</v>
      </c>
      <c r="C527" s="1" t="s">
        <v>1147</v>
      </c>
      <c r="D527" s="14" t="s">
        <v>5525</v>
      </c>
    </row>
    <row r="528" spans="1:4" hidden="1" x14ac:dyDescent="0.25">
      <c r="A528" s="1" t="s">
        <v>1233</v>
      </c>
      <c r="B528" s="1" t="s">
        <v>1234</v>
      </c>
      <c r="C528" s="1" t="s">
        <v>1150</v>
      </c>
      <c r="D528" s="14" t="s">
        <v>5525</v>
      </c>
    </row>
    <row r="529" spans="1:4" hidden="1" x14ac:dyDescent="0.25">
      <c r="A529" s="1" t="s">
        <v>1235</v>
      </c>
      <c r="B529" s="1" t="s">
        <v>1236</v>
      </c>
      <c r="C529" s="1" t="s">
        <v>1153</v>
      </c>
      <c r="D529" s="14" t="s">
        <v>5525</v>
      </c>
    </row>
    <row r="530" spans="1:4" hidden="1" x14ac:dyDescent="0.25">
      <c r="A530" s="1" t="s">
        <v>1237</v>
      </c>
      <c r="B530" s="1" t="s">
        <v>1238</v>
      </c>
      <c r="C530" s="1" t="s">
        <v>1156</v>
      </c>
      <c r="D530" s="14" t="s">
        <v>5525</v>
      </c>
    </row>
    <row r="531" spans="1:4" hidden="1" x14ac:dyDescent="0.25">
      <c r="A531" s="1" t="s">
        <v>1239</v>
      </c>
      <c r="B531" s="1" t="s">
        <v>1240</v>
      </c>
      <c r="C531" s="1" t="s">
        <v>1159</v>
      </c>
      <c r="D531" s="14" t="s">
        <v>5525</v>
      </c>
    </row>
    <row r="532" spans="1:4" hidden="1" x14ac:dyDescent="0.25">
      <c r="A532" s="1" t="s">
        <v>1241</v>
      </c>
      <c r="B532" s="1" t="s">
        <v>1242</v>
      </c>
      <c r="C532" s="1" t="s">
        <v>1162</v>
      </c>
      <c r="D532" s="14" t="s">
        <v>5525</v>
      </c>
    </row>
    <row r="533" spans="1:4" hidden="1" x14ac:dyDescent="0.25">
      <c r="A533" s="1" t="s">
        <v>1243</v>
      </c>
      <c r="B533" s="1" t="s">
        <v>1244</v>
      </c>
      <c r="C533" s="1" t="s">
        <v>1165</v>
      </c>
      <c r="D533" s="14" t="s">
        <v>5525</v>
      </c>
    </row>
    <row r="534" spans="1:4" hidden="1" x14ac:dyDescent="0.25">
      <c r="A534" s="1" t="s">
        <v>1245</v>
      </c>
      <c r="B534" s="1" t="s">
        <v>1246</v>
      </c>
      <c r="C534" s="1" t="s">
        <v>1168</v>
      </c>
      <c r="D534" s="14" t="s">
        <v>5525</v>
      </c>
    </row>
    <row r="535" spans="1:4" hidden="1" x14ac:dyDescent="0.25">
      <c r="A535" s="1" t="s">
        <v>1247</v>
      </c>
      <c r="B535" s="1" t="s">
        <v>1248</v>
      </c>
      <c r="C535" s="1" t="s">
        <v>1171</v>
      </c>
      <c r="D535" s="14" t="s">
        <v>5525</v>
      </c>
    </row>
    <row r="536" spans="1:4" hidden="1" x14ac:dyDescent="0.25">
      <c r="A536" s="1" t="s">
        <v>1249</v>
      </c>
      <c r="B536" s="1" t="s">
        <v>1250</v>
      </c>
      <c r="C536" s="1" t="s">
        <v>1174</v>
      </c>
      <c r="D536" s="14" t="s">
        <v>5525</v>
      </c>
    </row>
    <row r="537" spans="1:4" hidden="1" x14ac:dyDescent="0.25">
      <c r="A537" s="1" t="s">
        <v>1251</v>
      </c>
      <c r="B537" s="1" t="s">
        <v>1252</v>
      </c>
      <c r="C537" s="1" t="s">
        <v>1177</v>
      </c>
      <c r="D537" s="14" t="s">
        <v>5525</v>
      </c>
    </row>
    <row r="538" spans="1:4" hidden="1" x14ac:dyDescent="0.25">
      <c r="A538" s="1" t="s">
        <v>1253</v>
      </c>
      <c r="B538" s="1" t="s">
        <v>1254</v>
      </c>
      <c r="C538" s="1" t="s">
        <v>1180</v>
      </c>
      <c r="D538" s="14" t="s">
        <v>5525</v>
      </c>
    </row>
    <row r="539" spans="1:4" hidden="1" x14ac:dyDescent="0.25">
      <c r="A539" s="1" t="s">
        <v>1255</v>
      </c>
      <c r="B539" s="1" t="s">
        <v>1256</v>
      </c>
      <c r="C539" s="1" t="s">
        <v>1183</v>
      </c>
      <c r="D539" s="14" t="s">
        <v>5525</v>
      </c>
    </row>
    <row r="540" spans="1:4" hidden="1" x14ac:dyDescent="0.25">
      <c r="A540" s="1" t="s">
        <v>1257</v>
      </c>
      <c r="B540" s="1" t="s">
        <v>1258</v>
      </c>
      <c r="C540" s="1" t="s">
        <v>1186</v>
      </c>
      <c r="D540" s="14" t="s">
        <v>5525</v>
      </c>
    </row>
    <row r="541" spans="1:4" hidden="1" x14ac:dyDescent="0.25">
      <c r="A541" s="1" t="s">
        <v>1259</v>
      </c>
      <c r="B541" s="1" t="s">
        <v>1260</v>
      </c>
      <c r="C541" s="1" t="s">
        <v>1189</v>
      </c>
      <c r="D541" s="14" t="s">
        <v>5525</v>
      </c>
    </row>
    <row r="542" spans="1:4" hidden="1" x14ac:dyDescent="0.25">
      <c r="A542" s="1" t="s">
        <v>1261</v>
      </c>
      <c r="B542" s="1" t="s">
        <v>1262</v>
      </c>
      <c r="C542" s="1" t="s">
        <v>1192</v>
      </c>
      <c r="D542" s="14" t="s">
        <v>5525</v>
      </c>
    </row>
    <row r="543" spans="1:4" hidden="1" x14ac:dyDescent="0.25">
      <c r="A543" s="1" t="s">
        <v>1263</v>
      </c>
      <c r="B543" s="1" t="s">
        <v>1264</v>
      </c>
      <c r="C543" s="1" t="s">
        <v>1265</v>
      </c>
      <c r="D543" s="14" t="s">
        <v>5526</v>
      </c>
    </row>
    <row r="544" spans="1:4" hidden="1" x14ac:dyDescent="0.25">
      <c r="A544" s="1" t="s">
        <v>1266</v>
      </c>
      <c r="B544" s="1" t="s">
        <v>1267</v>
      </c>
      <c r="C544" s="1" t="s">
        <v>1268</v>
      </c>
      <c r="D544" s="14" t="s">
        <v>5526</v>
      </c>
    </row>
    <row r="545" spans="1:4" hidden="1" x14ac:dyDescent="0.25">
      <c r="A545" s="1" t="s">
        <v>1269</v>
      </c>
      <c r="B545" s="1" t="s">
        <v>1270</v>
      </c>
      <c r="C545" s="1" t="s">
        <v>1271</v>
      </c>
      <c r="D545" s="14" t="s">
        <v>5526</v>
      </c>
    </row>
    <row r="546" spans="1:4" hidden="1" x14ac:dyDescent="0.25">
      <c r="A546" s="1" t="s">
        <v>1272</v>
      </c>
      <c r="B546" s="1" t="s">
        <v>1273</v>
      </c>
      <c r="C546" s="1" t="s">
        <v>1274</v>
      </c>
      <c r="D546" s="14" t="s">
        <v>5526</v>
      </c>
    </row>
    <row r="547" spans="1:4" hidden="1" x14ac:dyDescent="0.25">
      <c r="A547" s="1" t="s">
        <v>1275</v>
      </c>
      <c r="B547" s="1" t="s">
        <v>1276</v>
      </c>
      <c r="C547" s="1" t="s">
        <v>1277</v>
      </c>
      <c r="D547" s="14" t="s">
        <v>5526</v>
      </c>
    </row>
    <row r="548" spans="1:4" hidden="1" x14ac:dyDescent="0.25">
      <c r="A548" s="1" t="s">
        <v>1278</v>
      </c>
      <c r="B548" s="1" t="s">
        <v>1279</v>
      </c>
      <c r="C548" s="1" t="s">
        <v>1280</v>
      </c>
      <c r="D548" s="14" t="s">
        <v>5526</v>
      </c>
    </row>
    <row r="549" spans="1:4" hidden="1" x14ac:dyDescent="0.25">
      <c r="A549" s="1" t="s">
        <v>1281</v>
      </c>
      <c r="B549" s="1" t="s">
        <v>1282</v>
      </c>
      <c r="C549" s="1" t="s">
        <v>1283</v>
      </c>
      <c r="D549" s="14" t="s">
        <v>5526</v>
      </c>
    </row>
    <row r="550" spans="1:4" hidden="1" x14ac:dyDescent="0.25">
      <c r="A550" s="1" t="s">
        <v>1284</v>
      </c>
      <c r="B550" s="1" t="s">
        <v>1285</v>
      </c>
      <c r="C550" s="1" t="s">
        <v>1286</v>
      </c>
      <c r="D550" s="14" t="s">
        <v>5526</v>
      </c>
    </row>
    <row r="551" spans="1:4" hidden="1" x14ac:dyDescent="0.25">
      <c r="A551" s="1" t="s">
        <v>1287</v>
      </c>
      <c r="B551" s="1" t="s">
        <v>1288</v>
      </c>
      <c r="C551" s="1" t="s">
        <v>1289</v>
      </c>
      <c r="D551" s="14" t="s">
        <v>5526</v>
      </c>
    </row>
    <row r="552" spans="1:4" hidden="1" x14ac:dyDescent="0.25">
      <c r="A552" s="1" t="s">
        <v>1290</v>
      </c>
      <c r="B552" s="1" t="s">
        <v>1291</v>
      </c>
      <c r="C552" s="1" t="s">
        <v>1292</v>
      </c>
      <c r="D552" s="14" t="s">
        <v>5526</v>
      </c>
    </row>
    <row r="553" spans="1:4" hidden="1" x14ac:dyDescent="0.25">
      <c r="A553" s="1" t="s">
        <v>1293</v>
      </c>
      <c r="B553" s="1" t="s">
        <v>1294</v>
      </c>
      <c r="C553" s="1" t="s">
        <v>1295</v>
      </c>
      <c r="D553" s="14" t="s">
        <v>5526</v>
      </c>
    </row>
    <row r="554" spans="1:4" hidden="1" x14ac:dyDescent="0.25">
      <c r="A554" s="1" t="s">
        <v>1296</v>
      </c>
      <c r="B554" s="1" t="s">
        <v>1297</v>
      </c>
      <c r="C554" s="1" t="s">
        <v>1298</v>
      </c>
      <c r="D554" s="14" t="s">
        <v>5526</v>
      </c>
    </row>
    <row r="555" spans="1:4" hidden="1" x14ac:dyDescent="0.25">
      <c r="A555" s="1" t="s">
        <v>1299</v>
      </c>
      <c r="B555" s="1" t="s">
        <v>1300</v>
      </c>
      <c r="C555" s="1" t="s">
        <v>1301</v>
      </c>
      <c r="D555" s="14" t="s">
        <v>5526</v>
      </c>
    </row>
    <row r="556" spans="1:4" hidden="1" x14ac:dyDescent="0.25">
      <c r="A556" s="1" t="s">
        <v>1302</v>
      </c>
      <c r="B556" s="1" t="s">
        <v>1303</v>
      </c>
      <c r="C556" s="1" t="s">
        <v>1304</v>
      </c>
      <c r="D556" s="14" t="s">
        <v>5526</v>
      </c>
    </row>
    <row r="557" spans="1:4" hidden="1" x14ac:dyDescent="0.25">
      <c r="A557" s="1" t="s">
        <v>1305</v>
      </c>
      <c r="B557" s="1" t="s">
        <v>1306</v>
      </c>
      <c r="C557" s="1" t="s">
        <v>1307</v>
      </c>
      <c r="D557" s="14" t="s">
        <v>5526</v>
      </c>
    </row>
    <row r="558" spans="1:4" hidden="1" x14ac:dyDescent="0.25">
      <c r="A558" s="1" t="s">
        <v>1308</v>
      </c>
      <c r="B558" s="1" t="s">
        <v>1309</v>
      </c>
      <c r="C558" s="1" t="s">
        <v>1310</v>
      </c>
      <c r="D558" s="14" t="s">
        <v>5526</v>
      </c>
    </row>
    <row r="559" spans="1:4" hidden="1" x14ac:dyDescent="0.25">
      <c r="A559" s="1" t="s">
        <v>1311</v>
      </c>
      <c r="B559" s="1" t="s">
        <v>1312</v>
      </c>
      <c r="C559" s="1" t="s">
        <v>1313</v>
      </c>
      <c r="D559" s="14" t="s">
        <v>5526</v>
      </c>
    </row>
    <row r="560" spans="1:4" hidden="1" x14ac:dyDescent="0.25">
      <c r="A560" s="1" t="s">
        <v>1314</v>
      </c>
      <c r="B560" s="1" t="s">
        <v>1315</v>
      </c>
      <c r="C560" s="1" t="s">
        <v>1316</v>
      </c>
      <c r="D560" s="14" t="s">
        <v>5526</v>
      </c>
    </row>
    <row r="561" spans="1:4" hidden="1" x14ac:dyDescent="0.25">
      <c r="A561" s="1" t="s">
        <v>1317</v>
      </c>
      <c r="B561" s="1" t="s">
        <v>1318</v>
      </c>
      <c r="C561" s="1" t="s">
        <v>1319</v>
      </c>
      <c r="D561" s="14" t="s">
        <v>5526</v>
      </c>
    </row>
    <row r="562" spans="1:4" hidden="1" x14ac:dyDescent="0.25">
      <c r="A562" s="1" t="s">
        <v>1320</v>
      </c>
      <c r="B562" s="1" t="s">
        <v>1321</v>
      </c>
      <c r="C562" s="1" t="s">
        <v>1322</v>
      </c>
      <c r="D562" s="14" t="s">
        <v>5526</v>
      </c>
    </row>
    <row r="563" spans="1:4" hidden="1" x14ac:dyDescent="0.25">
      <c r="A563" s="1" t="s">
        <v>1323</v>
      </c>
      <c r="B563" s="1" t="s">
        <v>1324</v>
      </c>
      <c r="C563" s="1" t="s">
        <v>1325</v>
      </c>
      <c r="D563" s="14" t="s">
        <v>5526</v>
      </c>
    </row>
    <row r="564" spans="1:4" hidden="1" x14ac:dyDescent="0.25">
      <c r="A564" s="1" t="s">
        <v>1326</v>
      </c>
      <c r="B564" s="1" t="s">
        <v>1327</v>
      </c>
      <c r="C564" s="1" t="s">
        <v>1328</v>
      </c>
      <c r="D564" s="14" t="s">
        <v>5526</v>
      </c>
    </row>
    <row r="565" spans="1:4" hidden="1" x14ac:dyDescent="0.25">
      <c r="A565" s="1" t="s">
        <v>1329</v>
      </c>
      <c r="B565" s="1" t="s">
        <v>1330</v>
      </c>
      <c r="C565" s="1" t="s">
        <v>1331</v>
      </c>
      <c r="D565" s="14" t="s">
        <v>5526</v>
      </c>
    </row>
    <row r="566" spans="1:4" hidden="1" x14ac:dyDescent="0.25">
      <c r="A566" s="1" t="s">
        <v>1332</v>
      </c>
      <c r="B566" s="1" t="s">
        <v>1333</v>
      </c>
      <c r="C566" s="1" t="s">
        <v>1334</v>
      </c>
      <c r="D566" s="14" t="s">
        <v>5526</v>
      </c>
    </row>
    <row r="567" spans="1:4" hidden="1" x14ac:dyDescent="0.25">
      <c r="A567" s="1" t="s">
        <v>1335</v>
      </c>
      <c r="B567" s="1" t="s">
        <v>1336</v>
      </c>
      <c r="C567" s="1" t="s">
        <v>1337</v>
      </c>
      <c r="D567" s="14" t="s">
        <v>5526</v>
      </c>
    </row>
    <row r="568" spans="1:4" hidden="1" x14ac:dyDescent="0.25">
      <c r="A568" s="1" t="s">
        <v>1338</v>
      </c>
      <c r="B568" s="1" t="s">
        <v>1339</v>
      </c>
      <c r="C568" s="1" t="s">
        <v>1340</v>
      </c>
      <c r="D568" s="14" t="s">
        <v>5526</v>
      </c>
    </row>
    <row r="569" spans="1:4" hidden="1" x14ac:dyDescent="0.25">
      <c r="A569" s="1" t="s">
        <v>1341</v>
      </c>
      <c r="B569" s="1" t="s">
        <v>1342</v>
      </c>
      <c r="C569" s="1" t="s">
        <v>1343</v>
      </c>
      <c r="D569" s="14" t="s">
        <v>5526</v>
      </c>
    </row>
    <row r="570" spans="1:4" hidden="1" x14ac:dyDescent="0.25">
      <c r="A570" s="1" t="s">
        <v>1344</v>
      </c>
      <c r="B570" s="1" t="s">
        <v>1345</v>
      </c>
      <c r="C570" s="1" t="s">
        <v>1346</v>
      </c>
      <c r="D570" s="14" t="s">
        <v>5526</v>
      </c>
    </row>
    <row r="571" spans="1:4" hidden="1" x14ac:dyDescent="0.25">
      <c r="A571" s="1" t="s">
        <v>1347</v>
      </c>
      <c r="B571" s="1" t="s">
        <v>1348</v>
      </c>
      <c r="C571" s="1" t="s">
        <v>1349</v>
      </c>
      <c r="D571" s="14" t="s">
        <v>5526</v>
      </c>
    </row>
    <row r="572" spans="1:4" hidden="1" x14ac:dyDescent="0.25">
      <c r="A572" s="1" t="s">
        <v>1350</v>
      </c>
      <c r="B572" s="1" t="s">
        <v>1351</v>
      </c>
      <c r="C572" s="1" t="s">
        <v>1352</v>
      </c>
      <c r="D572" s="14" t="s">
        <v>5526</v>
      </c>
    </row>
    <row r="573" spans="1:4" hidden="1" x14ac:dyDescent="0.25">
      <c r="A573" s="1" t="s">
        <v>1353</v>
      </c>
      <c r="B573" s="1" t="s">
        <v>1354</v>
      </c>
      <c r="C573" s="1" t="s">
        <v>1355</v>
      </c>
      <c r="D573" s="14" t="s">
        <v>5526</v>
      </c>
    </row>
    <row r="574" spans="1:4" hidden="1" x14ac:dyDescent="0.25">
      <c r="A574" s="1" t="s">
        <v>1356</v>
      </c>
      <c r="B574" s="1" t="s">
        <v>1357</v>
      </c>
      <c r="C574" s="1" t="s">
        <v>1358</v>
      </c>
      <c r="D574" s="14" t="s">
        <v>5526</v>
      </c>
    </row>
    <row r="575" spans="1:4" hidden="1" x14ac:dyDescent="0.25">
      <c r="A575" s="1" t="s">
        <v>1359</v>
      </c>
      <c r="B575" s="1" t="s">
        <v>1360</v>
      </c>
      <c r="C575" s="1" t="s">
        <v>1361</v>
      </c>
      <c r="D575" s="14" t="s">
        <v>5526</v>
      </c>
    </row>
    <row r="576" spans="1:4" hidden="1" x14ac:dyDescent="0.25">
      <c r="A576" s="1" t="s">
        <v>1362</v>
      </c>
      <c r="B576" s="1" t="s">
        <v>1363</v>
      </c>
      <c r="C576" s="1" t="s">
        <v>1364</v>
      </c>
      <c r="D576" s="14" t="s">
        <v>5526</v>
      </c>
    </row>
    <row r="577" spans="1:4" hidden="1" x14ac:dyDescent="0.25">
      <c r="A577" s="1" t="s">
        <v>1365</v>
      </c>
      <c r="B577" s="1" t="s">
        <v>1366</v>
      </c>
      <c r="C577" s="1" t="s">
        <v>1367</v>
      </c>
      <c r="D577" s="14" t="s">
        <v>5526</v>
      </c>
    </row>
    <row r="578" spans="1:4" hidden="1" x14ac:dyDescent="0.25">
      <c r="A578" s="1" t="s">
        <v>1368</v>
      </c>
      <c r="B578" s="1" t="s">
        <v>1369</v>
      </c>
      <c r="C578" s="1" t="s">
        <v>1265</v>
      </c>
      <c r="D578" s="14" t="s">
        <v>5526</v>
      </c>
    </row>
    <row r="579" spans="1:4" hidden="1" x14ac:dyDescent="0.25">
      <c r="A579" s="1" t="s">
        <v>1370</v>
      </c>
      <c r="B579" s="1" t="s">
        <v>1371</v>
      </c>
      <c r="C579" s="1" t="s">
        <v>1268</v>
      </c>
      <c r="D579" s="14" t="s">
        <v>5526</v>
      </c>
    </row>
    <row r="580" spans="1:4" hidden="1" x14ac:dyDescent="0.25">
      <c r="A580" s="1" t="s">
        <v>1372</v>
      </c>
      <c r="B580" s="1" t="s">
        <v>1373</v>
      </c>
      <c r="C580" s="1" t="s">
        <v>1271</v>
      </c>
      <c r="D580" s="14" t="s">
        <v>5526</v>
      </c>
    </row>
    <row r="581" spans="1:4" hidden="1" x14ac:dyDescent="0.25">
      <c r="A581" s="1" t="s">
        <v>1374</v>
      </c>
      <c r="B581" s="1" t="s">
        <v>1375</v>
      </c>
      <c r="C581" s="1" t="s">
        <v>1274</v>
      </c>
      <c r="D581" s="14" t="s">
        <v>5526</v>
      </c>
    </row>
    <row r="582" spans="1:4" hidden="1" x14ac:dyDescent="0.25">
      <c r="A582" s="1" t="s">
        <v>1376</v>
      </c>
      <c r="B582" s="1" t="s">
        <v>1377</v>
      </c>
      <c r="C582" s="1" t="s">
        <v>1277</v>
      </c>
      <c r="D582" s="14" t="s">
        <v>5526</v>
      </c>
    </row>
    <row r="583" spans="1:4" hidden="1" x14ac:dyDescent="0.25">
      <c r="A583" s="1" t="s">
        <v>1378</v>
      </c>
      <c r="B583" s="1" t="s">
        <v>1379</v>
      </c>
      <c r="C583" s="1" t="s">
        <v>1280</v>
      </c>
      <c r="D583" s="14" t="s">
        <v>5526</v>
      </c>
    </row>
    <row r="584" spans="1:4" hidden="1" x14ac:dyDescent="0.25">
      <c r="A584" s="1" t="s">
        <v>1380</v>
      </c>
      <c r="B584" s="1" t="s">
        <v>1381</v>
      </c>
      <c r="C584" s="1" t="s">
        <v>1283</v>
      </c>
      <c r="D584" s="14" t="s">
        <v>5526</v>
      </c>
    </row>
    <row r="585" spans="1:4" hidden="1" x14ac:dyDescent="0.25">
      <c r="A585" s="1" t="s">
        <v>1382</v>
      </c>
      <c r="B585" s="1" t="s">
        <v>1383</v>
      </c>
      <c r="C585" s="1" t="s">
        <v>1286</v>
      </c>
      <c r="D585" s="14" t="s">
        <v>5526</v>
      </c>
    </row>
    <row r="586" spans="1:4" hidden="1" x14ac:dyDescent="0.25">
      <c r="A586" s="1" t="s">
        <v>1384</v>
      </c>
      <c r="B586" s="1" t="s">
        <v>1385</v>
      </c>
      <c r="C586" s="1" t="s">
        <v>1289</v>
      </c>
      <c r="D586" s="14" t="s">
        <v>5526</v>
      </c>
    </row>
    <row r="587" spans="1:4" hidden="1" x14ac:dyDescent="0.25">
      <c r="A587" s="1" t="s">
        <v>1386</v>
      </c>
      <c r="B587" s="1" t="s">
        <v>1387</v>
      </c>
      <c r="C587" s="1" t="s">
        <v>1292</v>
      </c>
      <c r="D587" s="14" t="s">
        <v>5526</v>
      </c>
    </row>
    <row r="588" spans="1:4" hidden="1" x14ac:dyDescent="0.25">
      <c r="A588" s="1" t="s">
        <v>1388</v>
      </c>
      <c r="B588" s="1" t="s">
        <v>1389</v>
      </c>
      <c r="C588" s="1" t="s">
        <v>1295</v>
      </c>
      <c r="D588" s="14" t="s">
        <v>5526</v>
      </c>
    </row>
    <row r="589" spans="1:4" hidden="1" x14ac:dyDescent="0.25">
      <c r="A589" s="1" t="s">
        <v>1390</v>
      </c>
      <c r="B589" s="1" t="s">
        <v>1391</v>
      </c>
      <c r="C589" s="1" t="s">
        <v>1298</v>
      </c>
      <c r="D589" s="14" t="s">
        <v>5526</v>
      </c>
    </row>
    <row r="590" spans="1:4" hidden="1" x14ac:dyDescent="0.25">
      <c r="A590" s="1" t="s">
        <v>1392</v>
      </c>
      <c r="B590" s="1" t="s">
        <v>1393</v>
      </c>
      <c r="C590" s="1" t="s">
        <v>1301</v>
      </c>
      <c r="D590" s="14" t="s">
        <v>5526</v>
      </c>
    </row>
    <row r="591" spans="1:4" hidden="1" x14ac:dyDescent="0.25">
      <c r="A591" s="1" t="s">
        <v>1394</v>
      </c>
      <c r="B591" s="1" t="s">
        <v>1395</v>
      </c>
      <c r="C591" s="1" t="s">
        <v>1304</v>
      </c>
      <c r="D591" s="14" t="s">
        <v>5526</v>
      </c>
    </row>
    <row r="592" spans="1:4" hidden="1" x14ac:dyDescent="0.25">
      <c r="A592" s="1" t="s">
        <v>1396</v>
      </c>
      <c r="B592" s="1" t="s">
        <v>1397</v>
      </c>
      <c r="C592" s="1" t="s">
        <v>1307</v>
      </c>
      <c r="D592" s="14" t="s">
        <v>5526</v>
      </c>
    </row>
    <row r="593" spans="1:4" hidden="1" x14ac:dyDescent="0.25">
      <c r="A593" s="1" t="s">
        <v>1398</v>
      </c>
      <c r="B593" s="1" t="s">
        <v>1399</v>
      </c>
      <c r="C593" s="1" t="s">
        <v>1310</v>
      </c>
      <c r="D593" s="14" t="s">
        <v>5526</v>
      </c>
    </row>
    <row r="594" spans="1:4" hidden="1" x14ac:dyDescent="0.25">
      <c r="A594" s="1" t="s">
        <v>1400</v>
      </c>
      <c r="B594" s="1" t="s">
        <v>1401</v>
      </c>
      <c r="C594" s="1" t="s">
        <v>1313</v>
      </c>
      <c r="D594" s="14" t="s">
        <v>5526</v>
      </c>
    </row>
    <row r="595" spans="1:4" hidden="1" x14ac:dyDescent="0.25">
      <c r="A595" s="1" t="s">
        <v>1402</v>
      </c>
      <c r="B595" s="1" t="s">
        <v>1403</v>
      </c>
      <c r="C595" s="1" t="s">
        <v>1316</v>
      </c>
      <c r="D595" s="14" t="s">
        <v>5526</v>
      </c>
    </row>
    <row r="596" spans="1:4" hidden="1" x14ac:dyDescent="0.25">
      <c r="A596" s="1" t="s">
        <v>1404</v>
      </c>
      <c r="B596" s="1" t="s">
        <v>1405</v>
      </c>
      <c r="C596" s="1" t="s">
        <v>1319</v>
      </c>
      <c r="D596" s="14" t="s">
        <v>5526</v>
      </c>
    </row>
    <row r="597" spans="1:4" hidden="1" x14ac:dyDescent="0.25">
      <c r="A597" s="1" t="s">
        <v>1406</v>
      </c>
      <c r="B597" s="1" t="s">
        <v>1407</v>
      </c>
      <c r="C597" s="1" t="s">
        <v>1322</v>
      </c>
      <c r="D597" s="14" t="s">
        <v>5526</v>
      </c>
    </row>
    <row r="598" spans="1:4" hidden="1" x14ac:dyDescent="0.25">
      <c r="A598" s="1" t="s">
        <v>1408</v>
      </c>
      <c r="B598" s="1" t="s">
        <v>1409</v>
      </c>
      <c r="C598" s="1" t="s">
        <v>1325</v>
      </c>
      <c r="D598" s="14" t="s">
        <v>5526</v>
      </c>
    </row>
    <row r="599" spans="1:4" hidden="1" x14ac:dyDescent="0.25">
      <c r="A599" s="1" t="s">
        <v>1410</v>
      </c>
      <c r="B599" s="1" t="s">
        <v>1411</v>
      </c>
      <c r="C599" s="1" t="s">
        <v>1328</v>
      </c>
      <c r="D599" s="14" t="s">
        <v>5526</v>
      </c>
    </row>
    <row r="600" spans="1:4" hidden="1" x14ac:dyDescent="0.25">
      <c r="A600" s="1" t="s">
        <v>1412</v>
      </c>
      <c r="B600" s="1" t="s">
        <v>1413</v>
      </c>
      <c r="C600" s="1" t="s">
        <v>1331</v>
      </c>
      <c r="D600" s="14" t="s">
        <v>5526</v>
      </c>
    </row>
    <row r="601" spans="1:4" hidden="1" x14ac:dyDescent="0.25">
      <c r="A601" s="1" t="s">
        <v>1414</v>
      </c>
      <c r="B601" s="1" t="s">
        <v>1415</v>
      </c>
      <c r="C601" s="1" t="s">
        <v>1334</v>
      </c>
      <c r="D601" s="14" t="s">
        <v>5526</v>
      </c>
    </row>
    <row r="602" spans="1:4" hidden="1" x14ac:dyDescent="0.25">
      <c r="A602" s="1" t="s">
        <v>1416</v>
      </c>
      <c r="B602" s="1" t="s">
        <v>1417</v>
      </c>
      <c r="C602" s="1" t="s">
        <v>1337</v>
      </c>
      <c r="D602" s="14" t="s">
        <v>5526</v>
      </c>
    </row>
    <row r="603" spans="1:4" hidden="1" x14ac:dyDescent="0.25">
      <c r="A603" s="1" t="s">
        <v>1418</v>
      </c>
      <c r="B603" s="1" t="s">
        <v>1419</v>
      </c>
      <c r="C603" s="1" t="s">
        <v>1340</v>
      </c>
      <c r="D603" s="14" t="s">
        <v>5526</v>
      </c>
    </row>
    <row r="604" spans="1:4" hidden="1" x14ac:dyDescent="0.25">
      <c r="A604" s="1" t="s">
        <v>1420</v>
      </c>
      <c r="B604" s="1" t="s">
        <v>1421</v>
      </c>
      <c r="C604" s="1" t="s">
        <v>1343</v>
      </c>
      <c r="D604" s="14" t="s">
        <v>5526</v>
      </c>
    </row>
    <row r="605" spans="1:4" hidden="1" x14ac:dyDescent="0.25">
      <c r="A605" s="1" t="s">
        <v>1422</v>
      </c>
      <c r="B605" s="1" t="s">
        <v>1423</v>
      </c>
      <c r="C605" s="1" t="s">
        <v>1346</v>
      </c>
      <c r="D605" s="14" t="s">
        <v>5526</v>
      </c>
    </row>
    <row r="606" spans="1:4" hidden="1" x14ac:dyDescent="0.25">
      <c r="A606" s="1" t="s">
        <v>1424</v>
      </c>
      <c r="B606" s="1" t="s">
        <v>1425</v>
      </c>
      <c r="C606" s="1" t="s">
        <v>1349</v>
      </c>
      <c r="D606" s="14" t="s">
        <v>5526</v>
      </c>
    </row>
    <row r="607" spans="1:4" hidden="1" x14ac:dyDescent="0.25">
      <c r="A607" s="1" t="s">
        <v>1426</v>
      </c>
      <c r="B607" s="1" t="s">
        <v>1427</v>
      </c>
      <c r="C607" s="1" t="s">
        <v>1352</v>
      </c>
      <c r="D607" s="14" t="s">
        <v>5526</v>
      </c>
    </row>
    <row r="608" spans="1:4" hidden="1" x14ac:dyDescent="0.25">
      <c r="A608" s="1" t="s">
        <v>1428</v>
      </c>
      <c r="B608" s="1" t="s">
        <v>1429</v>
      </c>
      <c r="C608" s="1" t="s">
        <v>1355</v>
      </c>
      <c r="D608" s="14" t="s">
        <v>5526</v>
      </c>
    </row>
    <row r="609" spans="1:4" hidden="1" x14ac:dyDescent="0.25">
      <c r="A609" s="1" t="s">
        <v>1430</v>
      </c>
      <c r="B609" s="1" t="s">
        <v>1431</v>
      </c>
      <c r="C609" s="1" t="s">
        <v>1358</v>
      </c>
      <c r="D609" s="14" t="s">
        <v>5526</v>
      </c>
    </row>
    <row r="610" spans="1:4" hidden="1" x14ac:dyDescent="0.25">
      <c r="A610" s="1" t="s">
        <v>1432</v>
      </c>
      <c r="B610" s="1" t="s">
        <v>1433</v>
      </c>
      <c r="C610" s="1" t="s">
        <v>1361</v>
      </c>
      <c r="D610" s="14" t="s">
        <v>5526</v>
      </c>
    </row>
    <row r="611" spans="1:4" hidden="1" x14ac:dyDescent="0.25">
      <c r="A611" s="1" t="s">
        <v>1434</v>
      </c>
      <c r="B611" s="1" t="s">
        <v>1435</v>
      </c>
      <c r="C611" s="1" t="s">
        <v>1364</v>
      </c>
      <c r="D611" s="14" t="s">
        <v>5526</v>
      </c>
    </row>
    <row r="612" spans="1:4" hidden="1" x14ac:dyDescent="0.25">
      <c r="A612" s="1" t="s">
        <v>1436</v>
      </c>
      <c r="B612" s="1" t="s">
        <v>1437</v>
      </c>
      <c r="C612" s="1" t="s">
        <v>1367</v>
      </c>
      <c r="D612" s="14" t="s">
        <v>5526</v>
      </c>
    </row>
    <row r="613" spans="1:4" hidden="1" x14ac:dyDescent="0.25">
      <c r="A613" s="1" t="s">
        <v>1438</v>
      </c>
      <c r="B613" s="1" t="s">
        <v>1439</v>
      </c>
      <c r="C613" s="1" t="s">
        <v>1440</v>
      </c>
      <c r="D613" s="14" t="s">
        <v>5526</v>
      </c>
    </row>
    <row r="614" spans="1:4" hidden="1" x14ac:dyDescent="0.25">
      <c r="A614" s="1" t="s">
        <v>1441</v>
      </c>
      <c r="B614" s="1" t="s">
        <v>1442</v>
      </c>
      <c r="C614" s="1" t="s">
        <v>1443</v>
      </c>
      <c r="D614" s="14" t="s">
        <v>5526</v>
      </c>
    </row>
    <row r="615" spans="1:4" hidden="1" x14ac:dyDescent="0.25">
      <c r="A615" s="1" t="s">
        <v>1444</v>
      </c>
      <c r="B615" s="1" t="s">
        <v>1445</v>
      </c>
      <c r="C615" s="1" t="s">
        <v>1446</v>
      </c>
      <c r="D615" s="14" t="s">
        <v>5526</v>
      </c>
    </row>
    <row r="616" spans="1:4" hidden="1" x14ac:dyDescent="0.25">
      <c r="A616" s="1" t="s">
        <v>1447</v>
      </c>
      <c r="B616" s="1" t="s">
        <v>1448</v>
      </c>
      <c r="C616" s="1" t="s">
        <v>1449</v>
      </c>
      <c r="D616" s="14" t="s">
        <v>5526</v>
      </c>
    </row>
    <row r="617" spans="1:4" hidden="1" x14ac:dyDescent="0.25">
      <c r="A617" s="1" t="s">
        <v>1450</v>
      </c>
      <c r="B617" s="1" t="s">
        <v>1451</v>
      </c>
      <c r="C617" s="1" t="s">
        <v>1452</v>
      </c>
      <c r="D617" s="14" t="s">
        <v>5526</v>
      </c>
    </row>
    <row r="618" spans="1:4" hidden="1" x14ac:dyDescent="0.25">
      <c r="A618" s="1" t="s">
        <v>1453</v>
      </c>
      <c r="B618" s="1" t="s">
        <v>1454</v>
      </c>
      <c r="C618" s="1" t="s">
        <v>1455</v>
      </c>
      <c r="D618" s="14" t="s">
        <v>5526</v>
      </c>
    </row>
    <row r="619" spans="1:4" hidden="1" x14ac:dyDescent="0.25">
      <c r="A619" s="1" t="s">
        <v>1456</v>
      </c>
      <c r="B619" s="1" t="s">
        <v>1457</v>
      </c>
      <c r="C619" s="1" t="s">
        <v>1458</v>
      </c>
      <c r="D619" s="14" t="s">
        <v>5526</v>
      </c>
    </row>
    <row r="620" spans="1:4" hidden="1" x14ac:dyDescent="0.25">
      <c r="A620" s="1" t="s">
        <v>1459</v>
      </c>
      <c r="B620" s="1" t="s">
        <v>1460</v>
      </c>
      <c r="C620" s="1" t="s">
        <v>1461</v>
      </c>
      <c r="D620" s="14" t="s">
        <v>5526</v>
      </c>
    </row>
    <row r="621" spans="1:4" hidden="1" x14ac:dyDescent="0.25">
      <c r="A621" s="1" t="s">
        <v>1462</v>
      </c>
      <c r="B621" s="1" t="s">
        <v>1463</v>
      </c>
      <c r="C621" s="1" t="s">
        <v>1464</v>
      </c>
      <c r="D621" s="14" t="s">
        <v>5526</v>
      </c>
    </row>
    <row r="622" spans="1:4" hidden="1" x14ac:dyDescent="0.25">
      <c r="A622" s="1" t="s">
        <v>1465</v>
      </c>
      <c r="B622" s="1" t="s">
        <v>1466</v>
      </c>
      <c r="C622" s="1" t="s">
        <v>1467</v>
      </c>
      <c r="D622" s="14" t="s">
        <v>5526</v>
      </c>
    </row>
    <row r="623" spans="1:4" hidden="1" x14ac:dyDescent="0.25">
      <c r="A623" s="1" t="s">
        <v>1468</v>
      </c>
      <c r="B623" s="1" t="s">
        <v>1469</v>
      </c>
      <c r="C623" s="1" t="s">
        <v>1470</v>
      </c>
      <c r="D623" s="14" t="s">
        <v>5526</v>
      </c>
    </row>
    <row r="624" spans="1:4" hidden="1" x14ac:dyDescent="0.25">
      <c r="A624" s="1" t="s">
        <v>1471</v>
      </c>
      <c r="B624" s="1" t="s">
        <v>1472</v>
      </c>
      <c r="C624" s="1" t="s">
        <v>1473</v>
      </c>
      <c r="D624" s="14" t="s">
        <v>5526</v>
      </c>
    </row>
    <row r="625" spans="1:4" hidden="1" x14ac:dyDescent="0.25">
      <c r="A625" s="1" t="s">
        <v>1474</v>
      </c>
      <c r="B625" s="1" t="s">
        <v>1475</v>
      </c>
      <c r="C625" s="1" t="s">
        <v>1476</v>
      </c>
      <c r="D625" s="14" t="s">
        <v>5526</v>
      </c>
    </row>
    <row r="626" spans="1:4" hidden="1" x14ac:dyDescent="0.25">
      <c r="A626" s="1" t="s">
        <v>1477</v>
      </c>
      <c r="B626" s="1" t="s">
        <v>1478</v>
      </c>
      <c r="C626" s="1" t="s">
        <v>1479</v>
      </c>
      <c r="D626" s="14" t="s">
        <v>5526</v>
      </c>
    </row>
    <row r="627" spans="1:4" hidden="1" x14ac:dyDescent="0.25">
      <c r="A627" s="1" t="s">
        <v>1480</v>
      </c>
      <c r="B627" s="1" t="s">
        <v>1481</v>
      </c>
      <c r="C627" s="1" t="s">
        <v>1482</v>
      </c>
      <c r="D627" s="14" t="s">
        <v>5526</v>
      </c>
    </row>
    <row r="628" spans="1:4" hidden="1" x14ac:dyDescent="0.25">
      <c r="A628" s="1" t="s">
        <v>1483</v>
      </c>
      <c r="B628" s="1" t="s">
        <v>1484</v>
      </c>
      <c r="C628" s="1" t="s">
        <v>1485</v>
      </c>
      <c r="D628" s="14" t="s">
        <v>5526</v>
      </c>
    </row>
    <row r="629" spans="1:4" hidden="1" x14ac:dyDescent="0.25">
      <c r="A629" s="1" t="s">
        <v>1486</v>
      </c>
      <c r="B629" s="1" t="s">
        <v>1487</v>
      </c>
      <c r="C629" s="1" t="s">
        <v>1488</v>
      </c>
      <c r="D629" s="14" t="s">
        <v>5526</v>
      </c>
    </row>
    <row r="630" spans="1:4" hidden="1" x14ac:dyDescent="0.25">
      <c r="A630" s="1" t="s">
        <v>1489</v>
      </c>
      <c r="B630" s="1" t="s">
        <v>1490</v>
      </c>
      <c r="C630" s="1" t="s">
        <v>1491</v>
      </c>
      <c r="D630" s="14" t="s">
        <v>5526</v>
      </c>
    </row>
    <row r="631" spans="1:4" hidden="1" x14ac:dyDescent="0.25">
      <c r="A631" s="1" t="s">
        <v>1492</v>
      </c>
      <c r="B631" s="1" t="s">
        <v>1493</v>
      </c>
      <c r="C631" s="1" t="s">
        <v>1494</v>
      </c>
      <c r="D631" s="14" t="s">
        <v>5526</v>
      </c>
    </row>
    <row r="632" spans="1:4" hidden="1" x14ac:dyDescent="0.25">
      <c r="A632" s="1" t="s">
        <v>1495</v>
      </c>
      <c r="B632" s="1" t="s">
        <v>1496</v>
      </c>
      <c r="C632" s="1" t="s">
        <v>1497</v>
      </c>
      <c r="D632" s="14" t="s">
        <v>5526</v>
      </c>
    </row>
    <row r="633" spans="1:4" hidden="1" x14ac:dyDescent="0.25">
      <c r="A633" s="1" t="s">
        <v>1498</v>
      </c>
      <c r="B633" s="1" t="s">
        <v>1499</v>
      </c>
      <c r="C633" s="1" t="s">
        <v>1500</v>
      </c>
      <c r="D633" s="14" t="s">
        <v>5526</v>
      </c>
    </row>
    <row r="634" spans="1:4" hidden="1" x14ac:dyDescent="0.25">
      <c r="A634" s="1" t="s">
        <v>1501</v>
      </c>
      <c r="B634" s="1" t="s">
        <v>1502</v>
      </c>
      <c r="C634" s="1" t="s">
        <v>1503</v>
      </c>
      <c r="D634" s="14" t="s">
        <v>5526</v>
      </c>
    </row>
    <row r="635" spans="1:4" hidden="1" x14ac:dyDescent="0.25">
      <c r="A635" s="1" t="s">
        <v>1504</v>
      </c>
      <c r="B635" s="1" t="s">
        <v>1505</v>
      </c>
      <c r="C635" s="1" t="s">
        <v>1506</v>
      </c>
      <c r="D635" s="14" t="s">
        <v>5526</v>
      </c>
    </row>
    <row r="636" spans="1:4" hidden="1" x14ac:dyDescent="0.25">
      <c r="A636" s="1" t="s">
        <v>1507</v>
      </c>
      <c r="B636" s="1" t="s">
        <v>1508</v>
      </c>
      <c r="C636" s="1" t="s">
        <v>1509</v>
      </c>
      <c r="D636" s="14" t="s">
        <v>5526</v>
      </c>
    </row>
    <row r="637" spans="1:4" hidden="1" x14ac:dyDescent="0.25">
      <c r="A637" s="1" t="s">
        <v>1510</v>
      </c>
      <c r="B637" s="1" t="s">
        <v>1511</v>
      </c>
      <c r="C637" s="1" t="s">
        <v>1512</v>
      </c>
      <c r="D637" s="14" t="s">
        <v>5526</v>
      </c>
    </row>
    <row r="638" spans="1:4" hidden="1" x14ac:dyDescent="0.25">
      <c r="A638" s="1" t="s">
        <v>1513</v>
      </c>
      <c r="B638" s="1" t="s">
        <v>1514</v>
      </c>
      <c r="C638" s="1" t="s">
        <v>1515</v>
      </c>
      <c r="D638" s="14" t="s">
        <v>5526</v>
      </c>
    </row>
    <row r="639" spans="1:4" hidden="1" x14ac:dyDescent="0.25">
      <c r="A639" s="1" t="s">
        <v>1516</v>
      </c>
      <c r="B639" s="1" t="s">
        <v>1517</v>
      </c>
      <c r="C639" s="1" t="s">
        <v>1518</v>
      </c>
      <c r="D639" s="14" t="s">
        <v>5526</v>
      </c>
    </row>
    <row r="640" spans="1:4" hidden="1" x14ac:dyDescent="0.25">
      <c r="A640" s="1" t="s">
        <v>1519</v>
      </c>
      <c r="B640" s="1" t="s">
        <v>1520</v>
      </c>
      <c r="C640" s="1" t="s">
        <v>1521</v>
      </c>
      <c r="D640" s="14" t="s">
        <v>5526</v>
      </c>
    </row>
    <row r="641" spans="1:4" hidden="1" x14ac:dyDescent="0.25">
      <c r="A641" s="1" t="s">
        <v>1522</v>
      </c>
      <c r="B641" s="1" t="s">
        <v>1523</v>
      </c>
      <c r="C641" s="1" t="s">
        <v>1524</v>
      </c>
      <c r="D641" s="14" t="s">
        <v>5526</v>
      </c>
    </row>
    <row r="642" spans="1:4" hidden="1" x14ac:dyDescent="0.25">
      <c r="A642" s="1" t="s">
        <v>1525</v>
      </c>
      <c r="B642" s="1" t="s">
        <v>1526</v>
      </c>
      <c r="C642" s="1" t="s">
        <v>1527</v>
      </c>
      <c r="D642" s="14" t="s">
        <v>5526</v>
      </c>
    </row>
    <row r="643" spans="1:4" hidden="1" x14ac:dyDescent="0.25">
      <c r="A643" s="1" t="s">
        <v>1528</v>
      </c>
      <c r="B643" s="1" t="s">
        <v>1529</v>
      </c>
      <c r="C643" s="1" t="s">
        <v>1530</v>
      </c>
      <c r="D643" s="14" t="s">
        <v>5526</v>
      </c>
    </row>
    <row r="644" spans="1:4" hidden="1" x14ac:dyDescent="0.25">
      <c r="A644" s="1" t="s">
        <v>1531</v>
      </c>
      <c r="B644" s="1" t="s">
        <v>1532</v>
      </c>
      <c r="C644" s="1" t="s">
        <v>1533</v>
      </c>
      <c r="D644" s="14" t="s">
        <v>5526</v>
      </c>
    </row>
    <row r="645" spans="1:4" hidden="1" x14ac:dyDescent="0.25">
      <c r="A645" s="1" t="s">
        <v>1534</v>
      </c>
      <c r="B645" s="1" t="s">
        <v>1535</v>
      </c>
      <c r="C645" s="1" t="s">
        <v>1536</v>
      </c>
      <c r="D645" s="14" t="s">
        <v>5526</v>
      </c>
    </row>
    <row r="646" spans="1:4" hidden="1" x14ac:dyDescent="0.25">
      <c r="A646" s="1" t="s">
        <v>1537</v>
      </c>
      <c r="B646" s="1" t="s">
        <v>1538</v>
      </c>
      <c r="C646" s="1" t="s">
        <v>1539</v>
      </c>
      <c r="D646" s="14" t="s">
        <v>5526</v>
      </c>
    </row>
    <row r="647" spans="1:4" hidden="1" x14ac:dyDescent="0.25">
      <c r="A647" s="1" t="s">
        <v>1540</v>
      </c>
      <c r="B647" s="1" t="s">
        <v>1541</v>
      </c>
      <c r="C647" s="1" t="s">
        <v>1542</v>
      </c>
      <c r="D647" s="14" t="s">
        <v>5526</v>
      </c>
    </row>
    <row r="648" spans="1:4" hidden="1" x14ac:dyDescent="0.25">
      <c r="A648" s="1" t="s">
        <v>1543</v>
      </c>
      <c r="B648" s="1" t="s">
        <v>1544</v>
      </c>
      <c r="C648" s="1" t="s">
        <v>1440</v>
      </c>
      <c r="D648" s="14" t="s">
        <v>5526</v>
      </c>
    </row>
    <row r="649" spans="1:4" hidden="1" x14ac:dyDescent="0.25">
      <c r="A649" s="1" t="s">
        <v>1545</v>
      </c>
      <c r="B649" s="1" t="s">
        <v>1546</v>
      </c>
      <c r="C649" s="1" t="s">
        <v>1443</v>
      </c>
      <c r="D649" s="14" t="s">
        <v>5526</v>
      </c>
    </row>
    <row r="650" spans="1:4" hidden="1" x14ac:dyDescent="0.25">
      <c r="A650" s="1" t="s">
        <v>1547</v>
      </c>
      <c r="B650" s="1" t="s">
        <v>1548</v>
      </c>
      <c r="C650" s="1" t="s">
        <v>1446</v>
      </c>
      <c r="D650" s="14" t="s">
        <v>5526</v>
      </c>
    </row>
    <row r="651" spans="1:4" hidden="1" x14ac:dyDescent="0.25">
      <c r="A651" s="1" t="s">
        <v>1549</v>
      </c>
      <c r="B651" s="1" t="s">
        <v>1550</v>
      </c>
      <c r="C651" s="1" t="s">
        <v>1449</v>
      </c>
      <c r="D651" s="14" t="s">
        <v>5526</v>
      </c>
    </row>
    <row r="652" spans="1:4" hidden="1" x14ac:dyDescent="0.25">
      <c r="A652" s="1" t="s">
        <v>1551</v>
      </c>
      <c r="B652" s="1" t="s">
        <v>1552</v>
      </c>
      <c r="C652" s="1" t="s">
        <v>1452</v>
      </c>
      <c r="D652" s="14" t="s">
        <v>5526</v>
      </c>
    </row>
    <row r="653" spans="1:4" hidden="1" x14ac:dyDescent="0.25">
      <c r="A653" s="1" t="s">
        <v>1553</v>
      </c>
      <c r="B653" s="1" t="s">
        <v>1554</v>
      </c>
      <c r="C653" s="1" t="s">
        <v>1455</v>
      </c>
      <c r="D653" s="14" t="s">
        <v>5526</v>
      </c>
    </row>
    <row r="654" spans="1:4" hidden="1" x14ac:dyDescent="0.25">
      <c r="A654" s="1" t="s">
        <v>1555</v>
      </c>
      <c r="B654" s="1" t="s">
        <v>1556</v>
      </c>
      <c r="C654" s="1" t="s">
        <v>1458</v>
      </c>
      <c r="D654" s="14" t="s">
        <v>5526</v>
      </c>
    </row>
    <row r="655" spans="1:4" hidden="1" x14ac:dyDescent="0.25">
      <c r="A655" s="1" t="s">
        <v>1557</v>
      </c>
      <c r="B655" s="1" t="s">
        <v>1558</v>
      </c>
      <c r="C655" s="1" t="s">
        <v>1461</v>
      </c>
      <c r="D655" s="14" t="s">
        <v>5526</v>
      </c>
    </row>
    <row r="656" spans="1:4" hidden="1" x14ac:dyDescent="0.25">
      <c r="A656" s="1" t="s">
        <v>1559</v>
      </c>
      <c r="B656" s="1" t="s">
        <v>1560</v>
      </c>
      <c r="C656" s="1" t="s">
        <v>1464</v>
      </c>
      <c r="D656" s="14" t="s">
        <v>5526</v>
      </c>
    </row>
    <row r="657" spans="1:4" hidden="1" x14ac:dyDescent="0.25">
      <c r="A657" s="1" t="s">
        <v>1561</v>
      </c>
      <c r="B657" s="1" t="s">
        <v>1562</v>
      </c>
      <c r="C657" s="1" t="s">
        <v>1467</v>
      </c>
      <c r="D657" s="14" t="s">
        <v>5526</v>
      </c>
    </row>
    <row r="658" spans="1:4" hidden="1" x14ac:dyDescent="0.25">
      <c r="A658" s="1" t="s">
        <v>1563</v>
      </c>
      <c r="B658" s="1" t="s">
        <v>1564</v>
      </c>
      <c r="C658" s="1" t="s">
        <v>1470</v>
      </c>
      <c r="D658" s="14" t="s">
        <v>5526</v>
      </c>
    </row>
    <row r="659" spans="1:4" hidden="1" x14ac:dyDescent="0.25">
      <c r="A659" s="1" t="s">
        <v>1565</v>
      </c>
      <c r="B659" s="1" t="s">
        <v>1566</v>
      </c>
      <c r="C659" s="1" t="s">
        <v>1473</v>
      </c>
      <c r="D659" s="14" t="s">
        <v>5526</v>
      </c>
    </row>
    <row r="660" spans="1:4" hidden="1" x14ac:dyDescent="0.25">
      <c r="A660" s="1" t="s">
        <v>1567</v>
      </c>
      <c r="B660" s="1" t="s">
        <v>1568</v>
      </c>
      <c r="C660" s="1" t="s">
        <v>1476</v>
      </c>
      <c r="D660" s="14" t="s">
        <v>5526</v>
      </c>
    </row>
    <row r="661" spans="1:4" hidden="1" x14ac:dyDescent="0.25">
      <c r="A661" s="1" t="s">
        <v>1569</v>
      </c>
      <c r="B661" s="1" t="s">
        <v>1570</v>
      </c>
      <c r="C661" s="1" t="s">
        <v>1479</v>
      </c>
      <c r="D661" s="14" t="s">
        <v>5526</v>
      </c>
    </row>
    <row r="662" spans="1:4" hidden="1" x14ac:dyDescent="0.25">
      <c r="A662" s="1" t="s">
        <v>1571</v>
      </c>
      <c r="B662" s="1" t="s">
        <v>1572</v>
      </c>
      <c r="C662" s="1" t="s">
        <v>1482</v>
      </c>
      <c r="D662" s="14" t="s">
        <v>5526</v>
      </c>
    </row>
    <row r="663" spans="1:4" hidden="1" x14ac:dyDescent="0.25">
      <c r="A663" s="1" t="s">
        <v>1573</v>
      </c>
      <c r="B663" s="1" t="s">
        <v>1574</v>
      </c>
      <c r="C663" s="1" t="s">
        <v>1485</v>
      </c>
      <c r="D663" s="14" t="s">
        <v>5526</v>
      </c>
    </row>
    <row r="664" spans="1:4" hidden="1" x14ac:dyDescent="0.25">
      <c r="A664" s="1" t="s">
        <v>1575</v>
      </c>
      <c r="B664" s="1" t="s">
        <v>1576</v>
      </c>
      <c r="C664" s="1" t="s">
        <v>1488</v>
      </c>
      <c r="D664" s="14" t="s">
        <v>5526</v>
      </c>
    </row>
    <row r="665" spans="1:4" hidden="1" x14ac:dyDescent="0.25">
      <c r="A665" s="1" t="s">
        <v>1577</v>
      </c>
      <c r="B665" s="1" t="s">
        <v>1578</v>
      </c>
      <c r="C665" s="1" t="s">
        <v>1491</v>
      </c>
      <c r="D665" s="14" t="s">
        <v>5526</v>
      </c>
    </row>
    <row r="666" spans="1:4" hidden="1" x14ac:dyDescent="0.25">
      <c r="A666" s="1" t="s">
        <v>1579</v>
      </c>
      <c r="B666" s="1" t="s">
        <v>1580</v>
      </c>
      <c r="C666" s="1" t="s">
        <v>1494</v>
      </c>
      <c r="D666" s="14" t="s">
        <v>5526</v>
      </c>
    </row>
    <row r="667" spans="1:4" hidden="1" x14ac:dyDescent="0.25">
      <c r="A667" s="1" t="s">
        <v>1581</v>
      </c>
      <c r="B667" s="1" t="s">
        <v>1582</v>
      </c>
      <c r="C667" s="1" t="s">
        <v>1497</v>
      </c>
      <c r="D667" s="14" t="s">
        <v>5526</v>
      </c>
    </row>
    <row r="668" spans="1:4" hidden="1" x14ac:dyDescent="0.25">
      <c r="A668" s="1" t="s">
        <v>1583</v>
      </c>
      <c r="B668" s="1" t="s">
        <v>1584</v>
      </c>
      <c r="C668" s="1" t="s">
        <v>1500</v>
      </c>
      <c r="D668" s="14" t="s">
        <v>5526</v>
      </c>
    </row>
    <row r="669" spans="1:4" hidden="1" x14ac:dyDescent="0.25">
      <c r="A669" s="1" t="s">
        <v>1585</v>
      </c>
      <c r="B669" s="1" t="s">
        <v>1586</v>
      </c>
      <c r="C669" s="1" t="s">
        <v>1503</v>
      </c>
      <c r="D669" s="14" t="s">
        <v>5526</v>
      </c>
    </row>
    <row r="670" spans="1:4" hidden="1" x14ac:dyDescent="0.25">
      <c r="A670" s="1" t="s">
        <v>1587</v>
      </c>
      <c r="B670" s="1" t="s">
        <v>1588</v>
      </c>
      <c r="C670" s="1" t="s">
        <v>1506</v>
      </c>
      <c r="D670" s="14" t="s">
        <v>5526</v>
      </c>
    </row>
    <row r="671" spans="1:4" hidden="1" x14ac:dyDescent="0.25">
      <c r="A671" s="1" t="s">
        <v>1589</v>
      </c>
      <c r="B671" s="1" t="s">
        <v>1590</v>
      </c>
      <c r="C671" s="1" t="s">
        <v>1509</v>
      </c>
      <c r="D671" s="14" t="s">
        <v>5526</v>
      </c>
    </row>
    <row r="672" spans="1:4" hidden="1" x14ac:dyDescent="0.25">
      <c r="A672" s="1" t="s">
        <v>1591</v>
      </c>
      <c r="B672" s="1" t="s">
        <v>1592</v>
      </c>
      <c r="C672" s="1" t="s">
        <v>1512</v>
      </c>
      <c r="D672" s="14" t="s">
        <v>5526</v>
      </c>
    </row>
    <row r="673" spans="1:4" hidden="1" x14ac:dyDescent="0.25">
      <c r="A673" s="1" t="s">
        <v>1593</v>
      </c>
      <c r="B673" s="1" t="s">
        <v>1594</v>
      </c>
      <c r="C673" s="1" t="s">
        <v>1515</v>
      </c>
      <c r="D673" s="14" t="s">
        <v>5526</v>
      </c>
    </row>
    <row r="674" spans="1:4" hidden="1" x14ac:dyDescent="0.25">
      <c r="A674" s="1" t="s">
        <v>1595</v>
      </c>
      <c r="B674" s="1" t="s">
        <v>1596</v>
      </c>
      <c r="C674" s="1" t="s">
        <v>1518</v>
      </c>
      <c r="D674" s="14" t="s">
        <v>5526</v>
      </c>
    </row>
    <row r="675" spans="1:4" hidden="1" x14ac:dyDescent="0.25">
      <c r="A675" s="1" t="s">
        <v>1597</v>
      </c>
      <c r="B675" s="1" t="s">
        <v>1598</v>
      </c>
      <c r="C675" s="1" t="s">
        <v>1521</v>
      </c>
      <c r="D675" s="14" t="s">
        <v>5526</v>
      </c>
    </row>
    <row r="676" spans="1:4" hidden="1" x14ac:dyDescent="0.25">
      <c r="A676" s="1" t="s">
        <v>1599</v>
      </c>
      <c r="B676" s="1" t="s">
        <v>1600</v>
      </c>
      <c r="C676" s="1" t="s">
        <v>1524</v>
      </c>
      <c r="D676" s="14" t="s">
        <v>5526</v>
      </c>
    </row>
    <row r="677" spans="1:4" hidden="1" x14ac:dyDescent="0.25">
      <c r="A677" s="1" t="s">
        <v>1601</v>
      </c>
      <c r="B677" s="1" t="s">
        <v>1602</v>
      </c>
      <c r="C677" s="1" t="s">
        <v>1527</v>
      </c>
      <c r="D677" s="14" t="s">
        <v>5526</v>
      </c>
    </row>
    <row r="678" spans="1:4" hidden="1" x14ac:dyDescent="0.25">
      <c r="A678" s="1" t="s">
        <v>1603</v>
      </c>
      <c r="B678" s="1" t="s">
        <v>1604</v>
      </c>
      <c r="C678" s="1" t="s">
        <v>1530</v>
      </c>
      <c r="D678" s="14" t="s">
        <v>5526</v>
      </c>
    </row>
    <row r="679" spans="1:4" hidden="1" x14ac:dyDescent="0.25">
      <c r="A679" s="1" t="s">
        <v>1605</v>
      </c>
      <c r="B679" s="1" t="s">
        <v>1606</v>
      </c>
      <c r="C679" s="1" t="s">
        <v>1533</v>
      </c>
      <c r="D679" s="14" t="s">
        <v>5526</v>
      </c>
    </row>
    <row r="680" spans="1:4" hidden="1" x14ac:dyDescent="0.25">
      <c r="A680" s="1" t="s">
        <v>1607</v>
      </c>
      <c r="B680" s="1" t="s">
        <v>1608</v>
      </c>
      <c r="C680" s="1" t="s">
        <v>1536</v>
      </c>
      <c r="D680" s="14" t="s">
        <v>5526</v>
      </c>
    </row>
    <row r="681" spans="1:4" hidden="1" x14ac:dyDescent="0.25">
      <c r="A681" s="1" t="s">
        <v>1609</v>
      </c>
      <c r="B681" s="1" t="s">
        <v>1610</v>
      </c>
      <c r="C681" s="1" t="s">
        <v>1539</v>
      </c>
      <c r="D681" s="14" t="s">
        <v>5526</v>
      </c>
    </row>
    <row r="682" spans="1:4" hidden="1" x14ac:dyDescent="0.25">
      <c r="A682" s="1" t="s">
        <v>1611</v>
      </c>
      <c r="B682" s="1" t="s">
        <v>1612</v>
      </c>
      <c r="C682" s="1" t="s">
        <v>1542</v>
      </c>
      <c r="D682" s="14" t="s">
        <v>5526</v>
      </c>
    </row>
    <row r="683" spans="1:4" hidden="1" x14ac:dyDescent="0.25">
      <c r="A683" s="1" t="s">
        <v>1613</v>
      </c>
      <c r="B683" s="1" t="s">
        <v>1614</v>
      </c>
      <c r="C683" s="1" t="s">
        <v>1615</v>
      </c>
      <c r="D683" s="14" t="s">
        <v>5526</v>
      </c>
    </row>
    <row r="684" spans="1:4" hidden="1" x14ac:dyDescent="0.25">
      <c r="A684" s="1" t="s">
        <v>1616</v>
      </c>
      <c r="B684" s="1" t="s">
        <v>1617</v>
      </c>
      <c r="C684" s="1" t="s">
        <v>1618</v>
      </c>
      <c r="D684" s="14" t="s">
        <v>5526</v>
      </c>
    </row>
    <row r="685" spans="1:4" hidden="1" x14ac:dyDescent="0.25">
      <c r="A685" s="1" t="s">
        <v>1619</v>
      </c>
      <c r="B685" s="1" t="s">
        <v>1620</v>
      </c>
      <c r="C685" s="1" t="s">
        <v>1621</v>
      </c>
      <c r="D685" s="14" t="s">
        <v>5526</v>
      </c>
    </row>
    <row r="686" spans="1:4" hidden="1" x14ac:dyDescent="0.25">
      <c r="A686" s="1" t="s">
        <v>1622</v>
      </c>
      <c r="B686" s="1" t="s">
        <v>1623</v>
      </c>
      <c r="C686" s="1" t="s">
        <v>1624</v>
      </c>
      <c r="D686" s="14" t="s">
        <v>5526</v>
      </c>
    </row>
    <row r="687" spans="1:4" hidden="1" x14ac:dyDescent="0.25">
      <c r="A687" s="1" t="s">
        <v>1625</v>
      </c>
      <c r="B687" s="1" t="s">
        <v>1626</v>
      </c>
      <c r="C687" s="1" t="s">
        <v>1627</v>
      </c>
      <c r="D687" s="14" t="s">
        <v>5526</v>
      </c>
    </row>
    <row r="688" spans="1:4" hidden="1" x14ac:dyDescent="0.25">
      <c r="A688" s="1" t="s">
        <v>1628</v>
      </c>
      <c r="B688" s="1" t="s">
        <v>1629</v>
      </c>
      <c r="C688" s="1" t="s">
        <v>1630</v>
      </c>
      <c r="D688" s="14" t="s">
        <v>5526</v>
      </c>
    </row>
    <row r="689" spans="1:4" hidden="1" x14ac:dyDescent="0.25">
      <c r="A689" s="1" t="s">
        <v>1631</v>
      </c>
      <c r="B689" s="1" t="s">
        <v>1632</v>
      </c>
      <c r="C689" s="1" t="s">
        <v>1633</v>
      </c>
      <c r="D689" s="14" t="s">
        <v>5526</v>
      </c>
    </row>
    <row r="690" spans="1:4" hidden="1" x14ac:dyDescent="0.25">
      <c r="A690" s="1" t="s">
        <v>1634</v>
      </c>
      <c r="B690" s="1" t="s">
        <v>1635</v>
      </c>
      <c r="C690" s="1" t="s">
        <v>1636</v>
      </c>
      <c r="D690" s="14" t="s">
        <v>5526</v>
      </c>
    </row>
    <row r="691" spans="1:4" hidden="1" x14ac:dyDescent="0.25">
      <c r="A691" s="1" t="s">
        <v>1637</v>
      </c>
      <c r="B691" s="1" t="s">
        <v>1638</v>
      </c>
      <c r="C691" s="1" t="s">
        <v>1639</v>
      </c>
      <c r="D691" s="14" t="s">
        <v>5526</v>
      </c>
    </row>
    <row r="692" spans="1:4" hidden="1" x14ac:dyDescent="0.25">
      <c r="A692" s="1" t="s">
        <v>1640</v>
      </c>
      <c r="B692" s="1" t="s">
        <v>1641</v>
      </c>
      <c r="C692" s="1" t="s">
        <v>1642</v>
      </c>
      <c r="D692" s="14" t="s">
        <v>5526</v>
      </c>
    </row>
    <row r="693" spans="1:4" hidden="1" x14ac:dyDescent="0.25">
      <c r="A693" s="1" t="s">
        <v>1643</v>
      </c>
      <c r="B693" s="1" t="s">
        <v>1644</v>
      </c>
      <c r="C693" s="1" t="s">
        <v>1645</v>
      </c>
      <c r="D693" s="14" t="s">
        <v>5526</v>
      </c>
    </row>
    <row r="694" spans="1:4" hidden="1" x14ac:dyDescent="0.25">
      <c r="A694" s="1" t="s">
        <v>1646</v>
      </c>
      <c r="B694" s="1" t="s">
        <v>1647</v>
      </c>
      <c r="C694" s="1" t="s">
        <v>1648</v>
      </c>
      <c r="D694" s="14" t="s">
        <v>5526</v>
      </c>
    </row>
    <row r="695" spans="1:4" hidden="1" x14ac:dyDescent="0.25">
      <c r="A695" s="1" t="s">
        <v>1649</v>
      </c>
      <c r="B695" s="1" t="s">
        <v>1650</v>
      </c>
      <c r="C695" s="1" t="s">
        <v>1651</v>
      </c>
      <c r="D695" s="14" t="s">
        <v>5526</v>
      </c>
    </row>
    <row r="696" spans="1:4" hidden="1" x14ac:dyDescent="0.25">
      <c r="A696" s="1" t="s">
        <v>1652</v>
      </c>
      <c r="B696" s="1" t="s">
        <v>1653</v>
      </c>
      <c r="C696" s="1" t="s">
        <v>1654</v>
      </c>
      <c r="D696" s="14" t="s">
        <v>5526</v>
      </c>
    </row>
    <row r="697" spans="1:4" hidden="1" x14ac:dyDescent="0.25">
      <c r="A697" s="1" t="s">
        <v>1655</v>
      </c>
      <c r="B697" s="1" t="s">
        <v>1656</v>
      </c>
      <c r="C697" s="1" t="s">
        <v>1657</v>
      </c>
      <c r="D697" s="14" t="s">
        <v>5526</v>
      </c>
    </row>
    <row r="698" spans="1:4" hidden="1" x14ac:dyDescent="0.25">
      <c r="A698" s="1" t="s">
        <v>1658</v>
      </c>
      <c r="B698" s="1" t="s">
        <v>1659</v>
      </c>
      <c r="C698" s="1" t="s">
        <v>1660</v>
      </c>
      <c r="D698" s="14" t="s">
        <v>5526</v>
      </c>
    </row>
    <row r="699" spans="1:4" hidden="1" x14ac:dyDescent="0.25">
      <c r="A699" s="1" t="s">
        <v>1661</v>
      </c>
      <c r="B699" s="1" t="s">
        <v>1662</v>
      </c>
      <c r="C699" s="1" t="s">
        <v>1663</v>
      </c>
      <c r="D699" s="14" t="s">
        <v>5526</v>
      </c>
    </row>
    <row r="700" spans="1:4" hidden="1" x14ac:dyDescent="0.25">
      <c r="A700" s="1" t="s">
        <v>1664</v>
      </c>
      <c r="B700" s="1" t="s">
        <v>1665</v>
      </c>
      <c r="C700" s="1" t="s">
        <v>1666</v>
      </c>
      <c r="D700" s="14" t="s">
        <v>5526</v>
      </c>
    </row>
    <row r="701" spans="1:4" hidden="1" x14ac:dyDescent="0.25">
      <c r="A701" s="1" t="s">
        <v>1667</v>
      </c>
      <c r="B701" s="1" t="s">
        <v>1668</v>
      </c>
      <c r="C701" s="1" t="s">
        <v>1669</v>
      </c>
      <c r="D701" s="14" t="s">
        <v>5526</v>
      </c>
    </row>
    <row r="702" spans="1:4" hidden="1" x14ac:dyDescent="0.25">
      <c r="A702" s="1" t="s">
        <v>1670</v>
      </c>
      <c r="B702" s="1" t="s">
        <v>1671</v>
      </c>
      <c r="C702" s="1" t="s">
        <v>1672</v>
      </c>
      <c r="D702" s="14" t="s">
        <v>5526</v>
      </c>
    </row>
    <row r="703" spans="1:4" hidden="1" x14ac:dyDescent="0.25">
      <c r="A703" s="1" t="s">
        <v>1673</v>
      </c>
      <c r="B703" s="1" t="s">
        <v>1674</v>
      </c>
      <c r="C703" s="1" t="s">
        <v>1675</v>
      </c>
      <c r="D703" s="14" t="s">
        <v>5526</v>
      </c>
    </row>
    <row r="704" spans="1:4" hidden="1" x14ac:dyDescent="0.25">
      <c r="A704" s="1" t="s">
        <v>1676</v>
      </c>
      <c r="B704" s="1" t="s">
        <v>1677</v>
      </c>
      <c r="C704" s="1" t="s">
        <v>1678</v>
      </c>
      <c r="D704" s="14" t="s">
        <v>5526</v>
      </c>
    </row>
    <row r="705" spans="1:4" hidden="1" x14ac:dyDescent="0.25">
      <c r="A705" s="1" t="s">
        <v>1679</v>
      </c>
      <c r="B705" s="1" t="s">
        <v>1680</v>
      </c>
      <c r="C705" s="1" t="s">
        <v>1681</v>
      </c>
      <c r="D705" s="14" t="s">
        <v>5526</v>
      </c>
    </row>
    <row r="706" spans="1:4" hidden="1" x14ac:dyDescent="0.25">
      <c r="A706" s="1" t="s">
        <v>1682</v>
      </c>
      <c r="B706" s="1" t="s">
        <v>1683</v>
      </c>
      <c r="C706" s="1" t="s">
        <v>1684</v>
      </c>
      <c r="D706" s="14" t="s">
        <v>5526</v>
      </c>
    </row>
    <row r="707" spans="1:4" hidden="1" x14ac:dyDescent="0.25">
      <c r="A707" s="1" t="s">
        <v>1685</v>
      </c>
      <c r="B707" s="1" t="s">
        <v>1686</v>
      </c>
      <c r="C707" s="1" t="s">
        <v>1687</v>
      </c>
      <c r="D707" s="14" t="s">
        <v>5526</v>
      </c>
    </row>
    <row r="708" spans="1:4" hidden="1" x14ac:dyDescent="0.25">
      <c r="A708" s="1" t="s">
        <v>1688</v>
      </c>
      <c r="B708" s="1" t="s">
        <v>1689</v>
      </c>
      <c r="C708" s="1" t="s">
        <v>1690</v>
      </c>
      <c r="D708" s="14" t="s">
        <v>5526</v>
      </c>
    </row>
    <row r="709" spans="1:4" hidden="1" x14ac:dyDescent="0.25">
      <c r="A709" s="1" t="s">
        <v>1691</v>
      </c>
      <c r="B709" s="1" t="s">
        <v>1692</v>
      </c>
      <c r="C709" s="1" t="s">
        <v>1693</v>
      </c>
      <c r="D709" s="14" t="s">
        <v>5526</v>
      </c>
    </row>
    <row r="710" spans="1:4" hidden="1" x14ac:dyDescent="0.25">
      <c r="A710" s="1" t="s">
        <v>1694</v>
      </c>
      <c r="B710" s="1" t="s">
        <v>1695</v>
      </c>
      <c r="C710" s="1" t="s">
        <v>1696</v>
      </c>
      <c r="D710" s="14" t="s">
        <v>5526</v>
      </c>
    </row>
    <row r="711" spans="1:4" hidden="1" x14ac:dyDescent="0.25">
      <c r="A711" s="1" t="s">
        <v>1697</v>
      </c>
      <c r="B711" s="1" t="s">
        <v>1698</v>
      </c>
      <c r="C711" s="1" t="s">
        <v>1699</v>
      </c>
      <c r="D711" s="14" t="s">
        <v>5526</v>
      </c>
    </row>
    <row r="712" spans="1:4" hidden="1" x14ac:dyDescent="0.25">
      <c r="A712" s="1" t="s">
        <v>1700</v>
      </c>
      <c r="B712" s="1" t="s">
        <v>1701</v>
      </c>
      <c r="C712" s="1" t="s">
        <v>1702</v>
      </c>
      <c r="D712" s="14" t="s">
        <v>5526</v>
      </c>
    </row>
    <row r="713" spans="1:4" hidden="1" x14ac:dyDescent="0.25">
      <c r="A713" s="1" t="s">
        <v>1703</v>
      </c>
      <c r="B713" s="1" t="s">
        <v>1704</v>
      </c>
      <c r="C713" s="1" t="s">
        <v>1705</v>
      </c>
      <c r="D713" s="14" t="s">
        <v>5526</v>
      </c>
    </row>
    <row r="714" spans="1:4" hidden="1" x14ac:dyDescent="0.25">
      <c r="A714" s="1" t="s">
        <v>1706</v>
      </c>
      <c r="B714" s="1" t="s">
        <v>1707</v>
      </c>
      <c r="C714" s="1" t="s">
        <v>1708</v>
      </c>
      <c r="D714" s="14" t="s">
        <v>5526</v>
      </c>
    </row>
    <row r="715" spans="1:4" hidden="1" x14ac:dyDescent="0.25">
      <c r="A715" s="1" t="s">
        <v>1709</v>
      </c>
      <c r="B715" s="1" t="s">
        <v>1710</v>
      </c>
      <c r="C715" s="1" t="s">
        <v>1711</v>
      </c>
      <c r="D715" s="14" t="s">
        <v>5526</v>
      </c>
    </row>
    <row r="716" spans="1:4" hidden="1" x14ac:dyDescent="0.25">
      <c r="A716" s="1" t="s">
        <v>1712</v>
      </c>
      <c r="B716" s="1" t="s">
        <v>1713</v>
      </c>
      <c r="C716" s="1" t="s">
        <v>1714</v>
      </c>
      <c r="D716" s="14" t="s">
        <v>5526</v>
      </c>
    </row>
    <row r="717" spans="1:4" hidden="1" x14ac:dyDescent="0.25">
      <c r="A717" s="1" t="s">
        <v>1715</v>
      </c>
      <c r="B717" s="1" t="s">
        <v>1716</v>
      </c>
      <c r="C717" s="1" t="s">
        <v>1717</v>
      </c>
      <c r="D717" s="14" t="s">
        <v>5526</v>
      </c>
    </row>
    <row r="718" spans="1:4" hidden="1" x14ac:dyDescent="0.25">
      <c r="A718" s="1" t="s">
        <v>1718</v>
      </c>
      <c r="B718" s="1" t="s">
        <v>1719</v>
      </c>
      <c r="C718" s="1" t="s">
        <v>1615</v>
      </c>
      <c r="D718" s="14" t="s">
        <v>5526</v>
      </c>
    </row>
    <row r="719" spans="1:4" hidden="1" x14ac:dyDescent="0.25">
      <c r="A719" s="1" t="s">
        <v>1720</v>
      </c>
      <c r="B719" s="1" t="s">
        <v>1721</v>
      </c>
      <c r="C719" s="1" t="s">
        <v>1618</v>
      </c>
      <c r="D719" s="14" t="s">
        <v>5526</v>
      </c>
    </row>
    <row r="720" spans="1:4" hidden="1" x14ac:dyDescent="0.25">
      <c r="A720" s="1" t="s">
        <v>1722</v>
      </c>
      <c r="B720" s="1" t="s">
        <v>1723</v>
      </c>
      <c r="C720" s="1" t="s">
        <v>1621</v>
      </c>
      <c r="D720" s="14" t="s">
        <v>5526</v>
      </c>
    </row>
    <row r="721" spans="1:4" hidden="1" x14ac:dyDescent="0.25">
      <c r="A721" s="1" t="s">
        <v>1724</v>
      </c>
      <c r="B721" s="1" t="s">
        <v>1725</v>
      </c>
      <c r="C721" s="1" t="s">
        <v>1624</v>
      </c>
      <c r="D721" s="14" t="s">
        <v>5526</v>
      </c>
    </row>
    <row r="722" spans="1:4" hidden="1" x14ac:dyDescent="0.25">
      <c r="A722" s="1" t="s">
        <v>1726</v>
      </c>
      <c r="B722" s="1" t="s">
        <v>1727</v>
      </c>
      <c r="C722" s="1" t="s">
        <v>1627</v>
      </c>
      <c r="D722" s="14" t="s">
        <v>5526</v>
      </c>
    </row>
    <row r="723" spans="1:4" hidden="1" x14ac:dyDescent="0.25">
      <c r="A723" s="1" t="s">
        <v>1728</v>
      </c>
      <c r="B723" s="1" t="s">
        <v>1729</v>
      </c>
      <c r="C723" s="1" t="s">
        <v>1630</v>
      </c>
      <c r="D723" s="14" t="s">
        <v>5526</v>
      </c>
    </row>
    <row r="724" spans="1:4" hidden="1" x14ac:dyDescent="0.25">
      <c r="A724" s="1" t="s">
        <v>1730</v>
      </c>
      <c r="B724" s="1" t="s">
        <v>1731</v>
      </c>
      <c r="C724" s="1" t="s">
        <v>1633</v>
      </c>
      <c r="D724" s="14" t="s">
        <v>5526</v>
      </c>
    </row>
    <row r="725" spans="1:4" hidden="1" x14ac:dyDescent="0.25">
      <c r="A725" s="1" t="s">
        <v>1732</v>
      </c>
      <c r="B725" s="1" t="s">
        <v>1733</v>
      </c>
      <c r="C725" s="1" t="s">
        <v>1636</v>
      </c>
      <c r="D725" s="14" t="s">
        <v>5526</v>
      </c>
    </row>
    <row r="726" spans="1:4" hidden="1" x14ac:dyDescent="0.25">
      <c r="A726" s="1" t="s">
        <v>1734</v>
      </c>
      <c r="B726" s="1" t="s">
        <v>1735</v>
      </c>
      <c r="C726" s="1" t="s">
        <v>1639</v>
      </c>
      <c r="D726" s="14" t="s">
        <v>5526</v>
      </c>
    </row>
    <row r="727" spans="1:4" hidden="1" x14ac:dyDescent="0.25">
      <c r="A727" s="1" t="s">
        <v>1736</v>
      </c>
      <c r="B727" s="1" t="s">
        <v>1737</v>
      </c>
      <c r="C727" s="1" t="s">
        <v>1642</v>
      </c>
      <c r="D727" s="14" t="s">
        <v>5526</v>
      </c>
    </row>
    <row r="728" spans="1:4" hidden="1" x14ac:dyDescent="0.25">
      <c r="A728" s="1" t="s">
        <v>1738</v>
      </c>
      <c r="B728" s="1" t="s">
        <v>1739</v>
      </c>
      <c r="C728" s="1" t="s">
        <v>1645</v>
      </c>
      <c r="D728" s="14" t="s">
        <v>5526</v>
      </c>
    </row>
    <row r="729" spans="1:4" hidden="1" x14ac:dyDescent="0.25">
      <c r="A729" s="1" t="s">
        <v>1740</v>
      </c>
      <c r="B729" s="1" t="s">
        <v>1741</v>
      </c>
      <c r="C729" s="1" t="s">
        <v>1648</v>
      </c>
      <c r="D729" s="14" t="s">
        <v>5526</v>
      </c>
    </row>
    <row r="730" spans="1:4" hidden="1" x14ac:dyDescent="0.25">
      <c r="A730" s="1" t="s">
        <v>1742</v>
      </c>
      <c r="B730" s="1" t="s">
        <v>1743</v>
      </c>
      <c r="C730" s="1" t="s">
        <v>1651</v>
      </c>
      <c r="D730" s="14" t="s">
        <v>5526</v>
      </c>
    </row>
    <row r="731" spans="1:4" hidden="1" x14ac:dyDescent="0.25">
      <c r="A731" s="1" t="s">
        <v>1744</v>
      </c>
      <c r="B731" s="1" t="s">
        <v>1745</v>
      </c>
      <c r="C731" s="1" t="s">
        <v>1654</v>
      </c>
      <c r="D731" s="14" t="s">
        <v>5526</v>
      </c>
    </row>
    <row r="732" spans="1:4" hidden="1" x14ac:dyDescent="0.25">
      <c r="A732" s="1" t="s">
        <v>1746</v>
      </c>
      <c r="B732" s="1" t="s">
        <v>1747</v>
      </c>
      <c r="C732" s="1" t="s">
        <v>1657</v>
      </c>
      <c r="D732" s="14" t="s">
        <v>5526</v>
      </c>
    </row>
    <row r="733" spans="1:4" hidden="1" x14ac:dyDescent="0.25">
      <c r="A733" s="1" t="s">
        <v>1748</v>
      </c>
      <c r="B733" s="1" t="s">
        <v>1749</v>
      </c>
      <c r="C733" s="1" t="s">
        <v>1660</v>
      </c>
      <c r="D733" s="14" t="s">
        <v>5526</v>
      </c>
    </row>
    <row r="734" spans="1:4" hidden="1" x14ac:dyDescent="0.25">
      <c r="A734" s="1" t="s">
        <v>1750</v>
      </c>
      <c r="B734" s="1" t="s">
        <v>1751</v>
      </c>
      <c r="C734" s="1" t="s">
        <v>1663</v>
      </c>
      <c r="D734" s="14" t="s">
        <v>5526</v>
      </c>
    </row>
    <row r="735" spans="1:4" hidden="1" x14ac:dyDescent="0.25">
      <c r="A735" s="1" t="s">
        <v>1752</v>
      </c>
      <c r="B735" s="1" t="s">
        <v>1753</v>
      </c>
      <c r="C735" s="1" t="s">
        <v>1666</v>
      </c>
      <c r="D735" s="14" t="s">
        <v>5526</v>
      </c>
    </row>
    <row r="736" spans="1:4" hidden="1" x14ac:dyDescent="0.25">
      <c r="A736" s="1" t="s">
        <v>1754</v>
      </c>
      <c r="B736" s="1" t="s">
        <v>1755</v>
      </c>
      <c r="C736" s="1" t="s">
        <v>1669</v>
      </c>
      <c r="D736" s="14" t="s">
        <v>5526</v>
      </c>
    </row>
    <row r="737" spans="1:4" hidden="1" x14ac:dyDescent="0.25">
      <c r="A737" s="1" t="s">
        <v>1756</v>
      </c>
      <c r="B737" s="1" t="s">
        <v>1757</v>
      </c>
      <c r="C737" s="1" t="s">
        <v>1672</v>
      </c>
      <c r="D737" s="14" t="s">
        <v>5526</v>
      </c>
    </row>
    <row r="738" spans="1:4" hidden="1" x14ac:dyDescent="0.25">
      <c r="A738" s="1" t="s">
        <v>1758</v>
      </c>
      <c r="B738" s="1" t="s">
        <v>1759</v>
      </c>
      <c r="C738" s="1" t="s">
        <v>1675</v>
      </c>
      <c r="D738" s="14" t="s">
        <v>5526</v>
      </c>
    </row>
    <row r="739" spans="1:4" hidden="1" x14ac:dyDescent="0.25">
      <c r="A739" s="1" t="s">
        <v>1760</v>
      </c>
      <c r="B739" s="1" t="s">
        <v>1761</v>
      </c>
      <c r="C739" s="1" t="s">
        <v>1678</v>
      </c>
      <c r="D739" s="14" t="s">
        <v>5526</v>
      </c>
    </row>
    <row r="740" spans="1:4" hidden="1" x14ac:dyDescent="0.25">
      <c r="A740" s="1" t="s">
        <v>1762</v>
      </c>
      <c r="B740" s="1" t="s">
        <v>1763</v>
      </c>
      <c r="C740" s="1" t="s">
        <v>1681</v>
      </c>
      <c r="D740" s="14" t="s">
        <v>5526</v>
      </c>
    </row>
    <row r="741" spans="1:4" hidden="1" x14ac:dyDescent="0.25">
      <c r="A741" s="1" t="s">
        <v>1764</v>
      </c>
      <c r="B741" s="1" t="s">
        <v>1765</v>
      </c>
      <c r="C741" s="1" t="s">
        <v>1684</v>
      </c>
      <c r="D741" s="14" t="s">
        <v>5526</v>
      </c>
    </row>
    <row r="742" spans="1:4" hidden="1" x14ac:dyDescent="0.25">
      <c r="A742" s="1" t="s">
        <v>1766</v>
      </c>
      <c r="B742" s="1" t="s">
        <v>1767</v>
      </c>
      <c r="C742" s="1" t="s">
        <v>1687</v>
      </c>
      <c r="D742" s="14" t="s">
        <v>5526</v>
      </c>
    </row>
    <row r="743" spans="1:4" hidden="1" x14ac:dyDescent="0.25">
      <c r="A743" s="1" t="s">
        <v>1768</v>
      </c>
      <c r="B743" s="1" t="s">
        <v>1769</v>
      </c>
      <c r="C743" s="1" t="s">
        <v>1690</v>
      </c>
      <c r="D743" s="14" t="s">
        <v>5526</v>
      </c>
    </row>
    <row r="744" spans="1:4" hidden="1" x14ac:dyDescent="0.25">
      <c r="A744" s="1" t="s">
        <v>1770</v>
      </c>
      <c r="B744" s="1" t="s">
        <v>1771</v>
      </c>
      <c r="C744" s="1" t="s">
        <v>1693</v>
      </c>
      <c r="D744" s="14" t="s">
        <v>5526</v>
      </c>
    </row>
    <row r="745" spans="1:4" hidden="1" x14ac:dyDescent="0.25">
      <c r="A745" s="1" t="s">
        <v>1772</v>
      </c>
      <c r="B745" s="1" t="s">
        <v>1773</v>
      </c>
      <c r="C745" s="1" t="s">
        <v>1696</v>
      </c>
      <c r="D745" s="14" t="s">
        <v>5526</v>
      </c>
    </row>
    <row r="746" spans="1:4" hidden="1" x14ac:dyDescent="0.25">
      <c r="A746" s="1" t="s">
        <v>1774</v>
      </c>
      <c r="B746" s="1" t="s">
        <v>1775</v>
      </c>
      <c r="C746" s="1" t="s">
        <v>1699</v>
      </c>
      <c r="D746" s="14" t="s">
        <v>5526</v>
      </c>
    </row>
    <row r="747" spans="1:4" hidden="1" x14ac:dyDescent="0.25">
      <c r="A747" s="1" t="s">
        <v>1776</v>
      </c>
      <c r="B747" s="1" t="s">
        <v>1777</v>
      </c>
      <c r="C747" s="1" t="s">
        <v>1702</v>
      </c>
      <c r="D747" s="14" t="s">
        <v>5526</v>
      </c>
    </row>
    <row r="748" spans="1:4" hidden="1" x14ac:dyDescent="0.25">
      <c r="A748" s="1" t="s">
        <v>1778</v>
      </c>
      <c r="B748" s="1" t="s">
        <v>1779</v>
      </c>
      <c r="C748" s="1" t="s">
        <v>1705</v>
      </c>
      <c r="D748" s="14" t="s">
        <v>5526</v>
      </c>
    </row>
    <row r="749" spans="1:4" hidden="1" x14ac:dyDescent="0.25">
      <c r="A749" s="1" t="s">
        <v>1780</v>
      </c>
      <c r="B749" s="1" t="s">
        <v>1781</v>
      </c>
      <c r="C749" s="1" t="s">
        <v>1708</v>
      </c>
      <c r="D749" s="14" t="s">
        <v>5526</v>
      </c>
    </row>
    <row r="750" spans="1:4" hidden="1" x14ac:dyDescent="0.25">
      <c r="A750" s="1" t="s">
        <v>1782</v>
      </c>
      <c r="B750" s="1" t="s">
        <v>1783</v>
      </c>
      <c r="C750" s="1" t="s">
        <v>1711</v>
      </c>
      <c r="D750" s="14" t="s">
        <v>5526</v>
      </c>
    </row>
    <row r="751" spans="1:4" hidden="1" x14ac:dyDescent="0.25">
      <c r="A751" s="1" t="s">
        <v>1784</v>
      </c>
      <c r="B751" s="1" t="s">
        <v>1785</v>
      </c>
      <c r="C751" s="1" t="s">
        <v>1714</v>
      </c>
      <c r="D751" s="14" t="s">
        <v>5526</v>
      </c>
    </row>
    <row r="752" spans="1:4" hidden="1" x14ac:dyDescent="0.25">
      <c r="A752" s="1" t="s">
        <v>1786</v>
      </c>
      <c r="B752" s="1" t="s">
        <v>1787</v>
      </c>
      <c r="C752" s="1" t="s">
        <v>1717</v>
      </c>
      <c r="D752" s="14" t="s">
        <v>5526</v>
      </c>
    </row>
    <row r="753" spans="1:4" hidden="1" x14ac:dyDescent="0.25">
      <c r="A753" s="1" t="s">
        <v>1788</v>
      </c>
      <c r="B753" s="1" t="s">
        <v>1789</v>
      </c>
      <c r="C753" s="1" t="s">
        <v>1790</v>
      </c>
      <c r="D753" s="14" t="s">
        <v>5527</v>
      </c>
    </row>
    <row r="754" spans="1:4" hidden="1" x14ac:dyDescent="0.25">
      <c r="A754" s="1" t="s">
        <v>1791</v>
      </c>
      <c r="B754" s="1" t="s">
        <v>1792</v>
      </c>
      <c r="C754" s="1" t="s">
        <v>1793</v>
      </c>
      <c r="D754" s="14" t="s">
        <v>5527</v>
      </c>
    </row>
    <row r="755" spans="1:4" hidden="1" x14ac:dyDescent="0.25">
      <c r="A755" s="1" t="s">
        <v>1794</v>
      </c>
      <c r="B755" s="1" t="s">
        <v>1795</v>
      </c>
      <c r="C755" s="1" t="s">
        <v>1796</v>
      </c>
      <c r="D755" s="14" t="s">
        <v>5527</v>
      </c>
    </row>
    <row r="756" spans="1:4" hidden="1" x14ac:dyDescent="0.25">
      <c r="A756" s="1" t="s">
        <v>1797</v>
      </c>
      <c r="B756" s="1" t="s">
        <v>1798</v>
      </c>
      <c r="C756" s="1" t="s">
        <v>1799</v>
      </c>
      <c r="D756" s="14" t="s">
        <v>5527</v>
      </c>
    </row>
    <row r="757" spans="1:4" hidden="1" x14ac:dyDescent="0.25">
      <c r="A757" s="1" t="s">
        <v>1800</v>
      </c>
      <c r="B757" s="1" t="s">
        <v>1801</v>
      </c>
      <c r="C757" s="1" t="s">
        <v>1802</v>
      </c>
      <c r="D757" s="14" t="s">
        <v>5527</v>
      </c>
    </row>
    <row r="758" spans="1:4" hidden="1" x14ac:dyDescent="0.25">
      <c r="A758" s="1" t="s">
        <v>1803</v>
      </c>
      <c r="B758" s="1" t="s">
        <v>1804</v>
      </c>
      <c r="C758" s="1" t="s">
        <v>1805</v>
      </c>
      <c r="D758" s="14" t="s">
        <v>5527</v>
      </c>
    </row>
    <row r="759" spans="1:4" hidden="1" x14ac:dyDescent="0.25">
      <c r="A759" s="1" t="s">
        <v>1806</v>
      </c>
      <c r="B759" s="1" t="s">
        <v>1807</v>
      </c>
      <c r="C759" s="1" t="s">
        <v>1808</v>
      </c>
      <c r="D759" s="14" t="s">
        <v>5527</v>
      </c>
    </row>
    <row r="760" spans="1:4" hidden="1" x14ac:dyDescent="0.25">
      <c r="A760" s="1" t="s">
        <v>1809</v>
      </c>
      <c r="B760" s="1" t="s">
        <v>1810</v>
      </c>
      <c r="C760" s="1" t="s">
        <v>1811</v>
      </c>
      <c r="D760" s="14" t="s">
        <v>5527</v>
      </c>
    </row>
    <row r="761" spans="1:4" hidden="1" x14ac:dyDescent="0.25">
      <c r="A761" s="1" t="s">
        <v>1812</v>
      </c>
      <c r="B761" s="1" t="s">
        <v>1813</v>
      </c>
      <c r="C761" s="1" t="s">
        <v>1814</v>
      </c>
      <c r="D761" s="14" t="s">
        <v>5527</v>
      </c>
    </row>
    <row r="762" spans="1:4" hidden="1" x14ac:dyDescent="0.25">
      <c r="A762" s="1" t="s">
        <v>1815</v>
      </c>
      <c r="B762" s="1" t="s">
        <v>1816</v>
      </c>
      <c r="C762" s="1" t="s">
        <v>1817</v>
      </c>
      <c r="D762" s="14" t="s">
        <v>5527</v>
      </c>
    </row>
    <row r="763" spans="1:4" hidden="1" x14ac:dyDescent="0.25">
      <c r="A763" s="1" t="s">
        <v>1818</v>
      </c>
      <c r="B763" s="1" t="s">
        <v>1819</v>
      </c>
      <c r="C763" s="1" t="s">
        <v>1820</v>
      </c>
      <c r="D763" s="14" t="s">
        <v>5527</v>
      </c>
    </row>
    <row r="764" spans="1:4" hidden="1" x14ac:dyDescent="0.25">
      <c r="A764" s="1" t="s">
        <v>1821</v>
      </c>
      <c r="B764" s="1" t="s">
        <v>1822</v>
      </c>
      <c r="C764" s="1" t="s">
        <v>1823</v>
      </c>
      <c r="D764" s="14" t="s">
        <v>5527</v>
      </c>
    </row>
    <row r="765" spans="1:4" hidden="1" x14ac:dyDescent="0.25">
      <c r="A765" s="1" t="s">
        <v>1824</v>
      </c>
      <c r="B765" s="1" t="s">
        <v>1825</v>
      </c>
      <c r="C765" s="1" t="s">
        <v>1826</v>
      </c>
      <c r="D765" s="14" t="s">
        <v>5527</v>
      </c>
    </row>
    <row r="766" spans="1:4" hidden="1" x14ac:dyDescent="0.25">
      <c r="A766" s="1" t="s">
        <v>1827</v>
      </c>
      <c r="B766" s="1" t="s">
        <v>1828</v>
      </c>
      <c r="C766" s="1" t="s">
        <v>1829</v>
      </c>
      <c r="D766" s="14" t="s">
        <v>5527</v>
      </c>
    </row>
    <row r="767" spans="1:4" hidden="1" x14ac:dyDescent="0.25">
      <c r="A767" s="1" t="s">
        <v>1830</v>
      </c>
      <c r="B767" s="1" t="s">
        <v>1831</v>
      </c>
      <c r="C767" s="1" t="s">
        <v>1832</v>
      </c>
      <c r="D767" s="14" t="s">
        <v>5527</v>
      </c>
    </row>
    <row r="768" spans="1:4" hidden="1" x14ac:dyDescent="0.25">
      <c r="A768" s="1" t="s">
        <v>1833</v>
      </c>
      <c r="B768" s="1" t="s">
        <v>1834</v>
      </c>
      <c r="C768" s="1" t="s">
        <v>1835</v>
      </c>
      <c r="D768" s="14" t="s">
        <v>5527</v>
      </c>
    </row>
    <row r="769" spans="1:4" hidden="1" x14ac:dyDescent="0.25">
      <c r="A769" s="1" t="s">
        <v>1836</v>
      </c>
      <c r="B769" s="1" t="s">
        <v>1837</v>
      </c>
      <c r="C769" s="1" t="s">
        <v>1838</v>
      </c>
      <c r="D769" s="14" t="s">
        <v>5527</v>
      </c>
    </row>
    <row r="770" spans="1:4" hidden="1" x14ac:dyDescent="0.25">
      <c r="A770" s="1" t="s">
        <v>1839</v>
      </c>
      <c r="B770" s="1" t="s">
        <v>1840</v>
      </c>
      <c r="C770" s="1" t="s">
        <v>1841</v>
      </c>
      <c r="D770" s="14" t="s">
        <v>5527</v>
      </c>
    </row>
    <row r="771" spans="1:4" hidden="1" x14ac:dyDescent="0.25">
      <c r="A771" s="29" t="s">
        <v>9012</v>
      </c>
      <c r="B771" s="1" t="s">
        <v>9016</v>
      </c>
      <c r="C771" s="1" t="s">
        <v>9017</v>
      </c>
      <c r="D771" s="14" t="s">
        <v>5527</v>
      </c>
    </row>
    <row r="772" spans="1:4" hidden="1" x14ac:dyDescent="0.25">
      <c r="A772" s="1" t="s">
        <v>1842</v>
      </c>
      <c r="B772" s="1" t="s">
        <v>1843</v>
      </c>
      <c r="C772" s="1" t="s">
        <v>1844</v>
      </c>
      <c r="D772" s="14" t="s">
        <v>5527</v>
      </c>
    </row>
    <row r="773" spans="1:4" hidden="1" x14ac:dyDescent="0.25">
      <c r="A773" s="1" t="s">
        <v>1845</v>
      </c>
      <c r="B773" s="1" t="s">
        <v>1846</v>
      </c>
      <c r="C773" s="1" t="s">
        <v>1847</v>
      </c>
      <c r="D773" s="14" t="s">
        <v>5527</v>
      </c>
    </row>
    <row r="774" spans="1:4" hidden="1" x14ac:dyDescent="0.25">
      <c r="A774" s="1" t="s">
        <v>1848</v>
      </c>
      <c r="B774" s="1" t="s">
        <v>1849</v>
      </c>
      <c r="C774" s="1" t="s">
        <v>1850</v>
      </c>
      <c r="D774" s="14" t="s">
        <v>5527</v>
      </c>
    </row>
    <row r="775" spans="1:4" hidden="1" x14ac:dyDescent="0.25">
      <c r="A775" s="1" t="s">
        <v>1851</v>
      </c>
      <c r="B775" s="1" t="s">
        <v>1852</v>
      </c>
      <c r="C775" s="1" t="s">
        <v>1853</v>
      </c>
      <c r="D775" s="14" t="s">
        <v>5527</v>
      </c>
    </row>
    <row r="776" spans="1:4" hidden="1" x14ac:dyDescent="0.25">
      <c r="A776" s="1" t="s">
        <v>1854</v>
      </c>
      <c r="B776" s="1" t="s">
        <v>1855</v>
      </c>
      <c r="C776" s="1" t="s">
        <v>1856</v>
      </c>
      <c r="D776" s="14" t="s">
        <v>5527</v>
      </c>
    </row>
    <row r="777" spans="1:4" hidden="1" x14ac:dyDescent="0.25">
      <c r="A777" s="1" t="s">
        <v>1857</v>
      </c>
      <c r="B777" s="1" t="s">
        <v>1858</v>
      </c>
      <c r="C777" s="1" t="s">
        <v>1859</v>
      </c>
      <c r="D777" s="14" t="s">
        <v>5527</v>
      </c>
    </row>
    <row r="778" spans="1:4" hidden="1" x14ac:dyDescent="0.25">
      <c r="A778" s="1" t="s">
        <v>1860</v>
      </c>
      <c r="B778" s="1" t="s">
        <v>1861</v>
      </c>
      <c r="C778" s="1" t="s">
        <v>1862</v>
      </c>
      <c r="D778" s="14" t="s">
        <v>5527</v>
      </c>
    </row>
    <row r="779" spans="1:4" hidden="1" x14ac:dyDescent="0.25">
      <c r="A779" s="1" t="s">
        <v>1863</v>
      </c>
      <c r="B779" s="1" t="s">
        <v>1864</v>
      </c>
      <c r="C779" s="1" t="s">
        <v>1865</v>
      </c>
      <c r="D779" s="14" t="s">
        <v>5527</v>
      </c>
    </row>
    <row r="780" spans="1:4" hidden="1" x14ac:dyDescent="0.25">
      <c r="A780" s="1" t="s">
        <v>1866</v>
      </c>
      <c r="B780" s="1" t="s">
        <v>1867</v>
      </c>
      <c r="C780" s="1" t="s">
        <v>1868</v>
      </c>
      <c r="D780" s="14" t="s">
        <v>5527</v>
      </c>
    </row>
    <row r="781" spans="1:4" hidden="1" x14ac:dyDescent="0.25">
      <c r="A781" s="1" t="s">
        <v>1869</v>
      </c>
      <c r="B781" s="1" t="s">
        <v>1870</v>
      </c>
      <c r="C781" s="1" t="s">
        <v>1871</v>
      </c>
      <c r="D781" s="14" t="s">
        <v>5527</v>
      </c>
    </row>
    <row r="782" spans="1:4" hidden="1" x14ac:dyDescent="0.25">
      <c r="A782" s="1" t="s">
        <v>1872</v>
      </c>
      <c r="B782" s="1" t="s">
        <v>1873</v>
      </c>
      <c r="C782" s="1" t="s">
        <v>1874</v>
      </c>
      <c r="D782" s="14" t="s">
        <v>5527</v>
      </c>
    </row>
    <row r="783" spans="1:4" hidden="1" x14ac:dyDescent="0.25">
      <c r="A783" s="1" t="s">
        <v>1875</v>
      </c>
      <c r="B783" s="1" t="s">
        <v>1876</v>
      </c>
      <c r="C783" s="1" t="s">
        <v>1877</v>
      </c>
      <c r="D783" s="14" t="s">
        <v>5527</v>
      </c>
    </row>
    <row r="784" spans="1:4" hidden="1" x14ac:dyDescent="0.25">
      <c r="A784" s="1" t="s">
        <v>1878</v>
      </c>
      <c r="B784" s="1" t="s">
        <v>1879</v>
      </c>
      <c r="C784" s="1" t="s">
        <v>1880</v>
      </c>
      <c r="D784" s="14" t="s">
        <v>5527</v>
      </c>
    </row>
    <row r="785" spans="1:4" hidden="1" x14ac:dyDescent="0.25">
      <c r="A785" s="1" t="s">
        <v>1881</v>
      </c>
      <c r="B785" s="1" t="s">
        <v>1882</v>
      </c>
      <c r="C785" s="1" t="s">
        <v>1883</v>
      </c>
      <c r="D785" s="14" t="s">
        <v>5527</v>
      </c>
    </row>
    <row r="786" spans="1:4" hidden="1" x14ac:dyDescent="0.25">
      <c r="A786" s="1" t="s">
        <v>1884</v>
      </c>
      <c r="B786" s="1" t="s">
        <v>1885</v>
      </c>
      <c r="C786" s="1" t="s">
        <v>1886</v>
      </c>
      <c r="D786" s="14" t="s">
        <v>5527</v>
      </c>
    </row>
    <row r="787" spans="1:4" hidden="1" x14ac:dyDescent="0.25">
      <c r="A787" s="1" t="s">
        <v>1887</v>
      </c>
      <c r="B787" s="1" t="s">
        <v>1888</v>
      </c>
      <c r="C787" s="1" t="s">
        <v>1889</v>
      </c>
      <c r="D787" s="14" t="s">
        <v>5527</v>
      </c>
    </row>
    <row r="788" spans="1:4" hidden="1" x14ac:dyDescent="0.25">
      <c r="A788" s="1" t="s">
        <v>1890</v>
      </c>
      <c r="B788" s="1" t="s">
        <v>1891</v>
      </c>
      <c r="C788" s="1" t="s">
        <v>1892</v>
      </c>
      <c r="D788" s="14" t="s">
        <v>5527</v>
      </c>
    </row>
    <row r="789" spans="1:4" hidden="1" x14ac:dyDescent="0.25">
      <c r="A789" s="1" t="s">
        <v>1893</v>
      </c>
      <c r="B789" s="1" t="s">
        <v>1894</v>
      </c>
      <c r="C789" s="1" t="s">
        <v>1790</v>
      </c>
      <c r="D789" s="14" t="s">
        <v>5527</v>
      </c>
    </row>
    <row r="790" spans="1:4" hidden="1" x14ac:dyDescent="0.25">
      <c r="A790" s="1" t="s">
        <v>1895</v>
      </c>
      <c r="B790" s="1" t="s">
        <v>1896</v>
      </c>
      <c r="C790" s="1" t="s">
        <v>1793</v>
      </c>
      <c r="D790" s="14" t="s">
        <v>5527</v>
      </c>
    </row>
    <row r="791" spans="1:4" hidden="1" x14ac:dyDescent="0.25">
      <c r="A791" s="1" t="s">
        <v>1897</v>
      </c>
      <c r="B791" s="1" t="s">
        <v>1898</v>
      </c>
      <c r="C791" s="1" t="s">
        <v>1796</v>
      </c>
      <c r="D791" s="14" t="s">
        <v>5527</v>
      </c>
    </row>
    <row r="792" spans="1:4" hidden="1" x14ac:dyDescent="0.25">
      <c r="A792" s="1" t="s">
        <v>1899</v>
      </c>
      <c r="B792" s="1" t="s">
        <v>1900</v>
      </c>
      <c r="C792" s="1" t="s">
        <v>1799</v>
      </c>
      <c r="D792" s="14" t="s">
        <v>5527</v>
      </c>
    </row>
    <row r="793" spans="1:4" hidden="1" x14ac:dyDescent="0.25">
      <c r="A793" s="1" t="s">
        <v>1901</v>
      </c>
      <c r="B793" s="1" t="s">
        <v>1902</v>
      </c>
      <c r="C793" s="1" t="s">
        <v>1802</v>
      </c>
      <c r="D793" s="14" t="s">
        <v>5527</v>
      </c>
    </row>
    <row r="794" spans="1:4" hidden="1" x14ac:dyDescent="0.25">
      <c r="A794" s="1" t="s">
        <v>1903</v>
      </c>
      <c r="B794" s="1" t="s">
        <v>1904</v>
      </c>
      <c r="C794" s="1" t="s">
        <v>1805</v>
      </c>
      <c r="D794" s="14" t="s">
        <v>5527</v>
      </c>
    </row>
    <row r="795" spans="1:4" hidden="1" x14ac:dyDescent="0.25">
      <c r="A795" s="1" t="s">
        <v>1905</v>
      </c>
      <c r="B795" s="1" t="s">
        <v>1906</v>
      </c>
      <c r="C795" s="1" t="s">
        <v>1808</v>
      </c>
      <c r="D795" s="14" t="s">
        <v>5527</v>
      </c>
    </row>
    <row r="796" spans="1:4" hidden="1" x14ac:dyDescent="0.25">
      <c r="A796" s="1" t="s">
        <v>1907</v>
      </c>
      <c r="B796" s="1" t="s">
        <v>1908</v>
      </c>
      <c r="C796" s="1" t="s">
        <v>1811</v>
      </c>
      <c r="D796" s="14" t="s">
        <v>5527</v>
      </c>
    </row>
    <row r="797" spans="1:4" hidden="1" x14ac:dyDescent="0.25">
      <c r="A797" s="1" t="s">
        <v>1909</v>
      </c>
      <c r="B797" s="1" t="s">
        <v>1910</v>
      </c>
      <c r="C797" s="1" t="s">
        <v>1814</v>
      </c>
      <c r="D797" s="14" t="s">
        <v>5527</v>
      </c>
    </row>
    <row r="798" spans="1:4" hidden="1" x14ac:dyDescent="0.25">
      <c r="A798" s="1" t="s">
        <v>1911</v>
      </c>
      <c r="B798" s="1" t="s">
        <v>1912</v>
      </c>
      <c r="C798" s="1" t="s">
        <v>1817</v>
      </c>
      <c r="D798" s="14" t="s">
        <v>5527</v>
      </c>
    </row>
    <row r="799" spans="1:4" hidden="1" x14ac:dyDescent="0.25">
      <c r="A799" s="1" t="s">
        <v>1913</v>
      </c>
      <c r="B799" s="1" t="s">
        <v>1914</v>
      </c>
      <c r="C799" s="1" t="s">
        <v>1820</v>
      </c>
      <c r="D799" s="14" t="s">
        <v>5527</v>
      </c>
    </row>
    <row r="800" spans="1:4" hidden="1" x14ac:dyDescent="0.25">
      <c r="A800" s="1" t="s">
        <v>1915</v>
      </c>
      <c r="B800" s="1" t="s">
        <v>1916</v>
      </c>
      <c r="C800" s="1" t="s">
        <v>1823</v>
      </c>
      <c r="D800" s="14" t="s">
        <v>5527</v>
      </c>
    </row>
    <row r="801" spans="1:4" hidden="1" x14ac:dyDescent="0.25">
      <c r="A801" s="1" t="s">
        <v>1917</v>
      </c>
      <c r="B801" s="1" t="s">
        <v>1918</v>
      </c>
      <c r="C801" s="1" t="s">
        <v>1826</v>
      </c>
      <c r="D801" s="14" t="s">
        <v>5527</v>
      </c>
    </row>
    <row r="802" spans="1:4" hidden="1" x14ac:dyDescent="0.25">
      <c r="A802" s="1" t="s">
        <v>1919</v>
      </c>
      <c r="B802" s="1" t="s">
        <v>1920</v>
      </c>
      <c r="C802" s="1" t="s">
        <v>1829</v>
      </c>
      <c r="D802" s="14" t="s">
        <v>5527</v>
      </c>
    </row>
    <row r="803" spans="1:4" hidden="1" x14ac:dyDescent="0.25">
      <c r="A803" s="1" t="s">
        <v>1921</v>
      </c>
      <c r="B803" s="1" t="s">
        <v>1922</v>
      </c>
      <c r="C803" s="1" t="s">
        <v>1832</v>
      </c>
      <c r="D803" s="14" t="s">
        <v>5527</v>
      </c>
    </row>
    <row r="804" spans="1:4" hidden="1" x14ac:dyDescent="0.25">
      <c r="A804" s="1" t="s">
        <v>1923</v>
      </c>
      <c r="B804" s="1" t="s">
        <v>1924</v>
      </c>
      <c r="C804" s="1" t="s">
        <v>1835</v>
      </c>
      <c r="D804" s="14" t="s">
        <v>5527</v>
      </c>
    </row>
    <row r="805" spans="1:4" hidden="1" x14ac:dyDescent="0.25">
      <c r="A805" s="1" t="s">
        <v>1925</v>
      </c>
      <c r="B805" s="1" t="s">
        <v>1926</v>
      </c>
      <c r="C805" s="1" t="s">
        <v>1838</v>
      </c>
      <c r="D805" s="14" t="s">
        <v>5527</v>
      </c>
    </row>
    <row r="806" spans="1:4" hidden="1" x14ac:dyDescent="0.25">
      <c r="A806" s="1" t="s">
        <v>1927</v>
      </c>
      <c r="B806" s="1" t="s">
        <v>1928</v>
      </c>
      <c r="C806" s="1" t="s">
        <v>1841</v>
      </c>
      <c r="D806" s="14" t="s">
        <v>5527</v>
      </c>
    </row>
    <row r="807" spans="1:4" hidden="1" x14ac:dyDescent="0.25">
      <c r="A807" s="1" t="s">
        <v>1929</v>
      </c>
      <c r="B807" s="1" t="s">
        <v>1930</v>
      </c>
      <c r="C807" s="1" t="s">
        <v>1844</v>
      </c>
      <c r="D807" s="14" t="s">
        <v>5527</v>
      </c>
    </row>
    <row r="808" spans="1:4" hidden="1" x14ac:dyDescent="0.25">
      <c r="A808" s="1" t="s">
        <v>1931</v>
      </c>
      <c r="B808" s="1" t="s">
        <v>1932</v>
      </c>
      <c r="C808" s="1" t="s">
        <v>1847</v>
      </c>
      <c r="D808" s="14" t="s">
        <v>5527</v>
      </c>
    </row>
    <row r="809" spans="1:4" hidden="1" x14ac:dyDescent="0.25">
      <c r="A809" s="1" t="s">
        <v>1933</v>
      </c>
      <c r="B809" s="1" t="s">
        <v>1934</v>
      </c>
      <c r="C809" s="1" t="s">
        <v>1850</v>
      </c>
      <c r="D809" s="14" t="s">
        <v>5527</v>
      </c>
    </row>
    <row r="810" spans="1:4" hidden="1" x14ac:dyDescent="0.25">
      <c r="A810" s="1" t="s">
        <v>1935</v>
      </c>
      <c r="B810" s="1" t="s">
        <v>1936</v>
      </c>
      <c r="C810" s="1" t="s">
        <v>1853</v>
      </c>
      <c r="D810" s="14" t="s">
        <v>5527</v>
      </c>
    </row>
    <row r="811" spans="1:4" hidden="1" x14ac:dyDescent="0.25">
      <c r="A811" s="1" t="s">
        <v>1937</v>
      </c>
      <c r="B811" s="1" t="s">
        <v>1938</v>
      </c>
      <c r="C811" s="1" t="s">
        <v>1856</v>
      </c>
      <c r="D811" s="14" t="s">
        <v>5527</v>
      </c>
    </row>
    <row r="812" spans="1:4" hidden="1" x14ac:dyDescent="0.25">
      <c r="A812" s="1" t="s">
        <v>1939</v>
      </c>
      <c r="B812" s="1" t="s">
        <v>1940</v>
      </c>
      <c r="C812" s="1" t="s">
        <v>1859</v>
      </c>
      <c r="D812" s="14" t="s">
        <v>5527</v>
      </c>
    </row>
    <row r="813" spans="1:4" hidden="1" x14ac:dyDescent="0.25">
      <c r="A813" s="1" t="s">
        <v>1941</v>
      </c>
      <c r="B813" s="1" t="s">
        <v>1942</v>
      </c>
      <c r="C813" s="1" t="s">
        <v>1862</v>
      </c>
      <c r="D813" s="14" t="s">
        <v>5527</v>
      </c>
    </row>
    <row r="814" spans="1:4" hidden="1" x14ac:dyDescent="0.25">
      <c r="A814" s="1" t="s">
        <v>1943</v>
      </c>
      <c r="B814" s="1" t="s">
        <v>1944</v>
      </c>
      <c r="C814" s="1" t="s">
        <v>1865</v>
      </c>
      <c r="D814" s="14" t="s">
        <v>5527</v>
      </c>
    </row>
    <row r="815" spans="1:4" hidden="1" x14ac:dyDescent="0.25">
      <c r="A815" s="1" t="s">
        <v>1945</v>
      </c>
      <c r="B815" s="1" t="s">
        <v>1946</v>
      </c>
      <c r="C815" s="1" t="s">
        <v>1868</v>
      </c>
      <c r="D815" s="14" t="s">
        <v>5527</v>
      </c>
    </row>
    <row r="816" spans="1:4" hidden="1" x14ac:dyDescent="0.25">
      <c r="A816" s="1" t="s">
        <v>1947</v>
      </c>
      <c r="B816" s="1" t="s">
        <v>1948</v>
      </c>
      <c r="C816" s="1" t="s">
        <v>1871</v>
      </c>
      <c r="D816" s="14" t="s">
        <v>5527</v>
      </c>
    </row>
    <row r="817" spans="1:4" hidden="1" x14ac:dyDescent="0.25">
      <c r="A817" s="1" t="s">
        <v>1949</v>
      </c>
      <c r="B817" s="1" t="s">
        <v>1950</v>
      </c>
      <c r="C817" s="1" t="s">
        <v>1874</v>
      </c>
      <c r="D817" s="14" t="s">
        <v>5527</v>
      </c>
    </row>
    <row r="818" spans="1:4" hidden="1" x14ac:dyDescent="0.25">
      <c r="A818" s="1" t="s">
        <v>1951</v>
      </c>
      <c r="B818" s="1" t="s">
        <v>1952</v>
      </c>
      <c r="C818" s="1" t="s">
        <v>1877</v>
      </c>
      <c r="D818" s="14" t="s">
        <v>5527</v>
      </c>
    </row>
    <row r="819" spans="1:4" hidden="1" x14ac:dyDescent="0.25">
      <c r="A819" s="1" t="s">
        <v>1953</v>
      </c>
      <c r="B819" s="1" t="s">
        <v>1954</v>
      </c>
      <c r="C819" s="1" t="s">
        <v>1880</v>
      </c>
      <c r="D819" s="14" t="s">
        <v>5527</v>
      </c>
    </row>
    <row r="820" spans="1:4" hidden="1" x14ac:dyDescent="0.25">
      <c r="A820" s="1" t="s">
        <v>1955</v>
      </c>
      <c r="B820" s="1" t="s">
        <v>1956</v>
      </c>
      <c r="C820" s="1" t="s">
        <v>1883</v>
      </c>
      <c r="D820" s="14" t="s">
        <v>5527</v>
      </c>
    </row>
    <row r="821" spans="1:4" hidden="1" x14ac:dyDescent="0.25">
      <c r="A821" s="1" t="s">
        <v>1957</v>
      </c>
      <c r="B821" s="1" t="s">
        <v>1958</v>
      </c>
      <c r="C821" s="1" t="s">
        <v>1886</v>
      </c>
      <c r="D821" s="14" t="s">
        <v>5527</v>
      </c>
    </row>
    <row r="822" spans="1:4" hidden="1" x14ac:dyDescent="0.25">
      <c r="A822" s="1" t="s">
        <v>1959</v>
      </c>
      <c r="B822" s="1" t="s">
        <v>1960</v>
      </c>
      <c r="C822" s="1" t="s">
        <v>1889</v>
      </c>
      <c r="D822" s="14" t="s">
        <v>5527</v>
      </c>
    </row>
    <row r="823" spans="1:4" hidden="1" x14ac:dyDescent="0.25">
      <c r="A823" s="1" t="s">
        <v>1961</v>
      </c>
      <c r="B823" s="1" t="s">
        <v>1962</v>
      </c>
      <c r="C823" s="1" t="s">
        <v>1892</v>
      </c>
      <c r="D823" s="14" t="s">
        <v>5527</v>
      </c>
    </row>
    <row r="824" spans="1:4" hidden="1" x14ac:dyDescent="0.25">
      <c r="A824" s="1" t="s">
        <v>1963</v>
      </c>
      <c r="B824" s="1" t="s">
        <v>1964</v>
      </c>
      <c r="C824" s="1" t="s">
        <v>1790</v>
      </c>
      <c r="D824" s="14" t="s">
        <v>5527</v>
      </c>
    </row>
    <row r="825" spans="1:4" hidden="1" x14ac:dyDescent="0.25">
      <c r="A825" s="1" t="s">
        <v>1965</v>
      </c>
      <c r="B825" s="1" t="s">
        <v>1966</v>
      </c>
      <c r="C825" s="1" t="s">
        <v>1793</v>
      </c>
      <c r="D825" s="14" t="s">
        <v>5527</v>
      </c>
    </row>
    <row r="826" spans="1:4" hidden="1" x14ac:dyDescent="0.25">
      <c r="A826" s="1" t="s">
        <v>1967</v>
      </c>
      <c r="B826" s="1" t="s">
        <v>1968</v>
      </c>
      <c r="C826" s="1" t="s">
        <v>1796</v>
      </c>
      <c r="D826" s="14" t="s">
        <v>5527</v>
      </c>
    </row>
    <row r="827" spans="1:4" hidden="1" x14ac:dyDescent="0.25">
      <c r="A827" s="1" t="s">
        <v>1969</v>
      </c>
      <c r="B827" s="1" t="s">
        <v>1970</v>
      </c>
      <c r="C827" s="1" t="s">
        <v>1799</v>
      </c>
      <c r="D827" s="14" t="s">
        <v>5527</v>
      </c>
    </row>
    <row r="828" spans="1:4" hidden="1" x14ac:dyDescent="0.25">
      <c r="A828" s="1" t="s">
        <v>1971</v>
      </c>
      <c r="B828" s="1" t="s">
        <v>1972</v>
      </c>
      <c r="C828" s="1" t="s">
        <v>1802</v>
      </c>
      <c r="D828" s="14" t="s">
        <v>5527</v>
      </c>
    </row>
    <row r="829" spans="1:4" hidden="1" x14ac:dyDescent="0.25">
      <c r="A829" s="1" t="s">
        <v>1973</v>
      </c>
      <c r="B829" s="1" t="s">
        <v>1974</v>
      </c>
      <c r="C829" s="1" t="s">
        <v>1805</v>
      </c>
      <c r="D829" s="14" t="s">
        <v>5527</v>
      </c>
    </row>
    <row r="830" spans="1:4" hidden="1" x14ac:dyDescent="0.25">
      <c r="A830" s="1" t="s">
        <v>1975</v>
      </c>
      <c r="B830" s="1" t="s">
        <v>1976</v>
      </c>
      <c r="C830" s="1" t="s">
        <v>1808</v>
      </c>
      <c r="D830" s="14" t="s">
        <v>5527</v>
      </c>
    </row>
    <row r="831" spans="1:4" hidden="1" x14ac:dyDescent="0.25">
      <c r="A831" s="1" t="s">
        <v>1977</v>
      </c>
      <c r="B831" s="1" t="s">
        <v>1978</v>
      </c>
      <c r="C831" s="1" t="s">
        <v>1811</v>
      </c>
      <c r="D831" s="14" t="s">
        <v>5527</v>
      </c>
    </row>
    <row r="832" spans="1:4" hidden="1" x14ac:dyDescent="0.25">
      <c r="A832" s="1" t="s">
        <v>1979</v>
      </c>
      <c r="B832" s="1" t="s">
        <v>1980</v>
      </c>
      <c r="C832" s="1" t="s">
        <v>1814</v>
      </c>
      <c r="D832" s="14" t="s">
        <v>5527</v>
      </c>
    </row>
    <row r="833" spans="1:4" hidden="1" x14ac:dyDescent="0.25">
      <c r="A833" s="1" t="s">
        <v>1981</v>
      </c>
      <c r="B833" s="1" t="s">
        <v>1982</v>
      </c>
      <c r="C833" s="1" t="s">
        <v>1817</v>
      </c>
      <c r="D833" s="14" t="s">
        <v>5527</v>
      </c>
    </row>
    <row r="834" spans="1:4" hidden="1" x14ac:dyDescent="0.25">
      <c r="A834" s="1" t="s">
        <v>1983</v>
      </c>
      <c r="B834" s="1" t="s">
        <v>1984</v>
      </c>
      <c r="C834" s="1" t="s">
        <v>1820</v>
      </c>
      <c r="D834" s="14" t="s">
        <v>5527</v>
      </c>
    </row>
    <row r="835" spans="1:4" hidden="1" x14ac:dyDescent="0.25">
      <c r="A835" s="1" t="s">
        <v>1985</v>
      </c>
      <c r="B835" s="1" t="s">
        <v>1986</v>
      </c>
      <c r="C835" s="1" t="s">
        <v>1823</v>
      </c>
      <c r="D835" s="14" t="s">
        <v>5527</v>
      </c>
    </row>
    <row r="836" spans="1:4" hidden="1" x14ac:dyDescent="0.25">
      <c r="A836" s="1" t="s">
        <v>1987</v>
      </c>
      <c r="B836" s="1" t="s">
        <v>1988</v>
      </c>
      <c r="C836" s="1" t="s">
        <v>1826</v>
      </c>
      <c r="D836" s="14" t="s">
        <v>5527</v>
      </c>
    </row>
    <row r="837" spans="1:4" hidden="1" x14ac:dyDescent="0.25">
      <c r="A837" s="1" t="s">
        <v>1989</v>
      </c>
      <c r="B837" s="1" t="s">
        <v>1990</v>
      </c>
      <c r="C837" s="1" t="s">
        <v>1829</v>
      </c>
      <c r="D837" s="14" t="s">
        <v>5527</v>
      </c>
    </row>
    <row r="838" spans="1:4" hidden="1" x14ac:dyDescent="0.25">
      <c r="A838" s="1" t="s">
        <v>1991</v>
      </c>
      <c r="B838" s="1" t="s">
        <v>1992</v>
      </c>
      <c r="C838" s="1" t="s">
        <v>1832</v>
      </c>
      <c r="D838" s="14" t="s">
        <v>5527</v>
      </c>
    </row>
    <row r="839" spans="1:4" hidden="1" x14ac:dyDescent="0.25">
      <c r="A839" s="1" t="s">
        <v>1993</v>
      </c>
      <c r="B839" s="1" t="s">
        <v>1994</v>
      </c>
      <c r="C839" s="1" t="s">
        <v>1835</v>
      </c>
      <c r="D839" s="14" t="s">
        <v>5527</v>
      </c>
    </row>
    <row r="840" spans="1:4" hidden="1" x14ac:dyDescent="0.25">
      <c r="A840" s="1" t="s">
        <v>1995</v>
      </c>
      <c r="B840" s="1" t="s">
        <v>1996</v>
      </c>
      <c r="C840" s="1" t="s">
        <v>1838</v>
      </c>
      <c r="D840" s="14" t="s">
        <v>5527</v>
      </c>
    </row>
    <row r="841" spans="1:4" hidden="1" x14ac:dyDescent="0.25">
      <c r="A841" s="1" t="s">
        <v>1997</v>
      </c>
      <c r="B841" s="1" t="s">
        <v>1998</v>
      </c>
      <c r="C841" s="1" t="s">
        <v>1841</v>
      </c>
      <c r="D841" s="14" t="s">
        <v>5527</v>
      </c>
    </row>
    <row r="842" spans="1:4" hidden="1" x14ac:dyDescent="0.25">
      <c r="A842" s="1" t="s">
        <v>1999</v>
      </c>
      <c r="B842" s="1" t="s">
        <v>2000</v>
      </c>
      <c r="C842" s="1" t="s">
        <v>1844</v>
      </c>
      <c r="D842" s="14" t="s">
        <v>5527</v>
      </c>
    </row>
    <row r="843" spans="1:4" hidden="1" x14ac:dyDescent="0.25">
      <c r="A843" s="1" t="s">
        <v>2001</v>
      </c>
      <c r="B843" s="1" t="s">
        <v>2002</v>
      </c>
      <c r="C843" s="1" t="s">
        <v>1847</v>
      </c>
      <c r="D843" s="14" t="s">
        <v>5527</v>
      </c>
    </row>
    <row r="844" spans="1:4" hidden="1" x14ac:dyDescent="0.25">
      <c r="A844" s="1" t="s">
        <v>2003</v>
      </c>
      <c r="B844" s="1" t="s">
        <v>2004</v>
      </c>
      <c r="C844" s="1" t="s">
        <v>1850</v>
      </c>
      <c r="D844" s="14" t="s">
        <v>5527</v>
      </c>
    </row>
    <row r="845" spans="1:4" hidden="1" x14ac:dyDescent="0.25">
      <c r="A845" s="1" t="s">
        <v>2005</v>
      </c>
      <c r="B845" s="1" t="s">
        <v>2006</v>
      </c>
      <c r="C845" s="1" t="s">
        <v>1853</v>
      </c>
      <c r="D845" s="14" t="s">
        <v>5527</v>
      </c>
    </row>
    <row r="846" spans="1:4" hidden="1" x14ac:dyDescent="0.25">
      <c r="A846" s="1" t="s">
        <v>2007</v>
      </c>
      <c r="B846" s="1" t="s">
        <v>2008</v>
      </c>
      <c r="C846" s="1" t="s">
        <v>1856</v>
      </c>
      <c r="D846" s="14" t="s">
        <v>5527</v>
      </c>
    </row>
    <row r="847" spans="1:4" hidden="1" x14ac:dyDescent="0.25">
      <c r="A847" s="1" t="s">
        <v>2009</v>
      </c>
      <c r="B847" s="1" t="s">
        <v>2010</v>
      </c>
      <c r="C847" s="1" t="s">
        <v>1859</v>
      </c>
      <c r="D847" s="14" t="s">
        <v>5527</v>
      </c>
    </row>
    <row r="848" spans="1:4" hidden="1" x14ac:dyDescent="0.25">
      <c r="A848" s="1" t="s">
        <v>2011</v>
      </c>
      <c r="B848" s="1" t="s">
        <v>2012</v>
      </c>
      <c r="C848" s="1" t="s">
        <v>1862</v>
      </c>
      <c r="D848" s="14" t="s">
        <v>5527</v>
      </c>
    </row>
    <row r="849" spans="1:4" hidden="1" x14ac:dyDescent="0.25">
      <c r="A849" s="1" t="s">
        <v>2013</v>
      </c>
      <c r="B849" s="1" t="s">
        <v>2014</v>
      </c>
      <c r="C849" s="1" t="s">
        <v>1865</v>
      </c>
      <c r="D849" s="14" t="s">
        <v>5527</v>
      </c>
    </row>
    <row r="850" spans="1:4" hidden="1" x14ac:dyDescent="0.25">
      <c r="A850" s="1" t="s">
        <v>2015</v>
      </c>
      <c r="B850" s="1" t="s">
        <v>2016</v>
      </c>
      <c r="C850" s="1" t="s">
        <v>1868</v>
      </c>
      <c r="D850" s="14" t="s">
        <v>5527</v>
      </c>
    </row>
    <row r="851" spans="1:4" hidden="1" x14ac:dyDescent="0.25">
      <c r="A851" s="1" t="s">
        <v>2017</v>
      </c>
      <c r="B851" s="1" t="s">
        <v>2018</v>
      </c>
      <c r="C851" s="1" t="s">
        <v>1871</v>
      </c>
      <c r="D851" s="14" t="s">
        <v>5527</v>
      </c>
    </row>
    <row r="852" spans="1:4" hidden="1" x14ac:dyDescent="0.25">
      <c r="A852" s="1" t="s">
        <v>2019</v>
      </c>
      <c r="B852" s="1" t="s">
        <v>2020</v>
      </c>
      <c r="C852" s="1" t="s">
        <v>1874</v>
      </c>
      <c r="D852" s="14" t="s">
        <v>5527</v>
      </c>
    </row>
    <row r="853" spans="1:4" hidden="1" x14ac:dyDescent="0.25">
      <c r="A853" s="1" t="s">
        <v>2021</v>
      </c>
      <c r="B853" s="1" t="s">
        <v>2022</v>
      </c>
      <c r="C853" s="1" t="s">
        <v>1877</v>
      </c>
      <c r="D853" s="14" t="s">
        <v>5527</v>
      </c>
    </row>
    <row r="854" spans="1:4" hidden="1" x14ac:dyDescent="0.25">
      <c r="A854" s="1" t="s">
        <v>2023</v>
      </c>
      <c r="B854" s="1" t="s">
        <v>2024</v>
      </c>
      <c r="C854" s="1" t="s">
        <v>1880</v>
      </c>
      <c r="D854" s="14" t="s">
        <v>5527</v>
      </c>
    </row>
    <row r="855" spans="1:4" hidden="1" x14ac:dyDescent="0.25">
      <c r="A855" s="1" t="s">
        <v>9013</v>
      </c>
      <c r="B855" s="1" t="s">
        <v>9014</v>
      </c>
      <c r="C855" s="1" t="s">
        <v>9015</v>
      </c>
      <c r="D855" s="14" t="s">
        <v>5527</v>
      </c>
    </row>
    <row r="856" spans="1:4" hidden="1" x14ac:dyDescent="0.25">
      <c r="A856" s="1" t="s">
        <v>2025</v>
      </c>
      <c r="B856" s="1" t="s">
        <v>2026</v>
      </c>
      <c r="C856" s="1" t="s">
        <v>1883</v>
      </c>
      <c r="D856" s="14" t="s">
        <v>5527</v>
      </c>
    </row>
    <row r="857" spans="1:4" hidden="1" x14ac:dyDescent="0.25">
      <c r="A857" s="1" t="s">
        <v>2027</v>
      </c>
      <c r="B857" s="1" t="s">
        <v>2028</v>
      </c>
      <c r="C857" s="1" t="s">
        <v>1886</v>
      </c>
      <c r="D857" s="14" t="s">
        <v>5527</v>
      </c>
    </row>
    <row r="858" spans="1:4" hidden="1" x14ac:dyDescent="0.25">
      <c r="A858" s="1" t="s">
        <v>2029</v>
      </c>
      <c r="B858" s="1" t="s">
        <v>2030</v>
      </c>
      <c r="C858" s="1" t="s">
        <v>1889</v>
      </c>
      <c r="D858" s="14" t="s">
        <v>5527</v>
      </c>
    </row>
    <row r="859" spans="1:4" hidden="1" x14ac:dyDescent="0.25">
      <c r="A859" s="1" t="s">
        <v>2031</v>
      </c>
      <c r="B859" s="1" t="s">
        <v>2032</v>
      </c>
      <c r="C859" s="1" t="s">
        <v>1892</v>
      </c>
      <c r="D859" s="14" t="s">
        <v>5527</v>
      </c>
    </row>
    <row r="860" spans="1:4" hidden="1" x14ac:dyDescent="0.25">
      <c r="A860" s="1" t="s">
        <v>2033</v>
      </c>
      <c r="B860" s="1" t="s">
        <v>2034</v>
      </c>
      <c r="C860" s="1" t="s">
        <v>2035</v>
      </c>
      <c r="D860" s="14" t="s">
        <v>5527</v>
      </c>
    </row>
    <row r="861" spans="1:4" hidden="1" x14ac:dyDescent="0.25">
      <c r="A861" s="1" t="s">
        <v>2036</v>
      </c>
      <c r="B861" s="1" t="s">
        <v>2037</v>
      </c>
      <c r="C861" s="1" t="s">
        <v>2038</v>
      </c>
      <c r="D861" s="14" t="s">
        <v>5527</v>
      </c>
    </row>
    <row r="862" spans="1:4" hidden="1" x14ac:dyDescent="0.25">
      <c r="A862" s="1" t="s">
        <v>2039</v>
      </c>
      <c r="B862" s="1" t="s">
        <v>2040</v>
      </c>
      <c r="C862" s="1" t="s">
        <v>2041</v>
      </c>
      <c r="D862" s="14" t="s">
        <v>5527</v>
      </c>
    </row>
    <row r="863" spans="1:4" hidden="1" x14ac:dyDescent="0.25">
      <c r="A863" s="1" t="s">
        <v>2042</v>
      </c>
      <c r="B863" s="1" t="s">
        <v>2043</v>
      </c>
      <c r="C863" s="1" t="s">
        <v>2044</v>
      </c>
      <c r="D863" s="14" t="s">
        <v>5527</v>
      </c>
    </row>
    <row r="864" spans="1:4" hidden="1" x14ac:dyDescent="0.25">
      <c r="A864" s="1" t="s">
        <v>2045</v>
      </c>
      <c r="B864" s="1" t="s">
        <v>2046</v>
      </c>
      <c r="C864" s="1" t="s">
        <v>2047</v>
      </c>
      <c r="D864" s="14" t="s">
        <v>5527</v>
      </c>
    </row>
    <row r="865" spans="1:4" hidden="1" x14ac:dyDescent="0.25">
      <c r="A865" s="1" t="s">
        <v>2048</v>
      </c>
      <c r="B865" s="1" t="s">
        <v>2049</v>
      </c>
      <c r="C865" s="1" t="s">
        <v>2050</v>
      </c>
      <c r="D865" s="14" t="s">
        <v>5527</v>
      </c>
    </row>
    <row r="866" spans="1:4" hidden="1" x14ac:dyDescent="0.25">
      <c r="A866" s="1" t="s">
        <v>2051</v>
      </c>
      <c r="B866" s="1" t="s">
        <v>2052</v>
      </c>
      <c r="C866" s="1" t="s">
        <v>2053</v>
      </c>
      <c r="D866" s="14" t="s">
        <v>5527</v>
      </c>
    </row>
    <row r="867" spans="1:4" hidden="1" x14ac:dyDescent="0.25">
      <c r="A867" s="1" t="s">
        <v>2054</v>
      </c>
      <c r="B867" s="1" t="s">
        <v>2055</v>
      </c>
      <c r="C867" s="1" t="s">
        <v>2056</v>
      </c>
      <c r="D867" s="14" t="s">
        <v>5527</v>
      </c>
    </row>
    <row r="868" spans="1:4" hidden="1" x14ac:dyDescent="0.25">
      <c r="A868" s="1" t="s">
        <v>2057</v>
      </c>
      <c r="B868" s="1" t="s">
        <v>2058</v>
      </c>
      <c r="C868" s="1" t="s">
        <v>2059</v>
      </c>
      <c r="D868" s="14" t="s">
        <v>5527</v>
      </c>
    </row>
    <row r="869" spans="1:4" hidden="1" x14ac:dyDescent="0.25">
      <c r="A869" s="1" t="s">
        <v>2060</v>
      </c>
      <c r="B869" s="1" t="s">
        <v>2061</v>
      </c>
      <c r="C869" s="1" t="s">
        <v>2062</v>
      </c>
      <c r="D869" s="14" t="s">
        <v>5527</v>
      </c>
    </row>
    <row r="870" spans="1:4" hidden="1" x14ac:dyDescent="0.25">
      <c r="A870" s="1" t="s">
        <v>2063</v>
      </c>
      <c r="B870" s="1" t="s">
        <v>2064</v>
      </c>
      <c r="C870" s="1" t="s">
        <v>2065</v>
      </c>
      <c r="D870" s="14" t="s">
        <v>5527</v>
      </c>
    </row>
    <row r="871" spans="1:4" hidden="1" x14ac:dyDescent="0.25">
      <c r="A871" s="1" t="s">
        <v>2066</v>
      </c>
      <c r="B871" s="1" t="s">
        <v>2067</v>
      </c>
      <c r="C871" s="1" t="s">
        <v>2068</v>
      </c>
      <c r="D871" s="14" t="s">
        <v>5527</v>
      </c>
    </row>
    <row r="872" spans="1:4" hidden="1" x14ac:dyDescent="0.25">
      <c r="A872" s="1" t="s">
        <v>2069</v>
      </c>
      <c r="B872" s="1" t="s">
        <v>2070</v>
      </c>
      <c r="C872" s="1" t="s">
        <v>2071</v>
      </c>
      <c r="D872" s="14" t="s">
        <v>5527</v>
      </c>
    </row>
    <row r="873" spans="1:4" hidden="1" x14ac:dyDescent="0.25">
      <c r="A873" s="1" t="s">
        <v>2072</v>
      </c>
      <c r="B873" s="1" t="s">
        <v>2073</v>
      </c>
      <c r="C873" s="1" t="s">
        <v>2074</v>
      </c>
      <c r="D873" s="14" t="s">
        <v>5527</v>
      </c>
    </row>
    <row r="874" spans="1:4" hidden="1" x14ac:dyDescent="0.25">
      <c r="A874" s="1" t="s">
        <v>2075</v>
      </c>
      <c r="B874" s="1" t="s">
        <v>2076</v>
      </c>
      <c r="C874" s="1" t="s">
        <v>2077</v>
      </c>
      <c r="D874" s="14" t="s">
        <v>5527</v>
      </c>
    </row>
    <row r="875" spans="1:4" hidden="1" x14ac:dyDescent="0.25">
      <c r="A875" s="1" t="s">
        <v>2078</v>
      </c>
      <c r="B875" s="1" t="s">
        <v>2079</v>
      </c>
      <c r="C875" s="1" t="s">
        <v>2080</v>
      </c>
      <c r="D875" s="14" t="s">
        <v>5527</v>
      </c>
    </row>
    <row r="876" spans="1:4" hidden="1" x14ac:dyDescent="0.25">
      <c r="A876" s="1" t="s">
        <v>2081</v>
      </c>
      <c r="B876" s="1" t="s">
        <v>2082</v>
      </c>
      <c r="C876" s="1" t="s">
        <v>2083</v>
      </c>
      <c r="D876" s="14" t="s">
        <v>5527</v>
      </c>
    </row>
    <row r="877" spans="1:4" hidden="1" x14ac:dyDescent="0.25">
      <c r="A877" s="1" t="s">
        <v>2084</v>
      </c>
      <c r="B877" s="1" t="s">
        <v>2085</v>
      </c>
      <c r="C877" s="1" t="s">
        <v>2086</v>
      </c>
      <c r="D877" s="14" t="s">
        <v>5527</v>
      </c>
    </row>
    <row r="878" spans="1:4" hidden="1" x14ac:dyDescent="0.25">
      <c r="A878" s="1" t="s">
        <v>2087</v>
      </c>
      <c r="B878" s="1" t="s">
        <v>2088</v>
      </c>
      <c r="C878" s="1" t="s">
        <v>2089</v>
      </c>
      <c r="D878" s="14" t="s">
        <v>5527</v>
      </c>
    </row>
    <row r="879" spans="1:4" hidden="1" x14ac:dyDescent="0.25">
      <c r="A879" s="1" t="s">
        <v>2090</v>
      </c>
      <c r="B879" s="1" t="s">
        <v>2091</v>
      </c>
      <c r="C879" s="1" t="s">
        <v>2092</v>
      </c>
      <c r="D879" s="14" t="s">
        <v>5527</v>
      </c>
    </row>
    <row r="880" spans="1:4" hidden="1" x14ac:dyDescent="0.25">
      <c r="A880" s="1" t="s">
        <v>2093</v>
      </c>
      <c r="B880" s="1" t="s">
        <v>2094</v>
      </c>
      <c r="C880" s="1" t="s">
        <v>2095</v>
      </c>
      <c r="D880" s="14" t="s">
        <v>5527</v>
      </c>
    </row>
    <row r="881" spans="1:4" hidden="1" x14ac:dyDescent="0.25">
      <c r="A881" s="1" t="s">
        <v>2096</v>
      </c>
      <c r="B881" s="1" t="s">
        <v>2097</v>
      </c>
      <c r="C881" s="1" t="s">
        <v>2098</v>
      </c>
      <c r="D881" s="14" t="s">
        <v>5527</v>
      </c>
    </row>
    <row r="882" spans="1:4" hidden="1" x14ac:dyDescent="0.25">
      <c r="A882" s="1" t="s">
        <v>2099</v>
      </c>
      <c r="B882" s="1" t="s">
        <v>2100</v>
      </c>
      <c r="C882" s="1" t="s">
        <v>2101</v>
      </c>
      <c r="D882" s="14" t="s">
        <v>5527</v>
      </c>
    </row>
    <row r="883" spans="1:4" hidden="1" x14ac:dyDescent="0.25">
      <c r="A883" s="1" t="s">
        <v>2102</v>
      </c>
      <c r="B883" s="1" t="s">
        <v>2103</v>
      </c>
      <c r="C883" s="1" t="s">
        <v>2104</v>
      </c>
      <c r="D883" s="14" t="s">
        <v>5527</v>
      </c>
    </row>
    <row r="884" spans="1:4" hidden="1" x14ac:dyDescent="0.25">
      <c r="A884" s="1" t="s">
        <v>2105</v>
      </c>
      <c r="B884" s="1" t="s">
        <v>2106</v>
      </c>
      <c r="C884" s="1" t="s">
        <v>2107</v>
      </c>
      <c r="D884" s="14" t="s">
        <v>5527</v>
      </c>
    </row>
    <row r="885" spans="1:4" hidden="1" x14ac:dyDescent="0.25">
      <c r="A885" s="1" t="s">
        <v>2108</v>
      </c>
      <c r="B885" s="1" t="s">
        <v>2109</v>
      </c>
      <c r="C885" s="1" t="s">
        <v>2110</v>
      </c>
      <c r="D885" s="14" t="s">
        <v>5527</v>
      </c>
    </row>
    <row r="886" spans="1:4" hidden="1" x14ac:dyDescent="0.25">
      <c r="A886" s="1" t="s">
        <v>2111</v>
      </c>
      <c r="B886" s="1" t="s">
        <v>2112</v>
      </c>
      <c r="C886" s="1" t="s">
        <v>2113</v>
      </c>
      <c r="D886" s="14" t="s">
        <v>5527</v>
      </c>
    </row>
    <row r="887" spans="1:4" hidden="1" x14ac:dyDescent="0.25">
      <c r="A887" s="1" t="s">
        <v>2114</v>
      </c>
      <c r="B887" s="1" t="s">
        <v>2115</v>
      </c>
      <c r="C887" s="1" t="s">
        <v>2116</v>
      </c>
      <c r="D887" s="14" t="s">
        <v>5527</v>
      </c>
    </row>
    <row r="888" spans="1:4" hidden="1" x14ac:dyDescent="0.25">
      <c r="A888" s="1" t="s">
        <v>2117</v>
      </c>
      <c r="B888" s="1" t="s">
        <v>2118</v>
      </c>
      <c r="C888" s="1" t="s">
        <v>2119</v>
      </c>
      <c r="D888" s="14" t="s">
        <v>5527</v>
      </c>
    </row>
    <row r="889" spans="1:4" hidden="1" x14ac:dyDescent="0.25">
      <c r="A889" s="1" t="s">
        <v>2120</v>
      </c>
      <c r="B889" s="1" t="s">
        <v>2121</v>
      </c>
      <c r="C889" s="1" t="s">
        <v>2122</v>
      </c>
      <c r="D889" s="14" t="s">
        <v>5527</v>
      </c>
    </row>
    <row r="890" spans="1:4" hidden="1" x14ac:dyDescent="0.25">
      <c r="A890" s="1" t="s">
        <v>2123</v>
      </c>
      <c r="B890" s="1" t="s">
        <v>2124</v>
      </c>
      <c r="C890" s="1" t="s">
        <v>2125</v>
      </c>
      <c r="D890" s="14" t="s">
        <v>5527</v>
      </c>
    </row>
    <row r="891" spans="1:4" hidden="1" x14ac:dyDescent="0.25">
      <c r="A891" s="1" t="s">
        <v>2126</v>
      </c>
      <c r="B891" s="1" t="s">
        <v>2127</v>
      </c>
      <c r="C891" s="1" t="s">
        <v>2128</v>
      </c>
      <c r="D891" s="14" t="s">
        <v>5527</v>
      </c>
    </row>
    <row r="892" spans="1:4" hidden="1" x14ac:dyDescent="0.25">
      <c r="A892" s="1" t="s">
        <v>2129</v>
      </c>
      <c r="B892" s="1" t="s">
        <v>2130</v>
      </c>
      <c r="C892" s="1" t="s">
        <v>2131</v>
      </c>
      <c r="D892" s="14" t="s">
        <v>5527</v>
      </c>
    </row>
    <row r="893" spans="1:4" hidden="1" x14ac:dyDescent="0.25">
      <c r="A893" s="1" t="s">
        <v>2132</v>
      </c>
      <c r="B893" s="1" t="s">
        <v>2133</v>
      </c>
      <c r="C893" s="1" t="s">
        <v>2134</v>
      </c>
      <c r="D893" s="14" t="s">
        <v>5527</v>
      </c>
    </row>
    <row r="894" spans="1:4" hidden="1" x14ac:dyDescent="0.25">
      <c r="A894" s="1" t="s">
        <v>2135</v>
      </c>
      <c r="B894" s="1" t="s">
        <v>2136</v>
      </c>
      <c r="C894" s="1" t="s">
        <v>2137</v>
      </c>
      <c r="D894" s="14" t="s">
        <v>5527</v>
      </c>
    </row>
    <row r="895" spans="1:4" hidden="1" x14ac:dyDescent="0.25">
      <c r="A895" s="1" t="s">
        <v>2138</v>
      </c>
      <c r="B895" s="1" t="s">
        <v>2139</v>
      </c>
      <c r="C895" s="1" t="s">
        <v>2035</v>
      </c>
      <c r="D895" s="14" t="s">
        <v>5527</v>
      </c>
    </row>
    <row r="896" spans="1:4" hidden="1" x14ac:dyDescent="0.25">
      <c r="A896" s="1" t="s">
        <v>2140</v>
      </c>
      <c r="B896" s="1" t="s">
        <v>2141</v>
      </c>
      <c r="C896" s="1" t="s">
        <v>2038</v>
      </c>
      <c r="D896" s="14" t="s">
        <v>5527</v>
      </c>
    </row>
    <row r="897" spans="1:4" hidden="1" x14ac:dyDescent="0.25">
      <c r="A897" s="1" t="s">
        <v>2142</v>
      </c>
      <c r="B897" s="1" t="s">
        <v>2143</v>
      </c>
      <c r="C897" s="1" t="s">
        <v>2041</v>
      </c>
      <c r="D897" s="14" t="s">
        <v>5527</v>
      </c>
    </row>
    <row r="898" spans="1:4" hidden="1" x14ac:dyDescent="0.25">
      <c r="A898" s="1" t="s">
        <v>2144</v>
      </c>
      <c r="B898" s="1" t="s">
        <v>2145</v>
      </c>
      <c r="C898" s="1" t="s">
        <v>2044</v>
      </c>
      <c r="D898" s="14" t="s">
        <v>5527</v>
      </c>
    </row>
    <row r="899" spans="1:4" hidden="1" x14ac:dyDescent="0.25">
      <c r="A899" s="1" t="s">
        <v>2146</v>
      </c>
      <c r="B899" s="1" t="s">
        <v>2147</v>
      </c>
      <c r="C899" s="1" t="s">
        <v>2047</v>
      </c>
      <c r="D899" s="14" t="s">
        <v>5527</v>
      </c>
    </row>
    <row r="900" spans="1:4" hidden="1" x14ac:dyDescent="0.25">
      <c r="A900" s="1" t="s">
        <v>2148</v>
      </c>
      <c r="B900" s="1" t="s">
        <v>2149</v>
      </c>
      <c r="C900" s="1" t="s">
        <v>2050</v>
      </c>
      <c r="D900" s="14" t="s">
        <v>5527</v>
      </c>
    </row>
    <row r="901" spans="1:4" hidden="1" x14ac:dyDescent="0.25">
      <c r="A901" s="1" t="s">
        <v>2150</v>
      </c>
      <c r="B901" s="1" t="s">
        <v>2151</v>
      </c>
      <c r="C901" s="1" t="s">
        <v>2053</v>
      </c>
      <c r="D901" s="14" t="s">
        <v>5527</v>
      </c>
    </row>
    <row r="902" spans="1:4" hidden="1" x14ac:dyDescent="0.25">
      <c r="A902" s="1" t="s">
        <v>2152</v>
      </c>
      <c r="B902" s="1" t="s">
        <v>2153</v>
      </c>
      <c r="C902" s="1" t="s">
        <v>2056</v>
      </c>
      <c r="D902" s="14" t="s">
        <v>5527</v>
      </c>
    </row>
    <row r="903" spans="1:4" hidden="1" x14ac:dyDescent="0.25">
      <c r="A903" s="1" t="s">
        <v>2154</v>
      </c>
      <c r="B903" s="1" t="s">
        <v>2155</v>
      </c>
      <c r="C903" s="1" t="s">
        <v>2059</v>
      </c>
      <c r="D903" s="14" t="s">
        <v>5527</v>
      </c>
    </row>
    <row r="904" spans="1:4" hidden="1" x14ac:dyDescent="0.25">
      <c r="A904" s="1" t="s">
        <v>2156</v>
      </c>
      <c r="B904" s="1" t="s">
        <v>2157</v>
      </c>
      <c r="C904" s="1" t="s">
        <v>2062</v>
      </c>
      <c r="D904" s="14" t="s">
        <v>5527</v>
      </c>
    </row>
    <row r="905" spans="1:4" hidden="1" x14ac:dyDescent="0.25">
      <c r="A905" s="1" t="s">
        <v>2158</v>
      </c>
      <c r="B905" s="1" t="s">
        <v>2159</v>
      </c>
      <c r="C905" s="1" t="s">
        <v>2065</v>
      </c>
      <c r="D905" s="14" t="s">
        <v>5527</v>
      </c>
    </row>
    <row r="906" spans="1:4" hidden="1" x14ac:dyDescent="0.25">
      <c r="A906" s="1" t="s">
        <v>2160</v>
      </c>
      <c r="B906" s="1" t="s">
        <v>2161</v>
      </c>
      <c r="C906" s="1" t="s">
        <v>2068</v>
      </c>
      <c r="D906" s="14" t="s">
        <v>5527</v>
      </c>
    </row>
    <row r="907" spans="1:4" hidden="1" x14ac:dyDescent="0.25">
      <c r="A907" s="1" t="s">
        <v>2162</v>
      </c>
      <c r="B907" s="1" t="s">
        <v>2163</v>
      </c>
      <c r="C907" s="1" t="s">
        <v>2071</v>
      </c>
      <c r="D907" s="14" t="s">
        <v>5527</v>
      </c>
    </row>
    <row r="908" spans="1:4" hidden="1" x14ac:dyDescent="0.25">
      <c r="A908" s="1" t="s">
        <v>2164</v>
      </c>
      <c r="B908" s="1" t="s">
        <v>2165</v>
      </c>
      <c r="C908" s="1" t="s">
        <v>2074</v>
      </c>
      <c r="D908" s="14" t="s">
        <v>5527</v>
      </c>
    </row>
    <row r="909" spans="1:4" hidden="1" x14ac:dyDescent="0.25">
      <c r="A909" s="1" t="s">
        <v>2166</v>
      </c>
      <c r="B909" s="1" t="s">
        <v>2167</v>
      </c>
      <c r="C909" s="1" t="s">
        <v>2077</v>
      </c>
      <c r="D909" s="14" t="s">
        <v>5527</v>
      </c>
    </row>
    <row r="910" spans="1:4" hidden="1" x14ac:dyDescent="0.25">
      <c r="A910" s="1" t="s">
        <v>2168</v>
      </c>
      <c r="B910" s="1" t="s">
        <v>2169</v>
      </c>
      <c r="C910" s="1" t="s">
        <v>2080</v>
      </c>
      <c r="D910" s="14" t="s">
        <v>5527</v>
      </c>
    </row>
    <row r="911" spans="1:4" hidden="1" x14ac:dyDescent="0.25">
      <c r="A911" s="1" t="s">
        <v>2170</v>
      </c>
      <c r="B911" s="1" t="s">
        <v>2171</v>
      </c>
      <c r="C911" s="1" t="s">
        <v>2083</v>
      </c>
      <c r="D911" s="14" t="s">
        <v>5527</v>
      </c>
    </row>
    <row r="912" spans="1:4" hidden="1" x14ac:dyDescent="0.25">
      <c r="A912" s="1" t="s">
        <v>2172</v>
      </c>
      <c r="B912" s="1" t="s">
        <v>2173</v>
      </c>
      <c r="C912" s="1" t="s">
        <v>2086</v>
      </c>
      <c r="D912" s="14" t="s">
        <v>5527</v>
      </c>
    </row>
    <row r="913" spans="1:4" hidden="1" x14ac:dyDescent="0.25">
      <c r="A913" s="1" t="s">
        <v>2174</v>
      </c>
      <c r="B913" s="1" t="s">
        <v>2175</v>
      </c>
      <c r="C913" s="1" t="s">
        <v>2089</v>
      </c>
      <c r="D913" s="14" t="s">
        <v>5527</v>
      </c>
    </row>
    <row r="914" spans="1:4" hidden="1" x14ac:dyDescent="0.25">
      <c r="A914" s="1" t="s">
        <v>2176</v>
      </c>
      <c r="B914" s="1" t="s">
        <v>2177</v>
      </c>
      <c r="C914" s="1" t="s">
        <v>2092</v>
      </c>
      <c r="D914" s="14" t="s">
        <v>5527</v>
      </c>
    </row>
    <row r="915" spans="1:4" hidden="1" x14ac:dyDescent="0.25">
      <c r="A915" s="1" t="s">
        <v>2178</v>
      </c>
      <c r="B915" s="1" t="s">
        <v>2179</v>
      </c>
      <c r="C915" s="1" t="s">
        <v>2095</v>
      </c>
      <c r="D915" s="14" t="s">
        <v>5527</v>
      </c>
    </row>
    <row r="916" spans="1:4" hidden="1" x14ac:dyDescent="0.25">
      <c r="A916" s="1" t="s">
        <v>2180</v>
      </c>
      <c r="B916" s="1" t="s">
        <v>2181</v>
      </c>
      <c r="C916" s="1" t="s">
        <v>2098</v>
      </c>
      <c r="D916" s="14" t="s">
        <v>5527</v>
      </c>
    </row>
    <row r="917" spans="1:4" hidden="1" x14ac:dyDescent="0.25">
      <c r="A917" s="1" t="s">
        <v>2182</v>
      </c>
      <c r="B917" s="1" t="s">
        <v>2183</v>
      </c>
      <c r="C917" s="1" t="s">
        <v>2101</v>
      </c>
      <c r="D917" s="14" t="s">
        <v>5527</v>
      </c>
    </row>
    <row r="918" spans="1:4" hidden="1" x14ac:dyDescent="0.25">
      <c r="A918" s="1" t="s">
        <v>2184</v>
      </c>
      <c r="B918" s="1" t="s">
        <v>2185</v>
      </c>
      <c r="C918" s="1" t="s">
        <v>2104</v>
      </c>
      <c r="D918" s="14" t="s">
        <v>5527</v>
      </c>
    </row>
    <row r="919" spans="1:4" hidden="1" x14ac:dyDescent="0.25">
      <c r="A919" s="1" t="s">
        <v>2186</v>
      </c>
      <c r="B919" s="1" t="s">
        <v>2187</v>
      </c>
      <c r="C919" s="1" t="s">
        <v>2107</v>
      </c>
      <c r="D919" s="14" t="s">
        <v>5527</v>
      </c>
    </row>
    <row r="920" spans="1:4" hidden="1" x14ac:dyDescent="0.25">
      <c r="A920" s="1" t="s">
        <v>2188</v>
      </c>
      <c r="B920" s="1" t="s">
        <v>2189</v>
      </c>
      <c r="C920" s="1" t="s">
        <v>2110</v>
      </c>
      <c r="D920" s="14" t="s">
        <v>5527</v>
      </c>
    </row>
    <row r="921" spans="1:4" hidden="1" x14ac:dyDescent="0.25">
      <c r="A921" s="1" t="s">
        <v>2190</v>
      </c>
      <c r="B921" s="1" t="s">
        <v>2191</v>
      </c>
      <c r="C921" s="1" t="s">
        <v>2113</v>
      </c>
      <c r="D921" s="14" t="s">
        <v>5527</v>
      </c>
    </row>
    <row r="922" spans="1:4" hidden="1" x14ac:dyDescent="0.25">
      <c r="A922" s="1" t="s">
        <v>2192</v>
      </c>
      <c r="B922" s="1" t="s">
        <v>2193</v>
      </c>
      <c r="C922" s="1" t="s">
        <v>2116</v>
      </c>
      <c r="D922" s="14" t="s">
        <v>5527</v>
      </c>
    </row>
    <row r="923" spans="1:4" hidden="1" x14ac:dyDescent="0.25">
      <c r="A923" s="1" t="s">
        <v>2194</v>
      </c>
      <c r="B923" s="1" t="s">
        <v>2195</v>
      </c>
      <c r="C923" s="1" t="s">
        <v>2119</v>
      </c>
      <c r="D923" s="14" t="s">
        <v>5527</v>
      </c>
    </row>
    <row r="924" spans="1:4" hidden="1" x14ac:dyDescent="0.25">
      <c r="A924" s="1" t="s">
        <v>2196</v>
      </c>
      <c r="B924" s="1" t="s">
        <v>2197</v>
      </c>
      <c r="C924" s="1" t="s">
        <v>2122</v>
      </c>
      <c r="D924" s="14" t="s">
        <v>5527</v>
      </c>
    </row>
    <row r="925" spans="1:4" hidden="1" x14ac:dyDescent="0.25">
      <c r="A925" s="1" t="s">
        <v>2198</v>
      </c>
      <c r="B925" s="1" t="s">
        <v>2199</v>
      </c>
      <c r="C925" s="1" t="s">
        <v>2125</v>
      </c>
      <c r="D925" s="14" t="s">
        <v>5527</v>
      </c>
    </row>
    <row r="926" spans="1:4" hidden="1" x14ac:dyDescent="0.25">
      <c r="A926" s="1" t="s">
        <v>2200</v>
      </c>
      <c r="B926" s="1" t="s">
        <v>2201</v>
      </c>
      <c r="C926" s="1" t="s">
        <v>2128</v>
      </c>
      <c r="D926" s="14" t="s">
        <v>5527</v>
      </c>
    </row>
    <row r="927" spans="1:4" hidden="1" x14ac:dyDescent="0.25">
      <c r="A927" s="1" t="s">
        <v>2202</v>
      </c>
      <c r="B927" s="1" t="s">
        <v>2203</v>
      </c>
      <c r="C927" s="1" t="s">
        <v>2131</v>
      </c>
      <c r="D927" s="14" t="s">
        <v>5527</v>
      </c>
    </row>
    <row r="928" spans="1:4" hidden="1" x14ac:dyDescent="0.25">
      <c r="A928" s="1" t="s">
        <v>2204</v>
      </c>
      <c r="B928" s="1" t="s">
        <v>2205</v>
      </c>
      <c r="C928" s="1" t="s">
        <v>2134</v>
      </c>
      <c r="D928" s="14" t="s">
        <v>5527</v>
      </c>
    </row>
    <row r="929" spans="1:4" hidden="1" x14ac:dyDescent="0.25">
      <c r="A929" s="1" t="s">
        <v>2206</v>
      </c>
      <c r="B929" s="1" t="s">
        <v>2207</v>
      </c>
      <c r="C929" s="1" t="s">
        <v>2137</v>
      </c>
      <c r="D929" s="14" t="s">
        <v>5527</v>
      </c>
    </row>
    <row r="930" spans="1:4" hidden="1" x14ac:dyDescent="0.25">
      <c r="A930" s="1" t="s">
        <v>2208</v>
      </c>
      <c r="B930" s="1" t="s">
        <v>2209</v>
      </c>
      <c r="C930" s="1" t="s">
        <v>2035</v>
      </c>
      <c r="D930" s="14" t="s">
        <v>5527</v>
      </c>
    </row>
    <row r="931" spans="1:4" hidden="1" x14ac:dyDescent="0.25">
      <c r="A931" s="1" t="s">
        <v>2210</v>
      </c>
      <c r="B931" s="1" t="s">
        <v>2211</v>
      </c>
      <c r="C931" s="1" t="s">
        <v>2038</v>
      </c>
      <c r="D931" s="14" t="s">
        <v>5527</v>
      </c>
    </row>
    <row r="932" spans="1:4" hidden="1" x14ac:dyDescent="0.25">
      <c r="A932" s="1" t="s">
        <v>2212</v>
      </c>
      <c r="B932" s="1" t="s">
        <v>2213</v>
      </c>
      <c r="C932" s="1" t="s">
        <v>2041</v>
      </c>
      <c r="D932" s="14" t="s">
        <v>5527</v>
      </c>
    </row>
    <row r="933" spans="1:4" hidden="1" x14ac:dyDescent="0.25">
      <c r="A933" s="1" t="s">
        <v>2214</v>
      </c>
      <c r="B933" s="1" t="s">
        <v>2215</v>
      </c>
      <c r="C933" s="1" t="s">
        <v>2044</v>
      </c>
      <c r="D933" s="14" t="s">
        <v>5527</v>
      </c>
    </row>
    <row r="934" spans="1:4" hidden="1" x14ac:dyDescent="0.25">
      <c r="A934" s="1" t="s">
        <v>2216</v>
      </c>
      <c r="B934" s="1" t="s">
        <v>2217</v>
      </c>
      <c r="C934" s="1" t="s">
        <v>2047</v>
      </c>
      <c r="D934" s="14" t="s">
        <v>5527</v>
      </c>
    </row>
    <row r="935" spans="1:4" hidden="1" x14ac:dyDescent="0.25">
      <c r="A935" s="1" t="s">
        <v>2218</v>
      </c>
      <c r="B935" s="1" t="s">
        <v>2219</v>
      </c>
      <c r="C935" s="1" t="s">
        <v>2050</v>
      </c>
      <c r="D935" s="14" t="s">
        <v>5527</v>
      </c>
    </row>
    <row r="936" spans="1:4" hidden="1" x14ac:dyDescent="0.25">
      <c r="A936" s="1" t="s">
        <v>2220</v>
      </c>
      <c r="B936" s="1" t="s">
        <v>2221</v>
      </c>
      <c r="C936" s="1" t="s">
        <v>2053</v>
      </c>
      <c r="D936" s="14" t="s">
        <v>5527</v>
      </c>
    </row>
    <row r="937" spans="1:4" hidden="1" x14ac:dyDescent="0.25">
      <c r="A937" s="1" t="s">
        <v>2222</v>
      </c>
      <c r="B937" s="1" t="s">
        <v>2223</v>
      </c>
      <c r="C937" s="1" t="s">
        <v>2056</v>
      </c>
      <c r="D937" s="14" t="s">
        <v>5527</v>
      </c>
    </row>
    <row r="938" spans="1:4" hidden="1" x14ac:dyDescent="0.25">
      <c r="A938" s="1" t="s">
        <v>2224</v>
      </c>
      <c r="B938" s="1" t="s">
        <v>2225</v>
      </c>
      <c r="C938" s="1" t="s">
        <v>2059</v>
      </c>
      <c r="D938" s="14" t="s">
        <v>5527</v>
      </c>
    </row>
    <row r="939" spans="1:4" hidden="1" x14ac:dyDescent="0.25">
      <c r="A939" s="1" t="s">
        <v>2226</v>
      </c>
      <c r="B939" s="1" t="s">
        <v>2227</v>
      </c>
      <c r="C939" s="1" t="s">
        <v>2062</v>
      </c>
      <c r="D939" s="14" t="s">
        <v>5527</v>
      </c>
    </row>
    <row r="940" spans="1:4" hidden="1" x14ac:dyDescent="0.25">
      <c r="A940" s="1" t="s">
        <v>2228</v>
      </c>
      <c r="B940" s="1" t="s">
        <v>2229</v>
      </c>
      <c r="C940" s="1" t="s">
        <v>2065</v>
      </c>
      <c r="D940" s="14" t="s">
        <v>5527</v>
      </c>
    </row>
    <row r="941" spans="1:4" hidden="1" x14ac:dyDescent="0.25">
      <c r="A941" s="1" t="s">
        <v>2230</v>
      </c>
      <c r="B941" s="1" t="s">
        <v>2231</v>
      </c>
      <c r="C941" s="1" t="s">
        <v>2068</v>
      </c>
      <c r="D941" s="14" t="s">
        <v>5527</v>
      </c>
    </row>
    <row r="942" spans="1:4" hidden="1" x14ac:dyDescent="0.25">
      <c r="A942" s="1" t="s">
        <v>2232</v>
      </c>
      <c r="B942" s="1" t="s">
        <v>2233</v>
      </c>
      <c r="C942" s="1" t="s">
        <v>2071</v>
      </c>
      <c r="D942" s="14" t="s">
        <v>5527</v>
      </c>
    </row>
    <row r="943" spans="1:4" hidden="1" x14ac:dyDescent="0.25">
      <c r="A943" s="1" t="s">
        <v>2234</v>
      </c>
      <c r="B943" s="1" t="s">
        <v>2235</v>
      </c>
      <c r="C943" s="1" t="s">
        <v>2074</v>
      </c>
      <c r="D943" s="14" t="s">
        <v>5527</v>
      </c>
    </row>
    <row r="944" spans="1:4" hidden="1" x14ac:dyDescent="0.25">
      <c r="A944" s="1" t="s">
        <v>2236</v>
      </c>
      <c r="B944" s="1" t="s">
        <v>2237</v>
      </c>
      <c r="C944" s="1" t="s">
        <v>2077</v>
      </c>
      <c r="D944" s="14" t="s">
        <v>5527</v>
      </c>
    </row>
    <row r="945" spans="1:4" hidden="1" x14ac:dyDescent="0.25">
      <c r="A945" s="1" t="s">
        <v>2238</v>
      </c>
      <c r="B945" s="1" t="s">
        <v>2239</v>
      </c>
      <c r="C945" s="1" t="s">
        <v>2080</v>
      </c>
      <c r="D945" s="14" t="s">
        <v>5527</v>
      </c>
    </row>
    <row r="946" spans="1:4" hidden="1" x14ac:dyDescent="0.25">
      <c r="A946" s="1" t="s">
        <v>2240</v>
      </c>
      <c r="B946" s="1" t="s">
        <v>2241</v>
      </c>
      <c r="C946" s="1" t="s">
        <v>2083</v>
      </c>
      <c r="D946" s="14" t="s">
        <v>5527</v>
      </c>
    </row>
    <row r="947" spans="1:4" hidden="1" x14ac:dyDescent="0.25">
      <c r="A947" s="1" t="s">
        <v>2242</v>
      </c>
      <c r="B947" s="1" t="s">
        <v>2243</v>
      </c>
      <c r="C947" s="1" t="s">
        <v>2086</v>
      </c>
      <c r="D947" s="14" t="s">
        <v>5527</v>
      </c>
    </row>
    <row r="948" spans="1:4" hidden="1" x14ac:dyDescent="0.25">
      <c r="A948" s="1" t="s">
        <v>2244</v>
      </c>
      <c r="B948" s="1" t="s">
        <v>2245</v>
      </c>
      <c r="C948" s="1" t="s">
        <v>2089</v>
      </c>
      <c r="D948" s="14" t="s">
        <v>5527</v>
      </c>
    </row>
    <row r="949" spans="1:4" hidden="1" x14ac:dyDescent="0.25">
      <c r="A949" s="1" t="s">
        <v>2246</v>
      </c>
      <c r="B949" s="1" t="s">
        <v>2247</v>
      </c>
      <c r="C949" s="1" t="s">
        <v>2092</v>
      </c>
      <c r="D949" s="14" t="s">
        <v>5527</v>
      </c>
    </row>
    <row r="950" spans="1:4" hidden="1" x14ac:dyDescent="0.25">
      <c r="A950" s="1" t="s">
        <v>2248</v>
      </c>
      <c r="B950" s="1" t="s">
        <v>2249</v>
      </c>
      <c r="C950" s="1" t="s">
        <v>2095</v>
      </c>
      <c r="D950" s="14" t="s">
        <v>5527</v>
      </c>
    </row>
    <row r="951" spans="1:4" hidden="1" x14ac:dyDescent="0.25">
      <c r="A951" s="1" t="s">
        <v>2250</v>
      </c>
      <c r="B951" s="1" t="s">
        <v>2251</v>
      </c>
      <c r="C951" s="1" t="s">
        <v>2098</v>
      </c>
      <c r="D951" s="14" t="s">
        <v>5527</v>
      </c>
    </row>
    <row r="952" spans="1:4" hidden="1" x14ac:dyDescent="0.25">
      <c r="A952" s="1" t="s">
        <v>2252</v>
      </c>
      <c r="B952" s="1" t="s">
        <v>2253</v>
      </c>
      <c r="C952" s="1" t="s">
        <v>2101</v>
      </c>
      <c r="D952" s="14" t="s">
        <v>5527</v>
      </c>
    </row>
    <row r="953" spans="1:4" hidden="1" x14ac:dyDescent="0.25">
      <c r="A953" s="1" t="s">
        <v>2254</v>
      </c>
      <c r="B953" s="1" t="s">
        <v>2255</v>
      </c>
      <c r="C953" s="1" t="s">
        <v>2104</v>
      </c>
      <c r="D953" s="14" t="s">
        <v>5527</v>
      </c>
    </row>
    <row r="954" spans="1:4" hidden="1" x14ac:dyDescent="0.25">
      <c r="A954" s="1" t="s">
        <v>2256</v>
      </c>
      <c r="B954" s="1" t="s">
        <v>2257</v>
      </c>
      <c r="C954" s="1" t="s">
        <v>2107</v>
      </c>
      <c r="D954" s="14" t="s">
        <v>5527</v>
      </c>
    </row>
    <row r="955" spans="1:4" hidden="1" x14ac:dyDescent="0.25">
      <c r="A955" s="1" t="s">
        <v>2258</v>
      </c>
      <c r="B955" s="1" t="s">
        <v>2259</v>
      </c>
      <c r="C955" s="1" t="s">
        <v>2110</v>
      </c>
      <c r="D955" s="14" t="s">
        <v>5527</v>
      </c>
    </row>
    <row r="956" spans="1:4" hidden="1" x14ac:dyDescent="0.25">
      <c r="A956" s="1" t="s">
        <v>2260</v>
      </c>
      <c r="B956" s="1" t="s">
        <v>2261</v>
      </c>
      <c r="C956" s="1" t="s">
        <v>2113</v>
      </c>
      <c r="D956" s="14" t="s">
        <v>5527</v>
      </c>
    </row>
    <row r="957" spans="1:4" hidden="1" x14ac:dyDescent="0.25">
      <c r="A957" s="1" t="s">
        <v>2262</v>
      </c>
      <c r="B957" s="1" t="s">
        <v>2263</v>
      </c>
      <c r="C957" s="1" t="s">
        <v>2116</v>
      </c>
      <c r="D957" s="14" t="s">
        <v>5527</v>
      </c>
    </row>
    <row r="958" spans="1:4" hidden="1" x14ac:dyDescent="0.25">
      <c r="A958" s="1" t="s">
        <v>2264</v>
      </c>
      <c r="B958" s="1" t="s">
        <v>2265</v>
      </c>
      <c r="C958" s="1" t="s">
        <v>2119</v>
      </c>
      <c r="D958" s="14" t="s">
        <v>5527</v>
      </c>
    </row>
    <row r="959" spans="1:4" hidden="1" x14ac:dyDescent="0.25">
      <c r="A959" s="1" t="s">
        <v>2266</v>
      </c>
      <c r="B959" s="1" t="s">
        <v>2267</v>
      </c>
      <c r="C959" s="1" t="s">
        <v>2122</v>
      </c>
      <c r="D959" s="14" t="s">
        <v>5527</v>
      </c>
    </row>
    <row r="960" spans="1:4" hidden="1" x14ac:dyDescent="0.25">
      <c r="A960" s="1" t="s">
        <v>2268</v>
      </c>
      <c r="B960" s="1" t="s">
        <v>2269</v>
      </c>
      <c r="C960" s="1" t="s">
        <v>2125</v>
      </c>
      <c r="D960" s="14" t="s">
        <v>5527</v>
      </c>
    </row>
    <row r="961" spans="1:4" hidden="1" x14ac:dyDescent="0.25">
      <c r="A961" s="1" t="s">
        <v>2270</v>
      </c>
      <c r="B961" s="1" t="s">
        <v>2271</v>
      </c>
      <c r="C961" s="1" t="s">
        <v>2128</v>
      </c>
      <c r="D961" s="14" t="s">
        <v>5527</v>
      </c>
    </row>
    <row r="962" spans="1:4" hidden="1" x14ac:dyDescent="0.25">
      <c r="A962" s="1" t="s">
        <v>2272</v>
      </c>
      <c r="B962" s="1" t="s">
        <v>2273</v>
      </c>
      <c r="C962" s="1" t="s">
        <v>2131</v>
      </c>
      <c r="D962" s="14" t="s">
        <v>5527</v>
      </c>
    </row>
    <row r="963" spans="1:4" hidden="1" x14ac:dyDescent="0.25">
      <c r="A963" s="1" t="s">
        <v>2274</v>
      </c>
      <c r="B963" s="1" t="s">
        <v>2275</v>
      </c>
      <c r="C963" s="1" t="s">
        <v>2134</v>
      </c>
      <c r="D963" s="14" t="s">
        <v>5527</v>
      </c>
    </row>
    <row r="964" spans="1:4" hidden="1" x14ac:dyDescent="0.25">
      <c r="A964" s="1" t="s">
        <v>2276</v>
      </c>
      <c r="B964" s="1" t="s">
        <v>2277</v>
      </c>
      <c r="C964" s="1" t="s">
        <v>2137</v>
      </c>
      <c r="D964" s="14" t="s">
        <v>5527</v>
      </c>
    </row>
    <row r="965" spans="1:4" hidden="1" x14ac:dyDescent="0.25">
      <c r="A965" s="1" t="s">
        <v>2278</v>
      </c>
      <c r="B965" s="1" t="s">
        <v>2279</v>
      </c>
      <c r="C965" s="1" t="s">
        <v>2280</v>
      </c>
      <c r="D965" s="14" t="s">
        <v>5527</v>
      </c>
    </row>
    <row r="966" spans="1:4" hidden="1" x14ac:dyDescent="0.25">
      <c r="A966" s="1" t="s">
        <v>2281</v>
      </c>
      <c r="B966" s="1" t="s">
        <v>2282</v>
      </c>
      <c r="C966" s="1" t="s">
        <v>2283</v>
      </c>
      <c r="D966" s="14" t="s">
        <v>5527</v>
      </c>
    </row>
    <row r="967" spans="1:4" hidden="1" x14ac:dyDescent="0.25">
      <c r="A967" s="1" t="s">
        <v>2284</v>
      </c>
      <c r="B967" s="1" t="s">
        <v>2285</v>
      </c>
      <c r="C967" s="1" t="s">
        <v>2286</v>
      </c>
      <c r="D967" s="14" t="s">
        <v>5527</v>
      </c>
    </row>
    <row r="968" spans="1:4" hidden="1" x14ac:dyDescent="0.25">
      <c r="A968" s="1" t="s">
        <v>2287</v>
      </c>
      <c r="B968" s="1" t="s">
        <v>2288</v>
      </c>
      <c r="C968" s="1" t="s">
        <v>2289</v>
      </c>
      <c r="D968" s="14" t="s">
        <v>5527</v>
      </c>
    </row>
    <row r="969" spans="1:4" hidden="1" x14ac:dyDescent="0.25">
      <c r="A969" s="1" t="s">
        <v>2290</v>
      </c>
      <c r="B969" s="1" t="s">
        <v>2291</v>
      </c>
      <c r="C969" s="1" t="s">
        <v>2292</v>
      </c>
      <c r="D969" s="14" t="s">
        <v>5527</v>
      </c>
    </row>
    <row r="970" spans="1:4" hidden="1" x14ac:dyDescent="0.25">
      <c r="A970" s="1" t="s">
        <v>2293</v>
      </c>
      <c r="B970" s="1" t="s">
        <v>2294</v>
      </c>
      <c r="C970" s="1" t="s">
        <v>2295</v>
      </c>
      <c r="D970" s="14" t="s">
        <v>5527</v>
      </c>
    </row>
    <row r="971" spans="1:4" hidden="1" x14ac:dyDescent="0.25">
      <c r="A971" s="1" t="s">
        <v>2296</v>
      </c>
      <c r="B971" s="1" t="s">
        <v>2297</v>
      </c>
      <c r="C971" s="1" t="s">
        <v>2298</v>
      </c>
      <c r="D971" s="14" t="s">
        <v>5527</v>
      </c>
    </row>
    <row r="972" spans="1:4" hidden="1" x14ac:dyDescent="0.25">
      <c r="A972" s="1" t="s">
        <v>2299</v>
      </c>
      <c r="B972" s="1" t="s">
        <v>2300</v>
      </c>
      <c r="C972" s="1" t="s">
        <v>2301</v>
      </c>
      <c r="D972" s="14" t="s">
        <v>5527</v>
      </c>
    </row>
    <row r="973" spans="1:4" hidden="1" x14ac:dyDescent="0.25">
      <c r="A973" s="1" t="s">
        <v>2302</v>
      </c>
      <c r="B973" s="1" t="s">
        <v>2303</v>
      </c>
      <c r="C973" s="1" t="s">
        <v>2304</v>
      </c>
      <c r="D973" s="14" t="s">
        <v>5527</v>
      </c>
    </row>
    <row r="974" spans="1:4" hidden="1" x14ac:dyDescent="0.25">
      <c r="A974" s="1" t="s">
        <v>2305</v>
      </c>
      <c r="B974" s="1" t="s">
        <v>2306</v>
      </c>
      <c r="C974" s="1" t="s">
        <v>2307</v>
      </c>
      <c r="D974" s="14" t="s">
        <v>5527</v>
      </c>
    </row>
    <row r="975" spans="1:4" hidden="1" x14ac:dyDescent="0.25">
      <c r="A975" s="1" t="s">
        <v>2308</v>
      </c>
      <c r="B975" s="1" t="s">
        <v>2309</v>
      </c>
      <c r="C975" s="1" t="s">
        <v>2310</v>
      </c>
      <c r="D975" s="14" t="s">
        <v>5527</v>
      </c>
    </row>
    <row r="976" spans="1:4" hidden="1" x14ac:dyDescent="0.25">
      <c r="A976" s="1" t="s">
        <v>2311</v>
      </c>
      <c r="B976" s="1" t="s">
        <v>2312</v>
      </c>
      <c r="C976" s="1" t="s">
        <v>2313</v>
      </c>
      <c r="D976" s="14" t="s">
        <v>5527</v>
      </c>
    </row>
    <row r="977" spans="1:4" hidden="1" x14ac:dyDescent="0.25">
      <c r="A977" s="1" t="s">
        <v>2314</v>
      </c>
      <c r="B977" s="1" t="s">
        <v>2315</v>
      </c>
      <c r="C977" s="1" t="s">
        <v>2316</v>
      </c>
      <c r="D977" s="14" t="s">
        <v>5527</v>
      </c>
    </row>
    <row r="978" spans="1:4" hidden="1" x14ac:dyDescent="0.25">
      <c r="A978" s="1" t="s">
        <v>2317</v>
      </c>
      <c r="B978" s="1" t="s">
        <v>2318</v>
      </c>
      <c r="C978" s="1" t="s">
        <v>2319</v>
      </c>
      <c r="D978" s="14" t="s">
        <v>5527</v>
      </c>
    </row>
    <row r="979" spans="1:4" hidden="1" x14ac:dyDescent="0.25">
      <c r="A979" s="1" t="s">
        <v>2320</v>
      </c>
      <c r="B979" s="1" t="s">
        <v>2321</v>
      </c>
      <c r="C979" s="1" t="s">
        <v>2322</v>
      </c>
      <c r="D979" s="14" t="s">
        <v>5527</v>
      </c>
    </row>
    <row r="980" spans="1:4" hidden="1" x14ac:dyDescent="0.25">
      <c r="A980" s="1" t="s">
        <v>2323</v>
      </c>
      <c r="B980" s="1" t="s">
        <v>2324</v>
      </c>
      <c r="C980" s="1" t="s">
        <v>2325</v>
      </c>
      <c r="D980" s="14" t="s">
        <v>5527</v>
      </c>
    </row>
    <row r="981" spans="1:4" hidden="1" x14ac:dyDescent="0.25">
      <c r="A981" s="1" t="s">
        <v>2326</v>
      </c>
      <c r="B981" s="1" t="s">
        <v>2327</v>
      </c>
      <c r="C981" s="1" t="s">
        <v>2328</v>
      </c>
      <c r="D981" s="14" t="s">
        <v>5527</v>
      </c>
    </row>
    <row r="982" spans="1:4" hidden="1" x14ac:dyDescent="0.25">
      <c r="A982" s="1" t="s">
        <v>2329</v>
      </c>
      <c r="B982" s="1" t="s">
        <v>2330</v>
      </c>
      <c r="C982" s="1" t="s">
        <v>2331</v>
      </c>
      <c r="D982" s="14" t="s">
        <v>5527</v>
      </c>
    </row>
    <row r="983" spans="1:4" hidden="1" x14ac:dyDescent="0.25">
      <c r="A983" s="1" t="s">
        <v>2332</v>
      </c>
      <c r="B983" s="1" t="s">
        <v>2333</v>
      </c>
      <c r="C983" s="1" t="s">
        <v>2334</v>
      </c>
      <c r="D983" s="14" t="s">
        <v>5527</v>
      </c>
    </row>
    <row r="984" spans="1:4" hidden="1" x14ac:dyDescent="0.25">
      <c r="A984" s="1" t="s">
        <v>2335</v>
      </c>
      <c r="B984" s="1" t="s">
        <v>2336</v>
      </c>
      <c r="C984" s="1" t="s">
        <v>2337</v>
      </c>
      <c r="D984" s="14" t="s">
        <v>5527</v>
      </c>
    </row>
    <row r="985" spans="1:4" hidden="1" x14ac:dyDescent="0.25">
      <c r="A985" s="1" t="s">
        <v>2338</v>
      </c>
      <c r="B985" s="1" t="s">
        <v>2339</v>
      </c>
      <c r="C985" s="1" t="s">
        <v>2340</v>
      </c>
      <c r="D985" s="14" t="s">
        <v>5527</v>
      </c>
    </row>
    <row r="986" spans="1:4" hidden="1" x14ac:dyDescent="0.25">
      <c r="A986" s="1" t="s">
        <v>2341</v>
      </c>
      <c r="B986" s="1" t="s">
        <v>2342</v>
      </c>
      <c r="C986" s="1" t="s">
        <v>2343</v>
      </c>
      <c r="D986" s="14" t="s">
        <v>5527</v>
      </c>
    </row>
    <row r="987" spans="1:4" hidden="1" x14ac:dyDescent="0.25">
      <c r="A987" s="1" t="s">
        <v>2344</v>
      </c>
      <c r="B987" s="1" t="s">
        <v>2345</v>
      </c>
      <c r="C987" s="1" t="s">
        <v>2346</v>
      </c>
      <c r="D987" s="14" t="s">
        <v>5527</v>
      </c>
    </row>
    <row r="988" spans="1:4" hidden="1" x14ac:dyDescent="0.25">
      <c r="A988" s="1" t="s">
        <v>2347</v>
      </c>
      <c r="B988" s="1" t="s">
        <v>2348</v>
      </c>
      <c r="C988" s="1" t="s">
        <v>2349</v>
      </c>
      <c r="D988" s="14" t="s">
        <v>5527</v>
      </c>
    </row>
    <row r="989" spans="1:4" hidden="1" x14ac:dyDescent="0.25">
      <c r="A989" s="1" t="s">
        <v>2350</v>
      </c>
      <c r="B989" s="1" t="s">
        <v>2351</v>
      </c>
      <c r="C989" s="1" t="s">
        <v>2352</v>
      </c>
      <c r="D989" s="14" t="s">
        <v>5527</v>
      </c>
    </row>
    <row r="990" spans="1:4" hidden="1" x14ac:dyDescent="0.25">
      <c r="A990" s="1" t="s">
        <v>2353</v>
      </c>
      <c r="B990" s="1" t="s">
        <v>2354</v>
      </c>
      <c r="C990" s="1" t="s">
        <v>2355</v>
      </c>
      <c r="D990" s="14" t="s">
        <v>5527</v>
      </c>
    </row>
    <row r="991" spans="1:4" hidden="1" x14ac:dyDescent="0.25">
      <c r="A991" s="1" t="s">
        <v>2356</v>
      </c>
      <c r="B991" s="1" t="s">
        <v>2357</v>
      </c>
      <c r="C991" s="1" t="s">
        <v>2358</v>
      </c>
      <c r="D991" s="14" t="s">
        <v>5527</v>
      </c>
    </row>
    <row r="992" spans="1:4" hidden="1" x14ac:dyDescent="0.25">
      <c r="A992" s="1" t="s">
        <v>2359</v>
      </c>
      <c r="B992" s="1" t="s">
        <v>2360</v>
      </c>
      <c r="C992" s="1" t="s">
        <v>2361</v>
      </c>
      <c r="D992" s="14" t="s">
        <v>5527</v>
      </c>
    </row>
    <row r="993" spans="1:4" hidden="1" x14ac:dyDescent="0.25">
      <c r="A993" s="1" t="s">
        <v>2362</v>
      </c>
      <c r="B993" s="1" t="s">
        <v>2363</v>
      </c>
      <c r="C993" s="1" t="s">
        <v>2364</v>
      </c>
      <c r="D993" s="14" t="s">
        <v>5527</v>
      </c>
    </row>
    <row r="994" spans="1:4" hidden="1" x14ac:dyDescent="0.25">
      <c r="A994" s="1" t="s">
        <v>2365</v>
      </c>
      <c r="B994" s="1" t="s">
        <v>2366</v>
      </c>
      <c r="C994" s="1" t="s">
        <v>2367</v>
      </c>
      <c r="D994" s="14" t="s">
        <v>5527</v>
      </c>
    </row>
    <row r="995" spans="1:4" hidden="1" x14ac:dyDescent="0.25">
      <c r="A995" s="1" t="s">
        <v>2368</v>
      </c>
      <c r="B995" s="1" t="s">
        <v>2369</v>
      </c>
      <c r="C995" s="1" t="s">
        <v>2370</v>
      </c>
      <c r="D995" s="14" t="s">
        <v>5527</v>
      </c>
    </row>
    <row r="996" spans="1:4" hidden="1" x14ac:dyDescent="0.25">
      <c r="A996" s="1" t="s">
        <v>2371</v>
      </c>
      <c r="B996" s="1" t="s">
        <v>2372</v>
      </c>
      <c r="C996" s="1" t="s">
        <v>2373</v>
      </c>
      <c r="D996" s="14" t="s">
        <v>5527</v>
      </c>
    </row>
    <row r="997" spans="1:4" hidden="1" x14ac:dyDescent="0.25">
      <c r="A997" s="1" t="s">
        <v>2374</v>
      </c>
      <c r="B997" s="1" t="s">
        <v>2375</v>
      </c>
      <c r="C997" s="1" t="s">
        <v>2376</v>
      </c>
      <c r="D997" s="14" t="s">
        <v>5527</v>
      </c>
    </row>
    <row r="998" spans="1:4" hidden="1" x14ac:dyDescent="0.25">
      <c r="A998" s="1" t="s">
        <v>2377</v>
      </c>
      <c r="B998" s="1" t="s">
        <v>2378</v>
      </c>
      <c r="C998" s="1" t="s">
        <v>2379</v>
      </c>
      <c r="D998" s="14" t="s">
        <v>5527</v>
      </c>
    </row>
    <row r="999" spans="1:4" hidden="1" x14ac:dyDescent="0.25">
      <c r="A999" s="1" t="s">
        <v>2380</v>
      </c>
      <c r="B999" s="1" t="s">
        <v>2381</v>
      </c>
      <c r="C999" s="1" t="s">
        <v>2382</v>
      </c>
      <c r="D999" s="14" t="s">
        <v>5527</v>
      </c>
    </row>
    <row r="1000" spans="1:4" hidden="1" x14ac:dyDescent="0.25">
      <c r="A1000" s="1" t="s">
        <v>2383</v>
      </c>
      <c r="B1000" s="1" t="s">
        <v>2384</v>
      </c>
      <c r="C1000" s="1" t="s">
        <v>2280</v>
      </c>
      <c r="D1000" s="14" t="s">
        <v>5527</v>
      </c>
    </row>
    <row r="1001" spans="1:4" hidden="1" x14ac:dyDescent="0.25">
      <c r="A1001" s="1" t="s">
        <v>2385</v>
      </c>
      <c r="B1001" s="1" t="s">
        <v>2386</v>
      </c>
      <c r="C1001" s="1" t="s">
        <v>2283</v>
      </c>
      <c r="D1001" s="14" t="s">
        <v>5527</v>
      </c>
    </row>
    <row r="1002" spans="1:4" hidden="1" x14ac:dyDescent="0.25">
      <c r="A1002" s="1" t="s">
        <v>2387</v>
      </c>
      <c r="B1002" s="1" t="s">
        <v>2388</v>
      </c>
      <c r="C1002" s="1" t="s">
        <v>2286</v>
      </c>
      <c r="D1002" s="14" t="s">
        <v>5527</v>
      </c>
    </row>
    <row r="1003" spans="1:4" hidden="1" x14ac:dyDescent="0.25">
      <c r="A1003" s="1" t="s">
        <v>2389</v>
      </c>
      <c r="B1003" s="1" t="s">
        <v>2390</v>
      </c>
      <c r="C1003" s="1" t="s">
        <v>2289</v>
      </c>
      <c r="D1003" s="14" t="s">
        <v>5527</v>
      </c>
    </row>
    <row r="1004" spans="1:4" hidden="1" x14ac:dyDescent="0.25">
      <c r="A1004" s="1" t="s">
        <v>2391</v>
      </c>
      <c r="B1004" s="1" t="s">
        <v>2392</v>
      </c>
      <c r="C1004" s="1" t="s">
        <v>2292</v>
      </c>
      <c r="D1004" s="14" t="s">
        <v>5527</v>
      </c>
    </row>
    <row r="1005" spans="1:4" hidden="1" x14ac:dyDescent="0.25">
      <c r="A1005" s="1" t="s">
        <v>2393</v>
      </c>
      <c r="B1005" s="1" t="s">
        <v>2394</v>
      </c>
      <c r="C1005" s="1" t="s">
        <v>2295</v>
      </c>
      <c r="D1005" s="14" t="s">
        <v>5527</v>
      </c>
    </row>
    <row r="1006" spans="1:4" hidden="1" x14ac:dyDescent="0.25">
      <c r="A1006" s="1" t="s">
        <v>2395</v>
      </c>
      <c r="B1006" s="1" t="s">
        <v>2396</v>
      </c>
      <c r="C1006" s="1" t="s">
        <v>2298</v>
      </c>
      <c r="D1006" s="14" t="s">
        <v>5527</v>
      </c>
    </row>
    <row r="1007" spans="1:4" hidden="1" x14ac:dyDescent="0.25">
      <c r="A1007" s="1" t="s">
        <v>2397</v>
      </c>
      <c r="B1007" s="1" t="s">
        <v>2398</v>
      </c>
      <c r="C1007" s="1" t="s">
        <v>2301</v>
      </c>
      <c r="D1007" s="14" t="s">
        <v>5527</v>
      </c>
    </row>
    <row r="1008" spans="1:4" hidden="1" x14ac:dyDescent="0.25">
      <c r="A1008" s="1" t="s">
        <v>2399</v>
      </c>
      <c r="B1008" s="1" t="s">
        <v>2400</v>
      </c>
      <c r="C1008" s="1" t="s">
        <v>2304</v>
      </c>
      <c r="D1008" s="14" t="s">
        <v>5527</v>
      </c>
    </row>
    <row r="1009" spans="1:4" hidden="1" x14ac:dyDescent="0.25">
      <c r="A1009" s="1" t="s">
        <v>2401</v>
      </c>
      <c r="B1009" s="1" t="s">
        <v>2402</v>
      </c>
      <c r="C1009" s="1" t="s">
        <v>2307</v>
      </c>
      <c r="D1009" s="14" t="s">
        <v>5527</v>
      </c>
    </row>
    <row r="1010" spans="1:4" hidden="1" x14ac:dyDescent="0.25">
      <c r="A1010" s="1" t="s">
        <v>2403</v>
      </c>
      <c r="B1010" s="1" t="s">
        <v>2404</v>
      </c>
      <c r="C1010" s="1" t="s">
        <v>2310</v>
      </c>
      <c r="D1010" s="14" t="s">
        <v>5527</v>
      </c>
    </row>
    <row r="1011" spans="1:4" hidden="1" x14ac:dyDescent="0.25">
      <c r="A1011" s="1" t="s">
        <v>2405</v>
      </c>
      <c r="B1011" s="1" t="s">
        <v>2406</v>
      </c>
      <c r="C1011" s="1" t="s">
        <v>2313</v>
      </c>
      <c r="D1011" s="14" t="s">
        <v>5527</v>
      </c>
    </row>
    <row r="1012" spans="1:4" hidden="1" x14ac:dyDescent="0.25">
      <c r="A1012" s="1" t="s">
        <v>2407</v>
      </c>
      <c r="B1012" s="1" t="s">
        <v>2408</v>
      </c>
      <c r="C1012" s="1" t="s">
        <v>2316</v>
      </c>
      <c r="D1012" s="14" t="s">
        <v>5527</v>
      </c>
    </row>
    <row r="1013" spans="1:4" hidden="1" x14ac:dyDescent="0.25">
      <c r="A1013" s="1" t="s">
        <v>2409</v>
      </c>
      <c r="B1013" s="1" t="s">
        <v>2410</v>
      </c>
      <c r="C1013" s="1" t="s">
        <v>2319</v>
      </c>
      <c r="D1013" s="14" t="s">
        <v>5527</v>
      </c>
    </row>
    <row r="1014" spans="1:4" hidden="1" x14ac:dyDescent="0.25">
      <c r="A1014" s="1" t="s">
        <v>2411</v>
      </c>
      <c r="B1014" s="1" t="s">
        <v>2412</v>
      </c>
      <c r="C1014" s="1" t="s">
        <v>2322</v>
      </c>
      <c r="D1014" s="14" t="s">
        <v>5527</v>
      </c>
    </row>
    <row r="1015" spans="1:4" hidden="1" x14ac:dyDescent="0.25">
      <c r="A1015" s="1" t="s">
        <v>2413</v>
      </c>
      <c r="B1015" s="1" t="s">
        <v>2414</v>
      </c>
      <c r="C1015" s="1" t="s">
        <v>2325</v>
      </c>
      <c r="D1015" s="14" t="s">
        <v>5527</v>
      </c>
    </row>
    <row r="1016" spans="1:4" hidden="1" x14ac:dyDescent="0.25">
      <c r="A1016" s="1" t="s">
        <v>2415</v>
      </c>
      <c r="B1016" s="1" t="s">
        <v>2416</v>
      </c>
      <c r="C1016" s="1" t="s">
        <v>2328</v>
      </c>
      <c r="D1016" s="14" t="s">
        <v>5527</v>
      </c>
    </row>
    <row r="1017" spans="1:4" hidden="1" x14ac:dyDescent="0.25">
      <c r="A1017" s="1" t="s">
        <v>2417</v>
      </c>
      <c r="B1017" s="1" t="s">
        <v>2418</v>
      </c>
      <c r="C1017" s="1" t="s">
        <v>2331</v>
      </c>
      <c r="D1017" s="14" t="s">
        <v>5527</v>
      </c>
    </row>
    <row r="1018" spans="1:4" hidden="1" x14ac:dyDescent="0.25">
      <c r="A1018" s="1" t="s">
        <v>2419</v>
      </c>
      <c r="B1018" s="1" t="s">
        <v>2420</v>
      </c>
      <c r="C1018" s="1" t="s">
        <v>2334</v>
      </c>
      <c r="D1018" s="14" t="s">
        <v>5527</v>
      </c>
    </row>
    <row r="1019" spans="1:4" hidden="1" x14ac:dyDescent="0.25">
      <c r="A1019" s="1" t="s">
        <v>2421</v>
      </c>
      <c r="B1019" s="1" t="s">
        <v>2422</v>
      </c>
      <c r="C1019" s="1" t="s">
        <v>2337</v>
      </c>
      <c r="D1019" s="14" t="s">
        <v>5527</v>
      </c>
    </row>
    <row r="1020" spans="1:4" hidden="1" x14ac:dyDescent="0.25">
      <c r="A1020" s="1" t="s">
        <v>2423</v>
      </c>
      <c r="B1020" s="1" t="s">
        <v>2424</v>
      </c>
      <c r="C1020" s="1" t="s">
        <v>2340</v>
      </c>
      <c r="D1020" s="14" t="s">
        <v>5527</v>
      </c>
    </row>
    <row r="1021" spans="1:4" hidden="1" x14ac:dyDescent="0.25">
      <c r="A1021" s="1" t="s">
        <v>2425</v>
      </c>
      <c r="B1021" s="1" t="s">
        <v>2426</v>
      </c>
      <c r="C1021" s="1" t="s">
        <v>2343</v>
      </c>
      <c r="D1021" s="14" t="s">
        <v>5527</v>
      </c>
    </row>
    <row r="1022" spans="1:4" hidden="1" x14ac:dyDescent="0.25">
      <c r="A1022" s="1" t="s">
        <v>2427</v>
      </c>
      <c r="B1022" s="1" t="s">
        <v>2428</v>
      </c>
      <c r="C1022" s="1" t="s">
        <v>2346</v>
      </c>
      <c r="D1022" s="14" t="s">
        <v>5527</v>
      </c>
    </row>
    <row r="1023" spans="1:4" hidden="1" x14ac:dyDescent="0.25">
      <c r="A1023" s="1" t="s">
        <v>2429</v>
      </c>
      <c r="B1023" s="1" t="s">
        <v>2430</v>
      </c>
      <c r="C1023" s="1" t="s">
        <v>2349</v>
      </c>
      <c r="D1023" s="14" t="s">
        <v>5527</v>
      </c>
    </row>
    <row r="1024" spans="1:4" hidden="1" x14ac:dyDescent="0.25">
      <c r="A1024" s="1" t="s">
        <v>2431</v>
      </c>
      <c r="B1024" s="1" t="s">
        <v>2432</v>
      </c>
      <c r="C1024" s="1" t="s">
        <v>2352</v>
      </c>
      <c r="D1024" s="14" t="s">
        <v>5527</v>
      </c>
    </row>
    <row r="1025" spans="1:4" hidden="1" x14ac:dyDescent="0.25">
      <c r="A1025" s="1" t="s">
        <v>2433</v>
      </c>
      <c r="B1025" s="1" t="s">
        <v>2434</v>
      </c>
      <c r="C1025" s="1" t="s">
        <v>2355</v>
      </c>
      <c r="D1025" s="14" t="s">
        <v>5527</v>
      </c>
    </row>
    <row r="1026" spans="1:4" hidden="1" x14ac:dyDescent="0.25">
      <c r="A1026" s="1" t="s">
        <v>2435</v>
      </c>
      <c r="B1026" s="1" t="s">
        <v>2436</v>
      </c>
      <c r="C1026" s="1" t="s">
        <v>2358</v>
      </c>
      <c r="D1026" s="14" t="s">
        <v>5527</v>
      </c>
    </row>
    <row r="1027" spans="1:4" hidden="1" x14ac:dyDescent="0.25">
      <c r="A1027" s="1" t="s">
        <v>2437</v>
      </c>
      <c r="B1027" s="1" t="s">
        <v>2438</v>
      </c>
      <c r="C1027" s="1" t="s">
        <v>2361</v>
      </c>
      <c r="D1027" s="14" t="s">
        <v>5527</v>
      </c>
    </row>
    <row r="1028" spans="1:4" hidden="1" x14ac:dyDescent="0.25">
      <c r="A1028" s="1" t="s">
        <v>2439</v>
      </c>
      <c r="B1028" s="1" t="s">
        <v>2440</v>
      </c>
      <c r="C1028" s="1" t="s">
        <v>2364</v>
      </c>
      <c r="D1028" s="14" t="s">
        <v>5527</v>
      </c>
    </row>
    <row r="1029" spans="1:4" hidden="1" x14ac:dyDescent="0.25">
      <c r="A1029" s="1" t="s">
        <v>2441</v>
      </c>
      <c r="B1029" s="1" t="s">
        <v>2442</v>
      </c>
      <c r="C1029" s="1" t="s">
        <v>2367</v>
      </c>
      <c r="D1029" s="14" t="s">
        <v>5527</v>
      </c>
    </row>
    <row r="1030" spans="1:4" hidden="1" x14ac:dyDescent="0.25">
      <c r="A1030" s="1" t="s">
        <v>2443</v>
      </c>
      <c r="B1030" s="1" t="s">
        <v>2444</v>
      </c>
      <c r="C1030" s="1" t="s">
        <v>2370</v>
      </c>
      <c r="D1030" s="14" t="s">
        <v>5527</v>
      </c>
    </row>
    <row r="1031" spans="1:4" hidden="1" x14ac:dyDescent="0.25">
      <c r="A1031" s="1" t="s">
        <v>2445</v>
      </c>
      <c r="B1031" s="1" t="s">
        <v>2446</v>
      </c>
      <c r="C1031" s="1" t="s">
        <v>2373</v>
      </c>
      <c r="D1031" s="14" t="s">
        <v>5527</v>
      </c>
    </row>
    <row r="1032" spans="1:4" hidden="1" x14ac:dyDescent="0.25">
      <c r="A1032" s="1" t="s">
        <v>2447</v>
      </c>
      <c r="B1032" s="1" t="s">
        <v>2448</v>
      </c>
      <c r="C1032" s="1" t="s">
        <v>2376</v>
      </c>
      <c r="D1032" s="14" t="s">
        <v>5527</v>
      </c>
    </row>
    <row r="1033" spans="1:4" hidden="1" x14ac:dyDescent="0.25">
      <c r="A1033" s="1" t="s">
        <v>2449</v>
      </c>
      <c r="B1033" s="1" t="s">
        <v>2450</v>
      </c>
      <c r="C1033" s="1" t="s">
        <v>2379</v>
      </c>
      <c r="D1033" s="14" t="s">
        <v>5527</v>
      </c>
    </row>
    <row r="1034" spans="1:4" hidden="1" x14ac:dyDescent="0.25">
      <c r="A1034" s="1" t="s">
        <v>2451</v>
      </c>
      <c r="B1034" s="1" t="s">
        <v>2452</v>
      </c>
      <c r="C1034" s="1" t="s">
        <v>2382</v>
      </c>
      <c r="D1034" s="14" t="s">
        <v>5527</v>
      </c>
    </row>
    <row r="1035" spans="1:4" hidden="1" x14ac:dyDescent="0.25">
      <c r="A1035" s="1" t="s">
        <v>2453</v>
      </c>
      <c r="B1035" s="1" t="s">
        <v>2454</v>
      </c>
      <c r="C1035" s="1" t="s">
        <v>2280</v>
      </c>
      <c r="D1035" s="14" t="s">
        <v>5527</v>
      </c>
    </row>
    <row r="1036" spans="1:4" hidden="1" x14ac:dyDescent="0.25">
      <c r="A1036" s="1" t="s">
        <v>2455</v>
      </c>
      <c r="B1036" s="1" t="s">
        <v>2456</v>
      </c>
      <c r="C1036" s="1" t="s">
        <v>2283</v>
      </c>
      <c r="D1036" s="14" t="s">
        <v>5527</v>
      </c>
    </row>
    <row r="1037" spans="1:4" hidden="1" x14ac:dyDescent="0.25">
      <c r="A1037" s="1" t="s">
        <v>2457</v>
      </c>
      <c r="B1037" s="1" t="s">
        <v>2458</v>
      </c>
      <c r="C1037" s="1" t="s">
        <v>2286</v>
      </c>
      <c r="D1037" s="14" t="s">
        <v>5527</v>
      </c>
    </row>
    <row r="1038" spans="1:4" hidden="1" x14ac:dyDescent="0.25">
      <c r="A1038" s="1" t="s">
        <v>2459</v>
      </c>
      <c r="B1038" s="1" t="s">
        <v>2460</v>
      </c>
      <c r="C1038" s="1" t="s">
        <v>2289</v>
      </c>
      <c r="D1038" s="14" t="s">
        <v>5527</v>
      </c>
    </row>
    <row r="1039" spans="1:4" hidden="1" x14ac:dyDescent="0.25">
      <c r="A1039" s="1" t="s">
        <v>2461</v>
      </c>
      <c r="B1039" s="1" t="s">
        <v>2462</v>
      </c>
      <c r="C1039" s="1" t="s">
        <v>2292</v>
      </c>
      <c r="D1039" s="14" t="s">
        <v>5527</v>
      </c>
    </row>
    <row r="1040" spans="1:4" hidden="1" x14ac:dyDescent="0.25">
      <c r="A1040" s="1" t="s">
        <v>2463</v>
      </c>
      <c r="B1040" s="1" t="s">
        <v>2464</v>
      </c>
      <c r="C1040" s="1" t="s">
        <v>2295</v>
      </c>
      <c r="D1040" s="14" t="s">
        <v>5527</v>
      </c>
    </row>
    <row r="1041" spans="1:4" hidden="1" x14ac:dyDescent="0.25">
      <c r="A1041" s="1" t="s">
        <v>2465</v>
      </c>
      <c r="B1041" s="1" t="s">
        <v>2466</v>
      </c>
      <c r="C1041" s="1" t="s">
        <v>2298</v>
      </c>
      <c r="D1041" s="14" t="s">
        <v>5527</v>
      </c>
    </row>
    <row r="1042" spans="1:4" hidden="1" x14ac:dyDescent="0.25">
      <c r="A1042" s="1" t="s">
        <v>2467</v>
      </c>
      <c r="B1042" s="1" t="s">
        <v>2468</v>
      </c>
      <c r="C1042" s="1" t="s">
        <v>2301</v>
      </c>
      <c r="D1042" s="14" t="s">
        <v>5527</v>
      </c>
    </row>
    <row r="1043" spans="1:4" hidden="1" x14ac:dyDescent="0.25">
      <c r="A1043" s="1" t="s">
        <v>2469</v>
      </c>
      <c r="B1043" s="1" t="s">
        <v>2470</v>
      </c>
      <c r="C1043" s="1" t="s">
        <v>2304</v>
      </c>
      <c r="D1043" s="14" t="s">
        <v>5527</v>
      </c>
    </row>
    <row r="1044" spans="1:4" hidden="1" x14ac:dyDescent="0.25">
      <c r="A1044" s="1" t="s">
        <v>2471</v>
      </c>
      <c r="B1044" s="1" t="s">
        <v>2472</v>
      </c>
      <c r="C1044" s="1" t="s">
        <v>2307</v>
      </c>
      <c r="D1044" s="14" t="s">
        <v>5527</v>
      </c>
    </row>
    <row r="1045" spans="1:4" hidden="1" x14ac:dyDescent="0.25">
      <c r="A1045" s="1" t="s">
        <v>2473</v>
      </c>
      <c r="B1045" s="1" t="s">
        <v>2474</v>
      </c>
      <c r="C1045" s="1" t="s">
        <v>2310</v>
      </c>
      <c r="D1045" s="14" t="s">
        <v>5527</v>
      </c>
    </row>
    <row r="1046" spans="1:4" hidden="1" x14ac:dyDescent="0.25">
      <c r="A1046" s="1" t="s">
        <v>2475</v>
      </c>
      <c r="B1046" s="1" t="s">
        <v>2476</v>
      </c>
      <c r="C1046" s="1" t="s">
        <v>2313</v>
      </c>
      <c r="D1046" s="14" t="s">
        <v>5527</v>
      </c>
    </row>
    <row r="1047" spans="1:4" hidden="1" x14ac:dyDescent="0.25">
      <c r="A1047" s="1" t="s">
        <v>2477</v>
      </c>
      <c r="B1047" s="1" t="s">
        <v>2478</v>
      </c>
      <c r="C1047" s="1" t="s">
        <v>2316</v>
      </c>
      <c r="D1047" s="14" t="s">
        <v>5527</v>
      </c>
    </row>
    <row r="1048" spans="1:4" hidden="1" x14ac:dyDescent="0.25">
      <c r="A1048" s="1" t="s">
        <v>2479</v>
      </c>
      <c r="B1048" s="1" t="s">
        <v>2480</v>
      </c>
      <c r="C1048" s="1" t="s">
        <v>2319</v>
      </c>
      <c r="D1048" s="14" t="s">
        <v>5527</v>
      </c>
    </row>
    <row r="1049" spans="1:4" hidden="1" x14ac:dyDescent="0.25">
      <c r="A1049" s="1" t="s">
        <v>2481</v>
      </c>
      <c r="B1049" s="1" t="s">
        <v>2482</v>
      </c>
      <c r="C1049" s="1" t="s">
        <v>2322</v>
      </c>
      <c r="D1049" s="14" t="s">
        <v>5527</v>
      </c>
    </row>
    <row r="1050" spans="1:4" hidden="1" x14ac:dyDescent="0.25">
      <c r="A1050" s="1" t="s">
        <v>2483</v>
      </c>
      <c r="B1050" s="1" t="s">
        <v>2484</v>
      </c>
      <c r="C1050" s="1" t="s">
        <v>2325</v>
      </c>
      <c r="D1050" s="14" t="s">
        <v>5527</v>
      </c>
    </row>
    <row r="1051" spans="1:4" hidden="1" x14ac:dyDescent="0.25">
      <c r="A1051" s="1" t="s">
        <v>2485</v>
      </c>
      <c r="B1051" s="1" t="s">
        <v>2486</v>
      </c>
      <c r="C1051" s="1" t="s">
        <v>2328</v>
      </c>
      <c r="D1051" s="14" t="s">
        <v>5527</v>
      </c>
    </row>
    <row r="1052" spans="1:4" hidden="1" x14ac:dyDescent="0.25">
      <c r="A1052" s="1" t="s">
        <v>2487</v>
      </c>
      <c r="B1052" s="1" t="s">
        <v>2488</v>
      </c>
      <c r="C1052" s="1" t="s">
        <v>2331</v>
      </c>
      <c r="D1052" s="14" t="s">
        <v>5527</v>
      </c>
    </row>
    <row r="1053" spans="1:4" hidden="1" x14ac:dyDescent="0.25">
      <c r="A1053" s="1" t="s">
        <v>2489</v>
      </c>
      <c r="B1053" s="1" t="s">
        <v>2490</v>
      </c>
      <c r="C1053" s="1" t="s">
        <v>2334</v>
      </c>
      <c r="D1053" s="14" t="s">
        <v>5527</v>
      </c>
    </row>
    <row r="1054" spans="1:4" hidden="1" x14ac:dyDescent="0.25">
      <c r="A1054" s="1" t="s">
        <v>2491</v>
      </c>
      <c r="B1054" s="1" t="s">
        <v>2492</v>
      </c>
      <c r="C1054" s="1" t="s">
        <v>2337</v>
      </c>
      <c r="D1054" s="14" t="s">
        <v>5527</v>
      </c>
    </row>
    <row r="1055" spans="1:4" hidden="1" x14ac:dyDescent="0.25">
      <c r="A1055" s="1" t="s">
        <v>2493</v>
      </c>
      <c r="B1055" s="1" t="s">
        <v>2494</v>
      </c>
      <c r="C1055" s="1" t="s">
        <v>2340</v>
      </c>
      <c r="D1055" s="14" t="s">
        <v>5527</v>
      </c>
    </row>
    <row r="1056" spans="1:4" hidden="1" x14ac:dyDescent="0.25">
      <c r="A1056" s="1" t="s">
        <v>2495</v>
      </c>
      <c r="B1056" s="1" t="s">
        <v>2496</v>
      </c>
      <c r="C1056" s="1" t="s">
        <v>2343</v>
      </c>
      <c r="D1056" s="14" t="s">
        <v>5527</v>
      </c>
    </row>
    <row r="1057" spans="1:4" hidden="1" x14ac:dyDescent="0.25">
      <c r="A1057" s="1" t="s">
        <v>2497</v>
      </c>
      <c r="B1057" s="1" t="s">
        <v>2498</v>
      </c>
      <c r="C1057" s="1" t="s">
        <v>2346</v>
      </c>
      <c r="D1057" s="14" t="s">
        <v>5527</v>
      </c>
    </row>
    <row r="1058" spans="1:4" hidden="1" x14ac:dyDescent="0.25">
      <c r="A1058" s="1" t="s">
        <v>2499</v>
      </c>
      <c r="B1058" s="1" t="s">
        <v>2500</v>
      </c>
      <c r="C1058" s="1" t="s">
        <v>2349</v>
      </c>
      <c r="D1058" s="14" t="s">
        <v>5527</v>
      </c>
    </row>
    <row r="1059" spans="1:4" hidden="1" x14ac:dyDescent="0.25">
      <c r="A1059" s="1" t="s">
        <v>2501</v>
      </c>
      <c r="B1059" s="1" t="s">
        <v>2502</v>
      </c>
      <c r="C1059" s="1" t="s">
        <v>2352</v>
      </c>
      <c r="D1059" s="14" t="s">
        <v>5527</v>
      </c>
    </row>
    <row r="1060" spans="1:4" hidden="1" x14ac:dyDescent="0.25">
      <c r="A1060" s="1" t="s">
        <v>2503</v>
      </c>
      <c r="B1060" s="1" t="s">
        <v>2504</v>
      </c>
      <c r="C1060" s="1" t="s">
        <v>2355</v>
      </c>
      <c r="D1060" s="14" t="s">
        <v>5527</v>
      </c>
    </row>
    <row r="1061" spans="1:4" hidden="1" x14ac:dyDescent="0.25">
      <c r="A1061" s="1" t="s">
        <v>2505</v>
      </c>
      <c r="B1061" s="1" t="s">
        <v>2506</v>
      </c>
      <c r="C1061" s="1" t="s">
        <v>2358</v>
      </c>
      <c r="D1061" s="14" t="s">
        <v>5527</v>
      </c>
    </row>
    <row r="1062" spans="1:4" hidden="1" x14ac:dyDescent="0.25">
      <c r="A1062" s="1" t="s">
        <v>2507</v>
      </c>
      <c r="B1062" s="1" t="s">
        <v>2508</v>
      </c>
      <c r="C1062" s="1" t="s">
        <v>2361</v>
      </c>
      <c r="D1062" s="14" t="s">
        <v>5527</v>
      </c>
    </row>
    <row r="1063" spans="1:4" hidden="1" x14ac:dyDescent="0.25">
      <c r="A1063" s="1" t="s">
        <v>2509</v>
      </c>
      <c r="B1063" s="1" t="s">
        <v>2510</v>
      </c>
      <c r="C1063" s="1" t="s">
        <v>2364</v>
      </c>
      <c r="D1063" s="14" t="s">
        <v>5527</v>
      </c>
    </row>
    <row r="1064" spans="1:4" hidden="1" x14ac:dyDescent="0.25">
      <c r="A1064" s="1" t="s">
        <v>2511</v>
      </c>
      <c r="B1064" s="1" t="s">
        <v>2512</v>
      </c>
      <c r="C1064" s="1" t="s">
        <v>2367</v>
      </c>
      <c r="D1064" s="14" t="s">
        <v>5527</v>
      </c>
    </row>
    <row r="1065" spans="1:4" hidden="1" x14ac:dyDescent="0.25">
      <c r="A1065" s="1" t="s">
        <v>2513</v>
      </c>
      <c r="B1065" s="1" t="s">
        <v>2514</v>
      </c>
      <c r="C1065" s="1" t="s">
        <v>2370</v>
      </c>
      <c r="D1065" s="14" t="s">
        <v>5527</v>
      </c>
    </row>
    <row r="1066" spans="1:4" hidden="1" x14ac:dyDescent="0.25">
      <c r="A1066" s="1" t="s">
        <v>2515</v>
      </c>
      <c r="B1066" s="1" t="s">
        <v>2516</v>
      </c>
      <c r="C1066" s="1" t="s">
        <v>2373</v>
      </c>
      <c r="D1066" s="14" t="s">
        <v>5527</v>
      </c>
    </row>
    <row r="1067" spans="1:4" hidden="1" x14ac:dyDescent="0.25">
      <c r="A1067" s="1" t="s">
        <v>2517</v>
      </c>
      <c r="B1067" s="1" t="s">
        <v>2518</v>
      </c>
      <c r="C1067" s="1" t="s">
        <v>2376</v>
      </c>
      <c r="D1067" s="14" t="s">
        <v>5527</v>
      </c>
    </row>
    <row r="1068" spans="1:4" hidden="1" x14ac:dyDescent="0.25">
      <c r="A1068" s="1" t="s">
        <v>2519</v>
      </c>
      <c r="B1068" s="1" t="s">
        <v>2520</v>
      </c>
      <c r="C1068" s="1" t="s">
        <v>2379</v>
      </c>
      <c r="D1068" s="14" t="s">
        <v>5527</v>
      </c>
    </row>
    <row r="1069" spans="1:4" hidden="1" x14ac:dyDescent="0.25">
      <c r="A1069" s="1" t="s">
        <v>2521</v>
      </c>
      <c r="B1069" s="1" t="s">
        <v>2522</v>
      </c>
      <c r="C1069" s="1" t="s">
        <v>2382</v>
      </c>
      <c r="D1069" s="14" t="s">
        <v>5527</v>
      </c>
    </row>
    <row r="1070" spans="1:4" hidden="1" x14ac:dyDescent="0.25">
      <c r="A1070" s="1" t="s">
        <v>2523</v>
      </c>
      <c r="B1070" s="1" t="s">
        <v>2524</v>
      </c>
      <c r="C1070" s="1" t="s">
        <v>2525</v>
      </c>
      <c r="D1070" s="14" t="s">
        <v>5528</v>
      </c>
    </row>
    <row r="1071" spans="1:4" hidden="1" x14ac:dyDescent="0.25">
      <c r="A1071" s="1" t="s">
        <v>2526</v>
      </c>
      <c r="B1071" s="1" t="s">
        <v>2527</v>
      </c>
      <c r="C1071" s="1" t="s">
        <v>2528</v>
      </c>
      <c r="D1071" s="14" t="s">
        <v>5528</v>
      </c>
    </row>
    <row r="1072" spans="1:4" hidden="1" x14ac:dyDescent="0.25">
      <c r="A1072" s="1" t="s">
        <v>2529</v>
      </c>
      <c r="B1072" s="1" t="s">
        <v>2530</v>
      </c>
      <c r="C1072" s="1" t="s">
        <v>2531</v>
      </c>
      <c r="D1072" s="14" t="s">
        <v>5528</v>
      </c>
    </row>
    <row r="1073" spans="1:4" hidden="1" x14ac:dyDescent="0.25">
      <c r="A1073" s="1" t="s">
        <v>2532</v>
      </c>
      <c r="B1073" s="1" t="s">
        <v>2533</v>
      </c>
      <c r="C1073" s="1" t="s">
        <v>2534</v>
      </c>
      <c r="D1073" s="14" t="s">
        <v>5528</v>
      </c>
    </row>
    <row r="1074" spans="1:4" hidden="1" x14ac:dyDescent="0.25">
      <c r="A1074" s="1" t="s">
        <v>2535</v>
      </c>
      <c r="B1074" s="1" t="s">
        <v>2536</v>
      </c>
      <c r="C1074" s="1" t="s">
        <v>2537</v>
      </c>
      <c r="D1074" s="14" t="s">
        <v>5528</v>
      </c>
    </row>
    <row r="1075" spans="1:4" hidden="1" x14ac:dyDescent="0.25">
      <c r="A1075" s="1" t="s">
        <v>2538</v>
      </c>
      <c r="B1075" s="1" t="s">
        <v>2539</v>
      </c>
      <c r="C1075" s="1" t="s">
        <v>2540</v>
      </c>
      <c r="D1075" s="14" t="s">
        <v>5528</v>
      </c>
    </row>
    <row r="1076" spans="1:4" hidden="1" x14ac:dyDescent="0.25">
      <c r="A1076" s="1" t="s">
        <v>2541</v>
      </c>
      <c r="B1076" s="1" t="s">
        <v>2542</v>
      </c>
      <c r="C1076" s="1" t="s">
        <v>2543</v>
      </c>
      <c r="D1076" s="14" t="s">
        <v>5528</v>
      </c>
    </row>
    <row r="1077" spans="1:4" hidden="1" x14ac:dyDescent="0.25">
      <c r="A1077" s="1" t="s">
        <v>2544</v>
      </c>
      <c r="B1077" s="1" t="s">
        <v>2545</v>
      </c>
      <c r="C1077" s="1" t="s">
        <v>2546</v>
      </c>
      <c r="D1077" s="14" t="s">
        <v>5528</v>
      </c>
    </row>
    <row r="1078" spans="1:4" hidden="1" x14ac:dyDescent="0.25">
      <c r="A1078" s="1" t="s">
        <v>2547</v>
      </c>
      <c r="B1078" s="1" t="s">
        <v>2548</v>
      </c>
      <c r="C1078" s="1" t="s">
        <v>2549</v>
      </c>
      <c r="D1078" s="14" t="s">
        <v>5528</v>
      </c>
    </row>
    <row r="1079" spans="1:4" hidden="1" x14ac:dyDescent="0.25">
      <c r="A1079" s="1" t="s">
        <v>2550</v>
      </c>
      <c r="B1079" s="1" t="s">
        <v>2551</v>
      </c>
      <c r="C1079" s="1" t="s">
        <v>2552</v>
      </c>
      <c r="D1079" s="14" t="s">
        <v>5528</v>
      </c>
    </row>
    <row r="1080" spans="1:4" hidden="1" x14ac:dyDescent="0.25">
      <c r="A1080" s="1" t="s">
        <v>2553</v>
      </c>
      <c r="B1080" s="1" t="s">
        <v>2554</v>
      </c>
      <c r="C1080" s="1" t="s">
        <v>2555</v>
      </c>
      <c r="D1080" s="14" t="s">
        <v>5528</v>
      </c>
    </row>
    <row r="1081" spans="1:4" hidden="1" x14ac:dyDescent="0.25">
      <c r="A1081" s="1" t="s">
        <v>2556</v>
      </c>
      <c r="B1081" s="1" t="s">
        <v>2557</v>
      </c>
      <c r="C1081" s="1" t="s">
        <v>2558</v>
      </c>
      <c r="D1081" s="14" t="s">
        <v>5528</v>
      </c>
    </row>
    <row r="1082" spans="1:4" hidden="1" x14ac:dyDescent="0.25">
      <c r="A1082" s="1" t="s">
        <v>2559</v>
      </c>
      <c r="B1082" s="1" t="s">
        <v>2560</v>
      </c>
      <c r="C1082" s="1" t="s">
        <v>2561</v>
      </c>
      <c r="D1082" s="14" t="s">
        <v>5528</v>
      </c>
    </row>
    <row r="1083" spans="1:4" hidden="1" x14ac:dyDescent="0.25">
      <c r="A1083" s="1" t="s">
        <v>2562</v>
      </c>
      <c r="B1083" s="1" t="s">
        <v>2563</v>
      </c>
      <c r="C1083" s="1" t="s">
        <v>2564</v>
      </c>
      <c r="D1083" s="14" t="s">
        <v>5528</v>
      </c>
    </row>
    <row r="1084" spans="1:4" hidden="1" x14ac:dyDescent="0.25">
      <c r="A1084" s="1" t="s">
        <v>2565</v>
      </c>
      <c r="B1084" s="1" t="s">
        <v>2566</v>
      </c>
      <c r="C1084" s="1" t="s">
        <v>2567</v>
      </c>
      <c r="D1084" s="14" t="s">
        <v>5528</v>
      </c>
    </row>
    <row r="1085" spans="1:4" hidden="1" x14ac:dyDescent="0.25">
      <c r="A1085" s="1" t="s">
        <v>2568</v>
      </c>
      <c r="B1085" s="1" t="s">
        <v>2569</v>
      </c>
      <c r="C1085" s="1" t="s">
        <v>2570</v>
      </c>
      <c r="D1085" s="14" t="s">
        <v>5528</v>
      </c>
    </row>
    <row r="1086" spans="1:4" hidden="1" x14ac:dyDescent="0.25">
      <c r="A1086" s="1" t="s">
        <v>2571</v>
      </c>
      <c r="B1086" s="1" t="s">
        <v>2572</v>
      </c>
      <c r="C1086" s="1" t="s">
        <v>2573</v>
      </c>
      <c r="D1086" s="14" t="s">
        <v>5528</v>
      </c>
    </row>
    <row r="1087" spans="1:4" hidden="1" x14ac:dyDescent="0.25">
      <c r="A1087" s="1" t="s">
        <v>2574</v>
      </c>
      <c r="B1087" s="1" t="s">
        <v>2575</v>
      </c>
      <c r="C1087" s="1" t="s">
        <v>2576</v>
      </c>
      <c r="D1087" s="14" t="s">
        <v>5528</v>
      </c>
    </row>
    <row r="1088" spans="1:4" hidden="1" x14ac:dyDescent="0.25">
      <c r="A1088" s="1" t="s">
        <v>2577</v>
      </c>
      <c r="B1088" s="1" t="s">
        <v>2578</v>
      </c>
      <c r="C1088" s="1" t="s">
        <v>2579</v>
      </c>
      <c r="D1088" s="14" t="s">
        <v>5528</v>
      </c>
    </row>
    <row r="1089" spans="1:4" hidden="1" x14ac:dyDescent="0.25">
      <c r="A1089" s="1" t="s">
        <v>2580</v>
      </c>
      <c r="B1089" s="1" t="s">
        <v>2581</v>
      </c>
      <c r="C1089" s="1" t="s">
        <v>2582</v>
      </c>
      <c r="D1089" s="14" t="s">
        <v>5528</v>
      </c>
    </row>
    <row r="1090" spans="1:4" hidden="1" x14ac:dyDescent="0.25">
      <c r="A1090" s="1" t="s">
        <v>2583</v>
      </c>
      <c r="B1090" s="1" t="s">
        <v>2584</v>
      </c>
      <c r="C1090" s="1" t="s">
        <v>2585</v>
      </c>
      <c r="D1090" s="14" t="s">
        <v>5528</v>
      </c>
    </row>
    <row r="1091" spans="1:4" hidden="1" x14ac:dyDescent="0.25">
      <c r="A1091" s="1" t="s">
        <v>2586</v>
      </c>
      <c r="B1091" s="1" t="s">
        <v>2587</v>
      </c>
      <c r="C1091" s="1" t="s">
        <v>2588</v>
      </c>
      <c r="D1091" s="14" t="s">
        <v>5528</v>
      </c>
    </row>
    <row r="1092" spans="1:4" hidden="1" x14ac:dyDescent="0.25">
      <c r="A1092" s="1" t="s">
        <v>2589</v>
      </c>
      <c r="B1092" s="1" t="s">
        <v>2590</v>
      </c>
      <c r="C1092" s="1" t="s">
        <v>2591</v>
      </c>
      <c r="D1092" s="14" t="s">
        <v>5528</v>
      </c>
    </row>
    <row r="1093" spans="1:4" hidden="1" x14ac:dyDescent="0.25">
      <c r="A1093" s="1" t="s">
        <v>2592</v>
      </c>
      <c r="B1093" s="1" t="s">
        <v>2593</v>
      </c>
      <c r="C1093" s="1" t="s">
        <v>2594</v>
      </c>
      <c r="D1093" s="14" t="s">
        <v>5528</v>
      </c>
    </row>
    <row r="1094" spans="1:4" hidden="1" x14ac:dyDescent="0.25">
      <c r="A1094" s="1" t="s">
        <v>2595</v>
      </c>
      <c r="B1094" s="1" t="s">
        <v>2596</v>
      </c>
      <c r="C1094" s="1" t="s">
        <v>2597</v>
      </c>
      <c r="D1094" s="14" t="s">
        <v>5528</v>
      </c>
    </row>
    <row r="1095" spans="1:4" hidden="1" x14ac:dyDescent="0.25">
      <c r="A1095" s="1" t="s">
        <v>2598</v>
      </c>
      <c r="B1095" s="1" t="s">
        <v>2599</v>
      </c>
      <c r="C1095" s="1" t="s">
        <v>2600</v>
      </c>
      <c r="D1095" s="14" t="s">
        <v>5528</v>
      </c>
    </row>
    <row r="1096" spans="1:4" hidden="1" x14ac:dyDescent="0.25">
      <c r="A1096" s="1" t="s">
        <v>2601</v>
      </c>
      <c r="B1096" s="1" t="s">
        <v>2602</v>
      </c>
      <c r="C1096" s="1" t="s">
        <v>2603</v>
      </c>
      <c r="D1096" s="14" t="s">
        <v>5528</v>
      </c>
    </row>
    <row r="1097" spans="1:4" hidden="1" x14ac:dyDescent="0.25">
      <c r="A1097" s="1" t="s">
        <v>2604</v>
      </c>
      <c r="B1097" s="1" t="s">
        <v>2605</v>
      </c>
      <c r="C1097" s="1" t="s">
        <v>2606</v>
      </c>
      <c r="D1097" s="14" t="s">
        <v>5528</v>
      </c>
    </row>
    <row r="1098" spans="1:4" hidden="1" x14ac:dyDescent="0.25">
      <c r="A1098" s="1" t="s">
        <v>2607</v>
      </c>
      <c r="B1098" s="1" t="s">
        <v>2608</v>
      </c>
      <c r="C1098" s="1" t="s">
        <v>2609</v>
      </c>
      <c r="D1098" s="14" t="s">
        <v>5528</v>
      </c>
    </row>
    <row r="1099" spans="1:4" hidden="1" x14ac:dyDescent="0.25">
      <c r="A1099" s="1" t="s">
        <v>2610</v>
      </c>
      <c r="B1099" s="1" t="s">
        <v>2611</v>
      </c>
      <c r="C1099" s="1" t="s">
        <v>2612</v>
      </c>
      <c r="D1099" s="14" t="s">
        <v>5528</v>
      </c>
    </row>
    <row r="1100" spans="1:4" hidden="1" x14ac:dyDescent="0.25">
      <c r="A1100" s="1" t="s">
        <v>2613</v>
      </c>
      <c r="B1100" s="1" t="s">
        <v>2614</v>
      </c>
      <c r="C1100" s="1" t="s">
        <v>2615</v>
      </c>
      <c r="D1100" s="14" t="s">
        <v>5528</v>
      </c>
    </row>
    <row r="1101" spans="1:4" hidden="1" x14ac:dyDescent="0.25">
      <c r="A1101" s="1" t="s">
        <v>2616</v>
      </c>
      <c r="B1101" s="1" t="s">
        <v>2617</v>
      </c>
      <c r="C1101" s="1" t="s">
        <v>2618</v>
      </c>
      <c r="D1101" s="14" t="s">
        <v>5528</v>
      </c>
    </row>
    <row r="1102" spans="1:4" hidden="1" x14ac:dyDescent="0.25">
      <c r="A1102" s="1" t="s">
        <v>2619</v>
      </c>
      <c r="B1102" s="1" t="s">
        <v>2620</v>
      </c>
      <c r="C1102" s="1" t="s">
        <v>2621</v>
      </c>
      <c r="D1102" s="14" t="s">
        <v>5528</v>
      </c>
    </row>
    <row r="1103" spans="1:4" hidden="1" x14ac:dyDescent="0.25">
      <c r="A1103" s="1" t="s">
        <v>2622</v>
      </c>
      <c r="B1103" s="1" t="s">
        <v>2623</v>
      </c>
      <c r="C1103" s="1" t="s">
        <v>2624</v>
      </c>
      <c r="D1103" s="14" t="s">
        <v>5528</v>
      </c>
    </row>
    <row r="1104" spans="1:4" hidden="1" x14ac:dyDescent="0.25">
      <c r="A1104" s="1" t="s">
        <v>2625</v>
      </c>
      <c r="B1104" s="1" t="s">
        <v>2626</v>
      </c>
      <c r="C1104" s="1" t="s">
        <v>2627</v>
      </c>
      <c r="D1104" s="14" t="s">
        <v>5528</v>
      </c>
    </row>
    <row r="1105" spans="1:4" hidden="1" x14ac:dyDescent="0.25">
      <c r="A1105" s="1" t="s">
        <v>2628</v>
      </c>
      <c r="B1105" s="1" t="s">
        <v>2629</v>
      </c>
      <c r="C1105" s="1" t="s">
        <v>2525</v>
      </c>
      <c r="D1105" s="14" t="s">
        <v>5528</v>
      </c>
    </row>
    <row r="1106" spans="1:4" hidden="1" x14ac:dyDescent="0.25">
      <c r="A1106" s="1" t="s">
        <v>2630</v>
      </c>
      <c r="B1106" s="1" t="s">
        <v>2631</v>
      </c>
      <c r="C1106" s="1" t="s">
        <v>2528</v>
      </c>
      <c r="D1106" s="14" t="s">
        <v>5528</v>
      </c>
    </row>
    <row r="1107" spans="1:4" hidden="1" x14ac:dyDescent="0.25">
      <c r="A1107" s="1" t="s">
        <v>2632</v>
      </c>
      <c r="B1107" s="1" t="s">
        <v>2633</v>
      </c>
      <c r="C1107" s="1" t="s">
        <v>2531</v>
      </c>
      <c r="D1107" s="14" t="s">
        <v>5528</v>
      </c>
    </row>
    <row r="1108" spans="1:4" hidden="1" x14ac:dyDescent="0.25">
      <c r="A1108" s="1" t="s">
        <v>2634</v>
      </c>
      <c r="B1108" s="1" t="s">
        <v>2635</v>
      </c>
      <c r="C1108" s="1" t="s">
        <v>2534</v>
      </c>
      <c r="D1108" s="14" t="s">
        <v>5528</v>
      </c>
    </row>
    <row r="1109" spans="1:4" hidden="1" x14ac:dyDescent="0.25">
      <c r="A1109" s="1" t="s">
        <v>2636</v>
      </c>
      <c r="B1109" s="1" t="s">
        <v>2637</v>
      </c>
      <c r="C1109" s="1" t="s">
        <v>2537</v>
      </c>
      <c r="D1109" s="14" t="s">
        <v>5528</v>
      </c>
    </row>
    <row r="1110" spans="1:4" hidden="1" x14ac:dyDescent="0.25">
      <c r="A1110" s="1" t="s">
        <v>2638</v>
      </c>
      <c r="B1110" s="1" t="s">
        <v>2639</v>
      </c>
      <c r="C1110" s="1" t="s">
        <v>2540</v>
      </c>
      <c r="D1110" s="14" t="s">
        <v>5528</v>
      </c>
    </row>
    <row r="1111" spans="1:4" hidden="1" x14ac:dyDescent="0.25">
      <c r="A1111" s="1" t="s">
        <v>2640</v>
      </c>
      <c r="B1111" s="1" t="s">
        <v>2641</v>
      </c>
      <c r="C1111" s="1" t="s">
        <v>2543</v>
      </c>
      <c r="D1111" s="14" t="s">
        <v>5528</v>
      </c>
    </row>
    <row r="1112" spans="1:4" hidden="1" x14ac:dyDescent="0.25">
      <c r="A1112" s="1" t="s">
        <v>2642</v>
      </c>
      <c r="B1112" s="1" t="s">
        <v>2643</v>
      </c>
      <c r="C1112" s="1" t="s">
        <v>2546</v>
      </c>
      <c r="D1112" s="14" t="s">
        <v>5528</v>
      </c>
    </row>
    <row r="1113" spans="1:4" hidden="1" x14ac:dyDescent="0.25">
      <c r="A1113" s="1" t="s">
        <v>2644</v>
      </c>
      <c r="B1113" s="1" t="s">
        <v>2645</v>
      </c>
      <c r="C1113" s="1" t="s">
        <v>2549</v>
      </c>
      <c r="D1113" s="14" t="s">
        <v>5528</v>
      </c>
    </row>
    <row r="1114" spans="1:4" hidden="1" x14ac:dyDescent="0.25">
      <c r="A1114" s="1" t="s">
        <v>2646</v>
      </c>
      <c r="B1114" s="1" t="s">
        <v>2647</v>
      </c>
      <c r="C1114" s="1" t="s">
        <v>2552</v>
      </c>
      <c r="D1114" s="14" t="s">
        <v>5528</v>
      </c>
    </row>
    <row r="1115" spans="1:4" hidden="1" x14ac:dyDescent="0.25">
      <c r="A1115" s="1" t="s">
        <v>2648</v>
      </c>
      <c r="B1115" s="1" t="s">
        <v>2649</v>
      </c>
      <c r="C1115" s="1" t="s">
        <v>2555</v>
      </c>
      <c r="D1115" s="14" t="s">
        <v>5528</v>
      </c>
    </row>
    <row r="1116" spans="1:4" hidden="1" x14ac:dyDescent="0.25">
      <c r="A1116" s="1" t="s">
        <v>2650</v>
      </c>
      <c r="B1116" s="1" t="s">
        <v>2651</v>
      </c>
      <c r="C1116" s="1" t="s">
        <v>2558</v>
      </c>
      <c r="D1116" s="14" t="s">
        <v>5528</v>
      </c>
    </row>
    <row r="1117" spans="1:4" hidden="1" x14ac:dyDescent="0.25">
      <c r="A1117" s="1" t="s">
        <v>2652</v>
      </c>
      <c r="B1117" s="1" t="s">
        <v>2653</v>
      </c>
      <c r="C1117" s="1" t="s">
        <v>2561</v>
      </c>
      <c r="D1117" s="14" t="s">
        <v>5528</v>
      </c>
    </row>
    <row r="1118" spans="1:4" hidden="1" x14ac:dyDescent="0.25">
      <c r="A1118" s="1" t="s">
        <v>2654</v>
      </c>
      <c r="B1118" s="1" t="s">
        <v>2655</v>
      </c>
      <c r="C1118" s="1" t="s">
        <v>2564</v>
      </c>
      <c r="D1118" s="14" t="s">
        <v>5528</v>
      </c>
    </row>
    <row r="1119" spans="1:4" hidden="1" x14ac:dyDescent="0.25">
      <c r="A1119" s="1" t="s">
        <v>2656</v>
      </c>
      <c r="B1119" s="1" t="s">
        <v>2657</v>
      </c>
      <c r="C1119" s="1" t="s">
        <v>2567</v>
      </c>
      <c r="D1119" s="14" t="s">
        <v>5528</v>
      </c>
    </row>
    <row r="1120" spans="1:4" hidden="1" x14ac:dyDescent="0.25">
      <c r="A1120" s="1" t="s">
        <v>2658</v>
      </c>
      <c r="B1120" s="1" t="s">
        <v>2659</v>
      </c>
      <c r="C1120" s="1" t="s">
        <v>2570</v>
      </c>
      <c r="D1120" s="14" t="s">
        <v>5528</v>
      </c>
    </row>
    <row r="1121" spans="1:4" hidden="1" x14ac:dyDescent="0.25">
      <c r="A1121" s="1" t="s">
        <v>2660</v>
      </c>
      <c r="B1121" s="1" t="s">
        <v>2661</v>
      </c>
      <c r="C1121" s="1" t="s">
        <v>2573</v>
      </c>
      <c r="D1121" s="14" t="s">
        <v>5528</v>
      </c>
    </row>
    <row r="1122" spans="1:4" hidden="1" x14ac:dyDescent="0.25">
      <c r="A1122" s="1" t="s">
        <v>2662</v>
      </c>
      <c r="B1122" s="1" t="s">
        <v>2663</v>
      </c>
      <c r="C1122" s="1" t="s">
        <v>2576</v>
      </c>
      <c r="D1122" s="14" t="s">
        <v>5528</v>
      </c>
    </row>
    <row r="1123" spans="1:4" hidden="1" x14ac:dyDescent="0.25">
      <c r="A1123" s="1" t="s">
        <v>2664</v>
      </c>
      <c r="B1123" s="1" t="s">
        <v>2665</v>
      </c>
      <c r="C1123" s="1" t="s">
        <v>2579</v>
      </c>
      <c r="D1123" s="14" t="s">
        <v>5528</v>
      </c>
    </row>
    <row r="1124" spans="1:4" hidden="1" x14ac:dyDescent="0.25">
      <c r="A1124" s="1" t="s">
        <v>2666</v>
      </c>
      <c r="B1124" s="1" t="s">
        <v>2667</v>
      </c>
      <c r="C1124" s="1" t="s">
        <v>2582</v>
      </c>
      <c r="D1124" s="14" t="s">
        <v>5528</v>
      </c>
    </row>
    <row r="1125" spans="1:4" hidden="1" x14ac:dyDescent="0.25">
      <c r="A1125" s="1" t="s">
        <v>2668</v>
      </c>
      <c r="B1125" s="1" t="s">
        <v>2669</v>
      </c>
      <c r="C1125" s="1" t="s">
        <v>2585</v>
      </c>
      <c r="D1125" s="14" t="s">
        <v>5528</v>
      </c>
    </row>
    <row r="1126" spans="1:4" hidden="1" x14ac:dyDescent="0.25">
      <c r="A1126" s="1" t="s">
        <v>2670</v>
      </c>
      <c r="B1126" s="1" t="s">
        <v>2671</v>
      </c>
      <c r="C1126" s="1" t="s">
        <v>2588</v>
      </c>
      <c r="D1126" s="14" t="s">
        <v>5528</v>
      </c>
    </row>
    <row r="1127" spans="1:4" hidden="1" x14ac:dyDescent="0.25">
      <c r="A1127" s="1" t="s">
        <v>2672</v>
      </c>
      <c r="B1127" s="1" t="s">
        <v>2673</v>
      </c>
      <c r="C1127" s="1" t="s">
        <v>2591</v>
      </c>
      <c r="D1127" s="14" t="s">
        <v>5528</v>
      </c>
    </row>
    <row r="1128" spans="1:4" hidden="1" x14ac:dyDescent="0.25">
      <c r="A1128" s="1" t="s">
        <v>2674</v>
      </c>
      <c r="B1128" s="1" t="s">
        <v>2675</v>
      </c>
      <c r="C1128" s="1" t="s">
        <v>2594</v>
      </c>
      <c r="D1128" s="14" t="s">
        <v>5528</v>
      </c>
    </row>
    <row r="1129" spans="1:4" hidden="1" x14ac:dyDescent="0.25">
      <c r="A1129" s="1" t="s">
        <v>2676</v>
      </c>
      <c r="B1129" s="1" t="s">
        <v>2677</v>
      </c>
      <c r="C1129" s="1" t="s">
        <v>2597</v>
      </c>
      <c r="D1129" s="14" t="s">
        <v>5528</v>
      </c>
    </row>
    <row r="1130" spans="1:4" hidden="1" x14ac:dyDescent="0.25">
      <c r="A1130" s="1" t="s">
        <v>2678</v>
      </c>
      <c r="B1130" s="1" t="s">
        <v>2679</v>
      </c>
      <c r="C1130" s="1" t="s">
        <v>2600</v>
      </c>
      <c r="D1130" s="14" t="s">
        <v>5528</v>
      </c>
    </row>
    <row r="1131" spans="1:4" hidden="1" x14ac:dyDescent="0.25">
      <c r="A1131" s="1" t="s">
        <v>2680</v>
      </c>
      <c r="B1131" s="1" t="s">
        <v>2681</v>
      </c>
      <c r="C1131" s="1" t="s">
        <v>2603</v>
      </c>
      <c r="D1131" s="14" t="s">
        <v>5528</v>
      </c>
    </row>
    <row r="1132" spans="1:4" hidden="1" x14ac:dyDescent="0.25">
      <c r="A1132" s="1" t="s">
        <v>2682</v>
      </c>
      <c r="B1132" s="1" t="s">
        <v>2683</v>
      </c>
      <c r="C1132" s="1" t="s">
        <v>2606</v>
      </c>
      <c r="D1132" s="14" t="s">
        <v>5528</v>
      </c>
    </row>
    <row r="1133" spans="1:4" hidden="1" x14ac:dyDescent="0.25">
      <c r="A1133" s="1" t="s">
        <v>2684</v>
      </c>
      <c r="B1133" s="1" t="s">
        <v>2685</v>
      </c>
      <c r="C1133" s="1" t="s">
        <v>2609</v>
      </c>
      <c r="D1133" s="14" t="s">
        <v>5528</v>
      </c>
    </row>
    <row r="1134" spans="1:4" hidden="1" x14ac:dyDescent="0.25">
      <c r="A1134" s="1" t="s">
        <v>2686</v>
      </c>
      <c r="B1134" s="1" t="s">
        <v>2687</v>
      </c>
      <c r="C1134" s="1" t="s">
        <v>2612</v>
      </c>
      <c r="D1134" s="14" t="s">
        <v>5528</v>
      </c>
    </row>
    <row r="1135" spans="1:4" hidden="1" x14ac:dyDescent="0.25">
      <c r="A1135" s="1" t="s">
        <v>2688</v>
      </c>
      <c r="B1135" s="1" t="s">
        <v>2689</v>
      </c>
      <c r="C1135" s="1" t="s">
        <v>2615</v>
      </c>
      <c r="D1135" s="14" t="s">
        <v>5528</v>
      </c>
    </row>
    <row r="1136" spans="1:4" hidden="1" x14ac:dyDescent="0.25">
      <c r="A1136" s="1" t="s">
        <v>2690</v>
      </c>
      <c r="B1136" s="1" t="s">
        <v>2691</v>
      </c>
      <c r="C1136" s="1" t="s">
        <v>2618</v>
      </c>
      <c r="D1136" s="14" t="s">
        <v>5528</v>
      </c>
    </row>
    <row r="1137" spans="1:4" hidden="1" x14ac:dyDescent="0.25">
      <c r="A1137" s="1" t="s">
        <v>2692</v>
      </c>
      <c r="B1137" s="1" t="s">
        <v>2693</v>
      </c>
      <c r="C1137" s="1" t="s">
        <v>2621</v>
      </c>
      <c r="D1137" s="14" t="s">
        <v>5528</v>
      </c>
    </row>
    <row r="1138" spans="1:4" hidden="1" x14ac:dyDescent="0.25">
      <c r="A1138" s="1" t="s">
        <v>2694</v>
      </c>
      <c r="B1138" s="1" t="s">
        <v>2695</v>
      </c>
      <c r="C1138" s="1" t="s">
        <v>2624</v>
      </c>
      <c r="D1138" s="14" t="s">
        <v>5528</v>
      </c>
    </row>
    <row r="1139" spans="1:4" hidden="1" x14ac:dyDescent="0.25">
      <c r="A1139" s="1" t="s">
        <v>2696</v>
      </c>
      <c r="B1139" s="1" t="s">
        <v>2697</v>
      </c>
      <c r="C1139" s="1" t="s">
        <v>2627</v>
      </c>
      <c r="D1139" s="14" t="s">
        <v>5528</v>
      </c>
    </row>
    <row r="1140" spans="1:4" hidden="1" x14ac:dyDescent="0.25">
      <c r="A1140" s="1" t="s">
        <v>2698</v>
      </c>
      <c r="B1140" s="1" t="s">
        <v>2699</v>
      </c>
      <c r="C1140" s="1" t="s">
        <v>2525</v>
      </c>
      <c r="D1140" s="14" t="s">
        <v>5528</v>
      </c>
    </row>
    <row r="1141" spans="1:4" hidden="1" x14ac:dyDescent="0.25">
      <c r="A1141" s="1" t="s">
        <v>2700</v>
      </c>
      <c r="B1141" s="1" t="s">
        <v>2701</v>
      </c>
      <c r="C1141" s="1" t="s">
        <v>2528</v>
      </c>
      <c r="D1141" s="14" t="s">
        <v>5528</v>
      </c>
    </row>
    <row r="1142" spans="1:4" hidden="1" x14ac:dyDescent="0.25">
      <c r="A1142" s="1" t="s">
        <v>2702</v>
      </c>
      <c r="B1142" s="1" t="s">
        <v>2703</v>
      </c>
      <c r="C1142" s="1" t="s">
        <v>2531</v>
      </c>
      <c r="D1142" s="14" t="s">
        <v>5528</v>
      </c>
    </row>
    <row r="1143" spans="1:4" hidden="1" x14ac:dyDescent="0.25">
      <c r="A1143" s="1" t="s">
        <v>2704</v>
      </c>
      <c r="B1143" s="1" t="s">
        <v>2705</v>
      </c>
      <c r="C1143" s="1" t="s">
        <v>2534</v>
      </c>
      <c r="D1143" s="14" t="s">
        <v>5528</v>
      </c>
    </row>
    <row r="1144" spans="1:4" hidden="1" x14ac:dyDescent="0.25">
      <c r="A1144" s="1" t="s">
        <v>2706</v>
      </c>
      <c r="B1144" s="1" t="s">
        <v>2707</v>
      </c>
      <c r="C1144" s="1" t="s">
        <v>2537</v>
      </c>
      <c r="D1144" s="14" t="s">
        <v>5528</v>
      </c>
    </row>
    <row r="1145" spans="1:4" hidden="1" x14ac:dyDescent="0.25">
      <c r="A1145" s="1" t="s">
        <v>2708</v>
      </c>
      <c r="B1145" s="1" t="s">
        <v>2709</v>
      </c>
      <c r="C1145" s="1" t="s">
        <v>2540</v>
      </c>
      <c r="D1145" s="14" t="s">
        <v>5528</v>
      </c>
    </row>
    <row r="1146" spans="1:4" hidden="1" x14ac:dyDescent="0.25">
      <c r="A1146" s="1" t="s">
        <v>2710</v>
      </c>
      <c r="B1146" s="1" t="s">
        <v>2711</v>
      </c>
      <c r="C1146" s="1" t="s">
        <v>2543</v>
      </c>
      <c r="D1146" s="14" t="s">
        <v>5528</v>
      </c>
    </row>
    <row r="1147" spans="1:4" hidden="1" x14ac:dyDescent="0.25">
      <c r="A1147" s="1" t="s">
        <v>2712</v>
      </c>
      <c r="B1147" s="1" t="s">
        <v>2713</v>
      </c>
      <c r="C1147" s="1" t="s">
        <v>2546</v>
      </c>
      <c r="D1147" s="14" t="s">
        <v>5528</v>
      </c>
    </row>
    <row r="1148" spans="1:4" hidden="1" x14ac:dyDescent="0.25">
      <c r="A1148" s="1" t="s">
        <v>2714</v>
      </c>
      <c r="B1148" s="1" t="s">
        <v>2715</v>
      </c>
      <c r="C1148" s="1" t="s">
        <v>2549</v>
      </c>
      <c r="D1148" s="14" t="s">
        <v>5528</v>
      </c>
    </row>
    <row r="1149" spans="1:4" hidden="1" x14ac:dyDescent="0.25">
      <c r="A1149" s="1" t="s">
        <v>2716</v>
      </c>
      <c r="B1149" s="1" t="s">
        <v>2717</v>
      </c>
      <c r="C1149" s="1" t="s">
        <v>2552</v>
      </c>
      <c r="D1149" s="14" t="s">
        <v>5528</v>
      </c>
    </row>
    <row r="1150" spans="1:4" hidden="1" x14ac:dyDescent="0.25">
      <c r="A1150" s="1" t="s">
        <v>2718</v>
      </c>
      <c r="B1150" s="1" t="s">
        <v>2719</v>
      </c>
      <c r="C1150" s="1" t="s">
        <v>2555</v>
      </c>
      <c r="D1150" s="14" t="s">
        <v>5528</v>
      </c>
    </row>
    <row r="1151" spans="1:4" hidden="1" x14ac:dyDescent="0.25">
      <c r="A1151" s="1" t="s">
        <v>2720</v>
      </c>
      <c r="B1151" s="1" t="s">
        <v>2721</v>
      </c>
      <c r="C1151" s="1" t="s">
        <v>2558</v>
      </c>
      <c r="D1151" s="14" t="s">
        <v>5528</v>
      </c>
    </row>
    <row r="1152" spans="1:4" hidden="1" x14ac:dyDescent="0.25">
      <c r="A1152" s="1" t="s">
        <v>2722</v>
      </c>
      <c r="B1152" s="1" t="s">
        <v>2723</v>
      </c>
      <c r="C1152" s="1" t="s">
        <v>2561</v>
      </c>
      <c r="D1152" s="14" t="s">
        <v>5528</v>
      </c>
    </row>
    <row r="1153" spans="1:4" hidden="1" x14ac:dyDescent="0.25">
      <c r="A1153" s="1" t="s">
        <v>2724</v>
      </c>
      <c r="B1153" s="1" t="s">
        <v>2725</v>
      </c>
      <c r="C1153" s="1" t="s">
        <v>2564</v>
      </c>
      <c r="D1153" s="14" t="s">
        <v>5528</v>
      </c>
    </row>
    <row r="1154" spans="1:4" hidden="1" x14ac:dyDescent="0.25">
      <c r="A1154" s="1" t="s">
        <v>2726</v>
      </c>
      <c r="B1154" s="1" t="s">
        <v>2727</v>
      </c>
      <c r="C1154" s="1" t="s">
        <v>2567</v>
      </c>
      <c r="D1154" s="14" t="s">
        <v>5528</v>
      </c>
    </row>
    <row r="1155" spans="1:4" hidden="1" x14ac:dyDescent="0.25">
      <c r="A1155" s="1" t="s">
        <v>2728</v>
      </c>
      <c r="B1155" s="1" t="s">
        <v>2729</v>
      </c>
      <c r="C1155" s="1" t="s">
        <v>2570</v>
      </c>
      <c r="D1155" s="14" t="s">
        <v>5528</v>
      </c>
    </row>
    <row r="1156" spans="1:4" hidden="1" x14ac:dyDescent="0.25">
      <c r="A1156" s="1" t="s">
        <v>2730</v>
      </c>
      <c r="B1156" s="1" t="s">
        <v>2731</v>
      </c>
      <c r="C1156" s="1" t="s">
        <v>2573</v>
      </c>
      <c r="D1156" s="14" t="s">
        <v>5528</v>
      </c>
    </row>
    <row r="1157" spans="1:4" hidden="1" x14ac:dyDescent="0.25">
      <c r="A1157" s="1" t="s">
        <v>2732</v>
      </c>
      <c r="B1157" s="1" t="s">
        <v>2733</v>
      </c>
      <c r="C1157" s="1" t="s">
        <v>2576</v>
      </c>
      <c r="D1157" s="14" t="s">
        <v>5528</v>
      </c>
    </row>
    <row r="1158" spans="1:4" hidden="1" x14ac:dyDescent="0.25">
      <c r="A1158" s="1" t="s">
        <v>2734</v>
      </c>
      <c r="B1158" s="1" t="s">
        <v>2735</v>
      </c>
      <c r="C1158" s="1" t="s">
        <v>2579</v>
      </c>
      <c r="D1158" s="14" t="s">
        <v>5528</v>
      </c>
    </row>
    <row r="1159" spans="1:4" hidden="1" x14ac:dyDescent="0.25">
      <c r="A1159" s="1" t="s">
        <v>2736</v>
      </c>
      <c r="B1159" s="1" t="s">
        <v>2737</v>
      </c>
      <c r="C1159" s="1" t="s">
        <v>2582</v>
      </c>
      <c r="D1159" s="14" t="s">
        <v>5528</v>
      </c>
    </row>
    <row r="1160" spans="1:4" hidden="1" x14ac:dyDescent="0.25">
      <c r="A1160" s="1" t="s">
        <v>2738</v>
      </c>
      <c r="B1160" s="1" t="s">
        <v>2739</v>
      </c>
      <c r="C1160" s="1" t="s">
        <v>2585</v>
      </c>
      <c r="D1160" s="14" t="s">
        <v>5528</v>
      </c>
    </row>
    <row r="1161" spans="1:4" hidden="1" x14ac:dyDescent="0.25">
      <c r="A1161" s="1" t="s">
        <v>2740</v>
      </c>
      <c r="B1161" s="1" t="s">
        <v>2741</v>
      </c>
      <c r="C1161" s="1" t="s">
        <v>2588</v>
      </c>
      <c r="D1161" s="14" t="s">
        <v>5528</v>
      </c>
    </row>
    <row r="1162" spans="1:4" hidden="1" x14ac:dyDescent="0.25">
      <c r="A1162" s="1" t="s">
        <v>2742</v>
      </c>
      <c r="B1162" s="1" t="s">
        <v>2743</v>
      </c>
      <c r="C1162" s="1" t="s">
        <v>2591</v>
      </c>
      <c r="D1162" s="14" t="s">
        <v>5528</v>
      </c>
    </row>
    <row r="1163" spans="1:4" hidden="1" x14ac:dyDescent="0.25">
      <c r="A1163" s="1" t="s">
        <v>2744</v>
      </c>
      <c r="B1163" s="1" t="s">
        <v>2745</v>
      </c>
      <c r="C1163" s="1" t="s">
        <v>2594</v>
      </c>
      <c r="D1163" s="14" t="s">
        <v>5528</v>
      </c>
    </row>
    <row r="1164" spans="1:4" hidden="1" x14ac:dyDescent="0.25">
      <c r="A1164" s="1" t="s">
        <v>2746</v>
      </c>
      <c r="B1164" s="1" t="s">
        <v>2747</v>
      </c>
      <c r="C1164" s="1" t="s">
        <v>2597</v>
      </c>
      <c r="D1164" s="14" t="s">
        <v>5528</v>
      </c>
    </row>
    <row r="1165" spans="1:4" hidden="1" x14ac:dyDescent="0.25">
      <c r="A1165" s="1" t="s">
        <v>2748</v>
      </c>
      <c r="B1165" s="1" t="s">
        <v>2749</v>
      </c>
      <c r="C1165" s="1" t="s">
        <v>2600</v>
      </c>
      <c r="D1165" s="14" t="s">
        <v>5528</v>
      </c>
    </row>
    <row r="1166" spans="1:4" hidden="1" x14ac:dyDescent="0.25">
      <c r="A1166" s="1" t="s">
        <v>2750</v>
      </c>
      <c r="B1166" s="1" t="s">
        <v>2751</v>
      </c>
      <c r="C1166" s="1" t="s">
        <v>2603</v>
      </c>
      <c r="D1166" s="14" t="s">
        <v>5528</v>
      </c>
    </row>
    <row r="1167" spans="1:4" hidden="1" x14ac:dyDescent="0.25">
      <c r="A1167" s="1" t="s">
        <v>2752</v>
      </c>
      <c r="B1167" s="1" t="s">
        <v>2753</v>
      </c>
      <c r="C1167" s="1" t="s">
        <v>2606</v>
      </c>
      <c r="D1167" s="14" t="s">
        <v>5528</v>
      </c>
    </row>
    <row r="1168" spans="1:4" hidden="1" x14ac:dyDescent="0.25">
      <c r="A1168" s="1" t="s">
        <v>2754</v>
      </c>
      <c r="B1168" s="1" t="s">
        <v>2755</v>
      </c>
      <c r="C1168" s="1" t="s">
        <v>2609</v>
      </c>
      <c r="D1168" s="14" t="s">
        <v>5528</v>
      </c>
    </row>
    <row r="1169" spans="1:4" hidden="1" x14ac:dyDescent="0.25">
      <c r="A1169" s="1" t="s">
        <v>2756</v>
      </c>
      <c r="B1169" s="1" t="s">
        <v>2757</v>
      </c>
      <c r="C1169" s="1" t="s">
        <v>2612</v>
      </c>
      <c r="D1169" s="14" t="s">
        <v>5528</v>
      </c>
    </row>
    <row r="1170" spans="1:4" hidden="1" x14ac:dyDescent="0.25">
      <c r="A1170" s="1" t="s">
        <v>2758</v>
      </c>
      <c r="B1170" s="1" t="s">
        <v>2759</v>
      </c>
      <c r="C1170" s="1" t="s">
        <v>2615</v>
      </c>
      <c r="D1170" s="14" t="s">
        <v>5528</v>
      </c>
    </row>
    <row r="1171" spans="1:4" hidden="1" x14ac:dyDescent="0.25">
      <c r="A1171" s="1" t="s">
        <v>2760</v>
      </c>
      <c r="B1171" s="1" t="s">
        <v>2761</v>
      </c>
      <c r="C1171" s="1" t="s">
        <v>2618</v>
      </c>
      <c r="D1171" s="14" t="s">
        <v>5528</v>
      </c>
    </row>
    <row r="1172" spans="1:4" hidden="1" x14ac:dyDescent="0.25">
      <c r="A1172" s="1" t="s">
        <v>2762</v>
      </c>
      <c r="B1172" s="1" t="s">
        <v>2763</v>
      </c>
      <c r="C1172" s="1" t="s">
        <v>2621</v>
      </c>
      <c r="D1172" s="14" t="s">
        <v>5528</v>
      </c>
    </row>
    <row r="1173" spans="1:4" hidden="1" x14ac:dyDescent="0.25">
      <c r="A1173" s="1" t="s">
        <v>2764</v>
      </c>
      <c r="B1173" s="1" t="s">
        <v>2765</v>
      </c>
      <c r="C1173" s="1" t="s">
        <v>2624</v>
      </c>
      <c r="D1173" s="14" t="s">
        <v>5528</v>
      </c>
    </row>
    <row r="1174" spans="1:4" hidden="1" x14ac:dyDescent="0.25">
      <c r="A1174" s="1" t="s">
        <v>2766</v>
      </c>
      <c r="B1174" s="1" t="s">
        <v>2767</v>
      </c>
      <c r="C1174" s="1" t="s">
        <v>2627</v>
      </c>
      <c r="D1174" s="14" t="s">
        <v>5528</v>
      </c>
    </row>
    <row r="1175" spans="1:4" hidden="1" x14ac:dyDescent="0.25">
      <c r="A1175" s="1" t="s">
        <v>2768</v>
      </c>
      <c r="B1175" s="1" t="s">
        <v>2769</v>
      </c>
      <c r="C1175" s="1" t="s">
        <v>2770</v>
      </c>
      <c r="D1175" s="14" t="s">
        <v>5528</v>
      </c>
    </row>
    <row r="1176" spans="1:4" hidden="1" x14ac:dyDescent="0.25">
      <c r="A1176" s="1" t="s">
        <v>2771</v>
      </c>
      <c r="B1176" s="1" t="s">
        <v>2772</v>
      </c>
      <c r="C1176" s="1" t="s">
        <v>2773</v>
      </c>
      <c r="D1176" s="14" t="s">
        <v>5528</v>
      </c>
    </row>
    <row r="1177" spans="1:4" hidden="1" x14ac:dyDescent="0.25">
      <c r="A1177" s="1" t="s">
        <v>2774</v>
      </c>
      <c r="B1177" s="1" t="s">
        <v>2775</v>
      </c>
      <c r="C1177" s="1" t="s">
        <v>2776</v>
      </c>
      <c r="D1177" s="14" t="s">
        <v>5528</v>
      </c>
    </row>
    <row r="1178" spans="1:4" hidden="1" x14ac:dyDescent="0.25">
      <c r="A1178" s="1" t="s">
        <v>2777</v>
      </c>
      <c r="B1178" s="1" t="s">
        <v>2778</v>
      </c>
      <c r="C1178" s="1" t="s">
        <v>2779</v>
      </c>
      <c r="D1178" s="14" t="s">
        <v>5528</v>
      </c>
    </row>
    <row r="1179" spans="1:4" hidden="1" x14ac:dyDescent="0.25">
      <c r="A1179" s="1" t="s">
        <v>2780</v>
      </c>
      <c r="B1179" s="1" t="s">
        <v>2781</v>
      </c>
      <c r="C1179" s="1" t="s">
        <v>2782</v>
      </c>
      <c r="D1179" s="14" t="s">
        <v>5528</v>
      </c>
    </row>
    <row r="1180" spans="1:4" hidden="1" x14ac:dyDescent="0.25">
      <c r="A1180" s="1" t="s">
        <v>2783</v>
      </c>
      <c r="B1180" s="1" t="s">
        <v>2784</v>
      </c>
      <c r="C1180" s="1" t="s">
        <v>2785</v>
      </c>
      <c r="D1180" s="14" t="s">
        <v>5528</v>
      </c>
    </row>
    <row r="1181" spans="1:4" hidden="1" x14ac:dyDescent="0.25">
      <c r="A1181" s="1" t="s">
        <v>2786</v>
      </c>
      <c r="B1181" s="1" t="s">
        <v>2787</v>
      </c>
      <c r="C1181" s="1" t="s">
        <v>2788</v>
      </c>
      <c r="D1181" s="14" t="s">
        <v>5528</v>
      </c>
    </row>
    <row r="1182" spans="1:4" hidden="1" x14ac:dyDescent="0.25">
      <c r="A1182" s="1" t="s">
        <v>2789</v>
      </c>
      <c r="B1182" s="1" t="s">
        <v>2790</v>
      </c>
      <c r="C1182" s="1" t="s">
        <v>2791</v>
      </c>
      <c r="D1182" s="14" t="s">
        <v>5528</v>
      </c>
    </row>
    <row r="1183" spans="1:4" hidden="1" x14ac:dyDescent="0.25">
      <c r="A1183" s="1" t="s">
        <v>2792</v>
      </c>
      <c r="B1183" s="1" t="s">
        <v>2793</v>
      </c>
      <c r="C1183" s="1" t="s">
        <v>2794</v>
      </c>
      <c r="D1183" s="14" t="s">
        <v>5528</v>
      </c>
    </row>
    <row r="1184" spans="1:4" hidden="1" x14ac:dyDescent="0.25">
      <c r="A1184" s="1" t="s">
        <v>2795</v>
      </c>
      <c r="B1184" s="1" t="s">
        <v>2796</v>
      </c>
      <c r="C1184" s="1" t="s">
        <v>2797</v>
      </c>
      <c r="D1184" s="14" t="s">
        <v>5528</v>
      </c>
    </row>
    <row r="1185" spans="1:4" hidden="1" x14ac:dyDescent="0.25">
      <c r="A1185" s="1" t="s">
        <v>2798</v>
      </c>
      <c r="B1185" s="1" t="s">
        <v>2799</v>
      </c>
      <c r="C1185" s="1" t="s">
        <v>2800</v>
      </c>
      <c r="D1185" s="14" t="s">
        <v>5528</v>
      </c>
    </row>
    <row r="1186" spans="1:4" hidden="1" x14ac:dyDescent="0.25">
      <c r="A1186" s="1" t="s">
        <v>2801</v>
      </c>
      <c r="B1186" s="1" t="s">
        <v>2802</v>
      </c>
      <c r="C1186" s="1" t="s">
        <v>2803</v>
      </c>
      <c r="D1186" s="14" t="s">
        <v>5528</v>
      </c>
    </row>
    <row r="1187" spans="1:4" hidden="1" x14ac:dyDescent="0.25">
      <c r="A1187" s="1" t="s">
        <v>2804</v>
      </c>
      <c r="B1187" s="1" t="s">
        <v>2805</v>
      </c>
      <c r="C1187" s="1" t="s">
        <v>2806</v>
      </c>
      <c r="D1187" s="14" t="s">
        <v>5528</v>
      </c>
    </row>
    <row r="1188" spans="1:4" hidden="1" x14ac:dyDescent="0.25">
      <c r="A1188" s="1" t="s">
        <v>2807</v>
      </c>
      <c r="B1188" s="1" t="s">
        <v>2808</v>
      </c>
      <c r="C1188" s="1" t="s">
        <v>2809</v>
      </c>
      <c r="D1188" s="14" t="s">
        <v>5528</v>
      </c>
    </row>
    <row r="1189" spans="1:4" hidden="1" x14ac:dyDescent="0.25">
      <c r="A1189" s="1" t="s">
        <v>2810</v>
      </c>
      <c r="B1189" s="1" t="s">
        <v>2811</v>
      </c>
      <c r="C1189" s="1" t="s">
        <v>2812</v>
      </c>
      <c r="D1189" s="14" t="s">
        <v>5528</v>
      </c>
    </row>
    <row r="1190" spans="1:4" hidden="1" x14ac:dyDescent="0.25">
      <c r="A1190" s="1" t="s">
        <v>2813</v>
      </c>
      <c r="B1190" s="1" t="s">
        <v>2814</v>
      </c>
      <c r="C1190" s="1" t="s">
        <v>2815</v>
      </c>
      <c r="D1190" s="14" t="s">
        <v>5528</v>
      </c>
    </row>
    <row r="1191" spans="1:4" hidden="1" x14ac:dyDescent="0.25">
      <c r="A1191" s="1" t="s">
        <v>2816</v>
      </c>
      <c r="B1191" s="1" t="s">
        <v>2817</v>
      </c>
      <c r="C1191" s="1" t="s">
        <v>2818</v>
      </c>
      <c r="D1191" s="14" t="s">
        <v>5528</v>
      </c>
    </row>
    <row r="1192" spans="1:4" hidden="1" x14ac:dyDescent="0.25">
      <c r="A1192" s="1" t="s">
        <v>2819</v>
      </c>
      <c r="B1192" s="1" t="s">
        <v>2820</v>
      </c>
      <c r="C1192" s="1" t="s">
        <v>2821</v>
      </c>
      <c r="D1192" s="14" t="s">
        <v>5528</v>
      </c>
    </row>
    <row r="1193" spans="1:4" hidden="1" x14ac:dyDescent="0.25">
      <c r="A1193" s="1" t="s">
        <v>2822</v>
      </c>
      <c r="B1193" s="1" t="s">
        <v>2823</v>
      </c>
      <c r="C1193" s="1" t="s">
        <v>2824</v>
      </c>
      <c r="D1193" s="14" t="s">
        <v>5528</v>
      </c>
    </row>
    <row r="1194" spans="1:4" hidden="1" x14ac:dyDescent="0.25">
      <c r="A1194" s="1" t="s">
        <v>2825</v>
      </c>
      <c r="B1194" s="1" t="s">
        <v>2826</v>
      </c>
      <c r="C1194" s="1" t="s">
        <v>2827</v>
      </c>
      <c r="D1194" s="14" t="s">
        <v>5528</v>
      </c>
    </row>
    <row r="1195" spans="1:4" hidden="1" x14ac:dyDescent="0.25">
      <c r="A1195" s="1" t="s">
        <v>2828</v>
      </c>
      <c r="B1195" s="1" t="s">
        <v>2829</v>
      </c>
      <c r="C1195" s="1" t="s">
        <v>2830</v>
      </c>
      <c r="D1195" s="14" t="s">
        <v>5528</v>
      </c>
    </row>
    <row r="1196" spans="1:4" hidden="1" x14ac:dyDescent="0.25">
      <c r="A1196" s="1" t="s">
        <v>2831</v>
      </c>
      <c r="B1196" s="1" t="s">
        <v>2832</v>
      </c>
      <c r="C1196" s="1" t="s">
        <v>2833</v>
      </c>
      <c r="D1196" s="14" t="s">
        <v>5528</v>
      </c>
    </row>
    <row r="1197" spans="1:4" hidden="1" x14ac:dyDescent="0.25">
      <c r="A1197" s="1" t="s">
        <v>2834</v>
      </c>
      <c r="B1197" s="1" t="s">
        <v>2835</v>
      </c>
      <c r="C1197" s="1" t="s">
        <v>2836</v>
      </c>
      <c r="D1197" s="14" t="s">
        <v>5528</v>
      </c>
    </row>
    <row r="1198" spans="1:4" hidden="1" x14ac:dyDescent="0.25">
      <c r="A1198" s="1" t="s">
        <v>2837</v>
      </c>
      <c r="B1198" s="1" t="s">
        <v>2838</v>
      </c>
      <c r="C1198" s="1" t="s">
        <v>2839</v>
      </c>
      <c r="D1198" s="14" t="s">
        <v>5528</v>
      </c>
    </row>
    <row r="1199" spans="1:4" hidden="1" x14ac:dyDescent="0.25">
      <c r="A1199" s="1" t="s">
        <v>2840</v>
      </c>
      <c r="B1199" s="1" t="s">
        <v>2841</v>
      </c>
      <c r="C1199" s="1" t="s">
        <v>2842</v>
      </c>
      <c r="D1199" s="14" t="s">
        <v>5528</v>
      </c>
    </row>
    <row r="1200" spans="1:4" hidden="1" x14ac:dyDescent="0.25">
      <c r="A1200" s="1" t="s">
        <v>2843</v>
      </c>
      <c r="B1200" s="1" t="s">
        <v>2844</v>
      </c>
      <c r="C1200" s="1" t="s">
        <v>2845</v>
      </c>
      <c r="D1200" s="14" t="s">
        <v>5528</v>
      </c>
    </row>
    <row r="1201" spans="1:4" hidden="1" x14ac:dyDescent="0.25">
      <c r="A1201" s="1" t="s">
        <v>2846</v>
      </c>
      <c r="B1201" s="1" t="s">
        <v>2847</v>
      </c>
      <c r="C1201" s="1" t="s">
        <v>2848</v>
      </c>
      <c r="D1201" s="14" t="s">
        <v>5528</v>
      </c>
    </row>
    <row r="1202" spans="1:4" hidden="1" x14ac:dyDescent="0.25">
      <c r="A1202" s="1" t="s">
        <v>2849</v>
      </c>
      <c r="B1202" s="1" t="s">
        <v>2850</v>
      </c>
      <c r="C1202" s="1" t="s">
        <v>2851</v>
      </c>
      <c r="D1202" s="14" t="s">
        <v>5528</v>
      </c>
    </row>
    <row r="1203" spans="1:4" hidden="1" x14ac:dyDescent="0.25">
      <c r="A1203" s="1" t="s">
        <v>2852</v>
      </c>
      <c r="B1203" s="1" t="s">
        <v>2853</v>
      </c>
      <c r="C1203" s="1" t="s">
        <v>2854</v>
      </c>
      <c r="D1203" s="14" t="s">
        <v>5528</v>
      </c>
    </row>
    <row r="1204" spans="1:4" hidden="1" x14ac:dyDescent="0.25">
      <c r="A1204" s="1" t="s">
        <v>2855</v>
      </c>
      <c r="B1204" s="1" t="s">
        <v>2856</v>
      </c>
      <c r="C1204" s="1" t="s">
        <v>2857</v>
      </c>
      <c r="D1204" s="14" t="s">
        <v>5528</v>
      </c>
    </row>
    <row r="1205" spans="1:4" hidden="1" x14ac:dyDescent="0.25">
      <c r="A1205" s="1" t="s">
        <v>2858</v>
      </c>
      <c r="B1205" s="1" t="s">
        <v>2859</v>
      </c>
      <c r="C1205" s="1" t="s">
        <v>2860</v>
      </c>
      <c r="D1205" s="14" t="s">
        <v>5528</v>
      </c>
    </row>
    <row r="1206" spans="1:4" hidden="1" x14ac:dyDescent="0.25">
      <c r="A1206" s="1" t="s">
        <v>2861</v>
      </c>
      <c r="B1206" s="1" t="s">
        <v>2862</v>
      </c>
      <c r="C1206" s="1" t="s">
        <v>2863</v>
      </c>
      <c r="D1206" s="14" t="s">
        <v>5528</v>
      </c>
    </row>
    <row r="1207" spans="1:4" hidden="1" x14ac:dyDescent="0.25">
      <c r="A1207" s="1" t="s">
        <v>2864</v>
      </c>
      <c r="B1207" s="1" t="s">
        <v>2865</v>
      </c>
      <c r="C1207" s="1" t="s">
        <v>2866</v>
      </c>
      <c r="D1207" s="14" t="s">
        <v>5528</v>
      </c>
    </row>
    <row r="1208" spans="1:4" hidden="1" x14ac:dyDescent="0.25">
      <c r="A1208" s="1" t="s">
        <v>2867</v>
      </c>
      <c r="B1208" s="1" t="s">
        <v>2868</v>
      </c>
      <c r="C1208" s="1" t="s">
        <v>2869</v>
      </c>
      <c r="D1208" s="14" t="s">
        <v>5528</v>
      </c>
    </row>
    <row r="1209" spans="1:4" hidden="1" x14ac:dyDescent="0.25">
      <c r="A1209" s="1" t="s">
        <v>2870</v>
      </c>
      <c r="B1209" s="1" t="s">
        <v>2871</v>
      </c>
      <c r="C1209" s="1" t="s">
        <v>2872</v>
      </c>
      <c r="D1209" s="14" t="s">
        <v>5528</v>
      </c>
    </row>
    <row r="1210" spans="1:4" hidden="1" x14ac:dyDescent="0.25">
      <c r="A1210" s="1" t="s">
        <v>2873</v>
      </c>
      <c r="B1210" s="1" t="s">
        <v>2874</v>
      </c>
      <c r="C1210" s="1" t="s">
        <v>2770</v>
      </c>
      <c r="D1210" s="14" t="s">
        <v>5528</v>
      </c>
    </row>
    <row r="1211" spans="1:4" hidden="1" x14ac:dyDescent="0.25">
      <c r="A1211" s="1" t="s">
        <v>2875</v>
      </c>
      <c r="B1211" s="1" t="s">
        <v>2876</v>
      </c>
      <c r="C1211" s="1" t="s">
        <v>2773</v>
      </c>
      <c r="D1211" s="14" t="s">
        <v>5528</v>
      </c>
    </row>
    <row r="1212" spans="1:4" hidden="1" x14ac:dyDescent="0.25">
      <c r="A1212" s="1" t="s">
        <v>2877</v>
      </c>
      <c r="B1212" s="1" t="s">
        <v>2878</v>
      </c>
      <c r="C1212" s="1" t="s">
        <v>2776</v>
      </c>
      <c r="D1212" s="14" t="s">
        <v>5528</v>
      </c>
    </row>
    <row r="1213" spans="1:4" hidden="1" x14ac:dyDescent="0.25">
      <c r="A1213" s="1" t="s">
        <v>2879</v>
      </c>
      <c r="B1213" s="1" t="s">
        <v>2880</v>
      </c>
      <c r="C1213" s="1" t="s">
        <v>2779</v>
      </c>
      <c r="D1213" s="14" t="s">
        <v>5528</v>
      </c>
    </row>
    <row r="1214" spans="1:4" hidden="1" x14ac:dyDescent="0.25">
      <c r="A1214" s="1" t="s">
        <v>2881</v>
      </c>
      <c r="B1214" s="1" t="s">
        <v>2882</v>
      </c>
      <c r="C1214" s="1" t="s">
        <v>2782</v>
      </c>
      <c r="D1214" s="14" t="s">
        <v>5528</v>
      </c>
    </row>
    <row r="1215" spans="1:4" hidden="1" x14ac:dyDescent="0.25">
      <c r="A1215" s="1" t="s">
        <v>2883</v>
      </c>
      <c r="B1215" s="1" t="s">
        <v>2884</v>
      </c>
      <c r="C1215" s="1" t="s">
        <v>2785</v>
      </c>
      <c r="D1215" s="14" t="s">
        <v>5528</v>
      </c>
    </row>
    <row r="1216" spans="1:4" hidden="1" x14ac:dyDescent="0.25">
      <c r="A1216" s="1" t="s">
        <v>2885</v>
      </c>
      <c r="B1216" s="1" t="s">
        <v>2886</v>
      </c>
      <c r="C1216" s="1" t="s">
        <v>2788</v>
      </c>
      <c r="D1216" s="14" t="s">
        <v>5528</v>
      </c>
    </row>
    <row r="1217" spans="1:4" hidden="1" x14ac:dyDescent="0.25">
      <c r="A1217" s="1" t="s">
        <v>2887</v>
      </c>
      <c r="B1217" s="1" t="s">
        <v>2888</v>
      </c>
      <c r="C1217" s="1" t="s">
        <v>2791</v>
      </c>
      <c r="D1217" s="14" t="s">
        <v>5528</v>
      </c>
    </row>
    <row r="1218" spans="1:4" hidden="1" x14ac:dyDescent="0.25">
      <c r="A1218" s="1" t="s">
        <v>2889</v>
      </c>
      <c r="B1218" s="1" t="s">
        <v>2890</v>
      </c>
      <c r="C1218" s="1" t="s">
        <v>2794</v>
      </c>
      <c r="D1218" s="14" t="s">
        <v>5528</v>
      </c>
    </row>
    <row r="1219" spans="1:4" hidden="1" x14ac:dyDescent="0.25">
      <c r="A1219" s="1" t="s">
        <v>2891</v>
      </c>
      <c r="B1219" s="1" t="s">
        <v>2892</v>
      </c>
      <c r="C1219" s="1" t="s">
        <v>2797</v>
      </c>
      <c r="D1219" s="14" t="s">
        <v>5528</v>
      </c>
    </row>
    <row r="1220" spans="1:4" hidden="1" x14ac:dyDescent="0.25">
      <c r="A1220" s="1" t="s">
        <v>2893</v>
      </c>
      <c r="B1220" s="1" t="s">
        <v>2894</v>
      </c>
      <c r="C1220" s="1" t="s">
        <v>2800</v>
      </c>
      <c r="D1220" s="14" t="s">
        <v>5528</v>
      </c>
    </row>
    <row r="1221" spans="1:4" hidden="1" x14ac:dyDescent="0.25">
      <c r="A1221" s="1" t="s">
        <v>2895</v>
      </c>
      <c r="B1221" s="1" t="s">
        <v>2896</v>
      </c>
      <c r="C1221" s="1" t="s">
        <v>2803</v>
      </c>
      <c r="D1221" s="14" t="s">
        <v>5528</v>
      </c>
    </row>
    <row r="1222" spans="1:4" hidden="1" x14ac:dyDescent="0.25">
      <c r="A1222" s="1" t="s">
        <v>2897</v>
      </c>
      <c r="B1222" s="1" t="s">
        <v>2898</v>
      </c>
      <c r="C1222" s="1" t="s">
        <v>2806</v>
      </c>
      <c r="D1222" s="14" t="s">
        <v>5528</v>
      </c>
    </row>
    <row r="1223" spans="1:4" hidden="1" x14ac:dyDescent="0.25">
      <c r="A1223" s="1" t="s">
        <v>2899</v>
      </c>
      <c r="B1223" s="1" t="s">
        <v>2900</v>
      </c>
      <c r="C1223" s="1" t="s">
        <v>2809</v>
      </c>
      <c r="D1223" s="14" t="s">
        <v>5528</v>
      </c>
    </row>
    <row r="1224" spans="1:4" hidden="1" x14ac:dyDescent="0.25">
      <c r="A1224" s="1" t="s">
        <v>2901</v>
      </c>
      <c r="B1224" s="1" t="s">
        <v>2902</v>
      </c>
      <c r="C1224" s="1" t="s">
        <v>2812</v>
      </c>
      <c r="D1224" s="14" t="s">
        <v>5528</v>
      </c>
    </row>
    <row r="1225" spans="1:4" hidden="1" x14ac:dyDescent="0.25">
      <c r="A1225" s="1" t="s">
        <v>2903</v>
      </c>
      <c r="B1225" s="1" t="s">
        <v>2904</v>
      </c>
      <c r="C1225" s="1" t="s">
        <v>2815</v>
      </c>
      <c r="D1225" s="14" t="s">
        <v>5528</v>
      </c>
    </row>
    <row r="1226" spans="1:4" hidden="1" x14ac:dyDescent="0.25">
      <c r="A1226" s="1" t="s">
        <v>2905</v>
      </c>
      <c r="B1226" s="1" t="s">
        <v>2906</v>
      </c>
      <c r="C1226" s="1" t="s">
        <v>2818</v>
      </c>
      <c r="D1226" s="14" t="s">
        <v>5528</v>
      </c>
    </row>
    <row r="1227" spans="1:4" hidden="1" x14ac:dyDescent="0.25">
      <c r="A1227" s="1" t="s">
        <v>2907</v>
      </c>
      <c r="B1227" s="1" t="s">
        <v>2908</v>
      </c>
      <c r="C1227" s="1" t="s">
        <v>2821</v>
      </c>
      <c r="D1227" s="14" t="s">
        <v>5528</v>
      </c>
    </row>
    <row r="1228" spans="1:4" hidden="1" x14ac:dyDescent="0.25">
      <c r="A1228" s="1" t="s">
        <v>2909</v>
      </c>
      <c r="B1228" s="1" t="s">
        <v>2910</v>
      </c>
      <c r="C1228" s="1" t="s">
        <v>2824</v>
      </c>
      <c r="D1228" s="14" t="s">
        <v>5528</v>
      </c>
    </row>
    <row r="1229" spans="1:4" hidden="1" x14ac:dyDescent="0.25">
      <c r="A1229" s="1" t="s">
        <v>2911</v>
      </c>
      <c r="B1229" s="1" t="s">
        <v>2912</v>
      </c>
      <c r="C1229" s="1" t="s">
        <v>2827</v>
      </c>
      <c r="D1229" s="14" t="s">
        <v>5528</v>
      </c>
    </row>
    <row r="1230" spans="1:4" hidden="1" x14ac:dyDescent="0.25">
      <c r="A1230" s="1" t="s">
        <v>2913</v>
      </c>
      <c r="B1230" s="1" t="s">
        <v>2914</v>
      </c>
      <c r="C1230" s="1" t="s">
        <v>2830</v>
      </c>
      <c r="D1230" s="14" t="s">
        <v>5528</v>
      </c>
    </row>
    <row r="1231" spans="1:4" hidden="1" x14ac:dyDescent="0.25">
      <c r="A1231" s="1" t="s">
        <v>2915</v>
      </c>
      <c r="B1231" s="1" t="s">
        <v>2916</v>
      </c>
      <c r="C1231" s="1" t="s">
        <v>2833</v>
      </c>
      <c r="D1231" s="14" t="s">
        <v>5528</v>
      </c>
    </row>
    <row r="1232" spans="1:4" hidden="1" x14ac:dyDescent="0.25">
      <c r="A1232" s="1" t="s">
        <v>2917</v>
      </c>
      <c r="B1232" s="1" t="s">
        <v>2918</v>
      </c>
      <c r="C1232" s="1" t="s">
        <v>2836</v>
      </c>
      <c r="D1232" s="14" t="s">
        <v>5528</v>
      </c>
    </row>
    <row r="1233" spans="1:4" hidden="1" x14ac:dyDescent="0.25">
      <c r="A1233" s="1" t="s">
        <v>2919</v>
      </c>
      <c r="B1233" s="1" t="s">
        <v>2920</v>
      </c>
      <c r="C1233" s="1" t="s">
        <v>2839</v>
      </c>
      <c r="D1233" s="14" t="s">
        <v>5528</v>
      </c>
    </row>
    <row r="1234" spans="1:4" hidden="1" x14ac:dyDescent="0.25">
      <c r="A1234" s="1" t="s">
        <v>2921</v>
      </c>
      <c r="B1234" s="1" t="s">
        <v>2922</v>
      </c>
      <c r="C1234" s="1" t="s">
        <v>2842</v>
      </c>
      <c r="D1234" s="14" t="s">
        <v>5528</v>
      </c>
    </row>
    <row r="1235" spans="1:4" hidden="1" x14ac:dyDescent="0.25">
      <c r="A1235" s="1" t="s">
        <v>2923</v>
      </c>
      <c r="B1235" s="1" t="s">
        <v>2924</v>
      </c>
      <c r="C1235" s="1" t="s">
        <v>2845</v>
      </c>
      <c r="D1235" s="14" t="s">
        <v>5528</v>
      </c>
    </row>
    <row r="1236" spans="1:4" hidden="1" x14ac:dyDescent="0.25">
      <c r="A1236" s="1" t="s">
        <v>2925</v>
      </c>
      <c r="B1236" s="1" t="s">
        <v>2926</v>
      </c>
      <c r="C1236" s="1" t="s">
        <v>2848</v>
      </c>
      <c r="D1236" s="14" t="s">
        <v>5528</v>
      </c>
    </row>
    <row r="1237" spans="1:4" hidden="1" x14ac:dyDescent="0.25">
      <c r="A1237" s="1" t="s">
        <v>2927</v>
      </c>
      <c r="B1237" s="1" t="s">
        <v>2928</v>
      </c>
      <c r="C1237" s="1" t="s">
        <v>2851</v>
      </c>
      <c r="D1237" s="14" t="s">
        <v>5528</v>
      </c>
    </row>
    <row r="1238" spans="1:4" hidden="1" x14ac:dyDescent="0.25">
      <c r="A1238" s="1" t="s">
        <v>2929</v>
      </c>
      <c r="B1238" s="1" t="s">
        <v>2930</v>
      </c>
      <c r="C1238" s="1" t="s">
        <v>2854</v>
      </c>
      <c r="D1238" s="14" t="s">
        <v>5528</v>
      </c>
    </row>
    <row r="1239" spans="1:4" hidden="1" x14ac:dyDescent="0.25">
      <c r="A1239" s="1" t="s">
        <v>2931</v>
      </c>
      <c r="B1239" s="1" t="s">
        <v>2932</v>
      </c>
      <c r="C1239" s="1" t="s">
        <v>2857</v>
      </c>
      <c r="D1239" s="14" t="s">
        <v>5528</v>
      </c>
    </row>
    <row r="1240" spans="1:4" hidden="1" x14ac:dyDescent="0.25">
      <c r="A1240" s="1" t="s">
        <v>2933</v>
      </c>
      <c r="B1240" s="1" t="s">
        <v>2934</v>
      </c>
      <c r="C1240" s="1" t="s">
        <v>2860</v>
      </c>
      <c r="D1240" s="14" t="s">
        <v>5528</v>
      </c>
    </row>
    <row r="1241" spans="1:4" hidden="1" x14ac:dyDescent="0.25">
      <c r="A1241" s="1" t="s">
        <v>2935</v>
      </c>
      <c r="B1241" s="1" t="s">
        <v>2936</v>
      </c>
      <c r="C1241" s="1" t="s">
        <v>2863</v>
      </c>
      <c r="D1241" s="14" t="s">
        <v>5528</v>
      </c>
    </row>
    <row r="1242" spans="1:4" hidden="1" x14ac:dyDescent="0.25">
      <c r="A1242" s="1" t="s">
        <v>2937</v>
      </c>
      <c r="B1242" s="1" t="s">
        <v>2938</v>
      </c>
      <c r="C1242" s="1" t="s">
        <v>2866</v>
      </c>
      <c r="D1242" s="14" t="s">
        <v>5528</v>
      </c>
    </row>
    <row r="1243" spans="1:4" hidden="1" x14ac:dyDescent="0.25">
      <c r="A1243" s="1" t="s">
        <v>2939</v>
      </c>
      <c r="B1243" s="1" t="s">
        <v>2940</v>
      </c>
      <c r="C1243" s="1" t="s">
        <v>2869</v>
      </c>
      <c r="D1243" s="14" t="s">
        <v>5528</v>
      </c>
    </row>
    <row r="1244" spans="1:4" hidden="1" x14ac:dyDescent="0.25">
      <c r="A1244" s="1" t="s">
        <v>2941</v>
      </c>
      <c r="B1244" s="1" t="s">
        <v>2942</v>
      </c>
      <c r="C1244" s="1" t="s">
        <v>2872</v>
      </c>
      <c r="D1244" s="14" t="s">
        <v>5528</v>
      </c>
    </row>
    <row r="1245" spans="1:4" hidden="1" x14ac:dyDescent="0.25">
      <c r="A1245" s="1" t="s">
        <v>2943</v>
      </c>
      <c r="B1245" s="1" t="s">
        <v>2944</v>
      </c>
      <c r="C1245" s="1" t="s">
        <v>2770</v>
      </c>
      <c r="D1245" s="14" t="s">
        <v>5528</v>
      </c>
    </row>
    <row r="1246" spans="1:4" hidden="1" x14ac:dyDescent="0.25">
      <c r="A1246" s="1" t="s">
        <v>2945</v>
      </c>
      <c r="B1246" s="1" t="s">
        <v>2946</v>
      </c>
      <c r="C1246" s="1" t="s">
        <v>2773</v>
      </c>
      <c r="D1246" s="14" t="s">
        <v>5528</v>
      </c>
    </row>
    <row r="1247" spans="1:4" hidden="1" x14ac:dyDescent="0.25">
      <c r="A1247" s="1" t="s">
        <v>2947</v>
      </c>
      <c r="B1247" s="1" t="s">
        <v>2948</v>
      </c>
      <c r="C1247" s="1" t="s">
        <v>2776</v>
      </c>
      <c r="D1247" s="14" t="s">
        <v>5528</v>
      </c>
    </row>
    <row r="1248" spans="1:4" hidden="1" x14ac:dyDescent="0.25">
      <c r="A1248" s="1" t="s">
        <v>2949</v>
      </c>
      <c r="B1248" s="1" t="s">
        <v>2950</v>
      </c>
      <c r="C1248" s="1" t="s">
        <v>2779</v>
      </c>
      <c r="D1248" s="14" t="s">
        <v>5528</v>
      </c>
    </row>
    <row r="1249" spans="1:4" hidden="1" x14ac:dyDescent="0.25">
      <c r="A1249" s="1" t="s">
        <v>2951</v>
      </c>
      <c r="B1249" s="1" t="s">
        <v>2952</v>
      </c>
      <c r="C1249" s="1" t="s">
        <v>2782</v>
      </c>
      <c r="D1249" s="14" t="s">
        <v>5528</v>
      </c>
    </row>
    <row r="1250" spans="1:4" hidden="1" x14ac:dyDescent="0.25">
      <c r="A1250" s="1" t="s">
        <v>2953</v>
      </c>
      <c r="B1250" s="1" t="s">
        <v>2954</v>
      </c>
      <c r="C1250" s="1" t="s">
        <v>2785</v>
      </c>
      <c r="D1250" s="14" t="s">
        <v>5528</v>
      </c>
    </row>
    <row r="1251" spans="1:4" hidden="1" x14ac:dyDescent="0.25">
      <c r="A1251" s="1" t="s">
        <v>2955</v>
      </c>
      <c r="B1251" s="1" t="s">
        <v>2956</v>
      </c>
      <c r="C1251" s="1" t="s">
        <v>2788</v>
      </c>
      <c r="D1251" s="14" t="s">
        <v>5528</v>
      </c>
    </row>
    <row r="1252" spans="1:4" hidden="1" x14ac:dyDescent="0.25">
      <c r="A1252" s="1" t="s">
        <v>2957</v>
      </c>
      <c r="B1252" s="1" t="s">
        <v>2958</v>
      </c>
      <c r="C1252" s="1" t="s">
        <v>2791</v>
      </c>
      <c r="D1252" s="14" t="s">
        <v>5528</v>
      </c>
    </row>
    <row r="1253" spans="1:4" hidden="1" x14ac:dyDescent="0.25">
      <c r="A1253" s="1" t="s">
        <v>2959</v>
      </c>
      <c r="B1253" s="1" t="s">
        <v>2960</v>
      </c>
      <c r="C1253" s="1" t="s">
        <v>2794</v>
      </c>
      <c r="D1253" s="14" t="s">
        <v>5528</v>
      </c>
    </row>
    <row r="1254" spans="1:4" hidden="1" x14ac:dyDescent="0.25">
      <c r="A1254" s="1" t="s">
        <v>2961</v>
      </c>
      <c r="B1254" s="1" t="s">
        <v>2962</v>
      </c>
      <c r="C1254" s="1" t="s">
        <v>2797</v>
      </c>
      <c r="D1254" s="14" t="s">
        <v>5528</v>
      </c>
    </row>
    <row r="1255" spans="1:4" hidden="1" x14ac:dyDescent="0.25">
      <c r="A1255" s="1" t="s">
        <v>2963</v>
      </c>
      <c r="B1255" s="1" t="s">
        <v>2964</v>
      </c>
      <c r="C1255" s="1" t="s">
        <v>2800</v>
      </c>
      <c r="D1255" s="14" t="s">
        <v>5528</v>
      </c>
    </row>
    <row r="1256" spans="1:4" hidden="1" x14ac:dyDescent="0.25">
      <c r="A1256" s="1" t="s">
        <v>2965</v>
      </c>
      <c r="B1256" s="1" t="s">
        <v>2966</v>
      </c>
      <c r="C1256" s="1" t="s">
        <v>2803</v>
      </c>
      <c r="D1256" s="14" t="s">
        <v>5528</v>
      </c>
    </row>
    <row r="1257" spans="1:4" hidden="1" x14ac:dyDescent="0.25">
      <c r="A1257" s="1" t="s">
        <v>2967</v>
      </c>
      <c r="B1257" s="1" t="s">
        <v>2968</v>
      </c>
      <c r="C1257" s="1" t="s">
        <v>2806</v>
      </c>
      <c r="D1257" s="14" t="s">
        <v>5528</v>
      </c>
    </row>
    <row r="1258" spans="1:4" hidden="1" x14ac:dyDescent="0.25">
      <c r="A1258" s="1" t="s">
        <v>2969</v>
      </c>
      <c r="B1258" s="1" t="s">
        <v>2970</v>
      </c>
      <c r="C1258" s="1" t="s">
        <v>2809</v>
      </c>
      <c r="D1258" s="14" t="s">
        <v>5528</v>
      </c>
    </row>
    <row r="1259" spans="1:4" hidden="1" x14ac:dyDescent="0.25">
      <c r="A1259" s="1" t="s">
        <v>2971</v>
      </c>
      <c r="B1259" s="1" t="s">
        <v>2972</v>
      </c>
      <c r="C1259" s="1" t="s">
        <v>2812</v>
      </c>
      <c r="D1259" s="14" t="s">
        <v>5528</v>
      </c>
    </row>
    <row r="1260" spans="1:4" hidden="1" x14ac:dyDescent="0.25">
      <c r="A1260" s="1" t="s">
        <v>2973</v>
      </c>
      <c r="B1260" s="1" t="s">
        <v>2974</v>
      </c>
      <c r="C1260" s="1" t="s">
        <v>2815</v>
      </c>
      <c r="D1260" s="14" t="s">
        <v>5528</v>
      </c>
    </row>
    <row r="1261" spans="1:4" hidden="1" x14ac:dyDescent="0.25">
      <c r="A1261" s="1" t="s">
        <v>2975</v>
      </c>
      <c r="B1261" s="1" t="s">
        <v>2976</v>
      </c>
      <c r="C1261" s="1" t="s">
        <v>2818</v>
      </c>
      <c r="D1261" s="14" t="s">
        <v>5528</v>
      </c>
    </row>
    <row r="1262" spans="1:4" hidden="1" x14ac:dyDescent="0.25">
      <c r="A1262" s="1" t="s">
        <v>2977</v>
      </c>
      <c r="B1262" s="1" t="s">
        <v>2978</v>
      </c>
      <c r="C1262" s="1" t="s">
        <v>2821</v>
      </c>
      <c r="D1262" s="14" t="s">
        <v>5528</v>
      </c>
    </row>
    <row r="1263" spans="1:4" hidden="1" x14ac:dyDescent="0.25">
      <c r="A1263" s="1" t="s">
        <v>2979</v>
      </c>
      <c r="B1263" s="1" t="s">
        <v>2980</v>
      </c>
      <c r="C1263" s="1" t="s">
        <v>2824</v>
      </c>
      <c r="D1263" s="14" t="s">
        <v>5528</v>
      </c>
    </row>
    <row r="1264" spans="1:4" hidden="1" x14ac:dyDescent="0.25">
      <c r="A1264" s="1" t="s">
        <v>2981</v>
      </c>
      <c r="B1264" s="1" t="s">
        <v>2982</v>
      </c>
      <c r="C1264" s="1" t="s">
        <v>2827</v>
      </c>
      <c r="D1264" s="14" t="s">
        <v>5528</v>
      </c>
    </row>
    <row r="1265" spans="1:4" hidden="1" x14ac:dyDescent="0.25">
      <c r="A1265" s="1" t="s">
        <v>2983</v>
      </c>
      <c r="B1265" s="1" t="s">
        <v>2984</v>
      </c>
      <c r="C1265" s="1" t="s">
        <v>2830</v>
      </c>
      <c r="D1265" s="14" t="s">
        <v>5528</v>
      </c>
    </row>
    <row r="1266" spans="1:4" hidden="1" x14ac:dyDescent="0.25">
      <c r="A1266" s="1" t="s">
        <v>2985</v>
      </c>
      <c r="B1266" s="1" t="s">
        <v>2986</v>
      </c>
      <c r="C1266" s="1" t="s">
        <v>2833</v>
      </c>
      <c r="D1266" s="14" t="s">
        <v>5528</v>
      </c>
    </row>
    <row r="1267" spans="1:4" hidden="1" x14ac:dyDescent="0.25">
      <c r="A1267" s="1" t="s">
        <v>2987</v>
      </c>
      <c r="B1267" s="1" t="s">
        <v>2988</v>
      </c>
      <c r="C1267" s="1" t="s">
        <v>2836</v>
      </c>
      <c r="D1267" s="14" t="s">
        <v>5528</v>
      </c>
    </row>
    <row r="1268" spans="1:4" hidden="1" x14ac:dyDescent="0.25">
      <c r="A1268" s="1" t="s">
        <v>2989</v>
      </c>
      <c r="B1268" s="1" t="s">
        <v>2990</v>
      </c>
      <c r="C1268" s="1" t="s">
        <v>2839</v>
      </c>
      <c r="D1268" s="14" t="s">
        <v>5528</v>
      </c>
    </row>
    <row r="1269" spans="1:4" hidden="1" x14ac:dyDescent="0.25">
      <c r="A1269" s="1" t="s">
        <v>2991</v>
      </c>
      <c r="B1269" s="1" t="s">
        <v>2992</v>
      </c>
      <c r="C1269" s="1" t="s">
        <v>2842</v>
      </c>
      <c r="D1269" s="14" t="s">
        <v>5528</v>
      </c>
    </row>
    <row r="1270" spans="1:4" hidden="1" x14ac:dyDescent="0.25">
      <c r="A1270" s="1" t="s">
        <v>2993</v>
      </c>
      <c r="B1270" s="1" t="s">
        <v>2994</v>
      </c>
      <c r="C1270" s="1" t="s">
        <v>2845</v>
      </c>
      <c r="D1270" s="14" t="s">
        <v>5528</v>
      </c>
    </row>
    <row r="1271" spans="1:4" hidden="1" x14ac:dyDescent="0.25">
      <c r="A1271" s="1" t="s">
        <v>2995</v>
      </c>
      <c r="B1271" s="1" t="s">
        <v>2996</v>
      </c>
      <c r="C1271" s="1" t="s">
        <v>2848</v>
      </c>
      <c r="D1271" s="14" t="s">
        <v>5528</v>
      </c>
    </row>
    <row r="1272" spans="1:4" hidden="1" x14ac:dyDescent="0.25">
      <c r="A1272" s="1" t="s">
        <v>2997</v>
      </c>
      <c r="B1272" s="1" t="s">
        <v>2998</v>
      </c>
      <c r="C1272" s="1" t="s">
        <v>2851</v>
      </c>
      <c r="D1272" s="14" t="s">
        <v>5528</v>
      </c>
    </row>
    <row r="1273" spans="1:4" hidden="1" x14ac:dyDescent="0.25">
      <c r="A1273" s="1" t="s">
        <v>2999</v>
      </c>
      <c r="B1273" s="1" t="s">
        <v>3000</v>
      </c>
      <c r="C1273" s="1" t="s">
        <v>2854</v>
      </c>
      <c r="D1273" s="14" t="s">
        <v>5528</v>
      </c>
    </row>
    <row r="1274" spans="1:4" hidden="1" x14ac:dyDescent="0.25">
      <c r="A1274" s="1" t="s">
        <v>3001</v>
      </c>
      <c r="B1274" s="1" t="s">
        <v>3002</v>
      </c>
      <c r="C1274" s="1" t="s">
        <v>2857</v>
      </c>
      <c r="D1274" s="14" t="s">
        <v>5528</v>
      </c>
    </row>
    <row r="1275" spans="1:4" hidden="1" x14ac:dyDescent="0.25">
      <c r="A1275" s="1" t="s">
        <v>3003</v>
      </c>
      <c r="B1275" s="1" t="s">
        <v>3004</v>
      </c>
      <c r="C1275" s="1" t="s">
        <v>2860</v>
      </c>
      <c r="D1275" s="14" t="s">
        <v>5528</v>
      </c>
    </row>
    <row r="1276" spans="1:4" hidden="1" x14ac:dyDescent="0.25">
      <c r="A1276" s="1" t="s">
        <v>3005</v>
      </c>
      <c r="B1276" s="1" t="s">
        <v>3006</v>
      </c>
      <c r="C1276" s="1" t="s">
        <v>2863</v>
      </c>
      <c r="D1276" s="14" t="s">
        <v>5528</v>
      </c>
    </row>
    <row r="1277" spans="1:4" hidden="1" x14ac:dyDescent="0.25">
      <c r="A1277" s="1" t="s">
        <v>3007</v>
      </c>
      <c r="B1277" s="1" t="s">
        <v>3008</v>
      </c>
      <c r="C1277" s="1" t="s">
        <v>2866</v>
      </c>
      <c r="D1277" s="14" t="s">
        <v>5528</v>
      </c>
    </row>
    <row r="1278" spans="1:4" hidden="1" x14ac:dyDescent="0.25">
      <c r="A1278" s="1" t="s">
        <v>3009</v>
      </c>
      <c r="B1278" s="1" t="s">
        <v>3010</v>
      </c>
      <c r="C1278" s="1" t="s">
        <v>2869</v>
      </c>
      <c r="D1278" s="14" t="s">
        <v>5528</v>
      </c>
    </row>
    <row r="1279" spans="1:4" hidden="1" x14ac:dyDescent="0.25">
      <c r="A1279" s="1" t="s">
        <v>3011</v>
      </c>
      <c r="B1279" s="1" t="s">
        <v>3012</v>
      </c>
      <c r="C1279" s="1" t="s">
        <v>2872</v>
      </c>
      <c r="D1279" s="14" t="s">
        <v>5528</v>
      </c>
    </row>
    <row r="1280" spans="1:4" hidden="1" x14ac:dyDescent="0.25">
      <c r="A1280" s="1" t="s">
        <v>3013</v>
      </c>
      <c r="B1280" s="1" t="s">
        <v>3014</v>
      </c>
      <c r="C1280" s="1" t="s">
        <v>3015</v>
      </c>
      <c r="D1280" s="14" t="s">
        <v>5528</v>
      </c>
    </row>
    <row r="1281" spans="1:4" hidden="1" x14ac:dyDescent="0.25">
      <c r="A1281" s="1" t="s">
        <v>3016</v>
      </c>
      <c r="B1281" s="1" t="s">
        <v>3017</v>
      </c>
      <c r="C1281" s="1" t="s">
        <v>3018</v>
      </c>
      <c r="D1281" s="14" t="s">
        <v>5528</v>
      </c>
    </row>
    <row r="1282" spans="1:4" hidden="1" x14ac:dyDescent="0.25">
      <c r="A1282" s="1" t="s">
        <v>3019</v>
      </c>
      <c r="B1282" s="1" t="s">
        <v>3020</v>
      </c>
      <c r="C1282" s="1" t="s">
        <v>3021</v>
      </c>
      <c r="D1282" s="14" t="s">
        <v>5528</v>
      </c>
    </row>
    <row r="1283" spans="1:4" hidden="1" x14ac:dyDescent="0.25">
      <c r="A1283" s="1" t="s">
        <v>3022</v>
      </c>
      <c r="B1283" s="1" t="s">
        <v>3023</v>
      </c>
      <c r="C1283" s="1" t="s">
        <v>3024</v>
      </c>
      <c r="D1283" s="14" t="s">
        <v>5528</v>
      </c>
    </row>
    <row r="1284" spans="1:4" hidden="1" x14ac:dyDescent="0.25">
      <c r="A1284" s="1" t="s">
        <v>3025</v>
      </c>
      <c r="B1284" s="1" t="s">
        <v>3026</v>
      </c>
      <c r="C1284" s="1" t="s">
        <v>3027</v>
      </c>
      <c r="D1284" s="14" t="s">
        <v>5528</v>
      </c>
    </row>
    <row r="1285" spans="1:4" hidden="1" x14ac:dyDescent="0.25">
      <c r="A1285" s="1" t="s">
        <v>3028</v>
      </c>
      <c r="B1285" s="1" t="s">
        <v>3029</v>
      </c>
      <c r="C1285" s="1" t="s">
        <v>3030</v>
      </c>
      <c r="D1285" s="14" t="s">
        <v>5528</v>
      </c>
    </row>
    <row r="1286" spans="1:4" hidden="1" x14ac:dyDescent="0.25">
      <c r="A1286" s="1" t="s">
        <v>3031</v>
      </c>
      <c r="B1286" s="1" t="s">
        <v>3032</v>
      </c>
      <c r="C1286" s="1" t="s">
        <v>3033</v>
      </c>
      <c r="D1286" s="14" t="s">
        <v>5528</v>
      </c>
    </row>
    <row r="1287" spans="1:4" hidden="1" x14ac:dyDescent="0.25">
      <c r="A1287" s="1" t="s">
        <v>3034</v>
      </c>
      <c r="B1287" s="1" t="s">
        <v>3035</v>
      </c>
      <c r="C1287" s="1" t="s">
        <v>3036</v>
      </c>
      <c r="D1287" s="14" t="s">
        <v>5528</v>
      </c>
    </row>
    <row r="1288" spans="1:4" hidden="1" x14ac:dyDescent="0.25">
      <c r="A1288" s="1" t="s">
        <v>3037</v>
      </c>
      <c r="B1288" s="1" t="s">
        <v>3038</v>
      </c>
      <c r="C1288" s="1" t="s">
        <v>3039</v>
      </c>
      <c r="D1288" s="14" t="s">
        <v>5528</v>
      </c>
    </row>
    <row r="1289" spans="1:4" hidden="1" x14ac:dyDescent="0.25">
      <c r="A1289" s="1" t="s">
        <v>3040</v>
      </c>
      <c r="B1289" s="1" t="s">
        <v>3041</v>
      </c>
      <c r="C1289" s="1" t="s">
        <v>3042</v>
      </c>
      <c r="D1289" s="14" t="s">
        <v>5528</v>
      </c>
    </row>
    <row r="1290" spans="1:4" hidden="1" x14ac:dyDescent="0.25">
      <c r="A1290" s="1" t="s">
        <v>3043</v>
      </c>
      <c r="B1290" s="1" t="s">
        <v>3044</v>
      </c>
      <c r="C1290" s="1" t="s">
        <v>3045</v>
      </c>
      <c r="D1290" s="14" t="s">
        <v>5528</v>
      </c>
    </row>
    <row r="1291" spans="1:4" hidden="1" x14ac:dyDescent="0.25">
      <c r="A1291" s="1" t="s">
        <v>3046</v>
      </c>
      <c r="B1291" s="1" t="s">
        <v>3047</v>
      </c>
      <c r="C1291" s="1" t="s">
        <v>3048</v>
      </c>
      <c r="D1291" s="14" t="s">
        <v>5528</v>
      </c>
    </row>
    <row r="1292" spans="1:4" hidden="1" x14ac:dyDescent="0.25">
      <c r="A1292" s="1" t="s">
        <v>3049</v>
      </c>
      <c r="B1292" s="1" t="s">
        <v>3050</v>
      </c>
      <c r="C1292" s="1" t="s">
        <v>3051</v>
      </c>
      <c r="D1292" s="14" t="s">
        <v>5528</v>
      </c>
    </row>
    <row r="1293" spans="1:4" hidden="1" x14ac:dyDescent="0.25">
      <c r="A1293" s="1" t="s">
        <v>3052</v>
      </c>
      <c r="B1293" s="1" t="s">
        <v>3053</v>
      </c>
      <c r="C1293" s="1" t="s">
        <v>3054</v>
      </c>
      <c r="D1293" s="14" t="s">
        <v>5528</v>
      </c>
    </row>
    <row r="1294" spans="1:4" hidden="1" x14ac:dyDescent="0.25">
      <c r="A1294" s="1" t="s">
        <v>3055</v>
      </c>
      <c r="B1294" s="1" t="s">
        <v>3056</v>
      </c>
      <c r="C1294" s="1" t="s">
        <v>3057</v>
      </c>
      <c r="D1294" s="14" t="s">
        <v>5528</v>
      </c>
    </row>
    <row r="1295" spans="1:4" hidden="1" x14ac:dyDescent="0.25">
      <c r="A1295" s="1" t="s">
        <v>3058</v>
      </c>
      <c r="B1295" s="1" t="s">
        <v>3059</v>
      </c>
      <c r="C1295" s="1" t="s">
        <v>3060</v>
      </c>
      <c r="D1295" s="14" t="s">
        <v>5528</v>
      </c>
    </row>
    <row r="1296" spans="1:4" hidden="1" x14ac:dyDescent="0.25">
      <c r="A1296" s="1" t="s">
        <v>3061</v>
      </c>
      <c r="B1296" s="1" t="s">
        <v>3062</v>
      </c>
      <c r="C1296" s="1" t="s">
        <v>3063</v>
      </c>
      <c r="D1296" s="14" t="s">
        <v>5528</v>
      </c>
    </row>
    <row r="1297" spans="1:4" hidden="1" x14ac:dyDescent="0.25">
      <c r="A1297" s="1" t="s">
        <v>3064</v>
      </c>
      <c r="B1297" s="1" t="s">
        <v>3065</v>
      </c>
      <c r="C1297" s="1" t="s">
        <v>3066</v>
      </c>
      <c r="D1297" s="14" t="s">
        <v>5528</v>
      </c>
    </row>
    <row r="1298" spans="1:4" hidden="1" x14ac:dyDescent="0.25">
      <c r="A1298" s="1" t="s">
        <v>3067</v>
      </c>
      <c r="B1298" s="1" t="s">
        <v>3068</v>
      </c>
      <c r="C1298" s="1" t="s">
        <v>3069</v>
      </c>
      <c r="D1298" s="14" t="s">
        <v>5528</v>
      </c>
    </row>
    <row r="1299" spans="1:4" hidden="1" x14ac:dyDescent="0.25">
      <c r="A1299" s="1" t="s">
        <v>3070</v>
      </c>
      <c r="B1299" s="1" t="s">
        <v>3071</v>
      </c>
      <c r="C1299" s="1" t="s">
        <v>3072</v>
      </c>
      <c r="D1299" s="14" t="s">
        <v>5528</v>
      </c>
    </row>
    <row r="1300" spans="1:4" hidden="1" x14ac:dyDescent="0.25">
      <c r="A1300" s="1" t="s">
        <v>3073</v>
      </c>
      <c r="B1300" s="1" t="s">
        <v>3074</v>
      </c>
      <c r="C1300" s="1" t="s">
        <v>3075</v>
      </c>
      <c r="D1300" s="14" t="s">
        <v>5528</v>
      </c>
    </row>
    <row r="1301" spans="1:4" hidden="1" x14ac:dyDescent="0.25">
      <c r="A1301" s="1" t="s">
        <v>3076</v>
      </c>
      <c r="B1301" s="1" t="s">
        <v>3077</v>
      </c>
      <c r="C1301" s="1" t="s">
        <v>3078</v>
      </c>
      <c r="D1301" s="14" t="s">
        <v>5528</v>
      </c>
    </row>
    <row r="1302" spans="1:4" hidden="1" x14ac:dyDescent="0.25">
      <c r="A1302" s="1" t="s">
        <v>3079</v>
      </c>
      <c r="B1302" s="1" t="s">
        <v>3080</v>
      </c>
      <c r="C1302" s="1" t="s">
        <v>3081</v>
      </c>
      <c r="D1302" s="14" t="s">
        <v>5528</v>
      </c>
    </row>
    <row r="1303" spans="1:4" hidden="1" x14ac:dyDescent="0.25">
      <c r="A1303" s="1" t="s">
        <v>3082</v>
      </c>
      <c r="B1303" s="1" t="s">
        <v>3083</v>
      </c>
      <c r="C1303" s="1" t="s">
        <v>3084</v>
      </c>
      <c r="D1303" s="14" t="s">
        <v>5528</v>
      </c>
    </row>
    <row r="1304" spans="1:4" hidden="1" x14ac:dyDescent="0.25">
      <c r="A1304" s="1" t="s">
        <v>3085</v>
      </c>
      <c r="B1304" s="1" t="s">
        <v>3086</v>
      </c>
      <c r="C1304" s="1" t="s">
        <v>3087</v>
      </c>
      <c r="D1304" s="14" t="s">
        <v>5528</v>
      </c>
    </row>
    <row r="1305" spans="1:4" hidden="1" x14ac:dyDescent="0.25">
      <c r="A1305" s="1" t="s">
        <v>3088</v>
      </c>
      <c r="B1305" s="1" t="s">
        <v>3089</v>
      </c>
      <c r="C1305" s="1" t="s">
        <v>3090</v>
      </c>
      <c r="D1305" s="14" t="s">
        <v>5528</v>
      </c>
    </row>
    <row r="1306" spans="1:4" hidden="1" x14ac:dyDescent="0.25">
      <c r="A1306" s="1" t="s">
        <v>3091</v>
      </c>
      <c r="B1306" s="1" t="s">
        <v>3092</v>
      </c>
      <c r="C1306" s="1" t="s">
        <v>3093</v>
      </c>
      <c r="D1306" s="14" t="s">
        <v>5528</v>
      </c>
    </row>
    <row r="1307" spans="1:4" hidden="1" x14ac:dyDescent="0.25">
      <c r="A1307" s="1" t="s">
        <v>3094</v>
      </c>
      <c r="B1307" s="1" t="s">
        <v>3095</v>
      </c>
      <c r="C1307" s="1" t="s">
        <v>3096</v>
      </c>
      <c r="D1307" s="14" t="s">
        <v>5528</v>
      </c>
    </row>
    <row r="1308" spans="1:4" hidden="1" x14ac:dyDescent="0.25">
      <c r="A1308" s="1" t="s">
        <v>3097</v>
      </c>
      <c r="B1308" s="1" t="s">
        <v>3098</v>
      </c>
      <c r="C1308" s="1" t="s">
        <v>3099</v>
      </c>
      <c r="D1308" s="14" t="s">
        <v>5528</v>
      </c>
    </row>
    <row r="1309" spans="1:4" hidden="1" x14ac:dyDescent="0.25">
      <c r="A1309" s="1" t="s">
        <v>3100</v>
      </c>
      <c r="B1309" s="1" t="s">
        <v>3101</v>
      </c>
      <c r="C1309" s="1" t="s">
        <v>3102</v>
      </c>
      <c r="D1309" s="14" t="s">
        <v>5528</v>
      </c>
    </row>
    <row r="1310" spans="1:4" hidden="1" x14ac:dyDescent="0.25">
      <c r="A1310" s="1" t="s">
        <v>3103</v>
      </c>
      <c r="B1310" s="1" t="s">
        <v>3104</v>
      </c>
      <c r="C1310" s="1" t="s">
        <v>3105</v>
      </c>
      <c r="D1310" s="14" t="s">
        <v>5528</v>
      </c>
    </row>
    <row r="1311" spans="1:4" hidden="1" x14ac:dyDescent="0.25">
      <c r="A1311" s="1" t="s">
        <v>3106</v>
      </c>
      <c r="B1311" s="1" t="s">
        <v>3107</v>
      </c>
      <c r="C1311" s="1" t="s">
        <v>3108</v>
      </c>
      <c r="D1311" s="14" t="s">
        <v>5528</v>
      </c>
    </row>
    <row r="1312" spans="1:4" hidden="1" x14ac:dyDescent="0.25">
      <c r="A1312" s="1" t="s">
        <v>3109</v>
      </c>
      <c r="B1312" s="1" t="s">
        <v>3110</v>
      </c>
      <c r="C1312" s="1" t="s">
        <v>3111</v>
      </c>
      <c r="D1312" s="14" t="s">
        <v>5528</v>
      </c>
    </row>
    <row r="1313" spans="1:4" hidden="1" x14ac:dyDescent="0.25">
      <c r="A1313" s="1" t="s">
        <v>3112</v>
      </c>
      <c r="B1313" s="1" t="s">
        <v>3113</v>
      </c>
      <c r="C1313" s="1" t="s">
        <v>3114</v>
      </c>
      <c r="D1313" s="14" t="s">
        <v>5528</v>
      </c>
    </row>
    <row r="1314" spans="1:4" hidden="1" x14ac:dyDescent="0.25">
      <c r="A1314" s="1" t="s">
        <v>3115</v>
      </c>
      <c r="B1314" s="1" t="s">
        <v>3116</v>
      </c>
      <c r="C1314" s="1" t="s">
        <v>3117</v>
      </c>
      <c r="D1314" s="14" t="s">
        <v>5528</v>
      </c>
    </row>
    <row r="1315" spans="1:4" hidden="1" x14ac:dyDescent="0.25">
      <c r="A1315" s="1" t="s">
        <v>3118</v>
      </c>
      <c r="B1315" s="1" t="s">
        <v>3119</v>
      </c>
      <c r="C1315" s="1" t="s">
        <v>3015</v>
      </c>
      <c r="D1315" s="14" t="s">
        <v>5528</v>
      </c>
    </row>
    <row r="1316" spans="1:4" hidden="1" x14ac:dyDescent="0.25">
      <c r="A1316" s="1" t="s">
        <v>3120</v>
      </c>
      <c r="B1316" s="1" t="s">
        <v>3121</v>
      </c>
      <c r="C1316" s="1" t="s">
        <v>3018</v>
      </c>
      <c r="D1316" s="14" t="s">
        <v>5528</v>
      </c>
    </row>
    <row r="1317" spans="1:4" hidden="1" x14ac:dyDescent="0.25">
      <c r="A1317" s="1" t="s">
        <v>3122</v>
      </c>
      <c r="B1317" s="1" t="s">
        <v>3123</v>
      </c>
      <c r="C1317" s="1" t="s">
        <v>3021</v>
      </c>
      <c r="D1317" s="14" t="s">
        <v>5528</v>
      </c>
    </row>
    <row r="1318" spans="1:4" hidden="1" x14ac:dyDescent="0.25">
      <c r="A1318" s="1" t="s">
        <v>3124</v>
      </c>
      <c r="B1318" s="1" t="s">
        <v>3125</v>
      </c>
      <c r="C1318" s="1" t="s">
        <v>3024</v>
      </c>
      <c r="D1318" s="14" t="s">
        <v>5528</v>
      </c>
    </row>
    <row r="1319" spans="1:4" hidden="1" x14ac:dyDescent="0.25">
      <c r="A1319" s="1" t="s">
        <v>3126</v>
      </c>
      <c r="B1319" s="1" t="s">
        <v>3127</v>
      </c>
      <c r="C1319" s="1" t="s">
        <v>3027</v>
      </c>
      <c r="D1319" s="14" t="s">
        <v>5528</v>
      </c>
    </row>
    <row r="1320" spans="1:4" hidden="1" x14ac:dyDescent="0.25">
      <c r="A1320" s="1" t="s">
        <v>3128</v>
      </c>
      <c r="B1320" s="1" t="s">
        <v>3129</v>
      </c>
      <c r="C1320" s="1" t="s">
        <v>3030</v>
      </c>
      <c r="D1320" s="14" t="s">
        <v>5528</v>
      </c>
    </row>
    <row r="1321" spans="1:4" hidden="1" x14ac:dyDescent="0.25">
      <c r="A1321" s="1" t="s">
        <v>3130</v>
      </c>
      <c r="B1321" s="1" t="s">
        <v>3131</v>
      </c>
      <c r="C1321" s="1" t="s">
        <v>3033</v>
      </c>
      <c r="D1321" s="14" t="s">
        <v>5528</v>
      </c>
    </row>
    <row r="1322" spans="1:4" hidden="1" x14ac:dyDescent="0.25">
      <c r="A1322" s="1" t="s">
        <v>3132</v>
      </c>
      <c r="B1322" s="1" t="s">
        <v>3133</v>
      </c>
      <c r="C1322" s="1" t="s">
        <v>3036</v>
      </c>
      <c r="D1322" s="14" t="s">
        <v>5528</v>
      </c>
    </row>
    <row r="1323" spans="1:4" hidden="1" x14ac:dyDescent="0.25">
      <c r="A1323" s="1" t="s">
        <v>3134</v>
      </c>
      <c r="B1323" s="1" t="s">
        <v>3135</v>
      </c>
      <c r="C1323" s="1" t="s">
        <v>3039</v>
      </c>
      <c r="D1323" s="14" t="s">
        <v>5528</v>
      </c>
    </row>
    <row r="1324" spans="1:4" hidden="1" x14ac:dyDescent="0.25">
      <c r="A1324" s="1" t="s">
        <v>3136</v>
      </c>
      <c r="B1324" s="1" t="s">
        <v>3137</v>
      </c>
      <c r="C1324" s="1" t="s">
        <v>3042</v>
      </c>
      <c r="D1324" s="14" t="s">
        <v>5528</v>
      </c>
    </row>
    <row r="1325" spans="1:4" hidden="1" x14ac:dyDescent="0.25">
      <c r="A1325" s="1" t="s">
        <v>3138</v>
      </c>
      <c r="B1325" s="1" t="s">
        <v>3139</v>
      </c>
      <c r="C1325" s="1" t="s">
        <v>3045</v>
      </c>
      <c r="D1325" s="14" t="s">
        <v>5528</v>
      </c>
    </row>
    <row r="1326" spans="1:4" hidden="1" x14ac:dyDescent="0.25">
      <c r="A1326" s="1" t="s">
        <v>3140</v>
      </c>
      <c r="B1326" s="1" t="s">
        <v>3141</v>
      </c>
      <c r="C1326" s="1" t="s">
        <v>3048</v>
      </c>
      <c r="D1326" s="14" t="s">
        <v>5528</v>
      </c>
    </row>
    <row r="1327" spans="1:4" hidden="1" x14ac:dyDescent="0.25">
      <c r="A1327" s="1" t="s">
        <v>3142</v>
      </c>
      <c r="B1327" s="1" t="s">
        <v>3143</v>
      </c>
      <c r="C1327" s="1" t="s">
        <v>3051</v>
      </c>
      <c r="D1327" s="14" t="s">
        <v>5528</v>
      </c>
    </row>
    <row r="1328" spans="1:4" hidden="1" x14ac:dyDescent="0.25">
      <c r="A1328" s="1" t="s">
        <v>3144</v>
      </c>
      <c r="B1328" s="1" t="s">
        <v>3145</v>
      </c>
      <c r="C1328" s="1" t="s">
        <v>3054</v>
      </c>
      <c r="D1328" s="14" t="s">
        <v>5528</v>
      </c>
    </row>
    <row r="1329" spans="1:4" hidden="1" x14ac:dyDescent="0.25">
      <c r="A1329" s="1" t="s">
        <v>3146</v>
      </c>
      <c r="B1329" s="1" t="s">
        <v>3147</v>
      </c>
      <c r="C1329" s="1" t="s">
        <v>3057</v>
      </c>
      <c r="D1329" s="14" t="s">
        <v>5528</v>
      </c>
    </row>
    <row r="1330" spans="1:4" hidden="1" x14ac:dyDescent="0.25">
      <c r="A1330" s="1" t="s">
        <v>3148</v>
      </c>
      <c r="B1330" s="1" t="s">
        <v>3149</v>
      </c>
      <c r="C1330" s="1" t="s">
        <v>3060</v>
      </c>
      <c r="D1330" s="14" t="s">
        <v>5528</v>
      </c>
    </row>
    <row r="1331" spans="1:4" hidden="1" x14ac:dyDescent="0.25">
      <c r="A1331" s="1" t="s">
        <v>3150</v>
      </c>
      <c r="B1331" s="1" t="s">
        <v>3151</v>
      </c>
      <c r="C1331" s="1" t="s">
        <v>3063</v>
      </c>
      <c r="D1331" s="14" t="s">
        <v>5528</v>
      </c>
    </row>
    <row r="1332" spans="1:4" hidden="1" x14ac:dyDescent="0.25">
      <c r="A1332" s="1" t="s">
        <v>3152</v>
      </c>
      <c r="B1332" s="1" t="s">
        <v>3153</v>
      </c>
      <c r="C1332" s="1" t="s">
        <v>3066</v>
      </c>
      <c r="D1332" s="14" t="s">
        <v>5528</v>
      </c>
    </row>
    <row r="1333" spans="1:4" hidden="1" x14ac:dyDescent="0.25">
      <c r="A1333" s="1" t="s">
        <v>3154</v>
      </c>
      <c r="B1333" s="1" t="s">
        <v>3155</v>
      </c>
      <c r="C1333" s="1" t="s">
        <v>3069</v>
      </c>
      <c r="D1333" s="14" t="s">
        <v>5528</v>
      </c>
    </row>
    <row r="1334" spans="1:4" hidden="1" x14ac:dyDescent="0.25">
      <c r="A1334" s="1" t="s">
        <v>3156</v>
      </c>
      <c r="B1334" s="1" t="s">
        <v>3157</v>
      </c>
      <c r="C1334" s="1" t="s">
        <v>3072</v>
      </c>
      <c r="D1334" s="14" t="s">
        <v>5528</v>
      </c>
    </row>
    <row r="1335" spans="1:4" hidden="1" x14ac:dyDescent="0.25">
      <c r="A1335" s="1" t="s">
        <v>3158</v>
      </c>
      <c r="B1335" s="1" t="s">
        <v>3159</v>
      </c>
      <c r="C1335" s="1" t="s">
        <v>3075</v>
      </c>
      <c r="D1335" s="14" t="s">
        <v>5528</v>
      </c>
    </row>
    <row r="1336" spans="1:4" hidden="1" x14ac:dyDescent="0.25">
      <c r="A1336" s="1" t="s">
        <v>3160</v>
      </c>
      <c r="B1336" s="1" t="s">
        <v>3161</v>
      </c>
      <c r="C1336" s="1" t="s">
        <v>3078</v>
      </c>
      <c r="D1336" s="14" t="s">
        <v>5528</v>
      </c>
    </row>
    <row r="1337" spans="1:4" hidden="1" x14ac:dyDescent="0.25">
      <c r="A1337" s="1" t="s">
        <v>3162</v>
      </c>
      <c r="B1337" s="1" t="s">
        <v>3163</v>
      </c>
      <c r="C1337" s="1" t="s">
        <v>3081</v>
      </c>
      <c r="D1337" s="14" t="s">
        <v>5528</v>
      </c>
    </row>
    <row r="1338" spans="1:4" hidden="1" x14ac:dyDescent="0.25">
      <c r="A1338" s="1" t="s">
        <v>3164</v>
      </c>
      <c r="B1338" s="1" t="s">
        <v>3165</v>
      </c>
      <c r="C1338" s="1" t="s">
        <v>3084</v>
      </c>
      <c r="D1338" s="14" t="s">
        <v>5528</v>
      </c>
    </row>
    <row r="1339" spans="1:4" hidden="1" x14ac:dyDescent="0.25">
      <c r="A1339" s="1" t="s">
        <v>3166</v>
      </c>
      <c r="B1339" s="1" t="s">
        <v>3167</v>
      </c>
      <c r="C1339" s="1" t="s">
        <v>3087</v>
      </c>
      <c r="D1339" s="14" t="s">
        <v>5528</v>
      </c>
    </row>
    <row r="1340" spans="1:4" hidden="1" x14ac:dyDescent="0.25">
      <c r="A1340" s="1" t="s">
        <v>3168</v>
      </c>
      <c r="B1340" s="1" t="s">
        <v>3169</v>
      </c>
      <c r="C1340" s="1" t="s">
        <v>3090</v>
      </c>
      <c r="D1340" s="14" t="s">
        <v>5528</v>
      </c>
    </row>
    <row r="1341" spans="1:4" hidden="1" x14ac:dyDescent="0.25">
      <c r="A1341" s="1" t="s">
        <v>3170</v>
      </c>
      <c r="B1341" s="1" t="s">
        <v>3171</v>
      </c>
      <c r="C1341" s="1" t="s">
        <v>3093</v>
      </c>
      <c r="D1341" s="14" t="s">
        <v>5528</v>
      </c>
    </row>
    <row r="1342" spans="1:4" hidden="1" x14ac:dyDescent="0.25">
      <c r="A1342" s="1" t="s">
        <v>3172</v>
      </c>
      <c r="B1342" s="1" t="s">
        <v>3173</v>
      </c>
      <c r="C1342" s="1" t="s">
        <v>3096</v>
      </c>
      <c r="D1342" s="14" t="s">
        <v>5528</v>
      </c>
    </row>
    <row r="1343" spans="1:4" hidden="1" x14ac:dyDescent="0.25">
      <c r="A1343" s="1" t="s">
        <v>3174</v>
      </c>
      <c r="B1343" s="1" t="s">
        <v>3175</v>
      </c>
      <c r="C1343" s="1" t="s">
        <v>3099</v>
      </c>
      <c r="D1343" s="14" t="s">
        <v>5528</v>
      </c>
    </row>
    <row r="1344" spans="1:4" hidden="1" x14ac:dyDescent="0.25">
      <c r="A1344" s="1" t="s">
        <v>3176</v>
      </c>
      <c r="B1344" s="1" t="s">
        <v>3177</v>
      </c>
      <c r="C1344" s="1" t="s">
        <v>3102</v>
      </c>
      <c r="D1344" s="14" t="s">
        <v>5528</v>
      </c>
    </row>
    <row r="1345" spans="1:4" hidden="1" x14ac:dyDescent="0.25">
      <c r="A1345" s="1" t="s">
        <v>3178</v>
      </c>
      <c r="B1345" s="1" t="s">
        <v>3179</v>
      </c>
      <c r="C1345" s="1" t="s">
        <v>3105</v>
      </c>
      <c r="D1345" s="14" t="s">
        <v>5528</v>
      </c>
    </row>
    <row r="1346" spans="1:4" hidden="1" x14ac:dyDescent="0.25">
      <c r="A1346" s="1" t="s">
        <v>3180</v>
      </c>
      <c r="B1346" s="1" t="s">
        <v>3181</v>
      </c>
      <c r="C1346" s="1" t="s">
        <v>3108</v>
      </c>
      <c r="D1346" s="14" t="s">
        <v>5528</v>
      </c>
    </row>
    <row r="1347" spans="1:4" hidden="1" x14ac:dyDescent="0.25">
      <c r="A1347" s="1" t="s">
        <v>3182</v>
      </c>
      <c r="B1347" s="1" t="s">
        <v>3183</v>
      </c>
      <c r="C1347" s="1" t="s">
        <v>3111</v>
      </c>
      <c r="D1347" s="14" t="s">
        <v>5528</v>
      </c>
    </row>
    <row r="1348" spans="1:4" hidden="1" x14ac:dyDescent="0.25">
      <c r="A1348" s="1" t="s">
        <v>3184</v>
      </c>
      <c r="B1348" s="1" t="s">
        <v>3185</v>
      </c>
      <c r="C1348" s="1" t="s">
        <v>3114</v>
      </c>
      <c r="D1348" s="14" t="s">
        <v>5528</v>
      </c>
    </row>
    <row r="1349" spans="1:4" hidden="1" x14ac:dyDescent="0.25">
      <c r="A1349" s="1" t="s">
        <v>3186</v>
      </c>
      <c r="B1349" s="1" t="s">
        <v>3187</v>
      </c>
      <c r="C1349" s="1" t="s">
        <v>3117</v>
      </c>
      <c r="D1349" s="14" t="s">
        <v>5528</v>
      </c>
    </row>
    <row r="1350" spans="1:4" hidden="1" x14ac:dyDescent="0.25">
      <c r="A1350" s="1" t="s">
        <v>3188</v>
      </c>
      <c r="B1350" s="1" t="s">
        <v>3189</v>
      </c>
      <c r="C1350" s="1" t="s">
        <v>3015</v>
      </c>
      <c r="D1350" s="14" t="s">
        <v>5528</v>
      </c>
    </row>
    <row r="1351" spans="1:4" hidden="1" x14ac:dyDescent="0.25">
      <c r="A1351" s="1" t="s">
        <v>3190</v>
      </c>
      <c r="B1351" s="1" t="s">
        <v>3191</v>
      </c>
      <c r="C1351" s="1" t="s">
        <v>3018</v>
      </c>
      <c r="D1351" s="14" t="s">
        <v>5528</v>
      </c>
    </row>
    <row r="1352" spans="1:4" hidden="1" x14ac:dyDescent="0.25">
      <c r="A1352" s="1" t="s">
        <v>3192</v>
      </c>
      <c r="B1352" s="1" t="s">
        <v>3193</v>
      </c>
      <c r="C1352" s="1" t="s">
        <v>3021</v>
      </c>
      <c r="D1352" s="14" t="s">
        <v>5528</v>
      </c>
    </row>
    <row r="1353" spans="1:4" hidden="1" x14ac:dyDescent="0.25">
      <c r="A1353" s="1" t="s">
        <v>3194</v>
      </c>
      <c r="B1353" s="1" t="s">
        <v>3195</v>
      </c>
      <c r="C1353" s="1" t="s">
        <v>3024</v>
      </c>
      <c r="D1353" s="14" t="s">
        <v>5528</v>
      </c>
    </row>
    <row r="1354" spans="1:4" hidden="1" x14ac:dyDescent="0.25">
      <c r="A1354" s="1" t="s">
        <v>3196</v>
      </c>
      <c r="B1354" s="1" t="s">
        <v>3197</v>
      </c>
      <c r="C1354" s="1" t="s">
        <v>3027</v>
      </c>
      <c r="D1354" s="14" t="s">
        <v>5528</v>
      </c>
    </row>
    <row r="1355" spans="1:4" hidden="1" x14ac:dyDescent="0.25">
      <c r="A1355" s="1" t="s">
        <v>3198</v>
      </c>
      <c r="B1355" s="1" t="s">
        <v>3199</v>
      </c>
      <c r="C1355" s="1" t="s">
        <v>3030</v>
      </c>
      <c r="D1355" s="14" t="s">
        <v>5528</v>
      </c>
    </row>
    <row r="1356" spans="1:4" hidden="1" x14ac:dyDescent="0.25">
      <c r="A1356" s="1" t="s">
        <v>3200</v>
      </c>
      <c r="B1356" s="1" t="s">
        <v>3201</v>
      </c>
      <c r="C1356" s="1" t="s">
        <v>3033</v>
      </c>
      <c r="D1356" s="14" t="s">
        <v>5528</v>
      </c>
    </row>
    <row r="1357" spans="1:4" hidden="1" x14ac:dyDescent="0.25">
      <c r="A1357" s="1" t="s">
        <v>3202</v>
      </c>
      <c r="B1357" s="1" t="s">
        <v>3203</v>
      </c>
      <c r="C1357" s="1" t="s">
        <v>3036</v>
      </c>
      <c r="D1357" s="14" t="s">
        <v>5528</v>
      </c>
    </row>
    <row r="1358" spans="1:4" hidden="1" x14ac:dyDescent="0.25">
      <c r="A1358" s="1" t="s">
        <v>3204</v>
      </c>
      <c r="B1358" s="1" t="s">
        <v>3205</v>
      </c>
      <c r="C1358" s="1" t="s">
        <v>3039</v>
      </c>
      <c r="D1358" s="14" t="s">
        <v>5528</v>
      </c>
    </row>
    <row r="1359" spans="1:4" hidden="1" x14ac:dyDescent="0.25">
      <c r="A1359" s="1" t="s">
        <v>3206</v>
      </c>
      <c r="B1359" s="1" t="s">
        <v>3207</v>
      </c>
      <c r="C1359" s="1" t="s">
        <v>3042</v>
      </c>
      <c r="D1359" s="14" t="s">
        <v>5528</v>
      </c>
    </row>
    <row r="1360" spans="1:4" hidden="1" x14ac:dyDescent="0.25">
      <c r="A1360" s="1" t="s">
        <v>3208</v>
      </c>
      <c r="B1360" s="1" t="s">
        <v>3209</v>
      </c>
      <c r="C1360" s="1" t="s">
        <v>3045</v>
      </c>
      <c r="D1360" s="14" t="s">
        <v>5528</v>
      </c>
    </row>
    <row r="1361" spans="1:4" hidden="1" x14ac:dyDescent="0.25">
      <c r="A1361" s="1" t="s">
        <v>3210</v>
      </c>
      <c r="B1361" s="1" t="s">
        <v>3211</v>
      </c>
      <c r="C1361" s="1" t="s">
        <v>3048</v>
      </c>
      <c r="D1361" s="14" t="s">
        <v>5528</v>
      </c>
    </row>
    <row r="1362" spans="1:4" hidden="1" x14ac:dyDescent="0.25">
      <c r="A1362" s="1" t="s">
        <v>3212</v>
      </c>
      <c r="B1362" s="1" t="s">
        <v>3213</v>
      </c>
      <c r="C1362" s="1" t="s">
        <v>3051</v>
      </c>
      <c r="D1362" s="14" t="s">
        <v>5528</v>
      </c>
    </row>
    <row r="1363" spans="1:4" hidden="1" x14ac:dyDescent="0.25">
      <c r="A1363" s="1" t="s">
        <v>3214</v>
      </c>
      <c r="B1363" s="1" t="s">
        <v>3215</v>
      </c>
      <c r="C1363" s="1" t="s">
        <v>3054</v>
      </c>
      <c r="D1363" s="14" t="s">
        <v>5528</v>
      </c>
    </row>
    <row r="1364" spans="1:4" hidden="1" x14ac:dyDescent="0.25">
      <c r="A1364" s="1" t="s">
        <v>3216</v>
      </c>
      <c r="B1364" s="1" t="s">
        <v>3217</v>
      </c>
      <c r="C1364" s="1" t="s">
        <v>3057</v>
      </c>
      <c r="D1364" s="14" t="s">
        <v>5528</v>
      </c>
    </row>
    <row r="1365" spans="1:4" hidden="1" x14ac:dyDescent="0.25">
      <c r="A1365" s="1" t="s">
        <v>3218</v>
      </c>
      <c r="B1365" s="1" t="s">
        <v>3219</v>
      </c>
      <c r="C1365" s="1" t="s">
        <v>3060</v>
      </c>
      <c r="D1365" s="14" t="s">
        <v>5528</v>
      </c>
    </row>
    <row r="1366" spans="1:4" hidden="1" x14ac:dyDescent="0.25">
      <c r="A1366" s="1" t="s">
        <v>3220</v>
      </c>
      <c r="B1366" s="1" t="s">
        <v>3221</v>
      </c>
      <c r="C1366" s="1" t="s">
        <v>3063</v>
      </c>
      <c r="D1366" s="14" t="s">
        <v>5528</v>
      </c>
    </row>
    <row r="1367" spans="1:4" hidden="1" x14ac:dyDescent="0.25">
      <c r="A1367" s="1" t="s">
        <v>3222</v>
      </c>
      <c r="B1367" s="1" t="s">
        <v>3223</v>
      </c>
      <c r="C1367" s="1" t="s">
        <v>3066</v>
      </c>
      <c r="D1367" s="14" t="s">
        <v>5528</v>
      </c>
    </row>
    <row r="1368" spans="1:4" hidden="1" x14ac:dyDescent="0.25">
      <c r="A1368" s="1" t="s">
        <v>3224</v>
      </c>
      <c r="B1368" s="1" t="s">
        <v>3225</v>
      </c>
      <c r="C1368" s="1" t="s">
        <v>3069</v>
      </c>
      <c r="D1368" s="14" t="s">
        <v>5528</v>
      </c>
    </row>
    <row r="1369" spans="1:4" hidden="1" x14ac:dyDescent="0.25">
      <c r="A1369" s="1" t="s">
        <v>3226</v>
      </c>
      <c r="B1369" s="1" t="s">
        <v>3227</v>
      </c>
      <c r="C1369" s="1" t="s">
        <v>3072</v>
      </c>
      <c r="D1369" s="14" t="s">
        <v>5528</v>
      </c>
    </row>
    <row r="1370" spans="1:4" hidden="1" x14ac:dyDescent="0.25">
      <c r="A1370" s="1" t="s">
        <v>3228</v>
      </c>
      <c r="B1370" s="1" t="s">
        <v>3229</v>
      </c>
      <c r="C1370" s="1" t="s">
        <v>3075</v>
      </c>
      <c r="D1370" s="14" t="s">
        <v>5528</v>
      </c>
    </row>
    <row r="1371" spans="1:4" hidden="1" x14ac:dyDescent="0.25">
      <c r="A1371" s="1" t="s">
        <v>3230</v>
      </c>
      <c r="B1371" s="1" t="s">
        <v>3231</v>
      </c>
      <c r="C1371" s="1" t="s">
        <v>3078</v>
      </c>
      <c r="D1371" s="14" t="s">
        <v>5528</v>
      </c>
    </row>
    <row r="1372" spans="1:4" hidden="1" x14ac:dyDescent="0.25">
      <c r="A1372" s="1" t="s">
        <v>3232</v>
      </c>
      <c r="B1372" s="1" t="s">
        <v>3233</v>
      </c>
      <c r="C1372" s="1" t="s">
        <v>3081</v>
      </c>
      <c r="D1372" s="14" t="s">
        <v>5528</v>
      </c>
    </row>
    <row r="1373" spans="1:4" hidden="1" x14ac:dyDescent="0.25">
      <c r="A1373" s="1" t="s">
        <v>3234</v>
      </c>
      <c r="B1373" s="1" t="s">
        <v>3235</v>
      </c>
      <c r="C1373" s="1" t="s">
        <v>3084</v>
      </c>
      <c r="D1373" s="14" t="s">
        <v>5528</v>
      </c>
    </row>
    <row r="1374" spans="1:4" hidden="1" x14ac:dyDescent="0.25">
      <c r="A1374" s="1" t="s">
        <v>3236</v>
      </c>
      <c r="B1374" s="1" t="s">
        <v>3237</v>
      </c>
      <c r="C1374" s="1" t="s">
        <v>3087</v>
      </c>
      <c r="D1374" s="14" t="s">
        <v>5528</v>
      </c>
    </row>
    <row r="1375" spans="1:4" hidden="1" x14ac:dyDescent="0.25">
      <c r="A1375" s="1" t="s">
        <v>3238</v>
      </c>
      <c r="B1375" s="1" t="s">
        <v>3239</v>
      </c>
      <c r="C1375" s="1" t="s">
        <v>3090</v>
      </c>
      <c r="D1375" s="14" t="s">
        <v>5528</v>
      </c>
    </row>
    <row r="1376" spans="1:4" hidden="1" x14ac:dyDescent="0.25">
      <c r="A1376" s="1" t="s">
        <v>3240</v>
      </c>
      <c r="B1376" s="1" t="s">
        <v>3241</v>
      </c>
      <c r="C1376" s="1" t="s">
        <v>3093</v>
      </c>
      <c r="D1376" s="14" t="s">
        <v>5528</v>
      </c>
    </row>
    <row r="1377" spans="1:4" hidden="1" x14ac:dyDescent="0.25">
      <c r="A1377" s="1" t="s">
        <v>3242</v>
      </c>
      <c r="B1377" s="1" t="s">
        <v>3243</v>
      </c>
      <c r="C1377" s="1" t="s">
        <v>3096</v>
      </c>
      <c r="D1377" s="14" t="s">
        <v>5528</v>
      </c>
    </row>
    <row r="1378" spans="1:4" hidden="1" x14ac:dyDescent="0.25">
      <c r="A1378" s="1" t="s">
        <v>3244</v>
      </c>
      <c r="B1378" s="1" t="s">
        <v>3245</v>
      </c>
      <c r="C1378" s="1" t="s">
        <v>3099</v>
      </c>
      <c r="D1378" s="14" t="s">
        <v>5528</v>
      </c>
    </row>
    <row r="1379" spans="1:4" hidden="1" x14ac:dyDescent="0.25">
      <c r="A1379" s="1" t="s">
        <v>3246</v>
      </c>
      <c r="B1379" s="1" t="s">
        <v>3247</v>
      </c>
      <c r="C1379" s="1" t="s">
        <v>3102</v>
      </c>
      <c r="D1379" s="14" t="s">
        <v>5528</v>
      </c>
    </row>
    <row r="1380" spans="1:4" hidden="1" x14ac:dyDescent="0.25">
      <c r="A1380" s="1" t="s">
        <v>3248</v>
      </c>
      <c r="B1380" s="1" t="s">
        <v>3249</v>
      </c>
      <c r="C1380" s="1" t="s">
        <v>3105</v>
      </c>
      <c r="D1380" s="14" t="s">
        <v>5528</v>
      </c>
    </row>
    <row r="1381" spans="1:4" hidden="1" x14ac:dyDescent="0.25">
      <c r="A1381" s="1" t="s">
        <v>3250</v>
      </c>
      <c r="B1381" s="1" t="s">
        <v>3251</v>
      </c>
      <c r="C1381" s="1" t="s">
        <v>3108</v>
      </c>
      <c r="D1381" s="14" t="s">
        <v>5528</v>
      </c>
    </row>
    <row r="1382" spans="1:4" hidden="1" x14ac:dyDescent="0.25">
      <c r="A1382" s="1" t="s">
        <v>3252</v>
      </c>
      <c r="B1382" s="1" t="s">
        <v>3253</v>
      </c>
      <c r="C1382" s="1" t="s">
        <v>3111</v>
      </c>
      <c r="D1382" s="14" t="s">
        <v>5528</v>
      </c>
    </row>
    <row r="1383" spans="1:4" hidden="1" x14ac:dyDescent="0.25">
      <c r="A1383" s="1" t="s">
        <v>3254</v>
      </c>
      <c r="B1383" s="1" t="s">
        <v>3255</v>
      </c>
      <c r="C1383" s="1" t="s">
        <v>3114</v>
      </c>
      <c r="D1383" s="14" t="s">
        <v>5528</v>
      </c>
    </row>
    <row r="1384" spans="1:4" hidden="1" x14ac:dyDescent="0.25">
      <c r="A1384" s="1" t="s">
        <v>3256</v>
      </c>
      <c r="B1384" s="1" t="s">
        <v>3257</v>
      </c>
      <c r="C1384" s="1" t="s">
        <v>3117</v>
      </c>
      <c r="D1384" s="14" t="s">
        <v>5528</v>
      </c>
    </row>
    <row r="1385" spans="1:4" hidden="1" x14ac:dyDescent="0.25">
      <c r="A1385" s="1" t="s">
        <v>3258</v>
      </c>
      <c r="B1385" s="1" t="s">
        <v>3259</v>
      </c>
      <c r="C1385" s="1" t="s">
        <v>3260</v>
      </c>
      <c r="D1385" s="14" t="s">
        <v>5529</v>
      </c>
    </row>
    <row r="1386" spans="1:4" hidden="1" x14ac:dyDescent="0.25">
      <c r="A1386" s="1" t="s">
        <v>3261</v>
      </c>
      <c r="B1386" s="1" t="s">
        <v>3262</v>
      </c>
      <c r="C1386" s="1" t="s">
        <v>3263</v>
      </c>
      <c r="D1386" s="14" t="s">
        <v>5529</v>
      </c>
    </row>
    <row r="1387" spans="1:4" hidden="1" x14ac:dyDescent="0.25">
      <c r="A1387" s="1" t="s">
        <v>3264</v>
      </c>
      <c r="B1387" s="1" t="s">
        <v>3265</v>
      </c>
      <c r="C1387" s="1" t="s">
        <v>3266</v>
      </c>
      <c r="D1387" s="14" t="s">
        <v>5529</v>
      </c>
    </row>
    <row r="1388" spans="1:4" hidden="1" x14ac:dyDescent="0.25">
      <c r="A1388" s="1" t="s">
        <v>3267</v>
      </c>
      <c r="B1388" s="1" t="s">
        <v>3268</v>
      </c>
      <c r="C1388" s="1" t="s">
        <v>3269</v>
      </c>
      <c r="D1388" s="14" t="s">
        <v>5529</v>
      </c>
    </row>
    <row r="1389" spans="1:4" hidden="1" x14ac:dyDescent="0.25">
      <c r="A1389" s="1" t="s">
        <v>3270</v>
      </c>
      <c r="B1389" s="1" t="s">
        <v>3271</v>
      </c>
      <c r="C1389" s="1" t="s">
        <v>3272</v>
      </c>
      <c r="D1389" s="14" t="s">
        <v>5529</v>
      </c>
    </row>
    <row r="1390" spans="1:4" hidden="1" x14ac:dyDescent="0.25">
      <c r="A1390" s="1" t="s">
        <v>3273</v>
      </c>
      <c r="B1390" s="1" t="s">
        <v>3274</v>
      </c>
      <c r="C1390" s="1" t="s">
        <v>3275</v>
      </c>
      <c r="D1390" s="14" t="s">
        <v>5529</v>
      </c>
    </row>
    <row r="1391" spans="1:4" hidden="1" x14ac:dyDescent="0.25">
      <c r="A1391" s="1" t="s">
        <v>3276</v>
      </c>
      <c r="B1391" s="1" t="s">
        <v>3277</v>
      </c>
      <c r="C1391" s="1" t="s">
        <v>3278</v>
      </c>
      <c r="D1391" s="14" t="s">
        <v>5529</v>
      </c>
    </row>
    <row r="1392" spans="1:4" hidden="1" x14ac:dyDescent="0.25">
      <c r="A1392" s="1" t="s">
        <v>3279</v>
      </c>
      <c r="B1392" s="1" t="s">
        <v>3280</v>
      </c>
      <c r="C1392" s="1" t="s">
        <v>3281</v>
      </c>
      <c r="D1392" s="14" t="s">
        <v>5529</v>
      </c>
    </row>
    <row r="1393" spans="1:4" hidden="1" x14ac:dyDescent="0.25">
      <c r="A1393" s="1" t="s">
        <v>3282</v>
      </c>
      <c r="B1393" s="1" t="s">
        <v>3283</v>
      </c>
      <c r="C1393" s="1" t="s">
        <v>3284</v>
      </c>
      <c r="D1393" s="14" t="s">
        <v>5529</v>
      </c>
    </row>
    <row r="1394" spans="1:4" hidden="1" x14ac:dyDescent="0.25">
      <c r="A1394" s="1" t="s">
        <v>3285</v>
      </c>
      <c r="B1394" s="1" t="s">
        <v>3286</v>
      </c>
      <c r="C1394" s="1" t="s">
        <v>3287</v>
      </c>
      <c r="D1394" s="14" t="s">
        <v>5529</v>
      </c>
    </row>
    <row r="1395" spans="1:4" hidden="1" x14ac:dyDescent="0.25">
      <c r="A1395" s="1" t="s">
        <v>3288</v>
      </c>
      <c r="B1395" s="1" t="s">
        <v>3289</v>
      </c>
      <c r="C1395" s="1" t="s">
        <v>3290</v>
      </c>
      <c r="D1395" s="14" t="s">
        <v>5529</v>
      </c>
    </row>
    <row r="1396" spans="1:4" hidden="1" x14ac:dyDescent="0.25">
      <c r="A1396" s="1" t="s">
        <v>3291</v>
      </c>
      <c r="B1396" s="1" t="s">
        <v>3292</v>
      </c>
      <c r="C1396" s="1" t="s">
        <v>3293</v>
      </c>
      <c r="D1396" s="14" t="s">
        <v>5529</v>
      </c>
    </row>
    <row r="1397" spans="1:4" hidden="1" x14ac:dyDescent="0.25">
      <c r="A1397" s="1" t="s">
        <v>3294</v>
      </c>
      <c r="B1397" s="1" t="s">
        <v>3295</v>
      </c>
      <c r="C1397" s="1" t="s">
        <v>3296</v>
      </c>
      <c r="D1397" s="14" t="s">
        <v>5529</v>
      </c>
    </row>
    <row r="1398" spans="1:4" hidden="1" x14ac:dyDescent="0.25">
      <c r="A1398" s="1" t="s">
        <v>3297</v>
      </c>
      <c r="B1398" s="1" t="s">
        <v>3298</v>
      </c>
      <c r="C1398" s="1" t="s">
        <v>3299</v>
      </c>
      <c r="D1398" s="14" t="s">
        <v>5529</v>
      </c>
    </row>
    <row r="1399" spans="1:4" hidden="1" x14ac:dyDescent="0.25">
      <c r="A1399" s="1" t="s">
        <v>3300</v>
      </c>
      <c r="B1399" s="1" t="s">
        <v>3301</v>
      </c>
      <c r="C1399" s="1" t="s">
        <v>3302</v>
      </c>
      <c r="D1399" s="14" t="s">
        <v>5529</v>
      </c>
    </row>
    <row r="1400" spans="1:4" hidden="1" x14ac:dyDescent="0.25">
      <c r="A1400" s="1" t="s">
        <v>3303</v>
      </c>
      <c r="B1400" s="1" t="s">
        <v>3304</v>
      </c>
      <c r="C1400" s="1" t="s">
        <v>3305</v>
      </c>
      <c r="D1400" s="14" t="s">
        <v>5529</v>
      </c>
    </row>
    <row r="1401" spans="1:4" hidden="1" x14ac:dyDescent="0.25">
      <c r="A1401" s="1" t="s">
        <v>3306</v>
      </c>
      <c r="B1401" s="1" t="s">
        <v>3307</v>
      </c>
      <c r="C1401" s="1" t="s">
        <v>3308</v>
      </c>
      <c r="D1401" s="14" t="s">
        <v>5529</v>
      </c>
    </row>
    <row r="1402" spans="1:4" hidden="1" x14ac:dyDescent="0.25">
      <c r="A1402" s="1" t="s">
        <v>3309</v>
      </c>
      <c r="B1402" s="1" t="s">
        <v>3310</v>
      </c>
      <c r="C1402" s="1" t="s">
        <v>3311</v>
      </c>
      <c r="D1402" s="14" t="s">
        <v>5529</v>
      </c>
    </row>
    <row r="1403" spans="1:4" hidden="1" x14ac:dyDescent="0.25">
      <c r="A1403" s="1" t="s">
        <v>3312</v>
      </c>
      <c r="B1403" s="1" t="s">
        <v>3313</v>
      </c>
      <c r="C1403" s="1" t="s">
        <v>3314</v>
      </c>
      <c r="D1403" s="14" t="s">
        <v>5529</v>
      </c>
    </row>
    <row r="1404" spans="1:4" hidden="1" x14ac:dyDescent="0.25">
      <c r="A1404" s="1" t="s">
        <v>3315</v>
      </c>
      <c r="B1404" s="1" t="s">
        <v>3316</v>
      </c>
      <c r="C1404" s="1" t="s">
        <v>3317</v>
      </c>
      <c r="D1404" s="14" t="s">
        <v>5529</v>
      </c>
    </row>
    <row r="1405" spans="1:4" hidden="1" x14ac:dyDescent="0.25">
      <c r="A1405" s="1" t="s">
        <v>3318</v>
      </c>
      <c r="B1405" s="1" t="s">
        <v>3319</v>
      </c>
      <c r="C1405" s="1" t="s">
        <v>3320</v>
      </c>
      <c r="D1405" s="14" t="s">
        <v>5529</v>
      </c>
    </row>
    <row r="1406" spans="1:4" hidden="1" x14ac:dyDescent="0.25">
      <c r="A1406" s="1" t="s">
        <v>3321</v>
      </c>
      <c r="B1406" s="1" t="s">
        <v>3322</v>
      </c>
      <c r="C1406" s="1" t="s">
        <v>3323</v>
      </c>
      <c r="D1406" s="14" t="s">
        <v>5529</v>
      </c>
    </row>
    <row r="1407" spans="1:4" hidden="1" x14ac:dyDescent="0.25">
      <c r="A1407" s="1" t="s">
        <v>3324</v>
      </c>
      <c r="B1407" s="1" t="s">
        <v>3325</v>
      </c>
      <c r="C1407" s="1" t="s">
        <v>3326</v>
      </c>
      <c r="D1407" s="14" t="s">
        <v>5529</v>
      </c>
    </row>
    <row r="1408" spans="1:4" hidden="1" x14ac:dyDescent="0.25">
      <c r="A1408" s="1" t="s">
        <v>3327</v>
      </c>
      <c r="B1408" s="1" t="s">
        <v>3328</v>
      </c>
      <c r="C1408" s="1" t="s">
        <v>3329</v>
      </c>
      <c r="D1408" s="14" t="s">
        <v>5529</v>
      </c>
    </row>
    <row r="1409" spans="1:4" hidden="1" x14ac:dyDescent="0.25">
      <c r="A1409" s="1" t="s">
        <v>3330</v>
      </c>
      <c r="B1409" s="1" t="s">
        <v>3331</v>
      </c>
      <c r="C1409" s="1" t="s">
        <v>3332</v>
      </c>
      <c r="D1409" s="14" t="s">
        <v>5529</v>
      </c>
    </row>
    <row r="1410" spans="1:4" hidden="1" x14ac:dyDescent="0.25">
      <c r="A1410" s="1" t="s">
        <v>3333</v>
      </c>
      <c r="B1410" s="1" t="s">
        <v>3334</v>
      </c>
      <c r="C1410" s="1" t="s">
        <v>3335</v>
      </c>
      <c r="D1410" s="14" t="s">
        <v>5529</v>
      </c>
    </row>
    <row r="1411" spans="1:4" hidden="1" x14ac:dyDescent="0.25">
      <c r="A1411" s="1" t="s">
        <v>3336</v>
      </c>
      <c r="B1411" s="1" t="s">
        <v>3337</v>
      </c>
      <c r="C1411" s="1" t="s">
        <v>3338</v>
      </c>
      <c r="D1411" s="14" t="s">
        <v>5529</v>
      </c>
    </row>
    <row r="1412" spans="1:4" hidden="1" x14ac:dyDescent="0.25">
      <c r="A1412" s="1" t="s">
        <v>3339</v>
      </c>
      <c r="B1412" s="1" t="s">
        <v>3340</v>
      </c>
      <c r="C1412" s="1" t="s">
        <v>3341</v>
      </c>
      <c r="D1412" s="14" t="s">
        <v>5529</v>
      </c>
    </row>
    <row r="1413" spans="1:4" hidden="1" x14ac:dyDescent="0.25">
      <c r="A1413" s="1" t="s">
        <v>3342</v>
      </c>
      <c r="B1413" s="1" t="s">
        <v>3343</v>
      </c>
      <c r="C1413" s="1" t="s">
        <v>3344</v>
      </c>
      <c r="D1413" s="14" t="s">
        <v>5529</v>
      </c>
    </row>
    <row r="1414" spans="1:4" hidden="1" x14ac:dyDescent="0.25">
      <c r="A1414" s="1" t="s">
        <v>3345</v>
      </c>
      <c r="B1414" s="1" t="s">
        <v>3346</v>
      </c>
      <c r="C1414" s="1" t="s">
        <v>3347</v>
      </c>
      <c r="D1414" s="14" t="s">
        <v>5529</v>
      </c>
    </row>
    <row r="1415" spans="1:4" hidden="1" x14ac:dyDescent="0.25">
      <c r="A1415" s="1" t="s">
        <v>3348</v>
      </c>
      <c r="B1415" s="1" t="s">
        <v>3349</v>
      </c>
      <c r="C1415" s="1" t="s">
        <v>3350</v>
      </c>
      <c r="D1415" s="14" t="s">
        <v>5529</v>
      </c>
    </row>
    <row r="1416" spans="1:4" hidden="1" x14ac:dyDescent="0.25">
      <c r="A1416" s="1" t="s">
        <v>3351</v>
      </c>
      <c r="B1416" s="1" t="s">
        <v>3352</v>
      </c>
      <c r="C1416" s="1" t="s">
        <v>3353</v>
      </c>
      <c r="D1416" s="14" t="s">
        <v>5529</v>
      </c>
    </row>
    <row r="1417" spans="1:4" hidden="1" x14ac:dyDescent="0.25">
      <c r="A1417" s="1" t="s">
        <v>3354</v>
      </c>
      <c r="B1417" s="1" t="s">
        <v>3355</v>
      </c>
      <c r="C1417" s="1" t="s">
        <v>3356</v>
      </c>
      <c r="D1417" s="14" t="s">
        <v>5529</v>
      </c>
    </row>
    <row r="1418" spans="1:4" hidden="1" x14ac:dyDescent="0.25">
      <c r="A1418" s="1" t="s">
        <v>3357</v>
      </c>
      <c r="B1418" s="1" t="s">
        <v>3358</v>
      </c>
      <c r="C1418" s="1" t="s">
        <v>3359</v>
      </c>
      <c r="D1418" s="14" t="s">
        <v>5529</v>
      </c>
    </row>
    <row r="1419" spans="1:4" hidden="1" x14ac:dyDescent="0.25">
      <c r="A1419" s="1" t="s">
        <v>3360</v>
      </c>
      <c r="B1419" s="1" t="s">
        <v>3361</v>
      </c>
      <c r="C1419" s="1" t="s">
        <v>3362</v>
      </c>
      <c r="D1419" s="14" t="s">
        <v>5529</v>
      </c>
    </row>
    <row r="1420" spans="1:4" hidden="1" x14ac:dyDescent="0.25">
      <c r="A1420" s="1" t="s">
        <v>3363</v>
      </c>
      <c r="B1420" s="1" t="s">
        <v>3364</v>
      </c>
      <c r="C1420" s="1" t="s">
        <v>3260</v>
      </c>
      <c r="D1420" s="14" t="s">
        <v>5529</v>
      </c>
    </row>
    <row r="1421" spans="1:4" hidden="1" x14ac:dyDescent="0.25">
      <c r="A1421" s="1" t="s">
        <v>3365</v>
      </c>
      <c r="B1421" s="1" t="s">
        <v>3366</v>
      </c>
      <c r="C1421" s="1" t="s">
        <v>3263</v>
      </c>
      <c r="D1421" s="14" t="s">
        <v>5529</v>
      </c>
    </row>
    <row r="1422" spans="1:4" hidden="1" x14ac:dyDescent="0.25">
      <c r="A1422" s="1" t="s">
        <v>3367</v>
      </c>
      <c r="B1422" s="1" t="s">
        <v>3368</v>
      </c>
      <c r="C1422" s="1" t="s">
        <v>3266</v>
      </c>
      <c r="D1422" s="14" t="s">
        <v>5529</v>
      </c>
    </row>
    <row r="1423" spans="1:4" hidden="1" x14ac:dyDescent="0.25">
      <c r="A1423" s="1" t="s">
        <v>3369</v>
      </c>
      <c r="B1423" s="1" t="s">
        <v>3370</v>
      </c>
      <c r="C1423" s="1" t="s">
        <v>3269</v>
      </c>
      <c r="D1423" s="14" t="s">
        <v>5529</v>
      </c>
    </row>
    <row r="1424" spans="1:4" hidden="1" x14ac:dyDescent="0.25">
      <c r="A1424" s="1" t="s">
        <v>3371</v>
      </c>
      <c r="B1424" s="1" t="s">
        <v>3372</v>
      </c>
      <c r="C1424" s="1" t="s">
        <v>3272</v>
      </c>
      <c r="D1424" s="14" t="s">
        <v>5529</v>
      </c>
    </row>
    <row r="1425" spans="1:4" hidden="1" x14ac:dyDescent="0.25">
      <c r="A1425" s="1" t="s">
        <v>3373</v>
      </c>
      <c r="B1425" s="1" t="s">
        <v>3374</v>
      </c>
      <c r="C1425" s="1" t="s">
        <v>3275</v>
      </c>
      <c r="D1425" s="14" t="s">
        <v>5529</v>
      </c>
    </row>
    <row r="1426" spans="1:4" hidden="1" x14ac:dyDescent="0.25">
      <c r="A1426" s="1" t="s">
        <v>3375</v>
      </c>
      <c r="B1426" s="1" t="s">
        <v>3376</v>
      </c>
      <c r="C1426" s="1" t="s">
        <v>3278</v>
      </c>
      <c r="D1426" s="14" t="s">
        <v>5529</v>
      </c>
    </row>
    <row r="1427" spans="1:4" hidden="1" x14ac:dyDescent="0.25">
      <c r="A1427" s="1" t="s">
        <v>3377</v>
      </c>
      <c r="B1427" s="1" t="s">
        <v>3378</v>
      </c>
      <c r="C1427" s="1" t="s">
        <v>3281</v>
      </c>
      <c r="D1427" s="14" t="s">
        <v>5529</v>
      </c>
    </row>
    <row r="1428" spans="1:4" hidden="1" x14ac:dyDescent="0.25">
      <c r="A1428" s="1" t="s">
        <v>3379</v>
      </c>
      <c r="B1428" s="1" t="s">
        <v>3380</v>
      </c>
      <c r="C1428" s="1" t="s">
        <v>3284</v>
      </c>
      <c r="D1428" s="14" t="s">
        <v>5529</v>
      </c>
    </row>
    <row r="1429" spans="1:4" hidden="1" x14ac:dyDescent="0.25">
      <c r="A1429" s="1" t="s">
        <v>3381</v>
      </c>
      <c r="B1429" s="1" t="s">
        <v>3382</v>
      </c>
      <c r="C1429" s="1" t="s">
        <v>3287</v>
      </c>
      <c r="D1429" s="14" t="s">
        <v>5529</v>
      </c>
    </row>
    <row r="1430" spans="1:4" hidden="1" x14ac:dyDescent="0.25">
      <c r="A1430" s="1" t="s">
        <v>3383</v>
      </c>
      <c r="B1430" s="1" t="s">
        <v>3384</v>
      </c>
      <c r="C1430" s="1" t="s">
        <v>3290</v>
      </c>
      <c r="D1430" s="14" t="s">
        <v>5529</v>
      </c>
    </row>
    <row r="1431" spans="1:4" hidden="1" x14ac:dyDescent="0.25">
      <c r="A1431" s="1" t="s">
        <v>3385</v>
      </c>
      <c r="B1431" s="1" t="s">
        <v>3386</v>
      </c>
      <c r="C1431" s="1" t="s">
        <v>3293</v>
      </c>
      <c r="D1431" s="14" t="s">
        <v>5529</v>
      </c>
    </row>
    <row r="1432" spans="1:4" hidden="1" x14ac:dyDescent="0.25">
      <c r="A1432" s="1" t="s">
        <v>3387</v>
      </c>
      <c r="B1432" s="1" t="s">
        <v>3388</v>
      </c>
      <c r="C1432" s="1" t="s">
        <v>3296</v>
      </c>
      <c r="D1432" s="14" t="s">
        <v>5529</v>
      </c>
    </row>
    <row r="1433" spans="1:4" hidden="1" x14ac:dyDescent="0.25">
      <c r="A1433" s="1" t="s">
        <v>3389</v>
      </c>
      <c r="B1433" s="1" t="s">
        <v>3390</v>
      </c>
      <c r="C1433" s="1" t="s">
        <v>3299</v>
      </c>
      <c r="D1433" s="14" t="s">
        <v>5529</v>
      </c>
    </row>
    <row r="1434" spans="1:4" hidden="1" x14ac:dyDescent="0.25">
      <c r="A1434" s="1" t="s">
        <v>3391</v>
      </c>
      <c r="B1434" s="1" t="s">
        <v>3392</v>
      </c>
      <c r="C1434" s="1" t="s">
        <v>3302</v>
      </c>
      <c r="D1434" s="14" t="s">
        <v>5529</v>
      </c>
    </row>
    <row r="1435" spans="1:4" hidden="1" x14ac:dyDescent="0.25">
      <c r="A1435" s="1" t="s">
        <v>3393</v>
      </c>
      <c r="B1435" s="1" t="s">
        <v>3394</v>
      </c>
      <c r="C1435" s="1" t="s">
        <v>3305</v>
      </c>
      <c r="D1435" s="14" t="s">
        <v>5529</v>
      </c>
    </row>
    <row r="1436" spans="1:4" hidden="1" x14ac:dyDescent="0.25">
      <c r="A1436" s="1" t="s">
        <v>3395</v>
      </c>
      <c r="B1436" s="1" t="s">
        <v>3396</v>
      </c>
      <c r="C1436" s="1" t="s">
        <v>3308</v>
      </c>
      <c r="D1436" s="14" t="s">
        <v>5529</v>
      </c>
    </row>
    <row r="1437" spans="1:4" hidden="1" x14ac:dyDescent="0.25">
      <c r="A1437" s="1" t="s">
        <v>3397</v>
      </c>
      <c r="B1437" s="1" t="s">
        <v>3398</v>
      </c>
      <c r="C1437" s="1" t="s">
        <v>3311</v>
      </c>
      <c r="D1437" s="14" t="s">
        <v>5529</v>
      </c>
    </row>
    <row r="1438" spans="1:4" hidden="1" x14ac:dyDescent="0.25">
      <c r="A1438" s="1" t="s">
        <v>3399</v>
      </c>
      <c r="B1438" s="1" t="s">
        <v>3400</v>
      </c>
      <c r="C1438" s="1" t="s">
        <v>3314</v>
      </c>
      <c r="D1438" s="14" t="s">
        <v>5529</v>
      </c>
    </row>
    <row r="1439" spans="1:4" hidden="1" x14ac:dyDescent="0.25">
      <c r="A1439" s="1" t="s">
        <v>3401</v>
      </c>
      <c r="B1439" s="1" t="s">
        <v>3402</v>
      </c>
      <c r="C1439" s="1" t="s">
        <v>3317</v>
      </c>
      <c r="D1439" s="14" t="s">
        <v>5529</v>
      </c>
    </row>
    <row r="1440" spans="1:4" hidden="1" x14ac:dyDescent="0.25">
      <c r="A1440" s="1" t="s">
        <v>3403</v>
      </c>
      <c r="B1440" s="1" t="s">
        <v>3404</v>
      </c>
      <c r="C1440" s="1" t="s">
        <v>3320</v>
      </c>
      <c r="D1440" s="14" t="s">
        <v>5529</v>
      </c>
    </row>
    <row r="1441" spans="1:4" hidden="1" x14ac:dyDescent="0.25">
      <c r="A1441" s="1" t="s">
        <v>3405</v>
      </c>
      <c r="B1441" s="1" t="s">
        <v>3406</v>
      </c>
      <c r="C1441" s="1" t="s">
        <v>3323</v>
      </c>
      <c r="D1441" s="14" t="s">
        <v>5529</v>
      </c>
    </row>
    <row r="1442" spans="1:4" hidden="1" x14ac:dyDescent="0.25">
      <c r="A1442" s="1" t="s">
        <v>3407</v>
      </c>
      <c r="B1442" s="1" t="s">
        <v>3408</v>
      </c>
      <c r="C1442" s="1" t="s">
        <v>3326</v>
      </c>
      <c r="D1442" s="14" t="s">
        <v>5529</v>
      </c>
    </row>
    <row r="1443" spans="1:4" hidden="1" x14ac:dyDescent="0.25">
      <c r="A1443" s="1" t="s">
        <v>3409</v>
      </c>
      <c r="B1443" s="1" t="s">
        <v>3410</v>
      </c>
      <c r="C1443" s="1" t="s">
        <v>3329</v>
      </c>
      <c r="D1443" s="14" t="s">
        <v>5529</v>
      </c>
    </row>
    <row r="1444" spans="1:4" hidden="1" x14ac:dyDescent="0.25">
      <c r="A1444" s="1" t="s">
        <v>3411</v>
      </c>
      <c r="B1444" s="1" t="s">
        <v>3412</v>
      </c>
      <c r="C1444" s="1" t="s">
        <v>3332</v>
      </c>
      <c r="D1444" s="14" t="s">
        <v>5529</v>
      </c>
    </row>
    <row r="1445" spans="1:4" hidden="1" x14ac:dyDescent="0.25">
      <c r="A1445" s="1" t="s">
        <v>3413</v>
      </c>
      <c r="B1445" s="1" t="s">
        <v>3414</v>
      </c>
      <c r="C1445" s="1" t="s">
        <v>3335</v>
      </c>
      <c r="D1445" s="14" t="s">
        <v>5529</v>
      </c>
    </row>
    <row r="1446" spans="1:4" hidden="1" x14ac:dyDescent="0.25">
      <c r="A1446" s="1" t="s">
        <v>3415</v>
      </c>
      <c r="B1446" s="1" t="s">
        <v>3416</v>
      </c>
      <c r="C1446" s="1" t="s">
        <v>3338</v>
      </c>
      <c r="D1446" s="14" t="s">
        <v>5529</v>
      </c>
    </row>
    <row r="1447" spans="1:4" hidden="1" x14ac:dyDescent="0.25">
      <c r="A1447" s="1" t="s">
        <v>3417</v>
      </c>
      <c r="B1447" s="1" t="s">
        <v>3418</v>
      </c>
      <c r="C1447" s="1" t="s">
        <v>3341</v>
      </c>
      <c r="D1447" s="14" t="s">
        <v>5529</v>
      </c>
    </row>
    <row r="1448" spans="1:4" hidden="1" x14ac:dyDescent="0.25">
      <c r="A1448" s="1" t="s">
        <v>3419</v>
      </c>
      <c r="B1448" s="1" t="s">
        <v>3420</v>
      </c>
      <c r="C1448" s="1" t="s">
        <v>3344</v>
      </c>
      <c r="D1448" s="14" t="s">
        <v>5529</v>
      </c>
    </row>
    <row r="1449" spans="1:4" hidden="1" x14ac:dyDescent="0.25">
      <c r="A1449" s="1" t="s">
        <v>3421</v>
      </c>
      <c r="B1449" s="1" t="s">
        <v>3422</v>
      </c>
      <c r="C1449" s="1" t="s">
        <v>3347</v>
      </c>
      <c r="D1449" s="14" t="s">
        <v>5529</v>
      </c>
    </row>
    <row r="1450" spans="1:4" hidden="1" x14ac:dyDescent="0.25">
      <c r="A1450" s="1" t="s">
        <v>3423</v>
      </c>
      <c r="B1450" s="1" t="s">
        <v>3424</v>
      </c>
      <c r="C1450" s="1" t="s">
        <v>3350</v>
      </c>
      <c r="D1450" s="14" t="s">
        <v>5529</v>
      </c>
    </row>
    <row r="1451" spans="1:4" hidden="1" x14ac:dyDescent="0.25">
      <c r="A1451" s="1" t="s">
        <v>3425</v>
      </c>
      <c r="B1451" s="1" t="s">
        <v>3426</v>
      </c>
      <c r="C1451" s="1" t="s">
        <v>3353</v>
      </c>
      <c r="D1451" s="14" t="s">
        <v>5529</v>
      </c>
    </row>
    <row r="1452" spans="1:4" hidden="1" x14ac:dyDescent="0.25">
      <c r="A1452" s="1" t="s">
        <v>3427</v>
      </c>
      <c r="B1452" s="1" t="s">
        <v>3428</v>
      </c>
      <c r="C1452" s="1" t="s">
        <v>3356</v>
      </c>
      <c r="D1452" s="14" t="s">
        <v>5529</v>
      </c>
    </row>
    <row r="1453" spans="1:4" hidden="1" x14ac:dyDescent="0.25">
      <c r="A1453" s="1" t="s">
        <v>3429</v>
      </c>
      <c r="B1453" s="1" t="s">
        <v>3430</v>
      </c>
      <c r="C1453" s="1" t="s">
        <v>3359</v>
      </c>
      <c r="D1453" s="14" t="s">
        <v>5529</v>
      </c>
    </row>
    <row r="1454" spans="1:4" hidden="1" x14ac:dyDescent="0.25">
      <c r="A1454" s="1" t="s">
        <v>3431</v>
      </c>
      <c r="B1454" s="1" t="s">
        <v>3432</v>
      </c>
      <c r="C1454" s="1" t="s">
        <v>3362</v>
      </c>
      <c r="D1454" s="14" t="s">
        <v>5529</v>
      </c>
    </row>
    <row r="1455" spans="1:4" hidden="1" x14ac:dyDescent="0.25">
      <c r="A1455" s="1" t="s">
        <v>3433</v>
      </c>
      <c r="B1455" s="1" t="s">
        <v>3434</v>
      </c>
      <c r="C1455" s="1" t="s">
        <v>3260</v>
      </c>
      <c r="D1455" s="14" t="s">
        <v>5529</v>
      </c>
    </row>
    <row r="1456" spans="1:4" hidden="1" x14ac:dyDescent="0.25">
      <c r="A1456" s="1" t="s">
        <v>3435</v>
      </c>
      <c r="B1456" s="1" t="s">
        <v>3436</v>
      </c>
      <c r="C1456" s="1" t="s">
        <v>3263</v>
      </c>
      <c r="D1456" s="14" t="s">
        <v>5529</v>
      </c>
    </row>
    <row r="1457" spans="1:4" hidden="1" x14ac:dyDescent="0.25">
      <c r="A1457" s="1" t="s">
        <v>3437</v>
      </c>
      <c r="B1457" s="1" t="s">
        <v>3438</v>
      </c>
      <c r="C1457" s="1" t="s">
        <v>3266</v>
      </c>
      <c r="D1457" s="14" t="s">
        <v>5529</v>
      </c>
    </row>
    <row r="1458" spans="1:4" hidden="1" x14ac:dyDescent="0.25">
      <c r="A1458" s="1" t="s">
        <v>3439</v>
      </c>
      <c r="B1458" s="1" t="s">
        <v>3440</v>
      </c>
      <c r="C1458" s="1" t="s">
        <v>3269</v>
      </c>
      <c r="D1458" s="14" t="s">
        <v>5529</v>
      </c>
    </row>
    <row r="1459" spans="1:4" hidden="1" x14ac:dyDescent="0.25">
      <c r="A1459" s="1" t="s">
        <v>3441</v>
      </c>
      <c r="B1459" s="1" t="s">
        <v>3442</v>
      </c>
      <c r="C1459" s="1" t="s">
        <v>3272</v>
      </c>
      <c r="D1459" s="14" t="s">
        <v>5529</v>
      </c>
    </row>
    <row r="1460" spans="1:4" hidden="1" x14ac:dyDescent="0.25">
      <c r="A1460" s="1" t="s">
        <v>3443</v>
      </c>
      <c r="B1460" s="1" t="s">
        <v>3444</v>
      </c>
      <c r="C1460" s="1" t="s">
        <v>3275</v>
      </c>
      <c r="D1460" s="14" t="s">
        <v>5529</v>
      </c>
    </row>
    <row r="1461" spans="1:4" hidden="1" x14ac:dyDescent="0.25">
      <c r="A1461" s="1" t="s">
        <v>3445</v>
      </c>
      <c r="B1461" s="1" t="s">
        <v>3446</v>
      </c>
      <c r="C1461" s="1" t="s">
        <v>3278</v>
      </c>
      <c r="D1461" s="14" t="s">
        <v>5529</v>
      </c>
    </row>
    <row r="1462" spans="1:4" hidden="1" x14ac:dyDescent="0.25">
      <c r="A1462" s="1" t="s">
        <v>3447</v>
      </c>
      <c r="B1462" s="1" t="s">
        <v>3448</v>
      </c>
      <c r="C1462" s="1" t="s">
        <v>3281</v>
      </c>
      <c r="D1462" s="14" t="s">
        <v>5529</v>
      </c>
    </row>
    <row r="1463" spans="1:4" hidden="1" x14ac:dyDescent="0.25">
      <c r="A1463" s="1" t="s">
        <v>3449</v>
      </c>
      <c r="B1463" s="1" t="s">
        <v>3450</v>
      </c>
      <c r="C1463" s="1" t="s">
        <v>3284</v>
      </c>
      <c r="D1463" s="14" t="s">
        <v>5529</v>
      </c>
    </row>
    <row r="1464" spans="1:4" hidden="1" x14ac:dyDescent="0.25">
      <c r="A1464" s="1" t="s">
        <v>3451</v>
      </c>
      <c r="B1464" s="1" t="s">
        <v>3452</v>
      </c>
      <c r="C1464" s="1" t="s">
        <v>3287</v>
      </c>
      <c r="D1464" s="14" t="s">
        <v>5529</v>
      </c>
    </row>
    <row r="1465" spans="1:4" hidden="1" x14ac:dyDescent="0.25">
      <c r="A1465" s="1" t="s">
        <v>3453</v>
      </c>
      <c r="B1465" s="1" t="s">
        <v>3454</v>
      </c>
      <c r="C1465" s="1" t="s">
        <v>3290</v>
      </c>
      <c r="D1465" s="14" t="s">
        <v>5529</v>
      </c>
    </row>
    <row r="1466" spans="1:4" hidden="1" x14ac:dyDescent="0.25">
      <c r="A1466" s="1" t="s">
        <v>3455</v>
      </c>
      <c r="B1466" s="1" t="s">
        <v>3456</v>
      </c>
      <c r="C1466" s="1" t="s">
        <v>3293</v>
      </c>
      <c r="D1466" s="14" t="s">
        <v>5529</v>
      </c>
    </row>
    <row r="1467" spans="1:4" hidden="1" x14ac:dyDescent="0.25">
      <c r="A1467" s="1" t="s">
        <v>3457</v>
      </c>
      <c r="B1467" s="1" t="s">
        <v>3458</v>
      </c>
      <c r="C1467" s="1" t="s">
        <v>3296</v>
      </c>
      <c r="D1467" s="14" t="s">
        <v>5529</v>
      </c>
    </row>
    <row r="1468" spans="1:4" hidden="1" x14ac:dyDescent="0.25">
      <c r="A1468" s="1" t="s">
        <v>3459</v>
      </c>
      <c r="B1468" s="1" t="s">
        <v>3460</v>
      </c>
      <c r="C1468" s="1" t="s">
        <v>3299</v>
      </c>
      <c r="D1468" s="14" t="s">
        <v>5529</v>
      </c>
    </row>
    <row r="1469" spans="1:4" hidden="1" x14ac:dyDescent="0.25">
      <c r="A1469" s="1" t="s">
        <v>3461</v>
      </c>
      <c r="B1469" s="1" t="s">
        <v>3462</v>
      </c>
      <c r="C1469" s="1" t="s">
        <v>3302</v>
      </c>
      <c r="D1469" s="14" t="s">
        <v>5529</v>
      </c>
    </row>
    <row r="1470" spans="1:4" hidden="1" x14ac:dyDescent="0.25">
      <c r="A1470" s="1" t="s">
        <v>3463</v>
      </c>
      <c r="B1470" s="1" t="s">
        <v>3464</v>
      </c>
      <c r="C1470" s="1" t="s">
        <v>3305</v>
      </c>
      <c r="D1470" s="14" t="s">
        <v>5529</v>
      </c>
    </row>
    <row r="1471" spans="1:4" hidden="1" x14ac:dyDescent="0.25">
      <c r="A1471" s="1" t="s">
        <v>3465</v>
      </c>
      <c r="B1471" s="1" t="s">
        <v>3466</v>
      </c>
      <c r="C1471" s="1" t="s">
        <v>3308</v>
      </c>
      <c r="D1471" s="14" t="s">
        <v>5529</v>
      </c>
    </row>
    <row r="1472" spans="1:4" hidden="1" x14ac:dyDescent="0.25">
      <c r="A1472" s="1" t="s">
        <v>3467</v>
      </c>
      <c r="B1472" s="1" t="s">
        <v>3468</v>
      </c>
      <c r="C1472" s="1" t="s">
        <v>3311</v>
      </c>
      <c r="D1472" s="14" t="s">
        <v>5529</v>
      </c>
    </row>
    <row r="1473" spans="1:4" hidden="1" x14ac:dyDescent="0.25">
      <c r="A1473" s="1" t="s">
        <v>3469</v>
      </c>
      <c r="B1473" s="1" t="s">
        <v>3470</v>
      </c>
      <c r="C1473" s="1" t="s">
        <v>3314</v>
      </c>
      <c r="D1473" s="14" t="s">
        <v>5529</v>
      </c>
    </row>
    <row r="1474" spans="1:4" hidden="1" x14ac:dyDescent="0.25">
      <c r="A1474" s="1" t="s">
        <v>3471</v>
      </c>
      <c r="B1474" s="1" t="s">
        <v>3472</v>
      </c>
      <c r="C1474" s="1" t="s">
        <v>3317</v>
      </c>
      <c r="D1474" s="14" t="s">
        <v>5529</v>
      </c>
    </row>
    <row r="1475" spans="1:4" hidden="1" x14ac:dyDescent="0.25">
      <c r="A1475" s="1" t="s">
        <v>3473</v>
      </c>
      <c r="B1475" s="1" t="s">
        <v>3474</v>
      </c>
      <c r="C1475" s="1" t="s">
        <v>3320</v>
      </c>
      <c r="D1475" s="14" t="s">
        <v>5529</v>
      </c>
    </row>
    <row r="1476" spans="1:4" hidden="1" x14ac:dyDescent="0.25">
      <c r="A1476" s="1" t="s">
        <v>3475</v>
      </c>
      <c r="B1476" s="1" t="s">
        <v>3476</v>
      </c>
      <c r="C1476" s="1" t="s">
        <v>3323</v>
      </c>
      <c r="D1476" s="14" t="s">
        <v>5529</v>
      </c>
    </row>
    <row r="1477" spans="1:4" hidden="1" x14ac:dyDescent="0.25">
      <c r="A1477" s="1" t="s">
        <v>3477</v>
      </c>
      <c r="B1477" s="1" t="s">
        <v>3478</v>
      </c>
      <c r="C1477" s="1" t="s">
        <v>3326</v>
      </c>
      <c r="D1477" s="14" t="s">
        <v>5529</v>
      </c>
    </row>
    <row r="1478" spans="1:4" hidden="1" x14ac:dyDescent="0.25">
      <c r="A1478" s="1" t="s">
        <v>3479</v>
      </c>
      <c r="B1478" s="1" t="s">
        <v>3480</v>
      </c>
      <c r="C1478" s="1" t="s">
        <v>3329</v>
      </c>
      <c r="D1478" s="14" t="s">
        <v>5529</v>
      </c>
    </row>
    <row r="1479" spans="1:4" hidden="1" x14ac:dyDescent="0.25">
      <c r="A1479" s="1" t="s">
        <v>3481</v>
      </c>
      <c r="B1479" s="1" t="s">
        <v>3482</v>
      </c>
      <c r="C1479" s="1" t="s">
        <v>3332</v>
      </c>
      <c r="D1479" s="14" t="s">
        <v>5529</v>
      </c>
    </row>
    <row r="1480" spans="1:4" hidden="1" x14ac:dyDescent="0.25">
      <c r="A1480" s="1" t="s">
        <v>3483</v>
      </c>
      <c r="B1480" s="1" t="s">
        <v>3484</v>
      </c>
      <c r="C1480" s="1" t="s">
        <v>3335</v>
      </c>
      <c r="D1480" s="14" t="s">
        <v>5529</v>
      </c>
    </row>
    <row r="1481" spans="1:4" hidden="1" x14ac:dyDescent="0.25">
      <c r="A1481" s="1" t="s">
        <v>3485</v>
      </c>
      <c r="B1481" s="1" t="s">
        <v>3486</v>
      </c>
      <c r="C1481" s="1" t="s">
        <v>3338</v>
      </c>
      <c r="D1481" s="14" t="s">
        <v>5529</v>
      </c>
    </row>
    <row r="1482" spans="1:4" hidden="1" x14ac:dyDescent="0.25">
      <c r="A1482" s="1" t="s">
        <v>3487</v>
      </c>
      <c r="B1482" s="1" t="s">
        <v>3488</v>
      </c>
      <c r="C1482" s="1" t="s">
        <v>3341</v>
      </c>
      <c r="D1482" s="14" t="s">
        <v>5529</v>
      </c>
    </row>
    <row r="1483" spans="1:4" hidden="1" x14ac:dyDescent="0.25">
      <c r="A1483" s="1" t="s">
        <v>3489</v>
      </c>
      <c r="B1483" s="1" t="s">
        <v>3490</v>
      </c>
      <c r="C1483" s="1" t="s">
        <v>3344</v>
      </c>
      <c r="D1483" s="14" t="s">
        <v>5529</v>
      </c>
    </row>
    <row r="1484" spans="1:4" hidden="1" x14ac:dyDescent="0.25">
      <c r="A1484" s="1" t="s">
        <v>3491</v>
      </c>
      <c r="B1484" s="1" t="s">
        <v>3492</v>
      </c>
      <c r="C1484" s="1" t="s">
        <v>3347</v>
      </c>
      <c r="D1484" s="14" t="s">
        <v>5529</v>
      </c>
    </row>
    <row r="1485" spans="1:4" hidden="1" x14ac:dyDescent="0.25">
      <c r="A1485" s="1" t="s">
        <v>3493</v>
      </c>
      <c r="B1485" s="1" t="s">
        <v>3494</v>
      </c>
      <c r="C1485" s="1" t="s">
        <v>3350</v>
      </c>
      <c r="D1485" s="14" t="s">
        <v>5529</v>
      </c>
    </row>
    <row r="1486" spans="1:4" hidden="1" x14ac:dyDescent="0.25">
      <c r="A1486" s="1" t="s">
        <v>3495</v>
      </c>
      <c r="B1486" s="1" t="s">
        <v>3496</v>
      </c>
      <c r="C1486" s="1" t="s">
        <v>3353</v>
      </c>
      <c r="D1486" s="14" t="s">
        <v>5529</v>
      </c>
    </row>
    <row r="1487" spans="1:4" hidden="1" x14ac:dyDescent="0.25">
      <c r="A1487" s="1" t="s">
        <v>3497</v>
      </c>
      <c r="B1487" s="1" t="s">
        <v>3498</v>
      </c>
      <c r="C1487" s="1" t="s">
        <v>3356</v>
      </c>
      <c r="D1487" s="14" t="s">
        <v>5529</v>
      </c>
    </row>
    <row r="1488" spans="1:4" hidden="1" x14ac:dyDescent="0.25">
      <c r="A1488" s="1" t="s">
        <v>3499</v>
      </c>
      <c r="B1488" s="1" t="s">
        <v>3500</v>
      </c>
      <c r="C1488" s="1" t="s">
        <v>3359</v>
      </c>
      <c r="D1488" s="14" t="s">
        <v>5529</v>
      </c>
    </row>
    <row r="1489" spans="1:4" hidden="1" x14ac:dyDescent="0.25">
      <c r="A1489" s="1" t="s">
        <v>3501</v>
      </c>
      <c r="B1489" s="1" t="s">
        <v>3502</v>
      </c>
      <c r="C1489" s="1" t="s">
        <v>3362</v>
      </c>
      <c r="D1489" s="14" t="s">
        <v>5529</v>
      </c>
    </row>
    <row r="1490" spans="1:4" hidden="1" x14ac:dyDescent="0.25">
      <c r="A1490" s="1" t="s">
        <v>3503</v>
      </c>
      <c r="B1490" s="1" t="s">
        <v>3504</v>
      </c>
      <c r="C1490" s="1" t="s">
        <v>3505</v>
      </c>
      <c r="D1490" s="14" t="s">
        <v>5529</v>
      </c>
    </row>
    <row r="1491" spans="1:4" hidden="1" x14ac:dyDescent="0.25">
      <c r="A1491" s="1" t="s">
        <v>3506</v>
      </c>
      <c r="B1491" s="1" t="s">
        <v>3507</v>
      </c>
      <c r="C1491" s="1" t="s">
        <v>3508</v>
      </c>
      <c r="D1491" s="14" t="s">
        <v>5529</v>
      </c>
    </row>
    <row r="1492" spans="1:4" hidden="1" x14ac:dyDescent="0.25">
      <c r="A1492" s="1" t="s">
        <v>3509</v>
      </c>
      <c r="B1492" s="1" t="s">
        <v>3510</v>
      </c>
      <c r="C1492" s="1" t="s">
        <v>3511</v>
      </c>
      <c r="D1492" s="14" t="s">
        <v>5529</v>
      </c>
    </row>
    <row r="1493" spans="1:4" hidden="1" x14ac:dyDescent="0.25">
      <c r="A1493" s="1" t="s">
        <v>3512</v>
      </c>
      <c r="B1493" s="1" t="s">
        <v>3513</v>
      </c>
      <c r="C1493" s="1" t="s">
        <v>3514</v>
      </c>
      <c r="D1493" s="14" t="s">
        <v>5529</v>
      </c>
    </row>
    <row r="1494" spans="1:4" hidden="1" x14ac:dyDescent="0.25">
      <c r="A1494" s="1" t="s">
        <v>3515</v>
      </c>
      <c r="B1494" s="1" t="s">
        <v>3516</v>
      </c>
      <c r="C1494" s="1" t="s">
        <v>3517</v>
      </c>
      <c r="D1494" s="14" t="s">
        <v>5529</v>
      </c>
    </row>
    <row r="1495" spans="1:4" hidden="1" x14ac:dyDescent="0.25">
      <c r="A1495" s="1" t="s">
        <v>3518</v>
      </c>
      <c r="B1495" s="1" t="s">
        <v>3519</v>
      </c>
      <c r="C1495" s="1" t="s">
        <v>3520</v>
      </c>
      <c r="D1495" s="14" t="s">
        <v>5529</v>
      </c>
    </row>
    <row r="1496" spans="1:4" hidden="1" x14ac:dyDescent="0.25">
      <c r="A1496" s="1" t="s">
        <v>3521</v>
      </c>
      <c r="B1496" s="1" t="s">
        <v>3522</v>
      </c>
      <c r="C1496" s="1" t="s">
        <v>3523</v>
      </c>
      <c r="D1496" s="14" t="s">
        <v>5529</v>
      </c>
    </row>
    <row r="1497" spans="1:4" hidden="1" x14ac:dyDescent="0.25">
      <c r="A1497" s="1" t="s">
        <v>3524</v>
      </c>
      <c r="B1497" s="1" t="s">
        <v>3525</v>
      </c>
      <c r="C1497" s="1" t="s">
        <v>3526</v>
      </c>
      <c r="D1497" s="14" t="s">
        <v>5529</v>
      </c>
    </row>
    <row r="1498" spans="1:4" hidden="1" x14ac:dyDescent="0.25">
      <c r="A1498" s="1" t="s">
        <v>3527</v>
      </c>
      <c r="B1498" s="1" t="s">
        <v>3528</v>
      </c>
      <c r="C1498" s="1" t="s">
        <v>3529</v>
      </c>
      <c r="D1498" s="14" t="s">
        <v>5529</v>
      </c>
    </row>
    <row r="1499" spans="1:4" hidden="1" x14ac:dyDescent="0.25">
      <c r="A1499" s="1" t="s">
        <v>3530</v>
      </c>
      <c r="B1499" s="1" t="s">
        <v>3531</v>
      </c>
      <c r="C1499" s="1" t="s">
        <v>3532</v>
      </c>
      <c r="D1499" s="14" t="s">
        <v>5529</v>
      </c>
    </row>
    <row r="1500" spans="1:4" hidden="1" x14ac:dyDescent="0.25">
      <c r="A1500" s="1" t="s">
        <v>3533</v>
      </c>
      <c r="B1500" s="1" t="s">
        <v>3534</v>
      </c>
      <c r="C1500" s="1" t="s">
        <v>3535</v>
      </c>
      <c r="D1500" s="14" t="s">
        <v>5529</v>
      </c>
    </row>
    <row r="1501" spans="1:4" hidden="1" x14ac:dyDescent="0.25">
      <c r="A1501" s="1" t="s">
        <v>3536</v>
      </c>
      <c r="B1501" s="1" t="s">
        <v>3537</v>
      </c>
      <c r="C1501" s="1" t="s">
        <v>3538</v>
      </c>
      <c r="D1501" s="14" t="s">
        <v>5529</v>
      </c>
    </row>
    <row r="1502" spans="1:4" hidden="1" x14ac:dyDescent="0.25">
      <c r="A1502" s="1" t="s">
        <v>3539</v>
      </c>
      <c r="B1502" s="1" t="s">
        <v>3540</v>
      </c>
      <c r="C1502" s="1" t="s">
        <v>3541</v>
      </c>
      <c r="D1502" s="14" t="s">
        <v>5529</v>
      </c>
    </row>
    <row r="1503" spans="1:4" hidden="1" x14ac:dyDescent="0.25">
      <c r="A1503" s="1" t="s">
        <v>3542</v>
      </c>
      <c r="B1503" s="1" t="s">
        <v>3543</v>
      </c>
      <c r="C1503" s="1" t="s">
        <v>3544</v>
      </c>
      <c r="D1503" s="14" t="s">
        <v>5529</v>
      </c>
    </row>
    <row r="1504" spans="1:4" hidden="1" x14ac:dyDescent="0.25">
      <c r="A1504" s="1" t="s">
        <v>3545</v>
      </c>
      <c r="B1504" s="1" t="s">
        <v>3546</v>
      </c>
      <c r="C1504" s="1" t="s">
        <v>3547</v>
      </c>
      <c r="D1504" s="14" t="s">
        <v>5529</v>
      </c>
    </row>
    <row r="1505" spans="1:4" hidden="1" x14ac:dyDescent="0.25">
      <c r="A1505" s="1" t="s">
        <v>3548</v>
      </c>
      <c r="B1505" s="1" t="s">
        <v>3549</v>
      </c>
      <c r="C1505" s="1" t="s">
        <v>3550</v>
      </c>
      <c r="D1505" s="14" t="s">
        <v>5529</v>
      </c>
    </row>
    <row r="1506" spans="1:4" hidden="1" x14ac:dyDescent="0.25">
      <c r="A1506" s="1" t="s">
        <v>3551</v>
      </c>
      <c r="B1506" s="1" t="s">
        <v>3552</v>
      </c>
      <c r="C1506" s="1" t="s">
        <v>3553</v>
      </c>
      <c r="D1506" s="14" t="s">
        <v>5529</v>
      </c>
    </row>
    <row r="1507" spans="1:4" hidden="1" x14ac:dyDescent="0.25">
      <c r="A1507" s="1" t="s">
        <v>3554</v>
      </c>
      <c r="B1507" s="1" t="s">
        <v>3555</v>
      </c>
      <c r="C1507" s="1" t="s">
        <v>3556</v>
      </c>
      <c r="D1507" s="14" t="s">
        <v>5529</v>
      </c>
    </row>
    <row r="1508" spans="1:4" hidden="1" x14ac:dyDescent="0.25">
      <c r="A1508" s="1" t="s">
        <v>3557</v>
      </c>
      <c r="B1508" s="1" t="s">
        <v>3558</v>
      </c>
      <c r="C1508" s="1" t="s">
        <v>3559</v>
      </c>
      <c r="D1508" s="14" t="s">
        <v>5529</v>
      </c>
    </row>
    <row r="1509" spans="1:4" hidden="1" x14ac:dyDescent="0.25">
      <c r="A1509" s="1" t="s">
        <v>3560</v>
      </c>
      <c r="B1509" s="1" t="s">
        <v>3561</v>
      </c>
      <c r="C1509" s="1" t="s">
        <v>3562</v>
      </c>
      <c r="D1509" s="14" t="s">
        <v>5529</v>
      </c>
    </row>
    <row r="1510" spans="1:4" hidden="1" x14ac:dyDescent="0.25">
      <c r="A1510" s="1" t="s">
        <v>3563</v>
      </c>
      <c r="B1510" s="1" t="s">
        <v>3564</v>
      </c>
      <c r="C1510" s="1" t="s">
        <v>3565</v>
      </c>
      <c r="D1510" s="14" t="s">
        <v>5529</v>
      </c>
    </row>
    <row r="1511" spans="1:4" hidden="1" x14ac:dyDescent="0.25">
      <c r="A1511" s="1" t="s">
        <v>3566</v>
      </c>
      <c r="B1511" s="1" t="s">
        <v>3567</v>
      </c>
      <c r="C1511" s="1" t="s">
        <v>3568</v>
      </c>
      <c r="D1511" s="14" t="s">
        <v>5529</v>
      </c>
    </row>
    <row r="1512" spans="1:4" hidden="1" x14ac:dyDescent="0.25">
      <c r="A1512" s="1" t="s">
        <v>3569</v>
      </c>
      <c r="B1512" s="1" t="s">
        <v>3570</v>
      </c>
      <c r="C1512" s="1" t="s">
        <v>3571</v>
      </c>
      <c r="D1512" s="14" t="s">
        <v>5529</v>
      </c>
    </row>
    <row r="1513" spans="1:4" hidden="1" x14ac:dyDescent="0.25">
      <c r="A1513" s="1" t="s">
        <v>3572</v>
      </c>
      <c r="B1513" s="1" t="s">
        <v>3573</v>
      </c>
      <c r="C1513" s="1" t="s">
        <v>3574</v>
      </c>
      <c r="D1513" s="14" t="s">
        <v>5529</v>
      </c>
    </row>
    <row r="1514" spans="1:4" hidden="1" x14ac:dyDescent="0.25">
      <c r="A1514" s="1" t="s">
        <v>3575</v>
      </c>
      <c r="B1514" s="1" t="s">
        <v>3576</v>
      </c>
      <c r="C1514" s="1" t="s">
        <v>3577</v>
      </c>
      <c r="D1514" s="14" t="s">
        <v>5529</v>
      </c>
    </row>
    <row r="1515" spans="1:4" hidden="1" x14ac:dyDescent="0.25">
      <c r="A1515" s="1" t="s">
        <v>3578</v>
      </c>
      <c r="B1515" s="1" t="s">
        <v>3579</v>
      </c>
      <c r="C1515" s="1" t="s">
        <v>3580</v>
      </c>
      <c r="D1515" s="14" t="s">
        <v>5529</v>
      </c>
    </row>
    <row r="1516" spans="1:4" hidden="1" x14ac:dyDescent="0.25">
      <c r="A1516" s="1" t="s">
        <v>3581</v>
      </c>
      <c r="B1516" s="1" t="s">
        <v>3582</v>
      </c>
      <c r="C1516" s="1" t="s">
        <v>3583</v>
      </c>
      <c r="D1516" s="14" t="s">
        <v>5529</v>
      </c>
    </row>
    <row r="1517" spans="1:4" hidden="1" x14ac:dyDescent="0.25">
      <c r="A1517" s="1" t="s">
        <v>3584</v>
      </c>
      <c r="B1517" s="1" t="s">
        <v>3585</v>
      </c>
      <c r="C1517" s="1" t="s">
        <v>3586</v>
      </c>
      <c r="D1517" s="14" t="s">
        <v>5529</v>
      </c>
    </row>
    <row r="1518" spans="1:4" hidden="1" x14ac:dyDescent="0.25">
      <c r="A1518" s="1" t="s">
        <v>3587</v>
      </c>
      <c r="B1518" s="1" t="s">
        <v>3588</v>
      </c>
      <c r="C1518" s="1" t="s">
        <v>3589</v>
      </c>
      <c r="D1518" s="14" t="s">
        <v>5529</v>
      </c>
    </row>
    <row r="1519" spans="1:4" hidden="1" x14ac:dyDescent="0.25">
      <c r="A1519" s="1" t="s">
        <v>3590</v>
      </c>
      <c r="B1519" s="1" t="s">
        <v>3591</v>
      </c>
      <c r="C1519" s="1" t="s">
        <v>3592</v>
      </c>
      <c r="D1519" s="14" t="s">
        <v>5529</v>
      </c>
    </row>
    <row r="1520" spans="1:4" hidden="1" x14ac:dyDescent="0.25">
      <c r="A1520" s="1" t="s">
        <v>3593</v>
      </c>
      <c r="B1520" s="1" t="s">
        <v>3594</v>
      </c>
      <c r="C1520" s="1" t="s">
        <v>3595</v>
      </c>
      <c r="D1520" s="14" t="s">
        <v>5529</v>
      </c>
    </row>
    <row r="1521" spans="1:4" hidden="1" x14ac:dyDescent="0.25">
      <c r="A1521" s="1" t="s">
        <v>3596</v>
      </c>
      <c r="B1521" s="1" t="s">
        <v>3597</v>
      </c>
      <c r="C1521" s="1" t="s">
        <v>3598</v>
      </c>
      <c r="D1521" s="14" t="s">
        <v>5529</v>
      </c>
    </row>
    <row r="1522" spans="1:4" hidden="1" x14ac:dyDescent="0.25">
      <c r="A1522" s="1" t="s">
        <v>3599</v>
      </c>
      <c r="B1522" s="1" t="s">
        <v>3600</v>
      </c>
      <c r="C1522" s="1" t="s">
        <v>3601</v>
      </c>
      <c r="D1522" s="14" t="s">
        <v>5529</v>
      </c>
    </row>
    <row r="1523" spans="1:4" hidden="1" x14ac:dyDescent="0.25">
      <c r="A1523" s="1" t="s">
        <v>3602</v>
      </c>
      <c r="B1523" s="1" t="s">
        <v>3603</v>
      </c>
      <c r="C1523" s="1" t="s">
        <v>3604</v>
      </c>
      <c r="D1523" s="14" t="s">
        <v>5529</v>
      </c>
    </row>
    <row r="1524" spans="1:4" hidden="1" x14ac:dyDescent="0.25">
      <c r="A1524" s="1" t="s">
        <v>3605</v>
      </c>
      <c r="B1524" s="1" t="s">
        <v>3606</v>
      </c>
      <c r="C1524" s="1" t="s">
        <v>3607</v>
      </c>
      <c r="D1524" s="14" t="s">
        <v>5529</v>
      </c>
    </row>
    <row r="1525" spans="1:4" hidden="1" x14ac:dyDescent="0.25">
      <c r="A1525" s="1" t="s">
        <v>3608</v>
      </c>
      <c r="B1525" s="1" t="s">
        <v>3609</v>
      </c>
      <c r="C1525" s="1" t="s">
        <v>3505</v>
      </c>
      <c r="D1525" s="14" t="s">
        <v>5529</v>
      </c>
    </row>
    <row r="1526" spans="1:4" hidden="1" x14ac:dyDescent="0.25">
      <c r="A1526" s="1" t="s">
        <v>3610</v>
      </c>
      <c r="B1526" s="1" t="s">
        <v>3611</v>
      </c>
      <c r="C1526" s="1" t="s">
        <v>3508</v>
      </c>
      <c r="D1526" s="14" t="s">
        <v>5529</v>
      </c>
    </row>
    <row r="1527" spans="1:4" hidden="1" x14ac:dyDescent="0.25">
      <c r="A1527" s="1" t="s">
        <v>3612</v>
      </c>
      <c r="B1527" s="1" t="s">
        <v>3613</v>
      </c>
      <c r="C1527" s="1" t="s">
        <v>3511</v>
      </c>
      <c r="D1527" s="14" t="s">
        <v>5529</v>
      </c>
    </row>
    <row r="1528" spans="1:4" hidden="1" x14ac:dyDescent="0.25">
      <c r="A1528" s="1" t="s">
        <v>3614</v>
      </c>
      <c r="B1528" s="1" t="s">
        <v>3615</v>
      </c>
      <c r="C1528" s="1" t="s">
        <v>3514</v>
      </c>
      <c r="D1528" s="14" t="s">
        <v>5529</v>
      </c>
    </row>
    <row r="1529" spans="1:4" hidden="1" x14ac:dyDescent="0.25">
      <c r="A1529" s="1" t="s">
        <v>3616</v>
      </c>
      <c r="B1529" s="1" t="s">
        <v>3617</v>
      </c>
      <c r="C1529" s="1" t="s">
        <v>3517</v>
      </c>
      <c r="D1529" s="14" t="s">
        <v>5529</v>
      </c>
    </row>
    <row r="1530" spans="1:4" hidden="1" x14ac:dyDescent="0.25">
      <c r="A1530" s="1" t="s">
        <v>3618</v>
      </c>
      <c r="B1530" s="1" t="s">
        <v>3619</v>
      </c>
      <c r="C1530" s="1" t="s">
        <v>3520</v>
      </c>
      <c r="D1530" s="14" t="s">
        <v>5529</v>
      </c>
    </row>
    <row r="1531" spans="1:4" hidden="1" x14ac:dyDescent="0.25">
      <c r="A1531" s="1" t="s">
        <v>3620</v>
      </c>
      <c r="B1531" s="1" t="s">
        <v>3621</v>
      </c>
      <c r="C1531" s="1" t="s">
        <v>3523</v>
      </c>
      <c r="D1531" s="14" t="s">
        <v>5529</v>
      </c>
    </row>
    <row r="1532" spans="1:4" hidden="1" x14ac:dyDescent="0.25">
      <c r="A1532" s="1" t="s">
        <v>3622</v>
      </c>
      <c r="B1532" s="1" t="s">
        <v>3623</v>
      </c>
      <c r="C1532" s="1" t="s">
        <v>3526</v>
      </c>
      <c r="D1532" s="14" t="s">
        <v>5529</v>
      </c>
    </row>
    <row r="1533" spans="1:4" hidden="1" x14ac:dyDescent="0.25">
      <c r="A1533" s="1" t="s">
        <v>3624</v>
      </c>
      <c r="B1533" s="1" t="s">
        <v>3625</v>
      </c>
      <c r="C1533" s="1" t="s">
        <v>3529</v>
      </c>
      <c r="D1533" s="14" t="s">
        <v>5529</v>
      </c>
    </row>
    <row r="1534" spans="1:4" hidden="1" x14ac:dyDescent="0.25">
      <c r="A1534" s="1" t="s">
        <v>3626</v>
      </c>
      <c r="B1534" s="1" t="s">
        <v>3627</v>
      </c>
      <c r="C1534" s="1" t="s">
        <v>3532</v>
      </c>
      <c r="D1534" s="14" t="s">
        <v>5529</v>
      </c>
    </row>
    <row r="1535" spans="1:4" hidden="1" x14ac:dyDescent="0.25">
      <c r="A1535" s="1" t="s">
        <v>3628</v>
      </c>
      <c r="B1535" s="1" t="s">
        <v>3629</v>
      </c>
      <c r="C1535" s="1" t="s">
        <v>3535</v>
      </c>
      <c r="D1535" s="14" t="s">
        <v>5529</v>
      </c>
    </row>
    <row r="1536" spans="1:4" hidden="1" x14ac:dyDescent="0.25">
      <c r="A1536" s="1" t="s">
        <v>3630</v>
      </c>
      <c r="B1536" s="1" t="s">
        <v>3631</v>
      </c>
      <c r="C1536" s="1" t="s">
        <v>3538</v>
      </c>
      <c r="D1536" s="14" t="s">
        <v>5529</v>
      </c>
    </row>
    <row r="1537" spans="1:4" hidden="1" x14ac:dyDescent="0.25">
      <c r="A1537" s="1" t="s">
        <v>3632</v>
      </c>
      <c r="B1537" s="1" t="s">
        <v>3633</v>
      </c>
      <c r="C1537" s="1" t="s">
        <v>3541</v>
      </c>
      <c r="D1537" s="14" t="s">
        <v>5529</v>
      </c>
    </row>
    <row r="1538" spans="1:4" hidden="1" x14ac:dyDescent="0.25">
      <c r="A1538" s="1" t="s">
        <v>3634</v>
      </c>
      <c r="B1538" s="1" t="s">
        <v>3635</v>
      </c>
      <c r="C1538" s="1" t="s">
        <v>3544</v>
      </c>
      <c r="D1538" s="14" t="s">
        <v>5529</v>
      </c>
    </row>
    <row r="1539" spans="1:4" hidden="1" x14ac:dyDescent="0.25">
      <c r="A1539" s="1" t="s">
        <v>3636</v>
      </c>
      <c r="B1539" s="1" t="s">
        <v>3637</v>
      </c>
      <c r="C1539" s="1" t="s">
        <v>3547</v>
      </c>
      <c r="D1539" s="14" t="s">
        <v>5529</v>
      </c>
    </row>
    <row r="1540" spans="1:4" hidden="1" x14ac:dyDescent="0.25">
      <c r="A1540" s="1" t="s">
        <v>3638</v>
      </c>
      <c r="B1540" s="1" t="s">
        <v>3639</v>
      </c>
      <c r="C1540" s="1" t="s">
        <v>3550</v>
      </c>
      <c r="D1540" s="14" t="s">
        <v>5529</v>
      </c>
    </row>
    <row r="1541" spans="1:4" hidden="1" x14ac:dyDescent="0.25">
      <c r="A1541" s="1" t="s">
        <v>3640</v>
      </c>
      <c r="B1541" s="1" t="s">
        <v>3641</v>
      </c>
      <c r="C1541" s="1" t="s">
        <v>3553</v>
      </c>
      <c r="D1541" s="14" t="s">
        <v>5529</v>
      </c>
    </row>
    <row r="1542" spans="1:4" hidden="1" x14ac:dyDescent="0.25">
      <c r="A1542" s="1" t="s">
        <v>3642</v>
      </c>
      <c r="B1542" s="1" t="s">
        <v>3643</v>
      </c>
      <c r="C1542" s="1" t="s">
        <v>3556</v>
      </c>
      <c r="D1542" s="14" t="s">
        <v>5529</v>
      </c>
    </row>
    <row r="1543" spans="1:4" hidden="1" x14ac:dyDescent="0.25">
      <c r="A1543" s="1" t="s">
        <v>3644</v>
      </c>
      <c r="B1543" s="1" t="s">
        <v>3645</v>
      </c>
      <c r="C1543" s="1" t="s">
        <v>3559</v>
      </c>
      <c r="D1543" s="14" t="s">
        <v>5529</v>
      </c>
    </row>
    <row r="1544" spans="1:4" hidden="1" x14ac:dyDescent="0.25">
      <c r="A1544" s="1" t="s">
        <v>3646</v>
      </c>
      <c r="B1544" s="1" t="s">
        <v>3647</v>
      </c>
      <c r="C1544" s="1" t="s">
        <v>3562</v>
      </c>
      <c r="D1544" s="14" t="s">
        <v>5529</v>
      </c>
    </row>
    <row r="1545" spans="1:4" hidden="1" x14ac:dyDescent="0.25">
      <c r="A1545" s="1" t="s">
        <v>3648</v>
      </c>
      <c r="B1545" s="1" t="s">
        <v>3649</v>
      </c>
      <c r="C1545" s="1" t="s">
        <v>3565</v>
      </c>
      <c r="D1545" s="14" t="s">
        <v>5529</v>
      </c>
    </row>
    <row r="1546" spans="1:4" hidden="1" x14ac:dyDescent="0.25">
      <c r="A1546" s="1" t="s">
        <v>3650</v>
      </c>
      <c r="B1546" s="1" t="s">
        <v>3651</v>
      </c>
      <c r="C1546" s="1" t="s">
        <v>3568</v>
      </c>
      <c r="D1546" s="14" t="s">
        <v>5529</v>
      </c>
    </row>
    <row r="1547" spans="1:4" hidden="1" x14ac:dyDescent="0.25">
      <c r="A1547" s="1" t="s">
        <v>3652</v>
      </c>
      <c r="B1547" s="1" t="s">
        <v>3653</v>
      </c>
      <c r="C1547" s="1" t="s">
        <v>3571</v>
      </c>
      <c r="D1547" s="14" t="s">
        <v>5529</v>
      </c>
    </row>
    <row r="1548" spans="1:4" hidden="1" x14ac:dyDescent="0.25">
      <c r="A1548" s="1" t="s">
        <v>3654</v>
      </c>
      <c r="B1548" s="1" t="s">
        <v>3655</v>
      </c>
      <c r="C1548" s="1" t="s">
        <v>3574</v>
      </c>
      <c r="D1548" s="14" t="s">
        <v>5529</v>
      </c>
    </row>
    <row r="1549" spans="1:4" hidden="1" x14ac:dyDescent="0.25">
      <c r="A1549" s="1" t="s">
        <v>3656</v>
      </c>
      <c r="B1549" s="1" t="s">
        <v>3657</v>
      </c>
      <c r="C1549" s="1" t="s">
        <v>3577</v>
      </c>
      <c r="D1549" s="14" t="s">
        <v>5529</v>
      </c>
    </row>
    <row r="1550" spans="1:4" hidden="1" x14ac:dyDescent="0.25">
      <c r="A1550" s="1" t="s">
        <v>3658</v>
      </c>
      <c r="B1550" s="1" t="s">
        <v>3659</v>
      </c>
      <c r="C1550" s="1" t="s">
        <v>3580</v>
      </c>
      <c r="D1550" s="14" t="s">
        <v>5529</v>
      </c>
    </row>
    <row r="1551" spans="1:4" hidden="1" x14ac:dyDescent="0.25">
      <c r="A1551" s="1" t="s">
        <v>3660</v>
      </c>
      <c r="B1551" s="1" t="s">
        <v>3661</v>
      </c>
      <c r="C1551" s="1" t="s">
        <v>3583</v>
      </c>
      <c r="D1551" s="14" t="s">
        <v>5529</v>
      </c>
    </row>
    <row r="1552" spans="1:4" hidden="1" x14ac:dyDescent="0.25">
      <c r="A1552" s="1" t="s">
        <v>3662</v>
      </c>
      <c r="B1552" s="1" t="s">
        <v>3663</v>
      </c>
      <c r="C1552" s="1" t="s">
        <v>3586</v>
      </c>
      <c r="D1552" s="14" t="s">
        <v>5529</v>
      </c>
    </row>
    <row r="1553" spans="1:4" hidden="1" x14ac:dyDescent="0.25">
      <c r="A1553" s="1" t="s">
        <v>3664</v>
      </c>
      <c r="B1553" s="1" t="s">
        <v>3665</v>
      </c>
      <c r="C1553" s="1" t="s">
        <v>3589</v>
      </c>
      <c r="D1553" s="14" t="s">
        <v>5529</v>
      </c>
    </row>
    <row r="1554" spans="1:4" hidden="1" x14ac:dyDescent="0.25">
      <c r="A1554" s="1" t="s">
        <v>3666</v>
      </c>
      <c r="B1554" s="1" t="s">
        <v>3667</v>
      </c>
      <c r="C1554" s="1" t="s">
        <v>3592</v>
      </c>
      <c r="D1554" s="14" t="s">
        <v>5529</v>
      </c>
    </row>
    <row r="1555" spans="1:4" hidden="1" x14ac:dyDescent="0.25">
      <c r="A1555" s="1" t="s">
        <v>3668</v>
      </c>
      <c r="B1555" s="1" t="s">
        <v>3669</v>
      </c>
      <c r="C1555" s="1" t="s">
        <v>3595</v>
      </c>
      <c r="D1555" s="14" t="s">
        <v>5529</v>
      </c>
    </row>
    <row r="1556" spans="1:4" hidden="1" x14ac:dyDescent="0.25">
      <c r="A1556" s="1" t="s">
        <v>3670</v>
      </c>
      <c r="B1556" s="1" t="s">
        <v>3671</v>
      </c>
      <c r="C1556" s="1" t="s">
        <v>3598</v>
      </c>
      <c r="D1556" s="14" t="s">
        <v>5529</v>
      </c>
    </row>
    <row r="1557" spans="1:4" hidden="1" x14ac:dyDescent="0.25">
      <c r="A1557" s="1" t="s">
        <v>3672</v>
      </c>
      <c r="B1557" s="1" t="s">
        <v>3673</v>
      </c>
      <c r="C1557" s="1" t="s">
        <v>3601</v>
      </c>
      <c r="D1557" s="14" t="s">
        <v>5529</v>
      </c>
    </row>
    <row r="1558" spans="1:4" hidden="1" x14ac:dyDescent="0.25">
      <c r="A1558" s="1" t="s">
        <v>3674</v>
      </c>
      <c r="B1558" s="1" t="s">
        <v>3675</v>
      </c>
      <c r="C1558" s="1" t="s">
        <v>3604</v>
      </c>
      <c r="D1558" s="14" t="s">
        <v>5529</v>
      </c>
    </row>
    <row r="1559" spans="1:4" hidden="1" x14ac:dyDescent="0.25">
      <c r="A1559" s="1" t="s">
        <v>3676</v>
      </c>
      <c r="B1559" s="1" t="s">
        <v>3677</v>
      </c>
      <c r="C1559" s="1" t="s">
        <v>3607</v>
      </c>
      <c r="D1559" s="14" t="s">
        <v>5529</v>
      </c>
    </row>
    <row r="1560" spans="1:4" hidden="1" x14ac:dyDescent="0.25">
      <c r="A1560" s="1" t="s">
        <v>3678</v>
      </c>
      <c r="B1560" s="1" t="s">
        <v>3679</v>
      </c>
      <c r="C1560" s="1" t="s">
        <v>3505</v>
      </c>
      <c r="D1560" s="14" t="s">
        <v>5529</v>
      </c>
    </row>
    <row r="1561" spans="1:4" hidden="1" x14ac:dyDescent="0.25">
      <c r="A1561" s="1" t="s">
        <v>3680</v>
      </c>
      <c r="B1561" s="1" t="s">
        <v>3681</v>
      </c>
      <c r="C1561" s="1" t="s">
        <v>3508</v>
      </c>
      <c r="D1561" s="14" t="s">
        <v>5529</v>
      </c>
    </row>
    <row r="1562" spans="1:4" hidden="1" x14ac:dyDescent="0.25">
      <c r="A1562" s="1" t="s">
        <v>3682</v>
      </c>
      <c r="B1562" s="1" t="s">
        <v>3683</v>
      </c>
      <c r="C1562" s="1" t="s">
        <v>3511</v>
      </c>
      <c r="D1562" s="14" t="s">
        <v>5529</v>
      </c>
    </row>
    <row r="1563" spans="1:4" hidden="1" x14ac:dyDescent="0.25">
      <c r="A1563" s="1" t="s">
        <v>3684</v>
      </c>
      <c r="B1563" s="1" t="s">
        <v>3685</v>
      </c>
      <c r="C1563" s="1" t="s">
        <v>3514</v>
      </c>
      <c r="D1563" s="14" t="s">
        <v>5529</v>
      </c>
    </row>
    <row r="1564" spans="1:4" hidden="1" x14ac:dyDescent="0.25">
      <c r="A1564" s="1" t="s">
        <v>3686</v>
      </c>
      <c r="B1564" s="1" t="s">
        <v>3687</v>
      </c>
      <c r="C1564" s="1" t="s">
        <v>3517</v>
      </c>
      <c r="D1564" s="14" t="s">
        <v>5529</v>
      </c>
    </row>
    <row r="1565" spans="1:4" hidden="1" x14ac:dyDescent="0.25">
      <c r="A1565" s="1" t="s">
        <v>3688</v>
      </c>
      <c r="B1565" s="1" t="s">
        <v>3689</v>
      </c>
      <c r="C1565" s="1" t="s">
        <v>3520</v>
      </c>
      <c r="D1565" s="14" t="s">
        <v>5529</v>
      </c>
    </row>
    <row r="1566" spans="1:4" hidden="1" x14ac:dyDescent="0.25">
      <c r="A1566" s="1" t="s">
        <v>3690</v>
      </c>
      <c r="B1566" s="1" t="s">
        <v>3691</v>
      </c>
      <c r="C1566" s="1" t="s">
        <v>3523</v>
      </c>
      <c r="D1566" s="14" t="s">
        <v>5529</v>
      </c>
    </row>
    <row r="1567" spans="1:4" hidden="1" x14ac:dyDescent="0.25">
      <c r="A1567" s="1" t="s">
        <v>3692</v>
      </c>
      <c r="B1567" s="1" t="s">
        <v>3693</v>
      </c>
      <c r="C1567" s="1" t="s">
        <v>3526</v>
      </c>
      <c r="D1567" s="14" t="s">
        <v>5529</v>
      </c>
    </row>
    <row r="1568" spans="1:4" hidden="1" x14ac:dyDescent="0.25">
      <c r="A1568" s="1" t="s">
        <v>3694</v>
      </c>
      <c r="B1568" s="1" t="s">
        <v>3695</v>
      </c>
      <c r="C1568" s="1" t="s">
        <v>3529</v>
      </c>
      <c r="D1568" s="14" t="s">
        <v>5529</v>
      </c>
    </row>
    <row r="1569" spans="1:4" hidden="1" x14ac:dyDescent="0.25">
      <c r="A1569" s="1" t="s">
        <v>3696</v>
      </c>
      <c r="B1569" s="1" t="s">
        <v>3697</v>
      </c>
      <c r="C1569" s="1" t="s">
        <v>3532</v>
      </c>
      <c r="D1569" s="14" t="s">
        <v>5529</v>
      </c>
    </row>
    <row r="1570" spans="1:4" hidden="1" x14ac:dyDescent="0.25">
      <c r="A1570" s="1" t="s">
        <v>3698</v>
      </c>
      <c r="B1570" s="1" t="s">
        <v>3699</v>
      </c>
      <c r="C1570" s="1" t="s">
        <v>3535</v>
      </c>
      <c r="D1570" s="14" t="s">
        <v>5529</v>
      </c>
    </row>
    <row r="1571" spans="1:4" hidden="1" x14ac:dyDescent="0.25">
      <c r="A1571" s="1" t="s">
        <v>3700</v>
      </c>
      <c r="B1571" s="1" t="s">
        <v>3701</v>
      </c>
      <c r="C1571" s="1" t="s">
        <v>3538</v>
      </c>
      <c r="D1571" s="14" t="s">
        <v>5529</v>
      </c>
    </row>
    <row r="1572" spans="1:4" hidden="1" x14ac:dyDescent="0.25">
      <c r="A1572" s="1" t="s">
        <v>3702</v>
      </c>
      <c r="B1572" s="1" t="s">
        <v>3703</v>
      </c>
      <c r="C1572" s="1" t="s">
        <v>3541</v>
      </c>
      <c r="D1572" s="14" t="s">
        <v>5529</v>
      </c>
    </row>
    <row r="1573" spans="1:4" hidden="1" x14ac:dyDescent="0.25">
      <c r="A1573" s="1" t="s">
        <v>3704</v>
      </c>
      <c r="B1573" s="1" t="s">
        <v>3705</v>
      </c>
      <c r="C1573" s="1" t="s">
        <v>3544</v>
      </c>
      <c r="D1573" s="14" t="s">
        <v>5529</v>
      </c>
    </row>
    <row r="1574" spans="1:4" hidden="1" x14ac:dyDescent="0.25">
      <c r="A1574" s="1" t="s">
        <v>3706</v>
      </c>
      <c r="B1574" s="1" t="s">
        <v>3707</v>
      </c>
      <c r="C1574" s="1" t="s">
        <v>3547</v>
      </c>
      <c r="D1574" s="14" t="s">
        <v>5529</v>
      </c>
    </row>
    <row r="1575" spans="1:4" hidden="1" x14ac:dyDescent="0.25">
      <c r="A1575" s="1" t="s">
        <v>3708</v>
      </c>
      <c r="B1575" s="1" t="s">
        <v>3709</v>
      </c>
      <c r="C1575" s="1" t="s">
        <v>3550</v>
      </c>
      <c r="D1575" s="14" t="s">
        <v>5529</v>
      </c>
    </row>
    <row r="1576" spans="1:4" hidden="1" x14ac:dyDescent="0.25">
      <c r="A1576" s="1" t="s">
        <v>3710</v>
      </c>
      <c r="B1576" s="1" t="s">
        <v>3711</v>
      </c>
      <c r="C1576" s="1" t="s">
        <v>3553</v>
      </c>
      <c r="D1576" s="14" t="s">
        <v>5529</v>
      </c>
    </row>
    <row r="1577" spans="1:4" hidden="1" x14ac:dyDescent="0.25">
      <c r="A1577" s="1" t="s">
        <v>3712</v>
      </c>
      <c r="B1577" s="1" t="s">
        <v>3713</v>
      </c>
      <c r="C1577" s="1" t="s">
        <v>3556</v>
      </c>
      <c r="D1577" s="14" t="s">
        <v>5529</v>
      </c>
    </row>
    <row r="1578" spans="1:4" hidden="1" x14ac:dyDescent="0.25">
      <c r="A1578" s="1" t="s">
        <v>3714</v>
      </c>
      <c r="B1578" s="1" t="s">
        <v>3715</v>
      </c>
      <c r="C1578" s="1" t="s">
        <v>3559</v>
      </c>
      <c r="D1578" s="14" t="s">
        <v>5529</v>
      </c>
    </row>
    <row r="1579" spans="1:4" hidden="1" x14ac:dyDescent="0.25">
      <c r="A1579" s="1" t="s">
        <v>3716</v>
      </c>
      <c r="B1579" s="1" t="s">
        <v>3717</v>
      </c>
      <c r="C1579" s="1" t="s">
        <v>3562</v>
      </c>
      <c r="D1579" s="14" t="s">
        <v>5529</v>
      </c>
    </row>
    <row r="1580" spans="1:4" hidden="1" x14ac:dyDescent="0.25">
      <c r="A1580" s="1" t="s">
        <v>3718</v>
      </c>
      <c r="B1580" s="1" t="s">
        <v>3719</v>
      </c>
      <c r="C1580" s="1" t="s">
        <v>3565</v>
      </c>
      <c r="D1580" s="14" t="s">
        <v>5529</v>
      </c>
    </row>
    <row r="1581" spans="1:4" hidden="1" x14ac:dyDescent="0.25">
      <c r="A1581" s="1" t="s">
        <v>3720</v>
      </c>
      <c r="B1581" s="1" t="s">
        <v>3721</v>
      </c>
      <c r="C1581" s="1" t="s">
        <v>3568</v>
      </c>
      <c r="D1581" s="14" t="s">
        <v>5529</v>
      </c>
    </row>
    <row r="1582" spans="1:4" hidden="1" x14ac:dyDescent="0.25">
      <c r="A1582" s="1" t="s">
        <v>3722</v>
      </c>
      <c r="B1582" s="1" t="s">
        <v>3723</v>
      </c>
      <c r="C1582" s="1" t="s">
        <v>3571</v>
      </c>
      <c r="D1582" s="14" t="s">
        <v>5529</v>
      </c>
    </row>
    <row r="1583" spans="1:4" hidden="1" x14ac:dyDescent="0.25">
      <c r="A1583" s="1" t="s">
        <v>3724</v>
      </c>
      <c r="B1583" s="1" t="s">
        <v>3725</v>
      </c>
      <c r="C1583" s="1" t="s">
        <v>3574</v>
      </c>
      <c r="D1583" s="14" t="s">
        <v>5529</v>
      </c>
    </row>
    <row r="1584" spans="1:4" hidden="1" x14ac:dyDescent="0.25">
      <c r="A1584" s="1" t="s">
        <v>3726</v>
      </c>
      <c r="B1584" s="1" t="s">
        <v>3727</v>
      </c>
      <c r="C1584" s="1" t="s">
        <v>3577</v>
      </c>
      <c r="D1584" s="14" t="s">
        <v>5529</v>
      </c>
    </row>
    <row r="1585" spans="1:4" hidden="1" x14ac:dyDescent="0.25">
      <c r="A1585" s="1" t="s">
        <v>3728</v>
      </c>
      <c r="B1585" s="1" t="s">
        <v>3729</v>
      </c>
      <c r="C1585" s="1" t="s">
        <v>3580</v>
      </c>
      <c r="D1585" s="14" t="s">
        <v>5529</v>
      </c>
    </row>
    <row r="1586" spans="1:4" hidden="1" x14ac:dyDescent="0.25">
      <c r="A1586" s="1" t="s">
        <v>3730</v>
      </c>
      <c r="B1586" s="1" t="s">
        <v>3731</v>
      </c>
      <c r="C1586" s="1" t="s">
        <v>3583</v>
      </c>
      <c r="D1586" s="14" t="s">
        <v>5529</v>
      </c>
    </row>
    <row r="1587" spans="1:4" hidden="1" x14ac:dyDescent="0.25">
      <c r="A1587" s="1" t="s">
        <v>3732</v>
      </c>
      <c r="B1587" s="1" t="s">
        <v>3733</v>
      </c>
      <c r="C1587" s="1" t="s">
        <v>3586</v>
      </c>
      <c r="D1587" s="14" t="s">
        <v>5529</v>
      </c>
    </row>
    <row r="1588" spans="1:4" hidden="1" x14ac:dyDescent="0.25">
      <c r="A1588" s="1" t="s">
        <v>3734</v>
      </c>
      <c r="B1588" s="1" t="s">
        <v>3735</v>
      </c>
      <c r="C1588" s="1" t="s">
        <v>3589</v>
      </c>
      <c r="D1588" s="14" t="s">
        <v>5529</v>
      </c>
    </row>
    <row r="1589" spans="1:4" hidden="1" x14ac:dyDescent="0.25">
      <c r="A1589" s="1" t="s">
        <v>3736</v>
      </c>
      <c r="B1589" s="1" t="s">
        <v>3737</v>
      </c>
      <c r="C1589" s="1" t="s">
        <v>3592</v>
      </c>
      <c r="D1589" s="14" t="s">
        <v>5529</v>
      </c>
    </row>
    <row r="1590" spans="1:4" hidden="1" x14ac:dyDescent="0.25">
      <c r="A1590" s="1" t="s">
        <v>3738</v>
      </c>
      <c r="B1590" s="1" t="s">
        <v>3739</v>
      </c>
      <c r="C1590" s="1" t="s">
        <v>3595</v>
      </c>
      <c r="D1590" s="14" t="s">
        <v>5529</v>
      </c>
    </row>
    <row r="1591" spans="1:4" hidden="1" x14ac:dyDescent="0.25">
      <c r="A1591" s="1" t="s">
        <v>3740</v>
      </c>
      <c r="B1591" s="1" t="s">
        <v>3741</v>
      </c>
      <c r="C1591" s="1" t="s">
        <v>3598</v>
      </c>
      <c r="D1591" s="14" t="s">
        <v>5529</v>
      </c>
    </row>
    <row r="1592" spans="1:4" hidden="1" x14ac:dyDescent="0.25">
      <c r="A1592" s="1" t="s">
        <v>3742</v>
      </c>
      <c r="B1592" s="1" t="s">
        <v>3743</v>
      </c>
      <c r="C1592" s="1" t="s">
        <v>3601</v>
      </c>
      <c r="D1592" s="14" t="s">
        <v>5529</v>
      </c>
    </row>
    <row r="1593" spans="1:4" hidden="1" x14ac:dyDescent="0.25">
      <c r="A1593" s="1" t="s">
        <v>3744</v>
      </c>
      <c r="B1593" s="1" t="s">
        <v>3745</v>
      </c>
      <c r="C1593" s="1" t="s">
        <v>3604</v>
      </c>
      <c r="D1593" s="14" t="s">
        <v>5529</v>
      </c>
    </row>
    <row r="1594" spans="1:4" hidden="1" x14ac:dyDescent="0.25">
      <c r="A1594" s="1" t="s">
        <v>3746</v>
      </c>
      <c r="B1594" s="1" t="s">
        <v>3747</v>
      </c>
      <c r="C1594" s="1" t="s">
        <v>3607</v>
      </c>
      <c r="D1594" s="14" t="s">
        <v>5529</v>
      </c>
    </row>
    <row r="1595" spans="1:4" hidden="1" x14ac:dyDescent="0.25">
      <c r="A1595" s="1" t="s">
        <v>3748</v>
      </c>
      <c r="B1595" s="1" t="s">
        <v>3749</v>
      </c>
      <c r="C1595" s="1" t="s">
        <v>3750</v>
      </c>
      <c r="D1595" s="14" t="s">
        <v>5529</v>
      </c>
    </row>
    <row r="1596" spans="1:4" hidden="1" x14ac:dyDescent="0.25">
      <c r="A1596" s="1" t="s">
        <v>3751</v>
      </c>
      <c r="B1596" s="1" t="s">
        <v>3752</v>
      </c>
      <c r="C1596" s="1" t="s">
        <v>3753</v>
      </c>
      <c r="D1596" s="14" t="s">
        <v>5529</v>
      </c>
    </row>
    <row r="1597" spans="1:4" hidden="1" x14ac:dyDescent="0.25">
      <c r="A1597" s="1" t="s">
        <v>3754</v>
      </c>
      <c r="B1597" s="1" t="s">
        <v>3755</v>
      </c>
      <c r="C1597" s="1" t="s">
        <v>3756</v>
      </c>
      <c r="D1597" s="14" t="s">
        <v>5529</v>
      </c>
    </row>
    <row r="1598" spans="1:4" hidden="1" x14ac:dyDescent="0.25">
      <c r="A1598" s="1" t="s">
        <v>3757</v>
      </c>
      <c r="B1598" s="1" t="s">
        <v>3758</v>
      </c>
      <c r="C1598" s="1" t="s">
        <v>3759</v>
      </c>
      <c r="D1598" s="14" t="s">
        <v>5529</v>
      </c>
    </row>
    <row r="1599" spans="1:4" hidden="1" x14ac:dyDescent="0.25">
      <c r="A1599" s="1" t="s">
        <v>3760</v>
      </c>
      <c r="B1599" s="1" t="s">
        <v>3761</v>
      </c>
      <c r="C1599" s="1" t="s">
        <v>3762</v>
      </c>
      <c r="D1599" s="14" t="s">
        <v>5529</v>
      </c>
    </row>
    <row r="1600" spans="1:4" hidden="1" x14ac:dyDescent="0.25">
      <c r="A1600" s="1" t="s">
        <v>3763</v>
      </c>
      <c r="B1600" s="1" t="s">
        <v>3764</v>
      </c>
      <c r="C1600" s="1" t="s">
        <v>3765</v>
      </c>
      <c r="D1600" s="14" t="s">
        <v>5529</v>
      </c>
    </row>
    <row r="1601" spans="1:4" hidden="1" x14ac:dyDescent="0.25">
      <c r="A1601" s="1" t="s">
        <v>3766</v>
      </c>
      <c r="B1601" s="1" t="s">
        <v>3767</v>
      </c>
      <c r="C1601" s="1" t="s">
        <v>3768</v>
      </c>
      <c r="D1601" s="14" t="s">
        <v>5529</v>
      </c>
    </row>
    <row r="1602" spans="1:4" hidden="1" x14ac:dyDescent="0.25">
      <c r="A1602" s="1" t="s">
        <v>3769</v>
      </c>
      <c r="B1602" s="1" t="s">
        <v>3770</v>
      </c>
      <c r="C1602" s="1" t="s">
        <v>3771</v>
      </c>
      <c r="D1602" s="14" t="s">
        <v>5529</v>
      </c>
    </row>
    <row r="1603" spans="1:4" hidden="1" x14ac:dyDescent="0.25">
      <c r="A1603" s="1" t="s">
        <v>3772</v>
      </c>
      <c r="B1603" s="1" t="s">
        <v>3773</v>
      </c>
      <c r="C1603" s="1" t="s">
        <v>3774</v>
      </c>
      <c r="D1603" s="14" t="s">
        <v>5529</v>
      </c>
    </row>
    <row r="1604" spans="1:4" hidden="1" x14ac:dyDescent="0.25">
      <c r="A1604" s="1" t="s">
        <v>3775</v>
      </c>
      <c r="B1604" s="1" t="s">
        <v>3776</v>
      </c>
      <c r="C1604" s="1" t="s">
        <v>3777</v>
      </c>
      <c r="D1604" s="14" t="s">
        <v>5529</v>
      </c>
    </row>
    <row r="1605" spans="1:4" hidden="1" x14ac:dyDescent="0.25">
      <c r="A1605" s="1" t="s">
        <v>3778</v>
      </c>
      <c r="B1605" s="1" t="s">
        <v>3779</v>
      </c>
      <c r="C1605" s="1" t="s">
        <v>3780</v>
      </c>
      <c r="D1605" s="14" t="s">
        <v>5529</v>
      </c>
    </row>
    <row r="1606" spans="1:4" hidden="1" x14ac:dyDescent="0.25">
      <c r="A1606" s="1" t="s">
        <v>3781</v>
      </c>
      <c r="B1606" s="1" t="s">
        <v>3782</v>
      </c>
      <c r="C1606" s="1" t="s">
        <v>3783</v>
      </c>
      <c r="D1606" s="14" t="s">
        <v>5529</v>
      </c>
    </row>
    <row r="1607" spans="1:4" hidden="1" x14ac:dyDescent="0.25">
      <c r="A1607" s="1" t="s">
        <v>3784</v>
      </c>
      <c r="B1607" s="1" t="s">
        <v>3785</v>
      </c>
      <c r="C1607" s="1" t="s">
        <v>3786</v>
      </c>
      <c r="D1607" s="14" t="s">
        <v>5529</v>
      </c>
    </row>
    <row r="1608" spans="1:4" hidden="1" x14ac:dyDescent="0.25">
      <c r="A1608" s="1" t="s">
        <v>3787</v>
      </c>
      <c r="B1608" s="1" t="s">
        <v>3788</v>
      </c>
      <c r="C1608" s="1" t="s">
        <v>3789</v>
      </c>
      <c r="D1608" s="14" t="s">
        <v>5529</v>
      </c>
    </row>
    <row r="1609" spans="1:4" hidden="1" x14ac:dyDescent="0.25">
      <c r="A1609" s="1" t="s">
        <v>3790</v>
      </c>
      <c r="B1609" s="1" t="s">
        <v>3791</v>
      </c>
      <c r="C1609" s="1" t="s">
        <v>3792</v>
      </c>
      <c r="D1609" s="14" t="s">
        <v>5529</v>
      </c>
    </row>
    <row r="1610" spans="1:4" hidden="1" x14ac:dyDescent="0.25">
      <c r="A1610" s="1" t="s">
        <v>3793</v>
      </c>
      <c r="B1610" s="1" t="s">
        <v>3794</v>
      </c>
      <c r="C1610" s="1" t="s">
        <v>3795</v>
      </c>
      <c r="D1610" s="14" t="s">
        <v>5529</v>
      </c>
    </row>
    <row r="1611" spans="1:4" hidden="1" x14ac:dyDescent="0.25">
      <c r="A1611" s="1" t="s">
        <v>3796</v>
      </c>
      <c r="B1611" s="1" t="s">
        <v>3797</v>
      </c>
      <c r="C1611" s="1" t="s">
        <v>3798</v>
      </c>
      <c r="D1611" s="14" t="s">
        <v>5529</v>
      </c>
    </row>
    <row r="1612" spans="1:4" hidden="1" x14ac:dyDescent="0.25">
      <c r="A1612" s="1" t="s">
        <v>3799</v>
      </c>
      <c r="B1612" s="1" t="s">
        <v>3800</v>
      </c>
      <c r="C1612" s="1" t="s">
        <v>3801</v>
      </c>
      <c r="D1612" s="14" t="s">
        <v>5529</v>
      </c>
    </row>
    <row r="1613" spans="1:4" hidden="1" x14ac:dyDescent="0.25">
      <c r="A1613" s="1" t="s">
        <v>3802</v>
      </c>
      <c r="B1613" s="1" t="s">
        <v>3803</v>
      </c>
      <c r="C1613" s="1" t="s">
        <v>3804</v>
      </c>
      <c r="D1613" s="14" t="s">
        <v>5529</v>
      </c>
    </row>
    <row r="1614" spans="1:4" hidden="1" x14ac:dyDescent="0.25">
      <c r="A1614" s="1" t="s">
        <v>3805</v>
      </c>
      <c r="B1614" s="1" t="s">
        <v>3806</v>
      </c>
      <c r="C1614" s="1" t="s">
        <v>3807</v>
      </c>
      <c r="D1614" s="14" t="s">
        <v>5529</v>
      </c>
    </row>
    <row r="1615" spans="1:4" hidden="1" x14ac:dyDescent="0.25">
      <c r="A1615" s="1" t="s">
        <v>3808</v>
      </c>
      <c r="B1615" s="1" t="s">
        <v>3809</v>
      </c>
      <c r="C1615" s="1" t="s">
        <v>3810</v>
      </c>
      <c r="D1615" s="14" t="s">
        <v>5529</v>
      </c>
    </row>
    <row r="1616" spans="1:4" hidden="1" x14ac:dyDescent="0.25">
      <c r="A1616" s="1" t="s">
        <v>3811</v>
      </c>
      <c r="B1616" s="1" t="s">
        <v>3812</v>
      </c>
      <c r="C1616" s="1" t="s">
        <v>3813</v>
      </c>
      <c r="D1616" s="14" t="s">
        <v>5529</v>
      </c>
    </row>
    <row r="1617" spans="1:4" hidden="1" x14ac:dyDescent="0.25">
      <c r="A1617" s="1" t="s">
        <v>3814</v>
      </c>
      <c r="B1617" s="1" t="s">
        <v>3815</v>
      </c>
      <c r="C1617" s="1" t="s">
        <v>3816</v>
      </c>
      <c r="D1617" s="14" t="s">
        <v>5529</v>
      </c>
    </row>
    <row r="1618" spans="1:4" hidden="1" x14ac:dyDescent="0.25">
      <c r="A1618" s="1" t="s">
        <v>3817</v>
      </c>
      <c r="B1618" s="1" t="s">
        <v>3818</v>
      </c>
      <c r="C1618" s="1" t="s">
        <v>3819</v>
      </c>
      <c r="D1618" s="14" t="s">
        <v>5529</v>
      </c>
    </row>
    <row r="1619" spans="1:4" hidden="1" x14ac:dyDescent="0.25">
      <c r="A1619" s="1" t="s">
        <v>3820</v>
      </c>
      <c r="B1619" s="1" t="s">
        <v>3821</v>
      </c>
      <c r="C1619" s="1" t="s">
        <v>3822</v>
      </c>
      <c r="D1619" s="14" t="s">
        <v>5529</v>
      </c>
    </row>
    <row r="1620" spans="1:4" hidden="1" x14ac:dyDescent="0.25">
      <c r="A1620" s="1" t="s">
        <v>3823</v>
      </c>
      <c r="B1620" s="1" t="s">
        <v>3824</v>
      </c>
      <c r="C1620" s="1" t="s">
        <v>3825</v>
      </c>
      <c r="D1620" s="14" t="s">
        <v>5529</v>
      </c>
    </row>
    <row r="1621" spans="1:4" hidden="1" x14ac:dyDescent="0.25">
      <c r="A1621" s="1" t="s">
        <v>3826</v>
      </c>
      <c r="B1621" s="1" t="s">
        <v>3827</v>
      </c>
      <c r="C1621" s="1" t="s">
        <v>3828</v>
      </c>
      <c r="D1621" s="14" t="s">
        <v>5529</v>
      </c>
    </row>
    <row r="1622" spans="1:4" hidden="1" x14ac:dyDescent="0.25">
      <c r="A1622" s="1" t="s">
        <v>3829</v>
      </c>
      <c r="B1622" s="1" t="s">
        <v>3830</v>
      </c>
      <c r="C1622" s="1" t="s">
        <v>3831</v>
      </c>
      <c r="D1622" s="14" t="s">
        <v>5529</v>
      </c>
    </row>
    <row r="1623" spans="1:4" hidden="1" x14ac:dyDescent="0.25">
      <c r="A1623" s="1" t="s">
        <v>3832</v>
      </c>
      <c r="B1623" s="1" t="s">
        <v>3833</v>
      </c>
      <c r="C1623" s="1" t="s">
        <v>3834</v>
      </c>
      <c r="D1623" s="14" t="s">
        <v>5529</v>
      </c>
    </row>
    <row r="1624" spans="1:4" hidden="1" x14ac:dyDescent="0.25">
      <c r="A1624" s="1" t="s">
        <v>3835</v>
      </c>
      <c r="B1624" s="1" t="s">
        <v>3836</v>
      </c>
      <c r="C1624" s="1" t="s">
        <v>3837</v>
      </c>
      <c r="D1624" s="14" t="s">
        <v>5529</v>
      </c>
    </row>
    <row r="1625" spans="1:4" hidden="1" x14ac:dyDescent="0.25">
      <c r="A1625" s="1" t="s">
        <v>3838</v>
      </c>
      <c r="B1625" s="1" t="s">
        <v>3839</v>
      </c>
      <c r="C1625" s="1" t="s">
        <v>3840</v>
      </c>
      <c r="D1625" s="14" t="s">
        <v>5529</v>
      </c>
    </row>
    <row r="1626" spans="1:4" hidden="1" x14ac:dyDescent="0.25">
      <c r="A1626" s="1" t="s">
        <v>3841</v>
      </c>
      <c r="B1626" s="1" t="s">
        <v>3842</v>
      </c>
      <c r="C1626" s="1" t="s">
        <v>3843</v>
      </c>
      <c r="D1626" s="14" t="s">
        <v>5529</v>
      </c>
    </row>
    <row r="1627" spans="1:4" hidden="1" x14ac:dyDescent="0.25">
      <c r="A1627" s="1" t="s">
        <v>3844</v>
      </c>
      <c r="B1627" s="1" t="s">
        <v>3845</v>
      </c>
      <c r="C1627" s="1" t="s">
        <v>3846</v>
      </c>
      <c r="D1627" s="14" t="s">
        <v>5529</v>
      </c>
    </row>
    <row r="1628" spans="1:4" hidden="1" x14ac:dyDescent="0.25">
      <c r="A1628" s="1" t="s">
        <v>3847</v>
      </c>
      <c r="B1628" s="1" t="s">
        <v>3848</v>
      </c>
      <c r="C1628" s="1" t="s">
        <v>3849</v>
      </c>
      <c r="D1628" s="14" t="s">
        <v>5529</v>
      </c>
    </row>
    <row r="1629" spans="1:4" hidden="1" x14ac:dyDescent="0.25">
      <c r="A1629" s="1" t="s">
        <v>3850</v>
      </c>
      <c r="B1629" s="1" t="s">
        <v>3851</v>
      </c>
      <c r="C1629" s="1" t="s">
        <v>3852</v>
      </c>
      <c r="D1629" s="14" t="s">
        <v>5529</v>
      </c>
    </row>
    <row r="1630" spans="1:4" hidden="1" x14ac:dyDescent="0.25">
      <c r="A1630" s="1" t="s">
        <v>3853</v>
      </c>
      <c r="B1630" s="1" t="s">
        <v>3854</v>
      </c>
      <c r="C1630" s="1" t="s">
        <v>3750</v>
      </c>
      <c r="D1630" s="14" t="s">
        <v>5529</v>
      </c>
    </row>
    <row r="1631" spans="1:4" hidden="1" x14ac:dyDescent="0.25">
      <c r="A1631" s="1" t="s">
        <v>3855</v>
      </c>
      <c r="B1631" s="1" t="s">
        <v>3856</v>
      </c>
      <c r="C1631" s="1" t="s">
        <v>3753</v>
      </c>
      <c r="D1631" s="14" t="s">
        <v>5529</v>
      </c>
    </row>
    <row r="1632" spans="1:4" hidden="1" x14ac:dyDescent="0.25">
      <c r="A1632" s="1" t="s">
        <v>3857</v>
      </c>
      <c r="B1632" s="1" t="s">
        <v>3858</v>
      </c>
      <c r="C1632" s="1" t="s">
        <v>3756</v>
      </c>
      <c r="D1632" s="14" t="s">
        <v>5529</v>
      </c>
    </row>
    <row r="1633" spans="1:4" hidden="1" x14ac:dyDescent="0.25">
      <c r="A1633" s="1" t="s">
        <v>3859</v>
      </c>
      <c r="B1633" s="1" t="s">
        <v>3860</v>
      </c>
      <c r="C1633" s="1" t="s">
        <v>3759</v>
      </c>
      <c r="D1633" s="14" t="s">
        <v>5529</v>
      </c>
    </row>
    <row r="1634" spans="1:4" hidden="1" x14ac:dyDescent="0.25">
      <c r="A1634" s="1" t="s">
        <v>3861</v>
      </c>
      <c r="B1634" s="1" t="s">
        <v>3862</v>
      </c>
      <c r="C1634" s="1" t="s">
        <v>3762</v>
      </c>
      <c r="D1634" s="14" t="s">
        <v>5529</v>
      </c>
    </row>
    <row r="1635" spans="1:4" hidden="1" x14ac:dyDescent="0.25">
      <c r="A1635" s="1" t="s">
        <v>3863</v>
      </c>
      <c r="B1635" s="1" t="s">
        <v>3864</v>
      </c>
      <c r="C1635" s="1" t="s">
        <v>3765</v>
      </c>
      <c r="D1635" s="14" t="s">
        <v>5529</v>
      </c>
    </row>
    <row r="1636" spans="1:4" hidden="1" x14ac:dyDescent="0.25">
      <c r="A1636" s="1" t="s">
        <v>3865</v>
      </c>
      <c r="B1636" s="1" t="s">
        <v>3866</v>
      </c>
      <c r="C1636" s="1" t="s">
        <v>3768</v>
      </c>
      <c r="D1636" s="14" t="s">
        <v>5529</v>
      </c>
    </row>
    <row r="1637" spans="1:4" hidden="1" x14ac:dyDescent="0.25">
      <c r="A1637" s="1" t="s">
        <v>3867</v>
      </c>
      <c r="B1637" s="1" t="s">
        <v>3868</v>
      </c>
      <c r="C1637" s="1" t="s">
        <v>3771</v>
      </c>
      <c r="D1637" s="14" t="s">
        <v>5529</v>
      </c>
    </row>
    <row r="1638" spans="1:4" hidden="1" x14ac:dyDescent="0.25">
      <c r="A1638" s="1" t="s">
        <v>3869</v>
      </c>
      <c r="B1638" s="1" t="s">
        <v>3870</v>
      </c>
      <c r="C1638" s="1" t="s">
        <v>3774</v>
      </c>
      <c r="D1638" s="14" t="s">
        <v>5529</v>
      </c>
    </row>
    <row r="1639" spans="1:4" hidden="1" x14ac:dyDescent="0.25">
      <c r="A1639" s="1" t="s">
        <v>3871</v>
      </c>
      <c r="B1639" s="1" t="s">
        <v>3872</v>
      </c>
      <c r="C1639" s="1" t="s">
        <v>3777</v>
      </c>
      <c r="D1639" s="14" t="s">
        <v>5529</v>
      </c>
    </row>
    <row r="1640" spans="1:4" hidden="1" x14ac:dyDescent="0.25">
      <c r="A1640" s="1" t="s">
        <v>3873</v>
      </c>
      <c r="B1640" s="1" t="s">
        <v>3874</v>
      </c>
      <c r="C1640" s="1" t="s">
        <v>3780</v>
      </c>
      <c r="D1640" s="14" t="s">
        <v>5529</v>
      </c>
    </row>
    <row r="1641" spans="1:4" hidden="1" x14ac:dyDescent="0.25">
      <c r="A1641" s="1" t="s">
        <v>3875</v>
      </c>
      <c r="B1641" s="1" t="s">
        <v>3876</v>
      </c>
      <c r="C1641" s="1" t="s">
        <v>3783</v>
      </c>
      <c r="D1641" s="14" t="s">
        <v>5529</v>
      </c>
    </row>
    <row r="1642" spans="1:4" hidden="1" x14ac:dyDescent="0.25">
      <c r="A1642" s="1" t="s">
        <v>3877</v>
      </c>
      <c r="B1642" s="1" t="s">
        <v>3878</v>
      </c>
      <c r="C1642" s="1" t="s">
        <v>3786</v>
      </c>
      <c r="D1642" s="14" t="s">
        <v>5529</v>
      </c>
    </row>
    <row r="1643" spans="1:4" hidden="1" x14ac:dyDescent="0.25">
      <c r="A1643" s="1" t="s">
        <v>3879</v>
      </c>
      <c r="B1643" s="1" t="s">
        <v>3880</v>
      </c>
      <c r="C1643" s="1" t="s">
        <v>3789</v>
      </c>
      <c r="D1643" s="14" t="s">
        <v>5529</v>
      </c>
    </row>
    <row r="1644" spans="1:4" hidden="1" x14ac:dyDescent="0.25">
      <c r="A1644" s="1" t="s">
        <v>3881</v>
      </c>
      <c r="B1644" s="1" t="s">
        <v>3882</v>
      </c>
      <c r="C1644" s="1" t="s">
        <v>3792</v>
      </c>
      <c r="D1644" s="14" t="s">
        <v>5529</v>
      </c>
    </row>
    <row r="1645" spans="1:4" hidden="1" x14ac:dyDescent="0.25">
      <c r="A1645" s="1" t="s">
        <v>3883</v>
      </c>
      <c r="B1645" s="1" t="s">
        <v>3884</v>
      </c>
      <c r="C1645" s="1" t="s">
        <v>3795</v>
      </c>
      <c r="D1645" s="14" t="s">
        <v>5529</v>
      </c>
    </row>
    <row r="1646" spans="1:4" hidden="1" x14ac:dyDescent="0.25">
      <c r="A1646" s="1" t="s">
        <v>3885</v>
      </c>
      <c r="B1646" s="1" t="s">
        <v>3886</v>
      </c>
      <c r="C1646" s="1" t="s">
        <v>3798</v>
      </c>
      <c r="D1646" s="14" t="s">
        <v>5529</v>
      </c>
    </row>
    <row r="1647" spans="1:4" hidden="1" x14ac:dyDescent="0.25">
      <c r="A1647" s="1" t="s">
        <v>3887</v>
      </c>
      <c r="B1647" s="1" t="s">
        <v>3888</v>
      </c>
      <c r="C1647" s="1" t="s">
        <v>3801</v>
      </c>
      <c r="D1647" s="14" t="s">
        <v>5529</v>
      </c>
    </row>
    <row r="1648" spans="1:4" hidden="1" x14ac:dyDescent="0.25">
      <c r="A1648" s="1" t="s">
        <v>3889</v>
      </c>
      <c r="B1648" s="1" t="s">
        <v>3890</v>
      </c>
      <c r="C1648" s="1" t="s">
        <v>3804</v>
      </c>
      <c r="D1648" s="14" t="s">
        <v>5529</v>
      </c>
    </row>
    <row r="1649" spans="1:4" hidden="1" x14ac:dyDescent="0.25">
      <c r="A1649" s="1" t="s">
        <v>3891</v>
      </c>
      <c r="B1649" s="1" t="s">
        <v>3892</v>
      </c>
      <c r="C1649" s="1" t="s">
        <v>3807</v>
      </c>
      <c r="D1649" s="14" t="s">
        <v>5529</v>
      </c>
    </row>
    <row r="1650" spans="1:4" hidden="1" x14ac:dyDescent="0.25">
      <c r="A1650" s="1" t="s">
        <v>3893</v>
      </c>
      <c r="B1650" s="1" t="s">
        <v>3894</v>
      </c>
      <c r="C1650" s="1" t="s">
        <v>3810</v>
      </c>
      <c r="D1650" s="14" t="s">
        <v>5529</v>
      </c>
    </row>
    <row r="1651" spans="1:4" hidden="1" x14ac:dyDescent="0.25">
      <c r="A1651" s="1" t="s">
        <v>3895</v>
      </c>
      <c r="B1651" s="1" t="s">
        <v>3896</v>
      </c>
      <c r="C1651" s="1" t="s">
        <v>3813</v>
      </c>
      <c r="D1651" s="14" t="s">
        <v>5529</v>
      </c>
    </row>
    <row r="1652" spans="1:4" hidden="1" x14ac:dyDescent="0.25">
      <c r="A1652" s="1" t="s">
        <v>3897</v>
      </c>
      <c r="B1652" s="1" t="s">
        <v>3898</v>
      </c>
      <c r="C1652" s="1" t="s">
        <v>3816</v>
      </c>
      <c r="D1652" s="14" t="s">
        <v>5529</v>
      </c>
    </row>
    <row r="1653" spans="1:4" hidden="1" x14ac:dyDescent="0.25">
      <c r="A1653" s="1" t="s">
        <v>3899</v>
      </c>
      <c r="B1653" s="1" t="s">
        <v>3900</v>
      </c>
      <c r="C1653" s="1" t="s">
        <v>3819</v>
      </c>
      <c r="D1653" s="14" t="s">
        <v>5529</v>
      </c>
    </row>
    <row r="1654" spans="1:4" hidden="1" x14ac:dyDescent="0.25">
      <c r="A1654" s="1" t="s">
        <v>3901</v>
      </c>
      <c r="B1654" s="1" t="s">
        <v>3902</v>
      </c>
      <c r="C1654" s="1" t="s">
        <v>3822</v>
      </c>
      <c r="D1654" s="14" t="s">
        <v>5529</v>
      </c>
    </row>
    <row r="1655" spans="1:4" hidden="1" x14ac:dyDescent="0.25">
      <c r="A1655" s="1" t="s">
        <v>3903</v>
      </c>
      <c r="B1655" s="1" t="s">
        <v>3904</v>
      </c>
      <c r="C1655" s="1" t="s">
        <v>3825</v>
      </c>
      <c r="D1655" s="14" t="s">
        <v>5529</v>
      </c>
    </row>
    <row r="1656" spans="1:4" hidden="1" x14ac:dyDescent="0.25">
      <c r="A1656" s="1" t="s">
        <v>3905</v>
      </c>
      <c r="B1656" s="1" t="s">
        <v>3906</v>
      </c>
      <c r="C1656" s="1" t="s">
        <v>3828</v>
      </c>
      <c r="D1656" s="14" t="s">
        <v>5529</v>
      </c>
    </row>
    <row r="1657" spans="1:4" hidden="1" x14ac:dyDescent="0.25">
      <c r="A1657" s="1" t="s">
        <v>3907</v>
      </c>
      <c r="B1657" s="1" t="s">
        <v>3908</v>
      </c>
      <c r="C1657" s="1" t="s">
        <v>3831</v>
      </c>
      <c r="D1657" s="14" t="s">
        <v>5529</v>
      </c>
    </row>
    <row r="1658" spans="1:4" hidden="1" x14ac:dyDescent="0.25">
      <c r="A1658" s="1" t="s">
        <v>3909</v>
      </c>
      <c r="B1658" s="1" t="s">
        <v>3910</v>
      </c>
      <c r="C1658" s="1" t="s">
        <v>3834</v>
      </c>
      <c r="D1658" s="14" t="s">
        <v>5529</v>
      </c>
    </row>
    <row r="1659" spans="1:4" hidden="1" x14ac:dyDescent="0.25">
      <c r="A1659" s="1" t="s">
        <v>3911</v>
      </c>
      <c r="B1659" s="1" t="s">
        <v>3912</v>
      </c>
      <c r="C1659" s="1" t="s">
        <v>3837</v>
      </c>
      <c r="D1659" s="14" t="s">
        <v>5529</v>
      </c>
    </row>
    <row r="1660" spans="1:4" hidden="1" x14ac:dyDescent="0.25">
      <c r="A1660" s="1" t="s">
        <v>3913</v>
      </c>
      <c r="B1660" s="1" t="s">
        <v>3914</v>
      </c>
      <c r="C1660" s="1" t="s">
        <v>3840</v>
      </c>
      <c r="D1660" s="14" t="s">
        <v>5529</v>
      </c>
    </row>
    <row r="1661" spans="1:4" hidden="1" x14ac:dyDescent="0.25">
      <c r="A1661" s="1" t="s">
        <v>3915</v>
      </c>
      <c r="B1661" s="1" t="s">
        <v>3916</v>
      </c>
      <c r="C1661" s="1" t="s">
        <v>3843</v>
      </c>
      <c r="D1661" s="14" t="s">
        <v>5529</v>
      </c>
    </row>
    <row r="1662" spans="1:4" hidden="1" x14ac:dyDescent="0.25">
      <c r="A1662" s="1" t="s">
        <v>3917</v>
      </c>
      <c r="B1662" s="1" t="s">
        <v>3918</v>
      </c>
      <c r="C1662" s="1" t="s">
        <v>3846</v>
      </c>
      <c r="D1662" s="14" t="s">
        <v>5529</v>
      </c>
    </row>
    <row r="1663" spans="1:4" hidden="1" x14ac:dyDescent="0.25">
      <c r="A1663" s="1" t="s">
        <v>3919</v>
      </c>
      <c r="B1663" s="1" t="s">
        <v>3920</v>
      </c>
      <c r="C1663" s="1" t="s">
        <v>3849</v>
      </c>
      <c r="D1663" s="14" t="s">
        <v>5529</v>
      </c>
    </row>
    <row r="1664" spans="1:4" hidden="1" x14ac:dyDescent="0.25">
      <c r="A1664" s="1" t="s">
        <v>3921</v>
      </c>
      <c r="B1664" s="1" t="s">
        <v>3922</v>
      </c>
      <c r="C1664" s="1" t="s">
        <v>3852</v>
      </c>
      <c r="D1664" s="14" t="s">
        <v>5529</v>
      </c>
    </row>
    <row r="1665" spans="1:4" hidden="1" x14ac:dyDescent="0.25">
      <c r="A1665" s="1" t="s">
        <v>3923</v>
      </c>
      <c r="B1665" s="1" t="s">
        <v>3924</v>
      </c>
      <c r="C1665" s="1" t="s">
        <v>3750</v>
      </c>
      <c r="D1665" s="14" t="s">
        <v>5529</v>
      </c>
    </row>
    <row r="1666" spans="1:4" hidden="1" x14ac:dyDescent="0.25">
      <c r="A1666" s="1" t="s">
        <v>3925</v>
      </c>
      <c r="B1666" s="1" t="s">
        <v>3926</v>
      </c>
      <c r="C1666" s="1" t="s">
        <v>3753</v>
      </c>
      <c r="D1666" s="14" t="s">
        <v>5529</v>
      </c>
    </row>
    <row r="1667" spans="1:4" hidden="1" x14ac:dyDescent="0.25">
      <c r="A1667" s="1" t="s">
        <v>3927</v>
      </c>
      <c r="B1667" s="1" t="s">
        <v>3928</v>
      </c>
      <c r="C1667" s="1" t="s">
        <v>3756</v>
      </c>
      <c r="D1667" s="14" t="s">
        <v>5529</v>
      </c>
    </row>
    <row r="1668" spans="1:4" hidden="1" x14ac:dyDescent="0.25">
      <c r="A1668" s="1" t="s">
        <v>3929</v>
      </c>
      <c r="B1668" s="1" t="s">
        <v>3930</v>
      </c>
      <c r="C1668" s="1" t="s">
        <v>3759</v>
      </c>
      <c r="D1668" s="14" t="s">
        <v>5529</v>
      </c>
    </row>
    <row r="1669" spans="1:4" hidden="1" x14ac:dyDescent="0.25">
      <c r="A1669" s="1" t="s">
        <v>3931</v>
      </c>
      <c r="B1669" s="1" t="s">
        <v>3932</v>
      </c>
      <c r="C1669" s="1" t="s">
        <v>3762</v>
      </c>
      <c r="D1669" s="14" t="s">
        <v>5529</v>
      </c>
    </row>
    <row r="1670" spans="1:4" hidden="1" x14ac:dyDescent="0.25">
      <c r="A1670" s="1" t="s">
        <v>3933</v>
      </c>
      <c r="B1670" s="1" t="s">
        <v>3934</v>
      </c>
      <c r="C1670" s="1" t="s">
        <v>3765</v>
      </c>
      <c r="D1670" s="14" t="s">
        <v>5529</v>
      </c>
    </row>
    <row r="1671" spans="1:4" hidden="1" x14ac:dyDescent="0.25">
      <c r="A1671" s="1" t="s">
        <v>3935</v>
      </c>
      <c r="B1671" s="1" t="s">
        <v>3936</v>
      </c>
      <c r="C1671" s="1" t="s">
        <v>3768</v>
      </c>
      <c r="D1671" s="14" t="s">
        <v>5529</v>
      </c>
    </row>
    <row r="1672" spans="1:4" hidden="1" x14ac:dyDescent="0.25">
      <c r="A1672" s="1" t="s">
        <v>3937</v>
      </c>
      <c r="B1672" s="1" t="s">
        <v>3938</v>
      </c>
      <c r="C1672" s="1" t="s">
        <v>3771</v>
      </c>
      <c r="D1672" s="14" t="s">
        <v>5529</v>
      </c>
    </row>
    <row r="1673" spans="1:4" hidden="1" x14ac:dyDescent="0.25">
      <c r="A1673" s="1" t="s">
        <v>3939</v>
      </c>
      <c r="B1673" s="1" t="s">
        <v>3940</v>
      </c>
      <c r="C1673" s="1" t="s">
        <v>3774</v>
      </c>
      <c r="D1673" s="14" t="s">
        <v>5529</v>
      </c>
    </row>
    <row r="1674" spans="1:4" hidden="1" x14ac:dyDescent="0.25">
      <c r="A1674" s="1" t="s">
        <v>3941</v>
      </c>
      <c r="B1674" s="1" t="s">
        <v>3942</v>
      </c>
      <c r="C1674" s="1" t="s">
        <v>3777</v>
      </c>
      <c r="D1674" s="14" t="s">
        <v>5529</v>
      </c>
    </row>
    <row r="1675" spans="1:4" hidden="1" x14ac:dyDescent="0.25">
      <c r="A1675" s="1" t="s">
        <v>3943</v>
      </c>
      <c r="B1675" s="1" t="s">
        <v>3944</v>
      </c>
      <c r="C1675" s="1" t="s">
        <v>3780</v>
      </c>
      <c r="D1675" s="14" t="s">
        <v>5529</v>
      </c>
    </row>
    <row r="1676" spans="1:4" hidden="1" x14ac:dyDescent="0.25">
      <c r="A1676" s="1" t="s">
        <v>3945</v>
      </c>
      <c r="B1676" s="1" t="s">
        <v>3946</v>
      </c>
      <c r="C1676" s="1" t="s">
        <v>3783</v>
      </c>
      <c r="D1676" s="14" t="s">
        <v>5529</v>
      </c>
    </row>
    <row r="1677" spans="1:4" hidden="1" x14ac:dyDescent="0.25">
      <c r="A1677" s="1" t="s">
        <v>3947</v>
      </c>
      <c r="B1677" s="1" t="s">
        <v>3948</v>
      </c>
      <c r="C1677" s="1" t="s">
        <v>3786</v>
      </c>
      <c r="D1677" s="14" t="s">
        <v>5529</v>
      </c>
    </row>
    <row r="1678" spans="1:4" hidden="1" x14ac:dyDescent="0.25">
      <c r="A1678" s="1" t="s">
        <v>3949</v>
      </c>
      <c r="B1678" s="1" t="s">
        <v>3950</v>
      </c>
      <c r="C1678" s="1" t="s">
        <v>3789</v>
      </c>
      <c r="D1678" s="14" t="s">
        <v>5529</v>
      </c>
    </row>
    <row r="1679" spans="1:4" hidden="1" x14ac:dyDescent="0.25">
      <c r="A1679" s="1" t="s">
        <v>3951</v>
      </c>
      <c r="B1679" s="1" t="s">
        <v>3952</v>
      </c>
      <c r="C1679" s="1" t="s">
        <v>3792</v>
      </c>
      <c r="D1679" s="14" t="s">
        <v>5529</v>
      </c>
    </row>
    <row r="1680" spans="1:4" hidden="1" x14ac:dyDescent="0.25">
      <c r="A1680" s="1" t="s">
        <v>3953</v>
      </c>
      <c r="B1680" s="1" t="s">
        <v>3954</v>
      </c>
      <c r="C1680" s="1" t="s">
        <v>3795</v>
      </c>
      <c r="D1680" s="14" t="s">
        <v>5529</v>
      </c>
    </row>
    <row r="1681" spans="1:4" hidden="1" x14ac:dyDescent="0.25">
      <c r="A1681" s="1" t="s">
        <v>3955</v>
      </c>
      <c r="B1681" s="1" t="s">
        <v>3956</v>
      </c>
      <c r="C1681" s="1" t="s">
        <v>3798</v>
      </c>
      <c r="D1681" s="14" t="s">
        <v>5529</v>
      </c>
    </row>
    <row r="1682" spans="1:4" hidden="1" x14ac:dyDescent="0.25">
      <c r="A1682" s="1" t="s">
        <v>3957</v>
      </c>
      <c r="B1682" s="1" t="s">
        <v>3958</v>
      </c>
      <c r="C1682" s="1" t="s">
        <v>3801</v>
      </c>
      <c r="D1682" s="14" t="s">
        <v>5529</v>
      </c>
    </row>
    <row r="1683" spans="1:4" hidden="1" x14ac:dyDescent="0.25">
      <c r="A1683" s="1" t="s">
        <v>3959</v>
      </c>
      <c r="B1683" s="1" t="s">
        <v>3960</v>
      </c>
      <c r="C1683" s="1" t="s">
        <v>3804</v>
      </c>
      <c r="D1683" s="14" t="s">
        <v>5529</v>
      </c>
    </row>
    <row r="1684" spans="1:4" hidden="1" x14ac:dyDescent="0.25">
      <c r="A1684" s="1" t="s">
        <v>3961</v>
      </c>
      <c r="B1684" s="1" t="s">
        <v>3962</v>
      </c>
      <c r="C1684" s="1" t="s">
        <v>3807</v>
      </c>
      <c r="D1684" s="14" t="s">
        <v>5529</v>
      </c>
    </row>
    <row r="1685" spans="1:4" hidden="1" x14ac:dyDescent="0.25">
      <c r="A1685" s="1" t="s">
        <v>3963</v>
      </c>
      <c r="B1685" s="1" t="s">
        <v>3964</v>
      </c>
      <c r="C1685" s="1" t="s">
        <v>3810</v>
      </c>
      <c r="D1685" s="14" t="s">
        <v>5529</v>
      </c>
    </row>
    <row r="1686" spans="1:4" hidden="1" x14ac:dyDescent="0.25">
      <c r="A1686" s="1" t="s">
        <v>3965</v>
      </c>
      <c r="B1686" s="1" t="s">
        <v>3966</v>
      </c>
      <c r="C1686" s="1" t="s">
        <v>3813</v>
      </c>
      <c r="D1686" s="14" t="s">
        <v>5529</v>
      </c>
    </row>
    <row r="1687" spans="1:4" hidden="1" x14ac:dyDescent="0.25">
      <c r="A1687" s="1" t="s">
        <v>3967</v>
      </c>
      <c r="B1687" s="1" t="s">
        <v>3968</v>
      </c>
      <c r="C1687" s="1" t="s">
        <v>3816</v>
      </c>
      <c r="D1687" s="14" t="s">
        <v>5529</v>
      </c>
    </row>
    <row r="1688" spans="1:4" hidden="1" x14ac:dyDescent="0.25">
      <c r="A1688" s="1" t="s">
        <v>3969</v>
      </c>
      <c r="B1688" s="1" t="s">
        <v>3970</v>
      </c>
      <c r="C1688" s="1" t="s">
        <v>3819</v>
      </c>
      <c r="D1688" s="14" t="s">
        <v>5529</v>
      </c>
    </row>
    <row r="1689" spans="1:4" hidden="1" x14ac:dyDescent="0.25">
      <c r="A1689" s="1" t="s">
        <v>3971</v>
      </c>
      <c r="B1689" s="1" t="s">
        <v>3972</v>
      </c>
      <c r="C1689" s="1" t="s">
        <v>3822</v>
      </c>
      <c r="D1689" s="14" t="s">
        <v>5529</v>
      </c>
    </row>
    <row r="1690" spans="1:4" hidden="1" x14ac:dyDescent="0.25">
      <c r="A1690" s="1" t="s">
        <v>3973</v>
      </c>
      <c r="B1690" s="1" t="s">
        <v>3974</v>
      </c>
      <c r="C1690" s="1" t="s">
        <v>3825</v>
      </c>
      <c r="D1690" s="14" t="s">
        <v>5529</v>
      </c>
    </row>
    <row r="1691" spans="1:4" hidden="1" x14ac:dyDescent="0.25">
      <c r="A1691" s="1" t="s">
        <v>3975</v>
      </c>
      <c r="B1691" s="1" t="s">
        <v>3976</v>
      </c>
      <c r="C1691" s="1" t="s">
        <v>3828</v>
      </c>
      <c r="D1691" s="14" t="s">
        <v>5529</v>
      </c>
    </row>
    <row r="1692" spans="1:4" hidden="1" x14ac:dyDescent="0.25">
      <c r="A1692" s="1" t="s">
        <v>3977</v>
      </c>
      <c r="B1692" s="1" t="s">
        <v>3978</v>
      </c>
      <c r="C1692" s="1" t="s">
        <v>3831</v>
      </c>
      <c r="D1692" s="14" t="s">
        <v>5529</v>
      </c>
    </row>
    <row r="1693" spans="1:4" hidden="1" x14ac:dyDescent="0.25">
      <c r="A1693" s="1" t="s">
        <v>3979</v>
      </c>
      <c r="B1693" s="1" t="s">
        <v>3980</v>
      </c>
      <c r="C1693" s="1" t="s">
        <v>3834</v>
      </c>
      <c r="D1693" s="14" t="s">
        <v>5529</v>
      </c>
    </row>
    <row r="1694" spans="1:4" hidden="1" x14ac:dyDescent="0.25">
      <c r="A1694" s="1" t="s">
        <v>3981</v>
      </c>
      <c r="B1694" s="1" t="s">
        <v>3982</v>
      </c>
      <c r="C1694" s="1" t="s">
        <v>3837</v>
      </c>
      <c r="D1694" s="14" t="s">
        <v>5529</v>
      </c>
    </row>
    <row r="1695" spans="1:4" hidden="1" x14ac:dyDescent="0.25">
      <c r="A1695" s="1" t="s">
        <v>3983</v>
      </c>
      <c r="B1695" s="1" t="s">
        <v>3984</v>
      </c>
      <c r="C1695" s="1" t="s">
        <v>3840</v>
      </c>
      <c r="D1695" s="14" t="s">
        <v>5529</v>
      </c>
    </row>
    <row r="1696" spans="1:4" hidden="1" x14ac:dyDescent="0.25">
      <c r="A1696" s="1" t="s">
        <v>3985</v>
      </c>
      <c r="B1696" s="1" t="s">
        <v>3986</v>
      </c>
      <c r="C1696" s="1" t="s">
        <v>3843</v>
      </c>
      <c r="D1696" s="14" t="s">
        <v>5529</v>
      </c>
    </row>
    <row r="1697" spans="1:4" hidden="1" x14ac:dyDescent="0.25">
      <c r="A1697" s="1" t="s">
        <v>3987</v>
      </c>
      <c r="B1697" s="1" t="s">
        <v>3988</v>
      </c>
      <c r="C1697" s="1" t="s">
        <v>3846</v>
      </c>
      <c r="D1697" s="14" t="s">
        <v>5529</v>
      </c>
    </row>
    <row r="1698" spans="1:4" hidden="1" x14ac:dyDescent="0.25">
      <c r="A1698" s="1" t="s">
        <v>3989</v>
      </c>
      <c r="B1698" s="1" t="s">
        <v>3990</v>
      </c>
      <c r="C1698" s="1" t="s">
        <v>3849</v>
      </c>
      <c r="D1698" s="14" t="s">
        <v>5529</v>
      </c>
    </row>
    <row r="1699" spans="1:4" hidden="1" x14ac:dyDescent="0.25">
      <c r="A1699" s="1" t="s">
        <v>3991</v>
      </c>
      <c r="B1699" s="1" t="s">
        <v>3992</v>
      </c>
      <c r="C1699" s="1" t="s">
        <v>3852</v>
      </c>
      <c r="D1699" s="14" t="s">
        <v>5529</v>
      </c>
    </row>
    <row r="1700" spans="1:4" x14ac:dyDescent="0.25">
      <c r="A1700" s="1" t="s">
        <v>3993</v>
      </c>
      <c r="B1700" s="1" t="s">
        <v>3994</v>
      </c>
      <c r="C1700" s="1" t="s">
        <v>3995</v>
      </c>
      <c r="D1700" s="14" t="s">
        <v>5530</v>
      </c>
    </row>
    <row r="1701" spans="1:4" x14ac:dyDescent="0.25">
      <c r="A1701" s="1" t="s">
        <v>3996</v>
      </c>
      <c r="B1701" s="1" t="s">
        <v>3997</v>
      </c>
      <c r="C1701" s="1" t="s">
        <v>3998</v>
      </c>
      <c r="D1701" s="14" t="s">
        <v>5530</v>
      </c>
    </row>
    <row r="1702" spans="1:4" x14ac:dyDescent="0.25">
      <c r="A1702" s="1" t="s">
        <v>3999</v>
      </c>
      <c r="B1702" s="1" t="s">
        <v>4000</v>
      </c>
      <c r="C1702" s="1" t="s">
        <v>4001</v>
      </c>
      <c r="D1702" s="14" t="s">
        <v>5530</v>
      </c>
    </row>
    <row r="1703" spans="1:4" x14ac:dyDescent="0.25">
      <c r="A1703" s="1" t="s">
        <v>4002</v>
      </c>
      <c r="B1703" s="1" t="s">
        <v>4003</v>
      </c>
      <c r="C1703" s="1" t="s">
        <v>4004</v>
      </c>
      <c r="D1703" s="14" t="s">
        <v>5530</v>
      </c>
    </row>
    <row r="1704" spans="1:4" x14ac:dyDescent="0.25">
      <c r="A1704" s="1" t="s">
        <v>4005</v>
      </c>
      <c r="B1704" s="1" t="s">
        <v>4006</v>
      </c>
      <c r="C1704" s="1" t="s">
        <v>4007</v>
      </c>
      <c r="D1704" s="14" t="s">
        <v>5530</v>
      </c>
    </row>
    <row r="1705" spans="1:4" x14ac:dyDescent="0.25">
      <c r="A1705" s="1" t="s">
        <v>4008</v>
      </c>
      <c r="B1705" s="1" t="s">
        <v>4009</v>
      </c>
      <c r="C1705" s="1" t="s">
        <v>4010</v>
      </c>
      <c r="D1705" s="14" t="s">
        <v>5530</v>
      </c>
    </row>
    <row r="1706" spans="1:4" x14ac:dyDescent="0.25">
      <c r="A1706" s="1" t="s">
        <v>4011</v>
      </c>
      <c r="B1706" s="1" t="s">
        <v>4012</v>
      </c>
      <c r="C1706" s="1" t="s">
        <v>4013</v>
      </c>
      <c r="D1706" s="14" t="s">
        <v>5530</v>
      </c>
    </row>
    <row r="1707" spans="1:4" x14ac:dyDescent="0.25">
      <c r="A1707" s="1" t="s">
        <v>4014</v>
      </c>
      <c r="B1707" s="1" t="s">
        <v>4015</v>
      </c>
      <c r="C1707" s="1" t="s">
        <v>4016</v>
      </c>
      <c r="D1707" s="14" t="s">
        <v>5530</v>
      </c>
    </row>
    <row r="1708" spans="1:4" x14ac:dyDescent="0.25">
      <c r="A1708" s="1" t="s">
        <v>4017</v>
      </c>
      <c r="B1708" s="1" t="s">
        <v>4018</v>
      </c>
      <c r="C1708" s="1" t="s">
        <v>4019</v>
      </c>
      <c r="D1708" s="14" t="s">
        <v>5530</v>
      </c>
    </row>
    <row r="1709" spans="1:4" x14ac:dyDescent="0.25">
      <c r="A1709" s="1" t="s">
        <v>4020</v>
      </c>
      <c r="B1709" s="1" t="s">
        <v>4021</v>
      </c>
      <c r="C1709" s="1" t="s">
        <v>4022</v>
      </c>
      <c r="D1709" s="14" t="s">
        <v>5530</v>
      </c>
    </row>
    <row r="1710" spans="1:4" x14ac:dyDescent="0.25">
      <c r="A1710" s="1" t="s">
        <v>4023</v>
      </c>
      <c r="B1710" s="1" t="s">
        <v>4024</v>
      </c>
      <c r="C1710" s="1" t="s">
        <v>4025</v>
      </c>
      <c r="D1710" s="14" t="s">
        <v>5530</v>
      </c>
    </row>
    <row r="1711" spans="1:4" x14ac:dyDescent="0.25">
      <c r="A1711" s="1" t="s">
        <v>4026</v>
      </c>
      <c r="B1711" s="1" t="s">
        <v>4027</v>
      </c>
      <c r="C1711" s="1" t="s">
        <v>4028</v>
      </c>
      <c r="D1711" s="14" t="s">
        <v>5530</v>
      </c>
    </row>
    <row r="1712" spans="1:4" x14ac:dyDescent="0.25">
      <c r="A1712" s="1" t="s">
        <v>4029</v>
      </c>
      <c r="B1712" s="1" t="s">
        <v>4030</v>
      </c>
      <c r="C1712" s="1" t="s">
        <v>4031</v>
      </c>
      <c r="D1712" s="14" t="s">
        <v>5530</v>
      </c>
    </row>
    <row r="1713" spans="1:4" x14ac:dyDescent="0.25">
      <c r="A1713" s="1" t="s">
        <v>4032</v>
      </c>
      <c r="B1713" s="1" t="s">
        <v>4033</v>
      </c>
      <c r="C1713" s="1" t="s">
        <v>4034</v>
      </c>
      <c r="D1713" s="14" t="s">
        <v>5530</v>
      </c>
    </row>
    <row r="1714" spans="1:4" x14ac:dyDescent="0.25">
      <c r="A1714" s="1" t="s">
        <v>4035</v>
      </c>
      <c r="B1714" s="1" t="s">
        <v>4036</v>
      </c>
      <c r="C1714" s="1" t="s">
        <v>4037</v>
      </c>
      <c r="D1714" s="14" t="s">
        <v>5530</v>
      </c>
    </row>
    <row r="1715" spans="1:4" x14ac:dyDescent="0.25">
      <c r="A1715" s="1" t="s">
        <v>4038</v>
      </c>
      <c r="B1715" s="1" t="s">
        <v>4039</v>
      </c>
      <c r="C1715" s="1" t="s">
        <v>4040</v>
      </c>
      <c r="D1715" s="14" t="s">
        <v>5530</v>
      </c>
    </row>
    <row r="1716" spans="1:4" x14ac:dyDescent="0.25">
      <c r="A1716" s="1" t="s">
        <v>4041</v>
      </c>
      <c r="B1716" s="1" t="s">
        <v>4042</v>
      </c>
      <c r="C1716" s="1" t="s">
        <v>4043</v>
      </c>
      <c r="D1716" s="14" t="s">
        <v>5530</v>
      </c>
    </row>
    <row r="1717" spans="1:4" x14ac:dyDescent="0.25">
      <c r="A1717" s="1" t="s">
        <v>4044</v>
      </c>
      <c r="B1717" s="1" t="s">
        <v>4045</v>
      </c>
      <c r="C1717" s="1" t="s">
        <v>4046</v>
      </c>
      <c r="D1717" s="14" t="s">
        <v>5530</v>
      </c>
    </row>
    <row r="1718" spans="1:4" x14ac:dyDescent="0.25">
      <c r="A1718" s="1" t="s">
        <v>4047</v>
      </c>
      <c r="B1718" s="1" t="s">
        <v>4048</v>
      </c>
      <c r="C1718" s="1" t="s">
        <v>4049</v>
      </c>
      <c r="D1718" s="14" t="s">
        <v>5530</v>
      </c>
    </row>
    <row r="1719" spans="1:4" x14ac:dyDescent="0.25">
      <c r="A1719" s="1" t="s">
        <v>4050</v>
      </c>
      <c r="B1719" s="1" t="s">
        <v>4051</v>
      </c>
      <c r="C1719" s="1" t="s">
        <v>4052</v>
      </c>
      <c r="D1719" s="14" t="s">
        <v>5530</v>
      </c>
    </row>
    <row r="1720" spans="1:4" x14ac:dyDescent="0.25">
      <c r="A1720" s="1" t="s">
        <v>4053</v>
      </c>
      <c r="B1720" s="1" t="s">
        <v>4054</v>
      </c>
      <c r="C1720" s="1" t="s">
        <v>4055</v>
      </c>
      <c r="D1720" s="14" t="s">
        <v>5530</v>
      </c>
    </row>
    <row r="1721" spans="1:4" x14ac:dyDescent="0.25">
      <c r="A1721" s="1" t="s">
        <v>4056</v>
      </c>
      <c r="B1721" s="1" t="s">
        <v>4057</v>
      </c>
      <c r="C1721" s="1" t="s">
        <v>4058</v>
      </c>
      <c r="D1721" s="14" t="s">
        <v>5530</v>
      </c>
    </row>
    <row r="1722" spans="1:4" x14ac:dyDescent="0.25">
      <c r="A1722" s="1" t="s">
        <v>4059</v>
      </c>
      <c r="B1722" s="1" t="s">
        <v>4060</v>
      </c>
      <c r="C1722" s="1" t="s">
        <v>4061</v>
      </c>
      <c r="D1722" s="14" t="s">
        <v>5530</v>
      </c>
    </row>
    <row r="1723" spans="1:4" x14ac:dyDescent="0.25">
      <c r="A1723" s="1" t="s">
        <v>4062</v>
      </c>
      <c r="B1723" s="1" t="s">
        <v>4063</v>
      </c>
      <c r="C1723" s="1" t="s">
        <v>4064</v>
      </c>
      <c r="D1723" s="14" t="s">
        <v>5530</v>
      </c>
    </row>
    <row r="1724" spans="1:4" x14ac:dyDescent="0.25">
      <c r="A1724" s="1" t="s">
        <v>4065</v>
      </c>
      <c r="B1724" s="1" t="s">
        <v>4066</v>
      </c>
      <c r="C1724" s="1" t="s">
        <v>4067</v>
      </c>
      <c r="D1724" s="14" t="s">
        <v>5530</v>
      </c>
    </row>
    <row r="1725" spans="1:4" x14ac:dyDescent="0.25">
      <c r="A1725" s="1" t="s">
        <v>4068</v>
      </c>
      <c r="B1725" s="1" t="s">
        <v>4069</v>
      </c>
      <c r="C1725" s="1" t="s">
        <v>4070</v>
      </c>
      <c r="D1725" s="14" t="s">
        <v>5530</v>
      </c>
    </row>
    <row r="1726" spans="1:4" x14ac:dyDescent="0.25">
      <c r="A1726" s="1" t="s">
        <v>4071</v>
      </c>
      <c r="B1726" s="1" t="s">
        <v>4072</v>
      </c>
      <c r="C1726" s="1" t="s">
        <v>4073</v>
      </c>
      <c r="D1726" s="14" t="s">
        <v>5530</v>
      </c>
    </row>
    <row r="1727" spans="1:4" x14ac:dyDescent="0.25">
      <c r="A1727" s="1" t="s">
        <v>4074</v>
      </c>
      <c r="B1727" s="1" t="s">
        <v>4075</v>
      </c>
      <c r="C1727" s="1" t="s">
        <v>4076</v>
      </c>
      <c r="D1727" s="14" t="s">
        <v>5530</v>
      </c>
    </row>
    <row r="1728" spans="1:4" x14ac:dyDescent="0.25">
      <c r="A1728" s="1" t="s">
        <v>4077</v>
      </c>
      <c r="B1728" s="1" t="s">
        <v>4078</v>
      </c>
      <c r="C1728" s="1" t="s">
        <v>4079</v>
      </c>
      <c r="D1728" s="14" t="s">
        <v>5530</v>
      </c>
    </row>
    <row r="1729" spans="1:4" x14ac:dyDescent="0.25">
      <c r="A1729" s="1" t="s">
        <v>4080</v>
      </c>
      <c r="B1729" s="1" t="s">
        <v>4081</v>
      </c>
      <c r="C1729" s="1" t="s">
        <v>4082</v>
      </c>
      <c r="D1729" s="14" t="s">
        <v>5530</v>
      </c>
    </row>
    <row r="1730" spans="1:4" x14ac:dyDescent="0.25">
      <c r="A1730" s="1" t="s">
        <v>4083</v>
      </c>
      <c r="B1730" s="1" t="s">
        <v>4084</v>
      </c>
      <c r="C1730" s="1" t="s">
        <v>4085</v>
      </c>
      <c r="D1730" s="14" t="s">
        <v>5530</v>
      </c>
    </row>
    <row r="1731" spans="1:4" x14ac:dyDescent="0.25">
      <c r="A1731" s="1" t="s">
        <v>4086</v>
      </c>
      <c r="B1731" s="1" t="s">
        <v>4087</v>
      </c>
      <c r="C1731" s="1" t="s">
        <v>4088</v>
      </c>
      <c r="D1731" s="14" t="s">
        <v>5530</v>
      </c>
    </row>
    <row r="1732" spans="1:4" x14ac:dyDescent="0.25">
      <c r="A1732" s="1" t="s">
        <v>4089</v>
      </c>
      <c r="B1732" s="1" t="s">
        <v>4090</v>
      </c>
      <c r="C1732" s="1" t="s">
        <v>4091</v>
      </c>
      <c r="D1732" s="14" t="s">
        <v>5530</v>
      </c>
    </row>
    <row r="1733" spans="1:4" x14ac:dyDescent="0.25">
      <c r="A1733" s="1" t="s">
        <v>4092</v>
      </c>
      <c r="B1733" s="1" t="s">
        <v>4093</v>
      </c>
      <c r="C1733" s="1" t="s">
        <v>4094</v>
      </c>
      <c r="D1733" s="14" t="s">
        <v>5530</v>
      </c>
    </row>
    <row r="1734" spans="1:4" x14ac:dyDescent="0.25">
      <c r="A1734" s="1" t="s">
        <v>4095</v>
      </c>
      <c r="B1734" s="1" t="s">
        <v>4096</v>
      </c>
      <c r="C1734" s="1" t="s">
        <v>4097</v>
      </c>
      <c r="D1734" s="14" t="s">
        <v>5530</v>
      </c>
    </row>
    <row r="1735" spans="1:4" x14ac:dyDescent="0.25">
      <c r="A1735" s="1" t="s">
        <v>4098</v>
      </c>
      <c r="B1735" s="1" t="s">
        <v>4099</v>
      </c>
      <c r="C1735" s="1" t="s">
        <v>3995</v>
      </c>
      <c r="D1735" s="14" t="s">
        <v>5530</v>
      </c>
    </row>
    <row r="1736" spans="1:4" x14ac:dyDescent="0.25">
      <c r="A1736" s="1" t="s">
        <v>4100</v>
      </c>
      <c r="B1736" s="1" t="s">
        <v>4101</v>
      </c>
      <c r="C1736" s="1" t="s">
        <v>3998</v>
      </c>
      <c r="D1736" s="14" t="s">
        <v>5530</v>
      </c>
    </row>
    <row r="1737" spans="1:4" x14ac:dyDescent="0.25">
      <c r="A1737" s="1" t="s">
        <v>4102</v>
      </c>
      <c r="B1737" s="1" t="s">
        <v>4103</v>
      </c>
      <c r="C1737" s="1" t="s">
        <v>4001</v>
      </c>
      <c r="D1737" s="14" t="s">
        <v>5530</v>
      </c>
    </row>
    <row r="1738" spans="1:4" x14ac:dyDescent="0.25">
      <c r="A1738" s="1" t="s">
        <v>4104</v>
      </c>
      <c r="B1738" s="1" t="s">
        <v>4105</v>
      </c>
      <c r="C1738" s="1" t="s">
        <v>4004</v>
      </c>
      <c r="D1738" s="14" t="s">
        <v>5530</v>
      </c>
    </row>
    <row r="1739" spans="1:4" x14ac:dyDescent="0.25">
      <c r="A1739" s="1" t="s">
        <v>4106</v>
      </c>
      <c r="B1739" s="1" t="s">
        <v>4107</v>
      </c>
      <c r="C1739" s="1" t="s">
        <v>4007</v>
      </c>
      <c r="D1739" s="14" t="s">
        <v>5530</v>
      </c>
    </row>
    <row r="1740" spans="1:4" x14ac:dyDescent="0.25">
      <c r="A1740" s="1" t="s">
        <v>4108</v>
      </c>
      <c r="B1740" s="1" t="s">
        <v>4109</v>
      </c>
      <c r="C1740" s="1" t="s">
        <v>4010</v>
      </c>
      <c r="D1740" s="14" t="s">
        <v>5530</v>
      </c>
    </row>
    <row r="1741" spans="1:4" x14ac:dyDescent="0.25">
      <c r="A1741" s="1" t="s">
        <v>4110</v>
      </c>
      <c r="B1741" s="1" t="s">
        <v>4111</v>
      </c>
      <c r="C1741" s="1" t="s">
        <v>4013</v>
      </c>
      <c r="D1741" s="14" t="s">
        <v>5530</v>
      </c>
    </row>
    <row r="1742" spans="1:4" x14ac:dyDescent="0.25">
      <c r="A1742" s="1" t="s">
        <v>4112</v>
      </c>
      <c r="B1742" s="1" t="s">
        <v>4113</v>
      </c>
      <c r="C1742" s="1" t="s">
        <v>4016</v>
      </c>
      <c r="D1742" s="14" t="s">
        <v>5530</v>
      </c>
    </row>
    <row r="1743" spans="1:4" x14ac:dyDescent="0.25">
      <c r="A1743" s="1" t="s">
        <v>4114</v>
      </c>
      <c r="B1743" s="1" t="s">
        <v>4115</v>
      </c>
      <c r="C1743" s="1" t="s">
        <v>4019</v>
      </c>
      <c r="D1743" s="14" t="s">
        <v>5530</v>
      </c>
    </row>
    <row r="1744" spans="1:4" x14ac:dyDescent="0.25">
      <c r="A1744" s="1" t="s">
        <v>4116</v>
      </c>
      <c r="B1744" s="1" t="s">
        <v>4117</v>
      </c>
      <c r="C1744" s="1" t="s">
        <v>4022</v>
      </c>
      <c r="D1744" s="14" t="s">
        <v>5530</v>
      </c>
    </row>
    <row r="1745" spans="1:4" x14ac:dyDescent="0.25">
      <c r="A1745" s="1" t="s">
        <v>4118</v>
      </c>
      <c r="B1745" s="1" t="s">
        <v>4119</v>
      </c>
      <c r="C1745" s="1" t="s">
        <v>4025</v>
      </c>
      <c r="D1745" s="14" t="s">
        <v>5530</v>
      </c>
    </row>
    <row r="1746" spans="1:4" x14ac:dyDescent="0.25">
      <c r="A1746" s="1" t="s">
        <v>4120</v>
      </c>
      <c r="B1746" s="1" t="s">
        <v>4121</v>
      </c>
      <c r="C1746" s="1" t="s">
        <v>4028</v>
      </c>
      <c r="D1746" s="14" t="s">
        <v>5530</v>
      </c>
    </row>
    <row r="1747" spans="1:4" x14ac:dyDescent="0.25">
      <c r="A1747" s="1" t="s">
        <v>4122</v>
      </c>
      <c r="B1747" s="1" t="s">
        <v>4123</v>
      </c>
      <c r="C1747" s="1" t="s">
        <v>4031</v>
      </c>
      <c r="D1747" s="14" t="s">
        <v>5530</v>
      </c>
    </row>
    <row r="1748" spans="1:4" x14ac:dyDescent="0.25">
      <c r="A1748" s="1" t="s">
        <v>4124</v>
      </c>
      <c r="B1748" s="1" t="s">
        <v>4125</v>
      </c>
      <c r="C1748" s="1" t="s">
        <v>4034</v>
      </c>
      <c r="D1748" s="14" t="s">
        <v>5530</v>
      </c>
    </row>
    <row r="1749" spans="1:4" x14ac:dyDescent="0.25">
      <c r="A1749" s="1" t="s">
        <v>4126</v>
      </c>
      <c r="B1749" s="1" t="s">
        <v>4127</v>
      </c>
      <c r="C1749" s="1" t="s">
        <v>4037</v>
      </c>
      <c r="D1749" s="14" t="s">
        <v>5530</v>
      </c>
    </row>
    <row r="1750" spans="1:4" x14ac:dyDescent="0.25">
      <c r="A1750" s="1" t="s">
        <v>4128</v>
      </c>
      <c r="B1750" s="1" t="s">
        <v>4129</v>
      </c>
      <c r="C1750" s="1" t="s">
        <v>4040</v>
      </c>
      <c r="D1750" s="14" t="s">
        <v>5530</v>
      </c>
    </row>
    <row r="1751" spans="1:4" x14ac:dyDescent="0.25">
      <c r="A1751" s="1" t="s">
        <v>4130</v>
      </c>
      <c r="B1751" s="1" t="s">
        <v>4131</v>
      </c>
      <c r="C1751" s="1" t="s">
        <v>4043</v>
      </c>
      <c r="D1751" s="14" t="s">
        <v>5530</v>
      </c>
    </row>
    <row r="1752" spans="1:4" x14ac:dyDescent="0.25">
      <c r="A1752" s="1" t="s">
        <v>4132</v>
      </c>
      <c r="B1752" s="1" t="s">
        <v>4133</v>
      </c>
      <c r="C1752" s="1" t="s">
        <v>4046</v>
      </c>
      <c r="D1752" s="14" t="s">
        <v>5530</v>
      </c>
    </row>
    <row r="1753" spans="1:4" x14ac:dyDescent="0.25">
      <c r="A1753" s="1" t="s">
        <v>4134</v>
      </c>
      <c r="B1753" s="1" t="s">
        <v>4135</v>
      </c>
      <c r="C1753" s="1" t="s">
        <v>4049</v>
      </c>
      <c r="D1753" s="14" t="s">
        <v>5530</v>
      </c>
    </row>
    <row r="1754" spans="1:4" x14ac:dyDescent="0.25">
      <c r="A1754" s="1" t="s">
        <v>4136</v>
      </c>
      <c r="B1754" s="1" t="s">
        <v>4137</v>
      </c>
      <c r="C1754" s="1" t="s">
        <v>4052</v>
      </c>
      <c r="D1754" s="14" t="s">
        <v>5530</v>
      </c>
    </row>
    <row r="1755" spans="1:4" x14ac:dyDescent="0.25">
      <c r="A1755" s="1" t="s">
        <v>4138</v>
      </c>
      <c r="B1755" s="1" t="s">
        <v>4139</v>
      </c>
      <c r="C1755" s="1" t="s">
        <v>4055</v>
      </c>
      <c r="D1755" s="14" t="s">
        <v>5530</v>
      </c>
    </row>
    <row r="1756" spans="1:4" x14ac:dyDescent="0.25">
      <c r="A1756" s="1" t="s">
        <v>4140</v>
      </c>
      <c r="B1756" s="1" t="s">
        <v>4141</v>
      </c>
      <c r="C1756" s="1" t="s">
        <v>4058</v>
      </c>
      <c r="D1756" s="14" t="s">
        <v>5530</v>
      </c>
    </row>
    <row r="1757" spans="1:4" x14ac:dyDescent="0.25">
      <c r="A1757" s="1" t="s">
        <v>4142</v>
      </c>
      <c r="B1757" s="1" t="s">
        <v>4143</v>
      </c>
      <c r="C1757" s="1" t="s">
        <v>4061</v>
      </c>
      <c r="D1757" s="14" t="s">
        <v>5530</v>
      </c>
    </row>
    <row r="1758" spans="1:4" x14ac:dyDescent="0.25">
      <c r="A1758" s="1" t="s">
        <v>4144</v>
      </c>
      <c r="B1758" s="1" t="s">
        <v>4145</v>
      </c>
      <c r="C1758" s="1" t="s">
        <v>4064</v>
      </c>
      <c r="D1758" s="14" t="s">
        <v>5530</v>
      </c>
    </row>
    <row r="1759" spans="1:4" x14ac:dyDescent="0.25">
      <c r="A1759" s="1" t="s">
        <v>4146</v>
      </c>
      <c r="B1759" s="1" t="s">
        <v>4147</v>
      </c>
      <c r="C1759" s="1" t="s">
        <v>4067</v>
      </c>
      <c r="D1759" s="14" t="s">
        <v>5530</v>
      </c>
    </row>
    <row r="1760" spans="1:4" x14ac:dyDescent="0.25">
      <c r="A1760" s="1" t="s">
        <v>4148</v>
      </c>
      <c r="B1760" s="1" t="s">
        <v>4149</v>
      </c>
      <c r="C1760" s="1" t="s">
        <v>4070</v>
      </c>
      <c r="D1760" s="14" t="s">
        <v>5530</v>
      </c>
    </row>
    <row r="1761" spans="1:4" x14ac:dyDescent="0.25">
      <c r="A1761" s="1" t="s">
        <v>4150</v>
      </c>
      <c r="B1761" s="1" t="s">
        <v>4151</v>
      </c>
      <c r="C1761" s="1" t="s">
        <v>4073</v>
      </c>
      <c r="D1761" s="14" t="s">
        <v>5530</v>
      </c>
    </row>
    <row r="1762" spans="1:4" x14ac:dyDescent="0.25">
      <c r="A1762" s="1" t="s">
        <v>4152</v>
      </c>
      <c r="B1762" s="1" t="s">
        <v>4153</v>
      </c>
      <c r="C1762" s="1" t="s">
        <v>4076</v>
      </c>
      <c r="D1762" s="14" t="s">
        <v>5530</v>
      </c>
    </row>
    <row r="1763" spans="1:4" x14ac:dyDescent="0.25">
      <c r="A1763" s="1" t="s">
        <v>4154</v>
      </c>
      <c r="B1763" s="1" t="s">
        <v>4155</v>
      </c>
      <c r="C1763" s="1" t="s">
        <v>4079</v>
      </c>
      <c r="D1763" s="14" t="s">
        <v>5530</v>
      </c>
    </row>
    <row r="1764" spans="1:4" x14ac:dyDescent="0.25">
      <c r="A1764" s="1" t="s">
        <v>4156</v>
      </c>
      <c r="B1764" s="1" t="s">
        <v>4157</v>
      </c>
      <c r="C1764" s="1" t="s">
        <v>4082</v>
      </c>
      <c r="D1764" s="14" t="s">
        <v>5530</v>
      </c>
    </row>
    <row r="1765" spans="1:4" x14ac:dyDescent="0.25">
      <c r="A1765" s="1" t="s">
        <v>4158</v>
      </c>
      <c r="B1765" s="1" t="s">
        <v>4159</v>
      </c>
      <c r="C1765" s="1" t="s">
        <v>4085</v>
      </c>
      <c r="D1765" s="14" t="s">
        <v>5530</v>
      </c>
    </row>
    <row r="1766" spans="1:4" x14ac:dyDescent="0.25">
      <c r="A1766" s="1" t="s">
        <v>4160</v>
      </c>
      <c r="B1766" s="1" t="s">
        <v>4161</v>
      </c>
      <c r="C1766" s="1" t="s">
        <v>4088</v>
      </c>
      <c r="D1766" s="14" t="s">
        <v>5530</v>
      </c>
    </row>
    <row r="1767" spans="1:4" x14ac:dyDescent="0.25">
      <c r="A1767" s="1" t="s">
        <v>4162</v>
      </c>
      <c r="B1767" s="1" t="s">
        <v>4163</v>
      </c>
      <c r="C1767" s="1" t="s">
        <v>4091</v>
      </c>
      <c r="D1767" s="14" t="s">
        <v>5530</v>
      </c>
    </row>
    <row r="1768" spans="1:4" x14ac:dyDescent="0.25">
      <c r="A1768" s="1" t="s">
        <v>4164</v>
      </c>
      <c r="B1768" s="1" t="s">
        <v>4165</v>
      </c>
      <c r="C1768" s="1" t="s">
        <v>4094</v>
      </c>
      <c r="D1768" s="14" t="s">
        <v>5530</v>
      </c>
    </row>
    <row r="1769" spans="1:4" x14ac:dyDescent="0.25">
      <c r="A1769" s="1" t="s">
        <v>4166</v>
      </c>
      <c r="B1769" s="1" t="s">
        <v>4167</v>
      </c>
      <c r="C1769" s="1" t="s">
        <v>4097</v>
      </c>
      <c r="D1769" s="14" t="s">
        <v>5530</v>
      </c>
    </row>
    <row r="1770" spans="1:4" x14ac:dyDescent="0.25">
      <c r="A1770" s="1" t="s">
        <v>4168</v>
      </c>
      <c r="B1770" s="1" t="s">
        <v>4169</v>
      </c>
      <c r="C1770" s="1" t="s">
        <v>3995</v>
      </c>
      <c r="D1770" s="14" t="s">
        <v>5530</v>
      </c>
    </row>
    <row r="1771" spans="1:4" x14ac:dyDescent="0.25">
      <c r="A1771" s="1" t="s">
        <v>4170</v>
      </c>
      <c r="B1771" s="1" t="s">
        <v>4171</v>
      </c>
      <c r="C1771" s="1" t="s">
        <v>3998</v>
      </c>
      <c r="D1771" s="14" t="s">
        <v>5530</v>
      </c>
    </row>
    <row r="1772" spans="1:4" x14ac:dyDescent="0.25">
      <c r="A1772" s="1" t="s">
        <v>4172</v>
      </c>
      <c r="B1772" s="1" t="s">
        <v>4173</v>
      </c>
      <c r="C1772" s="1" t="s">
        <v>4001</v>
      </c>
      <c r="D1772" s="14" t="s">
        <v>5530</v>
      </c>
    </row>
    <row r="1773" spans="1:4" x14ac:dyDescent="0.25">
      <c r="A1773" s="1" t="s">
        <v>4174</v>
      </c>
      <c r="B1773" s="1" t="s">
        <v>4175</v>
      </c>
      <c r="C1773" s="1" t="s">
        <v>4004</v>
      </c>
      <c r="D1773" s="14" t="s">
        <v>5530</v>
      </c>
    </row>
    <row r="1774" spans="1:4" x14ac:dyDescent="0.25">
      <c r="A1774" s="1" t="s">
        <v>4176</v>
      </c>
      <c r="B1774" s="1" t="s">
        <v>4177</v>
      </c>
      <c r="C1774" s="1" t="s">
        <v>4007</v>
      </c>
      <c r="D1774" s="14" t="s">
        <v>5530</v>
      </c>
    </row>
    <row r="1775" spans="1:4" x14ac:dyDescent="0.25">
      <c r="A1775" s="1" t="s">
        <v>4178</v>
      </c>
      <c r="B1775" s="1" t="s">
        <v>4179</v>
      </c>
      <c r="C1775" s="1" t="s">
        <v>4010</v>
      </c>
      <c r="D1775" s="14" t="s">
        <v>5530</v>
      </c>
    </row>
    <row r="1776" spans="1:4" x14ac:dyDescent="0.25">
      <c r="A1776" s="1" t="s">
        <v>4180</v>
      </c>
      <c r="B1776" s="1" t="s">
        <v>4181</v>
      </c>
      <c r="C1776" s="1" t="s">
        <v>4013</v>
      </c>
      <c r="D1776" s="14" t="s">
        <v>5530</v>
      </c>
    </row>
    <row r="1777" spans="1:4" x14ac:dyDescent="0.25">
      <c r="A1777" s="1" t="s">
        <v>4182</v>
      </c>
      <c r="B1777" s="1" t="s">
        <v>4183</v>
      </c>
      <c r="C1777" s="1" t="s">
        <v>4016</v>
      </c>
      <c r="D1777" s="14" t="s">
        <v>5530</v>
      </c>
    </row>
    <row r="1778" spans="1:4" x14ac:dyDescent="0.25">
      <c r="A1778" s="1" t="s">
        <v>4184</v>
      </c>
      <c r="B1778" s="1" t="s">
        <v>4185</v>
      </c>
      <c r="C1778" s="1" t="s">
        <v>4019</v>
      </c>
      <c r="D1778" s="14" t="s">
        <v>5530</v>
      </c>
    </row>
    <row r="1779" spans="1:4" x14ac:dyDescent="0.25">
      <c r="A1779" s="1" t="s">
        <v>4186</v>
      </c>
      <c r="B1779" s="1" t="s">
        <v>4187</v>
      </c>
      <c r="C1779" s="1" t="s">
        <v>4022</v>
      </c>
      <c r="D1779" s="14" t="s">
        <v>5530</v>
      </c>
    </row>
    <row r="1780" spans="1:4" x14ac:dyDescent="0.25">
      <c r="A1780" s="1" t="s">
        <v>4188</v>
      </c>
      <c r="B1780" s="1" t="s">
        <v>4189</v>
      </c>
      <c r="C1780" s="1" t="s">
        <v>4025</v>
      </c>
      <c r="D1780" s="14" t="s">
        <v>5530</v>
      </c>
    </row>
    <row r="1781" spans="1:4" x14ac:dyDescent="0.25">
      <c r="A1781" s="1" t="s">
        <v>4190</v>
      </c>
      <c r="B1781" s="1" t="s">
        <v>4191</v>
      </c>
      <c r="C1781" s="1" t="s">
        <v>4028</v>
      </c>
      <c r="D1781" s="14" t="s">
        <v>5530</v>
      </c>
    </row>
    <row r="1782" spans="1:4" x14ac:dyDescent="0.25">
      <c r="A1782" s="1" t="s">
        <v>4192</v>
      </c>
      <c r="B1782" s="1" t="s">
        <v>4193</v>
      </c>
      <c r="C1782" s="1" t="s">
        <v>4031</v>
      </c>
      <c r="D1782" s="14" t="s">
        <v>5530</v>
      </c>
    </row>
    <row r="1783" spans="1:4" x14ac:dyDescent="0.25">
      <c r="A1783" s="1" t="s">
        <v>4194</v>
      </c>
      <c r="B1783" s="1" t="s">
        <v>4195</v>
      </c>
      <c r="C1783" s="1" t="s">
        <v>4034</v>
      </c>
      <c r="D1783" s="14" t="s">
        <v>5530</v>
      </c>
    </row>
    <row r="1784" spans="1:4" x14ac:dyDescent="0.25">
      <c r="A1784" s="1" t="s">
        <v>4196</v>
      </c>
      <c r="B1784" s="1" t="s">
        <v>4197</v>
      </c>
      <c r="C1784" s="1" t="s">
        <v>4037</v>
      </c>
      <c r="D1784" s="14" t="s">
        <v>5530</v>
      </c>
    </row>
    <row r="1785" spans="1:4" x14ac:dyDescent="0.25">
      <c r="A1785" s="1" t="s">
        <v>4198</v>
      </c>
      <c r="B1785" s="1" t="s">
        <v>4199</v>
      </c>
      <c r="C1785" s="1" t="s">
        <v>4040</v>
      </c>
      <c r="D1785" s="14" t="s">
        <v>5530</v>
      </c>
    </row>
    <row r="1786" spans="1:4" x14ac:dyDescent="0.25">
      <c r="A1786" s="1" t="s">
        <v>4200</v>
      </c>
      <c r="B1786" s="1" t="s">
        <v>4201</v>
      </c>
      <c r="C1786" s="1" t="s">
        <v>4043</v>
      </c>
      <c r="D1786" s="14" t="s">
        <v>5530</v>
      </c>
    </row>
    <row r="1787" spans="1:4" x14ac:dyDescent="0.25">
      <c r="A1787" s="1" t="s">
        <v>4202</v>
      </c>
      <c r="B1787" s="1" t="s">
        <v>4203</v>
      </c>
      <c r="C1787" s="1" t="s">
        <v>4046</v>
      </c>
      <c r="D1787" s="14" t="s">
        <v>5530</v>
      </c>
    </row>
    <row r="1788" spans="1:4" x14ac:dyDescent="0.25">
      <c r="A1788" s="1" t="s">
        <v>4204</v>
      </c>
      <c r="B1788" s="1" t="s">
        <v>4205</v>
      </c>
      <c r="C1788" s="1" t="s">
        <v>4049</v>
      </c>
      <c r="D1788" s="14" t="s">
        <v>5530</v>
      </c>
    </row>
    <row r="1789" spans="1:4" x14ac:dyDescent="0.25">
      <c r="A1789" s="1" t="s">
        <v>4206</v>
      </c>
      <c r="B1789" s="1" t="s">
        <v>4207</v>
      </c>
      <c r="C1789" s="1" t="s">
        <v>4052</v>
      </c>
      <c r="D1789" s="14" t="s">
        <v>5530</v>
      </c>
    </row>
    <row r="1790" spans="1:4" x14ac:dyDescent="0.25">
      <c r="A1790" s="1" t="s">
        <v>4208</v>
      </c>
      <c r="B1790" s="1" t="s">
        <v>4209</v>
      </c>
      <c r="C1790" s="1" t="s">
        <v>4055</v>
      </c>
      <c r="D1790" s="14" t="s">
        <v>5530</v>
      </c>
    </row>
    <row r="1791" spans="1:4" x14ac:dyDescent="0.25">
      <c r="A1791" s="1" t="s">
        <v>4210</v>
      </c>
      <c r="B1791" s="1" t="s">
        <v>4211</v>
      </c>
      <c r="C1791" s="1" t="s">
        <v>4058</v>
      </c>
      <c r="D1791" s="14" t="s">
        <v>5530</v>
      </c>
    </row>
    <row r="1792" spans="1:4" x14ac:dyDescent="0.25">
      <c r="A1792" s="1" t="s">
        <v>4212</v>
      </c>
      <c r="B1792" s="1" t="s">
        <v>4213</v>
      </c>
      <c r="C1792" s="1" t="s">
        <v>4061</v>
      </c>
      <c r="D1792" s="14" t="s">
        <v>5530</v>
      </c>
    </row>
    <row r="1793" spans="1:4" x14ac:dyDescent="0.25">
      <c r="A1793" s="1" t="s">
        <v>4214</v>
      </c>
      <c r="B1793" s="1" t="s">
        <v>4215</v>
      </c>
      <c r="C1793" s="1" t="s">
        <v>4064</v>
      </c>
      <c r="D1793" s="14" t="s">
        <v>5530</v>
      </c>
    </row>
    <row r="1794" spans="1:4" x14ac:dyDescent="0.25">
      <c r="A1794" s="1" t="s">
        <v>4216</v>
      </c>
      <c r="B1794" s="1" t="s">
        <v>4217</v>
      </c>
      <c r="C1794" s="1" t="s">
        <v>4067</v>
      </c>
      <c r="D1794" s="14" t="s">
        <v>5530</v>
      </c>
    </row>
    <row r="1795" spans="1:4" x14ac:dyDescent="0.25">
      <c r="A1795" s="1" t="s">
        <v>4218</v>
      </c>
      <c r="B1795" s="1" t="s">
        <v>4219</v>
      </c>
      <c r="C1795" s="1" t="s">
        <v>4070</v>
      </c>
      <c r="D1795" s="14" t="s">
        <v>5530</v>
      </c>
    </row>
    <row r="1796" spans="1:4" x14ac:dyDescent="0.25">
      <c r="A1796" s="1" t="s">
        <v>4220</v>
      </c>
      <c r="B1796" s="1" t="s">
        <v>4221</v>
      </c>
      <c r="C1796" s="1" t="s">
        <v>4073</v>
      </c>
      <c r="D1796" s="14" t="s">
        <v>5530</v>
      </c>
    </row>
    <row r="1797" spans="1:4" x14ac:dyDescent="0.25">
      <c r="A1797" s="1" t="s">
        <v>4222</v>
      </c>
      <c r="B1797" s="1" t="s">
        <v>4223</v>
      </c>
      <c r="C1797" s="1" t="s">
        <v>4076</v>
      </c>
      <c r="D1797" s="14" t="s">
        <v>5530</v>
      </c>
    </row>
    <row r="1798" spans="1:4" x14ac:dyDescent="0.25">
      <c r="A1798" s="1" t="s">
        <v>4224</v>
      </c>
      <c r="B1798" s="1" t="s">
        <v>4225</v>
      </c>
      <c r="C1798" s="1" t="s">
        <v>4079</v>
      </c>
      <c r="D1798" s="14" t="s">
        <v>5530</v>
      </c>
    </row>
    <row r="1799" spans="1:4" x14ac:dyDescent="0.25">
      <c r="A1799" s="1" t="s">
        <v>4226</v>
      </c>
      <c r="B1799" s="1" t="s">
        <v>4227</v>
      </c>
      <c r="C1799" s="1" t="s">
        <v>4082</v>
      </c>
      <c r="D1799" s="14" t="s">
        <v>5530</v>
      </c>
    </row>
    <row r="1800" spans="1:4" x14ac:dyDescent="0.25">
      <c r="A1800" s="1" t="s">
        <v>4228</v>
      </c>
      <c r="B1800" s="1" t="s">
        <v>4229</v>
      </c>
      <c r="C1800" s="1" t="s">
        <v>4085</v>
      </c>
      <c r="D1800" s="14" t="s">
        <v>5530</v>
      </c>
    </row>
    <row r="1801" spans="1:4" x14ac:dyDescent="0.25">
      <c r="A1801" s="1" t="s">
        <v>4230</v>
      </c>
      <c r="B1801" s="1" t="s">
        <v>4231</v>
      </c>
      <c r="C1801" s="1" t="s">
        <v>4088</v>
      </c>
      <c r="D1801" s="14" t="s">
        <v>5530</v>
      </c>
    </row>
    <row r="1802" spans="1:4" x14ac:dyDescent="0.25">
      <c r="A1802" s="1" t="s">
        <v>4232</v>
      </c>
      <c r="B1802" s="1" t="s">
        <v>4233</v>
      </c>
      <c r="C1802" s="1" t="s">
        <v>4091</v>
      </c>
      <c r="D1802" s="14" t="s">
        <v>5530</v>
      </c>
    </row>
    <row r="1803" spans="1:4" x14ac:dyDescent="0.25">
      <c r="A1803" s="1" t="s">
        <v>4234</v>
      </c>
      <c r="B1803" s="1" t="s">
        <v>4235</v>
      </c>
      <c r="C1803" s="1" t="s">
        <v>4094</v>
      </c>
      <c r="D1803" s="14" t="s">
        <v>5530</v>
      </c>
    </row>
    <row r="1804" spans="1:4" x14ac:dyDescent="0.25">
      <c r="A1804" s="1" t="s">
        <v>4236</v>
      </c>
      <c r="B1804" s="1" t="s">
        <v>4237</v>
      </c>
      <c r="C1804" s="1" t="s">
        <v>4097</v>
      </c>
      <c r="D1804" s="14" t="s">
        <v>5530</v>
      </c>
    </row>
    <row r="1805" spans="1:4" x14ac:dyDescent="0.25">
      <c r="A1805" s="1" t="s">
        <v>4238</v>
      </c>
      <c r="B1805" s="1" t="s">
        <v>4239</v>
      </c>
      <c r="C1805" s="1" t="s">
        <v>4240</v>
      </c>
      <c r="D1805" s="14" t="s">
        <v>5530</v>
      </c>
    </row>
    <row r="1806" spans="1:4" x14ac:dyDescent="0.25">
      <c r="A1806" s="1" t="s">
        <v>4241</v>
      </c>
      <c r="B1806" s="1" t="s">
        <v>4242</v>
      </c>
      <c r="C1806" s="1" t="s">
        <v>4243</v>
      </c>
      <c r="D1806" s="14" t="s">
        <v>5530</v>
      </c>
    </row>
    <row r="1807" spans="1:4" x14ac:dyDescent="0.25">
      <c r="A1807" s="1" t="s">
        <v>4244</v>
      </c>
      <c r="B1807" s="1" t="s">
        <v>4245</v>
      </c>
      <c r="C1807" s="1" t="s">
        <v>4246</v>
      </c>
      <c r="D1807" s="14" t="s">
        <v>5530</v>
      </c>
    </row>
    <row r="1808" spans="1:4" x14ac:dyDescent="0.25">
      <c r="A1808" s="1" t="s">
        <v>4247</v>
      </c>
      <c r="B1808" s="1" t="s">
        <v>4248</v>
      </c>
      <c r="C1808" s="1" t="s">
        <v>4249</v>
      </c>
      <c r="D1808" s="14" t="s">
        <v>5530</v>
      </c>
    </row>
    <row r="1809" spans="1:4" x14ac:dyDescent="0.25">
      <c r="A1809" s="1" t="s">
        <v>4250</v>
      </c>
      <c r="B1809" s="1" t="s">
        <v>4251</v>
      </c>
      <c r="C1809" s="1" t="s">
        <v>4252</v>
      </c>
      <c r="D1809" s="14" t="s">
        <v>5530</v>
      </c>
    </row>
    <row r="1810" spans="1:4" x14ac:dyDescent="0.25">
      <c r="A1810" s="1" t="s">
        <v>4253</v>
      </c>
      <c r="B1810" s="1" t="s">
        <v>4254</v>
      </c>
      <c r="C1810" s="1" t="s">
        <v>4255</v>
      </c>
      <c r="D1810" s="14" t="s">
        <v>5530</v>
      </c>
    </row>
    <row r="1811" spans="1:4" x14ac:dyDescent="0.25">
      <c r="A1811" s="1" t="s">
        <v>4256</v>
      </c>
      <c r="B1811" s="1" t="s">
        <v>4257</v>
      </c>
      <c r="C1811" s="1" t="s">
        <v>4258</v>
      </c>
      <c r="D1811" s="14" t="s">
        <v>5530</v>
      </c>
    </row>
    <row r="1812" spans="1:4" x14ac:dyDescent="0.25">
      <c r="A1812" s="1" t="s">
        <v>4259</v>
      </c>
      <c r="B1812" s="1" t="s">
        <v>4260</v>
      </c>
      <c r="C1812" s="1" t="s">
        <v>4261</v>
      </c>
      <c r="D1812" s="14" t="s">
        <v>5530</v>
      </c>
    </row>
    <row r="1813" spans="1:4" x14ac:dyDescent="0.25">
      <c r="A1813" s="1" t="s">
        <v>4262</v>
      </c>
      <c r="B1813" s="1" t="s">
        <v>4263</v>
      </c>
      <c r="C1813" s="1" t="s">
        <v>4264</v>
      </c>
      <c r="D1813" s="14" t="s">
        <v>5530</v>
      </c>
    </row>
    <row r="1814" spans="1:4" x14ac:dyDescent="0.25">
      <c r="A1814" s="1" t="s">
        <v>4265</v>
      </c>
      <c r="B1814" s="1" t="s">
        <v>4266</v>
      </c>
      <c r="C1814" s="1" t="s">
        <v>4267</v>
      </c>
      <c r="D1814" s="14" t="s">
        <v>5530</v>
      </c>
    </row>
    <row r="1815" spans="1:4" x14ac:dyDescent="0.25">
      <c r="A1815" s="1" t="s">
        <v>4268</v>
      </c>
      <c r="B1815" s="1" t="s">
        <v>4269</v>
      </c>
      <c r="C1815" s="1" t="s">
        <v>4270</v>
      </c>
      <c r="D1815" s="14" t="s">
        <v>5530</v>
      </c>
    </row>
    <row r="1816" spans="1:4" x14ac:dyDescent="0.25">
      <c r="A1816" s="1" t="s">
        <v>4271</v>
      </c>
      <c r="B1816" s="1" t="s">
        <v>4272</v>
      </c>
      <c r="C1816" s="1" t="s">
        <v>4273</v>
      </c>
      <c r="D1816" s="14" t="s">
        <v>5530</v>
      </c>
    </row>
    <row r="1817" spans="1:4" x14ac:dyDescent="0.25">
      <c r="A1817" s="1" t="s">
        <v>4274</v>
      </c>
      <c r="B1817" s="1" t="s">
        <v>4275</v>
      </c>
      <c r="C1817" s="1" t="s">
        <v>4276</v>
      </c>
      <c r="D1817" s="14" t="s">
        <v>5530</v>
      </c>
    </row>
    <row r="1818" spans="1:4" x14ac:dyDescent="0.25">
      <c r="A1818" s="1" t="s">
        <v>4277</v>
      </c>
      <c r="B1818" s="1" t="s">
        <v>4278</v>
      </c>
      <c r="C1818" s="1" t="s">
        <v>4279</v>
      </c>
      <c r="D1818" s="14" t="s">
        <v>5530</v>
      </c>
    </row>
    <row r="1819" spans="1:4" x14ac:dyDescent="0.25">
      <c r="A1819" s="1" t="s">
        <v>4280</v>
      </c>
      <c r="B1819" s="1" t="s">
        <v>4281</v>
      </c>
      <c r="C1819" s="1" t="s">
        <v>4282</v>
      </c>
      <c r="D1819" s="14" t="s">
        <v>5530</v>
      </c>
    </row>
    <row r="1820" spans="1:4" x14ac:dyDescent="0.25">
      <c r="A1820" s="1" t="s">
        <v>4283</v>
      </c>
      <c r="B1820" s="1" t="s">
        <v>4284</v>
      </c>
      <c r="C1820" s="1" t="s">
        <v>4285</v>
      </c>
      <c r="D1820" s="14" t="s">
        <v>5530</v>
      </c>
    </row>
    <row r="1821" spans="1:4" x14ac:dyDescent="0.25">
      <c r="A1821" s="1" t="s">
        <v>4286</v>
      </c>
      <c r="B1821" s="1" t="s">
        <v>4287</v>
      </c>
      <c r="C1821" s="1" t="s">
        <v>4288</v>
      </c>
      <c r="D1821" s="14" t="s">
        <v>5530</v>
      </c>
    </row>
    <row r="1822" spans="1:4" x14ac:dyDescent="0.25">
      <c r="A1822" s="1" t="s">
        <v>4289</v>
      </c>
      <c r="B1822" s="1" t="s">
        <v>4290</v>
      </c>
      <c r="C1822" s="1" t="s">
        <v>4291</v>
      </c>
      <c r="D1822" s="14" t="s">
        <v>5530</v>
      </c>
    </row>
    <row r="1823" spans="1:4" x14ac:dyDescent="0.25">
      <c r="A1823" s="1" t="s">
        <v>4292</v>
      </c>
      <c r="B1823" s="1" t="s">
        <v>4293</v>
      </c>
      <c r="C1823" s="1" t="s">
        <v>4294</v>
      </c>
      <c r="D1823" s="14" t="s">
        <v>5530</v>
      </c>
    </row>
    <row r="1824" spans="1:4" x14ac:dyDescent="0.25">
      <c r="A1824" s="1" t="s">
        <v>4295</v>
      </c>
      <c r="B1824" s="1" t="s">
        <v>4296</v>
      </c>
      <c r="C1824" s="1" t="s">
        <v>4297</v>
      </c>
      <c r="D1824" s="14" t="s">
        <v>5530</v>
      </c>
    </row>
    <row r="1825" spans="1:4" x14ac:dyDescent="0.25">
      <c r="A1825" s="1" t="s">
        <v>4298</v>
      </c>
      <c r="B1825" s="1" t="s">
        <v>4299</v>
      </c>
      <c r="C1825" s="1" t="s">
        <v>4300</v>
      </c>
      <c r="D1825" s="14" t="s">
        <v>5530</v>
      </c>
    </row>
    <row r="1826" spans="1:4" x14ac:dyDescent="0.25">
      <c r="A1826" s="1" t="s">
        <v>4301</v>
      </c>
      <c r="B1826" s="1" t="s">
        <v>4302</v>
      </c>
      <c r="C1826" s="1" t="s">
        <v>4303</v>
      </c>
      <c r="D1826" s="14" t="s">
        <v>5530</v>
      </c>
    </row>
    <row r="1827" spans="1:4" x14ac:dyDescent="0.25">
      <c r="A1827" s="1" t="s">
        <v>4304</v>
      </c>
      <c r="B1827" s="1" t="s">
        <v>4305</v>
      </c>
      <c r="C1827" s="1" t="s">
        <v>4306</v>
      </c>
      <c r="D1827" s="14" t="s">
        <v>5530</v>
      </c>
    </row>
    <row r="1828" spans="1:4" x14ac:dyDescent="0.25">
      <c r="A1828" s="1" t="s">
        <v>4307</v>
      </c>
      <c r="B1828" s="1" t="s">
        <v>4308</v>
      </c>
      <c r="C1828" s="1" t="s">
        <v>4309</v>
      </c>
      <c r="D1828" s="14" t="s">
        <v>5530</v>
      </c>
    </row>
    <row r="1829" spans="1:4" x14ac:dyDescent="0.25">
      <c r="A1829" s="1" t="s">
        <v>4310</v>
      </c>
      <c r="B1829" s="1" t="s">
        <v>4311</v>
      </c>
      <c r="C1829" s="1" t="s">
        <v>4312</v>
      </c>
      <c r="D1829" s="14" t="s">
        <v>5530</v>
      </c>
    </row>
    <row r="1830" spans="1:4" x14ac:dyDescent="0.25">
      <c r="A1830" s="1" t="s">
        <v>4313</v>
      </c>
      <c r="B1830" s="1" t="s">
        <v>4314</v>
      </c>
      <c r="C1830" s="1" t="s">
        <v>4315</v>
      </c>
      <c r="D1830" s="14" t="s">
        <v>5530</v>
      </c>
    </row>
    <row r="1831" spans="1:4" x14ac:dyDescent="0.25">
      <c r="A1831" s="1" t="s">
        <v>4316</v>
      </c>
      <c r="B1831" s="1" t="s">
        <v>4317</v>
      </c>
      <c r="C1831" s="1" t="s">
        <v>4318</v>
      </c>
      <c r="D1831" s="14" t="s">
        <v>5530</v>
      </c>
    </row>
    <row r="1832" spans="1:4" x14ac:dyDescent="0.25">
      <c r="A1832" s="1" t="s">
        <v>4319</v>
      </c>
      <c r="B1832" s="1" t="s">
        <v>4320</v>
      </c>
      <c r="C1832" s="1" t="s">
        <v>4321</v>
      </c>
      <c r="D1832" s="14" t="s">
        <v>5530</v>
      </c>
    </row>
    <row r="1833" spans="1:4" x14ac:dyDescent="0.25">
      <c r="A1833" s="1" t="s">
        <v>4322</v>
      </c>
      <c r="B1833" s="1" t="s">
        <v>4323</v>
      </c>
      <c r="C1833" s="1" t="s">
        <v>4324</v>
      </c>
      <c r="D1833" s="14" t="s">
        <v>5530</v>
      </c>
    </row>
    <row r="1834" spans="1:4" x14ac:dyDescent="0.25">
      <c r="A1834" s="1" t="s">
        <v>4325</v>
      </c>
      <c r="B1834" s="1" t="s">
        <v>4326</v>
      </c>
      <c r="C1834" s="1" t="s">
        <v>4327</v>
      </c>
      <c r="D1834" s="14" t="s">
        <v>5530</v>
      </c>
    </row>
    <row r="1835" spans="1:4" x14ac:dyDescent="0.25">
      <c r="A1835" s="1" t="s">
        <v>4328</v>
      </c>
      <c r="B1835" s="1" t="s">
        <v>4329</v>
      </c>
      <c r="C1835" s="1" t="s">
        <v>4330</v>
      </c>
      <c r="D1835" s="14" t="s">
        <v>5530</v>
      </c>
    </row>
    <row r="1836" spans="1:4" x14ac:dyDescent="0.25">
      <c r="A1836" s="1" t="s">
        <v>4331</v>
      </c>
      <c r="B1836" s="1" t="s">
        <v>4332</v>
      </c>
      <c r="C1836" s="1" t="s">
        <v>4333</v>
      </c>
      <c r="D1836" s="14" t="s">
        <v>5530</v>
      </c>
    </row>
    <row r="1837" spans="1:4" x14ac:dyDescent="0.25">
      <c r="A1837" s="1" t="s">
        <v>4334</v>
      </c>
      <c r="B1837" s="1" t="s">
        <v>4335</v>
      </c>
      <c r="C1837" s="1" t="s">
        <v>4336</v>
      </c>
      <c r="D1837" s="14" t="s">
        <v>5530</v>
      </c>
    </row>
    <row r="1838" spans="1:4" x14ac:dyDescent="0.25">
      <c r="A1838" s="1" t="s">
        <v>4337</v>
      </c>
      <c r="B1838" s="1" t="s">
        <v>4338</v>
      </c>
      <c r="C1838" s="1" t="s">
        <v>4339</v>
      </c>
      <c r="D1838" s="14" t="s">
        <v>5530</v>
      </c>
    </row>
    <row r="1839" spans="1:4" x14ac:dyDescent="0.25">
      <c r="A1839" s="1" t="s">
        <v>4340</v>
      </c>
      <c r="B1839" s="1" t="s">
        <v>4341</v>
      </c>
      <c r="C1839" s="1" t="s">
        <v>4342</v>
      </c>
      <c r="D1839" s="14" t="s">
        <v>5530</v>
      </c>
    </row>
    <row r="1840" spans="1:4" x14ac:dyDescent="0.25">
      <c r="A1840" s="1" t="s">
        <v>4343</v>
      </c>
      <c r="B1840" s="1" t="s">
        <v>4344</v>
      </c>
      <c r="C1840" s="1" t="s">
        <v>4240</v>
      </c>
      <c r="D1840" s="14" t="s">
        <v>5530</v>
      </c>
    </row>
    <row r="1841" spans="1:4" x14ac:dyDescent="0.25">
      <c r="A1841" s="1" t="s">
        <v>4345</v>
      </c>
      <c r="B1841" s="1" t="s">
        <v>4346</v>
      </c>
      <c r="C1841" s="1" t="s">
        <v>4243</v>
      </c>
      <c r="D1841" s="14" t="s">
        <v>5530</v>
      </c>
    </row>
    <row r="1842" spans="1:4" x14ac:dyDescent="0.25">
      <c r="A1842" s="1" t="s">
        <v>4347</v>
      </c>
      <c r="B1842" s="1" t="s">
        <v>4348</v>
      </c>
      <c r="C1842" s="1" t="s">
        <v>4246</v>
      </c>
      <c r="D1842" s="14" t="s">
        <v>5530</v>
      </c>
    </row>
    <row r="1843" spans="1:4" x14ac:dyDescent="0.25">
      <c r="A1843" s="1" t="s">
        <v>4349</v>
      </c>
      <c r="B1843" s="1" t="s">
        <v>4350</v>
      </c>
      <c r="C1843" s="1" t="s">
        <v>4249</v>
      </c>
      <c r="D1843" s="14" t="s">
        <v>5530</v>
      </c>
    </row>
    <row r="1844" spans="1:4" x14ac:dyDescent="0.25">
      <c r="A1844" s="1" t="s">
        <v>4351</v>
      </c>
      <c r="B1844" s="1" t="s">
        <v>4352</v>
      </c>
      <c r="C1844" s="1" t="s">
        <v>4252</v>
      </c>
      <c r="D1844" s="14" t="s">
        <v>5530</v>
      </c>
    </row>
    <row r="1845" spans="1:4" x14ac:dyDescent="0.25">
      <c r="A1845" s="1" t="s">
        <v>4353</v>
      </c>
      <c r="B1845" s="1" t="s">
        <v>4354</v>
      </c>
      <c r="C1845" s="1" t="s">
        <v>4255</v>
      </c>
      <c r="D1845" s="14" t="s">
        <v>5530</v>
      </c>
    </row>
    <row r="1846" spans="1:4" x14ac:dyDescent="0.25">
      <c r="A1846" s="1" t="s">
        <v>4355</v>
      </c>
      <c r="B1846" s="1" t="s">
        <v>4356</v>
      </c>
      <c r="C1846" s="1" t="s">
        <v>4258</v>
      </c>
      <c r="D1846" s="14" t="s">
        <v>5530</v>
      </c>
    </row>
    <row r="1847" spans="1:4" x14ac:dyDescent="0.25">
      <c r="A1847" s="1" t="s">
        <v>4357</v>
      </c>
      <c r="B1847" s="1" t="s">
        <v>4358</v>
      </c>
      <c r="C1847" s="1" t="s">
        <v>4261</v>
      </c>
      <c r="D1847" s="14" t="s">
        <v>5530</v>
      </c>
    </row>
    <row r="1848" spans="1:4" x14ac:dyDescent="0.25">
      <c r="A1848" s="1" t="s">
        <v>4359</v>
      </c>
      <c r="B1848" s="1" t="s">
        <v>4360</v>
      </c>
      <c r="C1848" s="1" t="s">
        <v>4264</v>
      </c>
      <c r="D1848" s="14" t="s">
        <v>5530</v>
      </c>
    </row>
    <row r="1849" spans="1:4" x14ac:dyDescent="0.25">
      <c r="A1849" s="1" t="s">
        <v>4361</v>
      </c>
      <c r="B1849" s="1" t="s">
        <v>4362</v>
      </c>
      <c r="C1849" s="1" t="s">
        <v>4267</v>
      </c>
      <c r="D1849" s="14" t="s">
        <v>5530</v>
      </c>
    </row>
    <row r="1850" spans="1:4" x14ac:dyDescent="0.25">
      <c r="A1850" s="1" t="s">
        <v>4363</v>
      </c>
      <c r="B1850" s="1" t="s">
        <v>4364</v>
      </c>
      <c r="C1850" s="1" t="s">
        <v>4270</v>
      </c>
      <c r="D1850" s="14" t="s">
        <v>5530</v>
      </c>
    </row>
    <row r="1851" spans="1:4" x14ac:dyDescent="0.25">
      <c r="A1851" s="1" t="s">
        <v>4365</v>
      </c>
      <c r="B1851" s="1" t="s">
        <v>4366</v>
      </c>
      <c r="C1851" s="1" t="s">
        <v>4273</v>
      </c>
      <c r="D1851" s="14" t="s">
        <v>5530</v>
      </c>
    </row>
    <row r="1852" spans="1:4" x14ac:dyDescent="0.25">
      <c r="A1852" s="1" t="s">
        <v>4367</v>
      </c>
      <c r="B1852" s="1" t="s">
        <v>4368</v>
      </c>
      <c r="C1852" s="1" t="s">
        <v>4276</v>
      </c>
      <c r="D1852" s="14" t="s">
        <v>5530</v>
      </c>
    </row>
    <row r="1853" spans="1:4" x14ac:dyDescent="0.25">
      <c r="A1853" s="1" t="s">
        <v>4369</v>
      </c>
      <c r="B1853" s="1" t="s">
        <v>4370</v>
      </c>
      <c r="C1853" s="1" t="s">
        <v>4279</v>
      </c>
      <c r="D1853" s="14" t="s">
        <v>5530</v>
      </c>
    </row>
    <row r="1854" spans="1:4" x14ac:dyDescent="0.25">
      <c r="A1854" s="1" t="s">
        <v>4371</v>
      </c>
      <c r="B1854" s="1" t="s">
        <v>4372</v>
      </c>
      <c r="C1854" s="1" t="s">
        <v>4282</v>
      </c>
      <c r="D1854" s="14" t="s">
        <v>5530</v>
      </c>
    </row>
    <row r="1855" spans="1:4" x14ac:dyDescent="0.25">
      <c r="A1855" s="1" t="s">
        <v>4373</v>
      </c>
      <c r="B1855" s="1" t="s">
        <v>4374</v>
      </c>
      <c r="C1855" s="1" t="s">
        <v>4285</v>
      </c>
      <c r="D1855" s="14" t="s">
        <v>5530</v>
      </c>
    </row>
    <row r="1856" spans="1:4" x14ac:dyDescent="0.25">
      <c r="A1856" s="1" t="s">
        <v>4375</v>
      </c>
      <c r="B1856" s="1" t="s">
        <v>4376</v>
      </c>
      <c r="C1856" s="1" t="s">
        <v>4288</v>
      </c>
      <c r="D1856" s="14" t="s">
        <v>5530</v>
      </c>
    </row>
    <row r="1857" spans="1:4" x14ac:dyDescent="0.25">
      <c r="A1857" s="1" t="s">
        <v>4377</v>
      </c>
      <c r="B1857" s="1" t="s">
        <v>4378</v>
      </c>
      <c r="C1857" s="1" t="s">
        <v>4291</v>
      </c>
      <c r="D1857" s="14" t="s">
        <v>5530</v>
      </c>
    </row>
    <row r="1858" spans="1:4" x14ac:dyDescent="0.25">
      <c r="A1858" s="1" t="s">
        <v>4379</v>
      </c>
      <c r="B1858" s="1" t="s">
        <v>4380</v>
      </c>
      <c r="C1858" s="1" t="s">
        <v>4294</v>
      </c>
      <c r="D1858" s="14" t="s">
        <v>5530</v>
      </c>
    </row>
    <row r="1859" spans="1:4" x14ac:dyDescent="0.25">
      <c r="A1859" s="1" t="s">
        <v>4381</v>
      </c>
      <c r="B1859" s="1" t="s">
        <v>4382</v>
      </c>
      <c r="C1859" s="1" t="s">
        <v>4297</v>
      </c>
      <c r="D1859" s="14" t="s">
        <v>5530</v>
      </c>
    </row>
    <row r="1860" spans="1:4" x14ac:dyDescent="0.25">
      <c r="A1860" s="1" t="s">
        <v>4383</v>
      </c>
      <c r="B1860" s="1" t="s">
        <v>4384</v>
      </c>
      <c r="C1860" s="1" t="s">
        <v>4300</v>
      </c>
      <c r="D1860" s="14" t="s">
        <v>5530</v>
      </c>
    </row>
    <row r="1861" spans="1:4" x14ac:dyDescent="0.25">
      <c r="A1861" s="1" t="s">
        <v>4385</v>
      </c>
      <c r="B1861" s="1" t="s">
        <v>4386</v>
      </c>
      <c r="C1861" s="1" t="s">
        <v>4303</v>
      </c>
      <c r="D1861" s="14" t="s">
        <v>5530</v>
      </c>
    </row>
    <row r="1862" spans="1:4" x14ac:dyDescent="0.25">
      <c r="A1862" s="1" t="s">
        <v>4387</v>
      </c>
      <c r="B1862" s="1" t="s">
        <v>4388</v>
      </c>
      <c r="C1862" s="1" t="s">
        <v>4306</v>
      </c>
      <c r="D1862" s="14" t="s">
        <v>5530</v>
      </c>
    </row>
    <row r="1863" spans="1:4" x14ac:dyDescent="0.25">
      <c r="A1863" s="1" t="s">
        <v>4389</v>
      </c>
      <c r="B1863" s="1" t="s">
        <v>4390</v>
      </c>
      <c r="C1863" s="1" t="s">
        <v>4309</v>
      </c>
      <c r="D1863" s="14" t="s">
        <v>5530</v>
      </c>
    </row>
    <row r="1864" spans="1:4" x14ac:dyDescent="0.25">
      <c r="A1864" s="1" t="s">
        <v>4391</v>
      </c>
      <c r="B1864" s="1" t="s">
        <v>4392</v>
      </c>
      <c r="C1864" s="1" t="s">
        <v>4312</v>
      </c>
      <c r="D1864" s="14" t="s">
        <v>5530</v>
      </c>
    </row>
    <row r="1865" spans="1:4" x14ac:dyDescent="0.25">
      <c r="A1865" s="1" t="s">
        <v>4393</v>
      </c>
      <c r="B1865" s="1" t="s">
        <v>4394</v>
      </c>
      <c r="C1865" s="1" t="s">
        <v>4315</v>
      </c>
      <c r="D1865" s="14" t="s">
        <v>5530</v>
      </c>
    </row>
    <row r="1866" spans="1:4" x14ac:dyDescent="0.25">
      <c r="A1866" s="1" t="s">
        <v>4395</v>
      </c>
      <c r="B1866" s="1" t="s">
        <v>4396</v>
      </c>
      <c r="C1866" s="1" t="s">
        <v>4318</v>
      </c>
      <c r="D1866" s="14" t="s">
        <v>5530</v>
      </c>
    </row>
    <row r="1867" spans="1:4" x14ac:dyDescent="0.25">
      <c r="A1867" s="1" t="s">
        <v>4397</v>
      </c>
      <c r="B1867" s="1" t="s">
        <v>4398</v>
      </c>
      <c r="C1867" s="1" t="s">
        <v>4321</v>
      </c>
      <c r="D1867" s="14" t="s">
        <v>5530</v>
      </c>
    </row>
    <row r="1868" spans="1:4" x14ac:dyDescent="0.25">
      <c r="A1868" s="1" t="s">
        <v>4399</v>
      </c>
      <c r="B1868" s="1" t="s">
        <v>4400</v>
      </c>
      <c r="C1868" s="1" t="s">
        <v>4324</v>
      </c>
      <c r="D1868" s="14" t="s">
        <v>5530</v>
      </c>
    </row>
    <row r="1869" spans="1:4" x14ac:dyDescent="0.25">
      <c r="A1869" s="1" t="s">
        <v>4401</v>
      </c>
      <c r="B1869" s="1" t="s">
        <v>4402</v>
      </c>
      <c r="C1869" s="1" t="s">
        <v>4327</v>
      </c>
      <c r="D1869" s="14" t="s">
        <v>5530</v>
      </c>
    </row>
    <row r="1870" spans="1:4" x14ac:dyDescent="0.25">
      <c r="A1870" s="1" t="s">
        <v>4403</v>
      </c>
      <c r="B1870" s="1" t="s">
        <v>4404</v>
      </c>
      <c r="C1870" s="1" t="s">
        <v>4330</v>
      </c>
      <c r="D1870" s="14" t="s">
        <v>5530</v>
      </c>
    </row>
    <row r="1871" spans="1:4" x14ac:dyDescent="0.25">
      <c r="A1871" s="1" t="s">
        <v>4405</v>
      </c>
      <c r="B1871" s="1" t="s">
        <v>4406</v>
      </c>
      <c r="C1871" s="1" t="s">
        <v>4333</v>
      </c>
      <c r="D1871" s="14" t="s">
        <v>5530</v>
      </c>
    </row>
    <row r="1872" spans="1:4" x14ac:dyDescent="0.25">
      <c r="A1872" s="1" t="s">
        <v>4407</v>
      </c>
      <c r="B1872" s="1" t="s">
        <v>4408</v>
      </c>
      <c r="C1872" s="1" t="s">
        <v>4336</v>
      </c>
      <c r="D1872" s="14" t="s">
        <v>5530</v>
      </c>
    </row>
    <row r="1873" spans="1:4" x14ac:dyDescent="0.25">
      <c r="A1873" s="1" t="s">
        <v>4409</v>
      </c>
      <c r="B1873" s="1" t="s">
        <v>4410</v>
      </c>
      <c r="C1873" s="1" t="s">
        <v>4339</v>
      </c>
      <c r="D1873" s="14" t="s">
        <v>5530</v>
      </c>
    </row>
    <row r="1874" spans="1:4" x14ac:dyDescent="0.25">
      <c r="A1874" s="1" t="s">
        <v>4411</v>
      </c>
      <c r="B1874" s="1" t="s">
        <v>4412</v>
      </c>
      <c r="C1874" s="1" t="s">
        <v>4342</v>
      </c>
      <c r="D1874" s="14" t="s">
        <v>5530</v>
      </c>
    </row>
    <row r="1875" spans="1:4" x14ac:dyDescent="0.25">
      <c r="A1875" s="1" t="s">
        <v>4413</v>
      </c>
      <c r="B1875" s="1" t="s">
        <v>4414</v>
      </c>
      <c r="C1875" s="1" t="s">
        <v>4240</v>
      </c>
      <c r="D1875" s="14" t="s">
        <v>5530</v>
      </c>
    </row>
    <row r="1876" spans="1:4" x14ac:dyDescent="0.25">
      <c r="A1876" s="1" t="s">
        <v>4415</v>
      </c>
      <c r="B1876" s="1" t="s">
        <v>4416</v>
      </c>
      <c r="C1876" s="1" t="s">
        <v>4243</v>
      </c>
      <c r="D1876" s="14" t="s">
        <v>5530</v>
      </c>
    </row>
    <row r="1877" spans="1:4" x14ac:dyDescent="0.25">
      <c r="A1877" s="1" t="s">
        <v>4417</v>
      </c>
      <c r="B1877" s="1" t="s">
        <v>4418</v>
      </c>
      <c r="C1877" s="1" t="s">
        <v>4246</v>
      </c>
      <c r="D1877" s="14" t="s">
        <v>5530</v>
      </c>
    </row>
    <row r="1878" spans="1:4" x14ac:dyDescent="0.25">
      <c r="A1878" s="1" t="s">
        <v>4419</v>
      </c>
      <c r="B1878" s="1" t="s">
        <v>4420</v>
      </c>
      <c r="C1878" s="1" t="s">
        <v>4249</v>
      </c>
      <c r="D1878" s="14" t="s">
        <v>5530</v>
      </c>
    </row>
    <row r="1879" spans="1:4" x14ac:dyDescent="0.25">
      <c r="A1879" s="1" t="s">
        <v>4421</v>
      </c>
      <c r="B1879" s="1" t="s">
        <v>4422</v>
      </c>
      <c r="C1879" s="1" t="s">
        <v>4252</v>
      </c>
      <c r="D1879" s="14" t="s">
        <v>5530</v>
      </c>
    </row>
    <row r="1880" spans="1:4" x14ac:dyDescent="0.25">
      <c r="A1880" s="1" t="s">
        <v>4423</v>
      </c>
      <c r="B1880" s="1" t="s">
        <v>4424</v>
      </c>
      <c r="C1880" s="1" t="s">
        <v>4255</v>
      </c>
      <c r="D1880" s="14" t="s">
        <v>5530</v>
      </c>
    </row>
    <row r="1881" spans="1:4" x14ac:dyDescent="0.25">
      <c r="A1881" s="1" t="s">
        <v>4425</v>
      </c>
      <c r="B1881" s="1" t="s">
        <v>4426</v>
      </c>
      <c r="C1881" s="1" t="s">
        <v>4258</v>
      </c>
      <c r="D1881" s="14" t="s">
        <v>5530</v>
      </c>
    </row>
    <row r="1882" spans="1:4" x14ac:dyDescent="0.25">
      <c r="A1882" s="1" t="s">
        <v>4427</v>
      </c>
      <c r="B1882" s="1" t="s">
        <v>4428</v>
      </c>
      <c r="C1882" s="1" t="s">
        <v>4261</v>
      </c>
      <c r="D1882" s="14" t="s">
        <v>5530</v>
      </c>
    </row>
    <row r="1883" spans="1:4" x14ac:dyDescent="0.25">
      <c r="A1883" s="1" t="s">
        <v>4429</v>
      </c>
      <c r="B1883" s="1" t="s">
        <v>4430</v>
      </c>
      <c r="C1883" s="1" t="s">
        <v>4264</v>
      </c>
      <c r="D1883" s="14" t="s">
        <v>5530</v>
      </c>
    </row>
    <row r="1884" spans="1:4" x14ac:dyDescent="0.25">
      <c r="A1884" s="1" t="s">
        <v>4431</v>
      </c>
      <c r="B1884" s="1" t="s">
        <v>4432</v>
      </c>
      <c r="C1884" s="1" t="s">
        <v>4267</v>
      </c>
      <c r="D1884" s="14" t="s">
        <v>5530</v>
      </c>
    </row>
    <row r="1885" spans="1:4" x14ac:dyDescent="0.25">
      <c r="A1885" s="1" t="s">
        <v>4433</v>
      </c>
      <c r="B1885" s="1" t="s">
        <v>4434</v>
      </c>
      <c r="C1885" s="1" t="s">
        <v>4270</v>
      </c>
      <c r="D1885" s="14" t="s">
        <v>5530</v>
      </c>
    </row>
    <row r="1886" spans="1:4" x14ac:dyDescent="0.25">
      <c r="A1886" s="1" t="s">
        <v>4435</v>
      </c>
      <c r="B1886" s="1" t="s">
        <v>4436</v>
      </c>
      <c r="C1886" s="1" t="s">
        <v>4273</v>
      </c>
      <c r="D1886" s="14" t="s">
        <v>5530</v>
      </c>
    </row>
    <row r="1887" spans="1:4" x14ac:dyDescent="0.25">
      <c r="A1887" s="1" t="s">
        <v>4437</v>
      </c>
      <c r="B1887" s="1" t="s">
        <v>4438</v>
      </c>
      <c r="C1887" s="1" t="s">
        <v>4276</v>
      </c>
      <c r="D1887" s="14" t="s">
        <v>5530</v>
      </c>
    </row>
    <row r="1888" spans="1:4" x14ac:dyDescent="0.25">
      <c r="A1888" s="1" t="s">
        <v>4439</v>
      </c>
      <c r="B1888" s="1" t="s">
        <v>4440</v>
      </c>
      <c r="C1888" s="1" t="s">
        <v>4279</v>
      </c>
      <c r="D1888" s="14" t="s">
        <v>5530</v>
      </c>
    </row>
    <row r="1889" spans="1:4" x14ac:dyDescent="0.25">
      <c r="A1889" s="1" t="s">
        <v>4441</v>
      </c>
      <c r="B1889" s="1" t="s">
        <v>4442</v>
      </c>
      <c r="C1889" s="1" t="s">
        <v>4282</v>
      </c>
      <c r="D1889" s="14" t="s">
        <v>5530</v>
      </c>
    </row>
    <row r="1890" spans="1:4" x14ac:dyDescent="0.25">
      <c r="A1890" s="1" t="s">
        <v>4443</v>
      </c>
      <c r="B1890" s="1" t="s">
        <v>4444</v>
      </c>
      <c r="C1890" s="1" t="s">
        <v>4285</v>
      </c>
      <c r="D1890" s="14" t="s">
        <v>5530</v>
      </c>
    </row>
    <row r="1891" spans="1:4" x14ac:dyDescent="0.25">
      <c r="A1891" s="1" t="s">
        <v>4445</v>
      </c>
      <c r="B1891" s="1" t="s">
        <v>4446</v>
      </c>
      <c r="C1891" s="1" t="s">
        <v>4288</v>
      </c>
      <c r="D1891" s="14" t="s">
        <v>5530</v>
      </c>
    </row>
    <row r="1892" spans="1:4" x14ac:dyDescent="0.25">
      <c r="A1892" s="1" t="s">
        <v>4447</v>
      </c>
      <c r="B1892" s="1" t="s">
        <v>4448</v>
      </c>
      <c r="C1892" s="1" t="s">
        <v>4291</v>
      </c>
      <c r="D1892" s="14" t="s">
        <v>5530</v>
      </c>
    </row>
    <row r="1893" spans="1:4" x14ac:dyDescent="0.25">
      <c r="A1893" s="1" t="s">
        <v>4449</v>
      </c>
      <c r="B1893" s="1" t="s">
        <v>4450</v>
      </c>
      <c r="C1893" s="1" t="s">
        <v>4294</v>
      </c>
      <c r="D1893" s="14" t="s">
        <v>5530</v>
      </c>
    </row>
    <row r="1894" spans="1:4" x14ac:dyDescent="0.25">
      <c r="A1894" s="1" t="s">
        <v>4451</v>
      </c>
      <c r="B1894" s="1" t="s">
        <v>4452</v>
      </c>
      <c r="C1894" s="1" t="s">
        <v>4297</v>
      </c>
      <c r="D1894" s="14" t="s">
        <v>5530</v>
      </c>
    </row>
    <row r="1895" spans="1:4" x14ac:dyDescent="0.25">
      <c r="A1895" s="1" t="s">
        <v>4453</v>
      </c>
      <c r="B1895" s="1" t="s">
        <v>4454</v>
      </c>
      <c r="C1895" s="1" t="s">
        <v>4300</v>
      </c>
      <c r="D1895" s="14" t="s">
        <v>5530</v>
      </c>
    </row>
    <row r="1896" spans="1:4" x14ac:dyDescent="0.25">
      <c r="A1896" s="1" t="s">
        <v>4455</v>
      </c>
      <c r="B1896" s="1" t="s">
        <v>4456</v>
      </c>
      <c r="C1896" s="1" t="s">
        <v>4303</v>
      </c>
      <c r="D1896" s="14" t="s">
        <v>5530</v>
      </c>
    </row>
    <row r="1897" spans="1:4" x14ac:dyDescent="0.25">
      <c r="A1897" s="1" t="s">
        <v>4457</v>
      </c>
      <c r="B1897" s="1" t="s">
        <v>4458</v>
      </c>
      <c r="C1897" s="1" t="s">
        <v>4306</v>
      </c>
      <c r="D1897" s="14" t="s">
        <v>5530</v>
      </c>
    </row>
    <row r="1898" spans="1:4" x14ac:dyDescent="0.25">
      <c r="A1898" s="1" t="s">
        <v>4459</v>
      </c>
      <c r="B1898" s="1" t="s">
        <v>4460</v>
      </c>
      <c r="C1898" s="1" t="s">
        <v>4309</v>
      </c>
      <c r="D1898" s="14" t="s">
        <v>5530</v>
      </c>
    </row>
    <row r="1899" spans="1:4" x14ac:dyDescent="0.25">
      <c r="A1899" s="1" t="s">
        <v>4461</v>
      </c>
      <c r="B1899" s="1" t="s">
        <v>4462</v>
      </c>
      <c r="C1899" s="1" t="s">
        <v>4312</v>
      </c>
      <c r="D1899" s="14" t="s">
        <v>5530</v>
      </c>
    </row>
    <row r="1900" spans="1:4" x14ac:dyDescent="0.25">
      <c r="A1900" s="1" t="s">
        <v>4463</v>
      </c>
      <c r="B1900" s="1" t="s">
        <v>4464</v>
      </c>
      <c r="C1900" s="1" t="s">
        <v>4315</v>
      </c>
      <c r="D1900" s="14" t="s">
        <v>5530</v>
      </c>
    </row>
    <row r="1901" spans="1:4" x14ac:dyDescent="0.25">
      <c r="A1901" s="1" t="s">
        <v>4465</v>
      </c>
      <c r="B1901" s="1" t="s">
        <v>4466</v>
      </c>
      <c r="C1901" s="1" t="s">
        <v>4318</v>
      </c>
      <c r="D1901" s="14" t="s">
        <v>5530</v>
      </c>
    </row>
    <row r="1902" spans="1:4" x14ac:dyDescent="0.25">
      <c r="A1902" s="1" t="s">
        <v>4467</v>
      </c>
      <c r="B1902" s="1" t="s">
        <v>4468</v>
      </c>
      <c r="C1902" s="1" t="s">
        <v>4321</v>
      </c>
      <c r="D1902" s="14" t="s">
        <v>5530</v>
      </c>
    </row>
    <row r="1903" spans="1:4" x14ac:dyDescent="0.25">
      <c r="A1903" s="1" t="s">
        <v>4469</v>
      </c>
      <c r="B1903" s="1" t="s">
        <v>4470</v>
      </c>
      <c r="C1903" s="1" t="s">
        <v>4324</v>
      </c>
      <c r="D1903" s="14" t="s">
        <v>5530</v>
      </c>
    </row>
    <row r="1904" spans="1:4" x14ac:dyDescent="0.25">
      <c r="A1904" s="1" t="s">
        <v>4471</v>
      </c>
      <c r="B1904" s="1" t="s">
        <v>4472</v>
      </c>
      <c r="C1904" s="1" t="s">
        <v>4327</v>
      </c>
      <c r="D1904" s="14" t="s">
        <v>5530</v>
      </c>
    </row>
    <row r="1905" spans="1:4" x14ac:dyDescent="0.25">
      <c r="A1905" s="1" t="s">
        <v>4473</v>
      </c>
      <c r="B1905" s="1" t="s">
        <v>4474</v>
      </c>
      <c r="C1905" s="1" t="s">
        <v>4330</v>
      </c>
      <c r="D1905" s="14" t="s">
        <v>5530</v>
      </c>
    </row>
    <row r="1906" spans="1:4" x14ac:dyDescent="0.25">
      <c r="A1906" s="1" t="s">
        <v>4475</v>
      </c>
      <c r="B1906" s="1" t="s">
        <v>4476</v>
      </c>
      <c r="C1906" s="1" t="s">
        <v>4333</v>
      </c>
      <c r="D1906" s="14" t="s">
        <v>5530</v>
      </c>
    </row>
    <row r="1907" spans="1:4" x14ac:dyDescent="0.25">
      <c r="A1907" s="1" t="s">
        <v>4477</v>
      </c>
      <c r="B1907" s="1" t="s">
        <v>4478</v>
      </c>
      <c r="C1907" s="1" t="s">
        <v>4336</v>
      </c>
      <c r="D1907" s="14" t="s">
        <v>5530</v>
      </c>
    </row>
    <row r="1908" spans="1:4" x14ac:dyDescent="0.25">
      <c r="A1908" s="1" t="s">
        <v>4479</v>
      </c>
      <c r="B1908" s="1" t="s">
        <v>4480</v>
      </c>
      <c r="C1908" s="1" t="s">
        <v>4339</v>
      </c>
      <c r="D1908" s="14" t="s">
        <v>5530</v>
      </c>
    </row>
    <row r="1909" spans="1:4" x14ac:dyDescent="0.25">
      <c r="A1909" s="1" t="s">
        <v>4481</v>
      </c>
      <c r="B1909" s="1" t="s">
        <v>4482</v>
      </c>
      <c r="C1909" s="1" t="s">
        <v>4342</v>
      </c>
      <c r="D1909" s="14" t="s">
        <v>5530</v>
      </c>
    </row>
    <row r="1910" spans="1:4" x14ac:dyDescent="0.25">
      <c r="A1910" s="1" t="s">
        <v>4483</v>
      </c>
      <c r="B1910" s="1" t="s">
        <v>4484</v>
      </c>
      <c r="C1910" s="1" t="s">
        <v>4485</v>
      </c>
      <c r="D1910" s="14" t="s">
        <v>5530</v>
      </c>
    </row>
    <row r="1911" spans="1:4" x14ac:dyDescent="0.25">
      <c r="A1911" s="1" t="s">
        <v>4486</v>
      </c>
      <c r="B1911" s="1" t="s">
        <v>4487</v>
      </c>
      <c r="C1911" s="1" t="s">
        <v>4488</v>
      </c>
      <c r="D1911" s="14" t="s">
        <v>5530</v>
      </c>
    </row>
    <row r="1912" spans="1:4" x14ac:dyDescent="0.25">
      <c r="A1912" s="1" t="s">
        <v>4489</v>
      </c>
      <c r="B1912" s="1" t="s">
        <v>4490</v>
      </c>
      <c r="C1912" s="1" t="s">
        <v>4491</v>
      </c>
      <c r="D1912" s="14" t="s">
        <v>5530</v>
      </c>
    </row>
    <row r="1913" spans="1:4" x14ac:dyDescent="0.25">
      <c r="A1913" s="1" t="s">
        <v>4492</v>
      </c>
      <c r="B1913" s="1" t="s">
        <v>4493</v>
      </c>
      <c r="C1913" s="1" t="s">
        <v>4494</v>
      </c>
      <c r="D1913" s="14" t="s">
        <v>5530</v>
      </c>
    </row>
    <row r="1914" spans="1:4" x14ac:dyDescent="0.25">
      <c r="A1914" s="1" t="s">
        <v>4495</v>
      </c>
      <c r="B1914" s="1" t="s">
        <v>4496</v>
      </c>
      <c r="C1914" s="1" t="s">
        <v>4497</v>
      </c>
      <c r="D1914" s="14" t="s">
        <v>5530</v>
      </c>
    </row>
    <row r="1915" spans="1:4" x14ac:dyDescent="0.25">
      <c r="A1915" s="1" t="s">
        <v>4498</v>
      </c>
      <c r="B1915" s="1" t="s">
        <v>4499</v>
      </c>
      <c r="C1915" s="1" t="s">
        <v>4500</v>
      </c>
      <c r="D1915" s="14" t="s">
        <v>5530</v>
      </c>
    </row>
    <row r="1916" spans="1:4" x14ac:dyDescent="0.25">
      <c r="A1916" s="1" t="s">
        <v>4501</v>
      </c>
      <c r="B1916" s="1" t="s">
        <v>4502</v>
      </c>
      <c r="C1916" s="1" t="s">
        <v>4503</v>
      </c>
      <c r="D1916" s="14" t="s">
        <v>5530</v>
      </c>
    </row>
    <row r="1917" spans="1:4" x14ac:dyDescent="0.25">
      <c r="A1917" s="1" t="s">
        <v>4504</v>
      </c>
      <c r="B1917" s="1" t="s">
        <v>4505</v>
      </c>
      <c r="C1917" s="1" t="s">
        <v>4506</v>
      </c>
      <c r="D1917" s="14" t="s">
        <v>5530</v>
      </c>
    </row>
    <row r="1918" spans="1:4" x14ac:dyDescent="0.25">
      <c r="A1918" s="1" t="s">
        <v>4507</v>
      </c>
      <c r="B1918" s="1" t="s">
        <v>4508</v>
      </c>
      <c r="C1918" s="1" t="s">
        <v>4509</v>
      </c>
      <c r="D1918" s="14" t="s">
        <v>5530</v>
      </c>
    </row>
    <row r="1919" spans="1:4" x14ac:dyDescent="0.25">
      <c r="A1919" s="1" t="s">
        <v>4510</v>
      </c>
      <c r="B1919" s="1" t="s">
        <v>4511</v>
      </c>
      <c r="C1919" s="1" t="s">
        <v>4512</v>
      </c>
      <c r="D1919" s="14" t="s">
        <v>5530</v>
      </c>
    </row>
    <row r="1920" spans="1:4" x14ac:dyDescent="0.25">
      <c r="A1920" s="1" t="s">
        <v>4513</v>
      </c>
      <c r="B1920" s="1" t="s">
        <v>4514</v>
      </c>
      <c r="C1920" s="1" t="s">
        <v>4515</v>
      </c>
      <c r="D1920" s="14" t="s">
        <v>5530</v>
      </c>
    </row>
    <row r="1921" spans="1:4" x14ac:dyDescent="0.25">
      <c r="A1921" s="1" t="s">
        <v>4516</v>
      </c>
      <c r="B1921" s="1" t="s">
        <v>4517</v>
      </c>
      <c r="C1921" s="1" t="s">
        <v>4518</v>
      </c>
      <c r="D1921" s="14" t="s">
        <v>5530</v>
      </c>
    </row>
    <row r="1922" spans="1:4" x14ac:dyDescent="0.25">
      <c r="A1922" s="1" t="s">
        <v>4519</v>
      </c>
      <c r="B1922" s="1" t="s">
        <v>4520</v>
      </c>
      <c r="C1922" s="1" t="s">
        <v>4521</v>
      </c>
      <c r="D1922" s="14" t="s">
        <v>5530</v>
      </c>
    </row>
    <row r="1923" spans="1:4" x14ac:dyDescent="0.25">
      <c r="A1923" s="1" t="s">
        <v>4522</v>
      </c>
      <c r="B1923" s="1" t="s">
        <v>4523</v>
      </c>
      <c r="C1923" s="1" t="s">
        <v>4524</v>
      </c>
      <c r="D1923" s="14" t="s">
        <v>5530</v>
      </c>
    </row>
    <row r="1924" spans="1:4" x14ac:dyDescent="0.25">
      <c r="A1924" s="1" t="s">
        <v>4525</v>
      </c>
      <c r="B1924" s="1" t="s">
        <v>4526</v>
      </c>
      <c r="C1924" s="1" t="s">
        <v>4527</v>
      </c>
      <c r="D1924" s="14" t="s">
        <v>5530</v>
      </c>
    </row>
    <row r="1925" spans="1:4" x14ac:dyDescent="0.25">
      <c r="A1925" s="1" t="s">
        <v>4528</v>
      </c>
      <c r="B1925" s="1" t="s">
        <v>4529</v>
      </c>
      <c r="C1925" s="1" t="s">
        <v>4530</v>
      </c>
      <c r="D1925" s="14" t="s">
        <v>5530</v>
      </c>
    </row>
    <row r="1926" spans="1:4" x14ac:dyDescent="0.25">
      <c r="A1926" s="1" t="s">
        <v>4531</v>
      </c>
      <c r="B1926" s="1" t="s">
        <v>4532</v>
      </c>
      <c r="C1926" s="1" t="s">
        <v>4533</v>
      </c>
      <c r="D1926" s="14" t="s">
        <v>5530</v>
      </c>
    </row>
    <row r="1927" spans="1:4" x14ac:dyDescent="0.25">
      <c r="A1927" s="1" t="s">
        <v>4534</v>
      </c>
      <c r="B1927" s="1" t="s">
        <v>4535</v>
      </c>
      <c r="C1927" s="1" t="s">
        <v>4536</v>
      </c>
      <c r="D1927" s="14" t="s">
        <v>5530</v>
      </c>
    </row>
    <row r="1928" spans="1:4" x14ac:dyDescent="0.25">
      <c r="A1928" s="1" t="s">
        <v>4537</v>
      </c>
      <c r="B1928" s="1" t="s">
        <v>4538</v>
      </c>
      <c r="C1928" s="1" t="s">
        <v>4539</v>
      </c>
      <c r="D1928" s="14" t="s">
        <v>5530</v>
      </c>
    </row>
    <row r="1929" spans="1:4" x14ac:dyDescent="0.25">
      <c r="A1929" s="1" t="s">
        <v>4540</v>
      </c>
      <c r="B1929" s="1" t="s">
        <v>4541</v>
      </c>
      <c r="C1929" s="1" t="s">
        <v>4542</v>
      </c>
      <c r="D1929" s="14" t="s">
        <v>5530</v>
      </c>
    </row>
    <row r="1930" spans="1:4" x14ac:dyDescent="0.25">
      <c r="A1930" s="1" t="s">
        <v>4543</v>
      </c>
      <c r="B1930" s="1" t="s">
        <v>4544</v>
      </c>
      <c r="C1930" s="1" t="s">
        <v>4545</v>
      </c>
      <c r="D1930" s="14" t="s">
        <v>5530</v>
      </c>
    </row>
    <row r="1931" spans="1:4" x14ac:dyDescent="0.25">
      <c r="A1931" s="1" t="s">
        <v>4546</v>
      </c>
      <c r="B1931" s="1" t="s">
        <v>4547</v>
      </c>
      <c r="C1931" s="1" t="s">
        <v>4548</v>
      </c>
      <c r="D1931" s="14" t="s">
        <v>5530</v>
      </c>
    </row>
    <row r="1932" spans="1:4" x14ac:dyDescent="0.25">
      <c r="A1932" s="1" t="s">
        <v>4549</v>
      </c>
      <c r="B1932" s="1" t="s">
        <v>4550</v>
      </c>
      <c r="C1932" s="1" t="s">
        <v>4551</v>
      </c>
      <c r="D1932" s="14" t="s">
        <v>5530</v>
      </c>
    </row>
    <row r="1933" spans="1:4" x14ac:dyDescent="0.25">
      <c r="A1933" s="1" t="s">
        <v>4552</v>
      </c>
      <c r="B1933" s="1" t="s">
        <v>4553</v>
      </c>
      <c r="C1933" s="1" t="s">
        <v>4554</v>
      </c>
      <c r="D1933" s="14" t="s">
        <v>5530</v>
      </c>
    </row>
    <row r="1934" spans="1:4" x14ac:dyDescent="0.25">
      <c r="A1934" s="1" t="s">
        <v>4555</v>
      </c>
      <c r="B1934" s="1" t="s">
        <v>4556</v>
      </c>
      <c r="C1934" s="1" t="s">
        <v>4557</v>
      </c>
      <c r="D1934" s="14" t="s">
        <v>5530</v>
      </c>
    </row>
    <row r="1935" spans="1:4" x14ac:dyDescent="0.25">
      <c r="A1935" s="1" t="s">
        <v>4558</v>
      </c>
      <c r="B1935" s="1" t="s">
        <v>4559</v>
      </c>
      <c r="C1935" s="1" t="s">
        <v>4560</v>
      </c>
      <c r="D1935" s="14" t="s">
        <v>5530</v>
      </c>
    </row>
    <row r="1936" spans="1:4" x14ac:dyDescent="0.25">
      <c r="A1936" s="1" t="s">
        <v>4561</v>
      </c>
      <c r="B1936" s="1" t="s">
        <v>4562</v>
      </c>
      <c r="C1936" s="1" t="s">
        <v>4563</v>
      </c>
      <c r="D1936" s="14" t="s">
        <v>5530</v>
      </c>
    </row>
    <row r="1937" spans="1:4" x14ac:dyDescent="0.25">
      <c r="A1937" s="1" t="s">
        <v>4564</v>
      </c>
      <c r="B1937" s="1" t="s">
        <v>4565</v>
      </c>
      <c r="C1937" s="1" t="s">
        <v>4566</v>
      </c>
      <c r="D1937" s="14" t="s">
        <v>5530</v>
      </c>
    </row>
    <row r="1938" spans="1:4" x14ac:dyDescent="0.25">
      <c r="A1938" s="1" t="s">
        <v>4567</v>
      </c>
      <c r="B1938" s="1" t="s">
        <v>4568</v>
      </c>
      <c r="C1938" s="1" t="s">
        <v>4569</v>
      </c>
      <c r="D1938" s="14" t="s">
        <v>5530</v>
      </c>
    </row>
    <row r="1939" spans="1:4" x14ac:dyDescent="0.25">
      <c r="A1939" s="1" t="s">
        <v>4570</v>
      </c>
      <c r="B1939" s="1" t="s">
        <v>4571</v>
      </c>
      <c r="C1939" s="1" t="s">
        <v>4572</v>
      </c>
      <c r="D1939" s="14" t="s">
        <v>5530</v>
      </c>
    </row>
    <row r="1940" spans="1:4" x14ac:dyDescent="0.25">
      <c r="A1940" s="1" t="s">
        <v>4573</v>
      </c>
      <c r="B1940" s="1" t="s">
        <v>4574</v>
      </c>
      <c r="C1940" s="1" t="s">
        <v>4575</v>
      </c>
      <c r="D1940" s="14" t="s">
        <v>5530</v>
      </c>
    </row>
    <row r="1941" spans="1:4" x14ac:dyDescent="0.25">
      <c r="A1941" s="1" t="s">
        <v>4576</v>
      </c>
      <c r="B1941" s="1" t="s">
        <v>4577</v>
      </c>
      <c r="C1941" s="1" t="s">
        <v>4578</v>
      </c>
      <c r="D1941" s="14" t="s">
        <v>5530</v>
      </c>
    </row>
    <row r="1942" spans="1:4" x14ac:dyDescent="0.25">
      <c r="A1942" s="1" t="s">
        <v>4579</v>
      </c>
      <c r="B1942" s="1" t="s">
        <v>4580</v>
      </c>
      <c r="C1942" s="1" t="s">
        <v>4581</v>
      </c>
      <c r="D1942" s="14" t="s">
        <v>5530</v>
      </c>
    </row>
    <row r="1943" spans="1:4" x14ac:dyDescent="0.25">
      <c r="A1943" s="1" t="s">
        <v>4582</v>
      </c>
      <c r="B1943" s="1" t="s">
        <v>4583</v>
      </c>
      <c r="C1943" s="1" t="s">
        <v>4584</v>
      </c>
      <c r="D1943" s="14" t="s">
        <v>5530</v>
      </c>
    </row>
    <row r="1944" spans="1:4" x14ac:dyDescent="0.25">
      <c r="A1944" s="1" t="s">
        <v>4585</v>
      </c>
      <c r="B1944" s="1" t="s">
        <v>4586</v>
      </c>
      <c r="C1944" s="1" t="s">
        <v>4587</v>
      </c>
      <c r="D1944" s="14" t="s">
        <v>5530</v>
      </c>
    </row>
    <row r="1945" spans="1:4" x14ac:dyDescent="0.25">
      <c r="A1945" s="1" t="s">
        <v>4588</v>
      </c>
      <c r="B1945" s="1" t="s">
        <v>4589</v>
      </c>
      <c r="C1945" s="1" t="s">
        <v>4485</v>
      </c>
      <c r="D1945" s="14" t="s">
        <v>5530</v>
      </c>
    </row>
    <row r="1946" spans="1:4" x14ac:dyDescent="0.25">
      <c r="A1946" s="1" t="s">
        <v>4590</v>
      </c>
      <c r="B1946" s="1" t="s">
        <v>4591</v>
      </c>
      <c r="C1946" s="1" t="s">
        <v>4488</v>
      </c>
      <c r="D1946" s="14" t="s">
        <v>5530</v>
      </c>
    </row>
    <row r="1947" spans="1:4" x14ac:dyDescent="0.25">
      <c r="A1947" s="1" t="s">
        <v>4592</v>
      </c>
      <c r="B1947" s="1" t="s">
        <v>4593</v>
      </c>
      <c r="C1947" s="1" t="s">
        <v>4491</v>
      </c>
      <c r="D1947" s="14" t="s">
        <v>5530</v>
      </c>
    </row>
    <row r="1948" spans="1:4" x14ac:dyDescent="0.25">
      <c r="A1948" s="1" t="s">
        <v>4594</v>
      </c>
      <c r="B1948" s="1" t="s">
        <v>4595</v>
      </c>
      <c r="C1948" s="1" t="s">
        <v>4494</v>
      </c>
      <c r="D1948" s="14" t="s">
        <v>5530</v>
      </c>
    </row>
    <row r="1949" spans="1:4" x14ac:dyDescent="0.25">
      <c r="A1949" s="1" t="s">
        <v>4596</v>
      </c>
      <c r="B1949" s="1" t="s">
        <v>4597</v>
      </c>
      <c r="C1949" s="1" t="s">
        <v>4497</v>
      </c>
      <c r="D1949" s="14" t="s">
        <v>5530</v>
      </c>
    </row>
    <row r="1950" spans="1:4" x14ac:dyDescent="0.25">
      <c r="A1950" s="1" t="s">
        <v>4598</v>
      </c>
      <c r="B1950" s="1" t="s">
        <v>4599</v>
      </c>
      <c r="C1950" s="1" t="s">
        <v>4500</v>
      </c>
      <c r="D1950" s="14" t="s">
        <v>5530</v>
      </c>
    </row>
    <row r="1951" spans="1:4" x14ac:dyDescent="0.25">
      <c r="A1951" s="1" t="s">
        <v>4600</v>
      </c>
      <c r="B1951" s="1" t="s">
        <v>4601</v>
      </c>
      <c r="C1951" s="1" t="s">
        <v>4503</v>
      </c>
      <c r="D1951" s="14" t="s">
        <v>5530</v>
      </c>
    </row>
    <row r="1952" spans="1:4" x14ac:dyDescent="0.25">
      <c r="A1952" s="1" t="s">
        <v>4602</v>
      </c>
      <c r="B1952" s="1" t="s">
        <v>4603</v>
      </c>
      <c r="C1952" s="1" t="s">
        <v>4506</v>
      </c>
      <c r="D1952" s="14" t="s">
        <v>5530</v>
      </c>
    </row>
    <row r="1953" spans="1:4" x14ac:dyDescent="0.25">
      <c r="A1953" s="1" t="s">
        <v>4604</v>
      </c>
      <c r="B1953" s="1" t="s">
        <v>4605</v>
      </c>
      <c r="C1953" s="1" t="s">
        <v>4509</v>
      </c>
      <c r="D1953" s="14" t="s">
        <v>5530</v>
      </c>
    </row>
    <row r="1954" spans="1:4" x14ac:dyDescent="0.25">
      <c r="A1954" s="1" t="s">
        <v>4606</v>
      </c>
      <c r="B1954" s="1" t="s">
        <v>4607</v>
      </c>
      <c r="C1954" s="1" t="s">
        <v>4512</v>
      </c>
      <c r="D1954" s="14" t="s">
        <v>5530</v>
      </c>
    </row>
    <row r="1955" spans="1:4" x14ac:dyDescent="0.25">
      <c r="A1955" s="1" t="s">
        <v>4608</v>
      </c>
      <c r="B1955" s="1" t="s">
        <v>4609</v>
      </c>
      <c r="C1955" s="1" t="s">
        <v>4515</v>
      </c>
      <c r="D1955" s="14" t="s">
        <v>5530</v>
      </c>
    </row>
    <row r="1956" spans="1:4" x14ac:dyDescent="0.25">
      <c r="A1956" s="1" t="s">
        <v>4610</v>
      </c>
      <c r="B1956" s="1" t="s">
        <v>4611</v>
      </c>
      <c r="C1956" s="1" t="s">
        <v>4518</v>
      </c>
      <c r="D1956" s="14" t="s">
        <v>5530</v>
      </c>
    </row>
    <row r="1957" spans="1:4" x14ac:dyDescent="0.25">
      <c r="A1957" s="1" t="s">
        <v>4612</v>
      </c>
      <c r="B1957" s="1" t="s">
        <v>4613</v>
      </c>
      <c r="C1957" s="1" t="s">
        <v>4521</v>
      </c>
      <c r="D1957" s="14" t="s">
        <v>5530</v>
      </c>
    </row>
    <row r="1958" spans="1:4" x14ac:dyDescent="0.25">
      <c r="A1958" s="1" t="s">
        <v>4614</v>
      </c>
      <c r="B1958" s="1" t="s">
        <v>4615</v>
      </c>
      <c r="C1958" s="1" t="s">
        <v>4524</v>
      </c>
      <c r="D1958" s="14" t="s">
        <v>5530</v>
      </c>
    </row>
    <row r="1959" spans="1:4" x14ac:dyDescent="0.25">
      <c r="A1959" s="1" t="s">
        <v>4616</v>
      </c>
      <c r="B1959" s="1" t="s">
        <v>4617</v>
      </c>
      <c r="C1959" s="1" t="s">
        <v>4527</v>
      </c>
      <c r="D1959" s="14" t="s">
        <v>5530</v>
      </c>
    </row>
    <row r="1960" spans="1:4" x14ac:dyDescent="0.25">
      <c r="A1960" s="1" t="s">
        <v>4618</v>
      </c>
      <c r="B1960" s="1" t="s">
        <v>4619</v>
      </c>
      <c r="C1960" s="1" t="s">
        <v>4530</v>
      </c>
      <c r="D1960" s="14" t="s">
        <v>5530</v>
      </c>
    </row>
    <row r="1961" spans="1:4" x14ac:dyDescent="0.25">
      <c r="A1961" s="1" t="s">
        <v>4620</v>
      </c>
      <c r="B1961" s="1" t="s">
        <v>4621</v>
      </c>
      <c r="C1961" s="1" t="s">
        <v>4533</v>
      </c>
      <c r="D1961" s="14" t="s">
        <v>5530</v>
      </c>
    </row>
    <row r="1962" spans="1:4" x14ac:dyDescent="0.25">
      <c r="A1962" s="1" t="s">
        <v>4622</v>
      </c>
      <c r="B1962" s="1" t="s">
        <v>4623</v>
      </c>
      <c r="C1962" s="1" t="s">
        <v>4536</v>
      </c>
      <c r="D1962" s="14" t="s">
        <v>5530</v>
      </c>
    </row>
    <row r="1963" spans="1:4" x14ac:dyDescent="0.25">
      <c r="A1963" s="1" t="s">
        <v>4624</v>
      </c>
      <c r="B1963" s="1" t="s">
        <v>4625</v>
      </c>
      <c r="C1963" s="1" t="s">
        <v>4539</v>
      </c>
      <c r="D1963" s="14" t="s">
        <v>5530</v>
      </c>
    </row>
    <row r="1964" spans="1:4" x14ac:dyDescent="0.25">
      <c r="A1964" s="1" t="s">
        <v>4626</v>
      </c>
      <c r="B1964" s="1" t="s">
        <v>4627</v>
      </c>
      <c r="C1964" s="1" t="s">
        <v>4542</v>
      </c>
      <c r="D1964" s="14" t="s">
        <v>5530</v>
      </c>
    </row>
    <row r="1965" spans="1:4" x14ac:dyDescent="0.25">
      <c r="A1965" s="1" t="s">
        <v>4628</v>
      </c>
      <c r="B1965" s="1" t="s">
        <v>4629</v>
      </c>
      <c r="C1965" s="1" t="s">
        <v>4545</v>
      </c>
      <c r="D1965" s="14" t="s">
        <v>5530</v>
      </c>
    </row>
    <row r="1966" spans="1:4" x14ac:dyDescent="0.25">
      <c r="A1966" s="1" t="s">
        <v>4630</v>
      </c>
      <c r="B1966" s="1" t="s">
        <v>4631</v>
      </c>
      <c r="C1966" s="1" t="s">
        <v>4548</v>
      </c>
      <c r="D1966" s="14" t="s">
        <v>5530</v>
      </c>
    </row>
    <row r="1967" spans="1:4" x14ac:dyDescent="0.25">
      <c r="A1967" s="1" t="s">
        <v>4632</v>
      </c>
      <c r="B1967" s="1" t="s">
        <v>4633</v>
      </c>
      <c r="C1967" s="1" t="s">
        <v>4551</v>
      </c>
      <c r="D1967" s="14" t="s">
        <v>5530</v>
      </c>
    </row>
    <row r="1968" spans="1:4" x14ac:dyDescent="0.25">
      <c r="A1968" s="1" t="s">
        <v>4634</v>
      </c>
      <c r="B1968" s="1" t="s">
        <v>4635</v>
      </c>
      <c r="C1968" s="1" t="s">
        <v>4554</v>
      </c>
      <c r="D1968" s="14" t="s">
        <v>5530</v>
      </c>
    </row>
    <row r="1969" spans="1:4" x14ac:dyDescent="0.25">
      <c r="A1969" s="1" t="s">
        <v>4636</v>
      </c>
      <c r="B1969" s="1" t="s">
        <v>4637</v>
      </c>
      <c r="C1969" s="1" t="s">
        <v>4557</v>
      </c>
      <c r="D1969" s="14" t="s">
        <v>5530</v>
      </c>
    </row>
    <row r="1970" spans="1:4" x14ac:dyDescent="0.25">
      <c r="A1970" s="1" t="s">
        <v>4638</v>
      </c>
      <c r="B1970" s="1" t="s">
        <v>4639</v>
      </c>
      <c r="C1970" s="1" t="s">
        <v>4560</v>
      </c>
      <c r="D1970" s="14" t="s">
        <v>5530</v>
      </c>
    </row>
    <row r="1971" spans="1:4" x14ac:dyDescent="0.25">
      <c r="A1971" s="1" t="s">
        <v>4640</v>
      </c>
      <c r="B1971" s="1" t="s">
        <v>4641</v>
      </c>
      <c r="C1971" s="1" t="s">
        <v>4563</v>
      </c>
      <c r="D1971" s="14" t="s">
        <v>5530</v>
      </c>
    </row>
    <row r="1972" spans="1:4" x14ac:dyDescent="0.25">
      <c r="A1972" s="1" t="s">
        <v>4642</v>
      </c>
      <c r="B1972" s="1" t="s">
        <v>4643</v>
      </c>
      <c r="C1972" s="1" t="s">
        <v>4566</v>
      </c>
      <c r="D1972" s="14" t="s">
        <v>5530</v>
      </c>
    </row>
    <row r="1973" spans="1:4" x14ac:dyDescent="0.25">
      <c r="A1973" s="1" t="s">
        <v>4644</v>
      </c>
      <c r="B1973" s="1" t="s">
        <v>4645</v>
      </c>
      <c r="C1973" s="1" t="s">
        <v>4569</v>
      </c>
      <c r="D1973" s="14" t="s">
        <v>5530</v>
      </c>
    </row>
    <row r="1974" spans="1:4" x14ac:dyDescent="0.25">
      <c r="A1974" s="1" t="s">
        <v>4646</v>
      </c>
      <c r="B1974" s="1" t="s">
        <v>4647</v>
      </c>
      <c r="C1974" s="1" t="s">
        <v>4572</v>
      </c>
      <c r="D1974" s="14" t="s">
        <v>5530</v>
      </c>
    </row>
    <row r="1975" spans="1:4" x14ac:dyDescent="0.25">
      <c r="A1975" s="1" t="s">
        <v>4648</v>
      </c>
      <c r="B1975" s="1" t="s">
        <v>4649</v>
      </c>
      <c r="C1975" s="1" t="s">
        <v>4575</v>
      </c>
      <c r="D1975" s="14" t="s">
        <v>5530</v>
      </c>
    </row>
    <row r="1976" spans="1:4" x14ac:dyDescent="0.25">
      <c r="A1976" s="1" t="s">
        <v>4650</v>
      </c>
      <c r="B1976" s="1" t="s">
        <v>4651</v>
      </c>
      <c r="C1976" s="1" t="s">
        <v>4578</v>
      </c>
      <c r="D1976" s="14" t="s">
        <v>5530</v>
      </c>
    </row>
    <row r="1977" spans="1:4" x14ac:dyDescent="0.25">
      <c r="A1977" s="1" t="s">
        <v>4652</v>
      </c>
      <c r="B1977" s="1" t="s">
        <v>4653</v>
      </c>
      <c r="C1977" s="1" t="s">
        <v>4581</v>
      </c>
      <c r="D1977" s="14" t="s">
        <v>5530</v>
      </c>
    </row>
    <row r="1978" spans="1:4" x14ac:dyDescent="0.25">
      <c r="A1978" s="1" t="s">
        <v>4654</v>
      </c>
      <c r="B1978" s="1" t="s">
        <v>4655</v>
      </c>
      <c r="C1978" s="1" t="s">
        <v>4584</v>
      </c>
      <c r="D1978" s="14" t="s">
        <v>5530</v>
      </c>
    </row>
    <row r="1979" spans="1:4" x14ac:dyDescent="0.25">
      <c r="A1979" s="1" t="s">
        <v>4656</v>
      </c>
      <c r="B1979" s="1" t="s">
        <v>4657</v>
      </c>
      <c r="C1979" s="1" t="s">
        <v>4587</v>
      </c>
      <c r="D1979" s="14" t="s">
        <v>5530</v>
      </c>
    </row>
    <row r="1980" spans="1:4" x14ac:dyDescent="0.25">
      <c r="A1980" s="1" t="s">
        <v>4658</v>
      </c>
      <c r="B1980" s="1" t="s">
        <v>4659</v>
      </c>
      <c r="C1980" s="1" t="s">
        <v>4485</v>
      </c>
      <c r="D1980" s="14" t="s">
        <v>5530</v>
      </c>
    </row>
    <row r="1981" spans="1:4" x14ac:dyDescent="0.25">
      <c r="A1981" s="1" t="s">
        <v>4660</v>
      </c>
      <c r="B1981" s="1" t="s">
        <v>4661</v>
      </c>
      <c r="C1981" s="1" t="s">
        <v>4488</v>
      </c>
      <c r="D1981" s="14" t="s">
        <v>5530</v>
      </c>
    </row>
    <row r="1982" spans="1:4" x14ac:dyDescent="0.25">
      <c r="A1982" s="1" t="s">
        <v>4662</v>
      </c>
      <c r="B1982" s="1" t="s">
        <v>4663</v>
      </c>
      <c r="C1982" s="1" t="s">
        <v>4491</v>
      </c>
      <c r="D1982" s="14" t="s">
        <v>5530</v>
      </c>
    </row>
    <row r="1983" spans="1:4" x14ac:dyDescent="0.25">
      <c r="A1983" s="1" t="s">
        <v>4664</v>
      </c>
      <c r="B1983" s="1" t="s">
        <v>4665</v>
      </c>
      <c r="C1983" s="1" t="s">
        <v>4494</v>
      </c>
      <c r="D1983" s="14" t="s">
        <v>5530</v>
      </c>
    </row>
    <row r="1984" spans="1:4" x14ac:dyDescent="0.25">
      <c r="A1984" s="1" t="s">
        <v>4666</v>
      </c>
      <c r="B1984" s="1" t="s">
        <v>4667</v>
      </c>
      <c r="C1984" s="1" t="s">
        <v>4497</v>
      </c>
      <c r="D1984" s="14" t="s">
        <v>5530</v>
      </c>
    </row>
    <row r="1985" spans="1:4" x14ac:dyDescent="0.25">
      <c r="A1985" s="1" t="s">
        <v>4668</v>
      </c>
      <c r="B1985" s="1" t="s">
        <v>4669</v>
      </c>
      <c r="C1985" s="1" t="s">
        <v>4500</v>
      </c>
      <c r="D1985" s="14" t="s">
        <v>5530</v>
      </c>
    </row>
    <row r="1986" spans="1:4" x14ac:dyDescent="0.25">
      <c r="A1986" s="1" t="s">
        <v>4670</v>
      </c>
      <c r="B1986" s="1" t="s">
        <v>4671</v>
      </c>
      <c r="C1986" s="1" t="s">
        <v>4503</v>
      </c>
      <c r="D1986" s="14" t="s">
        <v>5530</v>
      </c>
    </row>
    <row r="1987" spans="1:4" x14ac:dyDescent="0.25">
      <c r="A1987" s="1" t="s">
        <v>4672</v>
      </c>
      <c r="B1987" s="1" t="s">
        <v>4673</v>
      </c>
      <c r="C1987" s="1" t="s">
        <v>4506</v>
      </c>
      <c r="D1987" s="14" t="s">
        <v>5530</v>
      </c>
    </row>
    <row r="1988" spans="1:4" x14ac:dyDescent="0.25">
      <c r="A1988" s="1" t="s">
        <v>4674</v>
      </c>
      <c r="B1988" s="1" t="s">
        <v>4675</v>
      </c>
      <c r="C1988" s="1" t="s">
        <v>4509</v>
      </c>
      <c r="D1988" s="14" t="s">
        <v>5530</v>
      </c>
    </row>
    <row r="1989" spans="1:4" x14ac:dyDescent="0.25">
      <c r="A1989" s="1" t="s">
        <v>4676</v>
      </c>
      <c r="B1989" s="1" t="s">
        <v>4677</v>
      </c>
      <c r="C1989" s="1" t="s">
        <v>4512</v>
      </c>
      <c r="D1989" s="14" t="s">
        <v>5530</v>
      </c>
    </row>
    <row r="1990" spans="1:4" x14ac:dyDescent="0.25">
      <c r="A1990" s="1" t="s">
        <v>4678</v>
      </c>
      <c r="B1990" s="1" t="s">
        <v>4679</v>
      </c>
      <c r="C1990" s="1" t="s">
        <v>4515</v>
      </c>
      <c r="D1990" s="14" t="s">
        <v>5530</v>
      </c>
    </row>
    <row r="1991" spans="1:4" x14ac:dyDescent="0.25">
      <c r="A1991" s="1" t="s">
        <v>4680</v>
      </c>
      <c r="B1991" s="1" t="s">
        <v>4681</v>
      </c>
      <c r="C1991" s="1" t="s">
        <v>4518</v>
      </c>
      <c r="D1991" s="14" t="s">
        <v>5530</v>
      </c>
    </row>
    <row r="1992" spans="1:4" x14ac:dyDescent="0.25">
      <c r="A1992" s="1" t="s">
        <v>4682</v>
      </c>
      <c r="B1992" s="1" t="s">
        <v>4683</v>
      </c>
      <c r="C1992" s="1" t="s">
        <v>4521</v>
      </c>
      <c r="D1992" s="14" t="s">
        <v>5530</v>
      </c>
    </row>
    <row r="1993" spans="1:4" x14ac:dyDescent="0.25">
      <c r="A1993" s="1" t="s">
        <v>4684</v>
      </c>
      <c r="B1993" s="1" t="s">
        <v>4685</v>
      </c>
      <c r="C1993" s="1" t="s">
        <v>4524</v>
      </c>
      <c r="D1993" s="14" t="s">
        <v>5530</v>
      </c>
    </row>
    <row r="1994" spans="1:4" x14ac:dyDescent="0.25">
      <c r="A1994" s="1" t="s">
        <v>4686</v>
      </c>
      <c r="B1994" s="1" t="s">
        <v>4687</v>
      </c>
      <c r="C1994" s="1" t="s">
        <v>4527</v>
      </c>
      <c r="D1994" s="14" t="s">
        <v>5530</v>
      </c>
    </row>
    <row r="1995" spans="1:4" x14ac:dyDescent="0.25">
      <c r="A1995" s="1" t="s">
        <v>4688</v>
      </c>
      <c r="B1995" s="1" t="s">
        <v>4689</v>
      </c>
      <c r="C1995" s="1" t="s">
        <v>4530</v>
      </c>
      <c r="D1995" s="14" t="s">
        <v>5530</v>
      </c>
    </row>
    <row r="1996" spans="1:4" x14ac:dyDescent="0.25">
      <c r="A1996" s="1" t="s">
        <v>4690</v>
      </c>
      <c r="B1996" s="1" t="s">
        <v>4691</v>
      </c>
      <c r="C1996" s="1" t="s">
        <v>4533</v>
      </c>
      <c r="D1996" s="14" t="s">
        <v>5530</v>
      </c>
    </row>
    <row r="1997" spans="1:4" x14ac:dyDescent="0.25">
      <c r="A1997" s="1" t="s">
        <v>4692</v>
      </c>
      <c r="B1997" s="1" t="s">
        <v>4693</v>
      </c>
      <c r="C1997" s="1" t="s">
        <v>4536</v>
      </c>
      <c r="D1997" s="14" t="s">
        <v>5530</v>
      </c>
    </row>
    <row r="1998" spans="1:4" x14ac:dyDescent="0.25">
      <c r="A1998" s="1" t="s">
        <v>4694</v>
      </c>
      <c r="B1998" s="1" t="s">
        <v>4695</v>
      </c>
      <c r="C1998" s="1" t="s">
        <v>4539</v>
      </c>
      <c r="D1998" s="14" t="s">
        <v>5530</v>
      </c>
    </row>
    <row r="1999" spans="1:4" x14ac:dyDescent="0.25">
      <c r="A1999" s="1" t="s">
        <v>4696</v>
      </c>
      <c r="B1999" s="1" t="s">
        <v>4697</v>
      </c>
      <c r="C1999" s="1" t="s">
        <v>4542</v>
      </c>
      <c r="D1999" s="14" t="s">
        <v>5530</v>
      </c>
    </row>
    <row r="2000" spans="1:4" x14ac:dyDescent="0.25">
      <c r="A2000" s="1" t="s">
        <v>4698</v>
      </c>
      <c r="B2000" s="1" t="s">
        <v>4699</v>
      </c>
      <c r="C2000" s="1" t="s">
        <v>4545</v>
      </c>
      <c r="D2000" s="14" t="s">
        <v>5530</v>
      </c>
    </row>
    <row r="2001" spans="1:4" x14ac:dyDescent="0.25">
      <c r="A2001" s="1" t="s">
        <v>4700</v>
      </c>
      <c r="B2001" s="1" t="s">
        <v>4701</v>
      </c>
      <c r="C2001" s="1" t="s">
        <v>4548</v>
      </c>
      <c r="D2001" s="14" t="s">
        <v>5530</v>
      </c>
    </row>
    <row r="2002" spans="1:4" x14ac:dyDescent="0.25">
      <c r="A2002" s="1" t="s">
        <v>4702</v>
      </c>
      <c r="B2002" s="1" t="s">
        <v>4703</v>
      </c>
      <c r="C2002" s="1" t="s">
        <v>4551</v>
      </c>
      <c r="D2002" s="14" t="s">
        <v>5530</v>
      </c>
    </row>
    <row r="2003" spans="1:4" x14ac:dyDescent="0.25">
      <c r="A2003" s="1" t="s">
        <v>4704</v>
      </c>
      <c r="B2003" s="1" t="s">
        <v>4705</v>
      </c>
      <c r="C2003" s="1" t="s">
        <v>4554</v>
      </c>
      <c r="D2003" s="14" t="s">
        <v>5530</v>
      </c>
    </row>
    <row r="2004" spans="1:4" x14ac:dyDescent="0.25">
      <c r="A2004" s="1" t="s">
        <v>4706</v>
      </c>
      <c r="B2004" s="1" t="s">
        <v>4707</v>
      </c>
      <c r="C2004" s="1" t="s">
        <v>4557</v>
      </c>
      <c r="D2004" s="14" t="s">
        <v>5530</v>
      </c>
    </row>
    <row r="2005" spans="1:4" x14ac:dyDescent="0.25">
      <c r="A2005" s="1" t="s">
        <v>4708</v>
      </c>
      <c r="B2005" s="1" t="s">
        <v>4709</v>
      </c>
      <c r="C2005" s="1" t="s">
        <v>4560</v>
      </c>
      <c r="D2005" s="14" t="s">
        <v>5530</v>
      </c>
    </row>
    <row r="2006" spans="1:4" x14ac:dyDescent="0.25">
      <c r="A2006" s="1" t="s">
        <v>4710</v>
      </c>
      <c r="B2006" s="1" t="s">
        <v>4711</v>
      </c>
      <c r="C2006" s="1" t="s">
        <v>4563</v>
      </c>
      <c r="D2006" s="14" t="s">
        <v>5530</v>
      </c>
    </row>
    <row r="2007" spans="1:4" x14ac:dyDescent="0.25">
      <c r="A2007" s="1" t="s">
        <v>4712</v>
      </c>
      <c r="B2007" s="1" t="s">
        <v>4713</v>
      </c>
      <c r="C2007" s="1" t="s">
        <v>4566</v>
      </c>
      <c r="D2007" s="14" t="s">
        <v>5530</v>
      </c>
    </row>
    <row r="2008" spans="1:4" x14ac:dyDescent="0.25">
      <c r="A2008" s="1" t="s">
        <v>4714</v>
      </c>
      <c r="B2008" s="1" t="s">
        <v>4715</v>
      </c>
      <c r="C2008" s="1" t="s">
        <v>4569</v>
      </c>
      <c r="D2008" s="14" t="s">
        <v>5530</v>
      </c>
    </row>
    <row r="2009" spans="1:4" x14ac:dyDescent="0.25">
      <c r="A2009" s="1" t="s">
        <v>4716</v>
      </c>
      <c r="B2009" s="1" t="s">
        <v>4717</v>
      </c>
      <c r="C2009" s="1" t="s">
        <v>4572</v>
      </c>
      <c r="D2009" s="14" t="s">
        <v>5530</v>
      </c>
    </row>
    <row r="2010" spans="1:4" x14ac:dyDescent="0.25">
      <c r="A2010" s="1" t="s">
        <v>4718</v>
      </c>
      <c r="B2010" s="1" t="s">
        <v>4719</v>
      </c>
      <c r="C2010" s="1" t="s">
        <v>4575</v>
      </c>
      <c r="D2010" s="14" t="s">
        <v>5530</v>
      </c>
    </row>
    <row r="2011" spans="1:4" x14ac:dyDescent="0.25">
      <c r="A2011" s="1" t="s">
        <v>4720</v>
      </c>
      <c r="B2011" s="1" t="s">
        <v>4721</v>
      </c>
      <c r="C2011" s="1" t="s">
        <v>4578</v>
      </c>
      <c r="D2011" s="14" t="s">
        <v>5530</v>
      </c>
    </row>
    <row r="2012" spans="1:4" x14ac:dyDescent="0.25">
      <c r="A2012" s="1" t="s">
        <v>4722</v>
      </c>
      <c r="B2012" s="1" t="s">
        <v>4723</v>
      </c>
      <c r="C2012" s="1" t="s">
        <v>4581</v>
      </c>
      <c r="D2012" s="14" t="s">
        <v>5530</v>
      </c>
    </row>
    <row r="2013" spans="1:4" x14ac:dyDescent="0.25">
      <c r="A2013" s="1" t="s">
        <v>4724</v>
      </c>
      <c r="B2013" s="1" t="s">
        <v>4725</v>
      </c>
      <c r="C2013" s="1" t="s">
        <v>4584</v>
      </c>
      <c r="D2013" s="14" t="s">
        <v>5530</v>
      </c>
    </row>
    <row r="2014" spans="1:4" x14ac:dyDescent="0.25">
      <c r="A2014" s="1" t="s">
        <v>4726</v>
      </c>
      <c r="B2014" s="1" t="s">
        <v>4727</v>
      </c>
      <c r="C2014" s="1" t="s">
        <v>4587</v>
      </c>
      <c r="D2014" s="14" t="s">
        <v>5530</v>
      </c>
    </row>
    <row r="2015" spans="1:4" hidden="1" x14ac:dyDescent="0.25">
      <c r="A2015" s="1" t="s">
        <v>4728</v>
      </c>
      <c r="B2015" s="1" t="s">
        <v>4729</v>
      </c>
      <c r="C2015" s="1" t="s">
        <v>4730</v>
      </c>
      <c r="D2015" s="14" t="s">
        <v>5531</v>
      </c>
    </row>
    <row r="2016" spans="1:4" hidden="1" x14ac:dyDescent="0.25">
      <c r="A2016" s="1" t="s">
        <v>4731</v>
      </c>
      <c r="B2016" s="1" t="s">
        <v>4732</v>
      </c>
      <c r="C2016" s="1" t="s">
        <v>4733</v>
      </c>
      <c r="D2016" s="14" t="s">
        <v>5531</v>
      </c>
    </row>
    <row r="2017" spans="1:4" hidden="1" x14ac:dyDescent="0.25">
      <c r="A2017" s="1" t="s">
        <v>4734</v>
      </c>
      <c r="B2017" s="1" t="s">
        <v>4735</v>
      </c>
      <c r="C2017" s="1" t="s">
        <v>4736</v>
      </c>
      <c r="D2017" s="14" t="s">
        <v>5531</v>
      </c>
    </row>
    <row r="2018" spans="1:4" hidden="1" x14ac:dyDescent="0.25">
      <c r="A2018" s="1" t="s">
        <v>4737</v>
      </c>
      <c r="B2018" s="1" t="s">
        <v>4738</v>
      </c>
      <c r="C2018" s="1" t="s">
        <v>4739</v>
      </c>
      <c r="D2018" s="14" t="s">
        <v>5531</v>
      </c>
    </row>
    <row r="2019" spans="1:4" hidden="1" x14ac:dyDescent="0.25">
      <c r="A2019" s="1" t="s">
        <v>4740</v>
      </c>
      <c r="B2019" s="1" t="s">
        <v>4741</v>
      </c>
      <c r="C2019" s="1" t="s">
        <v>4742</v>
      </c>
      <c r="D2019" s="14" t="s">
        <v>5531</v>
      </c>
    </row>
    <row r="2020" spans="1:4" hidden="1" x14ac:dyDescent="0.25">
      <c r="A2020" s="1" t="s">
        <v>4743</v>
      </c>
      <c r="B2020" s="1" t="s">
        <v>4744</v>
      </c>
      <c r="C2020" s="1" t="s">
        <v>4745</v>
      </c>
      <c r="D2020" s="14" t="s">
        <v>5531</v>
      </c>
    </row>
    <row r="2021" spans="1:4" hidden="1" x14ac:dyDescent="0.25">
      <c r="A2021" s="1" t="s">
        <v>4746</v>
      </c>
      <c r="B2021" s="1" t="s">
        <v>4747</v>
      </c>
      <c r="C2021" s="1" t="s">
        <v>4748</v>
      </c>
      <c r="D2021" s="14" t="s">
        <v>5531</v>
      </c>
    </row>
    <row r="2022" spans="1:4" hidden="1" x14ac:dyDescent="0.25">
      <c r="A2022" s="1" t="s">
        <v>4749</v>
      </c>
      <c r="B2022" s="1" t="s">
        <v>4750</v>
      </c>
      <c r="C2022" s="1" t="s">
        <v>4751</v>
      </c>
      <c r="D2022" s="14" t="s">
        <v>5531</v>
      </c>
    </row>
    <row r="2023" spans="1:4" hidden="1" x14ac:dyDescent="0.25">
      <c r="A2023" s="1" t="s">
        <v>4752</v>
      </c>
      <c r="B2023" s="1" t="s">
        <v>4753</v>
      </c>
      <c r="C2023" s="1" t="s">
        <v>4754</v>
      </c>
      <c r="D2023" s="14" t="s">
        <v>5531</v>
      </c>
    </row>
    <row r="2024" spans="1:4" hidden="1" x14ac:dyDescent="0.25">
      <c r="A2024" s="1" t="s">
        <v>4755</v>
      </c>
      <c r="B2024" s="1" t="s">
        <v>4756</v>
      </c>
      <c r="C2024" s="1" t="s">
        <v>4757</v>
      </c>
      <c r="D2024" s="14" t="s">
        <v>5531</v>
      </c>
    </row>
    <row r="2025" spans="1:4" hidden="1" x14ac:dyDescent="0.25">
      <c r="A2025" s="1" t="s">
        <v>4758</v>
      </c>
      <c r="B2025" s="1" t="s">
        <v>4759</v>
      </c>
      <c r="C2025" s="1" t="s">
        <v>4760</v>
      </c>
      <c r="D2025" s="14" t="s">
        <v>5531</v>
      </c>
    </row>
    <row r="2026" spans="1:4" hidden="1" x14ac:dyDescent="0.25">
      <c r="A2026" s="1" t="s">
        <v>4761</v>
      </c>
      <c r="B2026" s="1" t="s">
        <v>4762</v>
      </c>
      <c r="C2026" s="1" t="s">
        <v>4763</v>
      </c>
      <c r="D2026" s="14" t="s">
        <v>5531</v>
      </c>
    </row>
    <row r="2027" spans="1:4" hidden="1" x14ac:dyDescent="0.25">
      <c r="A2027" s="1" t="s">
        <v>4764</v>
      </c>
      <c r="B2027" s="1" t="s">
        <v>4765</v>
      </c>
      <c r="C2027" s="1" t="s">
        <v>4766</v>
      </c>
      <c r="D2027" s="14" t="s">
        <v>5531</v>
      </c>
    </row>
    <row r="2028" spans="1:4" hidden="1" x14ac:dyDescent="0.25">
      <c r="A2028" s="1" t="s">
        <v>4767</v>
      </c>
      <c r="B2028" s="1" t="s">
        <v>4768</v>
      </c>
      <c r="C2028" s="1" t="s">
        <v>4769</v>
      </c>
      <c r="D2028" s="14" t="s">
        <v>5531</v>
      </c>
    </row>
    <row r="2029" spans="1:4" hidden="1" x14ac:dyDescent="0.25">
      <c r="A2029" s="1" t="s">
        <v>4770</v>
      </c>
      <c r="B2029" s="1" t="s">
        <v>4771</v>
      </c>
      <c r="C2029" s="1" t="s">
        <v>4772</v>
      </c>
      <c r="D2029" s="14" t="s">
        <v>5531</v>
      </c>
    </row>
    <row r="2030" spans="1:4" hidden="1" x14ac:dyDescent="0.25">
      <c r="A2030" s="1" t="s">
        <v>4773</v>
      </c>
      <c r="B2030" s="1" t="s">
        <v>4774</v>
      </c>
      <c r="C2030" s="1" t="s">
        <v>4775</v>
      </c>
      <c r="D2030" s="14" t="s">
        <v>5531</v>
      </c>
    </row>
    <row r="2031" spans="1:4" hidden="1" x14ac:dyDescent="0.25">
      <c r="A2031" s="1" t="s">
        <v>4776</v>
      </c>
      <c r="B2031" s="1" t="s">
        <v>4777</v>
      </c>
      <c r="C2031" s="1" t="s">
        <v>4778</v>
      </c>
      <c r="D2031" s="14" t="s">
        <v>5531</v>
      </c>
    </row>
    <row r="2032" spans="1:4" hidden="1" x14ac:dyDescent="0.25">
      <c r="A2032" s="1" t="s">
        <v>4779</v>
      </c>
      <c r="B2032" s="1" t="s">
        <v>4780</v>
      </c>
      <c r="C2032" s="1" t="s">
        <v>4781</v>
      </c>
      <c r="D2032" s="14" t="s">
        <v>5531</v>
      </c>
    </row>
    <row r="2033" spans="1:4" hidden="1" x14ac:dyDescent="0.25">
      <c r="A2033" s="1" t="s">
        <v>4782</v>
      </c>
      <c r="B2033" s="1" t="s">
        <v>4783</v>
      </c>
      <c r="C2033" s="1" t="s">
        <v>4784</v>
      </c>
      <c r="D2033" s="14" t="s">
        <v>5531</v>
      </c>
    </row>
    <row r="2034" spans="1:4" hidden="1" x14ac:dyDescent="0.25">
      <c r="A2034" s="1" t="s">
        <v>4785</v>
      </c>
      <c r="B2034" s="1" t="s">
        <v>4786</v>
      </c>
      <c r="C2034" s="1" t="s">
        <v>4787</v>
      </c>
      <c r="D2034" s="14" t="s">
        <v>5531</v>
      </c>
    </row>
    <row r="2035" spans="1:4" hidden="1" x14ac:dyDescent="0.25">
      <c r="A2035" s="1" t="s">
        <v>4788</v>
      </c>
      <c r="B2035" s="1" t="s">
        <v>4789</v>
      </c>
      <c r="C2035" s="1" t="s">
        <v>4790</v>
      </c>
      <c r="D2035" s="14" t="s">
        <v>5531</v>
      </c>
    </row>
    <row r="2036" spans="1:4" hidden="1" x14ac:dyDescent="0.25">
      <c r="A2036" s="1" t="s">
        <v>4791</v>
      </c>
      <c r="B2036" s="1" t="s">
        <v>4792</v>
      </c>
      <c r="C2036" s="1" t="s">
        <v>4793</v>
      </c>
      <c r="D2036" s="14" t="s">
        <v>5531</v>
      </c>
    </row>
    <row r="2037" spans="1:4" hidden="1" x14ac:dyDescent="0.25">
      <c r="A2037" s="1" t="s">
        <v>4794</v>
      </c>
      <c r="B2037" s="1" t="s">
        <v>4795</v>
      </c>
      <c r="C2037" s="1" t="s">
        <v>4796</v>
      </c>
      <c r="D2037" s="14" t="s">
        <v>5531</v>
      </c>
    </row>
    <row r="2038" spans="1:4" hidden="1" x14ac:dyDescent="0.25">
      <c r="A2038" s="1" t="s">
        <v>4797</v>
      </c>
      <c r="B2038" s="1" t="s">
        <v>4798</v>
      </c>
      <c r="C2038" s="1" t="s">
        <v>4799</v>
      </c>
      <c r="D2038" s="14" t="s">
        <v>5531</v>
      </c>
    </row>
    <row r="2039" spans="1:4" hidden="1" x14ac:dyDescent="0.25">
      <c r="A2039" s="1" t="s">
        <v>4800</v>
      </c>
      <c r="B2039" s="1" t="s">
        <v>4801</v>
      </c>
      <c r="C2039" s="1" t="s">
        <v>4802</v>
      </c>
      <c r="D2039" s="14" t="s">
        <v>5531</v>
      </c>
    </row>
    <row r="2040" spans="1:4" hidden="1" x14ac:dyDescent="0.25">
      <c r="A2040" s="1" t="s">
        <v>4803</v>
      </c>
      <c r="B2040" s="1" t="s">
        <v>4804</v>
      </c>
      <c r="C2040" s="1" t="s">
        <v>4805</v>
      </c>
      <c r="D2040" s="14" t="s">
        <v>5531</v>
      </c>
    </row>
    <row r="2041" spans="1:4" hidden="1" x14ac:dyDescent="0.25">
      <c r="A2041" s="1" t="s">
        <v>4806</v>
      </c>
      <c r="B2041" s="1" t="s">
        <v>4807</v>
      </c>
      <c r="C2041" s="1" t="s">
        <v>4808</v>
      </c>
      <c r="D2041" s="14" t="s">
        <v>5531</v>
      </c>
    </row>
    <row r="2042" spans="1:4" hidden="1" x14ac:dyDescent="0.25">
      <c r="A2042" s="1" t="s">
        <v>4809</v>
      </c>
      <c r="B2042" s="1" t="s">
        <v>4810</v>
      </c>
      <c r="C2042" s="1" t="s">
        <v>4811</v>
      </c>
      <c r="D2042" s="14" t="s">
        <v>5531</v>
      </c>
    </row>
    <row r="2043" spans="1:4" hidden="1" x14ac:dyDescent="0.25">
      <c r="A2043" s="1" t="s">
        <v>4812</v>
      </c>
      <c r="B2043" s="1" t="s">
        <v>4813</v>
      </c>
      <c r="C2043" s="1" t="s">
        <v>4814</v>
      </c>
      <c r="D2043" s="14" t="s">
        <v>5531</v>
      </c>
    </row>
    <row r="2044" spans="1:4" hidden="1" x14ac:dyDescent="0.25">
      <c r="A2044" s="1" t="s">
        <v>4815</v>
      </c>
      <c r="B2044" s="1" t="s">
        <v>4816</v>
      </c>
      <c r="C2044" s="1" t="s">
        <v>4817</v>
      </c>
      <c r="D2044" s="14" t="s">
        <v>5531</v>
      </c>
    </row>
    <row r="2045" spans="1:4" hidden="1" x14ac:dyDescent="0.25">
      <c r="A2045" s="1" t="s">
        <v>4818</v>
      </c>
      <c r="B2045" s="1" t="s">
        <v>4819</v>
      </c>
      <c r="C2045" s="1" t="s">
        <v>4820</v>
      </c>
      <c r="D2045" s="14" t="s">
        <v>5531</v>
      </c>
    </row>
    <row r="2046" spans="1:4" hidden="1" x14ac:dyDescent="0.25">
      <c r="A2046" s="1" t="s">
        <v>4821</v>
      </c>
      <c r="B2046" s="1" t="s">
        <v>4822</v>
      </c>
      <c r="C2046" s="1" t="s">
        <v>4823</v>
      </c>
      <c r="D2046" s="14" t="s">
        <v>5531</v>
      </c>
    </row>
    <row r="2047" spans="1:4" hidden="1" x14ac:dyDescent="0.25">
      <c r="A2047" s="1" t="s">
        <v>4824</v>
      </c>
      <c r="B2047" s="1" t="s">
        <v>4825</v>
      </c>
      <c r="C2047" s="1" t="s">
        <v>4826</v>
      </c>
      <c r="D2047" s="14" t="s">
        <v>5531</v>
      </c>
    </row>
    <row r="2048" spans="1:4" hidden="1" x14ac:dyDescent="0.25">
      <c r="A2048" s="1" t="s">
        <v>4827</v>
      </c>
      <c r="B2048" s="1" t="s">
        <v>4828</v>
      </c>
      <c r="C2048" s="1" t="s">
        <v>4829</v>
      </c>
      <c r="D2048" s="14" t="s">
        <v>5531</v>
      </c>
    </row>
    <row r="2049" spans="1:4" hidden="1" x14ac:dyDescent="0.25">
      <c r="A2049" s="1" t="s">
        <v>4830</v>
      </c>
      <c r="B2049" s="1" t="s">
        <v>4831</v>
      </c>
      <c r="C2049" s="1" t="s">
        <v>4832</v>
      </c>
      <c r="D2049" s="14" t="s">
        <v>5531</v>
      </c>
    </row>
    <row r="2050" spans="1:4" hidden="1" x14ac:dyDescent="0.25">
      <c r="A2050" s="1" t="s">
        <v>4833</v>
      </c>
      <c r="B2050" s="1" t="s">
        <v>4834</v>
      </c>
      <c r="C2050" s="1" t="s">
        <v>4730</v>
      </c>
      <c r="D2050" s="14" t="s">
        <v>5531</v>
      </c>
    </row>
    <row r="2051" spans="1:4" hidden="1" x14ac:dyDescent="0.25">
      <c r="A2051" s="1" t="s">
        <v>4835</v>
      </c>
      <c r="B2051" s="1" t="s">
        <v>4836</v>
      </c>
      <c r="C2051" s="1" t="s">
        <v>4733</v>
      </c>
      <c r="D2051" s="14" t="s">
        <v>5531</v>
      </c>
    </row>
    <row r="2052" spans="1:4" hidden="1" x14ac:dyDescent="0.25">
      <c r="A2052" s="1" t="s">
        <v>4837</v>
      </c>
      <c r="B2052" s="1" t="s">
        <v>4838</v>
      </c>
      <c r="C2052" s="1" t="s">
        <v>4736</v>
      </c>
      <c r="D2052" s="14" t="s">
        <v>5531</v>
      </c>
    </row>
    <row r="2053" spans="1:4" hidden="1" x14ac:dyDescent="0.25">
      <c r="A2053" s="1" t="s">
        <v>4839</v>
      </c>
      <c r="B2053" s="1" t="s">
        <v>4840</v>
      </c>
      <c r="C2053" s="1" t="s">
        <v>4739</v>
      </c>
      <c r="D2053" s="14" t="s">
        <v>5531</v>
      </c>
    </row>
    <row r="2054" spans="1:4" hidden="1" x14ac:dyDescent="0.25">
      <c r="A2054" s="1" t="s">
        <v>4841</v>
      </c>
      <c r="B2054" s="1" t="s">
        <v>4842</v>
      </c>
      <c r="C2054" s="1" t="s">
        <v>4742</v>
      </c>
      <c r="D2054" s="14" t="s">
        <v>5531</v>
      </c>
    </row>
    <row r="2055" spans="1:4" hidden="1" x14ac:dyDescent="0.25">
      <c r="A2055" s="1" t="s">
        <v>4843</v>
      </c>
      <c r="B2055" s="1" t="s">
        <v>4844</v>
      </c>
      <c r="C2055" s="1" t="s">
        <v>4745</v>
      </c>
      <c r="D2055" s="14" t="s">
        <v>5531</v>
      </c>
    </row>
    <row r="2056" spans="1:4" hidden="1" x14ac:dyDescent="0.25">
      <c r="A2056" s="1" t="s">
        <v>4845</v>
      </c>
      <c r="B2056" s="1" t="s">
        <v>4846</v>
      </c>
      <c r="C2056" s="1" t="s">
        <v>4748</v>
      </c>
      <c r="D2056" s="14" t="s">
        <v>5531</v>
      </c>
    </row>
    <row r="2057" spans="1:4" hidden="1" x14ac:dyDescent="0.25">
      <c r="A2057" s="1" t="s">
        <v>4847</v>
      </c>
      <c r="B2057" s="1" t="s">
        <v>4848</v>
      </c>
      <c r="C2057" s="1" t="s">
        <v>4751</v>
      </c>
      <c r="D2057" s="14" t="s">
        <v>5531</v>
      </c>
    </row>
    <row r="2058" spans="1:4" hidden="1" x14ac:dyDescent="0.25">
      <c r="A2058" s="1" t="s">
        <v>4849</v>
      </c>
      <c r="B2058" s="1" t="s">
        <v>4850</v>
      </c>
      <c r="C2058" s="1" t="s">
        <v>4754</v>
      </c>
      <c r="D2058" s="14" t="s">
        <v>5531</v>
      </c>
    </row>
    <row r="2059" spans="1:4" hidden="1" x14ac:dyDescent="0.25">
      <c r="A2059" s="1" t="s">
        <v>4851</v>
      </c>
      <c r="B2059" s="1" t="s">
        <v>4852</v>
      </c>
      <c r="C2059" s="1" t="s">
        <v>4757</v>
      </c>
      <c r="D2059" s="14" t="s">
        <v>5531</v>
      </c>
    </row>
    <row r="2060" spans="1:4" hidden="1" x14ac:dyDescent="0.25">
      <c r="A2060" s="1" t="s">
        <v>4853</v>
      </c>
      <c r="B2060" s="1" t="s">
        <v>4854</v>
      </c>
      <c r="C2060" s="1" t="s">
        <v>4760</v>
      </c>
      <c r="D2060" s="14" t="s">
        <v>5531</v>
      </c>
    </row>
    <row r="2061" spans="1:4" hidden="1" x14ac:dyDescent="0.25">
      <c r="A2061" s="1" t="s">
        <v>4855</v>
      </c>
      <c r="B2061" s="1" t="s">
        <v>4856</v>
      </c>
      <c r="C2061" s="1" t="s">
        <v>4763</v>
      </c>
      <c r="D2061" s="14" t="s">
        <v>5531</v>
      </c>
    </row>
    <row r="2062" spans="1:4" hidden="1" x14ac:dyDescent="0.25">
      <c r="A2062" s="1" t="s">
        <v>4857</v>
      </c>
      <c r="B2062" s="1" t="s">
        <v>4858</v>
      </c>
      <c r="C2062" s="1" t="s">
        <v>4766</v>
      </c>
      <c r="D2062" s="14" t="s">
        <v>5531</v>
      </c>
    </row>
    <row r="2063" spans="1:4" hidden="1" x14ac:dyDescent="0.25">
      <c r="A2063" s="1" t="s">
        <v>4859</v>
      </c>
      <c r="B2063" s="1" t="s">
        <v>4860</v>
      </c>
      <c r="C2063" s="1" t="s">
        <v>4769</v>
      </c>
      <c r="D2063" s="14" t="s">
        <v>5531</v>
      </c>
    </row>
    <row r="2064" spans="1:4" hidden="1" x14ac:dyDescent="0.25">
      <c r="A2064" s="1" t="s">
        <v>4861</v>
      </c>
      <c r="B2064" s="1" t="s">
        <v>4862</v>
      </c>
      <c r="C2064" s="1" t="s">
        <v>4772</v>
      </c>
      <c r="D2064" s="14" t="s">
        <v>5531</v>
      </c>
    </row>
    <row r="2065" spans="1:4" hidden="1" x14ac:dyDescent="0.25">
      <c r="A2065" s="1" t="s">
        <v>4863</v>
      </c>
      <c r="B2065" s="1" t="s">
        <v>4864</v>
      </c>
      <c r="C2065" s="1" t="s">
        <v>4775</v>
      </c>
      <c r="D2065" s="14" t="s">
        <v>5531</v>
      </c>
    </row>
    <row r="2066" spans="1:4" hidden="1" x14ac:dyDescent="0.25">
      <c r="A2066" s="1" t="s">
        <v>4865</v>
      </c>
      <c r="B2066" s="1" t="s">
        <v>4866</v>
      </c>
      <c r="C2066" s="1" t="s">
        <v>4778</v>
      </c>
      <c r="D2066" s="14" t="s">
        <v>5531</v>
      </c>
    </row>
    <row r="2067" spans="1:4" hidden="1" x14ac:dyDescent="0.25">
      <c r="A2067" s="1" t="s">
        <v>4867</v>
      </c>
      <c r="B2067" s="1" t="s">
        <v>4868</v>
      </c>
      <c r="C2067" s="1" t="s">
        <v>4781</v>
      </c>
      <c r="D2067" s="14" t="s">
        <v>5531</v>
      </c>
    </row>
    <row r="2068" spans="1:4" hidden="1" x14ac:dyDescent="0.25">
      <c r="A2068" s="1" t="s">
        <v>4869</v>
      </c>
      <c r="B2068" s="1" t="s">
        <v>4870</v>
      </c>
      <c r="C2068" s="1" t="s">
        <v>4784</v>
      </c>
      <c r="D2068" s="14" t="s">
        <v>5531</v>
      </c>
    </row>
    <row r="2069" spans="1:4" hidden="1" x14ac:dyDescent="0.25">
      <c r="A2069" s="1" t="s">
        <v>4871</v>
      </c>
      <c r="B2069" s="1" t="s">
        <v>4872</v>
      </c>
      <c r="C2069" s="1" t="s">
        <v>4787</v>
      </c>
      <c r="D2069" s="14" t="s">
        <v>5531</v>
      </c>
    </row>
    <row r="2070" spans="1:4" hidden="1" x14ac:dyDescent="0.25">
      <c r="A2070" s="1" t="s">
        <v>4873</v>
      </c>
      <c r="B2070" s="1" t="s">
        <v>4874</v>
      </c>
      <c r="C2070" s="1" t="s">
        <v>4790</v>
      </c>
      <c r="D2070" s="14" t="s">
        <v>5531</v>
      </c>
    </row>
    <row r="2071" spans="1:4" hidden="1" x14ac:dyDescent="0.25">
      <c r="A2071" s="1" t="s">
        <v>4875</v>
      </c>
      <c r="B2071" s="1" t="s">
        <v>4876</v>
      </c>
      <c r="C2071" s="1" t="s">
        <v>4793</v>
      </c>
      <c r="D2071" s="14" t="s">
        <v>5531</v>
      </c>
    </row>
    <row r="2072" spans="1:4" hidden="1" x14ac:dyDescent="0.25">
      <c r="A2072" s="1" t="s">
        <v>4877</v>
      </c>
      <c r="B2072" s="1" t="s">
        <v>4878</v>
      </c>
      <c r="C2072" s="1" t="s">
        <v>4796</v>
      </c>
      <c r="D2072" s="14" t="s">
        <v>5531</v>
      </c>
    </row>
    <row r="2073" spans="1:4" hidden="1" x14ac:dyDescent="0.25">
      <c r="A2073" s="1" t="s">
        <v>4879</v>
      </c>
      <c r="B2073" s="1" t="s">
        <v>4880</v>
      </c>
      <c r="C2073" s="1" t="s">
        <v>4799</v>
      </c>
      <c r="D2073" s="14" t="s">
        <v>5531</v>
      </c>
    </row>
    <row r="2074" spans="1:4" hidden="1" x14ac:dyDescent="0.25">
      <c r="A2074" s="1" t="s">
        <v>4881</v>
      </c>
      <c r="B2074" s="1" t="s">
        <v>4882</v>
      </c>
      <c r="C2074" s="1" t="s">
        <v>4802</v>
      </c>
      <c r="D2074" s="14" t="s">
        <v>5531</v>
      </c>
    </row>
    <row r="2075" spans="1:4" hidden="1" x14ac:dyDescent="0.25">
      <c r="A2075" s="1" t="s">
        <v>4883</v>
      </c>
      <c r="B2075" s="1" t="s">
        <v>4884</v>
      </c>
      <c r="C2075" s="1" t="s">
        <v>4805</v>
      </c>
      <c r="D2075" s="14" t="s">
        <v>5531</v>
      </c>
    </row>
    <row r="2076" spans="1:4" hidden="1" x14ac:dyDescent="0.25">
      <c r="A2076" s="1" t="s">
        <v>4885</v>
      </c>
      <c r="B2076" s="1" t="s">
        <v>4886</v>
      </c>
      <c r="C2076" s="1" t="s">
        <v>4808</v>
      </c>
      <c r="D2076" s="14" t="s">
        <v>5531</v>
      </c>
    </row>
    <row r="2077" spans="1:4" hidden="1" x14ac:dyDescent="0.25">
      <c r="A2077" s="1" t="s">
        <v>4887</v>
      </c>
      <c r="B2077" s="1" t="s">
        <v>4888</v>
      </c>
      <c r="C2077" s="1" t="s">
        <v>4811</v>
      </c>
      <c r="D2077" s="14" t="s">
        <v>5531</v>
      </c>
    </row>
    <row r="2078" spans="1:4" hidden="1" x14ac:dyDescent="0.25">
      <c r="A2078" s="1" t="s">
        <v>4889</v>
      </c>
      <c r="B2078" s="1" t="s">
        <v>4890</v>
      </c>
      <c r="C2078" s="1" t="s">
        <v>4814</v>
      </c>
      <c r="D2078" s="14" t="s">
        <v>5531</v>
      </c>
    </row>
    <row r="2079" spans="1:4" hidden="1" x14ac:dyDescent="0.25">
      <c r="A2079" s="1" t="s">
        <v>4891</v>
      </c>
      <c r="B2079" s="1" t="s">
        <v>4892</v>
      </c>
      <c r="C2079" s="1" t="s">
        <v>4817</v>
      </c>
      <c r="D2079" s="14" t="s">
        <v>5531</v>
      </c>
    </row>
    <row r="2080" spans="1:4" hidden="1" x14ac:dyDescent="0.25">
      <c r="A2080" s="1" t="s">
        <v>4893</v>
      </c>
      <c r="B2080" s="1" t="s">
        <v>4894</v>
      </c>
      <c r="C2080" s="1" t="s">
        <v>4820</v>
      </c>
      <c r="D2080" s="14" t="s">
        <v>5531</v>
      </c>
    </row>
    <row r="2081" spans="1:4" hidden="1" x14ac:dyDescent="0.25">
      <c r="A2081" s="1" t="s">
        <v>4895</v>
      </c>
      <c r="B2081" s="1" t="s">
        <v>4896</v>
      </c>
      <c r="C2081" s="1" t="s">
        <v>4823</v>
      </c>
      <c r="D2081" s="14" t="s">
        <v>5531</v>
      </c>
    </row>
    <row r="2082" spans="1:4" hidden="1" x14ac:dyDescent="0.25">
      <c r="A2082" s="1" t="s">
        <v>4897</v>
      </c>
      <c r="B2082" s="1" t="s">
        <v>4898</v>
      </c>
      <c r="C2082" s="1" t="s">
        <v>4826</v>
      </c>
      <c r="D2082" s="14" t="s">
        <v>5531</v>
      </c>
    </row>
    <row r="2083" spans="1:4" hidden="1" x14ac:dyDescent="0.25">
      <c r="A2083" s="1" t="s">
        <v>4899</v>
      </c>
      <c r="B2083" s="1" t="s">
        <v>4900</v>
      </c>
      <c r="C2083" s="1" t="s">
        <v>4829</v>
      </c>
      <c r="D2083" s="14" t="s">
        <v>5531</v>
      </c>
    </row>
    <row r="2084" spans="1:4" hidden="1" x14ac:dyDescent="0.25">
      <c r="A2084" s="1" t="s">
        <v>4901</v>
      </c>
      <c r="B2084" s="1" t="s">
        <v>4902</v>
      </c>
      <c r="C2084" s="1" t="s">
        <v>4832</v>
      </c>
      <c r="D2084" s="14" t="s">
        <v>5531</v>
      </c>
    </row>
    <row r="2085" spans="1:4" hidden="1" x14ac:dyDescent="0.25">
      <c r="A2085" s="1" t="s">
        <v>4903</v>
      </c>
      <c r="B2085" s="1" t="s">
        <v>4904</v>
      </c>
      <c r="C2085" s="1" t="s">
        <v>4905</v>
      </c>
      <c r="D2085" s="14" t="s">
        <v>5531</v>
      </c>
    </row>
    <row r="2086" spans="1:4" hidden="1" x14ac:dyDescent="0.25">
      <c r="A2086" s="1" t="s">
        <v>4906</v>
      </c>
      <c r="B2086" s="1" t="s">
        <v>4907</v>
      </c>
      <c r="C2086" s="1" t="s">
        <v>4908</v>
      </c>
      <c r="D2086" s="14" t="s">
        <v>5531</v>
      </c>
    </row>
    <row r="2087" spans="1:4" hidden="1" x14ac:dyDescent="0.25">
      <c r="A2087" s="1" t="s">
        <v>4909</v>
      </c>
      <c r="B2087" s="1" t="s">
        <v>4910</v>
      </c>
      <c r="C2087" s="1" t="s">
        <v>4911</v>
      </c>
      <c r="D2087" s="14" t="s">
        <v>5531</v>
      </c>
    </row>
    <row r="2088" spans="1:4" hidden="1" x14ac:dyDescent="0.25">
      <c r="A2088" s="1" t="s">
        <v>4912</v>
      </c>
      <c r="B2088" s="1" t="s">
        <v>4913</v>
      </c>
      <c r="C2088" s="1" t="s">
        <v>4914</v>
      </c>
      <c r="D2088" s="14" t="s">
        <v>5531</v>
      </c>
    </row>
    <row r="2089" spans="1:4" hidden="1" x14ac:dyDescent="0.25">
      <c r="A2089" s="1" t="s">
        <v>4915</v>
      </c>
      <c r="B2089" s="1" t="s">
        <v>4916</v>
      </c>
      <c r="C2089" s="1" t="s">
        <v>4917</v>
      </c>
      <c r="D2089" s="14" t="s">
        <v>5531</v>
      </c>
    </row>
    <row r="2090" spans="1:4" hidden="1" x14ac:dyDescent="0.25">
      <c r="A2090" s="1" t="s">
        <v>4918</v>
      </c>
      <c r="B2090" s="1" t="s">
        <v>4919</v>
      </c>
      <c r="C2090" s="1" t="s">
        <v>4920</v>
      </c>
      <c r="D2090" s="14" t="s">
        <v>5531</v>
      </c>
    </row>
    <row r="2091" spans="1:4" hidden="1" x14ac:dyDescent="0.25">
      <c r="A2091" s="1" t="s">
        <v>4921</v>
      </c>
      <c r="B2091" s="1" t="s">
        <v>4922</v>
      </c>
      <c r="C2091" s="1" t="s">
        <v>4923</v>
      </c>
      <c r="D2091" s="14" t="s">
        <v>5531</v>
      </c>
    </row>
    <row r="2092" spans="1:4" hidden="1" x14ac:dyDescent="0.25">
      <c r="A2092" s="1" t="s">
        <v>4924</v>
      </c>
      <c r="B2092" s="1" t="s">
        <v>4925</v>
      </c>
      <c r="C2092" s="1" t="s">
        <v>4926</v>
      </c>
      <c r="D2092" s="14" t="s">
        <v>5531</v>
      </c>
    </row>
    <row r="2093" spans="1:4" hidden="1" x14ac:dyDescent="0.25">
      <c r="A2093" s="1" t="s">
        <v>4927</v>
      </c>
      <c r="B2093" s="1" t="s">
        <v>4928</v>
      </c>
      <c r="C2093" s="1" t="s">
        <v>4929</v>
      </c>
      <c r="D2093" s="14" t="s">
        <v>5531</v>
      </c>
    </row>
    <row r="2094" spans="1:4" hidden="1" x14ac:dyDescent="0.25">
      <c r="A2094" s="1" t="s">
        <v>4930</v>
      </c>
      <c r="B2094" s="1" t="s">
        <v>4931</v>
      </c>
      <c r="C2094" s="1" t="s">
        <v>4932</v>
      </c>
      <c r="D2094" s="14" t="s">
        <v>5531</v>
      </c>
    </row>
    <row r="2095" spans="1:4" hidden="1" x14ac:dyDescent="0.25">
      <c r="A2095" s="1" t="s">
        <v>4933</v>
      </c>
      <c r="B2095" s="1" t="s">
        <v>4934</v>
      </c>
      <c r="C2095" s="1" t="s">
        <v>4935</v>
      </c>
      <c r="D2095" s="14" t="s">
        <v>5531</v>
      </c>
    </row>
    <row r="2096" spans="1:4" hidden="1" x14ac:dyDescent="0.25">
      <c r="A2096" s="1" t="s">
        <v>4936</v>
      </c>
      <c r="B2096" s="1" t="s">
        <v>4937</v>
      </c>
      <c r="C2096" s="1" t="s">
        <v>4938</v>
      </c>
      <c r="D2096" s="14" t="s">
        <v>5531</v>
      </c>
    </row>
    <row r="2097" spans="1:4" hidden="1" x14ac:dyDescent="0.25">
      <c r="A2097" s="1" t="s">
        <v>4939</v>
      </c>
      <c r="B2097" s="1" t="s">
        <v>4940</v>
      </c>
      <c r="C2097" s="1" t="s">
        <v>4941</v>
      </c>
      <c r="D2097" s="14" t="s">
        <v>5531</v>
      </c>
    </row>
    <row r="2098" spans="1:4" hidden="1" x14ac:dyDescent="0.25">
      <c r="A2098" s="1" t="s">
        <v>4942</v>
      </c>
      <c r="B2098" s="1" t="s">
        <v>4943</v>
      </c>
      <c r="C2098" s="1" t="s">
        <v>4944</v>
      </c>
      <c r="D2098" s="14" t="s">
        <v>5531</v>
      </c>
    </row>
    <row r="2099" spans="1:4" hidden="1" x14ac:dyDescent="0.25">
      <c r="A2099" s="1" t="s">
        <v>4945</v>
      </c>
      <c r="B2099" s="1" t="s">
        <v>4946</v>
      </c>
      <c r="C2099" s="1" t="s">
        <v>4947</v>
      </c>
      <c r="D2099" s="14" t="s">
        <v>5531</v>
      </c>
    </row>
    <row r="2100" spans="1:4" hidden="1" x14ac:dyDescent="0.25">
      <c r="A2100" s="1" t="s">
        <v>4948</v>
      </c>
      <c r="B2100" s="1" t="s">
        <v>4949</v>
      </c>
      <c r="C2100" s="1" t="s">
        <v>4950</v>
      </c>
      <c r="D2100" s="14" t="s">
        <v>5531</v>
      </c>
    </row>
    <row r="2101" spans="1:4" hidden="1" x14ac:dyDescent="0.25">
      <c r="A2101" s="1" t="s">
        <v>4951</v>
      </c>
      <c r="B2101" s="1" t="s">
        <v>4952</v>
      </c>
      <c r="C2101" s="1" t="s">
        <v>4953</v>
      </c>
      <c r="D2101" s="14" t="s">
        <v>5531</v>
      </c>
    </row>
    <row r="2102" spans="1:4" hidden="1" x14ac:dyDescent="0.25">
      <c r="A2102" s="1" t="s">
        <v>4954</v>
      </c>
      <c r="B2102" s="1" t="s">
        <v>4955</v>
      </c>
      <c r="C2102" s="1" t="s">
        <v>4956</v>
      </c>
      <c r="D2102" s="14" t="s">
        <v>5531</v>
      </c>
    </row>
    <row r="2103" spans="1:4" hidden="1" x14ac:dyDescent="0.25">
      <c r="A2103" s="1" t="s">
        <v>4957</v>
      </c>
      <c r="B2103" s="1" t="s">
        <v>4958</v>
      </c>
      <c r="C2103" s="1" t="s">
        <v>4959</v>
      </c>
      <c r="D2103" s="14" t="s">
        <v>5531</v>
      </c>
    </row>
    <row r="2104" spans="1:4" hidden="1" x14ac:dyDescent="0.25">
      <c r="A2104" s="1" t="s">
        <v>4960</v>
      </c>
      <c r="B2104" s="1" t="s">
        <v>4961</v>
      </c>
      <c r="C2104" s="1" t="s">
        <v>4962</v>
      </c>
      <c r="D2104" s="14" t="s">
        <v>5531</v>
      </c>
    </row>
    <row r="2105" spans="1:4" hidden="1" x14ac:dyDescent="0.25">
      <c r="A2105" s="1" t="s">
        <v>4963</v>
      </c>
      <c r="B2105" s="1" t="s">
        <v>4964</v>
      </c>
      <c r="C2105" s="1" t="s">
        <v>4965</v>
      </c>
      <c r="D2105" s="14" t="s">
        <v>5531</v>
      </c>
    </row>
    <row r="2106" spans="1:4" hidden="1" x14ac:dyDescent="0.25">
      <c r="A2106" s="1" t="s">
        <v>4966</v>
      </c>
      <c r="B2106" s="1" t="s">
        <v>4967</v>
      </c>
      <c r="C2106" s="1" t="s">
        <v>4968</v>
      </c>
      <c r="D2106" s="14" t="s">
        <v>5531</v>
      </c>
    </row>
    <row r="2107" spans="1:4" hidden="1" x14ac:dyDescent="0.25">
      <c r="A2107" s="1" t="s">
        <v>4969</v>
      </c>
      <c r="B2107" s="1" t="s">
        <v>4970</v>
      </c>
      <c r="C2107" s="1" t="s">
        <v>4971</v>
      </c>
      <c r="D2107" s="14" t="s">
        <v>5531</v>
      </c>
    </row>
    <row r="2108" spans="1:4" hidden="1" x14ac:dyDescent="0.25">
      <c r="A2108" s="1" t="s">
        <v>4972</v>
      </c>
      <c r="B2108" s="1" t="s">
        <v>4973</v>
      </c>
      <c r="C2108" s="1" t="s">
        <v>4974</v>
      </c>
      <c r="D2108" s="14" t="s">
        <v>5531</v>
      </c>
    </row>
    <row r="2109" spans="1:4" hidden="1" x14ac:dyDescent="0.25">
      <c r="A2109" s="1" t="s">
        <v>4975</v>
      </c>
      <c r="B2109" s="1" t="s">
        <v>4976</v>
      </c>
      <c r="C2109" s="1" t="s">
        <v>4977</v>
      </c>
      <c r="D2109" s="14" t="s">
        <v>5531</v>
      </c>
    </row>
    <row r="2110" spans="1:4" hidden="1" x14ac:dyDescent="0.25">
      <c r="A2110" s="1" t="s">
        <v>4978</v>
      </c>
      <c r="B2110" s="1" t="s">
        <v>4979</v>
      </c>
      <c r="C2110" s="1" t="s">
        <v>4980</v>
      </c>
      <c r="D2110" s="14" t="s">
        <v>5531</v>
      </c>
    </row>
    <row r="2111" spans="1:4" hidden="1" x14ac:dyDescent="0.25">
      <c r="A2111" s="1" t="s">
        <v>4981</v>
      </c>
      <c r="B2111" s="1" t="s">
        <v>4982</v>
      </c>
      <c r="C2111" s="1" t="s">
        <v>4983</v>
      </c>
      <c r="D2111" s="14" t="s">
        <v>5531</v>
      </c>
    </row>
    <row r="2112" spans="1:4" hidden="1" x14ac:dyDescent="0.25">
      <c r="A2112" s="1" t="s">
        <v>4984</v>
      </c>
      <c r="B2112" s="1" t="s">
        <v>4985</v>
      </c>
      <c r="C2112" s="1" t="s">
        <v>4986</v>
      </c>
      <c r="D2112" s="14" t="s">
        <v>5531</v>
      </c>
    </row>
    <row r="2113" spans="1:4" hidden="1" x14ac:dyDescent="0.25">
      <c r="A2113" s="1" t="s">
        <v>4987</v>
      </c>
      <c r="B2113" s="1" t="s">
        <v>4988</v>
      </c>
      <c r="C2113" s="1" t="s">
        <v>4989</v>
      </c>
      <c r="D2113" s="14" t="s">
        <v>5531</v>
      </c>
    </row>
    <row r="2114" spans="1:4" hidden="1" x14ac:dyDescent="0.25">
      <c r="A2114" s="1" t="s">
        <v>4990</v>
      </c>
      <c r="B2114" s="1" t="s">
        <v>4991</v>
      </c>
      <c r="C2114" s="1" t="s">
        <v>4992</v>
      </c>
      <c r="D2114" s="14" t="s">
        <v>5531</v>
      </c>
    </row>
    <row r="2115" spans="1:4" hidden="1" x14ac:dyDescent="0.25">
      <c r="A2115" s="1" t="s">
        <v>4993</v>
      </c>
      <c r="B2115" s="1" t="s">
        <v>4994</v>
      </c>
      <c r="C2115" s="1" t="s">
        <v>4995</v>
      </c>
      <c r="D2115" s="14" t="s">
        <v>5531</v>
      </c>
    </row>
    <row r="2116" spans="1:4" hidden="1" x14ac:dyDescent="0.25">
      <c r="A2116" s="1" t="s">
        <v>4996</v>
      </c>
      <c r="B2116" s="1" t="s">
        <v>4997</v>
      </c>
      <c r="C2116" s="1" t="s">
        <v>4998</v>
      </c>
      <c r="D2116" s="14" t="s">
        <v>5531</v>
      </c>
    </row>
    <row r="2117" spans="1:4" hidden="1" x14ac:dyDescent="0.25">
      <c r="A2117" s="1" t="s">
        <v>4999</v>
      </c>
      <c r="B2117" s="1" t="s">
        <v>5000</v>
      </c>
      <c r="C2117" s="1" t="s">
        <v>5001</v>
      </c>
      <c r="D2117" s="14" t="s">
        <v>5531</v>
      </c>
    </row>
    <row r="2118" spans="1:4" hidden="1" x14ac:dyDescent="0.25">
      <c r="A2118" s="1" t="s">
        <v>5002</v>
      </c>
      <c r="B2118" s="1" t="s">
        <v>5003</v>
      </c>
      <c r="C2118" s="1" t="s">
        <v>5004</v>
      </c>
      <c r="D2118" s="14" t="s">
        <v>5531</v>
      </c>
    </row>
    <row r="2119" spans="1:4" hidden="1" x14ac:dyDescent="0.25">
      <c r="A2119" s="1" t="s">
        <v>5005</v>
      </c>
      <c r="B2119" s="1" t="s">
        <v>5006</v>
      </c>
      <c r="C2119" s="1" t="s">
        <v>5007</v>
      </c>
      <c r="D2119" s="14" t="s">
        <v>5531</v>
      </c>
    </row>
    <row r="2120" spans="1:4" hidden="1" x14ac:dyDescent="0.25">
      <c r="A2120" s="1" t="s">
        <v>5008</v>
      </c>
      <c r="B2120" s="1" t="s">
        <v>5009</v>
      </c>
      <c r="C2120" s="1" t="s">
        <v>4905</v>
      </c>
      <c r="D2120" s="14" t="s">
        <v>5531</v>
      </c>
    </row>
    <row r="2121" spans="1:4" hidden="1" x14ac:dyDescent="0.25">
      <c r="A2121" s="1" t="s">
        <v>5010</v>
      </c>
      <c r="B2121" s="1" t="s">
        <v>5011</v>
      </c>
      <c r="C2121" s="1" t="s">
        <v>4908</v>
      </c>
      <c r="D2121" s="14" t="s">
        <v>5531</v>
      </c>
    </row>
    <row r="2122" spans="1:4" hidden="1" x14ac:dyDescent="0.25">
      <c r="A2122" s="1" t="s">
        <v>5012</v>
      </c>
      <c r="B2122" s="1" t="s">
        <v>5013</v>
      </c>
      <c r="C2122" s="1" t="s">
        <v>4911</v>
      </c>
      <c r="D2122" s="14" t="s">
        <v>5531</v>
      </c>
    </row>
    <row r="2123" spans="1:4" hidden="1" x14ac:dyDescent="0.25">
      <c r="A2123" s="1" t="s">
        <v>5014</v>
      </c>
      <c r="B2123" s="1" t="s">
        <v>5015</v>
      </c>
      <c r="C2123" s="1" t="s">
        <v>4914</v>
      </c>
      <c r="D2123" s="14" t="s">
        <v>5531</v>
      </c>
    </row>
    <row r="2124" spans="1:4" hidden="1" x14ac:dyDescent="0.25">
      <c r="A2124" s="1" t="s">
        <v>5016</v>
      </c>
      <c r="B2124" s="1" t="s">
        <v>5017</v>
      </c>
      <c r="C2124" s="1" t="s">
        <v>4917</v>
      </c>
      <c r="D2124" s="14" t="s">
        <v>5531</v>
      </c>
    </row>
    <row r="2125" spans="1:4" hidden="1" x14ac:dyDescent="0.25">
      <c r="A2125" s="1" t="s">
        <v>5018</v>
      </c>
      <c r="B2125" s="1" t="s">
        <v>5019</v>
      </c>
      <c r="C2125" s="1" t="s">
        <v>4920</v>
      </c>
      <c r="D2125" s="14" t="s">
        <v>5531</v>
      </c>
    </row>
    <row r="2126" spans="1:4" hidden="1" x14ac:dyDescent="0.25">
      <c r="A2126" s="1" t="s">
        <v>5020</v>
      </c>
      <c r="B2126" s="1" t="s">
        <v>5021</v>
      </c>
      <c r="C2126" s="1" t="s">
        <v>4923</v>
      </c>
      <c r="D2126" s="14" t="s">
        <v>5531</v>
      </c>
    </row>
    <row r="2127" spans="1:4" hidden="1" x14ac:dyDescent="0.25">
      <c r="A2127" s="1" t="s">
        <v>5022</v>
      </c>
      <c r="B2127" s="1" t="s">
        <v>5023</v>
      </c>
      <c r="C2127" s="1" t="s">
        <v>4926</v>
      </c>
      <c r="D2127" s="14" t="s">
        <v>5531</v>
      </c>
    </row>
    <row r="2128" spans="1:4" hidden="1" x14ac:dyDescent="0.25">
      <c r="A2128" s="1" t="s">
        <v>5024</v>
      </c>
      <c r="B2128" s="1" t="s">
        <v>5025</v>
      </c>
      <c r="C2128" s="1" t="s">
        <v>4929</v>
      </c>
      <c r="D2128" s="14" t="s">
        <v>5531</v>
      </c>
    </row>
    <row r="2129" spans="1:4" hidden="1" x14ac:dyDescent="0.25">
      <c r="A2129" s="1" t="s">
        <v>5026</v>
      </c>
      <c r="B2129" s="1" t="s">
        <v>5027</v>
      </c>
      <c r="C2129" s="1" t="s">
        <v>4932</v>
      </c>
      <c r="D2129" s="14" t="s">
        <v>5531</v>
      </c>
    </row>
    <row r="2130" spans="1:4" hidden="1" x14ac:dyDescent="0.25">
      <c r="A2130" s="1" t="s">
        <v>5028</v>
      </c>
      <c r="B2130" s="1" t="s">
        <v>5029</v>
      </c>
      <c r="C2130" s="1" t="s">
        <v>4935</v>
      </c>
      <c r="D2130" s="14" t="s">
        <v>5531</v>
      </c>
    </row>
    <row r="2131" spans="1:4" hidden="1" x14ac:dyDescent="0.25">
      <c r="A2131" s="1" t="s">
        <v>5030</v>
      </c>
      <c r="B2131" s="1" t="s">
        <v>5031</v>
      </c>
      <c r="C2131" s="1" t="s">
        <v>4938</v>
      </c>
      <c r="D2131" s="14" t="s">
        <v>5531</v>
      </c>
    </row>
    <row r="2132" spans="1:4" hidden="1" x14ac:dyDescent="0.25">
      <c r="A2132" s="1" t="s">
        <v>5032</v>
      </c>
      <c r="B2132" s="1" t="s">
        <v>5033</v>
      </c>
      <c r="C2132" s="1" t="s">
        <v>4941</v>
      </c>
      <c r="D2132" s="14" t="s">
        <v>5531</v>
      </c>
    </row>
    <row r="2133" spans="1:4" hidden="1" x14ac:dyDescent="0.25">
      <c r="A2133" s="1" t="s">
        <v>5034</v>
      </c>
      <c r="B2133" s="1" t="s">
        <v>5035</v>
      </c>
      <c r="C2133" s="1" t="s">
        <v>4944</v>
      </c>
      <c r="D2133" s="14" t="s">
        <v>5531</v>
      </c>
    </row>
    <row r="2134" spans="1:4" hidden="1" x14ac:dyDescent="0.25">
      <c r="A2134" s="1" t="s">
        <v>5036</v>
      </c>
      <c r="B2134" s="1" t="s">
        <v>5037</v>
      </c>
      <c r="C2134" s="1" t="s">
        <v>4947</v>
      </c>
      <c r="D2134" s="14" t="s">
        <v>5531</v>
      </c>
    </row>
    <row r="2135" spans="1:4" hidden="1" x14ac:dyDescent="0.25">
      <c r="A2135" s="1" t="s">
        <v>5038</v>
      </c>
      <c r="B2135" s="1" t="s">
        <v>5039</v>
      </c>
      <c r="C2135" s="1" t="s">
        <v>4950</v>
      </c>
      <c r="D2135" s="14" t="s">
        <v>5531</v>
      </c>
    </row>
    <row r="2136" spans="1:4" hidden="1" x14ac:dyDescent="0.25">
      <c r="A2136" s="1" t="s">
        <v>5040</v>
      </c>
      <c r="B2136" s="1" t="s">
        <v>5041</v>
      </c>
      <c r="C2136" s="1" t="s">
        <v>4953</v>
      </c>
      <c r="D2136" s="14" t="s">
        <v>5531</v>
      </c>
    </row>
    <row r="2137" spans="1:4" hidden="1" x14ac:dyDescent="0.25">
      <c r="A2137" s="1" t="s">
        <v>5042</v>
      </c>
      <c r="B2137" s="1" t="s">
        <v>5043</v>
      </c>
      <c r="C2137" s="1" t="s">
        <v>4956</v>
      </c>
      <c r="D2137" s="14" t="s">
        <v>5531</v>
      </c>
    </row>
    <row r="2138" spans="1:4" hidden="1" x14ac:dyDescent="0.25">
      <c r="A2138" s="1" t="s">
        <v>5044</v>
      </c>
      <c r="B2138" s="1" t="s">
        <v>5045</v>
      </c>
      <c r="C2138" s="1" t="s">
        <v>4959</v>
      </c>
      <c r="D2138" s="14" t="s">
        <v>5531</v>
      </c>
    </row>
    <row r="2139" spans="1:4" hidden="1" x14ac:dyDescent="0.25">
      <c r="A2139" s="1" t="s">
        <v>5046</v>
      </c>
      <c r="B2139" s="1" t="s">
        <v>5047</v>
      </c>
      <c r="C2139" s="1" t="s">
        <v>4962</v>
      </c>
      <c r="D2139" s="14" t="s">
        <v>5531</v>
      </c>
    </row>
    <row r="2140" spans="1:4" hidden="1" x14ac:dyDescent="0.25">
      <c r="A2140" s="1" t="s">
        <v>5048</v>
      </c>
      <c r="B2140" s="1" t="s">
        <v>5049</v>
      </c>
      <c r="C2140" s="1" t="s">
        <v>4965</v>
      </c>
      <c r="D2140" s="14" t="s">
        <v>5531</v>
      </c>
    </row>
    <row r="2141" spans="1:4" hidden="1" x14ac:dyDescent="0.25">
      <c r="A2141" s="1" t="s">
        <v>5050</v>
      </c>
      <c r="B2141" s="1" t="s">
        <v>5051</v>
      </c>
      <c r="C2141" s="1" t="s">
        <v>4968</v>
      </c>
      <c r="D2141" s="14" t="s">
        <v>5531</v>
      </c>
    </row>
    <row r="2142" spans="1:4" hidden="1" x14ac:dyDescent="0.25">
      <c r="A2142" s="1" t="s">
        <v>5052</v>
      </c>
      <c r="B2142" s="1" t="s">
        <v>5053</v>
      </c>
      <c r="C2142" s="1" t="s">
        <v>4971</v>
      </c>
      <c r="D2142" s="14" t="s">
        <v>5531</v>
      </c>
    </row>
    <row r="2143" spans="1:4" hidden="1" x14ac:dyDescent="0.25">
      <c r="A2143" s="1" t="s">
        <v>5054</v>
      </c>
      <c r="B2143" s="1" t="s">
        <v>5055</v>
      </c>
      <c r="C2143" s="1" t="s">
        <v>4974</v>
      </c>
      <c r="D2143" s="14" t="s">
        <v>5531</v>
      </c>
    </row>
    <row r="2144" spans="1:4" hidden="1" x14ac:dyDescent="0.25">
      <c r="A2144" s="1" t="s">
        <v>5056</v>
      </c>
      <c r="B2144" s="1" t="s">
        <v>5057</v>
      </c>
      <c r="C2144" s="1" t="s">
        <v>4977</v>
      </c>
      <c r="D2144" s="14" t="s">
        <v>5531</v>
      </c>
    </row>
    <row r="2145" spans="1:4" hidden="1" x14ac:dyDescent="0.25">
      <c r="A2145" s="1" t="s">
        <v>5058</v>
      </c>
      <c r="B2145" s="1" t="s">
        <v>5059</v>
      </c>
      <c r="C2145" s="1" t="s">
        <v>4980</v>
      </c>
      <c r="D2145" s="14" t="s">
        <v>5531</v>
      </c>
    </row>
    <row r="2146" spans="1:4" hidden="1" x14ac:dyDescent="0.25">
      <c r="A2146" s="1" t="s">
        <v>5060</v>
      </c>
      <c r="B2146" s="1" t="s">
        <v>5061</v>
      </c>
      <c r="C2146" s="1" t="s">
        <v>4983</v>
      </c>
      <c r="D2146" s="14" t="s">
        <v>5531</v>
      </c>
    </row>
    <row r="2147" spans="1:4" hidden="1" x14ac:dyDescent="0.25">
      <c r="A2147" s="1" t="s">
        <v>5062</v>
      </c>
      <c r="B2147" s="1" t="s">
        <v>5063</v>
      </c>
      <c r="C2147" s="1" t="s">
        <v>4986</v>
      </c>
      <c r="D2147" s="14" t="s">
        <v>5531</v>
      </c>
    </row>
    <row r="2148" spans="1:4" hidden="1" x14ac:dyDescent="0.25">
      <c r="A2148" s="1" t="s">
        <v>5064</v>
      </c>
      <c r="B2148" s="1" t="s">
        <v>5065</v>
      </c>
      <c r="C2148" s="1" t="s">
        <v>4989</v>
      </c>
      <c r="D2148" s="14" t="s">
        <v>5531</v>
      </c>
    </row>
    <row r="2149" spans="1:4" hidden="1" x14ac:dyDescent="0.25">
      <c r="A2149" s="1" t="s">
        <v>5066</v>
      </c>
      <c r="B2149" s="1" t="s">
        <v>5067</v>
      </c>
      <c r="C2149" s="1" t="s">
        <v>4992</v>
      </c>
      <c r="D2149" s="14" t="s">
        <v>5531</v>
      </c>
    </row>
    <row r="2150" spans="1:4" hidden="1" x14ac:dyDescent="0.25">
      <c r="A2150" s="1" t="s">
        <v>5068</v>
      </c>
      <c r="B2150" s="1" t="s">
        <v>5069</v>
      </c>
      <c r="C2150" s="1" t="s">
        <v>4995</v>
      </c>
      <c r="D2150" s="14" t="s">
        <v>5531</v>
      </c>
    </row>
    <row r="2151" spans="1:4" hidden="1" x14ac:dyDescent="0.25">
      <c r="A2151" s="1" t="s">
        <v>5070</v>
      </c>
      <c r="B2151" s="1" t="s">
        <v>5071</v>
      </c>
      <c r="C2151" s="1" t="s">
        <v>4998</v>
      </c>
      <c r="D2151" s="14" t="s">
        <v>5531</v>
      </c>
    </row>
    <row r="2152" spans="1:4" hidden="1" x14ac:dyDescent="0.25">
      <c r="A2152" s="1" t="s">
        <v>5072</v>
      </c>
      <c r="B2152" s="1" t="s">
        <v>5073</v>
      </c>
      <c r="C2152" s="1" t="s">
        <v>5001</v>
      </c>
      <c r="D2152" s="14" t="s">
        <v>5531</v>
      </c>
    </row>
    <row r="2153" spans="1:4" hidden="1" x14ac:dyDescent="0.25">
      <c r="A2153" s="1" t="s">
        <v>5074</v>
      </c>
      <c r="B2153" s="1" t="s">
        <v>5075</v>
      </c>
      <c r="C2153" s="1" t="s">
        <v>5004</v>
      </c>
      <c r="D2153" s="14" t="s">
        <v>5531</v>
      </c>
    </row>
    <row r="2154" spans="1:4" hidden="1" x14ac:dyDescent="0.25">
      <c r="A2154" s="1" t="s">
        <v>5076</v>
      </c>
      <c r="B2154" s="1" t="s">
        <v>5077</v>
      </c>
      <c r="C2154" s="1" t="s">
        <v>5007</v>
      </c>
      <c r="D2154" s="14" t="s">
        <v>5531</v>
      </c>
    </row>
    <row r="2155" spans="1:4" hidden="1" x14ac:dyDescent="0.25">
      <c r="A2155" s="1" t="s">
        <v>5078</v>
      </c>
      <c r="B2155" s="1" t="s">
        <v>5079</v>
      </c>
      <c r="C2155" s="1" t="s">
        <v>5080</v>
      </c>
      <c r="D2155" s="14" t="s">
        <v>5531</v>
      </c>
    </row>
    <row r="2156" spans="1:4" hidden="1" x14ac:dyDescent="0.25">
      <c r="A2156" s="1" t="s">
        <v>5081</v>
      </c>
      <c r="B2156" s="1" t="s">
        <v>5082</v>
      </c>
      <c r="C2156" s="1" t="s">
        <v>5083</v>
      </c>
      <c r="D2156" s="14" t="s">
        <v>5531</v>
      </c>
    </row>
    <row r="2157" spans="1:4" hidden="1" x14ac:dyDescent="0.25">
      <c r="A2157" s="1" t="s">
        <v>5084</v>
      </c>
      <c r="B2157" s="1" t="s">
        <v>5085</v>
      </c>
      <c r="C2157" s="1" t="s">
        <v>5086</v>
      </c>
      <c r="D2157" s="14" t="s">
        <v>5531</v>
      </c>
    </row>
    <row r="2158" spans="1:4" hidden="1" x14ac:dyDescent="0.25">
      <c r="A2158" s="1" t="s">
        <v>5087</v>
      </c>
      <c r="B2158" s="1" t="s">
        <v>5088</v>
      </c>
      <c r="C2158" s="1" t="s">
        <v>5089</v>
      </c>
      <c r="D2158" s="14" t="s">
        <v>5531</v>
      </c>
    </row>
    <row r="2159" spans="1:4" hidden="1" x14ac:dyDescent="0.25">
      <c r="A2159" s="1" t="s">
        <v>5090</v>
      </c>
      <c r="B2159" s="1" t="s">
        <v>5091</v>
      </c>
      <c r="C2159" s="1" t="s">
        <v>5092</v>
      </c>
      <c r="D2159" s="14" t="s">
        <v>5531</v>
      </c>
    </row>
    <row r="2160" spans="1:4" hidden="1" x14ac:dyDescent="0.25">
      <c r="A2160" s="1" t="s">
        <v>5093</v>
      </c>
      <c r="B2160" s="1" t="s">
        <v>5094</v>
      </c>
      <c r="C2160" s="1" t="s">
        <v>5095</v>
      </c>
      <c r="D2160" s="14" t="s">
        <v>5531</v>
      </c>
    </row>
    <row r="2161" spans="1:4" hidden="1" x14ac:dyDescent="0.25">
      <c r="A2161" s="1" t="s">
        <v>5096</v>
      </c>
      <c r="B2161" s="1" t="s">
        <v>5097</v>
      </c>
      <c r="C2161" s="1" t="s">
        <v>5098</v>
      </c>
      <c r="D2161" s="14" t="s">
        <v>5531</v>
      </c>
    </row>
    <row r="2162" spans="1:4" hidden="1" x14ac:dyDescent="0.25">
      <c r="A2162" s="1" t="s">
        <v>5099</v>
      </c>
      <c r="B2162" s="1" t="s">
        <v>5100</v>
      </c>
      <c r="C2162" s="1" t="s">
        <v>5101</v>
      </c>
      <c r="D2162" s="14" t="s">
        <v>5531</v>
      </c>
    </row>
    <row r="2163" spans="1:4" hidden="1" x14ac:dyDescent="0.25">
      <c r="A2163" s="1" t="s">
        <v>5102</v>
      </c>
      <c r="B2163" s="1" t="s">
        <v>5103</v>
      </c>
      <c r="C2163" s="1" t="s">
        <v>5104</v>
      </c>
      <c r="D2163" s="14" t="s">
        <v>5531</v>
      </c>
    </row>
    <row r="2164" spans="1:4" hidden="1" x14ac:dyDescent="0.25">
      <c r="A2164" s="1" t="s">
        <v>5105</v>
      </c>
      <c r="B2164" s="1" t="s">
        <v>5106</v>
      </c>
      <c r="C2164" s="1" t="s">
        <v>5107</v>
      </c>
      <c r="D2164" s="14" t="s">
        <v>5531</v>
      </c>
    </row>
    <row r="2165" spans="1:4" hidden="1" x14ac:dyDescent="0.25">
      <c r="A2165" s="1" t="s">
        <v>5108</v>
      </c>
      <c r="B2165" s="1" t="s">
        <v>5109</v>
      </c>
      <c r="C2165" s="1" t="s">
        <v>5110</v>
      </c>
      <c r="D2165" s="14" t="s">
        <v>5531</v>
      </c>
    </row>
    <row r="2166" spans="1:4" hidden="1" x14ac:dyDescent="0.25">
      <c r="A2166" s="1" t="s">
        <v>5111</v>
      </c>
      <c r="B2166" s="1" t="s">
        <v>5112</v>
      </c>
      <c r="C2166" s="1" t="s">
        <v>5113</v>
      </c>
      <c r="D2166" s="14" t="s">
        <v>5531</v>
      </c>
    </row>
    <row r="2167" spans="1:4" hidden="1" x14ac:dyDescent="0.25">
      <c r="A2167" s="1" t="s">
        <v>5114</v>
      </c>
      <c r="B2167" s="1" t="s">
        <v>5115</v>
      </c>
      <c r="C2167" s="1" t="s">
        <v>5116</v>
      </c>
      <c r="D2167" s="14" t="s">
        <v>5531</v>
      </c>
    </row>
    <row r="2168" spans="1:4" hidden="1" x14ac:dyDescent="0.25">
      <c r="A2168" s="1" t="s">
        <v>5117</v>
      </c>
      <c r="B2168" s="1" t="s">
        <v>5118</v>
      </c>
      <c r="C2168" s="1" t="s">
        <v>5119</v>
      </c>
      <c r="D2168" s="14" t="s">
        <v>5531</v>
      </c>
    </row>
    <row r="2169" spans="1:4" hidden="1" x14ac:dyDescent="0.25">
      <c r="A2169" s="1" t="s">
        <v>5120</v>
      </c>
      <c r="B2169" s="1" t="s">
        <v>5121</v>
      </c>
      <c r="C2169" s="1" t="s">
        <v>5122</v>
      </c>
      <c r="D2169" s="14" t="s">
        <v>5531</v>
      </c>
    </row>
    <row r="2170" spans="1:4" hidden="1" x14ac:dyDescent="0.25">
      <c r="A2170" s="1" t="s">
        <v>5123</v>
      </c>
      <c r="B2170" s="1" t="s">
        <v>5124</v>
      </c>
      <c r="C2170" s="1" t="s">
        <v>5125</v>
      </c>
      <c r="D2170" s="14" t="s">
        <v>5531</v>
      </c>
    </row>
    <row r="2171" spans="1:4" hidden="1" x14ac:dyDescent="0.25">
      <c r="A2171" s="1" t="s">
        <v>5126</v>
      </c>
      <c r="B2171" s="1" t="s">
        <v>5127</v>
      </c>
      <c r="C2171" s="1" t="s">
        <v>5128</v>
      </c>
      <c r="D2171" s="14" t="s">
        <v>5531</v>
      </c>
    </row>
    <row r="2172" spans="1:4" hidden="1" x14ac:dyDescent="0.25">
      <c r="A2172" s="1" t="s">
        <v>5129</v>
      </c>
      <c r="B2172" s="1" t="s">
        <v>5130</v>
      </c>
      <c r="C2172" s="1" t="s">
        <v>5131</v>
      </c>
      <c r="D2172" s="14" t="s">
        <v>5531</v>
      </c>
    </row>
    <row r="2173" spans="1:4" hidden="1" x14ac:dyDescent="0.25">
      <c r="A2173" s="1" t="s">
        <v>5132</v>
      </c>
      <c r="B2173" s="1" t="s">
        <v>5133</v>
      </c>
      <c r="C2173" s="1" t="s">
        <v>5134</v>
      </c>
      <c r="D2173" s="14" t="s">
        <v>5531</v>
      </c>
    </row>
    <row r="2174" spans="1:4" hidden="1" x14ac:dyDescent="0.25">
      <c r="A2174" s="1" t="s">
        <v>5135</v>
      </c>
      <c r="B2174" s="1" t="s">
        <v>5136</v>
      </c>
      <c r="C2174" s="1" t="s">
        <v>5137</v>
      </c>
      <c r="D2174" s="14" t="s">
        <v>5531</v>
      </c>
    </row>
    <row r="2175" spans="1:4" hidden="1" x14ac:dyDescent="0.25">
      <c r="A2175" s="1" t="s">
        <v>5138</v>
      </c>
      <c r="B2175" s="1" t="s">
        <v>5139</v>
      </c>
      <c r="C2175" s="1" t="s">
        <v>5140</v>
      </c>
      <c r="D2175" s="14" t="s">
        <v>5531</v>
      </c>
    </row>
    <row r="2176" spans="1:4" hidden="1" x14ac:dyDescent="0.25">
      <c r="A2176" s="1" t="s">
        <v>5141</v>
      </c>
      <c r="B2176" s="1" t="s">
        <v>5142</v>
      </c>
      <c r="C2176" s="1" t="s">
        <v>5143</v>
      </c>
      <c r="D2176" s="14" t="s">
        <v>5531</v>
      </c>
    </row>
    <row r="2177" spans="1:4" hidden="1" x14ac:dyDescent="0.25">
      <c r="A2177" s="1" t="s">
        <v>5144</v>
      </c>
      <c r="B2177" s="1" t="s">
        <v>5145</v>
      </c>
      <c r="C2177" s="1" t="s">
        <v>5146</v>
      </c>
      <c r="D2177" s="14" t="s">
        <v>5531</v>
      </c>
    </row>
    <row r="2178" spans="1:4" hidden="1" x14ac:dyDescent="0.25">
      <c r="A2178" s="1" t="s">
        <v>5147</v>
      </c>
      <c r="B2178" s="1" t="s">
        <v>5148</v>
      </c>
      <c r="C2178" s="1" t="s">
        <v>5149</v>
      </c>
      <c r="D2178" s="14" t="s">
        <v>5531</v>
      </c>
    </row>
    <row r="2179" spans="1:4" hidden="1" x14ac:dyDescent="0.25">
      <c r="A2179" s="1" t="s">
        <v>5150</v>
      </c>
      <c r="B2179" s="1" t="s">
        <v>5151</v>
      </c>
      <c r="C2179" s="1" t="s">
        <v>5152</v>
      </c>
      <c r="D2179" s="14" t="s">
        <v>5531</v>
      </c>
    </row>
    <row r="2180" spans="1:4" hidden="1" x14ac:dyDescent="0.25">
      <c r="A2180" s="1" t="s">
        <v>5153</v>
      </c>
      <c r="B2180" s="1" t="s">
        <v>5154</v>
      </c>
      <c r="C2180" s="1" t="s">
        <v>5155</v>
      </c>
      <c r="D2180" s="14" t="s">
        <v>5531</v>
      </c>
    </row>
    <row r="2181" spans="1:4" hidden="1" x14ac:dyDescent="0.25">
      <c r="A2181" s="1" t="s">
        <v>5156</v>
      </c>
      <c r="B2181" s="1" t="s">
        <v>5157</v>
      </c>
      <c r="C2181" s="1" t="s">
        <v>5158</v>
      </c>
      <c r="D2181" s="14" t="s">
        <v>5531</v>
      </c>
    </row>
    <row r="2182" spans="1:4" hidden="1" x14ac:dyDescent="0.25">
      <c r="A2182" s="1" t="s">
        <v>5159</v>
      </c>
      <c r="B2182" s="1" t="s">
        <v>5160</v>
      </c>
      <c r="C2182" s="1" t="s">
        <v>5161</v>
      </c>
      <c r="D2182" s="14" t="s">
        <v>5531</v>
      </c>
    </row>
    <row r="2183" spans="1:4" hidden="1" x14ac:dyDescent="0.25">
      <c r="A2183" s="1" t="s">
        <v>5162</v>
      </c>
      <c r="B2183" s="1" t="s">
        <v>5163</v>
      </c>
      <c r="C2183" s="1" t="s">
        <v>5164</v>
      </c>
      <c r="D2183" s="14" t="s">
        <v>5531</v>
      </c>
    </row>
    <row r="2184" spans="1:4" hidden="1" x14ac:dyDescent="0.25">
      <c r="A2184" s="1" t="s">
        <v>5165</v>
      </c>
      <c r="B2184" s="1" t="s">
        <v>5166</v>
      </c>
      <c r="C2184" s="1" t="s">
        <v>5167</v>
      </c>
      <c r="D2184" s="14" t="s">
        <v>5531</v>
      </c>
    </row>
    <row r="2185" spans="1:4" hidden="1" x14ac:dyDescent="0.25">
      <c r="A2185" s="1" t="s">
        <v>5168</v>
      </c>
      <c r="B2185" s="1" t="s">
        <v>5169</v>
      </c>
      <c r="C2185" s="1" t="s">
        <v>5170</v>
      </c>
      <c r="D2185" s="14" t="s">
        <v>5531</v>
      </c>
    </row>
    <row r="2186" spans="1:4" hidden="1" x14ac:dyDescent="0.25">
      <c r="A2186" s="1" t="s">
        <v>5171</v>
      </c>
      <c r="B2186" s="1" t="s">
        <v>5172</v>
      </c>
      <c r="C2186" s="1" t="s">
        <v>5173</v>
      </c>
      <c r="D2186" s="14" t="s">
        <v>5531</v>
      </c>
    </row>
    <row r="2187" spans="1:4" hidden="1" x14ac:dyDescent="0.25">
      <c r="A2187" s="1" t="s">
        <v>5174</v>
      </c>
      <c r="B2187" s="1" t="s">
        <v>5175</v>
      </c>
      <c r="C2187" s="1" t="s">
        <v>5176</v>
      </c>
      <c r="D2187" s="14" t="s">
        <v>5531</v>
      </c>
    </row>
    <row r="2188" spans="1:4" hidden="1" x14ac:dyDescent="0.25">
      <c r="A2188" s="1" t="s">
        <v>5177</v>
      </c>
      <c r="B2188" s="1" t="s">
        <v>5178</v>
      </c>
      <c r="C2188" s="1" t="s">
        <v>5179</v>
      </c>
      <c r="D2188" s="14" t="s">
        <v>5531</v>
      </c>
    </row>
    <row r="2189" spans="1:4" hidden="1" x14ac:dyDescent="0.25">
      <c r="A2189" s="1" t="s">
        <v>5180</v>
      </c>
      <c r="B2189" s="1" t="s">
        <v>5181</v>
      </c>
      <c r="C2189" s="1" t="s">
        <v>5182</v>
      </c>
      <c r="D2189" s="14" t="s">
        <v>5531</v>
      </c>
    </row>
    <row r="2190" spans="1:4" hidden="1" x14ac:dyDescent="0.25">
      <c r="A2190" s="1" t="s">
        <v>5183</v>
      </c>
      <c r="B2190" s="1" t="s">
        <v>5184</v>
      </c>
      <c r="C2190" s="1" t="s">
        <v>5080</v>
      </c>
      <c r="D2190" s="14" t="s">
        <v>5531</v>
      </c>
    </row>
    <row r="2191" spans="1:4" hidden="1" x14ac:dyDescent="0.25">
      <c r="A2191" s="1" t="s">
        <v>5185</v>
      </c>
      <c r="B2191" s="1" t="s">
        <v>5186</v>
      </c>
      <c r="C2191" s="1" t="s">
        <v>5083</v>
      </c>
      <c r="D2191" s="14" t="s">
        <v>5531</v>
      </c>
    </row>
    <row r="2192" spans="1:4" hidden="1" x14ac:dyDescent="0.25">
      <c r="A2192" s="1" t="s">
        <v>5187</v>
      </c>
      <c r="B2192" s="1" t="s">
        <v>5188</v>
      </c>
      <c r="C2192" s="1" t="s">
        <v>5086</v>
      </c>
      <c r="D2192" s="14" t="s">
        <v>5531</v>
      </c>
    </row>
    <row r="2193" spans="1:4" hidden="1" x14ac:dyDescent="0.25">
      <c r="A2193" s="1" t="s">
        <v>5189</v>
      </c>
      <c r="B2193" s="1" t="s">
        <v>5190</v>
      </c>
      <c r="C2193" s="1" t="s">
        <v>5089</v>
      </c>
      <c r="D2193" s="14" t="s">
        <v>5531</v>
      </c>
    </row>
    <row r="2194" spans="1:4" hidden="1" x14ac:dyDescent="0.25">
      <c r="A2194" s="1" t="s">
        <v>9020</v>
      </c>
      <c r="B2194" s="1"/>
      <c r="C2194" s="1" t="s">
        <v>9023</v>
      </c>
      <c r="D2194" s="14" t="s">
        <v>5531</v>
      </c>
    </row>
    <row r="2195" spans="1:4" hidden="1" x14ac:dyDescent="0.25">
      <c r="A2195" s="1" t="s">
        <v>9021</v>
      </c>
      <c r="B2195" s="1"/>
      <c r="C2195" s="1" t="s">
        <v>9022</v>
      </c>
      <c r="D2195" s="14" t="s">
        <v>5531</v>
      </c>
    </row>
    <row r="2196" spans="1:4" hidden="1" x14ac:dyDescent="0.25">
      <c r="A2196" s="1" t="s">
        <v>5191</v>
      </c>
      <c r="B2196" s="1" t="s">
        <v>5192</v>
      </c>
      <c r="C2196" s="1" t="s">
        <v>5092</v>
      </c>
      <c r="D2196" s="14" t="s">
        <v>5531</v>
      </c>
    </row>
    <row r="2197" spans="1:4" hidden="1" x14ac:dyDescent="0.25">
      <c r="A2197" s="1" t="s">
        <v>5193</v>
      </c>
      <c r="B2197" s="1" t="s">
        <v>5194</v>
      </c>
      <c r="C2197" s="1" t="s">
        <v>5095</v>
      </c>
      <c r="D2197" s="14" t="s">
        <v>5531</v>
      </c>
    </row>
    <row r="2198" spans="1:4" hidden="1" x14ac:dyDescent="0.25">
      <c r="A2198" s="1" t="s">
        <v>5195</v>
      </c>
      <c r="B2198" s="1" t="s">
        <v>5196</v>
      </c>
      <c r="C2198" s="1" t="s">
        <v>5098</v>
      </c>
      <c r="D2198" s="14" t="s">
        <v>5531</v>
      </c>
    </row>
    <row r="2199" spans="1:4" hidden="1" x14ac:dyDescent="0.25">
      <c r="A2199" s="1" t="s">
        <v>5197</v>
      </c>
      <c r="B2199" s="1" t="s">
        <v>5198</v>
      </c>
      <c r="C2199" s="1" t="s">
        <v>5101</v>
      </c>
      <c r="D2199" s="14" t="s">
        <v>5531</v>
      </c>
    </row>
    <row r="2200" spans="1:4" hidden="1" x14ac:dyDescent="0.25">
      <c r="A2200" s="1" t="s">
        <v>5199</v>
      </c>
      <c r="B2200" s="1" t="s">
        <v>5200</v>
      </c>
      <c r="C2200" s="1" t="s">
        <v>5104</v>
      </c>
      <c r="D2200" s="14" t="s">
        <v>5531</v>
      </c>
    </row>
    <row r="2201" spans="1:4" hidden="1" x14ac:dyDescent="0.25">
      <c r="A2201" s="1" t="s">
        <v>5201</v>
      </c>
      <c r="B2201" s="1" t="s">
        <v>5202</v>
      </c>
      <c r="C2201" s="1" t="s">
        <v>5107</v>
      </c>
      <c r="D2201" s="14" t="s">
        <v>5531</v>
      </c>
    </row>
    <row r="2202" spans="1:4" hidden="1" x14ac:dyDescent="0.25">
      <c r="A2202" s="1" t="s">
        <v>5203</v>
      </c>
      <c r="B2202" s="1" t="s">
        <v>5204</v>
      </c>
      <c r="C2202" s="1" t="s">
        <v>5110</v>
      </c>
      <c r="D2202" s="14" t="s">
        <v>5531</v>
      </c>
    </row>
    <row r="2203" spans="1:4" hidden="1" x14ac:dyDescent="0.25">
      <c r="A2203" s="1" t="s">
        <v>5205</v>
      </c>
      <c r="B2203" s="1" t="s">
        <v>5206</v>
      </c>
      <c r="C2203" s="1" t="s">
        <v>5113</v>
      </c>
      <c r="D2203" s="14" t="s">
        <v>5531</v>
      </c>
    </row>
    <row r="2204" spans="1:4" hidden="1" x14ac:dyDescent="0.25">
      <c r="A2204" s="1" t="s">
        <v>5207</v>
      </c>
      <c r="B2204" s="1" t="s">
        <v>5208</v>
      </c>
      <c r="C2204" s="1" t="s">
        <v>5116</v>
      </c>
      <c r="D2204" s="14" t="s">
        <v>5531</v>
      </c>
    </row>
    <row r="2205" spans="1:4" hidden="1" x14ac:dyDescent="0.25">
      <c r="A2205" s="1" t="s">
        <v>5209</v>
      </c>
      <c r="B2205" s="1" t="s">
        <v>5210</v>
      </c>
      <c r="C2205" s="1" t="s">
        <v>5119</v>
      </c>
      <c r="D2205" s="14" t="s">
        <v>5531</v>
      </c>
    </row>
    <row r="2206" spans="1:4" hidden="1" x14ac:dyDescent="0.25">
      <c r="A2206" s="1" t="s">
        <v>5211</v>
      </c>
      <c r="B2206" s="1" t="s">
        <v>5212</v>
      </c>
      <c r="C2206" s="1" t="s">
        <v>5122</v>
      </c>
      <c r="D2206" s="14" t="s">
        <v>5531</v>
      </c>
    </row>
    <row r="2207" spans="1:4" hidden="1" x14ac:dyDescent="0.25">
      <c r="A2207" s="1" t="s">
        <v>5213</v>
      </c>
      <c r="B2207" s="1" t="s">
        <v>5214</v>
      </c>
      <c r="C2207" s="1" t="s">
        <v>5125</v>
      </c>
      <c r="D2207" s="14" t="s">
        <v>5531</v>
      </c>
    </row>
    <row r="2208" spans="1:4" hidden="1" x14ac:dyDescent="0.25">
      <c r="A2208" s="1" t="s">
        <v>5215</v>
      </c>
      <c r="B2208" s="1" t="s">
        <v>5216</v>
      </c>
      <c r="C2208" s="1" t="s">
        <v>5128</v>
      </c>
      <c r="D2208" s="14" t="s">
        <v>5531</v>
      </c>
    </row>
    <row r="2209" spans="1:4" hidden="1" x14ac:dyDescent="0.25">
      <c r="A2209" s="1" t="s">
        <v>5217</v>
      </c>
      <c r="B2209" s="1" t="s">
        <v>5218</v>
      </c>
      <c r="C2209" s="1" t="s">
        <v>5131</v>
      </c>
      <c r="D2209" s="14" t="s">
        <v>5531</v>
      </c>
    </row>
    <row r="2210" spans="1:4" hidden="1" x14ac:dyDescent="0.25">
      <c r="A2210" s="1" t="s">
        <v>5219</v>
      </c>
      <c r="B2210" s="1" t="s">
        <v>5220</v>
      </c>
      <c r="C2210" s="1" t="s">
        <v>5134</v>
      </c>
      <c r="D2210" s="14" t="s">
        <v>5531</v>
      </c>
    </row>
    <row r="2211" spans="1:4" hidden="1" x14ac:dyDescent="0.25">
      <c r="A2211" s="1" t="s">
        <v>5221</v>
      </c>
      <c r="B2211" s="1" t="s">
        <v>5222</v>
      </c>
      <c r="C2211" s="1" t="s">
        <v>5137</v>
      </c>
      <c r="D2211" s="14" t="s">
        <v>5531</v>
      </c>
    </row>
    <row r="2212" spans="1:4" hidden="1" x14ac:dyDescent="0.25">
      <c r="A2212" s="1" t="s">
        <v>5223</v>
      </c>
      <c r="B2212" s="1" t="s">
        <v>5224</v>
      </c>
      <c r="C2212" s="1" t="s">
        <v>5140</v>
      </c>
      <c r="D2212" s="14" t="s">
        <v>5531</v>
      </c>
    </row>
    <row r="2213" spans="1:4" hidden="1" x14ac:dyDescent="0.25">
      <c r="A2213" s="1" t="s">
        <v>5225</v>
      </c>
      <c r="B2213" s="1" t="s">
        <v>5226</v>
      </c>
      <c r="C2213" s="1" t="s">
        <v>5143</v>
      </c>
      <c r="D2213" s="14" t="s">
        <v>5531</v>
      </c>
    </row>
    <row r="2214" spans="1:4" hidden="1" x14ac:dyDescent="0.25">
      <c r="A2214" s="1" t="s">
        <v>5227</v>
      </c>
      <c r="B2214" s="1" t="s">
        <v>5228</v>
      </c>
      <c r="C2214" s="1" t="s">
        <v>5146</v>
      </c>
      <c r="D2214" s="14" t="s">
        <v>5531</v>
      </c>
    </row>
    <row r="2215" spans="1:4" hidden="1" x14ac:dyDescent="0.25">
      <c r="A2215" s="1" t="s">
        <v>5229</v>
      </c>
      <c r="B2215" s="1" t="s">
        <v>5230</v>
      </c>
      <c r="C2215" s="1" t="s">
        <v>5149</v>
      </c>
      <c r="D2215" s="14" t="s">
        <v>5531</v>
      </c>
    </row>
    <row r="2216" spans="1:4" hidden="1" x14ac:dyDescent="0.25">
      <c r="A2216" s="1" t="s">
        <v>5231</v>
      </c>
      <c r="B2216" s="1" t="s">
        <v>5232</v>
      </c>
      <c r="C2216" s="1" t="s">
        <v>5152</v>
      </c>
      <c r="D2216" s="14" t="s">
        <v>5531</v>
      </c>
    </row>
    <row r="2217" spans="1:4" hidden="1" x14ac:dyDescent="0.25">
      <c r="A2217" s="1" t="s">
        <v>5233</v>
      </c>
      <c r="B2217" s="1" t="s">
        <v>5234</v>
      </c>
      <c r="C2217" s="1" t="s">
        <v>5155</v>
      </c>
      <c r="D2217" s="14" t="s">
        <v>5531</v>
      </c>
    </row>
    <row r="2218" spans="1:4" hidden="1" x14ac:dyDescent="0.25">
      <c r="A2218" s="1" t="s">
        <v>5235</v>
      </c>
      <c r="B2218" s="1" t="s">
        <v>5236</v>
      </c>
      <c r="C2218" s="1" t="s">
        <v>5158</v>
      </c>
      <c r="D2218" s="14" t="s">
        <v>5531</v>
      </c>
    </row>
    <row r="2219" spans="1:4" hidden="1" x14ac:dyDescent="0.25">
      <c r="A2219" s="1" t="s">
        <v>5237</v>
      </c>
      <c r="B2219" s="1" t="s">
        <v>5238</v>
      </c>
      <c r="C2219" s="1" t="s">
        <v>5161</v>
      </c>
      <c r="D2219" s="14" t="s">
        <v>5531</v>
      </c>
    </row>
    <row r="2220" spans="1:4" hidden="1" x14ac:dyDescent="0.25">
      <c r="A2220" s="1" t="s">
        <v>5239</v>
      </c>
      <c r="B2220" s="1" t="s">
        <v>5240</v>
      </c>
      <c r="C2220" s="1" t="s">
        <v>5164</v>
      </c>
      <c r="D2220" s="14" t="s">
        <v>5531</v>
      </c>
    </row>
    <row r="2221" spans="1:4" hidden="1" x14ac:dyDescent="0.25">
      <c r="A2221" s="1" t="s">
        <v>5241</v>
      </c>
      <c r="B2221" s="1" t="s">
        <v>5242</v>
      </c>
      <c r="C2221" s="1" t="s">
        <v>5167</v>
      </c>
      <c r="D2221" s="14" t="s">
        <v>5531</v>
      </c>
    </row>
    <row r="2222" spans="1:4" hidden="1" x14ac:dyDescent="0.25">
      <c r="A2222" s="1" t="s">
        <v>5243</v>
      </c>
      <c r="B2222" s="1" t="s">
        <v>5244</v>
      </c>
      <c r="C2222" s="1" t="s">
        <v>5170</v>
      </c>
      <c r="D2222" s="14" t="s">
        <v>5531</v>
      </c>
    </row>
    <row r="2223" spans="1:4" hidden="1" x14ac:dyDescent="0.25">
      <c r="A2223" s="1" t="s">
        <v>5245</v>
      </c>
      <c r="B2223" s="1" t="s">
        <v>5246</v>
      </c>
      <c r="C2223" s="1" t="s">
        <v>5173</v>
      </c>
      <c r="D2223" s="14" t="s">
        <v>5531</v>
      </c>
    </row>
    <row r="2224" spans="1:4" hidden="1" x14ac:dyDescent="0.25">
      <c r="A2224" s="1" t="s">
        <v>5247</v>
      </c>
      <c r="B2224" s="1" t="s">
        <v>5248</v>
      </c>
      <c r="C2224" s="1" t="s">
        <v>5176</v>
      </c>
      <c r="D2224" s="14" t="s">
        <v>5531</v>
      </c>
    </row>
    <row r="2225" spans="1:4" hidden="1" x14ac:dyDescent="0.25">
      <c r="A2225" s="1" t="s">
        <v>5249</v>
      </c>
      <c r="B2225" s="1" t="s">
        <v>5250</v>
      </c>
      <c r="C2225" s="1" t="s">
        <v>5179</v>
      </c>
      <c r="D2225" s="14" t="s">
        <v>5531</v>
      </c>
    </row>
    <row r="2226" spans="1:4" hidden="1" x14ac:dyDescent="0.25">
      <c r="A2226" s="1" t="s">
        <v>5251</v>
      </c>
      <c r="B2226" s="1" t="s">
        <v>5252</v>
      </c>
      <c r="C2226" s="1" t="s">
        <v>5182</v>
      </c>
      <c r="D2226" s="14" t="s">
        <v>5531</v>
      </c>
    </row>
    <row r="2227" spans="1:4" hidden="1" x14ac:dyDescent="0.25">
      <c r="A2227" s="3" t="s">
        <v>5266</v>
      </c>
      <c r="B2227" s="1" t="s">
        <v>5257</v>
      </c>
      <c r="C2227" s="2" t="s">
        <v>5254</v>
      </c>
      <c r="D2227" s="14" t="s">
        <v>5524</v>
      </c>
    </row>
    <row r="2228" spans="1:4" hidden="1" x14ac:dyDescent="0.25">
      <c r="A2228" s="3" t="s">
        <v>5267</v>
      </c>
      <c r="B2228" s="1" t="s">
        <v>5258</v>
      </c>
      <c r="C2228" s="2" t="s">
        <v>5255</v>
      </c>
      <c r="D2228" s="14" t="s">
        <v>5524</v>
      </c>
    </row>
    <row r="2229" spans="1:4" hidden="1" x14ac:dyDescent="0.25">
      <c r="A2229" s="3" t="s">
        <v>5268</v>
      </c>
      <c r="B2229" s="1" t="s">
        <v>5259</v>
      </c>
      <c r="C2229" s="2" t="s">
        <v>5256</v>
      </c>
      <c r="D2229" s="14" t="s">
        <v>5524</v>
      </c>
    </row>
    <row r="2230" spans="1:4" hidden="1" x14ac:dyDescent="0.25">
      <c r="A2230" s="3" t="s">
        <v>5269</v>
      </c>
      <c r="B2230" s="1" t="s">
        <v>5260</v>
      </c>
      <c r="C2230" s="2" t="s">
        <v>5254</v>
      </c>
      <c r="D2230" s="14" t="s">
        <v>5524</v>
      </c>
    </row>
    <row r="2231" spans="1:4" hidden="1" x14ac:dyDescent="0.25">
      <c r="A2231" s="3" t="s">
        <v>5270</v>
      </c>
      <c r="B2231" s="1" t="s">
        <v>5261</v>
      </c>
      <c r="C2231" s="2" t="s">
        <v>5255</v>
      </c>
      <c r="D2231" s="14" t="s">
        <v>5524</v>
      </c>
    </row>
    <row r="2232" spans="1:4" hidden="1" x14ac:dyDescent="0.25">
      <c r="A2232" s="3" t="s">
        <v>5271</v>
      </c>
      <c r="B2232" s="1" t="s">
        <v>5262</v>
      </c>
      <c r="C2232" s="2" t="s">
        <v>5256</v>
      </c>
      <c r="D2232" s="14" t="s">
        <v>5524</v>
      </c>
    </row>
    <row r="2233" spans="1:4" hidden="1" x14ac:dyDescent="0.25">
      <c r="A2233" s="3" t="s">
        <v>5272</v>
      </c>
      <c r="B2233" s="1" t="s">
        <v>5263</v>
      </c>
      <c r="C2233" s="2" t="s">
        <v>5254</v>
      </c>
      <c r="D2233" s="14" t="s">
        <v>5524</v>
      </c>
    </row>
    <row r="2234" spans="1:4" hidden="1" x14ac:dyDescent="0.25">
      <c r="A2234" s="3" t="s">
        <v>5273</v>
      </c>
      <c r="B2234" s="1" t="s">
        <v>5264</v>
      </c>
      <c r="C2234" s="2" t="s">
        <v>5255</v>
      </c>
      <c r="D2234" s="14" t="s">
        <v>5524</v>
      </c>
    </row>
    <row r="2235" spans="1:4" hidden="1" x14ac:dyDescent="0.25">
      <c r="A2235" s="3" t="s">
        <v>5274</v>
      </c>
      <c r="B2235" s="1" t="s">
        <v>5265</v>
      </c>
      <c r="C2235" s="2" t="s">
        <v>5256</v>
      </c>
      <c r="D2235" s="14" t="s">
        <v>5524</v>
      </c>
    </row>
    <row r="2236" spans="1:4" hidden="1" x14ac:dyDescent="0.25">
      <c r="A2236" s="3" t="s">
        <v>5287</v>
      </c>
      <c r="B2236" s="1" t="s">
        <v>5278</v>
      </c>
      <c r="C2236" s="2" t="s">
        <v>5275</v>
      </c>
      <c r="D2236" s="14" t="s">
        <v>5527</v>
      </c>
    </row>
    <row r="2237" spans="1:4" hidden="1" x14ac:dyDescent="0.25">
      <c r="A2237" s="3" t="s">
        <v>5288</v>
      </c>
      <c r="B2237" s="1" t="s">
        <v>5279</v>
      </c>
      <c r="C2237" s="2" t="s">
        <v>5276</v>
      </c>
      <c r="D2237" s="14" t="s">
        <v>5527</v>
      </c>
    </row>
    <row r="2238" spans="1:4" hidden="1" x14ac:dyDescent="0.25">
      <c r="A2238" s="3" t="s">
        <v>5289</v>
      </c>
      <c r="B2238" s="1" t="s">
        <v>5280</v>
      </c>
      <c r="C2238" s="2" t="s">
        <v>5277</v>
      </c>
      <c r="D2238" s="14" t="s">
        <v>5527</v>
      </c>
    </row>
    <row r="2239" spans="1:4" hidden="1" x14ac:dyDescent="0.25">
      <c r="A2239" s="3" t="s">
        <v>5290</v>
      </c>
      <c r="B2239" s="1" t="s">
        <v>5281</v>
      </c>
      <c r="C2239" s="2" t="s">
        <v>5275</v>
      </c>
      <c r="D2239" s="14" t="s">
        <v>5527</v>
      </c>
    </row>
    <row r="2240" spans="1:4" hidden="1" x14ac:dyDescent="0.25">
      <c r="A2240" s="3" t="s">
        <v>5291</v>
      </c>
      <c r="B2240" s="1" t="s">
        <v>5282</v>
      </c>
      <c r="C2240" s="2" t="s">
        <v>5276</v>
      </c>
      <c r="D2240" s="14" t="s">
        <v>5527</v>
      </c>
    </row>
    <row r="2241" spans="1:4" hidden="1" x14ac:dyDescent="0.25">
      <c r="A2241" s="3" t="s">
        <v>5292</v>
      </c>
      <c r="B2241" s="1" t="s">
        <v>5283</v>
      </c>
      <c r="C2241" s="2" t="s">
        <v>5277</v>
      </c>
      <c r="D2241" s="14" t="s">
        <v>5527</v>
      </c>
    </row>
    <row r="2242" spans="1:4" hidden="1" x14ac:dyDescent="0.25">
      <c r="A2242" s="3" t="s">
        <v>5293</v>
      </c>
      <c r="B2242" s="1" t="s">
        <v>5284</v>
      </c>
      <c r="C2242" s="2" t="s">
        <v>5275</v>
      </c>
      <c r="D2242" s="14" t="s">
        <v>5527</v>
      </c>
    </row>
    <row r="2243" spans="1:4" hidden="1" x14ac:dyDescent="0.25">
      <c r="A2243" s="3" t="s">
        <v>5294</v>
      </c>
      <c r="B2243" s="1" t="s">
        <v>5285</v>
      </c>
      <c r="C2243" s="2" t="s">
        <v>5276</v>
      </c>
      <c r="D2243" s="14" t="s">
        <v>5527</v>
      </c>
    </row>
    <row r="2244" spans="1:4" hidden="1" x14ac:dyDescent="0.25">
      <c r="A2244" s="3" t="s">
        <v>5295</v>
      </c>
      <c r="B2244" s="1" t="s">
        <v>5286</v>
      </c>
      <c r="C2244" s="2" t="s">
        <v>5277</v>
      </c>
      <c r="D2244" s="14" t="s">
        <v>5527</v>
      </c>
    </row>
    <row r="2245" spans="1:4" hidden="1" x14ac:dyDescent="0.25">
      <c r="A2245" s="3" t="s">
        <v>5303</v>
      </c>
      <c r="B2245" s="4" t="s">
        <v>5298</v>
      </c>
      <c r="C2245" s="1" t="s">
        <v>5296</v>
      </c>
      <c r="D2245" s="14" t="s">
        <v>5528</v>
      </c>
    </row>
    <row r="2246" spans="1:4" hidden="1" x14ac:dyDescent="0.25">
      <c r="A2246" s="3" t="s">
        <v>5302</v>
      </c>
      <c r="B2246" s="4" t="s">
        <v>5299</v>
      </c>
      <c r="C2246" s="1" t="s">
        <v>5300</v>
      </c>
      <c r="D2246" s="14" t="s">
        <v>5528</v>
      </c>
    </row>
    <row r="2247" spans="1:4" hidden="1" x14ac:dyDescent="0.25">
      <c r="A2247" s="3" t="s">
        <v>5304</v>
      </c>
      <c r="B2247" s="4" t="s">
        <v>5297</v>
      </c>
      <c r="C2247" s="1" t="s">
        <v>5301</v>
      </c>
      <c r="D2247" s="14" t="s">
        <v>5528</v>
      </c>
    </row>
    <row r="2248" spans="1:4" hidden="1" x14ac:dyDescent="0.25">
      <c r="A2248" s="5" t="s">
        <v>5305</v>
      </c>
      <c r="B2248" s="4" t="s">
        <v>5306</v>
      </c>
      <c r="C2248" s="1" t="s">
        <v>5311</v>
      </c>
      <c r="D2248" s="14" t="s">
        <v>5526</v>
      </c>
    </row>
    <row r="2249" spans="1:4" hidden="1" x14ac:dyDescent="0.25">
      <c r="A2249" s="5" t="s">
        <v>5309</v>
      </c>
      <c r="B2249" s="4" t="s">
        <v>5307</v>
      </c>
      <c r="C2249" s="1" t="s">
        <v>5312</v>
      </c>
      <c r="D2249" s="14" t="s">
        <v>5526</v>
      </c>
    </row>
    <row r="2250" spans="1:4" hidden="1" x14ac:dyDescent="0.25">
      <c r="A2250" s="5" t="s">
        <v>5310</v>
      </c>
      <c r="B2250" s="4" t="s">
        <v>5308</v>
      </c>
      <c r="C2250" s="1" t="s">
        <v>5313</v>
      </c>
      <c r="D2250" s="14" t="s">
        <v>5526</v>
      </c>
    </row>
    <row r="2251" spans="1:4" hidden="1" x14ac:dyDescent="0.25">
      <c r="A2251" s="5" t="s">
        <v>5314</v>
      </c>
      <c r="B2251" s="4" t="s">
        <v>5317</v>
      </c>
      <c r="C2251" s="1" t="s">
        <v>5311</v>
      </c>
      <c r="D2251" s="14" t="s">
        <v>5526</v>
      </c>
    </row>
    <row r="2252" spans="1:4" hidden="1" x14ac:dyDescent="0.25">
      <c r="A2252" s="5" t="s">
        <v>5315</v>
      </c>
      <c r="B2252" s="4" t="s">
        <v>5318</v>
      </c>
      <c r="C2252" s="1" t="s">
        <v>5312</v>
      </c>
      <c r="D2252" s="14" t="s">
        <v>5526</v>
      </c>
    </row>
    <row r="2253" spans="1:4" hidden="1" x14ac:dyDescent="0.25">
      <c r="A2253" s="5" t="s">
        <v>5316</v>
      </c>
      <c r="B2253" s="4" t="s">
        <v>5319</v>
      </c>
      <c r="C2253" s="1" t="s">
        <v>5313</v>
      </c>
      <c r="D2253" s="14" t="s">
        <v>5526</v>
      </c>
    </row>
    <row r="2254" spans="1:4" hidden="1" x14ac:dyDescent="0.25">
      <c r="A2254" s="5" t="s">
        <v>5326</v>
      </c>
      <c r="B2254" s="4" t="s">
        <v>5323</v>
      </c>
      <c r="C2254" s="1" t="s">
        <v>5320</v>
      </c>
      <c r="D2254" s="14" t="s">
        <v>5525</v>
      </c>
    </row>
    <row r="2255" spans="1:4" hidden="1" x14ac:dyDescent="0.25">
      <c r="A2255" s="5" t="s">
        <v>5327</v>
      </c>
      <c r="B2255" s="4" t="s">
        <v>5324</v>
      </c>
      <c r="C2255" s="1" t="s">
        <v>5321</v>
      </c>
      <c r="D2255" s="14" t="s">
        <v>5525</v>
      </c>
    </row>
    <row r="2256" spans="1:4" hidden="1" x14ac:dyDescent="0.25">
      <c r="A2256" s="5" t="s">
        <v>5328</v>
      </c>
      <c r="B2256" s="4" t="s">
        <v>5325</v>
      </c>
      <c r="C2256" s="1" t="s">
        <v>5322</v>
      </c>
      <c r="D2256" s="14" t="s">
        <v>5525</v>
      </c>
    </row>
    <row r="2257" spans="1:4" hidden="1" x14ac:dyDescent="0.25">
      <c r="A2257" s="5" t="s">
        <v>5329</v>
      </c>
      <c r="B2257" s="4" t="s">
        <v>5323</v>
      </c>
      <c r="C2257" s="1" t="s">
        <v>5320</v>
      </c>
      <c r="D2257" s="14" t="s">
        <v>5525</v>
      </c>
    </row>
    <row r="2258" spans="1:4" hidden="1" x14ac:dyDescent="0.25">
      <c r="A2258" s="5" t="s">
        <v>5330</v>
      </c>
      <c r="B2258" s="4" t="s">
        <v>5324</v>
      </c>
      <c r="C2258" s="1" t="s">
        <v>5321</v>
      </c>
      <c r="D2258" s="14" t="s">
        <v>5525</v>
      </c>
    </row>
    <row r="2259" spans="1:4" hidden="1" x14ac:dyDescent="0.25">
      <c r="A2259" s="5" t="s">
        <v>5331</v>
      </c>
      <c r="B2259" s="4" t="s">
        <v>5325</v>
      </c>
      <c r="C2259" s="1" t="s">
        <v>5322</v>
      </c>
      <c r="D2259" s="14" t="s">
        <v>5525</v>
      </c>
    </row>
    <row r="2260" spans="1:4" hidden="1" x14ac:dyDescent="0.25">
      <c r="A2260" s="5" t="s">
        <v>5332</v>
      </c>
      <c r="B2260" s="6" t="s">
        <v>5338</v>
      </c>
      <c r="C2260" s="1" t="s">
        <v>5335</v>
      </c>
      <c r="D2260" s="14" t="s">
        <v>5529</v>
      </c>
    </row>
    <row r="2261" spans="1:4" hidden="1" x14ac:dyDescent="0.25">
      <c r="A2261" s="5" t="s">
        <v>5333</v>
      </c>
      <c r="B2261" s="6" t="s">
        <v>5339</v>
      </c>
      <c r="C2261" s="1" t="s">
        <v>5336</v>
      </c>
      <c r="D2261" s="14" t="s">
        <v>5529</v>
      </c>
    </row>
    <row r="2262" spans="1:4" hidden="1" x14ac:dyDescent="0.25">
      <c r="A2262" s="5" t="s">
        <v>5334</v>
      </c>
      <c r="B2262" s="6" t="s">
        <v>5340</v>
      </c>
      <c r="C2262" s="1" t="s">
        <v>5337</v>
      </c>
      <c r="D2262" s="14" t="s">
        <v>5529</v>
      </c>
    </row>
    <row r="2263" spans="1:4" hidden="1" x14ac:dyDescent="0.25">
      <c r="A2263" s="5" t="s">
        <v>5347</v>
      </c>
      <c r="B2263" s="6" t="s">
        <v>5350</v>
      </c>
      <c r="C2263" s="1" t="s">
        <v>5335</v>
      </c>
      <c r="D2263" s="14" t="s">
        <v>5529</v>
      </c>
    </row>
    <row r="2264" spans="1:4" hidden="1" x14ac:dyDescent="0.25">
      <c r="A2264" s="5" t="s">
        <v>5348</v>
      </c>
      <c r="B2264" s="6" t="s">
        <v>5351</v>
      </c>
      <c r="C2264" s="1" t="s">
        <v>5336</v>
      </c>
      <c r="D2264" s="14" t="s">
        <v>5529</v>
      </c>
    </row>
    <row r="2265" spans="1:4" hidden="1" x14ac:dyDescent="0.25">
      <c r="A2265" s="5" t="s">
        <v>5349</v>
      </c>
      <c r="B2265" s="6" t="s">
        <v>5352</v>
      </c>
      <c r="C2265" s="1" t="s">
        <v>5337</v>
      </c>
      <c r="D2265" s="14" t="s">
        <v>5529</v>
      </c>
    </row>
    <row r="2266" spans="1:4" hidden="1" x14ac:dyDescent="0.25">
      <c r="A2266" s="5" t="s">
        <v>5341</v>
      </c>
      <c r="B2266" s="6" t="s">
        <v>5344</v>
      </c>
      <c r="C2266" s="1" t="s">
        <v>5335</v>
      </c>
      <c r="D2266" s="14" t="s">
        <v>5529</v>
      </c>
    </row>
    <row r="2267" spans="1:4" hidden="1" x14ac:dyDescent="0.25">
      <c r="A2267" s="5" t="s">
        <v>5342</v>
      </c>
      <c r="B2267" s="6" t="s">
        <v>5345</v>
      </c>
      <c r="C2267" s="1" t="s">
        <v>5336</v>
      </c>
      <c r="D2267" s="14" t="s">
        <v>5529</v>
      </c>
    </row>
    <row r="2268" spans="1:4" hidden="1" x14ac:dyDescent="0.25">
      <c r="A2268" s="5" t="s">
        <v>5343</v>
      </c>
      <c r="B2268" s="6" t="s">
        <v>5346</v>
      </c>
      <c r="C2268" s="1" t="s">
        <v>5337</v>
      </c>
      <c r="D2268" s="14" t="s">
        <v>5529</v>
      </c>
    </row>
    <row r="2269" spans="1:4" x14ac:dyDescent="0.25">
      <c r="A2269" s="5" t="s">
        <v>5353</v>
      </c>
      <c r="B2269" s="6" t="s">
        <v>5359</v>
      </c>
      <c r="C2269" s="1" t="s">
        <v>5356</v>
      </c>
      <c r="D2269" s="14" t="s">
        <v>5530</v>
      </c>
    </row>
    <row r="2270" spans="1:4" x14ac:dyDescent="0.25">
      <c r="A2270" s="5" t="s">
        <v>5354</v>
      </c>
      <c r="B2270" s="6" t="s">
        <v>5360</v>
      </c>
      <c r="C2270" s="1" t="s">
        <v>5357</v>
      </c>
      <c r="D2270" s="14" t="s">
        <v>5530</v>
      </c>
    </row>
    <row r="2271" spans="1:4" x14ac:dyDescent="0.25">
      <c r="A2271" s="5" t="s">
        <v>5355</v>
      </c>
      <c r="B2271" s="6" t="s">
        <v>5361</v>
      </c>
      <c r="C2271" s="1" t="s">
        <v>5358</v>
      </c>
      <c r="D2271" s="14" t="s">
        <v>5530</v>
      </c>
    </row>
    <row r="2272" spans="1:4" hidden="1" x14ac:dyDescent="0.25">
      <c r="A2272" s="3" t="s">
        <v>5371</v>
      </c>
      <c r="B2272" s="7" t="s">
        <v>5365</v>
      </c>
      <c r="C2272" s="1" t="s">
        <v>5362</v>
      </c>
      <c r="D2272" s="14" t="s">
        <v>5531</v>
      </c>
    </row>
    <row r="2273" spans="1:4" hidden="1" x14ac:dyDescent="0.25">
      <c r="A2273" s="3" t="s">
        <v>5372</v>
      </c>
      <c r="B2273" s="7" t="s">
        <v>5366</v>
      </c>
      <c r="C2273" s="1" t="s">
        <v>5363</v>
      </c>
      <c r="D2273" s="14" t="s">
        <v>5531</v>
      </c>
    </row>
    <row r="2274" spans="1:4" hidden="1" x14ac:dyDescent="0.25">
      <c r="A2274" s="3" t="s">
        <v>5373</v>
      </c>
      <c r="B2274" s="7" t="s">
        <v>5367</v>
      </c>
      <c r="C2274" s="1" t="s">
        <v>5364</v>
      </c>
      <c r="D2274" s="14" t="s">
        <v>5531</v>
      </c>
    </row>
    <row r="2275" spans="1:4" hidden="1" x14ac:dyDescent="0.25">
      <c r="A2275" s="3" t="s">
        <v>5374</v>
      </c>
      <c r="B2275" s="7" t="s">
        <v>5368</v>
      </c>
      <c r="C2275" s="1" t="s">
        <v>5362</v>
      </c>
      <c r="D2275" s="14" t="s">
        <v>5531</v>
      </c>
    </row>
    <row r="2276" spans="1:4" hidden="1" x14ac:dyDescent="0.25">
      <c r="A2276" s="3" t="s">
        <v>5375</v>
      </c>
      <c r="B2276" s="7" t="s">
        <v>5369</v>
      </c>
      <c r="C2276" s="1" t="s">
        <v>5363</v>
      </c>
      <c r="D2276" s="14" t="s">
        <v>5531</v>
      </c>
    </row>
    <row r="2277" spans="1:4" hidden="1" x14ac:dyDescent="0.25">
      <c r="A2277" s="3" t="s">
        <v>5376</v>
      </c>
      <c r="B2277" s="7" t="s">
        <v>5370</v>
      </c>
      <c r="C2277" s="1" t="s">
        <v>5364</v>
      </c>
      <c r="D2277" s="14" t="s">
        <v>5531</v>
      </c>
    </row>
    <row r="2278" spans="1:4" hidden="1" x14ac:dyDescent="0.25">
      <c r="A2278" s="8" t="s">
        <v>9032</v>
      </c>
      <c r="B2278" s="7"/>
      <c r="C2278" s="1" t="s">
        <v>9035</v>
      </c>
      <c r="D2278" s="14" t="s">
        <v>5532</v>
      </c>
    </row>
    <row r="2279" spans="1:4" hidden="1" x14ac:dyDescent="0.25">
      <c r="A2279" s="8" t="s">
        <v>9033</v>
      </c>
      <c r="B2279" s="7"/>
      <c r="C2279" s="1" t="s">
        <v>9035</v>
      </c>
      <c r="D2279" s="14" t="s">
        <v>5532</v>
      </c>
    </row>
    <row r="2280" spans="1:4" hidden="1" x14ac:dyDescent="0.25">
      <c r="A2280" s="10" t="s">
        <v>5378</v>
      </c>
      <c r="B2280" s="3"/>
      <c r="C2280" s="1" t="s">
        <v>5432</v>
      </c>
      <c r="D2280" s="14" t="s">
        <v>5532</v>
      </c>
    </row>
    <row r="2281" spans="1:4" hidden="1" x14ac:dyDescent="0.25">
      <c r="A2281" s="10" t="s">
        <v>5379</v>
      </c>
      <c r="B2281" s="3"/>
      <c r="C2281" s="1" t="s">
        <v>5433</v>
      </c>
      <c r="D2281" s="14" t="s">
        <v>5532</v>
      </c>
    </row>
    <row r="2282" spans="1:4" hidden="1" x14ac:dyDescent="0.25">
      <c r="A2282" s="10" t="s">
        <v>5380</v>
      </c>
      <c r="B2282" s="3"/>
      <c r="C2282" s="1" t="s">
        <v>5434</v>
      </c>
      <c r="D2282" s="14" t="s">
        <v>5532</v>
      </c>
    </row>
    <row r="2283" spans="1:4" hidden="1" x14ac:dyDescent="0.25">
      <c r="A2283" s="10" t="s">
        <v>5381</v>
      </c>
      <c r="B2283" s="3"/>
      <c r="C2283" s="1" t="s">
        <v>5435</v>
      </c>
      <c r="D2283" s="14" t="s">
        <v>5532</v>
      </c>
    </row>
    <row r="2284" spans="1:4" hidden="1" x14ac:dyDescent="0.25">
      <c r="A2284" s="10" t="s">
        <v>5382</v>
      </c>
      <c r="B2284" s="3"/>
      <c r="C2284" s="1" t="s">
        <v>5436</v>
      </c>
      <c r="D2284" s="14" t="s">
        <v>5532</v>
      </c>
    </row>
    <row r="2285" spans="1:4" hidden="1" x14ac:dyDescent="0.25">
      <c r="A2285" s="10" t="s">
        <v>5383</v>
      </c>
      <c r="B2285" s="3"/>
      <c r="C2285" s="1" t="s">
        <v>5437</v>
      </c>
      <c r="D2285" s="14" t="s">
        <v>5532</v>
      </c>
    </row>
    <row r="2286" spans="1:4" hidden="1" x14ac:dyDescent="0.25">
      <c r="A2286" s="10" t="s">
        <v>5384</v>
      </c>
      <c r="B2286" s="3"/>
      <c r="C2286" s="1" t="s">
        <v>5438</v>
      </c>
      <c r="D2286" s="14" t="s">
        <v>5532</v>
      </c>
    </row>
    <row r="2287" spans="1:4" hidden="1" x14ac:dyDescent="0.25">
      <c r="A2287" s="10" t="s">
        <v>5385</v>
      </c>
      <c r="B2287" s="3"/>
      <c r="C2287" s="1" t="s">
        <v>5439</v>
      </c>
      <c r="D2287" s="14" t="s">
        <v>5532</v>
      </c>
    </row>
    <row r="2288" spans="1:4" hidden="1" x14ac:dyDescent="0.25">
      <c r="A2288" s="10" t="s">
        <v>5386</v>
      </c>
      <c r="B2288" s="3"/>
      <c r="C2288" s="1" t="s">
        <v>5440</v>
      </c>
      <c r="D2288" s="14" t="s">
        <v>5532</v>
      </c>
    </row>
    <row r="2289" spans="1:4" hidden="1" x14ac:dyDescent="0.25">
      <c r="A2289" s="10" t="s">
        <v>5387</v>
      </c>
      <c r="B2289" s="3"/>
      <c r="C2289" s="1" t="s">
        <v>5441</v>
      </c>
      <c r="D2289" s="14" t="s">
        <v>5532</v>
      </c>
    </row>
    <row r="2290" spans="1:4" hidden="1" x14ac:dyDescent="0.25">
      <c r="A2290" s="10" t="s">
        <v>5388</v>
      </c>
      <c r="B2290" s="3"/>
      <c r="C2290" s="1" t="s">
        <v>5442</v>
      </c>
      <c r="D2290" s="14" t="s">
        <v>5532</v>
      </c>
    </row>
    <row r="2291" spans="1:4" hidden="1" x14ac:dyDescent="0.25">
      <c r="A2291" s="10" t="s">
        <v>5389</v>
      </c>
      <c r="B2291" s="3"/>
      <c r="C2291" s="1" t="s">
        <v>5443</v>
      </c>
      <c r="D2291" s="14" t="s">
        <v>5532</v>
      </c>
    </row>
    <row r="2292" spans="1:4" hidden="1" x14ac:dyDescent="0.25">
      <c r="A2292" s="10" t="s">
        <v>5390</v>
      </c>
      <c r="B2292" s="3"/>
      <c r="C2292" s="1" t="s">
        <v>5444</v>
      </c>
      <c r="D2292" s="14" t="s">
        <v>5532</v>
      </c>
    </row>
    <row r="2293" spans="1:4" hidden="1" x14ac:dyDescent="0.25">
      <c r="A2293" s="10" t="s">
        <v>5391</v>
      </c>
      <c r="B2293" s="3"/>
      <c r="C2293" s="1" t="s">
        <v>5445</v>
      </c>
      <c r="D2293" s="14" t="s">
        <v>5532</v>
      </c>
    </row>
    <row r="2294" spans="1:4" hidden="1" x14ac:dyDescent="0.25">
      <c r="A2294" s="10" t="s">
        <v>5392</v>
      </c>
      <c r="B2294" s="3"/>
      <c r="C2294" s="1" t="s">
        <v>5446</v>
      </c>
      <c r="D2294" s="14" t="s">
        <v>5532</v>
      </c>
    </row>
    <row r="2295" spans="1:4" hidden="1" x14ac:dyDescent="0.25">
      <c r="A2295" s="10" t="s">
        <v>5393</v>
      </c>
      <c r="B2295" s="3"/>
      <c r="C2295" s="1" t="s">
        <v>5447</v>
      </c>
      <c r="D2295" s="14" t="s">
        <v>5532</v>
      </c>
    </row>
    <row r="2296" spans="1:4" hidden="1" x14ac:dyDescent="0.25">
      <c r="A2296" s="10" t="s">
        <v>5394</v>
      </c>
      <c r="B2296" s="3"/>
      <c r="C2296" s="1" t="s">
        <v>5448</v>
      </c>
      <c r="D2296" s="14" t="s">
        <v>5532</v>
      </c>
    </row>
    <row r="2297" spans="1:4" hidden="1" x14ac:dyDescent="0.25">
      <c r="A2297" s="10" t="s">
        <v>5395</v>
      </c>
      <c r="B2297" s="3"/>
      <c r="C2297" s="1" t="s">
        <v>5449</v>
      </c>
      <c r="D2297" s="14" t="s">
        <v>5532</v>
      </c>
    </row>
    <row r="2298" spans="1:4" hidden="1" x14ac:dyDescent="0.25">
      <c r="A2298" s="10" t="s">
        <v>5396</v>
      </c>
      <c r="B2298" s="3"/>
      <c r="C2298" s="1" t="s">
        <v>5450</v>
      </c>
      <c r="D2298" s="14" t="s">
        <v>5532</v>
      </c>
    </row>
    <row r="2299" spans="1:4" hidden="1" x14ac:dyDescent="0.25">
      <c r="A2299" s="10" t="s">
        <v>5397</v>
      </c>
      <c r="B2299" s="3"/>
      <c r="C2299" s="1" t="s">
        <v>5451</v>
      </c>
      <c r="D2299" s="14" t="s">
        <v>5532</v>
      </c>
    </row>
    <row r="2300" spans="1:4" hidden="1" x14ac:dyDescent="0.25">
      <c r="A2300" s="10" t="s">
        <v>5398</v>
      </c>
      <c r="B2300" s="3"/>
      <c r="C2300" s="1" t="s">
        <v>5452</v>
      </c>
      <c r="D2300" s="14" t="s">
        <v>5532</v>
      </c>
    </row>
    <row r="2301" spans="1:4" hidden="1" x14ac:dyDescent="0.25">
      <c r="A2301" s="10" t="s">
        <v>5399</v>
      </c>
      <c r="B2301" s="3"/>
      <c r="C2301" s="1" t="s">
        <v>5453</v>
      </c>
      <c r="D2301" s="14" t="s">
        <v>5532</v>
      </c>
    </row>
    <row r="2302" spans="1:4" hidden="1" x14ac:dyDescent="0.25">
      <c r="A2302" s="10" t="s">
        <v>5400</v>
      </c>
      <c r="B2302" s="3"/>
      <c r="C2302" s="1" t="s">
        <v>5454</v>
      </c>
      <c r="D2302" s="14" t="s">
        <v>5532</v>
      </c>
    </row>
    <row r="2303" spans="1:4" hidden="1" x14ac:dyDescent="0.25">
      <c r="A2303" s="10" t="s">
        <v>5401</v>
      </c>
      <c r="B2303" s="3"/>
      <c r="C2303" s="1" t="s">
        <v>5455</v>
      </c>
      <c r="D2303" s="14" t="s">
        <v>5532</v>
      </c>
    </row>
    <row r="2304" spans="1:4" hidden="1" x14ac:dyDescent="0.25">
      <c r="A2304" s="10" t="s">
        <v>5402</v>
      </c>
      <c r="B2304" s="3"/>
      <c r="C2304" s="1" t="s">
        <v>5456</v>
      </c>
      <c r="D2304" s="14" t="s">
        <v>5532</v>
      </c>
    </row>
    <row r="2305" spans="1:4" hidden="1" x14ac:dyDescent="0.25">
      <c r="A2305" s="10" t="s">
        <v>5403</v>
      </c>
      <c r="B2305" s="3"/>
      <c r="C2305" s="1" t="s">
        <v>5457</v>
      </c>
      <c r="D2305" s="14" t="s">
        <v>5532</v>
      </c>
    </row>
    <row r="2306" spans="1:4" hidden="1" x14ac:dyDescent="0.25">
      <c r="A2306" s="10" t="s">
        <v>5404</v>
      </c>
      <c r="B2306" s="3"/>
      <c r="C2306" s="1" t="s">
        <v>5458</v>
      </c>
      <c r="D2306" s="14" t="s">
        <v>5532</v>
      </c>
    </row>
    <row r="2307" spans="1:4" hidden="1" x14ac:dyDescent="0.25">
      <c r="A2307" s="10" t="s">
        <v>5405</v>
      </c>
      <c r="B2307" s="3"/>
      <c r="C2307" s="1" t="s">
        <v>5459</v>
      </c>
      <c r="D2307" s="14" t="s">
        <v>5532</v>
      </c>
    </row>
    <row r="2308" spans="1:4" hidden="1" x14ac:dyDescent="0.25">
      <c r="A2308" s="10" t="s">
        <v>5406</v>
      </c>
      <c r="B2308" s="3"/>
      <c r="C2308" s="1" t="s">
        <v>5460</v>
      </c>
      <c r="D2308" s="14" t="s">
        <v>5532</v>
      </c>
    </row>
    <row r="2309" spans="1:4" hidden="1" x14ac:dyDescent="0.25">
      <c r="A2309" s="10" t="s">
        <v>5407</v>
      </c>
      <c r="B2309" s="3"/>
      <c r="C2309" s="1" t="s">
        <v>5461</v>
      </c>
      <c r="D2309" s="14" t="s">
        <v>5532</v>
      </c>
    </row>
    <row r="2310" spans="1:4" hidden="1" x14ac:dyDescent="0.25">
      <c r="A2310" s="10" t="s">
        <v>5409</v>
      </c>
      <c r="B2310" s="3"/>
      <c r="C2310" s="1" t="s">
        <v>5462</v>
      </c>
      <c r="D2310" s="14" t="s">
        <v>5532</v>
      </c>
    </row>
    <row r="2311" spans="1:4" hidden="1" x14ac:dyDescent="0.25">
      <c r="A2311" s="10" t="s">
        <v>5410</v>
      </c>
      <c r="B2311" s="3"/>
      <c r="C2311" s="1" t="s">
        <v>5463</v>
      </c>
      <c r="D2311" s="14" t="s">
        <v>5532</v>
      </c>
    </row>
    <row r="2312" spans="1:4" hidden="1" x14ac:dyDescent="0.25">
      <c r="A2312" s="10" t="s">
        <v>5411</v>
      </c>
      <c r="B2312" s="3"/>
      <c r="C2312" s="1" t="s">
        <v>5464</v>
      </c>
      <c r="D2312" s="14" t="s">
        <v>5532</v>
      </c>
    </row>
    <row r="2313" spans="1:4" hidden="1" x14ac:dyDescent="0.25">
      <c r="A2313" s="10" t="s">
        <v>5408</v>
      </c>
      <c r="B2313" s="3"/>
      <c r="C2313" s="1" t="s">
        <v>5465</v>
      </c>
      <c r="D2313" s="14" t="s">
        <v>5532</v>
      </c>
    </row>
    <row r="2314" spans="1:4" hidden="1" x14ac:dyDescent="0.25">
      <c r="A2314" s="10" t="s">
        <v>5412</v>
      </c>
      <c r="B2314" s="3"/>
      <c r="C2314" s="1" t="s">
        <v>5466</v>
      </c>
      <c r="D2314" s="14" t="s">
        <v>5532</v>
      </c>
    </row>
    <row r="2315" spans="1:4" hidden="1" x14ac:dyDescent="0.25">
      <c r="A2315" s="10" t="s">
        <v>5413</v>
      </c>
      <c r="B2315" s="3"/>
      <c r="C2315" s="1" t="s">
        <v>5467</v>
      </c>
      <c r="D2315" s="14" t="s">
        <v>5532</v>
      </c>
    </row>
    <row r="2316" spans="1:4" hidden="1" x14ac:dyDescent="0.25">
      <c r="A2316" s="10" t="s">
        <v>5414</v>
      </c>
      <c r="B2316" s="3"/>
      <c r="C2316" s="1" t="s">
        <v>5468</v>
      </c>
      <c r="D2316" s="14" t="s">
        <v>5532</v>
      </c>
    </row>
    <row r="2317" spans="1:4" hidden="1" x14ac:dyDescent="0.25">
      <c r="A2317" s="10" t="s">
        <v>5415</v>
      </c>
      <c r="B2317" s="3"/>
      <c r="C2317" s="1" t="s">
        <v>5469</v>
      </c>
      <c r="D2317" s="14" t="s">
        <v>5532</v>
      </c>
    </row>
    <row r="2318" spans="1:4" hidden="1" x14ac:dyDescent="0.25">
      <c r="A2318" s="10" t="s">
        <v>5416</v>
      </c>
      <c r="B2318" s="3"/>
      <c r="C2318" s="1" t="s">
        <v>5470</v>
      </c>
      <c r="D2318" s="14" t="s">
        <v>5532</v>
      </c>
    </row>
    <row r="2319" spans="1:4" hidden="1" x14ac:dyDescent="0.25">
      <c r="A2319" s="10" t="s">
        <v>5417</v>
      </c>
      <c r="B2319" s="3"/>
      <c r="C2319" s="1" t="s">
        <v>5471</v>
      </c>
      <c r="D2319" s="14" t="s">
        <v>5532</v>
      </c>
    </row>
    <row r="2320" spans="1:4" hidden="1" x14ac:dyDescent="0.25">
      <c r="A2320" s="10" t="s">
        <v>5418</v>
      </c>
      <c r="B2320" s="3"/>
      <c r="C2320" s="1" t="s">
        <v>5472</v>
      </c>
      <c r="D2320" s="14" t="s">
        <v>5532</v>
      </c>
    </row>
    <row r="2321" spans="1:4" hidden="1" x14ac:dyDescent="0.25">
      <c r="A2321" s="10" t="s">
        <v>5419</v>
      </c>
      <c r="B2321" s="3"/>
      <c r="C2321" s="1" t="s">
        <v>5473</v>
      </c>
      <c r="D2321" s="14" t="s">
        <v>5532</v>
      </c>
    </row>
    <row r="2322" spans="1:4" hidden="1" x14ac:dyDescent="0.25">
      <c r="A2322" s="10" t="s">
        <v>5420</v>
      </c>
      <c r="B2322" s="3"/>
      <c r="C2322" s="1" t="s">
        <v>5474</v>
      </c>
      <c r="D2322" s="14" t="s">
        <v>5532</v>
      </c>
    </row>
    <row r="2323" spans="1:4" hidden="1" x14ac:dyDescent="0.25">
      <c r="A2323" s="10" t="s">
        <v>5421</v>
      </c>
      <c r="B2323" s="3"/>
      <c r="C2323" s="1" t="s">
        <v>5475</v>
      </c>
      <c r="D2323" s="14" t="s">
        <v>5532</v>
      </c>
    </row>
    <row r="2324" spans="1:4" hidden="1" x14ac:dyDescent="0.25">
      <c r="A2324" s="10" t="s">
        <v>5422</v>
      </c>
      <c r="B2324" s="3"/>
      <c r="C2324" s="1" t="s">
        <v>5476</v>
      </c>
      <c r="D2324" s="14" t="s">
        <v>5532</v>
      </c>
    </row>
    <row r="2325" spans="1:4" hidden="1" x14ac:dyDescent="0.25">
      <c r="A2325" s="10" t="s">
        <v>5423</v>
      </c>
      <c r="B2325" s="3"/>
      <c r="C2325" s="1" t="s">
        <v>5477</v>
      </c>
      <c r="D2325" s="14" t="s">
        <v>5532</v>
      </c>
    </row>
    <row r="2326" spans="1:4" hidden="1" x14ac:dyDescent="0.25">
      <c r="A2326" s="10" t="s">
        <v>5424</v>
      </c>
      <c r="B2326" s="3"/>
      <c r="C2326" s="1" t="s">
        <v>5478</v>
      </c>
      <c r="D2326" s="14" t="s">
        <v>5532</v>
      </c>
    </row>
    <row r="2327" spans="1:4" hidden="1" x14ac:dyDescent="0.25">
      <c r="A2327" s="10" t="s">
        <v>5425</v>
      </c>
      <c r="B2327" s="3"/>
      <c r="C2327" s="1" t="s">
        <v>5479</v>
      </c>
      <c r="D2327" s="14" t="s">
        <v>5532</v>
      </c>
    </row>
    <row r="2328" spans="1:4" hidden="1" x14ac:dyDescent="0.25">
      <c r="A2328" s="10" t="s">
        <v>5426</v>
      </c>
      <c r="B2328" s="3"/>
      <c r="C2328" s="1" t="s">
        <v>5480</v>
      </c>
      <c r="D2328" s="14" t="s">
        <v>5532</v>
      </c>
    </row>
    <row r="2329" spans="1:4" hidden="1" x14ac:dyDescent="0.25">
      <c r="A2329" s="10" t="s">
        <v>5427</v>
      </c>
      <c r="B2329" s="3"/>
      <c r="C2329" s="1" t="s">
        <v>5481</v>
      </c>
      <c r="D2329" s="14" t="s">
        <v>5532</v>
      </c>
    </row>
    <row r="2330" spans="1:4" hidden="1" x14ac:dyDescent="0.25">
      <c r="A2330" s="10" t="s">
        <v>5428</v>
      </c>
      <c r="B2330" s="3"/>
      <c r="C2330" s="1" t="s">
        <v>5482</v>
      </c>
      <c r="D2330" s="14" t="s">
        <v>5532</v>
      </c>
    </row>
    <row r="2331" spans="1:4" hidden="1" x14ac:dyDescent="0.25">
      <c r="A2331" s="10" t="s">
        <v>5429</v>
      </c>
      <c r="B2331" s="3"/>
      <c r="C2331" s="1" t="s">
        <v>5483</v>
      </c>
      <c r="D2331" s="14" t="s">
        <v>5532</v>
      </c>
    </row>
    <row r="2332" spans="1:4" hidden="1" x14ac:dyDescent="0.25">
      <c r="A2332" s="10" t="s">
        <v>5430</v>
      </c>
      <c r="B2332" s="3"/>
      <c r="C2332" s="1" t="s">
        <v>5484</v>
      </c>
      <c r="D2332" s="14" t="s">
        <v>5532</v>
      </c>
    </row>
    <row r="2333" spans="1:4" hidden="1" x14ac:dyDescent="0.25">
      <c r="A2333" s="10" t="s">
        <v>5431</v>
      </c>
      <c r="B2333" s="3"/>
      <c r="C2333" s="1" t="s">
        <v>5485</v>
      </c>
      <c r="D2333" s="14" t="s">
        <v>5532</v>
      </c>
    </row>
    <row r="2334" spans="1:4" hidden="1" x14ac:dyDescent="0.25">
      <c r="A2334" s="8" t="s">
        <v>9018</v>
      </c>
      <c r="B2334" s="3"/>
      <c r="C2334" s="1" t="s">
        <v>9019</v>
      </c>
      <c r="D2334" s="14" t="s">
        <v>5532</v>
      </c>
    </row>
    <row r="2335" spans="1:4" hidden="1" x14ac:dyDescent="0.25">
      <c r="A2335" s="11" t="s">
        <v>5486</v>
      </c>
      <c r="B2335" s="3"/>
      <c r="C2335" s="1" t="s">
        <v>5496</v>
      </c>
      <c r="D2335" s="14" t="s">
        <v>5533</v>
      </c>
    </row>
    <row r="2336" spans="1:4" hidden="1" x14ac:dyDescent="0.25">
      <c r="A2336" s="11" t="s">
        <v>5487</v>
      </c>
      <c r="B2336" s="3"/>
      <c r="C2336" s="1" t="s">
        <v>5497</v>
      </c>
      <c r="D2336" s="14" t="s">
        <v>5533</v>
      </c>
    </row>
    <row r="2337" spans="1:4" hidden="1" x14ac:dyDescent="0.25">
      <c r="A2337" s="11" t="s">
        <v>5488</v>
      </c>
      <c r="B2337" s="3"/>
      <c r="C2337" s="1" t="s">
        <v>5498</v>
      </c>
      <c r="D2337" s="14" t="s">
        <v>5533</v>
      </c>
    </row>
    <row r="2338" spans="1:4" hidden="1" x14ac:dyDescent="0.25">
      <c r="A2338" s="11" t="s">
        <v>5489</v>
      </c>
      <c r="B2338" s="3"/>
      <c r="C2338" s="1" t="s">
        <v>5499</v>
      </c>
      <c r="D2338" s="14" t="s">
        <v>5533</v>
      </c>
    </row>
    <row r="2339" spans="1:4" hidden="1" x14ac:dyDescent="0.25">
      <c r="A2339" s="11" t="s">
        <v>5490</v>
      </c>
      <c r="B2339" s="3"/>
      <c r="C2339" s="1" t="s">
        <v>5500</v>
      </c>
      <c r="D2339" s="14" t="s">
        <v>5533</v>
      </c>
    </row>
    <row r="2340" spans="1:4" hidden="1" x14ac:dyDescent="0.25">
      <c r="A2340" s="11" t="s">
        <v>5491</v>
      </c>
      <c r="B2340" s="3"/>
      <c r="C2340" s="1" t="s">
        <v>5501</v>
      </c>
      <c r="D2340" s="14" t="s">
        <v>5533</v>
      </c>
    </row>
    <row r="2341" spans="1:4" hidden="1" x14ac:dyDescent="0.25">
      <c r="A2341" s="11" t="s">
        <v>5492</v>
      </c>
      <c r="B2341" s="3"/>
      <c r="C2341" s="1" t="s">
        <v>5502</v>
      </c>
      <c r="D2341" s="14" t="s">
        <v>5533</v>
      </c>
    </row>
    <row r="2342" spans="1:4" hidden="1" x14ac:dyDescent="0.25">
      <c r="A2342" s="11" t="s">
        <v>5493</v>
      </c>
      <c r="B2342" s="3"/>
      <c r="C2342" s="1" t="s">
        <v>5503</v>
      </c>
      <c r="D2342" s="14" t="s">
        <v>5533</v>
      </c>
    </row>
    <row r="2343" spans="1:4" hidden="1" x14ac:dyDescent="0.25">
      <c r="A2343" s="11" t="s">
        <v>5494</v>
      </c>
      <c r="B2343" s="3"/>
      <c r="C2343" s="1" t="s">
        <v>5504</v>
      </c>
      <c r="D2343" s="14" t="s">
        <v>5533</v>
      </c>
    </row>
    <row r="2344" spans="1:4" hidden="1" x14ac:dyDescent="0.25">
      <c r="A2344" s="11" t="s">
        <v>5495</v>
      </c>
      <c r="B2344" s="3"/>
      <c r="C2344" s="1" t="s">
        <v>5534</v>
      </c>
      <c r="D2344" s="14" t="s">
        <v>5533</v>
      </c>
    </row>
    <row r="2345" spans="1:4" hidden="1" x14ac:dyDescent="0.25">
      <c r="A2345" s="12" t="s">
        <v>5505</v>
      </c>
      <c r="B2345" s="3"/>
      <c r="C2345" s="1" t="s">
        <v>5508</v>
      </c>
      <c r="D2345" s="14" t="s">
        <v>5533</v>
      </c>
    </row>
    <row r="2346" spans="1:4" hidden="1" x14ac:dyDescent="0.25">
      <c r="A2346" s="12" t="s">
        <v>5506</v>
      </c>
      <c r="B2346" s="3"/>
      <c r="C2346" s="1" t="s">
        <v>5509</v>
      </c>
      <c r="D2346" s="14" t="s">
        <v>5533</v>
      </c>
    </row>
    <row r="2347" spans="1:4" hidden="1" x14ac:dyDescent="0.25">
      <c r="A2347" s="12" t="s">
        <v>5507</v>
      </c>
      <c r="B2347" s="3"/>
      <c r="C2347" s="1" t="s">
        <v>5510</v>
      </c>
      <c r="D2347" s="14" t="s">
        <v>5533</v>
      </c>
    </row>
    <row r="2348" spans="1:4" hidden="1" x14ac:dyDescent="0.25">
      <c r="A2348" s="12" t="s">
        <v>5512</v>
      </c>
      <c r="B2348" s="3"/>
      <c r="C2348" s="1" t="s">
        <v>5513</v>
      </c>
      <c r="D2348" s="14" t="s">
        <v>5533</v>
      </c>
    </row>
    <row r="2349" spans="1:4" hidden="1" x14ac:dyDescent="0.25">
      <c r="A2349" s="12" t="s">
        <v>5514</v>
      </c>
      <c r="B2349" s="3"/>
      <c r="C2349" s="1" t="s">
        <v>5515</v>
      </c>
      <c r="D2349" s="14" t="s">
        <v>5533</v>
      </c>
    </row>
    <row r="2350" spans="1:4" hidden="1" x14ac:dyDescent="0.25">
      <c r="A2350" s="12" t="s">
        <v>5516</v>
      </c>
      <c r="B2350" s="3"/>
      <c r="C2350" s="1" t="s">
        <v>5517</v>
      </c>
      <c r="D2350" s="14" t="s">
        <v>5533</v>
      </c>
    </row>
    <row r="2351" spans="1:4" hidden="1" x14ac:dyDescent="0.25">
      <c r="A2351" s="12" t="s">
        <v>5518</v>
      </c>
      <c r="B2351" s="3"/>
      <c r="C2351" s="1" t="s">
        <v>5520</v>
      </c>
      <c r="D2351" s="14" t="s">
        <v>5533</v>
      </c>
    </row>
    <row r="2352" spans="1:4" hidden="1" x14ac:dyDescent="0.25">
      <c r="A2352" s="13" t="s">
        <v>5519</v>
      </c>
      <c r="B2352" s="3"/>
      <c r="C2352" s="1" t="s">
        <v>5521</v>
      </c>
      <c r="D2352" s="14" t="s">
        <v>5533</v>
      </c>
    </row>
    <row r="2353" spans="1:4" hidden="1" x14ac:dyDescent="0.25">
      <c r="A2353" s="10" t="s">
        <v>5522</v>
      </c>
      <c r="C2353" s="1" t="s">
        <v>5523</v>
      </c>
      <c r="D2353" s="14" t="s">
        <v>5532</v>
      </c>
    </row>
    <row r="2354" spans="1:4" hidden="1" x14ac:dyDescent="0.25">
      <c r="A2354" s="15" t="s">
        <v>5535</v>
      </c>
      <c r="B2354" s="16"/>
      <c r="C2354" s="1" t="s">
        <v>5536</v>
      </c>
      <c r="D2354" s="14" t="s">
        <v>5533</v>
      </c>
    </row>
    <row r="2355" spans="1:4" hidden="1" x14ac:dyDescent="0.25">
      <c r="A2355" s="17" t="s">
        <v>5537</v>
      </c>
      <c r="B2355" s="16"/>
      <c r="C2355" s="1" t="s">
        <v>5538</v>
      </c>
      <c r="D2355" s="14" t="s">
        <v>5533</v>
      </c>
    </row>
    <row r="2356" spans="1:4" hidden="1" x14ac:dyDescent="0.25">
      <c r="A2356" t="s">
        <v>5539</v>
      </c>
      <c r="B2356" s="3"/>
      <c r="C2356" s="18" t="s">
        <v>6441</v>
      </c>
      <c r="D2356" s="14" t="s">
        <v>6666</v>
      </c>
    </row>
    <row r="2357" spans="1:4" hidden="1" x14ac:dyDescent="0.25">
      <c r="A2357" t="s">
        <v>5961</v>
      </c>
      <c r="B2357" s="3"/>
      <c r="C2357" s="18" t="s">
        <v>6442</v>
      </c>
      <c r="D2357" s="14" t="s">
        <v>6666</v>
      </c>
    </row>
    <row r="2358" spans="1:4" hidden="1" x14ac:dyDescent="0.25">
      <c r="A2358" t="s">
        <v>5540</v>
      </c>
      <c r="B2358" s="3"/>
      <c r="C2358" s="18" t="s">
        <v>6443</v>
      </c>
      <c r="D2358" s="14" t="s">
        <v>6666</v>
      </c>
    </row>
    <row r="2359" spans="1:4" hidden="1" x14ac:dyDescent="0.25">
      <c r="A2359" t="s">
        <v>5962</v>
      </c>
      <c r="B2359" s="3"/>
      <c r="C2359" s="18" t="s">
        <v>6444</v>
      </c>
      <c r="D2359" s="14" t="s">
        <v>6666</v>
      </c>
    </row>
    <row r="2360" spans="1:4" hidden="1" x14ac:dyDescent="0.25">
      <c r="A2360" t="s">
        <v>5541</v>
      </c>
      <c r="B2360" s="3"/>
      <c r="C2360" s="18" t="s">
        <v>6445</v>
      </c>
      <c r="D2360" s="14" t="s">
        <v>6666</v>
      </c>
    </row>
    <row r="2361" spans="1:4" hidden="1" x14ac:dyDescent="0.25">
      <c r="A2361" t="s">
        <v>5963</v>
      </c>
      <c r="B2361" s="3"/>
      <c r="C2361" s="18" t="s">
        <v>6446</v>
      </c>
      <c r="D2361" s="14" t="s">
        <v>6666</v>
      </c>
    </row>
    <row r="2362" spans="1:4" hidden="1" x14ac:dyDescent="0.25">
      <c r="A2362" t="s">
        <v>5542</v>
      </c>
      <c r="B2362" s="3"/>
      <c r="C2362" s="18" t="s">
        <v>6447</v>
      </c>
      <c r="D2362" s="14" t="s">
        <v>6666</v>
      </c>
    </row>
    <row r="2363" spans="1:4" hidden="1" x14ac:dyDescent="0.25">
      <c r="A2363" t="s">
        <v>5964</v>
      </c>
      <c r="B2363" s="3"/>
      <c r="C2363" s="18" t="s">
        <v>6448</v>
      </c>
      <c r="D2363" s="14" t="s">
        <v>6666</v>
      </c>
    </row>
    <row r="2364" spans="1:4" hidden="1" x14ac:dyDescent="0.25">
      <c r="A2364" t="s">
        <v>5965</v>
      </c>
      <c r="B2364" s="3"/>
      <c r="C2364" s="18" t="s">
        <v>6449</v>
      </c>
      <c r="D2364" s="14" t="s">
        <v>6666</v>
      </c>
    </row>
    <row r="2365" spans="1:4" hidden="1" x14ac:dyDescent="0.25">
      <c r="A2365" t="s">
        <v>5966</v>
      </c>
      <c r="B2365" s="3"/>
      <c r="C2365" s="18" t="s">
        <v>6450</v>
      </c>
      <c r="D2365" s="14" t="s">
        <v>6666</v>
      </c>
    </row>
    <row r="2366" spans="1:4" hidden="1" x14ac:dyDescent="0.25">
      <c r="A2366" t="s">
        <v>5543</v>
      </c>
      <c r="B2366" s="3"/>
      <c r="C2366" s="18" t="s">
        <v>6451</v>
      </c>
      <c r="D2366" s="14" t="s">
        <v>6666</v>
      </c>
    </row>
    <row r="2367" spans="1:4" hidden="1" x14ac:dyDescent="0.25">
      <c r="A2367" t="s">
        <v>5967</v>
      </c>
      <c r="B2367" s="3"/>
      <c r="C2367" s="18" t="s">
        <v>6452</v>
      </c>
      <c r="D2367" s="14" t="s">
        <v>6666</v>
      </c>
    </row>
    <row r="2368" spans="1:4" hidden="1" x14ac:dyDescent="0.25">
      <c r="A2368" t="s">
        <v>5544</v>
      </c>
      <c r="B2368" s="3"/>
      <c r="C2368" s="18" t="s">
        <v>6453</v>
      </c>
      <c r="D2368" s="14" t="s">
        <v>6666</v>
      </c>
    </row>
    <row r="2369" spans="1:4" hidden="1" x14ac:dyDescent="0.25">
      <c r="A2369" t="s">
        <v>5968</v>
      </c>
      <c r="B2369" s="3"/>
      <c r="C2369" s="18" t="s">
        <v>6454</v>
      </c>
      <c r="D2369" s="14" t="s">
        <v>6666</v>
      </c>
    </row>
    <row r="2370" spans="1:4" hidden="1" x14ac:dyDescent="0.25">
      <c r="A2370" t="s">
        <v>5545</v>
      </c>
      <c r="B2370" s="3"/>
      <c r="C2370" s="18" t="s">
        <v>6455</v>
      </c>
      <c r="D2370" s="14" t="s">
        <v>6666</v>
      </c>
    </row>
    <row r="2371" spans="1:4" hidden="1" x14ac:dyDescent="0.25">
      <c r="A2371" t="s">
        <v>5546</v>
      </c>
      <c r="B2371" s="3"/>
      <c r="C2371" s="18" t="s">
        <v>6456</v>
      </c>
      <c r="D2371" s="14" t="s">
        <v>6666</v>
      </c>
    </row>
    <row r="2372" spans="1:4" hidden="1" x14ac:dyDescent="0.25">
      <c r="A2372" t="s">
        <v>5969</v>
      </c>
      <c r="B2372" s="3"/>
      <c r="C2372" s="18" t="s">
        <v>6457</v>
      </c>
      <c r="D2372" s="14" t="s">
        <v>6666</v>
      </c>
    </row>
    <row r="2373" spans="1:4" hidden="1" x14ac:dyDescent="0.25">
      <c r="A2373" t="s">
        <v>5547</v>
      </c>
      <c r="B2373" s="3"/>
      <c r="C2373" s="18" t="s">
        <v>6458</v>
      </c>
      <c r="D2373" s="14" t="s">
        <v>6666</v>
      </c>
    </row>
    <row r="2374" spans="1:4" hidden="1" x14ac:dyDescent="0.25">
      <c r="A2374" t="s">
        <v>5970</v>
      </c>
      <c r="B2374" s="3"/>
      <c r="C2374" s="18" t="s">
        <v>6459</v>
      </c>
      <c r="D2374" s="14" t="s">
        <v>6666</v>
      </c>
    </row>
    <row r="2375" spans="1:4" hidden="1" x14ac:dyDescent="0.25">
      <c r="A2375" t="s">
        <v>5548</v>
      </c>
      <c r="B2375" s="3"/>
      <c r="C2375" s="18" t="s">
        <v>6460</v>
      </c>
      <c r="D2375" s="14" t="s">
        <v>6666</v>
      </c>
    </row>
    <row r="2376" spans="1:4" hidden="1" x14ac:dyDescent="0.25">
      <c r="A2376" t="s">
        <v>5971</v>
      </c>
      <c r="B2376" s="3"/>
      <c r="C2376" s="18" t="s">
        <v>6461</v>
      </c>
      <c r="D2376" s="14" t="s">
        <v>6666</v>
      </c>
    </row>
    <row r="2377" spans="1:4" hidden="1" x14ac:dyDescent="0.25">
      <c r="A2377" t="s">
        <v>5549</v>
      </c>
      <c r="B2377" s="3"/>
      <c r="C2377" s="18" t="s">
        <v>6462</v>
      </c>
      <c r="D2377" s="14" t="s">
        <v>6666</v>
      </c>
    </row>
    <row r="2378" spans="1:4" hidden="1" x14ac:dyDescent="0.25">
      <c r="A2378" t="s">
        <v>5972</v>
      </c>
      <c r="B2378" s="3"/>
      <c r="C2378" s="18" t="s">
        <v>6463</v>
      </c>
      <c r="D2378" s="14" t="s">
        <v>6666</v>
      </c>
    </row>
    <row r="2379" spans="1:4" hidden="1" x14ac:dyDescent="0.25">
      <c r="A2379" t="s">
        <v>5973</v>
      </c>
      <c r="B2379" s="3"/>
      <c r="C2379" s="18" t="s">
        <v>6464</v>
      </c>
      <c r="D2379" s="14" t="s">
        <v>6666</v>
      </c>
    </row>
    <row r="2380" spans="1:4" hidden="1" x14ac:dyDescent="0.25">
      <c r="A2380" t="s">
        <v>5974</v>
      </c>
      <c r="B2380" s="3"/>
      <c r="C2380" s="18" t="s">
        <v>6465</v>
      </c>
      <c r="D2380" s="14" t="s">
        <v>6666</v>
      </c>
    </row>
    <row r="2381" spans="1:4" hidden="1" x14ac:dyDescent="0.25">
      <c r="A2381" t="s">
        <v>5550</v>
      </c>
      <c r="B2381" s="3"/>
      <c r="C2381" s="18" t="s">
        <v>6466</v>
      </c>
      <c r="D2381" s="14" t="s">
        <v>6666</v>
      </c>
    </row>
    <row r="2382" spans="1:4" hidden="1" x14ac:dyDescent="0.25">
      <c r="A2382" t="s">
        <v>5975</v>
      </c>
      <c r="B2382" s="3"/>
      <c r="C2382" s="18" t="s">
        <v>6467</v>
      </c>
      <c r="D2382" s="14" t="s">
        <v>6666</v>
      </c>
    </row>
    <row r="2383" spans="1:4" hidden="1" x14ac:dyDescent="0.25">
      <c r="A2383" t="s">
        <v>5551</v>
      </c>
      <c r="B2383" s="3"/>
      <c r="C2383" s="18" t="s">
        <v>6468</v>
      </c>
      <c r="D2383" s="14" t="s">
        <v>6666</v>
      </c>
    </row>
    <row r="2384" spans="1:4" hidden="1" x14ac:dyDescent="0.25">
      <c r="A2384" t="s">
        <v>5976</v>
      </c>
      <c r="B2384" s="3"/>
      <c r="C2384" s="18" t="s">
        <v>6469</v>
      </c>
      <c r="D2384" s="14" t="s">
        <v>6666</v>
      </c>
    </row>
    <row r="2385" spans="1:4" hidden="1" x14ac:dyDescent="0.25">
      <c r="A2385" t="s">
        <v>5552</v>
      </c>
      <c r="B2385" s="3"/>
      <c r="C2385" s="18" t="s">
        <v>6470</v>
      </c>
      <c r="D2385" s="14" t="s">
        <v>6666</v>
      </c>
    </row>
    <row r="2386" spans="1:4" hidden="1" x14ac:dyDescent="0.25">
      <c r="A2386" t="s">
        <v>5553</v>
      </c>
      <c r="B2386" s="3"/>
      <c r="C2386" s="18" t="s">
        <v>6471</v>
      </c>
      <c r="D2386" s="14" t="s">
        <v>6666</v>
      </c>
    </row>
    <row r="2387" spans="1:4" hidden="1" x14ac:dyDescent="0.25">
      <c r="A2387" t="s">
        <v>5977</v>
      </c>
      <c r="B2387" s="3"/>
      <c r="C2387" s="18" t="s">
        <v>6472</v>
      </c>
      <c r="D2387" s="14" t="s">
        <v>6666</v>
      </c>
    </row>
    <row r="2388" spans="1:4" hidden="1" x14ac:dyDescent="0.25">
      <c r="A2388" t="s">
        <v>5554</v>
      </c>
      <c r="B2388" s="3"/>
      <c r="C2388" s="19" t="s">
        <v>6473</v>
      </c>
      <c r="D2388" s="14" t="s">
        <v>6666</v>
      </c>
    </row>
    <row r="2389" spans="1:4" hidden="1" x14ac:dyDescent="0.25">
      <c r="A2389" t="s">
        <v>5978</v>
      </c>
      <c r="B2389" s="3"/>
      <c r="C2389" s="19" t="s">
        <v>6474</v>
      </c>
      <c r="D2389" s="14" t="s">
        <v>6666</v>
      </c>
    </row>
    <row r="2390" spans="1:4" hidden="1" x14ac:dyDescent="0.25">
      <c r="A2390" t="s">
        <v>5555</v>
      </c>
      <c r="B2390" s="3"/>
      <c r="C2390" s="18" t="s">
        <v>6475</v>
      </c>
      <c r="D2390" s="14" t="s">
        <v>6666</v>
      </c>
    </row>
    <row r="2391" spans="1:4" hidden="1" x14ac:dyDescent="0.25">
      <c r="A2391" t="s">
        <v>5979</v>
      </c>
      <c r="B2391" s="3"/>
      <c r="C2391" s="18" t="s">
        <v>6476</v>
      </c>
      <c r="D2391" s="14" t="s">
        <v>6666</v>
      </c>
    </row>
    <row r="2392" spans="1:4" hidden="1" x14ac:dyDescent="0.25">
      <c r="A2392" t="s">
        <v>5556</v>
      </c>
      <c r="B2392" s="3"/>
      <c r="C2392" s="18" t="s">
        <v>6477</v>
      </c>
      <c r="D2392" s="14" t="s">
        <v>6666</v>
      </c>
    </row>
    <row r="2393" spans="1:4" hidden="1" x14ac:dyDescent="0.25">
      <c r="A2393" t="s">
        <v>5980</v>
      </c>
      <c r="B2393" s="3"/>
      <c r="C2393" s="18" t="s">
        <v>6478</v>
      </c>
      <c r="D2393" s="14" t="s">
        <v>6666</v>
      </c>
    </row>
    <row r="2394" spans="1:4" hidden="1" x14ac:dyDescent="0.25">
      <c r="A2394" t="s">
        <v>5981</v>
      </c>
      <c r="B2394" s="3"/>
      <c r="C2394" s="18" t="s">
        <v>6479</v>
      </c>
      <c r="D2394" s="14" t="s">
        <v>6666</v>
      </c>
    </row>
    <row r="2395" spans="1:4" hidden="1" x14ac:dyDescent="0.25">
      <c r="A2395" t="s">
        <v>5982</v>
      </c>
      <c r="B2395" s="3"/>
      <c r="C2395" s="18" t="s">
        <v>6480</v>
      </c>
      <c r="D2395" s="14" t="s">
        <v>6666</v>
      </c>
    </row>
    <row r="2396" spans="1:4" hidden="1" x14ac:dyDescent="0.25">
      <c r="A2396" t="s">
        <v>5557</v>
      </c>
      <c r="B2396" s="3"/>
      <c r="C2396" s="18" t="s">
        <v>6481</v>
      </c>
      <c r="D2396" s="14" t="s">
        <v>6666</v>
      </c>
    </row>
    <row r="2397" spans="1:4" hidden="1" x14ac:dyDescent="0.25">
      <c r="A2397" t="s">
        <v>5983</v>
      </c>
      <c r="B2397" s="3"/>
      <c r="C2397" s="18" t="s">
        <v>6482</v>
      </c>
      <c r="D2397" s="14" t="s">
        <v>6666</v>
      </c>
    </row>
    <row r="2398" spans="1:4" hidden="1" x14ac:dyDescent="0.25">
      <c r="A2398" t="s">
        <v>5558</v>
      </c>
      <c r="B2398" s="3"/>
      <c r="C2398" s="18" t="s">
        <v>6483</v>
      </c>
      <c r="D2398" s="14" t="s">
        <v>6666</v>
      </c>
    </row>
    <row r="2399" spans="1:4" hidden="1" x14ac:dyDescent="0.25">
      <c r="A2399" t="s">
        <v>5984</v>
      </c>
      <c r="B2399" s="3"/>
      <c r="C2399" s="18" t="s">
        <v>6484</v>
      </c>
      <c r="D2399" s="14" t="s">
        <v>6666</v>
      </c>
    </row>
    <row r="2400" spans="1:4" hidden="1" x14ac:dyDescent="0.25">
      <c r="A2400" t="s">
        <v>5559</v>
      </c>
      <c r="B2400" s="3"/>
      <c r="C2400" s="18" t="s">
        <v>6485</v>
      </c>
      <c r="D2400" s="14" t="s">
        <v>6666</v>
      </c>
    </row>
    <row r="2401" spans="1:4" hidden="1" x14ac:dyDescent="0.25">
      <c r="A2401" t="s">
        <v>5560</v>
      </c>
      <c r="B2401" s="3"/>
      <c r="C2401" s="18" t="s">
        <v>6486</v>
      </c>
      <c r="D2401" s="14" t="s">
        <v>6666</v>
      </c>
    </row>
    <row r="2402" spans="1:4" hidden="1" x14ac:dyDescent="0.25">
      <c r="A2402" t="s">
        <v>5985</v>
      </c>
      <c r="B2402" s="3"/>
      <c r="C2402" s="18" t="s">
        <v>6487</v>
      </c>
      <c r="D2402" s="14" t="s">
        <v>6666</v>
      </c>
    </row>
    <row r="2403" spans="1:4" hidden="1" x14ac:dyDescent="0.25">
      <c r="A2403" t="s">
        <v>5561</v>
      </c>
      <c r="B2403" s="3"/>
      <c r="C2403" s="18" t="s">
        <v>6488</v>
      </c>
      <c r="D2403" s="14" t="s">
        <v>6666</v>
      </c>
    </row>
    <row r="2404" spans="1:4" hidden="1" x14ac:dyDescent="0.25">
      <c r="A2404" t="s">
        <v>5986</v>
      </c>
      <c r="B2404" s="3"/>
      <c r="C2404" s="18" t="s">
        <v>6489</v>
      </c>
      <c r="D2404" s="14" t="s">
        <v>6666</v>
      </c>
    </row>
    <row r="2405" spans="1:4" hidden="1" x14ac:dyDescent="0.25">
      <c r="A2405" t="s">
        <v>5562</v>
      </c>
      <c r="B2405" s="3"/>
      <c r="C2405" s="18" t="s">
        <v>6490</v>
      </c>
      <c r="D2405" s="14" t="s">
        <v>6666</v>
      </c>
    </row>
    <row r="2406" spans="1:4" hidden="1" x14ac:dyDescent="0.25">
      <c r="A2406" t="s">
        <v>5987</v>
      </c>
      <c r="B2406" s="3"/>
      <c r="C2406" s="18" t="s">
        <v>6491</v>
      </c>
      <c r="D2406" s="14" t="s">
        <v>6666</v>
      </c>
    </row>
    <row r="2407" spans="1:4" hidden="1" x14ac:dyDescent="0.25">
      <c r="A2407" t="s">
        <v>5563</v>
      </c>
      <c r="B2407" s="3"/>
      <c r="C2407" s="18" t="s">
        <v>6492</v>
      </c>
      <c r="D2407" s="14" t="s">
        <v>6666</v>
      </c>
    </row>
    <row r="2408" spans="1:4" hidden="1" x14ac:dyDescent="0.25">
      <c r="A2408" t="s">
        <v>5988</v>
      </c>
      <c r="B2408" s="3"/>
      <c r="C2408" s="18" t="s">
        <v>6493</v>
      </c>
      <c r="D2408" s="14" t="s">
        <v>6666</v>
      </c>
    </row>
    <row r="2409" spans="1:4" hidden="1" x14ac:dyDescent="0.25">
      <c r="A2409" t="s">
        <v>5989</v>
      </c>
      <c r="B2409" s="3"/>
      <c r="C2409" s="18" t="s">
        <v>6494</v>
      </c>
      <c r="D2409" s="14" t="s">
        <v>6666</v>
      </c>
    </row>
    <row r="2410" spans="1:4" hidden="1" x14ac:dyDescent="0.25">
      <c r="A2410" t="s">
        <v>5990</v>
      </c>
      <c r="B2410" s="3"/>
      <c r="C2410" s="18" t="s">
        <v>6495</v>
      </c>
      <c r="D2410" s="14" t="s">
        <v>6666</v>
      </c>
    </row>
    <row r="2411" spans="1:4" hidden="1" x14ac:dyDescent="0.25">
      <c r="A2411" t="s">
        <v>5564</v>
      </c>
      <c r="B2411" s="3"/>
      <c r="C2411" s="18" t="s">
        <v>6496</v>
      </c>
      <c r="D2411" s="14" t="s">
        <v>6666</v>
      </c>
    </row>
    <row r="2412" spans="1:4" hidden="1" x14ac:dyDescent="0.25">
      <c r="A2412" t="s">
        <v>5991</v>
      </c>
      <c r="B2412" s="3"/>
      <c r="C2412" s="18" t="s">
        <v>6497</v>
      </c>
      <c r="D2412" s="14" t="s">
        <v>6666</v>
      </c>
    </row>
    <row r="2413" spans="1:4" hidden="1" x14ac:dyDescent="0.25">
      <c r="A2413" t="s">
        <v>5565</v>
      </c>
      <c r="B2413" s="3"/>
      <c r="C2413" s="18" t="s">
        <v>6498</v>
      </c>
      <c r="D2413" s="14" t="s">
        <v>6666</v>
      </c>
    </row>
    <row r="2414" spans="1:4" hidden="1" x14ac:dyDescent="0.25">
      <c r="A2414" t="s">
        <v>5992</v>
      </c>
      <c r="B2414" s="3"/>
      <c r="C2414" s="18" t="s">
        <v>6499</v>
      </c>
      <c r="D2414" s="14" t="s">
        <v>6666</v>
      </c>
    </row>
    <row r="2415" spans="1:4" hidden="1" x14ac:dyDescent="0.25">
      <c r="A2415" t="s">
        <v>5566</v>
      </c>
      <c r="B2415" s="3"/>
      <c r="C2415" s="18" t="s">
        <v>6500</v>
      </c>
      <c r="D2415" s="14" t="s">
        <v>6666</v>
      </c>
    </row>
    <row r="2416" spans="1:4" hidden="1" x14ac:dyDescent="0.25">
      <c r="A2416" t="s">
        <v>5567</v>
      </c>
      <c r="B2416" s="3"/>
      <c r="C2416" s="18" t="s">
        <v>6501</v>
      </c>
      <c r="D2416" s="14" t="s">
        <v>6666</v>
      </c>
    </row>
    <row r="2417" spans="1:4" hidden="1" x14ac:dyDescent="0.25">
      <c r="A2417" t="s">
        <v>5993</v>
      </c>
      <c r="B2417" s="3"/>
      <c r="C2417" s="18" t="s">
        <v>6502</v>
      </c>
      <c r="D2417" s="14" t="s">
        <v>6666</v>
      </c>
    </row>
    <row r="2418" spans="1:4" hidden="1" x14ac:dyDescent="0.25">
      <c r="A2418" t="s">
        <v>5568</v>
      </c>
      <c r="B2418" s="3"/>
      <c r="C2418" s="18" t="s">
        <v>6503</v>
      </c>
      <c r="D2418" s="14" t="s">
        <v>6666</v>
      </c>
    </row>
    <row r="2419" spans="1:4" hidden="1" x14ac:dyDescent="0.25">
      <c r="A2419" t="s">
        <v>5994</v>
      </c>
      <c r="B2419" s="3"/>
      <c r="C2419" s="18" t="s">
        <v>6504</v>
      </c>
      <c r="D2419" s="14" t="s">
        <v>6666</v>
      </c>
    </row>
    <row r="2420" spans="1:4" hidden="1" x14ac:dyDescent="0.25">
      <c r="A2420" t="s">
        <v>5569</v>
      </c>
      <c r="B2420" s="3"/>
      <c r="C2420" s="18" t="s">
        <v>6505</v>
      </c>
      <c r="D2420" s="14" t="s">
        <v>6666</v>
      </c>
    </row>
    <row r="2421" spans="1:4" hidden="1" x14ac:dyDescent="0.25">
      <c r="A2421" t="s">
        <v>5995</v>
      </c>
      <c r="B2421" s="3"/>
      <c r="C2421" s="18" t="s">
        <v>6506</v>
      </c>
      <c r="D2421" s="14" t="s">
        <v>6666</v>
      </c>
    </row>
    <row r="2422" spans="1:4" hidden="1" x14ac:dyDescent="0.25">
      <c r="A2422" t="s">
        <v>5570</v>
      </c>
      <c r="B2422" s="3"/>
      <c r="C2422" s="18" t="s">
        <v>6507</v>
      </c>
      <c r="D2422" s="14" t="s">
        <v>6666</v>
      </c>
    </row>
    <row r="2423" spans="1:4" hidden="1" x14ac:dyDescent="0.25">
      <c r="A2423" t="s">
        <v>5996</v>
      </c>
      <c r="B2423" s="3"/>
      <c r="C2423" s="18" t="s">
        <v>6508</v>
      </c>
      <c r="D2423" s="14" t="s">
        <v>6666</v>
      </c>
    </row>
    <row r="2424" spans="1:4" hidden="1" x14ac:dyDescent="0.25">
      <c r="A2424" t="s">
        <v>5997</v>
      </c>
      <c r="B2424" s="3"/>
      <c r="C2424" s="18" t="s">
        <v>6509</v>
      </c>
      <c r="D2424" s="14" t="s">
        <v>6666</v>
      </c>
    </row>
    <row r="2425" spans="1:4" hidden="1" x14ac:dyDescent="0.25">
      <c r="A2425" t="s">
        <v>5998</v>
      </c>
      <c r="B2425" s="3"/>
      <c r="C2425" s="19" t="s">
        <v>6510</v>
      </c>
      <c r="D2425" s="14" t="s">
        <v>6666</v>
      </c>
    </row>
    <row r="2426" spans="1:4" hidden="1" x14ac:dyDescent="0.25">
      <c r="A2426" t="s">
        <v>5571</v>
      </c>
      <c r="B2426" s="3"/>
      <c r="C2426" s="19" t="s">
        <v>6511</v>
      </c>
      <c r="D2426" s="14" t="s">
        <v>6666</v>
      </c>
    </row>
    <row r="2427" spans="1:4" hidden="1" x14ac:dyDescent="0.25">
      <c r="A2427" t="s">
        <v>5999</v>
      </c>
      <c r="B2427" s="3"/>
      <c r="C2427" s="18" t="s">
        <v>6512</v>
      </c>
      <c r="D2427" s="14" t="s">
        <v>6666</v>
      </c>
    </row>
    <row r="2428" spans="1:4" hidden="1" x14ac:dyDescent="0.25">
      <c r="A2428" t="s">
        <v>5572</v>
      </c>
      <c r="B2428" s="3"/>
      <c r="C2428" s="18" t="s">
        <v>6513</v>
      </c>
      <c r="D2428" s="14" t="s">
        <v>6666</v>
      </c>
    </row>
    <row r="2429" spans="1:4" hidden="1" x14ac:dyDescent="0.25">
      <c r="A2429" t="s">
        <v>6000</v>
      </c>
      <c r="B2429" s="3"/>
      <c r="C2429" s="18" t="s">
        <v>6514</v>
      </c>
      <c r="D2429" s="14" t="s">
        <v>6666</v>
      </c>
    </row>
    <row r="2430" spans="1:4" hidden="1" x14ac:dyDescent="0.25">
      <c r="A2430" t="s">
        <v>5573</v>
      </c>
      <c r="B2430" s="3"/>
      <c r="C2430" s="18" t="s">
        <v>6515</v>
      </c>
      <c r="D2430" s="14" t="s">
        <v>6666</v>
      </c>
    </row>
    <row r="2431" spans="1:4" hidden="1" x14ac:dyDescent="0.25">
      <c r="A2431" t="s">
        <v>5574</v>
      </c>
      <c r="B2431" s="3"/>
      <c r="C2431" s="18" t="s">
        <v>6516</v>
      </c>
      <c r="D2431" s="14" t="s">
        <v>6666</v>
      </c>
    </row>
    <row r="2432" spans="1:4" hidden="1" x14ac:dyDescent="0.25">
      <c r="A2432" t="s">
        <v>6121</v>
      </c>
      <c r="B2432" s="3"/>
      <c r="C2432" s="18" t="s">
        <v>6517</v>
      </c>
      <c r="D2432" s="14" t="s">
        <v>6666</v>
      </c>
    </row>
    <row r="2433" spans="1:4" hidden="1" x14ac:dyDescent="0.25">
      <c r="A2433" t="s">
        <v>5575</v>
      </c>
      <c r="B2433" s="3"/>
      <c r="C2433" s="18" t="s">
        <v>6518</v>
      </c>
      <c r="D2433" s="14" t="s">
        <v>6666</v>
      </c>
    </row>
    <row r="2434" spans="1:4" hidden="1" x14ac:dyDescent="0.25">
      <c r="A2434" t="s">
        <v>6122</v>
      </c>
      <c r="B2434" s="3"/>
      <c r="C2434" s="18" t="s">
        <v>6519</v>
      </c>
      <c r="D2434" s="14" t="s">
        <v>6666</v>
      </c>
    </row>
    <row r="2435" spans="1:4" hidden="1" x14ac:dyDescent="0.25">
      <c r="A2435" t="s">
        <v>5576</v>
      </c>
      <c r="B2435" s="3"/>
      <c r="C2435" s="18" t="s">
        <v>6520</v>
      </c>
      <c r="D2435" s="14" t="s">
        <v>6666</v>
      </c>
    </row>
    <row r="2436" spans="1:4" hidden="1" x14ac:dyDescent="0.25">
      <c r="A2436" t="s">
        <v>6123</v>
      </c>
      <c r="B2436" s="3"/>
      <c r="C2436" s="18" t="s">
        <v>6521</v>
      </c>
      <c r="D2436" s="14" t="s">
        <v>6666</v>
      </c>
    </row>
    <row r="2437" spans="1:4" hidden="1" x14ac:dyDescent="0.25">
      <c r="A2437" t="s">
        <v>5577</v>
      </c>
      <c r="B2437" s="3"/>
      <c r="C2437" s="18" t="s">
        <v>6522</v>
      </c>
      <c r="D2437" s="14" t="s">
        <v>6666</v>
      </c>
    </row>
    <row r="2438" spans="1:4" hidden="1" x14ac:dyDescent="0.25">
      <c r="A2438" t="s">
        <v>6124</v>
      </c>
      <c r="B2438" s="3"/>
      <c r="C2438" s="18" t="s">
        <v>6523</v>
      </c>
      <c r="D2438" s="14" t="s">
        <v>6666</v>
      </c>
    </row>
    <row r="2439" spans="1:4" hidden="1" x14ac:dyDescent="0.25">
      <c r="A2439" t="s">
        <v>6125</v>
      </c>
      <c r="B2439" s="3"/>
      <c r="C2439" s="18" t="s">
        <v>6524</v>
      </c>
      <c r="D2439" s="14" t="s">
        <v>6666</v>
      </c>
    </row>
    <row r="2440" spans="1:4" hidden="1" x14ac:dyDescent="0.25">
      <c r="A2440" t="s">
        <v>6126</v>
      </c>
      <c r="B2440" s="3"/>
      <c r="C2440" s="18" t="s">
        <v>6525</v>
      </c>
      <c r="D2440" s="14" t="s">
        <v>6666</v>
      </c>
    </row>
    <row r="2441" spans="1:4" hidden="1" x14ac:dyDescent="0.25">
      <c r="A2441" t="s">
        <v>5578</v>
      </c>
      <c r="B2441" s="3"/>
      <c r="C2441" s="18" t="s">
        <v>6526</v>
      </c>
      <c r="D2441" s="14" t="s">
        <v>6666</v>
      </c>
    </row>
    <row r="2442" spans="1:4" hidden="1" x14ac:dyDescent="0.25">
      <c r="A2442" t="s">
        <v>6127</v>
      </c>
      <c r="B2442" s="3"/>
      <c r="C2442" s="18" t="s">
        <v>6527</v>
      </c>
      <c r="D2442" s="14" t="s">
        <v>6666</v>
      </c>
    </row>
    <row r="2443" spans="1:4" hidden="1" x14ac:dyDescent="0.25">
      <c r="A2443" t="s">
        <v>5579</v>
      </c>
      <c r="B2443" s="3"/>
      <c r="C2443" s="18" t="s">
        <v>6528</v>
      </c>
      <c r="D2443" s="14" t="s">
        <v>6666</v>
      </c>
    </row>
    <row r="2444" spans="1:4" hidden="1" x14ac:dyDescent="0.25">
      <c r="A2444" t="s">
        <v>6128</v>
      </c>
      <c r="B2444" s="3"/>
      <c r="C2444" s="18" t="s">
        <v>6529</v>
      </c>
      <c r="D2444" s="14" t="s">
        <v>6666</v>
      </c>
    </row>
    <row r="2445" spans="1:4" hidden="1" x14ac:dyDescent="0.25">
      <c r="A2445" t="s">
        <v>5580</v>
      </c>
      <c r="B2445" s="3"/>
      <c r="C2445" s="18" t="s">
        <v>6530</v>
      </c>
      <c r="D2445" s="14" t="s">
        <v>6666</v>
      </c>
    </row>
    <row r="2446" spans="1:4" hidden="1" x14ac:dyDescent="0.25">
      <c r="A2446" t="s">
        <v>5581</v>
      </c>
      <c r="B2446" s="3"/>
      <c r="C2446" s="18" t="s">
        <v>6531</v>
      </c>
      <c r="D2446" s="14" t="s">
        <v>6666</v>
      </c>
    </row>
    <row r="2447" spans="1:4" hidden="1" x14ac:dyDescent="0.25">
      <c r="A2447" t="s">
        <v>6129</v>
      </c>
      <c r="B2447" s="3"/>
      <c r="C2447" s="18" t="s">
        <v>6532</v>
      </c>
      <c r="D2447" s="14" t="s">
        <v>6666</v>
      </c>
    </row>
    <row r="2448" spans="1:4" hidden="1" x14ac:dyDescent="0.25">
      <c r="A2448" t="s">
        <v>5582</v>
      </c>
      <c r="B2448" s="3"/>
      <c r="C2448" s="18" t="s">
        <v>6533</v>
      </c>
      <c r="D2448" s="14" t="s">
        <v>6666</v>
      </c>
    </row>
    <row r="2449" spans="1:4" hidden="1" x14ac:dyDescent="0.25">
      <c r="A2449" t="s">
        <v>6130</v>
      </c>
      <c r="B2449" s="3"/>
      <c r="C2449" s="18" t="s">
        <v>6534</v>
      </c>
      <c r="D2449" s="14" t="s">
        <v>6666</v>
      </c>
    </row>
    <row r="2450" spans="1:4" hidden="1" x14ac:dyDescent="0.25">
      <c r="A2450" t="s">
        <v>5583</v>
      </c>
      <c r="B2450" s="3"/>
      <c r="C2450" s="18" t="s">
        <v>6535</v>
      </c>
      <c r="D2450" s="14" t="s">
        <v>6666</v>
      </c>
    </row>
    <row r="2451" spans="1:4" hidden="1" x14ac:dyDescent="0.25">
      <c r="A2451" t="s">
        <v>6131</v>
      </c>
      <c r="B2451" s="3"/>
      <c r="C2451" s="18" t="s">
        <v>6536</v>
      </c>
      <c r="D2451" s="14" t="s">
        <v>6666</v>
      </c>
    </row>
    <row r="2452" spans="1:4" hidden="1" x14ac:dyDescent="0.25">
      <c r="A2452" t="s">
        <v>5584</v>
      </c>
      <c r="B2452" s="3"/>
      <c r="C2452" s="18" t="s">
        <v>6537</v>
      </c>
      <c r="D2452" s="14" t="s">
        <v>6666</v>
      </c>
    </row>
    <row r="2453" spans="1:4" hidden="1" x14ac:dyDescent="0.25">
      <c r="A2453" t="s">
        <v>6132</v>
      </c>
      <c r="B2453" s="3"/>
      <c r="C2453" s="18" t="s">
        <v>6538</v>
      </c>
      <c r="D2453" s="14" t="s">
        <v>6666</v>
      </c>
    </row>
    <row r="2454" spans="1:4" hidden="1" x14ac:dyDescent="0.25">
      <c r="A2454" t="s">
        <v>6133</v>
      </c>
      <c r="B2454" s="3"/>
      <c r="C2454" s="18" t="s">
        <v>6539</v>
      </c>
      <c r="D2454" s="14" t="s">
        <v>6666</v>
      </c>
    </row>
    <row r="2455" spans="1:4" hidden="1" x14ac:dyDescent="0.25">
      <c r="A2455" t="s">
        <v>6134</v>
      </c>
      <c r="B2455" s="3"/>
      <c r="C2455" s="18" t="s">
        <v>6540</v>
      </c>
      <c r="D2455" s="14" t="s">
        <v>6666</v>
      </c>
    </row>
    <row r="2456" spans="1:4" hidden="1" x14ac:dyDescent="0.25">
      <c r="A2456" t="s">
        <v>5585</v>
      </c>
      <c r="B2456" s="3"/>
      <c r="C2456" s="18" t="s">
        <v>6541</v>
      </c>
      <c r="D2456" s="14" t="s">
        <v>6666</v>
      </c>
    </row>
    <row r="2457" spans="1:4" hidden="1" x14ac:dyDescent="0.25">
      <c r="A2457" t="s">
        <v>6135</v>
      </c>
      <c r="B2457" s="3"/>
      <c r="C2457" s="18" t="s">
        <v>6542</v>
      </c>
      <c r="D2457" s="14" t="s">
        <v>6666</v>
      </c>
    </row>
    <row r="2458" spans="1:4" hidden="1" x14ac:dyDescent="0.25">
      <c r="A2458" t="s">
        <v>5586</v>
      </c>
      <c r="B2458" s="3"/>
      <c r="C2458" s="18" t="s">
        <v>6543</v>
      </c>
      <c r="D2458" s="14" t="s">
        <v>6666</v>
      </c>
    </row>
    <row r="2459" spans="1:4" hidden="1" x14ac:dyDescent="0.25">
      <c r="A2459" t="s">
        <v>6136</v>
      </c>
      <c r="B2459" s="3"/>
      <c r="C2459" s="18" t="s">
        <v>6544</v>
      </c>
      <c r="D2459" s="14" t="s">
        <v>6666</v>
      </c>
    </row>
    <row r="2460" spans="1:4" hidden="1" x14ac:dyDescent="0.25">
      <c r="A2460" t="s">
        <v>5587</v>
      </c>
      <c r="B2460" s="3"/>
      <c r="C2460" s="18" t="s">
        <v>6545</v>
      </c>
      <c r="D2460" s="14" t="s">
        <v>6666</v>
      </c>
    </row>
    <row r="2461" spans="1:4" hidden="1" x14ac:dyDescent="0.25">
      <c r="A2461" t="s">
        <v>5588</v>
      </c>
      <c r="B2461" s="3"/>
      <c r="C2461" s="18" t="s">
        <v>6546</v>
      </c>
      <c r="D2461" s="14" t="s">
        <v>6666</v>
      </c>
    </row>
    <row r="2462" spans="1:4" hidden="1" x14ac:dyDescent="0.25">
      <c r="A2462" t="s">
        <v>6137</v>
      </c>
      <c r="B2462" s="3"/>
      <c r="C2462" s="18" t="s">
        <v>6547</v>
      </c>
      <c r="D2462" s="14" t="s">
        <v>6666</v>
      </c>
    </row>
    <row r="2463" spans="1:4" hidden="1" x14ac:dyDescent="0.25">
      <c r="A2463" t="s">
        <v>5589</v>
      </c>
      <c r="B2463" s="3"/>
      <c r="C2463" s="19" t="s">
        <v>6548</v>
      </c>
      <c r="D2463" s="14" t="s">
        <v>6666</v>
      </c>
    </row>
    <row r="2464" spans="1:4" hidden="1" x14ac:dyDescent="0.25">
      <c r="A2464" t="s">
        <v>6138</v>
      </c>
      <c r="B2464" s="3"/>
      <c r="C2464" s="19" t="s">
        <v>6549</v>
      </c>
      <c r="D2464" s="14" t="s">
        <v>6666</v>
      </c>
    </row>
    <row r="2465" spans="1:4" hidden="1" x14ac:dyDescent="0.25">
      <c r="A2465" t="s">
        <v>5590</v>
      </c>
      <c r="B2465" s="3"/>
      <c r="C2465" s="18" t="s">
        <v>6550</v>
      </c>
      <c r="D2465" s="14" t="s">
        <v>6666</v>
      </c>
    </row>
    <row r="2466" spans="1:4" hidden="1" x14ac:dyDescent="0.25">
      <c r="A2466" t="s">
        <v>6139</v>
      </c>
      <c r="B2466" s="3"/>
      <c r="C2466" s="18" t="s">
        <v>6551</v>
      </c>
      <c r="D2466" s="14" t="s">
        <v>6666</v>
      </c>
    </row>
    <row r="2467" spans="1:4" hidden="1" x14ac:dyDescent="0.25">
      <c r="A2467" t="s">
        <v>5591</v>
      </c>
      <c r="B2467" s="3"/>
      <c r="C2467" s="18" t="s">
        <v>6552</v>
      </c>
      <c r="D2467" s="14" t="s">
        <v>6666</v>
      </c>
    </row>
    <row r="2468" spans="1:4" hidden="1" x14ac:dyDescent="0.25">
      <c r="A2468" t="s">
        <v>6140</v>
      </c>
      <c r="B2468" s="3"/>
      <c r="C2468" s="18" t="s">
        <v>6553</v>
      </c>
      <c r="D2468" s="14" t="s">
        <v>6666</v>
      </c>
    </row>
    <row r="2469" spans="1:4" hidden="1" x14ac:dyDescent="0.25">
      <c r="A2469" t="s">
        <v>6141</v>
      </c>
      <c r="B2469" s="3"/>
      <c r="C2469" s="18" t="s">
        <v>6554</v>
      </c>
      <c r="D2469" s="14" t="s">
        <v>6666</v>
      </c>
    </row>
    <row r="2470" spans="1:4" hidden="1" x14ac:dyDescent="0.25">
      <c r="A2470" t="s">
        <v>6142</v>
      </c>
      <c r="B2470" s="3"/>
      <c r="C2470" s="18" t="s">
        <v>6555</v>
      </c>
      <c r="D2470" s="14" t="s">
        <v>6666</v>
      </c>
    </row>
    <row r="2471" spans="1:4" hidden="1" x14ac:dyDescent="0.25">
      <c r="A2471" t="s">
        <v>5592</v>
      </c>
      <c r="B2471" s="3"/>
      <c r="C2471" s="18" t="s">
        <v>6556</v>
      </c>
      <c r="D2471" s="14" t="s">
        <v>6666</v>
      </c>
    </row>
    <row r="2472" spans="1:4" hidden="1" x14ac:dyDescent="0.25">
      <c r="A2472" t="s">
        <v>6143</v>
      </c>
      <c r="B2472" s="3"/>
      <c r="C2472" s="18" t="s">
        <v>6557</v>
      </c>
      <c r="D2472" s="14" t="s">
        <v>6666</v>
      </c>
    </row>
    <row r="2473" spans="1:4" hidden="1" x14ac:dyDescent="0.25">
      <c r="A2473" t="s">
        <v>5593</v>
      </c>
      <c r="B2473" s="3"/>
      <c r="C2473" s="18" t="s">
        <v>6558</v>
      </c>
      <c r="D2473" s="14" t="s">
        <v>6666</v>
      </c>
    </row>
    <row r="2474" spans="1:4" hidden="1" x14ac:dyDescent="0.25">
      <c r="A2474" t="s">
        <v>6144</v>
      </c>
      <c r="B2474" s="3"/>
      <c r="C2474" s="18" t="s">
        <v>6559</v>
      </c>
      <c r="D2474" s="14" t="s">
        <v>6666</v>
      </c>
    </row>
    <row r="2475" spans="1:4" hidden="1" x14ac:dyDescent="0.25">
      <c r="A2475" t="s">
        <v>5594</v>
      </c>
      <c r="B2475" s="3"/>
      <c r="C2475" s="18" t="s">
        <v>6560</v>
      </c>
      <c r="D2475" s="14" t="s">
        <v>6666</v>
      </c>
    </row>
    <row r="2476" spans="1:4" hidden="1" x14ac:dyDescent="0.25">
      <c r="A2476" t="s">
        <v>5595</v>
      </c>
      <c r="B2476" s="3"/>
      <c r="C2476" s="18" t="s">
        <v>6561</v>
      </c>
      <c r="D2476" s="14" t="s">
        <v>6666</v>
      </c>
    </row>
    <row r="2477" spans="1:4" hidden="1" x14ac:dyDescent="0.25">
      <c r="A2477" t="s">
        <v>6145</v>
      </c>
      <c r="B2477" s="3"/>
      <c r="C2477" s="18" t="s">
        <v>6562</v>
      </c>
      <c r="D2477" s="14" t="s">
        <v>6666</v>
      </c>
    </row>
    <row r="2478" spans="1:4" hidden="1" x14ac:dyDescent="0.25">
      <c r="A2478" t="s">
        <v>5596</v>
      </c>
      <c r="B2478" s="3"/>
      <c r="C2478" s="18" t="s">
        <v>6563</v>
      </c>
      <c r="D2478" s="14" t="s">
        <v>6666</v>
      </c>
    </row>
    <row r="2479" spans="1:4" hidden="1" x14ac:dyDescent="0.25">
      <c r="A2479" t="s">
        <v>6146</v>
      </c>
      <c r="B2479" s="3"/>
      <c r="C2479" s="18" t="s">
        <v>6564</v>
      </c>
      <c r="D2479" s="14" t="s">
        <v>6666</v>
      </c>
    </row>
    <row r="2480" spans="1:4" hidden="1" x14ac:dyDescent="0.25">
      <c r="A2480" t="s">
        <v>5597</v>
      </c>
      <c r="B2480" s="3"/>
      <c r="C2480" s="18" t="s">
        <v>6565</v>
      </c>
      <c r="D2480" s="14" t="s">
        <v>6666</v>
      </c>
    </row>
    <row r="2481" spans="1:4" hidden="1" x14ac:dyDescent="0.25">
      <c r="A2481" t="s">
        <v>6147</v>
      </c>
      <c r="B2481" s="3"/>
      <c r="C2481" s="18" t="s">
        <v>6566</v>
      </c>
      <c r="D2481" s="14" t="s">
        <v>6666</v>
      </c>
    </row>
    <row r="2482" spans="1:4" hidden="1" x14ac:dyDescent="0.25">
      <c r="A2482" t="s">
        <v>5598</v>
      </c>
      <c r="B2482" s="3"/>
      <c r="C2482" s="18" t="s">
        <v>6567</v>
      </c>
      <c r="D2482" s="14" t="s">
        <v>6666</v>
      </c>
    </row>
    <row r="2483" spans="1:4" hidden="1" x14ac:dyDescent="0.25">
      <c r="A2483" t="s">
        <v>6148</v>
      </c>
      <c r="B2483" s="3"/>
      <c r="C2483" s="18" t="s">
        <v>6568</v>
      </c>
      <c r="D2483" s="14" t="s">
        <v>6666</v>
      </c>
    </row>
    <row r="2484" spans="1:4" hidden="1" x14ac:dyDescent="0.25">
      <c r="A2484" t="s">
        <v>6149</v>
      </c>
      <c r="B2484" s="3"/>
      <c r="C2484" s="18" t="s">
        <v>6569</v>
      </c>
      <c r="D2484" s="14" t="s">
        <v>6666</v>
      </c>
    </row>
    <row r="2485" spans="1:4" hidden="1" x14ac:dyDescent="0.25">
      <c r="A2485" t="s">
        <v>6150</v>
      </c>
      <c r="B2485" s="3"/>
      <c r="C2485" s="18" t="s">
        <v>6570</v>
      </c>
      <c r="D2485" s="14" t="s">
        <v>6666</v>
      </c>
    </row>
    <row r="2486" spans="1:4" hidden="1" x14ac:dyDescent="0.25">
      <c r="A2486" t="s">
        <v>5599</v>
      </c>
      <c r="B2486" s="3"/>
      <c r="C2486" s="18" t="s">
        <v>6571</v>
      </c>
      <c r="D2486" s="14" t="s">
        <v>6666</v>
      </c>
    </row>
    <row r="2487" spans="1:4" hidden="1" x14ac:dyDescent="0.25">
      <c r="A2487" t="s">
        <v>6151</v>
      </c>
      <c r="B2487" s="3"/>
      <c r="C2487" s="18" t="s">
        <v>6572</v>
      </c>
      <c r="D2487" s="14" t="s">
        <v>6666</v>
      </c>
    </row>
    <row r="2488" spans="1:4" hidden="1" x14ac:dyDescent="0.25">
      <c r="A2488" t="s">
        <v>5600</v>
      </c>
      <c r="B2488" s="3"/>
      <c r="C2488" s="18" t="s">
        <v>6573</v>
      </c>
      <c r="D2488" s="14" t="s">
        <v>6666</v>
      </c>
    </row>
    <row r="2489" spans="1:4" hidden="1" x14ac:dyDescent="0.25">
      <c r="A2489" t="s">
        <v>6152</v>
      </c>
      <c r="B2489" s="3"/>
      <c r="C2489" s="18" t="s">
        <v>6574</v>
      </c>
      <c r="D2489" s="14" t="s">
        <v>6666</v>
      </c>
    </row>
    <row r="2490" spans="1:4" hidden="1" x14ac:dyDescent="0.25">
      <c r="A2490" t="s">
        <v>5601</v>
      </c>
      <c r="B2490" s="3"/>
      <c r="C2490" s="18" t="s">
        <v>6575</v>
      </c>
      <c r="D2490" s="14" t="s">
        <v>6666</v>
      </c>
    </row>
    <row r="2491" spans="1:4" hidden="1" x14ac:dyDescent="0.25">
      <c r="A2491" t="s">
        <v>5602</v>
      </c>
      <c r="B2491" s="3"/>
      <c r="C2491" s="18" t="s">
        <v>6576</v>
      </c>
      <c r="D2491" s="14" t="s">
        <v>6666</v>
      </c>
    </row>
    <row r="2492" spans="1:4" hidden="1" x14ac:dyDescent="0.25">
      <c r="A2492" t="s">
        <v>6153</v>
      </c>
      <c r="B2492" s="3"/>
      <c r="C2492" s="18" t="s">
        <v>6577</v>
      </c>
      <c r="D2492" s="14" t="s">
        <v>6666</v>
      </c>
    </row>
    <row r="2493" spans="1:4" hidden="1" x14ac:dyDescent="0.25">
      <c r="A2493" t="s">
        <v>5603</v>
      </c>
      <c r="B2493" s="3"/>
      <c r="C2493" s="18" t="s">
        <v>6578</v>
      </c>
      <c r="D2493" s="14" t="s">
        <v>6666</v>
      </c>
    </row>
    <row r="2494" spans="1:4" hidden="1" x14ac:dyDescent="0.25">
      <c r="A2494" t="s">
        <v>6154</v>
      </c>
      <c r="B2494" s="3"/>
      <c r="C2494" s="18" t="s">
        <v>6579</v>
      </c>
      <c r="D2494" s="14" t="s">
        <v>6666</v>
      </c>
    </row>
    <row r="2495" spans="1:4" hidden="1" x14ac:dyDescent="0.25">
      <c r="A2495" t="s">
        <v>5604</v>
      </c>
      <c r="B2495" s="3"/>
      <c r="C2495" s="18" t="s">
        <v>6580</v>
      </c>
      <c r="D2495" s="14" t="s">
        <v>6666</v>
      </c>
    </row>
    <row r="2496" spans="1:4" hidden="1" x14ac:dyDescent="0.25">
      <c r="A2496" t="s">
        <v>6155</v>
      </c>
      <c r="B2496" s="3"/>
      <c r="C2496" s="18" t="s">
        <v>6581</v>
      </c>
      <c r="D2496" s="14" t="s">
        <v>6666</v>
      </c>
    </row>
    <row r="2497" spans="1:4" hidden="1" x14ac:dyDescent="0.25">
      <c r="A2497" t="s">
        <v>5605</v>
      </c>
      <c r="B2497" s="3"/>
      <c r="C2497" s="18" t="s">
        <v>6582</v>
      </c>
      <c r="D2497" s="14" t="s">
        <v>6666</v>
      </c>
    </row>
    <row r="2498" spans="1:4" hidden="1" x14ac:dyDescent="0.25">
      <c r="A2498" t="s">
        <v>6156</v>
      </c>
      <c r="B2498" s="3"/>
      <c r="C2498" s="18" t="s">
        <v>6583</v>
      </c>
      <c r="D2498" s="14" t="s">
        <v>6666</v>
      </c>
    </row>
    <row r="2499" spans="1:4" hidden="1" x14ac:dyDescent="0.25">
      <c r="A2499" t="s">
        <v>6157</v>
      </c>
      <c r="B2499" s="3"/>
      <c r="C2499" s="18" t="s">
        <v>6584</v>
      </c>
      <c r="D2499" s="14" t="s">
        <v>6666</v>
      </c>
    </row>
    <row r="2500" spans="1:4" hidden="1" x14ac:dyDescent="0.25">
      <c r="A2500" t="s">
        <v>6158</v>
      </c>
      <c r="B2500" s="3"/>
      <c r="C2500" s="19" t="s">
        <v>6585</v>
      </c>
      <c r="D2500" s="14" t="s">
        <v>6666</v>
      </c>
    </row>
    <row r="2501" spans="1:4" hidden="1" x14ac:dyDescent="0.25">
      <c r="A2501" t="s">
        <v>5606</v>
      </c>
      <c r="B2501" s="3"/>
      <c r="C2501" s="19" t="s">
        <v>6586</v>
      </c>
      <c r="D2501" s="14" t="s">
        <v>6666</v>
      </c>
    </row>
    <row r="2502" spans="1:4" hidden="1" x14ac:dyDescent="0.25">
      <c r="A2502" t="s">
        <v>6159</v>
      </c>
      <c r="B2502" s="3"/>
      <c r="C2502" s="18" t="s">
        <v>6587</v>
      </c>
      <c r="D2502" s="14" t="s">
        <v>6666</v>
      </c>
    </row>
    <row r="2503" spans="1:4" hidden="1" x14ac:dyDescent="0.25">
      <c r="A2503" t="s">
        <v>5607</v>
      </c>
      <c r="B2503" s="3"/>
      <c r="C2503" s="18" t="s">
        <v>6588</v>
      </c>
      <c r="D2503" s="14" t="s">
        <v>6666</v>
      </c>
    </row>
    <row r="2504" spans="1:4" hidden="1" x14ac:dyDescent="0.25">
      <c r="A2504" t="s">
        <v>6160</v>
      </c>
      <c r="B2504" s="3"/>
      <c r="C2504" s="18" t="s">
        <v>6589</v>
      </c>
      <c r="D2504" s="14" t="s">
        <v>6666</v>
      </c>
    </row>
    <row r="2505" spans="1:4" hidden="1" x14ac:dyDescent="0.25">
      <c r="A2505" t="s">
        <v>5608</v>
      </c>
      <c r="B2505" s="3"/>
      <c r="C2505" s="18" t="s">
        <v>6590</v>
      </c>
      <c r="D2505" s="14" t="s">
        <v>6666</v>
      </c>
    </row>
    <row r="2506" spans="1:4" hidden="1" x14ac:dyDescent="0.25">
      <c r="A2506" t="s">
        <v>5609</v>
      </c>
      <c r="B2506" s="3"/>
      <c r="C2506" s="18" t="s">
        <v>6591</v>
      </c>
      <c r="D2506" s="14" t="s">
        <v>6666</v>
      </c>
    </row>
    <row r="2507" spans="1:4" hidden="1" x14ac:dyDescent="0.25">
      <c r="A2507" t="s">
        <v>6281</v>
      </c>
      <c r="B2507" s="3"/>
      <c r="C2507" s="18" t="s">
        <v>6592</v>
      </c>
      <c r="D2507" s="14" t="s">
        <v>6666</v>
      </c>
    </row>
    <row r="2508" spans="1:4" hidden="1" x14ac:dyDescent="0.25">
      <c r="A2508" t="s">
        <v>5610</v>
      </c>
      <c r="B2508" s="3"/>
      <c r="C2508" s="18" t="s">
        <v>6593</v>
      </c>
      <c r="D2508" s="14" t="s">
        <v>6666</v>
      </c>
    </row>
    <row r="2509" spans="1:4" hidden="1" x14ac:dyDescent="0.25">
      <c r="A2509" t="s">
        <v>6282</v>
      </c>
      <c r="B2509" s="3"/>
      <c r="C2509" s="18" t="s">
        <v>6594</v>
      </c>
      <c r="D2509" s="14" t="s">
        <v>6666</v>
      </c>
    </row>
    <row r="2510" spans="1:4" hidden="1" x14ac:dyDescent="0.25">
      <c r="A2510" t="s">
        <v>5611</v>
      </c>
      <c r="B2510" s="3"/>
      <c r="C2510" s="18" t="s">
        <v>6595</v>
      </c>
      <c r="D2510" s="14" t="s">
        <v>6666</v>
      </c>
    </row>
    <row r="2511" spans="1:4" hidden="1" x14ac:dyDescent="0.25">
      <c r="A2511" t="s">
        <v>6283</v>
      </c>
      <c r="B2511" s="3"/>
      <c r="C2511" s="18" t="s">
        <v>6596</v>
      </c>
      <c r="D2511" s="14" t="s">
        <v>6666</v>
      </c>
    </row>
    <row r="2512" spans="1:4" hidden="1" x14ac:dyDescent="0.25">
      <c r="A2512" t="s">
        <v>5612</v>
      </c>
      <c r="B2512" s="3"/>
      <c r="C2512" s="18" t="s">
        <v>6597</v>
      </c>
      <c r="D2512" s="14" t="s">
        <v>6666</v>
      </c>
    </row>
    <row r="2513" spans="1:4" hidden="1" x14ac:dyDescent="0.25">
      <c r="A2513" t="s">
        <v>6284</v>
      </c>
      <c r="B2513" s="3"/>
      <c r="C2513" s="18" t="s">
        <v>6598</v>
      </c>
      <c r="D2513" s="14" t="s">
        <v>6666</v>
      </c>
    </row>
    <row r="2514" spans="1:4" hidden="1" x14ac:dyDescent="0.25">
      <c r="A2514" t="s">
        <v>6285</v>
      </c>
      <c r="B2514" s="3"/>
      <c r="C2514" s="18" t="s">
        <v>6599</v>
      </c>
      <c r="D2514" s="14" t="s">
        <v>6666</v>
      </c>
    </row>
    <row r="2515" spans="1:4" hidden="1" x14ac:dyDescent="0.25">
      <c r="A2515" t="s">
        <v>6286</v>
      </c>
      <c r="B2515" s="3"/>
      <c r="C2515" s="18" t="s">
        <v>6600</v>
      </c>
      <c r="D2515" s="14" t="s">
        <v>6666</v>
      </c>
    </row>
    <row r="2516" spans="1:4" hidden="1" x14ac:dyDescent="0.25">
      <c r="A2516" t="s">
        <v>5613</v>
      </c>
      <c r="B2516" s="3"/>
      <c r="C2516" s="18" t="s">
        <v>6601</v>
      </c>
      <c r="D2516" s="14" t="s">
        <v>6666</v>
      </c>
    </row>
    <row r="2517" spans="1:4" hidden="1" x14ac:dyDescent="0.25">
      <c r="A2517" t="s">
        <v>6287</v>
      </c>
      <c r="B2517" s="3"/>
      <c r="C2517" s="18" t="s">
        <v>6602</v>
      </c>
      <c r="D2517" s="14" t="s">
        <v>6666</v>
      </c>
    </row>
    <row r="2518" spans="1:4" hidden="1" x14ac:dyDescent="0.25">
      <c r="A2518" t="s">
        <v>5614</v>
      </c>
      <c r="B2518" s="3"/>
      <c r="C2518" s="18" t="s">
        <v>6603</v>
      </c>
      <c r="D2518" s="14" t="s">
        <v>6666</v>
      </c>
    </row>
    <row r="2519" spans="1:4" hidden="1" x14ac:dyDescent="0.25">
      <c r="A2519" t="s">
        <v>6288</v>
      </c>
      <c r="B2519" s="3"/>
      <c r="C2519" s="18" t="s">
        <v>6604</v>
      </c>
      <c r="D2519" s="14" t="s">
        <v>6666</v>
      </c>
    </row>
    <row r="2520" spans="1:4" hidden="1" x14ac:dyDescent="0.25">
      <c r="A2520" t="s">
        <v>5615</v>
      </c>
      <c r="B2520" s="3"/>
      <c r="C2520" s="18" t="s">
        <v>6605</v>
      </c>
      <c r="D2520" s="14" t="s">
        <v>6666</v>
      </c>
    </row>
    <row r="2521" spans="1:4" hidden="1" x14ac:dyDescent="0.25">
      <c r="A2521" t="s">
        <v>5616</v>
      </c>
      <c r="B2521" s="3"/>
      <c r="C2521" s="18" t="s">
        <v>6606</v>
      </c>
      <c r="D2521" s="14" t="s">
        <v>6666</v>
      </c>
    </row>
    <row r="2522" spans="1:4" hidden="1" x14ac:dyDescent="0.25">
      <c r="A2522" t="s">
        <v>6289</v>
      </c>
      <c r="B2522" s="3"/>
      <c r="C2522" s="18" t="s">
        <v>6607</v>
      </c>
      <c r="D2522" s="14" t="s">
        <v>6666</v>
      </c>
    </row>
    <row r="2523" spans="1:4" hidden="1" x14ac:dyDescent="0.25">
      <c r="A2523" t="s">
        <v>5617</v>
      </c>
      <c r="B2523" s="3"/>
      <c r="C2523" s="18" t="s">
        <v>6608</v>
      </c>
      <c r="D2523" s="14" t="s">
        <v>6666</v>
      </c>
    </row>
    <row r="2524" spans="1:4" hidden="1" x14ac:dyDescent="0.25">
      <c r="A2524" t="s">
        <v>6290</v>
      </c>
      <c r="B2524" s="3"/>
      <c r="C2524" s="18" t="s">
        <v>6609</v>
      </c>
      <c r="D2524" s="14" t="s">
        <v>6666</v>
      </c>
    </row>
    <row r="2525" spans="1:4" hidden="1" x14ac:dyDescent="0.25">
      <c r="A2525" t="s">
        <v>5618</v>
      </c>
      <c r="B2525" s="3"/>
      <c r="C2525" s="18" t="s">
        <v>6610</v>
      </c>
      <c r="D2525" s="14" t="s">
        <v>6666</v>
      </c>
    </row>
    <row r="2526" spans="1:4" hidden="1" x14ac:dyDescent="0.25">
      <c r="A2526" t="s">
        <v>6291</v>
      </c>
      <c r="B2526" s="3"/>
      <c r="C2526" s="18" t="s">
        <v>6611</v>
      </c>
      <c r="D2526" s="14" t="s">
        <v>6666</v>
      </c>
    </row>
    <row r="2527" spans="1:4" hidden="1" x14ac:dyDescent="0.25">
      <c r="A2527" t="s">
        <v>5619</v>
      </c>
      <c r="B2527" s="3"/>
      <c r="C2527" s="18" t="s">
        <v>6612</v>
      </c>
      <c r="D2527" s="14" t="s">
        <v>6666</v>
      </c>
    </row>
    <row r="2528" spans="1:4" hidden="1" x14ac:dyDescent="0.25">
      <c r="A2528" t="s">
        <v>6292</v>
      </c>
      <c r="B2528" s="3"/>
      <c r="C2528" s="18" t="s">
        <v>6613</v>
      </c>
      <c r="D2528" s="14" t="s">
        <v>6666</v>
      </c>
    </row>
    <row r="2529" spans="1:4" hidden="1" x14ac:dyDescent="0.25">
      <c r="A2529" t="s">
        <v>6293</v>
      </c>
      <c r="B2529" s="3"/>
      <c r="C2529" s="18" t="s">
        <v>6614</v>
      </c>
      <c r="D2529" s="14" t="s">
        <v>6666</v>
      </c>
    </row>
    <row r="2530" spans="1:4" hidden="1" x14ac:dyDescent="0.25">
      <c r="A2530" t="s">
        <v>6294</v>
      </c>
      <c r="B2530" s="3"/>
      <c r="C2530" s="18" t="s">
        <v>6615</v>
      </c>
      <c r="D2530" s="14" t="s">
        <v>6666</v>
      </c>
    </row>
    <row r="2531" spans="1:4" hidden="1" x14ac:dyDescent="0.25">
      <c r="A2531" t="s">
        <v>5620</v>
      </c>
      <c r="B2531" s="3"/>
      <c r="C2531" s="18" t="s">
        <v>6616</v>
      </c>
      <c r="D2531" s="14" t="s">
        <v>6666</v>
      </c>
    </row>
    <row r="2532" spans="1:4" hidden="1" x14ac:dyDescent="0.25">
      <c r="A2532" t="s">
        <v>6295</v>
      </c>
      <c r="B2532" s="3"/>
      <c r="C2532" s="18" t="s">
        <v>6617</v>
      </c>
      <c r="D2532" s="14" t="s">
        <v>6666</v>
      </c>
    </row>
    <row r="2533" spans="1:4" hidden="1" x14ac:dyDescent="0.25">
      <c r="A2533" t="s">
        <v>5621</v>
      </c>
      <c r="B2533" s="3"/>
      <c r="C2533" s="18" t="s">
        <v>6618</v>
      </c>
      <c r="D2533" s="14" t="s">
        <v>6666</v>
      </c>
    </row>
    <row r="2534" spans="1:4" hidden="1" x14ac:dyDescent="0.25">
      <c r="A2534" t="s">
        <v>6296</v>
      </c>
      <c r="B2534" s="3"/>
      <c r="C2534" s="18" t="s">
        <v>6619</v>
      </c>
      <c r="D2534" s="14" t="s">
        <v>6666</v>
      </c>
    </row>
    <row r="2535" spans="1:4" hidden="1" x14ac:dyDescent="0.25">
      <c r="A2535" t="s">
        <v>5622</v>
      </c>
      <c r="B2535" s="3"/>
      <c r="C2535" s="18" t="s">
        <v>6620</v>
      </c>
      <c r="D2535" s="14" t="s">
        <v>6666</v>
      </c>
    </row>
    <row r="2536" spans="1:4" hidden="1" x14ac:dyDescent="0.25">
      <c r="A2536" t="s">
        <v>5623</v>
      </c>
      <c r="B2536" s="3"/>
      <c r="C2536" s="18" t="s">
        <v>6621</v>
      </c>
      <c r="D2536" s="14" t="s">
        <v>6666</v>
      </c>
    </row>
    <row r="2537" spans="1:4" hidden="1" x14ac:dyDescent="0.25">
      <c r="A2537" t="s">
        <v>6297</v>
      </c>
      <c r="B2537" s="3"/>
      <c r="C2537" s="18" t="s">
        <v>6622</v>
      </c>
      <c r="D2537" s="14" t="s">
        <v>6666</v>
      </c>
    </row>
    <row r="2538" spans="1:4" hidden="1" x14ac:dyDescent="0.25">
      <c r="A2538" t="s">
        <v>5624</v>
      </c>
      <c r="B2538" s="3"/>
      <c r="C2538" s="19" t="s">
        <v>6623</v>
      </c>
      <c r="D2538" s="14" t="s">
        <v>6666</v>
      </c>
    </row>
    <row r="2539" spans="1:4" hidden="1" x14ac:dyDescent="0.25">
      <c r="A2539" t="s">
        <v>6298</v>
      </c>
      <c r="B2539" s="3"/>
      <c r="C2539" s="19" t="s">
        <v>6624</v>
      </c>
      <c r="D2539" s="14" t="s">
        <v>6666</v>
      </c>
    </row>
    <row r="2540" spans="1:4" hidden="1" x14ac:dyDescent="0.25">
      <c r="A2540" t="s">
        <v>5625</v>
      </c>
      <c r="B2540" s="3"/>
      <c r="C2540" s="18" t="s">
        <v>6625</v>
      </c>
      <c r="D2540" s="14" t="s">
        <v>6666</v>
      </c>
    </row>
    <row r="2541" spans="1:4" hidden="1" x14ac:dyDescent="0.25">
      <c r="A2541" t="s">
        <v>6299</v>
      </c>
      <c r="B2541" s="3"/>
      <c r="C2541" s="18" t="s">
        <v>6626</v>
      </c>
      <c r="D2541" s="14" t="s">
        <v>6666</v>
      </c>
    </row>
    <row r="2542" spans="1:4" hidden="1" x14ac:dyDescent="0.25">
      <c r="A2542" t="s">
        <v>5626</v>
      </c>
      <c r="B2542" s="3"/>
      <c r="C2542" s="18" t="s">
        <v>6627</v>
      </c>
      <c r="D2542" s="14" t="s">
        <v>6666</v>
      </c>
    </row>
    <row r="2543" spans="1:4" hidden="1" x14ac:dyDescent="0.25">
      <c r="A2543" t="s">
        <v>6300</v>
      </c>
      <c r="B2543" s="3"/>
      <c r="C2543" s="18" t="s">
        <v>6628</v>
      </c>
      <c r="D2543" s="14" t="s">
        <v>6666</v>
      </c>
    </row>
    <row r="2544" spans="1:4" hidden="1" x14ac:dyDescent="0.25">
      <c r="A2544" t="s">
        <v>6301</v>
      </c>
      <c r="B2544" s="3"/>
      <c r="C2544" s="18" t="s">
        <v>6629</v>
      </c>
      <c r="D2544" s="14" t="s">
        <v>6666</v>
      </c>
    </row>
    <row r="2545" spans="1:4" hidden="1" x14ac:dyDescent="0.25">
      <c r="A2545" t="s">
        <v>6302</v>
      </c>
      <c r="B2545" s="3"/>
      <c r="C2545" s="18" t="s">
        <v>6630</v>
      </c>
      <c r="D2545" s="14" t="s">
        <v>6666</v>
      </c>
    </row>
    <row r="2546" spans="1:4" hidden="1" x14ac:dyDescent="0.25">
      <c r="A2546" t="s">
        <v>5627</v>
      </c>
      <c r="B2546" s="3"/>
      <c r="C2546" s="18" t="s">
        <v>6631</v>
      </c>
      <c r="D2546" s="14" t="s">
        <v>6666</v>
      </c>
    </row>
    <row r="2547" spans="1:4" hidden="1" x14ac:dyDescent="0.25">
      <c r="A2547" t="s">
        <v>6303</v>
      </c>
      <c r="B2547" s="3"/>
      <c r="C2547" s="18" t="s">
        <v>6632</v>
      </c>
      <c r="D2547" s="14" t="s">
        <v>6666</v>
      </c>
    </row>
    <row r="2548" spans="1:4" hidden="1" x14ac:dyDescent="0.25">
      <c r="A2548" t="s">
        <v>5628</v>
      </c>
      <c r="B2548" s="3"/>
      <c r="C2548" s="18" t="s">
        <v>6633</v>
      </c>
      <c r="D2548" s="14" t="s">
        <v>6666</v>
      </c>
    </row>
    <row r="2549" spans="1:4" hidden="1" x14ac:dyDescent="0.25">
      <c r="A2549" t="s">
        <v>6304</v>
      </c>
      <c r="B2549" s="3"/>
      <c r="C2549" s="18" t="s">
        <v>6634</v>
      </c>
      <c r="D2549" s="14" t="s">
        <v>6666</v>
      </c>
    </row>
    <row r="2550" spans="1:4" hidden="1" x14ac:dyDescent="0.25">
      <c r="A2550" t="s">
        <v>5629</v>
      </c>
      <c r="B2550" s="3"/>
      <c r="C2550" s="18" t="s">
        <v>6635</v>
      </c>
      <c r="D2550" s="14" t="s">
        <v>6666</v>
      </c>
    </row>
    <row r="2551" spans="1:4" hidden="1" x14ac:dyDescent="0.25">
      <c r="A2551" t="s">
        <v>5630</v>
      </c>
      <c r="B2551" s="3"/>
      <c r="C2551" s="18" t="s">
        <v>6636</v>
      </c>
      <c r="D2551" s="14" t="s">
        <v>6666</v>
      </c>
    </row>
    <row r="2552" spans="1:4" hidden="1" x14ac:dyDescent="0.25">
      <c r="A2552" t="s">
        <v>6305</v>
      </c>
      <c r="B2552" s="3"/>
      <c r="C2552" s="18" t="s">
        <v>6637</v>
      </c>
      <c r="D2552" s="14" t="s">
        <v>6666</v>
      </c>
    </row>
    <row r="2553" spans="1:4" hidden="1" x14ac:dyDescent="0.25">
      <c r="A2553" t="s">
        <v>5631</v>
      </c>
      <c r="B2553" s="3"/>
      <c r="C2553" s="18" t="s">
        <v>6638</v>
      </c>
      <c r="D2553" s="14" t="s">
        <v>6666</v>
      </c>
    </row>
    <row r="2554" spans="1:4" hidden="1" x14ac:dyDescent="0.25">
      <c r="A2554" t="s">
        <v>6306</v>
      </c>
      <c r="B2554" s="3"/>
      <c r="C2554" s="18" t="s">
        <v>6639</v>
      </c>
      <c r="D2554" s="14" t="s">
        <v>6666</v>
      </c>
    </row>
    <row r="2555" spans="1:4" hidden="1" x14ac:dyDescent="0.25">
      <c r="A2555" t="s">
        <v>5632</v>
      </c>
      <c r="B2555" s="3"/>
      <c r="C2555" s="18" t="s">
        <v>6640</v>
      </c>
      <c r="D2555" s="14" t="s">
        <v>6666</v>
      </c>
    </row>
    <row r="2556" spans="1:4" hidden="1" x14ac:dyDescent="0.25">
      <c r="A2556" t="s">
        <v>6307</v>
      </c>
      <c r="B2556" s="3"/>
      <c r="C2556" s="18" t="s">
        <v>6641</v>
      </c>
      <c r="D2556" s="14" t="s">
        <v>6666</v>
      </c>
    </row>
    <row r="2557" spans="1:4" hidden="1" x14ac:dyDescent="0.25">
      <c r="A2557" t="s">
        <v>5633</v>
      </c>
      <c r="B2557" s="3"/>
      <c r="C2557" s="18" t="s">
        <v>6642</v>
      </c>
      <c r="D2557" s="14" t="s">
        <v>6666</v>
      </c>
    </row>
    <row r="2558" spans="1:4" hidden="1" x14ac:dyDescent="0.25">
      <c r="A2558" t="s">
        <v>6308</v>
      </c>
      <c r="B2558" s="3"/>
      <c r="C2558" s="18" t="s">
        <v>6643</v>
      </c>
      <c r="D2558" s="14" t="s">
        <v>6666</v>
      </c>
    </row>
    <row r="2559" spans="1:4" hidden="1" x14ac:dyDescent="0.25">
      <c r="A2559" t="s">
        <v>6309</v>
      </c>
      <c r="B2559" s="3"/>
      <c r="C2559" s="18" t="s">
        <v>6644</v>
      </c>
      <c r="D2559" s="14" t="s">
        <v>6666</v>
      </c>
    </row>
    <row r="2560" spans="1:4" hidden="1" x14ac:dyDescent="0.25">
      <c r="A2560" t="s">
        <v>6310</v>
      </c>
      <c r="B2560" s="3"/>
      <c r="C2560" s="18" t="s">
        <v>6645</v>
      </c>
      <c r="D2560" s="14" t="s">
        <v>6666</v>
      </c>
    </row>
    <row r="2561" spans="1:4" hidden="1" x14ac:dyDescent="0.25">
      <c r="A2561" t="s">
        <v>5634</v>
      </c>
      <c r="B2561" s="3"/>
      <c r="C2561" s="18" t="s">
        <v>6646</v>
      </c>
      <c r="D2561" s="14" t="s">
        <v>6666</v>
      </c>
    </row>
    <row r="2562" spans="1:4" hidden="1" x14ac:dyDescent="0.25">
      <c r="A2562" t="s">
        <v>6311</v>
      </c>
      <c r="B2562" s="3"/>
      <c r="C2562" s="18" t="s">
        <v>6647</v>
      </c>
      <c r="D2562" s="14" t="s">
        <v>6666</v>
      </c>
    </row>
    <row r="2563" spans="1:4" hidden="1" x14ac:dyDescent="0.25">
      <c r="A2563" t="s">
        <v>5635</v>
      </c>
      <c r="B2563" s="3"/>
      <c r="C2563" s="18" t="s">
        <v>6648</v>
      </c>
      <c r="D2563" s="14" t="s">
        <v>6666</v>
      </c>
    </row>
    <row r="2564" spans="1:4" hidden="1" x14ac:dyDescent="0.25">
      <c r="A2564" t="s">
        <v>6312</v>
      </c>
      <c r="B2564" s="3"/>
      <c r="C2564" s="18" t="s">
        <v>6649</v>
      </c>
      <c r="D2564" s="14" t="s">
        <v>6666</v>
      </c>
    </row>
    <row r="2565" spans="1:4" hidden="1" x14ac:dyDescent="0.25">
      <c r="A2565" t="s">
        <v>5636</v>
      </c>
      <c r="B2565" s="3"/>
      <c r="C2565" s="18" t="s">
        <v>6650</v>
      </c>
      <c r="D2565" s="14" t="s">
        <v>6666</v>
      </c>
    </row>
    <row r="2566" spans="1:4" hidden="1" x14ac:dyDescent="0.25">
      <c r="A2566" t="s">
        <v>5637</v>
      </c>
      <c r="B2566" s="3"/>
      <c r="C2566" s="18" t="s">
        <v>6651</v>
      </c>
      <c r="D2566" s="14" t="s">
        <v>6666</v>
      </c>
    </row>
    <row r="2567" spans="1:4" hidden="1" x14ac:dyDescent="0.25">
      <c r="A2567" t="s">
        <v>6313</v>
      </c>
      <c r="B2567" s="3"/>
      <c r="C2567" s="18" t="s">
        <v>6652</v>
      </c>
      <c r="D2567" s="14" t="s">
        <v>6666</v>
      </c>
    </row>
    <row r="2568" spans="1:4" hidden="1" x14ac:dyDescent="0.25">
      <c r="A2568" t="s">
        <v>5638</v>
      </c>
      <c r="B2568" s="3"/>
      <c r="C2568" s="18" t="s">
        <v>6653</v>
      </c>
      <c r="D2568" s="14" t="s">
        <v>6666</v>
      </c>
    </row>
    <row r="2569" spans="1:4" hidden="1" x14ac:dyDescent="0.25">
      <c r="A2569" t="s">
        <v>6314</v>
      </c>
      <c r="B2569" s="3"/>
      <c r="C2569" s="18" t="s">
        <v>6654</v>
      </c>
      <c r="D2569" s="14" t="s">
        <v>6666</v>
      </c>
    </row>
    <row r="2570" spans="1:4" hidden="1" x14ac:dyDescent="0.25">
      <c r="A2570" t="s">
        <v>5639</v>
      </c>
      <c r="B2570" s="3"/>
      <c r="C2570" s="18" t="s">
        <v>6655</v>
      </c>
      <c r="D2570" s="14" t="s">
        <v>6666</v>
      </c>
    </row>
    <row r="2571" spans="1:4" hidden="1" x14ac:dyDescent="0.25">
      <c r="A2571" t="s">
        <v>6315</v>
      </c>
      <c r="B2571" s="3"/>
      <c r="C2571" s="18" t="s">
        <v>6656</v>
      </c>
      <c r="D2571" s="14" t="s">
        <v>6666</v>
      </c>
    </row>
    <row r="2572" spans="1:4" hidden="1" x14ac:dyDescent="0.25">
      <c r="A2572" t="s">
        <v>5640</v>
      </c>
      <c r="B2572" s="3"/>
      <c r="C2572" s="18" t="s">
        <v>6657</v>
      </c>
      <c r="D2572" s="14" t="s">
        <v>6666</v>
      </c>
    </row>
    <row r="2573" spans="1:4" hidden="1" x14ac:dyDescent="0.25">
      <c r="A2573" t="s">
        <v>6316</v>
      </c>
      <c r="B2573" s="3"/>
      <c r="C2573" s="18" t="s">
        <v>6658</v>
      </c>
      <c r="D2573" s="14" t="s">
        <v>6666</v>
      </c>
    </row>
    <row r="2574" spans="1:4" hidden="1" x14ac:dyDescent="0.25">
      <c r="A2574" t="s">
        <v>6317</v>
      </c>
      <c r="B2574" s="3"/>
      <c r="C2574" s="18" t="s">
        <v>6659</v>
      </c>
      <c r="D2574" s="14" t="s">
        <v>6666</v>
      </c>
    </row>
    <row r="2575" spans="1:4" hidden="1" x14ac:dyDescent="0.25">
      <c r="A2575" t="s">
        <v>6318</v>
      </c>
      <c r="B2575" s="3"/>
      <c r="C2575" s="19" t="s">
        <v>6660</v>
      </c>
      <c r="D2575" s="14" t="s">
        <v>6666</v>
      </c>
    </row>
    <row r="2576" spans="1:4" hidden="1" x14ac:dyDescent="0.25">
      <c r="A2576" t="s">
        <v>5641</v>
      </c>
      <c r="B2576" s="3"/>
      <c r="C2576" s="19" t="s">
        <v>6661</v>
      </c>
      <c r="D2576" s="14" t="s">
        <v>6666</v>
      </c>
    </row>
    <row r="2577" spans="1:4" hidden="1" x14ac:dyDescent="0.25">
      <c r="A2577" t="s">
        <v>6319</v>
      </c>
      <c r="B2577" s="3"/>
      <c r="C2577" s="18" t="s">
        <v>6662</v>
      </c>
      <c r="D2577" s="14" t="s">
        <v>6666</v>
      </c>
    </row>
    <row r="2578" spans="1:4" hidden="1" x14ac:dyDescent="0.25">
      <c r="A2578" t="s">
        <v>5642</v>
      </c>
      <c r="B2578" s="3"/>
      <c r="C2578" s="18" t="s">
        <v>6663</v>
      </c>
      <c r="D2578" s="14" t="s">
        <v>6666</v>
      </c>
    </row>
    <row r="2579" spans="1:4" hidden="1" x14ac:dyDescent="0.25">
      <c r="A2579" t="s">
        <v>6320</v>
      </c>
      <c r="B2579" s="3"/>
      <c r="C2579" s="18" t="s">
        <v>6664</v>
      </c>
      <c r="D2579" s="14" t="s">
        <v>6666</v>
      </c>
    </row>
    <row r="2580" spans="1:4" hidden="1" x14ac:dyDescent="0.25">
      <c r="A2580" t="s">
        <v>5643</v>
      </c>
      <c r="B2580" s="3"/>
      <c r="C2580" s="18" t="s">
        <v>6665</v>
      </c>
      <c r="D2580" s="14" t="s">
        <v>6666</v>
      </c>
    </row>
    <row r="2581" spans="1:4" hidden="1" x14ac:dyDescent="0.25">
      <c r="A2581" s="12" t="s">
        <v>5644</v>
      </c>
      <c r="B2581" s="3"/>
      <c r="C2581" s="18" t="s">
        <v>6441</v>
      </c>
      <c r="D2581" s="14" t="s">
        <v>6667</v>
      </c>
    </row>
    <row r="2582" spans="1:4" hidden="1" x14ac:dyDescent="0.25">
      <c r="A2582" s="12" t="s">
        <v>6001</v>
      </c>
      <c r="B2582" s="3"/>
      <c r="C2582" s="18" t="s">
        <v>6442</v>
      </c>
      <c r="D2582" s="14" t="s">
        <v>6667</v>
      </c>
    </row>
    <row r="2583" spans="1:4" hidden="1" x14ac:dyDescent="0.25">
      <c r="A2583" s="12" t="s">
        <v>5645</v>
      </c>
      <c r="B2583" s="3"/>
      <c r="C2583" s="18" t="s">
        <v>6443</v>
      </c>
      <c r="D2583" s="14" t="s">
        <v>6667</v>
      </c>
    </row>
    <row r="2584" spans="1:4" hidden="1" x14ac:dyDescent="0.25">
      <c r="A2584" s="12" t="s">
        <v>6002</v>
      </c>
      <c r="B2584" s="3"/>
      <c r="C2584" s="18" t="s">
        <v>6444</v>
      </c>
      <c r="D2584" s="14" t="s">
        <v>6667</v>
      </c>
    </row>
    <row r="2585" spans="1:4" hidden="1" x14ac:dyDescent="0.25">
      <c r="A2585" s="12" t="s">
        <v>5646</v>
      </c>
      <c r="B2585" s="3"/>
      <c r="C2585" s="18" t="s">
        <v>6445</v>
      </c>
      <c r="D2585" s="14" t="s">
        <v>6667</v>
      </c>
    </row>
    <row r="2586" spans="1:4" hidden="1" x14ac:dyDescent="0.25">
      <c r="A2586" s="12" t="s">
        <v>6003</v>
      </c>
      <c r="B2586" s="3"/>
      <c r="C2586" s="18" t="s">
        <v>6446</v>
      </c>
      <c r="D2586" s="14" t="s">
        <v>6667</v>
      </c>
    </row>
    <row r="2587" spans="1:4" hidden="1" x14ac:dyDescent="0.25">
      <c r="A2587" s="12" t="s">
        <v>5647</v>
      </c>
      <c r="B2587" s="3"/>
      <c r="C2587" s="18" t="s">
        <v>6447</v>
      </c>
      <c r="D2587" s="14" t="s">
        <v>6667</v>
      </c>
    </row>
    <row r="2588" spans="1:4" hidden="1" x14ac:dyDescent="0.25">
      <c r="A2588" s="12" t="s">
        <v>6004</v>
      </c>
      <c r="B2588" s="3"/>
      <c r="C2588" s="18" t="s">
        <v>6448</v>
      </c>
      <c r="D2588" s="14" t="s">
        <v>6667</v>
      </c>
    </row>
    <row r="2589" spans="1:4" hidden="1" x14ac:dyDescent="0.25">
      <c r="A2589" s="12" t="s">
        <v>6005</v>
      </c>
      <c r="B2589" s="3"/>
      <c r="C2589" s="18" t="s">
        <v>6449</v>
      </c>
      <c r="D2589" s="14" t="s">
        <v>6667</v>
      </c>
    </row>
    <row r="2590" spans="1:4" hidden="1" x14ac:dyDescent="0.25">
      <c r="A2590" s="12" t="s">
        <v>6006</v>
      </c>
      <c r="B2590" s="3"/>
      <c r="C2590" s="18" t="s">
        <v>6450</v>
      </c>
      <c r="D2590" s="14" t="s">
        <v>6667</v>
      </c>
    </row>
    <row r="2591" spans="1:4" hidden="1" x14ac:dyDescent="0.25">
      <c r="A2591" s="12" t="s">
        <v>5648</v>
      </c>
      <c r="B2591" s="3"/>
      <c r="C2591" s="18" t="s">
        <v>6451</v>
      </c>
      <c r="D2591" s="14" t="s">
        <v>6667</v>
      </c>
    </row>
    <row r="2592" spans="1:4" hidden="1" x14ac:dyDescent="0.25">
      <c r="A2592" s="12" t="s">
        <v>6007</v>
      </c>
      <c r="B2592" s="3"/>
      <c r="C2592" s="18" t="s">
        <v>6452</v>
      </c>
      <c r="D2592" s="14" t="s">
        <v>6667</v>
      </c>
    </row>
    <row r="2593" spans="1:4" hidden="1" x14ac:dyDescent="0.25">
      <c r="A2593" s="12" t="s">
        <v>5649</v>
      </c>
      <c r="B2593" s="3"/>
      <c r="C2593" s="18" t="s">
        <v>6453</v>
      </c>
      <c r="D2593" s="14" t="s">
        <v>6667</v>
      </c>
    </row>
    <row r="2594" spans="1:4" hidden="1" x14ac:dyDescent="0.25">
      <c r="A2594" s="12" t="s">
        <v>6008</v>
      </c>
      <c r="B2594" s="3"/>
      <c r="C2594" s="18" t="s">
        <v>6454</v>
      </c>
      <c r="D2594" s="14" t="s">
        <v>6667</v>
      </c>
    </row>
    <row r="2595" spans="1:4" hidden="1" x14ac:dyDescent="0.25">
      <c r="A2595" s="12" t="s">
        <v>5650</v>
      </c>
      <c r="B2595" s="3"/>
      <c r="C2595" s="18" t="s">
        <v>6455</v>
      </c>
      <c r="D2595" s="14" t="s">
        <v>6667</v>
      </c>
    </row>
    <row r="2596" spans="1:4" hidden="1" x14ac:dyDescent="0.25">
      <c r="A2596" s="12" t="s">
        <v>5651</v>
      </c>
      <c r="B2596" s="3"/>
      <c r="C2596" s="18" t="s">
        <v>6456</v>
      </c>
      <c r="D2596" s="14" t="s">
        <v>6667</v>
      </c>
    </row>
    <row r="2597" spans="1:4" hidden="1" x14ac:dyDescent="0.25">
      <c r="A2597" s="12" t="s">
        <v>6009</v>
      </c>
      <c r="B2597" s="3"/>
      <c r="C2597" s="18" t="s">
        <v>6457</v>
      </c>
      <c r="D2597" s="14" t="s">
        <v>6667</v>
      </c>
    </row>
    <row r="2598" spans="1:4" hidden="1" x14ac:dyDescent="0.25">
      <c r="A2598" s="12" t="s">
        <v>5652</v>
      </c>
      <c r="B2598" s="3"/>
      <c r="C2598" s="18" t="s">
        <v>6458</v>
      </c>
      <c r="D2598" s="14" t="s">
        <v>6667</v>
      </c>
    </row>
    <row r="2599" spans="1:4" hidden="1" x14ac:dyDescent="0.25">
      <c r="A2599" s="12" t="s">
        <v>6010</v>
      </c>
      <c r="B2599" s="3"/>
      <c r="C2599" s="18" t="s">
        <v>6459</v>
      </c>
      <c r="D2599" s="14" t="s">
        <v>6667</v>
      </c>
    </row>
    <row r="2600" spans="1:4" hidden="1" x14ac:dyDescent="0.25">
      <c r="A2600" s="12" t="s">
        <v>5653</v>
      </c>
      <c r="B2600" s="3"/>
      <c r="C2600" s="18" t="s">
        <v>6460</v>
      </c>
      <c r="D2600" s="14" t="s">
        <v>6667</v>
      </c>
    </row>
    <row r="2601" spans="1:4" hidden="1" x14ac:dyDescent="0.25">
      <c r="A2601" s="12" t="s">
        <v>6011</v>
      </c>
      <c r="B2601" s="3"/>
      <c r="C2601" s="18" t="s">
        <v>6461</v>
      </c>
      <c r="D2601" s="14" t="s">
        <v>6667</v>
      </c>
    </row>
    <row r="2602" spans="1:4" hidden="1" x14ac:dyDescent="0.25">
      <c r="A2602" s="12" t="s">
        <v>5654</v>
      </c>
      <c r="B2602" s="3"/>
      <c r="C2602" s="18" t="s">
        <v>6462</v>
      </c>
      <c r="D2602" s="14" t="s">
        <v>6667</v>
      </c>
    </row>
    <row r="2603" spans="1:4" hidden="1" x14ac:dyDescent="0.25">
      <c r="A2603" s="12" t="s">
        <v>6012</v>
      </c>
      <c r="B2603" s="3"/>
      <c r="C2603" s="18" t="s">
        <v>6463</v>
      </c>
      <c r="D2603" s="14" t="s">
        <v>6667</v>
      </c>
    </row>
    <row r="2604" spans="1:4" hidden="1" x14ac:dyDescent="0.25">
      <c r="A2604" s="12" t="s">
        <v>6013</v>
      </c>
      <c r="B2604" s="3"/>
      <c r="C2604" s="18" t="s">
        <v>6464</v>
      </c>
      <c r="D2604" s="14" t="s">
        <v>6667</v>
      </c>
    </row>
    <row r="2605" spans="1:4" hidden="1" x14ac:dyDescent="0.25">
      <c r="A2605" s="12" t="s">
        <v>6014</v>
      </c>
      <c r="B2605" s="3"/>
      <c r="C2605" s="18" t="s">
        <v>6465</v>
      </c>
      <c r="D2605" s="14" t="s">
        <v>6667</v>
      </c>
    </row>
    <row r="2606" spans="1:4" hidden="1" x14ac:dyDescent="0.25">
      <c r="A2606" s="12" t="s">
        <v>5655</v>
      </c>
      <c r="B2606" s="3"/>
      <c r="C2606" s="18" t="s">
        <v>6466</v>
      </c>
      <c r="D2606" s="14" t="s">
        <v>6667</v>
      </c>
    </row>
    <row r="2607" spans="1:4" hidden="1" x14ac:dyDescent="0.25">
      <c r="A2607" s="12" t="s">
        <v>6015</v>
      </c>
      <c r="B2607" s="3"/>
      <c r="C2607" s="18" t="s">
        <v>6467</v>
      </c>
      <c r="D2607" s="14" t="s">
        <v>6667</v>
      </c>
    </row>
    <row r="2608" spans="1:4" hidden="1" x14ac:dyDescent="0.25">
      <c r="A2608" s="12" t="s">
        <v>5656</v>
      </c>
      <c r="B2608" s="3"/>
      <c r="C2608" s="18" t="s">
        <v>6468</v>
      </c>
      <c r="D2608" s="14" t="s">
        <v>6667</v>
      </c>
    </row>
    <row r="2609" spans="1:4" hidden="1" x14ac:dyDescent="0.25">
      <c r="A2609" s="12" t="s">
        <v>6016</v>
      </c>
      <c r="B2609" s="3"/>
      <c r="C2609" s="18" t="s">
        <v>6469</v>
      </c>
      <c r="D2609" s="14" t="s">
        <v>6667</v>
      </c>
    </row>
    <row r="2610" spans="1:4" hidden="1" x14ac:dyDescent="0.25">
      <c r="A2610" s="12" t="s">
        <v>5657</v>
      </c>
      <c r="B2610" s="3"/>
      <c r="C2610" s="18" t="s">
        <v>6470</v>
      </c>
      <c r="D2610" s="14" t="s">
        <v>6667</v>
      </c>
    </row>
    <row r="2611" spans="1:4" hidden="1" x14ac:dyDescent="0.25">
      <c r="A2611" s="12" t="s">
        <v>5658</v>
      </c>
      <c r="B2611" s="3"/>
      <c r="C2611" s="18" t="s">
        <v>6471</v>
      </c>
      <c r="D2611" s="14" t="s">
        <v>6667</v>
      </c>
    </row>
    <row r="2612" spans="1:4" hidden="1" x14ac:dyDescent="0.25">
      <c r="A2612" s="12" t="s">
        <v>6017</v>
      </c>
      <c r="B2612" s="3"/>
      <c r="C2612" s="18" t="s">
        <v>6472</v>
      </c>
      <c r="D2612" s="14" t="s">
        <v>6667</v>
      </c>
    </row>
    <row r="2613" spans="1:4" hidden="1" x14ac:dyDescent="0.25">
      <c r="A2613" s="12" t="s">
        <v>5659</v>
      </c>
      <c r="B2613" s="3"/>
      <c r="C2613" s="19" t="s">
        <v>6473</v>
      </c>
      <c r="D2613" s="14" t="s">
        <v>6667</v>
      </c>
    </row>
    <row r="2614" spans="1:4" hidden="1" x14ac:dyDescent="0.25">
      <c r="A2614" s="12" t="s">
        <v>6018</v>
      </c>
      <c r="B2614" s="3"/>
      <c r="C2614" s="19" t="s">
        <v>6474</v>
      </c>
      <c r="D2614" s="14" t="s">
        <v>6667</v>
      </c>
    </row>
    <row r="2615" spans="1:4" hidden="1" x14ac:dyDescent="0.25">
      <c r="A2615" s="12" t="s">
        <v>5660</v>
      </c>
      <c r="B2615" s="3"/>
      <c r="C2615" s="18" t="s">
        <v>6475</v>
      </c>
      <c r="D2615" s="14" t="s">
        <v>6667</v>
      </c>
    </row>
    <row r="2616" spans="1:4" hidden="1" x14ac:dyDescent="0.25">
      <c r="A2616" s="12" t="s">
        <v>6019</v>
      </c>
      <c r="B2616" s="3"/>
      <c r="C2616" s="18" t="s">
        <v>6476</v>
      </c>
      <c r="D2616" s="14" t="s">
        <v>6667</v>
      </c>
    </row>
    <row r="2617" spans="1:4" hidden="1" x14ac:dyDescent="0.25">
      <c r="A2617" s="12" t="s">
        <v>5661</v>
      </c>
      <c r="B2617" s="3"/>
      <c r="C2617" s="18" t="s">
        <v>6477</v>
      </c>
      <c r="D2617" s="14" t="s">
        <v>6667</v>
      </c>
    </row>
    <row r="2618" spans="1:4" hidden="1" x14ac:dyDescent="0.25">
      <c r="A2618" s="12" t="s">
        <v>6020</v>
      </c>
      <c r="B2618" s="3"/>
      <c r="C2618" s="18" t="s">
        <v>6478</v>
      </c>
      <c r="D2618" s="14" t="s">
        <v>6667</v>
      </c>
    </row>
    <row r="2619" spans="1:4" hidden="1" x14ac:dyDescent="0.25">
      <c r="A2619" s="12" t="s">
        <v>6021</v>
      </c>
      <c r="B2619" s="3"/>
      <c r="C2619" s="18" t="s">
        <v>6479</v>
      </c>
      <c r="D2619" s="14" t="s">
        <v>6667</v>
      </c>
    </row>
    <row r="2620" spans="1:4" hidden="1" x14ac:dyDescent="0.25">
      <c r="A2620" s="12" t="s">
        <v>6022</v>
      </c>
      <c r="B2620" s="3"/>
      <c r="C2620" s="18" t="s">
        <v>6480</v>
      </c>
      <c r="D2620" s="14" t="s">
        <v>6667</v>
      </c>
    </row>
    <row r="2621" spans="1:4" hidden="1" x14ac:dyDescent="0.25">
      <c r="A2621" s="12" t="s">
        <v>5662</v>
      </c>
      <c r="B2621" s="3"/>
      <c r="C2621" s="18" t="s">
        <v>6481</v>
      </c>
      <c r="D2621" s="14" t="s">
        <v>6667</v>
      </c>
    </row>
    <row r="2622" spans="1:4" hidden="1" x14ac:dyDescent="0.25">
      <c r="A2622" s="12" t="s">
        <v>6023</v>
      </c>
      <c r="B2622" s="3"/>
      <c r="C2622" s="18" t="s">
        <v>6482</v>
      </c>
      <c r="D2622" s="14" t="s">
        <v>6667</v>
      </c>
    </row>
    <row r="2623" spans="1:4" hidden="1" x14ac:dyDescent="0.25">
      <c r="A2623" s="12" t="s">
        <v>5663</v>
      </c>
      <c r="B2623" s="3"/>
      <c r="C2623" s="18" t="s">
        <v>6483</v>
      </c>
      <c r="D2623" s="14" t="s">
        <v>6667</v>
      </c>
    </row>
    <row r="2624" spans="1:4" hidden="1" x14ac:dyDescent="0.25">
      <c r="A2624" s="12" t="s">
        <v>6024</v>
      </c>
      <c r="B2624" s="3"/>
      <c r="C2624" s="18" t="s">
        <v>6484</v>
      </c>
      <c r="D2624" s="14" t="s">
        <v>6667</v>
      </c>
    </row>
    <row r="2625" spans="1:4" hidden="1" x14ac:dyDescent="0.25">
      <c r="A2625" s="12" t="s">
        <v>5664</v>
      </c>
      <c r="B2625" s="3"/>
      <c r="C2625" s="18" t="s">
        <v>6485</v>
      </c>
      <c r="D2625" s="14" t="s">
        <v>6667</v>
      </c>
    </row>
    <row r="2626" spans="1:4" hidden="1" x14ac:dyDescent="0.25">
      <c r="A2626" s="12" t="s">
        <v>5665</v>
      </c>
      <c r="B2626" s="3"/>
      <c r="C2626" s="18" t="s">
        <v>6486</v>
      </c>
      <c r="D2626" s="14" t="s">
        <v>6667</v>
      </c>
    </row>
    <row r="2627" spans="1:4" hidden="1" x14ac:dyDescent="0.25">
      <c r="A2627" s="12" t="s">
        <v>6025</v>
      </c>
      <c r="B2627" s="3"/>
      <c r="C2627" s="18" t="s">
        <v>6487</v>
      </c>
      <c r="D2627" s="14" t="s">
        <v>6667</v>
      </c>
    </row>
    <row r="2628" spans="1:4" hidden="1" x14ac:dyDescent="0.25">
      <c r="A2628" s="12" t="s">
        <v>5666</v>
      </c>
      <c r="B2628" s="3"/>
      <c r="C2628" s="18" t="s">
        <v>6488</v>
      </c>
      <c r="D2628" s="14" t="s">
        <v>6667</v>
      </c>
    </row>
    <row r="2629" spans="1:4" hidden="1" x14ac:dyDescent="0.25">
      <c r="A2629" s="12" t="s">
        <v>6026</v>
      </c>
      <c r="B2629" s="3"/>
      <c r="C2629" s="18" t="s">
        <v>6489</v>
      </c>
      <c r="D2629" s="14" t="s">
        <v>6667</v>
      </c>
    </row>
    <row r="2630" spans="1:4" hidden="1" x14ac:dyDescent="0.25">
      <c r="A2630" s="12" t="s">
        <v>5667</v>
      </c>
      <c r="B2630" s="3"/>
      <c r="C2630" s="18" t="s">
        <v>6490</v>
      </c>
      <c r="D2630" s="14" t="s">
        <v>6667</v>
      </c>
    </row>
    <row r="2631" spans="1:4" hidden="1" x14ac:dyDescent="0.25">
      <c r="A2631" s="12" t="s">
        <v>6027</v>
      </c>
      <c r="B2631" s="3"/>
      <c r="C2631" s="18" t="s">
        <v>6491</v>
      </c>
      <c r="D2631" s="14" t="s">
        <v>6667</v>
      </c>
    </row>
    <row r="2632" spans="1:4" hidden="1" x14ac:dyDescent="0.25">
      <c r="A2632" s="12" t="s">
        <v>5668</v>
      </c>
      <c r="B2632" s="3"/>
      <c r="C2632" s="18" t="s">
        <v>6492</v>
      </c>
      <c r="D2632" s="14" t="s">
        <v>6667</v>
      </c>
    </row>
    <row r="2633" spans="1:4" hidden="1" x14ac:dyDescent="0.25">
      <c r="A2633" s="12" t="s">
        <v>6028</v>
      </c>
      <c r="B2633" s="3"/>
      <c r="C2633" s="18" t="s">
        <v>6493</v>
      </c>
      <c r="D2633" s="14" t="s">
        <v>6667</v>
      </c>
    </row>
    <row r="2634" spans="1:4" hidden="1" x14ac:dyDescent="0.25">
      <c r="A2634" s="12" t="s">
        <v>6029</v>
      </c>
      <c r="B2634" s="3"/>
      <c r="C2634" s="18" t="s">
        <v>6494</v>
      </c>
      <c r="D2634" s="14" t="s">
        <v>6667</v>
      </c>
    </row>
    <row r="2635" spans="1:4" hidden="1" x14ac:dyDescent="0.25">
      <c r="A2635" s="12" t="s">
        <v>6030</v>
      </c>
      <c r="B2635" s="3"/>
      <c r="C2635" s="18" t="s">
        <v>6495</v>
      </c>
      <c r="D2635" s="14" t="s">
        <v>6667</v>
      </c>
    </row>
    <row r="2636" spans="1:4" hidden="1" x14ac:dyDescent="0.25">
      <c r="A2636" s="12" t="s">
        <v>5669</v>
      </c>
      <c r="B2636" s="3"/>
      <c r="C2636" s="18" t="s">
        <v>6496</v>
      </c>
      <c r="D2636" s="14" t="s">
        <v>6667</v>
      </c>
    </row>
    <row r="2637" spans="1:4" hidden="1" x14ac:dyDescent="0.25">
      <c r="A2637" s="12" t="s">
        <v>6031</v>
      </c>
      <c r="B2637" s="3"/>
      <c r="C2637" s="18" t="s">
        <v>6497</v>
      </c>
      <c r="D2637" s="14" t="s">
        <v>6667</v>
      </c>
    </row>
    <row r="2638" spans="1:4" hidden="1" x14ac:dyDescent="0.25">
      <c r="A2638" s="12" t="s">
        <v>5670</v>
      </c>
      <c r="B2638" s="3"/>
      <c r="C2638" s="18" t="s">
        <v>6498</v>
      </c>
      <c r="D2638" s="14" t="s">
        <v>6667</v>
      </c>
    </row>
    <row r="2639" spans="1:4" hidden="1" x14ac:dyDescent="0.25">
      <c r="A2639" s="12" t="s">
        <v>6032</v>
      </c>
      <c r="B2639" s="3"/>
      <c r="C2639" s="18" t="s">
        <v>6499</v>
      </c>
      <c r="D2639" s="14" t="s">
        <v>6667</v>
      </c>
    </row>
    <row r="2640" spans="1:4" hidden="1" x14ac:dyDescent="0.25">
      <c r="A2640" s="12" t="s">
        <v>5671</v>
      </c>
      <c r="B2640" s="3"/>
      <c r="C2640" s="18" t="s">
        <v>6500</v>
      </c>
      <c r="D2640" s="14" t="s">
        <v>6667</v>
      </c>
    </row>
    <row r="2641" spans="1:4" hidden="1" x14ac:dyDescent="0.25">
      <c r="A2641" s="12" t="s">
        <v>5672</v>
      </c>
      <c r="B2641" s="3"/>
      <c r="C2641" s="18" t="s">
        <v>6501</v>
      </c>
      <c r="D2641" s="14" t="s">
        <v>6667</v>
      </c>
    </row>
    <row r="2642" spans="1:4" hidden="1" x14ac:dyDescent="0.25">
      <c r="A2642" s="12" t="s">
        <v>6033</v>
      </c>
      <c r="B2642" s="3"/>
      <c r="C2642" s="18" t="s">
        <v>6502</v>
      </c>
      <c r="D2642" s="14" t="s">
        <v>6667</v>
      </c>
    </row>
    <row r="2643" spans="1:4" hidden="1" x14ac:dyDescent="0.25">
      <c r="A2643" s="12" t="s">
        <v>5673</v>
      </c>
      <c r="B2643" s="3"/>
      <c r="C2643" s="18" t="s">
        <v>6503</v>
      </c>
      <c r="D2643" s="14" t="s">
        <v>6667</v>
      </c>
    </row>
    <row r="2644" spans="1:4" hidden="1" x14ac:dyDescent="0.25">
      <c r="A2644" s="12" t="s">
        <v>6034</v>
      </c>
      <c r="B2644" s="3"/>
      <c r="C2644" s="18" t="s">
        <v>6504</v>
      </c>
      <c r="D2644" s="14" t="s">
        <v>6667</v>
      </c>
    </row>
    <row r="2645" spans="1:4" hidden="1" x14ac:dyDescent="0.25">
      <c r="A2645" s="12" t="s">
        <v>5674</v>
      </c>
      <c r="B2645" s="3"/>
      <c r="C2645" s="18" t="s">
        <v>6505</v>
      </c>
      <c r="D2645" s="14" t="s">
        <v>6667</v>
      </c>
    </row>
    <row r="2646" spans="1:4" hidden="1" x14ac:dyDescent="0.25">
      <c r="A2646" s="12" t="s">
        <v>6035</v>
      </c>
      <c r="B2646" s="3"/>
      <c r="C2646" s="18" t="s">
        <v>6506</v>
      </c>
      <c r="D2646" s="14" t="s">
        <v>6667</v>
      </c>
    </row>
    <row r="2647" spans="1:4" hidden="1" x14ac:dyDescent="0.25">
      <c r="A2647" s="12" t="s">
        <v>5675</v>
      </c>
      <c r="B2647" s="3"/>
      <c r="C2647" s="18" t="s">
        <v>6507</v>
      </c>
      <c r="D2647" s="14" t="s">
        <v>6667</v>
      </c>
    </row>
    <row r="2648" spans="1:4" hidden="1" x14ac:dyDescent="0.25">
      <c r="A2648" s="12" t="s">
        <v>6036</v>
      </c>
      <c r="B2648" s="3"/>
      <c r="C2648" s="18" t="s">
        <v>6508</v>
      </c>
      <c r="D2648" s="14" t="s">
        <v>6667</v>
      </c>
    </row>
    <row r="2649" spans="1:4" hidden="1" x14ac:dyDescent="0.25">
      <c r="A2649" s="12" t="s">
        <v>6037</v>
      </c>
      <c r="B2649" s="3"/>
      <c r="C2649" s="18" t="s">
        <v>6509</v>
      </c>
      <c r="D2649" s="14" t="s">
        <v>6667</v>
      </c>
    </row>
    <row r="2650" spans="1:4" hidden="1" x14ac:dyDescent="0.25">
      <c r="A2650" s="12" t="s">
        <v>6038</v>
      </c>
      <c r="B2650" s="3"/>
      <c r="C2650" s="19" t="s">
        <v>6510</v>
      </c>
      <c r="D2650" s="14" t="s">
        <v>6667</v>
      </c>
    </row>
    <row r="2651" spans="1:4" hidden="1" x14ac:dyDescent="0.25">
      <c r="A2651" s="12" t="s">
        <v>5676</v>
      </c>
      <c r="B2651" s="3"/>
      <c r="C2651" s="19" t="s">
        <v>6511</v>
      </c>
      <c r="D2651" s="14" t="s">
        <v>6667</v>
      </c>
    </row>
    <row r="2652" spans="1:4" hidden="1" x14ac:dyDescent="0.25">
      <c r="A2652" s="12" t="s">
        <v>6039</v>
      </c>
      <c r="B2652" s="3"/>
      <c r="C2652" s="18" t="s">
        <v>6512</v>
      </c>
      <c r="D2652" s="14" t="s">
        <v>6667</v>
      </c>
    </row>
    <row r="2653" spans="1:4" hidden="1" x14ac:dyDescent="0.25">
      <c r="A2653" s="12" t="s">
        <v>5677</v>
      </c>
      <c r="B2653" s="3"/>
      <c r="C2653" s="18" t="s">
        <v>6513</v>
      </c>
      <c r="D2653" s="14" t="s">
        <v>6667</v>
      </c>
    </row>
    <row r="2654" spans="1:4" hidden="1" x14ac:dyDescent="0.25">
      <c r="A2654" s="12" t="s">
        <v>6040</v>
      </c>
      <c r="B2654" s="3"/>
      <c r="C2654" s="18" t="s">
        <v>6514</v>
      </c>
      <c r="D2654" s="14" t="s">
        <v>6667</v>
      </c>
    </row>
    <row r="2655" spans="1:4" hidden="1" x14ac:dyDescent="0.25">
      <c r="A2655" s="12" t="s">
        <v>5678</v>
      </c>
      <c r="B2655" s="3"/>
      <c r="C2655" s="18" t="s">
        <v>6515</v>
      </c>
      <c r="D2655" s="14" t="s">
        <v>6667</v>
      </c>
    </row>
    <row r="2656" spans="1:4" hidden="1" x14ac:dyDescent="0.25">
      <c r="A2656" s="12" t="s">
        <v>5679</v>
      </c>
      <c r="B2656" s="3"/>
      <c r="C2656" s="18" t="s">
        <v>6516</v>
      </c>
      <c r="D2656" s="14" t="s">
        <v>6667</v>
      </c>
    </row>
    <row r="2657" spans="1:4" hidden="1" x14ac:dyDescent="0.25">
      <c r="A2657" s="12" t="s">
        <v>6161</v>
      </c>
      <c r="B2657" s="3"/>
      <c r="C2657" s="18" t="s">
        <v>6517</v>
      </c>
      <c r="D2657" s="14" t="s">
        <v>6667</v>
      </c>
    </row>
    <row r="2658" spans="1:4" hidden="1" x14ac:dyDescent="0.25">
      <c r="A2658" s="12" t="s">
        <v>5680</v>
      </c>
      <c r="B2658" s="3"/>
      <c r="C2658" s="18" t="s">
        <v>6518</v>
      </c>
      <c r="D2658" s="14" t="s">
        <v>6667</v>
      </c>
    </row>
    <row r="2659" spans="1:4" hidden="1" x14ac:dyDescent="0.25">
      <c r="A2659" s="12" t="s">
        <v>6162</v>
      </c>
      <c r="B2659" s="3"/>
      <c r="C2659" s="18" t="s">
        <v>6519</v>
      </c>
      <c r="D2659" s="14" t="s">
        <v>6667</v>
      </c>
    </row>
    <row r="2660" spans="1:4" hidden="1" x14ac:dyDescent="0.25">
      <c r="A2660" s="12" t="s">
        <v>5681</v>
      </c>
      <c r="B2660" s="3"/>
      <c r="C2660" s="18" t="s">
        <v>6520</v>
      </c>
      <c r="D2660" s="14" t="s">
        <v>6667</v>
      </c>
    </row>
    <row r="2661" spans="1:4" hidden="1" x14ac:dyDescent="0.25">
      <c r="A2661" s="12" t="s">
        <v>6163</v>
      </c>
      <c r="B2661" s="3"/>
      <c r="C2661" s="18" t="s">
        <v>6521</v>
      </c>
      <c r="D2661" s="14" t="s">
        <v>6667</v>
      </c>
    </row>
    <row r="2662" spans="1:4" hidden="1" x14ac:dyDescent="0.25">
      <c r="A2662" s="12" t="s">
        <v>5682</v>
      </c>
      <c r="B2662" s="3"/>
      <c r="C2662" s="18" t="s">
        <v>6522</v>
      </c>
      <c r="D2662" s="14" t="s">
        <v>6667</v>
      </c>
    </row>
    <row r="2663" spans="1:4" hidden="1" x14ac:dyDescent="0.25">
      <c r="A2663" s="12" t="s">
        <v>6164</v>
      </c>
      <c r="B2663" s="3"/>
      <c r="C2663" s="18" t="s">
        <v>6523</v>
      </c>
      <c r="D2663" s="14" t="s">
        <v>6667</v>
      </c>
    </row>
    <row r="2664" spans="1:4" hidden="1" x14ac:dyDescent="0.25">
      <c r="A2664" s="12" t="s">
        <v>6165</v>
      </c>
      <c r="B2664" s="3"/>
      <c r="C2664" s="18" t="s">
        <v>6524</v>
      </c>
      <c r="D2664" s="14" t="s">
        <v>6667</v>
      </c>
    </row>
    <row r="2665" spans="1:4" hidden="1" x14ac:dyDescent="0.25">
      <c r="A2665" s="12" t="s">
        <v>6166</v>
      </c>
      <c r="B2665" s="3"/>
      <c r="C2665" s="18" t="s">
        <v>6525</v>
      </c>
      <c r="D2665" s="14" t="s">
        <v>6667</v>
      </c>
    </row>
    <row r="2666" spans="1:4" hidden="1" x14ac:dyDescent="0.25">
      <c r="A2666" s="12" t="s">
        <v>5683</v>
      </c>
      <c r="B2666" s="3"/>
      <c r="C2666" s="18" t="s">
        <v>6526</v>
      </c>
      <c r="D2666" s="14" t="s">
        <v>6667</v>
      </c>
    </row>
    <row r="2667" spans="1:4" hidden="1" x14ac:dyDescent="0.25">
      <c r="A2667" s="12" t="s">
        <v>6167</v>
      </c>
      <c r="B2667" s="3"/>
      <c r="C2667" s="18" t="s">
        <v>6527</v>
      </c>
      <c r="D2667" s="14" t="s">
        <v>6667</v>
      </c>
    </row>
    <row r="2668" spans="1:4" hidden="1" x14ac:dyDescent="0.25">
      <c r="A2668" s="12" t="s">
        <v>5684</v>
      </c>
      <c r="B2668" s="3"/>
      <c r="C2668" s="18" t="s">
        <v>6528</v>
      </c>
      <c r="D2668" s="14" t="s">
        <v>6667</v>
      </c>
    </row>
    <row r="2669" spans="1:4" hidden="1" x14ac:dyDescent="0.25">
      <c r="A2669" s="12" t="s">
        <v>6168</v>
      </c>
      <c r="B2669" s="3"/>
      <c r="C2669" s="18" t="s">
        <v>6529</v>
      </c>
      <c r="D2669" s="14" t="s">
        <v>6667</v>
      </c>
    </row>
    <row r="2670" spans="1:4" hidden="1" x14ac:dyDescent="0.25">
      <c r="A2670" s="12" t="s">
        <v>5685</v>
      </c>
      <c r="B2670" s="3"/>
      <c r="C2670" s="18" t="s">
        <v>6530</v>
      </c>
      <c r="D2670" s="14" t="s">
        <v>6667</v>
      </c>
    </row>
    <row r="2671" spans="1:4" hidden="1" x14ac:dyDescent="0.25">
      <c r="A2671" s="12" t="s">
        <v>5686</v>
      </c>
      <c r="B2671" s="3"/>
      <c r="C2671" s="18" t="s">
        <v>6531</v>
      </c>
      <c r="D2671" s="14" t="s">
        <v>6667</v>
      </c>
    </row>
    <row r="2672" spans="1:4" hidden="1" x14ac:dyDescent="0.25">
      <c r="A2672" s="12" t="s">
        <v>6169</v>
      </c>
      <c r="B2672" s="3"/>
      <c r="C2672" s="18" t="s">
        <v>6532</v>
      </c>
      <c r="D2672" s="14" t="s">
        <v>6667</v>
      </c>
    </row>
    <row r="2673" spans="1:4" hidden="1" x14ac:dyDescent="0.25">
      <c r="A2673" s="12" t="s">
        <v>5687</v>
      </c>
      <c r="B2673" s="3"/>
      <c r="C2673" s="18" t="s">
        <v>6533</v>
      </c>
      <c r="D2673" s="14" t="s">
        <v>6667</v>
      </c>
    </row>
    <row r="2674" spans="1:4" hidden="1" x14ac:dyDescent="0.25">
      <c r="A2674" s="12" t="s">
        <v>6170</v>
      </c>
      <c r="B2674" s="3"/>
      <c r="C2674" s="18" t="s">
        <v>6534</v>
      </c>
      <c r="D2674" s="14" t="s">
        <v>6667</v>
      </c>
    </row>
    <row r="2675" spans="1:4" hidden="1" x14ac:dyDescent="0.25">
      <c r="A2675" s="12" t="s">
        <v>5688</v>
      </c>
      <c r="B2675" s="3"/>
      <c r="C2675" s="18" t="s">
        <v>6535</v>
      </c>
      <c r="D2675" s="14" t="s">
        <v>6667</v>
      </c>
    </row>
    <row r="2676" spans="1:4" hidden="1" x14ac:dyDescent="0.25">
      <c r="A2676" s="12" t="s">
        <v>6171</v>
      </c>
      <c r="B2676" s="3"/>
      <c r="C2676" s="18" t="s">
        <v>6536</v>
      </c>
      <c r="D2676" s="14" t="s">
        <v>6667</v>
      </c>
    </row>
    <row r="2677" spans="1:4" hidden="1" x14ac:dyDescent="0.25">
      <c r="A2677" s="12" t="s">
        <v>5689</v>
      </c>
      <c r="B2677" s="3"/>
      <c r="C2677" s="18" t="s">
        <v>6537</v>
      </c>
      <c r="D2677" s="14" t="s">
        <v>6667</v>
      </c>
    </row>
    <row r="2678" spans="1:4" hidden="1" x14ac:dyDescent="0.25">
      <c r="A2678" s="12" t="s">
        <v>6172</v>
      </c>
      <c r="B2678" s="3"/>
      <c r="C2678" s="18" t="s">
        <v>6538</v>
      </c>
      <c r="D2678" s="14" t="s">
        <v>6667</v>
      </c>
    </row>
    <row r="2679" spans="1:4" hidden="1" x14ac:dyDescent="0.25">
      <c r="A2679" s="12" t="s">
        <v>6173</v>
      </c>
      <c r="B2679" s="3"/>
      <c r="C2679" s="18" t="s">
        <v>6539</v>
      </c>
      <c r="D2679" s="14" t="s">
        <v>6667</v>
      </c>
    </row>
    <row r="2680" spans="1:4" hidden="1" x14ac:dyDescent="0.25">
      <c r="A2680" s="12" t="s">
        <v>6174</v>
      </c>
      <c r="B2680" s="3"/>
      <c r="C2680" s="18" t="s">
        <v>6540</v>
      </c>
      <c r="D2680" s="14" t="s">
        <v>6667</v>
      </c>
    </row>
    <row r="2681" spans="1:4" hidden="1" x14ac:dyDescent="0.25">
      <c r="A2681" s="12" t="s">
        <v>5690</v>
      </c>
      <c r="B2681" s="3"/>
      <c r="C2681" s="18" t="s">
        <v>6541</v>
      </c>
      <c r="D2681" s="14" t="s">
        <v>6667</v>
      </c>
    </row>
    <row r="2682" spans="1:4" hidden="1" x14ac:dyDescent="0.25">
      <c r="A2682" s="12" t="s">
        <v>6175</v>
      </c>
      <c r="B2682" s="3"/>
      <c r="C2682" s="18" t="s">
        <v>6542</v>
      </c>
      <c r="D2682" s="14" t="s">
        <v>6667</v>
      </c>
    </row>
    <row r="2683" spans="1:4" hidden="1" x14ac:dyDescent="0.25">
      <c r="A2683" s="12" t="s">
        <v>5691</v>
      </c>
      <c r="B2683" s="3"/>
      <c r="C2683" s="18" t="s">
        <v>6543</v>
      </c>
      <c r="D2683" s="14" t="s">
        <v>6667</v>
      </c>
    </row>
    <row r="2684" spans="1:4" hidden="1" x14ac:dyDescent="0.25">
      <c r="A2684" s="12" t="s">
        <v>6176</v>
      </c>
      <c r="B2684" s="3"/>
      <c r="C2684" s="18" t="s">
        <v>6544</v>
      </c>
      <c r="D2684" s="14" t="s">
        <v>6667</v>
      </c>
    </row>
    <row r="2685" spans="1:4" hidden="1" x14ac:dyDescent="0.25">
      <c r="A2685" s="12" t="s">
        <v>5692</v>
      </c>
      <c r="B2685" s="3"/>
      <c r="C2685" s="18" t="s">
        <v>6545</v>
      </c>
      <c r="D2685" s="14" t="s">
        <v>6667</v>
      </c>
    </row>
    <row r="2686" spans="1:4" hidden="1" x14ac:dyDescent="0.25">
      <c r="A2686" s="12" t="s">
        <v>5693</v>
      </c>
      <c r="B2686" s="3"/>
      <c r="C2686" s="18" t="s">
        <v>6546</v>
      </c>
      <c r="D2686" s="14" t="s">
        <v>6667</v>
      </c>
    </row>
    <row r="2687" spans="1:4" hidden="1" x14ac:dyDescent="0.25">
      <c r="A2687" s="12" t="s">
        <v>6177</v>
      </c>
      <c r="B2687" s="3"/>
      <c r="C2687" s="18" t="s">
        <v>6547</v>
      </c>
      <c r="D2687" s="14" t="s">
        <v>6667</v>
      </c>
    </row>
    <row r="2688" spans="1:4" hidden="1" x14ac:dyDescent="0.25">
      <c r="A2688" s="12" t="s">
        <v>5694</v>
      </c>
      <c r="B2688" s="3"/>
      <c r="C2688" s="19" t="s">
        <v>6548</v>
      </c>
      <c r="D2688" s="14" t="s">
        <v>6667</v>
      </c>
    </row>
    <row r="2689" spans="1:4" hidden="1" x14ac:dyDescent="0.25">
      <c r="A2689" s="12" t="s">
        <v>6178</v>
      </c>
      <c r="B2689" s="3"/>
      <c r="C2689" s="19" t="s">
        <v>6549</v>
      </c>
      <c r="D2689" s="14" t="s">
        <v>6667</v>
      </c>
    </row>
    <row r="2690" spans="1:4" hidden="1" x14ac:dyDescent="0.25">
      <c r="A2690" s="12" t="s">
        <v>5695</v>
      </c>
      <c r="B2690" s="3"/>
      <c r="C2690" s="18" t="s">
        <v>6550</v>
      </c>
      <c r="D2690" s="14" t="s">
        <v>6667</v>
      </c>
    </row>
    <row r="2691" spans="1:4" hidden="1" x14ac:dyDescent="0.25">
      <c r="A2691" s="12" t="s">
        <v>6179</v>
      </c>
      <c r="B2691" s="3"/>
      <c r="C2691" s="18" t="s">
        <v>6551</v>
      </c>
      <c r="D2691" s="14" t="s">
        <v>6667</v>
      </c>
    </row>
    <row r="2692" spans="1:4" hidden="1" x14ac:dyDescent="0.25">
      <c r="A2692" s="12" t="s">
        <v>5696</v>
      </c>
      <c r="B2692" s="3"/>
      <c r="C2692" s="18" t="s">
        <v>6552</v>
      </c>
      <c r="D2692" s="14" t="s">
        <v>6667</v>
      </c>
    </row>
    <row r="2693" spans="1:4" hidden="1" x14ac:dyDescent="0.25">
      <c r="A2693" s="12" t="s">
        <v>6180</v>
      </c>
      <c r="B2693" s="3"/>
      <c r="C2693" s="18" t="s">
        <v>6553</v>
      </c>
      <c r="D2693" s="14" t="s">
        <v>6667</v>
      </c>
    </row>
    <row r="2694" spans="1:4" hidden="1" x14ac:dyDescent="0.25">
      <c r="A2694" s="12" t="s">
        <v>6181</v>
      </c>
      <c r="B2694" s="3"/>
      <c r="C2694" s="18" t="s">
        <v>6554</v>
      </c>
      <c r="D2694" s="14" t="s">
        <v>6667</v>
      </c>
    </row>
    <row r="2695" spans="1:4" hidden="1" x14ac:dyDescent="0.25">
      <c r="A2695" s="12" t="s">
        <v>6182</v>
      </c>
      <c r="B2695" s="3"/>
      <c r="C2695" s="18" t="s">
        <v>6555</v>
      </c>
      <c r="D2695" s="14" t="s">
        <v>6667</v>
      </c>
    </row>
    <row r="2696" spans="1:4" hidden="1" x14ac:dyDescent="0.25">
      <c r="A2696" s="12" t="s">
        <v>5697</v>
      </c>
      <c r="B2696" s="3"/>
      <c r="C2696" s="18" t="s">
        <v>6556</v>
      </c>
      <c r="D2696" s="14" t="s">
        <v>6667</v>
      </c>
    </row>
    <row r="2697" spans="1:4" hidden="1" x14ac:dyDescent="0.25">
      <c r="A2697" s="12" t="s">
        <v>6183</v>
      </c>
      <c r="B2697" s="3"/>
      <c r="C2697" s="18" t="s">
        <v>6557</v>
      </c>
      <c r="D2697" s="14" t="s">
        <v>6667</v>
      </c>
    </row>
    <row r="2698" spans="1:4" hidden="1" x14ac:dyDescent="0.25">
      <c r="A2698" s="12" t="s">
        <v>5698</v>
      </c>
      <c r="B2698" s="3"/>
      <c r="C2698" s="18" t="s">
        <v>6558</v>
      </c>
      <c r="D2698" s="14" t="s">
        <v>6667</v>
      </c>
    </row>
    <row r="2699" spans="1:4" hidden="1" x14ac:dyDescent="0.25">
      <c r="A2699" s="12" t="s">
        <v>6184</v>
      </c>
      <c r="B2699" s="3"/>
      <c r="C2699" s="18" t="s">
        <v>6559</v>
      </c>
      <c r="D2699" s="14" t="s">
        <v>6667</v>
      </c>
    </row>
    <row r="2700" spans="1:4" hidden="1" x14ac:dyDescent="0.25">
      <c r="A2700" s="12" t="s">
        <v>5699</v>
      </c>
      <c r="B2700" s="3"/>
      <c r="C2700" s="18" t="s">
        <v>6560</v>
      </c>
      <c r="D2700" s="14" t="s">
        <v>6667</v>
      </c>
    </row>
    <row r="2701" spans="1:4" hidden="1" x14ac:dyDescent="0.25">
      <c r="A2701" s="12" t="s">
        <v>5700</v>
      </c>
      <c r="B2701" s="3"/>
      <c r="C2701" s="18" t="s">
        <v>6561</v>
      </c>
      <c r="D2701" s="14" t="s">
        <v>6667</v>
      </c>
    </row>
    <row r="2702" spans="1:4" hidden="1" x14ac:dyDescent="0.25">
      <c r="A2702" s="12" t="s">
        <v>6185</v>
      </c>
      <c r="B2702" s="3"/>
      <c r="C2702" s="18" t="s">
        <v>6562</v>
      </c>
      <c r="D2702" s="14" t="s">
        <v>6667</v>
      </c>
    </row>
    <row r="2703" spans="1:4" hidden="1" x14ac:dyDescent="0.25">
      <c r="A2703" s="12" t="s">
        <v>5701</v>
      </c>
      <c r="B2703" s="3"/>
      <c r="C2703" s="18" t="s">
        <v>6563</v>
      </c>
      <c r="D2703" s="14" t="s">
        <v>6667</v>
      </c>
    </row>
    <row r="2704" spans="1:4" hidden="1" x14ac:dyDescent="0.25">
      <c r="A2704" s="12" t="s">
        <v>6186</v>
      </c>
      <c r="B2704" s="3"/>
      <c r="C2704" s="18" t="s">
        <v>6564</v>
      </c>
      <c r="D2704" s="14" t="s">
        <v>6667</v>
      </c>
    </row>
    <row r="2705" spans="1:4" hidden="1" x14ac:dyDescent="0.25">
      <c r="A2705" s="12" t="s">
        <v>5702</v>
      </c>
      <c r="B2705" s="3"/>
      <c r="C2705" s="18" t="s">
        <v>6565</v>
      </c>
      <c r="D2705" s="14" t="s">
        <v>6667</v>
      </c>
    </row>
    <row r="2706" spans="1:4" hidden="1" x14ac:dyDescent="0.25">
      <c r="A2706" s="12" t="s">
        <v>6187</v>
      </c>
      <c r="B2706" s="3"/>
      <c r="C2706" s="18" t="s">
        <v>6566</v>
      </c>
      <c r="D2706" s="14" t="s">
        <v>6667</v>
      </c>
    </row>
    <row r="2707" spans="1:4" hidden="1" x14ac:dyDescent="0.25">
      <c r="A2707" s="12" t="s">
        <v>5703</v>
      </c>
      <c r="B2707" s="3"/>
      <c r="C2707" s="18" t="s">
        <v>6567</v>
      </c>
      <c r="D2707" s="14" t="s">
        <v>6667</v>
      </c>
    </row>
    <row r="2708" spans="1:4" hidden="1" x14ac:dyDescent="0.25">
      <c r="A2708" s="12" t="s">
        <v>6188</v>
      </c>
      <c r="B2708" s="3"/>
      <c r="C2708" s="18" t="s">
        <v>6568</v>
      </c>
      <c r="D2708" s="14" t="s">
        <v>6667</v>
      </c>
    </row>
    <row r="2709" spans="1:4" hidden="1" x14ac:dyDescent="0.25">
      <c r="A2709" s="12" t="s">
        <v>6189</v>
      </c>
      <c r="B2709" s="3"/>
      <c r="C2709" s="18" t="s">
        <v>6569</v>
      </c>
      <c r="D2709" s="14" t="s">
        <v>6667</v>
      </c>
    </row>
    <row r="2710" spans="1:4" hidden="1" x14ac:dyDescent="0.25">
      <c r="A2710" s="12" t="s">
        <v>6190</v>
      </c>
      <c r="B2710" s="3"/>
      <c r="C2710" s="18" t="s">
        <v>6570</v>
      </c>
      <c r="D2710" s="14" t="s">
        <v>6667</v>
      </c>
    </row>
    <row r="2711" spans="1:4" hidden="1" x14ac:dyDescent="0.25">
      <c r="A2711" s="12" t="s">
        <v>5704</v>
      </c>
      <c r="B2711" s="3"/>
      <c r="C2711" s="18" t="s">
        <v>6571</v>
      </c>
      <c r="D2711" s="14" t="s">
        <v>6667</v>
      </c>
    </row>
    <row r="2712" spans="1:4" hidden="1" x14ac:dyDescent="0.25">
      <c r="A2712" s="12" t="s">
        <v>6191</v>
      </c>
      <c r="B2712" s="3"/>
      <c r="C2712" s="18" t="s">
        <v>6572</v>
      </c>
      <c r="D2712" s="14" t="s">
        <v>6667</v>
      </c>
    </row>
    <row r="2713" spans="1:4" hidden="1" x14ac:dyDescent="0.25">
      <c r="A2713" s="12" t="s">
        <v>5705</v>
      </c>
      <c r="B2713" s="3"/>
      <c r="C2713" s="18" t="s">
        <v>6573</v>
      </c>
      <c r="D2713" s="14" t="s">
        <v>6667</v>
      </c>
    </row>
    <row r="2714" spans="1:4" hidden="1" x14ac:dyDescent="0.25">
      <c r="A2714" s="12" t="s">
        <v>6192</v>
      </c>
      <c r="B2714" s="3"/>
      <c r="C2714" s="18" t="s">
        <v>6574</v>
      </c>
      <c r="D2714" s="14" t="s">
        <v>6667</v>
      </c>
    </row>
    <row r="2715" spans="1:4" hidden="1" x14ac:dyDescent="0.25">
      <c r="A2715" s="12" t="s">
        <v>5706</v>
      </c>
      <c r="B2715" s="3"/>
      <c r="C2715" s="18" t="s">
        <v>6575</v>
      </c>
      <c r="D2715" s="14" t="s">
        <v>6667</v>
      </c>
    </row>
    <row r="2716" spans="1:4" hidden="1" x14ac:dyDescent="0.25">
      <c r="A2716" s="12" t="s">
        <v>5707</v>
      </c>
      <c r="B2716" s="3"/>
      <c r="C2716" s="18" t="s">
        <v>6576</v>
      </c>
      <c r="D2716" s="14" t="s">
        <v>6667</v>
      </c>
    </row>
    <row r="2717" spans="1:4" hidden="1" x14ac:dyDescent="0.25">
      <c r="A2717" s="12" t="s">
        <v>6193</v>
      </c>
      <c r="B2717" s="3"/>
      <c r="C2717" s="18" t="s">
        <v>6577</v>
      </c>
      <c r="D2717" s="14" t="s">
        <v>6667</v>
      </c>
    </row>
    <row r="2718" spans="1:4" hidden="1" x14ac:dyDescent="0.25">
      <c r="A2718" s="12" t="s">
        <v>5708</v>
      </c>
      <c r="B2718" s="3"/>
      <c r="C2718" s="18" t="s">
        <v>6578</v>
      </c>
      <c r="D2718" s="14" t="s">
        <v>6667</v>
      </c>
    </row>
    <row r="2719" spans="1:4" hidden="1" x14ac:dyDescent="0.25">
      <c r="A2719" s="12" t="s">
        <v>6194</v>
      </c>
      <c r="B2719" s="3"/>
      <c r="C2719" s="18" t="s">
        <v>6579</v>
      </c>
      <c r="D2719" s="14" t="s">
        <v>6667</v>
      </c>
    </row>
    <row r="2720" spans="1:4" hidden="1" x14ac:dyDescent="0.25">
      <c r="A2720" s="12" t="s">
        <v>5709</v>
      </c>
      <c r="B2720" s="3"/>
      <c r="C2720" s="18" t="s">
        <v>6580</v>
      </c>
      <c r="D2720" s="14" t="s">
        <v>6667</v>
      </c>
    </row>
    <row r="2721" spans="1:4" hidden="1" x14ac:dyDescent="0.25">
      <c r="A2721" s="12" t="s">
        <v>6195</v>
      </c>
      <c r="B2721" s="3"/>
      <c r="C2721" s="18" t="s">
        <v>6581</v>
      </c>
      <c r="D2721" s="14" t="s">
        <v>6667</v>
      </c>
    </row>
    <row r="2722" spans="1:4" hidden="1" x14ac:dyDescent="0.25">
      <c r="A2722" s="12" t="s">
        <v>5710</v>
      </c>
      <c r="B2722" s="3"/>
      <c r="C2722" s="18" t="s">
        <v>6582</v>
      </c>
      <c r="D2722" s="14" t="s">
        <v>6667</v>
      </c>
    </row>
    <row r="2723" spans="1:4" hidden="1" x14ac:dyDescent="0.25">
      <c r="A2723" s="12" t="s">
        <v>6196</v>
      </c>
      <c r="B2723" s="3"/>
      <c r="C2723" s="18" t="s">
        <v>6583</v>
      </c>
      <c r="D2723" s="14" t="s">
        <v>6667</v>
      </c>
    </row>
    <row r="2724" spans="1:4" hidden="1" x14ac:dyDescent="0.25">
      <c r="A2724" s="12" t="s">
        <v>6197</v>
      </c>
      <c r="B2724" s="3"/>
      <c r="C2724" s="18" t="s">
        <v>6584</v>
      </c>
      <c r="D2724" s="14" t="s">
        <v>6667</v>
      </c>
    </row>
    <row r="2725" spans="1:4" hidden="1" x14ac:dyDescent="0.25">
      <c r="A2725" s="12" t="s">
        <v>6198</v>
      </c>
      <c r="B2725" s="3"/>
      <c r="C2725" s="19" t="s">
        <v>6585</v>
      </c>
      <c r="D2725" s="14" t="s">
        <v>6667</v>
      </c>
    </row>
    <row r="2726" spans="1:4" hidden="1" x14ac:dyDescent="0.25">
      <c r="A2726" s="12" t="s">
        <v>5711</v>
      </c>
      <c r="B2726" s="3"/>
      <c r="C2726" s="19" t="s">
        <v>6586</v>
      </c>
      <c r="D2726" s="14" t="s">
        <v>6667</v>
      </c>
    </row>
    <row r="2727" spans="1:4" hidden="1" x14ac:dyDescent="0.25">
      <c r="A2727" s="12" t="s">
        <v>6199</v>
      </c>
      <c r="B2727" s="3"/>
      <c r="C2727" s="18" t="s">
        <v>6587</v>
      </c>
      <c r="D2727" s="14" t="s">
        <v>6667</v>
      </c>
    </row>
    <row r="2728" spans="1:4" hidden="1" x14ac:dyDescent="0.25">
      <c r="A2728" s="12" t="s">
        <v>5712</v>
      </c>
      <c r="B2728" s="3"/>
      <c r="C2728" s="18" t="s">
        <v>6588</v>
      </c>
      <c r="D2728" s="14" t="s">
        <v>6667</v>
      </c>
    </row>
    <row r="2729" spans="1:4" hidden="1" x14ac:dyDescent="0.25">
      <c r="A2729" s="12" t="s">
        <v>6200</v>
      </c>
      <c r="B2729" s="3"/>
      <c r="C2729" s="18" t="s">
        <v>6589</v>
      </c>
      <c r="D2729" s="14" t="s">
        <v>6667</v>
      </c>
    </row>
    <row r="2730" spans="1:4" hidden="1" x14ac:dyDescent="0.25">
      <c r="A2730" s="12" t="s">
        <v>5713</v>
      </c>
      <c r="B2730" s="3"/>
      <c r="C2730" s="18" t="s">
        <v>6590</v>
      </c>
      <c r="D2730" s="14" t="s">
        <v>6667</v>
      </c>
    </row>
    <row r="2731" spans="1:4" hidden="1" x14ac:dyDescent="0.25">
      <c r="A2731" s="12" t="s">
        <v>5714</v>
      </c>
      <c r="B2731" s="3"/>
      <c r="C2731" s="18" t="s">
        <v>6591</v>
      </c>
      <c r="D2731" s="14" t="s">
        <v>6667</v>
      </c>
    </row>
    <row r="2732" spans="1:4" hidden="1" x14ac:dyDescent="0.25">
      <c r="A2732" s="12" t="s">
        <v>6321</v>
      </c>
      <c r="B2732" s="3"/>
      <c r="C2732" s="18" t="s">
        <v>6592</v>
      </c>
      <c r="D2732" s="14" t="s">
        <v>6667</v>
      </c>
    </row>
    <row r="2733" spans="1:4" hidden="1" x14ac:dyDescent="0.25">
      <c r="A2733" s="12" t="s">
        <v>5715</v>
      </c>
      <c r="B2733" s="3"/>
      <c r="C2733" s="18" t="s">
        <v>6593</v>
      </c>
      <c r="D2733" s="14" t="s">
        <v>6667</v>
      </c>
    </row>
    <row r="2734" spans="1:4" hidden="1" x14ac:dyDescent="0.25">
      <c r="A2734" s="12" t="s">
        <v>6322</v>
      </c>
      <c r="B2734" s="3"/>
      <c r="C2734" s="18" t="s">
        <v>6594</v>
      </c>
      <c r="D2734" s="14" t="s">
        <v>6667</v>
      </c>
    </row>
    <row r="2735" spans="1:4" hidden="1" x14ac:dyDescent="0.25">
      <c r="A2735" s="12" t="s">
        <v>5716</v>
      </c>
      <c r="B2735" s="3"/>
      <c r="C2735" s="18" t="s">
        <v>6595</v>
      </c>
      <c r="D2735" s="14" t="s">
        <v>6667</v>
      </c>
    </row>
    <row r="2736" spans="1:4" hidden="1" x14ac:dyDescent="0.25">
      <c r="A2736" s="12" t="s">
        <v>6323</v>
      </c>
      <c r="B2736" s="3"/>
      <c r="C2736" s="18" t="s">
        <v>6596</v>
      </c>
      <c r="D2736" s="14" t="s">
        <v>6667</v>
      </c>
    </row>
    <row r="2737" spans="1:4" hidden="1" x14ac:dyDescent="0.25">
      <c r="A2737" s="12" t="s">
        <v>5717</v>
      </c>
      <c r="B2737" s="3"/>
      <c r="C2737" s="18" t="s">
        <v>6597</v>
      </c>
      <c r="D2737" s="14" t="s">
        <v>6667</v>
      </c>
    </row>
    <row r="2738" spans="1:4" hidden="1" x14ac:dyDescent="0.25">
      <c r="A2738" s="12" t="s">
        <v>6324</v>
      </c>
      <c r="B2738" s="3"/>
      <c r="C2738" s="18" t="s">
        <v>6598</v>
      </c>
      <c r="D2738" s="14" t="s">
        <v>6667</v>
      </c>
    </row>
    <row r="2739" spans="1:4" hidden="1" x14ac:dyDescent="0.25">
      <c r="A2739" s="12" t="s">
        <v>6325</v>
      </c>
      <c r="B2739" s="3"/>
      <c r="C2739" s="18" t="s">
        <v>6599</v>
      </c>
      <c r="D2739" s="14" t="s">
        <v>6667</v>
      </c>
    </row>
    <row r="2740" spans="1:4" hidden="1" x14ac:dyDescent="0.25">
      <c r="A2740" s="12" t="s">
        <v>6326</v>
      </c>
      <c r="B2740" s="3"/>
      <c r="C2740" s="18" t="s">
        <v>6600</v>
      </c>
      <c r="D2740" s="14" t="s">
        <v>6667</v>
      </c>
    </row>
    <row r="2741" spans="1:4" hidden="1" x14ac:dyDescent="0.25">
      <c r="A2741" s="12" t="s">
        <v>5718</v>
      </c>
      <c r="B2741" s="3"/>
      <c r="C2741" s="18" t="s">
        <v>6601</v>
      </c>
      <c r="D2741" s="14" t="s">
        <v>6667</v>
      </c>
    </row>
    <row r="2742" spans="1:4" hidden="1" x14ac:dyDescent="0.25">
      <c r="A2742" s="12" t="s">
        <v>6327</v>
      </c>
      <c r="B2742" s="3"/>
      <c r="C2742" s="18" t="s">
        <v>6602</v>
      </c>
      <c r="D2742" s="14" t="s">
        <v>6667</v>
      </c>
    </row>
    <row r="2743" spans="1:4" hidden="1" x14ac:dyDescent="0.25">
      <c r="A2743" s="12" t="s">
        <v>5719</v>
      </c>
      <c r="B2743" s="3"/>
      <c r="C2743" s="18" t="s">
        <v>6603</v>
      </c>
      <c r="D2743" s="14" t="s">
        <v>6667</v>
      </c>
    </row>
    <row r="2744" spans="1:4" hidden="1" x14ac:dyDescent="0.25">
      <c r="A2744" s="12" t="s">
        <v>6328</v>
      </c>
      <c r="B2744" s="3"/>
      <c r="C2744" s="18" t="s">
        <v>6604</v>
      </c>
      <c r="D2744" s="14" t="s">
        <v>6667</v>
      </c>
    </row>
    <row r="2745" spans="1:4" hidden="1" x14ac:dyDescent="0.25">
      <c r="A2745" s="12" t="s">
        <v>5720</v>
      </c>
      <c r="B2745" s="3"/>
      <c r="C2745" s="18" t="s">
        <v>6605</v>
      </c>
      <c r="D2745" s="14" t="s">
        <v>6667</v>
      </c>
    </row>
    <row r="2746" spans="1:4" hidden="1" x14ac:dyDescent="0.25">
      <c r="A2746" s="12" t="s">
        <v>5721</v>
      </c>
      <c r="B2746" s="3"/>
      <c r="C2746" s="18" t="s">
        <v>6606</v>
      </c>
      <c r="D2746" s="14" t="s">
        <v>6667</v>
      </c>
    </row>
    <row r="2747" spans="1:4" hidden="1" x14ac:dyDescent="0.25">
      <c r="A2747" s="12" t="s">
        <v>6329</v>
      </c>
      <c r="B2747" s="3"/>
      <c r="C2747" s="18" t="s">
        <v>6607</v>
      </c>
      <c r="D2747" s="14" t="s">
        <v>6667</v>
      </c>
    </row>
    <row r="2748" spans="1:4" hidden="1" x14ac:dyDescent="0.25">
      <c r="A2748" s="12" t="s">
        <v>5722</v>
      </c>
      <c r="B2748" s="3"/>
      <c r="C2748" s="18" t="s">
        <v>6608</v>
      </c>
      <c r="D2748" s="14" t="s">
        <v>6667</v>
      </c>
    </row>
    <row r="2749" spans="1:4" hidden="1" x14ac:dyDescent="0.25">
      <c r="A2749" s="12" t="s">
        <v>6330</v>
      </c>
      <c r="B2749" s="3"/>
      <c r="C2749" s="18" t="s">
        <v>6609</v>
      </c>
      <c r="D2749" s="14" t="s">
        <v>6667</v>
      </c>
    </row>
    <row r="2750" spans="1:4" hidden="1" x14ac:dyDescent="0.25">
      <c r="A2750" s="12" t="s">
        <v>5723</v>
      </c>
      <c r="B2750" s="3"/>
      <c r="C2750" s="18" t="s">
        <v>6610</v>
      </c>
      <c r="D2750" s="14" t="s">
        <v>6667</v>
      </c>
    </row>
    <row r="2751" spans="1:4" hidden="1" x14ac:dyDescent="0.25">
      <c r="A2751" s="12" t="s">
        <v>6331</v>
      </c>
      <c r="B2751" s="3"/>
      <c r="C2751" s="18" t="s">
        <v>6611</v>
      </c>
      <c r="D2751" s="14" t="s">
        <v>6667</v>
      </c>
    </row>
    <row r="2752" spans="1:4" hidden="1" x14ac:dyDescent="0.25">
      <c r="A2752" s="12" t="s">
        <v>5724</v>
      </c>
      <c r="B2752" s="3"/>
      <c r="C2752" s="18" t="s">
        <v>6612</v>
      </c>
      <c r="D2752" s="14" t="s">
        <v>6667</v>
      </c>
    </row>
    <row r="2753" spans="1:4" hidden="1" x14ac:dyDescent="0.25">
      <c r="A2753" s="12" t="s">
        <v>6332</v>
      </c>
      <c r="B2753" s="3"/>
      <c r="C2753" s="18" t="s">
        <v>6613</v>
      </c>
      <c r="D2753" s="14" t="s">
        <v>6667</v>
      </c>
    </row>
    <row r="2754" spans="1:4" hidden="1" x14ac:dyDescent="0.25">
      <c r="A2754" s="12" t="s">
        <v>6333</v>
      </c>
      <c r="B2754" s="3"/>
      <c r="C2754" s="18" t="s">
        <v>6614</v>
      </c>
      <c r="D2754" s="14" t="s">
        <v>6667</v>
      </c>
    </row>
    <row r="2755" spans="1:4" hidden="1" x14ac:dyDescent="0.25">
      <c r="A2755" s="12" t="s">
        <v>6334</v>
      </c>
      <c r="B2755" s="3"/>
      <c r="C2755" s="18" t="s">
        <v>6615</v>
      </c>
      <c r="D2755" s="14" t="s">
        <v>6667</v>
      </c>
    </row>
    <row r="2756" spans="1:4" hidden="1" x14ac:dyDescent="0.25">
      <c r="A2756" s="12" t="s">
        <v>5725</v>
      </c>
      <c r="B2756" s="3"/>
      <c r="C2756" s="18" t="s">
        <v>6616</v>
      </c>
      <c r="D2756" s="14" t="s">
        <v>6667</v>
      </c>
    </row>
    <row r="2757" spans="1:4" hidden="1" x14ac:dyDescent="0.25">
      <c r="A2757" s="12" t="s">
        <v>6335</v>
      </c>
      <c r="B2757" s="3"/>
      <c r="C2757" s="18" t="s">
        <v>6617</v>
      </c>
      <c r="D2757" s="14" t="s">
        <v>6667</v>
      </c>
    </row>
    <row r="2758" spans="1:4" hidden="1" x14ac:dyDescent="0.25">
      <c r="A2758" s="12" t="s">
        <v>5726</v>
      </c>
      <c r="B2758" s="3"/>
      <c r="C2758" s="18" t="s">
        <v>6618</v>
      </c>
      <c r="D2758" s="14" t="s">
        <v>6667</v>
      </c>
    </row>
    <row r="2759" spans="1:4" hidden="1" x14ac:dyDescent="0.25">
      <c r="A2759" s="12" t="s">
        <v>6336</v>
      </c>
      <c r="B2759" s="3"/>
      <c r="C2759" s="18" t="s">
        <v>6619</v>
      </c>
      <c r="D2759" s="14" t="s">
        <v>6667</v>
      </c>
    </row>
    <row r="2760" spans="1:4" hidden="1" x14ac:dyDescent="0.25">
      <c r="A2760" s="12" t="s">
        <v>5727</v>
      </c>
      <c r="B2760" s="3"/>
      <c r="C2760" s="18" t="s">
        <v>6620</v>
      </c>
      <c r="D2760" s="14" t="s">
        <v>6667</v>
      </c>
    </row>
    <row r="2761" spans="1:4" hidden="1" x14ac:dyDescent="0.25">
      <c r="A2761" s="12" t="s">
        <v>5728</v>
      </c>
      <c r="B2761" s="3"/>
      <c r="C2761" s="18" t="s">
        <v>6621</v>
      </c>
      <c r="D2761" s="14" t="s">
        <v>6667</v>
      </c>
    </row>
    <row r="2762" spans="1:4" hidden="1" x14ac:dyDescent="0.25">
      <c r="A2762" s="12" t="s">
        <v>6337</v>
      </c>
      <c r="B2762" s="3"/>
      <c r="C2762" s="18" t="s">
        <v>6622</v>
      </c>
      <c r="D2762" s="14" t="s">
        <v>6667</v>
      </c>
    </row>
    <row r="2763" spans="1:4" hidden="1" x14ac:dyDescent="0.25">
      <c r="A2763" s="12" t="s">
        <v>5729</v>
      </c>
      <c r="B2763" s="3"/>
      <c r="C2763" s="19" t="s">
        <v>6623</v>
      </c>
      <c r="D2763" s="14" t="s">
        <v>6667</v>
      </c>
    </row>
    <row r="2764" spans="1:4" hidden="1" x14ac:dyDescent="0.25">
      <c r="A2764" s="12" t="s">
        <v>6338</v>
      </c>
      <c r="B2764" s="3"/>
      <c r="C2764" s="19" t="s">
        <v>6624</v>
      </c>
      <c r="D2764" s="14" t="s">
        <v>6667</v>
      </c>
    </row>
    <row r="2765" spans="1:4" hidden="1" x14ac:dyDescent="0.25">
      <c r="A2765" s="12" t="s">
        <v>5730</v>
      </c>
      <c r="B2765" s="3"/>
      <c r="C2765" s="18" t="s">
        <v>6625</v>
      </c>
      <c r="D2765" s="14" t="s">
        <v>6667</v>
      </c>
    </row>
    <row r="2766" spans="1:4" hidden="1" x14ac:dyDescent="0.25">
      <c r="A2766" s="12" t="s">
        <v>6339</v>
      </c>
      <c r="B2766" s="3"/>
      <c r="C2766" s="18" t="s">
        <v>6626</v>
      </c>
      <c r="D2766" s="14" t="s">
        <v>6667</v>
      </c>
    </row>
    <row r="2767" spans="1:4" hidden="1" x14ac:dyDescent="0.25">
      <c r="A2767" s="12" t="s">
        <v>5731</v>
      </c>
      <c r="B2767" s="3"/>
      <c r="C2767" s="18" t="s">
        <v>6627</v>
      </c>
      <c r="D2767" s="14" t="s">
        <v>6667</v>
      </c>
    </row>
    <row r="2768" spans="1:4" hidden="1" x14ac:dyDescent="0.25">
      <c r="A2768" s="12" t="s">
        <v>6340</v>
      </c>
      <c r="B2768" s="3"/>
      <c r="C2768" s="18" t="s">
        <v>6628</v>
      </c>
      <c r="D2768" s="14" t="s">
        <v>6667</v>
      </c>
    </row>
    <row r="2769" spans="1:4" hidden="1" x14ac:dyDescent="0.25">
      <c r="A2769" s="12" t="s">
        <v>6341</v>
      </c>
      <c r="B2769" s="3"/>
      <c r="C2769" s="18" t="s">
        <v>6629</v>
      </c>
      <c r="D2769" s="14" t="s">
        <v>6667</v>
      </c>
    </row>
    <row r="2770" spans="1:4" hidden="1" x14ac:dyDescent="0.25">
      <c r="A2770" s="12" t="s">
        <v>6342</v>
      </c>
      <c r="B2770" s="3"/>
      <c r="C2770" s="18" t="s">
        <v>6630</v>
      </c>
      <c r="D2770" s="14" t="s">
        <v>6667</v>
      </c>
    </row>
    <row r="2771" spans="1:4" hidden="1" x14ac:dyDescent="0.25">
      <c r="A2771" s="12" t="s">
        <v>5732</v>
      </c>
      <c r="B2771" s="3"/>
      <c r="C2771" s="18" t="s">
        <v>6631</v>
      </c>
      <c r="D2771" s="14" t="s">
        <v>6667</v>
      </c>
    </row>
    <row r="2772" spans="1:4" hidden="1" x14ac:dyDescent="0.25">
      <c r="A2772" s="12" t="s">
        <v>6343</v>
      </c>
      <c r="B2772" s="3"/>
      <c r="C2772" s="18" t="s">
        <v>6632</v>
      </c>
      <c r="D2772" s="14" t="s">
        <v>6667</v>
      </c>
    </row>
    <row r="2773" spans="1:4" hidden="1" x14ac:dyDescent="0.25">
      <c r="A2773" s="12" t="s">
        <v>5733</v>
      </c>
      <c r="B2773" s="3"/>
      <c r="C2773" s="18" t="s">
        <v>6633</v>
      </c>
      <c r="D2773" s="14" t="s">
        <v>6667</v>
      </c>
    </row>
    <row r="2774" spans="1:4" hidden="1" x14ac:dyDescent="0.25">
      <c r="A2774" s="12" t="s">
        <v>6344</v>
      </c>
      <c r="B2774" s="3"/>
      <c r="C2774" s="18" t="s">
        <v>6634</v>
      </c>
      <c r="D2774" s="14" t="s">
        <v>6667</v>
      </c>
    </row>
    <row r="2775" spans="1:4" hidden="1" x14ac:dyDescent="0.25">
      <c r="A2775" s="12" t="s">
        <v>5734</v>
      </c>
      <c r="B2775" s="3"/>
      <c r="C2775" s="18" t="s">
        <v>6635</v>
      </c>
      <c r="D2775" s="14" t="s">
        <v>6667</v>
      </c>
    </row>
    <row r="2776" spans="1:4" hidden="1" x14ac:dyDescent="0.25">
      <c r="A2776" s="17" t="s">
        <v>5735</v>
      </c>
      <c r="B2776" s="16"/>
      <c r="C2776" s="18" t="s">
        <v>6636</v>
      </c>
      <c r="D2776" s="14" t="s">
        <v>6667</v>
      </c>
    </row>
    <row r="2777" spans="1:4" hidden="1" x14ac:dyDescent="0.25">
      <c r="A2777" s="12" t="s">
        <v>6345</v>
      </c>
      <c r="B2777" s="3"/>
      <c r="C2777" s="18" t="s">
        <v>6637</v>
      </c>
      <c r="D2777" s="14" t="s">
        <v>6667</v>
      </c>
    </row>
    <row r="2778" spans="1:4" hidden="1" x14ac:dyDescent="0.25">
      <c r="A2778" s="12" t="s">
        <v>5736</v>
      </c>
      <c r="B2778" s="3"/>
      <c r="C2778" s="18" t="s">
        <v>6638</v>
      </c>
      <c r="D2778" s="14" t="s">
        <v>6667</v>
      </c>
    </row>
    <row r="2779" spans="1:4" hidden="1" x14ac:dyDescent="0.25">
      <c r="A2779" s="12" t="s">
        <v>6346</v>
      </c>
      <c r="B2779" s="3"/>
      <c r="C2779" s="18" t="s">
        <v>6639</v>
      </c>
      <c r="D2779" s="14" t="s">
        <v>6667</v>
      </c>
    </row>
    <row r="2780" spans="1:4" hidden="1" x14ac:dyDescent="0.25">
      <c r="A2780" s="12" t="s">
        <v>5737</v>
      </c>
      <c r="B2780" s="3"/>
      <c r="C2780" s="18" t="s">
        <v>6640</v>
      </c>
      <c r="D2780" s="14" t="s">
        <v>6667</v>
      </c>
    </row>
    <row r="2781" spans="1:4" hidden="1" x14ac:dyDescent="0.25">
      <c r="A2781" s="12" t="s">
        <v>6347</v>
      </c>
      <c r="B2781" s="3"/>
      <c r="C2781" s="18" t="s">
        <v>6641</v>
      </c>
      <c r="D2781" s="14" t="s">
        <v>6667</v>
      </c>
    </row>
    <row r="2782" spans="1:4" hidden="1" x14ac:dyDescent="0.25">
      <c r="A2782" s="12" t="s">
        <v>5738</v>
      </c>
      <c r="B2782" s="3"/>
      <c r="C2782" s="18" t="s">
        <v>6642</v>
      </c>
      <c r="D2782" s="14" t="s">
        <v>6667</v>
      </c>
    </row>
    <row r="2783" spans="1:4" hidden="1" x14ac:dyDescent="0.25">
      <c r="A2783" s="12" t="s">
        <v>6348</v>
      </c>
      <c r="B2783" s="3"/>
      <c r="C2783" s="18" t="s">
        <v>6643</v>
      </c>
      <c r="D2783" s="14" t="s">
        <v>6667</v>
      </c>
    </row>
    <row r="2784" spans="1:4" hidden="1" x14ac:dyDescent="0.25">
      <c r="A2784" s="12" t="s">
        <v>6349</v>
      </c>
      <c r="B2784" s="3"/>
      <c r="C2784" s="18" t="s">
        <v>6644</v>
      </c>
      <c r="D2784" s="14" t="s">
        <v>6667</v>
      </c>
    </row>
    <row r="2785" spans="1:4" hidden="1" x14ac:dyDescent="0.25">
      <c r="A2785" s="12" t="s">
        <v>6350</v>
      </c>
      <c r="B2785" s="3"/>
      <c r="C2785" s="18" t="s">
        <v>6645</v>
      </c>
      <c r="D2785" s="14" t="s">
        <v>6667</v>
      </c>
    </row>
    <row r="2786" spans="1:4" hidden="1" x14ac:dyDescent="0.25">
      <c r="A2786" s="12" t="s">
        <v>5739</v>
      </c>
      <c r="B2786" s="3"/>
      <c r="C2786" s="18" t="s">
        <v>6646</v>
      </c>
      <c r="D2786" s="14" t="s">
        <v>6667</v>
      </c>
    </row>
    <row r="2787" spans="1:4" hidden="1" x14ac:dyDescent="0.25">
      <c r="A2787" s="12" t="s">
        <v>6351</v>
      </c>
      <c r="B2787" s="3"/>
      <c r="C2787" s="18" t="s">
        <v>6647</v>
      </c>
      <c r="D2787" s="14" t="s">
        <v>6667</v>
      </c>
    </row>
    <row r="2788" spans="1:4" hidden="1" x14ac:dyDescent="0.25">
      <c r="A2788" s="12" t="s">
        <v>5740</v>
      </c>
      <c r="B2788" s="3"/>
      <c r="C2788" s="18" t="s">
        <v>6648</v>
      </c>
      <c r="D2788" s="14" t="s">
        <v>6667</v>
      </c>
    </row>
    <row r="2789" spans="1:4" hidden="1" x14ac:dyDescent="0.25">
      <c r="A2789" s="12" t="s">
        <v>6352</v>
      </c>
      <c r="B2789" s="3"/>
      <c r="C2789" s="18" t="s">
        <v>6649</v>
      </c>
      <c r="D2789" s="14" t="s">
        <v>6667</v>
      </c>
    </row>
    <row r="2790" spans="1:4" hidden="1" x14ac:dyDescent="0.25">
      <c r="A2790" s="12" t="s">
        <v>5741</v>
      </c>
      <c r="B2790" s="3"/>
      <c r="C2790" s="18" t="s">
        <v>6650</v>
      </c>
      <c r="D2790" s="14" t="s">
        <v>6667</v>
      </c>
    </row>
    <row r="2791" spans="1:4" hidden="1" x14ac:dyDescent="0.25">
      <c r="A2791" s="12" t="s">
        <v>5742</v>
      </c>
      <c r="B2791" s="3"/>
      <c r="C2791" s="18" t="s">
        <v>6651</v>
      </c>
      <c r="D2791" s="14" t="s">
        <v>6667</v>
      </c>
    </row>
    <row r="2792" spans="1:4" hidden="1" x14ac:dyDescent="0.25">
      <c r="A2792" s="12" t="s">
        <v>6353</v>
      </c>
      <c r="B2792" s="3"/>
      <c r="C2792" s="18" t="s">
        <v>6652</v>
      </c>
      <c r="D2792" s="14" t="s">
        <v>6667</v>
      </c>
    </row>
    <row r="2793" spans="1:4" hidden="1" x14ac:dyDescent="0.25">
      <c r="A2793" s="12" t="s">
        <v>5743</v>
      </c>
      <c r="B2793" s="3"/>
      <c r="C2793" s="18" t="s">
        <v>6653</v>
      </c>
      <c r="D2793" s="14" t="s">
        <v>6667</v>
      </c>
    </row>
    <row r="2794" spans="1:4" hidden="1" x14ac:dyDescent="0.25">
      <c r="A2794" s="12" t="s">
        <v>6354</v>
      </c>
      <c r="B2794" s="3"/>
      <c r="C2794" s="18" t="s">
        <v>6654</v>
      </c>
      <c r="D2794" s="14" t="s">
        <v>6667</v>
      </c>
    </row>
    <row r="2795" spans="1:4" hidden="1" x14ac:dyDescent="0.25">
      <c r="A2795" s="12" t="s">
        <v>5744</v>
      </c>
      <c r="B2795" s="3"/>
      <c r="C2795" s="18" t="s">
        <v>6655</v>
      </c>
      <c r="D2795" s="14" t="s">
        <v>6667</v>
      </c>
    </row>
    <row r="2796" spans="1:4" hidden="1" x14ac:dyDescent="0.25">
      <c r="A2796" s="12" t="s">
        <v>6355</v>
      </c>
      <c r="B2796" s="3"/>
      <c r="C2796" s="18" t="s">
        <v>6656</v>
      </c>
      <c r="D2796" s="14" t="s">
        <v>6667</v>
      </c>
    </row>
    <row r="2797" spans="1:4" hidden="1" x14ac:dyDescent="0.25">
      <c r="A2797" s="12" t="s">
        <v>5745</v>
      </c>
      <c r="B2797" s="3"/>
      <c r="C2797" s="18" t="s">
        <v>6657</v>
      </c>
      <c r="D2797" s="14" t="s">
        <v>6667</v>
      </c>
    </row>
    <row r="2798" spans="1:4" hidden="1" x14ac:dyDescent="0.25">
      <c r="A2798" s="12" t="s">
        <v>6356</v>
      </c>
      <c r="B2798" s="3"/>
      <c r="C2798" s="18" t="s">
        <v>6658</v>
      </c>
      <c r="D2798" s="14" t="s">
        <v>6667</v>
      </c>
    </row>
    <row r="2799" spans="1:4" hidden="1" x14ac:dyDescent="0.25">
      <c r="A2799" s="12" t="s">
        <v>6357</v>
      </c>
      <c r="B2799" s="3"/>
      <c r="C2799" s="18" t="s">
        <v>6659</v>
      </c>
      <c r="D2799" s="14" t="s">
        <v>6667</v>
      </c>
    </row>
    <row r="2800" spans="1:4" hidden="1" x14ac:dyDescent="0.25">
      <c r="A2800" s="12" t="s">
        <v>6358</v>
      </c>
      <c r="B2800" s="3"/>
      <c r="C2800" s="19" t="s">
        <v>6660</v>
      </c>
      <c r="D2800" s="14" t="s">
        <v>6667</v>
      </c>
    </row>
    <row r="2801" spans="1:4" hidden="1" x14ac:dyDescent="0.25">
      <c r="A2801" s="12" t="s">
        <v>5746</v>
      </c>
      <c r="B2801" s="3"/>
      <c r="C2801" s="19" t="s">
        <v>6661</v>
      </c>
      <c r="D2801" s="14" t="s">
        <v>6667</v>
      </c>
    </row>
    <row r="2802" spans="1:4" hidden="1" x14ac:dyDescent="0.25">
      <c r="A2802" s="12" t="s">
        <v>6359</v>
      </c>
      <c r="B2802" s="3"/>
      <c r="C2802" s="18" t="s">
        <v>6662</v>
      </c>
      <c r="D2802" s="14" t="s">
        <v>6667</v>
      </c>
    </row>
    <row r="2803" spans="1:4" hidden="1" x14ac:dyDescent="0.25">
      <c r="A2803" s="12" t="s">
        <v>5747</v>
      </c>
      <c r="B2803" s="3"/>
      <c r="C2803" s="18" t="s">
        <v>6663</v>
      </c>
      <c r="D2803" s="14" t="s">
        <v>6667</v>
      </c>
    </row>
    <row r="2804" spans="1:4" hidden="1" x14ac:dyDescent="0.25">
      <c r="A2804" s="12" t="s">
        <v>6360</v>
      </c>
      <c r="B2804" s="3"/>
      <c r="C2804" s="18" t="s">
        <v>6664</v>
      </c>
      <c r="D2804" s="14" t="s">
        <v>6667</v>
      </c>
    </row>
    <row r="2805" spans="1:4" hidden="1" x14ac:dyDescent="0.25">
      <c r="A2805" s="12" t="s">
        <v>5748</v>
      </c>
      <c r="B2805" s="3"/>
      <c r="C2805" s="18" t="s">
        <v>6665</v>
      </c>
      <c r="D2805" s="14" t="s">
        <v>6667</v>
      </c>
    </row>
    <row r="2806" spans="1:4" hidden="1" x14ac:dyDescent="0.25">
      <c r="A2806" s="12" t="s">
        <v>5749</v>
      </c>
      <c r="B2806" s="3"/>
      <c r="C2806" s="18" t="s">
        <v>6441</v>
      </c>
      <c r="D2806" s="14" t="s">
        <v>6668</v>
      </c>
    </row>
    <row r="2807" spans="1:4" hidden="1" x14ac:dyDescent="0.25">
      <c r="A2807" s="12" t="s">
        <v>6041</v>
      </c>
      <c r="B2807" s="3"/>
      <c r="C2807" s="18" t="s">
        <v>6442</v>
      </c>
      <c r="D2807" s="14" t="s">
        <v>6668</v>
      </c>
    </row>
    <row r="2808" spans="1:4" hidden="1" x14ac:dyDescent="0.25">
      <c r="A2808" s="12" t="s">
        <v>5750</v>
      </c>
      <c r="B2808" s="3"/>
      <c r="C2808" s="18" t="s">
        <v>6443</v>
      </c>
      <c r="D2808" s="14" t="s">
        <v>6668</v>
      </c>
    </row>
    <row r="2809" spans="1:4" hidden="1" x14ac:dyDescent="0.25">
      <c r="A2809" s="12" t="s">
        <v>6042</v>
      </c>
      <c r="B2809" s="3"/>
      <c r="C2809" s="18" t="s">
        <v>6444</v>
      </c>
      <c r="D2809" s="14" t="s">
        <v>6668</v>
      </c>
    </row>
    <row r="2810" spans="1:4" hidden="1" x14ac:dyDescent="0.25">
      <c r="A2810" s="12" t="s">
        <v>5751</v>
      </c>
      <c r="B2810" s="3"/>
      <c r="C2810" s="18" t="s">
        <v>6445</v>
      </c>
      <c r="D2810" s="14" t="s">
        <v>6668</v>
      </c>
    </row>
    <row r="2811" spans="1:4" hidden="1" x14ac:dyDescent="0.25">
      <c r="A2811" s="12" t="s">
        <v>6043</v>
      </c>
      <c r="B2811" s="3"/>
      <c r="C2811" s="18" t="s">
        <v>6446</v>
      </c>
      <c r="D2811" s="14" t="s">
        <v>6668</v>
      </c>
    </row>
    <row r="2812" spans="1:4" hidden="1" x14ac:dyDescent="0.25">
      <c r="A2812" s="12" t="s">
        <v>5752</v>
      </c>
      <c r="B2812" s="3"/>
      <c r="C2812" s="18" t="s">
        <v>6447</v>
      </c>
      <c r="D2812" s="14" t="s">
        <v>6668</v>
      </c>
    </row>
    <row r="2813" spans="1:4" hidden="1" x14ac:dyDescent="0.25">
      <c r="A2813" s="12" t="s">
        <v>6044</v>
      </c>
      <c r="B2813" s="3"/>
      <c r="C2813" s="18" t="s">
        <v>6448</v>
      </c>
      <c r="D2813" s="14" t="s">
        <v>6668</v>
      </c>
    </row>
    <row r="2814" spans="1:4" hidden="1" x14ac:dyDescent="0.25">
      <c r="A2814" s="12" t="s">
        <v>6045</v>
      </c>
      <c r="B2814" s="3"/>
      <c r="C2814" s="18" t="s">
        <v>6449</v>
      </c>
      <c r="D2814" s="14" t="s">
        <v>6668</v>
      </c>
    </row>
    <row r="2815" spans="1:4" hidden="1" x14ac:dyDescent="0.25">
      <c r="A2815" s="12" t="s">
        <v>6046</v>
      </c>
      <c r="B2815" s="3"/>
      <c r="C2815" s="18" t="s">
        <v>6450</v>
      </c>
      <c r="D2815" s="14" t="s">
        <v>6668</v>
      </c>
    </row>
    <row r="2816" spans="1:4" hidden="1" x14ac:dyDescent="0.25">
      <c r="A2816" s="12" t="s">
        <v>5753</v>
      </c>
      <c r="B2816" s="3"/>
      <c r="C2816" s="18" t="s">
        <v>6451</v>
      </c>
      <c r="D2816" s="14" t="s">
        <v>6668</v>
      </c>
    </row>
    <row r="2817" spans="1:4" hidden="1" x14ac:dyDescent="0.25">
      <c r="A2817" s="12" t="s">
        <v>6047</v>
      </c>
      <c r="B2817" s="3"/>
      <c r="C2817" s="18" t="s">
        <v>6452</v>
      </c>
      <c r="D2817" s="14" t="s">
        <v>6668</v>
      </c>
    </row>
    <row r="2818" spans="1:4" hidden="1" x14ac:dyDescent="0.25">
      <c r="A2818" s="12" t="s">
        <v>5754</v>
      </c>
      <c r="B2818" s="3"/>
      <c r="C2818" s="18" t="s">
        <v>6453</v>
      </c>
      <c r="D2818" s="14" t="s">
        <v>6668</v>
      </c>
    </row>
    <row r="2819" spans="1:4" hidden="1" x14ac:dyDescent="0.25">
      <c r="A2819" s="12" t="s">
        <v>6048</v>
      </c>
      <c r="B2819" s="3"/>
      <c r="C2819" s="18" t="s">
        <v>6454</v>
      </c>
      <c r="D2819" s="14" t="s">
        <v>6668</v>
      </c>
    </row>
    <row r="2820" spans="1:4" hidden="1" x14ac:dyDescent="0.25">
      <c r="A2820" s="12" t="s">
        <v>5755</v>
      </c>
      <c r="B2820" s="3"/>
      <c r="C2820" s="18" t="s">
        <v>6455</v>
      </c>
      <c r="D2820" s="14" t="s">
        <v>6668</v>
      </c>
    </row>
    <row r="2821" spans="1:4" hidden="1" x14ac:dyDescent="0.25">
      <c r="A2821" s="12" t="s">
        <v>5756</v>
      </c>
      <c r="B2821" s="3"/>
      <c r="C2821" s="18" t="s">
        <v>6456</v>
      </c>
      <c r="D2821" s="14" t="s">
        <v>6668</v>
      </c>
    </row>
    <row r="2822" spans="1:4" hidden="1" x14ac:dyDescent="0.25">
      <c r="A2822" s="12" t="s">
        <v>6049</v>
      </c>
      <c r="B2822" s="3"/>
      <c r="C2822" s="18" t="s">
        <v>6457</v>
      </c>
      <c r="D2822" s="14" t="s">
        <v>6668</v>
      </c>
    </row>
    <row r="2823" spans="1:4" hidden="1" x14ac:dyDescent="0.25">
      <c r="A2823" s="12" t="s">
        <v>5757</v>
      </c>
      <c r="B2823" s="3"/>
      <c r="C2823" s="18" t="s">
        <v>6458</v>
      </c>
      <c r="D2823" s="14" t="s">
        <v>6668</v>
      </c>
    </row>
    <row r="2824" spans="1:4" hidden="1" x14ac:dyDescent="0.25">
      <c r="A2824" s="12" t="s">
        <v>6050</v>
      </c>
      <c r="B2824" s="3"/>
      <c r="C2824" s="18" t="s">
        <v>6459</v>
      </c>
      <c r="D2824" s="14" t="s">
        <v>6668</v>
      </c>
    </row>
    <row r="2825" spans="1:4" hidden="1" x14ac:dyDescent="0.25">
      <c r="A2825" s="12" t="s">
        <v>5758</v>
      </c>
      <c r="B2825" s="3"/>
      <c r="C2825" s="18" t="s">
        <v>6460</v>
      </c>
      <c r="D2825" s="14" t="s">
        <v>6668</v>
      </c>
    </row>
    <row r="2826" spans="1:4" hidden="1" x14ac:dyDescent="0.25">
      <c r="A2826" s="12" t="s">
        <v>6051</v>
      </c>
      <c r="B2826" s="3"/>
      <c r="C2826" s="18" t="s">
        <v>6461</v>
      </c>
      <c r="D2826" s="14" t="s">
        <v>6668</v>
      </c>
    </row>
    <row r="2827" spans="1:4" hidden="1" x14ac:dyDescent="0.25">
      <c r="A2827" s="12" t="s">
        <v>5759</v>
      </c>
      <c r="B2827" s="3"/>
      <c r="C2827" s="18" t="s">
        <v>6462</v>
      </c>
      <c r="D2827" s="14" t="s">
        <v>6668</v>
      </c>
    </row>
    <row r="2828" spans="1:4" hidden="1" x14ac:dyDescent="0.25">
      <c r="A2828" s="12" t="s">
        <v>6052</v>
      </c>
      <c r="B2828" s="3"/>
      <c r="C2828" s="18" t="s">
        <v>6463</v>
      </c>
      <c r="D2828" s="14" t="s">
        <v>6668</v>
      </c>
    </row>
    <row r="2829" spans="1:4" hidden="1" x14ac:dyDescent="0.25">
      <c r="A2829" s="12" t="s">
        <v>6053</v>
      </c>
      <c r="B2829" s="3"/>
      <c r="C2829" s="18" t="s">
        <v>6464</v>
      </c>
      <c r="D2829" s="14" t="s">
        <v>6668</v>
      </c>
    </row>
    <row r="2830" spans="1:4" hidden="1" x14ac:dyDescent="0.25">
      <c r="A2830" s="12" t="s">
        <v>6054</v>
      </c>
      <c r="B2830" s="3"/>
      <c r="C2830" s="18" t="s">
        <v>6465</v>
      </c>
      <c r="D2830" s="14" t="s">
        <v>6668</v>
      </c>
    </row>
    <row r="2831" spans="1:4" hidden="1" x14ac:dyDescent="0.25">
      <c r="A2831" s="12" t="s">
        <v>5760</v>
      </c>
      <c r="B2831" s="3"/>
      <c r="C2831" s="18" t="s">
        <v>6466</v>
      </c>
      <c r="D2831" s="14" t="s">
        <v>6668</v>
      </c>
    </row>
    <row r="2832" spans="1:4" hidden="1" x14ac:dyDescent="0.25">
      <c r="A2832" s="12" t="s">
        <v>6055</v>
      </c>
      <c r="B2832" s="3"/>
      <c r="C2832" s="18" t="s">
        <v>6467</v>
      </c>
      <c r="D2832" s="14" t="s">
        <v>6668</v>
      </c>
    </row>
    <row r="2833" spans="1:4" hidden="1" x14ac:dyDescent="0.25">
      <c r="A2833" s="12" t="s">
        <v>5761</v>
      </c>
      <c r="B2833" s="3"/>
      <c r="C2833" s="18" t="s">
        <v>6468</v>
      </c>
      <c r="D2833" s="14" t="s">
        <v>6668</v>
      </c>
    </row>
    <row r="2834" spans="1:4" hidden="1" x14ac:dyDescent="0.25">
      <c r="A2834" s="12" t="s">
        <v>6056</v>
      </c>
      <c r="B2834" s="3"/>
      <c r="C2834" s="18" t="s">
        <v>6469</v>
      </c>
      <c r="D2834" s="14" t="s">
        <v>6668</v>
      </c>
    </row>
    <row r="2835" spans="1:4" hidden="1" x14ac:dyDescent="0.25">
      <c r="A2835" s="12" t="s">
        <v>5762</v>
      </c>
      <c r="B2835" s="3"/>
      <c r="C2835" s="18" t="s">
        <v>6470</v>
      </c>
      <c r="D2835" s="14" t="s">
        <v>6668</v>
      </c>
    </row>
    <row r="2836" spans="1:4" hidden="1" x14ac:dyDescent="0.25">
      <c r="A2836" s="12" t="s">
        <v>5763</v>
      </c>
      <c r="B2836" s="3"/>
      <c r="C2836" s="18" t="s">
        <v>6471</v>
      </c>
      <c r="D2836" s="14" t="s">
        <v>6668</v>
      </c>
    </row>
    <row r="2837" spans="1:4" hidden="1" x14ac:dyDescent="0.25">
      <c r="A2837" s="12" t="s">
        <v>6057</v>
      </c>
      <c r="B2837" s="3"/>
      <c r="C2837" s="18" t="s">
        <v>6472</v>
      </c>
      <c r="D2837" s="14" t="s">
        <v>6668</v>
      </c>
    </row>
    <row r="2838" spans="1:4" hidden="1" x14ac:dyDescent="0.25">
      <c r="A2838" s="12" t="s">
        <v>5764</v>
      </c>
      <c r="B2838" s="3"/>
      <c r="C2838" s="19" t="s">
        <v>6473</v>
      </c>
      <c r="D2838" s="14" t="s">
        <v>6668</v>
      </c>
    </row>
    <row r="2839" spans="1:4" hidden="1" x14ac:dyDescent="0.25">
      <c r="A2839" s="12" t="s">
        <v>6058</v>
      </c>
      <c r="B2839" s="3"/>
      <c r="C2839" s="19" t="s">
        <v>6474</v>
      </c>
      <c r="D2839" s="14" t="s">
        <v>6668</v>
      </c>
    </row>
    <row r="2840" spans="1:4" hidden="1" x14ac:dyDescent="0.25">
      <c r="A2840" s="12" t="s">
        <v>5765</v>
      </c>
      <c r="B2840" s="3"/>
      <c r="C2840" s="18" t="s">
        <v>6475</v>
      </c>
      <c r="D2840" s="14" t="s">
        <v>6668</v>
      </c>
    </row>
    <row r="2841" spans="1:4" hidden="1" x14ac:dyDescent="0.25">
      <c r="A2841" s="12" t="s">
        <v>6059</v>
      </c>
      <c r="B2841" s="3"/>
      <c r="C2841" s="18" t="s">
        <v>6476</v>
      </c>
      <c r="D2841" s="14" t="s">
        <v>6668</v>
      </c>
    </row>
    <row r="2842" spans="1:4" hidden="1" x14ac:dyDescent="0.25">
      <c r="A2842" s="12" t="s">
        <v>5766</v>
      </c>
      <c r="B2842" s="3"/>
      <c r="C2842" s="18" t="s">
        <v>6477</v>
      </c>
      <c r="D2842" s="14" t="s">
        <v>6668</v>
      </c>
    </row>
    <row r="2843" spans="1:4" hidden="1" x14ac:dyDescent="0.25">
      <c r="A2843" s="12" t="s">
        <v>6060</v>
      </c>
      <c r="B2843" s="3"/>
      <c r="C2843" s="18" t="s">
        <v>6478</v>
      </c>
      <c r="D2843" s="14" t="s">
        <v>6668</v>
      </c>
    </row>
    <row r="2844" spans="1:4" hidden="1" x14ac:dyDescent="0.25">
      <c r="A2844" s="12" t="s">
        <v>6061</v>
      </c>
      <c r="B2844" s="3"/>
      <c r="C2844" s="18" t="s">
        <v>6479</v>
      </c>
      <c r="D2844" s="14" t="s">
        <v>6668</v>
      </c>
    </row>
    <row r="2845" spans="1:4" hidden="1" x14ac:dyDescent="0.25">
      <c r="A2845" s="12" t="s">
        <v>6062</v>
      </c>
      <c r="B2845" s="3"/>
      <c r="C2845" s="18" t="s">
        <v>6480</v>
      </c>
      <c r="D2845" s="14" t="s">
        <v>6668</v>
      </c>
    </row>
    <row r="2846" spans="1:4" hidden="1" x14ac:dyDescent="0.25">
      <c r="A2846" s="12" t="s">
        <v>5767</v>
      </c>
      <c r="B2846" s="3"/>
      <c r="C2846" s="18" t="s">
        <v>6481</v>
      </c>
      <c r="D2846" s="14" t="s">
        <v>6668</v>
      </c>
    </row>
    <row r="2847" spans="1:4" hidden="1" x14ac:dyDescent="0.25">
      <c r="A2847" s="12" t="s">
        <v>6063</v>
      </c>
      <c r="B2847" s="3"/>
      <c r="C2847" s="18" t="s">
        <v>6482</v>
      </c>
      <c r="D2847" s="14" t="s">
        <v>6668</v>
      </c>
    </row>
    <row r="2848" spans="1:4" hidden="1" x14ac:dyDescent="0.25">
      <c r="A2848" s="12" t="s">
        <v>5768</v>
      </c>
      <c r="B2848" s="3"/>
      <c r="C2848" s="18" t="s">
        <v>6483</v>
      </c>
      <c r="D2848" s="14" t="s">
        <v>6668</v>
      </c>
    </row>
    <row r="2849" spans="1:4" hidden="1" x14ac:dyDescent="0.25">
      <c r="A2849" s="12" t="s">
        <v>6064</v>
      </c>
      <c r="B2849" s="3"/>
      <c r="C2849" s="18" t="s">
        <v>6484</v>
      </c>
      <c r="D2849" s="14" t="s">
        <v>6668</v>
      </c>
    </row>
    <row r="2850" spans="1:4" hidden="1" x14ac:dyDescent="0.25">
      <c r="A2850" s="12" t="s">
        <v>5769</v>
      </c>
      <c r="B2850" s="3"/>
      <c r="C2850" s="18" t="s">
        <v>6485</v>
      </c>
      <c r="D2850" s="14" t="s">
        <v>6668</v>
      </c>
    </row>
    <row r="2851" spans="1:4" hidden="1" x14ac:dyDescent="0.25">
      <c r="A2851" s="12" t="s">
        <v>5770</v>
      </c>
      <c r="B2851" s="3"/>
      <c r="C2851" s="18" t="s">
        <v>6486</v>
      </c>
      <c r="D2851" s="14" t="s">
        <v>6668</v>
      </c>
    </row>
    <row r="2852" spans="1:4" hidden="1" x14ac:dyDescent="0.25">
      <c r="A2852" s="12" t="s">
        <v>6065</v>
      </c>
      <c r="B2852" s="3"/>
      <c r="C2852" s="18" t="s">
        <v>6487</v>
      </c>
      <c r="D2852" s="14" t="s">
        <v>6668</v>
      </c>
    </row>
    <row r="2853" spans="1:4" hidden="1" x14ac:dyDescent="0.25">
      <c r="A2853" s="12" t="s">
        <v>5771</v>
      </c>
      <c r="B2853" s="3"/>
      <c r="C2853" s="18" t="s">
        <v>6488</v>
      </c>
      <c r="D2853" s="14" t="s">
        <v>6668</v>
      </c>
    </row>
    <row r="2854" spans="1:4" hidden="1" x14ac:dyDescent="0.25">
      <c r="A2854" s="12" t="s">
        <v>6066</v>
      </c>
      <c r="B2854" s="3"/>
      <c r="C2854" s="18" t="s">
        <v>6489</v>
      </c>
      <c r="D2854" s="14" t="s">
        <v>6668</v>
      </c>
    </row>
    <row r="2855" spans="1:4" hidden="1" x14ac:dyDescent="0.25">
      <c r="A2855" s="12" t="s">
        <v>5772</v>
      </c>
      <c r="B2855" s="3"/>
      <c r="C2855" s="18" t="s">
        <v>6490</v>
      </c>
      <c r="D2855" s="14" t="s">
        <v>6668</v>
      </c>
    </row>
    <row r="2856" spans="1:4" hidden="1" x14ac:dyDescent="0.25">
      <c r="A2856" s="12" t="s">
        <v>6067</v>
      </c>
      <c r="B2856" s="3"/>
      <c r="C2856" s="18" t="s">
        <v>6491</v>
      </c>
      <c r="D2856" s="14" t="s">
        <v>6668</v>
      </c>
    </row>
    <row r="2857" spans="1:4" hidden="1" x14ac:dyDescent="0.25">
      <c r="A2857" s="12" t="s">
        <v>5773</v>
      </c>
      <c r="B2857" s="3"/>
      <c r="C2857" s="18" t="s">
        <v>6492</v>
      </c>
      <c r="D2857" s="14" t="s">
        <v>6668</v>
      </c>
    </row>
    <row r="2858" spans="1:4" hidden="1" x14ac:dyDescent="0.25">
      <c r="A2858" s="12" t="s">
        <v>6068</v>
      </c>
      <c r="B2858" s="3"/>
      <c r="C2858" s="18" t="s">
        <v>6493</v>
      </c>
      <c r="D2858" s="14" t="s">
        <v>6668</v>
      </c>
    </row>
    <row r="2859" spans="1:4" hidden="1" x14ac:dyDescent="0.25">
      <c r="A2859" s="12" t="s">
        <v>6069</v>
      </c>
      <c r="B2859" s="3"/>
      <c r="C2859" s="18" t="s">
        <v>6494</v>
      </c>
      <c r="D2859" s="14" t="s">
        <v>6668</v>
      </c>
    </row>
    <row r="2860" spans="1:4" hidden="1" x14ac:dyDescent="0.25">
      <c r="A2860" s="12" t="s">
        <v>6070</v>
      </c>
      <c r="B2860" s="3"/>
      <c r="C2860" s="18" t="s">
        <v>6495</v>
      </c>
      <c r="D2860" s="14" t="s">
        <v>6668</v>
      </c>
    </row>
    <row r="2861" spans="1:4" hidden="1" x14ac:dyDescent="0.25">
      <c r="A2861" s="12" t="s">
        <v>5774</v>
      </c>
      <c r="B2861" s="3"/>
      <c r="C2861" s="18" t="s">
        <v>6496</v>
      </c>
      <c r="D2861" s="14" t="s">
        <v>6668</v>
      </c>
    </row>
    <row r="2862" spans="1:4" hidden="1" x14ac:dyDescent="0.25">
      <c r="A2862" s="12" t="s">
        <v>6071</v>
      </c>
      <c r="B2862" s="3"/>
      <c r="C2862" s="18" t="s">
        <v>6497</v>
      </c>
      <c r="D2862" s="14" t="s">
        <v>6668</v>
      </c>
    </row>
    <row r="2863" spans="1:4" hidden="1" x14ac:dyDescent="0.25">
      <c r="A2863" s="12" t="s">
        <v>5775</v>
      </c>
      <c r="B2863" s="3"/>
      <c r="C2863" s="18" t="s">
        <v>6498</v>
      </c>
      <c r="D2863" s="14" t="s">
        <v>6668</v>
      </c>
    </row>
    <row r="2864" spans="1:4" hidden="1" x14ac:dyDescent="0.25">
      <c r="A2864" s="12" t="s">
        <v>6072</v>
      </c>
      <c r="B2864" s="3"/>
      <c r="C2864" s="18" t="s">
        <v>6499</v>
      </c>
      <c r="D2864" s="14" t="s">
        <v>6668</v>
      </c>
    </row>
    <row r="2865" spans="1:4" hidden="1" x14ac:dyDescent="0.25">
      <c r="A2865" s="12" t="s">
        <v>5776</v>
      </c>
      <c r="B2865" s="3"/>
      <c r="C2865" s="18" t="s">
        <v>6500</v>
      </c>
      <c r="D2865" s="14" t="s">
        <v>6668</v>
      </c>
    </row>
    <row r="2866" spans="1:4" hidden="1" x14ac:dyDescent="0.25">
      <c r="A2866" s="12" t="s">
        <v>5777</v>
      </c>
      <c r="B2866" s="3"/>
      <c r="C2866" s="18" t="s">
        <v>6501</v>
      </c>
      <c r="D2866" s="14" t="s">
        <v>6668</v>
      </c>
    </row>
    <row r="2867" spans="1:4" hidden="1" x14ac:dyDescent="0.25">
      <c r="A2867" s="12" t="s">
        <v>6073</v>
      </c>
      <c r="B2867" s="3"/>
      <c r="C2867" s="18" t="s">
        <v>6502</v>
      </c>
      <c r="D2867" s="14" t="s">
        <v>6668</v>
      </c>
    </row>
    <row r="2868" spans="1:4" hidden="1" x14ac:dyDescent="0.25">
      <c r="A2868" s="12" t="s">
        <v>5778</v>
      </c>
      <c r="B2868" s="3"/>
      <c r="C2868" s="18" t="s">
        <v>6503</v>
      </c>
      <c r="D2868" s="14" t="s">
        <v>6668</v>
      </c>
    </row>
    <row r="2869" spans="1:4" hidden="1" x14ac:dyDescent="0.25">
      <c r="A2869" s="12" t="s">
        <v>6074</v>
      </c>
      <c r="B2869" s="3"/>
      <c r="C2869" s="18" t="s">
        <v>6504</v>
      </c>
      <c r="D2869" s="14" t="s">
        <v>6668</v>
      </c>
    </row>
    <row r="2870" spans="1:4" hidden="1" x14ac:dyDescent="0.25">
      <c r="A2870" s="12" t="s">
        <v>5779</v>
      </c>
      <c r="B2870" s="3"/>
      <c r="C2870" s="18" t="s">
        <v>6505</v>
      </c>
      <c r="D2870" s="14" t="s">
        <v>6668</v>
      </c>
    </row>
    <row r="2871" spans="1:4" hidden="1" x14ac:dyDescent="0.25">
      <c r="A2871" s="12" t="s">
        <v>6075</v>
      </c>
      <c r="B2871" s="3"/>
      <c r="C2871" s="18" t="s">
        <v>6506</v>
      </c>
      <c r="D2871" s="14" t="s">
        <v>6668</v>
      </c>
    </row>
    <row r="2872" spans="1:4" hidden="1" x14ac:dyDescent="0.25">
      <c r="A2872" s="12" t="s">
        <v>5780</v>
      </c>
      <c r="B2872" s="3"/>
      <c r="C2872" s="18" t="s">
        <v>6507</v>
      </c>
      <c r="D2872" s="14" t="s">
        <v>6668</v>
      </c>
    </row>
    <row r="2873" spans="1:4" hidden="1" x14ac:dyDescent="0.25">
      <c r="A2873" s="12" t="s">
        <v>6076</v>
      </c>
      <c r="B2873" s="3"/>
      <c r="C2873" s="18" t="s">
        <v>6508</v>
      </c>
      <c r="D2873" s="14" t="s">
        <v>6668</v>
      </c>
    </row>
    <row r="2874" spans="1:4" hidden="1" x14ac:dyDescent="0.25">
      <c r="A2874" s="12" t="s">
        <v>6077</v>
      </c>
      <c r="B2874" s="3"/>
      <c r="C2874" s="18" t="s">
        <v>6509</v>
      </c>
      <c r="D2874" s="14" t="s">
        <v>6668</v>
      </c>
    </row>
    <row r="2875" spans="1:4" hidden="1" x14ac:dyDescent="0.25">
      <c r="A2875" s="12" t="s">
        <v>6078</v>
      </c>
      <c r="B2875" s="3"/>
      <c r="C2875" s="19" t="s">
        <v>6510</v>
      </c>
      <c r="D2875" s="14" t="s">
        <v>6668</v>
      </c>
    </row>
    <row r="2876" spans="1:4" hidden="1" x14ac:dyDescent="0.25">
      <c r="A2876" s="12" t="s">
        <v>5781</v>
      </c>
      <c r="B2876" s="3"/>
      <c r="C2876" s="19" t="s">
        <v>6511</v>
      </c>
      <c r="D2876" s="14" t="s">
        <v>6668</v>
      </c>
    </row>
    <row r="2877" spans="1:4" hidden="1" x14ac:dyDescent="0.25">
      <c r="A2877" s="12" t="s">
        <v>6079</v>
      </c>
      <c r="B2877" s="3"/>
      <c r="C2877" s="18" t="s">
        <v>6512</v>
      </c>
      <c r="D2877" s="14" t="s">
        <v>6668</v>
      </c>
    </row>
    <row r="2878" spans="1:4" hidden="1" x14ac:dyDescent="0.25">
      <c r="A2878" s="12" t="s">
        <v>5782</v>
      </c>
      <c r="B2878" s="3"/>
      <c r="C2878" s="18" t="s">
        <v>6513</v>
      </c>
      <c r="D2878" s="14" t="s">
        <v>6668</v>
      </c>
    </row>
    <row r="2879" spans="1:4" hidden="1" x14ac:dyDescent="0.25">
      <c r="A2879" s="12" t="s">
        <v>6080</v>
      </c>
      <c r="B2879" s="3"/>
      <c r="C2879" s="18" t="s">
        <v>6514</v>
      </c>
      <c r="D2879" s="14" t="s">
        <v>6668</v>
      </c>
    </row>
    <row r="2880" spans="1:4" hidden="1" x14ac:dyDescent="0.25">
      <c r="A2880" s="12" t="s">
        <v>5783</v>
      </c>
      <c r="B2880" s="3"/>
      <c r="C2880" s="18" t="s">
        <v>6515</v>
      </c>
      <c r="D2880" s="14" t="s">
        <v>6668</v>
      </c>
    </row>
    <row r="2881" spans="1:4" hidden="1" x14ac:dyDescent="0.25">
      <c r="A2881" s="12" t="s">
        <v>5784</v>
      </c>
      <c r="B2881" s="3"/>
      <c r="C2881" s="18" t="s">
        <v>6516</v>
      </c>
      <c r="D2881" s="14" t="s">
        <v>6668</v>
      </c>
    </row>
    <row r="2882" spans="1:4" hidden="1" x14ac:dyDescent="0.25">
      <c r="A2882" s="12" t="s">
        <v>6201</v>
      </c>
      <c r="B2882" s="3"/>
      <c r="C2882" s="18" t="s">
        <v>6517</v>
      </c>
      <c r="D2882" s="14" t="s">
        <v>6668</v>
      </c>
    </row>
    <row r="2883" spans="1:4" hidden="1" x14ac:dyDescent="0.25">
      <c r="A2883" s="12" t="s">
        <v>5785</v>
      </c>
      <c r="B2883" s="3"/>
      <c r="C2883" s="18" t="s">
        <v>6518</v>
      </c>
      <c r="D2883" s="14" t="s">
        <v>6668</v>
      </c>
    </row>
    <row r="2884" spans="1:4" hidden="1" x14ac:dyDescent="0.25">
      <c r="A2884" s="12" t="s">
        <v>6202</v>
      </c>
      <c r="B2884" s="3"/>
      <c r="C2884" s="18" t="s">
        <v>6519</v>
      </c>
      <c r="D2884" s="14" t="s">
        <v>6668</v>
      </c>
    </row>
    <row r="2885" spans="1:4" hidden="1" x14ac:dyDescent="0.25">
      <c r="A2885" s="12" t="s">
        <v>5786</v>
      </c>
      <c r="B2885" s="3"/>
      <c r="C2885" s="18" t="s">
        <v>6520</v>
      </c>
      <c r="D2885" s="14" t="s">
        <v>6668</v>
      </c>
    </row>
    <row r="2886" spans="1:4" hidden="1" x14ac:dyDescent="0.25">
      <c r="A2886" s="12" t="s">
        <v>6203</v>
      </c>
      <c r="B2886" s="3"/>
      <c r="C2886" s="18" t="s">
        <v>6521</v>
      </c>
      <c r="D2886" s="14" t="s">
        <v>6668</v>
      </c>
    </row>
    <row r="2887" spans="1:4" hidden="1" x14ac:dyDescent="0.25">
      <c r="A2887" s="12" t="s">
        <v>5787</v>
      </c>
      <c r="B2887" s="3"/>
      <c r="C2887" s="18" t="s">
        <v>6522</v>
      </c>
      <c r="D2887" s="14" t="s">
        <v>6668</v>
      </c>
    </row>
    <row r="2888" spans="1:4" hidden="1" x14ac:dyDescent="0.25">
      <c r="A2888" s="12" t="s">
        <v>6204</v>
      </c>
      <c r="B2888" s="3"/>
      <c r="C2888" s="18" t="s">
        <v>6523</v>
      </c>
      <c r="D2888" s="14" t="s">
        <v>6668</v>
      </c>
    </row>
    <row r="2889" spans="1:4" hidden="1" x14ac:dyDescent="0.25">
      <c r="A2889" s="12" t="s">
        <v>6205</v>
      </c>
      <c r="B2889" s="3"/>
      <c r="C2889" s="18" t="s">
        <v>6524</v>
      </c>
      <c r="D2889" s="14" t="s">
        <v>6668</v>
      </c>
    </row>
    <row r="2890" spans="1:4" hidden="1" x14ac:dyDescent="0.25">
      <c r="A2890" s="12" t="s">
        <v>6206</v>
      </c>
      <c r="B2890" s="3"/>
      <c r="C2890" s="18" t="s">
        <v>6525</v>
      </c>
      <c r="D2890" s="14" t="s">
        <v>6668</v>
      </c>
    </row>
    <row r="2891" spans="1:4" hidden="1" x14ac:dyDescent="0.25">
      <c r="A2891" s="12" t="s">
        <v>5788</v>
      </c>
      <c r="B2891" s="3"/>
      <c r="C2891" s="18" t="s">
        <v>6526</v>
      </c>
      <c r="D2891" s="14" t="s">
        <v>6668</v>
      </c>
    </row>
    <row r="2892" spans="1:4" hidden="1" x14ac:dyDescent="0.25">
      <c r="A2892" s="12" t="s">
        <v>6207</v>
      </c>
      <c r="B2892" s="3"/>
      <c r="C2892" s="18" t="s">
        <v>6527</v>
      </c>
      <c r="D2892" s="14" t="s">
        <v>6668</v>
      </c>
    </row>
    <row r="2893" spans="1:4" hidden="1" x14ac:dyDescent="0.25">
      <c r="A2893" s="12" t="s">
        <v>5789</v>
      </c>
      <c r="B2893" s="3"/>
      <c r="C2893" s="18" t="s">
        <v>6528</v>
      </c>
      <c r="D2893" s="14" t="s">
        <v>6668</v>
      </c>
    </row>
    <row r="2894" spans="1:4" hidden="1" x14ac:dyDescent="0.25">
      <c r="A2894" s="12" t="s">
        <v>6208</v>
      </c>
      <c r="B2894" s="3"/>
      <c r="C2894" s="18" t="s">
        <v>6529</v>
      </c>
      <c r="D2894" s="14" t="s">
        <v>6668</v>
      </c>
    </row>
    <row r="2895" spans="1:4" hidden="1" x14ac:dyDescent="0.25">
      <c r="A2895" s="12" t="s">
        <v>5790</v>
      </c>
      <c r="B2895" s="3"/>
      <c r="C2895" s="18" t="s">
        <v>6530</v>
      </c>
      <c r="D2895" s="14" t="s">
        <v>6668</v>
      </c>
    </row>
    <row r="2896" spans="1:4" hidden="1" x14ac:dyDescent="0.25">
      <c r="A2896" s="12" t="s">
        <v>5791</v>
      </c>
      <c r="B2896" s="3"/>
      <c r="C2896" s="18" t="s">
        <v>6531</v>
      </c>
      <c r="D2896" s="14" t="s">
        <v>6668</v>
      </c>
    </row>
    <row r="2897" spans="1:4" hidden="1" x14ac:dyDescent="0.25">
      <c r="A2897" s="12" t="s">
        <v>6209</v>
      </c>
      <c r="B2897" s="3"/>
      <c r="C2897" s="18" t="s">
        <v>6532</v>
      </c>
      <c r="D2897" s="14" t="s">
        <v>6668</v>
      </c>
    </row>
    <row r="2898" spans="1:4" hidden="1" x14ac:dyDescent="0.25">
      <c r="A2898" s="12" t="s">
        <v>5792</v>
      </c>
      <c r="B2898" s="3"/>
      <c r="C2898" s="18" t="s">
        <v>6533</v>
      </c>
      <c r="D2898" s="14" t="s">
        <v>6668</v>
      </c>
    </row>
    <row r="2899" spans="1:4" hidden="1" x14ac:dyDescent="0.25">
      <c r="A2899" s="12" t="s">
        <v>6210</v>
      </c>
      <c r="B2899" s="3"/>
      <c r="C2899" s="18" t="s">
        <v>6534</v>
      </c>
      <c r="D2899" s="14" t="s">
        <v>6668</v>
      </c>
    </row>
    <row r="2900" spans="1:4" hidden="1" x14ac:dyDescent="0.25">
      <c r="A2900" s="12" t="s">
        <v>5793</v>
      </c>
      <c r="B2900" s="3"/>
      <c r="C2900" s="18" t="s">
        <v>6535</v>
      </c>
      <c r="D2900" s="14" t="s">
        <v>6668</v>
      </c>
    </row>
    <row r="2901" spans="1:4" hidden="1" x14ac:dyDescent="0.25">
      <c r="A2901" s="12" t="s">
        <v>6211</v>
      </c>
      <c r="B2901" s="3"/>
      <c r="C2901" s="18" t="s">
        <v>6536</v>
      </c>
      <c r="D2901" s="14" t="s">
        <v>6668</v>
      </c>
    </row>
    <row r="2902" spans="1:4" hidden="1" x14ac:dyDescent="0.25">
      <c r="A2902" s="12" t="s">
        <v>5794</v>
      </c>
      <c r="B2902" s="3"/>
      <c r="C2902" s="18" t="s">
        <v>6537</v>
      </c>
      <c r="D2902" s="14" t="s">
        <v>6668</v>
      </c>
    </row>
    <row r="2903" spans="1:4" hidden="1" x14ac:dyDescent="0.25">
      <c r="A2903" s="12" t="s">
        <v>6212</v>
      </c>
      <c r="B2903" s="3"/>
      <c r="C2903" s="18" t="s">
        <v>6538</v>
      </c>
      <c r="D2903" s="14" t="s">
        <v>6668</v>
      </c>
    </row>
    <row r="2904" spans="1:4" hidden="1" x14ac:dyDescent="0.25">
      <c r="A2904" s="12" t="s">
        <v>6213</v>
      </c>
      <c r="B2904" s="3"/>
      <c r="C2904" s="18" t="s">
        <v>6539</v>
      </c>
      <c r="D2904" s="14" t="s">
        <v>6668</v>
      </c>
    </row>
    <row r="2905" spans="1:4" hidden="1" x14ac:dyDescent="0.25">
      <c r="A2905" s="12" t="s">
        <v>6214</v>
      </c>
      <c r="B2905" s="3"/>
      <c r="C2905" s="18" t="s">
        <v>6540</v>
      </c>
      <c r="D2905" s="14" t="s">
        <v>6668</v>
      </c>
    </row>
    <row r="2906" spans="1:4" hidden="1" x14ac:dyDescent="0.25">
      <c r="A2906" s="12" t="s">
        <v>5795</v>
      </c>
      <c r="B2906" s="3"/>
      <c r="C2906" s="18" t="s">
        <v>6541</v>
      </c>
      <c r="D2906" s="14" t="s">
        <v>6668</v>
      </c>
    </row>
    <row r="2907" spans="1:4" hidden="1" x14ac:dyDescent="0.25">
      <c r="A2907" s="12" t="s">
        <v>6215</v>
      </c>
      <c r="B2907" s="3"/>
      <c r="C2907" s="18" t="s">
        <v>6542</v>
      </c>
      <c r="D2907" s="14" t="s">
        <v>6668</v>
      </c>
    </row>
    <row r="2908" spans="1:4" hidden="1" x14ac:dyDescent="0.25">
      <c r="A2908" s="12" t="s">
        <v>5796</v>
      </c>
      <c r="B2908" s="3"/>
      <c r="C2908" s="18" t="s">
        <v>6543</v>
      </c>
      <c r="D2908" s="14" t="s">
        <v>6668</v>
      </c>
    </row>
    <row r="2909" spans="1:4" hidden="1" x14ac:dyDescent="0.25">
      <c r="A2909" s="12" t="s">
        <v>6216</v>
      </c>
      <c r="B2909" s="3"/>
      <c r="C2909" s="18" t="s">
        <v>6544</v>
      </c>
      <c r="D2909" s="14" t="s">
        <v>6668</v>
      </c>
    </row>
    <row r="2910" spans="1:4" hidden="1" x14ac:dyDescent="0.25">
      <c r="A2910" s="12" t="s">
        <v>5797</v>
      </c>
      <c r="B2910" s="3"/>
      <c r="C2910" s="18" t="s">
        <v>6545</v>
      </c>
      <c r="D2910" s="14" t="s">
        <v>6668</v>
      </c>
    </row>
    <row r="2911" spans="1:4" hidden="1" x14ac:dyDescent="0.25">
      <c r="A2911" s="12" t="s">
        <v>5798</v>
      </c>
      <c r="B2911" s="3"/>
      <c r="C2911" s="18" t="s">
        <v>6546</v>
      </c>
      <c r="D2911" s="14" t="s">
        <v>6668</v>
      </c>
    </row>
    <row r="2912" spans="1:4" hidden="1" x14ac:dyDescent="0.25">
      <c r="A2912" s="12" t="s">
        <v>6217</v>
      </c>
      <c r="B2912" s="3"/>
      <c r="C2912" s="18" t="s">
        <v>6547</v>
      </c>
      <c r="D2912" s="14" t="s">
        <v>6668</v>
      </c>
    </row>
    <row r="2913" spans="1:4" hidden="1" x14ac:dyDescent="0.25">
      <c r="A2913" s="12" t="s">
        <v>5799</v>
      </c>
      <c r="B2913" s="3"/>
      <c r="C2913" s="19" t="s">
        <v>6548</v>
      </c>
      <c r="D2913" s="14" t="s">
        <v>6668</v>
      </c>
    </row>
    <row r="2914" spans="1:4" hidden="1" x14ac:dyDescent="0.25">
      <c r="A2914" s="12" t="s">
        <v>6218</v>
      </c>
      <c r="B2914" s="3"/>
      <c r="C2914" s="19" t="s">
        <v>6549</v>
      </c>
      <c r="D2914" s="14" t="s">
        <v>6668</v>
      </c>
    </row>
    <row r="2915" spans="1:4" hidden="1" x14ac:dyDescent="0.25">
      <c r="A2915" s="12" t="s">
        <v>5800</v>
      </c>
      <c r="B2915" s="3"/>
      <c r="C2915" s="18" t="s">
        <v>6550</v>
      </c>
      <c r="D2915" s="14" t="s">
        <v>6668</v>
      </c>
    </row>
    <row r="2916" spans="1:4" hidden="1" x14ac:dyDescent="0.25">
      <c r="A2916" s="12" t="s">
        <v>6219</v>
      </c>
      <c r="B2916" s="3"/>
      <c r="C2916" s="18" t="s">
        <v>6551</v>
      </c>
      <c r="D2916" s="14" t="s">
        <v>6668</v>
      </c>
    </row>
    <row r="2917" spans="1:4" hidden="1" x14ac:dyDescent="0.25">
      <c r="A2917" s="12" t="s">
        <v>5801</v>
      </c>
      <c r="B2917" s="3"/>
      <c r="C2917" s="18" t="s">
        <v>6552</v>
      </c>
      <c r="D2917" s="14" t="s">
        <v>6668</v>
      </c>
    </row>
    <row r="2918" spans="1:4" hidden="1" x14ac:dyDescent="0.25">
      <c r="A2918" s="12" t="s">
        <v>6220</v>
      </c>
      <c r="B2918" s="3"/>
      <c r="C2918" s="18" t="s">
        <v>6553</v>
      </c>
      <c r="D2918" s="14" t="s">
        <v>6668</v>
      </c>
    </row>
    <row r="2919" spans="1:4" hidden="1" x14ac:dyDescent="0.25">
      <c r="A2919" s="12" t="s">
        <v>6221</v>
      </c>
      <c r="B2919" s="3"/>
      <c r="C2919" s="18" t="s">
        <v>6554</v>
      </c>
      <c r="D2919" s="14" t="s">
        <v>6668</v>
      </c>
    </row>
    <row r="2920" spans="1:4" hidden="1" x14ac:dyDescent="0.25">
      <c r="A2920" s="12" t="s">
        <v>6222</v>
      </c>
      <c r="B2920" s="3"/>
      <c r="C2920" s="18" t="s">
        <v>6555</v>
      </c>
      <c r="D2920" s="14" t="s">
        <v>6668</v>
      </c>
    </row>
    <row r="2921" spans="1:4" hidden="1" x14ac:dyDescent="0.25">
      <c r="A2921" s="12" t="s">
        <v>5802</v>
      </c>
      <c r="B2921" s="3"/>
      <c r="C2921" s="18" t="s">
        <v>6556</v>
      </c>
      <c r="D2921" s="14" t="s">
        <v>6668</v>
      </c>
    </row>
    <row r="2922" spans="1:4" hidden="1" x14ac:dyDescent="0.25">
      <c r="A2922" s="12" t="s">
        <v>6223</v>
      </c>
      <c r="B2922" s="3"/>
      <c r="C2922" s="18" t="s">
        <v>6557</v>
      </c>
      <c r="D2922" s="14" t="s">
        <v>6668</v>
      </c>
    </row>
    <row r="2923" spans="1:4" hidden="1" x14ac:dyDescent="0.25">
      <c r="A2923" s="12" t="s">
        <v>5803</v>
      </c>
      <c r="B2923" s="3"/>
      <c r="C2923" s="18" t="s">
        <v>6558</v>
      </c>
      <c r="D2923" s="14" t="s">
        <v>6668</v>
      </c>
    </row>
    <row r="2924" spans="1:4" hidden="1" x14ac:dyDescent="0.25">
      <c r="A2924" s="12" t="s">
        <v>6224</v>
      </c>
      <c r="B2924" s="3"/>
      <c r="C2924" s="18" t="s">
        <v>6559</v>
      </c>
      <c r="D2924" s="14" t="s">
        <v>6668</v>
      </c>
    </row>
    <row r="2925" spans="1:4" hidden="1" x14ac:dyDescent="0.25">
      <c r="A2925" s="12" t="s">
        <v>5804</v>
      </c>
      <c r="B2925" s="3"/>
      <c r="C2925" s="18" t="s">
        <v>6560</v>
      </c>
      <c r="D2925" s="14" t="s">
        <v>6668</v>
      </c>
    </row>
    <row r="2926" spans="1:4" hidden="1" x14ac:dyDescent="0.25">
      <c r="A2926" s="12" t="s">
        <v>5805</v>
      </c>
      <c r="B2926" s="3"/>
      <c r="C2926" s="18" t="s">
        <v>6561</v>
      </c>
      <c r="D2926" s="14" t="s">
        <v>6668</v>
      </c>
    </row>
    <row r="2927" spans="1:4" hidden="1" x14ac:dyDescent="0.25">
      <c r="A2927" s="12" t="s">
        <v>6225</v>
      </c>
      <c r="B2927" s="3"/>
      <c r="C2927" s="18" t="s">
        <v>6562</v>
      </c>
      <c r="D2927" s="14" t="s">
        <v>6668</v>
      </c>
    </row>
    <row r="2928" spans="1:4" hidden="1" x14ac:dyDescent="0.25">
      <c r="A2928" s="12" t="s">
        <v>5806</v>
      </c>
      <c r="B2928" s="3"/>
      <c r="C2928" s="18" t="s">
        <v>6563</v>
      </c>
      <c r="D2928" s="14" t="s">
        <v>6668</v>
      </c>
    </row>
    <row r="2929" spans="1:4" hidden="1" x14ac:dyDescent="0.25">
      <c r="A2929" s="12" t="s">
        <v>6226</v>
      </c>
      <c r="B2929" s="3"/>
      <c r="C2929" s="18" t="s">
        <v>6564</v>
      </c>
      <c r="D2929" s="14" t="s">
        <v>6668</v>
      </c>
    </row>
    <row r="2930" spans="1:4" hidden="1" x14ac:dyDescent="0.25">
      <c r="A2930" s="12" t="s">
        <v>5807</v>
      </c>
      <c r="B2930" s="3"/>
      <c r="C2930" s="18" t="s">
        <v>6565</v>
      </c>
      <c r="D2930" s="14" t="s">
        <v>6668</v>
      </c>
    </row>
    <row r="2931" spans="1:4" hidden="1" x14ac:dyDescent="0.25">
      <c r="A2931" s="12" t="s">
        <v>6227</v>
      </c>
      <c r="B2931" s="3"/>
      <c r="C2931" s="18" t="s">
        <v>6566</v>
      </c>
      <c r="D2931" s="14" t="s">
        <v>6668</v>
      </c>
    </row>
    <row r="2932" spans="1:4" hidden="1" x14ac:dyDescent="0.25">
      <c r="A2932" s="12" t="s">
        <v>5808</v>
      </c>
      <c r="B2932" s="3"/>
      <c r="C2932" s="18" t="s">
        <v>6567</v>
      </c>
      <c r="D2932" s="14" t="s">
        <v>6668</v>
      </c>
    </row>
    <row r="2933" spans="1:4" hidden="1" x14ac:dyDescent="0.25">
      <c r="A2933" s="12" t="s">
        <v>6228</v>
      </c>
      <c r="B2933" s="3"/>
      <c r="C2933" s="18" t="s">
        <v>6568</v>
      </c>
      <c r="D2933" s="14" t="s">
        <v>6668</v>
      </c>
    </row>
    <row r="2934" spans="1:4" hidden="1" x14ac:dyDescent="0.25">
      <c r="A2934" s="12" t="s">
        <v>6229</v>
      </c>
      <c r="B2934" s="3"/>
      <c r="C2934" s="18" t="s">
        <v>6569</v>
      </c>
      <c r="D2934" s="14" t="s">
        <v>6668</v>
      </c>
    </row>
    <row r="2935" spans="1:4" hidden="1" x14ac:dyDescent="0.25">
      <c r="A2935" s="12" t="s">
        <v>6230</v>
      </c>
      <c r="B2935" s="3"/>
      <c r="C2935" s="18" t="s">
        <v>6570</v>
      </c>
      <c r="D2935" s="14" t="s">
        <v>6668</v>
      </c>
    </row>
    <row r="2936" spans="1:4" hidden="1" x14ac:dyDescent="0.25">
      <c r="A2936" s="12" t="s">
        <v>5809</v>
      </c>
      <c r="B2936" s="3"/>
      <c r="C2936" s="18" t="s">
        <v>6571</v>
      </c>
      <c r="D2936" s="14" t="s">
        <v>6668</v>
      </c>
    </row>
    <row r="2937" spans="1:4" hidden="1" x14ac:dyDescent="0.25">
      <c r="A2937" s="12" t="s">
        <v>6231</v>
      </c>
      <c r="B2937" s="3"/>
      <c r="C2937" s="18" t="s">
        <v>6572</v>
      </c>
      <c r="D2937" s="14" t="s">
        <v>6668</v>
      </c>
    </row>
    <row r="2938" spans="1:4" hidden="1" x14ac:dyDescent="0.25">
      <c r="A2938" s="12" t="s">
        <v>5810</v>
      </c>
      <c r="B2938" s="3"/>
      <c r="C2938" s="18" t="s">
        <v>6573</v>
      </c>
      <c r="D2938" s="14" t="s">
        <v>6668</v>
      </c>
    </row>
    <row r="2939" spans="1:4" hidden="1" x14ac:dyDescent="0.25">
      <c r="A2939" s="12" t="s">
        <v>6232</v>
      </c>
      <c r="B2939" s="3"/>
      <c r="C2939" s="18" t="s">
        <v>6574</v>
      </c>
      <c r="D2939" s="14" t="s">
        <v>6668</v>
      </c>
    </row>
    <row r="2940" spans="1:4" hidden="1" x14ac:dyDescent="0.25">
      <c r="A2940" s="12" t="s">
        <v>5811</v>
      </c>
      <c r="B2940" s="3"/>
      <c r="C2940" s="18" t="s">
        <v>6575</v>
      </c>
      <c r="D2940" s="14" t="s">
        <v>6668</v>
      </c>
    </row>
    <row r="2941" spans="1:4" hidden="1" x14ac:dyDescent="0.25">
      <c r="A2941" s="12" t="s">
        <v>5812</v>
      </c>
      <c r="B2941" s="3"/>
      <c r="C2941" s="18" t="s">
        <v>6576</v>
      </c>
      <c r="D2941" s="14" t="s">
        <v>6668</v>
      </c>
    </row>
    <row r="2942" spans="1:4" hidden="1" x14ac:dyDescent="0.25">
      <c r="A2942" s="12" t="s">
        <v>6233</v>
      </c>
      <c r="B2942" s="3"/>
      <c r="C2942" s="18" t="s">
        <v>6577</v>
      </c>
      <c r="D2942" s="14" t="s">
        <v>6668</v>
      </c>
    </row>
    <row r="2943" spans="1:4" hidden="1" x14ac:dyDescent="0.25">
      <c r="A2943" s="12" t="s">
        <v>5813</v>
      </c>
      <c r="B2943" s="3"/>
      <c r="C2943" s="18" t="s">
        <v>6578</v>
      </c>
      <c r="D2943" s="14" t="s">
        <v>6668</v>
      </c>
    </row>
    <row r="2944" spans="1:4" hidden="1" x14ac:dyDescent="0.25">
      <c r="A2944" s="12" t="s">
        <v>6234</v>
      </c>
      <c r="B2944" s="3"/>
      <c r="C2944" s="18" t="s">
        <v>6579</v>
      </c>
      <c r="D2944" s="14" t="s">
        <v>6668</v>
      </c>
    </row>
    <row r="2945" spans="1:4" hidden="1" x14ac:dyDescent="0.25">
      <c r="A2945" s="12" t="s">
        <v>5814</v>
      </c>
      <c r="B2945" s="3"/>
      <c r="C2945" s="18" t="s">
        <v>6580</v>
      </c>
      <c r="D2945" s="14" t="s">
        <v>6668</v>
      </c>
    </row>
    <row r="2946" spans="1:4" hidden="1" x14ac:dyDescent="0.25">
      <c r="A2946" s="12" t="s">
        <v>6235</v>
      </c>
      <c r="B2946" s="3"/>
      <c r="C2946" s="18" t="s">
        <v>6581</v>
      </c>
      <c r="D2946" s="14" t="s">
        <v>6668</v>
      </c>
    </row>
    <row r="2947" spans="1:4" hidden="1" x14ac:dyDescent="0.25">
      <c r="A2947" s="12" t="s">
        <v>5815</v>
      </c>
      <c r="B2947" s="3"/>
      <c r="C2947" s="18" t="s">
        <v>6582</v>
      </c>
      <c r="D2947" s="14" t="s">
        <v>6668</v>
      </c>
    </row>
    <row r="2948" spans="1:4" hidden="1" x14ac:dyDescent="0.25">
      <c r="A2948" s="12" t="s">
        <v>6236</v>
      </c>
      <c r="B2948" s="3"/>
      <c r="C2948" s="18" t="s">
        <v>6583</v>
      </c>
      <c r="D2948" s="14" t="s">
        <v>6668</v>
      </c>
    </row>
    <row r="2949" spans="1:4" hidden="1" x14ac:dyDescent="0.25">
      <c r="A2949" s="12" t="s">
        <v>6237</v>
      </c>
      <c r="B2949" s="3"/>
      <c r="C2949" s="18" t="s">
        <v>6584</v>
      </c>
      <c r="D2949" s="14" t="s">
        <v>6668</v>
      </c>
    </row>
    <row r="2950" spans="1:4" hidden="1" x14ac:dyDescent="0.25">
      <c r="A2950" s="12" t="s">
        <v>6238</v>
      </c>
      <c r="B2950" s="3"/>
      <c r="C2950" s="19" t="s">
        <v>6585</v>
      </c>
      <c r="D2950" s="14" t="s">
        <v>6668</v>
      </c>
    </row>
    <row r="2951" spans="1:4" hidden="1" x14ac:dyDescent="0.25">
      <c r="A2951" s="12" t="s">
        <v>5816</v>
      </c>
      <c r="B2951" s="3"/>
      <c r="C2951" s="19" t="s">
        <v>6586</v>
      </c>
      <c r="D2951" s="14" t="s">
        <v>6668</v>
      </c>
    </row>
    <row r="2952" spans="1:4" hidden="1" x14ac:dyDescent="0.25">
      <c r="A2952" s="12" t="s">
        <v>6239</v>
      </c>
      <c r="B2952" s="3"/>
      <c r="C2952" s="18" t="s">
        <v>6587</v>
      </c>
      <c r="D2952" s="14" t="s">
        <v>6668</v>
      </c>
    </row>
    <row r="2953" spans="1:4" hidden="1" x14ac:dyDescent="0.25">
      <c r="A2953" s="12" t="s">
        <v>5817</v>
      </c>
      <c r="B2953" s="3"/>
      <c r="C2953" s="18" t="s">
        <v>6588</v>
      </c>
      <c r="D2953" s="14" t="s">
        <v>6668</v>
      </c>
    </row>
    <row r="2954" spans="1:4" hidden="1" x14ac:dyDescent="0.25">
      <c r="A2954" s="12" t="s">
        <v>6240</v>
      </c>
      <c r="B2954" s="3"/>
      <c r="C2954" s="18" t="s">
        <v>6589</v>
      </c>
      <c r="D2954" s="14" t="s">
        <v>6668</v>
      </c>
    </row>
    <row r="2955" spans="1:4" hidden="1" x14ac:dyDescent="0.25">
      <c r="A2955" s="12" t="s">
        <v>5818</v>
      </c>
      <c r="B2955" s="3"/>
      <c r="C2955" s="18" t="s">
        <v>6590</v>
      </c>
      <c r="D2955" s="14" t="s">
        <v>6668</v>
      </c>
    </row>
    <row r="2956" spans="1:4" hidden="1" x14ac:dyDescent="0.25">
      <c r="A2956" s="12" t="s">
        <v>5819</v>
      </c>
      <c r="B2956" s="3"/>
      <c r="C2956" s="18" t="s">
        <v>6591</v>
      </c>
      <c r="D2956" s="14" t="s">
        <v>6668</v>
      </c>
    </row>
    <row r="2957" spans="1:4" hidden="1" x14ac:dyDescent="0.25">
      <c r="A2957" s="12" t="s">
        <v>6361</v>
      </c>
      <c r="B2957" s="3"/>
      <c r="C2957" s="18" t="s">
        <v>6592</v>
      </c>
      <c r="D2957" s="14" t="s">
        <v>6668</v>
      </c>
    </row>
    <row r="2958" spans="1:4" hidden="1" x14ac:dyDescent="0.25">
      <c r="A2958" s="12" t="s">
        <v>5820</v>
      </c>
      <c r="B2958" s="3"/>
      <c r="C2958" s="18" t="s">
        <v>6593</v>
      </c>
      <c r="D2958" s="14" t="s">
        <v>6668</v>
      </c>
    </row>
    <row r="2959" spans="1:4" hidden="1" x14ac:dyDescent="0.25">
      <c r="A2959" s="12" t="s">
        <v>6362</v>
      </c>
      <c r="B2959" s="3"/>
      <c r="C2959" s="18" t="s">
        <v>6594</v>
      </c>
      <c r="D2959" s="14" t="s">
        <v>6668</v>
      </c>
    </row>
    <row r="2960" spans="1:4" hidden="1" x14ac:dyDescent="0.25">
      <c r="A2960" s="12" t="s">
        <v>5821</v>
      </c>
      <c r="B2960" s="3"/>
      <c r="C2960" s="18" t="s">
        <v>6595</v>
      </c>
      <c r="D2960" s="14" t="s">
        <v>6668</v>
      </c>
    </row>
    <row r="2961" spans="1:4" hidden="1" x14ac:dyDescent="0.25">
      <c r="A2961" s="12" t="s">
        <v>6363</v>
      </c>
      <c r="B2961" s="3"/>
      <c r="C2961" s="18" t="s">
        <v>6596</v>
      </c>
      <c r="D2961" s="14" t="s">
        <v>6668</v>
      </c>
    </row>
    <row r="2962" spans="1:4" hidden="1" x14ac:dyDescent="0.25">
      <c r="A2962" s="12" t="s">
        <v>5822</v>
      </c>
      <c r="B2962" s="3"/>
      <c r="C2962" s="18" t="s">
        <v>6597</v>
      </c>
      <c r="D2962" s="14" t="s">
        <v>6668</v>
      </c>
    </row>
    <row r="2963" spans="1:4" hidden="1" x14ac:dyDescent="0.25">
      <c r="A2963" s="12" t="s">
        <v>6364</v>
      </c>
      <c r="B2963" s="3"/>
      <c r="C2963" s="18" t="s">
        <v>6598</v>
      </c>
      <c r="D2963" s="14" t="s">
        <v>6668</v>
      </c>
    </row>
    <row r="2964" spans="1:4" hidden="1" x14ac:dyDescent="0.25">
      <c r="A2964" s="12" t="s">
        <v>6365</v>
      </c>
      <c r="B2964" s="3"/>
      <c r="C2964" s="18" t="s">
        <v>6599</v>
      </c>
      <c r="D2964" s="14" t="s">
        <v>6668</v>
      </c>
    </row>
    <row r="2965" spans="1:4" hidden="1" x14ac:dyDescent="0.25">
      <c r="A2965" s="12" t="s">
        <v>6366</v>
      </c>
      <c r="B2965" s="3"/>
      <c r="C2965" s="18" t="s">
        <v>6600</v>
      </c>
      <c r="D2965" s="14" t="s">
        <v>6668</v>
      </c>
    </row>
    <row r="2966" spans="1:4" hidden="1" x14ac:dyDescent="0.25">
      <c r="A2966" s="12" t="s">
        <v>5823</v>
      </c>
      <c r="B2966" s="3"/>
      <c r="C2966" s="18" t="s">
        <v>6601</v>
      </c>
      <c r="D2966" s="14" t="s">
        <v>6668</v>
      </c>
    </row>
    <row r="2967" spans="1:4" hidden="1" x14ac:dyDescent="0.25">
      <c r="A2967" s="12" t="s">
        <v>6367</v>
      </c>
      <c r="B2967" s="3"/>
      <c r="C2967" s="18" t="s">
        <v>6602</v>
      </c>
      <c r="D2967" s="14" t="s">
        <v>6668</v>
      </c>
    </row>
    <row r="2968" spans="1:4" hidden="1" x14ac:dyDescent="0.25">
      <c r="A2968" s="12" t="s">
        <v>5824</v>
      </c>
      <c r="B2968" s="3"/>
      <c r="C2968" s="18" t="s">
        <v>6603</v>
      </c>
      <c r="D2968" s="14" t="s">
        <v>6668</v>
      </c>
    </row>
    <row r="2969" spans="1:4" hidden="1" x14ac:dyDescent="0.25">
      <c r="A2969" s="12" t="s">
        <v>6368</v>
      </c>
      <c r="B2969" s="3"/>
      <c r="C2969" s="18" t="s">
        <v>6604</v>
      </c>
      <c r="D2969" s="14" t="s">
        <v>6668</v>
      </c>
    </row>
    <row r="2970" spans="1:4" hidden="1" x14ac:dyDescent="0.25">
      <c r="A2970" s="12" t="s">
        <v>5825</v>
      </c>
      <c r="B2970" s="3"/>
      <c r="C2970" s="18" t="s">
        <v>6605</v>
      </c>
      <c r="D2970" s="14" t="s">
        <v>6668</v>
      </c>
    </row>
    <row r="2971" spans="1:4" hidden="1" x14ac:dyDescent="0.25">
      <c r="A2971" s="12" t="s">
        <v>5826</v>
      </c>
      <c r="B2971" s="3"/>
      <c r="C2971" s="18" t="s">
        <v>6606</v>
      </c>
      <c r="D2971" s="14" t="s">
        <v>6668</v>
      </c>
    </row>
    <row r="2972" spans="1:4" hidden="1" x14ac:dyDescent="0.25">
      <c r="A2972" s="12" t="s">
        <v>6369</v>
      </c>
      <c r="B2972" s="3"/>
      <c r="C2972" s="18" t="s">
        <v>6607</v>
      </c>
      <c r="D2972" s="14" t="s">
        <v>6668</v>
      </c>
    </row>
    <row r="2973" spans="1:4" hidden="1" x14ac:dyDescent="0.25">
      <c r="A2973" s="12" t="s">
        <v>5827</v>
      </c>
      <c r="B2973" s="3"/>
      <c r="C2973" s="18" t="s">
        <v>6608</v>
      </c>
      <c r="D2973" s="14" t="s">
        <v>6668</v>
      </c>
    </row>
    <row r="2974" spans="1:4" hidden="1" x14ac:dyDescent="0.25">
      <c r="A2974" s="12" t="s">
        <v>6370</v>
      </c>
      <c r="B2974" s="3"/>
      <c r="C2974" s="18" t="s">
        <v>6609</v>
      </c>
      <c r="D2974" s="14" t="s">
        <v>6668</v>
      </c>
    </row>
    <row r="2975" spans="1:4" hidden="1" x14ac:dyDescent="0.25">
      <c r="A2975" s="12" t="s">
        <v>5828</v>
      </c>
      <c r="B2975" s="3"/>
      <c r="C2975" s="18" t="s">
        <v>6610</v>
      </c>
      <c r="D2975" s="14" t="s">
        <v>6668</v>
      </c>
    </row>
    <row r="2976" spans="1:4" hidden="1" x14ac:dyDescent="0.25">
      <c r="A2976" s="12" t="s">
        <v>6371</v>
      </c>
      <c r="B2976" s="3"/>
      <c r="C2976" s="18" t="s">
        <v>6611</v>
      </c>
      <c r="D2976" s="14" t="s">
        <v>6668</v>
      </c>
    </row>
    <row r="2977" spans="1:4" hidden="1" x14ac:dyDescent="0.25">
      <c r="A2977" s="12" t="s">
        <v>5829</v>
      </c>
      <c r="B2977" s="3"/>
      <c r="C2977" s="18" t="s">
        <v>6612</v>
      </c>
      <c r="D2977" s="14" t="s">
        <v>6668</v>
      </c>
    </row>
    <row r="2978" spans="1:4" hidden="1" x14ac:dyDescent="0.25">
      <c r="A2978" s="12" t="s">
        <v>6372</v>
      </c>
      <c r="B2978" s="3"/>
      <c r="C2978" s="18" t="s">
        <v>6613</v>
      </c>
      <c r="D2978" s="14" t="s">
        <v>6668</v>
      </c>
    </row>
    <row r="2979" spans="1:4" hidden="1" x14ac:dyDescent="0.25">
      <c r="A2979" s="12" t="s">
        <v>6373</v>
      </c>
      <c r="B2979" s="3"/>
      <c r="C2979" s="18" t="s">
        <v>6614</v>
      </c>
      <c r="D2979" s="14" t="s">
        <v>6668</v>
      </c>
    </row>
    <row r="2980" spans="1:4" hidden="1" x14ac:dyDescent="0.25">
      <c r="A2980" s="12" t="s">
        <v>6374</v>
      </c>
      <c r="B2980" s="3"/>
      <c r="C2980" s="18" t="s">
        <v>6615</v>
      </c>
      <c r="D2980" s="14" t="s">
        <v>6668</v>
      </c>
    </row>
    <row r="2981" spans="1:4" hidden="1" x14ac:dyDescent="0.25">
      <c r="A2981" s="12" t="s">
        <v>5830</v>
      </c>
      <c r="B2981" s="3"/>
      <c r="C2981" s="18" t="s">
        <v>6616</v>
      </c>
      <c r="D2981" s="14" t="s">
        <v>6668</v>
      </c>
    </row>
    <row r="2982" spans="1:4" hidden="1" x14ac:dyDescent="0.25">
      <c r="A2982" s="12" t="s">
        <v>6375</v>
      </c>
      <c r="B2982" s="3"/>
      <c r="C2982" s="18" t="s">
        <v>6617</v>
      </c>
      <c r="D2982" s="14" t="s">
        <v>6668</v>
      </c>
    </row>
    <row r="2983" spans="1:4" hidden="1" x14ac:dyDescent="0.25">
      <c r="A2983" s="12" t="s">
        <v>5831</v>
      </c>
      <c r="B2983" s="3"/>
      <c r="C2983" s="18" t="s">
        <v>6618</v>
      </c>
      <c r="D2983" s="14" t="s">
        <v>6668</v>
      </c>
    </row>
    <row r="2984" spans="1:4" hidden="1" x14ac:dyDescent="0.25">
      <c r="A2984" s="12" t="s">
        <v>6376</v>
      </c>
      <c r="B2984" s="3"/>
      <c r="C2984" s="18" t="s">
        <v>6619</v>
      </c>
      <c r="D2984" s="14" t="s">
        <v>6668</v>
      </c>
    </row>
    <row r="2985" spans="1:4" hidden="1" x14ac:dyDescent="0.25">
      <c r="A2985" s="12" t="s">
        <v>5832</v>
      </c>
      <c r="B2985" s="3"/>
      <c r="C2985" s="18" t="s">
        <v>6620</v>
      </c>
      <c r="D2985" s="14" t="s">
        <v>6668</v>
      </c>
    </row>
    <row r="2986" spans="1:4" hidden="1" x14ac:dyDescent="0.25">
      <c r="A2986" s="12" t="s">
        <v>5833</v>
      </c>
      <c r="B2986" s="3"/>
      <c r="C2986" s="18" t="s">
        <v>6621</v>
      </c>
      <c r="D2986" s="14" t="s">
        <v>6668</v>
      </c>
    </row>
    <row r="2987" spans="1:4" hidden="1" x14ac:dyDescent="0.25">
      <c r="A2987" s="12" t="s">
        <v>6377</v>
      </c>
      <c r="B2987" s="3"/>
      <c r="C2987" s="18" t="s">
        <v>6622</v>
      </c>
      <c r="D2987" s="14" t="s">
        <v>6668</v>
      </c>
    </row>
    <row r="2988" spans="1:4" hidden="1" x14ac:dyDescent="0.25">
      <c r="A2988" s="12" t="s">
        <v>5834</v>
      </c>
      <c r="B2988" s="3"/>
      <c r="C2988" s="19" t="s">
        <v>6623</v>
      </c>
      <c r="D2988" s="14" t="s">
        <v>6668</v>
      </c>
    </row>
    <row r="2989" spans="1:4" hidden="1" x14ac:dyDescent="0.25">
      <c r="A2989" s="12" t="s">
        <v>6378</v>
      </c>
      <c r="B2989" s="3"/>
      <c r="C2989" s="19" t="s">
        <v>6624</v>
      </c>
      <c r="D2989" s="14" t="s">
        <v>6668</v>
      </c>
    </row>
    <row r="2990" spans="1:4" hidden="1" x14ac:dyDescent="0.25">
      <c r="A2990" s="12" t="s">
        <v>5835</v>
      </c>
      <c r="B2990" s="3"/>
      <c r="C2990" s="18" t="s">
        <v>6625</v>
      </c>
      <c r="D2990" s="14" t="s">
        <v>6668</v>
      </c>
    </row>
    <row r="2991" spans="1:4" hidden="1" x14ac:dyDescent="0.25">
      <c r="A2991" s="12" t="s">
        <v>6379</v>
      </c>
      <c r="B2991" s="3"/>
      <c r="C2991" s="18" t="s">
        <v>6626</v>
      </c>
      <c r="D2991" s="14" t="s">
        <v>6668</v>
      </c>
    </row>
    <row r="2992" spans="1:4" hidden="1" x14ac:dyDescent="0.25">
      <c r="A2992" s="12" t="s">
        <v>5836</v>
      </c>
      <c r="B2992" s="3"/>
      <c r="C2992" s="18" t="s">
        <v>6627</v>
      </c>
      <c r="D2992" s="14" t="s">
        <v>6668</v>
      </c>
    </row>
    <row r="2993" spans="1:4" hidden="1" x14ac:dyDescent="0.25">
      <c r="A2993" s="12" t="s">
        <v>6380</v>
      </c>
      <c r="B2993" s="3"/>
      <c r="C2993" s="18" t="s">
        <v>6628</v>
      </c>
      <c r="D2993" s="14" t="s">
        <v>6668</v>
      </c>
    </row>
    <row r="2994" spans="1:4" hidden="1" x14ac:dyDescent="0.25">
      <c r="A2994" s="12" t="s">
        <v>6381</v>
      </c>
      <c r="B2994" s="3"/>
      <c r="C2994" s="18" t="s">
        <v>6629</v>
      </c>
      <c r="D2994" s="14" t="s">
        <v>6668</v>
      </c>
    </row>
    <row r="2995" spans="1:4" hidden="1" x14ac:dyDescent="0.25">
      <c r="A2995" s="12" t="s">
        <v>6382</v>
      </c>
      <c r="B2995" s="3"/>
      <c r="C2995" s="18" t="s">
        <v>6630</v>
      </c>
      <c r="D2995" s="14" t="s">
        <v>6668</v>
      </c>
    </row>
    <row r="2996" spans="1:4" hidden="1" x14ac:dyDescent="0.25">
      <c r="A2996" s="12" t="s">
        <v>5837</v>
      </c>
      <c r="B2996" s="3"/>
      <c r="C2996" s="18" t="s">
        <v>6631</v>
      </c>
      <c r="D2996" s="14" t="s">
        <v>6668</v>
      </c>
    </row>
    <row r="2997" spans="1:4" hidden="1" x14ac:dyDescent="0.25">
      <c r="A2997" s="12" t="s">
        <v>6383</v>
      </c>
      <c r="B2997" s="3"/>
      <c r="C2997" s="18" t="s">
        <v>6632</v>
      </c>
      <c r="D2997" s="14" t="s">
        <v>6668</v>
      </c>
    </row>
    <row r="2998" spans="1:4" hidden="1" x14ac:dyDescent="0.25">
      <c r="A2998" s="12" t="s">
        <v>5838</v>
      </c>
      <c r="B2998" s="3"/>
      <c r="C2998" s="18" t="s">
        <v>6633</v>
      </c>
      <c r="D2998" s="14" t="s">
        <v>6668</v>
      </c>
    </row>
    <row r="2999" spans="1:4" hidden="1" x14ac:dyDescent="0.25">
      <c r="A2999" s="12" t="s">
        <v>6384</v>
      </c>
      <c r="B2999" s="3"/>
      <c r="C2999" s="18" t="s">
        <v>6634</v>
      </c>
      <c r="D2999" s="14" t="s">
        <v>6668</v>
      </c>
    </row>
    <row r="3000" spans="1:4" hidden="1" x14ac:dyDescent="0.25">
      <c r="A3000" s="12" t="s">
        <v>5839</v>
      </c>
      <c r="B3000" s="3"/>
      <c r="C3000" s="18" t="s">
        <v>6635</v>
      </c>
      <c r="D3000" s="14" t="s">
        <v>6668</v>
      </c>
    </row>
    <row r="3001" spans="1:4" hidden="1" x14ac:dyDescent="0.25">
      <c r="A3001" s="12" t="s">
        <v>5840</v>
      </c>
      <c r="B3001" s="3"/>
      <c r="C3001" s="18" t="s">
        <v>6636</v>
      </c>
      <c r="D3001" s="14" t="s">
        <v>6668</v>
      </c>
    </row>
    <row r="3002" spans="1:4" hidden="1" x14ac:dyDescent="0.25">
      <c r="A3002" s="12" t="s">
        <v>6385</v>
      </c>
      <c r="B3002" s="3"/>
      <c r="C3002" s="18" t="s">
        <v>6637</v>
      </c>
      <c r="D3002" s="14" t="s">
        <v>6668</v>
      </c>
    </row>
    <row r="3003" spans="1:4" hidden="1" x14ac:dyDescent="0.25">
      <c r="A3003" s="12" t="s">
        <v>5841</v>
      </c>
      <c r="B3003" s="3"/>
      <c r="C3003" s="18" t="s">
        <v>6638</v>
      </c>
      <c r="D3003" s="14" t="s">
        <v>6668</v>
      </c>
    </row>
    <row r="3004" spans="1:4" hidden="1" x14ac:dyDescent="0.25">
      <c r="A3004" s="12" t="s">
        <v>6386</v>
      </c>
      <c r="B3004" s="3"/>
      <c r="C3004" s="18" t="s">
        <v>6639</v>
      </c>
      <c r="D3004" s="14" t="s">
        <v>6668</v>
      </c>
    </row>
    <row r="3005" spans="1:4" hidden="1" x14ac:dyDescent="0.25">
      <c r="A3005" s="12" t="s">
        <v>5842</v>
      </c>
      <c r="B3005" s="3"/>
      <c r="C3005" s="18" t="s">
        <v>6640</v>
      </c>
      <c r="D3005" s="14" t="s">
        <v>6668</v>
      </c>
    </row>
    <row r="3006" spans="1:4" hidden="1" x14ac:dyDescent="0.25">
      <c r="A3006" s="12" t="s">
        <v>6387</v>
      </c>
      <c r="B3006" s="3"/>
      <c r="C3006" s="18" t="s">
        <v>6641</v>
      </c>
      <c r="D3006" s="14" t="s">
        <v>6668</v>
      </c>
    </row>
    <row r="3007" spans="1:4" hidden="1" x14ac:dyDescent="0.25">
      <c r="A3007" s="12" t="s">
        <v>5843</v>
      </c>
      <c r="B3007" s="3"/>
      <c r="C3007" s="18" t="s">
        <v>6642</v>
      </c>
      <c r="D3007" s="14" t="s">
        <v>6668</v>
      </c>
    </row>
    <row r="3008" spans="1:4" hidden="1" x14ac:dyDescent="0.25">
      <c r="A3008" s="12" t="s">
        <v>6388</v>
      </c>
      <c r="B3008" s="3"/>
      <c r="C3008" s="18" t="s">
        <v>6643</v>
      </c>
      <c r="D3008" s="14" t="s">
        <v>6668</v>
      </c>
    </row>
    <row r="3009" spans="1:4" hidden="1" x14ac:dyDescent="0.25">
      <c r="A3009" s="12" t="s">
        <v>6389</v>
      </c>
      <c r="B3009" s="3"/>
      <c r="C3009" s="18" t="s">
        <v>6644</v>
      </c>
      <c r="D3009" s="14" t="s">
        <v>6668</v>
      </c>
    </row>
    <row r="3010" spans="1:4" hidden="1" x14ac:dyDescent="0.25">
      <c r="A3010" s="12" t="s">
        <v>6390</v>
      </c>
      <c r="B3010" s="3"/>
      <c r="C3010" s="18" t="s">
        <v>6645</v>
      </c>
      <c r="D3010" s="14" t="s">
        <v>6668</v>
      </c>
    </row>
    <row r="3011" spans="1:4" hidden="1" x14ac:dyDescent="0.25">
      <c r="A3011" s="12" t="s">
        <v>5844</v>
      </c>
      <c r="B3011" s="3"/>
      <c r="C3011" s="18" t="s">
        <v>6646</v>
      </c>
      <c r="D3011" s="14" t="s">
        <v>6668</v>
      </c>
    </row>
    <row r="3012" spans="1:4" hidden="1" x14ac:dyDescent="0.25">
      <c r="A3012" s="12" t="s">
        <v>6391</v>
      </c>
      <c r="B3012" s="3"/>
      <c r="C3012" s="18" t="s">
        <v>6647</v>
      </c>
      <c r="D3012" s="14" t="s">
        <v>6668</v>
      </c>
    </row>
    <row r="3013" spans="1:4" hidden="1" x14ac:dyDescent="0.25">
      <c r="A3013" s="12" t="s">
        <v>5845</v>
      </c>
      <c r="B3013" s="3"/>
      <c r="C3013" s="18" t="s">
        <v>6648</v>
      </c>
      <c r="D3013" s="14" t="s">
        <v>6668</v>
      </c>
    </row>
    <row r="3014" spans="1:4" hidden="1" x14ac:dyDescent="0.25">
      <c r="A3014" s="12" t="s">
        <v>6392</v>
      </c>
      <c r="B3014" s="3"/>
      <c r="C3014" s="18" t="s">
        <v>6649</v>
      </c>
      <c r="D3014" s="14" t="s">
        <v>6668</v>
      </c>
    </row>
    <row r="3015" spans="1:4" hidden="1" x14ac:dyDescent="0.25">
      <c r="A3015" s="12" t="s">
        <v>5846</v>
      </c>
      <c r="B3015" s="3"/>
      <c r="C3015" s="18" t="s">
        <v>6650</v>
      </c>
      <c r="D3015" s="14" t="s">
        <v>6668</v>
      </c>
    </row>
    <row r="3016" spans="1:4" hidden="1" x14ac:dyDescent="0.25">
      <c r="A3016" s="12" t="s">
        <v>5847</v>
      </c>
      <c r="B3016" s="3"/>
      <c r="C3016" s="18" t="s">
        <v>6651</v>
      </c>
      <c r="D3016" s="14" t="s">
        <v>6668</v>
      </c>
    </row>
    <row r="3017" spans="1:4" hidden="1" x14ac:dyDescent="0.25">
      <c r="A3017" s="12" t="s">
        <v>6393</v>
      </c>
      <c r="B3017" s="3"/>
      <c r="C3017" s="18" t="s">
        <v>6652</v>
      </c>
      <c r="D3017" s="14" t="s">
        <v>6668</v>
      </c>
    </row>
    <row r="3018" spans="1:4" hidden="1" x14ac:dyDescent="0.25">
      <c r="A3018" s="12" t="s">
        <v>5848</v>
      </c>
      <c r="B3018" s="3"/>
      <c r="C3018" s="18" t="s">
        <v>6653</v>
      </c>
      <c r="D3018" s="14" t="s">
        <v>6668</v>
      </c>
    </row>
    <row r="3019" spans="1:4" hidden="1" x14ac:dyDescent="0.25">
      <c r="A3019" s="12" t="s">
        <v>6394</v>
      </c>
      <c r="B3019" s="3"/>
      <c r="C3019" s="18" t="s">
        <v>6654</v>
      </c>
      <c r="D3019" s="14" t="s">
        <v>6668</v>
      </c>
    </row>
    <row r="3020" spans="1:4" hidden="1" x14ac:dyDescent="0.25">
      <c r="A3020" s="12" t="s">
        <v>5849</v>
      </c>
      <c r="B3020" s="3"/>
      <c r="C3020" s="18" t="s">
        <v>6655</v>
      </c>
      <c r="D3020" s="14" t="s">
        <v>6668</v>
      </c>
    </row>
    <row r="3021" spans="1:4" hidden="1" x14ac:dyDescent="0.25">
      <c r="A3021" s="12" t="s">
        <v>6395</v>
      </c>
      <c r="B3021" s="3"/>
      <c r="C3021" s="18" t="s">
        <v>6656</v>
      </c>
      <c r="D3021" s="14" t="s">
        <v>6668</v>
      </c>
    </row>
    <row r="3022" spans="1:4" hidden="1" x14ac:dyDescent="0.25">
      <c r="A3022" s="12" t="s">
        <v>5850</v>
      </c>
      <c r="B3022" s="3"/>
      <c r="C3022" s="18" t="s">
        <v>6657</v>
      </c>
      <c r="D3022" s="14" t="s">
        <v>6668</v>
      </c>
    </row>
    <row r="3023" spans="1:4" hidden="1" x14ac:dyDescent="0.25">
      <c r="A3023" s="12" t="s">
        <v>6396</v>
      </c>
      <c r="B3023" s="3"/>
      <c r="C3023" s="18" t="s">
        <v>6658</v>
      </c>
      <c r="D3023" s="14" t="s">
        <v>6668</v>
      </c>
    </row>
    <row r="3024" spans="1:4" hidden="1" x14ac:dyDescent="0.25">
      <c r="A3024" s="12" t="s">
        <v>6397</v>
      </c>
      <c r="B3024" s="3"/>
      <c r="C3024" s="18" t="s">
        <v>6659</v>
      </c>
      <c r="D3024" s="14" t="s">
        <v>6668</v>
      </c>
    </row>
    <row r="3025" spans="1:4" hidden="1" x14ac:dyDescent="0.25">
      <c r="A3025" s="12" t="s">
        <v>6398</v>
      </c>
      <c r="B3025" s="3"/>
      <c r="C3025" s="19" t="s">
        <v>6660</v>
      </c>
      <c r="D3025" s="14" t="s">
        <v>6668</v>
      </c>
    </row>
    <row r="3026" spans="1:4" hidden="1" x14ac:dyDescent="0.25">
      <c r="A3026" s="12" t="s">
        <v>5851</v>
      </c>
      <c r="B3026" s="3"/>
      <c r="C3026" s="19" t="s">
        <v>6661</v>
      </c>
      <c r="D3026" s="14" t="s">
        <v>6668</v>
      </c>
    </row>
    <row r="3027" spans="1:4" hidden="1" x14ac:dyDescent="0.25">
      <c r="A3027" s="12" t="s">
        <v>6399</v>
      </c>
      <c r="B3027" s="3"/>
      <c r="C3027" s="18" t="s">
        <v>6662</v>
      </c>
      <c r="D3027" s="14" t="s">
        <v>6668</v>
      </c>
    </row>
    <row r="3028" spans="1:4" hidden="1" x14ac:dyDescent="0.25">
      <c r="A3028" s="12" t="s">
        <v>5852</v>
      </c>
      <c r="B3028" s="3"/>
      <c r="C3028" s="18" t="s">
        <v>6663</v>
      </c>
      <c r="D3028" s="14" t="s">
        <v>6668</v>
      </c>
    </row>
    <row r="3029" spans="1:4" hidden="1" x14ac:dyDescent="0.25">
      <c r="A3029" s="12" t="s">
        <v>6400</v>
      </c>
      <c r="B3029" s="3"/>
      <c r="C3029" s="18" t="s">
        <v>6664</v>
      </c>
      <c r="D3029" s="14" t="s">
        <v>6668</v>
      </c>
    </row>
    <row r="3030" spans="1:4" hidden="1" x14ac:dyDescent="0.25">
      <c r="A3030" s="12" t="s">
        <v>5853</v>
      </c>
      <c r="B3030" s="3"/>
      <c r="C3030" s="18" t="s">
        <v>6665</v>
      </c>
      <c r="D3030" s="14" t="s">
        <v>6668</v>
      </c>
    </row>
    <row r="3031" spans="1:4" hidden="1" x14ac:dyDescent="0.25">
      <c r="A3031" s="12" t="s">
        <v>5854</v>
      </c>
      <c r="B3031" s="3"/>
      <c r="C3031" s="18" t="s">
        <v>6441</v>
      </c>
      <c r="D3031" s="14" t="s">
        <v>6669</v>
      </c>
    </row>
    <row r="3032" spans="1:4" hidden="1" x14ac:dyDescent="0.25">
      <c r="A3032" s="12" t="s">
        <v>6081</v>
      </c>
      <c r="B3032" s="3"/>
      <c r="C3032" s="18" t="s">
        <v>6442</v>
      </c>
      <c r="D3032" s="14" t="s">
        <v>6669</v>
      </c>
    </row>
    <row r="3033" spans="1:4" hidden="1" x14ac:dyDescent="0.25">
      <c r="A3033" s="12" t="s">
        <v>5855</v>
      </c>
      <c r="B3033" s="3"/>
      <c r="C3033" s="18" t="s">
        <v>6443</v>
      </c>
      <c r="D3033" s="14" t="s">
        <v>6669</v>
      </c>
    </row>
    <row r="3034" spans="1:4" hidden="1" x14ac:dyDescent="0.25">
      <c r="A3034" s="12" t="s">
        <v>6082</v>
      </c>
      <c r="B3034" s="3"/>
      <c r="C3034" s="18" t="s">
        <v>6444</v>
      </c>
      <c r="D3034" s="14" t="s">
        <v>6669</v>
      </c>
    </row>
    <row r="3035" spans="1:4" hidden="1" x14ac:dyDescent="0.25">
      <c r="A3035" s="12" t="s">
        <v>5856</v>
      </c>
      <c r="B3035" s="3"/>
      <c r="C3035" s="18" t="s">
        <v>6445</v>
      </c>
      <c r="D3035" s="14" t="s">
        <v>6669</v>
      </c>
    </row>
    <row r="3036" spans="1:4" hidden="1" x14ac:dyDescent="0.25">
      <c r="A3036" s="12" t="s">
        <v>6083</v>
      </c>
      <c r="B3036" s="3"/>
      <c r="C3036" s="18" t="s">
        <v>6446</v>
      </c>
      <c r="D3036" s="14" t="s">
        <v>6669</v>
      </c>
    </row>
    <row r="3037" spans="1:4" hidden="1" x14ac:dyDescent="0.25">
      <c r="A3037" s="12" t="s">
        <v>5857</v>
      </c>
      <c r="B3037" s="3"/>
      <c r="C3037" s="18" t="s">
        <v>6447</v>
      </c>
      <c r="D3037" s="14" t="s">
        <v>6669</v>
      </c>
    </row>
    <row r="3038" spans="1:4" hidden="1" x14ac:dyDescent="0.25">
      <c r="A3038" s="12" t="s">
        <v>6084</v>
      </c>
      <c r="B3038" s="3"/>
      <c r="C3038" s="18" t="s">
        <v>6448</v>
      </c>
      <c r="D3038" s="14" t="s">
        <v>6669</v>
      </c>
    </row>
    <row r="3039" spans="1:4" hidden="1" x14ac:dyDescent="0.25">
      <c r="A3039" s="12" t="s">
        <v>6085</v>
      </c>
      <c r="B3039" s="3"/>
      <c r="C3039" s="18" t="s">
        <v>6449</v>
      </c>
      <c r="D3039" s="14" t="s">
        <v>6669</v>
      </c>
    </row>
    <row r="3040" spans="1:4" hidden="1" x14ac:dyDescent="0.25">
      <c r="A3040" s="12" t="s">
        <v>6086</v>
      </c>
      <c r="B3040" s="3"/>
      <c r="C3040" s="18" t="s">
        <v>6450</v>
      </c>
      <c r="D3040" s="14" t="s">
        <v>6669</v>
      </c>
    </row>
    <row r="3041" spans="1:4" hidden="1" x14ac:dyDescent="0.25">
      <c r="A3041" s="12" t="s">
        <v>5858</v>
      </c>
      <c r="B3041" s="3"/>
      <c r="C3041" s="18" t="s">
        <v>6451</v>
      </c>
      <c r="D3041" s="14" t="s">
        <v>6669</v>
      </c>
    </row>
    <row r="3042" spans="1:4" hidden="1" x14ac:dyDescent="0.25">
      <c r="A3042" s="12" t="s">
        <v>6087</v>
      </c>
      <c r="B3042" s="3"/>
      <c r="C3042" s="18" t="s">
        <v>6452</v>
      </c>
      <c r="D3042" s="14" t="s">
        <v>6669</v>
      </c>
    </row>
    <row r="3043" spans="1:4" hidden="1" x14ac:dyDescent="0.25">
      <c r="A3043" s="12" t="s">
        <v>5859</v>
      </c>
      <c r="B3043" s="3"/>
      <c r="C3043" s="18" t="s">
        <v>6453</v>
      </c>
      <c r="D3043" s="14" t="s">
        <v>6669</v>
      </c>
    </row>
    <row r="3044" spans="1:4" hidden="1" x14ac:dyDescent="0.25">
      <c r="A3044" s="12" t="s">
        <v>6088</v>
      </c>
      <c r="B3044" s="3"/>
      <c r="C3044" s="18" t="s">
        <v>6454</v>
      </c>
      <c r="D3044" s="14" t="s">
        <v>6669</v>
      </c>
    </row>
    <row r="3045" spans="1:4" hidden="1" x14ac:dyDescent="0.25">
      <c r="A3045" s="12" t="s">
        <v>5860</v>
      </c>
      <c r="B3045" s="3"/>
      <c r="C3045" s="18" t="s">
        <v>6455</v>
      </c>
      <c r="D3045" s="14" t="s">
        <v>6669</v>
      </c>
    </row>
    <row r="3046" spans="1:4" hidden="1" x14ac:dyDescent="0.25">
      <c r="A3046" s="12" t="s">
        <v>5861</v>
      </c>
      <c r="B3046" s="3"/>
      <c r="C3046" s="18" t="s">
        <v>6456</v>
      </c>
      <c r="D3046" s="14" t="s">
        <v>6669</v>
      </c>
    </row>
    <row r="3047" spans="1:4" hidden="1" x14ac:dyDescent="0.25">
      <c r="A3047" s="12" t="s">
        <v>6089</v>
      </c>
      <c r="B3047" s="3"/>
      <c r="C3047" s="18" t="s">
        <v>6457</v>
      </c>
      <c r="D3047" s="14" t="s">
        <v>6669</v>
      </c>
    </row>
    <row r="3048" spans="1:4" hidden="1" x14ac:dyDescent="0.25">
      <c r="A3048" s="12" t="s">
        <v>5862</v>
      </c>
      <c r="B3048" s="3"/>
      <c r="C3048" s="18" t="s">
        <v>6458</v>
      </c>
      <c r="D3048" s="14" t="s">
        <v>6669</v>
      </c>
    </row>
    <row r="3049" spans="1:4" hidden="1" x14ac:dyDescent="0.25">
      <c r="A3049" s="12" t="s">
        <v>6090</v>
      </c>
      <c r="B3049" s="3"/>
      <c r="C3049" s="18" t="s">
        <v>6459</v>
      </c>
      <c r="D3049" s="14" t="s">
        <v>6669</v>
      </c>
    </row>
    <row r="3050" spans="1:4" hidden="1" x14ac:dyDescent="0.25">
      <c r="A3050" s="12" t="s">
        <v>5863</v>
      </c>
      <c r="B3050" s="3"/>
      <c r="C3050" s="18" t="s">
        <v>6460</v>
      </c>
      <c r="D3050" s="14" t="s">
        <v>6669</v>
      </c>
    </row>
    <row r="3051" spans="1:4" hidden="1" x14ac:dyDescent="0.25">
      <c r="A3051" s="12" t="s">
        <v>6091</v>
      </c>
      <c r="B3051" s="3"/>
      <c r="C3051" s="18" t="s">
        <v>6461</v>
      </c>
      <c r="D3051" s="14" t="s">
        <v>6669</v>
      </c>
    </row>
    <row r="3052" spans="1:4" hidden="1" x14ac:dyDescent="0.25">
      <c r="A3052" s="12" t="s">
        <v>5864</v>
      </c>
      <c r="B3052" s="3"/>
      <c r="C3052" s="18" t="s">
        <v>6462</v>
      </c>
      <c r="D3052" s="14" t="s">
        <v>6669</v>
      </c>
    </row>
    <row r="3053" spans="1:4" hidden="1" x14ac:dyDescent="0.25">
      <c r="A3053" s="12" t="s">
        <v>6092</v>
      </c>
      <c r="B3053" s="3"/>
      <c r="C3053" s="18" t="s">
        <v>6463</v>
      </c>
      <c r="D3053" s="14" t="s">
        <v>6669</v>
      </c>
    </row>
    <row r="3054" spans="1:4" hidden="1" x14ac:dyDescent="0.25">
      <c r="A3054" s="12" t="s">
        <v>6093</v>
      </c>
      <c r="B3054" s="3"/>
      <c r="C3054" s="18" t="s">
        <v>6464</v>
      </c>
      <c r="D3054" s="14" t="s">
        <v>6669</v>
      </c>
    </row>
    <row r="3055" spans="1:4" hidden="1" x14ac:dyDescent="0.25">
      <c r="A3055" s="12" t="s">
        <v>6094</v>
      </c>
      <c r="B3055" s="3"/>
      <c r="C3055" s="18" t="s">
        <v>6465</v>
      </c>
      <c r="D3055" s="14" t="s">
        <v>6669</v>
      </c>
    </row>
    <row r="3056" spans="1:4" hidden="1" x14ac:dyDescent="0.25">
      <c r="A3056" s="12" t="s">
        <v>5865</v>
      </c>
      <c r="B3056" s="3"/>
      <c r="C3056" s="18" t="s">
        <v>6466</v>
      </c>
      <c r="D3056" s="14" t="s">
        <v>6669</v>
      </c>
    </row>
    <row r="3057" spans="1:4" hidden="1" x14ac:dyDescent="0.25">
      <c r="A3057" s="12" t="s">
        <v>6095</v>
      </c>
      <c r="B3057" s="3"/>
      <c r="C3057" s="18" t="s">
        <v>6467</v>
      </c>
      <c r="D3057" s="14" t="s">
        <v>6669</v>
      </c>
    </row>
    <row r="3058" spans="1:4" hidden="1" x14ac:dyDescent="0.25">
      <c r="A3058" s="12" t="s">
        <v>5866</v>
      </c>
      <c r="B3058" s="3"/>
      <c r="C3058" s="18" t="s">
        <v>6468</v>
      </c>
      <c r="D3058" s="14" t="s">
        <v>6669</v>
      </c>
    </row>
    <row r="3059" spans="1:4" hidden="1" x14ac:dyDescent="0.25">
      <c r="A3059" s="12" t="s">
        <v>6096</v>
      </c>
      <c r="B3059" s="3"/>
      <c r="C3059" s="18" t="s">
        <v>6469</v>
      </c>
      <c r="D3059" s="14" t="s">
        <v>6669</v>
      </c>
    </row>
    <row r="3060" spans="1:4" hidden="1" x14ac:dyDescent="0.25">
      <c r="A3060" s="12" t="s">
        <v>5867</v>
      </c>
      <c r="B3060" s="3"/>
      <c r="C3060" s="18" t="s">
        <v>6470</v>
      </c>
      <c r="D3060" s="14" t="s">
        <v>6669</v>
      </c>
    </row>
    <row r="3061" spans="1:4" hidden="1" x14ac:dyDescent="0.25">
      <c r="A3061" s="12" t="s">
        <v>5868</v>
      </c>
      <c r="B3061" s="3"/>
      <c r="C3061" s="18" t="s">
        <v>6471</v>
      </c>
      <c r="D3061" s="14" t="s">
        <v>6669</v>
      </c>
    </row>
    <row r="3062" spans="1:4" hidden="1" x14ac:dyDescent="0.25">
      <c r="A3062" s="12" t="s">
        <v>6097</v>
      </c>
      <c r="B3062" s="3"/>
      <c r="C3062" s="18" t="s">
        <v>6472</v>
      </c>
      <c r="D3062" s="14" t="s">
        <v>6669</v>
      </c>
    </row>
    <row r="3063" spans="1:4" hidden="1" x14ac:dyDescent="0.25">
      <c r="A3063" s="12" t="s">
        <v>5869</v>
      </c>
      <c r="B3063" s="3"/>
      <c r="C3063" s="19" t="s">
        <v>6473</v>
      </c>
      <c r="D3063" s="14" t="s">
        <v>6669</v>
      </c>
    </row>
    <row r="3064" spans="1:4" hidden="1" x14ac:dyDescent="0.25">
      <c r="A3064" s="12" t="s">
        <v>6098</v>
      </c>
      <c r="B3064" s="3"/>
      <c r="C3064" s="19" t="s">
        <v>6474</v>
      </c>
      <c r="D3064" s="14" t="s">
        <v>6669</v>
      </c>
    </row>
    <row r="3065" spans="1:4" hidden="1" x14ac:dyDescent="0.25">
      <c r="A3065" s="12" t="s">
        <v>5870</v>
      </c>
      <c r="B3065" s="3"/>
      <c r="C3065" s="18" t="s">
        <v>6475</v>
      </c>
      <c r="D3065" s="14" t="s">
        <v>6669</v>
      </c>
    </row>
    <row r="3066" spans="1:4" hidden="1" x14ac:dyDescent="0.25">
      <c r="A3066" s="12" t="s">
        <v>6099</v>
      </c>
      <c r="B3066" s="3"/>
      <c r="C3066" s="18" t="s">
        <v>6476</v>
      </c>
      <c r="D3066" s="14" t="s">
        <v>6669</v>
      </c>
    </row>
    <row r="3067" spans="1:4" hidden="1" x14ac:dyDescent="0.25">
      <c r="A3067" s="12" t="s">
        <v>5871</v>
      </c>
      <c r="B3067" s="3"/>
      <c r="C3067" s="18" t="s">
        <v>6477</v>
      </c>
      <c r="D3067" s="14" t="s">
        <v>6669</v>
      </c>
    </row>
    <row r="3068" spans="1:4" hidden="1" x14ac:dyDescent="0.25">
      <c r="A3068" s="12" t="s">
        <v>6100</v>
      </c>
      <c r="B3068" s="3"/>
      <c r="C3068" s="18" t="s">
        <v>6478</v>
      </c>
      <c r="D3068" s="14" t="s">
        <v>6669</v>
      </c>
    </row>
    <row r="3069" spans="1:4" hidden="1" x14ac:dyDescent="0.25">
      <c r="A3069" s="12" t="s">
        <v>6101</v>
      </c>
      <c r="B3069" s="3"/>
      <c r="C3069" s="18" t="s">
        <v>6479</v>
      </c>
      <c r="D3069" s="14" t="s">
        <v>6669</v>
      </c>
    </row>
    <row r="3070" spans="1:4" hidden="1" x14ac:dyDescent="0.25">
      <c r="A3070" s="12" t="s">
        <v>6102</v>
      </c>
      <c r="B3070" s="3"/>
      <c r="C3070" s="18" t="s">
        <v>6480</v>
      </c>
      <c r="D3070" s="14" t="s">
        <v>6669</v>
      </c>
    </row>
    <row r="3071" spans="1:4" hidden="1" x14ac:dyDescent="0.25">
      <c r="A3071" s="12" t="s">
        <v>5872</v>
      </c>
      <c r="B3071" s="3"/>
      <c r="C3071" s="18" t="s">
        <v>6481</v>
      </c>
      <c r="D3071" s="14" t="s">
        <v>6669</v>
      </c>
    </row>
    <row r="3072" spans="1:4" hidden="1" x14ac:dyDescent="0.25">
      <c r="A3072" s="12" t="s">
        <v>6103</v>
      </c>
      <c r="B3072" s="3"/>
      <c r="C3072" s="18" t="s">
        <v>6482</v>
      </c>
      <c r="D3072" s="14" t="s">
        <v>6669</v>
      </c>
    </row>
    <row r="3073" spans="1:4" hidden="1" x14ac:dyDescent="0.25">
      <c r="A3073" s="12" t="s">
        <v>5873</v>
      </c>
      <c r="B3073" s="3"/>
      <c r="C3073" s="18" t="s">
        <v>6483</v>
      </c>
      <c r="D3073" s="14" t="s">
        <v>6669</v>
      </c>
    </row>
    <row r="3074" spans="1:4" hidden="1" x14ac:dyDescent="0.25">
      <c r="A3074" s="12" t="s">
        <v>6104</v>
      </c>
      <c r="B3074" s="3"/>
      <c r="C3074" s="18" t="s">
        <v>6484</v>
      </c>
      <c r="D3074" s="14" t="s">
        <v>6669</v>
      </c>
    </row>
    <row r="3075" spans="1:4" hidden="1" x14ac:dyDescent="0.25">
      <c r="A3075" s="12" t="s">
        <v>5874</v>
      </c>
      <c r="B3075" s="3"/>
      <c r="C3075" s="18" t="s">
        <v>6485</v>
      </c>
      <c r="D3075" s="14" t="s">
        <v>6669</v>
      </c>
    </row>
    <row r="3076" spans="1:4" hidden="1" x14ac:dyDescent="0.25">
      <c r="A3076" s="12" t="s">
        <v>5875</v>
      </c>
      <c r="B3076" s="3"/>
      <c r="C3076" s="18" t="s">
        <v>6486</v>
      </c>
      <c r="D3076" s="14" t="s">
        <v>6669</v>
      </c>
    </row>
    <row r="3077" spans="1:4" hidden="1" x14ac:dyDescent="0.25">
      <c r="A3077" s="12" t="s">
        <v>6105</v>
      </c>
      <c r="B3077" s="3"/>
      <c r="C3077" s="18" t="s">
        <v>6487</v>
      </c>
      <c r="D3077" s="14" t="s">
        <v>6669</v>
      </c>
    </row>
    <row r="3078" spans="1:4" hidden="1" x14ac:dyDescent="0.25">
      <c r="A3078" s="12" t="s">
        <v>5876</v>
      </c>
      <c r="B3078" s="3"/>
      <c r="C3078" s="18" t="s">
        <v>6488</v>
      </c>
      <c r="D3078" s="14" t="s">
        <v>6669</v>
      </c>
    </row>
    <row r="3079" spans="1:4" hidden="1" x14ac:dyDescent="0.25">
      <c r="A3079" s="12" t="s">
        <v>6106</v>
      </c>
      <c r="B3079" s="3"/>
      <c r="C3079" s="18" t="s">
        <v>6489</v>
      </c>
      <c r="D3079" s="14" t="s">
        <v>6669</v>
      </c>
    </row>
    <row r="3080" spans="1:4" hidden="1" x14ac:dyDescent="0.25">
      <c r="A3080" s="12" t="s">
        <v>5877</v>
      </c>
      <c r="B3080" s="3"/>
      <c r="C3080" s="18" t="s">
        <v>6490</v>
      </c>
      <c r="D3080" s="14" t="s">
        <v>6669</v>
      </c>
    </row>
    <row r="3081" spans="1:4" hidden="1" x14ac:dyDescent="0.25">
      <c r="A3081" s="12" t="s">
        <v>6107</v>
      </c>
      <c r="B3081" s="3"/>
      <c r="C3081" s="18" t="s">
        <v>6491</v>
      </c>
      <c r="D3081" s="14" t="s">
        <v>6669</v>
      </c>
    </row>
    <row r="3082" spans="1:4" hidden="1" x14ac:dyDescent="0.25">
      <c r="A3082" s="12" t="s">
        <v>5878</v>
      </c>
      <c r="B3082" s="3"/>
      <c r="C3082" s="18" t="s">
        <v>6492</v>
      </c>
      <c r="D3082" s="14" t="s">
        <v>6669</v>
      </c>
    </row>
    <row r="3083" spans="1:4" hidden="1" x14ac:dyDescent="0.25">
      <c r="A3083" s="12" t="s">
        <v>6108</v>
      </c>
      <c r="B3083" s="3"/>
      <c r="C3083" s="18" t="s">
        <v>6493</v>
      </c>
      <c r="D3083" s="14" t="s">
        <v>6669</v>
      </c>
    </row>
    <row r="3084" spans="1:4" hidden="1" x14ac:dyDescent="0.25">
      <c r="A3084" s="12" t="s">
        <v>6109</v>
      </c>
      <c r="B3084" s="3"/>
      <c r="C3084" s="18" t="s">
        <v>6494</v>
      </c>
      <c r="D3084" s="14" t="s">
        <v>6669</v>
      </c>
    </row>
    <row r="3085" spans="1:4" hidden="1" x14ac:dyDescent="0.25">
      <c r="A3085" s="12" t="s">
        <v>6110</v>
      </c>
      <c r="B3085" s="3"/>
      <c r="C3085" s="18" t="s">
        <v>6495</v>
      </c>
      <c r="D3085" s="14" t="s">
        <v>6669</v>
      </c>
    </row>
    <row r="3086" spans="1:4" hidden="1" x14ac:dyDescent="0.25">
      <c r="A3086" s="12" t="s">
        <v>5879</v>
      </c>
      <c r="B3086" s="3"/>
      <c r="C3086" s="18" t="s">
        <v>6496</v>
      </c>
      <c r="D3086" s="14" t="s">
        <v>6669</v>
      </c>
    </row>
    <row r="3087" spans="1:4" hidden="1" x14ac:dyDescent="0.25">
      <c r="A3087" s="12" t="s">
        <v>6111</v>
      </c>
      <c r="B3087" s="3"/>
      <c r="C3087" s="18" t="s">
        <v>6497</v>
      </c>
      <c r="D3087" s="14" t="s">
        <v>6669</v>
      </c>
    </row>
    <row r="3088" spans="1:4" hidden="1" x14ac:dyDescent="0.25">
      <c r="A3088" s="12" t="s">
        <v>5880</v>
      </c>
      <c r="B3088" s="3"/>
      <c r="C3088" s="18" t="s">
        <v>6498</v>
      </c>
      <c r="D3088" s="14" t="s">
        <v>6669</v>
      </c>
    </row>
    <row r="3089" spans="1:4" hidden="1" x14ac:dyDescent="0.25">
      <c r="A3089" s="12" t="s">
        <v>6112</v>
      </c>
      <c r="B3089" s="3"/>
      <c r="C3089" s="18" t="s">
        <v>6499</v>
      </c>
      <c r="D3089" s="14" t="s">
        <v>6669</v>
      </c>
    </row>
    <row r="3090" spans="1:4" hidden="1" x14ac:dyDescent="0.25">
      <c r="A3090" s="12" t="s">
        <v>5881</v>
      </c>
      <c r="B3090" s="3"/>
      <c r="C3090" s="18" t="s">
        <v>6500</v>
      </c>
      <c r="D3090" s="14" t="s">
        <v>6669</v>
      </c>
    </row>
    <row r="3091" spans="1:4" hidden="1" x14ac:dyDescent="0.25">
      <c r="A3091" s="12" t="s">
        <v>5882</v>
      </c>
      <c r="B3091" s="3"/>
      <c r="C3091" s="18" t="s">
        <v>6501</v>
      </c>
      <c r="D3091" s="14" t="s">
        <v>6669</v>
      </c>
    </row>
    <row r="3092" spans="1:4" hidden="1" x14ac:dyDescent="0.25">
      <c r="A3092" s="12" t="s">
        <v>6113</v>
      </c>
      <c r="B3092" s="3"/>
      <c r="C3092" s="18" t="s">
        <v>6502</v>
      </c>
      <c r="D3092" s="14" t="s">
        <v>6669</v>
      </c>
    </row>
    <row r="3093" spans="1:4" hidden="1" x14ac:dyDescent="0.25">
      <c r="A3093" s="12" t="s">
        <v>5883</v>
      </c>
      <c r="B3093" s="3"/>
      <c r="C3093" s="18" t="s">
        <v>6503</v>
      </c>
      <c r="D3093" s="14" t="s">
        <v>6669</v>
      </c>
    </row>
    <row r="3094" spans="1:4" hidden="1" x14ac:dyDescent="0.25">
      <c r="A3094" s="12" t="s">
        <v>6114</v>
      </c>
      <c r="B3094" s="3"/>
      <c r="C3094" s="18" t="s">
        <v>6504</v>
      </c>
      <c r="D3094" s="14" t="s">
        <v>6669</v>
      </c>
    </row>
    <row r="3095" spans="1:4" hidden="1" x14ac:dyDescent="0.25">
      <c r="A3095" s="12" t="s">
        <v>5884</v>
      </c>
      <c r="B3095" s="3"/>
      <c r="C3095" s="18" t="s">
        <v>6505</v>
      </c>
      <c r="D3095" s="14" t="s">
        <v>6669</v>
      </c>
    </row>
    <row r="3096" spans="1:4" hidden="1" x14ac:dyDescent="0.25">
      <c r="A3096" s="12" t="s">
        <v>6115</v>
      </c>
      <c r="B3096" s="3"/>
      <c r="C3096" s="18" t="s">
        <v>6506</v>
      </c>
      <c r="D3096" s="14" t="s">
        <v>6669</v>
      </c>
    </row>
    <row r="3097" spans="1:4" hidden="1" x14ac:dyDescent="0.25">
      <c r="A3097" s="12" t="s">
        <v>5885</v>
      </c>
      <c r="B3097" s="3"/>
      <c r="C3097" s="18" t="s">
        <v>6507</v>
      </c>
      <c r="D3097" s="14" t="s">
        <v>6669</v>
      </c>
    </row>
    <row r="3098" spans="1:4" hidden="1" x14ac:dyDescent="0.25">
      <c r="A3098" s="12" t="s">
        <v>6116</v>
      </c>
      <c r="B3098" s="3"/>
      <c r="C3098" s="18" t="s">
        <v>6508</v>
      </c>
      <c r="D3098" s="14" t="s">
        <v>6669</v>
      </c>
    </row>
    <row r="3099" spans="1:4" hidden="1" x14ac:dyDescent="0.25">
      <c r="A3099" s="12" t="s">
        <v>6117</v>
      </c>
      <c r="B3099" s="3"/>
      <c r="C3099" s="18" t="s">
        <v>6509</v>
      </c>
      <c r="D3099" s="14" t="s">
        <v>6669</v>
      </c>
    </row>
    <row r="3100" spans="1:4" hidden="1" x14ac:dyDescent="0.25">
      <c r="A3100" s="12" t="s">
        <v>6118</v>
      </c>
      <c r="B3100" s="3"/>
      <c r="C3100" s="19" t="s">
        <v>6510</v>
      </c>
      <c r="D3100" s="14" t="s">
        <v>6669</v>
      </c>
    </row>
    <row r="3101" spans="1:4" hidden="1" x14ac:dyDescent="0.25">
      <c r="A3101" s="12" t="s">
        <v>5886</v>
      </c>
      <c r="B3101" s="3"/>
      <c r="C3101" s="19" t="s">
        <v>6511</v>
      </c>
      <c r="D3101" s="14" t="s">
        <v>6669</v>
      </c>
    </row>
    <row r="3102" spans="1:4" hidden="1" x14ac:dyDescent="0.25">
      <c r="A3102" s="12" t="s">
        <v>6119</v>
      </c>
      <c r="B3102" s="3"/>
      <c r="C3102" s="18" t="s">
        <v>6512</v>
      </c>
      <c r="D3102" s="14" t="s">
        <v>6669</v>
      </c>
    </row>
    <row r="3103" spans="1:4" hidden="1" x14ac:dyDescent="0.25">
      <c r="A3103" s="12" t="s">
        <v>5887</v>
      </c>
      <c r="B3103" s="3"/>
      <c r="C3103" s="18" t="s">
        <v>6513</v>
      </c>
      <c r="D3103" s="14" t="s">
        <v>6669</v>
      </c>
    </row>
    <row r="3104" spans="1:4" hidden="1" x14ac:dyDescent="0.25">
      <c r="A3104" s="12" t="s">
        <v>6120</v>
      </c>
      <c r="B3104" s="3"/>
      <c r="C3104" s="18" t="s">
        <v>6514</v>
      </c>
      <c r="D3104" s="14" t="s">
        <v>6669</v>
      </c>
    </row>
    <row r="3105" spans="1:4" hidden="1" x14ac:dyDescent="0.25">
      <c r="A3105" s="12" t="s">
        <v>5888</v>
      </c>
      <c r="B3105" s="3"/>
      <c r="C3105" s="18" t="s">
        <v>6515</v>
      </c>
      <c r="D3105" s="14" t="s">
        <v>6669</v>
      </c>
    </row>
    <row r="3106" spans="1:4" hidden="1" x14ac:dyDescent="0.25">
      <c r="A3106" s="12" t="s">
        <v>5889</v>
      </c>
      <c r="B3106" s="3"/>
      <c r="C3106" s="18" t="s">
        <v>6516</v>
      </c>
      <c r="D3106" s="14" t="s">
        <v>6669</v>
      </c>
    </row>
    <row r="3107" spans="1:4" hidden="1" x14ac:dyDescent="0.25">
      <c r="A3107" s="12" t="s">
        <v>6241</v>
      </c>
      <c r="B3107" s="3"/>
      <c r="C3107" s="18" t="s">
        <v>6517</v>
      </c>
      <c r="D3107" s="14" t="s">
        <v>6669</v>
      </c>
    </row>
    <row r="3108" spans="1:4" hidden="1" x14ac:dyDescent="0.25">
      <c r="A3108" s="12" t="s">
        <v>5890</v>
      </c>
      <c r="B3108" s="3"/>
      <c r="C3108" s="18" t="s">
        <v>6518</v>
      </c>
      <c r="D3108" s="14" t="s">
        <v>6669</v>
      </c>
    </row>
    <row r="3109" spans="1:4" hidden="1" x14ac:dyDescent="0.25">
      <c r="A3109" s="12" t="s">
        <v>6242</v>
      </c>
      <c r="B3109" s="3"/>
      <c r="C3109" s="18" t="s">
        <v>6519</v>
      </c>
      <c r="D3109" s="14" t="s">
        <v>6669</v>
      </c>
    </row>
    <row r="3110" spans="1:4" hidden="1" x14ac:dyDescent="0.25">
      <c r="A3110" s="12" t="s">
        <v>5891</v>
      </c>
      <c r="B3110" s="3"/>
      <c r="C3110" s="18" t="s">
        <v>6520</v>
      </c>
      <c r="D3110" s="14" t="s">
        <v>6669</v>
      </c>
    </row>
    <row r="3111" spans="1:4" hidden="1" x14ac:dyDescent="0.25">
      <c r="A3111" s="12" t="s">
        <v>6243</v>
      </c>
      <c r="B3111" s="3"/>
      <c r="C3111" s="18" t="s">
        <v>6521</v>
      </c>
      <c r="D3111" s="14" t="s">
        <v>6669</v>
      </c>
    </row>
    <row r="3112" spans="1:4" hidden="1" x14ac:dyDescent="0.25">
      <c r="A3112" s="12" t="s">
        <v>5892</v>
      </c>
      <c r="B3112" s="3"/>
      <c r="C3112" s="18" t="s">
        <v>6522</v>
      </c>
      <c r="D3112" s="14" t="s">
        <v>6669</v>
      </c>
    </row>
    <row r="3113" spans="1:4" hidden="1" x14ac:dyDescent="0.25">
      <c r="A3113" s="12" t="s">
        <v>6244</v>
      </c>
      <c r="B3113" s="3"/>
      <c r="C3113" s="18" t="s">
        <v>6523</v>
      </c>
      <c r="D3113" s="14" t="s">
        <v>6669</v>
      </c>
    </row>
    <row r="3114" spans="1:4" hidden="1" x14ac:dyDescent="0.25">
      <c r="A3114" s="12" t="s">
        <v>6245</v>
      </c>
      <c r="B3114" s="3"/>
      <c r="C3114" s="18" t="s">
        <v>6524</v>
      </c>
      <c r="D3114" s="14" t="s">
        <v>6669</v>
      </c>
    </row>
    <row r="3115" spans="1:4" hidden="1" x14ac:dyDescent="0.25">
      <c r="A3115" s="12" t="s">
        <v>6246</v>
      </c>
      <c r="B3115" s="3"/>
      <c r="C3115" s="18" t="s">
        <v>6525</v>
      </c>
      <c r="D3115" s="14" t="s">
        <v>6669</v>
      </c>
    </row>
    <row r="3116" spans="1:4" hidden="1" x14ac:dyDescent="0.25">
      <c r="A3116" s="12" t="s">
        <v>5893</v>
      </c>
      <c r="B3116" s="3"/>
      <c r="C3116" s="18" t="s">
        <v>6526</v>
      </c>
      <c r="D3116" s="14" t="s">
        <v>6669</v>
      </c>
    </row>
    <row r="3117" spans="1:4" hidden="1" x14ac:dyDescent="0.25">
      <c r="A3117" s="12" t="s">
        <v>6247</v>
      </c>
      <c r="B3117" s="3"/>
      <c r="C3117" s="18" t="s">
        <v>6527</v>
      </c>
      <c r="D3117" s="14" t="s">
        <v>6669</v>
      </c>
    </row>
    <row r="3118" spans="1:4" hidden="1" x14ac:dyDescent="0.25">
      <c r="A3118" s="12" t="s">
        <v>5894</v>
      </c>
      <c r="B3118" s="3"/>
      <c r="C3118" s="18" t="s">
        <v>6528</v>
      </c>
      <c r="D3118" s="14" t="s">
        <v>6669</v>
      </c>
    </row>
    <row r="3119" spans="1:4" hidden="1" x14ac:dyDescent="0.25">
      <c r="A3119" s="12" t="s">
        <v>6248</v>
      </c>
      <c r="B3119" s="3"/>
      <c r="C3119" s="18" t="s">
        <v>6529</v>
      </c>
      <c r="D3119" s="14" t="s">
        <v>6669</v>
      </c>
    </row>
    <row r="3120" spans="1:4" hidden="1" x14ac:dyDescent="0.25">
      <c r="A3120" s="12" t="s">
        <v>5895</v>
      </c>
      <c r="B3120" s="3"/>
      <c r="C3120" s="18" t="s">
        <v>6530</v>
      </c>
      <c r="D3120" s="14" t="s">
        <v>6669</v>
      </c>
    </row>
    <row r="3121" spans="1:4" hidden="1" x14ac:dyDescent="0.25">
      <c r="A3121" s="12" t="s">
        <v>5896</v>
      </c>
      <c r="B3121" s="3"/>
      <c r="C3121" s="18" t="s">
        <v>6531</v>
      </c>
      <c r="D3121" s="14" t="s">
        <v>6669</v>
      </c>
    </row>
    <row r="3122" spans="1:4" hidden="1" x14ac:dyDescent="0.25">
      <c r="A3122" s="12" t="s">
        <v>6249</v>
      </c>
      <c r="B3122" s="3"/>
      <c r="C3122" s="18" t="s">
        <v>6532</v>
      </c>
      <c r="D3122" s="14" t="s">
        <v>6669</v>
      </c>
    </row>
    <row r="3123" spans="1:4" hidden="1" x14ac:dyDescent="0.25">
      <c r="A3123" s="12" t="s">
        <v>5897</v>
      </c>
      <c r="B3123" s="3"/>
      <c r="C3123" s="18" t="s">
        <v>6533</v>
      </c>
      <c r="D3123" s="14" t="s">
        <v>6669</v>
      </c>
    </row>
    <row r="3124" spans="1:4" hidden="1" x14ac:dyDescent="0.25">
      <c r="A3124" s="12" t="s">
        <v>6250</v>
      </c>
      <c r="B3124" s="3"/>
      <c r="C3124" s="18" t="s">
        <v>6534</v>
      </c>
      <c r="D3124" s="14" t="s">
        <v>6669</v>
      </c>
    </row>
    <row r="3125" spans="1:4" hidden="1" x14ac:dyDescent="0.25">
      <c r="A3125" s="12" t="s">
        <v>5898</v>
      </c>
      <c r="B3125" s="3"/>
      <c r="C3125" s="18" t="s">
        <v>6535</v>
      </c>
      <c r="D3125" s="14" t="s">
        <v>6669</v>
      </c>
    </row>
    <row r="3126" spans="1:4" hidden="1" x14ac:dyDescent="0.25">
      <c r="A3126" s="12" t="s">
        <v>6251</v>
      </c>
      <c r="B3126" s="3"/>
      <c r="C3126" s="18" t="s">
        <v>6536</v>
      </c>
      <c r="D3126" s="14" t="s">
        <v>6669</v>
      </c>
    </row>
    <row r="3127" spans="1:4" hidden="1" x14ac:dyDescent="0.25">
      <c r="A3127" s="12" t="s">
        <v>5899</v>
      </c>
      <c r="B3127" s="3"/>
      <c r="C3127" s="18" t="s">
        <v>6537</v>
      </c>
      <c r="D3127" s="14" t="s">
        <v>6669</v>
      </c>
    </row>
    <row r="3128" spans="1:4" hidden="1" x14ac:dyDescent="0.25">
      <c r="A3128" s="12" t="s">
        <v>6252</v>
      </c>
      <c r="B3128" s="3"/>
      <c r="C3128" s="18" t="s">
        <v>6538</v>
      </c>
      <c r="D3128" s="14" t="s">
        <v>6669</v>
      </c>
    </row>
    <row r="3129" spans="1:4" hidden="1" x14ac:dyDescent="0.25">
      <c r="A3129" s="12" t="s">
        <v>6253</v>
      </c>
      <c r="B3129" s="3"/>
      <c r="C3129" s="18" t="s">
        <v>6539</v>
      </c>
      <c r="D3129" s="14" t="s">
        <v>6669</v>
      </c>
    </row>
    <row r="3130" spans="1:4" hidden="1" x14ac:dyDescent="0.25">
      <c r="A3130" s="12" t="s">
        <v>6254</v>
      </c>
      <c r="B3130" s="3"/>
      <c r="C3130" s="18" t="s">
        <v>6540</v>
      </c>
      <c r="D3130" s="14" t="s">
        <v>6669</v>
      </c>
    </row>
    <row r="3131" spans="1:4" hidden="1" x14ac:dyDescent="0.25">
      <c r="A3131" s="12" t="s">
        <v>5900</v>
      </c>
      <c r="B3131" s="3"/>
      <c r="C3131" s="18" t="s">
        <v>6541</v>
      </c>
      <c r="D3131" s="14" t="s">
        <v>6669</v>
      </c>
    </row>
    <row r="3132" spans="1:4" hidden="1" x14ac:dyDescent="0.25">
      <c r="A3132" s="12" t="s">
        <v>6255</v>
      </c>
      <c r="B3132" s="3"/>
      <c r="C3132" s="18" t="s">
        <v>6542</v>
      </c>
      <c r="D3132" s="14" t="s">
        <v>6669</v>
      </c>
    </row>
    <row r="3133" spans="1:4" hidden="1" x14ac:dyDescent="0.25">
      <c r="A3133" s="12" t="s">
        <v>5901</v>
      </c>
      <c r="B3133" s="3"/>
      <c r="C3133" s="18" t="s">
        <v>6543</v>
      </c>
      <c r="D3133" s="14" t="s">
        <v>6669</v>
      </c>
    </row>
    <row r="3134" spans="1:4" hidden="1" x14ac:dyDescent="0.25">
      <c r="A3134" s="12" t="s">
        <v>6256</v>
      </c>
      <c r="B3134" s="3"/>
      <c r="C3134" s="18" t="s">
        <v>6544</v>
      </c>
      <c r="D3134" s="14" t="s">
        <v>6669</v>
      </c>
    </row>
    <row r="3135" spans="1:4" hidden="1" x14ac:dyDescent="0.25">
      <c r="A3135" s="12" t="s">
        <v>5902</v>
      </c>
      <c r="B3135" s="3"/>
      <c r="C3135" s="18" t="s">
        <v>6545</v>
      </c>
      <c r="D3135" s="14" t="s">
        <v>6669</v>
      </c>
    </row>
    <row r="3136" spans="1:4" hidden="1" x14ac:dyDescent="0.25">
      <c r="A3136" s="12" t="s">
        <v>5903</v>
      </c>
      <c r="B3136" s="3"/>
      <c r="C3136" s="18" t="s">
        <v>6546</v>
      </c>
      <c r="D3136" s="14" t="s">
        <v>6669</v>
      </c>
    </row>
    <row r="3137" spans="1:4" hidden="1" x14ac:dyDescent="0.25">
      <c r="A3137" s="12" t="s">
        <v>6257</v>
      </c>
      <c r="B3137" s="3"/>
      <c r="C3137" s="18" t="s">
        <v>6547</v>
      </c>
      <c r="D3137" s="14" t="s">
        <v>6669</v>
      </c>
    </row>
    <row r="3138" spans="1:4" hidden="1" x14ac:dyDescent="0.25">
      <c r="A3138" s="12" t="s">
        <v>5904</v>
      </c>
      <c r="B3138" s="3"/>
      <c r="C3138" s="19" t="s">
        <v>6548</v>
      </c>
      <c r="D3138" s="14" t="s">
        <v>6669</v>
      </c>
    </row>
    <row r="3139" spans="1:4" hidden="1" x14ac:dyDescent="0.25">
      <c r="A3139" s="12" t="s">
        <v>6258</v>
      </c>
      <c r="B3139" s="3"/>
      <c r="C3139" s="19" t="s">
        <v>6549</v>
      </c>
      <c r="D3139" s="14" t="s">
        <v>6669</v>
      </c>
    </row>
    <row r="3140" spans="1:4" hidden="1" x14ac:dyDescent="0.25">
      <c r="A3140" s="12" t="s">
        <v>5905</v>
      </c>
      <c r="B3140" s="3"/>
      <c r="C3140" s="18" t="s">
        <v>6550</v>
      </c>
      <c r="D3140" s="14" t="s">
        <v>6669</v>
      </c>
    </row>
    <row r="3141" spans="1:4" hidden="1" x14ac:dyDescent="0.25">
      <c r="A3141" s="12" t="s">
        <v>6259</v>
      </c>
      <c r="B3141" s="3"/>
      <c r="C3141" s="18" t="s">
        <v>6551</v>
      </c>
      <c r="D3141" s="14" t="s">
        <v>6669</v>
      </c>
    </row>
    <row r="3142" spans="1:4" hidden="1" x14ac:dyDescent="0.25">
      <c r="A3142" s="12" t="s">
        <v>5906</v>
      </c>
      <c r="B3142" s="3"/>
      <c r="C3142" s="18" t="s">
        <v>6552</v>
      </c>
      <c r="D3142" s="14" t="s">
        <v>6669</v>
      </c>
    </row>
    <row r="3143" spans="1:4" hidden="1" x14ac:dyDescent="0.25">
      <c r="A3143" s="12" t="s">
        <v>6260</v>
      </c>
      <c r="B3143" s="3"/>
      <c r="C3143" s="18" t="s">
        <v>6553</v>
      </c>
      <c r="D3143" s="14" t="s">
        <v>6669</v>
      </c>
    </row>
    <row r="3144" spans="1:4" hidden="1" x14ac:dyDescent="0.25">
      <c r="A3144" s="12" t="s">
        <v>6261</v>
      </c>
      <c r="B3144" s="3"/>
      <c r="C3144" s="18" t="s">
        <v>6554</v>
      </c>
      <c r="D3144" s="14" t="s">
        <v>6669</v>
      </c>
    </row>
    <row r="3145" spans="1:4" hidden="1" x14ac:dyDescent="0.25">
      <c r="A3145" s="12" t="s">
        <v>6262</v>
      </c>
      <c r="B3145" s="3"/>
      <c r="C3145" s="18" t="s">
        <v>6555</v>
      </c>
      <c r="D3145" s="14" t="s">
        <v>6669</v>
      </c>
    </row>
    <row r="3146" spans="1:4" hidden="1" x14ac:dyDescent="0.25">
      <c r="A3146" s="12" t="s">
        <v>5907</v>
      </c>
      <c r="B3146" s="3"/>
      <c r="C3146" s="18" t="s">
        <v>6556</v>
      </c>
      <c r="D3146" s="14" t="s">
        <v>6669</v>
      </c>
    </row>
    <row r="3147" spans="1:4" hidden="1" x14ac:dyDescent="0.25">
      <c r="A3147" s="12" t="s">
        <v>6263</v>
      </c>
      <c r="B3147" s="3"/>
      <c r="C3147" s="18" t="s">
        <v>6557</v>
      </c>
      <c r="D3147" s="14" t="s">
        <v>6669</v>
      </c>
    </row>
    <row r="3148" spans="1:4" hidden="1" x14ac:dyDescent="0.25">
      <c r="A3148" s="12" t="s">
        <v>5908</v>
      </c>
      <c r="B3148" s="3"/>
      <c r="C3148" s="18" t="s">
        <v>6558</v>
      </c>
      <c r="D3148" s="14" t="s">
        <v>6669</v>
      </c>
    </row>
    <row r="3149" spans="1:4" hidden="1" x14ac:dyDescent="0.25">
      <c r="A3149" s="12" t="s">
        <v>6264</v>
      </c>
      <c r="B3149" s="3"/>
      <c r="C3149" s="18" t="s">
        <v>6559</v>
      </c>
      <c r="D3149" s="14" t="s">
        <v>6669</v>
      </c>
    </row>
    <row r="3150" spans="1:4" hidden="1" x14ac:dyDescent="0.25">
      <c r="A3150" s="12" t="s">
        <v>5909</v>
      </c>
      <c r="B3150" s="3"/>
      <c r="C3150" s="18" t="s">
        <v>6560</v>
      </c>
      <c r="D3150" s="14" t="s">
        <v>6669</v>
      </c>
    </row>
    <row r="3151" spans="1:4" hidden="1" x14ac:dyDescent="0.25">
      <c r="A3151" s="12" t="s">
        <v>5910</v>
      </c>
      <c r="B3151" s="3"/>
      <c r="C3151" s="18" t="s">
        <v>6561</v>
      </c>
      <c r="D3151" s="14" t="s">
        <v>6669</v>
      </c>
    </row>
    <row r="3152" spans="1:4" hidden="1" x14ac:dyDescent="0.25">
      <c r="A3152" s="12" t="s">
        <v>6265</v>
      </c>
      <c r="B3152" s="3"/>
      <c r="C3152" s="18" t="s">
        <v>6562</v>
      </c>
      <c r="D3152" s="14" t="s">
        <v>6669</v>
      </c>
    </row>
    <row r="3153" spans="1:4" hidden="1" x14ac:dyDescent="0.25">
      <c r="A3153" s="12" t="s">
        <v>5911</v>
      </c>
      <c r="B3153" s="3"/>
      <c r="C3153" s="18" t="s">
        <v>6563</v>
      </c>
      <c r="D3153" s="14" t="s">
        <v>6669</v>
      </c>
    </row>
    <row r="3154" spans="1:4" hidden="1" x14ac:dyDescent="0.25">
      <c r="A3154" s="12" t="s">
        <v>6266</v>
      </c>
      <c r="B3154" s="3"/>
      <c r="C3154" s="18" t="s">
        <v>6564</v>
      </c>
      <c r="D3154" s="14" t="s">
        <v>6669</v>
      </c>
    </row>
    <row r="3155" spans="1:4" hidden="1" x14ac:dyDescent="0.25">
      <c r="A3155" s="12" t="s">
        <v>5912</v>
      </c>
      <c r="B3155" s="3"/>
      <c r="C3155" s="18" t="s">
        <v>6565</v>
      </c>
      <c r="D3155" s="14" t="s">
        <v>6669</v>
      </c>
    </row>
    <row r="3156" spans="1:4" hidden="1" x14ac:dyDescent="0.25">
      <c r="A3156" s="12" t="s">
        <v>6267</v>
      </c>
      <c r="B3156" s="3"/>
      <c r="C3156" s="18" t="s">
        <v>6566</v>
      </c>
      <c r="D3156" s="14" t="s">
        <v>6669</v>
      </c>
    </row>
    <row r="3157" spans="1:4" hidden="1" x14ac:dyDescent="0.25">
      <c r="A3157" s="12" t="s">
        <v>5913</v>
      </c>
      <c r="B3157" s="3"/>
      <c r="C3157" s="18" t="s">
        <v>6567</v>
      </c>
      <c r="D3157" s="14" t="s">
        <v>6669</v>
      </c>
    </row>
    <row r="3158" spans="1:4" hidden="1" x14ac:dyDescent="0.25">
      <c r="A3158" s="12" t="s">
        <v>6268</v>
      </c>
      <c r="B3158" s="3"/>
      <c r="C3158" s="18" t="s">
        <v>6568</v>
      </c>
      <c r="D3158" s="14" t="s">
        <v>6669</v>
      </c>
    </row>
    <row r="3159" spans="1:4" hidden="1" x14ac:dyDescent="0.25">
      <c r="A3159" s="12" t="s">
        <v>6269</v>
      </c>
      <c r="B3159" s="3"/>
      <c r="C3159" s="18" t="s">
        <v>6569</v>
      </c>
      <c r="D3159" s="14" t="s">
        <v>6669</v>
      </c>
    </row>
    <row r="3160" spans="1:4" hidden="1" x14ac:dyDescent="0.25">
      <c r="A3160" s="12" t="s">
        <v>6270</v>
      </c>
      <c r="B3160" s="3"/>
      <c r="C3160" s="18" t="s">
        <v>6570</v>
      </c>
      <c r="D3160" s="14" t="s">
        <v>6669</v>
      </c>
    </row>
    <row r="3161" spans="1:4" hidden="1" x14ac:dyDescent="0.25">
      <c r="A3161" s="12" t="s">
        <v>5914</v>
      </c>
      <c r="B3161" s="3"/>
      <c r="C3161" s="18" t="s">
        <v>6571</v>
      </c>
      <c r="D3161" s="14" t="s">
        <v>6669</v>
      </c>
    </row>
    <row r="3162" spans="1:4" hidden="1" x14ac:dyDescent="0.25">
      <c r="A3162" s="12" t="s">
        <v>6271</v>
      </c>
      <c r="B3162" s="3"/>
      <c r="C3162" s="18" t="s">
        <v>6572</v>
      </c>
      <c r="D3162" s="14" t="s">
        <v>6669</v>
      </c>
    </row>
    <row r="3163" spans="1:4" hidden="1" x14ac:dyDescent="0.25">
      <c r="A3163" s="12" t="s">
        <v>5915</v>
      </c>
      <c r="B3163" s="3"/>
      <c r="C3163" s="18" t="s">
        <v>6573</v>
      </c>
      <c r="D3163" s="14" t="s">
        <v>6669</v>
      </c>
    </row>
    <row r="3164" spans="1:4" hidden="1" x14ac:dyDescent="0.25">
      <c r="A3164" s="12" t="s">
        <v>6272</v>
      </c>
      <c r="B3164" s="3"/>
      <c r="C3164" s="18" t="s">
        <v>6574</v>
      </c>
      <c r="D3164" s="14" t="s">
        <v>6669</v>
      </c>
    </row>
    <row r="3165" spans="1:4" hidden="1" x14ac:dyDescent="0.25">
      <c r="A3165" s="12" t="s">
        <v>5916</v>
      </c>
      <c r="B3165" s="3"/>
      <c r="C3165" s="18" t="s">
        <v>6575</v>
      </c>
      <c r="D3165" s="14" t="s">
        <v>6669</v>
      </c>
    </row>
    <row r="3166" spans="1:4" hidden="1" x14ac:dyDescent="0.25">
      <c r="A3166" s="12" t="s">
        <v>5917</v>
      </c>
      <c r="B3166" s="3"/>
      <c r="C3166" s="18" t="s">
        <v>6576</v>
      </c>
      <c r="D3166" s="14" t="s">
        <v>6669</v>
      </c>
    </row>
    <row r="3167" spans="1:4" hidden="1" x14ac:dyDescent="0.25">
      <c r="A3167" s="12" t="s">
        <v>6273</v>
      </c>
      <c r="B3167" s="3"/>
      <c r="C3167" s="18" t="s">
        <v>6577</v>
      </c>
      <c r="D3167" s="14" t="s">
        <v>6669</v>
      </c>
    </row>
    <row r="3168" spans="1:4" hidden="1" x14ac:dyDescent="0.25">
      <c r="A3168" s="12" t="s">
        <v>5918</v>
      </c>
      <c r="B3168" s="3"/>
      <c r="C3168" s="18" t="s">
        <v>6578</v>
      </c>
      <c r="D3168" s="14" t="s">
        <v>6669</v>
      </c>
    </row>
    <row r="3169" spans="1:4" hidden="1" x14ac:dyDescent="0.25">
      <c r="A3169" s="12" t="s">
        <v>6274</v>
      </c>
      <c r="B3169" s="3"/>
      <c r="C3169" s="18" t="s">
        <v>6579</v>
      </c>
      <c r="D3169" s="14" t="s">
        <v>6669</v>
      </c>
    </row>
    <row r="3170" spans="1:4" hidden="1" x14ac:dyDescent="0.25">
      <c r="A3170" s="12" t="s">
        <v>5919</v>
      </c>
      <c r="B3170" s="3"/>
      <c r="C3170" s="18" t="s">
        <v>6580</v>
      </c>
      <c r="D3170" s="14" t="s">
        <v>6669</v>
      </c>
    </row>
    <row r="3171" spans="1:4" hidden="1" x14ac:dyDescent="0.25">
      <c r="A3171" s="12" t="s">
        <v>6275</v>
      </c>
      <c r="B3171" s="3"/>
      <c r="C3171" s="18" t="s">
        <v>6581</v>
      </c>
      <c r="D3171" s="14" t="s">
        <v>6669</v>
      </c>
    </row>
    <row r="3172" spans="1:4" hidden="1" x14ac:dyDescent="0.25">
      <c r="A3172" s="12" t="s">
        <v>5920</v>
      </c>
      <c r="B3172" s="3"/>
      <c r="C3172" s="18" t="s">
        <v>6582</v>
      </c>
      <c r="D3172" s="14" t="s">
        <v>6669</v>
      </c>
    </row>
    <row r="3173" spans="1:4" hidden="1" x14ac:dyDescent="0.25">
      <c r="A3173" s="12" t="s">
        <v>6276</v>
      </c>
      <c r="B3173" s="3"/>
      <c r="C3173" s="18" t="s">
        <v>6583</v>
      </c>
      <c r="D3173" s="14" t="s">
        <v>6669</v>
      </c>
    </row>
    <row r="3174" spans="1:4" hidden="1" x14ac:dyDescent="0.25">
      <c r="A3174" s="12" t="s">
        <v>6277</v>
      </c>
      <c r="B3174" s="3"/>
      <c r="C3174" s="18" t="s">
        <v>6584</v>
      </c>
      <c r="D3174" s="14" t="s">
        <v>6669</v>
      </c>
    </row>
    <row r="3175" spans="1:4" hidden="1" x14ac:dyDescent="0.25">
      <c r="A3175" s="12" t="s">
        <v>6278</v>
      </c>
      <c r="B3175" s="3"/>
      <c r="C3175" s="19" t="s">
        <v>6585</v>
      </c>
      <c r="D3175" s="14" t="s">
        <v>6669</v>
      </c>
    </row>
    <row r="3176" spans="1:4" hidden="1" x14ac:dyDescent="0.25">
      <c r="A3176" s="12" t="s">
        <v>5921</v>
      </c>
      <c r="B3176" s="3"/>
      <c r="C3176" s="19" t="s">
        <v>6586</v>
      </c>
      <c r="D3176" s="14" t="s">
        <v>6669</v>
      </c>
    </row>
    <row r="3177" spans="1:4" hidden="1" x14ac:dyDescent="0.25">
      <c r="A3177" s="12" t="s">
        <v>6279</v>
      </c>
      <c r="B3177" s="3"/>
      <c r="C3177" s="18" t="s">
        <v>6587</v>
      </c>
      <c r="D3177" s="14" t="s">
        <v>6669</v>
      </c>
    </row>
    <row r="3178" spans="1:4" hidden="1" x14ac:dyDescent="0.25">
      <c r="A3178" s="12" t="s">
        <v>5922</v>
      </c>
      <c r="B3178" s="3"/>
      <c r="C3178" s="18" t="s">
        <v>6588</v>
      </c>
      <c r="D3178" s="14" t="s">
        <v>6669</v>
      </c>
    </row>
    <row r="3179" spans="1:4" hidden="1" x14ac:dyDescent="0.25">
      <c r="A3179" s="12" t="s">
        <v>6280</v>
      </c>
      <c r="B3179" s="3"/>
      <c r="C3179" s="18" t="s">
        <v>6589</v>
      </c>
      <c r="D3179" s="14" t="s">
        <v>6669</v>
      </c>
    </row>
    <row r="3180" spans="1:4" hidden="1" x14ac:dyDescent="0.25">
      <c r="A3180" s="12" t="s">
        <v>5923</v>
      </c>
      <c r="B3180" s="3"/>
      <c r="C3180" s="18" t="s">
        <v>6590</v>
      </c>
      <c r="D3180" s="14" t="s">
        <v>6669</v>
      </c>
    </row>
    <row r="3181" spans="1:4" hidden="1" x14ac:dyDescent="0.25">
      <c r="A3181" s="12" t="s">
        <v>5924</v>
      </c>
      <c r="B3181" s="3"/>
      <c r="C3181" s="18" t="s">
        <v>6591</v>
      </c>
      <c r="D3181" s="14" t="s">
        <v>6669</v>
      </c>
    </row>
    <row r="3182" spans="1:4" hidden="1" x14ac:dyDescent="0.25">
      <c r="A3182" s="12" t="s">
        <v>6401</v>
      </c>
      <c r="B3182" s="3"/>
      <c r="C3182" s="18" t="s">
        <v>6592</v>
      </c>
      <c r="D3182" s="14" t="s">
        <v>6669</v>
      </c>
    </row>
    <row r="3183" spans="1:4" hidden="1" x14ac:dyDescent="0.25">
      <c r="A3183" s="12" t="s">
        <v>5925</v>
      </c>
      <c r="B3183" s="3"/>
      <c r="C3183" s="18" t="s">
        <v>6593</v>
      </c>
      <c r="D3183" s="14" t="s">
        <v>6669</v>
      </c>
    </row>
    <row r="3184" spans="1:4" hidden="1" x14ac:dyDescent="0.25">
      <c r="A3184" s="12" t="s">
        <v>6402</v>
      </c>
      <c r="B3184" s="3"/>
      <c r="C3184" s="18" t="s">
        <v>6594</v>
      </c>
      <c r="D3184" s="14" t="s">
        <v>6669</v>
      </c>
    </row>
    <row r="3185" spans="1:4" hidden="1" x14ac:dyDescent="0.25">
      <c r="A3185" s="12" t="s">
        <v>5926</v>
      </c>
      <c r="B3185" s="3"/>
      <c r="C3185" s="18" t="s">
        <v>6595</v>
      </c>
      <c r="D3185" s="14" t="s">
        <v>6669</v>
      </c>
    </row>
    <row r="3186" spans="1:4" hidden="1" x14ac:dyDescent="0.25">
      <c r="A3186" s="12" t="s">
        <v>6403</v>
      </c>
      <c r="B3186" s="3"/>
      <c r="C3186" s="18" t="s">
        <v>6596</v>
      </c>
      <c r="D3186" s="14" t="s">
        <v>6669</v>
      </c>
    </row>
    <row r="3187" spans="1:4" hidden="1" x14ac:dyDescent="0.25">
      <c r="A3187" s="12" t="s">
        <v>5927</v>
      </c>
      <c r="B3187" s="3"/>
      <c r="C3187" s="18" t="s">
        <v>6597</v>
      </c>
      <c r="D3187" s="14" t="s">
        <v>6669</v>
      </c>
    </row>
    <row r="3188" spans="1:4" hidden="1" x14ac:dyDescent="0.25">
      <c r="A3188" s="12" t="s">
        <v>6404</v>
      </c>
      <c r="B3188" s="3"/>
      <c r="C3188" s="18" t="s">
        <v>6598</v>
      </c>
      <c r="D3188" s="14" t="s">
        <v>6669</v>
      </c>
    </row>
    <row r="3189" spans="1:4" hidden="1" x14ac:dyDescent="0.25">
      <c r="A3189" s="12" t="s">
        <v>6405</v>
      </c>
      <c r="B3189" s="3"/>
      <c r="C3189" s="18" t="s">
        <v>6599</v>
      </c>
      <c r="D3189" s="14" t="s">
        <v>6669</v>
      </c>
    </row>
    <row r="3190" spans="1:4" hidden="1" x14ac:dyDescent="0.25">
      <c r="A3190" s="12" t="s">
        <v>6406</v>
      </c>
      <c r="B3190" s="3"/>
      <c r="C3190" s="18" t="s">
        <v>6600</v>
      </c>
      <c r="D3190" s="14" t="s">
        <v>6669</v>
      </c>
    </row>
    <row r="3191" spans="1:4" hidden="1" x14ac:dyDescent="0.25">
      <c r="A3191" s="12" t="s">
        <v>5928</v>
      </c>
      <c r="B3191" s="3"/>
      <c r="C3191" s="18" t="s">
        <v>6601</v>
      </c>
      <c r="D3191" s="14" t="s">
        <v>6669</v>
      </c>
    </row>
    <row r="3192" spans="1:4" hidden="1" x14ac:dyDescent="0.25">
      <c r="A3192" s="12" t="s">
        <v>6407</v>
      </c>
      <c r="B3192" s="3"/>
      <c r="C3192" s="18" t="s">
        <v>6602</v>
      </c>
      <c r="D3192" s="14" t="s">
        <v>6669</v>
      </c>
    </row>
    <row r="3193" spans="1:4" hidden="1" x14ac:dyDescent="0.25">
      <c r="A3193" s="12" t="s">
        <v>5929</v>
      </c>
      <c r="B3193" s="3"/>
      <c r="C3193" s="18" t="s">
        <v>6603</v>
      </c>
      <c r="D3193" s="14" t="s">
        <v>6669</v>
      </c>
    </row>
    <row r="3194" spans="1:4" hidden="1" x14ac:dyDescent="0.25">
      <c r="A3194" s="12" t="s">
        <v>6408</v>
      </c>
      <c r="B3194" s="3"/>
      <c r="C3194" s="18" t="s">
        <v>6604</v>
      </c>
      <c r="D3194" s="14" t="s">
        <v>6669</v>
      </c>
    </row>
    <row r="3195" spans="1:4" hidden="1" x14ac:dyDescent="0.25">
      <c r="A3195" s="12" t="s">
        <v>5930</v>
      </c>
      <c r="B3195" s="3"/>
      <c r="C3195" s="18" t="s">
        <v>6605</v>
      </c>
      <c r="D3195" s="14" t="s">
        <v>6669</v>
      </c>
    </row>
    <row r="3196" spans="1:4" hidden="1" x14ac:dyDescent="0.25">
      <c r="A3196" s="12" t="s">
        <v>5931</v>
      </c>
      <c r="B3196" s="3"/>
      <c r="C3196" s="18" t="s">
        <v>6606</v>
      </c>
      <c r="D3196" s="14" t="s">
        <v>6669</v>
      </c>
    </row>
    <row r="3197" spans="1:4" hidden="1" x14ac:dyDescent="0.25">
      <c r="A3197" s="12" t="s">
        <v>6409</v>
      </c>
      <c r="B3197" s="3"/>
      <c r="C3197" s="18" t="s">
        <v>6607</v>
      </c>
      <c r="D3197" s="14" t="s">
        <v>6669</v>
      </c>
    </row>
    <row r="3198" spans="1:4" hidden="1" x14ac:dyDescent="0.25">
      <c r="A3198" s="12" t="s">
        <v>5932</v>
      </c>
      <c r="B3198" s="3"/>
      <c r="C3198" s="18" t="s">
        <v>6608</v>
      </c>
      <c r="D3198" s="14" t="s">
        <v>6669</v>
      </c>
    </row>
    <row r="3199" spans="1:4" hidden="1" x14ac:dyDescent="0.25">
      <c r="A3199" s="12" t="s">
        <v>6410</v>
      </c>
      <c r="B3199" s="3"/>
      <c r="C3199" s="18" t="s">
        <v>6609</v>
      </c>
      <c r="D3199" s="14" t="s">
        <v>6669</v>
      </c>
    </row>
    <row r="3200" spans="1:4" hidden="1" x14ac:dyDescent="0.25">
      <c r="A3200" s="12" t="s">
        <v>5933</v>
      </c>
      <c r="B3200" s="3"/>
      <c r="C3200" s="18" t="s">
        <v>6610</v>
      </c>
      <c r="D3200" s="14" t="s">
        <v>6669</v>
      </c>
    </row>
    <row r="3201" spans="1:4" hidden="1" x14ac:dyDescent="0.25">
      <c r="A3201" s="12" t="s">
        <v>6411</v>
      </c>
      <c r="B3201" s="3"/>
      <c r="C3201" s="18" t="s">
        <v>6611</v>
      </c>
      <c r="D3201" s="14" t="s">
        <v>6669</v>
      </c>
    </row>
    <row r="3202" spans="1:4" hidden="1" x14ac:dyDescent="0.25">
      <c r="A3202" s="12" t="s">
        <v>5934</v>
      </c>
      <c r="B3202" s="3"/>
      <c r="C3202" s="18" t="s">
        <v>6612</v>
      </c>
      <c r="D3202" s="14" t="s">
        <v>6669</v>
      </c>
    </row>
    <row r="3203" spans="1:4" hidden="1" x14ac:dyDescent="0.25">
      <c r="A3203" s="12" t="s">
        <v>6412</v>
      </c>
      <c r="B3203" s="3"/>
      <c r="C3203" s="18" t="s">
        <v>6613</v>
      </c>
      <c r="D3203" s="14" t="s">
        <v>6669</v>
      </c>
    </row>
    <row r="3204" spans="1:4" hidden="1" x14ac:dyDescent="0.25">
      <c r="A3204" s="12" t="s">
        <v>6413</v>
      </c>
      <c r="B3204" s="3"/>
      <c r="C3204" s="18" t="s">
        <v>6614</v>
      </c>
      <c r="D3204" s="14" t="s">
        <v>6669</v>
      </c>
    </row>
    <row r="3205" spans="1:4" hidden="1" x14ac:dyDescent="0.25">
      <c r="A3205" s="12" t="s">
        <v>6414</v>
      </c>
      <c r="B3205" s="3"/>
      <c r="C3205" s="18" t="s">
        <v>6615</v>
      </c>
      <c r="D3205" s="14" t="s">
        <v>6669</v>
      </c>
    </row>
    <row r="3206" spans="1:4" hidden="1" x14ac:dyDescent="0.25">
      <c r="A3206" s="12" t="s">
        <v>5935</v>
      </c>
      <c r="B3206" s="3"/>
      <c r="C3206" s="18" t="s">
        <v>6616</v>
      </c>
      <c r="D3206" s="14" t="s">
        <v>6669</v>
      </c>
    </row>
    <row r="3207" spans="1:4" hidden="1" x14ac:dyDescent="0.25">
      <c r="A3207" s="12" t="s">
        <v>6415</v>
      </c>
      <c r="B3207" s="3"/>
      <c r="C3207" s="18" t="s">
        <v>6617</v>
      </c>
      <c r="D3207" s="14" t="s">
        <v>6669</v>
      </c>
    </row>
    <row r="3208" spans="1:4" hidden="1" x14ac:dyDescent="0.25">
      <c r="A3208" s="12" t="s">
        <v>5936</v>
      </c>
      <c r="B3208" s="3"/>
      <c r="C3208" s="18" t="s">
        <v>6618</v>
      </c>
      <c r="D3208" s="14" t="s">
        <v>6669</v>
      </c>
    </row>
    <row r="3209" spans="1:4" hidden="1" x14ac:dyDescent="0.25">
      <c r="A3209" s="12" t="s">
        <v>6416</v>
      </c>
      <c r="B3209" s="3"/>
      <c r="C3209" s="18" t="s">
        <v>6619</v>
      </c>
      <c r="D3209" s="14" t="s">
        <v>6669</v>
      </c>
    </row>
    <row r="3210" spans="1:4" hidden="1" x14ac:dyDescent="0.25">
      <c r="A3210" s="12" t="s">
        <v>5937</v>
      </c>
      <c r="B3210" s="3"/>
      <c r="C3210" s="18" t="s">
        <v>6620</v>
      </c>
      <c r="D3210" s="14" t="s">
        <v>6669</v>
      </c>
    </row>
    <row r="3211" spans="1:4" hidden="1" x14ac:dyDescent="0.25">
      <c r="A3211" s="12" t="s">
        <v>5938</v>
      </c>
      <c r="B3211" s="3"/>
      <c r="C3211" s="18" t="s">
        <v>6621</v>
      </c>
      <c r="D3211" s="14" t="s">
        <v>6669</v>
      </c>
    </row>
    <row r="3212" spans="1:4" hidden="1" x14ac:dyDescent="0.25">
      <c r="A3212" s="12" t="s">
        <v>6417</v>
      </c>
      <c r="B3212" s="3"/>
      <c r="C3212" s="18" t="s">
        <v>6622</v>
      </c>
      <c r="D3212" s="14" t="s">
        <v>6669</v>
      </c>
    </row>
    <row r="3213" spans="1:4" hidden="1" x14ac:dyDescent="0.25">
      <c r="A3213" s="12" t="s">
        <v>5939</v>
      </c>
      <c r="B3213" s="3"/>
      <c r="C3213" s="19" t="s">
        <v>6623</v>
      </c>
      <c r="D3213" s="14" t="s">
        <v>6669</v>
      </c>
    </row>
    <row r="3214" spans="1:4" hidden="1" x14ac:dyDescent="0.25">
      <c r="A3214" s="12" t="s">
        <v>6418</v>
      </c>
      <c r="B3214" s="3"/>
      <c r="C3214" s="19" t="s">
        <v>6624</v>
      </c>
      <c r="D3214" s="14" t="s">
        <v>6669</v>
      </c>
    </row>
    <row r="3215" spans="1:4" hidden="1" x14ac:dyDescent="0.25">
      <c r="A3215" s="12" t="s">
        <v>5940</v>
      </c>
      <c r="B3215" s="3"/>
      <c r="C3215" s="18" t="s">
        <v>6625</v>
      </c>
      <c r="D3215" s="14" t="s">
        <v>6669</v>
      </c>
    </row>
    <row r="3216" spans="1:4" hidden="1" x14ac:dyDescent="0.25">
      <c r="A3216" s="12" t="s">
        <v>6419</v>
      </c>
      <c r="B3216" s="3"/>
      <c r="C3216" s="18" t="s">
        <v>6626</v>
      </c>
      <c r="D3216" s="14" t="s">
        <v>6669</v>
      </c>
    </row>
    <row r="3217" spans="1:4" hidden="1" x14ac:dyDescent="0.25">
      <c r="A3217" s="12" t="s">
        <v>5941</v>
      </c>
      <c r="B3217" s="3"/>
      <c r="C3217" s="18" t="s">
        <v>6627</v>
      </c>
      <c r="D3217" s="14" t="s">
        <v>6669</v>
      </c>
    </row>
    <row r="3218" spans="1:4" hidden="1" x14ac:dyDescent="0.25">
      <c r="A3218" s="12" t="s">
        <v>6420</v>
      </c>
      <c r="B3218" s="3"/>
      <c r="C3218" s="18" t="s">
        <v>6628</v>
      </c>
      <c r="D3218" s="14" t="s">
        <v>6669</v>
      </c>
    </row>
    <row r="3219" spans="1:4" hidden="1" x14ac:dyDescent="0.25">
      <c r="A3219" s="12" t="s">
        <v>6421</v>
      </c>
      <c r="B3219" s="3"/>
      <c r="C3219" s="18" t="s">
        <v>6629</v>
      </c>
      <c r="D3219" s="14" t="s">
        <v>6669</v>
      </c>
    </row>
    <row r="3220" spans="1:4" hidden="1" x14ac:dyDescent="0.25">
      <c r="A3220" s="12" t="s">
        <v>6422</v>
      </c>
      <c r="B3220" s="3"/>
      <c r="C3220" s="18" t="s">
        <v>6630</v>
      </c>
      <c r="D3220" s="14" t="s">
        <v>6669</v>
      </c>
    </row>
    <row r="3221" spans="1:4" hidden="1" x14ac:dyDescent="0.25">
      <c r="A3221" s="12" t="s">
        <v>5942</v>
      </c>
      <c r="B3221" s="3"/>
      <c r="C3221" s="18" t="s">
        <v>6631</v>
      </c>
      <c r="D3221" s="14" t="s">
        <v>6669</v>
      </c>
    </row>
    <row r="3222" spans="1:4" hidden="1" x14ac:dyDescent="0.25">
      <c r="A3222" s="12" t="s">
        <v>6423</v>
      </c>
      <c r="B3222" s="3"/>
      <c r="C3222" s="18" t="s">
        <v>6632</v>
      </c>
      <c r="D3222" s="14" t="s">
        <v>6669</v>
      </c>
    </row>
    <row r="3223" spans="1:4" hidden="1" x14ac:dyDescent="0.25">
      <c r="A3223" s="12" t="s">
        <v>5943</v>
      </c>
      <c r="B3223" s="3"/>
      <c r="C3223" s="18" t="s">
        <v>6633</v>
      </c>
      <c r="D3223" s="14" t="s">
        <v>6669</v>
      </c>
    </row>
    <row r="3224" spans="1:4" hidden="1" x14ac:dyDescent="0.25">
      <c r="A3224" s="12" t="s">
        <v>6424</v>
      </c>
      <c r="B3224" s="3"/>
      <c r="C3224" s="18" t="s">
        <v>6634</v>
      </c>
      <c r="D3224" s="14" t="s">
        <v>6669</v>
      </c>
    </row>
    <row r="3225" spans="1:4" hidden="1" x14ac:dyDescent="0.25">
      <c r="A3225" s="12" t="s">
        <v>5944</v>
      </c>
      <c r="B3225" s="3"/>
      <c r="C3225" s="18" t="s">
        <v>6635</v>
      </c>
      <c r="D3225" s="14" t="s">
        <v>6669</v>
      </c>
    </row>
    <row r="3226" spans="1:4" hidden="1" x14ac:dyDescent="0.25">
      <c r="A3226" s="12" t="s">
        <v>5945</v>
      </c>
      <c r="B3226" s="3"/>
      <c r="C3226" s="18" t="s">
        <v>6636</v>
      </c>
      <c r="D3226" s="14" t="s">
        <v>6669</v>
      </c>
    </row>
    <row r="3227" spans="1:4" hidden="1" x14ac:dyDescent="0.25">
      <c r="A3227" s="12" t="s">
        <v>6425</v>
      </c>
      <c r="B3227" s="3"/>
      <c r="C3227" s="18" t="s">
        <v>6637</v>
      </c>
      <c r="D3227" s="14" t="s">
        <v>6669</v>
      </c>
    </row>
    <row r="3228" spans="1:4" hidden="1" x14ac:dyDescent="0.25">
      <c r="A3228" s="12" t="s">
        <v>5946</v>
      </c>
      <c r="B3228" s="3"/>
      <c r="C3228" s="18" t="s">
        <v>6638</v>
      </c>
      <c r="D3228" s="14" t="s">
        <v>6669</v>
      </c>
    </row>
    <row r="3229" spans="1:4" hidden="1" x14ac:dyDescent="0.25">
      <c r="A3229" s="12" t="s">
        <v>6426</v>
      </c>
      <c r="B3229" s="3"/>
      <c r="C3229" s="18" t="s">
        <v>6639</v>
      </c>
      <c r="D3229" s="14" t="s">
        <v>6669</v>
      </c>
    </row>
    <row r="3230" spans="1:4" hidden="1" x14ac:dyDescent="0.25">
      <c r="A3230" s="12" t="s">
        <v>5947</v>
      </c>
      <c r="B3230" s="3"/>
      <c r="C3230" s="18" t="s">
        <v>6640</v>
      </c>
      <c r="D3230" s="14" t="s">
        <v>6669</v>
      </c>
    </row>
    <row r="3231" spans="1:4" hidden="1" x14ac:dyDescent="0.25">
      <c r="A3231" s="12" t="s">
        <v>6427</v>
      </c>
      <c r="B3231" s="3"/>
      <c r="C3231" s="18" t="s">
        <v>6641</v>
      </c>
      <c r="D3231" s="14" t="s">
        <v>6669</v>
      </c>
    </row>
    <row r="3232" spans="1:4" hidden="1" x14ac:dyDescent="0.25">
      <c r="A3232" s="12" t="s">
        <v>5948</v>
      </c>
      <c r="B3232" s="3"/>
      <c r="C3232" s="18" t="s">
        <v>6642</v>
      </c>
      <c r="D3232" s="14" t="s">
        <v>6669</v>
      </c>
    </row>
    <row r="3233" spans="1:4" hidden="1" x14ac:dyDescent="0.25">
      <c r="A3233" s="12" t="s">
        <v>6428</v>
      </c>
      <c r="B3233" s="3"/>
      <c r="C3233" s="18" t="s">
        <v>6643</v>
      </c>
      <c r="D3233" s="14" t="s">
        <v>6669</v>
      </c>
    </row>
    <row r="3234" spans="1:4" hidden="1" x14ac:dyDescent="0.25">
      <c r="A3234" s="12" t="s">
        <v>6429</v>
      </c>
      <c r="B3234" s="3"/>
      <c r="C3234" s="18" t="s">
        <v>6644</v>
      </c>
      <c r="D3234" s="14" t="s">
        <v>6669</v>
      </c>
    </row>
    <row r="3235" spans="1:4" hidden="1" x14ac:dyDescent="0.25">
      <c r="A3235" s="12" t="s">
        <v>6430</v>
      </c>
      <c r="B3235" s="3"/>
      <c r="C3235" s="18" t="s">
        <v>6645</v>
      </c>
      <c r="D3235" s="14" t="s">
        <v>6669</v>
      </c>
    </row>
    <row r="3236" spans="1:4" hidden="1" x14ac:dyDescent="0.25">
      <c r="A3236" s="12" t="s">
        <v>5949</v>
      </c>
      <c r="B3236" s="3"/>
      <c r="C3236" s="18" t="s">
        <v>6646</v>
      </c>
      <c r="D3236" s="14" t="s">
        <v>6669</v>
      </c>
    </row>
    <row r="3237" spans="1:4" hidden="1" x14ac:dyDescent="0.25">
      <c r="A3237" s="12" t="s">
        <v>6431</v>
      </c>
      <c r="B3237" s="3"/>
      <c r="C3237" s="18" t="s">
        <v>6647</v>
      </c>
      <c r="D3237" s="14" t="s">
        <v>6669</v>
      </c>
    </row>
    <row r="3238" spans="1:4" hidden="1" x14ac:dyDescent="0.25">
      <c r="A3238" s="12" t="s">
        <v>5950</v>
      </c>
      <c r="B3238" s="3"/>
      <c r="C3238" s="18" t="s">
        <v>6648</v>
      </c>
      <c r="D3238" s="14" t="s">
        <v>6669</v>
      </c>
    </row>
    <row r="3239" spans="1:4" hidden="1" x14ac:dyDescent="0.25">
      <c r="A3239" s="12" t="s">
        <v>6432</v>
      </c>
      <c r="B3239" s="3"/>
      <c r="C3239" s="18" t="s">
        <v>6649</v>
      </c>
      <c r="D3239" s="14" t="s">
        <v>6669</v>
      </c>
    </row>
    <row r="3240" spans="1:4" hidden="1" x14ac:dyDescent="0.25">
      <c r="A3240" s="12" t="s">
        <v>5951</v>
      </c>
      <c r="B3240" s="3"/>
      <c r="C3240" s="18" t="s">
        <v>6650</v>
      </c>
      <c r="D3240" s="14" t="s">
        <v>6669</v>
      </c>
    </row>
    <row r="3241" spans="1:4" hidden="1" x14ac:dyDescent="0.25">
      <c r="A3241" s="12" t="s">
        <v>5952</v>
      </c>
      <c r="B3241" s="3"/>
      <c r="C3241" s="18" t="s">
        <v>6651</v>
      </c>
      <c r="D3241" s="14" t="s">
        <v>6669</v>
      </c>
    </row>
    <row r="3242" spans="1:4" hidden="1" x14ac:dyDescent="0.25">
      <c r="A3242" s="12" t="s">
        <v>6433</v>
      </c>
      <c r="B3242" s="3"/>
      <c r="C3242" s="18" t="s">
        <v>6652</v>
      </c>
      <c r="D3242" s="14" t="s">
        <v>6669</v>
      </c>
    </row>
    <row r="3243" spans="1:4" hidden="1" x14ac:dyDescent="0.25">
      <c r="A3243" s="12" t="s">
        <v>5953</v>
      </c>
      <c r="B3243" s="3"/>
      <c r="C3243" s="18" t="s">
        <v>6653</v>
      </c>
      <c r="D3243" s="14" t="s">
        <v>6669</v>
      </c>
    </row>
    <row r="3244" spans="1:4" hidden="1" x14ac:dyDescent="0.25">
      <c r="A3244" s="12" t="s">
        <v>6434</v>
      </c>
      <c r="B3244" s="3"/>
      <c r="C3244" s="18" t="s">
        <v>6654</v>
      </c>
      <c r="D3244" s="14" t="s">
        <v>6669</v>
      </c>
    </row>
    <row r="3245" spans="1:4" hidden="1" x14ac:dyDescent="0.25">
      <c r="A3245" s="12" t="s">
        <v>5954</v>
      </c>
      <c r="B3245" s="3"/>
      <c r="C3245" s="18" t="s">
        <v>6655</v>
      </c>
      <c r="D3245" s="14" t="s">
        <v>6669</v>
      </c>
    </row>
    <row r="3246" spans="1:4" hidden="1" x14ac:dyDescent="0.25">
      <c r="A3246" s="12" t="s">
        <v>6435</v>
      </c>
      <c r="B3246" s="3"/>
      <c r="C3246" s="18" t="s">
        <v>6656</v>
      </c>
      <c r="D3246" s="14" t="s">
        <v>6669</v>
      </c>
    </row>
    <row r="3247" spans="1:4" hidden="1" x14ac:dyDescent="0.25">
      <c r="A3247" s="12" t="s">
        <v>5955</v>
      </c>
      <c r="B3247" s="3"/>
      <c r="C3247" s="18" t="s">
        <v>6657</v>
      </c>
      <c r="D3247" s="14" t="s">
        <v>6669</v>
      </c>
    </row>
    <row r="3248" spans="1:4" hidden="1" x14ac:dyDescent="0.25">
      <c r="A3248" s="12" t="s">
        <v>6436</v>
      </c>
      <c r="B3248" s="3"/>
      <c r="C3248" s="18" t="s">
        <v>6658</v>
      </c>
      <c r="D3248" s="14" t="s">
        <v>6669</v>
      </c>
    </row>
    <row r="3249" spans="1:4" hidden="1" x14ac:dyDescent="0.25">
      <c r="A3249" s="12" t="s">
        <v>6437</v>
      </c>
      <c r="B3249" s="3"/>
      <c r="C3249" s="18" t="s">
        <v>6659</v>
      </c>
      <c r="D3249" s="14" t="s">
        <v>6669</v>
      </c>
    </row>
    <row r="3250" spans="1:4" hidden="1" x14ac:dyDescent="0.25">
      <c r="A3250" s="12" t="s">
        <v>6438</v>
      </c>
      <c r="B3250" s="3"/>
      <c r="C3250" s="19" t="s">
        <v>6660</v>
      </c>
      <c r="D3250" s="14" t="s">
        <v>6669</v>
      </c>
    </row>
    <row r="3251" spans="1:4" hidden="1" x14ac:dyDescent="0.25">
      <c r="A3251" s="12" t="s">
        <v>5956</v>
      </c>
      <c r="B3251" s="3"/>
      <c r="C3251" s="19" t="s">
        <v>6661</v>
      </c>
      <c r="D3251" s="14" t="s">
        <v>6669</v>
      </c>
    </row>
    <row r="3252" spans="1:4" hidden="1" x14ac:dyDescent="0.25">
      <c r="A3252" s="12" t="s">
        <v>6439</v>
      </c>
      <c r="B3252" s="3"/>
      <c r="C3252" s="18" t="s">
        <v>6662</v>
      </c>
      <c r="D3252" s="14" t="s">
        <v>6669</v>
      </c>
    </row>
    <row r="3253" spans="1:4" hidden="1" x14ac:dyDescent="0.25">
      <c r="A3253" s="12" t="s">
        <v>5957</v>
      </c>
      <c r="B3253" s="3"/>
      <c r="C3253" s="18" t="s">
        <v>6663</v>
      </c>
      <c r="D3253" s="14" t="s">
        <v>6669</v>
      </c>
    </row>
    <row r="3254" spans="1:4" hidden="1" x14ac:dyDescent="0.25">
      <c r="A3254" s="12" t="s">
        <v>6440</v>
      </c>
      <c r="B3254" s="3"/>
      <c r="C3254" s="18" t="s">
        <v>6664</v>
      </c>
      <c r="D3254" s="14" t="s">
        <v>6669</v>
      </c>
    </row>
    <row r="3255" spans="1:4" hidden="1" x14ac:dyDescent="0.25">
      <c r="A3255" s="12" t="s">
        <v>5958</v>
      </c>
      <c r="B3255" s="3"/>
      <c r="C3255" s="18" t="s">
        <v>6665</v>
      </c>
      <c r="D3255" s="14" t="s">
        <v>6669</v>
      </c>
    </row>
    <row r="3256" spans="1:4" hidden="1" x14ac:dyDescent="0.25">
      <c r="A3256" s="12" t="s">
        <v>6677</v>
      </c>
      <c r="B3256" s="3"/>
      <c r="C3256" s="18" t="s">
        <v>6441</v>
      </c>
      <c r="D3256" s="14" t="s">
        <v>8183</v>
      </c>
    </row>
    <row r="3257" spans="1:4" hidden="1" x14ac:dyDescent="0.25">
      <c r="A3257" s="12" t="s">
        <v>6678</v>
      </c>
      <c r="B3257" s="3"/>
      <c r="C3257" s="18" t="s">
        <v>6442</v>
      </c>
      <c r="D3257" s="14" t="s">
        <v>8183</v>
      </c>
    </row>
    <row r="3258" spans="1:4" hidden="1" x14ac:dyDescent="0.25">
      <c r="A3258" s="12" t="s">
        <v>6679</v>
      </c>
      <c r="B3258" s="3"/>
      <c r="C3258" s="18" t="s">
        <v>6443</v>
      </c>
      <c r="D3258" s="14" t="s">
        <v>8183</v>
      </c>
    </row>
    <row r="3259" spans="1:4" hidden="1" x14ac:dyDescent="0.25">
      <c r="A3259" s="12" t="s">
        <v>6680</v>
      </c>
      <c r="B3259" s="3"/>
      <c r="C3259" s="18" t="s">
        <v>6444</v>
      </c>
      <c r="D3259" s="14" t="s">
        <v>8183</v>
      </c>
    </row>
    <row r="3260" spans="1:4" hidden="1" x14ac:dyDescent="0.25">
      <c r="A3260" s="12" t="s">
        <v>6681</v>
      </c>
      <c r="B3260" s="3"/>
      <c r="C3260" s="18" t="s">
        <v>6445</v>
      </c>
      <c r="D3260" s="14" t="s">
        <v>8183</v>
      </c>
    </row>
    <row r="3261" spans="1:4" hidden="1" x14ac:dyDescent="0.25">
      <c r="A3261" s="12" t="s">
        <v>6682</v>
      </c>
      <c r="B3261" s="3"/>
      <c r="C3261" s="18" t="s">
        <v>6446</v>
      </c>
      <c r="D3261" s="14" t="s">
        <v>8183</v>
      </c>
    </row>
    <row r="3262" spans="1:4" hidden="1" x14ac:dyDescent="0.25">
      <c r="A3262" s="12" t="s">
        <v>6683</v>
      </c>
      <c r="B3262" s="3"/>
      <c r="C3262" s="18" t="s">
        <v>6447</v>
      </c>
      <c r="D3262" s="14" t="s">
        <v>8183</v>
      </c>
    </row>
    <row r="3263" spans="1:4" hidden="1" x14ac:dyDescent="0.25">
      <c r="A3263" s="12" t="s">
        <v>6684</v>
      </c>
      <c r="B3263" s="3"/>
      <c r="C3263" s="18" t="s">
        <v>6448</v>
      </c>
      <c r="D3263" s="14" t="s">
        <v>8183</v>
      </c>
    </row>
    <row r="3264" spans="1:4" hidden="1" x14ac:dyDescent="0.25">
      <c r="A3264" s="12" t="s">
        <v>6685</v>
      </c>
      <c r="B3264" s="3"/>
      <c r="C3264" s="18" t="s">
        <v>6449</v>
      </c>
      <c r="D3264" s="14" t="s">
        <v>8183</v>
      </c>
    </row>
    <row r="3265" spans="1:4" hidden="1" x14ac:dyDescent="0.25">
      <c r="A3265" s="12" t="s">
        <v>6686</v>
      </c>
      <c r="B3265" s="3"/>
      <c r="C3265" s="18" t="s">
        <v>6450</v>
      </c>
      <c r="D3265" s="14" t="s">
        <v>8183</v>
      </c>
    </row>
    <row r="3266" spans="1:4" hidden="1" x14ac:dyDescent="0.25">
      <c r="A3266" s="12" t="s">
        <v>6687</v>
      </c>
      <c r="B3266" s="3"/>
      <c r="C3266" s="18" t="s">
        <v>6451</v>
      </c>
      <c r="D3266" s="14" t="s">
        <v>8183</v>
      </c>
    </row>
    <row r="3267" spans="1:4" hidden="1" x14ac:dyDescent="0.25">
      <c r="A3267" s="12" t="s">
        <v>6688</v>
      </c>
      <c r="B3267" s="3"/>
      <c r="C3267" s="18" t="s">
        <v>6452</v>
      </c>
      <c r="D3267" s="14" t="s">
        <v>8183</v>
      </c>
    </row>
    <row r="3268" spans="1:4" hidden="1" x14ac:dyDescent="0.25">
      <c r="A3268" s="12" t="s">
        <v>6689</v>
      </c>
      <c r="B3268" s="3"/>
      <c r="C3268" s="18" t="s">
        <v>6453</v>
      </c>
      <c r="D3268" s="14" t="s">
        <v>8183</v>
      </c>
    </row>
    <row r="3269" spans="1:4" hidden="1" x14ac:dyDescent="0.25">
      <c r="A3269" s="12" t="s">
        <v>6690</v>
      </c>
      <c r="B3269" s="3"/>
      <c r="C3269" s="18" t="s">
        <v>6454</v>
      </c>
      <c r="D3269" s="14" t="s">
        <v>8183</v>
      </c>
    </row>
    <row r="3270" spans="1:4" hidden="1" x14ac:dyDescent="0.25">
      <c r="A3270" s="12" t="s">
        <v>6691</v>
      </c>
      <c r="B3270" s="3"/>
      <c r="C3270" s="18" t="s">
        <v>6455</v>
      </c>
      <c r="D3270" s="14" t="s">
        <v>8183</v>
      </c>
    </row>
    <row r="3271" spans="1:4" hidden="1" x14ac:dyDescent="0.25">
      <c r="A3271" s="12" t="s">
        <v>6692</v>
      </c>
      <c r="B3271" s="3"/>
      <c r="C3271" s="18" t="s">
        <v>6456</v>
      </c>
      <c r="D3271" s="14" t="s">
        <v>8183</v>
      </c>
    </row>
    <row r="3272" spans="1:4" hidden="1" x14ac:dyDescent="0.25">
      <c r="A3272" s="12" t="s">
        <v>6693</v>
      </c>
      <c r="B3272" s="3"/>
      <c r="C3272" s="18" t="s">
        <v>6457</v>
      </c>
      <c r="D3272" s="14" t="s">
        <v>8183</v>
      </c>
    </row>
    <row r="3273" spans="1:4" hidden="1" x14ac:dyDescent="0.25">
      <c r="A3273" s="12" t="s">
        <v>6694</v>
      </c>
      <c r="B3273" s="3"/>
      <c r="C3273" s="18" t="s">
        <v>6458</v>
      </c>
      <c r="D3273" s="14" t="s">
        <v>8183</v>
      </c>
    </row>
    <row r="3274" spans="1:4" hidden="1" x14ac:dyDescent="0.25">
      <c r="A3274" s="12" t="s">
        <v>6695</v>
      </c>
      <c r="B3274" s="3"/>
      <c r="C3274" s="18" t="s">
        <v>6459</v>
      </c>
      <c r="D3274" s="14" t="s">
        <v>8183</v>
      </c>
    </row>
    <row r="3275" spans="1:4" hidden="1" x14ac:dyDescent="0.25">
      <c r="A3275" s="12" t="s">
        <v>6696</v>
      </c>
      <c r="B3275" s="3"/>
      <c r="C3275" s="18" t="s">
        <v>6460</v>
      </c>
      <c r="D3275" s="14" t="s">
        <v>8183</v>
      </c>
    </row>
    <row r="3276" spans="1:4" hidden="1" x14ac:dyDescent="0.25">
      <c r="A3276" s="12" t="s">
        <v>6697</v>
      </c>
      <c r="B3276" s="3"/>
      <c r="C3276" s="18" t="s">
        <v>6461</v>
      </c>
      <c r="D3276" s="14" t="s">
        <v>8183</v>
      </c>
    </row>
    <row r="3277" spans="1:4" hidden="1" x14ac:dyDescent="0.25">
      <c r="A3277" s="12" t="s">
        <v>6698</v>
      </c>
      <c r="B3277" s="3"/>
      <c r="C3277" s="18" t="s">
        <v>6462</v>
      </c>
      <c r="D3277" s="14" t="s">
        <v>8183</v>
      </c>
    </row>
    <row r="3278" spans="1:4" hidden="1" x14ac:dyDescent="0.25">
      <c r="A3278" s="12" t="s">
        <v>6699</v>
      </c>
      <c r="B3278" s="3"/>
      <c r="C3278" s="18" t="s">
        <v>6463</v>
      </c>
      <c r="D3278" s="14" t="s">
        <v>8183</v>
      </c>
    </row>
    <row r="3279" spans="1:4" hidden="1" x14ac:dyDescent="0.25">
      <c r="A3279" s="12" t="s">
        <v>6700</v>
      </c>
      <c r="B3279" s="3"/>
      <c r="C3279" s="18" t="s">
        <v>6464</v>
      </c>
      <c r="D3279" s="14" t="s">
        <v>8183</v>
      </c>
    </row>
    <row r="3280" spans="1:4" hidden="1" x14ac:dyDescent="0.25">
      <c r="A3280" s="12" t="s">
        <v>6701</v>
      </c>
      <c r="B3280" s="3"/>
      <c r="C3280" s="18" t="s">
        <v>6465</v>
      </c>
      <c r="D3280" s="14" t="s">
        <v>8183</v>
      </c>
    </row>
    <row r="3281" spans="1:4" hidden="1" x14ac:dyDescent="0.25">
      <c r="A3281" s="12" t="s">
        <v>6702</v>
      </c>
      <c r="B3281" s="3"/>
      <c r="C3281" s="18" t="s">
        <v>6466</v>
      </c>
      <c r="D3281" s="14" t="s">
        <v>8183</v>
      </c>
    </row>
    <row r="3282" spans="1:4" hidden="1" x14ac:dyDescent="0.25">
      <c r="A3282" s="12" t="s">
        <v>6703</v>
      </c>
      <c r="B3282" s="3"/>
      <c r="C3282" s="18" t="s">
        <v>6467</v>
      </c>
      <c r="D3282" s="14" t="s">
        <v>8183</v>
      </c>
    </row>
    <row r="3283" spans="1:4" hidden="1" x14ac:dyDescent="0.25">
      <c r="A3283" s="12" t="s">
        <v>6704</v>
      </c>
      <c r="B3283" s="3"/>
      <c r="C3283" s="18" t="s">
        <v>6468</v>
      </c>
      <c r="D3283" s="14" t="s">
        <v>8183</v>
      </c>
    </row>
    <row r="3284" spans="1:4" hidden="1" x14ac:dyDescent="0.25">
      <c r="A3284" s="12" t="s">
        <v>6705</v>
      </c>
      <c r="B3284" s="3"/>
      <c r="C3284" s="18" t="s">
        <v>6469</v>
      </c>
      <c r="D3284" s="14" t="s">
        <v>8183</v>
      </c>
    </row>
    <row r="3285" spans="1:4" hidden="1" x14ac:dyDescent="0.25">
      <c r="A3285" s="12" t="s">
        <v>6706</v>
      </c>
      <c r="B3285" s="3"/>
      <c r="C3285" s="18" t="s">
        <v>6470</v>
      </c>
      <c r="D3285" s="14" t="s">
        <v>8183</v>
      </c>
    </row>
    <row r="3286" spans="1:4" hidden="1" x14ac:dyDescent="0.25">
      <c r="A3286" s="12" t="s">
        <v>6707</v>
      </c>
      <c r="B3286" s="3"/>
      <c r="C3286" s="18" t="s">
        <v>6471</v>
      </c>
      <c r="D3286" s="14" t="s">
        <v>8183</v>
      </c>
    </row>
    <row r="3287" spans="1:4" hidden="1" x14ac:dyDescent="0.25">
      <c r="A3287" s="12" t="s">
        <v>6708</v>
      </c>
      <c r="B3287" s="3"/>
      <c r="C3287" s="18" t="s">
        <v>6472</v>
      </c>
      <c r="D3287" s="14" t="s">
        <v>8183</v>
      </c>
    </row>
    <row r="3288" spans="1:4" hidden="1" x14ac:dyDescent="0.25">
      <c r="A3288" s="12" t="s">
        <v>6709</v>
      </c>
      <c r="B3288" s="3"/>
      <c r="C3288" s="19" t="s">
        <v>6473</v>
      </c>
      <c r="D3288" s="14" t="s">
        <v>8183</v>
      </c>
    </row>
    <row r="3289" spans="1:4" hidden="1" x14ac:dyDescent="0.25">
      <c r="A3289" s="12" t="s">
        <v>6710</v>
      </c>
      <c r="B3289" s="3"/>
      <c r="C3289" s="19" t="s">
        <v>6474</v>
      </c>
      <c r="D3289" s="14" t="s">
        <v>8183</v>
      </c>
    </row>
    <row r="3290" spans="1:4" hidden="1" x14ac:dyDescent="0.25">
      <c r="A3290" s="12" t="s">
        <v>6711</v>
      </c>
      <c r="B3290" s="3"/>
      <c r="C3290" s="18" t="s">
        <v>6475</v>
      </c>
      <c r="D3290" s="14" t="s">
        <v>8183</v>
      </c>
    </row>
    <row r="3291" spans="1:4" hidden="1" x14ac:dyDescent="0.25">
      <c r="A3291" s="12" t="s">
        <v>6712</v>
      </c>
      <c r="B3291" s="3"/>
      <c r="C3291" s="18" t="s">
        <v>6476</v>
      </c>
      <c r="D3291" s="14" t="s">
        <v>8183</v>
      </c>
    </row>
    <row r="3292" spans="1:4" hidden="1" x14ac:dyDescent="0.25">
      <c r="A3292" s="12" t="s">
        <v>6713</v>
      </c>
      <c r="B3292" s="3"/>
      <c r="C3292" s="18" t="s">
        <v>6477</v>
      </c>
      <c r="D3292" s="14" t="s">
        <v>8183</v>
      </c>
    </row>
    <row r="3293" spans="1:4" hidden="1" x14ac:dyDescent="0.25">
      <c r="A3293" s="12" t="s">
        <v>6714</v>
      </c>
      <c r="B3293" s="3"/>
      <c r="C3293" s="18" t="s">
        <v>6478</v>
      </c>
      <c r="D3293" s="14" t="s">
        <v>8183</v>
      </c>
    </row>
    <row r="3294" spans="1:4" hidden="1" x14ac:dyDescent="0.25">
      <c r="A3294" s="12" t="s">
        <v>6715</v>
      </c>
      <c r="B3294" s="3"/>
      <c r="C3294" s="18" t="s">
        <v>6479</v>
      </c>
      <c r="D3294" s="14" t="s">
        <v>8183</v>
      </c>
    </row>
    <row r="3295" spans="1:4" hidden="1" x14ac:dyDescent="0.25">
      <c r="A3295" s="12" t="s">
        <v>6716</v>
      </c>
      <c r="B3295" s="3"/>
      <c r="C3295" s="18" t="s">
        <v>6480</v>
      </c>
      <c r="D3295" s="14" t="s">
        <v>8183</v>
      </c>
    </row>
    <row r="3296" spans="1:4" hidden="1" x14ac:dyDescent="0.25">
      <c r="A3296" s="12" t="s">
        <v>6717</v>
      </c>
      <c r="B3296" s="3"/>
      <c r="C3296" s="18" t="s">
        <v>6481</v>
      </c>
      <c r="D3296" s="14" t="s">
        <v>8183</v>
      </c>
    </row>
    <row r="3297" spans="1:4" hidden="1" x14ac:dyDescent="0.25">
      <c r="A3297" s="12" t="s">
        <v>6718</v>
      </c>
      <c r="B3297" s="3"/>
      <c r="C3297" s="18" t="s">
        <v>6482</v>
      </c>
      <c r="D3297" s="14" t="s">
        <v>8183</v>
      </c>
    </row>
    <row r="3298" spans="1:4" hidden="1" x14ac:dyDescent="0.25">
      <c r="A3298" s="12" t="s">
        <v>6719</v>
      </c>
      <c r="B3298" s="3"/>
      <c r="C3298" s="18" t="s">
        <v>6483</v>
      </c>
      <c r="D3298" s="14" t="s">
        <v>8183</v>
      </c>
    </row>
    <row r="3299" spans="1:4" hidden="1" x14ac:dyDescent="0.25">
      <c r="A3299" s="12" t="s">
        <v>6720</v>
      </c>
      <c r="B3299" s="3"/>
      <c r="C3299" s="18" t="s">
        <v>6484</v>
      </c>
      <c r="D3299" s="14" t="s">
        <v>8183</v>
      </c>
    </row>
    <row r="3300" spans="1:4" hidden="1" x14ac:dyDescent="0.25">
      <c r="A3300" s="12" t="s">
        <v>6721</v>
      </c>
      <c r="B3300" s="3"/>
      <c r="C3300" s="18" t="s">
        <v>6485</v>
      </c>
      <c r="D3300" s="14" t="s">
        <v>8183</v>
      </c>
    </row>
    <row r="3301" spans="1:4" hidden="1" x14ac:dyDescent="0.25">
      <c r="A3301" s="12" t="s">
        <v>6722</v>
      </c>
      <c r="B3301" s="3"/>
      <c r="C3301" s="18" t="s">
        <v>6486</v>
      </c>
      <c r="D3301" s="14" t="s">
        <v>8183</v>
      </c>
    </row>
    <row r="3302" spans="1:4" hidden="1" x14ac:dyDescent="0.25">
      <c r="A3302" s="12" t="s">
        <v>6723</v>
      </c>
      <c r="B3302" s="3"/>
      <c r="C3302" s="18" t="s">
        <v>6487</v>
      </c>
      <c r="D3302" s="14" t="s">
        <v>8183</v>
      </c>
    </row>
    <row r="3303" spans="1:4" hidden="1" x14ac:dyDescent="0.25">
      <c r="A3303" s="12" t="s">
        <v>6724</v>
      </c>
      <c r="B3303" s="3"/>
      <c r="C3303" s="18" t="s">
        <v>6488</v>
      </c>
      <c r="D3303" s="14" t="s">
        <v>8183</v>
      </c>
    </row>
    <row r="3304" spans="1:4" hidden="1" x14ac:dyDescent="0.25">
      <c r="A3304" s="12" t="s">
        <v>6725</v>
      </c>
      <c r="B3304" s="3"/>
      <c r="C3304" s="18" t="s">
        <v>6489</v>
      </c>
      <c r="D3304" s="14" t="s">
        <v>8183</v>
      </c>
    </row>
    <row r="3305" spans="1:4" hidden="1" x14ac:dyDescent="0.25">
      <c r="A3305" s="12" t="s">
        <v>6726</v>
      </c>
      <c r="B3305" s="3"/>
      <c r="C3305" s="18" t="s">
        <v>6490</v>
      </c>
      <c r="D3305" s="14" t="s">
        <v>8183</v>
      </c>
    </row>
    <row r="3306" spans="1:4" hidden="1" x14ac:dyDescent="0.25">
      <c r="A3306" s="12" t="s">
        <v>6727</v>
      </c>
      <c r="B3306" s="3"/>
      <c r="C3306" s="18" t="s">
        <v>6491</v>
      </c>
      <c r="D3306" s="14" t="s">
        <v>8183</v>
      </c>
    </row>
    <row r="3307" spans="1:4" hidden="1" x14ac:dyDescent="0.25">
      <c r="A3307" s="12" t="s">
        <v>6728</v>
      </c>
      <c r="B3307" s="3"/>
      <c r="C3307" s="18" t="s">
        <v>6492</v>
      </c>
      <c r="D3307" s="14" t="s">
        <v>8183</v>
      </c>
    </row>
    <row r="3308" spans="1:4" hidden="1" x14ac:dyDescent="0.25">
      <c r="A3308" s="12" t="s">
        <v>6729</v>
      </c>
      <c r="B3308" s="3"/>
      <c r="C3308" s="18" t="s">
        <v>6493</v>
      </c>
      <c r="D3308" s="14" t="s">
        <v>8183</v>
      </c>
    </row>
    <row r="3309" spans="1:4" hidden="1" x14ac:dyDescent="0.25">
      <c r="A3309" s="12" t="s">
        <v>6730</v>
      </c>
      <c r="B3309" s="3"/>
      <c r="C3309" s="18" t="s">
        <v>6494</v>
      </c>
      <c r="D3309" s="14" t="s">
        <v>8183</v>
      </c>
    </row>
    <row r="3310" spans="1:4" hidden="1" x14ac:dyDescent="0.25">
      <c r="A3310" s="12" t="s">
        <v>6731</v>
      </c>
      <c r="B3310" s="3"/>
      <c r="C3310" s="18" t="s">
        <v>6495</v>
      </c>
      <c r="D3310" s="14" t="s">
        <v>8183</v>
      </c>
    </row>
    <row r="3311" spans="1:4" hidden="1" x14ac:dyDescent="0.25">
      <c r="A3311" s="12" t="s">
        <v>6732</v>
      </c>
      <c r="B3311" s="3"/>
      <c r="C3311" s="18" t="s">
        <v>6496</v>
      </c>
      <c r="D3311" s="14" t="s">
        <v>8183</v>
      </c>
    </row>
    <row r="3312" spans="1:4" hidden="1" x14ac:dyDescent="0.25">
      <c r="A3312" s="12" t="s">
        <v>6733</v>
      </c>
      <c r="B3312" s="3"/>
      <c r="C3312" s="18" t="s">
        <v>6497</v>
      </c>
      <c r="D3312" s="14" t="s">
        <v>8183</v>
      </c>
    </row>
    <row r="3313" spans="1:4" hidden="1" x14ac:dyDescent="0.25">
      <c r="A3313" s="12" t="s">
        <v>6734</v>
      </c>
      <c r="B3313" s="3"/>
      <c r="C3313" s="18" t="s">
        <v>6498</v>
      </c>
      <c r="D3313" s="14" t="s">
        <v>8183</v>
      </c>
    </row>
    <row r="3314" spans="1:4" hidden="1" x14ac:dyDescent="0.25">
      <c r="A3314" s="12" t="s">
        <v>6735</v>
      </c>
      <c r="B3314" s="3"/>
      <c r="C3314" s="18" t="s">
        <v>6499</v>
      </c>
      <c r="D3314" s="14" t="s">
        <v>8183</v>
      </c>
    </row>
    <row r="3315" spans="1:4" hidden="1" x14ac:dyDescent="0.25">
      <c r="A3315" s="12" t="s">
        <v>6736</v>
      </c>
      <c r="B3315" s="3"/>
      <c r="C3315" s="18" t="s">
        <v>6500</v>
      </c>
      <c r="D3315" s="14" t="s">
        <v>8183</v>
      </c>
    </row>
    <row r="3316" spans="1:4" hidden="1" x14ac:dyDescent="0.25">
      <c r="A3316" s="12" t="s">
        <v>6737</v>
      </c>
      <c r="B3316" s="3"/>
      <c r="C3316" s="18" t="s">
        <v>6501</v>
      </c>
      <c r="D3316" s="14" t="s">
        <v>8183</v>
      </c>
    </row>
    <row r="3317" spans="1:4" hidden="1" x14ac:dyDescent="0.25">
      <c r="A3317" s="12" t="s">
        <v>6738</v>
      </c>
      <c r="B3317" s="3"/>
      <c r="C3317" s="18" t="s">
        <v>6502</v>
      </c>
      <c r="D3317" s="14" t="s">
        <v>8183</v>
      </c>
    </row>
    <row r="3318" spans="1:4" hidden="1" x14ac:dyDescent="0.25">
      <c r="A3318" s="12" t="s">
        <v>6739</v>
      </c>
      <c r="B3318" s="3"/>
      <c r="C3318" s="18" t="s">
        <v>6503</v>
      </c>
      <c r="D3318" s="14" t="s">
        <v>8183</v>
      </c>
    </row>
    <row r="3319" spans="1:4" hidden="1" x14ac:dyDescent="0.25">
      <c r="A3319" s="12" t="s">
        <v>6740</v>
      </c>
      <c r="B3319" s="3"/>
      <c r="C3319" s="18" t="s">
        <v>6504</v>
      </c>
      <c r="D3319" s="14" t="s">
        <v>8183</v>
      </c>
    </row>
    <row r="3320" spans="1:4" hidden="1" x14ac:dyDescent="0.25">
      <c r="A3320" s="12" t="s">
        <v>6741</v>
      </c>
      <c r="B3320" s="3"/>
      <c r="C3320" s="18" t="s">
        <v>6505</v>
      </c>
      <c r="D3320" s="14" t="s">
        <v>8183</v>
      </c>
    </row>
    <row r="3321" spans="1:4" hidden="1" x14ac:dyDescent="0.25">
      <c r="A3321" s="12" t="s">
        <v>6742</v>
      </c>
      <c r="B3321" s="3"/>
      <c r="C3321" s="18" t="s">
        <v>6506</v>
      </c>
      <c r="D3321" s="14" t="s">
        <v>8183</v>
      </c>
    </row>
    <row r="3322" spans="1:4" hidden="1" x14ac:dyDescent="0.25">
      <c r="A3322" s="12" t="s">
        <v>6743</v>
      </c>
      <c r="B3322" s="3"/>
      <c r="C3322" s="18" t="s">
        <v>6507</v>
      </c>
      <c r="D3322" s="14" t="s">
        <v>8183</v>
      </c>
    </row>
    <row r="3323" spans="1:4" hidden="1" x14ac:dyDescent="0.25">
      <c r="A3323" s="12" t="s">
        <v>6744</v>
      </c>
      <c r="B3323" s="3"/>
      <c r="C3323" s="18" t="s">
        <v>6508</v>
      </c>
      <c r="D3323" s="14" t="s">
        <v>8183</v>
      </c>
    </row>
    <row r="3324" spans="1:4" hidden="1" x14ac:dyDescent="0.25">
      <c r="A3324" s="12" t="s">
        <v>6745</v>
      </c>
      <c r="B3324" s="3"/>
      <c r="C3324" s="18" t="s">
        <v>6509</v>
      </c>
      <c r="D3324" s="14" t="s">
        <v>8183</v>
      </c>
    </row>
    <row r="3325" spans="1:4" hidden="1" x14ac:dyDescent="0.25">
      <c r="A3325" s="12" t="s">
        <v>6746</v>
      </c>
      <c r="B3325" s="3"/>
      <c r="C3325" s="19" t="s">
        <v>6510</v>
      </c>
      <c r="D3325" s="14" t="s">
        <v>8183</v>
      </c>
    </row>
    <row r="3326" spans="1:4" hidden="1" x14ac:dyDescent="0.25">
      <c r="A3326" s="12" t="s">
        <v>6747</v>
      </c>
      <c r="B3326" s="3"/>
      <c r="C3326" s="19" t="s">
        <v>6511</v>
      </c>
      <c r="D3326" s="14" t="s">
        <v>8183</v>
      </c>
    </row>
    <row r="3327" spans="1:4" hidden="1" x14ac:dyDescent="0.25">
      <c r="A3327" s="12" t="s">
        <v>6748</v>
      </c>
      <c r="B3327" s="3"/>
      <c r="C3327" s="18" t="s">
        <v>6512</v>
      </c>
      <c r="D3327" s="14" t="s">
        <v>8183</v>
      </c>
    </row>
    <row r="3328" spans="1:4" hidden="1" x14ac:dyDescent="0.25">
      <c r="A3328" s="12" t="s">
        <v>6749</v>
      </c>
      <c r="B3328" s="3"/>
      <c r="C3328" s="18" t="s">
        <v>6513</v>
      </c>
      <c r="D3328" s="14" t="s">
        <v>8183</v>
      </c>
    </row>
    <row r="3329" spans="1:4" hidden="1" x14ac:dyDescent="0.25">
      <c r="A3329" s="12" t="s">
        <v>6750</v>
      </c>
      <c r="B3329" s="3"/>
      <c r="C3329" s="18" t="s">
        <v>6514</v>
      </c>
      <c r="D3329" s="14" t="s">
        <v>8183</v>
      </c>
    </row>
    <row r="3330" spans="1:4" hidden="1" x14ac:dyDescent="0.25">
      <c r="A3330" s="12" t="s">
        <v>6751</v>
      </c>
      <c r="B3330" s="3"/>
      <c r="C3330" s="18" t="s">
        <v>6515</v>
      </c>
      <c r="D3330" s="14" t="s">
        <v>8183</v>
      </c>
    </row>
    <row r="3331" spans="1:4" hidden="1" x14ac:dyDescent="0.25">
      <c r="A3331" s="12" t="s">
        <v>6752</v>
      </c>
      <c r="B3331" s="3"/>
      <c r="C3331" s="18" t="s">
        <v>6516</v>
      </c>
      <c r="D3331" s="14" t="s">
        <v>8183</v>
      </c>
    </row>
    <row r="3332" spans="1:4" hidden="1" x14ac:dyDescent="0.25">
      <c r="A3332" s="12" t="s">
        <v>6753</v>
      </c>
      <c r="B3332" s="3"/>
      <c r="C3332" s="18" t="s">
        <v>6517</v>
      </c>
      <c r="D3332" s="14" t="s">
        <v>8183</v>
      </c>
    </row>
    <row r="3333" spans="1:4" hidden="1" x14ac:dyDescent="0.25">
      <c r="A3333" s="12" t="s">
        <v>6754</v>
      </c>
      <c r="B3333" s="3"/>
      <c r="C3333" s="18" t="s">
        <v>6518</v>
      </c>
      <c r="D3333" s="14" t="s">
        <v>8183</v>
      </c>
    </row>
    <row r="3334" spans="1:4" hidden="1" x14ac:dyDescent="0.25">
      <c r="A3334" s="12" t="s">
        <v>6755</v>
      </c>
      <c r="B3334" s="3"/>
      <c r="C3334" s="18" t="s">
        <v>6519</v>
      </c>
      <c r="D3334" s="14" t="s">
        <v>8183</v>
      </c>
    </row>
    <row r="3335" spans="1:4" hidden="1" x14ac:dyDescent="0.25">
      <c r="A3335" s="12" t="s">
        <v>6756</v>
      </c>
      <c r="B3335" s="3"/>
      <c r="C3335" s="18" t="s">
        <v>6520</v>
      </c>
      <c r="D3335" s="14" t="s">
        <v>8183</v>
      </c>
    </row>
    <row r="3336" spans="1:4" hidden="1" x14ac:dyDescent="0.25">
      <c r="A3336" s="12" t="s">
        <v>6757</v>
      </c>
      <c r="B3336" s="3"/>
      <c r="C3336" s="18" t="s">
        <v>6521</v>
      </c>
      <c r="D3336" s="14" t="s">
        <v>8183</v>
      </c>
    </row>
    <row r="3337" spans="1:4" hidden="1" x14ac:dyDescent="0.25">
      <c r="A3337" s="12" t="s">
        <v>6758</v>
      </c>
      <c r="B3337" s="3"/>
      <c r="C3337" s="18" t="s">
        <v>6522</v>
      </c>
      <c r="D3337" s="14" t="s">
        <v>8183</v>
      </c>
    </row>
    <row r="3338" spans="1:4" hidden="1" x14ac:dyDescent="0.25">
      <c r="A3338" s="12" t="s">
        <v>6759</v>
      </c>
      <c r="B3338" s="3"/>
      <c r="C3338" s="18" t="s">
        <v>6523</v>
      </c>
      <c r="D3338" s="14" t="s">
        <v>8183</v>
      </c>
    </row>
    <row r="3339" spans="1:4" hidden="1" x14ac:dyDescent="0.25">
      <c r="A3339" s="12" t="s">
        <v>6760</v>
      </c>
      <c r="B3339" s="3"/>
      <c r="C3339" s="18" t="s">
        <v>6524</v>
      </c>
      <c r="D3339" s="14" t="s">
        <v>8183</v>
      </c>
    </row>
    <row r="3340" spans="1:4" hidden="1" x14ac:dyDescent="0.25">
      <c r="A3340" s="12" t="s">
        <v>6761</v>
      </c>
      <c r="B3340" s="3"/>
      <c r="C3340" s="18" t="s">
        <v>6525</v>
      </c>
      <c r="D3340" s="14" t="s">
        <v>8183</v>
      </c>
    </row>
    <row r="3341" spans="1:4" hidden="1" x14ac:dyDescent="0.25">
      <c r="A3341" s="12" t="s">
        <v>6762</v>
      </c>
      <c r="B3341" s="3"/>
      <c r="C3341" s="18" t="s">
        <v>6526</v>
      </c>
      <c r="D3341" s="14" t="s">
        <v>8183</v>
      </c>
    </row>
    <row r="3342" spans="1:4" hidden="1" x14ac:dyDescent="0.25">
      <c r="A3342" s="12" t="s">
        <v>6763</v>
      </c>
      <c r="B3342" s="3"/>
      <c r="C3342" s="18" t="s">
        <v>6527</v>
      </c>
      <c r="D3342" s="14" t="s">
        <v>8183</v>
      </c>
    </row>
    <row r="3343" spans="1:4" hidden="1" x14ac:dyDescent="0.25">
      <c r="A3343" s="12" t="s">
        <v>6764</v>
      </c>
      <c r="B3343" s="3"/>
      <c r="C3343" s="18" t="s">
        <v>6528</v>
      </c>
      <c r="D3343" s="14" t="s">
        <v>8183</v>
      </c>
    </row>
    <row r="3344" spans="1:4" hidden="1" x14ac:dyDescent="0.25">
      <c r="A3344" s="12" t="s">
        <v>6765</v>
      </c>
      <c r="B3344" s="3"/>
      <c r="C3344" s="18" t="s">
        <v>6529</v>
      </c>
      <c r="D3344" s="14" t="s">
        <v>8183</v>
      </c>
    </row>
    <row r="3345" spans="1:4" hidden="1" x14ac:dyDescent="0.25">
      <c r="A3345" s="12" t="s">
        <v>6766</v>
      </c>
      <c r="B3345" s="3"/>
      <c r="C3345" s="18" t="s">
        <v>6530</v>
      </c>
      <c r="D3345" s="14" t="s">
        <v>8183</v>
      </c>
    </row>
    <row r="3346" spans="1:4" hidden="1" x14ac:dyDescent="0.25">
      <c r="A3346" s="12" t="s">
        <v>6767</v>
      </c>
      <c r="B3346" s="3"/>
      <c r="C3346" s="18" t="s">
        <v>6531</v>
      </c>
      <c r="D3346" s="14" t="s">
        <v>8183</v>
      </c>
    </row>
    <row r="3347" spans="1:4" hidden="1" x14ac:dyDescent="0.25">
      <c r="A3347" s="12" t="s">
        <v>6768</v>
      </c>
      <c r="B3347" s="3"/>
      <c r="C3347" s="18" t="s">
        <v>6532</v>
      </c>
      <c r="D3347" s="14" t="s">
        <v>8183</v>
      </c>
    </row>
    <row r="3348" spans="1:4" hidden="1" x14ac:dyDescent="0.25">
      <c r="A3348" s="12" t="s">
        <v>6769</v>
      </c>
      <c r="B3348" s="3"/>
      <c r="C3348" s="18" t="s">
        <v>6533</v>
      </c>
      <c r="D3348" s="14" t="s">
        <v>8183</v>
      </c>
    </row>
    <row r="3349" spans="1:4" hidden="1" x14ac:dyDescent="0.25">
      <c r="A3349" s="12" t="s">
        <v>6770</v>
      </c>
      <c r="B3349" s="3"/>
      <c r="C3349" s="18" t="s">
        <v>6534</v>
      </c>
      <c r="D3349" s="14" t="s">
        <v>8183</v>
      </c>
    </row>
    <row r="3350" spans="1:4" hidden="1" x14ac:dyDescent="0.25">
      <c r="A3350" s="12" t="s">
        <v>6771</v>
      </c>
      <c r="B3350" s="3"/>
      <c r="C3350" s="18" t="s">
        <v>6535</v>
      </c>
      <c r="D3350" s="14" t="s">
        <v>8183</v>
      </c>
    </row>
    <row r="3351" spans="1:4" hidden="1" x14ac:dyDescent="0.25">
      <c r="A3351" s="12" t="s">
        <v>6772</v>
      </c>
      <c r="B3351" s="3"/>
      <c r="C3351" s="18" t="s">
        <v>6536</v>
      </c>
      <c r="D3351" s="14" t="s">
        <v>8183</v>
      </c>
    </row>
    <row r="3352" spans="1:4" hidden="1" x14ac:dyDescent="0.25">
      <c r="A3352" s="12" t="s">
        <v>6773</v>
      </c>
      <c r="B3352" s="3"/>
      <c r="C3352" s="18" t="s">
        <v>6537</v>
      </c>
      <c r="D3352" s="14" t="s">
        <v>8183</v>
      </c>
    </row>
    <row r="3353" spans="1:4" hidden="1" x14ac:dyDescent="0.25">
      <c r="A3353" s="12" t="s">
        <v>6774</v>
      </c>
      <c r="B3353" s="3"/>
      <c r="C3353" s="18" t="s">
        <v>6538</v>
      </c>
      <c r="D3353" s="14" t="s">
        <v>8183</v>
      </c>
    </row>
    <row r="3354" spans="1:4" hidden="1" x14ac:dyDescent="0.25">
      <c r="A3354" s="12" t="s">
        <v>6775</v>
      </c>
      <c r="B3354" s="3"/>
      <c r="C3354" s="18" t="s">
        <v>6539</v>
      </c>
      <c r="D3354" s="14" t="s">
        <v>8183</v>
      </c>
    </row>
    <row r="3355" spans="1:4" hidden="1" x14ac:dyDescent="0.25">
      <c r="A3355" s="12" t="s">
        <v>6776</v>
      </c>
      <c r="B3355" s="3"/>
      <c r="C3355" s="18" t="s">
        <v>6540</v>
      </c>
      <c r="D3355" s="14" t="s">
        <v>8183</v>
      </c>
    </row>
    <row r="3356" spans="1:4" hidden="1" x14ac:dyDescent="0.25">
      <c r="A3356" s="12" t="s">
        <v>6777</v>
      </c>
      <c r="B3356" s="3"/>
      <c r="C3356" s="18" t="s">
        <v>6541</v>
      </c>
      <c r="D3356" s="14" t="s">
        <v>8183</v>
      </c>
    </row>
    <row r="3357" spans="1:4" hidden="1" x14ac:dyDescent="0.25">
      <c r="A3357" s="12" t="s">
        <v>6778</v>
      </c>
      <c r="B3357" s="3"/>
      <c r="C3357" s="18" t="s">
        <v>6542</v>
      </c>
      <c r="D3357" s="14" t="s">
        <v>8183</v>
      </c>
    </row>
    <row r="3358" spans="1:4" hidden="1" x14ac:dyDescent="0.25">
      <c r="A3358" s="12" t="s">
        <v>6779</v>
      </c>
      <c r="B3358" s="3"/>
      <c r="C3358" s="18" t="s">
        <v>6543</v>
      </c>
      <c r="D3358" s="14" t="s">
        <v>8183</v>
      </c>
    </row>
    <row r="3359" spans="1:4" hidden="1" x14ac:dyDescent="0.25">
      <c r="A3359" s="12" t="s">
        <v>6780</v>
      </c>
      <c r="B3359" s="3"/>
      <c r="C3359" s="18" t="s">
        <v>6544</v>
      </c>
      <c r="D3359" s="14" t="s">
        <v>8183</v>
      </c>
    </row>
    <row r="3360" spans="1:4" hidden="1" x14ac:dyDescent="0.25">
      <c r="A3360" s="12" t="s">
        <v>6781</v>
      </c>
      <c r="B3360" s="3"/>
      <c r="C3360" s="18" t="s">
        <v>6545</v>
      </c>
      <c r="D3360" s="14" t="s">
        <v>8183</v>
      </c>
    </row>
    <row r="3361" spans="1:4" hidden="1" x14ac:dyDescent="0.25">
      <c r="A3361" s="12" t="s">
        <v>6782</v>
      </c>
      <c r="B3361" s="3"/>
      <c r="C3361" s="18" t="s">
        <v>6546</v>
      </c>
      <c r="D3361" s="14" t="s">
        <v>8183</v>
      </c>
    </row>
    <row r="3362" spans="1:4" hidden="1" x14ac:dyDescent="0.25">
      <c r="A3362" s="12" t="s">
        <v>6783</v>
      </c>
      <c r="B3362" s="3"/>
      <c r="C3362" s="18" t="s">
        <v>6547</v>
      </c>
      <c r="D3362" s="14" t="s">
        <v>8183</v>
      </c>
    </row>
    <row r="3363" spans="1:4" hidden="1" x14ac:dyDescent="0.25">
      <c r="A3363" s="12" t="s">
        <v>6784</v>
      </c>
      <c r="B3363" s="3"/>
      <c r="C3363" s="19" t="s">
        <v>6548</v>
      </c>
      <c r="D3363" s="14" t="s">
        <v>8183</v>
      </c>
    </row>
    <row r="3364" spans="1:4" hidden="1" x14ac:dyDescent="0.25">
      <c r="A3364" s="12" t="s">
        <v>6785</v>
      </c>
      <c r="B3364" s="3"/>
      <c r="C3364" s="19" t="s">
        <v>6549</v>
      </c>
      <c r="D3364" s="14" t="s">
        <v>8183</v>
      </c>
    </row>
    <row r="3365" spans="1:4" hidden="1" x14ac:dyDescent="0.25">
      <c r="A3365" s="12" t="s">
        <v>6786</v>
      </c>
      <c r="B3365" s="3"/>
      <c r="C3365" s="18" t="s">
        <v>6550</v>
      </c>
      <c r="D3365" s="14" t="s">
        <v>8183</v>
      </c>
    </row>
    <row r="3366" spans="1:4" hidden="1" x14ac:dyDescent="0.25">
      <c r="A3366" s="12" t="s">
        <v>6787</v>
      </c>
      <c r="B3366" s="3"/>
      <c r="C3366" s="18" t="s">
        <v>6551</v>
      </c>
      <c r="D3366" s="14" t="s">
        <v>8183</v>
      </c>
    </row>
    <row r="3367" spans="1:4" hidden="1" x14ac:dyDescent="0.25">
      <c r="A3367" s="12" t="s">
        <v>6788</v>
      </c>
      <c r="B3367" s="3"/>
      <c r="C3367" s="18" t="s">
        <v>6552</v>
      </c>
      <c r="D3367" s="14" t="s">
        <v>8183</v>
      </c>
    </row>
    <row r="3368" spans="1:4" hidden="1" x14ac:dyDescent="0.25">
      <c r="A3368" s="12" t="s">
        <v>6789</v>
      </c>
      <c r="B3368" s="3"/>
      <c r="C3368" s="18" t="s">
        <v>6553</v>
      </c>
      <c r="D3368" s="14" t="s">
        <v>8183</v>
      </c>
    </row>
    <row r="3369" spans="1:4" hidden="1" x14ac:dyDescent="0.25">
      <c r="A3369" s="12" t="s">
        <v>6790</v>
      </c>
      <c r="B3369" s="3"/>
      <c r="C3369" s="18" t="s">
        <v>6554</v>
      </c>
      <c r="D3369" s="14" t="s">
        <v>8183</v>
      </c>
    </row>
    <row r="3370" spans="1:4" hidden="1" x14ac:dyDescent="0.25">
      <c r="A3370" s="12" t="s">
        <v>6791</v>
      </c>
      <c r="B3370" s="3"/>
      <c r="C3370" s="18" t="s">
        <v>6555</v>
      </c>
      <c r="D3370" s="14" t="s">
        <v>8183</v>
      </c>
    </row>
    <row r="3371" spans="1:4" hidden="1" x14ac:dyDescent="0.25">
      <c r="A3371" s="12" t="s">
        <v>6792</v>
      </c>
      <c r="B3371" s="3"/>
      <c r="C3371" s="18" t="s">
        <v>6556</v>
      </c>
      <c r="D3371" s="14" t="s">
        <v>8183</v>
      </c>
    </row>
    <row r="3372" spans="1:4" hidden="1" x14ac:dyDescent="0.25">
      <c r="A3372" s="12" t="s">
        <v>6793</v>
      </c>
      <c r="B3372" s="3"/>
      <c r="C3372" s="18" t="s">
        <v>6557</v>
      </c>
      <c r="D3372" s="14" t="s">
        <v>8183</v>
      </c>
    </row>
    <row r="3373" spans="1:4" hidden="1" x14ac:dyDescent="0.25">
      <c r="A3373" s="12" t="s">
        <v>6794</v>
      </c>
      <c r="B3373" s="3"/>
      <c r="C3373" s="18" t="s">
        <v>6558</v>
      </c>
      <c r="D3373" s="14" t="s">
        <v>8183</v>
      </c>
    </row>
    <row r="3374" spans="1:4" hidden="1" x14ac:dyDescent="0.25">
      <c r="A3374" s="12" t="s">
        <v>6795</v>
      </c>
      <c r="B3374" s="3"/>
      <c r="C3374" s="18" t="s">
        <v>6559</v>
      </c>
      <c r="D3374" s="14" t="s">
        <v>8183</v>
      </c>
    </row>
    <row r="3375" spans="1:4" hidden="1" x14ac:dyDescent="0.25">
      <c r="A3375" s="12" t="s">
        <v>6796</v>
      </c>
      <c r="B3375" s="3"/>
      <c r="C3375" s="18" t="s">
        <v>6560</v>
      </c>
      <c r="D3375" s="14" t="s">
        <v>8183</v>
      </c>
    </row>
    <row r="3376" spans="1:4" hidden="1" x14ac:dyDescent="0.25">
      <c r="A3376" s="12" t="s">
        <v>6797</v>
      </c>
      <c r="B3376" s="3"/>
      <c r="C3376" s="18" t="s">
        <v>6561</v>
      </c>
      <c r="D3376" s="14" t="s">
        <v>8183</v>
      </c>
    </row>
    <row r="3377" spans="1:4" hidden="1" x14ac:dyDescent="0.25">
      <c r="A3377" s="12" t="s">
        <v>6798</v>
      </c>
      <c r="B3377" s="3"/>
      <c r="C3377" s="18" t="s">
        <v>6562</v>
      </c>
      <c r="D3377" s="14" t="s">
        <v>8183</v>
      </c>
    </row>
    <row r="3378" spans="1:4" hidden="1" x14ac:dyDescent="0.25">
      <c r="A3378" s="12" t="s">
        <v>6799</v>
      </c>
      <c r="B3378" s="3"/>
      <c r="C3378" s="18" t="s">
        <v>6563</v>
      </c>
      <c r="D3378" s="14" t="s">
        <v>8183</v>
      </c>
    </row>
    <row r="3379" spans="1:4" hidden="1" x14ac:dyDescent="0.25">
      <c r="A3379" s="12" t="s">
        <v>6800</v>
      </c>
      <c r="B3379" s="3"/>
      <c r="C3379" s="18" t="s">
        <v>6564</v>
      </c>
      <c r="D3379" s="14" t="s">
        <v>8183</v>
      </c>
    </row>
    <row r="3380" spans="1:4" hidden="1" x14ac:dyDescent="0.25">
      <c r="A3380" s="12" t="s">
        <v>6801</v>
      </c>
      <c r="B3380" s="3"/>
      <c r="C3380" s="18" t="s">
        <v>6565</v>
      </c>
      <c r="D3380" s="14" t="s">
        <v>8183</v>
      </c>
    </row>
    <row r="3381" spans="1:4" hidden="1" x14ac:dyDescent="0.25">
      <c r="A3381" s="12" t="s">
        <v>6802</v>
      </c>
      <c r="B3381" s="3"/>
      <c r="C3381" s="18" t="s">
        <v>6566</v>
      </c>
      <c r="D3381" s="14" t="s">
        <v>8183</v>
      </c>
    </row>
    <row r="3382" spans="1:4" hidden="1" x14ac:dyDescent="0.25">
      <c r="A3382" s="12" t="s">
        <v>6803</v>
      </c>
      <c r="B3382" s="3"/>
      <c r="C3382" s="18" t="s">
        <v>6567</v>
      </c>
      <c r="D3382" s="14" t="s">
        <v>8183</v>
      </c>
    </row>
    <row r="3383" spans="1:4" hidden="1" x14ac:dyDescent="0.25">
      <c r="A3383" s="12" t="s">
        <v>6804</v>
      </c>
      <c r="B3383" s="3"/>
      <c r="C3383" s="18" t="s">
        <v>6568</v>
      </c>
      <c r="D3383" s="14" t="s">
        <v>8183</v>
      </c>
    </row>
    <row r="3384" spans="1:4" hidden="1" x14ac:dyDescent="0.25">
      <c r="A3384" s="12" t="s">
        <v>6805</v>
      </c>
      <c r="B3384" s="3"/>
      <c r="C3384" s="18" t="s">
        <v>6569</v>
      </c>
      <c r="D3384" s="14" t="s">
        <v>8183</v>
      </c>
    </row>
    <row r="3385" spans="1:4" hidden="1" x14ac:dyDescent="0.25">
      <c r="A3385" s="12" t="s">
        <v>6806</v>
      </c>
      <c r="B3385" s="3"/>
      <c r="C3385" s="18" t="s">
        <v>6570</v>
      </c>
      <c r="D3385" s="14" t="s">
        <v>8183</v>
      </c>
    </row>
    <row r="3386" spans="1:4" hidden="1" x14ac:dyDescent="0.25">
      <c r="A3386" s="12" t="s">
        <v>6807</v>
      </c>
      <c r="B3386" s="3"/>
      <c r="C3386" s="18" t="s">
        <v>6571</v>
      </c>
      <c r="D3386" s="14" t="s">
        <v>8183</v>
      </c>
    </row>
    <row r="3387" spans="1:4" hidden="1" x14ac:dyDescent="0.25">
      <c r="A3387" s="12" t="s">
        <v>6808</v>
      </c>
      <c r="B3387" s="3"/>
      <c r="C3387" s="18" t="s">
        <v>6572</v>
      </c>
      <c r="D3387" s="14" t="s">
        <v>8183</v>
      </c>
    </row>
    <row r="3388" spans="1:4" hidden="1" x14ac:dyDescent="0.25">
      <c r="A3388" s="12" t="s">
        <v>6809</v>
      </c>
      <c r="B3388" s="3"/>
      <c r="C3388" s="18" t="s">
        <v>6573</v>
      </c>
      <c r="D3388" s="14" t="s">
        <v>8183</v>
      </c>
    </row>
    <row r="3389" spans="1:4" hidden="1" x14ac:dyDescent="0.25">
      <c r="A3389" s="12" t="s">
        <v>6810</v>
      </c>
      <c r="B3389" s="3"/>
      <c r="C3389" s="18" t="s">
        <v>6574</v>
      </c>
      <c r="D3389" s="14" t="s">
        <v>8183</v>
      </c>
    </row>
    <row r="3390" spans="1:4" hidden="1" x14ac:dyDescent="0.25">
      <c r="A3390" s="12" t="s">
        <v>6811</v>
      </c>
      <c r="B3390" s="3"/>
      <c r="C3390" s="18" t="s">
        <v>6575</v>
      </c>
      <c r="D3390" s="14" t="s">
        <v>8183</v>
      </c>
    </row>
    <row r="3391" spans="1:4" hidden="1" x14ac:dyDescent="0.25">
      <c r="A3391" s="12" t="s">
        <v>6812</v>
      </c>
      <c r="B3391" s="3"/>
      <c r="C3391" s="18" t="s">
        <v>6576</v>
      </c>
      <c r="D3391" s="14" t="s">
        <v>8183</v>
      </c>
    </row>
    <row r="3392" spans="1:4" hidden="1" x14ac:dyDescent="0.25">
      <c r="A3392" s="12" t="s">
        <v>6813</v>
      </c>
      <c r="B3392" s="3"/>
      <c r="C3392" s="18" t="s">
        <v>6577</v>
      </c>
      <c r="D3392" s="14" t="s">
        <v>8183</v>
      </c>
    </row>
    <row r="3393" spans="1:4" hidden="1" x14ac:dyDescent="0.25">
      <c r="A3393" s="12" t="s">
        <v>6814</v>
      </c>
      <c r="B3393" s="3"/>
      <c r="C3393" s="18" t="s">
        <v>6578</v>
      </c>
      <c r="D3393" s="14" t="s">
        <v>8183</v>
      </c>
    </row>
    <row r="3394" spans="1:4" hidden="1" x14ac:dyDescent="0.25">
      <c r="A3394" s="12" t="s">
        <v>6815</v>
      </c>
      <c r="B3394" s="3"/>
      <c r="C3394" s="18" t="s">
        <v>6579</v>
      </c>
      <c r="D3394" s="14" t="s">
        <v>8183</v>
      </c>
    </row>
    <row r="3395" spans="1:4" hidden="1" x14ac:dyDescent="0.25">
      <c r="A3395" s="12" t="s">
        <v>6816</v>
      </c>
      <c r="B3395" s="3"/>
      <c r="C3395" s="18" t="s">
        <v>6580</v>
      </c>
      <c r="D3395" s="14" t="s">
        <v>8183</v>
      </c>
    </row>
    <row r="3396" spans="1:4" hidden="1" x14ac:dyDescent="0.25">
      <c r="A3396" s="12" t="s">
        <v>6817</v>
      </c>
      <c r="B3396" s="3"/>
      <c r="C3396" s="18" t="s">
        <v>6581</v>
      </c>
      <c r="D3396" s="14" t="s">
        <v>8183</v>
      </c>
    </row>
    <row r="3397" spans="1:4" hidden="1" x14ac:dyDescent="0.25">
      <c r="A3397" s="12" t="s">
        <v>6818</v>
      </c>
      <c r="B3397" s="3"/>
      <c r="C3397" s="18" t="s">
        <v>6582</v>
      </c>
      <c r="D3397" s="14" t="s">
        <v>8183</v>
      </c>
    </row>
    <row r="3398" spans="1:4" hidden="1" x14ac:dyDescent="0.25">
      <c r="A3398" s="12" t="s">
        <v>6819</v>
      </c>
      <c r="B3398" s="3"/>
      <c r="C3398" s="18" t="s">
        <v>6583</v>
      </c>
      <c r="D3398" s="14" t="s">
        <v>8183</v>
      </c>
    </row>
    <row r="3399" spans="1:4" hidden="1" x14ac:dyDescent="0.25">
      <c r="A3399" s="12" t="s">
        <v>6820</v>
      </c>
      <c r="B3399" s="3"/>
      <c r="C3399" s="18" t="s">
        <v>6584</v>
      </c>
      <c r="D3399" s="14" t="s">
        <v>8183</v>
      </c>
    </row>
    <row r="3400" spans="1:4" hidden="1" x14ac:dyDescent="0.25">
      <c r="A3400" s="12" t="s">
        <v>6821</v>
      </c>
      <c r="B3400" s="3"/>
      <c r="C3400" s="19" t="s">
        <v>6585</v>
      </c>
      <c r="D3400" s="14" t="s">
        <v>8183</v>
      </c>
    </row>
    <row r="3401" spans="1:4" hidden="1" x14ac:dyDescent="0.25">
      <c r="A3401" s="12" t="s">
        <v>6822</v>
      </c>
      <c r="B3401" s="3"/>
      <c r="C3401" s="19" t="s">
        <v>6586</v>
      </c>
      <c r="D3401" s="14" t="s">
        <v>8183</v>
      </c>
    </row>
    <row r="3402" spans="1:4" hidden="1" x14ac:dyDescent="0.25">
      <c r="A3402" s="12" t="s">
        <v>6823</v>
      </c>
      <c r="B3402" s="3"/>
      <c r="C3402" s="18" t="s">
        <v>6587</v>
      </c>
      <c r="D3402" s="14" t="s">
        <v>8183</v>
      </c>
    </row>
    <row r="3403" spans="1:4" hidden="1" x14ac:dyDescent="0.25">
      <c r="A3403" s="12" t="s">
        <v>6824</v>
      </c>
      <c r="B3403" s="3"/>
      <c r="C3403" s="18" t="s">
        <v>6588</v>
      </c>
      <c r="D3403" s="14" t="s">
        <v>8183</v>
      </c>
    </row>
    <row r="3404" spans="1:4" hidden="1" x14ac:dyDescent="0.25">
      <c r="A3404" s="12" t="s">
        <v>6825</v>
      </c>
      <c r="B3404" s="3"/>
      <c r="C3404" s="18" t="s">
        <v>6589</v>
      </c>
      <c r="D3404" s="14" t="s">
        <v>8183</v>
      </c>
    </row>
    <row r="3405" spans="1:4" hidden="1" x14ac:dyDescent="0.25">
      <c r="A3405" s="12" t="s">
        <v>6826</v>
      </c>
      <c r="B3405" s="3"/>
      <c r="C3405" s="18" t="s">
        <v>6590</v>
      </c>
      <c r="D3405" s="14" t="s">
        <v>8183</v>
      </c>
    </row>
    <row r="3406" spans="1:4" hidden="1" x14ac:dyDescent="0.25">
      <c r="A3406" s="12" t="s">
        <v>6827</v>
      </c>
      <c r="B3406" s="3"/>
      <c r="C3406" s="18" t="s">
        <v>6591</v>
      </c>
      <c r="D3406" s="14" t="s">
        <v>8183</v>
      </c>
    </row>
    <row r="3407" spans="1:4" hidden="1" x14ac:dyDescent="0.25">
      <c r="A3407" s="12" t="s">
        <v>6828</v>
      </c>
      <c r="B3407" s="3"/>
      <c r="C3407" s="18" t="s">
        <v>6592</v>
      </c>
      <c r="D3407" s="14" t="s">
        <v>8183</v>
      </c>
    </row>
    <row r="3408" spans="1:4" hidden="1" x14ac:dyDescent="0.25">
      <c r="A3408" s="12" t="s">
        <v>6829</v>
      </c>
      <c r="B3408" s="3"/>
      <c r="C3408" s="18" t="s">
        <v>6593</v>
      </c>
      <c r="D3408" s="14" t="s">
        <v>8183</v>
      </c>
    </row>
    <row r="3409" spans="1:4" hidden="1" x14ac:dyDescent="0.25">
      <c r="A3409" s="12" t="s">
        <v>6830</v>
      </c>
      <c r="B3409" s="3"/>
      <c r="C3409" s="18" t="s">
        <v>6594</v>
      </c>
      <c r="D3409" s="14" t="s">
        <v>8183</v>
      </c>
    </row>
    <row r="3410" spans="1:4" hidden="1" x14ac:dyDescent="0.25">
      <c r="A3410" s="12" t="s">
        <v>6831</v>
      </c>
      <c r="B3410" s="3"/>
      <c r="C3410" s="18" t="s">
        <v>6595</v>
      </c>
      <c r="D3410" s="14" t="s">
        <v>8183</v>
      </c>
    </row>
    <row r="3411" spans="1:4" hidden="1" x14ac:dyDescent="0.25">
      <c r="A3411" s="12" t="s">
        <v>6832</v>
      </c>
      <c r="B3411" s="3"/>
      <c r="C3411" s="18" t="s">
        <v>6596</v>
      </c>
      <c r="D3411" s="14" t="s">
        <v>8183</v>
      </c>
    </row>
    <row r="3412" spans="1:4" hidden="1" x14ac:dyDescent="0.25">
      <c r="A3412" s="12" t="s">
        <v>6833</v>
      </c>
      <c r="B3412" s="3"/>
      <c r="C3412" s="18" t="s">
        <v>6597</v>
      </c>
      <c r="D3412" s="14" t="s">
        <v>8183</v>
      </c>
    </row>
    <row r="3413" spans="1:4" hidden="1" x14ac:dyDescent="0.25">
      <c r="A3413" s="12" t="s">
        <v>6834</v>
      </c>
      <c r="B3413" s="3"/>
      <c r="C3413" s="18" t="s">
        <v>6598</v>
      </c>
      <c r="D3413" s="14" t="s">
        <v>8183</v>
      </c>
    </row>
    <row r="3414" spans="1:4" hidden="1" x14ac:dyDescent="0.25">
      <c r="A3414" s="12" t="s">
        <v>6835</v>
      </c>
      <c r="B3414" s="3"/>
      <c r="C3414" s="18" t="s">
        <v>6599</v>
      </c>
      <c r="D3414" s="14" t="s">
        <v>8183</v>
      </c>
    </row>
    <row r="3415" spans="1:4" hidden="1" x14ac:dyDescent="0.25">
      <c r="A3415" s="12" t="s">
        <v>6836</v>
      </c>
      <c r="B3415" s="3"/>
      <c r="C3415" s="18" t="s">
        <v>6600</v>
      </c>
      <c r="D3415" s="14" t="s">
        <v>8183</v>
      </c>
    </row>
    <row r="3416" spans="1:4" hidden="1" x14ac:dyDescent="0.25">
      <c r="A3416" s="12" t="s">
        <v>6837</v>
      </c>
      <c r="B3416" s="3"/>
      <c r="C3416" s="18" t="s">
        <v>6601</v>
      </c>
      <c r="D3416" s="14" t="s">
        <v>8183</v>
      </c>
    </row>
    <row r="3417" spans="1:4" hidden="1" x14ac:dyDescent="0.25">
      <c r="A3417" s="12" t="s">
        <v>6838</v>
      </c>
      <c r="B3417" s="3"/>
      <c r="C3417" s="18" t="s">
        <v>6602</v>
      </c>
      <c r="D3417" s="14" t="s">
        <v>8183</v>
      </c>
    </row>
    <row r="3418" spans="1:4" hidden="1" x14ac:dyDescent="0.25">
      <c r="A3418" s="12" t="s">
        <v>6839</v>
      </c>
      <c r="B3418" s="3"/>
      <c r="C3418" s="18" t="s">
        <v>6603</v>
      </c>
      <c r="D3418" s="14" t="s">
        <v>8183</v>
      </c>
    </row>
    <row r="3419" spans="1:4" hidden="1" x14ac:dyDescent="0.25">
      <c r="A3419" s="12" t="s">
        <v>6840</v>
      </c>
      <c r="B3419" s="3"/>
      <c r="C3419" s="18" t="s">
        <v>6604</v>
      </c>
      <c r="D3419" s="14" t="s">
        <v>8183</v>
      </c>
    </row>
    <row r="3420" spans="1:4" hidden="1" x14ac:dyDescent="0.25">
      <c r="A3420" s="12" t="s">
        <v>6841</v>
      </c>
      <c r="B3420" s="3"/>
      <c r="C3420" s="18" t="s">
        <v>6605</v>
      </c>
      <c r="D3420" s="14" t="s">
        <v>8183</v>
      </c>
    </row>
    <row r="3421" spans="1:4" hidden="1" x14ac:dyDescent="0.25">
      <c r="A3421" s="12" t="s">
        <v>6842</v>
      </c>
      <c r="B3421" s="3"/>
      <c r="C3421" s="18" t="s">
        <v>6606</v>
      </c>
      <c r="D3421" s="14" t="s">
        <v>8183</v>
      </c>
    </row>
    <row r="3422" spans="1:4" hidden="1" x14ac:dyDescent="0.25">
      <c r="A3422" s="12" t="s">
        <v>6843</v>
      </c>
      <c r="B3422" s="3"/>
      <c r="C3422" s="18" t="s">
        <v>6607</v>
      </c>
      <c r="D3422" s="14" t="s">
        <v>8183</v>
      </c>
    </row>
    <row r="3423" spans="1:4" hidden="1" x14ac:dyDescent="0.25">
      <c r="A3423" s="12" t="s">
        <v>6844</v>
      </c>
      <c r="B3423" s="3"/>
      <c r="C3423" s="18" t="s">
        <v>6608</v>
      </c>
      <c r="D3423" s="14" t="s">
        <v>8183</v>
      </c>
    </row>
    <row r="3424" spans="1:4" hidden="1" x14ac:dyDescent="0.25">
      <c r="A3424" s="12" t="s">
        <v>6845</v>
      </c>
      <c r="B3424" s="3"/>
      <c r="C3424" s="18" t="s">
        <v>6609</v>
      </c>
      <c r="D3424" s="14" t="s">
        <v>8183</v>
      </c>
    </row>
    <row r="3425" spans="1:4" hidden="1" x14ac:dyDescent="0.25">
      <c r="A3425" s="12" t="s">
        <v>6846</v>
      </c>
      <c r="B3425" s="3"/>
      <c r="C3425" s="18" t="s">
        <v>6610</v>
      </c>
      <c r="D3425" s="14" t="s">
        <v>8183</v>
      </c>
    </row>
    <row r="3426" spans="1:4" hidden="1" x14ac:dyDescent="0.25">
      <c r="A3426" s="12" t="s">
        <v>6847</v>
      </c>
      <c r="B3426" s="3"/>
      <c r="C3426" s="18" t="s">
        <v>6611</v>
      </c>
      <c r="D3426" s="14" t="s">
        <v>8183</v>
      </c>
    </row>
    <row r="3427" spans="1:4" hidden="1" x14ac:dyDescent="0.25">
      <c r="A3427" s="12" t="s">
        <v>6848</v>
      </c>
      <c r="B3427" s="3"/>
      <c r="C3427" s="18" t="s">
        <v>6612</v>
      </c>
      <c r="D3427" s="14" t="s">
        <v>8183</v>
      </c>
    </row>
    <row r="3428" spans="1:4" hidden="1" x14ac:dyDescent="0.25">
      <c r="A3428" s="12" t="s">
        <v>6849</v>
      </c>
      <c r="B3428" s="3"/>
      <c r="C3428" s="18" t="s">
        <v>6613</v>
      </c>
      <c r="D3428" s="14" t="s">
        <v>8183</v>
      </c>
    </row>
    <row r="3429" spans="1:4" hidden="1" x14ac:dyDescent="0.25">
      <c r="A3429" s="12" t="s">
        <v>6850</v>
      </c>
      <c r="B3429" s="3"/>
      <c r="C3429" s="18" t="s">
        <v>6614</v>
      </c>
      <c r="D3429" s="14" t="s">
        <v>8183</v>
      </c>
    </row>
    <row r="3430" spans="1:4" hidden="1" x14ac:dyDescent="0.25">
      <c r="A3430" s="12" t="s">
        <v>6851</v>
      </c>
      <c r="B3430" s="3"/>
      <c r="C3430" s="18" t="s">
        <v>6615</v>
      </c>
      <c r="D3430" s="14" t="s">
        <v>8183</v>
      </c>
    </row>
    <row r="3431" spans="1:4" hidden="1" x14ac:dyDescent="0.25">
      <c r="A3431" s="12" t="s">
        <v>6852</v>
      </c>
      <c r="B3431" s="3"/>
      <c r="C3431" s="18" t="s">
        <v>6616</v>
      </c>
      <c r="D3431" s="14" t="s">
        <v>8183</v>
      </c>
    </row>
    <row r="3432" spans="1:4" hidden="1" x14ac:dyDescent="0.25">
      <c r="A3432" s="12" t="s">
        <v>6853</v>
      </c>
      <c r="B3432" s="3"/>
      <c r="C3432" s="18" t="s">
        <v>6617</v>
      </c>
      <c r="D3432" s="14" t="s">
        <v>8183</v>
      </c>
    </row>
    <row r="3433" spans="1:4" hidden="1" x14ac:dyDescent="0.25">
      <c r="A3433" s="12" t="s">
        <v>6854</v>
      </c>
      <c r="B3433" s="3"/>
      <c r="C3433" s="18" t="s">
        <v>6618</v>
      </c>
      <c r="D3433" s="14" t="s">
        <v>8183</v>
      </c>
    </row>
    <row r="3434" spans="1:4" hidden="1" x14ac:dyDescent="0.25">
      <c r="A3434" s="12" t="s">
        <v>6855</v>
      </c>
      <c r="B3434" s="3"/>
      <c r="C3434" s="18" t="s">
        <v>6619</v>
      </c>
      <c r="D3434" s="14" t="s">
        <v>8183</v>
      </c>
    </row>
    <row r="3435" spans="1:4" hidden="1" x14ac:dyDescent="0.25">
      <c r="A3435" s="12" t="s">
        <v>6856</v>
      </c>
      <c r="B3435" s="3"/>
      <c r="C3435" s="18" t="s">
        <v>6620</v>
      </c>
      <c r="D3435" s="14" t="s">
        <v>8183</v>
      </c>
    </row>
    <row r="3436" spans="1:4" hidden="1" x14ac:dyDescent="0.25">
      <c r="A3436" s="12" t="s">
        <v>6857</v>
      </c>
      <c r="B3436" s="3"/>
      <c r="C3436" s="18" t="s">
        <v>6621</v>
      </c>
      <c r="D3436" s="14" t="s">
        <v>8183</v>
      </c>
    </row>
    <row r="3437" spans="1:4" hidden="1" x14ac:dyDescent="0.25">
      <c r="A3437" s="12" t="s">
        <v>6858</v>
      </c>
      <c r="B3437" s="3"/>
      <c r="C3437" s="18" t="s">
        <v>6622</v>
      </c>
      <c r="D3437" s="14" t="s">
        <v>8183</v>
      </c>
    </row>
    <row r="3438" spans="1:4" hidden="1" x14ac:dyDescent="0.25">
      <c r="A3438" s="12" t="s">
        <v>6859</v>
      </c>
      <c r="B3438" s="3"/>
      <c r="C3438" s="19" t="s">
        <v>6623</v>
      </c>
      <c r="D3438" s="14" t="s">
        <v>8183</v>
      </c>
    </row>
    <row r="3439" spans="1:4" hidden="1" x14ac:dyDescent="0.25">
      <c r="A3439" s="12" t="s">
        <v>6860</v>
      </c>
      <c r="B3439" s="3"/>
      <c r="C3439" s="19" t="s">
        <v>6624</v>
      </c>
      <c r="D3439" s="14" t="s">
        <v>8183</v>
      </c>
    </row>
    <row r="3440" spans="1:4" hidden="1" x14ac:dyDescent="0.25">
      <c r="A3440" s="12" t="s">
        <v>6861</v>
      </c>
      <c r="B3440" s="3"/>
      <c r="C3440" s="18" t="s">
        <v>6625</v>
      </c>
      <c r="D3440" s="14" t="s">
        <v>8183</v>
      </c>
    </row>
    <row r="3441" spans="1:4" hidden="1" x14ac:dyDescent="0.25">
      <c r="A3441" s="12" t="s">
        <v>6862</v>
      </c>
      <c r="B3441" s="3"/>
      <c r="C3441" s="18" t="s">
        <v>6626</v>
      </c>
      <c r="D3441" s="14" t="s">
        <v>8183</v>
      </c>
    </row>
    <row r="3442" spans="1:4" hidden="1" x14ac:dyDescent="0.25">
      <c r="A3442" s="12" t="s">
        <v>6863</v>
      </c>
      <c r="B3442" s="3"/>
      <c r="C3442" s="18" t="s">
        <v>6627</v>
      </c>
      <c r="D3442" s="14" t="s">
        <v>8183</v>
      </c>
    </row>
    <row r="3443" spans="1:4" hidden="1" x14ac:dyDescent="0.25">
      <c r="A3443" s="12" t="s">
        <v>6864</v>
      </c>
      <c r="B3443" s="3"/>
      <c r="C3443" s="18" t="s">
        <v>6628</v>
      </c>
      <c r="D3443" s="14" t="s">
        <v>8183</v>
      </c>
    </row>
    <row r="3444" spans="1:4" hidden="1" x14ac:dyDescent="0.25">
      <c r="A3444" s="12" t="s">
        <v>6865</v>
      </c>
      <c r="B3444" s="3"/>
      <c r="C3444" s="18" t="s">
        <v>6629</v>
      </c>
      <c r="D3444" s="14" t="s">
        <v>8183</v>
      </c>
    </row>
    <row r="3445" spans="1:4" hidden="1" x14ac:dyDescent="0.25">
      <c r="A3445" s="12" t="s">
        <v>6866</v>
      </c>
      <c r="B3445" s="3"/>
      <c r="C3445" s="18" t="s">
        <v>6630</v>
      </c>
      <c r="D3445" s="14" t="s">
        <v>8183</v>
      </c>
    </row>
    <row r="3446" spans="1:4" hidden="1" x14ac:dyDescent="0.25">
      <c r="A3446" s="12" t="s">
        <v>6867</v>
      </c>
      <c r="B3446" s="3"/>
      <c r="C3446" s="18" t="s">
        <v>6631</v>
      </c>
      <c r="D3446" s="14" t="s">
        <v>8183</v>
      </c>
    </row>
    <row r="3447" spans="1:4" hidden="1" x14ac:dyDescent="0.25">
      <c r="A3447" s="12" t="s">
        <v>6868</v>
      </c>
      <c r="B3447" s="3"/>
      <c r="C3447" s="18" t="s">
        <v>6632</v>
      </c>
      <c r="D3447" s="14" t="s">
        <v>8183</v>
      </c>
    </row>
    <row r="3448" spans="1:4" hidden="1" x14ac:dyDescent="0.25">
      <c r="A3448" s="12" t="s">
        <v>6869</v>
      </c>
      <c r="B3448" s="3"/>
      <c r="C3448" s="18" t="s">
        <v>6633</v>
      </c>
      <c r="D3448" s="14" t="s">
        <v>8183</v>
      </c>
    </row>
    <row r="3449" spans="1:4" hidden="1" x14ac:dyDescent="0.25">
      <c r="A3449" s="12" t="s">
        <v>6870</v>
      </c>
      <c r="B3449" s="3"/>
      <c r="C3449" s="18" t="s">
        <v>6634</v>
      </c>
      <c r="D3449" s="14" t="s">
        <v>8183</v>
      </c>
    </row>
    <row r="3450" spans="1:4" hidden="1" x14ac:dyDescent="0.25">
      <c r="A3450" s="12" t="s">
        <v>6871</v>
      </c>
      <c r="B3450" s="3"/>
      <c r="C3450" s="18" t="s">
        <v>6635</v>
      </c>
      <c r="D3450" s="14" t="s">
        <v>8183</v>
      </c>
    </row>
    <row r="3451" spans="1:4" hidden="1" x14ac:dyDescent="0.25">
      <c r="A3451" s="12" t="s">
        <v>6872</v>
      </c>
      <c r="B3451" s="3"/>
      <c r="C3451" s="18" t="s">
        <v>6636</v>
      </c>
      <c r="D3451" s="14" t="s">
        <v>8183</v>
      </c>
    </row>
    <row r="3452" spans="1:4" hidden="1" x14ac:dyDescent="0.25">
      <c r="A3452" s="12" t="s">
        <v>6873</v>
      </c>
      <c r="B3452" s="3"/>
      <c r="C3452" s="18" t="s">
        <v>6637</v>
      </c>
      <c r="D3452" s="14" t="s">
        <v>8183</v>
      </c>
    </row>
    <row r="3453" spans="1:4" hidden="1" x14ac:dyDescent="0.25">
      <c r="A3453" s="12" t="s">
        <v>6874</v>
      </c>
      <c r="B3453" s="3"/>
      <c r="C3453" s="18" t="s">
        <v>6638</v>
      </c>
      <c r="D3453" s="14" t="s">
        <v>8183</v>
      </c>
    </row>
    <row r="3454" spans="1:4" hidden="1" x14ac:dyDescent="0.25">
      <c r="A3454" s="12" t="s">
        <v>6875</v>
      </c>
      <c r="B3454" s="3"/>
      <c r="C3454" s="18" t="s">
        <v>6639</v>
      </c>
      <c r="D3454" s="14" t="s">
        <v>8183</v>
      </c>
    </row>
    <row r="3455" spans="1:4" hidden="1" x14ac:dyDescent="0.25">
      <c r="A3455" s="12" t="s">
        <v>6876</v>
      </c>
      <c r="B3455" s="3"/>
      <c r="C3455" s="18" t="s">
        <v>6640</v>
      </c>
      <c r="D3455" s="14" t="s">
        <v>8183</v>
      </c>
    </row>
    <row r="3456" spans="1:4" hidden="1" x14ac:dyDescent="0.25">
      <c r="A3456" s="12" t="s">
        <v>6877</v>
      </c>
      <c r="B3456" s="3"/>
      <c r="C3456" s="18" t="s">
        <v>6641</v>
      </c>
      <c r="D3456" s="14" t="s">
        <v>8183</v>
      </c>
    </row>
    <row r="3457" spans="1:4" hidden="1" x14ac:dyDescent="0.25">
      <c r="A3457" s="12" t="s">
        <v>6878</v>
      </c>
      <c r="B3457" s="3"/>
      <c r="C3457" s="18" t="s">
        <v>6642</v>
      </c>
      <c r="D3457" s="14" t="s">
        <v>8183</v>
      </c>
    </row>
    <row r="3458" spans="1:4" hidden="1" x14ac:dyDescent="0.25">
      <c r="A3458" s="12" t="s">
        <v>6879</v>
      </c>
      <c r="B3458" s="3"/>
      <c r="C3458" s="18" t="s">
        <v>6643</v>
      </c>
      <c r="D3458" s="14" t="s">
        <v>8183</v>
      </c>
    </row>
    <row r="3459" spans="1:4" hidden="1" x14ac:dyDescent="0.25">
      <c r="A3459" s="12" t="s">
        <v>6880</v>
      </c>
      <c r="B3459" s="3"/>
      <c r="C3459" s="18" t="s">
        <v>6644</v>
      </c>
      <c r="D3459" s="14" t="s">
        <v>8183</v>
      </c>
    </row>
    <row r="3460" spans="1:4" hidden="1" x14ac:dyDescent="0.25">
      <c r="A3460" s="12" t="s">
        <v>6881</v>
      </c>
      <c r="B3460" s="3"/>
      <c r="C3460" s="18" t="s">
        <v>6645</v>
      </c>
      <c r="D3460" s="14" t="s">
        <v>8183</v>
      </c>
    </row>
    <row r="3461" spans="1:4" hidden="1" x14ac:dyDescent="0.25">
      <c r="A3461" s="12" t="s">
        <v>6882</v>
      </c>
      <c r="B3461" s="3"/>
      <c r="C3461" s="18" t="s">
        <v>6646</v>
      </c>
      <c r="D3461" s="14" t="s">
        <v>8183</v>
      </c>
    </row>
    <row r="3462" spans="1:4" hidden="1" x14ac:dyDescent="0.25">
      <c r="A3462" s="12" t="s">
        <v>6883</v>
      </c>
      <c r="B3462" s="3"/>
      <c r="C3462" s="18" t="s">
        <v>6647</v>
      </c>
      <c r="D3462" s="14" t="s">
        <v>8183</v>
      </c>
    </row>
    <row r="3463" spans="1:4" hidden="1" x14ac:dyDescent="0.25">
      <c r="A3463" s="12" t="s">
        <v>6884</v>
      </c>
      <c r="B3463" s="3"/>
      <c r="C3463" s="18" t="s">
        <v>6648</v>
      </c>
      <c r="D3463" s="14" t="s">
        <v>8183</v>
      </c>
    </row>
    <row r="3464" spans="1:4" hidden="1" x14ac:dyDescent="0.25">
      <c r="A3464" s="12" t="s">
        <v>6885</v>
      </c>
      <c r="B3464" s="3"/>
      <c r="C3464" s="18" t="s">
        <v>6649</v>
      </c>
      <c r="D3464" s="14" t="s">
        <v>8183</v>
      </c>
    </row>
    <row r="3465" spans="1:4" hidden="1" x14ac:dyDescent="0.25">
      <c r="A3465" s="12" t="s">
        <v>6886</v>
      </c>
      <c r="B3465" s="3"/>
      <c r="C3465" s="18" t="s">
        <v>6650</v>
      </c>
      <c r="D3465" s="14" t="s">
        <v>8183</v>
      </c>
    </row>
    <row r="3466" spans="1:4" hidden="1" x14ac:dyDescent="0.25">
      <c r="A3466" s="12" t="s">
        <v>6887</v>
      </c>
      <c r="B3466" s="3"/>
      <c r="C3466" s="18" t="s">
        <v>6651</v>
      </c>
      <c r="D3466" s="14" t="s">
        <v>8183</v>
      </c>
    </row>
    <row r="3467" spans="1:4" hidden="1" x14ac:dyDescent="0.25">
      <c r="A3467" s="12" t="s">
        <v>6888</v>
      </c>
      <c r="B3467" s="3"/>
      <c r="C3467" s="18" t="s">
        <v>6652</v>
      </c>
      <c r="D3467" s="14" t="s">
        <v>8183</v>
      </c>
    </row>
    <row r="3468" spans="1:4" hidden="1" x14ac:dyDescent="0.25">
      <c r="A3468" s="12" t="s">
        <v>6889</v>
      </c>
      <c r="B3468" s="3"/>
      <c r="C3468" s="18" t="s">
        <v>6653</v>
      </c>
      <c r="D3468" s="14" t="s">
        <v>8183</v>
      </c>
    </row>
    <row r="3469" spans="1:4" hidden="1" x14ac:dyDescent="0.25">
      <c r="A3469" s="12" t="s">
        <v>6890</v>
      </c>
      <c r="B3469" s="3"/>
      <c r="C3469" s="18" t="s">
        <v>6654</v>
      </c>
      <c r="D3469" s="14" t="s">
        <v>8183</v>
      </c>
    </row>
    <row r="3470" spans="1:4" hidden="1" x14ac:dyDescent="0.25">
      <c r="A3470" s="12" t="s">
        <v>6891</v>
      </c>
      <c r="B3470" s="3"/>
      <c r="C3470" s="18" t="s">
        <v>6655</v>
      </c>
      <c r="D3470" s="14" t="s">
        <v>8183</v>
      </c>
    </row>
    <row r="3471" spans="1:4" hidden="1" x14ac:dyDescent="0.25">
      <c r="A3471" s="12" t="s">
        <v>6892</v>
      </c>
      <c r="B3471" s="3"/>
      <c r="C3471" s="18" t="s">
        <v>6656</v>
      </c>
      <c r="D3471" s="14" t="s">
        <v>8183</v>
      </c>
    </row>
    <row r="3472" spans="1:4" hidden="1" x14ac:dyDescent="0.25">
      <c r="A3472" s="12" t="s">
        <v>6893</v>
      </c>
      <c r="B3472" s="3"/>
      <c r="C3472" s="18" t="s">
        <v>6657</v>
      </c>
      <c r="D3472" s="14" t="s">
        <v>8183</v>
      </c>
    </row>
    <row r="3473" spans="1:4" hidden="1" x14ac:dyDescent="0.25">
      <c r="A3473" s="12" t="s">
        <v>6894</v>
      </c>
      <c r="B3473" s="3"/>
      <c r="C3473" s="18" t="s">
        <v>6658</v>
      </c>
      <c r="D3473" s="14" t="s">
        <v>8183</v>
      </c>
    </row>
    <row r="3474" spans="1:4" hidden="1" x14ac:dyDescent="0.25">
      <c r="A3474" s="12" t="s">
        <v>6895</v>
      </c>
      <c r="B3474" s="3"/>
      <c r="C3474" s="18" t="s">
        <v>6659</v>
      </c>
      <c r="D3474" s="14" t="s">
        <v>8183</v>
      </c>
    </row>
    <row r="3475" spans="1:4" hidden="1" x14ac:dyDescent="0.25">
      <c r="A3475" s="12" t="s">
        <v>6896</v>
      </c>
      <c r="B3475" s="3"/>
      <c r="C3475" s="19" t="s">
        <v>6660</v>
      </c>
      <c r="D3475" s="14" t="s">
        <v>8183</v>
      </c>
    </row>
    <row r="3476" spans="1:4" hidden="1" x14ac:dyDescent="0.25">
      <c r="A3476" s="12" t="s">
        <v>6897</v>
      </c>
      <c r="B3476" s="3"/>
      <c r="C3476" s="19" t="s">
        <v>6661</v>
      </c>
      <c r="D3476" s="14" t="s">
        <v>8183</v>
      </c>
    </row>
    <row r="3477" spans="1:4" hidden="1" x14ac:dyDescent="0.25">
      <c r="A3477" s="12" t="s">
        <v>6898</v>
      </c>
      <c r="B3477" s="3"/>
      <c r="C3477" s="18" t="s">
        <v>6662</v>
      </c>
      <c r="D3477" s="14" t="s">
        <v>8183</v>
      </c>
    </row>
    <row r="3478" spans="1:4" hidden="1" x14ac:dyDescent="0.25">
      <c r="A3478" s="12" t="s">
        <v>6899</v>
      </c>
      <c r="B3478" s="3"/>
      <c r="C3478" s="18" t="s">
        <v>6663</v>
      </c>
      <c r="D3478" s="14" t="s">
        <v>8183</v>
      </c>
    </row>
    <row r="3479" spans="1:4" hidden="1" x14ac:dyDescent="0.25">
      <c r="A3479" s="12" t="s">
        <v>6900</v>
      </c>
      <c r="B3479" s="3"/>
      <c r="C3479" s="18" t="s">
        <v>6664</v>
      </c>
      <c r="D3479" s="14" t="s">
        <v>8183</v>
      </c>
    </row>
    <row r="3480" spans="1:4" hidden="1" x14ac:dyDescent="0.25">
      <c r="A3480" s="12" t="s">
        <v>6901</v>
      </c>
      <c r="B3480" s="3"/>
      <c r="C3480" s="18" t="s">
        <v>6665</v>
      </c>
      <c r="D3480" s="14" t="s">
        <v>8183</v>
      </c>
    </row>
    <row r="3481" spans="1:4" hidden="1" x14ac:dyDescent="0.25">
      <c r="A3481" s="12" t="s">
        <v>6902</v>
      </c>
      <c r="B3481" s="3"/>
      <c r="C3481" s="18" t="s">
        <v>6441</v>
      </c>
      <c r="D3481" s="14" t="s">
        <v>8183</v>
      </c>
    </row>
    <row r="3482" spans="1:4" hidden="1" x14ac:dyDescent="0.25">
      <c r="A3482" s="12" t="s">
        <v>6903</v>
      </c>
      <c r="B3482" s="3"/>
      <c r="C3482" s="18" t="s">
        <v>6442</v>
      </c>
      <c r="D3482" s="14" t="s">
        <v>8183</v>
      </c>
    </row>
    <row r="3483" spans="1:4" hidden="1" x14ac:dyDescent="0.25">
      <c r="A3483" s="12" t="s">
        <v>6904</v>
      </c>
      <c r="B3483" s="3"/>
      <c r="C3483" s="18" t="s">
        <v>6443</v>
      </c>
      <c r="D3483" s="14" t="s">
        <v>8183</v>
      </c>
    </row>
    <row r="3484" spans="1:4" hidden="1" x14ac:dyDescent="0.25">
      <c r="A3484" s="12" t="s">
        <v>6905</v>
      </c>
      <c r="B3484" s="3"/>
      <c r="C3484" s="18" t="s">
        <v>6444</v>
      </c>
      <c r="D3484" s="14" t="s">
        <v>8183</v>
      </c>
    </row>
    <row r="3485" spans="1:4" hidden="1" x14ac:dyDescent="0.25">
      <c r="A3485" s="12" t="s">
        <v>6906</v>
      </c>
      <c r="B3485" s="3"/>
      <c r="C3485" s="18" t="s">
        <v>6445</v>
      </c>
      <c r="D3485" s="14" t="s">
        <v>8183</v>
      </c>
    </row>
    <row r="3486" spans="1:4" hidden="1" x14ac:dyDescent="0.25">
      <c r="A3486" s="12" t="s">
        <v>6907</v>
      </c>
      <c r="B3486" s="3"/>
      <c r="C3486" s="18" t="s">
        <v>6446</v>
      </c>
      <c r="D3486" s="14" t="s">
        <v>8183</v>
      </c>
    </row>
    <row r="3487" spans="1:4" hidden="1" x14ac:dyDescent="0.25">
      <c r="A3487" s="12" t="s">
        <v>6908</v>
      </c>
      <c r="B3487" s="3"/>
      <c r="C3487" s="18" t="s">
        <v>6447</v>
      </c>
      <c r="D3487" s="14" t="s">
        <v>8183</v>
      </c>
    </row>
    <row r="3488" spans="1:4" hidden="1" x14ac:dyDescent="0.25">
      <c r="A3488" s="12" t="s">
        <v>6909</v>
      </c>
      <c r="B3488" s="3"/>
      <c r="C3488" s="18" t="s">
        <v>6448</v>
      </c>
      <c r="D3488" s="14" t="s">
        <v>8183</v>
      </c>
    </row>
    <row r="3489" spans="1:4" hidden="1" x14ac:dyDescent="0.25">
      <c r="A3489" s="12" t="s">
        <v>6910</v>
      </c>
      <c r="B3489" s="3"/>
      <c r="C3489" s="18" t="s">
        <v>6449</v>
      </c>
      <c r="D3489" s="14" t="s">
        <v>8183</v>
      </c>
    </row>
    <row r="3490" spans="1:4" hidden="1" x14ac:dyDescent="0.25">
      <c r="A3490" s="12" t="s">
        <v>6911</v>
      </c>
      <c r="B3490" s="3"/>
      <c r="C3490" s="18" t="s">
        <v>6450</v>
      </c>
      <c r="D3490" s="14" t="s">
        <v>8183</v>
      </c>
    </row>
    <row r="3491" spans="1:4" hidden="1" x14ac:dyDescent="0.25">
      <c r="A3491" s="12" t="s">
        <v>6912</v>
      </c>
      <c r="B3491" s="3"/>
      <c r="C3491" s="18" t="s">
        <v>6451</v>
      </c>
      <c r="D3491" s="14" t="s">
        <v>8183</v>
      </c>
    </row>
    <row r="3492" spans="1:4" hidden="1" x14ac:dyDescent="0.25">
      <c r="A3492" s="12" t="s">
        <v>6913</v>
      </c>
      <c r="B3492" s="3"/>
      <c r="C3492" s="18" t="s">
        <v>6452</v>
      </c>
      <c r="D3492" s="14" t="s">
        <v>8183</v>
      </c>
    </row>
    <row r="3493" spans="1:4" hidden="1" x14ac:dyDescent="0.25">
      <c r="A3493" s="12" t="s">
        <v>6914</v>
      </c>
      <c r="B3493" s="3"/>
      <c r="C3493" s="18" t="s">
        <v>6453</v>
      </c>
      <c r="D3493" s="14" t="s">
        <v>8183</v>
      </c>
    </row>
    <row r="3494" spans="1:4" hidden="1" x14ac:dyDescent="0.25">
      <c r="A3494" s="12" t="s">
        <v>6915</v>
      </c>
      <c r="B3494" s="3"/>
      <c r="C3494" s="18" t="s">
        <v>6454</v>
      </c>
      <c r="D3494" s="14" t="s">
        <v>8183</v>
      </c>
    </row>
    <row r="3495" spans="1:4" hidden="1" x14ac:dyDescent="0.25">
      <c r="A3495" s="12" t="s">
        <v>6916</v>
      </c>
      <c r="B3495" s="3"/>
      <c r="C3495" s="18" t="s">
        <v>6455</v>
      </c>
      <c r="D3495" s="14" t="s">
        <v>8183</v>
      </c>
    </row>
    <row r="3496" spans="1:4" hidden="1" x14ac:dyDescent="0.25">
      <c r="A3496" s="12" t="s">
        <v>6917</v>
      </c>
      <c r="B3496" s="3"/>
      <c r="C3496" s="18" t="s">
        <v>6456</v>
      </c>
      <c r="D3496" s="14" t="s">
        <v>8183</v>
      </c>
    </row>
    <row r="3497" spans="1:4" hidden="1" x14ac:dyDescent="0.25">
      <c r="A3497" s="12" t="s">
        <v>6918</v>
      </c>
      <c r="B3497" s="3"/>
      <c r="C3497" s="18" t="s">
        <v>6457</v>
      </c>
      <c r="D3497" s="14" t="s">
        <v>8183</v>
      </c>
    </row>
    <row r="3498" spans="1:4" hidden="1" x14ac:dyDescent="0.25">
      <c r="A3498" s="12" t="s">
        <v>6919</v>
      </c>
      <c r="B3498" s="3"/>
      <c r="C3498" s="18" t="s">
        <v>6458</v>
      </c>
      <c r="D3498" s="14" t="s">
        <v>8183</v>
      </c>
    </row>
    <row r="3499" spans="1:4" hidden="1" x14ac:dyDescent="0.25">
      <c r="A3499" s="12" t="s">
        <v>6920</v>
      </c>
      <c r="B3499" s="3"/>
      <c r="C3499" s="18" t="s">
        <v>6459</v>
      </c>
      <c r="D3499" s="14" t="s">
        <v>8183</v>
      </c>
    </row>
    <row r="3500" spans="1:4" hidden="1" x14ac:dyDescent="0.25">
      <c r="A3500" s="12" t="s">
        <v>6921</v>
      </c>
      <c r="B3500" s="3"/>
      <c r="C3500" s="18" t="s">
        <v>6460</v>
      </c>
      <c r="D3500" s="14" t="s">
        <v>8183</v>
      </c>
    </row>
    <row r="3501" spans="1:4" hidden="1" x14ac:dyDescent="0.25">
      <c r="A3501" s="12" t="s">
        <v>6922</v>
      </c>
      <c r="B3501" s="3"/>
      <c r="C3501" s="18" t="s">
        <v>6461</v>
      </c>
      <c r="D3501" s="14" t="s">
        <v>8183</v>
      </c>
    </row>
    <row r="3502" spans="1:4" hidden="1" x14ac:dyDescent="0.25">
      <c r="A3502" s="12" t="s">
        <v>6923</v>
      </c>
      <c r="B3502" s="3"/>
      <c r="C3502" s="18" t="s">
        <v>6462</v>
      </c>
      <c r="D3502" s="14" t="s">
        <v>8183</v>
      </c>
    </row>
    <row r="3503" spans="1:4" hidden="1" x14ac:dyDescent="0.25">
      <c r="A3503" s="12" t="s">
        <v>6924</v>
      </c>
      <c r="B3503" s="3"/>
      <c r="C3503" s="18" t="s">
        <v>6463</v>
      </c>
      <c r="D3503" s="14" t="s">
        <v>8183</v>
      </c>
    </row>
    <row r="3504" spans="1:4" hidden="1" x14ac:dyDescent="0.25">
      <c r="A3504" s="12" t="s">
        <v>6925</v>
      </c>
      <c r="B3504" s="3"/>
      <c r="C3504" s="18" t="s">
        <v>6464</v>
      </c>
      <c r="D3504" s="14" t="s">
        <v>8183</v>
      </c>
    </row>
    <row r="3505" spans="1:4" hidden="1" x14ac:dyDescent="0.25">
      <c r="A3505" s="12" t="s">
        <v>6926</v>
      </c>
      <c r="B3505" s="3"/>
      <c r="C3505" s="18" t="s">
        <v>6465</v>
      </c>
      <c r="D3505" s="14" t="s">
        <v>8183</v>
      </c>
    </row>
    <row r="3506" spans="1:4" hidden="1" x14ac:dyDescent="0.25">
      <c r="A3506" s="12" t="s">
        <v>6927</v>
      </c>
      <c r="B3506" s="3"/>
      <c r="C3506" s="18" t="s">
        <v>6466</v>
      </c>
      <c r="D3506" s="14" t="s">
        <v>8183</v>
      </c>
    </row>
    <row r="3507" spans="1:4" hidden="1" x14ac:dyDescent="0.25">
      <c r="A3507" s="12" t="s">
        <v>6928</v>
      </c>
      <c r="B3507" s="3"/>
      <c r="C3507" s="18" t="s">
        <v>6467</v>
      </c>
      <c r="D3507" s="14" t="s">
        <v>8183</v>
      </c>
    </row>
    <row r="3508" spans="1:4" hidden="1" x14ac:dyDescent="0.25">
      <c r="A3508" s="12" t="s">
        <v>6929</v>
      </c>
      <c r="B3508" s="3"/>
      <c r="C3508" s="18" t="s">
        <v>6468</v>
      </c>
      <c r="D3508" s="14" t="s">
        <v>8183</v>
      </c>
    </row>
    <row r="3509" spans="1:4" hidden="1" x14ac:dyDescent="0.25">
      <c r="A3509" s="12" t="s">
        <v>6930</v>
      </c>
      <c r="B3509" s="3"/>
      <c r="C3509" s="18" t="s">
        <v>6469</v>
      </c>
      <c r="D3509" s="14" t="s">
        <v>8183</v>
      </c>
    </row>
    <row r="3510" spans="1:4" hidden="1" x14ac:dyDescent="0.25">
      <c r="A3510" s="12" t="s">
        <v>6931</v>
      </c>
      <c r="B3510" s="3"/>
      <c r="C3510" s="18" t="s">
        <v>6470</v>
      </c>
      <c r="D3510" s="14" t="s">
        <v>8183</v>
      </c>
    </row>
    <row r="3511" spans="1:4" hidden="1" x14ac:dyDescent="0.25">
      <c r="A3511" s="12" t="s">
        <v>6932</v>
      </c>
      <c r="B3511" s="3"/>
      <c r="C3511" s="18" t="s">
        <v>6471</v>
      </c>
      <c r="D3511" s="14" t="s">
        <v>8183</v>
      </c>
    </row>
    <row r="3512" spans="1:4" hidden="1" x14ac:dyDescent="0.25">
      <c r="A3512" s="12" t="s">
        <v>6933</v>
      </c>
      <c r="B3512" s="3"/>
      <c r="C3512" s="18" t="s">
        <v>6472</v>
      </c>
      <c r="D3512" s="14" t="s">
        <v>8183</v>
      </c>
    </row>
    <row r="3513" spans="1:4" hidden="1" x14ac:dyDescent="0.25">
      <c r="A3513" s="12" t="s">
        <v>6934</v>
      </c>
      <c r="B3513" s="3"/>
      <c r="C3513" s="19" t="s">
        <v>6473</v>
      </c>
      <c r="D3513" s="14" t="s">
        <v>8183</v>
      </c>
    </row>
    <row r="3514" spans="1:4" hidden="1" x14ac:dyDescent="0.25">
      <c r="A3514" s="12" t="s">
        <v>6935</v>
      </c>
      <c r="B3514" s="3"/>
      <c r="C3514" s="19" t="s">
        <v>6474</v>
      </c>
      <c r="D3514" s="14" t="s">
        <v>8183</v>
      </c>
    </row>
    <row r="3515" spans="1:4" hidden="1" x14ac:dyDescent="0.25">
      <c r="A3515" s="12" t="s">
        <v>6936</v>
      </c>
      <c r="B3515" s="3"/>
      <c r="C3515" s="18" t="s">
        <v>6475</v>
      </c>
      <c r="D3515" s="14" t="s">
        <v>8183</v>
      </c>
    </row>
    <row r="3516" spans="1:4" hidden="1" x14ac:dyDescent="0.25">
      <c r="A3516" s="12" t="s">
        <v>6937</v>
      </c>
      <c r="B3516" s="3"/>
      <c r="C3516" s="18" t="s">
        <v>6476</v>
      </c>
      <c r="D3516" s="14" t="s">
        <v>8183</v>
      </c>
    </row>
    <row r="3517" spans="1:4" hidden="1" x14ac:dyDescent="0.25">
      <c r="A3517" s="12" t="s">
        <v>6938</v>
      </c>
      <c r="B3517" s="3"/>
      <c r="C3517" s="18" t="s">
        <v>6477</v>
      </c>
      <c r="D3517" s="14" t="s">
        <v>8183</v>
      </c>
    </row>
    <row r="3518" spans="1:4" hidden="1" x14ac:dyDescent="0.25">
      <c r="A3518" s="12" t="s">
        <v>6939</v>
      </c>
      <c r="B3518" s="3"/>
      <c r="C3518" s="18" t="s">
        <v>6478</v>
      </c>
      <c r="D3518" s="14" t="s">
        <v>8183</v>
      </c>
    </row>
    <row r="3519" spans="1:4" hidden="1" x14ac:dyDescent="0.25">
      <c r="A3519" s="12" t="s">
        <v>6940</v>
      </c>
      <c r="B3519" s="3"/>
      <c r="C3519" s="18" t="s">
        <v>6479</v>
      </c>
      <c r="D3519" s="14" t="s">
        <v>8183</v>
      </c>
    </row>
    <row r="3520" spans="1:4" hidden="1" x14ac:dyDescent="0.25">
      <c r="A3520" s="12" t="s">
        <v>6941</v>
      </c>
      <c r="B3520" s="3"/>
      <c r="C3520" s="18" t="s">
        <v>6480</v>
      </c>
      <c r="D3520" s="14" t="s">
        <v>8183</v>
      </c>
    </row>
    <row r="3521" spans="1:4" hidden="1" x14ac:dyDescent="0.25">
      <c r="A3521" s="12" t="s">
        <v>6942</v>
      </c>
      <c r="B3521" s="3"/>
      <c r="C3521" s="18" t="s">
        <v>6481</v>
      </c>
      <c r="D3521" s="14" t="s">
        <v>8183</v>
      </c>
    </row>
    <row r="3522" spans="1:4" hidden="1" x14ac:dyDescent="0.25">
      <c r="A3522" s="12" t="s">
        <v>6943</v>
      </c>
      <c r="B3522" s="3"/>
      <c r="C3522" s="18" t="s">
        <v>6482</v>
      </c>
      <c r="D3522" s="14" t="s">
        <v>8183</v>
      </c>
    </row>
    <row r="3523" spans="1:4" hidden="1" x14ac:dyDescent="0.25">
      <c r="A3523" s="12" t="s">
        <v>6944</v>
      </c>
      <c r="B3523" s="3"/>
      <c r="C3523" s="18" t="s">
        <v>6483</v>
      </c>
      <c r="D3523" s="14" t="s">
        <v>8183</v>
      </c>
    </row>
    <row r="3524" spans="1:4" hidden="1" x14ac:dyDescent="0.25">
      <c r="A3524" s="12" t="s">
        <v>6945</v>
      </c>
      <c r="B3524" s="3"/>
      <c r="C3524" s="18" t="s">
        <v>6484</v>
      </c>
      <c r="D3524" s="14" t="s">
        <v>8183</v>
      </c>
    </row>
    <row r="3525" spans="1:4" hidden="1" x14ac:dyDescent="0.25">
      <c r="A3525" s="12" t="s">
        <v>6946</v>
      </c>
      <c r="B3525" s="3"/>
      <c r="C3525" s="18" t="s">
        <v>6485</v>
      </c>
      <c r="D3525" s="14" t="s">
        <v>8183</v>
      </c>
    </row>
    <row r="3526" spans="1:4" hidden="1" x14ac:dyDescent="0.25">
      <c r="A3526" s="12" t="s">
        <v>6947</v>
      </c>
      <c r="B3526" s="3"/>
      <c r="C3526" s="18" t="s">
        <v>6486</v>
      </c>
      <c r="D3526" s="14" t="s">
        <v>8183</v>
      </c>
    </row>
    <row r="3527" spans="1:4" hidden="1" x14ac:dyDescent="0.25">
      <c r="A3527" s="12" t="s">
        <v>6948</v>
      </c>
      <c r="B3527" s="3"/>
      <c r="C3527" s="18" t="s">
        <v>6487</v>
      </c>
      <c r="D3527" s="14" t="s">
        <v>8183</v>
      </c>
    </row>
    <row r="3528" spans="1:4" hidden="1" x14ac:dyDescent="0.25">
      <c r="A3528" s="12" t="s">
        <v>6949</v>
      </c>
      <c r="B3528" s="3"/>
      <c r="C3528" s="18" t="s">
        <v>6488</v>
      </c>
      <c r="D3528" s="14" t="s">
        <v>8183</v>
      </c>
    </row>
    <row r="3529" spans="1:4" hidden="1" x14ac:dyDescent="0.25">
      <c r="A3529" s="12" t="s">
        <v>6950</v>
      </c>
      <c r="B3529" s="3"/>
      <c r="C3529" s="18" t="s">
        <v>6489</v>
      </c>
      <c r="D3529" s="14" t="s">
        <v>8183</v>
      </c>
    </row>
    <row r="3530" spans="1:4" hidden="1" x14ac:dyDescent="0.25">
      <c r="A3530" s="12" t="s">
        <v>6951</v>
      </c>
      <c r="B3530" s="3"/>
      <c r="C3530" s="18" t="s">
        <v>6490</v>
      </c>
      <c r="D3530" s="14" t="s">
        <v>8183</v>
      </c>
    </row>
    <row r="3531" spans="1:4" hidden="1" x14ac:dyDescent="0.25">
      <c r="A3531" s="12" t="s">
        <v>6952</v>
      </c>
      <c r="B3531" s="3"/>
      <c r="C3531" s="18" t="s">
        <v>6491</v>
      </c>
      <c r="D3531" s="14" t="s">
        <v>8183</v>
      </c>
    </row>
    <row r="3532" spans="1:4" hidden="1" x14ac:dyDescent="0.25">
      <c r="A3532" s="12" t="s">
        <v>6953</v>
      </c>
      <c r="B3532" s="3"/>
      <c r="C3532" s="18" t="s">
        <v>6492</v>
      </c>
      <c r="D3532" s="14" t="s">
        <v>8183</v>
      </c>
    </row>
    <row r="3533" spans="1:4" hidden="1" x14ac:dyDescent="0.25">
      <c r="A3533" s="12" t="s">
        <v>6954</v>
      </c>
      <c r="B3533" s="3"/>
      <c r="C3533" s="18" t="s">
        <v>6493</v>
      </c>
      <c r="D3533" s="14" t="s">
        <v>8183</v>
      </c>
    </row>
    <row r="3534" spans="1:4" hidden="1" x14ac:dyDescent="0.25">
      <c r="A3534" s="12" t="s">
        <v>6955</v>
      </c>
      <c r="B3534" s="3"/>
      <c r="C3534" s="18" t="s">
        <v>6494</v>
      </c>
      <c r="D3534" s="14" t="s">
        <v>8183</v>
      </c>
    </row>
    <row r="3535" spans="1:4" hidden="1" x14ac:dyDescent="0.25">
      <c r="A3535" s="12" t="s">
        <v>6956</v>
      </c>
      <c r="B3535" s="3"/>
      <c r="C3535" s="18" t="s">
        <v>6495</v>
      </c>
      <c r="D3535" s="14" t="s">
        <v>8183</v>
      </c>
    </row>
    <row r="3536" spans="1:4" hidden="1" x14ac:dyDescent="0.25">
      <c r="A3536" s="12" t="s">
        <v>6957</v>
      </c>
      <c r="B3536" s="3"/>
      <c r="C3536" s="18" t="s">
        <v>6496</v>
      </c>
      <c r="D3536" s="14" t="s">
        <v>8183</v>
      </c>
    </row>
    <row r="3537" spans="1:4" hidden="1" x14ac:dyDescent="0.25">
      <c r="A3537" s="12" t="s">
        <v>6958</v>
      </c>
      <c r="B3537" s="3"/>
      <c r="C3537" s="18" t="s">
        <v>6497</v>
      </c>
      <c r="D3537" s="14" t="s">
        <v>8183</v>
      </c>
    </row>
    <row r="3538" spans="1:4" hidden="1" x14ac:dyDescent="0.25">
      <c r="A3538" s="12" t="s">
        <v>6959</v>
      </c>
      <c r="B3538" s="3"/>
      <c r="C3538" s="18" t="s">
        <v>6498</v>
      </c>
      <c r="D3538" s="14" t="s">
        <v>8183</v>
      </c>
    </row>
    <row r="3539" spans="1:4" hidden="1" x14ac:dyDescent="0.25">
      <c r="A3539" s="12" t="s">
        <v>6960</v>
      </c>
      <c r="B3539" s="3"/>
      <c r="C3539" s="18" t="s">
        <v>6499</v>
      </c>
      <c r="D3539" s="14" t="s">
        <v>8183</v>
      </c>
    </row>
    <row r="3540" spans="1:4" hidden="1" x14ac:dyDescent="0.25">
      <c r="A3540" s="12" t="s">
        <v>6961</v>
      </c>
      <c r="B3540" s="3"/>
      <c r="C3540" s="18" t="s">
        <v>6500</v>
      </c>
      <c r="D3540" s="14" t="s">
        <v>8183</v>
      </c>
    </row>
    <row r="3541" spans="1:4" hidden="1" x14ac:dyDescent="0.25">
      <c r="A3541" s="12" t="s">
        <v>6962</v>
      </c>
      <c r="B3541" s="3"/>
      <c r="C3541" s="18" t="s">
        <v>6501</v>
      </c>
      <c r="D3541" s="14" t="s">
        <v>8183</v>
      </c>
    </row>
    <row r="3542" spans="1:4" hidden="1" x14ac:dyDescent="0.25">
      <c r="A3542" s="12" t="s">
        <v>6963</v>
      </c>
      <c r="B3542" s="3"/>
      <c r="C3542" s="18" t="s">
        <v>6502</v>
      </c>
      <c r="D3542" s="14" t="s">
        <v>8183</v>
      </c>
    </row>
    <row r="3543" spans="1:4" hidden="1" x14ac:dyDescent="0.25">
      <c r="A3543" s="12" t="s">
        <v>6964</v>
      </c>
      <c r="B3543" s="3"/>
      <c r="C3543" s="18" t="s">
        <v>6503</v>
      </c>
      <c r="D3543" s="14" t="s">
        <v>8183</v>
      </c>
    </row>
    <row r="3544" spans="1:4" hidden="1" x14ac:dyDescent="0.25">
      <c r="A3544" s="12" t="s">
        <v>6965</v>
      </c>
      <c r="B3544" s="3"/>
      <c r="C3544" s="18" t="s">
        <v>6504</v>
      </c>
      <c r="D3544" s="14" t="s">
        <v>8183</v>
      </c>
    </row>
    <row r="3545" spans="1:4" hidden="1" x14ac:dyDescent="0.25">
      <c r="A3545" s="12" t="s">
        <v>6966</v>
      </c>
      <c r="B3545" s="3"/>
      <c r="C3545" s="18" t="s">
        <v>6505</v>
      </c>
      <c r="D3545" s="14" t="s">
        <v>8183</v>
      </c>
    </row>
    <row r="3546" spans="1:4" hidden="1" x14ac:dyDescent="0.25">
      <c r="A3546" s="12" t="s">
        <v>6967</v>
      </c>
      <c r="B3546" s="3"/>
      <c r="C3546" s="18" t="s">
        <v>6506</v>
      </c>
      <c r="D3546" s="14" t="s">
        <v>8183</v>
      </c>
    </row>
    <row r="3547" spans="1:4" hidden="1" x14ac:dyDescent="0.25">
      <c r="A3547" s="12" t="s">
        <v>6968</v>
      </c>
      <c r="B3547" s="3"/>
      <c r="C3547" s="18" t="s">
        <v>6507</v>
      </c>
      <c r="D3547" s="14" t="s">
        <v>8183</v>
      </c>
    </row>
    <row r="3548" spans="1:4" hidden="1" x14ac:dyDescent="0.25">
      <c r="A3548" s="12" t="s">
        <v>6969</v>
      </c>
      <c r="B3548" s="3"/>
      <c r="C3548" s="18" t="s">
        <v>6508</v>
      </c>
      <c r="D3548" s="14" t="s">
        <v>8183</v>
      </c>
    </row>
    <row r="3549" spans="1:4" hidden="1" x14ac:dyDescent="0.25">
      <c r="A3549" s="12" t="s">
        <v>6970</v>
      </c>
      <c r="B3549" s="3"/>
      <c r="C3549" s="18" t="s">
        <v>6509</v>
      </c>
      <c r="D3549" s="14" t="s">
        <v>8183</v>
      </c>
    </row>
    <row r="3550" spans="1:4" hidden="1" x14ac:dyDescent="0.25">
      <c r="A3550" s="12" t="s">
        <v>6971</v>
      </c>
      <c r="B3550" s="3"/>
      <c r="C3550" s="19" t="s">
        <v>6510</v>
      </c>
      <c r="D3550" s="14" t="s">
        <v>8183</v>
      </c>
    </row>
    <row r="3551" spans="1:4" hidden="1" x14ac:dyDescent="0.25">
      <c r="A3551" s="12" t="s">
        <v>6972</v>
      </c>
      <c r="B3551" s="3"/>
      <c r="C3551" s="19" t="s">
        <v>6511</v>
      </c>
      <c r="D3551" s="14" t="s">
        <v>8183</v>
      </c>
    </row>
    <row r="3552" spans="1:4" hidden="1" x14ac:dyDescent="0.25">
      <c r="A3552" s="12" t="s">
        <v>6973</v>
      </c>
      <c r="B3552" s="3"/>
      <c r="C3552" s="18" t="s">
        <v>6512</v>
      </c>
      <c r="D3552" s="14" t="s">
        <v>8183</v>
      </c>
    </row>
    <row r="3553" spans="1:4" hidden="1" x14ac:dyDescent="0.25">
      <c r="A3553" s="12" t="s">
        <v>6974</v>
      </c>
      <c r="B3553" s="3"/>
      <c r="C3553" s="18" t="s">
        <v>6513</v>
      </c>
      <c r="D3553" s="14" t="s">
        <v>8183</v>
      </c>
    </row>
    <row r="3554" spans="1:4" hidden="1" x14ac:dyDescent="0.25">
      <c r="A3554" s="12" t="s">
        <v>6975</v>
      </c>
      <c r="B3554" s="3"/>
      <c r="C3554" s="18" t="s">
        <v>6514</v>
      </c>
      <c r="D3554" s="14" t="s">
        <v>8183</v>
      </c>
    </row>
    <row r="3555" spans="1:4" hidden="1" x14ac:dyDescent="0.25">
      <c r="A3555" s="12" t="s">
        <v>6976</v>
      </c>
      <c r="B3555" s="3"/>
      <c r="C3555" s="18" t="s">
        <v>6515</v>
      </c>
      <c r="D3555" s="14" t="s">
        <v>8183</v>
      </c>
    </row>
    <row r="3556" spans="1:4" hidden="1" x14ac:dyDescent="0.25">
      <c r="A3556" s="12" t="s">
        <v>6977</v>
      </c>
      <c r="B3556" s="3"/>
      <c r="C3556" s="18" t="s">
        <v>6516</v>
      </c>
      <c r="D3556" s="14" t="s">
        <v>8183</v>
      </c>
    </row>
    <row r="3557" spans="1:4" hidden="1" x14ac:dyDescent="0.25">
      <c r="A3557" s="12" t="s">
        <v>6978</v>
      </c>
      <c r="B3557" s="3"/>
      <c r="C3557" s="18" t="s">
        <v>6517</v>
      </c>
      <c r="D3557" s="14" t="s">
        <v>8183</v>
      </c>
    </row>
    <row r="3558" spans="1:4" hidden="1" x14ac:dyDescent="0.25">
      <c r="A3558" s="12" t="s">
        <v>6979</v>
      </c>
      <c r="B3558" s="3"/>
      <c r="C3558" s="18" t="s">
        <v>6518</v>
      </c>
      <c r="D3558" s="14" t="s">
        <v>8183</v>
      </c>
    </row>
    <row r="3559" spans="1:4" hidden="1" x14ac:dyDescent="0.25">
      <c r="A3559" s="12" t="s">
        <v>6980</v>
      </c>
      <c r="B3559" s="3"/>
      <c r="C3559" s="18" t="s">
        <v>6519</v>
      </c>
      <c r="D3559" s="14" t="s">
        <v>8183</v>
      </c>
    </row>
    <row r="3560" spans="1:4" hidden="1" x14ac:dyDescent="0.25">
      <c r="A3560" s="12" t="s">
        <v>6981</v>
      </c>
      <c r="B3560" s="3"/>
      <c r="C3560" s="18" t="s">
        <v>6520</v>
      </c>
      <c r="D3560" s="14" t="s">
        <v>8183</v>
      </c>
    </row>
    <row r="3561" spans="1:4" hidden="1" x14ac:dyDescent="0.25">
      <c r="A3561" s="12" t="s">
        <v>6982</v>
      </c>
      <c r="B3561" s="3"/>
      <c r="C3561" s="18" t="s">
        <v>6521</v>
      </c>
      <c r="D3561" s="14" t="s">
        <v>8183</v>
      </c>
    </row>
    <row r="3562" spans="1:4" hidden="1" x14ac:dyDescent="0.25">
      <c r="A3562" s="12" t="s">
        <v>6983</v>
      </c>
      <c r="B3562" s="3"/>
      <c r="C3562" s="18" t="s">
        <v>6522</v>
      </c>
      <c r="D3562" s="14" t="s">
        <v>8183</v>
      </c>
    </row>
    <row r="3563" spans="1:4" hidden="1" x14ac:dyDescent="0.25">
      <c r="A3563" s="12" t="s">
        <v>6984</v>
      </c>
      <c r="B3563" s="3"/>
      <c r="C3563" s="18" t="s">
        <v>6523</v>
      </c>
      <c r="D3563" s="14" t="s">
        <v>8183</v>
      </c>
    </row>
    <row r="3564" spans="1:4" hidden="1" x14ac:dyDescent="0.25">
      <c r="A3564" s="12" t="s">
        <v>6985</v>
      </c>
      <c r="B3564" s="3"/>
      <c r="C3564" s="18" t="s">
        <v>6524</v>
      </c>
      <c r="D3564" s="14" t="s">
        <v>8183</v>
      </c>
    </row>
    <row r="3565" spans="1:4" hidden="1" x14ac:dyDescent="0.25">
      <c r="A3565" s="12" t="s">
        <v>6986</v>
      </c>
      <c r="B3565" s="3"/>
      <c r="C3565" s="18" t="s">
        <v>6525</v>
      </c>
      <c r="D3565" s="14" t="s">
        <v>8183</v>
      </c>
    </row>
    <row r="3566" spans="1:4" hidden="1" x14ac:dyDescent="0.25">
      <c r="A3566" s="12" t="s">
        <v>6987</v>
      </c>
      <c r="B3566" s="3"/>
      <c r="C3566" s="18" t="s">
        <v>6526</v>
      </c>
      <c r="D3566" s="14" t="s">
        <v>8183</v>
      </c>
    </row>
    <row r="3567" spans="1:4" hidden="1" x14ac:dyDescent="0.25">
      <c r="A3567" s="12" t="s">
        <v>6988</v>
      </c>
      <c r="B3567" s="3"/>
      <c r="C3567" s="18" t="s">
        <v>6527</v>
      </c>
      <c r="D3567" s="14" t="s">
        <v>8183</v>
      </c>
    </row>
    <row r="3568" spans="1:4" hidden="1" x14ac:dyDescent="0.25">
      <c r="A3568" s="12" t="s">
        <v>6989</v>
      </c>
      <c r="B3568" s="3"/>
      <c r="C3568" s="18" t="s">
        <v>6528</v>
      </c>
      <c r="D3568" s="14" t="s">
        <v>8183</v>
      </c>
    </row>
    <row r="3569" spans="1:4" hidden="1" x14ac:dyDescent="0.25">
      <c r="A3569" s="12" t="s">
        <v>6990</v>
      </c>
      <c r="B3569" s="3"/>
      <c r="C3569" s="18" t="s">
        <v>6529</v>
      </c>
      <c r="D3569" s="14" t="s">
        <v>8183</v>
      </c>
    </row>
    <row r="3570" spans="1:4" hidden="1" x14ac:dyDescent="0.25">
      <c r="A3570" s="12" t="s">
        <v>6991</v>
      </c>
      <c r="B3570" s="3"/>
      <c r="C3570" s="18" t="s">
        <v>6530</v>
      </c>
      <c r="D3570" s="14" t="s">
        <v>8183</v>
      </c>
    </row>
    <row r="3571" spans="1:4" hidden="1" x14ac:dyDescent="0.25">
      <c r="A3571" s="12" t="s">
        <v>6992</v>
      </c>
      <c r="B3571" s="3"/>
      <c r="C3571" s="18" t="s">
        <v>6531</v>
      </c>
      <c r="D3571" s="14" t="s">
        <v>8183</v>
      </c>
    </row>
    <row r="3572" spans="1:4" hidden="1" x14ac:dyDescent="0.25">
      <c r="A3572" s="12" t="s">
        <v>6993</v>
      </c>
      <c r="B3572" s="3"/>
      <c r="C3572" s="18" t="s">
        <v>6532</v>
      </c>
      <c r="D3572" s="14" t="s">
        <v>8183</v>
      </c>
    </row>
    <row r="3573" spans="1:4" hidden="1" x14ac:dyDescent="0.25">
      <c r="A3573" s="12" t="s">
        <v>6994</v>
      </c>
      <c r="B3573" s="3"/>
      <c r="C3573" s="18" t="s">
        <v>6533</v>
      </c>
      <c r="D3573" s="14" t="s">
        <v>8183</v>
      </c>
    </row>
    <row r="3574" spans="1:4" hidden="1" x14ac:dyDescent="0.25">
      <c r="A3574" s="12" t="s">
        <v>6995</v>
      </c>
      <c r="B3574" s="3"/>
      <c r="C3574" s="18" t="s">
        <v>6534</v>
      </c>
      <c r="D3574" s="14" t="s">
        <v>8183</v>
      </c>
    </row>
    <row r="3575" spans="1:4" hidden="1" x14ac:dyDescent="0.25">
      <c r="A3575" s="12" t="s">
        <v>6996</v>
      </c>
      <c r="B3575" s="3"/>
      <c r="C3575" s="18" t="s">
        <v>6535</v>
      </c>
      <c r="D3575" s="14" t="s">
        <v>8183</v>
      </c>
    </row>
    <row r="3576" spans="1:4" hidden="1" x14ac:dyDescent="0.25">
      <c r="A3576" s="12" t="s">
        <v>6997</v>
      </c>
      <c r="B3576" s="3"/>
      <c r="C3576" s="18" t="s">
        <v>6536</v>
      </c>
      <c r="D3576" s="14" t="s">
        <v>8183</v>
      </c>
    </row>
    <row r="3577" spans="1:4" hidden="1" x14ac:dyDescent="0.25">
      <c r="A3577" s="12" t="s">
        <v>6998</v>
      </c>
      <c r="B3577" s="3"/>
      <c r="C3577" s="18" t="s">
        <v>6537</v>
      </c>
      <c r="D3577" s="14" t="s">
        <v>8183</v>
      </c>
    </row>
    <row r="3578" spans="1:4" hidden="1" x14ac:dyDescent="0.25">
      <c r="A3578" s="12" t="s">
        <v>6999</v>
      </c>
      <c r="B3578" s="3"/>
      <c r="C3578" s="18" t="s">
        <v>6538</v>
      </c>
      <c r="D3578" s="14" t="s">
        <v>8183</v>
      </c>
    </row>
    <row r="3579" spans="1:4" hidden="1" x14ac:dyDescent="0.25">
      <c r="A3579" s="12" t="s">
        <v>7000</v>
      </c>
      <c r="B3579" s="3"/>
      <c r="C3579" s="18" t="s">
        <v>6539</v>
      </c>
      <c r="D3579" s="14" t="s">
        <v>8183</v>
      </c>
    </row>
    <row r="3580" spans="1:4" hidden="1" x14ac:dyDescent="0.25">
      <c r="A3580" s="12" t="s">
        <v>7001</v>
      </c>
      <c r="B3580" s="3"/>
      <c r="C3580" s="18" t="s">
        <v>6540</v>
      </c>
      <c r="D3580" s="14" t="s">
        <v>8183</v>
      </c>
    </row>
    <row r="3581" spans="1:4" hidden="1" x14ac:dyDescent="0.25">
      <c r="A3581" s="12" t="s">
        <v>7002</v>
      </c>
      <c r="B3581" s="3"/>
      <c r="C3581" s="18" t="s">
        <v>6541</v>
      </c>
      <c r="D3581" s="14" t="s">
        <v>8183</v>
      </c>
    </row>
    <row r="3582" spans="1:4" hidden="1" x14ac:dyDescent="0.25">
      <c r="A3582" s="12" t="s">
        <v>7003</v>
      </c>
      <c r="B3582" s="3"/>
      <c r="C3582" s="18" t="s">
        <v>6542</v>
      </c>
      <c r="D3582" s="14" t="s">
        <v>8183</v>
      </c>
    </row>
    <row r="3583" spans="1:4" hidden="1" x14ac:dyDescent="0.25">
      <c r="A3583" s="12" t="s">
        <v>7004</v>
      </c>
      <c r="B3583" s="3"/>
      <c r="C3583" s="18" t="s">
        <v>6543</v>
      </c>
      <c r="D3583" s="14" t="s">
        <v>8183</v>
      </c>
    </row>
    <row r="3584" spans="1:4" hidden="1" x14ac:dyDescent="0.25">
      <c r="A3584" s="12" t="s">
        <v>7005</v>
      </c>
      <c r="B3584" s="3"/>
      <c r="C3584" s="18" t="s">
        <v>6544</v>
      </c>
      <c r="D3584" s="14" t="s">
        <v>8183</v>
      </c>
    </row>
    <row r="3585" spans="1:4" hidden="1" x14ac:dyDescent="0.25">
      <c r="A3585" s="12" t="s">
        <v>7006</v>
      </c>
      <c r="B3585" s="3"/>
      <c r="C3585" s="18" t="s">
        <v>6545</v>
      </c>
      <c r="D3585" s="14" t="s">
        <v>8183</v>
      </c>
    </row>
    <row r="3586" spans="1:4" hidden="1" x14ac:dyDescent="0.25">
      <c r="A3586" s="12" t="s">
        <v>7007</v>
      </c>
      <c r="B3586" s="3"/>
      <c r="C3586" s="18" t="s">
        <v>6546</v>
      </c>
      <c r="D3586" s="14" t="s">
        <v>8183</v>
      </c>
    </row>
    <row r="3587" spans="1:4" hidden="1" x14ac:dyDescent="0.25">
      <c r="A3587" s="12" t="s">
        <v>7008</v>
      </c>
      <c r="B3587" s="3"/>
      <c r="C3587" s="18" t="s">
        <v>6547</v>
      </c>
      <c r="D3587" s="14" t="s">
        <v>8183</v>
      </c>
    </row>
    <row r="3588" spans="1:4" hidden="1" x14ac:dyDescent="0.25">
      <c r="A3588" s="12" t="s">
        <v>7009</v>
      </c>
      <c r="B3588" s="3"/>
      <c r="C3588" s="19" t="s">
        <v>6548</v>
      </c>
      <c r="D3588" s="14" t="s">
        <v>8183</v>
      </c>
    </row>
    <row r="3589" spans="1:4" hidden="1" x14ac:dyDescent="0.25">
      <c r="A3589" s="12" t="s">
        <v>7010</v>
      </c>
      <c r="B3589" s="3"/>
      <c r="C3589" s="19" t="s">
        <v>6549</v>
      </c>
      <c r="D3589" s="14" t="s">
        <v>8183</v>
      </c>
    </row>
    <row r="3590" spans="1:4" hidden="1" x14ac:dyDescent="0.25">
      <c r="A3590" s="12" t="s">
        <v>7011</v>
      </c>
      <c r="B3590" s="3"/>
      <c r="C3590" s="18" t="s">
        <v>6550</v>
      </c>
      <c r="D3590" s="14" t="s">
        <v>8183</v>
      </c>
    </row>
    <row r="3591" spans="1:4" hidden="1" x14ac:dyDescent="0.25">
      <c r="A3591" s="12" t="s">
        <v>7012</v>
      </c>
      <c r="B3591" s="3"/>
      <c r="C3591" s="18" t="s">
        <v>6551</v>
      </c>
      <c r="D3591" s="14" t="s">
        <v>8183</v>
      </c>
    </row>
    <row r="3592" spans="1:4" hidden="1" x14ac:dyDescent="0.25">
      <c r="A3592" s="12" t="s">
        <v>7013</v>
      </c>
      <c r="B3592" s="3"/>
      <c r="C3592" s="18" t="s">
        <v>6552</v>
      </c>
      <c r="D3592" s="14" t="s">
        <v>8183</v>
      </c>
    </row>
    <row r="3593" spans="1:4" hidden="1" x14ac:dyDescent="0.25">
      <c r="A3593" s="12" t="s">
        <v>7014</v>
      </c>
      <c r="B3593" s="3"/>
      <c r="C3593" s="18" t="s">
        <v>6553</v>
      </c>
      <c r="D3593" s="14" t="s">
        <v>8183</v>
      </c>
    </row>
    <row r="3594" spans="1:4" hidden="1" x14ac:dyDescent="0.25">
      <c r="A3594" s="12" t="s">
        <v>7015</v>
      </c>
      <c r="B3594" s="3"/>
      <c r="C3594" s="18" t="s">
        <v>6554</v>
      </c>
      <c r="D3594" s="14" t="s">
        <v>8183</v>
      </c>
    </row>
    <row r="3595" spans="1:4" hidden="1" x14ac:dyDescent="0.25">
      <c r="A3595" s="12" t="s">
        <v>7016</v>
      </c>
      <c r="B3595" s="3"/>
      <c r="C3595" s="18" t="s">
        <v>6555</v>
      </c>
      <c r="D3595" s="14" t="s">
        <v>8183</v>
      </c>
    </row>
    <row r="3596" spans="1:4" hidden="1" x14ac:dyDescent="0.25">
      <c r="A3596" s="12" t="s">
        <v>7017</v>
      </c>
      <c r="B3596" s="3"/>
      <c r="C3596" s="18" t="s">
        <v>6556</v>
      </c>
      <c r="D3596" s="14" t="s">
        <v>8183</v>
      </c>
    </row>
    <row r="3597" spans="1:4" hidden="1" x14ac:dyDescent="0.25">
      <c r="A3597" s="12" t="s">
        <v>7018</v>
      </c>
      <c r="B3597" s="3"/>
      <c r="C3597" s="18" t="s">
        <v>6557</v>
      </c>
      <c r="D3597" s="14" t="s">
        <v>8183</v>
      </c>
    </row>
    <row r="3598" spans="1:4" hidden="1" x14ac:dyDescent="0.25">
      <c r="A3598" s="12" t="s">
        <v>7019</v>
      </c>
      <c r="B3598" s="3"/>
      <c r="C3598" s="18" t="s">
        <v>6558</v>
      </c>
      <c r="D3598" s="14" t="s">
        <v>8183</v>
      </c>
    </row>
    <row r="3599" spans="1:4" hidden="1" x14ac:dyDescent="0.25">
      <c r="A3599" s="12" t="s">
        <v>7020</v>
      </c>
      <c r="B3599" s="3"/>
      <c r="C3599" s="18" t="s">
        <v>6559</v>
      </c>
      <c r="D3599" s="14" t="s">
        <v>8183</v>
      </c>
    </row>
    <row r="3600" spans="1:4" hidden="1" x14ac:dyDescent="0.25">
      <c r="A3600" s="12" t="s">
        <v>7021</v>
      </c>
      <c r="B3600" s="3"/>
      <c r="C3600" s="18" t="s">
        <v>6560</v>
      </c>
      <c r="D3600" s="14" t="s">
        <v>8183</v>
      </c>
    </row>
    <row r="3601" spans="1:4" hidden="1" x14ac:dyDescent="0.25">
      <c r="A3601" s="12" t="s">
        <v>7022</v>
      </c>
      <c r="B3601" s="3"/>
      <c r="C3601" s="18" t="s">
        <v>6561</v>
      </c>
      <c r="D3601" s="14" t="s">
        <v>8183</v>
      </c>
    </row>
    <row r="3602" spans="1:4" hidden="1" x14ac:dyDescent="0.25">
      <c r="A3602" s="12" t="s">
        <v>7023</v>
      </c>
      <c r="B3602" s="3"/>
      <c r="C3602" s="18" t="s">
        <v>6562</v>
      </c>
      <c r="D3602" s="14" t="s">
        <v>8183</v>
      </c>
    </row>
    <row r="3603" spans="1:4" hidden="1" x14ac:dyDescent="0.25">
      <c r="A3603" s="12" t="s">
        <v>7024</v>
      </c>
      <c r="B3603" s="3"/>
      <c r="C3603" s="18" t="s">
        <v>6563</v>
      </c>
      <c r="D3603" s="14" t="s">
        <v>8183</v>
      </c>
    </row>
    <row r="3604" spans="1:4" hidden="1" x14ac:dyDescent="0.25">
      <c r="A3604" s="12" t="s">
        <v>7025</v>
      </c>
      <c r="B3604" s="3"/>
      <c r="C3604" s="18" t="s">
        <v>6564</v>
      </c>
      <c r="D3604" s="14" t="s">
        <v>8183</v>
      </c>
    </row>
    <row r="3605" spans="1:4" hidden="1" x14ac:dyDescent="0.25">
      <c r="A3605" s="12" t="s">
        <v>7026</v>
      </c>
      <c r="B3605" s="3"/>
      <c r="C3605" s="18" t="s">
        <v>6565</v>
      </c>
      <c r="D3605" s="14" t="s">
        <v>8183</v>
      </c>
    </row>
    <row r="3606" spans="1:4" hidden="1" x14ac:dyDescent="0.25">
      <c r="A3606" s="12" t="s">
        <v>7027</v>
      </c>
      <c r="B3606" s="3"/>
      <c r="C3606" s="18" t="s">
        <v>6566</v>
      </c>
      <c r="D3606" s="14" t="s">
        <v>8183</v>
      </c>
    </row>
    <row r="3607" spans="1:4" hidden="1" x14ac:dyDescent="0.25">
      <c r="A3607" s="12" t="s">
        <v>7028</v>
      </c>
      <c r="B3607" s="3"/>
      <c r="C3607" s="18" t="s">
        <v>6567</v>
      </c>
      <c r="D3607" s="14" t="s">
        <v>8183</v>
      </c>
    </row>
    <row r="3608" spans="1:4" hidden="1" x14ac:dyDescent="0.25">
      <c r="A3608" s="12" t="s">
        <v>7029</v>
      </c>
      <c r="B3608" s="3"/>
      <c r="C3608" s="18" t="s">
        <v>6568</v>
      </c>
      <c r="D3608" s="14" t="s">
        <v>8183</v>
      </c>
    </row>
    <row r="3609" spans="1:4" hidden="1" x14ac:dyDescent="0.25">
      <c r="A3609" s="12" t="s">
        <v>7030</v>
      </c>
      <c r="B3609" s="3"/>
      <c r="C3609" s="18" t="s">
        <v>6569</v>
      </c>
      <c r="D3609" s="14" t="s">
        <v>8183</v>
      </c>
    </row>
    <row r="3610" spans="1:4" hidden="1" x14ac:dyDescent="0.25">
      <c r="A3610" s="12" t="s">
        <v>7031</v>
      </c>
      <c r="B3610" s="3"/>
      <c r="C3610" s="18" t="s">
        <v>6570</v>
      </c>
      <c r="D3610" s="14" t="s">
        <v>8183</v>
      </c>
    </row>
    <row r="3611" spans="1:4" hidden="1" x14ac:dyDescent="0.25">
      <c r="A3611" s="12" t="s">
        <v>7032</v>
      </c>
      <c r="B3611" s="3"/>
      <c r="C3611" s="18" t="s">
        <v>6571</v>
      </c>
      <c r="D3611" s="14" t="s">
        <v>8183</v>
      </c>
    </row>
    <row r="3612" spans="1:4" hidden="1" x14ac:dyDescent="0.25">
      <c r="A3612" s="12" t="s">
        <v>7033</v>
      </c>
      <c r="B3612" s="3"/>
      <c r="C3612" s="18" t="s">
        <v>6572</v>
      </c>
      <c r="D3612" s="14" t="s">
        <v>8183</v>
      </c>
    </row>
    <row r="3613" spans="1:4" hidden="1" x14ac:dyDescent="0.25">
      <c r="A3613" s="12" t="s">
        <v>7034</v>
      </c>
      <c r="B3613" s="3"/>
      <c r="C3613" s="18" t="s">
        <v>6573</v>
      </c>
      <c r="D3613" s="14" t="s">
        <v>8183</v>
      </c>
    </row>
    <row r="3614" spans="1:4" hidden="1" x14ac:dyDescent="0.25">
      <c r="A3614" s="12" t="s">
        <v>7035</v>
      </c>
      <c r="B3614" s="3"/>
      <c r="C3614" s="18" t="s">
        <v>6574</v>
      </c>
      <c r="D3614" s="14" t="s">
        <v>8183</v>
      </c>
    </row>
    <row r="3615" spans="1:4" hidden="1" x14ac:dyDescent="0.25">
      <c r="A3615" s="12" t="s">
        <v>7036</v>
      </c>
      <c r="B3615" s="3"/>
      <c r="C3615" s="18" t="s">
        <v>6575</v>
      </c>
      <c r="D3615" s="14" t="s">
        <v>8183</v>
      </c>
    </row>
    <row r="3616" spans="1:4" hidden="1" x14ac:dyDescent="0.25">
      <c r="A3616" s="12" t="s">
        <v>7037</v>
      </c>
      <c r="B3616" s="3"/>
      <c r="C3616" s="18" t="s">
        <v>6576</v>
      </c>
      <c r="D3616" s="14" t="s">
        <v>8183</v>
      </c>
    </row>
    <row r="3617" spans="1:4" hidden="1" x14ac:dyDescent="0.25">
      <c r="A3617" s="12" t="s">
        <v>7038</v>
      </c>
      <c r="B3617" s="3"/>
      <c r="C3617" s="18" t="s">
        <v>6577</v>
      </c>
      <c r="D3617" s="14" t="s">
        <v>8183</v>
      </c>
    </row>
    <row r="3618" spans="1:4" hidden="1" x14ac:dyDescent="0.25">
      <c r="A3618" s="12" t="s">
        <v>7039</v>
      </c>
      <c r="B3618" s="3"/>
      <c r="C3618" s="18" t="s">
        <v>6578</v>
      </c>
      <c r="D3618" s="14" t="s">
        <v>8183</v>
      </c>
    </row>
    <row r="3619" spans="1:4" hidden="1" x14ac:dyDescent="0.25">
      <c r="A3619" s="12" t="s">
        <v>7040</v>
      </c>
      <c r="B3619" s="3"/>
      <c r="C3619" s="18" t="s">
        <v>6579</v>
      </c>
      <c r="D3619" s="14" t="s">
        <v>8183</v>
      </c>
    </row>
    <row r="3620" spans="1:4" hidden="1" x14ac:dyDescent="0.25">
      <c r="A3620" s="12" t="s">
        <v>7041</v>
      </c>
      <c r="B3620" s="3"/>
      <c r="C3620" s="18" t="s">
        <v>6580</v>
      </c>
      <c r="D3620" s="14" t="s">
        <v>8183</v>
      </c>
    </row>
    <row r="3621" spans="1:4" hidden="1" x14ac:dyDescent="0.25">
      <c r="A3621" s="12" t="s">
        <v>7042</v>
      </c>
      <c r="B3621" s="3"/>
      <c r="C3621" s="18" t="s">
        <v>6581</v>
      </c>
      <c r="D3621" s="14" t="s">
        <v>8183</v>
      </c>
    </row>
    <row r="3622" spans="1:4" hidden="1" x14ac:dyDescent="0.25">
      <c r="A3622" s="12" t="s">
        <v>7043</v>
      </c>
      <c r="B3622" s="3"/>
      <c r="C3622" s="18" t="s">
        <v>6582</v>
      </c>
      <c r="D3622" s="14" t="s">
        <v>8183</v>
      </c>
    </row>
    <row r="3623" spans="1:4" hidden="1" x14ac:dyDescent="0.25">
      <c r="A3623" s="12" t="s">
        <v>7044</v>
      </c>
      <c r="B3623" s="3"/>
      <c r="C3623" s="18" t="s">
        <v>6583</v>
      </c>
      <c r="D3623" s="14" t="s">
        <v>8183</v>
      </c>
    </row>
    <row r="3624" spans="1:4" hidden="1" x14ac:dyDescent="0.25">
      <c r="A3624" s="12" t="s">
        <v>7045</v>
      </c>
      <c r="B3624" s="3"/>
      <c r="C3624" s="18" t="s">
        <v>6584</v>
      </c>
      <c r="D3624" s="14" t="s">
        <v>8183</v>
      </c>
    </row>
    <row r="3625" spans="1:4" hidden="1" x14ac:dyDescent="0.25">
      <c r="A3625" s="12" t="s">
        <v>7046</v>
      </c>
      <c r="B3625" s="3"/>
      <c r="C3625" s="19" t="s">
        <v>6585</v>
      </c>
      <c r="D3625" s="14" t="s">
        <v>8183</v>
      </c>
    </row>
    <row r="3626" spans="1:4" hidden="1" x14ac:dyDescent="0.25">
      <c r="A3626" s="12" t="s">
        <v>7047</v>
      </c>
      <c r="B3626" s="3"/>
      <c r="C3626" s="19" t="s">
        <v>6586</v>
      </c>
      <c r="D3626" s="14" t="s">
        <v>8183</v>
      </c>
    </row>
    <row r="3627" spans="1:4" hidden="1" x14ac:dyDescent="0.25">
      <c r="A3627" s="12" t="s">
        <v>7048</v>
      </c>
      <c r="B3627" s="3"/>
      <c r="C3627" s="18" t="s">
        <v>6587</v>
      </c>
      <c r="D3627" s="14" t="s">
        <v>8183</v>
      </c>
    </row>
    <row r="3628" spans="1:4" hidden="1" x14ac:dyDescent="0.25">
      <c r="A3628" s="12" t="s">
        <v>7049</v>
      </c>
      <c r="B3628" s="3"/>
      <c r="C3628" s="18" t="s">
        <v>6588</v>
      </c>
      <c r="D3628" s="14" t="s">
        <v>8183</v>
      </c>
    </row>
    <row r="3629" spans="1:4" hidden="1" x14ac:dyDescent="0.25">
      <c r="A3629" s="12" t="s">
        <v>7050</v>
      </c>
      <c r="B3629" s="3"/>
      <c r="C3629" s="18" t="s">
        <v>6589</v>
      </c>
      <c r="D3629" s="14" t="s">
        <v>8183</v>
      </c>
    </row>
    <row r="3630" spans="1:4" hidden="1" x14ac:dyDescent="0.25">
      <c r="A3630" s="12" t="s">
        <v>7051</v>
      </c>
      <c r="B3630" s="3"/>
      <c r="C3630" s="18" t="s">
        <v>6590</v>
      </c>
      <c r="D3630" s="14" t="s">
        <v>8183</v>
      </c>
    </row>
    <row r="3631" spans="1:4" hidden="1" x14ac:dyDescent="0.25">
      <c r="A3631" s="12" t="s">
        <v>7052</v>
      </c>
      <c r="B3631" s="3"/>
      <c r="C3631" s="18" t="s">
        <v>6591</v>
      </c>
      <c r="D3631" s="14" t="s">
        <v>8183</v>
      </c>
    </row>
    <row r="3632" spans="1:4" hidden="1" x14ac:dyDescent="0.25">
      <c r="A3632" s="12" t="s">
        <v>7053</v>
      </c>
      <c r="B3632" s="3"/>
      <c r="C3632" s="18" t="s">
        <v>6592</v>
      </c>
      <c r="D3632" s="14" t="s">
        <v>8183</v>
      </c>
    </row>
    <row r="3633" spans="1:4" hidden="1" x14ac:dyDescent="0.25">
      <c r="A3633" s="12" t="s">
        <v>7054</v>
      </c>
      <c r="B3633" s="3"/>
      <c r="C3633" s="18" t="s">
        <v>6593</v>
      </c>
      <c r="D3633" s="14" t="s">
        <v>8183</v>
      </c>
    </row>
    <row r="3634" spans="1:4" hidden="1" x14ac:dyDescent="0.25">
      <c r="A3634" s="12" t="s">
        <v>7055</v>
      </c>
      <c r="B3634" s="3"/>
      <c r="C3634" s="18" t="s">
        <v>6594</v>
      </c>
      <c r="D3634" s="14" t="s">
        <v>8183</v>
      </c>
    </row>
    <row r="3635" spans="1:4" hidden="1" x14ac:dyDescent="0.25">
      <c r="A3635" s="12" t="s">
        <v>7056</v>
      </c>
      <c r="B3635" s="3"/>
      <c r="C3635" s="18" t="s">
        <v>6595</v>
      </c>
      <c r="D3635" s="14" t="s">
        <v>8183</v>
      </c>
    </row>
    <row r="3636" spans="1:4" hidden="1" x14ac:dyDescent="0.25">
      <c r="A3636" s="12" t="s">
        <v>7057</v>
      </c>
      <c r="B3636" s="3"/>
      <c r="C3636" s="18" t="s">
        <v>6596</v>
      </c>
      <c r="D3636" s="14" t="s">
        <v>8183</v>
      </c>
    </row>
    <row r="3637" spans="1:4" hidden="1" x14ac:dyDescent="0.25">
      <c r="A3637" s="12" t="s">
        <v>7058</v>
      </c>
      <c r="B3637" s="3"/>
      <c r="C3637" s="18" t="s">
        <v>6597</v>
      </c>
      <c r="D3637" s="14" t="s">
        <v>8183</v>
      </c>
    </row>
    <row r="3638" spans="1:4" hidden="1" x14ac:dyDescent="0.25">
      <c r="A3638" s="12" t="s">
        <v>7059</v>
      </c>
      <c r="B3638" s="3"/>
      <c r="C3638" s="18" t="s">
        <v>6598</v>
      </c>
      <c r="D3638" s="14" t="s">
        <v>8183</v>
      </c>
    </row>
    <row r="3639" spans="1:4" hidden="1" x14ac:dyDescent="0.25">
      <c r="A3639" s="12" t="s">
        <v>7060</v>
      </c>
      <c r="B3639" s="3"/>
      <c r="C3639" s="18" t="s">
        <v>6599</v>
      </c>
      <c r="D3639" s="14" t="s">
        <v>8183</v>
      </c>
    </row>
    <row r="3640" spans="1:4" hidden="1" x14ac:dyDescent="0.25">
      <c r="A3640" s="12" t="s">
        <v>7061</v>
      </c>
      <c r="B3640" s="3"/>
      <c r="C3640" s="18" t="s">
        <v>6600</v>
      </c>
      <c r="D3640" s="14" t="s">
        <v>8183</v>
      </c>
    </row>
    <row r="3641" spans="1:4" hidden="1" x14ac:dyDescent="0.25">
      <c r="A3641" s="12" t="s">
        <v>7062</v>
      </c>
      <c r="B3641" s="3"/>
      <c r="C3641" s="18" t="s">
        <v>6601</v>
      </c>
      <c r="D3641" s="14" t="s">
        <v>8183</v>
      </c>
    </row>
    <row r="3642" spans="1:4" hidden="1" x14ac:dyDescent="0.25">
      <c r="A3642" s="12" t="s">
        <v>7063</v>
      </c>
      <c r="B3642" s="3"/>
      <c r="C3642" s="18" t="s">
        <v>6602</v>
      </c>
      <c r="D3642" s="14" t="s">
        <v>8183</v>
      </c>
    </row>
    <row r="3643" spans="1:4" hidden="1" x14ac:dyDescent="0.25">
      <c r="A3643" s="12" t="s">
        <v>7064</v>
      </c>
      <c r="B3643" s="3"/>
      <c r="C3643" s="18" t="s">
        <v>6603</v>
      </c>
      <c r="D3643" s="14" t="s">
        <v>8183</v>
      </c>
    </row>
    <row r="3644" spans="1:4" hidden="1" x14ac:dyDescent="0.25">
      <c r="A3644" s="12" t="s">
        <v>7065</v>
      </c>
      <c r="B3644" s="3"/>
      <c r="C3644" s="18" t="s">
        <v>6604</v>
      </c>
      <c r="D3644" s="14" t="s">
        <v>8183</v>
      </c>
    </row>
    <row r="3645" spans="1:4" hidden="1" x14ac:dyDescent="0.25">
      <c r="A3645" s="12" t="s">
        <v>7066</v>
      </c>
      <c r="B3645" s="3"/>
      <c r="C3645" s="18" t="s">
        <v>6605</v>
      </c>
      <c r="D3645" s="14" t="s">
        <v>8183</v>
      </c>
    </row>
    <row r="3646" spans="1:4" hidden="1" x14ac:dyDescent="0.25">
      <c r="A3646" s="12" t="s">
        <v>7067</v>
      </c>
      <c r="B3646" s="3"/>
      <c r="C3646" s="18" t="s">
        <v>6606</v>
      </c>
      <c r="D3646" s="14" t="s">
        <v>8183</v>
      </c>
    </row>
    <row r="3647" spans="1:4" hidden="1" x14ac:dyDescent="0.25">
      <c r="A3647" s="12" t="s">
        <v>7068</v>
      </c>
      <c r="B3647" s="3"/>
      <c r="C3647" s="18" t="s">
        <v>6607</v>
      </c>
      <c r="D3647" s="14" t="s">
        <v>8183</v>
      </c>
    </row>
    <row r="3648" spans="1:4" hidden="1" x14ac:dyDescent="0.25">
      <c r="A3648" s="12" t="s">
        <v>7069</v>
      </c>
      <c r="B3648" s="3"/>
      <c r="C3648" s="18" t="s">
        <v>6608</v>
      </c>
      <c r="D3648" s="14" t="s">
        <v>8183</v>
      </c>
    </row>
    <row r="3649" spans="1:4" hidden="1" x14ac:dyDescent="0.25">
      <c r="A3649" s="12" t="s">
        <v>7070</v>
      </c>
      <c r="B3649" s="3"/>
      <c r="C3649" s="18" t="s">
        <v>6609</v>
      </c>
      <c r="D3649" s="14" t="s">
        <v>8183</v>
      </c>
    </row>
    <row r="3650" spans="1:4" hidden="1" x14ac:dyDescent="0.25">
      <c r="A3650" s="12" t="s">
        <v>7071</v>
      </c>
      <c r="B3650" s="3"/>
      <c r="C3650" s="18" t="s">
        <v>6610</v>
      </c>
      <c r="D3650" s="14" t="s">
        <v>8183</v>
      </c>
    </row>
    <row r="3651" spans="1:4" hidden="1" x14ac:dyDescent="0.25">
      <c r="A3651" s="12" t="s">
        <v>7072</v>
      </c>
      <c r="B3651" s="3"/>
      <c r="C3651" s="18" t="s">
        <v>6611</v>
      </c>
      <c r="D3651" s="14" t="s">
        <v>8183</v>
      </c>
    </row>
    <row r="3652" spans="1:4" hidden="1" x14ac:dyDescent="0.25">
      <c r="A3652" s="12" t="s">
        <v>7073</v>
      </c>
      <c r="B3652" s="3"/>
      <c r="C3652" s="18" t="s">
        <v>6612</v>
      </c>
      <c r="D3652" s="14" t="s">
        <v>8183</v>
      </c>
    </row>
    <row r="3653" spans="1:4" hidden="1" x14ac:dyDescent="0.25">
      <c r="A3653" s="12" t="s">
        <v>7074</v>
      </c>
      <c r="B3653" s="3"/>
      <c r="C3653" s="18" t="s">
        <v>6613</v>
      </c>
      <c r="D3653" s="14" t="s">
        <v>8183</v>
      </c>
    </row>
    <row r="3654" spans="1:4" hidden="1" x14ac:dyDescent="0.25">
      <c r="A3654" s="12" t="s">
        <v>7075</v>
      </c>
      <c r="B3654" s="3"/>
      <c r="C3654" s="18" t="s">
        <v>6614</v>
      </c>
      <c r="D3654" s="14" t="s">
        <v>8183</v>
      </c>
    </row>
    <row r="3655" spans="1:4" hidden="1" x14ac:dyDescent="0.25">
      <c r="A3655" s="12" t="s">
        <v>7076</v>
      </c>
      <c r="B3655" s="3"/>
      <c r="C3655" s="18" t="s">
        <v>6615</v>
      </c>
      <c r="D3655" s="14" t="s">
        <v>8183</v>
      </c>
    </row>
    <row r="3656" spans="1:4" hidden="1" x14ac:dyDescent="0.25">
      <c r="A3656" s="12" t="s">
        <v>7077</v>
      </c>
      <c r="B3656" s="3"/>
      <c r="C3656" s="18" t="s">
        <v>6616</v>
      </c>
      <c r="D3656" s="14" t="s">
        <v>8183</v>
      </c>
    </row>
    <row r="3657" spans="1:4" hidden="1" x14ac:dyDescent="0.25">
      <c r="A3657" s="12" t="s">
        <v>7078</v>
      </c>
      <c r="B3657" s="3"/>
      <c r="C3657" s="18" t="s">
        <v>6617</v>
      </c>
      <c r="D3657" s="14" t="s">
        <v>8183</v>
      </c>
    </row>
    <row r="3658" spans="1:4" hidden="1" x14ac:dyDescent="0.25">
      <c r="A3658" s="12" t="s">
        <v>7079</v>
      </c>
      <c r="B3658" s="3"/>
      <c r="C3658" s="18" t="s">
        <v>6618</v>
      </c>
      <c r="D3658" s="14" t="s">
        <v>8183</v>
      </c>
    </row>
    <row r="3659" spans="1:4" hidden="1" x14ac:dyDescent="0.25">
      <c r="A3659" s="12" t="s">
        <v>7080</v>
      </c>
      <c r="B3659" s="3"/>
      <c r="C3659" s="18" t="s">
        <v>6619</v>
      </c>
      <c r="D3659" s="14" t="s">
        <v>8183</v>
      </c>
    </row>
    <row r="3660" spans="1:4" hidden="1" x14ac:dyDescent="0.25">
      <c r="A3660" s="12" t="s">
        <v>7081</v>
      </c>
      <c r="B3660" s="3"/>
      <c r="C3660" s="18" t="s">
        <v>6620</v>
      </c>
      <c r="D3660" s="14" t="s">
        <v>8183</v>
      </c>
    </row>
    <row r="3661" spans="1:4" hidden="1" x14ac:dyDescent="0.25">
      <c r="A3661" s="12" t="s">
        <v>7082</v>
      </c>
      <c r="B3661" s="3"/>
      <c r="C3661" s="18" t="s">
        <v>6621</v>
      </c>
      <c r="D3661" s="14" t="s">
        <v>8183</v>
      </c>
    </row>
    <row r="3662" spans="1:4" hidden="1" x14ac:dyDescent="0.25">
      <c r="A3662" s="12" t="s">
        <v>7083</v>
      </c>
      <c r="B3662" s="3"/>
      <c r="C3662" s="18" t="s">
        <v>6622</v>
      </c>
      <c r="D3662" s="14" t="s">
        <v>8183</v>
      </c>
    </row>
    <row r="3663" spans="1:4" hidden="1" x14ac:dyDescent="0.25">
      <c r="A3663" s="12" t="s">
        <v>7084</v>
      </c>
      <c r="B3663" s="3"/>
      <c r="C3663" s="19" t="s">
        <v>6623</v>
      </c>
      <c r="D3663" s="14" t="s">
        <v>8183</v>
      </c>
    </row>
    <row r="3664" spans="1:4" hidden="1" x14ac:dyDescent="0.25">
      <c r="A3664" s="12" t="s">
        <v>7085</v>
      </c>
      <c r="B3664" s="3"/>
      <c r="C3664" s="19" t="s">
        <v>6624</v>
      </c>
      <c r="D3664" s="14" t="s">
        <v>8183</v>
      </c>
    </row>
    <row r="3665" spans="1:4" hidden="1" x14ac:dyDescent="0.25">
      <c r="A3665" s="12" t="s">
        <v>7086</v>
      </c>
      <c r="B3665" s="3"/>
      <c r="C3665" s="18" t="s">
        <v>6625</v>
      </c>
      <c r="D3665" s="14" t="s">
        <v>8183</v>
      </c>
    </row>
    <row r="3666" spans="1:4" hidden="1" x14ac:dyDescent="0.25">
      <c r="A3666" s="12" t="s">
        <v>7087</v>
      </c>
      <c r="B3666" s="3"/>
      <c r="C3666" s="18" t="s">
        <v>6626</v>
      </c>
      <c r="D3666" s="14" t="s">
        <v>8183</v>
      </c>
    </row>
    <row r="3667" spans="1:4" hidden="1" x14ac:dyDescent="0.25">
      <c r="A3667" s="12" t="s">
        <v>7088</v>
      </c>
      <c r="B3667" s="3"/>
      <c r="C3667" s="18" t="s">
        <v>6627</v>
      </c>
      <c r="D3667" s="14" t="s">
        <v>8183</v>
      </c>
    </row>
    <row r="3668" spans="1:4" hidden="1" x14ac:dyDescent="0.25">
      <c r="A3668" s="12" t="s">
        <v>7089</v>
      </c>
      <c r="B3668" s="3"/>
      <c r="C3668" s="18" t="s">
        <v>6628</v>
      </c>
      <c r="D3668" s="14" t="s">
        <v>8183</v>
      </c>
    </row>
    <row r="3669" spans="1:4" hidden="1" x14ac:dyDescent="0.25">
      <c r="A3669" s="12" t="s">
        <v>7090</v>
      </c>
      <c r="B3669" s="3"/>
      <c r="C3669" s="18" t="s">
        <v>6629</v>
      </c>
      <c r="D3669" s="14" t="s">
        <v>8183</v>
      </c>
    </row>
    <row r="3670" spans="1:4" hidden="1" x14ac:dyDescent="0.25">
      <c r="A3670" s="12" t="s">
        <v>7091</v>
      </c>
      <c r="B3670" s="3"/>
      <c r="C3670" s="18" t="s">
        <v>6630</v>
      </c>
      <c r="D3670" s="14" t="s">
        <v>8183</v>
      </c>
    </row>
    <row r="3671" spans="1:4" hidden="1" x14ac:dyDescent="0.25">
      <c r="A3671" s="12" t="s">
        <v>7092</v>
      </c>
      <c r="B3671" s="3"/>
      <c r="C3671" s="18" t="s">
        <v>6631</v>
      </c>
      <c r="D3671" s="14" t="s">
        <v>8183</v>
      </c>
    </row>
    <row r="3672" spans="1:4" hidden="1" x14ac:dyDescent="0.25">
      <c r="A3672" s="12" t="s">
        <v>7093</v>
      </c>
      <c r="B3672" s="3"/>
      <c r="C3672" s="18" t="s">
        <v>6632</v>
      </c>
      <c r="D3672" s="14" t="s">
        <v>8183</v>
      </c>
    </row>
    <row r="3673" spans="1:4" hidden="1" x14ac:dyDescent="0.25">
      <c r="A3673" s="12" t="s">
        <v>7094</v>
      </c>
      <c r="B3673" s="3"/>
      <c r="C3673" s="18" t="s">
        <v>6633</v>
      </c>
      <c r="D3673" s="14" t="s">
        <v>8183</v>
      </c>
    </row>
    <row r="3674" spans="1:4" hidden="1" x14ac:dyDescent="0.25">
      <c r="A3674" s="12" t="s">
        <v>7095</v>
      </c>
      <c r="B3674" s="3"/>
      <c r="C3674" s="18" t="s">
        <v>6634</v>
      </c>
      <c r="D3674" s="14" t="s">
        <v>8183</v>
      </c>
    </row>
    <row r="3675" spans="1:4" hidden="1" x14ac:dyDescent="0.25">
      <c r="A3675" s="12" t="s">
        <v>7096</v>
      </c>
      <c r="B3675" s="3"/>
      <c r="C3675" s="18" t="s">
        <v>6635</v>
      </c>
      <c r="D3675" s="14" t="s">
        <v>8183</v>
      </c>
    </row>
    <row r="3676" spans="1:4" hidden="1" x14ac:dyDescent="0.25">
      <c r="A3676" s="12" t="s">
        <v>7097</v>
      </c>
      <c r="B3676" s="3"/>
      <c r="C3676" s="18" t="s">
        <v>6636</v>
      </c>
      <c r="D3676" s="14" t="s">
        <v>8183</v>
      </c>
    </row>
    <row r="3677" spans="1:4" hidden="1" x14ac:dyDescent="0.25">
      <c r="A3677" s="12" t="s">
        <v>7098</v>
      </c>
      <c r="B3677" s="3"/>
      <c r="C3677" s="18" t="s">
        <v>6637</v>
      </c>
      <c r="D3677" s="14" t="s">
        <v>8183</v>
      </c>
    </row>
    <row r="3678" spans="1:4" hidden="1" x14ac:dyDescent="0.25">
      <c r="A3678" s="12" t="s">
        <v>7099</v>
      </c>
      <c r="B3678" s="3"/>
      <c r="C3678" s="18" t="s">
        <v>6638</v>
      </c>
      <c r="D3678" s="14" t="s">
        <v>8183</v>
      </c>
    </row>
    <row r="3679" spans="1:4" hidden="1" x14ac:dyDescent="0.25">
      <c r="A3679" s="12" t="s">
        <v>7100</v>
      </c>
      <c r="B3679" s="3"/>
      <c r="C3679" s="18" t="s">
        <v>6639</v>
      </c>
      <c r="D3679" s="14" t="s">
        <v>8183</v>
      </c>
    </row>
    <row r="3680" spans="1:4" hidden="1" x14ac:dyDescent="0.25">
      <c r="A3680" s="12" t="s">
        <v>7101</v>
      </c>
      <c r="B3680" s="3"/>
      <c r="C3680" s="18" t="s">
        <v>6640</v>
      </c>
      <c r="D3680" s="14" t="s">
        <v>8183</v>
      </c>
    </row>
    <row r="3681" spans="1:4" hidden="1" x14ac:dyDescent="0.25">
      <c r="A3681" s="12" t="s">
        <v>7102</v>
      </c>
      <c r="B3681" s="3"/>
      <c r="C3681" s="18" t="s">
        <v>6641</v>
      </c>
      <c r="D3681" s="14" t="s">
        <v>8183</v>
      </c>
    </row>
    <row r="3682" spans="1:4" hidden="1" x14ac:dyDescent="0.25">
      <c r="A3682" s="12" t="s">
        <v>7103</v>
      </c>
      <c r="B3682" s="3"/>
      <c r="C3682" s="18" t="s">
        <v>6642</v>
      </c>
      <c r="D3682" s="14" t="s">
        <v>8183</v>
      </c>
    </row>
    <row r="3683" spans="1:4" hidden="1" x14ac:dyDescent="0.25">
      <c r="A3683" s="12" t="s">
        <v>7104</v>
      </c>
      <c r="B3683" s="3"/>
      <c r="C3683" s="18" t="s">
        <v>6643</v>
      </c>
      <c r="D3683" s="14" t="s">
        <v>8183</v>
      </c>
    </row>
    <row r="3684" spans="1:4" hidden="1" x14ac:dyDescent="0.25">
      <c r="A3684" s="12" t="s">
        <v>7105</v>
      </c>
      <c r="B3684" s="3"/>
      <c r="C3684" s="18" t="s">
        <v>6644</v>
      </c>
      <c r="D3684" s="14" t="s">
        <v>8183</v>
      </c>
    </row>
    <row r="3685" spans="1:4" hidden="1" x14ac:dyDescent="0.25">
      <c r="A3685" s="12" t="s">
        <v>7106</v>
      </c>
      <c r="B3685" s="3"/>
      <c r="C3685" s="18" t="s">
        <v>6645</v>
      </c>
      <c r="D3685" s="14" t="s">
        <v>8183</v>
      </c>
    </row>
    <row r="3686" spans="1:4" hidden="1" x14ac:dyDescent="0.25">
      <c r="A3686" s="12" t="s">
        <v>7107</v>
      </c>
      <c r="B3686" s="3"/>
      <c r="C3686" s="18" t="s">
        <v>6646</v>
      </c>
      <c r="D3686" s="14" t="s">
        <v>8183</v>
      </c>
    </row>
    <row r="3687" spans="1:4" hidden="1" x14ac:dyDescent="0.25">
      <c r="A3687" s="12" t="s">
        <v>7108</v>
      </c>
      <c r="B3687" s="3"/>
      <c r="C3687" s="18" t="s">
        <v>6647</v>
      </c>
      <c r="D3687" s="14" t="s">
        <v>8183</v>
      </c>
    </row>
    <row r="3688" spans="1:4" hidden="1" x14ac:dyDescent="0.25">
      <c r="A3688" s="12" t="s">
        <v>7109</v>
      </c>
      <c r="B3688" s="3"/>
      <c r="C3688" s="18" t="s">
        <v>6648</v>
      </c>
      <c r="D3688" s="14" t="s">
        <v>8183</v>
      </c>
    </row>
    <row r="3689" spans="1:4" hidden="1" x14ac:dyDescent="0.25">
      <c r="A3689" s="12" t="s">
        <v>7110</v>
      </c>
      <c r="B3689" s="3"/>
      <c r="C3689" s="18" t="s">
        <v>6649</v>
      </c>
      <c r="D3689" s="14" t="s">
        <v>8183</v>
      </c>
    </row>
    <row r="3690" spans="1:4" hidden="1" x14ac:dyDescent="0.25">
      <c r="A3690" s="12" t="s">
        <v>7111</v>
      </c>
      <c r="B3690" s="3"/>
      <c r="C3690" s="18" t="s">
        <v>6650</v>
      </c>
      <c r="D3690" s="14" t="s">
        <v>8183</v>
      </c>
    </row>
    <row r="3691" spans="1:4" hidden="1" x14ac:dyDescent="0.25">
      <c r="A3691" s="12" t="s">
        <v>7112</v>
      </c>
      <c r="B3691" s="3"/>
      <c r="C3691" s="18" t="s">
        <v>6651</v>
      </c>
      <c r="D3691" s="14" t="s">
        <v>8183</v>
      </c>
    </row>
    <row r="3692" spans="1:4" hidden="1" x14ac:dyDescent="0.25">
      <c r="A3692" s="12" t="s">
        <v>7113</v>
      </c>
      <c r="B3692" s="3"/>
      <c r="C3692" s="18" t="s">
        <v>6652</v>
      </c>
      <c r="D3692" s="14" t="s">
        <v>8183</v>
      </c>
    </row>
    <row r="3693" spans="1:4" hidden="1" x14ac:dyDescent="0.25">
      <c r="A3693" s="12" t="s">
        <v>7114</v>
      </c>
      <c r="B3693" s="3"/>
      <c r="C3693" s="18" t="s">
        <v>6653</v>
      </c>
      <c r="D3693" s="14" t="s">
        <v>8183</v>
      </c>
    </row>
    <row r="3694" spans="1:4" hidden="1" x14ac:dyDescent="0.25">
      <c r="A3694" s="12" t="s">
        <v>7115</v>
      </c>
      <c r="B3694" s="3"/>
      <c r="C3694" s="18" t="s">
        <v>6654</v>
      </c>
      <c r="D3694" s="14" t="s">
        <v>8183</v>
      </c>
    </row>
    <row r="3695" spans="1:4" hidden="1" x14ac:dyDescent="0.25">
      <c r="A3695" s="12" t="s">
        <v>7116</v>
      </c>
      <c r="B3695" s="3"/>
      <c r="C3695" s="18" t="s">
        <v>6655</v>
      </c>
      <c r="D3695" s="14" t="s">
        <v>8183</v>
      </c>
    </row>
    <row r="3696" spans="1:4" hidden="1" x14ac:dyDescent="0.25">
      <c r="A3696" s="12" t="s">
        <v>7117</v>
      </c>
      <c r="B3696" s="3"/>
      <c r="C3696" s="18" t="s">
        <v>6656</v>
      </c>
      <c r="D3696" s="14" t="s">
        <v>8183</v>
      </c>
    </row>
    <row r="3697" spans="1:4" hidden="1" x14ac:dyDescent="0.25">
      <c r="A3697" s="12" t="s">
        <v>7118</v>
      </c>
      <c r="B3697" s="3"/>
      <c r="C3697" s="18" t="s">
        <v>6657</v>
      </c>
      <c r="D3697" s="14" t="s">
        <v>8183</v>
      </c>
    </row>
    <row r="3698" spans="1:4" hidden="1" x14ac:dyDescent="0.25">
      <c r="A3698" s="12" t="s">
        <v>7119</v>
      </c>
      <c r="B3698" s="3"/>
      <c r="C3698" s="18" t="s">
        <v>6658</v>
      </c>
      <c r="D3698" s="14" t="s">
        <v>8183</v>
      </c>
    </row>
    <row r="3699" spans="1:4" hidden="1" x14ac:dyDescent="0.25">
      <c r="A3699" s="12" t="s">
        <v>7120</v>
      </c>
      <c r="B3699" s="3"/>
      <c r="C3699" s="18" t="s">
        <v>6659</v>
      </c>
      <c r="D3699" s="14" t="s">
        <v>8183</v>
      </c>
    </row>
    <row r="3700" spans="1:4" hidden="1" x14ac:dyDescent="0.25">
      <c r="A3700" s="12" t="s">
        <v>7121</v>
      </c>
      <c r="B3700" s="3"/>
      <c r="C3700" s="19" t="s">
        <v>6660</v>
      </c>
      <c r="D3700" s="14" t="s">
        <v>8183</v>
      </c>
    </row>
    <row r="3701" spans="1:4" hidden="1" x14ac:dyDescent="0.25">
      <c r="A3701" s="12" t="s">
        <v>7122</v>
      </c>
      <c r="B3701" s="3"/>
      <c r="C3701" s="19" t="s">
        <v>6661</v>
      </c>
      <c r="D3701" s="14" t="s">
        <v>8183</v>
      </c>
    </row>
    <row r="3702" spans="1:4" hidden="1" x14ac:dyDescent="0.25">
      <c r="A3702" s="12" t="s">
        <v>7123</v>
      </c>
      <c r="B3702" s="3"/>
      <c r="C3702" s="18" t="s">
        <v>6662</v>
      </c>
      <c r="D3702" s="14" t="s">
        <v>8183</v>
      </c>
    </row>
    <row r="3703" spans="1:4" hidden="1" x14ac:dyDescent="0.25">
      <c r="A3703" s="12" t="s">
        <v>7124</v>
      </c>
      <c r="B3703" s="3"/>
      <c r="C3703" s="18" t="s">
        <v>6663</v>
      </c>
      <c r="D3703" s="14" t="s">
        <v>8183</v>
      </c>
    </row>
    <row r="3704" spans="1:4" hidden="1" x14ac:dyDescent="0.25">
      <c r="A3704" s="12" t="s">
        <v>7125</v>
      </c>
      <c r="B3704" s="3"/>
      <c r="C3704" s="18" t="s">
        <v>6664</v>
      </c>
      <c r="D3704" s="14" t="s">
        <v>8183</v>
      </c>
    </row>
    <row r="3705" spans="1:4" hidden="1" x14ac:dyDescent="0.25">
      <c r="A3705" s="12" t="s">
        <v>7126</v>
      </c>
      <c r="B3705" s="3"/>
      <c r="C3705" s="18" t="s">
        <v>6665</v>
      </c>
      <c r="D3705" s="14" t="s">
        <v>8183</v>
      </c>
    </row>
    <row r="3706" spans="1:4" hidden="1" x14ac:dyDescent="0.25">
      <c r="A3706" s="12" t="s">
        <v>7127</v>
      </c>
      <c r="B3706" s="3"/>
      <c r="C3706" s="18" t="s">
        <v>6441</v>
      </c>
      <c r="D3706" s="14" t="s">
        <v>8182</v>
      </c>
    </row>
    <row r="3707" spans="1:4" hidden="1" x14ac:dyDescent="0.25">
      <c r="A3707" s="12" t="s">
        <v>7128</v>
      </c>
      <c r="B3707" s="3"/>
      <c r="C3707" s="18" t="s">
        <v>6442</v>
      </c>
      <c r="D3707" s="14" t="s">
        <v>8182</v>
      </c>
    </row>
    <row r="3708" spans="1:4" hidden="1" x14ac:dyDescent="0.25">
      <c r="A3708" s="12" t="s">
        <v>7129</v>
      </c>
      <c r="B3708" s="3"/>
      <c r="C3708" s="18" t="s">
        <v>6443</v>
      </c>
      <c r="D3708" s="14" t="s">
        <v>8182</v>
      </c>
    </row>
    <row r="3709" spans="1:4" hidden="1" x14ac:dyDescent="0.25">
      <c r="A3709" s="12" t="s">
        <v>7130</v>
      </c>
      <c r="B3709" s="3"/>
      <c r="C3709" s="18" t="s">
        <v>6444</v>
      </c>
      <c r="D3709" s="14" t="s">
        <v>8182</v>
      </c>
    </row>
    <row r="3710" spans="1:4" hidden="1" x14ac:dyDescent="0.25">
      <c r="A3710" s="12" t="s">
        <v>7131</v>
      </c>
      <c r="B3710" s="3"/>
      <c r="C3710" s="18" t="s">
        <v>6445</v>
      </c>
      <c r="D3710" s="14" t="s">
        <v>8182</v>
      </c>
    </row>
    <row r="3711" spans="1:4" hidden="1" x14ac:dyDescent="0.25">
      <c r="A3711" s="12" t="s">
        <v>7132</v>
      </c>
      <c r="B3711" s="3"/>
      <c r="C3711" s="18" t="s">
        <v>6446</v>
      </c>
      <c r="D3711" s="14" t="s">
        <v>8182</v>
      </c>
    </row>
    <row r="3712" spans="1:4" hidden="1" x14ac:dyDescent="0.25">
      <c r="A3712" s="12" t="s">
        <v>7133</v>
      </c>
      <c r="B3712" s="3"/>
      <c r="C3712" s="18" t="s">
        <v>6447</v>
      </c>
      <c r="D3712" s="14" t="s">
        <v>8182</v>
      </c>
    </row>
    <row r="3713" spans="1:4" hidden="1" x14ac:dyDescent="0.25">
      <c r="A3713" s="12" t="s">
        <v>7134</v>
      </c>
      <c r="B3713" s="3"/>
      <c r="C3713" s="18" t="s">
        <v>6448</v>
      </c>
      <c r="D3713" s="14" t="s">
        <v>8182</v>
      </c>
    </row>
    <row r="3714" spans="1:4" hidden="1" x14ac:dyDescent="0.25">
      <c r="A3714" s="12" t="s">
        <v>7135</v>
      </c>
      <c r="B3714" s="3"/>
      <c r="C3714" s="18" t="s">
        <v>6449</v>
      </c>
      <c r="D3714" s="14" t="s">
        <v>8182</v>
      </c>
    </row>
    <row r="3715" spans="1:4" hidden="1" x14ac:dyDescent="0.25">
      <c r="A3715" s="12" t="s">
        <v>7136</v>
      </c>
      <c r="B3715" s="3"/>
      <c r="C3715" s="18" t="s">
        <v>6450</v>
      </c>
      <c r="D3715" s="14" t="s">
        <v>8182</v>
      </c>
    </row>
    <row r="3716" spans="1:4" hidden="1" x14ac:dyDescent="0.25">
      <c r="A3716" s="12" t="s">
        <v>7137</v>
      </c>
      <c r="B3716" s="3"/>
      <c r="C3716" s="18" t="s">
        <v>6451</v>
      </c>
      <c r="D3716" s="14" t="s">
        <v>8182</v>
      </c>
    </row>
    <row r="3717" spans="1:4" hidden="1" x14ac:dyDescent="0.25">
      <c r="A3717" s="12" t="s">
        <v>7138</v>
      </c>
      <c r="B3717" s="3"/>
      <c r="C3717" s="18" t="s">
        <v>6452</v>
      </c>
      <c r="D3717" s="14" t="s">
        <v>8182</v>
      </c>
    </row>
    <row r="3718" spans="1:4" hidden="1" x14ac:dyDescent="0.25">
      <c r="A3718" s="12" t="s">
        <v>7139</v>
      </c>
      <c r="B3718" s="3"/>
      <c r="C3718" s="18" t="s">
        <v>6453</v>
      </c>
      <c r="D3718" s="14" t="s">
        <v>8182</v>
      </c>
    </row>
    <row r="3719" spans="1:4" hidden="1" x14ac:dyDescent="0.25">
      <c r="A3719" s="12" t="s">
        <v>7140</v>
      </c>
      <c r="B3719" s="3"/>
      <c r="C3719" s="18" t="s">
        <v>6454</v>
      </c>
      <c r="D3719" s="14" t="s">
        <v>8182</v>
      </c>
    </row>
    <row r="3720" spans="1:4" hidden="1" x14ac:dyDescent="0.25">
      <c r="A3720" s="12" t="s">
        <v>7141</v>
      </c>
      <c r="B3720" s="3"/>
      <c r="C3720" s="18" t="s">
        <v>6455</v>
      </c>
      <c r="D3720" s="14" t="s">
        <v>8182</v>
      </c>
    </row>
    <row r="3721" spans="1:4" hidden="1" x14ac:dyDescent="0.25">
      <c r="A3721" s="12" t="s">
        <v>7142</v>
      </c>
      <c r="B3721" s="3"/>
      <c r="C3721" s="18" t="s">
        <v>6456</v>
      </c>
      <c r="D3721" s="14" t="s">
        <v>8182</v>
      </c>
    </row>
    <row r="3722" spans="1:4" hidden="1" x14ac:dyDescent="0.25">
      <c r="A3722" s="12" t="s">
        <v>7143</v>
      </c>
      <c r="B3722" s="3"/>
      <c r="C3722" s="18" t="s">
        <v>6457</v>
      </c>
      <c r="D3722" s="14" t="s">
        <v>8182</v>
      </c>
    </row>
    <row r="3723" spans="1:4" hidden="1" x14ac:dyDescent="0.25">
      <c r="A3723" s="12" t="s">
        <v>7144</v>
      </c>
      <c r="B3723" s="3"/>
      <c r="C3723" s="18" t="s">
        <v>6458</v>
      </c>
      <c r="D3723" s="14" t="s">
        <v>8182</v>
      </c>
    </row>
    <row r="3724" spans="1:4" hidden="1" x14ac:dyDescent="0.25">
      <c r="A3724" s="12" t="s">
        <v>7145</v>
      </c>
      <c r="B3724" s="3"/>
      <c r="C3724" s="18" t="s">
        <v>6459</v>
      </c>
      <c r="D3724" s="14" t="s">
        <v>8182</v>
      </c>
    </row>
    <row r="3725" spans="1:4" hidden="1" x14ac:dyDescent="0.25">
      <c r="A3725" s="12" t="s">
        <v>7146</v>
      </c>
      <c r="B3725" s="3"/>
      <c r="C3725" s="18" t="s">
        <v>6460</v>
      </c>
      <c r="D3725" s="14" t="s">
        <v>8182</v>
      </c>
    </row>
    <row r="3726" spans="1:4" hidden="1" x14ac:dyDescent="0.25">
      <c r="A3726" s="12" t="s">
        <v>7147</v>
      </c>
      <c r="B3726" s="3"/>
      <c r="C3726" s="18" t="s">
        <v>6461</v>
      </c>
      <c r="D3726" s="14" t="s">
        <v>8182</v>
      </c>
    </row>
    <row r="3727" spans="1:4" hidden="1" x14ac:dyDescent="0.25">
      <c r="A3727" s="12" t="s">
        <v>7148</v>
      </c>
      <c r="B3727" s="3"/>
      <c r="C3727" s="18" t="s">
        <v>6462</v>
      </c>
      <c r="D3727" s="14" t="s">
        <v>8182</v>
      </c>
    </row>
    <row r="3728" spans="1:4" hidden="1" x14ac:dyDescent="0.25">
      <c r="A3728" s="12" t="s">
        <v>7149</v>
      </c>
      <c r="B3728" s="3"/>
      <c r="C3728" s="18" t="s">
        <v>6463</v>
      </c>
      <c r="D3728" s="14" t="s">
        <v>8182</v>
      </c>
    </row>
    <row r="3729" spans="1:4" hidden="1" x14ac:dyDescent="0.25">
      <c r="A3729" s="12" t="s">
        <v>7150</v>
      </c>
      <c r="B3729" s="3"/>
      <c r="C3729" s="18" t="s">
        <v>6464</v>
      </c>
      <c r="D3729" s="14" t="s">
        <v>8182</v>
      </c>
    </row>
    <row r="3730" spans="1:4" hidden="1" x14ac:dyDescent="0.25">
      <c r="A3730" s="12" t="s">
        <v>7151</v>
      </c>
      <c r="B3730" s="3"/>
      <c r="C3730" s="18" t="s">
        <v>6465</v>
      </c>
      <c r="D3730" s="14" t="s">
        <v>8182</v>
      </c>
    </row>
    <row r="3731" spans="1:4" hidden="1" x14ac:dyDescent="0.25">
      <c r="A3731" s="12" t="s">
        <v>7152</v>
      </c>
      <c r="B3731" s="3"/>
      <c r="C3731" s="18" t="s">
        <v>6466</v>
      </c>
      <c r="D3731" s="14" t="s">
        <v>8182</v>
      </c>
    </row>
    <row r="3732" spans="1:4" hidden="1" x14ac:dyDescent="0.25">
      <c r="A3732" s="12" t="s">
        <v>7153</v>
      </c>
      <c r="B3732" s="3"/>
      <c r="C3732" s="18" t="s">
        <v>6467</v>
      </c>
      <c r="D3732" s="14" t="s">
        <v>8182</v>
      </c>
    </row>
    <row r="3733" spans="1:4" hidden="1" x14ac:dyDescent="0.25">
      <c r="A3733" s="12" t="s">
        <v>7154</v>
      </c>
      <c r="B3733" s="3"/>
      <c r="C3733" s="18" t="s">
        <v>6468</v>
      </c>
      <c r="D3733" s="14" t="s">
        <v>8182</v>
      </c>
    </row>
    <row r="3734" spans="1:4" hidden="1" x14ac:dyDescent="0.25">
      <c r="A3734" s="12" t="s">
        <v>7155</v>
      </c>
      <c r="B3734" s="3"/>
      <c r="C3734" s="18" t="s">
        <v>6469</v>
      </c>
      <c r="D3734" s="14" t="s">
        <v>8182</v>
      </c>
    </row>
    <row r="3735" spans="1:4" hidden="1" x14ac:dyDescent="0.25">
      <c r="A3735" s="12" t="s">
        <v>7156</v>
      </c>
      <c r="B3735" s="3"/>
      <c r="C3735" s="18" t="s">
        <v>6470</v>
      </c>
      <c r="D3735" s="14" t="s">
        <v>8182</v>
      </c>
    </row>
    <row r="3736" spans="1:4" hidden="1" x14ac:dyDescent="0.25">
      <c r="A3736" s="12" t="s">
        <v>7157</v>
      </c>
      <c r="B3736" s="3"/>
      <c r="C3736" s="18" t="s">
        <v>6471</v>
      </c>
      <c r="D3736" s="14" t="s">
        <v>8182</v>
      </c>
    </row>
    <row r="3737" spans="1:4" hidden="1" x14ac:dyDescent="0.25">
      <c r="A3737" s="12" t="s">
        <v>7158</v>
      </c>
      <c r="B3737" s="3"/>
      <c r="C3737" s="18" t="s">
        <v>6472</v>
      </c>
      <c r="D3737" s="14" t="s">
        <v>8182</v>
      </c>
    </row>
    <row r="3738" spans="1:4" hidden="1" x14ac:dyDescent="0.25">
      <c r="A3738" s="12" t="s">
        <v>7159</v>
      </c>
      <c r="B3738" s="3"/>
      <c r="C3738" s="19" t="s">
        <v>6473</v>
      </c>
      <c r="D3738" s="14" t="s">
        <v>8182</v>
      </c>
    </row>
    <row r="3739" spans="1:4" hidden="1" x14ac:dyDescent="0.25">
      <c r="A3739" s="12" t="s">
        <v>7160</v>
      </c>
      <c r="B3739" s="3"/>
      <c r="C3739" s="19" t="s">
        <v>6474</v>
      </c>
      <c r="D3739" s="14" t="s">
        <v>8182</v>
      </c>
    </row>
    <row r="3740" spans="1:4" hidden="1" x14ac:dyDescent="0.25">
      <c r="A3740" s="12" t="s">
        <v>7161</v>
      </c>
      <c r="B3740" s="3"/>
      <c r="C3740" s="18" t="s">
        <v>6475</v>
      </c>
      <c r="D3740" s="14" t="s">
        <v>8182</v>
      </c>
    </row>
    <row r="3741" spans="1:4" hidden="1" x14ac:dyDescent="0.25">
      <c r="A3741" s="12" t="s">
        <v>7162</v>
      </c>
      <c r="B3741" s="3"/>
      <c r="C3741" s="18" t="s">
        <v>6476</v>
      </c>
      <c r="D3741" s="14" t="s">
        <v>8182</v>
      </c>
    </row>
    <row r="3742" spans="1:4" hidden="1" x14ac:dyDescent="0.25">
      <c r="A3742" s="12" t="s">
        <v>7163</v>
      </c>
      <c r="B3742" s="3"/>
      <c r="C3742" s="18" t="s">
        <v>6477</v>
      </c>
      <c r="D3742" s="14" t="s">
        <v>8182</v>
      </c>
    </row>
    <row r="3743" spans="1:4" hidden="1" x14ac:dyDescent="0.25">
      <c r="A3743" s="12" t="s">
        <v>7164</v>
      </c>
      <c r="B3743" s="3"/>
      <c r="C3743" s="18" t="s">
        <v>6478</v>
      </c>
      <c r="D3743" s="14" t="s">
        <v>8182</v>
      </c>
    </row>
    <row r="3744" spans="1:4" hidden="1" x14ac:dyDescent="0.25">
      <c r="A3744" s="12" t="s">
        <v>7165</v>
      </c>
      <c r="B3744" s="3"/>
      <c r="C3744" s="18" t="s">
        <v>6479</v>
      </c>
      <c r="D3744" s="14" t="s">
        <v>8182</v>
      </c>
    </row>
    <row r="3745" spans="1:4" hidden="1" x14ac:dyDescent="0.25">
      <c r="A3745" s="12" t="s">
        <v>7166</v>
      </c>
      <c r="B3745" s="3"/>
      <c r="C3745" s="18" t="s">
        <v>6480</v>
      </c>
      <c r="D3745" s="14" t="s">
        <v>8182</v>
      </c>
    </row>
    <row r="3746" spans="1:4" hidden="1" x14ac:dyDescent="0.25">
      <c r="A3746" s="12" t="s">
        <v>7167</v>
      </c>
      <c r="B3746" s="3"/>
      <c r="C3746" s="18" t="s">
        <v>6481</v>
      </c>
      <c r="D3746" s="14" t="s">
        <v>8182</v>
      </c>
    </row>
    <row r="3747" spans="1:4" hidden="1" x14ac:dyDescent="0.25">
      <c r="A3747" s="12" t="s">
        <v>7168</v>
      </c>
      <c r="B3747" s="3"/>
      <c r="C3747" s="18" t="s">
        <v>6482</v>
      </c>
      <c r="D3747" s="14" t="s">
        <v>8182</v>
      </c>
    </row>
    <row r="3748" spans="1:4" hidden="1" x14ac:dyDescent="0.25">
      <c r="A3748" s="12" t="s">
        <v>7169</v>
      </c>
      <c r="B3748" s="3"/>
      <c r="C3748" s="18" t="s">
        <v>6483</v>
      </c>
      <c r="D3748" s="14" t="s">
        <v>8182</v>
      </c>
    </row>
    <row r="3749" spans="1:4" hidden="1" x14ac:dyDescent="0.25">
      <c r="A3749" s="12" t="s">
        <v>7170</v>
      </c>
      <c r="B3749" s="3"/>
      <c r="C3749" s="18" t="s">
        <v>6484</v>
      </c>
      <c r="D3749" s="14" t="s">
        <v>8182</v>
      </c>
    </row>
    <row r="3750" spans="1:4" hidden="1" x14ac:dyDescent="0.25">
      <c r="A3750" s="12" t="s">
        <v>7171</v>
      </c>
      <c r="B3750" s="3"/>
      <c r="C3750" s="18" t="s">
        <v>6485</v>
      </c>
      <c r="D3750" s="14" t="s">
        <v>8182</v>
      </c>
    </row>
    <row r="3751" spans="1:4" hidden="1" x14ac:dyDescent="0.25">
      <c r="A3751" s="12" t="s">
        <v>7172</v>
      </c>
      <c r="B3751" s="3"/>
      <c r="C3751" s="18" t="s">
        <v>6486</v>
      </c>
      <c r="D3751" s="14" t="s">
        <v>8182</v>
      </c>
    </row>
    <row r="3752" spans="1:4" hidden="1" x14ac:dyDescent="0.25">
      <c r="A3752" s="12" t="s">
        <v>7173</v>
      </c>
      <c r="B3752" s="3"/>
      <c r="C3752" s="18" t="s">
        <v>6487</v>
      </c>
      <c r="D3752" s="14" t="s">
        <v>8182</v>
      </c>
    </row>
    <row r="3753" spans="1:4" hidden="1" x14ac:dyDescent="0.25">
      <c r="A3753" s="12" t="s">
        <v>7174</v>
      </c>
      <c r="B3753" s="3"/>
      <c r="C3753" s="18" t="s">
        <v>6488</v>
      </c>
      <c r="D3753" s="14" t="s">
        <v>8182</v>
      </c>
    </row>
    <row r="3754" spans="1:4" hidden="1" x14ac:dyDescent="0.25">
      <c r="A3754" s="12" t="s">
        <v>7175</v>
      </c>
      <c r="B3754" s="3"/>
      <c r="C3754" s="18" t="s">
        <v>6489</v>
      </c>
      <c r="D3754" s="14" t="s">
        <v>8182</v>
      </c>
    </row>
    <row r="3755" spans="1:4" hidden="1" x14ac:dyDescent="0.25">
      <c r="A3755" s="12" t="s">
        <v>7176</v>
      </c>
      <c r="B3755" s="3"/>
      <c r="C3755" s="18" t="s">
        <v>6490</v>
      </c>
      <c r="D3755" s="14" t="s">
        <v>8182</v>
      </c>
    </row>
    <row r="3756" spans="1:4" hidden="1" x14ac:dyDescent="0.25">
      <c r="A3756" s="12" t="s">
        <v>7177</v>
      </c>
      <c r="B3756" s="3"/>
      <c r="C3756" s="18" t="s">
        <v>6491</v>
      </c>
      <c r="D3756" s="14" t="s">
        <v>8182</v>
      </c>
    </row>
    <row r="3757" spans="1:4" hidden="1" x14ac:dyDescent="0.25">
      <c r="A3757" s="12" t="s">
        <v>7178</v>
      </c>
      <c r="B3757" s="3"/>
      <c r="C3757" s="18" t="s">
        <v>6492</v>
      </c>
      <c r="D3757" s="14" t="s">
        <v>8182</v>
      </c>
    </row>
    <row r="3758" spans="1:4" hidden="1" x14ac:dyDescent="0.25">
      <c r="A3758" s="12" t="s">
        <v>7179</v>
      </c>
      <c r="B3758" s="3"/>
      <c r="C3758" s="18" t="s">
        <v>6493</v>
      </c>
      <c r="D3758" s="14" t="s">
        <v>8182</v>
      </c>
    </row>
    <row r="3759" spans="1:4" hidden="1" x14ac:dyDescent="0.25">
      <c r="A3759" s="12" t="s">
        <v>7180</v>
      </c>
      <c r="B3759" s="3"/>
      <c r="C3759" s="18" t="s">
        <v>6494</v>
      </c>
      <c r="D3759" s="14" t="s">
        <v>8182</v>
      </c>
    </row>
    <row r="3760" spans="1:4" hidden="1" x14ac:dyDescent="0.25">
      <c r="A3760" s="12" t="s">
        <v>7181</v>
      </c>
      <c r="B3760" s="3"/>
      <c r="C3760" s="18" t="s">
        <v>6495</v>
      </c>
      <c r="D3760" s="14" t="s">
        <v>8182</v>
      </c>
    </row>
    <row r="3761" spans="1:4" hidden="1" x14ac:dyDescent="0.25">
      <c r="A3761" s="12" t="s">
        <v>7182</v>
      </c>
      <c r="B3761" s="3"/>
      <c r="C3761" s="18" t="s">
        <v>6496</v>
      </c>
      <c r="D3761" s="14" t="s">
        <v>8182</v>
      </c>
    </row>
    <row r="3762" spans="1:4" hidden="1" x14ac:dyDescent="0.25">
      <c r="A3762" s="12" t="s">
        <v>7183</v>
      </c>
      <c r="B3762" s="3"/>
      <c r="C3762" s="18" t="s">
        <v>6497</v>
      </c>
      <c r="D3762" s="14" t="s">
        <v>8182</v>
      </c>
    </row>
    <row r="3763" spans="1:4" hidden="1" x14ac:dyDescent="0.25">
      <c r="A3763" s="12" t="s">
        <v>7184</v>
      </c>
      <c r="B3763" s="3"/>
      <c r="C3763" s="18" t="s">
        <v>6498</v>
      </c>
      <c r="D3763" s="14" t="s">
        <v>8182</v>
      </c>
    </row>
    <row r="3764" spans="1:4" hidden="1" x14ac:dyDescent="0.25">
      <c r="A3764" s="12" t="s">
        <v>7185</v>
      </c>
      <c r="B3764" s="3"/>
      <c r="C3764" s="18" t="s">
        <v>6499</v>
      </c>
      <c r="D3764" s="14" t="s">
        <v>8182</v>
      </c>
    </row>
    <row r="3765" spans="1:4" hidden="1" x14ac:dyDescent="0.25">
      <c r="A3765" s="12" t="s">
        <v>7186</v>
      </c>
      <c r="B3765" s="3"/>
      <c r="C3765" s="18" t="s">
        <v>6500</v>
      </c>
      <c r="D3765" s="14" t="s">
        <v>8182</v>
      </c>
    </row>
    <row r="3766" spans="1:4" hidden="1" x14ac:dyDescent="0.25">
      <c r="A3766" s="12" t="s">
        <v>7187</v>
      </c>
      <c r="B3766" s="3"/>
      <c r="C3766" s="18" t="s">
        <v>6501</v>
      </c>
      <c r="D3766" s="14" t="s">
        <v>8182</v>
      </c>
    </row>
    <row r="3767" spans="1:4" hidden="1" x14ac:dyDescent="0.25">
      <c r="A3767" s="12" t="s">
        <v>7188</v>
      </c>
      <c r="B3767" s="3"/>
      <c r="C3767" s="18" t="s">
        <v>6502</v>
      </c>
      <c r="D3767" s="14" t="s">
        <v>8182</v>
      </c>
    </row>
    <row r="3768" spans="1:4" hidden="1" x14ac:dyDescent="0.25">
      <c r="A3768" s="12" t="s">
        <v>7189</v>
      </c>
      <c r="B3768" s="3"/>
      <c r="C3768" s="18" t="s">
        <v>6503</v>
      </c>
      <c r="D3768" s="14" t="s">
        <v>8182</v>
      </c>
    </row>
    <row r="3769" spans="1:4" hidden="1" x14ac:dyDescent="0.25">
      <c r="A3769" s="12" t="s">
        <v>7190</v>
      </c>
      <c r="B3769" s="3"/>
      <c r="C3769" s="18" t="s">
        <v>6504</v>
      </c>
      <c r="D3769" s="14" t="s">
        <v>8182</v>
      </c>
    </row>
    <row r="3770" spans="1:4" hidden="1" x14ac:dyDescent="0.25">
      <c r="A3770" s="12" t="s">
        <v>7191</v>
      </c>
      <c r="B3770" s="3"/>
      <c r="C3770" s="18" t="s">
        <v>6505</v>
      </c>
      <c r="D3770" s="14" t="s">
        <v>8182</v>
      </c>
    </row>
    <row r="3771" spans="1:4" hidden="1" x14ac:dyDescent="0.25">
      <c r="A3771" s="12" t="s">
        <v>7192</v>
      </c>
      <c r="B3771" s="3"/>
      <c r="C3771" s="18" t="s">
        <v>6506</v>
      </c>
      <c r="D3771" s="14" t="s">
        <v>8182</v>
      </c>
    </row>
    <row r="3772" spans="1:4" hidden="1" x14ac:dyDescent="0.25">
      <c r="A3772" s="12" t="s">
        <v>7193</v>
      </c>
      <c r="B3772" s="3"/>
      <c r="C3772" s="18" t="s">
        <v>6507</v>
      </c>
      <c r="D3772" s="14" t="s">
        <v>8182</v>
      </c>
    </row>
    <row r="3773" spans="1:4" hidden="1" x14ac:dyDescent="0.25">
      <c r="A3773" s="12" t="s">
        <v>7194</v>
      </c>
      <c r="B3773" s="3"/>
      <c r="C3773" s="18" t="s">
        <v>6508</v>
      </c>
      <c r="D3773" s="14" t="s">
        <v>8182</v>
      </c>
    </row>
    <row r="3774" spans="1:4" hidden="1" x14ac:dyDescent="0.25">
      <c r="A3774" s="12" t="s">
        <v>7195</v>
      </c>
      <c r="B3774" s="3"/>
      <c r="C3774" s="18" t="s">
        <v>6509</v>
      </c>
      <c r="D3774" s="14" t="s">
        <v>8182</v>
      </c>
    </row>
    <row r="3775" spans="1:4" hidden="1" x14ac:dyDescent="0.25">
      <c r="A3775" s="12" t="s">
        <v>7196</v>
      </c>
      <c r="B3775" s="3"/>
      <c r="C3775" s="19" t="s">
        <v>6510</v>
      </c>
      <c r="D3775" s="14" t="s">
        <v>8182</v>
      </c>
    </row>
    <row r="3776" spans="1:4" hidden="1" x14ac:dyDescent="0.25">
      <c r="A3776" s="12" t="s">
        <v>7197</v>
      </c>
      <c r="B3776" s="3"/>
      <c r="C3776" s="19" t="s">
        <v>6511</v>
      </c>
      <c r="D3776" s="14" t="s">
        <v>8182</v>
      </c>
    </row>
    <row r="3777" spans="1:4" hidden="1" x14ac:dyDescent="0.25">
      <c r="A3777" s="12" t="s">
        <v>7198</v>
      </c>
      <c r="B3777" s="3"/>
      <c r="C3777" s="18" t="s">
        <v>6512</v>
      </c>
      <c r="D3777" s="14" t="s">
        <v>8182</v>
      </c>
    </row>
    <row r="3778" spans="1:4" hidden="1" x14ac:dyDescent="0.25">
      <c r="A3778" s="12" t="s">
        <v>7199</v>
      </c>
      <c r="B3778" s="3"/>
      <c r="C3778" s="18" t="s">
        <v>6513</v>
      </c>
      <c r="D3778" s="14" t="s">
        <v>8182</v>
      </c>
    </row>
    <row r="3779" spans="1:4" hidden="1" x14ac:dyDescent="0.25">
      <c r="A3779" s="12" t="s">
        <v>7200</v>
      </c>
      <c r="B3779" s="3"/>
      <c r="C3779" s="18" t="s">
        <v>6514</v>
      </c>
      <c r="D3779" s="14" t="s">
        <v>8182</v>
      </c>
    </row>
    <row r="3780" spans="1:4" hidden="1" x14ac:dyDescent="0.25">
      <c r="A3780" s="12" t="s">
        <v>7201</v>
      </c>
      <c r="B3780" s="3"/>
      <c r="C3780" s="18" t="s">
        <v>6515</v>
      </c>
      <c r="D3780" s="14" t="s">
        <v>8182</v>
      </c>
    </row>
    <row r="3781" spans="1:4" hidden="1" x14ac:dyDescent="0.25">
      <c r="A3781" s="12" t="s">
        <v>7202</v>
      </c>
      <c r="B3781" s="3"/>
      <c r="C3781" s="18" t="s">
        <v>6516</v>
      </c>
      <c r="D3781" s="14" t="s">
        <v>8182</v>
      </c>
    </row>
    <row r="3782" spans="1:4" hidden="1" x14ac:dyDescent="0.25">
      <c r="A3782" s="12" t="s">
        <v>7203</v>
      </c>
      <c r="B3782" s="3"/>
      <c r="C3782" s="18" t="s">
        <v>6517</v>
      </c>
      <c r="D3782" s="14" t="s">
        <v>8182</v>
      </c>
    </row>
    <row r="3783" spans="1:4" hidden="1" x14ac:dyDescent="0.25">
      <c r="A3783" s="12" t="s">
        <v>7204</v>
      </c>
      <c r="B3783" s="3"/>
      <c r="C3783" s="18" t="s">
        <v>6518</v>
      </c>
      <c r="D3783" s="14" t="s">
        <v>8182</v>
      </c>
    </row>
    <row r="3784" spans="1:4" hidden="1" x14ac:dyDescent="0.25">
      <c r="A3784" s="12" t="s">
        <v>7205</v>
      </c>
      <c r="B3784" s="3"/>
      <c r="C3784" s="18" t="s">
        <v>6519</v>
      </c>
      <c r="D3784" s="14" t="s">
        <v>8182</v>
      </c>
    </row>
    <row r="3785" spans="1:4" hidden="1" x14ac:dyDescent="0.25">
      <c r="A3785" s="12" t="s">
        <v>7206</v>
      </c>
      <c r="B3785" s="3"/>
      <c r="C3785" s="18" t="s">
        <v>6520</v>
      </c>
      <c r="D3785" s="14" t="s">
        <v>8182</v>
      </c>
    </row>
    <row r="3786" spans="1:4" hidden="1" x14ac:dyDescent="0.25">
      <c r="A3786" s="12" t="s">
        <v>7207</v>
      </c>
      <c r="B3786" s="3"/>
      <c r="C3786" s="18" t="s">
        <v>6521</v>
      </c>
      <c r="D3786" s="14" t="s">
        <v>8182</v>
      </c>
    </row>
    <row r="3787" spans="1:4" hidden="1" x14ac:dyDescent="0.25">
      <c r="A3787" s="12" t="s">
        <v>7208</v>
      </c>
      <c r="B3787" s="3"/>
      <c r="C3787" s="18" t="s">
        <v>6522</v>
      </c>
      <c r="D3787" s="14" t="s">
        <v>8182</v>
      </c>
    </row>
    <row r="3788" spans="1:4" hidden="1" x14ac:dyDescent="0.25">
      <c r="A3788" s="12" t="s">
        <v>7209</v>
      </c>
      <c r="B3788" s="3"/>
      <c r="C3788" s="18" t="s">
        <v>6523</v>
      </c>
      <c r="D3788" s="14" t="s">
        <v>8182</v>
      </c>
    </row>
    <row r="3789" spans="1:4" hidden="1" x14ac:dyDescent="0.25">
      <c r="A3789" s="12" t="s">
        <v>7210</v>
      </c>
      <c r="B3789" s="3"/>
      <c r="C3789" s="18" t="s">
        <v>6524</v>
      </c>
      <c r="D3789" s="14" t="s">
        <v>8182</v>
      </c>
    </row>
    <row r="3790" spans="1:4" hidden="1" x14ac:dyDescent="0.25">
      <c r="A3790" s="12" t="s">
        <v>7211</v>
      </c>
      <c r="B3790" s="3"/>
      <c r="C3790" s="18" t="s">
        <v>6525</v>
      </c>
      <c r="D3790" s="14" t="s">
        <v>8182</v>
      </c>
    </row>
    <row r="3791" spans="1:4" hidden="1" x14ac:dyDescent="0.25">
      <c r="A3791" s="12" t="s">
        <v>7212</v>
      </c>
      <c r="B3791" s="3"/>
      <c r="C3791" s="18" t="s">
        <v>6526</v>
      </c>
      <c r="D3791" s="14" t="s">
        <v>8182</v>
      </c>
    </row>
    <row r="3792" spans="1:4" hidden="1" x14ac:dyDescent="0.25">
      <c r="A3792" s="12" t="s">
        <v>7213</v>
      </c>
      <c r="B3792" s="3"/>
      <c r="C3792" s="18" t="s">
        <v>6527</v>
      </c>
      <c r="D3792" s="14" t="s">
        <v>8182</v>
      </c>
    </row>
    <row r="3793" spans="1:4" hidden="1" x14ac:dyDescent="0.25">
      <c r="A3793" s="12" t="s">
        <v>7214</v>
      </c>
      <c r="B3793" s="3"/>
      <c r="C3793" s="18" t="s">
        <v>6528</v>
      </c>
      <c r="D3793" s="14" t="s">
        <v>8182</v>
      </c>
    </row>
    <row r="3794" spans="1:4" hidden="1" x14ac:dyDescent="0.25">
      <c r="A3794" s="12" t="s">
        <v>7215</v>
      </c>
      <c r="B3794" s="3"/>
      <c r="C3794" s="18" t="s">
        <v>6529</v>
      </c>
      <c r="D3794" s="14" t="s">
        <v>8182</v>
      </c>
    </row>
    <row r="3795" spans="1:4" hidden="1" x14ac:dyDescent="0.25">
      <c r="A3795" s="12" t="s">
        <v>7216</v>
      </c>
      <c r="B3795" s="3"/>
      <c r="C3795" s="18" t="s">
        <v>6530</v>
      </c>
      <c r="D3795" s="14" t="s">
        <v>8182</v>
      </c>
    </row>
    <row r="3796" spans="1:4" hidden="1" x14ac:dyDescent="0.25">
      <c r="A3796" s="12" t="s">
        <v>7217</v>
      </c>
      <c r="B3796" s="3"/>
      <c r="C3796" s="18" t="s">
        <v>6531</v>
      </c>
      <c r="D3796" s="14" t="s">
        <v>8182</v>
      </c>
    </row>
    <row r="3797" spans="1:4" hidden="1" x14ac:dyDescent="0.25">
      <c r="A3797" s="12" t="s">
        <v>7218</v>
      </c>
      <c r="B3797" s="3"/>
      <c r="C3797" s="18" t="s">
        <v>6532</v>
      </c>
      <c r="D3797" s="14" t="s">
        <v>8182</v>
      </c>
    </row>
    <row r="3798" spans="1:4" hidden="1" x14ac:dyDescent="0.25">
      <c r="A3798" s="12" t="s">
        <v>7219</v>
      </c>
      <c r="B3798" s="3"/>
      <c r="C3798" s="18" t="s">
        <v>6533</v>
      </c>
      <c r="D3798" s="14" t="s">
        <v>8182</v>
      </c>
    </row>
    <row r="3799" spans="1:4" hidden="1" x14ac:dyDescent="0.25">
      <c r="A3799" s="12" t="s">
        <v>7220</v>
      </c>
      <c r="B3799" s="3"/>
      <c r="C3799" s="18" t="s">
        <v>6534</v>
      </c>
      <c r="D3799" s="14" t="s">
        <v>8182</v>
      </c>
    </row>
    <row r="3800" spans="1:4" hidden="1" x14ac:dyDescent="0.25">
      <c r="A3800" s="12" t="s">
        <v>7221</v>
      </c>
      <c r="B3800" s="3"/>
      <c r="C3800" s="18" t="s">
        <v>6535</v>
      </c>
      <c r="D3800" s="14" t="s">
        <v>8182</v>
      </c>
    </row>
    <row r="3801" spans="1:4" hidden="1" x14ac:dyDescent="0.25">
      <c r="A3801" s="12" t="s">
        <v>7222</v>
      </c>
      <c r="B3801" s="3"/>
      <c r="C3801" s="18" t="s">
        <v>6536</v>
      </c>
      <c r="D3801" s="14" t="s">
        <v>8182</v>
      </c>
    </row>
    <row r="3802" spans="1:4" hidden="1" x14ac:dyDescent="0.25">
      <c r="A3802" s="12" t="s">
        <v>7223</v>
      </c>
      <c r="B3802" s="3"/>
      <c r="C3802" s="18" t="s">
        <v>6537</v>
      </c>
      <c r="D3802" s="14" t="s">
        <v>8182</v>
      </c>
    </row>
    <row r="3803" spans="1:4" hidden="1" x14ac:dyDescent="0.25">
      <c r="A3803" s="12" t="s">
        <v>7224</v>
      </c>
      <c r="B3803" s="3"/>
      <c r="C3803" s="18" t="s">
        <v>6538</v>
      </c>
      <c r="D3803" s="14" t="s">
        <v>8182</v>
      </c>
    </row>
    <row r="3804" spans="1:4" hidden="1" x14ac:dyDescent="0.25">
      <c r="A3804" s="12" t="s">
        <v>7225</v>
      </c>
      <c r="B3804" s="3"/>
      <c r="C3804" s="18" t="s">
        <v>6539</v>
      </c>
      <c r="D3804" s="14" t="s">
        <v>8182</v>
      </c>
    </row>
    <row r="3805" spans="1:4" hidden="1" x14ac:dyDescent="0.25">
      <c r="A3805" s="12" t="s">
        <v>7226</v>
      </c>
      <c r="B3805" s="3"/>
      <c r="C3805" s="18" t="s">
        <v>6540</v>
      </c>
      <c r="D3805" s="14" t="s">
        <v>8182</v>
      </c>
    </row>
    <row r="3806" spans="1:4" hidden="1" x14ac:dyDescent="0.25">
      <c r="A3806" s="12" t="s">
        <v>7227</v>
      </c>
      <c r="B3806" s="3"/>
      <c r="C3806" s="18" t="s">
        <v>6541</v>
      </c>
      <c r="D3806" s="14" t="s">
        <v>8182</v>
      </c>
    </row>
    <row r="3807" spans="1:4" hidden="1" x14ac:dyDescent="0.25">
      <c r="A3807" s="12" t="s">
        <v>7228</v>
      </c>
      <c r="B3807" s="3"/>
      <c r="C3807" s="18" t="s">
        <v>6542</v>
      </c>
      <c r="D3807" s="14" t="s">
        <v>8182</v>
      </c>
    </row>
    <row r="3808" spans="1:4" hidden="1" x14ac:dyDescent="0.25">
      <c r="A3808" s="12" t="s">
        <v>7229</v>
      </c>
      <c r="B3808" s="3"/>
      <c r="C3808" s="18" t="s">
        <v>6543</v>
      </c>
      <c r="D3808" s="14" t="s">
        <v>8182</v>
      </c>
    </row>
    <row r="3809" spans="1:4" hidden="1" x14ac:dyDescent="0.25">
      <c r="A3809" s="12" t="s">
        <v>7230</v>
      </c>
      <c r="B3809" s="3"/>
      <c r="C3809" s="18" t="s">
        <v>6544</v>
      </c>
      <c r="D3809" s="14" t="s">
        <v>8182</v>
      </c>
    </row>
    <row r="3810" spans="1:4" hidden="1" x14ac:dyDescent="0.25">
      <c r="A3810" s="12" t="s">
        <v>7231</v>
      </c>
      <c r="B3810" s="3"/>
      <c r="C3810" s="18" t="s">
        <v>6545</v>
      </c>
      <c r="D3810" s="14" t="s">
        <v>8182</v>
      </c>
    </row>
    <row r="3811" spans="1:4" hidden="1" x14ac:dyDescent="0.25">
      <c r="A3811" s="12" t="s">
        <v>7232</v>
      </c>
      <c r="B3811" s="3"/>
      <c r="C3811" s="18" t="s">
        <v>6546</v>
      </c>
      <c r="D3811" s="14" t="s">
        <v>8182</v>
      </c>
    </row>
    <row r="3812" spans="1:4" hidden="1" x14ac:dyDescent="0.25">
      <c r="A3812" s="12" t="s">
        <v>7233</v>
      </c>
      <c r="B3812" s="3"/>
      <c r="C3812" s="18" t="s">
        <v>6547</v>
      </c>
      <c r="D3812" s="14" t="s">
        <v>8182</v>
      </c>
    </row>
    <row r="3813" spans="1:4" hidden="1" x14ac:dyDescent="0.25">
      <c r="A3813" s="12" t="s">
        <v>7234</v>
      </c>
      <c r="B3813" s="3"/>
      <c r="C3813" s="19" t="s">
        <v>6548</v>
      </c>
      <c r="D3813" s="14" t="s">
        <v>8182</v>
      </c>
    </row>
    <row r="3814" spans="1:4" hidden="1" x14ac:dyDescent="0.25">
      <c r="A3814" s="12" t="s">
        <v>7235</v>
      </c>
      <c r="B3814" s="3"/>
      <c r="C3814" s="19" t="s">
        <v>6549</v>
      </c>
      <c r="D3814" s="14" t="s">
        <v>8182</v>
      </c>
    </row>
    <row r="3815" spans="1:4" hidden="1" x14ac:dyDescent="0.25">
      <c r="A3815" s="12" t="s">
        <v>7236</v>
      </c>
      <c r="B3815" s="3"/>
      <c r="C3815" s="18" t="s">
        <v>6550</v>
      </c>
      <c r="D3815" s="14" t="s">
        <v>8182</v>
      </c>
    </row>
    <row r="3816" spans="1:4" hidden="1" x14ac:dyDescent="0.25">
      <c r="A3816" s="12" t="s">
        <v>7237</v>
      </c>
      <c r="B3816" s="3"/>
      <c r="C3816" s="18" t="s">
        <v>6551</v>
      </c>
      <c r="D3816" s="14" t="s">
        <v>8182</v>
      </c>
    </row>
    <row r="3817" spans="1:4" hidden="1" x14ac:dyDescent="0.25">
      <c r="A3817" s="12" t="s">
        <v>7238</v>
      </c>
      <c r="B3817" s="3"/>
      <c r="C3817" s="18" t="s">
        <v>6552</v>
      </c>
      <c r="D3817" s="14" t="s">
        <v>8182</v>
      </c>
    </row>
    <row r="3818" spans="1:4" hidden="1" x14ac:dyDescent="0.25">
      <c r="A3818" s="12" t="s">
        <v>7239</v>
      </c>
      <c r="B3818" s="3"/>
      <c r="C3818" s="18" t="s">
        <v>6553</v>
      </c>
      <c r="D3818" s="14" t="s">
        <v>8182</v>
      </c>
    </row>
    <row r="3819" spans="1:4" hidden="1" x14ac:dyDescent="0.25">
      <c r="A3819" s="12" t="s">
        <v>7240</v>
      </c>
      <c r="B3819" s="3"/>
      <c r="C3819" s="18" t="s">
        <v>6554</v>
      </c>
      <c r="D3819" s="14" t="s">
        <v>8182</v>
      </c>
    </row>
    <row r="3820" spans="1:4" hidden="1" x14ac:dyDescent="0.25">
      <c r="A3820" s="12" t="s">
        <v>7241</v>
      </c>
      <c r="B3820" s="3"/>
      <c r="C3820" s="18" t="s">
        <v>6555</v>
      </c>
      <c r="D3820" s="14" t="s">
        <v>8182</v>
      </c>
    </row>
    <row r="3821" spans="1:4" hidden="1" x14ac:dyDescent="0.25">
      <c r="A3821" s="12" t="s">
        <v>7242</v>
      </c>
      <c r="B3821" s="3"/>
      <c r="C3821" s="18" t="s">
        <v>6556</v>
      </c>
      <c r="D3821" s="14" t="s">
        <v>8182</v>
      </c>
    </row>
    <row r="3822" spans="1:4" hidden="1" x14ac:dyDescent="0.25">
      <c r="A3822" s="12" t="s">
        <v>7243</v>
      </c>
      <c r="B3822" s="3"/>
      <c r="C3822" s="18" t="s">
        <v>6557</v>
      </c>
      <c r="D3822" s="14" t="s">
        <v>8182</v>
      </c>
    </row>
    <row r="3823" spans="1:4" hidden="1" x14ac:dyDescent="0.25">
      <c r="A3823" s="12" t="s">
        <v>7244</v>
      </c>
      <c r="B3823" s="3"/>
      <c r="C3823" s="18" t="s">
        <v>6558</v>
      </c>
      <c r="D3823" s="14" t="s">
        <v>8182</v>
      </c>
    </row>
    <row r="3824" spans="1:4" hidden="1" x14ac:dyDescent="0.25">
      <c r="A3824" s="12" t="s">
        <v>7245</v>
      </c>
      <c r="B3824" s="3"/>
      <c r="C3824" s="18" t="s">
        <v>6559</v>
      </c>
      <c r="D3824" s="14" t="s">
        <v>8182</v>
      </c>
    </row>
    <row r="3825" spans="1:4" hidden="1" x14ac:dyDescent="0.25">
      <c r="A3825" s="12" t="s">
        <v>7246</v>
      </c>
      <c r="B3825" s="3"/>
      <c r="C3825" s="18" t="s">
        <v>6560</v>
      </c>
      <c r="D3825" s="14" t="s">
        <v>8182</v>
      </c>
    </row>
    <row r="3826" spans="1:4" hidden="1" x14ac:dyDescent="0.25">
      <c r="A3826" s="12" t="s">
        <v>7247</v>
      </c>
      <c r="B3826" s="3"/>
      <c r="C3826" s="18" t="s">
        <v>6561</v>
      </c>
      <c r="D3826" s="14" t="s">
        <v>8182</v>
      </c>
    </row>
    <row r="3827" spans="1:4" hidden="1" x14ac:dyDescent="0.25">
      <c r="A3827" s="12" t="s">
        <v>7248</v>
      </c>
      <c r="B3827" s="3"/>
      <c r="C3827" s="18" t="s">
        <v>6562</v>
      </c>
      <c r="D3827" s="14" t="s">
        <v>8182</v>
      </c>
    </row>
    <row r="3828" spans="1:4" hidden="1" x14ac:dyDescent="0.25">
      <c r="A3828" s="12" t="s">
        <v>7249</v>
      </c>
      <c r="B3828" s="3"/>
      <c r="C3828" s="18" t="s">
        <v>6563</v>
      </c>
      <c r="D3828" s="14" t="s">
        <v>8182</v>
      </c>
    </row>
    <row r="3829" spans="1:4" hidden="1" x14ac:dyDescent="0.25">
      <c r="A3829" s="12" t="s">
        <v>7250</v>
      </c>
      <c r="B3829" s="3"/>
      <c r="C3829" s="18" t="s">
        <v>6564</v>
      </c>
      <c r="D3829" s="14" t="s">
        <v>8182</v>
      </c>
    </row>
    <row r="3830" spans="1:4" hidden="1" x14ac:dyDescent="0.25">
      <c r="A3830" s="12" t="s">
        <v>7251</v>
      </c>
      <c r="B3830" s="3"/>
      <c r="C3830" s="18" t="s">
        <v>6565</v>
      </c>
      <c r="D3830" s="14" t="s">
        <v>8182</v>
      </c>
    </row>
    <row r="3831" spans="1:4" hidden="1" x14ac:dyDescent="0.25">
      <c r="A3831" s="12" t="s">
        <v>7252</v>
      </c>
      <c r="B3831" s="3"/>
      <c r="C3831" s="18" t="s">
        <v>6566</v>
      </c>
      <c r="D3831" s="14" t="s">
        <v>8182</v>
      </c>
    </row>
    <row r="3832" spans="1:4" hidden="1" x14ac:dyDescent="0.25">
      <c r="A3832" s="12" t="s">
        <v>7253</v>
      </c>
      <c r="B3832" s="3"/>
      <c r="C3832" s="18" t="s">
        <v>6567</v>
      </c>
      <c r="D3832" s="14" t="s">
        <v>8182</v>
      </c>
    </row>
    <row r="3833" spans="1:4" hidden="1" x14ac:dyDescent="0.25">
      <c r="A3833" s="12" t="s">
        <v>7254</v>
      </c>
      <c r="B3833" s="3"/>
      <c r="C3833" s="18" t="s">
        <v>6568</v>
      </c>
      <c r="D3833" s="14" t="s">
        <v>8182</v>
      </c>
    </row>
    <row r="3834" spans="1:4" hidden="1" x14ac:dyDescent="0.25">
      <c r="A3834" s="12" t="s">
        <v>7255</v>
      </c>
      <c r="B3834" s="3"/>
      <c r="C3834" s="18" t="s">
        <v>6569</v>
      </c>
      <c r="D3834" s="14" t="s">
        <v>8182</v>
      </c>
    </row>
    <row r="3835" spans="1:4" hidden="1" x14ac:dyDescent="0.25">
      <c r="A3835" s="12" t="s">
        <v>7256</v>
      </c>
      <c r="B3835" s="3"/>
      <c r="C3835" s="18" t="s">
        <v>6570</v>
      </c>
      <c r="D3835" s="14" t="s">
        <v>8182</v>
      </c>
    </row>
    <row r="3836" spans="1:4" hidden="1" x14ac:dyDescent="0.25">
      <c r="A3836" s="12" t="s">
        <v>7257</v>
      </c>
      <c r="B3836" s="3"/>
      <c r="C3836" s="18" t="s">
        <v>6571</v>
      </c>
      <c r="D3836" s="14" t="s">
        <v>8182</v>
      </c>
    </row>
    <row r="3837" spans="1:4" hidden="1" x14ac:dyDescent="0.25">
      <c r="A3837" s="12" t="s">
        <v>7258</v>
      </c>
      <c r="B3837" s="3"/>
      <c r="C3837" s="18" t="s">
        <v>6572</v>
      </c>
      <c r="D3837" s="14" t="s">
        <v>8182</v>
      </c>
    </row>
    <row r="3838" spans="1:4" hidden="1" x14ac:dyDescent="0.25">
      <c r="A3838" s="12" t="s">
        <v>7259</v>
      </c>
      <c r="B3838" s="3"/>
      <c r="C3838" s="18" t="s">
        <v>6573</v>
      </c>
      <c r="D3838" s="14" t="s">
        <v>8182</v>
      </c>
    </row>
    <row r="3839" spans="1:4" hidden="1" x14ac:dyDescent="0.25">
      <c r="A3839" s="12" t="s">
        <v>7260</v>
      </c>
      <c r="B3839" s="3"/>
      <c r="C3839" s="18" t="s">
        <v>6574</v>
      </c>
      <c r="D3839" s="14" t="s">
        <v>8182</v>
      </c>
    </row>
    <row r="3840" spans="1:4" hidden="1" x14ac:dyDescent="0.25">
      <c r="A3840" s="12" t="s">
        <v>7261</v>
      </c>
      <c r="B3840" s="3"/>
      <c r="C3840" s="18" t="s">
        <v>6575</v>
      </c>
      <c r="D3840" s="14" t="s">
        <v>8182</v>
      </c>
    </row>
    <row r="3841" spans="1:4" hidden="1" x14ac:dyDescent="0.25">
      <c r="A3841" s="12" t="s">
        <v>7262</v>
      </c>
      <c r="B3841" s="3"/>
      <c r="C3841" s="18" t="s">
        <v>6576</v>
      </c>
      <c r="D3841" s="14" t="s">
        <v>8182</v>
      </c>
    </row>
    <row r="3842" spans="1:4" hidden="1" x14ac:dyDescent="0.25">
      <c r="A3842" s="12" t="s">
        <v>7263</v>
      </c>
      <c r="B3842" s="3"/>
      <c r="C3842" s="18" t="s">
        <v>6577</v>
      </c>
      <c r="D3842" s="14" t="s">
        <v>8182</v>
      </c>
    </row>
    <row r="3843" spans="1:4" hidden="1" x14ac:dyDescent="0.25">
      <c r="A3843" s="12" t="s">
        <v>7264</v>
      </c>
      <c r="B3843" s="3"/>
      <c r="C3843" s="18" t="s">
        <v>6578</v>
      </c>
      <c r="D3843" s="14" t="s">
        <v>8182</v>
      </c>
    </row>
    <row r="3844" spans="1:4" hidden="1" x14ac:dyDescent="0.25">
      <c r="A3844" s="12" t="s">
        <v>7265</v>
      </c>
      <c r="B3844" s="3"/>
      <c r="C3844" s="18" t="s">
        <v>6579</v>
      </c>
      <c r="D3844" s="14" t="s">
        <v>8182</v>
      </c>
    </row>
    <row r="3845" spans="1:4" hidden="1" x14ac:dyDescent="0.25">
      <c r="A3845" s="12" t="s">
        <v>7266</v>
      </c>
      <c r="B3845" s="3"/>
      <c r="C3845" s="18" t="s">
        <v>6580</v>
      </c>
      <c r="D3845" s="14" t="s">
        <v>8182</v>
      </c>
    </row>
    <row r="3846" spans="1:4" hidden="1" x14ac:dyDescent="0.25">
      <c r="A3846" s="12" t="s">
        <v>7267</v>
      </c>
      <c r="B3846" s="3"/>
      <c r="C3846" s="18" t="s">
        <v>6581</v>
      </c>
      <c r="D3846" s="14" t="s">
        <v>8182</v>
      </c>
    </row>
    <row r="3847" spans="1:4" hidden="1" x14ac:dyDescent="0.25">
      <c r="A3847" s="12" t="s">
        <v>7268</v>
      </c>
      <c r="B3847" s="3"/>
      <c r="C3847" s="18" t="s">
        <v>6582</v>
      </c>
      <c r="D3847" s="14" t="s">
        <v>8182</v>
      </c>
    </row>
    <row r="3848" spans="1:4" hidden="1" x14ac:dyDescent="0.25">
      <c r="A3848" s="12" t="s">
        <v>7269</v>
      </c>
      <c r="B3848" s="3"/>
      <c r="C3848" s="18" t="s">
        <v>6583</v>
      </c>
      <c r="D3848" s="14" t="s">
        <v>8182</v>
      </c>
    </row>
    <row r="3849" spans="1:4" hidden="1" x14ac:dyDescent="0.25">
      <c r="A3849" s="12" t="s">
        <v>7270</v>
      </c>
      <c r="B3849" s="3"/>
      <c r="C3849" s="18" t="s">
        <v>6584</v>
      </c>
      <c r="D3849" s="14" t="s">
        <v>8182</v>
      </c>
    </row>
    <row r="3850" spans="1:4" hidden="1" x14ac:dyDescent="0.25">
      <c r="A3850" s="12" t="s">
        <v>7271</v>
      </c>
      <c r="B3850" s="3"/>
      <c r="C3850" s="19" t="s">
        <v>6585</v>
      </c>
      <c r="D3850" s="14" t="s">
        <v>8182</v>
      </c>
    </row>
    <row r="3851" spans="1:4" hidden="1" x14ac:dyDescent="0.25">
      <c r="A3851" s="12" t="s">
        <v>7272</v>
      </c>
      <c r="B3851" s="3"/>
      <c r="C3851" s="19" t="s">
        <v>6586</v>
      </c>
      <c r="D3851" s="14" t="s">
        <v>8182</v>
      </c>
    </row>
    <row r="3852" spans="1:4" hidden="1" x14ac:dyDescent="0.25">
      <c r="A3852" s="12" t="s">
        <v>7273</v>
      </c>
      <c r="B3852" s="3"/>
      <c r="C3852" s="18" t="s">
        <v>6587</v>
      </c>
      <c r="D3852" s="14" t="s">
        <v>8182</v>
      </c>
    </row>
    <row r="3853" spans="1:4" hidden="1" x14ac:dyDescent="0.25">
      <c r="A3853" s="12" t="s">
        <v>7274</v>
      </c>
      <c r="B3853" s="3"/>
      <c r="C3853" s="18" t="s">
        <v>6588</v>
      </c>
      <c r="D3853" s="14" t="s">
        <v>8182</v>
      </c>
    </row>
    <row r="3854" spans="1:4" hidden="1" x14ac:dyDescent="0.25">
      <c r="A3854" s="12" t="s">
        <v>7275</v>
      </c>
      <c r="B3854" s="3"/>
      <c r="C3854" s="18" t="s">
        <v>6589</v>
      </c>
      <c r="D3854" s="14" t="s">
        <v>8182</v>
      </c>
    </row>
    <row r="3855" spans="1:4" hidden="1" x14ac:dyDescent="0.25">
      <c r="A3855" s="12" t="s">
        <v>7276</v>
      </c>
      <c r="B3855" s="3"/>
      <c r="C3855" s="18" t="s">
        <v>6590</v>
      </c>
      <c r="D3855" s="14" t="s">
        <v>8182</v>
      </c>
    </row>
    <row r="3856" spans="1:4" hidden="1" x14ac:dyDescent="0.25">
      <c r="A3856" s="12" t="s">
        <v>7277</v>
      </c>
      <c r="B3856" s="3"/>
      <c r="C3856" s="18" t="s">
        <v>6591</v>
      </c>
      <c r="D3856" s="14" t="s">
        <v>8182</v>
      </c>
    </row>
    <row r="3857" spans="1:4" hidden="1" x14ac:dyDescent="0.25">
      <c r="A3857" s="12" t="s">
        <v>7278</v>
      </c>
      <c r="B3857" s="3"/>
      <c r="C3857" s="18" t="s">
        <v>6592</v>
      </c>
      <c r="D3857" s="14" t="s">
        <v>8182</v>
      </c>
    </row>
    <row r="3858" spans="1:4" hidden="1" x14ac:dyDescent="0.25">
      <c r="A3858" s="12" t="s">
        <v>7279</v>
      </c>
      <c r="B3858" s="3"/>
      <c r="C3858" s="18" t="s">
        <v>6593</v>
      </c>
      <c r="D3858" s="14" t="s">
        <v>8182</v>
      </c>
    </row>
    <row r="3859" spans="1:4" hidden="1" x14ac:dyDescent="0.25">
      <c r="A3859" s="12" t="s">
        <v>7280</v>
      </c>
      <c r="B3859" s="3"/>
      <c r="C3859" s="18" t="s">
        <v>6594</v>
      </c>
      <c r="D3859" s="14" t="s">
        <v>8182</v>
      </c>
    </row>
    <row r="3860" spans="1:4" hidden="1" x14ac:dyDescent="0.25">
      <c r="A3860" s="12" t="s">
        <v>7281</v>
      </c>
      <c r="B3860" s="3"/>
      <c r="C3860" s="18" t="s">
        <v>6595</v>
      </c>
      <c r="D3860" s="14" t="s">
        <v>8182</v>
      </c>
    </row>
    <row r="3861" spans="1:4" hidden="1" x14ac:dyDescent="0.25">
      <c r="A3861" s="12" t="s">
        <v>7282</v>
      </c>
      <c r="B3861" s="3"/>
      <c r="C3861" s="18" t="s">
        <v>6596</v>
      </c>
      <c r="D3861" s="14" t="s">
        <v>8182</v>
      </c>
    </row>
    <row r="3862" spans="1:4" hidden="1" x14ac:dyDescent="0.25">
      <c r="A3862" s="12" t="s">
        <v>7283</v>
      </c>
      <c r="B3862" s="3"/>
      <c r="C3862" s="18" t="s">
        <v>6597</v>
      </c>
      <c r="D3862" s="14" t="s">
        <v>8182</v>
      </c>
    </row>
    <row r="3863" spans="1:4" hidden="1" x14ac:dyDescent="0.25">
      <c r="A3863" s="12" t="s">
        <v>7284</v>
      </c>
      <c r="B3863" s="3"/>
      <c r="C3863" s="18" t="s">
        <v>6598</v>
      </c>
      <c r="D3863" s="14" t="s">
        <v>8182</v>
      </c>
    </row>
    <row r="3864" spans="1:4" hidden="1" x14ac:dyDescent="0.25">
      <c r="A3864" s="12" t="s">
        <v>7285</v>
      </c>
      <c r="B3864" s="3"/>
      <c r="C3864" s="18" t="s">
        <v>6599</v>
      </c>
      <c r="D3864" s="14" t="s">
        <v>8182</v>
      </c>
    </row>
    <row r="3865" spans="1:4" hidden="1" x14ac:dyDescent="0.25">
      <c r="A3865" s="12" t="s">
        <v>7286</v>
      </c>
      <c r="B3865" s="3"/>
      <c r="C3865" s="18" t="s">
        <v>6600</v>
      </c>
      <c r="D3865" s="14" t="s">
        <v>8182</v>
      </c>
    </row>
    <row r="3866" spans="1:4" hidden="1" x14ac:dyDescent="0.25">
      <c r="A3866" s="12" t="s">
        <v>7287</v>
      </c>
      <c r="B3866" s="3"/>
      <c r="C3866" s="18" t="s">
        <v>6601</v>
      </c>
      <c r="D3866" s="14" t="s">
        <v>8182</v>
      </c>
    </row>
    <row r="3867" spans="1:4" hidden="1" x14ac:dyDescent="0.25">
      <c r="A3867" s="12" t="s">
        <v>7288</v>
      </c>
      <c r="B3867" s="3"/>
      <c r="C3867" s="18" t="s">
        <v>6602</v>
      </c>
      <c r="D3867" s="14" t="s">
        <v>8182</v>
      </c>
    </row>
    <row r="3868" spans="1:4" hidden="1" x14ac:dyDescent="0.25">
      <c r="A3868" s="12" t="s">
        <v>7289</v>
      </c>
      <c r="B3868" s="3"/>
      <c r="C3868" s="18" t="s">
        <v>6603</v>
      </c>
      <c r="D3868" s="14" t="s">
        <v>8182</v>
      </c>
    </row>
    <row r="3869" spans="1:4" hidden="1" x14ac:dyDescent="0.25">
      <c r="A3869" s="12" t="s">
        <v>7290</v>
      </c>
      <c r="B3869" s="3"/>
      <c r="C3869" s="18" t="s">
        <v>6604</v>
      </c>
      <c r="D3869" s="14" t="s">
        <v>8182</v>
      </c>
    </row>
    <row r="3870" spans="1:4" hidden="1" x14ac:dyDescent="0.25">
      <c r="A3870" s="12" t="s">
        <v>7291</v>
      </c>
      <c r="B3870" s="3"/>
      <c r="C3870" s="18" t="s">
        <v>6605</v>
      </c>
      <c r="D3870" s="14" t="s">
        <v>8182</v>
      </c>
    </row>
    <row r="3871" spans="1:4" hidden="1" x14ac:dyDescent="0.25">
      <c r="A3871" s="12" t="s">
        <v>7292</v>
      </c>
      <c r="B3871" s="3"/>
      <c r="C3871" s="18" t="s">
        <v>6606</v>
      </c>
      <c r="D3871" s="14" t="s">
        <v>8182</v>
      </c>
    </row>
    <row r="3872" spans="1:4" hidden="1" x14ac:dyDescent="0.25">
      <c r="A3872" s="12" t="s">
        <v>7293</v>
      </c>
      <c r="B3872" s="3"/>
      <c r="C3872" s="18" t="s">
        <v>6607</v>
      </c>
      <c r="D3872" s="14" t="s">
        <v>8182</v>
      </c>
    </row>
    <row r="3873" spans="1:4" hidden="1" x14ac:dyDescent="0.25">
      <c r="A3873" s="12" t="s">
        <v>7294</v>
      </c>
      <c r="B3873" s="3"/>
      <c r="C3873" s="18" t="s">
        <v>6608</v>
      </c>
      <c r="D3873" s="14" t="s">
        <v>8182</v>
      </c>
    </row>
    <row r="3874" spans="1:4" hidden="1" x14ac:dyDescent="0.25">
      <c r="A3874" s="12" t="s">
        <v>7295</v>
      </c>
      <c r="B3874" s="3"/>
      <c r="C3874" s="18" t="s">
        <v>6609</v>
      </c>
      <c r="D3874" s="14" t="s">
        <v>8182</v>
      </c>
    </row>
    <row r="3875" spans="1:4" hidden="1" x14ac:dyDescent="0.25">
      <c r="A3875" s="12" t="s">
        <v>7296</v>
      </c>
      <c r="B3875" s="3"/>
      <c r="C3875" s="18" t="s">
        <v>6610</v>
      </c>
      <c r="D3875" s="14" t="s">
        <v>8182</v>
      </c>
    </row>
    <row r="3876" spans="1:4" hidden="1" x14ac:dyDescent="0.25">
      <c r="A3876" s="12" t="s">
        <v>7297</v>
      </c>
      <c r="B3876" s="3"/>
      <c r="C3876" s="18" t="s">
        <v>6611</v>
      </c>
      <c r="D3876" s="14" t="s">
        <v>8182</v>
      </c>
    </row>
    <row r="3877" spans="1:4" hidden="1" x14ac:dyDescent="0.25">
      <c r="A3877" s="12" t="s">
        <v>7298</v>
      </c>
      <c r="B3877" s="3"/>
      <c r="C3877" s="18" t="s">
        <v>6612</v>
      </c>
      <c r="D3877" s="14" t="s">
        <v>8182</v>
      </c>
    </row>
    <row r="3878" spans="1:4" hidden="1" x14ac:dyDescent="0.25">
      <c r="A3878" s="12" t="s">
        <v>7299</v>
      </c>
      <c r="B3878" s="3"/>
      <c r="C3878" s="18" t="s">
        <v>6613</v>
      </c>
      <c r="D3878" s="14" t="s">
        <v>8182</v>
      </c>
    </row>
    <row r="3879" spans="1:4" hidden="1" x14ac:dyDescent="0.25">
      <c r="A3879" s="12" t="s">
        <v>7300</v>
      </c>
      <c r="B3879" s="3"/>
      <c r="C3879" s="18" t="s">
        <v>6614</v>
      </c>
      <c r="D3879" s="14" t="s">
        <v>8182</v>
      </c>
    </row>
    <row r="3880" spans="1:4" hidden="1" x14ac:dyDescent="0.25">
      <c r="A3880" s="12" t="s">
        <v>7301</v>
      </c>
      <c r="B3880" s="3"/>
      <c r="C3880" s="18" t="s">
        <v>6615</v>
      </c>
      <c r="D3880" s="14" t="s">
        <v>8182</v>
      </c>
    </row>
    <row r="3881" spans="1:4" hidden="1" x14ac:dyDescent="0.25">
      <c r="A3881" s="12" t="s">
        <v>7302</v>
      </c>
      <c r="B3881" s="3"/>
      <c r="C3881" s="18" t="s">
        <v>6616</v>
      </c>
      <c r="D3881" s="14" t="s">
        <v>8182</v>
      </c>
    </row>
    <row r="3882" spans="1:4" hidden="1" x14ac:dyDescent="0.25">
      <c r="A3882" s="12" t="s">
        <v>7303</v>
      </c>
      <c r="B3882" s="3"/>
      <c r="C3882" s="18" t="s">
        <v>6617</v>
      </c>
      <c r="D3882" s="14" t="s">
        <v>8182</v>
      </c>
    </row>
    <row r="3883" spans="1:4" hidden="1" x14ac:dyDescent="0.25">
      <c r="A3883" s="12" t="s">
        <v>7304</v>
      </c>
      <c r="B3883" s="3"/>
      <c r="C3883" s="18" t="s">
        <v>6618</v>
      </c>
      <c r="D3883" s="14" t="s">
        <v>8182</v>
      </c>
    </row>
    <row r="3884" spans="1:4" hidden="1" x14ac:dyDescent="0.25">
      <c r="A3884" s="12" t="s">
        <v>7305</v>
      </c>
      <c r="B3884" s="3"/>
      <c r="C3884" s="18" t="s">
        <v>6619</v>
      </c>
      <c r="D3884" s="14" t="s">
        <v>8182</v>
      </c>
    </row>
    <row r="3885" spans="1:4" hidden="1" x14ac:dyDescent="0.25">
      <c r="A3885" s="12" t="s">
        <v>7306</v>
      </c>
      <c r="B3885" s="3"/>
      <c r="C3885" s="18" t="s">
        <v>6620</v>
      </c>
      <c r="D3885" s="14" t="s">
        <v>8182</v>
      </c>
    </row>
    <row r="3886" spans="1:4" hidden="1" x14ac:dyDescent="0.25">
      <c r="A3886" s="12" t="s">
        <v>7307</v>
      </c>
      <c r="B3886" s="3"/>
      <c r="C3886" s="18" t="s">
        <v>6621</v>
      </c>
      <c r="D3886" s="14" t="s">
        <v>8182</v>
      </c>
    </row>
    <row r="3887" spans="1:4" hidden="1" x14ac:dyDescent="0.25">
      <c r="A3887" s="12" t="s">
        <v>7308</v>
      </c>
      <c r="B3887" s="3"/>
      <c r="C3887" s="18" t="s">
        <v>6622</v>
      </c>
      <c r="D3887" s="14" t="s">
        <v>8182</v>
      </c>
    </row>
    <row r="3888" spans="1:4" hidden="1" x14ac:dyDescent="0.25">
      <c r="A3888" s="12" t="s">
        <v>7309</v>
      </c>
      <c r="B3888" s="3"/>
      <c r="C3888" s="19" t="s">
        <v>6623</v>
      </c>
      <c r="D3888" s="14" t="s">
        <v>8182</v>
      </c>
    </row>
    <row r="3889" spans="1:4" hidden="1" x14ac:dyDescent="0.25">
      <c r="A3889" s="12" t="s">
        <v>7310</v>
      </c>
      <c r="B3889" s="3"/>
      <c r="C3889" s="19" t="s">
        <v>6624</v>
      </c>
      <c r="D3889" s="14" t="s">
        <v>8182</v>
      </c>
    </row>
    <row r="3890" spans="1:4" hidden="1" x14ac:dyDescent="0.25">
      <c r="A3890" s="12" t="s">
        <v>7311</v>
      </c>
      <c r="B3890" s="3"/>
      <c r="C3890" s="18" t="s">
        <v>6625</v>
      </c>
      <c r="D3890" s="14" t="s">
        <v>8182</v>
      </c>
    </row>
    <row r="3891" spans="1:4" hidden="1" x14ac:dyDescent="0.25">
      <c r="A3891" s="12" t="s">
        <v>7312</v>
      </c>
      <c r="B3891" s="3"/>
      <c r="C3891" s="18" t="s">
        <v>6626</v>
      </c>
      <c r="D3891" s="14" t="s">
        <v>8182</v>
      </c>
    </row>
    <row r="3892" spans="1:4" hidden="1" x14ac:dyDescent="0.25">
      <c r="A3892" s="12" t="s">
        <v>7313</v>
      </c>
      <c r="B3892" s="3"/>
      <c r="C3892" s="18" t="s">
        <v>6627</v>
      </c>
      <c r="D3892" s="14" t="s">
        <v>8182</v>
      </c>
    </row>
    <row r="3893" spans="1:4" hidden="1" x14ac:dyDescent="0.25">
      <c r="A3893" s="12" t="s">
        <v>7314</v>
      </c>
      <c r="B3893" s="3"/>
      <c r="C3893" s="18" t="s">
        <v>6628</v>
      </c>
      <c r="D3893" s="14" t="s">
        <v>8182</v>
      </c>
    </row>
    <row r="3894" spans="1:4" hidden="1" x14ac:dyDescent="0.25">
      <c r="A3894" s="12" t="s">
        <v>7315</v>
      </c>
      <c r="B3894" s="3"/>
      <c r="C3894" s="18" t="s">
        <v>6629</v>
      </c>
      <c r="D3894" s="14" t="s">
        <v>8182</v>
      </c>
    </row>
    <row r="3895" spans="1:4" hidden="1" x14ac:dyDescent="0.25">
      <c r="A3895" s="12" t="s">
        <v>7316</v>
      </c>
      <c r="B3895" s="3"/>
      <c r="C3895" s="18" t="s">
        <v>6630</v>
      </c>
      <c r="D3895" s="14" t="s">
        <v>8182</v>
      </c>
    </row>
    <row r="3896" spans="1:4" hidden="1" x14ac:dyDescent="0.25">
      <c r="A3896" s="12" t="s">
        <v>7317</v>
      </c>
      <c r="B3896" s="3"/>
      <c r="C3896" s="18" t="s">
        <v>6631</v>
      </c>
      <c r="D3896" s="14" t="s">
        <v>8182</v>
      </c>
    </row>
    <row r="3897" spans="1:4" hidden="1" x14ac:dyDescent="0.25">
      <c r="A3897" s="12" t="s">
        <v>7318</v>
      </c>
      <c r="B3897" s="3"/>
      <c r="C3897" s="18" t="s">
        <v>6632</v>
      </c>
      <c r="D3897" s="14" t="s">
        <v>8182</v>
      </c>
    </row>
    <row r="3898" spans="1:4" hidden="1" x14ac:dyDescent="0.25">
      <c r="A3898" s="12" t="s">
        <v>7319</v>
      </c>
      <c r="B3898" s="3"/>
      <c r="C3898" s="18" t="s">
        <v>6633</v>
      </c>
      <c r="D3898" s="14" t="s">
        <v>8182</v>
      </c>
    </row>
    <row r="3899" spans="1:4" hidden="1" x14ac:dyDescent="0.25">
      <c r="A3899" s="12" t="s">
        <v>7320</v>
      </c>
      <c r="B3899" s="3"/>
      <c r="C3899" s="18" t="s">
        <v>6634</v>
      </c>
      <c r="D3899" s="14" t="s">
        <v>8182</v>
      </c>
    </row>
    <row r="3900" spans="1:4" hidden="1" x14ac:dyDescent="0.25">
      <c r="A3900" s="12" t="s">
        <v>7321</v>
      </c>
      <c r="B3900" s="3"/>
      <c r="C3900" s="18" t="s">
        <v>6635</v>
      </c>
      <c r="D3900" s="14" t="s">
        <v>8182</v>
      </c>
    </row>
    <row r="3901" spans="1:4" hidden="1" x14ac:dyDescent="0.25">
      <c r="A3901" s="12" t="s">
        <v>7322</v>
      </c>
      <c r="B3901" s="3"/>
      <c r="C3901" s="18" t="s">
        <v>6636</v>
      </c>
      <c r="D3901" s="14" t="s">
        <v>8182</v>
      </c>
    </row>
    <row r="3902" spans="1:4" hidden="1" x14ac:dyDescent="0.25">
      <c r="A3902" s="12" t="s">
        <v>7323</v>
      </c>
      <c r="B3902" s="3"/>
      <c r="C3902" s="18" t="s">
        <v>6637</v>
      </c>
      <c r="D3902" s="14" t="s">
        <v>8182</v>
      </c>
    </row>
    <row r="3903" spans="1:4" hidden="1" x14ac:dyDescent="0.25">
      <c r="A3903" s="12" t="s">
        <v>7324</v>
      </c>
      <c r="B3903" s="3"/>
      <c r="C3903" s="18" t="s">
        <v>6638</v>
      </c>
      <c r="D3903" s="14" t="s">
        <v>8182</v>
      </c>
    </row>
    <row r="3904" spans="1:4" hidden="1" x14ac:dyDescent="0.25">
      <c r="A3904" s="12" t="s">
        <v>7325</v>
      </c>
      <c r="B3904" s="3"/>
      <c r="C3904" s="18" t="s">
        <v>6639</v>
      </c>
      <c r="D3904" s="14" t="s">
        <v>8182</v>
      </c>
    </row>
    <row r="3905" spans="1:4" hidden="1" x14ac:dyDescent="0.25">
      <c r="A3905" s="12" t="s">
        <v>7326</v>
      </c>
      <c r="B3905" s="3"/>
      <c r="C3905" s="18" t="s">
        <v>6640</v>
      </c>
      <c r="D3905" s="14" t="s">
        <v>8182</v>
      </c>
    </row>
    <row r="3906" spans="1:4" hidden="1" x14ac:dyDescent="0.25">
      <c r="A3906" s="12" t="s">
        <v>7327</v>
      </c>
      <c r="B3906" s="3"/>
      <c r="C3906" s="18" t="s">
        <v>6641</v>
      </c>
      <c r="D3906" s="14" t="s">
        <v>8182</v>
      </c>
    </row>
    <row r="3907" spans="1:4" hidden="1" x14ac:dyDescent="0.25">
      <c r="A3907" s="12" t="s">
        <v>7328</v>
      </c>
      <c r="B3907" s="3"/>
      <c r="C3907" s="18" t="s">
        <v>6642</v>
      </c>
      <c r="D3907" s="14" t="s">
        <v>8182</v>
      </c>
    </row>
    <row r="3908" spans="1:4" hidden="1" x14ac:dyDescent="0.25">
      <c r="A3908" s="12" t="s">
        <v>7329</v>
      </c>
      <c r="B3908" s="3"/>
      <c r="C3908" s="18" t="s">
        <v>6643</v>
      </c>
      <c r="D3908" s="14" t="s">
        <v>8182</v>
      </c>
    </row>
    <row r="3909" spans="1:4" hidden="1" x14ac:dyDescent="0.25">
      <c r="A3909" s="12" t="s">
        <v>7330</v>
      </c>
      <c r="B3909" s="3"/>
      <c r="C3909" s="18" t="s">
        <v>6644</v>
      </c>
      <c r="D3909" s="14" t="s">
        <v>8182</v>
      </c>
    </row>
    <row r="3910" spans="1:4" hidden="1" x14ac:dyDescent="0.25">
      <c r="A3910" s="12" t="s">
        <v>7331</v>
      </c>
      <c r="B3910" s="3"/>
      <c r="C3910" s="18" t="s">
        <v>6645</v>
      </c>
      <c r="D3910" s="14" t="s">
        <v>8182</v>
      </c>
    </row>
    <row r="3911" spans="1:4" hidden="1" x14ac:dyDescent="0.25">
      <c r="A3911" s="12" t="s">
        <v>7332</v>
      </c>
      <c r="B3911" s="3"/>
      <c r="C3911" s="18" t="s">
        <v>6646</v>
      </c>
      <c r="D3911" s="14" t="s">
        <v>8182</v>
      </c>
    </row>
    <row r="3912" spans="1:4" hidden="1" x14ac:dyDescent="0.25">
      <c r="A3912" s="12" t="s">
        <v>7333</v>
      </c>
      <c r="B3912" s="3"/>
      <c r="C3912" s="18" t="s">
        <v>6647</v>
      </c>
      <c r="D3912" s="14" t="s">
        <v>8182</v>
      </c>
    </row>
    <row r="3913" spans="1:4" hidden="1" x14ac:dyDescent="0.25">
      <c r="A3913" s="12" t="s">
        <v>7334</v>
      </c>
      <c r="B3913" s="3"/>
      <c r="C3913" s="18" t="s">
        <v>6648</v>
      </c>
      <c r="D3913" s="14" t="s">
        <v>8182</v>
      </c>
    </row>
    <row r="3914" spans="1:4" hidden="1" x14ac:dyDescent="0.25">
      <c r="A3914" s="12" t="s">
        <v>7335</v>
      </c>
      <c r="B3914" s="3"/>
      <c r="C3914" s="18" t="s">
        <v>6649</v>
      </c>
      <c r="D3914" s="14" t="s">
        <v>8182</v>
      </c>
    </row>
    <row r="3915" spans="1:4" hidden="1" x14ac:dyDescent="0.25">
      <c r="A3915" s="12" t="s">
        <v>7336</v>
      </c>
      <c r="B3915" s="3"/>
      <c r="C3915" s="18" t="s">
        <v>6650</v>
      </c>
      <c r="D3915" s="14" t="s">
        <v>8182</v>
      </c>
    </row>
    <row r="3916" spans="1:4" hidden="1" x14ac:dyDescent="0.25">
      <c r="A3916" s="12" t="s">
        <v>7337</v>
      </c>
      <c r="B3916" s="3"/>
      <c r="C3916" s="18" t="s">
        <v>6651</v>
      </c>
      <c r="D3916" s="14" t="s">
        <v>8182</v>
      </c>
    </row>
    <row r="3917" spans="1:4" hidden="1" x14ac:dyDescent="0.25">
      <c r="A3917" s="12" t="s">
        <v>7338</v>
      </c>
      <c r="B3917" s="3"/>
      <c r="C3917" s="18" t="s">
        <v>6652</v>
      </c>
      <c r="D3917" s="14" t="s">
        <v>8182</v>
      </c>
    </row>
    <row r="3918" spans="1:4" hidden="1" x14ac:dyDescent="0.25">
      <c r="A3918" s="12" t="s">
        <v>7339</v>
      </c>
      <c r="B3918" s="3"/>
      <c r="C3918" s="18" t="s">
        <v>6653</v>
      </c>
      <c r="D3918" s="14" t="s">
        <v>8182</v>
      </c>
    </row>
    <row r="3919" spans="1:4" hidden="1" x14ac:dyDescent="0.25">
      <c r="A3919" s="12" t="s">
        <v>7340</v>
      </c>
      <c r="B3919" s="3"/>
      <c r="C3919" s="18" t="s">
        <v>6654</v>
      </c>
      <c r="D3919" s="14" t="s">
        <v>8182</v>
      </c>
    </row>
    <row r="3920" spans="1:4" hidden="1" x14ac:dyDescent="0.25">
      <c r="A3920" s="12" t="s">
        <v>7341</v>
      </c>
      <c r="B3920" s="3"/>
      <c r="C3920" s="18" t="s">
        <v>6655</v>
      </c>
      <c r="D3920" s="14" t="s">
        <v>8182</v>
      </c>
    </row>
    <row r="3921" spans="1:4" hidden="1" x14ac:dyDescent="0.25">
      <c r="A3921" s="12" t="s">
        <v>7342</v>
      </c>
      <c r="B3921" s="3"/>
      <c r="C3921" s="18" t="s">
        <v>6656</v>
      </c>
      <c r="D3921" s="14" t="s">
        <v>8182</v>
      </c>
    </row>
    <row r="3922" spans="1:4" hidden="1" x14ac:dyDescent="0.25">
      <c r="A3922" s="12" t="s">
        <v>7343</v>
      </c>
      <c r="B3922" s="3"/>
      <c r="C3922" s="18" t="s">
        <v>6657</v>
      </c>
      <c r="D3922" s="14" t="s">
        <v>8182</v>
      </c>
    </row>
    <row r="3923" spans="1:4" hidden="1" x14ac:dyDescent="0.25">
      <c r="A3923" s="12" t="s">
        <v>7344</v>
      </c>
      <c r="B3923" s="3"/>
      <c r="C3923" s="18" t="s">
        <v>6658</v>
      </c>
      <c r="D3923" s="14" t="s">
        <v>8182</v>
      </c>
    </row>
    <row r="3924" spans="1:4" hidden="1" x14ac:dyDescent="0.25">
      <c r="A3924" s="12" t="s">
        <v>7345</v>
      </c>
      <c r="B3924" s="3"/>
      <c r="C3924" s="18" t="s">
        <v>6659</v>
      </c>
      <c r="D3924" s="14" t="s">
        <v>8182</v>
      </c>
    </row>
    <row r="3925" spans="1:4" hidden="1" x14ac:dyDescent="0.25">
      <c r="A3925" s="12" t="s">
        <v>7346</v>
      </c>
      <c r="B3925" s="3"/>
      <c r="C3925" s="19" t="s">
        <v>6660</v>
      </c>
      <c r="D3925" s="14" t="s">
        <v>8182</v>
      </c>
    </row>
    <row r="3926" spans="1:4" hidden="1" x14ac:dyDescent="0.25">
      <c r="A3926" s="12" t="s">
        <v>7347</v>
      </c>
      <c r="B3926" s="3"/>
      <c r="C3926" s="19" t="s">
        <v>6661</v>
      </c>
      <c r="D3926" s="14" t="s">
        <v>8182</v>
      </c>
    </row>
    <row r="3927" spans="1:4" hidden="1" x14ac:dyDescent="0.25">
      <c r="A3927" s="12" t="s">
        <v>7348</v>
      </c>
      <c r="B3927" s="3"/>
      <c r="C3927" s="18" t="s">
        <v>6662</v>
      </c>
      <c r="D3927" s="14" t="s">
        <v>8182</v>
      </c>
    </row>
    <row r="3928" spans="1:4" hidden="1" x14ac:dyDescent="0.25">
      <c r="A3928" s="12" t="s">
        <v>7349</v>
      </c>
      <c r="B3928" s="3"/>
      <c r="C3928" s="18" t="s">
        <v>6663</v>
      </c>
      <c r="D3928" s="14" t="s">
        <v>8182</v>
      </c>
    </row>
    <row r="3929" spans="1:4" hidden="1" x14ac:dyDescent="0.25">
      <c r="A3929" s="12" t="s">
        <v>7350</v>
      </c>
      <c r="B3929" s="3"/>
      <c r="C3929" s="18" t="s">
        <v>6664</v>
      </c>
      <c r="D3929" s="14" t="s">
        <v>8182</v>
      </c>
    </row>
    <row r="3930" spans="1:4" hidden="1" x14ac:dyDescent="0.25">
      <c r="A3930" s="12" t="s">
        <v>7351</v>
      </c>
      <c r="B3930" s="3"/>
      <c r="C3930" s="18" t="s">
        <v>6665</v>
      </c>
      <c r="D3930" s="14" t="s">
        <v>8182</v>
      </c>
    </row>
    <row r="3931" spans="1:4" hidden="1" x14ac:dyDescent="0.25">
      <c r="A3931" s="12" t="s">
        <v>7352</v>
      </c>
      <c r="B3931" s="3"/>
      <c r="C3931" s="18" t="s">
        <v>6441</v>
      </c>
      <c r="D3931" s="14" t="s">
        <v>8182</v>
      </c>
    </row>
    <row r="3932" spans="1:4" hidden="1" x14ac:dyDescent="0.25">
      <c r="A3932" s="12" t="s">
        <v>7353</v>
      </c>
      <c r="B3932" s="3"/>
      <c r="C3932" s="18" t="s">
        <v>6442</v>
      </c>
      <c r="D3932" s="14" t="s">
        <v>8182</v>
      </c>
    </row>
    <row r="3933" spans="1:4" hidden="1" x14ac:dyDescent="0.25">
      <c r="A3933" s="12" t="s">
        <v>7354</v>
      </c>
      <c r="B3933" s="3"/>
      <c r="C3933" s="18" t="s">
        <v>6443</v>
      </c>
      <c r="D3933" s="14" t="s">
        <v>8182</v>
      </c>
    </row>
    <row r="3934" spans="1:4" hidden="1" x14ac:dyDescent="0.25">
      <c r="A3934" s="12" t="s">
        <v>7355</v>
      </c>
      <c r="B3934" s="3"/>
      <c r="C3934" s="18" t="s">
        <v>6444</v>
      </c>
      <c r="D3934" s="14" t="s">
        <v>8182</v>
      </c>
    </row>
    <row r="3935" spans="1:4" hidden="1" x14ac:dyDescent="0.25">
      <c r="A3935" s="12" t="s">
        <v>7356</v>
      </c>
      <c r="B3935" s="3"/>
      <c r="C3935" s="18" t="s">
        <v>6445</v>
      </c>
      <c r="D3935" s="14" t="s">
        <v>8182</v>
      </c>
    </row>
    <row r="3936" spans="1:4" hidden="1" x14ac:dyDescent="0.25">
      <c r="A3936" s="12" t="s">
        <v>7357</v>
      </c>
      <c r="B3936" s="3"/>
      <c r="C3936" s="18" t="s">
        <v>6446</v>
      </c>
      <c r="D3936" s="14" t="s">
        <v>8182</v>
      </c>
    </row>
    <row r="3937" spans="1:4" hidden="1" x14ac:dyDescent="0.25">
      <c r="A3937" s="12" t="s">
        <v>7358</v>
      </c>
      <c r="B3937" s="3"/>
      <c r="C3937" s="18" t="s">
        <v>6447</v>
      </c>
      <c r="D3937" s="14" t="s">
        <v>8182</v>
      </c>
    </row>
    <row r="3938" spans="1:4" hidden="1" x14ac:dyDescent="0.25">
      <c r="A3938" s="12" t="s">
        <v>7359</v>
      </c>
      <c r="B3938" s="3"/>
      <c r="C3938" s="18" t="s">
        <v>6448</v>
      </c>
      <c r="D3938" s="14" t="s">
        <v>8182</v>
      </c>
    </row>
    <row r="3939" spans="1:4" hidden="1" x14ac:dyDescent="0.25">
      <c r="A3939" s="12" t="s">
        <v>7360</v>
      </c>
      <c r="B3939" s="3"/>
      <c r="C3939" s="18" t="s">
        <v>6449</v>
      </c>
      <c r="D3939" s="14" t="s">
        <v>8182</v>
      </c>
    </row>
    <row r="3940" spans="1:4" hidden="1" x14ac:dyDescent="0.25">
      <c r="A3940" s="12" t="s">
        <v>7361</v>
      </c>
      <c r="B3940" s="3"/>
      <c r="C3940" s="18" t="s">
        <v>6450</v>
      </c>
      <c r="D3940" s="14" t="s">
        <v>8182</v>
      </c>
    </row>
    <row r="3941" spans="1:4" hidden="1" x14ac:dyDescent="0.25">
      <c r="A3941" s="12" t="s">
        <v>7362</v>
      </c>
      <c r="B3941" s="3"/>
      <c r="C3941" s="18" t="s">
        <v>6451</v>
      </c>
      <c r="D3941" s="14" t="s">
        <v>8182</v>
      </c>
    </row>
    <row r="3942" spans="1:4" hidden="1" x14ac:dyDescent="0.25">
      <c r="A3942" s="12" t="s">
        <v>7363</v>
      </c>
      <c r="B3942" s="3"/>
      <c r="C3942" s="18" t="s">
        <v>6452</v>
      </c>
      <c r="D3942" s="14" t="s">
        <v>8182</v>
      </c>
    </row>
    <row r="3943" spans="1:4" hidden="1" x14ac:dyDescent="0.25">
      <c r="A3943" s="12" t="s">
        <v>7364</v>
      </c>
      <c r="B3943" s="3"/>
      <c r="C3943" s="18" t="s">
        <v>6453</v>
      </c>
      <c r="D3943" s="14" t="s">
        <v>8182</v>
      </c>
    </row>
    <row r="3944" spans="1:4" hidden="1" x14ac:dyDescent="0.25">
      <c r="A3944" s="12" t="s">
        <v>7365</v>
      </c>
      <c r="B3944" s="3"/>
      <c r="C3944" s="18" t="s">
        <v>6454</v>
      </c>
      <c r="D3944" s="14" t="s">
        <v>8182</v>
      </c>
    </row>
    <row r="3945" spans="1:4" hidden="1" x14ac:dyDescent="0.25">
      <c r="A3945" s="12" t="s">
        <v>7366</v>
      </c>
      <c r="B3945" s="3"/>
      <c r="C3945" s="18" t="s">
        <v>6455</v>
      </c>
      <c r="D3945" s="14" t="s">
        <v>8182</v>
      </c>
    </row>
    <row r="3946" spans="1:4" hidden="1" x14ac:dyDescent="0.25">
      <c r="A3946" s="12" t="s">
        <v>7367</v>
      </c>
      <c r="B3946" s="3"/>
      <c r="C3946" s="18" t="s">
        <v>6456</v>
      </c>
      <c r="D3946" s="14" t="s">
        <v>8182</v>
      </c>
    </row>
    <row r="3947" spans="1:4" hidden="1" x14ac:dyDescent="0.25">
      <c r="A3947" s="12" t="s">
        <v>7368</v>
      </c>
      <c r="B3947" s="3"/>
      <c r="C3947" s="18" t="s">
        <v>6457</v>
      </c>
      <c r="D3947" s="14" t="s">
        <v>8182</v>
      </c>
    </row>
    <row r="3948" spans="1:4" hidden="1" x14ac:dyDescent="0.25">
      <c r="A3948" s="12" t="s">
        <v>7369</v>
      </c>
      <c r="B3948" s="3"/>
      <c r="C3948" s="18" t="s">
        <v>6458</v>
      </c>
      <c r="D3948" s="14" t="s">
        <v>8182</v>
      </c>
    </row>
    <row r="3949" spans="1:4" hidden="1" x14ac:dyDescent="0.25">
      <c r="A3949" s="12" t="s">
        <v>7370</v>
      </c>
      <c r="B3949" s="3"/>
      <c r="C3949" s="18" t="s">
        <v>6459</v>
      </c>
      <c r="D3949" s="14" t="s">
        <v>8182</v>
      </c>
    </row>
    <row r="3950" spans="1:4" hidden="1" x14ac:dyDescent="0.25">
      <c r="A3950" s="12" t="s">
        <v>7371</v>
      </c>
      <c r="B3950" s="3"/>
      <c r="C3950" s="18" t="s">
        <v>6460</v>
      </c>
      <c r="D3950" s="14" t="s">
        <v>8182</v>
      </c>
    </row>
    <row r="3951" spans="1:4" hidden="1" x14ac:dyDescent="0.25">
      <c r="A3951" s="12" t="s">
        <v>7372</v>
      </c>
      <c r="B3951" s="3"/>
      <c r="C3951" s="18" t="s">
        <v>6461</v>
      </c>
      <c r="D3951" s="14" t="s">
        <v>8182</v>
      </c>
    </row>
    <row r="3952" spans="1:4" hidden="1" x14ac:dyDescent="0.25">
      <c r="A3952" s="12" t="s">
        <v>7373</v>
      </c>
      <c r="B3952" s="3"/>
      <c r="C3952" s="18" t="s">
        <v>6462</v>
      </c>
      <c r="D3952" s="14" t="s">
        <v>8182</v>
      </c>
    </row>
    <row r="3953" spans="1:4" hidden="1" x14ac:dyDescent="0.25">
      <c r="A3953" s="12" t="s">
        <v>7374</v>
      </c>
      <c r="B3953" s="3"/>
      <c r="C3953" s="18" t="s">
        <v>6463</v>
      </c>
      <c r="D3953" s="14" t="s">
        <v>8182</v>
      </c>
    </row>
    <row r="3954" spans="1:4" hidden="1" x14ac:dyDescent="0.25">
      <c r="A3954" s="12" t="s">
        <v>7375</v>
      </c>
      <c r="B3954" s="3"/>
      <c r="C3954" s="18" t="s">
        <v>6464</v>
      </c>
      <c r="D3954" s="14" t="s">
        <v>8182</v>
      </c>
    </row>
    <row r="3955" spans="1:4" hidden="1" x14ac:dyDescent="0.25">
      <c r="A3955" s="12" t="s">
        <v>7376</v>
      </c>
      <c r="B3955" s="3"/>
      <c r="C3955" s="18" t="s">
        <v>6465</v>
      </c>
      <c r="D3955" s="14" t="s">
        <v>8182</v>
      </c>
    </row>
    <row r="3956" spans="1:4" hidden="1" x14ac:dyDescent="0.25">
      <c r="A3956" s="12" t="s">
        <v>7377</v>
      </c>
      <c r="B3956" s="3"/>
      <c r="C3956" s="18" t="s">
        <v>6466</v>
      </c>
      <c r="D3956" s="14" t="s">
        <v>8182</v>
      </c>
    </row>
    <row r="3957" spans="1:4" hidden="1" x14ac:dyDescent="0.25">
      <c r="A3957" s="12" t="s">
        <v>7378</v>
      </c>
      <c r="B3957" s="3"/>
      <c r="C3957" s="18" t="s">
        <v>6467</v>
      </c>
      <c r="D3957" s="14" t="s">
        <v>8182</v>
      </c>
    </row>
    <row r="3958" spans="1:4" hidden="1" x14ac:dyDescent="0.25">
      <c r="A3958" s="12" t="s">
        <v>7379</v>
      </c>
      <c r="B3958" s="3"/>
      <c r="C3958" s="18" t="s">
        <v>6468</v>
      </c>
      <c r="D3958" s="14" t="s">
        <v>8182</v>
      </c>
    </row>
    <row r="3959" spans="1:4" hidden="1" x14ac:dyDescent="0.25">
      <c r="A3959" s="12" t="s">
        <v>7380</v>
      </c>
      <c r="B3959" s="3"/>
      <c r="C3959" s="18" t="s">
        <v>6469</v>
      </c>
      <c r="D3959" s="14" t="s">
        <v>8182</v>
      </c>
    </row>
    <row r="3960" spans="1:4" hidden="1" x14ac:dyDescent="0.25">
      <c r="A3960" s="12" t="s">
        <v>7381</v>
      </c>
      <c r="B3960" s="3"/>
      <c r="C3960" s="18" t="s">
        <v>6470</v>
      </c>
      <c r="D3960" s="14" t="s">
        <v>8182</v>
      </c>
    </row>
    <row r="3961" spans="1:4" hidden="1" x14ac:dyDescent="0.25">
      <c r="A3961" s="12" t="s">
        <v>7382</v>
      </c>
      <c r="B3961" s="3"/>
      <c r="C3961" s="18" t="s">
        <v>6471</v>
      </c>
      <c r="D3961" s="14" t="s">
        <v>8182</v>
      </c>
    </row>
    <row r="3962" spans="1:4" hidden="1" x14ac:dyDescent="0.25">
      <c r="A3962" s="12" t="s">
        <v>7383</v>
      </c>
      <c r="B3962" s="3"/>
      <c r="C3962" s="18" t="s">
        <v>6472</v>
      </c>
      <c r="D3962" s="14" t="s">
        <v>8182</v>
      </c>
    </row>
    <row r="3963" spans="1:4" hidden="1" x14ac:dyDescent="0.25">
      <c r="A3963" s="12" t="s">
        <v>7384</v>
      </c>
      <c r="B3963" s="3"/>
      <c r="C3963" s="19" t="s">
        <v>6473</v>
      </c>
      <c r="D3963" s="14" t="s">
        <v>8182</v>
      </c>
    </row>
    <row r="3964" spans="1:4" hidden="1" x14ac:dyDescent="0.25">
      <c r="A3964" s="12" t="s">
        <v>7385</v>
      </c>
      <c r="B3964" s="3"/>
      <c r="C3964" s="19" t="s">
        <v>6474</v>
      </c>
      <c r="D3964" s="14" t="s">
        <v>8182</v>
      </c>
    </row>
    <row r="3965" spans="1:4" hidden="1" x14ac:dyDescent="0.25">
      <c r="A3965" s="12" t="s">
        <v>7386</v>
      </c>
      <c r="B3965" s="3"/>
      <c r="C3965" s="18" t="s">
        <v>6475</v>
      </c>
      <c r="D3965" s="14" t="s">
        <v>8182</v>
      </c>
    </row>
    <row r="3966" spans="1:4" hidden="1" x14ac:dyDescent="0.25">
      <c r="A3966" s="12" t="s">
        <v>7387</v>
      </c>
      <c r="B3966" s="3"/>
      <c r="C3966" s="18" t="s">
        <v>6476</v>
      </c>
      <c r="D3966" s="14" t="s">
        <v>8182</v>
      </c>
    </row>
    <row r="3967" spans="1:4" hidden="1" x14ac:dyDescent="0.25">
      <c r="A3967" s="12" t="s">
        <v>7388</v>
      </c>
      <c r="B3967" s="3"/>
      <c r="C3967" s="18" t="s">
        <v>6477</v>
      </c>
      <c r="D3967" s="14" t="s">
        <v>8182</v>
      </c>
    </row>
    <row r="3968" spans="1:4" hidden="1" x14ac:dyDescent="0.25">
      <c r="A3968" s="12" t="s">
        <v>7389</v>
      </c>
      <c r="B3968" s="3"/>
      <c r="C3968" s="18" t="s">
        <v>6478</v>
      </c>
      <c r="D3968" s="14" t="s">
        <v>8182</v>
      </c>
    </row>
    <row r="3969" spans="1:4" hidden="1" x14ac:dyDescent="0.25">
      <c r="A3969" s="12" t="s">
        <v>7390</v>
      </c>
      <c r="B3969" s="3"/>
      <c r="C3969" s="18" t="s">
        <v>6479</v>
      </c>
      <c r="D3969" s="14" t="s">
        <v>8182</v>
      </c>
    </row>
    <row r="3970" spans="1:4" hidden="1" x14ac:dyDescent="0.25">
      <c r="A3970" s="12" t="s">
        <v>7391</v>
      </c>
      <c r="B3970" s="3"/>
      <c r="C3970" s="18" t="s">
        <v>6480</v>
      </c>
      <c r="D3970" s="14" t="s">
        <v>8182</v>
      </c>
    </row>
    <row r="3971" spans="1:4" hidden="1" x14ac:dyDescent="0.25">
      <c r="A3971" s="12" t="s">
        <v>7392</v>
      </c>
      <c r="B3971" s="3"/>
      <c r="C3971" s="18" t="s">
        <v>6481</v>
      </c>
      <c r="D3971" s="14" t="s">
        <v>8182</v>
      </c>
    </row>
    <row r="3972" spans="1:4" hidden="1" x14ac:dyDescent="0.25">
      <c r="A3972" s="12" t="s">
        <v>7393</v>
      </c>
      <c r="B3972" s="3"/>
      <c r="C3972" s="18" t="s">
        <v>6482</v>
      </c>
      <c r="D3972" s="14" t="s">
        <v>8182</v>
      </c>
    </row>
    <row r="3973" spans="1:4" hidden="1" x14ac:dyDescent="0.25">
      <c r="A3973" s="12" t="s">
        <v>7394</v>
      </c>
      <c r="B3973" s="3"/>
      <c r="C3973" s="18" t="s">
        <v>6483</v>
      </c>
      <c r="D3973" s="14" t="s">
        <v>8182</v>
      </c>
    </row>
    <row r="3974" spans="1:4" hidden="1" x14ac:dyDescent="0.25">
      <c r="A3974" s="12" t="s">
        <v>7395</v>
      </c>
      <c r="B3974" s="3"/>
      <c r="C3974" s="18" t="s">
        <v>6484</v>
      </c>
      <c r="D3974" s="14" t="s">
        <v>8182</v>
      </c>
    </row>
    <row r="3975" spans="1:4" hidden="1" x14ac:dyDescent="0.25">
      <c r="A3975" s="12" t="s">
        <v>7396</v>
      </c>
      <c r="B3975" s="3"/>
      <c r="C3975" s="18" t="s">
        <v>6485</v>
      </c>
      <c r="D3975" s="14" t="s">
        <v>8182</v>
      </c>
    </row>
    <row r="3976" spans="1:4" hidden="1" x14ac:dyDescent="0.25">
      <c r="A3976" s="12" t="s">
        <v>7397</v>
      </c>
      <c r="B3976" s="3"/>
      <c r="C3976" s="18" t="s">
        <v>6486</v>
      </c>
      <c r="D3976" s="14" t="s">
        <v>8182</v>
      </c>
    </row>
    <row r="3977" spans="1:4" hidden="1" x14ac:dyDescent="0.25">
      <c r="A3977" s="12" t="s">
        <v>7398</v>
      </c>
      <c r="B3977" s="3"/>
      <c r="C3977" s="18" t="s">
        <v>6487</v>
      </c>
      <c r="D3977" s="14" t="s">
        <v>8182</v>
      </c>
    </row>
    <row r="3978" spans="1:4" hidden="1" x14ac:dyDescent="0.25">
      <c r="A3978" s="12" t="s">
        <v>7399</v>
      </c>
      <c r="B3978" s="3"/>
      <c r="C3978" s="18" t="s">
        <v>6488</v>
      </c>
      <c r="D3978" s="14" t="s">
        <v>8182</v>
      </c>
    </row>
    <row r="3979" spans="1:4" hidden="1" x14ac:dyDescent="0.25">
      <c r="A3979" s="12" t="s">
        <v>7400</v>
      </c>
      <c r="B3979" s="3"/>
      <c r="C3979" s="18" t="s">
        <v>6489</v>
      </c>
      <c r="D3979" s="14" t="s">
        <v>8182</v>
      </c>
    </row>
    <row r="3980" spans="1:4" hidden="1" x14ac:dyDescent="0.25">
      <c r="A3980" s="12" t="s">
        <v>7401</v>
      </c>
      <c r="B3980" s="3"/>
      <c r="C3980" s="18" t="s">
        <v>6490</v>
      </c>
      <c r="D3980" s="14" t="s">
        <v>8182</v>
      </c>
    </row>
    <row r="3981" spans="1:4" hidden="1" x14ac:dyDescent="0.25">
      <c r="A3981" s="12" t="s">
        <v>7402</v>
      </c>
      <c r="B3981" s="3"/>
      <c r="C3981" s="18" t="s">
        <v>6491</v>
      </c>
      <c r="D3981" s="14" t="s">
        <v>8182</v>
      </c>
    </row>
    <row r="3982" spans="1:4" hidden="1" x14ac:dyDescent="0.25">
      <c r="A3982" s="12" t="s">
        <v>7403</v>
      </c>
      <c r="B3982" s="3"/>
      <c r="C3982" s="18" t="s">
        <v>6492</v>
      </c>
      <c r="D3982" s="14" t="s">
        <v>8182</v>
      </c>
    </row>
    <row r="3983" spans="1:4" hidden="1" x14ac:dyDescent="0.25">
      <c r="A3983" s="12" t="s">
        <v>7404</v>
      </c>
      <c r="B3983" s="3"/>
      <c r="C3983" s="18" t="s">
        <v>6493</v>
      </c>
      <c r="D3983" s="14" t="s">
        <v>8182</v>
      </c>
    </row>
    <row r="3984" spans="1:4" hidden="1" x14ac:dyDescent="0.25">
      <c r="A3984" s="12" t="s">
        <v>7405</v>
      </c>
      <c r="B3984" s="3"/>
      <c r="C3984" s="18" t="s">
        <v>6494</v>
      </c>
      <c r="D3984" s="14" t="s">
        <v>8182</v>
      </c>
    </row>
    <row r="3985" spans="1:4" hidden="1" x14ac:dyDescent="0.25">
      <c r="A3985" s="12" t="s">
        <v>7406</v>
      </c>
      <c r="B3985" s="3"/>
      <c r="C3985" s="18" t="s">
        <v>6495</v>
      </c>
      <c r="D3985" s="14" t="s">
        <v>8182</v>
      </c>
    </row>
    <row r="3986" spans="1:4" hidden="1" x14ac:dyDescent="0.25">
      <c r="A3986" s="12" t="s">
        <v>7407</v>
      </c>
      <c r="B3986" s="3"/>
      <c r="C3986" s="18" t="s">
        <v>6496</v>
      </c>
      <c r="D3986" s="14" t="s">
        <v>8182</v>
      </c>
    </row>
    <row r="3987" spans="1:4" hidden="1" x14ac:dyDescent="0.25">
      <c r="A3987" s="12" t="s">
        <v>7408</v>
      </c>
      <c r="B3987" s="3"/>
      <c r="C3987" s="18" t="s">
        <v>6497</v>
      </c>
      <c r="D3987" s="14" t="s">
        <v>8182</v>
      </c>
    </row>
    <row r="3988" spans="1:4" hidden="1" x14ac:dyDescent="0.25">
      <c r="A3988" s="12" t="s">
        <v>7409</v>
      </c>
      <c r="B3988" s="3"/>
      <c r="C3988" s="18" t="s">
        <v>6498</v>
      </c>
      <c r="D3988" s="14" t="s">
        <v>8182</v>
      </c>
    </row>
    <row r="3989" spans="1:4" hidden="1" x14ac:dyDescent="0.25">
      <c r="A3989" s="12" t="s">
        <v>7410</v>
      </c>
      <c r="B3989" s="3"/>
      <c r="C3989" s="18" t="s">
        <v>6499</v>
      </c>
      <c r="D3989" s="14" t="s">
        <v>8182</v>
      </c>
    </row>
    <row r="3990" spans="1:4" hidden="1" x14ac:dyDescent="0.25">
      <c r="A3990" s="12" t="s">
        <v>7411</v>
      </c>
      <c r="B3990" s="3"/>
      <c r="C3990" s="18" t="s">
        <v>6500</v>
      </c>
      <c r="D3990" s="14" t="s">
        <v>8182</v>
      </c>
    </row>
    <row r="3991" spans="1:4" hidden="1" x14ac:dyDescent="0.25">
      <c r="A3991" s="12" t="s">
        <v>7412</v>
      </c>
      <c r="B3991" s="3"/>
      <c r="C3991" s="18" t="s">
        <v>6501</v>
      </c>
      <c r="D3991" s="14" t="s">
        <v>8182</v>
      </c>
    </row>
    <row r="3992" spans="1:4" hidden="1" x14ac:dyDescent="0.25">
      <c r="A3992" s="12" t="s">
        <v>7413</v>
      </c>
      <c r="B3992" s="3"/>
      <c r="C3992" s="18" t="s">
        <v>6502</v>
      </c>
      <c r="D3992" s="14" t="s">
        <v>8182</v>
      </c>
    </row>
    <row r="3993" spans="1:4" hidden="1" x14ac:dyDescent="0.25">
      <c r="A3993" s="12" t="s">
        <v>7414</v>
      </c>
      <c r="B3993" s="3"/>
      <c r="C3993" s="18" t="s">
        <v>6503</v>
      </c>
      <c r="D3993" s="14" t="s">
        <v>8182</v>
      </c>
    </row>
    <row r="3994" spans="1:4" hidden="1" x14ac:dyDescent="0.25">
      <c r="A3994" s="12" t="s">
        <v>7415</v>
      </c>
      <c r="B3994" s="3"/>
      <c r="C3994" s="18" t="s">
        <v>6504</v>
      </c>
      <c r="D3994" s="14" t="s">
        <v>8182</v>
      </c>
    </row>
    <row r="3995" spans="1:4" hidden="1" x14ac:dyDescent="0.25">
      <c r="A3995" s="12" t="s">
        <v>7416</v>
      </c>
      <c r="B3995" s="3"/>
      <c r="C3995" s="18" t="s">
        <v>6505</v>
      </c>
      <c r="D3995" s="14" t="s">
        <v>8182</v>
      </c>
    </row>
    <row r="3996" spans="1:4" hidden="1" x14ac:dyDescent="0.25">
      <c r="A3996" s="12" t="s">
        <v>7417</v>
      </c>
      <c r="B3996" s="3"/>
      <c r="C3996" s="18" t="s">
        <v>6506</v>
      </c>
      <c r="D3996" s="14" t="s">
        <v>8182</v>
      </c>
    </row>
    <row r="3997" spans="1:4" hidden="1" x14ac:dyDescent="0.25">
      <c r="A3997" s="12" t="s">
        <v>7418</v>
      </c>
      <c r="B3997" s="3"/>
      <c r="C3997" s="18" t="s">
        <v>6507</v>
      </c>
      <c r="D3997" s="14" t="s">
        <v>8182</v>
      </c>
    </row>
    <row r="3998" spans="1:4" hidden="1" x14ac:dyDescent="0.25">
      <c r="A3998" s="12" t="s">
        <v>7419</v>
      </c>
      <c r="B3998" s="3"/>
      <c r="C3998" s="18" t="s">
        <v>6508</v>
      </c>
      <c r="D3998" s="14" t="s">
        <v>8182</v>
      </c>
    </row>
    <row r="3999" spans="1:4" hidden="1" x14ac:dyDescent="0.25">
      <c r="A3999" s="12" t="s">
        <v>7420</v>
      </c>
      <c r="B3999" s="3"/>
      <c r="C3999" s="18" t="s">
        <v>6509</v>
      </c>
      <c r="D3999" s="14" t="s">
        <v>8182</v>
      </c>
    </row>
    <row r="4000" spans="1:4" hidden="1" x14ac:dyDescent="0.25">
      <c r="A4000" s="12" t="s">
        <v>7421</v>
      </c>
      <c r="B4000" s="3"/>
      <c r="C4000" s="19" t="s">
        <v>6510</v>
      </c>
      <c r="D4000" s="14" t="s">
        <v>8182</v>
      </c>
    </row>
    <row r="4001" spans="1:4" hidden="1" x14ac:dyDescent="0.25">
      <c r="A4001" s="12" t="s">
        <v>7422</v>
      </c>
      <c r="B4001" s="3"/>
      <c r="C4001" s="19" t="s">
        <v>6511</v>
      </c>
      <c r="D4001" s="14" t="s">
        <v>8182</v>
      </c>
    </row>
    <row r="4002" spans="1:4" hidden="1" x14ac:dyDescent="0.25">
      <c r="A4002" s="12" t="s">
        <v>7423</v>
      </c>
      <c r="B4002" s="3"/>
      <c r="C4002" s="18" t="s">
        <v>6512</v>
      </c>
      <c r="D4002" s="14" t="s">
        <v>8182</v>
      </c>
    </row>
    <row r="4003" spans="1:4" hidden="1" x14ac:dyDescent="0.25">
      <c r="A4003" s="12" t="s">
        <v>7424</v>
      </c>
      <c r="B4003" s="3"/>
      <c r="C4003" s="18" t="s">
        <v>6513</v>
      </c>
      <c r="D4003" s="14" t="s">
        <v>8182</v>
      </c>
    </row>
    <row r="4004" spans="1:4" hidden="1" x14ac:dyDescent="0.25">
      <c r="A4004" s="12" t="s">
        <v>7425</v>
      </c>
      <c r="B4004" s="3"/>
      <c r="C4004" s="18" t="s">
        <v>6514</v>
      </c>
      <c r="D4004" s="14" t="s">
        <v>8182</v>
      </c>
    </row>
    <row r="4005" spans="1:4" hidden="1" x14ac:dyDescent="0.25">
      <c r="A4005" s="12" t="s">
        <v>7426</v>
      </c>
      <c r="B4005" s="3"/>
      <c r="C4005" s="18" t="s">
        <v>6515</v>
      </c>
      <c r="D4005" s="14" t="s">
        <v>8182</v>
      </c>
    </row>
    <row r="4006" spans="1:4" hidden="1" x14ac:dyDescent="0.25">
      <c r="A4006" s="12" t="s">
        <v>7427</v>
      </c>
      <c r="B4006" s="3"/>
      <c r="C4006" s="18" t="s">
        <v>6516</v>
      </c>
      <c r="D4006" s="14" t="s">
        <v>8182</v>
      </c>
    </row>
    <row r="4007" spans="1:4" hidden="1" x14ac:dyDescent="0.25">
      <c r="A4007" s="12" t="s">
        <v>7428</v>
      </c>
      <c r="B4007" s="3"/>
      <c r="C4007" s="18" t="s">
        <v>6517</v>
      </c>
      <c r="D4007" s="14" t="s">
        <v>8182</v>
      </c>
    </row>
    <row r="4008" spans="1:4" hidden="1" x14ac:dyDescent="0.25">
      <c r="A4008" s="12" t="s">
        <v>7429</v>
      </c>
      <c r="B4008" s="3"/>
      <c r="C4008" s="18" t="s">
        <v>6518</v>
      </c>
      <c r="D4008" s="14" t="s">
        <v>8182</v>
      </c>
    </row>
    <row r="4009" spans="1:4" hidden="1" x14ac:dyDescent="0.25">
      <c r="A4009" s="12" t="s">
        <v>7430</v>
      </c>
      <c r="B4009" s="3"/>
      <c r="C4009" s="18" t="s">
        <v>6519</v>
      </c>
      <c r="D4009" s="14" t="s">
        <v>8182</v>
      </c>
    </row>
    <row r="4010" spans="1:4" hidden="1" x14ac:dyDescent="0.25">
      <c r="A4010" s="12" t="s">
        <v>7431</v>
      </c>
      <c r="B4010" s="3"/>
      <c r="C4010" s="18" t="s">
        <v>6520</v>
      </c>
      <c r="D4010" s="14" t="s">
        <v>8182</v>
      </c>
    </row>
    <row r="4011" spans="1:4" hidden="1" x14ac:dyDescent="0.25">
      <c r="A4011" s="12" t="s">
        <v>7432</v>
      </c>
      <c r="B4011" s="3"/>
      <c r="C4011" s="18" t="s">
        <v>6521</v>
      </c>
      <c r="D4011" s="14" t="s">
        <v>8182</v>
      </c>
    </row>
    <row r="4012" spans="1:4" hidden="1" x14ac:dyDescent="0.25">
      <c r="A4012" s="12" t="s">
        <v>7433</v>
      </c>
      <c r="B4012" s="3"/>
      <c r="C4012" s="18" t="s">
        <v>6522</v>
      </c>
      <c r="D4012" s="14" t="s">
        <v>8182</v>
      </c>
    </row>
    <row r="4013" spans="1:4" hidden="1" x14ac:dyDescent="0.25">
      <c r="A4013" s="12" t="s">
        <v>7434</v>
      </c>
      <c r="B4013" s="3"/>
      <c r="C4013" s="18" t="s">
        <v>6523</v>
      </c>
      <c r="D4013" s="14" t="s">
        <v>8182</v>
      </c>
    </row>
    <row r="4014" spans="1:4" hidden="1" x14ac:dyDescent="0.25">
      <c r="A4014" s="12" t="s">
        <v>7435</v>
      </c>
      <c r="B4014" s="3"/>
      <c r="C4014" s="18" t="s">
        <v>6524</v>
      </c>
      <c r="D4014" s="14" t="s">
        <v>8182</v>
      </c>
    </row>
    <row r="4015" spans="1:4" hidden="1" x14ac:dyDescent="0.25">
      <c r="A4015" s="12" t="s">
        <v>7436</v>
      </c>
      <c r="B4015" s="3"/>
      <c r="C4015" s="18" t="s">
        <v>6525</v>
      </c>
      <c r="D4015" s="14" t="s">
        <v>8182</v>
      </c>
    </row>
    <row r="4016" spans="1:4" hidden="1" x14ac:dyDescent="0.25">
      <c r="A4016" s="12" t="s">
        <v>7437</v>
      </c>
      <c r="B4016" s="3"/>
      <c r="C4016" s="18" t="s">
        <v>6526</v>
      </c>
      <c r="D4016" s="14" t="s">
        <v>8182</v>
      </c>
    </row>
    <row r="4017" spans="1:4" hidden="1" x14ac:dyDescent="0.25">
      <c r="A4017" s="12" t="s">
        <v>7438</v>
      </c>
      <c r="B4017" s="3"/>
      <c r="C4017" s="18" t="s">
        <v>6527</v>
      </c>
      <c r="D4017" s="14" t="s">
        <v>8182</v>
      </c>
    </row>
    <row r="4018" spans="1:4" hidden="1" x14ac:dyDescent="0.25">
      <c r="A4018" s="12" t="s">
        <v>7439</v>
      </c>
      <c r="B4018" s="3"/>
      <c r="C4018" s="18" t="s">
        <v>6528</v>
      </c>
      <c r="D4018" s="14" t="s">
        <v>8182</v>
      </c>
    </row>
    <row r="4019" spans="1:4" hidden="1" x14ac:dyDescent="0.25">
      <c r="A4019" s="12" t="s">
        <v>7440</v>
      </c>
      <c r="B4019" s="3"/>
      <c r="C4019" s="18" t="s">
        <v>6529</v>
      </c>
      <c r="D4019" s="14" t="s">
        <v>8182</v>
      </c>
    </row>
    <row r="4020" spans="1:4" hidden="1" x14ac:dyDescent="0.25">
      <c r="A4020" s="12" t="s">
        <v>7441</v>
      </c>
      <c r="B4020" s="3"/>
      <c r="C4020" s="18" t="s">
        <v>6530</v>
      </c>
      <c r="D4020" s="14" t="s">
        <v>8182</v>
      </c>
    </row>
    <row r="4021" spans="1:4" hidden="1" x14ac:dyDescent="0.25">
      <c r="A4021" s="12" t="s">
        <v>7442</v>
      </c>
      <c r="B4021" s="3"/>
      <c r="C4021" s="18" t="s">
        <v>6531</v>
      </c>
      <c r="D4021" s="14" t="s">
        <v>8182</v>
      </c>
    </row>
    <row r="4022" spans="1:4" hidden="1" x14ac:dyDescent="0.25">
      <c r="A4022" s="12" t="s">
        <v>7443</v>
      </c>
      <c r="B4022" s="3"/>
      <c r="C4022" s="18" t="s">
        <v>6532</v>
      </c>
      <c r="D4022" s="14" t="s">
        <v>8182</v>
      </c>
    </row>
    <row r="4023" spans="1:4" hidden="1" x14ac:dyDescent="0.25">
      <c r="A4023" s="12" t="s">
        <v>7444</v>
      </c>
      <c r="B4023" s="3"/>
      <c r="C4023" s="18" t="s">
        <v>6533</v>
      </c>
      <c r="D4023" s="14" t="s">
        <v>8182</v>
      </c>
    </row>
    <row r="4024" spans="1:4" hidden="1" x14ac:dyDescent="0.25">
      <c r="A4024" s="12" t="s">
        <v>7445</v>
      </c>
      <c r="B4024" s="3"/>
      <c r="C4024" s="18" t="s">
        <v>6534</v>
      </c>
      <c r="D4024" s="14" t="s">
        <v>8182</v>
      </c>
    </row>
    <row r="4025" spans="1:4" hidden="1" x14ac:dyDescent="0.25">
      <c r="A4025" s="12" t="s">
        <v>7446</v>
      </c>
      <c r="B4025" s="3"/>
      <c r="C4025" s="18" t="s">
        <v>6535</v>
      </c>
      <c r="D4025" s="14" t="s">
        <v>8182</v>
      </c>
    </row>
    <row r="4026" spans="1:4" hidden="1" x14ac:dyDescent="0.25">
      <c r="A4026" s="12" t="s">
        <v>7447</v>
      </c>
      <c r="B4026" s="3"/>
      <c r="C4026" s="18" t="s">
        <v>6536</v>
      </c>
      <c r="D4026" s="14" t="s">
        <v>8182</v>
      </c>
    </row>
    <row r="4027" spans="1:4" hidden="1" x14ac:dyDescent="0.25">
      <c r="A4027" s="12" t="s">
        <v>7448</v>
      </c>
      <c r="B4027" s="3"/>
      <c r="C4027" s="18" t="s">
        <v>6537</v>
      </c>
      <c r="D4027" s="14" t="s">
        <v>8182</v>
      </c>
    </row>
    <row r="4028" spans="1:4" hidden="1" x14ac:dyDescent="0.25">
      <c r="A4028" s="12" t="s">
        <v>7449</v>
      </c>
      <c r="B4028" s="3"/>
      <c r="C4028" s="18" t="s">
        <v>6538</v>
      </c>
      <c r="D4028" s="14" t="s">
        <v>8182</v>
      </c>
    </row>
    <row r="4029" spans="1:4" hidden="1" x14ac:dyDescent="0.25">
      <c r="A4029" s="12" t="s">
        <v>7450</v>
      </c>
      <c r="B4029" s="3"/>
      <c r="C4029" s="18" t="s">
        <v>6539</v>
      </c>
      <c r="D4029" s="14" t="s">
        <v>8182</v>
      </c>
    </row>
    <row r="4030" spans="1:4" hidden="1" x14ac:dyDescent="0.25">
      <c r="A4030" s="12" t="s">
        <v>7451</v>
      </c>
      <c r="B4030" s="3"/>
      <c r="C4030" s="18" t="s">
        <v>6540</v>
      </c>
      <c r="D4030" s="14" t="s">
        <v>8182</v>
      </c>
    </row>
    <row r="4031" spans="1:4" hidden="1" x14ac:dyDescent="0.25">
      <c r="A4031" s="12" t="s">
        <v>7452</v>
      </c>
      <c r="B4031" s="3"/>
      <c r="C4031" s="18" t="s">
        <v>6541</v>
      </c>
      <c r="D4031" s="14" t="s">
        <v>8182</v>
      </c>
    </row>
    <row r="4032" spans="1:4" hidden="1" x14ac:dyDescent="0.25">
      <c r="A4032" s="12" t="s">
        <v>7453</v>
      </c>
      <c r="B4032" s="3"/>
      <c r="C4032" s="18" t="s">
        <v>6542</v>
      </c>
      <c r="D4032" s="14" t="s">
        <v>8182</v>
      </c>
    </row>
    <row r="4033" spans="1:4" hidden="1" x14ac:dyDescent="0.25">
      <c r="A4033" s="12" t="s">
        <v>7454</v>
      </c>
      <c r="B4033" s="3"/>
      <c r="C4033" s="18" t="s">
        <v>6543</v>
      </c>
      <c r="D4033" s="14" t="s">
        <v>8182</v>
      </c>
    </row>
    <row r="4034" spans="1:4" hidden="1" x14ac:dyDescent="0.25">
      <c r="A4034" s="12" t="s">
        <v>7455</v>
      </c>
      <c r="B4034" s="3"/>
      <c r="C4034" s="18" t="s">
        <v>6544</v>
      </c>
      <c r="D4034" s="14" t="s">
        <v>8182</v>
      </c>
    </row>
    <row r="4035" spans="1:4" hidden="1" x14ac:dyDescent="0.25">
      <c r="A4035" s="12" t="s">
        <v>7456</v>
      </c>
      <c r="B4035" s="3"/>
      <c r="C4035" s="18" t="s">
        <v>6545</v>
      </c>
      <c r="D4035" s="14" t="s">
        <v>8182</v>
      </c>
    </row>
    <row r="4036" spans="1:4" hidden="1" x14ac:dyDescent="0.25">
      <c r="A4036" s="12" t="s">
        <v>7457</v>
      </c>
      <c r="B4036" s="3"/>
      <c r="C4036" s="18" t="s">
        <v>6546</v>
      </c>
      <c r="D4036" s="14" t="s">
        <v>8182</v>
      </c>
    </row>
    <row r="4037" spans="1:4" hidden="1" x14ac:dyDescent="0.25">
      <c r="A4037" s="12" t="s">
        <v>7458</v>
      </c>
      <c r="B4037" s="3"/>
      <c r="C4037" s="18" t="s">
        <v>6547</v>
      </c>
      <c r="D4037" s="14" t="s">
        <v>8182</v>
      </c>
    </row>
    <row r="4038" spans="1:4" hidden="1" x14ac:dyDescent="0.25">
      <c r="A4038" s="12" t="s">
        <v>7459</v>
      </c>
      <c r="B4038" s="3"/>
      <c r="C4038" s="19" t="s">
        <v>6548</v>
      </c>
      <c r="D4038" s="14" t="s">
        <v>8182</v>
      </c>
    </row>
    <row r="4039" spans="1:4" hidden="1" x14ac:dyDescent="0.25">
      <c r="A4039" s="12" t="s">
        <v>7460</v>
      </c>
      <c r="B4039" s="3"/>
      <c r="C4039" s="19" t="s">
        <v>6549</v>
      </c>
      <c r="D4039" s="14" t="s">
        <v>8182</v>
      </c>
    </row>
    <row r="4040" spans="1:4" hidden="1" x14ac:dyDescent="0.25">
      <c r="A4040" s="12" t="s">
        <v>7461</v>
      </c>
      <c r="B4040" s="3"/>
      <c r="C4040" s="18" t="s">
        <v>6550</v>
      </c>
      <c r="D4040" s="14" t="s">
        <v>8182</v>
      </c>
    </row>
    <row r="4041" spans="1:4" hidden="1" x14ac:dyDescent="0.25">
      <c r="A4041" s="12" t="s">
        <v>7462</v>
      </c>
      <c r="B4041" s="3"/>
      <c r="C4041" s="18" t="s">
        <v>6551</v>
      </c>
      <c r="D4041" s="14" t="s">
        <v>8182</v>
      </c>
    </row>
    <row r="4042" spans="1:4" hidden="1" x14ac:dyDescent="0.25">
      <c r="A4042" s="12" t="s">
        <v>7463</v>
      </c>
      <c r="B4042" s="3"/>
      <c r="C4042" s="18" t="s">
        <v>6552</v>
      </c>
      <c r="D4042" s="14" t="s">
        <v>8182</v>
      </c>
    </row>
    <row r="4043" spans="1:4" hidden="1" x14ac:dyDescent="0.25">
      <c r="A4043" s="12" t="s">
        <v>7464</v>
      </c>
      <c r="B4043" s="3"/>
      <c r="C4043" s="18" t="s">
        <v>6553</v>
      </c>
      <c r="D4043" s="14" t="s">
        <v>8182</v>
      </c>
    </row>
    <row r="4044" spans="1:4" hidden="1" x14ac:dyDescent="0.25">
      <c r="A4044" s="12" t="s">
        <v>7465</v>
      </c>
      <c r="B4044" s="3"/>
      <c r="C4044" s="18" t="s">
        <v>6554</v>
      </c>
      <c r="D4044" s="14" t="s">
        <v>8182</v>
      </c>
    </row>
    <row r="4045" spans="1:4" hidden="1" x14ac:dyDescent="0.25">
      <c r="A4045" s="12" t="s">
        <v>7466</v>
      </c>
      <c r="B4045" s="3"/>
      <c r="C4045" s="18" t="s">
        <v>6555</v>
      </c>
      <c r="D4045" s="14" t="s">
        <v>8182</v>
      </c>
    </row>
    <row r="4046" spans="1:4" hidden="1" x14ac:dyDescent="0.25">
      <c r="A4046" s="12" t="s">
        <v>7467</v>
      </c>
      <c r="B4046" s="3"/>
      <c r="C4046" s="18" t="s">
        <v>6556</v>
      </c>
      <c r="D4046" s="14" t="s">
        <v>8182</v>
      </c>
    </row>
    <row r="4047" spans="1:4" hidden="1" x14ac:dyDescent="0.25">
      <c r="A4047" s="12" t="s">
        <v>7468</v>
      </c>
      <c r="B4047" s="3"/>
      <c r="C4047" s="18" t="s">
        <v>6557</v>
      </c>
      <c r="D4047" s="14" t="s">
        <v>8182</v>
      </c>
    </row>
    <row r="4048" spans="1:4" hidden="1" x14ac:dyDescent="0.25">
      <c r="A4048" s="12" t="s">
        <v>7469</v>
      </c>
      <c r="B4048" s="3"/>
      <c r="C4048" s="18" t="s">
        <v>6558</v>
      </c>
      <c r="D4048" s="14" t="s">
        <v>8182</v>
      </c>
    </row>
    <row r="4049" spans="1:4" hidden="1" x14ac:dyDescent="0.25">
      <c r="A4049" s="12" t="s">
        <v>7470</v>
      </c>
      <c r="B4049" s="3"/>
      <c r="C4049" s="18" t="s">
        <v>6559</v>
      </c>
      <c r="D4049" s="14" t="s">
        <v>8182</v>
      </c>
    </row>
    <row r="4050" spans="1:4" hidden="1" x14ac:dyDescent="0.25">
      <c r="A4050" s="12" t="s">
        <v>7471</v>
      </c>
      <c r="B4050" s="3"/>
      <c r="C4050" s="18" t="s">
        <v>6560</v>
      </c>
      <c r="D4050" s="14" t="s">
        <v>8182</v>
      </c>
    </row>
    <row r="4051" spans="1:4" hidden="1" x14ac:dyDescent="0.25">
      <c r="A4051" s="12" t="s">
        <v>7472</v>
      </c>
      <c r="B4051" s="3"/>
      <c r="C4051" s="18" t="s">
        <v>6561</v>
      </c>
      <c r="D4051" s="14" t="s">
        <v>8182</v>
      </c>
    </row>
    <row r="4052" spans="1:4" hidden="1" x14ac:dyDescent="0.25">
      <c r="A4052" s="12" t="s">
        <v>7473</v>
      </c>
      <c r="B4052" s="3"/>
      <c r="C4052" s="18" t="s">
        <v>6562</v>
      </c>
      <c r="D4052" s="14" t="s">
        <v>8182</v>
      </c>
    </row>
    <row r="4053" spans="1:4" hidden="1" x14ac:dyDescent="0.25">
      <c r="A4053" s="12" t="s">
        <v>7474</v>
      </c>
      <c r="B4053" s="3"/>
      <c r="C4053" s="18" t="s">
        <v>6563</v>
      </c>
      <c r="D4053" s="14" t="s">
        <v>8182</v>
      </c>
    </row>
    <row r="4054" spans="1:4" hidden="1" x14ac:dyDescent="0.25">
      <c r="A4054" s="12" t="s">
        <v>7475</v>
      </c>
      <c r="B4054" s="3"/>
      <c r="C4054" s="18" t="s">
        <v>6564</v>
      </c>
      <c r="D4054" s="14" t="s">
        <v>8182</v>
      </c>
    </row>
    <row r="4055" spans="1:4" hidden="1" x14ac:dyDescent="0.25">
      <c r="A4055" s="12" t="s">
        <v>7476</v>
      </c>
      <c r="B4055" s="3"/>
      <c r="C4055" s="18" t="s">
        <v>6565</v>
      </c>
      <c r="D4055" s="14" t="s">
        <v>8182</v>
      </c>
    </row>
    <row r="4056" spans="1:4" hidden="1" x14ac:dyDescent="0.25">
      <c r="A4056" s="12" t="s">
        <v>7477</v>
      </c>
      <c r="B4056" s="3"/>
      <c r="C4056" s="18" t="s">
        <v>6566</v>
      </c>
      <c r="D4056" s="14" t="s">
        <v>8182</v>
      </c>
    </row>
    <row r="4057" spans="1:4" hidden="1" x14ac:dyDescent="0.25">
      <c r="A4057" s="12" t="s">
        <v>7478</v>
      </c>
      <c r="B4057" s="3"/>
      <c r="C4057" s="18" t="s">
        <v>6567</v>
      </c>
      <c r="D4057" s="14" t="s">
        <v>8182</v>
      </c>
    </row>
    <row r="4058" spans="1:4" hidden="1" x14ac:dyDescent="0.25">
      <c r="A4058" s="12" t="s">
        <v>7479</v>
      </c>
      <c r="B4058" s="3"/>
      <c r="C4058" s="18" t="s">
        <v>6568</v>
      </c>
      <c r="D4058" s="14" t="s">
        <v>8182</v>
      </c>
    </row>
    <row r="4059" spans="1:4" hidden="1" x14ac:dyDescent="0.25">
      <c r="A4059" s="12" t="s">
        <v>7480</v>
      </c>
      <c r="B4059" s="3"/>
      <c r="C4059" s="18" t="s">
        <v>6569</v>
      </c>
      <c r="D4059" s="14" t="s">
        <v>8182</v>
      </c>
    </row>
    <row r="4060" spans="1:4" hidden="1" x14ac:dyDescent="0.25">
      <c r="A4060" s="12" t="s">
        <v>7481</v>
      </c>
      <c r="B4060" s="3"/>
      <c r="C4060" s="18" t="s">
        <v>6570</v>
      </c>
      <c r="D4060" s="14" t="s">
        <v>8182</v>
      </c>
    </row>
    <row r="4061" spans="1:4" hidden="1" x14ac:dyDescent="0.25">
      <c r="A4061" s="12" t="s">
        <v>7482</v>
      </c>
      <c r="B4061" s="3"/>
      <c r="C4061" s="18" t="s">
        <v>6571</v>
      </c>
      <c r="D4061" s="14" t="s">
        <v>8182</v>
      </c>
    </row>
    <row r="4062" spans="1:4" hidden="1" x14ac:dyDescent="0.25">
      <c r="A4062" s="12" t="s">
        <v>7483</v>
      </c>
      <c r="B4062" s="3"/>
      <c r="C4062" s="18" t="s">
        <v>6572</v>
      </c>
      <c r="D4062" s="14" t="s">
        <v>8182</v>
      </c>
    </row>
    <row r="4063" spans="1:4" hidden="1" x14ac:dyDescent="0.25">
      <c r="A4063" s="12" t="s">
        <v>7484</v>
      </c>
      <c r="B4063" s="3"/>
      <c r="C4063" s="18" t="s">
        <v>6573</v>
      </c>
      <c r="D4063" s="14" t="s">
        <v>8182</v>
      </c>
    </row>
    <row r="4064" spans="1:4" hidden="1" x14ac:dyDescent="0.25">
      <c r="A4064" s="12" t="s">
        <v>7485</v>
      </c>
      <c r="B4064" s="3"/>
      <c r="C4064" s="18" t="s">
        <v>6574</v>
      </c>
      <c r="D4064" s="14" t="s">
        <v>8182</v>
      </c>
    </row>
    <row r="4065" spans="1:4" hidden="1" x14ac:dyDescent="0.25">
      <c r="A4065" s="12" t="s">
        <v>7486</v>
      </c>
      <c r="B4065" s="3"/>
      <c r="C4065" s="18" t="s">
        <v>6575</v>
      </c>
      <c r="D4065" s="14" t="s">
        <v>8182</v>
      </c>
    </row>
    <row r="4066" spans="1:4" hidden="1" x14ac:dyDescent="0.25">
      <c r="A4066" s="12" t="s">
        <v>7487</v>
      </c>
      <c r="B4066" s="3"/>
      <c r="C4066" s="18" t="s">
        <v>6576</v>
      </c>
      <c r="D4066" s="14" t="s">
        <v>8182</v>
      </c>
    </row>
    <row r="4067" spans="1:4" hidden="1" x14ac:dyDescent="0.25">
      <c r="A4067" s="12" t="s">
        <v>7488</v>
      </c>
      <c r="B4067" s="3"/>
      <c r="C4067" s="18" t="s">
        <v>6577</v>
      </c>
      <c r="D4067" s="14" t="s">
        <v>8182</v>
      </c>
    </row>
    <row r="4068" spans="1:4" hidden="1" x14ac:dyDescent="0.25">
      <c r="A4068" s="12" t="s">
        <v>7489</v>
      </c>
      <c r="B4068" s="3"/>
      <c r="C4068" s="18" t="s">
        <v>6578</v>
      </c>
      <c r="D4068" s="14" t="s">
        <v>8182</v>
      </c>
    </row>
    <row r="4069" spans="1:4" hidden="1" x14ac:dyDescent="0.25">
      <c r="A4069" s="12" t="s">
        <v>7490</v>
      </c>
      <c r="B4069" s="3"/>
      <c r="C4069" s="18" t="s">
        <v>6579</v>
      </c>
      <c r="D4069" s="14" t="s">
        <v>8182</v>
      </c>
    </row>
    <row r="4070" spans="1:4" hidden="1" x14ac:dyDescent="0.25">
      <c r="A4070" s="12" t="s">
        <v>7491</v>
      </c>
      <c r="B4070" s="3"/>
      <c r="C4070" s="18" t="s">
        <v>6580</v>
      </c>
      <c r="D4070" s="14" t="s">
        <v>8182</v>
      </c>
    </row>
    <row r="4071" spans="1:4" hidden="1" x14ac:dyDescent="0.25">
      <c r="A4071" s="12" t="s">
        <v>7492</v>
      </c>
      <c r="B4071" s="3"/>
      <c r="C4071" s="18" t="s">
        <v>6581</v>
      </c>
      <c r="D4071" s="14" t="s">
        <v>8182</v>
      </c>
    </row>
    <row r="4072" spans="1:4" hidden="1" x14ac:dyDescent="0.25">
      <c r="A4072" s="12" t="s">
        <v>7493</v>
      </c>
      <c r="B4072" s="3"/>
      <c r="C4072" s="18" t="s">
        <v>6582</v>
      </c>
      <c r="D4072" s="14" t="s">
        <v>8182</v>
      </c>
    </row>
    <row r="4073" spans="1:4" hidden="1" x14ac:dyDescent="0.25">
      <c r="A4073" s="12" t="s">
        <v>7494</v>
      </c>
      <c r="B4073" s="3"/>
      <c r="C4073" s="18" t="s">
        <v>6583</v>
      </c>
      <c r="D4073" s="14" t="s">
        <v>8182</v>
      </c>
    </row>
    <row r="4074" spans="1:4" hidden="1" x14ac:dyDescent="0.25">
      <c r="A4074" s="12" t="s">
        <v>7495</v>
      </c>
      <c r="B4074" s="3"/>
      <c r="C4074" s="18" t="s">
        <v>6584</v>
      </c>
      <c r="D4074" s="14" t="s">
        <v>8182</v>
      </c>
    </row>
    <row r="4075" spans="1:4" hidden="1" x14ac:dyDescent="0.25">
      <c r="A4075" s="12" t="s">
        <v>7496</v>
      </c>
      <c r="B4075" s="3"/>
      <c r="C4075" s="19" t="s">
        <v>6585</v>
      </c>
      <c r="D4075" s="14" t="s">
        <v>8182</v>
      </c>
    </row>
    <row r="4076" spans="1:4" hidden="1" x14ac:dyDescent="0.25">
      <c r="A4076" s="12" t="s">
        <v>7497</v>
      </c>
      <c r="B4076" s="3"/>
      <c r="C4076" s="19" t="s">
        <v>6586</v>
      </c>
      <c r="D4076" s="14" t="s">
        <v>8182</v>
      </c>
    </row>
    <row r="4077" spans="1:4" hidden="1" x14ac:dyDescent="0.25">
      <c r="A4077" s="12" t="s">
        <v>7498</v>
      </c>
      <c r="B4077" s="3"/>
      <c r="C4077" s="18" t="s">
        <v>6587</v>
      </c>
      <c r="D4077" s="14" t="s">
        <v>8182</v>
      </c>
    </row>
    <row r="4078" spans="1:4" hidden="1" x14ac:dyDescent="0.25">
      <c r="A4078" s="12" t="s">
        <v>7499</v>
      </c>
      <c r="B4078" s="3"/>
      <c r="C4078" s="18" t="s">
        <v>6588</v>
      </c>
      <c r="D4078" s="14" t="s">
        <v>8182</v>
      </c>
    </row>
    <row r="4079" spans="1:4" hidden="1" x14ac:dyDescent="0.25">
      <c r="A4079" s="12" t="s">
        <v>7500</v>
      </c>
      <c r="B4079" s="3"/>
      <c r="C4079" s="18" t="s">
        <v>6589</v>
      </c>
      <c r="D4079" s="14" t="s">
        <v>8182</v>
      </c>
    </row>
    <row r="4080" spans="1:4" hidden="1" x14ac:dyDescent="0.25">
      <c r="A4080" s="12" t="s">
        <v>7501</v>
      </c>
      <c r="B4080" s="3"/>
      <c r="C4080" s="18" t="s">
        <v>6590</v>
      </c>
      <c r="D4080" s="14" t="s">
        <v>8182</v>
      </c>
    </row>
    <row r="4081" spans="1:4" hidden="1" x14ac:dyDescent="0.25">
      <c r="A4081" s="12" t="s">
        <v>7502</v>
      </c>
      <c r="B4081" s="3"/>
      <c r="C4081" s="18" t="s">
        <v>6591</v>
      </c>
      <c r="D4081" s="14" t="s">
        <v>8182</v>
      </c>
    </row>
    <row r="4082" spans="1:4" hidden="1" x14ac:dyDescent="0.25">
      <c r="A4082" s="12" t="s">
        <v>7503</v>
      </c>
      <c r="B4082" s="3"/>
      <c r="C4082" s="18" t="s">
        <v>6592</v>
      </c>
      <c r="D4082" s="14" t="s">
        <v>8182</v>
      </c>
    </row>
    <row r="4083" spans="1:4" hidden="1" x14ac:dyDescent="0.25">
      <c r="A4083" s="12" t="s">
        <v>7504</v>
      </c>
      <c r="B4083" s="3"/>
      <c r="C4083" s="18" t="s">
        <v>6593</v>
      </c>
      <c r="D4083" s="14" t="s">
        <v>8182</v>
      </c>
    </row>
    <row r="4084" spans="1:4" hidden="1" x14ac:dyDescent="0.25">
      <c r="A4084" s="12" t="s">
        <v>7505</v>
      </c>
      <c r="B4084" s="3"/>
      <c r="C4084" s="18" t="s">
        <v>6594</v>
      </c>
      <c r="D4084" s="14" t="s">
        <v>8182</v>
      </c>
    </row>
    <row r="4085" spans="1:4" hidden="1" x14ac:dyDescent="0.25">
      <c r="A4085" s="12" t="s">
        <v>7506</v>
      </c>
      <c r="B4085" s="3"/>
      <c r="C4085" s="18" t="s">
        <v>6595</v>
      </c>
      <c r="D4085" s="14" t="s">
        <v>8182</v>
      </c>
    </row>
    <row r="4086" spans="1:4" hidden="1" x14ac:dyDescent="0.25">
      <c r="A4086" s="12" t="s">
        <v>7507</v>
      </c>
      <c r="B4086" s="3"/>
      <c r="C4086" s="18" t="s">
        <v>6596</v>
      </c>
      <c r="D4086" s="14" t="s">
        <v>8182</v>
      </c>
    </row>
    <row r="4087" spans="1:4" hidden="1" x14ac:dyDescent="0.25">
      <c r="A4087" s="12" t="s">
        <v>7508</v>
      </c>
      <c r="B4087" s="3"/>
      <c r="C4087" s="18" t="s">
        <v>6597</v>
      </c>
      <c r="D4087" s="14" t="s">
        <v>8182</v>
      </c>
    </row>
    <row r="4088" spans="1:4" hidden="1" x14ac:dyDescent="0.25">
      <c r="A4088" s="12" t="s">
        <v>7509</v>
      </c>
      <c r="B4088" s="3"/>
      <c r="C4088" s="18" t="s">
        <v>6598</v>
      </c>
      <c r="D4088" s="14" t="s">
        <v>8182</v>
      </c>
    </row>
    <row r="4089" spans="1:4" hidden="1" x14ac:dyDescent="0.25">
      <c r="A4089" s="12" t="s">
        <v>7510</v>
      </c>
      <c r="B4089" s="3"/>
      <c r="C4089" s="18" t="s">
        <v>6599</v>
      </c>
      <c r="D4089" s="14" t="s">
        <v>8182</v>
      </c>
    </row>
    <row r="4090" spans="1:4" hidden="1" x14ac:dyDescent="0.25">
      <c r="A4090" s="12" t="s">
        <v>7511</v>
      </c>
      <c r="B4090" s="3"/>
      <c r="C4090" s="18" t="s">
        <v>6600</v>
      </c>
      <c r="D4090" s="14" t="s">
        <v>8182</v>
      </c>
    </row>
    <row r="4091" spans="1:4" hidden="1" x14ac:dyDescent="0.25">
      <c r="A4091" s="12" t="s">
        <v>7512</v>
      </c>
      <c r="B4091" s="3"/>
      <c r="C4091" s="18" t="s">
        <v>6601</v>
      </c>
      <c r="D4091" s="14" t="s">
        <v>8182</v>
      </c>
    </row>
    <row r="4092" spans="1:4" hidden="1" x14ac:dyDescent="0.25">
      <c r="A4092" s="12" t="s">
        <v>7513</v>
      </c>
      <c r="B4092" s="3"/>
      <c r="C4092" s="18" t="s">
        <v>6602</v>
      </c>
      <c r="D4092" s="14" t="s">
        <v>8182</v>
      </c>
    </row>
    <row r="4093" spans="1:4" hidden="1" x14ac:dyDescent="0.25">
      <c r="A4093" s="12" t="s">
        <v>7514</v>
      </c>
      <c r="B4093" s="3"/>
      <c r="C4093" s="18" t="s">
        <v>6603</v>
      </c>
      <c r="D4093" s="14" t="s">
        <v>8182</v>
      </c>
    </row>
    <row r="4094" spans="1:4" hidden="1" x14ac:dyDescent="0.25">
      <c r="A4094" s="12" t="s">
        <v>7515</v>
      </c>
      <c r="B4094" s="3"/>
      <c r="C4094" s="18" t="s">
        <v>6604</v>
      </c>
      <c r="D4094" s="14" t="s">
        <v>8182</v>
      </c>
    </row>
    <row r="4095" spans="1:4" hidden="1" x14ac:dyDescent="0.25">
      <c r="A4095" s="12" t="s">
        <v>7516</v>
      </c>
      <c r="B4095" s="3"/>
      <c r="C4095" s="18" t="s">
        <v>6605</v>
      </c>
      <c r="D4095" s="14" t="s">
        <v>8182</v>
      </c>
    </row>
    <row r="4096" spans="1:4" hidden="1" x14ac:dyDescent="0.25">
      <c r="A4096" s="12" t="s">
        <v>7517</v>
      </c>
      <c r="B4096" s="3"/>
      <c r="C4096" s="18" t="s">
        <v>6606</v>
      </c>
      <c r="D4096" s="14" t="s">
        <v>8182</v>
      </c>
    </row>
    <row r="4097" spans="1:4" hidden="1" x14ac:dyDescent="0.25">
      <c r="A4097" s="12" t="s">
        <v>7518</v>
      </c>
      <c r="B4097" s="3"/>
      <c r="C4097" s="18" t="s">
        <v>6607</v>
      </c>
      <c r="D4097" s="14" t="s">
        <v>8182</v>
      </c>
    </row>
    <row r="4098" spans="1:4" hidden="1" x14ac:dyDescent="0.25">
      <c r="A4098" s="12" t="s">
        <v>7519</v>
      </c>
      <c r="B4098" s="3"/>
      <c r="C4098" s="18" t="s">
        <v>6608</v>
      </c>
      <c r="D4098" s="14" t="s">
        <v>8182</v>
      </c>
    </row>
    <row r="4099" spans="1:4" hidden="1" x14ac:dyDescent="0.25">
      <c r="A4099" s="12" t="s">
        <v>7520</v>
      </c>
      <c r="B4099" s="3"/>
      <c r="C4099" s="18" t="s">
        <v>6609</v>
      </c>
      <c r="D4099" s="14" t="s">
        <v>8182</v>
      </c>
    </row>
    <row r="4100" spans="1:4" hidden="1" x14ac:dyDescent="0.25">
      <c r="A4100" s="12" t="s">
        <v>7521</v>
      </c>
      <c r="B4100" s="3"/>
      <c r="C4100" s="18" t="s">
        <v>6610</v>
      </c>
      <c r="D4100" s="14" t="s">
        <v>8182</v>
      </c>
    </row>
    <row r="4101" spans="1:4" hidden="1" x14ac:dyDescent="0.25">
      <c r="A4101" s="12" t="s">
        <v>7522</v>
      </c>
      <c r="B4101" s="3"/>
      <c r="C4101" s="18" t="s">
        <v>6611</v>
      </c>
      <c r="D4101" s="14" t="s">
        <v>8182</v>
      </c>
    </row>
    <row r="4102" spans="1:4" hidden="1" x14ac:dyDescent="0.25">
      <c r="A4102" s="12" t="s">
        <v>7523</v>
      </c>
      <c r="B4102" s="3"/>
      <c r="C4102" s="18" t="s">
        <v>6612</v>
      </c>
      <c r="D4102" s="14" t="s">
        <v>8182</v>
      </c>
    </row>
    <row r="4103" spans="1:4" hidden="1" x14ac:dyDescent="0.25">
      <c r="A4103" s="12" t="s">
        <v>7524</v>
      </c>
      <c r="B4103" s="3"/>
      <c r="C4103" s="18" t="s">
        <v>6613</v>
      </c>
      <c r="D4103" s="14" t="s">
        <v>8182</v>
      </c>
    </row>
    <row r="4104" spans="1:4" hidden="1" x14ac:dyDescent="0.25">
      <c r="A4104" s="12" t="s">
        <v>7525</v>
      </c>
      <c r="B4104" s="3"/>
      <c r="C4104" s="18" t="s">
        <v>6614</v>
      </c>
      <c r="D4104" s="14" t="s">
        <v>8182</v>
      </c>
    </row>
    <row r="4105" spans="1:4" hidden="1" x14ac:dyDescent="0.25">
      <c r="A4105" s="12" t="s">
        <v>7526</v>
      </c>
      <c r="B4105" s="3"/>
      <c r="C4105" s="18" t="s">
        <v>6615</v>
      </c>
      <c r="D4105" s="14" t="s">
        <v>8182</v>
      </c>
    </row>
    <row r="4106" spans="1:4" hidden="1" x14ac:dyDescent="0.25">
      <c r="A4106" s="12" t="s">
        <v>7527</v>
      </c>
      <c r="B4106" s="3"/>
      <c r="C4106" s="18" t="s">
        <v>6616</v>
      </c>
      <c r="D4106" s="14" t="s">
        <v>8182</v>
      </c>
    </row>
    <row r="4107" spans="1:4" hidden="1" x14ac:dyDescent="0.25">
      <c r="A4107" s="12" t="s">
        <v>7528</v>
      </c>
      <c r="B4107" s="3"/>
      <c r="C4107" s="18" t="s">
        <v>6617</v>
      </c>
      <c r="D4107" s="14" t="s">
        <v>8182</v>
      </c>
    </row>
    <row r="4108" spans="1:4" hidden="1" x14ac:dyDescent="0.25">
      <c r="A4108" s="12" t="s">
        <v>7529</v>
      </c>
      <c r="B4108" s="3"/>
      <c r="C4108" s="18" t="s">
        <v>6618</v>
      </c>
      <c r="D4108" s="14" t="s">
        <v>8182</v>
      </c>
    </row>
    <row r="4109" spans="1:4" hidden="1" x14ac:dyDescent="0.25">
      <c r="A4109" s="12" t="s">
        <v>7530</v>
      </c>
      <c r="B4109" s="3"/>
      <c r="C4109" s="18" t="s">
        <v>6619</v>
      </c>
      <c r="D4109" s="14" t="s">
        <v>8182</v>
      </c>
    </row>
    <row r="4110" spans="1:4" hidden="1" x14ac:dyDescent="0.25">
      <c r="A4110" s="12" t="s">
        <v>7531</v>
      </c>
      <c r="B4110" s="3"/>
      <c r="C4110" s="18" t="s">
        <v>6620</v>
      </c>
      <c r="D4110" s="14" t="s">
        <v>8182</v>
      </c>
    </row>
    <row r="4111" spans="1:4" hidden="1" x14ac:dyDescent="0.25">
      <c r="A4111" s="12" t="s">
        <v>7532</v>
      </c>
      <c r="B4111" s="3"/>
      <c r="C4111" s="18" t="s">
        <v>6621</v>
      </c>
      <c r="D4111" s="14" t="s">
        <v>8182</v>
      </c>
    </row>
    <row r="4112" spans="1:4" hidden="1" x14ac:dyDescent="0.25">
      <c r="A4112" s="12" t="s">
        <v>7533</v>
      </c>
      <c r="B4112" s="3"/>
      <c r="C4112" s="18" t="s">
        <v>6622</v>
      </c>
      <c r="D4112" s="14" t="s">
        <v>8182</v>
      </c>
    </row>
    <row r="4113" spans="1:4" hidden="1" x14ac:dyDescent="0.25">
      <c r="A4113" s="12" t="s">
        <v>7534</v>
      </c>
      <c r="B4113" s="3"/>
      <c r="C4113" s="19" t="s">
        <v>6623</v>
      </c>
      <c r="D4113" s="14" t="s">
        <v>8182</v>
      </c>
    </row>
    <row r="4114" spans="1:4" hidden="1" x14ac:dyDescent="0.25">
      <c r="A4114" s="12" t="s">
        <v>7535</v>
      </c>
      <c r="B4114" s="3"/>
      <c r="C4114" s="19" t="s">
        <v>6624</v>
      </c>
      <c r="D4114" s="14" t="s">
        <v>8182</v>
      </c>
    </row>
    <row r="4115" spans="1:4" hidden="1" x14ac:dyDescent="0.25">
      <c r="A4115" s="12" t="s">
        <v>7536</v>
      </c>
      <c r="B4115" s="3"/>
      <c r="C4115" s="18" t="s">
        <v>6625</v>
      </c>
      <c r="D4115" s="14" t="s">
        <v>8182</v>
      </c>
    </row>
    <row r="4116" spans="1:4" hidden="1" x14ac:dyDescent="0.25">
      <c r="A4116" s="12" t="s">
        <v>7537</v>
      </c>
      <c r="B4116" s="3"/>
      <c r="C4116" s="18" t="s">
        <v>6626</v>
      </c>
      <c r="D4116" s="14" t="s">
        <v>8182</v>
      </c>
    </row>
    <row r="4117" spans="1:4" hidden="1" x14ac:dyDescent="0.25">
      <c r="A4117" s="12" t="s">
        <v>7538</v>
      </c>
      <c r="B4117" s="3"/>
      <c r="C4117" s="18" t="s">
        <v>6627</v>
      </c>
      <c r="D4117" s="14" t="s">
        <v>8182</v>
      </c>
    </row>
    <row r="4118" spans="1:4" hidden="1" x14ac:dyDescent="0.25">
      <c r="A4118" s="12" t="s">
        <v>7539</v>
      </c>
      <c r="B4118" s="3"/>
      <c r="C4118" s="18" t="s">
        <v>6628</v>
      </c>
      <c r="D4118" s="14" t="s">
        <v>8182</v>
      </c>
    </row>
    <row r="4119" spans="1:4" hidden="1" x14ac:dyDescent="0.25">
      <c r="A4119" s="12" t="s">
        <v>7540</v>
      </c>
      <c r="B4119" s="3"/>
      <c r="C4119" s="18" t="s">
        <v>6629</v>
      </c>
      <c r="D4119" s="14" t="s">
        <v>8182</v>
      </c>
    </row>
    <row r="4120" spans="1:4" hidden="1" x14ac:dyDescent="0.25">
      <c r="A4120" s="12" t="s">
        <v>7541</v>
      </c>
      <c r="B4120" s="3"/>
      <c r="C4120" s="18" t="s">
        <v>6630</v>
      </c>
      <c r="D4120" s="14" t="s">
        <v>8182</v>
      </c>
    </row>
    <row r="4121" spans="1:4" hidden="1" x14ac:dyDescent="0.25">
      <c r="A4121" s="12" t="s">
        <v>7542</v>
      </c>
      <c r="B4121" s="3"/>
      <c r="C4121" s="18" t="s">
        <v>6631</v>
      </c>
      <c r="D4121" s="14" t="s">
        <v>8182</v>
      </c>
    </row>
    <row r="4122" spans="1:4" hidden="1" x14ac:dyDescent="0.25">
      <c r="A4122" s="12" t="s">
        <v>7543</v>
      </c>
      <c r="B4122" s="3"/>
      <c r="C4122" s="18" t="s">
        <v>6632</v>
      </c>
      <c r="D4122" s="14" t="s">
        <v>8182</v>
      </c>
    </row>
    <row r="4123" spans="1:4" hidden="1" x14ac:dyDescent="0.25">
      <c r="A4123" s="12" t="s">
        <v>7544</v>
      </c>
      <c r="B4123" s="3"/>
      <c r="C4123" s="18" t="s">
        <v>6633</v>
      </c>
      <c r="D4123" s="14" t="s">
        <v>8182</v>
      </c>
    </row>
    <row r="4124" spans="1:4" hidden="1" x14ac:dyDescent="0.25">
      <c r="A4124" s="12" t="s">
        <v>7545</v>
      </c>
      <c r="B4124" s="3"/>
      <c r="C4124" s="18" t="s">
        <v>6634</v>
      </c>
      <c r="D4124" s="14" t="s">
        <v>8182</v>
      </c>
    </row>
    <row r="4125" spans="1:4" hidden="1" x14ac:dyDescent="0.25">
      <c r="A4125" s="12" t="s">
        <v>7546</v>
      </c>
      <c r="B4125" s="3"/>
      <c r="C4125" s="18" t="s">
        <v>6635</v>
      </c>
      <c r="D4125" s="14" t="s">
        <v>8182</v>
      </c>
    </row>
    <row r="4126" spans="1:4" hidden="1" x14ac:dyDescent="0.25">
      <c r="A4126" s="12" t="s">
        <v>7547</v>
      </c>
      <c r="B4126" s="3"/>
      <c r="C4126" s="18" t="s">
        <v>6636</v>
      </c>
      <c r="D4126" s="14" t="s">
        <v>8182</v>
      </c>
    </row>
    <row r="4127" spans="1:4" hidden="1" x14ac:dyDescent="0.25">
      <c r="A4127" s="12" t="s">
        <v>7548</v>
      </c>
      <c r="B4127" s="3"/>
      <c r="C4127" s="18" t="s">
        <v>6637</v>
      </c>
      <c r="D4127" s="14" t="s">
        <v>8182</v>
      </c>
    </row>
    <row r="4128" spans="1:4" hidden="1" x14ac:dyDescent="0.25">
      <c r="A4128" s="12" t="s">
        <v>7549</v>
      </c>
      <c r="B4128" s="3"/>
      <c r="C4128" s="18" t="s">
        <v>6638</v>
      </c>
      <c r="D4128" s="14" t="s">
        <v>8182</v>
      </c>
    </row>
    <row r="4129" spans="1:4" hidden="1" x14ac:dyDescent="0.25">
      <c r="A4129" s="12" t="s">
        <v>7550</v>
      </c>
      <c r="B4129" s="3"/>
      <c r="C4129" s="18" t="s">
        <v>6639</v>
      </c>
      <c r="D4129" s="14" t="s">
        <v>8182</v>
      </c>
    </row>
    <row r="4130" spans="1:4" hidden="1" x14ac:dyDescent="0.25">
      <c r="A4130" s="12" t="s">
        <v>7551</v>
      </c>
      <c r="B4130" s="3"/>
      <c r="C4130" s="18" t="s">
        <v>6640</v>
      </c>
      <c r="D4130" s="14" t="s">
        <v>8182</v>
      </c>
    </row>
    <row r="4131" spans="1:4" hidden="1" x14ac:dyDescent="0.25">
      <c r="A4131" s="12" t="s">
        <v>7552</v>
      </c>
      <c r="B4131" s="3"/>
      <c r="C4131" s="18" t="s">
        <v>6641</v>
      </c>
      <c r="D4131" s="14" t="s">
        <v>8182</v>
      </c>
    </row>
    <row r="4132" spans="1:4" hidden="1" x14ac:dyDescent="0.25">
      <c r="A4132" s="12" t="s">
        <v>7553</v>
      </c>
      <c r="B4132" s="3"/>
      <c r="C4132" s="18" t="s">
        <v>6642</v>
      </c>
      <c r="D4132" s="14" t="s">
        <v>8182</v>
      </c>
    </row>
    <row r="4133" spans="1:4" hidden="1" x14ac:dyDescent="0.25">
      <c r="A4133" s="12" t="s">
        <v>7554</v>
      </c>
      <c r="B4133" s="3"/>
      <c r="C4133" s="18" t="s">
        <v>6643</v>
      </c>
      <c r="D4133" s="14" t="s">
        <v>8182</v>
      </c>
    </row>
    <row r="4134" spans="1:4" hidden="1" x14ac:dyDescent="0.25">
      <c r="A4134" s="12" t="s">
        <v>7555</v>
      </c>
      <c r="B4134" s="3"/>
      <c r="C4134" s="18" t="s">
        <v>6644</v>
      </c>
      <c r="D4134" s="14" t="s">
        <v>8182</v>
      </c>
    </row>
    <row r="4135" spans="1:4" hidden="1" x14ac:dyDescent="0.25">
      <c r="A4135" s="12" t="s">
        <v>7556</v>
      </c>
      <c r="B4135" s="3"/>
      <c r="C4135" s="18" t="s">
        <v>6645</v>
      </c>
      <c r="D4135" s="14" t="s">
        <v>8182</v>
      </c>
    </row>
    <row r="4136" spans="1:4" hidden="1" x14ac:dyDescent="0.25">
      <c r="A4136" s="12" t="s">
        <v>7557</v>
      </c>
      <c r="B4136" s="3"/>
      <c r="C4136" s="18" t="s">
        <v>6646</v>
      </c>
      <c r="D4136" s="14" t="s">
        <v>8182</v>
      </c>
    </row>
    <row r="4137" spans="1:4" hidden="1" x14ac:dyDescent="0.25">
      <c r="A4137" s="12" t="s">
        <v>7558</v>
      </c>
      <c r="B4137" s="3"/>
      <c r="C4137" s="18" t="s">
        <v>6647</v>
      </c>
      <c r="D4137" s="14" t="s">
        <v>8182</v>
      </c>
    </row>
    <row r="4138" spans="1:4" hidden="1" x14ac:dyDescent="0.25">
      <c r="A4138" s="12" t="s">
        <v>7559</v>
      </c>
      <c r="B4138" s="3"/>
      <c r="C4138" s="18" t="s">
        <v>6648</v>
      </c>
      <c r="D4138" s="14" t="s">
        <v>8182</v>
      </c>
    </row>
    <row r="4139" spans="1:4" hidden="1" x14ac:dyDescent="0.25">
      <c r="A4139" s="12" t="s">
        <v>7560</v>
      </c>
      <c r="B4139" s="3"/>
      <c r="C4139" s="18" t="s">
        <v>6649</v>
      </c>
      <c r="D4139" s="14" t="s">
        <v>8182</v>
      </c>
    </row>
    <row r="4140" spans="1:4" hidden="1" x14ac:dyDescent="0.25">
      <c r="A4140" s="12" t="s">
        <v>7561</v>
      </c>
      <c r="B4140" s="3"/>
      <c r="C4140" s="18" t="s">
        <v>6650</v>
      </c>
      <c r="D4140" s="14" t="s">
        <v>8182</v>
      </c>
    </row>
    <row r="4141" spans="1:4" hidden="1" x14ac:dyDescent="0.25">
      <c r="A4141" s="12" t="s">
        <v>7562</v>
      </c>
      <c r="B4141" s="3"/>
      <c r="C4141" s="18" t="s">
        <v>6651</v>
      </c>
      <c r="D4141" s="14" t="s">
        <v>8182</v>
      </c>
    </row>
    <row r="4142" spans="1:4" hidden="1" x14ac:dyDescent="0.25">
      <c r="A4142" s="12" t="s">
        <v>7563</v>
      </c>
      <c r="B4142" s="3"/>
      <c r="C4142" s="18" t="s">
        <v>6652</v>
      </c>
      <c r="D4142" s="14" t="s">
        <v>8182</v>
      </c>
    </row>
    <row r="4143" spans="1:4" hidden="1" x14ac:dyDescent="0.25">
      <c r="A4143" s="12" t="s">
        <v>7564</v>
      </c>
      <c r="B4143" s="3"/>
      <c r="C4143" s="18" t="s">
        <v>6653</v>
      </c>
      <c r="D4143" s="14" t="s">
        <v>8182</v>
      </c>
    </row>
    <row r="4144" spans="1:4" hidden="1" x14ac:dyDescent="0.25">
      <c r="A4144" s="12" t="s">
        <v>7565</v>
      </c>
      <c r="B4144" s="3"/>
      <c r="C4144" s="18" t="s">
        <v>6654</v>
      </c>
      <c r="D4144" s="14" t="s">
        <v>8182</v>
      </c>
    </row>
    <row r="4145" spans="1:4" hidden="1" x14ac:dyDescent="0.25">
      <c r="A4145" s="12" t="s">
        <v>7566</v>
      </c>
      <c r="B4145" s="3"/>
      <c r="C4145" s="18" t="s">
        <v>6655</v>
      </c>
      <c r="D4145" s="14" t="s">
        <v>8182</v>
      </c>
    </row>
    <row r="4146" spans="1:4" hidden="1" x14ac:dyDescent="0.25">
      <c r="A4146" s="12" t="s">
        <v>7567</v>
      </c>
      <c r="B4146" s="3"/>
      <c r="C4146" s="18" t="s">
        <v>6656</v>
      </c>
      <c r="D4146" s="14" t="s">
        <v>8182</v>
      </c>
    </row>
    <row r="4147" spans="1:4" hidden="1" x14ac:dyDescent="0.25">
      <c r="A4147" s="12" t="s">
        <v>7568</v>
      </c>
      <c r="B4147" s="3"/>
      <c r="C4147" s="18" t="s">
        <v>6657</v>
      </c>
      <c r="D4147" s="14" t="s">
        <v>8182</v>
      </c>
    </row>
    <row r="4148" spans="1:4" hidden="1" x14ac:dyDescent="0.25">
      <c r="A4148" s="12" t="s">
        <v>7569</v>
      </c>
      <c r="B4148" s="3"/>
      <c r="C4148" s="18" t="s">
        <v>6658</v>
      </c>
      <c r="D4148" s="14" t="s">
        <v>8182</v>
      </c>
    </row>
    <row r="4149" spans="1:4" hidden="1" x14ac:dyDescent="0.25">
      <c r="A4149" s="12" t="s">
        <v>7570</v>
      </c>
      <c r="B4149" s="3"/>
      <c r="C4149" s="18" t="s">
        <v>6659</v>
      </c>
      <c r="D4149" s="14" t="s">
        <v>8182</v>
      </c>
    </row>
    <row r="4150" spans="1:4" hidden="1" x14ac:dyDescent="0.25">
      <c r="A4150" s="12" t="s">
        <v>7571</v>
      </c>
      <c r="B4150" s="3"/>
      <c r="C4150" s="19" t="s">
        <v>6660</v>
      </c>
      <c r="D4150" s="14" t="s">
        <v>8182</v>
      </c>
    </row>
    <row r="4151" spans="1:4" hidden="1" x14ac:dyDescent="0.25">
      <c r="A4151" s="12" t="s">
        <v>7572</v>
      </c>
      <c r="B4151" s="3"/>
      <c r="C4151" s="19" t="s">
        <v>6661</v>
      </c>
      <c r="D4151" s="14" t="s">
        <v>8182</v>
      </c>
    </row>
    <row r="4152" spans="1:4" hidden="1" x14ac:dyDescent="0.25">
      <c r="A4152" s="12" t="s">
        <v>7573</v>
      </c>
      <c r="B4152" s="3"/>
      <c r="C4152" s="18" t="s">
        <v>6662</v>
      </c>
      <c r="D4152" s="14" t="s">
        <v>8182</v>
      </c>
    </row>
    <row r="4153" spans="1:4" hidden="1" x14ac:dyDescent="0.25">
      <c r="A4153" s="12" t="s">
        <v>7574</v>
      </c>
      <c r="B4153" s="3"/>
      <c r="C4153" s="18" t="s">
        <v>6663</v>
      </c>
      <c r="D4153" s="14" t="s">
        <v>8182</v>
      </c>
    </row>
    <row r="4154" spans="1:4" hidden="1" x14ac:dyDescent="0.25">
      <c r="A4154" s="12" t="s">
        <v>7575</v>
      </c>
      <c r="B4154" s="3"/>
      <c r="C4154" s="18" t="s">
        <v>6664</v>
      </c>
      <c r="D4154" s="14" t="s">
        <v>8182</v>
      </c>
    </row>
    <row r="4155" spans="1:4" hidden="1" x14ac:dyDescent="0.25">
      <c r="A4155" s="17" t="s">
        <v>7576</v>
      </c>
      <c r="B4155" s="16"/>
      <c r="C4155" s="18" t="s">
        <v>6665</v>
      </c>
      <c r="D4155" s="14" t="s">
        <v>8182</v>
      </c>
    </row>
    <row r="4156" spans="1:4" hidden="1" x14ac:dyDescent="0.25">
      <c r="A4156" s="12" t="s">
        <v>7580</v>
      </c>
      <c r="B4156" s="3"/>
      <c r="C4156" s="18" t="s">
        <v>6441</v>
      </c>
      <c r="D4156" s="14" t="s">
        <v>8180</v>
      </c>
    </row>
    <row r="4157" spans="1:4" hidden="1" x14ac:dyDescent="0.25">
      <c r="A4157" s="12" t="s">
        <v>7581</v>
      </c>
      <c r="B4157" s="3"/>
      <c r="C4157" s="18" t="s">
        <v>6442</v>
      </c>
      <c r="D4157" s="14" t="s">
        <v>8180</v>
      </c>
    </row>
    <row r="4158" spans="1:4" hidden="1" x14ac:dyDescent="0.25">
      <c r="A4158" s="12" t="s">
        <v>7582</v>
      </c>
      <c r="B4158" s="3"/>
      <c r="C4158" s="18" t="s">
        <v>6443</v>
      </c>
      <c r="D4158" s="14" t="s">
        <v>8180</v>
      </c>
    </row>
    <row r="4159" spans="1:4" hidden="1" x14ac:dyDescent="0.25">
      <c r="A4159" s="12" t="s">
        <v>7583</v>
      </c>
      <c r="B4159" s="3"/>
      <c r="C4159" s="18" t="s">
        <v>6444</v>
      </c>
      <c r="D4159" s="14" t="s">
        <v>8180</v>
      </c>
    </row>
    <row r="4160" spans="1:4" hidden="1" x14ac:dyDescent="0.25">
      <c r="A4160" s="12" t="s">
        <v>7584</v>
      </c>
      <c r="B4160" s="3"/>
      <c r="C4160" s="18" t="s">
        <v>6445</v>
      </c>
      <c r="D4160" s="14" t="s">
        <v>8180</v>
      </c>
    </row>
    <row r="4161" spans="1:4" hidden="1" x14ac:dyDescent="0.25">
      <c r="A4161" s="12" t="s">
        <v>7585</v>
      </c>
      <c r="B4161" s="3"/>
      <c r="C4161" s="18" t="s">
        <v>6446</v>
      </c>
      <c r="D4161" s="14" t="s">
        <v>8180</v>
      </c>
    </row>
    <row r="4162" spans="1:4" hidden="1" x14ac:dyDescent="0.25">
      <c r="A4162" s="12" t="s">
        <v>7586</v>
      </c>
      <c r="B4162" s="3"/>
      <c r="C4162" s="18" t="s">
        <v>6447</v>
      </c>
      <c r="D4162" s="14" t="s">
        <v>8180</v>
      </c>
    </row>
    <row r="4163" spans="1:4" hidden="1" x14ac:dyDescent="0.25">
      <c r="A4163" s="12" t="s">
        <v>7587</v>
      </c>
      <c r="B4163" s="3"/>
      <c r="C4163" s="18" t="s">
        <v>6448</v>
      </c>
      <c r="D4163" s="14" t="s">
        <v>8180</v>
      </c>
    </row>
    <row r="4164" spans="1:4" hidden="1" x14ac:dyDescent="0.25">
      <c r="A4164" s="12" t="s">
        <v>7588</v>
      </c>
      <c r="B4164" s="3"/>
      <c r="C4164" s="18" t="s">
        <v>6449</v>
      </c>
      <c r="D4164" s="14" t="s">
        <v>8180</v>
      </c>
    </row>
    <row r="4165" spans="1:4" hidden="1" x14ac:dyDescent="0.25">
      <c r="A4165" s="12" t="s">
        <v>7589</v>
      </c>
      <c r="B4165" s="3"/>
      <c r="C4165" s="18" t="s">
        <v>6450</v>
      </c>
      <c r="D4165" s="14" t="s">
        <v>8180</v>
      </c>
    </row>
    <row r="4166" spans="1:4" hidden="1" x14ac:dyDescent="0.25">
      <c r="A4166" s="12" t="s">
        <v>7590</v>
      </c>
      <c r="B4166" s="3"/>
      <c r="C4166" s="18" t="s">
        <v>6451</v>
      </c>
      <c r="D4166" s="14" t="s">
        <v>8180</v>
      </c>
    </row>
    <row r="4167" spans="1:4" hidden="1" x14ac:dyDescent="0.25">
      <c r="A4167" s="12" t="s">
        <v>7591</v>
      </c>
      <c r="B4167" s="3"/>
      <c r="C4167" s="18" t="s">
        <v>6452</v>
      </c>
      <c r="D4167" s="14" t="s">
        <v>8180</v>
      </c>
    </row>
    <row r="4168" spans="1:4" hidden="1" x14ac:dyDescent="0.25">
      <c r="A4168" s="12" t="s">
        <v>7592</v>
      </c>
      <c r="B4168" s="3"/>
      <c r="C4168" s="18" t="s">
        <v>6453</v>
      </c>
      <c r="D4168" s="14" t="s">
        <v>8180</v>
      </c>
    </row>
    <row r="4169" spans="1:4" hidden="1" x14ac:dyDescent="0.25">
      <c r="A4169" s="12" t="s">
        <v>7593</v>
      </c>
      <c r="B4169" s="3"/>
      <c r="C4169" s="18" t="s">
        <v>6454</v>
      </c>
      <c r="D4169" s="14" t="s">
        <v>8180</v>
      </c>
    </row>
    <row r="4170" spans="1:4" hidden="1" x14ac:dyDescent="0.25">
      <c r="A4170" s="12" t="s">
        <v>7594</v>
      </c>
      <c r="B4170" s="3"/>
      <c r="C4170" s="18" t="s">
        <v>6455</v>
      </c>
      <c r="D4170" s="14" t="s">
        <v>8180</v>
      </c>
    </row>
    <row r="4171" spans="1:4" hidden="1" x14ac:dyDescent="0.25">
      <c r="A4171" s="12" t="s">
        <v>7595</v>
      </c>
      <c r="B4171" s="3"/>
      <c r="C4171" s="18" t="s">
        <v>6456</v>
      </c>
      <c r="D4171" s="14" t="s">
        <v>8180</v>
      </c>
    </row>
    <row r="4172" spans="1:4" hidden="1" x14ac:dyDescent="0.25">
      <c r="A4172" s="12" t="s">
        <v>7596</v>
      </c>
      <c r="B4172" s="3"/>
      <c r="C4172" s="18" t="s">
        <v>6457</v>
      </c>
      <c r="D4172" s="14" t="s">
        <v>8180</v>
      </c>
    </row>
    <row r="4173" spans="1:4" hidden="1" x14ac:dyDescent="0.25">
      <c r="A4173" s="12" t="s">
        <v>7597</v>
      </c>
      <c r="B4173" s="3"/>
      <c r="C4173" s="18" t="s">
        <v>6458</v>
      </c>
      <c r="D4173" s="14" t="s">
        <v>8180</v>
      </c>
    </row>
    <row r="4174" spans="1:4" hidden="1" x14ac:dyDescent="0.25">
      <c r="A4174" s="12" t="s">
        <v>7598</v>
      </c>
      <c r="B4174" s="3"/>
      <c r="C4174" s="18" t="s">
        <v>6459</v>
      </c>
      <c r="D4174" s="14" t="s">
        <v>8180</v>
      </c>
    </row>
    <row r="4175" spans="1:4" hidden="1" x14ac:dyDescent="0.25">
      <c r="A4175" s="12" t="s">
        <v>7599</v>
      </c>
      <c r="B4175" s="3"/>
      <c r="C4175" s="18" t="s">
        <v>6460</v>
      </c>
      <c r="D4175" s="14" t="s">
        <v>8180</v>
      </c>
    </row>
    <row r="4176" spans="1:4" hidden="1" x14ac:dyDescent="0.25">
      <c r="A4176" s="12" t="s">
        <v>7600</v>
      </c>
      <c r="B4176" s="3"/>
      <c r="C4176" s="18" t="s">
        <v>6461</v>
      </c>
      <c r="D4176" s="14" t="s">
        <v>8180</v>
      </c>
    </row>
    <row r="4177" spans="1:4" hidden="1" x14ac:dyDescent="0.25">
      <c r="A4177" s="12" t="s">
        <v>7601</v>
      </c>
      <c r="B4177" s="3"/>
      <c r="C4177" s="18" t="s">
        <v>6462</v>
      </c>
      <c r="D4177" s="14" t="s">
        <v>8180</v>
      </c>
    </row>
    <row r="4178" spans="1:4" hidden="1" x14ac:dyDescent="0.25">
      <c r="A4178" s="12" t="s">
        <v>7602</v>
      </c>
      <c r="B4178" s="3"/>
      <c r="C4178" s="18" t="s">
        <v>6463</v>
      </c>
      <c r="D4178" s="14" t="s">
        <v>8180</v>
      </c>
    </row>
    <row r="4179" spans="1:4" hidden="1" x14ac:dyDescent="0.25">
      <c r="A4179" s="12" t="s">
        <v>7603</v>
      </c>
      <c r="B4179" s="3"/>
      <c r="C4179" s="18" t="s">
        <v>6464</v>
      </c>
      <c r="D4179" s="14" t="s">
        <v>8180</v>
      </c>
    </row>
    <row r="4180" spans="1:4" hidden="1" x14ac:dyDescent="0.25">
      <c r="A4180" s="12" t="s">
        <v>7604</v>
      </c>
      <c r="B4180" s="3"/>
      <c r="C4180" s="18" t="s">
        <v>6465</v>
      </c>
      <c r="D4180" s="14" t="s">
        <v>8180</v>
      </c>
    </row>
    <row r="4181" spans="1:4" hidden="1" x14ac:dyDescent="0.25">
      <c r="A4181" s="12" t="s">
        <v>7605</v>
      </c>
      <c r="B4181" s="3"/>
      <c r="C4181" s="18" t="s">
        <v>6466</v>
      </c>
      <c r="D4181" s="14" t="s">
        <v>8180</v>
      </c>
    </row>
    <row r="4182" spans="1:4" hidden="1" x14ac:dyDescent="0.25">
      <c r="A4182" s="12" t="s">
        <v>7606</v>
      </c>
      <c r="B4182" s="3"/>
      <c r="C4182" s="18" t="s">
        <v>6467</v>
      </c>
      <c r="D4182" s="14" t="s">
        <v>8180</v>
      </c>
    </row>
    <row r="4183" spans="1:4" hidden="1" x14ac:dyDescent="0.25">
      <c r="A4183" s="12" t="s">
        <v>7607</v>
      </c>
      <c r="B4183" s="3"/>
      <c r="C4183" s="18" t="s">
        <v>6468</v>
      </c>
      <c r="D4183" s="14" t="s">
        <v>8180</v>
      </c>
    </row>
    <row r="4184" spans="1:4" hidden="1" x14ac:dyDescent="0.25">
      <c r="A4184" s="12" t="s">
        <v>7608</v>
      </c>
      <c r="B4184" s="3"/>
      <c r="C4184" s="18" t="s">
        <v>6469</v>
      </c>
      <c r="D4184" s="14" t="s">
        <v>8180</v>
      </c>
    </row>
    <row r="4185" spans="1:4" hidden="1" x14ac:dyDescent="0.25">
      <c r="A4185" s="12" t="s">
        <v>7609</v>
      </c>
      <c r="B4185" s="3"/>
      <c r="C4185" s="18" t="s">
        <v>6470</v>
      </c>
      <c r="D4185" s="14" t="s">
        <v>8180</v>
      </c>
    </row>
    <row r="4186" spans="1:4" hidden="1" x14ac:dyDescent="0.25">
      <c r="A4186" s="12" t="s">
        <v>7610</v>
      </c>
      <c r="B4186" s="3"/>
      <c r="C4186" s="18" t="s">
        <v>6471</v>
      </c>
      <c r="D4186" s="14" t="s">
        <v>8180</v>
      </c>
    </row>
    <row r="4187" spans="1:4" hidden="1" x14ac:dyDescent="0.25">
      <c r="A4187" s="12" t="s">
        <v>7611</v>
      </c>
      <c r="B4187" s="3"/>
      <c r="C4187" s="18" t="s">
        <v>6472</v>
      </c>
      <c r="D4187" s="14" t="s">
        <v>8180</v>
      </c>
    </row>
    <row r="4188" spans="1:4" hidden="1" x14ac:dyDescent="0.25">
      <c r="A4188" s="12" t="s">
        <v>7612</v>
      </c>
      <c r="B4188" s="3"/>
      <c r="C4188" s="19" t="s">
        <v>6473</v>
      </c>
      <c r="D4188" s="14" t="s">
        <v>8180</v>
      </c>
    </row>
    <row r="4189" spans="1:4" hidden="1" x14ac:dyDescent="0.25">
      <c r="A4189" s="12" t="s">
        <v>7613</v>
      </c>
      <c r="B4189" s="3"/>
      <c r="C4189" s="19" t="s">
        <v>6474</v>
      </c>
      <c r="D4189" s="14" t="s">
        <v>8180</v>
      </c>
    </row>
    <row r="4190" spans="1:4" hidden="1" x14ac:dyDescent="0.25">
      <c r="A4190" s="12" t="s">
        <v>7614</v>
      </c>
      <c r="B4190" s="3"/>
      <c r="C4190" s="18" t="s">
        <v>6475</v>
      </c>
      <c r="D4190" s="14" t="s">
        <v>8180</v>
      </c>
    </row>
    <row r="4191" spans="1:4" hidden="1" x14ac:dyDescent="0.25">
      <c r="A4191" s="12" t="s">
        <v>7615</v>
      </c>
      <c r="B4191" s="3"/>
      <c r="C4191" s="18" t="s">
        <v>6476</v>
      </c>
      <c r="D4191" s="14" t="s">
        <v>8180</v>
      </c>
    </row>
    <row r="4192" spans="1:4" hidden="1" x14ac:dyDescent="0.25">
      <c r="A4192" s="12" t="s">
        <v>7616</v>
      </c>
      <c r="B4192" s="3"/>
      <c r="C4192" s="18" t="s">
        <v>6477</v>
      </c>
      <c r="D4192" s="14" t="s">
        <v>8180</v>
      </c>
    </row>
    <row r="4193" spans="1:4" hidden="1" x14ac:dyDescent="0.25">
      <c r="A4193" s="12" t="s">
        <v>7617</v>
      </c>
      <c r="B4193" s="3"/>
      <c r="C4193" s="18" t="s">
        <v>6478</v>
      </c>
      <c r="D4193" s="14" t="s">
        <v>8180</v>
      </c>
    </row>
    <row r="4194" spans="1:4" hidden="1" x14ac:dyDescent="0.25">
      <c r="A4194" s="12" t="s">
        <v>7618</v>
      </c>
      <c r="B4194" s="3"/>
      <c r="C4194" s="18" t="s">
        <v>6479</v>
      </c>
      <c r="D4194" s="14" t="s">
        <v>8180</v>
      </c>
    </row>
    <row r="4195" spans="1:4" hidden="1" x14ac:dyDescent="0.25">
      <c r="A4195" s="12" t="s">
        <v>7619</v>
      </c>
      <c r="B4195" s="3"/>
      <c r="C4195" s="18" t="s">
        <v>6480</v>
      </c>
      <c r="D4195" s="14" t="s">
        <v>8180</v>
      </c>
    </row>
    <row r="4196" spans="1:4" hidden="1" x14ac:dyDescent="0.25">
      <c r="A4196" s="12" t="s">
        <v>7620</v>
      </c>
      <c r="B4196" s="3"/>
      <c r="C4196" s="18" t="s">
        <v>6481</v>
      </c>
      <c r="D4196" s="14" t="s">
        <v>8180</v>
      </c>
    </row>
    <row r="4197" spans="1:4" hidden="1" x14ac:dyDescent="0.25">
      <c r="A4197" s="12" t="s">
        <v>7621</v>
      </c>
      <c r="B4197" s="3"/>
      <c r="C4197" s="18" t="s">
        <v>6482</v>
      </c>
      <c r="D4197" s="14" t="s">
        <v>8180</v>
      </c>
    </row>
    <row r="4198" spans="1:4" hidden="1" x14ac:dyDescent="0.25">
      <c r="A4198" s="12" t="s">
        <v>7622</v>
      </c>
      <c r="B4198" s="3"/>
      <c r="C4198" s="18" t="s">
        <v>6483</v>
      </c>
      <c r="D4198" s="14" t="s">
        <v>8180</v>
      </c>
    </row>
    <row r="4199" spans="1:4" hidden="1" x14ac:dyDescent="0.25">
      <c r="A4199" s="12" t="s">
        <v>7623</v>
      </c>
      <c r="B4199" s="3"/>
      <c r="C4199" s="18" t="s">
        <v>6484</v>
      </c>
      <c r="D4199" s="14" t="s">
        <v>8180</v>
      </c>
    </row>
    <row r="4200" spans="1:4" hidden="1" x14ac:dyDescent="0.25">
      <c r="A4200" s="12" t="s">
        <v>7624</v>
      </c>
      <c r="B4200" s="3"/>
      <c r="C4200" s="18" t="s">
        <v>6485</v>
      </c>
      <c r="D4200" s="14" t="s">
        <v>8180</v>
      </c>
    </row>
    <row r="4201" spans="1:4" hidden="1" x14ac:dyDescent="0.25">
      <c r="A4201" s="12" t="s">
        <v>7625</v>
      </c>
      <c r="B4201" s="3"/>
      <c r="C4201" s="18" t="s">
        <v>6486</v>
      </c>
      <c r="D4201" s="14" t="s">
        <v>8180</v>
      </c>
    </row>
    <row r="4202" spans="1:4" hidden="1" x14ac:dyDescent="0.25">
      <c r="A4202" s="12" t="s">
        <v>7626</v>
      </c>
      <c r="B4202" s="3"/>
      <c r="C4202" s="18" t="s">
        <v>6487</v>
      </c>
      <c r="D4202" s="14" t="s">
        <v>8180</v>
      </c>
    </row>
    <row r="4203" spans="1:4" hidden="1" x14ac:dyDescent="0.25">
      <c r="A4203" s="12" t="s">
        <v>7627</v>
      </c>
      <c r="B4203" s="3"/>
      <c r="C4203" s="18" t="s">
        <v>6488</v>
      </c>
      <c r="D4203" s="14" t="s">
        <v>8180</v>
      </c>
    </row>
    <row r="4204" spans="1:4" hidden="1" x14ac:dyDescent="0.25">
      <c r="A4204" s="12" t="s">
        <v>7628</v>
      </c>
      <c r="B4204" s="3"/>
      <c r="C4204" s="18" t="s">
        <v>6489</v>
      </c>
      <c r="D4204" s="14" t="s">
        <v>8180</v>
      </c>
    </row>
    <row r="4205" spans="1:4" hidden="1" x14ac:dyDescent="0.25">
      <c r="A4205" s="12" t="s">
        <v>7629</v>
      </c>
      <c r="B4205" s="3"/>
      <c r="C4205" s="18" t="s">
        <v>6490</v>
      </c>
      <c r="D4205" s="14" t="s">
        <v>8180</v>
      </c>
    </row>
    <row r="4206" spans="1:4" hidden="1" x14ac:dyDescent="0.25">
      <c r="A4206" s="12" t="s">
        <v>7630</v>
      </c>
      <c r="B4206" s="3"/>
      <c r="C4206" s="18" t="s">
        <v>6491</v>
      </c>
      <c r="D4206" s="14" t="s">
        <v>8180</v>
      </c>
    </row>
    <row r="4207" spans="1:4" hidden="1" x14ac:dyDescent="0.25">
      <c r="A4207" s="12" t="s">
        <v>7631</v>
      </c>
      <c r="B4207" s="3"/>
      <c r="C4207" s="18" t="s">
        <v>6492</v>
      </c>
      <c r="D4207" s="14" t="s">
        <v>8180</v>
      </c>
    </row>
    <row r="4208" spans="1:4" hidden="1" x14ac:dyDescent="0.25">
      <c r="A4208" s="12" t="s">
        <v>7632</v>
      </c>
      <c r="B4208" s="3"/>
      <c r="C4208" s="18" t="s">
        <v>6493</v>
      </c>
      <c r="D4208" s="14" t="s">
        <v>8180</v>
      </c>
    </row>
    <row r="4209" spans="1:4" hidden="1" x14ac:dyDescent="0.25">
      <c r="A4209" s="12" t="s">
        <v>7633</v>
      </c>
      <c r="B4209" s="3"/>
      <c r="C4209" s="18" t="s">
        <v>6494</v>
      </c>
      <c r="D4209" s="14" t="s">
        <v>8180</v>
      </c>
    </row>
    <row r="4210" spans="1:4" hidden="1" x14ac:dyDescent="0.25">
      <c r="A4210" s="12" t="s">
        <v>7634</v>
      </c>
      <c r="B4210" s="3"/>
      <c r="C4210" s="18" t="s">
        <v>6495</v>
      </c>
      <c r="D4210" s="14" t="s">
        <v>8180</v>
      </c>
    </row>
    <row r="4211" spans="1:4" hidden="1" x14ac:dyDescent="0.25">
      <c r="A4211" s="12" t="s">
        <v>7635</v>
      </c>
      <c r="B4211" s="3"/>
      <c r="C4211" s="18" t="s">
        <v>6496</v>
      </c>
      <c r="D4211" s="14" t="s">
        <v>8180</v>
      </c>
    </row>
    <row r="4212" spans="1:4" hidden="1" x14ac:dyDescent="0.25">
      <c r="A4212" s="12" t="s">
        <v>7636</v>
      </c>
      <c r="B4212" s="3"/>
      <c r="C4212" s="18" t="s">
        <v>6497</v>
      </c>
      <c r="D4212" s="14" t="s">
        <v>8180</v>
      </c>
    </row>
    <row r="4213" spans="1:4" hidden="1" x14ac:dyDescent="0.25">
      <c r="A4213" s="12" t="s">
        <v>7637</v>
      </c>
      <c r="B4213" s="3"/>
      <c r="C4213" s="18" t="s">
        <v>6498</v>
      </c>
      <c r="D4213" s="14" t="s">
        <v>8180</v>
      </c>
    </row>
    <row r="4214" spans="1:4" hidden="1" x14ac:dyDescent="0.25">
      <c r="A4214" s="12" t="s">
        <v>7638</v>
      </c>
      <c r="B4214" s="3"/>
      <c r="C4214" s="18" t="s">
        <v>6499</v>
      </c>
      <c r="D4214" s="14" t="s">
        <v>8180</v>
      </c>
    </row>
    <row r="4215" spans="1:4" hidden="1" x14ac:dyDescent="0.25">
      <c r="A4215" s="12" t="s">
        <v>7639</v>
      </c>
      <c r="B4215" s="3"/>
      <c r="C4215" s="18" t="s">
        <v>6500</v>
      </c>
      <c r="D4215" s="14" t="s">
        <v>8180</v>
      </c>
    </row>
    <row r="4216" spans="1:4" hidden="1" x14ac:dyDescent="0.25">
      <c r="A4216" s="12" t="s">
        <v>7640</v>
      </c>
      <c r="B4216" s="3"/>
      <c r="C4216" s="18" t="s">
        <v>6501</v>
      </c>
      <c r="D4216" s="14" t="s">
        <v>8180</v>
      </c>
    </row>
    <row r="4217" spans="1:4" hidden="1" x14ac:dyDescent="0.25">
      <c r="A4217" s="12" t="s">
        <v>7641</v>
      </c>
      <c r="B4217" s="3"/>
      <c r="C4217" s="18" t="s">
        <v>6502</v>
      </c>
      <c r="D4217" s="14" t="s">
        <v>8180</v>
      </c>
    </row>
    <row r="4218" spans="1:4" hidden="1" x14ac:dyDescent="0.25">
      <c r="A4218" s="12" t="s">
        <v>7642</v>
      </c>
      <c r="B4218" s="3"/>
      <c r="C4218" s="18" t="s">
        <v>6503</v>
      </c>
      <c r="D4218" s="14" t="s">
        <v>8180</v>
      </c>
    </row>
    <row r="4219" spans="1:4" hidden="1" x14ac:dyDescent="0.25">
      <c r="A4219" s="12" t="s">
        <v>7643</v>
      </c>
      <c r="B4219" s="3"/>
      <c r="C4219" s="18" t="s">
        <v>6504</v>
      </c>
      <c r="D4219" s="14" t="s">
        <v>8180</v>
      </c>
    </row>
    <row r="4220" spans="1:4" hidden="1" x14ac:dyDescent="0.25">
      <c r="A4220" s="12" t="s">
        <v>7644</v>
      </c>
      <c r="B4220" s="3"/>
      <c r="C4220" s="18" t="s">
        <v>6505</v>
      </c>
      <c r="D4220" s="14" t="s">
        <v>8180</v>
      </c>
    </row>
    <row r="4221" spans="1:4" hidden="1" x14ac:dyDescent="0.25">
      <c r="A4221" s="12" t="s">
        <v>7645</v>
      </c>
      <c r="B4221" s="3"/>
      <c r="C4221" s="18" t="s">
        <v>6506</v>
      </c>
      <c r="D4221" s="14" t="s">
        <v>8180</v>
      </c>
    </row>
    <row r="4222" spans="1:4" hidden="1" x14ac:dyDescent="0.25">
      <c r="A4222" s="12" t="s">
        <v>7646</v>
      </c>
      <c r="B4222" s="3"/>
      <c r="C4222" s="18" t="s">
        <v>6507</v>
      </c>
      <c r="D4222" s="14" t="s">
        <v>8180</v>
      </c>
    </row>
    <row r="4223" spans="1:4" hidden="1" x14ac:dyDescent="0.25">
      <c r="A4223" s="12" t="s">
        <v>7647</v>
      </c>
      <c r="B4223" s="3"/>
      <c r="C4223" s="18" t="s">
        <v>6508</v>
      </c>
      <c r="D4223" s="14" t="s">
        <v>8180</v>
      </c>
    </row>
    <row r="4224" spans="1:4" hidden="1" x14ac:dyDescent="0.25">
      <c r="A4224" s="12" t="s">
        <v>7648</v>
      </c>
      <c r="B4224" s="3"/>
      <c r="C4224" s="18" t="s">
        <v>6509</v>
      </c>
      <c r="D4224" s="14" t="s">
        <v>8180</v>
      </c>
    </row>
    <row r="4225" spans="1:4" hidden="1" x14ac:dyDescent="0.25">
      <c r="A4225" s="12" t="s">
        <v>7649</v>
      </c>
      <c r="B4225" s="3"/>
      <c r="C4225" s="19" t="s">
        <v>6510</v>
      </c>
      <c r="D4225" s="14" t="s">
        <v>8180</v>
      </c>
    </row>
    <row r="4226" spans="1:4" hidden="1" x14ac:dyDescent="0.25">
      <c r="A4226" s="12" t="s">
        <v>7650</v>
      </c>
      <c r="B4226" s="3"/>
      <c r="C4226" s="19" t="s">
        <v>6511</v>
      </c>
      <c r="D4226" s="14" t="s">
        <v>8180</v>
      </c>
    </row>
    <row r="4227" spans="1:4" hidden="1" x14ac:dyDescent="0.25">
      <c r="A4227" s="12" t="s">
        <v>7651</v>
      </c>
      <c r="B4227" s="3"/>
      <c r="C4227" s="18" t="s">
        <v>6512</v>
      </c>
      <c r="D4227" s="14" t="s">
        <v>8180</v>
      </c>
    </row>
    <row r="4228" spans="1:4" hidden="1" x14ac:dyDescent="0.25">
      <c r="A4228" s="12" t="s">
        <v>7652</v>
      </c>
      <c r="B4228" s="3"/>
      <c r="C4228" s="18" t="s">
        <v>6513</v>
      </c>
      <c r="D4228" s="14" t="s">
        <v>8180</v>
      </c>
    </row>
    <row r="4229" spans="1:4" hidden="1" x14ac:dyDescent="0.25">
      <c r="A4229" s="12" t="s">
        <v>7653</v>
      </c>
      <c r="B4229" s="3"/>
      <c r="C4229" s="18" t="s">
        <v>6514</v>
      </c>
      <c r="D4229" s="14" t="s">
        <v>8180</v>
      </c>
    </row>
    <row r="4230" spans="1:4" hidden="1" x14ac:dyDescent="0.25">
      <c r="A4230" s="12" t="s">
        <v>7654</v>
      </c>
      <c r="B4230" s="3"/>
      <c r="C4230" s="18" t="s">
        <v>6515</v>
      </c>
      <c r="D4230" s="14" t="s">
        <v>8180</v>
      </c>
    </row>
    <row r="4231" spans="1:4" hidden="1" x14ac:dyDescent="0.25">
      <c r="A4231" s="12" t="s">
        <v>7655</v>
      </c>
      <c r="B4231" s="3"/>
      <c r="C4231" s="18" t="s">
        <v>6516</v>
      </c>
      <c r="D4231" s="14" t="s">
        <v>8180</v>
      </c>
    </row>
    <row r="4232" spans="1:4" hidden="1" x14ac:dyDescent="0.25">
      <c r="A4232" s="12" t="s">
        <v>7656</v>
      </c>
      <c r="B4232" s="3"/>
      <c r="C4232" s="18" t="s">
        <v>6517</v>
      </c>
      <c r="D4232" s="14" t="s">
        <v>8180</v>
      </c>
    </row>
    <row r="4233" spans="1:4" hidden="1" x14ac:dyDescent="0.25">
      <c r="A4233" s="12" t="s">
        <v>7657</v>
      </c>
      <c r="B4233" s="3"/>
      <c r="C4233" s="18" t="s">
        <v>6518</v>
      </c>
      <c r="D4233" s="14" t="s">
        <v>8180</v>
      </c>
    </row>
    <row r="4234" spans="1:4" hidden="1" x14ac:dyDescent="0.25">
      <c r="A4234" s="12" t="s">
        <v>7658</v>
      </c>
      <c r="B4234" s="3"/>
      <c r="C4234" s="18" t="s">
        <v>6519</v>
      </c>
      <c r="D4234" s="14" t="s">
        <v>8180</v>
      </c>
    </row>
    <row r="4235" spans="1:4" hidden="1" x14ac:dyDescent="0.25">
      <c r="A4235" s="12" t="s">
        <v>7659</v>
      </c>
      <c r="B4235" s="3"/>
      <c r="C4235" s="18" t="s">
        <v>6520</v>
      </c>
      <c r="D4235" s="14" t="s">
        <v>8180</v>
      </c>
    </row>
    <row r="4236" spans="1:4" hidden="1" x14ac:dyDescent="0.25">
      <c r="A4236" s="12" t="s">
        <v>7660</v>
      </c>
      <c r="B4236" s="3"/>
      <c r="C4236" s="18" t="s">
        <v>6521</v>
      </c>
      <c r="D4236" s="14" t="s">
        <v>8180</v>
      </c>
    </row>
    <row r="4237" spans="1:4" hidden="1" x14ac:dyDescent="0.25">
      <c r="A4237" s="12" t="s">
        <v>7661</v>
      </c>
      <c r="B4237" s="3"/>
      <c r="C4237" s="18" t="s">
        <v>6522</v>
      </c>
      <c r="D4237" s="14" t="s">
        <v>8180</v>
      </c>
    </row>
    <row r="4238" spans="1:4" hidden="1" x14ac:dyDescent="0.25">
      <c r="A4238" s="12" t="s">
        <v>7662</v>
      </c>
      <c r="B4238" s="3"/>
      <c r="C4238" s="18" t="s">
        <v>6523</v>
      </c>
      <c r="D4238" s="14" t="s">
        <v>8180</v>
      </c>
    </row>
    <row r="4239" spans="1:4" hidden="1" x14ac:dyDescent="0.25">
      <c r="A4239" s="12" t="s">
        <v>7663</v>
      </c>
      <c r="B4239" s="3"/>
      <c r="C4239" s="18" t="s">
        <v>6524</v>
      </c>
      <c r="D4239" s="14" t="s">
        <v>8180</v>
      </c>
    </row>
    <row r="4240" spans="1:4" hidden="1" x14ac:dyDescent="0.25">
      <c r="A4240" s="12" t="s">
        <v>7664</v>
      </c>
      <c r="B4240" s="3"/>
      <c r="C4240" s="18" t="s">
        <v>6525</v>
      </c>
      <c r="D4240" s="14" t="s">
        <v>8180</v>
      </c>
    </row>
    <row r="4241" spans="1:4" hidden="1" x14ac:dyDescent="0.25">
      <c r="A4241" s="12" t="s">
        <v>7665</v>
      </c>
      <c r="B4241" s="3"/>
      <c r="C4241" s="18" t="s">
        <v>6526</v>
      </c>
      <c r="D4241" s="14" t="s">
        <v>8180</v>
      </c>
    </row>
    <row r="4242" spans="1:4" hidden="1" x14ac:dyDescent="0.25">
      <c r="A4242" s="12" t="s">
        <v>7666</v>
      </c>
      <c r="B4242" s="3"/>
      <c r="C4242" s="18" t="s">
        <v>6527</v>
      </c>
      <c r="D4242" s="14" t="s">
        <v>8180</v>
      </c>
    </row>
    <row r="4243" spans="1:4" hidden="1" x14ac:dyDescent="0.25">
      <c r="A4243" s="12" t="s">
        <v>7667</v>
      </c>
      <c r="B4243" s="3"/>
      <c r="C4243" s="18" t="s">
        <v>6528</v>
      </c>
      <c r="D4243" s="14" t="s">
        <v>8180</v>
      </c>
    </row>
    <row r="4244" spans="1:4" hidden="1" x14ac:dyDescent="0.25">
      <c r="A4244" s="12" t="s">
        <v>7668</v>
      </c>
      <c r="B4244" s="3"/>
      <c r="C4244" s="18" t="s">
        <v>6529</v>
      </c>
      <c r="D4244" s="14" t="s">
        <v>8180</v>
      </c>
    </row>
    <row r="4245" spans="1:4" hidden="1" x14ac:dyDescent="0.25">
      <c r="A4245" s="12" t="s">
        <v>7669</v>
      </c>
      <c r="B4245" s="3"/>
      <c r="C4245" s="18" t="s">
        <v>6530</v>
      </c>
      <c r="D4245" s="14" t="s">
        <v>8180</v>
      </c>
    </row>
    <row r="4246" spans="1:4" hidden="1" x14ac:dyDescent="0.25">
      <c r="A4246" s="12" t="s">
        <v>7670</v>
      </c>
      <c r="B4246" s="3"/>
      <c r="C4246" s="18" t="s">
        <v>6531</v>
      </c>
      <c r="D4246" s="14" t="s">
        <v>8180</v>
      </c>
    </row>
    <row r="4247" spans="1:4" hidden="1" x14ac:dyDescent="0.25">
      <c r="A4247" s="12" t="s">
        <v>7671</v>
      </c>
      <c r="B4247" s="3"/>
      <c r="C4247" s="18" t="s">
        <v>6532</v>
      </c>
      <c r="D4247" s="14" t="s">
        <v>8180</v>
      </c>
    </row>
    <row r="4248" spans="1:4" hidden="1" x14ac:dyDescent="0.25">
      <c r="A4248" s="12" t="s">
        <v>7672</v>
      </c>
      <c r="B4248" s="3"/>
      <c r="C4248" s="18" t="s">
        <v>6533</v>
      </c>
      <c r="D4248" s="14" t="s">
        <v>8180</v>
      </c>
    </row>
    <row r="4249" spans="1:4" hidden="1" x14ac:dyDescent="0.25">
      <c r="A4249" s="12" t="s">
        <v>7673</v>
      </c>
      <c r="B4249" s="3"/>
      <c r="C4249" s="18" t="s">
        <v>6534</v>
      </c>
      <c r="D4249" s="14" t="s">
        <v>8180</v>
      </c>
    </row>
    <row r="4250" spans="1:4" hidden="1" x14ac:dyDescent="0.25">
      <c r="A4250" s="12" t="s">
        <v>7674</v>
      </c>
      <c r="B4250" s="3"/>
      <c r="C4250" s="18" t="s">
        <v>6535</v>
      </c>
      <c r="D4250" s="14" t="s">
        <v>8180</v>
      </c>
    </row>
    <row r="4251" spans="1:4" hidden="1" x14ac:dyDescent="0.25">
      <c r="A4251" s="12" t="s">
        <v>7675</v>
      </c>
      <c r="B4251" s="3"/>
      <c r="C4251" s="18" t="s">
        <v>6536</v>
      </c>
      <c r="D4251" s="14" t="s">
        <v>8180</v>
      </c>
    </row>
    <row r="4252" spans="1:4" hidden="1" x14ac:dyDescent="0.25">
      <c r="A4252" s="12" t="s">
        <v>7676</v>
      </c>
      <c r="B4252" s="3"/>
      <c r="C4252" s="18" t="s">
        <v>6537</v>
      </c>
      <c r="D4252" s="14" t="s">
        <v>8180</v>
      </c>
    </row>
    <row r="4253" spans="1:4" hidden="1" x14ac:dyDescent="0.25">
      <c r="A4253" s="12" t="s">
        <v>7677</v>
      </c>
      <c r="B4253" s="3"/>
      <c r="C4253" s="18" t="s">
        <v>6538</v>
      </c>
      <c r="D4253" s="14" t="s">
        <v>8180</v>
      </c>
    </row>
    <row r="4254" spans="1:4" hidden="1" x14ac:dyDescent="0.25">
      <c r="A4254" s="12" t="s">
        <v>7678</v>
      </c>
      <c r="B4254" s="3"/>
      <c r="C4254" s="18" t="s">
        <v>6539</v>
      </c>
      <c r="D4254" s="14" t="s">
        <v>8180</v>
      </c>
    </row>
    <row r="4255" spans="1:4" hidden="1" x14ac:dyDescent="0.25">
      <c r="A4255" s="12" t="s">
        <v>7679</v>
      </c>
      <c r="B4255" s="3"/>
      <c r="C4255" s="18" t="s">
        <v>6540</v>
      </c>
      <c r="D4255" s="14" t="s">
        <v>8180</v>
      </c>
    </row>
    <row r="4256" spans="1:4" hidden="1" x14ac:dyDescent="0.25">
      <c r="A4256" s="12" t="s">
        <v>7680</v>
      </c>
      <c r="B4256" s="3"/>
      <c r="C4256" s="18" t="s">
        <v>6541</v>
      </c>
      <c r="D4256" s="14" t="s">
        <v>8180</v>
      </c>
    </row>
    <row r="4257" spans="1:4" hidden="1" x14ac:dyDescent="0.25">
      <c r="A4257" s="12" t="s">
        <v>7681</v>
      </c>
      <c r="B4257" s="3"/>
      <c r="C4257" s="18" t="s">
        <v>6542</v>
      </c>
      <c r="D4257" s="14" t="s">
        <v>8180</v>
      </c>
    </row>
    <row r="4258" spans="1:4" hidden="1" x14ac:dyDescent="0.25">
      <c r="A4258" s="12" t="s">
        <v>7682</v>
      </c>
      <c r="B4258" s="3"/>
      <c r="C4258" s="18" t="s">
        <v>6543</v>
      </c>
      <c r="D4258" s="14" t="s">
        <v>8180</v>
      </c>
    </row>
    <row r="4259" spans="1:4" hidden="1" x14ac:dyDescent="0.25">
      <c r="A4259" s="12" t="s">
        <v>7683</v>
      </c>
      <c r="B4259" s="3"/>
      <c r="C4259" s="18" t="s">
        <v>6544</v>
      </c>
      <c r="D4259" s="14" t="s">
        <v>8180</v>
      </c>
    </row>
    <row r="4260" spans="1:4" hidden="1" x14ac:dyDescent="0.25">
      <c r="A4260" s="12" t="s">
        <v>7684</v>
      </c>
      <c r="B4260" s="3"/>
      <c r="C4260" s="18" t="s">
        <v>6545</v>
      </c>
      <c r="D4260" s="14" t="s">
        <v>8180</v>
      </c>
    </row>
    <row r="4261" spans="1:4" hidden="1" x14ac:dyDescent="0.25">
      <c r="A4261" s="12" t="s">
        <v>7685</v>
      </c>
      <c r="B4261" s="3"/>
      <c r="C4261" s="18" t="s">
        <v>6546</v>
      </c>
      <c r="D4261" s="14" t="s">
        <v>8180</v>
      </c>
    </row>
    <row r="4262" spans="1:4" hidden="1" x14ac:dyDescent="0.25">
      <c r="A4262" s="12" t="s">
        <v>7686</v>
      </c>
      <c r="B4262" s="3"/>
      <c r="C4262" s="18" t="s">
        <v>6547</v>
      </c>
      <c r="D4262" s="14" t="s">
        <v>8180</v>
      </c>
    </row>
    <row r="4263" spans="1:4" hidden="1" x14ac:dyDescent="0.25">
      <c r="A4263" s="12" t="s">
        <v>7687</v>
      </c>
      <c r="B4263" s="3"/>
      <c r="C4263" s="19" t="s">
        <v>6548</v>
      </c>
      <c r="D4263" s="14" t="s">
        <v>8180</v>
      </c>
    </row>
    <row r="4264" spans="1:4" hidden="1" x14ac:dyDescent="0.25">
      <c r="A4264" s="12" t="s">
        <v>7688</v>
      </c>
      <c r="B4264" s="3"/>
      <c r="C4264" s="19" t="s">
        <v>6549</v>
      </c>
      <c r="D4264" s="14" t="s">
        <v>8180</v>
      </c>
    </row>
    <row r="4265" spans="1:4" hidden="1" x14ac:dyDescent="0.25">
      <c r="A4265" s="12" t="s">
        <v>7689</v>
      </c>
      <c r="B4265" s="3"/>
      <c r="C4265" s="18" t="s">
        <v>6550</v>
      </c>
      <c r="D4265" s="14" t="s">
        <v>8180</v>
      </c>
    </row>
    <row r="4266" spans="1:4" hidden="1" x14ac:dyDescent="0.25">
      <c r="A4266" s="12" t="s">
        <v>7690</v>
      </c>
      <c r="B4266" s="3"/>
      <c r="C4266" s="18" t="s">
        <v>6551</v>
      </c>
      <c r="D4266" s="14" t="s">
        <v>8180</v>
      </c>
    </row>
    <row r="4267" spans="1:4" hidden="1" x14ac:dyDescent="0.25">
      <c r="A4267" s="12" t="s">
        <v>7691</v>
      </c>
      <c r="B4267" s="3"/>
      <c r="C4267" s="18" t="s">
        <v>6552</v>
      </c>
      <c r="D4267" s="14" t="s">
        <v>8180</v>
      </c>
    </row>
    <row r="4268" spans="1:4" hidden="1" x14ac:dyDescent="0.25">
      <c r="A4268" s="12" t="s">
        <v>7692</v>
      </c>
      <c r="B4268" s="3"/>
      <c r="C4268" s="18" t="s">
        <v>6553</v>
      </c>
      <c r="D4268" s="14" t="s">
        <v>8180</v>
      </c>
    </row>
    <row r="4269" spans="1:4" hidden="1" x14ac:dyDescent="0.25">
      <c r="A4269" s="12" t="s">
        <v>7693</v>
      </c>
      <c r="B4269" s="3"/>
      <c r="C4269" s="18" t="s">
        <v>6554</v>
      </c>
      <c r="D4269" s="14" t="s">
        <v>8180</v>
      </c>
    </row>
    <row r="4270" spans="1:4" hidden="1" x14ac:dyDescent="0.25">
      <c r="A4270" s="12" t="s">
        <v>7694</v>
      </c>
      <c r="B4270" s="3"/>
      <c r="C4270" s="18" t="s">
        <v>6555</v>
      </c>
      <c r="D4270" s="14" t="s">
        <v>8180</v>
      </c>
    </row>
    <row r="4271" spans="1:4" hidden="1" x14ac:dyDescent="0.25">
      <c r="A4271" s="12" t="s">
        <v>7695</v>
      </c>
      <c r="B4271" s="3"/>
      <c r="C4271" s="18" t="s">
        <v>6556</v>
      </c>
      <c r="D4271" s="14" t="s">
        <v>8180</v>
      </c>
    </row>
    <row r="4272" spans="1:4" hidden="1" x14ac:dyDescent="0.25">
      <c r="A4272" s="12" t="s">
        <v>7696</v>
      </c>
      <c r="B4272" s="3"/>
      <c r="C4272" s="18" t="s">
        <v>6557</v>
      </c>
      <c r="D4272" s="14" t="s">
        <v>8180</v>
      </c>
    </row>
    <row r="4273" spans="1:4" hidden="1" x14ac:dyDescent="0.25">
      <c r="A4273" s="12" t="s">
        <v>7697</v>
      </c>
      <c r="B4273" s="3"/>
      <c r="C4273" s="18" t="s">
        <v>6558</v>
      </c>
      <c r="D4273" s="14" t="s">
        <v>8180</v>
      </c>
    </row>
    <row r="4274" spans="1:4" hidden="1" x14ac:dyDescent="0.25">
      <c r="A4274" s="12" t="s">
        <v>7698</v>
      </c>
      <c r="B4274" s="3"/>
      <c r="C4274" s="18" t="s">
        <v>6559</v>
      </c>
      <c r="D4274" s="14" t="s">
        <v>8180</v>
      </c>
    </row>
    <row r="4275" spans="1:4" hidden="1" x14ac:dyDescent="0.25">
      <c r="A4275" s="12" t="s">
        <v>7699</v>
      </c>
      <c r="B4275" s="3"/>
      <c r="C4275" s="18" t="s">
        <v>6560</v>
      </c>
      <c r="D4275" s="14" t="s">
        <v>8180</v>
      </c>
    </row>
    <row r="4276" spans="1:4" hidden="1" x14ac:dyDescent="0.25">
      <c r="A4276" s="12" t="s">
        <v>7700</v>
      </c>
      <c r="B4276" s="3"/>
      <c r="C4276" s="18" t="s">
        <v>6561</v>
      </c>
      <c r="D4276" s="14" t="s">
        <v>8180</v>
      </c>
    </row>
    <row r="4277" spans="1:4" hidden="1" x14ac:dyDescent="0.25">
      <c r="A4277" s="12" t="s">
        <v>7701</v>
      </c>
      <c r="B4277" s="3"/>
      <c r="C4277" s="18" t="s">
        <v>6562</v>
      </c>
      <c r="D4277" s="14" t="s">
        <v>8180</v>
      </c>
    </row>
    <row r="4278" spans="1:4" hidden="1" x14ac:dyDescent="0.25">
      <c r="A4278" s="12" t="s">
        <v>7702</v>
      </c>
      <c r="B4278" s="3"/>
      <c r="C4278" s="18" t="s">
        <v>6563</v>
      </c>
      <c r="D4278" s="14" t="s">
        <v>8180</v>
      </c>
    </row>
    <row r="4279" spans="1:4" hidden="1" x14ac:dyDescent="0.25">
      <c r="A4279" s="12" t="s">
        <v>7703</v>
      </c>
      <c r="B4279" s="3"/>
      <c r="C4279" s="18" t="s">
        <v>6564</v>
      </c>
      <c r="D4279" s="14" t="s">
        <v>8180</v>
      </c>
    </row>
    <row r="4280" spans="1:4" hidden="1" x14ac:dyDescent="0.25">
      <c r="A4280" s="12" t="s">
        <v>7704</v>
      </c>
      <c r="B4280" s="3"/>
      <c r="C4280" s="18" t="s">
        <v>6565</v>
      </c>
      <c r="D4280" s="14" t="s">
        <v>8180</v>
      </c>
    </row>
    <row r="4281" spans="1:4" hidden="1" x14ac:dyDescent="0.25">
      <c r="A4281" s="12" t="s">
        <v>7705</v>
      </c>
      <c r="B4281" s="3"/>
      <c r="C4281" s="18" t="s">
        <v>6566</v>
      </c>
      <c r="D4281" s="14" t="s">
        <v>8180</v>
      </c>
    </row>
    <row r="4282" spans="1:4" hidden="1" x14ac:dyDescent="0.25">
      <c r="A4282" s="12" t="s">
        <v>7706</v>
      </c>
      <c r="B4282" s="3"/>
      <c r="C4282" s="18" t="s">
        <v>6567</v>
      </c>
      <c r="D4282" s="14" t="s">
        <v>8180</v>
      </c>
    </row>
    <row r="4283" spans="1:4" hidden="1" x14ac:dyDescent="0.25">
      <c r="A4283" s="12" t="s">
        <v>7707</v>
      </c>
      <c r="B4283" s="3"/>
      <c r="C4283" s="18" t="s">
        <v>6568</v>
      </c>
      <c r="D4283" s="14" t="s">
        <v>8180</v>
      </c>
    </row>
    <row r="4284" spans="1:4" hidden="1" x14ac:dyDescent="0.25">
      <c r="A4284" s="12" t="s">
        <v>7708</v>
      </c>
      <c r="B4284" s="3"/>
      <c r="C4284" s="18" t="s">
        <v>6569</v>
      </c>
      <c r="D4284" s="14" t="s">
        <v>8180</v>
      </c>
    </row>
    <row r="4285" spans="1:4" hidden="1" x14ac:dyDescent="0.25">
      <c r="A4285" s="12" t="s">
        <v>7709</v>
      </c>
      <c r="B4285" s="3"/>
      <c r="C4285" s="18" t="s">
        <v>6570</v>
      </c>
      <c r="D4285" s="14" t="s">
        <v>8180</v>
      </c>
    </row>
    <row r="4286" spans="1:4" hidden="1" x14ac:dyDescent="0.25">
      <c r="A4286" s="12" t="s">
        <v>7710</v>
      </c>
      <c r="B4286" s="3"/>
      <c r="C4286" s="18" t="s">
        <v>6571</v>
      </c>
      <c r="D4286" s="14" t="s">
        <v>8180</v>
      </c>
    </row>
    <row r="4287" spans="1:4" hidden="1" x14ac:dyDescent="0.25">
      <c r="A4287" s="12" t="s">
        <v>7711</v>
      </c>
      <c r="B4287" s="3"/>
      <c r="C4287" s="18" t="s">
        <v>6572</v>
      </c>
      <c r="D4287" s="14" t="s">
        <v>8180</v>
      </c>
    </row>
    <row r="4288" spans="1:4" hidden="1" x14ac:dyDescent="0.25">
      <c r="A4288" s="12" t="s">
        <v>7712</v>
      </c>
      <c r="B4288" s="3"/>
      <c r="C4288" s="18" t="s">
        <v>6573</v>
      </c>
      <c r="D4288" s="14" t="s">
        <v>8180</v>
      </c>
    </row>
    <row r="4289" spans="1:4" hidden="1" x14ac:dyDescent="0.25">
      <c r="A4289" s="12" t="s">
        <v>7713</v>
      </c>
      <c r="B4289" s="3"/>
      <c r="C4289" s="18" t="s">
        <v>6574</v>
      </c>
      <c r="D4289" s="14" t="s">
        <v>8180</v>
      </c>
    </row>
    <row r="4290" spans="1:4" hidden="1" x14ac:dyDescent="0.25">
      <c r="A4290" s="12" t="s">
        <v>7714</v>
      </c>
      <c r="B4290" s="3"/>
      <c r="C4290" s="18" t="s">
        <v>6575</v>
      </c>
      <c r="D4290" s="14" t="s">
        <v>8180</v>
      </c>
    </row>
    <row r="4291" spans="1:4" hidden="1" x14ac:dyDescent="0.25">
      <c r="A4291" s="12" t="s">
        <v>7715</v>
      </c>
      <c r="B4291" s="3"/>
      <c r="C4291" s="18" t="s">
        <v>6576</v>
      </c>
      <c r="D4291" s="14" t="s">
        <v>8180</v>
      </c>
    </row>
    <row r="4292" spans="1:4" hidden="1" x14ac:dyDescent="0.25">
      <c r="A4292" s="12" t="s">
        <v>7716</v>
      </c>
      <c r="B4292" s="3"/>
      <c r="C4292" s="18" t="s">
        <v>6577</v>
      </c>
      <c r="D4292" s="14" t="s">
        <v>8180</v>
      </c>
    </row>
    <row r="4293" spans="1:4" hidden="1" x14ac:dyDescent="0.25">
      <c r="A4293" s="12" t="s">
        <v>7717</v>
      </c>
      <c r="B4293" s="3"/>
      <c r="C4293" s="18" t="s">
        <v>6578</v>
      </c>
      <c r="D4293" s="14" t="s">
        <v>8180</v>
      </c>
    </row>
    <row r="4294" spans="1:4" hidden="1" x14ac:dyDescent="0.25">
      <c r="A4294" s="12" t="s">
        <v>7718</v>
      </c>
      <c r="B4294" s="3"/>
      <c r="C4294" s="18" t="s">
        <v>6579</v>
      </c>
      <c r="D4294" s="14" t="s">
        <v>8180</v>
      </c>
    </row>
    <row r="4295" spans="1:4" hidden="1" x14ac:dyDescent="0.25">
      <c r="A4295" s="12" t="s">
        <v>7719</v>
      </c>
      <c r="B4295" s="3"/>
      <c r="C4295" s="18" t="s">
        <v>6580</v>
      </c>
      <c r="D4295" s="14" t="s">
        <v>8180</v>
      </c>
    </row>
    <row r="4296" spans="1:4" hidden="1" x14ac:dyDescent="0.25">
      <c r="A4296" s="12" t="s">
        <v>7720</v>
      </c>
      <c r="B4296" s="3"/>
      <c r="C4296" s="18" t="s">
        <v>6581</v>
      </c>
      <c r="D4296" s="14" t="s">
        <v>8180</v>
      </c>
    </row>
    <row r="4297" spans="1:4" hidden="1" x14ac:dyDescent="0.25">
      <c r="A4297" s="12" t="s">
        <v>7721</v>
      </c>
      <c r="B4297" s="3"/>
      <c r="C4297" s="18" t="s">
        <v>6582</v>
      </c>
      <c r="D4297" s="14" t="s">
        <v>8180</v>
      </c>
    </row>
    <row r="4298" spans="1:4" hidden="1" x14ac:dyDescent="0.25">
      <c r="A4298" s="12" t="s">
        <v>7722</v>
      </c>
      <c r="B4298" s="3"/>
      <c r="C4298" s="18" t="s">
        <v>6583</v>
      </c>
      <c r="D4298" s="14" t="s">
        <v>8180</v>
      </c>
    </row>
    <row r="4299" spans="1:4" hidden="1" x14ac:dyDescent="0.25">
      <c r="A4299" s="12" t="s">
        <v>7723</v>
      </c>
      <c r="B4299" s="3"/>
      <c r="C4299" s="18" t="s">
        <v>6584</v>
      </c>
      <c r="D4299" s="14" t="s">
        <v>8180</v>
      </c>
    </row>
    <row r="4300" spans="1:4" hidden="1" x14ac:dyDescent="0.25">
      <c r="A4300" s="12" t="s">
        <v>7724</v>
      </c>
      <c r="B4300" s="3"/>
      <c r="C4300" s="19" t="s">
        <v>6585</v>
      </c>
      <c r="D4300" s="14" t="s">
        <v>8180</v>
      </c>
    </row>
    <row r="4301" spans="1:4" hidden="1" x14ac:dyDescent="0.25">
      <c r="A4301" s="12" t="s">
        <v>7725</v>
      </c>
      <c r="B4301" s="3"/>
      <c r="C4301" s="19" t="s">
        <v>6586</v>
      </c>
      <c r="D4301" s="14" t="s">
        <v>8180</v>
      </c>
    </row>
    <row r="4302" spans="1:4" hidden="1" x14ac:dyDescent="0.25">
      <c r="A4302" s="12" t="s">
        <v>7726</v>
      </c>
      <c r="B4302" s="3"/>
      <c r="C4302" s="18" t="s">
        <v>6587</v>
      </c>
      <c r="D4302" s="14" t="s">
        <v>8180</v>
      </c>
    </row>
    <row r="4303" spans="1:4" hidden="1" x14ac:dyDescent="0.25">
      <c r="A4303" s="12" t="s">
        <v>7727</v>
      </c>
      <c r="B4303" s="3"/>
      <c r="C4303" s="18" t="s">
        <v>6588</v>
      </c>
      <c r="D4303" s="14" t="s">
        <v>8180</v>
      </c>
    </row>
    <row r="4304" spans="1:4" hidden="1" x14ac:dyDescent="0.25">
      <c r="A4304" s="12" t="s">
        <v>7728</v>
      </c>
      <c r="B4304" s="3"/>
      <c r="C4304" s="18" t="s">
        <v>6589</v>
      </c>
      <c r="D4304" s="14" t="s">
        <v>8180</v>
      </c>
    </row>
    <row r="4305" spans="1:4" hidden="1" x14ac:dyDescent="0.25">
      <c r="A4305" s="12" t="s">
        <v>7729</v>
      </c>
      <c r="B4305" s="3"/>
      <c r="C4305" s="18" t="s">
        <v>6590</v>
      </c>
      <c r="D4305" s="14" t="s">
        <v>8180</v>
      </c>
    </row>
    <row r="4306" spans="1:4" hidden="1" x14ac:dyDescent="0.25">
      <c r="A4306" s="12" t="s">
        <v>7730</v>
      </c>
      <c r="B4306" s="3"/>
      <c r="C4306" s="18" t="s">
        <v>6591</v>
      </c>
      <c r="D4306" s="14" t="s">
        <v>8180</v>
      </c>
    </row>
    <row r="4307" spans="1:4" hidden="1" x14ac:dyDescent="0.25">
      <c r="A4307" s="12" t="s">
        <v>7731</v>
      </c>
      <c r="B4307" s="3"/>
      <c r="C4307" s="18" t="s">
        <v>6592</v>
      </c>
      <c r="D4307" s="14" t="s">
        <v>8180</v>
      </c>
    </row>
    <row r="4308" spans="1:4" hidden="1" x14ac:dyDescent="0.25">
      <c r="A4308" s="12" t="s">
        <v>7732</v>
      </c>
      <c r="B4308" s="3"/>
      <c r="C4308" s="18" t="s">
        <v>6593</v>
      </c>
      <c r="D4308" s="14" t="s">
        <v>8180</v>
      </c>
    </row>
    <row r="4309" spans="1:4" hidden="1" x14ac:dyDescent="0.25">
      <c r="A4309" s="12" t="s">
        <v>7733</v>
      </c>
      <c r="B4309" s="3"/>
      <c r="C4309" s="18" t="s">
        <v>6594</v>
      </c>
      <c r="D4309" s="14" t="s">
        <v>8180</v>
      </c>
    </row>
    <row r="4310" spans="1:4" hidden="1" x14ac:dyDescent="0.25">
      <c r="A4310" s="12" t="s">
        <v>7734</v>
      </c>
      <c r="B4310" s="3"/>
      <c r="C4310" s="18" t="s">
        <v>6595</v>
      </c>
      <c r="D4310" s="14" t="s">
        <v>8180</v>
      </c>
    </row>
    <row r="4311" spans="1:4" hidden="1" x14ac:dyDescent="0.25">
      <c r="A4311" s="12" t="s">
        <v>7735</v>
      </c>
      <c r="B4311" s="3"/>
      <c r="C4311" s="18" t="s">
        <v>6596</v>
      </c>
      <c r="D4311" s="14" t="s">
        <v>8180</v>
      </c>
    </row>
    <row r="4312" spans="1:4" hidden="1" x14ac:dyDescent="0.25">
      <c r="A4312" s="12" t="s">
        <v>7736</v>
      </c>
      <c r="B4312" s="3"/>
      <c r="C4312" s="18" t="s">
        <v>6597</v>
      </c>
      <c r="D4312" s="14" t="s">
        <v>8180</v>
      </c>
    </row>
    <row r="4313" spans="1:4" hidden="1" x14ac:dyDescent="0.25">
      <c r="A4313" s="12" t="s">
        <v>7737</v>
      </c>
      <c r="B4313" s="3"/>
      <c r="C4313" s="18" t="s">
        <v>6598</v>
      </c>
      <c r="D4313" s="14" t="s">
        <v>8180</v>
      </c>
    </row>
    <row r="4314" spans="1:4" hidden="1" x14ac:dyDescent="0.25">
      <c r="A4314" s="12" t="s">
        <v>7738</v>
      </c>
      <c r="B4314" s="3"/>
      <c r="C4314" s="18" t="s">
        <v>6599</v>
      </c>
      <c r="D4314" s="14" t="s">
        <v>8180</v>
      </c>
    </row>
    <row r="4315" spans="1:4" hidden="1" x14ac:dyDescent="0.25">
      <c r="A4315" s="12" t="s">
        <v>7739</v>
      </c>
      <c r="B4315" s="3"/>
      <c r="C4315" s="18" t="s">
        <v>6600</v>
      </c>
      <c r="D4315" s="14" t="s">
        <v>8180</v>
      </c>
    </row>
    <row r="4316" spans="1:4" hidden="1" x14ac:dyDescent="0.25">
      <c r="A4316" s="12" t="s">
        <v>7740</v>
      </c>
      <c r="B4316" s="3"/>
      <c r="C4316" s="18" t="s">
        <v>6601</v>
      </c>
      <c r="D4316" s="14" t="s">
        <v>8180</v>
      </c>
    </row>
    <row r="4317" spans="1:4" hidden="1" x14ac:dyDescent="0.25">
      <c r="A4317" s="12" t="s">
        <v>7741</v>
      </c>
      <c r="B4317" s="3"/>
      <c r="C4317" s="18" t="s">
        <v>6602</v>
      </c>
      <c r="D4317" s="14" t="s">
        <v>8180</v>
      </c>
    </row>
    <row r="4318" spans="1:4" hidden="1" x14ac:dyDescent="0.25">
      <c r="A4318" s="12" t="s">
        <v>7742</v>
      </c>
      <c r="B4318" s="3"/>
      <c r="C4318" s="18" t="s">
        <v>6603</v>
      </c>
      <c r="D4318" s="14" t="s">
        <v>8180</v>
      </c>
    </row>
    <row r="4319" spans="1:4" hidden="1" x14ac:dyDescent="0.25">
      <c r="A4319" s="12" t="s">
        <v>7743</v>
      </c>
      <c r="B4319" s="3"/>
      <c r="C4319" s="18" t="s">
        <v>6604</v>
      </c>
      <c r="D4319" s="14" t="s">
        <v>8180</v>
      </c>
    </row>
    <row r="4320" spans="1:4" hidden="1" x14ac:dyDescent="0.25">
      <c r="A4320" s="12" t="s">
        <v>7744</v>
      </c>
      <c r="B4320" s="3"/>
      <c r="C4320" s="18" t="s">
        <v>6605</v>
      </c>
      <c r="D4320" s="14" t="s">
        <v>8180</v>
      </c>
    </row>
    <row r="4321" spans="1:4" hidden="1" x14ac:dyDescent="0.25">
      <c r="A4321" s="12" t="s">
        <v>7745</v>
      </c>
      <c r="B4321" s="3"/>
      <c r="C4321" s="18" t="s">
        <v>6606</v>
      </c>
      <c r="D4321" s="14" t="s">
        <v>8180</v>
      </c>
    </row>
    <row r="4322" spans="1:4" hidden="1" x14ac:dyDescent="0.25">
      <c r="A4322" s="12" t="s">
        <v>7746</v>
      </c>
      <c r="B4322" s="3"/>
      <c r="C4322" s="18" t="s">
        <v>6607</v>
      </c>
      <c r="D4322" s="14" t="s">
        <v>8180</v>
      </c>
    </row>
    <row r="4323" spans="1:4" hidden="1" x14ac:dyDescent="0.25">
      <c r="A4323" s="12" t="s">
        <v>7747</v>
      </c>
      <c r="B4323" s="3"/>
      <c r="C4323" s="18" t="s">
        <v>6608</v>
      </c>
      <c r="D4323" s="14" t="s">
        <v>8180</v>
      </c>
    </row>
    <row r="4324" spans="1:4" hidden="1" x14ac:dyDescent="0.25">
      <c r="A4324" s="12" t="s">
        <v>7748</v>
      </c>
      <c r="B4324" s="3"/>
      <c r="C4324" s="18" t="s">
        <v>6609</v>
      </c>
      <c r="D4324" s="14" t="s">
        <v>8180</v>
      </c>
    </row>
    <row r="4325" spans="1:4" hidden="1" x14ac:dyDescent="0.25">
      <c r="A4325" s="12" t="s">
        <v>7749</v>
      </c>
      <c r="B4325" s="3"/>
      <c r="C4325" s="18" t="s">
        <v>6610</v>
      </c>
      <c r="D4325" s="14" t="s">
        <v>8180</v>
      </c>
    </row>
    <row r="4326" spans="1:4" hidden="1" x14ac:dyDescent="0.25">
      <c r="A4326" s="12" t="s">
        <v>7750</v>
      </c>
      <c r="B4326" s="3"/>
      <c r="C4326" s="18" t="s">
        <v>6611</v>
      </c>
      <c r="D4326" s="14" t="s">
        <v>8180</v>
      </c>
    </row>
    <row r="4327" spans="1:4" hidden="1" x14ac:dyDescent="0.25">
      <c r="A4327" s="12" t="s">
        <v>7751</v>
      </c>
      <c r="B4327" s="3"/>
      <c r="C4327" s="18" t="s">
        <v>6612</v>
      </c>
      <c r="D4327" s="14" t="s">
        <v>8180</v>
      </c>
    </row>
    <row r="4328" spans="1:4" hidden="1" x14ac:dyDescent="0.25">
      <c r="A4328" s="12" t="s">
        <v>7752</v>
      </c>
      <c r="B4328" s="3"/>
      <c r="C4328" s="18" t="s">
        <v>6613</v>
      </c>
      <c r="D4328" s="14" t="s">
        <v>8180</v>
      </c>
    </row>
    <row r="4329" spans="1:4" hidden="1" x14ac:dyDescent="0.25">
      <c r="A4329" s="12" t="s">
        <v>7753</v>
      </c>
      <c r="B4329" s="3"/>
      <c r="C4329" s="18" t="s">
        <v>6614</v>
      </c>
      <c r="D4329" s="14" t="s">
        <v>8180</v>
      </c>
    </row>
    <row r="4330" spans="1:4" hidden="1" x14ac:dyDescent="0.25">
      <c r="A4330" s="12" t="s">
        <v>7754</v>
      </c>
      <c r="B4330" s="3"/>
      <c r="C4330" s="18" t="s">
        <v>6615</v>
      </c>
      <c r="D4330" s="14" t="s">
        <v>8180</v>
      </c>
    </row>
    <row r="4331" spans="1:4" hidden="1" x14ac:dyDescent="0.25">
      <c r="A4331" s="12" t="s">
        <v>7755</v>
      </c>
      <c r="B4331" s="3"/>
      <c r="C4331" s="18" t="s">
        <v>6616</v>
      </c>
      <c r="D4331" s="14" t="s">
        <v>8180</v>
      </c>
    </row>
    <row r="4332" spans="1:4" hidden="1" x14ac:dyDescent="0.25">
      <c r="A4332" s="12" t="s">
        <v>7756</v>
      </c>
      <c r="B4332" s="3"/>
      <c r="C4332" s="18" t="s">
        <v>6617</v>
      </c>
      <c r="D4332" s="14" t="s">
        <v>8180</v>
      </c>
    </row>
    <row r="4333" spans="1:4" hidden="1" x14ac:dyDescent="0.25">
      <c r="A4333" s="12" t="s">
        <v>7757</v>
      </c>
      <c r="B4333" s="3"/>
      <c r="C4333" s="18" t="s">
        <v>6618</v>
      </c>
      <c r="D4333" s="14" t="s">
        <v>8180</v>
      </c>
    </row>
    <row r="4334" spans="1:4" hidden="1" x14ac:dyDescent="0.25">
      <c r="A4334" s="12" t="s">
        <v>7758</v>
      </c>
      <c r="B4334" s="3"/>
      <c r="C4334" s="18" t="s">
        <v>6619</v>
      </c>
      <c r="D4334" s="14" t="s">
        <v>8180</v>
      </c>
    </row>
    <row r="4335" spans="1:4" hidden="1" x14ac:dyDescent="0.25">
      <c r="A4335" s="12" t="s">
        <v>7759</v>
      </c>
      <c r="B4335" s="3"/>
      <c r="C4335" s="18" t="s">
        <v>6620</v>
      </c>
      <c r="D4335" s="14" t="s">
        <v>8180</v>
      </c>
    </row>
    <row r="4336" spans="1:4" hidden="1" x14ac:dyDescent="0.25">
      <c r="A4336" s="12" t="s">
        <v>7760</v>
      </c>
      <c r="B4336" s="3"/>
      <c r="C4336" s="18" t="s">
        <v>6621</v>
      </c>
      <c r="D4336" s="14" t="s">
        <v>8180</v>
      </c>
    </row>
    <row r="4337" spans="1:4" hidden="1" x14ac:dyDescent="0.25">
      <c r="A4337" s="12" t="s">
        <v>7761</v>
      </c>
      <c r="B4337" s="3"/>
      <c r="C4337" s="18" t="s">
        <v>6622</v>
      </c>
      <c r="D4337" s="14" t="s">
        <v>8180</v>
      </c>
    </row>
    <row r="4338" spans="1:4" hidden="1" x14ac:dyDescent="0.25">
      <c r="A4338" s="12" t="s">
        <v>7762</v>
      </c>
      <c r="B4338" s="3"/>
      <c r="C4338" s="19" t="s">
        <v>6623</v>
      </c>
      <c r="D4338" s="14" t="s">
        <v>8180</v>
      </c>
    </row>
    <row r="4339" spans="1:4" hidden="1" x14ac:dyDescent="0.25">
      <c r="A4339" s="12" t="s">
        <v>7763</v>
      </c>
      <c r="B4339" s="3"/>
      <c r="C4339" s="19" t="s">
        <v>6624</v>
      </c>
      <c r="D4339" s="14" t="s">
        <v>8180</v>
      </c>
    </row>
    <row r="4340" spans="1:4" hidden="1" x14ac:dyDescent="0.25">
      <c r="A4340" s="12" t="s">
        <v>7764</v>
      </c>
      <c r="B4340" s="3"/>
      <c r="C4340" s="18" t="s">
        <v>6625</v>
      </c>
      <c r="D4340" s="14" t="s">
        <v>8180</v>
      </c>
    </row>
    <row r="4341" spans="1:4" hidden="1" x14ac:dyDescent="0.25">
      <c r="A4341" s="12" t="s">
        <v>7765</v>
      </c>
      <c r="B4341" s="3"/>
      <c r="C4341" s="18" t="s">
        <v>6626</v>
      </c>
      <c r="D4341" s="14" t="s">
        <v>8180</v>
      </c>
    </row>
    <row r="4342" spans="1:4" hidden="1" x14ac:dyDescent="0.25">
      <c r="A4342" s="12" t="s">
        <v>7766</v>
      </c>
      <c r="B4342" s="3"/>
      <c r="C4342" s="18" t="s">
        <v>6627</v>
      </c>
      <c r="D4342" s="14" t="s">
        <v>8180</v>
      </c>
    </row>
    <row r="4343" spans="1:4" hidden="1" x14ac:dyDescent="0.25">
      <c r="A4343" s="12" t="s">
        <v>7767</v>
      </c>
      <c r="B4343" s="3"/>
      <c r="C4343" s="18" t="s">
        <v>6628</v>
      </c>
      <c r="D4343" s="14" t="s">
        <v>8180</v>
      </c>
    </row>
    <row r="4344" spans="1:4" hidden="1" x14ac:dyDescent="0.25">
      <c r="A4344" s="12" t="s">
        <v>7768</v>
      </c>
      <c r="B4344" s="3"/>
      <c r="C4344" s="18" t="s">
        <v>6629</v>
      </c>
      <c r="D4344" s="14" t="s">
        <v>8180</v>
      </c>
    </row>
    <row r="4345" spans="1:4" hidden="1" x14ac:dyDescent="0.25">
      <c r="A4345" s="12" t="s">
        <v>7769</v>
      </c>
      <c r="B4345" s="3"/>
      <c r="C4345" s="18" t="s">
        <v>6630</v>
      </c>
      <c r="D4345" s="14" t="s">
        <v>8180</v>
      </c>
    </row>
    <row r="4346" spans="1:4" hidden="1" x14ac:dyDescent="0.25">
      <c r="A4346" s="12" t="s">
        <v>7770</v>
      </c>
      <c r="B4346" s="3"/>
      <c r="C4346" s="18" t="s">
        <v>6631</v>
      </c>
      <c r="D4346" s="14" t="s">
        <v>8180</v>
      </c>
    </row>
    <row r="4347" spans="1:4" hidden="1" x14ac:dyDescent="0.25">
      <c r="A4347" s="12" t="s">
        <v>7771</v>
      </c>
      <c r="B4347" s="3"/>
      <c r="C4347" s="18" t="s">
        <v>6632</v>
      </c>
      <c r="D4347" s="14" t="s">
        <v>8180</v>
      </c>
    </row>
    <row r="4348" spans="1:4" hidden="1" x14ac:dyDescent="0.25">
      <c r="A4348" s="12" t="s">
        <v>7772</v>
      </c>
      <c r="B4348" s="3"/>
      <c r="C4348" s="18" t="s">
        <v>6633</v>
      </c>
      <c r="D4348" s="14" t="s">
        <v>8180</v>
      </c>
    </row>
    <row r="4349" spans="1:4" hidden="1" x14ac:dyDescent="0.25">
      <c r="A4349" s="12" t="s">
        <v>7773</v>
      </c>
      <c r="B4349" s="3"/>
      <c r="C4349" s="18" t="s">
        <v>6634</v>
      </c>
      <c r="D4349" s="14" t="s">
        <v>8180</v>
      </c>
    </row>
    <row r="4350" spans="1:4" hidden="1" x14ac:dyDescent="0.25">
      <c r="A4350" s="12" t="s">
        <v>7774</v>
      </c>
      <c r="B4350" s="3"/>
      <c r="C4350" s="18" t="s">
        <v>6635</v>
      </c>
      <c r="D4350" s="14" t="s">
        <v>8180</v>
      </c>
    </row>
    <row r="4351" spans="1:4" hidden="1" x14ac:dyDescent="0.25">
      <c r="A4351" s="12" t="s">
        <v>7775</v>
      </c>
      <c r="B4351" s="3"/>
      <c r="C4351" s="18" t="s">
        <v>6636</v>
      </c>
      <c r="D4351" s="14" t="s">
        <v>8180</v>
      </c>
    </row>
    <row r="4352" spans="1:4" hidden="1" x14ac:dyDescent="0.25">
      <c r="A4352" s="12" t="s">
        <v>7776</v>
      </c>
      <c r="B4352" s="3"/>
      <c r="C4352" s="18" t="s">
        <v>6637</v>
      </c>
      <c r="D4352" s="14" t="s">
        <v>8180</v>
      </c>
    </row>
    <row r="4353" spans="1:4" hidden="1" x14ac:dyDescent="0.25">
      <c r="A4353" s="12" t="s">
        <v>7777</v>
      </c>
      <c r="B4353" s="3"/>
      <c r="C4353" s="18" t="s">
        <v>6638</v>
      </c>
      <c r="D4353" s="14" t="s">
        <v>8180</v>
      </c>
    </row>
    <row r="4354" spans="1:4" hidden="1" x14ac:dyDescent="0.25">
      <c r="A4354" s="12" t="s">
        <v>7778</v>
      </c>
      <c r="B4354" s="3"/>
      <c r="C4354" s="18" t="s">
        <v>6639</v>
      </c>
      <c r="D4354" s="14" t="s">
        <v>8180</v>
      </c>
    </row>
    <row r="4355" spans="1:4" hidden="1" x14ac:dyDescent="0.25">
      <c r="A4355" s="12" t="s">
        <v>7779</v>
      </c>
      <c r="B4355" s="3"/>
      <c r="C4355" s="18" t="s">
        <v>6640</v>
      </c>
      <c r="D4355" s="14" t="s">
        <v>8180</v>
      </c>
    </row>
    <row r="4356" spans="1:4" hidden="1" x14ac:dyDescent="0.25">
      <c r="A4356" s="12" t="s">
        <v>7780</v>
      </c>
      <c r="B4356" s="3"/>
      <c r="C4356" s="18" t="s">
        <v>6641</v>
      </c>
      <c r="D4356" s="14" t="s">
        <v>8180</v>
      </c>
    </row>
    <row r="4357" spans="1:4" hidden="1" x14ac:dyDescent="0.25">
      <c r="A4357" s="12" t="s">
        <v>7781</v>
      </c>
      <c r="B4357" s="3"/>
      <c r="C4357" s="18" t="s">
        <v>6642</v>
      </c>
      <c r="D4357" s="14" t="s">
        <v>8180</v>
      </c>
    </row>
    <row r="4358" spans="1:4" hidden="1" x14ac:dyDescent="0.25">
      <c r="A4358" s="12" t="s">
        <v>7782</v>
      </c>
      <c r="B4358" s="3"/>
      <c r="C4358" s="18" t="s">
        <v>6643</v>
      </c>
      <c r="D4358" s="14" t="s">
        <v>8180</v>
      </c>
    </row>
    <row r="4359" spans="1:4" hidden="1" x14ac:dyDescent="0.25">
      <c r="A4359" s="12" t="s">
        <v>7783</v>
      </c>
      <c r="B4359" s="3"/>
      <c r="C4359" s="18" t="s">
        <v>6644</v>
      </c>
      <c r="D4359" s="14" t="s">
        <v>8180</v>
      </c>
    </row>
    <row r="4360" spans="1:4" hidden="1" x14ac:dyDescent="0.25">
      <c r="A4360" s="12" t="s">
        <v>7784</v>
      </c>
      <c r="B4360" s="3"/>
      <c r="C4360" s="18" t="s">
        <v>6645</v>
      </c>
      <c r="D4360" s="14" t="s">
        <v>8180</v>
      </c>
    </row>
    <row r="4361" spans="1:4" hidden="1" x14ac:dyDescent="0.25">
      <c r="A4361" s="12" t="s">
        <v>7785</v>
      </c>
      <c r="B4361" s="3"/>
      <c r="C4361" s="18" t="s">
        <v>6646</v>
      </c>
      <c r="D4361" s="14" t="s">
        <v>8180</v>
      </c>
    </row>
    <row r="4362" spans="1:4" hidden="1" x14ac:dyDescent="0.25">
      <c r="A4362" s="12" t="s">
        <v>7786</v>
      </c>
      <c r="B4362" s="3"/>
      <c r="C4362" s="18" t="s">
        <v>6647</v>
      </c>
      <c r="D4362" s="14" t="s">
        <v>8180</v>
      </c>
    </row>
    <row r="4363" spans="1:4" hidden="1" x14ac:dyDescent="0.25">
      <c r="A4363" s="12" t="s">
        <v>7787</v>
      </c>
      <c r="B4363" s="3"/>
      <c r="C4363" s="18" t="s">
        <v>6648</v>
      </c>
      <c r="D4363" s="14" t="s">
        <v>8180</v>
      </c>
    </row>
    <row r="4364" spans="1:4" hidden="1" x14ac:dyDescent="0.25">
      <c r="A4364" s="12" t="s">
        <v>7788</v>
      </c>
      <c r="B4364" s="3"/>
      <c r="C4364" s="18" t="s">
        <v>6649</v>
      </c>
      <c r="D4364" s="14" t="s">
        <v>8180</v>
      </c>
    </row>
    <row r="4365" spans="1:4" hidden="1" x14ac:dyDescent="0.25">
      <c r="A4365" s="12" t="s">
        <v>7789</v>
      </c>
      <c r="B4365" s="3"/>
      <c r="C4365" s="18" t="s">
        <v>6650</v>
      </c>
      <c r="D4365" s="14" t="s">
        <v>8180</v>
      </c>
    </row>
    <row r="4366" spans="1:4" hidden="1" x14ac:dyDescent="0.25">
      <c r="A4366" s="12" t="s">
        <v>7790</v>
      </c>
      <c r="B4366" s="3"/>
      <c r="C4366" s="18" t="s">
        <v>6651</v>
      </c>
      <c r="D4366" s="14" t="s">
        <v>8180</v>
      </c>
    </row>
    <row r="4367" spans="1:4" hidden="1" x14ac:dyDescent="0.25">
      <c r="A4367" s="12" t="s">
        <v>7791</v>
      </c>
      <c r="B4367" s="3"/>
      <c r="C4367" s="18" t="s">
        <v>6652</v>
      </c>
      <c r="D4367" s="14" t="s">
        <v>8180</v>
      </c>
    </row>
    <row r="4368" spans="1:4" hidden="1" x14ac:dyDescent="0.25">
      <c r="A4368" s="12" t="s">
        <v>7792</v>
      </c>
      <c r="B4368" s="3"/>
      <c r="C4368" s="18" t="s">
        <v>6653</v>
      </c>
      <c r="D4368" s="14" t="s">
        <v>8180</v>
      </c>
    </row>
    <row r="4369" spans="1:4" hidden="1" x14ac:dyDescent="0.25">
      <c r="A4369" s="12" t="s">
        <v>7793</v>
      </c>
      <c r="B4369" s="3"/>
      <c r="C4369" s="18" t="s">
        <v>6654</v>
      </c>
      <c r="D4369" s="14" t="s">
        <v>8180</v>
      </c>
    </row>
    <row r="4370" spans="1:4" hidden="1" x14ac:dyDescent="0.25">
      <c r="A4370" s="12" t="s">
        <v>7794</v>
      </c>
      <c r="B4370" s="3"/>
      <c r="C4370" s="18" t="s">
        <v>6655</v>
      </c>
      <c r="D4370" s="14" t="s">
        <v>8180</v>
      </c>
    </row>
    <row r="4371" spans="1:4" hidden="1" x14ac:dyDescent="0.25">
      <c r="A4371" s="12" t="s">
        <v>7795</v>
      </c>
      <c r="B4371" s="3"/>
      <c r="C4371" s="18" t="s">
        <v>6656</v>
      </c>
      <c r="D4371" s="14" t="s">
        <v>8180</v>
      </c>
    </row>
    <row r="4372" spans="1:4" hidden="1" x14ac:dyDescent="0.25">
      <c r="A4372" s="12" t="s">
        <v>7796</v>
      </c>
      <c r="B4372" s="3"/>
      <c r="C4372" s="18" t="s">
        <v>6657</v>
      </c>
      <c r="D4372" s="14" t="s">
        <v>8180</v>
      </c>
    </row>
    <row r="4373" spans="1:4" hidden="1" x14ac:dyDescent="0.25">
      <c r="A4373" s="12" t="s">
        <v>7797</v>
      </c>
      <c r="B4373" s="3"/>
      <c r="C4373" s="18" t="s">
        <v>6658</v>
      </c>
      <c r="D4373" s="14" t="s">
        <v>8180</v>
      </c>
    </row>
    <row r="4374" spans="1:4" hidden="1" x14ac:dyDescent="0.25">
      <c r="A4374" s="12" t="s">
        <v>7798</v>
      </c>
      <c r="B4374" s="3"/>
      <c r="C4374" s="18" t="s">
        <v>6659</v>
      </c>
      <c r="D4374" s="14" t="s">
        <v>8180</v>
      </c>
    </row>
    <row r="4375" spans="1:4" hidden="1" x14ac:dyDescent="0.25">
      <c r="A4375" s="12" t="s">
        <v>7799</v>
      </c>
      <c r="B4375" s="3"/>
      <c r="C4375" s="19" t="s">
        <v>6660</v>
      </c>
      <c r="D4375" s="14" t="s">
        <v>8180</v>
      </c>
    </row>
    <row r="4376" spans="1:4" hidden="1" x14ac:dyDescent="0.25">
      <c r="A4376" s="12" t="s">
        <v>7800</v>
      </c>
      <c r="B4376" s="3"/>
      <c r="C4376" s="19" t="s">
        <v>6661</v>
      </c>
      <c r="D4376" s="14" t="s">
        <v>8180</v>
      </c>
    </row>
    <row r="4377" spans="1:4" hidden="1" x14ac:dyDescent="0.25">
      <c r="A4377" s="12" t="s">
        <v>7801</v>
      </c>
      <c r="B4377" s="3"/>
      <c r="C4377" s="18" t="s">
        <v>6662</v>
      </c>
      <c r="D4377" s="14" t="s">
        <v>8180</v>
      </c>
    </row>
    <row r="4378" spans="1:4" hidden="1" x14ac:dyDescent="0.25">
      <c r="A4378" s="12" t="s">
        <v>7802</v>
      </c>
      <c r="B4378" s="3"/>
      <c r="C4378" s="18" t="s">
        <v>6663</v>
      </c>
      <c r="D4378" s="14" t="s">
        <v>8180</v>
      </c>
    </row>
    <row r="4379" spans="1:4" hidden="1" x14ac:dyDescent="0.25">
      <c r="A4379" s="12" t="s">
        <v>7803</v>
      </c>
      <c r="B4379" s="3"/>
      <c r="C4379" s="18" t="s">
        <v>6664</v>
      </c>
      <c r="D4379" s="14" t="s">
        <v>8180</v>
      </c>
    </row>
    <row r="4380" spans="1:4" hidden="1" x14ac:dyDescent="0.25">
      <c r="A4380" s="17" t="s">
        <v>7804</v>
      </c>
      <c r="B4380" s="16"/>
      <c r="C4380" s="18" t="s">
        <v>6665</v>
      </c>
      <c r="D4380" s="14" t="s">
        <v>8180</v>
      </c>
    </row>
    <row r="4381" spans="1:4" hidden="1" x14ac:dyDescent="0.25">
      <c r="A4381" s="12" t="s">
        <v>8030</v>
      </c>
      <c r="B4381" s="3"/>
      <c r="C4381" s="18" t="s">
        <v>8105</v>
      </c>
      <c r="D4381" s="14" t="s">
        <v>8180</v>
      </c>
    </row>
    <row r="4382" spans="1:4" hidden="1" x14ac:dyDescent="0.25">
      <c r="A4382" s="12" t="s">
        <v>8031</v>
      </c>
      <c r="B4382" s="3"/>
      <c r="C4382" s="18" t="s">
        <v>8106</v>
      </c>
      <c r="D4382" s="14" t="s">
        <v>8180</v>
      </c>
    </row>
    <row r="4383" spans="1:4" hidden="1" x14ac:dyDescent="0.25">
      <c r="A4383" s="12" t="s">
        <v>8032</v>
      </c>
      <c r="B4383" s="3"/>
      <c r="C4383" s="18" t="s">
        <v>8107</v>
      </c>
      <c r="D4383" s="14" t="s">
        <v>8180</v>
      </c>
    </row>
    <row r="4384" spans="1:4" hidden="1" x14ac:dyDescent="0.25">
      <c r="A4384" s="12" t="s">
        <v>8033</v>
      </c>
      <c r="B4384" s="3"/>
      <c r="C4384" s="18" t="s">
        <v>8108</v>
      </c>
      <c r="D4384" s="14" t="s">
        <v>8180</v>
      </c>
    </row>
    <row r="4385" spans="1:4" hidden="1" x14ac:dyDescent="0.25">
      <c r="A4385" s="12" t="s">
        <v>8034</v>
      </c>
      <c r="B4385" s="3"/>
      <c r="C4385" s="18" t="s">
        <v>8109</v>
      </c>
      <c r="D4385" s="14" t="s">
        <v>8180</v>
      </c>
    </row>
    <row r="4386" spans="1:4" hidden="1" x14ac:dyDescent="0.25">
      <c r="A4386" s="12" t="s">
        <v>8035</v>
      </c>
      <c r="B4386" s="3"/>
      <c r="C4386" s="18" t="s">
        <v>8110</v>
      </c>
      <c r="D4386" s="14" t="s">
        <v>8180</v>
      </c>
    </row>
    <row r="4387" spans="1:4" hidden="1" x14ac:dyDescent="0.25">
      <c r="A4387" s="12" t="s">
        <v>8036</v>
      </c>
      <c r="B4387" s="3"/>
      <c r="C4387" s="18" t="s">
        <v>8111</v>
      </c>
      <c r="D4387" s="14" t="s">
        <v>8180</v>
      </c>
    </row>
    <row r="4388" spans="1:4" hidden="1" x14ac:dyDescent="0.25">
      <c r="A4388" s="12" t="s">
        <v>8037</v>
      </c>
      <c r="B4388" s="3"/>
      <c r="C4388" s="18" t="s">
        <v>8112</v>
      </c>
      <c r="D4388" s="14" t="s">
        <v>8180</v>
      </c>
    </row>
    <row r="4389" spans="1:4" hidden="1" x14ac:dyDescent="0.25">
      <c r="A4389" s="12" t="s">
        <v>8038</v>
      </c>
      <c r="B4389" s="3"/>
      <c r="C4389" s="18" t="s">
        <v>8113</v>
      </c>
      <c r="D4389" s="14" t="s">
        <v>8180</v>
      </c>
    </row>
    <row r="4390" spans="1:4" hidden="1" x14ac:dyDescent="0.25">
      <c r="A4390" s="12" t="s">
        <v>8039</v>
      </c>
      <c r="B4390" s="3"/>
      <c r="C4390" s="18" t="s">
        <v>8114</v>
      </c>
      <c r="D4390" s="14" t="s">
        <v>8180</v>
      </c>
    </row>
    <row r="4391" spans="1:4" hidden="1" x14ac:dyDescent="0.25">
      <c r="A4391" s="12" t="s">
        <v>8040</v>
      </c>
      <c r="B4391" s="3"/>
      <c r="C4391" s="18" t="s">
        <v>8115</v>
      </c>
      <c r="D4391" s="14" t="s">
        <v>8180</v>
      </c>
    </row>
    <row r="4392" spans="1:4" hidden="1" x14ac:dyDescent="0.25">
      <c r="A4392" s="12" t="s">
        <v>8041</v>
      </c>
      <c r="B4392" s="3"/>
      <c r="C4392" s="18" t="s">
        <v>8116</v>
      </c>
      <c r="D4392" s="14" t="s">
        <v>8180</v>
      </c>
    </row>
    <row r="4393" spans="1:4" hidden="1" x14ac:dyDescent="0.25">
      <c r="A4393" s="12" t="s">
        <v>8042</v>
      </c>
      <c r="B4393" s="3"/>
      <c r="C4393" s="18" t="s">
        <v>8117</v>
      </c>
      <c r="D4393" s="14" t="s">
        <v>8180</v>
      </c>
    </row>
    <row r="4394" spans="1:4" hidden="1" x14ac:dyDescent="0.25">
      <c r="A4394" s="12" t="s">
        <v>8043</v>
      </c>
      <c r="B4394" s="3"/>
      <c r="C4394" s="18" t="s">
        <v>8118</v>
      </c>
      <c r="D4394" s="14" t="s">
        <v>8180</v>
      </c>
    </row>
    <row r="4395" spans="1:4" hidden="1" x14ac:dyDescent="0.25">
      <c r="A4395" s="12" t="s">
        <v>8044</v>
      </c>
      <c r="B4395" s="3"/>
      <c r="C4395" s="18" t="s">
        <v>8119</v>
      </c>
      <c r="D4395" s="14" t="s">
        <v>8180</v>
      </c>
    </row>
    <row r="4396" spans="1:4" hidden="1" x14ac:dyDescent="0.25">
      <c r="A4396" s="12" t="s">
        <v>8045</v>
      </c>
      <c r="B4396" s="3"/>
      <c r="C4396" s="18" t="s">
        <v>8120</v>
      </c>
      <c r="D4396" s="14" t="s">
        <v>8180</v>
      </c>
    </row>
    <row r="4397" spans="1:4" hidden="1" x14ac:dyDescent="0.25">
      <c r="A4397" s="12" t="s">
        <v>8046</v>
      </c>
      <c r="B4397" s="3"/>
      <c r="C4397" s="18" t="s">
        <v>8121</v>
      </c>
      <c r="D4397" s="14" t="s">
        <v>8180</v>
      </c>
    </row>
    <row r="4398" spans="1:4" hidden="1" x14ac:dyDescent="0.25">
      <c r="A4398" s="12" t="s">
        <v>8047</v>
      </c>
      <c r="B4398" s="3"/>
      <c r="C4398" s="18" t="s">
        <v>8122</v>
      </c>
      <c r="D4398" s="14" t="s">
        <v>8180</v>
      </c>
    </row>
    <row r="4399" spans="1:4" hidden="1" x14ac:dyDescent="0.25">
      <c r="A4399" s="12" t="s">
        <v>8048</v>
      </c>
      <c r="B4399" s="3"/>
      <c r="C4399" s="18" t="s">
        <v>8123</v>
      </c>
      <c r="D4399" s="14" t="s">
        <v>8180</v>
      </c>
    </row>
    <row r="4400" spans="1:4" hidden="1" x14ac:dyDescent="0.25">
      <c r="A4400" s="12" t="s">
        <v>8049</v>
      </c>
      <c r="B4400" s="3"/>
      <c r="C4400" s="18" t="s">
        <v>8124</v>
      </c>
      <c r="D4400" s="14" t="s">
        <v>8180</v>
      </c>
    </row>
    <row r="4401" spans="1:4" hidden="1" x14ac:dyDescent="0.25">
      <c r="A4401" s="12" t="s">
        <v>8050</v>
      </c>
      <c r="B4401" s="3"/>
      <c r="C4401" s="18" t="s">
        <v>8125</v>
      </c>
      <c r="D4401" s="14" t="s">
        <v>8180</v>
      </c>
    </row>
    <row r="4402" spans="1:4" hidden="1" x14ac:dyDescent="0.25">
      <c r="A4402" s="12" t="s">
        <v>8051</v>
      </c>
      <c r="B4402" s="3"/>
      <c r="C4402" s="18" t="s">
        <v>8126</v>
      </c>
      <c r="D4402" s="14" t="s">
        <v>8180</v>
      </c>
    </row>
    <row r="4403" spans="1:4" hidden="1" x14ac:dyDescent="0.25">
      <c r="A4403" s="12" t="s">
        <v>8052</v>
      </c>
      <c r="B4403" s="3"/>
      <c r="C4403" s="18" t="s">
        <v>8127</v>
      </c>
      <c r="D4403" s="14" t="s">
        <v>8180</v>
      </c>
    </row>
    <row r="4404" spans="1:4" hidden="1" x14ac:dyDescent="0.25">
      <c r="A4404" s="12" t="s">
        <v>8053</v>
      </c>
      <c r="B4404" s="3"/>
      <c r="C4404" s="18" t="s">
        <v>8128</v>
      </c>
      <c r="D4404" s="14" t="s">
        <v>8180</v>
      </c>
    </row>
    <row r="4405" spans="1:4" hidden="1" x14ac:dyDescent="0.25">
      <c r="A4405" s="12" t="s">
        <v>8054</v>
      </c>
      <c r="B4405" s="3"/>
      <c r="C4405" s="18" t="s">
        <v>8129</v>
      </c>
      <c r="D4405" s="14" t="s">
        <v>8180</v>
      </c>
    </row>
    <row r="4406" spans="1:4" hidden="1" x14ac:dyDescent="0.25">
      <c r="A4406" s="12" t="s">
        <v>8055</v>
      </c>
      <c r="B4406" s="3"/>
      <c r="C4406" s="18" t="s">
        <v>8130</v>
      </c>
      <c r="D4406" s="14" t="s">
        <v>8180</v>
      </c>
    </row>
    <row r="4407" spans="1:4" hidden="1" x14ac:dyDescent="0.25">
      <c r="A4407" s="12" t="s">
        <v>8056</v>
      </c>
      <c r="B4407" s="3"/>
      <c r="C4407" s="18" t="s">
        <v>8131</v>
      </c>
      <c r="D4407" s="14" t="s">
        <v>8180</v>
      </c>
    </row>
    <row r="4408" spans="1:4" hidden="1" x14ac:dyDescent="0.25">
      <c r="A4408" s="12" t="s">
        <v>8057</v>
      </c>
      <c r="B4408" s="3"/>
      <c r="C4408" s="18" t="s">
        <v>8132</v>
      </c>
      <c r="D4408" s="14" t="s">
        <v>8180</v>
      </c>
    </row>
    <row r="4409" spans="1:4" hidden="1" x14ac:dyDescent="0.25">
      <c r="A4409" s="12" t="s">
        <v>8058</v>
      </c>
      <c r="B4409" s="3"/>
      <c r="C4409" s="18" t="s">
        <v>8133</v>
      </c>
      <c r="D4409" s="14" t="s">
        <v>8180</v>
      </c>
    </row>
    <row r="4410" spans="1:4" hidden="1" x14ac:dyDescent="0.25">
      <c r="A4410" s="12" t="s">
        <v>8059</v>
      </c>
      <c r="B4410" s="3"/>
      <c r="C4410" s="18" t="s">
        <v>8134</v>
      </c>
      <c r="D4410" s="14" t="s">
        <v>8180</v>
      </c>
    </row>
    <row r="4411" spans="1:4" hidden="1" x14ac:dyDescent="0.25">
      <c r="A4411" s="12" t="s">
        <v>8060</v>
      </c>
      <c r="B4411" s="3"/>
      <c r="C4411" s="18" t="s">
        <v>8135</v>
      </c>
      <c r="D4411" s="14" t="s">
        <v>8180</v>
      </c>
    </row>
    <row r="4412" spans="1:4" hidden="1" x14ac:dyDescent="0.25">
      <c r="A4412" s="12" t="s">
        <v>8061</v>
      </c>
      <c r="B4412" s="3"/>
      <c r="C4412" s="18" t="s">
        <v>8136</v>
      </c>
      <c r="D4412" s="14" t="s">
        <v>8180</v>
      </c>
    </row>
    <row r="4413" spans="1:4" hidden="1" x14ac:dyDescent="0.25">
      <c r="A4413" s="12" t="s">
        <v>8062</v>
      </c>
      <c r="B4413" s="3"/>
      <c r="C4413" s="18" t="s">
        <v>8137</v>
      </c>
      <c r="D4413" s="14" t="s">
        <v>8180</v>
      </c>
    </row>
    <row r="4414" spans="1:4" hidden="1" x14ac:dyDescent="0.25">
      <c r="A4414" s="12" t="s">
        <v>8063</v>
      </c>
      <c r="B4414" s="3"/>
      <c r="C4414" s="18" t="s">
        <v>8138</v>
      </c>
      <c r="D4414" s="14" t="s">
        <v>8180</v>
      </c>
    </row>
    <row r="4415" spans="1:4" hidden="1" x14ac:dyDescent="0.25">
      <c r="A4415" s="12" t="s">
        <v>8064</v>
      </c>
      <c r="B4415" s="3"/>
      <c r="C4415" s="18" t="s">
        <v>8139</v>
      </c>
      <c r="D4415" s="14" t="s">
        <v>8180</v>
      </c>
    </row>
    <row r="4416" spans="1:4" hidden="1" x14ac:dyDescent="0.25">
      <c r="A4416" s="12" t="s">
        <v>8065</v>
      </c>
      <c r="B4416" s="3"/>
      <c r="C4416" s="19" t="s">
        <v>8140</v>
      </c>
      <c r="D4416" s="14" t="s">
        <v>8180</v>
      </c>
    </row>
    <row r="4417" spans="1:4" hidden="1" x14ac:dyDescent="0.25">
      <c r="A4417" s="12" t="s">
        <v>8066</v>
      </c>
      <c r="B4417" s="3"/>
      <c r="C4417" s="19" t="s">
        <v>8141</v>
      </c>
      <c r="D4417" s="14" t="s">
        <v>8180</v>
      </c>
    </row>
    <row r="4418" spans="1:4" hidden="1" x14ac:dyDescent="0.25">
      <c r="A4418" s="12" t="s">
        <v>8067</v>
      </c>
      <c r="B4418" s="3"/>
      <c r="C4418" s="18" t="s">
        <v>8142</v>
      </c>
      <c r="D4418" s="14" t="s">
        <v>8180</v>
      </c>
    </row>
    <row r="4419" spans="1:4" hidden="1" x14ac:dyDescent="0.25">
      <c r="A4419" s="12" t="s">
        <v>8068</v>
      </c>
      <c r="B4419" s="3"/>
      <c r="C4419" s="18" t="s">
        <v>8143</v>
      </c>
      <c r="D4419" s="14" t="s">
        <v>8180</v>
      </c>
    </row>
    <row r="4420" spans="1:4" hidden="1" x14ac:dyDescent="0.25">
      <c r="A4420" s="12" t="s">
        <v>8069</v>
      </c>
      <c r="B4420" s="3"/>
      <c r="C4420" s="18" t="s">
        <v>8144</v>
      </c>
      <c r="D4420" s="14" t="s">
        <v>8180</v>
      </c>
    </row>
    <row r="4421" spans="1:4" hidden="1" x14ac:dyDescent="0.25">
      <c r="A4421" s="12" t="s">
        <v>8070</v>
      </c>
      <c r="B4421" s="3"/>
      <c r="C4421" s="18" t="s">
        <v>8145</v>
      </c>
      <c r="D4421" s="14" t="s">
        <v>8180</v>
      </c>
    </row>
    <row r="4422" spans="1:4" hidden="1" x14ac:dyDescent="0.25">
      <c r="A4422" s="12" t="s">
        <v>8071</v>
      </c>
      <c r="B4422" s="3"/>
      <c r="C4422" s="18" t="s">
        <v>8146</v>
      </c>
      <c r="D4422" s="14" t="s">
        <v>8180</v>
      </c>
    </row>
    <row r="4423" spans="1:4" hidden="1" x14ac:dyDescent="0.25">
      <c r="A4423" s="12" t="s">
        <v>8072</v>
      </c>
      <c r="B4423" s="3"/>
      <c r="C4423" s="18" t="s">
        <v>8147</v>
      </c>
      <c r="D4423" s="14" t="s">
        <v>8180</v>
      </c>
    </row>
    <row r="4424" spans="1:4" hidden="1" x14ac:dyDescent="0.25">
      <c r="A4424" s="12" t="s">
        <v>8073</v>
      </c>
      <c r="B4424" s="3"/>
      <c r="C4424" s="18" t="s">
        <v>8148</v>
      </c>
      <c r="D4424" s="14" t="s">
        <v>8180</v>
      </c>
    </row>
    <row r="4425" spans="1:4" hidden="1" x14ac:dyDescent="0.25">
      <c r="A4425" s="12" t="s">
        <v>8074</v>
      </c>
      <c r="B4425" s="3"/>
      <c r="C4425" s="18" t="s">
        <v>8149</v>
      </c>
      <c r="D4425" s="14" t="s">
        <v>8180</v>
      </c>
    </row>
    <row r="4426" spans="1:4" hidden="1" x14ac:dyDescent="0.25">
      <c r="A4426" s="12" t="s">
        <v>8075</v>
      </c>
      <c r="B4426" s="3"/>
      <c r="C4426" s="18" t="s">
        <v>8150</v>
      </c>
      <c r="D4426" s="14" t="s">
        <v>8180</v>
      </c>
    </row>
    <row r="4427" spans="1:4" hidden="1" x14ac:dyDescent="0.25">
      <c r="A4427" s="12" t="s">
        <v>8076</v>
      </c>
      <c r="B4427" s="3"/>
      <c r="C4427" s="18" t="s">
        <v>8151</v>
      </c>
      <c r="D4427" s="14" t="s">
        <v>8180</v>
      </c>
    </row>
    <row r="4428" spans="1:4" hidden="1" x14ac:dyDescent="0.25">
      <c r="A4428" s="12" t="s">
        <v>8077</v>
      </c>
      <c r="B4428" s="3"/>
      <c r="C4428" s="18" t="s">
        <v>8152</v>
      </c>
      <c r="D4428" s="14" t="s">
        <v>8180</v>
      </c>
    </row>
    <row r="4429" spans="1:4" hidden="1" x14ac:dyDescent="0.25">
      <c r="A4429" s="12" t="s">
        <v>8078</v>
      </c>
      <c r="B4429" s="3"/>
      <c r="C4429" s="18" t="s">
        <v>8153</v>
      </c>
      <c r="D4429" s="14" t="s">
        <v>8180</v>
      </c>
    </row>
    <row r="4430" spans="1:4" hidden="1" x14ac:dyDescent="0.25">
      <c r="A4430" s="12" t="s">
        <v>8079</v>
      </c>
      <c r="B4430" s="3"/>
      <c r="C4430" s="18" t="s">
        <v>8154</v>
      </c>
      <c r="D4430" s="14" t="s">
        <v>8180</v>
      </c>
    </row>
    <row r="4431" spans="1:4" hidden="1" x14ac:dyDescent="0.25">
      <c r="A4431" s="12" t="s">
        <v>8080</v>
      </c>
      <c r="B4431" s="3"/>
      <c r="C4431" s="18" t="s">
        <v>8155</v>
      </c>
      <c r="D4431" s="14" t="s">
        <v>8180</v>
      </c>
    </row>
    <row r="4432" spans="1:4" hidden="1" x14ac:dyDescent="0.25">
      <c r="A4432" s="12" t="s">
        <v>8081</v>
      </c>
      <c r="B4432" s="3"/>
      <c r="C4432" s="18" t="s">
        <v>8156</v>
      </c>
      <c r="D4432" s="14" t="s">
        <v>8180</v>
      </c>
    </row>
    <row r="4433" spans="1:4" hidden="1" x14ac:dyDescent="0.25">
      <c r="A4433" s="12" t="s">
        <v>8082</v>
      </c>
      <c r="B4433" s="3"/>
      <c r="C4433" s="18" t="s">
        <v>8157</v>
      </c>
      <c r="D4433" s="14" t="s">
        <v>8180</v>
      </c>
    </row>
    <row r="4434" spans="1:4" hidden="1" x14ac:dyDescent="0.25">
      <c r="A4434" s="12" t="s">
        <v>8083</v>
      </c>
      <c r="B4434" s="3"/>
      <c r="C4434" s="18" t="s">
        <v>8158</v>
      </c>
      <c r="D4434" s="14" t="s">
        <v>8180</v>
      </c>
    </row>
    <row r="4435" spans="1:4" hidden="1" x14ac:dyDescent="0.25">
      <c r="A4435" s="12" t="s">
        <v>8084</v>
      </c>
      <c r="B4435" s="3"/>
      <c r="C4435" s="18" t="s">
        <v>8159</v>
      </c>
      <c r="D4435" s="14" t="s">
        <v>8180</v>
      </c>
    </row>
    <row r="4436" spans="1:4" hidden="1" x14ac:dyDescent="0.25">
      <c r="A4436" s="12" t="s">
        <v>8085</v>
      </c>
      <c r="B4436" s="3"/>
      <c r="C4436" s="18" t="s">
        <v>8160</v>
      </c>
      <c r="D4436" s="14" t="s">
        <v>8180</v>
      </c>
    </row>
    <row r="4437" spans="1:4" hidden="1" x14ac:dyDescent="0.25">
      <c r="A4437" s="12" t="s">
        <v>8086</v>
      </c>
      <c r="B4437" s="3"/>
      <c r="C4437" s="18" t="s">
        <v>8161</v>
      </c>
      <c r="D4437" s="14" t="s">
        <v>8180</v>
      </c>
    </row>
    <row r="4438" spans="1:4" hidden="1" x14ac:dyDescent="0.25">
      <c r="A4438" s="12" t="s">
        <v>8087</v>
      </c>
      <c r="B4438" s="3"/>
      <c r="C4438" s="18" t="s">
        <v>8162</v>
      </c>
      <c r="D4438" s="14" t="s">
        <v>8180</v>
      </c>
    </row>
    <row r="4439" spans="1:4" hidden="1" x14ac:dyDescent="0.25">
      <c r="A4439" s="12" t="s">
        <v>8088</v>
      </c>
      <c r="B4439" s="3"/>
      <c r="C4439" s="18" t="s">
        <v>8163</v>
      </c>
      <c r="D4439" s="14" t="s">
        <v>8180</v>
      </c>
    </row>
    <row r="4440" spans="1:4" hidden="1" x14ac:dyDescent="0.25">
      <c r="A4440" s="12" t="s">
        <v>8089</v>
      </c>
      <c r="B4440" s="3"/>
      <c r="C4440" s="18" t="s">
        <v>8164</v>
      </c>
      <c r="D4440" s="14" t="s">
        <v>8180</v>
      </c>
    </row>
    <row r="4441" spans="1:4" hidden="1" x14ac:dyDescent="0.25">
      <c r="A4441" s="12" t="s">
        <v>8090</v>
      </c>
      <c r="B4441" s="3"/>
      <c r="C4441" s="18" t="s">
        <v>8165</v>
      </c>
      <c r="D4441" s="14" t="s">
        <v>8180</v>
      </c>
    </row>
    <row r="4442" spans="1:4" hidden="1" x14ac:dyDescent="0.25">
      <c r="A4442" s="12" t="s">
        <v>8091</v>
      </c>
      <c r="B4442" s="3"/>
      <c r="C4442" s="18" t="s">
        <v>8166</v>
      </c>
      <c r="D4442" s="14" t="s">
        <v>8180</v>
      </c>
    </row>
    <row r="4443" spans="1:4" hidden="1" x14ac:dyDescent="0.25">
      <c r="A4443" s="12" t="s">
        <v>8092</v>
      </c>
      <c r="B4443" s="3"/>
      <c r="C4443" s="18" t="s">
        <v>8167</v>
      </c>
      <c r="D4443" s="14" t="s">
        <v>8180</v>
      </c>
    </row>
    <row r="4444" spans="1:4" hidden="1" x14ac:dyDescent="0.25">
      <c r="A4444" s="12" t="s">
        <v>8093</v>
      </c>
      <c r="B4444" s="3"/>
      <c r="C4444" s="18" t="s">
        <v>8168</v>
      </c>
      <c r="D4444" s="14" t="s">
        <v>8180</v>
      </c>
    </row>
    <row r="4445" spans="1:4" hidden="1" x14ac:dyDescent="0.25">
      <c r="A4445" s="12" t="s">
        <v>8094</v>
      </c>
      <c r="B4445" s="3"/>
      <c r="C4445" s="18" t="s">
        <v>8169</v>
      </c>
      <c r="D4445" s="14" t="s">
        <v>8180</v>
      </c>
    </row>
    <row r="4446" spans="1:4" hidden="1" x14ac:dyDescent="0.25">
      <c r="A4446" s="12" t="s">
        <v>8095</v>
      </c>
      <c r="B4446" s="3"/>
      <c r="C4446" s="18" t="s">
        <v>8170</v>
      </c>
      <c r="D4446" s="14" t="s">
        <v>8180</v>
      </c>
    </row>
    <row r="4447" spans="1:4" hidden="1" x14ac:dyDescent="0.25">
      <c r="A4447" s="12" t="s">
        <v>8096</v>
      </c>
      <c r="B4447" s="3"/>
      <c r="C4447" s="18" t="s">
        <v>8171</v>
      </c>
      <c r="D4447" s="14" t="s">
        <v>8180</v>
      </c>
    </row>
    <row r="4448" spans="1:4" hidden="1" x14ac:dyDescent="0.25">
      <c r="A4448" s="12" t="s">
        <v>8097</v>
      </c>
      <c r="B4448" s="3"/>
      <c r="C4448" s="18" t="s">
        <v>8172</v>
      </c>
      <c r="D4448" s="14" t="s">
        <v>8180</v>
      </c>
    </row>
    <row r="4449" spans="1:4" hidden="1" x14ac:dyDescent="0.25">
      <c r="A4449" s="12" t="s">
        <v>8098</v>
      </c>
      <c r="B4449" s="3"/>
      <c r="C4449" s="18" t="s">
        <v>8173</v>
      </c>
      <c r="D4449" s="14" t="s">
        <v>8180</v>
      </c>
    </row>
    <row r="4450" spans="1:4" hidden="1" x14ac:dyDescent="0.25">
      <c r="A4450" s="12" t="s">
        <v>8099</v>
      </c>
      <c r="B4450" s="3"/>
      <c r="C4450" s="18" t="s">
        <v>8174</v>
      </c>
      <c r="D4450" s="14" t="s">
        <v>8180</v>
      </c>
    </row>
    <row r="4451" spans="1:4" hidden="1" x14ac:dyDescent="0.25">
      <c r="A4451" s="12" t="s">
        <v>8100</v>
      </c>
      <c r="B4451" s="3"/>
      <c r="C4451" s="18" t="s">
        <v>8175</v>
      </c>
      <c r="D4451" s="14" t="s">
        <v>8180</v>
      </c>
    </row>
    <row r="4452" spans="1:4" hidden="1" x14ac:dyDescent="0.25">
      <c r="A4452" s="12" t="s">
        <v>8101</v>
      </c>
      <c r="B4452" s="3"/>
      <c r="C4452" s="18" t="s">
        <v>8176</v>
      </c>
      <c r="D4452" s="14" t="s">
        <v>8180</v>
      </c>
    </row>
    <row r="4453" spans="1:4" hidden="1" x14ac:dyDescent="0.25">
      <c r="A4453" s="12" t="s">
        <v>8102</v>
      </c>
      <c r="B4453" s="3"/>
      <c r="C4453" s="19" t="s">
        <v>8177</v>
      </c>
      <c r="D4453" s="14" t="s">
        <v>8180</v>
      </c>
    </row>
    <row r="4454" spans="1:4" hidden="1" x14ac:dyDescent="0.25">
      <c r="A4454" s="12" t="s">
        <v>8103</v>
      </c>
      <c r="B4454" s="3"/>
      <c r="C4454" s="19" t="s">
        <v>8178</v>
      </c>
      <c r="D4454" s="14" t="s">
        <v>8180</v>
      </c>
    </row>
    <row r="4455" spans="1:4" hidden="1" x14ac:dyDescent="0.25">
      <c r="A4455" s="17" t="s">
        <v>8104</v>
      </c>
      <c r="B4455" s="16"/>
      <c r="C4455" s="18" t="s">
        <v>8179</v>
      </c>
      <c r="D4455" s="14" t="s">
        <v>8180</v>
      </c>
    </row>
    <row r="4456" spans="1:4" hidden="1" x14ac:dyDescent="0.25">
      <c r="A4456" s="12" t="s">
        <v>7805</v>
      </c>
      <c r="B4456" s="3"/>
      <c r="C4456" s="18" t="s">
        <v>6441</v>
      </c>
      <c r="D4456" s="14" t="s">
        <v>8181</v>
      </c>
    </row>
    <row r="4457" spans="1:4" hidden="1" x14ac:dyDescent="0.25">
      <c r="A4457" s="12" t="s">
        <v>7806</v>
      </c>
      <c r="B4457" s="3"/>
      <c r="C4457" s="18" t="s">
        <v>6442</v>
      </c>
      <c r="D4457" s="14" t="s">
        <v>8181</v>
      </c>
    </row>
    <row r="4458" spans="1:4" hidden="1" x14ac:dyDescent="0.25">
      <c r="A4458" s="12" t="s">
        <v>7807</v>
      </c>
      <c r="B4458" s="3"/>
      <c r="C4458" s="18" t="s">
        <v>6443</v>
      </c>
      <c r="D4458" s="14" t="s">
        <v>8181</v>
      </c>
    </row>
    <row r="4459" spans="1:4" hidden="1" x14ac:dyDescent="0.25">
      <c r="A4459" s="12" t="s">
        <v>7808</v>
      </c>
      <c r="B4459" s="3"/>
      <c r="C4459" s="18" t="s">
        <v>6444</v>
      </c>
      <c r="D4459" s="14" t="s">
        <v>8181</v>
      </c>
    </row>
    <row r="4460" spans="1:4" hidden="1" x14ac:dyDescent="0.25">
      <c r="A4460" s="12" t="s">
        <v>7809</v>
      </c>
      <c r="B4460" s="3"/>
      <c r="C4460" s="18" t="s">
        <v>6445</v>
      </c>
      <c r="D4460" s="14" t="s">
        <v>8181</v>
      </c>
    </row>
    <row r="4461" spans="1:4" hidden="1" x14ac:dyDescent="0.25">
      <c r="A4461" s="12" t="s">
        <v>7810</v>
      </c>
      <c r="B4461" s="3"/>
      <c r="C4461" s="18" t="s">
        <v>6446</v>
      </c>
      <c r="D4461" s="14" t="s">
        <v>8181</v>
      </c>
    </row>
    <row r="4462" spans="1:4" hidden="1" x14ac:dyDescent="0.25">
      <c r="A4462" s="12" t="s">
        <v>7811</v>
      </c>
      <c r="B4462" s="3"/>
      <c r="C4462" s="18" t="s">
        <v>6447</v>
      </c>
      <c r="D4462" s="14" t="s">
        <v>8181</v>
      </c>
    </row>
    <row r="4463" spans="1:4" hidden="1" x14ac:dyDescent="0.25">
      <c r="A4463" s="12" t="s">
        <v>7812</v>
      </c>
      <c r="B4463" s="3"/>
      <c r="C4463" s="18" t="s">
        <v>6448</v>
      </c>
      <c r="D4463" s="14" t="s">
        <v>8181</v>
      </c>
    </row>
    <row r="4464" spans="1:4" hidden="1" x14ac:dyDescent="0.25">
      <c r="A4464" s="12" t="s">
        <v>7813</v>
      </c>
      <c r="B4464" s="3"/>
      <c r="C4464" s="18" t="s">
        <v>6449</v>
      </c>
      <c r="D4464" s="14" t="s">
        <v>8181</v>
      </c>
    </row>
    <row r="4465" spans="1:4" hidden="1" x14ac:dyDescent="0.25">
      <c r="A4465" s="12" t="s">
        <v>7814</v>
      </c>
      <c r="B4465" s="3"/>
      <c r="C4465" s="18" t="s">
        <v>6450</v>
      </c>
      <c r="D4465" s="14" t="s">
        <v>8181</v>
      </c>
    </row>
    <row r="4466" spans="1:4" hidden="1" x14ac:dyDescent="0.25">
      <c r="A4466" s="12" t="s">
        <v>7815</v>
      </c>
      <c r="B4466" s="3"/>
      <c r="C4466" s="18" t="s">
        <v>6451</v>
      </c>
      <c r="D4466" s="14" t="s">
        <v>8181</v>
      </c>
    </row>
    <row r="4467" spans="1:4" hidden="1" x14ac:dyDescent="0.25">
      <c r="A4467" s="12" t="s">
        <v>7816</v>
      </c>
      <c r="B4467" s="3"/>
      <c r="C4467" s="18" t="s">
        <v>6452</v>
      </c>
      <c r="D4467" s="14" t="s">
        <v>8181</v>
      </c>
    </row>
    <row r="4468" spans="1:4" hidden="1" x14ac:dyDescent="0.25">
      <c r="A4468" s="12" t="s">
        <v>7817</v>
      </c>
      <c r="B4468" s="3"/>
      <c r="C4468" s="18" t="s">
        <v>6453</v>
      </c>
      <c r="D4468" s="14" t="s">
        <v>8181</v>
      </c>
    </row>
    <row r="4469" spans="1:4" hidden="1" x14ac:dyDescent="0.25">
      <c r="A4469" s="12" t="s">
        <v>7818</v>
      </c>
      <c r="B4469" s="3"/>
      <c r="C4469" s="18" t="s">
        <v>6454</v>
      </c>
      <c r="D4469" s="14" t="s">
        <v>8181</v>
      </c>
    </row>
    <row r="4470" spans="1:4" hidden="1" x14ac:dyDescent="0.25">
      <c r="A4470" s="12" t="s">
        <v>7819</v>
      </c>
      <c r="B4470" s="3"/>
      <c r="C4470" s="18" t="s">
        <v>6455</v>
      </c>
      <c r="D4470" s="14" t="s">
        <v>8181</v>
      </c>
    </row>
    <row r="4471" spans="1:4" hidden="1" x14ac:dyDescent="0.25">
      <c r="A4471" s="12" t="s">
        <v>7820</v>
      </c>
      <c r="B4471" s="3"/>
      <c r="C4471" s="18" t="s">
        <v>6456</v>
      </c>
      <c r="D4471" s="14" t="s">
        <v>8181</v>
      </c>
    </row>
    <row r="4472" spans="1:4" hidden="1" x14ac:dyDescent="0.25">
      <c r="A4472" s="12" t="s">
        <v>7821</v>
      </c>
      <c r="B4472" s="3"/>
      <c r="C4472" s="18" t="s">
        <v>6457</v>
      </c>
      <c r="D4472" s="14" t="s">
        <v>8181</v>
      </c>
    </row>
    <row r="4473" spans="1:4" hidden="1" x14ac:dyDescent="0.25">
      <c r="A4473" s="12" t="s">
        <v>7822</v>
      </c>
      <c r="B4473" s="3"/>
      <c r="C4473" s="18" t="s">
        <v>6458</v>
      </c>
      <c r="D4473" s="14" t="s">
        <v>8181</v>
      </c>
    </row>
    <row r="4474" spans="1:4" hidden="1" x14ac:dyDescent="0.25">
      <c r="A4474" s="12" t="s">
        <v>7823</v>
      </c>
      <c r="B4474" s="3"/>
      <c r="C4474" s="18" t="s">
        <v>6459</v>
      </c>
      <c r="D4474" s="14" t="s">
        <v>8181</v>
      </c>
    </row>
    <row r="4475" spans="1:4" hidden="1" x14ac:dyDescent="0.25">
      <c r="A4475" s="12" t="s">
        <v>7824</v>
      </c>
      <c r="B4475" s="3"/>
      <c r="C4475" s="18" t="s">
        <v>6460</v>
      </c>
      <c r="D4475" s="14" t="s">
        <v>8181</v>
      </c>
    </row>
    <row r="4476" spans="1:4" hidden="1" x14ac:dyDescent="0.25">
      <c r="A4476" s="12" t="s">
        <v>7825</v>
      </c>
      <c r="B4476" s="3"/>
      <c r="C4476" s="18" t="s">
        <v>6461</v>
      </c>
      <c r="D4476" s="14" t="s">
        <v>8181</v>
      </c>
    </row>
    <row r="4477" spans="1:4" hidden="1" x14ac:dyDescent="0.25">
      <c r="A4477" s="12" t="s">
        <v>7826</v>
      </c>
      <c r="B4477" s="3"/>
      <c r="C4477" s="18" t="s">
        <v>6462</v>
      </c>
      <c r="D4477" s="14" t="s">
        <v>8181</v>
      </c>
    </row>
    <row r="4478" spans="1:4" hidden="1" x14ac:dyDescent="0.25">
      <c r="A4478" s="12" t="s">
        <v>7827</v>
      </c>
      <c r="B4478" s="3"/>
      <c r="C4478" s="18" t="s">
        <v>6463</v>
      </c>
      <c r="D4478" s="14" t="s">
        <v>8181</v>
      </c>
    </row>
    <row r="4479" spans="1:4" hidden="1" x14ac:dyDescent="0.25">
      <c r="A4479" s="12" t="s">
        <v>7828</v>
      </c>
      <c r="B4479" s="3"/>
      <c r="C4479" s="18" t="s">
        <v>6464</v>
      </c>
      <c r="D4479" s="14" t="s">
        <v>8181</v>
      </c>
    </row>
    <row r="4480" spans="1:4" hidden="1" x14ac:dyDescent="0.25">
      <c r="A4480" s="12" t="s">
        <v>7829</v>
      </c>
      <c r="B4480" s="3"/>
      <c r="C4480" s="18" t="s">
        <v>6465</v>
      </c>
      <c r="D4480" s="14" t="s">
        <v>8181</v>
      </c>
    </row>
    <row r="4481" spans="1:4" hidden="1" x14ac:dyDescent="0.25">
      <c r="A4481" s="12" t="s">
        <v>7830</v>
      </c>
      <c r="B4481" s="3"/>
      <c r="C4481" s="18" t="s">
        <v>6466</v>
      </c>
      <c r="D4481" s="14" t="s">
        <v>8181</v>
      </c>
    </row>
    <row r="4482" spans="1:4" hidden="1" x14ac:dyDescent="0.25">
      <c r="A4482" s="12" t="s">
        <v>7831</v>
      </c>
      <c r="B4482" s="3"/>
      <c r="C4482" s="18" t="s">
        <v>6467</v>
      </c>
      <c r="D4482" s="14" t="s">
        <v>8181</v>
      </c>
    </row>
    <row r="4483" spans="1:4" hidden="1" x14ac:dyDescent="0.25">
      <c r="A4483" s="12" t="s">
        <v>7832</v>
      </c>
      <c r="B4483" s="3"/>
      <c r="C4483" s="18" t="s">
        <v>6468</v>
      </c>
      <c r="D4483" s="14" t="s">
        <v>8181</v>
      </c>
    </row>
    <row r="4484" spans="1:4" hidden="1" x14ac:dyDescent="0.25">
      <c r="A4484" s="12" t="s">
        <v>7833</v>
      </c>
      <c r="B4484" s="3"/>
      <c r="C4484" s="18" t="s">
        <v>6469</v>
      </c>
      <c r="D4484" s="14" t="s">
        <v>8181</v>
      </c>
    </row>
    <row r="4485" spans="1:4" hidden="1" x14ac:dyDescent="0.25">
      <c r="A4485" s="12" t="s">
        <v>7834</v>
      </c>
      <c r="B4485" s="3"/>
      <c r="C4485" s="18" t="s">
        <v>6470</v>
      </c>
      <c r="D4485" s="14" t="s">
        <v>8181</v>
      </c>
    </row>
    <row r="4486" spans="1:4" hidden="1" x14ac:dyDescent="0.25">
      <c r="A4486" s="12" t="s">
        <v>7835</v>
      </c>
      <c r="B4486" s="3"/>
      <c r="C4486" s="18" t="s">
        <v>6471</v>
      </c>
      <c r="D4486" s="14" t="s">
        <v>8181</v>
      </c>
    </row>
    <row r="4487" spans="1:4" hidden="1" x14ac:dyDescent="0.25">
      <c r="A4487" s="12" t="s">
        <v>7836</v>
      </c>
      <c r="B4487" s="3"/>
      <c r="C4487" s="18" t="s">
        <v>6472</v>
      </c>
      <c r="D4487" s="14" t="s">
        <v>8181</v>
      </c>
    </row>
    <row r="4488" spans="1:4" hidden="1" x14ac:dyDescent="0.25">
      <c r="A4488" s="12" t="s">
        <v>7837</v>
      </c>
      <c r="B4488" s="3"/>
      <c r="C4488" s="19" t="s">
        <v>6473</v>
      </c>
      <c r="D4488" s="14" t="s">
        <v>8181</v>
      </c>
    </row>
    <row r="4489" spans="1:4" hidden="1" x14ac:dyDescent="0.25">
      <c r="A4489" s="12" t="s">
        <v>7838</v>
      </c>
      <c r="B4489" s="3"/>
      <c r="C4489" s="19" t="s">
        <v>6474</v>
      </c>
      <c r="D4489" s="14" t="s">
        <v>8181</v>
      </c>
    </row>
    <row r="4490" spans="1:4" hidden="1" x14ac:dyDescent="0.25">
      <c r="A4490" s="12" t="s">
        <v>7839</v>
      </c>
      <c r="B4490" s="3"/>
      <c r="C4490" s="18" t="s">
        <v>6475</v>
      </c>
      <c r="D4490" s="14" t="s">
        <v>8181</v>
      </c>
    </row>
    <row r="4491" spans="1:4" hidden="1" x14ac:dyDescent="0.25">
      <c r="A4491" s="12" t="s">
        <v>7840</v>
      </c>
      <c r="B4491" s="3"/>
      <c r="C4491" s="18" t="s">
        <v>6476</v>
      </c>
      <c r="D4491" s="14" t="s">
        <v>8181</v>
      </c>
    </row>
    <row r="4492" spans="1:4" hidden="1" x14ac:dyDescent="0.25">
      <c r="A4492" s="12" t="s">
        <v>7841</v>
      </c>
      <c r="B4492" s="3"/>
      <c r="C4492" s="18" t="s">
        <v>6477</v>
      </c>
      <c r="D4492" s="14" t="s">
        <v>8181</v>
      </c>
    </row>
    <row r="4493" spans="1:4" hidden="1" x14ac:dyDescent="0.25">
      <c r="A4493" s="12" t="s">
        <v>7842</v>
      </c>
      <c r="B4493" s="3"/>
      <c r="C4493" s="18" t="s">
        <v>6478</v>
      </c>
      <c r="D4493" s="14" t="s">
        <v>8181</v>
      </c>
    </row>
    <row r="4494" spans="1:4" hidden="1" x14ac:dyDescent="0.25">
      <c r="A4494" s="12" t="s">
        <v>7843</v>
      </c>
      <c r="B4494" s="3"/>
      <c r="C4494" s="18" t="s">
        <v>6479</v>
      </c>
      <c r="D4494" s="14" t="s">
        <v>8181</v>
      </c>
    </row>
    <row r="4495" spans="1:4" hidden="1" x14ac:dyDescent="0.25">
      <c r="A4495" s="12" t="s">
        <v>7844</v>
      </c>
      <c r="B4495" s="3"/>
      <c r="C4495" s="18" t="s">
        <v>6480</v>
      </c>
      <c r="D4495" s="14" t="s">
        <v>8181</v>
      </c>
    </row>
    <row r="4496" spans="1:4" hidden="1" x14ac:dyDescent="0.25">
      <c r="A4496" s="12" t="s">
        <v>7845</v>
      </c>
      <c r="B4496" s="3"/>
      <c r="C4496" s="18" t="s">
        <v>6481</v>
      </c>
      <c r="D4496" s="14" t="s">
        <v>8181</v>
      </c>
    </row>
    <row r="4497" spans="1:4" hidden="1" x14ac:dyDescent="0.25">
      <c r="A4497" s="12" t="s">
        <v>7846</v>
      </c>
      <c r="B4497" s="3"/>
      <c r="C4497" s="18" t="s">
        <v>6482</v>
      </c>
      <c r="D4497" s="14" t="s">
        <v>8181</v>
      </c>
    </row>
    <row r="4498" spans="1:4" hidden="1" x14ac:dyDescent="0.25">
      <c r="A4498" s="12" t="s">
        <v>7847</v>
      </c>
      <c r="B4498" s="3"/>
      <c r="C4498" s="18" t="s">
        <v>6483</v>
      </c>
      <c r="D4498" s="14" t="s">
        <v>8181</v>
      </c>
    </row>
    <row r="4499" spans="1:4" hidden="1" x14ac:dyDescent="0.25">
      <c r="A4499" s="12" t="s">
        <v>7848</v>
      </c>
      <c r="B4499" s="3"/>
      <c r="C4499" s="18" t="s">
        <v>6484</v>
      </c>
      <c r="D4499" s="14" t="s">
        <v>8181</v>
      </c>
    </row>
    <row r="4500" spans="1:4" hidden="1" x14ac:dyDescent="0.25">
      <c r="A4500" s="12" t="s">
        <v>7849</v>
      </c>
      <c r="B4500" s="3"/>
      <c r="C4500" s="18" t="s">
        <v>6485</v>
      </c>
      <c r="D4500" s="14" t="s">
        <v>8181</v>
      </c>
    </row>
    <row r="4501" spans="1:4" hidden="1" x14ac:dyDescent="0.25">
      <c r="A4501" s="12" t="s">
        <v>7850</v>
      </c>
      <c r="B4501" s="3"/>
      <c r="C4501" s="18" t="s">
        <v>6486</v>
      </c>
      <c r="D4501" s="14" t="s">
        <v>8181</v>
      </c>
    </row>
    <row r="4502" spans="1:4" hidden="1" x14ac:dyDescent="0.25">
      <c r="A4502" s="12" t="s">
        <v>7851</v>
      </c>
      <c r="B4502" s="3"/>
      <c r="C4502" s="18" t="s">
        <v>6487</v>
      </c>
      <c r="D4502" s="14" t="s">
        <v>8181</v>
      </c>
    </row>
    <row r="4503" spans="1:4" hidden="1" x14ac:dyDescent="0.25">
      <c r="A4503" s="12" t="s">
        <v>7852</v>
      </c>
      <c r="B4503" s="3"/>
      <c r="C4503" s="18" t="s">
        <v>6488</v>
      </c>
      <c r="D4503" s="14" t="s">
        <v>8181</v>
      </c>
    </row>
    <row r="4504" spans="1:4" hidden="1" x14ac:dyDescent="0.25">
      <c r="A4504" s="12" t="s">
        <v>7853</v>
      </c>
      <c r="B4504" s="3"/>
      <c r="C4504" s="18" t="s">
        <v>6489</v>
      </c>
      <c r="D4504" s="14" t="s">
        <v>8181</v>
      </c>
    </row>
    <row r="4505" spans="1:4" hidden="1" x14ac:dyDescent="0.25">
      <c r="A4505" s="12" t="s">
        <v>7854</v>
      </c>
      <c r="B4505" s="3"/>
      <c r="C4505" s="18" t="s">
        <v>6490</v>
      </c>
      <c r="D4505" s="14" t="s">
        <v>8181</v>
      </c>
    </row>
    <row r="4506" spans="1:4" hidden="1" x14ac:dyDescent="0.25">
      <c r="A4506" s="12" t="s">
        <v>7855</v>
      </c>
      <c r="B4506" s="3"/>
      <c r="C4506" s="18" t="s">
        <v>6491</v>
      </c>
      <c r="D4506" s="14" t="s">
        <v>8181</v>
      </c>
    </row>
    <row r="4507" spans="1:4" hidden="1" x14ac:dyDescent="0.25">
      <c r="A4507" s="12" t="s">
        <v>7856</v>
      </c>
      <c r="B4507" s="3"/>
      <c r="C4507" s="18" t="s">
        <v>6492</v>
      </c>
      <c r="D4507" s="14" t="s">
        <v>8181</v>
      </c>
    </row>
    <row r="4508" spans="1:4" hidden="1" x14ac:dyDescent="0.25">
      <c r="A4508" s="12" t="s">
        <v>7857</v>
      </c>
      <c r="B4508" s="3"/>
      <c r="C4508" s="18" t="s">
        <v>6493</v>
      </c>
      <c r="D4508" s="14" t="s">
        <v>8181</v>
      </c>
    </row>
    <row r="4509" spans="1:4" hidden="1" x14ac:dyDescent="0.25">
      <c r="A4509" s="12" t="s">
        <v>7858</v>
      </c>
      <c r="B4509" s="3"/>
      <c r="C4509" s="18" t="s">
        <v>6494</v>
      </c>
      <c r="D4509" s="14" t="s">
        <v>8181</v>
      </c>
    </row>
    <row r="4510" spans="1:4" hidden="1" x14ac:dyDescent="0.25">
      <c r="A4510" s="12" t="s">
        <v>7859</v>
      </c>
      <c r="B4510" s="3"/>
      <c r="C4510" s="18" t="s">
        <v>6495</v>
      </c>
      <c r="D4510" s="14" t="s">
        <v>8181</v>
      </c>
    </row>
    <row r="4511" spans="1:4" hidden="1" x14ac:dyDescent="0.25">
      <c r="A4511" s="12" t="s">
        <v>7860</v>
      </c>
      <c r="B4511" s="3"/>
      <c r="C4511" s="18" t="s">
        <v>6496</v>
      </c>
      <c r="D4511" s="14" t="s">
        <v>8181</v>
      </c>
    </row>
    <row r="4512" spans="1:4" hidden="1" x14ac:dyDescent="0.25">
      <c r="A4512" s="12" t="s">
        <v>7861</v>
      </c>
      <c r="B4512" s="3"/>
      <c r="C4512" s="18" t="s">
        <v>6497</v>
      </c>
      <c r="D4512" s="14" t="s">
        <v>8181</v>
      </c>
    </row>
    <row r="4513" spans="1:4" hidden="1" x14ac:dyDescent="0.25">
      <c r="A4513" s="12" t="s">
        <v>7862</v>
      </c>
      <c r="B4513" s="3"/>
      <c r="C4513" s="18" t="s">
        <v>6498</v>
      </c>
      <c r="D4513" s="14" t="s">
        <v>8181</v>
      </c>
    </row>
    <row r="4514" spans="1:4" hidden="1" x14ac:dyDescent="0.25">
      <c r="A4514" s="12" t="s">
        <v>7863</v>
      </c>
      <c r="B4514" s="3"/>
      <c r="C4514" s="18" t="s">
        <v>6499</v>
      </c>
      <c r="D4514" s="14" t="s">
        <v>8181</v>
      </c>
    </row>
    <row r="4515" spans="1:4" hidden="1" x14ac:dyDescent="0.25">
      <c r="A4515" s="12" t="s">
        <v>7864</v>
      </c>
      <c r="B4515" s="3"/>
      <c r="C4515" s="18" t="s">
        <v>6500</v>
      </c>
      <c r="D4515" s="14" t="s">
        <v>8181</v>
      </c>
    </row>
    <row r="4516" spans="1:4" hidden="1" x14ac:dyDescent="0.25">
      <c r="A4516" s="12" t="s">
        <v>7865</v>
      </c>
      <c r="B4516" s="3"/>
      <c r="C4516" s="18" t="s">
        <v>6501</v>
      </c>
      <c r="D4516" s="14" t="s">
        <v>8181</v>
      </c>
    </row>
    <row r="4517" spans="1:4" hidden="1" x14ac:dyDescent="0.25">
      <c r="A4517" s="12" t="s">
        <v>7866</v>
      </c>
      <c r="B4517" s="3"/>
      <c r="C4517" s="18" t="s">
        <v>6502</v>
      </c>
      <c r="D4517" s="14" t="s">
        <v>8181</v>
      </c>
    </row>
    <row r="4518" spans="1:4" hidden="1" x14ac:dyDescent="0.25">
      <c r="A4518" s="12" t="s">
        <v>7867</v>
      </c>
      <c r="B4518" s="3"/>
      <c r="C4518" s="18" t="s">
        <v>6503</v>
      </c>
      <c r="D4518" s="14" t="s">
        <v>8181</v>
      </c>
    </row>
    <row r="4519" spans="1:4" hidden="1" x14ac:dyDescent="0.25">
      <c r="A4519" s="12" t="s">
        <v>7868</v>
      </c>
      <c r="B4519" s="3"/>
      <c r="C4519" s="18" t="s">
        <v>6504</v>
      </c>
      <c r="D4519" s="14" t="s">
        <v>8181</v>
      </c>
    </row>
    <row r="4520" spans="1:4" hidden="1" x14ac:dyDescent="0.25">
      <c r="A4520" s="12" t="s">
        <v>7869</v>
      </c>
      <c r="B4520" s="3"/>
      <c r="C4520" s="18" t="s">
        <v>6505</v>
      </c>
      <c r="D4520" s="14" t="s">
        <v>8181</v>
      </c>
    </row>
    <row r="4521" spans="1:4" hidden="1" x14ac:dyDescent="0.25">
      <c r="A4521" s="12" t="s">
        <v>7870</v>
      </c>
      <c r="B4521" s="3"/>
      <c r="C4521" s="18" t="s">
        <v>6506</v>
      </c>
      <c r="D4521" s="14" t="s">
        <v>8181</v>
      </c>
    </row>
    <row r="4522" spans="1:4" hidden="1" x14ac:dyDescent="0.25">
      <c r="A4522" s="12" t="s">
        <v>7871</v>
      </c>
      <c r="B4522" s="3"/>
      <c r="C4522" s="18" t="s">
        <v>6507</v>
      </c>
      <c r="D4522" s="14" t="s">
        <v>8181</v>
      </c>
    </row>
    <row r="4523" spans="1:4" hidden="1" x14ac:dyDescent="0.25">
      <c r="A4523" s="12" t="s">
        <v>7872</v>
      </c>
      <c r="B4523" s="3"/>
      <c r="C4523" s="18" t="s">
        <v>6508</v>
      </c>
      <c r="D4523" s="14" t="s">
        <v>8181</v>
      </c>
    </row>
    <row r="4524" spans="1:4" hidden="1" x14ac:dyDescent="0.25">
      <c r="A4524" s="12" t="s">
        <v>7873</v>
      </c>
      <c r="B4524" s="3"/>
      <c r="C4524" s="18" t="s">
        <v>6509</v>
      </c>
      <c r="D4524" s="14" t="s">
        <v>8181</v>
      </c>
    </row>
    <row r="4525" spans="1:4" hidden="1" x14ac:dyDescent="0.25">
      <c r="A4525" s="12" t="s">
        <v>7874</v>
      </c>
      <c r="B4525" s="3"/>
      <c r="C4525" s="19" t="s">
        <v>6510</v>
      </c>
      <c r="D4525" s="14" t="s">
        <v>8181</v>
      </c>
    </row>
    <row r="4526" spans="1:4" hidden="1" x14ac:dyDescent="0.25">
      <c r="A4526" s="12" t="s">
        <v>7875</v>
      </c>
      <c r="B4526" s="3"/>
      <c r="C4526" s="19" t="s">
        <v>6511</v>
      </c>
      <c r="D4526" s="14" t="s">
        <v>8181</v>
      </c>
    </row>
    <row r="4527" spans="1:4" hidden="1" x14ac:dyDescent="0.25">
      <c r="A4527" s="12" t="s">
        <v>7876</v>
      </c>
      <c r="B4527" s="3"/>
      <c r="C4527" s="18" t="s">
        <v>6512</v>
      </c>
      <c r="D4527" s="14" t="s">
        <v>8181</v>
      </c>
    </row>
    <row r="4528" spans="1:4" hidden="1" x14ac:dyDescent="0.25">
      <c r="A4528" s="12" t="s">
        <v>7877</v>
      </c>
      <c r="B4528" s="3"/>
      <c r="C4528" s="18" t="s">
        <v>6513</v>
      </c>
      <c r="D4528" s="14" t="s">
        <v>8181</v>
      </c>
    </row>
    <row r="4529" spans="1:4" hidden="1" x14ac:dyDescent="0.25">
      <c r="A4529" s="12" t="s">
        <v>7878</v>
      </c>
      <c r="B4529" s="3"/>
      <c r="C4529" s="18" t="s">
        <v>6514</v>
      </c>
      <c r="D4529" s="14" t="s">
        <v>8181</v>
      </c>
    </row>
    <row r="4530" spans="1:4" hidden="1" x14ac:dyDescent="0.25">
      <c r="A4530" s="12" t="s">
        <v>7879</v>
      </c>
      <c r="B4530" s="3"/>
      <c r="C4530" s="18" t="s">
        <v>6515</v>
      </c>
      <c r="D4530" s="14" t="s">
        <v>8181</v>
      </c>
    </row>
    <row r="4531" spans="1:4" hidden="1" x14ac:dyDescent="0.25">
      <c r="A4531" s="12" t="s">
        <v>7880</v>
      </c>
      <c r="B4531" s="3"/>
      <c r="C4531" s="18" t="s">
        <v>6516</v>
      </c>
      <c r="D4531" s="14" t="s">
        <v>8181</v>
      </c>
    </row>
    <row r="4532" spans="1:4" hidden="1" x14ac:dyDescent="0.25">
      <c r="A4532" s="12" t="s">
        <v>7881</v>
      </c>
      <c r="B4532" s="3"/>
      <c r="C4532" s="18" t="s">
        <v>6517</v>
      </c>
      <c r="D4532" s="14" t="s">
        <v>8181</v>
      </c>
    </row>
    <row r="4533" spans="1:4" hidden="1" x14ac:dyDescent="0.25">
      <c r="A4533" s="12" t="s">
        <v>7882</v>
      </c>
      <c r="B4533" s="3"/>
      <c r="C4533" s="18" t="s">
        <v>6518</v>
      </c>
      <c r="D4533" s="14" t="s">
        <v>8181</v>
      </c>
    </row>
    <row r="4534" spans="1:4" hidden="1" x14ac:dyDescent="0.25">
      <c r="A4534" s="12" t="s">
        <v>7883</v>
      </c>
      <c r="B4534" s="3"/>
      <c r="C4534" s="18" t="s">
        <v>6519</v>
      </c>
      <c r="D4534" s="14" t="s">
        <v>8181</v>
      </c>
    </row>
    <row r="4535" spans="1:4" hidden="1" x14ac:dyDescent="0.25">
      <c r="A4535" s="12" t="s">
        <v>7884</v>
      </c>
      <c r="B4535" s="3"/>
      <c r="C4535" s="18" t="s">
        <v>6520</v>
      </c>
      <c r="D4535" s="14" t="s">
        <v>8181</v>
      </c>
    </row>
    <row r="4536" spans="1:4" hidden="1" x14ac:dyDescent="0.25">
      <c r="A4536" s="12" t="s">
        <v>7885</v>
      </c>
      <c r="B4536" s="3"/>
      <c r="C4536" s="18" t="s">
        <v>6521</v>
      </c>
      <c r="D4536" s="14" t="s">
        <v>8181</v>
      </c>
    </row>
    <row r="4537" spans="1:4" hidden="1" x14ac:dyDescent="0.25">
      <c r="A4537" s="12" t="s">
        <v>7886</v>
      </c>
      <c r="B4537" s="3"/>
      <c r="C4537" s="18" t="s">
        <v>6522</v>
      </c>
      <c r="D4537" s="14" t="s">
        <v>8181</v>
      </c>
    </row>
    <row r="4538" spans="1:4" hidden="1" x14ac:dyDescent="0.25">
      <c r="A4538" s="12" t="s">
        <v>7887</v>
      </c>
      <c r="B4538" s="3"/>
      <c r="C4538" s="18" t="s">
        <v>6523</v>
      </c>
      <c r="D4538" s="14" t="s">
        <v>8181</v>
      </c>
    </row>
    <row r="4539" spans="1:4" hidden="1" x14ac:dyDescent="0.25">
      <c r="A4539" s="12" t="s">
        <v>7888</v>
      </c>
      <c r="B4539" s="3"/>
      <c r="C4539" s="18" t="s">
        <v>6524</v>
      </c>
      <c r="D4539" s="14" t="s">
        <v>8181</v>
      </c>
    </row>
    <row r="4540" spans="1:4" hidden="1" x14ac:dyDescent="0.25">
      <c r="A4540" s="12" t="s">
        <v>7889</v>
      </c>
      <c r="B4540" s="3"/>
      <c r="C4540" s="18" t="s">
        <v>6525</v>
      </c>
      <c r="D4540" s="14" t="s">
        <v>8181</v>
      </c>
    </row>
    <row r="4541" spans="1:4" hidden="1" x14ac:dyDescent="0.25">
      <c r="A4541" s="12" t="s">
        <v>7890</v>
      </c>
      <c r="B4541" s="3"/>
      <c r="C4541" s="18" t="s">
        <v>6526</v>
      </c>
      <c r="D4541" s="14" t="s">
        <v>8181</v>
      </c>
    </row>
    <row r="4542" spans="1:4" hidden="1" x14ac:dyDescent="0.25">
      <c r="A4542" s="12" t="s">
        <v>7891</v>
      </c>
      <c r="B4542" s="3"/>
      <c r="C4542" s="18" t="s">
        <v>6527</v>
      </c>
      <c r="D4542" s="14" t="s">
        <v>8181</v>
      </c>
    </row>
    <row r="4543" spans="1:4" hidden="1" x14ac:dyDescent="0.25">
      <c r="A4543" s="12" t="s">
        <v>7892</v>
      </c>
      <c r="B4543" s="3"/>
      <c r="C4543" s="18" t="s">
        <v>6528</v>
      </c>
      <c r="D4543" s="14" t="s">
        <v>8181</v>
      </c>
    </row>
    <row r="4544" spans="1:4" hidden="1" x14ac:dyDescent="0.25">
      <c r="A4544" s="12" t="s">
        <v>7893</v>
      </c>
      <c r="B4544" s="3"/>
      <c r="C4544" s="18" t="s">
        <v>6529</v>
      </c>
      <c r="D4544" s="14" t="s">
        <v>8181</v>
      </c>
    </row>
    <row r="4545" spans="1:4" hidden="1" x14ac:dyDescent="0.25">
      <c r="A4545" s="12" t="s">
        <v>7894</v>
      </c>
      <c r="B4545" s="3"/>
      <c r="C4545" s="18" t="s">
        <v>6530</v>
      </c>
      <c r="D4545" s="14" t="s">
        <v>8181</v>
      </c>
    </row>
    <row r="4546" spans="1:4" hidden="1" x14ac:dyDescent="0.25">
      <c r="A4546" s="12" t="s">
        <v>7895</v>
      </c>
      <c r="B4546" s="3"/>
      <c r="C4546" s="18" t="s">
        <v>6531</v>
      </c>
      <c r="D4546" s="14" t="s">
        <v>8181</v>
      </c>
    </row>
    <row r="4547" spans="1:4" hidden="1" x14ac:dyDescent="0.25">
      <c r="A4547" s="12" t="s">
        <v>7896</v>
      </c>
      <c r="B4547" s="3"/>
      <c r="C4547" s="18" t="s">
        <v>6532</v>
      </c>
      <c r="D4547" s="14" t="s">
        <v>8181</v>
      </c>
    </row>
    <row r="4548" spans="1:4" hidden="1" x14ac:dyDescent="0.25">
      <c r="A4548" s="12" t="s">
        <v>7897</v>
      </c>
      <c r="B4548" s="3"/>
      <c r="C4548" s="18" t="s">
        <v>6533</v>
      </c>
      <c r="D4548" s="14" t="s">
        <v>8181</v>
      </c>
    </row>
    <row r="4549" spans="1:4" hidden="1" x14ac:dyDescent="0.25">
      <c r="A4549" s="12" t="s">
        <v>7898</v>
      </c>
      <c r="B4549" s="3"/>
      <c r="C4549" s="18" t="s">
        <v>6534</v>
      </c>
      <c r="D4549" s="14" t="s">
        <v>8181</v>
      </c>
    </row>
    <row r="4550" spans="1:4" hidden="1" x14ac:dyDescent="0.25">
      <c r="A4550" s="12" t="s">
        <v>7899</v>
      </c>
      <c r="B4550" s="3"/>
      <c r="C4550" s="18" t="s">
        <v>6535</v>
      </c>
      <c r="D4550" s="14" t="s">
        <v>8181</v>
      </c>
    </row>
    <row r="4551" spans="1:4" hidden="1" x14ac:dyDescent="0.25">
      <c r="A4551" s="12" t="s">
        <v>7900</v>
      </c>
      <c r="B4551" s="3"/>
      <c r="C4551" s="18" t="s">
        <v>6536</v>
      </c>
      <c r="D4551" s="14" t="s">
        <v>8181</v>
      </c>
    </row>
    <row r="4552" spans="1:4" hidden="1" x14ac:dyDescent="0.25">
      <c r="A4552" s="12" t="s">
        <v>7901</v>
      </c>
      <c r="B4552" s="3"/>
      <c r="C4552" s="18" t="s">
        <v>6537</v>
      </c>
      <c r="D4552" s="14" t="s">
        <v>8181</v>
      </c>
    </row>
    <row r="4553" spans="1:4" hidden="1" x14ac:dyDescent="0.25">
      <c r="A4553" s="12" t="s">
        <v>7902</v>
      </c>
      <c r="B4553" s="3"/>
      <c r="C4553" s="18" t="s">
        <v>6538</v>
      </c>
      <c r="D4553" s="14" t="s">
        <v>8181</v>
      </c>
    </row>
    <row r="4554" spans="1:4" hidden="1" x14ac:dyDescent="0.25">
      <c r="A4554" s="12" t="s">
        <v>7903</v>
      </c>
      <c r="B4554" s="3"/>
      <c r="C4554" s="18" t="s">
        <v>6539</v>
      </c>
      <c r="D4554" s="14" t="s">
        <v>8181</v>
      </c>
    </row>
    <row r="4555" spans="1:4" hidden="1" x14ac:dyDescent="0.25">
      <c r="A4555" s="12" t="s">
        <v>7904</v>
      </c>
      <c r="B4555" s="3"/>
      <c r="C4555" s="18" t="s">
        <v>6540</v>
      </c>
      <c r="D4555" s="14" t="s">
        <v>8181</v>
      </c>
    </row>
    <row r="4556" spans="1:4" hidden="1" x14ac:dyDescent="0.25">
      <c r="A4556" s="12" t="s">
        <v>7905</v>
      </c>
      <c r="B4556" s="3"/>
      <c r="C4556" s="18" t="s">
        <v>6541</v>
      </c>
      <c r="D4556" s="14" t="s">
        <v>8181</v>
      </c>
    </row>
    <row r="4557" spans="1:4" hidden="1" x14ac:dyDescent="0.25">
      <c r="A4557" s="12" t="s">
        <v>7906</v>
      </c>
      <c r="B4557" s="3"/>
      <c r="C4557" s="18" t="s">
        <v>6542</v>
      </c>
      <c r="D4557" s="14" t="s">
        <v>8181</v>
      </c>
    </row>
    <row r="4558" spans="1:4" hidden="1" x14ac:dyDescent="0.25">
      <c r="A4558" s="12" t="s">
        <v>7907</v>
      </c>
      <c r="B4558" s="3"/>
      <c r="C4558" s="18" t="s">
        <v>6543</v>
      </c>
      <c r="D4558" s="14" t="s">
        <v>8181</v>
      </c>
    </row>
    <row r="4559" spans="1:4" hidden="1" x14ac:dyDescent="0.25">
      <c r="A4559" s="12" t="s">
        <v>7908</v>
      </c>
      <c r="B4559" s="3"/>
      <c r="C4559" s="18" t="s">
        <v>6544</v>
      </c>
      <c r="D4559" s="14" t="s">
        <v>8181</v>
      </c>
    </row>
    <row r="4560" spans="1:4" hidden="1" x14ac:dyDescent="0.25">
      <c r="A4560" s="12" t="s">
        <v>7909</v>
      </c>
      <c r="B4560" s="3"/>
      <c r="C4560" s="18" t="s">
        <v>6545</v>
      </c>
      <c r="D4560" s="14" t="s">
        <v>8181</v>
      </c>
    </row>
    <row r="4561" spans="1:4" hidden="1" x14ac:dyDescent="0.25">
      <c r="A4561" s="12" t="s">
        <v>7910</v>
      </c>
      <c r="B4561" s="3"/>
      <c r="C4561" s="18" t="s">
        <v>6546</v>
      </c>
      <c r="D4561" s="14" t="s">
        <v>8181</v>
      </c>
    </row>
    <row r="4562" spans="1:4" hidden="1" x14ac:dyDescent="0.25">
      <c r="A4562" s="12" t="s">
        <v>7911</v>
      </c>
      <c r="B4562" s="3"/>
      <c r="C4562" s="18" t="s">
        <v>6547</v>
      </c>
      <c r="D4562" s="14" t="s">
        <v>8181</v>
      </c>
    </row>
    <row r="4563" spans="1:4" hidden="1" x14ac:dyDescent="0.25">
      <c r="A4563" s="12" t="s">
        <v>7912</v>
      </c>
      <c r="B4563" s="3"/>
      <c r="C4563" s="19" t="s">
        <v>6548</v>
      </c>
      <c r="D4563" s="14" t="s">
        <v>8181</v>
      </c>
    </row>
    <row r="4564" spans="1:4" hidden="1" x14ac:dyDescent="0.25">
      <c r="A4564" s="12" t="s">
        <v>7913</v>
      </c>
      <c r="B4564" s="3"/>
      <c r="C4564" s="19" t="s">
        <v>6549</v>
      </c>
      <c r="D4564" s="14" t="s">
        <v>8181</v>
      </c>
    </row>
    <row r="4565" spans="1:4" hidden="1" x14ac:dyDescent="0.25">
      <c r="A4565" s="12" t="s">
        <v>7914</v>
      </c>
      <c r="B4565" s="3"/>
      <c r="C4565" s="18" t="s">
        <v>6550</v>
      </c>
      <c r="D4565" s="14" t="s">
        <v>8181</v>
      </c>
    </row>
    <row r="4566" spans="1:4" hidden="1" x14ac:dyDescent="0.25">
      <c r="A4566" s="12" t="s">
        <v>7915</v>
      </c>
      <c r="B4566" s="3"/>
      <c r="C4566" s="18" t="s">
        <v>6551</v>
      </c>
      <c r="D4566" s="14" t="s">
        <v>8181</v>
      </c>
    </row>
    <row r="4567" spans="1:4" hidden="1" x14ac:dyDescent="0.25">
      <c r="A4567" s="12" t="s">
        <v>7916</v>
      </c>
      <c r="B4567" s="3"/>
      <c r="C4567" s="18" t="s">
        <v>6552</v>
      </c>
      <c r="D4567" s="14" t="s">
        <v>8181</v>
      </c>
    </row>
    <row r="4568" spans="1:4" hidden="1" x14ac:dyDescent="0.25">
      <c r="A4568" s="12" t="s">
        <v>7917</v>
      </c>
      <c r="B4568" s="3"/>
      <c r="C4568" s="18" t="s">
        <v>6553</v>
      </c>
      <c r="D4568" s="14" t="s">
        <v>8181</v>
      </c>
    </row>
    <row r="4569" spans="1:4" hidden="1" x14ac:dyDescent="0.25">
      <c r="A4569" s="12" t="s">
        <v>7918</v>
      </c>
      <c r="B4569" s="3"/>
      <c r="C4569" s="18" t="s">
        <v>6554</v>
      </c>
      <c r="D4569" s="14" t="s">
        <v>8181</v>
      </c>
    </row>
    <row r="4570" spans="1:4" hidden="1" x14ac:dyDescent="0.25">
      <c r="A4570" s="12" t="s">
        <v>7919</v>
      </c>
      <c r="B4570" s="3"/>
      <c r="C4570" s="18" t="s">
        <v>6555</v>
      </c>
      <c r="D4570" s="14" t="s">
        <v>8181</v>
      </c>
    </row>
    <row r="4571" spans="1:4" hidden="1" x14ac:dyDescent="0.25">
      <c r="A4571" s="12" t="s">
        <v>7920</v>
      </c>
      <c r="B4571" s="3"/>
      <c r="C4571" s="18" t="s">
        <v>6556</v>
      </c>
      <c r="D4571" s="14" t="s">
        <v>8181</v>
      </c>
    </row>
    <row r="4572" spans="1:4" hidden="1" x14ac:dyDescent="0.25">
      <c r="A4572" s="12" t="s">
        <v>7921</v>
      </c>
      <c r="B4572" s="3"/>
      <c r="C4572" s="18" t="s">
        <v>6557</v>
      </c>
      <c r="D4572" s="14" t="s">
        <v>8181</v>
      </c>
    </row>
    <row r="4573" spans="1:4" hidden="1" x14ac:dyDescent="0.25">
      <c r="A4573" s="12" t="s">
        <v>7922</v>
      </c>
      <c r="B4573" s="3"/>
      <c r="C4573" s="18" t="s">
        <v>6558</v>
      </c>
      <c r="D4573" s="14" t="s">
        <v>8181</v>
      </c>
    </row>
    <row r="4574" spans="1:4" hidden="1" x14ac:dyDescent="0.25">
      <c r="A4574" s="12" t="s">
        <v>7923</v>
      </c>
      <c r="B4574" s="3"/>
      <c r="C4574" s="18" t="s">
        <v>6559</v>
      </c>
      <c r="D4574" s="14" t="s">
        <v>8181</v>
      </c>
    </row>
    <row r="4575" spans="1:4" hidden="1" x14ac:dyDescent="0.25">
      <c r="A4575" s="12" t="s">
        <v>7924</v>
      </c>
      <c r="B4575" s="3"/>
      <c r="C4575" s="18" t="s">
        <v>6560</v>
      </c>
      <c r="D4575" s="14" t="s">
        <v>8181</v>
      </c>
    </row>
    <row r="4576" spans="1:4" hidden="1" x14ac:dyDescent="0.25">
      <c r="A4576" s="12" t="s">
        <v>7925</v>
      </c>
      <c r="B4576" s="3"/>
      <c r="C4576" s="18" t="s">
        <v>6561</v>
      </c>
      <c r="D4576" s="14" t="s">
        <v>8181</v>
      </c>
    </row>
    <row r="4577" spans="1:4" hidden="1" x14ac:dyDescent="0.25">
      <c r="A4577" s="12" t="s">
        <v>7926</v>
      </c>
      <c r="B4577" s="3"/>
      <c r="C4577" s="18" t="s">
        <v>6562</v>
      </c>
      <c r="D4577" s="14" t="s">
        <v>8181</v>
      </c>
    </row>
    <row r="4578" spans="1:4" hidden="1" x14ac:dyDescent="0.25">
      <c r="A4578" s="12" t="s">
        <v>7927</v>
      </c>
      <c r="B4578" s="3"/>
      <c r="C4578" s="18" t="s">
        <v>6563</v>
      </c>
      <c r="D4578" s="14" t="s">
        <v>8181</v>
      </c>
    </row>
    <row r="4579" spans="1:4" hidden="1" x14ac:dyDescent="0.25">
      <c r="A4579" s="12" t="s">
        <v>7928</v>
      </c>
      <c r="B4579" s="3"/>
      <c r="C4579" s="18" t="s">
        <v>6564</v>
      </c>
      <c r="D4579" s="14" t="s">
        <v>8181</v>
      </c>
    </row>
    <row r="4580" spans="1:4" hidden="1" x14ac:dyDescent="0.25">
      <c r="A4580" s="12" t="s">
        <v>7929</v>
      </c>
      <c r="B4580" s="3"/>
      <c r="C4580" s="18" t="s">
        <v>6565</v>
      </c>
      <c r="D4580" s="14" t="s">
        <v>8181</v>
      </c>
    </row>
    <row r="4581" spans="1:4" hidden="1" x14ac:dyDescent="0.25">
      <c r="A4581" s="12" t="s">
        <v>7930</v>
      </c>
      <c r="B4581" s="3"/>
      <c r="C4581" s="18" t="s">
        <v>6566</v>
      </c>
      <c r="D4581" s="14" t="s">
        <v>8181</v>
      </c>
    </row>
    <row r="4582" spans="1:4" hidden="1" x14ac:dyDescent="0.25">
      <c r="A4582" s="12" t="s">
        <v>7931</v>
      </c>
      <c r="B4582" s="3"/>
      <c r="C4582" s="18" t="s">
        <v>6567</v>
      </c>
      <c r="D4582" s="14" t="s">
        <v>8181</v>
      </c>
    </row>
    <row r="4583" spans="1:4" hidden="1" x14ac:dyDescent="0.25">
      <c r="A4583" s="12" t="s">
        <v>7932</v>
      </c>
      <c r="B4583" s="3"/>
      <c r="C4583" s="18" t="s">
        <v>6568</v>
      </c>
      <c r="D4583" s="14" t="s">
        <v>8181</v>
      </c>
    </row>
    <row r="4584" spans="1:4" hidden="1" x14ac:dyDescent="0.25">
      <c r="A4584" s="12" t="s">
        <v>7933</v>
      </c>
      <c r="B4584" s="3"/>
      <c r="C4584" s="18" t="s">
        <v>6569</v>
      </c>
      <c r="D4584" s="14" t="s">
        <v>8181</v>
      </c>
    </row>
    <row r="4585" spans="1:4" hidden="1" x14ac:dyDescent="0.25">
      <c r="A4585" s="12" t="s">
        <v>7934</v>
      </c>
      <c r="B4585" s="3"/>
      <c r="C4585" s="18" t="s">
        <v>6570</v>
      </c>
      <c r="D4585" s="14" t="s">
        <v>8181</v>
      </c>
    </row>
    <row r="4586" spans="1:4" hidden="1" x14ac:dyDescent="0.25">
      <c r="A4586" s="12" t="s">
        <v>7935</v>
      </c>
      <c r="B4586" s="3"/>
      <c r="C4586" s="18" t="s">
        <v>6571</v>
      </c>
      <c r="D4586" s="14" t="s">
        <v>8181</v>
      </c>
    </row>
    <row r="4587" spans="1:4" hidden="1" x14ac:dyDescent="0.25">
      <c r="A4587" s="12" t="s">
        <v>7936</v>
      </c>
      <c r="B4587" s="3"/>
      <c r="C4587" s="18" t="s">
        <v>6572</v>
      </c>
      <c r="D4587" s="14" t="s">
        <v>8181</v>
      </c>
    </row>
    <row r="4588" spans="1:4" hidden="1" x14ac:dyDescent="0.25">
      <c r="A4588" s="12" t="s">
        <v>7937</v>
      </c>
      <c r="B4588" s="3"/>
      <c r="C4588" s="18" t="s">
        <v>6573</v>
      </c>
      <c r="D4588" s="14" t="s">
        <v>8181</v>
      </c>
    </row>
    <row r="4589" spans="1:4" hidden="1" x14ac:dyDescent="0.25">
      <c r="A4589" s="12" t="s">
        <v>7938</v>
      </c>
      <c r="B4589" s="3"/>
      <c r="C4589" s="18" t="s">
        <v>6574</v>
      </c>
      <c r="D4589" s="14" t="s">
        <v>8181</v>
      </c>
    </row>
    <row r="4590" spans="1:4" hidden="1" x14ac:dyDescent="0.25">
      <c r="A4590" s="12" t="s">
        <v>7939</v>
      </c>
      <c r="B4590" s="3"/>
      <c r="C4590" s="18" t="s">
        <v>6575</v>
      </c>
      <c r="D4590" s="14" t="s">
        <v>8181</v>
      </c>
    </row>
    <row r="4591" spans="1:4" hidden="1" x14ac:dyDescent="0.25">
      <c r="A4591" s="12" t="s">
        <v>7940</v>
      </c>
      <c r="B4591" s="3"/>
      <c r="C4591" s="18" t="s">
        <v>6576</v>
      </c>
      <c r="D4591" s="14" t="s">
        <v>8181</v>
      </c>
    </row>
    <row r="4592" spans="1:4" hidden="1" x14ac:dyDescent="0.25">
      <c r="A4592" s="12" t="s">
        <v>7941</v>
      </c>
      <c r="B4592" s="3"/>
      <c r="C4592" s="18" t="s">
        <v>6577</v>
      </c>
      <c r="D4592" s="14" t="s">
        <v>8181</v>
      </c>
    </row>
    <row r="4593" spans="1:4" hidden="1" x14ac:dyDescent="0.25">
      <c r="A4593" s="12" t="s">
        <v>7942</v>
      </c>
      <c r="B4593" s="3"/>
      <c r="C4593" s="18" t="s">
        <v>6578</v>
      </c>
      <c r="D4593" s="14" t="s">
        <v>8181</v>
      </c>
    </row>
    <row r="4594" spans="1:4" hidden="1" x14ac:dyDescent="0.25">
      <c r="A4594" s="12" t="s">
        <v>7943</v>
      </c>
      <c r="B4594" s="3"/>
      <c r="C4594" s="18" t="s">
        <v>6579</v>
      </c>
      <c r="D4594" s="14" t="s">
        <v>8181</v>
      </c>
    </row>
    <row r="4595" spans="1:4" hidden="1" x14ac:dyDescent="0.25">
      <c r="A4595" s="12" t="s">
        <v>7944</v>
      </c>
      <c r="B4595" s="3"/>
      <c r="C4595" s="18" t="s">
        <v>6580</v>
      </c>
      <c r="D4595" s="14" t="s">
        <v>8181</v>
      </c>
    </row>
    <row r="4596" spans="1:4" hidden="1" x14ac:dyDescent="0.25">
      <c r="A4596" s="12" t="s">
        <v>7945</v>
      </c>
      <c r="B4596" s="3"/>
      <c r="C4596" s="18" t="s">
        <v>6581</v>
      </c>
      <c r="D4596" s="14" t="s">
        <v>8181</v>
      </c>
    </row>
    <row r="4597" spans="1:4" hidden="1" x14ac:dyDescent="0.25">
      <c r="A4597" s="12" t="s">
        <v>7946</v>
      </c>
      <c r="B4597" s="3"/>
      <c r="C4597" s="18" t="s">
        <v>6582</v>
      </c>
      <c r="D4597" s="14" t="s">
        <v>8181</v>
      </c>
    </row>
    <row r="4598" spans="1:4" hidden="1" x14ac:dyDescent="0.25">
      <c r="A4598" s="12" t="s">
        <v>7947</v>
      </c>
      <c r="B4598" s="3"/>
      <c r="C4598" s="18" t="s">
        <v>6583</v>
      </c>
      <c r="D4598" s="14" t="s">
        <v>8181</v>
      </c>
    </row>
    <row r="4599" spans="1:4" hidden="1" x14ac:dyDescent="0.25">
      <c r="A4599" s="12" t="s">
        <v>7948</v>
      </c>
      <c r="B4599" s="3"/>
      <c r="C4599" s="18" t="s">
        <v>6584</v>
      </c>
      <c r="D4599" s="14" t="s">
        <v>8181</v>
      </c>
    </row>
    <row r="4600" spans="1:4" hidden="1" x14ac:dyDescent="0.25">
      <c r="A4600" s="12" t="s">
        <v>7949</v>
      </c>
      <c r="B4600" s="3"/>
      <c r="C4600" s="19" t="s">
        <v>6585</v>
      </c>
      <c r="D4600" s="14" t="s">
        <v>8181</v>
      </c>
    </row>
    <row r="4601" spans="1:4" hidden="1" x14ac:dyDescent="0.25">
      <c r="A4601" s="12" t="s">
        <v>7950</v>
      </c>
      <c r="B4601" s="3"/>
      <c r="C4601" s="19" t="s">
        <v>6586</v>
      </c>
      <c r="D4601" s="14" t="s">
        <v>8181</v>
      </c>
    </row>
    <row r="4602" spans="1:4" hidden="1" x14ac:dyDescent="0.25">
      <c r="A4602" s="12" t="s">
        <v>7951</v>
      </c>
      <c r="B4602" s="3"/>
      <c r="C4602" s="18" t="s">
        <v>6587</v>
      </c>
      <c r="D4602" s="14" t="s">
        <v>8181</v>
      </c>
    </row>
    <row r="4603" spans="1:4" hidden="1" x14ac:dyDescent="0.25">
      <c r="A4603" s="12" t="s">
        <v>7952</v>
      </c>
      <c r="B4603" s="3"/>
      <c r="C4603" s="18" t="s">
        <v>6588</v>
      </c>
      <c r="D4603" s="14" t="s">
        <v>8181</v>
      </c>
    </row>
    <row r="4604" spans="1:4" hidden="1" x14ac:dyDescent="0.25">
      <c r="A4604" s="12" t="s">
        <v>7953</v>
      </c>
      <c r="B4604" s="3"/>
      <c r="C4604" s="18" t="s">
        <v>6589</v>
      </c>
      <c r="D4604" s="14" t="s">
        <v>8181</v>
      </c>
    </row>
    <row r="4605" spans="1:4" hidden="1" x14ac:dyDescent="0.25">
      <c r="A4605" s="12" t="s">
        <v>7954</v>
      </c>
      <c r="B4605" s="3"/>
      <c r="C4605" s="18" t="s">
        <v>6590</v>
      </c>
      <c r="D4605" s="14" t="s">
        <v>8181</v>
      </c>
    </row>
    <row r="4606" spans="1:4" hidden="1" x14ac:dyDescent="0.25">
      <c r="A4606" s="12" t="s">
        <v>7955</v>
      </c>
      <c r="B4606" s="3"/>
      <c r="C4606" s="18" t="s">
        <v>6591</v>
      </c>
      <c r="D4606" s="14" t="s">
        <v>8181</v>
      </c>
    </row>
    <row r="4607" spans="1:4" hidden="1" x14ac:dyDescent="0.25">
      <c r="A4607" s="12" t="s">
        <v>7956</v>
      </c>
      <c r="B4607" s="3"/>
      <c r="C4607" s="18" t="s">
        <v>6592</v>
      </c>
      <c r="D4607" s="14" t="s">
        <v>8181</v>
      </c>
    </row>
    <row r="4608" spans="1:4" hidden="1" x14ac:dyDescent="0.25">
      <c r="A4608" s="12" t="s">
        <v>7957</v>
      </c>
      <c r="B4608" s="3"/>
      <c r="C4608" s="18" t="s">
        <v>6593</v>
      </c>
      <c r="D4608" s="14" t="s">
        <v>8181</v>
      </c>
    </row>
    <row r="4609" spans="1:4" hidden="1" x14ac:dyDescent="0.25">
      <c r="A4609" s="12" t="s">
        <v>7958</v>
      </c>
      <c r="B4609" s="3"/>
      <c r="C4609" s="18" t="s">
        <v>6594</v>
      </c>
      <c r="D4609" s="14" t="s">
        <v>8181</v>
      </c>
    </row>
    <row r="4610" spans="1:4" hidden="1" x14ac:dyDescent="0.25">
      <c r="A4610" s="12" t="s">
        <v>7959</v>
      </c>
      <c r="B4610" s="3"/>
      <c r="C4610" s="18" t="s">
        <v>6595</v>
      </c>
      <c r="D4610" s="14" t="s">
        <v>8181</v>
      </c>
    </row>
    <row r="4611" spans="1:4" hidden="1" x14ac:dyDescent="0.25">
      <c r="A4611" s="12" t="s">
        <v>7960</v>
      </c>
      <c r="B4611" s="3"/>
      <c r="C4611" s="18" t="s">
        <v>6596</v>
      </c>
      <c r="D4611" s="14" t="s">
        <v>8181</v>
      </c>
    </row>
    <row r="4612" spans="1:4" hidden="1" x14ac:dyDescent="0.25">
      <c r="A4612" s="12" t="s">
        <v>7961</v>
      </c>
      <c r="B4612" s="3"/>
      <c r="C4612" s="18" t="s">
        <v>6597</v>
      </c>
      <c r="D4612" s="14" t="s">
        <v>8181</v>
      </c>
    </row>
    <row r="4613" spans="1:4" hidden="1" x14ac:dyDescent="0.25">
      <c r="A4613" s="12" t="s">
        <v>7962</v>
      </c>
      <c r="B4613" s="3"/>
      <c r="C4613" s="18" t="s">
        <v>6598</v>
      </c>
      <c r="D4613" s="14" t="s">
        <v>8181</v>
      </c>
    </row>
    <row r="4614" spans="1:4" hidden="1" x14ac:dyDescent="0.25">
      <c r="A4614" s="12" t="s">
        <v>7963</v>
      </c>
      <c r="B4614" s="3"/>
      <c r="C4614" s="18" t="s">
        <v>6599</v>
      </c>
      <c r="D4614" s="14" t="s">
        <v>8181</v>
      </c>
    </row>
    <row r="4615" spans="1:4" hidden="1" x14ac:dyDescent="0.25">
      <c r="A4615" s="12" t="s">
        <v>7964</v>
      </c>
      <c r="B4615" s="3"/>
      <c r="C4615" s="18" t="s">
        <v>6600</v>
      </c>
      <c r="D4615" s="14" t="s">
        <v>8181</v>
      </c>
    </row>
    <row r="4616" spans="1:4" hidden="1" x14ac:dyDescent="0.25">
      <c r="A4616" s="12" t="s">
        <v>7965</v>
      </c>
      <c r="B4616" s="3"/>
      <c r="C4616" s="18" t="s">
        <v>6601</v>
      </c>
      <c r="D4616" s="14" t="s">
        <v>8181</v>
      </c>
    </row>
    <row r="4617" spans="1:4" hidden="1" x14ac:dyDescent="0.25">
      <c r="A4617" s="12" t="s">
        <v>7966</v>
      </c>
      <c r="B4617" s="3"/>
      <c r="C4617" s="18" t="s">
        <v>6602</v>
      </c>
      <c r="D4617" s="14" t="s">
        <v>8181</v>
      </c>
    </row>
    <row r="4618" spans="1:4" hidden="1" x14ac:dyDescent="0.25">
      <c r="A4618" s="12" t="s">
        <v>7967</v>
      </c>
      <c r="B4618" s="3"/>
      <c r="C4618" s="18" t="s">
        <v>6603</v>
      </c>
      <c r="D4618" s="14" t="s">
        <v>8181</v>
      </c>
    </row>
    <row r="4619" spans="1:4" hidden="1" x14ac:dyDescent="0.25">
      <c r="A4619" s="12" t="s">
        <v>7968</v>
      </c>
      <c r="B4619" s="3"/>
      <c r="C4619" s="18" t="s">
        <v>6604</v>
      </c>
      <c r="D4619" s="14" t="s">
        <v>8181</v>
      </c>
    </row>
    <row r="4620" spans="1:4" hidden="1" x14ac:dyDescent="0.25">
      <c r="A4620" s="12" t="s">
        <v>7969</v>
      </c>
      <c r="B4620" s="3"/>
      <c r="C4620" s="18" t="s">
        <v>6605</v>
      </c>
      <c r="D4620" s="14" t="s">
        <v>8181</v>
      </c>
    </row>
    <row r="4621" spans="1:4" hidden="1" x14ac:dyDescent="0.25">
      <c r="A4621" s="12" t="s">
        <v>7970</v>
      </c>
      <c r="B4621" s="3"/>
      <c r="C4621" s="18" t="s">
        <v>6606</v>
      </c>
      <c r="D4621" s="14" t="s">
        <v>8181</v>
      </c>
    </row>
    <row r="4622" spans="1:4" hidden="1" x14ac:dyDescent="0.25">
      <c r="A4622" s="12" t="s">
        <v>7971</v>
      </c>
      <c r="B4622" s="3"/>
      <c r="C4622" s="18" t="s">
        <v>6607</v>
      </c>
      <c r="D4622" s="14" t="s">
        <v>8181</v>
      </c>
    </row>
    <row r="4623" spans="1:4" hidden="1" x14ac:dyDescent="0.25">
      <c r="A4623" s="12" t="s">
        <v>7972</v>
      </c>
      <c r="B4623" s="3"/>
      <c r="C4623" s="18" t="s">
        <v>6608</v>
      </c>
      <c r="D4623" s="14" t="s">
        <v>8181</v>
      </c>
    </row>
    <row r="4624" spans="1:4" hidden="1" x14ac:dyDescent="0.25">
      <c r="A4624" s="12" t="s">
        <v>7973</v>
      </c>
      <c r="B4624" s="3"/>
      <c r="C4624" s="18" t="s">
        <v>6609</v>
      </c>
      <c r="D4624" s="14" t="s">
        <v>8181</v>
      </c>
    </row>
    <row r="4625" spans="1:4" hidden="1" x14ac:dyDescent="0.25">
      <c r="A4625" s="12" t="s">
        <v>7974</v>
      </c>
      <c r="B4625" s="3"/>
      <c r="C4625" s="18" t="s">
        <v>6610</v>
      </c>
      <c r="D4625" s="14" t="s">
        <v>8181</v>
      </c>
    </row>
    <row r="4626" spans="1:4" hidden="1" x14ac:dyDescent="0.25">
      <c r="A4626" s="12" t="s">
        <v>7975</v>
      </c>
      <c r="B4626" s="3"/>
      <c r="C4626" s="18" t="s">
        <v>6611</v>
      </c>
      <c r="D4626" s="14" t="s">
        <v>8181</v>
      </c>
    </row>
    <row r="4627" spans="1:4" hidden="1" x14ac:dyDescent="0.25">
      <c r="A4627" s="12" t="s">
        <v>7976</v>
      </c>
      <c r="B4627" s="3"/>
      <c r="C4627" s="18" t="s">
        <v>6612</v>
      </c>
      <c r="D4627" s="14" t="s">
        <v>8181</v>
      </c>
    </row>
    <row r="4628" spans="1:4" hidden="1" x14ac:dyDescent="0.25">
      <c r="A4628" s="12" t="s">
        <v>7977</v>
      </c>
      <c r="B4628" s="3"/>
      <c r="C4628" s="18" t="s">
        <v>6613</v>
      </c>
      <c r="D4628" s="14" t="s">
        <v>8181</v>
      </c>
    </row>
    <row r="4629" spans="1:4" hidden="1" x14ac:dyDescent="0.25">
      <c r="A4629" s="12" t="s">
        <v>7978</v>
      </c>
      <c r="B4629" s="3"/>
      <c r="C4629" s="18" t="s">
        <v>6614</v>
      </c>
      <c r="D4629" s="14" t="s">
        <v>8181</v>
      </c>
    </row>
    <row r="4630" spans="1:4" hidden="1" x14ac:dyDescent="0.25">
      <c r="A4630" s="12" t="s">
        <v>7979</v>
      </c>
      <c r="B4630" s="3"/>
      <c r="C4630" s="18" t="s">
        <v>6615</v>
      </c>
      <c r="D4630" s="14" t="s">
        <v>8181</v>
      </c>
    </row>
    <row r="4631" spans="1:4" hidden="1" x14ac:dyDescent="0.25">
      <c r="A4631" s="12" t="s">
        <v>7980</v>
      </c>
      <c r="B4631" s="3"/>
      <c r="C4631" s="18" t="s">
        <v>6616</v>
      </c>
      <c r="D4631" s="14" t="s">
        <v>8181</v>
      </c>
    </row>
    <row r="4632" spans="1:4" hidden="1" x14ac:dyDescent="0.25">
      <c r="A4632" s="12" t="s">
        <v>7981</v>
      </c>
      <c r="B4632" s="3"/>
      <c r="C4632" s="18" t="s">
        <v>6617</v>
      </c>
      <c r="D4632" s="14" t="s">
        <v>8181</v>
      </c>
    </row>
    <row r="4633" spans="1:4" hidden="1" x14ac:dyDescent="0.25">
      <c r="A4633" s="12" t="s">
        <v>7982</v>
      </c>
      <c r="B4633" s="3"/>
      <c r="C4633" s="18" t="s">
        <v>6618</v>
      </c>
      <c r="D4633" s="14" t="s">
        <v>8181</v>
      </c>
    </row>
    <row r="4634" spans="1:4" hidden="1" x14ac:dyDescent="0.25">
      <c r="A4634" s="12" t="s">
        <v>7983</v>
      </c>
      <c r="B4634" s="3"/>
      <c r="C4634" s="18" t="s">
        <v>6619</v>
      </c>
      <c r="D4634" s="14" t="s">
        <v>8181</v>
      </c>
    </row>
    <row r="4635" spans="1:4" hidden="1" x14ac:dyDescent="0.25">
      <c r="A4635" s="12" t="s">
        <v>7984</v>
      </c>
      <c r="B4635" s="3"/>
      <c r="C4635" s="18" t="s">
        <v>6620</v>
      </c>
      <c r="D4635" s="14" t="s">
        <v>8181</v>
      </c>
    </row>
    <row r="4636" spans="1:4" hidden="1" x14ac:dyDescent="0.25">
      <c r="A4636" s="12" t="s">
        <v>7985</v>
      </c>
      <c r="B4636" s="3"/>
      <c r="C4636" s="18" t="s">
        <v>6621</v>
      </c>
      <c r="D4636" s="14" t="s">
        <v>8181</v>
      </c>
    </row>
    <row r="4637" spans="1:4" hidden="1" x14ac:dyDescent="0.25">
      <c r="A4637" s="12" t="s">
        <v>7986</v>
      </c>
      <c r="B4637" s="3"/>
      <c r="C4637" s="18" t="s">
        <v>6622</v>
      </c>
      <c r="D4637" s="14" t="s">
        <v>8181</v>
      </c>
    </row>
    <row r="4638" spans="1:4" hidden="1" x14ac:dyDescent="0.25">
      <c r="A4638" s="12" t="s">
        <v>7987</v>
      </c>
      <c r="B4638" s="3"/>
      <c r="C4638" s="19" t="s">
        <v>6623</v>
      </c>
      <c r="D4638" s="14" t="s">
        <v>8181</v>
      </c>
    </row>
    <row r="4639" spans="1:4" hidden="1" x14ac:dyDescent="0.25">
      <c r="A4639" s="12" t="s">
        <v>7988</v>
      </c>
      <c r="B4639" s="3"/>
      <c r="C4639" s="19" t="s">
        <v>6624</v>
      </c>
      <c r="D4639" s="14" t="s">
        <v>8181</v>
      </c>
    </row>
    <row r="4640" spans="1:4" hidden="1" x14ac:dyDescent="0.25">
      <c r="A4640" s="12" t="s">
        <v>7989</v>
      </c>
      <c r="B4640" s="3"/>
      <c r="C4640" s="18" t="s">
        <v>6625</v>
      </c>
      <c r="D4640" s="14" t="s">
        <v>8181</v>
      </c>
    </row>
    <row r="4641" spans="1:4" hidden="1" x14ac:dyDescent="0.25">
      <c r="A4641" s="12" t="s">
        <v>7990</v>
      </c>
      <c r="B4641" s="3"/>
      <c r="C4641" s="18" t="s">
        <v>6626</v>
      </c>
      <c r="D4641" s="14" t="s">
        <v>8181</v>
      </c>
    </row>
    <row r="4642" spans="1:4" hidden="1" x14ac:dyDescent="0.25">
      <c r="A4642" s="12" t="s">
        <v>7991</v>
      </c>
      <c r="B4642" s="3"/>
      <c r="C4642" s="18" t="s">
        <v>6627</v>
      </c>
      <c r="D4642" s="14" t="s">
        <v>8181</v>
      </c>
    </row>
    <row r="4643" spans="1:4" hidden="1" x14ac:dyDescent="0.25">
      <c r="A4643" s="12" t="s">
        <v>7992</v>
      </c>
      <c r="B4643" s="3"/>
      <c r="C4643" s="18" t="s">
        <v>6628</v>
      </c>
      <c r="D4643" s="14" t="s">
        <v>8181</v>
      </c>
    </row>
    <row r="4644" spans="1:4" hidden="1" x14ac:dyDescent="0.25">
      <c r="A4644" s="12" t="s">
        <v>7993</v>
      </c>
      <c r="B4644" s="3"/>
      <c r="C4644" s="18" t="s">
        <v>6629</v>
      </c>
      <c r="D4644" s="14" t="s">
        <v>8181</v>
      </c>
    </row>
    <row r="4645" spans="1:4" hidden="1" x14ac:dyDescent="0.25">
      <c r="A4645" s="12" t="s">
        <v>7994</v>
      </c>
      <c r="B4645" s="3"/>
      <c r="C4645" s="18" t="s">
        <v>6630</v>
      </c>
      <c r="D4645" s="14" t="s">
        <v>8181</v>
      </c>
    </row>
    <row r="4646" spans="1:4" hidden="1" x14ac:dyDescent="0.25">
      <c r="A4646" s="12" t="s">
        <v>7995</v>
      </c>
      <c r="B4646" s="3"/>
      <c r="C4646" s="18" t="s">
        <v>6631</v>
      </c>
      <c r="D4646" s="14" t="s">
        <v>8181</v>
      </c>
    </row>
    <row r="4647" spans="1:4" hidden="1" x14ac:dyDescent="0.25">
      <c r="A4647" s="12" t="s">
        <v>7996</v>
      </c>
      <c r="B4647" s="3"/>
      <c r="C4647" s="18" t="s">
        <v>6632</v>
      </c>
      <c r="D4647" s="14" t="s">
        <v>8181</v>
      </c>
    </row>
    <row r="4648" spans="1:4" hidden="1" x14ac:dyDescent="0.25">
      <c r="A4648" s="12" t="s">
        <v>7997</v>
      </c>
      <c r="B4648" s="3"/>
      <c r="C4648" s="18" t="s">
        <v>6633</v>
      </c>
      <c r="D4648" s="14" t="s">
        <v>8181</v>
      </c>
    </row>
    <row r="4649" spans="1:4" hidden="1" x14ac:dyDescent="0.25">
      <c r="A4649" s="12" t="s">
        <v>7998</v>
      </c>
      <c r="B4649" s="3"/>
      <c r="C4649" s="18" t="s">
        <v>6634</v>
      </c>
      <c r="D4649" s="14" t="s">
        <v>8181</v>
      </c>
    </row>
    <row r="4650" spans="1:4" hidden="1" x14ac:dyDescent="0.25">
      <c r="A4650" s="12" t="s">
        <v>7999</v>
      </c>
      <c r="B4650" s="3"/>
      <c r="C4650" s="18" t="s">
        <v>6635</v>
      </c>
      <c r="D4650" s="14" t="s">
        <v>8181</v>
      </c>
    </row>
    <row r="4651" spans="1:4" hidden="1" x14ac:dyDescent="0.25">
      <c r="A4651" s="12" t="s">
        <v>8000</v>
      </c>
      <c r="B4651" s="3"/>
      <c r="C4651" s="18" t="s">
        <v>6636</v>
      </c>
      <c r="D4651" s="14" t="s">
        <v>8181</v>
      </c>
    </row>
    <row r="4652" spans="1:4" hidden="1" x14ac:dyDescent="0.25">
      <c r="A4652" s="12" t="s">
        <v>8001</v>
      </c>
      <c r="B4652" s="3"/>
      <c r="C4652" s="18" t="s">
        <v>6637</v>
      </c>
      <c r="D4652" s="14" t="s">
        <v>8181</v>
      </c>
    </row>
    <row r="4653" spans="1:4" hidden="1" x14ac:dyDescent="0.25">
      <c r="A4653" s="12" t="s">
        <v>8002</v>
      </c>
      <c r="B4653" s="3"/>
      <c r="C4653" s="18" t="s">
        <v>6638</v>
      </c>
      <c r="D4653" s="14" t="s">
        <v>8181</v>
      </c>
    </row>
    <row r="4654" spans="1:4" hidden="1" x14ac:dyDescent="0.25">
      <c r="A4654" s="12" t="s">
        <v>8003</v>
      </c>
      <c r="B4654" s="3"/>
      <c r="C4654" s="18" t="s">
        <v>6639</v>
      </c>
      <c r="D4654" s="14" t="s">
        <v>8181</v>
      </c>
    </row>
    <row r="4655" spans="1:4" hidden="1" x14ac:dyDescent="0.25">
      <c r="A4655" s="12" t="s">
        <v>8004</v>
      </c>
      <c r="B4655" s="3"/>
      <c r="C4655" s="18" t="s">
        <v>6640</v>
      </c>
      <c r="D4655" s="14" t="s">
        <v>8181</v>
      </c>
    </row>
    <row r="4656" spans="1:4" hidden="1" x14ac:dyDescent="0.25">
      <c r="A4656" s="12" t="s">
        <v>8005</v>
      </c>
      <c r="B4656" s="3"/>
      <c r="C4656" s="18" t="s">
        <v>6641</v>
      </c>
      <c r="D4656" s="14" t="s">
        <v>8181</v>
      </c>
    </row>
    <row r="4657" spans="1:4" hidden="1" x14ac:dyDescent="0.25">
      <c r="A4657" s="12" t="s">
        <v>8006</v>
      </c>
      <c r="B4657" s="3"/>
      <c r="C4657" s="18" t="s">
        <v>6642</v>
      </c>
      <c r="D4657" s="14" t="s">
        <v>8181</v>
      </c>
    </row>
    <row r="4658" spans="1:4" hidden="1" x14ac:dyDescent="0.25">
      <c r="A4658" s="12" t="s">
        <v>8007</v>
      </c>
      <c r="B4658" s="3"/>
      <c r="C4658" s="18" t="s">
        <v>6643</v>
      </c>
      <c r="D4658" s="14" t="s">
        <v>8181</v>
      </c>
    </row>
    <row r="4659" spans="1:4" hidden="1" x14ac:dyDescent="0.25">
      <c r="A4659" s="12" t="s">
        <v>8008</v>
      </c>
      <c r="B4659" s="3"/>
      <c r="C4659" s="18" t="s">
        <v>6644</v>
      </c>
      <c r="D4659" s="14" t="s">
        <v>8181</v>
      </c>
    </row>
    <row r="4660" spans="1:4" hidden="1" x14ac:dyDescent="0.25">
      <c r="A4660" s="12" t="s">
        <v>8009</v>
      </c>
      <c r="B4660" s="3"/>
      <c r="C4660" s="18" t="s">
        <v>6645</v>
      </c>
      <c r="D4660" s="14" t="s">
        <v>8181</v>
      </c>
    </row>
    <row r="4661" spans="1:4" hidden="1" x14ac:dyDescent="0.25">
      <c r="A4661" s="12" t="s">
        <v>8010</v>
      </c>
      <c r="B4661" s="3"/>
      <c r="C4661" s="18" t="s">
        <v>6646</v>
      </c>
      <c r="D4661" s="14" t="s">
        <v>8181</v>
      </c>
    </row>
    <row r="4662" spans="1:4" hidden="1" x14ac:dyDescent="0.25">
      <c r="A4662" s="12" t="s">
        <v>8011</v>
      </c>
      <c r="B4662" s="3"/>
      <c r="C4662" s="18" t="s">
        <v>6647</v>
      </c>
      <c r="D4662" s="14" t="s">
        <v>8181</v>
      </c>
    </row>
    <row r="4663" spans="1:4" hidden="1" x14ac:dyDescent="0.25">
      <c r="A4663" s="12" t="s">
        <v>8012</v>
      </c>
      <c r="B4663" s="3"/>
      <c r="C4663" s="18" t="s">
        <v>6648</v>
      </c>
      <c r="D4663" s="14" t="s">
        <v>8181</v>
      </c>
    </row>
    <row r="4664" spans="1:4" hidden="1" x14ac:dyDescent="0.25">
      <c r="A4664" s="12" t="s">
        <v>8013</v>
      </c>
      <c r="B4664" s="3"/>
      <c r="C4664" s="18" t="s">
        <v>6649</v>
      </c>
      <c r="D4664" s="14" t="s">
        <v>8181</v>
      </c>
    </row>
    <row r="4665" spans="1:4" hidden="1" x14ac:dyDescent="0.25">
      <c r="A4665" s="12" t="s">
        <v>8014</v>
      </c>
      <c r="B4665" s="3"/>
      <c r="C4665" s="18" t="s">
        <v>6650</v>
      </c>
      <c r="D4665" s="14" t="s">
        <v>8181</v>
      </c>
    </row>
    <row r="4666" spans="1:4" hidden="1" x14ac:dyDescent="0.25">
      <c r="A4666" s="12" t="s">
        <v>8015</v>
      </c>
      <c r="B4666" s="3"/>
      <c r="C4666" s="18" t="s">
        <v>6651</v>
      </c>
      <c r="D4666" s="14" t="s">
        <v>8181</v>
      </c>
    </row>
    <row r="4667" spans="1:4" hidden="1" x14ac:dyDescent="0.25">
      <c r="A4667" s="12" t="s">
        <v>8016</v>
      </c>
      <c r="B4667" s="3"/>
      <c r="C4667" s="18" t="s">
        <v>6652</v>
      </c>
      <c r="D4667" s="14" t="s">
        <v>8181</v>
      </c>
    </row>
    <row r="4668" spans="1:4" hidden="1" x14ac:dyDescent="0.25">
      <c r="A4668" s="12" t="s">
        <v>8017</v>
      </c>
      <c r="B4668" s="3"/>
      <c r="C4668" s="18" t="s">
        <v>6653</v>
      </c>
      <c r="D4668" s="14" t="s">
        <v>8181</v>
      </c>
    </row>
    <row r="4669" spans="1:4" hidden="1" x14ac:dyDescent="0.25">
      <c r="A4669" s="12" t="s">
        <v>8018</v>
      </c>
      <c r="B4669" s="3"/>
      <c r="C4669" s="18" t="s">
        <v>6654</v>
      </c>
      <c r="D4669" s="14" t="s">
        <v>8181</v>
      </c>
    </row>
    <row r="4670" spans="1:4" hidden="1" x14ac:dyDescent="0.25">
      <c r="A4670" s="12" t="s">
        <v>8019</v>
      </c>
      <c r="B4670" s="3"/>
      <c r="C4670" s="18" t="s">
        <v>6655</v>
      </c>
      <c r="D4670" s="14" t="s">
        <v>8181</v>
      </c>
    </row>
    <row r="4671" spans="1:4" hidden="1" x14ac:dyDescent="0.25">
      <c r="A4671" s="12" t="s">
        <v>8020</v>
      </c>
      <c r="B4671" s="3"/>
      <c r="C4671" s="18" t="s">
        <v>6656</v>
      </c>
      <c r="D4671" s="14" t="s">
        <v>8181</v>
      </c>
    </row>
    <row r="4672" spans="1:4" hidden="1" x14ac:dyDescent="0.25">
      <c r="A4672" s="12" t="s">
        <v>8021</v>
      </c>
      <c r="B4672" s="3"/>
      <c r="C4672" s="18" t="s">
        <v>6657</v>
      </c>
      <c r="D4672" s="14" t="s">
        <v>8181</v>
      </c>
    </row>
    <row r="4673" spans="1:4" hidden="1" x14ac:dyDescent="0.25">
      <c r="A4673" s="12" t="s">
        <v>8022</v>
      </c>
      <c r="B4673" s="3"/>
      <c r="C4673" s="18" t="s">
        <v>6658</v>
      </c>
      <c r="D4673" s="14" t="s">
        <v>8181</v>
      </c>
    </row>
    <row r="4674" spans="1:4" hidden="1" x14ac:dyDescent="0.25">
      <c r="A4674" s="12" t="s">
        <v>8023</v>
      </c>
      <c r="B4674" s="3"/>
      <c r="C4674" s="18" t="s">
        <v>6659</v>
      </c>
      <c r="D4674" s="14" t="s">
        <v>8181</v>
      </c>
    </row>
    <row r="4675" spans="1:4" hidden="1" x14ac:dyDescent="0.25">
      <c r="A4675" s="12" t="s">
        <v>8024</v>
      </c>
      <c r="B4675" s="3"/>
      <c r="C4675" s="19" t="s">
        <v>6660</v>
      </c>
      <c r="D4675" s="14" t="s">
        <v>8181</v>
      </c>
    </row>
    <row r="4676" spans="1:4" hidden="1" x14ac:dyDescent="0.25">
      <c r="A4676" s="12" t="s">
        <v>8025</v>
      </c>
      <c r="B4676" s="3"/>
      <c r="C4676" s="19" t="s">
        <v>6661</v>
      </c>
      <c r="D4676" s="14" t="s">
        <v>8181</v>
      </c>
    </row>
    <row r="4677" spans="1:4" hidden="1" x14ac:dyDescent="0.25">
      <c r="A4677" s="12" t="s">
        <v>8026</v>
      </c>
      <c r="B4677" s="3"/>
      <c r="C4677" s="18" t="s">
        <v>6662</v>
      </c>
      <c r="D4677" s="14" t="s">
        <v>8181</v>
      </c>
    </row>
    <row r="4678" spans="1:4" hidden="1" x14ac:dyDescent="0.25">
      <c r="A4678" s="12" t="s">
        <v>8027</v>
      </c>
      <c r="B4678" s="3"/>
      <c r="C4678" s="18" t="s">
        <v>6663</v>
      </c>
      <c r="D4678" s="14" t="s">
        <v>8181</v>
      </c>
    </row>
    <row r="4679" spans="1:4" hidden="1" x14ac:dyDescent="0.25">
      <c r="A4679" s="12" t="s">
        <v>8028</v>
      </c>
      <c r="B4679" s="3"/>
      <c r="C4679" s="18" t="s">
        <v>6664</v>
      </c>
      <c r="D4679" s="14" t="s">
        <v>8181</v>
      </c>
    </row>
    <row r="4680" spans="1:4" hidden="1" x14ac:dyDescent="0.25">
      <c r="A4680" s="17" t="s">
        <v>8029</v>
      </c>
      <c r="B4680" s="16"/>
      <c r="C4680" s="18" t="s">
        <v>6665</v>
      </c>
      <c r="D4680" s="14" t="s">
        <v>8181</v>
      </c>
    </row>
    <row r="4681" spans="1:4" hidden="1" x14ac:dyDescent="0.25">
      <c r="A4681" s="12" t="s">
        <v>8185</v>
      </c>
      <c r="B4681" s="3"/>
      <c r="C4681" s="22" t="s">
        <v>8410</v>
      </c>
      <c r="D4681" s="14" t="s">
        <v>8635</v>
      </c>
    </row>
    <row r="4682" spans="1:4" hidden="1" x14ac:dyDescent="0.25">
      <c r="A4682" s="12" t="s">
        <v>8186</v>
      </c>
      <c r="B4682" s="3"/>
      <c r="C4682" s="22" t="s">
        <v>8411</v>
      </c>
      <c r="D4682" s="14" t="s">
        <v>8635</v>
      </c>
    </row>
    <row r="4683" spans="1:4" hidden="1" x14ac:dyDescent="0.25">
      <c r="A4683" s="12" t="s">
        <v>8187</v>
      </c>
      <c r="B4683" s="3"/>
      <c r="C4683" s="22" t="s">
        <v>8412</v>
      </c>
      <c r="D4683" s="14" t="s">
        <v>8635</v>
      </c>
    </row>
    <row r="4684" spans="1:4" hidden="1" x14ac:dyDescent="0.25">
      <c r="A4684" s="12" t="s">
        <v>8188</v>
      </c>
      <c r="B4684" s="3"/>
      <c r="C4684" s="22" t="s">
        <v>8413</v>
      </c>
      <c r="D4684" s="14" t="s">
        <v>8635</v>
      </c>
    </row>
    <row r="4685" spans="1:4" hidden="1" x14ac:dyDescent="0.25">
      <c r="A4685" s="12" t="s">
        <v>8189</v>
      </c>
      <c r="B4685" s="3"/>
      <c r="C4685" s="22" t="s">
        <v>8414</v>
      </c>
      <c r="D4685" s="14" t="s">
        <v>8635</v>
      </c>
    </row>
    <row r="4686" spans="1:4" hidden="1" x14ac:dyDescent="0.25">
      <c r="A4686" s="12" t="s">
        <v>8190</v>
      </c>
      <c r="B4686" s="3"/>
      <c r="C4686" s="22" t="s">
        <v>8415</v>
      </c>
      <c r="D4686" s="14" t="s">
        <v>8635</v>
      </c>
    </row>
    <row r="4687" spans="1:4" hidden="1" x14ac:dyDescent="0.25">
      <c r="A4687" s="12" t="s">
        <v>8191</v>
      </c>
      <c r="B4687" s="3"/>
      <c r="C4687" s="22" t="s">
        <v>8416</v>
      </c>
      <c r="D4687" s="14" t="s">
        <v>8635</v>
      </c>
    </row>
    <row r="4688" spans="1:4" hidden="1" x14ac:dyDescent="0.25">
      <c r="A4688" s="12" t="s">
        <v>8192</v>
      </c>
      <c r="B4688" s="3"/>
      <c r="C4688" s="22" t="s">
        <v>8417</v>
      </c>
      <c r="D4688" s="14" t="s">
        <v>8635</v>
      </c>
    </row>
    <row r="4689" spans="1:4" hidden="1" x14ac:dyDescent="0.25">
      <c r="A4689" s="12" t="s">
        <v>8193</v>
      </c>
      <c r="B4689" s="3"/>
      <c r="C4689" s="22" t="s">
        <v>8418</v>
      </c>
      <c r="D4689" s="14" t="s">
        <v>8635</v>
      </c>
    </row>
    <row r="4690" spans="1:4" hidden="1" x14ac:dyDescent="0.25">
      <c r="A4690" s="12" t="s">
        <v>8194</v>
      </c>
      <c r="B4690" s="3"/>
      <c r="C4690" s="22" t="s">
        <v>8419</v>
      </c>
      <c r="D4690" s="14" t="s">
        <v>8635</v>
      </c>
    </row>
    <row r="4691" spans="1:4" hidden="1" x14ac:dyDescent="0.25">
      <c r="A4691" s="12" t="s">
        <v>8195</v>
      </c>
      <c r="B4691" s="3"/>
      <c r="C4691" s="22" t="s">
        <v>8420</v>
      </c>
      <c r="D4691" s="14" t="s">
        <v>8635</v>
      </c>
    </row>
    <row r="4692" spans="1:4" hidden="1" x14ac:dyDescent="0.25">
      <c r="A4692" s="12" t="s">
        <v>8196</v>
      </c>
      <c r="B4692" s="3"/>
      <c r="C4692" s="22" t="s">
        <v>8421</v>
      </c>
      <c r="D4692" s="14" t="s">
        <v>8635</v>
      </c>
    </row>
    <row r="4693" spans="1:4" hidden="1" x14ac:dyDescent="0.25">
      <c r="A4693" s="12" t="s">
        <v>8197</v>
      </c>
      <c r="B4693" s="3"/>
      <c r="C4693" s="22" t="s">
        <v>8422</v>
      </c>
      <c r="D4693" s="14" t="s">
        <v>8635</v>
      </c>
    </row>
    <row r="4694" spans="1:4" hidden="1" x14ac:dyDescent="0.25">
      <c r="A4694" s="12" t="s">
        <v>8198</v>
      </c>
      <c r="B4694" s="3"/>
      <c r="C4694" s="22" t="s">
        <v>8423</v>
      </c>
      <c r="D4694" s="14" t="s">
        <v>8635</v>
      </c>
    </row>
    <row r="4695" spans="1:4" hidden="1" x14ac:dyDescent="0.25">
      <c r="A4695" s="12" t="s">
        <v>8199</v>
      </c>
      <c r="B4695" s="3"/>
      <c r="C4695" s="22" t="s">
        <v>8424</v>
      </c>
      <c r="D4695" s="14" t="s">
        <v>8635</v>
      </c>
    </row>
    <row r="4696" spans="1:4" hidden="1" x14ac:dyDescent="0.25">
      <c r="A4696" s="12" t="s">
        <v>8200</v>
      </c>
      <c r="B4696" s="3"/>
      <c r="C4696" s="22" t="s">
        <v>8425</v>
      </c>
      <c r="D4696" s="14" t="s">
        <v>8635</v>
      </c>
    </row>
    <row r="4697" spans="1:4" hidden="1" x14ac:dyDescent="0.25">
      <c r="A4697" s="12" t="s">
        <v>8201</v>
      </c>
      <c r="B4697" s="3"/>
      <c r="C4697" s="22" t="s">
        <v>8426</v>
      </c>
      <c r="D4697" s="14" t="s">
        <v>8635</v>
      </c>
    </row>
    <row r="4698" spans="1:4" hidden="1" x14ac:dyDescent="0.25">
      <c r="A4698" s="12" t="s">
        <v>8202</v>
      </c>
      <c r="B4698" s="3"/>
      <c r="C4698" s="22" t="s">
        <v>8427</v>
      </c>
      <c r="D4698" s="14" t="s">
        <v>8635</v>
      </c>
    </row>
    <row r="4699" spans="1:4" hidden="1" x14ac:dyDescent="0.25">
      <c r="A4699" s="12" t="s">
        <v>8203</v>
      </c>
      <c r="B4699" s="3"/>
      <c r="C4699" s="22" t="s">
        <v>8428</v>
      </c>
      <c r="D4699" s="14" t="s">
        <v>8635</v>
      </c>
    </row>
    <row r="4700" spans="1:4" hidden="1" x14ac:dyDescent="0.25">
      <c r="A4700" s="12" t="s">
        <v>8204</v>
      </c>
      <c r="B4700" s="3"/>
      <c r="C4700" s="22" t="s">
        <v>8429</v>
      </c>
      <c r="D4700" s="14" t="s">
        <v>8635</v>
      </c>
    </row>
    <row r="4701" spans="1:4" hidden="1" x14ac:dyDescent="0.25">
      <c r="A4701" s="12" t="s">
        <v>8205</v>
      </c>
      <c r="B4701" s="3"/>
      <c r="C4701" s="22" t="s">
        <v>8430</v>
      </c>
      <c r="D4701" s="14" t="s">
        <v>8635</v>
      </c>
    </row>
    <row r="4702" spans="1:4" hidden="1" x14ac:dyDescent="0.25">
      <c r="A4702" s="12" t="s">
        <v>8206</v>
      </c>
      <c r="B4702" s="3"/>
      <c r="C4702" s="22" t="s">
        <v>8431</v>
      </c>
      <c r="D4702" s="14" t="s">
        <v>8635</v>
      </c>
    </row>
    <row r="4703" spans="1:4" hidden="1" x14ac:dyDescent="0.25">
      <c r="A4703" s="12" t="s">
        <v>8207</v>
      </c>
      <c r="B4703" s="3"/>
      <c r="C4703" s="22" t="s">
        <v>8432</v>
      </c>
      <c r="D4703" s="14" t="s">
        <v>8635</v>
      </c>
    </row>
    <row r="4704" spans="1:4" hidden="1" x14ac:dyDescent="0.25">
      <c r="A4704" s="12" t="s">
        <v>8208</v>
      </c>
      <c r="B4704" s="3"/>
      <c r="C4704" s="22" t="s">
        <v>8433</v>
      </c>
      <c r="D4704" s="14" t="s">
        <v>8635</v>
      </c>
    </row>
    <row r="4705" spans="1:4" hidden="1" x14ac:dyDescent="0.25">
      <c r="A4705" s="12" t="s">
        <v>8209</v>
      </c>
      <c r="B4705" s="3"/>
      <c r="C4705" s="22" t="s">
        <v>8434</v>
      </c>
      <c r="D4705" s="14" t="s">
        <v>8635</v>
      </c>
    </row>
    <row r="4706" spans="1:4" hidden="1" x14ac:dyDescent="0.25">
      <c r="A4706" s="12" t="s">
        <v>8210</v>
      </c>
      <c r="B4706" s="3"/>
      <c r="C4706" s="22" t="s">
        <v>8435</v>
      </c>
      <c r="D4706" s="14" t="s">
        <v>8635</v>
      </c>
    </row>
    <row r="4707" spans="1:4" hidden="1" x14ac:dyDescent="0.25">
      <c r="A4707" s="12" t="s">
        <v>8211</v>
      </c>
      <c r="B4707" s="3"/>
      <c r="C4707" s="22" t="s">
        <v>8436</v>
      </c>
      <c r="D4707" s="14" t="s">
        <v>8635</v>
      </c>
    </row>
    <row r="4708" spans="1:4" hidden="1" x14ac:dyDescent="0.25">
      <c r="A4708" s="12" t="s">
        <v>8212</v>
      </c>
      <c r="B4708" s="3"/>
      <c r="C4708" s="22" t="s">
        <v>8437</v>
      </c>
      <c r="D4708" s="14" t="s">
        <v>8635</v>
      </c>
    </row>
    <row r="4709" spans="1:4" hidden="1" x14ac:dyDescent="0.25">
      <c r="A4709" s="12" t="s">
        <v>8213</v>
      </c>
      <c r="B4709" s="3"/>
      <c r="C4709" s="22" t="s">
        <v>8438</v>
      </c>
      <c r="D4709" s="14" t="s">
        <v>8635</v>
      </c>
    </row>
    <row r="4710" spans="1:4" hidden="1" x14ac:dyDescent="0.25">
      <c r="A4710" s="12" t="s">
        <v>8214</v>
      </c>
      <c r="B4710" s="3"/>
      <c r="C4710" s="22" t="s">
        <v>8439</v>
      </c>
      <c r="D4710" s="14" t="s">
        <v>8635</v>
      </c>
    </row>
    <row r="4711" spans="1:4" hidden="1" x14ac:dyDescent="0.25">
      <c r="A4711" s="12" t="s">
        <v>8215</v>
      </c>
      <c r="B4711" s="3"/>
      <c r="C4711" s="22" t="s">
        <v>8440</v>
      </c>
      <c r="D4711" s="14" t="s">
        <v>8635</v>
      </c>
    </row>
    <row r="4712" spans="1:4" hidden="1" x14ac:dyDescent="0.25">
      <c r="A4712" s="12" t="s">
        <v>8216</v>
      </c>
      <c r="B4712" s="3"/>
      <c r="C4712" s="22" t="s">
        <v>8441</v>
      </c>
      <c r="D4712" s="14" t="s">
        <v>8635</v>
      </c>
    </row>
    <row r="4713" spans="1:4" hidden="1" x14ac:dyDescent="0.25">
      <c r="A4713" s="12" t="s">
        <v>8217</v>
      </c>
      <c r="B4713" s="3"/>
      <c r="C4713" s="22" t="s">
        <v>8442</v>
      </c>
      <c r="D4713" s="14" t="s">
        <v>8635</v>
      </c>
    </row>
    <row r="4714" spans="1:4" hidden="1" x14ac:dyDescent="0.25">
      <c r="A4714" s="12" t="s">
        <v>8218</v>
      </c>
      <c r="B4714" s="3"/>
      <c r="C4714" s="22" t="s">
        <v>8443</v>
      </c>
      <c r="D4714" s="14" t="s">
        <v>8635</v>
      </c>
    </row>
    <row r="4715" spans="1:4" hidden="1" x14ac:dyDescent="0.25">
      <c r="A4715" s="12" t="s">
        <v>8219</v>
      </c>
      <c r="B4715" s="3"/>
      <c r="C4715" s="22" t="s">
        <v>8444</v>
      </c>
      <c r="D4715" s="14" t="s">
        <v>8635</v>
      </c>
    </row>
    <row r="4716" spans="1:4" hidden="1" x14ac:dyDescent="0.25">
      <c r="A4716" s="12" t="s">
        <v>8220</v>
      </c>
      <c r="B4716" s="3"/>
      <c r="C4716" s="22" t="s">
        <v>8445</v>
      </c>
      <c r="D4716" s="14" t="s">
        <v>8635</v>
      </c>
    </row>
    <row r="4717" spans="1:4" hidden="1" x14ac:dyDescent="0.25">
      <c r="A4717" s="12" t="s">
        <v>8221</v>
      </c>
      <c r="B4717" s="3"/>
      <c r="C4717" s="22" t="s">
        <v>8446</v>
      </c>
      <c r="D4717" s="14" t="s">
        <v>8635</v>
      </c>
    </row>
    <row r="4718" spans="1:4" hidden="1" x14ac:dyDescent="0.25">
      <c r="A4718" s="12" t="s">
        <v>8222</v>
      </c>
      <c r="B4718" s="3"/>
      <c r="C4718" s="22" t="s">
        <v>8447</v>
      </c>
      <c r="D4718" s="14" t="s">
        <v>8635</v>
      </c>
    </row>
    <row r="4719" spans="1:4" hidden="1" x14ac:dyDescent="0.25">
      <c r="A4719" s="12" t="s">
        <v>8223</v>
      </c>
      <c r="B4719" s="3"/>
      <c r="C4719" s="22" t="s">
        <v>8448</v>
      </c>
      <c r="D4719" s="14" t="s">
        <v>8635</v>
      </c>
    </row>
    <row r="4720" spans="1:4" hidden="1" x14ac:dyDescent="0.25">
      <c r="A4720" s="12" t="s">
        <v>8224</v>
      </c>
      <c r="B4720" s="3"/>
      <c r="C4720" s="22" t="s">
        <v>8449</v>
      </c>
      <c r="D4720" s="14" t="s">
        <v>8635</v>
      </c>
    </row>
    <row r="4721" spans="1:4" hidden="1" x14ac:dyDescent="0.25">
      <c r="A4721" s="12" t="s">
        <v>8225</v>
      </c>
      <c r="B4721" s="3"/>
      <c r="C4721" s="22" t="s">
        <v>8450</v>
      </c>
      <c r="D4721" s="14" t="s">
        <v>8635</v>
      </c>
    </row>
    <row r="4722" spans="1:4" hidden="1" x14ac:dyDescent="0.25">
      <c r="A4722" s="12" t="s">
        <v>8226</v>
      </c>
      <c r="B4722" s="3"/>
      <c r="C4722" s="22" t="s">
        <v>8451</v>
      </c>
      <c r="D4722" s="14" t="s">
        <v>8635</v>
      </c>
    </row>
    <row r="4723" spans="1:4" hidden="1" x14ac:dyDescent="0.25">
      <c r="A4723" s="12" t="s">
        <v>8227</v>
      </c>
      <c r="B4723" s="3"/>
      <c r="C4723" s="22" t="s">
        <v>8452</v>
      </c>
      <c r="D4723" s="14" t="s">
        <v>8635</v>
      </c>
    </row>
    <row r="4724" spans="1:4" hidden="1" x14ac:dyDescent="0.25">
      <c r="A4724" s="12" t="s">
        <v>8228</v>
      </c>
      <c r="B4724" s="3"/>
      <c r="C4724" s="22" t="s">
        <v>8453</v>
      </c>
      <c r="D4724" s="14" t="s">
        <v>8635</v>
      </c>
    </row>
    <row r="4725" spans="1:4" hidden="1" x14ac:dyDescent="0.25">
      <c r="A4725" s="12" t="s">
        <v>8229</v>
      </c>
      <c r="B4725" s="3"/>
      <c r="C4725" s="22" t="s">
        <v>8454</v>
      </c>
      <c r="D4725" s="14" t="s">
        <v>8635</v>
      </c>
    </row>
    <row r="4726" spans="1:4" hidden="1" x14ac:dyDescent="0.25">
      <c r="A4726" s="12" t="s">
        <v>8230</v>
      </c>
      <c r="B4726" s="3"/>
      <c r="C4726" s="22" t="s">
        <v>8455</v>
      </c>
      <c r="D4726" s="14" t="s">
        <v>8635</v>
      </c>
    </row>
    <row r="4727" spans="1:4" hidden="1" x14ac:dyDescent="0.25">
      <c r="A4727" s="12" t="s">
        <v>8231</v>
      </c>
      <c r="B4727" s="3"/>
      <c r="C4727" s="22" t="s">
        <v>8456</v>
      </c>
      <c r="D4727" s="14" t="s">
        <v>8635</v>
      </c>
    </row>
    <row r="4728" spans="1:4" hidden="1" x14ac:dyDescent="0.25">
      <c r="A4728" s="12" t="s">
        <v>8232</v>
      </c>
      <c r="B4728" s="3"/>
      <c r="C4728" s="22" t="s">
        <v>8457</v>
      </c>
      <c r="D4728" s="14" t="s">
        <v>8635</v>
      </c>
    </row>
    <row r="4729" spans="1:4" hidden="1" x14ac:dyDescent="0.25">
      <c r="A4729" s="12" t="s">
        <v>8233</v>
      </c>
      <c r="B4729" s="3"/>
      <c r="C4729" s="22" t="s">
        <v>8458</v>
      </c>
      <c r="D4729" s="14" t="s">
        <v>8635</v>
      </c>
    </row>
    <row r="4730" spans="1:4" hidden="1" x14ac:dyDescent="0.25">
      <c r="A4730" s="12" t="s">
        <v>8234</v>
      </c>
      <c r="B4730" s="3"/>
      <c r="C4730" s="22" t="s">
        <v>8459</v>
      </c>
      <c r="D4730" s="14" t="s">
        <v>8635</v>
      </c>
    </row>
    <row r="4731" spans="1:4" hidden="1" x14ac:dyDescent="0.25">
      <c r="A4731" s="12" t="s">
        <v>8235</v>
      </c>
      <c r="B4731" s="3"/>
      <c r="C4731" s="22" t="s">
        <v>8460</v>
      </c>
      <c r="D4731" s="14" t="s">
        <v>8635</v>
      </c>
    </row>
    <row r="4732" spans="1:4" hidden="1" x14ac:dyDescent="0.25">
      <c r="A4732" s="12" t="s">
        <v>8236</v>
      </c>
      <c r="B4732" s="3"/>
      <c r="C4732" s="22" t="s">
        <v>8461</v>
      </c>
      <c r="D4732" s="14" t="s">
        <v>8635</v>
      </c>
    </row>
    <row r="4733" spans="1:4" hidden="1" x14ac:dyDescent="0.25">
      <c r="A4733" s="12" t="s">
        <v>8237</v>
      </c>
      <c r="B4733" s="3"/>
      <c r="C4733" s="22" t="s">
        <v>8462</v>
      </c>
      <c r="D4733" s="14" t="s">
        <v>8635</v>
      </c>
    </row>
    <row r="4734" spans="1:4" hidden="1" x14ac:dyDescent="0.25">
      <c r="A4734" s="12" t="s">
        <v>8238</v>
      </c>
      <c r="B4734" s="3"/>
      <c r="C4734" s="22" t="s">
        <v>8463</v>
      </c>
      <c r="D4734" s="14" t="s">
        <v>8635</v>
      </c>
    </row>
    <row r="4735" spans="1:4" hidden="1" x14ac:dyDescent="0.25">
      <c r="A4735" s="12" t="s">
        <v>8239</v>
      </c>
      <c r="B4735" s="3"/>
      <c r="C4735" s="22" t="s">
        <v>8464</v>
      </c>
      <c r="D4735" s="14" t="s">
        <v>8635</v>
      </c>
    </row>
    <row r="4736" spans="1:4" hidden="1" x14ac:dyDescent="0.25">
      <c r="A4736" s="12" t="s">
        <v>8240</v>
      </c>
      <c r="B4736" s="3"/>
      <c r="C4736" s="22" t="s">
        <v>8465</v>
      </c>
      <c r="D4736" s="14" t="s">
        <v>8635</v>
      </c>
    </row>
    <row r="4737" spans="1:4" hidden="1" x14ac:dyDescent="0.25">
      <c r="A4737" s="12" t="s">
        <v>8241</v>
      </c>
      <c r="B4737" s="3"/>
      <c r="C4737" s="22" t="s">
        <v>8466</v>
      </c>
      <c r="D4737" s="14" t="s">
        <v>8635</v>
      </c>
    </row>
    <row r="4738" spans="1:4" hidden="1" x14ac:dyDescent="0.25">
      <c r="A4738" s="12" t="s">
        <v>8242</v>
      </c>
      <c r="B4738" s="3"/>
      <c r="C4738" s="22" t="s">
        <v>8467</v>
      </c>
      <c r="D4738" s="14" t="s">
        <v>8635</v>
      </c>
    </row>
    <row r="4739" spans="1:4" hidden="1" x14ac:dyDescent="0.25">
      <c r="A4739" s="12" t="s">
        <v>8243</v>
      </c>
      <c r="B4739" s="3"/>
      <c r="C4739" s="22" t="s">
        <v>8468</v>
      </c>
      <c r="D4739" s="14" t="s">
        <v>8635</v>
      </c>
    </row>
    <row r="4740" spans="1:4" hidden="1" x14ac:dyDescent="0.25">
      <c r="A4740" s="12" t="s">
        <v>8244</v>
      </c>
      <c r="B4740" s="3"/>
      <c r="C4740" s="22" t="s">
        <v>8469</v>
      </c>
      <c r="D4740" s="14" t="s">
        <v>8635</v>
      </c>
    </row>
    <row r="4741" spans="1:4" hidden="1" x14ac:dyDescent="0.25">
      <c r="A4741" s="12" t="s">
        <v>8245</v>
      </c>
      <c r="B4741" s="3"/>
      <c r="C4741" s="22" t="s">
        <v>8470</v>
      </c>
      <c r="D4741" s="14" t="s">
        <v>8635</v>
      </c>
    </row>
    <row r="4742" spans="1:4" hidden="1" x14ac:dyDescent="0.25">
      <c r="A4742" s="12" t="s">
        <v>8246</v>
      </c>
      <c r="B4742" s="3"/>
      <c r="C4742" s="22" t="s">
        <v>8471</v>
      </c>
      <c r="D4742" s="14" t="s">
        <v>8635</v>
      </c>
    </row>
    <row r="4743" spans="1:4" hidden="1" x14ac:dyDescent="0.25">
      <c r="A4743" s="12" t="s">
        <v>8247</v>
      </c>
      <c r="B4743" s="3"/>
      <c r="C4743" s="22" t="s">
        <v>8472</v>
      </c>
      <c r="D4743" s="14" t="s">
        <v>8635</v>
      </c>
    </row>
    <row r="4744" spans="1:4" hidden="1" x14ac:dyDescent="0.25">
      <c r="A4744" s="12" t="s">
        <v>8248</v>
      </c>
      <c r="B4744" s="3"/>
      <c r="C4744" s="22" t="s">
        <v>8473</v>
      </c>
      <c r="D4744" s="14" t="s">
        <v>8635</v>
      </c>
    </row>
    <row r="4745" spans="1:4" hidden="1" x14ac:dyDescent="0.25">
      <c r="A4745" s="12" t="s">
        <v>8249</v>
      </c>
      <c r="B4745" s="3"/>
      <c r="C4745" s="22" t="s">
        <v>8474</v>
      </c>
      <c r="D4745" s="14" t="s">
        <v>8635</v>
      </c>
    </row>
    <row r="4746" spans="1:4" hidden="1" x14ac:dyDescent="0.25">
      <c r="A4746" s="12" t="s">
        <v>8250</v>
      </c>
      <c r="B4746" s="3"/>
      <c r="C4746" s="22" t="s">
        <v>8475</v>
      </c>
      <c r="D4746" s="14" t="s">
        <v>8635</v>
      </c>
    </row>
    <row r="4747" spans="1:4" hidden="1" x14ac:dyDescent="0.25">
      <c r="A4747" s="12" t="s">
        <v>8251</v>
      </c>
      <c r="B4747" s="3"/>
      <c r="C4747" s="22" t="s">
        <v>8476</v>
      </c>
      <c r="D4747" s="14" t="s">
        <v>8635</v>
      </c>
    </row>
    <row r="4748" spans="1:4" hidden="1" x14ac:dyDescent="0.25">
      <c r="A4748" s="12" t="s">
        <v>8252</v>
      </c>
      <c r="B4748" s="3"/>
      <c r="C4748" s="22" t="s">
        <v>8477</v>
      </c>
      <c r="D4748" s="14" t="s">
        <v>8635</v>
      </c>
    </row>
    <row r="4749" spans="1:4" hidden="1" x14ac:dyDescent="0.25">
      <c r="A4749" s="12" t="s">
        <v>8253</v>
      </c>
      <c r="B4749" s="3"/>
      <c r="C4749" s="22" t="s">
        <v>8478</v>
      </c>
      <c r="D4749" s="14" t="s">
        <v>8635</v>
      </c>
    </row>
    <row r="4750" spans="1:4" hidden="1" x14ac:dyDescent="0.25">
      <c r="A4750" s="12" t="s">
        <v>8254</v>
      </c>
      <c r="B4750" s="3"/>
      <c r="C4750" s="22" t="s">
        <v>8479</v>
      </c>
      <c r="D4750" s="14" t="s">
        <v>8635</v>
      </c>
    </row>
    <row r="4751" spans="1:4" hidden="1" x14ac:dyDescent="0.25">
      <c r="A4751" s="12" t="s">
        <v>8255</v>
      </c>
      <c r="B4751" s="3"/>
      <c r="C4751" s="22" t="s">
        <v>8480</v>
      </c>
      <c r="D4751" s="14" t="s">
        <v>8635</v>
      </c>
    </row>
    <row r="4752" spans="1:4" hidden="1" x14ac:dyDescent="0.25">
      <c r="A4752" s="12" t="s">
        <v>8256</v>
      </c>
      <c r="B4752" s="3"/>
      <c r="C4752" s="22" t="s">
        <v>8481</v>
      </c>
      <c r="D4752" s="14" t="s">
        <v>8635</v>
      </c>
    </row>
    <row r="4753" spans="1:4" hidden="1" x14ac:dyDescent="0.25">
      <c r="A4753" s="12" t="s">
        <v>8257</v>
      </c>
      <c r="B4753" s="3"/>
      <c r="C4753" s="22" t="s">
        <v>8482</v>
      </c>
      <c r="D4753" s="14" t="s">
        <v>8635</v>
      </c>
    </row>
    <row r="4754" spans="1:4" hidden="1" x14ac:dyDescent="0.25">
      <c r="A4754" s="12" t="s">
        <v>8258</v>
      </c>
      <c r="B4754" s="3"/>
      <c r="C4754" s="22" t="s">
        <v>8483</v>
      </c>
      <c r="D4754" s="14" t="s">
        <v>8635</v>
      </c>
    </row>
    <row r="4755" spans="1:4" hidden="1" x14ac:dyDescent="0.25">
      <c r="A4755" s="12" t="s">
        <v>8259</v>
      </c>
      <c r="B4755" s="3"/>
      <c r="C4755" s="22" t="s">
        <v>8484</v>
      </c>
      <c r="D4755" s="14" t="s">
        <v>8635</v>
      </c>
    </row>
    <row r="4756" spans="1:4" hidden="1" x14ac:dyDescent="0.25">
      <c r="A4756" s="12" t="s">
        <v>8260</v>
      </c>
      <c r="B4756" s="3"/>
      <c r="C4756" s="22" t="s">
        <v>8485</v>
      </c>
      <c r="D4756" s="14" t="s">
        <v>8635</v>
      </c>
    </row>
    <row r="4757" spans="1:4" hidden="1" x14ac:dyDescent="0.25">
      <c r="A4757" s="12" t="s">
        <v>8261</v>
      </c>
      <c r="B4757" s="3"/>
      <c r="C4757" s="22" t="s">
        <v>8486</v>
      </c>
      <c r="D4757" s="14" t="s">
        <v>8635</v>
      </c>
    </row>
    <row r="4758" spans="1:4" hidden="1" x14ac:dyDescent="0.25">
      <c r="A4758" s="12" t="s">
        <v>8262</v>
      </c>
      <c r="B4758" s="3"/>
      <c r="C4758" s="22" t="s">
        <v>8487</v>
      </c>
      <c r="D4758" s="14" t="s">
        <v>8635</v>
      </c>
    </row>
    <row r="4759" spans="1:4" hidden="1" x14ac:dyDescent="0.25">
      <c r="A4759" s="12" t="s">
        <v>8263</v>
      </c>
      <c r="B4759" s="3"/>
      <c r="C4759" s="22" t="s">
        <v>8488</v>
      </c>
      <c r="D4759" s="14" t="s">
        <v>8635</v>
      </c>
    </row>
    <row r="4760" spans="1:4" hidden="1" x14ac:dyDescent="0.25">
      <c r="A4760" s="12" t="s">
        <v>8264</v>
      </c>
      <c r="B4760" s="3"/>
      <c r="C4760" s="22" t="s">
        <v>8489</v>
      </c>
      <c r="D4760" s="14" t="s">
        <v>8635</v>
      </c>
    </row>
    <row r="4761" spans="1:4" hidden="1" x14ac:dyDescent="0.25">
      <c r="A4761" s="12" t="s">
        <v>8265</v>
      </c>
      <c r="B4761" s="3"/>
      <c r="C4761" s="22" t="s">
        <v>8490</v>
      </c>
      <c r="D4761" s="14" t="s">
        <v>8635</v>
      </c>
    </row>
    <row r="4762" spans="1:4" hidden="1" x14ac:dyDescent="0.25">
      <c r="A4762" s="12" t="s">
        <v>8266</v>
      </c>
      <c r="B4762" s="3"/>
      <c r="C4762" s="22" t="s">
        <v>8491</v>
      </c>
      <c r="D4762" s="14" t="s">
        <v>8635</v>
      </c>
    </row>
    <row r="4763" spans="1:4" hidden="1" x14ac:dyDescent="0.25">
      <c r="A4763" s="12" t="s">
        <v>8267</v>
      </c>
      <c r="B4763" s="3"/>
      <c r="C4763" s="22" t="s">
        <v>8492</v>
      </c>
      <c r="D4763" s="14" t="s">
        <v>8635</v>
      </c>
    </row>
    <row r="4764" spans="1:4" hidden="1" x14ac:dyDescent="0.25">
      <c r="A4764" s="12" t="s">
        <v>8268</v>
      </c>
      <c r="B4764" s="3"/>
      <c r="C4764" s="22" t="s">
        <v>8493</v>
      </c>
      <c r="D4764" s="14" t="s">
        <v>8635</v>
      </c>
    </row>
    <row r="4765" spans="1:4" hidden="1" x14ac:dyDescent="0.25">
      <c r="A4765" s="12" t="s">
        <v>8269</v>
      </c>
      <c r="B4765" s="3"/>
      <c r="C4765" s="22" t="s">
        <v>8494</v>
      </c>
      <c r="D4765" s="14" t="s">
        <v>8635</v>
      </c>
    </row>
    <row r="4766" spans="1:4" hidden="1" x14ac:dyDescent="0.25">
      <c r="A4766" s="12" t="s">
        <v>8270</v>
      </c>
      <c r="B4766" s="3"/>
      <c r="C4766" s="22" t="s">
        <v>8495</v>
      </c>
      <c r="D4766" s="14" t="s">
        <v>8635</v>
      </c>
    </row>
    <row r="4767" spans="1:4" hidden="1" x14ac:dyDescent="0.25">
      <c r="A4767" s="12" t="s">
        <v>8271</v>
      </c>
      <c r="B4767" s="3"/>
      <c r="C4767" s="22" t="s">
        <v>8496</v>
      </c>
      <c r="D4767" s="14" t="s">
        <v>8635</v>
      </c>
    </row>
    <row r="4768" spans="1:4" hidden="1" x14ac:dyDescent="0.25">
      <c r="A4768" s="12" t="s">
        <v>8272</v>
      </c>
      <c r="B4768" s="3"/>
      <c r="C4768" s="22" t="s">
        <v>8497</v>
      </c>
      <c r="D4768" s="14" t="s">
        <v>8635</v>
      </c>
    </row>
    <row r="4769" spans="1:4" hidden="1" x14ac:dyDescent="0.25">
      <c r="A4769" s="12" t="s">
        <v>8273</v>
      </c>
      <c r="B4769" s="3"/>
      <c r="C4769" s="22" t="s">
        <v>8498</v>
      </c>
      <c r="D4769" s="14" t="s">
        <v>8635</v>
      </c>
    </row>
    <row r="4770" spans="1:4" hidden="1" x14ac:dyDescent="0.25">
      <c r="A4770" s="12" t="s">
        <v>8274</v>
      </c>
      <c r="B4770" s="3"/>
      <c r="C4770" s="22" t="s">
        <v>8499</v>
      </c>
      <c r="D4770" s="14" t="s">
        <v>8635</v>
      </c>
    </row>
    <row r="4771" spans="1:4" hidden="1" x14ac:dyDescent="0.25">
      <c r="A4771" s="12" t="s">
        <v>8275</v>
      </c>
      <c r="B4771" s="3"/>
      <c r="C4771" s="22" t="s">
        <v>8500</v>
      </c>
      <c r="D4771" s="14" t="s">
        <v>8635</v>
      </c>
    </row>
    <row r="4772" spans="1:4" hidden="1" x14ac:dyDescent="0.25">
      <c r="A4772" s="12" t="s">
        <v>8276</v>
      </c>
      <c r="B4772" s="3"/>
      <c r="C4772" s="22" t="s">
        <v>8501</v>
      </c>
      <c r="D4772" s="14" t="s">
        <v>8635</v>
      </c>
    </row>
    <row r="4773" spans="1:4" hidden="1" x14ac:dyDescent="0.25">
      <c r="A4773" s="12" t="s">
        <v>8277</v>
      </c>
      <c r="B4773" s="3"/>
      <c r="C4773" s="22" t="s">
        <v>8502</v>
      </c>
      <c r="D4773" s="14" t="s">
        <v>8635</v>
      </c>
    </row>
    <row r="4774" spans="1:4" hidden="1" x14ac:dyDescent="0.25">
      <c r="A4774" s="12" t="s">
        <v>8278</v>
      </c>
      <c r="B4774" s="3"/>
      <c r="C4774" s="22" t="s">
        <v>8503</v>
      </c>
      <c r="D4774" s="14" t="s">
        <v>8635</v>
      </c>
    </row>
    <row r="4775" spans="1:4" hidden="1" x14ac:dyDescent="0.25">
      <c r="A4775" s="12" t="s">
        <v>8279</v>
      </c>
      <c r="B4775" s="3"/>
      <c r="C4775" s="22" t="s">
        <v>8504</v>
      </c>
      <c r="D4775" s="14" t="s">
        <v>8635</v>
      </c>
    </row>
    <row r="4776" spans="1:4" hidden="1" x14ac:dyDescent="0.25">
      <c r="A4776" s="12" t="s">
        <v>8280</v>
      </c>
      <c r="B4776" s="3"/>
      <c r="C4776" s="22" t="s">
        <v>8505</v>
      </c>
      <c r="D4776" s="14" t="s">
        <v>8635</v>
      </c>
    </row>
    <row r="4777" spans="1:4" hidden="1" x14ac:dyDescent="0.25">
      <c r="A4777" s="12" t="s">
        <v>8281</v>
      </c>
      <c r="B4777" s="3"/>
      <c r="C4777" s="22" t="s">
        <v>8506</v>
      </c>
      <c r="D4777" s="14" t="s">
        <v>8635</v>
      </c>
    </row>
    <row r="4778" spans="1:4" hidden="1" x14ac:dyDescent="0.25">
      <c r="A4778" s="12" t="s">
        <v>8282</v>
      </c>
      <c r="B4778" s="3"/>
      <c r="C4778" s="22" t="s">
        <v>8507</v>
      </c>
      <c r="D4778" s="14" t="s">
        <v>8635</v>
      </c>
    </row>
    <row r="4779" spans="1:4" hidden="1" x14ac:dyDescent="0.25">
      <c r="A4779" s="12" t="s">
        <v>8283</v>
      </c>
      <c r="B4779" s="3"/>
      <c r="C4779" s="22" t="s">
        <v>8508</v>
      </c>
      <c r="D4779" s="14" t="s">
        <v>8635</v>
      </c>
    </row>
    <row r="4780" spans="1:4" hidden="1" x14ac:dyDescent="0.25">
      <c r="A4780" s="12" t="s">
        <v>8284</v>
      </c>
      <c r="B4780" s="3"/>
      <c r="C4780" s="22" t="s">
        <v>8509</v>
      </c>
      <c r="D4780" s="14" t="s">
        <v>8635</v>
      </c>
    </row>
    <row r="4781" spans="1:4" hidden="1" x14ac:dyDescent="0.25">
      <c r="A4781" s="12" t="s">
        <v>8285</v>
      </c>
      <c r="B4781" s="3"/>
      <c r="C4781" s="22" t="s">
        <v>8510</v>
      </c>
      <c r="D4781" s="14" t="s">
        <v>8635</v>
      </c>
    </row>
    <row r="4782" spans="1:4" hidden="1" x14ac:dyDescent="0.25">
      <c r="A4782" s="12" t="s">
        <v>8286</v>
      </c>
      <c r="B4782" s="3"/>
      <c r="C4782" s="22" t="s">
        <v>8511</v>
      </c>
      <c r="D4782" s="14" t="s">
        <v>8635</v>
      </c>
    </row>
    <row r="4783" spans="1:4" hidden="1" x14ac:dyDescent="0.25">
      <c r="A4783" s="12" t="s">
        <v>8287</v>
      </c>
      <c r="B4783" s="3"/>
      <c r="C4783" s="22" t="s">
        <v>8512</v>
      </c>
      <c r="D4783" s="14" t="s">
        <v>8635</v>
      </c>
    </row>
    <row r="4784" spans="1:4" hidden="1" x14ac:dyDescent="0.25">
      <c r="A4784" s="12" t="s">
        <v>8288</v>
      </c>
      <c r="B4784" s="3"/>
      <c r="C4784" s="22" t="s">
        <v>8513</v>
      </c>
      <c r="D4784" s="14" t="s">
        <v>8635</v>
      </c>
    </row>
    <row r="4785" spans="1:4" hidden="1" x14ac:dyDescent="0.25">
      <c r="A4785" s="12" t="s">
        <v>8289</v>
      </c>
      <c r="B4785" s="3"/>
      <c r="C4785" s="22" t="s">
        <v>8514</v>
      </c>
      <c r="D4785" s="14" t="s">
        <v>8635</v>
      </c>
    </row>
    <row r="4786" spans="1:4" hidden="1" x14ac:dyDescent="0.25">
      <c r="A4786" s="12" t="s">
        <v>8290</v>
      </c>
      <c r="B4786" s="3"/>
      <c r="C4786" s="22" t="s">
        <v>8515</v>
      </c>
      <c r="D4786" s="14" t="s">
        <v>8635</v>
      </c>
    </row>
    <row r="4787" spans="1:4" hidden="1" x14ac:dyDescent="0.25">
      <c r="A4787" s="12" t="s">
        <v>8291</v>
      </c>
      <c r="B4787" s="3"/>
      <c r="C4787" s="22" t="s">
        <v>8516</v>
      </c>
      <c r="D4787" s="14" t="s">
        <v>8635</v>
      </c>
    </row>
    <row r="4788" spans="1:4" hidden="1" x14ac:dyDescent="0.25">
      <c r="A4788" s="12" t="s">
        <v>8292</v>
      </c>
      <c r="B4788" s="3"/>
      <c r="C4788" s="22" t="s">
        <v>8517</v>
      </c>
      <c r="D4788" s="14" t="s">
        <v>8635</v>
      </c>
    </row>
    <row r="4789" spans="1:4" hidden="1" x14ac:dyDescent="0.25">
      <c r="A4789" s="12" t="s">
        <v>8293</v>
      </c>
      <c r="B4789" s="3"/>
      <c r="C4789" s="22" t="s">
        <v>8518</v>
      </c>
      <c r="D4789" s="14" t="s">
        <v>8635</v>
      </c>
    </row>
    <row r="4790" spans="1:4" hidden="1" x14ac:dyDescent="0.25">
      <c r="A4790" s="12" t="s">
        <v>8294</v>
      </c>
      <c r="B4790" s="3"/>
      <c r="C4790" s="22" t="s">
        <v>8519</v>
      </c>
      <c r="D4790" s="14" t="s">
        <v>8635</v>
      </c>
    </row>
    <row r="4791" spans="1:4" hidden="1" x14ac:dyDescent="0.25">
      <c r="A4791" s="12" t="s">
        <v>8295</v>
      </c>
      <c r="B4791" s="3"/>
      <c r="C4791" s="22" t="s">
        <v>8520</v>
      </c>
      <c r="D4791" s="14" t="s">
        <v>8635</v>
      </c>
    </row>
    <row r="4792" spans="1:4" hidden="1" x14ac:dyDescent="0.25">
      <c r="A4792" s="12" t="s">
        <v>8296</v>
      </c>
      <c r="B4792" s="3"/>
      <c r="C4792" s="22" t="s">
        <v>8521</v>
      </c>
      <c r="D4792" s="14" t="s">
        <v>8635</v>
      </c>
    </row>
    <row r="4793" spans="1:4" hidden="1" x14ac:dyDescent="0.25">
      <c r="A4793" s="12" t="s">
        <v>8297</v>
      </c>
      <c r="B4793" s="3"/>
      <c r="C4793" s="22" t="s">
        <v>8522</v>
      </c>
      <c r="D4793" s="14" t="s">
        <v>8635</v>
      </c>
    </row>
    <row r="4794" spans="1:4" hidden="1" x14ac:dyDescent="0.25">
      <c r="A4794" s="12" t="s">
        <v>8298</v>
      </c>
      <c r="B4794" s="3"/>
      <c r="C4794" s="22" t="s">
        <v>8523</v>
      </c>
      <c r="D4794" s="14" t="s">
        <v>8635</v>
      </c>
    </row>
    <row r="4795" spans="1:4" hidden="1" x14ac:dyDescent="0.25">
      <c r="A4795" s="12" t="s">
        <v>8299</v>
      </c>
      <c r="B4795" s="3"/>
      <c r="C4795" s="22" t="s">
        <v>8524</v>
      </c>
      <c r="D4795" s="14" t="s">
        <v>8635</v>
      </c>
    </row>
    <row r="4796" spans="1:4" hidden="1" x14ac:dyDescent="0.25">
      <c r="A4796" s="12" t="s">
        <v>8300</v>
      </c>
      <c r="B4796" s="3"/>
      <c r="C4796" s="22" t="s">
        <v>8525</v>
      </c>
      <c r="D4796" s="14" t="s">
        <v>8635</v>
      </c>
    </row>
    <row r="4797" spans="1:4" hidden="1" x14ac:dyDescent="0.25">
      <c r="A4797" s="12" t="s">
        <v>8301</v>
      </c>
      <c r="B4797" s="3"/>
      <c r="C4797" s="22" t="s">
        <v>8526</v>
      </c>
      <c r="D4797" s="14" t="s">
        <v>8635</v>
      </c>
    </row>
    <row r="4798" spans="1:4" hidden="1" x14ac:dyDescent="0.25">
      <c r="A4798" s="12" t="s">
        <v>8302</v>
      </c>
      <c r="B4798" s="3"/>
      <c r="C4798" s="22" t="s">
        <v>8527</v>
      </c>
      <c r="D4798" s="14" t="s">
        <v>8635</v>
      </c>
    </row>
    <row r="4799" spans="1:4" hidden="1" x14ac:dyDescent="0.25">
      <c r="A4799" s="12" t="s">
        <v>8303</v>
      </c>
      <c r="B4799" s="3"/>
      <c r="C4799" s="22" t="s">
        <v>8528</v>
      </c>
      <c r="D4799" s="14" t="s">
        <v>8635</v>
      </c>
    </row>
    <row r="4800" spans="1:4" hidden="1" x14ac:dyDescent="0.25">
      <c r="A4800" s="12" t="s">
        <v>8304</v>
      </c>
      <c r="B4800" s="3"/>
      <c r="C4800" s="22" t="s">
        <v>8529</v>
      </c>
      <c r="D4800" s="14" t="s">
        <v>8635</v>
      </c>
    </row>
    <row r="4801" spans="1:4" hidden="1" x14ac:dyDescent="0.25">
      <c r="A4801" s="12" t="s">
        <v>8305</v>
      </c>
      <c r="B4801" s="3"/>
      <c r="C4801" s="22" t="s">
        <v>8530</v>
      </c>
      <c r="D4801" s="14" t="s">
        <v>8635</v>
      </c>
    </row>
    <row r="4802" spans="1:4" hidden="1" x14ac:dyDescent="0.25">
      <c r="A4802" s="12" t="s">
        <v>8306</v>
      </c>
      <c r="B4802" s="3"/>
      <c r="C4802" s="22" t="s">
        <v>8531</v>
      </c>
      <c r="D4802" s="14" t="s">
        <v>8635</v>
      </c>
    </row>
    <row r="4803" spans="1:4" hidden="1" x14ac:dyDescent="0.25">
      <c r="A4803" s="12" t="s">
        <v>8307</v>
      </c>
      <c r="B4803" s="3"/>
      <c r="C4803" s="22" t="s">
        <v>8532</v>
      </c>
      <c r="D4803" s="14" t="s">
        <v>8635</v>
      </c>
    </row>
    <row r="4804" spans="1:4" hidden="1" x14ac:dyDescent="0.25">
      <c r="A4804" s="12" t="s">
        <v>8308</v>
      </c>
      <c r="B4804" s="3"/>
      <c r="C4804" s="22" t="s">
        <v>8533</v>
      </c>
      <c r="D4804" s="14" t="s">
        <v>8635</v>
      </c>
    </row>
    <row r="4805" spans="1:4" hidden="1" x14ac:dyDescent="0.25">
      <c r="A4805" s="12" t="s">
        <v>8309</v>
      </c>
      <c r="B4805" s="3"/>
      <c r="C4805" s="22" t="s">
        <v>8534</v>
      </c>
      <c r="D4805" s="14" t="s">
        <v>8635</v>
      </c>
    </row>
    <row r="4806" spans="1:4" hidden="1" x14ac:dyDescent="0.25">
      <c r="A4806" s="12" t="s">
        <v>8310</v>
      </c>
      <c r="B4806" s="3"/>
      <c r="C4806" s="22" t="s">
        <v>8535</v>
      </c>
      <c r="D4806" s="14" t="s">
        <v>8635</v>
      </c>
    </row>
    <row r="4807" spans="1:4" hidden="1" x14ac:dyDescent="0.25">
      <c r="A4807" s="12" t="s">
        <v>8311</v>
      </c>
      <c r="B4807" s="3"/>
      <c r="C4807" s="22" t="s">
        <v>8536</v>
      </c>
      <c r="D4807" s="14" t="s">
        <v>8635</v>
      </c>
    </row>
    <row r="4808" spans="1:4" hidden="1" x14ac:dyDescent="0.25">
      <c r="A4808" s="12" t="s">
        <v>8312</v>
      </c>
      <c r="B4808" s="3"/>
      <c r="C4808" s="22" t="s">
        <v>8537</v>
      </c>
      <c r="D4808" s="14" t="s">
        <v>8635</v>
      </c>
    </row>
    <row r="4809" spans="1:4" hidden="1" x14ac:dyDescent="0.25">
      <c r="A4809" s="12" t="s">
        <v>8313</v>
      </c>
      <c r="B4809" s="3"/>
      <c r="C4809" s="22" t="s">
        <v>8538</v>
      </c>
      <c r="D4809" s="14" t="s">
        <v>8635</v>
      </c>
    </row>
    <row r="4810" spans="1:4" hidden="1" x14ac:dyDescent="0.25">
      <c r="A4810" s="12" t="s">
        <v>8314</v>
      </c>
      <c r="B4810" s="3"/>
      <c r="C4810" s="22" t="s">
        <v>8539</v>
      </c>
      <c r="D4810" s="14" t="s">
        <v>8635</v>
      </c>
    </row>
    <row r="4811" spans="1:4" hidden="1" x14ac:dyDescent="0.25">
      <c r="A4811" s="12" t="s">
        <v>8315</v>
      </c>
      <c r="B4811" s="3"/>
      <c r="C4811" s="22" t="s">
        <v>8540</v>
      </c>
      <c r="D4811" s="14" t="s">
        <v>8635</v>
      </c>
    </row>
    <row r="4812" spans="1:4" hidden="1" x14ac:dyDescent="0.25">
      <c r="A4812" s="12" t="s">
        <v>8316</v>
      </c>
      <c r="B4812" s="3"/>
      <c r="C4812" s="22" t="s">
        <v>8541</v>
      </c>
      <c r="D4812" s="14" t="s">
        <v>8635</v>
      </c>
    </row>
    <row r="4813" spans="1:4" hidden="1" x14ac:dyDescent="0.25">
      <c r="A4813" s="12" t="s">
        <v>8317</v>
      </c>
      <c r="B4813" s="3"/>
      <c r="C4813" s="22" t="s">
        <v>8542</v>
      </c>
      <c r="D4813" s="14" t="s">
        <v>8635</v>
      </c>
    </row>
    <row r="4814" spans="1:4" hidden="1" x14ac:dyDescent="0.25">
      <c r="A4814" s="12" t="s">
        <v>8318</v>
      </c>
      <c r="B4814" s="3"/>
      <c r="C4814" s="22" t="s">
        <v>8543</v>
      </c>
      <c r="D4814" s="14" t="s">
        <v>8635</v>
      </c>
    </row>
    <row r="4815" spans="1:4" hidden="1" x14ac:dyDescent="0.25">
      <c r="A4815" s="12" t="s">
        <v>8319</v>
      </c>
      <c r="B4815" s="3"/>
      <c r="C4815" s="22" t="s">
        <v>8544</v>
      </c>
      <c r="D4815" s="14" t="s">
        <v>8635</v>
      </c>
    </row>
    <row r="4816" spans="1:4" hidden="1" x14ac:dyDescent="0.25">
      <c r="A4816" s="12" t="s">
        <v>8320</v>
      </c>
      <c r="B4816" s="3"/>
      <c r="C4816" s="22" t="s">
        <v>8545</v>
      </c>
      <c r="D4816" s="14" t="s">
        <v>8635</v>
      </c>
    </row>
    <row r="4817" spans="1:4" hidden="1" x14ac:dyDescent="0.25">
      <c r="A4817" s="12" t="s">
        <v>8321</v>
      </c>
      <c r="B4817" s="3"/>
      <c r="C4817" s="22" t="s">
        <v>8546</v>
      </c>
      <c r="D4817" s="14" t="s">
        <v>8635</v>
      </c>
    </row>
    <row r="4818" spans="1:4" hidden="1" x14ac:dyDescent="0.25">
      <c r="A4818" s="12" t="s">
        <v>8322</v>
      </c>
      <c r="B4818" s="3"/>
      <c r="C4818" s="22" t="s">
        <v>8547</v>
      </c>
      <c r="D4818" s="14" t="s">
        <v>8635</v>
      </c>
    </row>
    <row r="4819" spans="1:4" hidden="1" x14ac:dyDescent="0.25">
      <c r="A4819" s="12" t="s">
        <v>8323</v>
      </c>
      <c r="B4819" s="3"/>
      <c r="C4819" s="22" t="s">
        <v>8548</v>
      </c>
      <c r="D4819" s="14" t="s">
        <v>8635</v>
      </c>
    </row>
    <row r="4820" spans="1:4" hidden="1" x14ac:dyDescent="0.25">
      <c r="A4820" s="12" t="s">
        <v>8324</v>
      </c>
      <c r="B4820" s="3"/>
      <c r="C4820" s="22" t="s">
        <v>8549</v>
      </c>
      <c r="D4820" s="14" t="s">
        <v>8635</v>
      </c>
    </row>
    <row r="4821" spans="1:4" hidden="1" x14ac:dyDescent="0.25">
      <c r="A4821" s="12" t="s">
        <v>8325</v>
      </c>
      <c r="B4821" s="3"/>
      <c r="C4821" s="22" t="s">
        <v>8550</v>
      </c>
      <c r="D4821" s="14" t="s">
        <v>8635</v>
      </c>
    </row>
    <row r="4822" spans="1:4" hidden="1" x14ac:dyDescent="0.25">
      <c r="A4822" s="12" t="s">
        <v>8326</v>
      </c>
      <c r="B4822" s="3"/>
      <c r="C4822" s="22" t="s">
        <v>8551</v>
      </c>
      <c r="D4822" s="14" t="s">
        <v>8635</v>
      </c>
    </row>
    <row r="4823" spans="1:4" hidden="1" x14ac:dyDescent="0.25">
      <c r="A4823" s="12" t="s">
        <v>8327</v>
      </c>
      <c r="B4823" s="3"/>
      <c r="C4823" s="22" t="s">
        <v>8552</v>
      </c>
      <c r="D4823" s="14" t="s">
        <v>8635</v>
      </c>
    </row>
    <row r="4824" spans="1:4" hidden="1" x14ac:dyDescent="0.25">
      <c r="A4824" s="12" t="s">
        <v>8328</v>
      </c>
      <c r="B4824" s="3"/>
      <c r="C4824" s="22" t="s">
        <v>8553</v>
      </c>
      <c r="D4824" s="14" t="s">
        <v>8635</v>
      </c>
    </row>
    <row r="4825" spans="1:4" hidden="1" x14ac:dyDescent="0.25">
      <c r="A4825" s="12" t="s">
        <v>8329</v>
      </c>
      <c r="B4825" s="3"/>
      <c r="C4825" s="22" t="s">
        <v>8554</v>
      </c>
      <c r="D4825" s="14" t="s">
        <v>8635</v>
      </c>
    </row>
    <row r="4826" spans="1:4" hidden="1" x14ac:dyDescent="0.25">
      <c r="A4826" s="12" t="s">
        <v>8330</v>
      </c>
      <c r="B4826" s="3"/>
      <c r="C4826" s="22" t="s">
        <v>8555</v>
      </c>
      <c r="D4826" s="14" t="s">
        <v>8635</v>
      </c>
    </row>
    <row r="4827" spans="1:4" hidden="1" x14ac:dyDescent="0.25">
      <c r="A4827" s="12" t="s">
        <v>8331</v>
      </c>
      <c r="B4827" s="3"/>
      <c r="C4827" s="22" t="s">
        <v>8556</v>
      </c>
      <c r="D4827" s="14" t="s">
        <v>8635</v>
      </c>
    </row>
    <row r="4828" spans="1:4" hidden="1" x14ac:dyDescent="0.25">
      <c r="A4828" s="12" t="s">
        <v>8332</v>
      </c>
      <c r="B4828" s="3"/>
      <c r="C4828" s="22" t="s">
        <v>8557</v>
      </c>
      <c r="D4828" s="14" t="s">
        <v>8635</v>
      </c>
    </row>
    <row r="4829" spans="1:4" hidden="1" x14ac:dyDescent="0.25">
      <c r="A4829" s="12" t="s">
        <v>8333</v>
      </c>
      <c r="B4829" s="3"/>
      <c r="C4829" s="22" t="s">
        <v>8558</v>
      </c>
      <c r="D4829" s="14" t="s">
        <v>8635</v>
      </c>
    </row>
    <row r="4830" spans="1:4" hidden="1" x14ac:dyDescent="0.25">
      <c r="A4830" s="12" t="s">
        <v>8334</v>
      </c>
      <c r="B4830" s="3"/>
      <c r="C4830" s="22" t="s">
        <v>8559</v>
      </c>
      <c r="D4830" s="14" t="s">
        <v>8635</v>
      </c>
    </row>
    <row r="4831" spans="1:4" hidden="1" x14ac:dyDescent="0.25">
      <c r="A4831" s="12" t="s">
        <v>8335</v>
      </c>
      <c r="B4831" s="3"/>
      <c r="C4831" s="22" t="s">
        <v>8560</v>
      </c>
      <c r="D4831" s="14" t="s">
        <v>8635</v>
      </c>
    </row>
    <row r="4832" spans="1:4" hidden="1" x14ac:dyDescent="0.25">
      <c r="A4832" s="12" t="s">
        <v>8336</v>
      </c>
      <c r="B4832" s="3"/>
      <c r="C4832" s="22" t="s">
        <v>8561</v>
      </c>
      <c r="D4832" s="14" t="s">
        <v>8635</v>
      </c>
    </row>
    <row r="4833" spans="1:4" hidden="1" x14ac:dyDescent="0.25">
      <c r="A4833" s="12" t="s">
        <v>8337</v>
      </c>
      <c r="B4833" s="3"/>
      <c r="C4833" s="22" t="s">
        <v>8562</v>
      </c>
      <c r="D4833" s="14" t="s">
        <v>8635</v>
      </c>
    </row>
    <row r="4834" spans="1:4" hidden="1" x14ac:dyDescent="0.25">
      <c r="A4834" s="12" t="s">
        <v>8338</v>
      </c>
      <c r="B4834" s="3"/>
      <c r="C4834" s="22" t="s">
        <v>8563</v>
      </c>
      <c r="D4834" s="14" t="s">
        <v>8635</v>
      </c>
    </row>
    <row r="4835" spans="1:4" hidden="1" x14ac:dyDescent="0.25">
      <c r="A4835" s="12" t="s">
        <v>8339</v>
      </c>
      <c r="B4835" s="3"/>
      <c r="C4835" s="22" t="s">
        <v>8564</v>
      </c>
      <c r="D4835" s="14" t="s">
        <v>8635</v>
      </c>
    </row>
    <row r="4836" spans="1:4" hidden="1" x14ac:dyDescent="0.25">
      <c r="A4836" s="12" t="s">
        <v>8340</v>
      </c>
      <c r="B4836" s="3"/>
      <c r="C4836" s="22" t="s">
        <v>8565</v>
      </c>
      <c r="D4836" s="14" t="s">
        <v>8635</v>
      </c>
    </row>
    <row r="4837" spans="1:4" hidden="1" x14ac:dyDescent="0.25">
      <c r="A4837" s="12" t="s">
        <v>8341</v>
      </c>
      <c r="B4837" s="3"/>
      <c r="C4837" s="22" t="s">
        <v>8566</v>
      </c>
      <c r="D4837" s="14" t="s">
        <v>8635</v>
      </c>
    </row>
    <row r="4838" spans="1:4" hidden="1" x14ac:dyDescent="0.25">
      <c r="A4838" s="12" t="s">
        <v>8342</v>
      </c>
      <c r="B4838" s="3"/>
      <c r="C4838" s="22" t="s">
        <v>8567</v>
      </c>
      <c r="D4838" s="14" t="s">
        <v>8635</v>
      </c>
    </row>
    <row r="4839" spans="1:4" hidden="1" x14ac:dyDescent="0.25">
      <c r="A4839" s="12" t="s">
        <v>8343</v>
      </c>
      <c r="B4839" s="3"/>
      <c r="C4839" s="22" t="s">
        <v>8568</v>
      </c>
      <c r="D4839" s="14" t="s">
        <v>8635</v>
      </c>
    </row>
    <row r="4840" spans="1:4" hidden="1" x14ac:dyDescent="0.25">
      <c r="A4840" s="12" t="s">
        <v>8344</v>
      </c>
      <c r="B4840" s="3"/>
      <c r="C4840" s="22" t="s">
        <v>8569</v>
      </c>
      <c r="D4840" s="14" t="s">
        <v>8635</v>
      </c>
    </row>
    <row r="4841" spans="1:4" hidden="1" x14ac:dyDescent="0.25">
      <c r="A4841" s="12" t="s">
        <v>8345</v>
      </c>
      <c r="B4841" s="3"/>
      <c r="C4841" s="22" t="s">
        <v>8570</v>
      </c>
      <c r="D4841" s="14" t="s">
        <v>8635</v>
      </c>
    </row>
    <row r="4842" spans="1:4" hidden="1" x14ac:dyDescent="0.25">
      <c r="A4842" s="12" t="s">
        <v>8346</v>
      </c>
      <c r="B4842" s="3"/>
      <c r="C4842" s="22" t="s">
        <v>8571</v>
      </c>
      <c r="D4842" s="14" t="s">
        <v>8635</v>
      </c>
    </row>
    <row r="4843" spans="1:4" hidden="1" x14ac:dyDescent="0.25">
      <c r="A4843" s="12" t="s">
        <v>8347</v>
      </c>
      <c r="B4843" s="3"/>
      <c r="C4843" s="22" t="s">
        <v>8572</v>
      </c>
      <c r="D4843" s="14" t="s">
        <v>8635</v>
      </c>
    </row>
    <row r="4844" spans="1:4" hidden="1" x14ac:dyDescent="0.25">
      <c r="A4844" s="12" t="s">
        <v>8348</v>
      </c>
      <c r="B4844" s="3"/>
      <c r="C4844" s="22" t="s">
        <v>8573</v>
      </c>
      <c r="D4844" s="14" t="s">
        <v>8635</v>
      </c>
    </row>
    <row r="4845" spans="1:4" hidden="1" x14ac:dyDescent="0.25">
      <c r="A4845" s="12" t="s">
        <v>8349</v>
      </c>
      <c r="B4845" s="3"/>
      <c r="C4845" s="22" t="s">
        <v>8574</v>
      </c>
      <c r="D4845" s="14" t="s">
        <v>8635</v>
      </c>
    </row>
    <row r="4846" spans="1:4" hidden="1" x14ac:dyDescent="0.25">
      <c r="A4846" s="12" t="s">
        <v>8350</v>
      </c>
      <c r="B4846" s="3"/>
      <c r="C4846" s="22" t="s">
        <v>8575</v>
      </c>
      <c r="D4846" s="14" t="s">
        <v>8635</v>
      </c>
    </row>
    <row r="4847" spans="1:4" hidden="1" x14ac:dyDescent="0.25">
      <c r="A4847" s="12" t="s">
        <v>8351</v>
      </c>
      <c r="B4847" s="3"/>
      <c r="C4847" s="22" t="s">
        <v>8576</v>
      </c>
      <c r="D4847" s="14" t="s">
        <v>8635</v>
      </c>
    </row>
    <row r="4848" spans="1:4" hidden="1" x14ac:dyDescent="0.25">
      <c r="A4848" s="12" t="s">
        <v>8352</v>
      </c>
      <c r="B4848" s="3"/>
      <c r="C4848" s="22" t="s">
        <v>8577</v>
      </c>
      <c r="D4848" s="14" t="s">
        <v>8635</v>
      </c>
    </row>
    <row r="4849" spans="1:4" hidden="1" x14ac:dyDescent="0.25">
      <c r="A4849" s="12" t="s">
        <v>8353</v>
      </c>
      <c r="B4849" s="3"/>
      <c r="C4849" s="22" t="s">
        <v>8578</v>
      </c>
      <c r="D4849" s="14" t="s">
        <v>8635</v>
      </c>
    </row>
    <row r="4850" spans="1:4" hidden="1" x14ac:dyDescent="0.25">
      <c r="A4850" s="12" t="s">
        <v>8354</v>
      </c>
      <c r="B4850" s="3"/>
      <c r="C4850" s="22" t="s">
        <v>8579</v>
      </c>
      <c r="D4850" s="14" t="s">
        <v>8635</v>
      </c>
    </row>
    <row r="4851" spans="1:4" hidden="1" x14ac:dyDescent="0.25">
      <c r="A4851" s="12" t="s">
        <v>8355</v>
      </c>
      <c r="B4851" s="3"/>
      <c r="C4851" s="22" t="s">
        <v>8580</v>
      </c>
      <c r="D4851" s="14" t="s">
        <v>8635</v>
      </c>
    </row>
    <row r="4852" spans="1:4" hidden="1" x14ac:dyDescent="0.25">
      <c r="A4852" s="12" t="s">
        <v>8356</v>
      </c>
      <c r="B4852" s="3"/>
      <c r="C4852" s="22" t="s">
        <v>8581</v>
      </c>
      <c r="D4852" s="14" t="s">
        <v>8635</v>
      </c>
    </row>
    <row r="4853" spans="1:4" hidden="1" x14ac:dyDescent="0.25">
      <c r="A4853" s="12" t="s">
        <v>8357</v>
      </c>
      <c r="B4853" s="3"/>
      <c r="C4853" s="22" t="s">
        <v>8582</v>
      </c>
      <c r="D4853" s="14" t="s">
        <v>8635</v>
      </c>
    </row>
    <row r="4854" spans="1:4" hidden="1" x14ac:dyDescent="0.25">
      <c r="A4854" s="12" t="s">
        <v>8358</v>
      </c>
      <c r="B4854" s="3"/>
      <c r="C4854" s="22" t="s">
        <v>8583</v>
      </c>
      <c r="D4854" s="14" t="s">
        <v>8635</v>
      </c>
    </row>
    <row r="4855" spans="1:4" hidden="1" x14ac:dyDescent="0.25">
      <c r="A4855" s="12" t="s">
        <v>8359</v>
      </c>
      <c r="B4855" s="3"/>
      <c r="C4855" s="22" t="s">
        <v>8584</v>
      </c>
      <c r="D4855" s="14" t="s">
        <v>8635</v>
      </c>
    </row>
    <row r="4856" spans="1:4" hidden="1" x14ac:dyDescent="0.25">
      <c r="A4856" s="12" t="s">
        <v>8360</v>
      </c>
      <c r="B4856" s="3"/>
      <c r="C4856" s="22" t="s">
        <v>8585</v>
      </c>
      <c r="D4856" s="14" t="s">
        <v>8635</v>
      </c>
    </row>
    <row r="4857" spans="1:4" hidden="1" x14ac:dyDescent="0.25">
      <c r="A4857" s="12" t="s">
        <v>8361</v>
      </c>
      <c r="B4857" s="3"/>
      <c r="C4857" s="22" t="s">
        <v>8586</v>
      </c>
      <c r="D4857" s="14" t="s">
        <v>8635</v>
      </c>
    </row>
    <row r="4858" spans="1:4" hidden="1" x14ac:dyDescent="0.25">
      <c r="A4858" s="12" t="s">
        <v>8362</v>
      </c>
      <c r="B4858" s="3"/>
      <c r="C4858" s="22" t="s">
        <v>8587</v>
      </c>
      <c r="D4858" s="14" t="s">
        <v>8635</v>
      </c>
    </row>
    <row r="4859" spans="1:4" hidden="1" x14ac:dyDescent="0.25">
      <c r="A4859" s="12" t="s">
        <v>8363</v>
      </c>
      <c r="B4859" s="3"/>
      <c r="C4859" s="22" t="s">
        <v>8588</v>
      </c>
      <c r="D4859" s="14" t="s">
        <v>8635</v>
      </c>
    </row>
    <row r="4860" spans="1:4" hidden="1" x14ac:dyDescent="0.25">
      <c r="A4860" s="12" t="s">
        <v>8364</v>
      </c>
      <c r="B4860" s="3"/>
      <c r="C4860" s="22" t="s">
        <v>8589</v>
      </c>
      <c r="D4860" s="14" t="s">
        <v>8635</v>
      </c>
    </row>
    <row r="4861" spans="1:4" hidden="1" x14ac:dyDescent="0.25">
      <c r="A4861" s="12" t="s">
        <v>8365</v>
      </c>
      <c r="B4861" s="3"/>
      <c r="C4861" s="22" t="s">
        <v>8590</v>
      </c>
      <c r="D4861" s="14" t="s">
        <v>8635</v>
      </c>
    </row>
    <row r="4862" spans="1:4" hidden="1" x14ac:dyDescent="0.25">
      <c r="A4862" s="12" t="s">
        <v>8366</v>
      </c>
      <c r="B4862" s="3"/>
      <c r="C4862" s="22" t="s">
        <v>8591</v>
      </c>
      <c r="D4862" s="14" t="s">
        <v>8635</v>
      </c>
    </row>
    <row r="4863" spans="1:4" hidden="1" x14ac:dyDescent="0.25">
      <c r="A4863" s="12" t="s">
        <v>8367</v>
      </c>
      <c r="B4863" s="3"/>
      <c r="C4863" s="22" t="s">
        <v>8592</v>
      </c>
      <c r="D4863" s="14" t="s">
        <v>8635</v>
      </c>
    </row>
    <row r="4864" spans="1:4" hidden="1" x14ac:dyDescent="0.25">
      <c r="A4864" s="12" t="s">
        <v>8368</v>
      </c>
      <c r="B4864" s="3"/>
      <c r="C4864" s="22" t="s">
        <v>8593</v>
      </c>
      <c r="D4864" s="14" t="s">
        <v>8635</v>
      </c>
    </row>
    <row r="4865" spans="1:4" hidden="1" x14ac:dyDescent="0.25">
      <c r="A4865" s="12" t="s">
        <v>8369</v>
      </c>
      <c r="B4865" s="3"/>
      <c r="C4865" s="22" t="s">
        <v>8594</v>
      </c>
      <c r="D4865" s="14" t="s">
        <v>8635</v>
      </c>
    </row>
    <row r="4866" spans="1:4" hidden="1" x14ac:dyDescent="0.25">
      <c r="A4866" s="12" t="s">
        <v>8370</v>
      </c>
      <c r="B4866" s="3"/>
      <c r="C4866" s="22" t="s">
        <v>8595</v>
      </c>
      <c r="D4866" s="14" t="s">
        <v>8635</v>
      </c>
    </row>
    <row r="4867" spans="1:4" hidden="1" x14ac:dyDescent="0.25">
      <c r="A4867" s="12" t="s">
        <v>8371</v>
      </c>
      <c r="B4867" s="3"/>
      <c r="C4867" s="22" t="s">
        <v>8596</v>
      </c>
      <c r="D4867" s="14" t="s">
        <v>8635</v>
      </c>
    </row>
    <row r="4868" spans="1:4" hidden="1" x14ac:dyDescent="0.25">
      <c r="A4868" s="12" t="s">
        <v>8372</v>
      </c>
      <c r="B4868" s="3"/>
      <c r="C4868" s="22" t="s">
        <v>8597</v>
      </c>
      <c r="D4868" s="14" t="s">
        <v>8635</v>
      </c>
    </row>
    <row r="4869" spans="1:4" hidden="1" x14ac:dyDescent="0.25">
      <c r="A4869" s="12" t="s">
        <v>8373</v>
      </c>
      <c r="B4869" s="3"/>
      <c r="C4869" s="22" t="s">
        <v>8598</v>
      </c>
      <c r="D4869" s="14" t="s">
        <v>8635</v>
      </c>
    </row>
    <row r="4870" spans="1:4" hidden="1" x14ac:dyDescent="0.25">
      <c r="A4870" s="12" t="s">
        <v>8374</v>
      </c>
      <c r="B4870" s="3"/>
      <c r="C4870" s="22" t="s">
        <v>8599</v>
      </c>
      <c r="D4870" s="14" t="s">
        <v>8635</v>
      </c>
    </row>
    <row r="4871" spans="1:4" hidden="1" x14ac:dyDescent="0.25">
      <c r="A4871" s="12" t="s">
        <v>8375</v>
      </c>
      <c r="B4871" s="3"/>
      <c r="C4871" s="22" t="s">
        <v>8600</v>
      </c>
      <c r="D4871" s="14" t="s">
        <v>8635</v>
      </c>
    </row>
    <row r="4872" spans="1:4" hidden="1" x14ac:dyDescent="0.25">
      <c r="A4872" s="12" t="s">
        <v>8376</v>
      </c>
      <c r="B4872" s="3"/>
      <c r="C4872" s="22" t="s">
        <v>8601</v>
      </c>
      <c r="D4872" s="14" t="s">
        <v>8635</v>
      </c>
    </row>
    <row r="4873" spans="1:4" hidden="1" x14ac:dyDescent="0.25">
      <c r="A4873" s="12" t="s">
        <v>8377</v>
      </c>
      <c r="B4873" s="3"/>
      <c r="C4873" s="22" t="s">
        <v>8602</v>
      </c>
      <c r="D4873" s="14" t="s">
        <v>8635</v>
      </c>
    </row>
    <row r="4874" spans="1:4" hidden="1" x14ac:dyDescent="0.25">
      <c r="A4874" s="12" t="s">
        <v>8378</v>
      </c>
      <c r="B4874" s="3"/>
      <c r="C4874" s="22" t="s">
        <v>8603</v>
      </c>
      <c r="D4874" s="14" t="s">
        <v>8635</v>
      </c>
    </row>
    <row r="4875" spans="1:4" hidden="1" x14ac:dyDescent="0.25">
      <c r="A4875" s="12" t="s">
        <v>8379</v>
      </c>
      <c r="B4875" s="3"/>
      <c r="C4875" s="22" t="s">
        <v>8604</v>
      </c>
      <c r="D4875" s="14" t="s">
        <v>8635</v>
      </c>
    </row>
    <row r="4876" spans="1:4" hidden="1" x14ac:dyDescent="0.25">
      <c r="A4876" s="12" t="s">
        <v>8380</v>
      </c>
      <c r="B4876" s="3"/>
      <c r="C4876" s="22" t="s">
        <v>8605</v>
      </c>
      <c r="D4876" s="14" t="s">
        <v>8635</v>
      </c>
    </row>
    <row r="4877" spans="1:4" hidden="1" x14ac:dyDescent="0.25">
      <c r="A4877" s="12" t="s">
        <v>8381</v>
      </c>
      <c r="B4877" s="3"/>
      <c r="C4877" s="22" t="s">
        <v>8606</v>
      </c>
      <c r="D4877" s="14" t="s">
        <v>8635</v>
      </c>
    </row>
    <row r="4878" spans="1:4" hidden="1" x14ac:dyDescent="0.25">
      <c r="A4878" s="12" t="s">
        <v>8382</v>
      </c>
      <c r="B4878" s="3"/>
      <c r="C4878" s="22" t="s">
        <v>8607</v>
      </c>
      <c r="D4878" s="14" t="s">
        <v>8635</v>
      </c>
    </row>
    <row r="4879" spans="1:4" hidden="1" x14ac:dyDescent="0.25">
      <c r="A4879" s="12" t="s">
        <v>8383</v>
      </c>
      <c r="B4879" s="3"/>
      <c r="C4879" s="22" t="s">
        <v>8608</v>
      </c>
      <c r="D4879" s="14" t="s">
        <v>8635</v>
      </c>
    </row>
    <row r="4880" spans="1:4" hidden="1" x14ac:dyDescent="0.25">
      <c r="A4880" s="12" t="s">
        <v>8384</v>
      </c>
      <c r="B4880" s="3"/>
      <c r="C4880" s="22" t="s">
        <v>8609</v>
      </c>
      <c r="D4880" s="14" t="s">
        <v>8635</v>
      </c>
    </row>
    <row r="4881" spans="1:4" hidden="1" x14ac:dyDescent="0.25">
      <c r="A4881" s="12" t="s">
        <v>8385</v>
      </c>
      <c r="B4881" s="3"/>
      <c r="C4881" s="22" t="s">
        <v>8610</v>
      </c>
      <c r="D4881" s="14" t="s">
        <v>8635</v>
      </c>
    </row>
    <row r="4882" spans="1:4" hidden="1" x14ac:dyDescent="0.25">
      <c r="A4882" s="12" t="s">
        <v>8386</v>
      </c>
      <c r="B4882" s="3"/>
      <c r="C4882" s="22" t="s">
        <v>8611</v>
      </c>
      <c r="D4882" s="14" t="s">
        <v>8635</v>
      </c>
    </row>
    <row r="4883" spans="1:4" hidden="1" x14ac:dyDescent="0.25">
      <c r="A4883" s="12" t="s">
        <v>8387</v>
      </c>
      <c r="B4883" s="3"/>
      <c r="C4883" s="22" t="s">
        <v>8612</v>
      </c>
      <c r="D4883" s="14" t="s">
        <v>8635</v>
      </c>
    </row>
    <row r="4884" spans="1:4" hidden="1" x14ac:dyDescent="0.25">
      <c r="A4884" s="12" t="s">
        <v>8388</v>
      </c>
      <c r="B4884" s="3"/>
      <c r="C4884" s="22" t="s">
        <v>8613</v>
      </c>
      <c r="D4884" s="14" t="s">
        <v>8635</v>
      </c>
    </row>
    <row r="4885" spans="1:4" hidden="1" x14ac:dyDescent="0.25">
      <c r="A4885" s="12" t="s">
        <v>8389</v>
      </c>
      <c r="B4885" s="3"/>
      <c r="C4885" s="22" t="s">
        <v>8614</v>
      </c>
      <c r="D4885" s="14" t="s">
        <v>8635</v>
      </c>
    </row>
    <row r="4886" spans="1:4" hidden="1" x14ac:dyDescent="0.25">
      <c r="A4886" s="12" t="s">
        <v>8390</v>
      </c>
      <c r="B4886" s="3"/>
      <c r="C4886" s="22" t="s">
        <v>8615</v>
      </c>
      <c r="D4886" s="14" t="s">
        <v>8635</v>
      </c>
    </row>
    <row r="4887" spans="1:4" hidden="1" x14ac:dyDescent="0.25">
      <c r="A4887" s="12" t="s">
        <v>8391</v>
      </c>
      <c r="B4887" s="3"/>
      <c r="C4887" s="22" t="s">
        <v>8616</v>
      </c>
      <c r="D4887" s="14" t="s">
        <v>8635</v>
      </c>
    </row>
    <row r="4888" spans="1:4" hidden="1" x14ac:dyDescent="0.25">
      <c r="A4888" s="12" t="s">
        <v>8392</v>
      </c>
      <c r="B4888" s="3"/>
      <c r="C4888" s="22" t="s">
        <v>8617</v>
      </c>
      <c r="D4888" s="14" t="s">
        <v>8635</v>
      </c>
    </row>
    <row r="4889" spans="1:4" hidden="1" x14ac:dyDescent="0.25">
      <c r="A4889" s="12" t="s">
        <v>8393</v>
      </c>
      <c r="B4889" s="3"/>
      <c r="C4889" s="22" t="s">
        <v>8618</v>
      </c>
      <c r="D4889" s="14" t="s">
        <v>8635</v>
      </c>
    </row>
    <row r="4890" spans="1:4" hidden="1" x14ac:dyDescent="0.25">
      <c r="A4890" s="12" t="s">
        <v>8394</v>
      </c>
      <c r="B4890" s="3"/>
      <c r="C4890" s="22" t="s">
        <v>8619</v>
      </c>
      <c r="D4890" s="14" t="s">
        <v>8635</v>
      </c>
    </row>
    <row r="4891" spans="1:4" hidden="1" x14ac:dyDescent="0.25">
      <c r="A4891" s="12" t="s">
        <v>8395</v>
      </c>
      <c r="B4891" s="3"/>
      <c r="C4891" s="22" t="s">
        <v>8620</v>
      </c>
      <c r="D4891" s="14" t="s">
        <v>8635</v>
      </c>
    </row>
    <row r="4892" spans="1:4" hidden="1" x14ac:dyDescent="0.25">
      <c r="A4892" s="12" t="s">
        <v>8396</v>
      </c>
      <c r="B4892" s="3"/>
      <c r="C4892" s="22" t="s">
        <v>8621</v>
      </c>
      <c r="D4892" s="14" t="s">
        <v>8635</v>
      </c>
    </row>
    <row r="4893" spans="1:4" hidden="1" x14ac:dyDescent="0.25">
      <c r="A4893" s="12" t="s">
        <v>8397</v>
      </c>
      <c r="B4893" s="3"/>
      <c r="C4893" s="22" t="s">
        <v>8622</v>
      </c>
      <c r="D4893" s="14" t="s">
        <v>8635</v>
      </c>
    </row>
    <row r="4894" spans="1:4" hidden="1" x14ac:dyDescent="0.25">
      <c r="A4894" s="12" t="s">
        <v>8398</v>
      </c>
      <c r="B4894" s="3"/>
      <c r="C4894" s="22" t="s">
        <v>8623</v>
      </c>
      <c r="D4894" s="14" t="s">
        <v>8635</v>
      </c>
    </row>
    <row r="4895" spans="1:4" hidden="1" x14ac:dyDescent="0.25">
      <c r="A4895" s="12" t="s">
        <v>8399</v>
      </c>
      <c r="B4895" s="3"/>
      <c r="C4895" s="22" t="s">
        <v>8624</v>
      </c>
      <c r="D4895" s="14" t="s">
        <v>8635</v>
      </c>
    </row>
    <row r="4896" spans="1:4" hidden="1" x14ac:dyDescent="0.25">
      <c r="A4896" s="12" t="s">
        <v>8400</v>
      </c>
      <c r="B4896" s="3"/>
      <c r="C4896" s="22" t="s">
        <v>8625</v>
      </c>
      <c r="D4896" s="14" t="s">
        <v>8635</v>
      </c>
    </row>
    <row r="4897" spans="1:4" hidden="1" x14ac:dyDescent="0.25">
      <c r="A4897" s="12" t="s">
        <v>8401</v>
      </c>
      <c r="B4897" s="3"/>
      <c r="C4897" s="22" t="s">
        <v>8626</v>
      </c>
      <c r="D4897" s="14" t="s">
        <v>8635</v>
      </c>
    </row>
    <row r="4898" spans="1:4" hidden="1" x14ac:dyDescent="0.25">
      <c r="A4898" s="12" t="s">
        <v>8402</v>
      </c>
      <c r="B4898" s="3"/>
      <c r="C4898" s="22" t="s">
        <v>8627</v>
      </c>
      <c r="D4898" s="14" t="s">
        <v>8635</v>
      </c>
    </row>
    <row r="4899" spans="1:4" hidden="1" x14ac:dyDescent="0.25">
      <c r="A4899" s="12" t="s">
        <v>8403</v>
      </c>
      <c r="B4899" s="3"/>
      <c r="C4899" s="22" t="s">
        <v>8628</v>
      </c>
      <c r="D4899" s="14" t="s">
        <v>8635</v>
      </c>
    </row>
    <row r="4900" spans="1:4" hidden="1" x14ac:dyDescent="0.25">
      <c r="A4900" s="12" t="s">
        <v>8404</v>
      </c>
      <c r="B4900" s="3"/>
      <c r="C4900" s="22" t="s">
        <v>8629</v>
      </c>
      <c r="D4900" s="14" t="s">
        <v>8635</v>
      </c>
    </row>
    <row r="4901" spans="1:4" hidden="1" x14ac:dyDescent="0.25">
      <c r="A4901" s="12" t="s">
        <v>8405</v>
      </c>
      <c r="B4901" s="3"/>
      <c r="C4901" s="22" t="s">
        <v>8630</v>
      </c>
      <c r="D4901" s="14" t="s">
        <v>8635</v>
      </c>
    </row>
    <row r="4902" spans="1:4" hidden="1" x14ac:dyDescent="0.25">
      <c r="A4902" s="12" t="s">
        <v>8406</v>
      </c>
      <c r="B4902" s="3"/>
      <c r="C4902" s="22" t="s">
        <v>8631</v>
      </c>
      <c r="D4902" s="14" t="s">
        <v>8635</v>
      </c>
    </row>
    <row r="4903" spans="1:4" hidden="1" x14ac:dyDescent="0.25">
      <c r="A4903" s="12" t="s">
        <v>8407</v>
      </c>
      <c r="B4903" s="3"/>
      <c r="C4903" s="22" t="s">
        <v>8632</v>
      </c>
      <c r="D4903" s="14" t="s">
        <v>8635</v>
      </c>
    </row>
    <row r="4904" spans="1:4" hidden="1" x14ac:dyDescent="0.25">
      <c r="A4904" s="12" t="s">
        <v>8408</v>
      </c>
      <c r="B4904" s="3"/>
      <c r="C4904" s="22" t="s">
        <v>8633</v>
      </c>
      <c r="D4904" s="14" t="s">
        <v>8635</v>
      </c>
    </row>
    <row r="4905" spans="1:4" hidden="1" x14ac:dyDescent="0.25">
      <c r="A4905" s="17" t="s">
        <v>8409</v>
      </c>
      <c r="B4905" s="16"/>
      <c r="C4905" s="22" t="s">
        <v>8634</v>
      </c>
      <c r="D4905" s="14" t="s">
        <v>8635</v>
      </c>
    </row>
    <row r="4906" spans="1:4" hidden="1" x14ac:dyDescent="0.25">
      <c r="A4906" s="30" t="s">
        <v>9034</v>
      </c>
      <c r="B4906" s="16"/>
      <c r="C4906" s="1" t="s">
        <v>9036</v>
      </c>
      <c r="D4906" s="14" t="s">
        <v>5526</v>
      </c>
    </row>
    <row r="4907" spans="1:4" hidden="1" x14ac:dyDescent="0.25">
      <c r="A4907" s="12" t="s">
        <v>9029</v>
      </c>
      <c r="B4907" s="3"/>
      <c r="C4907" s="18" t="s">
        <v>9037</v>
      </c>
      <c r="D4907" s="14" t="s">
        <v>8181</v>
      </c>
    </row>
    <row r="4908" spans="1:4" hidden="1" x14ac:dyDescent="0.25">
      <c r="A4908" s="12" t="s">
        <v>9030</v>
      </c>
      <c r="B4908" s="3"/>
      <c r="C4908" s="18" t="s">
        <v>9037</v>
      </c>
      <c r="D4908" s="14" t="s">
        <v>8181</v>
      </c>
    </row>
    <row r="4909" spans="1:4" hidden="1" x14ac:dyDescent="0.25">
      <c r="A4909" s="17" t="s">
        <v>9031</v>
      </c>
      <c r="B4909" s="16"/>
      <c r="C4909" s="18" t="s">
        <v>9037</v>
      </c>
      <c r="D4909" s="14" t="s">
        <v>8181</v>
      </c>
    </row>
    <row r="4910" spans="1:4" hidden="1" x14ac:dyDescent="0.25">
      <c r="A4910" s="12" t="s">
        <v>9024</v>
      </c>
      <c r="B4910" s="3"/>
      <c r="C4910" s="18" t="s">
        <v>9037</v>
      </c>
      <c r="D4910" s="14"/>
    </row>
    <row r="4911" spans="1:4" hidden="1" x14ac:dyDescent="0.25">
      <c r="A4911" s="17" t="s">
        <v>9025</v>
      </c>
      <c r="B4911" s="16"/>
      <c r="C4911" s="18" t="s">
        <v>9037</v>
      </c>
      <c r="D4911" s="14"/>
    </row>
    <row r="4912" spans="1:4" hidden="1" x14ac:dyDescent="0.25">
      <c r="A4912" s="31" t="s">
        <v>9026</v>
      </c>
      <c r="B4912" s="16"/>
      <c r="C4912" s="18" t="s">
        <v>9037</v>
      </c>
      <c r="D4912" s="14"/>
    </row>
    <row r="4913" spans="1:4" hidden="1" x14ac:dyDescent="0.25">
      <c r="A4913" s="31" t="s">
        <v>9027</v>
      </c>
      <c r="B4913" s="16"/>
      <c r="C4913" s="18" t="s">
        <v>9037</v>
      </c>
      <c r="D4913" s="14"/>
    </row>
    <row r="4914" spans="1:4" hidden="1" x14ac:dyDescent="0.25">
      <c r="A4914" s="31" t="s">
        <v>9028</v>
      </c>
      <c r="B4914" s="16"/>
      <c r="C4914" s="18" t="s">
        <v>9037</v>
      </c>
      <c r="D4914" s="14"/>
    </row>
    <row r="4915" spans="1:4" hidden="1" x14ac:dyDescent="0.25">
      <c r="A4915" s="30" t="s">
        <v>9038</v>
      </c>
      <c r="B4915" s="16"/>
      <c r="C4915" s="1" t="s">
        <v>9039</v>
      </c>
      <c r="D4915" s="14" t="s">
        <v>5532</v>
      </c>
    </row>
    <row r="4916" spans="1:4" hidden="1" x14ac:dyDescent="0.25">
      <c r="A4916" s="31" t="s">
        <v>9040</v>
      </c>
      <c r="B4916" s="16"/>
      <c r="C4916" s="1" t="s">
        <v>9041</v>
      </c>
      <c r="D4916" s="14" t="s">
        <v>5525</v>
      </c>
    </row>
    <row r="4917" spans="1:4" hidden="1" x14ac:dyDescent="0.25">
      <c r="A4917" s="12" t="s">
        <v>9043</v>
      </c>
      <c r="B4917" s="3"/>
      <c r="C4917" s="1" t="s">
        <v>5433</v>
      </c>
      <c r="D4917" s="14" t="s">
        <v>5532</v>
      </c>
    </row>
    <row r="4918" spans="1:4" hidden="1" x14ac:dyDescent="0.25">
      <c r="A4918" s="17" t="s">
        <v>9044</v>
      </c>
      <c r="B4918" s="16"/>
      <c r="C4918" s="1" t="s">
        <v>5477</v>
      </c>
      <c r="D4918" s="14" t="s">
        <v>5532</v>
      </c>
    </row>
    <row r="4919" spans="1:4" hidden="1" x14ac:dyDescent="0.25">
      <c r="A4919" s="17" t="s">
        <v>9042</v>
      </c>
      <c r="B4919" s="16"/>
      <c r="C4919" s="1" t="s">
        <v>9045</v>
      </c>
      <c r="D4919" s="14" t="s">
        <v>5532</v>
      </c>
    </row>
    <row r="4920" spans="1:4" hidden="1" x14ac:dyDescent="0.25">
      <c r="A4920" s="30" t="s">
        <v>9046</v>
      </c>
      <c r="B4920" s="16"/>
      <c r="C4920" s="1" t="s">
        <v>9047</v>
      </c>
      <c r="D4920" s="14" t="s">
        <v>5532</v>
      </c>
    </row>
    <row r="4921" spans="1:4" hidden="1" x14ac:dyDescent="0.25">
      <c r="A4921" s="31" t="s">
        <v>9049</v>
      </c>
      <c r="B4921" s="1" t="s">
        <v>9050</v>
      </c>
      <c r="C4921" s="2" t="s">
        <v>9052</v>
      </c>
      <c r="D4921" s="14" t="s">
        <v>5527</v>
      </c>
    </row>
    <row r="4922" spans="1:4" hidden="1" x14ac:dyDescent="0.25">
      <c r="A4922" s="31" t="s">
        <v>9048</v>
      </c>
      <c r="B4922" s="1" t="s">
        <v>9051</v>
      </c>
      <c r="C4922" s="2" t="s">
        <v>9053</v>
      </c>
      <c r="D4922" s="14" t="s">
        <v>5527</v>
      </c>
    </row>
    <row r="4923" spans="1:4" hidden="1" x14ac:dyDescent="0.25">
      <c r="A4923" s="31" t="s">
        <v>9054</v>
      </c>
      <c r="B4923" s="16"/>
      <c r="C4923" s="1" t="s">
        <v>5441</v>
      </c>
      <c r="D4923" s="14" t="s">
        <v>5532</v>
      </c>
    </row>
    <row r="4924" spans="1:4" hidden="1" x14ac:dyDescent="0.25">
      <c r="A4924" s="30" t="s">
        <v>9055</v>
      </c>
      <c r="B4924" s="16"/>
      <c r="C4924" s="1" t="s">
        <v>5471</v>
      </c>
      <c r="D4924" s="14" t="s">
        <v>5532</v>
      </c>
    </row>
    <row r="4925" spans="1:4" hidden="1" x14ac:dyDescent="0.25">
      <c r="A4925" s="31" t="s">
        <v>9056</v>
      </c>
      <c r="B4925" s="16"/>
      <c r="C4925" s="1" t="s">
        <v>5438</v>
      </c>
      <c r="D4925" s="14" t="s">
        <v>5532</v>
      </c>
    </row>
    <row r="4926" spans="1:4" hidden="1" x14ac:dyDescent="0.25">
      <c r="A4926" s="30" t="s">
        <v>9057</v>
      </c>
      <c r="B4926" s="16"/>
      <c r="C4926" s="1" t="s">
        <v>5439</v>
      </c>
      <c r="D4926" s="14" t="s">
        <v>5532</v>
      </c>
    </row>
    <row r="4927" spans="1:4" hidden="1" x14ac:dyDescent="0.25">
      <c r="A4927" s="12" t="s">
        <v>9058</v>
      </c>
      <c r="B4927" s="3"/>
      <c r="C4927" s="1" t="s">
        <v>5459</v>
      </c>
      <c r="D4927" s="14" t="s">
        <v>5532</v>
      </c>
    </row>
    <row r="4928" spans="1:4" hidden="1" x14ac:dyDescent="0.25">
      <c r="A4928" s="17" t="s">
        <v>9059</v>
      </c>
      <c r="B4928" s="16"/>
      <c r="C4928" s="1" t="s">
        <v>5483</v>
      </c>
      <c r="D4928" s="14" t="s">
        <v>5532</v>
      </c>
    </row>
    <row r="4929" spans="1:4" hidden="1" x14ac:dyDescent="0.25">
      <c r="A4929" s="12" t="s">
        <v>9069</v>
      </c>
      <c r="B4929" s="3"/>
      <c r="C4929" s="3" t="s">
        <v>9070</v>
      </c>
      <c r="D4929" s="14" t="s">
        <v>5526</v>
      </c>
    </row>
    <row r="4930" spans="1:4" hidden="1" x14ac:dyDescent="0.25">
      <c r="A4930" s="17" t="s">
        <v>9068</v>
      </c>
      <c r="B4930" s="16"/>
      <c r="C4930" s="16" t="s">
        <v>9071</v>
      </c>
      <c r="D4930" s="14" t="s">
        <v>5526</v>
      </c>
    </row>
    <row r="4931" spans="1:4" hidden="1" x14ac:dyDescent="0.25">
      <c r="A4931" s="30" t="s">
        <v>9072</v>
      </c>
      <c r="B4931" s="16"/>
      <c r="C4931" s="16" t="s">
        <v>9073</v>
      </c>
      <c r="D4931" s="14" t="s">
        <v>5526</v>
      </c>
    </row>
    <row r="4932" spans="1:4" hidden="1" x14ac:dyDescent="0.25">
      <c r="A4932" s="12" t="s">
        <v>9063</v>
      </c>
      <c r="B4932" s="3"/>
      <c r="C4932" s="1" t="s">
        <v>5433</v>
      </c>
      <c r="D4932" s="14" t="s">
        <v>5532</v>
      </c>
    </row>
    <row r="4933" spans="1:4" hidden="1" x14ac:dyDescent="0.25">
      <c r="A4933" s="12" t="s">
        <v>9064</v>
      </c>
      <c r="B4933" s="3"/>
      <c r="C4933" s="1" t="s">
        <v>5435</v>
      </c>
      <c r="D4933" s="14" t="s">
        <v>5532</v>
      </c>
    </row>
    <row r="4934" spans="1:4" hidden="1" x14ac:dyDescent="0.25">
      <c r="A4934" s="17" t="s">
        <v>9065</v>
      </c>
      <c r="B4934" s="16"/>
      <c r="C4934" s="1" t="s">
        <v>5436</v>
      </c>
      <c r="D4934" s="14" t="s">
        <v>5532</v>
      </c>
    </row>
    <row r="4935" spans="1:4" hidden="1" x14ac:dyDescent="0.25">
      <c r="A4935" s="17" t="s">
        <v>9066</v>
      </c>
      <c r="B4935" s="16"/>
      <c r="C4935" s="1" t="s">
        <v>5456</v>
      </c>
      <c r="D4935" s="14" t="s">
        <v>5532</v>
      </c>
    </row>
    <row r="4936" spans="1:4" hidden="1" x14ac:dyDescent="0.25">
      <c r="A4936" s="30" t="s">
        <v>9067</v>
      </c>
      <c r="B4936" s="16"/>
      <c r="C4936" s="1" t="s">
        <v>5478</v>
      </c>
      <c r="D4936" s="14" t="s">
        <v>5532</v>
      </c>
    </row>
    <row r="4937" spans="1:4" hidden="1" x14ac:dyDescent="0.25">
      <c r="A4937" s="17" t="s">
        <v>9074</v>
      </c>
      <c r="B4937" s="16"/>
      <c r="C4937" s="1" t="s">
        <v>5453</v>
      </c>
      <c r="D4937" s="14" t="s">
        <v>5532</v>
      </c>
    </row>
    <row r="4938" spans="1:4" hidden="1" x14ac:dyDescent="0.25">
      <c r="A4938" s="30" t="s">
        <v>9075</v>
      </c>
      <c r="B4938" s="16"/>
      <c r="C4938" s="1" t="s">
        <v>9076</v>
      </c>
      <c r="D4938" s="14" t="s">
        <v>5532</v>
      </c>
    </row>
    <row r="4939" spans="1:4" hidden="1" x14ac:dyDescent="0.25">
      <c r="A4939" s="17" t="s">
        <v>9077</v>
      </c>
      <c r="B4939" s="16"/>
      <c r="C4939" s="1" t="s">
        <v>5468</v>
      </c>
      <c r="D4939" s="14"/>
    </row>
    <row r="4940" spans="1:4" hidden="1" x14ac:dyDescent="0.25">
      <c r="A4940" s="30" t="s">
        <v>9078</v>
      </c>
      <c r="B4940" s="16"/>
      <c r="C4940" s="16" t="s">
        <v>9079</v>
      </c>
      <c r="D4940" s="14" t="s">
        <v>5526</v>
      </c>
    </row>
    <row r="4941" spans="1:4" hidden="1" x14ac:dyDescent="0.25">
      <c r="A4941" s="31" t="s">
        <v>9085</v>
      </c>
      <c r="B4941" s="16"/>
      <c r="C4941" s="2" t="s">
        <v>9086</v>
      </c>
      <c r="D4941" s="14" t="s">
        <v>5524</v>
      </c>
    </row>
    <row r="4942" spans="1:4" hidden="1" x14ac:dyDescent="0.25">
      <c r="A4942" s="12" t="s">
        <v>9082</v>
      </c>
      <c r="B4942" s="3"/>
      <c r="C4942" s="3" t="s">
        <v>5434</v>
      </c>
      <c r="D4942" s="14" t="s">
        <v>5532</v>
      </c>
    </row>
    <row r="4943" spans="1:4" hidden="1" x14ac:dyDescent="0.25">
      <c r="A4943" s="17" t="s">
        <v>9083</v>
      </c>
      <c r="B4943" s="16"/>
      <c r="C4943" s="16" t="s">
        <v>5461</v>
      </c>
      <c r="D4943" s="14" t="s">
        <v>5532</v>
      </c>
    </row>
    <row r="4944" spans="1:4" hidden="1" x14ac:dyDescent="0.25">
      <c r="A4944" s="17" t="s">
        <v>9084</v>
      </c>
      <c r="B4944" s="16"/>
      <c r="C4944" s="16" t="s">
        <v>5479</v>
      </c>
      <c r="D4944" s="14" t="s">
        <v>5532</v>
      </c>
    </row>
    <row r="4945" spans="1:4" hidden="1" x14ac:dyDescent="0.25">
      <c r="A4945" s="17" t="s">
        <v>9087</v>
      </c>
      <c r="B4945" s="16"/>
      <c r="C4945" s="16" t="s">
        <v>9088</v>
      </c>
      <c r="D4945" s="14" t="s">
        <v>5526</v>
      </c>
    </row>
    <row r="4946" spans="1:4" hidden="1" x14ac:dyDescent="0.25">
      <c r="A4946" s="17" t="s">
        <v>9089</v>
      </c>
      <c r="B4946" s="16"/>
      <c r="C4946" s="2" t="s">
        <v>9090</v>
      </c>
      <c r="D4946" s="14" t="s">
        <v>5524</v>
      </c>
    </row>
    <row r="4947" spans="1:4" hidden="1" x14ac:dyDescent="0.25">
      <c r="A4947" s="31" t="s">
        <v>9091</v>
      </c>
      <c r="B4947" s="16"/>
      <c r="C4947" s="16" t="s">
        <v>5457</v>
      </c>
      <c r="D4947" s="14" t="s">
        <v>5532</v>
      </c>
    </row>
    <row r="4948" spans="1:4" hidden="1" x14ac:dyDescent="0.25">
      <c r="A4948" s="31" t="s">
        <v>9092</v>
      </c>
      <c r="B4948" s="16"/>
      <c r="C4948" s="16" t="s">
        <v>9094</v>
      </c>
      <c r="D4948" s="14" t="s">
        <v>5532</v>
      </c>
    </row>
    <row r="4949" spans="1:4" hidden="1" x14ac:dyDescent="0.25">
      <c r="A4949" s="17" t="s">
        <v>9093</v>
      </c>
      <c r="B4949" s="16"/>
      <c r="C4949" s="2" t="s">
        <v>9095</v>
      </c>
      <c r="D4949" s="14" t="s">
        <v>5524</v>
      </c>
    </row>
    <row r="4950" spans="1:4" hidden="1" x14ac:dyDescent="0.25">
      <c r="A4950" s="30" t="s">
        <v>9096</v>
      </c>
      <c r="B4950" s="16"/>
      <c r="C4950" s="16" t="s">
        <v>9098</v>
      </c>
      <c r="D4950" s="14" t="s">
        <v>5532</v>
      </c>
    </row>
    <row r="4951" spans="1:4" x14ac:dyDescent="0.25">
      <c r="A4951" s="30" t="s">
        <v>9097</v>
      </c>
      <c r="B4951" s="16"/>
      <c r="C4951" s="1" t="s">
        <v>9099</v>
      </c>
      <c r="D4951" s="14" t="s">
        <v>5530</v>
      </c>
    </row>
    <row r="4952" spans="1:4" x14ac:dyDescent="0.25">
      <c r="A4952" s="30" t="s">
        <v>9100</v>
      </c>
      <c r="B4952" s="16"/>
      <c r="C4952" s="1" t="s">
        <v>9101</v>
      </c>
      <c r="D4952" s="14" t="s">
        <v>5530</v>
      </c>
    </row>
    <row r="4953" spans="1:4" hidden="1" x14ac:dyDescent="0.25">
      <c r="A4953" s="30" t="s">
        <v>9102</v>
      </c>
      <c r="B4953" s="16"/>
      <c r="C4953" s="16" t="s">
        <v>9103</v>
      </c>
      <c r="D4953" s="14" t="s">
        <v>5526</v>
      </c>
    </row>
    <row r="4954" spans="1:4" hidden="1" x14ac:dyDescent="0.25">
      <c r="A4954" s="35" t="s">
        <v>9104</v>
      </c>
      <c r="B4954" s="3"/>
      <c r="C4954" s="16" t="s">
        <v>5440</v>
      </c>
      <c r="D4954" s="14" t="s">
        <v>5532</v>
      </c>
    </row>
    <row r="4955" spans="1:4" hidden="1" x14ac:dyDescent="0.25">
      <c r="A4955" s="31" t="s">
        <v>9105</v>
      </c>
      <c r="B4955" s="16"/>
      <c r="C4955" s="16" t="s">
        <v>5460</v>
      </c>
      <c r="D4955" s="14" t="s">
        <v>5532</v>
      </c>
    </row>
    <row r="4956" spans="1:4" hidden="1" x14ac:dyDescent="0.25">
      <c r="A4956" s="30" t="s">
        <v>9106</v>
      </c>
      <c r="B4956" s="16"/>
      <c r="C4956" s="16" t="s">
        <v>9107</v>
      </c>
      <c r="D4956" s="14" t="s">
        <v>5532</v>
      </c>
    </row>
    <row r="4957" spans="1:4" hidden="1" x14ac:dyDescent="0.25">
      <c r="A4957" s="17" t="s">
        <v>9108</v>
      </c>
      <c r="B4957" s="16"/>
      <c r="C4957" s="2" t="s">
        <v>9109</v>
      </c>
      <c r="D4957" s="14" t="s">
        <v>5524</v>
      </c>
    </row>
    <row r="4958" spans="1:4" hidden="1" x14ac:dyDescent="0.25">
      <c r="A4958" s="30" t="s">
        <v>9110</v>
      </c>
      <c r="B4958" s="16"/>
      <c r="C4958" s="16" t="s">
        <v>5484</v>
      </c>
      <c r="D4958" s="14" t="s">
        <v>5532</v>
      </c>
    </row>
    <row r="4959" spans="1:4" hidden="1" x14ac:dyDescent="0.25">
      <c r="A4959" s="12" t="s">
        <v>9112</v>
      </c>
      <c r="B4959" s="3"/>
      <c r="C4959" s="16" t="s">
        <v>9114</v>
      </c>
      <c r="D4959" s="14" t="s">
        <v>5532</v>
      </c>
    </row>
    <row r="4960" spans="1:4" hidden="1" x14ac:dyDescent="0.25">
      <c r="A4960" s="12" t="s">
        <v>9111</v>
      </c>
      <c r="B4960" s="3"/>
      <c r="C4960" s="16" t="s">
        <v>9115</v>
      </c>
      <c r="D4960" s="14" t="s">
        <v>5532</v>
      </c>
    </row>
    <row r="4961" spans="1:4" hidden="1" x14ac:dyDescent="0.25">
      <c r="A4961" s="17" t="s">
        <v>9113</v>
      </c>
      <c r="B4961" s="16"/>
      <c r="C4961" s="16" t="s">
        <v>9116</v>
      </c>
      <c r="D4961" s="14" t="s">
        <v>5532</v>
      </c>
    </row>
    <row r="4962" spans="1:4" hidden="1" x14ac:dyDescent="0.25">
      <c r="A4962" s="31" t="s">
        <v>9118</v>
      </c>
      <c r="B4962" s="16"/>
      <c r="C4962" s="16" t="s">
        <v>9119</v>
      </c>
      <c r="D4962" s="14" t="s">
        <v>5532</v>
      </c>
    </row>
    <row r="4963" spans="1:4" hidden="1" x14ac:dyDescent="0.25">
      <c r="A4963" s="30" t="s">
        <v>9117</v>
      </c>
      <c r="B4963" s="16"/>
      <c r="C4963" s="22" t="s">
        <v>9122</v>
      </c>
      <c r="D4963" s="14" t="s">
        <v>8635</v>
      </c>
    </row>
    <row r="4964" spans="1:4" hidden="1" x14ac:dyDescent="0.25">
      <c r="A4964" s="36" t="s">
        <v>9120</v>
      </c>
      <c r="B4964" s="3"/>
      <c r="C4964" s="22" t="s">
        <v>9123</v>
      </c>
      <c r="D4964" s="14" t="s">
        <v>8635</v>
      </c>
    </row>
    <row r="4965" spans="1:4" hidden="1" x14ac:dyDescent="0.25">
      <c r="A4965" s="30" t="s">
        <v>9121</v>
      </c>
      <c r="B4965" s="16"/>
      <c r="C4965" s="22" t="s">
        <v>9124</v>
      </c>
      <c r="D4965" s="14" t="s">
        <v>8635</v>
      </c>
    </row>
    <row r="4966" spans="1:4" hidden="1" x14ac:dyDescent="0.25">
      <c r="A4966" s="31" t="s">
        <v>9125</v>
      </c>
      <c r="B4966" s="16"/>
      <c r="C4966" s="16" t="s">
        <v>9126</v>
      </c>
      <c r="D4966" s="14" t="s">
        <v>5532</v>
      </c>
    </row>
    <row r="4967" spans="1:4" hidden="1" x14ac:dyDescent="0.25">
      <c r="A4967" s="17" t="s">
        <v>9127</v>
      </c>
      <c r="B4967" s="16"/>
      <c r="C4967" s="18" t="s">
        <v>9037</v>
      </c>
      <c r="D4967" s="14"/>
    </row>
    <row r="4968" spans="1:4" hidden="1" x14ac:dyDescent="0.25">
      <c r="A4968" s="17" t="s">
        <v>9128</v>
      </c>
      <c r="B4968" s="16"/>
      <c r="C4968" s="18" t="s">
        <v>9037</v>
      </c>
      <c r="D4968" s="14"/>
    </row>
    <row r="4969" spans="1:4" hidden="1" x14ac:dyDescent="0.25">
      <c r="A4969" s="15" t="s">
        <v>9129</v>
      </c>
      <c r="B4969" s="16"/>
      <c r="C4969" s="16" t="s">
        <v>5464</v>
      </c>
      <c r="D4969" s="14" t="s">
        <v>5532</v>
      </c>
    </row>
    <row r="4970" spans="1:4" hidden="1" x14ac:dyDescent="0.25">
      <c r="A4970" s="30" t="s">
        <v>9130</v>
      </c>
      <c r="B4970" s="16"/>
      <c r="C4970" s="16" t="s">
        <v>5485</v>
      </c>
      <c r="D4970" s="14" t="s">
        <v>5532</v>
      </c>
    </row>
    <row r="4971" spans="1:4" hidden="1" x14ac:dyDescent="0.25">
      <c r="A4971" s="30" t="s">
        <v>9131</v>
      </c>
      <c r="B4971" s="16"/>
      <c r="C4971" s="16" t="s">
        <v>9132</v>
      </c>
      <c r="D4971" s="14" t="s">
        <v>5532</v>
      </c>
    </row>
    <row r="4972" spans="1:4" hidden="1" x14ac:dyDescent="0.25">
      <c r="A4972" s="30" t="s">
        <v>9133</v>
      </c>
      <c r="B4972" s="16"/>
      <c r="C4972" s="16" t="s">
        <v>9134</v>
      </c>
      <c r="D4972" s="14" t="s">
        <v>5526</v>
      </c>
    </row>
    <row r="4973" spans="1:4" hidden="1" x14ac:dyDescent="0.25">
      <c r="A4973" s="15" t="s">
        <v>9135</v>
      </c>
      <c r="B4973" s="16"/>
      <c r="C4973" s="16" t="s">
        <v>9136</v>
      </c>
      <c r="D4973" s="14" t="s">
        <v>5532</v>
      </c>
    </row>
    <row r="4974" spans="1:4" hidden="1" x14ac:dyDescent="0.25">
      <c r="A4974" s="30" t="s">
        <v>9137</v>
      </c>
      <c r="B4974" s="16"/>
      <c r="C4974" s="16" t="s">
        <v>5465</v>
      </c>
      <c r="D4974" s="14" t="s">
        <v>5532</v>
      </c>
    </row>
    <row r="4975" spans="1:4" hidden="1" x14ac:dyDescent="0.25">
      <c r="A4975" s="30" t="s">
        <v>9138</v>
      </c>
      <c r="B4975" s="16"/>
      <c r="C4975" s="16" t="s">
        <v>5458</v>
      </c>
      <c r="D4975" s="14" t="s">
        <v>5532</v>
      </c>
    </row>
    <row r="4976" spans="1:4" hidden="1" x14ac:dyDescent="0.25">
      <c r="A4976" s="17" t="s">
        <v>9139</v>
      </c>
      <c r="B4976" s="16"/>
      <c r="C4976" s="2" t="s">
        <v>9164</v>
      </c>
      <c r="D4976" s="14" t="s">
        <v>5524</v>
      </c>
    </row>
    <row r="4977" spans="1:4" hidden="1" x14ac:dyDescent="0.25">
      <c r="A4977" s="31" t="s">
        <v>9141</v>
      </c>
      <c r="B4977" s="16"/>
      <c r="C4977" s="16" t="s">
        <v>9142</v>
      </c>
      <c r="D4977" s="14" t="s">
        <v>5532</v>
      </c>
    </row>
    <row r="4978" spans="1:4" hidden="1" x14ac:dyDescent="0.25">
      <c r="A4978" s="38" t="s">
        <v>9143</v>
      </c>
      <c r="B4978" s="39"/>
      <c r="C4978" s="16" t="s">
        <v>5474</v>
      </c>
      <c r="D4978" s="14" t="s">
        <v>5532</v>
      </c>
    </row>
    <row r="4979" spans="1:4" hidden="1" x14ac:dyDescent="0.25">
      <c r="A4979" s="41" t="s">
        <v>9144</v>
      </c>
      <c r="B4979" s="39"/>
      <c r="C4979" s="2" t="s">
        <v>9145</v>
      </c>
      <c r="D4979" s="14" t="s">
        <v>5527</v>
      </c>
    </row>
    <row r="4980" spans="1:4" hidden="1" x14ac:dyDescent="0.25">
      <c r="A4980" s="40" t="s">
        <v>9146</v>
      </c>
      <c r="B4980" s="37"/>
      <c r="C4980" s="16" t="s">
        <v>5444</v>
      </c>
      <c r="D4980" s="14" t="s">
        <v>5532</v>
      </c>
    </row>
    <row r="4981" spans="1:4" hidden="1" x14ac:dyDescent="0.25">
      <c r="A4981" s="41" t="s">
        <v>9147</v>
      </c>
      <c r="B4981" s="39"/>
      <c r="C4981" s="16" t="s">
        <v>5447</v>
      </c>
      <c r="D4981" s="14" t="s">
        <v>5532</v>
      </c>
    </row>
    <row r="4982" spans="1:4" hidden="1" x14ac:dyDescent="0.25">
      <c r="A4982" s="41" t="s">
        <v>9148</v>
      </c>
      <c r="B4982" s="39"/>
      <c r="C4982" s="16" t="s">
        <v>9149</v>
      </c>
      <c r="D4982" s="14" t="s">
        <v>5532</v>
      </c>
    </row>
    <row r="4983" spans="1:4" hidden="1" x14ac:dyDescent="0.25">
      <c r="A4983" s="42" t="s">
        <v>9150</v>
      </c>
      <c r="B4983" s="43"/>
      <c r="C4983" s="16" t="s">
        <v>5443</v>
      </c>
      <c r="D4983" s="14" t="s">
        <v>5532</v>
      </c>
    </row>
    <row r="4984" spans="1:4" hidden="1" x14ac:dyDescent="0.25">
      <c r="A4984" s="44" t="s">
        <v>9151</v>
      </c>
      <c r="B4984" s="39"/>
      <c r="C4984" s="16" t="s">
        <v>5454</v>
      </c>
      <c r="D4984" s="14" t="s">
        <v>5532</v>
      </c>
    </row>
    <row r="4985" spans="1:4" hidden="1" x14ac:dyDescent="0.25">
      <c r="A4985" s="38" t="s">
        <v>9152</v>
      </c>
      <c r="B4985" s="39"/>
      <c r="C4985" s="16" t="s">
        <v>5467</v>
      </c>
      <c r="D4985" s="14" t="s">
        <v>5532</v>
      </c>
    </row>
    <row r="4986" spans="1:4" hidden="1" x14ac:dyDescent="0.25">
      <c r="A4986" s="38" t="s">
        <v>9153</v>
      </c>
      <c r="B4986" s="39"/>
      <c r="C4986" s="16" t="s">
        <v>9154</v>
      </c>
      <c r="D4986" s="14" t="s">
        <v>5532</v>
      </c>
    </row>
    <row r="4987" spans="1:4" hidden="1" x14ac:dyDescent="0.25">
      <c r="A4987" s="44" t="s">
        <v>9155</v>
      </c>
      <c r="B4987" s="39"/>
      <c r="C4987" s="16" t="s">
        <v>9156</v>
      </c>
      <c r="D4987" s="14" t="s">
        <v>5532</v>
      </c>
    </row>
    <row r="4988" spans="1:4" hidden="1" x14ac:dyDescent="0.25">
      <c r="A4988" s="38" t="s">
        <v>9157</v>
      </c>
      <c r="B4988" s="39"/>
      <c r="C4988" s="22" t="s">
        <v>9158</v>
      </c>
      <c r="D4988" s="14" t="s">
        <v>8635</v>
      </c>
    </row>
    <row r="4989" spans="1:4" hidden="1" x14ac:dyDescent="0.25">
      <c r="A4989" s="44" t="s">
        <v>9159</v>
      </c>
      <c r="B4989" s="39"/>
      <c r="C4989" s="2" t="s">
        <v>9140</v>
      </c>
      <c r="D4989" s="14" t="s">
        <v>5524</v>
      </c>
    </row>
    <row r="4990" spans="1:4" hidden="1" x14ac:dyDescent="0.25">
      <c r="A4990" s="44" t="s">
        <v>9165</v>
      </c>
      <c r="B4990" s="39"/>
      <c r="C4990" s="2" t="s">
        <v>9166</v>
      </c>
      <c r="D4990" s="14" t="s">
        <v>5527</v>
      </c>
    </row>
    <row r="4991" spans="1:4" hidden="1" x14ac:dyDescent="0.25">
      <c r="A4991" s="44" t="s">
        <v>9160</v>
      </c>
      <c r="B4991" s="39"/>
      <c r="C4991" s="16" t="s">
        <v>9107</v>
      </c>
      <c r="D4991" s="14" t="s">
        <v>5532</v>
      </c>
    </row>
    <row r="4992" spans="1:4" hidden="1" x14ac:dyDescent="0.25">
      <c r="A4992" s="46" t="s">
        <v>9161</v>
      </c>
      <c r="B4992" s="45"/>
      <c r="C4992" s="16" t="s">
        <v>9119</v>
      </c>
      <c r="D4992" s="14" t="s">
        <v>5532</v>
      </c>
    </row>
    <row r="4993" spans="1:4" hidden="1" x14ac:dyDescent="0.25">
      <c r="A4993" s="46" t="s">
        <v>9162</v>
      </c>
      <c r="B4993" s="45"/>
      <c r="C4993" s="16" t="s">
        <v>9168</v>
      </c>
      <c r="D4993" s="14" t="s">
        <v>5532</v>
      </c>
    </row>
    <row r="4994" spans="1:4" hidden="1" x14ac:dyDescent="0.25">
      <c r="A4994" s="41" t="s">
        <v>9167</v>
      </c>
      <c r="B4994" s="39"/>
      <c r="C4994" s="16" t="s">
        <v>5450</v>
      </c>
      <c r="D4994" s="14" t="s">
        <v>5532</v>
      </c>
    </row>
    <row r="4995" spans="1:4" hidden="1" x14ac:dyDescent="0.25">
      <c r="A4995" s="41" t="s">
        <v>9163</v>
      </c>
      <c r="B4995" s="39"/>
      <c r="C4995" s="16" t="s">
        <v>5466</v>
      </c>
      <c r="D4995" s="14" t="s">
        <v>5532</v>
      </c>
    </row>
    <row r="4996" spans="1:4" hidden="1" x14ac:dyDescent="0.25">
      <c r="A4996" s="44" t="s">
        <v>9169</v>
      </c>
      <c r="B4996" s="39"/>
      <c r="C4996" s="16" t="s">
        <v>9170</v>
      </c>
      <c r="D4996" s="14" t="s">
        <v>5532</v>
      </c>
    </row>
    <row r="4997" spans="1:4" hidden="1" x14ac:dyDescent="0.25">
      <c r="A4997" s="47" t="s">
        <v>9174</v>
      </c>
      <c r="B4997" s="48"/>
      <c r="C4997" s="16" t="s">
        <v>9170</v>
      </c>
      <c r="D4997" s="14" t="s">
        <v>5532</v>
      </c>
    </row>
    <row r="4998" spans="1:4" hidden="1" x14ac:dyDescent="0.25">
      <c r="A4998" s="47" t="s">
        <v>9173</v>
      </c>
      <c r="B4998" s="48"/>
      <c r="C4998" s="18" t="s">
        <v>9175</v>
      </c>
      <c r="D4998" s="14"/>
    </row>
    <row r="4999" spans="1:4" hidden="1" x14ac:dyDescent="0.25">
      <c r="A4999" s="49" t="s">
        <v>9171</v>
      </c>
      <c r="B4999" s="50"/>
      <c r="C4999" s="18" t="s">
        <v>9175</v>
      </c>
      <c r="D4999" s="14"/>
    </row>
    <row r="5000" spans="1:4" hidden="1" x14ac:dyDescent="0.25">
      <c r="A5000" s="47" t="s">
        <v>9172</v>
      </c>
      <c r="B5000" s="48"/>
      <c r="C5000" s="18" t="s">
        <v>9175</v>
      </c>
      <c r="D5000" s="14"/>
    </row>
    <row r="5001" spans="1:4" hidden="1" x14ac:dyDescent="0.25">
      <c r="A5001" s="51" t="s">
        <v>9176</v>
      </c>
      <c r="B5001" s="48"/>
      <c r="C5001" s="2" t="s">
        <v>9177</v>
      </c>
      <c r="D5001" s="14" t="s">
        <v>5527</v>
      </c>
    </row>
    <row r="5002" spans="1:4" hidden="1" x14ac:dyDescent="0.25">
      <c r="A5002" s="47" t="s">
        <v>9178</v>
      </c>
      <c r="B5002" s="48"/>
      <c r="C5002" s="16" t="s">
        <v>9179</v>
      </c>
      <c r="D5002" s="14" t="s">
        <v>5532</v>
      </c>
    </row>
    <row r="5003" spans="1:4" hidden="1" x14ac:dyDescent="0.25">
      <c r="A5003" s="47" t="s">
        <v>9180</v>
      </c>
      <c r="B5003" s="48"/>
      <c r="C5003" s="16" t="s">
        <v>9179</v>
      </c>
      <c r="D5003" s="14" t="s">
        <v>5532</v>
      </c>
    </row>
    <row r="5004" spans="1:4" hidden="1" x14ac:dyDescent="0.25">
      <c r="A5004" s="52" t="s">
        <v>9181</v>
      </c>
      <c r="B5004" s="48"/>
      <c r="C5004" s="48" t="s">
        <v>9182</v>
      </c>
      <c r="D5004" s="14" t="s">
        <v>9183</v>
      </c>
    </row>
  </sheetData>
  <pageMargins left="0.7" right="0.7" top="0.75" bottom="0.75" header="0.3" footer="0.3"/>
  <pageSetup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54"/>
  <sheetViews>
    <sheetView topLeftCell="A25" workbookViewId="0">
      <selection activeCell="F40" sqref="F40"/>
    </sheetView>
  </sheetViews>
  <sheetFormatPr defaultRowHeight="15" x14ac:dyDescent="0.25"/>
  <cols>
    <col min="1" max="1" width="35" customWidth="1"/>
    <col min="2" max="2" width="11.140625" customWidth="1"/>
  </cols>
  <sheetData>
    <row r="3" spans="1:2" x14ac:dyDescent="0.25">
      <c r="A3" s="32" t="s">
        <v>9060</v>
      </c>
      <c r="B3" t="s">
        <v>9186</v>
      </c>
    </row>
    <row r="4" spans="1:2" x14ac:dyDescent="0.25">
      <c r="A4" s="13" t="s">
        <v>6441</v>
      </c>
      <c r="B4" s="33">
        <v>1</v>
      </c>
    </row>
    <row r="5" spans="1:2" x14ac:dyDescent="0.25">
      <c r="A5" s="13" t="s">
        <v>6518</v>
      </c>
      <c r="B5" s="33">
        <v>2</v>
      </c>
    </row>
    <row r="6" spans="1:2" x14ac:dyDescent="0.25">
      <c r="A6" s="13" t="s">
        <v>6526</v>
      </c>
      <c r="B6" s="33">
        <v>2</v>
      </c>
    </row>
    <row r="7" spans="1:2" x14ac:dyDescent="0.25">
      <c r="A7" s="13" t="s">
        <v>6533</v>
      </c>
      <c r="B7" s="33">
        <v>2</v>
      </c>
    </row>
    <row r="8" spans="1:2" x14ac:dyDescent="0.25">
      <c r="A8" s="13" t="s">
        <v>6541</v>
      </c>
      <c r="B8" s="33">
        <v>5</v>
      </c>
    </row>
    <row r="9" spans="1:2" x14ac:dyDescent="0.25">
      <c r="A9" s="13" t="s">
        <v>6616</v>
      </c>
      <c r="B9" s="33">
        <v>2</v>
      </c>
    </row>
    <row r="10" spans="1:2" x14ac:dyDescent="0.25">
      <c r="A10" s="13" t="s">
        <v>6556</v>
      </c>
      <c r="B10" s="33">
        <v>4</v>
      </c>
    </row>
    <row r="11" spans="1:2" x14ac:dyDescent="0.25">
      <c r="A11" s="13" t="s">
        <v>6560</v>
      </c>
      <c r="B11" s="33">
        <v>4</v>
      </c>
    </row>
    <row r="12" spans="1:2" x14ac:dyDescent="0.25">
      <c r="A12" s="13" t="s">
        <v>6635</v>
      </c>
      <c r="B12" s="33">
        <v>2</v>
      </c>
    </row>
    <row r="13" spans="1:2" x14ac:dyDescent="0.25">
      <c r="A13" s="13" t="s">
        <v>5432</v>
      </c>
      <c r="B13" s="33">
        <v>4</v>
      </c>
    </row>
    <row r="14" spans="1:2" x14ac:dyDescent="0.25">
      <c r="A14" s="13" t="s">
        <v>5433</v>
      </c>
      <c r="B14" s="33">
        <v>10</v>
      </c>
    </row>
    <row r="15" spans="1:2" x14ac:dyDescent="0.25">
      <c r="A15" s="13" t="s">
        <v>5438</v>
      </c>
      <c r="B15" s="33">
        <v>6</v>
      </c>
    </row>
    <row r="16" spans="1:2" x14ac:dyDescent="0.25">
      <c r="A16" s="13" t="s">
        <v>5477</v>
      </c>
      <c r="B16" s="33">
        <v>2</v>
      </c>
    </row>
    <row r="17" spans="1:2" x14ac:dyDescent="0.25">
      <c r="A17" s="13" t="s">
        <v>8485</v>
      </c>
      <c r="B17" s="33">
        <v>20</v>
      </c>
    </row>
    <row r="18" spans="1:2" x14ac:dyDescent="0.25">
      <c r="A18" s="13" t="s">
        <v>8412</v>
      </c>
      <c r="B18" s="33">
        <v>30</v>
      </c>
    </row>
    <row r="19" spans="1:2" x14ac:dyDescent="0.25">
      <c r="A19" s="13" t="s">
        <v>8487</v>
      </c>
      <c r="B19" s="33">
        <v>10</v>
      </c>
    </row>
    <row r="20" spans="1:2" x14ac:dyDescent="0.25">
      <c r="A20" s="13" t="s">
        <v>8416</v>
      </c>
      <c r="B20" s="33">
        <v>22</v>
      </c>
    </row>
    <row r="21" spans="1:2" x14ac:dyDescent="0.25">
      <c r="A21" s="13" t="s">
        <v>8491</v>
      </c>
      <c r="B21" s="33">
        <v>4</v>
      </c>
    </row>
    <row r="22" spans="1:2" x14ac:dyDescent="0.25">
      <c r="A22" s="13" t="s">
        <v>8427</v>
      </c>
      <c r="B22" s="33">
        <v>10</v>
      </c>
    </row>
    <row r="23" spans="1:2" x14ac:dyDescent="0.25">
      <c r="A23" s="13" t="s">
        <v>8431</v>
      </c>
      <c r="B23" s="33">
        <v>25</v>
      </c>
    </row>
    <row r="24" spans="1:2" x14ac:dyDescent="0.25">
      <c r="A24" s="13" t="s">
        <v>8581</v>
      </c>
      <c r="B24" s="33">
        <v>3</v>
      </c>
    </row>
    <row r="25" spans="1:2" x14ac:dyDescent="0.25">
      <c r="A25" s="13" t="s">
        <v>8435</v>
      </c>
      <c r="B25" s="33">
        <v>20</v>
      </c>
    </row>
    <row r="26" spans="1:2" x14ac:dyDescent="0.25">
      <c r="A26" s="13" t="s">
        <v>8510</v>
      </c>
      <c r="B26" s="33">
        <v>14</v>
      </c>
    </row>
    <row r="27" spans="1:2" x14ac:dyDescent="0.25">
      <c r="A27" s="13" t="s">
        <v>8585</v>
      </c>
      <c r="B27" s="33">
        <v>10</v>
      </c>
    </row>
    <row r="28" spans="1:2" x14ac:dyDescent="0.25">
      <c r="A28" s="13" t="s">
        <v>9184</v>
      </c>
      <c r="B28" s="33">
        <v>0</v>
      </c>
    </row>
    <row r="29" spans="1:2" x14ac:dyDescent="0.25">
      <c r="A29" s="13" t="s">
        <v>9185</v>
      </c>
      <c r="B29" s="33"/>
    </row>
    <row r="30" spans="1:2" x14ac:dyDescent="0.25">
      <c r="A30" s="13" t="s">
        <v>8495</v>
      </c>
      <c r="B30" s="33">
        <v>5</v>
      </c>
    </row>
    <row r="31" spans="1:2" x14ac:dyDescent="0.25">
      <c r="A31" s="13" t="s">
        <v>5439</v>
      </c>
      <c r="B31" s="33">
        <v>3</v>
      </c>
    </row>
    <row r="32" spans="1:2" x14ac:dyDescent="0.25">
      <c r="A32" s="13" t="s">
        <v>5460</v>
      </c>
      <c r="B32" s="33">
        <v>4</v>
      </c>
    </row>
    <row r="33" spans="1:2" x14ac:dyDescent="0.25">
      <c r="A33" s="13" t="s">
        <v>5478</v>
      </c>
      <c r="B33" s="33">
        <v>3</v>
      </c>
    </row>
    <row r="34" spans="1:2" x14ac:dyDescent="0.25">
      <c r="A34" s="13" t="s">
        <v>6537</v>
      </c>
      <c r="B34" s="33">
        <v>1</v>
      </c>
    </row>
    <row r="35" spans="1:2" x14ac:dyDescent="0.25">
      <c r="A35" s="13" t="s">
        <v>5456</v>
      </c>
      <c r="B35" s="33">
        <v>3</v>
      </c>
    </row>
    <row r="36" spans="1:2" x14ac:dyDescent="0.25">
      <c r="A36" s="13" t="s">
        <v>6543</v>
      </c>
      <c r="B36" s="33">
        <v>1</v>
      </c>
    </row>
    <row r="37" spans="1:2" x14ac:dyDescent="0.25">
      <c r="A37" s="13" t="s">
        <v>6456</v>
      </c>
      <c r="B37" s="33">
        <v>2</v>
      </c>
    </row>
    <row r="38" spans="1:2" x14ac:dyDescent="0.25">
      <c r="A38" s="13" t="s">
        <v>9037</v>
      </c>
      <c r="B38" s="33">
        <v>5</v>
      </c>
    </row>
    <row r="39" spans="1:2" x14ac:dyDescent="0.25">
      <c r="A39" s="13" t="s">
        <v>5453</v>
      </c>
      <c r="B39" s="33">
        <v>2</v>
      </c>
    </row>
    <row r="40" spans="1:2" x14ac:dyDescent="0.25">
      <c r="A40" s="13" t="s">
        <v>6443</v>
      </c>
      <c r="B40" s="33">
        <v>2</v>
      </c>
    </row>
    <row r="41" spans="1:2" x14ac:dyDescent="0.25">
      <c r="A41" s="13" t="s">
        <v>9035</v>
      </c>
      <c r="B41" s="33">
        <v>1</v>
      </c>
    </row>
    <row r="42" spans="1:2" x14ac:dyDescent="0.25">
      <c r="A42" s="13" t="s">
        <v>1494</v>
      </c>
      <c r="B42" s="33">
        <v>1</v>
      </c>
    </row>
    <row r="43" spans="1:2" x14ac:dyDescent="0.25">
      <c r="A43" s="13" t="s">
        <v>8105</v>
      </c>
      <c r="B43" s="33">
        <v>1</v>
      </c>
    </row>
    <row r="44" spans="1:2" x14ac:dyDescent="0.25">
      <c r="A44" s="13" t="s">
        <v>6515</v>
      </c>
      <c r="B44" s="33">
        <v>1</v>
      </c>
    </row>
    <row r="45" spans="1:2" x14ac:dyDescent="0.25">
      <c r="A45" s="13" t="s">
        <v>6590</v>
      </c>
      <c r="B45" s="33">
        <v>1</v>
      </c>
    </row>
    <row r="46" spans="1:2" x14ac:dyDescent="0.25">
      <c r="A46" s="13" t="s">
        <v>8480</v>
      </c>
      <c r="B46" s="33">
        <v>1</v>
      </c>
    </row>
    <row r="47" spans="1:2" x14ac:dyDescent="0.25">
      <c r="A47" s="13" t="s">
        <v>5436</v>
      </c>
      <c r="B47" s="33">
        <v>4</v>
      </c>
    </row>
    <row r="48" spans="1:2" x14ac:dyDescent="0.25">
      <c r="A48" s="13" t="s">
        <v>5466</v>
      </c>
      <c r="B48" s="33">
        <v>4</v>
      </c>
    </row>
    <row r="49" spans="1:2" x14ac:dyDescent="0.25">
      <c r="A49" s="13" t="s">
        <v>1675</v>
      </c>
      <c r="B49" s="33">
        <v>1</v>
      </c>
    </row>
    <row r="50" spans="1:2" x14ac:dyDescent="0.25">
      <c r="A50" s="13" t="s">
        <v>1669</v>
      </c>
      <c r="B50" s="33">
        <v>1</v>
      </c>
    </row>
    <row r="51" spans="1:2" x14ac:dyDescent="0.25">
      <c r="A51" s="13" t="s">
        <v>5321</v>
      </c>
      <c r="B51" s="33">
        <v>1</v>
      </c>
    </row>
    <row r="52" spans="1:2" x14ac:dyDescent="0.25">
      <c r="A52" s="13" t="s">
        <v>3048</v>
      </c>
      <c r="B52" s="33">
        <v>1</v>
      </c>
    </row>
    <row r="53" spans="1:2" x14ac:dyDescent="0.25">
      <c r="A53" s="13" t="s">
        <v>4536</v>
      </c>
      <c r="B53" s="33">
        <v>1</v>
      </c>
    </row>
    <row r="54" spans="1:2" x14ac:dyDescent="0.25">
      <c r="A54" s="13" t="s">
        <v>9061</v>
      </c>
      <c r="B54" s="33">
        <v>264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E23494"/>
  <sheetViews>
    <sheetView topLeftCell="A131" zoomScaleNormal="100" workbookViewId="0">
      <selection activeCell="C2" sqref="C2"/>
    </sheetView>
  </sheetViews>
  <sheetFormatPr defaultRowHeight="14.25" x14ac:dyDescent="0.2"/>
  <cols>
    <col min="1" max="1" width="49.140625" style="8" customWidth="1"/>
    <col min="2" max="2" width="11.42578125" style="8" customWidth="1"/>
    <col min="3" max="3" width="48" style="8" customWidth="1"/>
    <col min="4" max="4" width="8.5703125" style="8" customWidth="1"/>
    <col min="5" max="5" width="37.5703125" style="9" bestFit="1" customWidth="1"/>
    <col min="6" max="6" width="18.7109375" style="9" customWidth="1"/>
    <col min="7" max="16384" width="9.140625" style="9"/>
  </cols>
  <sheetData>
    <row r="1" spans="1:5" ht="19.5" thickBot="1" x14ac:dyDescent="0.25">
      <c r="A1" s="28" t="s">
        <v>5511</v>
      </c>
      <c r="B1" s="24" t="s">
        <v>5377</v>
      </c>
      <c r="C1" s="24" t="s">
        <v>5253</v>
      </c>
      <c r="D1" s="25" t="s">
        <v>5377</v>
      </c>
    </row>
    <row r="2" spans="1:5" ht="15.75" x14ac:dyDescent="0.25">
      <c r="A2" s="53" t="s">
        <v>8030</v>
      </c>
      <c r="B2" s="54">
        <v>1</v>
      </c>
      <c r="C2" s="54" t="str">
        <f>VLOOKUP(A:A,'ITEM LIST'!A:C,3,0)</f>
        <v>90D-HYP-INSPREE-BLOCK-72X30X04</v>
      </c>
      <c r="D2" s="53">
        <f>B2</f>
        <v>1</v>
      </c>
    </row>
    <row r="3" spans="1:5" ht="15.75" x14ac:dyDescent="0.25">
      <c r="A3" s="53" t="s">
        <v>7676</v>
      </c>
      <c r="B3" s="54">
        <v>1</v>
      </c>
      <c r="C3" s="54" t="str">
        <f>VLOOKUP(A:A,'ITEM LIST'!A:C,3,0)</f>
        <v>90D-HYP-INSPREE-BLOCK-75X48X06</v>
      </c>
      <c r="D3" s="53">
        <f>B3</f>
        <v>1</v>
      </c>
    </row>
    <row r="4" spans="1:5" ht="15.75" x14ac:dyDescent="0.25">
      <c r="A4" s="53" t="s">
        <v>7654</v>
      </c>
      <c r="B4" s="54">
        <v>1</v>
      </c>
      <c r="C4" s="54" t="str">
        <f>VLOOKUP(A:A,'ITEM LIST'!A:C,3,0)</f>
        <v>90D-HYP-INSPREE-BLOCK-84X72X05</v>
      </c>
      <c r="D4" s="53">
        <f>B4</f>
        <v>1</v>
      </c>
    </row>
    <row r="5" spans="1:5" ht="15.75" x14ac:dyDescent="0.25">
      <c r="A5" s="53" t="s">
        <v>7907</v>
      </c>
      <c r="B5" s="54">
        <v>1</v>
      </c>
      <c r="C5" s="54" t="str">
        <f>VLOOKUP(A:A,'ITEM LIST'!A:C,3,0)</f>
        <v>90D-HYP-INSPREE-BLOCK-75X66X06</v>
      </c>
      <c r="D5" s="53">
        <f t="shared" ref="D5:D36" si="0">B5</f>
        <v>1</v>
      </c>
    </row>
    <row r="6" spans="1:5" ht="15.75" x14ac:dyDescent="0.25">
      <c r="A6" s="53" t="s">
        <v>7807</v>
      </c>
      <c r="B6" s="54">
        <v>2</v>
      </c>
      <c r="C6" s="54" t="str">
        <f>VLOOKUP(A:A,'ITEM LIST'!A:C,3,0)</f>
        <v>90D-HYP-INSPREE-BLOCK-72X36X05</v>
      </c>
      <c r="D6" s="53">
        <f t="shared" si="0"/>
        <v>2</v>
      </c>
      <c r="E6" s="34" t="s">
        <v>9080</v>
      </c>
    </row>
    <row r="7" spans="1:5" ht="15.75" x14ac:dyDescent="0.25">
      <c r="A7" s="53" t="s">
        <v>7920</v>
      </c>
      <c r="B7" s="54">
        <v>1</v>
      </c>
      <c r="C7" s="54" t="str">
        <f>VLOOKUP(A:A,'ITEM LIST'!A:C,3,0)</f>
        <v>90D-HYP-INSPREE-BLOCK-78X60X06</v>
      </c>
      <c r="D7" s="53">
        <f t="shared" si="0"/>
        <v>1</v>
      </c>
      <c r="E7" s="34" t="s">
        <v>9081</v>
      </c>
    </row>
    <row r="8" spans="1:5" ht="15.75" x14ac:dyDescent="0.25">
      <c r="A8" s="53" t="s">
        <v>7920</v>
      </c>
      <c r="B8" s="54">
        <v>3</v>
      </c>
      <c r="C8" s="54" t="str">
        <f>VLOOKUP(A:A,'ITEM LIST'!A:C,3,0)</f>
        <v>90D-HYP-INSPREE-BLOCK-78X60X06</v>
      </c>
      <c r="D8" s="53">
        <f t="shared" si="0"/>
        <v>3</v>
      </c>
    </row>
    <row r="9" spans="1:5" ht="15.75" x14ac:dyDescent="0.25">
      <c r="A9" s="53" t="s">
        <v>9024</v>
      </c>
      <c r="B9" s="54">
        <v>1</v>
      </c>
      <c r="C9" s="54" t="str">
        <f>VLOOKUP(A:A,'ITEM LIST'!A:C,3,0)</f>
        <v>90D-HYP-INSPREE-BLOCK-20X18X06</v>
      </c>
      <c r="D9" s="53">
        <f t="shared" si="0"/>
        <v>1</v>
      </c>
    </row>
    <row r="10" spans="1:5" ht="15.75" x14ac:dyDescent="0.25">
      <c r="A10" s="53" t="s">
        <v>9031</v>
      </c>
      <c r="B10" s="54">
        <v>1</v>
      </c>
      <c r="C10" s="54" t="str">
        <f>VLOOKUP(A:A,'ITEM LIST'!A:C,3,0)</f>
        <v>90D-HYP-INSPREE-BLOCK-20X18X06</v>
      </c>
      <c r="D10" s="53">
        <f t="shared" si="0"/>
        <v>1</v>
      </c>
    </row>
    <row r="11" spans="1:5" ht="15.75" x14ac:dyDescent="0.25">
      <c r="A11" s="53" t="s">
        <v>7595</v>
      </c>
      <c r="B11" s="54">
        <v>2</v>
      </c>
      <c r="C11" s="54" t="str">
        <f>VLOOKUP(A:A,'ITEM LIST'!A:C,3,0)</f>
        <v>90D-HYP-INSPREE-BLOCK-75X30X05</v>
      </c>
      <c r="D11" s="53">
        <f t="shared" si="0"/>
        <v>2</v>
      </c>
    </row>
    <row r="12" spans="1:5" ht="15.75" x14ac:dyDescent="0.25">
      <c r="A12" s="53" t="s">
        <v>7580</v>
      </c>
      <c r="B12" s="54">
        <v>1</v>
      </c>
      <c r="C12" s="54" t="str">
        <f>VLOOKUP(A:A,'ITEM LIST'!A:C,3,0)</f>
        <v>90D-HYP-INSPREE-BLOCK-72X30X05</v>
      </c>
      <c r="D12" s="53">
        <f t="shared" si="0"/>
        <v>1</v>
      </c>
    </row>
    <row r="13" spans="1:5" ht="15.75" x14ac:dyDescent="0.25">
      <c r="A13" s="53" t="s">
        <v>5804</v>
      </c>
      <c r="B13" s="54">
        <v>2</v>
      </c>
      <c r="C13" s="54" t="str">
        <f>VLOOKUP(A:A,'ITEM LIST'!A:C,3,0)</f>
        <v>90D-HYP-INSPREE-BLOCK-78X72X06</v>
      </c>
      <c r="D13" s="53">
        <f t="shared" si="0"/>
        <v>2</v>
      </c>
    </row>
    <row r="14" spans="1:5" ht="15.75" x14ac:dyDescent="0.25">
      <c r="A14" s="53" t="s">
        <v>5792</v>
      </c>
      <c r="B14" s="54">
        <v>1</v>
      </c>
      <c r="C14" s="54" t="str">
        <f>VLOOKUP(A:A,'ITEM LIST'!A:C,3,0)</f>
        <v>90D-HYP-INSPREE-BLOCK-75X36X06</v>
      </c>
      <c r="D14" s="53">
        <f t="shared" si="0"/>
        <v>1</v>
      </c>
    </row>
    <row r="15" spans="1:5" ht="15.75" x14ac:dyDescent="0.25">
      <c r="A15" s="53" t="s">
        <v>5582</v>
      </c>
      <c r="B15" s="54">
        <v>1</v>
      </c>
      <c r="C15" s="54" t="str">
        <f>VLOOKUP(A:A,'ITEM LIST'!A:C,3,0)</f>
        <v>90D-HYP-INSPREE-BLOCK-75X36X06</v>
      </c>
      <c r="D15" s="53">
        <f t="shared" si="0"/>
        <v>1</v>
      </c>
    </row>
    <row r="16" spans="1:5" ht="15.75" x14ac:dyDescent="0.25">
      <c r="A16" s="53" t="s">
        <v>5585</v>
      </c>
      <c r="B16" s="54">
        <v>1</v>
      </c>
      <c r="C16" s="54" t="str">
        <f>VLOOKUP(A:A,'ITEM LIST'!A:C,3,0)</f>
        <v>90D-HYP-INSPREE-BLOCK-75X60X06</v>
      </c>
      <c r="D16" s="53">
        <f t="shared" si="0"/>
        <v>1</v>
      </c>
    </row>
    <row r="17" spans="1:4" ht="15.75" x14ac:dyDescent="0.25">
      <c r="A17" s="53" t="s">
        <v>5893</v>
      </c>
      <c r="B17" s="54">
        <v>1</v>
      </c>
      <c r="C17" s="54" t="str">
        <f>VLOOKUP(A:A,'ITEM LIST'!A:C,3,0)</f>
        <v>90D-HYP-INSPREE-BLOCK-72X60X06</v>
      </c>
      <c r="D17" s="53">
        <f t="shared" si="0"/>
        <v>1</v>
      </c>
    </row>
    <row r="18" spans="1:4" ht="15.75" x14ac:dyDescent="0.25">
      <c r="A18" s="53" t="s">
        <v>5795</v>
      </c>
      <c r="B18" s="54">
        <v>2</v>
      </c>
      <c r="C18" s="54" t="str">
        <f>VLOOKUP(A:A,'ITEM LIST'!A:C,3,0)</f>
        <v>90D-HYP-INSPREE-BLOCK-75X60X06</v>
      </c>
      <c r="D18" s="53">
        <f t="shared" si="0"/>
        <v>2</v>
      </c>
    </row>
    <row r="19" spans="1:4" ht="15.75" x14ac:dyDescent="0.25">
      <c r="A19" s="53" t="s">
        <v>5830</v>
      </c>
      <c r="B19" s="54">
        <v>1</v>
      </c>
      <c r="C19" s="54" t="str">
        <f>VLOOKUP(A:A,'ITEM LIST'!A:C,3,0)</f>
        <v>90D-HYP-INSPREE-BLOCK-75X60X08</v>
      </c>
      <c r="D19" s="53">
        <f t="shared" si="0"/>
        <v>1</v>
      </c>
    </row>
    <row r="20" spans="1:4" ht="15.75" x14ac:dyDescent="0.25">
      <c r="A20" s="53" t="s">
        <v>9025</v>
      </c>
      <c r="B20" s="54">
        <v>2</v>
      </c>
      <c r="C20" s="54" t="str">
        <f>VLOOKUP(A:A,'ITEM LIST'!A:C,3,0)</f>
        <v>90D-HYP-INSPREE-BLOCK-20X18X06</v>
      </c>
      <c r="D20" s="53">
        <f t="shared" si="0"/>
        <v>2</v>
      </c>
    </row>
    <row r="21" spans="1:4" ht="15.75" x14ac:dyDescent="0.25">
      <c r="A21" s="53" t="s">
        <v>5818</v>
      </c>
      <c r="B21" s="54">
        <v>1</v>
      </c>
      <c r="C21" s="54" t="str">
        <f>VLOOKUP(A:A,'ITEM LIST'!A:C,3,0)</f>
        <v>90D-HYP-INSPREE-BLOCK-84X72X06</v>
      </c>
      <c r="D21" s="53">
        <f t="shared" si="0"/>
        <v>1</v>
      </c>
    </row>
    <row r="22" spans="1:4" ht="15.75" x14ac:dyDescent="0.25">
      <c r="A22" s="53" t="s">
        <v>5909</v>
      </c>
      <c r="B22" s="54">
        <v>1</v>
      </c>
      <c r="C22" s="54" t="str">
        <f>VLOOKUP(A:A,'ITEM LIST'!A:C,3,0)</f>
        <v>90D-HYP-INSPREE-BLOCK-78X72X06</v>
      </c>
      <c r="D22" s="53">
        <f t="shared" si="0"/>
        <v>1</v>
      </c>
    </row>
    <row r="23" spans="1:4" ht="15.75" x14ac:dyDescent="0.25">
      <c r="A23" s="53" t="s">
        <v>8191</v>
      </c>
      <c r="B23" s="54">
        <v>2</v>
      </c>
      <c r="C23" s="54" t="str">
        <f>VLOOKUP(A:A,'ITEM LIST'!A:C,3,0)</f>
        <v>VISTA-BOND-FOAM-BLOCK-72X48X04</v>
      </c>
      <c r="D23" s="53">
        <f t="shared" si="0"/>
        <v>2</v>
      </c>
    </row>
    <row r="24" spans="1:4" ht="15.75" x14ac:dyDescent="0.25">
      <c r="A24" s="53" t="s">
        <v>8285</v>
      </c>
      <c r="B24" s="54">
        <v>14</v>
      </c>
      <c r="C24" s="54" t="str">
        <f>VLOOKUP(A:A,'ITEM LIST'!A:C,3,0)</f>
        <v>VISTA-BOND-FOAM-BLOCK-75X60X05</v>
      </c>
      <c r="D24" s="53">
        <f t="shared" si="0"/>
        <v>14</v>
      </c>
    </row>
    <row r="25" spans="1:4" ht="15.75" x14ac:dyDescent="0.25">
      <c r="A25" s="53" t="s">
        <v>8266</v>
      </c>
      <c r="B25" s="54">
        <v>4</v>
      </c>
      <c r="C25" s="54" t="str">
        <f>VLOOKUP(A:A,'ITEM LIST'!A:C,3,0)</f>
        <v>VISTA-BOND-FOAM-BLOCK-72X48X05</v>
      </c>
      <c r="D25" s="53">
        <f t="shared" si="0"/>
        <v>4</v>
      </c>
    </row>
    <row r="26" spans="1:4" ht="15.75" x14ac:dyDescent="0.25">
      <c r="A26" s="53" t="s">
        <v>8262</v>
      </c>
      <c r="B26" s="54">
        <v>10</v>
      </c>
      <c r="C26" s="54" t="str">
        <f>VLOOKUP(A:A,'ITEM LIST'!A:C,3,0)</f>
        <v>VISTA-BOND-FOAM-BLOCK-72X36X05</v>
      </c>
      <c r="D26" s="53">
        <f t="shared" si="0"/>
        <v>10</v>
      </c>
    </row>
    <row r="27" spans="1:4" ht="15.75" x14ac:dyDescent="0.25">
      <c r="A27" s="53" t="s">
        <v>8191</v>
      </c>
      <c r="B27" s="54">
        <v>20</v>
      </c>
      <c r="C27" s="54" t="str">
        <f>VLOOKUP(A:A,'ITEM LIST'!A:C,3,0)</f>
        <v>VISTA-BOND-FOAM-BLOCK-72X48X04</v>
      </c>
      <c r="D27" s="53">
        <f t="shared" si="0"/>
        <v>20</v>
      </c>
    </row>
    <row r="28" spans="1:4" ht="15.75" x14ac:dyDescent="0.25">
      <c r="A28" s="53" t="s">
        <v>8210</v>
      </c>
      <c r="B28" s="54">
        <v>20</v>
      </c>
      <c r="C28" s="54" t="str">
        <f>VLOOKUP(A:A,'ITEM LIST'!A:C,3,0)</f>
        <v>VISTA-BOND-FOAM-BLOCK-75X60X04</v>
      </c>
      <c r="D28" s="53">
        <f t="shared" si="0"/>
        <v>20</v>
      </c>
    </row>
    <row r="29" spans="1:4" ht="15.75" x14ac:dyDescent="0.25">
      <c r="A29" s="53" t="s">
        <v>8187</v>
      </c>
      <c r="B29" s="54">
        <v>30</v>
      </c>
      <c r="C29" s="54" t="str">
        <f>VLOOKUP(A:A,'ITEM LIST'!A:C,3,0)</f>
        <v>VISTA-BOND-FOAM-BLOCK-72X36X04</v>
      </c>
      <c r="D29" s="53">
        <f t="shared" si="0"/>
        <v>30</v>
      </c>
    </row>
    <row r="30" spans="1:4" ht="15.75" x14ac:dyDescent="0.25">
      <c r="A30" s="53" t="s">
        <v>8206</v>
      </c>
      <c r="B30" s="54">
        <v>20</v>
      </c>
      <c r="C30" s="54" t="str">
        <f>VLOOKUP(A:A,'ITEM LIST'!A:C,3,0)</f>
        <v>VISTA-BOND-FOAM-BLOCK-75X48X04</v>
      </c>
      <c r="D30" s="53">
        <f t="shared" si="0"/>
        <v>20</v>
      </c>
    </row>
    <row r="31" spans="1:4" ht="15.75" x14ac:dyDescent="0.25">
      <c r="A31" s="53" t="s">
        <v>8270</v>
      </c>
      <c r="B31" s="54">
        <v>5</v>
      </c>
      <c r="C31" s="54" t="str">
        <f>VLOOKUP(A:A,'ITEM LIST'!A:C,3,0)</f>
        <v>VISTA-BOND-FOAM-BLOCK-72X60X05</v>
      </c>
      <c r="D31" s="53">
        <f t="shared" si="0"/>
        <v>5</v>
      </c>
    </row>
    <row r="32" spans="1:4" ht="15.75" x14ac:dyDescent="0.25">
      <c r="A32" s="53" t="s">
        <v>8202</v>
      </c>
      <c r="B32" s="54">
        <v>10</v>
      </c>
      <c r="C32" s="54" t="str">
        <f>VLOOKUP(A:A,'ITEM LIST'!A:C,3,0)</f>
        <v>VISTA-BOND-FOAM-BLOCK-75X36X04</v>
      </c>
      <c r="D32" s="53">
        <f t="shared" si="0"/>
        <v>10</v>
      </c>
    </row>
    <row r="33" spans="1:4" ht="15.75" x14ac:dyDescent="0.25">
      <c r="A33" s="53" t="s">
        <v>8360</v>
      </c>
      <c r="B33" s="54">
        <v>10</v>
      </c>
      <c r="C33" s="54" t="str">
        <f>VLOOKUP(A:A,'ITEM LIST'!A:C,3,0)</f>
        <v>VISTA-BOND-FOAM-BLOCK-75X60X06</v>
      </c>
      <c r="D33" s="53">
        <f t="shared" si="0"/>
        <v>10</v>
      </c>
    </row>
    <row r="34" spans="1:4" ht="15.75" x14ac:dyDescent="0.25">
      <c r="A34" s="53" t="s">
        <v>8260</v>
      </c>
      <c r="B34" s="54">
        <v>20</v>
      </c>
      <c r="C34" s="54" t="str">
        <f>VLOOKUP(A:A,'ITEM LIST'!A:C,3,0)</f>
        <v>VISTA-BOND-FOAM-BLOCK-72X30X05</v>
      </c>
      <c r="D34" s="53">
        <f t="shared" si="0"/>
        <v>20</v>
      </c>
    </row>
    <row r="35" spans="1:4" ht="15.75" x14ac:dyDescent="0.25">
      <c r="A35" s="53" t="s">
        <v>8255</v>
      </c>
      <c r="B35" s="54">
        <v>1</v>
      </c>
      <c r="C35" s="54" t="str">
        <f>VLOOKUP(A:A,'ITEM LIST'!A:C,3,0)</f>
        <v>VISTA-BOND-FOAM-BLOCK-84X60X04</v>
      </c>
      <c r="D35" s="53">
        <f t="shared" si="0"/>
        <v>1</v>
      </c>
    </row>
    <row r="36" spans="1:4" ht="15.75" x14ac:dyDescent="0.25">
      <c r="A36" s="53" t="s">
        <v>8356</v>
      </c>
      <c r="B36" s="54">
        <v>3</v>
      </c>
      <c r="C36" s="54" t="str">
        <f>VLOOKUP(A:A,'ITEM LIST'!A:C,3,0)</f>
        <v>VISTA-BOND-FOAM-BLOCK-75X48X06</v>
      </c>
      <c r="D36" s="53">
        <f t="shared" si="0"/>
        <v>3</v>
      </c>
    </row>
    <row r="37" spans="1:4" ht="15.75" x14ac:dyDescent="0.25">
      <c r="A37" s="53" t="s">
        <v>8206</v>
      </c>
      <c r="B37" s="54">
        <v>5</v>
      </c>
      <c r="C37" s="54" t="str">
        <f>VLOOKUP(A:A,'ITEM LIST'!A:C,3,0)</f>
        <v>VISTA-BOND-FOAM-BLOCK-75X48X04</v>
      </c>
      <c r="D37" s="53">
        <f t="shared" ref="D37:D69" si="1">B37</f>
        <v>5</v>
      </c>
    </row>
    <row r="38" spans="1:4" ht="15.75" x14ac:dyDescent="0.25">
      <c r="A38" s="53" t="s">
        <v>5378</v>
      </c>
      <c r="B38" s="54">
        <v>4</v>
      </c>
      <c r="C38" s="54" t="str">
        <f>VLOOKUP(A:A,'ITEM LIST'!A:C,3,0)</f>
        <v>KOZY-BREEZE-FOAM-BLOCK-72X30X04</v>
      </c>
      <c r="D38" s="53">
        <f t="shared" si="1"/>
        <v>4</v>
      </c>
    </row>
    <row r="39" spans="1:4" ht="15.75" x14ac:dyDescent="0.25">
      <c r="A39" s="53" t="s">
        <v>9043</v>
      </c>
      <c r="B39" s="54">
        <v>8</v>
      </c>
      <c r="C39" s="54" t="str">
        <f>VLOOKUP(A:A,'ITEM LIST'!A:C,3,0)</f>
        <v>KOZY-BREEZE-FOAM-BLOCK-72X30X05</v>
      </c>
      <c r="D39" s="53">
        <f t="shared" si="1"/>
        <v>8</v>
      </c>
    </row>
    <row r="40" spans="1:4" ht="15.75" x14ac:dyDescent="0.25">
      <c r="A40" s="53" t="s">
        <v>5424</v>
      </c>
      <c r="B40" s="54">
        <v>2</v>
      </c>
      <c r="C40" s="54" t="str">
        <f>VLOOKUP(A:A,'ITEM LIST'!A:C,3,0)</f>
        <v>KOZY-BREEZE-FOAM-BLOCK-78X60X05</v>
      </c>
      <c r="D40" s="53">
        <f t="shared" si="1"/>
        <v>2</v>
      </c>
    </row>
    <row r="41" spans="1:4" ht="15.75" x14ac:dyDescent="0.25">
      <c r="A41" s="53" t="s">
        <v>5384</v>
      </c>
      <c r="B41" s="54">
        <v>4</v>
      </c>
      <c r="C41" s="54" t="str">
        <f>VLOOKUP(A:A,'ITEM LIST'!A:C,3,0)</f>
        <v>KOZY-BREEZE-FOAM-BLOCK-72X48X04</v>
      </c>
      <c r="D41" s="53">
        <f t="shared" si="1"/>
        <v>4</v>
      </c>
    </row>
    <row r="42" spans="1:4" ht="15.75" x14ac:dyDescent="0.25">
      <c r="A42" s="53" t="s">
        <v>9056</v>
      </c>
      <c r="B42" s="54">
        <v>2</v>
      </c>
      <c r="C42" s="54" t="str">
        <f>VLOOKUP(A:A,'ITEM LIST'!A:C,3,0)</f>
        <v>KOZY-BREEZE-FOAM-BLOCK-72X48X04</v>
      </c>
      <c r="D42" s="53">
        <f t="shared" si="1"/>
        <v>2</v>
      </c>
    </row>
    <row r="43" spans="1:4" ht="15.75" x14ac:dyDescent="0.25">
      <c r="A43" s="53" t="s">
        <v>5406</v>
      </c>
      <c r="B43" s="54">
        <v>2</v>
      </c>
      <c r="C43" s="54" t="str">
        <f>VLOOKUP(A:A,'ITEM LIST'!A:C,3,0)</f>
        <v>KOZY-BREEZE-FOAM-BLOCK-75X60X05</v>
      </c>
      <c r="D43" s="53">
        <f t="shared" si="1"/>
        <v>2</v>
      </c>
    </row>
    <row r="44" spans="1:4" ht="15.75" x14ac:dyDescent="0.25">
      <c r="A44" s="53" t="s">
        <v>5406</v>
      </c>
      <c r="B44" s="54">
        <v>1</v>
      </c>
      <c r="C44" s="54" t="str">
        <f>VLOOKUP(A:A,'ITEM LIST'!A:C,3,0)</f>
        <v>KOZY-BREEZE-FOAM-BLOCK-75X60X05</v>
      </c>
      <c r="D44" s="53">
        <f t="shared" si="1"/>
        <v>1</v>
      </c>
    </row>
    <row r="45" spans="1:4" ht="15.75" x14ac:dyDescent="0.25">
      <c r="A45" s="53" t="s">
        <v>5423</v>
      </c>
      <c r="B45" s="54">
        <v>1</v>
      </c>
      <c r="C45" s="54" t="str">
        <f>VLOOKUP(A:A,'ITEM LIST'!A:C,3,0)</f>
        <v>KOZY-BREEZE-FOAM-BLOCK-78X60X04</v>
      </c>
      <c r="D45" s="53">
        <f t="shared" si="1"/>
        <v>1</v>
      </c>
    </row>
    <row r="46" spans="1:4" ht="15.75" x14ac:dyDescent="0.25">
      <c r="A46" s="53" t="s">
        <v>9044</v>
      </c>
      <c r="B46" s="54">
        <v>1</v>
      </c>
      <c r="C46" s="54" t="str">
        <f>VLOOKUP(A:A,'ITEM LIST'!A:C,3,0)</f>
        <v>KOZY-BREEZE-FOAM-BLOCK-78X60X04</v>
      </c>
      <c r="D46" s="53">
        <f t="shared" si="1"/>
        <v>1</v>
      </c>
    </row>
    <row r="47" spans="1:4" ht="15.75" x14ac:dyDescent="0.25">
      <c r="A47" s="53" t="s">
        <v>9066</v>
      </c>
      <c r="B47" s="54">
        <v>1</v>
      </c>
      <c r="C47" s="54" t="str">
        <f>VLOOKUP(A:A,'ITEM LIST'!A:C,3,0)</f>
        <v>KOZY-BREEZE-FOAM-BLOCK-75X48X04</v>
      </c>
      <c r="D47" s="53">
        <f t="shared" si="1"/>
        <v>1</v>
      </c>
    </row>
    <row r="48" spans="1:4" ht="15.75" x14ac:dyDescent="0.25">
      <c r="A48" s="53" t="s">
        <v>5402</v>
      </c>
      <c r="B48" s="54">
        <v>2</v>
      </c>
      <c r="C48" s="54" t="str">
        <f>VLOOKUP(A:A,'ITEM LIST'!A:C,3,0)</f>
        <v>KOZY-BREEZE-FOAM-BLOCK-75X48X04</v>
      </c>
      <c r="D48" s="53">
        <f t="shared" si="1"/>
        <v>2</v>
      </c>
    </row>
    <row r="49" spans="1:4" ht="15.75" x14ac:dyDescent="0.25">
      <c r="A49" s="53" t="s">
        <v>9074</v>
      </c>
      <c r="B49" s="54">
        <v>2</v>
      </c>
      <c r="C49" s="54" t="str">
        <f>VLOOKUP(A:A,'ITEM LIST'!A:C,3,0)</f>
        <v>KOZY-BREEZE-FOAM-BLOCK-75X36X04</v>
      </c>
      <c r="D49" s="53">
        <f t="shared" si="1"/>
        <v>2</v>
      </c>
    </row>
    <row r="50" spans="1:4" ht="15.75" x14ac:dyDescent="0.25">
      <c r="A50" s="53" t="s">
        <v>5379</v>
      </c>
      <c r="B50" s="54">
        <v>2</v>
      </c>
      <c r="C50" s="54" t="str">
        <f>VLOOKUP(A:A,'ITEM LIST'!A:C,3,0)</f>
        <v>KOZY-BREEZE-FOAM-BLOCK-72X30X05</v>
      </c>
      <c r="D50" s="53">
        <f t="shared" si="1"/>
        <v>2</v>
      </c>
    </row>
    <row r="51" spans="1:4" ht="15.75" x14ac:dyDescent="0.25">
      <c r="A51" s="53" t="s">
        <v>9067</v>
      </c>
      <c r="B51" s="54">
        <v>1</v>
      </c>
      <c r="C51" s="54" t="str">
        <f>VLOOKUP(A:A,'ITEM LIST'!A:C,3,0)</f>
        <v>KOZY-BREEZE-FOAM-BLOCK-78X60X05</v>
      </c>
      <c r="D51" s="53">
        <f t="shared" si="1"/>
        <v>1</v>
      </c>
    </row>
    <row r="52" spans="1:4" ht="15.75" x14ac:dyDescent="0.25">
      <c r="A52" s="53" t="s">
        <v>5382</v>
      </c>
      <c r="B52" s="54">
        <v>2</v>
      </c>
      <c r="C52" s="54" t="str">
        <f>VLOOKUP(A:A,'ITEM LIST'!A:C,3,0)</f>
        <v>KOZY-BREEZE-FOAM-BLOCK-72X36X05</v>
      </c>
      <c r="D52" s="53">
        <f t="shared" si="1"/>
        <v>2</v>
      </c>
    </row>
    <row r="53" spans="1:4" ht="15.75" x14ac:dyDescent="0.25">
      <c r="A53" s="53" t="s">
        <v>9065</v>
      </c>
      <c r="B53" s="54">
        <v>2</v>
      </c>
      <c r="C53" s="54" t="str">
        <f>VLOOKUP(A:A,'ITEM LIST'!A:C,3,0)</f>
        <v>KOZY-BREEZE-FOAM-BLOCK-72X36X05</v>
      </c>
      <c r="D53" s="53">
        <f t="shared" si="1"/>
        <v>2</v>
      </c>
    </row>
    <row r="54" spans="1:4" ht="15.75" x14ac:dyDescent="0.25">
      <c r="A54" s="53" t="s">
        <v>9032</v>
      </c>
      <c r="B54" s="54">
        <v>1</v>
      </c>
      <c r="C54" s="54" t="str">
        <f>VLOOKUP(A:A,'ITEM LIST'!A:C,3,0)</f>
        <v>KOZY-BREEZE-FOAM-BLOCK-20X18X06</v>
      </c>
      <c r="D54" s="53">
        <f t="shared" si="1"/>
        <v>1</v>
      </c>
    </row>
    <row r="55" spans="1:4" ht="15.75" x14ac:dyDescent="0.25">
      <c r="A55" s="53" t="s">
        <v>5412</v>
      </c>
      <c r="B55" s="54">
        <v>3</v>
      </c>
      <c r="C55" s="54" t="str">
        <f>VLOOKUP(A:A,'ITEM LIST'!A:C,3,0)</f>
        <v>KOZY-BREEZE-FOAM-BLOCK-75X72X05</v>
      </c>
      <c r="D55" s="53">
        <f t="shared" si="1"/>
        <v>3</v>
      </c>
    </row>
    <row r="56" spans="1:4" ht="15.75" x14ac:dyDescent="0.25">
      <c r="A56" s="53" t="s">
        <v>9105</v>
      </c>
      <c r="B56" s="54">
        <v>1</v>
      </c>
      <c r="C56" s="54" t="str">
        <f>VLOOKUP(A:A,'ITEM LIST'!A:C,3,0)</f>
        <v>KOZY-BREEZE-FOAM-BLOCK-75X60X05</v>
      </c>
      <c r="D56" s="53">
        <f t="shared" si="1"/>
        <v>1</v>
      </c>
    </row>
    <row r="57" spans="1:4" ht="15.75" x14ac:dyDescent="0.25">
      <c r="A57" s="53" t="s">
        <v>9163</v>
      </c>
      <c r="B57" s="54">
        <v>1</v>
      </c>
      <c r="C57" s="54" t="str">
        <f>VLOOKUP(A:A,'ITEM LIST'!A:C,3,0)</f>
        <v>KOZY-BREEZE-FOAM-BLOCK-75X72X05</v>
      </c>
      <c r="D57" s="53">
        <f t="shared" si="1"/>
        <v>1</v>
      </c>
    </row>
    <row r="58" spans="1:4" ht="15.75" x14ac:dyDescent="0.25">
      <c r="A58" s="53" t="s">
        <v>5385</v>
      </c>
      <c r="B58" s="54">
        <v>3</v>
      </c>
      <c r="C58" s="54" t="str">
        <f>VLOOKUP(A:A,'ITEM LIST'!A:C,3,0)</f>
        <v>KOZY-BREEZE-FOAM-BLOCK-72X48X05</v>
      </c>
      <c r="D58" s="53">
        <f t="shared" si="1"/>
        <v>3</v>
      </c>
    </row>
    <row r="59" spans="1:4" ht="15.75" x14ac:dyDescent="0.25">
      <c r="A59" s="53" t="s">
        <v>6754</v>
      </c>
      <c r="B59" s="54">
        <v>2</v>
      </c>
      <c r="C59" s="54" t="str">
        <f>VLOOKUP(A:A,'ITEM LIST'!A:C,3,0)</f>
        <v>90D-HYP-INSPREE-BLOCK-72X36X06</v>
      </c>
      <c r="D59" s="53">
        <f t="shared" si="1"/>
        <v>2</v>
      </c>
    </row>
    <row r="60" spans="1:4" ht="15.75" x14ac:dyDescent="0.25">
      <c r="A60" s="53" t="s">
        <v>7302</v>
      </c>
      <c r="B60" s="54">
        <v>1</v>
      </c>
      <c r="C60" s="54" t="str">
        <f>VLOOKUP(A:A,'ITEM LIST'!A:C,3,0)</f>
        <v>90D-HYP-INSPREE-BLOCK-75X60X08</v>
      </c>
      <c r="D60" s="53">
        <f t="shared" si="1"/>
        <v>1</v>
      </c>
    </row>
    <row r="61" spans="1:4" ht="15.75" x14ac:dyDescent="0.25">
      <c r="A61" s="53" t="s">
        <v>6796</v>
      </c>
      <c r="B61" s="54">
        <v>1</v>
      </c>
      <c r="C61" s="54" t="str">
        <f>VLOOKUP(A:A,'ITEM LIST'!A:C,3,0)</f>
        <v>90D-HYP-INSPREE-BLOCK-78X72X06</v>
      </c>
      <c r="D61" s="53">
        <f t="shared" si="1"/>
        <v>1</v>
      </c>
    </row>
    <row r="62" spans="1:4" ht="15.75" x14ac:dyDescent="0.25">
      <c r="A62" s="53" t="s">
        <v>6762</v>
      </c>
      <c r="B62" s="54">
        <v>1</v>
      </c>
      <c r="C62" s="54" t="str">
        <f>VLOOKUP(A:A,'ITEM LIST'!A:C,3,0)</f>
        <v>90D-HYP-INSPREE-BLOCK-72X60X06</v>
      </c>
      <c r="D62" s="53">
        <f t="shared" si="1"/>
        <v>1</v>
      </c>
    </row>
    <row r="63" spans="1:4" ht="15.75" x14ac:dyDescent="0.25">
      <c r="A63" s="53" t="s">
        <v>6871</v>
      </c>
      <c r="B63" s="54">
        <v>2</v>
      </c>
      <c r="C63" s="54" t="str">
        <f>VLOOKUP(A:A,'ITEM LIST'!A:C,3,0)</f>
        <v>90D-HYP-INSPREE-BLOCK-78X72X08</v>
      </c>
      <c r="D63" s="53">
        <f t="shared" si="1"/>
        <v>2</v>
      </c>
    </row>
    <row r="64" spans="1:4" ht="15.75" x14ac:dyDescent="0.25">
      <c r="A64" s="53" t="s">
        <v>9027</v>
      </c>
      <c r="B64" s="54">
        <v>1</v>
      </c>
      <c r="C64" s="54" t="str">
        <f>VLOOKUP(A:A,'ITEM LIST'!A:C,3,0)</f>
        <v>90D-HYP-INSPREE-BLOCK-20X18X06</v>
      </c>
      <c r="D64" s="53">
        <f t="shared" si="1"/>
        <v>1</v>
      </c>
    </row>
    <row r="65" spans="1:4" ht="15.75" x14ac:dyDescent="0.25">
      <c r="A65" s="53" t="s">
        <v>7227</v>
      </c>
      <c r="B65" s="54">
        <v>2</v>
      </c>
      <c r="C65" s="54" t="str">
        <f>VLOOKUP(A:A,'ITEM LIST'!A:C,3,0)</f>
        <v>90D-HYP-INSPREE-BLOCK-75X60X06</v>
      </c>
      <c r="D65" s="53">
        <f t="shared" si="1"/>
        <v>2</v>
      </c>
    </row>
    <row r="66" spans="1:4" ht="15.75" x14ac:dyDescent="0.25">
      <c r="A66" s="53" t="s">
        <v>1492</v>
      </c>
      <c r="B66" s="54">
        <v>1</v>
      </c>
      <c r="C66" s="54" t="str">
        <f>VLOOKUP(A:A,'ITEM LIST'!A:C,3,0)</f>
        <v>SPINE-SAFE-FOAM-BLOCK-78X60X06</v>
      </c>
      <c r="D66" s="53">
        <f t="shared" si="1"/>
        <v>1</v>
      </c>
    </row>
    <row r="67" spans="1:4" ht="15.75" x14ac:dyDescent="0.25">
      <c r="A67" s="53" t="s">
        <v>1673</v>
      </c>
      <c r="B67" s="54">
        <v>1</v>
      </c>
      <c r="C67" s="54" t="str">
        <f>VLOOKUP(A:A,'ITEM LIST'!A:C,3,0)</f>
        <v>SPINE-SAFE-FOAM-BLOCK-78X72X08</v>
      </c>
      <c r="D67" s="53">
        <f t="shared" si="1"/>
        <v>1</v>
      </c>
    </row>
    <row r="68" spans="1:4" ht="15.75" x14ac:dyDescent="0.25">
      <c r="A68" s="53" t="s">
        <v>1667</v>
      </c>
      <c r="B68" s="54">
        <v>1</v>
      </c>
      <c r="C68" s="54" t="str">
        <f>VLOOKUP(A:A,'ITEM LIST'!A:C,3,0)</f>
        <v>SPINE-SAFE-FOAM-BLOCK-78X60X08</v>
      </c>
      <c r="D68" s="53">
        <f t="shared" si="1"/>
        <v>1</v>
      </c>
    </row>
    <row r="69" spans="1:4" ht="15.75" x14ac:dyDescent="0.25">
      <c r="A69" s="53" t="s">
        <v>5327</v>
      </c>
      <c r="B69" s="54">
        <v>1</v>
      </c>
      <c r="C69" s="54" t="str">
        <f>VLOOKUP(A:A,'ITEM LIST'!A:C,3,0)</f>
        <v>MEMORIO-FOAM-BLOCK-20X18X06</v>
      </c>
      <c r="D69" s="53">
        <f t="shared" si="1"/>
        <v>1</v>
      </c>
    </row>
    <row r="70" spans="1:4" ht="15.75" x14ac:dyDescent="0.25">
      <c r="A70" s="53" t="s">
        <v>3140</v>
      </c>
      <c r="B70" s="54">
        <v>1</v>
      </c>
      <c r="C70" s="54" t="str">
        <f>VLOOKUP(A:A,'ITEM LIST'!A:C,3,0)</f>
        <v>MIRAGE-FOAM-BLOCK-75X60X06</v>
      </c>
      <c r="D70" s="53">
        <f t="shared" ref="D70:D133" si="2">B70</f>
        <v>1</v>
      </c>
    </row>
    <row r="71" spans="1:4" ht="15.75" x14ac:dyDescent="0.25">
      <c r="A71" s="53" t="s">
        <v>4622</v>
      </c>
      <c r="B71" s="54">
        <v>1</v>
      </c>
      <c r="C71" s="54" t="str">
        <f>VLOOKUP(A:A,'ITEM LIST'!A:C,3,0)</f>
        <v>PANORAMA-FOAM-BLOCK-78X48X08</v>
      </c>
      <c r="D71" s="53">
        <f t="shared" si="2"/>
        <v>1</v>
      </c>
    </row>
    <row r="72" spans="1:4" ht="15.75" x14ac:dyDescent="0.25">
      <c r="A72" s="53"/>
      <c r="B72" s="54"/>
      <c r="C72" s="54" t="e">
        <f>VLOOKUP(A:A,'ITEM LIST'!A:C,3,0)</f>
        <v>#N/A</v>
      </c>
      <c r="D72" s="53">
        <f t="shared" si="2"/>
        <v>0</v>
      </c>
    </row>
    <row r="73" spans="1:4" ht="15.75" x14ac:dyDescent="0.25">
      <c r="A73" s="53"/>
      <c r="B73" s="54"/>
      <c r="C73" s="54" t="e">
        <f>VLOOKUP(A:A,'ITEM LIST'!A:C,3,0)</f>
        <v>#N/A</v>
      </c>
      <c r="D73" s="53">
        <f t="shared" si="2"/>
        <v>0</v>
      </c>
    </row>
    <row r="74" spans="1:4" ht="15.75" x14ac:dyDescent="0.25">
      <c r="A74" s="53"/>
      <c r="B74" s="54"/>
      <c r="C74" s="54" t="e">
        <f>VLOOKUP(A:A,'ITEM LIST'!A:C,3,0)</f>
        <v>#N/A</v>
      </c>
      <c r="D74" s="53">
        <f t="shared" si="2"/>
        <v>0</v>
      </c>
    </row>
    <row r="75" spans="1:4" ht="15.75" x14ac:dyDescent="0.25">
      <c r="A75" s="53"/>
      <c r="B75" s="54"/>
      <c r="C75" s="54" t="e">
        <f>VLOOKUP(A:A,'ITEM LIST'!A:C,3,0)</f>
        <v>#N/A</v>
      </c>
      <c r="D75" s="53">
        <f t="shared" si="2"/>
        <v>0</v>
      </c>
    </row>
    <row r="76" spans="1:4" ht="15.75" x14ac:dyDescent="0.25">
      <c r="A76" s="53"/>
      <c r="B76" s="54"/>
      <c r="C76" s="54" t="e">
        <f>VLOOKUP(A:A,'ITEM LIST'!A:C,3,0)</f>
        <v>#N/A</v>
      </c>
      <c r="D76" s="53">
        <f t="shared" si="2"/>
        <v>0</v>
      </c>
    </row>
    <row r="77" spans="1:4" ht="15.75" x14ac:dyDescent="0.25">
      <c r="A77" s="53"/>
      <c r="B77" s="54"/>
      <c r="C77" s="54" t="e">
        <f>VLOOKUP(A:A,'ITEM LIST'!A:C,3,0)</f>
        <v>#N/A</v>
      </c>
      <c r="D77" s="53">
        <f t="shared" si="2"/>
        <v>0</v>
      </c>
    </row>
    <row r="78" spans="1:4" ht="15.75" x14ac:dyDescent="0.25">
      <c r="A78" s="53"/>
      <c r="B78" s="54"/>
      <c r="C78" s="54" t="e">
        <f>VLOOKUP(A:A,'ITEM LIST'!A:C,3,0)</f>
        <v>#N/A</v>
      </c>
      <c r="D78" s="53">
        <f t="shared" si="2"/>
        <v>0</v>
      </c>
    </row>
    <row r="79" spans="1:4" ht="15.75" x14ac:dyDescent="0.25">
      <c r="A79" s="53"/>
      <c r="B79" s="54"/>
      <c r="C79" s="54" t="e">
        <f>VLOOKUP(A:A,'ITEM LIST'!A:C,3,0)</f>
        <v>#N/A</v>
      </c>
      <c r="D79" s="53">
        <f t="shared" si="2"/>
        <v>0</v>
      </c>
    </row>
    <row r="80" spans="1:4" ht="15.75" x14ac:dyDescent="0.25">
      <c r="A80" s="53"/>
      <c r="B80" s="54"/>
      <c r="C80" s="54" t="e">
        <f>VLOOKUP(A:A,'ITEM LIST'!A:C,3,0)</f>
        <v>#N/A</v>
      </c>
      <c r="D80" s="53">
        <f t="shared" si="2"/>
        <v>0</v>
      </c>
    </row>
    <row r="81" spans="1:4" ht="15.75" x14ac:dyDescent="0.25">
      <c r="A81" s="53"/>
      <c r="B81" s="54"/>
      <c r="C81" s="54" t="e">
        <f>VLOOKUP(A:A,'ITEM LIST'!A:C,3,0)</f>
        <v>#N/A</v>
      </c>
      <c r="D81" s="53">
        <f t="shared" si="2"/>
        <v>0</v>
      </c>
    </row>
    <row r="82" spans="1:4" ht="15.75" x14ac:dyDescent="0.25">
      <c r="A82" s="53"/>
      <c r="B82" s="54"/>
      <c r="C82" s="54" t="e">
        <f>VLOOKUP(A:A,'ITEM LIST'!A:C,3,0)</f>
        <v>#N/A</v>
      </c>
      <c r="D82" s="53">
        <f t="shared" si="2"/>
        <v>0</v>
      </c>
    </row>
    <row r="83" spans="1:4" ht="15.75" x14ac:dyDescent="0.25">
      <c r="A83" s="53"/>
      <c r="B83" s="54"/>
      <c r="C83" s="54" t="e">
        <f>VLOOKUP(A:A,'ITEM LIST'!A:C,3,0)</f>
        <v>#N/A</v>
      </c>
      <c r="D83" s="53">
        <f t="shared" si="2"/>
        <v>0</v>
      </c>
    </row>
    <row r="84" spans="1:4" ht="15.75" x14ac:dyDescent="0.25">
      <c r="A84" s="53"/>
      <c r="B84" s="54"/>
      <c r="C84" s="54" t="e">
        <f>VLOOKUP(A:A,'ITEM LIST'!A:C,3,0)</f>
        <v>#N/A</v>
      </c>
      <c r="D84" s="53">
        <f t="shared" si="2"/>
        <v>0</v>
      </c>
    </row>
    <row r="85" spans="1:4" ht="15.75" x14ac:dyDescent="0.25">
      <c r="A85" s="53"/>
      <c r="B85" s="54"/>
      <c r="C85" s="54" t="e">
        <f>VLOOKUP(A:A,'ITEM LIST'!A:C,3,0)</f>
        <v>#N/A</v>
      </c>
      <c r="D85" s="53">
        <f t="shared" si="2"/>
        <v>0</v>
      </c>
    </row>
    <row r="86" spans="1:4" ht="15.75" x14ac:dyDescent="0.25">
      <c r="A86" s="53"/>
      <c r="B86" s="54"/>
      <c r="C86" s="54" t="e">
        <f>VLOOKUP(A:A,'ITEM LIST'!A:C,3,0)</f>
        <v>#N/A</v>
      </c>
      <c r="D86" s="53">
        <f t="shared" si="2"/>
        <v>0</v>
      </c>
    </row>
    <row r="87" spans="1:4" ht="15.75" x14ac:dyDescent="0.25">
      <c r="A87" s="53"/>
      <c r="B87" s="54"/>
      <c r="C87" s="54" t="e">
        <f>VLOOKUP(A:A,'ITEM LIST'!A:C,3,0)</f>
        <v>#N/A</v>
      </c>
      <c r="D87" s="53">
        <f t="shared" si="2"/>
        <v>0</v>
      </c>
    </row>
    <row r="88" spans="1:4" ht="15.75" x14ac:dyDescent="0.25">
      <c r="A88" s="53"/>
      <c r="B88" s="54"/>
      <c r="C88" s="54" t="e">
        <f>VLOOKUP(A:A,'ITEM LIST'!A:C,3,0)</f>
        <v>#N/A</v>
      </c>
      <c r="D88" s="53">
        <f t="shared" si="2"/>
        <v>0</v>
      </c>
    </row>
    <row r="89" spans="1:4" ht="15.75" x14ac:dyDescent="0.25">
      <c r="A89" s="53"/>
      <c r="B89" s="54"/>
      <c r="C89" s="54" t="e">
        <f>VLOOKUP(A:A,'ITEM LIST'!A:C,3,0)</f>
        <v>#N/A</v>
      </c>
      <c r="D89" s="53">
        <f t="shared" si="2"/>
        <v>0</v>
      </c>
    </row>
    <row r="90" spans="1:4" ht="15.75" x14ac:dyDescent="0.25">
      <c r="A90" s="53"/>
      <c r="B90" s="54"/>
      <c r="C90" s="54" t="e">
        <f>VLOOKUP(A:A,'ITEM LIST'!A:C,3,0)</f>
        <v>#N/A</v>
      </c>
      <c r="D90" s="53">
        <f t="shared" si="2"/>
        <v>0</v>
      </c>
    </row>
    <row r="91" spans="1:4" ht="15.75" x14ac:dyDescent="0.25">
      <c r="A91" s="53"/>
      <c r="B91" s="54"/>
      <c r="C91" s="54" t="e">
        <f>VLOOKUP(A:A,'ITEM LIST'!A:C,3,0)</f>
        <v>#N/A</v>
      </c>
      <c r="D91" s="53">
        <f t="shared" si="2"/>
        <v>0</v>
      </c>
    </row>
    <row r="92" spans="1:4" ht="15.75" x14ac:dyDescent="0.25">
      <c r="A92" s="53"/>
      <c r="B92" s="54"/>
      <c r="C92" s="54" t="e">
        <f>VLOOKUP(A:A,'ITEM LIST'!A:C,3,0)</f>
        <v>#N/A</v>
      </c>
      <c r="D92" s="53">
        <f t="shared" si="2"/>
        <v>0</v>
      </c>
    </row>
    <row r="93" spans="1:4" ht="15.75" x14ac:dyDescent="0.25">
      <c r="A93" s="53"/>
      <c r="B93" s="54"/>
      <c r="C93" s="54" t="e">
        <f>VLOOKUP(A:A,'ITEM LIST'!A:C,3,0)</f>
        <v>#N/A</v>
      </c>
      <c r="D93" s="53">
        <f t="shared" si="2"/>
        <v>0</v>
      </c>
    </row>
    <row r="94" spans="1:4" ht="15.75" x14ac:dyDescent="0.25">
      <c r="A94" s="53"/>
      <c r="B94" s="54"/>
      <c r="C94" s="54" t="e">
        <f>VLOOKUP(A:A,'ITEM LIST'!A:C,3,0)</f>
        <v>#N/A</v>
      </c>
      <c r="D94" s="53">
        <f t="shared" si="2"/>
        <v>0</v>
      </c>
    </row>
    <row r="95" spans="1:4" ht="15.75" x14ac:dyDescent="0.25">
      <c r="A95" s="53"/>
      <c r="B95" s="54"/>
      <c r="C95" s="54" t="e">
        <f>VLOOKUP(A:A,'ITEM LIST'!A:C,3,0)</f>
        <v>#N/A</v>
      </c>
      <c r="D95" s="53">
        <f t="shared" si="2"/>
        <v>0</v>
      </c>
    </row>
    <row r="96" spans="1:4" ht="15.75" x14ac:dyDescent="0.25">
      <c r="A96" s="53"/>
      <c r="B96" s="54"/>
      <c r="C96" s="54" t="e">
        <f>VLOOKUP(A:A,'ITEM LIST'!A:C,3,0)</f>
        <v>#N/A</v>
      </c>
      <c r="D96" s="53">
        <f t="shared" si="2"/>
        <v>0</v>
      </c>
    </row>
    <row r="97" spans="1:4" ht="15.75" x14ac:dyDescent="0.25">
      <c r="A97" s="53"/>
      <c r="B97" s="54"/>
      <c r="C97" s="54" t="e">
        <f>VLOOKUP(A:A,'ITEM LIST'!A:C,3,0)</f>
        <v>#N/A</v>
      </c>
      <c r="D97" s="53">
        <f t="shared" si="2"/>
        <v>0</v>
      </c>
    </row>
    <row r="98" spans="1:4" ht="15.75" x14ac:dyDescent="0.25">
      <c r="A98" s="53"/>
      <c r="B98" s="54"/>
      <c r="C98" s="54" t="e">
        <f>VLOOKUP(A:A,'ITEM LIST'!A:C,3,0)</f>
        <v>#N/A</v>
      </c>
      <c r="D98" s="53">
        <f t="shared" si="2"/>
        <v>0</v>
      </c>
    </row>
    <row r="99" spans="1:4" ht="15.75" x14ac:dyDescent="0.25">
      <c r="A99" s="53"/>
      <c r="B99" s="54"/>
      <c r="C99" s="54" t="e">
        <f>VLOOKUP(A:A,'ITEM LIST'!A:C,3,0)</f>
        <v>#N/A</v>
      </c>
      <c r="D99" s="53">
        <f t="shared" si="2"/>
        <v>0</v>
      </c>
    </row>
    <row r="100" spans="1:4" ht="15.75" x14ac:dyDescent="0.25">
      <c r="A100" s="53"/>
      <c r="B100" s="54"/>
      <c r="C100" s="54" t="e">
        <f>VLOOKUP(A:A,'ITEM LIST'!A:C,3,0)</f>
        <v>#N/A</v>
      </c>
      <c r="D100" s="53">
        <f t="shared" si="2"/>
        <v>0</v>
      </c>
    </row>
    <row r="101" spans="1:4" ht="15.75" x14ac:dyDescent="0.25">
      <c r="A101" s="53"/>
      <c r="B101" s="54"/>
      <c r="C101" s="54" t="e">
        <f>VLOOKUP(A:A,'ITEM LIST'!A:C,3,0)</f>
        <v>#N/A</v>
      </c>
      <c r="D101" s="53">
        <f t="shared" si="2"/>
        <v>0</v>
      </c>
    </row>
    <row r="102" spans="1:4" ht="15.75" x14ac:dyDescent="0.25">
      <c r="A102" s="53"/>
      <c r="B102" s="54"/>
      <c r="C102" s="54" t="e">
        <f>VLOOKUP(A:A,'ITEM LIST'!A:C,3,0)</f>
        <v>#N/A</v>
      </c>
      <c r="D102" s="53">
        <f t="shared" si="2"/>
        <v>0</v>
      </c>
    </row>
    <row r="103" spans="1:4" ht="15.75" x14ac:dyDescent="0.25">
      <c r="A103" s="53"/>
      <c r="B103" s="54"/>
      <c r="C103" s="54" t="e">
        <f>VLOOKUP(A:A,'ITEM LIST'!A:C,3,0)</f>
        <v>#N/A</v>
      </c>
      <c r="D103" s="53">
        <f t="shared" si="2"/>
        <v>0</v>
      </c>
    </row>
    <row r="104" spans="1:4" ht="15.75" x14ac:dyDescent="0.25">
      <c r="A104" s="53"/>
      <c r="B104" s="54"/>
      <c r="C104" s="54" t="e">
        <f>VLOOKUP(A:A,'ITEM LIST'!A:C,3,0)</f>
        <v>#N/A</v>
      </c>
      <c r="D104" s="53">
        <f t="shared" si="2"/>
        <v>0</v>
      </c>
    </row>
    <row r="105" spans="1:4" ht="15.75" x14ac:dyDescent="0.25">
      <c r="A105" s="53"/>
      <c r="B105" s="54"/>
      <c r="C105" s="54" t="e">
        <f>VLOOKUP(A:A,'ITEM LIST'!A:C,3,0)</f>
        <v>#N/A</v>
      </c>
      <c r="D105" s="53">
        <f t="shared" si="2"/>
        <v>0</v>
      </c>
    </row>
    <row r="106" spans="1:4" ht="15.75" x14ac:dyDescent="0.25">
      <c r="A106" s="53"/>
      <c r="B106" s="54"/>
      <c r="C106" s="54" t="e">
        <f>VLOOKUP(A:A,'ITEM LIST'!A:C,3,0)</f>
        <v>#N/A</v>
      </c>
      <c r="D106" s="53">
        <f t="shared" si="2"/>
        <v>0</v>
      </c>
    </row>
    <row r="107" spans="1:4" ht="15.75" x14ac:dyDescent="0.25">
      <c r="A107" s="53"/>
      <c r="B107" s="54"/>
      <c r="C107" s="54" t="e">
        <f>VLOOKUP(A:A,'ITEM LIST'!A:C,3,0)</f>
        <v>#N/A</v>
      </c>
      <c r="D107" s="53">
        <f t="shared" si="2"/>
        <v>0</v>
      </c>
    </row>
    <row r="108" spans="1:4" ht="15.75" x14ac:dyDescent="0.25">
      <c r="A108" s="53"/>
      <c r="B108" s="54"/>
      <c r="C108" s="54" t="e">
        <f>VLOOKUP(A:A,'ITEM LIST'!A:C,3,0)</f>
        <v>#N/A</v>
      </c>
      <c r="D108" s="53">
        <f t="shared" si="2"/>
        <v>0</v>
      </c>
    </row>
    <row r="109" spans="1:4" ht="15.75" x14ac:dyDescent="0.25">
      <c r="A109" s="53"/>
      <c r="B109" s="54"/>
      <c r="C109" s="54" t="e">
        <f>VLOOKUP(A:A,'ITEM LIST'!A:C,3,0)</f>
        <v>#N/A</v>
      </c>
      <c r="D109" s="53">
        <f t="shared" si="2"/>
        <v>0</v>
      </c>
    </row>
    <row r="110" spans="1:4" ht="15.75" x14ac:dyDescent="0.25">
      <c r="A110" s="53"/>
      <c r="B110" s="54"/>
      <c r="C110" s="54" t="e">
        <f>VLOOKUP(A:A,'ITEM LIST'!A:C,3,0)</f>
        <v>#N/A</v>
      </c>
      <c r="D110" s="53">
        <f t="shared" si="2"/>
        <v>0</v>
      </c>
    </row>
    <row r="111" spans="1:4" ht="15.75" x14ac:dyDescent="0.25">
      <c r="A111" s="53"/>
      <c r="B111" s="54"/>
      <c r="C111" s="54" t="e">
        <f>VLOOKUP(A:A,'ITEM LIST'!A:C,3,0)</f>
        <v>#N/A</v>
      </c>
      <c r="D111" s="53">
        <f t="shared" si="2"/>
        <v>0</v>
      </c>
    </row>
    <row r="112" spans="1:4" ht="15.75" x14ac:dyDescent="0.25">
      <c r="A112" s="53"/>
      <c r="B112" s="54"/>
      <c r="C112" s="54" t="e">
        <f>VLOOKUP(A:A,'ITEM LIST'!A:C,3,0)</f>
        <v>#N/A</v>
      </c>
      <c r="D112" s="53">
        <f t="shared" si="2"/>
        <v>0</v>
      </c>
    </row>
    <row r="113" spans="1:4" ht="15.75" x14ac:dyDescent="0.25">
      <c r="A113" s="53"/>
      <c r="B113" s="54"/>
      <c r="C113" s="54" t="e">
        <f>VLOOKUP(A:A,'ITEM LIST'!A:C,3,0)</f>
        <v>#N/A</v>
      </c>
      <c r="D113" s="53">
        <f t="shared" si="2"/>
        <v>0</v>
      </c>
    </row>
    <row r="114" spans="1:4" ht="15.75" x14ac:dyDescent="0.25">
      <c r="A114" s="53"/>
      <c r="B114" s="54"/>
      <c r="C114" s="54" t="e">
        <f>VLOOKUP(A:A,'ITEM LIST'!A:C,3,0)</f>
        <v>#N/A</v>
      </c>
      <c r="D114" s="53">
        <f t="shared" si="2"/>
        <v>0</v>
      </c>
    </row>
    <row r="115" spans="1:4" ht="15.75" x14ac:dyDescent="0.25">
      <c r="A115" s="53"/>
      <c r="B115" s="54"/>
      <c r="C115" s="54" t="e">
        <f>VLOOKUP(A:A,'ITEM LIST'!A:C,3,0)</f>
        <v>#N/A</v>
      </c>
      <c r="D115" s="53">
        <f t="shared" si="2"/>
        <v>0</v>
      </c>
    </row>
    <row r="116" spans="1:4" ht="15.75" x14ac:dyDescent="0.25">
      <c r="A116" s="53"/>
      <c r="B116" s="54"/>
      <c r="C116" s="54" t="e">
        <f>VLOOKUP(A:A,'ITEM LIST'!A:C,3,0)</f>
        <v>#N/A</v>
      </c>
      <c r="D116" s="53">
        <f t="shared" si="2"/>
        <v>0</v>
      </c>
    </row>
    <row r="117" spans="1:4" ht="15.75" x14ac:dyDescent="0.25">
      <c r="A117" s="53"/>
      <c r="B117" s="54"/>
      <c r="C117" s="54" t="e">
        <f>VLOOKUP(A:A,'ITEM LIST'!A:C,3,0)</f>
        <v>#N/A</v>
      </c>
      <c r="D117" s="53">
        <f t="shared" si="2"/>
        <v>0</v>
      </c>
    </row>
    <row r="118" spans="1:4" ht="15.75" x14ac:dyDescent="0.25">
      <c r="A118" s="53"/>
      <c r="B118" s="54"/>
      <c r="C118" s="54" t="e">
        <f>VLOOKUP(A:A,'ITEM LIST'!A:C,3,0)</f>
        <v>#N/A</v>
      </c>
      <c r="D118" s="53">
        <f t="shared" si="2"/>
        <v>0</v>
      </c>
    </row>
    <row r="119" spans="1:4" ht="15.75" x14ac:dyDescent="0.25">
      <c r="A119" s="53"/>
      <c r="B119" s="54"/>
      <c r="C119" s="54" t="e">
        <f>VLOOKUP(A:A,'ITEM LIST'!A:C,3,0)</f>
        <v>#N/A</v>
      </c>
      <c r="D119" s="53">
        <f t="shared" si="2"/>
        <v>0</v>
      </c>
    </row>
    <row r="120" spans="1:4" ht="15.75" x14ac:dyDescent="0.25">
      <c r="A120" s="53"/>
      <c r="B120" s="54"/>
      <c r="C120" s="54" t="e">
        <f>VLOOKUP(A:A,'ITEM LIST'!A:C,3,0)</f>
        <v>#N/A</v>
      </c>
      <c r="D120" s="53">
        <f t="shared" si="2"/>
        <v>0</v>
      </c>
    </row>
    <row r="121" spans="1:4" ht="15.75" x14ac:dyDescent="0.25">
      <c r="A121" s="53"/>
      <c r="B121" s="54"/>
      <c r="C121" s="54" t="e">
        <f>VLOOKUP(A:A,'ITEM LIST'!A:C,3,0)</f>
        <v>#N/A</v>
      </c>
      <c r="D121" s="53">
        <f t="shared" si="2"/>
        <v>0</v>
      </c>
    </row>
    <row r="122" spans="1:4" ht="15.75" x14ac:dyDescent="0.25">
      <c r="A122" s="53"/>
      <c r="B122" s="54"/>
      <c r="C122" s="54" t="e">
        <f>VLOOKUP(A:A,'ITEM LIST'!A:C,3,0)</f>
        <v>#N/A</v>
      </c>
      <c r="D122" s="53">
        <f t="shared" si="2"/>
        <v>0</v>
      </c>
    </row>
    <row r="123" spans="1:4" ht="15.75" x14ac:dyDescent="0.25">
      <c r="A123" s="53"/>
      <c r="B123" s="54"/>
      <c r="C123" s="54" t="e">
        <f>VLOOKUP(A:A,'ITEM LIST'!A:C,3,0)</f>
        <v>#N/A</v>
      </c>
      <c r="D123" s="53">
        <f t="shared" si="2"/>
        <v>0</v>
      </c>
    </row>
    <row r="124" spans="1:4" ht="15.75" x14ac:dyDescent="0.25">
      <c r="A124" s="53"/>
      <c r="B124" s="54"/>
      <c r="C124" s="54" t="e">
        <f>VLOOKUP(A:A,'ITEM LIST'!A:C,3,0)</f>
        <v>#N/A</v>
      </c>
      <c r="D124" s="53">
        <f t="shared" si="2"/>
        <v>0</v>
      </c>
    </row>
    <row r="125" spans="1:4" ht="15.75" x14ac:dyDescent="0.25">
      <c r="A125" s="53"/>
      <c r="B125" s="54"/>
      <c r="C125" s="54" t="e">
        <f>VLOOKUP(A:A,'ITEM LIST'!A:C,3,0)</f>
        <v>#N/A</v>
      </c>
      <c r="D125" s="53">
        <f t="shared" si="2"/>
        <v>0</v>
      </c>
    </row>
    <row r="126" spans="1:4" ht="15.75" x14ac:dyDescent="0.25">
      <c r="A126" s="53"/>
      <c r="B126" s="54"/>
      <c r="C126" s="54" t="e">
        <f>VLOOKUP(A:A,'ITEM LIST'!A:C,3,0)</f>
        <v>#N/A</v>
      </c>
      <c r="D126" s="53">
        <f t="shared" si="2"/>
        <v>0</v>
      </c>
    </row>
    <row r="127" spans="1:4" ht="15.75" x14ac:dyDescent="0.25">
      <c r="A127" s="53"/>
      <c r="B127" s="54"/>
      <c r="C127" s="54" t="e">
        <f>VLOOKUP(A:A,'ITEM LIST'!A:C,3,0)</f>
        <v>#N/A</v>
      </c>
      <c r="D127" s="53">
        <f t="shared" si="2"/>
        <v>0</v>
      </c>
    </row>
    <row r="128" spans="1:4" ht="15.75" x14ac:dyDescent="0.25">
      <c r="A128" s="53"/>
      <c r="B128" s="54"/>
      <c r="C128" s="54" t="e">
        <f>VLOOKUP(A:A,'ITEM LIST'!A:C,3,0)</f>
        <v>#N/A</v>
      </c>
      <c r="D128" s="53">
        <f t="shared" si="2"/>
        <v>0</v>
      </c>
    </row>
    <row r="129" spans="1:4" ht="15.75" x14ac:dyDescent="0.25">
      <c r="A129" s="53"/>
      <c r="B129" s="54"/>
      <c r="C129" s="54" t="e">
        <f>VLOOKUP(A:A,'ITEM LIST'!A:C,3,0)</f>
        <v>#N/A</v>
      </c>
      <c r="D129" s="53">
        <f t="shared" si="2"/>
        <v>0</v>
      </c>
    </row>
    <row r="130" spans="1:4" ht="15.75" x14ac:dyDescent="0.25">
      <c r="A130" s="53"/>
      <c r="B130" s="54"/>
      <c r="C130" s="54" t="e">
        <f>VLOOKUP(A:A,'ITEM LIST'!A:C,3,0)</f>
        <v>#N/A</v>
      </c>
      <c r="D130" s="53">
        <f t="shared" si="2"/>
        <v>0</v>
      </c>
    </row>
    <row r="131" spans="1:4" ht="15.75" x14ac:dyDescent="0.25">
      <c r="A131" s="53"/>
      <c r="B131" s="54"/>
      <c r="C131" s="54" t="e">
        <f>VLOOKUP(A:A,'ITEM LIST'!A:C,3,0)</f>
        <v>#N/A</v>
      </c>
      <c r="D131" s="53">
        <f t="shared" si="2"/>
        <v>0</v>
      </c>
    </row>
    <row r="132" spans="1:4" ht="15.75" x14ac:dyDescent="0.25">
      <c r="A132" s="53"/>
      <c r="B132" s="54"/>
      <c r="C132" s="54" t="e">
        <f>VLOOKUP(A:A,'ITEM LIST'!A:C,3,0)</f>
        <v>#N/A</v>
      </c>
      <c r="D132" s="53">
        <f t="shared" si="2"/>
        <v>0</v>
      </c>
    </row>
    <row r="133" spans="1:4" ht="15.75" x14ac:dyDescent="0.25">
      <c r="A133" s="53"/>
      <c r="B133" s="54"/>
      <c r="C133" s="54" t="e">
        <f>VLOOKUP(A:A,'ITEM LIST'!A:C,3,0)</f>
        <v>#N/A</v>
      </c>
      <c r="D133" s="53">
        <f t="shared" si="2"/>
        <v>0</v>
      </c>
    </row>
    <row r="134" spans="1:4" ht="15.75" x14ac:dyDescent="0.25">
      <c r="A134" s="53"/>
      <c r="B134" s="54"/>
      <c r="C134" s="54" t="e">
        <f>VLOOKUP(A:A,'ITEM LIST'!A:C,3,0)</f>
        <v>#N/A</v>
      </c>
      <c r="D134" s="53">
        <f t="shared" ref="D134:D197" si="3">B134</f>
        <v>0</v>
      </c>
    </row>
    <row r="135" spans="1:4" ht="15.75" x14ac:dyDescent="0.25">
      <c r="A135" s="53"/>
      <c r="B135" s="54"/>
      <c r="C135" s="54" t="e">
        <f>VLOOKUP(A:A,'ITEM LIST'!A:C,3,0)</f>
        <v>#N/A</v>
      </c>
      <c r="D135" s="53">
        <f t="shared" si="3"/>
        <v>0</v>
      </c>
    </row>
    <row r="136" spans="1:4" ht="15.75" x14ac:dyDescent="0.25">
      <c r="A136" s="53"/>
      <c r="B136" s="54"/>
      <c r="C136" s="54" t="e">
        <f>VLOOKUP(A:A,'ITEM LIST'!A:C,3,0)</f>
        <v>#N/A</v>
      </c>
      <c r="D136" s="53">
        <f t="shared" si="3"/>
        <v>0</v>
      </c>
    </row>
    <row r="137" spans="1:4" ht="15.75" x14ac:dyDescent="0.25">
      <c r="A137" s="53"/>
      <c r="B137" s="54"/>
      <c r="C137" s="54" t="e">
        <f>VLOOKUP(A:A,'ITEM LIST'!A:C,3,0)</f>
        <v>#N/A</v>
      </c>
      <c r="D137" s="53">
        <f t="shared" si="3"/>
        <v>0</v>
      </c>
    </row>
    <row r="138" spans="1:4" ht="15.75" x14ac:dyDescent="0.25">
      <c r="A138" s="53"/>
      <c r="B138" s="54"/>
      <c r="C138" s="54" t="e">
        <f>VLOOKUP(A:A,'ITEM LIST'!A:C,3,0)</f>
        <v>#N/A</v>
      </c>
      <c r="D138" s="53">
        <f t="shared" si="3"/>
        <v>0</v>
      </c>
    </row>
    <row r="139" spans="1:4" ht="15.75" x14ac:dyDescent="0.25">
      <c r="A139" s="53"/>
      <c r="B139" s="54"/>
      <c r="C139" s="54" t="e">
        <f>VLOOKUP(A:A,'ITEM LIST'!A:C,3,0)</f>
        <v>#N/A</v>
      </c>
      <c r="D139" s="53">
        <f t="shared" si="3"/>
        <v>0</v>
      </c>
    </row>
    <row r="140" spans="1:4" ht="15.75" x14ac:dyDescent="0.25">
      <c r="A140" s="53"/>
      <c r="B140" s="54"/>
      <c r="C140" s="54" t="e">
        <f>VLOOKUP(A:A,'ITEM LIST'!A:C,3,0)</f>
        <v>#N/A</v>
      </c>
      <c r="D140" s="53">
        <f t="shared" si="3"/>
        <v>0</v>
      </c>
    </row>
    <row r="141" spans="1:4" ht="15.75" x14ac:dyDescent="0.25">
      <c r="A141" s="53"/>
      <c r="B141" s="54"/>
      <c r="C141" s="54" t="e">
        <f>VLOOKUP(A:A,'ITEM LIST'!A:C,3,0)</f>
        <v>#N/A</v>
      </c>
      <c r="D141" s="53">
        <f t="shared" si="3"/>
        <v>0</v>
      </c>
    </row>
    <row r="142" spans="1:4" ht="15.75" x14ac:dyDescent="0.25">
      <c r="A142" s="53"/>
      <c r="B142" s="54"/>
      <c r="C142" s="54" t="e">
        <f>VLOOKUP(A:A,'ITEM LIST'!A:C,3,0)</f>
        <v>#N/A</v>
      </c>
      <c r="D142" s="53">
        <f t="shared" si="3"/>
        <v>0</v>
      </c>
    </row>
    <row r="143" spans="1:4" ht="15.75" x14ac:dyDescent="0.25">
      <c r="A143" s="53"/>
      <c r="B143" s="54"/>
      <c r="C143" s="54" t="e">
        <f>VLOOKUP(A:A,'ITEM LIST'!A:C,3,0)</f>
        <v>#N/A</v>
      </c>
      <c r="D143" s="53">
        <f t="shared" si="3"/>
        <v>0</v>
      </c>
    </row>
    <row r="144" spans="1:4" ht="15.75" x14ac:dyDescent="0.25">
      <c r="A144" s="53"/>
      <c r="B144" s="54"/>
      <c r="C144" s="54" t="e">
        <f>VLOOKUP(A:A,'ITEM LIST'!A:C,3,0)</f>
        <v>#N/A</v>
      </c>
      <c r="D144" s="53">
        <f t="shared" si="3"/>
        <v>0</v>
      </c>
    </row>
    <row r="145" spans="1:4" ht="15.75" x14ac:dyDescent="0.25">
      <c r="A145" s="53"/>
      <c r="B145" s="54"/>
      <c r="C145" s="54" t="e">
        <f>VLOOKUP(A:A,'ITEM LIST'!A:C,3,0)</f>
        <v>#N/A</v>
      </c>
      <c r="D145" s="53">
        <f t="shared" si="3"/>
        <v>0</v>
      </c>
    </row>
    <row r="146" spans="1:4" ht="15.75" x14ac:dyDescent="0.25">
      <c r="A146" s="53"/>
      <c r="B146" s="54"/>
      <c r="C146" s="54" t="e">
        <f>VLOOKUP(A:A,'ITEM LIST'!A:C,3,0)</f>
        <v>#N/A</v>
      </c>
      <c r="D146" s="53">
        <f t="shared" si="3"/>
        <v>0</v>
      </c>
    </row>
    <row r="147" spans="1:4" ht="15.75" x14ac:dyDescent="0.25">
      <c r="A147" s="53"/>
      <c r="B147" s="54"/>
      <c r="C147" s="54" t="e">
        <f>VLOOKUP(A:A,'ITEM LIST'!A:C,3,0)</f>
        <v>#N/A</v>
      </c>
      <c r="D147" s="53">
        <f t="shared" si="3"/>
        <v>0</v>
      </c>
    </row>
    <row r="148" spans="1:4" ht="15.75" x14ac:dyDescent="0.25">
      <c r="A148" s="53"/>
      <c r="B148" s="54"/>
      <c r="C148" s="54" t="e">
        <f>VLOOKUP(A:A,'ITEM LIST'!A:C,3,0)</f>
        <v>#N/A</v>
      </c>
      <c r="D148" s="53">
        <f t="shared" si="3"/>
        <v>0</v>
      </c>
    </row>
    <row r="149" spans="1:4" ht="15.75" x14ac:dyDescent="0.25">
      <c r="A149" s="53"/>
      <c r="B149" s="54"/>
      <c r="C149" s="54" t="e">
        <f>VLOOKUP(A:A,'ITEM LIST'!A:C,3,0)</f>
        <v>#N/A</v>
      </c>
      <c r="D149" s="53">
        <f t="shared" si="3"/>
        <v>0</v>
      </c>
    </row>
    <row r="150" spans="1:4" ht="15.75" x14ac:dyDescent="0.25">
      <c r="A150" s="53"/>
      <c r="B150" s="54"/>
      <c r="C150" s="54" t="e">
        <f>VLOOKUP(A:A,'ITEM LIST'!A:C,3,0)</f>
        <v>#N/A</v>
      </c>
      <c r="D150" s="53">
        <f t="shared" si="3"/>
        <v>0</v>
      </c>
    </row>
    <row r="151" spans="1:4" ht="15.75" x14ac:dyDescent="0.25">
      <c r="A151" s="53"/>
      <c r="B151" s="54"/>
      <c r="C151" s="54" t="e">
        <f>VLOOKUP(A:A,'ITEM LIST'!A:C,3,0)</f>
        <v>#N/A</v>
      </c>
      <c r="D151" s="53">
        <f t="shared" si="3"/>
        <v>0</v>
      </c>
    </row>
    <row r="152" spans="1:4" ht="15.75" x14ac:dyDescent="0.25">
      <c r="A152" s="53"/>
      <c r="B152" s="54"/>
      <c r="C152" s="54" t="e">
        <f>VLOOKUP(A:A,'ITEM LIST'!A:C,3,0)</f>
        <v>#N/A</v>
      </c>
      <c r="D152" s="53">
        <f t="shared" si="3"/>
        <v>0</v>
      </c>
    </row>
    <row r="153" spans="1:4" ht="15.75" x14ac:dyDescent="0.25">
      <c r="A153" s="53"/>
      <c r="B153" s="54"/>
      <c r="C153" s="54" t="e">
        <f>VLOOKUP(A:A,'ITEM LIST'!A:C,3,0)</f>
        <v>#N/A</v>
      </c>
      <c r="D153" s="53">
        <f t="shared" si="3"/>
        <v>0</v>
      </c>
    </row>
    <row r="154" spans="1:4" ht="15.75" x14ac:dyDescent="0.25">
      <c r="A154" s="53"/>
      <c r="B154" s="54"/>
      <c r="C154" s="54" t="e">
        <f>VLOOKUP(A:A,'ITEM LIST'!A:C,3,0)</f>
        <v>#N/A</v>
      </c>
      <c r="D154" s="53">
        <f t="shared" si="3"/>
        <v>0</v>
      </c>
    </row>
    <row r="155" spans="1:4" ht="15.75" x14ac:dyDescent="0.25">
      <c r="A155" s="53"/>
      <c r="B155" s="54"/>
      <c r="C155" s="54" t="e">
        <f>VLOOKUP(A:A,'ITEM LIST'!A:C,3,0)</f>
        <v>#N/A</v>
      </c>
      <c r="D155" s="53">
        <f t="shared" si="3"/>
        <v>0</v>
      </c>
    </row>
    <row r="156" spans="1:4" ht="15.75" x14ac:dyDescent="0.25">
      <c r="A156" s="53"/>
      <c r="B156" s="54"/>
      <c r="C156" s="54" t="e">
        <f>VLOOKUP(A:A,'ITEM LIST'!A:C,3,0)</f>
        <v>#N/A</v>
      </c>
      <c r="D156" s="53">
        <f t="shared" si="3"/>
        <v>0</v>
      </c>
    </row>
    <row r="157" spans="1:4" ht="15.75" x14ac:dyDescent="0.25">
      <c r="A157" s="53"/>
      <c r="B157" s="54"/>
      <c r="C157" s="54" t="e">
        <f>VLOOKUP(A:A,'ITEM LIST'!A:C,3,0)</f>
        <v>#N/A</v>
      </c>
      <c r="D157" s="53">
        <f t="shared" si="3"/>
        <v>0</v>
      </c>
    </row>
    <row r="158" spans="1:4" ht="15.75" x14ac:dyDescent="0.25">
      <c r="A158" s="53"/>
      <c r="B158" s="54"/>
      <c r="C158" s="54" t="e">
        <f>VLOOKUP(A:A,'ITEM LIST'!A:C,3,0)</f>
        <v>#N/A</v>
      </c>
      <c r="D158" s="53">
        <f t="shared" si="3"/>
        <v>0</v>
      </c>
    </row>
    <row r="159" spans="1:4" ht="15.75" x14ac:dyDescent="0.25">
      <c r="A159" s="53"/>
      <c r="B159" s="54"/>
      <c r="C159" s="54" t="e">
        <f>VLOOKUP(A:A,'ITEM LIST'!A:C,3,0)</f>
        <v>#N/A</v>
      </c>
      <c r="D159" s="53">
        <f t="shared" si="3"/>
        <v>0</v>
      </c>
    </row>
    <row r="160" spans="1:4" ht="15.75" x14ac:dyDescent="0.25">
      <c r="A160" s="53"/>
      <c r="B160" s="54"/>
      <c r="C160" s="54" t="e">
        <f>VLOOKUP(A:A,'ITEM LIST'!A:C,3,0)</f>
        <v>#N/A</v>
      </c>
      <c r="D160" s="53">
        <f t="shared" si="3"/>
        <v>0</v>
      </c>
    </row>
    <row r="161" spans="1:4" ht="15.75" x14ac:dyDescent="0.25">
      <c r="A161" s="53"/>
      <c r="B161" s="54"/>
      <c r="C161" s="54" t="e">
        <f>VLOOKUP(A:A,'ITEM LIST'!A:C,3,0)</f>
        <v>#N/A</v>
      </c>
      <c r="D161" s="53">
        <f t="shared" si="3"/>
        <v>0</v>
      </c>
    </row>
    <row r="162" spans="1:4" ht="15.75" x14ac:dyDescent="0.25">
      <c r="A162" s="53"/>
      <c r="B162" s="54"/>
      <c r="C162" s="54" t="e">
        <f>VLOOKUP(A:A,'ITEM LIST'!A:C,3,0)</f>
        <v>#N/A</v>
      </c>
      <c r="D162" s="53">
        <f t="shared" si="3"/>
        <v>0</v>
      </c>
    </row>
    <row r="163" spans="1:4" ht="15.75" x14ac:dyDescent="0.25">
      <c r="A163" s="53"/>
      <c r="B163" s="54"/>
      <c r="C163" s="54" t="e">
        <f>VLOOKUP(A:A,'ITEM LIST'!A:C,3,0)</f>
        <v>#N/A</v>
      </c>
      <c r="D163" s="53">
        <f t="shared" si="3"/>
        <v>0</v>
      </c>
    </row>
    <row r="164" spans="1:4" ht="15.75" x14ac:dyDescent="0.25">
      <c r="A164" s="53"/>
      <c r="B164" s="54"/>
      <c r="C164" s="54" t="e">
        <f>VLOOKUP(A:A,'ITEM LIST'!A:C,3,0)</f>
        <v>#N/A</v>
      </c>
      <c r="D164" s="53">
        <f t="shared" si="3"/>
        <v>0</v>
      </c>
    </row>
    <row r="165" spans="1:4" ht="15.75" x14ac:dyDescent="0.25">
      <c r="A165" s="53"/>
      <c r="B165" s="54"/>
      <c r="C165" s="54" t="e">
        <f>VLOOKUP(A:A,'ITEM LIST'!A:C,3,0)</f>
        <v>#N/A</v>
      </c>
      <c r="D165" s="53">
        <f t="shared" si="3"/>
        <v>0</v>
      </c>
    </row>
    <row r="166" spans="1:4" ht="15.75" x14ac:dyDescent="0.25">
      <c r="A166" s="53"/>
      <c r="B166" s="54"/>
      <c r="C166" s="54" t="e">
        <f>VLOOKUP(A:A,'ITEM LIST'!A:C,3,0)</f>
        <v>#N/A</v>
      </c>
      <c r="D166" s="53">
        <f t="shared" si="3"/>
        <v>0</v>
      </c>
    </row>
    <row r="167" spans="1:4" ht="15.75" x14ac:dyDescent="0.25">
      <c r="A167" s="53"/>
      <c r="B167" s="54"/>
      <c r="C167" s="54" t="e">
        <f>VLOOKUP(A:A,'ITEM LIST'!A:C,3,0)</f>
        <v>#N/A</v>
      </c>
      <c r="D167" s="53">
        <f t="shared" si="3"/>
        <v>0</v>
      </c>
    </row>
    <row r="168" spans="1:4" ht="15.75" x14ac:dyDescent="0.25">
      <c r="A168" s="53"/>
      <c r="B168" s="54"/>
      <c r="C168" s="54" t="e">
        <f>VLOOKUP(A:A,'ITEM LIST'!A:C,3,0)</f>
        <v>#N/A</v>
      </c>
      <c r="D168" s="53">
        <f t="shared" si="3"/>
        <v>0</v>
      </c>
    </row>
    <row r="169" spans="1:4" ht="15.75" x14ac:dyDescent="0.25">
      <c r="A169" s="53"/>
      <c r="B169" s="54"/>
      <c r="C169" s="54" t="e">
        <f>VLOOKUP(A:A,'ITEM LIST'!A:C,3,0)</f>
        <v>#N/A</v>
      </c>
      <c r="D169" s="53">
        <f t="shared" si="3"/>
        <v>0</v>
      </c>
    </row>
    <row r="170" spans="1:4" ht="15.75" x14ac:dyDescent="0.25">
      <c r="A170" s="53"/>
      <c r="B170" s="54"/>
      <c r="C170" s="54" t="e">
        <f>VLOOKUP(A:A,'ITEM LIST'!A:C,3,0)</f>
        <v>#N/A</v>
      </c>
      <c r="D170" s="53">
        <f t="shared" si="3"/>
        <v>0</v>
      </c>
    </row>
    <row r="171" spans="1:4" ht="15.75" x14ac:dyDescent="0.25">
      <c r="A171" s="53"/>
      <c r="B171" s="54"/>
      <c r="C171" s="54" t="e">
        <f>VLOOKUP(A:A,'ITEM LIST'!A:C,3,0)</f>
        <v>#N/A</v>
      </c>
      <c r="D171" s="53">
        <f t="shared" si="3"/>
        <v>0</v>
      </c>
    </row>
    <row r="172" spans="1:4" ht="15.75" x14ac:dyDescent="0.25">
      <c r="A172" s="53"/>
      <c r="B172" s="54"/>
      <c r="C172" s="54" t="e">
        <f>VLOOKUP(A:A,'ITEM LIST'!A:C,3,0)</f>
        <v>#N/A</v>
      </c>
      <c r="D172" s="53">
        <f t="shared" si="3"/>
        <v>0</v>
      </c>
    </row>
    <row r="173" spans="1:4" ht="15.75" x14ac:dyDescent="0.25">
      <c r="A173" s="53"/>
      <c r="B173" s="54"/>
      <c r="C173" s="54" t="e">
        <f>VLOOKUP(A:A,'ITEM LIST'!A:C,3,0)</f>
        <v>#N/A</v>
      </c>
      <c r="D173" s="53">
        <f t="shared" si="3"/>
        <v>0</v>
      </c>
    </row>
    <row r="174" spans="1:4" ht="15.75" x14ac:dyDescent="0.25">
      <c r="A174" s="53"/>
      <c r="B174" s="54"/>
      <c r="C174" s="54" t="e">
        <f>VLOOKUP(A:A,'ITEM LIST'!A:C,3,0)</f>
        <v>#N/A</v>
      </c>
      <c r="D174" s="53">
        <f t="shared" si="3"/>
        <v>0</v>
      </c>
    </row>
    <row r="175" spans="1:4" ht="15.75" x14ac:dyDescent="0.25">
      <c r="A175" s="53"/>
      <c r="B175" s="54"/>
      <c r="C175" s="54" t="e">
        <f>VLOOKUP(A:A,'ITEM LIST'!A:C,3,0)</f>
        <v>#N/A</v>
      </c>
      <c r="D175" s="53">
        <f t="shared" si="3"/>
        <v>0</v>
      </c>
    </row>
    <row r="176" spans="1:4" ht="15.75" x14ac:dyDescent="0.25">
      <c r="A176" s="53"/>
      <c r="B176" s="54"/>
      <c r="C176" s="54" t="e">
        <f>VLOOKUP(A:A,'ITEM LIST'!A:C,3,0)</f>
        <v>#N/A</v>
      </c>
      <c r="D176" s="53">
        <f t="shared" si="3"/>
        <v>0</v>
      </c>
    </row>
    <row r="177" spans="1:4" ht="15.75" x14ac:dyDescent="0.25">
      <c r="A177" s="53"/>
      <c r="B177" s="54"/>
      <c r="C177" s="54" t="e">
        <f>VLOOKUP(A:A,'ITEM LIST'!A:C,3,0)</f>
        <v>#N/A</v>
      </c>
      <c r="D177" s="53">
        <f t="shared" si="3"/>
        <v>0</v>
      </c>
    </row>
    <row r="178" spans="1:4" ht="15.75" x14ac:dyDescent="0.25">
      <c r="A178" s="53"/>
      <c r="B178" s="54"/>
      <c r="C178" s="54" t="e">
        <f>VLOOKUP(A:A,'ITEM LIST'!A:C,3,0)</f>
        <v>#N/A</v>
      </c>
      <c r="D178" s="53">
        <f t="shared" si="3"/>
        <v>0</v>
      </c>
    </row>
    <row r="179" spans="1:4" ht="15.75" x14ac:dyDescent="0.25">
      <c r="A179" s="53"/>
      <c r="B179" s="54"/>
      <c r="C179" s="54" t="e">
        <f>VLOOKUP(A:A,'ITEM LIST'!A:C,3,0)</f>
        <v>#N/A</v>
      </c>
      <c r="D179" s="53">
        <f t="shared" si="3"/>
        <v>0</v>
      </c>
    </row>
    <row r="180" spans="1:4" ht="15.75" x14ac:dyDescent="0.25">
      <c r="A180" s="53"/>
      <c r="B180" s="54"/>
      <c r="C180" s="54" t="e">
        <f>VLOOKUP(A:A,'ITEM LIST'!A:C,3,0)</f>
        <v>#N/A</v>
      </c>
      <c r="D180" s="53">
        <f t="shared" si="3"/>
        <v>0</v>
      </c>
    </row>
    <row r="181" spans="1:4" ht="15.75" x14ac:dyDescent="0.25">
      <c r="A181" s="53"/>
      <c r="B181" s="54"/>
      <c r="C181" s="54" t="e">
        <f>VLOOKUP(A:A,'ITEM LIST'!A:C,3,0)</f>
        <v>#N/A</v>
      </c>
      <c r="D181" s="53">
        <f t="shared" si="3"/>
        <v>0</v>
      </c>
    </row>
    <row r="182" spans="1:4" ht="15.75" x14ac:dyDescent="0.25">
      <c r="A182" s="53"/>
      <c r="B182" s="54"/>
      <c r="C182" s="54" t="e">
        <f>VLOOKUP(A:A,'ITEM LIST'!A:C,3,0)</f>
        <v>#N/A</v>
      </c>
      <c r="D182" s="53">
        <f t="shared" si="3"/>
        <v>0</v>
      </c>
    </row>
    <row r="183" spans="1:4" ht="15.75" x14ac:dyDescent="0.25">
      <c r="A183" s="53"/>
      <c r="B183" s="54"/>
      <c r="C183" s="54" t="e">
        <f>VLOOKUP(A:A,'ITEM LIST'!A:C,3,0)</f>
        <v>#N/A</v>
      </c>
      <c r="D183" s="53">
        <f t="shared" si="3"/>
        <v>0</v>
      </c>
    </row>
    <row r="184" spans="1:4" ht="15.75" x14ac:dyDescent="0.25">
      <c r="A184" s="53"/>
      <c r="B184" s="54"/>
      <c r="C184" s="54" t="e">
        <f>VLOOKUP(A:A,'ITEM LIST'!A:C,3,0)</f>
        <v>#N/A</v>
      </c>
      <c r="D184" s="53">
        <f t="shared" si="3"/>
        <v>0</v>
      </c>
    </row>
    <row r="185" spans="1:4" ht="15.75" x14ac:dyDescent="0.25">
      <c r="A185" s="53"/>
      <c r="B185" s="54"/>
      <c r="C185" s="54" t="e">
        <f>VLOOKUP(A:A,'ITEM LIST'!A:C,3,0)</f>
        <v>#N/A</v>
      </c>
      <c r="D185" s="53">
        <f t="shared" si="3"/>
        <v>0</v>
      </c>
    </row>
    <row r="186" spans="1:4" ht="15.75" x14ac:dyDescent="0.25">
      <c r="A186" s="53"/>
      <c r="B186" s="54"/>
      <c r="C186" s="54" t="e">
        <f>VLOOKUP(A:A,'ITEM LIST'!A:C,3,0)</f>
        <v>#N/A</v>
      </c>
      <c r="D186" s="53">
        <f t="shared" si="3"/>
        <v>0</v>
      </c>
    </row>
    <row r="187" spans="1:4" ht="15.75" x14ac:dyDescent="0.25">
      <c r="A187" s="53"/>
      <c r="B187" s="54"/>
      <c r="C187" s="54" t="e">
        <f>VLOOKUP(A:A,'ITEM LIST'!A:C,3,0)</f>
        <v>#N/A</v>
      </c>
      <c r="D187" s="53">
        <f t="shared" si="3"/>
        <v>0</v>
      </c>
    </row>
    <row r="188" spans="1:4" ht="15.75" x14ac:dyDescent="0.25">
      <c r="A188" s="53"/>
      <c r="B188" s="54"/>
      <c r="C188" s="54" t="e">
        <f>VLOOKUP(A:A,'ITEM LIST'!A:C,3,0)</f>
        <v>#N/A</v>
      </c>
      <c r="D188" s="53">
        <f t="shared" si="3"/>
        <v>0</v>
      </c>
    </row>
    <row r="189" spans="1:4" ht="15.75" x14ac:dyDescent="0.25">
      <c r="A189" s="53"/>
      <c r="B189" s="54"/>
      <c r="C189" s="54" t="e">
        <f>VLOOKUP(A:A,'ITEM LIST'!A:C,3,0)</f>
        <v>#N/A</v>
      </c>
      <c r="D189" s="53">
        <f t="shared" si="3"/>
        <v>0</v>
      </c>
    </row>
    <row r="190" spans="1:4" ht="15.75" x14ac:dyDescent="0.25">
      <c r="A190" s="53"/>
      <c r="B190" s="54"/>
      <c r="C190" s="54" t="e">
        <f>VLOOKUP(A:A,'ITEM LIST'!A:C,3,0)</f>
        <v>#N/A</v>
      </c>
      <c r="D190" s="53">
        <f t="shared" si="3"/>
        <v>0</v>
      </c>
    </row>
    <row r="191" spans="1:4" ht="15.75" x14ac:dyDescent="0.25">
      <c r="A191" s="53"/>
      <c r="B191" s="54"/>
      <c r="C191" s="54" t="e">
        <f>VLOOKUP(A:A,'ITEM LIST'!A:C,3,0)</f>
        <v>#N/A</v>
      </c>
      <c r="D191" s="53">
        <f t="shared" si="3"/>
        <v>0</v>
      </c>
    </row>
    <row r="192" spans="1:4" ht="15.75" x14ac:dyDescent="0.25">
      <c r="A192" s="53"/>
      <c r="B192" s="54"/>
      <c r="C192" s="54" t="e">
        <f>VLOOKUP(A:A,'ITEM LIST'!A:C,3,0)</f>
        <v>#N/A</v>
      </c>
      <c r="D192" s="53">
        <f t="shared" si="3"/>
        <v>0</v>
      </c>
    </row>
    <row r="193" spans="1:4" ht="15.75" x14ac:dyDescent="0.25">
      <c r="A193" s="53"/>
      <c r="B193" s="54"/>
      <c r="C193" s="54" t="e">
        <f>VLOOKUP(A:A,'ITEM LIST'!A:C,3,0)</f>
        <v>#N/A</v>
      </c>
      <c r="D193" s="53">
        <f t="shared" si="3"/>
        <v>0</v>
      </c>
    </row>
    <row r="194" spans="1:4" ht="15.75" x14ac:dyDescent="0.25">
      <c r="A194" s="53"/>
      <c r="B194" s="54"/>
      <c r="C194" s="54" t="e">
        <f>VLOOKUP(A:A,'ITEM LIST'!A:C,3,0)</f>
        <v>#N/A</v>
      </c>
      <c r="D194" s="53">
        <f t="shared" si="3"/>
        <v>0</v>
      </c>
    </row>
    <row r="195" spans="1:4" ht="15.75" x14ac:dyDescent="0.25">
      <c r="A195" s="53"/>
      <c r="B195" s="54"/>
      <c r="C195" s="54" t="e">
        <f>VLOOKUP(A:A,'ITEM LIST'!A:C,3,0)</f>
        <v>#N/A</v>
      </c>
      <c r="D195" s="53">
        <f t="shared" si="3"/>
        <v>0</v>
      </c>
    </row>
    <row r="196" spans="1:4" ht="15.75" x14ac:dyDescent="0.25">
      <c r="A196" s="53"/>
      <c r="B196" s="54"/>
      <c r="C196" s="54" t="e">
        <f>VLOOKUP(A:A,'ITEM LIST'!A:C,3,0)</f>
        <v>#N/A</v>
      </c>
      <c r="D196" s="53">
        <f t="shared" si="3"/>
        <v>0</v>
      </c>
    </row>
    <row r="197" spans="1:4" ht="15.75" x14ac:dyDescent="0.25">
      <c r="A197" s="53"/>
      <c r="B197" s="54"/>
      <c r="C197" s="54" t="e">
        <f>VLOOKUP(A:A,'ITEM LIST'!A:C,3,0)</f>
        <v>#N/A</v>
      </c>
      <c r="D197" s="53">
        <f t="shared" si="3"/>
        <v>0</v>
      </c>
    </row>
    <row r="198" spans="1:4" ht="15.75" x14ac:dyDescent="0.25">
      <c r="A198" s="53"/>
      <c r="B198" s="54"/>
      <c r="C198" s="54" t="e">
        <f>VLOOKUP(A:A,'ITEM LIST'!A:C,3,0)</f>
        <v>#N/A</v>
      </c>
      <c r="D198" s="53">
        <f t="shared" ref="D198:D261" si="4">B198</f>
        <v>0</v>
      </c>
    </row>
    <row r="199" spans="1:4" ht="15.75" x14ac:dyDescent="0.25">
      <c r="A199" s="53"/>
      <c r="B199" s="54"/>
      <c r="C199" s="54" t="e">
        <f>VLOOKUP(A:A,'ITEM LIST'!A:C,3,0)</f>
        <v>#N/A</v>
      </c>
      <c r="D199" s="53">
        <f t="shared" si="4"/>
        <v>0</v>
      </c>
    </row>
    <row r="200" spans="1:4" ht="15.75" x14ac:dyDescent="0.25">
      <c r="A200" s="53"/>
      <c r="B200" s="54"/>
      <c r="C200" s="54" t="e">
        <f>VLOOKUP(A:A,'ITEM LIST'!A:C,3,0)</f>
        <v>#N/A</v>
      </c>
      <c r="D200" s="53">
        <f t="shared" si="4"/>
        <v>0</v>
      </c>
    </row>
    <row r="201" spans="1:4" ht="15.75" x14ac:dyDescent="0.25">
      <c r="A201" s="53"/>
      <c r="B201" s="54"/>
      <c r="C201" s="54" t="e">
        <f>VLOOKUP(A:A,'ITEM LIST'!A:C,3,0)</f>
        <v>#N/A</v>
      </c>
      <c r="D201" s="53">
        <f t="shared" si="4"/>
        <v>0</v>
      </c>
    </row>
    <row r="202" spans="1:4" ht="15.75" x14ac:dyDescent="0.25">
      <c r="A202" s="53"/>
      <c r="B202" s="54"/>
      <c r="C202" s="54" t="e">
        <f>VLOOKUP(A:A,'ITEM LIST'!A:C,3,0)</f>
        <v>#N/A</v>
      </c>
      <c r="D202" s="53">
        <f t="shared" si="4"/>
        <v>0</v>
      </c>
    </row>
    <row r="203" spans="1:4" ht="15.75" x14ac:dyDescent="0.25">
      <c r="A203" s="53"/>
      <c r="B203" s="54"/>
      <c r="C203" s="54" t="e">
        <f>VLOOKUP(A:A,'ITEM LIST'!A:C,3,0)</f>
        <v>#N/A</v>
      </c>
      <c r="D203" s="53">
        <f t="shared" si="4"/>
        <v>0</v>
      </c>
    </row>
    <row r="204" spans="1:4" ht="15.75" x14ac:dyDescent="0.25">
      <c r="A204" s="53"/>
      <c r="B204" s="54"/>
      <c r="C204" s="54" t="e">
        <f>VLOOKUP(A:A,'ITEM LIST'!A:C,3,0)</f>
        <v>#N/A</v>
      </c>
      <c r="D204" s="53">
        <f t="shared" si="4"/>
        <v>0</v>
      </c>
    </row>
    <row r="205" spans="1:4" ht="15.75" x14ac:dyDescent="0.25">
      <c r="A205" s="53"/>
      <c r="B205" s="54"/>
      <c r="C205" s="54" t="e">
        <f>VLOOKUP(A:A,'ITEM LIST'!A:C,3,0)</f>
        <v>#N/A</v>
      </c>
      <c r="D205" s="53">
        <f t="shared" si="4"/>
        <v>0</v>
      </c>
    </row>
    <row r="206" spans="1:4" ht="15.75" x14ac:dyDescent="0.25">
      <c r="A206" s="53"/>
      <c r="B206" s="54"/>
      <c r="C206" s="54" t="e">
        <f>VLOOKUP(A:A,'ITEM LIST'!A:C,3,0)</f>
        <v>#N/A</v>
      </c>
      <c r="D206" s="53">
        <f t="shared" si="4"/>
        <v>0</v>
      </c>
    </row>
    <row r="207" spans="1:4" ht="15.75" x14ac:dyDescent="0.25">
      <c r="A207" s="53"/>
      <c r="B207" s="54"/>
      <c r="C207" s="54" t="e">
        <f>VLOOKUP(A:A,'ITEM LIST'!A:C,3,0)</f>
        <v>#N/A</v>
      </c>
      <c r="D207" s="53">
        <f t="shared" si="4"/>
        <v>0</v>
      </c>
    </row>
    <row r="208" spans="1:4" ht="15.75" x14ac:dyDescent="0.25">
      <c r="A208" s="53"/>
      <c r="B208" s="54"/>
      <c r="C208" s="54" t="e">
        <f>VLOOKUP(A:A,'ITEM LIST'!A:C,3,0)</f>
        <v>#N/A</v>
      </c>
      <c r="D208" s="53">
        <f t="shared" si="4"/>
        <v>0</v>
      </c>
    </row>
    <row r="209" spans="1:4" ht="15.75" x14ac:dyDescent="0.25">
      <c r="A209" s="53"/>
      <c r="B209" s="54"/>
      <c r="C209" s="54" t="e">
        <f>VLOOKUP(A:A,'ITEM LIST'!A:C,3,0)</f>
        <v>#N/A</v>
      </c>
      <c r="D209" s="53">
        <f t="shared" si="4"/>
        <v>0</v>
      </c>
    </row>
    <row r="210" spans="1:4" ht="15.75" x14ac:dyDescent="0.25">
      <c r="A210" s="53"/>
      <c r="B210" s="54"/>
      <c r="C210" s="54" t="e">
        <f>VLOOKUP(A:A,'ITEM LIST'!A:C,3,0)</f>
        <v>#N/A</v>
      </c>
      <c r="D210" s="53">
        <f t="shared" si="4"/>
        <v>0</v>
      </c>
    </row>
    <row r="211" spans="1:4" ht="15.75" x14ac:dyDescent="0.25">
      <c r="A211" s="53"/>
      <c r="B211" s="54"/>
      <c r="C211" s="54" t="e">
        <f>VLOOKUP(A:A,'ITEM LIST'!A:C,3,0)</f>
        <v>#N/A</v>
      </c>
      <c r="D211" s="53">
        <f t="shared" si="4"/>
        <v>0</v>
      </c>
    </row>
    <row r="212" spans="1:4" ht="15.75" x14ac:dyDescent="0.25">
      <c r="A212" s="53"/>
      <c r="B212" s="54"/>
      <c r="C212" s="54" t="e">
        <f>VLOOKUP(A:A,'ITEM LIST'!A:C,3,0)</f>
        <v>#N/A</v>
      </c>
      <c r="D212" s="53">
        <f t="shared" si="4"/>
        <v>0</v>
      </c>
    </row>
    <row r="213" spans="1:4" ht="15.75" x14ac:dyDescent="0.25">
      <c r="A213" s="53"/>
      <c r="B213" s="54"/>
      <c r="C213" s="54" t="e">
        <f>VLOOKUP(A:A,'ITEM LIST'!A:C,3,0)</f>
        <v>#N/A</v>
      </c>
      <c r="D213" s="53">
        <f t="shared" si="4"/>
        <v>0</v>
      </c>
    </row>
    <row r="214" spans="1:4" ht="15.75" x14ac:dyDescent="0.25">
      <c r="A214" s="53"/>
      <c r="B214" s="54"/>
      <c r="C214" s="54" t="e">
        <f>VLOOKUP(A:A,'ITEM LIST'!A:C,3,0)</f>
        <v>#N/A</v>
      </c>
      <c r="D214" s="53">
        <f t="shared" si="4"/>
        <v>0</v>
      </c>
    </row>
    <row r="215" spans="1:4" ht="15.75" x14ac:dyDescent="0.25">
      <c r="A215" s="53"/>
      <c r="B215" s="54"/>
      <c r="C215" s="54" t="e">
        <f>VLOOKUP(A:A,'ITEM LIST'!A:C,3,0)</f>
        <v>#N/A</v>
      </c>
      <c r="D215" s="53">
        <f t="shared" si="4"/>
        <v>0</v>
      </c>
    </row>
    <row r="216" spans="1:4" ht="15.75" x14ac:dyDescent="0.25">
      <c r="A216" s="53"/>
      <c r="B216" s="54"/>
      <c r="C216" s="54" t="e">
        <f>VLOOKUP(A:A,'ITEM LIST'!A:C,3,0)</f>
        <v>#N/A</v>
      </c>
      <c r="D216" s="53">
        <f t="shared" si="4"/>
        <v>0</v>
      </c>
    </row>
    <row r="217" spans="1:4" ht="15.75" x14ac:dyDescent="0.25">
      <c r="A217" s="53"/>
      <c r="B217" s="54"/>
      <c r="C217" s="54" t="e">
        <f>VLOOKUP(A:A,'ITEM LIST'!A:C,3,0)</f>
        <v>#N/A</v>
      </c>
      <c r="D217" s="53">
        <f t="shared" si="4"/>
        <v>0</v>
      </c>
    </row>
    <row r="218" spans="1:4" ht="15.75" x14ac:dyDescent="0.25">
      <c r="A218" s="53"/>
      <c r="B218" s="54"/>
      <c r="C218" s="54" t="e">
        <f>VLOOKUP(A:A,'ITEM LIST'!A:C,3,0)</f>
        <v>#N/A</v>
      </c>
      <c r="D218" s="53">
        <f t="shared" si="4"/>
        <v>0</v>
      </c>
    </row>
    <row r="219" spans="1:4" ht="15.75" x14ac:dyDescent="0.25">
      <c r="A219" s="53"/>
      <c r="B219" s="54"/>
      <c r="C219" s="54" t="e">
        <f>VLOOKUP(A:A,'ITEM LIST'!A:C,3,0)</f>
        <v>#N/A</v>
      </c>
      <c r="D219" s="53">
        <f t="shared" si="4"/>
        <v>0</v>
      </c>
    </row>
    <row r="220" spans="1:4" ht="15.75" x14ac:dyDescent="0.25">
      <c r="A220" s="53"/>
      <c r="B220" s="54"/>
      <c r="C220" s="54" t="e">
        <f>VLOOKUP(A:A,'ITEM LIST'!A:C,3,0)</f>
        <v>#N/A</v>
      </c>
      <c r="D220" s="53">
        <f t="shared" si="4"/>
        <v>0</v>
      </c>
    </row>
    <row r="221" spans="1:4" ht="15.75" x14ac:dyDescent="0.25">
      <c r="A221" s="53"/>
      <c r="B221" s="54"/>
      <c r="C221" s="54" t="e">
        <f>VLOOKUP(A:A,'ITEM LIST'!A:C,3,0)</f>
        <v>#N/A</v>
      </c>
      <c r="D221" s="53">
        <f t="shared" si="4"/>
        <v>0</v>
      </c>
    </row>
    <row r="222" spans="1:4" ht="15.75" x14ac:dyDescent="0.25">
      <c r="A222" s="53"/>
      <c r="B222" s="54"/>
      <c r="C222" s="54" t="e">
        <f>VLOOKUP(A:A,'ITEM LIST'!A:C,3,0)</f>
        <v>#N/A</v>
      </c>
      <c r="D222" s="53">
        <f t="shared" si="4"/>
        <v>0</v>
      </c>
    </row>
    <row r="223" spans="1:4" ht="15.75" x14ac:dyDescent="0.25">
      <c r="A223" s="53"/>
      <c r="B223" s="54"/>
      <c r="C223" s="54" t="e">
        <f>VLOOKUP(A:A,'ITEM LIST'!A:C,3,0)</f>
        <v>#N/A</v>
      </c>
      <c r="D223" s="53">
        <f t="shared" si="4"/>
        <v>0</v>
      </c>
    </row>
    <row r="224" spans="1:4" ht="15.75" x14ac:dyDescent="0.25">
      <c r="A224" s="53"/>
      <c r="B224" s="54"/>
      <c r="C224" s="54" t="e">
        <f>VLOOKUP(A:A,'ITEM LIST'!A:C,3,0)</f>
        <v>#N/A</v>
      </c>
      <c r="D224" s="53">
        <f t="shared" si="4"/>
        <v>0</v>
      </c>
    </row>
    <row r="225" spans="1:4" ht="15.75" x14ac:dyDescent="0.25">
      <c r="A225" s="53"/>
      <c r="B225" s="54"/>
      <c r="C225" s="54" t="e">
        <f>VLOOKUP(A:A,'ITEM LIST'!A:C,3,0)</f>
        <v>#N/A</v>
      </c>
      <c r="D225" s="53">
        <f t="shared" si="4"/>
        <v>0</v>
      </c>
    </row>
    <row r="226" spans="1:4" ht="15.75" x14ac:dyDescent="0.25">
      <c r="A226" s="53"/>
      <c r="B226" s="54"/>
      <c r="C226" s="54" t="e">
        <f>VLOOKUP(A:A,'ITEM LIST'!A:C,3,0)</f>
        <v>#N/A</v>
      </c>
      <c r="D226" s="53">
        <f t="shared" si="4"/>
        <v>0</v>
      </c>
    </row>
    <row r="227" spans="1:4" ht="15.75" x14ac:dyDescent="0.25">
      <c r="A227" s="53"/>
      <c r="B227" s="54"/>
      <c r="C227" s="54" t="e">
        <f>VLOOKUP(A:A,'ITEM LIST'!A:C,3,0)</f>
        <v>#N/A</v>
      </c>
      <c r="D227" s="53">
        <f t="shared" si="4"/>
        <v>0</v>
      </c>
    </row>
    <row r="228" spans="1:4" ht="15.75" x14ac:dyDescent="0.25">
      <c r="A228" s="53"/>
      <c r="B228" s="54"/>
      <c r="C228" s="54" t="e">
        <f>VLOOKUP(A:A,'ITEM LIST'!A:C,3,0)</f>
        <v>#N/A</v>
      </c>
      <c r="D228" s="53">
        <f t="shared" si="4"/>
        <v>0</v>
      </c>
    </row>
    <row r="229" spans="1:4" ht="15.75" x14ac:dyDescent="0.25">
      <c r="A229" s="53"/>
      <c r="B229" s="54"/>
      <c r="C229" s="54" t="e">
        <f>VLOOKUP(A:A,'ITEM LIST'!A:C,3,0)</f>
        <v>#N/A</v>
      </c>
      <c r="D229" s="53">
        <f t="shared" si="4"/>
        <v>0</v>
      </c>
    </row>
    <row r="230" spans="1:4" ht="15.75" x14ac:dyDescent="0.25">
      <c r="A230" s="53"/>
      <c r="B230" s="54"/>
      <c r="C230" s="54" t="e">
        <f>VLOOKUP(A:A,'ITEM LIST'!A:C,3,0)</f>
        <v>#N/A</v>
      </c>
      <c r="D230" s="53">
        <f t="shared" si="4"/>
        <v>0</v>
      </c>
    </row>
    <row r="231" spans="1:4" ht="15.75" x14ac:dyDescent="0.25">
      <c r="A231" s="53"/>
      <c r="B231" s="54"/>
      <c r="C231" s="54" t="e">
        <f>VLOOKUP(A:A,'ITEM LIST'!A:C,3,0)</f>
        <v>#N/A</v>
      </c>
      <c r="D231" s="53">
        <f t="shared" si="4"/>
        <v>0</v>
      </c>
    </row>
    <row r="232" spans="1:4" ht="15.75" x14ac:dyDescent="0.25">
      <c r="A232" s="53"/>
      <c r="B232" s="54"/>
      <c r="C232" s="54" t="e">
        <f>VLOOKUP(A:A,'ITEM LIST'!A:C,3,0)</f>
        <v>#N/A</v>
      </c>
      <c r="D232" s="53">
        <f t="shared" si="4"/>
        <v>0</v>
      </c>
    </row>
    <row r="233" spans="1:4" ht="15.75" x14ac:dyDescent="0.25">
      <c r="A233" s="53"/>
      <c r="B233" s="54"/>
      <c r="C233" s="54" t="e">
        <f>VLOOKUP(A:A,'ITEM LIST'!A:C,3,0)</f>
        <v>#N/A</v>
      </c>
      <c r="D233" s="53">
        <f t="shared" si="4"/>
        <v>0</v>
      </c>
    </row>
    <row r="234" spans="1:4" ht="15.75" x14ac:dyDescent="0.25">
      <c r="A234" s="53"/>
      <c r="B234" s="54"/>
      <c r="C234" s="54" t="e">
        <f>VLOOKUP(A:A,'ITEM LIST'!A:C,3,0)</f>
        <v>#N/A</v>
      </c>
      <c r="D234" s="53">
        <f t="shared" si="4"/>
        <v>0</v>
      </c>
    </row>
    <row r="235" spans="1:4" ht="15.75" x14ac:dyDescent="0.25">
      <c r="A235" s="53"/>
      <c r="B235" s="54"/>
      <c r="C235" s="54" t="e">
        <f>VLOOKUP(A:A,'ITEM LIST'!A:C,3,0)</f>
        <v>#N/A</v>
      </c>
      <c r="D235" s="53">
        <f t="shared" si="4"/>
        <v>0</v>
      </c>
    </row>
    <row r="236" spans="1:4" ht="15.75" x14ac:dyDescent="0.25">
      <c r="A236" s="53"/>
      <c r="B236" s="54"/>
      <c r="C236" s="54" t="e">
        <f>VLOOKUP(A:A,'ITEM LIST'!A:C,3,0)</f>
        <v>#N/A</v>
      </c>
      <c r="D236" s="53">
        <f t="shared" si="4"/>
        <v>0</v>
      </c>
    </row>
    <row r="237" spans="1:4" ht="15.75" x14ac:dyDescent="0.25">
      <c r="A237" s="53"/>
      <c r="B237" s="54"/>
      <c r="C237" s="54" t="e">
        <f>VLOOKUP(A:A,'ITEM LIST'!A:C,3,0)</f>
        <v>#N/A</v>
      </c>
      <c r="D237" s="53">
        <f t="shared" si="4"/>
        <v>0</v>
      </c>
    </row>
    <row r="238" spans="1:4" ht="15.75" x14ac:dyDescent="0.25">
      <c r="A238" s="53"/>
      <c r="B238" s="54"/>
      <c r="C238" s="54" t="e">
        <f>VLOOKUP(A:A,'ITEM LIST'!A:C,3,0)</f>
        <v>#N/A</v>
      </c>
      <c r="D238" s="53">
        <f t="shared" si="4"/>
        <v>0</v>
      </c>
    </row>
    <row r="239" spans="1:4" ht="15.75" x14ac:dyDescent="0.25">
      <c r="A239" s="53"/>
      <c r="B239" s="54"/>
      <c r="C239" s="54" t="e">
        <f>VLOOKUP(A:A,'ITEM LIST'!A:C,3,0)</f>
        <v>#N/A</v>
      </c>
      <c r="D239" s="53">
        <f t="shared" si="4"/>
        <v>0</v>
      </c>
    </row>
    <row r="240" spans="1:4" ht="15.75" x14ac:dyDescent="0.25">
      <c r="A240" s="53"/>
      <c r="B240" s="54"/>
      <c r="C240" s="54" t="e">
        <f>VLOOKUP(A:A,'ITEM LIST'!A:C,3,0)</f>
        <v>#N/A</v>
      </c>
      <c r="D240" s="53">
        <f t="shared" si="4"/>
        <v>0</v>
      </c>
    </row>
    <row r="241" spans="1:4" ht="15.75" x14ac:dyDescent="0.25">
      <c r="A241" s="53"/>
      <c r="B241" s="54"/>
      <c r="C241" s="54" t="e">
        <f>VLOOKUP(A:A,'ITEM LIST'!A:C,3,0)</f>
        <v>#N/A</v>
      </c>
      <c r="D241" s="53">
        <f t="shared" si="4"/>
        <v>0</v>
      </c>
    </row>
    <row r="242" spans="1:4" ht="15.75" x14ac:dyDescent="0.25">
      <c r="A242" s="53"/>
      <c r="B242" s="54"/>
      <c r="C242" s="54" t="e">
        <f>VLOOKUP(A:A,'ITEM LIST'!A:C,3,0)</f>
        <v>#N/A</v>
      </c>
      <c r="D242" s="53">
        <f t="shared" si="4"/>
        <v>0</v>
      </c>
    </row>
    <row r="243" spans="1:4" ht="15.75" x14ac:dyDescent="0.25">
      <c r="A243" s="53"/>
      <c r="B243" s="54"/>
      <c r="C243" s="54" t="e">
        <f>VLOOKUP(A:A,'ITEM LIST'!A:C,3,0)</f>
        <v>#N/A</v>
      </c>
      <c r="D243" s="53">
        <f t="shared" si="4"/>
        <v>0</v>
      </c>
    </row>
    <row r="244" spans="1:4" ht="15.75" x14ac:dyDescent="0.25">
      <c r="A244" s="53"/>
      <c r="B244" s="54"/>
      <c r="C244" s="54" t="e">
        <f>VLOOKUP(A:A,'ITEM LIST'!A:C,3,0)</f>
        <v>#N/A</v>
      </c>
      <c r="D244" s="53">
        <f t="shared" si="4"/>
        <v>0</v>
      </c>
    </row>
    <row r="245" spans="1:4" ht="15.75" x14ac:dyDescent="0.25">
      <c r="A245" s="53"/>
      <c r="B245" s="54"/>
      <c r="C245" s="54" t="e">
        <f>VLOOKUP(A:A,'ITEM LIST'!A:C,3,0)</f>
        <v>#N/A</v>
      </c>
      <c r="D245" s="53">
        <f t="shared" si="4"/>
        <v>0</v>
      </c>
    </row>
    <row r="246" spans="1:4" ht="15.75" x14ac:dyDescent="0.25">
      <c r="A246" s="53"/>
      <c r="B246" s="54"/>
      <c r="C246" s="54" t="e">
        <f>VLOOKUP(A:A,'ITEM LIST'!A:C,3,0)</f>
        <v>#N/A</v>
      </c>
      <c r="D246" s="53">
        <f t="shared" si="4"/>
        <v>0</v>
      </c>
    </row>
    <row r="247" spans="1:4" ht="15.75" x14ac:dyDescent="0.25">
      <c r="A247" s="53"/>
      <c r="B247" s="54"/>
      <c r="C247" s="54" t="e">
        <f>VLOOKUP(A:A,'ITEM LIST'!A:C,3,0)</f>
        <v>#N/A</v>
      </c>
      <c r="D247" s="53">
        <f t="shared" si="4"/>
        <v>0</v>
      </c>
    </row>
    <row r="248" spans="1:4" ht="15.75" x14ac:dyDescent="0.25">
      <c r="A248" s="53"/>
      <c r="B248" s="54"/>
      <c r="C248" s="54" t="e">
        <f>VLOOKUP(A:A,'ITEM LIST'!A:C,3,0)</f>
        <v>#N/A</v>
      </c>
      <c r="D248" s="53">
        <f t="shared" si="4"/>
        <v>0</v>
      </c>
    </row>
    <row r="249" spans="1:4" ht="15.75" x14ac:dyDescent="0.25">
      <c r="A249" s="53"/>
      <c r="B249" s="54"/>
      <c r="C249" s="54" t="e">
        <f>VLOOKUP(A:A,'ITEM LIST'!A:C,3,0)</f>
        <v>#N/A</v>
      </c>
      <c r="D249" s="53">
        <f t="shared" si="4"/>
        <v>0</v>
      </c>
    </row>
    <row r="250" spans="1:4" ht="15.75" x14ac:dyDescent="0.25">
      <c r="A250" s="53"/>
      <c r="B250" s="54"/>
      <c r="C250" s="54" t="e">
        <f>VLOOKUP(A:A,'ITEM LIST'!A:C,3,0)</f>
        <v>#N/A</v>
      </c>
      <c r="D250" s="53">
        <f t="shared" si="4"/>
        <v>0</v>
      </c>
    </row>
    <row r="251" spans="1:4" ht="15.75" x14ac:dyDescent="0.25">
      <c r="A251" s="53"/>
      <c r="B251" s="54"/>
      <c r="C251" s="54" t="e">
        <f>VLOOKUP(A:A,'ITEM LIST'!A:C,3,0)</f>
        <v>#N/A</v>
      </c>
      <c r="D251" s="53">
        <f t="shared" si="4"/>
        <v>0</v>
      </c>
    </row>
    <row r="252" spans="1:4" ht="15.75" x14ac:dyDescent="0.25">
      <c r="A252" s="53"/>
      <c r="B252" s="54"/>
      <c r="C252" s="54" t="e">
        <f>VLOOKUP(A:A,'ITEM LIST'!A:C,3,0)</f>
        <v>#N/A</v>
      </c>
      <c r="D252" s="53">
        <f t="shared" si="4"/>
        <v>0</v>
      </c>
    </row>
    <row r="253" spans="1:4" ht="15.75" x14ac:dyDescent="0.25">
      <c r="A253" s="53"/>
      <c r="B253" s="54"/>
      <c r="C253" s="54" t="e">
        <f>VLOOKUP(A:A,'ITEM LIST'!A:C,3,0)</f>
        <v>#N/A</v>
      </c>
      <c r="D253" s="53">
        <f t="shared" si="4"/>
        <v>0</v>
      </c>
    </row>
    <row r="254" spans="1:4" ht="15.75" x14ac:dyDescent="0.25">
      <c r="A254" s="53"/>
      <c r="B254" s="54"/>
      <c r="C254" s="54" t="e">
        <f>VLOOKUP(A:A,'ITEM LIST'!A:C,3,0)</f>
        <v>#N/A</v>
      </c>
      <c r="D254" s="53">
        <f t="shared" si="4"/>
        <v>0</v>
      </c>
    </row>
    <row r="255" spans="1:4" ht="15.75" x14ac:dyDescent="0.25">
      <c r="A255" s="53"/>
      <c r="B255" s="54"/>
      <c r="C255" s="54" t="e">
        <f>VLOOKUP(A:A,'ITEM LIST'!A:C,3,0)</f>
        <v>#N/A</v>
      </c>
      <c r="D255" s="53">
        <f t="shared" si="4"/>
        <v>0</v>
      </c>
    </row>
    <row r="256" spans="1:4" ht="15.75" x14ac:dyDescent="0.25">
      <c r="A256" s="53"/>
      <c r="B256" s="54"/>
      <c r="C256" s="54" t="e">
        <f>VLOOKUP(A:A,'ITEM LIST'!A:C,3,0)</f>
        <v>#N/A</v>
      </c>
      <c r="D256" s="53">
        <f t="shared" si="4"/>
        <v>0</v>
      </c>
    </row>
    <row r="257" spans="1:4" ht="15.75" x14ac:dyDescent="0.25">
      <c r="A257" s="53"/>
      <c r="B257" s="54"/>
      <c r="C257" s="54" t="e">
        <f>VLOOKUP(A:A,'ITEM LIST'!A:C,3,0)</f>
        <v>#N/A</v>
      </c>
      <c r="D257" s="53">
        <f t="shared" si="4"/>
        <v>0</v>
      </c>
    </row>
    <row r="258" spans="1:4" ht="15.75" x14ac:dyDescent="0.25">
      <c r="A258" s="53"/>
      <c r="B258" s="54"/>
      <c r="C258" s="54" t="e">
        <f>VLOOKUP(A:A,'ITEM LIST'!A:C,3,0)</f>
        <v>#N/A</v>
      </c>
      <c r="D258" s="53">
        <f t="shared" si="4"/>
        <v>0</v>
      </c>
    </row>
    <row r="259" spans="1:4" ht="15.75" x14ac:dyDescent="0.25">
      <c r="A259" s="53"/>
      <c r="B259" s="54"/>
      <c r="C259" s="54" t="e">
        <f>VLOOKUP(A:A,'ITEM LIST'!A:C,3,0)</f>
        <v>#N/A</v>
      </c>
      <c r="D259" s="53">
        <f t="shared" si="4"/>
        <v>0</v>
      </c>
    </row>
    <row r="260" spans="1:4" ht="15.75" x14ac:dyDescent="0.25">
      <c r="A260" s="53"/>
      <c r="B260" s="54"/>
      <c r="C260" s="54" t="e">
        <f>VLOOKUP(A:A,'ITEM LIST'!A:C,3,0)</f>
        <v>#N/A</v>
      </c>
      <c r="D260" s="53">
        <f t="shared" si="4"/>
        <v>0</v>
      </c>
    </row>
    <row r="261" spans="1:4" ht="15.75" x14ac:dyDescent="0.25">
      <c r="A261" s="53"/>
      <c r="B261" s="54"/>
      <c r="C261" s="54" t="e">
        <f>VLOOKUP(A:A,'ITEM LIST'!A:C,3,0)</f>
        <v>#N/A</v>
      </c>
      <c r="D261" s="53">
        <f t="shared" si="4"/>
        <v>0</v>
      </c>
    </row>
    <row r="262" spans="1:4" ht="15.75" x14ac:dyDescent="0.25">
      <c r="A262" s="53"/>
      <c r="B262" s="54"/>
      <c r="C262" s="54" t="e">
        <f>VLOOKUP(A:A,'ITEM LIST'!A:C,3,0)</f>
        <v>#N/A</v>
      </c>
      <c r="D262" s="53">
        <f t="shared" ref="D262:D325" si="5">B262</f>
        <v>0</v>
      </c>
    </row>
    <row r="263" spans="1:4" ht="15.75" x14ac:dyDescent="0.25">
      <c r="A263" s="53"/>
      <c r="B263" s="54"/>
      <c r="C263" s="54" t="e">
        <f>VLOOKUP(A:A,'ITEM LIST'!A:C,3,0)</f>
        <v>#N/A</v>
      </c>
      <c r="D263" s="53">
        <f t="shared" si="5"/>
        <v>0</v>
      </c>
    </row>
    <row r="264" spans="1:4" ht="15.75" x14ac:dyDescent="0.25">
      <c r="A264" s="53"/>
      <c r="B264" s="54"/>
      <c r="C264" s="54" t="e">
        <f>VLOOKUP(A:A,'ITEM LIST'!A:C,3,0)</f>
        <v>#N/A</v>
      </c>
      <c r="D264" s="53">
        <f t="shared" si="5"/>
        <v>0</v>
      </c>
    </row>
    <row r="265" spans="1:4" ht="15.75" x14ac:dyDescent="0.25">
      <c r="A265" s="53"/>
      <c r="B265" s="54"/>
      <c r="C265" s="54" t="e">
        <f>VLOOKUP(A:A,'ITEM LIST'!A:C,3,0)</f>
        <v>#N/A</v>
      </c>
      <c r="D265" s="53">
        <f t="shared" si="5"/>
        <v>0</v>
      </c>
    </row>
    <row r="266" spans="1:4" ht="15.75" x14ac:dyDescent="0.25">
      <c r="A266" s="53"/>
      <c r="B266" s="54"/>
      <c r="C266" s="54" t="e">
        <f>VLOOKUP(A:A,'ITEM LIST'!A:C,3,0)</f>
        <v>#N/A</v>
      </c>
      <c r="D266" s="53">
        <f t="shared" si="5"/>
        <v>0</v>
      </c>
    </row>
    <row r="267" spans="1:4" ht="15.75" x14ac:dyDescent="0.25">
      <c r="A267" s="53"/>
      <c r="B267" s="54"/>
      <c r="C267" s="54" t="e">
        <f>VLOOKUP(A:A,'ITEM LIST'!A:C,3,0)</f>
        <v>#N/A</v>
      </c>
      <c r="D267" s="53">
        <f t="shared" si="5"/>
        <v>0</v>
      </c>
    </row>
    <row r="268" spans="1:4" ht="15.75" x14ac:dyDescent="0.25">
      <c r="A268" s="53"/>
      <c r="B268" s="54"/>
      <c r="C268" s="54" t="e">
        <f>VLOOKUP(A:A,'ITEM LIST'!A:C,3,0)</f>
        <v>#N/A</v>
      </c>
      <c r="D268" s="53">
        <f t="shared" si="5"/>
        <v>0</v>
      </c>
    </row>
    <row r="269" spans="1:4" ht="15.75" x14ac:dyDescent="0.25">
      <c r="A269" s="53"/>
      <c r="B269" s="54"/>
      <c r="C269" s="54" t="e">
        <f>VLOOKUP(A:A,'ITEM LIST'!A:C,3,0)</f>
        <v>#N/A</v>
      </c>
      <c r="D269" s="53">
        <f t="shared" si="5"/>
        <v>0</v>
      </c>
    </row>
    <row r="270" spans="1:4" ht="15.75" x14ac:dyDescent="0.25">
      <c r="A270" s="53"/>
      <c r="B270" s="54"/>
      <c r="C270" s="54" t="e">
        <f>VLOOKUP(A:A,'ITEM LIST'!A:C,3,0)</f>
        <v>#N/A</v>
      </c>
      <c r="D270" s="53">
        <f t="shared" si="5"/>
        <v>0</v>
      </c>
    </row>
    <row r="271" spans="1:4" ht="15.75" x14ac:dyDescent="0.25">
      <c r="A271" s="53"/>
      <c r="B271" s="54"/>
      <c r="C271" s="54" t="e">
        <f>VLOOKUP(A:A,'ITEM LIST'!A:C,3,0)</f>
        <v>#N/A</v>
      </c>
      <c r="D271" s="53">
        <f t="shared" si="5"/>
        <v>0</v>
      </c>
    </row>
    <row r="272" spans="1:4" ht="15.75" x14ac:dyDescent="0.25">
      <c r="A272" s="53"/>
      <c r="B272" s="54"/>
      <c r="C272" s="54" t="e">
        <f>VLOOKUP(A:A,'ITEM LIST'!A:C,3,0)</f>
        <v>#N/A</v>
      </c>
      <c r="D272" s="53">
        <f t="shared" si="5"/>
        <v>0</v>
      </c>
    </row>
    <row r="273" spans="1:4" ht="15.75" x14ac:dyDescent="0.25">
      <c r="A273" s="53"/>
      <c r="B273" s="54"/>
      <c r="C273" s="54" t="e">
        <f>VLOOKUP(A:A,'ITEM LIST'!A:C,3,0)</f>
        <v>#N/A</v>
      </c>
      <c r="D273" s="53">
        <f t="shared" si="5"/>
        <v>0</v>
      </c>
    </row>
    <row r="274" spans="1:4" ht="15.75" x14ac:dyDescent="0.25">
      <c r="A274" s="53"/>
      <c r="B274" s="54"/>
      <c r="C274" s="54" t="e">
        <f>VLOOKUP(A:A,'ITEM LIST'!A:C,3,0)</f>
        <v>#N/A</v>
      </c>
      <c r="D274" s="53">
        <f t="shared" si="5"/>
        <v>0</v>
      </c>
    </row>
    <row r="275" spans="1:4" ht="15.75" x14ac:dyDescent="0.25">
      <c r="A275" s="53"/>
      <c r="B275" s="54"/>
      <c r="C275" s="54" t="e">
        <f>VLOOKUP(A:A,'ITEM LIST'!A:C,3,0)</f>
        <v>#N/A</v>
      </c>
      <c r="D275" s="53">
        <f t="shared" si="5"/>
        <v>0</v>
      </c>
    </row>
    <row r="276" spans="1:4" ht="15.75" x14ac:dyDescent="0.25">
      <c r="A276" s="53"/>
      <c r="B276" s="54"/>
      <c r="C276" s="54" t="e">
        <f>VLOOKUP(A:A,'ITEM LIST'!A:C,3,0)</f>
        <v>#N/A</v>
      </c>
      <c r="D276" s="53">
        <f t="shared" si="5"/>
        <v>0</v>
      </c>
    </row>
    <row r="277" spans="1:4" ht="15.75" x14ac:dyDescent="0.25">
      <c r="A277" s="53"/>
      <c r="B277" s="54"/>
      <c r="C277" s="54" t="e">
        <f>VLOOKUP(A:A,'ITEM LIST'!A:C,3,0)</f>
        <v>#N/A</v>
      </c>
      <c r="D277" s="53">
        <f t="shared" si="5"/>
        <v>0</v>
      </c>
    </row>
    <row r="278" spans="1:4" ht="15.75" x14ac:dyDescent="0.25">
      <c r="A278" s="53"/>
      <c r="B278" s="54"/>
      <c r="C278" s="54" t="e">
        <f>VLOOKUP(A:A,'ITEM LIST'!A:C,3,0)</f>
        <v>#N/A</v>
      </c>
      <c r="D278" s="53">
        <f t="shared" si="5"/>
        <v>0</v>
      </c>
    </row>
    <row r="279" spans="1:4" ht="15.75" x14ac:dyDescent="0.25">
      <c r="A279" s="53"/>
      <c r="B279" s="54"/>
      <c r="C279" s="54" t="e">
        <f>VLOOKUP(A:A,'ITEM LIST'!A:C,3,0)</f>
        <v>#N/A</v>
      </c>
      <c r="D279" s="53">
        <f t="shared" si="5"/>
        <v>0</v>
      </c>
    </row>
    <row r="280" spans="1:4" ht="15.75" x14ac:dyDescent="0.25">
      <c r="A280" s="53"/>
      <c r="B280" s="54"/>
      <c r="C280" s="54" t="e">
        <f>VLOOKUP(A:A,'ITEM LIST'!A:C,3,0)</f>
        <v>#N/A</v>
      </c>
      <c r="D280" s="53">
        <f t="shared" si="5"/>
        <v>0</v>
      </c>
    </row>
    <row r="281" spans="1:4" ht="15.75" x14ac:dyDescent="0.25">
      <c r="A281" s="53"/>
      <c r="B281" s="54"/>
      <c r="C281" s="54" t="e">
        <f>VLOOKUP(A:A,'ITEM LIST'!A:C,3,0)</f>
        <v>#N/A</v>
      </c>
      <c r="D281" s="53">
        <f t="shared" si="5"/>
        <v>0</v>
      </c>
    </row>
    <row r="282" spans="1:4" ht="15.75" x14ac:dyDescent="0.25">
      <c r="A282" s="53"/>
      <c r="B282" s="54"/>
      <c r="C282" s="54" t="e">
        <f>VLOOKUP(A:A,'ITEM LIST'!A:C,3,0)</f>
        <v>#N/A</v>
      </c>
      <c r="D282" s="53">
        <f t="shared" si="5"/>
        <v>0</v>
      </c>
    </row>
    <row r="283" spans="1:4" ht="15.75" x14ac:dyDescent="0.25">
      <c r="A283" s="53"/>
      <c r="B283" s="54"/>
      <c r="C283" s="54" t="e">
        <f>VLOOKUP(A:A,'ITEM LIST'!A:C,3,0)</f>
        <v>#N/A</v>
      </c>
      <c r="D283" s="53">
        <f t="shared" si="5"/>
        <v>0</v>
      </c>
    </row>
    <row r="284" spans="1:4" ht="15.75" x14ac:dyDescent="0.25">
      <c r="A284" s="53"/>
      <c r="B284" s="54"/>
      <c r="C284" s="54" t="e">
        <f>VLOOKUP(A:A,'ITEM LIST'!A:C,3,0)</f>
        <v>#N/A</v>
      </c>
      <c r="D284" s="53">
        <f t="shared" si="5"/>
        <v>0</v>
      </c>
    </row>
    <row r="285" spans="1:4" ht="15.75" x14ac:dyDescent="0.25">
      <c r="A285" s="53"/>
      <c r="B285" s="54"/>
      <c r="C285" s="54" t="e">
        <f>VLOOKUP(A:A,'ITEM LIST'!A:C,3,0)</f>
        <v>#N/A</v>
      </c>
      <c r="D285" s="53">
        <f t="shared" si="5"/>
        <v>0</v>
      </c>
    </row>
    <row r="286" spans="1:4" ht="15.75" x14ac:dyDescent="0.25">
      <c r="A286" s="53"/>
      <c r="B286" s="54"/>
      <c r="C286" s="54" t="e">
        <f>VLOOKUP(A:A,'ITEM LIST'!A:C,3,0)</f>
        <v>#N/A</v>
      </c>
      <c r="D286" s="53">
        <f t="shared" si="5"/>
        <v>0</v>
      </c>
    </row>
    <row r="287" spans="1:4" ht="15.75" x14ac:dyDescent="0.25">
      <c r="A287" s="53"/>
      <c r="B287" s="54"/>
      <c r="C287" s="54" t="e">
        <f>VLOOKUP(A:A,'ITEM LIST'!A:C,3,0)</f>
        <v>#N/A</v>
      </c>
      <c r="D287" s="53">
        <f t="shared" si="5"/>
        <v>0</v>
      </c>
    </row>
    <row r="288" spans="1:4" ht="15.75" x14ac:dyDescent="0.25">
      <c r="A288" s="53"/>
      <c r="B288" s="54"/>
      <c r="C288" s="54" t="e">
        <f>VLOOKUP(A:A,'ITEM LIST'!A:C,3,0)</f>
        <v>#N/A</v>
      </c>
      <c r="D288" s="53">
        <f t="shared" si="5"/>
        <v>0</v>
      </c>
    </row>
    <row r="289" spans="1:4" ht="15.75" x14ac:dyDescent="0.25">
      <c r="A289" s="53"/>
      <c r="B289" s="54"/>
      <c r="C289" s="54" t="e">
        <f>VLOOKUP(A:A,'ITEM LIST'!A:C,3,0)</f>
        <v>#N/A</v>
      </c>
      <c r="D289" s="53">
        <f t="shared" si="5"/>
        <v>0</v>
      </c>
    </row>
    <row r="290" spans="1:4" ht="15.75" x14ac:dyDescent="0.25">
      <c r="A290" s="53"/>
      <c r="B290" s="54"/>
      <c r="C290" s="54" t="e">
        <f>VLOOKUP(A:A,'ITEM LIST'!A:C,3,0)</f>
        <v>#N/A</v>
      </c>
      <c r="D290" s="53">
        <f t="shared" si="5"/>
        <v>0</v>
      </c>
    </row>
    <row r="291" spans="1:4" ht="15.75" x14ac:dyDescent="0.25">
      <c r="A291" s="53"/>
      <c r="B291" s="54"/>
      <c r="C291" s="54" t="e">
        <f>VLOOKUP(A:A,'ITEM LIST'!A:C,3,0)</f>
        <v>#N/A</v>
      </c>
      <c r="D291" s="53">
        <f t="shared" si="5"/>
        <v>0</v>
      </c>
    </row>
    <row r="292" spans="1:4" ht="15.75" x14ac:dyDescent="0.25">
      <c r="A292" s="53"/>
      <c r="B292" s="54"/>
      <c r="C292" s="54" t="e">
        <f>VLOOKUP(A:A,'ITEM LIST'!A:C,3,0)</f>
        <v>#N/A</v>
      </c>
      <c r="D292" s="53">
        <f t="shared" si="5"/>
        <v>0</v>
      </c>
    </row>
    <row r="293" spans="1:4" ht="15.75" x14ac:dyDescent="0.25">
      <c r="A293" s="53"/>
      <c r="B293" s="54"/>
      <c r="C293" s="54" t="e">
        <f>VLOOKUP(A:A,'ITEM LIST'!A:C,3,0)</f>
        <v>#N/A</v>
      </c>
      <c r="D293" s="53">
        <f t="shared" si="5"/>
        <v>0</v>
      </c>
    </row>
    <row r="294" spans="1:4" ht="15.75" x14ac:dyDescent="0.25">
      <c r="A294" s="53"/>
      <c r="B294" s="54"/>
      <c r="C294" s="54" t="e">
        <f>VLOOKUP(A:A,'ITEM LIST'!A:C,3,0)</f>
        <v>#N/A</v>
      </c>
      <c r="D294" s="53">
        <f t="shared" si="5"/>
        <v>0</v>
      </c>
    </row>
    <row r="295" spans="1:4" ht="15.75" x14ac:dyDescent="0.25">
      <c r="A295" s="53"/>
      <c r="B295" s="54"/>
      <c r="C295" s="54" t="e">
        <f>VLOOKUP(A:A,'ITEM LIST'!A:C,3,0)</f>
        <v>#N/A</v>
      </c>
      <c r="D295" s="53">
        <f t="shared" si="5"/>
        <v>0</v>
      </c>
    </row>
    <row r="296" spans="1:4" ht="15.75" x14ac:dyDescent="0.25">
      <c r="A296" s="53"/>
      <c r="B296" s="54"/>
      <c r="C296" s="54" t="e">
        <f>VLOOKUP(A:A,'ITEM LIST'!A:C,3,0)</f>
        <v>#N/A</v>
      </c>
      <c r="D296" s="53">
        <f t="shared" si="5"/>
        <v>0</v>
      </c>
    </row>
    <row r="297" spans="1:4" ht="15.75" x14ac:dyDescent="0.25">
      <c r="A297" s="53"/>
      <c r="B297" s="54"/>
      <c r="C297" s="54" t="e">
        <f>VLOOKUP(A:A,'ITEM LIST'!A:C,3,0)</f>
        <v>#N/A</v>
      </c>
      <c r="D297" s="53">
        <f t="shared" si="5"/>
        <v>0</v>
      </c>
    </row>
    <row r="298" spans="1:4" ht="15.75" x14ac:dyDescent="0.25">
      <c r="A298" s="53"/>
      <c r="B298" s="54"/>
      <c r="C298" s="54" t="e">
        <f>VLOOKUP(A:A,'ITEM LIST'!A:C,3,0)</f>
        <v>#N/A</v>
      </c>
      <c r="D298" s="53">
        <f t="shared" si="5"/>
        <v>0</v>
      </c>
    </row>
    <row r="299" spans="1:4" ht="15.75" x14ac:dyDescent="0.25">
      <c r="A299" s="53"/>
      <c r="B299" s="54"/>
      <c r="C299" s="54" t="e">
        <f>VLOOKUP(A:A,'ITEM LIST'!A:C,3,0)</f>
        <v>#N/A</v>
      </c>
      <c r="D299" s="53">
        <f t="shared" si="5"/>
        <v>0</v>
      </c>
    </row>
    <row r="300" spans="1:4" ht="15.75" x14ac:dyDescent="0.25">
      <c r="A300" s="53"/>
      <c r="B300" s="54"/>
      <c r="C300" s="54" t="e">
        <f>VLOOKUP(A:A,'ITEM LIST'!A:C,3,0)</f>
        <v>#N/A</v>
      </c>
      <c r="D300" s="53">
        <f t="shared" si="5"/>
        <v>0</v>
      </c>
    </row>
    <row r="301" spans="1:4" ht="15.75" x14ac:dyDescent="0.25">
      <c r="A301" s="53"/>
      <c r="B301" s="54"/>
      <c r="C301" s="54" t="e">
        <f>VLOOKUP(A:A,'ITEM LIST'!A:C,3,0)</f>
        <v>#N/A</v>
      </c>
      <c r="D301" s="53">
        <f t="shared" si="5"/>
        <v>0</v>
      </c>
    </row>
    <row r="302" spans="1:4" ht="15.75" x14ac:dyDescent="0.25">
      <c r="A302" s="53"/>
      <c r="B302" s="54"/>
      <c r="C302" s="54" t="e">
        <f>VLOOKUP(A:A,'ITEM LIST'!A:C,3,0)</f>
        <v>#N/A</v>
      </c>
      <c r="D302" s="53">
        <f t="shared" si="5"/>
        <v>0</v>
      </c>
    </row>
    <row r="303" spans="1:4" ht="15.75" x14ac:dyDescent="0.25">
      <c r="A303" s="53"/>
      <c r="B303" s="54"/>
      <c r="C303" s="54" t="e">
        <f>VLOOKUP(A:A,'ITEM LIST'!A:C,3,0)</f>
        <v>#N/A</v>
      </c>
      <c r="D303" s="53">
        <f t="shared" si="5"/>
        <v>0</v>
      </c>
    </row>
    <row r="304" spans="1:4" ht="15.75" x14ac:dyDescent="0.25">
      <c r="A304" s="53"/>
      <c r="B304" s="54"/>
      <c r="C304" s="54" t="e">
        <f>VLOOKUP(A:A,'ITEM LIST'!A:C,3,0)</f>
        <v>#N/A</v>
      </c>
      <c r="D304" s="53">
        <f t="shared" si="5"/>
        <v>0</v>
      </c>
    </row>
    <row r="305" spans="1:4" ht="15.75" x14ac:dyDescent="0.25">
      <c r="A305" s="53"/>
      <c r="B305" s="54"/>
      <c r="C305" s="54" t="e">
        <f>VLOOKUP(A:A,'ITEM LIST'!A:C,3,0)</f>
        <v>#N/A</v>
      </c>
      <c r="D305" s="53">
        <f t="shared" si="5"/>
        <v>0</v>
      </c>
    </row>
    <row r="306" spans="1:4" ht="15.75" x14ac:dyDescent="0.25">
      <c r="A306" s="53"/>
      <c r="B306" s="54"/>
      <c r="C306" s="54" t="e">
        <f>VLOOKUP(A:A,'ITEM LIST'!A:C,3,0)</f>
        <v>#N/A</v>
      </c>
      <c r="D306" s="53">
        <f t="shared" si="5"/>
        <v>0</v>
      </c>
    </row>
    <row r="307" spans="1:4" ht="15.75" x14ac:dyDescent="0.25">
      <c r="A307" s="53"/>
      <c r="B307" s="54"/>
      <c r="C307" s="54" t="e">
        <f>VLOOKUP(A:A,'ITEM LIST'!A:C,3,0)</f>
        <v>#N/A</v>
      </c>
      <c r="D307" s="53">
        <f t="shared" si="5"/>
        <v>0</v>
      </c>
    </row>
    <row r="308" spans="1:4" ht="15.75" x14ac:dyDescent="0.25">
      <c r="A308" s="53"/>
      <c r="B308" s="54"/>
      <c r="C308" s="54" t="e">
        <f>VLOOKUP(A:A,'ITEM LIST'!A:C,3,0)</f>
        <v>#N/A</v>
      </c>
      <c r="D308" s="53">
        <f t="shared" si="5"/>
        <v>0</v>
      </c>
    </row>
    <row r="309" spans="1:4" ht="15.75" x14ac:dyDescent="0.25">
      <c r="A309" s="53"/>
      <c r="B309" s="54"/>
      <c r="C309" s="54" t="e">
        <f>VLOOKUP(A:A,'ITEM LIST'!A:C,3,0)</f>
        <v>#N/A</v>
      </c>
      <c r="D309" s="53">
        <f t="shared" si="5"/>
        <v>0</v>
      </c>
    </row>
    <row r="310" spans="1:4" ht="15.75" x14ac:dyDescent="0.25">
      <c r="A310" s="53"/>
      <c r="B310" s="54"/>
      <c r="C310" s="54" t="e">
        <f>VLOOKUP(A:A,'ITEM LIST'!A:C,3,0)</f>
        <v>#N/A</v>
      </c>
      <c r="D310" s="53">
        <f t="shared" si="5"/>
        <v>0</v>
      </c>
    </row>
    <row r="311" spans="1:4" ht="15.75" x14ac:dyDescent="0.25">
      <c r="A311" s="53"/>
      <c r="B311" s="54"/>
      <c r="C311" s="54" t="e">
        <f>VLOOKUP(A:A,'ITEM LIST'!A:C,3,0)</f>
        <v>#N/A</v>
      </c>
      <c r="D311" s="53">
        <f t="shared" si="5"/>
        <v>0</v>
      </c>
    </row>
    <row r="312" spans="1:4" ht="15.75" x14ac:dyDescent="0.25">
      <c r="A312" s="53"/>
      <c r="B312" s="54"/>
      <c r="C312" s="54" t="e">
        <f>VLOOKUP(A:A,'ITEM LIST'!A:C,3,0)</f>
        <v>#N/A</v>
      </c>
      <c r="D312" s="53">
        <f t="shared" si="5"/>
        <v>0</v>
      </c>
    </row>
    <row r="313" spans="1:4" ht="15.75" x14ac:dyDescent="0.25">
      <c r="A313" s="53"/>
      <c r="B313" s="54"/>
      <c r="C313" s="54" t="e">
        <f>VLOOKUP(A:A,'ITEM LIST'!A:C,3,0)</f>
        <v>#N/A</v>
      </c>
      <c r="D313" s="53">
        <f t="shared" si="5"/>
        <v>0</v>
      </c>
    </row>
    <row r="314" spans="1:4" ht="15.75" x14ac:dyDescent="0.25">
      <c r="A314" s="53"/>
      <c r="B314" s="54"/>
      <c r="C314" s="54" t="e">
        <f>VLOOKUP(A:A,'ITEM LIST'!A:C,3,0)</f>
        <v>#N/A</v>
      </c>
      <c r="D314" s="53">
        <f t="shared" si="5"/>
        <v>0</v>
      </c>
    </row>
    <row r="315" spans="1:4" ht="15.75" x14ac:dyDescent="0.25">
      <c r="A315" s="53"/>
      <c r="B315" s="54"/>
      <c r="C315" s="54" t="e">
        <f>VLOOKUP(A:A,'ITEM LIST'!A:C,3,0)</f>
        <v>#N/A</v>
      </c>
      <c r="D315" s="53">
        <f t="shared" si="5"/>
        <v>0</v>
      </c>
    </row>
    <row r="316" spans="1:4" ht="15.75" x14ac:dyDescent="0.25">
      <c r="A316" s="53"/>
      <c r="B316" s="54"/>
      <c r="C316" s="54" t="e">
        <f>VLOOKUP(A:A,'ITEM LIST'!A:C,3,0)</f>
        <v>#N/A</v>
      </c>
      <c r="D316" s="53">
        <f t="shared" si="5"/>
        <v>0</v>
      </c>
    </row>
    <row r="317" spans="1:4" ht="15.75" x14ac:dyDescent="0.25">
      <c r="A317" s="53"/>
      <c r="B317" s="54"/>
      <c r="C317" s="54" t="e">
        <f>VLOOKUP(A:A,'ITEM LIST'!A:C,3,0)</f>
        <v>#N/A</v>
      </c>
      <c r="D317" s="53">
        <f t="shared" si="5"/>
        <v>0</v>
      </c>
    </row>
    <row r="318" spans="1:4" ht="15.75" x14ac:dyDescent="0.25">
      <c r="A318" s="53"/>
      <c r="B318" s="54"/>
      <c r="C318" s="54" t="e">
        <f>VLOOKUP(A:A,'ITEM LIST'!A:C,3,0)</f>
        <v>#N/A</v>
      </c>
      <c r="D318" s="53">
        <f t="shared" si="5"/>
        <v>0</v>
      </c>
    </row>
    <row r="319" spans="1:4" ht="15.75" x14ac:dyDescent="0.25">
      <c r="A319" s="53"/>
      <c r="B319" s="54"/>
      <c r="C319" s="54" t="e">
        <f>VLOOKUP(A:A,'ITEM LIST'!A:C,3,0)</f>
        <v>#N/A</v>
      </c>
      <c r="D319" s="53">
        <f t="shared" si="5"/>
        <v>0</v>
      </c>
    </row>
    <row r="320" spans="1:4" ht="15.75" x14ac:dyDescent="0.25">
      <c r="A320" s="53"/>
      <c r="B320" s="54"/>
      <c r="C320" s="54" t="e">
        <f>VLOOKUP(A:A,'ITEM LIST'!A:C,3,0)</f>
        <v>#N/A</v>
      </c>
      <c r="D320" s="53">
        <f t="shared" si="5"/>
        <v>0</v>
      </c>
    </row>
    <row r="321" spans="1:4" ht="15.75" x14ac:dyDescent="0.25">
      <c r="A321" s="53"/>
      <c r="B321" s="54"/>
      <c r="C321" s="54" t="e">
        <f>VLOOKUP(A:A,'ITEM LIST'!A:C,3,0)</f>
        <v>#N/A</v>
      </c>
      <c r="D321" s="53">
        <f t="shared" si="5"/>
        <v>0</v>
      </c>
    </row>
    <row r="322" spans="1:4" ht="15.75" x14ac:dyDescent="0.25">
      <c r="A322" s="53"/>
      <c r="B322" s="54"/>
      <c r="C322" s="54" t="e">
        <f>VLOOKUP(A:A,'ITEM LIST'!A:C,3,0)</f>
        <v>#N/A</v>
      </c>
      <c r="D322" s="53">
        <f t="shared" si="5"/>
        <v>0</v>
      </c>
    </row>
    <row r="323" spans="1:4" ht="15.75" x14ac:dyDescent="0.25">
      <c r="A323" s="53"/>
      <c r="B323" s="54"/>
      <c r="C323" s="54" t="e">
        <f>VLOOKUP(A:A,'ITEM LIST'!A:C,3,0)</f>
        <v>#N/A</v>
      </c>
      <c r="D323" s="53">
        <f t="shared" si="5"/>
        <v>0</v>
      </c>
    </row>
    <row r="324" spans="1:4" ht="15.75" x14ac:dyDescent="0.25">
      <c r="A324" s="53"/>
      <c r="B324" s="54"/>
      <c r="C324" s="54" t="e">
        <f>VLOOKUP(A:A,'ITEM LIST'!A:C,3,0)</f>
        <v>#N/A</v>
      </c>
      <c r="D324" s="53">
        <f t="shared" si="5"/>
        <v>0</v>
      </c>
    </row>
    <row r="325" spans="1:4" ht="15.75" x14ac:dyDescent="0.25">
      <c r="A325" s="53"/>
      <c r="B325" s="54"/>
      <c r="C325" s="54" t="e">
        <f>VLOOKUP(A:A,'ITEM LIST'!A:C,3,0)</f>
        <v>#N/A</v>
      </c>
      <c r="D325" s="53">
        <f t="shared" si="5"/>
        <v>0</v>
      </c>
    </row>
    <row r="326" spans="1:4" ht="15.75" x14ac:dyDescent="0.25">
      <c r="A326" s="53"/>
      <c r="B326" s="54"/>
      <c r="C326" s="54" t="e">
        <f>VLOOKUP(A:A,'ITEM LIST'!A:C,3,0)</f>
        <v>#N/A</v>
      </c>
      <c r="D326" s="53">
        <f t="shared" ref="D326:D389" si="6">B326</f>
        <v>0</v>
      </c>
    </row>
    <row r="327" spans="1:4" ht="15.75" x14ac:dyDescent="0.25">
      <c r="A327" s="53"/>
      <c r="B327" s="54"/>
      <c r="C327" s="54" t="e">
        <f>VLOOKUP(A:A,'ITEM LIST'!A:C,3,0)</f>
        <v>#N/A</v>
      </c>
      <c r="D327" s="53">
        <f t="shared" si="6"/>
        <v>0</v>
      </c>
    </row>
    <row r="328" spans="1:4" ht="15.75" x14ac:dyDescent="0.25">
      <c r="A328" s="53"/>
      <c r="B328" s="54"/>
      <c r="C328" s="54" t="e">
        <f>VLOOKUP(A:A,'ITEM LIST'!A:C,3,0)</f>
        <v>#N/A</v>
      </c>
      <c r="D328" s="53">
        <f t="shared" si="6"/>
        <v>0</v>
      </c>
    </row>
    <row r="329" spans="1:4" ht="15.75" x14ac:dyDescent="0.25">
      <c r="A329" s="53"/>
      <c r="B329" s="54"/>
      <c r="C329" s="54" t="e">
        <f>VLOOKUP(A:A,'ITEM LIST'!A:C,3,0)</f>
        <v>#N/A</v>
      </c>
      <c r="D329" s="53">
        <f t="shared" si="6"/>
        <v>0</v>
      </c>
    </row>
    <row r="330" spans="1:4" ht="15.75" x14ac:dyDescent="0.25">
      <c r="A330" s="53"/>
      <c r="B330" s="54"/>
      <c r="C330" s="54" t="e">
        <f>VLOOKUP(A:A,'ITEM LIST'!A:C,3,0)</f>
        <v>#N/A</v>
      </c>
      <c r="D330" s="53">
        <f t="shared" si="6"/>
        <v>0</v>
      </c>
    </row>
    <row r="331" spans="1:4" ht="15.75" x14ac:dyDescent="0.25">
      <c r="A331" s="53"/>
      <c r="B331" s="54"/>
      <c r="C331" s="54" t="e">
        <f>VLOOKUP(A:A,'ITEM LIST'!A:C,3,0)</f>
        <v>#N/A</v>
      </c>
      <c r="D331" s="53">
        <f t="shared" si="6"/>
        <v>0</v>
      </c>
    </row>
    <row r="332" spans="1:4" ht="15.75" x14ac:dyDescent="0.25">
      <c r="A332" s="53"/>
      <c r="B332" s="54"/>
      <c r="C332" s="54" t="e">
        <f>VLOOKUP(A:A,'ITEM LIST'!A:C,3,0)</f>
        <v>#N/A</v>
      </c>
      <c r="D332" s="53">
        <f t="shared" si="6"/>
        <v>0</v>
      </c>
    </row>
    <row r="333" spans="1:4" ht="15.75" x14ac:dyDescent="0.25">
      <c r="A333" s="53"/>
      <c r="B333" s="54"/>
      <c r="C333" s="54" t="e">
        <f>VLOOKUP(A:A,'ITEM LIST'!A:C,3,0)</f>
        <v>#N/A</v>
      </c>
      <c r="D333" s="53">
        <f t="shared" si="6"/>
        <v>0</v>
      </c>
    </row>
    <row r="334" spans="1:4" ht="15.75" x14ac:dyDescent="0.25">
      <c r="A334" s="53"/>
      <c r="B334" s="54"/>
      <c r="C334" s="54" t="e">
        <f>VLOOKUP(A:A,'ITEM LIST'!A:C,3,0)</f>
        <v>#N/A</v>
      </c>
      <c r="D334" s="53">
        <f t="shared" si="6"/>
        <v>0</v>
      </c>
    </row>
    <row r="335" spans="1:4" ht="15.75" x14ac:dyDescent="0.25">
      <c r="A335" s="53"/>
      <c r="B335" s="54"/>
      <c r="C335" s="54" t="e">
        <f>VLOOKUP(A:A,'ITEM LIST'!A:C,3,0)</f>
        <v>#N/A</v>
      </c>
      <c r="D335" s="53">
        <f t="shared" si="6"/>
        <v>0</v>
      </c>
    </row>
    <row r="336" spans="1:4" ht="15.75" x14ac:dyDescent="0.25">
      <c r="A336" s="53"/>
      <c r="B336" s="54"/>
      <c r="C336" s="54" t="e">
        <f>VLOOKUP(A:A,'ITEM LIST'!A:C,3,0)</f>
        <v>#N/A</v>
      </c>
      <c r="D336" s="53">
        <f t="shared" si="6"/>
        <v>0</v>
      </c>
    </row>
    <row r="337" spans="1:4" ht="15.75" x14ac:dyDescent="0.25">
      <c r="A337" s="53"/>
      <c r="B337" s="54"/>
      <c r="C337" s="54" t="e">
        <f>VLOOKUP(A:A,'ITEM LIST'!A:C,3,0)</f>
        <v>#N/A</v>
      </c>
      <c r="D337" s="53">
        <f t="shared" si="6"/>
        <v>0</v>
      </c>
    </row>
    <row r="338" spans="1:4" ht="15.75" x14ac:dyDescent="0.25">
      <c r="A338" s="53"/>
      <c r="B338" s="54"/>
      <c r="C338" s="54" t="e">
        <f>VLOOKUP(A:A,'ITEM LIST'!A:C,3,0)</f>
        <v>#N/A</v>
      </c>
      <c r="D338" s="53">
        <f t="shared" si="6"/>
        <v>0</v>
      </c>
    </row>
    <row r="339" spans="1:4" ht="15.75" x14ac:dyDescent="0.25">
      <c r="A339" s="53"/>
      <c r="B339" s="54"/>
      <c r="C339" s="54" t="e">
        <f>VLOOKUP(A:A,'ITEM LIST'!A:C,3,0)</f>
        <v>#N/A</v>
      </c>
      <c r="D339" s="53">
        <f t="shared" si="6"/>
        <v>0</v>
      </c>
    </row>
    <row r="340" spans="1:4" ht="15.75" x14ac:dyDescent="0.25">
      <c r="A340" s="53"/>
      <c r="B340" s="54"/>
      <c r="C340" s="54" t="e">
        <f>VLOOKUP(A:A,'ITEM LIST'!A:C,3,0)</f>
        <v>#N/A</v>
      </c>
      <c r="D340" s="53">
        <f t="shared" si="6"/>
        <v>0</v>
      </c>
    </row>
    <row r="341" spans="1:4" ht="15.75" x14ac:dyDescent="0.25">
      <c r="A341" s="53"/>
      <c r="B341" s="54"/>
      <c r="C341" s="54" t="e">
        <f>VLOOKUP(A:A,'ITEM LIST'!A:C,3,0)</f>
        <v>#N/A</v>
      </c>
      <c r="D341" s="53">
        <f t="shared" si="6"/>
        <v>0</v>
      </c>
    </row>
    <row r="342" spans="1:4" ht="15.75" x14ac:dyDescent="0.25">
      <c r="A342" s="53"/>
      <c r="B342" s="54"/>
      <c r="C342" s="54" t="e">
        <f>VLOOKUP(A:A,'ITEM LIST'!A:C,3,0)</f>
        <v>#N/A</v>
      </c>
      <c r="D342" s="53">
        <f t="shared" si="6"/>
        <v>0</v>
      </c>
    </row>
    <row r="343" spans="1:4" ht="15.75" x14ac:dyDescent="0.25">
      <c r="A343" s="53"/>
      <c r="B343" s="54"/>
      <c r="C343" s="54" t="e">
        <f>VLOOKUP(A:A,'ITEM LIST'!A:C,3,0)</f>
        <v>#N/A</v>
      </c>
      <c r="D343" s="53">
        <f t="shared" si="6"/>
        <v>0</v>
      </c>
    </row>
    <row r="344" spans="1:4" ht="15.75" x14ac:dyDescent="0.25">
      <c r="A344" s="53"/>
      <c r="B344" s="54"/>
      <c r="C344" s="54" t="e">
        <f>VLOOKUP(A:A,'ITEM LIST'!A:C,3,0)</f>
        <v>#N/A</v>
      </c>
      <c r="D344" s="53">
        <f t="shared" si="6"/>
        <v>0</v>
      </c>
    </row>
    <row r="345" spans="1:4" ht="15.75" x14ac:dyDescent="0.25">
      <c r="A345" s="53"/>
      <c r="B345" s="54"/>
      <c r="C345" s="54" t="e">
        <f>VLOOKUP(A:A,'ITEM LIST'!A:C,3,0)</f>
        <v>#N/A</v>
      </c>
      <c r="D345" s="53">
        <f t="shared" si="6"/>
        <v>0</v>
      </c>
    </row>
    <row r="346" spans="1:4" ht="15.75" x14ac:dyDescent="0.25">
      <c r="A346" s="53"/>
      <c r="B346" s="54"/>
      <c r="C346" s="54" t="e">
        <f>VLOOKUP(A:A,'ITEM LIST'!A:C,3,0)</f>
        <v>#N/A</v>
      </c>
      <c r="D346" s="53">
        <f t="shared" si="6"/>
        <v>0</v>
      </c>
    </row>
    <row r="347" spans="1:4" ht="15.75" x14ac:dyDescent="0.25">
      <c r="A347" s="53"/>
      <c r="B347" s="54"/>
      <c r="C347" s="54" t="e">
        <f>VLOOKUP(A:A,'ITEM LIST'!A:C,3,0)</f>
        <v>#N/A</v>
      </c>
      <c r="D347" s="53">
        <f t="shared" si="6"/>
        <v>0</v>
      </c>
    </row>
    <row r="348" spans="1:4" ht="15.75" x14ac:dyDescent="0.25">
      <c r="A348" s="53"/>
      <c r="B348" s="54"/>
      <c r="C348" s="54" t="e">
        <f>VLOOKUP(A:A,'ITEM LIST'!A:C,3,0)</f>
        <v>#N/A</v>
      </c>
      <c r="D348" s="53">
        <f t="shared" si="6"/>
        <v>0</v>
      </c>
    </row>
    <row r="349" spans="1:4" ht="15.75" x14ac:dyDescent="0.25">
      <c r="A349" s="53"/>
      <c r="B349" s="54"/>
      <c r="C349" s="54" t="e">
        <f>VLOOKUP(A:A,'ITEM LIST'!A:C,3,0)</f>
        <v>#N/A</v>
      </c>
      <c r="D349" s="53">
        <f t="shared" si="6"/>
        <v>0</v>
      </c>
    </row>
    <row r="350" spans="1:4" ht="15.75" x14ac:dyDescent="0.25">
      <c r="A350" s="53"/>
      <c r="B350" s="54"/>
      <c r="C350" s="54" t="e">
        <f>VLOOKUP(A:A,'ITEM LIST'!A:C,3,0)</f>
        <v>#N/A</v>
      </c>
      <c r="D350" s="53">
        <f t="shared" si="6"/>
        <v>0</v>
      </c>
    </row>
    <row r="351" spans="1:4" ht="15.75" x14ac:dyDescent="0.25">
      <c r="A351" s="53"/>
      <c r="B351" s="54"/>
      <c r="C351" s="54" t="e">
        <f>VLOOKUP(A:A,'ITEM LIST'!A:C,3,0)</f>
        <v>#N/A</v>
      </c>
      <c r="D351" s="53">
        <f t="shared" si="6"/>
        <v>0</v>
      </c>
    </row>
    <row r="352" spans="1:4" ht="15.75" x14ac:dyDescent="0.25">
      <c r="A352" s="53"/>
      <c r="B352" s="54"/>
      <c r="C352" s="54" t="e">
        <f>VLOOKUP(A:A,'ITEM LIST'!A:C,3,0)</f>
        <v>#N/A</v>
      </c>
      <c r="D352" s="53">
        <f t="shared" si="6"/>
        <v>0</v>
      </c>
    </row>
    <row r="353" spans="1:4" ht="15.75" x14ac:dyDescent="0.25">
      <c r="A353" s="53"/>
      <c r="B353" s="54"/>
      <c r="C353" s="54" t="e">
        <f>VLOOKUP(A:A,'ITEM LIST'!A:C,3,0)</f>
        <v>#N/A</v>
      </c>
      <c r="D353" s="53">
        <f t="shared" si="6"/>
        <v>0</v>
      </c>
    </row>
    <row r="354" spans="1:4" ht="15.75" x14ac:dyDescent="0.25">
      <c r="A354" s="53"/>
      <c r="B354" s="54"/>
      <c r="C354" s="54" t="e">
        <f>VLOOKUP(A:A,'ITEM LIST'!A:C,3,0)</f>
        <v>#N/A</v>
      </c>
      <c r="D354" s="53">
        <f t="shared" si="6"/>
        <v>0</v>
      </c>
    </row>
    <row r="355" spans="1:4" ht="15.75" x14ac:dyDescent="0.25">
      <c r="A355" s="53"/>
      <c r="B355" s="54"/>
      <c r="C355" s="54" t="e">
        <f>VLOOKUP(A:A,'ITEM LIST'!A:C,3,0)</f>
        <v>#N/A</v>
      </c>
      <c r="D355" s="53">
        <f t="shared" si="6"/>
        <v>0</v>
      </c>
    </row>
    <row r="356" spans="1:4" ht="15.75" x14ac:dyDescent="0.25">
      <c r="A356" s="53"/>
      <c r="B356" s="54"/>
      <c r="C356" s="54" t="e">
        <f>VLOOKUP(A:A,'ITEM LIST'!A:C,3,0)</f>
        <v>#N/A</v>
      </c>
      <c r="D356" s="53">
        <f t="shared" si="6"/>
        <v>0</v>
      </c>
    </row>
    <row r="357" spans="1:4" ht="15.75" x14ac:dyDescent="0.25">
      <c r="A357" s="53"/>
      <c r="B357" s="54"/>
      <c r="C357" s="54" t="e">
        <f>VLOOKUP(A:A,'ITEM LIST'!A:C,3,0)</f>
        <v>#N/A</v>
      </c>
      <c r="D357" s="53">
        <f t="shared" si="6"/>
        <v>0</v>
      </c>
    </row>
    <row r="358" spans="1:4" ht="15.75" x14ac:dyDescent="0.25">
      <c r="A358" s="53"/>
      <c r="B358" s="54"/>
      <c r="C358" s="54" t="e">
        <f>VLOOKUP(A:A,'ITEM LIST'!A:C,3,0)</f>
        <v>#N/A</v>
      </c>
      <c r="D358" s="53">
        <f t="shared" si="6"/>
        <v>0</v>
      </c>
    </row>
    <row r="359" spans="1:4" ht="15.75" x14ac:dyDescent="0.25">
      <c r="A359" s="53"/>
      <c r="B359" s="54"/>
      <c r="C359" s="54" t="e">
        <f>VLOOKUP(A:A,'ITEM LIST'!A:C,3,0)</f>
        <v>#N/A</v>
      </c>
      <c r="D359" s="53">
        <f t="shared" si="6"/>
        <v>0</v>
      </c>
    </row>
    <row r="360" spans="1:4" ht="15.75" x14ac:dyDescent="0.25">
      <c r="A360" s="53"/>
      <c r="B360" s="54"/>
      <c r="C360" s="54" t="e">
        <f>VLOOKUP(A:A,'ITEM LIST'!A:C,3,0)</f>
        <v>#N/A</v>
      </c>
      <c r="D360" s="53">
        <f t="shared" si="6"/>
        <v>0</v>
      </c>
    </row>
    <row r="361" spans="1:4" ht="15.75" x14ac:dyDescent="0.25">
      <c r="A361" s="53"/>
      <c r="B361" s="54"/>
      <c r="C361" s="54" t="e">
        <f>VLOOKUP(A:A,'ITEM LIST'!A:C,3,0)</f>
        <v>#N/A</v>
      </c>
      <c r="D361" s="53">
        <f t="shared" si="6"/>
        <v>0</v>
      </c>
    </row>
    <row r="362" spans="1:4" ht="15.75" x14ac:dyDescent="0.25">
      <c r="A362" s="53"/>
      <c r="B362" s="54"/>
      <c r="C362" s="54" t="e">
        <f>VLOOKUP(A:A,'ITEM LIST'!A:C,3,0)</f>
        <v>#N/A</v>
      </c>
      <c r="D362" s="53">
        <f t="shared" si="6"/>
        <v>0</v>
      </c>
    </row>
    <row r="363" spans="1:4" ht="15.75" x14ac:dyDescent="0.25">
      <c r="A363" s="53"/>
      <c r="B363" s="54"/>
      <c r="C363" s="54" t="e">
        <f>VLOOKUP(A:A,'ITEM LIST'!A:C,3,0)</f>
        <v>#N/A</v>
      </c>
      <c r="D363" s="53">
        <f t="shared" si="6"/>
        <v>0</v>
      </c>
    </row>
    <row r="364" spans="1:4" ht="15.75" x14ac:dyDescent="0.25">
      <c r="A364" s="53"/>
      <c r="B364" s="54"/>
      <c r="C364" s="54" t="e">
        <f>VLOOKUP(A:A,'ITEM LIST'!A:C,3,0)</f>
        <v>#N/A</v>
      </c>
      <c r="D364" s="53">
        <f t="shared" si="6"/>
        <v>0</v>
      </c>
    </row>
    <row r="365" spans="1:4" ht="15.75" x14ac:dyDescent="0.25">
      <c r="A365" s="53"/>
      <c r="B365" s="54"/>
      <c r="C365" s="54" t="e">
        <f>VLOOKUP(A:A,'ITEM LIST'!A:C,3,0)</f>
        <v>#N/A</v>
      </c>
      <c r="D365" s="53">
        <f t="shared" si="6"/>
        <v>0</v>
      </c>
    </row>
    <row r="366" spans="1:4" ht="15.75" x14ac:dyDescent="0.25">
      <c r="A366" s="53"/>
      <c r="B366" s="54"/>
      <c r="C366" s="54" t="e">
        <f>VLOOKUP(A:A,'ITEM LIST'!A:C,3,0)</f>
        <v>#N/A</v>
      </c>
      <c r="D366" s="53">
        <f t="shared" si="6"/>
        <v>0</v>
      </c>
    </row>
    <row r="367" spans="1:4" ht="15.75" x14ac:dyDescent="0.25">
      <c r="A367" s="53"/>
      <c r="B367" s="54"/>
      <c r="C367" s="54" t="e">
        <f>VLOOKUP(A:A,'ITEM LIST'!A:C,3,0)</f>
        <v>#N/A</v>
      </c>
      <c r="D367" s="53">
        <f t="shared" si="6"/>
        <v>0</v>
      </c>
    </row>
    <row r="368" spans="1:4" ht="15.75" x14ac:dyDescent="0.25">
      <c r="A368" s="53"/>
      <c r="B368" s="54"/>
      <c r="C368" s="54" t="e">
        <f>VLOOKUP(A:A,'ITEM LIST'!A:C,3,0)</f>
        <v>#N/A</v>
      </c>
      <c r="D368" s="53">
        <f t="shared" si="6"/>
        <v>0</v>
      </c>
    </row>
    <row r="369" spans="1:4" ht="15.75" x14ac:dyDescent="0.25">
      <c r="A369" s="53"/>
      <c r="B369" s="54"/>
      <c r="C369" s="54" t="e">
        <f>VLOOKUP(A:A,'ITEM LIST'!A:C,3,0)</f>
        <v>#N/A</v>
      </c>
      <c r="D369" s="53">
        <f t="shared" si="6"/>
        <v>0</v>
      </c>
    </row>
    <row r="370" spans="1:4" ht="15.75" x14ac:dyDescent="0.25">
      <c r="A370" s="53"/>
      <c r="B370" s="54"/>
      <c r="C370" s="54" t="e">
        <f>VLOOKUP(A:A,'ITEM LIST'!A:C,3,0)</f>
        <v>#N/A</v>
      </c>
      <c r="D370" s="53">
        <f t="shared" si="6"/>
        <v>0</v>
      </c>
    </row>
    <row r="371" spans="1:4" ht="15.75" x14ac:dyDescent="0.25">
      <c r="A371" s="53"/>
      <c r="B371" s="54"/>
      <c r="C371" s="54" t="e">
        <f>VLOOKUP(A:A,'ITEM LIST'!A:C,3,0)</f>
        <v>#N/A</v>
      </c>
      <c r="D371" s="53">
        <f t="shared" si="6"/>
        <v>0</v>
      </c>
    </row>
    <row r="372" spans="1:4" ht="15.75" x14ac:dyDescent="0.25">
      <c r="A372" s="53"/>
      <c r="B372" s="54"/>
      <c r="C372" s="54" t="e">
        <f>VLOOKUP(A:A,'ITEM LIST'!A:C,3,0)</f>
        <v>#N/A</v>
      </c>
      <c r="D372" s="53">
        <f t="shared" si="6"/>
        <v>0</v>
      </c>
    </row>
    <row r="373" spans="1:4" ht="15.75" x14ac:dyDescent="0.25">
      <c r="A373" s="53"/>
      <c r="B373" s="54"/>
      <c r="C373" s="54" t="e">
        <f>VLOOKUP(A:A,'ITEM LIST'!A:C,3,0)</f>
        <v>#N/A</v>
      </c>
      <c r="D373" s="53">
        <f t="shared" si="6"/>
        <v>0</v>
      </c>
    </row>
    <row r="374" spans="1:4" ht="15.75" x14ac:dyDescent="0.25">
      <c r="A374" s="53"/>
      <c r="B374" s="54"/>
      <c r="C374" s="54" t="e">
        <f>VLOOKUP(A:A,'ITEM LIST'!A:C,3,0)</f>
        <v>#N/A</v>
      </c>
      <c r="D374" s="53">
        <f t="shared" si="6"/>
        <v>0</v>
      </c>
    </row>
    <row r="375" spans="1:4" ht="15.75" x14ac:dyDescent="0.25">
      <c r="A375" s="53"/>
      <c r="B375" s="54"/>
      <c r="C375" s="54" t="e">
        <f>VLOOKUP(A:A,'ITEM LIST'!A:C,3,0)</f>
        <v>#N/A</v>
      </c>
      <c r="D375" s="53">
        <f t="shared" si="6"/>
        <v>0</v>
      </c>
    </row>
    <row r="376" spans="1:4" ht="15.75" x14ac:dyDescent="0.25">
      <c r="A376" s="53"/>
      <c r="B376" s="54"/>
      <c r="C376" s="54" t="e">
        <f>VLOOKUP(A:A,'ITEM LIST'!A:C,3,0)</f>
        <v>#N/A</v>
      </c>
      <c r="D376" s="53">
        <f t="shared" si="6"/>
        <v>0</v>
      </c>
    </row>
    <row r="377" spans="1:4" ht="15.75" x14ac:dyDescent="0.25">
      <c r="A377" s="53"/>
      <c r="B377" s="54"/>
      <c r="C377" s="54" t="e">
        <f>VLOOKUP(A:A,'ITEM LIST'!A:C,3,0)</f>
        <v>#N/A</v>
      </c>
      <c r="D377" s="53">
        <f t="shared" si="6"/>
        <v>0</v>
      </c>
    </row>
    <row r="378" spans="1:4" ht="15.75" x14ac:dyDescent="0.25">
      <c r="A378" s="53"/>
      <c r="B378" s="54"/>
      <c r="C378" s="54" t="e">
        <f>VLOOKUP(A:A,'ITEM LIST'!A:C,3,0)</f>
        <v>#N/A</v>
      </c>
      <c r="D378" s="53">
        <f t="shared" si="6"/>
        <v>0</v>
      </c>
    </row>
    <row r="379" spans="1:4" ht="15.75" x14ac:dyDescent="0.25">
      <c r="A379" s="53"/>
      <c r="B379" s="54"/>
      <c r="C379" s="54" t="e">
        <f>VLOOKUP(A:A,'ITEM LIST'!A:C,3,0)</f>
        <v>#N/A</v>
      </c>
      <c r="D379" s="53">
        <f t="shared" si="6"/>
        <v>0</v>
      </c>
    </row>
    <row r="380" spans="1:4" ht="15.75" x14ac:dyDescent="0.25">
      <c r="A380" s="53"/>
      <c r="B380" s="54"/>
      <c r="C380" s="54" t="e">
        <f>VLOOKUP(A:A,'ITEM LIST'!A:C,3,0)</f>
        <v>#N/A</v>
      </c>
      <c r="D380" s="53">
        <f t="shared" si="6"/>
        <v>0</v>
      </c>
    </row>
    <row r="381" spans="1:4" ht="15.75" x14ac:dyDescent="0.25">
      <c r="A381" s="53"/>
      <c r="B381" s="54"/>
      <c r="C381" s="54" t="e">
        <f>VLOOKUP(A:A,'ITEM LIST'!A:C,3,0)</f>
        <v>#N/A</v>
      </c>
      <c r="D381" s="53">
        <f t="shared" si="6"/>
        <v>0</v>
      </c>
    </row>
    <row r="382" spans="1:4" ht="15.75" x14ac:dyDescent="0.25">
      <c r="A382" s="53"/>
      <c r="B382" s="54"/>
      <c r="C382" s="54" t="e">
        <f>VLOOKUP(A:A,'ITEM LIST'!A:C,3,0)</f>
        <v>#N/A</v>
      </c>
      <c r="D382" s="53">
        <f t="shared" si="6"/>
        <v>0</v>
      </c>
    </row>
    <row r="383" spans="1:4" ht="15.75" x14ac:dyDescent="0.25">
      <c r="A383" s="53"/>
      <c r="B383" s="54"/>
      <c r="C383" s="54" t="e">
        <f>VLOOKUP(A:A,'ITEM LIST'!A:C,3,0)</f>
        <v>#N/A</v>
      </c>
      <c r="D383" s="53">
        <f t="shared" si="6"/>
        <v>0</v>
      </c>
    </row>
    <row r="384" spans="1:4" ht="15.75" x14ac:dyDescent="0.25">
      <c r="A384" s="53"/>
      <c r="B384" s="54"/>
      <c r="C384" s="54" t="e">
        <f>VLOOKUP(A:A,'ITEM LIST'!A:C,3,0)</f>
        <v>#N/A</v>
      </c>
      <c r="D384" s="53">
        <f t="shared" si="6"/>
        <v>0</v>
      </c>
    </row>
    <row r="385" spans="1:4" ht="15.75" x14ac:dyDescent="0.25">
      <c r="A385" s="53"/>
      <c r="B385" s="54"/>
      <c r="C385" s="54" t="e">
        <f>VLOOKUP(A:A,'ITEM LIST'!A:C,3,0)</f>
        <v>#N/A</v>
      </c>
      <c r="D385" s="53">
        <f t="shared" si="6"/>
        <v>0</v>
      </c>
    </row>
    <row r="386" spans="1:4" ht="15.75" x14ac:dyDescent="0.25">
      <c r="A386" s="53"/>
      <c r="B386" s="54"/>
      <c r="C386" s="54" t="e">
        <f>VLOOKUP(A:A,'ITEM LIST'!A:C,3,0)</f>
        <v>#N/A</v>
      </c>
      <c r="D386" s="53">
        <f t="shared" si="6"/>
        <v>0</v>
      </c>
    </row>
    <row r="387" spans="1:4" ht="15.75" x14ac:dyDescent="0.25">
      <c r="A387" s="53"/>
      <c r="B387" s="54"/>
      <c r="C387" s="54" t="e">
        <f>VLOOKUP(A:A,'ITEM LIST'!A:C,3,0)</f>
        <v>#N/A</v>
      </c>
      <c r="D387" s="53">
        <f t="shared" si="6"/>
        <v>0</v>
      </c>
    </row>
    <row r="388" spans="1:4" ht="15.75" x14ac:dyDescent="0.25">
      <c r="A388" s="53"/>
      <c r="B388" s="54"/>
      <c r="C388" s="54" t="e">
        <f>VLOOKUP(A:A,'ITEM LIST'!A:C,3,0)</f>
        <v>#N/A</v>
      </c>
      <c r="D388" s="53">
        <f t="shared" si="6"/>
        <v>0</v>
      </c>
    </row>
    <row r="389" spans="1:4" ht="15.75" x14ac:dyDescent="0.25">
      <c r="A389" s="53"/>
      <c r="B389" s="54"/>
      <c r="C389" s="54" t="e">
        <f>VLOOKUP(A:A,'ITEM LIST'!A:C,3,0)</f>
        <v>#N/A</v>
      </c>
      <c r="D389" s="53">
        <f t="shared" si="6"/>
        <v>0</v>
      </c>
    </row>
    <row r="390" spans="1:4" ht="15.75" x14ac:dyDescent="0.25">
      <c r="A390" s="53"/>
      <c r="B390" s="54"/>
      <c r="C390" s="54" t="e">
        <f>VLOOKUP(A:A,'ITEM LIST'!A:C,3,0)</f>
        <v>#N/A</v>
      </c>
      <c r="D390" s="53">
        <f t="shared" ref="D390:D453" si="7">B390</f>
        <v>0</v>
      </c>
    </row>
    <row r="391" spans="1:4" ht="15.75" x14ac:dyDescent="0.25">
      <c r="A391" s="53"/>
      <c r="B391" s="54"/>
      <c r="C391" s="54" t="e">
        <f>VLOOKUP(A:A,'ITEM LIST'!A:C,3,0)</f>
        <v>#N/A</v>
      </c>
      <c r="D391" s="53">
        <f t="shared" si="7"/>
        <v>0</v>
      </c>
    </row>
    <row r="392" spans="1:4" ht="15.75" x14ac:dyDescent="0.25">
      <c r="A392" s="53"/>
      <c r="B392" s="54"/>
      <c r="C392" s="54" t="e">
        <f>VLOOKUP(A:A,'ITEM LIST'!A:C,3,0)</f>
        <v>#N/A</v>
      </c>
      <c r="D392" s="53">
        <f t="shared" si="7"/>
        <v>0</v>
      </c>
    </row>
    <row r="393" spans="1:4" ht="15.75" x14ac:dyDescent="0.25">
      <c r="A393" s="53"/>
      <c r="B393" s="54"/>
      <c r="C393" s="54" t="e">
        <f>VLOOKUP(A:A,'ITEM LIST'!A:C,3,0)</f>
        <v>#N/A</v>
      </c>
      <c r="D393" s="53">
        <f t="shared" si="7"/>
        <v>0</v>
      </c>
    </row>
    <row r="394" spans="1:4" ht="15.75" x14ac:dyDescent="0.25">
      <c r="A394" s="53"/>
      <c r="B394" s="54"/>
      <c r="C394" s="54" t="e">
        <f>VLOOKUP(A:A,'ITEM LIST'!A:C,3,0)</f>
        <v>#N/A</v>
      </c>
      <c r="D394" s="53">
        <f t="shared" si="7"/>
        <v>0</v>
      </c>
    </row>
    <row r="395" spans="1:4" ht="15.75" x14ac:dyDescent="0.25">
      <c r="A395" s="53"/>
      <c r="B395" s="54"/>
      <c r="C395" s="54" t="e">
        <f>VLOOKUP(A:A,'ITEM LIST'!A:C,3,0)</f>
        <v>#N/A</v>
      </c>
      <c r="D395" s="53">
        <f t="shared" si="7"/>
        <v>0</v>
      </c>
    </row>
    <row r="396" spans="1:4" ht="15.75" x14ac:dyDescent="0.25">
      <c r="A396" s="53"/>
      <c r="B396" s="54"/>
      <c r="C396" s="54" t="e">
        <f>VLOOKUP(A:A,'ITEM LIST'!A:C,3,0)</f>
        <v>#N/A</v>
      </c>
      <c r="D396" s="53">
        <f t="shared" si="7"/>
        <v>0</v>
      </c>
    </row>
    <row r="397" spans="1:4" ht="15.75" x14ac:dyDescent="0.25">
      <c r="A397" s="53"/>
      <c r="B397" s="54"/>
      <c r="C397" s="54" t="e">
        <f>VLOOKUP(A:A,'ITEM LIST'!A:C,3,0)</f>
        <v>#N/A</v>
      </c>
      <c r="D397" s="53">
        <f t="shared" si="7"/>
        <v>0</v>
      </c>
    </row>
    <row r="398" spans="1:4" ht="15.75" x14ac:dyDescent="0.25">
      <c r="A398" s="53"/>
      <c r="B398" s="54"/>
      <c r="C398" s="54" t="e">
        <f>VLOOKUP(A:A,'ITEM LIST'!A:C,3,0)</f>
        <v>#N/A</v>
      </c>
      <c r="D398" s="53">
        <f t="shared" si="7"/>
        <v>0</v>
      </c>
    </row>
    <row r="399" spans="1:4" ht="15.75" x14ac:dyDescent="0.25">
      <c r="A399" s="53"/>
      <c r="B399" s="54"/>
      <c r="C399" s="54" t="e">
        <f>VLOOKUP(A:A,'ITEM LIST'!A:C,3,0)</f>
        <v>#N/A</v>
      </c>
      <c r="D399" s="53">
        <f t="shared" si="7"/>
        <v>0</v>
      </c>
    </row>
    <row r="400" spans="1:4" ht="15.75" x14ac:dyDescent="0.25">
      <c r="A400" s="53"/>
      <c r="B400" s="54"/>
      <c r="C400" s="54" t="e">
        <f>VLOOKUP(A:A,'ITEM LIST'!A:C,3,0)</f>
        <v>#N/A</v>
      </c>
      <c r="D400" s="53">
        <f t="shared" si="7"/>
        <v>0</v>
      </c>
    </row>
    <row r="401" spans="1:4" ht="15.75" x14ac:dyDescent="0.25">
      <c r="A401" s="53"/>
      <c r="B401" s="54"/>
      <c r="C401" s="54" t="e">
        <f>VLOOKUP(A:A,'ITEM LIST'!A:C,3,0)</f>
        <v>#N/A</v>
      </c>
      <c r="D401" s="53">
        <f t="shared" si="7"/>
        <v>0</v>
      </c>
    </row>
    <row r="402" spans="1:4" ht="15.75" x14ac:dyDescent="0.25">
      <c r="A402" s="53"/>
      <c r="B402" s="54"/>
      <c r="C402" s="54" t="e">
        <f>VLOOKUP(A:A,'ITEM LIST'!A:C,3,0)</f>
        <v>#N/A</v>
      </c>
      <c r="D402" s="53">
        <f t="shared" si="7"/>
        <v>0</v>
      </c>
    </row>
    <row r="403" spans="1:4" ht="15.75" x14ac:dyDescent="0.25">
      <c r="A403" s="53"/>
      <c r="B403" s="54"/>
      <c r="C403" s="54" t="e">
        <f>VLOOKUP(A:A,'ITEM LIST'!A:C,3,0)</f>
        <v>#N/A</v>
      </c>
      <c r="D403" s="53">
        <f t="shared" si="7"/>
        <v>0</v>
      </c>
    </row>
    <row r="404" spans="1:4" ht="15.75" x14ac:dyDescent="0.25">
      <c r="A404" s="53"/>
      <c r="B404" s="54"/>
      <c r="C404" s="54" t="e">
        <f>VLOOKUP(A:A,'ITEM LIST'!A:C,3,0)</f>
        <v>#N/A</v>
      </c>
      <c r="D404" s="53">
        <f t="shared" si="7"/>
        <v>0</v>
      </c>
    </row>
    <row r="405" spans="1:4" ht="15.75" x14ac:dyDescent="0.25">
      <c r="A405" s="53"/>
      <c r="B405" s="54"/>
      <c r="C405" s="54" t="e">
        <f>VLOOKUP(A:A,'ITEM LIST'!A:C,3,0)</f>
        <v>#N/A</v>
      </c>
      <c r="D405" s="53">
        <f t="shared" si="7"/>
        <v>0</v>
      </c>
    </row>
    <row r="406" spans="1:4" ht="15.75" x14ac:dyDescent="0.25">
      <c r="A406" s="53"/>
      <c r="B406" s="54"/>
      <c r="C406" s="54" t="e">
        <f>VLOOKUP(A:A,'ITEM LIST'!A:C,3,0)</f>
        <v>#N/A</v>
      </c>
      <c r="D406" s="53">
        <f t="shared" si="7"/>
        <v>0</v>
      </c>
    </row>
    <row r="407" spans="1:4" ht="15.75" x14ac:dyDescent="0.25">
      <c r="A407" s="53"/>
      <c r="B407" s="54"/>
      <c r="C407" s="54" t="e">
        <f>VLOOKUP(A:A,'ITEM LIST'!A:C,3,0)</f>
        <v>#N/A</v>
      </c>
      <c r="D407" s="53">
        <f t="shared" si="7"/>
        <v>0</v>
      </c>
    </row>
    <row r="408" spans="1:4" ht="15.75" x14ac:dyDescent="0.25">
      <c r="A408" s="53"/>
      <c r="B408" s="54"/>
      <c r="C408" s="54" t="e">
        <f>VLOOKUP(A:A,'ITEM LIST'!A:C,3,0)</f>
        <v>#N/A</v>
      </c>
      <c r="D408" s="53">
        <f t="shared" si="7"/>
        <v>0</v>
      </c>
    </row>
    <row r="409" spans="1:4" ht="15.75" x14ac:dyDescent="0.25">
      <c r="A409" s="53"/>
      <c r="B409" s="54"/>
      <c r="C409" s="54" t="e">
        <f>VLOOKUP(A:A,'ITEM LIST'!A:C,3,0)</f>
        <v>#N/A</v>
      </c>
      <c r="D409" s="53">
        <f t="shared" si="7"/>
        <v>0</v>
      </c>
    </row>
    <row r="410" spans="1:4" ht="15.75" x14ac:dyDescent="0.25">
      <c r="A410" s="53"/>
      <c r="B410" s="54"/>
      <c r="C410" s="54" t="e">
        <f>VLOOKUP(A:A,'ITEM LIST'!A:C,3,0)</f>
        <v>#N/A</v>
      </c>
      <c r="D410" s="53">
        <f t="shared" si="7"/>
        <v>0</v>
      </c>
    </row>
    <row r="411" spans="1:4" ht="15.75" x14ac:dyDescent="0.25">
      <c r="A411" s="53"/>
      <c r="B411" s="54"/>
      <c r="C411" s="54" t="e">
        <f>VLOOKUP(A:A,'ITEM LIST'!A:C,3,0)</f>
        <v>#N/A</v>
      </c>
      <c r="D411" s="53">
        <f t="shared" si="7"/>
        <v>0</v>
      </c>
    </row>
    <row r="412" spans="1:4" ht="15.75" x14ac:dyDescent="0.25">
      <c r="A412" s="53"/>
      <c r="B412" s="54"/>
      <c r="C412" s="54" t="e">
        <f>VLOOKUP(A:A,'ITEM LIST'!A:C,3,0)</f>
        <v>#N/A</v>
      </c>
      <c r="D412" s="53">
        <f t="shared" si="7"/>
        <v>0</v>
      </c>
    </row>
    <row r="413" spans="1:4" ht="15.75" x14ac:dyDescent="0.25">
      <c r="A413" s="53"/>
      <c r="B413" s="54"/>
      <c r="C413" s="54" t="e">
        <f>VLOOKUP(A:A,'ITEM LIST'!A:C,3,0)</f>
        <v>#N/A</v>
      </c>
      <c r="D413" s="53">
        <f t="shared" si="7"/>
        <v>0</v>
      </c>
    </row>
    <row r="414" spans="1:4" ht="15.75" x14ac:dyDescent="0.25">
      <c r="A414" s="53"/>
      <c r="B414" s="54"/>
      <c r="C414" s="54" t="e">
        <f>VLOOKUP(A:A,'ITEM LIST'!A:C,3,0)</f>
        <v>#N/A</v>
      </c>
      <c r="D414" s="53">
        <f t="shared" si="7"/>
        <v>0</v>
      </c>
    </row>
    <row r="415" spans="1:4" ht="15.75" x14ac:dyDescent="0.25">
      <c r="A415" s="53"/>
      <c r="B415" s="54"/>
      <c r="C415" s="54" t="e">
        <f>VLOOKUP(A:A,'ITEM LIST'!A:C,3,0)</f>
        <v>#N/A</v>
      </c>
      <c r="D415" s="53">
        <f t="shared" si="7"/>
        <v>0</v>
      </c>
    </row>
    <row r="416" spans="1:4" ht="15.75" x14ac:dyDescent="0.25">
      <c r="A416" s="53"/>
      <c r="B416" s="54"/>
      <c r="C416" s="54" t="e">
        <f>VLOOKUP(A:A,'ITEM LIST'!A:C,3,0)</f>
        <v>#N/A</v>
      </c>
      <c r="D416" s="53">
        <f t="shared" si="7"/>
        <v>0</v>
      </c>
    </row>
    <row r="417" spans="1:4" ht="15.75" x14ac:dyDescent="0.25">
      <c r="A417" s="53"/>
      <c r="B417" s="54"/>
      <c r="C417" s="54" t="e">
        <f>VLOOKUP(A:A,'ITEM LIST'!A:C,3,0)</f>
        <v>#N/A</v>
      </c>
      <c r="D417" s="53">
        <f t="shared" si="7"/>
        <v>0</v>
      </c>
    </row>
    <row r="418" spans="1:4" ht="15.75" x14ac:dyDescent="0.25">
      <c r="A418" s="53"/>
      <c r="B418" s="54"/>
      <c r="C418" s="54" t="e">
        <f>VLOOKUP(A:A,'ITEM LIST'!A:C,3,0)</f>
        <v>#N/A</v>
      </c>
      <c r="D418" s="53">
        <f t="shared" si="7"/>
        <v>0</v>
      </c>
    </row>
    <row r="419" spans="1:4" ht="15.75" x14ac:dyDescent="0.25">
      <c r="A419" s="53"/>
      <c r="B419" s="54"/>
      <c r="C419" s="54" t="e">
        <f>VLOOKUP(A:A,'ITEM LIST'!A:C,3,0)</f>
        <v>#N/A</v>
      </c>
      <c r="D419" s="53">
        <f t="shared" si="7"/>
        <v>0</v>
      </c>
    </row>
    <row r="420" spans="1:4" ht="15.75" x14ac:dyDescent="0.25">
      <c r="A420" s="53"/>
      <c r="B420" s="54"/>
      <c r="C420" s="54" t="e">
        <f>VLOOKUP(A:A,'ITEM LIST'!A:C,3,0)</f>
        <v>#N/A</v>
      </c>
      <c r="D420" s="53">
        <f t="shared" si="7"/>
        <v>0</v>
      </c>
    </row>
    <row r="421" spans="1:4" ht="15.75" x14ac:dyDescent="0.25">
      <c r="A421" s="53"/>
      <c r="B421" s="54"/>
      <c r="C421" s="54" t="e">
        <f>VLOOKUP(A:A,'ITEM LIST'!A:C,3,0)</f>
        <v>#N/A</v>
      </c>
      <c r="D421" s="53">
        <f t="shared" si="7"/>
        <v>0</v>
      </c>
    </row>
    <row r="422" spans="1:4" ht="15.75" x14ac:dyDescent="0.25">
      <c r="A422" s="53"/>
      <c r="B422" s="54"/>
      <c r="C422" s="54" t="e">
        <f>VLOOKUP(A:A,'ITEM LIST'!A:C,3,0)</f>
        <v>#N/A</v>
      </c>
      <c r="D422" s="53">
        <f t="shared" si="7"/>
        <v>0</v>
      </c>
    </row>
    <row r="423" spans="1:4" ht="15.75" x14ac:dyDescent="0.25">
      <c r="A423" s="53"/>
      <c r="B423" s="54"/>
      <c r="C423" s="54" t="e">
        <f>VLOOKUP(A:A,'ITEM LIST'!A:C,3,0)</f>
        <v>#N/A</v>
      </c>
      <c r="D423" s="53">
        <f t="shared" si="7"/>
        <v>0</v>
      </c>
    </row>
    <row r="424" spans="1:4" ht="15.75" x14ac:dyDescent="0.25">
      <c r="A424" s="53"/>
      <c r="B424" s="54"/>
      <c r="C424" s="54" t="e">
        <f>VLOOKUP(A:A,'ITEM LIST'!A:C,3,0)</f>
        <v>#N/A</v>
      </c>
      <c r="D424" s="53">
        <f t="shared" si="7"/>
        <v>0</v>
      </c>
    </row>
    <row r="425" spans="1:4" ht="15.75" x14ac:dyDescent="0.25">
      <c r="A425" s="53"/>
      <c r="B425" s="54"/>
      <c r="C425" s="54" t="e">
        <f>VLOOKUP(A:A,'ITEM LIST'!A:C,3,0)</f>
        <v>#N/A</v>
      </c>
      <c r="D425" s="53">
        <f t="shared" si="7"/>
        <v>0</v>
      </c>
    </row>
    <row r="426" spans="1:4" ht="15.75" x14ac:dyDescent="0.25">
      <c r="A426" s="53"/>
      <c r="B426" s="54"/>
      <c r="C426" s="54" t="e">
        <f>VLOOKUP(A:A,'ITEM LIST'!A:C,3,0)</f>
        <v>#N/A</v>
      </c>
      <c r="D426" s="53">
        <f t="shared" si="7"/>
        <v>0</v>
      </c>
    </row>
    <row r="427" spans="1:4" ht="15.75" x14ac:dyDescent="0.25">
      <c r="A427" s="53"/>
      <c r="B427" s="54"/>
      <c r="C427" s="54" t="e">
        <f>VLOOKUP(A:A,'ITEM LIST'!A:C,3,0)</f>
        <v>#N/A</v>
      </c>
      <c r="D427" s="53">
        <f t="shared" si="7"/>
        <v>0</v>
      </c>
    </row>
    <row r="428" spans="1:4" ht="15.75" x14ac:dyDescent="0.25">
      <c r="A428" s="53"/>
      <c r="B428" s="54"/>
      <c r="C428" s="54" t="e">
        <f>VLOOKUP(A:A,'ITEM LIST'!A:C,3,0)</f>
        <v>#N/A</v>
      </c>
      <c r="D428" s="53">
        <f t="shared" si="7"/>
        <v>0</v>
      </c>
    </row>
    <row r="429" spans="1:4" ht="15.75" x14ac:dyDescent="0.25">
      <c r="A429" s="53"/>
      <c r="B429" s="54"/>
      <c r="C429" s="54" t="e">
        <f>VLOOKUP(A:A,'ITEM LIST'!A:C,3,0)</f>
        <v>#N/A</v>
      </c>
      <c r="D429" s="53">
        <f t="shared" si="7"/>
        <v>0</v>
      </c>
    </row>
    <row r="430" spans="1:4" ht="15.75" x14ac:dyDescent="0.25">
      <c r="A430" s="53"/>
      <c r="B430" s="54"/>
      <c r="C430" s="54" t="e">
        <f>VLOOKUP(A:A,'ITEM LIST'!A:C,3,0)</f>
        <v>#N/A</v>
      </c>
      <c r="D430" s="53">
        <f t="shared" si="7"/>
        <v>0</v>
      </c>
    </row>
    <row r="431" spans="1:4" ht="15.75" x14ac:dyDescent="0.25">
      <c r="A431" s="53"/>
      <c r="B431" s="54"/>
      <c r="C431" s="54" t="e">
        <f>VLOOKUP(A:A,'ITEM LIST'!A:C,3,0)</f>
        <v>#N/A</v>
      </c>
      <c r="D431" s="53">
        <f t="shared" si="7"/>
        <v>0</v>
      </c>
    </row>
    <row r="432" spans="1:4" ht="15.75" x14ac:dyDescent="0.25">
      <c r="A432" s="53"/>
      <c r="B432" s="54"/>
      <c r="C432" s="54" t="e">
        <f>VLOOKUP(A:A,'ITEM LIST'!A:C,3,0)</f>
        <v>#N/A</v>
      </c>
      <c r="D432" s="53">
        <f t="shared" si="7"/>
        <v>0</v>
      </c>
    </row>
    <row r="433" spans="1:4" ht="15.75" x14ac:dyDescent="0.25">
      <c r="A433" s="53"/>
      <c r="B433" s="54"/>
      <c r="C433" s="54" t="e">
        <f>VLOOKUP(A:A,'ITEM LIST'!A:C,3,0)</f>
        <v>#N/A</v>
      </c>
      <c r="D433" s="53">
        <f t="shared" si="7"/>
        <v>0</v>
      </c>
    </row>
    <row r="434" spans="1:4" ht="15.75" x14ac:dyDescent="0.25">
      <c r="A434" s="53"/>
      <c r="B434" s="54"/>
      <c r="C434" s="54" t="e">
        <f>VLOOKUP(A:A,'ITEM LIST'!A:C,3,0)</f>
        <v>#N/A</v>
      </c>
      <c r="D434" s="53">
        <f t="shared" si="7"/>
        <v>0</v>
      </c>
    </row>
    <row r="435" spans="1:4" ht="15.75" x14ac:dyDescent="0.25">
      <c r="A435" s="53"/>
      <c r="B435" s="54"/>
      <c r="C435" s="54" t="e">
        <f>VLOOKUP(A:A,'ITEM LIST'!A:C,3,0)</f>
        <v>#N/A</v>
      </c>
      <c r="D435" s="53">
        <f t="shared" si="7"/>
        <v>0</v>
      </c>
    </row>
    <row r="436" spans="1:4" ht="15.75" x14ac:dyDescent="0.25">
      <c r="A436" s="53"/>
      <c r="B436" s="54"/>
      <c r="C436" s="54" t="e">
        <f>VLOOKUP(A:A,'ITEM LIST'!A:C,3,0)</f>
        <v>#N/A</v>
      </c>
      <c r="D436" s="53">
        <f t="shared" si="7"/>
        <v>0</v>
      </c>
    </row>
    <row r="437" spans="1:4" ht="15.75" x14ac:dyDescent="0.25">
      <c r="A437" s="53"/>
      <c r="B437" s="54"/>
      <c r="C437" s="54" t="e">
        <f>VLOOKUP(A:A,'ITEM LIST'!A:C,3,0)</f>
        <v>#N/A</v>
      </c>
      <c r="D437" s="53">
        <f t="shared" si="7"/>
        <v>0</v>
      </c>
    </row>
    <row r="438" spans="1:4" ht="15.75" x14ac:dyDescent="0.25">
      <c r="A438" s="53"/>
      <c r="B438" s="54"/>
      <c r="C438" s="54" t="e">
        <f>VLOOKUP(A:A,'ITEM LIST'!A:C,3,0)</f>
        <v>#N/A</v>
      </c>
      <c r="D438" s="53">
        <f t="shared" si="7"/>
        <v>0</v>
      </c>
    </row>
    <row r="439" spans="1:4" ht="15.75" x14ac:dyDescent="0.25">
      <c r="A439" s="53"/>
      <c r="B439" s="54"/>
      <c r="C439" s="54" t="e">
        <f>VLOOKUP(A:A,'ITEM LIST'!A:C,3,0)</f>
        <v>#N/A</v>
      </c>
      <c r="D439" s="53">
        <f t="shared" si="7"/>
        <v>0</v>
      </c>
    </row>
    <row r="440" spans="1:4" ht="15.75" x14ac:dyDescent="0.25">
      <c r="A440" s="53"/>
      <c r="B440" s="54"/>
      <c r="C440" s="54" t="e">
        <f>VLOOKUP(A:A,'ITEM LIST'!A:C,3,0)</f>
        <v>#N/A</v>
      </c>
      <c r="D440" s="53">
        <f t="shared" si="7"/>
        <v>0</v>
      </c>
    </row>
    <row r="441" spans="1:4" ht="15.75" x14ac:dyDescent="0.25">
      <c r="A441" s="53"/>
      <c r="B441" s="54"/>
      <c r="C441" s="54" t="e">
        <f>VLOOKUP(A:A,'ITEM LIST'!A:C,3,0)</f>
        <v>#N/A</v>
      </c>
      <c r="D441" s="53">
        <f t="shared" si="7"/>
        <v>0</v>
      </c>
    </row>
    <row r="442" spans="1:4" ht="15.75" x14ac:dyDescent="0.25">
      <c r="A442" s="53"/>
      <c r="B442" s="54"/>
      <c r="C442" s="54" t="e">
        <f>VLOOKUP(A:A,'ITEM LIST'!A:C,3,0)</f>
        <v>#N/A</v>
      </c>
      <c r="D442" s="53">
        <f t="shared" si="7"/>
        <v>0</v>
      </c>
    </row>
    <row r="443" spans="1:4" ht="15.75" x14ac:dyDescent="0.25">
      <c r="A443" s="53"/>
      <c r="B443" s="54"/>
      <c r="C443" s="54" t="e">
        <f>VLOOKUP(A:A,'ITEM LIST'!A:C,3,0)</f>
        <v>#N/A</v>
      </c>
      <c r="D443" s="53">
        <f t="shared" si="7"/>
        <v>0</v>
      </c>
    </row>
    <row r="444" spans="1:4" ht="15.75" x14ac:dyDescent="0.25">
      <c r="A444" s="53"/>
      <c r="B444" s="54"/>
      <c r="C444" s="54" t="e">
        <f>VLOOKUP(A:A,'ITEM LIST'!A:C,3,0)</f>
        <v>#N/A</v>
      </c>
      <c r="D444" s="53">
        <f t="shared" si="7"/>
        <v>0</v>
      </c>
    </row>
    <row r="445" spans="1:4" ht="15.75" x14ac:dyDescent="0.25">
      <c r="A445" s="53"/>
      <c r="B445" s="54"/>
      <c r="C445" s="54" t="e">
        <f>VLOOKUP(A:A,'ITEM LIST'!A:C,3,0)</f>
        <v>#N/A</v>
      </c>
      <c r="D445" s="53">
        <f t="shared" si="7"/>
        <v>0</v>
      </c>
    </row>
    <row r="446" spans="1:4" ht="15.75" x14ac:dyDescent="0.25">
      <c r="A446" s="53"/>
      <c r="B446" s="54"/>
      <c r="C446" s="54" t="e">
        <f>VLOOKUP(A:A,'ITEM LIST'!A:C,3,0)</f>
        <v>#N/A</v>
      </c>
      <c r="D446" s="53">
        <f t="shared" si="7"/>
        <v>0</v>
      </c>
    </row>
    <row r="447" spans="1:4" ht="15.75" x14ac:dyDescent="0.25">
      <c r="A447" s="53"/>
      <c r="B447" s="54"/>
      <c r="C447" s="54" t="e">
        <f>VLOOKUP(A:A,'ITEM LIST'!A:C,3,0)</f>
        <v>#N/A</v>
      </c>
      <c r="D447" s="53">
        <f t="shared" si="7"/>
        <v>0</v>
      </c>
    </row>
    <row r="448" spans="1:4" ht="15.75" x14ac:dyDescent="0.25">
      <c r="A448" s="53"/>
      <c r="B448" s="54"/>
      <c r="C448" s="54" t="e">
        <f>VLOOKUP(A:A,'ITEM LIST'!A:C,3,0)</f>
        <v>#N/A</v>
      </c>
      <c r="D448" s="53">
        <f t="shared" si="7"/>
        <v>0</v>
      </c>
    </row>
    <row r="449" spans="1:4" ht="15.75" x14ac:dyDescent="0.25">
      <c r="A449" s="53"/>
      <c r="B449" s="54"/>
      <c r="C449" s="54" t="e">
        <f>VLOOKUP(A:A,'ITEM LIST'!A:C,3,0)</f>
        <v>#N/A</v>
      </c>
      <c r="D449" s="53">
        <f t="shared" si="7"/>
        <v>0</v>
      </c>
    </row>
    <row r="450" spans="1:4" ht="15.75" x14ac:dyDescent="0.25">
      <c r="A450" s="53"/>
      <c r="B450" s="54"/>
      <c r="C450" s="54" t="e">
        <f>VLOOKUP(A:A,'ITEM LIST'!A:C,3,0)</f>
        <v>#N/A</v>
      </c>
      <c r="D450" s="53">
        <f t="shared" si="7"/>
        <v>0</v>
      </c>
    </row>
    <row r="451" spans="1:4" ht="15.75" x14ac:dyDescent="0.25">
      <c r="A451" s="53"/>
      <c r="B451" s="54"/>
      <c r="C451" s="54" t="e">
        <f>VLOOKUP(A:A,'ITEM LIST'!A:C,3,0)</f>
        <v>#N/A</v>
      </c>
      <c r="D451" s="53">
        <f t="shared" si="7"/>
        <v>0</v>
      </c>
    </row>
    <row r="452" spans="1:4" ht="15.75" x14ac:dyDescent="0.25">
      <c r="A452" s="53"/>
      <c r="B452" s="54"/>
      <c r="C452" s="54" t="e">
        <f>VLOOKUP(A:A,'ITEM LIST'!A:C,3,0)</f>
        <v>#N/A</v>
      </c>
      <c r="D452" s="53">
        <f t="shared" si="7"/>
        <v>0</v>
      </c>
    </row>
    <row r="453" spans="1:4" ht="15.75" x14ac:dyDescent="0.25">
      <c r="A453" s="53"/>
      <c r="B453" s="54"/>
      <c r="C453" s="54" t="e">
        <f>VLOOKUP(A:A,'ITEM LIST'!A:C,3,0)</f>
        <v>#N/A</v>
      </c>
      <c r="D453" s="53">
        <f t="shared" si="7"/>
        <v>0</v>
      </c>
    </row>
    <row r="454" spans="1:4" ht="15.75" x14ac:dyDescent="0.25">
      <c r="A454" s="53"/>
      <c r="B454" s="54"/>
      <c r="C454" s="54" t="e">
        <f>VLOOKUP(A:A,'ITEM LIST'!A:C,3,0)</f>
        <v>#N/A</v>
      </c>
      <c r="D454" s="53">
        <f t="shared" ref="D454:D517" si="8">B454</f>
        <v>0</v>
      </c>
    </row>
    <row r="455" spans="1:4" ht="15.75" x14ac:dyDescent="0.25">
      <c r="A455" s="53"/>
      <c r="B455" s="54"/>
      <c r="C455" s="54" t="e">
        <f>VLOOKUP(A:A,'ITEM LIST'!A:C,3,0)</f>
        <v>#N/A</v>
      </c>
      <c r="D455" s="53">
        <f t="shared" si="8"/>
        <v>0</v>
      </c>
    </row>
    <row r="456" spans="1:4" ht="15.75" x14ac:dyDescent="0.25">
      <c r="A456" s="53"/>
      <c r="B456" s="54"/>
      <c r="C456" s="54" t="e">
        <f>VLOOKUP(A:A,'ITEM LIST'!A:C,3,0)</f>
        <v>#N/A</v>
      </c>
      <c r="D456" s="53">
        <f t="shared" si="8"/>
        <v>0</v>
      </c>
    </row>
    <row r="457" spans="1:4" ht="15.75" x14ac:dyDescent="0.25">
      <c r="A457" s="53"/>
      <c r="B457" s="54"/>
      <c r="C457" s="54" t="e">
        <f>VLOOKUP(A:A,'ITEM LIST'!A:C,3,0)</f>
        <v>#N/A</v>
      </c>
      <c r="D457" s="53">
        <f t="shared" si="8"/>
        <v>0</v>
      </c>
    </row>
    <row r="458" spans="1:4" ht="15.75" x14ac:dyDescent="0.25">
      <c r="A458" s="53"/>
      <c r="B458" s="54"/>
      <c r="C458" s="54" t="e">
        <f>VLOOKUP(A:A,'ITEM LIST'!A:C,3,0)</f>
        <v>#N/A</v>
      </c>
      <c r="D458" s="53">
        <f t="shared" si="8"/>
        <v>0</v>
      </c>
    </row>
    <row r="459" spans="1:4" ht="15.75" x14ac:dyDescent="0.25">
      <c r="A459" s="53"/>
      <c r="B459" s="54"/>
      <c r="C459" s="54" t="e">
        <f>VLOOKUP(A:A,'ITEM LIST'!A:C,3,0)</f>
        <v>#N/A</v>
      </c>
      <c r="D459" s="53">
        <f t="shared" si="8"/>
        <v>0</v>
      </c>
    </row>
    <row r="460" spans="1:4" ht="15.75" x14ac:dyDescent="0.25">
      <c r="A460" s="53"/>
      <c r="B460" s="54"/>
      <c r="C460" s="54" t="e">
        <f>VLOOKUP(A:A,'ITEM LIST'!A:C,3,0)</f>
        <v>#N/A</v>
      </c>
      <c r="D460" s="53">
        <f t="shared" si="8"/>
        <v>0</v>
      </c>
    </row>
    <row r="461" spans="1:4" ht="15.75" x14ac:dyDescent="0.25">
      <c r="A461" s="53"/>
      <c r="B461" s="54"/>
      <c r="C461" s="54" t="e">
        <f>VLOOKUP(A:A,'ITEM LIST'!A:C,3,0)</f>
        <v>#N/A</v>
      </c>
      <c r="D461" s="53">
        <f t="shared" si="8"/>
        <v>0</v>
      </c>
    </row>
    <row r="462" spans="1:4" ht="15.75" x14ac:dyDescent="0.25">
      <c r="A462" s="53"/>
      <c r="B462" s="54"/>
      <c r="C462" s="54" t="e">
        <f>VLOOKUP(A:A,'ITEM LIST'!A:C,3,0)</f>
        <v>#N/A</v>
      </c>
      <c r="D462" s="53">
        <f t="shared" si="8"/>
        <v>0</v>
      </c>
    </row>
    <row r="463" spans="1:4" ht="15.75" x14ac:dyDescent="0.25">
      <c r="A463" s="53"/>
      <c r="B463" s="54"/>
      <c r="C463" s="54" t="e">
        <f>VLOOKUP(A:A,'ITEM LIST'!A:C,3,0)</f>
        <v>#N/A</v>
      </c>
      <c r="D463" s="53">
        <f t="shared" si="8"/>
        <v>0</v>
      </c>
    </row>
    <row r="464" spans="1:4" ht="15.75" x14ac:dyDescent="0.25">
      <c r="A464" s="53"/>
      <c r="B464" s="54"/>
      <c r="C464" s="54" t="e">
        <f>VLOOKUP(A:A,'ITEM LIST'!A:C,3,0)</f>
        <v>#N/A</v>
      </c>
      <c r="D464" s="53">
        <f t="shared" si="8"/>
        <v>0</v>
      </c>
    </row>
    <row r="465" spans="1:4" ht="15.75" x14ac:dyDescent="0.25">
      <c r="A465" s="53"/>
      <c r="B465" s="54"/>
      <c r="C465" s="54" t="e">
        <f>VLOOKUP(A:A,'ITEM LIST'!A:C,3,0)</f>
        <v>#N/A</v>
      </c>
      <c r="D465" s="53">
        <f t="shared" si="8"/>
        <v>0</v>
      </c>
    </row>
    <row r="466" spans="1:4" ht="15.75" x14ac:dyDescent="0.25">
      <c r="A466" s="53"/>
      <c r="B466" s="54"/>
      <c r="C466" s="54" t="e">
        <f>VLOOKUP(A:A,'ITEM LIST'!A:C,3,0)</f>
        <v>#N/A</v>
      </c>
      <c r="D466" s="53">
        <f t="shared" si="8"/>
        <v>0</v>
      </c>
    </row>
    <row r="467" spans="1:4" ht="15.75" x14ac:dyDescent="0.25">
      <c r="A467" s="53"/>
      <c r="B467" s="54"/>
      <c r="C467" s="54" t="e">
        <f>VLOOKUP(A:A,'ITEM LIST'!A:C,3,0)</f>
        <v>#N/A</v>
      </c>
      <c r="D467" s="53">
        <f t="shared" si="8"/>
        <v>0</v>
      </c>
    </row>
    <row r="468" spans="1:4" ht="15.75" x14ac:dyDescent="0.25">
      <c r="A468" s="53"/>
      <c r="B468" s="54"/>
      <c r="C468" s="54" t="e">
        <f>VLOOKUP(A:A,'ITEM LIST'!A:C,3,0)</f>
        <v>#N/A</v>
      </c>
      <c r="D468" s="53">
        <f t="shared" si="8"/>
        <v>0</v>
      </c>
    </row>
    <row r="469" spans="1:4" ht="15.75" x14ac:dyDescent="0.25">
      <c r="A469" s="53"/>
      <c r="B469" s="54"/>
      <c r="C469" s="54" t="e">
        <f>VLOOKUP(A:A,'ITEM LIST'!A:C,3,0)</f>
        <v>#N/A</v>
      </c>
      <c r="D469" s="53">
        <f t="shared" si="8"/>
        <v>0</v>
      </c>
    </row>
    <row r="470" spans="1:4" ht="15.75" x14ac:dyDescent="0.25">
      <c r="A470" s="53"/>
      <c r="B470" s="54"/>
      <c r="C470" s="54" t="e">
        <f>VLOOKUP(A:A,'ITEM LIST'!A:C,3,0)</f>
        <v>#N/A</v>
      </c>
      <c r="D470" s="53">
        <f t="shared" si="8"/>
        <v>0</v>
      </c>
    </row>
    <row r="471" spans="1:4" ht="15.75" x14ac:dyDescent="0.25">
      <c r="A471" s="53"/>
      <c r="B471" s="54"/>
      <c r="C471" s="54" t="e">
        <f>VLOOKUP(A:A,'ITEM LIST'!A:C,3,0)</f>
        <v>#N/A</v>
      </c>
      <c r="D471" s="53">
        <f t="shared" si="8"/>
        <v>0</v>
      </c>
    </row>
    <row r="472" spans="1:4" ht="15.75" x14ac:dyDescent="0.25">
      <c r="A472" s="53"/>
      <c r="B472" s="54"/>
      <c r="C472" s="54" t="e">
        <f>VLOOKUP(A:A,'ITEM LIST'!A:C,3,0)</f>
        <v>#N/A</v>
      </c>
      <c r="D472" s="53">
        <f t="shared" si="8"/>
        <v>0</v>
      </c>
    </row>
    <row r="473" spans="1:4" ht="15.75" x14ac:dyDescent="0.25">
      <c r="A473" s="53"/>
      <c r="B473" s="54"/>
      <c r="C473" s="54" t="e">
        <f>VLOOKUP(A:A,'ITEM LIST'!A:C,3,0)</f>
        <v>#N/A</v>
      </c>
      <c r="D473" s="53">
        <f t="shared" si="8"/>
        <v>0</v>
      </c>
    </row>
    <row r="474" spans="1:4" ht="15.75" x14ac:dyDescent="0.25">
      <c r="A474" s="53"/>
      <c r="B474" s="54"/>
      <c r="C474" s="54" t="e">
        <f>VLOOKUP(A:A,'ITEM LIST'!A:C,3,0)</f>
        <v>#N/A</v>
      </c>
      <c r="D474" s="53">
        <f t="shared" si="8"/>
        <v>0</v>
      </c>
    </row>
    <row r="475" spans="1:4" ht="15.75" x14ac:dyDescent="0.25">
      <c r="A475" s="53"/>
      <c r="B475" s="54"/>
      <c r="C475" s="54" t="e">
        <f>VLOOKUP(A:A,'ITEM LIST'!A:C,3,0)</f>
        <v>#N/A</v>
      </c>
      <c r="D475" s="53">
        <f t="shared" si="8"/>
        <v>0</v>
      </c>
    </row>
    <row r="476" spans="1:4" ht="15.75" x14ac:dyDescent="0.25">
      <c r="A476" s="53"/>
      <c r="B476" s="54"/>
      <c r="C476" s="54" t="e">
        <f>VLOOKUP(A:A,'ITEM LIST'!A:C,3,0)</f>
        <v>#N/A</v>
      </c>
      <c r="D476" s="53">
        <f t="shared" si="8"/>
        <v>0</v>
      </c>
    </row>
    <row r="477" spans="1:4" ht="15.75" x14ac:dyDescent="0.25">
      <c r="A477" s="53"/>
      <c r="B477" s="54"/>
      <c r="C477" s="54" t="e">
        <f>VLOOKUP(A:A,'ITEM LIST'!A:C,3,0)</f>
        <v>#N/A</v>
      </c>
      <c r="D477" s="53">
        <f t="shared" si="8"/>
        <v>0</v>
      </c>
    </row>
    <row r="478" spans="1:4" ht="15.75" x14ac:dyDescent="0.25">
      <c r="A478" s="53"/>
      <c r="B478" s="54"/>
      <c r="C478" s="54" t="e">
        <f>VLOOKUP(A:A,'ITEM LIST'!A:C,3,0)</f>
        <v>#N/A</v>
      </c>
      <c r="D478" s="53">
        <f t="shared" si="8"/>
        <v>0</v>
      </c>
    </row>
    <row r="479" spans="1:4" ht="15.75" x14ac:dyDescent="0.25">
      <c r="A479" s="53"/>
      <c r="B479" s="54"/>
      <c r="C479" s="54" t="e">
        <f>VLOOKUP(A:A,'ITEM LIST'!A:C,3,0)</f>
        <v>#N/A</v>
      </c>
      <c r="D479" s="53">
        <f t="shared" si="8"/>
        <v>0</v>
      </c>
    </row>
    <row r="480" spans="1:4" ht="15.75" x14ac:dyDescent="0.25">
      <c r="A480" s="53"/>
      <c r="B480" s="54"/>
      <c r="C480" s="54" t="e">
        <f>VLOOKUP(A:A,'ITEM LIST'!A:C,3,0)</f>
        <v>#N/A</v>
      </c>
      <c r="D480" s="53">
        <f t="shared" si="8"/>
        <v>0</v>
      </c>
    </row>
    <row r="481" spans="1:4" ht="15.75" x14ac:dyDescent="0.25">
      <c r="A481" s="53"/>
      <c r="B481" s="54"/>
      <c r="C481" s="54" t="e">
        <f>VLOOKUP(A:A,'ITEM LIST'!A:C,3,0)</f>
        <v>#N/A</v>
      </c>
      <c r="D481" s="53">
        <f t="shared" si="8"/>
        <v>0</v>
      </c>
    </row>
    <row r="482" spans="1:4" ht="15.75" x14ac:dyDescent="0.25">
      <c r="A482" s="53"/>
      <c r="B482" s="54"/>
      <c r="C482" s="54" t="e">
        <f>VLOOKUP(A:A,'ITEM LIST'!A:C,3,0)</f>
        <v>#N/A</v>
      </c>
      <c r="D482" s="53">
        <f t="shared" si="8"/>
        <v>0</v>
      </c>
    </row>
    <row r="483" spans="1:4" ht="15.75" x14ac:dyDescent="0.25">
      <c r="A483" s="53"/>
      <c r="B483" s="54"/>
      <c r="C483" s="54" t="e">
        <f>VLOOKUP(A:A,'ITEM LIST'!A:C,3,0)</f>
        <v>#N/A</v>
      </c>
      <c r="D483" s="53">
        <f t="shared" si="8"/>
        <v>0</v>
      </c>
    </row>
    <row r="484" spans="1:4" ht="15.75" x14ac:dyDescent="0.25">
      <c r="A484" s="53"/>
      <c r="B484" s="54"/>
      <c r="C484" s="54" t="e">
        <f>VLOOKUP(A:A,'ITEM LIST'!A:C,3,0)</f>
        <v>#N/A</v>
      </c>
      <c r="D484" s="53">
        <f t="shared" si="8"/>
        <v>0</v>
      </c>
    </row>
    <row r="485" spans="1:4" ht="15.75" x14ac:dyDescent="0.25">
      <c r="A485" s="53"/>
      <c r="B485" s="54"/>
      <c r="C485" s="54" t="e">
        <f>VLOOKUP(A:A,'ITEM LIST'!A:C,3,0)</f>
        <v>#N/A</v>
      </c>
      <c r="D485" s="53">
        <f t="shared" si="8"/>
        <v>0</v>
      </c>
    </row>
    <row r="486" spans="1:4" ht="15.75" x14ac:dyDescent="0.25">
      <c r="A486" s="53"/>
      <c r="B486" s="54"/>
      <c r="C486" s="54" t="e">
        <f>VLOOKUP(A:A,'ITEM LIST'!A:C,3,0)</f>
        <v>#N/A</v>
      </c>
      <c r="D486" s="53">
        <f t="shared" si="8"/>
        <v>0</v>
      </c>
    </row>
    <row r="487" spans="1:4" ht="15.75" x14ac:dyDescent="0.25">
      <c r="A487" s="53"/>
      <c r="B487" s="54"/>
      <c r="C487" s="54" t="e">
        <f>VLOOKUP(A:A,'ITEM LIST'!A:C,3,0)</f>
        <v>#N/A</v>
      </c>
      <c r="D487" s="53">
        <f t="shared" si="8"/>
        <v>0</v>
      </c>
    </row>
    <row r="488" spans="1:4" ht="15.75" x14ac:dyDescent="0.25">
      <c r="A488" s="53"/>
      <c r="B488" s="54"/>
      <c r="C488" s="54" t="e">
        <f>VLOOKUP(A:A,'ITEM LIST'!A:C,3,0)</f>
        <v>#N/A</v>
      </c>
      <c r="D488" s="53">
        <f t="shared" si="8"/>
        <v>0</v>
      </c>
    </row>
    <row r="489" spans="1:4" ht="15.75" x14ac:dyDescent="0.25">
      <c r="A489" s="53"/>
      <c r="B489" s="54"/>
      <c r="C489" s="54" t="e">
        <f>VLOOKUP(A:A,'ITEM LIST'!A:C,3,0)</f>
        <v>#N/A</v>
      </c>
      <c r="D489" s="53">
        <f t="shared" si="8"/>
        <v>0</v>
      </c>
    </row>
    <row r="490" spans="1:4" ht="15.75" x14ac:dyDescent="0.25">
      <c r="A490" s="53"/>
      <c r="B490" s="54"/>
      <c r="C490" s="54" t="e">
        <f>VLOOKUP(A:A,'ITEM LIST'!A:C,3,0)</f>
        <v>#N/A</v>
      </c>
      <c r="D490" s="53">
        <f t="shared" si="8"/>
        <v>0</v>
      </c>
    </row>
    <row r="491" spans="1:4" ht="15.75" x14ac:dyDescent="0.25">
      <c r="A491" s="53"/>
      <c r="B491" s="54"/>
      <c r="C491" s="54" t="e">
        <f>VLOOKUP(A:A,'ITEM LIST'!A:C,3,0)</f>
        <v>#N/A</v>
      </c>
      <c r="D491" s="53">
        <f t="shared" si="8"/>
        <v>0</v>
      </c>
    </row>
    <row r="492" spans="1:4" ht="15.75" x14ac:dyDescent="0.25">
      <c r="A492" s="53"/>
      <c r="B492" s="54"/>
      <c r="C492" s="54" t="e">
        <f>VLOOKUP(A:A,'ITEM LIST'!A:C,3,0)</f>
        <v>#N/A</v>
      </c>
      <c r="D492" s="53">
        <f t="shared" si="8"/>
        <v>0</v>
      </c>
    </row>
    <row r="493" spans="1:4" ht="15.75" x14ac:dyDescent="0.25">
      <c r="A493" s="53"/>
      <c r="B493" s="54"/>
      <c r="C493" s="54" t="e">
        <f>VLOOKUP(A:A,'ITEM LIST'!A:C,3,0)</f>
        <v>#N/A</v>
      </c>
      <c r="D493" s="53">
        <f t="shared" si="8"/>
        <v>0</v>
      </c>
    </row>
    <row r="494" spans="1:4" ht="15.75" x14ac:dyDescent="0.25">
      <c r="A494" s="53"/>
      <c r="B494" s="54"/>
      <c r="C494" s="54" t="e">
        <f>VLOOKUP(A:A,'ITEM LIST'!A:C,3,0)</f>
        <v>#N/A</v>
      </c>
      <c r="D494" s="53">
        <f t="shared" si="8"/>
        <v>0</v>
      </c>
    </row>
    <row r="495" spans="1:4" ht="15.75" x14ac:dyDescent="0.25">
      <c r="A495" s="53"/>
      <c r="B495" s="54"/>
      <c r="C495" s="54" t="e">
        <f>VLOOKUP(A:A,'ITEM LIST'!A:C,3,0)</f>
        <v>#N/A</v>
      </c>
      <c r="D495" s="53">
        <f t="shared" si="8"/>
        <v>0</v>
      </c>
    </row>
    <row r="496" spans="1:4" ht="15.75" x14ac:dyDescent="0.25">
      <c r="A496" s="53"/>
      <c r="B496" s="54"/>
      <c r="C496" s="54" t="e">
        <f>VLOOKUP(A:A,'ITEM LIST'!A:C,3,0)</f>
        <v>#N/A</v>
      </c>
      <c r="D496" s="53">
        <f t="shared" si="8"/>
        <v>0</v>
      </c>
    </row>
    <row r="497" spans="1:4" ht="15.75" x14ac:dyDescent="0.25">
      <c r="A497" s="53"/>
      <c r="B497" s="54"/>
      <c r="C497" s="54" t="e">
        <f>VLOOKUP(A:A,'ITEM LIST'!A:C,3,0)</f>
        <v>#N/A</v>
      </c>
      <c r="D497" s="53">
        <f t="shared" si="8"/>
        <v>0</v>
      </c>
    </row>
    <row r="498" spans="1:4" ht="15.75" x14ac:dyDescent="0.25">
      <c r="A498" s="53"/>
      <c r="B498" s="54"/>
      <c r="C498" s="54" t="e">
        <f>VLOOKUP(A:A,'ITEM LIST'!A:C,3,0)</f>
        <v>#N/A</v>
      </c>
      <c r="D498" s="53">
        <f t="shared" si="8"/>
        <v>0</v>
      </c>
    </row>
    <row r="499" spans="1:4" ht="15.75" x14ac:dyDescent="0.25">
      <c r="A499" s="53"/>
      <c r="B499" s="54"/>
      <c r="C499" s="54" t="e">
        <f>VLOOKUP(A:A,'ITEM LIST'!A:C,3,0)</f>
        <v>#N/A</v>
      </c>
      <c r="D499" s="53">
        <f t="shared" si="8"/>
        <v>0</v>
      </c>
    </row>
    <row r="500" spans="1:4" ht="15.75" x14ac:dyDescent="0.25">
      <c r="A500" s="53"/>
      <c r="B500" s="54"/>
      <c r="C500" s="54" t="e">
        <f>VLOOKUP(A:A,'ITEM LIST'!A:C,3,0)</f>
        <v>#N/A</v>
      </c>
      <c r="D500" s="53">
        <f t="shared" si="8"/>
        <v>0</v>
      </c>
    </row>
    <row r="501" spans="1:4" ht="15.75" x14ac:dyDescent="0.25">
      <c r="A501" s="53"/>
      <c r="B501" s="54"/>
      <c r="C501" s="54" t="e">
        <f>VLOOKUP(A:A,'ITEM LIST'!A:C,3,0)</f>
        <v>#N/A</v>
      </c>
      <c r="D501" s="53">
        <f t="shared" si="8"/>
        <v>0</v>
      </c>
    </row>
    <row r="502" spans="1:4" ht="15.75" x14ac:dyDescent="0.25">
      <c r="A502" s="53"/>
      <c r="B502" s="54"/>
      <c r="C502" s="54" t="e">
        <f>VLOOKUP(A:A,'ITEM LIST'!A:C,3,0)</f>
        <v>#N/A</v>
      </c>
      <c r="D502" s="53">
        <f t="shared" si="8"/>
        <v>0</v>
      </c>
    </row>
    <row r="503" spans="1:4" ht="15.75" x14ac:dyDescent="0.25">
      <c r="A503" s="53"/>
      <c r="B503" s="54"/>
      <c r="C503" s="54" t="e">
        <f>VLOOKUP(A:A,'ITEM LIST'!A:C,3,0)</f>
        <v>#N/A</v>
      </c>
      <c r="D503" s="53">
        <f t="shared" si="8"/>
        <v>0</v>
      </c>
    </row>
    <row r="504" spans="1:4" ht="15.75" x14ac:dyDescent="0.25">
      <c r="A504" s="53"/>
      <c r="B504" s="54"/>
      <c r="C504" s="54" t="e">
        <f>VLOOKUP(A:A,'ITEM LIST'!A:C,3,0)</f>
        <v>#N/A</v>
      </c>
      <c r="D504" s="53">
        <f t="shared" si="8"/>
        <v>0</v>
      </c>
    </row>
    <row r="505" spans="1:4" ht="15.75" x14ac:dyDescent="0.25">
      <c r="A505" s="53"/>
      <c r="B505" s="54"/>
      <c r="C505" s="54" t="e">
        <f>VLOOKUP(A:A,'ITEM LIST'!A:C,3,0)</f>
        <v>#N/A</v>
      </c>
      <c r="D505" s="53">
        <f t="shared" si="8"/>
        <v>0</v>
      </c>
    </row>
    <row r="506" spans="1:4" ht="15.75" x14ac:dyDescent="0.25">
      <c r="A506" s="53"/>
      <c r="B506" s="54"/>
      <c r="C506" s="54" t="e">
        <f>VLOOKUP(A:A,'ITEM LIST'!A:C,3,0)</f>
        <v>#N/A</v>
      </c>
      <c r="D506" s="53">
        <f t="shared" si="8"/>
        <v>0</v>
      </c>
    </row>
    <row r="507" spans="1:4" ht="15.75" x14ac:dyDescent="0.25">
      <c r="A507" s="53"/>
      <c r="B507" s="54"/>
      <c r="C507" s="54" t="e">
        <f>VLOOKUP(A:A,'ITEM LIST'!A:C,3,0)</f>
        <v>#N/A</v>
      </c>
      <c r="D507" s="53">
        <f t="shared" si="8"/>
        <v>0</v>
      </c>
    </row>
    <row r="508" spans="1:4" ht="15.75" x14ac:dyDescent="0.25">
      <c r="A508" s="53"/>
      <c r="B508" s="54"/>
      <c r="C508" s="54" t="e">
        <f>VLOOKUP(A:A,'ITEM LIST'!A:C,3,0)</f>
        <v>#N/A</v>
      </c>
      <c r="D508" s="53">
        <f t="shared" si="8"/>
        <v>0</v>
      </c>
    </row>
    <row r="509" spans="1:4" ht="15.75" x14ac:dyDescent="0.25">
      <c r="A509" s="53"/>
      <c r="B509" s="54"/>
      <c r="C509" s="54" t="e">
        <f>VLOOKUP(A:A,'ITEM LIST'!A:C,3,0)</f>
        <v>#N/A</v>
      </c>
      <c r="D509" s="53">
        <f t="shared" si="8"/>
        <v>0</v>
      </c>
    </row>
    <row r="510" spans="1:4" ht="15.75" x14ac:dyDescent="0.25">
      <c r="A510" s="53"/>
      <c r="B510" s="54"/>
      <c r="C510" s="54" t="e">
        <f>VLOOKUP(A:A,'ITEM LIST'!A:C,3,0)</f>
        <v>#N/A</v>
      </c>
      <c r="D510" s="53">
        <f t="shared" si="8"/>
        <v>0</v>
      </c>
    </row>
    <row r="511" spans="1:4" ht="15.75" x14ac:dyDescent="0.25">
      <c r="A511" s="53"/>
      <c r="B511" s="54"/>
      <c r="C511" s="54" t="e">
        <f>VLOOKUP(A:A,'ITEM LIST'!A:C,3,0)</f>
        <v>#N/A</v>
      </c>
      <c r="D511" s="53">
        <f t="shared" si="8"/>
        <v>0</v>
      </c>
    </row>
    <row r="512" spans="1:4" ht="15.75" x14ac:dyDescent="0.25">
      <c r="A512" s="53"/>
      <c r="B512" s="54"/>
      <c r="C512" s="54" t="e">
        <f>VLOOKUP(A:A,'ITEM LIST'!A:C,3,0)</f>
        <v>#N/A</v>
      </c>
      <c r="D512" s="53">
        <f t="shared" si="8"/>
        <v>0</v>
      </c>
    </row>
    <row r="513" spans="1:4" ht="15.75" x14ac:dyDescent="0.25">
      <c r="A513" s="53"/>
      <c r="B513" s="54"/>
      <c r="C513" s="54" t="e">
        <f>VLOOKUP(A:A,'ITEM LIST'!A:C,3,0)</f>
        <v>#N/A</v>
      </c>
      <c r="D513" s="53">
        <f t="shared" si="8"/>
        <v>0</v>
      </c>
    </row>
    <row r="514" spans="1:4" ht="15.75" x14ac:dyDescent="0.25">
      <c r="A514" s="53"/>
      <c r="B514" s="54"/>
      <c r="C514" s="54" t="e">
        <f>VLOOKUP(A:A,'ITEM LIST'!A:C,3,0)</f>
        <v>#N/A</v>
      </c>
      <c r="D514" s="53">
        <f t="shared" si="8"/>
        <v>0</v>
      </c>
    </row>
    <row r="515" spans="1:4" ht="15.75" x14ac:dyDescent="0.25">
      <c r="A515" s="53"/>
      <c r="B515" s="54"/>
      <c r="C515" s="54" t="e">
        <f>VLOOKUP(A:A,'ITEM LIST'!A:C,3,0)</f>
        <v>#N/A</v>
      </c>
      <c r="D515" s="53">
        <f t="shared" si="8"/>
        <v>0</v>
      </c>
    </row>
    <row r="516" spans="1:4" ht="15.75" x14ac:dyDescent="0.25">
      <c r="A516" s="53"/>
      <c r="B516" s="54"/>
      <c r="C516" s="54" t="e">
        <f>VLOOKUP(A:A,'ITEM LIST'!A:C,3,0)</f>
        <v>#N/A</v>
      </c>
      <c r="D516" s="53">
        <f t="shared" si="8"/>
        <v>0</v>
      </c>
    </row>
    <row r="517" spans="1:4" ht="15.75" x14ac:dyDescent="0.25">
      <c r="A517" s="53"/>
      <c r="B517" s="54"/>
      <c r="C517" s="54" t="e">
        <f>VLOOKUP(A:A,'ITEM LIST'!A:C,3,0)</f>
        <v>#N/A</v>
      </c>
      <c r="D517" s="53">
        <f t="shared" si="8"/>
        <v>0</v>
      </c>
    </row>
    <row r="518" spans="1:4" ht="15.75" x14ac:dyDescent="0.25">
      <c r="A518" s="53"/>
      <c r="B518" s="54"/>
      <c r="C518" s="54" t="e">
        <f>VLOOKUP(A:A,'ITEM LIST'!A:C,3,0)</f>
        <v>#N/A</v>
      </c>
      <c r="D518" s="53">
        <f t="shared" ref="D518:D581" si="9">B518</f>
        <v>0</v>
      </c>
    </row>
    <row r="519" spans="1:4" ht="15.75" x14ac:dyDescent="0.25">
      <c r="A519" s="53"/>
      <c r="B519" s="54"/>
      <c r="C519" s="54" t="e">
        <f>VLOOKUP(A:A,'ITEM LIST'!A:C,3,0)</f>
        <v>#N/A</v>
      </c>
      <c r="D519" s="53">
        <f t="shared" si="9"/>
        <v>0</v>
      </c>
    </row>
    <row r="520" spans="1:4" ht="15.75" x14ac:dyDescent="0.25">
      <c r="A520" s="53"/>
      <c r="B520" s="54"/>
      <c r="C520" s="54" t="e">
        <f>VLOOKUP(A:A,'ITEM LIST'!A:C,3,0)</f>
        <v>#N/A</v>
      </c>
      <c r="D520" s="53">
        <f t="shared" si="9"/>
        <v>0</v>
      </c>
    </row>
    <row r="521" spans="1:4" ht="15.75" x14ac:dyDescent="0.25">
      <c r="A521" s="53"/>
      <c r="B521" s="54"/>
      <c r="C521" s="54" t="e">
        <f>VLOOKUP(A:A,'ITEM LIST'!A:C,3,0)</f>
        <v>#N/A</v>
      </c>
      <c r="D521" s="53">
        <f t="shared" si="9"/>
        <v>0</v>
      </c>
    </row>
    <row r="522" spans="1:4" ht="15.75" x14ac:dyDescent="0.25">
      <c r="A522" s="53"/>
      <c r="B522" s="54"/>
      <c r="C522" s="54" t="e">
        <f>VLOOKUP(A:A,'ITEM LIST'!A:C,3,0)</f>
        <v>#N/A</v>
      </c>
      <c r="D522" s="53">
        <f t="shared" si="9"/>
        <v>0</v>
      </c>
    </row>
    <row r="523" spans="1:4" ht="15.75" x14ac:dyDescent="0.25">
      <c r="A523" s="53"/>
      <c r="B523" s="54"/>
      <c r="C523" s="54" t="e">
        <f>VLOOKUP(A:A,'ITEM LIST'!A:C,3,0)</f>
        <v>#N/A</v>
      </c>
      <c r="D523" s="53">
        <f t="shared" si="9"/>
        <v>0</v>
      </c>
    </row>
    <row r="524" spans="1:4" ht="15.75" x14ac:dyDescent="0.25">
      <c r="A524" s="53"/>
      <c r="B524" s="54"/>
      <c r="C524" s="54" t="e">
        <f>VLOOKUP(A:A,'ITEM LIST'!A:C,3,0)</f>
        <v>#N/A</v>
      </c>
      <c r="D524" s="53">
        <f t="shared" si="9"/>
        <v>0</v>
      </c>
    </row>
    <row r="525" spans="1:4" ht="15.75" x14ac:dyDescent="0.25">
      <c r="A525" s="53"/>
      <c r="B525" s="54"/>
      <c r="C525" s="54" t="e">
        <f>VLOOKUP(A:A,'ITEM LIST'!A:C,3,0)</f>
        <v>#N/A</v>
      </c>
      <c r="D525" s="53">
        <f t="shared" si="9"/>
        <v>0</v>
      </c>
    </row>
    <row r="526" spans="1:4" ht="15.75" x14ac:dyDescent="0.25">
      <c r="A526" s="53"/>
      <c r="B526" s="54"/>
      <c r="C526" s="54" t="e">
        <f>VLOOKUP(A:A,'ITEM LIST'!A:C,3,0)</f>
        <v>#N/A</v>
      </c>
      <c r="D526" s="53">
        <f t="shared" si="9"/>
        <v>0</v>
      </c>
    </row>
    <row r="527" spans="1:4" ht="15.75" x14ac:dyDescent="0.25">
      <c r="A527" s="53"/>
      <c r="B527" s="54"/>
      <c r="C527" s="54" t="e">
        <f>VLOOKUP(A:A,'ITEM LIST'!A:C,3,0)</f>
        <v>#N/A</v>
      </c>
      <c r="D527" s="53">
        <f t="shared" si="9"/>
        <v>0</v>
      </c>
    </row>
    <row r="528" spans="1:4" ht="15.75" x14ac:dyDescent="0.25">
      <c r="A528" s="53"/>
      <c r="B528" s="54"/>
      <c r="C528" s="54" t="e">
        <f>VLOOKUP(A:A,'ITEM LIST'!A:C,3,0)</f>
        <v>#N/A</v>
      </c>
      <c r="D528" s="53">
        <f t="shared" si="9"/>
        <v>0</v>
      </c>
    </row>
    <row r="529" spans="1:4" ht="15.75" x14ac:dyDescent="0.25">
      <c r="A529" s="53"/>
      <c r="B529" s="54"/>
      <c r="C529" s="54" t="e">
        <f>VLOOKUP(A:A,'ITEM LIST'!A:C,3,0)</f>
        <v>#N/A</v>
      </c>
      <c r="D529" s="53">
        <f t="shared" si="9"/>
        <v>0</v>
      </c>
    </row>
    <row r="530" spans="1:4" ht="15.75" x14ac:dyDescent="0.25">
      <c r="A530" s="53"/>
      <c r="B530" s="54"/>
      <c r="C530" s="54" t="e">
        <f>VLOOKUP(A:A,'ITEM LIST'!A:C,3,0)</f>
        <v>#N/A</v>
      </c>
      <c r="D530" s="53">
        <f t="shared" si="9"/>
        <v>0</v>
      </c>
    </row>
    <row r="531" spans="1:4" ht="15.75" x14ac:dyDescent="0.25">
      <c r="A531" s="53"/>
      <c r="B531" s="54"/>
      <c r="C531" s="54" t="e">
        <f>VLOOKUP(A:A,'ITEM LIST'!A:C,3,0)</f>
        <v>#N/A</v>
      </c>
      <c r="D531" s="53">
        <f t="shared" si="9"/>
        <v>0</v>
      </c>
    </row>
    <row r="532" spans="1:4" ht="15.75" x14ac:dyDescent="0.25">
      <c r="A532" s="53"/>
      <c r="B532" s="54"/>
      <c r="C532" s="54" t="e">
        <f>VLOOKUP(A:A,'ITEM LIST'!A:C,3,0)</f>
        <v>#N/A</v>
      </c>
      <c r="D532" s="53">
        <f t="shared" si="9"/>
        <v>0</v>
      </c>
    </row>
    <row r="533" spans="1:4" ht="15.75" x14ac:dyDescent="0.25">
      <c r="A533" s="53"/>
      <c r="B533" s="54"/>
      <c r="C533" s="54" t="e">
        <f>VLOOKUP(A:A,'ITEM LIST'!A:C,3,0)</f>
        <v>#N/A</v>
      </c>
      <c r="D533" s="53">
        <f t="shared" si="9"/>
        <v>0</v>
      </c>
    </row>
    <row r="534" spans="1:4" ht="15.75" x14ac:dyDescent="0.25">
      <c r="A534" s="53"/>
      <c r="B534" s="54"/>
      <c r="C534" s="54" t="e">
        <f>VLOOKUP(A:A,'ITEM LIST'!A:C,3,0)</f>
        <v>#N/A</v>
      </c>
      <c r="D534" s="53">
        <f t="shared" si="9"/>
        <v>0</v>
      </c>
    </row>
    <row r="535" spans="1:4" ht="15.75" x14ac:dyDescent="0.25">
      <c r="A535" s="53"/>
      <c r="B535" s="54"/>
      <c r="C535" s="54" t="e">
        <f>VLOOKUP(A:A,'ITEM LIST'!A:C,3,0)</f>
        <v>#N/A</v>
      </c>
      <c r="D535" s="53">
        <f t="shared" si="9"/>
        <v>0</v>
      </c>
    </row>
    <row r="536" spans="1:4" ht="15.75" x14ac:dyDescent="0.25">
      <c r="A536" s="53"/>
      <c r="B536" s="54"/>
      <c r="C536" s="54" t="e">
        <f>VLOOKUP(A:A,'ITEM LIST'!A:C,3,0)</f>
        <v>#N/A</v>
      </c>
      <c r="D536" s="53">
        <f t="shared" si="9"/>
        <v>0</v>
      </c>
    </row>
    <row r="537" spans="1:4" ht="15.75" x14ac:dyDescent="0.25">
      <c r="A537" s="53"/>
      <c r="B537" s="54"/>
      <c r="C537" s="54" t="e">
        <f>VLOOKUP(A:A,'ITEM LIST'!A:C,3,0)</f>
        <v>#N/A</v>
      </c>
      <c r="D537" s="53">
        <f t="shared" si="9"/>
        <v>0</v>
      </c>
    </row>
    <row r="538" spans="1:4" ht="15.75" x14ac:dyDescent="0.25">
      <c r="A538" s="53"/>
      <c r="B538" s="54"/>
      <c r="C538" s="54" t="e">
        <f>VLOOKUP(A:A,'ITEM LIST'!A:C,3,0)</f>
        <v>#N/A</v>
      </c>
      <c r="D538" s="53">
        <f t="shared" si="9"/>
        <v>0</v>
      </c>
    </row>
    <row r="539" spans="1:4" ht="15.75" x14ac:dyDescent="0.25">
      <c r="A539" s="53"/>
      <c r="B539" s="54"/>
      <c r="C539" s="54" t="e">
        <f>VLOOKUP(A:A,'ITEM LIST'!A:C,3,0)</f>
        <v>#N/A</v>
      </c>
      <c r="D539" s="53">
        <f t="shared" si="9"/>
        <v>0</v>
      </c>
    </row>
    <row r="540" spans="1:4" ht="15.75" x14ac:dyDescent="0.25">
      <c r="A540" s="53"/>
      <c r="B540" s="54"/>
      <c r="C540" s="54" t="e">
        <f>VLOOKUP(A:A,'ITEM LIST'!A:C,3,0)</f>
        <v>#N/A</v>
      </c>
      <c r="D540" s="53">
        <f t="shared" si="9"/>
        <v>0</v>
      </c>
    </row>
    <row r="541" spans="1:4" ht="15.75" x14ac:dyDescent="0.25">
      <c r="A541" s="53"/>
      <c r="B541" s="54"/>
      <c r="C541" s="54" t="e">
        <f>VLOOKUP(A:A,'ITEM LIST'!A:C,3,0)</f>
        <v>#N/A</v>
      </c>
      <c r="D541" s="53">
        <f t="shared" si="9"/>
        <v>0</v>
      </c>
    </row>
    <row r="542" spans="1:4" ht="15.75" x14ac:dyDescent="0.25">
      <c r="A542" s="53"/>
      <c r="B542" s="54"/>
      <c r="C542" s="54" t="e">
        <f>VLOOKUP(A:A,'ITEM LIST'!A:C,3,0)</f>
        <v>#N/A</v>
      </c>
      <c r="D542" s="53">
        <f t="shared" si="9"/>
        <v>0</v>
      </c>
    </row>
    <row r="543" spans="1:4" ht="15.75" x14ac:dyDescent="0.25">
      <c r="A543" s="53"/>
      <c r="B543" s="54"/>
      <c r="C543" s="54" t="e">
        <f>VLOOKUP(A:A,'ITEM LIST'!A:C,3,0)</f>
        <v>#N/A</v>
      </c>
      <c r="D543" s="53">
        <f t="shared" si="9"/>
        <v>0</v>
      </c>
    </row>
    <row r="544" spans="1:4" ht="15.75" x14ac:dyDescent="0.25">
      <c r="A544" s="53"/>
      <c r="B544" s="54"/>
      <c r="C544" s="54" t="e">
        <f>VLOOKUP(A:A,'ITEM LIST'!A:C,3,0)</f>
        <v>#N/A</v>
      </c>
      <c r="D544" s="53">
        <f t="shared" si="9"/>
        <v>0</v>
      </c>
    </row>
    <row r="545" spans="1:4" ht="15.75" x14ac:dyDescent="0.25">
      <c r="A545" s="53"/>
      <c r="B545" s="54"/>
      <c r="C545" s="54" t="e">
        <f>VLOOKUP(A:A,'ITEM LIST'!A:C,3,0)</f>
        <v>#N/A</v>
      </c>
      <c r="D545" s="53">
        <f t="shared" si="9"/>
        <v>0</v>
      </c>
    </row>
    <row r="546" spans="1:4" ht="15.75" x14ac:dyDescent="0.25">
      <c r="A546" s="53"/>
      <c r="B546" s="54"/>
      <c r="C546" s="54" t="e">
        <f>VLOOKUP(A:A,'ITEM LIST'!A:C,3,0)</f>
        <v>#N/A</v>
      </c>
      <c r="D546" s="53">
        <f t="shared" si="9"/>
        <v>0</v>
      </c>
    </row>
    <row r="547" spans="1:4" ht="15.75" x14ac:dyDescent="0.25">
      <c r="A547" s="53"/>
      <c r="B547" s="54"/>
      <c r="C547" s="54" t="e">
        <f>VLOOKUP(A:A,'ITEM LIST'!A:C,3,0)</f>
        <v>#N/A</v>
      </c>
      <c r="D547" s="53">
        <f t="shared" si="9"/>
        <v>0</v>
      </c>
    </row>
    <row r="548" spans="1:4" ht="15.75" x14ac:dyDescent="0.25">
      <c r="A548" s="53"/>
      <c r="B548" s="54"/>
      <c r="C548" s="54" t="e">
        <f>VLOOKUP(A:A,'ITEM LIST'!A:C,3,0)</f>
        <v>#N/A</v>
      </c>
      <c r="D548" s="53">
        <f t="shared" si="9"/>
        <v>0</v>
      </c>
    </row>
    <row r="549" spans="1:4" ht="15.75" x14ac:dyDescent="0.25">
      <c r="A549" s="53"/>
      <c r="B549" s="54"/>
      <c r="C549" s="54" t="e">
        <f>VLOOKUP(A:A,'ITEM LIST'!A:C,3,0)</f>
        <v>#N/A</v>
      </c>
      <c r="D549" s="53">
        <f t="shared" si="9"/>
        <v>0</v>
      </c>
    </row>
    <row r="550" spans="1:4" ht="15.75" x14ac:dyDescent="0.25">
      <c r="A550" s="53"/>
      <c r="B550" s="54"/>
      <c r="C550" s="54" t="e">
        <f>VLOOKUP(A:A,'ITEM LIST'!A:C,3,0)</f>
        <v>#N/A</v>
      </c>
      <c r="D550" s="53">
        <f t="shared" si="9"/>
        <v>0</v>
      </c>
    </row>
    <row r="551" spans="1:4" ht="15.75" x14ac:dyDescent="0.25">
      <c r="A551" s="53"/>
      <c r="B551" s="54"/>
      <c r="C551" s="54" t="e">
        <f>VLOOKUP(A:A,'ITEM LIST'!A:C,3,0)</f>
        <v>#N/A</v>
      </c>
      <c r="D551" s="53">
        <f t="shared" si="9"/>
        <v>0</v>
      </c>
    </row>
    <row r="552" spans="1:4" ht="15.75" x14ac:dyDescent="0.25">
      <c r="A552" s="53"/>
      <c r="B552" s="54"/>
      <c r="C552" s="54" t="e">
        <f>VLOOKUP(A:A,'ITEM LIST'!A:C,3,0)</f>
        <v>#N/A</v>
      </c>
      <c r="D552" s="53">
        <f t="shared" si="9"/>
        <v>0</v>
      </c>
    </row>
    <row r="553" spans="1:4" ht="15.75" x14ac:dyDescent="0.25">
      <c r="A553" s="53"/>
      <c r="B553" s="54"/>
      <c r="C553" s="54" t="e">
        <f>VLOOKUP(A:A,'ITEM LIST'!A:C,3,0)</f>
        <v>#N/A</v>
      </c>
      <c r="D553" s="53">
        <f t="shared" si="9"/>
        <v>0</v>
      </c>
    </row>
    <row r="554" spans="1:4" ht="15.75" x14ac:dyDescent="0.25">
      <c r="A554" s="53"/>
      <c r="B554" s="54"/>
      <c r="C554" s="54" t="e">
        <f>VLOOKUP(A:A,'ITEM LIST'!A:C,3,0)</f>
        <v>#N/A</v>
      </c>
      <c r="D554" s="53">
        <f t="shared" si="9"/>
        <v>0</v>
      </c>
    </row>
    <row r="555" spans="1:4" ht="15.75" x14ac:dyDescent="0.25">
      <c r="A555" s="53"/>
      <c r="B555" s="54"/>
      <c r="C555" s="54" t="e">
        <f>VLOOKUP(A:A,'ITEM LIST'!A:C,3,0)</f>
        <v>#N/A</v>
      </c>
      <c r="D555" s="53">
        <f t="shared" si="9"/>
        <v>0</v>
      </c>
    </row>
    <row r="556" spans="1:4" ht="15.75" x14ac:dyDescent="0.25">
      <c r="A556" s="53"/>
      <c r="B556" s="54"/>
      <c r="C556" s="54" t="e">
        <f>VLOOKUP(A:A,'ITEM LIST'!A:C,3,0)</f>
        <v>#N/A</v>
      </c>
      <c r="D556" s="53">
        <f t="shared" si="9"/>
        <v>0</v>
      </c>
    </row>
    <row r="557" spans="1:4" ht="15.75" x14ac:dyDescent="0.25">
      <c r="A557" s="53"/>
      <c r="B557" s="54"/>
      <c r="C557" s="54" t="e">
        <f>VLOOKUP(A:A,'ITEM LIST'!A:C,3,0)</f>
        <v>#N/A</v>
      </c>
      <c r="D557" s="53">
        <f t="shared" si="9"/>
        <v>0</v>
      </c>
    </row>
    <row r="558" spans="1:4" ht="15.75" x14ac:dyDescent="0.25">
      <c r="A558" s="53"/>
      <c r="B558" s="54"/>
      <c r="C558" s="54" t="e">
        <f>VLOOKUP(A:A,'ITEM LIST'!A:C,3,0)</f>
        <v>#N/A</v>
      </c>
      <c r="D558" s="53">
        <f t="shared" si="9"/>
        <v>0</v>
      </c>
    </row>
    <row r="559" spans="1:4" ht="15.75" x14ac:dyDescent="0.25">
      <c r="A559" s="53"/>
      <c r="B559" s="54"/>
      <c r="C559" s="54" t="e">
        <f>VLOOKUP(A:A,'ITEM LIST'!A:C,3,0)</f>
        <v>#N/A</v>
      </c>
      <c r="D559" s="53">
        <f t="shared" si="9"/>
        <v>0</v>
      </c>
    </row>
    <row r="560" spans="1:4" ht="15.75" x14ac:dyDescent="0.25">
      <c r="A560" s="53"/>
      <c r="B560" s="54"/>
      <c r="C560" s="54" t="e">
        <f>VLOOKUP(A:A,'ITEM LIST'!A:C,3,0)</f>
        <v>#N/A</v>
      </c>
      <c r="D560" s="53">
        <f t="shared" si="9"/>
        <v>0</v>
      </c>
    </row>
    <row r="561" spans="1:4" ht="15.75" x14ac:dyDescent="0.25">
      <c r="A561" s="53"/>
      <c r="B561" s="54"/>
      <c r="C561" s="54" t="e">
        <f>VLOOKUP(A:A,'ITEM LIST'!A:C,3,0)</f>
        <v>#N/A</v>
      </c>
      <c r="D561" s="53">
        <f t="shared" si="9"/>
        <v>0</v>
      </c>
    </row>
    <row r="562" spans="1:4" ht="15.75" x14ac:dyDescent="0.25">
      <c r="A562" s="53"/>
      <c r="B562" s="54"/>
      <c r="C562" s="54" t="e">
        <f>VLOOKUP(A:A,'ITEM LIST'!A:C,3,0)</f>
        <v>#N/A</v>
      </c>
      <c r="D562" s="53">
        <f t="shared" si="9"/>
        <v>0</v>
      </c>
    </row>
    <row r="563" spans="1:4" ht="15.75" x14ac:dyDescent="0.25">
      <c r="A563" s="53"/>
      <c r="B563" s="54"/>
      <c r="C563" s="54" t="e">
        <f>VLOOKUP(A:A,'ITEM LIST'!A:C,3,0)</f>
        <v>#N/A</v>
      </c>
      <c r="D563" s="53">
        <f t="shared" si="9"/>
        <v>0</v>
      </c>
    </row>
    <row r="564" spans="1:4" ht="15.75" x14ac:dyDescent="0.25">
      <c r="A564" s="53"/>
      <c r="B564" s="54"/>
      <c r="C564" s="54" t="e">
        <f>VLOOKUP(A:A,'ITEM LIST'!A:C,3,0)</f>
        <v>#N/A</v>
      </c>
      <c r="D564" s="53">
        <f t="shared" si="9"/>
        <v>0</v>
      </c>
    </row>
    <row r="565" spans="1:4" ht="15.75" x14ac:dyDescent="0.25">
      <c r="A565" s="53"/>
      <c r="B565" s="54"/>
      <c r="C565" s="54" t="e">
        <f>VLOOKUP(A:A,'ITEM LIST'!A:C,3,0)</f>
        <v>#N/A</v>
      </c>
      <c r="D565" s="53">
        <f t="shared" si="9"/>
        <v>0</v>
      </c>
    </row>
    <row r="566" spans="1:4" ht="15.75" x14ac:dyDescent="0.25">
      <c r="A566" s="53"/>
      <c r="B566" s="54"/>
      <c r="C566" s="54" t="e">
        <f>VLOOKUP(A:A,'ITEM LIST'!A:C,3,0)</f>
        <v>#N/A</v>
      </c>
      <c r="D566" s="53">
        <f t="shared" si="9"/>
        <v>0</v>
      </c>
    </row>
    <row r="567" spans="1:4" ht="15.75" x14ac:dyDescent="0.25">
      <c r="A567" s="53"/>
      <c r="B567" s="54"/>
      <c r="C567" s="54" t="e">
        <f>VLOOKUP(A:A,'ITEM LIST'!A:C,3,0)</f>
        <v>#N/A</v>
      </c>
      <c r="D567" s="53">
        <f t="shared" si="9"/>
        <v>0</v>
      </c>
    </row>
    <row r="568" spans="1:4" ht="15.75" x14ac:dyDescent="0.25">
      <c r="A568" s="53"/>
      <c r="B568" s="54"/>
      <c r="C568" s="54" t="e">
        <f>VLOOKUP(A:A,'ITEM LIST'!A:C,3,0)</f>
        <v>#N/A</v>
      </c>
      <c r="D568" s="53">
        <f t="shared" si="9"/>
        <v>0</v>
      </c>
    </row>
    <row r="569" spans="1:4" ht="15.75" x14ac:dyDescent="0.25">
      <c r="A569" s="53"/>
      <c r="B569" s="54"/>
      <c r="C569" s="54" t="e">
        <f>VLOOKUP(A:A,'ITEM LIST'!A:C,3,0)</f>
        <v>#N/A</v>
      </c>
      <c r="D569" s="53">
        <f t="shared" si="9"/>
        <v>0</v>
      </c>
    </row>
    <row r="570" spans="1:4" ht="15.75" x14ac:dyDescent="0.25">
      <c r="A570" s="53"/>
      <c r="B570" s="54"/>
      <c r="C570" s="54" t="e">
        <f>VLOOKUP(A:A,'ITEM LIST'!A:C,3,0)</f>
        <v>#N/A</v>
      </c>
      <c r="D570" s="53">
        <f t="shared" si="9"/>
        <v>0</v>
      </c>
    </row>
    <row r="571" spans="1:4" ht="15.75" x14ac:dyDescent="0.25">
      <c r="A571" s="53"/>
      <c r="B571" s="54"/>
      <c r="C571" s="54" t="e">
        <f>VLOOKUP(A:A,'ITEM LIST'!A:C,3,0)</f>
        <v>#N/A</v>
      </c>
      <c r="D571" s="53">
        <f t="shared" si="9"/>
        <v>0</v>
      </c>
    </row>
    <row r="572" spans="1:4" ht="15.75" x14ac:dyDescent="0.25">
      <c r="A572" s="53"/>
      <c r="B572" s="54"/>
      <c r="C572" s="54" t="e">
        <f>VLOOKUP(A:A,'ITEM LIST'!A:C,3,0)</f>
        <v>#N/A</v>
      </c>
      <c r="D572" s="53">
        <f t="shared" si="9"/>
        <v>0</v>
      </c>
    </row>
    <row r="573" spans="1:4" ht="15.75" x14ac:dyDescent="0.25">
      <c r="A573" s="53"/>
      <c r="B573" s="54"/>
      <c r="C573" s="54" t="e">
        <f>VLOOKUP(A:A,'ITEM LIST'!A:C,3,0)</f>
        <v>#N/A</v>
      </c>
      <c r="D573" s="53">
        <f t="shared" si="9"/>
        <v>0</v>
      </c>
    </row>
    <row r="574" spans="1:4" ht="15.75" x14ac:dyDescent="0.25">
      <c r="A574" s="53"/>
      <c r="B574" s="54"/>
      <c r="C574" s="54" t="e">
        <f>VLOOKUP(A:A,'ITEM LIST'!A:C,3,0)</f>
        <v>#N/A</v>
      </c>
      <c r="D574" s="53">
        <f t="shared" si="9"/>
        <v>0</v>
      </c>
    </row>
    <row r="575" spans="1:4" ht="15.75" x14ac:dyDescent="0.25">
      <c r="A575" s="53"/>
      <c r="B575" s="54"/>
      <c r="C575" s="54" t="e">
        <f>VLOOKUP(A:A,'ITEM LIST'!A:C,3,0)</f>
        <v>#N/A</v>
      </c>
      <c r="D575" s="53">
        <f t="shared" si="9"/>
        <v>0</v>
      </c>
    </row>
    <row r="576" spans="1:4" ht="15.75" x14ac:dyDescent="0.25">
      <c r="A576" s="53"/>
      <c r="B576" s="54"/>
      <c r="C576" s="54" t="e">
        <f>VLOOKUP(A:A,'ITEM LIST'!A:C,3,0)</f>
        <v>#N/A</v>
      </c>
      <c r="D576" s="53">
        <f t="shared" si="9"/>
        <v>0</v>
      </c>
    </row>
    <row r="577" spans="1:4" ht="15.75" x14ac:dyDescent="0.25">
      <c r="A577" s="53"/>
      <c r="B577" s="54"/>
      <c r="C577" s="54" t="e">
        <f>VLOOKUP(A:A,'ITEM LIST'!A:C,3,0)</f>
        <v>#N/A</v>
      </c>
      <c r="D577" s="53">
        <f t="shared" si="9"/>
        <v>0</v>
      </c>
    </row>
    <row r="578" spans="1:4" ht="15.75" x14ac:dyDescent="0.25">
      <c r="A578" s="53"/>
      <c r="B578" s="54"/>
      <c r="C578" s="54" t="e">
        <f>VLOOKUP(A:A,'ITEM LIST'!A:C,3,0)</f>
        <v>#N/A</v>
      </c>
      <c r="D578" s="53">
        <f t="shared" si="9"/>
        <v>0</v>
      </c>
    </row>
    <row r="579" spans="1:4" ht="15.75" x14ac:dyDescent="0.25">
      <c r="A579" s="53"/>
      <c r="B579" s="54"/>
      <c r="C579" s="54" t="e">
        <f>VLOOKUP(A:A,'ITEM LIST'!A:C,3,0)</f>
        <v>#N/A</v>
      </c>
      <c r="D579" s="53">
        <f t="shared" si="9"/>
        <v>0</v>
      </c>
    </row>
    <row r="580" spans="1:4" ht="15.75" x14ac:dyDescent="0.25">
      <c r="A580" s="53"/>
      <c r="B580" s="54"/>
      <c r="C580" s="54" t="e">
        <f>VLOOKUP(A:A,'ITEM LIST'!A:C,3,0)</f>
        <v>#N/A</v>
      </c>
      <c r="D580" s="53">
        <f t="shared" si="9"/>
        <v>0</v>
      </c>
    </row>
    <row r="581" spans="1:4" ht="15.75" x14ac:dyDescent="0.25">
      <c r="A581" s="53"/>
      <c r="B581" s="54"/>
      <c r="C581" s="54" t="e">
        <f>VLOOKUP(A:A,'ITEM LIST'!A:C,3,0)</f>
        <v>#N/A</v>
      </c>
      <c r="D581" s="53">
        <f t="shared" si="9"/>
        <v>0</v>
      </c>
    </row>
    <row r="582" spans="1:4" ht="15.75" x14ac:dyDescent="0.25">
      <c r="A582" s="53"/>
      <c r="B582" s="54"/>
      <c r="C582" s="54" t="e">
        <f>VLOOKUP(A:A,'ITEM LIST'!A:C,3,0)</f>
        <v>#N/A</v>
      </c>
      <c r="D582" s="53">
        <f t="shared" ref="D582:D645" si="10">B582</f>
        <v>0</v>
      </c>
    </row>
    <row r="583" spans="1:4" ht="15.75" x14ac:dyDescent="0.25">
      <c r="A583" s="53"/>
      <c r="B583" s="54"/>
      <c r="C583" s="54" t="e">
        <f>VLOOKUP(A:A,'ITEM LIST'!A:C,3,0)</f>
        <v>#N/A</v>
      </c>
      <c r="D583" s="53">
        <f t="shared" si="10"/>
        <v>0</v>
      </c>
    </row>
    <row r="584" spans="1:4" ht="15.75" x14ac:dyDescent="0.25">
      <c r="A584" s="53"/>
      <c r="B584" s="54"/>
      <c r="C584" s="54" t="e">
        <f>VLOOKUP(A:A,'ITEM LIST'!A:C,3,0)</f>
        <v>#N/A</v>
      </c>
      <c r="D584" s="53">
        <f t="shared" si="10"/>
        <v>0</v>
      </c>
    </row>
    <row r="585" spans="1:4" ht="15.75" x14ac:dyDescent="0.25">
      <c r="A585" s="53"/>
      <c r="B585" s="54"/>
      <c r="C585" s="54" t="e">
        <f>VLOOKUP(A:A,'ITEM LIST'!A:C,3,0)</f>
        <v>#N/A</v>
      </c>
      <c r="D585" s="53">
        <f t="shared" si="10"/>
        <v>0</v>
      </c>
    </row>
    <row r="586" spans="1:4" ht="15.75" x14ac:dyDescent="0.25">
      <c r="A586" s="53"/>
      <c r="B586" s="54"/>
      <c r="C586" s="54" t="e">
        <f>VLOOKUP(A:A,'ITEM LIST'!A:C,3,0)</f>
        <v>#N/A</v>
      </c>
      <c r="D586" s="53">
        <f t="shared" si="10"/>
        <v>0</v>
      </c>
    </row>
    <row r="587" spans="1:4" ht="15.75" x14ac:dyDescent="0.25">
      <c r="A587" s="53"/>
      <c r="B587" s="54"/>
      <c r="C587" s="54" t="e">
        <f>VLOOKUP(A:A,'ITEM LIST'!A:C,3,0)</f>
        <v>#N/A</v>
      </c>
      <c r="D587" s="53">
        <f t="shared" si="10"/>
        <v>0</v>
      </c>
    </row>
    <row r="588" spans="1:4" ht="15.75" x14ac:dyDescent="0.25">
      <c r="A588" s="53"/>
      <c r="B588" s="54"/>
      <c r="C588" s="54" t="e">
        <f>VLOOKUP(A:A,'ITEM LIST'!A:C,3,0)</f>
        <v>#N/A</v>
      </c>
      <c r="D588" s="53">
        <f t="shared" si="10"/>
        <v>0</v>
      </c>
    </row>
    <row r="589" spans="1:4" ht="15.75" x14ac:dyDescent="0.25">
      <c r="A589" s="53"/>
      <c r="B589" s="54"/>
      <c r="C589" s="54" t="e">
        <f>VLOOKUP(A:A,'ITEM LIST'!A:C,3,0)</f>
        <v>#N/A</v>
      </c>
      <c r="D589" s="53">
        <f t="shared" si="10"/>
        <v>0</v>
      </c>
    </row>
    <row r="590" spans="1:4" ht="15.75" x14ac:dyDescent="0.25">
      <c r="A590" s="53"/>
      <c r="B590" s="54"/>
      <c r="C590" s="54" t="e">
        <f>VLOOKUP(A:A,'ITEM LIST'!A:C,3,0)</f>
        <v>#N/A</v>
      </c>
      <c r="D590" s="53">
        <f t="shared" si="10"/>
        <v>0</v>
      </c>
    </row>
    <row r="591" spans="1:4" ht="15.75" x14ac:dyDescent="0.25">
      <c r="A591" s="53"/>
      <c r="B591" s="54"/>
      <c r="C591" s="54" t="e">
        <f>VLOOKUP(A:A,'ITEM LIST'!A:C,3,0)</f>
        <v>#N/A</v>
      </c>
      <c r="D591" s="53">
        <f t="shared" si="10"/>
        <v>0</v>
      </c>
    </row>
    <row r="592" spans="1:4" ht="15.75" x14ac:dyDescent="0.25">
      <c r="A592" s="53"/>
      <c r="B592" s="54"/>
      <c r="C592" s="54" t="e">
        <f>VLOOKUP(A:A,'ITEM LIST'!A:C,3,0)</f>
        <v>#N/A</v>
      </c>
      <c r="D592" s="53">
        <f t="shared" si="10"/>
        <v>0</v>
      </c>
    </row>
    <row r="593" spans="1:4" ht="15.75" x14ac:dyDescent="0.25">
      <c r="A593" s="53"/>
      <c r="B593" s="54"/>
      <c r="C593" s="54" t="e">
        <f>VLOOKUP(A:A,'ITEM LIST'!A:C,3,0)</f>
        <v>#N/A</v>
      </c>
      <c r="D593" s="53">
        <f t="shared" si="10"/>
        <v>0</v>
      </c>
    </row>
    <row r="594" spans="1:4" ht="15.75" x14ac:dyDescent="0.25">
      <c r="A594" s="53"/>
      <c r="B594" s="54"/>
      <c r="C594" s="54" t="e">
        <f>VLOOKUP(A:A,'ITEM LIST'!A:C,3,0)</f>
        <v>#N/A</v>
      </c>
      <c r="D594" s="53">
        <f t="shared" si="10"/>
        <v>0</v>
      </c>
    </row>
    <row r="595" spans="1:4" ht="15.75" x14ac:dyDescent="0.25">
      <c r="A595" s="53"/>
      <c r="B595" s="54"/>
      <c r="C595" s="54" t="e">
        <f>VLOOKUP(A:A,'ITEM LIST'!A:C,3,0)</f>
        <v>#N/A</v>
      </c>
      <c r="D595" s="53">
        <f t="shared" si="10"/>
        <v>0</v>
      </c>
    </row>
    <row r="596" spans="1:4" ht="15.75" x14ac:dyDescent="0.25">
      <c r="A596" s="53"/>
      <c r="B596" s="54"/>
      <c r="C596" s="54" t="e">
        <f>VLOOKUP(A:A,'ITEM LIST'!A:C,3,0)</f>
        <v>#N/A</v>
      </c>
      <c r="D596" s="53">
        <f t="shared" si="10"/>
        <v>0</v>
      </c>
    </row>
    <row r="597" spans="1:4" ht="15.75" x14ac:dyDescent="0.25">
      <c r="A597" s="53"/>
      <c r="B597" s="54"/>
      <c r="C597" s="54" t="e">
        <f>VLOOKUP(A:A,'ITEM LIST'!A:C,3,0)</f>
        <v>#N/A</v>
      </c>
      <c r="D597" s="53">
        <f t="shared" si="10"/>
        <v>0</v>
      </c>
    </row>
    <row r="598" spans="1:4" ht="15.75" x14ac:dyDescent="0.25">
      <c r="A598" s="53"/>
      <c r="B598" s="54"/>
      <c r="C598" s="54" t="e">
        <f>VLOOKUP(A:A,'ITEM LIST'!A:C,3,0)</f>
        <v>#N/A</v>
      </c>
      <c r="D598" s="53">
        <f t="shared" si="10"/>
        <v>0</v>
      </c>
    </row>
    <row r="599" spans="1:4" ht="15.75" x14ac:dyDescent="0.25">
      <c r="A599" s="53"/>
      <c r="B599" s="54"/>
      <c r="C599" s="54" t="e">
        <f>VLOOKUP(A:A,'ITEM LIST'!A:C,3,0)</f>
        <v>#N/A</v>
      </c>
      <c r="D599" s="53">
        <f t="shared" si="10"/>
        <v>0</v>
      </c>
    </row>
    <row r="600" spans="1:4" ht="15.75" x14ac:dyDescent="0.25">
      <c r="A600" s="53"/>
      <c r="B600" s="54"/>
      <c r="C600" s="54" t="e">
        <f>VLOOKUP(A:A,'ITEM LIST'!A:C,3,0)</f>
        <v>#N/A</v>
      </c>
      <c r="D600" s="53">
        <f t="shared" si="10"/>
        <v>0</v>
      </c>
    </row>
    <row r="601" spans="1:4" ht="15.75" x14ac:dyDescent="0.25">
      <c r="A601" s="53"/>
      <c r="B601" s="54"/>
      <c r="C601" s="54" t="e">
        <f>VLOOKUP(A:A,'ITEM LIST'!A:C,3,0)</f>
        <v>#N/A</v>
      </c>
      <c r="D601" s="53">
        <f t="shared" si="10"/>
        <v>0</v>
      </c>
    </row>
    <row r="602" spans="1:4" ht="15.75" x14ac:dyDescent="0.25">
      <c r="A602" s="53"/>
      <c r="B602" s="54"/>
      <c r="C602" s="54" t="e">
        <f>VLOOKUP(A:A,'ITEM LIST'!A:C,3,0)</f>
        <v>#N/A</v>
      </c>
      <c r="D602" s="53">
        <f t="shared" si="10"/>
        <v>0</v>
      </c>
    </row>
    <row r="603" spans="1:4" ht="15.75" x14ac:dyDescent="0.25">
      <c r="A603" s="53"/>
      <c r="B603" s="54"/>
      <c r="C603" s="54" t="e">
        <f>VLOOKUP(A:A,'ITEM LIST'!A:C,3,0)</f>
        <v>#N/A</v>
      </c>
      <c r="D603" s="53">
        <f t="shared" si="10"/>
        <v>0</v>
      </c>
    </row>
    <row r="604" spans="1:4" ht="15.75" x14ac:dyDescent="0.25">
      <c r="A604" s="53"/>
      <c r="B604" s="54"/>
      <c r="C604" s="54" t="e">
        <f>VLOOKUP(A:A,'ITEM LIST'!A:C,3,0)</f>
        <v>#N/A</v>
      </c>
      <c r="D604" s="53">
        <f t="shared" si="10"/>
        <v>0</v>
      </c>
    </row>
    <row r="605" spans="1:4" ht="15.75" x14ac:dyDescent="0.25">
      <c r="A605" s="53"/>
      <c r="B605" s="54"/>
      <c r="C605" s="54" t="e">
        <f>VLOOKUP(A:A,'ITEM LIST'!A:C,3,0)</f>
        <v>#N/A</v>
      </c>
      <c r="D605" s="53">
        <f t="shared" si="10"/>
        <v>0</v>
      </c>
    </row>
    <row r="606" spans="1:4" ht="15.75" x14ac:dyDescent="0.25">
      <c r="A606" s="53"/>
      <c r="B606" s="54"/>
      <c r="C606" s="54" t="e">
        <f>VLOOKUP(A:A,'ITEM LIST'!A:C,3,0)</f>
        <v>#N/A</v>
      </c>
      <c r="D606" s="53">
        <f t="shared" si="10"/>
        <v>0</v>
      </c>
    </row>
    <row r="607" spans="1:4" ht="15.75" x14ac:dyDescent="0.25">
      <c r="A607" s="53"/>
      <c r="B607" s="54"/>
      <c r="C607" s="54" t="e">
        <f>VLOOKUP(A:A,'ITEM LIST'!A:C,3,0)</f>
        <v>#N/A</v>
      </c>
      <c r="D607" s="53">
        <f t="shared" si="10"/>
        <v>0</v>
      </c>
    </row>
    <row r="608" spans="1:4" ht="15.75" x14ac:dyDescent="0.25">
      <c r="A608" s="53"/>
      <c r="B608" s="54"/>
      <c r="C608" s="54" t="e">
        <f>VLOOKUP(A:A,'ITEM LIST'!A:C,3,0)</f>
        <v>#N/A</v>
      </c>
      <c r="D608" s="53">
        <f t="shared" si="10"/>
        <v>0</v>
      </c>
    </row>
    <row r="609" spans="1:4" ht="15.75" x14ac:dyDescent="0.25">
      <c r="A609" s="53"/>
      <c r="B609" s="54"/>
      <c r="C609" s="54" t="e">
        <f>VLOOKUP(A:A,'ITEM LIST'!A:C,3,0)</f>
        <v>#N/A</v>
      </c>
      <c r="D609" s="53">
        <f t="shared" si="10"/>
        <v>0</v>
      </c>
    </row>
    <row r="610" spans="1:4" ht="15.75" x14ac:dyDescent="0.25">
      <c r="A610" s="53"/>
      <c r="B610" s="54"/>
      <c r="C610" s="54" t="e">
        <f>VLOOKUP(A:A,'ITEM LIST'!A:C,3,0)</f>
        <v>#N/A</v>
      </c>
      <c r="D610" s="53">
        <f t="shared" si="10"/>
        <v>0</v>
      </c>
    </row>
    <row r="611" spans="1:4" ht="15.75" x14ac:dyDescent="0.25">
      <c r="A611" s="53"/>
      <c r="B611" s="54"/>
      <c r="C611" s="54" t="e">
        <f>VLOOKUP(A:A,'ITEM LIST'!A:C,3,0)</f>
        <v>#N/A</v>
      </c>
      <c r="D611" s="53">
        <f t="shared" si="10"/>
        <v>0</v>
      </c>
    </row>
    <row r="612" spans="1:4" ht="15.75" x14ac:dyDescent="0.25">
      <c r="A612" s="53"/>
      <c r="B612" s="54"/>
      <c r="C612" s="54" t="e">
        <f>VLOOKUP(A:A,'ITEM LIST'!A:C,3,0)</f>
        <v>#N/A</v>
      </c>
      <c r="D612" s="53">
        <f t="shared" si="10"/>
        <v>0</v>
      </c>
    </row>
    <row r="613" spans="1:4" ht="15.75" x14ac:dyDescent="0.25">
      <c r="A613" s="53"/>
      <c r="B613" s="54"/>
      <c r="C613" s="54" t="e">
        <f>VLOOKUP(A:A,'ITEM LIST'!A:C,3,0)</f>
        <v>#N/A</v>
      </c>
      <c r="D613" s="53">
        <f t="shared" si="10"/>
        <v>0</v>
      </c>
    </row>
    <row r="614" spans="1:4" ht="15.75" x14ac:dyDescent="0.25">
      <c r="A614" s="53"/>
      <c r="B614" s="54"/>
      <c r="C614" s="54" t="e">
        <f>VLOOKUP(A:A,'ITEM LIST'!A:C,3,0)</f>
        <v>#N/A</v>
      </c>
      <c r="D614" s="53">
        <f t="shared" si="10"/>
        <v>0</v>
      </c>
    </row>
    <row r="615" spans="1:4" ht="15.75" x14ac:dyDescent="0.25">
      <c r="A615" s="53"/>
      <c r="B615" s="54"/>
      <c r="C615" s="54" t="e">
        <f>VLOOKUP(A:A,'ITEM LIST'!A:C,3,0)</f>
        <v>#N/A</v>
      </c>
      <c r="D615" s="53">
        <f t="shared" si="10"/>
        <v>0</v>
      </c>
    </row>
    <row r="616" spans="1:4" ht="15.75" x14ac:dyDescent="0.25">
      <c r="A616" s="53"/>
      <c r="B616" s="54"/>
      <c r="C616" s="54" t="e">
        <f>VLOOKUP(A:A,'ITEM LIST'!A:C,3,0)</f>
        <v>#N/A</v>
      </c>
      <c r="D616" s="53">
        <f t="shared" si="10"/>
        <v>0</v>
      </c>
    </row>
    <row r="617" spans="1:4" ht="15.75" x14ac:dyDescent="0.25">
      <c r="A617" s="53"/>
      <c r="B617" s="54"/>
      <c r="C617" s="54" t="e">
        <f>VLOOKUP(A:A,'ITEM LIST'!A:C,3,0)</f>
        <v>#N/A</v>
      </c>
      <c r="D617" s="53">
        <f t="shared" si="10"/>
        <v>0</v>
      </c>
    </row>
    <row r="618" spans="1:4" ht="15.75" x14ac:dyDescent="0.25">
      <c r="A618" s="53"/>
      <c r="B618" s="54"/>
      <c r="C618" s="54" t="e">
        <f>VLOOKUP(A:A,'ITEM LIST'!A:C,3,0)</f>
        <v>#N/A</v>
      </c>
      <c r="D618" s="53">
        <f t="shared" si="10"/>
        <v>0</v>
      </c>
    </row>
    <row r="619" spans="1:4" ht="15.75" x14ac:dyDescent="0.25">
      <c r="A619" s="53"/>
      <c r="B619" s="54"/>
      <c r="C619" s="54" t="e">
        <f>VLOOKUP(A:A,'ITEM LIST'!A:C,3,0)</f>
        <v>#N/A</v>
      </c>
      <c r="D619" s="53">
        <f t="shared" si="10"/>
        <v>0</v>
      </c>
    </row>
    <row r="620" spans="1:4" ht="15.75" x14ac:dyDescent="0.25">
      <c r="A620" s="53"/>
      <c r="B620" s="54"/>
      <c r="C620" s="54" t="e">
        <f>VLOOKUP(A:A,'ITEM LIST'!A:C,3,0)</f>
        <v>#N/A</v>
      </c>
      <c r="D620" s="53">
        <f t="shared" si="10"/>
        <v>0</v>
      </c>
    </row>
    <row r="621" spans="1:4" ht="15.75" x14ac:dyDescent="0.25">
      <c r="A621" s="53"/>
      <c r="B621" s="54"/>
      <c r="C621" s="54" t="e">
        <f>VLOOKUP(A:A,'ITEM LIST'!A:C,3,0)</f>
        <v>#N/A</v>
      </c>
      <c r="D621" s="53">
        <f t="shared" si="10"/>
        <v>0</v>
      </c>
    </row>
    <row r="622" spans="1:4" ht="15.75" x14ac:dyDescent="0.25">
      <c r="A622" s="53"/>
      <c r="B622" s="54"/>
      <c r="C622" s="54" t="e">
        <f>VLOOKUP(A:A,'ITEM LIST'!A:C,3,0)</f>
        <v>#N/A</v>
      </c>
      <c r="D622" s="53">
        <f t="shared" si="10"/>
        <v>0</v>
      </c>
    </row>
    <row r="623" spans="1:4" ht="15.75" x14ac:dyDescent="0.25">
      <c r="A623" s="53"/>
      <c r="B623" s="54"/>
      <c r="C623" s="54" t="e">
        <f>VLOOKUP(A:A,'ITEM LIST'!A:C,3,0)</f>
        <v>#N/A</v>
      </c>
      <c r="D623" s="53">
        <f t="shared" si="10"/>
        <v>0</v>
      </c>
    </row>
    <row r="624" spans="1:4" ht="15.75" x14ac:dyDescent="0.25">
      <c r="A624" s="53"/>
      <c r="B624" s="54"/>
      <c r="C624" s="54" t="e">
        <f>VLOOKUP(A:A,'ITEM LIST'!A:C,3,0)</f>
        <v>#N/A</v>
      </c>
      <c r="D624" s="53">
        <f t="shared" si="10"/>
        <v>0</v>
      </c>
    </row>
    <row r="625" spans="1:4" ht="15.75" x14ac:dyDescent="0.25">
      <c r="A625" s="53"/>
      <c r="B625" s="54"/>
      <c r="C625" s="54" t="e">
        <f>VLOOKUP(A:A,'ITEM LIST'!A:C,3,0)</f>
        <v>#N/A</v>
      </c>
      <c r="D625" s="53">
        <f t="shared" si="10"/>
        <v>0</v>
      </c>
    </row>
    <row r="626" spans="1:4" ht="15.75" x14ac:dyDescent="0.25">
      <c r="A626" s="53"/>
      <c r="B626" s="54"/>
      <c r="C626" s="54" t="e">
        <f>VLOOKUP(A:A,'ITEM LIST'!A:C,3,0)</f>
        <v>#N/A</v>
      </c>
      <c r="D626" s="53">
        <f t="shared" si="10"/>
        <v>0</v>
      </c>
    </row>
    <row r="627" spans="1:4" ht="15.75" x14ac:dyDescent="0.25">
      <c r="A627" s="53"/>
      <c r="B627" s="54"/>
      <c r="C627" s="54" t="e">
        <f>VLOOKUP(A:A,'ITEM LIST'!A:C,3,0)</f>
        <v>#N/A</v>
      </c>
      <c r="D627" s="53">
        <f t="shared" si="10"/>
        <v>0</v>
      </c>
    </row>
    <row r="628" spans="1:4" ht="15.75" x14ac:dyDescent="0.25">
      <c r="A628" s="53"/>
      <c r="B628" s="54"/>
      <c r="C628" s="54" t="e">
        <f>VLOOKUP(A:A,'ITEM LIST'!A:C,3,0)</f>
        <v>#N/A</v>
      </c>
      <c r="D628" s="53">
        <f t="shared" si="10"/>
        <v>0</v>
      </c>
    </row>
    <row r="629" spans="1:4" ht="15.75" x14ac:dyDescent="0.25">
      <c r="A629" s="53"/>
      <c r="B629" s="54"/>
      <c r="C629" s="54" t="e">
        <f>VLOOKUP(A:A,'ITEM LIST'!A:C,3,0)</f>
        <v>#N/A</v>
      </c>
      <c r="D629" s="53">
        <f t="shared" si="10"/>
        <v>0</v>
      </c>
    </row>
    <row r="630" spans="1:4" ht="15.75" x14ac:dyDescent="0.25">
      <c r="A630" s="53"/>
      <c r="B630" s="54"/>
      <c r="C630" s="54" t="e">
        <f>VLOOKUP(A:A,'ITEM LIST'!A:C,3,0)</f>
        <v>#N/A</v>
      </c>
      <c r="D630" s="53">
        <f t="shared" si="10"/>
        <v>0</v>
      </c>
    </row>
    <row r="631" spans="1:4" ht="15.75" x14ac:dyDescent="0.25">
      <c r="A631" s="53"/>
      <c r="B631" s="54"/>
      <c r="C631" s="54" t="e">
        <f>VLOOKUP(A:A,'ITEM LIST'!A:C,3,0)</f>
        <v>#N/A</v>
      </c>
      <c r="D631" s="53">
        <f t="shared" si="10"/>
        <v>0</v>
      </c>
    </row>
    <row r="632" spans="1:4" ht="15.75" x14ac:dyDescent="0.25">
      <c r="A632" s="53"/>
      <c r="B632" s="54"/>
      <c r="C632" s="54" t="e">
        <f>VLOOKUP(A:A,'ITEM LIST'!A:C,3,0)</f>
        <v>#N/A</v>
      </c>
      <c r="D632" s="53">
        <f t="shared" si="10"/>
        <v>0</v>
      </c>
    </row>
    <row r="633" spans="1:4" ht="15.75" x14ac:dyDescent="0.25">
      <c r="A633" s="53"/>
      <c r="B633" s="54"/>
      <c r="C633" s="54" t="e">
        <f>VLOOKUP(A:A,'ITEM LIST'!A:C,3,0)</f>
        <v>#N/A</v>
      </c>
      <c r="D633" s="53">
        <f t="shared" si="10"/>
        <v>0</v>
      </c>
    </row>
    <row r="634" spans="1:4" ht="15.75" x14ac:dyDescent="0.25">
      <c r="A634" s="53"/>
      <c r="B634" s="54"/>
      <c r="C634" s="54" t="e">
        <f>VLOOKUP(A:A,'ITEM LIST'!A:C,3,0)</f>
        <v>#N/A</v>
      </c>
      <c r="D634" s="53">
        <f t="shared" si="10"/>
        <v>0</v>
      </c>
    </row>
    <row r="635" spans="1:4" ht="15.75" x14ac:dyDescent="0.25">
      <c r="A635" s="53"/>
      <c r="B635" s="54"/>
      <c r="C635" s="54" t="e">
        <f>VLOOKUP(A:A,'ITEM LIST'!A:C,3,0)</f>
        <v>#N/A</v>
      </c>
      <c r="D635" s="53">
        <f t="shared" si="10"/>
        <v>0</v>
      </c>
    </row>
    <row r="636" spans="1:4" ht="15.75" x14ac:dyDescent="0.25">
      <c r="A636" s="53"/>
      <c r="B636" s="54"/>
      <c r="C636" s="54" t="e">
        <f>VLOOKUP(A:A,'ITEM LIST'!A:C,3,0)</f>
        <v>#N/A</v>
      </c>
      <c r="D636" s="53">
        <f t="shared" si="10"/>
        <v>0</v>
      </c>
    </row>
    <row r="637" spans="1:4" ht="15.75" x14ac:dyDescent="0.25">
      <c r="A637" s="53"/>
      <c r="B637" s="54"/>
      <c r="C637" s="54" t="e">
        <f>VLOOKUP(A:A,'ITEM LIST'!A:C,3,0)</f>
        <v>#N/A</v>
      </c>
      <c r="D637" s="53">
        <f t="shared" si="10"/>
        <v>0</v>
      </c>
    </row>
    <row r="638" spans="1:4" ht="15.75" x14ac:dyDescent="0.25">
      <c r="A638" s="53"/>
      <c r="B638" s="54"/>
      <c r="C638" s="54" t="e">
        <f>VLOOKUP(A:A,'ITEM LIST'!A:C,3,0)</f>
        <v>#N/A</v>
      </c>
      <c r="D638" s="53">
        <f t="shared" si="10"/>
        <v>0</v>
      </c>
    </row>
    <row r="639" spans="1:4" ht="15.75" x14ac:dyDescent="0.25">
      <c r="A639" s="53"/>
      <c r="B639" s="54"/>
      <c r="C639" s="54" t="e">
        <f>VLOOKUP(A:A,'ITEM LIST'!A:C,3,0)</f>
        <v>#N/A</v>
      </c>
      <c r="D639" s="53">
        <f t="shared" si="10"/>
        <v>0</v>
      </c>
    </row>
    <row r="640" spans="1:4" ht="15.75" x14ac:dyDescent="0.25">
      <c r="A640" s="53"/>
      <c r="B640" s="54"/>
      <c r="C640" s="54" t="e">
        <f>VLOOKUP(A:A,'ITEM LIST'!A:C,3,0)</f>
        <v>#N/A</v>
      </c>
      <c r="D640" s="53">
        <f t="shared" si="10"/>
        <v>0</v>
      </c>
    </row>
    <row r="641" spans="1:4" ht="15.75" x14ac:dyDescent="0.25">
      <c r="A641" s="53"/>
      <c r="B641" s="54"/>
      <c r="C641" s="54" t="e">
        <f>VLOOKUP(A:A,'ITEM LIST'!A:C,3,0)</f>
        <v>#N/A</v>
      </c>
      <c r="D641" s="53">
        <f t="shared" si="10"/>
        <v>0</v>
      </c>
    </row>
    <row r="642" spans="1:4" ht="15.75" x14ac:dyDescent="0.25">
      <c r="A642" s="53"/>
      <c r="B642" s="54"/>
      <c r="C642" s="54" t="e">
        <f>VLOOKUP(A:A,'ITEM LIST'!A:C,3,0)</f>
        <v>#N/A</v>
      </c>
      <c r="D642" s="53">
        <f t="shared" si="10"/>
        <v>0</v>
      </c>
    </row>
    <row r="643" spans="1:4" ht="15.75" x14ac:dyDescent="0.25">
      <c r="A643" s="53"/>
      <c r="B643" s="54"/>
      <c r="C643" s="54" t="e">
        <f>VLOOKUP(A:A,'ITEM LIST'!A:C,3,0)</f>
        <v>#N/A</v>
      </c>
      <c r="D643" s="53">
        <f t="shared" si="10"/>
        <v>0</v>
      </c>
    </row>
    <row r="644" spans="1:4" ht="15.75" x14ac:dyDescent="0.25">
      <c r="A644" s="53"/>
      <c r="B644" s="54"/>
      <c r="C644" s="54" t="e">
        <f>VLOOKUP(A:A,'ITEM LIST'!A:C,3,0)</f>
        <v>#N/A</v>
      </c>
      <c r="D644" s="53">
        <f t="shared" si="10"/>
        <v>0</v>
      </c>
    </row>
    <row r="645" spans="1:4" ht="15.75" x14ac:dyDescent="0.25">
      <c r="A645" s="53"/>
      <c r="B645" s="54"/>
      <c r="C645" s="54" t="e">
        <f>VLOOKUP(A:A,'ITEM LIST'!A:C,3,0)</f>
        <v>#N/A</v>
      </c>
      <c r="D645" s="53">
        <f t="shared" si="10"/>
        <v>0</v>
      </c>
    </row>
    <row r="646" spans="1:4" ht="15.75" x14ac:dyDescent="0.25">
      <c r="A646" s="53"/>
      <c r="B646" s="54"/>
      <c r="C646" s="54" t="e">
        <f>VLOOKUP(A:A,'ITEM LIST'!A:C,3,0)</f>
        <v>#N/A</v>
      </c>
      <c r="D646" s="53">
        <f t="shared" ref="D646:D709" si="11">B646</f>
        <v>0</v>
      </c>
    </row>
    <row r="647" spans="1:4" ht="15.75" x14ac:dyDescent="0.25">
      <c r="A647" s="53"/>
      <c r="B647" s="54"/>
      <c r="C647" s="54" t="e">
        <f>VLOOKUP(A:A,'ITEM LIST'!A:C,3,0)</f>
        <v>#N/A</v>
      </c>
      <c r="D647" s="53">
        <f t="shared" si="11"/>
        <v>0</v>
      </c>
    </row>
    <row r="648" spans="1:4" ht="15.75" x14ac:dyDescent="0.25">
      <c r="A648" s="53"/>
      <c r="B648" s="54"/>
      <c r="C648" s="54" t="e">
        <f>VLOOKUP(A:A,'ITEM LIST'!A:C,3,0)</f>
        <v>#N/A</v>
      </c>
      <c r="D648" s="53">
        <f t="shared" si="11"/>
        <v>0</v>
      </c>
    </row>
    <row r="649" spans="1:4" ht="15.75" x14ac:dyDescent="0.25">
      <c r="A649" s="53"/>
      <c r="B649" s="54"/>
      <c r="C649" s="54" t="e">
        <f>VLOOKUP(A:A,'ITEM LIST'!A:C,3,0)</f>
        <v>#N/A</v>
      </c>
      <c r="D649" s="53">
        <f t="shared" si="11"/>
        <v>0</v>
      </c>
    </row>
    <row r="650" spans="1:4" ht="15.75" x14ac:dyDescent="0.25">
      <c r="A650" s="53"/>
      <c r="B650" s="54"/>
      <c r="C650" s="54" t="e">
        <f>VLOOKUP(A:A,'ITEM LIST'!A:C,3,0)</f>
        <v>#N/A</v>
      </c>
      <c r="D650" s="53">
        <f t="shared" si="11"/>
        <v>0</v>
      </c>
    </row>
    <row r="651" spans="1:4" ht="15.75" x14ac:dyDescent="0.25">
      <c r="A651" s="53"/>
      <c r="B651" s="54"/>
      <c r="C651" s="54" t="e">
        <f>VLOOKUP(A:A,'ITEM LIST'!A:C,3,0)</f>
        <v>#N/A</v>
      </c>
      <c r="D651" s="53">
        <f t="shared" si="11"/>
        <v>0</v>
      </c>
    </row>
    <row r="652" spans="1:4" ht="15.75" x14ac:dyDescent="0.25">
      <c r="A652" s="53"/>
      <c r="B652" s="54"/>
      <c r="C652" s="54" t="e">
        <f>VLOOKUP(A:A,'ITEM LIST'!A:C,3,0)</f>
        <v>#N/A</v>
      </c>
      <c r="D652" s="53">
        <f t="shared" si="11"/>
        <v>0</v>
      </c>
    </row>
    <row r="653" spans="1:4" ht="15.75" x14ac:dyDescent="0.25">
      <c r="A653" s="53"/>
      <c r="B653" s="54"/>
      <c r="C653" s="54" t="e">
        <f>VLOOKUP(A:A,'ITEM LIST'!A:C,3,0)</f>
        <v>#N/A</v>
      </c>
      <c r="D653" s="53">
        <f t="shared" si="11"/>
        <v>0</v>
      </c>
    </row>
    <row r="654" spans="1:4" ht="15.75" x14ac:dyDescent="0.25">
      <c r="A654" s="53"/>
      <c r="B654" s="54"/>
      <c r="C654" s="54" t="e">
        <f>VLOOKUP(A:A,'ITEM LIST'!A:C,3,0)</f>
        <v>#N/A</v>
      </c>
      <c r="D654" s="53">
        <f t="shared" si="11"/>
        <v>0</v>
      </c>
    </row>
    <row r="655" spans="1:4" ht="15.75" x14ac:dyDescent="0.25">
      <c r="A655" s="53"/>
      <c r="B655" s="54"/>
      <c r="C655" s="54" t="e">
        <f>VLOOKUP(A:A,'ITEM LIST'!A:C,3,0)</f>
        <v>#N/A</v>
      </c>
      <c r="D655" s="53">
        <f t="shared" si="11"/>
        <v>0</v>
      </c>
    </row>
    <row r="656" spans="1:4" ht="15.75" x14ac:dyDescent="0.25">
      <c r="A656" s="53"/>
      <c r="B656" s="54"/>
      <c r="C656" s="54" t="e">
        <f>VLOOKUP(A:A,'ITEM LIST'!A:C,3,0)</f>
        <v>#N/A</v>
      </c>
      <c r="D656" s="53">
        <f t="shared" si="11"/>
        <v>0</v>
      </c>
    </row>
    <row r="657" spans="1:4" ht="15.75" x14ac:dyDescent="0.25">
      <c r="A657" s="53"/>
      <c r="B657" s="54"/>
      <c r="C657" s="54" t="e">
        <f>VLOOKUP(A:A,'ITEM LIST'!A:C,3,0)</f>
        <v>#N/A</v>
      </c>
      <c r="D657" s="53">
        <f t="shared" si="11"/>
        <v>0</v>
      </c>
    </row>
    <row r="658" spans="1:4" ht="15.75" x14ac:dyDescent="0.25">
      <c r="A658" s="53"/>
      <c r="B658" s="54"/>
      <c r="C658" s="54" t="e">
        <f>VLOOKUP(A:A,'ITEM LIST'!A:C,3,0)</f>
        <v>#N/A</v>
      </c>
      <c r="D658" s="53">
        <f t="shared" si="11"/>
        <v>0</v>
      </c>
    </row>
    <row r="659" spans="1:4" ht="15.75" x14ac:dyDescent="0.25">
      <c r="A659" s="53"/>
      <c r="B659" s="54"/>
      <c r="C659" s="54" t="e">
        <f>VLOOKUP(A:A,'ITEM LIST'!A:C,3,0)</f>
        <v>#N/A</v>
      </c>
      <c r="D659" s="53">
        <f t="shared" si="11"/>
        <v>0</v>
      </c>
    </row>
    <row r="660" spans="1:4" ht="15.75" x14ac:dyDescent="0.25">
      <c r="A660" s="53"/>
      <c r="B660" s="54"/>
      <c r="C660" s="54" t="e">
        <f>VLOOKUP(A:A,'ITEM LIST'!A:C,3,0)</f>
        <v>#N/A</v>
      </c>
      <c r="D660" s="53">
        <f t="shared" si="11"/>
        <v>0</v>
      </c>
    </row>
    <row r="661" spans="1:4" ht="15.75" x14ac:dyDescent="0.25">
      <c r="A661" s="53"/>
      <c r="B661" s="54"/>
      <c r="C661" s="54" t="e">
        <f>VLOOKUP(A:A,'ITEM LIST'!A:C,3,0)</f>
        <v>#N/A</v>
      </c>
      <c r="D661" s="53">
        <f t="shared" si="11"/>
        <v>0</v>
      </c>
    </row>
    <row r="662" spans="1:4" ht="15.75" x14ac:dyDescent="0.25">
      <c r="A662" s="53"/>
      <c r="B662" s="54"/>
      <c r="C662" s="54" t="e">
        <f>VLOOKUP(A:A,'ITEM LIST'!A:C,3,0)</f>
        <v>#N/A</v>
      </c>
      <c r="D662" s="53">
        <f t="shared" si="11"/>
        <v>0</v>
      </c>
    </row>
    <row r="663" spans="1:4" ht="15.75" x14ac:dyDescent="0.25">
      <c r="A663" s="53"/>
      <c r="B663" s="54"/>
      <c r="C663" s="54" t="e">
        <f>VLOOKUP(A:A,'ITEM LIST'!A:C,3,0)</f>
        <v>#N/A</v>
      </c>
      <c r="D663" s="53">
        <f t="shared" si="11"/>
        <v>0</v>
      </c>
    </row>
    <row r="664" spans="1:4" ht="15.75" x14ac:dyDescent="0.25">
      <c r="A664" s="53"/>
      <c r="B664" s="54"/>
      <c r="C664" s="54" t="e">
        <f>VLOOKUP(A:A,'ITEM LIST'!A:C,3,0)</f>
        <v>#N/A</v>
      </c>
      <c r="D664" s="53">
        <f t="shared" si="11"/>
        <v>0</v>
      </c>
    </row>
    <row r="665" spans="1:4" ht="15.75" x14ac:dyDescent="0.25">
      <c r="A665" s="53"/>
      <c r="B665" s="54"/>
      <c r="C665" s="54" t="e">
        <f>VLOOKUP(A:A,'ITEM LIST'!A:C,3,0)</f>
        <v>#N/A</v>
      </c>
      <c r="D665" s="53">
        <f t="shared" si="11"/>
        <v>0</v>
      </c>
    </row>
    <row r="666" spans="1:4" ht="15.75" x14ac:dyDescent="0.25">
      <c r="A666" s="53"/>
      <c r="B666" s="54"/>
      <c r="C666" s="54" t="e">
        <f>VLOOKUP(A:A,'ITEM LIST'!A:C,3,0)</f>
        <v>#N/A</v>
      </c>
      <c r="D666" s="53">
        <f t="shared" si="11"/>
        <v>0</v>
      </c>
    </row>
    <row r="667" spans="1:4" ht="15.75" x14ac:dyDescent="0.25">
      <c r="A667" s="53"/>
      <c r="B667" s="54"/>
      <c r="C667" s="54" t="e">
        <f>VLOOKUP(A:A,'ITEM LIST'!A:C,3,0)</f>
        <v>#N/A</v>
      </c>
      <c r="D667" s="53">
        <f t="shared" si="11"/>
        <v>0</v>
      </c>
    </row>
    <row r="668" spans="1:4" ht="15.75" x14ac:dyDescent="0.25">
      <c r="A668" s="53"/>
      <c r="B668" s="54"/>
      <c r="C668" s="54" t="e">
        <f>VLOOKUP(A:A,'ITEM LIST'!A:C,3,0)</f>
        <v>#N/A</v>
      </c>
      <c r="D668" s="53">
        <f t="shared" si="11"/>
        <v>0</v>
      </c>
    </row>
    <row r="669" spans="1:4" ht="15.75" x14ac:dyDescent="0.25">
      <c r="A669" s="53"/>
      <c r="B669" s="54"/>
      <c r="C669" s="54" t="e">
        <f>VLOOKUP(A:A,'ITEM LIST'!A:C,3,0)</f>
        <v>#N/A</v>
      </c>
      <c r="D669" s="53">
        <f t="shared" si="11"/>
        <v>0</v>
      </c>
    </row>
    <row r="670" spans="1:4" ht="15.75" x14ac:dyDescent="0.25">
      <c r="A670" s="53"/>
      <c r="B670" s="54"/>
      <c r="C670" s="54" t="e">
        <f>VLOOKUP(A:A,'ITEM LIST'!A:C,3,0)</f>
        <v>#N/A</v>
      </c>
      <c r="D670" s="53">
        <f t="shared" si="11"/>
        <v>0</v>
      </c>
    </row>
    <row r="671" spans="1:4" ht="15.75" x14ac:dyDescent="0.25">
      <c r="A671" s="53"/>
      <c r="B671" s="54"/>
      <c r="C671" s="54" t="e">
        <f>VLOOKUP(A:A,'ITEM LIST'!A:C,3,0)</f>
        <v>#N/A</v>
      </c>
      <c r="D671" s="53">
        <f t="shared" si="11"/>
        <v>0</v>
      </c>
    </row>
    <row r="672" spans="1:4" ht="15.75" x14ac:dyDescent="0.25">
      <c r="A672" s="53"/>
      <c r="B672" s="54"/>
      <c r="C672" s="54" t="e">
        <f>VLOOKUP(A:A,'ITEM LIST'!A:C,3,0)</f>
        <v>#N/A</v>
      </c>
      <c r="D672" s="53">
        <f t="shared" si="11"/>
        <v>0</v>
      </c>
    </row>
    <row r="673" spans="1:4" ht="15.75" x14ac:dyDescent="0.25">
      <c r="A673" s="53"/>
      <c r="B673" s="54"/>
      <c r="C673" s="54" t="e">
        <f>VLOOKUP(A:A,'ITEM LIST'!A:C,3,0)</f>
        <v>#N/A</v>
      </c>
      <c r="D673" s="53">
        <f t="shared" si="11"/>
        <v>0</v>
      </c>
    </row>
    <row r="674" spans="1:4" ht="15.75" x14ac:dyDescent="0.25">
      <c r="A674" s="53"/>
      <c r="B674" s="54"/>
      <c r="C674" s="54" t="e">
        <f>VLOOKUP(A:A,'ITEM LIST'!A:C,3,0)</f>
        <v>#N/A</v>
      </c>
      <c r="D674" s="53">
        <f t="shared" si="11"/>
        <v>0</v>
      </c>
    </row>
    <row r="675" spans="1:4" ht="15.75" x14ac:dyDescent="0.25">
      <c r="A675" s="53"/>
      <c r="B675" s="54"/>
      <c r="C675" s="54" t="e">
        <f>VLOOKUP(A:A,'ITEM LIST'!A:C,3,0)</f>
        <v>#N/A</v>
      </c>
      <c r="D675" s="53">
        <f t="shared" si="11"/>
        <v>0</v>
      </c>
    </row>
    <row r="676" spans="1:4" ht="15.75" x14ac:dyDescent="0.25">
      <c r="A676" s="53"/>
      <c r="B676" s="54"/>
      <c r="C676" s="54" t="e">
        <f>VLOOKUP(A:A,'ITEM LIST'!A:C,3,0)</f>
        <v>#N/A</v>
      </c>
      <c r="D676" s="53">
        <f t="shared" si="11"/>
        <v>0</v>
      </c>
    </row>
    <row r="677" spans="1:4" ht="15" x14ac:dyDescent="0.25">
      <c r="C677" s="8" t="e">
        <f>VLOOKUP(A:A,'ITEM LIST'!A:C,3,0)</f>
        <v>#N/A</v>
      </c>
      <c r="D677" s="6">
        <f t="shared" si="11"/>
        <v>0</v>
      </c>
    </row>
    <row r="678" spans="1:4" ht="15" x14ac:dyDescent="0.25">
      <c r="C678" s="8" t="e">
        <f>VLOOKUP(A:A,'ITEM LIST'!A:C,3,0)</f>
        <v>#N/A</v>
      </c>
      <c r="D678" s="6">
        <f t="shared" si="11"/>
        <v>0</v>
      </c>
    </row>
    <row r="679" spans="1:4" ht="15" x14ac:dyDescent="0.25">
      <c r="C679" s="8" t="e">
        <f>VLOOKUP(A:A,'ITEM LIST'!A:C,3,0)</f>
        <v>#N/A</v>
      </c>
      <c r="D679" s="6">
        <f t="shared" si="11"/>
        <v>0</v>
      </c>
    </row>
    <row r="680" spans="1:4" ht="15" x14ac:dyDescent="0.25">
      <c r="C680" s="8" t="e">
        <f>VLOOKUP(A:A,'ITEM LIST'!A:C,3,0)</f>
        <v>#N/A</v>
      </c>
      <c r="D680" s="6">
        <f t="shared" si="11"/>
        <v>0</v>
      </c>
    </row>
    <row r="681" spans="1:4" ht="15" x14ac:dyDescent="0.25">
      <c r="C681" s="8" t="e">
        <f>VLOOKUP(A:A,'ITEM LIST'!A:C,3,0)</f>
        <v>#N/A</v>
      </c>
      <c r="D681" s="6">
        <f t="shared" si="11"/>
        <v>0</v>
      </c>
    </row>
    <row r="682" spans="1:4" ht="15" x14ac:dyDescent="0.25">
      <c r="C682" s="8" t="e">
        <f>VLOOKUP(A:A,'ITEM LIST'!A:C,3,0)</f>
        <v>#N/A</v>
      </c>
      <c r="D682" s="6">
        <f t="shared" si="11"/>
        <v>0</v>
      </c>
    </row>
    <row r="683" spans="1:4" ht="15" x14ac:dyDescent="0.25">
      <c r="C683" s="8" t="e">
        <f>VLOOKUP(A:A,'ITEM LIST'!A:C,3,0)</f>
        <v>#N/A</v>
      </c>
      <c r="D683" s="6">
        <f t="shared" si="11"/>
        <v>0</v>
      </c>
    </row>
    <row r="684" spans="1:4" ht="15" x14ac:dyDescent="0.25">
      <c r="C684" s="8" t="e">
        <f>VLOOKUP(A:A,'ITEM LIST'!A:C,3,0)</f>
        <v>#N/A</v>
      </c>
      <c r="D684" s="6">
        <f t="shared" si="11"/>
        <v>0</v>
      </c>
    </row>
    <row r="685" spans="1:4" ht="15" x14ac:dyDescent="0.25">
      <c r="C685" s="8" t="e">
        <f>VLOOKUP(A:A,'ITEM LIST'!A:C,3,0)</f>
        <v>#N/A</v>
      </c>
      <c r="D685" s="6">
        <f t="shared" si="11"/>
        <v>0</v>
      </c>
    </row>
    <row r="686" spans="1:4" ht="15" x14ac:dyDescent="0.25">
      <c r="C686" s="8" t="e">
        <f>VLOOKUP(A:A,'ITEM LIST'!A:C,3,0)</f>
        <v>#N/A</v>
      </c>
      <c r="D686" s="6">
        <f t="shared" si="11"/>
        <v>0</v>
      </c>
    </row>
    <row r="687" spans="1:4" ht="15" x14ac:dyDescent="0.25">
      <c r="C687" s="8" t="e">
        <f>VLOOKUP(A:A,'ITEM LIST'!A:C,3,0)</f>
        <v>#N/A</v>
      </c>
      <c r="D687" s="6">
        <f t="shared" si="11"/>
        <v>0</v>
      </c>
    </row>
    <row r="688" spans="1:4" ht="15" x14ac:dyDescent="0.25">
      <c r="C688" s="8" t="e">
        <f>VLOOKUP(A:A,'ITEM LIST'!A:C,3,0)</f>
        <v>#N/A</v>
      </c>
      <c r="D688" s="6">
        <f t="shared" si="11"/>
        <v>0</v>
      </c>
    </row>
    <row r="689" spans="3:4" ht="15" x14ac:dyDescent="0.25">
      <c r="C689" s="8" t="e">
        <f>VLOOKUP(A:A,'ITEM LIST'!A:C,3,0)</f>
        <v>#N/A</v>
      </c>
      <c r="D689" s="6">
        <f t="shared" si="11"/>
        <v>0</v>
      </c>
    </row>
    <row r="690" spans="3:4" ht="15" x14ac:dyDescent="0.25">
      <c r="C690" s="8" t="e">
        <f>VLOOKUP(A:A,'ITEM LIST'!A:C,3,0)</f>
        <v>#N/A</v>
      </c>
      <c r="D690" s="6">
        <f t="shared" si="11"/>
        <v>0</v>
      </c>
    </row>
    <row r="691" spans="3:4" ht="15" x14ac:dyDescent="0.25">
      <c r="C691" s="8" t="e">
        <f>VLOOKUP(A:A,'ITEM LIST'!A:C,3,0)</f>
        <v>#N/A</v>
      </c>
      <c r="D691" s="6">
        <f t="shared" si="11"/>
        <v>0</v>
      </c>
    </row>
    <row r="692" spans="3:4" ht="15" x14ac:dyDescent="0.25">
      <c r="C692" s="8" t="e">
        <f>VLOOKUP(A:A,'ITEM LIST'!A:C,3,0)</f>
        <v>#N/A</v>
      </c>
      <c r="D692" s="6">
        <f t="shared" si="11"/>
        <v>0</v>
      </c>
    </row>
    <row r="693" spans="3:4" ht="15" x14ac:dyDescent="0.25">
      <c r="C693" s="8" t="e">
        <f>VLOOKUP(A:A,'ITEM LIST'!A:C,3,0)</f>
        <v>#N/A</v>
      </c>
      <c r="D693" s="6">
        <f t="shared" si="11"/>
        <v>0</v>
      </c>
    </row>
    <row r="694" spans="3:4" ht="15" x14ac:dyDescent="0.25">
      <c r="C694" s="8" t="e">
        <f>VLOOKUP(A:A,'ITEM LIST'!A:C,3,0)</f>
        <v>#N/A</v>
      </c>
      <c r="D694" s="6">
        <f t="shared" si="11"/>
        <v>0</v>
      </c>
    </row>
    <row r="695" spans="3:4" ht="15" x14ac:dyDescent="0.25">
      <c r="C695" s="8" t="e">
        <f>VLOOKUP(A:A,'ITEM LIST'!A:C,3,0)</f>
        <v>#N/A</v>
      </c>
      <c r="D695" s="6">
        <f t="shared" si="11"/>
        <v>0</v>
      </c>
    </row>
    <row r="696" spans="3:4" ht="15" x14ac:dyDescent="0.25">
      <c r="C696" s="8" t="e">
        <f>VLOOKUP(A:A,'ITEM LIST'!A:C,3,0)</f>
        <v>#N/A</v>
      </c>
      <c r="D696" s="6">
        <f t="shared" si="11"/>
        <v>0</v>
      </c>
    </row>
    <row r="697" spans="3:4" ht="15" x14ac:dyDescent="0.25">
      <c r="C697" s="8" t="e">
        <f>VLOOKUP(A:A,'ITEM LIST'!A:C,3,0)</f>
        <v>#N/A</v>
      </c>
      <c r="D697" s="6">
        <f t="shared" si="11"/>
        <v>0</v>
      </c>
    </row>
    <row r="698" spans="3:4" ht="15" x14ac:dyDescent="0.25">
      <c r="C698" s="8" t="e">
        <f>VLOOKUP(A:A,'ITEM LIST'!A:C,3,0)</f>
        <v>#N/A</v>
      </c>
      <c r="D698" s="6">
        <f t="shared" si="11"/>
        <v>0</v>
      </c>
    </row>
    <row r="699" spans="3:4" ht="15" x14ac:dyDescent="0.25">
      <c r="C699" s="8" t="e">
        <f>VLOOKUP(A:A,'ITEM LIST'!A:C,3,0)</f>
        <v>#N/A</v>
      </c>
      <c r="D699" s="6">
        <f t="shared" si="11"/>
        <v>0</v>
      </c>
    </row>
    <row r="700" spans="3:4" ht="15" x14ac:dyDescent="0.25">
      <c r="C700" s="8" t="e">
        <f>VLOOKUP(A:A,'ITEM LIST'!A:C,3,0)</f>
        <v>#N/A</v>
      </c>
      <c r="D700" s="6">
        <f t="shared" si="11"/>
        <v>0</v>
      </c>
    </row>
    <row r="701" spans="3:4" ht="15" x14ac:dyDescent="0.25">
      <c r="C701" s="8" t="e">
        <f>VLOOKUP(A:A,'ITEM LIST'!A:C,3,0)</f>
        <v>#N/A</v>
      </c>
      <c r="D701" s="6">
        <f t="shared" si="11"/>
        <v>0</v>
      </c>
    </row>
    <row r="702" spans="3:4" ht="15" x14ac:dyDescent="0.25">
      <c r="C702" s="8" t="e">
        <f>VLOOKUP(A:A,'ITEM LIST'!A:C,3,0)</f>
        <v>#N/A</v>
      </c>
      <c r="D702" s="6">
        <f t="shared" si="11"/>
        <v>0</v>
      </c>
    </row>
    <row r="703" spans="3:4" ht="15" x14ac:dyDescent="0.25">
      <c r="C703" s="8" t="e">
        <f>VLOOKUP(A:A,'ITEM LIST'!A:C,3,0)</f>
        <v>#N/A</v>
      </c>
      <c r="D703" s="6">
        <f t="shared" si="11"/>
        <v>0</v>
      </c>
    </row>
    <row r="704" spans="3:4" ht="15" x14ac:dyDescent="0.25">
      <c r="C704" s="8" t="e">
        <f>VLOOKUP(A:A,'ITEM LIST'!A:C,3,0)</f>
        <v>#N/A</v>
      </c>
      <c r="D704" s="6">
        <f t="shared" si="11"/>
        <v>0</v>
      </c>
    </row>
    <row r="705" spans="3:4" ht="15" x14ac:dyDescent="0.25">
      <c r="C705" s="8" t="e">
        <f>VLOOKUP(A:A,'ITEM LIST'!A:C,3,0)</f>
        <v>#N/A</v>
      </c>
      <c r="D705" s="6">
        <f t="shared" si="11"/>
        <v>0</v>
      </c>
    </row>
    <row r="706" spans="3:4" ht="15" x14ac:dyDescent="0.25">
      <c r="C706" s="8" t="e">
        <f>VLOOKUP(A:A,'ITEM LIST'!A:C,3,0)</f>
        <v>#N/A</v>
      </c>
      <c r="D706" s="6">
        <f t="shared" si="11"/>
        <v>0</v>
      </c>
    </row>
    <row r="707" spans="3:4" ht="15" x14ac:dyDescent="0.25">
      <c r="C707" s="8" t="e">
        <f>VLOOKUP(A:A,'ITEM LIST'!A:C,3,0)</f>
        <v>#N/A</v>
      </c>
      <c r="D707" s="6">
        <f t="shared" si="11"/>
        <v>0</v>
      </c>
    </row>
    <row r="708" spans="3:4" ht="15" x14ac:dyDescent="0.25">
      <c r="C708" s="8" t="e">
        <f>VLOOKUP(A:A,'ITEM LIST'!A:C,3,0)</f>
        <v>#N/A</v>
      </c>
      <c r="D708" s="6">
        <f t="shared" si="11"/>
        <v>0</v>
      </c>
    </row>
    <row r="709" spans="3:4" ht="15" x14ac:dyDescent="0.25">
      <c r="C709" s="8" t="e">
        <f>VLOOKUP(A:A,'ITEM LIST'!A:C,3,0)</f>
        <v>#N/A</v>
      </c>
      <c r="D709" s="6">
        <f t="shared" si="11"/>
        <v>0</v>
      </c>
    </row>
    <row r="710" spans="3:4" ht="15" x14ac:dyDescent="0.25">
      <c r="C710" s="8" t="e">
        <f>VLOOKUP(A:A,'ITEM LIST'!A:C,3,0)</f>
        <v>#N/A</v>
      </c>
      <c r="D710" s="6">
        <f t="shared" ref="D710:D773" si="12">B710</f>
        <v>0</v>
      </c>
    </row>
    <row r="711" spans="3:4" ht="15" x14ac:dyDescent="0.25">
      <c r="C711" s="8" t="e">
        <f>VLOOKUP(A:A,'ITEM LIST'!A:C,3,0)</f>
        <v>#N/A</v>
      </c>
      <c r="D711" s="6">
        <f t="shared" si="12"/>
        <v>0</v>
      </c>
    </row>
    <row r="712" spans="3:4" ht="15" x14ac:dyDescent="0.25">
      <c r="C712" s="8" t="e">
        <f>VLOOKUP(A:A,'ITEM LIST'!A:C,3,0)</f>
        <v>#N/A</v>
      </c>
      <c r="D712" s="6">
        <f t="shared" si="12"/>
        <v>0</v>
      </c>
    </row>
    <row r="713" spans="3:4" ht="15" x14ac:dyDescent="0.25">
      <c r="C713" s="8" t="e">
        <f>VLOOKUP(A:A,'ITEM LIST'!A:C,3,0)</f>
        <v>#N/A</v>
      </c>
      <c r="D713" s="6">
        <f t="shared" si="12"/>
        <v>0</v>
      </c>
    </row>
    <row r="714" spans="3:4" ht="15" x14ac:dyDescent="0.25">
      <c r="C714" s="8" t="e">
        <f>VLOOKUP(A:A,'ITEM LIST'!A:C,3,0)</f>
        <v>#N/A</v>
      </c>
      <c r="D714" s="6">
        <f t="shared" si="12"/>
        <v>0</v>
      </c>
    </row>
    <row r="715" spans="3:4" ht="15" x14ac:dyDescent="0.25">
      <c r="C715" s="8" t="e">
        <f>VLOOKUP(A:A,'ITEM LIST'!A:C,3,0)</f>
        <v>#N/A</v>
      </c>
      <c r="D715" s="6">
        <f t="shared" si="12"/>
        <v>0</v>
      </c>
    </row>
    <row r="716" spans="3:4" ht="15" x14ac:dyDescent="0.25">
      <c r="C716" s="8" t="e">
        <f>VLOOKUP(A:A,'ITEM LIST'!A:C,3,0)</f>
        <v>#N/A</v>
      </c>
      <c r="D716" s="6">
        <f t="shared" si="12"/>
        <v>0</v>
      </c>
    </row>
    <row r="717" spans="3:4" ht="15" x14ac:dyDescent="0.25">
      <c r="C717" s="8" t="e">
        <f>VLOOKUP(A:A,'ITEM LIST'!A:C,3,0)</f>
        <v>#N/A</v>
      </c>
      <c r="D717" s="6">
        <f t="shared" si="12"/>
        <v>0</v>
      </c>
    </row>
    <row r="718" spans="3:4" ht="15" x14ac:dyDescent="0.25">
      <c r="C718" s="8" t="e">
        <f>VLOOKUP(A:A,'ITEM LIST'!A:C,3,0)</f>
        <v>#N/A</v>
      </c>
      <c r="D718" s="6">
        <f t="shared" si="12"/>
        <v>0</v>
      </c>
    </row>
    <row r="719" spans="3:4" ht="15" x14ac:dyDescent="0.25">
      <c r="C719" s="8" t="e">
        <f>VLOOKUP(A:A,'ITEM LIST'!A:C,3,0)</f>
        <v>#N/A</v>
      </c>
      <c r="D719" s="6">
        <f t="shared" si="12"/>
        <v>0</v>
      </c>
    </row>
    <row r="720" spans="3:4" ht="15" x14ac:dyDescent="0.25">
      <c r="C720" s="8" t="e">
        <f>VLOOKUP(A:A,'ITEM LIST'!A:C,3,0)</f>
        <v>#N/A</v>
      </c>
      <c r="D720" s="6">
        <f t="shared" si="12"/>
        <v>0</v>
      </c>
    </row>
    <row r="721" spans="3:4" ht="15" x14ac:dyDescent="0.25">
      <c r="C721" s="8" t="e">
        <f>VLOOKUP(A:A,'ITEM LIST'!A:C,3,0)</f>
        <v>#N/A</v>
      </c>
      <c r="D721" s="6">
        <f t="shared" si="12"/>
        <v>0</v>
      </c>
    </row>
    <row r="722" spans="3:4" ht="15" x14ac:dyDescent="0.25">
      <c r="C722" s="8" t="e">
        <f>VLOOKUP(A:A,'ITEM LIST'!A:C,3,0)</f>
        <v>#N/A</v>
      </c>
      <c r="D722" s="6">
        <f t="shared" si="12"/>
        <v>0</v>
      </c>
    </row>
    <row r="723" spans="3:4" ht="15" x14ac:dyDescent="0.25">
      <c r="C723" s="8" t="e">
        <f>VLOOKUP(A:A,'ITEM LIST'!A:C,3,0)</f>
        <v>#N/A</v>
      </c>
      <c r="D723" s="6">
        <f t="shared" si="12"/>
        <v>0</v>
      </c>
    </row>
    <row r="724" spans="3:4" ht="15" x14ac:dyDescent="0.25">
      <c r="C724" s="8" t="e">
        <f>VLOOKUP(A:A,'ITEM LIST'!A:C,3,0)</f>
        <v>#N/A</v>
      </c>
      <c r="D724" s="6">
        <f t="shared" si="12"/>
        <v>0</v>
      </c>
    </row>
    <row r="725" spans="3:4" ht="15" x14ac:dyDescent="0.25">
      <c r="C725" s="8" t="e">
        <f>VLOOKUP(A:A,'ITEM LIST'!A:C,3,0)</f>
        <v>#N/A</v>
      </c>
      <c r="D725" s="6">
        <f t="shared" si="12"/>
        <v>0</v>
      </c>
    </row>
    <row r="726" spans="3:4" ht="15" x14ac:dyDescent="0.25">
      <c r="C726" s="8" t="e">
        <f>VLOOKUP(A:A,'ITEM LIST'!A:C,3,0)</f>
        <v>#N/A</v>
      </c>
      <c r="D726" s="6">
        <f t="shared" si="12"/>
        <v>0</v>
      </c>
    </row>
    <row r="727" spans="3:4" ht="15" x14ac:dyDescent="0.25">
      <c r="C727" s="8" t="e">
        <f>VLOOKUP(A:A,'ITEM LIST'!A:C,3,0)</f>
        <v>#N/A</v>
      </c>
      <c r="D727" s="6">
        <f t="shared" si="12"/>
        <v>0</v>
      </c>
    </row>
    <row r="728" spans="3:4" ht="15" x14ac:dyDescent="0.25">
      <c r="C728" s="8" t="e">
        <f>VLOOKUP(A:A,'ITEM LIST'!A:C,3,0)</f>
        <v>#N/A</v>
      </c>
      <c r="D728" s="6">
        <f t="shared" si="12"/>
        <v>0</v>
      </c>
    </row>
    <row r="729" spans="3:4" ht="15" x14ac:dyDescent="0.25">
      <c r="C729" s="8" t="e">
        <f>VLOOKUP(A:A,'ITEM LIST'!A:C,3,0)</f>
        <v>#N/A</v>
      </c>
      <c r="D729" s="6">
        <f t="shared" si="12"/>
        <v>0</v>
      </c>
    </row>
    <row r="730" spans="3:4" ht="15" x14ac:dyDescent="0.25">
      <c r="C730" s="8" t="e">
        <f>VLOOKUP(A:A,'ITEM LIST'!A:C,3,0)</f>
        <v>#N/A</v>
      </c>
      <c r="D730" s="6">
        <f t="shared" si="12"/>
        <v>0</v>
      </c>
    </row>
    <row r="731" spans="3:4" ht="15" x14ac:dyDescent="0.25">
      <c r="C731" s="8" t="e">
        <f>VLOOKUP(A:A,'ITEM LIST'!A:C,3,0)</f>
        <v>#N/A</v>
      </c>
      <c r="D731" s="6">
        <f t="shared" si="12"/>
        <v>0</v>
      </c>
    </row>
    <row r="732" spans="3:4" ht="15" x14ac:dyDescent="0.25">
      <c r="C732" s="8" t="e">
        <f>VLOOKUP(A:A,'ITEM LIST'!A:C,3,0)</f>
        <v>#N/A</v>
      </c>
      <c r="D732" s="6">
        <f t="shared" si="12"/>
        <v>0</v>
      </c>
    </row>
    <row r="733" spans="3:4" ht="15" x14ac:dyDescent="0.25">
      <c r="C733" s="8" t="e">
        <f>VLOOKUP(A:A,'ITEM LIST'!A:C,3,0)</f>
        <v>#N/A</v>
      </c>
      <c r="D733" s="6">
        <f t="shared" si="12"/>
        <v>0</v>
      </c>
    </row>
    <row r="734" spans="3:4" ht="15" x14ac:dyDescent="0.25">
      <c r="C734" s="8" t="e">
        <f>VLOOKUP(A:A,'ITEM LIST'!A:C,3,0)</f>
        <v>#N/A</v>
      </c>
      <c r="D734" s="6">
        <f t="shared" si="12"/>
        <v>0</v>
      </c>
    </row>
    <row r="735" spans="3:4" ht="15" x14ac:dyDescent="0.25">
      <c r="C735" s="8" t="e">
        <f>VLOOKUP(A:A,'ITEM LIST'!A:C,3,0)</f>
        <v>#N/A</v>
      </c>
      <c r="D735" s="6">
        <f t="shared" si="12"/>
        <v>0</v>
      </c>
    </row>
    <row r="736" spans="3:4" ht="15" x14ac:dyDescent="0.25">
      <c r="C736" s="8" t="e">
        <f>VLOOKUP(A:A,'ITEM LIST'!A:C,3,0)</f>
        <v>#N/A</v>
      </c>
      <c r="D736" s="6">
        <f t="shared" si="12"/>
        <v>0</v>
      </c>
    </row>
    <row r="737" spans="3:4" ht="15" x14ac:dyDescent="0.25">
      <c r="C737" s="8" t="e">
        <f>VLOOKUP(A:A,'ITEM LIST'!A:C,3,0)</f>
        <v>#N/A</v>
      </c>
      <c r="D737" s="6">
        <f t="shared" si="12"/>
        <v>0</v>
      </c>
    </row>
    <row r="738" spans="3:4" ht="15" x14ac:dyDescent="0.25">
      <c r="C738" s="8" t="e">
        <f>VLOOKUP(A:A,'ITEM LIST'!A:C,3,0)</f>
        <v>#N/A</v>
      </c>
      <c r="D738" s="6">
        <f t="shared" si="12"/>
        <v>0</v>
      </c>
    </row>
    <row r="739" spans="3:4" ht="15" x14ac:dyDescent="0.25">
      <c r="C739" s="8" t="e">
        <f>VLOOKUP(A:A,'ITEM LIST'!A:C,3,0)</f>
        <v>#N/A</v>
      </c>
      <c r="D739" s="6">
        <f t="shared" si="12"/>
        <v>0</v>
      </c>
    </row>
    <row r="740" spans="3:4" ht="15" x14ac:dyDescent="0.25">
      <c r="C740" s="8" t="e">
        <f>VLOOKUP(A:A,'ITEM LIST'!A:C,3,0)</f>
        <v>#N/A</v>
      </c>
      <c r="D740" s="6">
        <f t="shared" si="12"/>
        <v>0</v>
      </c>
    </row>
    <row r="741" spans="3:4" ht="15" x14ac:dyDescent="0.25">
      <c r="C741" s="8" t="e">
        <f>VLOOKUP(A:A,'ITEM LIST'!A:C,3,0)</f>
        <v>#N/A</v>
      </c>
      <c r="D741" s="6">
        <f t="shared" si="12"/>
        <v>0</v>
      </c>
    </row>
    <row r="742" spans="3:4" ht="15" x14ac:dyDescent="0.25">
      <c r="C742" s="8" t="e">
        <f>VLOOKUP(A:A,'ITEM LIST'!A:C,3,0)</f>
        <v>#N/A</v>
      </c>
      <c r="D742" s="6">
        <f t="shared" si="12"/>
        <v>0</v>
      </c>
    </row>
    <row r="743" spans="3:4" ht="15" x14ac:dyDescent="0.25">
      <c r="C743" s="8" t="e">
        <f>VLOOKUP(A:A,'ITEM LIST'!A:C,3,0)</f>
        <v>#N/A</v>
      </c>
      <c r="D743" s="6">
        <f t="shared" si="12"/>
        <v>0</v>
      </c>
    </row>
    <row r="744" spans="3:4" ht="15" x14ac:dyDescent="0.25">
      <c r="C744" s="8" t="e">
        <f>VLOOKUP(A:A,'ITEM LIST'!A:C,3,0)</f>
        <v>#N/A</v>
      </c>
      <c r="D744" s="6">
        <f t="shared" si="12"/>
        <v>0</v>
      </c>
    </row>
    <row r="745" spans="3:4" ht="15" x14ac:dyDescent="0.25">
      <c r="C745" s="8" t="e">
        <f>VLOOKUP(A:A,'ITEM LIST'!A:C,3,0)</f>
        <v>#N/A</v>
      </c>
      <c r="D745" s="6">
        <f t="shared" si="12"/>
        <v>0</v>
      </c>
    </row>
    <row r="746" spans="3:4" ht="15" x14ac:dyDescent="0.25">
      <c r="C746" s="8" t="e">
        <f>VLOOKUP(A:A,'ITEM LIST'!A:C,3,0)</f>
        <v>#N/A</v>
      </c>
      <c r="D746" s="6">
        <f t="shared" si="12"/>
        <v>0</v>
      </c>
    </row>
    <row r="747" spans="3:4" ht="15" x14ac:dyDescent="0.25">
      <c r="C747" s="8" t="e">
        <f>VLOOKUP(A:A,'ITEM LIST'!A:C,3,0)</f>
        <v>#N/A</v>
      </c>
      <c r="D747" s="6">
        <f t="shared" si="12"/>
        <v>0</v>
      </c>
    </row>
    <row r="748" spans="3:4" ht="15" x14ac:dyDescent="0.25">
      <c r="C748" s="8" t="e">
        <f>VLOOKUP(A:A,'ITEM LIST'!A:C,3,0)</f>
        <v>#N/A</v>
      </c>
      <c r="D748" s="6">
        <f t="shared" si="12"/>
        <v>0</v>
      </c>
    </row>
    <row r="749" spans="3:4" ht="15" x14ac:dyDescent="0.25">
      <c r="C749" s="8" t="e">
        <f>VLOOKUP(A:A,'ITEM LIST'!A:C,3,0)</f>
        <v>#N/A</v>
      </c>
      <c r="D749" s="6">
        <f t="shared" si="12"/>
        <v>0</v>
      </c>
    </row>
    <row r="750" spans="3:4" ht="15" x14ac:dyDescent="0.25">
      <c r="C750" s="8" t="e">
        <f>VLOOKUP(A:A,'ITEM LIST'!A:C,3,0)</f>
        <v>#N/A</v>
      </c>
      <c r="D750" s="6">
        <f t="shared" si="12"/>
        <v>0</v>
      </c>
    </row>
    <row r="751" spans="3:4" ht="15" x14ac:dyDescent="0.25">
      <c r="C751" s="8" t="e">
        <f>VLOOKUP(A:A,'ITEM LIST'!A:C,3,0)</f>
        <v>#N/A</v>
      </c>
      <c r="D751" s="6">
        <f t="shared" si="12"/>
        <v>0</v>
      </c>
    </row>
    <row r="752" spans="3:4" ht="15" x14ac:dyDescent="0.25">
      <c r="C752" s="8" t="e">
        <f>VLOOKUP(A:A,'ITEM LIST'!A:C,3,0)</f>
        <v>#N/A</v>
      </c>
      <c r="D752" s="6">
        <f t="shared" si="12"/>
        <v>0</v>
      </c>
    </row>
    <row r="753" spans="3:4" ht="15" x14ac:dyDescent="0.25">
      <c r="C753" s="8" t="e">
        <f>VLOOKUP(A:A,'ITEM LIST'!A:C,3,0)</f>
        <v>#N/A</v>
      </c>
      <c r="D753" s="6">
        <f t="shared" si="12"/>
        <v>0</v>
      </c>
    </row>
    <row r="754" spans="3:4" ht="15" x14ac:dyDescent="0.25">
      <c r="C754" s="8" t="e">
        <f>VLOOKUP(A:A,'ITEM LIST'!A:C,3,0)</f>
        <v>#N/A</v>
      </c>
      <c r="D754" s="6">
        <f t="shared" si="12"/>
        <v>0</v>
      </c>
    </row>
    <row r="755" spans="3:4" ht="15" x14ac:dyDescent="0.25">
      <c r="C755" s="8" t="e">
        <f>VLOOKUP(A:A,'ITEM LIST'!A:C,3,0)</f>
        <v>#N/A</v>
      </c>
      <c r="D755" s="6">
        <f t="shared" si="12"/>
        <v>0</v>
      </c>
    </row>
    <row r="756" spans="3:4" ht="15" x14ac:dyDescent="0.25">
      <c r="C756" s="8" t="e">
        <f>VLOOKUP(A:A,'ITEM LIST'!A:C,3,0)</f>
        <v>#N/A</v>
      </c>
      <c r="D756" s="6">
        <f t="shared" si="12"/>
        <v>0</v>
      </c>
    </row>
    <row r="757" spans="3:4" ht="15" x14ac:dyDescent="0.25">
      <c r="C757" s="8" t="e">
        <f>VLOOKUP(A:A,'ITEM LIST'!A:C,3,0)</f>
        <v>#N/A</v>
      </c>
      <c r="D757" s="6">
        <f t="shared" si="12"/>
        <v>0</v>
      </c>
    </row>
    <row r="758" spans="3:4" ht="15" x14ac:dyDescent="0.25">
      <c r="C758" s="8" t="e">
        <f>VLOOKUP(A:A,'ITEM LIST'!A:C,3,0)</f>
        <v>#N/A</v>
      </c>
      <c r="D758" s="6">
        <f t="shared" si="12"/>
        <v>0</v>
      </c>
    </row>
    <row r="759" spans="3:4" ht="15" x14ac:dyDescent="0.25">
      <c r="C759" s="8" t="e">
        <f>VLOOKUP(A:A,'ITEM LIST'!A:C,3,0)</f>
        <v>#N/A</v>
      </c>
      <c r="D759" s="6">
        <f t="shared" si="12"/>
        <v>0</v>
      </c>
    </row>
    <row r="760" spans="3:4" ht="15" x14ac:dyDescent="0.25">
      <c r="C760" s="8" t="e">
        <f>VLOOKUP(A:A,'ITEM LIST'!A:C,3,0)</f>
        <v>#N/A</v>
      </c>
      <c r="D760" s="6">
        <f t="shared" si="12"/>
        <v>0</v>
      </c>
    </row>
    <row r="761" spans="3:4" ht="15" x14ac:dyDescent="0.25">
      <c r="C761" s="8" t="e">
        <f>VLOOKUP(A:A,'ITEM LIST'!A:C,3,0)</f>
        <v>#N/A</v>
      </c>
      <c r="D761" s="6">
        <f t="shared" si="12"/>
        <v>0</v>
      </c>
    </row>
    <row r="762" spans="3:4" ht="15" x14ac:dyDescent="0.25">
      <c r="C762" s="8" t="e">
        <f>VLOOKUP(A:A,'ITEM LIST'!A:C,3,0)</f>
        <v>#N/A</v>
      </c>
      <c r="D762" s="6">
        <f t="shared" si="12"/>
        <v>0</v>
      </c>
    </row>
    <row r="763" spans="3:4" ht="15" x14ac:dyDescent="0.25">
      <c r="C763" s="8" t="e">
        <f>VLOOKUP(A:A,'ITEM LIST'!A:C,3,0)</f>
        <v>#N/A</v>
      </c>
      <c r="D763" s="6">
        <f t="shared" si="12"/>
        <v>0</v>
      </c>
    </row>
    <row r="764" spans="3:4" ht="15" x14ac:dyDescent="0.25">
      <c r="C764" s="8" t="e">
        <f>VLOOKUP(A:A,'ITEM LIST'!A:C,3,0)</f>
        <v>#N/A</v>
      </c>
      <c r="D764" s="6">
        <f t="shared" si="12"/>
        <v>0</v>
      </c>
    </row>
    <row r="765" spans="3:4" ht="15" x14ac:dyDescent="0.25">
      <c r="C765" s="8" t="e">
        <f>VLOOKUP(A:A,'ITEM LIST'!A:C,3,0)</f>
        <v>#N/A</v>
      </c>
      <c r="D765" s="6">
        <f t="shared" si="12"/>
        <v>0</v>
      </c>
    </row>
    <row r="766" spans="3:4" ht="15" x14ac:dyDescent="0.25">
      <c r="C766" s="8" t="e">
        <f>VLOOKUP(A:A,'ITEM LIST'!A:C,3,0)</f>
        <v>#N/A</v>
      </c>
      <c r="D766" s="6">
        <f t="shared" si="12"/>
        <v>0</v>
      </c>
    </row>
    <row r="767" spans="3:4" ht="15" x14ac:dyDescent="0.25">
      <c r="C767" s="8" t="e">
        <f>VLOOKUP(A:A,'ITEM LIST'!A:C,3,0)</f>
        <v>#N/A</v>
      </c>
      <c r="D767" s="6">
        <f t="shared" si="12"/>
        <v>0</v>
      </c>
    </row>
    <row r="768" spans="3:4" ht="15" x14ac:dyDescent="0.25">
      <c r="C768" s="8" t="e">
        <f>VLOOKUP(A:A,'ITEM LIST'!A:C,3,0)</f>
        <v>#N/A</v>
      </c>
      <c r="D768" s="6">
        <f t="shared" si="12"/>
        <v>0</v>
      </c>
    </row>
    <row r="769" spans="3:4" ht="15" x14ac:dyDescent="0.25">
      <c r="C769" s="8" t="e">
        <f>VLOOKUP(A:A,'ITEM LIST'!A:C,3,0)</f>
        <v>#N/A</v>
      </c>
      <c r="D769" s="6">
        <f t="shared" si="12"/>
        <v>0</v>
      </c>
    </row>
    <row r="770" spans="3:4" ht="15" x14ac:dyDescent="0.25">
      <c r="C770" s="8" t="e">
        <f>VLOOKUP(A:A,'ITEM LIST'!A:C,3,0)</f>
        <v>#N/A</v>
      </c>
      <c r="D770" s="6">
        <f t="shared" si="12"/>
        <v>0</v>
      </c>
    </row>
    <row r="771" spans="3:4" ht="15" x14ac:dyDescent="0.25">
      <c r="C771" s="8" t="e">
        <f>VLOOKUP(A:A,'ITEM LIST'!A:C,3,0)</f>
        <v>#N/A</v>
      </c>
      <c r="D771" s="6">
        <f t="shared" si="12"/>
        <v>0</v>
      </c>
    </row>
    <row r="772" spans="3:4" ht="15" x14ac:dyDescent="0.25">
      <c r="C772" s="8" t="e">
        <f>VLOOKUP(A:A,'ITEM LIST'!A:C,3,0)</f>
        <v>#N/A</v>
      </c>
      <c r="D772" s="6">
        <f t="shared" si="12"/>
        <v>0</v>
      </c>
    </row>
    <row r="773" spans="3:4" ht="15" x14ac:dyDescent="0.25">
      <c r="C773" s="8" t="e">
        <f>VLOOKUP(A:A,'ITEM LIST'!A:C,3,0)</f>
        <v>#N/A</v>
      </c>
      <c r="D773" s="6">
        <f t="shared" si="12"/>
        <v>0</v>
      </c>
    </row>
    <row r="774" spans="3:4" ht="15" x14ac:dyDescent="0.25">
      <c r="C774" s="8" t="e">
        <f>VLOOKUP(A:A,'ITEM LIST'!A:C,3,0)</f>
        <v>#N/A</v>
      </c>
      <c r="D774" s="6">
        <f t="shared" ref="D774:D837" si="13">B774</f>
        <v>0</v>
      </c>
    </row>
    <row r="775" spans="3:4" ht="15" x14ac:dyDescent="0.25">
      <c r="C775" s="8" t="e">
        <f>VLOOKUP(A:A,'ITEM LIST'!A:C,3,0)</f>
        <v>#N/A</v>
      </c>
      <c r="D775" s="6">
        <f t="shared" si="13"/>
        <v>0</v>
      </c>
    </row>
    <row r="776" spans="3:4" ht="15" x14ac:dyDescent="0.25">
      <c r="C776" s="8" t="e">
        <f>VLOOKUP(A:A,'ITEM LIST'!A:C,3,0)</f>
        <v>#N/A</v>
      </c>
      <c r="D776" s="6">
        <f t="shared" si="13"/>
        <v>0</v>
      </c>
    </row>
    <row r="777" spans="3:4" ht="15" x14ac:dyDescent="0.25">
      <c r="C777" s="8" t="e">
        <f>VLOOKUP(A:A,'ITEM LIST'!A:C,3,0)</f>
        <v>#N/A</v>
      </c>
      <c r="D777" s="6">
        <f t="shared" si="13"/>
        <v>0</v>
      </c>
    </row>
    <row r="778" spans="3:4" ht="15" x14ac:dyDescent="0.25">
      <c r="C778" s="8" t="e">
        <f>VLOOKUP(A:A,'ITEM LIST'!A:C,3,0)</f>
        <v>#N/A</v>
      </c>
      <c r="D778" s="6">
        <f t="shared" si="13"/>
        <v>0</v>
      </c>
    </row>
    <row r="779" spans="3:4" ht="15" x14ac:dyDescent="0.25">
      <c r="C779" s="8" t="e">
        <f>VLOOKUP(A:A,'ITEM LIST'!A:C,3,0)</f>
        <v>#N/A</v>
      </c>
      <c r="D779" s="6">
        <f t="shared" si="13"/>
        <v>0</v>
      </c>
    </row>
    <row r="780" spans="3:4" ht="15" x14ac:dyDescent="0.25">
      <c r="C780" s="8" t="e">
        <f>VLOOKUP(A:A,'ITEM LIST'!A:C,3,0)</f>
        <v>#N/A</v>
      </c>
      <c r="D780" s="6">
        <f t="shared" si="13"/>
        <v>0</v>
      </c>
    </row>
    <row r="781" spans="3:4" ht="15" x14ac:dyDescent="0.25">
      <c r="C781" s="8" t="e">
        <f>VLOOKUP(A:A,'ITEM LIST'!A:C,3,0)</f>
        <v>#N/A</v>
      </c>
      <c r="D781" s="6">
        <f t="shared" si="13"/>
        <v>0</v>
      </c>
    </row>
    <row r="782" spans="3:4" ht="15" x14ac:dyDescent="0.25">
      <c r="C782" s="8" t="e">
        <f>VLOOKUP(A:A,'ITEM LIST'!A:C,3,0)</f>
        <v>#N/A</v>
      </c>
      <c r="D782" s="6">
        <f t="shared" si="13"/>
        <v>0</v>
      </c>
    </row>
    <row r="783" spans="3:4" ht="15" x14ac:dyDescent="0.25">
      <c r="C783" s="8" t="e">
        <f>VLOOKUP(A:A,'ITEM LIST'!A:C,3,0)</f>
        <v>#N/A</v>
      </c>
      <c r="D783" s="6">
        <f t="shared" si="13"/>
        <v>0</v>
      </c>
    </row>
    <row r="784" spans="3:4" ht="15" x14ac:dyDescent="0.25">
      <c r="C784" s="8" t="e">
        <f>VLOOKUP(A:A,'ITEM LIST'!A:C,3,0)</f>
        <v>#N/A</v>
      </c>
      <c r="D784" s="6">
        <f t="shared" si="13"/>
        <v>0</v>
      </c>
    </row>
    <row r="785" spans="3:4" ht="15" x14ac:dyDescent="0.25">
      <c r="C785" s="8" t="e">
        <f>VLOOKUP(A:A,'ITEM LIST'!A:C,3,0)</f>
        <v>#N/A</v>
      </c>
      <c r="D785" s="6">
        <f t="shared" si="13"/>
        <v>0</v>
      </c>
    </row>
    <row r="786" spans="3:4" ht="15" x14ac:dyDescent="0.25">
      <c r="C786" s="8" t="e">
        <f>VLOOKUP(A:A,'ITEM LIST'!A:C,3,0)</f>
        <v>#N/A</v>
      </c>
      <c r="D786" s="6">
        <f t="shared" si="13"/>
        <v>0</v>
      </c>
    </row>
    <row r="787" spans="3:4" ht="15" x14ac:dyDescent="0.25">
      <c r="C787" s="8" t="e">
        <f>VLOOKUP(A:A,'ITEM LIST'!A:C,3,0)</f>
        <v>#N/A</v>
      </c>
      <c r="D787" s="6">
        <f t="shared" si="13"/>
        <v>0</v>
      </c>
    </row>
    <row r="788" spans="3:4" ht="15" x14ac:dyDescent="0.25">
      <c r="C788" s="8" t="e">
        <f>VLOOKUP(A:A,'ITEM LIST'!A:C,3,0)</f>
        <v>#N/A</v>
      </c>
      <c r="D788" s="6">
        <f t="shared" si="13"/>
        <v>0</v>
      </c>
    </row>
    <row r="789" spans="3:4" ht="15" x14ac:dyDescent="0.25">
      <c r="C789" s="8" t="e">
        <f>VLOOKUP(A:A,'ITEM LIST'!A:C,3,0)</f>
        <v>#N/A</v>
      </c>
      <c r="D789" s="6">
        <f t="shared" si="13"/>
        <v>0</v>
      </c>
    </row>
    <row r="790" spans="3:4" ht="15" x14ac:dyDescent="0.25">
      <c r="C790" s="8" t="e">
        <f>VLOOKUP(A:A,'ITEM LIST'!A:C,3,0)</f>
        <v>#N/A</v>
      </c>
      <c r="D790" s="6">
        <f t="shared" si="13"/>
        <v>0</v>
      </c>
    </row>
    <row r="791" spans="3:4" ht="15" x14ac:dyDescent="0.25">
      <c r="C791" s="8" t="e">
        <f>VLOOKUP(A:A,'ITEM LIST'!A:C,3,0)</f>
        <v>#N/A</v>
      </c>
      <c r="D791" s="6">
        <f t="shared" si="13"/>
        <v>0</v>
      </c>
    </row>
    <row r="792" spans="3:4" ht="15" x14ac:dyDescent="0.25">
      <c r="C792" s="8" t="e">
        <f>VLOOKUP(A:A,'ITEM LIST'!A:C,3,0)</f>
        <v>#N/A</v>
      </c>
      <c r="D792" s="6">
        <f t="shared" si="13"/>
        <v>0</v>
      </c>
    </row>
    <row r="793" spans="3:4" ht="15" x14ac:dyDescent="0.25">
      <c r="C793" s="8" t="e">
        <f>VLOOKUP(A:A,'ITEM LIST'!A:C,3,0)</f>
        <v>#N/A</v>
      </c>
      <c r="D793" s="6">
        <f t="shared" si="13"/>
        <v>0</v>
      </c>
    </row>
    <row r="794" spans="3:4" ht="15" x14ac:dyDescent="0.25">
      <c r="C794" s="8" t="e">
        <f>VLOOKUP(A:A,'ITEM LIST'!A:C,3,0)</f>
        <v>#N/A</v>
      </c>
      <c r="D794" s="6">
        <f t="shared" si="13"/>
        <v>0</v>
      </c>
    </row>
    <row r="795" spans="3:4" ht="15" x14ac:dyDescent="0.25">
      <c r="C795" s="8" t="e">
        <f>VLOOKUP(A:A,'ITEM LIST'!A:C,3,0)</f>
        <v>#N/A</v>
      </c>
      <c r="D795" s="6">
        <f t="shared" si="13"/>
        <v>0</v>
      </c>
    </row>
    <row r="796" spans="3:4" ht="15" x14ac:dyDescent="0.25">
      <c r="C796" s="8" t="e">
        <f>VLOOKUP(A:A,'ITEM LIST'!A:C,3,0)</f>
        <v>#N/A</v>
      </c>
      <c r="D796" s="6">
        <f t="shared" si="13"/>
        <v>0</v>
      </c>
    </row>
    <row r="797" spans="3:4" ht="15" x14ac:dyDescent="0.25">
      <c r="C797" s="8" t="e">
        <f>VLOOKUP(A:A,'ITEM LIST'!A:C,3,0)</f>
        <v>#N/A</v>
      </c>
      <c r="D797" s="6">
        <f t="shared" si="13"/>
        <v>0</v>
      </c>
    </row>
    <row r="798" spans="3:4" ht="15" x14ac:dyDescent="0.25">
      <c r="C798" s="8" t="e">
        <f>VLOOKUP(A:A,'ITEM LIST'!A:C,3,0)</f>
        <v>#N/A</v>
      </c>
      <c r="D798" s="6">
        <f t="shared" si="13"/>
        <v>0</v>
      </c>
    </row>
    <row r="799" spans="3:4" ht="15" x14ac:dyDescent="0.25">
      <c r="C799" s="8" t="e">
        <f>VLOOKUP(A:A,'ITEM LIST'!A:C,3,0)</f>
        <v>#N/A</v>
      </c>
      <c r="D799" s="6">
        <f t="shared" si="13"/>
        <v>0</v>
      </c>
    </row>
    <row r="800" spans="3:4" ht="15" x14ac:dyDescent="0.25">
      <c r="C800" s="8" t="e">
        <f>VLOOKUP(A:A,'ITEM LIST'!A:C,3,0)</f>
        <v>#N/A</v>
      </c>
      <c r="D800" s="6">
        <f t="shared" si="13"/>
        <v>0</v>
      </c>
    </row>
    <row r="801" spans="3:4" ht="15" x14ac:dyDescent="0.25">
      <c r="C801" s="8" t="e">
        <f>VLOOKUP(A:A,'ITEM LIST'!A:C,3,0)</f>
        <v>#N/A</v>
      </c>
      <c r="D801" s="6">
        <f t="shared" si="13"/>
        <v>0</v>
      </c>
    </row>
    <row r="802" spans="3:4" ht="15" x14ac:dyDescent="0.25">
      <c r="C802" s="8" t="e">
        <f>VLOOKUP(A:A,'ITEM LIST'!A:C,3,0)</f>
        <v>#N/A</v>
      </c>
      <c r="D802" s="6">
        <f t="shared" si="13"/>
        <v>0</v>
      </c>
    </row>
    <row r="803" spans="3:4" ht="15" x14ac:dyDescent="0.25">
      <c r="C803" s="8" t="e">
        <f>VLOOKUP(A:A,'ITEM LIST'!A:C,3,0)</f>
        <v>#N/A</v>
      </c>
      <c r="D803" s="6">
        <f t="shared" si="13"/>
        <v>0</v>
      </c>
    </row>
    <row r="804" spans="3:4" ht="15" x14ac:dyDescent="0.25">
      <c r="C804" s="8" t="e">
        <f>VLOOKUP(A:A,'ITEM LIST'!A:C,3,0)</f>
        <v>#N/A</v>
      </c>
      <c r="D804" s="6">
        <f t="shared" si="13"/>
        <v>0</v>
      </c>
    </row>
    <row r="805" spans="3:4" ht="15" x14ac:dyDescent="0.25">
      <c r="C805" s="8" t="e">
        <f>VLOOKUP(A:A,'ITEM LIST'!A:C,3,0)</f>
        <v>#N/A</v>
      </c>
      <c r="D805" s="6">
        <f t="shared" si="13"/>
        <v>0</v>
      </c>
    </row>
    <row r="806" spans="3:4" ht="15" x14ac:dyDescent="0.25">
      <c r="C806" s="8" t="e">
        <f>VLOOKUP(A:A,'ITEM LIST'!A:C,3,0)</f>
        <v>#N/A</v>
      </c>
      <c r="D806" s="6">
        <f t="shared" si="13"/>
        <v>0</v>
      </c>
    </row>
    <row r="807" spans="3:4" ht="15" x14ac:dyDescent="0.25">
      <c r="C807" s="8" t="e">
        <f>VLOOKUP(A:A,'ITEM LIST'!A:C,3,0)</f>
        <v>#N/A</v>
      </c>
      <c r="D807" s="6">
        <f t="shared" si="13"/>
        <v>0</v>
      </c>
    </row>
    <row r="808" spans="3:4" ht="15" x14ac:dyDescent="0.25">
      <c r="C808" s="8" t="e">
        <f>VLOOKUP(A:A,'ITEM LIST'!A:C,3,0)</f>
        <v>#N/A</v>
      </c>
      <c r="D808" s="6">
        <f t="shared" si="13"/>
        <v>0</v>
      </c>
    </row>
    <row r="809" spans="3:4" ht="15" x14ac:dyDescent="0.25">
      <c r="C809" s="8" t="e">
        <f>VLOOKUP(A:A,'ITEM LIST'!A:C,3,0)</f>
        <v>#N/A</v>
      </c>
      <c r="D809" s="6">
        <f t="shared" si="13"/>
        <v>0</v>
      </c>
    </row>
    <row r="810" spans="3:4" ht="15" x14ac:dyDescent="0.25">
      <c r="C810" s="8" t="e">
        <f>VLOOKUP(A:A,'ITEM LIST'!A:C,3,0)</f>
        <v>#N/A</v>
      </c>
      <c r="D810" s="6">
        <f t="shared" si="13"/>
        <v>0</v>
      </c>
    </row>
    <row r="811" spans="3:4" ht="15" x14ac:dyDescent="0.25">
      <c r="C811" s="8" t="e">
        <f>VLOOKUP(A:A,'ITEM LIST'!A:C,3,0)</f>
        <v>#N/A</v>
      </c>
      <c r="D811" s="6">
        <f t="shared" si="13"/>
        <v>0</v>
      </c>
    </row>
    <row r="812" spans="3:4" ht="15" x14ac:dyDescent="0.25">
      <c r="C812" s="8" t="e">
        <f>VLOOKUP(A:A,'ITEM LIST'!A:C,3,0)</f>
        <v>#N/A</v>
      </c>
      <c r="D812" s="6">
        <f t="shared" si="13"/>
        <v>0</v>
      </c>
    </row>
    <row r="813" spans="3:4" ht="15" x14ac:dyDescent="0.25">
      <c r="C813" s="8" t="e">
        <f>VLOOKUP(A:A,'ITEM LIST'!A:C,3,0)</f>
        <v>#N/A</v>
      </c>
      <c r="D813" s="6">
        <f t="shared" si="13"/>
        <v>0</v>
      </c>
    </row>
    <row r="814" spans="3:4" ht="15" x14ac:dyDescent="0.25">
      <c r="C814" s="8" t="e">
        <f>VLOOKUP(A:A,'ITEM LIST'!A:C,3,0)</f>
        <v>#N/A</v>
      </c>
      <c r="D814" s="6">
        <f t="shared" si="13"/>
        <v>0</v>
      </c>
    </row>
    <row r="815" spans="3:4" ht="15" x14ac:dyDescent="0.25">
      <c r="C815" s="8" t="e">
        <f>VLOOKUP(A:A,'ITEM LIST'!A:C,3,0)</f>
        <v>#N/A</v>
      </c>
      <c r="D815" s="6">
        <f t="shared" si="13"/>
        <v>0</v>
      </c>
    </row>
    <row r="816" spans="3:4" ht="15" x14ac:dyDescent="0.25">
      <c r="C816" s="8" t="e">
        <f>VLOOKUP(A:A,'ITEM LIST'!A:C,3,0)</f>
        <v>#N/A</v>
      </c>
      <c r="D816" s="6">
        <f t="shared" si="13"/>
        <v>0</v>
      </c>
    </row>
    <row r="817" spans="3:4" ht="15" x14ac:dyDescent="0.25">
      <c r="C817" s="8" t="e">
        <f>VLOOKUP(A:A,'ITEM LIST'!A:C,3,0)</f>
        <v>#N/A</v>
      </c>
      <c r="D817" s="6">
        <f t="shared" si="13"/>
        <v>0</v>
      </c>
    </row>
    <row r="818" spans="3:4" ht="15" x14ac:dyDescent="0.25">
      <c r="C818" s="8" t="e">
        <f>VLOOKUP(A:A,'ITEM LIST'!A:C,3,0)</f>
        <v>#N/A</v>
      </c>
      <c r="D818" s="6">
        <f t="shared" si="13"/>
        <v>0</v>
      </c>
    </row>
    <row r="819" spans="3:4" ht="15" x14ac:dyDescent="0.25">
      <c r="C819" s="8" t="e">
        <f>VLOOKUP(A:A,'ITEM LIST'!A:C,3,0)</f>
        <v>#N/A</v>
      </c>
      <c r="D819" s="6">
        <f t="shared" si="13"/>
        <v>0</v>
      </c>
    </row>
    <row r="820" spans="3:4" ht="15" x14ac:dyDescent="0.25">
      <c r="C820" s="8" t="e">
        <f>VLOOKUP(A:A,'ITEM LIST'!A:C,3,0)</f>
        <v>#N/A</v>
      </c>
      <c r="D820" s="6">
        <f t="shared" si="13"/>
        <v>0</v>
      </c>
    </row>
    <row r="821" spans="3:4" ht="15" x14ac:dyDescent="0.25">
      <c r="C821" s="8" t="e">
        <f>VLOOKUP(A:A,'ITEM LIST'!A:C,3,0)</f>
        <v>#N/A</v>
      </c>
      <c r="D821" s="6">
        <f t="shared" si="13"/>
        <v>0</v>
      </c>
    </row>
    <row r="822" spans="3:4" ht="15" x14ac:dyDescent="0.25">
      <c r="C822" s="8" t="e">
        <f>VLOOKUP(A:A,'ITEM LIST'!A:C,3,0)</f>
        <v>#N/A</v>
      </c>
      <c r="D822" s="6">
        <f t="shared" si="13"/>
        <v>0</v>
      </c>
    </row>
    <row r="823" spans="3:4" ht="15" x14ac:dyDescent="0.25">
      <c r="C823" s="8" t="e">
        <f>VLOOKUP(A:A,'ITEM LIST'!A:C,3,0)</f>
        <v>#N/A</v>
      </c>
      <c r="D823" s="6">
        <f t="shared" si="13"/>
        <v>0</v>
      </c>
    </row>
    <row r="824" spans="3:4" ht="15" x14ac:dyDescent="0.25">
      <c r="C824" s="8" t="e">
        <f>VLOOKUP(A:A,'ITEM LIST'!A:C,3,0)</f>
        <v>#N/A</v>
      </c>
      <c r="D824" s="6">
        <f t="shared" si="13"/>
        <v>0</v>
      </c>
    </row>
    <row r="825" spans="3:4" ht="15" x14ac:dyDescent="0.25">
      <c r="C825" s="8" t="e">
        <f>VLOOKUP(A:A,'ITEM LIST'!A:C,3,0)</f>
        <v>#N/A</v>
      </c>
      <c r="D825" s="6">
        <f t="shared" si="13"/>
        <v>0</v>
      </c>
    </row>
    <row r="826" spans="3:4" ht="15" x14ac:dyDescent="0.25">
      <c r="C826" s="8" t="e">
        <f>VLOOKUP(A:A,'ITEM LIST'!A:C,3,0)</f>
        <v>#N/A</v>
      </c>
      <c r="D826" s="6">
        <f t="shared" si="13"/>
        <v>0</v>
      </c>
    </row>
    <row r="827" spans="3:4" ht="15" x14ac:dyDescent="0.25">
      <c r="C827" s="8" t="e">
        <f>VLOOKUP(A:A,'ITEM LIST'!A:C,3,0)</f>
        <v>#N/A</v>
      </c>
      <c r="D827" s="6">
        <f t="shared" si="13"/>
        <v>0</v>
      </c>
    </row>
    <row r="828" spans="3:4" ht="15" x14ac:dyDescent="0.25">
      <c r="C828" s="8" t="e">
        <f>VLOOKUP(A:A,'ITEM LIST'!A:C,3,0)</f>
        <v>#N/A</v>
      </c>
      <c r="D828" s="6">
        <f t="shared" si="13"/>
        <v>0</v>
      </c>
    </row>
    <row r="829" spans="3:4" ht="15" x14ac:dyDescent="0.25">
      <c r="C829" s="8" t="e">
        <f>VLOOKUP(A:A,'ITEM LIST'!A:C,3,0)</f>
        <v>#N/A</v>
      </c>
      <c r="D829" s="6">
        <f t="shared" si="13"/>
        <v>0</v>
      </c>
    </row>
    <row r="830" spans="3:4" ht="15" x14ac:dyDescent="0.25">
      <c r="C830" s="8" t="e">
        <f>VLOOKUP(A:A,'ITEM LIST'!A:C,3,0)</f>
        <v>#N/A</v>
      </c>
      <c r="D830" s="6">
        <f t="shared" si="13"/>
        <v>0</v>
      </c>
    </row>
    <row r="831" spans="3:4" ht="15" x14ac:dyDescent="0.25">
      <c r="C831" s="8" t="e">
        <f>VLOOKUP(A:A,'ITEM LIST'!A:C,3,0)</f>
        <v>#N/A</v>
      </c>
      <c r="D831" s="6">
        <f t="shared" si="13"/>
        <v>0</v>
      </c>
    </row>
    <row r="832" spans="3:4" ht="15" x14ac:dyDescent="0.25">
      <c r="C832" s="8" t="e">
        <f>VLOOKUP(A:A,'ITEM LIST'!A:C,3,0)</f>
        <v>#N/A</v>
      </c>
      <c r="D832" s="6">
        <f t="shared" si="13"/>
        <v>0</v>
      </c>
    </row>
    <row r="833" spans="3:4" ht="15" x14ac:dyDescent="0.25">
      <c r="C833" s="8" t="e">
        <f>VLOOKUP(A:A,'ITEM LIST'!A:C,3,0)</f>
        <v>#N/A</v>
      </c>
      <c r="D833" s="6">
        <f t="shared" si="13"/>
        <v>0</v>
      </c>
    </row>
    <row r="834" spans="3:4" ht="15" x14ac:dyDescent="0.25">
      <c r="C834" s="8" t="e">
        <f>VLOOKUP(A:A,'ITEM LIST'!A:C,3,0)</f>
        <v>#N/A</v>
      </c>
      <c r="D834" s="6">
        <f t="shared" si="13"/>
        <v>0</v>
      </c>
    </row>
    <row r="835" spans="3:4" ht="15" x14ac:dyDescent="0.25">
      <c r="C835" s="8" t="e">
        <f>VLOOKUP(A:A,'ITEM LIST'!A:C,3,0)</f>
        <v>#N/A</v>
      </c>
      <c r="D835" s="6">
        <f t="shared" si="13"/>
        <v>0</v>
      </c>
    </row>
    <row r="836" spans="3:4" ht="15" x14ac:dyDescent="0.25">
      <c r="C836" s="8" t="e">
        <f>VLOOKUP(A:A,'ITEM LIST'!A:C,3,0)</f>
        <v>#N/A</v>
      </c>
      <c r="D836" s="6">
        <f t="shared" si="13"/>
        <v>0</v>
      </c>
    </row>
    <row r="837" spans="3:4" ht="15" x14ac:dyDescent="0.25">
      <c r="C837" s="8" t="e">
        <f>VLOOKUP(A:A,'ITEM LIST'!A:C,3,0)</f>
        <v>#N/A</v>
      </c>
      <c r="D837" s="6">
        <f t="shared" si="13"/>
        <v>0</v>
      </c>
    </row>
    <row r="838" spans="3:4" ht="15" x14ac:dyDescent="0.25">
      <c r="C838" s="8" t="e">
        <f>VLOOKUP(A:A,'ITEM LIST'!A:C,3,0)</f>
        <v>#N/A</v>
      </c>
      <c r="D838" s="6">
        <f t="shared" ref="D838:D901" si="14">B838</f>
        <v>0</v>
      </c>
    </row>
    <row r="839" spans="3:4" ht="15" x14ac:dyDescent="0.25">
      <c r="C839" s="8" t="e">
        <f>VLOOKUP(A:A,'ITEM LIST'!A:C,3,0)</f>
        <v>#N/A</v>
      </c>
      <c r="D839" s="6">
        <f t="shared" si="14"/>
        <v>0</v>
      </c>
    </row>
    <row r="840" spans="3:4" ht="15" x14ac:dyDescent="0.25">
      <c r="C840" s="8" t="e">
        <f>VLOOKUP(A:A,'ITEM LIST'!A:C,3,0)</f>
        <v>#N/A</v>
      </c>
      <c r="D840" s="6">
        <f t="shared" si="14"/>
        <v>0</v>
      </c>
    </row>
    <row r="841" spans="3:4" ht="15" x14ac:dyDescent="0.25">
      <c r="C841" s="8" t="e">
        <f>VLOOKUP(A:A,'ITEM LIST'!A:C,3,0)</f>
        <v>#N/A</v>
      </c>
      <c r="D841" s="6">
        <f t="shared" si="14"/>
        <v>0</v>
      </c>
    </row>
    <row r="842" spans="3:4" ht="15" x14ac:dyDescent="0.25">
      <c r="C842" s="8" t="e">
        <f>VLOOKUP(A:A,'ITEM LIST'!A:C,3,0)</f>
        <v>#N/A</v>
      </c>
      <c r="D842" s="6">
        <f t="shared" si="14"/>
        <v>0</v>
      </c>
    </row>
    <row r="843" spans="3:4" ht="15" x14ac:dyDescent="0.25">
      <c r="C843" s="8" t="e">
        <f>VLOOKUP(A:A,'ITEM LIST'!A:C,3,0)</f>
        <v>#N/A</v>
      </c>
      <c r="D843" s="6">
        <f t="shared" si="14"/>
        <v>0</v>
      </c>
    </row>
    <row r="844" spans="3:4" ht="15" x14ac:dyDescent="0.25">
      <c r="C844" s="8" t="e">
        <f>VLOOKUP(A:A,'ITEM LIST'!A:C,3,0)</f>
        <v>#N/A</v>
      </c>
      <c r="D844" s="6">
        <f t="shared" si="14"/>
        <v>0</v>
      </c>
    </row>
    <row r="845" spans="3:4" ht="15" x14ac:dyDescent="0.25">
      <c r="C845" s="8" t="e">
        <f>VLOOKUP(A:A,'ITEM LIST'!A:C,3,0)</f>
        <v>#N/A</v>
      </c>
      <c r="D845" s="6">
        <f t="shared" si="14"/>
        <v>0</v>
      </c>
    </row>
    <row r="846" spans="3:4" ht="15" x14ac:dyDescent="0.25">
      <c r="C846" s="8" t="e">
        <f>VLOOKUP(A:A,'ITEM LIST'!A:C,3,0)</f>
        <v>#N/A</v>
      </c>
      <c r="D846" s="6">
        <f t="shared" si="14"/>
        <v>0</v>
      </c>
    </row>
    <row r="847" spans="3:4" ht="15" x14ac:dyDescent="0.25">
      <c r="C847" s="8" t="e">
        <f>VLOOKUP(A:A,'ITEM LIST'!A:C,3,0)</f>
        <v>#N/A</v>
      </c>
      <c r="D847" s="6">
        <f t="shared" si="14"/>
        <v>0</v>
      </c>
    </row>
    <row r="848" spans="3:4" ht="15" x14ac:dyDescent="0.25">
      <c r="C848" s="8" t="e">
        <f>VLOOKUP(A:A,'ITEM LIST'!A:C,3,0)</f>
        <v>#N/A</v>
      </c>
      <c r="D848" s="6">
        <f t="shared" si="14"/>
        <v>0</v>
      </c>
    </row>
    <row r="849" spans="3:4" ht="15" x14ac:dyDescent="0.25">
      <c r="C849" s="8" t="e">
        <f>VLOOKUP(A:A,'ITEM LIST'!A:C,3,0)</f>
        <v>#N/A</v>
      </c>
      <c r="D849" s="6">
        <f t="shared" si="14"/>
        <v>0</v>
      </c>
    </row>
    <row r="850" spans="3:4" ht="15" x14ac:dyDescent="0.25">
      <c r="C850" s="8" t="e">
        <f>VLOOKUP(A:A,'ITEM LIST'!A:C,3,0)</f>
        <v>#N/A</v>
      </c>
      <c r="D850" s="6">
        <f t="shared" si="14"/>
        <v>0</v>
      </c>
    </row>
    <row r="851" spans="3:4" ht="15" x14ac:dyDescent="0.25">
      <c r="C851" s="8" t="e">
        <f>VLOOKUP(A:A,'ITEM LIST'!A:C,3,0)</f>
        <v>#N/A</v>
      </c>
      <c r="D851" s="6">
        <f t="shared" si="14"/>
        <v>0</v>
      </c>
    </row>
    <row r="852" spans="3:4" ht="15" x14ac:dyDescent="0.25">
      <c r="C852" s="8" t="e">
        <f>VLOOKUP(A:A,'ITEM LIST'!A:C,3,0)</f>
        <v>#N/A</v>
      </c>
      <c r="D852" s="6">
        <f t="shared" si="14"/>
        <v>0</v>
      </c>
    </row>
    <row r="853" spans="3:4" ht="15" x14ac:dyDescent="0.25">
      <c r="C853" s="8" t="e">
        <f>VLOOKUP(A:A,'ITEM LIST'!A:C,3,0)</f>
        <v>#N/A</v>
      </c>
      <c r="D853" s="6">
        <f t="shared" si="14"/>
        <v>0</v>
      </c>
    </row>
    <row r="854" spans="3:4" ht="15" x14ac:dyDescent="0.25">
      <c r="C854" s="8" t="e">
        <f>VLOOKUP(A:A,'ITEM LIST'!A:C,3,0)</f>
        <v>#N/A</v>
      </c>
      <c r="D854" s="6">
        <f t="shared" si="14"/>
        <v>0</v>
      </c>
    </row>
    <row r="855" spans="3:4" ht="15" x14ac:dyDescent="0.25">
      <c r="C855" s="8" t="e">
        <f>VLOOKUP(A:A,'ITEM LIST'!A:C,3,0)</f>
        <v>#N/A</v>
      </c>
      <c r="D855" s="6">
        <f t="shared" si="14"/>
        <v>0</v>
      </c>
    </row>
    <row r="856" spans="3:4" ht="15" x14ac:dyDescent="0.25">
      <c r="C856" s="8" t="e">
        <f>VLOOKUP(A:A,'ITEM LIST'!A:C,3,0)</f>
        <v>#N/A</v>
      </c>
      <c r="D856" s="6">
        <f t="shared" si="14"/>
        <v>0</v>
      </c>
    </row>
    <row r="857" spans="3:4" ht="15" x14ac:dyDescent="0.25">
      <c r="C857" s="8" t="e">
        <f>VLOOKUP(A:A,'ITEM LIST'!A:C,3,0)</f>
        <v>#N/A</v>
      </c>
      <c r="D857" s="6">
        <f t="shared" si="14"/>
        <v>0</v>
      </c>
    </row>
    <row r="858" spans="3:4" ht="15" x14ac:dyDescent="0.25">
      <c r="C858" s="8" t="e">
        <f>VLOOKUP(A:A,'ITEM LIST'!A:C,3,0)</f>
        <v>#N/A</v>
      </c>
      <c r="D858" s="6">
        <f t="shared" si="14"/>
        <v>0</v>
      </c>
    </row>
    <row r="859" spans="3:4" ht="15" x14ac:dyDescent="0.25">
      <c r="C859" s="8" t="e">
        <f>VLOOKUP(A:A,'ITEM LIST'!A:C,3,0)</f>
        <v>#N/A</v>
      </c>
      <c r="D859" s="6">
        <f t="shared" si="14"/>
        <v>0</v>
      </c>
    </row>
    <row r="860" spans="3:4" ht="15" x14ac:dyDescent="0.25">
      <c r="C860" s="8" t="e">
        <f>VLOOKUP(A:A,'ITEM LIST'!A:C,3,0)</f>
        <v>#N/A</v>
      </c>
      <c r="D860" s="6">
        <f t="shared" si="14"/>
        <v>0</v>
      </c>
    </row>
    <row r="861" spans="3:4" ht="15" x14ac:dyDescent="0.25">
      <c r="C861" s="8" t="e">
        <f>VLOOKUP(A:A,'ITEM LIST'!A:C,3,0)</f>
        <v>#N/A</v>
      </c>
      <c r="D861" s="6">
        <f t="shared" si="14"/>
        <v>0</v>
      </c>
    </row>
    <row r="862" spans="3:4" ht="15" x14ac:dyDescent="0.25">
      <c r="C862" s="8" t="e">
        <f>VLOOKUP(A:A,'ITEM LIST'!A:C,3,0)</f>
        <v>#N/A</v>
      </c>
      <c r="D862" s="6">
        <f t="shared" si="14"/>
        <v>0</v>
      </c>
    </row>
    <row r="863" spans="3:4" ht="15" x14ac:dyDescent="0.25">
      <c r="C863" s="8" t="e">
        <f>VLOOKUP(A:A,'ITEM LIST'!A:C,3,0)</f>
        <v>#N/A</v>
      </c>
      <c r="D863" s="6">
        <f t="shared" si="14"/>
        <v>0</v>
      </c>
    </row>
    <row r="864" spans="3:4" ht="15" x14ac:dyDescent="0.25">
      <c r="C864" s="8" t="e">
        <f>VLOOKUP(A:A,'ITEM LIST'!A:C,3,0)</f>
        <v>#N/A</v>
      </c>
      <c r="D864" s="6">
        <f t="shared" si="14"/>
        <v>0</v>
      </c>
    </row>
    <row r="865" spans="3:4" ht="15" x14ac:dyDescent="0.25">
      <c r="C865" s="8" t="e">
        <f>VLOOKUP(A:A,'ITEM LIST'!A:C,3,0)</f>
        <v>#N/A</v>
      </c>
      <c r="D865" s="6">
        <f t="shared" si="14"/>
        <v>0</v>
      </c>
    </row>
    <row r="866" spans="3:4" ht="15" x14ac:dyDescent="0.25">
      <c r="C866" s="8" t="e">
        <f>VLOOKUP(A:A,'ITEM LIST'!A:C,3,0)</f>
        <v>#N/A</v>
      </c>
      <c r="D866" s="6">
        <f t="shared" si="14"/>
        <v>0</v>
      </c>
    </row>
    <row r="867" spans="3:4" ht="15" x14ac:dyDescent="0.25">
      <c r="C867" s="8" t="e">
        <f>VLOOKUP(A:A,'ITEM LIST'!A:C,3,0)</f>
        <v>#N/A</v>
      </c>
      <c r="D867" s="6">
        <f t="shared" si="14"/>
        <v>0</v>
      </c>
    </row>
    <row r="868" spans="3:4" ht="15" x14ac:dyDescent="0.25">
      <c r="C868" s="8" t="e">
        <f>VLOOKUP(A:A,'ITEM LIST'!A:C,3,0)</f>
        <v>#N/A</v>
      </c>
      <c r="D868" s="6">
        <f t="shared" si="14"/>
        <v>0</v>
      </c>
    </row>
    <row r="869" spans="3:4" ht="15" x14ac:dyDescent="0.25">
      <c r="C869" s="8" t="e">
        <f>VLOOKUP(A:A,'ITEM LIST'!A:C,3,0)</f>
        <v>#N/A</v>
      </c>
      <c r="D869" s="6">
        <f t="shared" si="14"/>
        <v>0</v>
      </c>
    </row>
    <row r="870" spans="3:4" ht="15" x14ac:dyDescent="0.25">
      <c r="C870" s="8" t="e">
        <f>VLOOKUP(A:A,'ITEM LIST'!A:C,3,0)</f>
        <v>#N/A</v>
      </c>
      <c r="D870" s="6">
        <f t="shared" si="14"/>
        <v>0</v>
      </c>
    </row>
    <row r="871" spans="3:4" ht="15" x14ac:dyDescent="0.25">
      <c r="C871" s="8" t="e">
        <f>VLOOKUP(A:A,'ITEM LIST'!A:C,3,0)</f>
        <v>#N/A</v>
      </c>
      <c r="D871" s="6">
        <f t="shared" si="14"/>
        <v>0</v>
      </c>
    </row>
    <row r="872" spans="3:4" ht="15" x14ac:dyDescent="0.25">
      <c r="C872" s="8" t="e">
        <f>VLOOKUP(A:A,'ITEM LIST'!A:C,3,0)</f>
        <v>#N/A</v>
      </c>
      <c r="D872" s="6">
        <f t="shared" si="14"/>
        <v>0</v>
      </c>
    </row>
    <row r="873" spans="3:4" ht="15" x14ac:dyDescent="0.25">
      <c r="C873" s="8" t="e">
        <f>VLOOKUP(A:A,'ITEM LIST'!A:C,3,0)</f>
        <v>#N/A</v>
      </c>
      <c r="D873" s="6">
        <f t="shared" si="14"/>
        <v>0</v>
      </c>
    </row>
    <row r="874" spans="3:4" ht="15" x14ac:dyDescent="0.25">
      <c r="C874" s="8" t="e">
        <f>VLOOKUP(A:A,'ITEM LIST'!A:C,3,0)</f>
        <v>#N/A</v>
      </c>
      <c r="D874" s="6">
        <f t="shared" si="14"/>
        <v>0</v>
      </c>
    </row>
    <row r="875" spans="3:4" ht="15" x14ac:dyDescent="0.25">
      <c r="C875" s="8" t="e">
        <f>VLOOKUP(A:A,'ITEM LIST'!A:C,3,0)</f>
        <v>#N/A</v>
      </c>
      <c r="D875" s="6">
        <f t="shared" si="14"/>
        <v>0</v>
      </c>
    </row>
    <row r="876" spans="3:4" ht="15" x14ac:dyDescent="0.25">
      <c r="C876" s="8" t="e">
        <f>VLOOKUP(A:A,'ITEM LIST'!A:C,3,0)</f>
        <v>#N/A</v>
      </c>
      <c r="D876" s="6">
        <f t="shared" si="14"/>
        <v>0</v>
      </c>
    </row>
    <row r="877" spans="3:4" ht="15" x14ac:dyDescent="0.25">
      <c r="C877" s="8" t="e">
        <f>VLOOKUP(A:A,'ITEM LIST'!A:C,3,0)</f>
        <v>#N/A</v>
      </c>
      <c r="D877" s="6">
        <f t="shared" si="14"/>
        <v>0</v>
      </c>
    </row>
    <row r="878" spans="3:4" ht="15" x14ac:dyDescent="0.25">
      <c r="C878" s="8" t="e">
        <f>VLOOKUP(A:A,'ITEM LIST'!A:C,3,0)</f>
        <v>#N/A</v>
      </c>
      <c r="D878" s="6">
        <f t="shared" si="14"/>
        <v>0</v>
      </c>
    </row>
    <row r="879" spans="3:4" ht="15" x14ac:dyDescent="0.25">
      <c r="C879" s="8" t="e">
        <f>VLOOKUP(A:A,'ITEM LIST'!A:C,3,0)</f>
        <v>#N/A</v>
      </c>
      <c r="D879" s="6">
        <f t="shared" si="14"/>
        <v>0</v>
      </c>
    </row>
    <row r="880" spans="3:4" ht="15" x14ac:dyDescent="0.25">
      <c r="C880" s="8" t="e">
        <f>VLOOKUP(A:A,'ITEM LIST'!A:C,3,0)</f>
        <v>#N/A</v>
      </c>
      <c r="D880" s="6">
        <f t="shared" si="14"/>
        <v>0</v>
      </c>
    </row>
    <row r="881" spans="3:4" ht="15" x14ac:dyDescent="0.25">
      <c r="C881" s="8" t="e">
        <f>VLOOKUP(A:A,'ITEM LIST'!A:C,3,0)</f>
        <v>#N/A</v>
      </c>
      <c r="D881" s="6">
        <f t="shared" si="14"/>
        <v>0</v>
      </c>
    </row>
    <row r="882" spans="3:4" ht="15" x14ac:dyDescent="0.25">
      <c r="C882" s="8" t="e">
        <f>VLOOKUP(A:A,'ITEM LIST'!A:C,3,0)</f>
        <v>#N/A</v>
      </c>
      <c r="D882" s="6">
        <f t="shared" si="14"/>
        <v>0</v>
      </c>
    </row>
    <row r="883" spans="3:4" ht="15" x14ac:dyDescent="0.25">
      <c r="C883" s="8" t="e">
        <f>VLOOKUP(A:A,'ITEM LIST'!A:C,3,0)</f>
        <v>#N/A</v>
      </c>
      <c r="D883" s="6">
        <f t="shared" si="14"/>
        <v>0</v>
      </c>
    </row>
    <row r="884" spans="3:4" ht="15" x14ac:dyDescent="0.25">
      <c r="C884" s="8" t="e">
        <f>VLOOKUP(A:A,'ITEM LIST'!A:C,3,0)</f>
        <v>#N/A</v>
      </c>
      <c r="D884" s="6">
        <f t="shared" si="14"/>
        <v>0</v>
      </c>
    </row>
    <row r="885" spans="3:4" ht="15" x14ac:dyDescent="0.25">
      <c r="C885" s="8" t="e">
        <f>VLOOKUP(A:A,'ITEM LIST'!A:C,3,0)</f>
        <v>#N/A</v>
      </c>
      <c r="D885" s="6">
        <f t="shared" si="14"/>
        <v>0</v>
      </c>
    </row>
    <row r="886" spans="3:4" ht="15" x14ac:dyDescent="0.25">
      <c r="C886" s="8" t="e">
        <f>VLOOKUP(A:A,'ITEM LIST'!A:C,3,0)</f>
        <v>#N/A</v>
      </c>
      <c r="D886" s="6">
        <f t="shared" si="14"/>
        <v>0</v>
      </c>
    </row>
    <row r="887" spans="3:4" ht="15" x14ac:dyDescent="0.25">
      <c r="C887" s="8" t="e">
        <f>VLOOKUP(A:A,'ITEM LIST'!A:C,3,0)</f>
        <v>#N/A</v>
      </c>
      <c r="D887" s="6">
        <f t="shared" si="14"/>
        <v>0</v>
      </c>
    </row>
    <row r="888" spans="3:4" ht="15" x14ac:dyDescent="0.25">
      <c r="C888" s="8" t="e">
        <f>VLOOKUP(A:A,'ITEM LIST'!A:C,3,0)</f>
        <v>#N/A</v>
      </c>
      <c r="D888" s="6">
        <f t="shared" si="14"/>
        <v>0</v>
      </c>
    </row>
    <row r="889" spans="3:4" ht="15" x14ac:dyDescent="0.25">
      <c r="C889" s="8" t="e">
        <f>VLOOKUP(A:A,'ITEM LIST'!A:C,3,0)</f>
        <v>#N/A</v>
      </c>
      <c r="D889" s="6">
        <f t="shared" si="14"/>
        <v>0</v>
      </c>
    </row>
    <row r="890" spans="3:4" ht="15" x14ac:dyDescent="0.25">
      <c r="C890" s="8" t="e">
        <f>VLOOKUP(A:A,'ITEM LIST'!A:C,3,0)</f>
        <v>#N/A</v>
      </c>
      <c r="D890" s="6">
        <f t="shared" si="14"/>
        <v>0</v>
      </c>
    </row>
    <row r="891" spans="3:4" ht="15" x14ac:dyDescent="0.25">
      <c r="C891" s="8" t="e">
        <f>VLOOKUP(A:A,'ITEM LIST'!A:C,3,0)</f>
        <v>#N/A</v>
      </c>
      <c r="D891" s="6">
        <f t="shared" si="14"/>
        <v>0</v>
      </c>
    </row>
    <row r="892" spans="3:4" ht="15" x14ac:dyDescent="0.25">
      <c r="C892" s="8" t="e">
        <f>VLOOKUP(A:A,'ITEM LIST'!A:C,3,0)</f>
        <v>#N/A</v>
      </c>
      <c r="D892" s="6">
        <f t="shared" si="14"/>
        <v>0</v>
      </c>
    </row>
    <row r="893" spans="3:4" ht="15" x14ac:dyDescent="0.25">
      <c r="C893" s="8" t="e">
        <f>VLOOKUP(A:A,'ITEM LIST'!A:C,3,0)</f>
        <v>#N/A</v>
      </c>
      <c r="D893" s="6">
        <f t="shared" si="14"/>
        <v>0</v>
      </c>
    </row>
    <row r="894" spans="3:4" ht="15" x14ac:dyDescent="0.25">
      <c r="C894" s="8" t="e">
        <f>VLOOKUP(A:A,'ITEM LIST'!A:C,3,0)</f>
        <v>#N/A</v>
      </c>
      <c r="D894" s="6">
        <f t="shared" si="14"/>
        <v>0</v>
      </c>
    </row>
    <row r="895" spans="3:4" ht="15" x14ac:dyDescent="0.25">
      <c r="C895" s="8" t="e">
        <f>VLOOKUP(A:A,'ITEM LIST'!A:C,3,0)</f>
        <v>#N/A</v>
      </c>
      <c r="D895" s="6">
        <f t="shared" si="14"/>
        <v>0</v>
      </c>
    </row>
    <row r="896" spans="3:4" ht="15" x14ac:dyDescent="0.25">
      <c r="C896" s="8" t="e">
        <f>VLOOKUP(A:A,'ITEM LIST'!A:C,3,0)</f>
        <v>#N/A</v>
      </c>
      <c r="D896" s="6">
        <f t="shared" si="14"/>
        <v>0</v>
      </c>
    </row>
    <row r="897" spans="3:4" ht="15" x14ac:dyDescent="0.25">
      <c r="C897" s="8" t="e">
        <f>VLOOKUP(A:A,'ITEM LIST'!A:C,3,0)</f>
        <v>#N/A</v>
      </c>
      <c r="D897" s="6">
        <f t="shared" si="14"/>
        <v>0</v>
      </c>
    </row>
    <row r="898" spans="3:4" ht="15" x14ac:dyDescent="0.25">
      <c r="C898" s="8" t="e">
        <f>VLOOKUP(A:A,'ITEM LIST'!A:C,3,0)</f>
        <v>#N/A</v>
      </c>
      <c r="D898" s="6">
        <f t="shared" si="14"/>
        <v>0</v>
      </c>
    </row>
    <row r="899" spans="3:4" ht="15" x14ac:dyDescent="0.25">
      <c r="C899" s="8" t="e">
        <f>VLOOKUP(A:A,'ITEM LIST'!A:C,3,0)</f>
        <v>#N/A</v>
      </c>
      <c r="D899" s="6">
        <f t="shared" si="14"/>
        <v>0</v>
      </c>
    </row>
    <row r="900" spans="3:4" ht="15" x14ac:dyDescent="0.25">
      <c r="C900" s="8" t="e">
        <f>VLOOKUP(A:A,'ITEM LIST'!A:C,3,0)</f>
        <v>#N/A</v>
      </c>
      <c r="D900" s="6">
        <f t="shared" si="14"/>
        <v>0</v>
      </c>
    </row>
    <row r="901" spans="3:4" ht="15" x14ac:dyDescent="0.25">
      <c r="C901" s="8" t="e">
        <f>VLOOKUP(A:A,'ITEM LIST'!A:C,3,0)</f>
        <v>#N/A</v>
      </c>
      <c r="D901" s="6">
        <f t="shared" si="14"/>
        <v>0</v>
      </c>
    </row>
    <row r="902" spans="3:4" ht="15" x14ac:dyDescent="0.25">
      <c r="C902" s="8" t="e">
        <f>VLOOKUP(A:A,'ITEM LIST'!A:C,3,0)</f>
        <v>#N/A</v>
      </c>
      <c r="D902" s="6">
        <f t="shared" ref="D902:D965" si="15">B902</f>
        <v>0</v>
      </c>
    </row>
    <row r="903" spans="3:4" ht="15" x14ac:dyDescent="0.25">
      <c r="C903" s="8" t="e">
        <f>VLOOKUP(A:A,'ITEM LIST'!A:C,3,0)</f>
        <v>#N/A</v>
      </c>
      <c r="D903" s="6">
        <f t="shared" si="15"/>
        <v>0</v>
      </c>
    </row>
    <row r="904" spans="3:4" ht="15" x14ac:dyDescent="0.25">
      <c r="C904" s="8" t="e">
        <f>VLOOKUP(A:A,'ITEM LIST'!A:C,3,0)</f>
        <v>#N/A</v>
      </c>
      <c r="D904" s="6">
        <f t="shared" si="15"/>
        <v>0</v>
      </c>
    </row>
    <row r="905" spans="3:4" ht="15" x14ac:dyDescent="0.25">
      <c r="C905" s="8" t="e">
        <f>VLOOKUP(A:A,'ITEM LIST'!A:C,3,0)</f>
        <v>#N/A</v>
      </c>
      <c r="D905" s="6">
        <f t="shared" si="15"/>
        <v>0</v>
      </c>
    </row>
    <row r="906" spans="3:4" ht="15" x14ac:dyDescent="0.25">
      <c r="C906" s="8" t="e">
        <f>VLOOKUP(A:A,'ITEM LIST'!A:C,3,0)</f>
        <v>#N/A</v>
      </c>
      <c r="D906" s="6">
        <f t="shared" si="15"/>
        <v>0</v>
      </c>
    </row>
    <row r="907" spans="3:4" ht="15" x14ac:dyDescent="0.25">
      <c r="C907" s="8" t="e">
        <f>VLOOKUP(A:A,'ITEM LIST'!A:C,3,0)</f>
        <v>#N/A</v>
      </c>
      <c r="D907" s="6">
        <f t="shared" si="15"/>
        <v>0</v>
      </c>
    </row>
    <row r="908" spans="3:4" ht="15" x14ac:dyDescent="0.25">
      <c r="C908" s="8" t="e">
        <f>VLOOKUP(A:A,'ITEM LIST'!A:C,3,0)</f>
        <v>#N/A</v>
      </c>
      <c r="D908" s="6">
        <f t="shared" si="15"/>
        <v>0</v>
      </c>
    </row>
    <row r="909" spans="3:4" ht="15" x14ac:dyDescent="0.25">
      <c r="C909" s="8" t="e">
        <f>VLOOKUP(A:A,'ITEM LIST'!A:C,3,0)</f>
        <v>#N/A</v>
      </c>
      <c r="D909" s="6">
        <f t="shared" si="15"/>
        <v>0</v>
      </c>
    </row>
    <row r="910" spans="3:4" ht="15" x14ac:dyDescent="0.25">
      <c r="C910" s="8" t="e">
        <f>VLOOKUP(A:A,'ITEM LIST'!A:C,3,0)</f>
        <v>#N/A</v>
      </c>
      <c r="D910" s="6">
        <f t="shared" si="15"/>
        <v>0</v>
      </c>
    </row>
    <row r="911" spans="3:4" ht="15" x14ac:dyDescent="0.25">
      <c r="C911" s="8" t="e">
        <f>VLOOKUP(A:A,'ITEM LIST'!A:C,3,0)</f>
        <v>#N/A</v>
      </c>
      <c r="D911" s="6">
        <f t="shared" si="15"/>
        <v>0</v>
      </c>
    </row>
    <row r="912" spans="3:4" ht="15" x14ac:dyDescent="0.25">
      <c r="C912" s="8" t="e">
        <f>VLOOKUP(A:A,'ITEM LIST'!A:C,3,0)</f>
        <v>#N/A</v>
      </c>
      <c r="D912" s="6">
        <f t="shared" si="15"/>
        <v>0</v>
      </c>
    </row>
    <row r="913" spans="3:4" ht="15" x14ac:dyDescent="0.25">
      <c r="C913" s="8" t="e">
        <f>VLOOKUP(A:A,'ITEM LIST'!A:C,3,0)</f>
        <v>#N/A</v>
      </c>
      <c r="D913" s="6">
        <f t="shared" si="15"/>
        <v>0</v>
      </c>
    </row>
    <row r="914" spans="3:4" ht="15" x14ac:dyDescent="0.25">
      <c r="C914" s="8" t="e">
        <f>VLOOKUP(A:A,'ITEM LIST'!A:C,3,0)</f>
        <v>#N/A</v>
      </c>
      <c r="D914" s="6">
        <f t="shared" si="15"/>
        <v>0</v>
      </c>
    </row>
    <row r="915" spans="3:4" ht="15" x14ac:dyDescent="0.25">
      <c r="C915" s="8" t="e">
        <f>VLOOKUP(A:A,'ITEM LIST'!A:C,3,0)</f>
        <v>#N/A</v>
      </c>
      <c r="D915" s="6">
        <f t="shared" si="15"/>
        <v>0</v>
      </c>
    </row>
    <row r="916" spans="3:4" ht="15" x14ac:dyDescent="0.25">
      <c r="C916" s="8" t="e">
        <f>VLOOKUP(A:A,'ITEM LIST'!A:C,3,0)</f>
        <v>#N/A</v>
      </c>
      <c r="D916" s="6">
        <f t="shared" si="15"/>
        <v>0</v>
      </c>
    </row>
    <row r="917" spans="3:4" ht="15" x14ac:dyDescent="0.25">
      <c r="C917" s="8" t="e">
        <f>VLOOKUP(A:A,'ITEM LIST'!A:C,3,0)</f>
        <v>#N/A</v>
      </c>
      <c r="D917" s="6">
        <f t="shared" si="15"/>
        <v>0</v>
      </c>
    </row>
    <row r="918" spans="3:4" ht="15" x14ac:dyDescent="0.25">
      <c r="C918" s="8" t="e">
        <f>VLOOKUP(A:A,'ITEM LIST'!A:C,3,0)</f>
        <v>#N/A</v>
      </c>
      <c r="D918" s="6">
        <f t="shared" si="15"/>
        <v>0</v>
      </c>
    </row>
    <row r="919" spans="3:4" ht="15" x14ac:dyDescent="0.25">
      <c r="C919" s="8" t="e">
        <f>VLOOKUP(A:A,'ITEM LIST'!A:C,3,0)</f>
        <v>#N/A</v>
      </c>
      <c r="D919" s="6">
        <f t="shared" si="15"/>
        <v>0</v>
      </c>
    </row>
    <row r="920" spans="3:4" ht="15" x14ac:dyDescent="0.25">
      <c r="C920" s="8" t="e">
        <f>VLOOKUP(A:A,'ITEM LIST'!A:C,3,0)</f>
        <v>#N/A</v>
      </c>
      <c r="D920" s="6">
        <f t="shared" si="15"/>
        <v>0</v>
      </c>
    </row>
    <row r="921" spans="3:4" ht="15" x14ac:dyDescent="0.25">
      <c r="C921" s="8" t="e">
        <f>VLOOKUP(A:A,'ITEM LIST'!A:C,3,0)</f>
        <v>#N/A</v>
      </c>
      <c r="D921" s="6">
        <f t="shared" si="15"/>
        <v>0</v>
      </c>
    </row>
    <row r="922" spans="3:4" ht="15" x14ac:dyDescent="0.25">
      <c r="C922" s="8" t="e">
        <f>VLOOKUP(A:A,'ITEM LIST'!A:C,3,0)</f>
        <v>#N/A</v>
      </c>
      <c r="D922" s="6">
        <f t="shared" si="15"/>
        <v>0</v>
      </c>
    </row>
    <row r="923" spans="3:4" ht="15" x14ac:dyDescent="0.25">
      <c r="C923" s="8" t="e">
        <f>VLOOKUP(A:A,'ITEM LIST'!A:C,3,0)</f>
        <v>#N/A</v>
      </c>
      <c r="D923" s="6">
        <f t="shared" si="15"/>
        <v>0</v>
      </c>
    </row>
    <row r="924" spans="3:4" ht="15" x14ac:dyDescent="0.25">
      <c r="C924" s="8" t="e">
        <f>VLOOKUP(A:A,'ITEM LIST'!A:C,3,0)</f>
        <v>#N/A</v>
      </c>
      <c r="D924" s="6">
        <f t="shared" si="15"/>
        <v>0</v>
      </c>
    </row>
    <row r="925" spans="3:4" ht="15" x14ac:dyDescent="0.25">
      <c r="C925" s="8" t="e">
        <f>VLOOKUP(A:A,'ITEM LIST'!A:C,3,0)</f>
        <v>#N/A</v>
      </c>
      <c r="D925" s="6">
        <f t="shared" si="15"/>
        <v>0</v>
      </c>
    </row>
    <row r="926" spans="3:4" ht="15" x14ac:dyDescent="0.25">
      <c r="C926" s="8" t="e">
        <f>VLOOKUP(A:A,'ITEM LIST'!A:C,3,0)</f>
        <v>#N/A</v>
      </c>
      <c r="D926" s="6">
        <f t="shared" si="15"/>
        <v>0</v>
      </c>
    </row>
    <row r="927" spans="3:4" ht="15" x14ac:dyDescent="0.25">
      <c r="C927" s="8" t="e">
        <f>VLOOKUP(A:A,'ITEM LIST'!A:C,3,0)</f>
        <v>#N/A</v>
      </c>
      <c r="D927" s="6">
        <f t="shared" si="15"/>
        <v>0</v>
      </c>
    </row>
    <row r="928" spans="3:4" ht="15" x14ac:dyDescent="0.25">
      <c r="C928" s="8" t="e">
        <f>VLOOKUP(A:A,'ITEM LIST'!A:C,3,0)</f>
        <v>#N/A</v>
      </c>
      <c r="D928" s="6">
        <f t="shared" si="15"/>
        <v>0</v>
      </c>
    </row>
    <row r="929" spans="3:4" ht="15" x14ac:dyDescent="0.25">
      <c r="C929" s="8" t="e">
        <f>VLOOKUP(A:A,'ITEM LIST'!A:C,3,0)</f>
        <v>#N/A</v>
      </c>
      <c r="D929" s="6">
        <f t="shared" si="15"/>
        <v>0</v>
      </c>
    </row>
    <row r="930" spans="3:4" ht="15" x14ac:dyDescent="0.25">
      <c r="C930" s="8" t="e">
        <f>VLOOKUP(A:A,'ITEM LIST'!A:C,3,0)</f>
        <v>#N/A</v>
      </c>
      <c r="D930" s="6">
        <f t="shared" si="15"/>
        <v>0</v>
      </c>
    </row>
    <row r="931" spans="3:4" ht="15" x14ac:dyDescent="0.25">
      <c r="C931" s="8" t="e">
        <f>VLOOKUP(A:A,'ITEM LIST'!A:C,3,0)</f>
        <v>#N/A</v>
      </c>
      <c r="D931" s="6">
        <f t="shared" si="15"/>
        <v>0</v>
      </c>
    </row>
    <row r="932" spans="3:4" ht="15" x14ac:dyDescent="0.25">
      <c r="C932" s="8" t="e">
        <f>VLOOKUP(A:A,'ITEM LIST'!A:C,3,0)</f>
        <v>#N/A</v>
      </c>
      <c r="D932" s="6">
        <f t="shared" si="15"/>
        <v>0</v>
      </c>
    </row>
    <row r="933" spans="3:4" ht="15" x14ac:dyDescent="0.25">
      <c r="C933" s="8" t="e">
        <f>VLOOKUP(A:A,'ITEM LIST'!A:C,3,0)</f>
        <v>#N/A</v>
      </c>
      <c r="D933" s="6">
        <f t="shared" si="15"/>
        <v>0</v>
      </c>
    </row>
    <row r="934" spans="3:4" ht="15" x14ac:dyDescent="0.25">
      <c r="C934" s="8" t="e">
        <f>VLOOKUP(A:A,'ITEM LIST'!A:C,3,0)</f>
        <v>#N/A</v>
      </c>
      <c r="D934" s="6">
        <f t="shared" si="15"/>
        <v>0</v>
      </c>
    </row>
    <row r="935" spans="3:4" ht="15" x14ac:dyDescent="0.25">
      <c r="C935" s="8" t="e">
        <f>VLOOKUP(A:A,'ITEM LIST'!A:C,3,0)</f>
        <v>#N/A</v>
      </c>
      <c r="D935" s="6">
        <f t="shared" si="15"/>
        <v>0</v>
      </c>
    </row>
    <row r="936" spans="3:4" ht="15" x14ac:dyDescent="0.25">
      <c r="C936" s="8" t="e">
        <f>VLOOKUP(A:A,'ITEM LIST'!A:C,3,0)</f>
        <v>#N/A</v>
      </c>
      <c r="D936" s="6">
        <f t="shared" si="15"/>
        <v>0</v>
      </c>
    </row>
    <row r="937" spans="3:4" ht="15" x14ac:dyDescent="0.25">
      <c r="C937" s="8" t="e">
        <f>VLOOKUP(A:A,'ITEM LIST'!A:C,3,0)</f>
        <v>#N/A</v>
      </c>
      <c r="D937" s="6">
        <f t="shared" si="15"/>
        <v>0</v>
      </c>
    </row>
    <row r="938" spans="3:4" ht="15" x14ac:dyDescent="0.25">
      <c r="C938" s="8" t="e">
        <f>VLOOKUP(A:A,'ITEM LIST'!A:C,3,0)</f>
        <v>#N/A</v>
      </c>
      <c r="D938" s="6">
        <f t="shared" si="15"/>
        <v>0</v>
      </c>
    </row>
    <row r="939" spans="3:4" ht="15" x14ac:dyDescent="0.25">
      <c r="C939" s="8" t="e">
        <f>VLOOKUP(A:A,'ITEM LIST'!A:C,3,0)</f>
        <v>#N/A</v>
      </c>
      <c r="D939" s="6">
        <f t="shared" si="15"/>
        <v>0</v>
      </c>
    </row>
    <row r="940" spans="3:4" ht="15" x14ac:dyDescent="0.25">
      <c r="C940" s="8" t="e">
        <f>VLOOKUP(A:A,'ITEM LIST'!A:C,3,0)</f>
        <v>#N/A</v>
      </c>
      <c r="D940" s="6">
        <f t="shared" si="15"/>
        <v>0</v>
      </c>
    </row>
    <row r="941" spans="3:4" ht="15" x14ac:dyDescent="0.25">
      <c r="C941" s="8" t="e">
        <f>VLOOKUP(A:A,'ITEM LIST'!A:C,3,0)</f>
        <v>#N/A</v>
      </c>
      <c r="D941" s="6">
        <f t="shared" si="15"/>
        <v>0</v>
      </c>
    </row>
    <row r="942" spans="3:4" ht="15" x14ac:dyDescent="0.25">
      <c r="C942" s="8" t="e">
        <f>VLOOKUP(A:A,'ITEM LIST'!A:C,3,0)</f>
        <v>#N/A</v>
      </c>
      <c r="D942" s="6">
        <f t="shared" si="15"/>
        <v>0</v>
      </c>
    </row>
    <row r="943" spans="3:4" ht="15" x14ac:dyDescent="0.25">
      <c r="C943" s="8" t="e">
        <f>VLOOKUP(A:A,'ITEM LIST'!A:C,3,0)</f>
        <v>#N/A</v>
      </c>
      <c r="D943" s="6">
        <f t="shared" si="15"/>
        <v>0</v>
      </c>
    </row>
    <row r="944" spans="3:4" ht="15" x14ac:dyDescent="0.25">
      <c r="C944" s="8" t="e">
        <f>VLOOKUP(A:A,'ITEM LIST'!A:C,3,0)</f>
        <v>#N/A</v>
      </c>
      <c r="D944" s="6">
        <f t="shared" si="15"/>
        <v>0</v>
      </c>
    </row>
    <row r="945" spans="3:4" ht="15" x14ac:dyDescent="0.25">
      <c r="C945" s="8" t="e">
        <f>VLOOKUP(A:A,'ITEM LIST'!A:C,3,0)</f>
        <v>#N/A</v>
      </c>
      <c r="D945" s="6">
        <f t="shared" si="15"/>
        <v>0</v>
      </c>
    </row>
    <row r="946" spans="3:4" ht="15" x14ac:dyDescent="0.25">
      <c r="C946" s="8" t="e">
        <f>VLOOKUP(A:A,'ITEM LIST'!A:C,3,0)</f>
        <v>#N/A</v>
      </c>
      <c r="D946" s="6">
        <f t="shared" si="15"/>
        <v>0</v>
      </c>
    </row>
    <row r="947" spans="3:4" ht="15" x14ac:dyDescent="0.25">
      <c r="C947" s="8" t="e">
        <f>VLOOKUP(A:A,'ITEM LIST'!A:C,3,0)</f>
        <v>#N/A</v>
      </c>
      <c r="D947" s="6">
        <f t="shared" si="15"/>
        <v>0</v>
      </c>
    </row>
    <row r="948" spans="3:4" ht="15" x14ac:dyDescent="0.25">
      <c r="C948" s="8" t="e">
        <f>VLOOKUP(A:A,'ITEM LIST'!A:C,3,0)</f>
        <v>#N/A</v>
      </c>
      <c r="D948" s="6">
        <f t="shared" si="15"/>
        <v>0</v>
      </c>
    </row>
    <row r="949" spans="3:4" ht="15" x14ac:dyDescent="0.25">
      <c r="C949" s="8" t="e">
        <f>VLOOKUP(A:A,'ITEM LIST'!A:C,3,0)</f>
        <v>#N/A</v>
      </c>
      <c r="D949" s="6">
        <f t="shared" si="15"/>
        <v>0</v>
      </c>
    </row>
    <row r="950" spans="3:4" ht="15" x14ac:dyDescent="0.25">
      <c r="C950" s="8" t="e">
        <f>VLOOKUP(A:A,'ITEM LIST'!A:C,3,0)</f>
        <v>#N/A</v>
      </c>
      <c r="D950" s="6">
        <f t="shared" si="15"/>
        <v>0</v>
      </c>
    </row>
    <row r="951" spans="3:4" ht="15" x14ac:dyDescent="0.25">
      <c r="C951" s="8" t="e">
        <f>VLOOKUP(A:A,'ITEM LIST'!A:C,3,0)</f>
        <v>#N/A</v>
      </c>
      <c r="D951" s="6">
        <f t="shared" si="15"/>
        <v>0</v>
      </c>
    </row>
    <row r="952" spans="3:4" ht="15" x14ac:dyDescent="0.25">
      <c r="C952" s="8" t="e">
        <f>VLOOKUP(A:A,'ITEM LIST'!A:C,3,0)</f>
        <v>#N/A</v>
      </c>
      <c r="D952" s="6">
        <f t="shared" si="15"/>
        <v>0</v>
      </c>
    </row>
    <row r="953" spans="3:4" ht="15" x14ac:dyDescent="0.25">
      <c r="C953" s="8" t="e">
        <f>VLOOKUP(A:A,'ITEM LIST'!A:C,3,0)</f>
        <v>#N/A</v>
      </c>
      <c r="D953" s="6">
        <f t="shared" si="15"/>
        <v>0</v>
      </c>
    </row>
    <row r="954" spans="3:4" ht="15" x14ac:dyDescent="0.25">
      <c r="C954" s="8" t="e">
        <f>VLOOKUP(A:A,'ITEM LIST'!A:C,3,0)</f>
        <v>#N/A</v>
      </c>
      <c r="D954" s="6">
        <f t="shared" si="15"/>
        <v>0</v>
      </c>
    </row>
    <row r="955" spans="3:4" ht="15" x14ac:dyDescent="0.25">
      <c r="C955" s="8" t="e">
        <f>VLOOKUP(A:A,'ITEM LIST'!A:C,3,0)</f>
        <v>#N/A</v>
      </c>
      <c r="D955" s="6">
        <f t="shared" si="15"/>
        <v>0</v>
      </c>
    </row>
    <row r="956" spans="3:4" ht="15" x14ac:dyDescent="0.25">
      <c r="C956" s="8" t="e">
        <f>VLOOKUP(A:A,'ITEM LIST'!A:C,3,0)</f>
        <v>#N/A</v>
      </c>
      <c r="D956" s="6">
        <f t="shared" si="15"/>
        <v>0</v>
      </c>
    </row>
    <row r="957" spans="3:4" ht="15" x14ac:dyDescent="0.25">
      <c r="C957" s="8" t="e">
        <f>VLOOKUP(A:A,'ITEM LIST'!A:C,3,0)</f>
        <v>#N/A</v>
      </c>
      <c r="D957" s="6">
        <f t="shared" si="15"/>
        <v>0</v>
      </c>
    </row>
    <row r="958" spans="3:4" ht="15" x14ac:dyDescent="0.25">
      <c r="C958" s="8" t="e">
        <f>VLOOKUP(A:A,'ITEM LIST'!A:C,3,0)</f>
        <v>#N/A</v>
      </c>
      <c r="D958" s="6">
        <f t="shared" si="15"/>
        <v>0</v>
      </c>
    </row>
    <row r="959" spans="3:4" ht="15" x14ac:dyDescent="0.25">
      <c r="C959" s="8" t="e">
        <f>VLOOKUP(A:A,'ITEM LIST'!A:C,3,0)</f>
        <v>#N/A</v>
      </c>
      <c r="D959" s="6">
        <f t="shared" si="15"/>
        <v>0</v>
      </c>
    </row>
    <row r="960" spans="3:4" ht="15" x14ac:dyDescent="0.25">
      <c r="C960" s="8" t="e">
        <f>VLOOKUP(A:A,'ITEM LIST'!A:C,3,0)</f>
        <v>#N/A</v>
      </c>
      <c r="D960" s="6">
        <f t="shared" si="15"/>
        <v>0</v>
      </c>
    </row>
    <row r="961" spans="3:4" ht="15" x14ac:dyDescent="0.25">
      <c r="C961" s="8" t="e">
        <f>VLOOKUP(A:A,'ITEM LIST'!A:C,3,0)</f>
        <v>#N/A</v>
      </c>
      <c r="D961" s="6">
        <f t="shared" si="15"/>
        <v>0</v>
      </c>
    </row>
    <row r="962" spans="3:4" ht="15" x14ac:dyDescent="0.25">
      <c r="C962" s="8" t="e">
        <f>VLOOKUP(A:A,'ITEM LIST'!A:C,3,0)</f>
        <v>#N/A</v>
      </c>
      <c r="D962" s="6">
        <f t="shared" si="15"/>
        <v>0</v>
      </c>
    </row>
    <row r="963" spans="3:4" ht="15" x14ac:dyDescent="0.25">
      <c r="C963" s="8" t="e">
        <f>VLOOKUP(A:A,'ITEM LIST'!A:C,3,0)</f>
        <v>#N/A</v>
      </c>
      <c r="D963" s="6">
        <f t="shared" si="15"/>
        <v>0</v>
      </c>
    </row>
    <row r="964" spans="3:4" ht="15" x14ac:dyDescent="0.25">
      <c r="C964" s="8" t="e">
        <f>VLOOKUP(A:A,'ITEM LIST'!A:C,3,0)</f>
        <v>#N/A</v>
      </c>
      <c r="D964" s="6">
        <f t="shared" si="15"/>
        <v>0</v>
      </c>
    </row>
    <row r="965" spans="3:4" ht="15" x14ac:dyDescent="0.25">
      <c r="C965" s="8" t="e">
        <f>VLOOKUP(A:A,'ITEM LIST'!A:C,3,0)</f>
        <v>#N/A</v>
      </c>
      <c r="D965" s="6">
        <f t="shared" si="15"/>
        <v>0</v>
      </c>
    </row>
    <row r="966" spans="3:4" ht="15" x14ac:dyDescent="0.25">
      <c r="C966" s="8" t="e">
        <f>VLOOKUP(A:A,'ITEM LIST'!A:C,3,0)</f>
        <v>#N/A</v>
      </c>
      <c r="D966" s="6">
        <f t="shared" ref="D966:D1029" si="16">B966</f>
        <v>0</v>
      </c>
    </row>
    <row r="967" spans="3:4" ht="15" x14ac:dyDescent="0.25">
      <c r="C967" s="8" t="e">
        <f>VLOOKUP(A:A,'ITEM LIST'!A:C,3,0)</f>
        <v>#N/A</v>
      </c>
      <c r="D967" s="6">
        <f t="shared" si="16"/>
        <v>0</v>
      </c>
    </row>
    <row r="968" spans="3:4" ht="15" x14ac:dyDescent="0.25">
      <c r="C968" s="8" t="e">
        <f>VLOOKUP(A:A,'ITEM LIST'!A:C,3,0)</f>
        <v>#N/A</v>
      </c>
      <c r="D968" s="6">
        <f t="shared" si="16"/>
        <v>0</v>
      </c>
    </row>
    <row r="969" spans="3:4" ht="15" x14ac:dyDescent="0.25">
      <c r="C969" s="8" t="e">
        <f>VLOOKUP(A:A,'ITEM LIST'!A:C,3,0)</f>
        <v>#N/A</v>
      </c>
      <c r="D969" s="6">
        <f t="shared" si="16"/>
        <v>0</v>
      </c>
    </row>
    <row r="970" spans="3:4" ht="15" x14ac:dyDescent="0.25">
      <c r="C970" s="8" t="e">
        <f>VLOOKUP(A:A,'ITEM LIST'!A:C,3,0)</f>
        <v>#N/A</v>
      </c>
      <c r="D970" s="6">
        <f t="shared" si="16"/>
        <v>0</v>
      </c>
    </row>
    <row r="971" spans="3:4" ht="15" x14ac:dyDescent="0.25">
      <c r="C971" s="8" t="e">
        <f>VLOOKUP(A:A,'ITEM LIST'!A:C,3,0)</f>
        <v>#N/A</v>
      </c>
      <c r="D971" s="6">
        <f t="shared" si="16"/>
        <v>0</v>
      </c>
    </row>
    <row r="972" spans="3:4" ht="15" x14ac:dyDescent="0.25">
      <c r="C972" s="8" t="e">
        <f>VLOOKUP(A:A,'ITEM LIST'!A:C,3,0)</f>
        <v>#N/A</v>
      </c>
      <c r="D972" s="6">
        <f t="shared" si="16"/>
        <v>0</v>
      </c>
    </row>
    <row r="973" spans="3:4" ht="15" x14ac:dyDescent="0.25">
      <c r="C973" s="8" t="e">
        <f>VLOOKUP(A:A,'ITEM LIST'!A:C,3,0)</f>
        <v>#N/A</v>
      </c>
      <c r="D973" s="6">
        <f t="shared" si="16"/>
        <v>0</v>
      </c>
    </row>
    <row r="974" spans="3:4" ht="15" x14ac:dyDescent="0.25">
      <c r="C974" s="8" t="e">
        <f>VLOOKUP(A:A,'ITEM LIST'!A:C,3,0)</f>
        <v>#N/A</v>
      </c>
      <c r="D974" s="6">
        <f t="shared" si="16"/>
        <v>0</v>
      </c>
    </row>
    <row r="975" spans="3:4" ht="15" x14ac:dyDescent="0.25">
      <c r="C975" s="8" t="e">
        <f>VLOOKUP(A:A,'ITEM LIST'!A:C,3,0)</f>
        <v>#N/A</v>
      </c>
      <c r="D975" s="6">
        <f t="shared" si="16"/>
        <v>0</v>
      </c>
    </row>
    <row r="976" spans="3:4" ht="15" x14ac:dyDescent="0.25">
      <c r="C976" s="8" t="e">
        <f>VLOOKUP(A:A,'ITEM LIST'!A:C,3,0)</f>
        <v>#N/A</v>
      </c>
      <c r="D976" s="6">
        <f t="shared" si="16"/>
        <v>0</v>
      </c>
    </row>
    <row r="977" spans="3:4" ht="15" x14ac:dyDescent="0.25">
      <c r="C977" s="8" t="e">
        <f>VLOOKUP(A:A,'ITEM LIST'!A:C,3,0)</f>
        <v>#N/A</v>
      </c>
      <c r="D977" s="6">
        <f t="shared" si="16"/>
        <v>0</v>
      </c>
    </row>
    <row r="978" spans="3:4" ht="15" x14ac:dyDescent="0.25">
      <c r="C978" s="8" t="e">
        <f>VLOOKUP(A:A,'ITEM LIST'!A:C,3,0)</f>
        <v>#N/A</v>
      </c>
      <c r="D978" s="6">
        <f t="shared" si="16"/>
        <v>0</v>
      </c>
    </row>
    <row r="979" spans="3:4" ht="15" x14ac:dyDescent="0.25">
      <c r="C979" s="8" t="e">
        <f>VLOOKUP(A:A,'ITEM LIST'!A:C,3,0)</f>
        <v>#N/A</v>
      </c>
      <c r="D979" s="6">
        <f t="shared" si="16"/>
        <v>0</v>
      </c>
    </row>
    <row r="980" spans="3:4" ht="15" x14ac:dyDescent="0.25">
      <c r="C980" s="8" t="e">
        <f>VLOOKUP(A:A,'ITEM LIST'!A:C,3,0)</f>
        <v>#N/A</v>
      </c>
      <c r="D980" s="6">
        <f t="shared" si="16"/>
        <v>0</v>
      </c>
    </row>
    <row r="981" spans="3:4" ht="15" x14ac:dyDescent="0.25">
      <c r="C981" s="8" t="e">
        <f>VLOOKUP(A:A,'ITEM LIST'!A:C,3,0)</f>
        <v>#N/A</v>
      </c>
      <c r="D981" s="6">
        <f t="shared" si="16"/>
        <v>0</v>
      </c>
    </row>
    <row r="982" spans="3:4" ht="15" x14ac:dyDescent="0.25">
      <c r="C982" s="8" t="e">
        <f>VLOOKUP(A:A,'ITEM LIST'!A:C,3,0)</f>
        <v>#N/A</v>
      </c>
      <c r="D982" s="6">
        <f t="shared" si="16"/>
        <v>0</v>
      </c>
    </row>
    <row r="983" spans="3:4" ht="15" x14ac:dyDescent="0.25">
      <c r="C983" s="8" t="e">
        <f>VLOOKUP(A:A,'ITEM LIST'!A:C,3,0)</f>
        <v>#N/A</v>
      </c>
      <c r="D983" s="6">
        <f t="shared" si="16"/>
        <v>0</v>
      </c>
    </row>
    <row r="984" spans="3:4" ht="15" x14ac:dyDescent="0.25">
      <c r="C984" s="8" t="e">
        <f>VLOOKUP(A:A,'ITEM LIST'!A:C,3,0)</f>
        <v>#N/A</v>
      </c>
      <c r="D984" s="6">
        <f t="shared" si="16"/>
        <v>0</v>
      </c>
    </row>
    <row r="985" spans="3:4" ht="15" x14ac:dyDescent="0.25">
      <c r="C985" s="8" t="e">
        <f>VLOOKUP(A:A,'ITEM LIST'!A:C,3,0)</f>
        <v>#N/A</v>
      </c>
      <c r="D985" s="6">
        <f t="shared" si="16"/>
        <v>0</v>
      </c>
    </row>
    <row r="986" spans="3:4" ht="15" x14ac:dyDescent="0.25">
      <c r="C986" s="8" t="e">
        <f>VLOOKUP(A:A,'ITEM LIST'!A:C,3,0)</f>
        <v>#N/A</v>
      </c>
      <c r="D986" s="6">
        <f t="shared" si="16"/>
        <v>0</v>
      </c>
    </row>
    <row r="987" spans="3:4" ht="15" x14ac:dyDescent="0.25">
      <c r="C987" s="8" t="e">
        <f>VLOOKUP(A:A,'ITEM LIST'!A:C,3,0)</f>
        <v>#N/A</v>
      </c>
      <c r="D987" s="6">
        <f t="shared" si="16"/>
        <v>0</v>
      </c>
    </row>
    <row r="988" spans="3:4" ht="15" x14ac:dyDescent="0.25">
      <c r="C988" s="8" t="e">
        <f>VLOOKUP(A:A,'ITEM LIST'!A:C,3,0)</f>
        <v>#N/A</v>
      </c>
      <c r="D988" s="6">
        <f t="shared" si="16"/>
        <v>0</v>
      </c>
    </row>
    <row r="989" spans="3:4" ht="15" x14ac:dyDescent="0.25">
      <c r="C989" s="8" t="e">
        <f>VLOOKUP(A:A,'ITEM LIST'!A:C,3,0)</f>
        <v>#N/A</v>
      </c>
      <c r="D989" s="6">
        <f t="shared" si="16"/>
        <v>0</v>
      </c>
    </row>
    <row r="990" spans="3:4" ht="15" x14ac:dyDescent="0.25">
      <c r="C990" s="8" t="e">
        <f>VLOOKUP(A:A,'ITEM LIST'!A:C,3,0)</f>
        <v>#N/A</v>
      </c>
      <c r="D990" s="6">
        <f t="shared" si="16"/>
        <v>0</v>
      </c>
    </row>
    <row r="991" spans="3:4" ht="15" x14ac:dyDescent="0.25">
      <c r="C991" s="8" t="e">
        <f>VLOOKUP(A:A,'ITEM LIST'!A:C,3,0)</f>
        <v>#N/A</v>
      </c>
      <c r="D991" s="6">
        <f t="shared" si="16"/>
        <v>0</v>
      </c>
    </row>
    <row r="992" spans="3:4" ht="15" x14ac:dyDescent="0.25">
      <c r="C992" s="8" t="e">
        <f>VLOOKUP(A:A,'ITEM LIST'!A:C,3,0)</f>
        <v>#N/A</v>
      </c>
      <c r="D992" s="6">
        <f t="shared" si="16"/>
        <v>0</v>
      </c>
    </row>
    <row r="993" spans="3:4" ht="15" x14ac:dyDescent="0.25">
      <c r="C993" s="8" t="e">
        <f>VLOOKUP(A:A,'ITEM LIST'!A:C,3,0)</f>
        <v>#N/A</v>
      </c>
      <c r="D993" s="6">
        <f t="shared" si="16"/>
        <v>0</v>
      </c>
    </row>
    <row r="994" spans="3:4" ht="15" x14ac:dyDescent="0.25">
      <c r="C994" s="8" t="e">
        <f>VLOOKUP(A:A,'ITEM LIST'!A:C,3,0)</f>
        <v>#N/A</v>
      </c>
      <c r="D994" s="6">
        <f t="shared" si="16"/>
        <v>0</v>
      </c>
    </row>
    <row r="995" spans="3:4" ht="15" x14ac:dyDescent="0.25">
      <c r="C995" s="8" t="e">
        <f>VLOOKUP(A:A,'ITEM LIST'!A:C,3,0)</f>
        <v>#N/A</v>
      </c>
      <c r="D995" s="6">
        <f t="shared" si="16"/>
        <v>0</v>
      </c>
    </row>
    <row r="996" spans="3:4" ht="15" x14ac:dyDescent="0.25">
      <c r="C996" s="8" t="e">
        <f>VLOOKUP(A:A,'ITEM LIST'!A:C,3,0)</f>
        <v>#N/A</v>
      </c>
      <c r="D996" s="6">
        <f t="shared" si="16"/>
        <v>0</v>
      </c>
    </row>
    <row r="997" spans="3:4" ht="15" x14ac:dyDescent="0.25">
      <c r="C997" s="8" t="e">
        <f>VLOOKUP(A:A,'ITEM LIST'!A:C,3,0)</f>
        <v>#N/A</v>
      </c>
      <c r="D997" s="6">
        <f t="shared" si="16"/>
        <v>0</v>
      </c>
    </row>
    <row r="998" spans="3:4" ht="15" x14ac:dyDescent="0.25">
      <c r="C998" s="8" t="e">
        <f>VLOOKUP(A:A,'ITEM LIST'!A:C,3,0)</f>
        <v>#N/A</v>
      </c>
      <c r="D998" s="6">
        <f t="shared" si="16"/>
        <v>0</v>
      </c>
    </row>
    <row r="999" spans="3:4" ht="15" x14ac:dyDescent="0.25">
      <c r="C999" s="8" t="e">
        <f>VLOOKUP(A:A,'ITEM LIST'!A:C,3,0)</f>
        <v>#N/A</v>
      </c>
      <c r="D999" s="6">
        <f t="shared" si="16"/>
        <v>0</v>
      </c>
    </row>
    <row r="1000" spans="3:4" ht="15" x14ac:dyDescent="0.25">
      <c r="C1000" s="8" t="e">
        <f>VLOOKUP(A:A,'ITEM LIST'!A:C,3,0)</f>
        <v>#N/A</v>
      </c>
      <c r="D1000" s="6">
        <f t="shared" si="16"/>
        <v>0</v>
      </c>
    </row>
    <row r="1001" spans="3:4" ht="15" x14ac:dyDescent="0.25">
      <c r="C1001" s="8" t="e">
        <f>VLOOKUP(A:A,'ITEM LIST'!A:C,3,0)</f>
        <v>#N/A</v>
      </c>
      <c r="D1001" s="6">
        <f t="shared" si="16"/>
        <v>0</v>
      </c>
    </row>
    <row r="1002" spans="3:4" ht="15" x14ac:dyDescent="0.25">
      <c r="C1002" s="8" t="e">
        <f>VLOOKUP(A:A,'ITEM LIST'!A:C,3,0)</f>
        <v>#N/A</v>
      </c>
      <c r="D1002" s="6">
        <f t="shared" si="16"/>
        <v>0</v>
      </c>
    </row>
    <row r="1003" spans="3:4" ht="15" x14ac:dyDescent="0.25">
      <c r="C1003" s="8" t="e">
        <f>VLOOKUP(A:A,'ITEM LIST'!A:C,3,0)</f>
        <v>#N/A</v>
      </c>
      <c r="D1003" s="6">
        <f t="shared" si="16"/>
        <v>0</v>
      </c>
    </row>
    <row r="1004" spans="3:4" ht="15" x14ac:dyDescent="0.25">
      <c r="C1004" s="8" t="e">
        <f>VLOOKUP(A:A,'ITEM LIST'!A:C,3,0)</f>
        <v>#N/A</v>
      </c>
      <c r="D1004" s="6">
        <f t="shared" si="16"/>
        <v>0</v>
      </c>
    </row>
    <row r="1005" spans="3:4" ht="15" x14ac:dyDescent="0.25">
      <c r="C1005" s="8" t="e">
        <f>VLOOKUP(A:A,'ITEM LIST'!A:C,3,0)</f>
        <v>#N/A</v>
      </c>
      <c r="D1005" s="6">
        <f t="shared" si="16"/>
        <v>0</v>
      </c>
    </row>
    <row r="1006" spans="3:4" ht="15" x14ac:dyDescent="0.25">
      <c r="C1006" s="8" t="e">
        <f>VLOOKUP(A:A,'ITEM LIST'!A:C,3,0)</f>
        <v>#N/A</v>
      </c>
      <c r="D1006" s="6">
        <f t="shared" si="16"/>
        <v>0</v>
      </c>
    </row>
    <row r="1007" spans="3:4" ht="15" x14ac:dyDescent="0.25">
      <c r="C1007" s="8" t="e">
        <f>VLOOKUP(A:A,'ITEM LIST'!A:C,3,0)</f>
        <v>#N/A</v>
      </c>
      <c r="D1007" s="6">
        <f t="shared" si="16"/>
        <v>0</v>
      </c>
    </row>
    <row r="1008" spans="3:4" ht="15" x14ac:dyDescent="0.25">
      <c r="C1008" s="8" t="e">
        <f>VLOOKUP(A:A,'ITEM LIST'!A:C,3,0)</f>
        <v>#N/A</v>
      </c>
      <c r="D1008" s="6">
        <f t="shared" si="16"/>
        <v>0</v>
      </c>
    </row>
    <row r="1009" spans="3:4" ht="15" x14ac:dyDescent="0.25">
      <c r="C1009" s="8" t="e">
        <f>VLOOKUP(A:A,'ITEM LIST'!A:C,3,0)</f>
        <v>#N/A</v>
      </c>
      <c r="D1009" s="6">
        <f t="shared" si="16"/>
        <v>0</v>
      </c>
    </row>
    <row r="1010" spans="3:4" ht="15" x14ac:dyDescent="0.25">
      <c r="C1010" s="8" t="e">
        <f>VLOOKUP(A:A,'ITEM LIST'!A:C,3,0)</f>
        <v>#N/A</v>
      </c>
      <c r="D1010" s="6">
        <f t="shared" si="16"/>
        <v>0</v>
      </c>
    </row>
    <row r="1011" spans="3:4" ht="15" x14ac:dyDescent="0.25">
      <c r="C1011" s="8" t="e">
        <f>VLOOKUP(A:A,'ITEM LIST'!A:C,3,0)</f>
        <v>#N/A</v>
      </c>
      <c r="D1011" s="6">
        <f t="shared" si="16"/>
        <v>0</v>
      </c>
    </row>
    <row r="1012" spans="3:4" ht="15" x14ac:dyDescent="0.25">
      <c r="C1012" s="8" t="e">
        <f>VLOOKUP(A:A,'ITEM LIST'!A:C,3,0)</f>
        <v>#N/A</v>
      </c>
      <c r="D1012" s="6">
        <f t="shared" si="16"/>
        <v>0</v>
      </c>
    </row>
    <row r="1013" spans="3:4" ht="15" x14ac:dyDescent="0.25">
      <c r="C1013" s="8" t="e">
        <f>VLOOKUP(A:A,'ITEM LIST'!A:C,3,0)</f>
        <v>#N/A</v>
      </c>
      <c r="D1013" s="6">
        <f t="shared" si="16"/>
        <v>0</v>
      </c>
    </row>
    <row r="1014" spans="3:4" ht="15" x14ac:dyDescent="0.25">
      <c r="C1014" s="8" t="e">
        <f>VLOOKUP(A:A,'ITEM LIST'!A:C,3,0)</f>
        <v>#N/A</v>
      </c>
      <c r="D1014" s="6">
        <f t="shared" si="16"/>
        <v>0</v>
      </c>
    </row>
    <row r="1015" spans="3:4" ht="15" x14ac:dyDescent="0.25">
      <c r="C1015" s="8" t="e">
        <f>VLOOKUP(A:A,'ITEM LIST'!A:C,3,0)</f>
        <v>#N/A</v>
      </c>
      <c r="D1015" s="6">
        <f t="shared" si="16"/>
        <v>0</v>
      </c>
    </row>
    <row r="1016" spans="3:4" ht="15" x14ac:dyDescent="0.25">
      <c r="C1016" s="8" t="e">
        <f>VLOOKUP(A:A,'ITEM LIST'!A:C,3,0)</f>
        <v>#N/A</v>
      </c>
      <c r="D1016" s="6">
        <f t="shared" si="16"/>
        <v>0</v>
      </c>
    </row>
    <row r="1017" spans="3:4" ht="15" x14ac:dyDescent="0.25">
      <c r="C1017" s="8" t="e">
        <f>VLOOKUP(A:A,'ITEM LIST'!A:C,3,0)</f>
        <v>#N/A</v>
      </c>
      <c r="D1017" s="6">
        <f t="shared" si="16"/>
        <v>0</v>
      </c>
    </row>
    <row r="1018" spans="3:4" ht="15" x14ac:dyDescent="0.25">
      <c r="C1018" s="8" t="e">
        <f>VLOOKUP(A:A,'ITEM LIST'!A:C,3,0)</f>
        <v>#N/A</v>
      </c>
      <c r="D1018" s="6">
        <f t="shared" si="16"/>
        <v>0</v>
      </c>
    </row>
    <row r="1019" spans="3:4" ht="15" x14ac:dyDescent="0.25">
      <c r="C1019" s="8" t="e">
        <f>VLOOKUP(A:A,'ITEM LIST'!A:C,3,0)</f>
        <v>#N/A</v>
      </c>
      <c r="D1019" s="6">
        <f t="shared" si="16"/>
        <v>0</v>
      </c>
    </row>
    <row r="1020" spans="3:4" ht="15" x14ac:dyDescent="0.25">
      <c r="C1020" s="8" t="e">
        <f>VLOOKUP(A:A,'ITEM LIST'!A:C,3,0)</f>
        <v>#N/A</v>
      </c>
      <c r="D1020" s="6">
        <f t="shared" si="16"/>
        <v>0</v>
      </c>
    </row>
    <row r="1021" spans="3:4" ht="15" x14ac:dyDescent="0.25">
      <c r="C1021" s="8" t="e">
        <f>VLOOKUP(A:A,'ITEM LIST'!A:C,3,0)</f>
        <v>#N/A</v>
      </c>
      <c r="D1021" s="6">
        <f t="shared" si="16"/>
        <v>0</v>
      </c>
    </row>
    <row r="1022" spans="3:4" ht="15" x14ac:dyDescent="0.25">
      <c r="C1022" s="8" t="e">
        <f>VLOOKUP(A:A,'ITEM LIST'!A:C,3,0)</f>
        <v>#N/A</v>
      </c>
      <c r="D1022" s="6">
        <f t="shared" si="16"/>
        <v>0</v>
      </c>
    </row>
    <row r="1023" spans="3:4" ht="15" x14ac:dyDescent="0.25">
      <c r="C1023" s="8" t="e">
        <f>VLOOKUP(A:A,'ITEM LIST'!A:C,3,0)</f>
        <v>#N/A</v>
      </c>
      <c r="D1023" s="6">
        <f t="shared" si="16"/>
        <v>0</v>
      </c>
    </row>
    <row r="1024" spans="3:4" ht="15" x14ac:dyDescent="0.25">
      <c r="C1024" s="8" t="e">
        <f>VLOOKUP(A:A,'ITEM LIST'!A:C,3,0)</f>
        <v>#N/A</v>
      </c>
      <c r="D1024" s="6">
        <f t="shared" si="16"/>
        <v>0</v>
      </c>
    </row>
    <row r="1025" spans="3:4" ht="15" x14ac:dyDescent="0.25">
      <c r="C1025" s="8" t="e">
        <f>VLOOKUP(A:A,'ITEM LIST'!A:C,3,0)</f>
        <v>#N/A</v>
      </c>
      <c r="D1025" s="6">
        <f t="shared" si="16"/>
        <v>0</v>
      </c>
    </row>
    <row r="1026" spans="3:4" ht="15" x14ac:dyDescent="0.25">
      <c r="C1026" s="8" t="e">
        <f>VLOOKUP(A:A,'ITEM LIST'!A:C,3,0)</f>
        <v>#N/A</v>
      </c>
      <c r="D1026" s="6">
        <f t="shared" si="16"/>
        <v>0</v>
      </c>
    </row>
    <row r="1027" spans="3:4" ht="15" x14ac:dyDescent="0.25">
      <c r="C1027" s="8" t="e">
        <f>VLOOKUP(A:A,'ITEM LIST'!A:C,3,0)</f>
        <v>#N/A</v>
      </c>
      <c r="D1027" s="6">
        <f t="shared" si="16"/>
        <v>0</v>
      </c>
    </row>
    <row r="1028" spans="3:4" ht="15" x14ac:dyDescent="0.25">
      <c r="C1028" s="8" t="e">
        <f>VLOOKUP(A:A,'ITEM LIST'!A:C,3,0)</f>
        <v>#N/A</v>
      </c>
      <c r="D1028" s="6">
        <f t="shared" si="16"/>
        <v>0</v>
      </c>
    </row>
    <row r="1029" spans="3:4" ht="15" x14ac:dyDescent="0.25">
      <c r="C1029" s="8" t="e">
        <f>VLOOKUP(A:A,'ITEM LIST'!A:C,3,0)</f>
        <v>#N/A</v>
      </c>
      <c r="D1029" s="6">
        <f t="shared" si="16"/>
        <v>0</v>
      </c>
    </row>
    <row r="1030" spans="3:4" ht="15" x14ac:dyDescent="0.25">
      <c r="C1030" s="8" t="e">
        <f>VLOOKUP(A:A,'ITEM LIST'!A:C,3,0)</f>
        <v>#N/A</v>
      </c>
      <c r="D1030" s="6">
        <f t="shared" ref="D1030:D1093" si="17">B1030</f>
        <v>0</v>
      </c>
    </row>
    <row r="1031" spans="3:4" ht="15" x14ac:dyDescent="0.25">
      <c r="C1031" s="8" t="e">
        <f>VLOOKUP(A:A,'ITEM LIST'!A:C,3,0)</f>
        <v>#N/A</v>
      </c>
      <c r="D1031" s="6">
        <f t="shared" si="17"/>
        <v>0</v>
      </c>
    </row>
    <row r="1032" spans="3:4" ht="15" x14ac:dyDescent="0.25">
      <c r="C1032" s="8" t="e">
        <f>VLOOKUP(A:A,'ITEM LIST'!A:C,3,0)</f>
        <v>#N/A</v>
      </c>
      <c r="D1032" s="6">
        <f t="shared" si="17"/>
        <v>0</v>
      </c>
    </row>
    <row r="1033" spans="3:4" ht="15" x14ac:dyDescent="0.25">
      <c r="C1033" s="8" t="e">
        <f>VLOOKUP(A:A,'ITEM LIST'!A:C,3,0)</f>
        <v>#N/A</v>
      </c>
      <c r="D1033" s="6">
        <f t="shared" si="17"/>
        <v>0</v>
      </c>
    </row>
    <row r="1034" spans="3:4" ht="15" x14ac:dyDescent="0.25">
      <c r="C1034" s="8" t="e">
        <f>VLOOKUP(A:A,'ITEM LIST'!A:C,3,0)</f>
        <v>#N/A</v>
      </c>
      <c r="D1034" s="6">
        <f t="shared" si="17"/>
        <v>0</v>
      </c>
    </row>
    <row r="1035" spans="3:4" ht="15" x14ac:dyDescent="0.25">
      <c r="C1035" s="8" t="e">
        <f>VLOOKUP(A:A,'ITEM LIST'!A:C,3,0)</f>
        <v>#N/A</v>
      </c>
      <c r="D1035" s="6">
        <f t="shared" si="17"/>
        <v>0</v>
      </c>
    </row>
    <row r="1036" spans="3:4" ht="15" x14ac:dyDescent="0.25">
      <c r="C1036" s="8" t="e">
        <f>VLOOKUP(A:A,'ITEM LIST'!A:C,3,0)</f>
        <v>#N/A</v>
      </c>
      <c r="D1036" s="6">
        <f t="shared" si="17"/>
        <v>0</v>
      </c>
    </row>
    <row r="1037" spans="3:4" ht="15" x14ac:dyDescent="0.25">
      <c r="C1037" s="8" t="e">
        <f>VLOOKUP(A:A,'ITEM LIST'!A:C,3,0)</f>
        <v>#N/A</v>
      </c>
      <c r="D1037" s="6">
        <f t="shared" si="17"/>
        <v>0</v>
      </c>
    </row>
    <row r="1038" spans="3:4" ht="15" x14ac:dyDescent="0.25">
      <c r="C1038" s="8" t="e">
        <f>VLOOKUP(A:A,'ITEM LIST'!A:C,3,0)</f>
        <v>#N/A</v>
      </c>
      <c r="D1038" s="6">
        <f t="shared" si="17"/>
        <v>0</v>
      </c>
    </row>
    <row r="1039" spans="3:4" ht="15" x14ac:dyDescent="0.25">
      <c r="C1039" s="8" t="e">
        <f>VLOOKUP(A:A,'ITEM LIST'!A:C,3,0)</f>
        <v>#N/A</v>
      </c>
      <c r="D1039" s="6">
        <f t="shared" si="17"/>
        <v>0</v>
      </c>
    </row>
    <row r="1040" spans="3:4" ht="15" x14ac:dyDescent="0.25">
      <c r="C1040" s="8" t="e">
        <f>VLOOKUP(A:A,'ITEM LIST'!A:C,3,0)</f>
        <v>#N/A</v>
      </c>
      <c r="D1040" s="6">
        <f t="shared" si="17"/>
        <v>0</v>
      </c>
    </row>
    <row r="1041" spans="3:4" ht="15" x14ac:dyDescent="0.25">
      <c r="C1041" s="8" t="e">
        <f>VLOOKUP(A:A,'ITEM LIST'!A:C,3,0)</f>
        <v>#N/A</v>
      </c>
      <c r="D1041" s="6">
        <f t="shared" si="17"/>
        <v>0</v>
      </c>
    </row>
    <row r="1042" spans="3:4" ht="15" x14ac:dyDescent="0.25">
      <c r="C1042" s="8" t="e">
        <f>VLOOKUP(A:A,'ITEM LIST'!A:C,3,0)</f>
        <v>#N/A</v>
      </c>
      <c r="D1042" s="6">
        <f t="shared" si="17"/>
        <v>0</v>
      </c>
    </row>
    <row r="1043" spans="3:4" ht="15" x14ac:dyDescent="0.25">
      <c r="C1043" s="8" t="e">
        <f>VLOOKUP(A:A,'ITEM LIST'!A:C,3,0)</f>
        <v>#N/A</v>
      </c>
      <c r="D1043" s="6">
        <f t="shared" si="17"/>
        <v>0</v>
      </c>
    </row>
    <row r="1044" spans="3:4" ht="15" x14ac:dyDescent="0.25">
      <c r="C1044" s="8" t="e">
        <f>VLOOKUP(A:A,'ITEM LIST'!A:C,3,0)</f>
        <v>#N/A</v>
      </c>
      <c r="D1044" s="6">
        <f t="shared" si="17"/>
        <v>0</v>
      </c>
    </row>
    <row r="1045" spans="3:4" ht="15" x14ac:dyDescent="0.25">
      <c r="C1045" s="8" t="e">
        <f>VLOOKUP(A:A,'ITEM LIST'!A:C,3,0)</f>
        <v>#N/A</v>
      </c>
      <c r="D1045" s="6">
        <f t="shared" si="17"/>
        <v>0</v>
      </c>
    </row>
    <row r="1046" spans="3:4" ht="15" x14ac:dyDescent="0.25">
      <c r="C1046" s="8" t="e">
        <f>VLOOKUP(A:A,'ITEM LIST'!A:C,3,0)</f>
        <v>#N/A</v>
      </c>
      <c r="D1046" s="6">
        <f t="shared" si="17"/>
        <v>0</v>
      </c>
    </row>
    <row r="1047" spans="3:4" ht="15" x14ac:dyDescent="0.25">
      <c r="C1047" s="8" t="e">
        <f>VLOOKUP(A:A,'ITEM LIST'!A:C,3,0)</f>
        <v>#N/A</v>
      </c>
      <c r="D1047" s="6">
        <f t="shared" si="17"/>
        <v>0</v>
      </c>
    </row>
    <row r="1048" spans="3:4" ht="15" x14ac:dyDescent="0.25">
      <c r="C1048" s="8" t="e">
        <f>VLOOKUP(A:A,'ITEM LIST'!A:C,3,0)</f>
        <v>#N/A</v>
      </c>
      <c r="D1048" s="6">
        <f t="shared" si="17"/>
        <v>0</v>
      </c>
    </row>
    <row r="1049" spans="3:4" ht="15" x14ac:dyDescent="0.25">
      <c r="C1049" s="8" t="e">
        <f>VLOOKUP(A:A,'ITEM LIST'!A:C,3,0)</f>
        <v>#N/A</v>
      </c>
      <c r="D1049" s="6">
        <f t="shared" si="17"/>
        <v>0</v>
      </c>
    </row>
    <row r="1050" spans="3:4" ht="15" x14ac:dyDescent="0.25">
      <c r="C1050" s="8" t="e">
        <f>VLOOKUP(A:A,'ITEM LIST'!A:C,3,0)</f>
        <v>#N/A</v>
      </c>
      <c r="D1050" s="6">
        <f t="shared" si="17"/>
        <v>0</v>
      </c>
    </row>
    <row r="1051" spans="3:4" ht="15" x14ac:dyDescent="0.25">
      <c r="C1051" s="8" t="e">
        <f>VLOOKUP(A:A,'ITEM LIST'!A:C,3,0)</f>
        <v>#N/A</v>
      </c>
      <c r="D1051" s="6">
        <f t="shared" si="17"/>
        <v>0</v>
      </c>
    </row>
    <row r="1052" spans="3:4" ht="15" x14ac:dyDescent="0.25">
      <c r="C1052" s="8" t="e">
        <f>VLOOKUP(A:A,'ITEM LIST'!A:C,3,0)</f>
        <v>#N/A</v>
      </c>
      <c r="D1052" s="6">
        <f t="shared" si="17"/>
        <v>0</v>
      </c>
    </row>
    <row r="1053" spans="3:4" ht="15" x14ac:dyDescent="0.25">
      <c r="C1053" s="8" t="e">
        <f>VLOOKUP(A:A,'ITEM LIST'!A:C,3,0)</f>
        <v>#N/A</v>
      </c>
      <c r="D1053" s="6">
        <f t="shared" si="17"/>
        <v>0</v>
      </c>
    </row>
    <row r="1054" spans="3:4" ht="15" x14ac:dyDescent="0.25">
      <c r="C1054" s="8" t="e">
        <f>VLOOKUP(A:A,'ITEM LIST'!A:C,3,0)</f>
        <v>#N/A</v>
      </c>
      <c r="D1054" s="6">
        <f t="shared" si="17"/>
        <v>0</v>
      </c>
    </row>
    <row r="1055" spans="3:4" ht="15" x14ac:dyDescent="0.25">
      <c r="C1055" s="8" t="e">
        <f>VLOOKUP(A:A,'ITEM LIST'!A:C,3,0)</f>
        <v>#N/A</v>
      </c>
      <c r="D1055" s="6">
        <f t="shared" si="17"/>
        <v>0</v>
      </c>
    </row>
    <row r="1056" spans="3:4" ht="15" x14ac:dyDescent="0.25">
      <c r="C1056" s="8" t="e">
        <f>VLOOKUP(A:A,'ITEM LIST'!A:C,3,0)</f>
        <v>#N/A</v>
      </c>
      <c r="D1056" s="6">
        <f t="shared" si="17"/>
        <v>0</v>
      </c>
    </row>
    <row r="1057" spans="3:4" ht="15" x14ac:dyDescent="0.25">
      <c r="C1057" s="8" t="e">
        <f>VLOOKUP(A:A,'ITEM LIST'!A:C,3,0)</f>
        <v>#N/A</v>
      </c>
      <c r="D1057" s="6">
        <f t="shared" si="17"/>
        <v>0</v>
      </c>
    </row>
    <row r="1058" spans="3:4" ht="15" x14ac:dyDescent="0.25">
      <c r="C1058" s="8" t="e">
        <f>VLOOKUP(A:A,'ITEM LIST'!A:C,3,0)</f>
        <v>#N/A</v>
      </c>
      <c r="D1058" s="6">
        <f t="shared" si="17"/>
        <v>0</v>
      </c>
    </row>
    <row r="1059" spans="3:4" ht="15" x14ac:dyDescent="0.25">
      <c r="C1059" s="8" t="e">
        <f>VLOOKUP(A:A,'ITEM LIST'!A:C,3,0)</f>
        <v>#N/A</v>
      </c>
      <c r="D1059" s="6">
        <f t="shared" si="17"/>
        <v>0</v>
      </c>
    </row>
    <row r="1060" spans="3:4" ht="15" x14ac:dyDescent="0.25">
      <c r="C1060" s="8" t="e">
        <f>VLOOKUP(A:A,'ITEM LIST'!A:C,3,0)</f>
        <v>#N/A</v>
      </c>
      <c r="D1060" s="6">
        <f t="shared" si="17"/>
        <v>0</v>
      </c>
    </row>
    <row r="1061" spans="3:4" ht="15" x14ac:dyDescent="0.25">
      <c r="C1061" s="8" t="e">
        <f>VLOOKUP(A:A,'ITEM LIST'!A:C,3,0)</f>
        <v>#N/A</v>
      </c>
      <c r="D1061" s="6">
        <f t="shared" si="17"/>
        <v>0</v>
      </c>
    </row>
    <row r="1062" spans="3:4" ht="15" x14ac:dyDescent="0.25">
      <c r="C1062" s="8" t="e">
        <f>VLOOKUP(A:A,'ITEM LIST'!A:C,3,0)</f>
        <v>#N/A</v>
      </c>
      <c r="D1062" s="6">
        <f t="shared" si="17"/>
        <v>0</v>
      </c>
    </row>
    <row r="1063" spans="3:4" ht="15" x14ac:dyDescent="0.25">
      <c r="C1063" s="8" t="e">
        <f>VLOOKUP(A:A,'ITEM LIST'!A:C,3,0)</f>
        <v>#N/A</v>
      </c>
      <c r="D1063" s="6">
        <f t="shared" si="17"/>
        <v>0</v>
      </c>
    </row>
    <row r="1064" spans="3:4" ht="15" x14ac:dyDescent="0.25">
      <c r="C1064" s="8" t="e">
        <f>VLOOKUP(A:A,'ITEM LIST'!A:C,3,0)</f>
        <v>#N/A</v>
      </c>
      <c r="D1064" s="6">
        <f t="shared" si="17"/>
        <v>0</v>
      </c>
    </row>
    <row r="1065" spans="3:4" ht="15" x14ac:dyDescent="0.25">
      <c r="C1065" s="8" t="e">
        <f>VLOOKUP(A:A,'ITEM LIST'!A:C,3,0)</f>
        <v>#N/A</v>
      </c>
      <c r="D1065" s="6">
        <f t="shared" si="17"/>
        <v>0</v>
      </c>
    </row>
    <row r="1066" spans="3:4" ht="15" x14ac:dyDescent="0.25">
      <c r="C1066" s="8" t="e">
        <f>VLOOKUP(A:A,'ITEM LIST'!A:C,3,0)</f>
        <v>#N/A</v>
      </c>
      <c r="D1066" s="6">
        <f t="shared" si="17"/>
        <v>0</v>
      </c>
    </row>
    <row r="1067" spans="3:4" ht="15" x14ac:dyDescent="0.25">
      <c r="C1067" s="8" t="e">
        <f>VLOOKUP(A:A,'ITEM LIST'!A:C,3,0)</f>
        <v>#N/A</v>
      </c>
      <c r="D1067" s="6">
        <f t="shared" si="17"/>
        <v>0</v>
      </c>
    </row>
    <row r="1068" spans="3:4" ht="15" x14ac:dyDescent="0.25">
      <c r="C1068" s="8" t="e">
        <f>VLOOKUP(A:A,'ITEM LIST'!A:C,3,0)</f>
        <v>#N/A</v>
      </c>
      <c r="D1068" s="6">
        <f t="shared" si="17"/>
        <v>0</v>
      </c>
    </row>
    <row r="1069" spans="3:4" ht="15" x14ac:dyDescent="0.25">
      <c r="C1069" s="8" t="e">
        <f>VLOOKUP(A:A,'ITEM LIST'!A:C,3,0)</f>
        <v>#N/A</v>
      </c>
      <c r="D1069" s="6">
        <f t="shared" si="17"/>
        <v>0</v>
      </c>
    </row>
    <row r="1070" spans="3:4" ht="15" x14ac:dyDescent="0.25">
      <c r="C1070" s="8" t="e">
        <f>VLOOKUP(A:A,'ITEM LIST'!A:C,3,0)</f>
        <v>#N/A</v>
      </c>
      <c r="D1070" s="6">
        <f t="shared" si="17"/>
        <v>0</v>
      </c>
    </row>
    <row r="1071" spans="3:4" ht="15" x14ac:dyDescent="0.25">
      <c r="C1071" s="8" t="e">
        <f>VLOOKUP(A:A,'ITEM LIST'!A:C,3,0)</f>
        <v>#N/A</v>
      </c>
      <c r="D1071" s="6">
        <f t="shared" si="17"/>
        <v>0</v>
      </c>
    </row>
    <row r="1072" spans="3:4" ht="15" x14ac:dyDescent="0.25">
      <c r="C1072" s="8" t="e">
        <f>VLOOKUP(A:A,'ITEM LIST'!A:C,3,0)</f>
        <v>#N/A</v>
      </c>
      <c r="D1072" s="6">
        <f t="shared" si="17"/>
        <v>0</v>
      </c>
    </row>
    <row r="1073" spans="3:4" ht="15" x14ac:dyDescent="0.25">
      <c r="C1073" s="8" t="e">
        <f>VLOOKUP(A:A,'ITEM LIST'!A:C,3,0)</f>
        <v>#N/A</v>
      </c>
      <c r="D1073" s="6">
        <f t="shared" si="17"/>
        <v>0</v>
      </c>
    </row>
    <row r="1074" spans="3:4" ht="15" x14ac:dyDescent="0.25">
      <c r="C1074" s="8" t="e">
        <f>VLOOKUP(A:A,'ITEM LIST'!A:C,3,0)</f>
        <v>#N/A</v>
      </c>
      <c r="D1074" s="6">
        <f t="shared" si="17"/>
        <v>0</v>
      </c>
    </row>
    <row r="1075" spans="3:4" ht="15" x14ac:dyDescent="0.25">
      <c r="C1075" s="8" t="e">
        <f>VLOOKUP(A:A,'ITEM LIST'!A:C,3,0)</f>
        <v>#N/A</v>
      </c>
      <c r="D1075" s="6">
        <f t="shared" si="17"/>
        <v>0</v>
      </c>
    </row>
    <row r="1076" spans="3:4" ht="15" x14ac:dyDescent="0.25">
      <c r="C1076" s="8" t="e">
        <f>VLOOKUP(A:A,'ITEM LIST'!A:C,3,0)</f>
        <v>#N/A</v>
      </c>
      <c r="D1076" s="6">
        <f t="shared" si="17"/>
        <v>0</v>
      </c>
    </row>
    <row r="1077" spans="3:4" ht="15" x14ac:dyDescent="0.25">
      <c r="C1077" s="8" t="e">
        <f>VLOOKUP(A:A,'ITEM LIST'!A:C,3,0)</f>
        <v>#N/A</v>
      </c>
      <c r="D1077" s="6">
        <f t="shared" si="17"/>
        <v>0</v>
      </c>
    </row>
    <row r="1078" spans="3:4" ht="15" x14ac:dyDescent="0.25">
      <c r="C1078" s="8" t="e">
        <f>VLOOKUP(A:A,'ITEM LIST'!A:C,3,0)</f>
        <v>#N/A</v>
      </c>
      <c r="D1078" s="6">
        <f t="shared" si="17"/>
        <v>0</v>
      </c>
    </row>
    <row r="1079" spans="3:4" ht="15" x14ac:dyDescent="0.25">
      <c r="C1079" s="8" t="e">
        <f>VLOOKUP(A:A,'ITEM LIST'!A:C,3,0)</f>
        <v>#N/A</v>
      </c>
      <c r="D1079" s="6">
        <f t="shared" si="17"/>
        <v>0</v>
      </c>
    </row>
    <row r="1080" spans="3:4" ht="15" x14ac:dyDescent="0.25">
      <c r="C1080" s="8" t="e">
        <f>VLOOKUP(A:A,'ITEM LIST'!A:C,3,0)</f>
        <v>#N/A</v>
      </c>
      <c r="D1080" s="6">
        <f t="shared" si="17"/>
        <v>0</v>
      </c>
    </row>
    <row r="1081" spans="3:4" ht="15" x14ac:dyDescent="0.25">
      <c r="C1081" s="8" t="e">
        <f>VLOOKUP(A:A,'ITEM LIST'!A:C,3,0)</f>
        <v>#N/A</v>
      </c>
      <c r="D1081" s="6">
        <f t="shared" si="17"/>
        <v>0</v>
      </c>
    </row>
    <row r="1082" spans="3:4" ht="15" x14ac:dyDescent="0.25">
      <c r="C1082" s="8" t="e">
        <f>VLOOKUP(A:A,'ITEM LIST'!A:C,3,0)</f>
        <v>#N/A</v>
      </c>
      <c r="D1082" s="6">
        <f t="shared" si="17"/>
        <v>0</v>
      </c>
    </row>
    <row r="1083" spans="3:4" ht="15" x14ac:dyDescent="0.25">
      <c r="C1083" s="8" t="e">
        <f>VLOOKUP(A:A,'ITEM LIST'!A:C,3,0)</f>
        <v>#N/A</v>
      </c>
      <c r="D1083" s="6">
        <f t="shared" si="17"/>
        <v>0</v>
      </c>
    </row>
    <row r="1084" spans="3:4" ht="15" x14ac:dyDescent="0.25">
      <c r="C1084" s="8" t="e">
        <f>VLOOKUP(A:A,'ITEM LIST'!A:C,3,0)</f>
        <v>#N/A</v>
      </c>
      <c r="D1084" s="6">
        <f t="shared" si="17"/>
        <v>0</v>
      </c>
    </row>
    <row r="1085" spans="3:4" ht="15" x14ac:dyDescent="0.25">
      <c r="C1085" s="8" t="e">
        <f>VLOOKUP(A:A,'ITEM LIST'!A:C,3,0)</f>
        <v>#N/A</v>
      </c>
      <c r="D1085" s="6">
        <f t="shared" si="17"/>
        <v>0</v>
      </c>
    </row>
    <row r="1086" spans="3:4" ht="15" x14ac:dyDescent="0.25">
      <c r="C1086" s="8" t="e">
        <f>VLOOKUP(A:A,'ITEM LIST'!A:C,3,0)</f>
        <v>#N/A</v>
      </c>
      <c r="D1086" s="6">
        <f t="shared" si="17"/>
        <v>0</v>
      </c>
    </row>
    <row r="1087" spans="3:4" ht="15" x14ac:dyDescent="0.25">
      <c r="C1087" s="8" t="e">
        <f>VLOOKUP(A:A,'ITEM LIST'!A:C,3,0)</f>
        <v>#N/A</v>
      </c>
      <c r="D1087" s="6">
        <f t="shared" si="17"/>
        <v>0</v>
      </c>
    </row>
    <row r="1088" spans="3:4" ht="15" x14ac:dyDescent="0.25">
      <c r="C1088" s="8" t="e">
        <f>VLOOKUP(A:A,'ITEM LIST'!A:C,3,0)</f>
        <v>#N/A</v>
      </c>
      <c r="D1088" s="6">
        <f t="shared" si="17"/>
        <v>0</v>
      </c>
    </row>
    <row r="1089" spans="3:4" ht="15" x14ac:dyDescent="0.25">
      <c r="C1089" s="8" t="e">
        <f>VLOOKUP(A:A,'ITEM LIST'!A:C,3,0)</f>
        <v>#N/A</v>
      </c>
      <c r="D1089" s="6">
        <f t="shared" si="17"/>
        <v>0</v>
      </c>
    </row>
    <row r="1090" spans="3:4" ht="15" x14ac:dyDescent="0.25">
      <c r="C1090" s="8" t="e">
        <f>VLOOKUP(A:A,'ITEM LIST'!A:C,3,0)</f>
        <v>#N/A</v>
      </c>
      <c r="D1090" s="6">
        <f t="shared" si="17"/>
        <v>0</v>
      </c>
    </row>
    <row r="1091" spans="3:4" ht="15" x14ac:dyDescent="0.25">
      <c r="C1091" s="8" t="e">
        <f>VLOOKUP(A:A,'ITEM LIST'!A:C,3,0)</f>
        <v>#N/A</v>
      </c>
      <c r="D1091" s="6">
        <f t="shared" si="17"/>
        <v>0</v>
      </c>
    </row>
    <row r="1092" spans="3:4" ht="15" x14ac:dyDescent="0.25">
      <c r="C1092" s="8" t="e">
        <f>VLOOKUP(A:A,'ITEM LIST'!A:C,3,0)</f>
        <v>#N/A</v>
      </c>
      <c r="D1092" s="6">
        <f t="shared" si="17"/>
        <v>0</v>
      </c>
    </row>
    <row r="1093" spans="3:4" ht="15" x14ac:dyDescent="0.25">
      <c r="C1093" s="8" t="e">
        <f>VLOOKUP(A:A,'ITEM LIST'!A:C,3,0)</f>
        <v>#N/A</v>
      </c>
      <c r="D1093" s="6">
        <f t="shared" si="17"/>
        <v>0</v>
      </c>
    </row>
    <row r="1094" spans="3:4" ht="15" x14ac:dyDescent="0.25">
      <c r="C1094" s="8" t="e">
        <f>VLOOKUP(A:A,'ITEM LIST'!A:C,3,0)</f>
        <v>#N/A</v>
      </c>
      <c r="D1094" s="6">
        <f t="shared" ref="D1094:D1157" si="18">B1094</f>
        <v>0</v>
      </c>
    </row>
    <row r="1095" spans="3:4" ht="15" x14ac:dyDescent="0.25">
      <c r="C1095" s="8" t="e">
        <f>VLOOKUP(A:A,'ITEM LIST'!A:C,3,0)</f>
        <v>#N/A</v>
      </c>
      <c r="D1095" s="6">
        <f t="shared" si="18"/>
        <v>0</v>
      </c>
    </row>
    <row r="1096" spans="3:4" ht="15" x14ac:dyDescent="0.25">
      <c r="C1096" s="8" t="e">
        <f>VLOOKUP(A:A,'ITEM LIST'!A:C,3,0)</f>
        <v>#N/A</v>
      </c>
      <c r="D1096" s="6">
        <f t="shared" si="18"/>
        <v>0</v>
      </c>
    </row>
    <row r="1097" spans="3:4" ht="15" x14ac:dyDescent="0.25">
      <c r="C1097" s="8" t="e">
        <f>VLOOKUP(A:A,'ITEM LIST'!A:C,3,0)</f>
        <v>#N/A</v>
      </c>
      <c r="D1097" s="6">
        <f t="shared" si="18"/>
        <v>0</v>
      </c>
    </row>
    <row r="1098" spans="3:4" ht="15" x14ac:dyDescent="0.25">
      <c r="C1098" s="8" t="e">
        <f>VLOOKUP(A:A,'ITEM LIST'!A:C,3,0)</f>
        <v>#N/A</v>
      </c>
      <c r="D1098" s="6">
        <f t="shared" si="18"/>
        <v>0</v>
      </c>
    </row>
    <row r="1099" spans="3:4" ht="15" x14ac:dyDescent="0.25">
      <c r="C1099" s="8" t="e">
        <f>VLOOKUP(A:A,'ITEM LIST'!A:C,3,0)</f>
        <v>#N/A</v>
      </c>
      <c r="D1099" s="6">
        <f t="shared" si="18"/>
        <v>0</v>
      </c>
    </row>
    <row r="1100" spans="3:4" ht="15" x14ac:dyDescent="0.25">
      <c r="C1100" s="8" t="e">
        <f>VLOOKUP(A:A,'ITEM LIST'!A:C,3,0)</f>
        <v>#N/A</v>
      </c>
      <c r="D1100" s="6">
        <f t="shared" si="18"/>
        <v>0</v>
      </c>
    </row>
    <row r="1101" spans="3:4" ht="15" x14ac:dyDescent="0.25">
      <c r="C1101" s="8" t="e">
        <f>VLOOKUP(A:A,'ITEM LIST'!A:C,3,0)</f>
        <v>#N/A</v>
      </c>
      <c r="D1101" s="6">
        <f t="shared" si="18"/>
        <v>0</v>
      </c>
    </row>
    <row r="1102" spans="3:4" ht="15" x14ac:dyDescent="0.25">
      <c r="C1102" s="8" t="e">
        <f>VLOOKUP(A:A,'ITEM LIST'!A:C,3,0)</f>
        <v>#N/A</v>
      </c>
      <c r="D1102" s="6">
        <f t="shared" si="18"/>
        <v>0</v>
      </c>
    </row>
    <row r="1103" spans="3:4" ht="15" x14ac:dyDescent="0.25">
      <c r="C1103" s="8" t="e">
        <f>VLOOKUP(A:A,'ITEM LIST'!A:C,3,0)</f>
        <v>#N/A</v>
      </c>
      <c r="D1103" s="6">
        <f t="shared" si="18"/>
        <v>0</v>
      </c>
    </row>
    <row r="1104" spans="3:4" ht="15" x14ac:dyDescent="0.25">
      <c r="C1104" s="8" t="e">
        <f>VLOOKUP(A:A,'ITEM LIST'!A:C,3,0)</f>
        <v>#N/A</v>
      </c>
      <c r="D1104" s="6">
        <f t="shared" si="18"/>
        <v>0</v>
      </c>
    </row>
    <row r="1105" spans="3:4" ht="15" x14ac:dyDescent="0.25">
      <c r="C1105" s="8" t="e">
        <f>VLOOKUP(A:A,'ITEM LIST'!A:C,3,0)</f>
        <v>#N/A</v>
      </c>
      <c r="D1105" s="6">
        <f t="shared" si="18"/>
        <v>0</v>
      </c>
    </row>
    <row r="1106" spans="3:4" ht="15" x14ac:dyDescent="0.25">
      <c r="C1106" s="8" t="e">
        <f>VLOOKUP(A:A,'ITEM LIST'!A:C,3,0)</f>
        <v>#N/A</v>
      </c>
      <c r="D1106" s="6">
        <f t="shared" si="18"/>
        <v>0</v>
      </c>
    </row>
    <row r="1107" spans="3:4" ht="15" x14ac:dyDescent="0.25">
      <c r="C1107" s="8" t="e">
        <f>VLOOKUP(A:A,'ITEM LIST'!A:C,3,0)</f>
        <v>#N/A</v>
      </c>
      <c r="D1107" s="6">
        <f t="shared" si="18"/>
        <v>0</v>
      </c>
    </row>
    <row r="1108" spans="3:4" ht="15" x14ac:dyDescent="0.25">
      <c r="C1108" s="8" t="e">
        <f>VLOOKUP(A:A,'ITEM LIST'!A:C,3,0)</f>
        <v>#N/A</v>
      </c>
      <c r="D1108" s="6">
        <f t="shared" si="18"/>
        <v>0</v>
      </c>
    </row>
    <row r="1109" spans="3:4" ht="15" x14ac:dyDescent="0.25">
      <c r="C1109" s="8" t="e">
        <f>VLOOKUP(A:A,'ITEM LIST'!A:C,3,0)</f>
        <v>#N/A</v>
      </c>
      <c r="D1109" s="6">
        <f t="shared" si="18"/>
        <v>0</v>
      </c>
    </row>
    <row r="1110" spans="3:4" ht="15" x14ac:dyDescent="0.25">
      <c r="C1110" s="8" t="e">
        <f>VLOOKUP(A:A,'ITEM LIST'!A:C,3,0)</f>
        <v>#N/A</v>
      </c>
      <c r="D1110" s="6">
        <f t="shared" si="18"/>
        <v>0</v>
      </c>
    </row>
    <row r="1111" spans="3:4" ht="15" x14ac:dyDescent="0.25">
      <c r="C1111" s="8" t="e">
        <f>VLOOKUP(A:A,'ITEM LIST'!A:C,3,0)</f>
        <v>#N/A</v>
      </c>
      <c r="D1111" s="6">
        <f t="shared" si="18"/>
        <v>0</v>
      </c>
    </row>
    <row r="1112" spans="3:4" ht="15" x14ac:dyDescent="0.25">
      <c r="C1112" s="8" t="e">
        <f>VLOOKUP(A:A,'ITEM LIST'!A:C,3,0)</f>
        <v>#N/A</v>
      </c>
      <c r="D1112" s="6">
        <f t="shared" si="18"/>
        <v>0</v>
      </c>
    </row>
    <row r="1113" spans="3:4" ht="15" x14ac:dyDescent="0.25">
      <c r="C1113" s="8" t="e">
        <f>VLOOKUP(A:A,'ITEM LIST'!A:C,3,0)</f>
        <v>#N/A</v>
      </c>
      <c r="D1113" s="6">
        <f t="shared" si="18"/>
        <v>0</v>
      </c>
    </row>
    <row r="1114" spans="3:4" ht="15" x14ac:dyDescent="0.25">
      <c r="C1114" s="8" t="e">
        <f>VLOOKUP(A:A,'ITEM LIST'!A:C,3,0)</f>
        <v>#N/A</v>
      </c>
      <c r="D1114" s="6">
        <f t="shared" si="18"/>
        <v>0</v>
      </c>
    </row>
    <row r="1115" spans="3:4" ht="15" x14ac:dyDescent="0.25">
      <c r="C1115" s="8" t="e">
        <f>VLOOKUP(A:A,'ITEM LIST'!A:C,3,0)</f>
        <v>#N/A</v>
      </c>
      <c r="D1115" s="6">
        <f t="shared" si="18"/>
        <v>0</v>
      </c>
    </row>
    <row r="1116" spans="3:4" ht="15" x14ac:dyDescent="0.25">
      <c r="C1116" s="8" t="e">
        <f>VLOOKUP(A:A,'ITEM LIST'!A:C,3,0)</f>
        <v>#N/A</v>
      </c>
      <c r="D1116" s="6">
        <f t="shared" si="18"/>
        <v>0</v>
      </c>
    </row>
    <row r="1117" spans="3:4" ht="15" x14ac:dyDescent="0.25">
      <c r="C1117" s="8" t="e">
        <f>VLOOKUP(A:A,'ITEM LIST'!A:C,3,0)</f>
        <v>#N/A</v>
      </c>
      <c r="D1117" s="6">
        <f t="shared" si="18"/>
        <v>0</v>
      </c>
    </row>
    <row r="1118" spans="3:4" ht="15" x14ac:dyDescent="0.25">
      <c r="C1118" s="8" t="e">
        <f>VLOOKUP(A:A,'ITEM LIST'!A:C,3,0)</f>
        <v>#N/A</v>
      </c>
      <c r="D1118" s="6">
        <f t="shared" si="18"/>
        <v>0</v>
      </c>
    </row>
    <row r="1119" spans="3:4" ht="15" x14ac:dyDescent="0.25">
      <c r="C1119" s="8" t="e">
        <f>VLOOKUP(A:A,'ITEM LIST'!A:C,3,0)</f>
        <v>#N/A</v>
      </c>
      <c r="D1119" s="6">
        <f t="shared" si="18"/>
        <v>0</v>
      </c>
    </row>
    <row r="1120" spans="3:4" ht="15" x14ac:dyDescent="0.25">
      <c r="C1120" s="8" t="e">
        <f>VLOOKUP(A:A,'ITEM LIST'!A:C,3,0)</f>
        <v>#N/A</v>
      </c>
      <c r="D1120" s="6">
        <f t="shared" si="18"/>
        <v>0</v>
      </c>
    </row>
    <row r="1121" spans="3:4" ht="15" x14ac:dyDescent="0.25">
      <c r="C1121" s="8" t="e">
        <f>VLOOKUP(A:A,'ITEM LIST'!A:C,3,0)</f>
        <v>#N/A</v>
      </c>
      <c r="D1121" s="6">
        <f t="shared" si="18"/>
        <v>0</v>
      </c>
    </row>
    <row r="1122" spans="3:4" ht="15" x14ac:dyDescent="0.25">
      <c r="C1122" s="8" t="e">
        <f>VLOOKUP(A:A,'ITEM LIST'!A:C,3,0)</f>
        <v>#N/A</v>
      </c>
      <c r="D1122" s="6">
        <f t="shared" si="18"/>
        <v>0</v>
      </c>
    </row>
    <row r="1123" spans="3:4" ht="15" x14ac:dyDescent="0.25">
      <c r="C1123" s="8" t="e">
        <f>VLOOKUP(A:A,'ITEM LIST'!A:C,3,0)</f>
        <v>#N/A</v>
      </c>
      <c r="D1123" s="6">
        <f t="shared" si="18"/>
        <v>0</v>
      </c>
    </row>
    <row r="1124" spans="3:4" ht="15" x14ac:dyDescent="0.25">
      <c r="C1124" s="8" t="e">
        <f>VLOOKUP(A:A,'ITEM LIST'!A:C,3,0)</f>
        <v>#N/A</v>
      </c>
      <c r="D1124" s="6">
        <f t="shared" si="18"/>
        <v>0</v>
      </c>
    </row>
    <row r="1125" spans="3:4" ht="15" x14ac:dyDescent="0.25">
      <c r="C1125" s="8" t="e">
        <f>VLOOKUP(A:A,'ITEM LIST'!A:C,3,0)</f>
        <v>#N/A</v>
      </c>
      <c r="D1125" s="6">
        <f t="shared" si="18"/>
        <v>0</v>
      </c>
    </row>
    <row r="1126" spans="3:4" ht="15" x14ac:dyDescent="0.25">
      <c r="C1126" s="8" t="e">
        <f>VLOOKUP(A:A,'ITEM LIST'!A:C,3,0)</f>
        <v>#N/A</v>
      </c>
      <c r="D1126" s="6">
        <f t="shared" si="18"/>
        <v>0</v>
      </c>
    </row>
    <row r="1127" spans="3:4" ht="15" x14ac:dyDescent="0.25">
      <c r="C1127" s="8" t="e">
        <f>VLOOKUP(A:A,'ITEM LIST'!A:C,3,0)</f>
        <v>#N/A</v>
      </c>
      <c r="D1127" s="6">
        <f t="shared" si="18"/>
        <v>0</v>
      </c>
    </row>
    <row r="1128" spans="3:4" ht="15" x14ac:dyDescent="0.25">
      <c r="C1128" s="8" t="e">
        <f>VLOOKUP(A:A,'ITEM LIST'!A:C,3,0)</f>
        <v>#N/A</v>
      </c>
      <c r="D1128" s="6">
        <f t="shared" si="18"/>
        <v>0</v>
      </c>
    </row>
    <row r="1129" spans="3:4" ht="15" x14ac:dyDescent="0.25">
      <c r="C1129" s="8" t="e">
        <f>VLOOKUP(A:A,'ITEM LIST'!A:C,3,0)</f>
        <v>#N/A</v>
      </c>
      <c r="D1129" s="6">
        <f t="shared" si="18"/>
        <v>0</v>
      </c>
    </row>
    <row r="1130" spans="3:4" ht="15" x14ac:dyDescent="0.25">
      <c r="C1130" s="8" t="e">
        <f>VLOOKUP(A:A,'ITEM LIST'!A:C,3,0)</f>
        <v>#N/A</v>
      </c>
      <c r="D1130" s="6">
        <f t="shared" si="18"/>
        <v>0</v>
      </c>
    </row>
    <row r="1131" spans="3:4" ht="15" x14ac:dyDescent="0.25">
      <c r="C1131" s="8" t="e">
        <f>VLOOKUP(A:A,'ITEM LIST'!A:C,3,0)</f>
        <v>#N/A</v>
      </c>
      <c r="D1131" s="6">
        <f t="shared" si="18"/>
        <v>0</v>
      </c>
    </row>
    <row r="1132" spans="3:4" ht="15" x14ac:dyDescent="0.25">
      <c r="C1132" s="8" t="e">
        <f>VLOOKUP(A:A,'ITEM LIST'!A:C,3,0)</f>
        <v>#N/A</v>
      </c>
      <c r="D1132" s="6">
        <f t="shared" si="18"/>
        <v>0</v>
      </c>
    </row>
    <row r="1133" spans="3:4" ht="15" x14ac:dyDescent="0.25">
      <c r="C1133" s="8" t="e">
        <f>VLOOKUP(A:A,'ITEM LIST'!A:C,3,0)</f>
        <v>#N/A</v>
      </c>
      <c r="D1133" s="6">
        <f t="shared" si="18"/>
        <v>0</v>
      </c>
    </row>
    <row r="1134" spans="3:4" ht="15" x14ac:dyDescent="0.25">
      <c r="C1134" s="8" t="e">
        <f>VLOOKUP(A:A,'ITEM LIST'!A:C,3,0)</f>
        <v>#N/A</v>
      </c>
      <c r="D1134" s="6">
        <f t="shared" si="18"/>
        <v>0</v>
      </c>
    </row>
    <row r="1135" spans="3:4" ht="15" x14ac:dyDescent="0.25">
      <c r="C1135" s="8" t="e">
        <f>VLOOKUP(A:A,'ITEM LIST'!A:C,3,0)</f>
        <v>#N/A</v>
      </c>
      <c r="D1135" s="6">
        <f t="shared" si="18"/>
        <v>0</v>
      </c>
    </row>
    <row r="1136" spans="3:4" ht="15" x14ac:dyDescent="0.25">
      <c r="C1136" s="8" t="e">
        <f>VLOOKUP(A:A,'ITEM LIST'!A:C,3,0)</f>
        <v>#N/A</v>
      </c>
      <c r="D1136" s="6">
        <f t="shared" si="18"/>
        <v>0</v>
      </c>
    </row>
    <row r="1137" spans="3:4" ht="15" x14ac:dyDescent="0.25">
      <c r="C1137" s="8" t="e">
        <f>VLOOKUP(A:A,'ITEM LIST'!A:C,3,0)</f>
        <v>#N/A</v>
      </c>
      <c r="D1137" s="6">
        <f t="shared" si="18"/>
        <v>0</v>
      </c>
    </row>
    <row r="1138" spans="3:4" ht="15" x14ac:dyDescent="0.25">
      <c r="C1138" s="8" t="e">
        <f>VLOOKUP(A:A,'ITEM LIST'!A:C,3,0)</f>
        <v>#N/A</v>
      </c>
      <c r="D1138" s="6">
        <f t="shared" si="18"/>
        <v>0</v>
      </c>
    </row>
    <row r="1139" spans="3:4" ht="15" x14ac:dyDescent="0.25">
      <c r="C1139" s="8" t="e">
        <f>VLOOKUP(A:A,'ITEM LIST'!A:C,3,0)</f>
        <v>#N/A</v>
      </c>
      <c r="D1139" s="6">
        <f t="shared" si="18"/>
        <v>0</v>
      </c>
    </row>
    <row r="1140" spans="3:4" ht="15" x14ac:dyDescent="0.25">
      <c r="C1140" s="8" t="e">
        <f>VLOOKUP(A:A,'ITEM LIST'!A:C,3,0)</f>
        <v>#N/A</v>
      </c>
      <c r="D1140" s="6">
        <f t="shared" si="18"/>
        <v>0</v>
      </c>
    </row>
    <row r="1141" spans="3:4" ht="15" x14ac:dyDescent="0.25">
      <c r="C1141" s="8" t="e">
        <f>VLOOKUP(A:A,'ITEM LIST'!A:C,3,0)</f>
        <v>#N/A</v>
      </c>
      <c r="D1141" s="6">
        <f t="shared" si="18"/>
        <v>0</v>
      </c>
    </row>
    <row r="1142" spans="3:4" ht="15" x14ac:dyDescent="0.25">
      <c r="C1142" s="8" t="e">
        <f>VLOOKUP(A:A,'ITEM LIST'!A:C,3,0)</f>
        <v>#N/A</v>
      </c>
      <c r="D1142" s="6">
        <f t="shared" si="18"/>
        <v>0</v>
      </c>
    </row>
    <row r="1143" spans="3:4" ht="15" x14ac:dyDescent="0.25">
      <c r="C1143" s="8" t="e">
        <f>VLOOKUP(A:A,'ITEM LIST'!A:C,3,0)</f>
        <v>#N/A</v>
      </c>
      <c r="D1143" s="6">
        <f t="shared" si="18"/>
        <v>0</v>
      </c>
    </row>
    <row r="1144" spans="3:4" ht="15" x14ac:dyDescent="0.25">
      <c r="C1144" s="8" t="e">
        <f>VLOOKUP(A:A,'ITEM LIST'!A:C,3,0)</f>
        <v>#N/A</v>
      </c>
      <c r="D1144" s="6">
        <f t="shared" si="18"/>
        <v>0</v>
      </c>
    </row>
    <row r="1145" spans="3:4" ht="15" x14ac:dyDescent="0.25">
      <c r="C1145" s="8" t="e">
        <f>VLOOKUP(A:A,'ITEM LIST'!A:C,3,0)</f>
        <v>#N/A</v>
      </c>
      <c r="D1145" s="6">
        <f t="shared" si="18"/>
        <v>0</v>
      </c>
    </row>
    <row r="1146" spans="3:4" ht="15" x14ac:dyDescent="0.25">
      <c r="C1146" s="8" t="e">
        <f>VLOOKUP(A:A,'ITEM LIST'!A:C,3,0)</f>
        <v>#N/A</v>
      </c>
      <c r="D1146" s="6">
        <f t="shared" si="18"/>
        <v>0</v>
      </c>
    </row>
    <row r="1147" spans="3:4" ht="15" x14ac:dyDescent="0.25">
      <c r="C1147" s="8" t="e">
        <f>VLOOKUP(A:A,'ITEM LIST'!A:C,3,0)</f>
        <v>#N/A</v>
      </c>
      <c r="D1147" s="6">
        <f t="shared" si="18"/>
        <v>0</v>
      </c>
    </row>
    <row r="1148" spans="3:4" ht="15" x14ac:dyDescent="0.25">
      <c r="C1148" s="8" t="e">
        <f>VLOOKUP(A:A,'ITEM LIST'!A:C,3,0)</f>
        <v>#N/A</v>
      </c>
      <c r="D1148" s="6">
        <f t="shared" si="18"/>
        <v>0</v>
      </c>
    </row>
    <row r="1149" spans="3:4" ht="15" x14ac:dyDescent="0.25">
      <c r="C1149" s="8" t="e">
        <f>VLOOKUP(A:A,'ITEM LIST'!A:C,3,0)</f>
        <v>#N/A</v>
      </c>
      <c r="D1149" s="6">
        <f t="shared" si="18"/>
        <v>0</v>
      </c>
    </row>
    <row r="1150" spans="3:4" ht="15" x14ac:dyDescent="0.25">
      <c r="C1150" s="8" t="e">
        <f>VLOOKUP(A:A,'ITEM LIST'!A:C,3,0)</f>
        <v>#N/A</v>
      </c>
      <c r="D1150" s="6">
        <f t="shared" si="18"/>
        <v>0</v>
      </c>
    </row>
    <row r="1151" spans="3:4" ht="15" x14ac:dyDescent="0.25">
      <c r="C1151" s="8" t="e">
        <f>VLOOKUP(A:A,'ITEM LIST'!A:C,3,0)</f>
        <v>#N/A</v>
      </c>
      <c r="D1151" s="6">
        <f t="shared" si="18"/>
        <v>0</v>
      </c>
    </row>
    <row r="1152" spans="3:4" ht="15" x14ac:dyDescent="0.25">
      <c r="C1152" s="8" t="e">
        <f>VLOOKUP(A:A,'ITEM LIST'!A:C,3,0)</f>
        <v>#N/A</v>
      </c>
      <c r="D1152" s="6">
        <f t="shared" si="18"/>
        <v>0</v>
      </c>
    </row>
    <row r="1153" spans="3:4" ht="15" x14ac:dyDescent="0.25">
      <c r="C1153" s="8" t="e">
        <f>VLOOKUP(A:A,'ITEM LIST'!A:C,3,0)</f>
        <v>#N/A</v>
      </c>
      <c r="D1153" s="6">
        <f t="shared" si="18"/>
        <v>0</v>
      </c>
    </row>
    <row r="1154" spans="3:4" ht="15" x14ac:dyDescent="0.25">
      <c r="C1154" s="8" t="e">
        <f>VLOOKUP(A:A,'ITEM LIST'!A:C,3,0)</f>
        <v>#N/A</v>
      </c>
      <c r="D1154" s="6">
        <f t="shared" si="18"/>
        <v>0</v>
      </c>
    </row>
    <row r="1155" spans="3:4" ht="15" x14ac:dyDescent="0.25">
      <c r="C1155" s="8" t="e">
        <f>VLOOKUP(A:A,'ITEM LIST'!A:C,3,0)</f>
        <v>#N/A</v>
      </c>
      <c r="D1155" s="6">
        <f t="shared" si="18"/>
        <v>0</v>
      </c>
    </row>
    <row r="1156" spans="3:4" ht="15" x14ac:dyDescent="0.25">
      <c r="C1156" s="8" t="e">
        <f>VLOOKUP(A:A,'ITEM LIST'!A:C,3,0)</f>
        <v>#N/A</v>
      </c>
      <c r="D1156" s="6">
        <f t="shared" si="18"/>
        <v>0</v>
      </c>
    </row>
    <row r="1157" spans="3:4" ht="15" x14ac:dyDescent="0.25">
      <c r="C1157" s="8" t="e">
        <f>VLOOKUP(A:A,'ITEM LIST'!A:C,3,0)</f>
        <v>#N/A</v>
      </c>
      <c r="D1157" s="6">
        <f t="shared" si="18"/>
        <v>0</v>
      </c>
    </row>
    <row r="1158" spans="3:4" ht="15" x14ac:dyDescent="0.25">
      <c r="C1158" s="8" t="e">
        <f>VLOOKUP(A:A,'ITEM LIST'!A:C,3,0)</f>
        <v>#N/A</v>
      </c>
      <c r="D1158" s="6">
        <f t="shared" ref="D1158:D1221" si="19">B1158</f>
        <v>0</v>
      </c>
    </row>
    <row r="1159" spans="3:4" ht="15" x14ac:dyDescent="0.25">
      <c r="C1159" s="8" t="e">
        <f>VLOOKUP(A:A,'ITEM LIST'!A:C,3,0)</f>
        <v>#N/A</v>
      </c>
      <c r="D1159" s="6">
        <f t="shared" si="19"/>
        <v>0</v>
      </c>
    </row>
    <row r="1160" spans="3:4" ht="15" x14ac:dyDescent="0.25">
      <c r="C1160" s="8" t="e">
        <f>VLOOKUP(A:A,'ITEM LIST'!A:C,3,0)</f>
        <v>#N/A</v>
      </c>
      <c r="D1160" s="6">
        <f t="shared" si="19"/>
        <v>0</v>
      </c>
    </row>
    <row r="1161" spans="3:4" ht="15" x14ac:dyDescent="0.25">
      <c r="C1161" s="8" t="e">
        <f>VLOOKUP(A:A,'ITEM LIST'!A:C,3,0)</f>
        <v>#N/A</v>
      </c>
      <c r="D1161" s="6">
        <f t="shared" si="19"/>
        <v>0</v>
      </c>
    </row>
    <row r="1162" spans="3:4" ht="15" x14ac:dyDescent="0.25">
      <c r="C1162" s="8" t="e">
        <f>VLOOKUP(A:A,'ITEM LIST'!A:C,3,0)</f>
        <v>#N/A</v>
      </c>
      <c r="D1162" s="6">
        <f t="shared" si="19"/>
        <v>0</v>
      </c>
    </row>
    <row r="1163" spans="3:4" ht="15" x14ac:dyDescent="0.25">
      <c r="C1163" s="8" t="e">
        <f>VLOOKUP(A:A,'ITEM LIST'!A:C,3,0)</f>
        <v>#N/A</v>
      </c>
      <c r="D1163" s="6">
        <f t="shared" si="19"/>
        <v>0</v>
      </c>
    </row>
    <row r="1164" spans="3:4" ht="15" x14ac:dyDescent="0.25">
      <c r="C1164" s="8" t="e">
        <f>VLOOKUP(A:A,'ITEM LIST'!A:C,3,0)</f>
        <v>#N/A</v>
      </c>
      <c r="D1164" s="6">
        <f t="shared" si="19"/>
        <v>0</v>
      </c>
    </row>
    <row r="1165" spans="3:4" ht="15" x14ac:dyDescent="0.25">
      <c r="C1165" s="8" t="e">
        <f>VLOOKUP(A:A,'ITEM LIST'!A:C,3,0)</f>
        <v>#N/A</v>
      </c>
      <c r="D1165" s="6">
        <f t="shared" si="19"/>
        <v>0</v>
      </c>
    </row>
    <row r="1166" spans="3:4" ht="15" x14ac:dyDescent="0.25">
      <c r="C1166" s="8" t="e">
        <f>VLOOKUP(A:A,'ITEM LIST'!A:C,3,0)</f>
        <v>#N/A</v>
      </c>
      <c r="D1166" s="6">
        <f t="shared" si="19"/>
        <v>0</v>
      </c>
    </row>
    <row r="1167" spans="3:4" ht="15" x14ac:dyDescent="0.25">
      <c r="C1167" s="8" t="e">
        <f>VLOOKUP(A:A,'ITEM LIST'!A:C,3,0)</f>
        <v>#N/A</v>
      </c>
      <c r="D1167" s="6">
        <f t="shared" si="19"/>
        <v>0</v>
      </c>
    </row>
    <row r="1168" spans="3:4" ht="15" x14ac:dyDescent="0.25">
      <c r="C1168" s="8" t="e">
        <f>VLOOKUP(A:A,'ITEM LIST'!A:C,3,0)</f>
        <v>#N/A</v>
      </c>
      <c r="D1168" s="6">
        <f t="shared" si="19"/>
        <v>0</v>
      </c>
    </row>
    <row r="1169" spans="3:4" ht="15" x14ac:dyDescent="0.25">
      <c r="C1169" s="8" t="e">
        <f>VLOOKUP(A:A,'ITEM LIST'!A:C,3,0)</f>
        <v>#N/A</v>
      </c>
      <c r="D1169" s="6">
        <f t="shared" si="19"/>
        <v>0</v>
      </c>
    </row>
    <row r="1170" spans="3:4" ht="15" x14ac:dyDescent="0.25">
      <c r="C1170" s="8" t="e">
        <f>VLOOKUP(A:A,'ITEM LIST'!A:C,3,0)</f>
        <v>#N/A</v>
      </c>
      <c r="D1170" s="6">
        <f t="shared" si="19"/>
        <v>0</v>
      </c>
    </row>
    <row r="1171" spans="3:4" ht="15" x14ac:dyDescent="0.25">
      <c r="C1171" s="8" t="e">
        <f>VLOOKUP(A:A,'ITEM LIST'!A:C,3,0)</f>
        <v>#N/A</v>
      </c>
      <c r="D1171" s="6">
        <f t="shared" si="19"/>
        <v>0</v>
      </c>
    </row>
    <row r="1172" spans="3:4" ht="15" x14ac:dyDescent="0.25">
      <c r="C1172" s="8" t="e">
        <f>VLOOKUP(A:A,'ITEM LIST'!A:C,3,0)</f>
        <v>#N/A</v>
      </c>
      <c r="D1172" s="6">
        <f t="shared" si="19"/>
        <v>0</v>
      </c>
    </row>
    <row r="1173" spans="3:4" ht="15" x14ac:dyDescent="0.25">
      <c r="C1173" s="8" t="e">
        <f>VLOOKUP(A:A,'ITEM LIST'!A:C,3,0)</f>
        <v>#N/A</v>
      </c>
      <c r="D1173" s="6">
        <f t="shared" si="19"/>
        <v>0</v>
      </c>
    </row>
    <row r="1174" spans="3:4" ht="15" x14ac:dyDescent="0.25">
      <c r="C1174" s="8" t="e">
        <f>VLOOKUP(A:A,'ITEM LIST'!A:C,3,0)</f>
        <v>#N/A</v>
      </c>
      <c r="D1174" s="6">
        <f t="shared" si="19"/>
        <v>0</v>
      </c>
    </row>
    <row r="1175" spans="3:4" ht="15" x14ac:dyDescent="0.25">
      <c r="C1175" s="8" t="e">
        <f>VLOOKUP(A:A,'ITEM LIST'!A:C,3,0)</f>
        <v>#N/A</v>
      </c>
      <c r="D1175" s="6">
        <f t="shared" si="19"/>
        <v>0</v>
      </c>
    </row>
    <row r="1176" spans="3:4" ht="15" x14ac:dyDescent="0.25">
      <c r="C1176" s="8" t="e">
        <f>VLOOKUP(A:A,'ITEM LIST'!A:C,3,0)</f>
        <v>#N/A</v>
      </c>
      <c r="D1176" s="6">
        <f t="shared" si="19"/>
        <v>0</v>
      </c>
    </row>
    <row r="1177" spans="3:4" ht="15" x14ac:dyDescent="0.25">
      <c r="C1177" s="8" t="e">
        <f>VLOOKUP(A:A,'ITEM LIST'!A:C,3,0)</f>
        <v>#N/A</v>
      </c>
      <c r="D1177" s="6">
        <f t="shared" si="19"/>
        <v>0</v>
      </c>
    </row>
    <row r="1178" spans="3:4" ht="15" x14ac:dyDescent="0.25">
      <c r="C1178" s="8" t="e">
        <f>VLOOKUP(A:A,'ITEM LIST'!A:C,3,0)</f>
        <v>#N/A</v>
      </c>
      <c r="D1178" s="6">
        <f t="shared" si="19"/>
        <v>0</v>
      </c>
    </row>
    <row r="1179" spans="3:4" ht="15" x14ac:dyDescent="0.25">
      <c r="C1179" s="8" t="e">
        <f>VLOOKUP(A:A,'ITEM LIST'!A:C,3,0)</f>
        <v>#N/A</v>
      </c>
      <c r="D1179" s="6">
        <f t="shared" si="19"/>
        <v>0</v>
      </c>
    </row>
    <row r="1180" spans="3:4" ht="15" x14ac:dyDescent="0.25">
      <c r="C1180" s="8" t="e">
        <f>VLOOKUP(A:A,'ITEM LIST'!A:C,3,0)</f>
        <v>#N/A</v>
      </c>
      <c r="D1180" s="6">
        <f t="shared" si="19"/>
        <v>0</v>
      </c>
    </row>
    <row r="1181" spans="3:4" ht="15" x14ac:dyDescent="0.25">
      <c r="C1181" s="8" t="e">
        <f>VLOOKUP(A:A,'ITEM LIST'!A:C,3,0)</f>
        <v>#N/A</v>
      </c>
      <c r="D1181" s="6">
        <f t="shared" si="19"/>
        <v>0</v>
      </c>
    </row>
    <row r="1182" spans="3:4" ht="15" x14ac:dyDescent="0.25">
      <c r="C1182" s="8" t="e">
        <f>VLOOKUP(A:A,'ITEM LIST'!A:C,3,0)</f>
        <v>#N/A</v>
      </c>
      <c r="D1182" s="6">
        <f t="shared" si="19"/>
        <v>0</v>
      </c>
    </row>
    <row r="1183" spans="3:4" ht="15" x14ac:dyDescent="0.25">
      <c r="C1183" s="8" t="e">
        <f>VLOOKUP(A:A,'ITEM LIST'!A:C,3,0)</f>
        <v>#N/A</v>
      </c>
      <c r="D1183" s="6">
        <f t="shared" si="19"/>
        <v>0</v>
      </c>
    </row>
    <row r="1184" spans="3:4" ht="15" x14ac:dyDescent="0.25">
      <c r="C1184" s="8" t="e">
        <f>VLOOKUP(A:A,'ITEM LIST'!A:C,3,0)</f>
        <v>#N/A</v>
      </c>
      <c r="D1184" s="6">
        <f t="shared" si="19"/>
        <v>0</v>
      </c>
    </row>
    <row r="1185" spans="3:4" ht="15" x14ac:dyDescent="0.25">
      <c r="C1185" s="8" t="e">
        <f>VLOOKUP(A:A,'ITEM LIST'!A:C,3,0)</f>
        <v>#N/A</v>
      </c>
      <c r="D1185" s="6">
        <f t="shared" si="19"/>
        <v>0</v>
      </c>
    </row>
    <row r="1186" spans="3:4" ht="15" x14ac:dyDescent="0.25">
      <c r="C1186" s="8" t="e">
        <f>VLOOKUP(A:A,'ITEM LIST'!A:C,3,0)</f>
        <v>#N/A</v>
      </c>
      <c r="D1186" s="6">
        <f t="shared" si="19"/>
        <v>0</v>
      </c>
    </row>
    <row r="1187" spans="3:4" ht="15" x14ac:dyDescent="0.25">
      <c r="C1187" s="8" t="e">
        <f>VLOOKUP(A:A,'ITEM LIST'!A:C,3,0)</f>
        <v>#N/A</v>
      </c>
      <c r="D1187" s="6">
        <f t="shared" si="19"/>
        <v>0</v>
      </c>
    </row>
    <row r="1188" spans="3:4" ht="15" x14ac:dyDescent="0.25">
      <c r="C1188" s="8" t="e">
        <f>VLOOKUP(A:A,'ITEM LIST'!A:C,3,0)</f>
        <v>#N/A</v>
      </c>
      <c r="D1188" s="6">
        <f t="shared" si="19"/>
        <v>0</v>
      </c>
    </row>
    <row r="1189" spans="3:4" ht="15" x14ac:dyDescent="0.25">
      <c r="C1189" s="8" t="e">
        <f>VLOOKUP(A:A,'ITEM LIST'!A:C,3,0)</f>
        <v>#N/A</v>
      </c>
      <c r="D1189" s="6">
        <f t="shared" si="19"/>
        <v>0</v>
      </c>
    </row>
    <row r="1190" spans="3:4" ht="15" x14ac:dyDescent="0.25">
      <c r="C1190" s="8" t="e">
        <f>VLOOKUP(A:A,'ITEM LIST'!A:C,3,0)</f>
        <v>#N/A</v>
      </c>
      <c r="D1190" s="6">
        <f t="shared" si="19"/>
        <v>0</v>
      </c>
    </row>
    <row r="1191" spans="3:4" ht="15" x14ac:dyDescent="0.25">
      <c r="C1191" s="8" t="e">
        <f>VLOOKUP(A:A,'ITEM LIST'!A:C,3,0)</f>
        <v>#N/A</v>
      </c>
      <c r="D1191" s="6">
        <f t="shared" si="19"/>
        <v>0</v>
      </c>
    </row>
    <row r="1192" spans="3:4" ht="15" x14ac:dyDescent="0.25">
      <c r="C1192" s="8" t="e">
        <f>VLOOKUP(A:A,'ITEM LIST'!A:C,3,0)</f>
        <v>#N/A</v>
      </c>
      <c r="D1192" s="6">
        <f t="shared" si="19"/>
        <v>0</v>
      </c>
    </row>
    <row r="1193" spans="3:4" ht="15" x14ac:dyDescent="0.25">
      <c r="C1193" s="8" t="e">
        <f>VLOOKUP(A:A,'ITEM LIST'!A:C,3,0)</f>
        <v>#N/A</v>
      </c>
      <c r="D1193" s="6">
        <f t="shared" si="19"/>
        <v>0</v>
      </c>
    </row>
    <row r="1194" spans="3:4" ht="15" x14ac:dyDescent="0.25">
      <c r="C1194" s="8" t="e">
        <f>VLOOKUP(A:A,'ITEM LIST'!A:C,3,0)</f>
        <v>#N/A</v>
      </c>
      <c r="D1194" s="6">
        <f t="shared" si="19"/>
        <v>0</v>
      </c>
    </row>
    <row r="1195" spans="3:4" ht="15" x14ac:dyDescent="0.25">
      <c r="C1195" s="8" t="e">
        <f>VLOOKUP(A:A,'ITEM LIST'!A:C,3,0)</f>
        <v>#N/A</v>
      </c>
      <c r="D1195" s="6">
        <f t="shared" si="19"/>
        <v>0</v>
      </c>
    </row>
    <row r="1196" spans="3:4" ht="15" x14ac:dyDescent="0.25">
      <c r="C1196" s="8" t="e">
        <f>VLOOKUP(A:A,'ITEM LIST'!A:C,3,0)</f>
        <v>#N/A</v>
      </c>
      <c r="D1196" s="6">
        <f t="shared" si="19"/>
        <v>0</v>
      </c>
    </row>
    <row r="1197" spans="3:4" ht="15" x14ac:dyDescent="0.25">
      <c r="C1197" s="8" t="e">
        <f>VLOOKUP(A:A,'ITEM LIST'!A:C,3,0)</f>
        <v>#N/A</v>
      </c>
      <c r="D1197" s="6">
        <f t="shared" si="19"/>
        <v>0</v>
      </c>
    </row>
    <row r="1198" spans="3:4" ht="15" x14ac:dyDescent="0.25">
      <c r="C1198" s="8" t="e">
        <f>VLOOKUP(A:A,'ITEM LIST'!A:C,3,0)</f>
        <v>#N/A</v>
      </c>
      <c r="D1198" s="6">
        <f t="shared" si="19"/>
        <v>0</v>
      </c>
    </row>
    <row r="1199" spans="3:4" ht="15" x14ac:dyDescent="0.25">
      <c r="C1199" s="8" t="e">
        <f>VLOOKUP(A:A,'ITEM LIST'!A:C,3,0)</f>
        <v>#N/A</v>
      </c>
      <c r="D1199" s="6">
        <f t="shared" si="19"/>
        <v>0</v>
      </c>
    </row>
    <row r="1200" spans="3:4" ht="15" x14ac:dyDescent="0.25">
      <c r="C1200" s="8" t="e">
        <f>VLOOKUP(A:A,'ITEM LIST'!A:C,3,0)</f>
        <v>#N/A</v>
      </c>
      <c r="D1200" s="6">
        <f t="shared" si="19"/>
        <v>0</v>
      </c>
    </row>
    <row r="1201" spans="3:4" ht="15" x14ac:dyDescent="0.25">
      <c r="C1201" s="8" t="e">
        <f>VLOOKUP(A:A,'ITEM LIST'!A:C,3,0)</f>
        <v>#N/A</v>
      </c>
      <c r="D1201" s="6">
        <f t="shared" si="19"/>
        <v>0</v>
      </c>
    </row>
    <row r="1202" spans="3:4" ht="15" x14ac:dyDescent="0.25">
      <c r="C1202" s="8" t="e">
        <f>VLOOKUP(A:A,'ITEM LIST'!A:C,3,0)</f>
        <v>#N/A</v>
      </c>
      <c r="D1202" s="6">
        <f t="shared" si="19"/>
        <v>0</v>
      </c>
    </row>
    <row r="1203" spans="3:4" ht="15" x14ac:dyDescent="0.25">
      <c r="C1203" s="8" t="e">
        <f>VLOOKUP(A:A,'ITEM LIST'!A:C,3,0)</f>
        <v>#N/A</v>
      </c>
      <c r="D1203" s="6">
        <f t="shared" si="19"/>
        <v>0</v>
      </c>
    </row>
    <row r="1204" spans="3:4" ht="15" x14ac:dyDescent="0.25">
      <c r="C1204" s="8" t="e">
        <f>VLOOKUP(A:A,'ITEM LIST'!A:C,3,0)</f>
        <v>#N/A</v>
      </c>
      <c r="D1204" s="6">
        <f t="shared" si="19"/>
        <v>0</v>
      </c>
    </row>
    <row r="1205" spans="3:4" ht="15" x14ac:dyDescent="0.25">
      <c r="C1205" s="8" t="e">
        <f>VLOOKUP(A:A,'ITEM LIST'!A:C,3,0)</f>
        <v>#N/A</v>
      </c>
      <c r="D1205" s="6">
        <f t="shared" si="19"/>
        <v>0</v>
      </c>
    </row>
    <row r="1206" spans="3:4" ht="15" x14ac:dyDescent="0.25">
      <c r="C1206" s="8" t="e">
        <f>VLOOKUP(A:A,'ITEM LIST'!A:C,3,0)</f>
        <v>#N/A</v>
      </c>
      <c r="D1206" s="6">
        <f t="shared" si="19"/>
        <v>0</v>
      </c>
    </row>
    <row r="1207" spans="3:4" ht="15" x14ac:dyDescent="0.25">
      <c r="C1207" s="8" t="e">
        <f>VLOOKUP(A:A,'ITEM LIST'!A:C,3,0)</f>
        <v>#N/A</v>
      </c>
      <c r="D1207" s="6">
        <f t="shared" si="19"/>
        <v>0</v>
      </c>
    </row>
    <row r="1208" spans="3:4" ht="15" x14ac:dyDescent="0.25">
      <c r="C1208" s="8" t="e">
        <f>VLOOKUP(A:A,'ITEM LIST'!A:C,3,0)</f>
        <v>#N/A</v>
      </c>
      <c r="D1208" s="6">
        <f t="shared" si="19"/>
        <v>0</v>
      </c>
    </row>
    <row r="1209" spans="3:4" ht="15" x14ac:dyDescent="0.25">
      <c r="C1209" s="8" t="e">
        <f>VLOOKUP(A:A,'ITEM LIST'!A:C,3,0)</f>
        <v>#N/A</v>
      </c>
      <c r="D1209" s="6">
        <f t="shared" si="19"/>
        <v>0</v>
      </c>
    </row>
    <row r="1210" spans="3:4" ht="15" x14ac:dyDescent="0.25">
      <c r="C1210" s="8" t="e">
        <f>VLOOKUP(A:A,'ITEM LIST'!A:C,3,0)</f>
        <v>#N/A</v>
      </c>
      <c r="D1210" s="6">
        <f t="shared" si="19"/>
        <v>0</v>
      </c>
    </row>
    <row r="1211" spans="3:4" ht="15" x14ac:dyDescent="0.25">
      <c r="C1211" s="8" t="e">
        <f>VLOOKUP(A:A,'ITEM LIST'!A:C,3,0)</f>
        <v>#N/A</v>
      </c>
      <c r="D1211" s="6">
        <f t="shared" si="19"/>
        <v>0</v>
      </c>
    </row>
    <row r="1212" spans="3:4" ht="15" x14ac:dyDescent="0.25">
      <c r="C1212" s="8" t="e">
        <f>VLOOKUP(A:A,'ITEM LIST'!A:C,3,0)</f>
        <v>#N/A</v>
      </c>
      <c r="D1212" s="6">
        <f t="shared" si="19"/>
        <v>0</v>
      </c>
    </row>
    <row r="1213" spans="3:4" ht="15" x14ac:dyDescent="0.25">
      <c r="C1213" s="8" t="e">
        <f>VLOOKUP(A:A,'ITEM LIST'!A:C,3,0)</f>
        <v>#N/A</v>
      </c>
      <c r="D1213" s="6">
        <f t="shared" si="19"/>
        <v>0</v>
      </c>
    </row>
    <row r="1214" spans="3:4" ht="15" x14ac:dyDescent="0.25">
      <c r="C1214" s="8" t="e">
        <f>VLOOKUP(A:A,'ITEM LIST'!A:C,3,0)</f>
        <v>#N/A</v>
      </c>
      <c r="D1214" s="6">
        <f t="shared" si="19"/>
        <v>0</v>
      </c>
    </row>
    <row r="1215" spans="3:4" ht="15" x14ac:dyDescent="0.25">
      <c r="C1215" s="8" t="e">
        <f>VLOOKUP(A:A,'ITEM LIST'!A:C,3,0)</f>
        <v>#N/A</v>
      </c>
      <c r="D1215" s="6">
        <f t="shared" si="19"/>
        <v>0</v>
      </c>
    </row>
    <row r="1216" spans="3:4" ht="15" x14ac:dyDescent="0.25">
      <c r="C1216" s="8" t="e">
        <f>VLOOKUP(A:A,'ITEM LIST'!A:C,3,0)</f>
        <v>#N/A</v>
      </c>
      <c r="D1216" s="6">
        <f t="shared" si="19"/>
        <v>0</v>
      </c>
    </row>
    <row r="1217" spans="3:4" ht="15" x14ac:dyDescent="0.25">
      <c r="C1217" s="8" t="e">
        <f>VLOOKUP(A:A,'ITEM LIST'!A:C,3,0)</f>
        <v>#N/A</v>
      </c>
      <c r="D1217" s="6">
        <f t="shared" si="19"/>
        <v>0</v>
      </c>
    </row>
    <row r="1218" spans="3:4" ht="15" x14ac:dyDescent="0.25">
      <c r="C1218" s="8" t="e">
        <f>VLOOKUP(A:A,'ITEM LIST'!A:C,3,0)</f>
        <v>#N/A</v>
      </c>
      <c r="D1218" s="6">
        <f t="shared" si="19"/>
        <v>0</v>
      </c>
    </row>
    <row r="1219" spans="3:4" ht="15" x14ac:dyDescent="0.25">
      <c r="C1219" s="8" t="e">
        <f>VLOOKUP(A:A,'ITEM LIST'!A:C,3,0)</f>
        <v>#N/A</v>
      </c>
      <c r="D1219" s="6">
        <f t="shared" si="19"/>
        <v>0</v>
      </c>
    </row>
    <row r="1220" spans="3:4" ht="15" x14ac:dyDescent="0.25">
      <c r="C1220" s="8" t="e">
        <f>VLOOKUP(A:A,'ITEM LIST'!A:C,3,0)</f>
        <v>#N/A</v>
      </c>
      <c r="D1220" s="6">
        <f t="shared" si="19"/>
        <v>0</v>
      </c>
    </row>
    <row r="1221" spans="3:4" ht="15" x14ac:dyDescent="0.25">
      <c r="C1221" s="8" t="e">
        <f>VLOOKUP(A:A,'ITEM LIST'!A:C,3,0)</f>
        <v>#N/A</v>
      </c>
      <c r="D1221" s="6">
        <f t="shared" si="19"/>
        <v>0</v>
      </c>
    </row>
    <row r="1222" spans="3:4" ht="15" x14ac:dyDescent="0.25">
      <c r="C1222" s="8" t="e">
        <f>VLOOKUP(A:A,'ITEM LIST'!A:C,3,0)</f>
        <v>#N/A</v>
      </c>
      <c r="D1222" s="6">
        <f t="shared" ref="D1222:D1285" si="20">B1222</f>
        <v>0</v>
      </c>
    </row>
    <row r="1223" spans="3:4" ht="15" x14ac:dyDescent="0.25">
      <c r="C1223" s="8" t="e">
        <f>VLOOKUP(A:A,'ITEM LIST'!A:C,3,0)</f>
        <v>#N/A</v>
      </c>
      <c r="D1223" s="6">
        <f t="shared" si="20"/>
        <v>0</v>
      </c>
    </row>
    <row r="1224" spans="3:4" ht="15" x14ac:dyDescent="0.25">
      <c r="C1224" s="8" t="e">
        <f>VLOOKUP(A:A,'ITEM LIST'!A:C,3,0)</f>
        <v>#N/A</v>
      </c>
      <c r="D1224" s="6">
        <f t="shared" si="20"/>
        <v>0</v>
      </c>
    </row>
    <row r="1225" spans="3:4" ht="15" x14ac:dyDescent="0.25">
      <c r="C1225" s="8" t="e">
        <f>VLOOKUP(A:A,'ITEM LIST'!A:C,3,0)</f>
        <v>#N/A</v>
      </c>
      <c r="D1225" s="6">
        <f t="shared" si="20"/>
        <v>0</v>
      </c>
    </row>
    <row r="1226" spans="3:4" ht="15" x14ac:dyDescent="0.25">
      <c r="C1226" s="8" t="e">
        <f>VLOOKUP(A:A,'ITEM LIST'!A:C,3,0)</f>
        <v>#N/A</v>
      </c>
      <c r="D1226" s="6">
        <f t="shared" si="20"/>
        <v>0</v>
      </c>
    </row>
    <row r="1227" spans="3:4" ht="15" x14ac:dyDescent="0.25">
      <c r="C1227" s="8" t="e">
        <f>VLOOKUP(A:A,'ITEM LIST'!A:C,3,0)</f>
        <v>#N/A</v>
      </c>
      <c r="D1227" s="6">
        <f t="shared" si="20"/>
        <v>0</v>
      </c>
    </row>
    <row r="1228" spans="3:4" ht="15" x14ac:dyDescent="0.25">
      <c r="C1228" s="8" t="e">
        <f>VLOOKUP(A:A,'ITEM LIST'!A:C,3,0)</f>
        <v>#N/A</v>
      </c>
      <c r="D1228" s="6">
        <f t="shared" si="20"/>
        <v>0</v>
      </c>
    </row>
    <row r="1229" spans="3:4" ht="15" x14ac:dyDescent="0.25">
      <c r="C1229" s="8" t="e">
        <f>VLOOKUP(A:A,'ITEM LIST'!A:C,3,0)</f>
        <v>#N/A</v>
      </c>
      <c r="D1229" s="6">
        <f t="shared" si="20"/>
        <v>0</v>
      </c>
    </row>
    <row r="1230" spans="3:4" ht="15" x14ac:dyDescent="0.25">
      <c r="C1230" s="8" t="e">
        <f>VLOOKUP(A:A,'ITEM LIST'!A:C,3,0)</f>
        <v>#N/A</v>
      </c>
      <c r="D1230" s="6">
        <f t="shared" si="20"/>
        <v>0</v>
      </c>
    </row>
    <row r="1231" spans="3:4" ht="15" x14ac:dyDescent="0.25">
      <c r="C1231" s="8" t="e">
        <f>VLOOKUP(A:A,'ITEM LIST'!A:C,3,0)</f>
        <v>#N/A</v>
      </c>
      <c r="D1231" s="6">
        <f t="shared" si="20"/>
        <v>0</v>
      </c>
    </row>
    <row r="1232" spans="3:4" ht="15" x14ac:dyDescent="0.25">
      <c r="C1232" s="8" t="e">
        <f>VLOOKUP(A:A,'ITEM LIST'!A:C,3,0)</f>
        <v>#N/A</v>
      </c>
      <c r="D1232" s="6">
        <f t="shared" si="20"/>
        <v>0</v>
      </c>
    </row>
    <row r="1233" spans="3:4" ht="15" x14ac:dyDescent="0.25">
      <c r="C1233" s="8" t="e">
        <f>VLOOKUP(A:A,'ITEM LIST'!A:C,3,0)</f>
        <v>#N/A</v>
      </c>
      <c r="D1233" s="6">
        <f t="shared" si="20"/>
        <v>0</v>
      </c>
    </row>
    <row r="1234" spans="3:4" ht="15" x14ac:dyDescent="0.25">
      <c r="C1234" s="8" t="e">
        <f>VLOOKUP(A:A,'ITEM LIST'!A:C,3,0)</f>
        <v>#N/A</v>
      </c>
      <c r="D1234" s="6">
        <f t="shared" si="20"/>
        <v>0</v>
      </c>
    </row>
    <row r="1235" spans="3:4" ht="15" x14ac:dyDescent="0.25">
      <c r="C1235" s="8" t="e">
        <f>VLOOKUP(A:A,'ITEM LIST'!A:C,3,0)</f>
        <v>#N/A</v>
      </c>
      <c r="D1235" s="6">
        <f t="shared" si="20"/>
        <v>0</v>
      </c>
    </row>
    <row r="1236" spans="3:4" ht="15" x14ac:dyDescent="0.25">
      <c r="C1236" s="8" t="e">
        <f>VLOOKUP(A:A,'ITEM LIST'!A:C,3,0)</f>
        <v>#N/A</v>
      </c>
      <c r="D1236" s="6">
        <f t="shared" si="20"/>
        <v>0</v>
      </c>
    </row>
    <row r="1237" spans="3:4" ht="15" x14ac:dyDescent="0.25">
      <c r="C1237" s="8" t="e">
        <f>VLOOKUP(A:A,'ITEM LIST'!A:C,3,0)</f>
        <v>#N/A</v>
      </c>
      <c r="D1237" s="6">
        <f t="shared" si="20"/>
        <v>0</v>
      </c>
    </row>
    <row r="1238" spans="3:4" ht="15" x14ac:dyDescent="0.25">
      <c r="C1238" s="8" t="e">
        <f>VLOOKUP(A:A,'ITEM LIST'!A:C,3,0)</f>
        <v>#N/A</v>
      </c>
      <c r="D1238" s="6">
        <f t="shared" si="20"/>
        <v>0</v>
      </c>
    </row>
    <row r="1239" spans="3:4" ht="15" x14ac:dyDescent="0.25">
      <c r="C1239" s="8" t="e">
        <f>VLOOKUP(A:A,'ITEM LIST'!A:C,3,0)</f>
        <v>#N/A</v>
      </c>
      <c r="D1239" s="6">
        <f t="shared" si="20"/>
        <v>0</v>
      </c>
    </row>
    <row r="1240" spans="3:4" ht="15" x14ac:dyDescent="0.25">
      <c r="C1240" s="8" t="e">
        <f>VLOOKUP(A:A,'ITEM LIST'!A:C,3,0)</f>
        <v>#N/A</v>
      </c>
      <c r="D1240" s="6">
        <f t="shared" si="20"/>
        <v>0</v>
      </c>
    </row>
    <row r="1241" spans="3:4" ht="15" x14ac:dyDescent="0.25">
      <c r="C1241" s="8" t="e">
        <f>VLOOKUP(A:A,'ITEM LIST'!A:C,3,0)</f>
        <v>#N/A</v>
      </c>
      <c r="D1241" s="6">
        <f t="shared" si="20"/>
        <v>0</v>
      </c>
    </row>
    <row r="1242" spans="3:4" ht="15" x14ac:dyDescent="0.25">
      <c r="C1242" s="8" t="e">
        <f>VLOOKUP(A:A,'ITEM LIST'!A:C,3,0)</f>
        <v>#N/A</v>
      </c>
      <c r="D1242" s="6">
        <f t="shared" si="20"/>
        <v>0</v>
      </c>
    </row>
    <row r="1243" spans="3:4" ht="15" x14ac:dyDescent="0.25">
      <c r="C1243" s="8" t="e">
        <f>VLOOKUP(A:A,'ITEM LIST'!A:C,3,0)</f>
        <v>#N/A</v>
      </c>
      <c r="D1243" s="6">
        <f t="shared" si="20"/>
        <v>0</v>
      </c>
    </row>
    <row r="1244" spans="3:4" ht="15" x14ac:dyDescent="0.25">
      <c r="C1244" s="8" t="e">
        <f>VLOOKUP(A:A,'ITEM LIST'!A:C,3,0)</f>
        <v>#N/A</v>
      </c>
      <c r="D1244" s="6">
        <f t="shared" si="20"/>
        <v>0</v>
      </c>
    </row>
    <row r="1245" spans="3:4" ht="15" x14ac:dyDescent="0.25">
      <c r="C1245" s="8" t="e">
        <f>VLOOKUP(A:A,'ITEM LIST'!A:C,3,0)</f>
        <v>#N/A</v>
      </c>
      <c r="D1245" s="6">
        <f t="shared" si="20"/>
        <v>0</v>
      </c>
    </row>
    <row r="1246" spans="3:4" ht="15" x14ac:dyDescent="0.25">
      <c r="C1246" s="8" t="e">
        <f>VLOOKUP(A:A,'ITEM LIST'!A:C,3,0)</f>
        <v>#N/A</v>
      </c>
      <c r="D1246" s="6">
        <f t="shared" si="20"/>
        <v>0</v>
      </c>
    </row>
    <row r="1247" spans="3:4" ht="15" x14ac:dyDescent="0.25">
      <c r="C1247" s="8" t="e">
        <f>VLOOKUP(A:A,'ITEM LIST'!A:C,3,0)</f>
        <v>#N/A</v>
      </c>
      <c r="D1247" s="6">
        <f t="shared" si="20"/>
        <v>0</v>
      </c>
    </row>
    <row r="1248" spans="3:4" ht="15" x14ac:dyDescent="0.25">
      <c r="C1248" s="8" t="e">
        <f>VLOOKUP(A:A,'ITEM LIST'!A:C,3,0)</f>
        <v>#N/A</v>
      </c>
      <c r="D1248" s="6">
        <f t="shared" si="20"/>
        <v>0</v>
      </c>
    </row>
    <row r="1249" spans="3:4" ht="15" x14ac:dyDescent="0.25">
      <c r="C1249" s="8" t="e">
        <f>VLOOKUP(A:A,'ITEM LIST'!A:C,3,0)</f>
        <v>#N/A</v>
      </c>
      <c r="D1249" s="6">
        <f t="shared" si="20"/>
        <v>0</v>
      </c>
    </row>
    <row r="1250" spans="3:4" ht="15" x14ac:dyDescent="0.25">
      <c r="C1250" s="8" t="e">
        <f>VLOOKUP(A:A,'ITEM LIST'!A:C,3,0)</f>
        <v>#N/A</v>
      </c>
      <c r="D1250" s="6">
        <f t="shared" si="20"/>
        <v>0</v>
      </c>
    </row>
    <row r="1251" spans="3:4" ht="15" x14ac:dyDescent="0.25">
      <c r="C1251" s="8" t="e">
        <f>VLOOKUP(A:A,'ITEM LIST'!A:C,3,0)</f>
        <v>#N/A</v>
      </c>
      <c r="D1251" s="6">
        <f t="shared" si="20"/>
        <v>0</v>
      </c>
    </row>
    <row r="1252" spans="3:4" ht="15" x14ac:dyDescent="0.25">
      <c r="C1252" s="8" t="e">
        <f>VLOOKUP(A:A,'ITEM LIST'!A:C,3,0)</f>
        <v>#N/A</v>
      </c>
      <c r="D1252" s="6">
        <f t="shared" si="20"/>
        <v>0</v>
      </c>
    </row>
    <row r="1253" spans="3:4" ht="15" x14ac:dyDescent="0.25">
      <c r="C1253" s="8" t="e">
        <f>VLOOKUP(A:A,'ITEM LIST'!A:C,3,0)</f>
        <v>#N/A</v>
      </c>
      <c r="D1253" s="6">
        <f t="shared" si="20"/>
        <v>0</v>
      </c>
    </row>
    <row r="1254" spans="3:4" ht="15" x14ac:dyDescent="0.25">
      <c r="C1254" s="8" t="e">
        <f>VLOOKUP(A:A,'ITEM LIST'!A:C,3,0)</f>
        <v>#N/A</v>
      </c>
      <c r="D1254" s="6">
        <f t="shared" si="20"/>
        <v>0</v>
      </c>
    </row>
    <row r="1255" spans="3:4" ht="15" x14ac:dyDescent="0.25">
      <c r="C1255" s="8" t="e">
        <f>VLOOKUP(A:A,'ITEM LIST'!A:C,3,0)</f>
        <v>#N/A</v>
      </c>
      <c r="D1255" s="6">
        <f t="shared" si="20"/>
        <v>0</v>
      </c>
    </row>
    <row r="1256" spans="3:4" ht="15" x14ac:dyDescent="0.25">
      <c r="C1256" s="8" t="e">
        <f>VLOOKUP(A:A,'ITEM LIST'!A:C,3,0)</f>
        <v>#N/A</v>
      </c>
      <c r="D1256" s="6">
        <f t="shared" si="20"/>
        <v>0</v>
      </c>
    </row>
    <row r="1257" spans="3:4" ht="15" x14ac:dyDescent="0.25">
      <c r="C1257" s="8" t="e">
        <f>VLOOKUP(A:A,'ITEM LIST'!A:C,3,0)</f>
        <v>#N/A</v>
      </c>
      <c r="D1257" s="6">
        <f t="shared" si="20"/>
        <v>0</v>
      </c>
    </row>
    <row r="1258" spans="3:4" ht="15" x14ac:dyDescent="0.25">
      <c r="C1258" s="8" t="e">
        <f>VLOOKUP(A:A,'ITEM LIST'!A:C,3,0)</f>
        <v>#N/A</v>
      </c>
      <c r="D1258" s="6">
        <f t="shared" si="20"/>
        <v>0</v>
      </c>
    </row>
    <row r="1259" spans="3:4" ht="15" x14ac:dyDescent="0.25">
      <c r="C1259" s="8" t="e">
        <f>VLOOKUP(A:A,'ITEM LIST'!A:C,3,0)</f>
        <v>#N/A</v>
      </c>
      <c r="D1259" s="6">
        <f t="shared" si="20"/>
        <v>0</v>
      </c>
    </row>
    <row r="1260" spans="3:4" ht="15" x14ac:dyDescent="0.25">
      <c r="C1260" s="8" t="e">
        <f>VLOOKUP(A:A,'ITEM LIST'!A:C,3,0)</f>
        <v>#N/A</v>
      </c>
      <c r="D1260" s="6">
        <f t="shared" si="20"/>
        <v>0</v>
      </c>
    </row>
    <row r="1261" spans="3:4" ht="15" x14ac:dyDescent="0.25">
      <c r="C1261" s="8" t="e">
        <f>VLOOKUP(A:A,'ITEM LIST'!A:C,3,0)</f>
        <v>#N/A</v>
      </c>
      <c r="D1261" s="6">
        <f t="shared" si="20"/>
        <v>0</v>
      </c>
    </row>
    <row r="1262" spans="3:4" ht="15" x14ac:dyDescent="0.25">
      <c r="C1262" s="8" t="e">
        <f>VLOOKUP(A:A,'ITEM LIST'!A:C,3,0)</f>
        <v>#N/A</v>
      </c>
      <c r="D1262" s="6">
        <f t="shared" si="20"/>
        <v>0</v>
      </c>
    </row>
    <row r="1263" spans="3:4" ht="15" x14ac:dyDescent="0.25">
      <c r="C1263" s="8" t="e">
        <f>VLOOKUP(A:A,'ITEM LIST'!A:C,3,0)</f>
        <v>#N/A</v>
      </c>
      <c r="D1263" s="6">
        <f t="shared" si="20"/>
        <v>0</v>
      </c>
    </row>
    <row r="1264" spans="3:4" ht="15" x14ac:dyDescent="0.25">
      <c r="C1264" s="8" t="e">
        <f>VLOOKUP(A:A,'ITEM LIST'!A:C,3,0)</f>
        <v>#N/A</v>
      </c>
      <c r="D1264" s="6">
        <f t="shared" si="20"/>
        <v>0</v>
      </c>
    </row>
    <row r="1265" spans="3:4" ht="15" x14ac:dyDescent="0.25">
      <c r="C1265" s="8" t="e">
        <f>VLOOKUP(A:A,'ITEM LIST'!A:C,3,0)</f>
        <v>#N/A</v>
      </c>
      <c r="D1265" s="6">
        <f t="shared" si="20"/>
        <v>0</v>
      </c>
    </row>
    <row r="1266" spans="3:4" ht="15" x14ac:dyDescent="0.25">
      <c r="C1266" s="8" t="e">
        <f>VLOOKUP(A:A,'ITEM LIST'!A:C,3,0)</f>
        <v>#N/A</v>
      </c>
      <c r="D1266" s="6">
        <f t="shared" si="20"/>
        <v>0</v>
      </c>
    </row>
    <row r="1267" spans="3:4" ht="15" x14ac:dyDescent="0.25">
      <c r="C1267" s="8" t="e">
        <f>VLOOKUP(A:A,'ITEM LIST'!A:C,3,0)</f>
        <v>#N/A</v>
      </c>
      <c r="D1267" s="6">
        <f t="shared" si="20"/>
        <v>0</v>
      </c>
    </row>
    <row r="1268" spans="3:4" ht="15" x14ac:dyDescent="0.25">
      <c r="C1268" s="8" t="e">
        <f>VLOOKUP(A:A,'ITEM LIST'!A:C,3,0)</f>
        <v>#N/A</v>
      </c>
      <c r="D1268" s="6">
        <f t="shared" si="20"/>
        <v>0</v>
      </c>
    </row>
    <row r="1269" spans="3:4" ht="15" x14ac:dyDescent="0.25">
      <c r="C1269" s="8" t="e">
        <f>VLOOKUP(A:A,'ITEM LIST'!A:C,3,0)</f>
        <v>#N/A</v>
      </c>
      <c r="D1269" s="6">
        <f t="shared" si="20"/>
        <v>0</v>
      </c>
    </row>
    <row r="1270" spans="3:4" ht="15" x14ac:dyDescent="0.25">
      <c r="C1270" s="8" t="e">
        <f>VLOOKUP(A:A,'ITEM LIST'!A:C,3,0)</f>
        <v>#N/A</v>
      </c>
      <c r="D1270" s="6">
        <f t="shared" si="20"/>
        <v>0</v>
      </c>
    </row>
    <row r="1271" spans="3:4" ht="15" x14ac:dyDescent="0.25">
      <c r="C1271" s="8" t="e">
        <f>VLOOKUP(A:A,'ITEM LIST'!A:C,3,0)</f>
        <v>#N/A</v>
      </c>
      <c r="D1271" s="6">
        <f t="shared" si="20"/>
        <v>0</v>
      </c>
    </row>
    <row r="1272" spans="3:4" ht="15" x14ac:dyDescent="0.25">
      <c r="C1272" s="8" t="e">
        <f>VLOOKUP(A:A,'ITEM LIST'!A:C,3,0)</f>
        <v>#N/A</v>
      </c>
      <c r="D1272" s="6">
        <f t="shared" si="20"/>
        <v>0</v>
      </c>
    </row>
    <row r="1273" spans="3:4" ht="15" x14ac:dyDescent="0.25">
      <c r="C1273" s="8" t="e">
        <f>VLOOKUP(A:A,'ITEM LIST'!A:C,3,0)</f>
        <v>#N/A</v>
      </c>
      <c r="D1273" s="6">
        <f t="shared" si="20"/>
        <v>0</v>
      </c>
    </row>
    <row r="1274" spans="3:4" ht="15" x14ac:dyDescent="0.25">
      <c r="C1274" s="8" t="e">
        <f>VLOOKUP(A:A,'ITEM LIST'!A:C,3,0)</f>
        <v>#N/A</v>
      </c>
      <c r="D1274" s="6">
        <f t="shared" si="20"/>
        <v>0</v>
      </c>
    </row>
    <row r="1275" spans="3:4" ht="15" x14ac:dyDescent="0.25">
      <c r="C1275" s="8" t="e">
        <f>VLOOKUP(A:A,'ITEM LIST'!A:C,3,0)</f>
        <v>#N/A</v>
      </c>
      <c r="D1275" s="6">
        <f t="shared" si="20"/>
        <v>0</v>
      </c>
    </row>
    <row r="1276" spans="3:4" ht="15" x14ac:dyDescent="0.25">
      <c r="C1276" s="8" t="e">
        <f>VLOOKUP(A:A,'ITEM LIST'!A:C,3,0)</f>
        <v>#N/A</v>
      </c>
      <c r="D1276" s="6">
        <f t="shared" si="20"/>
        <v>0</v>
      </c>
    </row>
    <row r="1277" spans="3:4" ht="15" x14ac:dyDescent="0.25">
      <c r="C1277" s="8" t="e">
        <f>VLOOKUP(A:A,'ITEM LIST'!A:C,3,0)</f>
        <v>#N/A</v>
      </c>
      <c r="D1277" s="6">
        <f t="shared" si="20"/>
        <v>0</v>
      </c>
    </row>
    <row r="1278" spans="3:4" ht="15" x14ac:dyDescent="0.25">
      <c r="C1278" s="8" t="e">
        <f>VLOOKUP(A:A,'ITEM LIST'!A:C,3,0)</f>
        <v>#N/A</v>
      </c>
      <c r="D1278" s="6">
        <f t="shared" si="20"/>
        <v>0</v>
      </c>
    </row>
    <row r="1279" spans="3:4" ht="15" x14ac:dyDescent="0.25">
      <c r="C1279" s="8" t="e">
        <f>VLOOKUP(A:A,'ITEM LIST'!A:C,3,0)</f>
        <v>#N/A</v>
      </c>
      <c r="D1279" s="6">
        <f t="shared" si="20"/>
        <v>0</v>
      </c>
    </row>
    <row r="1280" spans="3:4" ht="15" x14ac:dyDescent="0.25">
      <c r="C1280" s="8" t="e">
        <f>VLOOKUP(A:A,'ITEM LIST'!A:C,3,0)</f>
        <v>#N/A</v>
      </c>
      <c r="D1280" s="6">
        <f t="shared" si="20"/>
        <v>0</v>
      </c>
    </row>
    <row r="1281" spans="3:4" ht="15" x14ac:dyDescent="0.25">
      <c r="C1281" s="8" t="e">
        <f>VLOOKUP(A:A,'ITEM LIST'!A:C,3,0)</f>
        <v>#N/A</v>
      </c>
      <c r="D1281" s="6">
        <f t="shared" si="20"/>
        <v>0</v>
      </c>
    </row>
    <row r="1282" spans="3:4" ht="15" x14ac:dyDescent="0.25">
      <c r="C1282" s="8" t="e">
        <f>VLOOKUP(A:A,'ITEM LIST'!A:C,3,0)</f>
        <v>#N/A</v>
      </c>
      <c r="D1282" s="6">
        <f t="shared" si="20"/>
        <v>0</v>
      </c>
    </row>
    <row r="1283" spans="3:4" ht="15" x14ac:dyDescent="0.25">
      <c r="C1283" s="8" t="e">
        <f>VLOOKUP(A:A,'ITEM LIST'!A:C,3,0)</f>
        <v>#N/A</v>
      </c>
      <c r="D1283" s="6">
        <f t="shared" si="20"/>
        <v>0</v>
      </c>
    </row>
    <row r="1284" spans="3:4" ht="15" x14ac:dyDescent="0.25">
      <c r="C1284" s="8" t="e">
        <f>VLOOKUP(A:A,'ITEM LIST'!A:C,3,0)</f>
        <v>#N/A</v>
      </c>
      <c r="D1284" s="6">
        <f t="shared" si="20"/>
        <v>0</v>
      </c>
    </row>
    <row r="1285" spans="3:4" ht="15" x14ac:dyDescent="0.25">
      <c r="C1285" s="8" t="e">
        <f>VLOOKUP(A:A,'ITEM LIST'!A:C,3,0)</f>
        <v>#N/A</v>
      </c>
      <c r="D1285" s="6">
        <f t="shared" si="20"/>
        <v>0</v>
      </c>
    </row>
    <row r="1286" spans="3:4" ht="15" x14ac:dyDescent="0.25">
      <c r="C1286" s="8" t="e">
        <f>VLOOKUP(A:A,'ITEM LIST'!A:C,3,0)</f>
        <v>#N/A</v>
      </c>
      <c r="D1286" s="6">
        <f t="shared" ref="D1286:D1349" si="21">B1286</f>
        <v>0</v>
      </c>
    </row>
    <row r="1287" spans="3:4" ht="15" x14ac:dyDescent="0.25">
      <c r="C1287" s="8" t="e">
        <f>VLOOKUP(A:A,'ITEM LIST'!A:C,3,0)</f>
        <v>#N/A</v>
      </c>
      <c r="D1287" s="6">
        <f t="shared" si="21"/>
        <v>0</v>
      </c>
    </row>
    <row r="1288" spans="3:4" ht="15" x14ac:dyDescent="0.25">
      <c r="C1288" s="8" t="e">
        <f>VLOOKUP(A:A,'ITEM LIST'!A:C,3,0)</f>
        <v>#N/A</v>
      </c>
      <c r="D1288" s="6">
        <f t="shared" si="21"/>
        <v>0</v>
      </c>
    </row>
    <row r="1289" spans="3:4" ht="15" x14ac:dyDescent="0.25">
      <c r="C1289" s="8" t="e">
        <f>VLOOKUP(A:A,'ITEM LIST'!A:C,3,0)</f>
        <v>#N/A</v>
      </c>
      <c r="D1289" s="6">
        <f t="shared" si="21"/>
        <v>0</v>
      </c>
    </row>
    <row r="1290" spans="3:4" ht="15" x14ac:dyDescent="0.25">
      <c r="C1290" s="8" t="e">
        <f>VLOOKUP(A:A,'ITEM LIST'!A:C,3,0)</f>
        <v>#N/A</v>
      </c>
      <c r="D1290" s="6">
        <f t="shared" si="21"/>
        <v>0</v>
      </c>
    </row>
    <row r="1291" spans="3:4" ht="15" x14ac:dyDescent="0.25">
      <c r="C1291" s="8" t="e">
        <f>VLOOKUP(A:A,'ITEM LIST'!A:C,3,0)</f>
        <v>#N/A</v>
      </c>
      <c r="D1291" s="6">
        <f t="shared" si="21"/>
        <v>0</v>
      </c>
    </row>
    <row r="1292" spans="3:4" ht="15" x14ac:dyDescent="0.25">
      <c r="C1292" s="8" t="e">
        <f>VLOOKUP(A:A,'ITEM LIST'!A:C,3,0)</f>
        <v>#N/A</v>
      </c>
      <c r="D1292" s="6">
        <f t="shared" si="21"/>
        <v>0</v>
      </c>
    </row>
    <row r="1293" spans="3:4" ht="15" x14ac:dyDescent="0.25">
      <c r="C1293" s="8" t="e">
        <f>VLOOKUP(A:A,'ITEM LIST'!A:C,3,0)</f>
        <v>#N/A</v>
      </c>
      <c r="D1293" s="6">
        <f t="shared" si="21"/>
        <v>0</v>
      </c>
    </row>
    <row r="1294" spans="3:4" ht="15" x14ac:dyDescent="0.25">
      <c r="C1294" s="8" t="e">
        <f>VLOOKUP(A:A,'ITEM LIST'!A:C,3,0)</f>
        <v>#N/A</v>
      </c>
      <c r="D1294" s="6">
        <f t="shared" si="21"/>
        <v>0</v>
      </c>
    </row>
    <row r="1295" spans="3:4" ht="15" x14ac:dyDescent="0.25">
      <c r="C1295" s="8" t="e">
        <f>VLOOKUP(A:A,'ITEM LIST'!A:C,3,0)</f>
        <v>#N/A</v>
      </c>
      <c r="D1295" s="6">
        <f t="shared" si="21"/>
        <v>0</v>
      </c>
    </row>
    <row r="1296" spans="3:4" ht="15" x14ac:dyDescent="0.25">
      <c r="C1296" s="8" t="e">
        <f>VLOOKUP(A:A,'ITEM LIST'!A:C,3,0)</f>
        <v>#N/A</v>
      </c>
      <c r="D1296" s="6">
        <f t="shared" si="21"/>
        <v>0</v>
      </c>
    </row>
    <row r="1297" spans="3:4" ht="15" x14ac:dyDescent="0.25">
      <c r="C1297" s="8" t="e">
        <f>VLOOKUP(A:A,'ITEM LIST'!A:C,3,0)</f>
        <v>#N/A</v>
      </c>
      <c r="D1297" s="6">
        <f t="shared" si="21"/>
        <v>0</v>
      </c>
    </row>
    <row r="1298" spans="3:4" ht="15" x14ac:dyDescent="0.25">
      <c r="C1298" s="8" t="e">
        <f>VLOOKUP(A:A,'ITEM LIST'!A:C,3,0)</f>
        <v>#N/A</v>
      </c>
      <c r="D1298" s="6">
        <f t="shared" si="21"/>
        <v>0</v>
      </c>
    </row>
    <row r="1299" spans="3:4" ht="15" x14ac:dyDescent="0.25">
      <c r="C1299" s="8" t="e">
        <f>VLOOKUP(A:A,'ITEM LIST'!A:C,3,0)</f>
        <v>#N/A</v>
      </c>
      <c r="D1299" s="6">
        <f t="shared" si="21"/>
        <v>0</v>
      </c>
    </row>
    <row r="1300" spans="3:4" ht="15" x14ac:dyDescent="0.25">
      <c r="C1300" s="8" t="e">
        <f>VLOOKUP(A:A,'ITEM LIST'!A:C,3,0)</f>
        <v>#N/A</v>
      </c>
      <c r="D1300" s="6">
        <f t="shared" si="21"/>
        <v>0</v>
      </c>
    </row>
    <row r="1301" spans="3:4" ht="15" x14ac:dyDescent="0.25">
      <c r="C1301" s="8" t="e">
        <f>VLOOKUP(A:A,'ITEM LIST'!A:C,3,0)</f>
        <v>#N/A</v>
      </c>
      <c r="D1301" s="6">
        <f t="shared" si="21"/>
        <v>0</v>
      </c>
    </row>
    <row r="1302" spans="3:4" ht="15" x14ac:dyDescent="0.25">
      <c r="C1302" s="8" t="e">
        <f>VLOOKUP(A:A,'ITEM LIST'!A:C,3,0)</f>
        <v>#N/A</v>
      </c>
      <c r="D1302" s="6">
        <f t="shared" si="21"/>
        <v>0</v>
      </c>
    </row>
    <row r="1303" spans="3:4" ht="15" x14ac:dyDescent="0.25">
      <c r="C1303" s="8" t="e">
        <f>VLOOKUP(A:A,'ITEM LIST'!A:C,3,0)</f>
        <v>#N/A</v>
      </c>
      <c r="D1303" s="6">
        <f t="shared" si="21"/>
        <v>0</v>
      </c>
    </row>
    <row r="1304" spans="3:4" ht="15" x14ac:dyDescent="0.25">
      <c r="C1304" s="8" t="e">
        <f>VLOOKUP(A:A,'ITEM LIST'!A:C,3,0)</f>
        <v>#N/A</v>
      </c>
      <c r="D1304" s="6">
        <f t="shared" si="21"/>
        <v>0</v>
      </c>
    </row>
    <row r="1305" spans="3:4" ht="15" x14ac:dyDescent="0.25">
      <c r="C1305" s="8" t="e">
        <f>VLOOKUP(A:A,'ITEM LIST'!A:C,3,0)</f>
        <v>#N/A</v>
      </c>
      <c r="D1305" s="6">
        <f t="shared" si="21"/>
        <v>0</v>
      </c>
    </row>
    <row r="1306" spans="3:4" ht="15" x14ac:dyDescent="0.25">
      <c r="C1306" s="8" t="e">
        <f>VLOOKUP(A:A,'ITEM LIST'!A:C,3,0)</f>
        <v>#N/A</v>
      </c>
      <c r="D1306" s="6">
        <f t="shared" si="21"/>
        <v>0</v>
      </c>
    </row>
    <row r="1307" spans="3:4" ht="15" x14ac:dyDescent="0.25">
      <c r="C1307" s="8" t="e">
        <f>VLOOKUP(A:A,'ITEM LIST'!A:C,3,0)</f>
        <v>#N/A</v>
      </c>
      <c r="D1307" s="6">
        <f t="shared" si="21"/>
        <v>0</v>
      </c>
    </row>
    <row r="1308" spans="3:4" ht="15" x14ac:dyDescent="0.25">
      <c r="C1308" s="8" t="e">
        <f>VLOOKUP(A:A,'ITEM LIST'!A:C,3,0)</f>
        <v>#N/A</v>
      </c>
      <c r="D1308" s="6">
        <f t="shared" si="21"/>
        <v>0</v>
      </c>
    </row>
    <row r="1309" spans="3:4" ht="15" x14ac:dyDescent="0.25">
      <c r="C1309" s="8" t="e">
        <f>VLOOKUP(A:A,'ITEM LIST'!A:C,3,0)</f>
        <v>#N/A</v>
      </c>
      <c r="D1309" s="6">
        <f t="shared" si="21"/>
        <v>0</v>
      </c>
    </row>
    <row r="1310" spans="3:4" ht="15" x14ac:dyDescent="0.25">
      <c r="C1310" s="8" t="e">
        <f>VLOOKUP(A:A,'ITEM LIST'!A:C,3,0)</f>
        <v>#N/A</v>
      </c>
      <c r="D1310" s="6">
        <f t="shared" si="21"/>
        <v>0</v>
      </c>
    </row>
    <row r="1311" spans="3:4" ht="15" x14ac:dyDescent="0.25">
      <c r="C1311" s="8" t="e">
        <f>VLOOKUP(A:A,'ITEM LIST'!A:C,3,0)</f>
        <v>#N/A</v>
      </c>
      <c r="D1311" s="6">
        <f t="shared" si="21"/>
        <v>0</v>
      </c>
    </row>
    <row r="1312" spans="3:4" ht="15" x14ac:dyDescent="0.25">
      <c r="C1312" s="8" t="e">
        <f>VLOOKUP(A:A,'ITEM LIST'!A:C,3,0)</f>
        <v>#N/A</v>
      </c>
      <c r="D1312" s="6">
        <f t="shared" si="21"/>
        <v>0</v>
      </c>
    </row>
    <row r="1313" spans="3:4" ht="15" x14ac:dyDescent="0.25">
      <c r="C1313" s="8" t="e">
        <f>VLOOKUP(A:A,'ITEM LIST'!A:C,3,0)</f>
        <v>#N/A</v>
      </c>
      <c r="D1313" s="6">
        <f t="shared" si="21"/>
        <v>0</v>
      </c>
    </row>
    <row r="1314" spans="3:4" ht="15" x14ac:dyDescent="0.25">
      <c r="C1314" s="8" t="e">
        <f>VLOOKUP(A:A,'ITEM LIST'!A:C,3,0)</f>
        <v>#N/A</v>
      </c>
      <c r="D1314" s="6">
        <f t="shared" si="21"/>
        <v>0</v>
      </c>
    </row>
    <row r="1315" spans="3:4" ht="15" x14ac:dyDescent="0.25">
      <c r="C1315" s="8" t="e">
        <f>VLOOKUP(A:A,'ITEM LIST'!A:C,3,0)</f>
        <v>#N/A</v>
      </c>
      <c r="D1315" s="6">
        <f t="shared" si="21"/>
        <v>0</v>
      </c>
    </row>
    <row r="1316" spans="3:4" ht="15" x14ac:dyDescent="0.25">
      <c r="C1316" s="8" t="e">
        <f>VLOOKUP(A:A,'ITEM LIST'!A:C,3,0)</f>
        <v>#N/A</v>
      </c>
      <c r="D1316" s="6">
        <f t="shared" si="21"/>
        <v>0</v>
      </c>
    </row>
    <row r="1317" spans="3:4" ht="15" x14ac:dyDescent="0.25">
      <c r="C1317" s="8" t="e">
        <f>VLOOKUP(A:A,'ITEM LIST'!A:C,3,0)</f>
        <v>#N/A</v>
      </c>
      <c r="D1317" s="6">
        <f t="shared" si="21"/>
        <v>0</v>
      </c>
    </row>
    <row r="1318" spans="3:4" ht="15" x14ac:dyDescent="0.25">
      <c r="C1318" s="8" t="e">
        <f>VLOOKUP(A:A,'ITEM LIST'!A:C,3,0)</f>
        <v>#N/A</v>
      </c>
      <c r="D1318" s="6">
        <f t="shared" si="21"/>
        <v>0</v>
      </c>
    </row>
    <row r="1319" spans="3:4" ht="15" x14ac:dyDescent="0.25">
      <c r="C1319" s="8" t="e">
        <f>VLOOKUP(A:A,'ITEM LIST'!A:C,3,0)</f>
        <v>#N/A</v>
      </c>
      <c r="D1319" s="6">
        <f t="shared" si="21"/>
        <v>0</v>
      </c>
    </row>
    <row r="1320" spans="3:4" ht="15" x14ac:dyDescent="0.25">
      <c r="C1320" s="8" t="e">
        <f>VLOOKUP(A:A,'ITEM LIST'!A:C,3,0)</f>
        <v>#N/A</v>
      </c>
      <c r="D1320" s="6">
        <f t="shared" si="21"/>
        <v>0</v>
      </c>
    </row>
    <row r="1321" spans="3:4" ht="15" x14ac:dyDescent="0.25">
      <c r="C1321" s="8" t="e">
        <f>VLOOKUP(A:A,'ITEM LIST'!A:C,3,0)</f>
        <v>#N/A</v>
      </c>
      <c r="D1321" s="6">
        <f t="shared" si="21"/>
        <v>0</v>
      </c>
    </row>
    <row r="1322" spans="3:4" ht="15" x14ac:dyDescent="0.25">
      <c r="C1322" s="8" t="e">
        <f>VLOOKUP(A:A,'ITEM LIST'!A:C,3,0)</f>
        <v>#N/A</v>
      </c>
      <c r="D1322" s="6">
        <f t="shared" si="21"/>
        <v>0</v>
      </c>
    </row>
    <row r="1323" spans="3:4" ht="15" x14ac:dyDescent="0.25">
      <c r="C1323" s="8" t="e">
        <f>VLOOKUP(A:A,'ITEM LIST'!A:C,3,0)</f>
        <v>#N/A</v>
      </c>
      <c r="D1323" s="6">
        <f t="shared" si="21"/>
        <v>0</v>
      </c>
    </row>
    <row r="1324" spans="3:4" ht="15" x14ac:dyDescent="0.25">
      <c r="C1324" s="8" t="e">
        <f>VLOOKUP(A:A,'ITEM LIST'!A:C,3,0)</f>
        <v>#N/A</v>
      </c>
      <c r="D1324" s="6">
        <f t="shared" si="21"/>
        <v>0</v>
      </c>
    </row>
    <row r="1325" spans="3:4" ht="15" x14ac:dyDescent="0.25">
      <c r="C1325" s="8" t="e">
        <f>VLOOKUP(A:A,'ITEM LIST'!A:C,3,0)</f>
        <v>#N/A</v>
      </c>
      <c r="D1325" s="6">
        <f t="shared" si="21"/>
        <v>0</v>
      </c>
    </row>
    <row r="1326" spans="3:4" ht="15" x14ac:dyDescent="0.25">
      <c r="C1326" s="8" t="e">
        <f>VLOOKUP(A:A,'ITEM LIST'!A:C,3,0)</f>
        <v>#N/A</v>
      </c>
      <c r="D1326" s="6">
        <f t="shared" si="21"/>
        <v>0</v>
      </c>
    </row>
    <row r="1327" spans="3:4" ht="15" x14ac:dyDescent="0.25">
      <c r="C1327" s="8" t="e">
        <f>VLOOKUP(A:A,'ITEM LIST'!A:C,3,0)</f>
        <v>#N/A</v>
      </c>
      <c r="D1327" s="6">
        <f t="shared" si="21"/>
        <v>0</v>
      </c>
    </row>
    <row r="1328" spans="3:4" ht="15" x14ac:dyDescent="0.25">
      <c r="C1328" s="8" t="e">
        <f>VLOOKUP(A:A,'ITEM LIST'!A:C,3,0)</f>
        <v>#N/A</v>
      </c>
      <c r="D1328" s="6">
        <f t="shared" si="21"/>
        <v>0</v>
      </c>
    </row>
    <row r="1329" spans="3:4" ht="15" x14ac:dyDescent="0.25">
      <c r="C1329" s="8" t="e">
        <f>VLOOKUP(A:A,'ITEM LIST'!A:C,3,0)</f>
        <v>#N/A</v>
      </c>
      <c r="D1329" s="6">
        <f t="shared" si="21"/>
        <v>0</v>
      </c>
    </row>
    <row r="1330" spans="3:4" ht="15" x14ac:dyDescent="0.25">
      <c r="C1330" s="8" t="e">
        <f>VLOOKUP(A:A,'ITEM LIST'!A:C,3,0)</f>
        <v>#N/A</v>
      </c>
      <c r="D1330" s="6">
        <f t="shared" si="21"/>
        <v>0</v>
      </c>
    </row>
    <row r="1331" spans="3:4" ht="15" x14ac:dyDescent="0.25">
      <c r="C1331" s="8" t="e">
        <f>VLOOKUP(A:A,'ITEM LIST'!A:C,3,0)</f>
        <v>#N/A</v>
      </c>
      <c r="D1331" s="6">
        <f t="shared" si="21"/>
        <v>0</v>
      </c>
    </row>
    <row r="1332" spans="3:4" ht="15" x14ac:dyDescent="0.25">
      <c r="C1332" s="8" t="e">
        <f>VLOOKUP(A:A,'ITEM LIST'!A:C,3,0)</f>
        <v>#N/A</v>
      </c>
      <c r="D1332" s="6">
        <f t="shared" si="21"/>
        <v>0</v>
      </c>
    </row>
    <row r="1333" spans="3:4" ht="15" x14ac:dyDescent="0.25">
      <c r="C1333" s="8" t="e">
        <f>VLOOKUP(A:A,'ITEM LIST'!A:C,3,0)</f>
        <v>#N/A</v>
      </c>
      <c r="D1333" s="6">
        <f t="shared" si="21"/>
        <v>0</v>
      </c>
    </row>
    <row r="1334" spans="3:4" ht="15" x14ac:dyDescent="0.25">
      <c r="C1334" s="8" t="e">
        <f>VLOOKUP(A:A,'ITEM LIST'!A:C,3,0)</f>
        <v>#N/A</v>
      </c>
      <c r="D1334" s="6">
        <f t="shared" si="21"/>
        <v>0</v>
      </c>
    </row>
    <row r="1335" spans="3:4" ht="15" x14ac:dyDescent="0.25">
      <c r="C1335" s="8" t="e">
        <f>VLOOKUP(A:A,'ITEM LIST'!A:C,3,0)</f>
        <v>#N/A</v>
      </c>
      <c r="D1335" s="6">
        <f t="shared" si="21"/>
        <v>0</v>
      </c>
    </row>
    <row r="1336" spans="3:4" ht="15" x14ac:dyDescent="0.25">
      <c r="C1336" s="8" t="e">
        <f>VLOOKUP(A:A,'ITEM LIST'!A:C,3,0)</f>
        <v>#N/A</v>
      </c>
      <c r="D1336" s="6">
        <f t="shared" si="21"/>
        <v>0</v>
      </c>
    </row>
    <row r="1337" spans="3:4" ht="15" x14ac:dyDescent="0.25">
      <c r="C1337" s="8" t="e">
        <f>VLOOKUP(A:A,'ITEM LIST'!A:C,3,0)</f>
        <v>#N/A</v>
      </c>
      <c r="D1337" s="6">
        <f t="shared" si="21"/>
        <v>0</v>
      </c>
    </row>
    <row r="1338" spans="3:4" ht="15" x14ac:dyDescent="0.25">
      <c r="C1338" s="8" t="e">
        <f>VLOOKUP(A:A,'ITEM LIST'!A:C,3,0)</f>
        <v>#N/A</v>
      </c>
      <c r="D1338" s="6">
        <f t="shared" si="21"/>
        <v>0</v>
      </c>
    </row>
    <row r="1339" spans="3:4" ht="15" x14ac:dyDescent="0.25">
      <c r="C1339" s="8" t="e">
        <f>VLOOKUP(A:A,'ITEM LIST'!A:C,3,0)</f>
        <v>#N/A</v>
      </c>
      <c r="D1339" s="6">
        <f t="shared" si="21"/>
        <v>0</v>
      </c>
    </row>
    <row r="1340" spans="3:4" ht="15" x14ac:dyDescent="0.25">
      <c r="C1340" s="8" t="e">
        <f>VLOOKUP(A:A,'ITEM LIST'!A:C,3,0)</f>
        <v>#N/A</v>
      </c>
      <c r="D1340" s="6">
        <f t="shared" si="21"/>
        <v>0</v>
      </c>
    </row>
    <row r="1341" spans="3:4" ht="15" x14ac:dyDescent="0.25">
      <c r="C1341" s="8" t="e">
        <f>VLOOKUP(A:A,'ITEM LIST'!A:C,3,0)</f>
        <v>#N/A</v>
      </c>
      <c r="D1341" s="6">
        <f t="shared" si="21"/>
        <v>0</v>
      </c>
    </row>
    <row r="1342" spans="3:4" ht="15" x14ac:dyDescent="0.25">
      <c r="C1342" s="8" t="e">
        <f>VLOOKUP(A:A,'ITEM LIST'!A:C,3,0)</f>
        <v>#N/A</v>
      </c>
      <c r="D1342" s="6">
        <f t="shared" si="21"/>
        <v>0</v>
      </c>
    </row>
    <row r="1343" spans="3:4" ht="15" x14ac:dyDescent="0.25">
      <c r="C1343" s="8" t="e">
        <f>VLOOKUP(A:A,'ITEM LIST'!A:C,3,0)</f>
        <v>#N/A</v>
      </c>
      <c r="D1343" s="6">
        <f t="shared" si="21"/>
        <v>0</v>
      </c>
    </row>
    <row r="1344" spans="3:4" ht="15" x14ac:dyDescent="0.25">
      <c r="C1344" s="8" t="e">
        <f>VLOOKUP(A:A,'ITEM LIST'!A:C,3,0)</f>
        <v>#N/A</v>
      </c>
      <c r="D1344" s="6">
        <f t="shared" si="21"/>
        <v>0</v>
      </c>
    </row>
    <row r="1345" spans="3:4" ht="15" x14ac:dyDescent="0.25">
      <c r="C1345" s="8" t="e">
        <f>VLOOKUP(A:A,'ITEM LIST'!A:C,3,0)</f>
        <v>#N/A</v>
      </c>
      <c r="D1345" s="6">
        <f t="shared" si="21"/>
        <v>0</v>
      </c>
    </row>
    <row r="1346" spans="3:4" ht="15" x14ac:dyDescent="0.25">
      <c r="C1346" s="8" t="e">
        <f>VLOOKUP(A:A,'ITEM LIST'!A:C,3,0)</f>
        <v>#N/A</v>
      </c>
      <c r="D1346" s="6">
        <f t="shared" si="21"/>
        <v>0</v>
      </c>
    </row>
    <row r="1347" spans="3:4" ht="15" x14ac:dyDescent="0.25">
      <c r="C1347" s="8" t="e">
        <f>VLOOKUP(A:A,'ITEM LIST'!A:C,3,0)</f>
        <v>#N/A</v>
      </c>
      <c r="D1347" s="6">
        <f t="shared" si="21"/>
        <v>0</v>
      </c>
    </row>
    <row r="1348" spans="3:4" ht="15" x14ac:dyDescent="0.25">
      <c r="C1348" s="8" t="e">
        <f>VLOOKUP(A:A,'ITEM LIST'!A:C,3,0)</f>
        <v>#N/A</v>
      </c>
      <c r="D1348" s="6">
        <f t="shared" si="21"/>
        <v>0</v>
      </c>
    </row>
    <row r="1349" spans="3:4" ht="15" x14ac:dyDescent="0.25">
      <c r="C1349" s="8" t="e">
        <f>VLOOKUP(A:A,'ITEM LIST'!A:C,3,0)</f>
        <v>#N/A</v>
      </c>
      <c r="D1349" s="6">
        <f t="shared" si="21"/>
        <v>0</v>
      </c>
    </row>
    <row r="1350" spans="3:4" ht="15" x14ac:dyDescent="0.25">
      <c r="C1350" s="8" t="e">
        <f>VLOOKUP(A:A,'ITEM LIST'!A:C,3,0)</f>
        <v>#N/A</v>
      </c>
      <c r="D1350" s="6">
        <f t="shared" ref="D1350:D1413" si="22">B1350</f>
        <v>0</v>
      </c>
    </row>
    <row r="1351" spans="3:4" ht="15" x14ac:dyDescent="0.25">
      <c r="C1351" s="8" t="e">
        <f>VLOOKUP(A:A,'ITEM LIST'!A:C,3,0)</f>
        <v>#N/A</v>
      </c>
      <c r="D1351" s="6">
        <f t="shared" si="22"/>
        <v>0</v>
      </c>
    </row>
    <row r="1352" spans="3:4" ht="15" x14ac:dyDescent="0.25">
      <c r="C1352" s="8" t="e">
        <f>VLOOKUP(A:A,'ITEM LIST'!A:C,3,0)</f>
        <v>#N/A</v>
      </c>
      <c r="D1352" s="6">
        <f t="shared" si="22"/>
        <v>0</v>
      </c>
    </row>
    <row r="1353" spans="3:4" ht="15" x14ac:dyDescent="0.25">
      <c r="C1353" s="8" t="e">
        <f>VLOOKUP(A:A,'ITEM LIST'!A:C,3,0)</f>
        <v>#N/A</v>
      </c>
      <c r="D1353" s="6">
        <f t="shared" si="22"/>
        <v>0</v>
      </c>
    </row>
    <row r="1354" spans="3:4" ht="15" x14ac:dyDescent="0.25">
      <c r="C1354" s="8" t="e">
        <f>VLOOKUP(A:A,'ITEM LIST'!A:C,3,0)</f>
        <v>#N/A</v>
      </c>
      <c r="D1354" s="6">
        <f t="shared" si="22"/>
        <v>0</v>
      </c>
    </row>
    <row r="1355" spans="3:4" ht="15" x14ac:dyDescent="0.25">
      <c r="C1355" s="8" t="e">
        <f>VLOOKUP(A:A,'ITEM LIST'!A:C,3,0)</f>
        <v>#N/A</v>
      </c>
      <c r="D1355" s="6">
        <f t="shared" si="22"/>
        <v>0</v>
      </c>
    </row>
    <row r="1356" spans="3:4" ht="15" x14ac:dyDescent="0.25">
      <c r="C1356" s="8" t="e">
        <f>VLOOKUP(A:A,'ITEM LIST'!A:C,3,0)</f>
        <v>#N/A</v>
      </c>
      <c r="D1356" s="6">
        <f t="shared" si="22"/>
        <v>0</v>
      </c>
    </row>
    <row r="1357" spans="3:4" ht="15" x14ac:dyDescent="0.25">
      <c r="C1357" s="8" t="e">
        <f>VLOOKUP(A:A,'ITEM LIST'!A:C,3,0)</f>
        <v>#N/A</v>
      </c>
      <c r="D1357" s="6">
        <f t="shared" si="22"/>
        <v>0</v>
      </c>
    </row>
    <row r="1358" spans="3:4" ht="15" x14ac:dyDescent="0.25">
      <c r="C1358" s="8" t="e">
        <f>VLOOKUP(A:A,'ITEM LIST'!A:C,3,0)</f>
        <v>#N/A</v>
      </c>
      <c r="D1358" s="6">
        <f t="shared" si="22"/>
        <v>0</v>
      </c>
    </row>
    <row r="1359" spans="3:4" ht="15" x14ac:dyDescent="0.25">
      <c r="C1359" s="8" t="e">
        <f>VLOOKUP(A:A,'ITEM LIST'!A:C,3,0)</f>
        <v>#N/A</v>
      </c>
      <c r="D1359" s="6">
        <f t="shared" si="22"/>
        <v>0</v>
      </c>
    </row>
    <row r="1360" spans="3:4" ht="15" x14ac:dyDescent="0.25">
      <c r="C1360" s="8" t="e">
        <f>VLOOKUP(A:A,'ITEM LIST'!A:C,3,0)</f>
        <v>#N/A</v>
      </c>
      <c r="D1360" s="6">
        <f t="shared" si="22"/>
        <v>0</v>
      </c>
    </row>
    <row r="1361" spans="3:4" ht="15" x14ac:dyDescent="0.25">
      <c r="C1361" s="8" t="e">
        <f>VLOOKUP(A:A,'ITEM LIST'!A:C,3,0)</f>
        <v>#N/A</v>
      </c>
      <c r="D1361" s="6">
        <f t="shared" si="22"/>
        <v>0</v>
      </c>
    </row>
    <row r="1362" spans="3:4" ht="15" x14ac:dyDescent="0.25">
      <c r="C1362" s="8" t="e">
        <f>VLOOKUP(A:A,'ITEM LIST'!A:C,3,0)</f>
        <v>#N/A</v>
      </c>
      <c r="D1362" s="6">
        <f t="shared" si="22"/>
        <v>0</v>
      </c>
    </row>
    <row r="1363" spans="3:4" ht="15" x14ac:dyDescent="0.25">
      <c r="C1363" s="8" t="e">
        <f>VLOOKUP(A:A,'ITEM LIST'!A:C,3,0)</f>
        <v>#N/A</v>
      </c>
      <c r="D1363" s="6">
        <f t="shared" si="22"/>
        <v>0</v>
      </c>
    </row>
    <row r="1364" spans="3:4" ht="15" x14ac:dyDescent="0.25">
      <c r="C1364" s="8" t="e">
        <f>VLOOKUP(A:A,'ITEM LIST'!A:C,3,0)</f>
        <v>#N/A</v>
      </c>
      <c r="D1364" s="6">
        <f t="shared" si="22"/>
        <v>0</v>
      </c>
    </row>
    <row r="1365" spans="3:4" ht="15" x14ac:dyDescent="0.25">
      <c r="C1365" s="8" t="e">
        <f>VLOOKUP(A:A,'ITEM LIST'!A:C,3,0)</f>
        <v>#N/A</v>
      </c>
      <c r="D1365" s="6">
        <f t="shared" si="22"/>
        <v>0</v>
      </c>
    </row>
    <row r="1366" spans="3:4" ht="15" x14ac:dyDescent="0.25">
      <c r="C1366" s="8" t="e">
        <f>VLOOKUP(A:A,'ITEM LIST'!A:C,3,0)</f>
        <v>#N/A</v>
      </c>
      <c r="D1366" s="6">
        <f t="shared" si="22"/>
        <v>0</v>
      </c>
    </row>
    <row r="1367" spans="3:4" ht="15" x14ac:dyDescent="0.25">
      <c r="C1367" s="8" t="e">
        <f>VLOOKUP(A:A,'ITEM LIST'!A:C,3,0)</f>
        <v>#N/A</v>
      </c>
      <c r="D1367" s="6">
        <f t="shared" si="22"/>
        <v>0</v>
      </c>
    </row>
    <row r="1368" spans="3:4" ht="15" x14ac:dyDescent="0.25">
      <c r="C1368" s="8" t="e">
        <f>VLOOKUP(A:A,'ITEM LIST'!A:C,3,0)</f>
        <v>#N/A</v>
      </c>
      <c r="D1368" s="6">
        <f t="shared" si="22"/>
        <v>0</v>
      </c>
    </row>
    <row r="1369" spans="3:4" ht="15" x14ac:dyDescent="0.25">
      <c r="C1369" s="8" t="e">
        <f>VLOOKUP(A:A,'ITEM LIST'!A:C,3,0)</f>
        <v>#N/A</v>
      </c>
      <c r="D1369" s="6">
        <f t="shared" si="22"/>
        <v>0</v>
      </c>
    </row>
    <row r="1370" spans="3:4" ht="15" x14ac:dyDescent="0.25">
      <c r="C1370" s="8" t="e">
        <f>VLOOKUP(A:A,'ITEM LIST'!A:C,3,0)</f>
        <v>#N/A</v>
      </c>
      <c r="D1370" s="6">
        <f t="shared" si="22"/>
        <v>0</v>
      </c>
    </row>
    <row r="1371" spans="3:4" ht="15" x14ac:dyDescent="0.25">
      <c r="C1371" s="8" t="e">
        <f>VLOOKUP(A:A,'ITEM LIST'!A:C,3,0)</f>
        <v>#N/A</v>
      </c>
      <c r="D1371" s="6">
        <f t="shared" si="22"/>
        <v>0</v>
      </c>
    </row>
    <row r="1372" spans="3:4" ht="15" x14ac:dyDescent="0.25">
      <c r="C1372" s="8" t="e">
        <f>VLOOKUP(A:A,'ITEM LIST'!A:C,3,0)</f>
        <v>#N/A</v>
      </c>
      <c r="D1372" s="6">
        <f t="shared" si="22"/>
        <v>0</v>
      </c>
    </row>
    <row r="1373" spans="3:4" ht="15" x14ac:dyDescent="0.25">
      <c r="C1373" s="8" t="e">
        <f>VLOOKUP(A:A,'ITEM LIST'!A:C,3,0)</f>
        <v>#N/A</v>
      </c>
      <c r="D1373" s="6">
        <f t="shared" si="22"/>
        <v>0</v>
      </c>
    </row>
    <row r="1374" spans="3:4" ht="15" x14ac:dyDescent="0.25">
      <c r="C1374" s="8" t="e">
        <f>VLOOKUP(A:A,'ITEM LIST'!A:C,3,0)</f>
        <v>#N/A</v>
      </c>
      <c r="D1374" s="6">
        <f t="shared" si="22"/>
        <v>0</v>
      </c>
    </row>
    <row r="1375" spans="3:4" ht="15" x14ac:dyDescent="0.25">
      <c r="C1375" s="8" t="e">
        <f>VLOOKUP(A:A,'ITEM LIST'!A:C,3,0)</f>
        <v>#N/A</v>
      </c>
      <c r="D1375" s="6">
        <f t="shared" si="22"/>
        <v>0</v>
      </c>
    </row>
    <row r="1376" spans="3:4" ht="15" x14ac:dyDescent="0.25">
      <c r="C1376" s="8" t="e">
        <f>VLOOKUP(A:A,'ITEM LIST'!A:C,3,0)</f>
        <v>#N/A</v>
      </c>
      <c r="D1376" s="6">
        <f t="shared" si="22"/>
        <v>0</v>
      </c>
    </row>
    <row r="1377" spans="3:4" ht="15" x14ac:dyDescent="0.25">
      <c r="C1377" s="8" t="e">
        <f>VLOOKUP(A:A,'ITEM LIST'!A:C,3,0)</f>
        <v>#N/A</v>
      </c>
      <c r="D1377" s="6">
        <f t="shared" si="22"/>
        <v>0</v>
      </c>
    </row>
    <row r="1378" spans="3:4" ht="15" x14ac:dyDescent="0.25">
      <c r="C1378" s="8" t="e">
        <f>VLOOKUP(A:A,'ITEM LIST'!A:C,3,0)</f>
        <v>#N/A</v>
      </c>
      <c r="D1378" s="6">
        <f t="shared" si="22"/>
        <v>0</v>
      </c>
    </row>
    <row r="1379" spans="3:4" ht="15" x14ac:dyDescent="0.25">
      <c r="C1379" s="8" t="e">
        <f>VLOOKUP(A:A,'ITEM LIST'!A:C,3,0)</f>
        <v>#N/A</v>
      </c>
      <c r="D1379" s="6">
        <f t="shared" si="22"/>
        <v>0</v>
      </c>
    </row>
    <row r="1380" spans="3:4" ht="15" x14ac:dyDescent="0.25">
      <c r="C1380" s="8" t="e">
        <f>VLOOKUP(A:A,'ITEM LIST'!A:C,3,0)</f>
        <v>#N/A</v>
      </c>
      <c r="D1380" s="6">
        <f t="shared" si="22"/>
        <v>0</v>
      </c>
    </row>
    <row r="1381" spans="3:4" ht="15" x14ac:dyDescent="0.25">
      <c r="C1381" s="8" t="e">
        <f>VLOOKUP(A:A,'ITEM LIST'!A:C,3,0)</f>
        <v>#N/A</v>
      </c>
      <c r="D1381" s="6">
        <f t="shared" si="22"/>
        <v>0</v>
      </c>
    </row>
    <row r="1382" spans="3:4" ht="15" x14ac:dyDescent="0.25">
      <c r="C1382" s="8" t="e">
        <f>VLOOKUP(A:A,'ITEM LIST'!A:C,3,0)</f>
        <v>#N/A</v>
      </c>
      <c r="D1382" s="6">
        <f t="shared" si="22"/>
        <v>0</v>
      </c>
    </row>
    <row r="1383" spans="3:4" ht="15" x14ac:dyDescent="0.25">
      <c r="C1383" s="8" t="e">
        <f>VLOOKUP(A:A,'ITEM LIST'!A:C,3,0)</f>
        <v>#N/A</v>
      </c>
      <c r="D1383" s="6">
        <f t="shared" si="22"/>
        <v>0</v>
      </c>
    </row>
    <row r="1384" spans="3:4" ht="15" x14ac:dyDescent="0.25">
      <c r="C1384" s="8" t="e">
        <f>VLOOKUP(A:A,'ITEM LIST'!A:C,3,0)</f>
        <v>#N/A</v>
      </c>
      <c r="D1384" s="6">
        <f t="shared" si="22"/>
        <v>0</v>
      </c>
    </row>
    <row r="1385" spans="3:4" ht="15" x14ac:dyDescent="0.25">
      <c r="C1385" s="8" t="e">
        <f>VLOOKUP(A:A,'ITEM LIST'!A:C,3,0)</f>
        <v>#N/A</v>
      </c>
      <c r="D1385" s="6">
        <f t="shared" si="22"/>
        <v>0</v>
      </c>
    </row>
    <row r="1386" spans="3:4" ht="15" x14ac:dyDescent="0.25">
      <c r="C1386" s="8" t="e">
        <f>VLOOKUP(A:A,'ITEM LIST'!A:C,3,0)</f>
        <v>#N/A</v>
      </c>
      <c r="D1386" s="6">
        <f t="shared" si="22"/>
        <v>0</v>
      </c>
    </row>
    <row r="1387" spans="3:4" ht="15" x14ac:dyDescent="0.25">
      <c r="C1387" s="8" t="e">
        <f>VLOOKUP(A:A,'ITEM LIST'!A:C,3,0)</f>
        <v>#N/A</v>
      </c>
      <c r="D1387" s="6">
        <f t="shared" si="22"/>
        <v>0</v>
      </c>
    </row>
    <row r="1388" spans="3:4" ht="15" x14ac:dyDescent="0.25">
      <c r="C1388" s="8" t="e">
        <f>VLOOKUP(A:A,'ITEM LIST'!A:C,3,0)</f>
        <v>#N/A</v>
      </c>
      <c r="D1388" s="6">
        <f t="shared" si="22"/>
        <v>0</v>
      </c>
    </row>
    <row r="1389" spans="3:4" ht="15" x14ac:dyDescent="0.25">
      <c r="C1389" s="8" t="e">
        <f>VLOOKUP(A:A,'ITEM LIST'!A:C,3,0)</f>
        <v>#N/A</v>
      </c>
      <c r="D1389" s="6">
        <f t="shared" si="22"/>
        <v>0</v>
      </c>
    </row>
    <row r="1390" spans="3:4" ht="15" x14ac:dyDescent="0.25">
      <c r="C1390" s="8" t="e">
        <f>VLOOKUP(A:A,'ITEM LIST'!A:C,3,0)</f>
        <v>#N/A</v>
      </c>
      <c r="D1390" s="6">
        <f t="shared" si="22"/>
        <v>0</v>
      </c>
    </row>
    <row r="1391" spans="3:4" ht="15" x14ac:dyDescent="0.25">
      <c r="C1391" s="8" t="e">
        <f>VLOOKUP(A:A,'ITEM LIST'!A:C,3,0)</f>
        <v>#N/A</v>
      </c>
      <c r="D1391" s="6">
        <f t="shared" si="22"/>
        <v>0</v>
      </c>
    </row>
    <row r="1392" spans="3:4" ht="15" x14ac:dyDescent="0.25">
      <c r="C1392" s="8" t="e">
        <f>VLOOKUP(A:A,'ITEM LIST'!A:C,3,0)</f>
        <v>#N/A</v>
      </c>
      <c r="D1392" s="6">
        <f t="shared" si="22"/>
        <v>0</v>
      </c>
    </row>
    <row r="1393" spans="3:4" ht="15" x14ac:dyDescent="0.25">
      <c r="C1393" s="8" t="e">
        <f>VLOOKUP(A:A,'ITEM LIST'!A:C,3,0)</f>
        <v>#N/A</v>
      </c>
      <c r="D1393" s="6">
        <f t="shared" si="22"/>
        <v>0</v>
      </c>
    </row>
    <row r="1394" spans="3:4" ht="15" x14ac:dyDescent="0.25">
      <c r="C1394" s="8" t="e">
        <f>VLOOKUP(A:A,'ITEM LIST'!A:C,3,0)</f>
        <v>#N/A</v>
      </c>
      <c r="D1394" s="6">
        <f t="shared" si="22"/>
        <v>0</v>
      </c>
    </row>
    <row r="1395" spans="3:4" ht="15" x14ac:dyDescent="0.25">
      <c r="C1395" s="8" t="e">
        <f>VLOOKUP(A:A,'ITEM LIST'!A:C,3,0)</f>
        <v>#N/A</v>
      </c>
      <c r="D1395" s="6">
        <f t="shared" si="22"/>
        <v>0</v>
      </c>
    </row>
    <row r="1396" spans="3:4" ht="15" x14ac:dyDescent="0.25">
      <c r="C1396" s="8" t="e">
        <f>VLOOKUP(A:A,'ITEM LIST'!A:C,3,0)</f>
        <v>#N/A</v>
      </c>
      <c r="D1396" s="6">
        <f t="shared" si="22"/>
        <v>0</v>
      </c>
    </row>
    <row r="1397" spans="3:4" ht="15" x14ac:dyDescent="0.25">
      <c r="C1397" s="8" t="e">
        <f>VLOOKUP(A:A,'ITEM LIST'!A:C,3,0)</f>
        <v>#N/A</v>
      </c>
      <c r="D1397" s="6">
        <f t="shared" si="22"/>
        <v>0</v>
      </c>
    </row>
    <row r="1398" spans="3:4" ht="15" x14ac:dyDescent="0.25">
      <c r="C1398" s="8" t="e">
        <f>VLOOKUP(A:A,'ITEM LIST'!A:C,3,0)</f>
        <v>#N/A</v>
      </c>
      <c r="D1398" s="6">
        <f t="shared" si="22"/>
        <v>0</v>
      </c>
    </row>
    <row r="1399" spans="3:4" ht="15" x14ac:dyDescent="0.25">
      <c r="C1399" s="8" t="e">
        <f>VLOOKUP(A:A,'ITEM LIST'!A:C,3,0)</f>
        <v>#N/A</v>
      </c>
      <c r="D1399" s="6">
        <f t="shared" si="22"/>
        <v>0</v>
      </c>
    </row>
    <row r="1400" spans="3:4" ht="15" x14ac:dyDescent="0.25">
      <c r="C1400" s="8" t="e">
        <f>VLOOKUP(A:A,'ITEM LIST'!A:C,3,0)</f>
        <v>#N/A</v>
      </c>
      <c r="D1400" s="6">
        <f t="shared" si="22"/>
        <v>0</v>
      </c>
    </row>
    <row r="1401" spans="3:4" ht="15" x14ac:dyDescent="0.25">
      <c r="C1401" s="8" t="e">
        <f>VLOOKUP(A:A,'ITEM LIST'!A:C,3,0)</f>
        <v>#N/A</v>
      </c>
      <c r="D1401" s="6">
        <f t="shared" si="22"/>
        <v>0</v>
      </c>
    </row>
    <row r="1402" spans="3:4" ht="15" x14ac:dyDescent="0.25">
      <c r="C1402" s="8" t="e">
        <f>VLOOKUP(A:A,'ITEM LIST'!A:C,3,0)</f>
        <v>#N/A</v>
      </c>
      <c r="D1402" s="6">
        <f t="shared" si="22"/>
        <v>0</v>
      </c>
    </row>
    <row r="1403" spans="3:4" ht="15" x14ac:dyDescent="0.25">
      <c r="C1403" s="8" t="e">
        <f>VLOOKUP(A:A,'ITEM LIST'!A:C,3,0)</f>
        <v>#N/A</v>
      </c>
      <c r="D1403" s="6">
        <f t="shared" si="22"/>
        <v>0</v>
      </c>
    </row>
    <row r="1404" spans="3:4" ht="15" x14ac:dyDescent="0.25">
      <c r="C1404" s="8" t="e">
        <f>VLOOKUP(A:A,'ITEM LIST'!A:C,3,0)</f>
        <v>#N/A</v>
      </c>
      <c r="D1404" s="6">
        <f t="shared" si="22"/>
        <v>0</v>
      </c>
    </row>
    <row r="1405" spans="3:4" ht="15" x14ac:dyDescent="0.25">
      <c r="C1405" s="8" t="e">
        <f>VLOOKUP(A:A,'ITEM LIST'!A:C,3,0)</f>
        <v>#N/A</v>
      </c>
      <c r="D1405" s="6">
        <f t="shared" si="22"/>
        <v>0</v>
      </c>
    </row>
    <row r="1406" spans="3:4" ht="15" x14ac:dyDescent="0.25">
      <c r="C1406" s="8" t="e">
        <f>VLOOKUP(A:A,'ITEM LIST'!A:C,3,0)</f>
        <v>#N/A</v>
      </c>
      <c r="D1406" s="6">
        <f t="shared" si="22"/>
        <v>0</v>
      </c>
    </row>
    <row r="1407" spans="3:4" ht="15" x14ac:dyDescent="0.25">
      <c r="C1407" s="8" t="e">
        <f>VLOOKUP(A:A,'ITEM LIST'!A:C,3,0)</f>
        <v>#N/A</v>
      </c>
      <c r="D1407" s="6">
        <f t="shared" si="22"/>
        <v>0</v>
      </c>
    </row>
    <row r="1408" spans="3:4" ht="15" x14ac:dyDescent="0.25">
      <c r="C1408" s="8" t="e">
        <f>VLOOKUP(A:A,'ITEM LIST'!A:C,3,0)</f>
        <v>#N/A</v>
      </c>
      <c r="D1408" s="6">
        <f t="shared" si="22"/>
        <v>0</v>
      </c>
    </row>
    <row r="1409" spans="3:4" ht="15" x14ac:dyDescent="0.25">
      <c r="C1409" s="8" t="e">
        <f>VLOOKUP(A:A,'ITEM LIST'!A:C,3,0)</f>
        <v>#N/A</v>
      </c>
      <c r="D1409" s="6">
        <f t="shared" si="22"/>
        <v>0</v>
      </c>
    </row>
    <row r="1410" spans="3:4" ht="15" x14ac:dyDescent="0.25">
      <c r="C1410" s="8" t="e">
        <f>VLOOKUP(A:A,'ITEM LIST'!A:C,3,0)</f>
        <v>#N/A</v>
      </c>
      <c r="D1410" s="6">
        <f t="shared" si="22"/>
        <v>0</v>
      </c>
    </row>
    <row r="1411" spans="3:4" ht="15" x14ac:dyDescent="0.25">
      <c r="C1411" s="8" t="e">
        <f>VLOOKUP(A:A,'ITEM LIST'!A:C,3,0)</f>
        <v>#N/A</v>
      </c>
      <c r="D1411" s="6">
        <f t="shared" si="22"/>
        <v>0</v>
      </c>
    </row>
    <row r="1412" spans="3:4" ht="15" x14ac:dyDescent="0.25">
      <c r="C1412" s="8" t="e">
        <f>VLOOKUP(A:A,'ITEM LIST'!A:C,3,0)</f>
        <v>#N/A</v>
      </c>
      <c r="D1412" s="6">
        <f t="shared" si="22"/>
        <v>0</v>
      </c>
    </row>
    <row r="1413" spans="3:4" ht="15" x14ac:dyDescent="0.25">
      <c r="C1413" s="8" t="e">
        <f>VLOOKUP(A:A,'ITEM LIST'!A:C,3,0)</f>
        <v>#N/A</v>
      </c>
      <c r="D1413" s="6">
        <f t="shared" si="22"/>
        <v>0</v>
      </c>
    </row>
    <row r="1414" spans="3:4" ht="15" x14ac:dyDescent="0.25">
      <c r="C1414" s="8" t="e">
        <f>VLOOKUP(A:A,'ITEM LIST'!A:C,3,0)</f>
        <v>#N/A</v>
      </c>
      <c r="D1414" s="6">
        <f t="shared" ref="D1414:D1477" si="23">B1414</f>
        <v>0</v>
      </c>
    </row>
    <row r="1415" spans="3:4" ht="15" x14ac:dyDescent="0.25">
      <c r="C1415" s="8" t="e">
        <f>VLOOKUP(A:A,'ITEM LIST'!A:C,3,0)</f>
        <v>#N/A</v>
      </c>
      <c r="D1415" s="6">
        <f t="shared" si="23"/>
        <v>0</v>
      </c>
    </row>
    <row r="1416" spans="3:4" ht="15" x14ac:dyDescent="0.25">
      <c r="C1416" s="8" t="e">
        <f>VLOOKUP(A:A,'ITEM LIST'!A:C,3,0)</f>
        <v>#N/A</v>
      </c>
      <c r="D1416" s="6">
        <f t="shared" si="23"/>
        <v>0</v>
      </c>
    </row>
    <row r="1417" spans="3:4" ht="15" x14ac:dyDescent="0.25">
      <c r="C1417" s="8" t="e">
        <f>VLOOKUP(A:A,'ITEM LIST'!A:C,3,0)</f>
        <v>#N/A</v>
      </c>
      <c r="D1417" s="6">
        <f t="shared" si="23"/>
        <v>0</v>
      </c>
    </row>
    <row r="1418" spans="3:4" ht="15" x14ac:dyDescent="0.25">
      <c r="C1418" s="8" t="e">
        <f>VLOOKUP(A:A,'ITEM LIST'!A:C,3,0)</f>
        <v>#N/A</v>
      </c>
      <c r="D1418" s="6">
        <f t="shared" si="23"/>
        <v>0</v>
      </c>
    </row>
    <row r="1419" spans="3:4" ht="15" x14ac:dyDescent="0.25">
      <c r="C1419" s="8" t="e">
        <f>VLOOKUP(A:A,'ITEM LIST'!A:C,3,0)</f>
        <v>#N/A</v>
      </c>
      <c r="D1419" s="6">
        <f t="shared" si="23"/>
        <v>0</v>
      </c>
    </row>
    <row r="1420" spans="3:4" ht="15" x14ac:dyDescent="0.25">
      <c r="C1420" s="8" t="e">
        <f>VLOOKUP(A:A,'ITEM LIST'!A:C,3,0)</f>
        <v>#N/A</v>
      </c>
      <c r="D1420" s="6">
        <f t="shared" si="23"/>
        <v>0</v>
      </c>
    </row>
    <row r="1421" spans="3:4" ht="15" x14ac:dyDescent="0.25">
      <c r="C1421" s="8" t="e">
        <f>VLOOKUP(A:A,'ITEM LIST'!A:C,3,0)</f>
        <v>#N/A</v>
      </c>
      <c r="D1421" s="6">
        <f t="shared" si="23"/>
        <v>0</v>
      </c>
    </row>
    <row r="1422" spans="3:4" ht="15" x14ac:dyDescent="0.25">
      <c r="C1422" s="8" t="e">
        <f>VLOOKUP(A:A,'ITEM LIST'!A:C,3,0)</f>
        <v>#N/A</v>
      </c>
      <c r="D1422" s="6">
        <f t="shared" si="23"/>
        <v>0</v>
      </c>
    </row>
    <row r="1423" spans="3:4" ht="15" x14ac:dyDescent="0.25">
      <c r="C1423" s="8" t="e">
        <f>VLOOKUP(A:A,'ITEM LIST'!A:C,3,0)</f>
        <v>#N/A</v>
      </c>
      <c r="D1423" s="6">
        <f t="shared" si="23"/>
        <v>0</v>
      </c>
    </row>
    <row r="1424" spans="3:4" ht="15" x14ac:dyDescent="0.25">
      <c r="C1424" s="8" t="e">
        <f>VLOOKUP(A:A,'ITEM LIST'!A:C,3,0)</f>
        <v>#N/A</v>
      </c>
      <c r="D1424" s="6">
        <f t="shared" si="23"/>
        <v>0</v>
      </c>
    </row>
    <row r="1425" spans="3:4" ht="15" x14ac:dyDescent="0.25">
      <c r="C1425" s="8" t="e">
        <f>VLOOKUP(A:A,'ITEM LIST'!A:C,3,0)</f>
        <v>#N/A</v>
      </c>
      <c r="D1425" s="6">
        <f t="shared" si="23"/>
        <v>0</v>
      </c>
    </row>
    <row r="1426" spans="3:4" ht="15" x14ac:dyDescent="0.25">
      <c r="C1426" s="8" t="e">
        <f>VLOOKUP(A:A,'ITEM LIST'!A:C,3,0)</f>
        <v>#N/A</v>
      </c>
      <c r="D1426" s="6">
        <f t="shared" si="23"/>
        <v>0</v>
      </c>
    </row>
    <row r="1427" spans="3:4" ht="15" x14ac:dyDescent="0.25">
      <c r="C1427" s="8" t="e">
        <f>VLOOKUP(A:A,'ITEM LIST'!A:C,3,0)</f>
        <v>#N/A</v>
      </c>
      <c r="D1427" s="6">
        <f t="shared" si="23"/>
        <v>0</v>
      </c>
    </row>
    <row r="1428" spans="3:4" ht="15" x14ac:dyDescent="0.25">
      <c r="C1428" s="8" t="e">
        <f>VLOOKUP(A:A,'ITEM LIST'!A:C,3,0)</f>
        <v>#N/A</v>
      </c>
      <c r="D1428" s="6">
        <f t="shared" si="23"/>
        <v>0</v>
      </c>
    </row>
    <row r="1429" spans="3:4" ht="15" x14ac:dyDescent="0.25">
      <c r="C1429" s="8" t="e">
        <f>VLOOKUP(A:A,'ITEM LIST'!A:C,3,0)</f>
        <v>#N/A</v>
      </c>
      <c r="D1429" s="6">
        <f t="shared" si="23"/>
        <v>0</v>
      </c>
    </row>
    <row r="1430" spans="3:4" ht="15" x14ac:dyDescent="0.25">
      <c r="C1430" s="8" t="e">
        <f>VLOOKUP(A:A,'ITEM LIST'!A:C,3,0)</f>
        <v>#N/A</v>
      </c>
      <c r="D1430" s="6">
        <f t="shared" si="23"/>
        <v>0</v>
      </c>
    </row>
    <row r="1431" spans="3:4" ht="15" x14ac:dyDescent="0.25">
      <c r="C1431" s="8" t="e">
        <f>VLOOKUP(A:A,'ITEM LIST'!A:C,3,0)</f>
        <v>#N/A</v>
      </c>
      <c r="D1431" s="6">
        <f t="shared" si="23"/>
        <v>0</v>
      </c>
    </row>
    <row r="1432" spans="3:4" ht="15" x14ac:dyDescent="0.25">
      <c r="C1432" s="8" t="e">
        <f>VLOOKUP(A:A,'ITEM LIST'!A:C,3,0)</f>
        <v>#N/A</v>
      </c>
      <c r="D1432" s="6">
        <f t="shared" si="23"/>
        <v>0</v>
      </c>
    </row>
    <row r="1433" spans="3:4" ht="15" x14ac:dyDescent="0.25">
      <c r="C1433" s="8" t="e">
        <f>VLOOKUP(A:A,'ITEM LIST'!A:C,3,0)</f>
        <v>#N/A</v>
      </c>
      <c r="D1433" s="6">
        <f t="shared" si="23"/>
        <v>0</v>
      </c>
    </row>
    <row r="1434" spans="3:4" ht="15" x14ac:dyDescent="0.25">
      <c r="C1434" s="8" t="e">
        <f>VLOOKUP(A:A,'ITEM LIST'!A:C,3,0)</f>
        <v>#N/A</v>
      </c>
      <c r="D1434" s="6">
        <f t="shared" si="23"/>
        <v>0</v>
      </c>
    </row>
    <row r="1435" spans="3:4" ht="15" x14ac:dyDescent="0.25">
      <c r="C1435" s="8" t="e">
        <f>VLOOKUP(A:A,'ITEM LIST'!A:C,3,0)</f>
        <v>#N/A</v>
      </c>
      <c r="D1435" s="6">
        <f t="shared" si="23"/>
        <v>0</v>
      </c>
    </row>
    <row r="1436" spans="3:4" ht="15" x14ac:dyDescent="0.25">
      <c r="C1436" s="8" t="e">
        <f>VLOOKUP(A:A,'ITEM LIST'!A:C,3,0)</f>
        <v>#N/A</v>
      </c>
      <c r="D1436" s="6">
        <f t="shared" si="23"/>
        <v>0</v>
      </c>
    </row>
    <row r="1437" spans="3:4" ht="15" x14ac:dyDescent="0.25">
      <c r="C1437" s="8" t="e">
        <f>VLOOKUP(A:A,'ITEM LIST'!A:C,3,0)</f>
        <v>#N/A</v>
      </c>
      <c r="D1437" s="6">
        <f t="shared" si="23"/>
        <v>0</v>
      </c>
    </row>
    <row r="1438" spans="3:4" ht="15" x14ac:dyDescent="0.25">
      <c r="C1438" s="8" t="e">
        <f>VLOOKUP(A:A,'ITEM LIST'!A:C,3,0)</f>
        <v>#N/A</v>
      </c>
      <c r="D1438" s="6">
        <f t="shared" si="23"/>
        <v>0</v>
      </c>
    </row>
    <row r="1439" spans="3:4" ht="15" x14ac:dyDescent="0.25">
      <c r="C1439" s="8" t="e">
        <f>VLOOKUP(A:A,'ITEM LIST'!A:C,3,0)</f>
        <v>#N/A</v>
      </c>
      <c r="D1439" s="6">
        <f t="shared" si="23"/>
        <v>0</v>
      </c>
    </row>
    <row r="1440" spans="3:4" ht="15" x14ac:dyDescent="0.25">
      <c r="C1440" s="8" t="e">
        <f>VLOOKUP(A:A,'ITEM LIST'!A:C,3,0)</f>
        <v>#N/A</v>
      </c>
      <c r="D1440" s="6">
        <f t="shared" si="23"/>
        <v>0</v>
      </c>
    </row>
    <row r="1441" spans="3:4" ht="15" x14ac:dyDescent="0.25">
      <c r="C1441" s="8" t="e">
        <f>VLOOKUP(A:A,'ITEM LIST'!A:C,3,0)</f>
        <v>#N/A</v>
      </c>
      <c r="D1441" s="6">
        <f t="shared" si="23"/>
        <v>0</v>
      </c>
    </row>
    <row r="1442" spans="3:4" ht="15" x14ac:dyDescent="0.25">
      <c r="C1442" s="8" t="e">
        <f>VLOOKUP(A:A,'ITEM LIST'!A:C,3,0)</f>
        <v>#N/A</v>
      </c>
      <c r="D1442" s="6">
        <f t="shared" si="23"/>
        <v>0</v>
      </c>
    </row>
    <row r="1443" spans="3:4" ht="15" x14ac:dyDescent="0.25">
      <c r="C1443" s="8" t="e">
        <f>VLOOKUP(A:A,'ITEM LIST'!A:C,3,0)</f>
        <v>#N/A</v>
      </c>
      <c r="D1443" s="6">
        <f t="shared" si="23"/>
        <v>0</v>
      </c>
    </row>
    <row r="1444" spans="3:4" ht="15" x14ac:dyDescent="0.25">
      <c r="C1444" s="8" t="e">
        <f>VLOOKUP(A:A,'ITEM LIST'!A:C,3,0)</f>
        <v>#N/A</v>
      </c>
      <c r="D1444" s="6">
        <f t="shared" si="23"/>
        <v>0</v>
      </c>
    </row>
    <row r="1445" spans="3:4" ht="15" x14ac:dyDescent="0.25">
      <c r="C1445" s="8" t="e">
        <f>VLOOKUP(A:A,'ITEM LIST'!A:C,3,0)</f>
        <v>#N/A</v>
      </c>
      <c r="D1445" s="6">
        <f t="shared" si="23"/>
        <v>0</v>
      </c>
    </row>
    <row r="1446" spans="3:4" ht="15" x14ac:dyDescent="0.25">
      <c r="C1446" s="8" t="e">
        <f>VLOOKUP(A:A,'ITEM LIST'!A:C,3,0)</f>
        <v>#N/A</v>
      </c>
      <c r="D1446" s="6">
        <f t="shared" si="23"/>
        <v>0</v>
      </c>
    </row>
    <row r="1447" spans="3:4" ht="15" x14ac:dyDescent="0.25">
      <c r="C1447" s="8" t="e">
        <f>VLOOKUP(A:A,'ITEM LIST'!A:C,3,0)</f>
        <v>#N/A</v>
      </c>
      <c r="D1447" s="6">
        <f t="shared" si="23"/>
        <v>0</v>
      </c>
    </row>
    <row r="1448" spans="3:4" ht="15" x14ac:dyDescent="0.25">
      <c r="C1448" s="8" t="e">
        <f>VLOOKUP(A:A,'ITEM LIST'!A:C,3,0)</f>
        <v>#N/A</v>
      </c>
      <c r="D1448" s="6">
        <f t="shared" si="23"/>
        <v>0</v>
      </c>
    </row>
    <row r="1449" spans="3:4" ht="15" x14ac:dyDescent="0.25">
      <c r="C1449" s="8" t="e">
        <f>VLOOKUP(A:A,'ITEM LIST'!A:C,3,0)</f>
        <v>#N/A</v>
      </c>
      <c r="D1449" s="6">
        <f t="shared" si="23"/>
        <v>0</v>
      </c>
    </row>
    <row r="1450" spans="3:4" ht="15" x14ac:dyDescent="0.25">
      <c r="C1450" s="8" t="e">
        <f>VLOOKUP(A:A,'ITEM LIST'!A:C,3,0)</f>
        <v>#N/A</v>
      </c>
      <c r="D1450" s="6">
        <f t="shared" si="23"/>
        <v>0</v>
      </c>
    </row>
    <row r="1451" spans="3:4" ht="15" x14ac:dyDescent="0.25">
      <c r="C1451" s="8" t="e">
        <f>VLOOKUP(A:A,'ITEM LIST'!A:C,3,0)</f>
        <v>#N/A</v>
      </c>
      <c r="D1451" s="6">
        <f t="shared" si="23"/>
        <v>0</v>
      </c>
    </row>
    <row r="1452" spans="3:4" ht="15" x14ac:dyDescent="0.25">
      <c r="C1452" s="8" t="e">
        <f>VLOOKUP(A:A,'ITEM LIST'!A:C,3,0)</f>
        <v>#N/A</v>
      </c>
      <c r="D1452" s="6">
        <f t="shared" si="23"/>
        <v>0</v>
      </c>
    </row>
    <row r="1453" spans="3:4" ht="15" x14ac:dyDescent="0.25">
      <c r="C1453" s="8" t="e">
        <f>VLOOKUP(A:A,'ITEM LIST'!A:C,3,0)</f>
        <v>#N/A</v>
      </c>
      <c r="D1453" s="6">
        <f t="shared" si="23"/>
        <v>0</v>
      </c>
    </row>
    <row r="1454" spans="3:4" ht="15" x14ac:dyDescent="0.25">
      <c r="C1454" s="8" t="e">
        <f>VLOOKUP(A:A,'ITEM LIST'!A:C,3,0)</f>
        <v>#N/A</v>
      </c>
      <c r="D1454" s="6">
        <f t="shared" si="23"/>
        <v>0</v>
      </c>
    </row>
    <row r="1455" spans="3:4" ht="15" x14ac:dyDescent="0.25">
      <c r="C1455" s="8" t="e">
        <f>VLOOKUP(A:A,'ITEM LIST'!A:C,3,0)</f>
        <v>#N/A</v>
      </c>
      <c r="D1455" s="6">
        <f t="shared" si="23"/>
        <v>0</v>
      </c>
    </row>
    <row r="1456" spans="3:4" ht="15" x14ac:dyDescent="0.25">
      <c r="C1456" s="8" t="e">
        <f>VLOOKUP(A:A,'ITEM LIST'!A:C,3,0)</f>
        <v>#N/A</v>
      </c>
      <c r="D1456" s="6">
        <f t="shared" si="23"/>
        <v>0</v>
      </c>
    </row>
    <row r="1457" spans="3:4" ht="15" x14ac:dyDescent="0.25">
      <c r="C1457" s="8" t="e">
        <f>VLOOKUP(A:A,'ITEM LIST'!A:C,3,0)</f>
        <v>#N/A</v>
      </c>
      <c r="D1457" s="6">
        <f t="shared" si="23"/>
        <v>0</v>
      </c>
    </row>
    <row r="1458" spans="3:4" ht="15" x14ac:dyDescent="0.25">
      <c r="C1458" s="8" t="e">
        <f>VLOOKUP(A:A,'ITEM LIST'!A:C,3,0)</f>
        <v>#N/A</v>
      </c>
      <c r="D1458" s="6">
        <f t="shared" si="23"/>
        <v>0</v>
      </c>
    </row>
    <row r="1459" spans="3:4" ht="15" x14ac:dyDescent="0.25">
      <c r="C1459" s="8" t="e">
        <f>VLOOKUP(A:A,'ITEM LIST'!A:C,3,0)</f>
        <v>#N/A</v>
      </c>
      <c r="D1459" s="6">
        <f t="shared" si="23"/>
        <v>0</v>
      </c>
    </row>
    <row r="1460" spans="3:4" ht="15" x14ac:dyDescent="0.25">
      <c r="C1460" s="8" t="e">
        <f>VLOOKUP(A:A,'ITEM LIST'!A:C,3,0)</f>
        <v>#N/A</v>
      </c>
      <c r="D1460" s="6">
        <f t="shared" si="23"/>
        <v>0</v>
      </c>
    </row>
    <row r="1461" spans="3:4" ht="15" x14ac:dyDescent="0.25">
      <c r="C1461" s="8" t="e">
        <f>VLOOKUP(A:A,'ITEM LIST'!A:C,3,0)</f>
        <v>#N/A</v>
      </c>
      <c r="D1461" s="6">
        <f t="shared" si="23"/>
        <v>0</v>
      </c>
    </row>
    <row r="1462" spans="3:4" ht="15" x14ac:dyDescent="0.25">
      <c r="C1462" s="8" t="e">
        <f>VLOOKUP(A:A,'ITEM LIST'!A:C,3,0)</f>
        <v>#N/A</v>
      </c>
      <c r="D1462" s="6">
        <f t="shared" si="23"/>
        <v>0</v>
      </c>
    </row>
    <row r="1463" spans="3:4" ht="15" x14ac:dyDescent="0.25">
      <c r="C1463" s="8" t="e">
        <f>VLOOKUP(A:A,'ITEM LIST'!A:C,3,0)</f>
        <v>#N/A</v>
      </c>
      <c r="D1463" s="6">
        <f t="shared" si="23"/>
        <v>0</v>
      </c>
    </row>
    <row r="1464" spans="3:4" ht="15" x14ac:dyDescent="0.25">
      <c r="C1464" s="8" t="e">
        <f>VLOOKUP(A:A,'ITEM LIST'!A:C,3,0)</f>
        <v>#N/A</v>
      </c>
      <c r="D1464" s="6">
        <f t="shared" si="23"/>
        <v>0</v>
      </c>
    </row>
    <row r="1465" spans="3:4" ht="15" x14ac:dyDescent="0.25">
      <c r="C1465" s="8" t="e">
        <f>VLOOKUP(A:A,'ITEM LIST'!A:C,3,0)</f>
        <v>#N/A</v>
      </c>
      <c r="D1465" s="6">
        <f t="shared" si="23"/>
        <v>0</v>
      </c>
    </row>
    <row r="1466" spans="3:4" ht="15" x14ac:dyDescent="0.25">
      <c r="C1466" s="8" t="e">
        <f>VLOOKUP(A:A,'ITEM LIST'!A:C,3,0)</f>
        <v>#N/A</v>
      </c>
      <c r="D1466" s="6">
        <f t="shared" si="23"/>
        <v>0</v>
      </c>
    </row>
    <row r="1467" spans="3:4" ht="15" x14ac:dyDescent="0.25">
      <c r="C1467" s="8" t="e">
        <f>VLOOKUP(A:A,'ITEM LIST'!A:C,3,0)</f>
        <v>#N/A</v>
      </c>
      <c r="D1467" s="6">
        <f t="shared" si="23"/>
        <v>0</v>
      </c>
    </row>
    <row r="1468" spans="3:4" ht="15" x14ac:dyDescent="0.25">
      <c r="C1468" s="8" t="e">
        <f>VLOOKUP(A:A,'ITEM LIST'!A:C,3,0)</f>
        <v>#N/A</v>
      </c>
      <c r="D1468" s="6">
        <f t="shared" si="23"/>
        <v>0</v>
      </c>
    </row>
    <row r="1469" spans="3:4" ht="15" x14ac:dyDescent="0.25">
      <c r="C1469" s="8" t="e">
        <f>VLOOKUP(A:A,'ITEM LIST'!A:C,3,0)</f>
        <v>#N/A</v>
      </c>
      <c r="D1469" s="6">
        <f t="shared" si="23"/>
        <v>0</v>
      </c>
    </row>
    <row r="1470" spans="3:4" ht="15" x14ac:dyDescent="0.25">
      <c r="C1470" s="8" t="e">
        <f>VLOOKUP(A:A,'ITEM LIST'!A:C,3,0)</f>
        <v>#N/A</v>
      </c>
      <c r="D1470" s="6">
        <f t="shared" si="23"/>
        <v>0</v>
      </c>
    </row>
    <row r="1471" spans="3:4" ht="15" x14ac:dyDescent="0.25">
      <c r="C1471" s="8" t="e">
        <f>VLOOKUP(A:A,'ITEM LIST'!A:C,3,0)</f>
        <v>#N/A</v>
      </c>
      <c r="D1471" s="6">
        <f t="shared" si="23"/>
        <v>0</v>
      </c>
    </row>
    <row r="1472" spans="3:4" ht="15" x14ac:dyDescent="0.25">
      <c r="C1472" s="8" t="e">
        <f>VLOOKUP(A:A,'ITEM LIST'!A:C,3,0)</f>
        <v>#N/A</v>
      </c>
      <c r="D1472" s="6">
        <f t="shared" si="23"/>
        <v>0</v>
      </c>
    </row>
    <row r="1473" spans="3:4" ht="15" x14ac:dyDescent="0.25">
      <c r="C1473" s="8" t="e">
        <f>VLOOKUP(A:A,'ITEM LIST'!A:C,3,0)</f>
        <v>#N/A</v>
      </c>
      <c r="D1473" s="6">
        <f t="shared" si="23"/>
        <v>0</v>
      </c>
    </row>
    <row r="1474" spans="3:4" ht="15" x14ac:dyDescent="0.25">
      <c r="C1474" s="8" t="e">
        <f>VLOOKUP(A:A,'ITEM LIST'!A:C,3,0)</f>
        <v>#N/A</v>
      </c>
      <c r="D1474" s="6">
        <f t="shared" si="23"/>
        <v>0</v>
      </c>
    </row>
    <row r="1475" spans="3:4" ht="15" x14ac:dyDescent="0.25">
      <c r="C1475" s="8" t="e">
        <f>VLOOKUP(A:A,'ITEM LIST'!A:C,3,0)</f>
        <v>#N/A</v>
      </c>
      <c r="D1475" s="6">
        <f t="shared" si="23"/>
        <v>0</v>
      </c>
    </row>
    <row r="1476" spans="3:4" ht="15" x14ac:dyDescent="0.25">
      <c r="C1476" s="8" t="e">
        <f>VLOOKUP(A:A,'ITEM LIST'!A:C,3,0)</f>
        <v>#N/A</v>
      </c>
      <c r="D1476" s="6">
        <f t="shared" si="23"/>
        <v>0</v>
      </c>
    </row>
    <row r="1477" spans="3:4" ht="15" x14ac:dyDescent="0.25">
      <c r="C1477" s="8" t="e">
        <f>VLOOKUP(A:A,'ITEM LIST'!A:C,3,0)</f>
        <v>#N/A</v>
      </c>
      <c r="D1477" s="6">
        <f t="shared" si="23"/>
        <v>0</v>
      </c>
    </row>
    <row r="1478" spans="3:4" ht="15" x14ac:dyDescent="0.25">
      <c r="C1478" s="8" t="e">
        <f>VLOOKUP(A:A,'ITEM LIST'!A:C,3,0)</f>
        <v>#N/A</v>
      </c>
      <c r="D1478" s="6">
        <f t="shared" ref="D1478:D1541" si="24">B1478</f>
        <v>0</v>
      </c>
    </row>
    <row r="1479" spans="3:4" ht="15" x14ac:dyDescent="0.25">
      <c r="C1479" s="8" t="e">
        <f>VLOOKUP(A:A,'ITEM LIST'!A:C,3,0)</f>
        <v>#N/A</v>
      </c>
      <c r="D1479" s="6">
        <f t="shared" si="24"/>
        <v>0</v>
      </c>
    </row>
    <row r="1480" spans="3:4" ht="15" x14ac:dyDescent="0.25">
      <c r="C1480" s="8" t="e">
        <f>VLOOKUP(A:A,'ITEM LIST'!A:C,3,0)</f>
        <v>#N/A</v>
      </c>
      <c r="D1480" s="6">
        <f t="shared" si="24"/>
        <v>0</v>
      </c>
    </row>
    <row r="1481" spans="3:4" ht="15" x14ac:dyDescent="0.25">
      <c r="C1481" s="8" t="e">
        <f>VLOOKUP(A:A,'ITEM LIST'!A:C,3,0)</f>
        <v>#N/A</v>
      </c>
      <c r="D1481" s="6">
        <f t="shared" si="24"/>
        <v>0</v>
      </c>
    </row>
    <row r="1482" spans="3:4" ht="15" x14ac:dyDescent="0.25">
      <c r="C1482" s="8" t="e">
        <f>VLOOKUP(A:A,'ITEM LIST'!A:C,3,0)</f>
        <v>#N/A</v>
      </c>
      <c r="D1482" s="6">
        <f t="shared" si="24"/>
        <v>0</v>
      </c>
    </row>
    <row r="1483" spans="3:4" ht="15" x14ac:dyDescent="0.25">
      <c r="C1483" s="8" t="e">
        <f>VLOOKUP(A:A,'ITEM LIST'!A:C,3,0)</f>
        <v>#N/A</v>
      </c>
      <c r="D1483" s="6">
        <f t="shared" si="24"/>
        <v>0</v>
      </c>
    </row>
    <row r="1484" spans="3:4" ht="15" x14ac:dyDescent="0.25">
      <c r="C1484" s="8" t="e">
        <f>VLOOKUP(A:A,'ITEM LIST'!A:C,3,0)</f>
        <v>#N/A</v>
      </c>
      <c r="D1484" s="6">
        <f t="shared" si="24"/>
        <v>0</v>
      </c>
    </row>
    <row r="1485" spans="3:4" ht="15" x14ac:dyDescent="0.25">
      <c r="C1485" s="8" t="e">
        <f>VLOOKUP(A:A,'ITEM LIST'!A:C,3,0)</f>
        <v>#N/A</v>
      </c>
      <c r="D1485" s="6">
        <f t="shared" si="24"/>
        <v>0</v>
      </c>
    </row>
    <row r="1486" spans="3:4" ht="15" x14ac:dyDescent="0.25">
      <c r="C1486" s="8" t="e">
        <f>VLOOKUP(A:A,'ITEM LIST'!A:C,3,0)</f>
        <v>#N/A</v>
      </c>
      <c r="D1486" s="6">
        <f t="shared" si="24"/>
        <v>0</v>
      </c>
    </row>
    <row r="1487" spans="3:4" ht="15" x14ac:dyDescent="0.25">
      <c r="C1487" s="8" t="e">
        <f>VLOOKUP(A:A,'ITEM LIST'!A:C,3,0)</f>
        <v>#N/A</v>
      </c>
      <c r="D1487" s="6">
        <f t="shared" si="24"/>
        <v>0</v>
      </c>
    </row>
    <row r="1488" spans="3:4" ht="15" x14ac:dyDescent="0.25">
      <c r="C1488" s="8" t="e">
        <f>VLOOKUP(A:A,'ITEM LIST'!A:C,3,0)</f>
        <v>#N/A</v>
      </c>
      <c r="D1488" s="6">
        <f t="shared" si="24"/>
        <v>0</v>
      </c>
    </row>
    <row r="1489" spans="3:4" ht="15" x14ac:dyDescent="0.25">
      <c r="C1489" s="8" t="e">
        <f>VLOOKUP(A:A,'ITEM LIST'!A:C,3,0)</f>
        <v>#N/A</v>
      </c>
      <c r="D1489" s="6">
        <f t="shared" si="24"/>
        <v>0</v>
      </c>
    </row>
    <row r="1490" spans="3:4" ht="15" x14ac:dyDescent="0.25">
      <c r="C1490" s="8" t="e">
        <f>VLOOKUP(A:A,'ITEM LIST'!A:C,3,0)</f>
        <v>#N/A</v>
      </c>
      <c r="D1490" s="6">
        <f t="shared" si="24"/>
        <v>0</v>
      </c>
    </row>
    <row r="1491" spans="3:4" ht="15" x14ac:dyDescent="0.25">
      <c r="C1491" s="8" t="e">
        <f>VLOOKUP(A:A,'ITEM LIST'!A:C,3,0)</f>
        <v>#N/A</v>
      </c>
      <c r="D1491" s="6">
        <f t="shared" si="24"/>
        <v>0</v>
      </c>
    </row>
    <row r="1492" spans="3:4" ht="15" x14ac:dyDescent="0.25">
      <c r="C1492" s="8" t="e">
        <f>VLOOKUP(A:A,'ITEM LIST'!A:C,3,0)</f>
        <v>#N/A</v>
      </c>
      <c r="D1492" s="6">
        <f t="shared" si="24"/>
        <v>0</v>
      </c>
    </row>
    <row r="1493" spans="3:4" ht="15" x14ac:dyDescent="0.25">
      <c r="C1493" s="8" t="e">
        <f>VLOOKUP(A:A,'ITEM LIST'!A:C,3,0)</f>
        <v>#N/A</v>
      </c>
      <c r="D1493" s="6">
        <f t="shared" si="24"/>
        <v>0</v>
      </c>
    </row>
    <row r="1494" spans="3:4" ht="15" x14ac:dyDescent="0.25">
      <c r="C1494" s="8" t="e">
        <f>VLOOKUP(A:A,'ITEM LIST'!A:C,3,0)</f>
        <v>#N/A</v>
      </c>
      <c r="D1494" s="6">
        <f t="shared" si="24"/>
        <v>0</v>
      </c>
    </row>
    <row r="1495" spans="3:4" ht="15" x14ac:dyDescent="0.25">
      <c r="C1495" s="8" t="e">
        <f>VLOOKUP(A:A,'ITEM LIST'!A:C,3,0)</f>
        <v>#N/A</v>
      </c>
      <c r="D1495" s="6">
        <f t="shared" si="24"/>
        <v>0</v>
      </c>
    </row>
    <row r="1496" spans="3:4" ht="15" x14ac:dyDescent="0.25">
      <c r="C1496" s="8" t="e">
        <f>VLOOKUP(A:A,'ITEM LIST'!A:C,3,0)</f>
        <v>#N/A</v>
      </c>
      <c r="D1496" s="6">
        <f t="shared" si="24"/>
        <v>0</v>
      </c>
    </row>
    <row r="1497" spans="3:4" ht="15" x14ac:dyDescent="0.25">
      <c r="C1497" s="8" t="e">
        <f>VLOOKUP(A:A,'ITEM LIST'!A:C,3,0)</f>
        <v>#N/A</v>
      </c>
      <c r="D1497" s="6">
        <f t="shared" si="24"/>
        <v>0</v>
      </c>
    </row>
    <row r="1498" spans="3:4" ht="15" x14ac:dyDescent="0.25">
      <c r="C1498" s="8" t="e">
        <f>VLOOKUP(A:A,'ITEM LIST'!A:C,3,0)</f>
        <v>#N/A</v>
      </c>
      <c r="D1498" s="6">
        <f t="shared" si="24"/>
        <v>0</v>
      </c>
    </row>
    <row r="1499" spans="3:4" ht="15" x14ac:dyDescent="0.25">
      <c r="C1499" s="8" t="e">
        <f>VLOOKUP(A:A,'ITEM LIST'!A:C,3,0)</f>
        <v>#N/A</v>
      </c>
      <c r="D1499" s="6">
        <f t="shared" si="24"/>
        <v>0</v>
      </c>
    </row>
    <row r="1500" spans="3:4" ht="15" x14ac:dyDescent="0.25">
      <c r="C1500" s="8" t="e">
        <f>VLOOKUP(A:A,'ITEM LIST'!A:C,3,0)</f>
        <v>#N/A</v>
      </c>
      <c r="D1500" s="6">
        <f t="shared" si="24"/>
        <v>0</v>
      </c>
    </row>
    <row r="1501" spans="3:4" ht="15" x14ac:dyDescent="0.25">
      <c r="C1501" s="8" t="e">
        <f>VLOOKUP(A:A,'ITEM LIST'!A:C,3,0)</f>
        <v>#N/A</v>
      </c>
      <c r="D1501" s="6">
        <f t="shared" si="24"/>
        <v>0</v>
      </c>
    </row>
    <row r="1502" spans="3:4" ht="15" x14ac:dyDescent="0.25">
      <c r="C1502" s="8" t="e">
        <f>VLOOKUP(A:A,'ITEM LIST'!A:C,3,0)</f>
        <v>#N/A</v>
      </c>
      <c r="D1502" s="6">
        <f t="shared" si="24"/>
        <v>0</v>
      </c>
    </row>
    <row r="1503" spans="3:4" ht="15" x14ac:dyDescent="0.25">
      <c r="C1503" s="8" t="e">
        <f>VLOOKUP(A:A,'ITEM LIST'!A:C,3,0)</f>
        <v>#N/A</v>
      </c>
      <c r="D1503" s="6">
        <f t="shared" si="24"/>
        <v>0</v>
      </c>
    </row>
    <row r="1504" spans="3:4" ht="15" x14ac:dyDescent="0.25">
      <c r="C1504" s="8" t="e">
        <f>VLOOKUP(A:A,'ITEM LIST'!A:C,3,0)</f>
        <v>#N/A</v>
      </c>
      <c r="D1504" s="6">
        <f t="shared" si="24"/>
        <v>0</v>
      </c>
    </row>
    <row r="1505" spans="3:4" ht="15" x14ac:dyDescent="0.25">
      <c r="C1505" s="8" t="e">
        <f>VLOOKUP(A:A,'ITEM LIST'!A:C,3,0)</f>
        <v>#N/A</v>
      </c>
      <c r="D1505" s="6">
        <f t="shared" si="24"/>
        <v>0</v>
      </c>
    </row>
    <row r="1506" spans="3:4" ht="15" x14ac:dyDescent="0.25">
      <c r="C1506" s="8" t="e">
        <f>VLOOKUP(A:A,'ITEM LIST'!A:C,3,0)</f>
        <v>#N/A</v>
      </c>
      <c r="D1506" s="6">
        <f t="shared" si="24"/>
        <v>0</v>
      </c>
    </row>
    <row r="1507" spans="3:4" ht="15" x14ac:dyDescent="0.25">
      <c r="C1507" s="8" t="e">
        <f>VLOOKUP(A:A,'ITEM LIST'!A:C,3,0)</f>
        <v>#N/A</v>
      </c>
      <c r="D1507" s="6">
        <f t="shared" si="24"/>
        <v>0</v>
      </c>
    </row>
    <row r="1508" spans="3:4" ht="15" x14ac:dyDescent="0.25">
      <c r="C1508" s="8" t="e">
        <f>VLOOKUP(A:A,'ITEM LIST'!A:C,3,0)</f>
        <v>#N/A</v>
      </c>
      <c r="D1508" s="6">
        <f t="shared" si="24"/>
        <v>0</v>
      </c>
    </row>
    <row r="1509" spans="3:4" ht="15" x14ac:dyDescent="0.25">
      <c r="C1509" s="8" t="e">
        <f>VLOOKUP(A:A,'ITEM LIST'!A:C,3,0)</f>
        <v>#N/A</v>
      </c>
      <c r="D1509" s="6">
        <f t="shared" si="24"/>
        <v>0</v>
      </c>
    </row>
    <row r="1510" spans="3:4" ht="15" x14ac:dyDescent="0.25">
      <c r="C1510" s="8" t="e">
        <f>VLOOKUP(A:A,'ITEM LIST'!A:C,3,0)</f>
        <v>#N/A</v>
      </c>
      <c r="D1510" s="6">
        <f t="shared" si="24"/>
        <v>0</v>
      </c>
    </row>
    <row r="1511" spans="3:4" ht="15" x14ac:dyDescent="0.25">
      <c r="C1511" s="8" t="e">
        <f>VLOOKUP(A:A,'ITEM LIST'!A:C,3,0)</f>
        <v>#N/A</v>
      </c>
      <c r="D1511" s="6">
        <f t="shared" si="24"/>
        <v>0</v>
      </c>
    </row>
    <row r="1512" spans="3:4" ht="15" x14ac:dyDescent="0.25">
      <c r="C1512" s="8" t="e">
        <f>VLOOKUP(A:A,'ITEM LIST'!A:C,3,0)</f>
        <v>#N/A</v>
      </c>
      <c r="D1512" s="6">
        <f t="shared" si="24"/>
        <v>0</v>
      </c>
    </row>
    <row r="1513" spans="3:4" ht="15" x14ac:dyDescent="0.25">
      <c r="C1513" s="8" t="e">
        <f>VLOOKUP(A:A,'ITEM LIST'!A:C,3,0)</f>
        <v>#N/A</v>
      </c>
      <c r="D1513" s="6">
        <f t="shared" si="24"/>
        <v>0</v>
      </c>
    </row>
    <row r="1514" spans="3:4" ht="15" x14ac:dyDescent="0.25">
      <c r="C1514" s="8" t="e">
        <f>VLOOKUP(A:A,'ITEM LIST'!A:C,3,0)</f>
        <v>#N/A</v>
      </c>
      <c r="D1514" s="6">
        <f t="shared" si="24"/>
        <v>0</v>
      </c>
    </row>
    <row r="1515" spans="3:4" ht="15" x14ac:dyDescent="0.25">
      <c r="C1515" s="8" t="e">
        <f>VLOOKUP(A:A,'ITEM LIST'!A:C,3,0)</f>
        <v>#N/A</v>
      </c>
      <c r="D1515" s="6">
        <f t="shared" si="24"/>
        <v>0</v>
      </c>
    </row>
    <row r="1516" spans="3:4" ht="15" x14ac:dyDescent="0.25">
      <c r="C1516" s="8" t="e">
        <f>VLOOKUP(A:A,'ITEM LIST'!A:C,3,0)</f>
        <v>#N/A</v>
      </c>
      <c r="D1516" s="6">
        <f t="shared" si="24"/>
        <v>0</v>
      </c>
    </row>
    <row r="1517" spans="3:4" ht="15" x14ac:dyDescent="0.25">
      <c r="C1517" s="8" t="e">
        <f>VLOOKUP(A:A,'ITEM LIST'!A:C,3,0)</f>
        <v>#N/A</v>
      </c>
      <c r="D1517" s="6">
        <f t="shared" si="24"/>
        <v>0</v>
      </c>
    </row>
    <row r="1518" spans="3:4" ht="15" x14ac:dyDescent="0.25">
      <c r="C1518" s="8" t="e">
        <f>VLOOKUP(A:A,'ITEM LIST'!A:C,3,0)</f>
        <v>#N/A</v>
      </c>
      <c r="D1518" s="6">
        <f t="shared" si="24"/>
        <v>0</v>
      </c>
    </row>
    <row r="1519" spans="3:4" ht="15" x14ac:dyDescent="0.25">
      <c r="C1519" s="8" t="e">
        <f>VLOOKUP(A:A,'ITEM LIST'!A:C,3,0)</f>
        <v>#N/A</v>
      </c>
      <c r="D1519" s="6">
        <f t="shared" si="24"/>
        <v>0</v>
      </c>
    </row>
    <row r="1520" spans="3:4" ht="15" x14ac:dyDescent="0.25">
      <c r="C1520" s="8" t="e">
        <f>VLOOKUP(A:A,'ITEM LIST'!A:C,3,0)</f>
        <v>#N/A</v>
      </c>
      <c r="D1520" s="6">
        <f t="shared" si="24"/>
        <v>0</v>
      </c>
    </row>
    <row r="1521" spans="3:4" ht="15" x14ac:dyDescent="0.25">
      <c r="C1521" s="8" t="e">
        <f>VLOOKUP(A:A,'ITEM LIST'!A:C,3,0)</f>
        <v>#N/A</v>
      </c>
      <c r="D1521" s="6">
        <f t="shared" si="24"/>
        <v>0</v>
      </c>
    </row>
    <row r="1522" spans="3:4" ht="15" x14ac:dyDescent="0.25">
      <c r="C1522" s="8" t="e">
        <f>VLOOKUP(A:A,'ITEM LIST'!A:C,3,0)</f>
        <v>#N/A</v>
      </c>
      <c r="D1522" s="6">
        <f t="shared" si="24"/>
        <v>0</v>
      </c>
    </row>
    <row r="1523" spans="3:4" ht="15" x14ac:dyDescent="0.25">
      <c r="C1523" s="8" t="e">
        <f>VLOOKUP(A:A,'ITEM LIST'!A:C,3,0)</f>
        <v>#N/A</v>
      </c>
      <c r="D1523" s="6">
        <f t="shared" si="24"/>
        <v>0</v>
      </c>
    </row>
    <row r="1524" spans="3:4" ht="15" x14ac:dyDescent="0.25">
      <c r="C1524" s="8" t="e">
        <f>VLOOKUP(A:A,'ITEM LIST'!A:C,3,0)</f>
        <v>#N/A</v>
      </c>
      <c r="D1524" s="6">
        <f t="shared" si="24"/>
        <v>0</v>
      </c>
    </row>
    <row r="1525" spans="3:4" ht="15" x14ac:dyDescent="0.25">
      <c r="C1525" s="8" t="e">
        <f>VLOOKUP(A:A,'ITEM LIST'!A:C,3,0)</f>
        <v>#N/A</v>
      </c>
      <c r="D1525" s="6">
        <f t="shared" si="24"/>
        <v>0</v>
      </c>
    </row>
    <row r="1526" spans="3:4" ht="15" x14ac:dyDescent="0.25">
      <c r="C1526" s="8" t="e">
        <f>VLOOKUP(A:A,'ITEM LIST'!A:C,3,0)</f>
        <v>#N/A</v>
      </c>
      <c r="D1526" s="6">
        <f t="shared" si="24"/>
        <v>0</v>
      </c>
    </row>
    <row r="1527" spans="3:4" ht="15" x14ac:dyDescent="0.25">
      <c r="C1527" s="8" t="e">
        <f>VLOOKUP(A:A,'ITEM LIST'!A:C,3,0)</f>
        <v>#N/A</v>
      </c>
      <c r="D1527" s="6">
        <f t="shared" si="24"/>
        <v>0</v>
      </c>
    </row>
    <row r="1528" spans="3:4" ht="15" x14ac:dyDescent="0.25">
      <c r="C1528" s="8" t="e">
        <f>VLOOKUP(A:A,'ITEM LIST'!A:C,3,0)</f>
        <v>#N/A</v>
      </c>
      <c r="D1528" s="6">
        <f t="shared" si="24"/>
        <v>0</v>
      </c>
    </row>
    <row r="1529" spans="3:4" ht="15" x14ac:dyDescent="0.25">
      <c r="C1529" s="8" t="e">
        <f>VLOOKUP(A:A,'ITEM LIST'!A:C,3,0)</f>
        <v>#N/A</v>
      </c>
      <c r="D1529" s="6">
        <f t="shared" si="24"/>
        <v>0</v>
      </c>
    </row>
    <row r="1530" spans="3:4" ht="15" x14ac:dyDescent="0.25">
      <c r="C1530" s="8" t="e">
        <f>VLOOKUP(A:A,'ITEM LIST'!A:C,3,0)</f>
        <v>#N/A</v>
      </c>
      <c r="D1530" s="6">
        <f t="shared" si="24"/>
        <v>0</v>
      </c>
    </row>
    <row r="1531" spans="3:4" ht="15" x14ac:dyDescent="0.25">
      <c r="C1531" s="8" t="e">
        <f>VLOOKUP(A:A,'ITEM LIST'!A:C,3,0)</f>
        <v>#N/A</v>
      </c>
      <c r="D1531" s="6">
        <f t="shared" si="24"/>
        <v>0</v>
      </c>
    </row>
    <row r="1532" spans="3:4" ht="15" x14ac:dyDescent="0.25">
      <c r="C1532" s="8" t="e">
        <f>VLOOKUP(A:A,'ITEM LIST'!A:C,3,0)</f>
        <v>#N/A</v>
      </c>
      <c r="D1532" s="6">
        <f t="shared" si="24"/>
        <v>0</v>
      </c>
    </row>
    <row r="1533" spans="3:4" ht="15" x14ac:dyDescent="0.25">
      <c r="C1533" s="8" t="e">
        <f>VLOOKUP(A:A,'ITEM LIST'!A:C,3,0)</f>
        <v>#N/A</v>
      </c>
      <c r="D1533" s="6">
        <f t="shared" si="24"/>
        <v>0</v>
      </c>
    </row>
    <row r="1534" spans="3:4" ht="15" x14ac:dyDescent="0.25">
      <c r="C1534" s="8" t="e">
        <f>VLOOKUP(A:A,'ITEM LIST'!A:C,3,0)</f>
        <v>#N/A</v>
      </c>
      <c r="D1534" s="6">
        <f t="shared" si="24"/>
        <v>0</v>
      </c>
    </row>
    <row r="1535" spans="3:4" ht="15" x14ac:dyDescent="0.25">
      <c r="C1535" s="8" t="e">
        <f>VLOOKUP(A:A,'ITEM LIST'!A:C,3,0)</f>
        <v>#N/A</v>
      </c>
      <c r="D1535" s="6">
        <f t="shared" si="24"/>
        <v>0</v>
      </c>
    </row>
    <row r="1536" spans="3:4" ht="15" x14ac:dyDescent="0.25">
      <c r="C1536" s="8" t="e">
        <f>VLOOKUP(A:A,'ITEM LIST'!A:C,3,0)</f>
        <v>#N/A</v>
      </c>
      <c r="D1536" s="6">
        <f t="shared" si="24"/>
        <v>0</v>
      </c>
    </row>
    <row r="1537" spans="3:4" ht="15" x14ac:dyDescent="0.25">
      <c r="C1537" s="8" t="e">
        <f>VLOOKUP(A:A,'ITEM LIST'!A:C,3,0)</f>
        <v>#N/A</v>
      </c>
      <c r="D1537" s="6">
        <f t="shared" si="24"/>
        <v>0</v>
      </c>
    </row>
    <row r="1538" spans="3:4" ht="15" x14ac:dyDescent="0.25">
      <c r="C1538" s="8" t="e">
        <f>VLOOKUP(A:A,'ITEM LIST'!A:C,3,0)</f>
        <v>#N/A</v>
      </c>
      <c r="D1538" s="6">
        <f t="shared" si="24"/>
        <v>0</v>
      </c>
    </row>
    <row r="1539" spans="3:4" ht="15" x14ac:dyDescent="0.25">
      <c r="C1539" s="8" t="e">
        <f>VLOOKUP(A:A,'ITEM LIST'!A:C,3,0)</f>
        <v>#N/A</v>
      </c>
      <c r="D1539" s="6">
        <f t="shared" si="24"/>
        <v>0</v>
      </c>
    </row>
    <row r="1540" spans="3:4" ht="15" x14ac:dyDescent="0.25">
      <c r="C1540" s="8" t="e">
        <f>VLOOKUP(A:A,'ITEM LIST'!A:C,3,0)</f>
        <v>#N/A</v>
      </c>
      <c r="D1540" s="6">
        <f t="shared" si="24"/>
        <v>0</v>
      </c>
    </row>
    <row r="1541" spans="3:4" ht="15" x14ac:dyDescent="0.25">
      <c r="C1541" s="8" t="e">
        <f>VLOOKUP(A:A,'ITEM LIST'!A:C,3,0)</f>
        <v>#N/A</v>
      </c>
      <c r="D1541" s="6">
        <f t="shared" si="24"/>
        <v>0</v>
      </c>
    </row>
    <row r="1542" spans="3:4" ht="15" x14ac:dyDescent="0.25">
      <c r="C1542" s="8" t="e">
        <f>VLOOKUP(A:A,'ITEM LIST'!A:C,3,0)</f>
        <v>#N/A</v>
      </c>
      <c r="D1542" s="6">
        <f t="shared" ref="D1542:D1605" si="25">B1542</f>
        <v>0</v>
      </c>
    </row>
    <row r="1543" spans="3:4" ht="15" x14ac:dyDescent="0.25">
      <c r="C1543" s="8" t="e">
        <f>VLOOKUP(A:A,'ITEM LIST'!A:C,3,0)</f>
        <v>#N/A</v>
      </c>
      <c r="D1543" s="6">
        <f t="shared" si="25"/>
        <v>0</v>
      </c>
    </row>
    <row r="1544" spans="3:4" ht="15" x14ac:dyDescent="0.25">
      <c r="C1544" s="8" t="e">
        <f>VLOOKUP(A:A,'ITEM LIST'!A:C,3,0)</f>
        <v>#N/A</v>
      </c>
      <c r="D1544" s="6">
        <f t="shared" si="25"/>
        <v>0</v>
      </c>
    </row>
    <row r="1545" spans="3:4" ht="15" x14ac:dyDescent="0.25">
      <c r="C1545" s="8" t="e">
        <f>VLOOKUP(A:A,'ITEM LIST'!A:C,3,0)</f>
        <v>#N/A</v>
      </c>
      <c r="D1545" s="6">
        <f t="shared" si="25"/>
        <v>0</v>
      </c>
    </row>
    <row r="1546" spans="3:4" ht="15" x14ac:dyDescent="0.25">
      <c r="C1546" s="8" t="e">
        <f>VLOOKUP(A:A,'ITEM LIST'!A:C,3,0)</f>
        <v>#N/A</v>
      </c>
      <c r="D1546" s="6">
        <f t="shared" si="25"/>
        <v>0</v>
      </c>
    </row>
    <row r="1547" spans="3:4" ht="15" x14ac:dyDescent="0.25">
      <c r="C1547" s="8" t="e">
        <f>VLOOKUP(A:A,'ITEM LIST'!A:C,3,0)</f>
        <v>#N/A</v>
      </c>
      <c r="D1547" s="6">
        <f t="shared" si="25"/>
        <v>0</v>
      </c>
    </row>
    <row r="1548" spans="3:4" ht="15" x14ac:dyDescent="0.25">
      <c r="C1548" s="8" t="e">
        <f>VLOOKUP(A:A,'ITEM LIST'!A:C,3,0)</f>
        <v>#N/A</v>
      </c>
      <c r="D1548" s="6">
        <f t="shared" si="25"/>
        <v>0</v>
      </c>
    </row>
    <row r="1549" spans="3:4" ht="15" x14ac:dyDescent="0.25">
      <c r="C1549" s="8" t="e">
        <f>VLOOKUP(A:A,'ITEM LIST'!A:C,3,0)</f>
        <v>#N/A</v>
      </c>
      <c r="D1549" s="6">
        <f t="shared" si="25"/>
        <v>0</v>
      </c>
    </row>
    <row r="1550" spans="3:4" ht="15" x14ac:dyDescent="0.25">
      <c r="C1550" s="8" t="e">
        <f>VLOOKUP(A:A,'ITEM LIST'!A:C,3,0)</f>
        <v>#N/A</v>
      </c>
      <c r="D1550" s="6">
        <f t="shared" si="25"/>
        <v>0</v>
      </c>
    </row>
    <row r="1551" spans="3:4" ht="15" x14ac:dyDescent="0.25">
      <c r="C1551" s="8" t="e">
        <f>VLOOKUP(A:A,'ITEM LIST'!A:C,3,0)</f>
        <v>#N/A</v>
      </c>
      <c r="D1551" s="6">
        <f t="shared" si="25"/>
        <v>0</v>
      </c>
    </row>
    <row r="1552" spans="3:4" ht="15" x14ac:dyDescent="0.25">
      <c r="C1552" s="8" t="e">
        <f>VLOOKUP(A:A,'ITEM LIST'!A:C,3,0)</f>
        <v>#N/A</v>
      </c>
      <c r="D1552" s="6">
        <f t="shared" si="25"/>
        <v>0</v>
      </c>
    </row>
    <row r="1553" spans="3:4" ht="15" x14ac:dyDescent="0.25">
      <c r="C1553" s="8" t="e">
        <f>VLOOKUP(A:A,'ITEM LIST'!A:C,3,0)</f>
        <v>#N/A</v>
      </c>
      <c r="D1553" s="6">
        <f t="shared" si="25"/>
        <v>0</v>
      </c>
    </row>
    <row r="1554" spans="3:4" ht="15" x14ac:dyDescent="0.25">
      <c r="C1554" s="8" t="e">
        <f>VLOOKUP(A:A,'ITEM LIST'!A:C,3,0)</f>
        <v>#N/A</v>
      </c>
      <c r="D1554" s="6">
        <f t="shared" si="25"/>
        <v>0</v>
      </c>
    </row>
    <row r="1555" spans="3:4" ht="15" x14ac:dyDescent="0.25">
      <c r="C1555" s="8" t="e">
        <f>VLOOKUP(A:A,'ITEM LIST'!A:C,3,0)</f>
        <v>#N/A</v>
      </c>
      <c r="D1555" s="6">
        <f t="shared" si="25"/>
        <v>0</v>
      </c>
    </row>
    <row r="1556" spans="3:4" ht="15" x14ac:dyDescent="0.25">
      <c r="C1556" s="8" t="e">
        <f>VLOOKUP(A:A,'ITEM LIST'!A:C,3,0)</f>
        <v>#N/A</v>
      </c>
      <c r="D1556" s="6">
        <f t="shared" si="25"/>
        <v>0</v>
      </c>
    </row>
    <row r="1557" spans="3:4" ht="15" x14ac:dyDescent="0.25">
      <c r="C1557" s="8" t="e">
        <f>VLOOKUP(A:A,'ITEM LIST'!A:C,3,0)</f>
        <v>#N/A</v>
      </c>
      <c r="D1557" s="6">
        <f t="shared" si="25"/>
        <v>0</v>
      </c>
    </row>
    <row r="1558" spans="3:4" ht="15" x14ac:dyDescent="0.25">
      <c r="C1558" s="8" t="e">
        <f>VLOOKUP(A:A,'ITEM LIST'!A:C,3,0)</f>
        <v>#N/A</v>
      </c>
      <c r="D1558" s="6">
        <f t="shared" si="25"/>
        <v>0</v>
      </c>
    </row>
    <row r="1559" spans="3:4" ht="15" x14ac:dyDescent="0.25">
      <c r="C1559" s="8" t="e">
        <f>VLOOKUP(A:A,'ITEM LIST'!A:C,3,0)</f>
        <v>#N/A</v>
      </c>
      <c r="D1559" s="6">
        <f t="shared" si="25"/>
        <v>0</v>
      </c>
    </row>
    <row r="1560" spans="3:4" ht="15" x14ac:dyDescent="0.25">
      <c r="C1560" s="8" t="e">
        <f>VLOOKUP(A:A,'ITEM LIST'!A:C,3,0)</f>
        <v>#N/A</v>
      </c>
      <c r="D1560" s="6">
        <f t="shared" si="25"/>
        <v>0</v>
      </c>
    </row>
    <row r="1561" spans="3:4" ht="15" x14ac:dyDescent="0.25">
      <c r="C1561" s="8" t="e">
        <f>VLOOKUP(A:A,'ITEM LIST'!A:C,3,0)</f>
        <v>#N/A</v>
      </c>
      <c r="D1561" s="6">
        <f t="shared" si="25"/>
        <v>0</v>
      </c>
    </row>
    <row r="1562" spans="3:4" ht="15" x14ac:dyDescent="0.25">
      <c r="C1562" s="8" t="e">
        <f>VLOOKUP(A:A,'ITEM LIST'!A:C,3,0)</f>
        <v>#N/A</v>
      </c>
      <c r="D1562" s="6">
        <f t="shared" si="25"/>
        <v>0</v>
      </c>
    </row>
    <row r="1563" spans="3:4" ht="15" x14ac:dyDescent="0.25">
      <c r="C1563" s="8" t="e">
        <f>VLOOKUP(A:A,'ITEM LIST'!A:C,3,0)</f>
        <v>#N/A</v>
      </c>
      <c r="D1563" s="6">
        <f t="shared" si="25"/>
        <v>0</v>
      </c>
    </row>
    <row r="1564" spans="3:4" ht="15" x14ac:dyDescent="0.25">
      <c r="C1564" s="8" t="e">
        <f>VLOOKUP(A:A,'ITEM LIST'!A:C,3,0)</f>
        <v>#N/A</v>
      </c>
      <c r="D1564" s="6">
        <f t="shared" si="25"/>
        <v>0</v>
      </c>
    </row>
    <row r="1565" spans="3:4" ht="15" x14ac:dyDescent="0.25">
      <c r="C1565" s="8" t="e">
        <f>VLOOKUP(A:A,'ITEM LIST'!A:C,3,0)</f>
        <v>#N/A</v>
      </c>
      <c r="D1565" s="6">
        <f t="shared" si="25"/>
        <v>0</v>
      </c>
    </row>
    <row r="1566" spans="3:4" ht="15" x14ac:dyDescent="0.25">
      <c r="C1566" s="8" t="e">
        <f>VLOOKUP(A:A,'ITEM LIST'!A:C,3,0)</f>
        <v>#N/A</v>
      </c>
      <c r="D1566" s="6">
        <f t="shared" si="25"/>
        <v>0</v>
      </c>
    </row>
    <row r="1567" spans="3:4" ht="15" x14ac:dyDescent="0.25">
      <c r="C1567" s="8" t="e">
        <f>VLOOKUP(A:A,'ITEM LIST'!A:C,3,0)</f>
        <v>#N/A</v>
      </c>
      <c r="D1567" s="6">
        <f t="shared" si="25"/>
        <v>0</v>
      </c>
    </row>
    <row r="1568" spans="3:4" ht="15" x14ac:dyDescent="0.25">
      <c r="C1568" s="8" t="e">
        <f>VLOOKUP(A:A,'ITEM LIST'!A:C,3,0)</f>
        <v>#N/A</v>
      </c>
      <c r="D1568" s="6">
        <f t="shared" si="25"/>
        <v>0</v>
      </c>
    </row>
    <row r="1569" spans="3:4" ht="15" x14ac:dyDescent="0.25">
      <c r="C1569" s="8" t="e">
        <f>VLOOKUP(A:A,'ITEM LIST'!A:C,3,0)</f>
        <v>#N/A</v>
      </c>
      <c r="D1569" s="6">
        <f t="shared" si="25"/>
        <v>0</v>
      </c>
    </row>
    <row r="1570" spans="3:4" ht="15" x14ac:dyDescent="0.25">
      <c r="C1570" s="8" t="e">
        <f>VLOOKUP(A:A,'ITEM LIST'!A:C,3,0)</f>
        <v>#N/A</v>
      </c>
      <c r="D1570" s="6">
        <f t="shared" si="25"/>
        <v>0</v>
      </c>
    </row>
    <row r="1571" spans="3:4" ht="15" x14ac:dyDescent="0.25">
      <c r="C1571" s="8" t="e">
        <f>VLOOKUP(A:A,'ITEM LIST'!A:C,3,0)</f>
        <v>#N/A</v>
      </c>
      <c r="D1571" s="6">
        <f t="shared" si="25"/>
        <v>0</v>
      </c>
    </row>
    <row r="1572" spans="3:4" ht="15" x14ac:dyDescent="0.25">
      <c r="C1572" s="8" t="e">
        <f>VLOOKUP(A:A,'ITEM LIST'!A:C,3,0)</f>
        <v>#N/A</v>
      </c>
      <c r="D1572" s="6">
        <f t="shared" si="25"/>
        <v>0</v>
      </c>
    </row>
    <row r="1573" spans="3:4" ht="15" x14ac:dyDescent="0.25">
      <c r="C1573" s="8" t="e">
        <f>VLOOKUP(A:A,'ITEM LIST'!A:C,3,0)</f>
        <v>#N/A</v>
      </c>
      <c r="D1573" s="6">
        <f t="shared" si="25"/>
        <v>0</v>
      </c>
    </row>
    <row r="1574" spans="3:4" ht="15" x14ac:dyDescent="0.25">
      <c r="C1574" s="8" t="e">
        <f>VLOOKUP(A:A,'ITEM LIST'!A:C,3,0)</f>
        <v>#N/A</v>
      </c>
      <c r="D1574" s="6">
        <f t="shared" si="25"/>
        <v>0</v>
      </c>
    </row>
    <row r="1575" spans="3:4" ht="15" x14ac:dyDescent="0.25">
      <c r="C1575" s="8" t="e">
        <f>VLOOKUP(A:A,'ITEM LIST'!A:C,3,0)</f>
        <v>#N/A</v>
      </c>
      <c r="D1575" s="6">
        <f t="shared" si="25"/>
        <v>0</v>
      </c>
    </row>
    <row r="1576" spans="3:4" ht="15" x14ac:dyDescent="0.25">
      <c r="C1576" s="8" t="e">
        <f>VLOOKUP(A:A,'ITEM LIST'!A:C,3,0)</f>
        <v>#N/A</v>
      </c>
      <c r="D1576" s="6">
        <f t="shared" si="25"/>
        <v>0</v>
      </c>
    </row>
    <row r="1577" spans="3:4" ht="15" x14ac:dyDescent="0.25">
      <c r="C1577" s="8" t="e">
        <f>VLOOKUP(A:A,'ITEM LIST'!A:C,3,0)</f>
        <v>#N/A</v>
      </c>
      <c r="D1577" s="6">
        <f t="shared" si="25"/>
        <v>0</v>
      </c>
    </row>
    <row r="1578" spans="3:4" ht="15" x14ac:dyDescent="0.25">
      <c r="C1578" s="8" t="e">
        <f>VLOOKUP(A:A,'ITEM LIST'!A:C,3,0)</f>
        <v>#N/A</v>
      </c>
      <c r="D1578" s="6">
        <f t="shared" si="25"/>
        <v>0</v>
      </c>
    </row>
    <row r="1579" spans="3:4" ht="15" x14ac:dyDescent="0.25">
      <c r="C1579" s="8" t="e">
        <f>VLOOKUP(A:A,'ITEM LIST'!A:C,3,0)</f>
        <v>#N/A</v>
      </c>
      <c r="D1579" s="6">
        <f t="shared" si="25"/>
        <v>0</v>
      </c>
    </row>
    <row r="1580" spans="3:4" ht="15" x14ac:dyDescent="0.25">
      <c r="C1580" s="8" t="e">
        <f>VLOOKUP(A:A,'ITEM LIST'!A:C,3,0)</f>
        <v>#N/A</v>
      </c>
      <c r="D1580" s="6">
        <f t="shared" si="25"/>
        <v>0</v>
      </c>
    </row>
    <row r="1581" spans="3:4" ht="15" x14ac:dyDescent="0.25">
      <c r="C1581" s="8" t="e">
        <f>VLOOKUP(A:A,'ITEM LIST'!A:C,3,0)</f>
        <v>#N/A</v>
      </c>
      <c r="D1581" s="6">
        <f t="shared" si="25"/>
        <v>0</v>
      </c>
    </row>
    <row r="1582" spans="3:4" ht="15" x14ac:dyDescent="0.25">
      <c r="C1582" s="8" t="e">
        <f>VLOOKUP(A:A,'ITEM LIST'!A:C,3,0)</f>
        <v>#N/A</v>
      </c>
      <c r="D1582" s="6">
        <f t="shared" si="25"/>
        <v>0</v>
      </c>
    </row>
    <row r="1583" spans="3:4" ht="15" x14ac:dyDescent="0.25">
      <c r="C1583" s="8" t="e">
        <f>VLOOKUP(A:A,'ITEM LIST'!A:C,3,0)</f>
        <v>#N/A</v>
      </c>
      <c r="D1583" s="6">
        <f t="shared" si="25"/>
        <v>0</v>
      </c>
    </row>
    <row r="1584" spans="3:4" ht="15" x14ac:dyDescent="0.25">
      <c r="C1584" s="8" t="e">
        <f>VLOOKUP(A:A,'ITEM LIST'!A:C,3,0)</f>
        <v>#N/A</v>
      </c>
      <c r="D1584" s="6">
        <f t="shared" si="25"/>
        <v>0</v>
      </c>
    </row>
    <row r="1585" spans="3:4" ht="15" x14ac:dyDescent="0.25">
      <c r="C1585" s="8" t="e">
        <f>VLOOKUP(A:A,'ITEM LIST'!A:C,3,0)</f>
        <v>#N/A</v>
      </c>
      <c r="D1585" s="6">
        <f t="shared" si="25"/>
        <v>0</v>
      </c>
    </row>
    <row r="1586" spans="3:4" ht="15" x14ac:dyDescent="0.25">
      <c r="C1586" s="8" t="e">
        <f>VLOOKUP(A:A,'ITEM LIST'!A:C,3,0)</f>
        <v>#N/A</v>
      </c>
      <c r="D1586" s="6">
        <f t="shared" si="25"/>
        <v>0</v>
      </c>
    </row>
    <row r="1587" spans="3:4" ht="15" x14ac:dyDescent="0.25">
      <c r="C1587" s="8" t="e">
        <f>VLOOKUP(A:A,'ITEM LIST'!A:C,3,0)</f>
        <v>#N/A</v>
      </c>
      <c r="D1587" s="6">
        <f t="shared" si="25"/>
        <v>0</v>
      </c>
    </row>
    <row r="1588" spans="3:4" ht="15" x14ac:dyDescent="0.25">
      <c r="C1588" s="8" t="e">
        <f>VLOOKUP(A:A,'ITEM LIST'!A:C,3,0)</f>
        <v>#N/A</v>
      </c>
      <c r="D1588" s="6">
        <f t="shared" si="25"/>
        <v>0</v>
      </c>
    </row>
    <row r="1589" spans="3:4" ht="15" x14ac:dyDescent="0.25">
      <c r="C1589" s="8" t="e">
        <f>VLOOKUP(A:A,'ITEM LIST'!A:C,3,0)</f>
        <v>#N/A</v>
      </c>
      <c r="D1589" s="6">
        <f t="shared" si="25"/>
        <v>0</v>
      </c>
    </row>
    <row r="1590" spans="3:4" ht="15" x14ac:dyDescent="0.25">
      <c r="C1590" s="8" t="e">
        <f>VLOOKUP(A:A,'ITEM LIST'!A:C,3,0)</f>
        <v>#N/A</v>
      </c>
      <c r="D1590" s="6">
        <f t="shared" si="25"/>
        <v>0</v>
      </c>
    </row>
    <row r="1591" spans="3:4" ht="15" x14ac:dyDescent="0.25">
      <c r="C1591" s="8" t="e">
        <f>VLOOKUP(A:A,'ITEM LIST'!A:C,3,0)</f>
        <v>#N/A</v>
      </c>
      <c r="D1591" s="6">
        <f t="shared" si="25"/>
        <v>0</v>
      </c>
    </row>
    <row r="1592" spans="3:4" ht="15" x14ac:dyDescent="0.25">
      <c r="C1592" s="8" t="e">
        <f>VLOOKUP(A:A,'ITEM LIST'!A:C,3,0)</f>
        <v>#N/A</v>
      </c>
      <c r="D1592" s="6">
        <f t="shared" si="25"/>
        <v>0</v>
      </c>
    </row>
    <row r="1593" spans="3:4" ht="15" x14ac:dyDescent="0.25">
      <c r="C1593" s="8" t="e">
        <f>VLOOKUP(A:A,'ITEM LIST'!A:C,3,0)</f>
        <v>#N/A</v>
      </c>
      <c r="D1593" s="6">
        <f t="shared" si="25"/>
        <v>0</v>
      </c>
    </row>
    <row r="1594" spans="3:4" ht="15" x14ac:dyDescent="0.25">
      <c r="C1594" s="8" t="e">
        <f>VLOOKUP(A:A,'ITEM LIST'!A:C,3,0)</f>
        <v>#N/A</v>
      </c>
      <c r="D1594" s="6">
        <f t="shared" si="25"/>
        <v>0</v>
      </c>
    </row>
    <row r="1595" spans="3:4" ht="15" x14ac:dyDescent="0.25">
      <c r="C1595" s="8" t="e">
        <f>VLOOKUP(A:A,'ITEM LIST'!A:C,3,0)</f>
        <v>#N/A</v>
      </c>
      <c r="D1595" s="6">
        <f t="shared" si="25"/>
        <v>0</v>
      </c>
    </row>
    <row r="1596" spans="3:4" ht="15" x14ac:dyDescent="0.25">
      <c r="C1596" s="8" t="e">
        <f>VLOOKUP(A:A,'ITEM LIST'!A:C,3,0)</f>
        <v>#N/A</v>
      </c>
      <c r="D1596" s="6">
        <f t="shared" si="25"/>
        <v>0</v>
      </c>
    </row>
    <row r="1597" spans="3:4" ht="15" x14ac:dyDescent="0.25">
      <c r="C1597" s="8" t="e">
        <f>VLOOKUP(A:A,'ITEM LIST'!A:C,3,0)</f>
        <v>#N/A</v>
      </c>
      <c r="D1597" s="6">
        <f t="shared" si="25"/>
        <v>0</v>
      </c>
    </row>
    <row r="1598" spans="3:4" ht="15" x14ac:dyDescent="0.25">
      <c r="C1598" s="8" t="e">
        <f>VLOOKUP(A:A,'ITEM LIST'!A:C,3,0)</f>
        <v>#N/A</v>
      </c>
      <c r="D1598" s="6">
        <f t="shared" si="25"/>
        <v>0</v>
      </c>
    </row>
    <row r="1599" spans="3:4" ht="15" x14ac:dyDescent="0.25">
      <c r="C1599" s="8" t="e">
        <f>VLOOKUP(A:A,'ITEM LIST'!A:C,3,0)</f>
        <v>#N/A</v>
      </c>
      <c r="D1599" s="6">
        <f t="shared" si="25"/>
        <v>0</v>
      </c>
    </row>
    <row r="1600" spans="3:4" ht="15" x14ac:dyDescent="0.25">
      <c r="C1600" s="8" t="e">
        <f>VLOOKUP(A:A,'ITEM LIST'!A:C,3,0)</f>
        <v>#N/A</v>
      </c>
      <c r="D1600" s="6">
        <f t="shared" si="25"/>
        <v>0</v>
      </c>
    </row>
    <row r="1601" spans="3:4" ht="15" x14ac:dyDescent="0.25">
      <c r="C1601" s="8" t="e">
        <f>VLOOKUP(A:A,'ITEM LIST'!A:C,3,0)</f>
        <v>#N/A</v>
      </c>
      <c r="D1601" s="6">
        <f t="shared" si="25"/>
        <v>0</v>
      </c>
    </row>
    <row r="1602" spans="3:4" ht="15" x14ac:dyDescent="0.25">
      <c r="C1602" s="8" t="e">
        <f>VLOOKUP(A:A,'ITEM LIST'!A:C,3,0)</f>
        <v>#N/A</v>
      </c>
      <c r="D1602" s="6">
        <f t="shared" si="25"/>
        <v>0</v>
      </c>
    </row>
    <row r="1603" spans="3:4" ht="15" x14ac:dyDescent="0.25">
      <c r="C1603" s="8" t="e">
        <f>VLOOKUP(A:A,'ITEM LIST'!A:C,3,0)</f>
        <v>#N/A</v>
      </c>
      <c r="D1603" s="6">
        <f t="shared" si="25"/>
        <v>0</v>
      </c>
    </row>
    <row r="1604" spans="3:4" ht="15" x14ac:dyDescent="0.25">
      <c r="C1604" s="8" t="e">
        <f>VLOOKUP(A:A,'ITEM LIST'!A:C,3,0)</f>
        <v>#N/A</v>
      </c>
      <c r="D1604" s="6">
        <f t="shared" si="25"/>
        <v>0</v>
      </c>
    </row>
    <row r="1605" spans="3:4" ht="15" x14ac:dyDescent="0.25">
      <c r="C1605" s="8" t="e">
        <f>VLOOKUP(A:A,'ITEM LIST'!A:C,3,0)</f>
        <v>#N/A</v>
      </c>
      <c r="D1605" s="6">
        <f t="shared" si="25"/>
        <v>0</v>
      </c>
    </row>
    <row r="1606" spans="3:4" ht="15" x14ac:dyDescent="0.25">
      <c r="C1606" s="8" t="e">
        <f>VLOOKUP(A:A,'ITEM LIST'!A:C,3,0)</f>
        <v>#N/A</v>
      </c>
      <c r="D1606" s="6">
        <f t="shared" ref="D1606:D1669" si="26">B1606</f>
        <v>0</v>
      </c>
    </row>
    <row r="1607" spans="3:4" ht="15" x14ac:dyDescent="0.25">
      <c r="C1607" s="8" t="e">
        <f>VLOOKUP(A:A,'ITEM LIST'!A:C,3,0)</f>
        <v>#N/A</v>
      </c>
      <c r="D1607" s="6">
        <f t="shared" si="26"/>
        <v>0</v>
      </c>
    </row>
    <row r="1608" spans="3:4" ht="15" x14ac:dyDescent="0.25">
      <c r="C1608" s="8" t="e">
        <f>VLOOKUP(A:A,'ITEM LIST'!A:C,3,0)</f>
        <v>#N/A</v>
      </c>
      <c r="D1608" s="6">
        <f t="shared" si="26"/>
        <v>0</v>
      </c>
    </row>
    <row r="1609" spans="3:4" ht="15" x14ac:dyDescent="0.25">
      <c r="C1609" s="8" t="e">
        <f>VLOOKUP(A:A,'ITEM LIST'!A:C,3,0)</f>
        <v>#N/A</v>
      </c>
      <c r="D1609" s="6">
        <f t="shared" si="26"/>
        <v>0</v>
      </c>
    </row>
    <row r="1610" spans="3:4" ht="15" x14ac:dyDescent="0.25">
      <c r="C1610" s="8" t="e">
        <f>VLOOKUP(A:A,'ITEM LIST'!A:C,3,0)</f>
        <v>#N/A</v>
      </c>
      <c r="D1610" s="6">
        <f t="shared" si="26"/>
        <v>0</v>
      </c>
    </row>
    <row r="1611" spans="3:4" ht="15" x14ac:dyDescent="0.25">
      <c r="C1611" s="8" t="e">
        <f>VLOOKUP(A:A,'ITEM LIST'!A:C,3,0)</f>
        <v>#N/A</v>
      </c>
      <c r="D1611" s="6">
        <f t="shared" si="26"/>
        <v>0</v>
      </c>
    </row>
    <row r="1612" spans="3:4" ht="15" x14ac:dyDescent="0.25">
      <c r="C1612" s="8" t="e">
        <f>VLOOKUP(A:A,'ITEM LIST'!A:C,3,0)</f>
        <v>#N/A</v>
      </c>
      <c r="D1612" s="6">
        <f t="shared" si="26"/>
        <v>0</v>
      </c>
    </row>
    <row r="1613" spans="3:4" ht="15" x14ac:dyDescent="0.25">
      <c r="C1613" s="8" t="e">
        <f>VLOOKUP(A:A,'ITEM LIST'!A:C,3,0)</f>
        <v>#N/A</v>
      </c>
      <c r="D1613" s="6">
        <f t="shared" si="26"/>
        <v>0</v>
      </c>
    </row>
    <row r="1614" spans="3:4" ht="15" x14ac:dyDescent="0.25">
      <c r="C1614" s="8" t="e">
        <f>VLOOKUP(A:A,'ITEM LIST'!A:C,3,0)</f>
        <v>#N/A</v>
      </c>
      <c r="D1614" s="6">
        <f t="shared" si="26"/>
        <v>0</v>
      </c>
    </row>
    <row r="1615" spans="3:4" ht="15" x14ac:dyDescent="0.25">
      <c r="C1615" s="8" t="e">
        <f>VLOOKUP(A:A,'ITEM LIST'!A:C,3,0)</f>
        <v>#N/A</v>
      </c>
      <c r="D1615" s="6">
        <f t="shared" si="26"/>
        <v>0</v>
      </c>
    </row>
    <row r="1616" spans="3:4" ht="15" x14ac:dyDescent="0.25">
      <c r="C1616" s="8" t="e">
        <f>VLOOKUP(A:A,'ITEM LIST'!A:C,3,0)</f>
        <v>#N/A</v>
      </c>
      <c r="D1616" s="6">
        <f t="shared" si="26"/>
        <v>0</v>
      </c>
    </row>
    <row r="1617" spans="3:4" ht="15" x14ac:dyDescent="0.25">
      <c r="C1617" s="8" t="e">
        <f>VLOOKUP(A:A,'ITEM LIST'!A:C,3,0)</f>
        <v>#N/A</v>
      </c>
      <c r="D1617" s="6">
        <f t="shared" si="26"/>
        <v>0</v>
      </c>
    </row>
    <row r="1618" spans="3:4" ht="15" x14ac:dyDescent="0.25">
      <c r="C1618" s="8" t="e">
        <f>VLOOKUP(A:A,'ITEM LIST'!A:C,3,0)</f>
        <v>#N/A</v>
      </c>
      <c r="D1618" s="6">
        <f t="shared" si="26"/>
        <v>0</v>
      </c>
    </row>
    <row r="1619" spans="3:4" ht="15" x14ac:dyDescent="0.25">
      <c r="C1619" s="8" t="e">
        <f>VLOOKUP(A:A,'ITEM LIST'!A:C,3,0)</f>
        <v>#N/A</v>
      </c>
      <c r="D1619" s="6">
        <f t="shared" si="26"/>
        <v>0</v>
      </c>
    </row>
    <row r="1620" spans="3:4" ht="15" x14ac:dyDescent="0.25">
      <c r="C1620" s="8" t="e">
        <f>VLOOKUP(A:A,'ITEM LIST'!A:C,3,0)</f>
        <v>#N/A</v>
      </c>
      <c r="D1620" s="6">
        <f t="shared" si="26"/>
        <v>0</v>
      </c>
    </row>
    <row r="1621" spans="3:4" ht="15" x14ac:dyDescent="0.25">
      <c r="C1621" s="8" t="e">
        <f>VLOOKUP(A:A,'ITEM LIST'!A:C,3,0)</f>
        <v>#N/A</v>
      </c>
      <c r="D1621" s="6">
        <f t="shared" si="26"/>
        <v>0</v>
      </c>
    </row>
    <row r="1622" spans="3:4" ht="15" x14ac:dyDescent="0.25">
      <c r="C1622" s="8" t="e">
        <f>VLOOKUP(A:A,'ITEM LIST'!A:C,3,0)</f>
        <v>#N/A</v>
      </c>
      <c r="D1622" s="6">
        <f t="shared" si="26"/>
        <v>0</v>
      </c>
    </row>
    <row r="1623" spans="3:4" ht="15" x14ac:dyDescent="0.25">
      <c r="C1623" s="8" t="e">
        <f>VLOOKUP(A:A,'ITEM LIST'!A:C,3,0)</f>
        <v>#N/A</v>
      </c>
      <c r="D1623" s="6">
        <f t="shared" si="26"/>
        <v>0</v>
      </c>
    </row>
    <row r="1624" spans="3:4" ht="15" x14ac:dyDescent="0.25">
      <c r="C1624" s="8" t="e">
        <f>VLOOKUP(A:A,'ITEM LIST'!A:C,3,0)</f>
        <v>#N/A</v>
      </c>
      <c r="D1624" s="6">
        <f t="shared" si="26"/>
        <v>0</v>
      </c>
    </row>
    <row r="1625" spans="3:4" ht="15" x14ac:dyDescent="0.25">
      <c r="C1625" s="8" t="e">
        <f>VLOOKUP(A:A,'ITEM LIST'!A:C,3,0)</f>
        <v>#N/A</v>
      </c>
      <c r="D1625" s="6">
        <f t="shared" si="26"/>
        <v>0</v>
      </c>
    </row>
    <row r="1626" spans="3:4" ht="15" x14ac:dyDescent="0.25">
      <c r="C1626" s="8" t="e">
        <f>VLOOKUP(A:A,'ITEM LIST'!A:C,3,0)</f>
        <v>#N/A</v>
      </c>
      <c r="D1626" s="6">
        <f t="shared" si="26"/>
        <v>0</v>
      </c>
    </row>
    <row r="1627" spans="3:4" ht="15" x14ac:dyDescent="0.25">
      <c r="C1627" s="8" t="e">
        <f>VLOOKUP(A:A,'ITEM LIST'!A:C,3,0)</f>
        <v>#N/A</v>
      </c>
      <c r="D1627" s="6">
        <f t="shared" si="26"/>
        <v>0</v>
      </c>
    </row>
    <row r="1628" spans="3:4" ht="15" x14ac:dyDescent="0.25">
      <c r="C1628" s="8" t="e">
        <f>VLOOKUP(A:A,'ITEM LIST'!A:C,3,0)</f>
        <v>#N/A</v>
      </c>
      <c r="D1628" s="6">
        <f t="shared" si="26"/>
        <v>0</v>
      </c>
    </row>
    <row r="1629" spans="3:4" ht="15" x14ac:dyDescent="0.25">
      <c r="C1629" s="8" t="e">
        <f>VLOOKUP(A:A,'ITEM LIST'!A:C,3,0)</f>
        <v>#N/A</v>
      </c>
      <c r="D1629" s="6">
        <f t="shared" si="26"/>
        <v>0</v>
      </c>
    </row>
    <row r="1630" spans="3:4" ht="15" x14ac:dyDescent="0.25">
      <c r="C1630" s="8" t="e">
        <f>VLOOKUP(A:A,'ITEM LIST'!A:C,3,0)</f>
        <v>#N/A</v>
      </c>
      <c r="D1630" s="6">
        <f t="shared" si="26"/>
        <v>0</v>
      </c>
    </row>
    <row r="1631" spans="3:4" ht="15" x14ac:dyDescent="0.25">
      <c r="C1631" s="8" t="e">
        <f>VLOOKUP(A:A,'ITEM LIST'!A:C,3,0)</f>
        <v>#N/A</v>
      </c>
      <c r="D1631" s="6">
        <f t="shared" si="26"/>
        <v>0</v>
      </c>
    </row>
    <row r="1632" spans="3:4" ht="15" x14ac:dyDescent="0.25">
      <c r="C1632" s="8" t="e">
        <f>VLOOKUP(A:A,'ITEM LIST'!A:C,3,0)</f>
        <v>#N/A</v>
      </c>
      <c r="D1632" s="6">
        <f t="shared" si="26"/>
        <v>0</v>
      </c>
    </row>
    <row r="1633" spans="3:4" ht="15" x14ac:dyDescent="0.25">
      <c r="C1633" s="8" t="e">
        <f>VLOOKUP(A:A,'ITEM LIST'!A:C,3,0)</f>
        <v>#N/A</v>
      </c>
      <c r="D1633" s="6">
        <f t="shared" si="26"/>
        <v>0</v>
      </c>
    </row>
    <row r="1634" spans="3:4" ht="15" x14ac:dyDescent="0.25">
      <c r="C1634" s="8" t="e">
        <f>VLOOKUP(A:A,'ITEM LIST'!A:C,3,0)</f>
        <v>#N/A</v>
      </c>
      <c r="D1634" s="6">
        <f t="shared" si="26"/>
        <v>0</v>
      </c>
    </row>
    <row r="1635" spans="3:4" ht="15" x14ac:dyDescent="0.25">
      <c r="C1635" s="8" t="e">
        <f>VLOOKUP(A:A,'ITEM LIST'!A:C,3,0)</f>
        <v>#N/A</v>
      </c>
      <c r="D1635" s="6">
        <f t="shared" si="26"/>
        <v>0</v>
      </c>
    </row>
    <row r="1636" spans="3:4" ht="15" x14ac:dyDescent="0.25">
      <c r="C1636" s="8" t="e">
        <f>VLOOKUP(A:A,'ITEM LIST'!A:C,3,0)</f>
        <v>#N/A</v>
      </c>
      <c r="D1636" s="6">
        <f t="shared" si="26"/>
        <v>0</v>
      </c>
    </row>
    <row r="1637" spans="3:4" ht="15" x14ac:dyDescent="0.25">
      <c r="C1637" s="8" t="e">
        <f>VLOOKUP(A:A,'ITEM LIST'!A:C,3,0)</f>
        <v>#N/A</v>
      </c>
      <c r="D1637" s="6">
        <f t="shared" si="26"/>
        <v>0</v>
      </c>
    </row>
    <row r="1638" spans="3:4" ht="15" x14ac:dyDescent="0.25">
      <c r="C1638" s="8" t="e">
        <f>VLOOKUP(A:A,'ITEM LIST'!A:C,3,0)</f>
        <v>#N/A</v>
      </c>
      <c r="D1638" s="6">
        <f t="shared" si="26"/>
        <v>0</v>
      </c>
    </row>
    <row r="1639" spans="3:4" ht="15" x14ac:dyDescent="0.25">
      <c r="C1639" s="8" t="e">
        <f>VLOOKUP(A:A,'ITEM LIST'!A:C,3,0)</f>
        <v>#N/A</v>
      </c>
      <c r="D1639" s="6">
        <f t="shared" si="26"/>
        <v>0</v>
      </c>
    </row>
    <row r="1640" spans="3:4" ht="15" x14ac:dyDescent="0.25">
      <c r="C1640" s="8" t="e">
        <f>VLOOKUP(A:A,'ITEM LIST'!A:C,3,0)</f>
        <v>#N/A</v>
      </c>
      <c r="D1640" s="6">
        <f t="shared" si="26"/>
        <v>0</v>
      </c>
    </row>
    <row r="1641" spans="3:4" ht="15" x14ac:dyDescent="0.25">
      <c r="C1641" s="8" t="e">
        <f>VLOOKUP(A:A,'ITEM LIST'!A:C,3,0)</f>
        <v>#N/A</v>
      </c>
      <c r="D1641" s="6">
        <f t="shared" si="26"/>
        <v>0</v>
      </c>
    </row>
    <row r="1642" spans="3:4" ht="15" x14ac:dyDescent="0.25">
      <c r="C1642" s="8" t="e">
        <f>VLOOKUP(A:A,'ITEM LIST'!A:C,3,0)</f>
        <v>#N/A</v>
      </c>
      <c r="D1642" s="6">
        <f t="shared" si="26"/>
        <v>0</v>
      </c>
    </row>
    <row r="1643" spans="3:4" ht="15" x14ac:dyDescent="0.25">
      <c r="C1643" s="8" t="e">
        <f>VLOOKUP(A:A,'ITEM LIST'!A:C,3,0)</f>
        <v>#N/A</v>
      </c>
      <c r="D1643" s="6">
        <f t="shared" si="26"/>
        <v>0</v>
      </c>
    </row>
    <row r="1644" spans="3:4" ht="15" x14ac:dyDescent="0.25">
      <c r="C1644" s="8" t="e">
        <f>VLOOKUP(A:A,'ITEM LIST'!A:C,3,0)</f>
        <v>#N/A</v>
      </c>
      <c r="D1644" s="6">
        <f t="shared" si="26"/>
        <v>0</v>
      </c>
    </row>
    <row r="1645" spans="3:4" ht="15" x14ac:dyDescent="0.25">
      <c r="C1645" s="8" t="e">
        <f>VLOOKUP(A:A,'ITEM LIST'!A:C,3,0)</f>
        <v>#N/A</v>
      </c>
      <c r="D1645" s="6">
        <f t="shared" si="26"/>
        <v>0</v>
      </c>
    </row>
    <row r="1646" spans="3:4" ht="15" x14ac:dyDescent="0.25">
      <c r="C1646" s="8" t="e">
        <f>VLOOKUP(A:A,'ITEM LIST'!A:C,3,0)</f>
        <v>#N/A</v>
      </c>
      <c r="D1646" s="6">
        <f t="shared" si="26"/>
        <v>0</v>
      </c>
    </row>
    <row r="1647" spans="3:4" ht="15" x14ac:dyDescent="0.25">
      <c r="C1647" s="8" t="e">
        <f>VLOOKUP(A:A,'ITEM LIST'!A:C,3,0)</f>
        <v>#N/A</v>
      </c>
      <c r="D1647" s="6">
        <f t="shared" si="26"/>
        <v>0</v>
      </c>
    </row>
    <row r="1648" spans="3:4" ht="15" x14ac:dyDescent="0.25">
      <c r="C1648" s="8" t="e">
        <f>VLOOKUP(A:A,'ITEM LIST'!A:C,3,0)</f>
        <v>#N/A</v>
      </c>
      <c r="D1648" s="6">
        <f t="shared" si="26"/>
        <v>0</v>
      </c>
    </row>
    <row r="1649" spans="3:4" ht="15" x14ac:dyDescent="0.25">
      <c r="C1649" s="8" t="e">
        <f>VLOOKUP(A:A,'ITEM LIST'!A:C,3,0)</f>
        <v>#N/A</v>
      </c>
      <c r="D1649" s="6">
        <f t="shared" si="26"/>
        <v>0</v>
      </c>
    </row>
    <row r="1650" spans="3:4" ht="15" x14ac:dyDescent="0.25">
      <c r="C1650" s="8" t="e">
        <f>VLOOKUP(A:A,'ITEM LIST'!A:C,3,0)</f>
        <v>#N/A</v>
      </c>
      <c r="D1650" s="6">
        <f t="shared" si="26"/>
        <v>0</v>
      </c>
    </row>
    <row r="1651" spans="3:4" ht="15" x14ac:dyDescent="0.25">
      <c r="C1651" s="8" t="e">
        <f>VLOOKUP(A:A,'ITEM LIST'!A:C,3,0)</f>
        <v>#N/A</v>
      </c>
      <c r="D1651" s="6">
        <f t="shared" si="26"/>
        <v>0</v>
      </c>
    </row>
    <row r="1652" spans="3:4" ht="15" x14ac:dyDescent="0.25">
      <c r="C1652" s="8" t="e">
        <f>VLOOKUP(A:A,'ITEM LIST'!A:C,3,0)</f>
        <v>#N/A</v>
      </c>
      <c r="D1652" s="6">
        <f t="shared" si="26"/>
        <v>0</v>
      </c>
    </row>
    <row r="1653" spans="3:4" ht="15" x14ac:dyDescent="0.25">
      <c r="C1653" s="8" t="e">
        <f>VLOOKUP(A:A,'ITEM LIST'!A:C,3,0)</f>
        <v>#N/A</v>
      </c>
      <c r="D1653" s="6">
        <f t="shared" si="26"/>
        <v>0</v>
      </c>
    </row>
    <row r="1654" spans="3:4" ht="15" x14ac:dyDescent="0.25">
      <c r="C1654" s="8" t="e">
        <f>VLOOKUP(A:A,'ITEM LIST'!A:C,3,0)</f>
        <v>#N/A</v>
      </c>
      <c r="D1654" s="6">
        <f t="shared" si="26"/>
        <v>0</v>
      </c>
    </row>
    <row r="1655" spans="3:4" ht="15" x14ac:dyDescent="0.25">
      <c r="C1655" s="8" t="e">
        <f>VLOOKUP(A:A,'ITEM LIST'!A:C,3,0)</f>
        <v>#N/A</v>
      </c>
      <c r="D1655" s="6">
        <f t="shared" si="26"/>
        <v>0</v>
      </c>
    </row>
    <row r="1656" spans="3:4" ht="15" x14ac:dyDescent="0.25">
      <c r="C1656" s="8" t="e">
        <f>VLOOKUP(A:A,'ITEM LIST'!A:C,3,0)</f>
        <v>#N/A</v>
      </c>
      <c r="D1656" s="6">
        <f t="shared" si="26"/>
        <v>0</v>
      </c>
    </row>
    <row r="1657" spans="3:4" ht="15" x14ac:dyDescent="0.25">
      <c r="C1657" s="8" t="e">
        <f>VLOOKUP(A:A,'ITEM LIST'!A:C,3,0)</f>
        <v>#N/A</v>
      </c>
      <c r="D1657" s="6">
        <f t="shared" si="26"/>
        <v>0</v>
      </c>
    </row>
    <row r="1658" spans="3:4" ht="15" x14ac:dyDescent="0.25">
      <c r="C1658" s="8" t="e">
        <f>VLOOKUP(A:A,'ITEM LIST'!A:C,3,0)</f>
        <v>#N/A</v>
      </c>
      <c r="D1658" s="6">
        <f t="shared" si="26"/>
        <v>0</v>
      </c>
    </row>
    <row r="1659" spans="3:4" ht="15" x14ac:dyDescent="0.25">
      <c r="C1659" s="8" t="e">
        <f>VLOOKUP(A:A,'ITEM LIST'!A:C,3,0)</f>
        <v>#N/A</v>
      </c>
      <c r="D1659" s="6">
        <f t="shared" si="26"/>
        <v>0</v>
      </c>
    </row>
    <row r="1660" spans="3:4" ht="15" x14ac:dyDescent="0.25">
      <c r="C1660" s="8" t="e">
        <f>VLOOKUP(A:A,'ITEM LIST'!A:C,3,0)</f>
        <v>#N/A</v>
      </c>
      <c r="D1660" s="6">
        <f t="shared" si="26"/>
        <v>0</v>
      </c>
    </row>
    <row r="1661" spans="3:4" ht="15" x14ac:dyDescent="0.25">
      <c r="C1661" s="8" t="e">
        <f>VLOOKUP(A:A,'ITEM LIST'!A:C,3,0)</f>
        <v>#N/A</v>
      </c>
      <c r="D1661" s="6">
        <f t="shared" si="26"/>
        <v>0</v>
      </c>
    </row>
    <row r="1662" spans="3:4" ht="15" x14ac:dyDescent="0.25">
      <c r="C1662" s="8" t="e">
        <f>VLOOKUP(A:A,'ITEM LIST'!A:C,3,0)</f>
        <v>#N/A</v>
      </c>
      <c r="D1662" s="6">
        <f t="shared" si="26"/>
        <v>0</v>
      </c>
    </row>
    <row r="1663" spans="3:4" ht="15" x14ac:dyDescent="0.25">
      <c r="C1663" s="8" t="e">
        <f>VLOOKUP(A:A,'ITEM LIST'!A:C,3,0)</f>
        <v>#N/A</v>
      </c>
      <c r="D1663" s="6">
        <f t="shared" si="26"/>
        <v>0</v>
      </c>
    </row>
    <row r="1664" spans="3:4" ht="15" x14ac:dyDescent="0.25">
      <c r="C1664" s="8" t="e">
        <f>VLOOKUP(A:A,'ITEM LIST'!A:C,3,0)</f>
        <v>#N/A</v>
      </c>
      <c r="D1664" s="6">
        <f t="shared" si="26"/>
        <v>0</v>
      </c>
    </row>
    <row r="1665" spans="3:4" ht="15" x14ac:dyDescent="0.25">
      <c r="C1665" s="8" t="e">
        <f>VLOOKUP(A:A,'ITEM LIST'!A:C,3,0)</f>
        <v>#N/A</v>
      </c>
      <c r="D1665" s="6">
        <f t="shared" si="26"/>
        <v>0</v>
      </c>
    </row>
    <row r="1666" spans="3:4" ht="15" x14ac:dyDescent="0.25">
      <c r="C1666" s="8" t="e">
        <f>VLOOKUP(A:A,'ITEM LIST'!A:C,3,0)</f>
        <v>#N/A</v>
      </c>
      <c r="D1666" s="6">
        <f t="shared" si="26"/>
        <v>0</v>
      </c>
    </row>
    <row r="1667" spans="3:4" ht="15" x14ac:dyDescent="0.25">
      <c r="C1667" s="8" t="e">
        <f>VLOOKUP(A:A,'ITEM LIST'!A:C,3,0)</f>
        <v>#N/A</v>
      </c>
      <c r="D1667" s="6">
        <f t="shared" si="26"/>
        <v>0</v>
      </c>
    </row>
    <row r="1668" spans="3:4" ht="15" x14ac:dyDescent="0.25">
      <c r="C1668" s="8" t="e">
        <f>VLOOKUP(A:A,'ITEM LIST'!A:C,3,0)</f>
        <v>#N/A</v>
      </c>
      <c r="D1668" s="6">
        <f t="shared" si="26"/>
        <v>0</v>
      </c>
    </row>
    <row r="1669" spans="3:4" ht="15" x14ac:dyDescent="0.25">
      <c r="C1669" s="8" t="e">
        <f>VLOOKUP(A:A,'ITEM LIST'!A:C,3,0)</f>
        <v>#N/A</v>
      </c>
      <c r="D1669" s="6">
        <f t="shared" si="26"/>
        <v>0</v>
      </c>
    </row>
    <row r="1670" spans="3:4" ht="15" x14ac:dyDescent="0.25">
      <c r="C1670" s="8" t="e">
        <f>VLOOKUP(A:A,'ITEM LIST'!A:C,3,0)</f>
        <v>#N/A</v>
      </c>
      <c r="D1670" s="6">
        <f t="shared" ref="D1670:D1733" si="27">B1670</f>
        <v>0</v>
      </c>
    </row>
    <row r="1671" spans="3:4" ht="15" x14ac:dyDescent="0.25">
      <c r="C1671" s="8" t="e">
        <f>VLOOKUP(A:A,'ITEM LIST'!A:C,3,0)</f>
        <v>#N/A</v>
      </c>
      <c r="D1671" s="6">
        <f t="shared" si="27"/>
        <v>0</v>
      </c>
    </row>
    <row r="1672" spans="3:4" ht="15" x14ac:dyDescent="0.25">
      <c r="C1672" s="8" t="e">
        <f>VLOOKUP(A:A,'ITEM LIST'!A:C,3,0)</f>
        <v>#N/A</v>
      </c>
      <c r="D1672" s="6">
        <f t="shared" si="27"/>
        <v>0</v>
      </c>
    </row>
    <row r="1673" spans="3:4" ht="15" x14ac:dyDescent="0.25">
      <c r="C1673" s="8" t="e">
        <f>VLOOKUP(A:A,'ITEM LIST'!A:C,3,0)</f>
        <v>#N/A</v>
      </c>
      <c r="D1673" s="6">
        <f t="shared" si="27"/>
        <v>0</v>
      </c>
    </row>
    <row r="1674" spans="3:4" ht="15" x14ac:dyDescent="0.25">
      <c r="C1674" s="8" t="e">
        <f>VLOOKUP(A:A,'ITEM LIST'!A:C,3,0)</f>
        <v>#N/A</v>
      </c>
      <c r="D1674" s="6">
        <f t="shared" si="27"/>
        <v>0</v>
      </c>
    </row>
    <row r="1675" spans="3:4" ht="15" x14ac:dyDescent="0.25">
      <c r="C1675" s="8" t="e">
        <f>VLOOKUP(A:A,'ITEM LIST'!A:C,3,0)</f>
        <v>#N/A</v>
      </c>
      <c r="D1675" s="6">
        <f t="shared" si="27"/>
        <v>0</v>
      </c>
    </row>
    <row r="1676" spans="3:4" ht="15" x14ac:dyDescent="0.25">
      <c r="C1676" s="8" t="e">
        <f>VLOOKUP(A:A,'ITEM LIST'!A:C,3,0)</f>
        <v>#N/A</v>
      </c>
      <c r="D1676" s="6">
        <f t="shared" si="27"/>
        <v>0</v>
      </c>
    </row>
    <row r="1677" spans="3:4" ht="15" x14ac:dyDescent="0.25">
      <c r="C1677" s="8" t="e">
        <f>VLOOKUP(A:A,'ITEM LIST'!A:C,3,0)</f>
        <v>#N/A</v>
      </c>
      <c r="D1677" s="6">
        <f t="shared" si="27"/>
        <v>0</v>
      </c>
    </row>
    <row r="1678" spans="3:4" ht="15" x14ac:dyDescent="0.25">
      <c r="C1678" s="8" t="e">
        <f>VLOOKUP(A:A,'ITEM LIST'!A:C,3,0)</f>
        <v>#N/A</v>
      </c>
      <c r="D1678" s="6">
        <f t="shared" si="27"/>
        <v>0</v>
      </c>
    </row>
    <row r="1679" spans="3:4" ht="15" x14ac:dyDescent="0.25">
      <c r="C1679" s="8" t="e">
        <f>VLOOKUP(A:A,'ITEM LIST'!A:C,3,0)</f>
        <v>#N/A</v>
      </c>
      <c r="D1679" s="6">
        <f t="shared" si="27"/>
        <v>0</v>
      </c>
    </row>
    <row r="1680" spans="3:4" ht="15" x14ac:dyDescent="0.25">
      <c r="C1680" s="8" t="e">
        <f>VLOOKUP(A:A,'ITEM LIST'!A:C,3,0)</f>
        <v>#N/A</v>
      </c>
      <c r="D1680" s="6">
        <f t="shared" si="27"/>
        <v>0</v>
      </c>
    </row>
    <row r="1681" spans="3:4" ht="15" x14ac:dyDescent="0.25">
      <c r="C1681" s="8" t="e">
        <f>VLOOKUP(A:A,'ITEM LIST'!A:C,3,0)</f>
        <v>#N/A</v>
      </c>
      <c r="D1681" s="6">
        <f t="shared" si="27"/>
        <v>0</v>
      </c>
    </row>
    <row r="1682" spans="3:4" ht="15" x14ac:dyDescent="0.25">
      <c r="C1682" s="8" t="e">
        <f>VLOOKUP(A:A,'ITEM LIST'!A:C,3,0)</f>
        <v>#N/A</v>
      </c>
      <c r="D1682" s="6">
        <f t="shared" si="27"/>
        <v>0</v>
      </c>
    </row>
    <row r="1683" spans="3:4" ht="15" x14ac:dyDescent="0.25">
      <c r="C1683" s="8" t="e">
        <f>VLOOKUP(A:A,'ITEM LIST'!A:C,3,0)</f>
        <v>#N/A</v>
      </c>
      <c r="D1683" s="6">
        <f t="shared" si="27"/>
        <v>0</v>
      </c>
    </row>
    <row r="1684" spans="3:4" ht="15" x14ac:dyDescent="0.25">
      <c r="C1684" s="8" t="e">
        <f>VLOOKUP(A:A,'ITEM LIST'!A:C,3,0)</f>
        <v>#N/A</v>
      </c>
      <c r="D1684" s="6">
        <f t="shared" si="27"/>
        <v>0</v>
      </c>
    </row>
    <row r="1685" spans="3:4" ht="15" x14ac:dyDescent="0.25">
      <c r="C1685" s="8" t="e">
        <f>VLOOKUP(A:A,'ITEM LIST'!A:C,3,0)</f>
        <v>#N/A</v>
      </c>
      <c r="D1685" s="6">
        <f t="shared" si="27"/>
        <v>0</v>
      </c>
    </row>
    <row r="1686" spans="3:4" ht="15" x14ac:dyDescent="0.25">
      <c r="C1686" s="8" t="e">
        <f>VLOOKUP(A:A,'ITEM LIST'!A:C,3,0)</f>
        <v>#N/A</v>
      </c>
      <c r="D1686" s="6">
        <f t="shared" si="27"/>
        <v>0</v>
      </c>
    </row>
    <row r="1687" spans="3:4" ht="15" x14ac:dyDescent="0.25">
      <c r="C1687" s="8" t="e">
        <f>VLOOKUP(A:A,'ITEM LIST'!A:C,3,0)</f>
        <v>#N/A</v>
      </c>
      <c r="D1687" s="6">
        <f t="shared" si="27"/>
        <v>0</v>
      </c>
    </row>
    <row r="1688" spans="3:4" ht="15" x14ac:dyDescent="0.25">
      <c r="C1688" s="8" t="e">
        <f>VLOOKUP(A:A,'ITEM LIST'!A:C,3,0)</f>
        <v>#N/A</v>
      </c>
      <c r="D1688" s="6">
        <f t="shared" si="27"/>
        <v>0</v>
      </c>
    </row>
    <row r="1689" spans="3:4" ht="15" x14ac:dyDescent="0.25">
      <c r="C1689" s="8" t="e">
        <f>VLOOKUP(A:A,'ITEM LIST'!A:C,3,0)</f>
        <v>#N/A</v>
      </c>
      <c r="D1689" s="6">
        <f t="shared" si="27"/>
        <v>0</v>
      </c>
    </row>
    <row r="1690" spans="3:4" ht="15" x14ac:dyDescent="0.25">
      <c r="C1690" s="8" t="e">
        <f>VLOOKUP(A:A,'ITEM LIST'!A:C,3,0)</f>
        <v>#N/A</v>
      </c>
      <c r="D1690" s="6">
        <f t="shared" si="27"/>
        <v>0</v>
      </c>
    </row>
    <row r="1691" spans="3:4" ht="15" x14ac:dyDescent="0.25">
      <c r="C1691" s="8" t="e">
        <f>VLOOKUP(A:A,'ITEM LIST'!A:C,3,0)</f>
        <v>#N/A</v>
      </c>
      <c r="D1691" s="6">
        <f t="shared" si="27"/>
        <v>0</v>
      </c>
    </row>
    <row r="1692" spans="3:4" ht="15" x14ac:dyDescent="0.25">
      <c r="C1692" s="8" t="e">
        <f>VLOOKUP(A:A,'ITEM LIST'!A:C,3,0)</f>
        <v>#N/A</v>
      </c>
      <c r="D1692" s="6">
        <f t="shared" si="27"/>
        <v>0</v>
      </c>
    </row>
    <row r="1693" spans="3:4" ht="15" x14ac:dyDescent="0.25">
      <c r="C1693" s="8" t="e">
        <f>VLOOKUP(A:A,'ITEM LIST'!A:C,3,0)</f>
        <v>#N/A</v>
      </c>
      <c r="D1693" s="6">
        <f t="shared" si="27"/>
        <v>0</v>
      </c>
    </row>
    <row r="1694" spans="3:4" ht="15" x14ac:dyDescent="0.25">
      <c r="C1694" s="8" t="e">
        <f>VLOOKUP(A:A,'ITEM LIST'!A:C,3,0)</f>
        <v>#N/A</v>
      </c>
      <c r="D1694" s="6">
        <f t="shared" si="27"/>
        <v>0</v>
      </c>
    </row>
    <row r="1695" spans="3:4" ht="15" x14ac:dyDescent="0.25">
      <c r="C1695" s="8" t="e">
        <f>VLOOKUP(A:A,'ITEM LIST'!A:C,3,0)</f>
        <v>#N/A</v>
      </c>
      <c r="D1695" s="6">
        <f t="shared" si="27"/>
        <v>0</v>
      </c>
    </row>
    <row r="1696" spans="3:4" ht="15" x14ac:dyDescent="0.25">
      <c r="C1696" s="8" t="e">
        <f>VLOOKUP(A:A,'ITEM LIST'!A:C,3,0)</f>
        <v>#N/A</v>
      </c>
      <c r="D1696" s="6">
        <f t="shared" si="27"/>
        <v>0</v>
      </c>
    </row>
    <row r="1697" spans="3:4" ht="15" x14ac:dyDescent="0.25">
      <c r="C1697" s="8" t="e">
        <f>VLOOKUP(A:A,'ITEM LIST'!A:C,3,0)</f>
        <v>#N/A</v>
      </c>
      <c r="D1697" s="6">
        <f t="shared" si="27"/>
        <v>0</v>
      </c>
    </row>
    <row r="1698" spans="3:4" ht="15" x14ac:dyDescent="0.25">
      <c r="C1698" s="8" t="e">
        <f>VLOOKUP(A:A,'ITEM LIST'!A:C,3,0)</f>
        <v>#N/A</v>
      </c>
      <c r="D1698" s="6">
        <f t="shared" si="27"/>
        <v>0</v>
      </c>
    </row>
    <row r="1699" spans="3:4" ht="15" x14ac:dyDescent="0.25">
      <c r="C1699" s="8" t="e">
        <f>VLOOKUP(A:A,'ITEM LIST'!A:C,3,0)</f>
        <v>#N/A</v>
      </c>
      <c r="D1699" s="6">
        <f t="shared" si="27"/>
        <v>0</v>
      </c>
    </row>
    <row r="1700" spans="3:4" ht="15" x14ac:dyDescent="0.25">
      <c r="C1700" s="8" t="e">
        <f>VLOOKUP(A:A,'ITEM LIST'!A:C,3,0)</f>
        <v>#N/A</v>
      </c>
      <c r="D1700" s="6">
        <f t="shared" si="27"/>
        <v>0</v>
      </c>
    </row>
    <row r="1701" spans="3:4" ht="15" x14ac:dyDescent="0.25">
      <c r="C1701" s="8" t="e">
        <f>VLOOKUP(A:A,'ITEM LIST'!A:C,3,0)</f>
        <v>#N/A</v>
      </c>
      <c r="D1701" s="6">
        <f t="shared" si="27"/>
        <v>0</v>
      </c>
    </row>
    <row r="1702" spans="3:4" ht="15" x14ac:dyDescent="0.25">
      <c r="C1702" s="8" t="e">
        <f>VLOOKUP(A:A,'ITEM LIST'!A:C,3,0)</f>
        <v>#N/A</v>
      </c>
      <c r="D1702" s="6">
        <f t="shared" si="27"/>
        <v>0</v>
      </c>
    </row>
    <row r="1703" spans="3:4" ht="15" x14ac:dyDescent="0.25">
      <c r="C1703" s="8" t="e">
        <f>VLOOKUP(A:A,'ITEM LIST'!A:C,3,0)</f>
        <v>#N/A</v>
      </c>
      <c r="D1703" s="6">
        <f t="shared" si="27"/>
        <v>0</v>
      </c>
    </row>
    <row r="1704" spans="3:4" ht="15" x14ac:dyDescent="0.25">
      <c r="C1704" s="8" t="e">
        <f>VLOOKUP(A:A,'ITEM LIST'!A:C,3,0)</f>
        <v>#N/A</v>
      </c>
      <c r="D1704" s="6">
        <f t="shared" si="27"/>
        <v>0</v>
      </c>
    </row>
    <row r="1705" spans="3:4" ht="15" x14ac:dyDescent="0.25">
      <c r="C1705" s="8" t="e">
        <f>VLOOKUP(A:A,'ITEM LIST'!A:C,3,0)</f>
        <v>#N/A</v>
      </c>
      <c r="D1705" s="6">
        <f t="shared" si="27"/>
        <v>0</v>
      </c>
    </row>
    <row r="1706" spans="3:4" ht="15" x14ac:dyDescent="0.25">
      <c r="C1706" s="8" t="e">
        <f>VLOOKUP(A:A,'ITEM LIST'!A:C,3,0)</f>
        <v>#N/A</v>
      </c>
      <c r="D1706" s="6">
        <f t="shared" si="27"/>
        <v>0</v>
      </c>
    </row>
    <row r="1707" spans="3:4" ht="15" x14ac:dyDescent="0.25">
      <c r="C1707" s="8" t="e">
        <f>VLOOKUP(A:A,'ITEM LIST'!A:C,3,0)</f>
        <v>#N/A</v>
      </c>
      <c r="D1707" s="6">
        <f t="shared" si="27"/>
        <v>0</v>
      </c>
    </row>
    <row r="1708" spans="3:4" ht="15" x14ac:dyDescent="0.25">
      <c r="C1708" s="8" t="e">
        <f>VLOOKUP(A:A,'ITEM LIST'!A:C,3,0)</f>
        <v>#N/A</v>
      </c>
      <c r="D1708" s="6">
        <f t="shared" si="27"/>
        <v>0</v>
      </c>
    </row>
    <row r="1709" spans="3:4" ht="15" x14ac:dyDescent="0.25">
      <c r="C1709" s="8" t="e">
        <f>VLOOKUP(A:A,'ITEM LIST'!A:C,3,0)</f>
        <v>#N/A</v>
      </c>
      <c r="D1709" s="6">
        <f t="shared" si="27"/>
        <v>0</v>
      </c>
    </row>
    <row r="1710" spans="3:4" ht="15" x14ac:dyDescent="0.25">
      <c r="C1710" s="8" t="e">
        <f>VLOOKUP(A:A,'ITEM LIST'!A:C,3,0)</f>
        <v>#N/A</v>
      </c>
      <c r="D1710" s="6">
        <f t="shared" si="27"/>
        <v>0</v>
      </c>
    </row>
    <row r="1711" spans="3:4" ht="15" x14ac:dyDescent="0.25">
      <c r="C1711" s="8" t="e">
        <f>VLOOKUP(A:A,'ITEM LIST'!A:C,3,0)</f>
        <v>#N/A</v>
      </c>
      <c r="D1711" s="6">
        <f t="shared" si="27"/>
        <v>0</v>
      </c>
    </row>
    <row r="1712" spans="3:4" ht="15" x14ac:dyDescent="0.25">
      <c r="C1712" s="8" t="e">
        <f>VLOOKUP(A:A,'ITEM LIST'!A:C,3,0)</f>
        <v>#N/A</v>
      </c>
      <c r="D1712" s="6">
        <f t="shared" si="27"/>
        <v>0</v>
      </c>
    </row>
    <row r="1713" spans="3:4" ht="15" x14ac:dyDescent="0.25">
      <c r="C1713" s="8" t="e">
        <f>VLOOKUP(A:A,'ITEM LIST'!A:C,3,0)</f>
        <v>#N/A</v>
      </c>
      <c r="D1713" s="6">
        <f t="shared" si="27"/>
        <v>0</v>
      </c>
    </row>
    <row r="1714" spans="3:4" ht="15" x14ac:dyDescent="0.25">
      <c r="C1714" s="8" t="e">
        <f>VLOOKUP(A:A,'ITEM LIST'!A:C,3,0)</f>
        <v>#N/A</v>
      </c>
      <c r="D1714" s="6">
        <f t="shared" si="27"/>
        <v>0</v>
      </c>
    </row>
    <row r="1715" spans="3:4" ht="15" x14ac:dyDescent="0.25">
      <c r="C1715" s="8" t="e">
        <f>VLOOKUP(A:A,'ITEM LIST'!A:C,3,0)</f>
        <v>#N/A</v>
      </c>
      <c r="D1715" s="6">
        <f t="shared" si="27"/>
        <v>0</v>
      </c>
    </row>
    <row r="1716" spans="3:4" ht="15" x14ac:dyDescent="0.25">
      <c r="C1716" s="8" t="e">
        <f>VLOOKUP(A:A,'ITEM LIST'!A:C,3,0)</f>
        <v>#N/A</v>
      </c>
      <c r="D1716" s="6">
        <f t="shared" si="27"/>
        <v>0</v>
      </c>
    </row>
    <row r="1717" spans="3:4" ht="15" x14ac:dyDescent="0.25">
      <c r="C1717" s="8" t="e">
        <f>VLOOKUP(A:A,'ITEM LIST'!A:C,3,0)</f>
        <v>#N/A</v>
      </c>
      <c r="D1717" s="6">
        <f t="shared" si="27"/>
        <v>0</v>
      </c>
    </row>
    <row r="1718" spans="3:4" ht="15" x14ac:dyDescent="0.25">
      <c r="C1718" s="8" t="e">
        <f>VLOOKUP(A:A,'ITEM LIST'!A:C,3,0)</f>
        <v>#N/A</v>
      </c>
      <c r="D1718" s="6">
        <f t="shared" si="27"/>
        <v>0</v>
      </c>
    </row>
    <row r="1719" spans="3:4" ht="15" x14ac:dyDescent="0.25">
      <c r="C1719" s="8" t="e">
        <f>VLOOKUP(A:A,'ITEM LIST'!A:C,3,0)</f>
        <v>#N/A</v>
      </c>
      <c r="D1719" s="6">
        <f t="shared" si="27"/>
        <v>0</v>
      </c>
    </row>
    <row r="1720" spans="3:4" ht="15" x14ac:dyDescent="0.25">
      <c r="C1720" s="8" t="e">
        <f>VLOOKUP(A:A,'ITEM LIST'!A:C,3,0)</f>
        <v>#N/A</v>
      </c>
      <c r="D1720" s="6">
        <f t="shared" si="27"/>
        <v>0</v>
      </c>
    </row>
    <row r="1721" spans="3:4" ht="15" x14ac:dyDescent="0.25">
      <c r="C1721" s="8" t="e">
        <f>VLOOKUP(A:A,'ITEM LIST'!A:C,3,0)</f>
        <v>#N/A</v>
      </c>
      <c r="D1721" s="6">
        <f t="shared" si="27"/>
        <v>0</v>
      </c>
    </row>
    <row r="1722" spans="3:4" ht="15" x14ac:dyDescent="0.25">
      <c r="C1722" s="8" t="e">
        <f>VLOOKUP(A:A,'ITEM LIST'!A:C,3,0)</f>
        <v>#N/A</v>
      </c>
      <c r="D1722" s="6">
        <f t="shared" si="27"/>
        <v>0</v>
      </c>
    </row>
    <row r="1723" spans="3:4" ht="15" x14ac:dyDescent="0.25">
      <c r="C1723" s="8" t="e">
        <f>VLOOKUP(A:A,'ITEM LIST'!A:C,3,0)</f>
        <v>#N/A</v>
      </c>
      <c r="D1723" s="6">
        <f t="shared" si="27"/>
        <v>0</v>
      </c>
    </row>
    <row r="1724" spans="3:4" ht="15" x14ac:dyDescent="0.25">
      <c r="C1724" s="8" t="e">
        <f>VLOOKUP(A:A,'ITEM LIST'!A:C,3,0)</f>
        <v>#N/A</v>
      </c>
      <c r="D1724" s="6">
        <f t="shared" si="27"/>
        <v>0</v>
      </c>
    </row>
    <row r="1725" spans="3:4" ht="15" x14ac:dyDescent="0.25">
      <c r="C1725" s="8" t="e">
        <f>VLOOKUP(A:A,'ITEM LIST'!A:C,3,0)</f>
        <v>#N/A</v>
      </c>
      <c r="D1725" s="6">
        <f t="shared" si="27"/>
        <v>0</v>
      </c>
    </row>
    <row r="1726" spans="3:4" ht="15" x14ac:dyDescent="0.25">
      <c r="C1726" s="8" t="e">
        <f>VLOOKUP(A:A,'ITEM LIST'!A:C,3,0)</f>
        <v>#N/A</v>
      </c>
      <c r="D1726" s="6">
        <f t="shared" si="27"/>
        <v>0</v>
      </c>
    </row>
    <row r="1727" spans="3:4" ht="15" x14ac:dyDescent="0.25">
      <c r="C1727" s="8" t="e">
        <f>VLOOKUP(A:A,'ITEM LIST'!A:C,3,0)</f>
        <v>#N/A</v>
      </c>
      <c r="D1727" s="6">
        <f t="shared" si="27"/>
        <v>0</v>
      </c>
    </row>
    <row r="1728" spans="3:4" ht="15" x14ac:dyDescent="0.25">
      <c r="C1728" s="8" t="e">
        <f>VLOOKUP(A:A,'ITEM LIST'!A:C,3,0)</f>
        <v>#N/A</v>
      </c>
      <c r="D1728" s="6">
        <f t="shared" si="27"/>
        <v>0</v>
      </c>
    </row>
    <row r="1729" spans="3:4" ht="15" x14ac:dyDescent="0.25">
      <c r="C1729" s="8" t="e">
        <f>VLOOKUP(A:A,'ITEM LIST'!A:C,3,0)</f>
        <v>#N/A</v>
      </c>
      <c r="D1729" s="6">
        <f t="shared" si="27"/>
        <v>0</v>
      </c>
    </row>
    <row r="1730" spans="3:4" ht="15" x14ac:dyDescent="0.25">
      <c r="C1730" s="8" t="e">
        <f>VLOOKUP(A:A,'ITEM LIST'!A:C,3,0)</f>
        <v>#N/A</v>
      </c>
      <c r="D1730" s="6">
        <f t="shared" si="27"/>
        <v>0</v>
      </c>
    </row>
    <row r="1731" spans="3:4" ht="15" x14ac:dyDescent="0.25">
      <c r="C1731" s="8" t="e">
        <f>VLOOKUP(A:A,'ITEM LIST'!A:C,3,0)</f>
        <v>#N/A</v>
      </c>
      <c r="D1731" s="6">
        <f t="shared" si="27"/>
        <v>0</v>
      </c>
    </row>
    <row r="1732" spans="3:4" ht="15" x14ac:dyDescent="0.25">
      <c r="C1732" s="8" t="e">
        <f>VLOOKUP(A:A,'ITEM LIST'!A:C,3,0)</f>
        <v>#N/A</v>
      </c>
      <c r="D1732" s="6">
        <f t="shared" si="27"/>
        <v>0</v>
      </c>
    </row>
    <row r="1733" spans="3:4" ht="15" x14ac:dyDescent="0.25">
      <c r="C1733" s="8" t="e">
        <f>VLOOKUP(A:A,'ITEM LIST'!A:C,3,0)</f>
        <v>#N/A</v>
      </c>
      <c r="D1733" s="6">
        <f t="shared" si="27"/>
        <v>0</v>
      </c>
    </row>
    <row r="1734" spans="3:4" ht="15" x14ac:dyDescent="0.25">
      <c r="C1734" s="8" t="e">
        <f>VLOOKUP(A:A,'ITEM LIST'!A:C,3,0)</f>
        <v>#N/A</v>
      </c>
      <c r="D1734" s="6">
        <f t="shared" ref="D1734:D1797" si="28">B1734</f>
        <v>0</v>
      </c>
    </row>
    <row r="1735" spans="3:4" ht="15" x14ac:dyDescent="0.25">
      <c r="C1735" s="8" t="e">
        <f>VLOOKUP(A:A,'ITEM LIST'!A:C,3,0)</f>
        <v>#N/A</v>
      </c>
      <c r="D1735" s="6">
        <f t="shared" si="28"/>
        <v>0</v>
      </c>
    </row>
    <row r="1736" spans="3:4" ht="15" x14ac:dyDescent="0.25">
      <c r="C1736" s="8" t="e">
        <f>VLOOKUP(A:A,'ITEM LIST'!A:C,3,0)</f>
        <v>#N/A</v>
      </c>
      <c r="D1736" s="6">
        <f t="shared" si="28"/>
        <v>0</v>
      </c>
    </row>
    <row r="1737" spans="3:4" ht="15" x14ac:dyDescent="0.25">
      <c r="C1737" s="8" t="e">
        <f>VLOOKUP(A:A,'ITEM LIST'!A:C,3,0)</f>
        <v>#N/A</v>
      </c>
      <c r="D1737" s="6">
        <f t="shared" si="28"/>
        <v>0</v>
      </c>
    </row>
    <row r="1738" spans="3:4" ht="15" x14ac:dyDescent="0.25">
      <c r="C1738" s="8" t="e">
        <f>VLOOKUP(A:A,'ITEM LIST'!A:C,3,0)</f>
        <v>#N/A</v>
      </c>
      <c r="D1738" s="6">
        <f t="shared" si="28"/>
        <v>0</v>
      </c>
    </row>
    <row r="1739" spans="3:4" ht="15" x14ac:dyDescent="0.25">
      <c r="C1739" s="8" t="e">
        <f>VLOOKUP(A:A,'ITEM LIST'!A:C,3,0)</f>
        <v>#N/A</v>
      </c>
      <c r="D1739" s="6">
        <f t="shared" si="28"/>
        <v>0</v>
      </c>
    </row>
    <row r="1740" spans="3:4" ht="15" x14ac:dyDescent="0.25">
      <c r="C1740" s="8" t="e">
        <f>VLOOKUP(A:A,'ITEM LIST'!A:C,3,0)</f>
        <v>#N/A</v>
      </c>
      <c r="D1740" s="6">
        <f t="shared" si="28"/>
        <v>0</v>
      </c>
    </row>
    <row r="1741" spans="3:4" ht="15" x14ac:dyDescent="0.25">
      <c r="C1741" s="8" t="e">
        <f>VLOOKUP(A:A,'ITEM LIST'!A:C,3,0)</f>
        <v>#N/A</v>
      </c>
      <c r="D1741" s="6">
        <f t="shared" si="28"/>
        <v>0</v>
      </c>
    </row>
    <row r="1742" spans="3:4" ht="15" x14ac:dyDescent="0.25">
      <c r="C1742" s="8" t="e">
        <f>VLOOKUP(A:A,'ITEM LIST'!A:C,3,0)</f>
        <v>#N/A</v>
      </c>
      <c r="D1742" s="6">
        <f t="shared" si="28"/>
        <v>0</v>
      </c>
    </row>
    <row r="1743" spans="3:4" ht="15" x14ac:dyDescent="0.25">
      <c r="C1743" s="8" t="e">
        <f>VLOOKUP(A:A,'ITEM LIST'!A:C,3,0)</f>
        <v>#N/A</v>
      </c>
      <c r="D1743" s="6">
        <f t="shared" si="28"/>
        <v>0</v>
      </c>
    </row>
    <row r="1744" spans="3:4" ht="15" x14ac:dyDescent="0.25">
      <c r="C1744" s="8" t="e">
        <f>VLOOKUP(A:A,'ITEM LIST'!A:C,3,0)</f>
        <v>#N/A</v>
      </c>
      <c r="D1744" s="6">
        <f t="shared" si="28"/>
        <v>0</v>
      </c>
    </row>
    <row r="1745" spans="3:4" ht="15" x14ac:dyDescent="0.25">
      <c r="C1745" s="8" t="e">
        <f>VLOOKUP(A:A,'ITEM LIST'!A:C,3,0)</f>
        <v>#N/A</v>
      </c>
      <c r="D1745" s="6">
        <f t="shared" si="28"/>
        <v>0</v>
      </c>
    </row>
    <row r="1746" spans="3:4" ht="15" x14ac:dyDescent="0.25">
      <c r="C1746" s="8" t="e">
        <f>VLOOKUP(A:A,'ITEM LIST'!A:C,3,0)</f>
        <v>#N/A</v>
      </c>
      <c r="D1746" s="6">
        <f t="shared" si="28"/>
        <v>0</v>
      </c>
    </row>
    <row r="1747" spans="3:4" ht="15" x14ac:dyDescent="0.25">
      <c r="C1747" s="8" t="e">
        <f>VLOOKUP(A:A,'ITEM LIST'!A:C,3,0)</f>
        <v>#N/A</v>
      </c>
      <c r="D1747" s="6">
        <f t="shared" si="28"/>
        <v>0</v>
      </c>
    </row>
    <row r="1748" spans="3:4" ht="15" x14ac:dyDescent="0.25">
      <c r="C1748" s="8" t="e">
        <f>VLOOKUP(A:A,'ITEM LIST'!A:C,3,0)</f>
        <v>#N/A</v>
      </c>
      <c r="D1748" s="6">
        <f t="shared" si="28"/>
        <v>0</v>
      </c>
    </row>
    <row r="1749" spans="3:4" ht="15" x14ac:dyDescent="0.25">
      <c r="C1749" s="8" t="e">
        <f>VLOOKUP(A:A,'ITEM LIST'!A:C,3,0)</f>
        <v>#N/A</v>
      </c>
      <c r="D1749" s="6">
        <f t="shared" si="28"/>
        <v>0</v>
      </c>
    </row>
    <row r="1750" spans="3:4" ht="15" x14ac:dyDescent="0.25">
      <c r="C1750" s="8" t="e">
        <f>VLOOKUP(A:A,'ITEM LIST'!A:C,3,0)</f>
        <v>#N/A</v>
      </c>
      <c r="D1750" s="6">
        <f t="shared" si="28"/>
        <v>0</v>
      </c>
    </row>
    <row r="1751" spans="3:4" ht="15" x14ac:dyDescent="0.25">
      <c r="C1751" s="8" t="e">
        <f>VLOOKUP(A:A,'ITEM LIST'!A:C,3,0)</f>
        <v>#N/A</v>
      </c>
      <c r="D1751" s="6">
        <f t="shared" si="28"/>
        <v>0</v>
      </c>
    </row>
    <row r="1752" spans="3:4" ht="15" x14ac:dyDescent="0.25">
      <c r="C1752" s="8" t="e">
        <f>VLOOKUP(A:A,'ITEM LIST'!A:C,3,0)</f>
        <v>#N/A</v>
      </c>
      <c r="D1752" s="6">
        <f t="shared" si="28"/>
        <v>0</v>
      </c>
    </row>
    <row r="1753" spans="3:4" ht="15" x14ac:dyDescent="0.25">
      <c r="C1753" s="8" t="e">
        <f>VLOOKUP(A:A,'ITEM LIST'!A:C,3,0)</f>
        <v>#N/A</v>
      </c>
      <c r="D1753" s="6">
        <f t="shared" si="28"/>
        <v>0</v>
      </c>
    </row>
    <row r="1754" spans="3:4" ht="15" x14ac:dyDescent="0.25">
      <c r="C1754" s="8" t="e">
        <f>VLOOKUP(A:A,'ITEM LIST'!A:C,3,0)</f>
        <v>#N/A</v>
      </c>
      <c r="D1754" s="6">
        <f t="shared" si="28"/>
        <v>0</v>
      </c>
    </row>
    <row r="1755" spans="3:4" ht="15" x14ac:dyDescent="0.25">
      <c r="C1755" s="8" t="e">
        <f>VLOOKUP(A:A,'ITEM LIST'!A:C,3,0)</f>
        <v>#N/A</v>
      </c>
      <c r="D1755" s="6">
        <f t="shared" si="28"/>
        <v>0</v>
      </c>
    </row>
    <row r="1756" spans="3:4" ht="15" x14ac:dyDescent="0.25">
      <c r="C1756" s="8" t="e">
        <f>VLOOKUP(A:A,'ITEM LIST'!A:C,3,0)</f>
        <v>#N/A</v>
      </c>
      <c r="D1756" s="6">
        <f t="shared" si="28"/>
        <v>0</v>
      </c>
    </row>
    <row r="1757" spans="3:4" ht="15" x14ac:dyDescent="0.25">
      <c r="C1757" s="8" t="e">
        <f>VLOOKUP(A:A,'ITEM LIST'!A:C,3,0)</f>
        <v>#N/A</v>
      </c>
      <c r="D1757" s="6">
        <f t="shared" si="28"/>
        <v>0</v>
      </c>
    </row>
    <row r="1758" spans="3:4" ht="15" x14ac:dyDescent="0.25">
      <c r="C1758" s="8" t="e">
        <f>VLOOKUP(A:A,'ITEM LIST'!A:C,3,0)</f>
        <v>#N/A</v>
      </c>
      <c r="D1758" s="6">
        <f t="shared" si="28"/>
        <v>0</v>
      </c>
    </row>
    <row r="1759" spans="3:4" ht="15" x14ac:dyDescent="0.25">
      <c r="C1759" s="8" t="e">
        <f>VLOOKUP(A:A,'ITEM LIST'!A:C,3,0)</f>
        <v>#N/A</v>
      </c>
      <c r="D1759" s="6">
        <f t="shared" si="28"/>
        <v>0</v>
      </c>
    </row>
    <row r="1760" spans="3:4" ht="15" x14ac:dyDescent="0.25">
      <c r="C1760" s="8" t="e">
        <f>VLOOKUP(A:A,'ITEM LIST'!A:C,3,0)</f>
        <v>#N/A</v>
      </c>
      <c r="D1760" s="6">
        <f t="shared" si="28"/>
        <v>0</v>
      </c>
    </row>
    <row r="1761" spans="3:4" ht="15" x14ac:dyDescent="0.25">
      <c r="C1761" s="8" t="e">
        <f>VLOOKUP(A:A,'ITEM LIST'!A:C,3,0)</f>
        <v>#N/A</v>
      </c>
      <c r="D1761" s="6">
        <f t="shared" si="28"/>
        <v>0</v>
      </c>
    </row>
    <row r="1762" spans="3:4" ht="15" x14ac:dyDescent="0.25">
      <c r="C1762" s="8" t="e">
        <f>VLOOKUP(A:A,'ITEM LIST'!A:C,3,0)</f>
        <v>#N/A</v>
      </c>
      <c r="D1762" s="6">
        <f t="shared" si="28"/>
        <v>0</v>
      </c>
    </row>
    <row r="1763" spans="3:4" ht="15" x14ac:dyDescent="0.25">
      <c r="C1763" s="8" t="e">
        <f>VLOOKUP(A:A,'ITEM LIST'!A:C,3,0)</f>
        <v>#N/A</v>
      </c>
      <c r="D1763" s="6">
        <f t="shared" si="28"/>
        <v>0</v>
      </c>
    </row>
    <row r="1764" spans="3:4" ht="15" x14ac:dyDescent="0.25">
      <c r="C1764" s="8" t="e">
        <f>VLOOKUP(A:A,'ITEM LIST'!A:C,3,0)</f>
        <v>#N/A</v>
      </c>
      <c r="D1764" s="6">
        <f t="shared" si="28"/>
        <v>0</v>
      </c>
    </row>
    <row r="1765" spans="3:4" ht="15" x14ac:dyDescent="0.25">
      <c r="C1765" s="8" t="e">
        <f>VLOOKUP(A:A,'ITEM LIST'!A:C,3,0)</f>
        <v>#N/A</v>
      </c>
      <c r="D1765" s="6">
        <f t="shared" si="28"/>
        <v>0</v>
      </c>
    </row>
    <row r="1766" spans="3:4" ht="15" x14ac:dyDescent="0.25">
      <c r="C1766" s="8" t="e">
        <f>VLOOKUP(A:A,'ITEM LIST'!A:C,3,0)</f>
        <v>#N/A</v>
      </c>
      <c r="D1766" s="6">
        <f t="shared" si="28"/>
        <v>0</v>
      </c>
    </row>
    <row r="1767" spans="3:4" ht="15" x14ac:dyDescent="0.25">
      <c r="C1767" s="8" t="e">
        <f>VLOOKUP(A:A,'ITEM LIST'!A:C,3,0)</f>
        <v>#N/A</v>
      </c>
      <c r="D1767" s="6">
        <f t="shared" si="28"/>
        <v>0</v>
      </c>
    </row>
    <row r="1768" spans="3:4" ht="15" x14ac:dyDescent="0.25">
      <c r="C1768" s="8" t="e">
        <f>VLOOKUP(A:A,'ITEM LIST'!A:C,3,0)</f>
        <v>#N/A</v>
      </c>
      <c r="D1768" s="6">
        <f t="shared" si="28"/>
        <v>0</v>
      </c>
    </row>
    <row r="1769" spans="3:4" ht="15" x14ac:dyDescent="0.25">
      <c r="C1769" s="8" t="e">
        <f>VLOOKUP(A:A,'ITEM LIST'!A:C,3,0)</f>
        <v>#N/A</v>
      </c>
      <c r="D1769" s="6">
        <f t="shared" si="28"/>
        <v>0</v>
      </c>
    </row>
    <row r="1770" spans="3:4" ht="15" x14ac:dyDescent="0.25">
      <c r="C1770" s="8" t="e">
        <f>VLOOKUP(A:A,'ITEM LIST'!A:C,3,0)</f>
        <v>#N/A</v>
      </c>
      <c r="D1770" s="6">
        <f t="shared" si="28"/>
        <v>0</v>
      </c>
    </row>
    <row r="1771" spans="3:4" ht="15" x14ac:dyDescent="0.25">
      <c r="C1771" s="8" t="e">
        <f>VLOOKUP(A:A,'ITEM LIST'!A:C,3,0)</f>
        <v>#N/A</v>
      </c>
      <c r="D1771" s="6">
        <f t="shared" si="28"/>
        <v>0</v>
      </c>
    </row>
    <row r="1772" spans="3:4" ht="15" x14ac:dyDescent="0.25">
      <c r="C1772" s="8" t="e">
        <f>VLOOKUP(A:A,'ITEM LIST'!A:C,3,0)</f>
        <v>#N/A</v>
      </c>
      <c r="D1772" s="6">
        <f t="shared" si="28"/>
        <v>0</v>
      </c>
    </row>
    <row r="1773" spans="3:4" ht="15" x14ac:dyDescent="0.25">
      <c r="C1773" s="8" t="e">
        <f>VLOOKUP(A:A,'ITEM LIST'!A:C,3,0)</f>
        <v>#N/A</v>
      </c>
      <c r="D1773" s="6">
        <f t="shared" si="28"/>
        <v>0</v>
      </c>
    </row>
    <row r="1774" spans="3:4" ht="15" x14ac:dyDescent="0.25">
      <c r="C1774" s="8" t="e">
        <f>VLOOKUP(A:A,'ITEM LIST'!A:C,3,0)</f>
        <v>#N/A</v>
      </c>
      <c r="D1774" s="6">
        <f t="shared" si="28"/>
        <v>0</v>
      </c>
    </row>
    <row r="1775" spans="3:4" ht="15" x14ac:dyDescent="0.25">
      <c r="C1775" s="8" t="e">
        <f>VLOOKUP(A:A,'ITEM LIST'!A:C,3,0)</f>
        <v>#N/A</v>
      </c>
      <c r="D1775" s="6">
        <f t="shared" si="28"/>
        <v>0</v>
      </c>
    </row>
    <row r="1776" spans="3:4" ht="15" x14ac:dyDescent="0.25">
      <c r="C1776" s="8" t="e">
        <f>VLOOKUP(A:A,'ITEM LIST'!A:C,3,0)</f>
        <v>#N/A</v>
      </c>
      <c r="D1776" s="6">
        <f t="shared" si="28"/>
        <v>0</v>
      </c>
    </row>
    <row r="1777" spans="3:4" ht="15" x14ac:dyDescent="0.25">
      <c r="C1777" s="8" t="e">
        <f>VLOOKUP(A:A,'ITEM LIST'!A:C,3,0)</f>
        <v>#N/A</v>
      </c>
      <c r="D1777" s="6">
        <f t="shared" si="28"/>
        <v>0</v>
      </c>
    </row>
    <row r="1778" spans="3:4" ht="15" x14ac:dyDescent="0.25">
      <c r="C1778" s="8" t="e">
        <f>VLOOKUP(A:A,'ITEM LIST'!A:C,3,0)</f>
        <v>#N/A</v>
      </c>
      <c r="D1778" s="6">
        <f t="shared" si="28"/>
        <v>0</v>
      </c>
    </row>
    <row r="1779" spans="3:4" ht="15" x14ac:dyDescent="0.25">
      <c r="C1779" s="8" t="e">
        <f>VLOOKUP(A:A,'ITEM LIST'!A:C,3,0)</f>
        <v>#N/A</v>
      </c>
      <c r="D1779" s="6">
        <f t="shared" si="28"/>
        <v>0</v>
      </c>
    </row>
    <row r="1780" spans="3:4" ht="15" x14ac:dyDescent="0.25">
      <c r="C1780" s="8" t="e">
        <f>VLOOKUP(A:A,'ITEM LIST'!A:C,3,0)</f>
        <v>#N/A</v>
      </c>
      <c r="D1780" s="6">
        <f t="shared" si="28"/>
        <v>0</v>
      </c>
    </row>
    <row r="1781" spans="3:4" ht="15" x14ac:dyDescent="0.25">
      <c r="C1781" s="8" t="e">
        <f>VLOOKUP(A:A,'ITEM LIST'!A:C,3,0)</f>
        <v>#N/A</v>
      </c>
      <c r="D1781" s="6">
        <f t="shared" si="28"/>
        <v>0</v>
      </c>
    </row>
    <row r="1782" spans="3:4" ht="15" x14ac:dyDescent="0.25">
      <c r="C1782" s="8" t="e">
        <f>VLOOKUP(A:A,'ITEM LIST'!A:C,3,0)</f>
        <v>#N/A</v>
      </c>
      <c r="D1782" s="6">
        <f t="shared" si="28"/>
        <v>0</v>
      </c>
    </row>
    <row r="1783" spans="3:4" ht="15" x14ac:dyDescent="0.25">
      <c r="C1783" s="8" t="e">
        <f>VLOOKUP(A:A,'ITEM LIST'!A:C,3,0)</f>
        <v>#N/A</v>
      </c>
      <c r="D1783" s="6">
        <f t="shared" si="28"/>
        <v>0</v>
      </c>
    </row>
    <row r="1784" spans="3:4" ht="15" x14ac:dyDescent="0.25">
      <c r="C1784" s="8" t="e">
        <f>VLOOKUP(A:A,'ITEM LIST'!A:C,3,0)</f>
        <v>#N/A</v>
      </c>
      <c r="D1784" s="6">
        <f t="shared" si="28"/>
        <v>0</v>
      </c>
    </row>
    <row r="1785" spans="3:4" ht="15" x14ac:dyDescent="0.25">
      <c r="C1785" s="8" t="e">
        <f>VLOOKUP(A:A,'ITEM LIST'!A:C,3,0)</f>
        <v>#N/A</v>
      </c>
      <c r="D1785" s="6">
        <f t="shared" si="28"/>
        <v>0</v>
      </c>
    </row>
    <row r="1786" spans="3:4" ht="15" x14ac:dyDescent="0.25">
      <c r="C1786" s="8" t="e">
        <f>VLOOKUP(A:A,'ITEM LIST'!A:C,3,0)</f>
        <v>#N/A</v>
      </c>
      <c r="D1786" s="6">
        <f t="shared" si="28"/>
        <v>0</v>
      </c>
    </row>
    <row r="1787" spans="3:4" ht="15" x14ac:dyDescent="0.25">
      <c r="C1787" s="8" t="e">
        <f>VLOOKUP(A:A,'ITEM LIST'!A:C,3,0)</f>
        <v>#N/A</v>
      </c>
      <c r="D1787" s="6">
        <f t="shared" si="28"/>
        <v>0</v>
      </c>
    </row>
    <row r="1788" spans="3:4" ht="15" x14ac:dyDescent="0.25">
      <c r="C1788" s="8" t="e">
        <f>VLOOKUP(A:A,'ITEM LIST'!A:C,3,0)</f>
        <v>#N/A</v>
      </c>
      <c r="D1788" s="6">
        <f t="shared" si="28"/>
        <v>0</v>
      </c>
    </row>
    <row r="1789" spans="3:4" ht="15" x14ac:dyDescent="0.25">
      <c r="C1789" s="8" t="e">
        <f>VLOOKUP(A:A,'ITEM LIST'!A:C,3,0)</f>
        <v>#N/A</v>
      </c>
      <c r="D1789" s="6">
        <f t="shared" si="28"/>
        <v>0</v>
      </c>
    </row>
    <row r="1790" spans="3:4" ht="15" x14ac:dyDescent="0.25">
      <c r="C1790" s="8" t="e">
        <f>VLOOKUP(A:A,'ITEM LIST'!A:C,3,0)</f>
        <v>#N/A</v>
      </c>
      <c r="D1790" s="6">
        <f t="shared" si="28"/>
        <v>0</v>
      </c>
    </row>
    <row r="1791" spans="3:4" ht="15" x14ac:dyDescent="0.25">
      <c r="C1791" s="8" t="e">
        <f>VLOOKUP(A:A,'ITEM LIST'!A:C,3,0)</f>
        <v>#N/A</v>
      </c>
      <c r="D1791" s="6">
        <f t="shared" si="28"/>
        <v>0</v>
      </c>
    </row>
    <row r="1792" spans="3:4" ht="15" x14ac:dyDescent="0.25">
      <c r="C1792" s="8" t="e">
        <f>VLOOKUP(A:A,'ITEM LIST'!A:C,3,0)</f>
        <v>#N/A</v>
      </c>
      <c r="D1792" s="6">
        <f t="shared" si="28"/>
        <v>0</v>
      </c>
    </row>
    <row r="1793" spans="3:4" ht="15" x14ac:dyDescent="0.25">
      <c r="C1793" s="8" t="e">
        <f>VLOOKUP(A:A,'ITEM LIST'!A:C,3,0)</f>
        <v>#N/A</v>
      </c>
      <c r="D1793" s="6">
        <f t="shared" si="28"/>
        <v>0</v>
      </c>
    </row>
    <row r="1794" spans="3:4" ht="15" x14ac:dyDescent="0.25">
      <c r="C1794" s="8" t="e">
        <f>VLOOKUP(A:A,'ITEM LIST'!A:C,3,0)</f>
        <v>#N/A</v>
      </c>
      <c r="D1794" s="6">
        <f t="shared" si="28"/>
        <v>0</v>
      </c>
    </row>
    <row r="1795" spans="3:4" ht="15" x14ac:dyDescent="0.25">
      <c r="C1795" s="8" t="e">
        <f>VLOOKUP(A:A,'ITEM LIST'!A:C,3,0)</f>
        <v>#N/A</v>
      </c>
      <c r="D1795" s="6">
        <f t="shared" si="28"/>
        <v>0</v>
      </c>
    </row>
    <row r="1796" spans="3:4" ht="15" x14ac:dyDescent="0.25">
      <c r="C1796" s="8" t="e">
        <f>VLOOKUP(A:A,'ITEM LIST'!A:C,3,0)</f>
        <v>#N/A</v>
      </c>
      <c r="D1796" s="6">
        <f t="shared" si="28"/>
        <v>0</v>
      </c>
    </row>
    <row r="1797" spans="3:4" ht="15" x14ac:dyDescent="0.25">
      <c r="C1797" s="8" t="e">
        <f>VLOOKUP(A:A,'ITEM LIST'!A:C,3,0)</f>
        <v>#N/A</v>
      </c>
      <c r="D1797" s="6">
        <f t="shared" si="28"/>
        <v>0</v>
      </c>
    </row>
    <row r="1798" spans="3:4" ht="15" x14ac:dyDescent="0.25">
      <c r="C1798" s="8" t="e">
        <f>VLOOKUP(A:A,'ITEM LIST'!A:C,3,0)</f>
        <v>#N/A</v>
      </c>
      <c r="D1798" s="6">
        <f t="shared" ref="D1798:D1861" si="29">B1798</f>
        <v>0</v>
      </c>
    </row>
    <row r="1799" spans="3:4" ht="15" x14ac:dyDescent="0.25">
      <c r="C1799" s="8" t="e">
        <f>VLOOKUP(A:A,'ITEM LIST'!A:C,3,0)</f>
        <v>#N/A</v>
      </c>
      <c r="D1799" s="6">
        <f t="shared" si="29"/>
        <v>0</v>
      </c>
    </row>
    <row r="1800" spans="3:4" ht="15" x14ac:dyDescent="0.25">
      <c r="C1800" s="8" t="e">
        <f>VLOOKUP(A:A,'ITEM LIST'!A:C,3,0)</f>
        <v>#N/A</v>
      </c>
      <c r="D1800" s="6">
        <f t="shared" si="29"/>
        <v>0</v>
      </c>
    </row>
    <row r="1801" spans="3:4" ht="15" x14ac:dyDescent="0.25">
      <c r="C1801" s="8" t="e">
        <f>VLOOKUP(A:A,'ITEM LIST'!A:C,3,0)</f>
        <v>#N/A</v>
      </c>
      <c r="D1801" s="6">
        <f t="shared" si="29"/>
        <v>0</v>
      </c>
    </row>
    <row r="1802" spans="3:4" ht="15" x14ac:dyDescent="0.25">
      <c r="C1802" s="8" t="e">
        <f>VLOOKUP(A:A,'ITEM LIST'!A:C,3,0)</f>
        <v>#N/A</v>
      </c>
      <c r="D1802" s="6">
        <f t="shared" si="29"/>
        <v>0</v>
      </c>
    </row>
    <row r="1803" spans="3:4" ht="15" x14ac:dyDescent="0.25">
      <c r="C1803" s="8" t="e">
        <f>VLOOKUP(A:A,'ITEM LIST'!A:C,3,0)</f>
        <v>#N/A</v>
      </c>
      <c r="D1803" s="6">
        <f t="shared" si="29"/>
        <v>0</v>
      </c>
    </row>
    <row r="1804" spans="3:4" ht="15" x14ac:dyDescent="0.25">
      <c r="C1804" s="8" t="e">
        <f>VLOOKUP(A:A,'ITEM LIST'!A:C,3,0)</f>
        <v>#N/A</v>
      </c>
      <c r="D1804" s="6">
        <f t="shared" si="29"/>
        <v>0</v>
      </c>
    </row>
    <row r="1805" spans="3:4" ht="15" x14ac:dyDescent="0.25">
      <c r="C1805" s="8" t="e">
        <f>VLOOKUP(A:A,'ITEM LIST'!A:C,3,0)</f>
        <v>#N/A</v>
      </c>
      <c r="D1805" s="6">
        <f t="shared" si="29"/>
        <v>0</v>
      </c>
    </row>
    <row r="1806" spans="3:4" ht="15" x14ac:dyDescent="0.25">
      <c r="C1806" s="8" t="e">
        <f>VLOOKUP(A:A,'ITEM LIST'!A:C,3,0)</f>
        <v>#N/A</v>
      </c>
      <c r="D1806" s="6">
        <f t="shared" si="29"/>
        <v>0</v>
      </c>
    </row>
    <row r="1807" spans="3:4" ht="15" x14ac:dyDescent="0.25">
      <c r="C1807" s="8" t="e">
        <f>VLOOKUP(A:A,'ITEM LIST'!A:C,3,0)</f>
        <v>#N/A</v>
      </c>
      <c r="D1807" s="6">
        <f t="shared" si="29"/>
        <v>0</v>
      </c>
    </row>
    <row r="1808" spans="3:4" ht="15" x14ac:dyDescent="0.25">
      <c r="C1808" s="8" t="e">
        <f>VLOOKUP(A:A,'ITEM LIST'!A:C,3,0)</f>
        <v>#N/A</v>
      </c>
      <c r="D1808" s="6">
        <f t="shared" si="29"/>
        <v>0</v>
      </c>
    </row>
    <row r="1809" spans="3:4" ht="15" x14ac:dyDescent="0.25">
      <c r="C1809" s="8" t="e">
        <f>VLOOKUP(A:A,'ITEM LIST'!A:C,3,0)</f>
        <v>#N/A</v>
      </c>
      <c r="D1809" s="6">
        <f t="shared" si="29"/>
        <v>0</v>
      </c>
    </row>
    <row r="1810" spans="3:4" ht="15" x14ac:dyDescent="0.25">
      <c r="C1810" s="8" t="e">
        <f>VLOOKUP(A:A,'ITEM LIST'!A:C,3,0)</f>
        <v>#N/A</v>
      </c>
      <c r="D1810" s="6">
        <f t="shared" si="29"/>
        <v>0</v>
      </c>
    </row>
    <row r="1811" spans="3:4" ht="15" x14ac:dyDescent="0.25">
      <c r="C1811" s="8" t="e">
        <f>VLOOKUP(A:A,'ITEM LIST'!A:C,3,0)</f>
        <v>#N/A</v>
      </c>
      <c r="D1811" s="6">
        <f t="shared" si="29"/>
        <v>0</v>
      </c>
    </row>
    <row r="1812" spans="3:4" ht="15" x14ac:dyDescent="0.25">
      <c r="C1812" s="8" t="e">
        <f>VLOOKUP(A:A,'ITEM LIST'!A:C,3,0)</f>
        <v>#N/A</v>
      </c>
      <c r="D1812" s="6">
        <f t="shared" si="29"/>
        <v>0</v>
      </c>
    </row>
    <row r="1813" spans="3:4" ht="15" x14ac:dyDescent="0.25">
      <c r="C1813" s="8" t="e">
        <f>VLOOKUP(A:A,'ITEM LIST'!A:C,3,0)</f>
        <v>#N/A</v>
      </c>
      <c r="D1813" s="6">
        <f t="shared" si="29"/>
        <v>0</v>
      </c>
    </row>
    <row r="1814" spans="3:4" ht="15" x14ac:dyDescent="0.25">
      <c r="C1814" s="8" t="e">
        <f>VLOOKUP(A:A,'ITEM LIST'!A:C,3,0)</f>
        <v>#N/A</v>
      </c>
      <c r="D1814" s="6">
        <f t="shared" si="29"/>
        <v>0</v>
      </c>
    </row>
    <row r="1815" spans="3:4" ht="15" x14ac:dyDescent="0.25">
      <c r="C1815" s="8" t="e">
        <f>VLOOKUP(A:A,'ITEM LIST'!A:C,3,0)</f>
        <v>#N/A</v>
      </c>
      <c r="D1815" s="6">
        <f t="shared" si="29"/>
        <v>0</v>
      </c>
    </row>
    <row r="1816" spans="3:4" ht="15" x14ac:dyDescent="0.25">
      <c r="C1816" s="8" t="e">
        <f>VLOOKUP(A:A,'ITEM LIST'!A:C,3,0)</f>
        <v>#N/A</v>
      </c>
      <c r="D1816" s="6">
        <f t="shared" si="29"/>
        <v>0</v>
      </c>
    </row>
    <row r="1817" spans="3:4" ht="15" x14ac:dyDescent="0.25">
      <c r="C1817" s="8" t="e">
        <f>VLOOKUP(A:A,'ITEM LIST'!A:C,3,0)</f>
        <v>#N/A</v>
      </c>
      <c r="D1817" s="6">
        <f t="shared" si="29"/>
        <v>0</v>
      </c>
    </row>
    <row r="1818" spans="3:4" ht="15" x14ac:dyDescent="0.25">
      <c r="C1818" s="8" t="e">
        <f>VLOOKUP(A:A,'ITEM LIST'!A:C,3,0)</f>
        <v>#N/A</v>
      </c>
      <c r="D1818" s="6">
        <f t="shared" si="29"/>
        <v>0</v>
      </c>
    </row>
    <row r="1819" spans="3:4" ht="15" x14ac:dyDescent="0.25">
      <c r="C1819" s="8" t="e">
        <f>VLOOKUP(A:A,'ITEM LIST'!A:C,3,0)</f>
        <v>#N/A</v>
      </c>
      <c r="D1819" s="6">
        <f t="shared" si="29"/>
        <v>0</v>
      </c>
    </row>
    <row r="1820" spans="3:4" ht="15" x14ac:dyDescent="0.25">
      <c r="C1820" s="8" t="e">
        <f>VLOOKUP(A:A,'ITEM LIST'!A:C,3,0)</f>
        <v>#N/A</v>
      </c>
      <c r="D1820" s="6">
        <f t="shared" si="29"/>
        <v>0</v>
      </c>
    </row>
    <row r="1821" spans="3:4" ht="15" x14ac:dyDescent="0.25">
      <c r="C1821" s="8" t="e">
        <f>VLOOKUP(A:A,'ITEM LIST'!A:C,3,0)</f>
        <v>#N/A</v>
      </c>
      <c r="D1821" s="6">
        <f t="shared" si="29"/>
        <v>0</v>
      </c>
    </row>
    <row r="1822" spans="3:4" ht="15" x14ac:dyDescent="0.25">
      <c r="C1822" s="8" t="e">
        <f>VLOOKUP(A:A,'ITEM LIST'!A:C,3,0)</f>
        <v>#N/A</v>
      </c>
      <c r="D1822" s="6">
        <f t="shared" si="29"/>
        <v>0</v>
      </c>
    </row>
    <row r="1823" spans="3:4" ht="15" x14ac:dyDescent="0.25">
      <c r="C1823" s="8" t="e">
        <f>VLOOKUP(A:A,'ITEM LIST'!A:C,3,0)</f>
        <v>#N/A</v>
      </c>
      <c r="D1823" s="6">
        <f t="shared" si="29"/>
        <v>0</v>
      </c>
    </row>
    <row r="1824" spans="3:4" ht="15" x14ac:dyDescent="0.25">
      <c r="C1824" s="8" t="e">
        <f>VLOOKUP(A:A,'ITEM LIST'!A:C,3,0)</f>
        <v>#N/A</v>
      </c>
      <c r="D1824" s="6">
        <f t="shared" si="29"/>
        <v>0</v>
      </c>
    </row>
    <row r="1825" spans="3:4" ht="15" x14ac:dyDescent="0.25">
      <c r="C1825" s="8" t="e">
        <f>VLOOKUP(A:A,'ITEM LIST'!A:C,3,0)</f>
        <v>#N/A</v>
      </c>
      <c r="D1825" s="6">
        <f t="shared" si="29"/>
        <v>0</v>
      </c>
    </row>
    <row r="1826" spans="3:4" ht="15" x14ac:dyDescent="0.25">
      <c r="C1826" s="8" t="e">
        <f>VLOOKUP(A:A,'ITEM LIST'!A:C,3,0)</f>
        <v>#N/A</v>
      </c>
      <c r="D1826" s="6">
        <f t="shared" si="29"/>
        <v>0</v>
      </c>
    </row>
    <row r="1827" spans="3:4" ht="15" x14ac:dyDescent="0.25">
      <c r="C1827" s="8" t="e">
        <f>VLOOKUP(A:A,'ITEM LIST'!A:C,3,0)</f>
        <v>#N/A</v>
      </c>
      <c r="D1827" s="6">
        <f t="shared" si="29"/>
        <v>0</v>
      </c>
    </row>
    <row r="1828" spans="3:4" ht="15" x14ac:dyDescent="0.25">
      <c r="C1828" s="8" t="e">
        <f>VLOOKUP(A:A,'ITEM LIST'!A:C,3,0)</f>
        <v>#N/A</v>
      </c>
      <c r="D1828" s="6">
        <f t="shared" si="29"/>
        <v>0</v>
      </c>
    </row>
    <row r="1829" spans="3:4" ht="15" x14ac:dyDescent="0.25">
      <c r="C1829" s="8" t="e">
        <f>VLOOKUP(A:A,'ITEM LIST'!A:C,3,0)</f>
        <v>#N/A</v>
      </c>
      <c r="D1829" s="6">
        <f t="shared" si="29"/>
        <v>0</v>
      </c>
    </row>
    <row r="1830" spans="3:4" ht="15" x14ac:dyDescent="0.25">
      <c r="C1830" s="8" t="e">
        <f>VLOOKUP(A:A,'ITEM LIST'!A:C,3,0)</f>
        <v>#N/A</v>
      </c>
      <c r="D1830" s="6">
        <f t="shared" si="29"/>
        <v>0</v>
      </c>
    </row>
    <row r="1831" spans="3:4" ht="15" x14ac:dyDescent="0.25">
      <c r="C1831" s="8" t="e">
        <f>VLOOKUP(A:A,'ITEM LIST'!A:C,3,0)</f>
        <v>#N/A</v>
      </c>
      <c r="D1831" s="6">
        <f t="shared" si="29"/>
        <v>0</v>
      </c>
    </row>
    <row r="1832" spans="3:4" ht="15" x14ac:dyDescent="0.25">
      <c r="C1832" s="8" t="e">
        <f>VLOOKUP(A:A,'ITEM LIST'!A:C,3,0)</f>
        <v>#N/A</v>
      </c>
      <c r="D1832" s="6">
        <f t="shared" si="29"/>
        <v>0</v>
      </c>
    </row>
    <row r="1833" spans="3:4" ht="15" x14ac:dyDescent="0.25">
      <c r="C1833" s="8" t="e">
        <f>VLOOKUP(A:A,'ITEM LIST'!A:C,3,0)</f>
        <v>#N/A</v>
      </c>
      <c r="D1833" s="6">
        <f t="shared" si="29"/>
        <v>0</v>
      </c>
    </row>
    <row r="1834" spans="3:4" ht="15" x14ac:dyDescent="0.25">
      <c r="C1834" s="8" t="e">
        <f>VLOOKUP(A:A,'ITEM LIST'!A:C,3,0)</f>
        <v>#N/A</v>
      </c>
      <c r="D1834" s="6">
        <f t="shared" si="29"/>
        <v>0</v>
      </c>
    </row>
    <row r="1835" spans="3:4" ht="15" x14ac:dyDescent="0.25">
      <c r="C1835" s="8" t="e">
        <f>VLOOKUP(A:A,'ITEM LIST'!A:C,3,0)</f>
        <v>#N/A</v>
      </c>
      <c r="D1835" s="6">
        <f t="shared" si="29"/>
        <v>0</v>
      </c>
    </row>
    <row r="1836" spans="3:4" ht="15" x14ac:dyDescent="0.25">
      <c r="C1836" s="8" t="e">
        <f>VLOOKUP(A:A,'ITEM LIST'!A:C,3,0)</f>
        <v>#N/A</v>
      </c>
      <c r="D1836" s="6">
        <f t="shared" si="29"/>
        <v>0</v>
      </c>
    </row>
    <row r="1837" spans="3:4" ht="15" x14ac:dyDescent="0.25">
      <c r="C1837" s="8" t="e">
        <f>VLOOKUP(A:A,'ITEM LIST'!A:C,3,0)</f>
        <v>#N/A</v>
      </c>
      <c r="D1837" s="6">
        <f t="shared" si="29"/>
        <v>0</v>
      </c>
    </row>
    <row r="1838" spans="3:4" ht="15" x14ac:dyDescent="0.25">
      <c r="C1838" s="8" t="e">
        <f>VLOOKUP(A:A,'ITEM LIST'!A:C,3,0)</f>
        <v>#N/A</v>
      </c>
      <c r="D1838" s="6">
        <f t="shared" si="29"/>
        <v>0</v>
      </c>
    </row>
    <row r="1839" spans="3:4" ht="15" x14ac:dyDescent="0.25">
      <c r="C1839" s="8" t="e">
        <f>VLOOKUP(A:A,'ITEM LIST'!A:C,3,0)</f>
        <v>#N/A</v>
      </c>
      <c r="D1839" s="6">
        <f t="shared" si="29"/>
        <v>0</v>
      </c>
    </row>
    <row r="1840" spans="3:4" ht="15" x14ac:dyDescent="0.25">
      <c r="C1840" s="8" t="e">
        <f>VLOOKUP(A:A,'ITEM LIST'!A:C,3,0)</f>
        <v>#N/A</v>
      </c>
      <c r="D1840" s="6">
        <f t="shared" si="29"/>
        <v>0</v>
      </c>
    </row>
    <row r="1841" spans="3:4" ht="15" x14ac:dyDescent="0.25">
      <c r="C1841" s="8" t="e">
        <f>VLOOKUP(A:A,'ITEM LIST'!A:C,3,0)</f>
        <v>#N/A</v>
      </c>
      <c r="D1841" s="6">
        <f t="shared" si="29"/>
        <v>0</v>
      </c>
    </row>
    <row r="1842" spans="3:4" ht="15" x14ac:dyDescent="0.25">
      <c r="C1842" s="8" t="e">
        <f>VLOOKUP(A:A,'ITEM LIST'!A:C,3,0)</f>
        <v>#N/A</v>
      </c>
      <c r="D1842" s="6">
        <f t="shared" si="29"/>
        <v>0</v>
      </c>
    </row>
    <row r="1843" spans="3:4" ht="15" x14ac:dyDescent="0.25">
      <c r="C1843" s="8" t="e">
        <f>VLOOKUP(A:A,'ITEM LIST'!A:C,3,0)</f>
        <v>#N/A</v>
      </c>
      <c r="D1843" s="6">
        <f t="shared" si="29"/>
        <v>0</v>
      </c>
    </row>
    <row r="1844" spans="3:4" ht="15" x14ac:dyDescent="0.25">
      <c r="C1844" s="8" t="e">
        <f>VLOOKUP(A:A,'ITEM LIST'!A:C,3,0)</f>
        <v>#N/A</v>
      </c>
      <c r="D1844" s="6">
        <f t="shared" si="29"/>
        <v>0</v>
      </c>
    </row>
    <row r="1845" spans="3:4" ht="15" x14ac:dyDescent="0.25">
      <c r="C1845" s="8" t="e">
        <f>VLOOKUP(A:A,'ITEM LIST'!A:C,3,0)</f>
        <v>#N/A</v>
      </c>
      <c r="D1845" s="6">
        <f t="shared" si="29"/>
        <v>0</v>
      </c>
    </row>
    <row r="1846" spans="3:4" ht="15" x14ac:dyDescent="0.25">
      <c r="C1846" s="8" t="e">
        <f>VLOOKUP(A:A,'ITEM LIST'!A:C,3,0)</f>
        <v>#N/A</v>
      </c>
      <c r="D1846" s="6">
        <f t="shared" si="29"/>
        <v>0</v>
      </c>
    </row>
    <row r="1847" spans="3:4" ht="15" x14ac:dyDescent="0.25">
      <c r="C1847" s="8" t="e">
        <f>VLOOKUP(A:A,'ITEM LIST'!A:C,3,0)</f>
        <v>#N/A</v>
      </c>
      <c r="D1847" s="6">
        <f t="shared" si="29"/>
        <v>0</v>
      </c>
    </row>
    <row r="1848" spans="3:4" ht="15" x14ac:dyDescent="0.25">
      <c r="C1848" s="8" t="e">
        <f>VLOOKUP(A:A,'ITEM LIST'!A:C,3,0)</f>
        <v>#N/A</v>
      </c>
      <c r="D1848" s="6">
        <f t="shared" si="29"/>
        <v>0</v>
      </c>
    </row>
    <row r="1849" spans="3:4" ht="15" x14ac:dyDescent="0.25">
      <c r="C1849" s="8" t="e">
        <f>VLOOKUP(A:A,'ITEM LIST'!A:C,3,0)</f>
        <v>#N/A</v>
      </c>
      <c r="D1849" s="6">
        <f t="shared" si="29"/>
        <v>0</v>
      </c>
    </row>
    <row r="1850" spans="3:4" ht="15" x14ac:dyDescent="0.25">
      <c r="C1850" s="8" t="e">
        <f>VLOOKUP(A:A,'ITEM LIST'!A:C,3,0)</f>
        <v>#N/A</v>
      </c>
      <c r="D1850" s="6">
        <f t="shared" si="29"/>
        <v>0</v>
      </c>
    </row>
    <row r="1851" spans="3:4" ht="15" x14ac:dyDescent="0.25">
      <c r="C1851" s="8" t="e">
        <f>VLOOKUP(A:A,'ITEM LIST'!A:C,3,0)</f>
        <v>#N/A</v>
      </c>
      <c r="D1851" s="6">
        <f t="shared" si="29"/>
        <v>0</v>
      </c>
    </row>
    <row r="1852" spans="3:4" ht="15" x14ac:dyDescent="0.25">
      <c r="C1852" s="8" t="e">
        <f>VLOOKUP(A:A,'ITEM LIST'!A:C,3,0)</f>
        <v>#N/A</v>
      </c>
      <c r="D1852" s="6">
        <f t="shared" si="29"/>
        <v>0</v>
      </c>
    </row>
    <row r="1853" spans="3:4" ht="15" x14ac:dyDescent="0.25">
      <c r="C1853" s="8" t="e">
        <f>VLOOKUP(A:A,'ITEM LIST'!A:C,3,0)</f>
        <v>#N/A</v>
      </c>
      <c r="D1853" s="6">
        <f t="shared" si="29"/>
        <v>0</v>
      </c>
    </row>
    <row r="1854" spans="3:4" ht="15" x14ac:dyDescent="0.25">
      <c r="C1854" s="8" t="e">
        <f>VLOOKUP(A:A,'ITEM LIST'!A:C,3,0)</f>
        <v>#N/A</v>
      </c>
      <c r="D1854" s="6">
        <f t="shared" si="29"/>
        <v>0</v>
      </c>
    </row>
    <row r="1855" spans="3:4" ht="15" x14ac:dyDescent="0.25">
      <c r="C1855" s="8" t="e">
        <f>VLOOKUP(A:A,'ITEM LIST'!A:C,3,0)</f>
        <v>#N/A</v>
      </c>
      <c r="D1855" s="6">
        <f t="shared" si="29"/>
        <v>0</v>
      </c>
    </row>
    <row r="1856" spans="3:4" ht="15" x14ac:dyDescent="0.25">
      <c r="C1856" s="8" t="e">
        <f>VLOOKUP(A:A,'ITEM LIST'!A:C,3,0)</f>
        <v>#N/A</v>
      </c>
      <c r="D1856" s="6">
        <f t="shared" si="29"/>
        <v>0</v>
      </c>
    </row>
    <row r="1857" spans="3:4" ht="15" x14ac:dyDescent="0.25">
      <c r="C1857" s="8" t="e">
        <f>VLOOKUP(A:A,'ITEM LIST'!A:C,3,0)</f>
        <v>#N/A</v>
      </c>
      <c r="D1857" s="6">
        <f t="shared" si="29"/>
        <v>0</v>
      </c>
    </row>
    <row r="1858" spans="3:4" ht="15" x14ac:dyDescent="0.25">
      <c r="C1858" s="8" t="e">
        <f>VLOOKUP(A:A,'ITEM LIST'!A:C,3,0)</f>
        <v>#N/A</v>
      </c>
      <c r="D1858" s="6">
        <f t="shared" si="29"/>
        <v>0</v>
      </c>
    </row>
    <row r="1859" spans="3:4" ht="15" x14ac:dyDescent="0.25">
      <c r="C1859" s="8" t="e">
        <f>VLOOKUP(A:A,'ITEM LIST'!A:C,3,0)</f>
        <v>#N/A</v>
      </c>
      <c r="D1859" s="6">
        <f t="shared" si="29"/>
        <v>0</v>
      </c>
    </row>
    <row r="1860" spans="3:4" ht="15" x14ac:dyDescent="0.25">
      <c r="C1860" s="8" t="e">
        <f>VLOOKUP(A:A,'ITEM LIST'!A:C,3,0)</f>
        <v>#N/A</v>
      </c>
      <c r="D1860" s="6">
        <f t="shared" si="29"/>
        <v>0</v>
      </c>
    </row>
    <row r="1861" spans="3:4" ht="15" x14ac:dyDescent="0.25">
      <c r="C1861" s="8" t="e">
        <f>VLOOKUP(A:A,'ITEM LIST'!A:C,3,0)</f>
        <v>#N/A</v>
      </c>
      <c r="D1861" s="6">
        <f t="shared" si="29"/>
        <v>0</v>
      </c>
    </row>
    <row r="1862" spans="3:4" ht="15" x14ac:dyDescent="0.25">
      <c r="C1862" s="8" t="e">
        <f>VLOOKUP(A:A,'ITEM LIST'!A:C,3,0)</f>
        <v>#N/A</v>
      </c>
      <c r="D1862" s="6">
        <f t="shared" ref="D1862:D1925" si="30">B1862</f>
        <v>0</v>
      </c>
    </row>
    <row r="1863" spans="3:4" ht="15" x14ac:dyDescent="0.25">
      <c r="C1863" s="8" t="e">
        <f>VLOOKUP(A:A,'ITEM LIST'!A:C,3,0)</f>
        <v>#N/A</v>
      </c>
      <c r="D1863" s="6">
        <f t="shared" si="30"/>
        <v>0</v>
      </c>
    </row>
    <row r="1864" spans="3:4" ht="15" x14ac:dyDescent="0.25">
      <c r="C1864" s="8" t="e">
        <f>VLOOKUP(A:A,'ITEM LIST'!A:C,3,0)</f>
        <v>#N/A</v>
      </c>
      <c r="D1864" s="6">
        <f t="shared" si="30"/>
        <v>0</v>
      </c>
    </row>
    <row r="1865" spans="3:4" ht="15" x14ac:dyDescent="0.25">
      <c r="C1865" s="8" t="e">
        <f>VLOOKUP(A:A,'ITEM LIST'!A:C,3,0)</f>
        <v>#N/A</v>
      </c>
      <c r="D1865" s="6">
        <f t="shared" si="30"/>
        <v>0</v>
      </c>
    </row>
    <row r="1866" spans="3:4" ht="15" x14ac:dyDescent="0.25">
      <c r="C1866" s="8" t="e">
        <f>VLOOKUP(A:A,'ITEM LIST'!A:C,3,0)</f>
        <v>#N/A</v>
      </c>
      <c r="D1866" s="6">
        <f t="shared" si="30"/>
        <v>0</v>
      </c>
    </row>
    <row r="1867" spans="3:4" ht="15" x14ac:dyDescent="0.25">
      <c r="C1867" s="8" t="e">
        <f>VLOOKUP(A:A,'ITEM LIST'!A:C,3,0)</f>
        <v>#N/A</v>
      </c>
      <c r="D1867" s="6">
        <f t="shared" si="30"/>
        <v>0</v>
      </c>
    </row>
    <row r="1868" spans="3:4" ht="15" x14ac:dyDescent="0.25">
      <c r="C1868" s="8" t="e">
        <f>VLOOKUP(A:A,'ITEM LIST'!A:C,3,0)</f>
        <v>#N/A</v>
      </c>
      <c r="D1868" s="6">
        <f t="shared" si="30"/>
        <v>0</v>
      </c>
    </row>
    <row r="1869" spans="3:4" ht="15" x14ac:dyDescent="0.25">
      <c r="C1869" s="8" t="e">
        <f>VLOOKUP(A:A,'ITEM LIST'!A:C,3,0)</f>
        <v>#N/A</v>
      </c>
      <c r="D1869" s="6">
        <f t="shared" si="30"/>
        <v>0</v>
      </c>
    </row>
    <row r="1870" spans="3:4" ht="15" x14ac:dyDescent="0.25">
      <c r="C1870" s="8" t="e">
        <f>VLOOKUP(A:A,'ITEM LIST'!A:C,3,0)</f>
        <v>#N/A</v>
      </c>
      <c r="D1870" s="6">
        <f t="shared" si="30"/>
        <v>0</v>
      </c>
    </row>
    <row r="1871" spans="3:4" ht="15" x14ac:dyDescent="0.25">
      <c r="C1871" s="8" t="e">
        <f>VLOOKUP(A:A,'ITEM LIST'!A:C,3,0)</f>
        <v>#N/A</v>
      </c>
      <c r="D1871" s="6">
        <f t="shared" si="30"/>
        <v>0</v>
      </c>
    </row>
    <row r="1872" spans="3:4" ht="15" x14ac:dyDescent="0.25">
      <c r="C1872" s="8" t="e">
        <f>VLOOKUP(A:A,'ITEM LIST'!A:C,3,0)</f>
        <v>#N/A</v>
      </c>
      <c r="D1872" s="6">
        <f t="shared" si="30"/>
        <v>0</v>
      </c>
    </row>
    <row r="1873" spans="3:4" ht="15" x14ac:dyDescent="0.25">
      <c r="C1873" s="8" t="e">
        <f>VLOOKUP(A:A,'ITEM LIST'!A:C,3,0)</f>
        <v>#N/A</v>
      </c>
      <c r="D1873" s="6">
        <f t="shared" si="30"/>
        <v>0</v>
      </c>
    </row>
    <row r="1874" spans="3:4" ht="15" x14ac:dyDescent="0.25">
      <c r="C1874" s="8" t="e">
        <f>VLOOKUP(A:A,'ITEM LIST'!A:C,3,0)</f>
        <v>#N/A</v>
      </c>
      <c r="D1874" s="6">
        <f t="shared" si="30"/>
        <v>0</v>
      </c>
    </row>
    <row r="1875" spans="3:4" ht="15" x14ac:dyDescent="0.25">
      <c r="C1875" s="8" t="e">
        <f>VLOOKUP(A:A,'ITEM LIST'!A:C,3,0)</f>
        <v>#N/A</v>
      </c>
      <c r="D1875" s="6">
        <f t="shared" si="30"/>
        <v>0</v>
      </c>
    </row>
    <row r="1876" spans="3:4" ht="15" x14ac:dyDescent="0.25">
      <c r="C1876" s="8" t="e">
        <f>VLOOKUP(A:A,'ITEM LIST'!A:C,3,0)</f>
        <v>#N/A</v>
      </c>
      <c r="D1876" s="6">
        <f t="shared" si="30"/>
        <v>0</v>
      </c>
    </row>
    <row r="1877" spans="3:4" ht="15" x14ac:dyDescent="0.25">
      <c r="C1877" s="8" t="e">
        <f>VLOOKUP(A:A,'ITEM LIST'!A:C,3,0)</f>
        <v>#N/A</v>
      </c>
      <c r="D1877" s="6">
        <f t="shared" si="30"/>
        <v>0</v>
      </c>
    </row>
    <row r="1878" spans="3:4" ht="15" x14ac:dyDescent="0.25">
      <c r="C1878" s="8" t="e">
        <f>VLOOKUP(A:A,'ITEM LIST'!A:C,3,0)</f>
        <v>#N/A</v>
      </c>
      <c r="D1878" s="6">
        <f t="shared" si="30"/>
        <v>0</v>
      </c>
    </row>
    <row r="1879" spans="3:4" ht="15" x14ac:dyDescent="0.25">
      <c r="C1879" s="8" t="e">
        <f>VLOOKUP(A:A,'ITEM LIST'!A:C,3,0)</f>
        <v>#N/A</v>
      </c>
      <c r="D1879" s="6">
        <f t="shared" si="30"/>
        <v>0</v>
      </c>
    </row>
    <row r="1880" spans="3:4" ht="15" x14ac:dyDescent="0.25">
      <c r="C1880" s="8" t="e">
        <f>VLOOKUP(A:A,'ITEM LIST'!A:C,3,0)</f>
        <v>#N/A</v>
      </c>
      <c r="D1880" s="6">
        <f t="shared" si="30"/>
        <v>0</v>
      </c>
    </row>
    <row r="1881" spans="3:4" ht="15" x14ac:dyDescent="0.25">
      <c r="C1881" s="8" t="e">
        <f>VLOOKUP(A:A,'ITEM LIST'!A:C,3,0)</f>
        <v>#N/A</v>
      </c>
      <c r="D1881" s="6">
        <f t="shared" si="30"/>
        <v>0</v>
      </c>
    </row>
    <row r="1882" spans="3:4" ht="15" x14ac:dyDescent="0.25">
      <c r="C1882" s="8" t="e">
        <f>VLOOKUP(A:A,'ITEM LIST'!A:C,3,0)</f>
        <v>#N/A</v>
      </c>
      <c r="D1882" s="6">
        <f t="shared" si="30"/>
        <v>0</v>
      </c>
    </row>
    <row r="1883" spans="3:4" ht="15" x14ac:dyDescent="0.25">
      <c r="C1883" s="8" t="e">
        <f>VLOOKUP(A:A,'ITEM LIST'!A:C,3,0)</f>
        <v>#N/A</v>
      </c>
      <c r="D1883" s="6">
        <f t="shared" si="30"/>
        <v>0</v>
      </c>
    </row>
    <row r="1884" spans="3:4" ht="15" x14ac:dyDescent="0.25">
      <c r="C1884" s="8" t="e">
        <f>VLOOKUP(A:A,'ITEM LIST'!A:C,3,0)</f>
        <v>#N/A</v>
      </c>
      <c r="D1884" s="6">
        <f t="shared" si="30"/>
        <v>0</v>
      </c>
    </row>
    <row r="1885" spans="3:4" ht="15" x14ac:dyDescent="0.25">
      <c r="C1885" s="8" t="e">
        <f>VLOOKUP(A:A,'ITEM LIST'!A:C,3,0)</f>
        <v>#N/A</v>
      </c>
      <c r="D1885" s="6">
        <f t="shared" si="30"/>
        <v>0</v>
      </c>
    </row>
    <row r="1886" spans="3:4" ht="15" x14ac:dyDescent="0.25">
      <c r="C1886" s="8" t="e">
        <f>VLOOKUP(A:A,'ITEM LIST'!A:C,3,0)</f>
        <v>#N/A</v>
      </c>
      <c r="D1886" s="6">
        <f t="shared" si="30"/>
        <v>0</v>
      </c>
    </row>
    <row r="1887" spans="3:4" ht="15" x14ac:dyDescent="0.25">
      <c r="C1887" s="8" t="e">
        <f>VLOOKUP(A:A,'ITEM LIST'!A:C,3,0)</f>
        <v>#N/A</v>
      </c>
      <c r="D1887" s="6">
        <f t="shared" si="30"/>
        <v>0</v>
      </c>
    </row>
    <row r="1888" spans="3:4" ht="15" x14ac:dyDescent="0.25">
      <c r="C1888" s="8" t="e">
        <f>VLOOKUP(A:A,'ITEM LIST'!A:C,3,0)</f>
        <v>#N/A</v>
      </c>
      <c r="D1888" s="6">
        <f t="shared" si="30"/>
        <v>0</v>
      </c>
    </row>
    <row r="1889" spans="3:4" ht="15" x14ac:dyDescent="0.25">
      <c r="C1889" s="8" t="e">
        <f>VLOOKUP(A:A,'ITEM LIST'!A:C,3,0)</f>
        <v>#N/A</v>
      </c>
      <c r="D1889" s="6">
        <f t="shared" si="30"/>
        <v>0</v>
      </c>
    </row>
    <row r="1890" spans="3:4" ht="15" x14ac:dyDescent="0.25">
      <c r="C1890" s="8" t="e">
        <f>VLOOKUP(A:A,'ITEM LIST'!A:C,3,0)</f>
        <v>#N/A</v>
      </c>
      <c r="D1890" s="6">
        <f t="shared" si="30"/>
        <v>0</v>
      </c>
    </row>
    <row r="1891" spans="3:4" ht="15" x14ac:dyDescent="0.25">
      <c r="C1891" s="8" t="e">
        <f>VLOOKUP(A:A,'ITEM LIST'!A:C,3,0)</f>
        <v>#N/A</v>
      </c>
      <c r="D1891" s="6">
        <f t="shared" si="30"/>
        <v>0</v>
      </c>
    </row>
    <row r="1892" spans="3:4" ht="15" x14ac:dyDescent="0.25">
      <c r="C1892" s="8" t="e">
        <f>VLOOKUP(A:A,'ITEM LIST'!A:C,3,0)</f>
        <v>#N/A</v>
      </c>
      <c r="D1892" s="6">
        <f t="shared" si="30"/>
        <v>0</v>
      </c>
    </row>
    <row r="1893" spans="3:4" ht="15" x14ac:dyDescent="0.25">
      <c r="C1893" s="8" t="e">
        <f>VLOOKUP(A:A,'ITEM LIST'!A:C,3,0)</f>
        <v>#N/A</v>
      </c>
      <c r="D1893" s="6">
        <f t="shared" si="30"/>
        <v>0</v>
      </c>
    </row>
    <row r="1894" spans="3:4" ht="15" x14ac:dyDescent="0.25">
      <c r="C1894" s="8" t="e">
        <f>VLOOKUP(A:A,'ITEM LIST'!A:C,3,0)</f>
        <v>#N/A</v>
      </c>
      <c r="D1894" s="6">
        <f t="shared" si="30"/>
        <v>0</v>
      </c>
    </row>
    <row r="1895" spans="3:4" ht="15" x14ac:dyDescent="0.25">
      <c r="C1895" s="8" t="e">
        <f>VLOOKUP(A:A,'ITEM LIST'!A:C,3,0)</f>
        <v>#N/A</v>
      </c>
      <c r="D1895" s="6">
        <f t="shared" si="30"/>
        <v>0</v>
      </c>
    </row>
    <row r="1896" spans="3:4" ht="15" x14ac:dyDescent="0.25">
      <c r="C1896" s="8" t="e">
        <f>VLOOKUP(A:A,'ITEM LIST'!A:C,3,0)</f>
        <v>#N/A</v>
      </c>
      <c r="D1896" s="6">
        <f t="shared" si="30"/>
        <v>0</v>
      </c>
    </row>
    <row r="1897" spans="3:4" ht="15" x14ac:dyDescent="0.25">
      <c r="C1897" s="8" t="e">
        <f>VLOOKUP(A:A,'ITEM LIST'!A:C,3,0)</f>
        <v>#N/A</v>
      </c>
      <c r="D1897" s="6">
        <f t="shared" si="30"/>
        <v>0</v>
      </c>
    </row>
    <row r="1898" spans="3:4" ht="15" x14ac:dyDescent="0.25">
      <c r="C1898" s="8" t="e">
        <f>VLOOKUP(A:A,'ITEM LIST'!A:C,3,0)</f>
        <v>#N/A</v>
      </c>
      <c r="D1898" s="6">
        <f t="shared" si="30"/>
        <v>0</v>
      </c>
    </row>
    <row r="1899" spans="3:4" ht="15" x14ac:dyDescent="0.25">
      <c r="C1899" s="8" t="e">
        <f>VLOOKUP(A:A,'ITEM LIST'!A:C,3,0)</f>
        <v>#N/A</v>
      </c>
      <c r="D1899" s="6">
        <f t="shared" si="30"/>
        <v>0</v>
      </c>
    </row>
    <row r="1900" spans="3:4" ht="15" x14ac:dyDescent="0.25">
      <c r="C1900" s="8" t="e">
        <f>VLOOKUP(A:A,'ITEM LIST'!A:C,3,0)</f>
        <v>#N/A</v>
      </c>
      <c r="D1900" s="6">
        <f t="shared" si="30"/>
        <v>0</v>
      </c>
    </row>
    <row r="1901" spans="3:4" ht="15" x14ac:dyDescent="0.25">
      <c r="C1901" s="8" t="e">
        <f>VLOOKUP(A:A,'ITEM LIST'!A:C,3,0)</f>
        <v>#N/A</v>
      </c>
      <c r="D1901" s="6">
        <f t="shared" si="30"/>
        <v>0</v>
      </c>
    </row>
    <row r="1902" spans="3:4" ht="15" x14ac:dyDescent="0.25">
      <c r="C1902" s="8" t="e">
        <f>VLOOKUP(A:A,'ITEM LIST'!A:C,3,0)</f>
        <v>#N/A</v>
      </c>
      <c r="D1902" s="6">
        <f t="shared" si="30"/>
        <v>0</v>
      </c>
    </row>
    <row r="1903" spans="3:4" ht="15" x14ac:dyDescent="0.25">
      <c r="C1903" s="8" t="e">
        <f>VLOOKUP(A:A,'ITEM LIST'!A:C,3,0)</f>
        <v>#N/A</v>
      </c>
      <c r="D1903" s="6">
        <f t="shared" si="30"/>
        <v>0</v>
      </c>
    </row>
    <row r="1904" spans="3:4" ht="15" x14ac:dyDescent="0.25">
      <c r="C1904" s="8" t="e">
        <f>VLOOKUP(A:A,'ITEM LIST'!A:C,3,0)</f>
        <v>#N/A</v>
      </c>
      <c r="D1904" s="6">
        <f t="shared" si="30"/>
        <v>0</v>
      </c>
    </row>
    <row r="1905" spans="3:4" ht="15" x14ac:dyDescent="0.25">
      <c r="C1905" s="8" t="e">
        <f>VLOOKUP(A:A,'ITEM LIST'!A:C,3,0)</f>
        <v>#N/A</v>
      </c>
      <c r="D1905" s="6">
        <f t="shared" si="30"/>
        <v>0</v>
      </c>
    </row>
    <row r="1906" spans="3:4" ht="15" x14ac:dyDescent="0.25">
      <c r="C1906" s="8" t="e">
        <f>VLOOKUP(A:A,'ITEM LIST'!A:C,3,0)</f>
        <v>#N/A</v>
      </c>
      <c r="D1906" s="6">
        <f t="shared" si="30"/>
        <v>0</v>
      </c>
    </row>
    <row r="1907" spans="3:4" ht="15" x14ac:dyDescent="0.25">
      <c r="C1907" s="8" t="e">
        <f>VLOOKUP(A:A,'ITEM LIST'!A:C,3,0)</f>
        <v>#N/A</v>
      </c>
      <c r="D1907" s="6">
        <f t="shared" si="30"/>
        <v>0</v>
      </c>
    </row>
    <row r="1908" spans="3:4" ht="15" x14ac:dyDescent="0.25">
      <c r="C1908" s="8" t="e">
        <f>VLOOKUP(A:A,'ITEM LIST'!A:C,3,0)</f>
        <v>#N/A</v>
      </c>
      <c r="D1908" s="6">
        <f t="shared" si="30"/>
        <v>0</v>
      </c>
    </row>
    <row r="1909" spans="3:4" ht="15" x14ac:dyDescent="0.25">
      <c r="C1909" s="8" t="e">
        <f>VLOOKUP(A:A,'ITEM LIST'!A:C,3,0)</f>
        <v>#N/A</v>
      </c>
      <c r="D1909" s="6">
        <f t="shared" si="30"/>
        <v>0</v>
      </c>
    </row>
    <row r="1910" spans="3:4" ht="15" x14ac:dyDescent="0.25">
      <c r="C1910" s="8" t="e">
        <f>VLOOKUP(A:A,'ITEM LIST'!A:C,3,0)</f>
        <v>#N/A</v>
      </c>
      <c r="D1910" s="6">
        <f t="shared" si="30"/>
        <v>0</v>
      </c>
    </row>
    <row r="1911" spans="3:4" ht="15" x14ac:dyDescent="0.25">
      <c r="C1911" s="8" t="e">
        <f>VLOOKUP(A:A,'ITEM LIST'!A:C,3,0)</f>
        <v>#N/A</v>
      </c>
      <c r="D1911" s="6">
        <f t="shared" si="30"/>
        <v>0</v>
      </c>
    </row>
    <row r="1912" spans="3:4" ht="15" x14ac:dyDescent="0.25">
      <c r="C1912" s="8" t="e">
        <f>VLOOKUP(A:A,'ITEM LIST'!A:C,3,0)</f>
        <v>#N/A</v>
      </c>
      <c r="D1912" s="6">
        <f t="shared" si="30"/>
        <v>0</v>
      </c>
    </row>
    <row r="1913" spans="3:4" ht="15" x14ac:dyDescent="0.25">
      <c r="C1913" s="8" t="e">
        <f>VLOOKUP(A:A,'ITEM LIST'!A:C,3,0)</f>
        <v>#N/A</v>
      </c>
      <c r="D1913" s="6">
        <f t="shared" si="30"/>
        <v>0</v>
      </c>
    </row>
    <row r="1914" spans="3:4" ht="15" x14ac:dyDescent="0.25">
      <c r="C1914" s="8" t="e">
        <f>VLOOKUP(A:A,'ITEM LIST'!A:C,3,0)</f>
        <v>#N/A</v>
      </c>
      <c r="D1914" s="6">
        <f t="shared" si="30"/>
        <v>0</v>
      </c>
    </row>
    <row r="1915" spans="3:4" ht="15" x14ac:dyDescent="0.25">
      <c r="C1915" s="8" t="e">
        <f>VLOOKUP(A:A,'ITEM LIST'!A:C,3,0)</f>
        <v>#N/A</v>
      </c>
      <c r="D1915" s="6">
        <f t="shared" si="30"/>
        <v>0</v>
      </c>
    </row>
    <row r="1916" spans="3:4" ht="15" x14ac:dyDescent="0.25">
      <c r="C1916" s="8" t="e">
        <f>VLOOKUP(A:A,'ITEM LIST'!A:C,3,0)</f>
        <v>#N/A</v>
      </c>
      <c r="D1916" s="6">
        <f t="shared" si="30"/>
        <v>0</v>
      </c>
    </row>
    <row r="1917" spans="3:4" ht="15" x14ac:dyDescent="0.25">
      <c r="C1917" s="8" t="e">
        <f>VLOOKUP(A:A,'ITEM LIST'!A:C,3,0)</f>
        <v>#N/A</v>
      </c>
      <c r="D1917" s="6">
        <f t="shared" si="30"/>
        <v>0</v>
      </c>
    </row>
    <row r="1918" spans="3:4" ht="15" x14ac:dyDescent="0.25">
      <c r="C1918" s="8" t="e">
        <f>VLOOKUP(A:A,'ITEM LIST'!A:C,3,0)</f>
        <v>#N/A</v>
      </c>
      <c r="D1918" s="6">
        <f t="shared" si="30"/>
        <v>0</v>
      </c>
    </row>
    <row r="1919" spans="3:4" ht="15" x14ac:dyDescent="0.25">
      <c r="C1919" s="8" t="e">
        <f>VLOOKUP(A:A,'ITEM LIST'!A:C,3,0)</f>
        <v>#N/A</v>
      </c>
      <c r="D1919" s="6">
        <f t="shared" si="30"/>
        <v>0</v>
      </c>
    </row>
    <row r="1920" spans="3:4" ht="15" x14ac:dyDescent="0.25">
      <c r="C1920" s="8" t="e">
        <f>VLOOKUP(A:A,'ITEM LIST'!A:C,3,0)</f>
        <v>#N/A</v>
      </c>
      <c r="D1920" s="6">
        <f t="shared" si="30"/>
        <v>0</v>
      </c>
    </row>
    <row r="1921" spans="3:4" ht="15" x14ac:dyDescent="0.25">
      <c r="C1921" s="8" t="e">
        <f>VLOOKUP(A:A,'ITEM LIST'!A:C,3,0)</f>
        <v>#N/A</v>
      </c>
      <c r="D1921" s="6">
        <f t="shared" si="30"/>
        <v>0</v>
      </c>
    </row>
    <row r="1922" spans="3:4" ht="15" x14ac:dyDescent="0.25">
      <c r="C1922" s="8" t="e">
        <f>VLOOKUP(A:A,'ITEM LIST'!A:C,3,0)</f>
        <v>#N/A</v>
      </c>
      <c r="D1922" s="6">
        <f t="shared" si="30"/>
        <v>0</v>
      </c>
    </row>
    <row r="1923" spans="3:4" ht="15" x14ac:dyDescent="0.25">
      <c r="C1923" s="8" t="e">
        <f>VLOOKUP(A:A,'ITEM LIST'!A:C,3,0)</f>
        <v>#N/A</v>
      </c>
      <c r="D1923" s="6">
        <f t="shared" si="30"/>
        <v>0</v>
      </c>
    </row>
    <row r="1924" spans="3:4" ht="15" x14ac:dyDescent="0.25">
      <c r="C1924" s="8" t="e">
        <f>VLOOKUP(A:A,'ITEM LIST'!A:C,3,0)</f>
        <v>#N/A</v>
      </c>
      <c r="D1924" s="6">
        <f t="shared" si="30"/>
        <v>0</v>
      </c>
    </row>
    <row r="1925" spans="3:4" ht="15" x14ac:dyDescent="0.25">
      <c r="C1925" s="8" t="e">
        <f>VLOOKUP(A:A,'ITEM LIST'!A:C,3,0)</f>
        <v>#N/A</v>
      </c>
      <c r="D1925" s="6">
        <f t="shared" si="30"/>
        <v>0</v>
      </c>
    </row>
    <row r="1926" spans="3:4" ht="15" x14ac:dyDescent="0.25">
      <c r="C1926" s="8" t="e">
        <f>VLOOKUP(A:A,'ITEM LIST'!A:C,3,0)</f>
        <v>#N/A</v>
      </c>
      <c r="D1926" s="6">
        <f t="shared" ref="D1926:D1989" si="31">B1926</f>
        <v>0</v>
      </c>
    </row>
    <row r="1927" spans="3:4" ht="15" x14ac:dyDescent="0.25">
      <c r="C1927" s="8" t="e">
        <f>VLOOKUP(A:A,'ITEM LIST'!A:C,3,0)</f>
        <v>#N/A</v>
      </c>
      <c r="D1927" s="6">
        <f t="shared" si="31"/>
        <v>0</v>
      </c>
    </row>
    <row r="1928" spans="3:4" ht="15" x14ac:dyDescent="0.25">
      <c r="C1928" s="8" t="e">
        <f>VLOOKUP(A:A,'ITEM LIST'!A:C,3,0)</f>
        <v>#N/A</v>
      </c>
      <c r="D1928" s="6">
        <f t="shared" si="31"/>
        <v>0</v>
      </c>
    </row>
    <row r="1929" spans="3:4" ht="15" x14ac:dyDescent="0.25">
      <c r="C1929" s="8" t="e">
        <f>VLOOKUP(A:A,'ITEM LIST'!A:C,3,0)</f>
        <v>#N/A</v>
      </c>
      <c r="D1929" s="6">
        <f t="shared" si="31"/>
        <v>0</v>
      </c>
    </row>
    <row r="1930" spans="3:4" ht="15" x14ac:dyDescent="0.25">
      <c r="C1930" s="8" t="e">
        <f>VLOOKUP(A:A,'ITEM LIST'!A:C,3,0)</f>
        <v>#N/A</v>
      </c>
      <c r="D1930" s="6">
        <f t="shared" si="31"/>
        <v>0</v>
      </c>
    </row>
    <row r="1931" spans="3:4" ht="15" x14ac:dyDescent="0.25">
      <c r="C1931" s="8" t="e">
        <f>VLOOKUP(A:A,'ITEM LIST'!A:C,3,0)</f>
        <v>#N/A</v>
      </c>
      <c r="D1931" s="6">
        <f t="shared" si="31"/>
        <v>0</v>
      </c>
    </row>
    <row r="1932" spans="3:4" ht="15" x14ac:dyDescent="0.25">
      <c r="C1932" s="8" t="e">
        <f>VLOOKUP(A:A,'ITEM LIST'!A:C,3,0)</f>
        <v>#N/A</v>
      </c>
      <c r="D1932" s="6">
        <f t="shared" si="31"/>
        <v>0</v>
      </c>
    </row>
    <row r="1933" spans="3:4" ht="15" x14ac:dyDescent="0.25">
      <c r="C1933" s="8" t="e">
        <f>VLOOKUP(A:A,'ITEM LIST'!A:C,3,0)</f>
        <v>#N/A</v>
      </c>
      <c r="D1933" s="6">
        <f t="shared" si="31"/>
        <v>0</v>
      </c>
    </row>
    <row r="1934" spans="3:4" ht="15" x14ac:dyDescent="0.25">
      <c r="C1934" s="8" t="e">
        <f>VLOOKUP(A:A,'ITEM LIST'!A:C,3,0)</f>
        <v>#N/A</v>
      </c>
      <c r="D1934" s="6">
        <f t="shared" si="31"/>
        <v>0</v>
      </c>
    </row>
    <row r="1935" spans="3:4" ht="15" x14ac:dyDescent="0.25">
      <c r="C1935" s="8" t="e">
        <f>VLOOKUP(A:A,'ITEM LIST'!A:C,3,0)</f>
        <v>#N/A</v>
      </c>
      <c r="D1935" s="6">
        <f t="shared" si="31"/>
        <v>0</v>
      </c>
    </row>
    <row r="1936" spans="3:4" ht="15" x14ac:dyDescent="0.25">
      <c r="C1936" s="8" t="e">
        <f>VLOOKUP(A:A,'ITEM LIST'!A:C,3,0)</f>
        <v>#N/A</v>
      </c>
      <c r="D1936" s="6">
        <f t="shared" si="31"/>
        <v>0</v>
      </c>
    </row>
    <row r="1937" spans="3:4" ht="15" x14ac:dyDescent="0.25">
      <c r="C1937" s="8" t="e">
        <f>VLOOKUP(A:A,'ITEM LIST'!A:C,3,0)</f>
        <v>#N/A</v>
      </c>
      <c r="D1937" s="6">
        <f t="shared" si="31"/>
        <v>0</v>
      </c>
    </row>
    <row r="1938" spans="3:4" ht="15" x14ac:dyDescent="0.25">
      <c r="C1938" s="8" t="e">
        <f>VLOOKUP(A:A,'ITEM LIST'!A:C,3,0)</f>
        <v>#N/A</v>
      </c>
      <c r="D1938" s="6">
        <f t="shared" si="31"/>
        <v>0</v>
      </c>
    </row>
    <row r="1939" spans="3:4" ht="15" x14ac:dyDescent="0.25">
      <c r="C1939" s="8" t="e">
        <f>VLOOKUP(A:A,'ITEM LIST'!A:C,3,0)</f>
        <v>#N/A</v>
      </c>
      <c r="D1939" s="6">
        <f t="shared" si="31"/>
        <v>0</v>
      </c>
    </row>
    <row r="1940" spans="3:4" ht="15" x14ac:dyDescent="0.25">
      <c r="C1940" s="8" t="e">
        <f>VLOOKUP(A:A,'ITEM LIST'!A:C,3,0)</f>
        <v>#N/A</v>
      </c>
      <c r="D1940" s="6">
        <f t="shared" si="31"/>
        <v>0</v>
      </c>
    </row>
    <row r="1941" spans="3:4" ht="15" x14ac:dyDescent="0.25">
      <c r="C1941" s="8" t="e">
        <f>VLOOKUP(A:A,'ITEM LIST'!A:C,3,0)</f>
        <v>#N/A</v>
      </c>
      <c r="D1941" s="6">
        <f t="shared" si="31"/>
        <v>0</v>
      </c>
    </row>
    <row r="1942" spans="3:4" ht="15" x14ac:dyDescent="0.25">
      <c r="C1942" s="8" t="e">
        <f>VLOOKUP(A:A,'ITEM LIST'!A:C,3,0)</f>
        <v>#N/A</v>
      </c>
      <c r="D1942" s="6">
        <f t="shared" si="31"/>
        <v>0</v>
      </c>
    </row>
    <row r="1943" spans="3:4" ht="15" x14ac:dyDescent="0.25">
      <c r="C1943" s="8" t="e">
        <f>VLOOKUP(A:A,'ITEM LIST'!A:C,3,0)</f>
        <v>#N/A</v>
      </c>
      <c r="D1943" s="6">
        <f t="shared" si="31"/>
        <v>0</v>
      </c>
    </row>
    <row r="1944" spans="3:4" ht="15" x14ac:dyDescent="0.25">
      <c r="C1944" s="8" t="e">
        <f>VLOOKUP(A:A,'ITEM LIST'!A:C,3,0)</f>
        <v>#N/A</v>
      </c>
      <c r="D1944" s="6">
        <f t="shared" si="31"/>
        <v>0</v>
      </c>
    </row>
    <row r="1945" spans="3:4" ht="15" x14ac:dyDescent="0.25">
      <c r="C1945" s="8" t="e">
        <f>VLOOKUP(A:A,'ITEM LIST'!A:C,3,0)</f>
        <v>#N/A</v>
      </c>
      <c r="D1945" s="6">
        <f t="shared" si="31"/>
        <v>0</v>
      </c>
    </row>
    <row r="1946" spans="3:4" ht="15" x14ac:dyDescent="0.25">
      <c r="C1946" s="8" t="e">
        <f>VLOOKUP(A:A,'ITEM LIST'!A:C,3,0)</f>
        <v>#N/A</v>
      </c>
      <c r="D1946" s="6">
        <f t="shared" si="31"/>
        <v>0</v>
      </c>
    </row>
    <row r="1947" spans="3:4" ht="15" x14ac:dyDescent="0.25">
      <c r="C1947" s="8" t="e">
        <f>VLOOKUP(A:A,'ITEM LIST'!A:C,3,0)</f>
        <v>#N/A</v>
      </c>
      <c r="D1947" s="6">
        <f t="shared" si="31"/>
        <v>0</v>
      </c>
    </row>
    <row r="1948" spans="3:4" ht="15" x14ac:dyDescent="0.25">
      <c r="C1948" s="8" t="e">
        <f>VLOOKUP(A:A,'ITEM LIST'!A:C,3,0)</f>
        <v>#N/A</v>
      </c>
      <c r="D1948" s="6">
        <f t="shared" si="31"/>
        <v>0</v>
      </c>
    </row>
    <row r="1949" spans="3:4" ht="15" x14ac:dyDescent="0.25">
      <c r="C1949" s="8" t="e">
        <f>VLOOKUP(A:A,'ITEM LIST'!A:C,3,0)</f>
        <v>#N/A</v>
      </c>
      <c r="D1949" s="6">
        <f t="shared" si="31"/>
        <v>0</v>
      </c>
    </row>
    <row r="1950" spans="3:4" ht="15" x14ac:dyDescent="0.25">
      <c r="C1950" s="8" t="e">
        <f>VLOOKUP(A:A,'ITEM LIST'!A:C,3,0)</f>
        <v>#N/A</v>
      </c>
      <c r="D1950" s="6">
        <f t="shared" si="31"/>
        <v>0</v>
      </c>
    </row>
    <row r="1951" spans="3:4" ht="15" x14ac:dyDescent="0.25">
      <c r="C1951" s="8" t="e">
        <f>VLOOKUP(A:A,'ITEM LIST'!A:C,3,0)</f>
        <v>#N/A</v>
      </c>
      <c r="D1951" s="6">
        <f t="shared" si="31"/>
        <v>0</v>
      </c>
    </row>
    <row r="1952" spans="3:4" ht="15" x14ac:dyDescent="0.25">
      <c r="C1952" s="8" t="e">
        <f>VLOOKUP(A:A,'ITEM LIST'!A:C,3,0)</f>
        <v>#N/A</v>
      </c>
      <c r="D1952" s="6">
        <f t="shared" si="31"/>
        <v>0</v>
      </c>
    </row>
    <row r="1953" spans="3:4" ht="15" x14ac:dyDescent="0.25">
      <c r="C1953" s="8" t="e">
        <f>VLOOKUP(A:A,'ITEM LIST'!A:C,3,0)</f>
        <v>#N/A</v>
      </c>
      <c r="D1953" s="6">
        <f t="shared" si="31"/>
        <v>0</v>
      </c>
    </row>
    <row r="1954" spans="3:4" ht="15" x14ac:dyDescent="0.25">
      <c r="C1954" s="8" t="e">
        <f>VLOOKUP(A:A,'ITEM LIST'!A:C,3,0)</f>
        <v>#N/A</v>
      </c>
      <c r="D1954" s="6">
        <f t="shared" si="31"/>
        <v>0</v>
      </c>
    </row>
    <row r="1955" spans="3:4" ht="15" x14ac:dyDescent="0.25">
      <c r="C1955" s="8" t="e">
        <f>VLOOKUP(A:A,'ITEM LIST'!A:C,3,0)</f>
        <v>#N/A</v>
      </c>
      <c r="D1955" s="6">
        <f t="shared" si="31"/>
        <v>0</v>
      </c>
    </row>
    <row r="1956" spans="3:4" ht="15" x14ac:dyDescent="0.25">
      <c r="C1956" s="8" t="e">
        <f>VLOOKUP(A:A,'ITEM LIST'!A:C,3,0)</f>
        <v>#N/A</v>
      </c>
      <c r="D1956" s="6">
        <f t="shared" si="31"/>
        <v>0</v>
      </c>
    </row>
    <row r="1957" spans="3:4" ht="15" x14ac:dyDescent="0.25">
      <c r="C1957" s="8" t="e">
        <f>VLOOKUP(A:A,'ITEM LIST'!A:C,3,0)</f>
        <v>#N/A</v>
      </c>
      <c r="D1957" s="6">
        <f t="shared" si="31"/>
        <v>0</v>
      </c>
    </row>
    <row r="1958" spans="3:4" ht="15" x14ac:dyDescent="0.25">
      <c r="C1958" s="8" t="e">
        <f>VLOOKUP(A:A,'ITEM LIST'!A:C,3,0)</f>
        <v>#N/A</v>
      </c>
      <c r="D1958" s="6">
        <f t="shared" si="31"/>
        <v>0</v>
      </c>
    </row>
    <row r="1959" spans="3:4" ht="15" x14ac:dyDescent="0.25">
      <c r="C1959" s="8" t="e">
        <f>VLOOKUP(A:A,'ITEM LIST'!A:C,3,0)</f>
        <v>#N/A</v>
      </c>
      <c r="D1959" s="6">
        <f t="shared" si="31"/>
        <v>0</v>
      </c>
    </row>
    <row r="1960" spans="3:4" ht="15" x14ac:dyDescent="0.25">
      <c r="C1960" s="8" t="e">
        <f>VLOOKUP(A:A,'ITEM LIST'!A:C,3,0)</f>
        <v>#N/A</v>
      </c>
      <c r="D1960" s="6">
        <f t="shared" si="31"/>
        <v>0</v>
      </c>
    </row>
    <row r="1961" spans="3:4" ht="15" x14ac:dyDescent="0.25">
      <c r="C1961" s="8" t="e">
        <f>VLOOKUP(A:A,'ITEM LIST'!A:C,3,0)</f>
        <v>#N/A</v>
      </c>
      <c r="D1961" s="6">
        <f t="shared" si="31"/>
        <v>0</v>
      </c>
    </row>
    <row r="1962" spans="3:4" ht="15" x14ac:dyDescent="0.25">
      <c r="C1962" s="8" t="e">
        <f>VLOOKUP(A:A,'ITEM LIST'!A:C,3,0)</f>
        <v>#N/A</v>
      </c>
      <c r="D1962" s="6">
        <f t="shared" si="31"/>
        <v>0</v>
      </c>
    </row>
    <row r="1963" spans="3:4" ht="15" x14ac:dyDescent="0.25">
      <c r="C1963" s="8" t="e">
        <f>VLOOKUP(A:A,'ITEM LIST'!A:C,3,0)</f>
        <v>#N/A</v>
      </c>
      <c r="D1963" s="6">
        <f t="shared" si="31"/>
        <v>0</v>
      </c>
    </row>
    <row r="1964" spans="3:4" ht="15" x14ac:dyDescent="0.25">
      <c r="C1964" s="8" t="e">
        <f>VLOOKUP(A:A,'ITEM LIST'!A:C,3,0)</f>
        <v>#N/A</v>
      </c>
      <c r="D1964" s="6">
        <f t="shared" si="31"/>
        <v>0</v>
      </c>
    </row>
    <row r="1965" spans="3:4" ht="15" x14ac:dyDescent="0.25">
      <c r="C1965" s="8" t="e">
        <f>VLOOKUP(A:A,'ITEM LIST'!A:C,3,0)</f>
        <v>#N/A</v>
      </c>
      <c r="D1965" s="6">
        <f t="shared" si="31"/>
        <v>0</v>
      </c>
    </row>
    <row r="1966" spans="3:4" ht="15" x14ac:dyDescent="0.25">
      <c r="C1966" s="8" t="e">
        <f>VLOOKUP(A:A,'ITEM LIST'!A:C,3,0)</f>
        <v>#N/A</v>
      </c>
      <c r="D1966" s="6">
        <f t="shared" si="31"/>
        <v>0</v>
      </c>
    </row>
    <row r="1967" spans="3:4" ht="15" x14ac:dyDescent="0.25">
      <c r="C1967" s="8" t="e">
        <f>VLOOKUP(A:A,'ITEM LIST'!A:C,3,0)</f>
        <v>#N/A</v>
      </c>
      <c r="D1967" s="6">
        <f t="shared" si="31"/>
        <v>0</v>
      </c>
    </row>
    <row r="1968" spans="3:4" ht="15" x14ac:dyDescent="0.25">
      <c r="C1968" s="8" t="e">
        <f>VLOOKUP(A:A,'ITEM LIST'!A:C,3,0)</f>
        <v>#N/A</v>
      </c>
      <c r="D1968" s="6">
        <f t="shared" si="31"/>
        <v>0</v>
      </c>
    </row>
    <row r="1969" spans="3:4" ht="15" x14ac:dyDescent="0.25">
      <c r="C1969" s="8" t="e">
        <f>VLOOKUP(A:A,'ITEM LIST'!A:C,3,0)</f>
        <v>#N/A</v>
      </c>
      <c r="D1969" s="6">
        <f t="shared" si="31"/>
        <v>0</v>
      </c>
    </row>
    <row r="1970" spans="3:4" ht="15" x14ac:dyDescent="0.25">
      <c r="C1970" s="8" t="e">
        <f>VLOOKUP(A:A,'ITEM LIST'!A:C,3,0)</f>
        <v>#N/A</v>
      </c>
      <c r="D1970" s="6">
        <f t="shared" si="31"/>
        <v>0</v>
      </c>
    </row>
    <row r="1971" spans="3:4" ht="15" x14ac:dyDescent="0.25">
      <c r="C1971" s="8" t="e">
        <f>VLOOKUP(A:A,'ITEM LIST'!A:C,3,0)</f>
        <v>#N/A</v>
      </c>
      <c r="D1971" s="6">
        <f t="shared" si="31"/>
        <v>0</v>
      </c>
    </row>
    <row r="1972" spans="3:4" ht="15" x14ac:dyDescent="0.25">
      <c r="C1972" s="8" t="e">
        <f>VLOOKUP(A:A,'ITEM LIST'!A:C,3,0)</f>
        <v>#N/A</v>
      </c>
      <c r="D1972" s="6">
        <f t="shared" si="31"/>
        <v>0</v>
      </c>
    </row>
    <row r="1973" spans="3:4" ht="15" x14ac:dyDescent="0.25">
      <c r="C1973" s="8" t="e">
        <f>VLOOKUP(A:A,'ITEM LIST'!A:C,3,0)</f>
        <v>#N/A</v>
      </c>
      <c r="D1973" s="6">
        <f t="shared" si="31"/>
        <v>0</v>
      </c>
    </row>
    <row r="1974" spans="3:4" ht="15" x14ac:dyDescent="0.25">
      <c r="C1974" s="8" t="e">
        <f>VLOOKUP(A:A,'ITEM LIST'!A:C,3,0)</f>
        <v>#N/A</v>
      </c>
      <c r="D1974" s="6">
        <f t="shared" si="31"/>
        <v>0</v>
      </c>
    </row>
    <row r="1975" spans="3:4" ht="15" x14ac:dyDescent="0.25">
      <c r="C1975" s="8" t="e">
        <f>VLOOKUP(A:A,'ITEM LIST'!A:C,3,0)</f>
        <v>#N/A</v>
      </c>
      <c r="D1975" s="6">
        <f t="shared" si="31"/>
        <v>0</v>
      </c>
    </row>
    <row r="1976" spans="3:4" ht="15" x14ac:dyDescent="0.25">
      <c r="C1976" s="8" t="e">
        <f>VLOOKUP(A:A,'ITEM LIST'!A:C,3,0)</f>
        <v>#N/A</v>
      </c>
      <c r="D1976" s="6">
        <f t="shared" si="31"/>
        <v>0</v>
      </c>
    </row>
    <row r="1977" spans="3:4" ht="15" x14ac:dyDescent="0.25">
      <c r="C1977" s="8" t="e">
        <f>VLOOKUP(A:A,'ITEM LIST'!A:C,3,0)</f>
        <v>#N/A</v>
      </c>
      <c r="D1977" s="6">
        <f t="shared" si="31"/>
        <v>0</v>
      </c>
    </row>
    <row r="1978" spans="3:4" ht="15" x14ac:dyDescent="0.25">
      <c r="C1978" s="8" t="e">
        <f>VLOOKUP(A:A,'ITEM LIST'!A:C,3,0)</f>
        <v>#N/A</v>
      </c>
      <c r="D1978" s="6">
        <f t="shared" si="31"/>
        <v>0</v>
      </c>
    </row>
    <row r="1979" spans="3:4" ht="15" x14ac:dyDescent="0.25">
      <c r="C1979" s="8" t="e">
        <f>VLOOKUP(A:A,'ITEM LIST'!A:C,3,0)</f>
        <v>#N/A</v>
      </c>
      <c r="D1979" s="6">
        <f t="shared" si="31"/>
        <v>0</v>
      </c>
    </row>
    <row r="1980" spans="3:4" ht="15" x14ac:dyDescent="0.25">
      <c r="C1980" s="8" t="e">
        <f>VLOOKUP(A:A,'ITEM LIST'!A:C,3,0)</f>
        <v>#N/A</v>
      </c>
      <c r="D1980" s="6">
        <f t="shared" si="31"/>
        <v>0</v>
      </c>
    </row>
    <row r="1981" spans="3:4" ht="15" x14ac:dyDescent="0.25">
      <c r="C1981" s="8" t="e">
        <f>VLOOKUP(A:A,'ITEM LIST'!A:C,3,0)</f>
        <v>#N/A</v>
      </c>
      <c r="D1981" s="6">
        <f t="shared" si="31"/>
        <v>0</v>
      </c>
    </row>
    <row r="1982" spans="3:4" ht="15" x14ac:dyDescent="0.25">
      <c r="C1982" s="8" t="e">
        <f>VLOOKUP(A:A,'ITEM LIST'!A:C,3,0)</f>
        <v>#N/A</v>
      </c>
      <c r="D1982" s="6">
        <f t="shared" si="31"/>
        <v>0</v>
      </c>
    </row>
    <row r="1983" spans="3:4" ht="15" x14ac:dyDescent="0.25">
      <c r="C1983" s="8" t="e">
        <f>VLOOKUP(A:A,'ITEM LIST'!A:C,3,0)</f>
        <v>#N/A</v>
      </c>
      <c r="D1983" s="6">
        <f t="shared" si="31"/>
        <v>0</v>
      </c>
    </row>
    <row r="1984" spans="3:4" ht="15" x14ac:dyDescent="0.25">
      <c r="C1984" s="8" t="e">
        <f>VLOOKUP(A:A,'ITEM LIST'!A:C,3,0)</f>
        <v>#N/A</v>
      </c>
      <c r="D1984" s="6">
        <f t="shared" si="31"/>
        <v>0</v>
      </c>
    </row>
    <row r="1985" spans="3:4" ht="15" x14ac:dyDescent="0.25">
      <c r="C1985" s="8" t="e">
        <f>VLOOKUP(A:A,'ITEM LIST'!A:C,3,0)</f>
        <v>#N/A</v>
      </c>
      <c r="D1985" s="6">
        <f t="shared" si="31"/>
        <v>0</v>
      </c>
    </row>
    <row r="1986" spans="3:4" ht="15" x14ac:dyDescent="0.25">
      <c r="C1986" s="8" t="e">
        <f>VLOOKUP(A:A,'ITEM LIST'!A:C,3,0)</f>
        <v>#N/A</v>
      </c>
      <c r="D1986" s="6">
        <f t="shared" si="31"/>
        <v>0</v>
      </c>
    </row>
    <row r="1987" spans="3:4" ht="15" x14ac:dyDescent="0.25">
      <c r="C1987" s="8" t="e">
        <f>VLOOKUP(A:A,'ITEM LIST'!A:C,3,0)</f>
        <v>#N/A</v>
      </c>
      <c r="D1987" s="6">
        <f t="shared" si="31"/>
        <v>0</v>
      </c>
    </row>
    <row r="1988" spans="3:4" ht="15" x14ac:dyDescent="0.25">
      <c r="C1988" s="8" t="e">
        <f>VLOOKUP(A:A,'ITEM LIST'!A:C,3,0)</f>
        <v>#N/A</v>
      </c>
      <c r="D1988" s="6">
        <f t="shared" si="31"/>
        <v>0</v>
      </c>
    </row>
    <row r="1989" spans="3:4" ht="15" x14ac:dyDescent="0.25">
      <c r="C1989" s="8" t="e">
        <f>VLOOKUP(A:A,'ITEM LIST'!A:C,3,0)</f>
        <v>#N/A</v>
      </c>
      <c r="D1989" s="6">
        <f t="shared" si="31"/>
        <v>0</v>
      </c>
    </row>
    <row r="1990" spans="3:4" ht="15" x14ac:dyDescent="0.25">
      <c r="C1990" s="8" t="e">
        <f>VLOOKUP(A:A,'ITEM LIST'!A:C,3,0)</f>
        <v>#N/A</v>
      </c>
      <c r="D1990" s="6">
        <f t="shared" ref="D1990:D2053" si="32">B1990</f>
        <v>0</v>
      </c>
    </row>
    <row r="1991" spans="3:4" ht="15" x14ac:dyDescent="0.25">
      <c r="C1991" s="8" t="e">
        <f>VLOOKUP(A:A,'ITEM LIST'!A:C,3,0)</f>
        <v>#N/A</v>
      </c>
      <c r="D1991" s="6">
        <f t="shared" si="32"/>
        <v>0</v>
      </c>
    </row>
    <row r="1992" spans="3:4" ht="15" x14ac:dyDescent="0.25">
      <c r="C1992" s="8" t="e">
        <f>VLOOKUP(A:A,'ITEM LIST'!A:C,3,0)</f>
        <v>#N/A</v>
      </c>
      <c r="D1992" s="6">
        <f t="shared" si="32"/>
        <v>0</v>
      </c>
    </row>
    <row r="1993" spans="3:4" ht="15" x14ac:dyDescent="0.25">
      <c r="C1993" s="8" t="e">
        <f>VLOOKUP(A:A,'ITEM LIST'!A:C,3,0)</f>
        <v>#N/A</v>
      </c>
      <c r="D1993" s="6">
        <f t="shared" si="32"/>
        <v>0</v>
      </c>
    </row>
    <row r="1994" spans="3:4" ht="15" x14ac:dyDescent="0.25">
      <c r="C1994" s="8" t="e">
        <f>VLOOKUP(A:A,'ITEM LIST'!A:C,3,0)</f>
        <v>#N/A</v>
      </c>
      <c r="D1994" s="6">
        <f t="shared" si="32"/>
        <v>0</v>
      </c>
    </row>
    <row r="1995" spans="3:4" ht="15" x14ac:dyDescent="0.25">
      <c r="C1995" s="8" t="e">
        <f>VLOOKUP(A:A,'ITEM LIST'!A:C,3,0)</f>
        <v>#N/A</v>
      </c>
      <c r="D1995" s="6">
        <f t="shared" si="32"/>
        <v>0</v>
      </c>
    </row>
    <row r="1996" spans="3:4" ht="15" x14ac:dyDescent="0.25">
      <c r="C1996" s="8" t="e">
        <f>VLOOKUP(A:A,'ITEM LIST'!A:C,3,0)</f>
        <v>#N/A</v>
      </c>
      <c r="D1996" s="6">
        <f t="shared" si="32"/>
        <v>0</v>
      </c>
    </row>
    <row r="1997" spans="3:4" ht="15" x14ac:dyDescent="0.25">
      <c r="C1997" s="8" t="e">
        <f>VLOOKUP(A:A,'ITEM LIST'!A:C,3,0)</f>
        <v>#N/A</v>
      </c>
      <c r="D1997" s="6">
        <f t="shared" si="32"/>
        <v>0</v>
      </c>
    </row>
    <row r="1998" spans="3:4" ht="15" x14ac:dyDescent="0.25">
      <c r="C1998" s="8" t="e">
        <f>VLOOKUP(A:A,'ITEM LIST'!A:C,3,0)</f>
        <v>#N/A</v>
      </c>
      <c r="D1998" s="6">
        <f t="shared" si="32"/>
        <v>0</v>
      </c>
    </row>
    <row r="1999" spans="3:4" ht="15" x14ac:dyDescent="0.25">
      <c r="C1999" s="8" t="e">
        <f>VLOOKUP(A:A,'ITEM LIST'!A:C,3,0)</f>
        <v>#N/A</v>
      </c>
      <c r="D1999" s="6">
        <f t="shared" si="32"/>
        <v>0</v>
      </c>
    </row>
    <row r="2000" spans="3:4" ht="15" x14ac:dyDescent="0.25">
      <c r="C2000" s="8" t="e">
        <f>VLOOKUP(A:A,'ITEM LIST'!A:C,3,0)</f>
        <v>#N/A</v>
      </c>
      <c r="D2000" s="6">
        <f t="shared" si="32"/>
        <v>0</v>
      </c>
    </row>
    <row r="2001" spans="3:4" ht="15" x14ac:dyDescent="0.25">
      <c r="C2001" s="8" t="e">
        <f>VLOOKUP(A:A,'ITEM LIST'!A:C,3,0)</f>
        <v>#N/A</v>
      </c>
      <c r="D2001" s="6">
        <f t="shared" si="32"/>
        <v>0</v>
      </c>
    </row>
    <row r="2002" spans="3:4" ht="15" x14ac:dyDescent="0.25">
      <c r="C2002" s="8" t="e">
        <f>VLOOKUP(A:A,'ITEM LIST'!A:C,3,0)</f>
        <v>#N/A</v>
      </c>
      <c r="D2002" s="6">
        <f t="shared" si="32"/>
        <v>0</v>
      </c>
    </row>
    <row r="2003" spans="3:4" ht="15" x14ac:dyDescent="0.25">
      <c r="C2003" s="8" t="e">
        <f>VLOOKUP(A:A,'ITEM LIST'!A:C,3,0)</f>
        <v>#N/A</v>
      </c>
      <c r="D2003" s="6">
        <f t="shared" si="32"/>
        <v>0</v>
      </c>
    </row>
    <row r="2004" spans="3:4" ht="15" x14ac:dyDescent="0.25">
      <c r="C2004" s="8" t="e">
        <f>VLOOKUP(A:A,'ITEM LIST'!A:C,3,0)</f>
        <v>#N/A</v>
      </c>
      <c r="D2004" s="6">
        <f t="shared" si="32"/>
        <v>0</v>
      </c>
    </row>
    <row r="2005" spans="3:4" ht="15" x14ac:dyDescent="0.25">
      <c r="C2005" s="8" t="e">
        <f>VLOOKUP(A:A,'ITEM LIST'!A:C,3,0)</f>
        <v>#N/A</v>
      </c>
      <c r="D2005" s="6">
        <f t="shared" si="32"/>
        <v>0</v>
      </c>
    </row>
    <row r="2006" spans="3:4" ht="15" x14ac:dyDescent="0.25">
      <c r="C2006" s="8" t="e">
        <f>VLOOKUP(A:A,'ITEM LIST'!A:C,3,0)</f>
        <v>#N/A</v>
      </c>
      <c r="D2006" s="6">
        <f t="shared" si="32"/>
        <v>0</v>
      </c>
    </row>
    <row r="2007" spans="3:4" ht="15" x14ac:dyDescent="0.25">
      <c r="C2007" s="8" t="e">
        <f>VLOOKUP(A:A,'ITEM LIST'!A:C,3,0)</f>
        <v>#N/A</v>
      </c>
      <c r="D2007" s="6">
        <f t="shared" si="32"/>
        <v>0</v>
      </c>
    </row>
    <row r="2008" spans="3:4" ht="15" x14ac:dyDescent="0.25">
      <c r="C2008" s="8" t="e">
        <f>VLOOKUP(A:A,'ITEM LIST'!A:C,3,0)</f>
        <v>#N/A</v>
      </c>
      <c r="D2008" s="6">
        <f t="shared" si="32"/>
        <v>0</v>
      </c>
    </row>
    <row r="2009" spans="3:4" ht="15" x14ac:dyDescent="0.25">
      <c r="C2009" s="8" t="e">
        <f>VLOOKUP(A:A,'ITEM LIST'!A:C,3,0)</f>
        <v>#N/A</v>
      </c>
      <c r="D2009" s="6">
        <f t="shared" si="32"/>
        <v>0</v>
      </c>
    </row>
    <row r="2010" spans="3:4" ht="15" x14ac:dyDescent="0.25">
      <c r="C2010" s="8" t="e">
        <f>VLOOKUP(A:A,'ITEM LIST'!A:C,3,0)</f>
        <v>#N/A</v>
      </c>
      <c r="D2010" s="6">
        <f t="shared" si="32"/>
        <v>0</v>
      </c>
    </row>
    <row r="2011" spans="3:4" ht="15" x14ac:dyDescent="0.25">
      <c r="C2011" s="8" t="e">
        <f>VLOOKUP(A:A,'ITEM LIST'!A:C,3,0)</f>
        <v>#N/A</v>
      </c>
      <c r="D2011" s="6">
        <f t="shared" si="32"/>
        <v>0</v>
      </c>
    </row>
    <row r="2012" spans="3:4" ht="15" x14ac:dyDescent="0.25">
      <c r="C2012" s="8" t="e">
        <f>VLOOKUP(A:A,'ITEM LIST'!A:C,3,0)</f>
        <v>#N/A</v>
      </c>
      <c r="D2012" s="6">
        <f t="shared" si="32"/>
        <v>0</v>
      </c>
    </row>
    <row r="2013" spans="3:4" ht="15" x14ac:dyDescent="0.25">
      <c r="C2013" s="8" t="e">
        <f>VLOOKUP(A:A,'ITEM LIST'!A:C,3,0)</f>
        <v>#N/A</v>
      </c>
      <c r="D2013" s="6">
        <f t="shared" si="32"/>
        <v>0</v>
      </c>
    </row>
    <row r="2014" spans="3:4" ht="15" x14ac:dyDescent="0.25">
      <c r="C2014" s="8" t="e">
        <f>VLOOKUP(A:A,'ITEM LIST'!A:C,3,0)</f>
        <v>#N/A</v>
      </c>
      <c r="D2014" s="6">
        <f t="shared" si="32"/>
        <v>0</v>
      </c>
    </row>
    <row r="2015" spans="3:4" ht="15" x14ac:dyDescent="0.25">
      <c r="C2015" s="8" t="e">
        <f>VLOOKUP(A:A,'ITEM LIST'!A:C,3,0)</f>
        <v>#N/A</v>
      </c>
      <c r="D2015" s="6">
        <f t="shared" si="32"/>
        <v>0</v>
      </c>
    </row>
    <row r="2016" spans="3:4" ht="15" x14ac:dyDescent="0.25">
      <c r="C2016" s="8" t="e">
        <f>VLOOKUP(A:A,'ITEM LIST'!A:C,3,0)</f>
        <v>#N/A</v>
      </c>
      <c r="D2016" s="6">
        <f t="shared" si="32"/>
        <v>0</v>
      </c>
    </row>
    <row r="2017" spans="3:4" ht="15" x14ac:dyDescent="0.25">
      <c r="C2017" s="8" t="e">
        <f>VLOOKUP(A:A,'ITEM LIST'!A:C,3,0)</f>
        <v>#N/A</v>
      </c>
      <c r="D2017" s="6">
        <f t="shared" si="32"/>
        <v>0</v>
      </c>
    </row>
    <row r="2018" spans="3:4" ht="15" x14ac:dyDescent="0.25">
      <c r="C2018" s="8" t="e">
        <f>VLOOKUP(A:A,'ITEM LIST'!A:C,3,0)</f>
        <v>#N/A</v>
      </c>
      <c r="D2018" s="6">
        <f t="shared" si="32"/>
        <v>0</v>
      </c>
    </row>
    <row r="2019" spans="3:4" ht="15" x14ac:dyDescent="0.25">
      <c r="C2019" s="8" t="e">
        <f>VLOOKUP(A:A,'ITEM LIST'!A:C,3,0)</f>
        <v>#N/A</v>
      </c>
      <c r="D2019" s="6">
        <f t="shared" si="32"/>
        <v>0</v>
      </c>
    </row>
    <row r="2020" spans="3:4" ht="15" x14ac:dyDescent="0.25">
      <c r="C2020" s="8" t="e">
        <f>VLOOKUP(A:A,'ITEM LIST'!A:C,3,0)</f>
        <v>#N/A</v>
      </c>
      <c r="D2020" s="6">
        <f t="shared" si="32"/>
        <v>0</v>
      </c>
    </row>
    <row r="2021" spans="3:4" ht="15" x14ac:dyDescent="0.25">
      <c r="C2021" s="8" t="e">
        <f>VLOOKUP(A:A,'ITEM LIST'!A:C,3,0)</f>
        <v>#N/A</v>
      </c>
      <c r="D2021" s="6">
        <f t="shared" si="32"/>
        <v>0</v>
      </c>
    </row>
    <row r="2022" spans="3:4" ht="15" x14ac:dyDescent="0.25">
      <c r="C2022" s="8" t="e">
        <f>VLOOKUP(A:A,'ITEM LIST'!A:C,3,0)</f>
        <v>#N/A</v>
      </c>
      <c r="D2022" s="6">
        <f t="shared" si="32"/>
        <v>0</v>
      </c>
    </row>
    <row r="2023" spans="3:4" ht="15" x14ac:dyDescent="0.25">
      <c r="C2023" s="8" t="e">
        <f>VLOOKUP(A:A,'ITEM LIST'!A:C,3,0)</f>
        <v>#N/A</v>
      </c>
      <c r="D2023" s="6">
        <f t="shared" si="32"/>
        <v>0</v>
      </c>
    </row>
    <row r="2024" spans="3:4" ht="15" x14ac:dyDescent="0.25">
      <c r="C2024" s="8" t="e">
        <f>VLOOKUP(A:A,'ITEM LIST'!A:C,3,0)</f>
        <v>#N/A</v>
      </c>
      <c r="D2024" s="6">
        <f t="shared" si="32"/>
        <v>0</v>
      </c>
    </row>
    <row r="2025" spans="3:4" ht="15" x14ac:dyDescent="0.25">
      <c r="C2025" s="8" t="e">
        <f>VLOOKUP(A:A,'ITEM LIST'!A:C,3,0)</f>
        <v>#N/A</v>
      </c>
      <c r="D2025" s="6">
        <f t="shared" si="32"/>
        <v>0</v>
      </c>
    </row>
    <row r="2026" spans="3:4" ht="15" x14ac:dyDescent="0.25">
      <c r="C2026" s="8" t="e">
        <f>VLOOKUP(A:A,'ITEM LIST'!A:C,3,0)</f>
        <v>#N/A</v>
      </c>
      <c r="D2026" s="6">
        <f t="shared" si="32"/>
        <v>0</v>
      </c>
    </row>
    <row r="2027" spans="3:4" ht="15" x14ac:dyDescent="0.25">
      <c r="C2027" s="8" t="e">
        <f>VLOOKUP(A:A,'ITEM LIST'!A:C,3,0)</f>
        <v>#N/A</v>
      </c>
      <c r="D2027" s="6">
        <f t="shared" si="32"/>
        <v>0</v>
      </c>
    </row>
    <row r="2028" spans="3:4" ht="15" x14ac:dyDescent="0.25">
      <c r="C2028" s="8" t="e">
        <f>VLOOKUP(A:A,'ITEM LIST'!A:C,3,0)</f>
        <v>#N/A</v>
      </c>
      <c r="D2028" s="6">
        <f t="shared" si="32"/>
        <v>0</v>
      </c>
    </row>
    <row r="2029" spans="3:4" ht="15" x14ac:dyDescent="0.25">
      <c r="C2029" s="8" t="e">
        <f>VLOOKUP(A:A,'ITEM LIST'!A:C,3,0)</f>
        <v>#N/A</v>
      </c>
      <c r="D2029" s="6">
        <f t="shared" si="32"/>
        <v>0</v>
      </c>
    </row>
    <row r="2030" spans="3:4" ht="15" x14ac:dyDescent="0.25">
      <c r="C2030" s="8" t="e">
        <f>VLOOKUP(A:A,'ITEM LIST'!A:C,3,0)</f>
        <v>#N/A</v>
      </c>
      <c r="D2030" s="6">
        <f t="shared" si="32"/>
        <v>0</v>
      </c>
    </row>
    <row r="2031" spans="3:4" ht="15" x14ac:dyDescent="0.25">
      <c r="C2031" s="8" t="e">
        <f>VLOOKUP(A:A,'ITEM LIST'!A:C,3,0)</f>
        <v>#N/A</v>
      </c>
      <c r="D2031" s="6">
        <f t="shared" si="32"/>
        <v>0</v>
      </c>
    </row>
    <row r="2032" spans="3:4" ht="15" x14ac:dyDescent="0.25">
      <c r="C2032" s="8" t="e">
        <f>VLOOKUP(A:A,'ITEM LIST'!A:C,3,0)</f>
        <v>#N/A</v>
      </c>
      <c r="D2032" s="6">
        <f t="shared" si="32"/>
        <v>0</v>
      </c>
    </row>
    <row r="2033" spans="3:4" ht="15" x14ac:dyDescent="0.25">
      <c r="C2033" s="8" t="e">
        <f>VLOOKUP(A:A,'ITEM LIST'!A:C,3,0)</f>
        <v>#N/A</v>
      </c>
      <c r="D2033" s="6">
        <f t="shared" si="32"/>
        <v>0</v>
      </c>
    </row>
    <row r="2034" spans="3:4" ht="15" x14ac:dyDescent="0.25">
      <c r="C2034" s="8" t="e">
        <f>VLOOKUP(A:A,'ITEM LIST'!A:C,3,0)</f>
        <v>#N/A</v>
      </c>
      <c r="D2034" s="6">
        <f t="shared" si="32"/>
        <v>0</v>
      </c>
    </row>
    <row r="2035" spans="3:4" ht="15" x14ac:dyDescent="0.25">
      <c r="C2035" s="8" t="e">
        <f>VLOOKUP(A:A,'ITEM LIST'!A:C,3,0)</f>
        <v>#N/A</v>
      </c>
      <c r="D2035" s="6">
        <f t="shared" si="32"/>
        <v>0</v>
      </c>
    </row>
    <row r="2036" spans="3:4" ht="15" x14ac:dyDescent="0.25">
      <c r="C2036" s="8" t="e">
        <f>VLOOKUP(A:A,'ITEM LIST'!A:C,3,0)</f>
        <v>#N/A</v>
      </c>
      <c r="D2036" s="6">
        <f t="shared" si="32"/>
        <v>0</v>
      </c>
    </row>
    <row r="2037" spans="3:4" ht="15" x14ac:dyDescent="0.25">
      <c r="C2037" s="8" t="e">
        <f>VLOOKUP(A:A,'ITEM LIST'!A:C,3,0)</f>
        <v>#N/A</v>
      </c>
      <c r="D2037" s="6">
        <f t="shared" si="32"/>
        <v>0</v>
      </c>
    </row>
    <row r="2038" spans="3:4" ht="15" x14ac:dyDescent="0.25">
      <c r="C2038" s="8" t="e">
        <f>VLOOKUP(A:A,'ITEM LIST'!A:C,3,0)</f>
        <v>#N/A</v>
      </c>
      <c r="D2038" s="6">
        <f t="shared" si="32"/>
        <v>0</v>
      </c>
    </row>
    <row r="2039" spans="3:4" ht="15" x14ac:dyDescent="0.25">
      <c r="C2039" s="8" t="e">
        <f>VLOOKUP(A:A,'ITEM LIST'!A:C,3,0)</f>
        <v>#N/A</v>
      </c>
      <c r="D2039" s="6">
        <f t="shared" si="32"/>
        <v>0</v>
      </c>
    </row>
    <row r="2040" spans="3:4" ht="15" x14ac:dyDescent="0.25">
      <c r="C2040" s="8" t="e">
        <f>VLOOKUP(A:A,'ITEM LIST'!A:C,3,0)</f>
        <v>#N/A</v>
      </c>
      <c r="D2040" s="6">
        <f t="shared" si="32"/>
        <v>0</v>
      </c>
    </row>
    <row r="2041" spans="3:4" ht="15" x14ac:dyDescent="0.25">
      <c r="C2041" s="8" t="e">
        <f>VLOOKUP(A:A,'ITEM LIST'!A:C,3,0)</f>
        <v>#N/A</v>
      </c>
      <c r="D2041" s="6">
        <f t="shared" si="32"/>
        <v>0</v>
      </c>
    </row>
    <row r="2042" spans="3:4" ht="15" x14ac:dyDescent="0.25">
      <c r="C2042" s="8" t="e">
        <f>VLOOKUP(A:A,'ITEM LIST'!A:C,3,0)</f>
        <v>#N/A</v>
      </c>
      <c r="D2042" s="6">
        <f t="shared" si="32"/>
        <v>0</v>
      </c>
    </row>
    <row r="2043" spans="3:4" ht="15" x14ac:dyDescent="0.25">
      <c r="C2043" s="8" t="e">
        <f>VLOOKUP(A:A,'ITEM LIST'!A:C,3,0)</f>
        <v>#N/A</v>
      </c>
      <c r="D2043" s="6">
        <f t="shared" si="32"/>
        <v>0</v>
      </c>
    </row>
    <row r="2044" spans="3:4" ht="15" x14ac:dyDescent="0.25">
      <c r="C2044" s="8" t="e">
        <f>VLOOKUP(A:A,'ITEM LIST'!A:C,3,0)</f>
        <v>#N/A</v>
      </c>
      <c r="D2044" s="6">
        <f t="shared" si="32"/>
        <v>0</v>
      </c>
    </row>
    <row r="2045" spans="3:4" ht="15" x14ac:dyDescent="0.25">
      <c r="C2045" s="8" t="e">
        <f>VLOOKUP(A:A,'ITEM LIST'!A:C,3,0)</f>
        <v>#N/A</v>
      </c>
      <c r="D2045" s="6">
        <f t="shared" si="32"/>
        <v>0</v>
      </c>
    </row>
    <row r="2046" spans="3:4" ht="15" x14ac:dyDescent="0.25">
      <c r="C2046" s="8" t="e">
        <f>VLOOKUP(A:A,'ITEM LIST'!A:C,3,0)</f>
        <v>#N/A</v>
      </c>
      <c r="D2046" s="6">
        <f t="shared" si="32"/>
        <v>0</v>
      </c>
    </row>
    <row r="2047" spans="3:4" ht="15" x14ac:dyDescent="0.25">
      <c r="C2047" s="8" t="e">
        <f>VLOOKUP(A:A,'ITEM LIST'!A:C,3,0)</f>
        <v>#N/A</v>
      </c>
      <c r="D2047" s="6">
        <f t="shared" si="32"/>
        <v>0</v>
      </c>
    </row>
    <row r="2048" spans="3:4" ht="15" x14ac:dyDescent="0.25">
      <c r="C2048" s="8" t="e">
        <f>VLOOKUP(A:A,'ITEM LIST'!A:C,3,0)</f>
        <v>#N/A</v>
      </c>
      <c r="D2048" s="6">
        <f t="shared" si="32"/>
        <v>0</v>
      </c>
    </row>
    <row r="2049" spans="3:4" ht="15" x14ac:dyDescent="0.25">
      <c r="C2049" s="8" t="e">
        <f>VLOOKUP(A:A,'ITEM LIST'!A:C,3,0)</f>
        <v>#N/A</v>
      </c>
      <c r="D2049" s="6">
        <f t="shared" si="32"/>
        <v>0</v>
      </c>
    </row>
    <row r="2050" spans="3:4" ht="15" x14ac:dyDescent="0.25">
      <c r="C2050" s="8" t="e">
        <f>VLOOKUP(A:A,'ITEM LIST'!A:C,3,0)</f>
        <v>#N/A</v>
      </c>
      <c r="D2050" s="6">
        <f t="shared" si="32"/>
        <v>0</v>
      </c>
    </row>
    <row r="2051" spans="3:4" ht="15" x14ac:dyDescent="0.25">
      <c r="C2051" s="8" t="e">
        <f>VLOOKUP(A:A,'ITEM LIST'!A:C,3,0)</f>
        <v>#N/A</v>
      </c>
      <c r="D2051" s="6">
        <f t="shared" si="32"/>
        <v>0</v>
      </c>
    </row>
    <row r="2052" spans="3:4" ht="15" x14ac:dyDescent="0.25">
      <c r="C2052" s="8" t="e">
        <f>VLOOKUP(A:A,'ITEM LIST'!A:C,3,0)</f>
        <v>#N/A</v>
      </c>
      <c r="D2052" s="6">
        <f t="shared" si="32"/>
        <v>0</v>
      </c>
    </row>
    <row r="2053" spans="3:4" ht="15" x14ac:dyDescent="0.25">
      <c r="C2053" s="8" t="e">
        <f>VLOOKUP(A:A,'ITEM LIST'!A:C,3,0)</f>
        <v>#N/A</v>
      </c>
      <c r="D2053" s="6">
        <f t="shared" si="32"/>
        <v>0</v>
      </c>
    </row>
    <row r="2054" spans="3:4" ht="15" x14ac:dyDescent="0.25">
      <c r="C2054" s="8" t="e">
        <f>VLOOKUP(A:A,'ITEM LIST'!A:C,3,0)</f>
        <v>#N/A</v>
      </c>
      <c r="D2054" s="6">
        <f t="shared" ref="D2054:D2117" si="33">B2054</f>
        <v>0</v>
      </c>
    </row>
    <row r="2055" spans="3:4" ht="15" x14ac:dyDescent="0.25">
      <c r="C2055" s="8" t="e">
        <f>VLOOKUP(A:A,'ITEM LIST'!A:C,3,0)</f>
        <v>#N/A</v>
      </c>
      <c r="D2055" s="6">
        <f t="shared" si="33"/>
        <v>0</v>
      </c>
    </row>
    <row r="2056" spans="3:4" ht="15" x14ac:dyDescent="0.25">
      <c r="C2056" s="8" t="e">
        <f>VLOOKUP(A:A,'ITEM LIST'!A:C,3,0)</f>
        <v>#N/A</v>
      </c>
      <c r="D2056" s="6">
        <f t="shared" si="33"/>
        <v>0</v>
      </c>
    </row>
    <row r="2057" spans="3:4" ht="15" x14ac:dyDescent="0.25">
      <c r="C2057" s="8" t="e">
        <f>VLOOKUP(A:A,'ITEM LIST'!A:C,3,0)</f>
        <v>#N/A</v>
      </c>
      <c r="D2057" s="6">
        <f t="shared" si="33"/>
        <v>0</v>
      </c>
    </row>
    <row r="2058" spans="3:4" ht="15" x14ac:dyDescent="0.25">
      <c r="C2058" s="8" t="e">
        <f>VLOOKUP(A:A,'ITEM LIST'!A:C,3,0)</f>
        <v>#N/A</v>
      </c>
      <c r="D2058" s="6">
        <f t="shared" si="33"/>
        <v>0</v>
      </c>
    </row>
    <row r="2059" spans="3:4" ht="15" x14ac:dyDescent="0.25">
      <c r="C2059" s="8" t="e">
        <f>VLOOKUP(A:A,'ITEM LIST'!A:C,3,0)</f>
        <v>#N/A</v>
      </c>
      <c r="D2059" s="6">
        <f t="shared" si="33"/>
        <v>0</v>
      </c>
    </row>
    <row r="2060" spans="3:4" ht="15" x14ac:dyDescent="0.25">
      <c r="C2060" s="8" t="e">
        <f>VLOOKUP(A:A,'ITEM LIST'!A:C,3,0)</f>
        <v>#N/A</v>
      </c>
      <c r="D2060" s="6">
        <f t="shared" si="33"/>
        <v>0</v>
      </c>
    </row>
    <row r="2061" spans="3:4" ht="15" x14ac:dyDescent="0.25">
      <c r="C2061" s="8" t="e">
        <f>VLOOKUP(A:A,'ITEM LIST'!A:C,3,0)</f>
        <v>#N/A</v>
      </c>
      <c r="D2061" s="6">
        <f t="shared" si="33"/>
        <v>0</v>
      </c>
    </row>
    <row r="2062" spans="3:4" ht="15" x14ac:dyDescent="0.25">
      <c r="C2062" s="8" t="e">
        <f>VLOOKUP(A:A,'ITEM LIST'!A:C,3,0)</f>
        <v>#N/A</v>
      </c>
      <c r="D2062" s="6">
        <f t="shared" si="33"/>
        <v>0</v>
      </c>
    </row>
    <row r="2063" spans="3:4" ht="15" x14ac:dyDescent="0.25">
      <c r="C2063" s="8" t="e">
        <f>VLOOKUP(A:A,'ITEM LIST'!A:C,3,0)</f>
        <v>#N/A</v>
      </c>
      <c r="D2063" s="6">
        <f t="shared" si="33"/>
        <v>0</v>
      </c>
    </row>
    <row r="2064" spans="3:4" ht="15" x14ac:dyDescent="0.25">
      <c r="C2064" s="8" t="e">
        <f>VLOOKUP(A:A,'ITEM LIST'!A:C,3,0)</f>
        <v>#N/A</v>
      </c>
      <c r="D2064" s="6">
        <f t="shared" si="33"/>
        <v>0</v>
      </c>
    </row>
    <row r="2065" spans="3:4" ht="15" x14ac:dyDescent="0.25">
      <c r="C2065" s="8" t="e">
        <f>VLOOKUP(A:A,'ITEM LIST'!A:C,3,0)</f>
        <v>#N/A</v>
      </c>
      <c r="D2065" s="6">
        <f t="shared" si="33"/>
        <v>0</v>
      </c>
    </row>
    <row r="2066" spans="3:4" ht="15" x14ac:dyDescent="0.25">
      <c r="C2066" s="8" t="e">
        <f>VLOOKUP(A:A,'ITEM LIST'!A:C,3,0)</f>
        <v>#N/A</v>
      </c>
      <c r="D2066" s="6">
        <f t="shared" si="33"/>
        <v>0</v>
      </c>
    </row>
    <row r="2067" spans="3:4" ht="15" x14ac:dyDescent="0.25">
      <c r="C2067" s="8" t="e">
        <f>VLOOKUP(A:A,'ITEM LIST'!A:C,3,0)</f>
        <v>#N/A</v>
      </c>
      <c r="D2067" s="6">
        <f t="shared" si="33"/>
        <v>0</v>
      </c>
    </row>
    <row r="2068" spans="3:4" ht="15" x14ac:dyDescent="0.25">
      <c r="C2068" s="8" t="e">
        <f>VLOOKUP(A:A,'ITEM LIST'!A:C,3,0)</f>
        <v>#N/A</v>
      </c>
      <c r="D2068" s="6">
        <f t="shared" si="33"/>
        <v>0</v>
      </c>
    </row>
    <row r="2069" spans="3:4" ht="15" x14ac:dyDescent="0.25">
      <c r="C2069" s="8" t="e">
        <f>VLOOKUP(A:A,'ITEM LIST'!A:C,3,0)</f>
        <v>#N/A</v>
      </c>
      <c r="D2069" s="6">
        <f t="shared" si="33"/>
        <v>0</v>
      </c>
    </row>
    <row r="2070" spans="3:4" ht="15" x14ac:dyDescent="0.25">
      <c r="C2070" s="8" t="e">
        <f>VLOOKUP(A:A,'ITEM LIST'!A:C,3,0)</f>
        <v>#N/A</v>
      </c>
      <c r="D2070" s="6">
        <f t="shared" si="33"/>
        <v>0</v>
      </c>
    </row>
    <row r="2071" spans="3:4" ht="15" x14ac:dyDescent="0.25">
      <c r="C2071" s="8" t="e">
        <f>VLOOKUP(A:A,'ITEM LIST'!A:C,3,0)</f>
        <v>#N/A</v>
      </c>
      <c r="D2071" s="6">
        <f t="shared" si="33"/>
        <v>0</v>
      </c>
    </row>
    <row r="2072" spans="3:4" ht="15" x14ac:dyDescent="0.25">
      <c r="C2072" s="8" t="e">
        <f>VLOOKUP(A:A,'ITEM LIST'!A:C,3,0)</f>
        <v>#N/A</v>
      </c>
      <c r="D2072" s="6">
        <f t="shared" si="33"/>
        <v>0</v>
      </c>
    </row>
    <row r="2073" spans="3:4" ht="15" x14ac:dyDescent="0.25">
      <c r="C2073" s="8" t="e">
        <f>VLOOKUP(A:A,'ITEM LIST'!A:C,3,0)</f>
        <v>#N/A</v>
      </c>
      <c r="D2073" s="6">
        <f t="shared" si="33"/>
        <v>0</v>
      </c>
    </row>
    <row r="2074" spans="3:4" ht="15" x14ac:dyDescent="0.25">
      <c r="C2074" s="8" t="e">
        <f>VLOOKUP(A:A,'ITEM LIST'!A:C,3,0)</f>
        <v>#N/A</v>
      </c>
      <c r="D2074" s="6">
        <f t="shared" si="33"/>
        <v>0</v>
      </c>
    </row>
    <row r="2075" spans="3:4" ht="15" x14ac:dyDescent="0.25">
      <c r="C2075" s="8" t="e">
        <f>VLOOKUP(A:A,'ITEM LIST'!A:C,3,0)</f>
        <v>#N/A</v>
      </c>
      <c r="D2075" s="6">
        <f t="shared" si="33"/>
        <v>0</v>
      </c>
    </row>
    <row r="2076" spans="3:4" ht="15" x14ac:dyDescent="0.25">
      <c r="C2076" s="8" t="e">
        <f>VLOOKUP(A:A,'ITEM LIST'!A:C,3,0)</f>
        <v>#N/A</v>
      </c>
      <c r="D2076" s="6">
        <f t="shared" si="33"/>
        <v>0</v>
      </c>
    </row>
    <row r="2077" spans="3:4" ht="15" x14ac:dyDescent="0.25">
      <c r="C2077" s="8" t="e">
        <f>VLOOKUP(A:A,'ITEM LIST'!A:C,3,0)</f>
        <v>#N/A</v>
      </c>
      <c r="D2077" s="6">
        <f t="shared" si="33"/>
        <v>0</v>
      </c>
    </row>
    <row r="2078" spans="3:4" ht="15" x14ac:dyDescent="0.25">
      <c r="C2078" s="8" t="e">
        <f>VLOOKUP(A:A,'ITEM LIST'!A:C,3,0)</f>
        <v>#N/A</v>
      </c>
      <c r="D2078" s="6">
        <f t="shared" si="33"/>
        <v>0</v>
      </c>
    </row>
    <row r="2079" spans="3:4" ht="15" x14ac:dyDescent="0.25">
      <c r="C2079" s="8" t="e">
        <f>VLOOKUP(A:A,'ITEM LIST'!A:C,3,0)</f>
        <v>#N/A</v>
      </c>
      <c r="D2079" s="6">
        <f t="shared" si="33"/>
        <v>0</v>
      </c>
    </row>
    <row r="2080" spans="3:4" ht="15" x14ac:dyDescent="0.25">
      <c r="C2080" s="8" t="e">
        <f>VLOOKUP(A:A,'ITEM LIST'!A:C,3,0)</f>
        <v>#N/A</v>
      </c>
      <c r="D2080" s="6">
        <f t="shared" si="33"/>
        <v>0</v>
      </c>
    </row>
    <row r="2081" spans="3:4" ht="15" x14ac:dyDescent="0.25">
      <c r="C2081" s="8" t="e">
        <f>VLOOKUP(A:A,'ITEM LIST'!A:C,3,0)</f>
        <v>#N/A</v>
      </c>
      <c r="D2081" s="6">
        <f t="shared" si="33"/>
        <v>0</v>
      </c>
    </row>
    <row r="2082" spans="3:4" ht="15" x14ac:dyDescent="0.25">
      <c r="C2082" s="8" t="e">
        <f>VLOOKUP(A:A,'ITEM LIST'!A:C,3,0)</f>
        <v>#N/A</v>
      </c>
      <c r="D2082" s="6">
        <f t="shared" si="33"/>
        <v>0</v>
      </c>
    </row>
    <row r="2083" spans="3:4" ht="15" x14ac:dyDescent="0.25">
      <c r="C2083" s="8" t="e">
        <f>VLOOKUP(A:A,'ITEM LIST'!A:C,3,0)</f>
        <v>#N/A</v>
      </c>
      <c r="D2083" s="6">
        <f t="shared" si="33"/>
        <v>0</v>
      </c>
    </row>
    <row r="2084" spans="3:4" ht="15" x14ac:dyDescent="0.25">
      <c r="C2084" s="8" t="e">
        <f>VLOOKUP(A:A,'ITEM LIST'!A:C,3,0)</f>
        <v>#N/A</v>
      </c>
      <c r="D2084" s="6">
        <f t="shared" si="33"/>
        <v>0</v>
      </c>
    </row>
    <row r="2085" spans="3:4" ht="15" x14ac:dyDescent="0.25">
      <c r="C2085" s="8" t="e">
        <f>VLOOKUP(A:A,'ITEM LIST'!A:C,3,0)</f>
        <v>#N/A</v>
      </c>
      <c r="D2085" s="6">
        <f t="shared" si="33"/>
        <v>0</v>
      </c>
    </row>
    <row r="2086" spans="3:4" ht="15" x14ac:dyDescent="0.25">
      <c r="C2086" s="8" t="e">
        <f>VLOOKUP(A:A,'ITEM LIST'!A:C,3,0)</f>
        <v>#N/A</v>
      </c>
      <c r="D2086" s="6">
        <f t="shared" si="33"/>
        <v>0</v>
      </c>
    </row>
    <row r="2087" spans="3:4" ht="15" x14ac:dyDescent="0.25">
      <c r="C2087" s="8" t="e">
        <f>VLOOKUP(A:A,'ITEM LIST'!A:C,3,0)</f>
        <v>#N/A</v>
      </c>
      <c r="D2087" s="6">
        <f t="shared" si="33"/>
        <v>0</v>
      </c>
    </row>
    <row r="2088" spans="3:4" ht="15" x14ac:dyDescent="0.25">
      <c r="C2088" s="8" t="e">
        <f>VLOOKUP(A:A,'ITEM LIST'!A:C,3,0)</f>
        <v>#N/A</v>
      </c>
      <c r="D2088" s="6">
        <f t="shared" si="33"/>
        <v>0</v>
      </c>
    </row>
    <row r="2089" spans="3:4" ht="15" x14ac:dyDescent="0.25">
      <c r="C2089" s="8" t="e">
        <f>VLOOKUP(A:A,'ITEM LIST'!A:C,3,0)</f>
        <v>#N/A</v>
      </c>
      <c r="D2089" s="6">
        <f t="shared" si="33"/>
        <v>0</v>
      </c>
    </row>
    <row r="2090" spans="3:4" ht="15" x14ac:dyDescent="0.25">
      <c r="C2090" s="8" t="e">
        <f>VLOOKUP(A:A,'ITEM LIST'!A:C,3,0)</f>
        <v>#N/A</v>
      </c>
      <c r="D2090" s="6">
        <f t="shared" si="33"/>
        <v>0</v>
      </c>
    </row>
    <row r="2091" spans="3:4" ht="15" x14ac:dyDescent="0.25">
      <c r="C2091" s="8" t="e">
        <f>VLOOKUP(A:A,'ITEM LIST'!A:C,3,0)</f>
        <v>#N/A</v>
      </c>
      <c r="D2091" s="6">
        <f t="shared" si="33"/>
        <v>0</v>
      </c>
    </row>
    <row r="2092" spans="3:4" ht="15" x14ac:dyDescent="0.25">
      <c r="C2092" s="8" t="e">
        <f>VLOOKUP(A:A,'ITEM LIST'!A:C,3,0)</f>
        <v>#N/A</v>
      </c>
      <c r="D2092" s="6">
        <f t="shared" si="33"/>
        <v>0</v>
      </c>
    </row>
    <row r="2093" spans="3:4" ht="15" x14ac:dyDescent="0.25">
      <c r="C2093" s="8" t="e">
        <f>VLOOKUP(A:A,'ITEM LIST'!A:C,3,0)</f>
        <v>#N/A</v>
      </c>
      <c r="D2093" s="6">
        <f t="shared" si="33"/>
        <v>0</v>
      </c>
    </row>
    <row r="2094" spans="3:4" ht="15" x14ac:dyDescent="0.25">
      <c r="C2094" s="8" t="e">
        <f>VLOOKUP(A:A,'ITEM LIST'!A:C,3,0)</f>
        <v>#N/A</v>
      </c>
      <c r="D2094" s="6">
        <f t="shared" si="33"/>
        <v>0</v>
      </c>
    </row>
    <row r="2095" spans="3:4" ht="15" x14ac:dyDescent="0.25">
      <c r="C2095" s="8" t="e">
        <f>VLOOKUP(A:A,'ITEM LIST'!A:C,3,0)</f>
        <v>#N/A</v>
      </c>
      <c r="D2095" s="6">
        <f t="shared" si="33"/>
        <v>0</v>
      </c>
    </row>
    <row r="2096" spans="3:4" ht="15" x14ac:dyDescent="0.25">
      <c r="C2096" s="8" t="e">
        <f>VLOOKUP(A:A,'ITEM LIST'!A:C,3,0)</f>
        <v>#N/A</v>
      </c>
      <c r="D2096" s="6">
        <f t="shared" si="33"/>
        <v>0</v>
      </c>
    </row>
    <row r="2097" spans="3:4" ht="15" x14ac:dyDescent="0.25">
      <c r="C2097" s="8" t="e">
        <f>VLOOKUP(A:A,'ITEM LIST'!A:C,3,0)</f>
        <v>#N/A</v>
      </c>
      <c r="D2097" s="6">
        <f t="shared" si="33"/>
        <v>0</v>
      </c>
    </row>
    <row r="2098" spans="3:4" ht="15" x14ac:dyDescent="0.25">
      <c r="C2098" s="8" t="e">
        <f>VLOOKUP(A:A,'ITEM LIST'!A:C,3,0)</f>
        <v>#N/A</v>
      </c>
      <c r="D2098" s="6">
        <f t="shared" si="33"/>
        <v>0</v>
      </c>
    </row>
    <row r="2099" spans="3:4" ht="15" x14ac:dyDescent="0.25">
      <c r="C2099" s="8" t="e">
        <f>VLOOKUP(A:A,'ITEM LIST'!A:C,3,0)</f>
        <v>#N/A</v>
      </c>
      <c r="D2099" s="6">
        <f t="shared" si="33"/>
        <v>0</v>
      </c>
    </row>
    <row r="2100" spans="3:4" ht="15" x14ac:dyDescent="0.25">
      <c r="C2100" s="8" t="e">
        <f>VLOOKUP(A:A,'ITEM LIST'!A:C,3,0)</f>
        <v>#N/A</v>
      </c>
      <c r="D2100" s="6">
        <f t="shared" si="33"/>
        <v>0</v>
      </c>
    </row>
    <row r="2101" spans="3:4" ht="15" x14ac:dyDescent="0.25">
      <c r="C2101" s="8" t="e">
        <f>VLOOKUP(A:A,'ITEM LIST'!A:C,3,0)</f>
        <v>#N/A</v>
      </c>
      <c r="D2101" s="6">
        <f t="shared" si="33"/>
        <v>0</v>
      </c>
    </row>
    <row r="2102" spans="3:4" ht="15" x14ac:dyDescent="0.25">
      <c r="C2102" s="8" t="e">
        <f>VLOOKUP(A:A,'ITEM LIST'!A:C,3,0)</f>
        <v>#N/A</v>
      </c>
      <c r="D2102" s="6">
        <f t="shared" si="33"/>
        <v>0</v>
      </c>
    </row>
    <row r="2103" spans="3:4" ht="15" x14ac:dyDescent="0.25">
      <c r="C2103" s="8" t="e">
        <f>VLOOKUP(A:A,'ITEM LIST'!A:C,3,0)</f>
        <v>#N/A</v>
      </c>
      <c r="D2103" s="6">
        <f t="shared" si="33"/>
        <v>0</v>
      </c>
    </row>
    <row r="2104" spans="3:4" ht="15" x14ac:dyDescent="0.25">
      <c r="C2104" s="8" t="e">
        <f>VLOOKUP(A:A,'ITEM LIST'!A:C,3,0)</f>
        <v>#N/A</v>
      </c>
      <c r="D2104" s="6">
        <f t="shared" si="33"/>
        <v>0</v>
      </c>
    </row>
    <row r="2105" spans="3:4" ht="15" x14ac:dyDescent="0.25">
      <c r="C2105" s="8" t="e">
        <f>VLOOKUP(A:A,'ITEM LIST'!A:C,3,0)</f>
        <v>#N/A</v>
      </c>
      <c r="D2105" s="6">
        <f t="shared" si="33"/>
        <v>0</v>
      </c>
    </row>
    <row r="2106" spans="3:4" ht="15" x14ac:dyDescent="0.25">
      <c r="C2106" s="8" t="e">
        <f>VLOOKUP(A:A,'ITEM LIST'!A:C,3,0)</f>
        <v>#N/A</v>
      </c>
      <c r="D2106" s="6">
        <f t="shared" si="33"/>
        <v>0</v>
      </c>
    </row>
    <row r="2107" spans="3:4" ht="15" x14ac:dyDescent="0.25">
      <c r="C2107" s="8" t="e">
        <f>VLOOKUP(A:A,'ITEM LIST'!A:C,3,0)</f>
        <v>#N/A</v>
      </c>
      <c r="D2107" s="6">
        <f t="shared" si="33"/>
        <v>0</v>
      </c>
    </row>
    <row r="2108" spans="3:4" ht="15" x14ac:dyDescent="0.25">
      <c r="C2108" s="8" t="e">
        <f>VLOOKUP(A:A,'ITEM LIST'!A:C,3,0)</f>
        <v>#N/A</v>
      </c>
      <c r="D2108" s="6">
        <f t="shared" si="33"/>
        <v>0</v>
      </c>
    </row>
    <row r="2109" spans="3:4" ht="15" x14ac:dyDescent="0.25">
      <c r="C2109" s="8" t="e">
        <f>VLOOKUP(A:A,'ITEM LIST'!A:C,3,0)</f>
        <v>#N/A</v>
      </c>
      <c r="D2109" s="6">
        <f t="shared" si="33"/>
        <v>0</v>
      </c>
    </row>
    <row r="2110" spans="3:4" ht="15" x14ac:dyDescent="0.25">
      <c r="C2110" s="8" t="e">
        <f>VLOOKUP(A:A,'ITEM LIST'!A:C,3,0)</f>
        <v>#N/A</v>
      </c>
      <c r="D2110" s="6">
        <f t="shared" si="33"/>
        <v>0</v>
      </c>
    </row>
    <row r="2111" spans="3:4" ht="15" x14ac:dyDescent="0.25">
      <c r="C2111" s="8" t="e">
        <f>VLOOKUP(A:A,'ITEM LIST'!A:C,3,0)</f>
        <v>#N/A</v>
      </c>
      <c r="D2111" s="6">
        <f t="shared" si="33"/>
        <v>0</v>
      </c>
    </row>
    <row r="2112" spans="3:4" ht="15" x14ac:dyDescent="0.25">
      <c r="C2112" s="8" t="e">
        <f>VLOOKUP(A:A,'ITEM LIST'!A:C,3,0)</f>
        <v>#N/A</v>
      </c>
      <c r="D2112" s="6">
        <f t="shared" si="33"/>
        <v>0</v>
      </c>
    </row>
    <row r="2113" spans="3:4" ht="15" x14ac:dyDescent="0.25">
      <c r="C2113" s="8" t="e">
        <f>VLOOKUP(A:A,'ITEM LIST'!A:C,3,0)</f>
        <v>#N/A</v>
      </c>
      <c r="D2113" s="6">
        <f t="shared" si="33"/>
        <v>0</v>
      </c>
    </row>
    <row r="2114" spans="3:4" ht="15" x14ac:dyDescent="0.25">
      <c r="C2114" s="8" t="e">
        <f>VLOOKUP(A:A,'ITEM LIST'!A:C,3,0)</f>
        <v>#N/A</v>
      </c>
      <c r="D2114" s="6">
        <f t="shared" si="33"/>
        <v>0</v>
      </c>
    </row>
    <row r="2115" spans="3:4" ht="15" x14ac:dyDescent="0.25">
      <c r="C2115" s="8" t="e">
        <f>VLOOKUP(A:A,'ITEM LIST'!A:C,3,0)</f>
        <v>#N/A</v>
      </c>
      <c r="D2115" s="6">
        <f t="shared" si="33"/>
        <v>0</v>
      </c>
    </row>
    <row r="2116" spans="3:4" ht="15" x14ac:dyDescent="0.25">
      <c r="C2116" s="8" t="e">
        <f>VLOOKUP(A:A,'ITEM LIST'!A:C,3,0)</f>
        <v>#N/A</v>
      </c>
      <c r="D2116" s="6">
        <f t="shared" si="33"/>
        <v>0</v>
      </c>
    </row>
    <row r="2117" spans="3:4" ht="15" x14ac:dyDescent="0.25">
      <c r="C2117" s="8" t="e">
        <f>VLOOKUP(A:A,'ITEM LIST'!A:C,3,0)</f>
        <v>#N/A</v>
      </c>
      <c r="D2117" s="6">
        <f t="shared" si="33"/>
        <v>0</v>
      </c>
    </row>
    <row r="2118" spans="3:4" ht="15" x14ac:dyDescent="0.25">
      <c r="C2118" s="8" t="e">
        <f>VLOOKUP(A:A,'ITEM LIST'!A:C,3,0)</f>
        <v>#N/A</v>
      </c>
      <c r="D2118" s="6">
        <f t="shared" ref="D2118:D2181" si="34">B2118</f>
        <v>0</v>
      </c>
    </row>
    <row r="2119" spans="3:4" ht="15" x14ac:dyDescent="0.25">
      <c r="C2119" s="8" t="e">
        <f>VLOOKUP(A:A,'ITEM LIST'!A:C,3,0)</f>
        <v>#N/A</v>
      </c>
      <c r="D2119" s="6">
        <f t="shared" si="34"/>
        <v>0</v>
      </c>
    </row>
    <row r="2120" spans="3:4" ht="15" x14ac:dyDescent="0.25">
      <c r="C2120" s="8" t="e">
        <f>VLOOKUP(A:A,'ITEM LIST'!A:C,3,0)</f>
        <v>#N/A</v>
      </c>
      <c r="D2120" s="6">
        <f t="shared" si="34"/>
        <v>0</v>
      </c>
    </row>
    <row r="2121" spans="3:4" ht="15" x14ac:dyDescent="0.25">
      <c r="C2121" s="8" t="e">
        <f>VLOOKUP(A:A,'ITEM LIST'!A:C,3,0)</f>
        <v>#N/A</v>
      </c>
      <c r="D2121" s="6">
        <f t="shared" si="34"/>
        <v>0</v>
      </c>
    </row>
    <row r="2122" spans="3:4" ht="15" x14ac:dyDescent="0.25">
      <c r="C2122" s="8" t="e">
        <f>VLOOKUP(A:A,'ITEM LIST'!A:C,3,0)</f>
        <v>#N/A</v>
      </c>
      <c r="D2122" s="6">
        <f t="shared" si="34"/>
        <v>0</v>
      </c>
    </row>
    <row r="2123" spans="3:4" ht="15" x14ac:dyDescent="0.25">
      <c r="C2123" s="8" t="e">
        <f>VLOOKUP(A:A,'ITEM LIST'!A:C,3,0)</f>
        <v>#N/A</v>
      </c>
      <c r="D2123" s="6">
        <f t="shared" si="34"/>
        <v>0</v>
      </c>
    </row>
    <row r="2124" spans="3:4" ht="15" x14ac:dyDescent="0.25">
      <c r="C2124" s="8" t="e">
        <f>VLOOKUP(A:A,'ITEM LIST'!A:C,3,0)</f>
        <v>#N/A</v>
      </c>
      <c r="D2124" s="6">
        <f t="shared" si="34"/>
        <v>0</v>
      </c>
    </row>
    <row r="2125" spans="3:4" ht="15" x14ac:dyDescent="0.25">
      <c r="C2125" s="8" t="e">
        <f>VLOOKUP(A:A,'ITEM LIST'!A:C,3,0)</f>
        <v>#N/A</v>
      </c>
      <c r="D2125" s="6">
        <f t="shared" si="34"/>
        <v>0</v>
      </c>
    </row>
    <row r="2126" spans="3:4" ht="15" x14ac:dyDescent="0.25">
      <c r="C2126" s="8" t="e">
        <f>VLOOKUP(A:A,'ITEM LIST'!A:C,3,0)</f>
        <v>#N/A</v>
      </c>
      <c r="D2126" s="6">
        <f t="shared" si="34"/>
        <v>0</v>
      </c>
    </row>
    <row r="2127" spans="3:4" ht="15" x14ac:dyDescent="0.25">
      <c r="C2127" s="8" t="e">
        <f>VLOOKUP(A:A,'ITEM LIST'!A:C,3,0)</f>
        <v>#N/A</v>
      </c>
      <c r="D2127" s="6">
        <f t="shared" si="34"/>
        <v>0</v>
      </c>
    </row>
    <row r="2128" spans="3:4" ht="15" x14ac:dyDescent="0.25">
      <c r="C2128" s="8" t="e">
        <f>VLOOKUP(A:A,'ITEM LIST'!A:C,3,0)</f>
        <v>#N/A</v>
      </c>
      <c r="D2128" s="6">
        <f t="shared" si="34"/>
        <v>0</v>
      </c>
    </row>
    <row r="2129" spans="3:4" ht="15" x14ac:dyDescent="0.25">
      <c r="C2129" s="8" t="e">
        <f>VLOOKUP(A:A,'ITEM LIST'!A:C,3,0)</f>
        <v>#N/A</v>
      </c>
      <c r="D2129" s="6">
        <f t="shared" si="34"/>
        <v>0</v>
      </c>
    </row>
    <row r="2130" spans="3:4" ht="15" x14ac:dyDescent="0.25">
      <c r="C2130" s="8" t="e">
        <f>VLOOKUP(A:A,'ITEM LIST'!A:C,3,0)</f>
        <v>#N/A</v>
      </c>
      <c r="D2130" s="6">
        <f t="shared" si="34"/>
        <v>0</v>
      </c>
    </row>
    <row r="2131" spans="3:4" ht="15" x14ac:dyDescent="0.25">
      <c r="C2131" s="8" t="e">
        <f>VLOOKUP(A:A,'ITEM LIST'!A:C,3,0)</f>
        <v>#N/A</v>
      </c>
      <c r="D2131" s="6">
        <f t="shared" si="34"/>
        <v>0</v>
      </c>
    </row>
    <row r="2132" spans="3:4" ht="15" x14ac:dyDescent="0.25">
      <c r="C2132" s="8" t="e">
        <f>VLOOKUP(A:A,'ITEM LIST'!A:C,3,0)</f>
        <v>#N/A</v>
      </c>
      <c r="D2132" s="6">
        <f t="shared" si="34"/>
        <v>0</v>
      </c>
    </row>
    <row r="2133" spans="3:4" ht="15" x14ac:dyDescent="0.25">
      <c r="C2133" s="8" t="e">
        <f>VLOOKUP(A:A,'ITEM LIST'!A:C,3,0)</f>
        <v>#N/A</v>
      </c>
      <c r="D2133" s="6">
        <f t="shared" si="34"/>
        <v>0</v>
      </c>
    </row>
    <row r="2134" spans="3:4" ht="15" x14ac:dyDescent="0.25">
      <c r="C2134" s="8" t="e">
        <f>VLOOKUP(A:A,'ITEM LIST'!A:C,3,0)</f>
        <v>#N/A</v>
      </c>
      <c r="D2134" s="6">
        <f t="shared" si="34"/>
        <v>0</v>
      </c>
    </row>
    <row r="2135" spans="3:4" ht="15" x14ac:dyDescent="0.25">
      <c r="C2135" s="8" t="e">
        <f>VLOOKUP(A:A,'ITEM LIST'!A:C,3,0)</f>
        <v>#N/A</v>
      </c>
      <c r="D2135" s="6">
        <f t="shared" si="34"/>
        <v>0</v>
      </c>
    </row>
    <row r="2136" spans="3:4" ht="15" x14ac:dyDescent="0.25">
      <c r="C2136" s="8" t="e">
        <f>VLOOKUP(A:A,'ITEM LIST'!A:C,3,0)</f>
        <v>#N/A</v>
      </c>
      <c r="D2136" s="6">
        <f t="shared" si="34"/>
        <v>0</v>
      </c>
    </row>
    <row r="2137" spans="3:4" ht="15" x14ac:dyDescent="0.25">
      <c r="C2137" s="8" t="e">
        <f>VLOOKUP(A:A,'ITEM LIST'!A:C,3,0)</f>
        <v>#N/A</v>
      </c>
      <c r="D2137" s="6">
        <f t="shared" si="34"/>
        <v>0</v>
      </c>
    </row>
    <row r="2138" spans="3:4" ht="15" x14ac:dyDescent="0.25">
      <c r="C2138" s="8" t="e">
        <f>VLOOKUP(A:A,'ITEM LIST'!A:C,3,0)</f>
        <v>#N/A</v>
      </c>
      <c r="D2138" s="6">
        <f t="shared" si="34"/>
        <v>0</v>
      </c>
    </row>
    <row r="2139" spans="3:4" ht="15" x14ac:dyDescent="0.25">
      <c r="C2139" s="8" t="e">
        <f>VLOOKUP(A:A,'ITEM LIST'!A:C,3,0)</f>
        <v>#N/A</v>
      </c>
      <c r="D2139" s="6">
        <f t="shared" si="34"/>
        <v>0</v>
      </c>
    </row>
    <row r="2140" spans="3:4" ht="15" x14ac:dyDescent="0.25">
      <c r="C2140" s="8" t="e">
        <f>VLOOKUP(A:A,'ITEM LIST'!A:C,3,0)</f>
        <v>#N/A</v>
      </c>
      <c r="D2140" s="6">
        <f t="shared" si="34"/>
        <v>0</v>
      </c>
    </row>
    <row r="2141" spans="3:4" ht="15" x14ac:dyDescent="0.25">
      <c r="C2141" s="8" t="e">
        <f>VLOOKUP(A:A,'ITEM LIST'!A:C,3,0)</f>
        <v>#N/A</v>
      </c>
      <c r="D2141" s="6">
        <f t="shared" si="34"/>
        <v>0</v>
      </c>
    </row>
    <row r="2142" spans="3:4" ht="15" x14ac:dyDescent="0.25">
      <c r="C2142" s="8" t="e">
        <f>VLOOKUP(A:A,'ITEM LIST'!A:C,3,0)</f>
        <v>#N/A</v>
      </c>
      <c r="D2142" s="6">
        <f t="shared" si="34"/>
        <v>0</v>
      </c>
    </row>
    <row r="2143" spans="3:4" ht="15" x14ac:dyDescent="0.25">
      <c r="C2143" s="8" t="e">
        <f>VLOOKUP(A:A,'ITEM LIST'!A:C,3,0)</f>
        <v>#N/A</v>
      </c>
      <c r="D2143" s="6">
        <f t="shared" si="34"/>
        <v>0</v>
      </c>
    </row>
    <row r="2144" spans="3:4" ht="15" x14ac:dyDescent="0.25">
      <c r="C2144" s="8" t="e">
        <f>VLOOKUP(A:A,'ITEM LIST'!A:C,3,0)</f>
        <v>#N/A</v>
      </c>
      <c r="D2144" s="6">
        <f t="shared" si="34"/>
        <v>0</v>
      </c>
    </row>
    <row r="2145" spans="3:4" ht="15" x14ac:dyDescent="0.25">
      <c r="C2145" s="8" t="e">
        <f>VLOOKUP(A:A,'ITEM LIST'!A:C,3,0)</f>
        <v>#N/A</v>
      </c>
      <c r="D2145" s="6">
        <f t="shared" si="34"/>
        <v>0</v>
      </c>
    </row>
    <row r="2146" spans="3:4" ht="15" x14ac:dyDescent="0.25">
      <c r="C2146" s="8" t="e">
        <f>VLOOKUP(A:A,'ITEM LIST'!A:C,3,0)</f>
        <v>#N/A</v>
      </c>
      <c r="D2146" s="6">
        <f t="shared" si="34"/>
        <v>0</v>
      </c>
    </row>
    <row r="2147" spans="3:4" ht="15" x14ac:dyDescent="0.25">
      <c r="C2147" s="8" t="e">
        <f>VLOOKUP(A:A,'ITEM LIST'!A:C,3,0)</f>
        <v>#N/A</v>
      </c>
      <c r="D2147" s="6">
        <f t="shared" si="34"/>
        <v>0</v>
      </c>
    </row>
    <row r="2148" spans="3:4" ht="15" x14ac:dyDescent="0.25">
      <c r="C2148" s="8" t="e">
        <f>VLOOKUP(A:A,'ITEM LIST'!A:C,3,0)</f>
        <v>#N/A</v>
      </c>
      <c r="D2148" s="6">
        <f t="shared" si="34"/>
        <v>0</v>
      </c>
    </row>
    <row r="2149" spans="3:4" ht="15" x14ac:dyDescent="0.25">
      <c r="C2149" s="8" t="e">
        <f>VLOOKUP(A:A,'ITEM LIST'!A:C,3,0)</f>
        <v>#N/A</v>
      </c>
      <c r="D2149" s="6">
        <f t="shared" si="34"/>
        <v>0</v>
      </c>
    </row>
    <row r="2150" spans="3:4" ht="15" x14ac:dyDescent="0.25">
      <c r="C2150" s="8" t="e">
        <f>VLOOKUP(A:A,'ITEM LIST'!A:C,3,0)</f>
        <v>#N/A</v>
      </c>
      <c r="D2150" s="6">
        <f t="shared" si="34"/>
        <v>0</v>
      </c>
    </row>
    <row r="2151" spans="3:4" ht="15" x14ac:dyDescent="0.25">
      <c r="C2151" s="8" t="e">
        <f>VLOOKUP(A:A,'ITEM LIST'!A:C,3,0)</f>
        <v>#N/A</v>
      </c>
      <c r="D2151" s="6">
        <f t="shared" si="34"/>
        <v>0</v>
      </c>
    </row>
    <row r="2152" spans="3:4" ht="15" x14ac:dyDescent="0.25">
      <c r="C2152" s="8" t="e">
        <f>VLOOKUP(A:A,'ITEM LIST'!A:C,3,0)</f>
        <v>#N/A</v>
      </c>
      <c r="D2152" s="6">
        <f t="shared" si="34"/>
        <v>0</v>
      </c>
    </row>
    <row r="2153" spans="3:4" ht="15" x14ac:dyDescent="0.25">
      <c r="C2153" s="8" t="e">
        <f>VLOOKUP(A:A,'ITEM LIST'!A:C,3,0)</f>
        <v>#N/A</v>
      </c>
      <c r="D2153" s="6">
        <f t="shared" si="34"/>
        <v>0</v>
      </c>
    </row>
    <row r="2154" spans="3:4" ht="15" x14ac:dyDescent="0.25">
      <c r="C2154" s="8" t="e">
        <f>VLOOKUP(A:A,'ITEM LIST'!A:C,3,0)</f>
        <v>#N/A</v>
      </c>
      <c r="D2154" s="6">
        <f t="shared" si="34"/>
        <v>0</v>
      </c>
    </row>
    <row r="2155" spans="3:4" ht="15" x14ac:dyDescent="0.25">
      <c r="C2155" s="8" t="e">
        <f>VLOOKUP(A:A,'ITEM LIST'!A:C,3,0)</f>
        <v>#N/A</v>
      </c>
      <c r="D2155" s="6">
        <f t="shared" si="34"/>
        <v>0</v>
      </c>
    </row>
    <row r="2156" spans="3:4" ht="15" x14ac:dyDescent="0.25">
      <c r="C2156" s="8" t="e">
        <f>VLOOKUP(A:A,'ITEM LIST'!A:C,3,0)</f>
        <v>#N/A</v>
      </c>
      <c r="D2156" s="6">
        <f t="shared" si="34"/>
        <v>0</v>
      </c>
    </row>
    <row r="2157" spans="3:4" ht="15" x14ac:dyDescent="0.25">
      <c r="C2157" s="8" t="e">
        <f>VLOOKUP(A:A,'ITEM LIST'!A:C,3,0)</f>
        <v>#N/A</v>
      </c>
      <c r="D2157" s="6">
        <f t="shared" si="34"/>
        <v>0</v>
      </c>
    </row>
    <row r="2158" spans="3:4" ht="15" x14ac:dyDescent="0.25">
      <c r="C2158" s="8" t="e">
        <f>VLOOKUP(A:A,'ITEM LIST'!A:C,3,0)</f>
        <v>#N/A</v>
      </c>
      <c r="D2158" s="6">
        <f t="shared" si="34"/>
        <v>0</v>
      </c>
    </row>
    <row r="2159" spans="3:4" ht="15" x14ac:dyDescent="0.25">
      <c r="C2159" s="8" t="e">
        <f>VLOOKUP(A:A,'ITEM LIST'!A:C,3,0)</f>
        <v>#N/A</v>
      </c>
      <c r="D2159" s="6">
        <f t="shared" si="34"/>
        <v>0</v>
      </c>
    </row>
    <row r="2160" spans="3:4" ht="15" x14ac:dyDescent="0.25">
      <c r="C2160" s="8" t="e">
        <f>VLOOKUP(A:A,'ITEM LIST'!A:C,3,0)</f>
        <v>#N/A</v>
      </c>
      <c r="D2160" s="6">
        <f t="shared" si="34"/>
        <v>0</v>
      </c>
    </row>
    <row r="2161" spans="3:4" ht="15" x14ac:dyDescent="0.25">
      <c r="C2161" s="8" t="e">
        <f>VLOOKUP(A:A,'ITEM LIST'!A:C,3,0)</f>
        <v>#N/A</v>
      </c>
      <c r="D2161" s="6">
        <f t="shared" si="34"/>
        <v>0</v>
      </c>
    </row>
    <row r="2162" spans="3:4" ht="15" x14ac:dyDescent="0.25">
      <c r="C2162" s="8" t="e">
        <f>VLOOKUP(A:A,'ITEM LIST'!A:C,3,0)</f>
        <v>#N/A</v>
      </c>
      <c r="D2162" s="6">
        <f t="shared" si="34"/>
        <v>0</v>
      </c>
    </row>
    <row r="2163" spans="3:4" ht="15" x14ac:dyDescent="0.25">
      <c r="C2163" s="8" t="e">
        <f>VLOOKUP(A:A,'ITEM LIST'!A:C,3,0)</f>
        <v>#N/A</v>
      </c>
      <c r="D2163" s="6">
        <f t="shared" si="34"/>
        <v>0</v>
      </c>
    </row>
    <row r="2164" spans="3:4" ht="15" x14ac:dyDescent="0.25">
      <c r="C2164" s="8" t="e">
        <f>VLOOKUP(A:A,'ITEM LIST'!A:C,3,0)</f>
        <v>#N/A</v>
      </c>
      <c r="D2164" s="6">
        <f t="shared" si="34"/>
        <v>0</v>
      </c>
    </row>
    <row r="2165" spans="3:4" ht="15" x14ac:dyDescent="0.25">
      <c r="C2165" s="8" t="e">
        <f>VLOOKUP(A:A,'ITEM LIST'!A:C,3,0)</f>
        <v>#N/A</v>
      </c>
      <c r="D2165" s="6">
        <f t="shared" si="34"/>
        <v>0</v>
      </c>
    </row>
    <row r="2166" spans="3:4" ht="15" x14ac:dyDescent="0.25">
      <c r="C2166" s="8" t="e">
        <f>VLOOKUP(A:A,'ITEM LIST'!A:C,3,0)</f>
        <v>#N/A</v>
      </c>
      <c r="D2166" s="6">
        <f t="shared" si="34"/>
        <v>0</v>
      </c>
    </row>
    <row r="2167" spans="3:4" ht="15" x14ac:dyDescent="0.25">
      <c r="C2167" s="8" t="e">
        <f>VLOOKUP(A:A,'ITEM LIST'!A:C,3,0)</f>
        <v>#N/A</v>
      </c>
      <c r="D2167" s="6">
        <f t="shared" si="34"/>
        <v>0</v>
      </c>
    </row>
    <row r="2168" spans="3:4" ht="15" x14ac:dyDescent="0.25">
      <c r="C2168" s="8" t="e">
        <f>VLOOKUP(A:A,'ITEM LIST'!A:C,3,0)</f>
        <v>#N/A</v>
      </c>
      <c r="D2168" s="6">
        <f t="shared" si="34"/>
        <v>0</v>
      </c>
    </row>
    <row r="2169" spans="3:4" ht="15" x14ac:dyDescent="0.25">
      <c r="C2169" s="8" t="e">
        <f>VLOOKUP(A:A,'ITEM LIST'!A:C,3,0)</f>
        <v>#N/A</v>
      </c>
      <c r="D2169" s="6">
        <f t="shared" si="34"/>
        <v>0</v>
      </c>
    </row>
    <row r="2170" spans="3:4" ht="15" x14ac:dyDescent="0.25">
      <c r="C2170" s="8" t="e">
        <f>VLOOKUP(A:A,'ITEM LIST'!A:C,3,0)</f>
        <v>#N/A</v>
      </c>
      <c r="D2170" s="6">
        <f t="shared" si="34"/>
        <v>0</v>
      </c>
    </row>
    <row r="2171" spans="3:4" ht="15" x14ac:dyDescent="0.25">
      <c r="C2171" s="8" t="e">
        <f>VLOOKUP(A:A,'ITEM LIST'!A:C,3,0)</f>
        <v>#N/A</v>
      </c>
      <c r="D2171" s="6">
        <f t="shared" si="34"/>
        <v>0</v>
      </c>
    </row>
    <row r="2172" spans="3:4" ht="15" x14ac:dyDescent="0.25">
      <c r="C2172" s="8" t="e">
        <f>VLOOKUP(A:A,'ITEM LIST'!A:C,3,0)</f>
        <v>#N/A</v>
      </c>
      <c r="D2172" s="6">
        <f t="shared" si="34"/>
        <v>0</v>
      </c>
    </row>
    <row r="2173" spans="3:4" ht="15" x14ac:dyDescent="0.25">
      <c r="C2173" s="8" t="e">
        <f>VLOOKUP(A:A,'ITEM LIST'!A:C,3,0)</f>
        <v>#N/A</v>
      </c>
      <c r="D2173" s="6">
        <f t="shared" si="34"/>
        <v>0</v>
      </c>
    </row>
    <row r="2174" spans="3:4" ht="15" x14ac:dyDescent="0.25">
      <c r="C2174" s="8" t="e">
        <f>VLOOKUP(A:A,'ITEM LIST'!A:C,3,0)</f>
        <v>#N/A</v>
      </c>
      <c r="D2174" s="6">
        <f t="shared" si="34"/>
        <v>0</v>
      </c>
    </row>
    <row r="2175" spans="3:4" ht="15" x14ac:dyDescent="0.25">
      <c r="C2175" s="8" t="e">
        <f>VLOOKUP(A:A,'ITEM LIST'!A:C,3,0)</f>
        <v>#N/A</v>
      </c>
      <c r="D2175" s="6">
        <f t="shared" si="34"/>
        <v>0</v>
      </c>
    </row>
    <row r="2176" spans="3:4" ht="15" x14ac:dyDescent="0.25">
      <c r="C2176" s="8" t="e">
        <f>VLOOKUP(A:A,'ITEM LIST'!A:C,3,0)</f>
        <v>#N/A</v>
      </c>
      <c r="D2176" s="6">
        <f t="shared" si="34"/>
        <v>0</v>
      </c>
    </row>
    <row r="2177" spans="3:4" ht="15" x14ac:dyDescent="0.25">
      <c r="C2177" s="8" t="e">
        <f>VLOOKUP(A:A,'ITEM LIST'!A:C,3,0)</f>
        <v>#N/A</v>
      </c>
      <c r="D2177" s="6">
        <f t="shared" si="34"/>
        <v>0</v>
      </c>
    </row>
    <row r="2178" spans="3:4" ht="15" x14ac:dyDescent="0.25">
      <c r="C2178" s="8" t="e">
        <f>VLOOKUP(A:A,'ITEM LIST'!A:C,3,0)</f>
        <v>#N/A</v>
      </c>
      <c r="D2178" s="6">
        <f t="shared" si="34"/>
        <v>0</v>
      </c>
    </row>
    <row r="2179" spans="3:4" ht="15" x14ac:dyDescent="0.25">
      <c r="C2179" s="8" t="e">
        <f>VLOOKUP(A:A,'ITEM LIST'!A:C,3,0)</f>
        <v>#N/A</v>
      </c>
      <c r="D2179" s="6">
        <f t="shared" si="34"/>
        <v>0</v>
      </c>
    </row>
    <row r="2180" spans="3:4" ht="15" x14ac:dyDescent="0.25">
      <c r="C2180" s="8" t="e">
        <f>VLOOKUP(A:A,'ITEM LIST'!A:C,3,0)</f>
        <v>#N/A</v>
      </c>
      <c r="D2180" s="6">
        <f t="shared" si="34"/>
        <v>0</v>
      </c>
    </row>
    <row r="2181" spans="3:4" ht="15" x14ac:dyDescent="0.25">
      <c r="C2181" s="8" t="e">
        <f>VLOOKUP(A:A,'ITEM LIST'!A:C,3,0)</f>
        <v>#N/A</v>
      </c>
      <c r="D2181" s="6">
        <f t="shared" si="34"/>
        <v>0</v>
      </c>
    </row>
    <row r="2182" spans="3:4" ht="15" x14ac:dyDescent="0.25">
      <c r="C2182" s="8" t="e">
        <f>VLOOKUP(A:A,'ITEM LIST'!A:C,3,0)</f>
        <v>#N/A</v>
      </c>
      <c r="D2182" s="6">
        <f t="shared" ref="D2182:D2245" si="35">B2182</f>
        <v>0</v>
      </c>
    </row>
    <row r="2183" spans="3:4" ht="15" x14ac:dyDescent="0.25">
      <c r="C2183" s="8" t="e">
        <f>VLOOKUP(A:A,'ITEM LIST'!A:C,3,0)</f>
        <v>#N/A</v>
      </c>
      <c r="D2183" s="6">
        <f t="shared" si="35"/>
        <v>0</v>
      </c>
    </row>
    <row r="2184" spans="3:4" ht="15" x14ac:dyDescent="0.25">
      <c r="C2184" s="8" t="e">
        <f>VLOOKUP(A:A,'ITEM LIST'!A:C,3,0)</f>
        <v>#N/A</v>
      </c>
      <c r="D2184" s="6">
        <f t="shared" si="35"/>
        <v>0</v>
      </c>
    </row>
    <row r="2185" spans="3:4" ht="15" x14ac:dyDescent="0.25">
      <c r="C2185" s="8" t="e">
        <f>VLOOKUP(A:A,'ITEM LIST'!A:C,3,0)</f>
        <v>#N/A</v>
      </c>
      <c r="D2185" s="6">
        <f t="shared" si="35"/>
        <v>0</v>
      </c>
    </row>
    <row r="2186" spans="3:4" ht="15" x14ac:dyDescent="0.25">
      <c r="C2186" s="8" t="e">
        <f>VLOOKUP(A:A,'ITEM LIST'!A:C,3,0)</f>
        <v>#N/A</v>
      </c>
      <c r="D2186" s="6">
        <f t="shared" si="35"/>
        <v>0</v>
      </c>
    </row>
    <row r="2187" spans="3:4" ht="15" x14ac:dyDescent="0.25">
      <c r="C2187" s="8" t="e">
        <f>VLOOKUP(A:A,'ITEM LIST'!A:C,3,0)</f>
        <v>#N/A</v>
      </c>
      <c r="D2187" s="6">
        <f t="shared" si="35"/>
        <v>0</v>
      </c>
    </row>
    <row r="2188" spans="3:4" ht="15" x14ac:dyDescent="0.25">
      <c r="C2188" s="8" t="e">
        <f>VLOOKUP(A:A,'ITEM LIST'!A:C,3,0)</f>
        <v>#N/A</v>
      </c>
      <c r="D2188" s="6">
        <f t="shared" si="35"/>
        <v>0</v>
      </c>
    </row>
    <row r="2189" spans="3:4" ht="15" x14ac:dyDescent="0.25">
      <c r="C2189" s="8" t="e">
        <f>VLOOKUP(A:A,'ITEM LIST'!A:C,3,0)</f>
        <v>#N/A</v>
      </c>
      <c r="D2189" s="6">
        <f t="shared" si="35"/>
        <v>0</v>
      </c>
    </row>
    <row r="2190" spans="3:4" ht="15" x14ac:dyDescent="0.25">
      <c r="C2190" s="8" t="e">
        <f>VLOOKUP(A:A,'ITEM LIST'!A:C,3,0)</f>
        <v>#N/A</v>
      </c>
      <c r="D2190" s="6">
        <f t="shared" si="35"/>
        <v>0</v>
      </c>
    </row>
    <row r="2191" spans="3:4" ht="15" x14ac:dyDescent="0.25">
      <c r="C2191" s="8" t="e">
        <f>VLOOKUP(A:A,'ITEM LIST'!A:C,3,0)</f>
        <v>#N/A</v>
      </c>
      <c r="D2191" s="6">
        <f t="shared" si="35"/>
        <v>0</v>
      </c>
    </row>
    <row r="2192" spans="3:4" ht="15" x14ac:dyDescent="0.25">
      <c r="C2192" s="8" t="e">
        <f>VLOOKUP(A:A,'ITEM LIST'!A:C,3,0)</f>
        <v>#N/A</v>
      </c>
      <c r="D2192" s="6">
        <f t="shared" si="35"/>
        <v>0</v>
      </c>
    </row>
    <row r="2193" spans="3:4" ht="15" x14ac:dyDescent="0.25">
      <c r="C2193" s="8" t="e">
        <f>VLOOKUP(A:A,'ITEM LIST'!A:C,3,0)</f>
        <v>#N/A</v>
      </c>
      <c r="D2193" s="6">
        <f t="shared" si="35"/>
        <v>0</v>
      </c>
    </row>
    <row r="2194" spans="3:4" ht="15" x14ac:dyDescent="0.25">
      <c r="C2194" s="8" t="e">
        <f>VLOOKUP(A:A,'ITEM LIST'!A:C,3,0)</f>
        <v>#N/A</v>
      </c>
      <c r="D2194" s="6">
        <f t="shared" si="35"/>
        <v>0</v>
      </c>
    </row>
    <row r="2195" spans="3:4" ht="15" x14ac:dyDescent="0.25">
      <c r="C2195" s="8" t="e">
        <f>VLOOKUP(A:A,'ITEM LIST'!A:C,3,0)</f>
        <v>#N/A</v>
      </c>
      <c r="D2195" s="6">
        <f t="shared" si="35"/>
        <v>0</v>
      </c>
    </row>
    <row r="2196" spans="3:4" ht="15" x14ac:dyDescent="0.25">
      <c r="C2196" s="8" t="e">
        <f>VLOOKUP(A:A,'ITEM LIST'!A:C,3,0)</f>
        <v>#N/A</v>
      </c>
      <c r="D2196" s="6">
        <f t="shared" si="35"/>
        <v>0</v>
      </c>
    </row>
    <row r="2197" spans="3:4" ht="15" x14ac:dyDescent="0.25">
      <c r="C2197" s="8" t="e">
        <f>VLOOKUP(A:A,'ITEM LIST'!A:C,3,0)</f>
        <v>#N/A</v>
      </c>
      <c r="D2197" s="6">
        <f t="shared" si="35"/>
        <v>0</v>
      </c>
    </row>
    <row r="2198" spans="3:4" ht="15" x14ac:dyDescent="0.25">
      <c r="C2198" s="8" t="e">
        <f>VLOOKUP(A:A,'ITEM LIST'!A:C,3,0)</f>
        <v>#N/A</v>
      </c>
      <c r="D2198" s="6">
        <f t="shared" si="35"/>
        <v>0</v>
      </c>
    </row>
    <row r="2199" spans="3:4" ht="15" x14ac:dyDescent="0.25">
      <c r="C2199" s="8" t="e">
        <f>VLOOKUP(A:A,'ITEM LIST'!A:C,3,0)</f>
        <v>#N/A</v>
      </c>
      <c r="D2199" s="6">
        <f t="shared" si="35"/>
        <v>0</v>
      </c>
    </row>
    <row r="2200" spans="3:4" ht="15" x14ac:dyDescent="0.25">
      <c r="C2200" s="8" t="e">
        <f>VLOOKUP(A:A,'ITEM LIST'!A:C,3,0)</f>
        <v>#N/A</v>
      </c>
      <c r="D2200" s="6">
        <f t="shared" si="35"/>
        <v>0</v>
      </c>
    </row>
    <row r="2201" spans="3:4" ht="15" x14ac:dyDescent="0.25">
      <c r="C2201" s="8" t="e">
        <f>VLOOKUP(A:A,'ITEM LIST'!A:C,3,0)</f>
        <v>#N/A</v>
      </c>
      <c r="D2201" s="6">
        <f t="shared" si="35"/>
        <v>0</v>
      </c>
    </row>
    <row r="2202" spans="3:4" ht="15" x14ac:dyDescent="0.25">
      <c r="C2202" s="8" t="e">
        <f>VLOOKUP(A:A,'ITEM LIST'!A:C,3,0)</f>
        <v>#N/A</v>
      </c>
      <c r="D2202" s="6">
        <f t="shared" si="35"/>
        <v>0</v>
      </c>
    </row>
    <row r="2203" spans="3:4" ht="15" x14ac:dyDescent="0.25">
      <c r="C2203" s="8" t="e">
        <f>VLOOKUP(A:A,'ITEM LIST'!A:C,3,0)</f>
        <v>#N/A</v>
      </c>
      <c r="D2203" s="6">
        <f t="shared" si="35"/>
        <v>0</v>
      </c>
    </row>
    <row r="2204" spans="3:4" ht="15" x14ac:dyDescent="0.25">
      <c r="C2204" s="8" t="e">
        <f>VLOOKUP(A:A,'ITEM LIST'!A:C,3,0)</f>
        <v>#N/A</v>
      </c>
      <c r="D2204" s="6">
        <f t="shared" si="35"/>
        <v>0</v>
      </c>
    </row>
    <row r="2205" spans="3:4" ht="15" x14ac:dyDescent="0.25">
      <c r="C2205" s="8" t="e">
        <f>VLOOKUP(A:A,'ITEM LIST'!A:C,3,0)</f>
        <v>#N/A</v>
      </c>
      <c r="D2205" s="6">
        <f t="shared" si="35"/>
        <v>0</v>
      </c>
    </row>
    <row r="2206" spans="3:4" ht="15" x14ac:dyDescent="0.25">
      <c r="C2206" s="8" t="e">
        <f>VLOOKUP(A:A,'ITEM LIST'!A:C,3,0)</f>
        <v>#N/A</v>
      </c>
      <c r="D2206" s="6">
        <f t="shared" si="35"/>
        <v>0</v>
      </c>
    </row>
    <row r="2207" spans="3:4" ht="15" x14ac:dyDescent="0.25">
      <c r="C2207" s="8" t="e">
        <f>VLOOKUP(A:A,'ITEM LIST'!A:C,3,0)</f>
        <v>#N/A</v>
      </c>
      <c r="D2207" s="6">
        <f t="shared" si="35"/>
        <v>0</v>
      </c>
    </row>
    <row r="2208" spans="3:4" ht="15" x14ac:dyDescent="0.25">
      <c r="C2208" s="8" t="e">
        <f>VLOOKUP(A:A,'ITEM LIST'!A:C,3,0)</f>
        <v>#N/A</v>
      </c>
      <c r="D2208" s="6">
        <f t="shared" si="35"/>
        <v>0</v>
      </c>
    </row>
    <row r="2209" spans="3:4" ht="15" x14ac:dyDescent="0.25">
      <c r="C2209" s="8" t="e">
        <f>VLOOKUP(A:A,'ITEM LIST'!A:C,3,0)</f>
        <v>#N/A</v>
      </c>
      <c r="D2209" s="6">
        <f t="shared" si="35"/>
        <v>0</v>
      </c>
    </row>
    <row r="2210" spans="3:4" ht="15" x14ac:dyDescent="0.25">
      <c r="C2210" s="8" t="e">
        <f>VLOOKUP(A:A,'ITEM LIST'!A:C,3,0)</f>
        <v>#N/A</v>
      </c>
      <c r="D2210" s="6">
        <f t="shared" si="35"/>
        <v>0</v>
      </c>
    </row>
    <row r="2211" spans="3:4" ht="15" x14ac:dyDescent="0.25">
      <c r="C2211" s="8" t="e">
        <f>VLOOKUP(A:A,'ITEM LIST'!A:C,3,0)</f>
        <v>#N/A</v>
      </c>
      <c r="D2211" s="6">
        <f t="shared" si="35"/>
        <v>0</v>
      </c>
    </row>
    <row r="2212" spans="3:4" ht="15" x14ac:dyDescent="0.25">
      <c r="C2212" s="8" t="e">
        <f>VLOOKUP(A:A,'ITEM LIST'!A:C,3,0)</f>
        <v>#N/A</v>
      </c>
      <c r="D2212" s="6">
        <f t="shared" si="35"/>
        <v>0</v>
      </c>
    </row>
    <row r="2213" spans="3:4" ht="15" x14ac:dyDescent="0.25">
      <c r="C2213" s="8" t="e">
        <f>VLOOKUP(A:A,'ITEM LIST'!A:C,3,0)</f>
        <v>#N/A</v>
      </c>
      <c r="D2213" s="6">
        <f t="shared" si="35"/>
        <v>0</v>
      </c>
    </row>
    <row r="2214" spans="3:4" ht="15" x14ac:dyDescent="0.25">
      <c r="C2214" s="8" t="e">
        <f>VLOOKUP(A:A,'ITEM LIST'!A:C,3,0)</f>
        <v>#N/A</v>
      </c>
      <c r="D2214" s="6">
        <f t="shared" si="35"/>
        <v>0</v>
      </c>
    </row>
    <row r="2215" spans="3:4" ht="15" x14ac:dyDescent="0.25">
      <c r="C2215" s="8" t="e">
        <f>VLOOKUP(A:A,'ITEM LIST'!A:C,3,0)</f>
        <v>#N/A</v>
      </c>
      <c r="D2215" s="6">
        <f t="shared" si="35"/>
        <v>0</v>
      </c>
    </row>
    <row r="2216" spans="3:4" ht="15" x14ac:dyDescent="0.25">
      <c r="C2216" s="8" t="e">
        <f>VLOOKUP(A:A,'ITEM LIST'!A:C,3,0)</f>
        <v>#N/A</v>
      </c>
      <c r="D2216" s="6">
        <f t="shared" si="35"/>
        <v>0</v>
      </c>
    </row>
    <row r="2217" spans="3:4" ht="15" x14ac:dyDescent="0.25">
      <c r="C2217" s="8" t="e">
        <f>VLOOKUP(A:A,'ITEM LIST'!A:C,3,0)</f>
        <v>#N/A</v>
      </c>
      <c r="D2217" s="6">
        <f t="shared" si="35"/>
        <v>0</v>
      </c>
    </row>
    <row r="2218" spans="3:4" ht="15" x14ac:dyDescent="0.25">
      <c r="C2218" s="8" t="e">
        <f>VLOOKUP(A:A,'ITEM LIST'!A:C,3,0)</f>
        <v>#N/A</v>
      </c>
      <c r="D2218" s="6">
        <f t="shared" si="35"/>
        <v>0</v>
      </c>
    </row>
    <row r="2219" spans="3:4" ht="15" x14ac:dyDescent="0.25">
      <c r="C2219" s="8" t="e">
        <f>VLOOKUP(A:A,'ITEM LIST'!A:C,3,0)</f>
        <v>#N/A</v>
      </c>
      <c r="D2219" s="6">
        <f t="shared" si="35"/>
        <v>0</v>
      </c>
    </row>
    <row r="2220" spans="3:4" ht="15" x14ac:dyDescent="0.25">
      <c r="C2220" s="8" t="e">
        <f>VLOOKUP(A:A,'ITEM LIST'!A:C,3,0)</f>
        <v>#N/A</v>
      </c>
      <c r="D2220" s="6">
        <f t="shared" si="35"/>
        <v>0</v>
      </c>
    </row>
    <row r="2221" spans="3:4" ht="15" x14ac:dyDescent="0.25">
      <c r="C2221" s="8" t="e">
        <f>VLOOKUP(A:A,'ITEM LIST'!A:C,3,0)</f>
        <v>#N/A</v>
      </c>
      <c r="D2221" s="6">
        <f t="shared" si="35"/>
        <v>0</v>
      </c>
    </row>
    <row r="2222" spans="3:4" ht="15" x14ac:dyDescent="0.25">
      <c r="C2222" s="8" t="e">
        <f>VLOOKUP(A:A,'ITEM LIST'!A:C,3,0)</f>
        <v>#N/A</v>
      </c>
      <c r="D2222" s="6">
        <f t="shared" si="35"/>
        <v>0</v>
      </c>
    </row>
    <row r="2223" spans="3:4" ht="15" x14ac:dyDescent="0.25">
      <c r="C2223" s="8" t="e">
        <f>VLOOKUP(A:A,'ITEM LIST'!A:C,3,0)</f>
        <v>#N/A</v>
      </c>
      <c r="D2223" s="6">
        <f t="shared" si="35"/>
        <v>0</v>
      </c>
    </row>
    <row r="2224" spans="3:4" ht="15" x14ac:dyDescent="0.25">
      <c r="C2224" s="8" t="e">
        <f>VLOOKUP(A:A,'ITEM LIST'!A:C,3,0)</f>
        <v>#N/A</v>
      </c>
      <c r="D2224" s="6">
        <f t="shared" si="35"/>
        <v>0</v>
      </c>
    </row>
    <row r="2225" spans="3:4" ht="15" x14ac:dyDescent="0.25">
      <c r="C2225" s="8" t="e">
        <f>VLOOKUP(A:A,'ITEM LIST'!A:C,3,0)</f>
        <v>#N/A</v>
      </c>
      <c r="D2225" s="6">
        <f t="shared" si="35"/>
        <v>0</v>
      </c>
    </row>
    <row r="2226" spans="3:4" ht="15" x14ac:dyDescent="0.25">
      <c r="C2226" s="8" t="e">
        <f>VLOOKUP(A:A,'ITEM LIST'!A:C,3,0)</f>
        <v>#N/A</v>
      </c>
      <c r="D2226" s="6">
        <f t="shared" si="35"/>
        <v>0</v>
      </c>
    </row>
    <row r="2227" spans="3:4" ht="15" x14ac:dyDescent="0.25">
      <c r="C2227" s="8" t="e">
        <f>VLOOKUP(A:A,'ITEM LIST'!A:C,3,0)</f>
        <v>#N/A</v>
      </c>
      <c r="D2227" s="6">
        <f t="shared" si="35"/>
        <v>0</v>
      </c>
    </row>
    <row r="2228" spans="3:4" ht="15" x14ac:dyDescent="0.25">
      <c r="C2228" s="8" t="e">
        <f>VLOOKUP(A:A,'ITEM LIST'!A:C,3,0)</f>
        <v>#N/A</v>
      </c>
      <c r="D2228" s="6">
        <f t="shared" si="35"/>
        <v>0</v>
      </c>
    </row>
    <row r="2229" spans="3:4" ht="15" x14ac:dyDescent="0.25">
      <c r="C2229" s="8" t="e">
        <f>VLOOKUP(A:A,'ITEM LIST'!A:C,3,0)</f>
        <v>#N/A</v>
      </c>
      <c r="D2229" s="6">
        <f t="shared" si="35"/>
        <v>0</v>
      </c>
    </row>
    <row r="2230" spans="3:4" ht="15" x14ac:dyDescent="0.25">
      <c r="C2230" s="8" t="e">
        <f>VLOOKUP(A:A,'ITEM LIST'!A:C,3,0)</f>
        <v>#N/A</v>
      </c>
      <c r="D2230" s="6">
        <f t="shared" si="35"/>
        <v>0</v>
      </c>
    </row>
    <row r="2231" spans="3:4" ht="15" x14ac:dyDescent="0.25">
      <c r="C2231" s="8" t="e">
        <f>VLOOKUP(A:A,'ITEM LIST'!A:C,3,0)</f>
        <v>#N/A</v>
      </c>
      <c r="D2231" s="6">
        <f t="shared" si="35"/>
        <v>0</v>
      </c>
    </row>
    <row r="2232" spans="3:4" ht="15" x14ac:dyDescent="0.25">
      <c r="C2232" s="8" t="e">
        <f>VLOOKUP(A:A,'ITEM LIST'!A:C,3,0)</f>
        <v>#N/A</v>
      </c>
      <c r="D2232" s="6">
        <f t="shared" si="35"/>
        <v>0</v>
      </c>
    </row>
    <row r="2233" spans="3:4" ht="15" x14ac:dyDescent="0.25">
      <c r="C2233" s="8" t="e">
        <f>VLOOKUP(A:A,'ITEM LIST'!A:C,3,0)</f>
        <v>#N/A</v>
      </c>
      <c r="D2233" s="6">
        <f t="shared" si="35"/>
        <v>0</v>
      </c>
    </row>
    <row r="2234" spans="3:4" ht="15" x14ac:dyDescent="0.25">
      <c r="C2234" s="8" t="e">
        <f>VLOOKUP(A:A,'ITEM LIST'!A:C,3,0)</f>
        <v>#N/A</v>
      </c>
      <c r="D2234" s="6">
        <f t="shared" si="35"/>
        <v>0</v>
      </c>
    </row>
    <row r="2235" spans="3:4" ht="15" x14ac:dyDescent="0.25">
      <c r="C2235" s="8" t="e">
        <f>VLOOKUP(A:A,'ITEM LIST'!A:C,3,0)</f>
        <v>#N/A</v>
      </c>
      <c r="D2235" s="6">
        <f t="shared" si="35"/>
        <v>0</v>
      </c>
    </row>
    <row r="2236" spans="3:4" ht="15" x14ac:dyDescent="0.25">
      <c r="C2236" s="8" t="e">
        <f>VLOOKUP(A:A,'ITEM LIST'!A:C,3,0)</f>
        <v>#N/A</v>
      </c>
      <c r="D2236" s="6">
        <f t="shared" si="35"/>
        <v>0</v>
      </c>
    </row>
    <row r="2237" spans="3:4" ht="15" x14ac:dyDescent="0.25">
      <c r="C2237" s="8" t="e">
        <f>VLOOKUP(A:A,'ITEM LIST'!A:C,3,0)</f>
        <v>#N/A</v>
      </c>
      <c r="D2237" s="6">
        <f t="shared" si="35"/>
        <v>0</v>
      </c>
    </row>
    <row r="2238" spans="3:4" ht="15" x14ac:dyDescent="0.25">
      <c r="C2238" s="8" t="e">
        <f>VLOOKUP(A:A,'ITEM LIST'!A:C,3,0)</f>
        <v>#N/A</v>
      </c>
      <c r="D2238" s="6">
        <f t="shared" si="35"/>
        <v>0</v>
      </c>
    </row>
    <row r="2239" spans="3:4" ht="15" x14ac:dyDescent="0.25">
      <c r="C2239" s="8" t="e">
        <f>VLOOKUP(A:A,'ITEM LIST'!A:C,3,0)</f>
        <v>#N/A</v>
      </c>
      <c r="D2239" s="6">
        <f t="shared" si="35"/>
        <v>0</v>
      </c>
    </row>
    <row r="2240" spans="3:4" ht="15" x14ac:dyDescent="0.25">
      <c r="C2240" s="8" t="e">
        <f>VLOOKUP(A:A,'ITEM LIST'!A:C,3,0)</f>
        <v>#N/A</v>
      </c>
      <c r="D2240" s="6">
        <f t="shared" si="35"/>
        <v>0</v>
      </c>
    </row>
    <row r="2241" spans="3:4" ht="15" x14ac:dyDescent="0.25">
      <c r="C2241" s="8" t="e">
        <f>VLOOKUP(A:A,'ITEM LIST'!A:C,3,0)</f>
        <v>#N/A</v>
      </c>
      <c r="D2241" s="6">
        <f t="shared" si="35"/>
        <v>0</v>
      </c>
    </row>
    <row r="2242" spans="3:4" ht="15" x14ac:dyDescent="0.25">
      <c r="C2242" s="8" t="e">
        <f>VLOOKUP(A:A,'ITEM LIST'!A:C,3,0)</f>
        <v>#N/A</v>
      </c>
      <c r="D2242" s="6">
        <f t="shared" si="35"/>
        <v>0</v>
      </c>
    </row>
    <row r="2243" spans="3:4" ht="15" x14ac:dyDescent="0.25">
      <c r="C2243" s="8" t="e">
        <f>VLOOKUP(A:A,'ITEM LIST'!A:C,3,0)</f>
        <v>#N/A</v>
      </c>
      <c r="D2243" s="6">
        <f t="shared" si="35"/>
        <v>0</v>
      </c>
    </row>
    <row r="2244" spans="3:4" ht="15" x14ac:dyDescent="0.25">
      <c r="C2244" s="8" t="e">
        <f>VLOOKUP(A:A,'ITEM LIST'!A:C,3,0)</f>
        <v>#N/A</v>
      </c>
      <c r="D2244" s="6">
        <f t="shared" si="35"/>
        <v>0</v>
      </c>
    </row>
    <row r="2245" spans="3:4" ht="15" x14ac:dyDescent="0.25">
      <c r="C2245" s="8" t="e">
        <f>VLOOKUP(A:A,'ITEM LIST'!A:C,3,0)</f>
        <v>#N/A</v>
      </c>
      <c r="D2245" s="6">
        <f t="shared" si="35"/>
        <v>0</v>
      </c>
    </row>
    <row r="2246" spans="3:4" ht="15" x14ac:dyDescent="0.25">
      <c r="C2246" s="8" t="e">
        <f>VLOOKUP(A:A,'ITEM LIST'!A:C,3,0)</f>
        <v>#N/A</v>
      </c>
      <c r="D2246" s="6">
        <f t="shared" ref="D2246:D2309" si="36">B2246</f>
        <v>0</v>
      </c>
    </row>
    <row r="2247" spans="3:4" ht="15" x14ac:dyDescent="0.25">
      <c r="C2247" s="8" t="e">
        <f>VLOOKUP(A:A,'ITEM LIST'!A:C,3,0)</f>
        <v>#N/A</v>
      </c>
      <c r="D2247" s="6">
        <f t="shared" si="36"/>
        <v>0</v>
      </c>
    </row>
    <row r="2248" spans="3:4" ht="15" x14ac:dyDescent="0.25">
      <c r="C2248" s="8" t="e">
        <f>VLOOKUP(A:A,'ITEM LIST'!A:C,3,0)</f>
        <v>#N/A</v>
      </c>
      <c r="D2248" s="6">
        <f t="shared" si="36"/>
        <v>0</v>
      </c>
    </row>
    <row r="2249" spans="3:4" ht="15" x14ac:dyDescent="0.25">
      <c r="C2249" s="8" t="e">
        <f>VLOOKUP(A:A,'ITEM LIST'!A:C,3,0)</f>
        <v>#N/A</v>
      </c>
      <c r="D2249" s="6">
        <f t="shared" si="36"/>
        <v>0</v>
      </c>
    </row>
    <row r="2250" spans="3:4" ht="15" x14ac:dyDescent="0.25">
      <c r="C2250" s="8" t="e">
        <f>VLOOKUP(A:A,'ITEM LIST'!A:C,3,0)</f>
        <v>#N/A</v>
      </c>
      <c r="D2250" s="6">
        <f t="shared" si="36"/>
        <v>0</v>
      </c>
    </row>
    <row r="2251" spans="3:4" ht="15" x14ac:dyDescent="0.25">
      <c r="C2251" s="8" t="e">
        <f>VLOOKUP(A:A,'ITEM LIST'!A:C,3,0)</f>
        <v>#N/A</v>
      </c>
      <c r="D2251" s="6">
        <f t="shared" si="36"/>
        <v>0</v>
      </c>
    </row>
    <row r="2252" spans="3:4" ht="15" x14ac:dyDescent="0.25">
      <c r="C2252" s="8" t="e">
        <f>VLOOKUP(A:A,'ITEM LIST'!A:C,3,0)</f>
        <v>#N/A</v>
      </c>
      <c r="D2252" s="6">
        <f t="shared" si="36"/>
        <v>0</v>
      </c>
    </row>
    <row r="2253" spans="3:4" ht="15" x14ac:dyDescent="0.25">
      <c r="C2253" s="8" t="e">
        <f>VLOOKUP(A:A,'ITEM LIST'!A:C,3,0)</f>
        <v>#N/A</v>
      </c>
      <c r="D2253" s="6">
        <f t="shared" si="36"/>
        <v>0</v>
      </c>
    </row>
    <row r="2254" spans="3:4" ht="15" x14ac:dyDescent="0.25">
      <c r="C2254" s="8" t="e">
        <f>VLOOKUP(A:A,'ITEM LIST'!A:C,3,0)</f>
        <v>#N/A</v>
      </c>
      <c r="D2254" s="6">
        <f t="shared" si="36"/>
        <v>0</v>
      </c>
    </row>
    <row r="2255" spans="3:4" ht="15" x14ac:dyDescent="0.25">
      <c r="C2255" s="8" t="e">
        <f>VLOOKUP(A:A,'ITEM LIST'!A:C,3,0)</f>
        <v>#N/A</v>
      </c>
      <c r="D2255" s="6">
        <f t="shared" si="36"/>
        <v>0</v>
      </c>
    </row>
    <row r="2256" spans="3:4" ht="15" x14ac:dyDescent="0.25">
      <c r="C2256" s="8" t="e">
        <f>VLOOKUP(A:A,'ITEM LIST'!A:C,3,0)</f>
        <v>#N/A</v>
      </c>
      <c r="D2256" s="6">
        <f t="shared" si="36"/>
        <v>0</v>
      </c>
    </row>
    <row r="2257" spans="3:4" ht="15" x14ac:dyDescent="0.25">
      <c r="C2257" s="8" t="e">
        <f>VLOOKUP(A:A,'ITEM LIST'!A:C,3,0)</f>
        <v>#N/A</v>
      </c>
      <c r="D2257" s="6">
        <f t="shared" si="36"/>
        <v>0</v>
      </c>
    </row>
    <row r="2258" spans="3:4" ht="15" x14ac:dyDescent="0.25">
      <c r="C2258" s="8" t="e">
        <f>VLOOKUP(A:A,'ITEM LIST'!A:C,3,0)</f>
        <v>#N/A</v>
      </c>
      <c r="D2258" s="6">
        <f t="shared" si="36"/>
        <v>0</v>
      </c>
    </row>
    <row r="2259" spans="3:4" ht="15" x14ac:dyDescent="0.25">
      <c r="C2259" s="8" t="e">
        <f>VLOOKUP(A:A,'ITEM LIST'!A:C,3,0)</f>
        <v>#N/A</v>
      </c>
      <c r="D2259" s="6">
        <f t="shared" si="36"/>
        <v>0</v>
      </c>
    </row>
    <row r="2260" spans="3:4" ht="15" x14ac:dyDescent="0.25">
      <c r="C2260" s="8" t="e">
        <f>VLOOKUP(A:A,'ITEM LIST'!A:C,3,0)</f>
        <v>#N/A</v>
      </c>
      <c r="D2260" s="6">
        <f t="shared" si="36"/>
        <v>0</v>
      </c>
    </row>
    <row r="2261" spans="3:4" ht="15" x14ac:dyDescent="0.25">
      <c r="C2261" s="8" t="e">
        <f>VLOOKUP(A:A,'ITEM LIST'!A:C,3,0)</f>
        <v>#N/A</v>
      </c>
      <c r="D2261" s="6">
        <f t="shared" si="36"/>
        <v>0</v>
      </c>
    </row>
    <row r="2262" spans="3:4" ht="15" x14ac:dyDescent="0.25">
      <c r="C2262" s="8" t="e">
        <f>VLOOKUP(A:A,'ITEM LIST'!A:C,3,0)</f>
        <v>#N/A</v>
      </c>
      <c r="D2262" s="6">
        <f t="shared" si="36"/>
        <v>0</v>
      </c>
    </row>
    <row r="2263" spans="3:4" ht="15" x14ac:dyDescent="0.25">
      <c r="C2263" s="8" t="e">
        <f>VLOOKUP(A:A,'ITEM LIST'!A:C,3,0)</f>
        <v>#N/A</v>
      </c>
      <c r="D2263" s="6">
        <f t="shared" si="36"/>
        <v>0</v>
      </c>
    </row>
    <row r="2264" spans="3:4" ht="15" x14ac:dyDescent="0.25">
      <c r="C2264" s="8" t="e">
        <f>VLOOKUP(A:A,'ITEM LIST'!A:C,3,0)</f>
        <v>#N/A</v>
      </c>
      <c r="D2264" s="6">
        <f t="shared" si="36"/>
        <v>0</v>
      </c>
    </row>
    <row r="2265" spans="3:4" ht="15" x14ac:dyDescent="0.25">
      <c r="C2265" s="8" t="e">
        <f>VLOOKUP(A:A,'ITEM LIST'!A:C,3,0)</f>
        <v>#N/A</v>
      </c>
      <c r="D2265" s="6">
        <f t="shared" si="36"/>
        <v>0</v>
      </c>
    </row>
    <row r="2266" spans="3:4" ht="15" x14ac:dyDescent="0.25">
      <c r="C2266" s="8" t="e">
        <f>VLOOKUP(A:A,'ITEM LIST'!A:C,3,0)</f>
        <v>#N/A</v>
      </c>
      <c r="D2266" s="6">
        <f t="shared" si="36"/>
        <v>0</v>
      </c>
    </row>
    <row r="2267" spans="3:4" ht="15" x14ac:dyDescent="0.25">
      <c r="C2267" s="8" t="e">
        <f>VLOOKUP(A:A,'ITEM LIST'!A:C,3,0)</f>
        <v>#N/A</v>
      </c>
      <c r="D2267" s="6">
        <f t="shared" si="36"/>
        <v>0</v>
      </c>
    </row>
    <row r="2268" spans="3:4" ht="15" x14ac:dyDescent="0.25">
      <c r="C2268" s="8" t="e">
        <f>VLOOKUP(A:A,'ITEM LIST'!A:C,3,0)</f>
        <v>#N/A</v>
      </c>
      <c r="D2268" s="6">
        <f t="shared" si="36"/>
        <v>0</v>
      </c>
    </row>
    <row r="2269" spans="3:4" ht="15" x14ac:dyDescent="0.25">
      <c r="C2269" s="8" t="e">
        <f>VLOOKUP(A:A,'ITEM LIST'!A:C,3,0)</f>
        <v>#N/A</v>
      </c>
      <c r="D2269" s="6">
        <f t="shared" si="36"/>
        <v>0</v>
      </c>
    </row>
    <row r="2270" spans="3:4" ht="15" x14ac:dyDescent="0.25">
      <c r="C2270" s="8" t="e">
        <f>VLOOKUP(A:A,'ITEM LIST'!A:C,3,0)</f>
        <v>#N/A</v>
      </c>
      <c r="D2270" s="6">
        <f t="shared" si="36"/>
        <v>0</v>
      </c>
    </row>
    <row r="2271" spans="3:4" ht="15" x14ac:dyDescent="0.25">
      <c r="C2271" s="8" t="e">
        <f>VLOOKUP(A:A,'ITEM LIST'!A:C,3,0)</f>
        <v>#N/A</v>
      </c>
      <c r="D2271" s="6">
        <f t="shared" si="36"/>
        <v>0</v>
      </c>
    </row>
    <row r="2272" spans="3:4" ht="15" x14ac:dyDescent="0.25">
      <c r="C2272" s="8" t="e">
        <f>VLOOKUP(A:A,'ITEM LIST'!A:C,3,0)</f>
        <v>#N/A</v>
      </c>
      <c r="D2272" s="6">
        <f t="shared" si="36"/>
        <v>0</v>
      </c>
    </row>
    <row r="2273" spans="3:4" ht="15" x14ac:dyDescent="0.25">
      <c r="C2273" s="8" t="e">
        <f>VLOOKUP(A:A,'ITEM LIST'!A:C,3,0)</f>
        <v>#N/A</v>
      </c>
      <c r="D2273" s="6">
        <f t="shared" si="36"/>
        <v>0</v>
      </c>
    </row>
    <row r="2274" spans="3:4" ht="15" x14ac:dyDescent="0.25">
      <c r="C2274" s="8" t="e">
        <f>VLOOKUP(A:A,'ITEM LIST'!A:C,3,0)</f>
        <v>#N/A</v>
      </c>
      <c r="D2274" s="6">
        <f t="shared" si="36"/>
        <v>0</v>
      </c>
    </row>
    <row r="2275" spans="3:4" ht="15" x14ac:dyDescent="0.25">
      <c r="C2275" s="8" t="e">
        <f>VLOOKUP(A:A,'ITEM LIST'!A:C,3,0)</f>
        <v>#N/A</v>
      </c>
      <c r="D2275" s="6">
        <f t="shared" si="36"/>
        <v>0</v>
      </c>
    </row>
    <row r="2276" spans="3:4" ht="15" x14ac:dyDescent="0.25">
      <c r="C2276" s="8" t="e">
        <f>VLOOKUP(A:A,'ITEM LIST'!A:C,3,0)</f>
        <v>#N/A</v>
      </c>
      <c r="D2276" s="6">
        <f t="shared" si="36"/>
        <v>0</v>
      </c>
    </row>
    <row r="2277" spans="3:4" ht="15" x14ac:dyDescent="0.25">
      <c r="C2277" s="8" t="e">
        <f>VLOOKUP(A:A,'ITEM LIST'!A:C,3,0)</f>
        <v>#N/A</v>
      </c>
      <c r="D2277" s="6">
        <f t="shared" si="36"/>
        <v>0</v>
      </c>
    </row>
    <row r="2278" spans="3:4" ht="15" x14ac:dyDescent="0.25">
      <c r="C2278" s="8" t="e">
        <f>VLOOKUP(A:A,'ITEM LIST'!A:C,3,0)</f>
        <v>#N/A</v>
      </c>
      <c r="D2278" s="6">
        <f t="shared" si="36"/>
        <v>0</v>
      </c>
    </row>
    <row r="2279" spans="3:4" ht="15" x14ac:dyDescent="0.25">
      <c r="C2279" s="8" t="e">
        <f>VLOOKUP(A:A,'ITEM LIST'!A:C,3,0)</f>
        <v>#N/A</v>
      </c>
      <c r="D2279" s="6">
        <f t="shared" si="36"/>
        <v>0</v>
      </c>
    </row>
    <row r="2280" spans="3:4" ht="15" x14ac:dyDescent="0.25">
      <c r="C2280" s="8" t="e">
        <f>VLOOKUP(A:A,'ITEM LIST'!A:C,3,0)</f>
        <v>#N/A</v>
      </c>
      <c r="D2280" s="6">
        <f t="shared" si="36"/>
        <v>0</v>
      </c>
    </row>
    <row r="2281" spans="3:4" ht="15" x14ac:dyDescent="0.25">
      <c r="C2281" s="8" t="e">
        <f>VLOOKUP(A:A,'ITEM LIST'!A:C,3,0)</f>
        <v>#N/A</v>
      </c>
      <c r="D2281" s="6">
        <f t="shared" si="36"/>
        <v>0</v>
      </c>
    </row>
    <row r="2282" spans="3:4" ht="15" x14ac:dyDescent="0.25">
      <c r="C2282" s="8" t="e">
        <f>VLOOKUP(A:A,'ITEM LIST'!A:C,3,0)</f>
        <v>#N/A</v>
      </c>
      <c r="D2282" s="6">
        <f t="shared" si="36"/>
        <v>0</v>
      </c>
    </row>
    <row r="2283" spans="3:4" ht="15" x14ac:dyDescent="0.25">
      <c r="C2283" s="8" t="e">
        <f>VLOOKUP(A:A,'ITEM LIST'!A:C,3,0)</f>
        <v>#N/A</v>
      </c>
      <c r="D2283" s="6">
        <f t="shared" si="36"/>
        <v>0</v>
      </c>
    </row>
    <row r="2284" spans="3:4" ht="15" x14ac:dyDescent="0.25">
      <c r="C2284" s="8" t="e">
        <f>VLOOKUP(A:A,'ITEM LIST'!A:C,3,0)</f>
        <v>#N/A</v>
      </c>
      <c r="D2284" s="6">
        <f t="shared" si="36"/>
        <v>0</v>
      </c>
    </row>
    <row r="2285" spans="3:4" ht="15" x14ac:dyDescent="0.25">
      <c r="C2285" s="8" t="e">
        <f>VLOOKUP(A:A,'ITEM LIST'!A:C,3,0)</f>
        <v>#N/A</v>
      </c>
      <c r="D2285" s="6">
        <f t="shared" si="36"/>
        <v>0</v>
      </c>
    </row>
    <row r="2286" spans="3:4" ht="15" x14ac:dyDescent="0.25">
      <c r="C2286" s="8" t="e">
        <f>VLOOKUP(A:A,'ITEM LIST'!A:C,3,0)</f>
        <v>#N/A</v>
      </c>
      <c r="D2286" s="6">
        <f t="shared" si="36"/>
        <v>0</v>
      </c>
    </row>
    <row r="2287" spans="3:4" ht="15" x14ac:dyDescent="0.25">
      <c r="C2287" s="8" t="e">
        <f>VLOOKUP(A:A,'ITEM LIST'!A:C,3,0)</f>
        <v>#N/A</v>
      </c>
      <c r="D2287" s="6">
        <f t="shared" si="36"/>
        <v>0</v>
      </c>
    </row>
    <row r="2288" spans="3:4" ht="15" x14ac:dyDescent="0.25">
      <c r="C2288" s="8" t="e">
        <f>VLOOKUP(A:A,'ITEM LIST'!A:C,3,0)</f>
        <v>#N/A</v>
      </c>
      <c r="D2288" s="6">
        <f t="shared" si="36"/>
        <v>0</v>
      </c>
    </row>
    <row r="2289" spans="3:4" ht="15" x14ac:dyDescent="0.25">
      <c r="C2289" s="8" t="e">
        <f>VLOOKUP(A:A,'ITEM LIST'!A:C,3,0)</f>
        <v>#N/A</v>
      </c>
      <c r="D2289" s="6">
        <f t="shared" si="36"/>
        <v>0</v>
      </c>
    </row>
    <row r="2290" spans="3:4" ht="15" x14ac:dyDescent="0.25">
      <c r="C2290" s="8" t="e">
        <f>VLOOKUP(A:A,'ITEM LIST'!A:C,3,0)</f>
        <v>#N/A</v>
      </c>
      <c r="D2290" s="6">
        <f t="shared" si="36"/>
        <v>0</v>
      </c>
    </row>
    <row r="2291" spans="3:4" ht="15" x14ac:dyDescent="0.25">
      <c r="C2291" s="8" t="e">
        <f>VLOOKUP(A:A,'ITEM LIST'!A:C,3,0)</f>
        <v>#N/A</v>
      </c>
      <c r="D2291" s="6">
        <f t="shared" si="36"/>
        <v>0</v>
      </c>
    </row>
    <row r="2292" spans="3:4" ht="15" x14ac:dyDescent="0.25">
      <c r="C2292" s="8" t="e">
        <f>VLOOKUP(A:A,'ITEM LIST'!A:C,3,0)</f>
        <v>#N/A</v>
      </c>
      <c r="D2292" s="6">
        <f t="shared" si="36"/>
        <v>0</v>
      </c>
    </row>
    <row r="2293" spans="3:4" ht="15" x14ac:dyDescent="0.25">
      <c r="C2293" s="8" t="e">
        <f>VLOOKUP(A:A,'ITEM LIST'!A:C,3,0)</f>
        <v>#N/A</v>
      </c>
      <c r="D2293" s="6">
        <f t="shared" si="36"/>
        <v>0</v>
      </c>
    </row>
    <row r="2294" spans="3:4" ht="15" x14ac:dyDescent="0.25">
      <c r="C2294" s="8" t="e">
        <f>VLOOKUP(A:A,'ITEM LIST'!A:C,3,0)</f>
        <v>#N/A</v>
      </c>
      <c r="D2294" s="6">
        <f t="shared" si="36"/>
        <v>0</v>
      </c>
    </row>
    <row r="2295" spans="3:4" ht="15" x14ac:dyDescent="0.25">
      <c r="C2295" s="8" t="e">
        <f>VLOOKUP(A:A,'ITEM LIST'!A:C,3,0)</f>
        <v>#N/A</v>
      </c>
      <c r="D2295" s="6">
        <f t="shared" si="36"/>
        <v>0</v>
      </c>
    </row>
    <row r="2296" spans="3:4" ht="15" x14ac:dyDescent="0.25">
      <c r="C2296" s="8" t="e">
        <f>VLOOKUP(A:A,'ITEM LIST'!A:C,3,0)</f>
        <v>#N/A</v>
      </c>
      <c r="D2296" s="6">
        <f t="shared" si="36"/>
        <v>0</v>
      </c>
    </row>
    <row r="2297" spans="3:4" ht="15" x14ac:dyDescent="0.25">
      <c r="C2297" s="8" t="e">
        <f>VLOOKUP(A:A,'ITEM LIST'!A:C,3,0)</f>
        <v>#N/A</v>
      </c>
      <c r="D2297" s="6">
        <f t="shared" si="36"/>
        <v>0</v>
      </c>
    </row>
    <row r="2298" spans="3:4" ht="15" x14ac:dyDescent="0.25">
      <c r="C2298" s="8" t="e">
        <f>VLOOKUP(A:A,'ITEM LIST'!A:C,3,0)</f>
        <v>#N/A</v>
      </c>
      <c r="D2298" s="6">
        <f t="shared" si="36"/>
        <v>0</v>
      </c>
    </row>
    <row r="2299" spans="3:4" ht="15" x14ac:dyDescent="0.25">
      <c r="C2299" s="8" t="e">
        <f>VLOOKUP(A:A,'ITEM LIST'!A:C,3,0)</f>
        <v>#N/A</v>
      </c>
      <c r="D2299" s="6">
        <f t="shared" si="36"/>
        <v>0</v>
      </c>
    </row>
    <row r="2300" spans="3:4" ht="15" x14ac:dyDescent="0.25">
      <c r="C2300" s="8" t="e">
        <f>VLOOKUP(A:A,'ITEM LIST'!A:C,3,0)</f>
        <v>#N/A</v>
      </c>
      <c r="D2300" s="6">
        <f t="shared" si="36"/>
        <v>0</v>
      </c>
    </row>
    <row r="2301" spans="3:4" ht="15" x14ac:dyDescent="0.25">
      <c r="C2301" s="8" t="e">
        <f>VLOOKUP(A:A,'ITEM LIST'!A:C,3,0)</f>
        <v>#N/A</v>
      </c>
      <c r="D2301" s="6">
        <f t="shared" si="36"/>
        <v>0</v>
      </c>
    </row>
    <row r="2302" spans="3:4" ht="15" x14ac:dyDescent="0.25">
      <c r="C2302" s="8" t="e">
        <f>VLOOKUP(A:A,'ITEM LIST'!A:C,3,0)</f>
        <v>#N/A</v>
      </c>
      <c r="D2302" s="6">
        <f t="shared" si="36"/>
        <v>0</v>
      </c>
    </row>
    <row r="2303" spans="3:4" ht="15" x14ac:dyDescent="0.25">
      <c r="C2303" s="8" t="e">
        <f>VLOOKUP(A:A,'ITEM LIST'!A:C,3,0)</f>
        <v>#N/A</v>
      </c>
      <c r="D2303" s="6">
        <f t="shared" si="36"/>
        <v>0</v>
      </c>
    </row>
    <row r="2304" spans="3:4" ht="15" x14ac:dyDescent="0.25">
      <c r="C2304" s="8" t="e">
        <f>VLOOKUP(A:A,'ITEM LIST'!A:C,3,0)</f>
        <v>#N/A</v>
      </c>
      <c r="D2304" s="6">
        <f t="shared" si="36"/>
        <v>0</v>
      </c>
    </row>
    <row r="2305" spans="3:4" ht="15" x14ac:dyDescent="0.25">
      <c r="C2305" s="8" t="e">
        <f>VLOOKUP(A:A,'ITEM LIST'!A:C,3,0)</f>
        <v>#N/A</v>
      </c>
      <c r="D2305" s="6">
        <f t="shared" si="36"/>
        <v>0</v>
      </c>
    </row>
    <row r="2306" spans="3:4" ht="15" x14ac:dyDescent="0.25">
      <c r="C2306" s="8" t="e">
        <f>VLOOKUP(A:A,'ITEM LIST'!A:C,3,0)</f>
        <v>#N/A</v>
      </c>
      <c r="D2306" s="6">
        <f t="shared" si="36"/>
        <v>0</v>
      </c>
    </row>
    <row r="2307" spans="3:4" ht="15" x14ac:dyDescent="0.25">
      <c r="C2307" s="8" t="e">
        <f>VLOOKUP(A:A,'ITEM LIST'!A:C,3,0)</f>
        <v>#N/A</v>
      </c>
      <c r="D2307" s="6">
        <f t="shared" si="36"/>
        <v>0</v>
      </c>
    </row>
    <row r="2308" spans="3:4" ht="15" x14ac:dyDescent="0.25">
      <c r="C2308" s="8" t="e">
        <f>VLOOKUP(A:A,'ITEM LIST'!A:C,3,0)</f>
        <v>#N/A</v>
      </c>
      <c r="D2308" s="6">
        <f t="shared" si="36"/>
        <v>0</v>
      </c>
    </row>
    <row r="2309" spans="3:4" ht="15" x14ac:dyDescent="0.25">
      <c r="C2309" s="8" t="e">
        <f>VLOOKUP(A:A,'ITEM LIST'!A:C,3,0)</f>
        <v>#N/A</v>
      </c>
      <c r="D2309" s="6">
        <f t="shared" si="36"/>
        <v>0</v>
      </c>
    </row>
    <row r="2310" spans="3:4" ht="15" x14ac:dyDescent="0.25">
      <c r="C2310" s="8" t="e">
        <f>VLOOKUP(A:A,'ITEM LIST'!A:C,3,0)</f>
        <v>#N/A</v>
      </c>
      <c r="D2310" s="6">
        <f t="shared" ref="D2310:D2373" si="37">B2310</f>
        <v>0</v>
      </c>
    </row>
    <row r="2311" spans="3:4" ht="15" x14ac:dyDescent="0.25">
      <c r="C2311" s="8" t="e">
        <f>VLOOKUP(A:A,'ITEM LIST'!A:C,3,0)</f>
        <v>#N/A</v>
      </c>
      <c r="D2311" s="6">
        <f t="shared" si="37"/>
        <v>0</v>
      </c>
    </row>
    <row r="2312" spans="3:4" ht="15" x14ac:dyDescent="0.25">
      <c r="C2312" s="8" t="e">
        <f>VLOOKUP(A:A,'ITEM LIST'!A:C,3,0)</f>
        <v>#N/A</v>
      </c>
      <c r="D2312" s="6">
        <f t="shared" si="37"/>
        <v>0</v>
      </c>
    </row>
    <row r="2313" spans="3:4" ht="15" x14ac:dyDescent="0.25">
      <c r="C2313" s="8" t="e">
        <f>VLOOKUP(A:A,'ITEM LIST'!A:C,3,0)</f>
        <v>#N/A</v>
      </c>
      <c r="D2313" s="6">
        <f t="shared" si="37"/>
        <v>0</v>
      </c>
    </row>
    <row r="2314" spans="3:4" ht="15" x14ac:dyDescent="0.25">
      <c r="C2314" s="8" t="e">
        <f>VLOOKUP(A:A,'ITEM LIST'!A:C,3,0)</f>
        <v>#N/A</v>
      </c>
      <c r="D2314" s="6">
        <f t="shared" si="37"/>
        <v>0</v>
      </c>
    </row>
    <row r="2315" spans="3:4" ht="15" x14ac:dyDescent="0.25">
      <c r="C2315" s="8" t="e">
        <f>VLOOKUP(A:A,'ITEM LIST'!A:C,3,0)</f>
        <v>#N/A</v>
      </c>
      <c r="D2315" s="6">
        <f t="shared" si="37"/>
        <v>0</v>
      </c>
    </row>
    <row r="2316" spans="3:4" ht="15" x14ac:dyDescent="0.25">
      <c r="C2316" s="8" t="e">
        <f>VLOOKUP(A:A,'ITEM LIST'!A:C,3,0)</f>
        <v>#N/A</v>
      </c>
      <c r="D2316" s="6">
        <f t="shared" si="37"/>
        <v>0</v>
      </c>
    </row>
    <row r="2317" spans="3:4" ht="15" x14ac:dyDescent="0.25">
      <c r="C2317" s="8" t="e">
        <f>VLOOKUP(A:A,'ITEM LIST'!A:C,3,0)</f>
        <v>#N/A</v>
      </c>
      <c r="D2317" s="6">
        <f t="shared" si="37"/>
        <v>0</v>
      </c>
    </row>
    <row r="2318" spans="3:4" ht="15" x14ac:dyDescent="0.25">
      <c r="C2318" s="8" t="e">
        <f>VLOOKUP(A:A,'ITEM LIST'!A:C,3,0)</f>
        <v>#N/A</v>
      </c>
      <c r="D2318" s="6">
        <f t="shared" si="37"/>
        <v>0</v>
      </c>
    </row>
    <row r="2319" spans="3:4" ht="15" x14ac:dyDescent="0.25">
      <c r="C2319" s="8" t="e">
        <f>VLOOKUP(A:A,'ITEM LIST'!A:C,3,0)</f>
        <v>#N/A</v>
      </c>
      <c r="D2319" s="6">
        <f t="shared" si="37"/>
        <v>0</v>
      </c>
    </row>
    <row r="2320" spans="3:4" ht="15" x14ac:dyDescent="0.25">
      <c r="C2320" s="8" t="e">
        <f>VLOOKUP(A:A,'ITEM LIST'!A:C,3,0)</f>
        <v>#N/A</v>
      </c>
      <c r="D2320" s="6">
        <f t="shared" si="37"/>
        <v>0</v>
      </c>
    </row>
    <row r="2321" spans="3:4" ht="15" x14ac:dyDescent="0.25">
      <c r="C2321" s="8" t="e">
        <f>VLOOKUP(A:A,'ITEM LIST'!A:C,3,0)</f>
        <v>#N/A</v>
      </c>
      <c r="D2321" s="6">
        <f t="shared" si="37"/>
        <v>0</v>
      </c>
    </row>
    <row r="2322" spans="3:4" ht="15" x14ac:dyDescent="0.25">
      <c r="C2322" s="8" t="e">
        <f>VLOOKUP(A:A,'ITEM LIST'!A:C,3,0)</f>
        <v>#N/A</v>
      </c>
      <c r="D2322" s="6">
        <f t="shared" si="37"/>
        <v>0</v>
      </c>
    </row>
    <row r="2323" spans="3:4" ht="15" x14ac:dyDescent="0.25">
      <c r="C2323" s="8" t="e">
        <f>VLOOKUP(A:A,'ITEM LIST'!A:C,3,0)</f>
        <v>#N/A</v>
      </c>
      <c r="D2323" s="6">
        <f t="shared" si="37"/>
        <v>0</v>
      </c>
    </row>
    <row r="2324" spans="3:4" ht="15" x14ac:dyDescent="0.25">
      <c r="C2324" s="8" t="e">
        <f>VLOOKUP(A:A,'ITEM LIST'!A:C,3,0)</f>
        <v>#N/A</v>
      </c>
      <c r="D2324" s="6">
        <f t="shared" si="37"/>
        <v>0</v>
      </c>
    </row>
    <row r="2325" spans="3:4" ht="15" x14ac:dyDescent="0.25">
      <c r="C2325" s="8" t="e">
        <f>VLOOKUP(A:A,'ITEM LIST'!A:C,3,0)</f>
        <v>#N/A</v>
      </c>
      <c r="D2325" s="6">
        <f t="shared" si="37"/>
        <v>0</v>
      </c>
    </row>
    <row r="2326" spans="3:4" ht="15" x14ac:dyDescent="0.25">
      <c r="C2326" s="8" t="e">
        <f>VLOOKUP(A:A,'ITEM LIST'!A:C,3,0)</f>
        <v>#N/A</v>
      </c>
      <c r="D2326" s="6">
        <f t="shared" si="37"/>
        <v>0</v>
      </c>
    </row>
    <row r="2327" spans="3:4" ht="15" x14ac:dyDescent="0.25">
      <c r="C2327" s="8" t="e">
        <f>VLOOKUP(A:A,'ITEM LIST'!A:C,3,0)</f>
        <v>#N/A</v>
      </c>
      <c r="D2327" s="6">
        <f t="shared" si="37"/>
        <v>0</v>
      </c>
    </row>
    <row r="2328" spans="3:4" ht="15" x14ac:dyDescent="0.25">
      <c r="C2328" s="8" t="e">
        <f>VLOOKUP(A:A,'ITEM LIST'!A:C,3,0)</f>
        <v>#N/A</v>
      </c>
      <c r="D2328" s="6">
        <f t="shared" si="37"/>
        <v>0</v>
      </c>
    </row>
    <row r="2329" spans="3:4" ht="15" x14ac:dyDescent="0.25">
      <c r="C2329" s="8" t="e">
        <f>VLOOKUP(A:A,'ITEM LIST'!A:C,3,0)</f>
        <v>#N/A</v>
      </c>
      <c r="D2329" s="6">
        <f t="shared" si="37"/>
        <v>0</v>
      </c>
    </row>
    <row r="2330" spans="3:4" ht="15" x14ac:dyDescent="0.25">
      <c r="C2330" s="8" t="e">
        <f>VLOOKUP(A:A,'ITEM LIST'!A:C,3,0)</f>
        <v>#N/A</v>
      </c>
      <c r="D2330" s="6">
        <f t="shared" si="37"/>
        <v>0</v>
      </c>
    </row>
    <row r="2331" spans="3:4" ht="15" x14ac:dyDescent="0.25">
      <c r="C2331" s="8" t="e">
        <f>VLOOKUP(A:A,'ITEM LIST'!A:C,3,0)</f>
        <v>#N/A</v>
      </c>
      <c r="D2331" s="6">
        <f t="shared" si="37"/>
        <v>0</v>
      </c>
    </row>
    <row r="2332" spans="3:4" ht="15" x14ac:dyDescent="0.25">
      <c r="C2332" s="8" t="e">
        <f>VLOOKUP(A:A,'ITEM LIST'!A:C,3,0)</f>
        <v>#N/A</v>
      </c>
      <c r="D2332" s="6">
        <f t="shared" si="37"/>
        <v>0</v>
      </c>
    </row>
    <row r="2333" spans="3:4" ht="15" x14ac:dyDescent="0.25">
      <c r="C2333" s="8" t="e">
        <f>VLOOKUP(A:A,'ITEM LIST'!A:C,3,0)</f>
        <v>#N/A</v>
      </c>
      <c r="D2333" s="6">
        <f t="shared" si="37"/>
        <v>0</v>
      </c>
    </row>
    <row r="2334" spans="3:4" ht="15" x14ac:dyDescent="0.25">
      <c r="C2334" s="8" t="e">
        <f>VLOOKUP(A:A,'ITEM LIST'!A:C,3,0)</f>
        <v>#N/A</v>
      </c>
      <c r="D2334" s="6">
        <f t="shared" si="37"/>
        <v>0</v>
      </c>
    </row>
    <row r="2335" spans="3:4" ht="15" x14ac:dyDescent="0.25">
      <c r="C2335" s="8" t="e">
        <f>VLOOKUP(A:A,'ITEM LIST'!A:C,3,0)</f>
        <v>#N/A</v>
      </c>
      <c r="D2335" s="6">
        <f t="shared" si="37"/>
        <v>0</v>
      </c>
    </row>
    <row r="2336" spans="3:4" ht="15" x14ac:dyDescent="0.25">
      <c r="C2336" s="8" t="e">
        <f>VLOOKUP(A:A,'ITEM LIST'!A:C,3,0)</f>
        <v>#N/A</v>
      </c>
      <c r="D2336" s="6">
        <f t="shared" si="37"/>
        <v>0</v>
      </c>
    </row>
    <row r="2337" spans="3:4" ht="15" x14ac:dyDescent="0.25">
      <c r="C2337" s="8" t="e">
        <f>VLOOKUP(A:A,'ITEM LIST'!A:C,3,0)</f>
        <v>#N/A</v>
      </c>
      <c r="D2337" s="6">
        <f t="shared" si="37"/>
        <v>0</v>
      </c>
    </row>
    <row r="2338" spans="3:4" ht="15" x14ac:dyDescent="0.25">
      <c r="C2338" s="8" t="e">
        <f>VLOOKUP(A:A,'ITEM LIST'!A:C,3,0)</f>
        <v>#N/A</v>
      </c>
      <c r="D2338" s="6">
        <f t="shared" si="37"/>
        <v>0</v>
      </c>
    </row>
    <row r="2339" spans="3:4" ht="15" x14ac:dyDescent="0.25">
      <c r="C2339" s="8" t="e">
        <f>VLOOKUP(A:A,'ITEM LIST'!A:C,3,0)</f>
        <v>#N/A</v>
      </c>
      <c r="D2339" s="6">
        <f t="shared" si="37"/>
        <v>0</v>
      </c>
    </row>
    <row r="2340" spans="3:4" ht="15" x14ac:dyDescent="0.25">
      <c r="C2340" s="8" t="e">
        <f>VLOOKUP(A:A,'ITEM LIST'!A:C,3,0)</f>
        <v>#N/A</v>
      </c>
      <c r="D2340" s="6">
        <f t="shared" si="37"/>
        <v>0</v>
      </c>
    </row>
    <row r="2341" spans="3:4" ht="15" x14ac:dyDescent="0.25">
      <c r="C2341" s="8" t="e">
        <f>VLOOKUP(A:A,'ITEM LIST'!A:C,3,0)</f>
        <v>#N/A</v>
      </c>
      <c r="D2341" s="6">
        <f t="shared" si="37"/>
        <v>0</v>
      </c>
    </row>
    <row r="2342" spans="3:4" ht="15" x14ac:dyDescent="0.25">
      <c r="C2342" s="8" t="e">
        <f>VLOOKUP(A:A,'ITEM LIST'!A:C,3,0)</f>
        <v>#N/A</v>
      </c>
      <c r="D2342" s="6">
        <f t="shared" si="37"/>
        <v>0</v>
      </c>
    </row>
    <row r="2343" spans="3:4" ht="15" x14ac:dyDescent="0.25">
      <c r="C2343" s="8" t="e">
        <f>VLOOKUP(A:A,'ITEM LIST'!A:C,3,0)</f>
        <v>#N/A</v>
      </c>
      <c r="D2343" s="6">
        <f t="shared" si="37"/>
        <v>0</v>
      </c>
    </row>
    <row r="2344" spans="3:4" ht="15" x14ac:dyDescent="0.25">
      <c r="C2344" s="8" t="e">
        <f>VLOOKUP(A:A,'ITEM LIST'!A:C,3,0)</f>
        <v>#N/A</v>
      </c>
      <c r="D2344" s="6">
        <f t="shared" si="37"/>
        <v>0</v>
      </c>
    </row>
    <row r="2345" spans="3:4" ht="15" x14ac:dyDescent="0.25">
      <c r="C2345" s="8" t="e">
        <f>VLOOKUP(A:A,'ITEM LIST'!A:C,3,0)</f>
        <v>#N/A</v>
      </c>
      <c r="D2345" s="6">
        <f t="shared" si="37"/>
        <v>0</v>
      </c>
    </row>
    <row r="2346" spans="3:4" ht="15" x14ac:dyDescent="0.25">
      <c r="C2346" s="8" t="e">
        <f>VLOOKUP(A:A,'ITEM LIST'!A:C,3,0)</f>
        <v>#N/A</v>
      </c>
      <c r="D2346" s="6">
        <f t="shared" si="37"/>
        <v>0</v>
      </c>
    </row>
    <row r="2347" spans="3:4" ht="15" x14ac:dyDescent="0.25">
      <c r="C2347" s="8" t="e">
        <f>VLOOKUP(A:A,'ITEM LIST'!A:C,3,0)</f>
        <v>#N/A</v>
      </c>
      <c r="D2347" s="6">
        <f t="shared" si="37"/>
        <v>0</v>
      </c>
    </row>
    <row r="2348" spans="3:4" ht="15" x14ac:dyDescent="0.25">
      <c r="C2348" s="8" t="e">
        <f>VLOOKUP(A:A,'ITEM LIST'!A:C,3,0)</f>
        <v>#N/A</v>
      </c>
      <c r="D2348" s="6">
        <f t="shared" si="37"/>
        <v>0</v>
      </c>
    </row>
    <row r="2349" spans="3:4" ht="15" x14ac:dyDescent="0.25">
      <c r="C2349" s="8" t="e">
        <f>VLOOKUP(A:A,'ITEM LIST'!A:C,3,0)</f>
        <v>#N/A</v>
      </c>
      <c r="D2349" s="6">
        <f t="shared" si="37"/>
        <v>0</v>
      </c>
    </row>
    <row r="2350" spans="3:4" ht="15" x14ac:dyDescent="0.25">
      <c r="C2350" s="8" t="e">
        <f>VLOOKUP(A:A,'ITEM LIST'!A:C,3,0)</f>
        <v>#N/A</v>
      </c>
      <c r="D2350" s="6">
        <f t="shared" si="37"/>
        <v>0</v>
      </c>
    </row>
    <row r="2351" spans="3:4" ht="15" x14ac:dyDescent="0.25">
      <c r="C2351" s="8" t="e">
        <f>VLOOKUP(A:A,'ITEM LIST'!A:C,3,0)</f>
        <v>#N/A</v>
      </c>
      <c r="D2351" s="6">
        <f t="shared" si="37"/>
        <v>0</v>
      </c>
    </row>
    <row r="2352" spans="3:4" ht="15" x14ac:dyDescent="0.25">
      <c r="C2352" s="8" t="e">
        <f>VLOOKUP(A:A,'ITEM LIST'!A:C,3,0)</f>
        <v>#N/A</v>
      </c>
      <c r="D2352" s="6">
        <f t="shared" si="37"/>
        <v>0</v>
      </c>
    </row>
    <row r="2353" spans="3:4" ht="15" x14ac:dyDescent="0.25">
      <c r="C2353" s="8" t="e">
        <f>VLOOKUP(A:A,'ITEM LIST'!A:C,3,0)</f>
        <v>#N/A</v>
      </c>
      <c r="D2353" s="6">
        <f t="shared" si="37"/>
        <v>0</v>
      </c>
    </row>
    <row r="2354" spans="3:4" ht="15" x14ac:dyDescent="0.25">
      <c r="C2354" s="8" t="e">
        <f>VLOOKUP(A:A,'ITEM LIST'!A:C,3,0)</f>
        <v>#N/A</v>
      </c>
      <c r="D2354" s="6">
        <f t="shared" si="37"/>
        <v>0</v>
      </c>
    </row>
    <row r="2355" spans="3:4" ht="15" x14ac:dyDescent="0.25">
      <c r="C2355" s="8" t="e">
        <f>VLOOKUP(A:A,'ITEM LIST'!A:C,3,0)</f>
        <v>#N/A</v>
      </c>
      <c r="D2355" s="6">
        <f t="shared" si="37"/>
        <v>0</v>
      </c>
    </row>
    <row r="2356" spans="3:4" ht="15" x14ac:dyDescent="0.25">
      <c r="C2356" s="8" t="e">
        <f>VLOOKUP(A:A,'ITEM LIST'!A:C,3,0)</f>
        <v>#N/A</v>
      </c>
      <c r="D2356" s="6">
        <f t="shared" si="37"/>
        <v>0</v>
      </c>
    </row>
    <row r="2357" spans="3:4" ht="15" x14ac:dyDescent="0.25">
      <c r="C2357" s="8" t="e">
        <f>VLOOKUP(A:A,'ITEM LIST'!A:C,3,0)</f>
        <v>#N/A</v>
      </c>
      <c r="D2357" s="6">
        <f t="shared" si="37"/>
        <v>0</v>
      </c>
    </row>
    <row r="2358" spans="3:4" ht="15" x14ac:dyDescent="0.25">
      <c r="C2358" s="8" t="e">
        <f>VLOOKUP(A:A,'ITEM LIST'!A:C,3,0)</f>
        <v>#N/A</v>
      </c>
      <c r="D2358" s="6">
        <f t="shared" si="37"/>
        <v>0</v>
      </c>
    </row>
    <row r="2359" spans="3:4" ht="15" x14ac:dyDescent="0.25">
      <c r="C2359" s="8" t="e">
        <f>VLOOKUP(A:A,'ITEM LIST'!A:C,3,0)</f>
        <v>#N/A</v>
      </c>
      <c r="D2359" s="6">
        <f t="shared" si="37"/>
        <v>0</v>
      </c>
    </row>
    <row r="2360" spans="3:4" ht="15" x14ac:dyDescent="0.25">
      <c r="C2360" s="8" t="e">
        <f>VLOOKUP(A:A,'ITEM LIST'!A:C,3,0)</f>
        <v>#N/A</v>
      </c>
      <c r="D2360" s="6">
        <f t="shared" si="37"/>
        <v>0</v>
      </c>
    </row>
    <row r="2361" spans="3:4" ht="15" x14ac:dyDescent="0.25">
      <c r="C2361" s="8" t="e">
        <f>VLOOKUP(A:A,'ITEM LIST'!A:C,3,0)</f>
        <v>#N/A</v>
      </c>
      <c r="D2361" s="6">
        <f t="shared" si="37"/>
        <v>0</v>
      </c>
    </row>
    <row r="2362" spans="3:4" ht="15" x14ac:dyDescent="0.25">
      <c r="C2362" s="8" t="e">
        <f>VLOOKUP(A:A,'ITEM LIST'!A:C,3,0)</f>
        <v>#N/A</v>
      </c>
      <c r="D2362" s="6">
        <f t="shared" si="37"/>
        <v>0</v>
      </c>
    </row>
    <row r="2363" spans="3:4" ht="15" x14ac:dyDescent="0.25">
      <c r="C2363" s="8" t="e">
        <f>VLOOKUP(A:A,'ITEM LIST'!A:C,3,0)</f>
        <v>#N/A</v>
      </c>
      <c r="D2363" s="6">
        <f t="shared" si="37"/>
        <v>0</v>
      </c>
    </row>
    <row r="2364" spans="3:4" ht="15" x14ac:dyDescent="0.25">
      <c r="C2364" s="8" t="e">
        <f>VLOOKUP(A:A,'ITEM LIST'!A:C,3,0)</f>
        <v>#N/A</v>
      </c>
      <c r="D2364" s="6">
        <f t="shared" si="37"/>
        <v>0</v>
      </c>
    </row>
    <row r="2365" spans="3:4" ht="15" x14ac:dyDescent="0.25">
      <c r="C2365" s="8" t="e">
        <f>VLOOKUP(A:A,'ITEM LIST'!A:C,3,0)</f>
        <v>#N/A</v>
      </c>
      <c r="D2365" s="6">
        <f t="shared" si="37"/>
        <v>0</v>
      </c>
    </row>
    <row r="2366" spans="3:4" ht="15" x14ac:dyDescent="0.25">
      <c r="C2366" s="8" t="e">
        <f>VLOOKUP(A:A,'ITEM LIST'!A:C,3,0)</f>
        <v>#N/A</v>
      </c>
      <c r="D2366" s="6">
        <f t="shared" si="37"/>
        <v>0</v>
      </c>
    </row>
    <row r="2367" spans="3:4" ht="15" x14ac:dyDescent="0.25">
      <c r="C2367" s="8" t="e">
        <f>VLOOKUP(A:A,'ITEM LIST'!A:C,3,0)</f>
        <v>#N/A</v>
      </c>
      <c r="D2367" s="6">
        <f t="shared" si="37"/>
        <v>0</v>
      </c>
    </row>
    <row r="2368" spans="3:4" ht="15" x14ac:dyDescent="0.25">
      <c r="C2368" s="8" t="e">
        <f>VLOOKUP(A:A,'ITEM LIST'!A:C,3,0)</f>
        <v>#N/A</v>
      </c>
      <c r="D2368" s="6">
        <f t="shared" si="37"/>
        <v>0</v>
      </c>
    </row>
    <row r="2369" spans="3:4" ht="15" x14ac:dyDescent="0.25">
      <c r="C2369" s="8" t="e">
        <f>VLOOKUP(A:A,'ITEM LIST'!A:C,3,0)</f>
        <v>#N/A</v>
      </c>
      <c r="D2369" s="6">
        <f t="shared" si="37"/>
        <v>0</v>
      </c>
    </row>
    <row r="2370" spans="3:4" ht="15" x14ac:dyDescent="0.25">
      <c r="C2370" s="8" t="e">
        <f>VLOOKUP(A:A,'ITEM LIST'!A:C,3,0)</f>
        <v>#N/A</v>
      </c>
      <c r="D2370" s="6">
        <f t="shared" si="37"/>
        <v>0</v>
      </c>
    </row>
    <row r="2371" spans="3:4" ht="15" x14ac:dyDescent="0.25">
      <c r="C2371" s="8" t="e">
        <f>VLOOKUP(A:A,'ITEM LIST'!A:C,3,0)</f>
        <v>#N/A</v>
      </c>
      <c r="D2371" s="6">
        <f t="shared" si="37"/>
        <v>0</v>
      </c>
    </row>
    <row r="2372" spans="3:4" ht="15" x14ac:dyDescent="0.25">
      <c r="C2372" s="8" t="e">
        <f>VLOOKUP(A:A,'ITEM LIST'!A:C,3,0)</f>
        <v>#N/A</v>
      </c>
      <c r="D2372" s="6">
        <f t="shared" si="37"/>
        <v>0</v>
      </c>
    </row>
    <row r="2373" spans="3:4" ht="15" x14ac:dyDescent="0.25">
      <c r="C2373" s="8" t="e">
        <f>VLOOKUP(A:A,'ITEM LIST'!A:C,3,0)</f>
        <v>#N/A</v>
      </c>
      <c r="D2373" s="6">
        <f t="shared" si="37"/>
        <v>0</v>
      </c>
    </row>
    <row r="2374" spans="3:4" ht="15" x14ac:dyDescent="0.25">
      <c r="C2374" s="8" t="e">
        <f>VLOOKUP(A:A,'ITEM LIST'!A:C,3,0)</f>
        <v>#N/A</v>
      </c>
      <c r="D2374" s="6">
        <f t="shared" ref="D2374:D2437" si="38">B2374</f>
        <v>0</v>
      </c>
    </row>
    <row r="2375" spans="3:4" ht="15" x14ac:dyDescent="0.25">
      <c r="C2375" s="8" t="e">
        <f>VLOOKUP(A:A,'ITEM LIST'!A:C,3,0)</f>
        <v>#N/A</v>
      </c>
      <c r="D2375" s="6">
        <f t="shared" si="38"/>
        <v>0</v>
      </c>
    </row>
    <row r="2376" spans="3:4" ht="15" x14ac:dyDescent="0.25">
      <c r="C2376" s="8" t="e">
        <f>VLOOKUP(A:A,'ITEM LIST'!A:C,3,0)</f>
        <v>#N/A</v>
      </c>
      <c r="D2376" s="6">
        <f t="shared" si="38"/>
        <v>0</v>
      </c>
    </row>
    <row r="2377" spans="3:4" ht="15" x14ac:dyDescent="0.25">
      <c r="C2377" s="8" t="e">
        <f>VLOOKUP(A:A,'ITEM LIST'!A:C,3,0)</f>
        <v>#N/A</v>
      </c>
      <c r="D2377" s="6">
        <f t="shared" si="38"/>
        <v>0</v>
      </c>
    </row>
    <row r="2378" spans="3:4" ht="15" x14ac:dyDescent="0.25">
      <c r="C2378" s="8" t="e">
        <f>VLOOKUP(A:A,'ITEM LIST'!A:C,3,0)</f>
        <v>#N/A</v>
      </c>
      <c r="D2378" s="6">
        <f t="shared" si="38"/>
        <v>0</v>
      </c>
    </row>
    <row r="2379" spans="3:4" ht="15" x14ac:dyDescent="0.25">
      <c r="C2379" s="8" t="e">
        <f>VLOOKUP(A:A,'ITEM LIST'!A:C,3,0)</f>
        <v>#N/A</v>
      </c>
      <c r="D2379" s="6">
        <f t="shared" si="38"/>
        <v>0</v>
      </c>
    </row>
    <row r="2380" spans="3:4" ht="15" x14ac:dyDescent="0.25">
      <c r="C2380" s="8" t="e">
        <f>VLOOKUP(A:A,'ITEM LIST'!A:C,3,0)</f>
        <v>#N/A</v>
      </c>
      <c r="D2380" s="6">
        <f t="shared" si="38"/>
        <v>0</v>
      </c>
    </row>
    <row r="2381" spans="3:4" ht="15" x14ac:dyDescent="0.25">
      <c r="C2381" s="8" t="e">
        <f>VLOOKUP(A:A,'ITEM LIST'!A:C,3,0)</f>
        <v>#N/A</v>
      </c>
      <c r="D2381" s="6">
        <f t="shared" si="38"/>
        <v>0</v>
      </c>
    </row>
    <row r="2382" spans="3:4" ht="15" x14ac:dyDescent="0.25">
      <c r="C2382" s="8" t="e">
        <f>VLOOKUP(A:A,'ITEM LIST'!A:C,3,0)</f>
        <v>#N/A</v>
      </c>
      <c r="D2382" s="6">
        <f t="shared" si="38"/>
        <v>0</v>
      </c>
    </row>
    <row r="2383" spans="3:4" ht="15" x14ac:dyDescent="0.25">
      <c r="C2383" s="8" t="e">
        <f>VLOOKUP(A:A,'ITEM LIST'!A:C,3,0)</f>
        <v>#N/A</v>
      </c>
      <c r="D2383" s="6">
        <f t="shared" si="38"/>
        <v>0</v>
      </c>
    </row>
    <row r="2384" spans="3:4" ht="15" x14ac:dyDescent="0.25">
      <c r="C2384" s="8" t="e">
        <f>VLOOKUP(A:A,'ITEM LIST'!A:C,3,0)</f>
        <v>#N/A</v>
      </c>
      <c r="D2384" s="6">
        <f t="shared" si="38"/>
        <v>0</v>
      </c>
    </row>
    <row r="2385" spans="3:4" ht="15" x14ac:dyDescent="0.25">
      <c r="C2385" s="8" t="e">
        <f>VLOOKUP(A:A,'ITEM LIST'!A:C,3,0)</f>
        <v>#N/A</v>
      </c>
      <c r="D2385" s="6">
        <f t="shared" si="38"/>
        <v>0</v>
      </c>
    </row>
    <row r="2386" spans="3:4" ht="15" x14ac:dyDescent="0.25">
      <c r="C2386" s="8" t="e">
        <f>VLOOKUP(A:A,'ITEM LIST'!A:C,3,0)</f>
        <v>#N/A</v>
      </c>
      <c r="D2386" s="6">
        <f t="shared" si="38"/>
        <v>0</v>
      </c>
    </row>
    <row r="2387" spans="3:4" ht="15" x14ac:dyDescent="0.25">
      <c r="C2387" s="8" t="e">
        <f>VLOOKUP(A:A,'ITEM LIST'!A:C,3,0)</f>
        <v>#N/A</v>
      </c>
      <c r="D2387" s="6">
        <f t="shared" si="38"/>
        <v>0</v>
      </c>
    </row>
    <row r="2388" spans="3:4" ht="15" x14ac:dyDescent="0.25">
      <c r="C2388" s="8" t="e">
        <f>VLOOKUP(A:A,'ITEM LIST'!A:C,3,0)</f>
        <v>#N/A</v>
      </c>
      <c r="D2388" s="6">
        <f t="shared" si="38"/>
        <v>0</v>
      </c>
    </row>
    <row r="2389" spans="3:4" ht="15" x14ac:dyDescent="0.25">
      <c r="C2389" s="8" t="e">
        <f>VLOOKUP(A:A,'ITEM LIST'!A:C,3,0)</f>
        <v>#N/A</v>
      </c>
      <c r="D2389" s="6">
        <f t="shared" si="38"/>
        <v>0</v>
      </c>
    </row>
    <row r="2390" spans="3:4" ht="15" x14ac:dyDescent="0.25">
      <c r="C2390" s="8" t="e">
        <f>VLOOKUP(A:A,'ITEM LIST'!A:C,3,0)</f>
        <v>#N/A</v>
      </c>
      <c r="D2390" s="6">
        <f t="shared" si="38"/>
        <v>0</v>
      </c>
    </row>
    <row r="2391" spans="3:4" ht="15" x14ac:dyDescent="0.25">
      <c r="C2391" s="8" t="e">
        <f>VLOOKUP(A:A,'ITEM LIST'!A:C,3,0)</f>
        <v>#N/A</v>
      </c>
      <c r="D2391" s="6">
        <f t="shared" si="38"/>
        <v>0</v>
      </c>
    </row>
    <row r="2392" spans="3:4" ht="15" x14ac:dyDescent="0.25">
      <c r="C2392" s="8" t="e">
        <f>VLOOKUP(A:A,'ITEM LIST'!A:C,3,0)</f>
        <v>#N/A</v>
      </c>
      <c r="D2392" s="6">
        <f t="shared" si="38"/>
        <v>0</v>
      </c>
    </row>
    <row r="2393" spans="3:4" ht="15" x14ac:dyDescent="0.25">
      <c r="C2393" s="8" t="e">
        <f>VLOOKUP(A:A,'ITEM LIST'!A:C,3,0)</f>
        <v>#N/A</v>
      </c>
      <c r="D2393" s="6">
        <f t="shared" si="38"/>
        <v>0</v>
      </c>
    </row>
    <row r="2394" spans="3:4" ht="15" x14ac:dyDescent="0.25">
      <c r="C2394" s="8" t="e">
        <f>VLOOKUP(A:A,'ITEM LIST'!A:C,3,0)</f>
        <v>#N/A</v>
      </c>
      <c r="D2394" s="6">
        <f t="shared" si="38"/>
        <v>0</v>
      </c>
    </row>
    <row r="2395" spans="3:4" ht="15" x14ac:dyDescent="0.25">
      <c r="C2395" s="8" t="e">
        <f>VLOOKUP(A:A,'ITEM LIST'!A:C,3,0)</f>
        <v>#N/A</v>
      </c>
      <c r="D2395" s="6">
        <f t="shared" si="38"/>
        <v>0</v>
      </c>
    </row>
    <row r="2396" spans="3:4" ht="15" x14ac:dyDescent="0.25">
      <c r="C2396" s="8" t="e">
        <f>VLOOKUP(A:A,'ITEM LIST'!A:C,3,0)</f>
        <v>#N/A</v>
      </c>
      <c r="D2396" s="6">
        <f t="shared" si="38"/>
        <v>0</v>
      </c>
    </row>
    <row r="2397" spans="3:4" ht="15" x14ac:dyDescent="0.25">
      <c r="C2397" s="8" t="e">
        <f>VLOOKUP(A:A,'ITEM LIST'!A:C,3,0)</f>
        <v>#N/A</v>
      </c>
      <c r="D2397" s="6">
        <f t="shared" si="38"/>
        <v>0</v>
      </c>
    </row>
    <row r="2398" spans="3:4" ht="15" x14ac:dyDescent="0.25">
      <c r="C2398" s="8" t="e">
        <f>VLOOKUP(A:A,'ITEM LIST'!A:C,3,0)</f>
        <v>#N/A</v>
      </c>
      <c r="D2398" s="6">
        <f t="shared" si="38"/>
        <v>0</v>
      </c>
    </row>
    <row r="2399" spans="3:4" ht="15" x14ac:dyDescent="0.25">
      <c r="C2399" s="8" t="e">
        <f>VLOOKUP(A:A,'ITEM LIST'!A:C,3,0)</f>
        <v>#N/A</v>
      </c>
      <c r="D2399" s="6">
        <f t="shared" si="38"/>
        <v>0</v>
      </c>
    </row>
    <row r="2400" spans="3:4" ht="15" x14ac:dyDescent="0.25">
      <c r="C2400" s="8" t="e">
        <f>VLOOKUP(A:A,'ITEM LIST'!A:C,3,0)</f>
        <v>#N/A</v>
      </c>
      <c r="D2400" s="6">
        <f t="shared" si="38"/>
        <v>0</v>
      </c>
    </row>
    <row r="2401" spans="3:4" ht="15" x14ac:dyDescent="0.25">
      <c r="C2401" s="8" t="e">
        <f>VLOOKUP(A:A,'ITEM LIST'!A:C,3,0)</f>
        <v>#N/A</v>
      </c>
      <c r="D2401" s="6">
        <f t="shared" si="38"/>
        <v>0</v>
      </c>
    </row>
    <row r="2402" spans="3:4" ht="15" x14ac:dyDescent="0.25">
      <c r="C2402" s="8" t="e">
        <f>VLOOKUP(A:A,'ITEM LIST'!A:C,3,0)</f>
        <v>#N/A</v>
      </c>
      <c r="D2402" s="6">
        <f t="shared" si="38"/>
        <v>0</v>
      </c>
    </row>
    <row r="2403" spans="3:4" ht="15" x14ac:dyDescent="0.25">
      <c r="C2403" s="8" t="e">
        <f>VLOOKUP(A:A,'ITEM LIST'!A:C,3,0)</f>
        <v>#N/A</v>
      </c>
      <c r="D2403" s="6">
        <f t="shared" si="38"/>
        <v>0</v>
      </c>
    </row>
    <row r="2404" spans="3:4" ht="15" x14ac:dyDescent="0.25">
      <c r="C2404" s="8" t="e">
        <f>VLOOKUP(A:A,'ITEM LIST'!A:C,3,0)</f>
        <v>#N/A</v>
      </c>
      <c r="D2404" s="6">
        <f t="shared" si="38"/>
        <v>0</v>
      </c>
    </row>
    <row r="2405" spans="3:4" ht="15" x14ac:dyDescent="0.25">
      <c r="C2405" s="8" t="e">
        <f>VLOOKUP(A:A,'ITEM LIST'!A:C,3,0)</f>
        <v>#N/A</v>
      </c>
      <c r="D2405" s="6">
        <f t="shared" si="38"/>
        <v>0</v>
      </c>
    </row>
    <row r="2406" spans="3:4" ht="15" x14ac:dyDescent="0.25">
      <c r="C2406" s="8" t="e">
        <f>VLOOKUP(A:A,'ITEM LIST'!A:C,3,0)</f>
        <v>#N/A</v>
      </c>
      <c r="D2406" s="6">
        <f t="shared" si="38"/>
        <v>0</v>
      </c>
    </row>
    <row r="2407" spans="3:4" ht="15" x14ac:dyDescent="0.25">
      <c r="C2407" s="8" t="e">
        <f>VLOOKUP(A:A,'ITEM LIST'!A:C,3,0)</f>
        <v>#N/A</v>
      </c>
      <c r="D2407" s="6">
        <f t="shared" si="38"/>
        <v>0</v>
      </c>
    </row>
    <row r="2408" spans="3:4" ht="15" x14ac:dyDescent="0.25">
      <c r="C2408" s="8" t="e">
        <f>VLOOKUP(A:A,'ITEM LIST'!A:C,3,0)</f>
        <v>#N/A</v>
      </c>
      <c r="D2408" s="6">
        <f t="shared" si="38"/>
        <v>0</v>
      </c>
    </row>
    <row r="2409" spans="3:4" ht="15" x14ac:dyDescent="0.25">
      <c r="C2409" s="8" t="e">
        <f>VLOOKUP(A:A,'ITEM LIST'!A:C,3,0)</f>
        <v>#N/A</v>
      </c>
      <c r="D2409" s="6">
        <f t="shared" si="38"/>
        <v>0</v>
      </c>
    </row>
    <row r="2410" spans="3:4" ht="15" x14ac:dyDescent="0.25">
      <c r="C2410" s="8" t="e">
        <f>VLOOKUP(A:A,'ITEM LIST'!A:C,3,0)</f>
        <v>#N/A</v>
      </c>
      <c r="D2410" s="6">
        <f t="shared" si="38"/>
        <v>0</v>
      </c>
    </row>
    <row r="2411" spans="3:4" ht="15" x14ac:dyDescent="0.25">
      <c r="C2411" s="8" t="e">
        <f>VLOOKUP(A:A,'ITEM LIST'!A:C,3,0)</f>
        <v>#N/A</v>
      </c>
      <c r="D2411" s="6">
        <f t="shared" si="38"/>
        <v>0</v>
      </c>
    </row>
    <row r="2412" spans="3:4" ht="15" x14ac:dyDescent="0.25">
      <c r="C2412" s="8" t="e">
        <f>VLOOKUP(A:A,'ITEM LIST'!A:C,3,0)</f>
        <v>#N/A</v>
      </c>
      <c r="D2412" s="6">
        <f t="shared" si="38"/>
        <v>0</v>
      </c>
    </row>
    <row r="2413" spans="3:4" ht="15" x14ac:dyDescent="0.25">
      <c r="C2413" s="8" t="e">
        <f>VLOOKUP(A:A,'ITEM LIST'!A:C,3,0)</f>
        <v>#N/A</v>
      </c>
      <c r="D2413" s="6">
        <f t="shared" si="38"/>
        <v>0</v>
      </c>
    </row>
    <row r="2414" spans="3:4" ht="15" x14ac:dyDescent="0.25">
      <c r="C2414" s="8" t="e">
        <f>VLOOKUP(A:A,'ITEM LIST'!A:C,3,0)</f>
        <v>#N/A</v>
      </c>
      <c r="D2414" s="6">
        <f t="shared" si="38"/>
        <v>0</v>
      </c>
    </row>
    <row r="2415" spans="3:4" ht="15" x14ac:dyDescent="0.25">
      <c r="C2415" s="8" t="e">
        <f>VLOOKUP(A:A,'ITEM LIST'!A:C,3,0)</f>
        <v>#N/A</v>
      </c>
      <c r="D2415" s="6">
        <f t="shared" si="38"/>
        <v>0</v>
      </c>
    </row>
    <row r="2416" spans="3:4" ht="15" x14ac:dyDescent="0.25">
      <c r="C2416" s="8" t="e">
        <f>VLOOKUP(A:A,'ITEM LIST'!A:C,3,0)</f>
        <v>#N/A</v>
      </c>
      <c r="D2416" s="6">
        <f t="shared" si="38"/>
        <v>0</v>
      </c>
    </row>
    <row r="2417" spans="3:4" ht="15" x14ac:dyDescent="0.25">
      <c r="C2417" s="8" t="e">
        <f>VLOOKUP(A:A,'ITEM LIST'!A:C,3,0)</f>
        <v>#N/A</v>
      </c>
      <c r="D2417" s="6">
        <f t="shared" si="38"/>
        <v>0</v>
      </c>
    </row>
    <row r="2418" spans="3:4" ht="15" x14ac:dyDescent="0.25">
      <c r="C2418" s="8" t="e">
        <f>VLOOKUP(A:A,'ITEM LIST'!A:C,3,0)</f>
        <v>#N/A</v>
      </c>
      <c r="D2418" s="6">
        <f t="shared" si="38"/>
        <v>0</v>
      </c>
    </row>
    <row r="2419" spans="3:4" ht="15" x14ac:dyDescent="0.25">
      <c r="C2419" s="8" t="e">
        <f>VLOOKUP(A:A,'ITEM LIST'!A:C,3,0)</f>
        <v>#N/A</v>
      </c>
      <c r="D2419" s="6">
        <f t="shared" si="38"/>
        <v>0</v>
      </c>
    </row>
    <row r="2420" spans="3:4" ht="15" x14ac:dyDescent="0.25">
      <c r="C2420" s="8" t="e">
        <f>VLOOKUP(A:A,'ITEM LIST'!A:C,3,0)</f>
        <v>#N/A</v>
      </c>
      <c r="D2420" s="6">
        <f t="shared" si="38"/>
        <v>0</v>
      </c>
    </row>
    <row r="2421" spans="3:4" ht="15" x14ac:dyDescent="0.25">
      <c r="C2421" s="8" t="e">
        <f>VLOOKUP(A:A,'ITEM LIST'!A:C,3,0)</f>
        <v>#N/A</v>
      </c>
      <c r="D2421" s="6">
        <f t="shared" si="38"/>
        <v>0</v>
      </c>
    </row>
    <row r="2422" spans="3:4" ht="15" x14ac:dyDescent="0.25">
      <c r="C2422" s="8" t="e">
        <f>VLOOKUP(A:A,'ITEM LIST'!A:C,3,0)</f>
        <v>#N/A</v>
      </c>
      <c r="D2422" s="6">
        <f t="shared" si="38"/>
        <v>0</v>
      </c>
    </row>
    <row r="2423" spans="3:4" ht="15" x14ac:dyDescent="0.25">
      <c r="C2423" s="8" t="e">
        <f>VLOOKUP(A:A,'ITEM LIST'!A:C,3,0)</f>
        <v>#N/A</v>
      </c>
      <c r="D2423" s="6">
        <f t="shared" si="38"/>
        <v>0</v>
      </c>
    </row>
    <row r="2424" spans="3:4" ht="15" x14ac:dyDescent="0.25">
      <c r="C2424" s="8" t="e">
        <f>VLOOKUP(A:A,'ITEM LIST'!A:C,3,0)</f>
        <v>#N/A</v>
      </c>
      <c r="D2424" s="6">
        <f t="shared" si="38"/>
        <v>0</v>
      </c>
    </row>
    <row r="2425" spans="3:4" ht="15" x14ac:dyDescent="0.25">
      <c r="C2425" s="8" t="e">
        <f>VLOOKUP(A:A,'ITEM LIST'!A:C,3,0)</f>
        <v>#N/A</v>
      </c>
      <c r="D2425" s="6">
        <f t="shared" si="38"/>
        <v>0</v>
      </c>
    </row>
    <row r="2426" spans="3:4" ht="15" x14ac:dyDescent="0.25">
      <c r="C2426" s="8" t="e">
        <f>VLOOKUP(A:A,'ITEM LIST'!A:C,3,0)</f>
        <v>#N/A</v>
      </c>
      <c r="D2426" s="6">
        <f t="shared" si="38"/>
        <v>0</v>
      </c>
    </row>
    <row r="2427" spans="3:4" ht="15" x14ac:dyDescent="0.25">
      <c r="C2427" s="8" t="e">
        <f>VLOOKUP(A:A,'ITEM LIST'!A:C,3,0)</f>
        <v>#N/A</v>
      </c>
      <c r="D2427" s="6">
        <f t="shared" si="38"/>
        <v>0</v>
      </c>
    </row>
    <row r="2428" spans="3:4" ht="15" x14ac:dyDescent="0.25">
      <c r="C2428" s="8" t="e">
        <f>VLOOKUP(A:A,'ITEM LIST'!A:C,3,0)</f>
        <v>#N/A</v>
      </c>
      <c r="D2428" s="6">
        <f t="shared" si="38"/>
        <v>0</v>
      </c>
    </row>
    <row r="2429" spans="3:4" ht="15" x14ac:dyDescent="0.25">
      <c r="C2429" s="8" t="e">
        <f>VLOOKUP(A:A,'ITEM LIST'!A:C,3,0)</f>
        <v>#N/A</v>
      </c>
      <c r="D2429" s="6">
        <f t="shared" si="38"/>
        <v>0</v>
      </c>
    </row>
    <row r="2430" spans="3:4" ht="15" x14ac:dyDescent="0.25">
      <c r="C2430" s="8" t="e">
        <f>VLOOKUP(A:A,'ITEM LIST'!A:C,3,0)</f>
        <v>#N/A</v>
      </c>
      <c r="D2430" s="6">
        <f t="shared" si="38"/>
        <v>0</v>
      </c>
    </row>
    <row r="2431" spans="3:4" ht="15" x14ac:dyDescent="0.25">
      <c r="C2431" s="8" t="e">
        <f>VLOOKUP(A:A,'ITEM LIST'!A:C,3,0)</f>
        <v>#N/A</v>
      </c>
      <c r="D2431" s="6">
        <f t="shared" si="38"/>
        <v>0</v>
      </c>
    </row>
    <row r="2432" spans="3:4" ht="15" x14ac:dyDescent="0.25">
      <c r="C2432" s="8" t="e">
        <f>VLOOKUP(A:A,'ITEM LIST'!A:C,3,0)</f>
        <v>#N/A</v>
      </c>
      <c r="D2432" s="6">
        <f t="shared" si="38"/>
        <v>0</v>
      </c>
    </row>
    <row r="2433" spans="3:4" ht="15" x14ac:dyDescent="0.25">
      <c r="C2433" s="8" t="e">
        <f>VLOOKUP(A:A,'ITEM LIST'!A:C,3,0)</f>
        <v>#N/A</v>
      </c>
      <c r="D2433" s="6">
        <f t="shared" si="38"/>
        <v>0</v>
      </c>
    </row>
    <row r="2434" spans="3:4" ht="15" x14ac:dyDescent="0.25">
      <c r="C2434" s="8" t="e">
        <f>VLOOKUP(A:A,'ITEM LIST'!A:C,3,0)</f>
        <v>#N/A</v>
      </c>
      <c r="D2434" s="6">
        <f t="shared" si="38"/>
        <v>0</v>
      </c>
    </row>
    <row r="2435" spans="3:4" ht="15" x14ac:dyDescent="0.25">
      <c r="C2435" s="8" t="e">
        <f>VLOOKUP(A:A,'ITEM LIST'!A:C,3,0)</f>
        <v>#N/A</v>
      </c>
      <c r="D2435" s="6">
        <f t="shared" si="38"/>
        <v>0</v>
      </c>
    </row>
    <row r="2436" spans="3:4" ht="15" x14ac:dyDescent="0.25">
      <c r="C2436" s="8" t="e">
        <f>VLOOKUP(A:A,'ITEM LIST'!A:C,3,0)</f>
        <v>#N/A</v>
      </c>
      <c r="D2436" s="6">
        <f t="shared" si="38"/>
        <v>0</v>
      </c>
    </row>
    <row r="2437" spans="3:4" ht="15" x14ac:dyDescent="0.25">
      <c r="C2437" s="8" t="e">
        <f>VLOOKUP(A:A,'ITEM LIST'!A:C,3,0)</f>
        <v>#N/A</v>
      </c>
      <c r="D2437" s="6">
        <f t="shared" si="38"/>
        <v>0</v>
      </c>
    </row>
    <row r="2438" spans="3:4" ht="15" x14ac:dyDescent="0.25">
      <c r="C2438" s="8" t="e">
        <f>VLOOKUP(A:A,'ITEM LIST'!A:C,3,0)</f>
        <v>#N/A</v>
      </c>
      <c r="D2438" s="6">
        <f t="shared" ref="D2438:D2501" si="39">B2438</f>
        <v>0</v>
      </c>
    </row>
    <row r="2439" spans="3:4" ht="15" x14ac:dyDescent="0.25">
      <c r="C2439" s="8" t="e">
        <f>VLOOKUP(A:A,'ITEM LIST'!A:C,3,0)</f>
        <v>#N/A</v>
      </c>
      <c r="D2439" s="6">
        <f t="shared" si="39"/>
        <v>0</v>
      </c>
    </row>
    <row r="2440" spans="3:4" ht="15" x14ac:dyDescent="0.25">
      <c r="C2440" s="8" t="e">
        <f>VLOOKUP(A:A,'ITEM LIST'!A:C,3,0)</f>
        <v>#N/A</v>
      </c>
      <c r="D2440" s="6">
        <f t="shared" si="39"/>
        <v>0</v>
      </c>
    </row>
    <row r="2441" spans="3:4" ht="15" x14ac:dyDescent="0.25">
      <c r="C2441" s="8" t="e">
        <f>VLOOKUP(A:A,'ITEM LIST'!A:C,3,0)</f>
        <v>#N/A</v>
      </c>
      <c r="D2441" s="6">
        <f t="shared" si="39"/>
        <v>0</v>
      </c>
    </row>
    <row r="2442" spans="3:4" ht="15" x14ac:dyDescent="0.25">
      <c r="C2442" s="8" t="e">
        <f>VLOOKUP(A:A,'ITEM LIST'!A:C,3,0)</f>
        <v>#N/A</v>
      </c>
      <c r="D2442" s="6">
        <f t="shared" si="39"/>
        <v>0</v>
      </c>
    </row>
    <row r="2443" spans="3:4" ht="15" x14ac:dyDescent="0.25">
      <c r="C2443" s="8" t="e">
        <f>VLOOKUP(A:A,'ITEM LIST'!A:C,3,0)</f>
        <v>#N/A</v>
      </c>
      <c r="D2443" s="6">
        <f t="shared" si="39"/>
        <v>0</v>
      </c>
    </row>
    <row r="2444" spans="3:4" ht="15" x14ac:dyDescent="0.25">
      <c r="C2444" s="8" t="e">
        <f>VLOOKUP(A:A,'ITEM LIST'!A:C,3,0)</f>
        <v>#N/A</v>
      </c>
      <c r="D2444" s="6">
        <f t="shared" si="39"/>
        <v>0</v>
      </c>
    </row>
    <row r="2445" spans="3:4" ht="15" x14ac:dyDescent="0.25">
      <c r="C2445" s="8" t="e">
        <f>VLOOKUP(A:A,'ITEM LIST'!A:C,3,0)</f>
        <v>#N/A</v>
      </c>
      <c r="D2445" s="6">
        <f t="shared" si="39"/>
        <v>0</v>
      </c>
    </row>
    <row r="2446" spans="3:4" ht="15" x14ac:dyDescent="0.25">
      <c r="C2446" s="8" t="e">
        <f>VLOOKUP(A:A,'ITEM LIST'!A:C,3,0)</f>
        <v>#N/A</v>
      </c>
      <c r="D2446" s="6">
        <f t="shared" si="39"/>
        <v>0</v>
      </c>
    </row>
    <row r="2447" spans="3:4" ht="15" x14ac:dyDescent="0.25">
      <c r="C2447" s="8" t="e">
        <f>VLOOKUP(A:A,'ITEM LIST'!A:C,3,0)</f>
        <v>#N/A</v>
      </c>
      <c r="D2447" s="6">
        <f t="shared" si="39"/>
        <v>0</v>
      </c>
    </row>
    <row r="2448" spans="3:4" ht="15" x14ac:dyDescent="0.25">
      <c r="C2448" s="8" t="e">
        <f>VLOOKUP(A:A,'ITEM LIST'!A:C,3,0)</f>
        <v>#N/A</v>
      </c>
      <c r="D2448" s="6">
        <f t="shared" si="39"/>
        <v>0</v>
      </c>
    </row>
    <row r="2449" spans="3:4" ht="15" x14ac:dyDescent="0.25">
      <c r="C2449" s="8" t="e">
        <f>VLOOKUP(A:A,'ITEM LIST'!A:C,3,0)</f>
        <v>#N/A</v>
      </c>
      <c r="D2449" s="6">
        <f t="shared" si="39"/>
        <v>0</v>
      </c>
    </row>
    <row r="2450" spans="3:4" ht="15" x14ac:dyDescent="0.25">
      <c r="C2450" s="8" t="e">
        <f>VLOOKUP(A:A,'ITEM LIST'!A:C,3,0)</f>
        <v>#N/A</v>
      </c>
      <c r="D2450" s="6">
        <f t="shared" si="39"/>
        <v>0</v>
      </c>
    </row>
    <row r="2451" spans="3:4" ht="15" x14ac:dyDescent="0.25">
      <c r="C2451" s="8" t="e">
        <f>VLOOKUP(A:A,'ITEM LIST'!A:C,3,0)</f>
        <v>#N/A</v>
      </c>
      <c r="D2451" s="6">
        <f t="shared" si="39"/>
        <v>0</v>
      </c>
    </row>
    <row r="2452" spans="3:4" ht="15" x14ac:dyDescent="0.25">
      <c r="C2452" s="8" t="e">
        <f>VLOOKUP(A:A,'ITEM LIST'!A:C,3,0)</f>
        <v>#N/A</v>
      </c>
      <c r="D2452" s="6">
        <f t="shared" si="39"/>
        <v>0</v>
      </c>
    </row>
    <row r="2453" spans="3:4" ht="15" x14ac:dyDescent="0.25">
      <c r="C2453" s="8" t="e">
        <f>VLOOKUP(A:A,'ITEM LIST'!A:C,3,0)</f>
        <v>#N/A</v>
      </c>
      <c r="D2453" s="6">
        <f t="shared" si="39"/>
        <v>0</v>
      </c>
    </row>
    <row r="2454" spans="3:4" ht="15" x14ac:dyDescent="0.25">
      <c r="C2454" s="8" t="e">
        <f>VLOOKUP(A:A,'ITEM LIST'!A:C,3,0)</f>
        <v>#N/A</v>
      </c>
      <c r="D2454" s="6">
        <f t="shared" si="39"/>
        <v>0</v>
      </c>
    </row>
    <row r="2455" spans="3:4" ht="15" x14ac:dyDescent="0.25">
      <c r="C2455" s="8" t="e">
        <f>VLOOKUP(A:A,'ITEM LIST'!A:C,3,0)</f>
        <v>#N/A</v>
      </c>
      <c r="D2455" s="6">
        <f t="shared" si="39"/>
        <v>0</v>
      </c>
    </row>
    <row r="2456" spans="3:4" ht="15" x14ac:dyDescent="0.25">
      <c r="C2456" s="8" t="e">
        <f>VLOOKUP(A:A,'ITEM LIST'!A:C,3,0)</f>
        <v>#N/A</v>
      </c>
      <c r="D2456" s="6">
        <f t="shared" si="39"/>
        <v>0</v>
      </c>
    </row>
    <row r="2457" spans="3:4" ht="15" x14ac:dyDescent="0.25">
      <c r="C2457" s="8" t="e">
        <f>VLOOKUP(A:A,'ITEM LIST'!A:C,3,0)</f>
        <v>#N/A</v>
      </c>
      <c r="D2457" s="6">
        <f t="shared" si="39"/>
        <v>0</v>
      </c>
    </row>
    <row r="2458" spans="3:4" ht="15" x14ac:dyDescent="0.25">
      <c r="C2458" s="8" t="e">
        <f>VLOOKUP(A:A,'ITEM LIST'!A:C,3,0)</f>
        <v>#N/A</v>
      </c>
      <c r="D2458" s="6">
        <f t="shared" si="39"/>
        <v>0</v>
      </c>
    </row>
    <row r="2459" spans="3:4" ht="15" x14ac:dyDescent="0.25">
      <c r="C2459" s="8" t="e">
        <f>VLOOKUP(A:A,'ITEM LIST'!A:C,3,0)</f>
        <v>#N/A</v>
      </c>
      <c r="D2459" s="6">
        <f t="shared" si="39"/>
        <v>0</v>
      </c>
    </row>
    <row r="2460" spans="3:4" ht="15" x14ac:dyDescent="0.25">
      <c r="C2460" s="8" t="e">
        <f>VLOOKUP(A:A,'ITEM LIST'!A:C,3,0)</f>
        <v>#N/A</v>
      </c>
      <c r="D2460" s="6">
        <f t="shared" si="39"/>
        <v>0</v>
      </c>
    </row>
    <row r="2461" spans="3:4" ht="15" x14ac:dyDescent="0.25">
      <c r="C2461" s="8" t="e">
        <f>VLOOKUP(A:A,'ITEM LIST'!A:C,3,0)</f>
        <v>#N/A</v>
      </c>
      <c r="D2461" s="6">
        <f t="shared" si="39"/>
        <v>0</v>
      </c>
    </row>
    <row r="2462" spans="3:4" ht="15" x14ac:dyDescent="0.25">
      <c r="C2462" s="8" t="e">
        <f>VLOOKUP(A:A,'ITEM LIST'!A:C,3,0)</f>
        <v>#N/A</v>
      </c>
      <c r="D2462" s="6">
        <f t="shared" si="39"/>
        <v>0</v>
      </c>
    </row>
    <row r="2463" spans="3:4" ht="15" x14ac:dyDescent="0.25">
      <c r="C2463" s="8" t="e">
        <f>VLOOKUP(A:A,'ITEM LIST'!A:C,3,0)</f>
        <v>#N/A</v>
      </c>
      <c r="D2463" s="6">
        <f t="shared" si="39"/>
        <v>0</v>
      </c>
    </row>
    <row r="2464" spans="3:4" ht="15" x14ac:dyDescent="0.25">
      <c r="C2464" s="8" t="e">
        <f>VLOOKUP(A:A,'ITEM LIST'!A:C,3,0)</f>
        <v>#N/A</v>
      </c>
      <c r="D2464" s="6">
        <f t="shared" si="39"/>
        <v>0</v>
      </c>
    </row>
    <row r="2465" spans="3:4" ht="15" x14ac:dyDescent="0.25">
      <c r="C2465" s="8" t="e">
        <f>VLOOKUP(A:A,'ITEM LIST'!A:C,3,0)</f>
        <v>#N/A</v>
      </c>
      <c r="D2465" s="6">
        <f t="shared" si="39"/>
        <v>0</v>
      </c>
    </row>
    <row r="2466" spans="3:4" ht="15" x14ac:dyDescent="0.25">
      <c r="C2466" s="8" t="e">
        <f>VLOOKUP(A:A,'ITEM LIST'!A:C,3,0)</f>
        <v>#N/A</v>
      </c>
      <c r="D2466" s="6">
        <f t="shared" si="39"/>
        <v>0</v>
      </c>
    </row>
    <row r="2467" spans="3:4" ht="15" x14ac:dyDescent="0.25">
      <c r="C2467" s="8" t="e">
        <f>VLOOKUP(A:A,'ITEM LIST'!A:C,3,0)</f>
        <v>#N/A</v>
      </c>
      <c r="D2467" s="6">
        <f t="shared" si="39"/>
        <v>0</v>
      </c>
    </row>
    <row r="2468" spans="3:4" ht="15" x14ac:dyDescent="0.25">
      <c r="C2468" s="8" t="e">
        <f>VLOOKUP(A:A,'ITEM LIST'!A:C,3,0)</f>
        <v>#N/A</v>
      </c>
      <c r="D2468" s="6">
        <f t="shared" si="39"/>
        <v>0</v>
      </c>
    </row>
    <row r="2469" spans="3:4" ht="15" x14ac:dyDescent="0.25">
      <c r="C2469" s="8" t="e">
        <f>VLOOKUP(A:A,'ITEM LIST'!A:C,3,0)</f>
        <v>#N/A</v>
      </c>
      <c r="D2469" s="6">
        <f t="shared" si="39"/>
        <v>0</v>
      </c>
    </row>
    <row r="2470" spans="3:4" ht="15" x14ac:dyDescent="0.25">
      <c r="C2470" s="8" t="e">
        <f>VLOOKUP(A:A,'ITEM LIST'!A:C,3,0)</f>
        <v>#N/A</v>
      </c>
      <c r="D2470" s="6">
        <f t="shared" si="39"/>
        <v>0</v>
      </c>
    </row>
    <row r="2471" spans="3:4" ht="15" x14ac:dyDescent="0.25">
      <c r="C2471" s="8" t="e">
        <f>VLOOKUP(A:A,'ITEM LIST'!A:C,3,0)</f>
        <v>#N/A</v>
      </c>
      <c r="D2471" s="6">
        <f t="shared" si="39"/>
        <v>0</v>
      </c>
    </row>
    <row r="2472" spans="3:4" ht="15" x14ac:dyDescent="0.25">
      <c r="C2472" s="8" t="e">
        <f>VLOOKUP(A:A,'ITEM LIST'!A:C,3,0)</f>
        <v>#N/A</v>
      </c>
      <c r="D2472" s="6">
        <f t="shared" si="39"/>
        <v>0</v>
      </c>
    </row>
    <row r="2473" spans="3:4" ht="15" x14ac:dyDescent="0.25">
      <c r="C2473" s="8" t="e">
        <f>VLOOKUP(A:A,'ITEM LIST'!A:C,3,0)</f>
        <v>#N/A</v>
      </c>
      <c r="D2473" s="6">
        <f t="shared" si="39"/>
        <v>0</v>
      </c>
    </row>
    <row r="2474" spans="3:4" ht="15" x14ac:dyDescent="0.25">
      <c r="C2474" s="8" t="e">
        <f>VLOOKUP(A:A,'ITEM LIST'!A:C,3,0)</f>
        <v>#N/A</v>
      </c>
      <c r="D2474" s="6">
        <f t="shared" si="39"/>
        <v>0</v>
      </c>
    </row>
    <row r="2475" spans="3:4" ht="15" x14ac:dyDescent="0.25">
      <c r="C2475" s="8" t="e">
        <f>VLOOKUP(A:A,'ITEM LIST'!A:C,3,0)</f>
        <v>#N/A</v>
      </c>
      <c r="D2475" s="6">
        <f t="shared" si="39"/>
        <v>0</v>
      </c>
    </row>
    <row r="2476" spans="3:4" ht="15" x14ac:dyDescent="0.25">
      <c r="C2476" s="8" t="e">
        <f>VLOOKUP(A:A,'ITEM LIST'!A:C,3,0)</f>
        <v>#N/A</v>
      </c>
      <c r="D2476" s="6">
        <f t="shared" si="39"/>
        <v>0</v>
      </c>
    </row>
    <row r="2477" spans="3:4" ht="15" x14ac:dyDescent="0.25">
      <c r="C2477" s="8" t="e">
        <f>VLOOKUP(A:A,'ITEM LIST'!A:C,3,0)</f>
        <v>#N/A</v>
      </c>
      <c r="D2477" s="6">
        <f t="shared" si="39"/>
        <v>0</v>
      </c>
    </row>
    <row r="2478" spans="3:4" ht="15" x14ac:dyDescent="0.25">
      <c r="C2478" s="8" t="e">
        <f>VLOOKUP(A:A,'ITEM LIST'!A:C,3,0)</f>
        <v>#N/A</v>
      </c>
      <c r="D2478" s="6">
        <f t="shared" si="39"/>
        <v>0</v>
      </c>
    </row>
    <row r="2479" spans="3:4" ht="15" x14ac:dyDescent="0.25">
      <c r="C2479" s="8" t="e">
        <f>VLOOKUP(A:A,'ITEM LIST'!A:C,3,0)</f>
        <v>#N/A</v>
      </c>
      <c r="D2479" s="6">
        <f t="shared" si="39"/>
        <v>0</v>
      </c>
    </row>
    <row r="2480" spans="3:4" ht="15" x14ac:dyDescent="0.25">
      <c r="C2480" s="8" t="e">
        <f>VLOOKUP(A:A,'ITEM LIST'!A:C,3,0)</f>
        <v>#N/A</v>
      </c>
      <c r="D2480" s="6">
        <f t="shared" si="39"/>
        <v>0</v>
      </c>
    </row>
    <row r="2481" spans="3:4" ht="15" x14ac:dyDescent="0.25">
      <c r="C2481" s="8" t="e">
        <f>VLOOKUP(A:A,'ITEM LIST'!A:C,3,0)</f>
        <v>#N/A</v>
      </c>
      <c r="D2481" s="6">
        <f t="shared" si="39"/>
        <v>0</v>
      </c>
    </row>
    <row r="2482" spans="3:4" ht="15" x14ac:dyDescent="0.25">
      <c r="C2482" s="8" t="e">
        <f>VLOOKUP(A:A,'ITEM LIST'!A:C,3,0)</f>
        <v>#N/A</v>
      </c>
      <c r="D2482" s="6">
        <f t="shared" si="39"/>
        <v>0</v>
      </c>
    </row>
    <row r="2483" spans="3:4" ht="15" x14ac:dyDescent="0.25">
      <c r="C2483" s="8" t="e">
        <f>VLOOKUP(A:A,'ITEM LIST'!A:C,3,0)</f>
        <v>#N/A</v>
      </c>
      <c r="D2483" s="6">
        <f t="shared" si="39"/>
        <v>0</v>
      </c>
    </row>
    <row r="2484" spans="3:4" ht="15" x14ac:dyDescent="0.25">
      <c r="C2484" s="8" t="e">
        <f>VLOOKUP(A:A,'ITEM LIST'!A:C,3,0)</f>
        <v>#N/A</v>
      </c>
      <c r="D2484" s="6">
        <f t="shared" si="39"/>
        <v>0</v>
      </c>
    </row>
    <row r="2485" spans="3:4" ht="15" x14ac:dyDescent="0.25">
      <c r="C2485" s="8" t="e">
        <f>VLOOKUP(A:A,'ITEM LIST'!A:C,3,0)</f>
        <v>#N/A</v>
      </c>
      <c r="D2485" s="6">
        <f t="shared" si="39"/>
        <v>0</v>
      </c>
    </row>
    <row r="2486" spans="3:4" ht="15" x14ac:dyDescent="0.25">
      <c r="C2486" s="8" t="e">
        <f>VLOOKUP(A:A,'ITEM LIST'!A:C,3,0)</f>
        <v>#N/A</v>
      </c>
      <c r="D2486" s="6">
        <f t="shared" si="39"/>
        <v>0</v>
      </c>
    </row>
    <row r="2487" spans="3:4" ht="15" x14ac:dyDescent="0.25">
      <c r="C2487" s="8" t="e">
        <f>VLOOKUP(A:A,'ITEM LIST'!A:C,3,0)</f>
        <v>#N/A</v>
      </c>
      <c r="D2487" s="6">
        <f t="shared" si="39"/>
        <v>0</v>
      </c>
    </row>
    <row r="2488" spans="3:4" ht="15" x14ac:dyDescent="0.25">
      <c r="C2488" s="8" t="e">
        <f>VLOOKUP(A:A,'ITEM LIST'!A:C,3,0)</f>
        <v>#N/A</v>
      </c>
      <c r="D2488" s="6">
        <f t="shared" si="39"/>
        <v>0</v>
      </c>
    </row>
    <row r="2489" spans="3:4" ht="15" x14ac:dyDescent="0.25">
      <c r="C2489" s="8" t="e">
        <f>VLOOKUP(A:A,'ITEM LIST'!A:C,3,0)</f>
        <v>#N/A</v>
      </c>
      <c r="D2489" s="6">
        <f t="shared" si="39"/>
        <v>0</v>
      </c>
    </row>
    <row r="2490" spans="3:4" ht="15" x14ac:dyDescent="0.25">
      <c r="C2490" s="8" t="e">
        <f>VLOOKUP(A:A,'ITEM LIST'!A:C,3,0)</f>
        <v>#N/A</v>
      </c>
      <c r="D2490" s="6">
        <f t="shared" si="39"/>
        <v>0</v>
      </c>
    </row>
    <row r="2491" spans="3:4" ht="15" x14ac:dyDescent="0.25">
      <c r="C2491" s="8" t="e">
        <f>VLOOKUP(A:A,'ITEM LIST'!A:C,3,0)</f>
        <v>#N/A</v>
      </c>
      <c r="D2491" s="6">
        <f t="shared" si="39"/>
        <v>0</v>
      </c>
    </row>
    <row r="2492" spans="3:4" ht="15" x14ac:dyDescent="0.25">
      <c r="C2492" s="8" t="e">
        <f>VLOOKUP(A:A,'ITEM LIST'!A:C,3,0)</f>
        <v>#N/A</v>
      </c>
      <c r="D2492" s="6">
        <f t="shared" si="39"/>
        <v>0</v>
      </c>
    </row>
    <row r="2493" spans="3:4" ht="15" x14ac:dyDescent="0.25">
      <c r="C2493" s="8" t="e">
        <f>VLOOKUP(A:A,'ITEM LIST'!A:C,3,0)</f>
        <v>#N/A</v>
      </c>
      <c r="D2493" s="6">
        <f t="shared" si="39"/>
        <v>0</v>
      </c>
    </row>
    <row r="2494" spans="3:4" ht="15" x14ac:dyDescent="0.25">
      <c r="C2494" s="8" t="e">
        <f>VLOOKUP(A:A,'ITEM LIST'!A:C,3,0)</f>
        <v>#N/A</v>
      </c>
      <c r="D2494" s="6">
        <f t="shared" si="39"/>
        <v>0</v>
      </c>
    </row>
    <row r="2495" spans="3:4" ht="15" x14ac:dyDescent="0.25">
      <c r="C2495" s="8" t="e">
        <f>VLOOKUP(A:A,'ITEM LIST'!A:C,3,0)</f>
        <v>#N/A</v>
      </c>
      <c r="D2495" s="6">
        <f t="shared" si="39"/>
        <v>0</v>
      </c>
    </row>
    <row r="2496" spans="3:4" ht="15" x14ac:dyDescent="0.25">
      <c r="C2496" s="8" t="e">
        <f>VLOOKUP(A:A,'ITEM LIST'!A:C,3,0)</f>
        <v>#N/A</v>
      </c>
      <c r="D2496" s="6">
        <f t="shared" si="39"/>
        <v>0</v>
      </c>
    </row>
    <row r="2497" spans="3:4" ht="15" x14ac:dyDescent="0.25">
      <c r="C2497" s="8" t="e">
        <f>VLOOKUP(A:A,'ITEM LIST'!A:C,3,0)</f>
        <v>#N/A</v>
      </c>
      <c r="D2497" s="6">
        <f t="shared" si="39"/>
        <v>0</v>
      </c>
    </row>
    <row r="2498" spans="3:4" ht="15" x14ac:dyDescent="0.25">
      <c r="C2498" s="8" t="e">
        <f>VLOOKUP(A:A,'ITEM LIST'!A:C,3,0)</f>
        <v>#N/A</v>
      </c>
      <c r="D2498" s="6">
        <f t="shared" si="39"/>
        <v>0</v>
      </c>
    </row>
    <row r="2499" spans="3:4" ht="15" x14ac:dyDescent="0.25">
      <c r="C2499" s="8" t="e">
        <f>VLOOKUP(A:A,'ITEM LIST'!A:C,3,0)</f>
        <v>#N/A</v>
      </c>
      <c r="D2499" s="6">
        <f t="shared" si="39"/>
        <v>0</v>
      </c>
    </row>
    <row r="2500" spans="3:4" ht="15" x14ac:dyDescent="0.25">
      <c r="C2500" s="8" t="e">
        <f>VLOOKUP(A:A,'ITEM LIST'!A:C,3,0)</f>
        <v>#N/A</v>
      </c>
      <c r="D2500" s="6">
        <f t="shared" si="39"/>
        <v>0</v>
      </c>
    </row>
    <row r="2501" spans="3:4" ht="15" x14ac:dyDescent="0.25">
      <c r="C2501" s="8" t="e">
        <f>VLOOKUP(A:A,'ITEM LIST'!A:C,3,0)</f>
        <v>#N/A</v>
      </c>
      <c r="D2501" s="6">
        <f t="shared" si="39"/>
        <v>0</v>
      </c>
    </row>
    <row r="2502" spans="3:4" ht="15" x14ac:dyDescent="0.25">
      <c r="C2502" s="8" t="e">
        <f>VLOOKUP(A:A,'ITEM LIST'!A:C,3,0)</f>
        <v>#N/A</v>
      </c>
      <c r="D2502" s="6">
        <f t="shared" ref="D2502:D2565" si="40">B2502</f>
        <v>0</v>
      </c>
    </row>
    <row r="2503" spans="3:4" ht="15" x14ac:dyDescent="0.25">
      <c r="C2503" s="8" t="e">
        <f>VLOOKUP(A:A,'ITEM LIST'!A:C,3,0)</f>
        <v>#N/A</v>
      </c>
      <c r="D2503" s="6">
        <f t="shared" si="40"/>
        <v>0</v>
      </c>
    </row>
    <row r="2504" spans="3:4" ht="15" x14ac:dyDescent="0.25">
      <c r="C2504" s="8" t="e">
        <f>VLOOKUP(A:A,'ITEM LIST'!A:C,3,0)</f>
        <v>#N/A</v>
      </c>
      <c r="D2504" s="6">
        <f t="shared" si="40"/>
        <v>0</v>
      </c>
    </row>
    <row r="2505" spans="3:4" ht="15" x14ac:dyDescent="0.25">
      <c r="C2505" s="8" t="e">
        <f>VLOOKUP(A:A,'ITEM LIST'!A:C,3,0)</f>
        <v>#N/A</v>
      </c>
      <c r="D2505" s="6">
        <f t="shared" si="40"/>
        <v>0</v>
      </c>
    </row>
    <row r="2506" spans="3:4" ht="15" x14ac:dyDescent="0.25">
      <c r="C2506" s="8" t="e">
        <f>VLOOKUP(A:A,'ITEM LIST'!A:C,3,0)</f>
        <v>#N/A</v>
      </c>
      <c r="D2506" s="6">
        <f t="shared" si="40"/>
        <v>0</v>
      </c>
    </row>
    <row r="2507" spans="3:4" ht="15" x14ac:dyDescent="0.25">
      <c r="C2507" s="8" t="e">
        <f>VLOOKUP(A:A,'ITEM LIST'!A:C,3,0)</f>
        <v>#N/A</v>
      </c>
      <c r="D2507" s="6">
        <f t="shared" si="40"/>
        <v>0</v>
      </c>
    </row>
    <row r="2508" spans="3:4" ht="15" x14ac:dyDescent="0.25">
      <c r="C2508" s="8" t="e">
        <f>VLOOKUP(A:A,'ITEM LIST'!A:C,3,0)</f>
        <v>#N/A</v>
      </c>
      <c r="D2508" s="6">
        <f t="shared" si="40"/>
        <v>0</v>
      </c>
    </row>
    <row r="2509" spans="3:4" ht="15" x14ac:dyDescent="0.25">
      <c r="C2509" s="8" t="e">
        <f>VLOOKUP(A:A,'ITEM LIST'!A:C,3,0)</f>
        <v>#N/A</v>
      </c>
      <c r="D2509" s="6">
        <f t="shared" si="40"/>
        <v>0</v>
      </c>
    </row>
    <row r="2510" spans="3:4" ht="15" x14ac:dyDescent="0.25">
      <c r="C2510" s="8" t="e">
        <f>VLOOKUP(A:A,'ITEM LIST'!A:C,3,0)</f>
        <v>#N/A</v>
      </c>
      <c r="D2510" s="6">
        <f t="shared" si="40"/>
        <v>0</v>
      </c>
    </row>
    <row r="2511" spans="3:4" ht="15" x14ac:dyDescent="0.25">
      <c r="C2511" s="8" t="e">
        <f>VLOOKUP(A:A,'ITEM LIST'!A:C,3,0)</f>
        <v>#N/A</v>
      </c>
      <c r="D2511" s="6">
        <f t="shared" si="40"/>
        <v>0</v>
      </c>
    </row>
    <row r="2512" spans="3:4" ht="15" x14ac:dyDescent="0.25">
      <c r="C2512" s="8" t="e">
        <f>VLOOKUP(A:A,'ITEM LIST'!A:C,3,0)</f>
        <v>#N/A</v>
      </c>
      <c r="D2512" s="6">
        <f t="shared" si="40"/>
        <v>0</v>
      </c>
    </row>
    <row r="2513" spans="3:4" ht="15" x14ac:dyDescent="0.25">
      <c r="C2513" s="8" t="e">
        <f>VLOOKUP(A:A,'ITEM LIST'!A:C,3,0)</f>
        <v>#N/A</v>
      </c>
      <c r="D2513" s="6">
        <f t="shared" si="40"/>
        <v>0</v>
      </c>
    </row>
    <row r="2514" spans="3:4" ht="15" x14ac:dyDescent="0.25">
      <c r="C2514" s="8" t="e">
        <f>VLOOKUP(A:A,'ITEM LIST'!A:C,3,0)</f>
        <v>#N/A</v>
      </c>
      <c r="D2514" s="6">
        <f t="shared" si="40"/>
        <v>0</v>
      </c>
    </row>
    <row r="2515" spans="3:4" ht="15" x14ac:dyDescent="0.25">
      <c r="C2515" s="8" t="e">
        <f>VLOOKUP(A:A,'ITEM LIST'!A:C,3,0)</f>
        <v>#N/A</v>
      </c>
      <c r="D2515" s="6">
        <f t="shared" si="40"/>
        <v>0</v>
      </c>
    </row>
    <row r="2516" spans="3:4" ht="15" x14ac:dyDescent="0.25">
      <c r="C2516" s="8" t="e">
        <f>VLOOKUP(A:A,'ITEM LIST'!A:C,3,0)</f>
        <v>#N/A</v>
      </c>
      <c r="D2516" s="6">
        <f t="shared" si="40"/>
        <v>0</v>
      </c>
    </row>
    <row r="2517" spans="3:4" ht="15" x14ac:dyDescent="0.25">
      <c r="C2517" s="8" t="e">
        <f>VLOOKUP(A:A,'ITEM LIST'!A:C,3,0)</f>
        <v>#N/A</v>
      </c>
      <c r="D2517" s="6">
        <f t="shared" si="40"/>
        <v>0</v>
      </c>
    </row>
    <row r="2518" spans="3:4" ht="15" x14ac:dyDescent="0.25">
      <c r="C2518" s="8" t="e">
        <f>VLOOKUP(A:A,'ITEM LIST'!A:C,3,0)</f>
        <v>#N/A</v>
      </c>
      <c r="D2518" s="6">
        <f t="shared" si="40"/>
        <v>0</v>
      </c>
    </row>
    <row r="2519" spans="3:4" ht="15" x14ac:dyDescent="0.25">
      <c r="C2519" s="8" t="e">
        <f>VLOOKUP(A:A,'ITEM LIST'!A:C,3,0)</f>
        <v>#N/A</v>
      </c>
      <c r="D2519" s="6">
        <f t="shared" si="40"/>
        <v>0</v>
      </c>
    </row>
    <row r="2520" spans="3:4" ht="15" x14ac:dyDescent="0.25">
      <c r="C2520" s="8" t="e">
        <f>VLOOKUP(A:A,'ITEM LIST'!A:C,3,0)</f>
        <v>#N/A</v>
      </c>
      <c r="D2520" s="6">
        <f t="shared" si="40"/>
        <v>0</v>
      </c>
    </row>
    <row r="2521" spans="3:4" ht="15" x14ac:dyDescent="0.25">
      <c r="C2521" s="8" t="e">
        <f>VLOOKUP(A:A,'ITEM LIST'!A:C,3,0)</f>
        <v>#N/A</v>
      </c>
      <c r="D2521" s="6">
        <f t="shared" si="40"/>
        <v>0</v>
      </c>
    </row>
    <row r="2522" spans="3:4" ht="15" x14ac:dyDescent="0.25">
      <c r="C2522" s="8" t="e">
        <f>VLOOKUP(A:A,'ITEM LIST'!A:C,3,0)</f>
        <v>#N/A</v>
      </c>
      <c r="D2522" s="6">
        <f t="shared" si="40"/>
        <v>0</v>
      </c>
    </row>
    <row r="2523" spans="3:4" ht="15" x14ac:dyDescent="0.25">
      <c r="C2523" s="8" t="e">
        <f>VLOOKUP(A:A,'ITEM LIST'!A:C,3,0)</f>
        <v>#N/A</v>
      </c>
      <c r="D2523" s="6">
        <f t="shared" si="40"/>
        <v>0</v>
      </c>
    </row>
    <row r="2524" spans="3:4" ht="15" x14ac:dyDescent="0.25">
      <c r="C2524" s="8" t="e">
        <f>VLOOKUP(A:A,'ITEM LIST'!A:C,3,0)</f>
        <v>#N/A</v>
      </c>
      <c r="D2524" s="6">
        <f t="shared" si="40"/>
        <v>0</v>
      </c>
    </row>
    <row r="2525" spans="3:4" ht="15" x14ac:dyDescent="0.25">
      <c r="C2525" s="8" t="e">
        <f>VLOOKUP(A:A,'ITEM LIST'!A:C,3,0)</f>
        <v>#N/A</v>
      </c>
      <c r="D2525" s="6">
        <f t="shared" si="40"/>
        <v>0</v>
      </c>
    </row>
    <row r="2526" spans="3:4" ht="15" x14ac:dyDescent="0.25">
      <c r="C2526" s="8" t="e">
        <f>VLOOKUP(A:A,'ITEM LIST'!A:C,3,0)</f>
        <v>#N/A</v>
      </c>
      <c r="D2526" s="6">
        <f t="shared" si="40"/>
        <v>0</v>
      </c>
    </row>
    <row r="2527" spans="3:4" ht="15" x14ac:dyDescent="0.25">
      <c r="C2527" s="8" t="e">
        <f>VLOOKUP(A:A,'ITEM LIST'!A:C,3,0)</f>
        <v>#N/A</v>
      </c>
      <c r="D2527" s="6">
        <f t="shared" si="40"/>
        <v>0</v>
      </c>
    </row>
    <row r="2528" spans="3:4" ht="15" x14ac:dyDescent="0.25">
      <c r="C2528" s="8" t="e">
        <f>VLOOKUP(A:A,'ITEM LIST'!A:C,3,0)</f>
        <v>#N/A</v>
      </c>
      <c r="D2528" s="6">
        <f t="shared" si="40"/>
        <v>0</v>
      </c>
    </row>
    <row r="2529" spans="3:4" ht="15" x14ac:dyDescent="0.25">
      <c r="C2529" s="8" t="e">
        <f>VLOOKUP(A:A,'ITEM LIST'!A:C,3,0)</f>
        <v>#N/A</v>
      </c>
      <c r="D2529" s="6">
        <f t="shared" si="40"/>
        <v>0</v>
      </c>
    </row>
    <row r="2530" spans="3:4" ht="15" x14ac:dyDescent="0.25">
      <c r="C2530" s="8" t="e">
        <f>VLOOKUP(A:A,'ITEM LIST'!A:C,3,0)</f>
        <v>#N/A</v>
      </c>
      <c r="D2530" s="6">
        <f t="shared" si="40"/>
        <v>0</v>
      </c>
    </row>
    <row r="2531" spans="3:4" ht="15" x14ac:dyDescent="0.25">
      <c r="C2531" s="8" t="e">
        <f>VLOOKUP(A:A,'ITEM LIST'!A:C,3,0)</f>
        <v>#N/A</v>
      </c>
      <c r="D2531" s="6">
        <f t="shared" si="40"/>
        <v>0</v>
      </c>
    </row>
    <row r="2532" spans="3:4" ht="15" x14ac:dyDescent="0.25">
      <c r="C2532" s="8" t="e">
        <f>VLOOKUP(A:A,'ITEM LIST'!A:C,3,0)</f>
        <v>#N/A</v>
      </c>
      <c r="D2532" s="6">
        <f t="shared" si="40"/>
        <v>0</v>
      </c>
    </row>
    <row r="2533" spans="3:4" ht="15" x14ac:dyDescent="0.25">
      <c r="C2533" s="8" t="e">
        <f>VLOOKUP(A:A,'ITEM LIST'!A:C,3,0)</f>
        <v>#N/A</v>
      </c>
      <c r="D2533" s="6">
        <f t="shared" si="40"/>
        <v>0</v>
      </c>
    </row>
    <row r="2534" spans="3:4" ht="15" x14ac:dyDescent="0.25">
      <c r="C2534" s="8" t="e">
        <f>VLOOKUP(A:A,'ITEM LIST'!A:C,3,0)</f>
        <v>#N/A</v>
      </c>
      <c r="D2534" s="6">
        <f t="shared" si="40"/>
        <v>0</v>
      </c>
    </row>
    <row r="2535" spans="3:4" ht="15" x14ac:dyDescent="0.25">
      <c r="C2535" s="8" t="e">
        <f>VLOOKUP(A:A,'ITEM LIST'!A:C,3,0)</f>
        <v>#N/A</v>
      </c>
      <c r="D2535" s="6">
        <f t="shared" si="40"/>
        <v>0</v>
      </c>
    </row>
    <row r="2536" spans="3:4" ht="15" x14ac:dyDescent="0.25">
      <c r="C2536" s="8" t="e">
        <f>VLOOKUP(A:A,'ITEM LIST'!A:C,3,0)</f>
        <v>#N/A</v>
      </c>
      <c r="D2536" s="6">
        <f t="shared" si="40"/>
        <v>0</v>
      </c>
    </row>
    <row r="2537" spans="3:4" ht="15" x14ac:dyDescent="0.25">
      <c r="C2537" s="8" t="e">
        <f>VLOOKUP(A:A,'ITEM LIST'!A:C,3,0)</f>
        <v>#N/A</v>
      </c>
      <c r="D2537" s="6">
        <f t="shared" si="40"/>
        <v>0</v>
      </c>
    </row>
    <row r="2538" spans="3:4" ht="15" x14ac:dyDescent="0.25">
      <c r="C2538" s="8" t="e">
        <f>VLOOKUP(A:A,'ITEM LIST'!A:C,3,0)</f>
        <v>#N/A</v>
      </c>
      <c r="D2538" s="6">
        <f t="shared" si="40"/>
        <v>0</v>
      </c>
    </row>
    <row r="2539" spans="3:4" ht="15" x14ac:dyDescent="0.25">
      <c r="C2539" s="8" t="e">
        <f>VLOOKUP(A:A,'ITEM LIST'!A:C,3,0)</f>
        <v>#N/A</v>
      </c>
      <c r="D2539" s="6">
        <f t="shared" si="40"/>
        <v>0</v>
      </c>
    </row>
    <row r="2540" spans="3:4" ht="15" x14ac:dyDescent="0.25">
      <c r="C2540" s="8" t="e">
        <f>VLOOKUP(A:A,'ITEM LIST'!A:C,3,0)</f>
        <v>#N/A</v>
      </c>
      <c r="D2540" s="6">
        <f t="shared" si="40"/>
        <v>0</v>
      </c>
    </row>
    <row r="2541" spans="3:4" ht="15" x14ac:dyDescent="0.25">
      <c r="C2541" s="8" t="e">
        <f>VLOOKUP(A:A,'ITEM LIST'!A:C,3,0)</f>
        <v>#N/A</v>
      </c>
      <c r="D2541" s="6">
        <f t="shared" si="40"/>
        <v>0</v>
      </c>
    </row>
    <row r="2542" spans="3:4" ht="15" x14ac:dyDescent="0.25">
      <c r="C2542" s="8" t="e">
        <f>VLOOKUP(A:A,'ITEM LIST'!A:C,3,0)</f>
        <v>#N/A</v>
      </c>
      <c r="D2542" s="6">
        <f t="shared" si="40"/>
        <v>0</v>
      </c>
    </row>
    <row r="2543" spans="3:4" ht="15" x14ac:dyDescent="0.25">
      <c r="C2543" s="8" t="e">
        <f>VLOOKUP(A:A,'ITEM LIST'!A:C,3,0)</f>
        <v>#N/A</v>
      </c>
      <c r="D2543" s="6">
        <f t="shared" si="40"/>
        <v>0</v>
      </c>
    </row>
    <row r="2544" spans="3:4" ht="15" x14ac:dyDescent="0.25">
      <c r="C2544" s="8" t="e">
        <f>VLOOKUP(A:A,'ITEM LIST'!A:C,3,0)</f>
        <v>#N/A</v>
      </c>
      <c r="D2544" s="6">
        <f t="shared" si="40"/>
        <v>0</v>
      </c>
    </row>
    <row r="2545" spans="3:4" ht="15" x14ac:dyDescent="0.25">
      <c r="C2545" s="8" t="e">
        <f>VLOOKUP(A:A,'ITEM LIST'!A:C,3,0)</f>
        <v>#N/A</v>
      </c>
      <c r="D2545" s="6">
        <f t="shared" si="40"/>
        <v>0</v>
      </c>
    </row>
    <row r="2546" spans="3:4" ht="15" x14ac:dyDescent="0.25">
      <c r="C2546" s="8" t="e">
        <f>VLOOKUP(A:A,'ITEM LIST'!A:C,3,0)</f>
        <v>#N/A</v>
      </c>
      <c r="D2546" s="6">
        <f t="shared" si="40"/>
        <v>0</v>
      </c>
    </row>
    <row r="2547" spans="3:4" ht="15" x14ac:dyDescent="0.25">
      <c r="C2547" s="8" t="e">
        <f>VLOOKUP(A:A,'ITEM LIST'!A:C,3,0)</f>
        <v>#N/A</v>
      </c>
      <c r="D2547" s="6">
        <f t="shared" si="40"/>
        <v>0</v>
      </c>
    </row>
    <row r="2548" spans="3:4" ht="15" x14ac:dyDescent="0.25">
      <c r="C2548" s="8" t="e">
        <f>VLOOKUP(A:A,'ITEM LIST'!A:C,3,0)</f>
        <v>#N/A</v>
      </c>
      <c r="D2548" s="6">
        <f t="shared" si="40"/>
        <v>0</v>
      </c>
    </row>
    <row r="2549" spans="3:4" ht="15" x14ac:dyDescent="0.25">
      <c r="C2549" s="8" t="e">
        <f>VLOOKUP(A:A,'ITEM LIST'!A:C,3,0)</f>
        <v>#N/A</v>
      </c>
      <c r="D2549" s="6">
        <f t="shared" si="40"/>
        <v>0</v>
      </c>
    </row>
    <row r="2550" spans="3:4" ht="15" x14ac:dyDescent="0.25">
      <c r="C2550" s="8" t="e">
        <f>VLOOKUP(A:A,'ITEM LIST'!A:C,3,0)</f>
        <v>#N/A</v>
      </c>
      <c r="D2550" s="6">
        <f t="shared" si="40"/>
        <v>0</v>
      </c>
    </row>
    <row r="2551" spans="3:4" ht="15" x14ac:dyDescent="0.25">
      <c r="C2551" s="8" t="e">
        <f>VLOOKUP(A:A,'ITEM LIST'!A:C,3,0)</f>
        <v>#N/A</v>
      </c>
      <c r="D2551" s="6">
        <f t="shared" si="40"/>
        <v>0</v>
      </c>
    </row>
    <row r="2552" spans="3:4" ht="15" x14ac:dyDescent="0.25">
      <c r="C2552" s="8" t="e">
        <f>VLOOKUP(A:A,'ITEM LIST'!A:C,3,0)</f>
        <v>#N/A</v>
      </c>
      <c r="D2552" s="6">
        <f t="shared" si="40"/>
        <v>0</v>
      </c>
    </row>
    <row r="2553" spans="3:4" ht="15" x14ac:dyDescent="0.25">
      <c r="C2553" s="8" t="e">
        <f>VLOOKUP(A:A,'ITEM LIST'!A:C,3,0)</f>
        <v>#N/A</v>
      </c>
      <c r="D2553" s="6">
        <f t="shared" si="40"/>
        <v>0</v>
      </c>
    </row>
    <row r="2554" spans="3:4" ht="15" x14ac:dyDescent="0.25">
      <c r="C2554" s="8" t="e">
        <f>VLOOKUP(A:A,'ITEM LIST'!A:C,3,0)</f>
        <v>#N/A</v>
      </c>
      <c r="D2554" s="6">
        <f t="shared" si="40"/>
        <v>0</v>
      </c>
    </row>
    <row r="2555" spans="3:4" ht="15" x14ac:dyDescent="0.25">
      <c r="C2555" s="8" t="e">
        <f>VLOOKUP(A:A,'ITEM LIST'!A:C,3,0)</f>
        <v>#N/A</v>
      </c>
      <c r="D2555" s="6">
        <f t="shared" si="40"/>
        <v>0</v>
      </c>
    </row>
    <row r="2556" spans="3:4" ht="15" x14ac:dyDescent="0.25">
      <c r="C2556" s="8" t="e">
        <f>VLOOKUP(A:A,'ITEM LIST'!A:C,3,0)</f>
        <v>#N/A</v>
      </c>
      <c r="D2556" s="6">
        <f t="shared" si="40"/>
        <v>0</v>
      </c>
    </row>
    <row r="2557" spans="3:4" ht="15" x14ac:dyDescent="0.25">
      <c r="C2557" s="8" t="e">
        <f>VLOOKUP(A:A,'ITEM LIST'!A:C,3,0)</f>
        <v>#N/A</v>
      </c>
      <c r="D2557" s="6">
        <f t="shared" si="40"/>
        <v>0</v>
      </c>
    </row>
    <row r="2558" spans="3:4" ht="15" x14ac:dyDescent="0.25">
      <c r="C2558" s="8" t="e">
        <f>VLOOKUP(A:A,'ITEM LIST'!A:C,3,0)</f>
        <v>#N/A</v>
      </c>
      <c r="D2558" s="6">
        <f t="shared" si="40"/>
        <v>0</v>
      </c>
    </row>
    <row r="2559" spans="3:4" ht="15" x14ac:dyDescent="0.25">
      <c r="C2559" s="8" t="e">
        <f>VLOOKUP(A:A,'ITEM LIST'!A:C,3,0)</f>
        <v>#N/A</v>
      </c>
      <c r="D2559" s="6">
        <f t="shared" si="40"/>
        <v>0</v>
      </c>
    </row>
    <row r="2560" spans="3:4" ht="15" x14ac:dyDescent="0.25">
      <c r="C2560" s="8" t="e">
        <f>VLOOKUP(A:A,'ITEM LIST'!A:C,3,0)</f>
        <v>#N/A</v>
      </c>
      <c r="D2560" s="6">
        <f t="shared" si="40"/>
        <v>0</v>
      </c>
    </row>
    <row r="2561" spans="3:4" ht="15" x14ac:dyDescent="0.25">
      <c r="C2561" s="8" t="e">
        <f>VLOOKUP(A:A,'ITEM LIST'!A:C,3,0)</f>
        <v>#N/A</v>
      </c>
      <c r="D2561" s="6">
        <f t="shared" si="40"/>
        <v>0</v>
      </c>
    </row>
    <row r="2562" spans="3:4" ht="15" x14ac:dyDescent="0.25">
      <c r="C2562" s="8" t="e">
        <f>VLOOKUP(A:A,'ITEM LIST'!A:C,3,0)</f>
        <v>#N/A</v>
      </c>
      <c r="D2562" s="6">
        <f t="shared" si="40"/>
        <v>0</v>
      </c>
    </row>
    <row r="2563" spans="3:4" ht="15" x14ac:dyDescent="0.25">
      <c r="C2563" s="8" t="e">
        <f>VLOOKUP(A:A,'ITEM LIST'!A:C,3,0)</f>
        <v>#N/A</v>
      </c>
      <c r="D2563" s="6">
        <f t="shared" si="40"/>
        <v>0</v>
      </c>
    </row>
    <row r="2564" spans="3:4" ht="15" x14ac:dyDescent="0.25">
      <c r="C2564" s="8" t="e">
        <f>VLOOKUP(A:A,'ITEM LIST'!A:C,3,0)</f>
        <v>#N/A</v>
      </c>
      <c r="D2564" s="6">
        <f t="shared" si="40"/>
        <v>0</v>
      </c>
    </row>
    <row r="2565" spans="3:4" ht="15" x14ac:dyDescent="0.25">
      <c r="C2565" s="8" t="e">
        <f>VLOOKUP(A:A,'ITEM LIST'!A:C,3,0)</f>
        <v>#N/A</v>
      </c>
      <c r="D2565" s="6">
        <f t="shared" si="40"/>
        <v>0</v>
      </c>
    </row>
    <row r="2566" spans="3:4" ht="15" x14ac:dyDescent="0.25">
      <c r="C2566" s="8" t="e">
        <f>VLOOKUP(A:A,'ITEM LIST'!A:C,3,0)</f>
        <v>#N/A</v>
      </c>
      <c r="D2566" s="6">
        <f t="shared" ref="D2566:D2629" si="41">B2566</f>
        <v>0</v>
      </c>
    </row>
    <row r="2567" spans="3:4" ht="15" x14ac:dyDescent="0.25">
      <c r="C2567" s="8" t="e">
        <f>VLOOKUP(A:A,'ITEM LIST'!A:C,3,0)</f>
        <v>#N/A</v>
      </c>
      <c r="D2567" s="6">
        <f t="shared" si="41"/>
        <v>0</v>
      </c>
    </row>
    <row r="2568" spans="3:4" ht="15" x14ac:dyDescent="0.25">
      <c r="C2568" s="8" t="e">
        <f>VLOOKUP(A:A,'ITEM LIST'!A:C,3,0)</f>
        <v>#N/A</v>
      </c>
      <c r="D2568" s="6">
        <f t="shared" si="41"/>
        <v>0</v>
      </c>
    </row>
    <row r="2569" spans="3:4" ht="15" x14ac:dyDescent="0.25">
      <c r="C2569" s="8" t="e">
        <f>VLOOKUP(A:A,'ITEM LIST'!A:C,3,0)</f>
        <v>#N/A</v>
      </c>
      <c r="D2569" s="6">
        <f t="shared" si="41"/>
        <v>0</v>
      </c>
    </row>
    <row r="2570" spans="3:4" ht="15" x14ac:dyDescent="0.25">
      <c r="C2570" s="8" t="e">
        <f>VLOOKUP(A:A,'ITEM LIST'!A:C,3,0)</f>
        <v>#N/A</v>
      </c>
      <c r="D2570" s="6">
        <f t="shared" si="41"/>
        <v>0</v>
      </c>
    </row>
    <row r="2571" spans="3:4" ht="15" x14ac:dyDescent="0.25">
      <c r="C2571" s="8" t="e">
        <f>VLOOKUP(A:A,'ITEM LIST'!A:C,3,0)</f>
        <v>#N/A</v>
      </c>
      <c r="D2571" s="6">
        <f t="shared" si="41"/>
        <v>0</v>
      </c>
    </row>
    <row r="2572" spans="3:4" ht="15" x14ac:dyDescent="0.25">
      <c r="C2572" s="8" t="e">
        <f>VLOOKUP(A:A,'ITEM LIST'!A:C,3,0)</f>
        <v>#N/A</v>
      </c>
      <c r="D2572" s="6">
        <f t="shared" si="41"/>
        <v>0</v>
      </c>
    </row>
    <row r="2573" spans="3:4" ht="15" x14ac:dyDescent="0.25">
      <c r="C2573" s="8" t="e">
        <f>VLOOKUP(A:A,'ITEM LIST'!A:C,3,0)</f>
        <v>#N/A</v>
      </c>
      <c r="D2573" s="6">
        <f t="shared" si="41"/>
        <v>0</v>
      </c>
    </row>
    <row r="2574" spans="3:4" ht="15" x14ac:dyDescent="0.25">
      <c r="C2574" s="8" t="e">
        <f>VLOOKUP(A:A,'ITEM LIST'!A:C,3,0)</f>
        <v>#N/A</v>
      </c>
      <c r="D2574" s="6">
        <f t="shared" si="41"/>
        <v>0</v>
      </c>
    </row>
    <row r="2575" spans="3:4" ht="15" x14ac:dyDescent="0.25">
      <c r="C2575" s="8" t="e">
        <f>VLOOKUP(A:A,'ITEM LIST'!A:C,3,0)</f>
        <v>#N/A</v>
      </c>
      <c r="D2575" s="6">
        <f t="shared" si="41"/>
        <v>0</v>
      </c>
    </row>
    <row r="2576" spans="3:4" ht="15" x14ac:dyDescent="0.25">
      <c r="C2576" s="8" t="e">
        <f>VLOOKUP(A:A,'ITEM LIST'!A:C,3,0)</f>
        <v>#N/A</v>
      </c>
      <c r="D2576" s="6">
        <f t="shared" si="41"/>
        <v>0</v>
      </c>
    </row>
    <row r="2577" spans="3:4" ht="15" x14ac:dyDescent="0.25">
      <c r="C2577" s="8" t="e">
        <f>VLOOKUP(A:A,'ITEM LIST'!A:C,3,0)</f>
        <v>#N/A</v>
      </c>
      <c r="D2577" s="6">
        <f t="shared" si="41"/>
        <v>0</v>
      </c>
    </row>
    <row r="2578" spans="3:4" ht="15" x14ac:dyDescent="0.25">
      <c r="C2578" s="8" t="e">
        <f>VLOOKUP(A:A,'ITEM LIST'!A:C,3,0)</f>
        <v>#N/A</v>
      </c>
      <c r="D2578" s="6">
        <f t="shared" si="41"/>
        <v>0</v>
      </c>
    </row>
    <row r="2579" spans="3:4" ht="15" x14ac:dyDescent="0.25">
      <c r="C2579" s="8" t="e">
        <f>VLOOKUP(A:A,'ITEM LIST'!A:C,3,0)</f>
        <v>#N/A</v>
      </c>
      <c r="D2579" s="6">
        <f t="shared" si="41"/>
        <v>0</v>
      </c>
    </row>
    <row r="2580" spans="3:4" ht="15" x14ac:dyDescent="0.25">
      <c r="C2580" s="8" t="e">
        <f>VLOOKUP(A:A,'ITEM LIST'!A:C,3,0)</f>
        <v>#N/A</v>
      </c>
      <c r="D2580" s="6">
        <f t="shared" si="41"/>
        <v>0</v>
      </c>
    </row>
    <row r="2581" spans="3:4" ht="15" x14ac:dyDescent="0.25">
      <c r="C2581" s="8" t="e">
        <f>VLOOKUP(A:A,'ITEM LIST'!A:C,3,0)</f>
        <v>#N/A</v>
      </c>
      <c r="D2581" s="6">
        <f t="shared" si="41"/>
        <v>0</v>
      </c>
    </row>
    <row r="2582" spans="3:4" ht="15" x14ac:dyDescent="0.25">
      <c r="C2582" s="8" t="e">
        <f>VLOOKUP(A:A,'ITEM LIST'!A:C,3,0)</f>
        <v>#N/A</v>
      </c>
      <c r="D2582" s="6">
        <f t="shared" si="41"/>
        <v>0</v>
      </c>
    </row>
    <row r="2583" spans="3:4" ht="15" x14ac:dyDescent="0.25">
      <c r="C2583" s="8" t="e">
        <f>VLOOKUP(A:A,'ITEM LIST'!A:C,3,0)</f>
        <v>#N/A</v>
      </c>
      <c r="D2583" s="6">
        <f t="shared" si="41"/>
        <v>0</v>
      </c>
    </row>
    <row r="2584" spans="3:4" ht="15" x14ac:dyDescent="0.25">
      <c r="C2584" s="8" t="e">
        <f>VLOOKUP(A:A,'ITEM LIST'!A:C,3,0)</f>
        <v>#N/A</v>
      </c>
      <c r="D2584" s="6">
        <f t="shared" si="41"/>
        <v>0</v>
      </c>
    </row>
    <row r="2585" spans="3:4" ht="15" x14ac:dyDescent="0.25">
      <c r="C2585" s="8" t="e">
        <f>VLOOKUP(A:A,'ITEM LIST'!A:C,3,0)</f>
        <v>#N/A</v>
      </c>
      <c r="D2585" s="6">
        <f t="shared" si="41"/>
        <v>0</v>
      </c>
    </row>
    <row r="2586" spans="3:4" ht="15" x14ac:dyDescent="0.25">
      <c r="C2586" s="8" t="e">
        <f>VLOOKUP(A:A,'ITEM LIST'!A:C,3,0)</f>
        <v>#N/A</v>
      </c>
      <c r="D2586" s="6">
        <f t="shared" si="41"/>
        <v>0</v>
      </c>
    </row>
    <row r="2587" spans="3:4" ht="15" x14ac:dyDescent="0.25">
      <c r="C2587" s="8" t="e">
        <f>VLOOKUP(A:A,'ITEM LIST'!A:C,3,0)</f>
        <v>#N/A</v>
      </c>
      <c r="D2587" s="6">
        <f t="shared" si="41"/>
        <v>0</v>
      </c>
    </row>
    <row r="2588" spans="3:4" ht="15" x14ac:dyDescent="0.25">
      <c r="C2588" s="8" t="e">
        <f>VLOOKUP(A:A,'ITEM LIST'!A:C,3,0)</f>
        <v>#N/A</v>
      </c>
      <c r="D2588" s="6">
        <f t="shared" si="41"/>
        <v>0</v>
      </c>
    </row>
    <row r="2589" spans="3:4" ht="15" x14ac:dyDescent="0.25">
      <c r="C2589" s="8" t="e">
        <f>VLOOKUP(A:A,'ITEM LIST'!A:C,3,0)</f>
        <v>#N/A</v>
      </c>
      <c r="D2589" s="6">
        <f t="shared" si="41"/>
        <v>0</v>
      </c>
    </row>
    <row r="2590" spans="3:4" ht="15" x14ac:dyDescent="0.25">
      <c r="C2590" s="8" t="e">
        <f>VLOOKUP(A:A,'ITEM LIST'!A:C,3,0)</f>
        <v>#N/A</v>
      </c>
      <c r="D2590" s="6">
        <f t="shared" si="41"/>
        <v>0</v>
      </c>
    </row>
    <row r="2591" spans="3:4" ht="15" x14ac:dyDescent="0.25">
      <c r="C2591" s="8" t="e">
        <f>VLOOKUP(A:A,'ITEM LIST'!A:C,3,0)</f>
        <v>#N/A</v>
      </c>
      <c r="D2591" s="6">
        <f t="shared" si="41"/>
        <v>0</v>
      </c>
    </row>
    <row r="2592" spans="3:4" ht="15" x14ac:dyDescent="0.25">
      <c r="C2592" s="8" t="e">
        <f>VLOOKUP(A:A,'ITEM LIST'!A:C,3,0)</f>
        <v>#N/A</v>
      </c>
      <c r="D2592" s="6">
        <f t="shared" si="41"/>
        <v>0</v>
      </c>
    </row>
    <row r="2593" spans="3:4" ht="15" x14ac:dyDescent="0.25">
      <c r="C2593" s="8" t="e">
        <f>VLOOKUP(A:A,'ITEM LIST'!A:C,3,0)</f>
        <v>#N/A</v>
      </c>
      <c r="D2593" s="6">
        <f t="shared" si="41"/>
        <v>0</v>
      </c>
    </row>
    <row r="2594" spans="3:4" ht="15" x14ac:dyDescent="0.25">
      <c r="C2594" s="8" t="e">
        <f>VLOOKUP(A:A,'ITEM LIST'!A:C,3,0)</f>
        <v>#N/A</v>
      </c>
      <c r="D2594" s="6">
        <f t="shared" si="41"/>
        <v>0</v>
      </c>
    </row>
    <row r="2595" spans="3:4" ht="15" x14ac:dyDescent="0.25">
      <c r="C2595" s="8" t="e">
        <f>VLOOKUP(A:A,'ITEM LIST'!A:C,3,0)</f>
        <v>#N/A</v>
      </c>
      <c r="D2595" s="6">
        <f t="shared" si="41"/>
        <v>0</v>
      </c>
    </row>
    <row r="2596" spans="3:4" ht="15" x14ac:dyDescent="0.25">
      <c r="C2596" s="8" t="e">
        <f>VLOOKUP(A:A,'ITEM LIST'!A:C,3,0)</f>
        <v>#N/A</v>
      </c>
      <c r="D2596" s="6">
        <f t="shared" si="41"/>
        <v>0</v>
      </c>
    </row>
    <row r="2597" spans="3:4" ht="15" x14ac:dyDescent="0.25">
      <c r="C2597" s="8" t="e">
        <f>VLOOKUP(A:A,'ITEM LIST'!A:C,3,0)</f>
        <v>#N/A</v>
      </c>
      <c r="D2597" s="6">
        <f t="shared" si="41"/>
        <v>0</v>
      </c>
    </row>
    <row r="2598" spans="3:4" ht="15" x14ac:dyDescent="0.25">
      <c r="C2598" s="8" t="e">
        <f>VLOOKUP(A:A,'ITEM LIST'!A:C,3,0)</f>
        <v>#N/A</v>
      </c>
      <c r="D2598" s="6">
        <f t="shared" si="41"/>
        <v>0</v>
      </c>
    </row>
    <row r="2599" spans="3:4" ht="15" x14ac:dyDescent="0.25">
      <c r="C2599" s="8" t="e">
        <f>VLOOKUP(A:A,'ITEM LIST'!A:C,3,0)</f>
        <v>#N/A</v>
      </c>
      <c r="D2599" s="6">
        <f t="shared" si="41"/>
        <v>0</v>
      </c>
    </row>
    <row r="2600" spans="3:4" ht="15" x14ac:dyDescent="0.25">
      <c r="C2600" s="8" t="e">
        <f>VLOOKUP(A:A,'ITEM LIST'!A:C,3,0)</f>
        <v>#N/A</v>
      </c>
      <c r="D2600" s="6">
        <f t="shared" si="41"/>
        <v>0</v>
      </c>
    </row>
    <row r="2601" spans="3:4" ht="15" x14ac:dyDescent="0.25">
      <c r="C2601" s="8" t="e">
        <f>VLOOKUP(A:A,'ITEM LIST'!A:C,3,0)</f>
        <v>#N/A</v>
      </c>
      <c r="D2601" s="6">
        <f t="shared" si="41"/>
        <v>0</v>
      </c>
    </row>
    <row r="2602" spans="3:4" ht="15" x14ac:dyDescent="0.25">
      <c r="C2602" s="8" t="e">
        <f>VLOOKUP(A:A,'ITEM LIST'!A:C,3,0)</f>
        <v>#N/A</v>
      </c>
      <c r="D2602" s="6">
        <f t="shared" si="41"/>
        <v>0</v>
      </c>
    </row>
    <row r="2603" spans="3:4" ht="15" x14ac:dyDescent="0.25">
      <c r="C2603" s="8" t="e">
        <f>VLOOKUP(A:A,'ITEM LIST'!A:C,3,0)</f>
        <v>#N/A</v>
      </c>
      <c r="D2603" s="6">
        <f t="shared" si="41"/>
        <v>0</v>
      </c>
    </row>
    <row r="2604" spans="3:4" ht="15" x14ac:dyDescent="0.25">
      <c r="C2604" s="8" t="e">
        <f>VLOOKUP(A:A,'ITEM LIST'!A:C,3,0)</f>
        <v>#N/A</v>
      </c>
      <c r="D2604" s="6">
        <f t="shared" si="41"/>
        <v>0</v>
      </c>
    </row>
    <row r="2605" spans="3:4" ht="15" x14ac:dyDescent="0.25">
      <c r="C2605" s="8" t="e">
        <f>VLOOKUP(A:A,'ITEM LIST'!A:C,3,0)</f>
        <v>#N/A</v>
      </c>
      <c r="D2605" s="6">
        <f t="shared" si="41"/>
        <v>0</v>
      </c>
    </row>
    <row r="2606" spans="3:4" ht="15" x14ac:dyDescent="0.25">
      <c r="C2606" s="8" t="e">
        <f>VLOOKUP(A:A,'ITEM LIST'!A:C,3,0)</f>
        <v>#N/A</v>
      </c>
      <c r="D2606" s="6">
        <f t="shared" si="41"/>
        <v>0</v>
      </c>
    </row>
    <row r="2607" spans="3:4" ht="15" x14ac:dyDescent="0.25">
      <c r="C2607" s="8" t="e">
        <f>VLOOKUP(A:A,'ITEM LIST'!A:C,3,0)</f>
        <v>#N/A</v>
      </c>
      <c r="D2607" s="6">
        <f t="shared" si="41"/>
        <v>0</v>
      </c>
    </row>
    <row r="2608" spans="3:4" ht="15" x14ac:dyDescent="0.25">
      <c r="C2608" s="8" t="e">
        <f>VLOOKUP(A:A,'ITEM LIST'!A:C,3,0)</f>
        <v>#N/A</v>
      </c>
      <c r="D2608" s="6">
        <f t="shared" si="41"/>
        <v>0</v>
      </c>
    </row>
    <row r="2609" spans="3:4" ht="15" x14ac:dyDescent="0.25">
      <c r="C2609" s="8" t="e">
        <f>VLOOKUP(A:A,'ITEM LIST'!A:C,3,0)</f>
        <v>#N/A</v>
      </c>
      <c r="D2609" s="6">
        <f t="shared" si="41"/>
        <v>0</v>
      </c>
    </row>
    <row r="2610" spans="3:4" ht="15" x14ac:dyDescent="0.25">
      <c r="C2610" s="8" t="e">
        <f>VLOOKUP(A:A,'ITEM LIST'!A:C,3,0)</f>
        <v>#N/A</v>
      </c>
      <c r="D2610" s="6">
        <f t="shared" si="41"/>
        <v>0</v>
      </c>
    </row>
    <row r="2611" spans="3:4" ht="15" x14ac:dyDescent="0.25">
      <c r="C2611" s="8" t="e">
        <f>VLOOKUP(A:A,'ITEM LIST'!A:C,3,0)</f>
        <v>#N/A</v>
      </c>
      <c r="D2611" s="6">
        <f t="shared" si="41"/>
        <v>0</v>
      </c>
    </row>
    <row r="2612" spans="3:4" ht="15" x14ac:dyDescent="0.25">
      <c r="C2612" s="8" t="e">
        <f>VLOOKUP(A:A,'ITEM LIST'!A:C,3,0)</f>
        <v>#N/A</v>
      </c>
      <c r="D2612" s="6">
        <f t="shared" si="41"/>
        <v>0</v>
      </c>
    </row>
    <row r="2613" spans="3:4" ht="15" x14ac:dyDescent="0.25">
      <c r="C2613" s="8" t="e">
        <f>VLOOKUP(A:A,'ITEM LIST'!A:C,3,0)</f>
        <v>#N/A</v>
      </c>
      <c r="D2613" s="6">
        <f t="shared" si="41"/>
        <v>0</v>
      </c>
    </row>
    <row r="2614" spans="3:4" ht="15" x14ac:dyDescent="0.25">
      <c r="C2614" s="8" t="e">
        <f>VLOOKUP(A:A,'ITEM LIST'!A:C,3,0)</f>
        <v>#N/A</v>
      </c>
      <c r="D2614" s="6">
        <f t="shared" si="41"/>
        <v>0</v>
      </c>
    </row>
    <row r="2615" spans="3:4" ht="15" x14ac:dyDescent="0.25">
      <c r="C2615" s="8" t="e">
        <f>VLOOKUP(A:A,'ITEM LIST'!A:C,3,0)</f>
        <v>#N/A</v>
      </c>
      <c r="D2615" s="6">
        <f t="shared" si="41"/>
        <v>0</v>
      </c>
    </row>
    <row r="2616" spans="3:4" ht="15" x14ac:dyDescent="0.25">
      <c r="C2616" s="8" t="e">
        <f>VLOOKUP(A:A,'ITEM LIST'!A:C,3,0)</f>
        <v>#N/A</v>
      </c>
      <c r="D2616" s="6">
        <f t="shared" si="41"/>
        <v>0</v>
      </c>
    </row>
    <row r="2617" spans="3:4" ht="15" x14ac:dyDescent="0.25">
      <c r="C2617" s="8" t="e">
        <f>VLOOKUP(A:A,'ITEM LIST'!A:C,3,0)</f>
        <v>#N/A</v>
      </c>
      <c r="D2617" s="6">
        <f t="shared" si="41"/>
        <v>0</v>
      </c>
    </row>
    <row r="2618" spans="3:4" ht="15" x14ac:dyDescent="0.25">
      <c r="C2618" s="8" t="e">
        <f>VLOOKUP(A:A,'ITEM LIST'!A:C,3,0)</f>
        <v>#N/A</v>
      </c>
      <c r="D2618" s="6">
        <f t="shared" si="41"/>
        <v>0</v>
      </c>
    </row>
    <row r="2619" spans="3:4" ht="15" x14ac:dyDescent="0.25">
      <c r="C2619" s="8" t="e">
        <f>VLOOKUP(A:A,'ITEM LIST'!A:C,3,0)</f>
        <v>#N/A</v>
      </c>
      <c r="D2619" s="6">
        <f t="shared" si="41"/>
        <v>0</v>
      </c>
    </row>
    <row r="2620" spans="3:4" ht="15" x14ac:dyDescent="0.25">
      <c r="C2620" s="8" t="e">
        <f>VLOOKUP(A:A,'ITEM LIST'!A:C,3,0)</f>
        <v>#N/A</v>
      </c>
      <c r="D2620" s="6">
        <f t="shared" si="41"/>
        <v>0</v>
      </c>
    </row>
    <row r="2621" spans="3:4" ht="15" x14ac:dyDescent="0.25">
      <c r="C2621" s="8" t="e">
        <f>VLOOKUP(A:A,'ITEM LIST'!A:C,3,0)</f>
        <v>#N/A</v>
      </c>
      <c r="D2621" s="6">
        <f t="shared" si="41"/>
        <v>0</v>
      </c>
    </row>
    <row r="2622" spans="3:4" ht="15" x14ac:dyDescent="0.25">
      <c r="C2622" s="8" t="e">
        <f>VLOOKUP(A:A,'ITEM LIST'!A:C,3,0)</f>
        <v>#N/A</v>
      </c>
      <c r="D2622" s="6">
        <f t="shared" si="41"/>
        <v>0</v>
      </c>
    </row>
    <row r="2623" spans="3:4" ht="15" x14ac:dyDescent="0.25">
      <c r="C2623" s="8" t="e">
        <f>VLOOKUP(A:A,'ITEM LIST'!A:C,3,0)</f>
        <v>#N/A</v>
      </c>
      <c r="D2623" s="6">
        <f t="shared" si="41"/>
        <v>0</v>
      </c>
    </row>
    <row r="2624" spans="3:4" ht="15" x14ac:dyDescent="0.25">
      <c r="C2624" s="8" t="e">
        <f>VLOOKUP(A:A,'ITEM LIST'!A:C,3,0)</f>
        <v>#N/A</v>
      </c>
      <c r="D2624" s="6">
        <f t="shared" si="41"/>
        <v>0</v>
      </c>
    </row>
    <row r="2625" spans="3:4" ht="15" x14ac:dyDescent="0.25">
      <c r="C2625" s="8" t="e">
        <f>VLOOKUP(A:A,'ITEM LIST'!A:C,3,0)</f>
        <v>#N/A</v>
      </c>
      <c r="D2625" s="6">
        <f t="shared" si="41"/>
        <v>0</v>
      </c>
    </row>
    <row r="2626" spans="3:4" ht="15" x14ac:dyDescent="0.25">
      <c r="C2626" s="8" t="e">
        <f>VLOOKUP(A:A,'ITEM LIST'!A:C,3,0)</f>
        <v>#N/A</v>
      </c>
      <c r="D2626" s="6">
        <f t="shared" si="41"/>
        <v>0</v>
      </c>
    </row>
    <row r="2627" spans="3:4" ht="15" x14ac:dyDescent="0.25">
      <c r="C2627" s="8" t="e">
        <f>VLOOKUP(A:A,'ITEM LIST'!A:C,3,0)</f>
        <v>#N/A</v>
      </c>
      <c r="D2627" s="6">
        <f t="shared" si="41"/>
        <v>0</v>
      </c>
    </row>
    <row r="2628" spans="3:4" ht="15" x14ac:dyDescent="0.25">
      <c r="C2628" s="8" t="e">
        <f>VLOOKUP(A:A,'ITEM LIST'!A:C,3,0)</f>
        <v>#N/A</v>
      </c>
      <c r="D2628" s="6">
        <f t="shared" si="41"/>
        <v>0</v>
      </c>
    </row>
    <row r="2629" spans="3:4" ht="15" x14ac:dyDescent="0.25">
      <c r="C2629" s="8" t="e">
        <f>VLOOKUP(A:A,'ITEM LIST'!A:C,3,0)</f>
        <v>#N/A</v>
      </c>
      <c r="D2629" s="6">
        <f t="shared" si="41"/>
        <v>0</v>
      </c>
    </row>
    <row r="2630" spans="3:4" ht="15" x14ac:dyDescent="0.25">
      <c r="C2630" s="8" t="e">
        <f>VLOOKUP(A:A,'ITEM LIST'!A:C,3,0)</f>
        <v>#N/A</v>
      </c>
      <c r="D2630" s="6">
        <f t="shared" ref="D2630:D2693" si="42">B2630</f>
        <v>0</v>
      </c>
    </row>
    <row r="2631" spans="3:4" ht="15" x14ac:dyDescent="0.25">
      <c r="C2631" s="8" t="e">
        <f>VLOOKUP(A:A,'ITEM LIST'!A:C,3,0)</f>
        <v>#N/A</v>
      </c>
      <c r="D2631" s="6">
        <f t="shared" si="42"/>
        <v>0</v>
      </c>
    </row>
    <row r="2632" spans="3:4" ht="15" x14ac:dyDescent="0.25">
      <c r="C2632" s="8" t="e">
        <f>VLOOKUP(A:A,'ITEM LIST'!A:C,3,0)</f>
        <v>#N/A</v>
      </c>
      <c r="D2632" s="6">
        <f t="shared" si="42"/>
        <v>0</v>
      </c>
    </row>
    <row r="2633" spans="3:4" ht="15" x14ac:dyDescent="0.25">
      <c r="C2633" s="8" t="e">
        <f>VLOOKUP(A:A,'ITEM LIST'!A:C,3,0)</f>
        <v>#N/A</v>
      </c>
      <c r="D2633" s="6">
        <f t="shared" si="42"/>
        <v>0</v>
      </c>
    </row>
    <row r="2634" spans="3:4" ht="15" x14ac:dyDescent="0.25">
      <c r="C2634" s="8" t="e">
        <f>VLOOKUP(A:A,'ITEM LIST'!A:C,3,0)</f>
        <v>#N/A</v>
      </c>
      <c r="D2634" s="6">
        <f t="shared" si="42"/>
        <v>0</v>
      </c>
    </row>
    <row r="2635" spans="3:4" ht="15" x14ac:dyDescent="0.25">
      <c r="C2635" s="8" t="e">
        <f>VLOOKUP(A:A,'ITEM LIST'!A:C,3,0)</f>
        <v>#N/A</v>
      </c>
      <c r="D2635" s="6">
        <f t="shared" si="42"/>
        <v>0</v>
      </c>
    </row>
    <row r="2636" spans="3:4" ht="15" x14ac:dyDescent="0.25">
      <c r="C2636" s="8" t="e">
        <f>VLOOKUP(A:A,'ITEM LIST'!A:C,3,0)</f>
        <v>#N/A</v>
      </c>
      <c r="D2636" s="6">
        <f t="shared" si="42"/>
        <v>0</v>
      </c>
    </row>
    <row r="2637" spans="3:4" ht="15" x14ac:dyDescent="0.25">
      <c r="C2637" s="8" t="e">
        <f>VLOOKUP(A:A,'ITEM LIST'!A:C,3,0)</f>
        <v>#N/A</v>
      </c>
      <c r="D2637" s="6">
        <f t="shared" si="42"/>
        <v>0</v>
      </c>
    </row>
    <row r="2638" spans="3:4" ht="15" x14ac:dyDescent="0.25">
      <c r="C2638" s="8" t="e">
        <f>VLOOKUP(A:A,'ITEM LIST'!A:C,3,0)</f>
        <v>#N/A</v>
      </c>
      <c r="D2638" s="6">
        <f t="shared" si="42"/>
        <v>0</v>
      </c>
    </row>
    <row r="2639" spans="3:4" ht="15" x14ac:dyDescent="0.25">
      <c r="C2639" s="8" t="e">
        <f>VLOOKUP(A:A,'ITEM LIST'!A:C,3,0)</f>
        <v>#N/A</v>
      </c>
      <c r="D2639" s="6">
        <f t="shared" si="42"/>
        <v>0</v>
      </c>
    </row>
    <row r="2640" spans="3:4" ht="15" x14ac:dyDescent="0.25">
      <c r="C2640" s="8" t="e">
        <f>VLOOKUP(A:A,'ITEM LIST'!A:C,3,0)</f>
        <v>#N/A</v>
      </c>
      <c r="D2640" s="6">
        <f t="shared" si="42"/>
        <v>0</v>
      </c>
    </row>
    <row r="2641" spans="3:4" ht="15" x14ac:dyDescent="0.25">
      <c r="C2641" s="8" t="e">
        <f>VLOOKUP(A:A,'ITEM LIST'!A:C,3,0)</f>
        <v>#N/A</v>
      </c>
      <c r="D2641" s="6">
        <f t="shared" si="42"/>
        <v>0</v>
      </c>
    </row>
    <row r="2642" spans="3:4" ht="15" x14ac:dyDescent="0.25">
      <c r="C2642" s="8" t="e">
        <f>VLOOKUP(A:A,'ITEM LIST'!A:C,3,0)</f>
        <v>#N/A</v>
      </c>
      <c r="D2642" s="6">
        <f t="shared" si="42"/>
        <v>0</v>
      </c>
    </row>
    <row r="2643" spans="3:4" ht="15" x14ac:dyDescent="0.25">
      <c r="C2643" s="8" t="e">
        <f>VLOOKUP(A:A,'ITEM LIST'!A:C,3,0)</f>
        <v>#N/A</v>
      </c>
      <c r="D2643" s="6">
        <f t="shared" si="42"/>
        <v>0</v>
      </c>
    </row>
    <row r="2644" spans="3:4" ht="15" x14ac:dyDescent="0.25">
      <c r="C2644" s="8" t="e">
        <f>VLOOKUP(A:A,'ITEM LIST'!A:C,3,0)</f>
        <v>#N/A</v>
      </c>
      <c r="D2644" s="6">
        <f t="shared" si="42"/>
        <v>0</v>
      </c>
    </row>
    <row r="2645" spans="3:4" ht="15" x14ac:dyDescent="0.25">
      <c r="C2645" s="8" t="e">
        <f>VLOOKUP(A:A,'ITEM LIST'!A:C,3,0)</f>
        <v>#N/A</v>
      </c>
      <c r="D2645" s="6">
        <f t="shared" si="42"/>
        <v>0</v>
      </c>
    </row>
    <row r="2646" spans="3:4" ht="15" x14ac:dyDescent="0.25">
      <c r="C2646" s="8" t="e">
        <f>VLOOKUP(A:A,'ITEM LIST'!A:C,3,0)</f>
        <v>#N/A</v>
      </c>
      <c r="D2646" s="6">
        <f t="shared" si="42"/>
        <v>0</v>
      </c>
    </row>
    <row r="2647" spans="3:4" ht="15" x14ac:dyDescent="0.25">
      <c r="C2647" s="8" t="e">
        <f>VLOOKUP(A:A,'ITEM LIST'!A:C,3,0)</f>
        <v>#N/A</v>
      </c>
      <c r="D2647" s="6">
        <f t="shared" si="42"/>
        <v>0</v>
      </c>
    </row>
    <row r="2648" spans="3:4" ht="15" x14ac:dyDescent="0.25">
      <c r="C2648" s="8" t="e">
        <f>VLOOKUP(A:A,'ITEM LIST'!A:C,3,0)</f>
        <v>#N/A</v>
      </c>
      <c r="D2648" s="6">
        <f t="shared" si="42"/>
        <v>0</v>
      </c>
    </row>
    <row r="2649" spans="3:4" ht="15" x14ac:dyDescent="0.25">
      <c r="C2649" s="8" t="e">
        <f>VLOOKUP(A:A,'ITEM LIST'!A:C,3,0)</f>
        <v>#N/A</v>
      </c>
      <c r="D2649" s="6">
        <f t="shared" si="42"/>
        <v>0</v>
      </c>
    </row>
    <row r="2650" spans="3:4" ht="15" x14ac:dyDescent="0.25">
      <c r="C2650" s="8" t="e">
        <f>VLOOKUP(A:A,'ITEM LIST'!A:C,3,0)</f>
        <v>#N/A</v>
      </c>
      <c r="D2650" s="6">
        <f t="shared" si="42"/>
        <v>0</v>
      </c>
    </row>
    <row r="2651" spans="3:4" ht="15" x14ac:dyDescent="0.25">
      <c r="C2651" s="8" t="e">
        <f>VLOOKUP(A:A,'ITEM LIST'!A:C,3,0)</f>
        <v>#N/A</v>
      </c>
      <c r="D2651" s="6">
        <f t="shared" si="42"/>
        <v>0</v>
      </c>
    </row>
    <row r="2652" spans="3:4" ht="15" x14ac:dyDescent="0.25">
      <c r="C2652" s="8" t="e">
        <f>VLOOKUP(A:A,'ITEM LIST'!A:C,3,0)</f>
        <v>#N/A</v>
      </c>
      <c r="D2652" s="6">
        <f t="shared" si="42"/>
        <v>0</v>
      </c>
    </row>
    <row r="2653" spans="3:4" ht="15" x14ac:dyDescent="0.25">
      <c r="C2653" s="8" t="e">
        <f>VLOOKUP(A:A,'ITEM LIST'!A:C,3,0)</f>
        <v>#N/A</v>
      </c>
      <c r="D2653" s="6">
        <f t="shared" si="42"/>
        <v>0</v>
      </c>
    </row>
    <row r="2654" spans="3:4" ht="15" x14ac:dyDescent="0.25">
      <c r="C2654" s="8" t="e">
        <f>VLOOKUP(A:A,'ITEM LIST'!A:C,3,0)</f>
        <v>#N/A</v>
      </c>
      <c r="D2654" s="6">
        <f t="shared" si="42"/>
        <v>0</v>
      </c>
    </row>
    <row r="2655" spans="3:4" ht="15" x14ac:dyDescent="0.25">
      <c r="C2655" s="8" t="e">
        <f>VLOOKUP(A:A,'ITEM LIST'!A:C,3,0)</f>
        <v>#N/A</v>
      </c>
      <c r="D2655" s="6">
        <f t="shared" si="42"/>
        <v>0</v>
      </c>
    </row>
    <row r="2656" spans="3:4" ht="15" x14ac:dyDescent="0.25">
      <c r="C2656" s="8" t="e">
        <f>VLOOKUP(A:A,'ITEM LIST'!A:C,3,0)</f>
        <v>#N/A</v>
      </c>
      <c r="D2656" s="6">
        <f t="shared" si="42"/>
        <v>0</v>
      </c>
    </row>
    <row r="2657" spans="3:4" ht="15" x14ac:dyDescent="0.25">
      <c r="C2657" s="8" t="e">
        <f>VLOOKUP(A:A,'ITEM LIST'!A:C,3,0)</f>
        <v>#N/A</v>
      </c>
      <c r="D2657" s="6">
        <f t="shared" si="42"/>
        <v>0</v>
      </c>
    </row>
    <row r="2658" spans="3:4" ht="15" x14ac:dyDescent="0.25">
      <c r="C2658" s="8" t="e">
        <f>VLOOKUP(A:A,'ITEM LIST'!A:C,3,0)</f>
        <v>#N/A</v>
      </c>
      <c r="D2658" s="6">
        <f t="shared" si="42"/>
        <v>0</v>
      </c>
    </row>
    <row r="2659" spans="3:4" ht="15" x14ac:dyDescent="0.25">
      <c r="C2659" s="8" t="e">
        <f>VLOOKUP(A:A,'ITEM LIST'!A:C,3,0)</f>
        <v>#N/A</v>
      </c>
      <c r="D2659" s="6">
        <f t="shared" si="42"/>
        <v>0</v>
      </c>
    </row>
    <row r="2660" spans="3:4" ht="15" x14ac:dyDescent="0.25">
      <c r="C2660" s="8" t="e">
        <f>VLOOKUP(A:A,'ITEM LIST'!A:C,3,0)</f>
        <v>#N/A</v>
      </c>
      <c r="D2660" s="6">
        <f t="shared" si="42"/>
        <v>0</v>
      </c>
    </row>
    <row r="2661" spans="3:4" ht="15" x14ac:dyDescent="0.25">
      <c r="C2661" s="8" t="e">
        <f>VLOOKUP(A:A,'ITEM LIST'!A:C,3,0)</f>
        <v>#N/A</v>
      </c>
      <c r="D2661" s="6">
        <f t="shared" si="42"/>
        <v>0</v>
      </c>
    </row>
    <row r="2662" spans="3:4" ht="15" x14ac:dyDescent="0.25">
      <c r="C2662" s="8" t="e">
        <f>VLOOKUP(A:A,'ITEM LIST'!A:C,3,0)</f>
        <v>#N/A</v>
      </c>
      <c r="D2662" s="6">
        <f t="shared" si="42"/>
        <v>0</v>
      </c>
    </row>
    <row r="2663" spans="3:4" ht="15" x14ac:dyDescent="0.25">
      <c r="C2663" s="8" t="e">
        <f>VLOOKUP(A:A,'ITEM LIST'!A:C,3,0)</f>
        <v>#N/A</v>
      </c>
      <c r="D2663" s="6">
        <f t="shared" si="42"/>
        <v>0</v>
      </c>
    </row>
    <row r="2664" spans="3:4" ht="15" x14ac:dyDescent="0.25">
      <c r="C2664" s="8" t="e">
        <f>VLOOKUP(A:A,'ITEM LIST'!A:C,3,0)</f>
        <v>#N/A</v>
      </c>
      <c r="D2664" s="6">
        <f t="shared" si="42"/>
        <v>0</v>
      </c>
    </row>
    <row r="2665" spans="3:4" ht="15" x14ac:dyDescent="0.25">
      <c r="C2665" s="8" t="e">
        <f>VLOOKUP(A:A,'ITEM LIST'!A:C,3,0)</f>
        <v>#N/A</v>
      </c>
      <c r="D2665" s="6">
        <f t="shared" si="42"/>
        <v>0</v>
      </c>
    </row>
    <row r="2666" spans="3:4" ht="15" x14ac:dyDescent="0.25">
      <c r="C2666" s="8" t="e">
        <f>VLOOKUP(A:A,'ITEM LIST'!A:C,3,0)</f>
        <v>#N/A</v>
      </c>
      <c r="D2666" s="6">
        <f t="shared" si="42"/>
        <v>0</v>
      </c>
    </row>
    <row r="2667" spans="3:4" ht="15" x14ac:dyDescent="0.25">
      <c r="C2667" s="8" t="e">
        <f>VLOOKUP(A:A,'ITEM LIST'!A:C,3,0)</f>
        <v>#N/A</v>
      </c>
      <c r="D2667" s="6">
        <f t="shared" si="42"/>
        <v>0</v>
      </c>
    </row>
    <row r="2668" spans="3:4" ht="15" x14ac:dyDescent="0.25">
      <c r="C2668" s="8" t="e">
        <f>VLOOKUP(A:A,'ITEM LIST'!A:C,3,0)</f>
        <v>#N/A</v>
      </c>
      <c r="D2668" s="6">
        <f t="shared" si="42"/>
        <v>0</v>
      </c>
    </row>
    <row r="2669" spans="3:4" ht="15" x14ac:dyDescent="0.25">
      <c r="C2669" s="8" t="e">
        <f>VLOOKUP(A:A,'ITEM LIST'!A:C,3,0)</f>
        <v>#N/A</v>
      </c>
      <c r="D2669" s="6">
        <f t="shared" si="42"/>
        <v>0</v>
      </c>
    </row>
    <row r="2670" spans="3:4" ht="15" x14ac:dyDescent="0.25">
      <c r="C2670" s="8" t="e">
        <f>VLOOKUP(A:A,'ITEM LIST'!A:C,3,0)</f>
        <v>#N/A</v>
      </c>
      <c r="D2670" s="6">
        <f t="shared" si="42"/>
        <v>0</v>
      </c>
    </row>
    <row r="2671" spans="3:4" ht="15" x14ac:dyDescent="0.25">
      <c r="C2671" s="8" t="e">
        <f>VLOOKUP(A:A,'ITEM LIST'!A:C,3,0)</f>
        <v>#N/A</v>
      </c>
      <c r="D2671" s="6">
        <f t="shared" si="42"/>
        <v>0</v>
      </c>
    </row>
    <row r="2672" spans="3:4" ht="15" x14ac:dyDescent="0.25">
      <c r="C2672" s="8" t="e">
        <f>VLOOKUP(A:A,'ITEM LIST'!A:C,3,0)</f>
        <v>#N/A</v>
      </c>
      <c r="D2672" s="6">
        <f t="shared" si="42"/>
        <v>0</v>
      </c>
    </row>
    <row r="2673" spans="3:4" ht="15" x14ac:dyDescent="0.25">
      <c r="C2673" s="8" t="e">
        <f>VLOOKUP(A:A,'ITEM LIST'!A:C,3,0)</f>
        <v>#N/A</v>
      </c>
      <c r="D2673" s="6">
        <f t="shared" si="42"/>
        <v>0</v>
      </c>
    </row>
    <row r="2674" spans="3:4" ht="15" x14ac:dyDescent="0.25">
      <c r="C2674" s="8" t="e">
        <f>VLOOKUP(A:A,'ITEM LIST'!A:C,3,0)</f>
        <v>#N/A</v>
      </c>
      <c r="D2674" s="6">
        <f t="shared" si="42"/>
        <v>0</v>
      </c>
    </row>
    <row r="2675" spans="3:4" ht="15" x14ac:dyDescent="0.25">
      <c r="C2675" s="8" t="e">
        <f>VLOOKUP(A:A,'ITEM LIST'!A:C,3,0)</f>
        <v>#N/A</v>
      </c>
      <c r="D2675" s="6">
        <f t="shared" si="42"/>
        <v>0</v>
      </c>
    </row>
    <row r="2676" spans="3:4" ht="15" x14ac:dyDescent="0.25">
      <c r="C2676" s="8" t="e">
        <f>VLOOKUP(A:A,'ITEM LIST'!A:C,3,0)</f>
        <v>#N/A</v>
      </c>
      <c r="D2676" s="6">
        <f t="shared" si="42"/>
        <v>0</v>
      </c>
    </row>
    <row r="2677" spans="3:4" ht="15" x14ac:dyDescent="0.25">
      <c r="C2677" s="8" t="e">
        <f>VLOOKUP(A:A,'ITEM LIST'!A:C,3,0)</f>
        <v>#N/A</v>
      </c>
      <c r="D2677" s="6">
        <f t="shared" si="42"/>
        <v>0</v>
      </c>
    </row>
    <row r="2678" spans="3:4" ht="15" x14ac:dyDescent="0.25">
      <c r="C2678" s="8" t="e">
        <f>VLOOKUP(A:A,'ITEM LIST'!A:C,3,0)</f>
        <v>#N/A</v>
      </c>
      <c r="D2678" s="6">
        <f t="shared" si="42"/>
        <v>0</v>
      </c>
    </row>
    <row r="2679" spans="3:4" ht="15" x14ac:dyDescent="0.25">
      <c r="C2679" s="8" t="e">
        <f>VLOOKUP(A:A,'ITEM LIST'!A:C,3,0)</f>
        <v>#N/A</v>
      </c>
      <c r="D2679" s="6">
        <f t="shared" si="42"/>
        <v>0</v>
      </c>
    </row>
    <row r="2680" spans="3:4" ht="15" x14ac:dyDescent="0.25">
      <c r="C2680" s="8" t="e">
        <f>VLOOKUP(A:A,'ITEM LIST'!A:C,3,0)</f>
        <v>#N/A</v>
      </c>
      <c r="D2680" s="6">
        <f t="shared" si="42"/>
        <v>0</v>
      </c>
    </row>
    <row r="2681" spans="3:4" ht="15" x14ac:dyDescent="0.25">
      <c r="C2681" s="8" t="e">
        <f>VLOOKUP(A:A,'ITEM LIST'!A:C,3,0)</f>
        <v>#N/A</v>
      </c>
      <c r="D2681" s="6">
        <f t="shared" si="42"/>
        <v>0</v>
      </c>
    </row>
    <row r="2682" spans="3:4" ht="15" x14ac:dyDescent="0.25">
      <c r="C2682" s="8" t="e">
        <f>VLOOKUP(A:A,'ITEM LIST'!A:C,3,0)</f>
        <v>#N/A</v>
      </c>
      <c r="D2682" s="6">
        <f t="shared" si="42"/>
        <v>0</v>
      </c>
    </row>
    <row r="2683" spans="3:4" ht="15" x14ac:dyDescent="0.25">
      <c r="C2683" s="8" t="e">
        <f>VLOOKUP(A:A,'ITEM LIST'!A:C,3,0)</f>
        <v>#N/A</v>
      </c>
      <c r="D2683" s="6">
        <f t="shared" si="42"/>
        <v>0</v>
      </c>
    </row>
    <row r="2684" spans="3:4" ht="15" x14ac:dyDescent="0.25">
      <c r="C2684" s="8" t="e">
        <f>VLOOKUP(A:A,'ITEM LIST'!A:C,3,0)</f>
        <v>#N/A</v>
      </c>
      <c r="D2684" s="6">
        <f t="shared" si="42"/>
        <v>0</v>
      </c>
    </row>
    <row r="2685" spans="3:4" ht="15" x14ac:dyDescent="0.25">
      <c r="C2685" s="8" t="e">
        <f>VLOOKUP(A:A,'ITEM LIST'!A:C,3,0)</f>
        <v>#N/A</v>
      </c>
      <c r="D2685" s="6">
        <f t="shared" si="42"/>
        <v>0</v>
      </c>
    </row>
    <row r="2686" spans="3:4" ht="15" x14ac:dyDescent="0.25">
      <c r="C2686" s="8" t="e">
        <f>VLOOKUP(A:A,'ITEM LIST'!A:C,3,0)</f>
        <v>#N/A</v>
      </c>
      <c r="D2686" s="6">
        <f t="shared" si="42"/>
        <v>0</v>
      </c>
    </row>
    <row r="2687" spans="3:4" ht="15" x14ac:dyDescent="0.25">
      <c r="C2687" s="8" t="e">
        <f>VLOOKUP(A:A,'ITEM LIST'!A:C,3,0)</f>
        <v>#N/A</v>
      </c>
      <c r="D2687" s="6">
        <f t="shared" si="42"/>
        <v>0</v>
      </c>
    </row>
    <row r="2688" spans="3:4" ht="15" x14ac:dyDescent="0.25">
      <c r="C2688" s="8" t="e">
        <f>VLOOKUP(A:A,'ITEM LIST'!A:C,3,0)</f>
        <v>#N/A</v>
      </c>
      <c r="D2688" s="6">
        <f t="shared" si="42"/>
        <v>0</v>
      </c>
    </row>
    <row r="2689" spans="3:4" ht="15" x14ac:dyDescent="0.25">
      <c r="C2689" s="8" t="e">
        <f>VLOOKUP(A:A,'ITEM LIST'!A:C,3,0)</f>
        <v>#N/A</v>
      </c>
      <c r="D2689" s="6">
        <f t="shared" si="42"/>
        <v>0</v>
      </c>
    </row>
    <row r="2690" spans="3:4" ht="15" x14ac:dyDescent="0.25">
      <c r="C2690" s="8" t="e">
        <f>VLOOKUP(A:A,'ITEM LIST'!A:C,3,0)</f>
        <v>#N/A</v>
      </c>
      <c r="D2690" s="6">
        <f t="shared" si="42"/>
        <v>0</v>
      </c>
    </row>
    <row r="2691" spans="3:4" ht="15" x14ac:dyDescent="0.25">
      <c r="C2691" s="8" t="e">
        <f>VLOOKUP(A:A,'ITEM LIST'!A:C,3,0)</f>
        <v>#N/A</v>
      </c>
      <c r="D2691" s="6">
        <f t="shared" si="42"/>
        <v>0</v>
      </c>
    </row>
    <row r="2692" spans="3:4" ht="15" x14ac:dyDescent="0.25">
      <c r="C2692" s="8" t="e">
        <f>VLOOKUP(A:A,'ITEM LIST'!A:C,3,0)</f>
        <v>#N/A</v>
      </c>
      <c r="D2692" s="6">
        <f t="shared" si="42"/>
        <v>0</v>
      </c>
    </row>
    <row r="2693" spans="3:4" ht="15" x14ac:dyDescent="0.25">
      <c r="C2693" s="8" t="e">
        <f>VLOOKUP(A:A,'ITEM LIST'!A:C,3,0)</f>
        <v>#N/A</v>
      </c>
      <c r="D2693" s="6">
        <f t="shared" si="42"/>
        <v>0</v>
      </c>
    </row>
    <row r="2694" spans="3:4" ht="15" x14ac:dyDescent="0.25">
      <c r="C2694" s="8" t="e">
        <f>VLOOKUP(A:A,'ITEM LIST'!A:C,3,0)</f>
        <v>#N/A</v>
      </c>
      <c r="D2694" s="6">
        <f t="shared" ref="D2694:D2757" si="43">B2694</f>
        <v>0</v>
      </c>
    </row>
    <row r="2695" spans="3:4" ht="15" x14ac:dyDescent="0.25">
      <c r="C2695" s="8" t="e">
        <f>VLOOKUP(A:A,'ITEM LIST'!A:C,3,0)</f>
        <v>#N/A</v>
      </c>
      <c r="D2695" s="6">
        <f t="shared" si="43"/>
        <v>0</v>
      </c>
    </row>
    <row r="2696" spans="3:4" ht="15" x14ac:dyDescent="0.25">
      <c r="C2696" s="8" t="e">
        <f>VLOOKUP(A:A,'ITEM LIST'!A:C,3,0)</f>
        <v>#N/A</v>
      </c>
      <c r="D2696" s="6">
        <f t="shared" si="43"/>
        <v>0</v>
      </c>
    </row>
    <row r="2697" spans="3:4" ht="15" x14ac:dyDescent="0.25">
      <c r="C2697" s="8" t="e">
        <f>VLOOKUP(A:A,'ITEM LIST'!A:C,3,0)</f>
        <v>#N/A</v>
      </c>
      <c r="D2697" s="6">
        <f t="shared" si="43"/>
        <v>0</v>
      </c>
    </row>
    <row r="2698" spans="3:4" ht="15" x14ac:dyDescent="0.25">
      <c r="C2698" s="8" t="e">
        <f>VLOOKUP(A:A,'ITEM LIST'!A:C,3,0)</f>
        <v>#N/A</v>
      </c>
      <c r="D2698" s="6">
        <f t="shared" si="43"/>
        <v>0</v>
      </c>
    </row>
    <row r="2699" spans="3:4" ht="15" x14ac:dyDescent="0.25">
      <c r="C2699" s="8" t="e">
        <f>VLOOKUP(A:A,'ITEM LIST'!A:C,3,0)</f>
        <v>#N/A</v>
      </c>
      <c r="D2699" s="6">
        <f t="shared" si="43"/>
        <v>0</v>
      </c>
    </row>
    <row r="2700" spans="3:4" ht="15" x14ac:dyDescent="0.25">
      <c r="C2700" s="8" t="e">
        <f>VLOOKUP(A:A,'ITEM LIST'!A:C,3,0)</f>
        <v>#N/A</v>
      </c>
      <c r="D2700" s="6">
        <f t="shared" si="43"/>
        <v>0</v>
      </c>
    </row>
    <row r="2701" spans="3:4" ht="15" x14ac:dyDescent="0.25">
      <c r="C2701" s="8" t="e">
        <f>VLOOKUP(A:A,'ITEM LIST'!A:C,3,0)</f>
        <v>#N/A</v>
      </c>
      <c r="D2701" s="6">
        <f t="shared" si="43"/>
        <v>0</v>
      </c>
    </row>
    <row r="2702" spans="3:4" ht="15" x14ac:dyDescent="0.25">
      <c r="C2702" s="8" t="e">
        <f>VLOOKUP(A:A,'ITEM LIST'!A:C,3,0)</f>
        <v>#N/A</v>
      </c>
      <c r="D2702" s="6">
        <f t="shared" si="43"/>
        <v>0</v>
      </c>
    </row>
    <row r="2703" spans="3:4" ht="15" x14ac:dyDescent="0.25">
      <c r="C2703" s="8" t="e">
        <f>VLOOKUP(A:A,'ITEM LIST'!A:C,3,0)</f>
        <v>#N/A</v>
      </c>
      <c r="D2703" s="6">
        <f t="shared" si="43"/>
        <v>0</v>
      </c>
    </row>
    <row r="2704" spans="3:4" ht="15" x14ac:dyDescent="0.25">
      <c r="C2704" s="8" t="e">
        <f>VLOOKUP(A:A,'ITEM LIST'!A:C,3,0)</f>
        <v>#N/A</v>
      </c>
      <c r="D2704" s="6">
        <f t="shared" si="43"/>
        <v>0</v>
      </c>
    </row>
    <row r="2705" spans="3:4" ht="15" x14ac:dyDescent="0.25">
      <c r="C2705" s="8" t="e">
        <f>VLOOKUP(A:A,'ITEM LIST'!A:C,3,0)</f>
        <v>#N/A</v>
      </c>
      <c r="D2705" s="6">
        <f t="shared" si="43"/>
        <v>0</v>
      </c>
    </row>
    <row r="2706" spans="3:4" ht="15" x14ac:dyDescent="0.25">
      <c r="C2706" s="8" t="e">
        <f>VLOOKUP(A:A,'ITEM LIST'!A:C,3,0)</f>
        <v>#N/A</v>
      </c>
      <c r="D2706" s="6">
        <f t="shared" si="43"/>
        <v>0</v>
      </c>
    </row>
    <row r="2707" spans="3:4" ht="15" x14ac:dyDescent="0.25">
      <c r="C2707" s="8" t="e">
        <f>VLOOKUP(A:A,'ITEM LIST'!A:C,3,0)</f>
        <v>#N/A</v>
      </c>
      <c r="D2707" s="6">
        <f t="shared" si="43"/>
        <v>0</v>
      </c>
    </row>
    <row r="2708" spans="3:4" ht="15" x14ac:dyDescent="0.25">
      <c r="C2708" s="8" t="e">
        <f>VLOOKUP(A:A,'ITEM LIST'!A:C,3,0)</f>
        <v>#N/A</v>
      </c>
      <c r="D2708" s="6">
        <f t="shared" si="43"/>
        <v>0</v>
      </c>
    </row>
    <row r="2709" spans="3:4" ht="15" x14ac:dyDescent="0.25">
      <c r="C2709" s="8" t="e">
        <f>VLOOKUP(A:A,'ITEM LIST'!A:C,3,0)</f>
        <v>#N/A</v>
      </c>
      <c r="D2709" s="6">
        <f t="shared" si="43"/>
        <v>0</v>
      </c>
    </row>
    <row r="2710" spans="3:4" ht="15" x14ac:dyDescent="0.25">
      <c r="C2710" s="8" t="e">
        <f>VLOOKUP(A:A,'ITEM LIST'!A:C,3,0)</f>
        <v>#N/A</v>
      </c>
      <c r="D2710" s="6">
        <f t="shared" si="43"/>
        <v>0</v>
      </c>
    </row>
    <row r="2711" spans="3:4" ht="15" x14ac:dyDescent="0.25">
      <c r="C2711" s="8" t="e">
        <f>VLOOKUP(A:A,'ITEM LIST'!A:C,3,0)</f>
        <v>#N/A</v>
      </c>
      <c r="D2711" s="6">
        <f t="shared" si="43"/>
        <v>0</v>
      </c>
    </row>
    <row r="2712" spans="3:4" ht="15" x14ac:dyDescent="0.25">
      <c r="C2712" s="8" t="e">
        <f>VLOOKUP(A:A,'ITEM LIST'!A:C,3,0)</f>
        <v>#N/A</v>
      </c>
      <c r="D2712" s="6">
        <f t="shared" si="43"/>
        <v>0</v>
      </c>
    </row>
    <row r="2713" spans="3:4" ht="15" x14ac:dyDescent="0.25">
      <c r="C2713" s="8" t="e">
        <f>VLOOKUP(A:A,'ITEM LIST'!A:C,3,0)</f>
        <v>#N/A</v>
      </c>
      <c r="D2713" s="6">
        <f t="shared" si="43"/>
        <v>0</v>
      </c>
    </row>
    <row r="2714" spans="3:4" ht="15" x14ac:dyDescent="0.25">
      <c r="C2714" s="8" t="e">
        <f>VLOOKUP(A:A,'ITEM LIST'!A:C,3,0)</f>
        <v>#N/A</v>
      </c>
      <c r="D2714" s="6">
        <f t="shared" si="43"/>
        <v>0</v>
      </c>
    </row>
    <row r="2715" spans="3:4" ht="15" x14ac:dyDescent="0.25">
      <c r="C2715" s="8" t="e">
        <f>VLOOKUP(A:A,'ITEM LIST'!A:C,3,0)</f>
        <v>#N/A</v>
      </c>
      <c r="D2715" s="6">
        <f t="shared" si="43"/>
        <v>0</v>
      </c>
    </row>
    <row r="2716" spans="3:4" ht="15" x14ac:dyDescent="0.25">
      <c r="C2716" s="8" t="e">
        <f>VLOOKUP(A:A,'ITEM LIST'!A:C,3,0)</f>
        <v>#N/A</v>
      </c>
      <c r="D2716" s="6">
        <f t="shared" si="43"/>
        <v>0</v>
      </c>
    </row>
    <row r="2717" spans="3:4" ht="15" x14ac:dyDescent="0.25">
      <c r="C2717" s="8" t="e">
        <f>VLOOKUP(A:A,'ITEM LIST'!A:C,3,0)</f>
        <v>#N/A</v>
      </c>
      <c r="D2717" s="6">
        <f t="shared" si="43"/>
        <v>0</v>
      </c>
    </row>
    <row r="2718" spans="3:4" ht="15" x14ac:dyDescent="0.25">
      <c r="C2718" s="8" t="e">
        <f>VLOOKUP(A:A,'ITEM LIST'!A:C,3,0)</f>
        <v>#N/A</v>
      </c>
      <c r="D2718" s="6">
        <f t="shared" si="43"/>
        <v>0</v>
      </c>
    </row>
    <row r="2719" spans="3:4" ht="15" x14ac:dyDescent="0.25">
      <c r="C2719" s="8" t="e">
        <f>VLOOKUP(A:A,'ITEM LIST'!A:C,3,0)</f>
        <v>#N/A</v>
      </c>
      <c r="D2719" s="6">
        <f t="shared" si="43"/>
        <v>0</v>
      </c>
    </row>
    <row r="2720" spans="3:4" ht="15" x14ac:dyDescent="0.25">
      <c r="C2720" s="8" t="e">
        <f>VLOOKUP(A:A,'ITEM LIST'!A:C,3,0)</f>
        <v>#N/A</v>
      </c>
      <c r="D2720" s="6">
        <f t="shared" si="43"/>
        <v>0</v>
      </c>
    </row>
    <row r="2721" spans="3:4" ht="15" x14ac:dyDescent="0.25">
      <c r="C2721" s="8" t="e">
        <f>VLOOKUP(A:A,'ITEM LIST'!A:C,3,0)</f>
        <v>#N/A</v>
      </c>
      <c r="D2721" s="6">
        <f t="shared" si="43"/>
        <v>0</v>
      </c>
    </row>
    <row r="2722" spans="3:4" ht="15" x14ac:dyDescent="0.25">
      <c r="C2722" s="8" t="e">
        <f>VLOOKUP(A:A,'ITEM LIST'!A:C,3,0)</f>
        <v>#N/A</v>
      </c>
      <c r="D2722" s="6">
        <f t="shared" si="43"/>
        <v>0</v>
      </c>
    </row>
    <row r="2723" spans="3:4" ht="15" x14ac:dyDescent="0.25">
      <c r="C2723" s="8" t="e">
        <f>VLOOKUP(A:A,'ITEM LIST'!A:C,3,0)</f>
        <v>#N/A</v>
      </c>
      <c r="D2723" s="6">
        <f t="shared" si="43"/>
        <v>0</v>
      </c>
    </row>
    <row r="2724" spans="3:4" ht="15" x14ac:dyDescent="0.25">
      <c r="C2724" s="8" t="e">
        <f>VLOOKUP(A:A,'ITEM LIST'!A:C,3,0)</f>
        <v>#N/A</v>
      </c>
      <c r="D2724" s="6">
        <f t="shared" si="43"/>
        <v>0</v>
      </c>
    </row>
    <row r="2725" spans="3:4" ht="15" x14ac:dyDescent="0.25">
      <c r="C2725" s="8" t="e">
        <f>VLOOKUP(A:A,'ITEM LIST'!A:C,3,0)</f>
        <v>#N/A</v>
      </c>
      <c r="D2725" s="6">
        <f t="shared" si="43"/>
        <v>0</v>
      </c>
    </row>
    <row r="2726" spans="3:4" ht="15" x14ac:dyDescent="0.25">
      <c r="C2726" s="8" t="e">
        <f>VLOOKUP(A:A,'ITEM LIST'!A:C,3,0)</f>
        <v>#N/A</v>
      </c>
      <c r="D2726" s="6">
        <f t="shared" si="43"/>
        <v>0</v>
      </c>
    </row>
    <row r="2727" spans="3:4" ht="15" x14ac:dyDescent="0.25">
      <c r="C2727" s="8" t="e">
        <f>VLOOKUP(A:A,'ITEM LIST'!A:C,3,0)</f>
        <v>#N/A</v>
      </c>
      <c r="D2727" s="6">
        <f t="shared" si="43"/>
        <v>0</v>
      </c>
    </row>
    <row r="2728" spans="3:4" ht="15" x14ac:dyDescent="0.25">
      <c r="C2728" s="8" t="e">
        <f>VLOOKUP(A:A,'ITEM LIST'!A:C,3,0)</f>
        <v>#N/A</v>
      </c>
      <c r="D2728" s="6">
        <f t="shared" si="43"/>
        <v>0</v>
      </c>
    </row>
    <row r="2729" spans="3:4" ht="15" x14ac:dyDescent="0.25">
      <c r="C2729" s="8" t="e">
        <f>VLOOKUP(A:A,'ITEM LIST'!A:C,3,0)</f>
        <v>#N/A</v>
      </c>
      <c r="D2729" s="6">
        <f t="shared" si="43"/>
        <v>0</v>
      </c>
    </row>
    <row r="2730" spans="3:4" ht="15" x14ac:dyDescent="0.25">
      <c r="C2730" s="8" t="e">
        <f>VLOOKUP(A:A,'ITEM LIST'!A:C,3,0)</f>
        <v>#N/A</v>
      </c>
      <c r="D2730" s="6">
        <f t="shared" si="43"/>
        <v>0</v>
      </c>
    </row>
    <row r="2731" spans="3:4" ht="15" x14ac:dyDescent="0.25">
      <c r="C2731" s="8" t="e">
        <f>VLOOKUP(A:A,'ITEM LIST'!A:C,3,0)</f>
        <v>#N/A</v>
      </c>
      <c r="D2731" s="6">
        <f t="shared" si="43"/>
        <v>0</v>
      </c>
    </row>
    <row r="2732" spans="3:4" ht="15" x14ac:dyDescent="0.25">
      <c r="C2732" s="8" t="e">
        <f>VLOOKUP(A:A,'ITEM LIST'!A:C,3,0)</f>
        <v>#N/A</v>
      </c>
      <c r="D2732" s="6">
        <f t="shared" si="43"/>
        <v>0</v>
      </c>
    </row>
    <row r="2733" spans="3:4" ht="15" x14ac:dyDescent="0.25">
      <c r="C2733" s="8" t="e">
        <f>VLOOKUP(A:A,'ITEM LIST'!A:C,3,0)</f>
        <v>#N/A</v>
      </c>
      <c r="D2733" s="6">
        <f t="shared" si="43"/>
        <v>0</v>
      </c>
    </row>
    <row r="2734" spans="3:4" ht="15" x14ac:dyDescent="0.25">
      <c r="C2734" s="8" t="e">
        <f>VLOOKUP(A:A,'ITEM LIST'!A:C,3,0)</f>
        <v>#N/A</v>
      </c>
      <c r="D2734" s="6">
        <f t="shared" si="43"/>
        <v>0</v>
      </c>
    </row>
    <row r="2735" spans="3:4" ht="15" x14ac:dyDescent="0.25">
      <c r="C2735" s="8" t="e">
        <f>VLOOKUP(A:A,'ITEM LIST'!A:C,3,0)</f>
        <v>#N/A</v>
      </c>
      <c r="D2735" s="6">
        <f t="shared" si="43"/>
        <v>0</v>
      </c>
    </row>
    <row r="2736" spans="3:4" ht="15" x14ac:dyDescent="0.25">
      <c r="C2736" s="8" t="e">
        <f>VLOOKUP(A:A,'ITEM LIST'!A:C,3,0)</f>
        <v>#N/A</v>
      </c>
      <c r="D2736" s="6">
        <f t="shared" si="43"/>
        <v>0</v>
      </c>
    </row>
    <row r="2737" spans="3:4" ht="15" x14ac:dyDescent="0.25">
      <c r="C2737" s="8" t="e">
        <f>VLOOKUP(A:A,'ITEM LIST'!A:C,3,0)</f>
        <v>#N/A</v>
      </c>
      <c r="D2737" s="6">
        <f t="shared" si="43"/>
        <v>0</v>
      </c>
    </row>
    <row r="2738" spans="3:4" ht="15" x14ac:dyDescent="0.25">
      <c r="C2738" s="8" t="e">
        <f>VLOOKUP(A:A,'ITEM LIST'!A:C,3,0)</f>
        <v>#N/A</v>
      </c>
      <c r="D2738" s="6">
        <f t="shared" si="43"/>
        <v>0</v>
      </c>
    </row>
    <row r="2739" spans="3:4" ht="15" x14ac:dyDescent="0.25">
      <c r="C2739" s="8" t="e">
        <f>VLOOKUP(A:A,'ITEM LIST'!A:C,3,0)</f>
        <v>#N/A</v>
      </c>
      <c r="D2739" s="6">
        <f t="shared" si="43"/>
        <v>0</v>
      </c>
    </row>
    <row r="2740" spans="3:4" ht="15" x14ac:dyDescent="0.25">
      <c r="C2740" s="8" t="e">
        <f>VLOOKUP(A:A,'ITEM LIST'!A:C,3,0)</f>
        <v>#N/A</v>
      </c>
      <c r="D2740" s="6">
        <f t="shared" si="43"/>
        <v>0</v>
      </c>
    </row>
    <row r="2741" spans="3:4" ht="15" x14ac:dyDescent="0.25">
      <c r="C2741" s="8" t="e">
        <f>VLOOKUP(A:A,'ITEM LIST'!A:C,3,0)</f>
        <v>#N/A</v>
      </c>
      <c r="D2741" s="6">
        <f t="shared" si="43"/>
        <v>0</v>
      </c>
    </row>
    <row r="2742" spans="3:4" ht="15" x14ac:dyDescent="0.25">
      <c r="C2742" s="8" t="e">
        <f>VLOOKUP(A:A,'ITEM LIST'!A:C,3,0)</f>
        <v>#N/A</v>
      </c>
      <c r="D2742" s="6">
        <f t="shared" si="43"/>
        <v>0</v>
      </c>
    </row>
    <row r="2743" spans="3:4" ht="15" x14ac:dyDescent="0.25">
      <c r="C2743" s="8" t="e">
        <f>VLOOKUP(A:A,'ITEM LIST'!A:C,3,0)</f>
        <v>#N/A</v>
      </c>
      <c r="D2743" s="6">
        <f t="shared" si="43"/>
        <v>0</v>
      </c>
    </row>
    <row r="2744" spans="3:4" ht="15" x14ac:dyDescent="0.25">
      <c r="C2744" s="8" t="e">
        <f>VLOOKUP(A:A,'ITEM LIST'!A:C,3,0)</f>
        <v>#N/A</v>
      </c>
      <c r="D2744" s="6">
        <f t="shared" si="43"/>
        <v>0</v>
      </c>
    </row>
    <row r="2745" spans="3:4" ht="15" x14ac:dyDescent="0.25">
      <c r="C2745" s="8" t="e">
        <f>VLOOKUP(A:A,'ITEM LIST'!A:C,3,0)</f>
        <v>#N/A</v>
      </c>
      <c r="D2745" s="6">
        <f t="shared" si="43"/>
        <v>0</v>
      </c>
    </row>
    <row r="2746" spans="3:4" ht="15" x14ac:dyDescent="0.25">
      <c r="C2746" s="8" t="e">
        <f>VLOOKUP(A:A,'ITEM LIST'!A:C,3,0)</f>
        <v>#N/A</v>
      </c>
      <c r="D2746" s="6">
        <f t="shared" si="43"/>
        <v>0</v>
      </c>
    </row>
    <row r="2747" spans="3:4" ht="15" x14ac:dyDescent="0.25">
      <c r="C2747" s="8" t="e">
        <f>VLOOKUP(A:A,'ITEM LIST'!A:C,3,0)</f>
        <v>#N/A</v>
      </c>
      <c r="D2747" s="6">
        <f t="shared" si="43"/>
        <v>0</v>
      </c>
    </row>
    <row r="2748" spans="3:4" ht="15" x14ac:dyDescent="0.25">
      <c r="C2748" s="8" t="e">
        <f>VLOOKUP(A:A,'ITEM LIST'!A:C,3,0)</f>
        <v>#N/A</v>
      </c>
      <c r="D2748" s="6">
        <f t="shared" si="43"/>
        <v>0</v>
      </c>
    </row>
    <row r="2749" spans="3:4" ht="15" x14ac:dyDescent="0.25">
      <c r="C2749" s="8" t="e">
        <f>VLOOKUP(A:A,'ITEM LIST'!A:C,3,0)</f>
        <v>#N/A</v>
      </c>
      <c r="D2749" s="6">
        <f t="shared" si="43"/>
        <v>0</v>
      </c>
    </row>
    <row r="2750" spans="3:4" ht="15" x14ac:dyDescent="0.25">
      <c r="C2750" s="8" t="e">
        <f>VLOOKUP(A:A,'ITEM LIST'!A:C,3,0)</f>
        <v>#N/A</v>
      </c>
      <c r="D2750" s="6">
        <f t="shared" si="43"/>
        <v>0</v>
      </c>
    </row>
    <row r="2751" spans="3:4" ht="15" x14ac:dyDescent="0.25">
      <c r="C2751" s="8" t="e">
        <f>VLOOKUP(A:A,'ITEM LIST'!A:C,3,0)</f>
        <v>#N/A</v>
      </c>
      <c r="D2751" s="6">
        <f t="shared" si="43"/>
        <v>0</v>
      </c>
    </row>
    <row r="2752" spans="3:4" ht="15" x14ac:dyDescent="0.25">
      <c r="C2752" s="8" t="e">
        <f>VLOOKUP(A:A,'ITEM LIST'!A:C,3,0)</f>
        <v>#N/A</v>
      </c>
      <c r="D2752" s="6">
        <f t="shared" si="43"/>
        <v>0</v>
      </c>
    </row>
    <row r="2753" spans="3:4" ht="15" x14ac:dyDescent="0.25">
      <c r="C2753" s="8" t="e">
        <f>VLOOKUP(A:A,'ITEM LIST'!A:C,3,0)</f>
        <v>#N/A</v>
      </c>
      <c r="D2753" s="6">
        <f t="shared" si="43"/>
        <v>0</v>
      </c>
    </row>
    <row r="2754" spans="3:4" ht="15" x14ac:dyDescent="0.25">
      <c r="C2754" s="8" t="e">
        <f>VLOOKUP(A:A,'ITEM LIST'!A:C,3,0)</f>
        <v>#N/A</v>
      </c>
      <c r="D2754" s="6">
        <f t="shared" si="43"/>
        <v>0</v>
      </c>
    </row>
    <row r="2755" spans="3:4" ht="15" x14ac:dyDescent="0.25">
      <c r="C2755" s="8" t="e">
        <f>VLOOKUP(A:A,'ITEM LIST'!A:C,3,0)</f>
        <v>#N/A</v>
      </c>
      <c r="D2755" s="6">
        <f t="shared" si="43"/>
        <v>0</v>
      </c>
    </row>
    <row r="2756" spans="3:4" ht="15" x14ac:dyDescent="0.25">
      <c r="C2756" s="8" t="e">
        <f>VLOOKUP(A:A,'ITEM LIST'!A:C,3,0)</f>
        <v>#N/A</v>
      </c>
      <c r="D2756" s="6">
        <f t="shared" si="43"/>
        <v>0</v>
      </c>
    </row>
    <row r="2757" spans="3:4" ht="15" x14ac:dyDescent="0.25">
      <c r="C2757" s="8" t="e">
        <f>VLOOKUP(A:A,'ITEM LIST'!A:C,3,0)</f>
        <v>#N/A</v>
      </c>
      <c r="D2757" s="6">
        <f t="shared" si="43"/>
        <v>0</v>
      </c>
    </row>
    <row r="2758" spans="3:4" ht="15" x14ac:dyDescent="0.25">
      <c r="C2758" s="8" t="e">
        <f>VLOOKUP(A:A,'ITEM LIST'!A:C,3,0)</f>
        <v>#N/A</v>
      </c>
      <c r="D2758" s="6">
        <f t="shared" ref="D2758:D2821" si="44">B2758</f>
        <v>0</v>
      </c>
    </row>
    <row r="2759" spans="3:4" ht="15" x14ac:dyDescent="0.25">
      <c r="C2759" s="8" t="e">
        <f>VLOOKUP(A:A,'ITEM LIST'!A:C,3,0)</f>
        <v>#N/A</v>
      </c>
      <c r="D2759" s="6">
        <f t="shared" si="44"/>
        <v>0</v>
      </c>
    </row>
    <row r="2760" spans="3:4" ht="15" x14ac:dyDescent="0.25">
      <c r="C2760" s="8" t="e">
        <f>VLOOKUP(A:A,'ITEM LIST'!A:C,3,0)</f>
        <v>#N/A</v>
      </c>
      <c r="D2760" s="6">
        <f t="shared" si="44"/>
        <v>0</v>
      </c>
    </row>
    <row r="2761" spans="3:4" ht="15" x14ac:dyDescent="0.25">
      <c r="C2761" s="8" t="e">
        <f>VLOOKUP(A:A,'ITEM LIST'!A:C,3,0)</f>
        <v>#N/A</v>
      </c>
      <c r="D2761" s="6">
        <f t="shared" si="44"/>
        <v>0</v>
      </c>
    </row>
    <row r="2762" spans="3:4" ht="15" x14ac:dyDescent="0.25">
      <c r="C2762" s="8" t="e">
        <f>VLOOKUP(A:A,'ITEM LIST'!A:C,3,0)</f>
        <v>#N/A</v>
      </c>
      <c r="D2762" s="6">
        <f t="shared" si="44"/>
        <v>0</v>
      </c>
    </row>
    <row r="2763" spans="3:4" ht="15" x14ac:dyDescent="0.25">
      <c r="C2763" s="8" t="e">
        <f>VLOOKUP(A:A,'ITEM LIST'!A:C,3,0)</f>
        <v>#N/A</v>
      </c>
      <c r="D2763" s="6">
        <f t="shared" si="44"/>
        <v>0</v>
      </c>
    </row>
    <row r="2764" spans="3:4" ht="15" x14ac:dyDescent="0.25">
      <c r="C2764" s="8" t="e">
        <f>VLOOKUP(A:A,'ITEM LIST'!A:C,3,0)</f>
        <v>#N/A</v>
      </c>
      <c r="D2764" s="6">
        <f t="shared" si="44"/>
        <v>0</v>
      </c>
    </row>
    <row r="2765" spans="3:4" ht="15" x14ac:dyDescent="0.25">
      <c r="C2765" s="8" t="e">
        <f>VLOOKUP(A:A,'ITEM LIST'!A:C,3,0)</f>
        <v>#N/A</v>
      </c>
      <c r="D2765" s="6">
        <f t="shared" si="44"/>
        <v>0</v>
      </c>
    </row>
    <row r="2766" spans="3:4" ht="15" x14ac:dyDescent="0.25">
      <c r="C2766" s="8" t="e">
        <f>VLOOKUP(A:A,'ITEM LIST'!A:C,3,0)</f>
        <v>#N/A</v>
      </c>
      <c r="D2766" s="6">
        <f t="shared" si="44"/>
        <v>0</v>
      </c>
    </row>
    <row r="2767" spans="3:4" ht="15" x14ac:dyDescent="0.25">
      <c r="C2767" s="8" t="e">
        <f>VLOOKUP(A:A,'ITEM LIST'!A:C,3,0)</f>
        <v>#N/A</v>
      </c>
      <c r="D2767" s="6">
        <f t="shared" si="44"/>
        <v>0</v>
      </c>
    </row>
    <row r="2768" spans="3:4" ht="15" x14ac:dyDescent="0.25">
      <c r="C2768" s="8" t="e">
        <f>VLOOKUP(A:A,'ITEM LIST'!A:C,3,0)</f>
        <v>#N/A</v>
      </c>
      <c r="D2768" s="6">
        <f t="shared" si="44"/>
        <v>0</v>
      </c>
    </row>
    <row r="2769" spans="3:4" ht="15" x14ac:dyDescent="0.25">
      <c r="C2769" s="8" t="e">
        <f>VLOOKUP(A:A,'ITEM LIST'!A:C,3,0)</f>
        <v>#N/A</v>
      </c>
      <c r="D2769" s="6">
        <f t="shared" si="44"/>
        <v>0</v>
      </c>
    </row>
    <row r="2770" spans="3:4" ht="15" x14ac:dyDescent="0.25">
      <c r="C2770" s="8" t="e">
        <f>VLOOKUP(A:A,'ITEM LIST'!A:C,3,0)</f>
        <v>#N/A</v>
      </c>
      <c r="D2770" s="6">
        <f t="shared" si="44"/>
        <v>0</v>
      </c>
    </row>
    <row r="2771" spans="3:4" ht="15" x14ac:dyDescent="0.25">
      <c r="C2771" s="8" t="e">
        <f>VLOOKUP(A:A,'ITEM LIST'!A:C,3,0)</f>
        <v>#N/A</v>
      </c>
      <c r="D2771" s="6">
        <f t="shared" si="44"/>
        <v>0</v>
      </c>
    </row>
    <row r="2772" spans="3:4" ht="15" x14ac:dyDescent="0.25">
      <c r="C2772" s="8" t="e">
        <f>VLOOKUP(A:A,'ITEM LIST'!A:C,3,0)</f>
        <v>#N/A</v>
      </c>
      <c r="D2772" s="6">
        <f t="shared" si="44"/>
        <v>0</v>
      </c>
    </row>
    <row r="2773" spans="3:4" ht="15" x14ac:dyDescent="0.25">
      <c r="C2773" s="8" t="e">
        <f>VLOOKUP(A:A,'ITEM LIST'!A:C,3,0)</f>
        <v>#N/A</v>
      </c>
      <c r="D2773" s="6">
        <f t="shared" si="44"/>
        <v>0</v>
      </c>
    </row>
    <row r="2774" spans="3:4" ht="15" x14ac:dyDescent="0.25">
      <c r="C2774" s="8" t="e">
        <f>VLOOKUP(A:A,'ITEM LIST'!A:C,3,0)</f>
        <v>#N/A</v>
      </c>
      <c r="D2774" s="6">
        <f t="shared" si="44"/>
        <v>0</v>
      </c>
    </row>
    <row r="2775" spans="3:4" ht="15" x14ac:dyDescent="0.25">
      <c r="C2775" s="8" t="e">
        <f>VLOOKUP(A:A,'ITEM LIST'!A:C,3,0)</f>
        <v>#N/A</v>
      </c>
      <c r="D2775" s="6">
        <f t="shared" si="44"/>
        <v>0</v>
      </c>
    </row>
    <row r="2776" spans="3:4" ht="15" x14ac:dyDescent="0.25">
      <c r="C2776" s="8" t="e">
        <f>VLOOKUP(A:A,'ITEM LIST'!A:C,3,0)</f>
        <v>#N/A</v>
      </c>
      <c r="D2776" s="6">
        <f t="shared" si="44"/>
        <v>0</v>
      </c>
    </row>
    <row r="2777" spans="3:4" ht="15" x14ac:dyDescent="0.25">
      <c r="C2777" s="8" t="e">
        <f>VLOOKUP(A:A,'ITEM LIST'!A:C,3,0)</f>
        <v>#N/A</v>
      </c>
      <c r="D2777" s="6">
        <f t="shared" si="44"/>
        <v>0</v>
      </c>
    </row>
    <row r="2778" spans="3:4" ht="15" x14ac:dyDescent="0.25">
      <c r="C2778" s="8" t="e">
        <f>VLOOKUP(A:A,'ITEM LIST'!A:C,3,0)</f>
        <v>#N/A</v>
      </c>
      <c r="D2778" s="6">
        <f t="shared" si="44"/>
        <v>0</v>
      </c>
    </row>
    <row r="2779" spans="3:4" ht="15" x14ac:dyDescent="0.25">
      <c r="C2779" s="8" t="e">
        <f>VLOOKUP(A:A,'ITEM LIST'!A:C,3,0)</f>
        <v>#N/A</v>
      </c>
      <c r="D2779" s="6">
        <f t="shared" si="44"/>
        <v>0</v>
      </c>
    </row>
    <row r="2780" spans="3:4" ht="15" x14ac:dyDescent="0.25">
      <c r="C2780" s="8" t="e">
        <f>VLOOKUP(A:A,'ITEM LIST'!A:C,3,0)</f>
        <v>#N/A</v>
      </c>
      <c r="D2780" s="6">
        <f t="shared" si="44"/>
        <v>0</v>
      </c>
    </row>
    <row r="2781" spans="3:4" ht="15" x14ac:dyDescent="0.25">
      <c r="C2781" s="8" t="e">
        <f>VLOOKUP(A:A,'ITEM LIST'!A:C,3,0)</f>
        <v>#N/A</v>
      </c>
      <c r="D2781" s="6">
        <f t="shared" si="44"/>
        <v>0</v>
      </c>
    </row>
    <row r="2782" spans="3:4" ht="15" x14ac:dyDescent="0.25">
      <c r="C2782" s="8" t="e">
        <f>VLOOKUP(A:A,'ITEM LIST'!A:C,3,0)</f>
        <v>#N/A</v>
      </c>
      <c r="D2782" s="6">
        <f t="shared" si="44"/>
        <v>0</v>
      </c>
    </row>
    <row r="2783" spans="3:4" ht="15" x14ac:dyDescent="0.25">
      <c r="C2783" s="8" t="e">
        <f>VLOOKUP(A:A,'ITEM LIST'!A:C,3,0)</f>
        <v>#N/A</v>
      </c>
      <c r="D2783" s="6">
        <f t="shared" si="44"/>
        <v>0</v>
      </c>
    </row>
    <row r="2784" spans="3:4" ht="15" x14ac:dyDescent="0.25">
      <c r="C2784" s="8" t="e">
        <f>VLOOKUP(A:A,'ITEM LIST'!A:C,3,0)</f>
        <v>#N/A</v>
      </c>
      <c r="D2784" s="6">
        <f t="shared" si="44"/>
        <v>0</v>
      </c>
    </row>
    <row r="2785" spans="3:4" ht="15" x14ac:dyDescent="0.25">
      <c r="C2785" s="8" t="e">
        <f>VLOOKUP(A:A,'ITEM LIST'!A:C,3,0)</f>
        <v>#N/A</v>
      </c>
      <c r="D2785" s="6">
        <f t="shared" si="44"/>
        <v>0</v>
      </c>
    </row>
    <row r="2786" spans="3:4" ht="15" x14ac:dyDescent="0.25">
      <c r="C2786" s="8" t="e">
        <f>VLOOKUP(A:A,'ITEM LIST'!A:C,3,0)</f>
        <v>#N/A</v>
      </c>
      <c r="D2786" s="6">
        <f t="shared" si="44"/>
        <v>0</v>
      </c>
    </row>
    <row r="2787" spans="3:4" ht="15" x14ac:dyDescent="0.25">
      <c r="C2787" s="8" t="e">
        <f>VLOOKUP(A:A,'ITEM LIST'!A:C,3,0)</f>
        <v>#N/A</v>
      </c>
      <c r="D2787" s="6">
        <f t="shared" si="44"/>
        <v>0</v>
      </c>
    </row>
    <row r="2788" spans="3:4" ht="15" x14ac:dyDescent="0.25">
      <c r="C2788" s="8" t="e">
        <f>VLOOKUP(A:A,'ITEM LIST'!A:C,3,0)</f>
        <v>#N/A</v>
      </c>
      <c r="D2788" s="6">
        <f t="shared" si="44"/>
        <v>0</v>
      </c>
    </row>
    <row r="2789" spans="3:4" ht="15" x14ac:dyDescent="0.25">
      <c r="C2789" s="8" t="e">
        <f>VLOOKUP(A:A,'ITEM LIST'!A:C,3,0)</f>
        <v>#N/A</v>
      </c>
      <c r="D2789" s="6">
        <f t="shared" si="44"/>
        <v>0</v>
      </c>
    </row>
    <row r="2790" spans="3:4" ht="15" x14ac:dyDescent="0.25">
      <c r="C2790" s="8" t="e">
        <f>VLOOKUP(A:A,'ITEM LIST'!A:C,3,0)</f>
        <v>#N/A</v>
      </c>
      <c r="D2790" s="6">
        <f t="shared" si="44"/>
        <v>0</v>
      </c>
    </row>
    <row r="2791" spans="3:4" ht="15" x14ac:dyDescent="0.25">
      <c r="C2791" s="8" t="e">
        <f>VLOOKUP(A:A,'ITEM LIST'!A:C,3,0)</f>
        <v>#N/A</v>
      </c>
      <c r="D2791" s="6">
        <f t="shared" si="44"/>
        <v>0</v>
      </c>
    </row>
    <row r="2792" spans="3:4" ht="15" x14ac:dyDescent="0.25">
      <c r="C2792" s="8" t="e">
        <f>VLOOKUP(A:A,'ITEM LIST'!A:C,3,0)</f>
        <v>#N/A</v>
      </c>
      <c r="D2792" s="6">
        <f t="shared" si="44"/>
        <v>0</v>
      </c>
    </row>
    <row r="2793" spans="3:4" ht="15" x14ac:dyDescent="0.25">
      <c r="C2793" s="8" t="e">
        <f>VLOOKUP(A:A,'ITEM LIST'!A:C,3,0)</f>
        <v>#N/A</v>
      </c>
      <c r="D2793" s="6">
        <f t="shared" si="44"/>
        <v>0</v>
      </c>
    </row>
    <row r="2794" spans="3:4" ht="15" x14ac:dyDescent="0.25">
      <c r="C2794" s="8" t="e">
        <f>VLOOKUP(A:A,'ITEM LIST'!A:C,3,0)</f>
        <v>#N/A</v>
      </c>
      <c r="D2794" s="6">
        <f t="shared" si="44"/>
        <v>0</v>
      </c>
    </row>
    <row r="2795" spans="3:4" ht="15" x14ac:dyDescent="0.25">
      <c r="C2795" s="8" t="e">
        <f>VLOOKUP(A:A,'ITEM LIST'!A:C,3,0)</f>
        <v>#N/A</v>
      </c>
      <c r="D2795" s="6">
        <f t="shared" si="44"/>
        <v>0</v>
      </c>
    </row>
    <row r="2796" spans="3:4" ht="15" x14ac:dyDescent="0.25">
      <c r="C2796" s="8" t="e">
        <f>VLOOKUP(A:A,'ITEM LIST'!A:C,3,0)</f>
        <v>#N/A</v>
      </c>
      <c r="D2796" s="6">
        <f t="shared" si="44"/>
        <v>0</v>
      </c>
    </row>
    <row r="2797" spans="3:4" ht="15" x14ac:dyDescent="0.25">
      <c r="C2797" s="8" t="e">
        <f>VLOOKUP(A:A,'ITEM LIST'!A:C,3,0)</f>
        <v>#N/A</v>
      </c>
      <c r="D2797" s="6">
        <f t="shared" si="44"/>
        <v>0</v>
      </c>
    </row>
    <row r="2798" spans="3:4" ht="15" x14ac:dyDescent="0.25">
      <c r="C2798" s="8" t="e">
        <f>VLOOKUP(A:A,'ITEM LIST'!A:C,3,0)</f>
        <v>#N/A</v>
      </c>
      <c r="D2798" s="6">
        <f t="shared" si="44"/>
        <v>0</v>
      </c>
    </row>
    <row r="2799" spans="3:4" ht="15" x14ac:dyDescent="0.25">
      <c r="C2799" s="8" t="e">
        <f>VLOOKUP(A:A,'ITEM LIST'!A:C,3,0)</f>
        <v>#N/A</v>
      </c>
      <c r="D2799" s="6">
        <f t="shared" si="44"/>
        <v>0</v>
      </c>
    </row>
    <row r="2800" spans="3:4" ht="15" x14ac:dyDescent="0.25">
      <c r="C2800" s="8" t="e">
        <f>VLOOKUP(A:A,'ITEM LIST'!A:C,3,0)</f>
        <v>#N/A</v>
      </c>
      <c r="D2800" s="6">
        <f t="shared" si="44"/>
        <v>0</v>
      </c>
    </row>
    <row r="2801" spans="3:4" ht="15" x14ac:dyDescent="0.25">
      <c r="C2801" s="8" t="e">
        <f>VLOOKUP(A:A,'ITEM LIST'!A:C,3,0)</f>
        <v>#N/A</v>
      </c>
      <c r="D2801" s="6">
        <f t="shared" si="44"/>
        <v>0</v>
      </c>
    </row>
    <row r="2802" spans="3:4" ht="15" x14ac:dyDescent="0.25">
      <c r="C2802" s="8" t="e">
        <f>VLOOKUP(A:A,'ITEM LIST'!A:C,3,0)</f>
        <v>#N/A</v>
      </c>
      <c r="D2802" s="6">
        <f t="shared" si="44"/>
        <v>0</v>
      </c>
    </row>
    <row r="2803" spans="3:4" ht="15" x14ac:dyDescent="0.25">
      <c r="C2803" s="8" t="e">
        <f>VLOOKUP(A:A,'ITEM LIST'!A:C,3,0)</f>
        <v>#N/A</v>
      </c>
      <c r="D2803" s="6">
        <f t="shared" si="44"/>
        <v>0</v>
      </c>
    </row>
    <row r="2804" spans="3:4" ht="15" x14ac:dyDescent="0.25">
      <c r="C2804" s="8" t="e">
        <f>VLOOKUP(A:A,'ITEM LIST'!A:C,3,0)</f>
        <v>#N/A</v>
      </c>
      <c r="D2804" s="6">
        <f t="shared" si="44"/>
        <v>0</v>
      </c>
    </row>
    <row r="2805" spans="3:4" ht="15" x14ac:dyDescent="0.25">
      <c r="C2805" s="8" t="e">
        <f>VLOOKUP(A:A,'ITEM LIST'!A:C,3,0)</f>
        <v>#N/A</v>
      </c>
      <c r="D2805" s="6">
        <f t="shared" si="44"/>
        <v>0</v>
      </c>
    </row>
    <row r="2806" spans="3:4" ht="15" x14ac:dyDescent="0.25">
      <c r="C2806" s="8" t="e">
        <f>VLOOKUP(A:A,'ITEM LIST'!A:C,3,0)</f>
        <v>#N/A</v>
      </c>
      <c r="D2806" s="6">
        <f t="shared" si="44"/>
        <v>0</v>
      </c>
    </row>
    <row r="2807" spans="3:4" ht="15" x14ac:dyDescent="0.25">
      <c r="C2807" s="8" t="e">
        <f>VLOOKUP(A:A,'ITEM LIST'!A:C,3,0)</f>
        <v>#N/A</v>
      </c>
      <c r="D2807" s="6">
        <f t="shared" si="44"/>
        <v>0</v>
      </c>
    </row>
    <row r="2808" spans="3:4" ht="15" x14ac:dyDescent="0.25">
      <c r="C2808" s="8" t="e">
        <f>VLOOKUP(A:A,'ITEM LIST'!A:C,3,0)</f>
        <v>#N/A</v>
      </c>
      <c r="D2808" s="6">
        <f t="shared" si="44"/>
        <v>0</v>
      </c>
    </row>
    <row r="2809" spans="3:4" ht="15" x14ac:dyDescent="0.25">
      <c r="C2809" s="8" t="e">
        <f>VLOOKUP(A:A,'ITEM LIST'!A:C,3,0)</f>
        <v>#N/A</v>
      </c>
      <c r="D2809" s="6">
        <f t="shared" si="44"/>
        <v>0</v>
      </c>
    </row>
    <row r="2810" spans="3:4" ht="15" x14ac:dyDescent="0.25">
      <c r="C2810" s="8" t="e">
        <f>VLOOKUP(A:A,'ITEM LIST'!A:C,3,0)</f>
        <v>#N/A</v>
      </c>
      <c r="D2810" s="6">
        <f t="shared" si="44"/>
        <v>0</v>
      </c>
    </row>
    <row r="2811" spans="3:4" ht="15" x14ac:dyDescent="0.25">
      <c r="C2811" s="8" t="e">
        <f>VLOOKUP(A:A,'ITEM LIST'!A:C,3,0)</f>
        <v>#N/A</v>
      </c>
      <c r="D2811" s="6">
        <f t="shared" si="44"/>
        <v>0</v>
      </c>
    </row>
    <row r="2812" spans="3:4" ht="15" x14ac:dyDescent="0.25">
      <c r="C2812" s="8" t="e">
        <f>VLOOKUP(A:A,'ITEM LIST'!A:C,3,0)</f>
        <v>#N/A</v>
      </c>
      <c r="D2812" s="6">
        <f t="shared" si="44"/>
        <v>0</v>
      </c>
    </row>
    <row r="2813" spans="3:4" ht="15" x14ac:dyDescent="0.25">
      <c r="C2813" s="8" t="e">
        <f>VLOOKUP(A:A,'ITEM LIST'!A:C,3,0)</f>
        <v>#N/A</v>
      </c>
      <c r="D2813" s="6">
        <f t="shared" si="44"/>
        <v>0</v>
      </c>
    </row>
    <row r="2814" spans="3:4" ht="15" x14ac:dyDescent="0.25">
      <c r="C2814" s="8" t="e">
        <f>VLOOKUP(A:A,'ITEM LIST'!A:C,3,0)</f>
        <v>#N/A</v>
      </c>
      <c r="D2814" s="6">
        <f t="shared" si="44"/>
        <v>0</v>
      </c>
    </row>
    <row r="2815" spans="3:4" ht="15" x14ac:dyDescent="0.25">
      <c r="C2815" s="8" t="e">
        <f>VLOOKUP(A:A,'ITEM LIST'!A:C,3,0)</f>
        <v>#N/A</v>
      </c>
      <c r="D2815" s="6">
        <f t="shared" si="44"/>
        <v>0</v>
      </c>
    </row>
    <row r="2816" spans="3:4" ht="15" x14ac:dyDescent="0.25">
      <c r="C2816" s="8" t="e">
        <f>VLOOKUP(A:A,'ITEM LIST'!A:C,3,0)</f>
        <v>#N/A</v>
      </c>
      <c r="D2816" s="6">
        <f t="shared" si="44"/>
        <v>0</v>
      </c>
    </row>
    <row r="2817" spans="3:4" ht="15" x14ac:dyDescent="0.25">
      <c r="C2817" s="8" t="e">
        <f>VLOOKUP(A:A,'ITEM LIST'!A:C,3,0)</f>
        <v>#N/A</v>
      </c>
      <c r="D2817" s="6">
        <f t="shared" si="44"/>
        <v>0</v>
      </c>
    </row>
    <row r="2818" spans="3:4" ht="15" x14ac:dyDescent="0.25">
      <c r="C2818" s="8" t="e">
        <f>VLOOKUP(A:A,'ITEM LIST'!A:C,3,0)</f>
        <v>#N/A</v>
      </c>
      <c r="D2818" s="6">
        <f t="shared" si="44"/>
        <v>0</v>
      </c>
    </row>
    <row r="2819" spans="3:4" ht="15" x14ac:dyDescent="0.25">
      <c r="C2819" s="8" t="e">
        <f>VLOOKUP(A:A,'ITEM LIST'!A:C,3,0)</f>
        <v>#N/A</v>
      </c>
      <c r="D2819" s="6">
        <f t="shared" si="44"/>
        <v>0</v>
      </c>
    </row>
    <row r="2820" spans="3:4" ht="15" x14ac:dyDescent="0.25">
      <c r="C2820" s="8" t="e">
        <f>VLOOKUP(A:A,'ITEM LIST'!A:C,3,0)</f>
        <v>#N/A</v>
      </c>
      <c r="D2820" s="6">
        <f t="shared" si="44"/>
        <v>0</v>
      </c>
    </row>
    <row r="2821" spans="3:4" ht="15" x14ac:dyDescent="0.25">
      <c r="C2821" s="8" t="e">
        <f>VLOOKUP(A:A,'ITEM LIST'!A:C,3,0)</f>
        <v>#N/A</v>
      </c>
      <c r="D2821" s="6">
        <f t="shared" si="44"/>
        <v>0</v>
      </c>
    </row>
    <row r="2822" spans="3:4" ht="15" x14ac:dyDescent="0.25">
      <c r="C2822" s="8" t="e">
        <f>VLOOKUP(A:A,'ITEM LIST'!A:C,3,0)</f>
        <v>#N/A</v>
      </c>
      <c r="D2822" s="6">
        <f t="shared" ref="D2822:D2885" si="45">B2822</f>
        <v>0</v>
      </c>
    </row>
    <row r="2823" spans="3:4" ht="15" x14ac:dyDescent="0.25">
      <c r="C2823" s="8" t="e">
        <f>VLOOKUP(A:A,'ITEM LIST'!A:C,3,0)</f>
        <v>#N/A</v>
      </c>
      <c r="D2823" s="6">
        <f t="shared" si="45"/>
        <v>0</v>
      </c>
    </row>
    <row r="2824" spans="3:4" ht="15" x14ac:dyDescent="0.25">
      <c r="C2824" s="8" t="e">
        <f>VLOOKUP(A:A,'ITEM LIST'!A:C,3,0)</f>
        <v>#N/A</v>
      </c>
      <c r="D2824" s="6">
        <f t="shared" si="45"/>
        <v>0</v>
      </c>
    </row>
    <row r="2825" spans="3:4" ht="15" x14ac:dyDescent="0.25">
      <c r="C2825" s="8" t="e">
        <f>VLOOKUP(A:A,'ITEM LIST'!A:C,3,0)</f>
        <v>#N/A</v>
      </c>
      <c r="D2825" s="6">
        <f t="shared" si="45"/>
        <v>0</v>
      </c>
    </row>
    <row r="2826" spans="3:4" ht="15" x14ac:dyDescent="0.25">
      <c r="C2826" s="8" t="e">
        <f>VLOOKUP(A:A,'ITEM LIST'!A:C,3,0)</f>
        <v>#N/A</v>
      </c>
      <c r="D2826" s="6">
        <f t="shared" si="45"/>
        <v>0</v>
      </c>
    </row>
    <row r="2827" spans="3:4" ht="15" x14ac:dyDescent="0.25">
      <c r="C2827" s="8" t="e">
        <f>VLOOKUP(A:A,'ITEM LIST'!A:C,3,0)</f>
        <v>#N/A</v>
      </c>
      <c r="D2827" s="6">
        <f t="shared" si="45"/>
        <v>0</v>
      </c>
    </row>
    <row r="2828" spans="3:4" ht="15" x14ac:dyDescent="0.25">
      <c r="C2828" s="8" t="e">
        <f>VLOOKUP(A:A,'ITEM LIST'!A:C,3,0)</f>
        <v>#N/A</v>
      </c>
      <c r="D2828" s="6">
        <f t="shared" si="45"/>
        <v>0</v>
      </c>
    </row>
    <row r="2829" spans="3:4" ht="15" x14ac:dyDescent="0.25">
      <c r="C2829" s="8" t="e">
        <f>VLOOKUP(A:A,'ITEM LIST'!A:C,3,0)</f>
        <v>#N/A</v>
      </c>
      <c r="D2829" s="6">
        <f t="shared" si="45"/>
        <v>0</v>
      </c>
    </row>
    <row r="2830" spans="3:4" ht="15" x14ac:dyDescent="0.25">
      <c r="C2830" s="8" t="e">
        <f>VLOOKUP(A:A,'ITEM LIST'!A:C,3,0)</f>
        <v>#N/A</v>
      </c>
      <c r="D2830" s="6">
        <f t="shared" si="45"/>
        <v>0</v>
      </c>
    </row>
    <row r="2831" spans="3:4" ht="15" x14ac:dyDescent="0.25">
      <c r="C2831" s="8" t="e">
        <f>VLOOKUP(A:A,'ITEM LIST'!A:C,3,0)</f>
        <v>#N/A</v>
      </c>
      <c r="D2831" s="6">
        <f t="shared" si="45"/>
        <v>0</v>
      </c>
    </row>
    <row r="2832" spans="3:4" ht="15" x14ac:dyDescent="0.25">
      <c r="C2832" s="8" t="e">
        <f>VLOOKUP(A:A,'ITEM LIST'!A:C,3,0)</f>
        <v>#N/A</v>
      </c>
      <c r="D2832" s="6">
        <f t="shared" si="45"/>
        <v>0</v>
      </c>
    </row>
    <row r="2833" spans="3:4" ht="15" x14ac:dyDescent="0.25">
      <c r="C2833" s="8" t="e">
        <f>VLOOKUP(A:A,'ITEM LIST'!A:C,3,0)</f>
        <v>#N/A</v>
      </c>
      <c r="D2833" s="6">
        <f t="shared" si="45"/>
        <v>0</v>
      </c>
    </row>
    <row r="2834" spans="3:4" ht="15" x14ac:dyDescent="0.25">
      <c r="C2834" s="8" t="e">
        <f>VLOOKUP(A:A,'ITEM LIST'!A:C,3,0)</f>
        <v>#N/A</v>
      </c>
      <c r="D2834" s="6">
        <f t="shared" si="45"/>
        <v>0</v>
      </c>
    </row>
    <row r="2835" spans="3:4" ht="15" x14ac:dyDescent="0.25">
      <c r="C2835" s="8" t="e">
        <f>VLOOKUP(A:A,'ITEM LIST'!A:C,3,0)</f>
        <v>#N/A</v>
      </c>
      <c r="D2835" s="6">
        <f t="shared" si="45"/>
        <v>0</v>
      </c>
    </row>
    <row r="2836" spans="3:4" ht="15" x14ac:dyDescent="0.25">
      <c r="C2836" s="8" t="e">
        <f>VLOOKUP(A:A,'ITEM LIST'!A:C,3,0)</f>
        <v>#N/A</v>
      </c>
      <c r="D2836" s="6">
        <f t="shared" si="45"/>
        <v>0</v>
      </c>
    </row>
    <row r="2837" spans="3:4" ht="15" x14ac:dyDescent="0.25">
      <c r="C2837" s="8" t="e">
        <f>VLOOKUP(A:A,'ITEM LIST'!A:C,3,0)</f>
        <v>#N/A</v>
      </c>
      <c r="D2837" s="6">
        <f t="shared" si="45"/>
        <v>0</v>
      </c>
    </row>
    <row r="2838" spans="3:4" ht="15" x14ac:dyDescent="0.25">
      <c r="C2838" s="8" t="e">
        <f>VLOOKUP(A:A,'ITEM LIST'!A:C,3,0)</f>
        <v>#N/A</v>
      </c>
      <c r="D2838" s="6">
        <f t="shared" si="45"/>
        <v>0</v>
      </c>
    </row>
    <row r="2839" spans="3:4" ht="15" x14ac:dyDescent="0.25">
      <c r="C2839" s="8" t="e">
        <f>VLOOKUP(A:A,'ITEM LIST'!A:C,3,0)</f>
        <v>#N/A</v>
      </c>
      <c r="D2839" s="6">
        <f t="shared" si="45"/>
        <v>0</v>
      </c>
    </row>
    <row r="2840" spans="3:4" ht="15" x14ac:dyDescent="0.25">
      <c r="C2840" s="8" t="e">
        <f>VLOOKUP(A:A,'ITEM LIST'!A:C,3,0)</f>
        <v>#N/A</v>
      </c>
      <c r="D2840" s="6">
        <f t="shared" si="45"/>
        <v>0</v>
      </c>
    </row>
    <row r="2841" spans="3:4" ht="15" x14ac:dyDescent="0.25">
      <c r="C2841" s="8" t="e">
        <f>VLOOKUP(A:A,'ITEM LIST'!A:C,3,0)</f>
        <v>#N/A</v>
      </c>
      <c r="D2841" s="6">
        <f t="shared" si="45"/>
        <v>0</v>
      </c>
    </row>
    <row r="2842" spans="3:4" ht="15" x14ac:dyDescent="0.25">
      <c r="C2842" s="8" t="e">
        <f>VLOOKUP(A:A,'ITEM LIST'!A:C,3,0)</f>
        <v>#N/A</v>
      </c>
      <c r="D2842" s="6">
        <f t="shared" si="45"/>
        <v>0</v>
      </c>
    </row>
    <row r="2843" spans="3:4" ht="15" x14ac:dyDescent="0.25">
      <c r="C2843" s="8" t="e">
        <f>VLOOKUP(A:A,'ITEM LIST'!A:C,3,0)</f>
        <v>#N/A</v>
      </c>
      <c r="D2843" s="6">
        <f t="shared" si="45"/>
        <v>0</v>
      </c>
    </row>
    <row r="2844" spans="3:4" ht="15" x14ac:dyDescent="0.25">
      <c r="C2844" s="8" t="e">
        <f>VLOOKUP(A:A,'ITEM LIST'!A:C,3,0)</f>
        <v>#N/A</v>
      </c>
      <c r="D2844" s="6">
        <f t="shared" si="45"/>
        <v>0</v>
      </c>
    </row>
    <row r="2845" spans="3:4" ht="15" x14ac:dyDescent="0.25">
      <c r="C2845" s="8" t="e">
        <f>VLOOKUP(A:A,'ITEM LIST'!A:C,3,0)</f>
        <v>#N/A</v>
      </c>
      <c r="D2845" s="6">
        <f t="shared" si="45"/>
        <v>0</v>
      </c>
    </row>
    <row r="2846" spans="3:4" ht="15" x14ac:dyDescent="0.25">
      <c r="C2846" s="8" t="e">
        <f>VLOOKUP(A:A,'ITEM LIST'!A:C,3,0)</f>
        <v>#N/A</v>
      </c>
      <c r="D2846" s="6">
        <f t="shared" si="45"/>
        <v>0</v>
      </c>
    </row>
    <row r="2847" spans="3:4" ht="15" x14ac:dyDescent="0.25">
      <c r="C2847" s="8" t="e">
        <f>VLOOKUP(A:A,'ITEM LIST'!A:C,3,0)</f>
        <v>#N/A</v>
      </c>
      <c r="D2847" s="6">
        <f t="shared" si="45"/>
        <v>0</v>
      </c>
    </row>
    <row r="2848" spans="3:4" ht="15" x14ac:dyDescent="0.25">
      <c r="C2848" s="8" t="e">
        <f>VLOOKUP(A:A,'ITEM LIST'!A:C,3,0)</f>
        <v>#N/A</v>
      </c>
      <c r="D2848" s="6">
        <f t="shared" si="45"/>
        <v>0</v>
      </c>
    </row>
    <row r="2849" spans="3:4" ht="15" x14ac:dyDescent="0.25">
      <c r="C2849" s="8" t="e">
        <f>VLOOKUP(A:A,'ITEM LIST'!A:C,3,0)</f>
        <v>#N/A</v>
      </c>
      <c r="D2849" s="6">
        <f t="shared" si="45"/>
        <v>0</v>
      </c>
    </row>
    <row r="2850" spans="3:4" ht="15" x14ac:dyDescent="0.25">
      <c r="C2850" s="8" t="e">
        <f>VLOOKUP(A:A,'ITEM LIST'!A:C,3,0)</f>
        <v>#N/A</v>
      </c>
      <c r="D2850" s="6">
        <f t="shared" si="45"/>
        <v>0</v>
      </c>
    </row>
    <row r="2851" spans="3:4" ht="15" x14ac:dyDescent="0.25">
      <c r="C2851" s="8" t="e">
        <f>VLOOKUP(A:A,'ITEM LIST'!A:C,3,0)</f>
        <v>#N/A</v>
      </c>
      <c r="D2851" s="6">
        <f t="shared" si="45"/>
        <v>0</v>
      </c>
    </row>
    <row r="2852" spans="3:4" ht="15" x14ac:dyDescent="0.25">
      <c r="C2852" s="8" t="e">
        <f>VLOOKUP(A:A,'ITEM LIST'!A:C,3,0)</f>
        <v>#N/A</v>
      </c>
      <c r="D2852" s="6">
        <f t="shared" si="45"/>
        <v>0</v>
      </c>
    </row>
    <row r="2853" spans="3:4" ht="15" x14ac:dyDescent="0.25">
      <c r="C2853" s="8" t="e">
        <f>VLOOKUP(A:A,'ITEM LIST'!A:C,3,0)</f>
        <v>#N/A</v>
      </c>
      <c r="D2853" s="6">
        <f t="shared" si="45"/>
        <v>0</v>
      </c>
    </row>
    <row r="2854" spans="3:4" ht="15" x14ac:dyDescent="0.25">
      <c r="C2854" s="8" t="e">
        <f>VLOOKUP(A:A,'ITEM LIST'!A:C,3,0)</f>
        <v>#N/A</v>
      </c>
      <c r="D2854" s="6">
        <f t="shared" si="45"/>
        <v>0</v>
      </c>
    </row>
    <row r="2855" spans="3:4" ht="15" x14ac:dyDescent="0.25">
      <c r="C2855" s="8" t="e">
        <f>VLOOKUP(A:A,'ITEM LIST'!A:C,3,0)</f>
        <v>#N/A</v>
      </c>
      <c r="D2855" s="6">
        <f t="shared" si="45"/>
        <v>0</v>
      </c>
    </row>
    <row r="2856" spans="3:4" ht="15" x14ac:dyDescent="0.25">
      <c r="C2856" s="8" t="e">
        <f>VLOOKUP(A:A,'ITEM LIST'!A:C,3,0)</f>
        <v>#N/A</v>
      </c>
      <c r="D2856" s="6">
        <f t="shared" si="45"/>
        <v>0</v>
      </c>
    </row>
    <row r="2857" spans="3:4" ht="15" x14ac:dyDescent="0.25">
      <c r="C2857" s="8" t="e">
        <f>VLOOKUP(A:A,'ITEM LIST'!A:C,3,0)</f>
        <v>#N/A</v>
      </c>
      <c r="D2857" s="6">
        <f t="shared" si="45"/>
        <v>0</v>
      </c>
    </row>
    <row r="2858" spans="3:4" ht="15" x14ac:dyDescent="0.25">
      <c r="C2858" s="8" t="e">
        <f>VLOOKUP(A:A,'ITEM LIST'!A:C,3,0)</f>
        <v>#N/A</v>
      </c>
      <c r="D2858" s="6">
        <f t="shared" si="45"/>
        <v>0</v>
      </c>
    </row>
    <row r="2859" spans="3:4" ht="15" x14ac:dyDescent="0.25">
      <c r="C2859" s="8" t="e">
        <f>VLOOKUP(A:A,'ITEM LIST'!A:C,3,0)</f>
        <v>#N/A</v>
      </c>
      <c r="D2859" s="6">
        <f t="shared" si="45"/>
        <v>0</v>
      </c>
    </row>
    <row r="2860" spans="3:4" ht="15" x14ac:dyDescent="0.25">
      <c r="C2860" s="8" t="e">
        <f>VLOOKUP(A:A,'ITEM LIST'!A:C,3,0)</f>
        <v>#N/A</v>
      </c>
      <c r="D2860" s="6">
        <f t="shared" si="45"/>
        <v>0</v>
      </c>
    </row>
    <row r="2861" spans="3:4" ht="15" x14ac:dyDescent="0.25">
      <c r="C2861" s="8" t="e">
        <f>VLOOKUP(A:A,'ITEM LIST'!A:C,3,0)</f>
        <v>#N/A</v>
      </c>
      <c r="D2861" s="6">
        <f t="shared" si="45"/>
        <v>0</v>
      </c>
    </row>
    <row r="2862" spans="3:4" ht="15" x14ac:dyDescent="0.25">
      <c r="C2862" s="8" t="e">
        <f>VLOOKUP(A:A,'ITEM LIST'!A:C,3,0)</f>
        <v>#N/A</v>
      </c>
      <c r="D2862" s="6">
        <f t="shared" si="45"/>
        <v>0</v>
      </c>
    </row>
    <row r="2863" spans="3:4" ht="15" x14ac:dyDescent="0.25">
      <c r="C2863" s="8" t="e">
        <f>VLOOKUP(A:A,'ITEM LIST'!A:C,3,0)</f>
        <v>#N/A</v>
      </c>
      <c r="D2863" s="6">
        <f t="shared" si="45"/>
        <v>0</v>
      </c>
    </row>
    <row r="2864" spans="3:4" ht="15" x14ac:dyDescent="0.25">
      <c r="C2864" s="8" t="e">
        <f>VLOOKUP(A:A,'ITEM LIST'!A:C,3,0)</f>
        <v>#N/A</v>
      </c>
      <c r="D2864" s="6">
        <f t="shared" si="45"/>
        <v>0</v>
      </c>
    </row>
    <row r="2865" spans="3:4" ht="15" x14ac:dyDescent="0.25">
      <c r="C2865" s="8" t="e">
        <f>VLOOKUP(A:A,'ITEM LIST'!A:C,3,0)</f>
        <v>#N/A</v>
      </c>
      <c r="D2865" s="6">
        <f t="shared" si="45"/>
        <v>0</v>
      </c>
    </row>
    <row r="2866" spans="3:4" ht="15" x14ac:dyDescent="0.25">
      <c r="C2866" s="8" t="e">
        <f>VLOOKUP(A:A,'ITEM LIST'!A:C,3,0)</f>
        <v>#N/A</v>
      </c>
      <c r="D2866" s="6">
        <f t="shared" si="45"/>
        <v>0</v>
      </c>
    </row>
    <row r="2867" spans="3:4" ht="15" x14ac:dyDescent="0.25">
      <c r="C2867" s="8" t="e">
        <f>VLOOKUP(A:A,'ITEM LIST'!A:C,3,0)</f>
        <v>#N/A</v>
      </c>
      <c r="D2867" s="6">
        <f t="shared" si="45"/>
        <v>0</v>
      </c>
    </row>
    <row r="2868" spans="3:4" ht="15" x14ac:dyDescent="0.25">
      <c r="C2868" s="8" t="e">
        <f>VLOOKUP(A:A,'ITEM LIST'!A:C,3,0)</f>
        <v>#N/A</v>
      </c>
      <c r="D2868" s="6">
        <f t="shared" si="45"/>
        <v>0</v>
      </c>
    </row>
    <row r="2869" spans="3:4" ht="15" x14ac:dyDescent="0.25">
      <c r="C2869" s="8" t="e">
        <f>VLOOKUP(A:A,'ITEM LIST'!A:C,3,0)</f>
        <v>#N/A</v>
      </c>
      <c r="D2869" s="6">
        <f t="shared" si="45"/>
        <v>0</v>
      </c>
    </row>
    <row r="2870" spans="3:4" ht="15" x14ac:dyDescent="0.25">
      <c r="C2870" s="8" t="e">
        <f>VLOOKUP(A:A,'ITEM LIST'!A:C,3,0)</f>
        <v>#N/A</v>
      </c>
      <c r="D2870" s="6">
        <f t="shared" si="45"/>
        <v>0</v>
      </c>
    </row>
    <row r="2871" spans="3:4" ht="15" x14ac:dyDescent="0.25">
      <c r="C2871" s="8" t="e">
        <f>VLOOKUP(A:A,'ITEM LIST'!A:C,3,0)</f>
        <v>#N/A</v>
      </c>
      <c r="D2871" s="6">
        <f t="shared" si="45"/>
        <v>0</v>
      </c>
    </row>
    <row r="2872" spans="3:4" ht="15" x14ac:dyDescent="0.25">
      <c r="C2872" s="8" t="e">
        <f>VLOOKUP(A:A,'ITEM LIST'!A:C,3,0)</f>
        <v>#N/A</v>
      </c>
      <c r="D2872" s="6">
        <f t="shared" si="45"/>
        <v>0</v>
      </c>
    </row>
    <row r="2873" spans="3:4" ht="15" x14ac:dyDescent="0.25">
      <c r="C2873" s="8" t="e">
        <f>VLOOKUP(A:A,'ITEM LIST'!A:C,3,0)</f>
        <v>#N/A</v>
      </c>
      <c r="D2873" s="6">
        <f t="shared" si="45"/>
        <v>0</v>
      </c>
    </row>
    <row r="2874" spans="3:4" ht="15" x14ac:dyDescent="0.25">
      <c r="C2874" s="8" t="e">
        <f>VLOOKUP(A:A,'ITEM LIST'!A:C,3,0)</f>
        <v>#N/A</v>
      </c>
      <c r="D2874" s="6">
        <f t="shared" si="45"/>
        <v>0</v>
      </c>
    </row>
    <row r="2875" spans="3:4" ht="15" x14ac:dyDescent="0.25">
      <c r="C2875" s="8" t="e">
        <f>VLOOKUP(A:A,'ITEM LIST'!A:C,3,0)</f>
        <v>#N/A</v>
      </c>
      <c r="D2875" s="6">
        <f t="shared" si="45"/>
        <v>0</v>
      </c>
    </row>
    <row r="2876" spans="3:4" ht="15" x14ac:dyDescent="0.25">
      <c r="C2876" s="8" t="e">
        <f>VLOOKUP(A:A,'ITEM LIST'!A:C,3,0)</f>
        <v>#N/A</v>
      </c>
      <c r="D2876" s="6">
        <f t="shared" si="45"/>
        <v>0</v>
      </c>
    </row>
    <row r="2877" spans="3:4" ht="15" x14ac:dyDescent="0.25">
      <c r="C2877" s="8" t="e">
        <f>VLOOKUP(A:A,'ITEM LIST'!A:C,3,0)</f>
        <v>#N/A</v>
      </c>
      <c r="D2877" s="6">
        <f t="shared" si="45"/>
        <v>0</v>
      </c>
    </row>
    <row r="2878" spans="3:4" ht="15" x14ac:dyDescent="0.25">
      <c r="C2878" s="8" t="e">
        <f>VLOOKUP(A:A,'ITEM LIST'!A:C,3,0)</f>
        <v>#N/A</v>
      </c>
      <c r="D2878" s="6">
        <f t="shared" si="45"/>
        <v>0</v>
      </c>
    </row>
    <row r="2879" spans="3:4" ht="15" x14ac:dyDescent="0.25">
      <c r="C2879" s="8" t="e">
        <f>VLOOKUP(A:A,'ITEM LIST'!A:C,3,0)</f>
        <v>#N/A</v>
      </c>
      <c r="D2879" s="6">
        <f t="shared" si="45"/>
        <v>0</v>
      </c>
    </row>
    <row r="2880" spans="3:4" ht="15" x14ac:dyDescent="0.25">
      <c r="C2880" s="8" t="e">
        <f>VLOOKUP(A:A,'ITEM LIST'!A:C,3,0)</f>
        <v>#N/A</v>
      </c>
      <c r="D2880" s="6">
        <f t="shared" si="45"/>
        <v>0</v>
      </c>
    </row>
    <row r="2881" spans="3:4" ht="15" x14ac:dyDescent="0.25">
      <c r="C2881" s="8" t="e">
        <f>VLOOKUP(A:A,'ITEM LIST'!A:C,3,0)</f>
        <v>#N/A</v>
      </c>
      <c r="D2881" s="6">
        <f t="shared" si="45"/>
        <v>0</v>
      </c>
    </row>
    <row r="2882" spans="3:4" ht="15" x14ac:dyDescent="0.25">
      <c r="C2882" s="8" t="e">
        <f>VLOOKUP(A:A,'ITEM LIST'!A:C,3,0)</f>
        <v>#N/A</v>
      </c>
      <c r="D2882" s="6">
        <f t="shared" si="45"/>
        <v>0</v>
      </c>
    </row>
    <row r="2883" spans="3:4" ht="15" x14ac:dyDescent="0.25">
      <c r="C2883" s="8" t="e">
        <f>VLOOKUP(A:A,'ITEM LIST'!A:C,3,0)</f>
        <v>#N/A</v>
      </c>
      <c r="D2883" s="6">
        <f t="shared" si="45"/>
        <v>0</v>
      </c>
    </row>
    <row r="2884" spans="3:4" ht="15" x14ac:dyDescent="0.25">
      <c r="C2884" s="8" t="e">
        <f>VLOOKUP(A:A,'ITEM LIST'!A:C,3,0)</f>
        <v>#N/A</v>
      </c>
      <c r="D2884" s="6">
        <f t="shared" si="45"/>
        <v>0</v>
      </c>
    </row>
    <row r="2885" spans="3:4" ht="15" x14ac:dyDescent="0.25">
      <c r="C2885" s="8" t="e">
        <f>VLOOKUP(A:A,'ITEM LIST'!A:C,3,0)</f>
        <v>#N/A</v>
      </c>
      <c r="D2885" s="6">
        <f t="shared" si="45"/>
        <v>0</v>
      </c>
    </row>
    <row r="2886" spans="3:4" ht="15" x14ac:dyDescent="0.25">
      <c r="C2886" s="8" t="e">
        <f>VLOOKUP(A:A,'ITEM LIST'!A:C,3,0)</f>
        <v>#N/A</v>
      </c>
      <c r="D2886" s="6">
        <f t="shared" ref="D2886:D2949" si="46">B2886</f>
        <v>0</v>
      </c>
    </row>
    <row r="2887" spans="3:4" ht="15" x14ac:dyDescent="0.25">
      <c r="C2887" s="8" t="e">
        <f>VLOOKUP(A:A,'ITEM LIST'!A:C,3,0)</f>
        <v>#N/A</v>
      </c>
      <c r="D2887" s="6">
        <f t="shared" si="46"/>
        <v>0</v>
      </c>
    </row>
    <row r="2888" spans="3:4" ht="15" x14ac:dyDescent="0.25">
      <c r="C2888" s="8" t="e">
        <f>VLOOKUP(A:A,'ITEM LIST'!A:C,3,0)</f>
        <v>#N/A</v>
      </c>
      <c r="D2888" s="6">
        <f t="shared" si="46"/>
        <v>0</v>
      </c>
    </row>
    <row r="2889" spans="3:4" ht="15" x14ac:dyDescent="0.25">
      <c r="C2889" s="8" t="e">
        <f>VLOOKUP(A:A,'ITEM LIST'!A:C,3,0)</f>
        <v>#N/A</v>
      </c>
      <c r="D2889" s="6">
        <f t="shared" si="46"/>
        <v>0</v>
      </c>
    </row>
    <row r="2890" spans="3:4" ht="15" x14ac:dyDescent="0.25">
      <c r="C2890" s="8" t="e">
        <f>VLOOKUP(A:A,'ITEM LIST'!A:C,3,0)</f>
        <v>#N/A</v>
      </c>
      <c r="D2890" s="6">
        <f t="shared" si="46"/>
        <v>0</v>
      </c>
    </row>
    <row r="2891" spans="3:4" ht="15" x14ac:dyDescent="0.25">
      <c r="C2891" s="8" t="e">
        <f>VLOOKUP(A:A,'ITEM LIST'!A:C,3,0)</f>
        <v>#N/A</v>
      </c>
      <c r="D2891" s="6">
        <f t="shared" si="46"/>
        <v>0</v>
      </c>
    </row>
    <row r="2892" spans="3:4" ht="15" x14ac:dyDescent="0.25">
      <c r="C2892" s="8" t="e">
        <f>VLOOKUP(A:A,'ITEM LIST'!A:C,3,0)</f>
        <v>#N/A</v>
      </c>
      <c r="D2892" s="6">
        <f t="shared" si="46"/>
        <v>0</v>
      </c>
    </row>
    <row r="2893" spans="3:4" ht="15" x14ac:dyDescent="0.25">
      <c r="C2893" s="8" t="e">
        <f>VLOOKUP(A:A,'ITEM LIST'!A:C,3,0)</f>
        <v>#N/A</v>
      </c>
      <c r="D2893" s="6">
        <f t="shared" si="46"/>
        <v>0</v>
      </c>
    </row>
    <row r="2894" spans="3:4" ht="15" x14ac:dyDescent="0.25">
      <c r="C2894" s="8" t="e">
        <f>VLOOKUP(A:A,'ITEM LIST'!A:C,3,0)</f>
        <v>#N/A</v>
      </c>
      <c r="D2894" s="6">
        <f t="shared" si="46"/>
        <v>0</v>
      </c>
    </row>
    <row r="2895" spans="3:4" ht="15" x14ac:dyDescent="0.25">
      <c r="C2895" s="8" t="e">
        <f>VLOOKUP(A:A,'ITEM LIST'!A:C,3,0)</f>
        <v>#N/A</v>
      </c>
      <c r="D2895" s="6">
        <f t="shared" si="46"/>
        <v>0</v>
      </c>
    </row>
    <row r="2896" spans="3:4" ht="15" x14ac:dyDescent="0.25">
      <c r="C2896" s="8" t="e">
        <f>VLOOKUP(A:A,'ITEM LIST'!A:C,3,0)</f>
        <v>#N/A</v>
      </c>
      <c r="D2896" s="6">
        <f t="shared" si="46"/>
        <v>0</v>
      </c>
    </row>
    <row r="2897" spans="3:4" ht="15" x14ac:dyDescent="0.25">
      <c r="C2897" s="8" t="e">
        <f>VLOOKUP(A:A,'ITEM LIST'!A:C,3,0)</f>
        <v>#N/A</v>
      </c>
      <c r="D2897" s="6">
        <f t="shared" si="46"/>
        <v>0</v>
      </c>
    </row>
    <row r="2898" spans="3:4" ht="15" x14ac:dyDescent="0.25">
      <c r="C2898" s="8" t="e">
        <f>VLOOKUP(A:A,'ITEM LIST'!A:C,3,0)</f>
        <v>#N/A</v>
      </c>
      <c r="D2898" s="6">
        <f t="shared" si="46"/>
        <v>0</v>
      </c>
    </row>
    <row r="2899" spans="3:4" ht="15" x14ac:dyDescent="0.25">
      <c r="C2899" s="8" t="e">
        <f>VLOOKUP(A:A,'ITEM LIST'!A:C,3,0)</f>
        <v>#N/A</v>
      </c>
      <c r="D2899" s="6">
        <f t="shared" si="46"/>
        <v>0</v>
      </c>
    </row>
    <row r="2900" spans="3:4" ht="15" x14ac:dyDescent="0.25">
      <c r="C2900" s="8" t="e">
        <f>VLOOKUP(A:A,'ITEM LIST'!A:C,3,0)</f>
        <v>#N/A</v>
      </c>
      <c r="D2900" s="6">
        <f t="shared" si="46"/>
        <v>0</v>
      </c>
    </row>
    <row r="2901" spans="3:4" ht="15" x14ac:dyDescent="0.25">
      <c r="C2901" s="8" t="e">
        <f>VLOOKUP(A:A,'ITEM LIST'!A:C,3,0)</f>
        <v>#N/A</v>
      </c>
      <c r="D2901" s="6">
        <f t="shared" si="46"/>
        <v>0</v>
      </c>
    </row>
    <row r="2902" spans="3:4" ht="15" x14ac:dyDescent="0.25">
      <c r="C2902" s="8" t="e">
        <f>VLOOKUP(A:A,'ITEM LIST'!A:C,3,0)</f>
        <v>#N/A</v>
      </c>
      <c r="D2902" s="6">
        <f t="shared" si="46"/>
        <v>0</v>
      </c>
    </row>
    <row r="2903" spans="3:4" ht="15" x14ac:dyDescent="0.25">
      <c r="C2903" s="8" t="e">
        <f>VLOOKUP(A:A,'ITEM LIST'!A:C,3,0)</f>
        <v>#N/A</v>
      </c>
      <c r="D2903" s="6">
        <f t="shared" si="46"/>
        <v>0</v>
      </c>
    </row>
    <row r="2904" spans="3:4" ht="15" x14ac:dyDescent="0.25">
      <c r="C2904" s="8" t="e">
        <f>VLOOKUP(A:A,'ITEM LIST'!A:C,3,0)</f>
        <v>#N/A</v>
      </c>
      <c r="D2904" s="6">
        <f t="shared" si="46"/>
        <v>0</v>
      </c>
    </row>
    <row r="2905" spans="3:4" ht="15" x14ac:dyDescent="0.25">
      <c r="C2905" s="8" t="e">
        <f>VLOOKUP(A:A,'ITEM LIST'!A:C,3,0)</f>
        <v>#N/A</v>
      </c>
      <c r="D2905" s="6">
        <f t="shared" si="46"/>
        <v>0</v>
      </c>
    </row>
    <row r="2906" spans="3:4" ht="15" x14ac:dyDescent="0.25">
      <c r="C2906" s="8" t="e">
        <f>VLOOKUP(A:A,'ITEM LIST'!A:C,3,0)</f>
        <v>#N/A</v>
      </c>
      <c r="D2906" s="6">
        <f t="shared" si="46"/>
        <v>0</v>
      </c>
    </row>
    <row r="2907" spans="3:4" ht="15" x14ac:dyDescent="0.25">
      <c r="C2907" s="8" t="e">
        <f>VLOOKUP(A:A,'ITEM LIST'!A:C,3,0)</f>
        <v>#N/A</v>
      </c>
      <c r="D2907" s="6">
        <f t="shared" si="46"/>
        <v>0</v>
      </c>
    </row>
    <row r="2908" spans="3:4" ht="15" x14ac:dyDescent="0.25">
      <c r="C2908" s="8" t="e">
        <f>VLOOKUP(A:A,'ITEM LIST'!A:C,3,0)</f>
        <v>#N/A</v>
      </c>
      <c r="D2908" s="6">
        <f t="shared" si="46"/>
        <v>0</v>
      </c>
    </row>
    <row r="2909" spans="3:4" ht="15" x14ac:dyDescent="0.25">
      <c r="C2909" s="8" t="e">
        <f>VLOOKUP(A:A,'ITEM LIST'!A:C,3,0)</f>
        <v>#N/A</v>
      </c>
      <c r="D2909" s="6">
        <f t="shared" si="46"/>
        <v>0</v>
      </c>
    </row>
    <row r="2910" spans="3:4" ht="15" x14ac:dyDescent="0.25">
      <c r="C2910" s="8" t="e">
        <f>VLOOKUP(A:A,'ITEM LIST'!A:C,3,0)</f>
        <v>#N/A</v>
      </c>
      <c r="D2910" s="6">
        <f t="shared" si="46"/>
        <v>0</v>
      </c>
    </row>
    <row r="2911" spans="3:4" ht="15" x14ac:dyDescent="0.25">
      <c r="C2911" s="8" t="e">
        <f>VLOOKUP(A:A,'ITEM LIST'!A:C,3,0)</f>
        <v>#N/A</v>
      </c>
      <c r="D2911" s="6">
        <f t="shared" si="46"/>
        <v>0</v>
      </c>
    </row>
    <row r="2912" spans="3:4" ht="15" x14ac:dyDescent="0.25">
      <c r="C2912" s="8" t="e">
        <f>VLOOKUP(A:A,'ITEM LIST'!A:C,3,0)</f>
        <v>#N/A</v>
      </c>
      <c r="D2912" s="6">
        <f t="shared" si="46"/>
        <v>0</v>
      </c>
    </row>
    <row r="2913" spans="3:4" ht="15" x14ac:dyDescent="0.25">
      <c r="C2913" s="8" t="e">
        <f>VLOOKUP(A:A,'ITEM LIST'!A:C,3,0)</f>
        <v>#N/A</v>
      </c>
      <c r="D2913" s="6">
        <f t="shared" si="46"/>
        <v>0</v>
      </c>
    </row>
    <row r="2914" spans="3:4" ht="15" x14ac:dyDescent="0.25">
      <c r="C2914" s="8" t="e">
        <f>VLOOKUP(A:A,'ITEM LIST'!A:C,3,0)</f>
        <v>#N/A</v>
      </c>
      <c r="D2914" s="6">
        <f t="shared" si="46"/>
        <v>0</v>
      </c>
    </row>
    <row r="2915" spans="3:4" ht="15" x14ac:dyDescent="0.25">
      <c r="C2915" s="8" t="e">
        <f>VLOOKUP(A:A,'ITEM LIST'!A:C,3,0)</f>
        <v>#N/A</v>
      </c>
      <c r="D2915" s="6">
        <f t="shared" si="46"/>
        <v>0</v>
      </c>
    </row>
    <row r="2916" spans="3:4" ht="15" x14ac:dyDescent="0.25">
      <c r="C2916" s="8" t="e">
        <f>VLOOKUP(A:A,'ITEM LIST'!A:C,3,0)</f>
        <v>#N/A</v>
      </c>
      <c r="D2916" s="6">
        <f t="shared" si="46"/>
        <v>0</v>
      </c>
    </row>
    <row r="2917" spans="3:4" ht="15" x14ac:dyDescent="0.25">
      <c r="C2917" s="8" t="e">
        <f>VLOOKUP(A:A,'ITEM LIST'!A:C,3,0)</f>
        <v>#N/A</v>
      </c>
      <c r="D2917" s="6">
        <f t="shared" si="46"/>
        <v>0</v>
      </c>
    </row>
    <row r="2918" spans="3:4" ht="15" x14ac:dyDescent="0.25">
      <c r="C2918" s="8" t="e">
        <f>VLOOKUP(A:A,'ITEM LIST'!A:C,3,0)</f>
        <v>#N/A</v>
      </c>
      <c r="D2918" s="6">
        <f t="shared" si="46"/>
        <v>0</v>
      </c>
    </row>
    <row r="2919" spans="3:4" ht="15" x14ac:dyDescent="0.25">
      <c r="C2919" s="8" t="e">
        <f>VLOOKUP(A:A,'ITEM LIST'!A:C,3,0)</f>
        <v>#N/A</v>
      </c>
      <c r="D2919" s="6">
        <f t="shared" si="46"/>
        <v>0</v>
      </c>
    </row>
    <row r="2920" spans="3:4" ht="15" x14ac:dyDescent="0.25">
      <c r="C2920" s="8" t="e">
        <f>VLOOKUP(A:A,'ITEM LIST'!A:C,3,0)</f>
        <v>#N/A</v>
      </c>
      <c r="D2920" s="6">
        <f t="shared" si="46"/>
        <v>0</v>
      </c>
    </row>
    <row r="2921" spans="3:4" ht="15" x14ac:dyDescent="0.25">
      <c r="C2921" s="8" t="e">
        <f>VLOOKUP(A:A,'ITEM LIST'!A:C,3,0)</f>
        <v>#N/A</v>
      </c>
      <c r="D2921" s="6">
        <f t="shared" si="46"/>
        <v>0</v>
      </c>
    </row>
    <row r="2922" spans="3:4" ht="15" x14ac:dyDescent="0.25">
      <c r="C2922" s="8" t="e">
        <f>VLOOKUP(A:A,'ITEM LIST'!A:C,3,0)</f>
        <v>#N/A</v>
      </c>
      <c r="D2922" s="6">
        <f t="shared" si="46"/>
        <v>0</v>
      </c>
    </row>
    <row r="2923" spans="3:4" ht="15" x14ac:dyDescent="0.25">
      <c r="C2923" s="8" t="e">
        <f>VLOOKUP(A:A,'ITEM LIST'!A:C,3,0)</f>
        <v>#N/A</v>
      </c>
      <c r="D2923" s="6">
        <f t="shared" si="46"/>
        <v>0</v>
      </c>
    </row>
    <row r="2924" spans="3:4" ht="15" x14ac:dyDescent="0.25">
      <c r="C2924" s="8" t="e">
        <f>VLOOKUP(A:A,'ITEM LIST'!A:C,3,0)</f>
        <v>#N/A</v>
      </c>
      <c r="D2924" s="6">
        <f t="shared" si="46"/>
        <v>0</v>
      </c>
    </row>
    <row r="2925" spans="3:4" ht="15" x14ac:dyDescent="0.25">
      <c r="C2925" s="8" t="e">
        <f>VLOOKUP(A:A,'ITEM LIST'!A:C,3,0)</f>
        <v>#N/A</v>
      </c>
      <c r="D2925" s="6">
        <f t="shared" si="46"/>
        <v>0</v>
      </c>
    </row>
    <row r="2926" spans="3:4" ht="15" x14ac:dyDescent="0.25">
      <c r="C2926" s="8" t="e">
        <f>VLOOKUP(A:A,'ITEM LIST'!A:C,3,0)</f>
        <v>#N/A</v>
      </c>
      <c r="D2926" s="6">
        <f t="shared" si="46"/>
        <v>0</v>
      </c>
    </row>
    <row r="2927" spans="3:4" ht="15" x14ac:dyDescent="0.25">
      <c r="C2927" s="8" t="e">
        <f>VLOOKUP(A:A,'ITEM LIST'!A:C,3,0)</f>
        <v>#N/A</v>
      </c>
      <c r="D2927" s="6">
        <f t="shared" si="46"/>
        <v>0</v>
      </c>
    </row>
    <row r="2928" spans="3:4" ht="15" x14ac:dyDescent="0.25">
      <c r="C2928" s="8" t="e">
        <f>VLOOKUP(A:A,'ITEM LIST'!A:C,3,0)</f>
        <v>#N/A</v>
      </c>
      <c r="D2928" s="6">
        <f t="shared" si="46"/>
        <v>0</v>
      </c>
    </row>
    <row r="2929" spans="3:4" ht="15" x14ac:dyDescent="0.25">
      <c r="C2929" s="8" t="e">
        <f>VLOOKUP(A:A,'ITEM LIST'!A:C,3,0)</f>
        <v>#N/A</v>
      </c>
      <c r="D2929" s="6">
        <f t="shared" si="46"/>
        <v>0</v>
      </c>
    </row>
    <row r="2930" spans="3:4" ht="15" x14ac:dyDescent="0.25">
      <c r="C2930" s="8" t="e">
        <f>VLOOKUP(A:A,'ITEM LIST'!A:C,3,0)</f>
        <v>#N/A</v>
      </c>
      <c r="D2930" s="6">
        <f t="shared" si="46"/>
        <v>0</v>
      </c>
    </row>
    <row r="2931" spans="3:4" ht="15" x14ac:dyDescent="0.25">
      <c r="C2931" s="8" t="e">
        <f>VLOOKUP(A:A,'ITEM LIST'!A:C,3,0)</f>
        <v>#N/A</v>
      </c>
      <c r="D2931" s="6">
        <f t="shared" si="46"/>
        <v>0</v>
      </c>
    </row>
    <row r="2932" spans="3:4" ht="15" x14ac:dyDescent="0.25">
      <c r="C2932" s="8" t="e">
        <f>VLOOKUP(A:A,'ITEM LIST'!A:C,3,0)</f>
        <v>#N/A</v>
      </c>
      <c r="D2932" s="6">
        <f t="shared" si="46"/>
        <v>0</v>
      </c>
    </row>
    <row r="2933" spans="3:4" ht="15" x14ac:dyDescent="0.25">
      <c r="C2933" s="8" t="e">
        <f>VLOOKUP(A:A,'ITEM LIST'!A:C,3,0)</f>
        <v>#N/A</v>
      </c>
      <c r="D2933" s="6">
        <f t="shared" si="46"/>
        <v>0</v>
      </c>
    </row>
    <row r="2934" spans="3:4" ht="15" x14ac:dyDescent="0.25">
      <c r="C2934" s="8" t="e">
        <f>VLOOKUP(A:A,'ITEM LIST'!A:C,3,0)</f>
        <v>#N/A</v>
      </c>
      <c r="D2934" s="6">
        <f t="shared" si="46"/>
        <v>0</v>
      </c>
    </row>
    <row r="2935" spans="3:4" ht="15" x14ac:dyDescent="0.25">
      <c r="C2935" s="8" t="e">
        <f>VLOOKUP(A:A,'ITEM LIST'!A:C,3,0)</f>
        <v>#N/A</v>
      </c>
      <c r="D2935" s="6">
        <f t="shared" si="46"/>
        <v>0</v>
      </c>
    </row>
    <row r="2936" spans="3:4" ht="15" x14ac:dyDescent="0.25">
      <c r="C2936" s="8" t="e">
        <f>VLOOKUP(A:A,'ITEM LIST'!A:C,3,0)</f>
        <v>#N/A</v>
      </c>
      <c r="D2936" s="6">
        <f t="shared" si="46"/>
        <v>0</v>
      </c>
    </row>
    <row r="2937" spans="3:4" ht="15" x14ac:dyDescent="0.25">
      <c r="C2937" s="8" t="e">
        <f>VLOOKUP(A:A,'ITEM LIST'!A:C,3,0)</f>
        <v>#N/A</v>
      </c>
      <c r="D2937" s="6">
        <f t="shared" si="46"/>
        <v>0</v>
      </c>
    </row>
    <row r="2938" spans="3:4" ht="15" x14ac:dyDescent="0.25">
      <c r="C2938" s="8" t="e">
        <f>VLOOKUP(A:A,'ITEM LIST'!A:C,3,0)</f>
        <v>#N/A</v>
      </c>
      <c r="D2938" s="6">
        <f t="shared" si="46"/>
        <v>0</v>
      </c>
    </row>
    <row r="2939" spans="3:4" ht="15" x14ac:dyDescent="0.25">
      <c r="C2939" s="8" t="e">
        <f>VLOOKUP(A:A,'ITEM LIST'!A:C,3,0)</f>
        <v>#N/A</v>
      </c>
      <c r="D2939" s="6">
        <f t="shared" si="46"/>
        <v>0</v>
      </c>
    </row>
    <row r="2940" spans="3:4" ht="15" x14ac:dyDescent="0.25">
      <c r="C2940" s="8" t="e">
        <f>VLOOKUP(A:A,'ITEM LIST'!A:C,3,0)</f>
        <v>#N/A</v>
      </c>
      <c r="D2940" s="6">
        <f t="shared" si="46"/>
        <v>0</v>
      </c>
    </row>
    <row r="2941" spans="3:4" ht="15" x14ac:dyDescent="0.25">
      <c r="C2941" s="8" t="e">
        <f>VLOOKUP(A:A,'ITEM LIST'!A:C,3,0)</f>
        <v>#N/A</v>
      </c>
      <c r="D2941" s="6">
        <f t="shared" si="46"/>
        <v>0</v>
      </c>
    </row>
    <row r="2942" spans="3:4" ht="15" x14ac:dyDescent="0.25">
      <c r="C2942" s="8" t="e">
        <f>VLOOKUP(A:A,'ITEM LIST'!A:C,3,0)</f>
        <v>#N/A</v>
      </c>
      <c r="D2942" s="6">
        <f t="shared" si="46"/>
        <v>0</v>
      </c>
    </row>
    <row r="2943" spans="3:4" ht="15" x14ac:dyDescent="0.25">
      <c r="C2943" s="8" t="e">
        <f>VLOOKUP(A:A,'ITEM LIST'!A:C,3,0)</f>
        <v>#N/A</v>
      </c>
      <c r="D2943" s="6">
        <f t="shared" si="46"/>
        <v>0</v>
      </c>
    </row>
    <row r="2944" spans="3:4" ht="15" x14ac:dyDescent="0.25">
      <c r="C2944" s="8" t="e">
        <f>VLOOKUP(A:A,'ITEM LIST'!A:C,3,0)</f>
        <v>#N/A</v>
      </c>
      <c r="D2944" s="6">
        <f t="shared" si="46"/>
        <v>0</v>
      </c>
    </row>
    <row r="2945" spans="3:4" ht="15" x14ac:dyDescent="0.25">
      <c r="C2945" s="8" t="e">
        <f>VLOOKUP(A:A,'ITEM LIST'!A:C,3,0)</f>
        <v>#N/A</v>
      </c>
      <c r="D2945" s="6">
        <f t="shared" si="46"/>
        <v>0</v>
      </c>
    </row>
    <row r="2946" spans="3:4" ht="15" x14ac:dyDescent="0.25">
      <c r="C2946" s="8" t="e">
        <f>VLOOKUP(A:A,'ITEM LIST'!A:C,3,0)</f>
        <v>#N/A</v>
      </c>
      <c r="D2946" s="6">
        <f t="shared" si="46"/>
        <v>0</v>
      </c>
    </row>
    <row r="2947" spans="3:4" ht="15" x14ac:dyDescent="0.25">
      <c r="C2947" s="8" t="e">
        <f>VLOOKUP(A:A,'ITEM LIST'!A:C,3,0)</f>
        <v>#N/A</v>
      </c>
      <c r="D2947" s="6">
        <f t="shared" si="46"/>
        <v>0</v>
      </c>
    </row>
    <row r="2948" spans="3:4" ht="15" x14ac:dyDescent="0.25">
      <c r="C2948" s="8" t="e">
        <f>VLOOKUP(A:A,'ITEM LIST'!A:C,3,0)</f>
        <v>#N/A</v>
      </c>
      <c r="D2948" s="6">
        <f t="shared" si="46"/>
        <v>0</v>
      </c>
    </row>
    <row r="2949" spans="3:4" ht="15" x14ac:dyDescent="0.25">
      <c r="C2949" s="8" t="e">
        <f>VLOOKUP(A:A,'ITEM LIST'!A:C,3,0)</f>
        <v>#N/A</v>
      </c>
      <c r="D2949" s="6">
        <f t="shared" si="46"/>
        <v>0</v>
      </c>
    </row>
    <row r="2950" spans="3:4" ht="15" x14ac:dyDescent="0.25">
      <c r="C2950" s="8" t="e">
        <f>VLOOKUP(A:A,'ITEM LIST'!A:C,3,0)</f>
        <v>#N/A</v>
      </c>
      <c r="D2950" s="6">
        <f t="shared" ref="D2950:D3013" si="47">B2950</f>
        <v>0</v>
      </c>
    </row>
    <row r="2951" spans="3:4" ht="15" x14ac:dyDescent="0.25">
      <c r="C2951" s="8" t="e">
        <f>VLOOKUP(A:A,'ITEM LIST'!A:C,3,0)</f>
        <v>#N/A</v>
      </c>
      <c r="D2951" s="6">
        <f t="shared" si="47"/>
        <v>0</v>
      </c>
    </row>
    <row r="2952" spans="3:4" ht="15" x14ac:dyDescent="0.25">
      <c r="C2952" s="8" t="e">
        <f>VLOOKUP(A:A,'ITEM LIST'!A:C,3,0)</f>
        <v>#N/A</v>
      </c>
      <c r="D2952" s="6">
        <f t="shared" si="47"/>
        <v>0</v>
      </c>
    </row>
    <row r="2953" spans="3:4" ht="15" x14ac:dyDescent="0.25">
      <c r="C2953" s="8" t="e">
        <f>VLOOKUP(A:A,'ITEM LIST'!A:C,3,0)</f>
        <v>#N/A</v>
      </c>
      <c r="D2953" s="6">
        <f t="shared" si="47"/>
        <v>0</v>
      </c>
    </row>
    <row r="2954" spans="3:4" ht="15" x14ac:dyDescent="0.25">
      <c r="C2954" s="8" t="e">
        <f>VLOOKUP(A:A,'ITEM LIST'!A:C,3,0)</f>
        <v>#N/A</v>
      </c>
      <c r="D2954" s="6">
        <f t="shared" si="47"/>
        <v>0</v>
      </c>
    </row>
    <row r="2955" spans="3:4" ht="15" x14ac:dyDescent="0.25">
      <c r="C2955" s="8" t="e">
        <f>VLOOKUP(A:A,'ITEM LIST'!A:C,3,0)</f>
        <v>#N/A</v>
      </c>
      <c r="D2955" s="6">
        <f t="shared" si="47"/>
        <v>0</v>
      </c>
    </row>
    <row r="2956" spans="3:4" ht="15" x14ac:dyDescent="0.25">
      <c r="C2956" s="8" t="e">
        <f>VLOOKUP(A:A,'ITEM LIST'!A:C,3,0)</f>
        <v>#N/A</v>
      </c>
      <c r="D2956" s="6">
        <f t="shared" si="47"/>
        <v>0</v>
      </c>
    </row>
    <row r="2957" spans="3:4" ht="15" x14ac:dyDescent="0.25">
      <c r="C2957" s="8" t="e">
        <f>VLOOKUP(A:A,'ITEM LIST'!A:C,3,0)</f>
        <v>#N/A</v>
      </c>
      <c r="D2957" s="6">
        <f t="shared" si="47"/>
        <v>0</v>
      </c>
    </row>
    <row r="2958" spans="3:4" ht="15" x14ac:dyDescent="0.25">
      <c r="C2958" s="8" t="e">
        <f>VLOOKUP(A:A,'ITEM LIST'!A:C,3,0)</f>
        <v>#N/A</v>
      </c>
      <c r="D2958" s="6">
        <f t="shared" si="47"/>
        <v>0</v>
      </c>
    </row>
    <row r="2959" spans="3:4" ht="15" x14ac:dyDescent="0.25">
      <c r="C2959" s="8" t="e">
        <f>VLOOKUP(A:A,'ITEM LIST'!A:C,3,0)</f>
        <v>#N/A</v>
      </c>
      <c r="D2959" s="6">
        <f t="shared" si="47"/>
        <v>0</v>
      </c>
    </row>
    <row r="2960" spans="3:4" ht="15" x14ac:dyDescent="0.25">
      <c r="C2960" s="8" t="e">
        <f>VLOOKUP(A:A,'ITEM LIST'!A:C,3,0)</f>
        <v>#N/A</v>
      </c>
      <c r="D2960" s="6">
        <f t="shared" si="47"/>
        <v>0</v>
      </c>
    </row>
    <row r="2961" spans="3:4" ht="15" x14ac:dyDescent="0.25">
      <c r="C2961" s="8" t="e">
        <f>VLOOKUP(A:A,'ITEM LIST'!A:C,3,0)</f>
        <v>#N/A</v>
      </c>
      <c r="D2961" s="6">
        <f t="shared" si="47"/>
        <v>0</v>
      </c>
    </row>
    <row r="2962" spans="3:4" ht="15" x14ac:dyDescent="0.25">
      <c r="C2962" s="8" t="e">
        <f>VLOOKUP(A:A,'ITEM LIST'!A:C,3,0)</f>
        <v>#N/A</v>
      </c>
      <c r="D2962" s="6">
        <f t="shared" si="47"/>
        <v>0</v>
      </c>
    </row>
    <row r="2963" spans="3:4" ht="15" x14ac:dyDescent="0.25">
      <c r="C2963" s="8" t="e">
        <f>VLOOKUP(A:A,'ITEM LIST'!A:C,3,0)</f>
        <v>#N/A</v>
      </c>
      <c r="D2963" s="6">
        <f t="shared" si="47"/>
        <v>0</v>
      </c>
    </row>
    <row r="2964" spans="3:4" ht="15" x14ac:dyDescent="0.25">
      <c r="C2964" s="8" t="e">
        <f>VLOOKUP(A:A,'ITEM LIST'!A:C,3,0)</f>
        <v>#N/A</v>
      </c>
      <c r="D2964" s="6">
        <f t="shared" si="47"/>
        <v>0</v>
      </c>
    </row>
    <row r="2965" spans="3:4" ht="15" x14ac:dyDescent="0.25">
      <c r="C2965" s="8" t="e">
        <f>VLOOKUP(A:A,'ITEM LIST'!A:C,3,0)</f>
        <v>#N/A</v>
      </c>
      <c r="D2965" s="6">
        <f t="shared" si="47"/>
        <v>0</v>
      </c>
    </row>
    <row r="2966" spans="3:4" ht="15" x14ac:dyDescent="0.25">
      <c r="C2966" s="8" t="e">
        <f>VLOOKUP(A:A,'ITEM LIST'!A:C,3,0)</f>
        <v>#N/A</v>
      </c>
      <c r="D2966" s="6">
        <f t="shared" si="47"/>
        <v>0</v>
      </c>
    </row>
    <row r="2967" spans="3:4" ht="15" x14ac:dyDescent="0.25">
      <c r="C2967" s="8" t="e">
        <f>VLOOKUP(A:A,'ITEM LIST'!A:C,3,0)</f>
        <v>#N/A</v>
      </c>
      <c r="D2967" s="6">
        <f t="shared" si="47"/>
        <v>0</v>
      </c>
    </row>
    <row r="2968" spans="3:4" ht="15" x14ac:dyDescent="0.25">
      <c r="C2968" s="8" t="e">
        <f>VLOOKUP(A:A,'ITEM LIST'!A:C,3,0)</f>
        <v>#N/A</v>
      </c>
      <c r="D2968" s="6">
        <f t="shared" si="47"/>
        <v>0</v>
      </c>
    </row>
    <row r="2969" spans="3:4" ht="15" x14ac:dyDescent="0.25">
      <c r="C2969" s="8" t="e">
        <f>VLOOKUP(A:A,'ITEM LIST'!A:C,3,0)</f>
        <v>#N/A</v>
      </c>
      <c r="D2969" s="6">
        <f t="shared" si="47"/>
        <v>0</v>
      </c>
    </row>
    <row r="2970" spans="3:4" ht="15" x14ac:dyDescent="0.25">
      <c r="C2970" s="8" t="e">
        <f>VLOOKUP(A:A,'ITEM LIST'!A:C,3,0)</f>
        <v>#N/A</v>
      </c>
      <c r="D2970" s="6">
        <f t="shared" si="47"/>
        <v>0</v>
      </c>
    </row>
    <row r="2971" spans="3:4" ht="15" x14ac:dyDescent="0.25">
      <c r="C2971" s="8" t="e">
        <f>VLOOKUP(A:A,'ITEM LIST'!A:C,3,0)</f>
        <v>#N/A</v>
      </c>
      <c r="D2971" s="6">
        <f t="shared" si="47"/>
        <v>0</v>
      </c>
    </row>
    <row r="2972" spans="3:4" ht="15" x14ac:dyDescent="0.25">
      <c r="C2972" s="8" t="e">
        <f>VLOOKUP(A:A,'ITEM LIST'!A:C,3,0)</f>
        <v>#N/A</v>
      </c>
      <c r="D2972" s="6">
        <f t="shared" si="47"/>
        <v>0</v>
      </c>
    </row>
    <row r="2973" spans="3:4" ht="15" x14ac:dyDescent="0.25">
      <c r="C2973" s="8" t="e">
        <f>VLOOKUP(A:A,'ITEM LIST'!A:C,3,0)</f>
        <v>#N/A</v>
      </c>
      <c r="D2973" s="6">
        <f t="shared" si="47"/>
        <v>0</v>
      </c>
    </row>
    <row r="2974" spans="3:4" ht="15" x14ac:dyDescent="0.25">
      <c r="C2974" s="8" t="e">
        <f>VLOOKUP(A:A,'ITEM LIST'!A:C,3,0)</f>
        <v>#N/A</v>
      </c>
      <c r="D2974" s="6">
        <f t="shared" si="47"/>
        <v>0</v>
      </c>
    </row>
    <row r="2975" spans="3:4" ht="15" x14ac:dyDescent="0.25">
      <c r="C2975" s="8" t="e">
        <f>VLOOKUP(A:A,'ITEM LIST'!A:C,3,0)</f>
        <v>#N/A</v>
      </c>
      <c r="D2975" s="6">
        <f t="shared" si="47"/>
        <v>0</v>
      </c>
    </row>
    <row r="2976" spans="3:4" ht="15" x14ac:dyDescent="0.25">
      <c r="C2976" s="8" t="e">
        <f>VLOOKUP(A:A,'ITEM LIST'!A:C,3,0)</f>
        <v>#N/A</v>
      </c>
      <c r="D2976" s="6">
        <f t="shared" si="47"/>
        <v>0</v>
      </c>
    </row>
    <row r="2977" spans="3:4" ht="15" x14ac:dyDescent="0.25">
      <c r="C2977" s="8" t="e">
        <f>VLOOKUP(A:A,'ITEM LIST'!A:C,3,0)</f>
        <v>#N/A</v>
      </c>
      <c r="D2977" s="6">
        <f t="shared" si="47"/>
        <v>0</v>
      </c>
    </row>
    <row r="2978" spans="3:4" ht="15" x14ac:dyDescent="0.25">
      <c r="C2978" s="8" t="e">
        <f>VLOOKUP(A:A,'ITEM LIST'!A:C,3,0)</f>
        <v>#N/A</v>
      </c>
      <c r="D2978" s="6">
        <f t="shared" si="47"/>
        <v>0</v>
      </c>
    </row>
    <row r="2979" spans="3:4" ht="15" x14ac:dyDescent="0.25">
      <c r="C2979" s="8" t="e">
        <f>VLOOKUP(A:A,'ITEM LIST'!A:C,3,0)</f>
        <v>#N/A</v>
      </c>
      <c r="D2979" s="6">
        <f t="shared" si="47"/>
        <v>0</v>
      </c>
    </row>
    <row r="2980" spans="3:4" ht="15" x14ac:dyDescent="0.25">
      <c r="C2980" s="8" t="e">
        <f>VLOOKUP(A:A,'ITEM LIST'!A:C,3,0)</f>
        <v>#N/A</v>
      </c>
      <c r="D2980" s="6">
        <f t="shared" si="47"/>
        <v>0</v>
      </c>
    </row>
    <row r="2981" spans="3:4" ht="15" x14ac:dyDescent="0.25">
      <c r="C2981" s="8" t="e">
        <f>VLOOKUP(A:A,'ITEM LIST'!A:C,3,0)</f>
        <v>#N/A</v>
      </c>
      <c r="D2981" s="6">
        <f t="shared" si="47"/>
        <v>0</v>
      </c>
    </row>
    <row r="2982" spans="3:4" ht="15" x14ac:dyDescent="0.25">
      <c r="C2982" s="8" t="e">
        <f>VLOOKUP(A:A,'ITEM LIST'!A:C,3,0)</f>
        <v>#N/A</v>
      </c>
      <c r="D2982" s="6">
        <f t="shared" si="47"/>
        <v>0</v>
      </c>
    </row>
    <row r="2983" spans="3:4" ht="15" x14ac:dyDescent="0.25">
      <c r="C2983" s="8" t="e">
        <f>VLOOKUP(A:A,'ITEM LIST'!A:C,3,0)</f>
        <v>#N/A</v>
      </c>
      <c r="D2983" s="6">
        <f t="shared" si="47"/>
        <v>0</v>
      </c>
    </row>
    <row r="2984" spans="3:4" ht="15" x14ac:dyDescent="0.25">
      <c r="C2984" s="8" t="e">
        <f>VLOOKUP(A:A,'ITEM LIST'!A:C,3,0)</f>
        <v>#N/A</v>
      </c>
      <c r="D2984" s="6">
        <f t="shared" si="47"/>
        <v>0</v>
      </c>
    </row>
    <row r="2985" spans="3:4" ht="15" x14ac:dyDescent="0.25">
      <c r="C2985" s="8" t="e">
        <f>VLOOKUP(A:A,'ITEM LIST'!A:C,3,0)</f>
        <v>#N/A</v>
      </c>
      <c r="D2985" s="6">
        <f t="shared" si="47"/>
        <v>0</v>
      </c>
    </row>
    <row r="2986" spans="3:4" ht="15" x14ac:dyDescent="0.25">
      <c r="C2986" s="8" t="e">
        <f>VLOOKUP(A:A,'ITEM LIST'!A:C,3,0)</f>
        <v>#N/A</v>
      </c>
      <c r="D2986" s="6">
        <f t="shared" si="47"/>
        <v>0</v>
      </c>
    </row>
    <row r="2987" spans="3:4" ht="15" x14ac:dyDescent="0.25">
      <c r="C2987" s="8" t="e">
        <f>VLOOKUP(A:A,'ITEM LIST'!A:C,3,0)</f>
        <v>#N/A</v>
      </c>
      <c r="D2987" s="6">
        <f t="shared" si="47"/>
        <v>0</v>
      </c>
    </row>
    <row r="2988" spans="3:4" ht="15" x14ac:dyDescent="0.25">
      <c r="C2988" s="8" t="e">
        <f>VLOOKUP(A:A,'ITEM LIST'!A:C,3,0)</f>
        <v>#N/A</v>
      </c>
      <c r="D2988" s="6">
        <f t="shared" si="47"/>
        <v>0</v>
      </c>
    </row>
    <row r="2989" spans="3:4" ht="15" x14ac:dyDescent="0.25">
      <c r="C2989" s="8" t="e">
        <f>VLOOKUP(A:A,'ITEM LIST'!A:C,3,0)</f>
        <v>#N/A</v>
      </c>
      <c r="D2989" s="6">
        <f t="shared" si="47"/>
        <v>0</v>
      </c>
    </row>
    <row r="2990" spans="3:4" ht="15" x14ac:dyDescent="0.25">
      <c r="C2990" s="8" t="e">
        <f>VLOOKUP(A:A,'ITEM LIST'!A:C,3,0)</f>
        <v>#N/A</v>
      </c>
      <c r="D2990" s="6">
        <f t="shared" si="47"/>
        <v>0</v>
      </c>
    </row>
    <row r="2991" spans="3:4" ht="15" x14ac:dyDescent="0.25">
      <c r="C2991" s="8" t="e">
        <f>VLOOKUP(A:A,'ITEM LIST'!A:C,3,0)</f>
        <v>#N/A</v>
      </c>
      <c r="D2991" s="6">
        <f t="shared" si="47"/>
        <v>0</v>
      </c>
    </row>
    <row r="2992" spans="3:4" ht="15" x14ac:dyDescent="0.25">
      <c r="C2992" s="8" t="e">
        <f>VLOOKUP(A:A,'ITEM LIST'!A:C,3,0)</f>
        <v>#N/A</v>
      </c>
      <c r="D2992" s="6">
        <f t="shared" si="47"/>
        <v>0</v>
      </c>
    </row>
    <row r="2993" spans="3:4" ht="15" x14ac:dyDescent="0.25">
      <c r="C2993" s="8" t="e">
        <f>VLOOKUP(A:A,'ITEM LIST'!A:C,3,0)</f>
        <v>#N/A</v>
      </c>
      <c r="D2993" s="6">
        <f t="shared" si="47"/>
        <v>0</v>
      </c>
    </row>
    <row r="2994" spans="3:4" ht="15" x14ac:dyDescent="0.25">
      <c r="C2994" s="8" t="e">
        <f>VLOOKUP(A:A,'ITEM LIST'!A:C,3,0)</f>
        <v>#N/A</v>
      </c>
      <c r="D2994" s="6">
        <f t="shared" si="47"/>
        <v>0</v>
      </c>
    </row>
    <row r="2995" spans="3:4" ht="15" x14ac:dyDescent="0.25">
      <c r="C2995" s="8" t="e">
        <f>VLOOKUP(A:A,'ITEM LIST'!A:C,3,0)</f>
        <v>#N/A</v>
      </c>
      <c r="D2995" s="6">
        <f t="shared" si="47"/>
        <v>0</v>
      </c>
    </row>
    <row r="2996" spans="3:4" ht="15" x14ac:dyDescent="0.25">
      <c r="C2996" s="8" t="e">
        <f>VLOOKUP(A:A,'ITEM LIST'!A:C,3,0)</f>
        <v>#N/A</v>
      </c>
      <c r="D2996" s="6">
        <f t="shared" si="47"/>
        <v>0</v>
      </c>
    </row>
    <row r="2997" spans="3:4" ht="15" x14ac:dyDescent="0.25">
      <c r="C2997" s="8" t="e">
        <f>VLOOKUP(A:A,'ITEM LIST'!A:C,3,0)</f>
        <v>#N/A</v>
      </c>
      <c r="D2997" s="6">
        <f t="shared" si="47"/>
        <v>0</v>
      </c>
    </row>
    <row r="2998" spans="3:4" ht="15" x14ac:dyDescent="0.25">
      <c r="C2998" s="8" t="e">
        <f>VLOOKUP(A:A,'ITEM LIST'!A:C,3,0)</f>
        <v>#N/A</v>
      </c>
      <c r="D2998" s="6">
        <f t="shared" si="47"/>
        <v>0</v>
      </c>
    </row>
    <row r="2999" spans="3:4" ht="15" x14ac:dyDescent="0.25">
      <c r="C2999" s="8" t="e">
        <f>VLOOKUP(A:A,'ITEM LIST'!A:C,3,0)</f>
        <v>#N/A</v>
      </c>
      <c r="D2999" s="6">
        <f t="shared" si="47"/>
        <v>0</v>
      </c>
    </row>
    <row r="3000" spans="3:4" ht="15" x14ac:dyDescent="0.25">
      <c r="C3000" s="8" t="e">
        <f>VLOOKUP(A:A,'ITEM LIST'!A:C,3,0)</f>
        <v>#N/A</v>
      </c>
      <c r="D3000" s="6">
        <f t="shared" si="47"/>
        <v>0</v>
      </c>
    </row>
    <row r="3001" spans="3:4" ht="15" x14ac:dyDescent="0.25">
      <c r="C3001" s="8" t="e">
        <f>VLOOKUP(A:A,'ITEM LIST'!A:C,3,0)</f>
        <v>#N/A</v>
      </c>
      <c r="D3001" s="6">
        <f t="shared" si="47"/>
        <v>0</v>
      </c>
    </row>
    <row r="3002" spans="3:4" ht="15" x14ac:dyDescent="0.25">
      <c r="C3002" s="8" t="e">
        <f>VLOOKUP(A:A,'ITEM LIST'!A:C,3,0)</f>
        <v>#N/A</v>
      </c>
      <c r="D3002" s="6">
        <f t="shared" si="47"/>
        <v>0</v>
      </c>
    </row>
    <row r="3003" spans="3:4" ht="15" x14ac:dyDescent="0.25">
      <c r="C3003" s="8" t="e">
        <f>VLOOKUP(A:A,'ITEM LIST'!A:C,3,0)</f>
        <v>#N/A</v>
      </c>
      <c r="D3003" s="6">
        <f t="shared" si="47"/>
        <v>0</v>
      </c>
    </row>
    <row r="3004" spans="3:4" ht="15" x14ac:dyDescent="0.25">
      <c r="C3004" s="8" t="e">
        <f>VLOOKUP(A:A,'ITEM LIST'!A:C,3,0)</f>
        <v>#N/A</v>
      </c>
      <c r="D3004" s="6">
        <f t="shared" si="47"/>
        <v>0</v>
      </c>
    </row>
    <row r="3005" spans="3:4" ht="15" x14ac:dyDescent="0.25">
      <c r="C3005" s="8" t="e">
        <f>VLOOKUP(A:A,'ITEM LIST'!A:C,3,0)</f>
        <v>#N/A</v>
      </c>
      <c r="D3005" s="6">
        <f t="shared" si="47"/>
        <v>0</v>
      </c>
    </row>
    <row r="3006" spans="3:4" ht="15" x14ac:dyDescent="0.25">
      <c r="C3006" s="8" t="e">
        <f>VLOOKUP(A:A,'ITEM LIST'!A:C,3,0)</f>
        <v>#N/A</v>
      </c>
      <c r="D3006" s="6">
        <f t="shared" si="47"/>
        <v>0</v>
      </c>
    </row>
    <row r="3007" spans="3:4" ht="15" x14ac:dyDescent="0.25">
      <c r="C3007" s="8" t="e">
        <f>VLOOKUP(A:A,'ITEM LIST'!A:C,3,0)</f>
        <v>#N/A</v>
      </c>
      <c r="D3007" s="6">
        <f t="shared" si="47"/>
        <v>0</v>
      </c>
    </row>
    <row r="3008" spans="3:4" ht="15" x14ac:dyDescent="0.25">
      <c r="C3008" s="8" t="e">
        <f>VLOOKUP(A:A,'ITEM LIST'!A:C,3,0)</f>
        <v>#N/A</v>
      </c>
      <c r="D3008" s="6">
        <f t="shared" si="47"/>
        <v>0</v>
      </c>
    </row>
    <row r="3009" spans="3:4" ht="15" x14ac:dyDescent="0.25">
      <c r="C3009" s="8" t="e">
        <f>VLOOKUP(A:A,'ITEM LIST'!A:C,3,0)</f>
        <v>#N/A</v>
      </c>
      <c r="D3009" s="6">
        <f t="shared" si="47"/>
        <v>0</v>
      </c>
    </row>
    <row r="3010" spans="3:4" ht="15" x14ac:dyDescent="0.25">
      <c r="C3010" s="8" t="e">
        <f>VLOOKUP(A:A,'ITEM LIST'!A:C,3,0)</f>
        <v>#N/A</v>
      </c>
      <c r="D3010" s="6">
        <f t="shared" si="47"/>
        <v>0</v>
      </c>
    </row>
    <row r="3011" spans="3:4" ht="15" x14ac:dyDescent="0.25">
      <c r="C3011" s="8" t="e">
        <f>VLOOKUP(A:A,'ITEM LIST'!A:C,3,0)</f>
        <v>#N/A</v>
      </c>
      <c r="D3011" s="6">
        <f t="shared" si="47"/>
        <v>0</v>
      </c>
    </row>
    <row r="3012" spans="3:4" ht="15" x14ac:dyDescent="0.25">
      <c r="C3012" s="8" t="e">
        <f>VLOOKUP(A:A,'ITEM LIST'!A:C,3,0)</f>
        <v>#N/A</v>
      </c>
      <c r="D3012" s="6">
        <f t="shared" si="47"/>
        <v>0</v>
      </c>
    </row>
    <row r="3013" spans="3:4" ht="15" x14ac:dyDescent="0.25">
      <c r="C3013" s="8" t="e">
        <f>VLOOKUP(A:A,'ITEM LIST'!A:C,3,0)</f>
        <v>#N/A</v>
      </c>
      <c r="D3013" s="6">
        <f t="shared" si="47"/>
        <v>0</v>
      </c>
    </row>
    <row r="3014" spans="3:4" ht="15" x14ac:dyDescent="0.25">
      <c r="C3014" s="8" t="e">
        <f>VLOOKUP(A:A,'ITEM LIST'!A:C,3,0)</f>
        <v>#N/A</v>
      </c>
      <c r="D3014" s="6">
        <f t="shared" ref="D3014:D3077" si="48">B3014</f>
        <v>0</v>
      </c>
    </row>
    <row r="3015" spans="3:4" ht="15" x14ac:dyDescent="0.25">
      <c r="C3015" s="8" t="e">
        <f>VLOOKUP(A:A,'ITEM LIST'!A:C,3,0)</f>
        <v>#N/A</v>
      </c>
      <c r="D3015" s="6">
        <f t="shared" si="48"/>
        <v>0</v>
      </c>
    </row>
    <row r="3016" spans="3:4" ht="15" x14ac:dyDescent="0.25">
      <c r="C3016" s="8" t="e">
        <f>VLOOKUP(A:A,'ITEM LIST'!A:C,3,0)</f>
        <v>#N/A</v>
      </c>
      <c r="D3016" s="6">
        <f t="shared" si="48"/>
        <v>0</v>
      </c>
    </row>
    <row r="3017" spans="3:4" ht="15" x14ac:dyDescent="0.25">
      <c r="C3017" s="8" t="e">
        <f>VLOOKUP(A:A,'ITEM LIST'!A:C,3,0)</f>
        <v>#N/A</v>
      </c>
      <c r="D3017" s="6">
        <f t="shared" si="48"/>
        <v>0</v>
      </c>
    </row>
    <row r="3018" spans="3:4" ht="15" x14ac:dyDescent="0.25">
      <c r="C3018" s="8" t="e">
        <f>VLOOKUP(A:A,'ITEM LIST'!A:C,3,0)</f>
        <v>#N/A</v>
      </c>
      <c r="D3018" s="6">
        <f t="shared" si="48"/>
        <v>0</v>
      </c>
    </row>
    <row r="3019" spans="3:4" ht="15" x14ac:dyDescent="0.25">
      <c r="C3019" s="8" t="e">
        <f>VLOOKUP(A:A,'ITEM LIST'!A:C,3,0)</f>
        <v>#N/A</v>
      </c>
      <c r="D3019" s="6">
        <f t="shared" si="48"/>
        <v>0</v>
      </c>
    </row>
    <row r="3020" spans="3:4" ht="15" x14ac:dyDescent="0.25">
      <c r="C3020" s="8" t="e">
        <f>VLOOKUP(A:A,'ITEM LIST'!A:C,3,0)</f>
        <v>#N/A</v>
      </c>
      <c r="D3020" s="6">
        <f t="shared" si="48"/>
        <v>0</v>
      </c>
    </row>
    <row r="3021" spans="3:4" ht="15" x14ac:dyDescent="0.25">
      <c r="C3021" s="8" t="e">
        <f>VLOOKUP(A:A,'ITEM LIST'!A:C,3,0)</f>
        <v>#N/A</v>
      </c>
      <c r="D3021" s="6">
        <f t="shared" si="48"/>
        <v>0</v>
      </c>
    </row>
    <row r="3022" spans="3:4" ht="15" x14ac:dyDescent="0.25">
      <c r="C3022" s="8" t="e">
        <f>VLOOKUP(A:A,'ITEM LIST'!A:C,3,0)</f>
        <v>#N/A</v>
      </c>
      <c r="D3022" s="6">
        <f t="shared" si="48"/>
        <v>0</v>
      </c>
    </row>
    <row r="3023" spans="3:4" ht="15" x14ac:dyDescent="0.25">
      <c r="C3023" s="8" t="e">
        <f>VLOOKUP(A:A,'ITEM LIST'!A:C,3,0)</f>
        <v>#N/A</v>
      </c>
      <c r="D3023" s="6">
        <f t="shared" si="48"/>
        <v>0</v>
      </c>
    </row>
    <row r="3024" spans="3:4" ht="15" x14ac:dyDescent="0.25">
      <c r="C3024" s="8" t="e">
        <f>VLOOKUP(A:A,'ITEM LIST'!A:C,3,0)</f>
        <v>#N/A</v>
      </c>
      <c r="D3024" s="6">
        <f t="shared" si="48"/>
        <v>0</v>
      </c>
    </row>
    <row r="3025" spans="3:4" ht="15" x14ac:dyDescent="0.25">
      <c r="C3025" s="8" t="e">
        <f>VLOOKUP(A:A,'ITEM LIST'!A:C,3,0)</f>
        <v>#N/A</v>
      </c>
      <c r="D3025" s="6">
        <f t="shared" si="48"/>
        <v>0</v>
      </c>
    </row>
    <row r="3026" spans="3:4" ht="15" x14ac:dyDescent="0.25">
      <c r="C3026" s="8" t="e">
        <f>VLOOKUP(A:A,'ITEM LIST'!A:C,3,0)</f>
        <v>#N/A</v>
      </c>
      <c r="D3026" s="6">
        <f t="shared" si="48"/>
        <v>0</v>
      </c>
    </row>
    <row r="3027" spans="3:4" ht="15" x14ac:dyDescent="0.25">
      <c r="C3027" s="8" t="e">
        <f>VLOOKUP(A:A,'ITEM LIST'!A:C,3,0)</f>
        <v>#N/A</v>
      </c>
      <c r="D3027" s="6">
        <f t="shared" si="48"/>
        <v>0</v>
      </c>
    </row>
    <row r="3028" spans="3:4" ht="15" x14ac:dyDescent="0.25">
      <c r="C3028" s="8" t="e">
        <f>VLOOKUP(A:A,'ITEM LIST'!A:C,3,0)</f>
        <v>#N/A</v>
      </c>
      <c r="D3028" s="6">
        <f t="shared" si="48"/>
        <v>0</v>
      </c>
    </row>
    <row r="3029" spans="3:4" ht="15" x14ac:dyDescent="0.25">
      <c r="C3029" s="8" t="e">
        <f>VLOOKUP(A:A,'ITEM LIST'!A:C,3,0)</f>
        <v>#N/A</v>
      </c>
      <c r="D3029" s="6">
        <f t="shared" si="48"/>
        <v>0</v>
      </c>
    </row>
    <row r="3030" spans="3:4" ht="15" x14ac:dyDescent="0.25">
      <c r="C3030" s="8" t="e">
        <f>VLOOKUP(A:A,'ITEM LIST'!A:C,3,0)</f>
        <v>#N/A</v>
      </c>
      <c r="D3030" s="6">
        <f t="shared" si="48"/>
        <v>0</v>
      </c>
    </row>
    <row r="3031" spans="3:4" ht="15" x14ac:dyDescent="0.25">
      <c r="C3031" s="8" t="e">
        <f>VLOOKUP(A:A,'ITEM LIST'!A:C,3,0)</f>
        <v>#N/A</v>
      </c>
      <c r="D3031" s="6">
        <f t="shared" si="48"/>
        <v>0</v>
      </c>
    </row>
    <row r="3032" spans="3:4" ht="15" x14ac:dyDescent="0.25">
      <c r="C3032" s="8" t="e">
        <f>VLOOKUP(A:A,'ITEM LIST'!A:C,3,0)</f>
        <v>#N/A</v>
      </c>
      <c r="D3032" s="6">
        <f t="shared" si="48"/>
        <v>0</v>
      </c>
    </row>
    <row r="3033" spans="3:4" ht="15" x14ac:dyDescent="0.25">
      <c r="C3033" s="8" t="e">
        <f>VLOOKUP(A:A,'ITEM LIST'!A:C,3,0)</f>
        <v>#N/A</v>
      </c>
      <c r="D3033" s="6">
        <f t="shared" si="48"/>
        <v>0</v>
      </c>
    </row>
    <row r="3034" spans="3:4" ht="15" x14ac:dyDescent="0.25">
      <c r="C3034" s="8" t="e">
        <f>VLOOKUP(A:A,'ITEM LIST'!A:C,3,0)</f>
        <v>#N/A</v>
      </c>
      <c r="D3034" s="6">
        <f t="shared" si="48"/>
        <v>0</v>
      </c>
    </row>
    <row r="3035" spans="3:4" ht="15" x14ac:dyDescent="0.25">
      <c r="C3035" s="8" t="e">
        <f>VLOOKUP(A:A,'ITEM LIST'!A:C,3,0)</f>
        <v>#N/A</v>
      </c>
      <c r="D3035" s="6">
        <f t="shared" si="48"/>
        <v>0</v>
      </c>
    </row>
    <row r="3036" spans="3:4" ht="15" x14ac:dyDescent="0.25">
      <c r="C3036" s="8" t="e">
        <f>VLOOKUP(A:A,'ITEM LIST'!A:C,3,0)</f>
        <v>#N/A</v>
      </c>
      <c r="D3036" s="6">
        <f t="shared" si="48"/>
        <v>0</v>
      </c>
    </row>
    <row r="3037" spans="3:4" ht="15" x14ac:dyDescent="0.25">
      <c r="C3037" s="8" t="e">
        <f>VLOOKUP(A:A,'ITEM LIST'!A:C,3,0)</f>
        <v>#N/A</v>
      </c>
      <c r="D3037" s="6">
        <f t="shared" si="48"/>
        <v>0</v>
      </c>
    </row>
    <row r="3038" spans="3:4" ht="15" x14ac:dyDescent="0.25">
      <c r="C3038" s="8" t="e">
        <f>VLOOKUP(A:A,'ITEM LIST'!A:C,3,0)</f>
        <v>#N/A</v>
      </c>
      <c r="D3038" s="6">
        <f t="shared" si="48"/>
        <v>0</v>
      </c>
    </row>
    <row r="3039" spans="3:4" ht="15" x14ac:dyDescent="0.25">
      <c r="C3039" s="8" t="e">
        <f>VLOOKUP(A:A,'ITEM LIST'!A:C,3,0)</f>
        <v>#N/A</v>
      </c>
      <c r="D3039" s="6">
        <f t="shared" si="48"/>
        <v>0</v>
      </c>
    </row>
    <row r="3040" spans="3:4" ht="15" x14ac:dyDescent="0.25">
      <c r="C3040" s="8" t="e">
        <f>VLOOKUP(A:A,'ITEM LIST'!A:C,3,0)</f>
        <v>#N/A</v>
      </c>
      <c r="D3040" s="6">
        <f t="shared" si="48"/>
        <v>0</v>
      </c>
    </row>
    <row r="3041" spans="3:4" ht="15" x14ac:dyDescent="0.25">
      <c r="C3041" s="8" t="e">
        <f>VLOOKUP(A:A,'ITEM LIST'!A:C,3,0)</f>
        <v>#N/A</v>
      </c>
      <c r="D3041" s="6">
        <f t="shared" si="48"/>
        <v>0</v>
      </c>
    </row>
    <row r="3042" spans="3:4" ht="15" x14ac:dyDescent="0.25">
      <c r="C3042" s="8" t="e">
        <f>VLOOKUP(A:A,'ITEM LIST'!A:C,3,0)</f>
        <v>#N/A</v>
      </c>
      <c r="D3042" s="6">
        <f t="shared" si="48"/>
        <v>0</v>
      </c>
    </row>
    <row r="3043" spans="3:4" ht="15" x14ac:dyDescent="0.25">
      <c r="C3043" s="8" t="e">
        <f>VLOOKUP(A:A,'ITEM LIST'!A:C,3,0)</f>
        <v>#N/A</v>
      </c>
      <c r="D3043" s="6">
        <f t="shared" si="48"/>
        <v>0</v>
      </c>
    </row>
    <row r="3044" spans="3:4" ht="15" x14ac:dyDescent="0.25">
      <c r="C3044" s="8" t="e">
        <f>VLOOKUP(A:A,'ITEM LIST'!A:C,3,0)</f>
        <v>#N/A</v>
      </c>
      <c r="D3044" s="6">
        <f t="shared" si="48"/>
        <v>0</v>
      </c>
    </row>
    <row r="3045" spans="3:4" ht="15" x14ac:dyDescent="0.25">
      <c r="C3045" s="8" t="e">
        <f>VLOOKUP(A:A,'ITEM LIST'!A:C,3,0)</f>
        <v>#N/A</v>
      </c>
      <c r="D3045" s="6">
        <f t="shared" si="48"/>
        <v>0</v>
      </c>
    </row>
    <row r="3046" spans="3:4" ht="15" x14ac:dyDescent="0.25">
      <c r="C3046" s="8" t="e">
        <f>VLOOKUP(A:A,'ITEM LIST'!A:C,3,0)</f>
        <v>#N/A</v>
      </c>
      <c r="D3046" s="6">
        <f t="shared" si="48"/>
        <v>0</v>
      </c>
    </row>
    <row r="3047" spans="3:4" ht="15" x14ac:dyDescent="0.25">
      <c r="C3047" s="8" t="e">
        <f>VLOOKUP(A:A,'ITEM LIST'!A:C,3,0)</f>
        <v>#N/A</v>
      </c>
      <c r="D3047" s="6">
        <f t="shared" si="48"/>
        <v>0</v>
      </c>
    </row>
    <row r="3048" spans="3:4" ht="15" x14ac:dyDescent="0.25">
      <c r="C3048" s="8" t="e">
        <f>VLOOKUP(A:A,'ITEM LIST'!A:C,3,0)</f>
        <v>#N/A</v>
      </c>
      <c r="D3048" s="6">
        <f t="shared" si="48"/>
        <v>0</v>
      </c>
    </row>
    <row r="3049" spans="3:4" ht="15" x14ac:dyDescent="0.25">
      <c r="C3049" s="8" t="e">
        <f>VLOOKUP(A:A,'ITEM LIST'!A:C,3,0)</f>
        <v>#N/A</v>
      </c>
      <c r="D3049" s="6">
        <f t="shared" si="48"/>
        <v>0</v>
      </c>
    </row>
    <row r="3050" spans="3:4" ht="15" x14ac:dyDescent="0.25">
      <c r="C3050" s="8" t="e">
        <f>VLOOKUP(A:A,'ITEM LIST'!A:C,3,0)</f>
        <v>#N/A</v>
      </c>
      <c r="D3050" s="6">
        <f t="shared" si="48"/>
        <v>0</v>
      </c>
    </row>
    <row r="3051" spans="3:4" ht="15" x14ac:dyDescent="0.25">
      <c r="C3051" s="8" t="e">
        <f>VLOOKUP(A:A,'ITEM LIST'!A:C,3,0)</f>
        <v>#N/A</v>
      </c>
      <c r="D3051" s="6">
        <f t="shared" si="48"/>
        <v>0</v>
      </c>
    </row>
    <row r="3052" spans="3:4" ht="15" x14ac:dyDescent="0.25">
      <c r="C3052" s="8" t="e">
        <f>VLOOKUP(A:A,'ITEM LIST'!A:C,3,0)</f>
        <v>#N/A</v>
      </c>
      <c r="D3052" s="6">
        <f t="shared" si="48"/>
        <v>0</v>
      </c>
    </row>
    <row r="3053" spans="3:4" ht="15" x14ac:dyDescent="0.25">
      <c r="C3053" s="8" t="e">
        <f>VLOOKUP(A:A,'ITEM LIST'!A:C,3,0)</f>
        <v>#N/A</v>
      </c>
      <c r="D3053" s="6">
        <f t="shared" si="48"/>
        <v>0</v>
      </c>
    </row>
    <row r="3054" spans="3:4" ht="15" x14ac:dyDescent="0.25">
      <c r="C3054" s="8" t="e">
        <f>VLOOKUP(A:A,'ITEM LIST'!A:C,3,0)</f>
        <v>#N/A</v>
      </c>
      <c r="D3054" s="6">
        <f t="shared" si="48"/>
        <v>0</v>
      </c>
    </row>
    <row r="3055" spans="3:4" ht="15" x14ac:dyDescent="0.25">
      <c r="C3055" s="8" t="e">
        <f>VLOOKUP(A:A,'ITEM LIST'!A:C,3,0)</f>
        <v>#N/A</v>
      </c>
      <c r="D3055" s="6">
        <f t="shared" si="48"/>
        <v>0</v>
      </c>
    </row>
    <row r="3056" spans="3:4" ht="15" x14ac:dyDescent="0.25">
      <c r="C3056" s="8" t="e">
        <f>VLOOKUP(A:A,'ITEM LIST'!A:C,3,0)</f>
        <v>#N/A</v>
      </c>
      <c r="D3056" s="6">
        <f t="shared" si="48"/>
        <v>0</v>
      </c>
    </row>
    <row r="3057" spans="3:4" ht="15" x14ac:dyDescent="0.25">
      <c r="C3057" s="8" t="e">
        <f>VLOOKUP(A:A,'ITEM LIST'!A:C,3,0)</f>
        <v>#N/A</v>
      </c>
      <c r="D3057" s="6">
        <f t="shared" si="48"/>
        <v>0</v>
      </c>
    </row>
    <row r="3058" spans="3:4" ht="15" x14ac:dyDescent="0.25">
      <c r="C3058" s="8" t="e">
        <f>VLOOKUP(A:A,'ITEM LIST'!A:C,3,0)</f>
        <v>#N/A</v>
      </c>
      <c r="D3058" s="6">
        <f t="shared" si="48"/>
        <v>0</v>
      </c>
    </row>
    <row r="3059" spans="3:4" ht="15" x14ac:dyDescent="0.25">
      <c r="C3059" s="8" t="e">
        <f>VLOOKUP(A:A,'ITEM LIST'!A:C,3,0)</f>
        <v>#N/A</v>
      </c>
      <c r="D3059" s="6">
        <f t="shared" si="48"/>
        <v>0</v>
      </c>
    </row>
    <row r="3060" spans="3:4" ht="15" x14ac:dyDescent="0.25">
      <c r="C3060" s="8" t="e">
        <f>VLOOKUP(A:A,'ITEM LIST'!A:C,3,0)</f>
        <v>#N/A</v>
      </c>
      <c r="D3060" s="6">
        <f t="shared" si="48"/>
        <v>0</v>
      </c>
    </row>
    <row r="3061" spans="3:4" ht="15" x14ac:dyDescent="0.25">
      <c r="C3061" s="8" t="e">
        <f>VLOOKUP(A:A,'ITEM LIST'!A:C,3,0)</f>
        <v>#N/A</v>
      </c>
      <c r="D3061" s="6">
        <f t="shared" si="48"/>
        <v>0</v>
      </c>
    </row>
    <row r="3062" spans="3:4" ht="15" x14ac:dyDescent="0.25">
      <c r="C3062" s="8" t="e">
        <f>VLOOKUP(A:A,'ITEM LIST'!A:C,3,0)</f>
        <v>#N/A</v>
      </c>
      <c r="D3062" s="6">
        <f t="shared" si="48"/>
        <v>0</v>
      </c>
    </row>
    <row r="3063" spans="3:4" ht="15" x14ac:dyDescent="0.25">
      <c r="C3063" s="8" t="e">
        <f>VLOOKUP(A:A,'ITEM LIST'!A:C,3,0)</f>
        <v>#N/A</v>
      </c>
      <c r="D3063" s="6">
        <f t="shared" si="48"/>
        <v>0</v>
      </c>
    </row>
    <row r="3064" spans="3:4" ht="15" x14ac:dyDescent="0.25">
      <c r="C3064" s="8" t="e">
        <f>VLOOKUP(A:A,'ITEM LIST'!A:C,3,0)</f>
        <v>#N/A</v>
      </c>
      <c r="D3064" s="6">
        <f t="shared" si="48"/>
        <v>0</v>
      </c>
    </row>
    <row r="3065" spans="3:4" ht="15" x14ac:dyDescent="0.25">
      <c r="C3065" s="8" t="e">
        <f>VLOOKUP(A:A,'ITEM LIST'!A:C,3,0)</f>
        <v>#N/A</v>
      </c>
      <c r="D3065" s="6">
        <f t="shared" si="48"/>
        <v>0</v>
      </c>
    </row>
    <row r="3066" spans="3:4" ht="15" x14ac:dyDescent="0.25">
      <c r="C3066" s="8" t="e">
        <f>VLOOKUP(A:A,'ITEM LIST'!A:C,3,0)</f>
        <v>#N/A</v>
      </c>
      <c r="D3066" s="6">
        <f t="shared" si="48"/>
        <v>0</v>
      </c>
    </row>
    <row r="3067" spans="3:4" ht="15" x14ac:dyDescent="0.25">
      <c r="C3067" s="8" t="e">
        <f>VLOOKUP(A:A,'ITEM LIST'!A:C,3,0)</f>
        <v>#N/A</v>
      </c>
      <c r="D3067" s="6">
        <f t="shared" si="48"/>
        <v>0</v>
      </c>
    </row>
    <row r="3068" spans="3:4" ht="15" x14ac:dyDescent="0.25">
      <c r="C3068" s="8" t="e">
        <f>VLOOKUP(A:A,'ITEM LIST'!A:C,3,0)</f>
        <v>#N/A</v>
      </c>
      <c r="D3068" s="6">
        <f t="shared" si="48"/>
        <v>0</v>
      </c>
    </row>
    <row r="3069" spans="3:4" ht="15" x14ac:dyDescent="0.25">
      <c r="C3069" s="8" t="e">
        <f>VLOOKUP(A:A,'ITEM LIST'!A:C,3,0)</f>
        <v>#N/A</v>
      </c>
      <c r="D3069" s="6">
        <f t="shared" si="48"/>
        <v>0</v>
      </c>
    </row>
    <row r="3070" spans="3:4" ht="15" x14ac:dyDescent="0.25">
      <c r="C3070" s="8" t="e">
        <f>VLOOKUP(A:A,'ITEM LIST'!A:C,3,0)</f>
        <v>#N/A</v>
      </c>
      <c r="D3070" s="6">
        <f t="shared" si="48"/>
        <v>0</v>
      </c>
    </row>
    <row r="3071" spans="3:4" ht="15" x14ac:dyDescent="0.25">
      <c r="C3071" s="8" t="e">
        <f>VLOOKUP(A:A,'ITEM LIST'!A:C,3,0)</f>
        <v>#N/A</v>
      </c>
      <c r="D3071" s="6">
        <f t="shared" si="48"/>
        <v>0</v>
      </c>
    </row>
    <row r="3072" spans="3:4" ht="15" x14ac:dyDescent="0.25">
      <c r="C3072" s="8" t="e">
        <f>VLOOKUP(A:A,'ITEM LIST'!A:C,3,0)</f>
        <v>#N/A</v>
      </c>
      <c r="D3072" s="6">
        <f t="shared" si="48"/>
        <v>0</v>
      </c>
    </row>
    <row r="3073" spans="3:4" ht="15" x14ac:dyDescent="0.25">
      <c r="C3073" s="8" t="e">
        <f>VLOOKUP(A:A,'ITEM LIST'!A:C,3,0)</f>
        <v>#N/A</v>
      </c>
      <c r="D3073" s="6">
        <f t="shared" si="48"/>
        <v>0</v>
      </c>
    </row>
    <row r="3074" spans="3:4" ht="15" x14ac:dyDescent="0.25">
      <c r="C3074" s="8" t="e">
        <f>VLOOKUP(A:A,'ITEM LIST'!A:C,3,0)</f>
        <v>#N/A</v>
      </c>
      <c r="D3074" s="6">
        <f t="shared" si="48"/>
        <v>0</v>
      </c>
    </row>
    <row r="3075" spans="3:4" ht="15" x14ac:dyDescent="0.25">
      <c r="C3075" s="8" t="e">
        <f>VLOOKUP(A:A,'ITEM LIST'!A:C,3,0)</f>
        <v>#N/A</v>
      </c>
      <c r="D3075" s="6">
        <f t="shared" si="48"/>
        <v>0</v>
      </c>
    </row>
    <row r="3076" spans="3:4" ht="15" x14ac:dyDescent="0.25">
      <c r="C3076" s="8" t="e">
        <f>VLOOKUP(A:A,'ITEM LIST'!A:C,3,0)</f>
        <v>#N/A</v>
      </c>
      <c r="D3076" s="6">
        <f t="shared" si="48"/>
        <v>0</v>
      </c>
    </row>
    <row r="3077" spans="3:4" ht="15" x14ac:dyDescent="0.25">
      <c r="C3077" s="8" t="e">
        <f>VLOOKUP(A:A,'ITEM LIST'!A:C,3,0)</f>
        <v>#N/A</v>
      </c>
      <c r="D3077" s="6">
        <f t="shared" si="48"/>
        <v>0</v>
      </c>
    </row>
    <row r="3078" spans="3:4" ht="15" x14ac:dyDescent="0.25">
      <c r="C3078" s="8" t="e">
        <f>VLOOKUP(A:A,'ITEM LIST'!A:C,3,0)</f>
        <v>#N/A</v>
      </c>
      <c r="D3078" s="6">
        <f t="shared" ref="D3078:D3141" si="49">B3078</f>
        <v>0</v>
      </c>
    </row>
    <row r="3079" spans="3:4" ht="15" x14ac:dyDescent="0.25">
      <c r="C3079" s="8" t="e">
        <f>VLOOKUP(A:A,'ITEM LIST'!A:C,3,0)</f>
        <v>#N/A</v>
      </c>
      <c r="D3079" s="6">
        <f t="shared" si="49"/>
        <v>0</v>
      </c>
    </row>
    <row r="3080" spans="3:4" ht="15" x14ac:dyDescent="0.25">
      <c r="C3080" s="8" t="e">
        <f>VLOOKUP(A:A,'ITEM LIST'!A:C,3,0)</f>
        <v>#N/A</v>
      </c>
      <c r="D3080" s="6">
        <f t="shared" si="49"/>
        <v>0</v>
      </c>
    </row>
    <row r="3081" spans="3:4" ht="15" x14ac:dyDescent="0.25">
      <c r="C3081" s="8" t="e">
        <f>VLOOKUP(A:A,'ITEM LIST'!A:C,3,0)</f>
        <v>#N/A</v>
      </c>
      <c r="D3081" s="6">
        <f t="shared" si="49"/>
        <v>0</v>
      </c>
    </row>
    <row r="3082" spans="3:4" ht="15" x14ac:dyDescent="0.25">
      <c r="C3082" s="8" t="e">
        <f>VLOOKUP(A:A,'ITEM LIST'!A:C,3,0)</f>
        <v>#N/A</v>
      </c>
      <c r="D3082" s="6">
        <f t="shared" si="49"/>
        <v>0</v>
      </c>
    </row>
    <row r="3083" spans="3:4" ht="15" x14ac:dyDescent="0.25">
      <c r="C3083" s="8" t="e">
        <f>VLOOKUP(A:A,'ITEM LIST'!A:C,3,0)</f>
        <v>#N/A</v>
      </c>
      <c r="D3083" s="6">
        <f t="shared" si="49"/>
        <v>0</v>
      </c>
    </row>
    <row r="3084" spans="3:4" ht="15" x14ac:dyDescent="0.25">
      <c r="C3084" s="8" t="e">
        <f>VLOOKUP(A:A,'ITEM LIST'!A:C,3,0)</f>
        <v>#N/A</v>
      </c>
      <c r="D3084" s="6">
        <f t="shared" si="49"/>
        <v>0</v>
      </c>
    </row>
    <row r="3085" spans="3:4" ht="15" x14ac:dyDescent="0.25">
      <c r="C3085" s="8" t="e">
        <f>VLOOKUP(A:A,'ITEM LIST'!A:C,3,0)</f>
        <v>#N/A</v>
      </c>
      <c r="D3085" s="6">
        <f t="shared" si="49"/>
        <v>0</v>
      </c>
    </row>
    <row r="3086" spans="3:4" ht="15" x14ac:dyDescent="0.25">
      <c r="C3086" s="8" t="e">
        <f>VLOOKUP(A:A,'ITEM LIST'!A:C,3,0)</f>
        <v>#N/A</v>
      </c>
      <c r="D3086" s="6">
        <f t="shared" si="49"/>
        <v>0</v>
      </c>
    </row>
    <row r="3087" spans="3:4" ht="15" x14ac:dyDescent="0.25">
      <c r="C3087" s="8" t="e">
        <f>VLOOKUP(A:A,'ITEM LIST'!A:C,3,0)</f>
        <v>#N/A</v>
      </c>
      <c r="D3087" s="6">
        <f t="shared" si="49"/>
        <v>0</v>
      </c>
    </row>
    <row r="3088" spans="3:4" ht="15" x14ac:dyDescent="0.25">
      <c r="C3088" s="8" t="e">
        <f>VLOOKUP(A:A,'ITEM LIST'!A:C,3,0)</f>
        <v>#N/A</v>
      </c>
      <c r="D3088" s="6">
        <f t="shared" si="49"/>
        <v>0</v>
      </c>
    </row>
    <row r="3089" spans="3:4" ht="15" x14ac:dyDescent="0.25">
      <c r="C3089" s="8" t="e">
        <f>VLOOKUP(A:A,'ITEM LIST'!A:C,3,0)</f>
        <v>#N/A</v>
      </c>
      <c r="D3089" s="6">
        <f t="shared" si="49"/>
        <v>0</v>
      </c>
    </row>
    <row r="3090" spans="3:4" ht="15" x14ac:dyDescent="0.25">
      <c r="C3090" s="8" t="e">
        <f>VLOOKUP(A:A,'ITEM LIST'!A:C,3,0)</f>
        <v>#N/A</v>
      </c>
      <c r="D3090" s="6">
        <f t="shared" si="49"/>
        <v>0</v>
      </c>
    </row>
    <row r="3091" spans="3:4" ht="15" x14ac:dyDescent="0.25">
      <c r="C3091" s="8" t="e">
        <f>VLOOKUP(A:A,'ITEM LIST'!A:C,3,0)</f>
        <v>#N/A</v>
      </c>
      <c r="D3091" s="6">
        <f t="shared" si="49"/>
        <v>0</v>
      </c>
    </row>
    <row r="3092" spans="3:4" ht="15" x14ac:dyDescent="0.25">
      <c r="C3092" s="8" t="e">
        <f>VLOOKUP(A:A,'ITEM LIST'!A:C,3,0)</f>
        <v>#N/A</v>
      </c>
      <c r="D3092" s="6">
        <f t="shared" si="49"/>
        <v>0</v>
      </c>
    </row>
    <row r="3093" spans="3:4" ht="15" x14ac:dyDescent="0.25">
      <c r="C3093" s="8" t="e">
        <f>VLOOKUP(A:A,'ITEM LIST'!A:C,3,0)</f>
        <v>#N/A</v>
      </c>
      <c r="D3093" s="6">
        <f t="shared" si="49"/>
        <v>0</v>
      </c>
    </row>
    <row r="3094" spans="3:4" ht="15" x14ac:dyDescent="0.25">
      <c r="C3094" s="8" t="e">
        <f>VLOOKUP(A:A,'ITEM LIST'!A:C,3,0)</f>
        <v>#N/A</v>
      </c>
      <c r="D3094" s="6">
        <f t="shared" si="49"/>
        <v>0</v>
      </c>
    </row>
    <row r="3095" spans="3:4" ht="15" x14ac:dyDescent="0.25">
      <c r="C3095" s="8" t="e">
        <f>VLOOKUP(A:A,'ITEM LIST'!A:C,3,0)</f>
        <v>#N/A</v>
      </c>
      <c r="D3095" s="6">
        <f t="shared" si="49"/>
        <v>0</v>
      </c>
    </row>
    <row r="3096" spans="3:4" ht="15" x14ac:dyDescent="0.25">
      <c r="C3096" s="8" t="e">
        <f>VLOOKUP(A:A,'ITEM LIST'!A:C,3,0)</f>
        <v>#N/A</v>
      </c>
      <c r="D3096" s="6">
        <f t="shared" si="49"/>
        <v>0</v>
      </c>
    </row>
    <row r="3097" spans="3:4" ht="15" x14ac:dyDescent="0.25">
      <c r="C3097" s="8" t="e">
        <f>VLOOKUP(A:A,'ITEM LIST'!A:C,3,0)</f>
        <v>#N/A</v>
      </c>
      <c r="D3097" s="6">
        <f t="shared" si="49"/>
        <v>0</v>
      </c>
    </row>
    <row r="3098" spans="3:4" ht="15" x14ac:dyDescent="0.25">
      <c r="C3098" s="8" t="e">
        <f>VLOOKUP(A:A,'ITEM LIST'!A:C,3,0)</f>
        <v>#N/A</v>
      </c>
      <c r="D3098" s="6">
        <f t="shared" si="49"/>
        <v>0</v>
      </c>
    </row>
    <row r="3099" spans="3:4" ht="15" x14ac:dyDescent="0.25">
      <c r="C3099" s="8" t="e">
        <f>VLOOKUP(A:A,'ITEM LIST'!A:C,3,0)</f>
        <v>#N/A</v>
      </c>
      <c r="D3099" s="6">
        <f t="shared" si="49"/>
        <v>0</v>
      </c>
    </row>
    <row r="3100" spans="3:4" ht="15" x14ac:dyDescent="0.25">
      <c r="C3100" s="8" t="e">
        <f>VLOOKUP(A:A,'ITEM LIST'!A:C,3,0)</f>
        <v>#N/A</v>
      </c>
      <c r="D3100" s="6">
        <f t="shared" si="49"/>
        <v>0</v>
      </c>
    </row>
    <row r="3101" spans="3:4" ht="15" x14ac:dyDescent="0.25">
      <c r="C3101" s="8" t="e">
        <f>VLOOKUP(A:A,'ITEM LIST'!A:C,3,0)</f>
        <v>#N/A</v>
      </c>
      <c r="D3101" s="6">
        <f t="shared" si="49"/>
        <v>0</v>
      </c>
    </row>
    <row r="3102" spans="3:4" ht="15" x14ac:dyDescent="0.25">
      <c r="C3102" s="8" t="e">
        <f>VLOOKUP(A:A,'ITEM LIST'!A:C,3,0)</f>
        <v>#N/A</v>
      </c>
      <c r="D3102" s="6">
        <f t="shared" si="49"/>
        <v>0</v>
      </c>
    </row>
    <row r="3103" spans="3:4" ht="15" x14ac:dyDescent="0.25">
      <c r="C3103" s="8" t="e">
        <f>VLOOKUP(A:A,'ITEM LIST'!A:C,3,0)</f>
        <v>#N/A</v>
      </c>
      <c r="D3103" s="6">
        <f t="shared" si="49"/>
        <v>0</v>
      </c>
    </row>
    <row r="3104" spans="3:4" ht="15" x14ac:dyDescent="0.25">
      <c r="C3104" s="8" t="e">
        <f>VLOOKUP(A:A,'ITEM LIST'!A:C,3,0)</f>
        <v>#N/A</v>
      </c>
      <c r="D3104" s="6">
        <f t="shared" si="49"/>
        <v>0</v>
      </c>
    </row>
    <row r="3105" spans="3:4" ht="15" x14ac:dyDescent="0.25">
      <c r="C3105" s="8" t="e">
        <f>VLOOKUP(A:A,'ITEM LIST'!A:C,3,0)</f>
        <v>#N/A</v>
      </c>
      <c r="D3105" s="6">
        <f t="shared" si="49"/>
        <v>0</v>
      </c>
    </row>
    <row r="3106" spans="3:4" ht="15" x14ac:dyDescent="0.25">
      <c r="C3106" s="8" t="e">
        <f>VLOOKUP(A:A,'ITEM LIST'!A:C,3,0)</f>
        <v>#N/A</v>
      </c>
      <c r="D3106" s="6">
        <f t="shared" si="49"/>
        <v>0</v>
      </c>
    </row>
    <row r="3107" spans="3:4" ht="15" x14ac:dyDescent="0.25">
      <c r="C3107" s="8" t="e">
        <f>VLOOKUP(A:A,'ITEM LIST'!A:C,3,0)</f>
        <v>#N/A</v>
      </c>
      <c r="D3107" s="6">
        <f t="shared" si="49"/>
        <v>0</v>
      </c>
    </row>
    <row r="3108" spans="3:4" ht="15" x14ac:dyDescent="0.25">
      <c r="C3108" s="8" t="e">
        <f>VLOOKUP(A:A,'ITEM LIST'!A:C,3,0)</f>
        <v>#N/A</v>
      </c>
      <c r="D3108" s="6">
        <f t="shared" si="49"/>
        <v>0</v>
      </c>
    </row>
    <row r="3109" spans="3:4" ht="15" x14ac:dyDescent="0.25">
      <c r="C3109" s="8" t="e">
        <f>VLOOKUP(A:A,'ITEM LIST'!A:C,3,0)</f>
        <v>#N/A</v>
      </c>
      <c r="D3109" s="6">
        <f t="shared" si="49"/>
        <v>0</v>
      </c>
    </row>
    <row r="3110" spans="3:4" ht="15" x14ac:dyDescent="0.25">
      <c r="C3110" s="8" t="e">
        <f>VLOOKUP(A:A,'ITEM LIST'!A:C,3,0)</f>
        <v>#N/A</v>
      </c>
      <c r="D3110" s="6">
        <f t="shared" si="49"/>
        <v>0</v>
      </c>
    </row>
    <row r="3111" spans="3:4" ht="15" x14ac:dyDescent="0.25">
      <c r="C3111" s="8" t="e">
        <f>VLOOKUP(A:A,'ITEM LIST'!A:C,3,0)</f>
        <v>#N/A</v>
      </c>
      <c r="D3111" s="6">
        <f t="shared" si="49"/>
        <v>0</v>
      </c>
    </row>
    <row r="3112" spans="3:4" ht="15" x14ac:dyDescent="0.25">
      <c r="C3112" s="8" t="e">
        <f>VLOOKUP(A:A,'ITEM LIST'!A:C,3,0)</f>
        <v>#N/A</v>
      </c>
      <c r="D3112" s="6">
        <f t="shared" si="49"/>
        <v>0</v>
      </c>
    </row>
    <row r="3113" spans="3:4" ht="15" x14ac:dyDescent="0.25">
      <c r="C3113" s="8" t="e">
        <f>VLOOKUP(A:A,'ITEM LIST'!A:C,3,0)</f>
        <v>#N/A</v>
      </c>
      <c r="D3113" s="6">
        <f t="shared" si="49"/>
        <v>0</v>
      </c>
    </row>
    <row r="3114" spans="3:4" ht="15" x14ac:dyDescent="0.25">
      <c r="C3114" s="8" t="e">
        <f>VLOOKUP(A:A,'ITEM LIST'!A:C,3,0)</f>
        <v>#N/A</v>
      </c>
      <c r="D3114" s="6">
        <f t="shared" si="49"/>
        <v>0</v>
      </c>
    </row>
    <row r="3115" spans="3:4" ht="15" x14ac:dyDescent="0.25">
      <c r="C3115" s="8" t="e">
        <f>VLOOKUP(A:A,'ITEM LIST'!A:C,3,0)</f>
        <v>#N/A</v>
      </c>
      <c r="D3115" s="6">
        <f t="shared" si="49"/>
        <v>0</v>
      </c>
    </row>
    <row r="3116" spans="3:4" ht="15" x14ac:dyDescent="0.25">
      <c r="C3116" s="8" t="e">
        <f>VLOOKUP(A:A,'ITEM LIST'!A:C,3,0)</f>
        <v>#N/A</v>
      </c>
      <c r="D3116" s="6">
        <f t="shared" si="49"/>
        <v>0</v>
      </c>
    </row>
    <row r="3117" spans="3:4" ht="15" x14ac:dyDescent="0.25">
      <c r="C3117" s="8" t="e">
        <f>VLOOKUP(A:A,'ITEM LIST'!A:C,3,0)</f>
        <v>#N/A</v>
      </c>
      <c r="D3117" s="6">
        <f t="shared" si="49"/>
        <v>0</v>
      </c>
    </row>
    <row r="3118" spans="3:4" ht="15" x14ac:dyDescent="0.25">
      <c r="C3118" s="8" t="e">
        <f>VLOOKUP(A:A,'ITEM LIST'!A:C,3,0)</f>
        <v>#N/A</v>
      </c>
      <c r="D3118" s="6">
        <f t="shared" si="49"/>
        <v>0</v>
      </c>
    </row>
    <row r="3119" spans="3:4" ht="15" x14ac:dyDescent="0.25">
      <c r="C3119" s="8" t="e">
        <f>VLOOKUP(A:A,'ITEM LIST'!A:C,3,0)</f>
        <v>#N/A</v>
      </c>
      <c r="D3119" s="6">
        <f t="shared" si="49"/>
        <v>0</v>
      </c>
    </row>
    <row r="3120" spans="3:4" ht="15" x14ac:dyDescent="0.25">
      <c r="C3120" s="8" t="e">
        <f>VLOOKUP(A:A,'ITEM LIST'!A:C,3,0)</f>
        <v>#N/A</v>
      </c>
      <c r="D3120" s="6">
        <f t="shared" si="49"/>
        <v>0</v>
      </c>
    </row>
    <row r="3121" spans="3:4" ht="15" x14ac:dyDescent="0.25">
      <c r="C3121" s="8" t="e">
        <f>VLOOKUP(A:A,'ITEM LIST'!A:C,3,0)</f>
        <v>#N/A</v>
      </c>
      <c r="D3121" s="6">
        <f t="shared" si="49"/>
        <v>0</v>
      </c>
    </row>
    <row r="3122" spans="3:4" ht="15" x14ac:dyDescent="0.25">
      <c r="C3122" s="8" t="e">
        <f>VLOOKUP(A:A,'ITEM LIST'!A:C,3,0)</f>
        <v>#N/A</v>
      </c>
      <c r="D3122" s="6">
        <f t="shared" si="49"/>
        <v>0</v>
      </c>
    </row>
    <row r="3123" spans="3:4" ht="15" x14ac:dyDescent="0.25">
      <c r="C3123" s="8" t="e">
        <f>VLOOKUP(A:A,'ITEM LIST'!A:C,3,0)</f>
        <v>#N/A</v>
      </c>
      <c r="D3123" s="6">
        <f t="shared" si="49"/>
        <v>0</v>
      </c>
    </row>
    <row r="3124" spans="3:4" ht="15" x14ac:dyDescent="0.25">
      <c r="C3124" s="8" t="e">
        <f>VLOOKUP(A:A,'ITEM LIST'!A:C,3,0)</f>
        <v>#N/A</v>
      </c>
      <c r="D3124" s="6">
        <f t="shared" si="49"/>
        <v>0</v>
      </c>
    </row>
    <row r="3125" spans="3:4" ht="15" x14ac:dyDescent="0.25">
      <c r="C3125" s="8" t="e">
        <f>VLOOKUP(A:A,'ITEM LIST'!A:C,3,0)</f>
        <v>#N/A</v>
      </c>
      <c r="D3125" s="6">
        <f t="shared" si="49"/>
        <v>0</v>
      </c>
    </row>
    <row r="3126" spans="3:4" ht="15" x14ac:dyDescent="0.25">
      <c r="C3126" s="8" t="e">
        <f>VLOOKUP(A:A,'ITEM LIST'!A:C,3,0)</f>
        <v>#N/A</v>
      </c>
      <c r="D3126" s="6">
        <f t="shared" si="49"/>
        <v>0</v>
      </c>
    </row>
    <row r="3127" spans="3:4" ht="15" x14ac:dyDescent="0.25">
      <c r="C3127" s="8" t="e">
        <f>VLOOKUP(A:A,'ITEM LIST'!A:C,3,0)</f>
        <v>#N/A</v>
      </c>
      <c r="D3127" s="6">
        <f t="shared" si="49"/>
        <v>0</v>
      </c>
    </row>
    <row r="3128" spans="3:4" ht="15" x14ac:dyDescent="0.25">
      <c r="C3128" s="8" t="e">
        <f>VLOOKUP(A:A,'ITEM LIST'!A:C,3,0)</f>
        <v>#N/A</v>
      </c>
      <c r="D3128" s="6">
        <f t="shared" si="49"/>
        <v>0</v>
      </c>
    </row>
    <row r="3129" spans="3:4" ht="15" x14ac:dyDescent="0.25">
      <c r="C3129" s="8" t="e">
        <f>VLOOKUP(A:A,'ITEM LIST'!A:C,3,0)</f>
        <v>#N/A</v>
      </c>
      <c r="D3129" s="6">
        <f t="shared" si="49"/>
        <v>0</v>
      </c>
    </row>
    <row r="3130" spans="3:4" ht="15" x14ac:dyDescent="0.25">
      <c r="C3130" s="8" t="e">
        <f>VLOOKUP(A:A,'ITEM LIST'!A:C,3,0)</f>
        <v>#N/A</v>
      </c>
      <c r="D3130" s="6">
        <f t="shared" si="49"/>
        <v>0</v>
      </c>
    </row>
    <row r="3131" spans="3:4" ht="15" x14ac:dyDescent="0.25">
      <c r="C3131" s="8" t="e">
        <f>VLOOKUP(A:A,'ITEM LIST'!A:C,3,0)</f>
        <v>#N/A</v>
      </c>
      <c r="D3131" s="6">
        <f t="shared" si="49"/>
        <v>0</v>
      </c>
    </row>
    <row r="3132" spans="3:4" ht="15" x14ac:dyDescent="0.25">
      <c r="C3132" s="8" t="e">
        <f>VLOOKUP(A:A,'ITEM LIST'!A:C,3,0)</f>
        <v>#N/A</v>
      </c>
      <c r="D3132" s="6">
        <f t="shared" si="49"/>
        <v>0</v>
      </c>
    </row>
    <row r="3133" spans="3:4" ht="15" x14ac:dyDescent="0.25">
      <c r="C3133" s="8" t="e">
        <f>VLOOKUP(A:A,'ITEM LIST'!A:C,3,0)</f>
        <v>#N/A</v>
      </c>
      <c r="D3133" s="6">
        <f t="shared" si="49"/>
        <v>0</v>
      </c>
    </row>
    <row r="3134" spans="3:4" ht="15" x14ac:dyDescent="0.25">
      <c r="C3134" s="8" t="e">
        <f>VLOOKUP(A:A,'ITEM LIST'!A:C,3,0)</f>
        <v>#N/A</v>
      </c>
      <c r="D3134" s="6">
        <f t="shared" si="49"/>
        <v>0</v>
      </c>
    </row>
    <row r="3135" spans="3:4" ht="15" x14ac:dyDescent="0.25">
      <c r="C3135" s="8" t="e">
        <f>VLOOKUP(A:A,'ITEM LIST'!A:C,3,0)</f>
        <v>#N/A</v>
      </c>
      <c r="D3135" s="6">
        <f t="shared" si="49"/>
        <v>0</v>
      </c>
    </row>
    <row r="3136" spans="3:4" ht="15" x14ac:dyDescent="0.25">
      <c r="C3136" s="8" t="e">
        <f>VLOOKUP(A:A,'ITEM LIST'!A:C,3,0)</f>
        <v>#N/A</v>
      </c>
      <c r="D3136" s="6">
        <f t="shared" si="49"/>
        <v>0</v>
      </c>
    </row>
    <row r="3137" spans="3:4" ht="15" x14ac:dyDescent="0.25">
      <c r="C3137" s="8" t="e">
        <f>VLOOKUP(A:A,'ITEM LIST'!A:C,3,0)</f>
        <v>#N/A</v>
      </c>
      <c r="D3137" s="6">
        <f t="shared" si="49"/>
        <v>0</v>
      </c>
    </row>
    <row r="3138" spans="3:4" ht="15" x14ac:dyDescent="0.25">
      <c r="C3138" s="8" t="e">
        <f>VLOOKUP(A:A,'ITEM LIST'!A:C,3,0)</f>
        <v>#N/A</v>
      </c>
      <c r="D3138" s="6">
        <f t="shared" si="49"/>
        <v>0</v>
      </c>
    </row>
    <row r="3139" spans="3:4" ht="15" x14ac:dyDescent="0.25">
      <c r="C3139" s="8" t="e">
        <f>VLOOKUP(A:A,'ITEM LIST'!A:C,3,0)</f>
        <v>#N/A</v>
      </c>
      <c r="D3139" s="6">
        <f t="shared" si="49"/>
        <v>0</v>
      </c>
    </row>
    <row r="3140" spans="3:4" ht="15" x14ac:dyDescent="0.25">
      <c r="C3140" s="8" t="e">
        <f>VLOOKUP(A:A,'ITEM LIST'!A:C,3,0)</f>
        <v>#N/A</v>
      </c>
      <c r="D3140" s="6">
        <f t="shared" si="49"/>
        <v>0</v>
      </c>
    </row>
    <row r="3141" spans="3:4" ht="15" x14ac:dyDescent="0.25">
      <c r="C3141" s="8" t="e">
        <f>VLOOKUP(A:A,'ITEM LIST'!A:C,3,0)</f>
        <v>#N/A</v>
      </c>
      <c r="D3141" s="6">
        <f t="shared" si="49"/>
        <v>0</v>
      </c>
    </row>
    <row r="3142" spans="3:4" ht="15" x14ac:dyDescent="0.25">
      <c r="C3142" s="8" t="e">
        <f>VLOOKUP(A:A,'ITEM LIST'!A:C,3,0)</f>
        <v>#N/A</v>
      </c>
      <c r="D3142" s="6">
        <f t="shared" ref="D3142:D3205" si="50">B3142</f>
        <v>0</v>
      </c>
    </row>
    <row r="3143" spans="3:4" ht="15" x14ac:dyDescent="0.25">
      <c r="C3143" s="8" t="e">
        <f>VLOOKUP(A:A,'ITEM LIST'!A:C,3,0)</f>
        <v>#N/A</v>
      </c>
      <c r="D3143" s="6">
        <f t="shared" si="50"/>
        <v>0</v>
      </c>
    </row>
    <row r="3144" spans="3:4" ht="15" x14ac:dyDescent="0.25">
      <c r="C3144" s="8" t="e">
        <f>VLOOKUP(A:A,'ITEM LIST'!A:C,3,0)</f>
        <v>#N/A</v>
      </c>
      <c r="D3144" s="6">
        <f t="shared" si="50"/>
        <v>0</v>
      </c>
    </row>
    <row r="3145" spans="3:4" ht="15" x14ac:dyDescent="0.25">
      <c r="C3145" s="8" t="e">
        <f>VLOOKUP(A:A,'ITEM LIST'!A:C,3,0)</f>
        <v>#N/A</v>
      </c>
      <c r="D3145" s="6">
        <f t="shared" si="50"/>
        <v>0</v>
      </c>
    </row>
    <row r="3146" spans="3:4" ht="15" x14ac:dyDescent="0.25">
      <c r="C3146" s="8" t="e">
        <f>VLOOKUP(A:A,'ITEM LIST'!A:C,3,0)</f>
        <v>#N/A</v>
      </c>
      <c r="D3146" s="6">
        <f t="shared" si="50"/>
        <v>0</v>
      </c>
    </row>
    <row r="3147" spans="3:4" ht="15" x14ac:dyDescent="0.25">
      <c r="C3147" s="8" t="e">
        <f>VLOOKUP(A:A,'ITEM LIST'!A:C,3,0)</f>
        <v>#N/A</v>
      </c>
      <c r="D3147" s="6">
        <f t="shared" si="50"/>
        <v>0</v>
      </c>
    </row>
    <row r="3148" spans="3:4" ht="15" x14ac:dyDescent="0.25">
      <c r="C3148" s="8" t="e">
        <f>VLOOKUP(A:A,'ITEM LIST'!A:C,3,0)</f>
        <v>#N/A</v>
      </c>
      <c r="D3148" s="6">
        <f t="shared" si="50"/>
        <v>0</v>
      </c>
    </row>
    <row r="3149" spans="3:4" ht="15" x14ac:dyDescent="0.25">
      <c r="C3149" s="8" t="e">
        <f>VLOOKUP(A:A,'ITEM LIST'!A:C,3,0)</f>
        <v>#N/A</v>
      </c>
      <c r="D3149" s="6">
        <f t="shared" si="50"/>
        <v>0</v>
      </c>
    </row>
    <row r="3150" spans="3:4" ht="15" x14ac:dyDescent="0.25">
      <c r="C3150" s="8" t="e">
        <f>VLOOKUP(A:A,'ITEM LIST'!A:C,3,0)</f>
        <v>#N/A</v>
      </c>
      <c r="D3150" s="6">
        <f t="shared" si="50"/>
        <v>0</v>
      </c>
    </row>
    <row r="3151" spans="3:4" ht="15" x14ac:dyDescent="0.25">
      <c r="C3151" s="8" t="e">
        <f>VLOOKUP(A:A,'ITEM LIST'!A:C,3,0)</f>
        <v>#N/A</v>
      </c>
      <c r="D3151" s="6">
        <f t="shared" si="50"/>
        <v>0</v>
      </c>
    </row>
    <row r="3152" spans="3:4" ht="15" x14ac:dyDescent="0.25">
      <c r="C3152" s="8" t="e">
        <f>VLOOKUP(A:A,'ITEM LIST'!A:C,3,0)</f>
        <v>#N/A</v>
      </c>
      <c r="D3152" s="6">
        <f t="shared" si="50"/>
        <v>0</v>
      </c>
    </row>
    <row r="3153" spans="3:4" ht="15" x14ac:dyDescent="0.25">
      <c r="C3153" s="8" t="e">
        <f>VLOOKUP(A:A,'ITEM LIST'!A:C,3,0)</f>
        <v>#N/A</v>
      </c>
      <c r="D3153" s="6">
        <f t="shared" si="50"/>
        <v>0</v>
      </c>
    </row>
    <row r="3154" spans="3:4" ht="15" x14ac:dyDescent="0.25">
      <c r="C3154" s="8" t="e">
        <f>VLOOKUP(A:A,'ITEM LIST'!A:C,3,0)</f>
        <v>#N/A</v>
      </c>
      <c r="D3154" s="6">
        <f t="shared" si="50"/>
        <v>0</v>
      </c>
    </row>
    <row r="3155" spans="3:4" ht="15" x14ac:dyDescent="0.25">
      <c r="C3155" s="8" t="e">
        <f>VLOOKUP(A:A,'ITEM LIST'!A:C,3,0)</f>
        <v>#N/A</v>
      </c>
      <c r="D3155" s="6">
        <f t="shared" si="50"/>
        <v>0</v>
      </c>
    </row>
    <row r="3156" spans="3:4" ht="15" x14ac:dyDescent="0.25">
      <c r="C3156" s="8" t="e">
        <f>VLOOKUP(A:A,'ITEM LIST'!A:C,3,0)</f>
        <v>#N/A</v>
      </c>
      <c r="D3156" s="6">
        <f t="shared" si="50"/>
        <v>0</v>
      </c>
    </row>
    <row r="3157" spans="3:4" ht="15" x14ac:dyDescent="0.25">
      <c r="C3157" s="8" t="e">
        <f>VLOOKUP(A:A,'ITEM LIST'!A:C,3,0)</f>
        <v>#N/A</v>
      </c>
      <c r="D3157" s="6">
        <f t="shared" si="50"/>
        <v>0</v>
      </c>
    </row>
    <row r="3158" spans="3:4" ht="15" x14ac:dyDescent="0.25">
      <c r="C3158" s="8" t="e">
        <f>VLOOKUP(A:A,'ITEM LIST'!A:C,3,0)</f>
        <v>#N/A</v>
      </c>
      <c r="D3158" s="6">
        <f t="shared" si="50"/>
        <v>0</v>
      </c>
    </row>
    <row r="3159" spans="3:4" ht="15" x14ac:dyDescent="0.25">
      <c r="C3159" s="8" t="e">
        <f>VLOOKUP(A:A,'ITEM LIST'!A:C,3,0)</f>
        <v>#N/A</v>
      </c>
      <c r="D3159" s="6">
        <f t="shared" si="50"/>
        <v>0</v>
      </c>
    </row>
    <row r="3160" spans="3:4" ht="15" x14ac:dyDescent="0.25">
      <c r="C3160" s="8" t="e">
        <f>VLOOKUP(A:A,'ITEM LIST'!A:C,3,0)</f>
        <v>#N/A</v>
      </c>
      <c r="D3160" s="6">
        <f t="shared" si="50"/>
        <v>0</v>
      </c>
    </row>
    <row r="3161" spans="3:4" ht="15" x14ac:dyDescent="0.25">
      <c r="C3161" s="8" t="e">
        <f>VLOOKUP(A:A,'ITEM LIST'!A:C,3,0)</f>
        <v>#N/A</v>
      </c>
      <c r="D3161" s="6">
        <f t="shared" si="50"/>
        <v>0</v>
      </c>
    </row>
    <row r="3162" spans="3:4" ht="15" x14ac:dyDescent="0.25">
      <c r="C3162" s="8" t="e">
        <f>VLOOKUP(A:A,'ITEM LIST'!A:C,3,0)</f>
        <v>#N/A</v>
      </c>
      <c r="D3162" s="6">
        <f t="shared" si="50"/>
        <v>0</v>
      </c>
    </row>
    <row r="3163" spans="3:4" ht="15" x14ac:dyDescent="0.25">
      <c r="C3163" s="8" t="e">
        <f>VLOOKUP(A:A,'ITEM LIST'!A:C,3,0)</f>
        <v>#N/A</v>
      </c>
      <c r="D3163" s="6">
        <f t="shared" si="50"/>
        <v>0</v>
      </c>
    </row>
    <row r="3164" spans="3:4" ht="15" x14ac:dyDescent="0.25">
      <c r="C3164" s="8" t="e">
        <f>VLOOKUP(A:A,'ITEM LIST'!A:C,3,0)</f>
        <v>#N/A</v>
      </c>
      <c r="D3164" s="6">
        <f t="shared" si="50"/>
        <v>0</v>
      </c>
    </row>
    <row r="3165" spans="3:4" ht="15" x14ac:dyDescent="0.25">
      <c r="C3165" s="8" t="e">
        <f>VLOOKUP(A:A,'ITEM LIST'!A:C,3,0)</f>
        <v>#N/A</v>
      </c>
      <c r="D3165" s="6">
        <f t="shared" si="50"/>
        <v>0</v>
      </c>
    </row>
    <row r="3166" spans="3:4" ht="15" x14ac:dyDescent="0.25">
      <c r="C3166" s="8" t="e">
        <f>VLOOKUP(A:A,'ITEM LIST'!A:C,3,0)</f>
        <v>#N/A</v>
      </c>
      <c r="D3166" s="6">
        <f t="shared" si="50"/>
        <v>0</v>
      </c>
    </row>
    <row r="3167" spans="3:4" ht="15" x14ac:dyDescent="0.25">
      <c r="C3167" s="8" t="e">
        <f>VLOOKUP(A:A,'ITEM LIST'!A:C,3,0)</f>
        <v>#N/A</v>
      </c>
      <c r="D3167" s="6">
        <f t="shared" si="50"/>
        <v>0</v>
      </c>
    </row>
    <row r="3168" spans="3:4" ht="15" x14ac:dyDescent="0.25">
      <c r="C3168" s="8" t="e">
        <f>VLOOKUP(A:A,'ITEM LIST'!A:C,3,0)</f>
        <v>#N/A</v>
      </c>
      <c r="D3168" s="6">
        <f t="shared" si="50"/>
        <v>0</v>
      </c>
    </row>
    <row r="3169" spans="3:4" ht="15" x14ac:dyDescent="0.25">
      <c r="C3169" s="8" t="e">
        <f>VLOOKUP(A:A,'ITEM LIST'!A:C,3,0)</f>
        <v>#N/A</v>
      </c>
      <c r="D3169" s="6">
        <f t="shared" si="50"/>
        <v>0</v>
      </c>
    </row>
    <row r="3170" spans="3:4" ht="15" x14ac:dyDescent="0.25">
      <c r="C3170" s="8" t="e">
        <f>VLOOKUP(A:A,'ITEM LIST'!A:C,3,0)</f>
        <v>#N/A</v>
      </c>
      <c r="D3170" s="6">
        <f t="shared" si="50"/>
        <v>0</v>
      </c>
    </row>
    <row r="3171" spans="3:4" ht="15" x14ac:dyDescent="0.25">
      <c r="C3171" s="8" t="e">
        <f>VLOOKUP(A:A,'ITEM LIST'!A:C,3,0)</f>
        <v>#N/A</v>
      </c>
      <c r="D3171" s="6">
        <f t="shared" si="50"/>
        <v>0</v>
      </c>
    </row>
    <row r="3172" spans="3:4" ht="15" x14ac:dyDescent="0.25">
      <c r="C3172" s="8" t="e">
        <f>VLOOKUP(A:A,'ITEM LIST'!A:C,3,0)</f>
        <v>#N/A</v>
      </c>
      <c r="D3172" s="6">
        <f t="shared" si="50"/>
        <v>0</v>
      </c>
    </row>
    <row r="3173" spans="3:4" ht="15" x14ac:dyDescent="0.25">
      <c r="C3173" s="8" t="e">
        <f>VLOOKUP(A:A,'ITEM LIST'!A:C,3,0)</f>
        <v>#N/A</v>
      </c>
      <c r="D3173" s="6">
        <f t="shared" si="50"/>
        <v>0</v>
      </c>
    </row>
    <row r="3174" spans="3:4" ht="15" x14ac:dyDescent="0.25">
      <c r="C3174" s="8" t="e">
        <f>VLOOKUP(A:A,'ITEM LIST'!A:C,3,0)</f>
        <v>#N/A</v>
      </c>
      <c r="D3174" s="6">
        <f t="shared" si="50"/>
        <v>0</v>
      </c>
    </row>
    <row r="3175" spans="3:4" ht="15" x14ac:dyDescent="0.25">
      <c r="C3175" s="8" t="e">
        <f>VLOOKUP(A:A,'ITEM LIST'!A:C,3,0)</f>
        <v>#N/A</v>
      </c>
      <c r="D3175" s="6">
        <f t="shared" si="50"/>
        <v>0</v>
      </c>
    </row>
    <row r="3176" spans="3:4" ht="15" x14ac:dyDescent="0.25">
      <c r="C3176" s="8" t="e">
        <f>VLOOKUP(A:A,'ITEM LIST'!A:C,3,0)</f>
        <v>#N/A</v>
      </c>
      <c r="D3176" s="6">
        <f t="shared" si="50"/>
        <v>0</v>
      </c>
    </row>
    <row r="3177" spans="3:4" ht="15" x14ac:dyDescent="0.25">
      <c r="C3177" s="8" t="e">
        <f>VLOOKUP(A:A,'ITEM LIST'!A:C,3,0)</f>
        <v>#N/A</v>
      </c>
      <c r="D3177" s="6">
        <f t="shared" si="50"/>
        <v>0</v>
      </c>
    </row>
    <row r="3178" spans="3:4" ht="15" x14ac:dyDescent="0.25">
      <c r="C3178" s="8" t="e">
        <f>VLOOKUP(A:A,'ITEM LIST'!A:C,3,0)</f>
        <v>#N/A</v>
      </c>
      <c r="D3178" s="6">
        <f t="shared" si="50"/>
        <v>0</v>
      </c>
    </row>
    <row r="3179" spans="3:4" ht="15" x14ac:dyDescent="0.25">
      <c r="C3179" s="8" t="e">
        <f>VLOOKUP(A:A,'ITEM LIST'!A:C,3,0)</f>
        <v>#N/A</v>
      </c>
      <c r="D3179" s="6">
        <f t="shared" si="50"/>
        <v>0</v>
      </c>
    </row>
    <row r="3180" spans="3:4" ht="15" x14ac:dyDescent="0.25">
      <c r="C3180" s="8" t="e">
        <f>VLOOKUP(A:A,'ITEM LIST'!A:C,3,0)</f>
        <v>#N/A</v>
      </c>
      <c r="D3180" s="6">
        <f t="shared" si="50"/>
        <v>0</v>
      </c>
    </row>
    <row r="3181" spans="3:4" ht="15" x14ac:dyDescent="0.25">
      <c r="C3181" s="8" t="e">
        <f>VLOOKUP(A:A,'ITEM LIST'!A:C,3,0)</f>
        <v>#N/A</v>
      </c>
      <c r="D3181" s="6">
        <f t="shared" si="50"/>
        <v>0</v>
      </c>
    </row>
    <row r="3182" spans="3:4" ht="15" x14ac:dyDescent="0.25">
      <c r="C3182" s="8" t="e">
        <f>VLOOKUP(A:A,'ITEM LIST'!A:C,3,0)</f>
        <v>#N/A</v>
      </c>
      <c r="D3182" s="6">
        <f t="shared" si="50"/>
        <v>0</v>
      </c>
    </row>
    <row r="3183" spans="3:4" ht="15" x14ac:dyDescent="0.25">
      <c r="C3183" s="8" t="e">
        <f>VLOOKUP(A:A,'ITEM LIST'!A:C,3,0)</f>
        <v>#N/A</v>
      </c>
      <c r="D3183" s="6">
        <f t="shared" si="50"/>
        <v>0</v>
      </c>
    </row>
    <row r="3184" spans="3:4" ht="15" x14ac:dyDescent="0.25">
      <c r="C3184" s="8" t="e">
        <f>VLOOKUP(A:A,'ITEM LIST'!A:C,3,0)</f>
        <v>#N/A</v>
      </c>
      <c r="D3184" s="6">
        <f t="shared" si="50"/>
        <v>0</v>
      </c>
    </row>
    <row r="3185" spans="3:4" ht="15" x14ac:dyDescent="0.25">
      <c r="C3185" s="8" t="e">
        <f>VLOOKUP(A:A,'ITEM LIST'!A:C,3,0)</f>
        <v>#N/A</v>
      </c>
      <c r="D3185" s="6">
        <f t="shared" si="50"/>
        <v>0</v>
      </c>
    </row>
    <row r="3186" spans="3:4" ht="15" x14ac:dyDescent="0.25">
      <c r="C3186" s="8" t="e">
        <f>VLOOKUP(A:A,'ITEM LIST'!A:C,3,0)</f>
        <v>#N/A</v>
      </c>
      <c r="D3186" s="6">
        <f t="shared" si="50"/>
        <v>0</v>
      </c>
    </row>
    <row r="3187" spans="3:4" ht="15" x14ac:dyDescent="0.25">
      <c r="C3187" s="8" t="e">
        <f>VLOOKUP(A:A,'ITEM LIST'!A:C,3,0)</f>
        <v>#N/A</v>
      </c>
      <c r="D3187" s="6">
        <f t="shared" si="50"/>
        <v>0</v>
      </c>
    </row>
    <row r="3188" spans="3:4" ht="15" x14ac:dyDescent="0.25">
      <c r="C3188" s="8" t="e">
        <f>VLOOKUP(A:A,'ITEM LIST'!A:C,3,0)</f>
        <v>#N/A</v>
      </c>
      <c r="D3188" s="6">
        <f t="shared" si="50"/>
        <v>0</v>
      </c>
    </row>
    <row r="3189" spans="3:4" ht="15" x14ac:dyDescent="0.25">
      <c r="C3189" s="8" t="e">
        <f>VLOOKUP(A:A,'ITEM LIST'!A:C,3,0)</f>
        <v>#N/A</v>
      </c>
      <c r="D3189" s="6">
        <f t="shared" si="50"/>
        <v>0</v>
      </c>
    </row>
    <row r="3190" spans="3:4" ht="15" x14ac:dyDescent="0.25">
      <c r="C3190" s="8" t="e">
        <f>VLOOKUP(A:A,'ITEM LIST'!A:C,3,0)</f>
        <v>#N/A</v>
      </c>
      <c r="D3190" s="6">
        <f t="shared" si="50"/>
        <v>0</v>
      </c>
    </row>
    <row r="3191" spans="3:4" ht="15" x14ac:dyDescent="0.25">
      <c r="C3191" s="8" t="e">
        <f>VLOOKUP(A:A,'ITEM LIST'!A:C,3,0)</f>
        <v>#N/A</v>
      </c>
      <c r="D3191" s="6">
        <f t="shared" si="50"/>
        <v>0</v>
      </c>
    </row>
    <row r="3192" spans="3:4" ht="15" x14ac:dyDescent="0.25">
      <c r="C3192" s="8" t="e">
        <f>VLOOKUP(A:A,'ITEM LIST'!A:C,3,0)</f>
        <v>#N/A</v>
      </c>
      <c r="D3192" s="6">
        <f t="shared" si="50"/>
        <v>0</v>
      </c>
    </row>
    <row r="3193" spans="3:4" ht="15" x14ac:dyDescent="0.25">
      <c r="C3193" s="8" t="e">
        <f>VLOOKUP(A:A,'ITEM LIST'!A:C,3,0)</f>
        <v>#N/A</v>
      </c>
      <c r="D3193" s="6">
        <f t="shared" si="50"/>
        <v>0</v>
      </c>
    </row>
    <row r="3194" spans="3:4" ht="15" x14ac:dyDescent="0.25">
      <c r="C3194" s="8" t="e">
        <f>VLOOKUP(A:A,'ITEM LIST'!A:C,3,0)</f>
        <v>#N/A</v>
      </c>
      <c r="D3194" s="6">
        <f t="shared" si="50"/>
        <v>0</v>
      </c>
    </row>
    <row r="3195" spans="3:4" ht="15" x14ac:dyDescent="0.25">
      <c r="C3195" s="8" t="e">
        <f>VLOOKUP(A:A,'ITEM LIST'!A:C,3,0)</f>
        <v>#N/A</v>
      </c>
      <c r="D3195" s="6">
        <f t="shared" si="50"/>
        <v>0</v>
      </c>
    </row>
    <row r="3196" spans="3:4" ht="15" x14ac:dyDescent="0.25">
      <c r="C3196" s="8" t="e">
        <f>VLOOKUP(A:A,'ITEM LIST'!A:C,3,0)</f>
        <v>#N/A</v>
      </c>
      <c r="D3196" s="6">
        <f t="shared" si="50"/>
        <v>0</v>
      </c>
    </row>
    <row r="3197" spans="3:4" ht="15" x14ac:dyDescent="0.25">
      <c r="C3197" s="8" t="e">
        <f>VLOOKUP(A:A,'ITEM LIST'!A:C,3,0)</f>
        <v>#N/A</v>
      </c>
      <c r="D3197" s="6">
        <f t="shared" si="50"/>
        <v>0</v>
      </c>
    </row>
    <row r="3198" spans="3:4" ht="15" x14ac:dyDescent="0.25">
      <c r="C3198" s="8" t="e">
        <f>VLOOKUP(A:A,'ITEM LIST'!A:C,3,0)</f>
        <v>#N/A</v>
      </c>
      <c r="D3198" s="6">
        <f t="shared" si="50"/>
        <v>0</v>
      </c>
    </row>
    <row r="3199" spans="3:4" ht="15" x14ac:dyDescent="0.25">
      <c r="C3199" s="8" t="e">
        <f>VLOOKUP(A:A,'ITEM LIST'!A:C,3,0)</f>
        <v>#N/A</v>
      </c>
      <c r="D3199" s="6">
        <f t="shared" si="50"/>
        <v>0</v>
      </c>
    </row>
    <row r="3200" spans="3:4" ht="15" x14ac:dyDescent="0.25">
      <c r="C3200" s="8" t="e">
        <f>VLOOKUP(A:A,'ITEM LIST'!A:C,3,0)</f>
        <v>#N/A</v>
      </c>
      <c r="D3200" s="6">
        <f t="shared" si="50"/>
        <v>0</v>
      </c>
    </row>
    <row r="3201" spans="3:4" ht="15" x14ac:dyDescent="0.25">
      <c r="C3201" s="8" t="e">
        <f>VLOOKUP(A:A,'ITEM LIST'!A:C,3,0)</f>
        <v>#N/A</v>
      </c>
      <c r="D3201" s="6">
        <f t="shared" si="50"/>
        <v>0</v>
      </c>
    </row>
    <row r="3202" spans="3:4" ht="15" x14ac:dyDescent="0.25">
      <c r="C3202" s="8" t="e">
        <f>VLOOKUP(A:A,'ITEM LIST'!A:C,3,0)</f>
        <v>#N/A</v>
      </c>
      <c r="D3202" s="6">
        <f t="shared" si="50"/>
        <v>0</v>
      </c>
    </row>
    <row r="3203" spans="3:4" ht="15" x14ac:dyDescent="0.25">
      <c r="C3203" s="8" t="e">
        <f>VLOOKUP(A:A,'ITEM LIST'!A:C,3,0)</f>
        <v>#N/A</v>
      </c>
      <c r="D3203" s="6">
        <f t="shared" si="50"/>
        <v>0</v>
      </c>
    </row>
    <row r="3204" spans="3:4" ht="15" x14ac:dyDescent="0.25">
      <c r="C3204" s="8" t="e">
        <f>VLOOKUP(A:A,'ITEM LIST'!A:C,3,0)</f>
        <v>#N/A</v>
      </c>
      <c r="D3204" s="6">
        <f t="shared" si="50"/>
        <v>0</v>
      </c>
    </row>
    <row r="3205" spans="3:4" ht="15" x14ac:dyDescent="0.25">
      <c r="C3205" s="8" t="e">
        <f>VLOOKUP(A:A,'ITEM LIST'!A:C,3,0)</f>
        <v>#N/A</v>
      </c>
      <c r="D3205" s="6">
        <f t="shared" si="50"/>
        <v>0</v>
      </c>
    </row>
    <row r="3206" spans="3:4" ht="15" x14ac:dyDescent="0.25">
      <c r="C3206" s="8" t="e">
        <f>VLOOKUP(A:A,'ITEM LIST'!A:C,3,0)</f>
        <v>#N/A</v>
      </c>
      <c r="D3206" s="6">
        <f t="shared" ref="D3206:D3269" si="51">B3206</f>
        <v>0</v>
      </c>
    </row>
    <row r="3207" spans="3:4" ht="15" x14ac:dyDescent="0.25">
      <c r="C3207" s="8" t="e">
        <f>VLOOKUP(A:A,'ITEM LIST'!A:C,3,0)</f>
        <v>#N/A</v>
      </c>
      <c r="D3207" s="6">
        <f t="shared" si="51"/>
        <v>0</v>
      </c>
    </row>
    <row r="3208" spans="3:4" ht="15" x14ac:dyDescent="0.25">
      <c r="C3208" s="8" t="e">
        <f>VLOOKUP(A:A,'ITEM LIST'!A:C,3,0)</f>
        <v>#N/A</v>
      </c>
      <c r="D3208" s="6">
        <f t="shared" si="51"/>
        <v>0</v>
      </c>
    </row>
    <row r="3209" spans="3:4" ht="15" x14ac:dyDescent="0.25">
      <c r="C3209" s="8" t="e">
        <f>VLOOKUP(A:A,'ITEM LIST'!A:C,3,0)</f>
        <v>#N/A</v>
      </c>
      <c r="D3209" s="6">
        <f t="shared" si="51"/>
        <v>0</v>
      </c>
    </row>
    <row r="3210" spans="3:4" ht="15" x14ac:dyDescent="0.25">
      <c r="C3210" s="8" t="e">
        <f>VLOOKUP(A:A,'ITEM LIST'!A:C,3,0)</f>
        <v>#N/A</v>
      </c>
      <c r="D3210" s="6">
        <f t="shared" si="51"/>
        <v>0</v>
      </c>
    </row>
    <row r="3211" spans="3:4" ht="15" x14ac:dyDescent="0.25">
      <c r="C3211" s="8" t="e">
        <f>VLOOKUP(A:A,'ITEM LIST'!A:C,3,0)</f>
        <v>#N/A</v>
      </c>
      <c r="D3211" s="6">
        <f t="shared" si="51"/>
        <v>0</v>
      </c>
    </row>
    <row r="3212" spans="3:4" ht="15" x14ac:dyDescent="0.25">
      <c r="C3212" s="8" t="e">
        <f>VLOOKUP(A:A,'ITEM LIST'!A:C,3,0)</f>
        <v>#N/A</v>
      </c>
      <c r="D3212" s="6">
        <f t="shared" si="51"/>
        <v>0</v>
      </c>
    </row>
    <row r="3213" spans="3:4" ht="15" x14ac:dyDescent="0.25">
      <c r="C3213" s="8" t="e">
        <f>VLOOKUP(A:A,'ITEM LIST'!A:C,3,0)</f>
        <v>#N/A</v>
      </c>
      <c r="D3213" s="6">
        <f t="shared" si="51"/>
        <v>0</v>
      </c>
    </row>
    <row r="3214" spans="3:4" ht="15" x14ac:dyDescent="0.25">
      <c r="C3214" s="8" t="e">
        <f>VLOOKUP(A:A,'ITEM LIST'!A:C,3,0)</f>
        <v>#N/A</v>
      </c>
      <c r="D3214" s="6">
        <f t="shared" si="51"/>
        <v>0</v>
      </c>
    </row>
    <row r="3215" spans="3:4" ht="15" x14ac:dyDescent="0.25">
      <c r="C3215" s="8" t="e">
        <f>VLOOKUP(A:A,'ITEM LIST'!A:C,3,0)</f>
        <v>#N/A</v>
      </c>
      <c r="D3215" s="6">
        <f t="shared" si="51"/>
        <v>0</v>
      </c>
    </row>
    <row r="3216" spans="3:4" ht="15" x14ac:dyDescent="0.25">
      <c r="C3216" s="8" t="e">
        <f>VLOOKUP(A:A,'ITEM LIST'!A:C,3,0)</f>
        <v>#N/A</v>
      </c>
      <c r="D3216" s="6">
        <f t="shared" si="51"/>
        <v>0</v>
      </c>
    </row>
    <row r="3217" spans="3:4" ht="15" x14ac:dyDescent="0.25">
      <c r="C3217" s="8" t="e">
        <f>VLOOKUP(A:A,'ITEM LIST'!A:C,3,0)</f>
        <v>#N/A</v>
      </c>
      <c r="D3217" s="6">
        <f t="shared" si="51"/>
        <v>0</v>
      </c>
    </row>
    <row r="3218" spans="3:4" ht="15" x14ac:dyDescent="0.25">
      <c r="C3218" s="8" t="e">
        <f>VLOOKUP(A:A,'ITEM LIST'!A:C,3,0)</f>
        <v>#N/A</v>
      </c>
      <c r="D3218" s="6">
        <f t="shared" si="51"/>
        <v>0</v>
      </c>
    </row>
    <row r="3219" spans="3:4" ht="15" x14ac:dyDescent="0.25">
      <c r="C3219" s="8" t="e">
        <f>VLOOKUP(A:A,'ITEM LIST'!A:C,3,0)</f>
        <v>#N/A</v>
      </c>
      <c r="D3219" s="6">
        <f t="shared" si="51"/>
        <v>0</v>
      </c>
    </row>
    <row r="3220" spans="3:4" ht="15" x14ac:dyDescent="0.25">
      <c r="C3220" s="8" t="e">
        <f>VLOOKUP(A:A,'ITEM LIST'!A:C,3,0)</f>
        <v>#N/A</v>
      </c>
      <c r="D3220" s="6">
        <f t="shared" si="51"/>
        <v>0</v>
      </c>
    </row>
    <row r="3221" spans="3:4" ht="15" x14ac:dyDescent="0.25">
      <c r="C3221" s="8" t="e">
        <f>VLOOKUP(A:A,'ITEM LIST'!A:C,3,0)</f>
        <v>#N/A</v>
      </c>
      <c r="D3221" s="6">
        <f t="shared" si="51"/>
        <v>0</v>
      </c>
    </row>
    <row r="3222" spans="3:4" ht="15" x14ac:dyDescent="0.25">
      <c r="C3222" s="8" t="e">
        <f>VLOOKUP(A:A,'ITEM LIST'!A:C,3,0)</f>
        <v>#N/A</v>
      </c>
      <c r="D3222" s="6">
        <f t="shared" si="51"/>
        <v>0</v>
      </c>
    </row>
    <row r="3223" spans="3:4" ht="15" x14ac:dyDescent="0.25">
      <c r="C3223" s="8" t="e">
        <f>VLOOKUP(A:A,'ITEM LIST'!A:C,3,0)</f>
        <v>#N/A</v>
      </c>
      <c r="D3223" s="6">
        <f t="shared" si="51"/>
        <v>0</v>
      </c>
    </row>
    <row r="3224" spans="3:4" ht="15" x14ac:dyDescent="0.25">
      <c r="C3224" s="8" t="e">
        <f>VLOOKUP(A:A,'ITEM LIST'!A:C,3,0)</f>
        <v>#N/A</v>
      </c>
      <c r="D3224" s="6">
        <f t="shared" si="51"/>
        <v>0</v>
      </c>
    </row>
    <row r="3225" spans="3:4" ht="15" x14ac:dyDescent="0.25">
      <c r="C3225" s="8" t="e">
        <f>VLOOKUP(A:A,'ITEM LIST'!A:C,3,0)</f>
        <v>#N/A</v>
      </c>
      <c r="D3225" s="6">
        <f t="shared" si="51"/>
        <v>0</v>
      </c>
    </row>
    <row r="3226" spans="3:4" ht="15" x14ac:dyDescent="0.25">
      <c r="C3226" s="8" t="e">
        <f>VLOOKUP(A:A,'ITEM LIST'!A:C,3,0)</f>
        <v>#N/A</v>
      </c>
      <c r="D3226" s="6">
        <f t="shared" si="51"/>
        <v>0</v>
      </c>
    </row>
    <row r="3227" spans="3:4" ht="15" x14ac:dyDescent="0.25">
      <c r="C3227" s="8" t="e">
        <f>VLOOKUP(A:A,'ITEM LIST'!A:C,3,0)</f>
        <v>#N/A</v>
      </c>
      <c r="D3227" s="6">
        <f t="shared" si="51"/>
        <v>0</v>
      </c>
    </row>
    <row r="3228" spans="3:4" ht="15" x14ac:dyDescent="0.25">
      <c r="C3228" s="8" t="e">
        <f>VLOOKUP(A:A,'ITEM LIST'!A:C,3,0)</f>
        <v>#N/A</v>
      </c>
      <c r="D3228" s="6">
        <f t="shared" si="51"/>
        <v>0</v>
      </c>
    </row>
    <row r="3229" spans="3:4" ht="15" x14ac:dyDescent="0.25">
      <c r="C3229" s="8" t="e">
        <f>VLOOKUP(A:A,'ITEM LIST'!A:C,3,0)</f>
        <v>#N/A</v>
      </c>
      <c r="D3229" s="6">
        <f t="shared" si="51"/>
        <v>0</v>
      </c>
    </row>
    <row r="3230" spans="3:4" ht="15" x14ac:dyDescent="0.25">
      <c r="C3230" s="8" t="e">
        <f>VLOOKUP(A:A,'ITEM LIST'!A:C,3,0)</f>
        <v>#N/A</v>
      </c>
      <c r="D3230" s="6">
        <f t="shared" si="51"/>
        <v>0</v>
      </c>
    </row>
    <row r="3231" spans="3:4" ht="15" x14ac:dyDescent="0.25">
      <c r="C3231" s="8" t="e">
        <f>VLOOKUP(A:A,'ITEM LIST'!A:C,3,0)</f>
        <v>#N/A</v>
      </c>
      <c r="D3231" s="6">
        <f t="shared" si="51"/>
        <v>0</v>
      </c>
    </row>
    <row r="3232" spans="3:4" ht="15" x14ac:dyDescent="0.25">
      <c r="C3232" s="8" t="e">
        <f>VLOOKUP(A:A,'ITEM LIST'!A:C,3,0)</f>
        <v>#N/A</v>
      </c>
      <c r="D3232" s="6">
        <f t="shared" si="51"/>
        <v>0</v>
      </c>
    </row>
    <row r="3233" spans="3:4" ht="15" x14ac:dyDescent="0.25">
      <c r="C3233" s="8" t="e">
        <f>VLOOKUP(A:A,'ITEM LIST'!A:C,3,0)</f>
        <v>#N/A</v>
      </c>
      <c r="D3233" s="6">
        <f t="shared" si="51"/>
        <v>0</v>
      </c>
    </row>
    <row r="3234" spans="3:4" ht="15" x14ac:dyDescent="0.25">
      <c r="C3234" s="8" t="e">
        <f>VLOOKUP(A:A,'ITEM LIST'!A:C,3,0)</f>
        <v>#N/A</v>
      </c>
      <c r="D3234" s="6">
        <f t="shared" si="51"/>
        <v>0</v>
      </c>
    </row>
    <row r="3235" spans="3:4" ht="15" x14ac:dyDescent="0.25">
      <c r="C3235" s="8" t="e">
        <f>VLOOKUP(A:A,'ITEM LIST'!A:C,3,0)</f>
        <v>#N/A</v>
      </c>
      <c r="D3235" s="6">
        <f t="shared" si="51"/>
        <v>0</v>
      </c>
    </row>
    <row r="3236" spans="3:4" ht="15" x14ac:dyDescent="0.25">
      <c r="C3236" s="8" t="e">
        <f>VLOOKUP(A:A,'ITEM LIST'!A:C,3,0)</f>
        <v>#N/A</v>
      </c>
      <c r="D3236" s="6">
        <f t="shared" si="51"/>
        <v>0</v>
      </c>
    </row>
    <row r="3237" spans="3:4" ht="15" x14ac:dyDescent="0.25">
      <c r="C3237" s="8" t="e">
        <f>VLOOKUP(A:A,'ITEM LIST'!A:C,3,0)</f>
        <v>#N/A</v>
      </c>
      <c r="D3237" s="6">
        <f t="shared" si="51"/>
        <v>0</v>
      </c>
    </row>
    <row r="3238" spans="3:4" ht="15" x14ac:dyDescent="0.25">
      <c r="C3238" s="8" t="e">
        <f>VLOOKUP(A:A,'ITEM LIST'!A:C,3,0)</f>
        <v>#N/A</v>
      </c>
      <c r="D3238" s="6">
        <f t="shared" si="51"/>
        <v>0</v>
      </c>
    </row>
    <row r="3239" spans="3:4" ht="15" x14ac:dyDescent="0.25">
      <c r="C3239" s="8" t="e">
        <f>VLOOKUP(A:A,'ITEM LIST'!A:C,3,0)</f>
        <v>#N/A</v>
      </c>
      <c r="D3239" s="6">
        <f t="shared" si="51"/>
        <v>0</v>
      </c>
    </row>
    <row r="3240" spans="3:4" ht="15" x14ac:dyDescent="0.25">
      <c r="C3240" s="8" t="e">
        <f>VLOOKUP(A:A,'ITEM LIST'!A:C,3,0)</f>
        <v>#N/A</v>
      </c>
      <c r="D3240" s="6">
        <f t="shared" si="51"/>
        <v>0</v>
      </c>
    </row>
    <row r="3241" spans="3:4" ht="15" x14ac:dyDescent="0.25">
      <c r="C3241" s="8" t="e">
        <f>VLOOKUP(A:A,'ITEM LIST'!A:C,3,0)</f>
        <v>#N/A</v>
      </c>
      <c r="D3241" s="6">
        <f t="shared" si="51"/>
        <v>0</v>
      </c>
    </row>
    <row r="3242" spans="3:4" ht="15" x14ac:dyDescent="0.25">
      <c r="C3242" s="8" t="e">
        <f>VLOOKUP(A:A,'ITEM LIST'!A:C,3,0)</f>
        <v>#N/A</v>
      </c>
      <c r="D3242" s="6">
        <f t="shared" si="51"/>
        <v>0</v>
      </c>
    </row>
    <row r="3243" spans="3:4" ht="15" x14ac:dyDescent="0.25">
      <c r="C3243" s="8" t="e">
        <f>VLOOKUP(A:A,'ITEM LIST'!A:C,3,0)</f>
        <v>#N/A</v>
      </c>
      <c r="D3243" s="6">
        <f t="shared" si="51"/>
        <v>0</v>
      </c>
    </row>
    <row r="3244" spans="3:4" ht="15" x14ac:dyDescent="0.25">
      <c r="C3244" s="8" t="e">
        <f>VLOOKUP(A:A,'ITEM LIST'!A:C,3,0)</f>
        <v>#N/A</v>
      </c>
      <c r="D3244" s="6">
        <f t="shared" si="51"/>
        <v>0</v>
      </c>
    </row>
    <row r="3245" spans="3:4" ht="15" x14ac:dyDescent="0.25">
      <c r="C3245" s="8" t="e">
        <f>VLOOKUP(A:A,'ITEM LIST'!A:C,3,0)</f>
        <v>#N/A</v>
      </c>
      <c r="D3245" s="6">
        <f t="shared" si="51"/>
        <v>0</v>
      </c>
    </row>
    <row r="3246" spans="3:4" ht="15" x14ac:dyDescent="0.25">
      <c r="C3246" s="8" t="e">
        <f>VLOOKUP(A:A,'ITEM LIST'!A:C,3,0)</f>
        <v>#N/A</v>
      </c>
      <c r="D3246" s="6">
        <f t="shared" si="51"/>
        <v>0</v>
      </c>
    </row>
    <row r="3247" spans="3:4" ht="15" x14ac:dyDescent="0.25">
      <c r="C3247" s="8" t="e">
        <f>VLOOKUP(A:A,'ITEM LIST'!A:C,3,0)</f>
        <v>#N/A</v>
      </c>
      <c r="D3247" s="6">
        <f t="shared" si="51"/>
        <v>0</v>
      </c>
    </row>
    <row r="3248" spans="3:4" ht="15" x14ac:dyDescent="0.25">
      <c r="C3248" s="8" t="e">
        <f>VLOOKUP(A:A,'ITEM LIST'!A:C,3,0)</f>
        <v>#N/A</v>
      </c>
      <c r="D3248" s="6">
        <f t="shared" si="51"/>
        <v>0</v>
      </c>
    </row>
    <row r="3249" spans="3:4" ht="15" x14ac:dyDescent="0.25">
      <c r="C3249" s="8" t="e">
        <f>VLOOKUP(A:A,'ITEM LIST'!A:C,3,0)</f>
        <v>#N/A</v>
      </c>
      <c r="D3249" s="6">
        <f t="shared" si="51"/>
        <v>0</v>
      </c>
    </row>
    <row r="3250" spans="3:4" ht="15" x14ac:dyDescent="0.25">
      <c r="C3250" s="8" t="e">
        <f>VLOOKUP(A:A,'ITEM LIST'!A:C,3,0)</f>
        <v>#N/A</v>
      </c>
      <c r="D3250" s="6">
        <f t="shared" si="51"/>
        <v>0</v>
      </c>
    </row>
    <row r="3251" spans="3:4" ht="15" x14ac:dyDescent="0.25">
      <c r="C3251" s="8" t="e">
        <f>VLOOKUP(A:A,'ITEM LIST'!A:C,3,0)</f>
        <v>#N/A</v>
      </c>
      <c r="D3251" s="6">
        <f t="shared" si="51"/>
        <v>0</v>
      </c>
    </row>
    <row r="3252" spans="3:4" ht="15" x14ac:dyDescent="0.25">
      <c r="C3252" s="8" t="e">
        <f>VLOOKUP(A:A,'ITEM LIST'!A:C,3,0)</f>
        <v>#N/A</v>
      </c>
      <c r="D3252" s="6">
        <f t="shared" si="51"/>
        <v>0</v>
      </c>
    </row>
    <row r="3253" spans="3:4" ht="15" x14ac:dyDescent="0.25">
      <c r="C3253" s="8" t="e">
        <f>VLOOKUP(A:A,'ITEM LIST'!A:C,3,0)</f>
        <v>#N/A</v>
      </c>
      <c r="D3253" s="6">
        <f t="shared" si="51"/>
        <v>0</v>
      </c>
    </row>
    <row r="3254" spans="3:4" ht="15" x14ac:dyDescent="0.25">
      <c r="C3254" s="8" t="e">
        <f>VLOOKUP(A:A,'ITEM LIST'!A:C,3,0)</f>
        <v>#N/A</v>
      </c>
      <c r="D3254" s="6">
        <f t="shared" si="51"/>
        <v>0</v>
      </c>
    </row>
    <row r="3255" spans="3:4" ht="15" x14ac:dyDescent="0.25">
      <c r="C3255" s="8" t="e">
        <f>VLOOKUP(A:A,'ITEM LIST'!A:C,3,0)</f>
        <v>#N/A</v>
      </c>
      <c r="D3255" s="6">
        <f t="shared" si="51"/>
        <v>0</v>
      </c>
    </row>
    <row r="3256" spans="3:4" ht="15" x14ac:dyDescent="0.25">
      <c r="C3256" s="8" t="e">
        <f>VLOOKUP(A:A,'ITEM LIST'!A:C,3,0)</f>
        <v>#N/A</v>
      </c>
      <c r="D3256" s="6">
        <f t="shared" si="51"/>
        <v>0</v>
      </c>
    </row>
    <row r="3257" spans="3:4" ht="15" x14ac:dyDescent="0.25">
      <c r="C3257" s="8" t="e">
        <f>VLOOKUP(A:A,'ITEM LIST'!A:C,3,0)</f>
        <v>#N/A</v>
      </c>
      <c r="D3257" s="6">
        <f t="shared" si="51"/>
        <v>0</v>
      </c>
    </row>
    <row r="3258" spans="3:4" ht="15" x14ac:dyDescent="0.25">
      <c r="C3258" s="8" t="e">
        <f>VLOOKUP(A:A,'ITEM LIST'!A:C,3,0)</f>
        <v>#N/A</v>
      </c>
      <c r="D3258" s="6">
        <f t="shared" si="51"/>
        <v>0</v>
      </c>
    </row>
    <row r="3259" spans="3:4" ht="15" x14ac:dyDescent="0.25">
      <c r="C3259" s="8" t="e">
        <f>VLOOKUP(A:A,'ITEM LIST'!A:C,3,0)</f>
        <v>#N/A</v>
      </c>
      <c r="D3259" s="6">
        <f t="shared" si="51"/>
        <v>0</v>
      </c>
    </row>
    <row r="3260" spans="3:4" ht="15" x14ac:dyDescent="0.25">
      <c r="C3260" s="8" t="e">
        <f>VLOOKUP(A:A,'ITEM LIST'!A:C,3,0)</f>
        <v>#N/A</v>
      </c>
      <c r="D3260" s="6">
        <f t="shared" si="51"/>
        <v>0</v>
      </c>
    </row>
    <row r="3261" spans="3:4" ht="15" x14ac:dyDescent="0.25">
      <c r="C3261" s="8" t="e">
        <f>VLOOKUP(A:A,'ITEM LIST'!A:C,3,0)</f>
        <v>#N/A</v>
      </c>
      <c r="D3261" s="6">
        <f t="shared" si="51"/>
        <v>0</v>
      </c>
    </row>
    <row r="3262" spans="3:4" ht="15" x14ac:dyDescent="0.25">
      <c r="C3262" s="8" t="e">
        <f>VLOOKUP(A:A,'ITEM LIST'!A:C,3,0)</f>
        <v>#N/A</v>
      </c>
      <c r="D3262" s="6">
        <f t="shared" si="51"/>
        <v>0</v>
      </c>
    </row>
    <row r="3263" spans="3:4" ht="15" x14ac:dyDescent="0.25">
      <c r="C3263" s="8" t="e">
        <f>VLOOKUP(A:A,'ITEM LIST'!A:C,3,0)</f>
        <v>#N/A</v>
      </c>
      <c r="D3263" s="6">
        <f t="shared" si="51"/>
        <v>0</v>
      </c>
    </row>
    <row r="3264" spans="3:4" ht="15" x14ac:dyDescent="0.25">
      <c r="C3264" s="8" t="e">
        <f>VLOOKUP(A:A,'ITEM LIST'!A:C,3,0)</f>
        <v>#N/A</v>
      </c>
      <c r="D3264" s="6">
        <f t="shared" si="51"/>
        <v>0</v>
      </c>
    </row>
    <row r="3265" spans="3:4" ht="15" x14ac:dyDescent="0.25">
      <c r="C3265" s="8" t="e">
        <f>VLOOKUP(A:A,'ITEM LIST'!A:C,3,0)</f>
        <v>#N/A</v>
      </c>
      <c r="D3265" s="6">
        <f t="shared" si="51"/>
        <v>0</v>
      </c>
    </row>
    <row r="3266" spans="3:4" ht="15" x14ac:dyDescent="0.25">
      <c r="C3266" s="8" t="e">
        <f>VLOOKUP(A:A,'ITEM LIST'!A:C,3,0)</f>
        <v>#N/A</v>
      </c>
      <c r="D3266" s="6">
        <f t="shared" si="51"/>
        <v>0</v>
      </c>
    </row>
    <row r="3267" spans="3:4" ht="15" x14ac:dyDescent="0.25">
      <c r="C3267" s="8" t="e">
        <f>VLOOKUP(A:A,'ITEM LIST'!A:C,3,0)</f>
        <v>#N/A</v>
      </c>
      <c r="D3267" s="6">
        <f t="shared" si="51"/>
        <v>0</v>
      </c>
    </row>
    <row r="3268" spans="3:4" ht="15" x14ac:dyDescent="0.25">
      <c r="C3268" s="8" t="e">
        <f>VLOOKUP(A:A,'ITEM LIST'!A:C,3,0)</f>
        <v>#N/A</v>
      </c>
      <c r="D3268" s="6">
        <f t="shared" si="51"/>
        <v>0</v>
      </c>
    </row>
    <row r="3269" spans="3:4" ht="15" x14ac:dyDescent="0.25">
      <c r="C3269" s="8" t="e">
        <f>VLOOKUP(A:A,'ITEM LIST'!A:C,3,0)</f>
        <v>#N/A</v>
      </c>
      <c r="D3269" s="6">
        <f t="shared" si="51"/>
        <v>0</v>
      </c>
    </row>
    <row r="3270" spans="3:4" ht="15" x14ac:dyDescent="0.25">
      <c r="C3270" s="8" t="e">
        <f>VLOOKUP(A:A,'ITEM LIST'!A:C,3,0)</f>
        <v>#N/A</v>
      </c>
      <c r="D3270" s="6">
        <f t="shared" ref="D3270:D3333" si="52">B3270</f>
        <v>0</v>
      </c>
    </row>
    <row r="3271" spans="3:4" ht="15" x14ac:dyDescent="0.25">
      <c r="C3271" s="8" t="e">
        <f>VLOOKUP(A:A,'ITEM LIST'!A:C,3,0)</f>
        <v>#N/A</v>
      </c>
      <c r="D3271" s="6">
        <f t="shared" si="52"/>
        <v>0</v>
      </c>
    </row>
    <row r="3272" spans="3:4" ht="15" x14ac:dyDescent="0.25">
      <c r="C3272" s="8" t="e">
        <f>VLOOKUP(A:A,'ITEM LIST'!A:C,3,0)</f>
        <v>#N/A</v>
      </c>
      <c r="D3272" s="6">
        <f t="shared" si="52"/>
        <v>0</v>
      </c>
    </row>
    <row r="3273" spans="3:4" ht="15" x14ac:dyDescent="0.25">
      <c r="C3273" s="8" t="e">
        <f>VLOOKUP(A:A,'ITEM LIST'!A:C,3,0)</f>
        <v>#N/A</v>
      </c>
      <c r="D3273" s="6">
        <f t="shared" si="52"/>
        <v>0</v>
      </c>
    </row>
    <row r="3274" spans="3:4" ht="15" x14ac:dyDescent="0.25">
      <c r="C3274" s="8" t="e">
        <f>VLOOKUP(A:A,'ITEM LIST'!A:C,3,0)</f>
        <v>#N/A</v>
      </c>
      <c r="D3274" s="6">
        <f t="shared" si="52"/>
        <v>0</v>
      </c>
    </row>
    <row r="3275" spans="3:4" ht="15" x14ac:dyDescent="0.25">
      <c r="C3275" s="8" t="e">
        <f>VLOOKUP(A:A,'ITEM LIST'!A:C,3,0)</f>
        <v>#N/A</v>
      </c>
      <c r="D3275" s="6">
        <f t="shared" si="52"/>
        <v>0</v>
      </c>
    </row>
    <row r="3276" spans="3:4" ht="15" x14ac:dyDescent="0.25">
      <c r="C3276" s="8" t="e">
        <f>VLOOKUP(A:A,'ITEM LIST'!A:C,3,0)</f>
        <v>#N/A</v>
      </c>
      <c r="D3276" s="6">
        <f t="shared" si="52"/>
        <v>0</v>
      </c>
    </row>
    <row r="3277" spans="3:4" ht="15" x14ac:dyDescent="0.25">
      <c r="C3277" s="8" t="e">
        <f>VLOOKUP(A:A,'ITEM LIST'!A:C,3,0)</f>
        <v>#N/A</v>
      </c>
      <c r="D3277" s="6">
        <f t="shared" si="52"/>
        <v>0</v>
      </c>
    </row>
    <row r="3278" spans="3:4" ht="15" x14ac:dyDescent="0.25">
      <c r="C3278" s="8" t="e">
        <f>VLOOKUP(A:A,'ITEM LIST'!A:C,3,0)</f>
        <v>#N/A</v>
      </c>
      <c r="D3278" s="6">
        <f t="shared" si="52"/>
        <v>0</v>
      </c>
    </row>
    <row r="3279" spans="3:4" ht="15" x14ac:dyDescent="0.25">
      <c r="C3279" s="8" t="e">
        <f>VLOOKUP(A:A,'ITEM LIST'!A:C,3,0)</f>
        <v>#N/A</v>
      </c>
      <c r="D3279" s="6">
        <f t="shared" si="52"/>
        <v>0</v>
      </c>
    </row>
    <row r="3280" spans="3:4" ht="15" x14ac:dyDescent="0.25">
      <c r="C3280" s="8" t="e">
        <f>VLOOKUP(A:A,'ITEM LIST'!A:C,3,0)</f>
        <v>#N/A</v>
      </c>
      <c r="D3280" s="6">
        <f t="shared" si="52"/>
        <v>0</v>
      </c>
    </row>
    <row r="3281" spans="3:4" ht="15" x14ac:dyDescent="0.25">
      <c r="C3281" s="8" t="e">
        <f>VLOOKUP(A:A,'ITEM LIST'!A:C,3,0)</f>
        <v>#N/A</v>
      </c>
      <c r="D3281" s="6">
        <f t="shared" si="52"/>
        <v>0</v>
      </c>
    </row>
    <row r="3282" spans="3:4" ht="15" x14ac:dyDescent="0.25">
      <c r="C3282" s="8" t="e">
        <f>VLOOKUP(A:A,'ITEM LIST'!A:C,3,0)</f>
        <v>#N/A</v>
      </c>
      <c r="D3282" s="6">
        <f t="shared" si="52"/>
        <v>0</v>
      </c>
    </row>
    <row r="3283" spans="3:4" ht="15" x14ac:dyDescent="0.25">
      <c r="C3283" s="8" t="e">
        <f>VLOOKUP(A:A,'ITEM LIST'!A:C,3,0)</f>
        <v>#N/A</v>
      </c>
      <c r="D3283" s="6">
        <f t="shared" si="52"/>
        <v>0</v>
      </c>
    </row>
    <row r="3284" spans="3:4" ht="15" x14ac:dyDescent="0.25">
      <c r="C3284" s="8" t="e">
        <f>VLOOKUP(A:A,'ITEM LIST'!A:C,3,0)</f>
        <v>#N/A</v>
      </c>
      <c r="D3284" s="6">
        <f t="shared" si="52"/>
        <v>0</v>
      </c>
    </row>
    <row r="3285" spans="3:4" ht="15" x14ac:dyDescent="0.25">
      <c r="C3285" s="8" t="e">
        <f>VLOOKUP(A:A,'ITEM LIST'!A:C,3,0)</f>
        <v>#N/A</v>
      </c>
      <c r="D3285" s="6">
        <f t="shared" si="52"/>
        <v>0</v>
      </c>
    </row>
    <row r="3286" spans="3:4" ht="15" x14ac:dyDescent="0.25">
      <c r="C3286" s="8" t="e">
        <f>VLOOKUP(A:A,'ITEM LIST'!A:C,3,0)</f>
        <v>#N/A</v>
      </c>
      <c r="D3286" s="6">
        <f t="shared" si="52"/>
        <v>0</v>
      </c>
    </row>
    <row r="3287" spans="3:4" ht="15" x14ac:dyDescent="0.25">
      <c r="C3287" s="8" t="e">
        <f>VLOOKUP(A:A,'ITEM LIST'!A:C,3,0)</f>
        <v>#N/A</v>
      </c>
      <c r="D3287" s="6">
        <f t="shared" si="52"/>
        <v>0</v>
      </c>
    </row>
    <row r="3288" spans="3:4" ht="15" x14ac:dyDescent="0.25">
      <c r="C3288" s="8" t="e">
        <f>VLOOKUP(A:A,'ITEM LIST'!A:C,3,0)</f>
        <v>#N/A</v>
      </c>
      <c r="D3288" s="6">
        <f t="shared" si="52"/>
        <v>0</v>
      </c>
    </row>
    <row r="3289" spans="3:4" ht="15" x14ac:dyDescent="0.25">
      <c r="C3289" s="8" t="e">
        <f>VLOOKUP(A:A,'ITEM LIST'!A:C,3,0)</f>
        <v>#N/A</v>
      </c>
      <c r="D3289" s="6">
        <f t="shared" si="52"/>
        <v>0</v>
      </c>
    </row>
    <row r="3290" spans="3:4" ht="15" x14ac:dyDescent="0.25">
      <c r="C3290" s="8" t="e">
        <f>VLOOKUP(A:A,'ITEM LIST'!A:C,3,0)</f>
        <v>#N/A</v>
      </c>
      <c r="D3290" s="6">
        <f t="shared" si="52"/>
        <v>0</v>
      </c>
    </row>
    <row r="3291" spans="3:4" ht="15" x14ac:dyDescent="0.25">
      <c r="C3291" s="8" t="e">
        <f>VLOOKUP(A:A,'ITEM LIST'!A:C,3,0)</f>
        <v>#N/A</v>
      </c>
      <c r="D3291" s="6">
        <f t="shared" si="52"/>
        <v>0</v>
      </c>
    </row>
    <row r="3292" spans="3:4" ht="15" x14ac:dyDescent="0.25">
      <c r="C3292" s="8" t="e">
        <f>VLOOKUP(A:A,'ITEM LIST'!A:C,3,0)</f>
        <v>#N/A</v>
      </c>
      <c r="D3292" s="6">
        <f t="shared" si="52"/>
        <v>0</v>
      </c>
    </row>
    <row r="3293" spans="3:4" ht="15" x14ac:dyDescent="0.25">
      <c r="C3293" s="8" t="e">
        <f>VLOOKUP(A:A,'ITEM LIST'!A:C,3,0)</f>
        <v>#N/A</v>
      </c>
      <c r="D3293" s="6">
        <f t="shared" si="52"/>
        <v>0</v>
      </c>
    </row>
    <row r="3294" spans="3:4" ht="15" x14ac:dyDescent="0.25">
      <c r="C3294" s="8" t="e">
        <f>VLOOKUP(A:A,'ITEM LIST'!A:C,3,0)</f>
        <v>#N/A</v>
      </c>
      <c r="D3294" s="6">
        <f t="shared" si="52"/>
        <v>0</v>
      </c>
    </row>
    <row r="3295" spans="3:4" ht="15" x14ac:dyDescent="0.25">
      <c r="C3295" s="8" t="e">
        <f>VLOOKUP(A:A,'ITEM LIST'!A:C,3,0)</f>
        <v>#N/A</v>
      </c>
      <c r="D3295" s="6">
        <f t="shared" si="52"/>
        <v>0</v>
      </c>
    </row>
    <row r="3296" spans="3:4" ht="15" x14ac:dyDescent="0.25">
      <c r="C3296" s="8" t="e">
        <f>VLOOKUP(A:A,'ITEM LIST'!A:C,3,0)</f>
        <v>#N/A</v>
      </c>
      <c r="D3296" s="6">
        <f t="shared" si="52"/>
        <v>0</v>
      </c>
    </row>
    <row r="3297" spans="3:4" ht="15" x14ac:dyDescent="0.25">
      <c r="C3297" s="8" t="e">
        <f>VLOOKUP(A:A,'ITEM LIST'!A:C,3,0)</f>
        <v>#N/A</v>
      </c>
      <c r="D3297" s="6">
        <f t="shared" si="52"/>
        <v>0</v>
      </c>
    </row>
    <row r="3298" spans="3:4" ht="15" x14ac:dyDescent="0.25">
      <c r="C3298" s="8" t="e">
        <f>VLOOKUP(A:A,'ITEM LIST'!A:C,3,0)</f>
        <v>#N/A</v>
      </c>
      <c r="D3298" s="6">
        <f t="shared" si="52"/>
        <v>0</v>
      </c>
    </row>
    <row r="3299" spans="3:4" ht="15" x14ac:dyDescent="0.25">
      <c r="C3299" s="8" t="e">
        <f>VLOOKUP(A:A,'ITEM LIST'!A:C,3,0)</f>
        <v>#N/A</v>
      </c>
      <c r="D3299" s="6">
        <f t="shared" si="52"/>
        <v>0</v>
      </c>
    </row>
    <row r="3300" spans="3:4" ht="15" x14ac:dyDescent="0.25">
      <c r="C3300" s="8" t="e">
        <f>VLOOKUP(A:A,'ITEM LIST'!A:C,3,0)</f>
        <v>#N/A</v>
      </c>
      <c r="D3300" s="6">
        <f t="shared" si="52"/>
        <v>0</v>
      </c>
    </row>
    <row r="3301" spans="3:4" ht="15" x14ac:dyDescent="0.25">
      <c r="C3301" s="8" t="e">
        <f>VLOOKUP(A:A,'ITEM LIST'!A:C,3,0)</f>
        <v>#N/A</v>
      </c>
      <c r="D3301" s="6">
        <f t="shared" si="52"/>
        <v>0</v>
      </c>
    </row>
    <row r="3302" spans="3:4" ht="15" x14ac:dyDescent="0.25">
      <c r="C3302" s="8" t="e">
        <f>VLOOKUP(A:A,'ITEM LIST'!A:C,3,0)</f>
        <v>#N/A</v>
      </c>
      <c r="D3302" s="6">
        <f t="shared" si="52"/>
        <v>0</v>
      </c>
    </row>
    <row r="3303" spans="3:4" ht="15" x14ac:dyDescent="0.25">
      <c r="C3303" s="8" t="e">
        <f>VLOOKUP(A:A,'ITEM LIST'!A:C,3,0)</f>
        <v>#N/A</v>
      </c>
      <c r="D3303" s="6">
        <f t="shared" si="52"/>
        <v>0</v>
      </c>
    </row>
    <row r="3304" spans="3:4" ht="15" x14ac:dyDescent="0.25">
      <c r="C3304" s="8" t="e">
        <f>VLOOKUP(A:A,'ITEM LIST'!A:C,3,0)</f>
        <v>#N/A</v>
      </c>
      <c r="D3304" s="6">
        <f t="shared" si="52"/>
        <v>0</v>
      </c>
    </row>
    <row r="3305" spans="3:4" ht="15" x14ac:dyDescent="0.25">
      <c r="C3305" s="8" t="e">
        <f>VLOOKUP(A:A,'ITEM LIST'!A:C,3,0)</f>
        <v>#N/A</v>
      </c>
      <c r="D3305" s="6">
        <f t="shared" si="52"/>
        <v>0</v>
      </c>
    </row>
    <row r="3306" spans="3:4" ht="15" x14ac:dyDescent="0.25">
      <c r="C3306" s="8" t="e">
        <f>VLOOKUP(A:A,'ITEM LIST'!A:C,3,0)</f>
        <v>#N/A</v>
      </c>
      <c r="D3306" s="6">
        <f t="shared" si="52"/>
        <v>0</v>
      </c>
    </row>
    <row r="3307" spans="3:4" ht="15" x14ac:dyDescent="0.25">
      <c r="C3307" s="8" t="e">
        <f>VLOOKUP(A:A,'ITEM LIST'!A:C,3,0)</f>
        <v>#N/A</v>
      </c>
      <c r="D3307" s="6">
        <f t="shared" si="52"/>
        <v>0</v>
      </c>
    </row>
    <row r="3308" spans="3:4" ht="15" x14ac:dyDescent="0.25">
      <c r="C3308" s="8" t="e">
        <f>VLOOKUP(A:A,'ITEM LIST'!A:C,3,0)</f>
        <v>#N/A</v>
      </c>
      <c r="D3308" s="6">
        <f t="shared" si="52"/>
        <v>0</v>
      </c>
    </row>
    <row r="3309" spans="3:4" ht="15" x14ac:dyDescent="0.25">
      <c r="C3309" s="8" t="e">
        <f>VLOOKUP(A:A,'ITEM LIST'!A:C,3,0)</f>
        <v>#N/A</v>
      </c>
      <c r="D3309" s="6">
        <f t="shared" si="52"/>
        <v>0</v>
      </c>
    </row>
    <row r="3310" spans="3:4" ht="15" x14ac:dyDescent="0.25">
      <c r="C3310" s="8" t="e">
        <f>VLOOKUP(A:A,'ITEM LIST'!A:C,3,0)</f>
        <v>#N/A</v>
      </c>
      <c r="D3310" s="6">
        <f t="shared" si="52"/>
        <v>0</v>
      </c>
    </row>
    <row r="3311" spans="3:4" ht="15" x14ac:dyDescent="0.25">
      <c r="C3311" s="8" t="e">
        <f>VLOOKUP(A:A,'ITEM LIST'!A:C,3,0)</f>
        <v>#N/A</v>
      </c>
      <c r="D3311" s="6">
        <f t="shared" si="52"/>
        <v>0</v>
      </c>
    </row>
    <row r="3312" spans="3:4" ht="15" x14ac:dyDescent="0.25">
      <c r="C3312" s="8" t="e">
        <f>VLOOKUP(A:A,'ITEM LIST'!A:C,3,0)</f>
        <v>#N/A</v>
      </c>
      <c r="D3312" s="6">
        <f t="shared" si="52"/>
        <v>0</v>
      </c>
    </row>
    <row r="3313" spans="3:4" ht="15" x14ac:dyDescent="0.25">
      <c r="C3313" s="8" t="e">
        <f>VLOOKUP(A:A,'ITEM LIST'!A:C,3,0)</f>
        <v>#N/A</v>
      </c>
      <c r="D3313" s="6">
        <f t="shared" si="52"/>
        <v>0</v>
      </c>
    </row>
    <row r="3314" spans="3:4" ht="15" x14ac:dyDescent="0.25">
      <c r="C3314" s="8" t="e">
        <f>VLOOKUP(A:A,'ITEM LIST'!A:C,3,0)</f>
        <v>#N/A</v>
      </c>
      <c r="D3314" s="6">
        <f t="shared" si="52"/>
        <v>0</v>
      </c>
    </row>
    <row r="3315" spans="3:4" ht="15" x14ac:dyDescent="0.25">
      <c r="C3315" s="8" t="e">
        <f>VLOOKUP(A:A,'ITEM LIST'!A:C,3,0)</f>
        <v>#N/A</v>
      </c>
      <c r="D3315" s="6">
        <f t="shared" si="52"/>
        <v>0</v>
      </c>
    </row>
    <row r="3316" spans="3:4" ht="15" x14ac:dyDescent="0.25">
      <c r="C3316" s="8" t="e">
        <f>VLOOKUP(A:A,'ITEM LIST'!A:C,3,0)</f>
        <v>#N/A</v>
      </c>
      <c r="D3316" s="6">
        <f t="shared" si="52"/>
        <v>0</v>
      </c>
    </row>
    <row r="3317" spans="3:4" ht="15" x14ac:dyDescent="0.25">
      <c r="C3317" s="8" t="e">
        <f>VLOOKUP(A:A,'ITEM LIST'!A:C,3,0)</f>
        <v>#N/A</v>
      </c>
      <c r="D3317" s="6">
        <f t="shared" si="52"/>
        <v>0</v>
      </c>
    </row>
    <row r="3318" spans="3:4" ht="15" x14ac:dyDescent="0.25">
      <c r="C3318" s="8" t="e">
        <f>VLOOKUP(A:A,'ITEM LIST'!A:C,3,0)</f>
        <v>#N/A</v>
      </c>
      <c r="D3318" s="6">
        <f t="shared" si="52"/>
        <v>0</v>
      </c>
    </row>
    <row r="3319" spans="3:4" ht="15" x14ac:dyDescent="0.25">
      <c r="C3319" s="8" t="e">
        <f>VLOOKUP(A:A,'ITEM LIST'!A:C,3,0)</f>
        <v>#N/A</v>
      </c>
      <c r="D3319" s="6">
        <f t="shared" si="52"/>
        <v>0</v>
      </c>
    </row>
    <row r="3320" spans="3:4" ht="15" x14ac:dyDescent="0.25">
      <c r="C3320" s="8" t="e">
        <f>VLOOKUP(A:A,'ITEM LIST'!A:C,3,0)</f>
        <v>#N/A</v>
      </c>
      <c r="D3320" s="6">
        <f t="shared" si="52"/>
        <v>0</v>
      </c>
    </row>
    <row r="3321" spans="3:4" ht="15" x14ac:dyDescent="0.25">
      <c r="C3321" s="8" t="e">
        <f>VLOOKUP(A:A,'ITEM LIST'!A:C,3,0)</f>
        <v>#N/A</v>
      </c>
      <c r="D3321" s="6">
        <f t="shared" si="52"/>
        <v>0</v>
      </c>
    </row>
    <row r="3322" spans="3:4" ht="15" x14ac:dyDescent="0.25">
      <c r="C3322" s="8" t="e">
        <f>VLOOKUP(A:A,'ITEM LIST'!A:C,3,0)</f>
        <v>#N/A</v>
      </c>
      <c r="D3322" s="6">
        <f t="shared" si="52"/>
        <v>0</v>
      </c>
    </row>
    <row r="3323" spans="3:4" ht="15" x14ac:dyDescent="0.25">
      <c r="C3323" s="8" t="e">
        <f>VLOOKUP(A:A,'ITEM LIST'!A:C,3,0)</f>
        <v>#N/A</v>
      </c>
      <c r="D3323" s="6">
        <f t="shared" si="52"/>
        <v>0</v>
      </c>
    </row>
    <row r="3324" spans="3:4" ht="15" x14ac:dyDescent="0.25">
      <c r="C3324" s="8" t="e">
        <f>VLOOKUP(A:A,'ITEM LIST'!A:C,3,0)</f>
        <v>#N/A</v>
      </c>
      <c r="D3324" s="6">
        <f t="shared" si="52"/>
        <v>0</v>
      </c>
    </row>
    <row r="3325" spans="3:4" ht="15" x14ac:dyDescent="0.25">
      <c r="C3325" s="8" t="e">
        <f>VLOOKUP(A:A,'ITEM LIST'!A:C,3,0)</f>
        <v>#N/A</v>
      </c>
      <c r="D3325" s="6">
        <f t="shared" si="52"/>
        <v>0</v>
      </c>
    </row>
    <row r="3326" spans="3:4" ht="15" x14ac:dyDescent="0.25">
      <c r="C3326" s="8" t="e">
        <f>VLOOKUP(A:A,'ITEM LIST'!A:C,3,0)</f>
        <v>#N/A</v>
      </c>
      <c r="D3326" s="6">
        <f t="shared" si="52"/>
        <v>0</v>
      </c>
    </row>
    <row r="3327" spans="3:4" ht="15" x14ac:dyDescent="0.25">
      <c r="C3327" s="8" t="e">
        <f>VLOOKUP(A:A,'ITEM LIST'!A:C,3,0)</f>
        <v>#N/A</v>
      </c>
      <c r="D3327" s="6">
        <f t="shared" si="52"/>
        <v>0</v>
      </c>
    </row>
    <row r="3328" spans="3:4" ht="15" x14ac:dyDescent="0.25">
      <c r="C3328" s="8" t="e">
        <f>VLOOKUP(A:A,'ITEM LIST'!A:C,3,0)</f>
        <v>#N/A</v>
      </c>
      <c r="D3328" s="6">
        <f t="shared" si="52"/>
        <v>0</v>
      </c>
    </row>
    <row r="3329" spans="3:4" ht="15" x14ac:dyDescent="0.25">
      <c r="C3329" s="8" t="e">
        <f>VLOOKUP(A:A,'ITEM LIST'!A:C,3,0)</f>
        <v>#N/A</v>
      </c>
      <c r="D3329" s="6">
        <f t="shared" si="52"/>
        <v>0</v>
      </c>
    </row>
    <row r="3330" spans="3:4" ht="15" x14ac:dyDescent="0.25">
      <c r="C3330" s="8" t="e">
        <f>VLOOKUP(A:A,'ITEM LIST'!A:C,3,0)</f>
        <v>#N/A</v>
      </c>
      <c r="D3330" s="6">
        <f t="shared" si="52"/>
        <v>0</v>
      </c>
    </row>
    <row r="3331" spans="3:4" ht="15" x14ac:dyDescent="0.25">
      <c r="C3331" s="8" t="e">
        <f>VLOOKUP(A:A,'ITEM LIST'!A:C,3,0)</f>
        <v>#N/A</v>
      </c>
      <c r="D3331" s="6">
        <f t="shared" si="52"/>
        <v>0</v>
      </c>
    </row>
    <row r="3332" spans="3:4" ht="15" x14ac:dyDescent="0.25">
      <c r="C3332" s="8" t="e">
        <f>VLOOKUP(A:A,'ITEM LIST'!A:C,3,0)</f>
        <v>#N/A</v>
      </c>
      <c r="D3332" s="6">
        <f t="shared" si="52"/>
        <v>0</v>
      </c>
    </row>
    <row r="3333" spans="3:4" ht="15" x14ac:dyDescent="0.25">
      <c r="C3333" s="8" t="e">
        <f>VLOOKUP(A:A,'ITEM LIST'!A:C,3,0)</f>
        <v>#N/A</v>
      </c>
      <c r="D3333" s="6">
        <f t="shared" si="52"/>
        <v>0</v>
      </c>
    </row>
    <row r="3334" spans="3:4" ht="15" x14ac:dyDescent="0.25">
      <c r="C3334" s="8" t="e">
        <f>VLOOKUP(A:A,'ITEM LIST'!A:C,3,0)</f>
        <v>#N/A</v>
      </c>
      <c r="D3334" s="6">
        <f t="shared" ref="D3334:D3397" si="53">B3334</f>
        <v>0</v>
      </c>
    </row>
    <row r="3335" spans="3:4" ht="15" x14ac:dyDescent="0.25">
      <c r="C3335" s="8" t="e">
        <f>VLOOKUP(A:A,'ITEM LIST'!A:C,3,0)</f>
        <v>#N/A</v>
      </c>
      <c r="D3335" s="6">
        <f t="shared" si="53"/>
        <v>0</v>
      </c>
    </row>
    <row r="3336" spans="3:4" ht="15" x14ac:dyDescent="0.25">
      <c r="C3336" s="8" t="e">
        <f>VLOOKUP(A:A,'ITEM LIST'!A:C,3,0)</f>
        <v>#N/A</v>
      </c>
      <c r="D3336" s="6">
        <f t="shared" si="53"/>
        <v>0</v>
      </c>
    </row>
    <row r="3337" spans="3:4" ht="15" x14ac:dyDescent="0.25">
      <c r="C3337" s="8" t="e">
        <f>VLOOKUP(A:A,'ITEM LIST'!A:C,3,0)</f>
        <v>#N/A</v>
      </c>
      <c r="D3337" s="6">
        <f t="shared" si="53"/>
        <v>0</v>
      </c>
    </row>
    <row r="3338" spans="3:4" ht="15" x14ac:dyDescent="0.25">
      <c r="C3338" s="8" t="e">
        <f>VLOOKUP(A:A,'ITEM LIST'!A:C,3,0)</f>
        <v>#N/A</v>
      </c>
      <c r="D3338" s="6">
        <f t="shared" si="53"/>
        <v>0</v>
      </c>
    </row>
    <row r="3339" spans="3:4" ht="15" x14ac:dyDescent="0.25">
      <c r="C3339" s="8" t="e">
        <f>VLOOKUP(A:A,'ITEM LIST'!A:C,3,0)</f>
        <v>#N/A</v>
      </c>
      <c r="D3339" s="6">
        <f t="shared" si="53"/>
        <v>0</v>
      </c>
    </row>
    <row r="3340" spans="3:4" ht="15" x14ac:dyDescent="0.25">
      <c r="C3340" s="8" t="e">
        <f>VLOOKUP(A:A,'ITEM LIST'!A:C,3,0)</f>
        <v>#N/A</v>
      </c>
      <c r="D3340" s="6">
        <f t="shared" si="53"/>
        <v>0</v>
      </c>
    </row>
    <row r="3341" spans="3:4" ht="15" x14ac:dyDescent="0.25">
      <c r="C3341" s="8" t="e">
        <f>VLOOKUP(A:A,'ITEM LIST'!A:C,3,0)</f>
        <v>#N/A</v>
      </c>
      <c r="D3341" s="6">
        <f t="shared" si="53"/>
        <v>0</v>
      </c>
    </row>
    <row r="3342" spans="3:4" ht="15" x14ac:dyDescent="0.25">
      <c r="C3342" s="8" t="e">
        <f>VLOOKUP(A:A,'ITEM LIST'!A:C,3,0)</f>
        <v>#N/A</v>
      </c>
      <c r="D3342" s="6">
        <f t="shared" si="53"/>
        <v>0</v>
      </c>
    </row>
    <row r="3343" spans="3:4" ht="15" x14ac:dyDescent="0.25">
      <c r="C3343" s="8" t="e">
        <f>VLOOKUP(A:A,'ITEM LIST'!A:C,3,0)</f>
        <v>#N/A</v>
      </c>
      <c r="D3343" s="6">
        <f t="shared" si="53"/>
        <v>0</v>
      </c>
    </row>
    <row r="3344" spans="3:4" ht="15" x14ac:dyDescent="0.25">
      <c r="C3344" s="8" t="e">
        <f>VLOOKUP(A:A,'ITEM LIST'!A:C,3,0)</f>
        <v>#N/A</v>
      </c>
      <c r="D3344" s="6">
        <f t="shared" si="53"/>
        <v>0</v>
      </c>
    </row>
    <row r="3345" spans="3:4" ht="15" x14ac:dyDescent="0.25">
      <c r="C3345" s="8" t="e">
        <f>VLOOKUP(A:A,'ITEM LIST'!A:C,3,0)</f>
        <v>#N/A</v>
      </c>
      <c r="D3345" s="6">
        <f t="shared" si="53"/>
        <v>0</v>
      </c>
    </row>
    <row r="3346" spans="3:4" ht="15" x14ac:dyDescent="0.25">
      <c r="C3346" s="8" t="e">
        <f>VLOOKUP(A:A,'ITEM LIST'!A:C,3,0)</f>
        <v>#N/A</v>
      </c>
      <c r="D3346" s="6">
        <f t="shared" si="53"/>
        <v>0</v>
      </c>
    </row>
    <row r="3347" spans="3:4" ht="15" x14ac:dyDescent="0.25">
      <c r="C3347" s="8" t="e">
        <f>VLOOKUP(A:A,'ITEM LIST'!A:C,3,0)</f>
        <v>#N/A</v>
      </c>
      <c r="D3347" s="6">
        <f t="shared" si="53"/>
        <v>0</v>
      </c>
    </row>
    <row r="3348" spans="3:4" ht="15" x14ac:dyDescent="0.25">
      <c r="C3348" s="8" t="e">
        <f>VLOOKUP(A:A,'ITEM LIST'!A:C,3,0)</f>
        <v>#N/A</v>
      </c>
      <c r="D3348" s="6">
        <f t="shared" si="53"/>
        <v>0</v>
      </c>
    </row>
    <row r="3349" spans="3:4" ht="15" x14ac:dyDescent="0.25">
      <c r="C3349" s="8" t="e">
        <f>VLOOKUP(A:A,'ITEM LIST'!A:C,3,0)</f>
        <v>#N/A</v>
      </c>
      <c r="D3349" s="6">
        <f t="shared" si="53"/>
        <v>0</v>
      </c>
    </row>
    <row r="3350" spans="3:4" ht="15" x14ac:dyDescent="0.25">
      <c r="C3350" s="8" t="e">
        <f>VLOOKUP(A:A,'ITEM LIST'!A:C,3,0)</f>
        <v>#N/A</v>
      </c>
      <c r="D3350" s="6">
        <f t="shared" si="53"/>
        <v>0</v>
      </c>
    </row>
    <row r="3351" spans="3:4" ht="15" x14ac:dyDescent="0.25">
      <c r="C3351" s="8" t="e">
        <f>VLOOKUP(A:A,'ITEM LIST'!A:C,3,0)</f>
        <v>#N/A</v>
      </c>
      <c r="D3351" s="6">
        <f t="shared" si="53"/>
        <v>0</v>
      </c>
    </row>
    <row r="3352" spans="3:4" ht="15" x14ac:dyDescent="0.25">
      <c r="C3352" s="8" t="e">
        <f>VLOOKUP(A:A,'ITEM LIST'!A:C,3,0)</f>
        <v>#N/A</v>
      </c>
      <c r="D3352" s="6">
        <f t="shared" si="53"/>
        <v>0</v>
      </c>
    </row>
    <row r="3353" spans="3:4" ht="15" x14ac:dyDescent="0.25">
      <c r="C3353" s="8" t="e">
        <f>VLOOKUP(A:A,'ITEM LIST'!A:C,3,0)</f>
        <v>#N/A</v>
      </c>
      <c r="D3353" s="6">
        <f t="shared" si="53"/>
        <v>0</v>
      </c>
    </row>
    <row r="3354" spans="3:4" ht="15" x14ac:dyDescent="0.25">
      <c r="C3354" s="8" t="e">
        <f>VLOOKUP(A:A,'ITEM LIST'!A:C,3,0)</f>
        <v>#N/A</v>
      </c>
      <c r="D3354" s="6">
        <f t="shared" si="53"/>
        <v>0</v>
      </c>
    </row>
    <row r="3355" spans="3:4" ht="15" x14ac:dyDescent="0.25">
      <c r="C3355" s="8" t="e">
        <f>VLOOKUP(A:A,'ITEM LIST'!A:C,3,0)</f>
        <v>#N/A</v>
      </c>
      <c r="D3355" s="6">
        <f t="shared" si="53"/>
        <v>0</v>
      </c>
    </row>
    <row r="3356" spans="3:4" ht="15" x14ac:dyDescent="0.25">
      <c r="C3356" s="8" t="e">
        <f>VLOOKUP(A:A,'ITEM LIST'!A:C,3,0)</f>
        <v>#N/A</v>
      </c>
      <c r="D3356" s="6">
        <f t="shared" si="53"/>
        <v>0</v>
      </c>
    </row>
    <row r="3357" spans="3:4" ht="15" x14ac:dyDescent="0.25">
      <c r="C3357" s="8" t="e">
        <f>VLOOKUP(A:A,'ITEM LIST'!A:C,3,0)</f>
        <v>#N/A</v>
      </c>
      <c r="D3357" s="6">
        <f t="shared" si="53"/>
        <v>0</v>
      </c>
    </row>
    <row r="3358" spans="3:4" ht="15" x14ac:dyDescent="0.25">
      <c r="C3358" s="8" t="e">
        <f>VLOOKUP(A:A,'ITEM LIST'!A:C,3,0)</f>
        <v>#N/A</v>
      </c>
      <c r="D3358" s="6">
        <f t="shared" si="53"/>
        <v>0</v>
      </c>
    </row>
    <row r="3359" spans="3:4" ht="15" x14ac:dyDescent="0.25">
      <c r="C3359" s="8" t="e">
        <f>VLOOKUP(A:A,'ITEM LIST'!A:C,3,0)</f>
        <v>#N/A</v>
      </c>
      <c r="D3359" s="6">
        <f t="shared" si="53"/>
        <v>0</v>
      </c>
    </row>
    <row r="3360" spans="3:4" ht="15" x14ac:dyDescent="0.25">
      <c r="C3360" s="8" t="e">
        <f>VLOOKUP(A:A,'ITEM LIST'!A:C,3,0)</f>
        <v>#N/A</v>
      </c>
      <c r="D3360" s="6">
        <f t="shared" si="53"/>
        <v>0</v>
      </c>
    </row>
    <row r="3361" spans="3:4" ht="15" x14ac:dyDescent="0.25">
      <c r="C3361" s="8" t="e">
        <f>VLOOKUP(A:A,'ITEM LIST'!A:C,3,0)</f>
        <v>#N/A</v>
      </c>
      <c r="D3361" s="6">
        <f t="shared" si="53"/>
        <v>0</v>
      </c>
    </row>
    <row r="3362" spans="3:4" ht="15" x14ac:dyDescent="0.25">
      <c r="C3362" s="8" t="e">
        <f>VLOOKUP(A:A,'ITEM LIST'!A:C,3,0)</f>
        <v>#N/A</v>
      </c>
      <c r="D3362" s="6">
        <f t="shared" si="53"/>
        <v>0</v>
      </c>
    </row>
    <row r="3363" spans="3:4" ht="15" x14ac:dyDescent="0.25">
      <c r="C3363" s="8" t="e">
        <f>VLOOKUP(A:A,'ITEM LIST'!A:C,3,0)</f>
        <v>#N/A</v>
      </c>
      <c r="D3363" s="6">
        <f t="shared" si="53"/>
        <v>0</v>
      </c>
    </row>
    <row r="3364" spans="3:4" ht="15" x14ac:dyDescent="0.25">
      <c r="C3364" s="8" t="e">
        <f>VLOOKUP(A:A,'ITEM LIST'!A:C,3,0)</f>
        <v>#N/A</v>
      </c>
      <c r="D3364" s="6">
        <f t="shared" si="53"/>
        <v>0</v>
      </c>
    </row>
    <row r="3365" spans="3:4" ht="15" x14ac:dyDescent="0.25">
      <c r="C3365" s="8" t="e">
        <f>VLOOKUP(A:A,'ITEM LIST'!A:C,3,0)</f>
        <v>#N/A</v>
      </c>
      <c r="D3365" s="6">
        <f t="shared" si="53"/>
        <v>0</v>
      </c>
    </row>
    <row r="3366" spans="3:4" ht="15" x14ac:dyDescent="0.25">
      <c r="C3366" s="8" t="e">
        <f>VLOOKUP(A:A,'ITEM LIST'!A:C,3,0)</f>
        <v>#N/A</v>
      </c>
      <c r="D3366" s="6">
        <f t="shared" si="53"/>
        <v>0</v>
      </c>
    </row>
    <row r="3367" spans="3:4" ht="15" x14ac:dyDescent="0.25">
      <c r="C3367" s="8" t="e">
        <f>VLOOKUP(A:A,'ITEM LIST'!A:C,3,0)</f>
        <v>#N/A</v>
      </c>
      <c r="D3367" s="6">
        <f t="shared" si="53"/>
        <v>0</v>
      </c>
    </row>
    <row r="3368" spans="3:4" ht="15" x14ac:dyDescent="0.25">
      <c r="C3368" s="8" t="e">
        <f>VLOOKUP(A:A,'ITEM LIST'!A:C,3,0)</f>
        <v>#N/A</v>
      </c>
      <c r="D3368" s="6">
        <f t="shared" si="53"/>
        <v>0</v>
      </c>
    </row>
    <row r="3369" spans="3:4" ht="15" x14ac:dyDescent="0.25">
      <c r="C3369" s="8" t="e">
        <f>VLOOKUP(A:A,'ITEM LIST'!A:C,3,0)</f>
        <v>#N/A</v>
      </c>
      <c r="D3369" s="6">
        <f t="shared" si="53"/>
        <v>0</v>
      </c>
    </row>
    <row r="3370" spans="3:4" ht="15" x14ac:dyDescent="0.25">
      <c r="C3370" s="8" t="e">
        <f>VLOOKUP(A:A,'ITEM LIST'!A:C,3,0)</f>
        <v>#N/A</v>
      </c>
      <c r="D3370" s="6">
        <f t="shared" si="53"/>
        <v>0</v>
      </c>
    </row>
    <row r="3371" spans="3:4" ht="15" x14ac:dyDescent="0.25">
      <c r="C3371" s="8" t="e">
        <f>VLOOKUP(A:A,'ITEM LIST'!A:C,3,0)</f>
        <v>#N/A</v>
      </c>
      <c r="D3371" s="6">
        <f t="shared" si="53"/>
        <v>0</v>
      </c>
    </row>
    <row r="3372" spans="3:4" ht="15" x14ac:dyDescent="0.25">
      <c r="C3372" s="8" t="e">
        <f>VLOOKUP(A:A,'ITEM LIST'!A:C,3,0)</f>
        <v>#N/A</v>
      </c>
      <c r="D3372" s="6">
        <f t="shared" si="53"/>
        <v>0</v>
      </c>
    </row>
    <row r="3373" spans="3:4" ht="15" x14ac:dyDescent="0.25">
      <c r="C3373" s="8" t="e">
        <f>VLOOKUP(A:A,'ITEM LIST'!A:C,3,0)</f>
        <v>#N/A</v>
      </c>
      <c r="D3373" s="6">
        <f t="shared" si="53"/>
        <v>0</v>
      </c>
    </row>
    <row r="3374" spans="3:4" ht="15" x14ac:dyDescent="0.25">
      <c r="C3374" s="8" t="e">
        <f>VLOOKUP(A:A,'ITEM LIST'!A:C,3,0)</f>
        <v>#N/A</v>
      </c>
      <c r="D3374" s="6">
        <f t="shared" si="53"/>
        <v>0</v>
      </c>
    </row>
    <row r="3375" spans="3:4" ht="15" x14ac:dyDescent="0.25">
      <c r="C3375" s="8" t="e">
        <f>VLOOKUP(A:A,'ITEM LIST'!A:C,3,0)</f>
        <v>#N/A</v>
      </c>
      <c r="D3375" s="6">
        <f t="shared" si="53"/>
        <v>0</v>
      </c>
    </row>
    <row r="3376" spans="3:4" ht="15" x14ac:dyDescent="0.25">
      <c r="C3376" s="8" t="e">
        <f>VLOOKUP(A:A,'ITEM LIST'!A:C,3,0)</f>
        <v>#N/A</v>
      </c>
      <c r="D3376" s="6">
        <f t="shared" si="53"/>
        <v>0</v>
      </c>
    </row>
    <row r="3377" spans="3:4" ht="15" x14ac:dyDescent="0.25">
      <c r="C3377" s="8" t="e">
        <f>VLOOKUP(A:A,'ITEM LIST'!A:C,3,0)</f>
        <v>#N/A</v>
      </c>
      <c r="D3377" s="6">
        <f t="shared" si="53"/>
        <v>0</v>
      </c>
    </row>
    <row r="3378" spans="3:4" ht="15" x14ac:dyDescent="0.25">
      <c r="C3378" s="8" t="e">
        <f>VLOOKUP(A:A,'ITEM LIST'!A:C,3,0)</f>
        <v>#N/A</v>
      </c>
      <c r="D3378" s="6">
        <f t="shared" si="53"/>
        <v>0</v>
      </c>
    </row>
    <row r="3379" spans="3:4" ht="15" x14ac:dyDescent="0.25">
      <c r="C3379" s="8" t="e">
        <f>VLOOKUP(A:A,'ITEM LIST'!A:C,3,0)</f>
        <v>#N/A</v>
      </c>
      <c r="D3379" s="6">
        <f t="shared" si="53"/>
        <v>0</v>
      </c>
    </row>
    <row r="3380" spans="3:4" ht="15" x14ac:dyDescent="0.25">
      <c r="C3380" s="8" t="e">
        <f>VLOOKUP(A:A,'ITEM LIST'!A:C,3,0)</f>
        <v>#N/A</v>
      </c>
      <c r="D3380" s="6">
        <f t="shared" si="53"/>
        <v>0</v>
      </c>
    </row>
    <row r="3381" spans="3:4" ht="15" x14ac:dyDescent="0.25">
      <c r="C3381" s="8" t="e">
        <f>VLOOKUP(A:A,'ITEM LIST'!A:C,3,0)</f>
        <v>#N/A</v>
      </c>
      <c r="D3381" s="6">
        <f t="shared" si="53"/>
        <v>0</v>
      </c>
    </row>
    <row r="3382" spans="3:4" ht="15" x14ac:dyDescent="0.25">
      <c r="C3382" s="8" t="e">
        <f>VLOOKUP(A:A,'ITEM LIST'!A:C,3,0)</f>
        <v>#N/A</v>
      </c>
      <c r="D3382" s="6">
        <f t="shared" si="53"/>
        <v>0</v>
      </c>
    </row>
    <row r="3383" spans="3:4" ht="15" x14ac:dyDescent="0.25">
      <c r="C3383" s="8" t="e">
        <f>VLOOKUP(A:A,'ITEM LIST'!A:C,3,0)</f>
        <v>#N/A</v>
      </c>
      <c r="D3383" s="6">
        <f t="shared" si="53"/>
        <v>0</v>
      </c>
    </row>
    <row r="3384" spans="3:4" ht="15" x14ac:dyDescent="0.25">
      <c r="C3384" s="8" t="e">
        <f>VLOOKUP(A:A,'ITEM LIST'!A:C,3,0)</f>
        <v>#N/A</v>
      </c>
      <c r="D3384" s="6">
        <f t="shared" si="53"/>
        <v>0</v>
      </c>
    </row>
    <row r="3385" spans="3:4" ht="15" x14ac:dyDescent="0.25">
      <c r="C3385" s="8" t="e">
        <f>VLOOKUP(A:A,'ITEM LIST'!A:C,3,0)</f>
        <v>#N/A</v>
      </c>
      <c r="D3385" s="6">
        <f t="shared" si="53"/>
        <v>0</v>
      </c>
    </row>
    <row r="3386" spans="3:4" ht="15" x14ac:dyDescent="0.25">
      <c r="C3386" s="8" t="e">
        <f>VLOOKUP(A:A,'ITEM LIST'!A:C,3,0)</f>
        <v>#N/A</v>
      </c>
      <c r="D3386" s="6">
        <f t="shared" si="53"/>
        <v>0</v>
      </c>
    </row>
    <row r="3387" spans="3:4" ht="15" x14ac:dyDescent="0.25">
      <c r="C3387" s="8" t="e">
        <f>VLOOKUP(A:A,'ITEM LIST'!A:C,3,0)</f>
        <v>#N/A</v>
      </c>
      <c r="D3387" s="6">
        <f t="shared" si="53"/>
        <v>0</v>
      </c>
    </row>
    <row r="3388" spans="3:4" ht="15" x14ac:dyDescent="0.25">
      <c r="C3388" s="8" t="e">
        <f>VLOOKUP(A:A,'ITEM LIST'!A:C,3,0)</f>
        <v>#N/A</v>
      </c>
      <c r="D3388" s="6">
        <f t="shared" si="53"/>
        <v>0</v>
      </c>
    </row>
    <row r="3389" spans="3:4" ht="15" x14ac:dyDescent="0.25">
      <c r="C3389" s="8" t="e">
        <f>VLOOKUP(A:A,'ITEM LIST'!A:C,3,0)</f>
        <v>#N/A</v>
      </c>
      <c r="D3389" s="6">
        <f t="shared" si="53"/>
        <v>0</v>
      </c>
    </row>
    <row r="3390" spans="3:4" ht="15" x14ac:dyDescent="0.25">
      <c r="C3390" s="8" t="e">
        <f>VLOOKUP(A:A,'ITEM LIST'!A:C,3,0)</f>
        <v>#N/A</v>
      </c>
      <c r="D3390" s="6">
        <f t="shared" si="53"/>
        <v>0</v>
      </c>
    </row>
    <row r="3391" spans="3:4" ht="15" x14ac:dyDescent="0.25">
      <c r="C3391" s="8" t="e">
        <f>VLOOKUP(A:A,'ITEM LIST'!A:C,3,0)</f>
        <v>#N/A</v>
      </c>
      <c r="D3391" s="6">
        <f t="shared" si="53"/>
        <v>0</v>
      </c>
    </row>
    <row r="3392" spans="3:4" ht="15" x14ac:dyDescent="0.25">
      <c r="C3392" s="8" t="e">
        <f>VLOOKUP(A:A,'ITEM LIST'!A:C,3,0)</f>
        <v>#N/A</v>
      </c>
      <c r="D3392" s="6">
        <f t="shared" si="53"/>
        <v>0</v>
      </c>
    </row>
    <row r="3393" spans="3:4" ht="15" x14ac:dyDescent="0.25">
      <c r="C3393" s="8" t="e">
        <f>VLOOKUP(A:A,'ITEM LIST'!A:C,3,0)</f>
        <v>#N/A</v>
      </c>
      <c r="D3393" s="6">
        <f t="shared" si="53"/>
        <v>0</v>
      </c>
    </row>
    <row r="3394" spans="3:4" ht="15" x14ac:dyDescent="0.25">
      <c r="C3394" s="8" t="e">
        <f>VLOOKUP(A:A,'ITEM LIST'!A:C,3,0)</f>
        <v>#N/A</v>
      </c>
      <c r="D3394" s="6">
        <f t="shared" si="53"/>
        <v>0</v>
      </c>
    </row>
    <row r="3395" spans="3:4" ht="15" x14ac:dyDescent="0.25">
      <c r="C3395" s="8" t="e">
        <f>VLOOKUP(A:A,'ITEM LIST'!A:C,3,0)</f>
        <v>#N/A</v>
      </c>
      <c r="D3395" s="6">
        <f t="shared" si="53"/>
        <v>0</v>
      </c>
    </row>
    <row r="3396" spans="3:4" ht="15" x14ac:dyDescent="0.25">
      <c r="C3396" s="8" t="e">
        <f>VLOOKUP(A:A,'ITEM LIST'!A:C,3,0)</f>
        <v>#N/A</v>
      </c>
      <c r="D3396" s="6">
        <f t="shared" si="53"/>
        <v>0</v>
      </c>
    </row>
    <row r="3397" spans="3:4" ht="15" x14ac:dyDescent="0.25">
      <c r="C3397" s="8" t="e">
        <f>VLOOKUP(A:A,'ITEM LIST'!A:C,3,0)</f>
        <v>#N/A</v>
      </c>
      <c r="D3397" s="6">
        <f t="shared" si="53"/>
        <v>0</v>
      </c>
    </row>
    <row r="3398" spans="3:4" ht="15" x14ac:dyDescent="0.25">
      <c r="C3398" s="8" t="e">
        <f>VLOOKUP(A:A,'ITEM LIST'!A:C,3,0)</f>
        <v>#N/A</v>
      </c>
      <c r="D3398" s="6">
        <f t="shared" ref="D3398:D3461" si="54">B3398</f>
        <v>0</v>
      </c>
    </row>
    <row r="3399" spans="3:4" ht="15" x14ac:dyDescent="0.25">
      <c r="C3399" s="8" t="e">
        <f>VLOOKUP(A:A,'ITEM LIST'!A:C,3,0)</f>
        <v>#N/A</v>
      </c>
      <c r="D3399" s="6">
        <f t="shared" si="54"/>
        <v>0</v>
      </c>
    </row>
    <row r="3400" spans="3:4" ht="15" x14ac:dyDescent="0.25">
      <c r="C3400" s="8" t="e">
        <f>VLOOKUP(A:A,'ITEM LIST'!A:C,3,0)</f>
        <v>#N/A</v>
      </c>
      <c r="D3400" s="6">
        <f t="shared" si="54"/>
        <v>0</v>
      </c>
    </row>
    <row r="3401" spans="3:4" ht="15" x14ac:dyDescent="0.25">
      <c r="C3401" s="8" t="e">
        <f>VLOOKUP(A:A,'ITEM LIST'!A:C,3,0)</f>
        <v>#N/A</v>
      </c>
      <c r="D3401" s="6">
        <f t="shared" si="54"/>
        <v>0</v>
      </c>
    </row>
    <row r="3402" spans="3:4" ht="15" x14ac:dyDescent="0.25">
      <c r="C3402" s="8" t="e">
        <f>VLOOKUP(A:A,'ITEM LIST'!A:C,3,0)</f>
        <v>#N/A</v>
      </c>
      <c r="D3402" s="6">
        <f t="shared" si="54"/>
        <v>0</v>
      </c>
    </row>
    <row r="3403" spans="3:4" ht="15" x14ac:dyDescent="0.25">
      <c r="C3403" s="8" t="e">
        <f>VLOOKUP(A:A,'ITEM LIST'!A:C,3,0)</f>
        <v>#N/A</v>
      </c>
      <c r="D3403" s="6">
        <f t="shared" si="54"/>
        <v>0</v>
      </c>
    </row>
    <row r="3404" spans="3:4" ht="15" x14ac:dyDescent="0.25">
      <c r="C3404" s="8" t="e">
        <f>VLOOKUP(A:A,'ITEM LIST'!A:C,3,0)</f>
        <v>#N/A</v>
      </c>
      <c r="D3404" s="6">
        <f t="shared" si="54"/>
        <v>0</v>
      </c>
    </row>
    <row r="3405" spans="3:4" ht="15" x14ac:dyDescent="0.25">
      <c r="C3405" s="8" t="e">
        <f>VLOOKUP(A:A,'ITEM LIST'!A:C,3,0)</f>
        <v>#N/A</v>
      </c>
      <c r="D3405" s="6">
        <f t="shared" si="54"/>
        <v>0</v>
      </c>
    </row>
    <row r="3406" spans="3:4" ht="15" x14ac:dyDescent="0.25">
      <c r="C3406" s="8" t="e">
        <f>VLOOKUP(A:A,'ITEM LIST'!A:C,3,0)</f>
        <v>#N/A</v>
      </c>
      <c r="D3406" s="6">
        <f t="shared" si="54"/>
        <v>0</v>
      </c>
    </row>
    <row r="3407" spans="3:4" ht="15" x14ac:dyDescent="0.25">
      <c r="C3407" s="8" t="e">
        <f>VLOOKUP(A:A,'ITEM LIST'!A:C,3,0)</f>
        <v>#N/A</v>
      </c>
      <c r="D3407" s="6">
        <f t="shared" si="54"/>
        <v>0</v>
      </c>
    </row>
    <row r="3408" spans="3:4" ht="15" x14ac:dyDescent="0.25">
      <c r="C3408" s="8" t="e">
        <f>VLOOKUP(A:A,'ITEM LIST'!A:C,3,0)</f>
        <v>#N/A</v>
      </c>
      <c r="D3408" s="6">
        <f t="shared" si="54"/>
        <v>0</v>
      </c>
    </row>
    <row r="3409" spans="3:4" ht="15" x14ac:dyDescent="0.25">
      <c r="C3409" s="8" t="e">
        <f>VLOOKUP(A:A,'ITEM LIST'!A:C,3,0)</f>
        <v>#N/A</v>
      </c>
      <c r="D3409" s="6">
        <f t="shared" si="54"/>
        <v>0</v>
      </c>
    </row>
    <row r="3410" spans="3:4" ht="15" x14ac:dyDescent="0.25">
      <c r="C3410" s="8" t="e">
        <f>VLOOKUP(A:A,'ITEM LIST'!A:C,3,0)</f>
        <v>#N/A</v>
      </c>
      <c r="D3410" s="6">
        <f t="shared" si="54"/>
        <v>0</v>
      </c>
    </row>
    <row r="3411" spans="3:4" ht="15" x14ac:dyDescent="0.25">
      <c r="C3411" s="8" t="e">
        <f>VLOOKUP(A:A,'ITEM LIST'!A:C,3,0)</f>
        <v>#N/A</v>
      </c>
      <c r="D3411" s="6">
        <f t="shared" si="54"/>
        <v>0</v>
      </c>
    </row>
    <row r="3412" spans="3:4" ht="15" x14ac:dyDescent="0.25">
      <c r="C3412" s="8" t="e">
        <f>VLOOKUP(A:A,'ITEM LIST'!A:C,3,0)</f>
        <v>#N/A</v>
      </c>
      <c r="D3412" s="6">
        <f t="shared" si="54"/>
        <v>0</v>
      </c>
    </row>
    <row r="3413" spans="3:4" ht="15" x14ac:dyDescent="0.25">
      <c r="C3413" s="8" t="e">
        <f>VLOOKUP(A:A,'ITEM LIST'!A:C,3,0)</f>
        <v>#N/A</v>
      </c>
      <c r="D3413" s="6">
        <f t="shared" si="54"/>
        <v>0</v>
      </c>
    </row>
    <row r="3414" spans="3:4" ht="15" x14ac:dyDescent="0.25">
      <c r="C3414" s="8" t="e">
        <f>VLOOKUP(A:A,'ITEM LIST'!A:C,3,0)</f>
        <v>#N/A</v>
      </c>
      <c r="D3414" s="6">
        <f t="shared" si="54"/>
        <v>0</v>
      </c>
    </row>
    <row r="3415" spans="3:4" ht="15" x14ac:dyDescent="0.25">
      <c r="C3415" s="8" t="e">
        <f>VLOOKUP(A:A,'ITEM LIST'!A:C,3,0)</f>
        <v>#N/A</v>
      </c>
      <c r="D3415" s="6">
        <f t="shared" si="54"/>
        <v>0</v>
      </c>
    </row>
    <row r="3416" spans="3:4" ht="15" x14ac:dyDescent="0.25">
      <c r="C3416" s="8" t="e">
        <f>VLOOKUP(A:A,'ITEM LIST'!A:C,3,0)</f>
        <v>#N/A</v>
      </c>
      <c r="D3416" s="6">
        <f t="shared" si="54"/>
        <v>0</v>
      </c>
    </row>
    <row r="3417" spans="3:4" ht="15" x14ac:dyDescent="0.25">
      <c r="C3417" s="8" t="e">
        <f>VLOOKUP(A:A,'ITEM LIST'!A:C,3,0)</f>
        <v>#N/A</v>
      </c>
      <c r="D3417" s="6">
        <f t="shared" si="54"/>
        <v>0</v>
      </c>
    </row>
    <row r="3418" spans="3:4" ht="15" x14ac:dyDescent="0.25">
      <c r="C3418" s="8" t="e">
        <f>VLOOKUP(A:A,'ITEM LIST'!A:C,3,0)</f>
        <v>#N/A</v>
      </c>
      <c r="D3418" s="6">
        <f t="shared" si="54"/>
        <v>0</v>
      </c>
    </row>
    <row r="3419" spans="3:4" ht="15" x14ac:dyDescent="0.25">
      <c r="C3419" s="8" t="e">
        <f>VLOOKUP(A:A,'ITEM LIST'!A:C,3,0)</f>
        <v>#N/A</v>
      </c>
      <c r="D3419" s="6">
        <f t="shared" si="54"/>
        <v>0</v>
      </c>
    </row>
    <row r="3420" spans="3:4" ht="15" x14ac:dyDescent="0.25">
      <c r="C3420" s="8" t="e">
        <f>VLOOKUP(A:A,'ITEM LIST'!A:C,3,0)</f>
        <v>#N/A</v>
      </c>
      <c r="D3420" s="6">
        <f t="shared" si="54"/>
        <v>0</v>
      </c>
    </row>
    <row r="3421" spans="3:4" ht="15" x14ac:dyDescent="0.25">
      <c r="C3421" s="8" t="e">
        <f>VLOOKUP(A:A,'ITEM LIST'!A:C,3,0)</f>
        <v>#N/A</v>
      </c>
      <c r="D3421" s="6">
        <f t="shared" si="54"/>
        <v>0</v>
      </c>
    </row>
    <row r="3422" spans="3:4" ht="15" x14ac:dyDescent="0.25">
      <c r="C3422" s="8" t="e">
        <f>VLOOKUP(A:A,'ITEM LIST'!A:C,3,0)</f>
        <v>#N/A</v>
      </c>
      <c r="D3422" s="6">
        <f t="shared" si="54"/>
        <v>0</v>
      </c>
    </row>
    <row r="3423" spans="3:4" ht="15" x14ac:dyDescent="0.25">
      <c r="C3423" s="8" t="e">
        <f>VLOOKUP(A:A,'ITEM LIST'!A:C,3,0)</f>
        <v>#N/A</v>
      </c>
      <c r="D3423" s="6">
        <f t="shared" si="54"/>
        <v>0</v>
      </c>
    </row>
    <row r="3424" spans="3:4" ht="15" x14ac:dyDescent="0.25">
      <c r="C3424" s="8" t="e">
        <f>VLOOKUP(A:A,'ITEM LIST'!A:C,3,0)</f>
        <v>#N/A</v>
      </c>
      <c r="D3424" s="6">
        <f t="shared" si="54"/>
        <v>0</v>
      </c>
    </row>
    <row r="3425" spans="3:4" ht="15" x14ac:dyDescent="0.25">
      <c r="C3425" s="8" t="e">
        <f>VLOOKUP(A:A,'ITEM LIST'!A:C,3,0)</f>
        <v>#N/A</v>
      </c>
      <c r="D3425" s="6">
        <f t="shared" si="54"/>
        <v>0</v>
      </c>
    </row>
    <row r="3426" spans="3:4" ht="15" x14ac:dyDescent="0.25">
      <c r="C3426" s="8" t="e">
        <f>VLOOKUP(A:A,'ITEM LIST'!A:C,3,0)</f>
        <v>#N/A</v>
      </c>
      <c r="D3426" s="6">
        <f t="shared" si="54"/>
        <v>0</v>
      </c>
    </row>
    <row r="3427" spans="3:4" ht="15" x14ac:dyDescent="0.25">
      <c r="C3427" s="8" t="e">
        <f>VLOOKUP(A:A,'ITEM LIST'!A:C,3,0)</f>
        <v>#N/A</v>
      </c>
      <c r="D3427" s="6">
        <f t="shared" si="54"/>
        <v>0</v>
      </c>
    </row>
    <row r="3428" spans="3:4" ht="15" x14ac:dyDescent="0.25">
      <c r="C3428" s="8" t="e">
        <f>VLOOKUP(A:A,'ITEM LIST'!A:C,3,0)</f>
        <v>#N/A</v>
      </c>
      <c r="D3428" s="6">
        <f t="shared" si="54"/>
        <v>0</v>
      </c>
    </row>
    <row r="3429" spans="3:4" ht="15" x14ac:dyDescent="0.25">
      <c r="C3429" s="8" t="e">
        <f>VLOOKUP(A:A,'ITEM LIST'!A:C,3,0)</f>
        <v>#N/A</v>
      </c>
      <c r="D3429" s="6">
        <f t="shared" si="54"/>
        <v>0</v>
      </c>
    </row>
    <row r="3430" spans="3:4" ht="15" x14ac:dyDescent="0.25">
      <c r="C3430" s="8" t="e">
        <f>VLOOKUP(A:A,'ITEM LIST'!A:C,3,0)</f>
        <v>#N/A</v>
      </c>
      <c r="D3430" s="6">
        <f t="shared" si="54"/>
        <v>0</v>
      </c>
    </row>
    <row r="3431" spans="3:4" ht="15" x14ac:dyDescent="0.25">
      <c r="C3431" s="8" t="e">
        <f>VLOOKUP(A:A,'ITEM LIST'!A:C,3,0)</f>
        <v>#N/A</v>
      </c>
      <c r="D3431" s="6">
        <f t="shared" si="54"/>
        <v>0</v>
      </c>
    </row>
    <row r="3432" spans="3:4" ht="15" x14ac:dyDescent="0.25">
      <c r="C3432" s="8" t="e">
        <f>VLOOKUP(A:A,'ITEM LIST'!A:C,3,0)</f>
        <v>#N/A</v>
      </c>
      <c r="D3432" s="6">
        <f t="shared" si="54"/>
        <v>0</v>
      </c>
    </row>
    <row r="3433" spans="3:4" ht="15" x14ac:dyDescent="0.25">
      <c r="C3433" s="8" t="e">
        <f>VLOOKUP(A:A,'ITEM LIST'!A:C,3,0)</f>
        <v>#N/A</v>
      </c>
      <c r="D3433" s="6">
        <f t="shared" si="54"/>
        <v>0</v>
      </c>
    </row>
    <row r="3434" spans="3:4" ht="15" x14ac:dyDescent="0.25">
      <c r="C3434" s="8" t="e">
        <f>VLOOKUP(A:A,'ITEM LIST'!A:C,3,0)</f>
        <v>#N/A</v>
      </c>
      <c r="D3434" s="6">
        <f t="shared" si="54"/>
        <v>0</v>
      </c>
    </row>
    <row r="3435" spans="3:4" ht="15" x14ac:dyDescent="0.25">
      <c r="C3435" s="8" t="e">
        <f>VLOOKUP(A:A,'ITEM LIST'!A:C,3,0)</f>
        <v>#N/A</v>
      </c>
      <c r="D3435" s="6">
        <f t="shared" si="54"/>
        <v>0</v>
      </c>
    </row>
    <row r="3436" spans="3:4" ht="15" x14ac:dyDescent="0.25">
      <c r="C3436" s="8" t="e">
        <f>VLOOKUP(A:A,'ITEM LIST'!A:C,3,0)</f>
        <v>#N/A</v>
      </c>
      <c r="D3436" s="6">
        <f t="shared" si="54"/>
        <v>0</v>
      </c>
    </row>
    <row r="3437" spans="3:4" ht="15" x14ac:dyDescent="0.25">
      <c r="C3437" s="8" t="e">
        <f>VLOOKUP(A:A,'ITEM LIST'!A:C,3,0)</f>
        <v>#N/A</v>
      </c>
      <c r="D3437" s="6">
        <f t="shared" si="54"/>
        <v>0</v>
      </c>
    </row>
    <row r="3438" spans="3:4" ht="15" x14ac:dyDescent="0.25">
      <c r="C3438" s="8" t="e">
        <f>VLOOKUP(A:A,'ITEM LIST'!A:C,3,0)</f>
        <v>#N/A</v>
      </c>
      <c r="D3438" s="6">
        <f t="shared" si="54"/>
        <v>0</v>
      </c>
    </row>
    <row r="3439" spans="3:4" ht="15" x14ac:dyDescent="0.25">
      <c r="C3439" s="8" t="e">
        <f>VLOOKUP(A:A,'ITEM LIST'!A:C,3,0)</f>
        <v>#N/A</v>
      </c>
      <c r="D3439" s="6">
        <f t="shared" si="54"/>
        <v>0</v>
      </c>
    </row>
    <row r="3440" spans="3:4" ht="15" x14ac:dyDescent="0.25">
      <c r="C3440" s="8" t="e">
        <f>VLOOKUP(A:A,'ITEM LIST'!A:C,3,0)</f>
        <v>#N/A</v>
      </c>
      <c r="D3440" s="6">
        <f t="shared" si="54"/>
        <v>0</v>
      </c>
    </row>
    <row r="3441" spans="3:4" ht="15" x14ac:dyDescent="0.25">
      <c r="C3441" s="8" t="e">
        <f>VLOOKUP(A:A,'ITEM LIST'!A:C,3,0)</f>
        <v>#N/A</v>
      </c>
      <c r="D3441" s="6">
        <f t="shared" si="54"/>
        <v>0</v>
      </c>
    </row>
    <row r="3442" spans="3:4" ht="15" x14ac:dyDescent="0.25">
      <c r="C3442" s="8" t="e">
        <f>VLOOKUP(A:A,'ITEM LIST'!A:C,3,0)</f>
        <v>#N/A</v>
      </c>
      <c r="D3442" s="6">
        <f t="shared" si="54"/>
        <v>0</v>
      </c>
    </row>
    <row r="3443" spans="3:4" ht="15" x14ac:dyDescent="0.25">
      <c r="C3443" s="8" t="e">
        <f>VLOOKUP(A:A,'ITEM LIST'!A:C,3,0)</f>
        <v>#N/A</v>
      </c>
      <c r="D3443" s="6">
        <f t="shared" si="54"/>
        <v>0</v>
      </c>
    </row>
    <row r="3444" spans="3:4" ht="15" x14ac:dyDescent="0.25">
      <c r="C3444" s="8" t="e">
        <f>VLOOKUP(A:A,'ITEM LIST'!A:C,3,0)</f>
        <v>#N/A</v>
      </c>
      <c r="D3444" s="6">
        <f t="shared" si="54"/>
        <v>0</v>
      </c>
    </row>
    <row r="3445" spans="3:4" ht="15" x14ac:dyDescent="0.25">
      <c r="C3445" s="8" t="e">
        <f>VLOOKUP(A:A,'ITEM LIST'!A:C,3,0)</f>
        <v>#N/A</v>
      </c>
      <c r="D3445" s="6">
        <f t="shared" si="54"/>
        <v>0</v>
      </c>
    </row>
    <row r="3446" spans="3:4" ht="15" x14ac:dyDescent="0.25">
      <c r="C3446" s="8" t="e">
        <f>VLOOKUP(A:A,'ITEM LIST'!A:C,3,0)</f>
        <v>#N/A</v>
      </c>
      <c r="D3446" s="6">
        <f t="shared" si="54"/>
        <v>0</v>
      </c>
    </row>
    <row r="3447" spans="3:4" ht="15" x14ac:dyDescent="0.25">
      <c r="C3447" s="8" t="e">
        <f>VLOOKUP(A:A,'ITEM LIST'!A:C,3,0)</f>
        <v>#N/A</v>
      </c>
      <c r="D3447" s="6">
        <f t="shared" si="54"/>
        <v>0</v>
      </c>
    </row>
    <row r="3448" spans="3:4" ht="15" x14ac:dyDescent="0.25">
      <c r="C3448" s="8" t="e">
        <f>VLOOKUP(A:A,'ITEM LIST'!A:C,3,0)</f>
        <v>#N/A</v>
      </c>
      <c r="D3448" s="6">
        <f t="shared" si="54"/>
        <v>0</v>
      </c>
    </row>
    <row r="3449" spans="3:4" ht="15" x14ac:dyDescent="0.25">
      <c r="C3449" s="8" t="e">
        <f>VLOOKUP(A:A,'ITEM LIST'!A:C,3,0)</f>
        <v>#N/A</v>
      </c>
      <c r="D3449" s="6">
        <f t="shared" si="54"/>
        <v>0</v>
      </c>
    </row>
    <row r="3450" spans="3:4" ht="15" x14ac:dyDescent="0.25">
      <c r="C3450" s="8" t="e">
        <f>VLOOKUP(A:A,'ITEM LIST'!A:C,3,0)</f>
        <v>#N/A</v>
      </c>
      <c r="D3450" s="6">
        <f t="shared" si="54"/>
        <v>0</v>
      </c>
    </row>
    <row r="3451" spans="3:4" ht="15" x14ac:dyDescent="0.25">
      <c r="C3451" s="8" t="e">
        <f>VLOOKUP(A:A,'ITEM LIST'!A:C,3,0)</f>
        <v>#N/A</v>
      </c>
      <c r="D3451" s="6">
        <f t="shared" si="54"/>
        <v>0</v>
      </c>
    </row>
    <row r="3452" spans="3:4" ht="15" x14ac:dyDescent="0.25">
      <c r="C3452" s="8" t="e">
        <f>VLOOKUP(A:A,'ITEM LIST'!A:C,3,0)</f>
        <v>#N/A</v>
      </c>
      <c r="D3452" s="6">
        <f t="shared" si="54"/>
        <v>0</v>
      </c>
    </row>
    <row r="3453" spans="3:4" ht="15" x14ac:dyDescent="0.25">
      <c r="C3453" s="8" t="e">
        <f>VLOOKUP(A:A,'ITEM LIST'!A:C,3,0)</f>
        <v>#N/A</v>
      </c>
      <c r="D3453" s="6">
        <f t="shared" si="54"/>
        <v>0</v>
      </c>
    </row>
    <row r="3454" spans="3:4" ht="15" x14ac:dyDescent="0.25">
      <c r="C3454" s="8" t="e">
        <f>VLOOKUP(A:A,'ITEM LIST'!A:C,3,0)</f>
        <v>#N/A</v>
      </c>
      <c r="D3454" s="6">
        <f t="shared" si="54"/>
        <v>0</v>
      </c>
    </row>
    <row r="3455" spans="3:4" ht="15" x14ac:dyDescent="0.25">
      <c r="C3455" s="8" t="e">
        <f>VLOOKUP(A:A,'ITEM LIST'!A:C,3,0)</f>
        <v>#N/A</v>
      </c>
      <c r="D3455" s="6">
        <f t="shared" si="54"/>
        <v>0</v>
      </c>
    </row>
    <row r="3456" spans="3:4" ht="15" x14ac:dyDescent="0.25">
      <c r="C3456" s="8" t="e">
        <f>VLOOKUP(A:A,'ITEM LIST'!A:C,3,0)</f>
        <v>#N/A</v>
      </c>
      <c r="D3456" s="6">
        <f t="shared" si="54"/>
        <v>0</v>
      </c>
    </row>
    <row r="3457" spans="3:4" ht="15" x14ac:dyDescent="0.25">
      <c r="C3457" s="8" t="e">
        <f>VLOOKUP(A:A,'ITEM LIST'!A:C,3,0)</f>
        <v>#N/A</v>
      </c>
      <c r="D3457" s="6">
        <f t="shared" si="54"/>
        <v>0</v>
      </c>
    </row>
    <row r="3458" spans="3:4" ht="15" x14ac:dyDescent="0.25">
      <c r="C3458" s="8" t="e">
        <f>VLOOKUP(A:A,'ITEM LIST'!A:C,3,0)</f>
        <v>#N/A</v>
      </c>
      <c r="D3458" s="6">
        <f t="shared" si="54"/>
        <v>0</v>
      </c>
    </row>
    <row r="3459" spans="3:4" ht="15" x14ac:dyDescent="0.25">
      <c r="C3459" s="8" t="e">
        <f>VLOOKUP(A:A,'ITEM LIST'!A:C,3,0)</f>
        <v>#N/A</v>
      </c>
      <c r="D3459" s="6">
        <f t="shared" si="54"/>
        <v>0</v>
      </c>
    </row>
    <row r="3460" spans="3:4" ht="15" x14ac:dyDescent="0.25">
      <c r="C3460" s="8" t="e">
        <f>VLOOKUP(A:A,'ITEM LIST'!A:C,3,0)</f>
        <v>#N/A</v>
      </c>
      <c r="D3460" s="6">
        <f t="shared" si="54"/>
        <v>0</v>
      </c>
    </row>
    <row r="3461" spans="3:4" ht="15" x14ac:dyDescent="0.25">
      <c r="C3461" s="8" t="e">
        <f>VLOOKUP(A:A,'ITEM LIST'!A:C,3,0)</f>
        <v>#N/A</v>
      </c>
      <c r="D3461" s="6">
        <f t="shared" si="54"/>
        <v>0</v>
      </c>
    </row>
    <row r="3462" spans="3:4" ht="15" x14ac:dyDescent="0.25">
      <c r="C3462" s="8" t="e">
        <f>VLOOKUP(A:A,'ITEM LIST'!A:C,3,0)</f>
        <v>#N/A</v>
      </c>
      <c r="D3462" s="6">
        <f t="shared" ref="D3462:D3525" si="55">B3462</f>
        <v>0</v>
      </c>
    </row>
    <row r="3463" spans="3:4" ht="15" x14ac:dyDescent="0.25">
      <c r="C3463" s="8" t="e">
        <f>VLOOKUP(A:A,'ITEM LIST'!A:C,3,0)</f>
        <v>#N/A</v>
      </c>
      <c r="D3463" s="6">
        <f t="shared" si="55"/>
        <v>0</v>
      </c>
    </row>
    <row r="3464" spans="3:4" ht="15" x14ac:dyDescent="0.25">
      <c r="C3464" s="8" t="e">
        <f>VLOOKUP(A:A,'ITEM LIST'!A:C,3,0)</f>
        <v>#N/A</v>
      </c>
      <c r="D3464" s="6">
        <f t="shared" si="55"/>
        <v>0</v>
      </c>
    </row>
    <row r="3465" spans="3:4" ht="15" x14ac:dyDescent="0.25">
      <c r="C3465" s="8" t="e">
        <f>VLOOKUP(A:A,'ITEM LIST'!A:C,3,0)</f>
        <v>#N/A</v>
      </c>
      <c r="D3465" s="6">
        <f t="shared" si="55"/>
        <v>0</v>
      </c>
    </row>
    <row r="3466" spans="3:4" ht="15" x14ac:dyDescent="0.25">
      <c r="C3466" s="8" t="e">
        <f>VLOOKUP(A:A,'ITEM LIST'!A:C,3,0)</f>
        <v>#N/A</v>
      </c>
      <c r="D3466" s="6">
        <f t="shared" si="55"/>
        <v>0</v>
      </c>
    </row>
    <row r="3467" spans="3:4" ht="15" x14ac:dyDescent="0.25">
      <c r="C3467" s="8" t="e">
        <f>VLOOKUP(A:A,'ITEM LIST'!A:C,3,0)</f>
        <v>#N/A</v>
      </c>
      <c r="D3467" s="6">
        <f t="shared" si="55"/>
        <v>0</v>
      </c>
    </row>
    <row r="3468" spans="3:4" ht="15" x14ac:dyDescent="0.25">
      <c r="C3468" s="8" t="e">
        <f>VLOOKUP(A:A,'ITEM LIST'!A:C,3,0)</f>
        <v>#N/A</v>
      </c>
      <c r="D3468" s="6">
        <f t="shared" si="55"/>
        <v>0</v>
      </c>
    </row>
    <row r="3469" spans="3:4" ht="15" x14ac:dyDescent="0.25">
      <c r="C3469" s="8" t="e">
        <f>VLOOKUP(A:A,'ITEM LIST'!A:C,3,0)</f>
        <v>#N/A</v>
      </c>
      <c r="D3469" s="6">
        <f t="shared" si="55"/>
        <v>0</v>
      </c>
    </row>
    <row r="3470" spans="3:4" ht="15" x14ac:dyDescent="0.25">
      <c r="C3470" s="8" t="e">
        <f>VLOOKUP(A:A,'ITEM LIST'!A:C,3,0)</f>
        <v>#N/A</v>
      </c>
      <c r="D3470" s="6">
        <f t="shared" si="55"/>
        <v>0</v>
      </c>
    </row>
    <row r="3471" spans="3:4" ht="15" x14ac:dyDescent="0.25">
      <c r="C3471" s="8" t="e">
        <f>VLOOKUP(A:A,'ITEM LIST'!A:C,3,0)</f>
        <v>#N/A</v>
      </c>
      <c r="D3471" s="6">
        <f t="shared" si="55"/>
        <v>0</v>
      </c>
    </row>
    <row r="3472" spans="3:4" ht="15" x14ac:dyDescent="0.25">
      <c r="C3472" s="8" t="e">
        <f>VLOOKUP(A:A,'ITEM LIST'!A:C,3,0)</f>
        <v>#N/A</v>
      </c>
      <c r="D3472" s="6">
        <f t="shared" si="55"/>
        <v>0</v>
      </c>
    </row>
    <row r="3473" spans="3:4" ht="15" x14ac:dyDescent="0.25">
      <c r="C3473" s="8" t="e">
        <f>VLOOKUP(A:A,'ITEM LIST'!A:C,3,0)</f>
        <v>#N/A</v>
      </c>
      <c r="D3473" s="6">
        <f t="shared" si="55"/>
        <v>0</v>
      </c>
    </row>
    <row r="3474" spans="3:4" ht="15" x14ac:dyDescent="0.25">
      <c r="C3474" s="8" t="e">
        <f>VLOOKUP(A:A,'ITEM LIST'!A:C,3,0)</f>
        <v>#N/A</v>
      </c>
      <c r="D3474" s="6">
        <f t="shared" si="55"/>
        <v>0</v>
      </c>
    </row>
    <row r="3475" spans="3:4" ht="15" x14ac:dyDescent="0.25">
      <c r="C3475" s="8" t="e">
        <f>VLOOKUP(A:A,'ITEM LIST'!A:C,3,0)</f>
        <v>#N/A</v>
      </c>
      <c r="D3475" s="6">
        <f t="shared" si="55"/>
        <v>0</v>
      </c>
    </row>
    <row r="3476" spans="3:4" ht="15" x14ac:dyDescent="0.25">
      <c r="C3476" s="8" t="e">
        <f>VLOOKUP(A:A,'ITEM LIST'!A:C,3,0)</f>
        <v>#N/A</v>
      </c>
      <c r="D3476" s="6">
        <f t="shared" si="55"/>
        <v>0</v>
      </c>
    </row>
    <row r="3477" spans="3:4" ht="15" x14ac:dyDescent="0.25">
      <c r="C3477" s="8" t="e">
        <f>VLOOKUP(A:A,'ITEM LIST'!A:C,3,0)</f>
        <v>#N/A</v>
      </c>
      <c r="D3477" s="6">
        <f t="shared" si="55"/>
        <v>0</v>
      </c>
    </row>
    <row r="3478" spans="3:4" ht="15" x14ac:dyDescent="0.25">
      <c r="C3478" s="8" t="e">
        <f>VLOOKUP(A:A,'ITEM LIST'!A:C,3,0)</f>
        <v>#N/A</v>
      </c>
      <c r="D3478" s="6">
        <f t="shared" si="55"/>
        <v>0</v>
      </c>
    </row>
    <row r="3479" spans="3:4" ht="15" x14ac:dyDescent="0.25">
      <c r="C3479" s="8" t="e">
        <f>VLOOKUP(A:A,'ITEM LIST'!A:C,3,0)</f>
        <v>#N/A</v>
      </c>
      <c r="D3479" s="6">
        <f t="shared" si="55"/>
        <v>0</v>
      </c>
    </row>
    <row r="3480" spans="3:4" ht="15" x14ac:dyDescent="0.25">
      <c r="C3480" s="8" t="e">
        <f>VLOOKUP(A:A,'ITEM LIST'!A:C,3,0)</f>
        <v>#N/A</v>
      </c>
      <c r="D3480" s="6">
        <f t="shared" si="55"/>
        <v>0</v>
      </c>
    </row>
    <row r="3481" spans="3:4" ht="15" x14ac:dyDescent="0.25">
      <c r="C3481" s="8" t="e">
        <f>VLOOKUP(A:A,'ITEM LIST'!A:C,3,0)</f>
        <v>#N/A</v>
      </c>
      <c r="D3481" s="6">
        <f t="shared" si="55"/>
        <v>0</v>
      </c>
    </row>
    <row r="3482" spans="3:4" ht="15" x14ac:dyDescent="0.25">
      <c r="C3482" s="8" t="e">
        <f>VLOOKUP(A:A,'ITEM LIST'!A:C,3,0)</f>
        <v>#N/A</v>
      </c>
      <c r="D3482" s="6">
        <f t="shared" si="55"/>
        <v>0</v>
      </c>
    </row>
    <row r="3483" spans="3:4" ht="15" x14ac:dyDescent="0.25">
      <c r="C3483" s="8" t="e">
        <f>VLOOKUP(A:A,'ITEM LIST'!A:C,3,0)</f>
        <v>#N/A</v>
      </c>
      <c r="D3483" s="6">
        <f t="shared" si="55"/>
        <v>0</v>
      </c>
    </row>
    <row r="3484" spans="3:4" ht="15" x14ac:dyDescent="0.25">
      <c r="C3484" s="8" t="e">
        <f>VLOOKUP(A:A,'ITEM LIST'!A:C,3,0)</f>
        <v>#N/A</v>
      </c>
      <c r="D3484" s="6">
        <f t="shared" si="55"/>
        <v>0</v>
      </c>
    </row>
    <row r="3485" spans="3:4" ht="15" x14ac:dyDescent="0.25">
      <c r="C3485" s="8" t="e">
        <f>VLOOKUP(A:A,'ITEM LIST'!A:C,3,0)</f>
        <v>#N/A</v>
      </c>
      <c r="D3485" s="6">
        <f t="shared" si="55"/>
        <v>0</v>
      </c>
    </row>
    <row r="3486" spans="3:4" ht="15" x14ac:dyDescent="0.25">
      <c r="C3486" s="8" t="e">
        <f>VLOOKUP(A:A,'ITEM LIST'!A:C,3,0)</f>
        <v>#N/A</v>
      </c>
      <c r="D3486" s="6">
        <f t="shared" si="55"/>
        <v>0</v>
      </c>
    </row>
    <row r="3487" spans="3:4" ht="15" x14ac:dyDescent="0.25">
      <c r="C3487" s="8" t="e">
        <f>VLOOKUP(A:A,'ITEM LIST'!A:C,3,0)</f>
        <v>#N/A</v>
      </c>
      <c r="D3487" s="6">
        <f t="shared" si="55"/>
        <v>0</v>
      </c>
    </row>
    <row r="3488" spans="3:4" ht="15" x14ac:dyDescent="0.25">
      <c r="C3488" s="8" t="e">
        <f>VLOOKUP(A:A,'ITEM LIST'!A:C,3,0)</f>
        <v>#N/A</v>
      </c>
      <c r="D3488" s="6">
        <f t="shared" si="55"/>
        <v>0</v>
      </c>
    </row>
    <row r="3489" spans="3:4" ht="15" x14ac:dyDescent="0.25">
      <c r="C3489" s="8" t="e">
        <f>VLOOKUP(A:A,'ITEM LIST'!A:C,3,0)</f>
        <v>#N/A</v>
      </c>
      <c r="D3489" s="6">
        <f t="shared" si="55"/>
        <v>0</v>
      </c>
    </row>
    <row r="3490" spans="3:4" ht="15" x14ac:dyDescent="0.25">
      <c r="C3490" s="8" t="e">
        <f>VLOOKUP(A:A,'ITEM LIST'!A:C,3,0)</f>
        <v>#N/A</v>
      </c>
      <c r="D3490" s="6">
        <f t="shared" si="55"/>
        <v>0</v>
      </c>
    </row>
    <row r="3491" spans="3:4" ht="15" x14ac:dyDescent="0.25">
      <c r="C3491" s="8" t="e">
        <f>VLOOKUP(A:A,'ITEM LIST'!A:C,3,0)</f>
        <v>#N/A</v>
      </c>
      <c r="D3491" s="6">
        <f t="shared" si="55"/>
        <v>0</v>
      </c>
    </row>
    <row r="3492" spans="3:4" ht="15" x14ac:dyDescent="0.25">
      <c r="C3492" s="8" t="e">
        <f>VLOOKUP(A:A,'ITEM LIST'!A:C,3,0)</f>
        <v>#N/A</v>
      </c>
      <c r="D3492" s="6">
        <f t="shared" si="55"/>
        <v>0</v>
      </c>
    </row>
    <row r="3493" spans="3:4" ht="15" x14ac:dyDescent="0.25">
      <c r="C3493" s="8" t="e">
        <f>VLOOKUP(A:A,'ITEM LIST'!A:C,3,0)</f>
        <v>#N/A</v>
      </c>
      <c r="D3493" s="6">
        <f t="shared" si="55"/>
        <v>0</v>
      </c>
    </row>
    <row r="3494" spans="3:4" ht="15" x14ac:dyDescent="0.25">
      <c r="C3494" s="8" t="e">
        <f>VLOOKUP(A:A,'ITEM LIST'!A:C,3,0)</f>
        <v>#N/A</v>
      </c>
      <c r="D3494" s="6">
        <f t="shared" si="55"/>
        <v>0</v>
      </c>
    </row>
    <row r="3495" spans="3:4" ht="15" x14ac:dyDescent="0.25">
      <c r="C3495" s="8" t="e">
        <f>VLOOKUP(A:A,'ITEM LIST'!A:C,3,0)</f>
        <v>#N/A</v>
      </c>
      <c r="D3495" s="6">
        <f t="shared" si="55"/>
        <v>0</v>
      </c>
    </row>
    <row r="3496" spans="3:4" ht="15" x14ac:dyDescent="0.25">
      <c r="C3496" s="8" t="e">
        <f>VLOOKUP(A:A,'ITEM LIST'!A:C,3,0)</f>
        <v>#N/A</v>
      </c>
      <c r="D3496" s="6">
        <f t="shared" si="55"/>
        <v>0</v>
      </c>
    </row>
    <row r="3497" spans="3:4" ht="15" x14ac:dyDescent="0.25">
      <c r="C3497" s="8" t="e">
        <f>VLOOKUP(A:A,'ITEM LIST'!A:C,3,0)</f>
        <v>#N/A</v>
      </c>
      <c r="D3497" s="6">
        <f t="shared" si="55"/>
        <v>0</v>
      </c>
    </row>
    <row r="3498" spans="3:4" ht="15" x14ac:dyDescent="0.25">
      <c r="C3498" s="8" t="e">
        <f>VLOOKUP(A:A,'ITEM LIST'!A:C,3,0)</f>
        <v>#N/A</v>
      </c>
      <c r="D3498" s="6">
        <f t="shared" si="55"/>
        <v>0</v>
      </c>
    </row>
    <row r="3499" spans="3:4" ht="15" x14ac:dyDescent="0.25">
      <c r="C3499" s="8" t="e">
        <f>VLOOKUP(A:A,'ITEM LIST'!A:C,3,0)</f>
        <v>#N/A</v>
      </c>
      <c r="D3499" s="6">
        <f t="shared" si="55"/>
        <v>0</v>
      </c>
    </row>
    <row r="3500" spans="3:4" ht="15" x14ac:dyDescent="0.25">
      <c r="C3500" s="8" t="e">
        <f>VLOOKUP(A:A,'ITEM LIST'!A:C,3,0)</f>
        <v>#N/A</v>
      </c>
      <c r="D3500" s="6">
        <f t="shared" si="55"/>
        <v>0</v>
      </c>
    </row>
    <row r="3501" spans="3:4" ht="15" x14ac:dyDescent="0.25">
      <c r="C3501" s="8" t="e">
        <f>VLOOKUP(A:A,'ITEM LIST'!A:C,3,0)</f>
        <v>#N/A</v>
      </c>
      <c r="D3501" s="6">
        <f t="shared" si="55"/>
        <v>0</v>
      </c>
    </row>
    <row r="3502" spans="3:4" ht="15" x14ac:dyDescent="0.25">
      <c r="C3502" s="8" t="e">
        <f>VLOOKUP(A:A,'ITEM LIST'!A:C,3,0)</f>
        <v>#N/A</v>
      </c>
      <c r="D3502" s="6">
        <f t="shared" si="55"/>
        <v>0</v>
      </c>
    </row>
    <row r="3503" spans="3:4" ht="15" x14ac:dyDescent="0.25">
      <c r="C3503" s="8" t="e">
        <f>VLOOKUP(A:A,'ITEM LIST'!A:C,3,0)</f>
        <v>#N/A</v>
      </c>
      <c r="D3503" s="6">
        <f t="shared" si="55"/>
        <v>0</v>
      </c>
    </row>
    <row r="3504" spans="3:4" ht="15" x14ac:dyDescent="0.25">
      <c r="C3504" s="8" t="e">
        <f>VLOOKUP(A:A,'ITEM LIST'!A:C,3,0)</f>
        <v>#N/A</v>
      </c>
      <c r="D3504" s="6">
        <f t="shared" si="55"/>
        <v>0</v>
      </c>
    </row>
    <row r="3505" spans="3:4" ht="15" x14ac:dyDescent="0.25">
      <c r="C3505" s="8" t="e">
        <f>VLOOKUP(A:A,'ITEM LIST'!A:C,3,0)</f>
        <v>#N/A</v>
      </c>
      <c r="D3505" s="6">
        <f t="shared" si="55"/>
        <v>0</v>
      </c>
    </row>
    <row r="3506" spans="3:4" ht="15" x14ac:dyDescent="0.25">
      <c r="C3506" s="8" t="e">
        <f>VLOOKUP(A:A,'ITEM LIST'!A:C,3,0)</f>
        <v>#N/A</v>
      </c>
      <c r="D3506" s="6">
        <f t="shared" si="55"/>
        <v>0</v>
      </c>
    </row>
    <row r="3507" spans="3:4" ht="15" x14ac:dyDescent="0.25">
      <c r="C3507" s="8" t="e">
        <f>VLOOKUP(A:A,'ITEM LIST'!A:C,3,0)</f>
        <v>#N/A</v>
      </c>
      <c r="D3507" s="6">
        <f t="shared" si="55"/>
        <v>0</v>
      </c>
    </row>
    <row r="3508" spans="3:4" ht="15" x14ac:dyDescent="0.25">
      <c r="C3508" s="8" t="e">
        <f>VLOOKUP(A:A,'ITEM LIST'!A:C,3,0)</f>
        <v>#N/A</v>
      </c>
      <c r="D3508" s="6">
        <f t="shared" si="55"/>
        <v>0</v>
      </c>
    </row>
    <row r="3509" spans="3:4" ht="15" x14ac:dyDescent="0.25">
      <c r="C3509" s="8" t="e">
        <f>VLOOKUP(A:A,'ITEM LIST'!A:C,3,0)</f>
        <v>#N/A</v>
      </c>
      <c r="D3509" s="6">
        <f t="shared" si="55"/>
        <v>0</v>
      </c>
    </row>
    <row r="3510" spans="3:4" ht="15" x14ac:dyDescent="0.25">
      <c r="C3510" s="8" t="e">
        <f>VLOOKUP(A:A,'ITEM LIST'!A:C,3,0)</f>
        <v>#N/A</v>
      </c>
      <c r="D3510" s="6">
        <f t="shared" si="55"/>
        <v>0</v>
      </c>
    </row>
    <row r="3511" spans="3:4" ht="15" x14ac:dyDescent="0.25">
      <c r="C3511" s="8" t="e">
        <f>VLOOKUP(A:A,'ITEM LIST'!A:C,3,0)</f>
        <v>#N/A</v>
      </c>
      <c r="D3511" s="6">
        <f t="shared" si="55"/>
        <v>0</v>
      </c>
    </row>
    <row r="3512" spans="3:4" ht="15" x14ac:dyDescent="0.25">
      <c r="C3512" s="8" t="e">
        <f>VLOOKUP(A:A,'ITEM LIST'!A:C,3,0)</f>
        <v>#N/A</v>
      </c>
      <c r="D3512" s="6">
        <f t="shared" si="55"/>
        <v>0</v>
      </c>
    </row>
    <row r="3513" spans="3:4" ht="15" x14ac:dyDescent="0.25">
      <c r="C3513" s="8" t="e">
        <f>VLOOKUP(A:A,'ITEM LIST'!A:C,3,0)</f>
        <v>#N/A</v>
      </c>
      <c r="D3513" s="6">
        <f t="shared" si="55"/>
        <v>0</v>
      </c>
    </row>
    <row r="3514" spans="3:4" ht="15" x14ac:dyDescent="0.25">
      <c r="C3514" s="8" t="e">
        <f>VLOOKUP(A:A,'ITEM LIST'!A:C,3,0)</f>
        <v>#N/A</v>
      </c>
      <c r="D3514" s="6">
        <f t="shared" si="55"/>
        <v>0</v>
      </c>
    </row>
    <row r="3515" spans="3:4" ht="15" x14ac:dyDescent="0.25">
      <c r="C3515" s="8" t="e">
        <f>VLOOKUP(A:A,'ITEM LIST'!A:C,3,0)</f>
        <v>#N/A</v>
      </c>
      <c r="D3515" s="6">
        <f t="shared" si="55"/>
        <v>0</v>
      </c>
    </row>
    <row r="3516" spans="3:4" ht="15" x14ac:dyDescent="0.25">
      <c r="C3516" s="8" t="e">
        <f>VLOOKUP(A:A,'ITEM LIST'!A:C,3,0)</f>
        <v>#N/A</v>
      </c>
      <c r="D3516" s="6">
        <f t="shared" si="55"/>
        <v>0</v>
      </c>
    </row>
    <row r="3517" spans="3:4" ht="15" x14ac:dyDescent="0.25">
      <c r="C3517" s="8" t="e">
        <f>VLOOKUP(A:A,'ITEM LIST'!A:C,3,0)</f>
        <v>#N/A</v>
      </c>
      <c r="D3517" s="6">
        <f t="shared" si="55"/>
        <v>0</v>
      </c>
    </row>
    <row r="3518" spans="3:4" ht="15" x14ac:dyDescent="0.25">
      <c r="C3518" s="8" t="e">
        <f>VLOOKUP(A:A,'ITEM LIST'!A:C,3,0)</f>
        <v>#N/A</v>
      </c>
      <c r="D3518" s="6">
        <f t="shared" si="55"/>
        <v>0</v>
      </c>
    </row>
    <row r="3519" spans="3:4" ht="15" x14ac:dyDescent="0.25">
      <c r="C3519" s="8" t="e">
        <f>VLOOKUP(A:A,'ITEM LIST'!A:C,3,0)</f>
        <v>#N/A</v>
      </c>
      <c r="D3519" s="6">
        <f t="shared" si="55"/>
        <v>0</v>
      </c>
    </row>
    <row r="3520" spans="3:4" ht="15" x14ac:dyDescent="0.25">
      <c r="C3520" s="8" t="e">
        <f>VLOOKUP(A:A,'ITEM LIST'!A:C,3,0)</f>
        <v>#N/A</v>
      </c>
      <c r="D3520" s="6">
        <f t="shared" si="55"/>
        <v>0</v>
      </c>
    </row>
    <row r="3521" spans="3:4" ht="15" x14ac:dyDescent="0.25">
      <c r="C3521" s="8" t="e">
        <f>VLOOKUP(A:A,'ITEM LIST'!A:C,3,0)</f>
        <v>#N/A</v>
      </c>
      <c r="D3521" s="6">
        <f t="shared" si="55"/>
        <v>0</v>
      </c>
    </row>
    <row r="3522" spans="3:4" ht="15" x14ac:dyDescent="0.25">
      <c r="C3522" s="8" t="e">
        <f>VLOOKUP(A:A,'ITEM LIST'!A:C,3,0)</f>
        <v>#N/A</v>
      </c>
      <c r="D3522" s="6">
        <f t="shared" si="55"/>
        <v>0</v>
      </c>
    </row>
    <row r="3523" spans="3:4" ht="15" x14ac:dyDescent="0.25">
      <c r="C3523" s="8" t="e">
        <f>VLOOKUP(A:A,'ITEM LIST'!A:C,3,0)</f>
        <v>#N/A</v>
      </c>
      <c r="D3523" s="6">
        <f t="shared" si="55"/>
        <v>0</v>
      </c>
    </row>
    <row r="3524" spans="3:4" ht="15" x14ac:dyDescent="0.25">
      <c r="C3524" s="8" t="e">
        <f>VLOOKUP(A:A,'ITEM LIST'!A:C,3,0)</f>
        <v>#N/A</v>
      </c>
      <c r="D3524" s="6">
        <f t="shared" si="55"/>
        <v>0</v>
      </c>
    </row>
    <row r="3525" spans="3:4" ht="15" x14ac:dyDescent="0.25">
      <c r="C3525" s="8" t="e">
        <f>VLOOKUP(A:A,'ITEM LIST'!A:C,3,0)</f>
        <v>#N/A</v>
      </c>
      <c r="D3525" s="6">
        <f t="shared" si="55"/>
        <v>0</v>
      </c>
    </row>
    <row r="3526" spans="3:4" ht="15" x14ac:dyDescent="0.25">
      <c r="C3526" s="8" t="e">
        <f>VLOOKUP(A:A,'ITEM LIST'!A:C,3,0)</f>
        <v>#N/A</v>
      </c>
      <c r="D3526" s="6">
        <f t="shared" ref="D3526:D3589" si="56">B3526</f>
        <v>0</v>
      </c>
    </row>
    <row r="3527" spans="3:4" ht="15" x14ac:dyDescent="0.25">
      <c r="C3527" s="8" t="e">
        <f>VLOOKUP(A:A,'ITEM LIST'!A:C,3,0)</f>
        <v>#N/A</v>
      </c>
      <c r="D3527" s="6">
        <f t="shared" si="56"/>
        <v>0</v>
      </c>
    </row>
    <row r="3528" spans="3:4" ht="15" x14ac:dyDescent="0.25">
      <c r="C3528" s="8" t="e">
        <f>VLOOKUP(A:A,'ITEM LIST'!A:C,3,0)</f>
        <v>#N/A</v>
      </c>
      <c r="D3528" s="6">
        <f t="shared" si="56"/>
        <v>0</v>
      </c>
    </row>
    <row r="3529" spans="3:4" ht="15" x14ac:dyDescent="0.25">
      <c r="C3529" s="8" t="e">
        <f>VLOOKUP(A:A,'ITEM LIST'!A:C,3,0)</f>
        <v>#N/A</v>
      </c>
      <c r="D3529" s="6">
        <f t="shared" si="56"/>
        <v>0</v>
      </c>
    </row>
    <row r="3530" spans="3:4" ht="15" x14ac:dyDescent="0.25">
      <c r="C3530" s="8" t="e">
        <f>VLOOKUP(A:A,'ITEM LIST'!A:C,3,0)</f>
        <v>#N/A</v>
      </c>
      <c r="D3530" s="6">
        <f t="shared" si="56"/>
        <v>0</v>
      </c>
    </row>
    <row r="3531" spans="3:4" ht="15" x14ac:dyDescent="0.25">
      <c r="C3531" s="8" t="e">
        <f>VLOOKUP(A:A,'ITEM LIST'!A:C,3,0)</f>
        <v>#N/A</v>
      </c>
      <c r="D3531" s="6">
        <f t="shared" si="56"/>
        <v>0</v>
      </c>
    </row>
    <row r="3532" spans="3:4" ht="15" x14ac:dyDescent="0.25">
      <c r="C3532" s="8" t="e">
        <f>VLOOKUP(A:A,'ITEM LIST'!A:C,3,0)</f>
        <v>#N/A</v>
      </c>
      <c r="D3532" s="6">
        <f t="shared" si="56"/>
        <v>0</v>
      </c>
    </row>
    <row r="3533" spans="3:4" ht="15" x14ac:dyDescent="0.25">
      <c r="C3533" s="8" t="e">
        <f>VLOOKUP(A:A,'ITEM LIST'!A:C,3,0)</f>
        <v>#N/A</v>
      </c>
      <c r="D3533" s="6">
        <f t="shared" si="56"/>
        <v>0</v>
      </c>
    </row>
    <row r="3534" spans="3:4" ht="15" x14ac:dyDescent="0.25">
      <c r="C3534" s="8" t="e">
        <f>VLOOKUP(A:A,'ITEM LIST'!A:C,3,0)</f>
        <v>#N/A</v>
      </c>
      <c r="D3534" s="6">
        <f t="shared" si="56"/>
        <v>0</v>
      </c>
    </row>
    <row r="3535" spans="3:4" ht="15" x14ac:dyDescent="0.25">
      <c r="C3535" s="8" t="e">
        <f>VLOOKUP(A:A,'ITEM LIST'!A:C,3,0)</f>
        <v>#N/A</v>
      </c>
      <c r="D3535" s="6">
        <f t="shared" si="56"/>
        <v>0</v>
      </c>
    </row>
    <row r="3536" spans="3:4" ht="15" x14ac:dyDescent="0.25">
      <c r="C3536" s="8" t="e">
        <f>VLOOKUP(A:A,'ITEM LIST'!A:C,3,0)</f>
        <v>#N/A</v>
      </c>
      <c r="D3536" s="6">
        <f t="shared" si="56"/>
        <v>0</v>
      </c>
    </row>
    <row r="3537" spans="3:4" ht="15" x14ac:dyDescent="0.25">
      <c r="C3537" s="8" t="e">
        <f>VLOOKUP(A:A,'ITEM LIST'!A:C,3,0)</f>
        <v>#N/A</v>
      </c>
      <c r="D3537" s="6">
        <f t="shared" si="56"/>
        <v>0</v>
      </c>
    </row>
    <row r="3538" spans="3:4" ht="15" x14ac:dyDescent="0.25">
      <c r="C3538" s="8" t="e">
        <f>VLOOKUP(A:A,'ITEM LIST'!A:C,3,0)</f>
        <v>#N/A</v>
      </c>
      <c r="D3538" s="6">
        <f t="shared" si="56"/>
        <v>0</v>
      </c>
    </row>
    <row r="3539" spans="3:4" ht="15" x14ac:dyDescent="0.25">
      <c r="C3539" s="8" t="e">
        <f>VLOOKUP(A:A,'ITEM LIST'!A:C,3,0)</f>
        <v>#N/A</v>
      </c>
      <c r="D3539" s="6">
        <f t="shared" si="56"/>
        <v>0</v>
      </c>
    </row>
    <row r="3540" spans="3:4" ht="15" x14ac:dyDescent="0.25">
      <c r="C3540" s="8" t="e">
        <f>VLOOKUP(A:A,'ITEM LIST'!A:C,3,0)</f>
        <v>#N/A</v>
      </c>
      <c r="D3540" s="6">
        <f t="shared" si="56"/>
        <v>0</v>
      </c>
    </row>
    <row r="3541" spans="3:4" ht="15" x14ac:dyDescent="0.25">
      <c r="C3541" s="8" t="e">
        <f>VLOOKUP(A:A,'ITEM LIST'!A:C,3,0)</f>
        <v>#N/A</v>
      </c>
      <c r="D3541" s="6">
        <f t="shared" si="56"/>
        <v>0</v>
      </c>
    </row>
    <row r="3542" spans="3:4" ht="15" x14ac:dyDescent="0.25">
      <c r="C3542" s="8" t="e">
        <f>VLOOKUP(A:A,'ITEM LIST'!A:C,3,0)</f>
        <v>#N/A</v>
      </c>
      <c r="D3542" s="6">
        <f t="shared" si="56"/>
        <v>0</v>
      </c>
    </row>
    <row r="3543" spans="3:4" ht="15" x14ac:dyDescent="0.25">
      <c r="C3543" s="8" t="e">
        <f>VLOOKUP(A:A,'ITEM LIST'!A:C,3,0)</f>
        <v>#N/A</v>
      </c>
      <c r="D3543" s="6">
        <f t="shared" si="56"/>
        <v>0</v>
      </c>
    </row>
    <row r="3544" spans="3:4" ht="15" x14ac:dyDescent="0.25">
      <c r="C3544" s="8" t="e">
        <f>VLOOKUP(A:A,'ITEM LIST'!A:C,3,0)</f>
        <v>#N/A</v>
      </c>
      <c r="D3544" s="6">
        <f t="shared" si="56"/>
        <v>0</v>
      </c>
    </row>
    <row r="3545" spans="3:4" ht="15" x14ac:dyDescent="0.25">
      <c r="C3545" s="8" t="e">
        <f>VLOOKUP(A:A,'ITEM LIST'!A:C,3,0)</f>
        <v>#N/A</v>
      </c>
      <c r="D3545" s="6">
        <f t="shared" si="56"/>
        <v>0</v>
      </c>
    </row>
    <row r="3546" spans="3:4" ht="15" x14ac:dyDescent="0.25">
      <c r="C3546" s="8" t="e">
        <f>VLOOKUP(A:A,'ITEM LIST'!A:C,3,0)</f>
        <v>#N/A</v>
      </c>
      <c r="D3546" s="6">
        <f t="shared" si="56"/>
        <v>0</v>
      </c>
    </row>
    <row r="3547" spans="3:4" ht="15" x14ac:dyDescent="0.25">
      <c r="C3547" s="8" t="e">
        <f>VLOOKUP(A:A,'ITEM LIST'!A:C,3,0)</f>
        <v>#N/A</v>
      </c>
      <c r="D3547" s="6">
        <f t="shared" si="56"/>
        <v>0</v>
      </c>
    </row>
    <row r="3548" spans="3:4" ht="15" x14ac:dyDescent="0.25">
      <c r="C3548" s="8" t="e">
        <f>VLOOKUP(A:A,'ITEM LIST'!A:C,3,0)</f>
        <v>#N/A</v>
      </c>
      <c r="D3548" s="6">
        <f t="shared" si="56"/>
        <v>0</v>
      </c>
    </row>
    <row r="3549" spans="3:4" ht="15" x14ac:dyDescent="0.25">
      <c r="C3549" s="8" t="e">
        <f>VLOOKUP(A:A,'ITEM LIST'!A:C,3,0)</f>
        <v>#N/A</v>
      </c>
      <c r="D3549" s="6">
        <f t="shared" si="56"/>
        <v>0</v>
      </c>
    </row>
    <row r="3550" spans="3:4" ht="15" x14ac:dyDescent="0.25">
      <c r="C3550" s="8" t="e">
        <f>VLOOKUP(A:A,'ITEM LIST'!A:C,3,0)</f>
        <v>#N/A</v>
      </c>
      <c r="D3550" s="6">
        <f t="shared" si="56"/>
        <v>0</v>
      </c>
    </row>
    <row r="3551" spans="3:4" ht="15" x14ac:dyDescent="0.25">
      <c r="C3551" s="8" t="e">
        <f>VLOOKUP(A:A,'ITEM LIST'!A:C,3,0)</f>
        <v>#N/A</v>
      </c>
      <c r="D3551" s="6">
        <f t="shared" si="56"/>
        <v>0</v>
      </c>
    </row>
    <row r="3552" spans="3:4" ht="15" x14ac:dyDescent="0.25">
      <c r="C3552" s="8" t="e">
        <f>VLOOKUP(A:A,'ITEM LIST'!A:C,3,0)</f>
        <v>#N/A</v>
      </c>
      <c r="D3552" s="6">
        <f t="shared" si="56"/>
        <v>0</v>
      </c>
    </row>
    <row r="3553" spans="3:4" ht="15" x14ac:dyDescent="0.25">
      <c r="C3553" s="8" t="e">
        <f>VLOOKUP(A:A,'ITEM LIST'!A:C,3,0)</f>
        <v>#N/A</v>
      </c>
      <c r="D3553" s="6">
        <f t="shared" si="56"/>
        <v>0</v>
      </c>
    </row>
    <row r="3554" spans="3:4" ht="15" x14ac:dyDescent="0.25">
      <c r="C3554" s="8" t="e">
        <f>VLOOKUP(A:A,'ITEM LIST'!A:C,3,0)</f>
        <v>#N/A</v>
      </c>
      <c r="D3554" s="6">
        <f t="shared" si="56"/>
        <v>0</v>
      </c>
    </row>
    <row r="3555" spans="3:4" ht="15" x14ac:dyDescent="0.25">
      <c r="C3555" s="8" t="e">
        <f>VLOOKUP(A:A,'ITEM LIST'!A:C,3,0)</f>
        <v>#N/A</v>
      </c>
      <c r="D3555" s="6">
        <f t="shared" si="56"/>
        <v>0</v>
      </c>
    </row>
    <row r="3556" spans="3:4" ht="15" x14ac:dyDescent="0.25">
      <c r="C3556" s="8" t="e">
        <f>VLOOKUP(A:A,'ITEM LIST'!A:C,3,0)</f>
        <v>#N/A</v>
      </c>
      <c r="D3556" s="6">
        <f t="shared" si="56"/>
        <v>0</v>
      </c>
    </row>
    <row r="3557" spans="3:4" ht="15" x14ac:dyDescent="0.25">
      <c r="C3557" s="8" t="e">
        <f>VLOOKUP(A:A,'ITEM LIST'!A:C,3,0)</f>
        <v>#N/A</v>
      </c>
      <c r="D3557" s="6">
        <f t="shared" si="56"/>
        <v>0</v>
      </c>
    </row>
    <row r="3558" spans="3:4" ht="15" x14ac:dyDescent="0.25">
      <c r="C3558" s="8" t="e">
        <f>VLOOKUP(A:A,'ITEM LIST'!A:C,3,0)</f>
        <v>#N/A</v>
      </c>
      <c r="D3558" s="6">
        <f t="shared" si="56"/>
        <v>0</v>
      </c>
    </row>
    <row r="3559" spans="3:4" ht="15" x14ac:dyDescent="0.25">
      <c r="C3559" s="8" t="e">
        <f>VLOOKUP(A:A,'ITEM LIST'!A:C,3,0)</f>
        <v>#N/A</v>
      </c>
      <c r="D3559" s="6">
        <f t="shared" si="56"/>
        <v>0</v>
      </c>
    </row>
    <row r="3560" spans="3:4" ht="15" x14ac:dyDescent="0.25">
      <c r="C3560" s="8" t="e">
        <f>VLOOKUP(A:A,'ITEM LIST'!A:C,3,0)</f>
        <v>#N/A</v>
      </c>
      <c r="D3560" s="6">
        <f t="shared" si="56"/>
        <v>0</v>
      </c>
    </row>
    <row r="3561" spans="3:4" ht="15" x14ac:dyDescent="0.25">
      <c r="C3561" s="8" t="e">
        <f>VLOOKUP(A:A,'ITEM LIST'!A:C,3,0)</f>
        <v>#N/A</v>
      </c>
      <c r="D3561" s="6">
        <f t="shared" si="56"/>
        <v>0</v>
      </c>
    </row>
    <row r="3562" spans="3:4" ht="15" x14ac:dyDescent="0.25">
      <c r="C3562" s="8" t="e">
        <f>VLOOKUP(A:A,'ITEM LIST'!A:C,3,0)</f>
        <v>#N/A</v>
      </c>
      <c r="D3562" s="6">
        <f t="shared" si="56"/>
        <v>0</v>
      </c>
    </row>
    <row r="3563" spans="3:4" ht="15" x14ac:dyDescent="0.25">
      <c r="C3563" s="8" t="e">
        <f>VLOOKUP(A:A,'ITEM LIST'!A:C,3,0)</f>
        <v>#N/A</v>
      </c>
      <c r="D3563" s="6">
        <f t="shared" si="56"/>
        <v>0</v>
      </c>
    </row>
    <row r="3564" spans="3:4" ht="15" x14ac:dyDescent="0.25">
      <c r="C3564" s="8" t="e">
        <f>VLOOKUP(A:A,'ITEM LIST'!A:C,3,0)</f>
        <v>#N/A</v>
      </c>
      <c r="D3564" s="6">
        <f t="shared" si="56"/>
        <v>0</v>
      </c>
    </row>
    <row r="3565" spans="3:4" ht="15" x14ac:dyDescent="0.25">
      <c r="C3565" s="8" t="e">
        <f>VLOOKUP(A:A,'ITEM LIST'!A:C,3,0)</f>
        <v>#N/A</v>
      </c>
      <c r="D3565" s="6">
        <f t="shared" si="56"/>
        <v>0</v>
      </c>
    </row>
    <row r="3566" spans="3:4" ht="15" x14ac:dyDescent="0.25">
      <c r="C3566" s="8" t="e">
        <f>VLOOKUP(A:A,'ITEM LIST'!A:C,3,0)</f>
        <v>#N/A</v>
      </c>
      <c r="D3566" s="6">
        <f t="shared" si="56"/>
        <v>0</v>
      </c>
    </row>
    <row r="3567" spans="3:4" ht="15" x14ac:dyDescent="0.25">
      <c r="C3567" s="8" t="e">
        <f>VLOOKUP(A:A,'ITEM LIST'!A:C,3,0)</f>
        <v>#N/A</v>
      </c>
      <c r="D3567" s="6">
        <f t="shared" si="56"/>
        <v>0</v>
      </c>
    </row>
    <row r="3568" spans="3:4" ht="15" x14ac:dyDescent="0.25">
      <c r="C3568" s="8" t="e">
        <f>VLOOKUP(A:A,'ITEM LIST'!A:C,3,0)</f>
        <v>#N/A</v>
      </c>
      <c r="D3568" s="6">
        <f t="shared" si="56"/>
        <v>0</v>
      </c>
    </row>
    <row r="3569" spans="3:4" ht="15" x14ac:dyDescent="0.25">
      <c r="C3569" s="8" t="e">
        <f>VLOOKUP(A:A,'ITEM LIST'!A:C,3,0)</f>
        <v>#N/A</v>
      </c>
      <c r="D3569" s="6">
        <f t="shared" si="56"/>
        <v>0</v>
      </c>
    </row>
    <row r="3570" spans="3:4" ht="15" x14ac:dyDescent="0.25">
      <c r="C3570" s="8" t="e">
        <f>VLOOKUP(A:A,'ITEM LIST'!A:C,3,0)</f>
        <v>#N/A</v>
      </c>
      <c r="D3570" s="6">
        <f t="shared" si="56"/>
        <v>0</v>
      </c>
    </row>
    <row r="3571" spans="3:4" ht="15" x14ac:dyDescent="0.25">
      <c r="C3571" s="8" t="e">
        <f>VLOOKUP(A:A,'ITEM LIST'!A:C,3,0)</f>
        <v>#N/A</v>
      </c>
      <c r="D3571" s="6">
        <f t="shared" si="56"/>
        <v>0</v>
      </c>
    </row>
    <row r="3572" spans="3:4" ht="15" x14ac:dyDescent="0.25">
      <c r="C3572" s="8" t="e">
        <f>VLOOKUP(A:A,'ITEM LIST'!A:C,3,0)</f>
        <v>#N/A</v>
      </c>
      <c r="D3572" s="6">
        <f t="shared" si="56"/>
        <v>0</v>
      </c>
    </row>
    <row r="3573" spans="3:4" ht="15" x14ac:dyDescent="0.25">
      <c r="C3573" s="8" t="e">
        <f>VLOOKUP(A:A,'ITEM LIST'!A:C,3,0)</f>
        <v>#N/A</v>
      </c>
      <c r="D3573" s="6">
        <f t="shared" si="56"/>
        <v>0</v>
      </c>
    </row>
    <row r="3574" spans="3:4" ht="15" x14ac:dyDescent="0.25">
      <c r="C3574" s="8" t="e">
        <f>VLOOKUP(A:A,'ITEM LIST'!A:C,3,0)</f>
        <v>#N/A</v>
      </c>
      <c r="D3574" s="6">
        <f t="shared" si="56"/>
        <v>0</v>
      </c>
    </row>
    <row r="3575" spans="3:4" ht="15" x14ac:dyDescent="0.25">
      <c r="C3575" s="8" t="e">
        <f>VLOOKUP(A:A,'ITEM LIST'!A:C,3,0)</f>
        <v>#N/A</v>
      </c>
      <c r="D3575" s="6">
        <f t="shared" si="56"/>
        <v>0</v>
      </c>
    </row>
    <row r="3576" spans="3:4" ht="15" x14ac:dyDescent="0.25">
      <c r="C3576" s="8" t="e">
        <f>VLOOKUP(A:A,'ITEM LIST'!A:C,3,0)</f>
        <v>#N/A</v>
      </c>
      <c r="D3576" s="6">
        <f t="shared" si="56"/>
        <v>0</v>
      </c>
    </row>
    <row r="3577" spans="3:4" ht="15" x14ac:dyDescent="0.25">
      <c r="C3577" s="8" t="e">
        <f>VLOOKUP(A:A,'ITEM LIST'!A:C,3,0)</f>
        <v>#N/A</v>
      </c>
      <c r="D3577" s="6">
        <f t="shared" si="56"/>
        <v>0</v>
      </c>
    </row>
    <row r="3578" spans="3:4" ht="15" x14ac:dyDescent="0.25">
      <c r="C3578" s="8" t="e">
        <f>VLOOKUP(A:A,'ITEM LIST'!A:C,3,0)</f>
        <v>#N/A</v>
      </c>
      <c r="D3578" s="6">
        <f t="shared" si="56"/>
        <v>0</v>
      </c>
    </row>
    <row r="3579" spans="3:4" ht="15" x14ac:dyDescent="0.25">
      <c r="C3579" s="8" t="e">
        <f>VLOOKUP(A:A,'ITEM LIST'!A:C,3,0)</f>
        <v>#N/A</v>
      </c>
      <c r="D3579" s="6">
        <f t="shared" si="56"/>
        <v>0</v>
      </c>
    </row>
    <row r="3580" spans="3:4" ht="15" x14ac:dyDescent="0.25">
      <c r="C3580" s="8" t="e">
        <f>VLOOKUP(A:A,'ITEM LIST'!A:C,3,0)</f>
        <v>#N/A</v>
      </c>
      <c r="D3580" s="6">
        <f t="shared" si="56"/>
        <v>0</v>
      </c>
    </row>
    <row r="3581" spans="3:4" ht="15" x14ac:dyDescent="0.25">
      <c r="C3581" s="8" t="e">
        <f>VLOOKUP(A:A,'ITEM LIST'!A:C,3,0)</f>
        <v>#N/A</v>
      </c>
      <c r="D3581" s="6">
        <f t="shared" si="56"/>
        <v>0</v>
      </c>
    </row>
    <row r="3582" spans="3:4" ht="15" x14ac:dyDescent="0.25">
      <c r="C3582" s="8" t="e">
        <f>VLOOKUP(A:A,'ITEM LIST'!A:C,3,0)</f>
        <v>#N/A</v>
      </c>
      <c r="D3582" s="6">
        <f t="shared" si="56"/>
        <v>0</v>
      </c>
    </row>
    <row r="3583" spans="3:4" ht="15" x14ac:dyDescent="0.25">
      <c r="C3583" s="8" t="e">
        <f>VLOOKUP(A:A,'ITEM LIST'!A:C,3,0)</f>
        <v>#N/A</v>
      </c>
      <c r="D3583" s="6">
        <f t="shared" si="56"/>
        <v>0</v>
      </c>
    </row>
    <row r="3584" spans="3:4" ht="15" x14ac:dyDescent="0.25">
      <c r="C3584" s="8" t="e">
        <f>VLOOKUP(A:A,'ITEM LIST'!A:C,3,0)</f>
        <v>#N/A</v>
      </c>
      <c r="D3584" s="6">
        <f t="shared" si="56"/>
        <v>0</v>
      </c>
    </row>
    <row r="3585" spans="3:4" ht="15" x14ac:dyDescent="0.25">
      <c r="C3585" s="8" t="e">
        <f>VLOOKUP(A:A,'ITEM LIST'!A:C,3,0)</f>
        <v>#N/A</v>
      </c>
      <c r="D3585" s="6">
        <f t="shared" si="56"/>
        <v>0</v>
      </c>
    </row>
    <row r="3586" spans="3:4" ht="15" x14ac:dyDescent="0.25">
      <c r="C3586" s="8" t="e">
        <f>VLOOKUP(A:A,'ITEM LIST'!A:C,3,0)</f>
        <v>#N/A</v>
      </c>
      <c r="D3586" s="6">
        <f t="shared" si="56"/>
        <v>0</v>
      </c>
    </row>
    <row r="3587" spans="3:4" ht="15" x14ac:dyDescent="0.25">
      <c r="C3587" s="8" t="e">
        <f>VLOOKUP(A:A,'ITEM LIST'!A:C,3,0)</f>
        <v>#N/A</v>
      </c>
      <c r="D3587" s="6">
        <f t="shared" si="56"/>
        <v>0</v>
      </c>
    </row>
    <row r="3588" spans="3:4" ht="15" x14ac:dyDescent="0.25">
      <c r="C3588" s="8" t="e">
        <f>VLOOKUP(A:A,'ITEM LIST'!A:C,3,0)</f>
        <v>#N/A</v>
      </c>
      <c r="D3588" s="6">
        <f t="shared" si="56"/>
        <v>0</v>
      </c>
    </row>
    <row r="3589" spans="3:4" ht="15" x14ac:dyDescent="0.25">
      <c r="C3589" s="8" t="e">
        <f>VLOOKUP(A:A,'ITEM LIST'!A:C,3,0)</f>
        <v>#N/A</v>
      </c>
      <c r="D3589" s="6">
        <f t="shared" si="56"/>
        <v>0</v>
      </c>
    </row>
    <row r="3590" spans="3:4" ht="15" x14ac:dyDescent="0.25">
      <c r="C3590" s="8" t="e">
        <f>VLOOKUP(A:A,'ITEM LIST'!A:C,3,0)</f>
        <v>#N/A</v>
      </c>
      <c r="D3590" s="6">
        <f t="shared" ref="D3590:D3653" si="57">B3590</f>
        <v>0</v>
      </c>
    </row>
    <row r="3591" spans="3:4" ht="15" x14ac:dyDescent="0.25">
      <c r="C3591" s="8" t="e">
        <f>VLOOKUP(A:A,'ITEM LIST'!A:C,3,0)</f>
        <v>#N/A</v>
      </c>
      <c r="D3591" s="6">
        <f t="shared" si="57"/>
        <v>0</v>
      </c>
    </row>
    <row r="3592" spans="3:4" ht="15" x14ac:dyDescent="0.25">
      <c r="C3592" s="8" t="e">
        <f>VLOOKUP(A:A,'ITEM LIST'!A:C,3,0)</f>
        <v>#N/A</v>
      </c>
      <c r="D3592" s="6">
        <f t="shared" si="57"/>
        <v>0</v>
      </c>
    </row>
    <row r="3593" spans="3:4" ht="15" x14ac:dyDescent="0.25">
      <c r="C3593" s="8" t="e">
        <f>VLOOKUP(A:A,'ITEM LIST'!A:C,3,0)</f>
        <v>#N/A</v>
      </c>
      <c r="D3593" s="6">
        <f t="shared" si="57"/>
        <v>0</v>
      </c>
    </row>
    <row r="3594" spans="3:4" ht="15" x14ac:dyDescent="0.25">
      <c r="C3594" s="8" t="e">
        <f>VLOOKUP(A:A,'ITEM LIST'!A:C,3,0)</f>
        <v>#N/A</v>
      </c>
      <c r="D3594" s="6">
        <f t="shared" si="57"/>
        <v>0</v>
      </c>
    </row>
    <row r="3595" spans="3:4" ht="15" x14ac:dyDescent="0.25">
      <c r="C3595" s="8" t="e">
        <f>VLOOKUP(A:A,'ITEM LIST'!A:C,3,0)</f>
        <v>#N/A</v>
      </c>
      <c r="D3595" s="6">
        <f t="shared" si="57"/>
        <v>0</v>
      </c>
    </row>
    <row r="3596" spans="3:4" ht="15" x14ac:dyDescent="0.25">
      <c r="C3596" s="8" t="e">
        <f>VLOOKUP(A:A,'ITEM LIST'!A:C,3,0)</f>
        <v>#N/A</v>
      </c>
      <c r="D3596" s="6">
        <f t="shared" si="57"/>
        <v>0</v>
      </c>
    </row>
    <row r="3597" spans="3:4" ht="15" x14ac:dyDescent="0.25">
      <c r="C3597" s="8" t="e">
        <f>VLOOKUP(A:A,'ITEM LIST'!A:C,3,0)</f>
        <v>#N/A</v>
      </c>
      <c r="D3597" s="6">
        <f t="shared" si="57"/>
        <v>0</v>
      </c>
    </row>
    <row r="3598" spans="3:4" ht="15" x14ac:dyDescent="0.25">
      <c r="C3598" s="8" t="e">
        <f>VLOOKUP(A:A,'ITEM LIST'!A:C,3,0)</f>
        <v>#N/A</v>
      </c>
      <c r="D3598" s="6">
        <f t="shared" si="57"/>
        <v>0</v>
      </c>
    </row>
    <row r="3599" spans="3:4" ht="15" x14ac:dyDescent="0.25">
      <c r="C3599" s="8" t="e">
        <f>VLOOKUP(A:A,'ITEM LIST'!A:C,3,0)</f>
        <v>#N/A</v>
      </c>
      <c r="D3599" s="6">
        <f t="shared" si="57"/>
        <v>0</v>
      </c>
    </row>
    <row r="3600" spans="3:4" ht="15" x14ac:dyDescent="0.25">
      <c r="C3600" s="8" t="e">
        <f>VLOOKUP(A:A,'ITEM LIST'!A:C,3,0)</f>
        <v>#N/A</v>
      </c>
      <c r="D3600" s="6">
        <f t="shared" si="57"/>
        <v>0</v>
      </c>
    </row>
    <row r="3601" spans="3:4" ht="15" x14ac:dyDescent="0.25">
      <c r="C3601" s="8" t="e">
        <f>VLOOKUP(A:A,'ITEM LIST'!A:C,3,0)</f>
        <v>#N/A</v>
      </c>
      <c r="D3601" s="6">
        <f t="shared" si="57"/>
        <v>0</v>
      </c>
    </row>
    <row r="3602" spans="3:4" ht="15" x14ac:dyDescent="0.25">
      <c r="C3602" s="8" t="e">
        <f>VLOOKUP(A:A,'ITEM LIST'!A:C,3,0)</f>
        <v>#N/A</v>
      </c>
      <c r="D3602" s="6">
        <f t="shared" si="57"/>
        <v>0</v>
      </c>
    </row>
    <row r="3603" spans="3:4" ht="15" x14ac:dyDescent="0.25">
      <c r="C3603" s="8" t="e">
        <f>VLOOKUP(A:A,'ITEM LIST'!A:C,3,0)</f>
        <v>#N/A</v>
      </c>
      <c r="D3603" s="6">
        <f t="shared" si="57"/>
        <v>0</v>
      </c>
    </row>
    <row r="3604" spans="3:4" ht="15" x14ac:dyDescent="0.25">
      <c r="C3604" s="8" t="e">
        <f>VLOOKUP(A:A,'ITEM LIST'!A:C,3,0)</f>
        <v>#N/A</v>
      </c>
      <c r="D3604" s="6">
        <f t="shared" si="57"/>
        <v>0</v>
      </c>
    </row>
    <row r="3605" spans="3:4" ht="15" x14ac:dyDescent="0.25">
      <c r="C3605" s="8" t="e">
        <f>VLOOKUP(A:A,'ITEM LIST'!A:C,3,0)</f>
        <v>#N/A</v>
      </c>
      <c r="D3605" s="6">
        <f t="shared" si="57"/>
        <v>0</v>
      </c>
    </row>
    <row r="3606" spans="3:4" ht="15" x14ac:dyDescent="0.25">
      <c r="C3606" s="8" t="e">
        <f>VLOOKUP(A:A,'ITEM LIST'!A:C,3,0)</f>
        <v>#N/A</v>
      </c>
      <c r="D3606" s="6">
        <f t="shared" si="57"/>
        <v>0</v>
      </c>
    </row>
    <row r="3607" spans="3:4" ht="15" x14ac:dyDescent="0.25">
      <c r="C3607" s="8" t="e">
        <f>VLOOKUP(A:A,'ITEM LIST'!A:C,3,0)</f>
        <v>#N/A</v>
      </c>
      <c r="D3607" s="6">
        <f t="shared" si="57"/>
        <v>0</v>
      </c>
    </row>
    <row r="3608" spans="3:4" ht="15" x14ac:dyDescent="0.25">
      <c r="C3608" s="8" t="e">
        <f>VLOOKUP(A:A,'ITEM LIST'!A:C,3,0)</f>
        <v>#N/A</v>
      </c>
      <c r="D3608" s="6">
        <f t="shared" si="57"/>
        <v>0</v>
      </c>
    </row>
    <row r="3609" spans="3:4" ht="15" x14ac:dyDescent="0.25">
      <c r="C3609" s="8" t="e">
        <f>VLOOKUP(A:A,'ITEM LIST'!A:C,3,0)</f>
        <v>#N/A</v>
      </c>
      <c r="D3609" s="6">
        <f t="shared" si="57"/>
        <v>0</v>
      </c>
    </row>
    <row r="3610" spans="3:4" ht="15" x14ac:dyDescent="0.25">
      <c r="C3610" s="8" t="e">
        <f>VLOOKUP(A:A,'ITEM LIST'!A:C,3,0)</f>
        <v>#N/A</v>
      </c>
      <c r="D3610" s="6">
        <f t="shared" si="57"/>
        <v>0</v>
      </c>
    </row>
    <row r="3611" spans="3:4" ht="15" x14ac:dyDescent="0.25">
      <c r="C3611" s="8" t="e">
        <f>VLOOKUP(A:A,'ITEM LIST'!A:C,3,0)</f>
        <v>#N/A</v>
      </c>
      <c r="D3611" s="6">
        <f t="shared" si="57"/>
        <v>0</v>
      </c>
    </row>
    <row r="3612" spans="3:4" ht="15" x14ac:dyDescent="0.25">
      <c r="C3612" s="8" t="e">
        <f>VLOOKUP(A:A,'ITEM LIST'!A:C,3,0)</f>
        <v>#N/A</v>
      </c>
      <c r="D3612" s="6">
        <f t="shared" si="57"/>
        <v>0</v>
      </c>
    </row>
    <row r="3613" spans="3:4" ht="15" x14ac:dyDescent="0.25">
      <c r="C3613" s="8" t="e">
        <f>VLOOKUP(A:A,'ITEM LIST'!A:C,3,0)</f>
        <v>#N/A</v>
      </c>
      <c r="D3613" s="6">
        <f t="shared" si="57"/>
        <v>0</v>
      </c>
    </row>
    <row r="3614" spans="3:4" ht="15" x14ac:dyDescent="0.25">
      <c r="C3614" s="8" t="e">
        <f>VLOOKUP(A:A,'ITEM LIST'!A:C,3,0)</f>
        <v>#N/A</v>
      </c>
      <c r="D3614" s="6">
        <f t="shared" si="57"/>
        <v>0</v>
      </c>
    </row>
    <row r="3615" spans="3:4" ht="15" x14ac:dyDescent="0.25">
      <c r="C3615" s="8" t="e">
        <f>VLOOKUP(A:A,'ITEM LIST'!A:C,3,0)</f>
        <v>#N/A</v>
      </c>
      <c r="D3615" s="6">
        <f t="shared" si="57"/>
        <v>0</v>
      </c>
    </row>
    <row r="3616" spans="3:4" ht="15" x14ac:dyDescent="0.25">
      <c r="C3616" s="8" t="e">
        <f>VLOOKUP(A:A,'ITEM LIST'!A:C,3,0)</f>
        <v>#N/A</v>
      </c>
      <c r="D3616" s="6">
        <f t="shared" si="57"/>
        <v>0</v>
      </c>
    </row>
    <row r="3617" spans="3:4" ht="15" x14ac:dyDescent="0.25">
      <c r="C3617" s="8" t="e">
        <f>VLOOKUP(A:A,'ITEM LIST'!A:C,3,0)</f>
        <v>#N/A</v>
      </c>
      <c r="D3617" s="6">
        <f t="shared" si="57"/>
        <v>0</v>
      </c>
    </row>
    <row r="3618" spans="3:4" ht="15" x14ac:dyDescent="0.25">
      <c r="C3618" s="8" t="e">
        <f>VLOOKUP(A:A,'ITEM LIST'!A:C,3,0)</f>
        <v>#N/A</v>
      </c>
      <c r="D3618" s="6">
        <f t="shared" si="57"/>
        <v>0</v>
      </c>
    </row>
    <row r="3619" spans="3:4" ht="15" x14ac:dyDescent="0.25">
      <c r="C3619" s="8" t="e">
        <f>VLOOKUP(A:A,'ITEM LIST'!A:C,3,0)</f>
        <v>#N/A</v>
      </c>
      <c r="D3619" s="6">
        <f t="shared" si="57"/>
        <v>0</v>
      </c>
    </row>
    <row r="3620" spans="3:4" ht="15" x14ac:dyDescent="0.25">
      <c r="C3620" s="8" t="e">
        <f>VLOOKUP(A:A,'ITEM LIST'!A:C,3,0)</f>
        <v>#N/A</v>
      </c>
      <c r="D3620" s="6">
        <f t="shared" si="57"/>
        <v>0</v>
      </c>
    </row>
    <row r="3621" spans="3:4" ht="15" x14ac:dyDescent="0.25">
      <c r="C3621" s="8" t="e">
        <f>VLOOKUP(A:A,'ITEM LIST'!A:C,3,0)</f>
        <v>#N/A</v>
      </c>
      <c r="D3621" s="6">
        <f t="shared" si="57"/>
        <v>0</v>
      </c>
    </row>
    <row r="3622" spans="3:4" ht="15" x14ac:dyDescent="0.25">
      <c r="C3622" s="8" t="e">
        <f>VLOOKUP(A:A,'ITEM LIST'!A:C,3,0)</f>
        <v>#N/A</v>
      </c>
      <c r="D3622" s="6">
        <f t="shared" si="57"/>
        <v>0</v>
      </c>
    </row>
    <row r="3623" spans="3:4" ht="15" x14ac:dyDescent="0.25">
      <c r="C3623" s="8" t="e">
        <f>VLOOKUP(A:A,'ITEM LIST'!A:C,3,0)</f>
        <v>#N/A</v>
      </c>
      <c r="D3623" s="6">
        <f t="shared" si="57"/>
        <v>0</v>
      </c>
    </row>
    <row r="3624" spans="3:4" ht="15" x14ac:dyDescent="0.25">
      <c r="C3624" s="8" t="e">
        <f>VLOOKUP(A:A,'ITEM LIST'!A:C,3,0)</f>
        <v>#N/A</v>
      </c>
      <c r="D3624" s="6">
        <f t="shared" si="57"/>
        <v>0</v>
      </c>
    </row>
    <row r="3625" spans="3:4" ht="15" x14ac:dyDescent="0.25">
      <c r="C3625" s="8" t="e">
        <f>VLOOKUP(A:A,'ITEM LIST'!A:C,3,0)</f>
        <v>#N/A</v>
      </c>
      <c r="D3625" s="6">
        <f t="shared" si="57"/>
        <v>0</v>
      </c>
    </row>
    <row r="3626" spans="3:4" ht="15" x14ac:dyDescent="0.25">
      <c r="C3626" s="8" t="e">
        <f>VLOOKUP(A:A,'ITEM LIST'!A:C,3,0)</f>
        <v>#N/A</v>
      </c>
      <c r="D3626" s="6">
        <f t="shared" si="57"/>
        <v>0</v>
      </c>
    </row>
    <row r="3627" spans="3:4" ht="15" x14ac:dyDescent="0.25">
      <c r="C3627" s="8" t="e">
        <f>VLOOKUP(A:A,'ITEM LIST'!A:C,3,0)</f>
        <v>#N/A</v>
      </c>
      <c r="D3627" s="6">
        <f t="shared" si="57"/>
        <v>0</v>
      </c>
    </row>
    <row r="3628" spans="3:4" ht="15" x14ac:dyDescent="0.25">
      <c r="C3628" s="8" t="e">
        <f>VLOOKUP(A:A,'ITEM LIST'!A:C,3,0)</f>
        <v>#N/A</v>
      </c>
      <c r="D3628" s="6">
        <f t="shared" si="57"/>
        <v>0</v>
      </c>
    </row>
    <row r="3629" spans="3:4" ht="15" x14ac:dyDescent="0.25">
      <c r="C3629" s="8" t="e">
        <f>VLOOKUP(A:A,'ITEM LIST'!A:C,3,0)</f>
        <v>#N/A</v>
      </c>
      <c r="D3629" s="6">
        <f t="shared" si="57"/>
        <v>0</v>
      </c>
    </row>
    <row r="3630" spans="3:4" ht="15" x14ac:dyDescent="0.25">
      <c r="C3630" s="8" t="e">
        <f>VLOOKUP(A:A,'ITEM LIST'!A:C,3,0)</f>
        <v>#N/A</v>
      </c>
      <c r="D3630" s="6">
        <f t="shared" si="57"/>
        <v>0</v>
      </c>
    </row>
    <row r="3631" spans="3:4" ht="15" x14ac:dyDescent="0.25">
      <c r="C3631" s="8" t="e">
        <f>VLOOKUP(A:A,'ITEM LIST'!A:C,3,0)</f>
        <v>#N/A</v>
      </c>
      <c r="D3631" s="6">
        <f t="shared" si="57"/>
        <v>0</v>
      </c>
    </row>
    <row r="3632" spans="3:4" ht="15" x14ac:dyDescent="0.25">
      <c r="C3632" s="8" t="e">
        <f>VLOOKUP(A:A,'ITEM LIST'!A:C,3,0)</f>
        <v>#N/A</v>
      </c>
      <c r="D3632" s="6">
        <f t="shared" si="57"/>
        <v>0</v>
      </c>
    </row>
    <row r="3633" spans="3:4" ht="15" x14ac:dyDescent="0.25">
      <c r="C3633" s="8" t="e">
        <f>VLOOKUP(A:A,'ITEM LIST'!A:C,3,0)</f>
        <v>#N/A</v>
      </c>
      <c r="D3633" s="6">
        <f t="shared" si="57"/>
        <v>0</v>
      </c>
    </row>
    <row r="3634" spans="3:4" ht="15" x14ac:dyDescent="0.25">
      <c r="C3634" s="8" t="e">
        <f>VLOOKUP(A:A,'ITEM LIST'!A:C,3,0)</f>
        <v>#N/A</v>
      </c>
      <c r="D3634" s="6">
        <f t="shared" si="57"/>
        <v>0</v>
      </c>
    </row>
    <row r="3635" spans="3:4" ht="15" x14ac:dyDescent="0.25">
      <c r="C3635" s="8" t="e">
        <f>VLOOKUP(A:A,'ITEM LIST'!A:C,3,0)</f>
        <v>#N/A</v>
      </c>
      <c r="D3635" s="6">
        <f t="shared" si="57"/>
        <v>0</v>
      </c>
    </row>
    <row r="3636" spans="3:4" ht="15" x14ac:dyDescent="0.25">
      <c r="C3636" s="8" t="e">
        <f>VLOOKUP(A:A,'ITEM LIST'!A:C,3,0)</f>
        <v>#N/A</v>
      </c>
      <c r="D3636" s="6">
        <f t="shared" si="57"/>
        <v>0</v>
      </c>
    </row>
    <row r="3637" spans="3:4" ht="15" x14ac:dyDescent="0.25">
      <c r="C3637" s="8" t="e">
        <f>VLOOKUP(A:A,'ITEM LIST'!A:C,3,0)</f>
        <v>#N/A</v>
      </c>
      <c r="D3637" s="6">
        <f t="shared" si="57"/>
        <v>0</v>
      </c>
    </row>
    <row r="3638" spans="3:4" ht="15" x14ac:dyDescent="0.25">
      <c r="C3638" s="8" t="e">
        <f>VLOOKUP(A:A,'ITEM LIST'!A:C,3,0)</f>
        <v>#N/A</v>
      </c>
      <c r="D3638" s="6">
        <f t="shared" si="57"/>
        <v>0</v>
      </c>
    </row>
    <row r="3639" spans="3:4" ht="15" x14ac:dyDescent="0.25">
      <c r="C3639" s="8" t="e">
        <f>VLOOKUP(A:A,'ITEM LIST'!A:C,3,0)</f>
        <v>#N/A</v>
      </c>
      <c r="D3639" s="6">
        <f t="shared" si="57"/>
        <v>0</v>
      </c>
    </row>
    <row r="3640" spans="3:4" ht="15" x14ac:dyDescent="0.25">
      <c r="C3640" s="8" t="e">
        <f>VLOOKUP(A:A,'ITEM LIST'!A:C,3,0)</f>
        <v>#N/A</v>
      </c>
      <c r="D3640" s="6">
        <f t="shared" si="57"/>
        <v>0</v>
      </c>
    </row>
    <row r="3641" spans="3:4" ht="15" x14ac:dyDescent="0.25">
      <c r="C3641" s="8" t="e">
        <f>VLOOKUP(A:A,'ITEM LIST'!A:C,3,0)</f>
        <v>#N/A</v>
      </c>
      <c r="D3641" s="6">
        <f t="shared" si="57"/>
        <v>0</v>
      </c>
    </row>
    <row r="3642" spans="3:4" ht="15" x14ac:dyDescent="0.25">
      <c r="C3642" s="8" t="e">
        <f>VLOOKUP(A:A,'ITEM LIST'!A:C,3,0)</f>
        <v>#N/A</v>
      </c>
      <c r="D3642" s="6">
        <f t="shared" si="57"/>
        <v>0</v>
      </c>
    </row>
    <row r="3643" spans="3:4" ht="15" x14ac:dyDescent="0.25">
      <c r="C3643" s="8" t="e">
        <f>VLOOKUP(A:A,'ITEM LIST'!A:C,3,0)</f>
        <v>#N/A</v>
      </c>
      <c r="D3643" s="6">
        <f t="shared" si="57"/>
        <v>0</v>
      </c>
    </row>
    <row r="3644" spans="3:4" ht="15" x14ac:dyDescent="0.25">
      <c r="C3644" s="8" t="e">
        <f>VLOOKUP(A:A,'ITEM LIST'!A:C,3,0)</f>
        <v>#N/A</v>
      </c>
      <c r="D3644" s="6">
        <f t="shared" si="57"/>
        <v>0</v>
      </c>
    </row>
    <row r="3645" spans="3:4" ht="15" x14ac:dyDescent="0.25">
      <c r="C3645" s="8" t="e">
        <f>VLOOKUP(A:A,'ITEM LIST'!A:C,3,0)</f>
        <v>#N/A</v>
      </c>
      <c r="D3645" s="6">
        <f t="shared" si="57"/>
        <v>0</v>
      </c>
    </row>
    <row r="3646" spans="3:4" ht="15" x14ac:dyDescent="0.25">
      <c r="C3646" s="8" t="e">
        <f>VLOOKUP(A:A,'ITEM LIST'!A:C,3,0)</f>
        <v>#N/A</v>
      </c>
      <c r="D3646" s="6">
        <f t="shared" si="57"/>
        <v>0</v>
      </c>
    </row>
    <row r="3647" spans="3:4" ht="15" x14ac:dyDescent="0.25">
      <c r="C3647" s="8" t="e">
        <f>VLOOKUP(A:A,'ITEM LIST'!A:C,3,0)</f>
        <v>#N/A</v>
      </c>
      <c r="D3647" s="6">
        <f t="shared" si="57"/>
        <v>0</v>
      </c>
    </row>
    <row r="3648" spans="3:4" ht="15" x14ac:dyDescent="0.25">
      <c r="C3648" s="8" t="e">
        <f>VLOOKUP(A:A,'ITEM LIST'!A:C,3,0)</f>
        <v>#N/A</v>
      </c>
      <c r="D3648" s="6">
        <f t="shared" si="57"/>
        <v>0</v>
      </c>
    </row>
    <row r="3649" spans="3:4" ht="15" x14ac:dyDescent="0.25">
      <c r="C3649" s="8" t="e">
        <f>VLOOKUP(A:A,'ITEM LIST'!A:C,3,0)</f>
        <v>#N/A</v>
      </c>
      <c r="D3649" s="6">
        <f t="shared" si="57"/>
        <v>0</v>
      </c>
    </row>
    <row r="3650" spans="3:4" ht="15" x14ac:dyDescent="0.25">
      <c r="C3650" s="8" t="e">
        <f>VLOOKUP(A:A,'ITEM LIST'!A:C,3,0)</f>
        <v>#N/A</v>
      </c>
      <c r="D3650" s="6">
        <f t="shared" si="57"/>
        <v>0</v>
      </c>
    </row>
    <row r="3651" spans="3:4" ht="15" x14ac:dyDescent="0.25">
      <c r="C3651" s="8" t="e">
        <f>VLOOKUP(A:A,'ITEM LIST'!A:C,3,0)</f>
        <v>#N/A</v>
      </c>
      <c r="D3651" s="6">
        <f t="shared" si="57"/>
        <v>0</v>
      </c>
    </row>
    <row r="3652" spans="3:4" ht="15" x14ac:dyDescent="0.25">
      <c r="C3652" s="8" t="e">
        <f>VLOOKUP(A:A,'ITEM LIST'!A:C,3,0)</f>
        <v>#N/A</v>
      </c>
      <c r="D3652" s="6">
        <f t="shared" si="57"/>
        <v>0</v>
      </c>
    </row>
    <row r="3653" spans="3:4" ht="15" x14ac:dyDescent="0.25">
      <c r="C3653" s="8" t="e">
        <f>VLOOKUP(A:A,'ITEM LIST'!A:C,3,0)</f>
        <v>#N/A</v>
      </c>
      <c r="D3653" s="6">
        <f t="shared" si="57"/>
        <v>0</v>
      </c>
    </row>
    <row r="3654" spans="3:4" ht="15" x14ac:dyDescent="0.25">
      <c r="C3654" s="8" t="e">
        <f>VLOOKUP(A:A,'ITEM LIST'!A:C,3,0)</f>
        <v>#N/A</v>
      </c>
      <c r="D3654" s="6">
        <f t="shared" ref="D3654:D3717" si="58">B3654</f>
        <v>0</v>
      </c>
    </row>
    <row r="3655" spans="3:4" ht="15" x14ac:dyDescent="0.25">
      <c r="C3655" s="8" t="e">
        <f>VLOOKUP(A:A,'ITEM LIST'!A:C,3,0)</f>
        <v>#N/A</v>
      </c>
      <c r="D3655" s="6">
        <f t="shared" si="58"/>
        <v>0</v>
      </c>
    </row>
    <row r="3656" spans="3:4" ht="15" x14ac:dyDescent="0.25">
      <c r="C3656" s="8" t="e">
        <f>VLOOKUP(A:A,'ITEM LIST'!A:C,3,0)</f>
        <v>#N/A</v>
      </c>
      <c r="D3656" s="6">
        <f t="shared" si="58"/>
        <v>0</v>
      </c>
    </row>
    <row r="3657" spans="3:4" ht="15" x14ac:dyDescent="0.25">
      <c r="C3657" s="8" t="e">
        <f>VLOOKUP(A:A,'ITEM LIST'!A:C,3,0)</f>
        <v>#N/A</v>
      </c>
      <c r="D3657" s="6">
        <f t="shared" si="58"/>
        <v>0</v>
      </c>
    </row>
    <row r="3658" spans="3:4" ht="15" x14ac:dyDescent="0.25">
      <c r="C3658" s="8" t="e">
        <f>VLOOKUP(A:A,'ITEM LIST'!A:C,3,0)</f>
        <v>#N/A</v>
      </c>
      <c r="D3658" s="6">
        <f t="shared" si="58"/>
        <v>0</v>
      </c>
    </row>
    <row r="3659" spans="3:4" ht="15" x14ac:dyDescent="0.25">
      <c r="C3659" s="8" t="e">
        <f>VLOOKUP(A:A,'ITEM LIST'!A:C,3,0)</f>
        <v>#N/A</v>
      </c>
      <c r="D3659" s="6">
        <f t="shared" si="58"/>
        <v>0</v>
      </c>
    </row>
    <row r="3660" spans="3:4" ht="15" x14ac:dyDescent="0.25">
      <c r="C3660" s="8" t="e">
        <f>VLOOKUP(A:A,'ITEM LIST'!A:C,3,0)</f>
        <v>#N/A</v>
      </c>
      <c r="D3660" s="6">
        <f t="shared" si="58"/>
        <v>0</v>
      </c>
    </row>
    <row r="3661" spans="3:4" ht="15" x14ac:dyDescent="0.25">
      <c r="C3661" s="8" t="e">
        <f>VLOOKUP(A:A,'ITEM LIST'!A:C,3,0)</f>
        <v>#N/A</v>
      </c>
      <c r="D3661" s="6">
        <f t="shared" si="58"/>
        <v>0</v>
      </c>
    </row>
    <row r="3662" spans="3:4" ht="15" x14ac:dyDescent="0.25">
      <c r="C3662" s="8" t="e">
        <f>VLOOKUP(A:A,'ITEM LIST'!A:C,3,0)</f>
        <v>#N/A</v>
      </c>
      <c r="D3662" s="6">
        <f t="shared" si="58"/>
        <v>0</v>
      </c>
    </row>
    <row r="3663" spans="3:4" ht="15" x14ac:dyDescent="0.25">
      <c r="C3663" s="8" t="e">
        <f>VLOOKUP(A:A,'ITEM LIST'!A:C,3,0)</f>
        <v>#N/A</v>
      </c>
      <c r="D3663" s="6">
        <f t="shared" si="58"/>
        <v>0</v>
      </c>
    </row>
    <row r="3664" spans="3:4" ht="15" x14ac:dyDescent="0.25">
      <c r="C3664" s="8" t="e">
        <f>VLOOKUP(A:A,'ITEM LIST'!A:C,3,0)</f>
        <v>#N/A</v>
      </c>
      <c r="D3664" s="6">
        <f t="shared" si="58"/>
        <v>0</v>
      </c>
    </row>
    <row r="3665" spans="3:4" ht="15" x14ac:dyDescent="0.25">
      <c r="C3665" s="8" t="e">
        <f>VLOOKUP(A:A,'ITEM LIST'!A:C,3,0)</f>
        <v>#N/A</v>
      </c>
      <c r="D3665" s="6">
        <f t="shared" si="58"/>
        <v>0</v>
      </c>
    </row>
    <row r="3666" spans="3:4" ht="15" x14ac:dyDescent="0.25">
      <c r="C3666" s="8" t="e">
        <f>VLOOKUP(A:A,'ITEM LIST'!A:C,3,0)</f>
        <v>#N/A</v>
      </c>
      <c r="D3666" s="6">
        <f t="shared" si="58"/>
        <v>0</v>
      </c>
    </row>
    <row r="3667" spans="3:4" ht="15" x14ac:dyDescent="0.25">
      <c r="C3667" s="8" t="e">
        <f>VLOOKUP(A:A,'ITEM LIST'!A:C,3,0)</f>
        <v>#N/A</v>
      </c>
      <c r="D3667" s="6">
        <f t="shared" si="58"/>
        <v>0</v>
      </c>
    </row>
    <row r="3668" spans="3:4" ht="15" x14ac:dyDescent="0.25">
      <c r="C3668" s="8" t="e">
        <f>VLOOKUP(A:A,'ITEM LIST'!A:C,3,0)</f>
        <v>#N/A</v>
      </c>
      <c r="D3668" s="6">
        <f t="shared" si="58"/>
        <v>0</v>
      </c>
    </row>
    <row r="3669" spans="3:4" ht="15" x14ac:dyDescent="0.25">
      <c r="C3669" s="8" t="e">
        <f>VLOOKUP(A:A,'ITEM LIST'!A:C,3,0)</f>
        <v>#N/A</v>
      </c>
      <c r="D3669" s="6">
        <f t="shared" si="58"/>
        <v>0</v>
      </c>
    </row>
    <row r="3670" spans="3:4" ht="15" x14ac:dyDescent="0.25">
      <c r="C3670" s="8" t="e">
        <f>VLOOKUP(A:A,'ITEM LIST'!A:C,3,0)</f>
        <v>#N/A</v>
      </c>
      <c r="D3670" s="6">
        <f t="shared" si="58"/>
        <v>0</v>
      </c>
    </row>
    <row r="3671" spans="3:4" ht="15" x14ac:dyDescent="0.25">
      <c r="C3671" s="8" t="e">
        <f>VLOOKUP(A:A,'ITEM LIST'!A:C,3,0)</f>
        <v>#N/A</v>
      </c>
      <c r="D3671" s="6">
        <f t="shared" si="58"/>
        <v>0</v>
      </c>
    </row>
    <row r="3672" spans="3:4" ht="15" x14ac:dyDescent="0.25">
      <c r="C3672" s="8" t="e">
        <f>VLOOKUP(A:A,'ITEM LIST'!A:C,3,0)</f>
        <v>#N/A</v>
      </c>
      <c r="D3672" s="6">
        <f t="shared" si="58"/>
        <v>0</v>
      </c>
    </row>
    <row r="3673" spans="3:4" ht="15" x14ac:dyDescent="0.25">
      <c r="C3673" s="8" t="e">
        <f>VLOOKUP(A:A,'ITEM LIST'!A:C,3,0)</f>
        <v>#N/A</v>
      </c>
      <c r="D3673" s="6">
        <f t="shared" si="58"/>
        <v>0</v>
      </c>
    </row>
    <row r="3674" spans="3:4" ht="15" x14ac:dyDescent="0.25">
      <c r="C3674" s="8" t="e">
        <f>VLOOKUP(A:A,'ITEM LIST'!A:C,3,0)</f>
        <v>#N/A</v>
      </c>
      <c r="D3674" s="6">
        <f t="shared" si="58"/>
        <v>0</v>
      </c>
    </row>
    <row r="3675" spans="3:4" ht="15" x14ac:dyDescent="0.25">
      <c r="C3675" s="8" t="e">
        <f>VLOOKUP(A:A,'ITEM LIST'!A:C,3,0)</f>
        <v>#N/A</v>
      </c>
      <c r="D3675" s="6">
        <f t="shared" si="58"/>
        <v>0</v>
      </c>
    </row>
    <row r="3676" spans="3:4" ht="15" x14ac:dyDescent="0.25">
      <c r="C3676" s="8" t="e">
        <f>VLOOKUP(A:A,'ITEM LIST'!A:C,3,0)</f>
        <v>#N/A</v>
      </c>
      <c r="D3676" s="6">
        <f t="shared" si="58"/>
        <v>0</v>
      </c>
    </row>
    <row r="3677" spans="3:4" ht="15" x14ac:dyDescent="0.25">
      <c r="C3677" s="8" t="e">
        <f>VLOOKUP(A:A,'ITEM LIST'!A:C,3,0)</f>
        <v>#N/A</v>
      </c>
      <c r="D3677" s="6">
        <f t="shared" si="58"/>
        <v>0</v>
      </c>
    </row>
    <row r="3678" spans="3:4" ht="15" x14ac:dyDescent="0.25">
      <c r="C3678" s="8" t="e">
        <f>VLOOKUP(A:A,'ITEM LIST'!A:C,3,0)</f>
        <v>#N/A</v>
      </c>
      <c r="D3678" s="6">
        <f t="shared" si="58"/>
        <v>0</v>
      </c>
    </row>
    <row r="3679" spans="3:4" ht="15" x14ac:dyDescent="0.25">
      <c r="C3679" s="8" t="e">
        <f>VLOOKUP(A:A,'ITEM LIST'!A:C,3,0)</f>
        <v>#N/A</v>
      </c>
      <c r="D3679" s="6">
        <f t="shared" si="58"/>
        <v>0</v>
      </c>
    </row>
    <row r="3680" spans="3:4" ht="15" x14ac:dyDescent="0.25">
      <c r="C3680" s="8" t="e">
        <f>VLOOKUP(A:A,'ITEM LIST'!A:C,3,0)</f>
        <v>#N/A</v>
      </c>
      <c r="D3680" s="6">
        <f t="shared" si="58"/>
        <v>0</v>
      </c>
    </row>
    <row r="3681" spans="3:4" ht="15" x14ac:dyDescent="0.25">
      <c r="C3681" s="8" t="e">
        <f>VLOOKUP(A:A,'ITEM LIST'!A:C,3,0)</f>
        <v>#N/A</v>
      </c>
      <c r="D3681" s="6">
        <f t="shared" si="58"/>
        <v>0</v>
      </c>
    </row>
    <row r="3682" spans="3:4" ht="15" x14ac:dyDescent="0.25">
      <c r="C3682" s="8" t="e">
        <f>VLOOKUP(A:A,'ITEM LIST'!A:C,3,0)</f>
        <v>#N/A</v>
      </c>
      <c r="D3682" s="6">
        <f t="shared" si="58"/>
        <v>0</v>
      </c>
    </row>
    <row r="3683" spans="3:4" ht="15" x14ac:dyDescent="0.25">
      <c r="C3683" s="8" t="e">
        <f>VLOOKUP(A:A,'ITEM LIST'!A:C,3,0)</f>
        <v>#N/A</v>
      </c>
      <c r="D3683" s="6">
        <f t="shared" si="58"/>
        <v>0</v>
      </c>
    </row>
    <row r="3684" spans="3:4" ht="15" x14ac:dyDescent="0.25">
      <c r="C3684" s="8" t="e">
        <f>VLOOKUP(A:A,'ITEM LIST'!A:C,3,0)</f>
        <v>#N/A</v>
      </c>
      <c r="D3684" s="6">
        <f t="shared" si="58"/>
        <v>0</v>
      </c>
    </row>
    <row r="3685" spans="3:4" ht="15" x14ac:dyDescent="0.25">
      <c r="C3685" s="8" t="e">
        <f>VLOOKUP(A:A,'ITEM LIST'!A:C,3,0)</f>
        <v>#N/A</v>
      </c>
      <c r="D3685" s="6">
        <f t="shared" si="58"/>
        <v>0</v>
      </c>
    </row>
    <row r="3686" spans="3:4" ht="15" x14ac:dyDescent="0.25">
      <c r="C3686" s="8" t="e">
        <f>VLOOKUP(A:A,'ITEM LIST'!A:C,3,0)</f>
        <v>#N/A</v>
      </c>
      <c r="D3686" s="6">
        <f t="shared" si="58"/>
        <v>0</v>
      </c>
    </row>
    <row r="3687" spans="3:4" ht="15" x14ac:dyDescent="0.25">
      <c r="C3687" s="8" t="e">
        <f>VLOOKUP(A:A,'ITEM LIST'!A:C,3,0)</f>
        <v>#N/A</v>
      </c>
      <c r="D3687" s="6">
        <f t="shared" si="58"/>
        <v>0</v>
      </c>
    </row>
    <row r="3688" spans="3:4" ht="15" x14ac:dyDescent="0.25">
      <c r="C3688" s="8" t="e">
        <f>VLOOKUP(A:A,'ITEM LIST'!A:C,3,0)</f>
        <v>#N/A</v>
      </c>
      <c r="D3688" s="6">
        <f t="shared" si="58"/>
        <v>0</v>
      </c>
    </row>
    <row r="3689" spans="3:4" ht="15" x14ac:dyDescent="0.25">
      <c r="C3689" s="8" t="e">
        <f>VLOOKUP(A:A,'ITEM LIST'!A:C,3,0)</f>
        <v>#N/A</v>
      </c>
      <c r="D3689" s="6">
        <f t="shared" si="58"/>
        <v>0</v>
      </c>
    </row>
    <row r="3690" spans="3:4" ht="15" x14ac:dyDescent="0.25">
      <c r="C3690" s="8" t="e">
        <f>VLOOKUP(A:A,'ITEM LIST'!A:C,3,0)</f>
        <v>#N/A</v>
      </c>
      <c r="D3690" s="6">
        <f t="shared" si="58"/>
        <v>0</v>
      </c>
    </row>
    <row r="3691" spans="3:4" ht="15" x14ac:dyDescent="0.25">
      <c r="C3691" s="8" t="e">
        <f>VLOOKUP(A:A,'ITEM LIST'!A:C,3,0)</f>
        <v>#N/A</v>
      </c>
      <c r="D3691" s="6">
        <f t="shared" si="58"/>
        <v>0</v>
      </c>
    </row>
    <row r="3692" spans="3:4" ht="15" x14ac:dyDescent="0.25">
      <c r="C3692" s="8" t="e">
        <f>VLOOKUP(A:A,'ITEM LIST'!A:C,3,0)</f>
        <v>#N/A</v>
      </c>
      <c r="D3692" s="6">
        <f t="shared" si="58"/>
        <v>0</v>
      </c>
    </row>
    <row r="3693" spans="3:4" ht="15" x14ac:dyDescent="0.25">
      <c r="C3693" s="8" t="e">
        <f>VLOOKUP(A:A,'ITEM LIST'!A:C,3,0)</f>
        <v>#N/A</v>
      </c>
      <c r="D3693" s="6">
        <f t="shared" si="58"/>
        <v>0</v>
      </c>
    </row>
    <row r="3694" spans="3:4" ht="15" x14ac:dyDescent="0.25">
      <c r="C3694" s="8" t="e">
        <f>VLOOKUP(A:A,'ITEM LIST'!A:C,3,0)</f>
        <v>#N/A</v>
      </c>
      <c r="D3694" s="6">
        <f t="shared" si="58"/>
        <v>0</v>
      </c>
    </row>
    <row r="3695" spans="3:4" ht="15" x14ac:dyDescent="0.25">
      <c r="C3695" s="8" t="e">
        <f>VLOOKUP(A:A,'ITEM LIST'!A:C,3,0)</f>
        <v>#N/A</v>
      </c>
      <c r="D3695" s="6">
        <f t="shared" si="58"/>
        <v>0</v>
      </c>
    </row>
    <row r="3696" spans="3:4" ht="15" x14ac:dyDescent="0.25">
      <c r="C3696" s="8" t="e">
        <f>VLOOKUP(A:A,'ITEM LIST'!A:C,3,0)</f>
        <v>#N/A</v>
      </c>
      <c r="D3696" s="6">
        <f t="shared" si="58"/>
        <v>0</v>
      </c>
    </row>
    <row r="3697" spans="3:4" ht="15" x14ac:dyDescent="0.25">
      <c r="C3697" s="8" t="e">
        <f>VLOOKUP(A:A,'ITEM LIST'!A:C,3,0)</f>
        <v>#N/A</v>
      </c>
      <c r="D3697" s="6">
        <f t="shared" si="58"/>
        <v>0</v>
      </c>
    </row>
    <row r="3698" spans="3:4" ht="15" x14ac:dyDescent="0.25">
      <c r="C3698" s="8" t="e">
        <f>VLOOKUP(A:A,'ITEM LIST'!A:C,3,0)</f>
        <v>#N/A</v>
      </c>
      <c r="D3698" s="6">
        <f t="shared" si="58"/>
        <v>0</v>
      </c>
    </row>
    <row r="3699" spans="3:4" ht="15" x14ac:dyDescent="0.25">
      <c r="C3699" s="8" t="e">
        <f>VLOOKUP(A:A,'ITEM LIST'!A:C,3,0)</f>
        <v>#N/A</v>
      </c>
      <c r="D3699" s="6">
        <f t="shared" si="58"/>
        <v>0</v>
      </c>
    </row>
    <row r="3700" spans="3:4" ht="15" x14ac:dyDescent="0.25">
      <c r="C3700" s="8" t="e">
        <f>VLOOKUP(A:A,'ITEM LIST'!A:C,3,0)</f>
        <v>#N/A</v>
      </c>
      <c r="D3700" s="6">
        <f t="shared" si="58"/>
        <v>0</v>
      </c>
    </row>
    <row r="3701" spans="3:4" ht="15" x14ac:dyDescent="0.25">
      <c r="C3701" s="8" t="e">
        <f>VLOOKUP(A:A,'ITEM LIST'!A:C,3,0)</f>
        <v>#N/A</v>
      </c>
      <c r="D3701" s="6">
        <f t="shared" si="58"/>
        <v>0</v>
      </c>
    </row>
    <row r="3702" spans="3:4" ht="15" x14ac:dyDescent="0.25">
      <c r="C3702" s="8" t="e">
        <f>VLOOKUP(A:A,'ITEM LIST'!A:C,3,0)</f>
        <v>#N/A</v>
      </c>
      <c r="D3702" s="6">
        <f t="shared" si="58"/>
        <v>0</v>
      </c>
    </row>
    <row r="3703" spans="3:4" ht="15" x14ac:dyDescent="0.25">
      <c r="C3703" s="8" t="e">
        <f>VLOOKUP(A:A,'ITEM LIST'!A:C,3,0)</f>
        <v>#N/A</v>
      </c>
      <c r="D3703" s="6">
        <f t="shared" si="58"/>
        <v>0</v>
      </c>
    </row>
    <row r="3704" spans="3:4" ht="15" x14ac:dyDescent="0.25">
      <c r="C3704" s="8" t="e">
        <f>VLOOKUP(A:A,'ITEM LIST'!A:C,3,0)</f>
        <v>#N/A</v>
      </c>
      <c r="D3704" s="6">
        <f t="shared" si="58"/>
        <v>0</v>
      </c>
    </row>
    <row r="3705" spans="3:4" ht="15" x14ac:dyDescent="0.25">
      <c r="C3705" s="8" t="e">
        <f>VLOOKUP(A:A,'ITEM LIST'!A:C,3,0)</f>
        <v>#N/A</v>
      </c>
      <c r="D3705" s="6">
        <f t="shared" si="58"/>
        <v>0</v>
      </c>
    </row>
    <row r="3706" spans="3:4" ht="15" x14ac:dyDescent="0.25">
      <c r="C3706" s="8" t="e">
        <f>VLOOKUP(A:A,'ITEM LIST'!A:C,3,0)</f>
        <v>#N/A</v>
      </c>
      <c r="D3706" s="6">
        <f t="shared" si="58"/>
        <v>0</v>
      </c>
    </row>
    <row r="3707" spans="3:4" ht="15" x14ac:dyDescent="0.25">
      <c r="C3707" s="8" t="e">
        <f>VLOOKUP(A:A,'ITEM LIST'!A:C,3,0)</f>
        <v>#N/A</v>
      </c>
      <c r="D3707" s="6">
        <f t="shared" si="58"/>
        <v>0</v>
      </c>
    </row>
    <row r="3708" spans="3:4" ht="15" x14ac:dyDescent="0.25">
      <c r="C3708" s="8" t="e">
        <f>VLOOKUP(A:A,'ITEM LIST'!A:C,3,0)</f>
        <v>#N/A</v>
      </c>
      <c r="D3708" s="6">
        <f t="shared" si="58"/>
        <v>0</v>
      </c>
    </row>
    <row r="3709" spans="3:4" ht="15" x14ac:dyDescent="0.25">
      <c r="C3709" s="8" t="e">
        <f>VLOOKUP(A:A,'ITEM LIST'!A:C,3,0)</f>
        <v>#N/A</v>
      </c>
      <c r="D3709" s="6">
        <f t="shared" si="58"/>
        <v>0</v>
      </c>
    </row>
    <row r="3710" spans="3:4" ht="15" x14ac:dyDescent="0.25">
      <c r="C3710" s="8" t="e">
        <f>VLOOKUP(A:A,'ITEM LIST'!A:C,3,0)</f>
        <v>#N/A</v>
      </c>
      <c r="D3710" s="6">
        <f t="shared" si="58"/>
        <v>0</v>
      </c>
    </row>
    <row r="3711" spans="3:4" ht="15" x14ac:dyDescent="0.25">
      <c r="C3711" s="8" t="e">
        <f>VLOOKUP(A:A,'ITEM LIST'!A:C,3,0)</f>
        <v>#N/A</v>
      </c>
      <c r="D3711" s="6">
        <f t="shared" si="58"/>
        <v>0</v>
      </c>
    </row>
    <row r="3712" spans="3:4" ht="15" x14ac:dyDescent="0.25">
      <c r="C3712" s="8" t="e">
        <f>VLOOKUP(A:A,'ITEM LIST'!A:C,3,0)</f>
        <v>#N/A</v>
      </c>
      <c r="D3712" s="6">
        <f t="shared" si="58"/>
        <v>0</v>
      </c>
    </row>
    <row r="3713" spans="3:4" ht="15" x14ac:dyDescent="0.25">
      <c r="C3713" s="8" t="e">
        <f>VLOOKUP(A:A,'ITEM LIST'!A:C,3,0)</f>
        <v>#N/A</v>
      </c>
      <c r="D3713" s="6">
        <f t="shared" si="58"/>
        <v>0</v>
      </c>
    </row>
    <row r="3714" spans="3:4" ht="15" x14ac:dyDescent="0.25">
      <c r="C3714" s="8" t="e">
        <f>VLOOKUP(A:A,'ITEM LIST'!A:C,3,0)</f>
        <v>#N/A</v>
      </c>
      <c r="D3714" s="6">
        <f t="shared" si="58"/>
        <v>0</v>
      </c>
    </row>
    <row r="3715" spans="3:4" ht="15" x14ac:dyDescent="0.25">
      <c r="C3715" s="8" t="e">
        <f>VLOOKUP(A:A,'ITEM LIST'!A:C,3,0)</f>
        <v>#N/A</v>
      </c>
      <c r="D3715" s="6">
        <f t="shared" si="58"/>
        <v>0</v>
      </c>
    </row>
    <row r="3716" spans="3:4" ht="15" x14ac:dyDescent="0.25">
      <c r="C3716" s="8" t="e">
        <f>VLOOKUP(A:A,'ITEM LIST'!A:C,3,0)</f>
        <v>#N/A</v>
      </c>
      <c r="D3716" s="6">
        <f t="shared" si="58"/>
        <v>0</v>
      </c>
    </row>
    <row r="3717" spans="3:4" ht="15" x14ac:dyDescent="0.25">
      <c r="C3717" s="8" t="e">
        <f>VLOOKUP(A:A,'ITEM LIST'!A:C,3,0)</f>
        <v>#N/A</v>
      </c>
      <c r="D3717" s="6">
        <f t="shared" si="58"/>
        <v>0</v>
      </c>
    </row>
    <row r="3718" spans="3:4" ht="15" x14ac:dyDescent="0.25">
      <c r="C3718" s="8" t="e">
        <f>VLOOKUP(A:A,'ITEM LIST'!A:C,3,0)</f>
        <v>#N/A</v>
      </c>
      <c r="D3718" s="6">
        <f t="shared" ref="D3718:D3781" si="59">B3718</f>
        <v>0</v>
      </c>
    </row>
    <row r="3719" spans="3:4" ht="15" x14ac:dyDescent="0.25">
      <c r="C3719" s="8" t="e">
        <f>VLOOKUP(A:A,'ITEM LIST'!A:C,3,0)</f>
        <v>#N/A</v>
      </c>
      <c r="D3719" s="6">
        <f t="shared" si="59"/>
        <v>0</v>
      </c>
    </row>
    <row r="3720" spans="3:4" ht="15" x14ac:dyDescent="0.25">
      <c r="C3720" s="8" t="e">
        <f>VLOOKUP(A:A,'ITEM LIST'!A:C,3,0)</f>
        <v>#N/A</v>
      </c>
      <c r="D3720" s="6">
        <f t="shared" si="59"/>
        <v>0</v>
      </c>
    </row>
    <row r="3721" spans="3:4" ht="15" x14ac:dyDescent="0.25">
      <c r="C3721" s="8" t="e">
        <f>VLOOKUP(A:A,'ITEM LIST'!A:C,3,0)</f>
        <v>#N/A</v>
      </c>
      <c r="D3721" s="6">
        <f t="shared" si="59"/>
        <v>0</v>
      </c>
    </row>
    <row r="3722" spans="3:4" ht="15" x14ac:dyDescent="0.25">
      <c r="C3722" s="8" t="e">
        <f>VLOOKUP(A:A,'ITEM LIST'!A:C,3,0)</f>
        <v>#N/A</v>
      </c>
      <c r="D3722" s="6">
        <f t="shared" si="59"/>
        <v>0</v>
      </c>
    </row>
    <row r="3723" spans="3:4" ht="15" x14ac:dyDescent="0.25">
      <c r="C3723" s="8" t="e">
        <f>VLOOKUP(A:A,'ITEM LIST'!A:C,3,0)</f>
        <v>#N/A</v>
      </c>
      <c r="D3723" s="6">
        <f t="shared" si="59"/>
        <v>0</v>
      </c>
    </row>
    <row r="3724" spans="3:4" ht="15" x14ac:dyDescent="0.25">
      <c r="C3724" s="8" t="e">
        <f>VLOOKUP(A:A,'ITEM LIST'!A:C,3,0)</f>
        <v>#N/A</v>
      </c>
      <c r="D3724" s="6">
        <f t="shared" si="59"/>
        <v>0</v>
      </c>
    </row>
    <row r="3725" spans="3:4" ht="15" x14ac:dyDescent="0.25">
      <c r="C3725" s="8" t="e">
        <f>VLOOKUP(A:A,'ITEM LIST'!A:C,3,0)</f>
        <v>#N/A</v>
      </c>
      <c r="D3725" s="6">
        <f t="shared" si="59"/>
        <v>0</v>
      </c>
    </row>
    <row r="3726" spans="3:4" ht="15" x14ac:dyDescent="0.25">
      <c r="C3726" s="8" t="e">
        <f>VLOOKUP(A:A,'ITEM LIST'!A:C,3,0)</f>
        <v>#N/A</v>
      </c>
      <c r="D3726" s="6">
        <f t="shared" si="59"/>
        <v>0</v>
      </c>
    </row>
    <row r="3727" spans="3:4" ht="15" x14ac:dyDescent="0.25">
      <c r="C3727" s="8" t="e">
        <f>VLOOKUP(A:A,'ITEM LIST'!A:C,3,0)</f>
        <v>#N/A</v>
      </c>
      <c r="D3727" s="6">
        <f t="shared" si="59"/>
        <v>0</v>
      </c>
    </row>
    <row r="3728" spans="3:4" ht="15" x14ac:dyDescent="0.25">
      <c r="C3728" s="8" t="e">
        <f>VLOOKUP(A:A,'ITEM LIST'!A:C,3,0)</f>
        <v>#N/A</v>
      </c>
      <c r="D3728" s="6">
        <f t="shared" si="59"/>
        <v>0</v>
      </c>
    </row>
    <row r="3729" spans="3:4" ht="15" x14ac:dyDescent="0.25">
      <c r="C3729" s="8" t="e">
        <f>VLOOKUP(A:A,'ITEM LIST'!A:C,3,0)</f>
        <v>#N/A</v>
      </c>
      <c r="D3729" s="6">
        <f t="shared" si="59"/>
        <v>0</v>
      </c>
    </row>
    <row r="3730" spans="3:4" ht="15" x14ac:dyDescent="0.25">
      <c r="C3730" s="8" t="e">
        <f>VLOOKUP(A:A,'ITEM LIST'!A:C,3,0)</f>
        <v>#N/A</v>
      </c>
      <c r="D3730" s="6">
        <f t="shared" si="59"/>
        <v>0</v>
      </c>
    </row>
    <row r="3731" spans="3:4" ht="15" x14ac:dyDescent="0.25">
      <c r="C3731" s="8" t="e">
        <f>VLOOKUP(A:A,'ITEM LIST'!A:C,3,0)</f>
        <v>#N/A</v>
      </c>
      <c r="D3731" s="6">
        <f t="shared" si="59"/>
        <v>0</v>
      </c>
    </row>
    <row r="3732" spans="3:4" ht="15" x14ac:dyDescent="0.25">
      <c r="C3732" s="8" t="e">
        <f>VLOOKUP(A:A,'ITEM LIST'!A:C,3,0)</f>
        <v>#N/A</v>
      </c>
      <c r="D3732" s="6">
        <f t="shared" si="59"/>
        <v>0</v>
      </c>
    </row>
    <row r="3733" spans="3:4" ht="15" x14ac:dyDescent="0.25">
      <c r="C3733" s="8" t="e">
        <f>VLOOKUP(A:A,'ITEM LIST'!A:C,3,0)</f>
        <v>#N/A</v>
      </c>
      <c r="D3733" s="6">
        <f t="shared" si="59"/>
        <v>0</v>
      </c>
    </row>
    <row r="3734" spans="3:4" ht="15" x14ac:dyDescent="0.25">
      <c r="C3734" s="8" t="e">
        <f>VLOOKUP(A:A,'ITEM LIST'!A:C,3,0)</f>
        <v>#N/A</v>
      </c>
      <c r="D3734" s="6">
        <f t="shared" si="59"/>
        <v>0</v>
      </c>
    </row>
    <row r="3735" spans="3:4" ht="15" x14ac:dyDescent="0.25">
      <c r="C3735" s="8" t="e">
        <f>VLOOKUP(A:A,'ITEM LIST'!A:C,3,0)</f>
        <v>#N/A</v>
      </c>
      <c r="D3735" s="6">
        <f t="shared" si="59"/>
        <v>0</v>
      </c>
    </row>
    <row r="3736" spans="3:4" ht="15" x14ac:dyDescent="0.25">
      <c r="C3736" s="8" t="e">
        <f>VLOOKUP(A:A,'ITEM LIST'!A:C,3,0)</f>
        <v>#N/A</v>
      </c>
      <c r="D3736" s="6">
        <f t="shared" si="59"/>
        <v>0</v>
      </c>
    </row>
    <row r="3737" spans="3:4" ht="15" x14ac:dyDescent="0.25">
      <c r="C3737" s="8" t="e">
        <f>VLOOKUP(A:A,'ITEM LIST'!A:C,3,0)</f>
        <v>#N/A</v>
      </c>
      <c r="D3737" s="6">
        <f t="shared" si="59"/>
        <v>0</v>
      </c>
    </row>
    <row r="3738" spans="3:4" ht="15" x14ac:dyDescent="0.25">
      <c r="C3738" s="8" t="e">
        <f>VLOOKUP(A:A,'ITEM LIST'!A:C,3,0)</f>
        <v>#N/A</v>
      </c>
      <c r="D3738" s="6">
        <f t="shared" si="59"/>
        <v>0</v>
      </c>
    </row>
    <row r="3739" spans="3:4" ht="15" x14ac:dyDescent="0.25">
      <c r="C3739" s="8" t="e">
        <f>VLOOKUP(A:A,'ITEM LIST'!A:C,3,0)</f>
        <v>#N/A</v>
      </c>
      <c r="D3739" s="6">
        <f t="shared" si="59"/>
        <v>0</v>
      </c>
    </row>
    <row r="3740" spans="3:4" ht="15" x14ac:dyDescent="0.25">
      <c r="C3740" s="8" t="e">
        <f>VLOOKUP(A:A,'ITEM LIST'!A:C,3,0)</f>
        <v>#N/A</v>
      </c>
      <c r="D3740" s="6">
        <f t="shared" si="59"/>
        <v>0</v>
      </c>
    </row>
    <row r="3741" spans="3:4" ht="15" x14ac:dyDescent="0.25">
      <c r="C3741" s="8" t="e">
        <f>VLOOKUP(A:A,'ITEM LIST'!A:C,3,0)</f>
        <v>#N/A</v>
      </c>
      <c r="D3741" s="6">
        <f t="shared" si="59"/>
        <v>0</v>
      </c>
    </row>
    <row r="3742" spans="3:4" ht="15" x14ac:dyDescent="0.25">
      <c r="C3742" s="8" t="e">
        <f>VLOOKUP(A:A,'ITEM LIST'!A:C,3,0)</f>
        <v>#N/A</v>
      </c>
      <c r="D3742" s="6">
        <f t="shared" si="59"/>
        <v>0</v>
      </c>
    </row>
    <row r="3743" spans="3:4" ht="15" x14ac:dyDescent="0.25">
      <c r="C3743" s="8" t="e">
        <f>VLOOKUP(A:A,'ITEM LIST'!A:C,3,0)</f>
        <v>#N/A</v>
      </c>
      <c r="D3743" s="6">
        <f t="shared" si="59"/>
        <v>0</v>
      </c>
    </row>
    <row r="3744" spans="3:4" ht="15" x14ac:dyDescent="0.25">
      <c r="C3744" s="8" t="e">
        <f>VLOOKUP(A:A,'ITEM LIST'!A:C,3,0)</f>
        <v>#N/A</v>
      </c>
      <c r="D3744" s="6">
        <f t="shared" si="59"/>
        <v>0</v>
      </c>
    </row>
    <row r="3745" spans="3:4" ht="15" x14ac:dyDescent="0.25">
      <c r="C3745" s="8" t="e">
        <f>VLOOKUP(A:A,'ITEM LIST'!A:C,3,0)</f>
        <v>#N/A</v>
      </c>
      <c r="D3745" s="6">
        <f t="shared" si="59"/>
        <v>0</v>
      </c>
    </row>
    <row r="3746" spans="3:4" ht="15" x14ac:dyDescent="0.25">
      <c r="C3746" s="8" t="e">
        <f>VLOOKUP(A:A,'ITEM LIST'!A:C,3,0)</f>
        <v>#N/A</v>
      </c>
      <c r="D3746" s="6">
        <f t="shared" si="59"/>
        <v>0</v>
      </c>
    </row>
    <row r="3747" spans="3:4" ht="15" x14ac:dyDescent="0.25">
      <c r="C3747" s="8" t="e">
        <f>VLOOKUP(A:A,'ITEM LIST'!A:C,3,0)</f>
        <v>#N/A</v>
      </c>
      <c r="D3747" s="6">
        <f t="shared" si="59"/>
        <v>0</v>
      </c>
    </row>
    <row r="3748" spans="3:4" ht="15" x14ac:dyDescent="0.25">
      <c r="C3748" s="8" t="e">
        <f>VLOOKUP(A:A,'ITEM LIST'!A:C,3,0)</f>
        <v>#N/A</v>
      </c>
      <c r="D3748" s="6">
        <f t="shared" si="59"/>
        <v>0</v>
      </c>
    </row>
    <row r="3749" spans="3:4" ht="15" x14ac:dyDescent="0.25">
      <c r="C3749" s="8" t="e">
        <f>VLOOKUP(A:A,'ITEM LIST'!A:C,3,0)</f>
        <v>#N/A</v>
      </c>
      <c r="D3749" s="6">
        <f t="shared" si="59"/>
        <v>0</v>
      </c>
    </row>
    <row r="3750" spans="3:4" ht="15" x14ac:dyDescent="0.25">
      <c r="C3750" s="8" t="e">
        <f>VLOOKUP(A:A,'ITEM LIST'!A:C,3,0)</f>
        <v>#N/A</v>
      </c>
      <c r="D3750" s="6">
        <f t="shared" si="59"/>
        <v>0</v>
      </c>
    </row>
    <row r="3751" spans="3:4" ht="15" x14ac:dyDescent="0.25">
      <c r="C3751" s="8" t="e">
        <f>VLOOKUP(A:A,'ITEM LIST'!A:C,3,0)</f>
        <v>#N/A</v>
      </c>
      <c r="D3751" s="6">
        <f t="shared" si="59"/>
        <v>0</v>
      </c>
    </row>
    <row r="3752" spans="3:4" ht="15" x14ac:dyDescent="0.25">
      <c r="C3752" s="8" t="e">
        <f>VLOOKUP(A:A,'ITEM LIST'!A:C,3,0)</f>
        <v>#N/A</v>
      </c>
      <c r="D3752" s="6">
        <f t="shared" si="59"/>
        <v>0</v>
      </c>
    </row>
    <row r="3753" spans="3:4" ht="15" x14ac:dyDescent="0.25">
      <c r="C3753" s="8" t="e">
        <f>VLOOKUP(A:A,'ITEM LIST'!A:C,3,0)</f>
        <v>#N/A</v>
      </c>
      <c r="D3753" s="6">
        <f t="shared" si="59"/>
        <v>0</v>
      </c>
    </row>
    <row r="3754" spans="3:4" ht="15" x14ac:dyDescent="0.25">
      <c r="C3754" s="8" t="e">
        <f>VLOOKUP(A:A,'ITEM LIST'!A:C,3,0)</f>
        <v>#N/A</v>
      </c>
      <c r="D3754" s="6">
        <f t="shared" si="59"/>
        <v>0</v>
      </c>
    </row>
    <row r="3755" spans="3:4" ht="15" x14ac:dyDescent="0.25">
      <c r="C3755" s="8" t="e">
        <f>VLOOKUP(A:A,'ITEM LIST'!A:C,3,0)</f>
        <v>#N/A</v>
      </c>
      <c r="D3755" s="6">
        <f t="shared" si="59"/>
        <v>0</v>
      </c>
    </row>
    <row r="3756" spans="3:4" ht="15" x14ac:dyDescent="0.25">
      <c r="C3756" s="8" t="e">
        <f>VLOOKUP(A:A,'ITEM LIST'!A:C,3,0)</f>
        <v>#N/A</v>
      </c>
      <c r="D3756" s="6">
        <f t="shared" si="59"/>
        <v>0</v>
      </c>
    </row>
    <row r="3757" spans="3:4" ht="15" x14ac:dyDescent="0.25">
      <c r="C3757" s="8" t="e">
        <f>VLOOKUP(A:A,'ITEM LIST'!A:C,3,0)</f>
        <v>#N/A</v>
      </c>
      <c r="D3757" s="6">
        <f t="shared" si="59"/>
        <v>0</v>
      </c>
    </row>
    <row r="3758" spans="3:4" ht="15" x14ac:dyDescent="0.25">
      <c r="C3758" s="8" t="e">
        <f>VLOOKUP(A:A,'ITEM LIST'!A:C,3,0)</f>
        <v>#N/A</v>
      </c>
      <c r="D3758" s="6">
        <f t="shared" si="59"/>
        <v>0</v>
      </c>
    </row>
    <row r="3759" spans="3:4" ht="15" x14ac:dyDescent="0.25">
      <c r="C3759" s="8" t="e">
        <f>VLOOKUP(A:A,'ITEM LIST'!A:C,3,0)</f>
        <v>#N/A</v>
      </c>
      <c r="D3759" s="6">
        <f t="shared" si="59"/>
        <v>0</v>
      </c>
    </row>
    <row r="3760" spans="3:4" ht="15" x14ac:dyDescent="0.25">
      <c r="C3760" s="8" t="e">
        <f>VLOOKUP(A:A,'ITEM LIST'!A:C,3,0)</f>
        <v>#N/A</v>
      </c>
      <c r="D3760" s="6">
        <f t="shared" si="59"/>
        <v>0</v>
      </c>
    </row>
    <row r="3761" spans="3:4" ht="15" x14ac:dyDescent="0.25">
      <c r="C3761" s="8" t="e">
        <f>VLOOKUP(A:A,'ITEM LIST'!A:C,3,0)</f>
        <v>#N/A</v>
      </c>
      <c r="D3761" s="6">
        <f t="shared" si="59"/>
        <v>0</v>
      </c>
    </row>
    <row r="3762" spans="3:4" ht="15" x14ac:dyDescent="0.25">
      <c r="C3762" s="8" t="e">
        <f>VLOOKUP(A:A,'ITEM LIST'!A:C,3,0)</f>
        <v>#N/A</v>
      </c>
      <c r="D3762" s="6">
        <f t="shared" si="59"/>
        <v>0</v>
      </c>
    </row>
    <row r="3763" spans="3:4" ht="15" x14ac:dyDescent="0.25">
      <c r="C3763" s="8" t="e">
        <f>VLOOKUP(A:A,'ITEM LIST'!A:C,3,0)</f>
        <v>#N/A</v>
      </c>
      <c r="D3763" s="6">
        <f t="shared" si="59"/>
        <v>0</v>
      </c>
    </row>
    <row r="3764" spans="3:4" ht="15" x14ac:dyDescent="0.25">
      <c r="C3764" s="8" t="e">
        <f>VLOOKUP(A:A,'ITEM LIST'!A:C,3,0)</f>
        <v>#N/A</v>
      </c>
      <c r="D3764" s="6">
        <f t="shared" si="59"/>
        <v>0</v>
      </c>
    </row>
    <row r="3765" spans="3:4" ht="15" x14ac:dyDescent="0.25">
      <c r="C3765" s="8" t="e">
        <f>VLOOKUP(A:A,'ITEM LIST'!A:C,3,0)</f>
        <v>#N/A</v>
      </c>
      <c r="D3765" s="6">
        <f t="shared" si="59"/>
        <v>0</v>
      </c>
    </row>
    <row r="3766" spans="3:4" ht="15" x14ac:dyDescent="0.25">
      <c r="C3766" s="8" t="e">
        <f>VLOOKUP(A:A,'ITEM LIST'!A:C,3,0)</f>
        <v>#N/A</v>
      </c>
      <c r="D3766" s="6">
        <f t="shared" si="59"/>
        <v>0</v>
      </c>
    </row>
    <row r="3767" spans="3:4" ht="15" x14ac:dyDescent="0.25">
      <c r="C3767" s="8" t="e">
        <f>VLOOKUP(A:A,'ITEM LIST'!A:C,3,0)</f>
        <v>#N/A</v>
      </c>
      <c r="D3767" s="6">
        <f t="shared" si="59"/>
        <v>0</v>
      </c>
    </row>
    <row r="3768" spans="3:4" ht="15" x14ac:dyDescent="0.25">
      <c r="C3768" s="8" t="e">
        <f>VLOOKUP(A:A,'ITEM LIST'!A:C,3,0)</f>
        <v>#N/A</v>
      </c>
      <c r="D3768" s="6">
        <f t="shared" si="59"/>
        <v>0</v>
      </c>
    </row>
    <row r="3769" spans="3:4" ht="15" x14ac:dyDescent="0.25">
      <c r="C3769" s="8" t="e">
        <f>VLOOKUP(A:A,'ITEM LIST'!A:C,3,0)</f>
        <v>#N/A</v>
      </c>
      <c r="D3769" s="6">
        <f t="shared" si="59"/>
        <v>0</v>
      </c>
    </row>
    <row r="3770" spans="3:4" ht="15" x14ac:dyDescent="0.25">
      <c r="C3770" s="8" t="e">
        <f>VLOOKUP(A:A,'ITEM LIST'!A:C,3,0)</f>
        <v>#N/A</v>
      </c>
      <c r="D3770" s="6">
        <f t="shared" si="59"/>
        <v>0</v>
      </c>
    </row>
    <row r="3771" spans="3:4" ht="15" x14ac:dyDescent="0.25">
      <c r="C3771" s="8" t="e">
        <f>VLOOKUP(A:A,'ITEM LIST'!A:C,3,0)</f>
        <v>#N/A</v>
      </c>
      <c r="D3771" s="6">
        <f t="shared" si="59"/>
        <v>0</v>
      </c>
    </row>
    <row r="3772" spans="3:4" ht="15" x14ac:dyDescent="0.25">
      <c r="C3772" s="8" t="e">
        <f>VLOOKUP(A:A,'ITEM LIST'!A:C,3,0)</f>
        <v>#N/A</v>
      </c>
      <c r="D3772" s="6">
        <f t="shared" si="59"/>
        <v>0</v>
      </c>
    </row>
    <row r="3773" spans="3:4" ht="15" x14ac:dyDescent="0.25">
      <c r="C3773" s="8" t="e">
        <f>VLOOKUP(A:A,'ITEM LIST'!A:C,3,0)</f>
        <v>#N/A</v>
      </c>
      <c r="D3773" s="6">
        <f t="shared" si="59"/>
        <v>0</v>
      </c>
    </row>
    <row r="3774" spans="3:4" ht="15" x14ac:dyDescent="0.25">
      <c r="C3774" s="8" t="e">
        <f>VLOOKUP(A:A,'ITEM LIST'!A:C,3,0)</f>
        <v>#N/A</v>
      </c>
      <c r="D3774" s="6">
        <f t="shared" si="59"/>
        <v>0</v>
      </c>
    </row>
    <row r="3775" spans="3:4" ht="15" x14ac:dyDescent="0.25">
      <c r="C3775" s="8" t="e">
        <f>VLOOKUP(A:A,'ITEM LIST'!A:C,3,0)</f>
        <v>#N/A</v>
      </c>
      <c r="D3775" s="6">
        <f t="shared" si="59"/>
        <v>0</v>
      </c>
    </row>
    <row r="3776" spans="3:4" ht="15" x14ac:dyDescent="0.25">
      <c r="C3776" s="8" t="e">
        <f>VLOOKUP(A:A,'ITEM LIST'!A:C,3,0)</f>
        <v>#N/A</v>
      </c>
      <c r="D3776" s="6">
        <f t="shared" si="59"/>
        <v>0</v>
      </c>
    </row>
    <row r="3777" spans="3:4" ht="15" x14ac:dyDescent="0.25">
      <c r="C3777" s="8" t="e">
        <f>VLOOKUP(A:A,'ITEM LIST'!A:C,3,0)</f>
        <v>#N/A</v>
      </c>
      <c r="D3777" s="6">
        <f t="shared" si="59"/>
        <v>0</v>
      </c>
    </row>
    <row r="3778" spans="3:4" ht="15" x14ac:dyDescent="0.25">
      <c r="C3778" s="8" t="e">
        <f>VLOOKUP(A:A,'ITEM LIST'!A:C,3,0)</f>
        <v>#N/A</v>
      </c>
      <c r="D3778" s="6">
        <f t="shared" si="59"/>
        <v>0</v>
      </c>
    </row>
    <row r="3779" spans="3:4" ht="15" x14ac:dyDescent="0.25">
      <c r="C3779" s="8" t="e">
        <f>VLOOKUP(A:A,'ITEM LIST'!A:C,3,0)</f>
        <v>#N/A</v>
      </c>
      <c r="D3779" s="6">
        <f t="shared" si="59"/>
        <v>0</v>
      </c>
    </row>
    <row r="3780" spans="3:4" ht="15" x14ac:dyDescent="0.25">
      <c r="C3780" s="8" t="e">
        <f>VLOOKUP(A:A,'ITEM LIST'!A:C,3,0)</f>
        <v>#N/A</v>
      </c>
      <c r="D3780" s="6">
        <f t="shared" si="59"/>
        <v>0</v>
      </c>
    </row>
    <row r="3781" spans="3:4" ht="15" x14ac:dyDescent="0.25">
      <c r="C3781" s="8" t="e">
        <f>VLOOKUP(A:A,'ITEM LIST'!A:C,3,0)</f>
        <v>#N/A</v>
      </c>
      <c r="D3781" s="6">
        <f t="shared" si="59"/>
        <v>0</v>
      </c>
    </row>
    <row r="3782" spans="3:4" ht="15" x14ac:dyDescent="0.25">
      <c r="C3782" s="8" t="e">
        <f>VLOOKUP(A:A,'ITEM LIST'!A:C,3,0)</f>
        <v>#N/A</v>
      </c>
      <c r="D3782" s="6">
        <f t="shared" ref="D3782:D3845" si="60">B3782</f>
        <v>0</v>
      </c>
    </row>
    <row r="3783" spans="3:4" ht="15" x14ac:dyDescent="0.25">
      <c r="C3783" s="8" t="e">
        <f>VLOOKUP(A:A,'ITEM LIST'!A:C,3,0)</f>
        <v>#N/A</v>
      </c>
      <c r="D3783" s="6">
        <f t="shared" si="60"/>
        <v>0</v>
      </c>
    </row>
    <row r="3784" spans="3:4" ht="15" x14ac:dyDescent="0.25">
      <c r="C3784" s="8" t="e">
        <f>VLOOKUP(A:A,'ITEM LIST'!A:C,3,0)</f>
        <v>#N/A</v>
      </c>
      <c r="D3784" s="6">
        <f t="shared" si="60"/>
        <v>0</v>
      </c>
    </row>
    <row r="3785" spans="3:4" ht="15" x14ac:dyDescent="0.25">
      <c r="C3785" s="8" t="e">
        <f>VLOOKUP(A:A,'ITEM LIST'!A:C,3,0)</f>
        <v>#N/A</v>
      </c>
      <c r="D3785" s="6">
        <f t="shared" si="60"/>
        <v>0</v>
      </c>
    </row>
    <row r="3786" spans="3:4" ht="15" x14ac:dyDescent="0.25">
      <c r="C3786" s="8" t="e">
        <f>VLOOKUP(A:A,'ITEM LIST'!A:C,3,0)</f>
        <v>#N/A</v>
      </c>
      <c r="D3786" s="6">
        <f t="shared" si="60"/>
        <v>0</v>
      </c>
    </row>
    <row r="3787" spans="3:4" ht="15" x14ac:dyDescent="0.25">
      <c r="C3787" s="8" t="e">
        <f>VLOOKUP(A:A,'ITEM LIST'!A:C,3,0)</f>
        <v>#N/A</v>
      </c>
      <c r="D3787" s="6">
        <f t="shared" si="60"/>
        <v>0</v>
      </c>
    </row>
    <row r="3788" spans="3:4" ht="15" x14ac:dyDescent="0.25">
      <c r="C3788" s="8" t="e">
        <f>VLOOKUP(A:A,'ITEM LIST'!A:C,3,0)</f>
        <v>#N/A</v>
      </c>
      <c r="D3788" s="6">
        <f t="shared" si="60"/>
        <v>0</v>
      </c>
    </row>
    <row r="3789" spans="3:4" ht="15" x14ac:dyDescent="0.25">
      <c r="C3789" s="8" t="e">
        <f>VLOOKUP(A:A,'ITEM LIST'!A:C,3,0)</f>
        <v>#N/A</v>
      </c>
      <c r="D3789" s="6">
        <f t="shared" si="60"/>
        <v>0</v>
      </c>
    </row>
    <row r="3790" spans="3:4" ht="15" x14ac:dyDescent="0.25">
      <c r="C3790" s="8" t="e">
        <f>VLOOKUP(A:A,'ITEM LIST'!A:C,3,0)</f>
        <v>#N/A</v>
      </c>
      <c r="D3790" s="6">
        <f t="shared" si="60"/>
        <v>0</v>
      </c>
    </row>
    <row r="3791" spans="3:4" ht="15" x14ac:dyDescent="0.25">
      <c r="C3791" s="8" t="e">
        <f>VLOOKUP(A:A,'ITEM LIST'!A:C,3,0)</f>
        <v>#N/A</v>
      </c>
      <c r="D3791" s="6">
        <f t="shared" si="60"/>
        <v>0</v>
      </c>
    </row>
    <row r="3792" spans="3:4" ht="15" x14ac:dyDescent="0.25">
      <c r="C3792" s="8" t="e">
        <f>VLOOKUP(A:A,'ITEM LIST'!A:C,3,0)</f>
        <v>#N/A</v>
      </c>
      <c r="D3792" s="6">
        <f t="shared" si="60"/>
        <v>0</v>
      </c>
    </row>
    <row r="3793" spans="3:4" ht="15" x14ac:dyDescent="0.25">
      <c r="C3793" s="8" t="e">
        <f>VLOOKUP(A:A,'ITEM LIST'!A:C,3,0)</f>
        <v>#N/A</v>
      </c>
      <c r="D3793" s="6">
        <f t="shared" si="60"/>
        <v>0</v>
      </c>
    </row>
    <row r="3794" spans="3:4" ht="15" x14ac:dyDescent="0.25">
      <c r="C3794" s="8" t="e">
        <f>VLOOKUP(A:A,'ITEM LIST'!A:C,3,0)</f>
        <v>#N/A</v>
      </c>
      <c r="D3794" s="6">
        <f t="shared" si="60"/>
        <v>0</v>
      </c>
    </row>
    <row r="3795" spans="3:4" ht="15" x14ac:dyDescent="0.25">
      <c r="C3795" s="8" t="e">
        <f>VLOOKUP(A:A,'ITEM LIST'!A:C,3,0)</f>
        <v>#N/A</v>
      </c>
      <c r="D3795" s="6">
        <f t="shared" si="60"/>
        <v>0</v>
      </c>
    </row>
    <row r="3796" spans="3:4" ht="15" x14ac:dyDescent="0.25">
      <c r="C3796" s="8" t="e">
        <f>VLOOKUP(A:A,'ITEM LIST'!A:C,3,0)</f>
        <v>#N/A</v>
      </c>
      <c r="D3796" s="6">
        <f t="shared" si="60"/>
        <v>0</v>
      </c>
    </row>
    <row r="3797" spans="3:4" ht="15" x14ac:dyDescent="0.25">
      <c r="C3797" s="8" t="e">
        <f>VLOOKUP(A:A,'ITEM LIST'!A:C,3,0)</f>
        <v>#N/A</v>
      </c>
      <c r="D3797" s="6">
        <f t="shared" si="60"/>
        <v>0</v>
      </c>
    </row>
    <row r="3798" spans="3:4" ht="15" x14ac:dyDescent="0.25">
      <c r="C3798" s="8" t="e">
        <f>VLOOKUP(A:A,'ITEM LIST'!A:C,3,0)</f>
        <v>#N/A</v>
      </c>
      <c r="D3798" s="6">
        <f t="shared" si="60"/>
        <v>0</v>
      </c>
    </row>
    <row r="3799" spans="3:4" ht="15" x14ac:dyDescent="0.25">
      <c r="C3799" s="8" t="e">
        <f>VLOOKUP(A:A,'ITEM LIST'!A:C,3,0)</f>
        <v>#N/A</v>
      </c>
      <c r="D3799" s="6">
        <f t="shared" si="60"/>
        <v>0</v>
      </c>
    </row>
    <row r="3800" spans="3:4" ht="15" x14ac:dyDescent="0.25">
      <c r="C3800" s="8" t="e">
        <f>VLOOKUP(A:A,'ITEM LIST'!A:C,3,0)</f>
        <v>#N/A</v>
      </c>
      <c r="D3800" s="6">
        <f t="shared" si="60"/>
        <v>0</v>
      </c>
    </row>
    <row r="3801" spans="3:4" ht="15" x14ac:dyDescent="0.25">
      <c r="C3801" s="8" t="e">
        <f>VLOOKUP(A:A,'ITEM LIST'!A:C,3,0)</f>
        <v>#N/A</v>
      </c>
      <c r="D3801" s="6">
        <f t="shared" si="60"/>
        <v>0</v>
      </c>
    </row>
    <row r="3802" spans="3:4" ht="15" x14ac:dyDescent="0.25">
      <c r="C3802" s="8" t="e">
        <f>VLOOKUP(A:A,'ITEM LIST'!A:C,3,0)</f>
        <v>#N/A</v>
      </c>
      <c r="D3802" s="6">
        <f t="shared" si="60"/>
        <v>0</v>
      </c>
    </row>
    <row r="3803" spans="3:4" ht="15" x14ac:dyDescent="0.25">
      <c r="C3803" s="8" t="e">
        <f>VLOOKUP(A:A,'ITEM LIST'!A:C,3,0)</f>
        <v>#N/A</v>
      </c>
      <c r="D3803" s="6">
        <f t="shared" si="60"/>
        <v>0</v>
      </c>
    </row>
    <row r="3804" spans="3:4" ht="15" x14ac:dyDescent="0.25">
      <c r="C3804" s="8" t="e">
        <f>VLOOKUP(A:A,'ITEM LIST'!A:C,3,0)</f>
        <v>#N/A</v>
      </c>
      <c r="D3804" s="6">
        <f t="shared" si="60"/>
        <v>0</v>
      </c>
    </row>
    <row r="3805" spans="3:4" ht="15" x14ac:dyDescent="0.25">
      <c r="C3805" s="8" t="e">
        <f>VLOOKUP(A:A,'ITEM LIST'!A:C,3,0)</f>
        <v>#N/A</v>
      </c>
      <c r="D3805" s="6">
        <f t="shared" si="60"/>
        <v>0</v>
      </c>
    </row>
    <row r="3806" spans="3:4" ht="15" x14ac:dyDescent="0.25">
      <c r="C3806" s="8" t="e">
        <f>VLOOKUP(A:A,'ITEM LIST'!A:C,3,0)</f>
        <v>#N/A</v>
      </c>
      <c r="D3806" s="6">
        <f t="shared" si="60"/>
        <v>0</v>
      </c>
    </row>
    <row r="3807" spans="3:4" ht="15" x14ac:dyDescent="0.25">
      <c r="C3807" s="8" t="e">
        <f>VLOOKUP(A:A,'ITEM LIST'!A:C,3,0)</f>
        <v>#N/A</v>
      </c>
      <c r="D3807" s="6">
        <f t="shared" si="60"/>
        <v>0</v>
      </c>
    </row>
    <row r="3808" spans="3:4" ht="15" x14ac:dyDescent="0.25">
      <c r="C3808" s="8" t="e">
        <f>VLOOKUP(A:A,'ITEM LIST'!A:C,3,0)</f>
        <v>#N/A</v>
      </c>
      <c r="D3808" s="6">
        <f t="shared" si="60"/>
        <v>0</v>
      </c>
    </row>
    <row r="3809" spans="3:4" ht="15" x14ac:dyDescent="0.25">
      <c r="C3809" s="8" t="e">
        <f>VLOOKUP(A:A,'ITEM LIST'!A:C,3,0)</f>
        <v>#N/A</v>
      </c>
      <c r="D3809" s="6">
        <f t="shared" si="60"/>
        <v>0</v>
      </c>
    </row>
    <row r="3810" spans="3:4" ht="15" x14ac:dyDescent="0.25">
      <c r="C3810" s="8" t="e">
        <f>VLOOKUP(A:A,'ITEM LIST'!A:C,3,0)</f>
        <v>#N/A</v>
      </c>
      <c r="D3810" s="6">
        <f t="shared" si="60"/>
        <v>0</v>
      </c>
    </row>
    <row r="3811" spans="3:4" ht="15" x14ac:dyDescent="0.25">
      <c r="C3811" s="8" t="e">
        <f>VLOOKUP(A:A,'ITEM LIST'!A:C,3,0)</f>
        <v>#N/A</v>
      </c>
      <c r="D3811" s="6">
        <f t="shared" si="60"/>
        <v>0</v>
      </c>
    </row>
    <row r="3812" spans="3:4" ht="15" x14ac:dyDescent="0.25">
      <c r="C3812" s="8" t="e">
        <f>VLOOKUP(A:A,'ITEM LIST'!A:C,3,0)</f>
        <v>#N/A</v>
      </c>
      <c r="D3812" s="6">
        <f t="shared" si="60"/>
        <v>0</v>
      </c>
    </row>
    <row r="3813" spans="3:4" ht="15" x14ac:dyDescent="0.25">
      <c r="C3813" s="8" t="e">
        <f>VLOOKUP(A:A,'ITEM LIST'!A:C,3,0)</f>
        <v>#N/A</v>
      </c>
      <c r="D3813" s="6">
        <f t="shared" si="60"/>
        <v>0</v>
      </c>
    </row>
    <row r="3814" spans="3:4" ht="15" x14ac:dyDescent="0.25">
      <c r="C3814" s="8" t="e">
        <f>VLOOKUP(A:A,'ITEM LIST'!A:C,3,0)</f>
        <v>#N/A</v>
      </c>
      <c r="D3814" s="6">
        <f t="shared" si="60"/>
        <v>0</v>
      </c>
    </row>
    <row r="3815" spans="3:4" ht="15" x14ac:dyDescent="0.25">
      <c r="C3815" s="8" t="e">
        <f>VLOOKUP(A:A,'ITEM LIST'!A:C,3,0)</f>
        <v>#N/A</v>
      </c>
      <c r="D3815" s="6">
        <f t="shared" si="60"/>
        <v>0</v>
      </c>
    </row>
    <row r="3816" spans="3:4" ht="15" x14ac:dyDescent="0.25">
      <c r="C3816" s="8" t="e">
        <f>VLOOKUP(A:A,'ITEM LIST'!A:C,3,0)</f>
        <v>#N/A</v>
      </c>
      <c r="D3816" s="6">
        <f t="shared" si="60"/>
        <v>0</v>
      </c>
    </row>
    <row r="3817" spans="3:4" ht="15" x14ac:dyDescent="0.25">
      <c r="C3817" s="8" t="e">
        <f>VLOOKUP(A:A,'ITEM LIST'!A:C,3,0)</f>
        <v>#N/A</v>
      </c>
      <c r="D3817" s="6">
        <f t="shared" si="60"/>
        <v>0</v>
      </c>
    </row>
    <row r="3818" spans="3:4" ht="15" x14ac:dyDescent="0.25">
      <c r="C3818" s="8" t="e">
        <f>VLOOKUP(A:A,'ITEM LIST'!A:C,3,0)</f>
        <v>#N/A</v>
      </c>
      <c r="D3818" s="6">
        <f t="shared" si="60"/>
        <v>0</v>
      </c>
    </row>
    <row r="3819" spans="3:4" ht="15" x14ac:dyDescent="0.25">
      <c r="C3819" s="8" t="e">
        <f>VLOOKUP(A:A,'ITEM LIST'!A:C,3,0)</f>
        <v>#N/A</v>
      </c>
      <c r="D3819" s="6">
        <f t="shared" si="60"/>
        <v>0</v>
      </c>
    </row>
    <row r="3820" spans="3:4" ht="15" x14ac:dyDescent="0.25">
      <c r="C3820" s="8" t="e">
        <f>VLOOKUP(A:A,'ITEM LIST'!A:C,3,0)</f>
        <v>#N/A</v>
      </c>
      <c r="D3820" s="6">
        <f t="shared" si="60"/>
        <v>0</v>
      </c>
    </row>
    <row r="3821" spans="3:4" ht="15" x14ac:dyDescent="0.25">
      <c r="C3821" s="8" t="e">
        <f>VLOOKUP(A:A,'ITEM LIST'!A:C,3,0)</f>
        <v>#N/A</v>
      </c>
      <c r="D3821" s="6">
        <f t="shared" si="60"/>
        <v>0</v>
      </c>
    </row>
    <row r="3822" spans="3:4" ht="15" x14ac:dyDescent="0.25">
      <c r="C3822" s="8" t="e">
        <f>VLOOKUP(A:A,'ITEM LIST'!A:C,3,0)</f>
        <v>#N/A</v>
      </c>
      <c r="D3822" s="6">
        <f t="shared" si="60"/>
        <v>0</v>
      </c>
    </row>
    <row r="3823" spans="3:4" ht="15" x14ac:dyDescent="0.25">
      <c r="C3823" s="8" t="e">
        <f>VLOOKUP(A:A,'ITEM LIST'!A:C,3,0)</f>
        <v>#N/A</v>
      </c>
      <c r="D3823" s="6">
        <f t="shared" si="60"/>
        <v>0</v>
      </c>
    </row>
    <row r="3824" spans="3:4" ht="15" x14ac:dyDescent="0.25">
      <c r="C3824" s="8" t="e">
        <f>VLOOKUP(A:A,'ITEM LIST'!A:C,3,0)</f>
        <v>#N/A</v>
      </c>
      <c r="D3824" s="6">
        <f t="shared" si="60"/>
        <v>0</v>
      </c>
    </row>
    <row r="3825" spans="3:4" ht="15" x14ac:dyDescent="0.25">
      <c r="C3825" s="8" t="e">
        <f>VLOOKUP(A:A,'ITEM LIST'!A:C,3,0)</f>
        <v>#N/A</v>
      </c>
      <c r="D3825" s="6">
        <f t="shared" si="60"/>
        <v>0</v>
      </c>
    </row>
    <row r="3826" spans="3:4" ht="15" x14ac:dyDescent="0.25">
      <c r="C3826" s="8" t="e">
        <f>VLOOKUP(A:A,'ITEM LIST'!A:C,3,0)</f>
        <v>#N/A</v>
      </c>
      <c r="D3826" s="6">
        <f t="shared" si="60"/>
        <v>0</v>
      </c>
    </row>
    <row r="3827" spans="3:4" ht="15" x14ac:dyDescent="0.25">
      <c r="C3827" s="8" t="e">
        <f>VLOOKUP(A:A,'ITEM LIST'!A:C,3,0)</f>
        <v>#N/A</v>
      </c>
      <c r="D3827" s="6">
        <f t="shared" si="60"/>
        <v>0</v>
      </c>
    </row>
    <row r="3828" spans="3:4" ht="15" x14ac:dyDescent="0.25">
      <c r="C3828" s="8" t="e">
        <f>VLOOKUP(A:A,'ITEM LIST'!A:C,3,0)</f>
        <v>#N/A</v>
      </c>
      <c r="D3828" s="6">
        <f t="shared" si="60"/>
        <v>0</v>
      </c>
    </row>
    <row r="3829" spans="3:4" ht="15" x14ac:dyDescent="0.25">
      <c r="C3829" s="8" t="e">
        <f>VLOOKUP(A:A,'ITEM LIST'!A:C,3,0)</f>
        <v>#N/A</v>
      </c>
      <c r="D3829" s="6">
        <f t="shared" si="60"/>
        <v>0</v>
      </c>
    </row>
    <row r="3830" spans="3:4" ht="15" x14ac:dyDescent="0.25">
      <c r="C3830" s="8" t="e">
        <f>VLOOKUP(A:A,'ITEM LIST'!A:C,3,0)</f>
        <v>#N/A</v>
      </c>
      <c r="D3830" s="6">
        <f t="shared" si="60"/>
        <v>0</v>
      </c>
    </row>
    <row r="3831" spans="3:4" ht="15" x14ac:dyDescent="0.25">
      <c r="C3831" s="8" t="e">
        <f>VLOOKUP(A:A,'ITEM LIST'!A:C,3,0)</f>
        <v>#N/A</v>
      </c>
      <c r="D3831" s="6">
        <f t="shared" si="60"/>
        <v>0</v>
      </c>
    </row>
    <row r="3832" spans="3:4" ht="15" x14ac:dyDescent="0.25">
      <c r="C3832" s="8" t="e">
        <f>VLOOKUP(A:A,'ITEM LIST'!A:C,3,0)</f>
        <v>#N/A</v>
      </c>
      <c r="D3832" s="6">
        <f t="shared" si="60"/>
        <v>0</v>
      </c>
    </row>
    <row r="3833" spans="3:4" ht="15" x14ac:dyDescent="0.25">
      <c r="C3833" s="8" t="e">
        <f>VLOOKUP(A:A,'ITEM LIST'!A:C,3,0)</f>
        <v>#N/A</v>
      </c>
      <c r="D3833" s="6">
        <f t="shared" si="60"/>
        <v>0</v>
      </c>
    </row>
    <row r="3834" spans="3:4" ht="15" x14ac:dyDescent="0.25">
      <c r="C3834" s="8" t="e">
        <f>VLOOKUP(A:A,'ITEM LIST'!A:C,3,0)</f>
        <v>#N/A</v>
      </c>
      <c r="D3834" s="6">
        <f t="shared" si="60"/>
        <v>0</v>
      </c>
    </row>
    <row r="3835" spans="3:4" ht="15" x14ac:dyDescent="0.25">
      <c r="C3835" s="8" t="e">
        <f>VLOOKUP(A:A,'ITEM LIST'!A:C,3,0)</f>
        <v>#N/A</v>
      </c>
      <c r="D3835" s="6">
        <f t="shared" si="60"/>
        <v>0</v>
      </c>
    </row>
    <row r="3836" spans="3:4" ht="15" x14ac:dyDescent="0.25">
      <c r="C3836" s="8" t="e">
        <f>VLOOKUP(A:A,'ITEM LIST'!A:C,3,0)</f>
        <v>#N/A</v>
      </c>
      <c r="D3836" s="6">
        <f t="shared" si="60"/>
        <v>0</v>
      </c>
    </row>
    <row r="3837" spans="3:4" ht="15" x14ac:dyDescent="0.25">
      <c r="C3837" s="8" t="e">
        <f>VLOOKUP(A:A,'ITEM LIST'!A:C,3,0)</f>
        <v>#N/A</v>
      </c>
      <c r="D3837" s="6">
        <f t="shared" si="60"/>
        <v>0</v>
      </c>
    </row>
    <row r="3838" spans="3:4" ht="15" x14ac:dyDescent="0.25">
      <c r="C3838" s="8" t="e">
        <f>VLOOKUP(A:A,'ITEM LIST'!A:C,3,0)</f>
        <v>#N/A</v>
      </c>
      <c r="D3838" s="6">
        <f t="shared" si="60"/>
        <v>0</v>
      </c>
    </row>
    <row r="3839" spans="3:4" ht="15" x14ac:dyDescent="0.25">
      <c r="C3839" s="8" t="e">
        <f>VLOOKUP(A:A,'ITEM LIST'!A:C,3,0)</f>
        <v>#N/A</v>
      </c>
      <c r="D3839" s="6">
        <f t="shared" si="60"/>
        <v>0</v>
      </c>
    </row>
    <row r="3840" spans="3:4" ht="15" x14ac:dyDescent="0.25">
      <c r="C3840" s="8" t="e">
        <f>VLOOKUP(A:A,'ITEM LIST'!A:C,3,0)</f>
        <v>#N/A</v>
      </c>
      <c r="D3840" s="6">
        <f t="shared" si="60"/>
        <v>0</v>
      </c>
    </row>
    <row r="3841" spans="3:4" ht="15" x14ac:dyDescent="0.25">
      <c r="C3841" s="8" t="e">
        <f>VLOOKUP(A:A,'ITEM LIST'!A:C,3,0)</f>
        <v>#N/A</v>
      </c>
      <c r="D3841" s="6">
        <f t="shared" si="60"/>
        <v>0</v>
      </c>
    </row>
    <row r="3842" spans="3:4" ht="15" x14ac:dyDescent="0.25">
      <c r="C3842" s="8" t="e">
        <f>VLOOKUP(A:A,'ITEM LIST'!A:C,3,0)</f>
        <v>#N/A</v>
      </c>
      <c r="D3842" s="6">
        <f t="shared" si="60"/>
        <v>0</v>
      </c>
    </row>
    <row r="3843" spans="3:4" ht="15" x14ac:dyDescent="0.25">
      <c r="C3843" s="8" t="e">
        <f>VLOOKUP(A:A,'ITEM LIST'!A:C,3,0)</f>
        <v>#N/A</v>
      </c>
      <c r="D3843" s="6">
        <f t="shared" si="60"/>
        <v>0</v>
      </c>
    </row>
    <row r="3844" spans="3:4" ht="15" x14ac:dyDescent="0.25">
      <c r="C3844" s="8" t="e">
        <f>VLOOKUP(A:A,'ITEM LIST'!A:C,3,0)</f>
        <v>#N/A</v>
      </c>
      <c r="D3844" s="6">
        <f t="shared" si="60"/>
        <v>0</v>
      </c>
    </row>
    <row r="3845" spans="3:4" ht="15" x14ac:dyDescent="0.25">
      <c r="C3845" s="8" t="e">
        <f>VLOOKUP(A:A,'ITEM LIST'!A:C,3,0)</f>
        <v>#N/A</v>
      </c>
      <c r="D3845" s="6">
        <f t="shared" si="60"/>
        <v>0</v>
      </c>
    </row>
    <row r="3846" spans="3:4" ht="15" x14ac:dyDescent="0.25">
      <c r="C3846" s="8" t="e">
        <f>VLOOKUP(A:A,'ITEM LIST'!A:C,3,0)</f>
        <v>#N/A</v>
      </c>
      <c r="D3846" s="6">
        <f t="shared" ref="D3846:D3909" si="61">B3846</f>
        <v>0</v>
      </c>
    </row>
    <row r="3847" spans="3:4" ht="15" x14ac:dyDescent="0.25">
      <c r="C3847" s="8" t="e">
        <f>VLOOKUP(A:A,'ITEM LIST'!A:C,3,0)</f>
        <v>#N/A</v>
      </c>
      <c r="D3847" s="6">
        <f t="shared" si="61"/>
        <v>0</v>
      </c>
    </row>
    <row r="3848" spans="3:4" ht="15" x14ac:dyDescent="0.25">
      <c r="C3848" s="8" t="e">
        <f>VLOOKUP(A:A,'ITEM LIST'!A:C,3,0)</f>
        <v>#N/A</v>
      </c>
      <c r="D3848" s="6">
        <f t="shared" si="61"/>
        <v>0</v>
      </c>
    </row>
    <row r="3849" spans="3:4" ht="15" x14ac:dyDescent="0.25">
      <c r="C3849" s="8" t="e">
        <f>VLOOKUP(A:A,'ITEM LIST'!A:C,3,0)</f>
        <v>#N/A</v>
      </c>
      <c r="D3849" s="6">
        <f t="shared" si="61"/>
        <v>0</v>
      </c>
    </row>
    <row r="3850" spans="3:4" ht="15" x14ac:dyDescent="0.25">
      <c r="C3850" s="8" t="e">
        <f>VLOOKUP(A:A,'ITEM LIST'!A:C,3,0)</f>
        <v>#N/A</v>
      </c>
      <c r="D3850" s="6">
        <f t="shared" si="61"/>
        <v>0</v>
      </c>
    </row>
    <row r="3851" spans="3:4" ht="15" x14ac:dyDescent="0.25">
      <c r="C3851" s="8" t="e">
        <f>VLOOKUP(A:A,'ITEM LIST'!A:C,3,0)</f>
        <v>#N/A</v>
      </c>
      <c r="D3851" s="6">
        <f t="shared" si="61"/>
        <v>0</v>
      </c>
    </row>
    <row r="3852" spans="3:4" ht="15" x14ac:dyDescent="0.25">
      <c r="C3852" s="8" t="e">
        <f>VLOOKUP(A:A,'ITEM LIST'!A:C,3,0)</f>
        <v>#N/A</v>
      </c>
      <c r="D3852" s="6">
        <f t="shared" si="61"/>
        <v>0</v>
      </c>
    </row>
    <row r="3853" spans="3:4" ht="15" x14ac:dyDescent="0.25">
      <c r="C3853" s="8" t="e">
        <f>VLOOKUP(A:A,'ITEM LIST'!A:C,3,0)</f>
        <v>#N/A</v>
      </c>
      <c r="D3853" s="6">
        <f t="shared" si="61"/>
        <v>0</v>
      </c>
    </row>
    <row r="3854" spans="3:4" ht="15" x14ac:dyDescent="0.25">
      <c r="C3854" s="8" t="e">
        <f>VLOOKUP(A:A,'ITEM LIST'!A:C,3,0)</f>
        <v>#N/A</v>
      </c>
      <c r="D3854" s="6">
        <f t="shared" si="61"/>
        <v>0</v>
      </c>
    </row>
    <row r="3855" spans="3:4" ht="15" x14ac:dyDescent="0.25">
      <c r="C3855" s="8" t="e">
        <f>VLOOKUP(A:A,'ITEM LIST'!A:C,3,0)</f>
        <v>#N/A</v>
      </c>
      <c r="D3855" s="6">
        <f t="shared" si="61"/>
        <v>0</v>
      </c>
    </row>
    <row r="3856" spans="3:4" ht="15" x14ac:dyDescent="0.25">
      <c r="C3856" s="8" t="e">
        <f>VLOOKUP(A:A,'ITEM LIST'!A:C,3,0)</f>
        <v>#N/A</v>
      </c>
      <c r="D3856" s="6">
        <f t="shared" si="61"/>
        <v>0</v>
      </c>
    </row>
    <row r="3857" spans="3:4" ht="15" x14ac:dyDescent="0.25">
      <c r="C3857" s="8" t="e">
        <f>VLOOKUP(A:A,'ITEM LIST'!A:C,3,0)</f>
        <v>#N/A</v>
      </c>
      <c r="D3857" s="6">
        <f t="shared" si="61"/>
        <v>0</v>
      </c>
    </row>
    <row r="3858" spans="3:4" ht="15" x14ac:dyDescent="0.25">
      <c r="C3858" s="8" t="e">
        <f>VLOOKUP(A:A,'ITEM LIST'!A:C,3,0)</f>
        <v>#N/A</v>
      </c>
      <c r="D3858" s="6">
        <f t="shared" si="61"/>
        <v>0</v>
      </c>
    </row>
    <row r="3859" spans="3:4" ht="15" x14ac:dyDescent="0.25">
      <c r="C3859" s="8" t="e">
        <f>VLOOKUP(A:A,'ITEM LIST'!A:C,3,0)</f>
        <v>#N/A</v>
      </c>
      <c r="D3859" s="6">
        <f t="shared" si="61"/>
        <v>0</v>
      </c>
    </row>
    <row r="3860" spans="3:4" ht="15" x14ac:dyDescent="0.25">
      <c r="C3860" s="8" t="e">
        <f>VLOOKUP(A:A,'ITEM LIST'!A:C,3,0)</f>
        <v>#N/A</v>
      </c>
      <c r="D3860" s="6">
        <f t="shared" si="61"/>
        <v>0</v>
      </c>
    </row>
    <row r="3861" spans="3:4" ht="15" x14ac:dyDescent="0.25">
      <c r="C3861" s="8" t="e">
        <f>VLOOKUP(A:A,'ITEM LIST'!A:C,3,0)</f>
        <v>#N/A</v>
      </c>
      <c r="D3861" s="6">
        <f t="shared" si="61"/>
        <v>0</v>
      </c>
    </row>
    <row r="3862" spans="3:4" ht="15" x14ac:dyDescent="0.25">
      <c r="C3862" s="8" t="e">
        <f>VLOOKUP(A:A,'ITEM LIST'!A:C,3,0)</f>
        <v>#N/A</v>
      </c>
      <c r="D3862" s="6">
        <f t="shared" si="61"/>
        <v>0</v>
      </c>
    </row>
    <row r="3863" spans="3:4" ht="15" x14ac:dyDescent="0.25">
      <c r="C3863" s="8" t="e">
        <f>VLOOKUP(A:A,'ITEM LIST'!A:C,3,0)</f>
        <v>#N/A</v>
      </c>
      <c r="D3863" s="6">
        <f t="shared" si="61"/>
        <v>0</v>
      </c>
    </row>
    <row r="3864" spans="3:4" ht="15" x14ac:dyDescent="0.25">
      <c r="C3864" s="8" t="e">
        <f>VLOOKUP(A:A,'ITEM LIST'!A:C,3,0)</f>
        <v>#N/A</v>
      </c>
      <c r="D3864" s="6">
        <f t="shared" si="61"/>
        <v>0</v>
      </c>
    </row>
    <row r="3865" spans="3:4" ht="15" x14ac:dyDescent="0.25">
      <c r="C3865" s="8" t="e">
        <f>VLOOKUP(A:A,'ITEM LIST'!A:C,3,0)</f>
        <v>#N/A</v>
      </c>
      <c r="D3865" s="6">
        <f t="shared" si="61"/>
        <v>0</v>
      </c>
    </row>
    <row r="3866" spans="3:4" ht="15" x14ac:dyDescent="0.25">
      <c r="C3866" s="8" t="e">
        <f>VLOOKUP(A:A,'ITEM LIST'!A:C,3,0)</f>
        <v>#N/A</v>
      </c>
      <c r="D3866" s="6">
        <f t="shared" si="61"/>
        <v>0</v>
      </c>
    </row>
    <row r="3867" spans="3:4" ht="15" x14ac:dyDescent="0.25">
      <c r="C3867" s="8" t="e">
        <f>VLOOKUP(A:A,'ITEM LIST'!A:C,3,0)</f>
        <v>#N/A</v>
      </c>
      <c r="D3867" s="6">
        <f t="shared" si="61"/>
        <v>0</v>
      </c>
    </row>
    <row r="3868" spans="3:4" ht="15" x14ac:dyDescent="0.25">
      <c r="C3868" s="8" t="e">
        <f>VLOOKUP(A:A,'ITEM LIST'!A:C,3,0)</f>
        <v>#N/A</v>
      </c>
      <c r="D3868" s="6">
        <f t="shared" si="61"/>
        <v>0</v>
      </c>
    </row>
    <row r="3869" spans="3:4" ht="15" x14ac:dyDescent="0.25">
      <c r="C3869" s="8" t="e">
        <f>VLOOKUP(A:A,'ITEM LIST'!A:C,3,0)</f>
        <v>#N/A</v>
      </c>
      <c r="D3869" s="6">
        <f t="shared" si="61"/>
        <v>0</v>
      </c>
    </row>
    <row r="3870" spans="3:4" ht="15" x14ac:dyDescent="0.25">
      <c r="C3870" s="8" t="e">
        <f>VLOOKUP(A:A,'ITEM LIST'!A:C,3,0)</f>
        <v>#N/A</v>
      </c>
      <c r="D3870" s="6">
        <f t="shared" si="61"/>
        <v>0</v>
      </c>
    </row>
    <row r="3871" spans="3:4" ht="15" x14ac:dyDescent="0.25">
      <c r="C3871" s="8" t="e">
        <f>VLOOKUP(A:A,'ITEM LIST'!A:C,3,0)</f>
        <v>#N/A</v>
      </c>
      <c r="D3871" s="6">
        <f t="shared" si="61"/>
        <v>0</v>
      </c>
    </row>
    <row r="3872" spans="3:4" ht="15" x14ac:dyDescent="0.25">
      <c r="C3872" s="8" t="e">
        <f>VLOOKUP(A:A,'ITEM LIST'!A:C,3,0)</f>
        <v>#N/A</v>
      </c>
      <c r="D3872" s="6">
        <f t="shared" si="61"/>
        <v>0</v>
      </c>
    </row>
    <row r="3873" spans="3:4" ht="15" x14ac:dyDescent="0.25">
      <c r="C3873" s="8" t="e">
        <f>VLOOKUP(A:A,'ITEM LIST'!A:C,3,0)</f>
        <v>#N/A</v>
      </c>
      <c r="D3873" s="6">
        <f t="shared" si="61"/>
        <v>0</v>
      </c>
    </row>
    <row r="3874" spans="3:4" ht="15" x14ac:dyDescent="0.25">
      <c r="C3874" s="8" t="e">
        <f>VLOOKUP(A:A,'ITEM LIST'!A:C,3,0)</f>
        <v>#N/A</v>
      </c>
      <c r="D3874" s="6">
        <f t="shared" si="61"/>
        <v>0</v>
      </c>
    </row>
    <row r="3875" spans="3:4" ht="15" x14ac:dyDescent="0.25">
      <c r="C3875" s="8" t="e">
        <f>VLOOKUP(A:A,'ITEM LIST'!A:C,3,0)</f>
        <v>#N/A</v>
      </c>
      <c r="D3875" s="6">
        <f t="shared" si="61"/>
        <v>0</v>
      </c>
    </row>
    <row r="3876" spans="3:4" ht="15" x14ac:dyDescent="0.25">
      <c r="C3876" s="8" t="e">
        <f>VLOOKUP(A:A,'ITEM LIST'!A:C,3,0)</f>
        <v>#N/A</v>
      </c>
      <c r="D3876" s="6">
        <f t="shared" si="61"/>
        <v>0</v>
      </c>
    </row>
    <row r="3877" spans="3:4" ht="15" x14ac:dyDescent="0.25">
      <c r="C3877" s="8" t="e">
        <f>VLOOKUP(A:A,'ITEM LIST'!A:C,3,0)</f>
        <v>#N/A</v>
      </c>
      <c r="D3877" s="6">
        <f t="shared" si="61"/>
        <v>0</v>
      </c>
    </row>
    <row r="3878" spans="3:4" ht="15" x14ac:dyDescent="0.25">
      <c r="C3878" s="8" t="e">
        <f>VLOOKUP(A:A,'ITEM LIST'!A:C,3,0)</f>
        <v>#N/A</v>
      </c>
      <c r="D3878" s="6">
        <f t="shared" si="61"/>
        <v>0</v>
      </c>
    </row>
    <row r="3879" spans="3:4" ht="15" x14ac:dyDescent="0.25">
      <c r="C3879" s="8" t="e">
        <f>VLOOKUP(A:A,'ITEM LIST'!A:C,3,0)</f>
        <v>#N/A</v>
      </c>
      <c r="D3879" s="6">
        <f t="shared" si="61"/>
        <v>0</v>
      </c>
    </row>
    <row r="3880" spans="3:4" ht="15" x14ac:dyDescent="0.25">
      <c r="C3880" s="8" t="e">
        <f>VLOOKUP(A:A,'ITEM LIST'!A:C,3,0)</f>
        <v>#N/A</v>
      </c>
      <c r="D3880" s="6">
        <f t="shared" si="61"/>
        <v>0</v>
      </c>
    </row>
    <row r="3881" spans="3:4" ht="15" x14ac:dyDescent="0.25">
      <c r="C3881" s="8" t="e">
        <f>VLOOKUP(A:A,'ITEM LIST'!A:C,3,0)</f>
        <v>#N/A</v>
      </c>
      <c r="D3881" s="6">
        <f t="shared" si="61"/>
        <v>0</v>
      </c>
    </row>
    <row r="3882" spans="3:4" ht="15" x14ac:dyDescent="0.25">
      <c r="C3882" s="8" t="e">
        <f>VLOOKUP(A:A,'ITEM LIST'!A:C,3,0)</f>
        <v>#N/A</v>
      </c>
      <c r="D3882" s="6">
        <f t="shared" si="61"/>
        <v>0</v>
      </c>
    </row>
    <row r="3883" spans="3:4" ht="15" x14ac:dyDescent="0.25">
      <c r="C3883" s="8" t="e">
        <f>VLOOKUP(A:A,'ITEM LIST'!A:C,3,0)</f>
        <v>#N/A</v>
      </c>
      <c r="D3883" s="6">
        <f t="shared" si="61"/>
        <v>0</v>
      </c>
    </row>
    <row r="3884" spans="3:4" ht="15" x14ac:dyDescent="0.25">
      <c r="C3884" s="8" t="e">
        <f>VLOOKUP(A:A,'ITEM LIST'!A:C,3,0)</f>
        <v>#N/A</v>
      </c>
      <c r="D3884" s="6">
        <f t="shared" si="61"/>
        <v>0</v>
      </c>
    </row>
    <row r="3885" spans="3:4" ht="15" x14ac:dyDescent="0.25">
      <c r="C3885" s="8" t="e">
        <f>VLOOKUP(A:A,'ITEM LIST'!A:C,3,0)</f>
        <v>#N/A</v>
      </c>
      <c r="D3885" s="6">
        <f t="shared" si="61"/>
        <v>0</v>
      </c>
    </row>
    <row r="3886" spans="3:4" ht="15" x14ac:dyDescent="0.25">
      <c r="C3886" s="8" t="e">
        <f>VLOOKUP(A:A,'ITEM LIST'!A:C,3,0)</f>
        <v>#N/A</v>
      </c>
      <c r="D3886" s="6">
        <f t="shared" si="61"/>
        <v>0</v>
      </c>
    </row>
    <row r="3887" spans="3:4" ht="15" x14ac:dyDescent="0.25">
      <c r="C3887" s="8" t="e">
        <f>VLOOKUP(A:A,'ITEM LIST'!A:C,3,0)</f>
        <v>#N/A</v>
      </c>
      <c r="D3887" s="6">
        <f t="shared" si="61"/>
        <v>0</v>
      </c>
    </row>
    <row r="3888" spans="3:4" ht="15" x14ac:dyDescent="0.25">
      <c r="C3888" s="8" t="e">
        <f>VLOOKUP(A:A,'ITEM LIST'!A:C,3,0)</f>
        <v>#N/A</v>
      </c>
      <c r="D3888" s="6">
        <f t="shared" si="61"/>
        <v>0</v>
      </c>
    </row>
    <row r="3889" spans="3:4" ht="15" x14ac:dyDescent="0.25">
      <c r="C3889" s="8" t="e">
        <f>VLOOKUP(A:A,'ITEM LIST'!A:C,3,0)</f>
        <v>#N/A</v>
      </c>
      <c r="D3889" s="6">
        <f t="shared" si="61"/>
        <v>0</v>
      </c>
    </row>
    <row r="3890" spans="3:4" ht="15" x14ac:dyDescent="0.25">
      <c r="C3890" s="8" t="e">
        <f>VLOOKUP(A:A,'ITEM LIST'!A:C,3,0)</f>
        <v>#N/A</v>
      </c>
      <c r="D3890" s="6">
        <f t="shared" si="61"/>
        <v>0</v>
      </c>
    </row>
    <row r="3891" spans="3:4" ht="15" x14ac:dyDescent="0.25">
      <c r="C3891" s="8" t="e">
        <f>VLOOKUP(A:A,'ITEM LIST'!A:C,3,0)</f>
        <v>#N/A</v>
      </c>
      <c r="D3891" s="6">
        <f t="shared" si="61"/>
        <v>0</v>
      </c>
    </row>
    <row r="3892" spans="3:4" ht="15" x14ac:dyDescent="0.25">
      <c r="C3892" s="8" t="e">
        <f>VLOOKUP(A:A,'ITEM LIST'!A:C,3,0)</f>
        <v>#N/A</v>
      </c>
      <c r="D3892" s="6">
        <f t="shared" si="61"/>
        <v>0</v>
      </c>
    </row>
    <row r="3893" spans="3:4" ht="15" x14ac:dyDescent="0.25">
      <c r="C3893" s="8" t="e">
        <f>VLOOKUP(A:A,'ITEM LIST'!A:C,3,0)</f>
        <v>#N/A</v>
      </c>
      <c r="D3893" s="6">
        <f t="shared" si="61"/>
        <v>0</v>
      </c>
    </row>
    <row r="3894" spans="3:4" ht="15" x14ac:dyDescent="0.25">
      <c r="C3894" s="8" t="e">
        <f>VLOOKUP(A:A,'ITEM LIST'!A:C,3,0)</f>
        <v>#N/A</v>
      </c>
      <c r="D3894" s="6">
        <f t="shared" si="61"/>
        <v>0</v>
      </c>
    </row>
    <row r="3895" spans="3:4" ht="15" x14ac:dyDescent="0.25">
      <c r="C3895" s="8" t="e">
        <f>VLOOKUP(A:A,'ITEM LIST'!A:C,3,0)</f>
        <v>#N/A</v>
      </c>
      <c r="D3895" s="6">
        <f t="shared" si="61"/>
        <v>0</v>
      </c>
    </row>
    <row r="3896" spans="3:4" ht="15" x14ac:dyDescent="0.25">
      <c r="C3896" s="8" t="e">
        <f>VLOOKUP(A:A,'ITEM LIST'!A:C,3,0)</f>
        <v>#N/A</v>
      </c>
      <c r="D3896" s="6">
        <f t="shared" si="61"/>
        <v>0</v>
      </c>
    </row>
    <row r="3897" spans="3:4" ht="15" x14ac:dyDescent="0.25">
      <c r="C3897" s="8" t="e">
        <f>VLOOKUP(A:A,'ITEM LIST'!A:C,3,0)</f>
        <v>#N/A</v>
      </c>
      <c r="D3897" s="6">
        <f t="shared" si="61"/>
        <v>0</v>
      </c>
    </row>
    <row r="3898" spans="3:4" ht="15" x14ac:dyDescent="0.25">
      <c r="C3898" s="8" t="e">
        <f>VLOOKUP(A:A,'ITEM LIST'!A:C,3,0)</f>
        <v>#N/A</v>
      </c>
      <c r="D3898" s="6">
        <f t="shared" si="61"/>
        <v>0</v>
      </c>
    </row>
    <row r="3899" spans="3:4" ht="15" x14ac:dyDescent="0.25">
      <c r="C3899" s="8" t="e">
        <f>VLOOKUP(A:A,'ITEM LIST'!A:C,3,0)</f>
        <v>#N/A</v>
      </c>
      <c r="D3899" s="6">
        <f t="shared" si="61"/>
        <v>0</v>
      </c>
    </row>
    <row r="3900" spans="3:4" ht="15" x14ac:dyDescent="0.25">
      <c r="C3900" s="8" t="e">
        <f>VLOOKUP(A:A,'ITEM LIST'!A:C,3,0)</f>
        <v>#N/A</v>
      </c>
      <c r="D3900" s="6">
        <f t="shared" si="61"/>
        <v>0</v>
      </c>
    </row>
    <row r="3901" spans="3:4" ht="15" x14ac:dyDescent="0.25">
      <c r="C3901" s="8" t="e">
        <f>VLOOKUP(A:A,'ITEM LIST'!A:C,3,0)</f>
        <v>#N/A</v>
      </c>
      <c r="D3901" s="6">
        <f t="shared" si="61"/>
        <v>0</v>
      </c>
    </row>
    <row r="3902" spans="3:4" ht="15" x14ac:dyDescent="0.25">
      <c r="C3902" s="8" t="e">
        <f>VLOOKUP(A:A,'ITEM LIST'!A:C,3,0)</f>
        <v>#N/A</v>
      </c>
      <c r="D3902" s="6">
        <f t="shared" si="61"/>
        <v>0</v>
      </c>
    </row>
    <row r="3903" spans="3:4" ht="15" x14ac:dyDescent="0.25">
      <c r="C3903" s="8" t="e">
        <f>VLOOKUP(A:A,'ITEM LIST'!A:C,3,0)</f>
        <v>#N/A</v>
      </c>
      <c r="D3903" s="6">
        <f t="shared" si="61"/>
        <v>0</v>
      </c>
    </row>
    <row r="3904" spans="3:4" ht="15" x14ac:dyDescent="0.25">
      <c r="C3904" s="8" t="e">
        <f>VLOOKUP(A:A,'ITEM LIST'!A:C,3,0)</f>
        <v>#N/A</v>
      </c>
      <c r="D3904" s="6">
        <f t="shared" si="61"/>
        <v>0</v>
      </c>
    </row>
    <row r="3905" spans="3:4" ht="15" x14ac:dyDescent="0.25">
      <c r="C3905" s="8" t="e">
        <f>VLOOKUP(A:A,'ITEM LIST'!A:C,3,0)</f>
        <v>#N/A</v>
      </c>
      <c r="D3905" s="6">
        <f t="shared" si="61"/>
        <v>0</v>
      </c>
    </row>
    <row r="3906" spans="3:4" ht="15" x14ac:dyDescent="0.25">
      <c r="C3906" s="8" t="e">
        <f>VLOOKUP(A:A,'ITEM LIST'!A:C,3,0)</f>
        <v>#N/A</v>
      </c>
      <c r="D3906" s="6">
        <f t="shared" si="61"/>
        <v>0</v>
      </c>
    </row>
    <row r="3907" spans="3:4" ht="15" x14ac:dyDescent="0.25">
      <c r="C3907" s="8" t="e">
        <f>VLOOKUP(A:A,'ITEM LIST'!A:C,3,0)</f>
        <v>#N/A</v>
      </c>
      <c r="D3907" s="6">
        <f t="shared" si="61"/>
        <v>0</v>
      </c>
    </row>
    <row r="3908" spans="3:4" ht="15" x14ac:dyDescent="0.25">
      <c r="C3908" s="8" t="e">
        <f>VLOOKUP(A:A,'ITEM LIST'!A:C,3,0)</f>
        <v>#N/A</v>
      </c>
      <c r="D3908" s="6">
        <f t="shared" si="61"/>
        <v>0</v>
      </c>
    </row>
    <row r="3909" spans="3:4" ht="15" x14ac:dyDescent="0.25">
      <c r="C3909" s="8" t="e">
        <f>VLOOKUP(A:A,'ITEM LIST'!A:C,3,0)</f>
        <v>#N/A</v>
      </c>
      <c r="D3909" s="6">
        <f t="shared" si="61"/>
        <v>0</v>
      </c>
    </row>
    <row r="3910" spans="3:4" ht="15" x14ac:dyDescent="0.25">
      <c r="C3910" s="8" t="e">
        <f>VLOOKUP(A:A,'ITEM LIST'!A:C,3,0)</f>
        <v>#N/A</v>
      </c>
      <c r="D3910" s="6">
        <f t="shared" ref="D3910:D3973" si="62">B3910</f>
        <v>0</v>
      </c>
    </row>
    <row r="3911" spans="3:4" ht="15" x14ac:dyDescent="0.25">
      <c r="C3911" s="8" t="e">
        <f>VLOOKUP(A:A,'ITEM LIST'!A:C,3,0)</f>
        <v>#N/A</v>
      </c>
      <c r="D3911" s="6">
        <f t="shared" si="62"/>
        <v>0</v>
      </c>
    </row>
    <row r="3912" spans="3:4" ht="15" x14ac:dyDescent="0.25">
      <c r="C3912" s="8" t="e">
        <f>VLOOKUP(A:A,'ITEM LIST'!A:C,3,0)</f>
        <v>#N/A</v>
      </c>
      <c r="D3912" s="6">
        <f t="shared" si="62"/>
        <v>0</v>
      </c>
    </row>
    <row r="3913" spans="3:4" ht="15" x14ac:dyDescent="0.25">
      <c r="C3913" s="8" t="e">
        <f>VLOOKUP(A:A,'ITEM LIST'!A:C,3,0)</f>
        <v>#N/A</v>
      </c>
      <c r="D3913" s="6">
        <f t="shared" si="62"/>
        <v>0</v>
      </c>
    </row>
    <row r="3914" spans="3:4" ht="15" x14ac:dyDescent="0.25">
      <c r="C3914" s="8" t="e">
        <f>VLOOKUP(A:A,'ITEM LIST'!A:C,3,0)</f>
        <v>#N/A</v>
      </c>
      <c r="D3914" s="6">
        <f t="shared" si="62"/>
        <v>0</v>
      </c>
    </row>
    <row r="3915" spans="3:4" ht="15" x14ac:dyDescent="0.25">
      <c r="C3915" s="8" t="e">
        <f>VLOOKUP(A:A,'ITEM LIST'!A:C,3,0)</f>
        <v>#N/A</v>
      </c>
      <c r="D3915" s="6">
        <f t="shared" si="62"/>
        <v>0</v>
      </c>
    </row>
    <row r="3916" spans="3:4" ht="15" x14ac:dyDescent="0.25">
      <c r="C3916" s="8" t="e">
        <f>VLOOKUP(A:A,'ITEM LIST'!A:C,3,0)</f>
        <v>#N/A</v>
      </c>
      <c r="D3916" s="6">
        <f t="shared" si="62"/>
        <v>0</v>
      </c>
    </row>
    <row r="3917" spans="3:4" ht="15" x14ac:dyDescent="0.25">
      <c r="C3917" s="8" t="e">
        <f>VLOOKUP(A:A,'ITEM LIST'!A:C,3,0)</f>
        <v>#N/A</v>
      </c>
      <c r="D3917" s="6">
        <f t="shared" si="62"/>
        <v>0</v>
      </c>
    </row>
    <row r="3918" spans="3:4" ht="15" x14ac:dyDescent="0.25">
      <c r="C3918" s="8" t="e">
        <f>VLOOKUP(A:A,'ITEM LIST'!A:C,3,0)</f>
        <v>#N/A</v>
      </c>
      <c r="D3918" s="6">
        <f t="shared" si="62"/>
        <v>0</v>
      </c>
    </row>
    <row r="3919" spans="3:4" ht="15" x14ac:dyDescent="0.25">
      <c r="C3919" s="8" t="e">
        <f>VLOOKUP(A:A,'ITEM LIST'!A:C,3,0)</f>
        <v>#N/A</v>
      </c>
      <c r="D3919" s="6">
        <f t="shared" si="62"/>
        <v>0</v>
      </c>
    </row>
    <row r="3920" spans="3:4" ht="15" x14ac:dyDescent="0.25">
      <c r="C3920" s="8" t="e">
        <f>VLOOKUP(A:A,'ITEM LIST'!A:C,3,0)</f>
        <v>#N/A</v>
      </c>
      <c r="D3920" s="6">
        <f t="shared" si="62"/>
        <v>0</v>
      </c>
    </row>
    <row r="3921" spans="3:4" ht="15" x14ac:dyDescent="0.25">
      <c r="C3921" s="8" t="e">
        <f>VLOOKUP(A:A,'ITEM LIST'!A:C,3,0)</f>
        <v>#N/A</v>
      </c>
      <c r="D3921" s="6">
        <f t="shared" si="62"/>
        <v>0</v>
      </c>
    </row>
    <row r="3922" spans="3:4" ht="15" x14ac:dyDescent="0.25">
      <c r="C3922" s="8" t="e">
        <f>VLOOKUP(A:A,'ITEM LIST'!A:C,3,0)</f>
        <v>#N/A</v>
      </c>
      <c r="D3922" s="6">
        <f t="shared" si="62"/>
        <v>0</v>
      </c>
    </row>
    <row r="3923" spans="3:4" ht="15" x14ac:dyDescent="0.25">
      <c r="C3923" s="8" t="e">
        <f>VLOOKUP(A:A,'ITEM LIST'!A:C,3,0)</f>
        <v>#N/A</v>
      </c>
      <c r="D3923" s="6">
        <f t="shared" si="62"/>
        <v>0</v>
      </c>
    </row>
    <row r="3924" spans="3:4" ht="15" x14ac:dyDescent="0.25">
      <c r="C3924" s="8" t="e">
        <f>VLOOKUP(A:A,'ITEM LIST'!A:C,3,0)</f>
        <v>#N/A</v>
      </c>
      <c r="D3924" s="6">
        <f t="shared" si="62"/>
        <v>0</v>
      </c>
    </row>
    <row r="3925" spans="3:4" ht="15" x14ac:dyDescent="0.25">
      <c r="C3925" s="8" t="e">
        <f>VLOOKUP(A:A,'ITEM LIST'!A:C,3,0)</f>
        <v>#N/A</v>
      </c>
      <c r="D3925" s="6">
        <f t="shared" si="62"/>
        <v>0</v>
      </c>
    </row>
    <row r="3926" spans="3:4" ht="15" x14ac:dyDescent="0.25">
      <c r="C3926" s="8" t="e">
        <f>VLOOKUP(A:A,'ITEM LIST'!A:C,3,0)</f>
        <v>#N/A</v>
      </c>
      <c r="D3926" s="6">
        <f t="shared" si="62"/>
        <v>0</v>
      </c>
    </row>
    <row r="3927" spans="3:4" ht="15" x14ac:dyDescent="0.25">
      <c r="C3927" s="8" t="e">
        <f>VLOOKUP(A:A,'ITEM LIST'!A:C,3,0)</f>
        <v>#N/A</v>
      </c>
      <c r="D3927" s="6">
        <f t="shared" si="62"/>
        <v>0</v>
      </c>
    </row>
    <row r="3928" spans="3:4" ht="15" x14ac:dyDescent="0.25">
      <c r="C3928" s="8" t="e">
        <f>VLOOKUP(A:A,'ITEM LIST'!A:C,3,0)</f>
        <v>#N/A</v>
      </c>
      <c r="D3928" s="6">
        <f t="shared" si="62"/>
        <v>0</v>
      </c>
    </row>
    <row r="3929" spans="3:4" ht="15" x14ac:dyDescent="0.25">
      <c r="C3929" s="8" t="e">
        <f>VLOOKUP(A:A,'ITEM LIST'!A:C,3,0)</f>
        <v>#N/A</v>
      </c>
      <c r="D3929" s="6">
        <f t="shared" si="62"/>
        <v>0</v>
      </c>
    </row>
    <row r="3930" spans="3:4" ht="15" x14ac:dyDescent="0.25">
      <c r="C3930" s="8" t="e">
        <f>VLOOKUP(A:A,'ITEM LIST'!A:C,3,0)</f>
        <v>#N/A</v>
      </c>
      <c r="D3930" s="6">
        <f t="shared" si="62"/>
        <v>0</v>
      </c>
    </row>
    <row r="3931" spans="3:4" ht="15" x14ac:dyDescent="0.25">
      <c r="C3931" s="8" t="e">
        <f>VLOOKUP(A:A,'ITEM LIST'!A:C,3,0)</f>
        <v>#N/A</v>
      </c>
      <c r="D3931" s="6">
        <f t="shared" si="62"/>
        <v>0</v>
      </c>
    </row>
    <row r="3932" spans="3:4" ht="15" x14ac:dyDescent="0.25">
      <c r="C3932" s="8" t="e">
        <f>VLOOKUP(A:A,'ITEM LIST'!A:C,3,0)</f>
        <v>#N/A</v>
      </c>
      <c r="D3932" s="6">
        <f t="shared" si="62"/>
        <v>0</v>
      </c>
    </row>
    <row r="3933" spans="3:4" ht="15" x14ac:dyDescent="0.25">
      <c r="C3933" s="8" t="e">
        <f>VLOOKUP(A:A,'ITEM LIST'!A:C,3,0)</f>
        <v>#N/A</v>
      </c>
      <c r="D3933" s="6">
        <f t="shared" si="62"/>
        <v>0</v>
      </c>
    </row>
    <row r="3934" spans="3:4" ht="15" x14ac:dyDescent="0.25">
      <c r="C3934" s="8" t="e">
        <f>VLOOKUP(A:A,'ITEM LIST'!A:C,3,0)</f>
        <v>#N/A</v>
      </c>
      <c r="D3934" s="6">
        <f t="shared" si="62"/>
        <v>0</v>
      </c>
    </row>
    <row r="3935" spans="3:4" ht="15" x14ac:dyDescent="0.25">
      <c r="C3935" s="8" t="e">
        <f>VLOOKUP(A:A,'ITEM LIST'!A:C,3,0)</f>
        <v>#N/A</v>
      </c>
      <c r="D3935" s="6">
        <f t="shared" si="62"/>
        <v>0</v>
      </c>
    </row>
    <row r="3936" spans="3:4" ht="15" x14ac:dyDescent="0.25">
      <c r="C3936" s="8" t="e">
        <f>VLOOKUP(A:A,'ITEM LIST'!A:C,3,0)</f>
        <v>#N/A</v>
      </c>
      <c r="D3936" s="6">
        <f t="shared" si="62"/>
        <v>0</v>
      </c>
    </row>
    <row r="3937" spans="3:4" ht="15" x14ac:dyDescent="0.25">
      <c r="C3937" s="8" t="e">
        <f>VLOOKUP(A:A,'ITEM LIST'!A:C,3,0)</f>
        <v>#N/A</v>
      </c>
      <c r="D3937" s="6">
        <f t="shared" si="62"/>
        <v>0</v>
      </c>
    </row>
    <row r="3938" spans="3:4" ht="15" x14ac:dyDescent="0.25">
      <c r="C3938" s="8" t="e">
        <f>VLOOKUP(A:A,'ITEM LIST'!A:C,3,0)</f>
        <v>#N/A</v>
      </c>
      <c r="D3938" s="6">
        <f t="shared" si="62"/>
        <v>0</v>
      </c>
    </row>
    <row r="3939" spans="3:4" ht="15" x14ac:dyDescent="0.25">
      <c r="C3939" s="8" t="e">
        <f>VLOOKUP(A:A,'ITEM LIST'!A:C,3,0)</f>
        <v>#N/A</v>
      </c>
      <c r="D3939" s="6">
        <f t="shared" si="62"/>
        <v>0</v>
      </c>
    </row>
    <row r="3940" spans="3:4" ht="15" x14ac:dyDescent="0.25">
      <c r="C3940" s="8" t="e">
        <f>VLOOKUP(A:A,'ITEM LIST'!A:C,3,0)</f>
        <v>#N/A</v>
      </c>
      <c r="D3940" s="6">
        <f t="shared" si="62"/>
        <v>0</v>
      </c>
    </row>
    <row r="3941" spans="3:4" ht="15" x14ac:dyDescent="0.25">
      <c r="C3941" s="8" t="e">
        <f>VLOOKUP(A:A,'ITEM LIST'!A:C,3,0)</f>
        <v>#N/A</v>
      </c>
      <c r="D3941" s="6">
        <f t="shared" si="62"/>
        <v>0</v>
      </c>
    </row>
    <row r="3942" spans="3:4" ht="15" x14ac:dyDescent="0.25">
      <c r="C3942" s="8" t="e">
        <f>VLOOKUP(A:A,'ITEM LIST'!A:C,3,0)</f>
        <v>#N/A</v>
      </c>
      <c r="D3942" s="6">
        <f t="shared" si="62"/>
        <v>0</v>
      </c>
    </row>
    <row r="3943" spans="3:4" ht="15" x14ac:dyDescent="0.25">
      <c r="C3943" s="8" t="e">
        <f>VLOOKUP(A:A,'ITEM LIST'!A:C,3,0)</f>
        <v>#N/A</v>
      </c>
      <c r="D3943" s="6">
        <f t="shared" si="62"/>
        <v>0</v>
      </c>
    </row>
    <row r="3944" spans="3:4" ht="15" x14ac:dyDescent="0.25">
      <c r="C3944" s="8" t="e">
        <f>VLOOKUP(A:A,'ITEM LIST'!A:C,3,0)</f>
        <v>#N/A</v>
      </c>
      <c r="D3944" s="6">
        <f t="shared" si="62"/>
        <v>0</v>
      </c>
    </row>
    <row r="3945" spans="3:4" ht="15" x14ac:dyDescent="0.25">
      <c r="C3945" s="8" t="e">
        <f>VLOOKUP(A:A,'ITEM LIST'!A:C,3,0)</f>
        <v>#N/A</v>
      </c>
      <c r="D3945" s="6">
        <f t="shared" si="62"/>
        <v>0</v>
      </c>
    </row>
    <row r="3946" spans="3:4" ht="15" x14ac:dyDescent="0.25">
      <c r="C3946" s="8" t="e">
        <f>VLOOKUP(A:A,'ITEM LIST'!A:C,3,0)</f>
        <v>#N/A</v>
      </c>
      <c r="D3946" s="6">
        <f t="shared" si="62"/>
        <v>0</v>
      </c>
    </row>
    <row r="3947" spans="3:4" ht="15" x14ac:dyDescent="0.25">
      <c r="C3947" s="8" t="e">
        <f>VLOOKUP(A:A,'ITEM LIST'!A:C,3,0)</f>
        <v>#N/A</v>
      </c>
      <c r="D3947" s="6">
        <f t="shared" si="62"/>
        <v>0</v>
      </c>
    </row>
    <row r="3948" spans="3:4" ht="15" x14ac:dyDescent="0.25">
      <c r="C3948" s="8" t="e">
        <f>VLOOKUP(A:A,'ITEM LIST'!A:C,3,0)</f>
        <v>#N/A</v>
      </c>
      <c r="D3948" s="6">
        <f t="shared" si="62"/>
        <v>0</v>
      </c>
    </row>
    <row r="3949" spans="3:4" ht="15" x14ac:dyDescent="0.25">
      <c r="C3949" s="8" t="e">
        <f>VLOOKUP(A:A,'ITEM LIST'!A:C,3,0)</f>
        <v>#N/A</v>
      </c>
      <c r="D3949" s="6">
        <f t="shared" si="62"/>
        <v>0</v>
      </c>
    </row>
    <row r="3950" spans="3:4" ht="15" x14ac:dyDescent="0.25">
      <c r="C3950" s="8" t="e">
        <f>VLOOKUP(A:A,'ITEM LIST'!A:C,3,0)</f>
        <v>#N/A</v>
      </c>
      <c r="D3950" s="6">
        <f t="shared" si="62"/>
        <v>0</v>
      </c>
    </row>
    <row r="3951" spans="3:4" ht="15" x14ac:dyDescent="0.25">
      <c r="C3951" s="8" t="e">
        <f>VLOOKUP(A:A,'ITEM LIST'!A:C,3,0)</f>
        <v>#N/A</v>
      </c>
      <c r="D3951" s="6">
        <f t="shared" si="62"/>
        <v>0</v>
      </c>
    </row>
    <row r="3952" spans="3:4" ht="15" x14ac:dyDescent="0.25">
      <c r="C3952" s="8" t="e">
        <f>VLOOKUP(A:A,'ITEM LIST'!A:C,3,0)</f>
        <v>#N/A</v>
      </c>
      <c r="D3952" s="6">
        <f t="shared" si="62"/>
        <v>0</v>
      </c>
    </row>
    <row r="3953" spans="3:4" ht="15" x14ac:dyDescent="0.25">
      <c r="C3953" s="8" t="e">
        <f>VLOOKUP(A:A,'ITEM LIST'!A:C,3,0)</f>
        <v>#N/A</v>
      </c>
      <c r="D3953" s="6">
        <f t="shared" si="62"/>
        <v>0</v>
      </c>
    </row>
    <row r="3954" spans="3:4" ht="15" x14ac:dyDescent="0.25">
      <c r="C3954" s="8" t="e">
        <f>VLOOKUP(A:A,'ITEM LIST'!A:C,3,0)</f>
        <v>#N/A</v>
      </c>
      <c r="D3954" s="6">
        <f t="shared" si="62"/>
        <v>0</v>
      </c>
    </row>
    <row r="3955" spans="3:4" ht="15" x14ac:dyDescent="0.25">
      <c r="C3955" s="8" t="e">
        <f>VLOOKUP(A:A,'ITEM LIST'!A:C,3,0)</f>
        <v>#N/A</v>
      </c>
      <c r="D3955" s="6">
        <f t="shared" si="62"/>
        <v>0</v>
      </c>
    </row>
    <row r="3956" spans="3:4" ht="15" x14ac:dyDescent="0.25">
      <c r="C3956" s="8" t="e">
        <f>VLOOKUP(A:A,'ITEM LIST'!A:C,3,0)</f>
        <v>#N/A</v>
      </c>
      <c r="D3956" s="6">
        <f t="shared" si="62"/>
        <v>0</v>
      </c>
    </row>
    <row r="3957" spans="3:4" ht="15" x14ac:dyDescent="0.25">
      <c r="C3957" s="8" t="e">
        <f>VLOOKUP(A:A,'ITEM LIST'!A:C,3,0)</f>
        <v>#N/A</v>
      </c>
      <c r="D3957" s="6">
        <f t="shared" si="62"/>
        <v>0</v>
      </c>
    </row>
    <row r="3958" spans="3:4" ht="15" x14ac:dyDescent="0.25">
      <c r="C3958" s="8" t="e">
        <f>VLOOKUP(A:A,'ITEM LIST'!A:C,3,0)</f>
        <v>#N/A</v>
      </c>
      <c r="D3958" s="6">
        <f t="shared" si="62"/>
        <v>0</v>
      </c>
    </row>
    <row r="3959" spans="3:4" ht="15" x14ac:dyDescent="0.25">
      <c r="C3959" s="8" t="e">
        <f>VLOOKUP(A:A,'ITEM LIST'!A:C,3,0)</f>
        <v>#N/A</v>
      </c>
      <c r="D3959" s="6">
        <f t="shared" si="62"/>
        <v>0</v>
      </c>
    </row>
    <row r="3960" spans="3:4" ht="15" x14ac:dyDescent="0.25">
      <c r="C3960" s="8" t="e">
        <f>VLOOKUP(A:A,'ITEM LIST'!A:C,3,0)</f>
        <v>#N/A</v>
      </c>
      <c r="D3960" s="6">
        <f t="shared" si="62"/>
        <v>0</v>
      </c>
    </row>
    <row r="3961" spans="3:4" ht="15" x14ac:dyDescent="0.25">
      <c r="C3961" s="8" t="e">
        <f>VLOOKUP(A:A,'ITEM LIST'!A:C,3,0)</f>
        <v>#N/A</v>
      </c>
      <c r="D3961" s="6">
        <f t="shared" si="62"/>
        <v>0</v>
      </c>
    </row>
    <row r="3962" spans="3:4" ht="15" x14ac:dyDescent="0.25">
      <c r="C3962" s="8" t="e">
        <f>VLOOKUP(A:A,'ITEM LIST'!A:C,3,0)</f>
        <v>#N/A</v>
      </c>
      <c r="D3962" s="6">
        <f t="shared" si="62"/>
        <v>0</v>
      </c>
    </row>
    <row r="3963" spans="3:4" ht="15" x14ac:dyDescent="0.25">
      <c r="C3963" s="8" t="e">
        <f>VLOOKUP(A:A,'ITEM LIST'!A:C,3,0)</f>
        <v>#N/A</v>
      </c>
      <c r="D3963" s="6">
        <f t="shared" si="62"/>
        <v>0</v>
      </c>
    </row>
    <row r="3964" spans="3:4" ht="15" x14ac:dyDescent="0.25">
      <c r="C3964" s="8" t="e">
        <f>VLOOKUP(A:A,'ITEM LIST'!A:C,3,0)</f>
        <v>#N/A</v>
      </c>
      <c r="D3964" s="6">
        <f t="shared" si="62"/>
        <v>0</v>
      </c>
    </row>
    <row r="3965" spans="3:4" ht="15" x14ac:dyDescent="0.25">
      <c r="C3965" s="8" t="e">
        <f>VLOOKUP(A:A,'ITEM LIST'!A:C,3,0)</f>
        <v>#N/A</v>
      </c>
      <c r="D3965" s="6">
        <f t="shared" si="62"/>
        <v>0</v>
      </c>
    </row>
    <row r="3966" spans="3:4" ht="15" x14ac:dyDescent="0.25">
      <c r="C3966" s="8" t="e">
        <f>VLOOKUP(A:A,'ITEM LIST'!A:C,3,0)</f>
        <v>#N/A</v>
      </c>
      <c r="D3966" s="6">
        <f t="shared" si="62"/>
        <v>0</v>
      </c>
    </row>
    <row r="3967" spans="3:4" ht="15" x14ac:dyDescent="0.25">
      <c r="C3967" s="8" t="e">
        <f>VLOOKUP(A:A,'ITEM LIST'!A:C,3,0)</f>
        <v>#N/A</v>
      </c>
      <c r="D3967" s="6">
        <f t="shared" si="62"/>
        <v>0</v>
      </c>
    </row>
    <row r="3968" spans="3:4" ht="15" x14ac:dyDescent="0.25">
      <c r="C3968" s="8" t="e">
        <f>VLOOKUP(A:A,'ITEM LIST'!A:C,3,0)</f>
        <v>#N/A</v>
      </c>
      <c r="D3968" s="6">
        <f t="shared" si="62"/>
        <v>0</v>
      </c>
    </row>
    <row r="3969" spans="3:4" ht="15" x14ac:dyDescent="0.25">
      <c r="C3969" s="8" t="e">
        <f>VLOOKUP(A:A,'ITEM LIST'!A:C,3,0)</f>
        <v>#N/A</v>
      </c>
      <c r="D3969" s="6">
        <f t="shared" si="62"/>
        <v>0</v>
      </c>
    </row>
    <row r="3970" spans="3:4" ht="15" x14ac:dyDescent="0.25">
      <c r="C3970" s="8" t="e">
        <f>VLOOKUP(A:A,'ITEM LIST'!A:C,3,0)</f>
        <v>#N/A</v>
      </c>
      <c r="D3970" s="6">
        <f t="shared" si="62"/>
        <v>0</v>
      </c>
    </row>
    <row r="3971" spans="3:4" ht="15" x14ac:dyDescent="0.25">
      <c r="C3971" s="8" t="e">
        <f>VLOOKUP(A:A,'ITEM LIST'!A:C,3,0)</f>
        <v>#N/A</v>
      </c>
      <c r="D3971" s="6">
        <f t="shared" si="62"/>
        <v>0</v>
      </c>
    </row>
    <row r="3972" spans="3:4" ht="15" x14ac:dyDescent="0.25">
      <c r="C3972" s="8" t="e">
        <f>VLOOKUP(A:A,'ITEM LIST'!A:C,3,0)</f>
        <v>#N/A</v>
      </c>
      <c r="D3972" s="6">
        <f t="shared" si="62"/>
        <v>0</v>
      </c>
    </row>
    <row r="3973" spans="3:4" ht="15" x14ac:dyDescent="0.25">
      <c r="C3973" s="8" t="e">
        <f>VLOOKUP(A:A,'ITEM LIST'!A:C,3,0)</f>
        <v>#N/A</v>
      </c>
      <c r="D3973" s="6">
        <f t="shared" si="62"/>
        <v>0</v>
      </c>
    </row>
    <row r="3974" spans="3:4" ht="15" x14ac:dyDescent="0.25">
      <c r="C3974" s="8" t="e">
        <f>VLOOKUP(A:A,'ITEM LIST'!A:C,3,0)</f>
        <v>#N/A</v>
      </c>
      <c r="D3974" s="6">
        <f t="shared" ref="D3974:D4037" si="63">B3974</f>
        <v>0</v>
      </c>
    </row>
    <row r="3975" spans="3:4" ht="15" x14ac:dyDescent="0.25">
      <c r="C3975" s="8" t="e">
        <f>VLOOKUP(A:A,'ITEM LIST'!A:C,3,0)</f>
        <v>#N/A</v>
      </c>
      <c r="D3975" s="6">
        <f t="shared" si="63"/>
        <v>0</v>
      </c>
    </row>
    <row r="3976" spans="3:4" ht="15" x14ac:dyDescent="0.25">
      <c r="C3976" s="8" t="e">
        <f>VLOOKUP(A:A,'ITEM LIST'!A:C,3,0)</f>
        <v>#N/A</v>
      </c>
      <c r="D3976" s="6">
        <f t="shared" si="63"/>
        <v>0</v>
      </c>
    </row>
    <row r="3977" spans="3:4" ht="15" x14ac:dyDescent="0.25">
      <c r="C3977" s="8" t="e">
        <f>VLOOKUP(A:A,'ITEM LIST'!A:C,3,0)</f>
        <v>#N/A</v>
      </c>
      <c r="D3977" s="6">
        <f t="shared" si="63"/>
        <v>0</v>
      </c>
    </row>
    <row r="3978" spans="3:4" ht="15" x14ac:dyDescent="0.25">
      <c r="C3978" s="8" t="e">
        <f>VLOOKUP(A:A,'ITEM LIST'!A:C,3,0)</f>
        <v>#N/A</v>
      </c>
      <c r="D3978" s="6">
        <f t="shared" si="63"/>
        <v>0</v>
      </c>
    </row>
    <row r="3979" spans="3:4" ht="15" x14ac:dyDescent="0.25">
      <c r="C3979" s="8" t="e">
        <f>VLOOKUP(A:A,'ITEM LIST'!A:C,3,0)</f>
        <v>#N/A</v>
      </c>
      <c r="D3979" s="6">
        <f t="shared" si="63"/>
        <v>0</v>
      </c>
    </row>
    <row r="3980" spans="3:4" ht="15" x14ac:dyDescent="0.25">
      <c r="C3980" s="8" t="e">
        <f>VLOOKUP(A:A,'ITEM LIST'!A:C,3,0)</f>
        <v>#N/A</v>
      </c>
      <c r="D3980" s="6">
        <f t="shared" si="63"/>
        <v>0</v>
      </c>
    </row>
    <row r="3981" spans="3:4" ht="15" x14ac:dyDescent="0.25">
      <c r="C3981" s="8" t="e">
        <f>VLOOKUP(A:A,'ITEM LIST'!A:C,3,0)</f>
        <v>#N/A</v>
      </c>
      <c r="D3981" s="6">
        <f t="shared" si="63"/>
        <v>0</v>
      </c>
    </row>
    <row r="3982" spans="3:4" ht="15" x14ac:dyDescent="0.25">
      <c r="C3982" s="8" t="e">
        <f>VLOOKUP(A:A,'ITEM LIST'!A:C,3,0)</f>
        <v>#N/A</v>
      </c>
      <c r="D3982" s="6">
        <f t="shared" si="63"/>
        <v>0</v>
      </c>
    </row>
    <row r="3983" spans="3:4" ht="15" x14ac:dyDescent="0.25">
      <c r="C3983" s="8" t="e">
        <f>VLOOKUP(A:A,'ITEM LIST'!A:C,3,0)</f>
        <v>#N/A</v>
      </c>
      <c r="D3983" s="6">
        <f t="shared" si="63"/>
        <v>0</v>
      </c>
    </row>
    <row r="3984" spans="3:4" ht="15" x14ac:dyDescent="0.25">
      <c r="C3984" s="8" t="e">
        <f>VLOOKUP(A:A,'ITEM LIST'!A:C,3,0)</f>
        <v>#N/A</v>
      </c>
      <c r="D3984" s="6">
        <f t="shared" si="63"/>
        <v>0</v>
      </c>
    </row>
    <row r="3985" spans="3:4" ht="15" x14ac:dyDescent="0.25">
      <c r="C3985" s="8" t="e">
        <f>VLOOKUP(A:A,'ITEM LIST'!A:C,3,0)</f>
        <v>#N/A</v>
      </c>
      <c r="D3985" s="6">
        <f t="shared" si="63"/>
        <v>0</v>
      </c>
    </row>
    <row r="3986" spans="3:4" ht="15" x14ac:dyDescent="0.25">
      <c r="C3986" s="8" t="e">
        <f>VLOOKUP(A:A,'ITEM LIST'!A:C,3,0)</f>
        <v>#N/A</v>
      </c>
      <c r="D3986" s="6">
        <f t="shared" si="63"/>
        <v>0</v>
      </c>
    </row>
    <row r="3987" spans="3:4" ht="15" x14ac:dyDescent="0.25">
      <c r="C3987" s="8" t="e">
        <f>VLOOKUP(A:A,'ITEM LIST'!A:C,3,0)</f>
        <v>#N/A</v>
      </c>
      <c r="D3987" s="6">
        <f t="shared" si="63"/>
        <v>0</v>
      </c>
    </row>
    <row r="3988" spans="3:4" ht="15" x14ac:dyDescent="0.25">
      <c r="C3988" s="8" t="e">
        <f>VLOOKUP(A:A,'ITEM LIST'!A:C,3,0)</f>
        <v>#N/A</v>
      </c>
      <c r="D3988" s="6">
        <f t="shared" si="63"/>
        <v>0</v>
      </c>
    </row>
    <row r="3989" spans="3:4" ht="15" x14ac:dyDescent="0.25">
      <c r="C3989" s="8" t="e">
        <f>VLOOKUP(A:A,'ITEM LIST'!A:C,3,0)</f>
        <v>#N/A</v>
      </c>
      <c r="D3989" s="6">
        <f t="shared" si="63"/>
        <v>0</v>
      </c>
    </row>
    <row r="3990" spans="3:4" ht="15" x14ac:dyDescent="0.25">
      <c r="C3990" s="8" t="e">
        <f>VLOOKUP(A:A,'ITEM LIST'!A:C,3,0)</f>
        <v>#N/A</v>
      </c>
      <c r="D3990" s="6">
        <f t="shared" si="63"/>
        <v>0</v>
      </c>
    </row>
    <row r="3991" spans="3:4" ht="15" x14ac:dyDescent="0.25">
      <c r="C3991" s="8" t="e">
        <f>VLOOKUP(A:A,'ITEM LIST'!A:C,3,0)</f>
        <v>#N/A</v>
      </c>
      <c r="D3991" s="6">
        <f t="shared" si="63"/>
        <v>0</v>
      </c>
    </row>
    <row r="3992" spans="3:4" ht="15" x14ac:dyDescent="0.25">
      <c r="C3992" s="8" t="e">
        <f>VLOOKUP(A:A,'ITEM LIST'!A:C,3,0)</f>
        <v>#N/A</v>
      </c>
      <c r="D3992" s="6">
        <f t="shared" si="63"/>
        <v>0</v>
      </c>
    </row>
    <row r="3993" spans="3:4" ht="15" x14ac:dyDescent="0.25">
      <c r="C3993" s="8" t="e">
        <f>VLOOKUP(A:A,'ITEM LIST'!A:C,3,0)</f>
        <v>#N/A</v>
      </c>
      <c r="D3993" s="6">
        <f t="shared" si="63"/>
        <v>0</v>
      </c>
    </row>
    <row r="3994" spans="3:4" ht="15" x14ac:dyDescent="0.25">
      <c r="C3994" s="8" t="e">
        <f>VLOOKUP(A:A,'ITEM LIST'!A:C,3,0)</f>
        <v>#N/A</v>
      </c>
      <c r="D3994" s="6">
        <f t="shared" si="63"/>
        <v>0</v>
      </c>
    </row>
    <row r="3995" spans="3:4" ht="15" x14ac:dyDescent="0.25">
      <c r="C3995" s="8" t="e">
        <f>VLOOKUP(A:A,'ITEM LIST'!A:C,3,0)</f>
        <v>#N/A</v>
      </c>
      <c r="D3995" s="6">
        <f t="shared" si="63"/>
        <v>0</v>
      </c>
    </row>
    <row r="3996" spans="3:4" ht="15" x14ac:dyDescent="0.25">
      <c r="C3996" s="8" t="e">
        <f>VLOOKUP(A:A,'ITEM LIST'!A:C,3,0)</f>
        <v>#N/A</v>
      </c>
      <c r="D3996" s="6">
        <f t="shared" si="63"/>
        <v>0</v>
      </c>
    </row>
    <row r="3997" spans="3:4" ht="15" x14ac:dyDescent="0.25">
      <c r="C3997" s="8" t="e">
        <f>VLOOKUP(A:A,'ITEM LIST'!A:C,3,0)</f>
        <v>#N/A</v>
      </c>
      <c r="D3997" s="6">
        <f t="shared" si="63"/>
        <v>0</v>
      </c>
    </row>
    <row r="3998" spans="3:4" ht="15" x14ac:dyDescent="0.25">
      <c r="C3998" s="8" t="e">
        <f>VLOOKUP(A:A,'ITEM LIST'!A:C,3,0)</f>
        <v>#N/A</v>
      </c>
      <c r="D3998" s="6">
        <f t="shared" si="63"/>
        <v>0</v>
      </c>
    </row>
    <row r="3999" spans="3:4" ht="15" x14ac:dyDescent="0.25">
      <c r="C3999" s="8" t="e">
        <f>VLOOKUP(A:A,'ITEM LIST'!A:C,3,0)</f>
        <v>#N/A</v>
      </c>
      <c r="D3999" s="6">
        <f t="shared" si="63"/>
        <v>0</v>
      </c>
    </row>
    <row r="4000" spans="3:4" ht="15" x14ac:dyDescent="0.25">
      <c r="C4000" s="8" t="e">
        <f>VLOOKUP(A:A,'ITEM LIST'!A:C,3,0)</f>
        <v>#N/A</v>
      </c>
      <c r="D4000" s="6">
        <f t="shared" si="63"/>
        <v>0</v>
      </c>
    </row>
    <row r="4001" spans="3:4" ht="15" x14ac:dyDescent="0.25">
      <c r="C4001" s="8" t="e">
        <f>VLOOKUP(A:A,'ITEM LIST'!A:C,3,0)</f>
        <v>#N/A</v>
      </c>
      <c r="D4001" s="6">
        <f t="shared" si="63"/>
        <v>0</v>
      </c>
    </row>
    <row r="4002" spans="3:4" ht="15" x14ac:dyDescent="0.25">
      <c r="C4002" s="8" t="e">
        <f>VLOOKUP(A:A,'ITEM LIST'!A:C,3,0)</f>
        <v>#N/A</v>
      </c>
      <c r="D4002" s="6">
        <f t="shared" si="63"/>
        <v>0</v>
      </c>
    </row>
    <row r="4003" spans="3:4" ht="15" x14ac:dyDescent="0.25">
      <c r="C4003" s="8" t="e">
        <f>VLOOKUP(A:A,'ITEM LIST'!A:C,3,0)</f>
        <v>#N/A</v>
      </c>
      <c r="D4003" s="6">
        <f t="shared" si="63"/>
        <v>0</v>
      </c>
    </row>
    <row r="4004" spans="3:4" ht="15" x14ac:dyDescent="0.25">
      <c r="C4004" s="8" t="e">
        <f>VLOOKUP(A:A,'ITEM LIST'!A:C,3,0)</f>
        <v>#N/A</v>
      </c>
      <c r="D4004" s="6">
        <f t="shared" si="63"/>
        <v>0</v>
      </c>
    </row>
    <row r="4005" spans="3:4" ht="15" x14ac:dyDescent="0.25">
      <c r="C4005" s="8" t="e">
        <f>VLOOKUP(A:A,'ITEM LIST'!A:C,3,0)</f>
        <v>#N/A</v>
      </c>
      <c r="D4005" s="6">
        <f t="shared" si="63"/>
        <v>0</v>
      </c>
    </row>
    <row r="4006" spans="3:4" ht="15" x14ac:dyDescent="0.25">
      <c r="C4006" s="8" t="e">
        <f>VLOOKUP(A:A,'ITEM LIST'!A:C,3,0)</f>
        <v>#N/A</v>
      </c>
      <c r="D4006" s="6">
        <f t="shared" si="63"/>
        <v>0</v>
      </c>
    </row>
    <row r="4007" spans="3:4" ht="15" x14ac:dyDescent="0.25">
      <c r="C4007" s="8" t="e">
        <f>VLOOKUP(A:A,'ITEM LIST'!A:C,3,0)</f>
        <v>#N/A</v>
      </c>
      <c r="D4007" s="6">
        <f t="shared" si="63"/>
        <v>0</v>
      </c>
    </row>
    <row r="4008" spans="3:4" ht="15" x14ac:dyDescent="0.25">
      <c r="C4008" s="8" t="e">
        <f>VLOOKUP(A:A,'ITEM LIST'!A:C,3,0)</f>
        <v>#N/A</v>
      </c>
      <c r="D4008" s="6">
        <f t="shared" si="63"/>
        <v>0</v>
      </c>
    </row>
    <row r="4009" spans="3:4" ht="15" x14ac:dyDescent="0.25">
      <c r="C4009" s="8" t="e">
        <f>VLOOKUP(A:A,'ITEM LIST'!A:C,3,0)</f>
        <v>#N/A</v>
      </c>
      <c r="D4009" s="6">
        <f t="shared" si="63"/>
        <v>0</v>
      </c>
    </row>
    <row r="4010" spans="3:4" ht="15" x14ac:dyDescent="0.25">
      <c r="C4010" s="8" t="e">
        <f>VLOOKUP(A:A,'ITEM LIST'!A:C,3,0)</f>
        <v>#N/A</v>
      </c>
      <c r="D4010" s="6">
        <f t="shared" si="63"/>
        <v>0</v>
      </c>
    </row>
    <row r="4011" spans="3:4" ht="15" x14ac:dyDescent="0.25">
      <c r="C4011" s="8" t="e">
        <f>VLOOKUP(A:A,'ITEM LIST'!A:C,3,0)</f>
        <v>#N/A</v>
      </c>
      <c r="D4011" s="6">
        <f t="shared" si="63"/>
        <v>0</v>
      </c>
    </row>
    <row r="4012" spans="3:4" ht="15" x14ac:dyDescent="0.25">
      <c r="C4012" s="8" t="e">
        <f>VLOOKUP(A:A,'ITEM LIST'!A:C,3,0)</f>
        <v>#N/A</v>
      </c>
      <c r="D4012" s="6">
        <f t="shared" si="63"/>
        <v>0</v>
      </c>
    </row>
    <row r="4013" spans="3:4" ht="15" x14ac:dyDescent="0.25">
      <c r="C4013" s="8" t="e">
        <f>VLOOKUP(A:A,'ITEM LIST'!A:C,3,0)</f>
        <v>#N/A</v>
      </c>
      <c r="D4013" s="6">
        <f t="shared" si="63"/>
        <v>0</v>
      </c>
    </row>
    <row r="4014" spans="3:4" ht="15" x14ac:dyDescent="0.25">
      <c r="C4014" s="8" t="e">
        <f>VLOOKUP(A:A,'ITEM LIST'!A:C,3,0)</f>
        <v>#N/A</v>
      </c>
      <c r="D4014" s="6">
        <f t="shared" si="63"/>
        <v>0</v>
      </c>
    </row>
    <row r="4015" spans="3:4" ht="15" x14ac:dyDescent="0.25">
      <c r="C4015" s="8" t="e">
        <f>VLOOKUP(A:A,'ITEM LIST'!A:C,3,0)</f>
        <v>#N/A</v>
      </c>
      <c r="D4015" s="6">
        <f t="shared" si="63"/>
        <v>0</v>
      </c>
    </row>
    <row r="4016" spans="3:4" ht="15" x14ac:dyDescent="0.25">
      <c r="C4016" s="8" t="e">
        <f>VLOOKUP(A:A,'ITEM LIST'!A:C,3,0)</f>
        <v>#N/A</v>
      </c>
      <c r="D4016" s="6">
        <f t="shared" si="63"/>
        <v>0</v>
      </c>
    </row>
    <row r="4017" spans="3:4" ht="15" x14ac:dyDescent="0.25">
      <c r="C4017" s="8" t="e">
        <f>VLOOKUP(A:A,'ITEM LIST'!A:C,3,0)</f>
        <v>#N/A</v>
      </c>
      <c r="D4017" s="6">
        <f t="shared" si="63"/>
        <v>0</v>
      </c>
    </row>
    <row r="4018" spans="3:4" ht="15" x14ac:dyDescent="0.25">
      <c r="C4018" s="8" t="e">
        <f>VLOOKUP(A:A,'ITEM LIST'!A:C,3,0)</f>
        <v>#N/A</v>
      </c>
      <c r="D4018" s="6">
        <f t="shared" si="63"/>
        <v>0</v>
      </c>
    </row>
    <row r="4019" spans="3:4" ht="15" x14ac:dyDescent="0.25">
      <c r="C4019" s="8" t="e">
        <f>VLOOKUP(A:A,'ITEM LIST'!A:C,3,0)</f>
        <v>#N/A</v>
      </c>
      <c r="D4019" s="6">
        <f t="shared" si="63"/>
        <v>0</v>
      </c>
    </row>
    <row r="4020" spans="3:4" ht="15" x14ac:dyDescent="0.25">
      <c r="C4020" s="8" t="e">
        <f>VLOOKUP(A:A,'ITEM LIST'!A:C,3,0)</f>
        <v>#N/A</v>
      </c>
      <c r="D4020" s="6">
        <f t="shared" si="63"/>
        <v>0</v>
      </c>
    </row>
    <row r="4021" spans="3:4" ht="15" x14ac:dyDescent="0.25">
      <c r="C4021" s="8" t="e">
        <f>VLOOKUP(A:A,'ITEM LIST'!A:C,3,0)</f>
        <v>#N/A</v>
      </c>
      <c r="D4021" s="6">
        <f t="shared" si="63"/>
        <v>0</v>
      </c>
    </row>
    <row r="4022" spans="3:4" ht="15" x14ac:dyDescent="0.25">
      <c r="C4022" s="8" t="e">
        <f>VLOOKUP(A:A,'ITEM LIST'!A:C,3,0)</f>
        <v>#N/A</v>
      </c>
      <c r="D4022" s="6">
        <f t="shared" si="63"/>
        <v>0</v>
      </c>
    </row>
    <row r="4023" spans="3:4" ht="15" x14ac:dyDescent="0.25">
      <c r="C4023" s="8" t="e">
        <f>VLOOKUP(A:A,'ITEM LIST'!A:C,3,0)</f>
        <v>#N/A</v>
      </c>
      <c r="D4023" s="6">
        <f t="shared" si="63"/>
        <v>0</v>
      </c>
    </row>
    <row r="4024" spans="3:4" ht="15" x14ac:dyDescent="0.25">
      <c r="C4024" s="8" t="e">
        <f>VLOOKUP(A:A,'ITEM LIST'!A:C,3,0)</f>
        <v>#N/A</v>
      </c>
      <c r="D4024" s="6">
        <f t="shared" si="63"/>
        <v>0</v>
      </c>
    </row>
    <row r="4025" spans="3:4" ht="15" x14ac:dyDescent="0.25">
      <c r="C4025" s="8" t="e">
        <f>VLOOKUP(A:A,'ITEM LIST'!A:C,3,0)</f>
        <v>#N/A</v>
      </c>
      <c r="D4025" s="6">
        <f t="shared" si="63"/>
        <v>0</v>
      </c>
    </row>
    <row r="4026" spans="3:4" ht="15" x14ac:dyDescent="0.25">
      <c r="C4026" s="8" t="e">
        <f>VLOOKUP(A:A,'ITEM LIST'!A:C,3,0)</f>
        <v>#N/A</v>
      </c>
      <c r="D4026" s="6">
        <f t="shared" si="63"/>
        <v>0</v>
      </c>
    </row>
    <row r="4027" spans="3:4" ht="15" x14ac:dyDescent="0.25">
      <c r="C4027" s="8" t="e">
        <f>VLOOKUP(A:A,'ITEM LIST'!A:C,3,0)</f>
        <v>#N/A</v>
      </c>
      <c r="D4027" s="6">
        <f t="shared" si="63"/>
        <v>0</v>
      </c>
    </row>
    <row r="4028" spans="3:4" ht="15" x14ac:dyDescent="0.25">
      <c r="C4028" s="8" t="e">
        <f>VLOOKUP(A:A,'ITEM LIST'!A:C,3,0)</f>
        <v>#N/A</v>
      </c>
      <c r="D4028" s="6">
        <f t="shared" si="63"/>
        <v>0</v>
      </c>
    </row>
    <row r="4029" spans="3:4" ht="15" x14ac:dyDescent="0.25">
      <c r="C4029" s="8" t="e">
        <f>VLOOKUP(A:A,'ITEM LIST'!A:C,3,0)</f>
        <v>#N/A</v>
      </c>
      <c r="D4029" s="6">
        <f t="shared" si="63"/>
        <v>0</v>
      </c>
    </row>
    <row r="4030" spans="3:4" ht="15" x14ac:dyDescent="0.25">
      <c r="C4030" s="8" t="e">
        <f>VLOOKUP(A:A,'ITEM LIST'!A:C,3,0)</f>
        <v>#N/A</v>
      </c>
      <c r="D4030" s="6">
        <f t="shared" si="63"/>
        <v>0</v>
      </c>
    </row>
    <row r="4031" spans="3:4" ht="15" x14ac:dyDescent="0.25">
      <c r="C4031" s="8" t="e">
        <f>VLOOKUP(A:A,'ITEM LIST'!A:C,3,0)</f>
        <v>#N/A</v>
      </c>
      <c r="D4031" s="6">
        <f t="shared" si="63"/>
        <v>0</v>
      </c>
    </row>
    <row r="4032" spans="3:4" ht="15" x14ac:dyDescent="0.25">
      <c r="C4032" s="8" t="e">
        <f>VLOOKUP(A:A,'ITEM LIST'!A:C,3,0)</f>
        <v>#N/A</v>
      </c>
      <c r="D4032" s="6">
        <f t="shared" si="63"/>
        <v>0</v>
      </c>
    </row>
    <row r="4033" spans="3:4" ht="15" x14ac:dyDescent="0.25">
      <c r="C4033" s="8" t="e">
        <f>VLOOKUP(A:A,'ITEM LIST'!A:C,3,0)</f>
        <v>#N/A</v>
      </c>
      <c r="D4033" s="6">
        <f t="shared" si="63"/>
        <v>0</v>
      </c>
    </row>
    <row r="4034" spans="3:4" ht="15" x14ac:dyDescent="0.25">
      <c r="C4034" s="8" t="e">
        <f>VLOOKUP(A:A,'ITEM LIST'!A:C,3,0)</f>
        <v>#N/A</v>
      </c>
      <c r="D4034" s="6">
        <f t="shared" si="63"/>
        <v>0</v>
      </c>
    </row>
    <row r="4035" spans="3:4" ht="15" x14ac:dyDescent="0.25">
      <c r="C4035" s="8" t="e">
        <f>VLOOKUP(A:A,'ITEM LIST'!A:C,3,0)</f>
        <v>#N/A</v>
      </c>
      <c r="D4035" s="6">
        <f t="shared" si="63"/>
        <v>0</v>
      </c>
    </row>
    <row r="4036" spans="3:4" ht="15" x14ac:dyDescent="0.25">
      <c r="C4036" s="8" t="e">
        <f>VLOOKUP(A:A,'ITEM LIST'!A:C,3,0)</f>
        <v>#N/A</v>
      </c>
      <c r="D4036" s="6">
        <f t="shared" si="63"/>
        <v>0</v>
      </c>
    </row>
    <row r="4037" spans="3:4" ht="15" x14ac:dyDescent="0.25">
      <c r="C4037" s="8" t="e">
        <f>VLOOKUP(A:A,'ITEM LIST'!A:C,3,0)</f>
        <v>#N/A</v>
      </c>
      <c r="D4037" s="6">
        <f t="shared" si="63"/>
        <v>0</v>
      </c>
    </row>
    <row r="4038" spans="3:4" ht="15" x14ac:dyDescent="0.25">
      <c r="C4038" s="8" t="e">
        <f>VLOOKUP(A:A,'ITEM LIST'!A:C,3,0)</f>
        <v>#N/A</v>
      </c>
      <c r="D4038" s="6">
        <f t="shared" ref="D4038:D4101" si="64">B4038</f>
        <v>0</v>
      </c>
    </row>
    <row r="4039" spans="3:4" ht="15" x14ac:dyDescent="0.25">
      <c r="C4039" s="8" t="e">
        <f>VLOOKUP(A:A,'ITEM LIST'!A:C,3,0)</f>
        <v>#N/A</v>
      </c>
      <c r="D4039" s="6">
        <f t="shared" si="64"/>
        <v>0</v>
      </c>
    </row>
    <row r="4040" spans="3:4" ht="15" x14ac:dyDescent="0.25">
      <c r="C4040" s="8" t="e">
        <f>VLOOKUP(A:A,'ITEM LIST'!A:C,3,0)</f>
        <v>#N/A</v>
      </c>
      <c r="D4040" s="6">
        <f t="shared" si="64"/>
        <v>0</v>
      </c>
    </row>
    <row r="4041" spans="3:4" ht="15" x14ac:dyDescent="0.25">
      <c r="C4041" s="8" t="e">
        <f>VLOOKUP(A:A,'ITEM LIST'!A:C,3,0)</f>
        <v>#N/A</v>
      </c>
      <c r="D4041" s="6">
        <f t="shared" si="64"/>
        <v>0</v>
      </c>
    </row>
    <row r="4042" spans="3:4" ht="15" x14ac:dyDescent="0.25">
      <c r="C4042" s="8" t="e">
        <f>VLOOKUP(A:A,'ITEM LIST'!A:C,3,0)</f>
        <v>#N/A</v>
      </c>
      <c r="D4042" s="6">
        <f t="shared" si="64"/>
        <v>0</v>
      </c>
    </row>
    <row r="4043" spans="3:4" ht="15" x14ac:dyDescent="0.25">
      <c r="C4043" s="8" t="e">
        <f>VLOOKUP(A:A,'ITEM LIST'!A:C,3,0)</f>
        <v>#N/A</v>
      </c>
      <c r="D4043" s="6">
        <f t="shared" si="64"/>
        <v>0</v>
      </c>
    </row>
    <row r="4044" spans="3:4" ht="15" x14ac:dyDescent="0.25">
      <c r="C4044" s="8" t="e">
        <f>VLOOKUP(A:A,'ITEM LIST'!A:C,3,0)</f>
        <v>#N/A</v>
      </c>
      <c r="D4044" s="6">
        <f t="shared" si="64"/>
        <v>0</v>
      </c>
    </row>
    <row r="4045" spans="3:4" ht="15" x14ac:dyDescent="0.25">
      <c r="C4045" s="8" t="e">
        <f>VLOOKUP(A:A,'ITEM LIST'!A:C,3,0)</f>
        <v>#N/A</v>
      </c>
      <c r="D4045" s="6">
        <f t="shared" si="64"/>
        <v>0</v>
      </c>
    </row>
    <row r="4046" spans="3:4" ht="15" x14ac:dyDescent="0.25">
      <c r="C4046" s="8" t="e">
        <f>VLOOKUP(A:A,'ITEM LIST'!A:C,3,0)</f>
        <v>#N/A</v>
      </c>
      <c r="D4046" s="6">
        <f t="shared" si="64"/>
        <v>0</v>
      </c>
    </row>
    <row r="4047" spans="3:4" ht="15" x14ac:dyDescent="0.25">
      <c r="C4047" s="8" t="e">
        <f>VLOOKUP(A:A,'ITEM LIST'!A:C,3,0)</f>
        <v>#N/A</v>
      </c>
      <c r="D4047" s="6">
        <f t="shared" si="64"/>
        <v>0</v>
      </c>
    </row>
    <row r="4048" spans="3:4" ht="15" x14ac:dyDescent="0.25">
      <c r="C4048" s="8" t="e">
        <f>VLOOKUP(A:A,'ITEM LIST'!A:C,3,0)</f>
        <v>#N/A</v>
      </c>
      <c r="D4048" s="6">
        <f t="shared" si="64"/>
        <v>0</v>
      </c>
    </row>
    <row r="4049" spans="3:4" ht="15" x14ac:dyDescent="0.25">
      <c r="C4049" s="8" t="e">
        <f>VLOOKUP(A:A,'ITEM LIST'!A:C,3,0)</f>
        <v>#N/A</v>
      </c>
      <c r="D4049" s="6">
        <f t="shared" si="64"/>
        <v>0</v>
      </c>
    </row>
    <row r="4050" spans="3:4" ht="15" x14ac:dyDescent="0.25">
      <c r="C4050" s="8" t="e">
        <f>VLOOKUP(A:A,'ITEM LIST'!A:C,3,0)</f>
        <v>#N/A</v>
      </c>
      <c r="D4050" s="6">
        <f t="shared" si="64"/>
        <v>0</v>
      </c>
    </row>
    <row r="4051" spans="3:4" ht="15" x14ac:dyDescent="0.25">
      <c r="C4051" s="8" t="e">
        <f>VLOOKUP(A:A,'ITEM LIST'!A:C,3,0)</f>
        <v>#N/A</v>
      </c>
      <c r="D4051" s="6">
        <f t="shared" si="64"/>
        <v>0</v>
      </c>
    </row>
    <row r="4052" spans="3:4" ht="15" x14ac:dyDescent="0.25">
      <c r="C4052" s="8" t="e">
        <f>VLOOKUP(A:A,'ITEM LIST'!A:C,3,0)</f>
        <v>#N/A</v>
      </c>
      <c r="D4052" s="6">
        <f t="shared" si="64"/>
        <v>0</v>
      </c>
    </row>
    <row r="4053" spans="3:4" ht="15" x14ac:dyDescent="0.25">
      <c r="C4053" s="8" t="e">
        <f>VLOOKUP(A:A,'ITEM LIST'!A:C,3,0)</f>
        <v>#N/A</v>
      </c>
      <c r="D4053" s="6">
        <f t="shared" si="64"/>
        <v>0</v>
      </c>
    </row>
    <row r="4054" spans="3:4" ht="15" x14ac:dyDescent="0.25">
      <c r="C4054" s="8" t="e">
        <f>VLOOKUP(A:A,'ITEM LIST'!A:C,3,0)</f>
        <v>#N/A</v>
      </c>
      <c r="D4054" s="6">
        <f t="shared" si="64"/>
        <v>0</v>
      </c>
    </row>
    <row r="4055" spans="3:4" ht="15" x14ac:dyDescent="0.25">
      <c r="C4055" s="8" t="e">
        <f>VLOOKUP(A:A,'ITEM LIST'!A:C,3,0)</f>
        <v>#N/A</v>
      </c>
      <c r="D4055" s="6">
        <f t="shared" si="64"/>
        <v>0</v>
      </c>
    </row>
    <row r="4056" spans="3:4" ht="15" x14ac:dyDescent="0.25">
      <c r="C4056" s="8" t="e">
        <f>VLOOKUP(A:A,'ITEM LIST'!A:C,3,0)</f>
        <v>#N/A</v>
      </c>
      <c r="D4056" s="6">
        <f t="shared" si="64"/>
        <v>0</v>
      </c>
    </row>
    <row r="4057" spans="3:4" ht="15" x14ac:dyDescent="0.25">
      <c r="C4057" s="8" t="e">
        <f>VLOOKUP(A:A,'ITEM LIST'!A:C,3,0)</f>
        <v>#N/A</v>
      </c>
      <c r="D4057" s="6">
        <f t="shared" si="64"/>
        <v>0</v>
      </c>
    </row>
    <row r="4058" spans="3:4" ht="15" x14ac:dyDescent="0.25">
      <c r="C4058" s="8" t="e">
        <f>VLOOKUP(A:A,'ITEM LIST'!A:C,3,0)</f>
        <v>#N/A</v>
      </c>
      <c r="D4058" s="6">
        <f t="shared" si="64"/>
        <v>0</v>
      </c>
    </row>
    <row r="4059" spans="3:4" ht="15" x14ac:dyDescent="0.25">
      <c r="C4059" s="8" t="e">
        <f>VLOOKUP(A:A,'ITEM LIST'!A:C,3,0)</f>
        <v>#N/A</v>
      </c>
      <c r="D4059" s="6">
        <f t="shared" si="64"/>
        <v>0</v>
      </c>
    </row>
    <row r="4060" spans="3:4" ht="15" x14ac:dyDescent="0.25">
      <c r="C4060" s="8" t="e">
        <f>VLOOKUP(A:A,'ITEM LIST'!A:C,3,0)</f>
        <v>#N/A</v>
      </c>
      <c r="D4060" s="6">
        <f t="shared" si="64"/>
        <v>0</v>
      </c>
    </row>
    <row r="4061" spans="3:4" ht="15" x14ac:dyDescent="0.25">
      <c r="C4061" s="8" t="e">
        <f>VLOOKUP(A:A,'ITEM LIST'!A:C,3,0)</f>
        <v>#N/A</v>
      </c>
      <c r="D4061" s="6">
        <f t="shared" si="64"/>
        <v>0</v>
      </c>
    </row>
    <row r="4062" spans="3:4" ht="15" x14ac:dyDescent="0.25">
      <c r="C4062" s="8" t="e">
        <f>VLOOKUP(A:A,'ITEM LIST'!A:C,3,0)</f>
        <v>#N/A</v>
      </c>
      <c r="D4062" s="6">
        <f t="shared" si="64"/>
        <v>0</v>
      </c>
    </row>
    <row r="4063" spans="3:4" ht="15" x14ac:dyDescent="0.25">
      <c r="C4063" s="8" t="e">
        <f>VLOOKUP(A:A,'ITEM LIST'!A:C,3,0)</f>
        <v>#N/A</v>
      </c>
      <c r="D4063" s="6">
        <f t="shared" si="64"/>
        <v>0</v>
      </c>
    </row>
    <row r="4064" spans="3:4" ht="15" x14ac:dyDescent="0.25">
      <c r="C4064" s="8" t="e">
        <f>VLOOKUP(A:A,'ITEM LIST'!A:C,3,0)</f>
        <v>#N/A</v>
      </c>
      <c r="D4064" s="6">
        <f t="shared" si="64"/>
        <v>0</v>
      </c>
    </row>
    <row r="4065" spans="3:4" ht="15" x14ac:dyDescent="0.25">
      <c r="C4065" s="8" t="e">
        <f>VLOOKUP(A:A,'ITEM LIST'!A:C,3,0)</f>
        <v>#N/A</v>
      </c>
      <c r="D4065" s="6">
        <f t="shared" si="64"/>
        <v>0</v>
      </c>
    </row>
    <row r="4066" spans="3:4" ht="15" x14ac:dyDescent="0.25">
      <c r="C4066" s="8" t="e">
        <f>VLOOKUP(A:A,'ITEM LIST'!A:C,3,0)</f>
        <v>#N/A</v>
      </c>
      <c r="D4066" s="6">
        <f t="shared" si="64"/>
        <v>0</v>
      </c>
    </row>
    <row r="4067" spans="3:4" ht="15" x14ac:dyDescent="0.25">
      <c r="C4067" s="8" t="e">
        <f>VLOOKUP(A:A,'ITEM LIST'!A:C,3,0)</f>
        <v>#N/A</v>
      </c>
      <c r="D4067" s="6">
        <f t="shared" si="64"/>
        <v>0</v>
      </c>
    </row>
    <row r="4068" spans="3:4" ht="15" x14ac:dyDescent="0.25">
      <c r="C4068" s="8" t="e">
        <f>VLOOKUP(A:A,'ITEM LIST'!A:C,3,0)</f>
        <v>#N/A</v>
      </c>
      <c r="D4068" s="6">
        <f t="shared" si="64"/>
        <v>0</v>
      </c>
    </row>
    <row r="4069" spans="3:4" ht="15" x14ac:dyDescent="0.25">
      <c r="C4069" s="8" t="e">
        <f>VLOOKUP(A:A,'ITEM LIST'!A:C,3,0)</f>
        <v>#N/A</v>
      </c>
      <c r="D4069" s="6">
        <f t="shared" si="64"/>
        <v>0</v>
      </c>
    </row>
    <row r="4070" spans="3:4" ht="15" x14ac:dyDescent="0.25">
      <c r="C4070" s="8" t="e">
        <f>VLOOKUP(A:A,'ITEM LIST'!A:C,3,0)</f>
        <v>#N/A</v>
      </c>
      <c r="D4070" s="6">
        <f t="shared" si="64"/>
        <v>0</v>
      </c>
    </row>
    <row r="4071" spans="3:4" ht="15" x14ac:dyDescent="0.25">
      <c r="C4071" s="8" t="e">
        <f>VLOOKUP(A:A,'ITEM LIST'!A:C,3,0)</f>
        <v>#N/A</v>
      </c>
      <c r="D4071" s="6">
        <f t="shared" si="64"/>
        <v>0</v>
      </c>
    </row>
    <row r="4072" spans="3:4" ht="15" x14ac:dyDescent="0.25">
      <c r="C4072" s="8" t="e">
        <f>VLOOKUP(A:A,'ITEM LIST'!A:C,3,0)</f>
        <v>#N/A</v>
      </c>
      <c r="D4072" s="6">
        <f t="shared" si="64"/>
        <v>0</v>
      </c>
    </row>
    <row r="4073" spans="3:4" ht="15" x14ac:dyDescent="0.25">
      <c r="C4073" s="8" t="e">
        <f>VLOOKUP(A:A,'ITEM LIST'!A:C,3,0)</f>
        <v>#N/A</v>
      </c>
      <c r="D4073" s="6">
        <f t="shared" si="64"/>
        <v>0</v>
      </c>
    </row>
    <row r="4074" spans="3:4" ht="15" x14ac:dyDescent="0.25">
      <c r="C4074" s="8" t="e">
        <f>VLOOKUP(A:A,'ITEM LIST'!A:C,3,0)</f>
        <v>#N/A</v>
      </c>
      <c r="D4074" s="6">
        <f t="shared" si="64"/>
        <v>0</v>
      </c>
    </row>
    <row r="4075" spans="3:4" ht="15" x14ac:dyDescent="0.25">
      <c r="C4075" s="8" t="e">
        <f>VLOOKUP(A:A,'ITEM LIST'!A:C,3,0)</f>
        <v>#N/A</v>
      </c>
      <c r="D4075" s="6">
        <f t="shared" si="64"/>
        <v>0</v>
      </c>
    </row>
    <row r="4076" spans="3:4" ht="15" x14ac:dyDescent="0.25">
      <c r="C4076" s="8" t="e">
        <f>VLOOKUP(A:A,'ITEM LIST'!A:C,3,0)</f>
        <v>#N/A</v>
      </c>
      <c r="D4076" s="6">
        <f t="shared" si="64"/>
        <v>0</v>
      </c>
    </row>
    <row r="4077" spans="3:4" ht="15" x14ac:dyDescent="0.25">
      <c r="C4077" s="8" t="e">
        <f>VLOOKUP(A:A,'ITEM LIST'!A:C,3,0)</f>
        <v>#N/A</v>
      </c>
      <c r="D4077" s="6">
        <f t="shared" si="64"/>
        <v>0</v>
      </c>
    </row>
    <row r="4078" spans="3:4" ht="15" x14ac:dyDescent="0.25">
      <c r="C4078" s="8" t="e">
        <f>VLOOKUP(A:A,'ITEM LIST'!A:C,3,0)</f>
        <v>#N/A</v>
      </c>
      <c r="D4078" s="6">
        <f t="shared" si="64"/>
        <v>0</v>
      </c>
    </row>
    <row r="4079" spans="3:4" ht="15" x14ac:dyDescent="0.25">
      <c r="C4079" s="8" t="e">
        <f>VLOOKUP(A:A,'ITEM LIST'!A:C,3,0)</f>
        <v>#N/A</v>
      </c>
      <c r="D4079" s="6">
        <f t="shared" si="64"/>
        <v>0</v>
      </c>
    </row>
    <row r="4080" spans="3:4" ht="15" x14ac:dyDescent="0.25">
      <c r="C4080" s="8" t="e">
        <f>VLOOKUP(A:A,'ITEM LIST'!A:C,3,0)</f>
        <v>#N/A</v>
      </c>
      <c r="D4080" s="6">
        <f t="shared" si="64"/>
        <v>0</v>
      </c>
    </row>
    <row r="4081" spans="3:4" ht="15" x14ac:dyDescent="0.25">
      <c r="C4081" s="8" t="e">
        <f>VLOOKUP(A:A,'ITEM LIST'!A:C,3,0)</f>
        <v>#N/A</v>
      </c>
      <c r="D4081" s="6">
        <f t="shared" si="64"/>
        <v>0</v>
      </c>
    </row>
    <row r="4082" spans="3:4" ht="15" x14ac:dyDescent="0.25">
      <c r="C4082" s="8" t="e">
        <f>VLOOKUP(A:A,'ITEM LIST'!A:C,3,0)</f>
        <v>#N/A</v>
      </c>
      <c r="D4082" s="6">
        <f t="shared" si="64"/>
        <v>0</v>
      </c>
    </row>
    <row r="4083" spans="3:4" ht="15" x14ac:dyDescent="0.25">
      <c r="C4083" s="8" t="e">
        <f>VLOOKUP(A:A,'ITEM LIST'!A:C,3,0)</f>
        <v>#N/A</v>
      </c>
      <c r="D4083" s="6">
        <f t="shared" si="64"/>
        <v>0</v>
      </c>
    </row>
    <row r="4084" spans="3:4" ht="15" x14ac:dyDescent="0.25">
      <c r="C4084" s="8" t="e">
        <f>VLOOKUP(A:A,'ITEM LIST'!A:C,3,0)</f>
        <v>#N/A</v>
      </c>
      <c r="D4084" s="6">
        <f t="shared" si="64"/>
        <v>0</v>
      </c>
    </row>
    <row r="4085" spans="3:4" ht="15" x14ac:dyDescent="0.25">
      <c r="C4085" s="8" t="e">
        <f>VLOOKUP(A:A,'ITEM LIST'!A:C,3,0)</f>
        <v>#N/A</v>
      </c>
      <c r="D4085" s="6">
        <f t="shared" si="64"/>
        <v>0</v>
      </c>
    </row>
    <row r="4086" spans="3:4" ht="15" x14ac:dyDescent="0.25">
      <c r="C4086" s="8" t="e">
        <f>VLOOKUP(A:A,'ITEM LIST'!A:C,3,0)</f>
        <v>#N/A</v>
      </c>
      <c r="D4086" s="6">
        <f t="shared" si="64"/>
        <v>0</v>
      </c>
    </row>
    <row r="4087" spans="3:4" ht="15" x14ac:dyDescent="0.25">
      <c r="C4087" s="8" t="e">
        <f>VLOOKUP(A:A,'ITEM LIST'!A:C,3,0)</f>
        <v>#N/A</v>
      </c>
      <c r="D4087" s="6">
        <f t="shared" si="64"/>
        <v>0</v>
      </c>
    </row>
    <row r="4088" spans="3:4" ht="15" x14ac:dyDescent="0.25">
      <c r="C4088" s="8" t="e">
        <f>VLOOKUP(A:A,'ITEM LIST'!A:C,3,0)</f>
        <v>#N/A</v>
      </c>
      <c r="D4088" s="6">
        <f t="shared" si="64"/>
        <v>0</v>
      </c>
    </row>
    <row r="4089" spans="3:4" ht="15" x14ac:dyDescent="0.25">
      <c r="C4089" s="8" t="e">
        <f>VLOOKUP(A:A,'ITEM LIST'!A:C,3,0)</f>
        <v>#N/A</v>
      </c>
      <c r="D4089" s="6">
        <f t="shared" si="64"/>
        <v>0</v>
      </c>
    </row>
    <row r="4090" spans="3:4" ht="15" x14ac:dyDescent="0.25">
      <c r="C4090" s="8" t="e">
        <f>VLOOKUP(A:A,'ITEM LIST'!A:C,3,0)</f>
        <v>#N/A</v>
      </c>
      <c r="D4090" s="6">
        <f t="shared" si="64"/>
        <v>0</v>
      </c>
    </row>
    <row r="4091" spans="3:4" ht="15" x14ac:dyDescent="0.25">
      <c r="C4091" s="8" t="e">
        <f>VLOOKUP(A:A,'ITEM LIST'!A:C,3,0)</f>
        <v>#N/A</v>
      </c>
      <c r="D4091" s="6">
        <f t="shared" si="64"/>
        <v>0</v>
      </c>
    </row>
    <row r="4092" spans="3:4" ht="15" x14ac:dyDescent="0.25">
      <c r="C4092" s="8" t="e">
        <f>VLOOKUP(A:A,'ITEM LIST'!A:C,3,0)</f>
        <v>#N/A</v>
      </c>
      <c r="D4092" s="6">
        <f t="shared" si="64"/>
        <v>0</v>
      </c>
    </row>
    <row r="4093" spans="3:4" ht="15" x14ac:dyDescent="0.25">
      <c r="C4093" s="8" t="e">
        <f>VLOOKUP(A:A,'ITEM LIST'!A:C,3,0)</f>
        <v>#N/A</v>
      </c>
      <c r="D4093" s="6">
        <f t="shared" si="64"/>
        <v>0</v>
      </c>
    </row>
    <row r="4094" spans="3:4" ht="15" x14ac:dyDescent="0.25">
      <c r="C4094" s="8" t="e">
        <f>VLOOKUP(A:A,'ITEM LIST'!A:C,3,0)</f>
        <v>#N/A</v>
      </c>
      <c r="D4094" s="6">
        <f t="shared" si="64"/>
        <v>0</v>
      </c>
    </row>
    <row r="4095" spans="3:4" ht="15" x14ac:dyDescent="0.25">
      <c r="C4095" s="8" t="e">
        <f>VLOOKUP(A:A,'ITEM LIST'!A:C,3,0)</f>
        <v>#N/A</v>
      </c>
      <c r="D4095" s="6">
        <f t="shared" si="64"/>
        <v>0</v>
      </c>
    </row>
    <row r="4096" spans="3:4" ht="15" x14ac:dyDescent="0.25">
      <c r="C4096" s="8" t="e">
        <f>VLOOKUP(A:A,'ITEM LIST'!A:C,3,0)</f>
        <v>#N/A</v>
      </c>
      <c r="D4096" s="6">
        <f t="shared" si="64"/>
        <v>0</v>
      </c>
    </row>
    <row r="4097" spans="3:4" ht="15" x14ac:dyDescent="0.25">
      <c r="C4097" s="8" t="e">
        <f>VLOOKUP(A:A,'ITEM LIST'!A:C,3,0)</f>
        <v>#N/A</v>
      </c>
      <c r="D4097" s="6">
        <f t="shared" si="64"/>
        <v>0</v>
      </c>
    </row>
    <row r="4098" spans="3:4" ht="15" x14ac:dyDescent="0.25">
      <c r="C4098" s="8" t="e">
        <f>VLOOKUP(A:A,'ITEM LIST'!A:C,3,0)</f>
        <v>#N/A</v>
      </c>
      <c r="D4098" s="6">
        <f t="shared" si="64"/>
        <v>0</v>
      </c>
    </row>
    <row r="4099" spans="3:4" ht="15" x14ac:dyDescent="0.25">
      <c r="C4099" s="8" t="e">
        <f>VLOOKUP(A:A,'ITEM LIST'!A:C,3,0)</f>
        <v>#N/A</v>
      </c>
      <c r="D4099" s="6">
        <f t="shared" si="64"/>
        <v>0</v>
      </c>
    </row>
    <row r="4100" spans="3:4" ht="15" x14ac:dyDescent="0.25">
      <c r="C4100" s="8" t="e">
        <f>VLOOKUP(A:A,'ITEM LIST'!A:C,3,0)</f>
        <v>#N/A</v>
      </c>
      <c r="D4100" s="6">
        <f t="shared" si="64"/>
        <v>0</v>
      </c>
    </row>
    <row r="4101" spans="3:4" ht="15" x14ac:dyDescent="0.25">
      <c r="C4101" s="8" t="e">
        <f>VLOOKUP(A:A,'ITEM LIST'!A:C,3,0)</f>
        <v>#N/A</v>
      </c>
      <c r="D4101" s="6">
        <f t="shared" si="64"/>
        <v>0</v>
      </c>
    </row>
    <row r="4102" spans="3:4" ht="15" x14ac:dyDescent="0.25">
      <c r="C4102" s="8" t="e">
        <f>VLOOKUP(A:A,'ITEM LIST'!A:C,3,0)</f>
        <v>#N/A</v>
      </c>
      <c r="D4102" s="6">
        <f t="shared" ref="D4102:D4165" si="65">B4102</f>
        <v>0</v>
      </c>
    </row>
    <row r="4103" spans="3:4" ht="15" x14ac:dyDescent="0.25">
      <c r="C4103" s="8" t="e">
        <f>VLOOKUP(A:A,'ITEM LIST'!A:C,3,0)</f>
        <v>#N/A</v>
      </c>
      <c r="D4103" s="6">
        <f t="shared" si="65"/>
        <v>0</v>
      </c>
    </row>
    <row r="4104" spans="3:4" ht="15" x14ac:dyDescent="0.25">
      <c r="C4104" s="8" t="e">
        <f>VLOOKUP(A:A,'ITEM LIST'!A:C,3,0)</f>
        <v>#N/A</v>
      </c>
      <c r="D4104" s="6">
        <f t="shared" si="65"/>
        <v>0</v>
      </c>
    </row>
    <row r="4105" spans="3:4" ht="15" x14ac:dyDescent="0.25">
      <c r="C4105" s="8" t="e">
        <f>VLOOKUP(A:A,'ITEM LIST'!A:C,3,0)</f>
        <v>#N/A</v>
      </c>
      <c r="D4105" s="6">
        <f t="shared" si="65"/>
        <v>0</v>
      </c>
    </row>
    <row r="4106" spans="3:4" ht="15" x14ac:dyDescent="0.25">
      <c r="C4106" s="8" t="e">
        <f>VLOOKUP(A:A,'ITEM LIST'!A:C,3,0)</f>
        <v>#N/A</v>
      </c>
      <c r="D4106" s="6">
        <f t="shared" si="65"/>
        <v>0</v>
      </c>
    </row>
    <row r="4107" spans="3:4" ht="15" x14ac:dyDescent="0.25">
      <c r="C4107" s="8" t="e">
        <f>VLOOKUP(A:A,'ITEM LIST'!A:C,3,0)</f>
        <v>#N/A</v>
      </c>
      <c r="D4107" s="6">
        <f t="shared" si="65"/>
        <v>0</v>
      </c>
    </row>
    <row r="4108" spans="3:4" ht="15" x14ac:dyDescent="0.25">
      <c r="C4108" s="8" t="e">
        <f>VLOOKUP(A:A,'ITEM LIST'!A:C,3,0)</f>
        <v>#N/A</v>
      </c>
      <c r="D4108" s="6">
        <f t="shared" si="65"/>
        <v>0</v>
      </c>
    </row>
    <row r="4109" spans="3:4" ht="15" x14ac:dyDescent="0.25">
      <c r="C4109" s="8" t="e">
        <f>VLOOKUP(A:A,'ITEM LIST'!A:C,3,0)</f>
        <v>#N/A</v>
      </c>
      <c r="D4109" s="6">
        <f t="shared" si="65"/>
        <v>0</v>
      </c>
    </row>
    <row r="4110" spans="3:4" ht="15" x14ac:dyDescent="0.25">
      <c r="C4110" s="8" t="e">
        <f>VLOOKUP(A:A,'ITEM LIST'!A:C,3,0)</f>
        <v>#N/A</v>
      </c>
      <c r="D4110" s="6">
        <f t="shared" si="65"/>
        <v>0</v>
      </c>
    </row>
    <row r="4111" spans="3:4" ht="15" x14ac:dyDescent="0.25">
      <c r="C4111" s="8" t="e">
        <f>VLOOKUP(A:A,'ITEM LIST'!A:C,3,0)</f>
        <v>#N/A</v>
      </c>
      <c r="D4111" s="6">
        <f t="shared" si="65"/>
        <v>0</v>
      </c>
    </row>
    <row r="4112" spans="3:4" ht="15" x14ac:dyDescent="0.25">
      <c r="C4112" s="8" t="e">
        <f>VLOOKUP(A:A,'ITEM LIST'!A:C,3,0)</f>
        <v>#N/A</v>
      </c>
      <c r="D4112" s="6">
        <f t="shared" si="65"/>
        <v>0</v>
      </c>
    </row>
    <row r="4113" spans="3:4" ht="15" x14ac:dyDescent="0.25">
      <c r="C4113" s="8" t="e">
        <f>VLOOKUP(A:A,'ITEM LIST'!A:C,3,0)</f>
        <v>#N/A</v>
      </c>
      <c r="D4113" s="6">
        <f t="shared" si="65"/>
        <v>0</v>
      </c>
    </row>
    <row r="4114" spans="3:4" ht="15" x14ac:dyDescent="0.25">
      <c r="C4114" s="8" t="e">
        <f>VLOOKUP(A:A,'ITEM LIST'!A:C,3,0)</f>
        <v>#N/A</v>
      </c>
      <c r="D4114" s="6">
        <f t="shared" si="65"/>
        <v>0</v>
      </c>
    </row>
    <row r="4115" spans="3:4" ht="15" x14ac:dyDescent="0.25">
      <c r="C4115" s="8" t="e">
        <f>VLOOKUP(A:A,'ITEM LIST'!A:C,3,0)</f>
        <v>#N/A</v>
      </c>
      <c r="D4115" s="6">
        <f t="shared" si="65"/>
        <v>0</v>
      </c>
    </row>
    <row r="4116" spans="3:4" ht="15" x14ac:dyDescent="0.25">
      <c r="C4116" s="8" t="e">
        <f>VLOOKUP(A:A,'ITEM LIST'!A:C,3,0)</f>
        <v>#N/A</v>
      </c>
      <c r="D4116" s="6">
        <f t="shared" si="65"/>
        <v>0</v>
      </c>
    </row>
    <row r="4117" spans="3:4" ht="15" x14ac:dyDescent="0.25">
      <c r="C4117" s="8" t="e">
        <f>VLOOKUP(A:A,'ITEM LIST'!A:C,3,0)</f>
        <v>#N/A</v>
      </c>
      <c r="D4117" s="6">
        <f t="shared" si="65"/>
        <v>0</v>
      </c>
    </row>
    <row r="4118" spans="3:4" ht="15" x14ac:dyDescent="0.25">
      <c r="C4118" s="8" t="e">
        <f>VLOOKUP(A:A,'ITEM LIST'!A:C,3,0)</f>
        <v>#N/A</v>
      </c>
      <c r="D4118" s="6">
        <f t="shared" si="65"/>
        <v>0</v>
      </c>
    </row>
    <row r="4119" spans="3:4" ht="15" x14ac:dyDescent="0.25">
      <c r="C4119" s="8" t="e">
        <f>VLOOKUP(A:A,'ITEM LIST'!A:C,3,0)</f>
        <v>#N/A</v>
      </c>
      <c r="D4119" s="6">
        <f t="shared" si="65"/>
        <v>0</v>
      </c>
    </row>
    <row r="4120" spans="3:4" ht="15" x14ac:dyDescent="0.25">
      <c r="C4120" s="8" t="e">
        <f>VLOOKUP(A:A,'ITEM LIST'!A:C,3,0)</f>
        <v>#N/A</v>
      </c>
      <c r="D4120" s="6">
        <f t="shared" si="65"/>
        <v>0</v>
      </c>
    </row>
    <row r="4121" spans="3:4" ht="15" x14ac:dyDescent="0.25">
      <c r="C4121" s="8" t="e">
        <f>VLOOKUP(A:A,'ITEM LIST'!A:C,3,0)</f>
        <v>#N/A</v>
      </c>
      <c r="D4121" s="6">
        <f t="shared" si="65"/>
        <v>0</v>
      </c>
    </row>
    <row r="4122" spans="3:4" ht="15" x14ac:dyDescent="0.25">
      <c r="C4122" s="8" t="e">
        <f>VLOOKUP(A:A,'ITEM LIST'!A:C,3,0)</f>
        <v>#N/A</v>
      </c>
      <c r="D4122" s="6">
        <f t="shared" si="65"/>
        <v>0</v>
      </c>
    </row>
    <row r="4123" spans="3:4" ht="15" x14ac:dyDescent="0.25">
      <c r="C4123" s="8" t="e">
        <f>VLOOKUP(A:A,'ITEM LIST'!A:C,3,0)</f>
        <v>#N/A</v>
      </c>
      <c r="D4123" s="6">
        <f t="shared" si="65"/>
        <v>0</v>
      </c>
    </row>
    <row r="4124" spans="3:4" ht="15" x14ac:dyDescent="0.25">
      <c r="C4124" s="8" t="e">
        <f>VLOOKUP(A:A,'ITEM LIST'!A:C,3,0)</f>
        <v>#N/A</v>
      </c>
      <c r="D4124" s="6">
        <f t="shared" si="65"/>
        <v>0</v>
      </c>
    </row>
    <row r="4125" spans="3:4" ht="15" x14ac:dyDescent="0.25">
      <c r="C4125" s="8" t="e">
        <f>VLOOKUP(A:A,'ITEM LIST'!A:C,3,0)</f>
        <v>#N/A</v>
      </c>
      <c r="D4125" s="6">
        <f t="shared" si="65"/>
        <v>0</v>
      </c>
    </row>
    <row r="4126" spans="3:4" ht="15" x14ac:dyDescent="0.25">
      <c r="C4126" s="8" t="e">
        <f>VLOOKUP(A:A,'ITEM LIST'!A:C,3,0)</f>
        <v>#N/A</v>
      </c>
      <c r="D4126" s="6">
        <f t="shared" si="65"/>
        <v>0</v>
      </c>
    </row>
    <row r="4127" spans="3:4" ht="15" x14ac:dyDescent="0.25">
      <c r="C4127" s="8" t="e">
        <f>VLOOKUP(A:A,'ITEM LIST'!A:C,3,0)</f>
        <v>#N/A</v>
      </c>
      <c r="D4127" s="6">
        <f t="shared" si="65"/>
        <v>0</v>
      </c>
    </row>
    <row r="4128" spans="3:4" ht="15" x14ac:dyDescent="0.25">
      <c r="C4128" s="8" t="e">
        <f>VLOOKUP(A:A,'ITEM LIST'!A:C,3,0)</f>
        <v>#N/A</v>
      </c>
      <c r="D4128" s="6">
        <f t="shared" si="65"/>
        <v>0</v>
      </c>
    </row>
    <row r="4129" spans="3:4" ht="15" x14ac:dyDescent="0.25">
      <c r="C4129" s="8" t="e">
        <f>VLOOKUP(A:A,'ITEM LIST'!A:C,3,0)</f>
        <v>#N/A</v>
      </c>
      <c r="D4129" s="6">
        <f t="shared" si="65"/>
        <v>0</v>
      </c>
    </row>
    <row r="4130" spans="3:4" ht="15" x14ac:dyDescent="0.25">
      <c r="C4130" s="8" t="e">
        <f>VLOOKUP(A:A,'ITEM LIST'!A:C,3,0)</f>
        <v>#N/A</v>
      </c>
      <c r="D4130" s="6">
        <f t="shared" si="65"/>
        <v>0</v>
      </c>
    </row>
    <row r="4131" spans="3:4" ht="15" x14ac:dyDescent="0.25">
      <c r="C4131" s="8" t="e">
        <f>VLOOKUP(A:A,'ITEM LIST'!A:C,3,0)</f>
        <v>#N/A</v>
      </c>
      <c r="D4131" s="6">
        <f t="shared" si="65"/>
        <v>0</v>
      </c>
    </row>
    <row r="4132" spans="3:4" ht="15" x14ac:dyDescent="0.25">
      <c r="C4132" s="8" t="e">
        <f>VLOOKUP(A:A,'ITEM LIST'!A:C,3,0)</f>
        <v>#N/A</v>
      </c>
      <c r="D4132" s="6">
        <f t="shared" si="65"/>
        <v>0</v>
      </c>
    </row>
    <row r="4133" spans="3:4" ht="15" x14ac:dyDescent="0.25">
      <c r="C4133" s="8" t="e">
        <f>VLOOKUP(A:A,'ITEM LIST'!A:C,3,0)</f>
        <v>#N/A</v>
      </c>
      <c r="D4133" s="6">
        <f t="shared" si="65"/>
        <v>0</v>
      </c>
    </row>
    <row r="4134" spans="3:4" ht="15" x14ac:dyDescent="0.25">
      <c r="C4134" s="8" t="e">
        <f>VLOOKUP(A:A,'ITEM LIST'!A:C,3,0)</f>
        <v>#N/A</v>
      </c>
      <c r="D4134" s="6">
        <f t="shared" si="65"/>
        <v>0</v>
      </c>
    </row>
    <row r="4135" spans="3:4" ht="15" x14ac:dyDescent="0.25">
      <c r="C4135" s="8" t="e">
        <f>VLOOKUP(A:A,'ITEM LIST'!A:C,3,0)</f>
        <v>#N/A</v>
      </c>
      <c r="D4135" s="6">
        <f t="shared" si="65"/>
        <v>0</v>
      </c>
    </row>
    <row r="4136" spans="3:4" ht="15" x14ac:dyDescent="0.25">
      <c r="C4136" s="8" t="e">
        <f>VLOOKUP(A:A,'ITEM LIST'!A:C,3,0)</f>
        <v>#N/A</v>
      </c>
      <c r="D4136" s="6">
        <f t="shared" si="65"/>
        <v>0</v>
      </c>
    </row>
    <row r="4137" spans="3:4" ht="15" x14ac:dyDescent="0.25">
      <c r="C4137" s="8" t="e">
        <f>VLOOKUP(A:A,'ITEM LIST'!A:C,3,0)</f>
        <v>#N/A</v>
      </c>
      <c r="D4137" s="6">
        <f t="shared" si="65"/>
        <v>0</v>
      </c>
    </row>
    <row r="4138" spans="3:4" ht="15" x14ac:dyDescent="0.25">
      <c r="C4138" s="8" t="e">
        <f>VLOOKUP(A:A,'ITEM LIST'!A:C,3,0)</f>
        <v>#N/A</v>
      </c>
      <c r="D4138" s="6">
        <f t="shared" si="65"/>
        <v>0</v>
      </c>
    </row>
    <row r="4139" spans="3:4" ht="15" x14ac:dyDescent="0.25">
      <c r="C4139" s="8" t="e">
        <f>VLOOKUP(A:A,'ITEM LIST'!A:C,3,0)</f>
        <v>#N/A</v>
      </c>
      <c r="D4139" s="6">
        <f t="shared" si="65"/>
        <v>0</v>
      </c>
    </row>
    <row r="4140" spans="3:4" ht="15" x14ac:dyDescent="0.25">
      <c r="C4140" s="8" t="e">
        <f>VLOOKUP(A:A,'ITEM LIST'!A:C,3,0)</f>
        <v>#N/A</v>
      </c>
      <c r="D4140" s="6">
        <f t="shared" si="65"/>
        <v>0</v>
      </c>
    </row>
    <row r="4141" spans="3:4" ht="15" x14ac:dyDescent="0.25">
      <c r="C4141" s="8" t="e">
        <f>VLOOKUP(A:A,'ITEM LIST'!A:C,3,0)</f>
        <v>#N/A</v>
      </c>
      <c r="D4141" s="6">
        <f t="shared" si="65"/>
        <v>0</v>
      </c>
    </row>
    <row r="4142" spans="3:4" ht="15" x14ac:dyDescent="0.25">
      <c r="C4142" s="8" t="e">
        <f>VLOOKUP(A:A,'ITEM LIST'!A:C,3,0)</f>
        <v>#N/A</v>
      </c>
      <c r="D4142" s="6">
        <f t="shared" si="65"/>
        <v>0</v>
      </c>
    </row>
    <row r="4143" spans="3:4" ht="15" x14ac:dyDescent="0.25">
      <c r="C4143" s="8" t="e">
        <f>VLOOKUP(A:A,'ITEM LIST'!A:C,3,0)</f>
        <v>#N/A</v>
      </c>
      <c r="D4143" s="6">
        <f t="shared" si="65"/>
        <v>0</v>
      </c>
    </row>
    <row r="4144" spans="3:4" ht="15" x14ac:dyDescent="0.25">
      <c r="C4144" s="8" t="e">
        <f>VLOOKUP(A:A,'ITEM LIST'!A:C,3,0)</f>
        <v>#N/A</v>
      </c>
      <c r="D4144" s="6">
        <f t="shared" si="65"/>
        <v>0</v>
      </c>
    </row>
    <row r="4145" spans="3:4" ht="15" x14ac:dyDescent="0.25">
      <c r="C4145" s="8" t="e">
        <f>VLOOKUP(A:A,'ITEM LIST'!A:C,3,0)</f>
        <v>#N/A</v>
      </c>
      <c r="D4145" s="6">
        <f t="shared" si="65"/>
        <v>0</v>
      </c>
    </row>
    <row r="4146" spans="3:4" ht="15" x14ac:dyDescent="0.25">
      <c r="C4146" s="8" t="e">
        <f>VLOOKUP(A:A,'ITEM LIST'!A:C,3,0)</f>
        <v>#N/A</v>
      </c>
      <c r="D4146" s="6">
        <f t="shared" si="65"/>
        <v>0</v>
      </c>
    </row>
    <row r="4147" spans="3:4" ht="15" x14ac:dyDescent="0.25">
      <c r="C4147" s="8" t="e">
        <f>VLOOKUP(A:A,'ITEM LIST'!A:C,3,0)</f>
        <v>#N/A</v>
      </c>
      <c r="D4147" s="6">
        <f t="shared" si="65"/>
        <v>0</v>
      </c>
    </row>
    <row r="4148" spans="3:4" ht="15" x14ac:dyDescent="0.25">
      <c r="C4148" s="8" t="e">
        <f>VLOOKUP(A:A,'ITEM LIST'!A:C,3,0)</f>
        <v>#N/A</v>
      </c>
      <c r="D4148" s="6">
        <f t="shared" si="65"/>
        <v>0</v>
      </c>
    </row>
    <row r="4149" spans="3:4" ht="15" x14ac:dyDescent="0.25">
      <c r="C4149" s="8" t="e">
        <f>VLOOKUP(A:A,'ITEM LIST'!A:C,3,0)</f>
        <v>#N/A</v>
      </c>
      <c r="D4149" s="6">
        <f t="shared" si="65"/>
        <v>0</v>
      </c>
    </row>
    <row r="4150" spans="3:4" ht="15" x14ac:dyDescent="0.25">
      <c r="C4150" s="8" t="e">
        <f>VLOOKUP(A:A,'ITEM LIST'!A:C,3,0)</f>
        <v>#N/A</v>
      </c>
      <c r="D4150" s="6">
        <f t="shared" si="65"/>
        <v>0</v>
      </c>
    </row>
    <row r="4151" spans="3:4" ht="15" x14ac:dyDescent="0.25">
      <c r="C4151" s="8" t="e">
        <f>VLOOKUP(A:A,'ITEM LIST'!A:C,3,0)</f>
        <v>#N/A</v>
      </c>
      <c r="D4151" s="6">
        <f t="shared" si="65"/>
        <v>0</v>
      </c>
    </row>
    <row r="4152" spans="3:4" ht="15" x14ac:dyDescent="0.25">
      <c r="C4152" s="8" t="e">
        <f>VLOOKUP(A:A,'ITEM LIST'!A:C,3,0)</f>
        <v>#N/A</v>
      </c>
      <c r="D4152" s="6">
        <f t="shared" si="65"/>
        <v>0</v>
      </c>
    </row>
    <row r="4153" spans="3:4" ht="15" x14ac:dyDescent="0.25">
      <c r="C4153" s="8" t="e">
        <f>VLOOKUP(A:A,'ITEM LIST'!A:C,3,0)</f>
        <v>#N/A</v>
      </c>
      <c r="D4153" s="6">
        <f t="shared" si="65"/>
        <v>0</v>
      </c>
    </row>
    <row r="4154" spans="3:4" ht="15" x14ac:dyDescent="0.25">
      <c r="C4154" s="8" t="e">
        <f>VLOOKUP(A:A,'ITEM LIST'!A:C,3,0)</f>
        <v>#N/A</v>
      </c>
      <c r="D4154" s="6">
        <f t="shared" si="65"/>
        <v>0</v>
      </c>
    </row>
    <row r="4155" spans="3:4" ht="15" x14ac:dyDescent="0.25">
      <c r="C4155" s="8" t="e">
        <f>VLOOKUP(A:A,'ITEM LIST'!A:C,3,0)</f>
        <v>#N/A</v>
      </c>
      <c r="D4155" s="6">
        <f t="shared" si="65"/>
        <v>0</v>
      </c>
    </row>
    <row r="4156" spans="3:4" ht="15" x14ac:dyDescent="0.25">
      <c r="C4156" s="8" t="e">
        <f>VLOOKUP(A:A,'ITEM LIST'!A:C,3,0)</f>
        <v>#N/A</v>
      </c>
      <c r="D4156" s="6">
        <f t="shared" si="65"/>
        <v>0</v>
      </c>
    </row>
    <row r="4157" spans="3:4" ht="15" x14ac:dyDescent="0.25">
      <c r="C4157" s="8" t="e">
        <f>VLOOKUP(A:A,'ITEM LIST'!A:C,3,0)</f>
        <v>#N/A</v>
      </c>
      <c r="D4157" s="6">
        <f t="shared" si="65"/>
        <v>0</v>
      </c>
    </row>
    <row r="4158" spans="3:4" ht="15" x14ac:dyDescent="0.25">
      <c r="C4158" s="8" t="e">
        <f>VLOOKUP(A:A,'ITEM LIST'!A:C,3,0)</f>
        <v>#N/A</v>
      </c>
      <c r="D4158" s="6">
        <f t="shared" si="65"/>
        <v>0</v>
      </c>
    </row>
    <row r="4159" spans="3:4" ht="15" x14ac:dyDescent="0.25">
      <c r="C4159" s="8" t="e">
        <f>VLOOKUP(A:A,'ITEM LIST'!A:C,3,0)</f>
        <v>#N/A</v>
      </c>
      <c r="D4159" s="6">
        <f t="shared" si="65"/>
        <v>0</v>
      </c>
    </row>
    <row r="4160" spans="3:4" ht="15" x14ac:dyDescent="0.25">
      <c r="C4160" s="8" t="e">
        <f>VLOOKUP(A:A,'ITEM LIST'!A:C,3,0)</f>
        <v>#N/A</v>
      </c>
      <c r="D4160" s="6">
        <f t="shared" si="65"/>
        <v>0</v>
      </c>
    </row>
    <row r="4161" spans="3:4" ht="15" x14ac:dyDescent="0.25">
      <c r="C4161" s="8" t="e">
        <f>VLOOKUP(A:A,'ITEM LIST'!A:C,3,0)</f>
        <v>#N/A</v>
      </c>
      <c r="D4161" s="6">
        <f t="shared" si="65"/>
        <v>0</v>
      </c>
    </row>
    <row r="4162" spans="3:4" ht="15" x14ac:dyDescent="0.25">
      <c r="C4162" s="8" t="e">
        <f>VLOOKUP(A:A,'ITEM LIST'!A:C,3,0)</f>
        <v>#N/A</v>
      </c>
      <c r="D4162" s="6">
        <f t="shared" si="65"/>
        <v>0</v>
      </c>
    </row>
    <row r="4163" spans="3:4" ht="15" x14ac:dyDescent="0.25">
      <c r="C4163" s="8" t="e">
        <f>VLOOKUP(A:A,'ITEM LIST'!A:C,3,0)</f>
        <v>#N/A</v>
      </c>
      <c r="D4163" s="6">
        <f t="shared" si="65"/>
        <v>0</v>
      </c>
    </row>
    <row r="4164" spans="3:4" ht="15" x14ac:dyDescent="0.25">
      <c r="C4164" s="8" t="e">
        <f>VLOOKUP(A:A,'ITEM LIST'!A:C,3,0)</f>
        <v>#N/A</v>
      </c>
      <c r="D4164" s="6">
        <f t="shared" si="65"/>
        <v>0</v>
      </c>
    </row>
    <row r="4165" spans="3:4" ht="15" x14ac:dyDescent="0.25">
      <c r="C4165" s="8" t="e">
        <f>VLOOKUP(A:A,'ITEM LIST'!A:C,3,0)</f>
        <v>#N/A</v>
      </c>
      <c r="D4165" s="6">
        <f t="shared" si="65"/>
        <v>0</v>
      </c>
    </row>
    <row r="4166" spans="3:4" ht="15" x14ac:dyDescent="0.25">
      <c r="C4166" s="8" t="e">
        <f>VLOOKUP(A:A,'ITEM LIST'!A:C,3,0)</f>
        <v>#N/A</v>
      </c>
      <c r="D4166" s="6">
        <f t="shared" ref="D4166:D4229" si="66">B4166</f>
        <v>0</v>
      </c>
    </row>
    <row r="4167" spans="3:4" ht="15" x14ac:dyDescent="0.25">
      <c r="C4167" s="8" t="e">
        <f>VLOOKUP(A:A,'ITEM LIST'!A:C,3,0)</f>
        <v>#N/A</v>
      </c>
      <c r="D4167" s="6">
        <f t="shared" si="66"/>
        <v>0</v>
      </c>
    </row>
    <row r="4168" spans="3:4" ht="15" x14ac:dyDescent="0.25">
      <c r="C4168" s="8" t="e">
        <f>VLOOKUP(A:A,'ITEM LIST'!A:C,3,0)</f>
        <v>#N/A</v>
      </c>
      <c r="D4168" s="6">
        <f t="shared" si="66"/>
        <v>0</v>
      </c>
    </row>
    <row r="4169" spans="3:4" ht="15" x14ac:dyDescent="0.25">
      <c r="C4169" s="8" t="e">
        <f>VLOOKUP(A:A,'ITEM LIST'!A:C,3,0)</f>
        <v>#N/A</v>
      </c>
      <c r="D4169" s="6">
        <f t="shared" si="66"/>
        <v>0</v>
      </c>
    </row>
    <row r="4170" spans="3:4" ht="15" x14ac:dyDescent="0.25">
      <c r="C4170" s="8" t="e">
        <f>VLOOKUP(A:A,'ITEM LIST'!A:C,3,0)</f>
        <v>#N/A</v>
      </c>
      <c r="D4170" s="6">
        <f t="shared" si="66"/>
        <v>0</v>
      </c>
    </row>
    <row r="4171" spans="3:4" ht="15" x14ac:dyDescent="0.25">
      <c r="C4171" s="8" t="e">
        <f>VLOOKUP(A:A,'ITEM LIST'!A:C,3,0)</f>
        <v>#N/A</v>
      </c>
      <c r="D4171" s="6">
        <f t="shared" si="66"/>
        <v>0</v>
      </c>
    </row>
    <row r="4172" spans="3:4" ht="15" x14ac:dyDescent="0.25">
      <c r="C4172" s="8" t="e">
        <f>VLOOKUP(A:A,'ITEM LIST'!A:C,3,0)</f>
        <v>#N/A</v>
      </c>
      <c r="D4172" s="6">
        <f t="shared" si="66"/>
        <v>0</v>
      </c>
    </row>
    <row r="4173" spans="3:4" ht="15" x14ac:dyDescent="0.25">
      <c r="C4173" s="8" t="e">
        <f>VLOOKUP(A:A,'ITEM LIST'!A:C,3,0)</f>
        <v>#N/A</v>
      </c>
      <c r="D4173" s="6">
        <f t="shared" si="66"/>
        <v>0</v>
      </c>
    </row>
    <row r="4174" spans="3:4" ht="15" x14ac:dyDescent="0.25">
      <c r="C4174" s="8" t="e">
        <f>VLOOKUP(A:A,'ITEM LIST'!A:C,3,0)</f>
        <v>#N/A</v>
      </c>
      <c r="D4174" s="6">
        <f t="shared" si="66"/>
        <v>0</v>
      </c>
    </row>
    <row r="4175" spans="3:4" ht="15" x14ac:dyDescent="0.25">
      <c r="C4175" s="8" t="e">
        <f>VLOOKUP(A:A,'ITEM LIST'!A:C,3,0)</f>
        <v>#N/A</v>
      </c>
      <c r="D4175" s="6">
        <f t="shared" si="66"/>
        <v>0</v>
      </c>
    </row>
    <row r="4176" spans="3:4" ht="15" x14ac:dyDescent="0.25">
      <c r="C4176" s="8" t="e">
        <f>VLOOKUP(A:A,'ITEM LIST'!A:C,3,0)</f>
        <v>#N/A</v>
      </c>
      <c r="D4176" s="6">
        <f t="shared" si="66"/>
        <v>0</v>
      </c>
    </row>
    <row r="4177" spans="3:4" ht="15" x14ac:dyDescent="0.25">
      <c r="C4177" s="8" t="e">
        <f>VLOOKUP(A:A,'ITEM LIST'!A:C,3,0)</f>
        <v>#N/A</v>
      </c>
      <c r="D4177" s="6">
        <f t="shared" si="66"/>
        <v>0</v>
      </c>
    </row>
    <row r="4178" spans="3:4" ht="15" x14ac:dyDescent="0.25">
      <c r="C4178" s="8" t="e">
        <f>VLOOKUP(A:A,'ITEM LIST'!A:C,3,0)</f>
        <v>#N/A</v>
      </c>
      <c r="D4178" s="6">
        <f t="shared" si="66"/>
        <v>0</v>
      </c>
    </row>
    <row r="4179" spans="3:4" ht="15" x14ac:dyDescent="0.25">
      <c r="C4179" s="8" t="e">
        <f>VLOOKUP(A:A,'ITEM LIST'!A:C,3,0)</f>
        <v>#N/A</v>
      </c>
      <c r="D4179" s="6">
        <f t="shared" si="66"/>
        <v>0</v>
      </c>
    </row>
    <row r="4180" spans="3:4" ht="15" x14ac:dyDescent="0.25">
      <c r="C4180" s="8" t="e">
        <f>VLOOKUP(A:A,'ITEM LIST'!A:C,3,0)</f>
        <v>#N/A</v>
      </c>
      <c r="D4180" s="6">
        <f t="shared" si="66"/>
        <v>0</v>
      </c>
    </row>
    <row r="4181" spans="3:4" ht="15" x14ac:dyDescent="0.25">
      <c r="C4181" s="8" t="e">
        <f>VLOOKUP(A:A,'ITEM LIST'!A:C,3,0)</f>
        <v>#N/A</v>
      </c>
      <c r="D4181" s="6">
        <f t="shared" si="66"/>
        <v>0</v>
      </c>
    </row>
    <row r="4182" spans="3:4" ht="15" x14ac:dyDescent="0.25">
      <c r="C4182" s="8" t="e">
        <f>VLOOKUP(A:A,'ITEM LIST'!A:C,3,0)</f>
        <v>#N/A</v>
      </c>
      <c r="D4182" s="6">
        <f t="shared" si="66"/>
        <v>0</v>
      </c>
    </row>
    <row r="4183" spans="3:4" ht="15" x14ac:dyDescent="0.25">
      <c r="C4183" s="8" t="e">
        <f>VLOOKUP(A:A,'ITEM LIST'!A:C,3,0)</f>
        <v>#N/A</v>
      </c>
      <c r="D4183" s="6">
        <f t="shared" si="66"/>
        <v>0</v>
      </c>
    </row>
    <row r="4184" spans="3:4" ht="15" x14ac:dyDescent="0.25">
      <c r="C4184" s="8" t="e">
        <f>VLOOKUP(A:A,'ITEM LIST'!A:C,3,0)</f>
        <v>#N/A</v>
      </c>
      <c r="D4184" s="6">
        <f t="shared" si="66"/>
        <v>0</v>
      </c>
    </row>
    <row r="4185" spans="3:4" ht="15" x14ac:dyDescent="0.25">
      <c r="C4185" s="8" t="e">
        <f>VLOOKUP(A:A,'ITEM LIST'!A:C,3,0)</f>
        <v>#N/A</v>
      </c>
      <c r="D4185" s="6">
        <f t="shared" si="66"/>
        <v>0</v>
      </c>
    </row>
    <row r="4186" spans="3:4" ht="15" x14ac:dyDescent="0.25">
      <c r="C4186" s="8" t="e">
        <f>VLOOKUP(A:A,'ITEM LIST'!A:C,3,0)</f>
        <v>#N/A</v>
      </c>
      <c r="D4186" s="6">
        <f t="shared" si="66"/>
        <v>0</v>
      </c>
    </row>
    <row r="4187" spans="3:4" ht="15" x14ac:dyDescent="0.25">
      <c r="C4187" s="8" t="e">
        <f>VLOOKUP(A:A,'ITEM LIST'!A:C,3,0)</f>
        <v>#N/A</v>
      </c>
      <c r="D4187" s="6">
        <f t="shared" si="66"/>
        <v>0</v>
      </c>
    </row>
    <row r="4188" spans="3:4" ht="15" x14ac:dyDescent="0.25">
      <c r="C4188" s="8" t="e">
        <f>VLOOKUP(A:A,'ITEM LIST'!A:C,3,0)</f>
        <v>#N/A</v>
      </c>
      <c r="D4188" s="6">
        <f t="shared" si="66"/>
        <v>0</v>
      </c>
    </row>
    <row r="4189" spans="3:4" ht="15" x14ac:dyDescent="0.25">
      <c r="C4189" s="8" t="e">
        <f>VLOOKUP(A:A,'ITEM LIST'!A:C,3,0)</f>
        <v>#N/A</v>
      </c>
      <c r="D4189" s="6">
        <f t="shared" si="66"/>
        <v>0</v>
      </c>
    </row>
    <row r="4190" spans="3:4" ht="15" x14ac:dyDescent="0.25">
      <c r="C4190" s="8" t="e">
        <f>VLOOKUP(A:A,'ITEM LIST'!A:C,3,0)</f>
        <v>#N/A</v>
      </c>
      <c r="D4190" s="6">
        <f t="shared" si="66"/>
        <v>0</v>
      </c>
    </row>
    <row r="4191" spans="3:4" ht="15" x14ac:dyDescent="0.25">
      <c r="C4191" s="8" t="e">
        <f>VLOOKUP(A:A,'ITEM LIST'!A:C,3,0)</f>
        <v>#N/A</v>
      </c>
      <c r="D4191" s="6">
        <f t="shared" si="66"/>
        <v>0</v>
      </c>
    </row>
    <row r="4192" spans="3:4" ht="15" x14ac:dyDescent="0.25">
      <c r="C4192" s="8" t="e">
        <f>VLOOKUP(A:A,'ITEM LIST'!A:C,3,0)</f>
        <v>#N/A</v>
      </c>
      <c r="D4192" s="6">
        <f t="shared" si="66"/>
        <v>0</v>
      </c>
    </row>
    <row r="4193" spans="3:4" ht="15" x14ac:dyDescent="0.25">
      <c r="C4193" s="8" t="e">
        <f>VLOOKUP(A:A,'ITEM LIST'!A:C,3,0)</f>
        <v>#N/A</v>
      </c>
      <c r="D4193" s="6">
        <f t="shared" si="66"/>
        <v>0</v>
      </c>
    </row>
    <row r="4194" spans="3:4" ht="15" x14ac:dyDescent="0.25">
      <c r="C4194" s="8" t="e">
        <f>VLOOKUP(A:A,'ITEM LIST'!A:C,3,0)</f>
        <v>#N/A</v>
      </c>
      <c r="D4194" s="6">
        <f t="shared" si="66"/>
        <v>0</v>
      </c>
    </row>
    <row r="4195" spans="3:4" ht="15" x14ac:dyDescent="0.25">
      <c r="C4195" s="8" t="e">
        <f>VLOOKUP(A:A,'ITEM LIST'!A:C,3,0)</f>
        <v>#N/A</v>
      </c>
      <c r="D4195" s="6">
        <f t="shared" si="66"/>
        <v>0</v>
      </c>
    </row>
    <row r="4196" spans="3:4" ht="15" x14ac:dyDescent="0.25">
      <c r="C4196" s="8" t="e">
        <f>VLOOKUP(A:A,'ITEM LIST'!A:C,3,0)</f>
        <v>#N/A</v>
      </c>
      <c r="D4196" s="6">
        <f t="shared" si="66"/>
        <v>0</v>
      </c>
    </row>
    <row r="4197" spans="3:4" ht="15" x14ac:dyDescent="0.25">
      <c r="C4197" s="8" t="e">
        <f>VLOOKUP(A:A,'ITEM LIST'!A:C,3,0)</f>
        <v>#N/A</v>
      </c>
      <c r="D4197" s="6">
        <f t="shared" si="66"/>
        <v>0</v>
      </c>
    </row>
    <row r="4198" spans="3:4" ht="15" x14ac:dyDescent="0.25">
      <c r="C4198" s="8" t="e">
        <f>VLOOKUP(A:A,'ITEM LIST'!A:C,3,0)</f>
        <v>#N/A</v>
      </c>
      <c r="D4198" s="6">
        <f t="shared" si="66"/>
        <v>0</v>
      </c>
    </row>
    <row r="4199" spans="3:4" ht="15" x14ac:dyDescent="0.25">
      <c r="C4199" s="8" t="e">
        <f>VLOOKUP(A:A,'ITEM LIST'!A:C,3,0)</f>
        <v>#N/A</v>
      </c>
      <c r="D4199" s="6">
        <f t="shared" si="66"/>
        <v>0</v>
      </c>
    </row>
    <row r="4200" spans="3:4" ht="15" x14ac:dyDescent="0.25">
      <c r="C4200" s="8" t="e">
        <f>VLOOKUP(A:A,'ITEM LIST'!A:C,3,0)</f>
        <v>#N/A</v>
      </c>
      <c r="D4200" s="6">
        <f t="shared" si="66"/>
        <v>0</v>
      </c>
    </row>
    <row r="4201" spans="3:4" ht="15" x14ac:dyDescent="0.25">
      <c r="C4201" s="8" t="e">
        <f>VLOOKUP(A:A,'ITEM LIST'!A:C,3,0)</f>
        <v>#N/A</v>
      </c>
      <c r="D4201" s="6">
        <f t="shared" si="66"/>
        <v>0</v>
      </c>
    </row>
    <row r="4202" spans="3:4" ht="15" x14ac:dyDescent="0.25">
      <c r="C4202" s="8" t="e">
        <f>VLOOKUP(A:A,'ITEM LIST'!A:C,3,0)</f>
        <v>#N/A</v>
      </c>
      <c r="D4202" s="6">
        <f t="shared" si="66"/>
        <v>0</v>
      </c>
    </row>
    <row r="4203" spans="3:4" ht="15" x14ac:dyDescent="0.25">
      <c r="C4203" s="8" t="e">
        <f>VLOOKUP(A:A,'ITEM LIST'!A:C,3,0)</f>
        <v>#N/A</v>
      </c>
      <c r="D4203" s="6">
        <f t="shared" si="66"/>
        <v>0</v>
      </c>
    </row>
    <row r="4204" spans="3:4" ht="15" x14ac:dyDescent="0.25">
      <c r="C4204" s="8" t="e">
        <f>VLOOKUP(A:A,'ITEM LIST'!A:C,3,0)</f>
        <v>#N/A</v>
      </c>
      <c r="D4204" s="6">
        <f t="shared" si="66"/>
        <v>0</v>
      </c>
    </row>
    <row r="4205" spans="3:4" ht="15" x14ac:dyDescent="0.25">
      <c r="C4205" s="8" t="e">
        <f>VLOOKUP(A:A,'ITEM LIST'!A:C,3,0)</f>
        <v>#N/A</v>
      </c>
      <c r="D4205" s="6">
        <f t="shared" si="66"/>
        <v>0</v>
      </c>
    </row>
    <row r="4206" spans="3:4" ht="15" x14ac:dyDescent="0.25">
      <c r="C4206" s="8" t="e">
        <f>VLOOKUP(A:A,'ITEM LIST'!A:C,3,0)</f>
        <v>#N/A</v>
      </c>
      <c r="D4206" s="6">
        <f t="shared" si="66"/>
        <v>0</v>
      </c>
    </row>
    <row r="4207" spans="3:4" ht="15" x14ac:dyDescent="0.25">
      <c r="C4207" s="8" t="e">
        <f>VLOOKUP(A:A,'ITEM LIST'!A:C,3,0)</f>
        <v>#N/A</v>
      </c>
      <c r="D4207" s="6">
        <f t="shared" si="66"/>
        <v>0</v>
      </c>
    </row>
    <row r="4208" spans="3:4" ht="15" x14ac:dyDescent="0.25">
      <c r="C4208" s="8" t="e">
        <f>VLOOKUP(A:A,'ITEM LIST'!A:C,3,0)</f>
        <v>#N/A</v>
      </c>
      <c r="D4208" s="6">
        <f t="shared" si="66"/>
        <v>0</v>
      </c>
    </row>
    <row r="4209" spans="3:4" ht="15" x14ac:dyDescent="0.25">
      <c r="C4209" s="8" t="e">
        <f>VLOOKUP(A:A,'ITEM LIST'!A:C,3,0)</f>
        <v>#N/A</v>
      </c>
      <c r="D4209" s="6">
        <f t="shared" si="66"/>
        <v>0</v>
      </c>
    </row>
    <row r="4210" spans="3:4" ht="15" x14ac:dyDescent="0.25">
      <c r="C4210" s="8" t="e">
        <f>VLOOKUP(A:A,'ITEM LIST'!A:C,3,0)</f>
        <v>#N/A</v>
      </c>
      <c r="D4210" s="6">
        <f t="shared" si="66"/>
        <v>0</v>
      </c>
    </row>
    <row r="4211" spans="3:4" ht="15" x14ac:dyDescent="0.25">
      <c r="C4211" s="8" t="e">
        <f>VLOOKUP(A:A,'ITEM LIST'!A:C,3,0)</f>
        <v>#N/A</v>
      </c>
      <c r="D4211" s="6">
        <f t="shared" si="66"/>
        <v>0</v>
      </c>
    </row>
    <row r="4212" spans="3:4" ht="15" x14ac:dyDescent="0.25">
      <c r="C4212" s="8" t="e">
        <f>VLOOKUP(A:A,'ITEM LIST'!A:C,3,0)</f>
        <v>#N/A</v>
      </c>
      <c r="D4212" s="6">
        <f t="shared" si="66"/>
        <v>0</v>
      </c>
    </row>
    <row r="4213" spans="3:4" ht="15" x14ac:dyDescent="0.25">
      <c r="C4213" s="8" t="e">
        <f>VLOOKUP(A:A,'ITEM LIST'!A:C,3,0)</f>
        <v>#N/A</v>
      </c>
      <c r="D4213" s="6">
        <f t="shared" si="66"/>
        <v>0</v>
      </c>
    </row>
    <row r="4214" spans="3:4" ht="15" x14ac:dyDescent="0.25">
      <c r="C4214" s="8" t="e">
        <f>VLOOKUP(A:A,'ITEM LIST'!A:C,3,0)</f>
        <v>#N/A</v>
      </c>
      <c r="D4214" s="6">
        <f t="shared" si="66"/>
        <v>0</v>
      </c>
    </row>
    <row r="4215" spans="3:4" ht="15" x14ac:dyDescent="0.25">
      <c r="C4215" s="8" t="e">
        <f>VLOOKUP(A:A,'ITEM LIST'!A:C,3,0)</f>
        <v>#N/A</v>
      </c>
      <c r="D4215" s="6">
        <f t="shared" si="66"/>
        <v>0</v>
      </c>
    </row>
    <row r="4216" spans="3:4" ht="15" x14ac:dyDescent="0.25">
      <c r="C4216" s="8" t="e">
        <f>VLOOKUP(A:A,'ITEM LIST'!A:C,3,0)</f>
        <v>#N/A</v>
      </c>
      <c r="D4216" s="6">
        <f t="shared" si="66"/>
        <v>0</v>
      </c>
    </row>
    <row r="4217" spans="3:4" ht="15" x14ac:dyDescent="0.25">
      <c r="C4217" s="8" t="e">
        <f>VLOOKUP(A:A,'ITEM LIST'!A:C,3,0)</f>
        <v>#N/A</v>
      </c>
      <c r="D4217" s="6">
        <f t="shared" si="66"/>
        <v>0</v>
      </c>
    </row>
    <row r="4218" spans="3:4" ht="15" x14ac:dyDescent="0.25">
      <c r="C4218" s="8" t="e">
        <f>VLOOKUP(A:A,'ITEM LIST'!A:C,3,0)</f>
        <v>#N/A</v>
      </c>
      <c r="D4218" s="6">
        <f t="shared" si="66"/>
        <v>0</v>
      </c>
    </row>
    <row r="4219" spans="3:4" ht="15" x14ac:dyDescent="0.25">
      <c r="C4219" s="8" t="e">
        <f>VLOOKUP(A:A,'ITEM LIST'!A:C,3,0)</f>
        <v>#N/A</v>
      </c>
      <c r="D4219" s="6">
        <f t="shared" si="66"/>
        <v>0</v>
      </c>
    </row>
    <row r="4220" spans="3:4" ht="15" x14ac:dyDescent="0.25">
      <c r="C4220" s="8" t="e">
        <f>VLOOKUP(A:A,'ITEM LIST'!A:C,3,0)</f>
        <v>#N/A</v>
      </c>
      <c r="D4220" s="6">
        <f t="shared" si="66"/>
        <v>0</v>
      </c>
    </row>
    <row r="4221" spans="3:4" ht="15" x14ac:dyDescent="0.25">
      <c r="C4221" s="8" t="e">
        <f>VLOOKUP(A:A,'ITEM LIST'!A:C,3,0)</f>
        <v>#N/A</v>
      </c>
      <c r="D4221" s="6">
        <f t="shared" si="66"/>
        <v>0</v>
      </c>
    </row>
    <row r="4222" spans="3:4" ht="15" x14ac:dyDescent="0.25">
      <c r="C4222" s="8" t="e">
        <f>VLOOKUP(A:A,'ITEM LIST'!A:C,3,0)</f>
        <v>#N/A</v>
      </c>
      <c r="D4222" s="6">
        <f t="shared" si="66"/>
        <v>0</v>
      </c>
    </row>
    <row r="4223" spans="3:4" ht="15" x14ac:dyDescent="0.25">
      <c r="C4223" s="8" t="e">
        <f>VLOOKUP(A:A,'ITEM LIST'!A:C,3,0)</f>
        <v>#N/A</v>
      </c>
      <c r="D4223" s="6">
        <f t="shared" si="66"/>
        <v>0</v>
      </c>
    </row>
    <row r="4224" spans="3:4" ht="15" x14ac:dyDescent="0.25">
      <c r="C4224" s="8" t="e">
        <f>VLOOKUP(A:A,'ITEM LIST'!A:C,3,0)</f>
        <v>#N/A</v>
      </c>
      <c r="D4224" s="6">
        <f t="shared" si="66"/>
        <v>0</v>
      </c>
    </row>
    <row r="4225" spans="3:4" ht="15" x14ac:dyDescent="0.25">
      <c r="C4225" s="8" t="e">
        <f>VLOOKUP(A:A,'ITEM LIST'!A:C,3,0)</f>
        <v>#N/A</v>
      </c>
      <c r="D4225" s="6">
        <f t="shared" si="66"/>
        <v>0</v>
      </c>
    </row>
    <row r="4226" spans="3:4" ht="15" x14ac:dyDescent="0.25">
      <c r="C4226" s="8" t="e">
        <f>VLOOKUP(A:A,'ITEM LIST'!A:C,3,0)</f>
        <v>#N/A</v>
      </c>
      <c r="D4226" s="6">
        <f t="shared" si="66"/>
        <v>0</v>
      </c>
    </row>
    <row r="4227" spans="3:4" ht="15" x14ac:dyDescent="0.25">
      <c r="C4227" s="8" t="e">
        <f>VLOOKUP(A:A,'ITEM LIST'!A:C,3,0)</f>
        <v>#N/A</v>
      </c>
      <c r="D4227" s="6">
        <f t="shared" si="66"/>
        <v>0</v>
      </c>
    </row>
    <row r="4228" spans="3:4" ht="15" x14ac:dyDescent="0.25">
      <c r="C4228" s="8" t="e">
        <f>VLOOKUP(A:A,'ITEM LIST'!A:C,3,0)</f>
        <v>#N/A</v>
      </c>
      <c r="D4228" s="6">
        <f t="shared" si="66"/>
        <v>0</v>
      </c>
    </row>
    <row r="4229" spans="3:4" ht="15" x14ac:dyDescent="0.25">
      <c r="C4229" s="8" t="e">
        <f>VLOOKUP(A:A,'ITEM LIST'!A:C,3,0)</f>
        <v>#N/A</v>
      </c>
      <c r="D4229" s="6">
        <f t="shared" si="66"/>
        <v>0</v>
      </c>
    </row>
    <row r="4230" spans="3:4" ht="15" x14ac:dyDescent="0.25">
      <c r="C4230" s="8" t="e">
        <f>VLOOKUP(A:A,'ITEM LIST'!A:C,3,0)</f>
        <v>#N/A</v>
      </c>
      <c r="D4230" s="6">
        <f t="shared" ref="D4230:D4293" si="67">B4230</f>
        <v>0</v>
      </c>
    </row>
    <row r="4231" spans="3:4" ht="15" x14ac:dyDescent="0.25">
      <c r="C4231" s="8" t="e">
        <f>VLOOKUP(A:A,'ITEM LIST'!A:C,3,0)</f>
        <v>#N/A</v>
      </c>
      <c r="D4231" s="6">
        <f t="shared" si="67"/>
        <v>0</v>
      </c>
    </row>
    <row r="4232" spans="3:4" ht="15" x14ac:dyDescent="0.25">
      <c r="C4232" s="8" t="e">
        <f>VLOOKUP(A:A,'ITEM LIST'!A:C,3,0)</f>
        <v>#N/A</v>
      </c>
      <c r="D4232" s="6">
        <f t="shared" si="67"/>
        <v>0</v>
      </c>
    </row>
    <row r="4233" spans="3:4" ht="15" x14ac:dyDescent="0.25">
      <c r="C4233" s="8" t="e">
        <f>VLOOKUP(A:A,'ITEM LIST'!A:C,3,0)</f>
        <v>#N/A</v>
      </c>
      <c r="D4233" s="6">
        <f t="shared" si="67"/>
        <v>0</v>
      </c>
    </row>
    <row r="4234" spans="3:4" ht="15" x14ac:dyDescent="0.25">
      <c r="C4234" s="8" t="e">
        <f>VLOOKUP(A:A,'ITEM LIST'!A:C,3,0)</f>
        <v>#N/A</v>
      </c>
      <c r="D4234" s="6">
        <f t="shared" si="67"/>
        <v>0</v>
      </c>
    </row>
    <row r="4235" spans="3:4" ht="15" x14ac:dyDescent="0.25">
      <c r="C4235" s="8" t="e">
        <f>VLOOKUP(A:A,'ITEM LIST'!A:C,3,0)</f>
        <v>#N/A</v>
      </c>
      <c r="D4235" s="6">
        <f t="shared" si="67"/>
        <v>0</v>
      </c>
    </row>
    <row r="4236" spans="3:4" ht="15" x14ac:dyDescent="0.25">
      <c r="C4236" s="8" t="e">
        <f>VLOOKUP(A:A,'ITEM LIST'!A:C,3,0)</f>
        <v>#N/A</v>
      </c>
      <c r="D4236" s="6">
        <f t="shared" si="67"/>
        <v>0</v>
      </c>
    </row>
    <row r="4237" spans="3:4" ht="15" x14ac:dyDescent="0.25">
      <c r="C4237" s="8" t="e">
        <f>VLOOKUP(A:A,'ITEM LIST'!A:C,3,0)</f>
        <v>#N/A</v>
      </c>
      <c r="D4237" s="6">
        <f t="shared" si="67"/>
        <v>0</v>
      </c>
    </row>
    <row r="4238" spans="3:4" ht="15" x14ac:dyDescent="0.25">
      <c r="C4238" s="8" t="e">
        <f>VLOOKUP(A:A,'ITEM LIST'!A:C,3,0)</f>
        <v>#N/A</v>
      </c>
      <c r="D4238" s="6">
        <f t="shared" si="67"/>
        <v>0</v>
      </c>
    </row>
    <row r="4239" spans="3:4" ht="15" x14ac:dyDescent="0.25">
      <c r="C4239" s="8" t="e">
        <f>VLOOKUP(A:A,'ITEM LIST'!A:C,3,0)</f>
        <v>#N/A</v>
      </c>
      <c r="D4239" s="6">
        <f t="shared" si="67"/>
        <v>0</v>
      </c>
    </row>
    <row r="4240" spans="3:4" ht="15" x14ac:dyDescent="0.25">
      <c r="C4240" s="8" t="e">
        <f>VLOOKUP(A:A,'ITEM LIST'!A:C,3,0)</f>
        <v>#N/A</v>
      </c>
      <c r="D4240" s="6">
        <f t="shared" si="67"/>
        <v>0</v>
      </c>
    </row>
    <row r="4241" spans="3:4" ht="15" x14ac:dyDescent="0.25">
      <c r="C4241" s="8" t="e">
        <f>VLOOKUP(A:A,'ITEM LIST'!A:C,3,0)</f>
        <v>#N/A</v>
      </c>
      <c r="D4241" s="6">
        <f t="shared" si="67"/>
        <v>0</v>
      </c>
    </row>
    <row r="4242" spans="3:4" ht="15" x14ac:dyDescent="0.25">
      <c r="C4242" s="8" t="e">
        <f>VLOOKUP(A:A,'ITEM LIST'!A:C,3,0)</f>
        <v>#N/A</v>
      </c>
      <c r="D4242" s="6">
        <f t="shared" si="67"/>
        <v>0</v>
      </c>
    </row>
    <row r="4243" spans="3:4" ht="15" x14ac:dyDescent="0.25">
      <c r="C4243" s="8" t="e">
        <f>VLOOKUP(A:A,'ITEM LIST'!A:C,3,0)</f>
        <v>#N/A</v>
      </c>
      <c r="D4243" s="6">
        <f t="shared" si="67"/>
        <v>0</v>
      </c>
    </row>
    <row r="4244" spans="3:4" ht="15" x14ac:dyDescent="0.25">
      <c r="C4244" s="8" t="e">
        <f>VLOOKUP(A:A,'ITEM LIST'!A:C,3,0)</f>
        <v>#N/A</v>
      </c>
      <c r="D4244" s="6">
        <f t="shared" si="67"/>
        <v>0</v>
      </c>
    </row>
    <row r="4245" spans="3:4" ht="15" x14ac:dyDescent="0.25">
      <c r="C4245" s="8" t="e">
        <f>VLOOKUP(A:A,'ITEM LIST'!A:C,3,0)</f>
        <v>#N/A</v>
      </c>
      <c r="D4245" s="6">
        <f t="shared" si="67"/>
        <v>0</v>
      </c>
    </row>
    <row r="4246" spans="3:4" ht="15" x14ac:dyDescent="0.25">
      <c r="C4246" s="8" t="e">
        <f>VLOOKUP(A:A,'ITEM LIST'!A:C,3,0)</f>
        <v>#N/A</v>
      </c>
      <c r="D4246" s="6">
        <f t="shared" si="67"/>
        <v>0</v>
      </c>
    </row>
    <row r="4247" spans="3:4" ht="15" x14ac:dyDescent="0.25">
      <c r="C4247" s="8" t="e">
        <f>VLOOKUP(A:A,'ITEM LIST'!A:C,3,0)</f>
        <v>#N/A</v>
      </c>
      <c r="D4247" s="6">
        <f t="shared" si="67"/>
        <v>0</v>
      </c>
    </row>
    <row r="4248" spans="3:4" ht="15" x14ac:dyDescent="0.25">
      <c r="C4248" s="8" t="e">
        <f>VLOOKUP(A:A,'ITEM LIST'!A:C,3,0)</f>
        <v>#N/A</v>
      </c>
      <c r="D4248" s="6">
        <f t="shared" si="67"/>
        <v>0</v>
      </c>
    </row>
    <row r="4249" spans="3:4" ht="15" x14ac:dyDescent="0.25">
      <c r="C4249" s="8" t="e">
        <f>VLOOKUP(A:A,'ITEM LIST'!A:C,3,0)</f>
        <v>#N/A</v>
      </c>
      <c r="D4249" s="6">
        <f t="shared" si="67"/>
        <v>0</v>
      </c>
    </row>
    <row r="4250" spans="3:4" ht="15" x14ac:dyDescent="0.25">
      <c r="C4250" s="8" t="e">
        <f>VLOOKUP(A:A,'ITEM LIST'!A:C,3,0)</f>
        <v>#N/A</v>
      </c>
      <c r="D4250" s="6">
        <f t="shared" si="67"/>
        <v>0</v>
      </c>
    </row>
    <row r="4251" spans="3:4" ht="15" x14ac:dyDescent="0.25">
      <c r="C4251" s="8" t="e">
        <f>VLOOKUP(A:A,'ITEM LIST'!A:C,3,0)</f>
        <v>#N/A</v>
      </c>
      <c r="D4251" s="6">
        <f t="shared" si="67"/>
        <v>0</v>
      </c>
    </row>
    <row r="4252" spans="3:4" ht="15" x14ac:dyDescent="0.25">
      <c r="C4252" s="8" t="e">
        <f>VLOOKUP(A:A,'ITEM LIST'!A:C,3,0)</f>
        <v>#N/A</v>
      </c>
      <c r="D4252" s="6">
        <f t="shared" si="67"/>
        <v>0</v>
      </c>
    </row>
    <row r="4253" spans="3:4" ht="15" x14ac:dyDescent="0.25">
      <c r="C4253" s="8" t="e">
        <f>VLOOKUP(A:A,'ITEM LIST'!A:C,3,0)</f>
        <v>#N/A</v>
      </c>
      <c r="D4253" s="6">
        <f t="shared" si="67"/>
        <v>0</v>
      </c>
    </row>
    <row r="4254" spans="3:4" ht="15" x14ac:dyDescent="0.25">
      <c r="C4254" s="8" t="e">
        <f>VLOOKUP(A:A,'ITEM LIST'!A:C,3,0)</f>
        <v>#N/A</v>
      </c>
      <c r="D4254" s="6">
        <f t="shared" si="67"/>
        <v>0</v>
      </c>
    </row>
    <row r="4255" spans="3:4" ht="15" x14ac:dyDescent="0.25">
      <c r="C4255" s="8" t="e">
        <f>VLOOKUP(A:A,'ITEM LIST'!A:C,3,0)</f>
        <v>#N/A</v>
      </c>
      <c r="D4255" s="6">
        <f t="shared" si="67"/>
        <v>0</v>
      </c>
    </row>
    <row r="4256" spans="3:4" ht="15" x14ac:dyDescent="0.25">
      <c r="C4256" s="8" t="e">
        <f>VLOOKUP(A:A,'ITEM LIST'!A:C,3,0)</f>
        <v>#N/A</v>
      </c>
      <c r="D4256" s="6">
        <f t="shared" si="67"/>
        <v>0</v>
      </c>
    </row>
    <row r="4257" spans="3:4" ht="15" x14ac:dyDescent="0.25">
      <c r="C4257" s="8" t="e">
        <f>VLOOKUP(A:A,'ITEM LIST'!A:C,3,0)</f>
        <v>#N/A</v>
      </c>
      <c r="D4257" s="6">
        <f t="shared" si="67"/>
        <v>0</v>
      </c>
    </row>
    <row r="4258" spans="3:4" ht="15" x14ac:dyDescent="0.25">
      <c r="C4258" s="8" t="e">
        <f>VLOOKUP(A:A,'ITEM LIST'!A:C,3,0)</f>
        <v>#N/A</v>
      </c>
      <c r="D4258" s="6">
        <f t="shared" si="67"/>
        <v>0</v>
      </c>
    </row>
    <row r="4259" spans="3:4" ht="15" x14ac:dyDescent="0.25">
      <c r="C4259" s="8" t="e">
        <f>VLOOKUP(A:A,'ITEM LIST'!A:C,3,0)</f>
        <v>#N/A</v>
      </c>
      <c r="D4259" s="6">
        <f t="shared" si="67"/>
        <v>0</v>
      </c>
    </row>
    <row r="4260" spans="3:4" ht="15" x14ac:dyDescent="0.25">
      <c r="C4260" s="8" t="e">
        <f>VLOOKUP(A:A,'ITEM LIST'!A:C,3,0)</f>
        <v>#N/A</v>
      </c>
      <c r="D4260" s="6">
        <f t="shared" si="67"/>
        <v>0</v>
      </c>
    </row>
    <row r="4261" spans="3:4" ht="15" x14ac:dyDescent="0.25">
      <c r="C4261" s="8" t="e">
        <f>VLOOKUP(A:A,'ITEM LIST'!A:C,3,0)</f>
        <v>#N/A</v>
      </c>
      <c r="D4261" s="6">
        <f t="shared" si="67"/>
        <v>0</v>
      </c>
    </row>
    <row r="4262" spans="3:4" ht="15" x14ac:dyDescent="0.25">
      <c r="C4262" s="8" t="e">
        <f>VLOOKUP(A:A,'ITEM LIST'!A:C,3,0)</f>
        <v>#N/A</v>
      </c>
      <c r="D4262" s="6">
        <f t="shared" si="67"/>
        <v>0</v>
      </c>
    </row>
    <row r="4263" spans="3:4" ht="15" x14ac:dyDescent="0.25">
      <c r="C4263" s="8" t="e">
        <f>VLOOKUP(A:A,'ITEM LIST'!A:C,3,0)</f>
        <v>#N/A</v>
      </c>
      <c r="D4263" s="6">
        <f t="shared" si="67"/>
        <v>0</v>
      </c>
    </row>
    <row r="4264" spans="3:4" ht="15" x14ac:dyDescent="0.25">
      <c r="C4264" s="8" t="e">
        <f>VLOOKUP(A:A,'ITEM LIST'!A:C,3,0)</f>
        <v>#N/A</v>
      </c>
      <c r="D4264" s="6">
        <f t="shared" si="67"/>
        <v>0</v>
      </c>
    </row>
    <row r="4265" spans="3:4" ht="15" x14ac:dyDescent="0.25">
      <c r="C4265" s="8" t="e">
        <f>VLOOKUP(A:A,'ITEM LIST'!A:C,3,0)</f>
        <v>#N/A</v>
      </c>
      <c r="D4265" s="6">
        <f t="shared" si="67"/>
        <v>0</v>
      </c>
    </row>
    <row r="4266" spans="3:4" ht="15" x14ac:dyDescent="0.25">
      <c r="C4266" s="8" t="e">
        <f>VLOOKUP(A:A,'ITEM LIST'!A:C,3,0)</f>
        <v>#N/A</v>
      </c>
      <c r="D4266" s="6">
        <f t="shared" si="67"/>
        <v>0</v>
      </c>
    </row>
    <row r="4267" spans="3:4" ht="15" x14ac:dyDescent="0.25">
      <c r="C4267" s="8" t="e">
        <f>VLOOKUP(A:A,'ITEM LIST'!A:C,3,0)</f>
        <v>#N/A</v>
      </c>
      <c r="D4267" s="6">
        <f t="shared" si="67"/>
        <v>0</v>
      </c>
    </row>
    <row r="4268" spans="3:4" ht="15" x14ac:dyDescent="0.25">
      <c r="C4268" s="8" t="e">
        <f>VLOOKUP(A:A,'ITEM LIST'!A:C,3,0)</f>
        <v>#N/A</v>
      </c>
      <c r="D4268" s="6">
        <f t="shared" si="67"/>
        <v>0</v>
      </c>
    </row>
    <row r="4269" spans="3:4" ht="15" x14ac:dyDescent="0.25">
      <c r="C4269" s="8" t="e">
        <f>VLOOKUP(A:A,'ITEM LIST'!A:C,3,0)</f>
        <v>#N/A</v>
      </c>
      <c r="D4269" s="6">
        <f t="shared" si="67"/>
        <v>0</v>
      </c>
    </row>
    <row r="4270" spans="3:4" ht="15" x14ac:dyDescent="0.25">
      <c r="C4270" s="8" t="e">
        <f>VLOOKUP(A:A,'ITEM LIST'!A:C,3,0)</f>
        <v>#N/A</v>
      </c>
      <c r="D4270" s="6">
        <f t="shared" si="67"/>
        <v>0</v>
      </c>
    </row>
    <row r="4271" spans="3:4" ht="15" x14ac:dyDescent="0.25">
      <c r="C4271" s="8" t="e">
        <f>VLOOKUP(A:A,'ITEM LIST'!A:C,3,0)</f>
        <v>#N/A</v>
      </c>
      <c r="D4271" s="6">
        <f t="shared" si="67"/>
        <v>0</v>
      </c>
    </row>
    <row r="4272" spans="3:4" ht="15" x14ac:dyDescent="0.25">
      <c r="C4272" s="8" t="e">
        <f>VLOOKUP(A:A,'ITEM LIST'!A:C,3,0)</f>
        <v>#N/A</v>
      </c>
      <c r="D4272" s="6">
        <f t="shared" si="67"/>
        <v>0</v>
      </c>
    </row>
    <row r="4273" spans="3:4" ht="15" x14ac:dyDescent="0.25">
      <c r="C4273" s="8" t="e">
        <f>VLOOKUP(A:A,'ITEM LIST'!A:C,3,0)</f>
        <v>#N/A</v>
      </c>
      <c r="D4273" s="6">
        <f t="shared" si="67"/>
        <v>0</v>
      </c>
    </row>
    <row r="4274" spans="3:4" ht="15" x14ac:dyDescent="0.25">
      <c r="C4274" s="8" t="e">
        <f>VLOOKUP(A:A,'ITEM LIST'!A:C,3,0)</f>
        <v>#N/A</v>
      </c>
      <c r="D4274" s="6">
        <f t="shared" si="67"/>
        <v>0</v>
      </c>
    </row>
    <row r="4275" spans="3:4" ht="15" x14ac:dyDescent="0.25">
      <c r="C4275" s="8" t="e">
        <f>VLOOKUP(A:A,'ITEM LIST'!A:C,3,0)</f>
        <v>#N/A</v>
      </c>
      <c r="D4275" s="6">
        <f t="shared" si="67"/>
        <v>0</v>
      </c>
    </row>
    <row r="4276" spans="3:4" ht="15" x14ac:dyDescent="0.25">
      <c r="C4276" s="8" t="e">
        <f>VLOOKUP(A:A,'ITEM LIST'!A:C,3,0)</f>
        <v>#N/A</v>
      </c>
      <c r="D4276" s="6">
        <f t="shared" si="67"/>
        <v>0</v>
      </c>
    </row>
    <row r="4277" spans="3:4" ht="15" x14ac:dyDescent="0.25">
      <c r="C4277" s="8" t="e">
        <f>VLOOKUP(A:A,'ITEM LIST'!A:C,3,0)</f>
        <v>#N/A</v>
      </c>
      <c r="D4277" s="6">
        <f t="shared" si="67"/>
        <v>0</v>
      </c>
    </row>
    <row r="4278" spans="3:4" ht="15" x14ac:dyDescent="0.25">
      <c r="C4278" s="8" t="e">
        <f>VLOOKUP(A:A,'ITEM LIST'!A:C,3,0)</f>
        <v>#N/A</v>
      </c>
      <c r="D4278" s="6">
        <f t="shared" si="67"/>
        <v>0</v>
      </c>
    </row>
    <row r="4279" spans="3:4" ht="15" x14ac:dyDescent="0.25">
      <c r="C4279" s="8" t="e">
        <f>VLOOKUP(A:A,'ITEM LIST'!A:C,3,0)</f>
        <v>#N/A</v>
      </c>
      <c r="D4279" s="6">
        <f t="shared" si="67"/>
        <v>0</v>
      </c>
    </row>
    <row r="4280" spans="3:4" ht="15" x14ac:dyDescent="0.25">
      <c r="C4280" s="8" t="e">
        <f>VLOOKUP(A:A,'ITEM LIST'!A:C,3,0)</f>
        <v>#N/A</v>
      </c>
      <c r="D4280" s="6">
        <f t="shared" si="67"/>
        <v>0</v>
      </c>
    </row>
    <row r="4281" spans="3:4" ht="15" x14ac:dyDescent="0.25">
      <c r="C4281" s="8" t="e">
        <f>VLOOKUP(A:A,'ITEM LIST'!A:C,3,0)</f>
        <v>#N/A</v>
      </c>
      <c r="D4281" s="6">
        <f t="shared" si="67"/>
        <v>0</v>
      </c>
    </row>
    <row r="4282" spans="3:4" ht="15" x14ac:dyDescent="0.25">
      <c r="C4282" s="8" t="e">
        <f>VLOOKUP(A:A,'ITEM LIST'!A:C,3,0)</f>
        <v>#N/A</v>
      </c>
      <c r="D4282" s="6">
        <f t="shared" si="67"/>
        <v>0</v>
      </c>
    </row>
    <row r="4283" spans="3:4" ht="15" x14ac:dyDescent="0.25">
      <c r="C4283" s="8" t="e">
        <f>VLOOKUP(A:A,'ITEM LIST'!A:C,3,0)</f>
        <v>#N/A</v>
      </c>
      <c r="D4283" s="6">
        <f t="shared" si="67"/>
        <v>0</v>
      </c>
    </row>
    <row r="4284" spans="3:4" ht="15" x14ac:dyDescent="0.25">
      <c r="C4284" s="8" t="e">
        <f>VLOOKUP(A:A,'ITEM LIST'!A:C,3,0)</f>
        <v>#N/A</v>
      </c>
      <c r="D4284" s="6">
        <f t="shared" si="67"/>
        <v>0</v>
      </c>
    </row>
    <row r="4285" spans="3:4" ht="15" x14ac:dyDescent="0.25">
      <c r="C4285" s="8" t="e">
        <f>VLOOKUP(A:A,'ITEM LIST'!A:C,3,0)</f>
        <v>#N/A</v>
      </c>
      <c r="D4285" s="6">
        <f t="shared" si="67"/>
        <v>0</v>
      </c>
    </row>
    <row r="4286" spans="3:4" ht="15" x14ac:dyDescent="0.25">
      <c r="C4286" s="8" t="e">
        <f>VLOOKUP(A:A,'ITEM LIST'!A:C,3,0)</f>
        <v>#N/A</v>
      </c>
      <c r="D4286" s="6">
        <f t="shared" si="67"/>
        <v>0</v>
      </c>
    </row>
    <row r="4287" spans="3:4" ht="15" x14ac:dyDescent="0.25">
      <c r="C4287" s="8" t="e">
        <f>VLOOKUP(A:A,'ITEM LIST'!A:C,3,0)</f>
        <v>#N/A</v>
      </c>
      <c r="D4287" s="6">
        <f t="shared" si="67"/>
        <v>0</v>
      </c>
    </row>
    <row r="4288" spans="3:4" ht="15" x14ac:dyDescent="0.25">
      <c r="C4288" s="8" t="e">
        <f>VLOOKUP(A:A,'ITEM LIST'!A:C,3,0)</f>
        <v>#N/A</v>
      </c>
      <c r="D4288" s="6">
        <f t="shared" si="67"/>
        <v>0</v>
      </c>
    </row>
    <row r="4289" spans="3:4" ht="15" x14ac:dyDescent="0.25">
      <c r="C4289" s="8" t="e">
        <f>VLOOKUP(A:A,'ITEM LIST'!A:C,3,0)</f>
        <v>#N/A</v>
      </c>
      <c r="D4289" s="6">
        <f t="shared" si="67"/>
        <v>0</v>
      </c>
    </row>
    <row r="4290" spans="3:4" ht="15" x14ac:dyDescent="0.25">
      <c r="C4290" s="8" t="e">
        <f>VLOOKUP(A:A,'ITEM LIST'!A:C,3,0)</f>
        <v>#N/A</v>
      </c>
      <c r="D4290" s="6">
        <f t="shared" si="67"/>
        <v>0</v>
      </c>
    </row>
    <row r="4291" spans="3:4" ht="15" x14ac:dyDescent="0.25">
      <c r="C4291" s="8" t="e">
        <f>VLOOKUP(A:A,'ITEM LIST'!A:C,3,0)</f>
        <v>#N/A</v>
      </c>
      <c r="D4291" s="6">
        <f t="shared" si="67"/>
        <v>0</v>
      </c>
    </row>
    <row r="4292" spans="3:4" ht="15" x14ac:dyDescent="0.25">
      <c r="C4292" s="8" t="e">
        <f>VLOOKUP(A:A,'ITEM LIST'!A:C,3,0)</f>
        <v>#N/A</v>
      </c>
      <c r="D4292" s="6">
        <f t="shared" si="67"/>
        <v>0</v>
      </c>
    </row>
    <row r="4293" spans="3:4" ht="15" x14ac:dyDescent="0.25">
      <c r="C4293" s="8" t="e">
        <f>VLOOKUP(A:A,'ITEM LIST'!A:C,3,0)</f>
        <v>#N/A</v>
      </c>
      <c r="D4293" s="6">
        <f t="shared" si="67"/>
        <v>0</v>
      </c>
    </row>
    <row r="4294" spans="3:4" ht="15" x14ac:dyDescent="0.25">
      <c r="C4294" s="8" t="e">
        <f>VLOOKUP(A:A,'ITEM LIST'!A:C,3,0)</f>
        <v>#N/A</v>
      </c>
      <c r="D4294" s="6">
        <f t="shared" ref="D4294:D4357" si="68">B4294</f>
        <v>0</v>
      </c>
    </row>
    <row r="4295" spans="3:4" ht="15" x14ac:dyDescent="0.25">
      <c r="C4295" s="8" t="e">
        <f>VLOOKUP(A:A,'ITEM LIST'!A:C,3,0)</f>
        <v>#N/A</v>
      </c>
      <c r="D4295" s="6">
        <f t="shared" si="68"/>
        <v>0</v>
      </c>
    </row>
    <row r="4296" spans="3:4" ht="15" x14ac:dyDescent="0.25">
      <c r="C4296" s="8" t="e">
        <f>VLOOKUP(A:A,'ITEM LIST'!A:C,3,0)</f>
        <v>#N/A</v>
      </c>
      <c r="D4296" s="6">
        <f t="shared" si="68"/>
        <v>0</v>
      </c>
    </row>
    <row r="4297" spans="3:4" ht="15" x14ac:dyDescent="0.25">
      <c r="C4297" s="8" t="e">
        <f>VLOOKUP(A:A,'ITEM LIST'!A:C,3,0)</f>
        <v>#N/A</v>
      </c>
      <c r="D4297" s="6">
        <f t="shared" si="68"/>
        <v>0</v>
      </c>
    </row>
    <row r="4298" spans="3:4" ht="15" x14ac:dyDescent="0.25">
      <c r="C4298" s="8" t="e">
        <f>VLOOKUP(A:A,'ITEM LIST'!A:C,3,0)</f>
        <v>#N/A</v>
      </c>
      <c r="D4298" s="6">
        <f t="shared" si="68"/>
        <v>0</v>
      </c>
    </row>
    <row r="4299" spans="3:4" ht="15" x14ac:dyDescent="0.25">
      <c r="C4299" s="8" t="e">
        <f>VLOOKUP(A:A,'ITEM LIST'!A:C,3,0)</f>
        <v>#N/A</v>
      </c>
      <c r="D4299" s="6">
        <f t="shared" si="68"/>
        <v>0</v>
      </c>
    </row>
    <row r="4300" spans="3:4" ht="15" x14ac:dyDescent="0.25">
      <c r="C4300" s="8" t="e">
        <f>VLOOKUP(A:A,'ITEM LIST'!A:C,3,0)</f>
        <v>#N/A</v>
      </c>
      <c r="D4300" s="6">
        <f t="shared" si="68"/>
        <v>0</v>
      </c>
    </row>
    <row r="4301" spans="3:4" ht="15" x14ac:dyDescent="0.25">
      <c r="C4301" s="8" t="e">
        <f>VLOOKUP(A:A,'ITEM LIST'!A:C,3,0)</f>
        <v>#N/A</v>
      </c>
      <c r="D4301" s="6">
        <f t="shared" si="68"/>
        <v>0</v>
      </c>
    </row>
    <row r="4302" spans="3:4" ht="15" x14ac:dyDescent="0.25">
      <c r="C4302" s="8" t="e">
        <f>VLOOKUP(A:A,'ITEM LIST'!A:C,3,0)</f>
        <v>#N/A</v>
      </c>
      <c r="D4302" s="6">
        <f t="shared" si="68"/>
        <v>0</v>
      </c>
    </row>
    <row r="4303" spans="3:4" ht="15" x14ac:dyDescent="0.25">
      <c r="C4303" s="8" t="e">
        <f>VLOOKUP(A:A,'ITEM LIST'!A:C,3,0)</f>
        <v>#N/A</v>
      </c>
      <c r="D4303" s="6">
        <f t="shared" si="68"/>
        <v>0</v>
      </c>
    </row>
    <row r="4304" spans="3:4" ht="15" x14ac:dyDescent="0.25">
      <c r="C4304" s="8" t="e">
        <f>VLOOKUP(A:A,'ITEM LIST'!A:C,3,0)</f>
        <v>#N/A</v>
      </c>
      <c r="D4304" s="6">
        <f t="shared" si="68"/>
        <v>0</v>
      </c>
    </row>
    <row r="4305" spans="3:4" ht="15" x14ac:dyDescent="0.25">
      <c r="C4305" s="8" t="e">
        <f>VLOOKUP(A:A,'ITEM LIST'!A:C,3,0)</f>
        <v>#N/A</v>
      </c>
      <c r="D4305" s="6">
        <f t="shared" si="68"/>
        <v>0</v>
      </c>
    </row>
    <row r="4306" spans="3:4" ht="15" x14ac:dyDescent="0.25">
      <c r="C4306" s="8" t="e">
        <f>VLOOKUP(A:A,'ITEM LIST'!A:C,3,0)</f>
        <v>#N/A</v>
      </c>
      <c r="D4306" s="6">
        <f t="shared" si="68"/>
        <v>0</v>
      </c>
    </row>
    <row r="4307" spans="3:4" ht="15" x14ac:dyDescent="0.25">
      <c r="C4307" s="8" t="e">
        <f>VLOOKUP(A:A,'ITEM LIST'!A:C,3,0)</f>
        <v>#N/A</v>
      </c>
      <c r="D4307" s="6">
        <f t="shared" si="68"/>
        <v>0</v>
      </c>
    </row>
    <row r="4308" spans="3:4" ht="15" x14ac:dyDescent="0.25">
      <c r="C4308" s="8" t="e">
        <f>VLOOKUP(A:A,'ITEM LIST'!A:C,3,0)</f>
        <v>#N/A</v>
      </c>
      <c r="D4308" s="6">
        <f t="shared" si="68"/>
        <v>0</v>
      </c>
    </row>
    <row r="4309" spans="3:4" ht="15" x14ac:dyDescent="0.25">
      <c r="C4309" s="8" t="e">
        <f>VLOOKUP(A:A,'ITEM LIST'!A:C,3,0)</f>
        <v>#N/A</v>
      </c>
      <c r="D4309" s="6">
        <f t="shared" si="68"/>
        <v>0</v>
      </c>
    </row>
    <row r="4310" spans="3:4" ht="15" x14ac:dyDescent="0.25">
      <c r="C4310" s="8" t="e">
        <f>VLOOKUP(A:A,'ITEM LIST'!A:C,3,0)</f>
        <v>#N/A</v>
      </c>
      <c r="D4310" s="6">
        <f t="shared" si="68"/>
        <v>0</v>
      </c>
    </row>
    <row r="4311" spans="3:4" ht="15" x14ac:dyDescent="0.25">
      <c r="C4311" s="8" t="e">
        <f>VLOOKUP(A:A,'ITEM LIST'!A:C,3,0)</f>
        <v>#N/A</v>
      </c>
      <c r="D4311" s="6">
        <f t="shared" si="68"/>
        <v>0</v>
      </c>
    </row>
    <row r="4312" spans="3:4" ht="15" x14ac:dyDescent="0.25">
      <c r="C4312" s="8" t="e">
        <f>VLOOKUP(A:A,'ITEM LIST'!A:C,3,0)</f>
        <v>#N/A</v>
      </c>
      <c r="D4312" s="6">
        <f t="shared" si="68"/>
        <v>0</v>
      </c>
    </row>
    <row r="4313" spans="3:4" ht="15" x14ac:dyDescent="0.25">
      <c r="C4313" s="8" t="e">
        <f>VLOOKUP(A:A,'ITEM LIST'!A:C,3,0)</f>
        <v>#N/A</v>
      </c>
      <c r="D4313" s="6">
        <f t="shared" si="68"/>
        <v>0</v>
      </c>
    </row>
    <row r="4314" spans="3:4" ht="15" x14ac:dyDescent="0.25">
      <c r="C4314" s="8" t="e">
        <f>VLOOKUP(A:A,'ITEM LIST'!A:C,3,0)</f>
        <v>#N/A</v>
      </c>
      <c r="D4314" s="6">
        <f t="shared" si="68"/>
        <v>0</v>
      </c>
    </row>
    <row r="4315" spans="3:4" ht="15" x14ac:dyDescent="0.25">
      <c r="C4315" s="8" t="e">
        <f>VLOOKUP(A:A,'ITEM LIST'!A:C,3,0)</f>
        <v>#N/A</v>
      </c>
      <c r="D4315" s="6">
        <f t="shared" si="68"/>
        <v>0</v>
      </c>
    </row>
    <row r="4316" spans="3:4" ht="15" x14ac:dyDescent="0.25">
      <c r="C4316" s="8" t="e">
        <f>VLOOKUP(A:A,'ITEM LIST'!A:C,3,0)</f>
        <v>#N/A</v>
      </c>
      <c r="D4316" s="6">
        <f t="shared" si="68"/>
        <v>0</v>
      </c>
    </row>
    <row r="4317" spans="3:4" ht="15" x14ac:dyDescent="0.25">
      <c r="C4317" s="8" t="e">
        <f>VLOOKUP(A:A,'ITEM LIST'!A:C,3,0)</f>
        <v>#N/A</v>
      </c>
      <c r="D4317" s="6">
        <f t="shared" si="68"/>
        <v>0</v>
      </c>
    </row>
    <row r="4318" spans="3:4" ht="15" x14ac:dyDescent="0.25">
      <c r="C4318" s="8" t="e">
        <f>VLOOKUP(A:A,'ITEM LIST'!A:C,3,0)</f>
        <v>#N/A</v>
      </c>
      <c r="D4318" s="6">
        <f t="shared" si="68"/>
        <v>0</v>
      </c>
    </row>
    <row r="4319" spans="3:4" ht="15" x14ac:dyDescent="0.25">
      <c r="C4319" s="8" t="e">
        <f>VLOOKUP(A:A,'ITEM LIST'!A:C,3,0)</f>
        <v>#N/A</v>
      </c>
      <c r="D4319" s="6">
        <f t="shared" si="68"/>
        <v>0</v>
      </c>
    </row>
    <row r="4320" spans="3:4" ht="15" x14ac:dyDescent="0.25">
      <c r="C4320" s="8" t="e">
        <f>VLOOKUP(A:A,'ITEM LIST'!A:C,3,0)</f>
        <v>#N/A</v>
      </c>
      <c r="D4320" s="6">
        <f t="shared" si="68"/>
        <v>0</v>
      </c>
    </row>
    <row r="4321" spans="3:4" ht="15" x14ac:dyDescent="0.25">
      <c r="C4321" s="8" t="e">
        <f>VLOOKUP(A:A,'ITEM LIST'!A:C,3,0)</f>
        <v>#N/A</v>
      </c>
      <c r="D4321" s="6">
        <f t="shared" si="68"/>
        <v>0</v>
      </c>
    </row>
    <row r="4322" spans="3:4" ht="15" x14ac:dyDescent="0.25">
      <c r="C4322" s="8" t="e">
        <f>VLOOKUP(A:A,'ITEM LIST'!A:C,3,0)</f>
        <v>#N/A</v>
      </c>
      <c r="D4322" s="6">
        <f t="shared" si="68"/>
        <v>0</v>
      </c>
    </row>
    <row r="4323" spans="3:4" ht="15" x14ac:dyDescent="0.25">
      <c r="C4323" s="8" t="e">
        <f>VLOOKUP(A:A,'ITEM LIST'!A:C,3,0)</f>
        <v>#N/A</v>
      </c>
      <c r="D4323" s="6">
        <f t="shared" si="68"/>
        <v>0</v>
      </c>
    </row>
    <row r="4324" spans="3:4" ht="15" x14ac:dyDescent="0.25">
      <c r="C4324" s="8" t="e">
        <f>VLOOKUP(A:A,'ITEM LIST'!A:C,3,0)</f>
        <v>#N/A</v>
      </c>
      <c r="D4324" s="6">
        <f t="shared" si="68"/>
        <v>0</v>
      </c>
    </row>
    <row r="4325" spans="3:4" ht="15" x14ac:dyDescent="0.25">
      <c r="C4325" s="8" t="e">
        <f>VLOOKUP(A:A,'ITEM LIST'!A:C,3,0)</f>
        <v>#N/A</v>
      </c>
      <c r="D4325" s="6">
        <f t="shared" si="68"/>
        <v>0</v>
      </c>
    </row>
    <row r="4326" spans="3:4" ht="15" x14ac:dyDescent="0.25">
      <c r="C4326" s="8" t="e">
        <f>VLOOKUP(A:A,'ITEM LIST'!A:C,3,0)</f>
        <v>#N/A</v>
      </c>
      <c r="D4326" s="6">
        <f t="shared" si="68"/>
        <v>0</v>
      </c>
    </row>
    <row r="4327" spans="3:4" ht="15" x14ac:dyDescent="0.25">
      <c r="C4327" s="8" t="e">
        <f>VLOOKUP(A:A,'ITEM LIST'!A:C,3,0)</f>
        <v>#N/A</v>
      </c>
      <c r="D4327" s="6">
        <f t="shared" si="68"/>
        <v>0</v>
      </c>
    </row>
    <row r="4328" spans="3:4" ht="15" x14ac:dyDescent="0.25">
      <c r="C4328" s="8" t="e">
        <f>VLOOKUP(A:A,'ITEM LIST'!A:C,3,0)</f>
        <v>#N/A</v>
      </c>
      <c r="D4328" s="6">
        <f t="shared" si="68"/>
        <v>0</v>
      </c>
    </row>
    <row r="4329" spans="3:4" ht="15" x14ac:dyDescent="0.25">
      <c r="C4329" s="8" t="e">
        <f>VLOOKUP(A:A,'ITEM LIST'!A:C,3,0)</f>
        <v>#N/A</v>
      </c>
      <c r="D4329" s="6">
        <f t="shared" si="68"/>
        <v>0</v>
      </c>
    </row>
    <row r="4330" spans="3:4" ht="15" x14ac:dyDescent="0.25">
      <c r="C4330" s="8" t="e">
        <f>VLOOKUP(A:A,'ITEM LIST'!A:C,3,0)</f>
        <v>#N/A</v>
      </c>
      <c r="D4330" s="6">
        <f t="shared" si="68"/>
        <v>0</v>
      </c>
    </row>
    <row r="4331" spans="3:4" ht="15" x14ac:dyDescent="0.25">
      <c r="C4331" s="8" t="e">
        <f>VLOOKUP(A:A,'ITEM LIST'!A:C,3,0)</f>
        <v>#N/A</v>
      </c>
      <c r="D4331" s="6">
        <f t="shared" si="68"/>
        <v>0</v>
      </c>
    </row>
    <row r="4332" spans="3:4" ht="15" x14ac:dyDescent="0.25">
      <c r="C4332" s="8" t="e">
        <f>VLOOKUP(A:A,'ITEM LIST'!A:C,3,0)</f>
        <v>#N/A</v>
      </c>
      <c r="D4332" s="6">
        <f t="shared" si="68"/>
        <v>0</v>
      </c>
    </row>
    <row r="4333" spans="3:4" ht="15" x14ac:dyDescent="0.25">
      <c r="C4333" s="8" t="e">
        <f>VLOOKUP(A:A,'ITEM LIST'!A:C,3,0)</f>
        <v>#N/A</v>
      </c>
      <c r="D4333" s="6">
        <f t="shared" si="68"/>
        <v>0</v>
      </c>
    </row>
    <row r="4334" spans="3:4" ht="15" x14ac:dyDescent="0.25">
      <c r="C4334" s="8" t="e">
        <f>VLOOKUP(A:A,'ITEM LIST'!A:C,3,0)</f>
        <v>#N/A</v>
      </c>
      <c r="D4334" s="6">
        <f t="shared" si="68"/>
        <v>0</v>
      </c>
    </row>
    <row r="4335" spans="3:4" ht="15" x14ac:dyDescent="0.25">
      <c r="C4335" s="8" t="e">
        <f>VLOOKUP(A:A,'ITEM LIST'!A:C,3,0)</f>
        <v>#N/A</v>
      </c>
      <c r="D4335" s="6">
        <f t="shared" si="68"/>
        <v>0</v>
      </c>
    </row>
    <row r="4336" spans="3:4" ht="15" x14ac:dyDescent="0.25">
      <c r="C4336" s="8" t="e">
        <f>VLOOKUP(A:A,'ITEM LIST'!A:C,3,0)</f>
        <v>#N/A</v>
      </c>
      <c r="D4336" s="6">
        <f t="shared" si="68"/>
        <v>0</v>
      </c>
    </row>
    <row r="4337" spans="3:4" ht="15" x14ac:dyDescent="0.25">
      <c r="C4337" s="8" t="e">
        <f>VLOOKUP(A:A,'ITEM LIST'!A:C,3,0)</f>
        <v>#N/A</v>
      </c>
      <c r="D4337" s="6">
        <f t="shared" si="68"/>
        <v>0</v>
      </c>
    </row>
    <row r="4338" spans="3:4" ht="15" x14ac:dyDescent="0.25">
      <c r="C4338" s="8" t="e">
        <f>VLOOKUP(A:A,'ITEM LIST'!A:C,3,0)</f>
        <v>#N/A</v>
      </c>
      <c r="D4338" s="6">
        <f t="shared" si="68"/>
        <v>0</v>
      </c>
    </row>
    <row r="4339" spans="3:4" ht="15" x14ac:dyDescent="0.25">
      <c r="C4339" s="8" t="e">
        <f>VLOOKUP(A:A,'ITEM LIST'!A:C,3,0)</f>
        <v>#N/A</v>
      </c>
      <c r="D4339" s="6">
        <f t="shared" si="68"/>
        <v>0</v>
      </c>
    </row>
    <row r="4340" spans="3:4" ht="15" x14ac:dyDescent="0.25">
      <c r="C4340" s="8" t="e">
        <f>VLOOKUP(A:A,'ITEM LIST'!A:C,3,0)</f>
        <v>#N/A</v>
      </c>
      <c r="D4340" s="6">
        <f t="shared" si="68"/>
        <v>0</v>
      </c>
    </row>
    <row r="4341" spans="3:4" ht="15" x14ac:dyDescent="0.25">
      <c r="C4341" s="8" t="e">
        <f>VLOOKUP(A:A,'ITEM LIST'!A:C,3,0)</f>
        <v>#N/A</v>
      </c>
      <c r="D4341" s="6">
        <f t="shared" si="68"/>
        <v>0</v>
      </c>
    </row>
    <row r="4342" spans="3:4" ht="15" x14ac:dyDescent="0.25">
      <c r="C4342" s="8" t="e">
        <f>VLOOKUP(A:A,'ITEM LIST'!A:C,3,0)</f>
        <v>#N/A</v>
      </c>
      <c r="D4342" s="6">
        <f t="shared" si="68"/>
        <v>0</v>
      </c>
    </row>
    <row r="4343" spans="3:4" ht="15" x14ac:dyDescent="0.25">
      <c r="C4343" s="8" t="e">
        <f>VLOOKUP(A:A,'ITEM LIST'!A:C,3,0)</f>
        <v>#N/A</v>
      </c>
      <c r="D4343" s="6">
        <f t="shared" si="68"/>
        <v>0</v>
      </c>
    </row>
    <row r="4344" spans="3:4" ht="15" x14ac:dyDescent="0.25">
      <c r="C4344" s="8" t="e">
        <f>VLOOKUP(A:A,'ITEM LIST'!A:C,3,0)</f>
        <v>#N/A</v>
      </c>
      <c r="D4344" s="6">
        <f t="shared" si="68"/>
        <v>0</v>
      </c>
    </row>
    <row r="4345" spans="3:4" ht="15" x14ac:dyDescent="0.25">
      <c r="C4345" s="8" t="e">
        <f>VLOOKUP(A:A,'ITEM LIST'!A:C,3,0)</f>
        <v>#N/A</v>
      </c>
      <c r="D4345" s="6">
        <f t="shared" si="68"/>
        <v>0</v>
      </c>
    </row>
    <row r="4346" spans="3:4" ht="15" x14ac:dyDescent="0.25">
      <c r="C4346" s="8" t="e">
        <f>VLOOKUP(A:A,'ITEM LIST'!A:C,3,0)</f>
        <v>#N/A</v>
      </c>
      <c r="D4346" s="6">
        <f t="shared" si="68"/>
        <v>0</v>
      </c>
    </row>
    <row r="4347" spans="3:4" ht="15" x14ac:dyDescent="0.25">
      <c r="C4347" s="8" t="e">
        <f>VLOOKUP(A:A,'ITEM LIST'!A:C,3,0)</f>
        <v>#N/A</v>
      </c>
      <c r="D4347" s="6">
        <f t="shared" si="68"/>
        <v>0</v>
      </c>
    </row>
    <row r="4348" spans="3:4" ht="15" x14ac:dyDescent="0.25">
      <c r="C4348" s="8" t="e">
        <f>VLOOKUP(A:A,'ITEM LIST'!A:C,3,0)</f>
        <v>#N/A</v>
      </c>
      <c r="D4348" s="6">
        <f t="shared" si="68"/>
        <v>0</v>
      </c>
    </row>
    <row r="4349" spans="3:4" ht="15" x14ac:dyDescent="0.25">
      <c r="C4349" s="8" t="e">
        <f>VLOOKUP(A:A,'ITEM LIST'!A:C,3,0)</f>
        <v>#N/A</v>
      </c>
      <c r="D4349" s="6">
        <f t="shared" si="68"/>
        <v>0</v>
      </c>
    </row>
    <row r="4350" spans="3:4" ht="15" x14ac:dyDescent="0.25">
      <c r="C4350" s="8" t="e">
        <f>VLOOKUP(A:A,'ITEM LIST'!A:C,3,0)</f>
        <v>#N/A</v>
      </c>
      <c r="D4350" s="6">
        <f t="shared" si="68"/>
        <v>0</v>
      </c>
    </row>
    <row r="4351" spans="3:4" ht="15" x14ac:dyDescent="0.25">
      <c r="C4351" s="8" t="e">
        <f>VLOOKUP(A:A,'ITEM LIST'!A:C,3,0)</f>
        <v>#N/A</v>
      </c>
      <c r="D4351" s="6">
        <f t="shared" si="68"/>
        <v>0</v>
      </c>
    </row>
    <row r="4352" spans="3:4" ht="15" x14ac:dyDescent="0.25">
      <c r="C4352" s="8" t="e">
        <f>VLOOKUP(A:A,'ITEM LIST'!A:C,3,0)</f>
        <v>#N/A</v>
      </c>
      <c r="D4352" s="6">
        <f t="shared" si="68"/>
        <v>0</v>
      </c>
    </row>
    <row r="4353" spans="3:4" ht="15" x14ac:dyDescent="0.25">
      <c r="C4353" s="8" t="e">
        <f>VLOOKUP(A:A,'ITEM LIST'!A:C,3,0)</f>
        <v>#N/A</v>
      </c>
      <c r="D4353" s="6">
        <f t="shared" si="68"/>
        <v>0</v>
      </c>
    </row>
    <row r="4354" spans="3:4" ht="15" x14ac:dyDescent="0.25">
      <c r="C4354" s="8" t="e">
        <f>VLOOKUP(A:A,'ITEM LIST'!A:C,3,0)</f>
        <v>#N/A</v>
      </c>
      <c r="D4354" s="6">
        <f t="shared" si="68"/>
        <v>0</v>
      </c>
    </row>
    <row r="4355" spans="3:4" ht="15" x14ac:dyDescent="0.25">
      <c r="C4355" s="8" t="e">
        <f>VLOOKUP(A:A,'ITEM LIST'!A:C,3,0)</f>
        <v>#N/A</v>
      </c>
      <c r="D4355" s="6">
        <f t="shared" si="68"/>
        <v>0</v>
      </c>
    </row>
    <row r="4356" spans="3:4" ht="15" x14ac:dyDescent="0.25">
      <c r="C4356" s="8" t="e">
        <f>VLOOKUP(A:A,'ITEM LIST'!A:C,3,0)</f>
        <v>#N/A</v>
      </c>
      <c r="D4356" s="6">
        <f t="shared" si="68"/>
        <v>0</v>
      </c>
    </row>
    <row r="4357" spans="3:4" ht="15" x14ac:dyDescent="0.25">
      <c r="C4357" s="8" t="e">
        <f>VLOOKUP(A:A,'ITEM LIST'!A:C,3,0)</f>
        <v>#N/A</v>
      </c>
      <c r="D4357" s="6">
        <f t="shared" si="68"/>
        <v>0</v>
      </c>
    </row>
    <row r="4358" spans="3:4" ht="15" x14ac:dyDescent="0.25">
      <c r="C4358" s="8" t="e">
        <f>VLOOKUP(A:A,'ITEM LIST'!A:C,3,0)</f>
        <v>#N/A</v>
      </c>
      <c r="D4358" s="6">
        <f t="shared" ref="D4358:D4421" si="69">B4358</f>
        <v>0</v>
      </c>
    </row>
    <row r="4359" spans="3:4" ht="15" x14ac:dyDescent="0.25">
      <c r="C4359" s="8" t="e">
        <f>VLOOKUP(A:A,'ITEM LIST'!A:C,3,0)</f>
        <v>#N/A</v>
      </c>
      <c r="D4359" s="6">
        <f t="shared" si="69"/>
        <v>0</v>
      </c>
    </row>
    <row r="4360" spans="3:4" ht="15" x14ac:dyDescent="0.25">
      <c r="C4360" s="8" t="e">
        <f>VLOOKUP(A:A,'ITEM LIST'!A:C,3,0)</f>
        <v>#N/A</v>
      </c>
      <c r="D4360" s="6">
        <f t="shared" si="69"/>
        <v>0</v>
      </c>
    </row>
    <row r="4361" spans="3:4" ht="15" x14ac:dyDescent="0.25">
      <c r="C4361" s="8" t="e">
        <f>VLOOKUP(A:A,'ITEM LIST'!A:C,3,0)</f>
        <v>#N/A</v>
      </c>
      <c r="D4361" s="6">
        <f t="shared" si="69"/>
        <v>0</v>
      </c>
    </row>
    <row r="4362" spans="3:4" ht="15" x14ac:dyDescent="0.25">
      <c r="C4362" s="8" t="e">
        <f>VLOOKUP(A:A,'ITEM LIST'!A:C,3,0)</f>
        <v>#N/A</v>
      </c>
      <c r="D4362" s="6">
        <f t="shared" si="69"/>
        <v>0</v>
      </c>
    </row>
    <row r="4363" spans="3:4" ht="15" x14ac:dyDescent="0.25">
      <c r="C4363" s="8" t="e">
        <f>VLOOKUP(A:A,'ITEM LIST'!A:C,3,0)</f>
        <v>#N/A</v>
      </c>
      <c r="D4363" s="6">
        <f t="shared" si="69"/>
        <v>0</v>
      </c>
    </row>
    <row r="4364" spans="3:4" ht="15" x14ac:dyDescent="0.25">
      <c r="C4364" s="8" t="e">
        <f>VLOOKUP(A:A,'ITEM LIST'!A:C,3,0)</f>
        <v>#N/A</v>
      </c>
      <c r="D4364" s="6">
        <f t="shared" si="69"/>
        <v>0</v>
      </c>
    </row>
    <row r="4365" spans="3:4" ht="15" x14ac:dyDescent="0.25">
      <c r="C4365" s="8" t="e">
        <f>VLOOKUP(A:A,'ITEM LIST'!A:C,3,0)</f>
        <v>#N/A</v>
      </c>
      <c r="D4365" s="6">
        <f t="shared" si="69"/>
        <v>0</v>
      </c>
    </row>
    <row r="4366" spans="3:4" ht="15" x14ac:dyDescent="0.25">
      <c r="C4366" s="8" t="e">
        <f>VLOOKUP(A:A,'ITEM LIST'!A:C,3,0)</f>
        <v>#N/A</v>
      </c>
      <c r="D4366" s="6">
        <f t="shared" si="69"/>
        <v>0</v>
      </c>
    </row>
    <row r="4367" spans="3:4" ht="15" x14ac:dyDescent="0.25">
      <c r="C4367" s="8" t="e">
        <f>VLOOKUP(A:A,'ITEM LIST'!A:C,3,0)</f>
        <v>#N/A</v>
      </c>
      <c r="D4367" s="6">
        <f t="shared" si="69"/>
        <v>0</v>
      </c>
    </row>
    <row r="4368" spans="3:4" ht="15" x14ac:dyDescent="0.25">
      <c r="C4368" s="8" t="e">
        <f>VLOOKUP(A:A,'ITEM LIST'!A:C,3,0)</f>
        <v>#N/A</v>
      </c>
      <c r="D4368" s="6">
        <f t="shared" si="69"/>
        <v>0</v>
      </c>
    </row>
    <row r="4369" spans="3:4" ht="15" x14ac:dyDescent="0.25">
      <c r="C4369" s="8" t="e">
        <f>VLOOKUP(A:A,'ITEM LIST'!A:C,3,0)</f>
        <v>#N/A</v>
      </c>
      <c r="D4369" s="6">
        <f t="shared" si="69"/>
        <v>0</v>
      </c>
    </row>
    <row r="4370" spans="3:4" ht="15" x14ac:dyDescent="0.25">
      <c r="C4370" s="8" t="e">
        <f>VLOOKUP(A:A,'ITEM LIST'!A:C,3,0)</f>
        <v>#N/A</v>
      </c>
      <c r="D4370" s="6">
        <f t="shared" si="69"/>
        <v>0</v>
      </c>
    </row>
    <row r="4371" spans="3:4" ht="15" x14ac:dyDescent="0.25">
      <c r="C4371" s="8" t="e">
        <f>VLOOKUP(A:A,'ITEM LIST'!A:C,3,0)</f>
        <v>#N/A</v>
      </c>
      <c r="D4371" s="6">
        <f t="shared" si="69"/>
        <v>0</v>
      </c>
    </row>
    <row r="4372" spans="3:4" ht="15" x14ac:dyDescent="0.25">
      <c r="C4372" s="8" t="e">
        <f>VLOOKUP(A:A,'ITEM LIST'!A:C,3,0)</f>
        <v>#N/A</v>
      </c>
      <c r="D4372" s="6">
        <f t="shared" si="69"/>
        <v>0</v>
      </c>
    </row>
    <row r="4373" spans="3:4" ht="15" x14ac:dyDescent="0.25">
      <c r="C4373" s="8" t="e">
        <f>VLOOKUP(A:A,'ITEM LIST'!A:C,3,0)</f>
        <v>#N/A</v>
      </c>
      <c r="D4373" s="6">
        <f t="shared" si="69"/>
        <v>0</v>
      </c>
    </row>
    <row r="4374" spans="3:4" ht="15" x14ac:dyDescent="0.25">
      <c r="C4374" s="8" t="e">
        <f>VLOOKUP(A:A,'ITEM LIST'!A:C,3,0)</f>
        <v>#N/A</v>
      </c>
      <c r="D4374" s="6">
        <f t="shared" si="69"/>
        <v>0</v>
      </c>
    </row>
    <row r="4375" spans="3:4" ht="15" x14ac:dyDescent="0.25">
      <c r="C4375" s="8" t="e">
        <f>VLOOKUP(A:A,'ITEM LIST'!A:C,3,0)</f>
        <v>#N/A</v>
      </c>
      <c r="D4375" s="6">
        <f t="shared" si="69"/>
        <v>0</v>
      </c>
    </row>
    <row r="4376" spans="3:4" ht="15" x14ac:dyDescent="0.25">
      <c r="C4376" s="8" t="e">
        <f>VLOOKUP(A:A,'ITEM LIST'!A:C,3,0)</f>
        <v>#N/A</v>
      </c>
      <c r="D4376" s="6">
        <f t="shared" si="69"/>
        <v>0</v>
      </c>
    </row>
    <row r="4377" spans="3:4" ht="15" x14ac:dyDescent="0.25">
      <c r="C4377" s="8" t="e">
        <f>VLOOKUP(A:A,'ITEM LIST'!A:C,3,0)</f>
        <v>#N/A</v>
      </c>
      <c r="D4377" s="6">
        <f t="shared" si="69"/>
        <v>0</v>
      </c>
    </row>
    <row r="4378" spans="3:4" ht="15" x14ac:dyDescent="0.25">
      <c r="C4378" s="8" t="e">
        <f>VLOOKUP(A:A,'ITEM LIST'!A:C,3,0)</f>
        <v>#N/A</v>
      </c>
      <c r="D4378" s="6">
        <f t="shared" si="69"/>
        <v>0</v>
      </c>
    </row>
    <row r="4379" spans="3:4" ht="15" x14ac:dyDescent="0.25">
      <c r="C4379" s="8" t="e">
        <f>VLOOKUP(A:A,'ITEM LIST'!A:C,3,0)</f>
        <v>#N/A</v>
      </c>
      <c r="D4379" s="6">
        <f t="shared" si="69"/>
        <v>0</v>
      </c>
    </row>
    <row r="4380" spans="3:4" ht="15" x14ac:dyDescent="0.25">
      <c r="C4380" s="8" t="e">
        <f>VLOOKUP(A:A,'ITEM LIST'!A:C,3,0)</f>
        <v>#N/A</v>
      </c>
      <c r="D4380" s="6">
        <f t="shared" si="69"/>
        <v>0</v>
      </c>
    </row>
    <row r="4381" spans="3:4" ht="15" x14ac:dyDescent="0.25">
      <c r="C4381" s="8" t="e">
        <f>VLOOKUP(A:A,'ITEM LIST'!A:C,3,0)</f>
        <v>#N/A</v>
      </c>
      <c r="D4381" s="6">
        <f t="shared" si="69"/>
        <v>0</v>
      </c>
    </row>
    <row r="4382" spans="3:4" ht="15" x14ac:dyDescent="0.25">
      <c r="C4382" s="8" t="e">
        <f>VLOOKUP(A:A,'ITEM LIST'!A:C,3,0)</f>
        <v>#N/A</v>
      </c>
      <c r="D4382" s="6">
        <f t="shared" si="69"/>
        <v>0</v>
      </c>
    </row>
    <row r="4383" spans="3:4" ht="15" x14ac:dyDescent="0.25">
      <c r="C4383" s="8" t="e">
        <f>VLOOKUP(A:A,'ITEM LIST'!A:C,3,0)</f>
        <v>#N/A</v>
      </c>
      <c r="D4383" s="6">
        <f t="shared" si="69"/>
        <v>0</v>
      </c>
    </row>
    <row r="4384" spans="3:4" ht="15" x14ac:dyDescent="0.25">
      <c r="C4384" s="8" t="e">
        <f>VLOOKUP(A:A,'ITEM LIST'!A:C,3,0)</f>
        <v>#N/A</v>
      </c>
      <c r="D4384" s="6">
        <f t="shared" si="69"/>
        <v>0</v>
      </c>
    </row>
    <row r="4385" spans="3:4" ht="15" x14ac:dyDescent="0.25">
      <c r="C4385" s="8" t="e">
        <f>VLOOKUP(A:A,'ITEM LIST'!A:C,3,0)</f>
        <v>#N/A</v>
      </c>
      <c r="D4385" s="6">
        <f t="shared" si="69"/>
        <v>0</v>
      </c>
    </row>
    <row r="4386" spans="3:4" ht="15" x14ac:dyDescent="0.25">
      <c r="C4386" s="8" t="e">
        <f>VLOOKUP(A:A,'ITEM LIST'!A:C,3,0)</f>
        <v>#N/A</v>
      </c>
      <c r="D4386" s="6">
        <f t="shared" si="69"/>
        <v>0</v>
      </c>
    </row>
    <row r="4387" spans="3:4" ht="15" x14ac:dyDescent="0.25">
      <c r="C4387" s="8" t="e">
        <f>VLOOKUP(A:A,'ITEM LIST'!A:C,3,0)</f>
        <v>#N/A</v>
      </c>
      <c r="D4387" s="6">
        <f t="shared" si="69"/>
        <v>0</v>
      </c>
    </row>
    <row r="4388" spans="3:4" ht="15" x14ac:dyDescent="0.25">
      <c r="C4388" s="8" t="e">
        <f>VLOOKUP(A:A,'ITEM LIST'!A:C,3,0)</f>
        <v>#N/A</v>
      </c>
      <c r="D4388" s="6">
        <f t="shared" si="69"/>
        <v>0</v>
      </c>
    </row>
    <row r="4389" spans="3:4" ht="15" x14ac:dyDescent="0.25">
      <c r="C4389" s="8" t="e">
        <f>VLOOKUP(A:A,'ITEM LIST'!A:C,3,0)</f>
        <v>#N/A</v>
      </c>
      <c r="D4389" s="6">
        <f t="shared" si="69"/>
        <v>0</v>
      </c>
    </row>
    <row r="4390" spans="3:4" ht="15" x14ac:dyDescent="0.25">
      <c r="C4390" s="8" t="e">
        <f>VLOOKUP(A:A,'ITEM LIST'!A:C,3,0)</f>
        <v>#N/A</v>
      </c>
      <c r="D4390" s="6">
        <f t="shared" si="69"/>
        <v>0</v>
      </c>
    </row>
    <row r="4391" spans="3:4" ht="15" x14ac:dyDescent="0.25">
      <c r="C4391" s="8" t="e">
        <f>VLOOKUP(A:A,'ITEM LIST'!A:C,3,0)</f>
        <v>#N/A</v>
      </c>
      <c r="D4391" s="6">
        <f t="shared" si="69"/>
        <v>0</v>
      </c>
    </row>
    <row r="4392" spans="3:4" ht="15" x14ac:dyDescent="0.25">
      <c r="C4392" s="8" t="e">
        <f>VLOOKUP(A:A,'ITEM LIST'!A:C,3,0)</f>
        <v>#N/A</v>
      </c>
      <c r="D4392" s="6">
        <f t="shared" si="69"/>
        <v>0</v>
      </c>
    </row>
    <row r="4393" spans="3:4" ht="15" x14ac:dyDescent="0.25">
      <c r="C4393" s="8" t="e">
        <f>VLOOKUP(A:A,'ITEM LIST'!A:C,3,0)</f>
        <v>#N/A</v>
      </c>
      <c r="D4393" s="6">
        <f t="shared" si="69"/>
        <v>0</v>
      </c>
    </row>
    <row r="4394" spans="3:4" ht="15" x14ac:dyDescent="0.25">
      <c r="C4394" s="8" t="e">
        <f>VLOOKUP(A:A,'ITEM LIST'!A:C,3,0)</f>
        <v>#N/A</v>
      </c>
      <c r="D4394" s="6">
        <f t="shared" si="69"/>
        <v>0</v>
      </c>
    </row>
    <row r="4395" spans="3:4" ht="15" x14ac:dyDescent="0.25">
      <c r="C4395" s="8" t="e">
        <f>VLOOKUP(A:A,'ITEM LIST'!A:C,3,0)</f>
        <v>#N/A</v>
      </c>
      <c r="D4395" s="6">
        <f t="shared" si="69"/>
        <v>0</v>
      </c>
    </row>
    <row r="4396" spans="3:4" ht="15" x14ac:dyDescent="0.25">
      <c r="C4396" s="8" t="e">
        <f>VLOOKUP(A:A,'ITEM LIST'!A:C,3,0)</f>
        <v>#N/A</v>
      </c>
      <c r="D4396" s="6">
        <f t="shared" si="69"/>
        <v>0</v>
      </c>
    </row>
    <row r="4397" spans="3:4" ht="15" x14ac:dyDescent="0.25">
      <c r="C4397" s="8" t="e">
        <f>VLOOKUP(A:A,'ITEM LIST'!A:C,3,0)</f>
        <v>#N/A</v>
      </c>
      <c r="D4397" s="6">
        <f t="shared" si="69"/>
        <v>0</v>
      </c>
    </row>
    <row r="4398" spans="3:4" ht="15" x14ac:dyDescent="0.25">
      <c r="C4398" s="8" t="e">
        <f>VLOOKUP(A:A,'ITEM LIST'!A:C,3,0)</f>
        <v>#N/A</v>
      </c>
      <c r="D4398" s="6">
        <f t="shared" si="69"/>
        <v>0</v>
      </c>
    </row>
    <row r="4399" spans="3:4" ht="15" x14ac:dyDescent="0.25">
      <c r="C4399" s="8" t="e">
        <f>VLOOKUP(A:A,'ITEM LIST'!A:C,3,0)</f>
        <v>#N/A</v>
      </c>
      <c r="D4399" s="6">
        <f t="shared" si="69"/>
        <v>0</v>
      </c>
    </row>
    <row r="4400" spans="3:4" ht="15" x14ac:dyDescent="0.25">
      <c r="C4400" s="8" t="e">
        <f>VLOOKUP(A:A,'ITEM LIST'!A:C,3,0)</f>
        <v>#N/A</v>
      </c>
      <c r="D4400" s="6">
        <f t="shared" si="69"/>
        <v>0</v>
      </c>
    </row>
    <row r="4401" spans="3:4" ht="15" x14ac:dyDescent="0.25">
      <c r="C4401" s="8" t="e">
        <f>VLOOKUP(A:A,'ITEM LIST'!A:C,3,0)</f>
        <v>#N/A</v>
      </c>
      <c r="D4401" s="6">
        <f t="shared" si="69"/>
        <v>0</v>
      </c>
    </row>
    <row r="4402" spans="3:4" ht="15" x14ac:dyDescent="0.25">
      <c r="C4402" s="8" t="e">
        <f>VLOOKUP(A:A,'ITEM LIST'!A:C,3,0)</f>
        <v>#N/A</v>
      </c>
      <c r="D4402" s="6">
        <f t="shared" si="69"/>
        <v>0</v>
      </c>
    </row>
    <row r="4403" spans="3:4" ht="15" x14ac:dyDescent="0.25">
      <c r="C4403" s="8" t="e">
        <f>VLOOKUP(A:A,'ITEM LIST'!A:C,3,0)</f>
        <v>#N/A</v>
      </c>
      <c r="D4403" s="6">
        <f t="shared" si="69"/>
        <v>0</v>
      </c>
    </row>
    <row r="4404" spans="3:4" ht="15" x14ac:dyDescent="0.25">
      <c r="C4404" s="8" t="e">
        <f>VLOOKUP(A:A,'ITEM LIST'!A:C,3,0)</f>
        <v>#N/A</v>
      </c>
      <c r="D4404" s="6">
        <f t="shared" si="69"/>
        <v>0</v>
      </c>
    </row>
    <row r="4405" spans="3:4" ht="15" x14ac:dyDescent="0.25">
      <c r="C4405" s="8" t="e">
        <f>VLOOKUP(A:A,'ITEM LIST'!A:C,3,0)</f>
        <v>#N/A</v>
      </c>
      <c r="D4405" s="6">
        <f t="shared" si="69"/>
        <v>0</v>
      </c>
    </row>
    <row r="4406" spans="3:4" ht="15" x14ac:dyDescent="0.25">
      <c r="C4406" s="8" t="e">
        <f>VLOOKUP(A:A,'ITEM LIST'!A:C,3,0)</f>
        <v>#N/A</v>
      </c>
      <c r="D4406" s="6">
        <f t="shared" si="69"/>
        <v>0</v>
      </c>
    </row>
    <row r="4407" spans="3:4" ht="15" x14ac:dyDescent="0.25">
      <c r="C4407" s="8" t="e">
        <f>VLOOKUP(A:A,'ITEM LIST'!A:C,3,0)</f>
        <v>#N/A</v>
      </c>
      <c r="D4407" s="6">
        <f t="shared" si="69"/>
        <v>0</v>
      </c>
    </row>
    <row r="4408" spans="3:4" ht="15" x14ac:dyDescent="0.25">
      <c r="C4408" s="8" t="e">
        <f>VLOOKUP(A:A,'ITEM LIST'!A:C,3,0)</f>
        <v>#N/A</v>
      </c>
      <c r="D4408" s="6">
        <f t="shared" si="69"/>
        <v>0</v>
      </c>
    </row>
    <row r="4409" spans="3:4" ht="15" x14ac:dyDescent="0.25">
      <c r="C4409" s="8" t="e">
        <f>VLOOKUP(A:A,'ITEM LIST'!A:C,3,0)</f>
        <v>#N/A</v>
      </c>
      <c r="D4409" s="6">
        <f t="shared" si="69"/>
        <v>0</v>
      </c>
    </row>
    <row r="4410" spans="3:4" ht="15" x14ac:dyDescent="0.25">
      <c r="C4410" s="8" t="e">
        <f>VLOOKUP(A:A,'ITEM LIST'!A:C,3,0)</f>
        <v>#N/A</v>
      </c>
      <c r="D4410" s="6">
        <f t="shared" si="69"/>
        <v>0</v>
      </c>
    </row>
    <row r="4411" spans="3:4" ht="15" x14ac:dyDescent="0.25">
      <c r="C4411" s="8" t="e">
        <f>VLOOKUP(A:A,'ITEM LIST'!A:C,3,0)</f>
        <v>#N/A</v>
      </c>
      <c r="D4411" s="6">
        <f t="shared" si="69"/>
        <v>0</v>
      </c>
    </row>
    <row r="4412" spans="3:4" ht="15" x14ac:dyDescent="0.25">
      <c r="C4412" s="8" t="e">
        <f>VLOOKUP(A:A,'ITEM LIST'!A:C,3,0)</f>
        <v>#N/A</v>
      </c>
      <c r="D4412" s="6">
        <f t="shared" si="69"/>
        <v>0</v>
      </c>
    </row>
    <row r="4413" spans="3:4" ht="15" x14ac:dyDescent="0.25">
      <c r="C4413" s="8" t="e">
        <f>VLOOKUP(A:A,'ITEM LIST'!A:C,3,0)</f>
        <v>#N/A</v>
      </c>
      <c r="D4413" s="6">
        <f t="shared" si="69"/>
        <v>0</v>
      </c>
    </row>
    <row r="4414" spans="3:4" ht="15" x14ac:dyDescent="0.25">
      <c r="C4414" s="8" t="e">
        <f>VLOOKUP(A:A,'ITEM LIST'!A:C,3,0)</f>
        <v>#N/A</v>
      </c>
      <c r="D4414" s="6">
        <f t="shared" si="69"/>
        <v>0</v>
      </c>
    </row>
    <row r="4415" spans="3:4" ht="15" x14ac:dyDescent="0.25">
      <c r="C4415" s="8" t="e">
        <f>VLOOKUP(A:A,'ITEM LIST'!A:C,3,0)</f>
        <v>#N/A</v>
      </c>
      <c r="D4415" s="6">
        <f t="shared" si="69"/>
        <v>0</v>
      </c>
    </row>
    <row r="4416" spans="3:4" ht="15" x14ac:dyDescent="0.25">
      <c r="C4416" s="8" t="e">
        <f>VLOOKUP(A:A,'ITEM LIST'!A:C,3,0)</f>
        <v>#N/A</v>
      </c>
      <c r="D4416" s="6">
        <f t="shared" si="69"/>
        <v>0</v>
      </c>
    </row>
    <row r="4417" spans="3:4" ht="15" x14ac:dyDescent="0.25">
      <c r="C4417" s="8" t="e">
        <f>VLOOKUP(A:A,'ITEM LIST'!A:C,3,0)</f>
        <v>#N/A</v>
      </c>
      <c r="D4417" s="6">
        <f t="shared" si="69"/>
        <v>0</v>
      </c>
    </row>
    <row r="4418" spans="3:4" ht="15" x14ac:dyDescent="0.25">
      <c r="C4418" s="8" t="e">
        <f>VLOOKUP(A:A,'ITEM LIST'!A:C,3,0)</f>
        <v>#N/A</v>
      </c>
      <c r="D4418" s="6">
        <f t="shared" si="69"/>
        <v>0</v>
      </c>
    </row>
    <row r="4419" spans="3:4" ht="15" x14ac:dyDescent="0.25">
      <c r="C4419" s="8" t="e">
        <f>VLOOKUP(A:A,'ITEM LIST'!A:C,3,0)</f>
        <v>#N/A</v>
      </c>
      <c r="D4419" s="6">
        <f t="shared" si="69"/>
        <v>0</v>
      </c>
    </row>
    <row r="4420" spans="3:4" ht="15" x14ac:dyDescent="0.25">
      <c r="C4420" s="8" t="e">
        <f>VLOOKUP(A:A,'ITEM LIST'!A:C,3,0)</f>
        <v>#N/A</v>
      </c>
      <c r="D4420" s="6">
        <f t="shared" si="69"/>
        <v>0</v>
      </c>
    </row>
    <row r="4421" spans="3:4" ht="15" x14ac:dyDescent="0.25">
      <c r="C4421" s="8" t="e">
        <f>VLOOKUP(A:A,'ITEM LIST'!A:C,3,0)</f>
        <v>#N/A</v>
      </c>
      <c r="D4421" s="6">
        <f t="shared" si="69"/>
        <v>0</v>
      </c>
    </row>
    <row r="4422" spans="3:4" ht="15" x14ac:dyDescent="0.25">
      <c r="C4422" s="8" t="e">
        <f>VLOOKUP(A:A,'ITEM LIST'!A:C,3,0)</f>
        <v>#N/A</v>
      </c>
      <c r="D4422" s="6">
        <f t="shared" ref="D4422:D4485" si="70">B4422</f>
        <v>0</v>
      </c>
    </row>
    <row r="4423" spans="3:4" ht="15" x14ac:dyDescent="0.25">
      <c r="C4423" s="8" t="e">
        <f>VLOOKUP(A:A,'ITEM LIST'!A:C,3,0)</f>
        <v>#N/A</v>
      </c>
      <c r="D4423" s="6">
        <f t="shared" si="70"/>
        <v>0</v>
      </c>
    </row>
    <row r="4424" spans="3:4" ht="15" x14ac:dyDescent="0.25">
      <c r="C4424" s="8" t="e">
        <f>VLOOKUP(A:A,'ITEM LIST'!A:C,3,0)</f>
        <v>#N/A</v>
      </c>
      <c r="D4424" s="6">
        <f t="shared" si="70"/>
        <v>0</v>
      </c>
    </row>
    <row r="4425" spans="3:4" ht="15" x14ac:dyDescent="0.25">
      <c r="C4425" s="8" t="e">
        <f>VLOOKUP(A:A,'ITEM LIST'!A:C,3,0)</f>
        <v>#N/A</v>
      </c>
      <c r="D4425" s="6">
        <f t="shared" si="70"/>
        <v>0</v>
      </c>
    </row>
    <row r="4426" spans="3:4" ht="15" x14ac:dyDescent="0.25">
      <c r="C4426" s="8" t="e">
        <f>VLOOKUP(A:A,'ITEM LIST'!A:C,3,0)</f>
        <v>#N/A</v>
      </c>
      <c r="D4426" s="6">
        <f t="shared" si="70"/>
        <v>0</v>
      </c>
    </row>
    <row r="4427" spans="3:4" ht="15" x14ac:dyDescent="0.25">
      <c r="C4427" s="8" t="e">
        <f>VLOOKUP(A:A,'ITEM LIST'!A:C,3,0)</f>
        <v>#N/A</v>
      </c>
      <c r="D4427" s="6">
        <f t="shared" si="70"/>
        <v>0</v>
      </c>
    </row>
    <row r="4428" spans="3:4" ht="15" x14ac:dyDescent="0.25">
      <c r="C4428" s="8" t="e">
        <f>VLOOKUP(A:A,'ITEM LIST'!A:C,3,0)</f>
        <v>#N/A</v>
      </c>
      <c r="D4428" s="6">
        <f t="shared" si="70"/>
        <v>0</v>
      </c>
    </row>
    <row r="4429" spans="3:4" ht="15" x14ac:dyDescent="0.25">
      <c r="C4429" s="8" t="e">
        <f>VLOOKUP(A:A,'ITEM LIST'!A:C,3,0)</f>
        <v>#N/A</v>
      </c>
      <c r="D4429" s="6">
        <f t="shared" si="70"/>
        <v>0</v>
      </c>
    </row>
    <row r="4430" spans="3:4" ht="15" x14ac:dyDescent="0.25">
      <c r="C4430" s="8" t="e">
        <f>VLOOKUP(A:A,'ITEM LIST'!A:C,3,0)</f>
        <v>#N/A</v>
      </c>
      <c r="D4430" s="6">
        <f t="shared" si="70"/>
        <v>0</v>
      </c>
    </row>
    <row r="4431" spans="3:4" ht="15" x14ac:dyDescent="0.25">
      <c r="C4431" s="8" t="e">
        <f>VLOOKUP(A:A,'ITEM LIST'!A:C,3,0)</f>
        <v>#N/A</v>
      </c>
      <c r="D4431" s="6">
        <f t="shared" si="70"/>
        <v>0</v>
      </c>
    </row>
    <row r="4432" spans="3:4" ht="15" x14ac:dyDescent="0.25">
      <c r="C4432" s="8" t="e">
        <f>VLOOKUP(A:A,'ITEM LIST'!A:C,3,0)</f>
        <v>#N/A</v>
      </c>
      <c r="D4432" s="6">
        <f t="shared" si="70"/>
        <v>0</v>
      </c>
    </row>
    <row r="4433" spans="3:4" ht="15" x14ac:dyDescent="0.25">
      <c r="C4433" s="8" t="e">
        <f>VLOOKUP(A:A,'ITEM LIST'!A:C,3,0)</f>
        <v>#N/A</v>
      </c>
      <c r="D4433" s="6">
        <f t="shared" si="70"/>
        <v>0</v>
      </c>
    </row>
    <row r="4434" spans="3:4" ht="15" x14ac:dyDescent="0.25">
      <c r="C4434" s="8" t="e">
        <f>VLOOKUP(A:A,'ITEM LIST'!A:C,3,0)</f>
        <v>#N/A</v>
      </c>
      <c r="D4434" s="6">
        <f t="shared" si="70"/>
        <v>0</v>
      </c>
    </row>
    <row r="4435" spans="3:4" ht="15" x14ac:dyDescent="0.25">
      <c r="C4435" s="8" t="e">
        <f>VLOOKUP(A:A,'ITEM LIST'!A:C,3,0)</f>
        <v>#N/A</v>
      </c>
      <c r="D4435" s="6">
        <f t="shared" si="70"/>
        <v>0</v>
      </c>
    </row>
    <row r="4436" spans="3:4" ht="15" x14ac:dyDescent="0.25">
      <c r="C4436" s="8" t="e">
        <f>VLOOKUP(A:A,'ITEM LIST'!A:C,3,0)</f>
        <v>#N/A</v>
      </c>
      <c r="D4436" s="6">
        <f t="shared" si="70"/>
        <v>0</v>
      </c>
    </row>
    <row r="4437" spans="3:4" ht="15" x14ac:dyDescent="0.25">
      <c r="C4437" s="8" t="e">
        <f>VLOOKUP(A:A,'ITEM LIST'!A:C,3,0)</f>
        <v>#N/A</v>
      </c>
      <c r="D4437" s="6">
        <f t="shared" si="70"/>
        <v>0</v>
      </c>
    </row>
    <row r="4438" spans="3:4" ht="15" x14ac:dyDescent="0.25">
      <c r="C4438" s="8" t="e">
        <f>VLOOKUP(A:A,'ITEM LIST'!A:C,3,0)</f>
        <v>#N/A</v>
      </c>
      <c r="D4438" s="6">
        <f t="shared" si="70"/>
        <v>0</v>
      </c>
    </row>
    <row r="4439" spans="3:4" ht="15" x14ac:dyDescent="0.25">
      <c r="C4439" s="8" t="e">
        <f>VLOOKUP(A:A,'ITEM LIST'!A:C,3,0)</f>
        <v>#N/A</v>
      </c>
      <c r="D4439" s="6">
        <f t="shared" si="70"/>
        <v>0</v>
      </c>
    </row>
    <row r="4440" spans="3:4" ht="15" x14ac:dyDescent="0.25">
      <c r="C4440" s="8" t="e">
        <f>VLOOKUP(A:A,'ITEM LIST'!A:C,3,0)</f>
        <v>#N/A</v>
      </c>
      <c r="D4440" s="6">
        <f t="shared" si="70"/>
        <v>0</v>
      </c>
    </row>
    <row r="4441" spans="3:4" ht="15" x14ac:dyDescent="0.25">
      <c r="C4441" s="8" t="e">
        <f>VLOOKUP(A:A,'ITEM LIST'!A:C,3,0)</f>
        <v>#N/A</v>
      </c>
      <c r="D4441" s="6">
        <f t="shared" si="70"/>
        <v>0</v>
      </c>
    </row>
    <row r="4442" spans="3:4" ht="15" x14ac:dyDescent="0.25">
      <c r="C4442" s="8" t="e">
        <f>VLOOKUP(A:A,'ITEM LIST'!A:C,3,0)</f>
        <v>#N/A</v>
      </c>
      <c r="D4442" s="6">
        <f t="shared" si="70"/>
        <v>0</v>
      </c>
    </row>
    <row r="4443" spans="3:4" ht="15" x14ac:dyDescent="0.25">
      <c r="C4443" s="8" t="e">
        <f>VLOOKUP(A:A,'ITEM LIST'!A:C,3,0)</f>
        <v>#N/A</v>
      </c>
      <c r="D4443" s="6">
        <f t="shared" si="70"/>
        <v>0</v>
      </c>
    </row>
    <row r="4444" spans="3:4" ht="15" x14ac:dyDescent="0.25">
      <c r="C4444" s="8" t="e">
        <f>VLOOKUP(A:A,'ITEM LIST'!A:C,3,0)</f>
        <v>#N/A</v>
      </c>
      <c r="D4444" s="6">
        <f t="shared" si="70"/>
        <v>0</v>
      </c>
    </row>
    <row r="4445" spans="3:4" ht="15" x14ac:dyDescent="0.25">
      <c r="C4445" s="8" t="e">
        <f>VLOOKUP(A:A,'ITEM LIST'!A:C,3,0)</f>
        <v>#N/A</v>
      </c>
      <c r="D4445" s="6">
        <f t="shared" si="70"/>
        <v>0</v>
      </c>
    </row>
    <row r="4446" spans="3:4" ht="15" x14ac:dyDescent="0.25">
      <c r="C4446" s="8" t="e">
        <f>VLOOKUP(A:A,'ITEM LIST'!A:C,3,0)</f>
        <v>#N/A</v>
      </c>
      <c r="D4446" s="6">
        <f t="shared" si="70"/>
        <v>0</v>
      </c>
    </row>
    <row r="4447" spans="3:4" ht="15" x14ac:dyDescent="0.25">
      <c r="C4447" s="8" t="e">
        <f>VLOOKUP(A:A,'ITEM LIST'!A:C,3,0)</f>
        <v>#N/A</v>
      </c>
      <c r="D4447" s="6">
        <f t="shared" si="70"/>
        <v>0</v>
      </c>
    </row>
    <row r="4448" spans="3:4" ht="15" x14ac:dyDescent="0.25">
      <c r="C4448" s="8" t="e">
        <f>VLOOKUP(A:A,'ITEM LIST'!A:C,3,0)</f>
        <v>#N/A</v>
      </c>
      <c r="D4448" s="6">
        <f t="shared" si="70"/>
        <v>0</v>
      </c>
    </row>
    <row r="4449" spans="3:4" ht="15" x14ac:dyDescent="0.25">
      <c r="C4449" s="8" t="e">
        <f>VLOOKUP(A:A,'ITEM LIST'!A:C,3,0)</f>
        <v>#N/A</v>
      </c>
      <c r="D4449" s="6">
        <f t="shared" si="70"/>
        <v>0</v>
      </c>
    </row>
    <row r="4450" spans="3:4" ht="15" x14ac:dyDescent="0.25">
      <c r="C4450" s="8" t="e">
        <f>VLOOKUP(A:A,'ITEM LIST'!A:C,3,0)</f>
        <v>#N/A</v>
      </c>
      <c r="D4450" s="6">
        <f t="shared" si="70"/>
        <v>0</v>
      </c>
    </row>
    <row r="4451" spans="3:4" ht="15" x14ac:dyDescent="0.25">
      <c r="C4451" s="8" t="e">
        <f>VLOOKUP(A:A,'ITEM LIST'!A:C,3,0)</f>
        <v>#N/A</v>
      </c>
      <c r="D4451" s="6">
        <f t="shared" si="70"/>
        <v>0</v>
      </c>
    </row>
    <row r="4452" spans="3:4" ht="15" x14ac:dyDescent="0.25">
      <c r="C4452" s="8" t="e">
        <f>VLOOKUP(A:A,'ITEM LIST'!A:C,3,0)</f>
        <v>#N/A</v>
      </c>
      <c r="D4452" s="6">
        <f t="shared" si="70"/>
        <v>0</v>
      </c>
    </row>
    <row r="4453" spans="3:4" ht="15" x14ac:dyDescent="0.25">
      <c r="C4453" s="8" t="e">
        <f>VLOOKUP(A:A,'ITEM LIST'!A:C,3,0)</f>
        <v>#N/A</v>
      </c>
      <c r="D4453" s="6">
        <f t="shared" si="70"/>
        <v>0</v>
      </c>
    </row>
    <row r="4454" spans="3:4" ht="15" x14ac:dyDescent="0.25">
      <c r="C4454" s="8" t="e">
        <f>VLOOKUP(A:A,'ITEM LIST'!A:C,3,0)</f>
        <v>#N/A</v>
      </c>
      <c r="D4454" s="6">
        <f t="shared" si="70"/>
        <v>0</v>
      </c>
    </row>
    <row r="4455" spans="3:4" ht="15" x14ac:dyDescent="0.25">
      <c r="C4455" s="8" t="e">
        <f>VLOOKUP(A:A,'ITEM LIST'!A:C,3,0)</f>
        <v>#N/A</v>
      </c>
      <c r="D4455" s="6">
        <f t="shared" si="70"/>
        <v>0</v>
      </c>
    </row>
    <row r="4456" spans="3:4" ht="15" x14ac:dyDescent="0.25">
      <c r="C4456" s="8" t="e">
        <f>VLOOKUP(A:A,'ITEM LIST'!A:C,3,0)</f>
        <v>#N/A</v>
      </c>
      <c r="D4456" s="6">
        <f t="shared" si="70"/>
        <v>0</v>
      </c>
    </row>
    <row r="4457" spans="3:4" ht="15" x14ac:dyDescent="0.25">
      <c r="C4457" s="8" t="e">
        <f>VLOOKUP(A:A,'ITEM LIST'!A:C,3,0)</f>
        <v>#N/A</v>
      </c>
      <c r="D4457" s="6">
        <f t="shared" si="70"/>
        <v>0</v>
      </c>
    </row>
    <row r="4458" spans="3:4" ht="15" x14ac:dyDescent="0.25">
      <c r="C4458" s="8" t="e">
        <f>VLOOKUP(A:A,'ITEM LIST'!A:C,3,0)</f>
        <v>#N/A</v>
      </c>
      <c r="D4458" s="6">
        <f t="shared" si="70"/>
        <v>0</v>
      </c>
    </row>
    <row r="4459" spans="3:4" ht="15" x14ac:dyDescent="0.25">
      <c r="C4459" s="8" t="e">
        <f>VLOOKUP(A:A,'ITEM LIST'!A:C,3,0)</f>
        <v>#N/A</v>
      </c>
      <c r="D4459" s="6">
        <f t="shared" si="70"/>
        <v>0</v>
      </c>
    </row>
    <row r="4460" spans="3:4" ht="15" x14ac:dyDescent="0.25">
      <c r="C4460" s="8" t="e">
        <f>VLOOKUP(A:A,'ITEM LIST'!A:C,3,0)</f>
        <v>#N/A</v>
      </c>
      <c r="D4460" s="6">
        <f t="shared" si="70"/>
        <v>0</v>
      </c>
    </row>
    <row r="4461" spans="3:4" ht="15" x14ac:dyDescent="0.25">
      <c r="C4461" s="8" t="e">
        <f>VLOOKUP(A:A,'ITEM LIST'!A:C,3,0)</f>
        <v>#N/A</v>
      </c>
      <c r="D4461" s="6">
        <f t="shared" si="70"/>
        <v>0</v>
      </c>
    </row>
    <row r="4462" spans="3:4" ht="15" x14ac:dyDescent="0.25">
      <c r="C4462" s="8" t="e">
        <f>VLOOKUP(A:A,'ITEM LIST'!A:C,3,0)</f>
        <v>#N/A</v>
      </c>
      <c r="D4462" s="6">
        <f t="shared" si="70"/>
        <v>0</v>
      </c>
    </row>
    <row r="4463" spans="3:4" ht="15" x14ac:dyDescent="0.25">
      <c r="C4463" s="8" t="e">
        <f>VLOOKUP(A:A,'ITEM LIST'!A:C,3,0)</f>
        <v>#N/A</v>
      </c>
      <c r="D4463" s="6">
        <f t="shared" si="70"/>
        <v>0</v>
      </c>
    </row>
    <row r="4464" spans="3:4" ht="15" x14ac:dyDescent="0.25">
      <c r="C4464" s="8" t="e">
        <f>VLOOKUP(A:A,'ITEM LIST'!A:C,3,0)</f>
        <v>#N/A</v>
      </c>
      <c r="D4464" s="6">
        <f t="shared" si="70"/>
        <v>0</v>
      </c>
    </row>
    <row r="4465" spans="3:4" ht="15" x14ac:dyDescent="0.25">
      <c r="C4465" s="8" t="e">
        <f>VLOOKUP(A:A,'ITEM LIST'!A:C,3,0)</f>
        <v>#N/A</v>
      </c>
      <c r="D4465" s="6">
        <f t="shared" si="70"/>
        <v>0</v>
      </c>
    </row>
    <row r="4466" spans="3:4" ht="15" x14ac:dyDescent="0.25">
      <c r="C4466" s="8" t="e">
        <f>VLOOKUP(A:A,'ITEM LIST'!A:C,3,0)</f>
        <v>#N/A</v>
      </c>
      <c r="D4466" s="6">
        <f t="shared" si="70"/>
        <v>0</v>
      </c>
    </row>
    <row r="4467" spans="3:4" ht="15" x14ac:dyDescent="0.25">
      <c r="C4467" s="8" t="e">
        <f>VLOOKUP(A:A,'ITEM LIST'!A:C,3,0)</f>
        <v>#N/A</v>
      </c>
      <c r="D4467" s="6">
        <f t="shared" si="70"/>
        <v>0</v>
      </c>
    </row>
    <row r="4468" spans="3:4" ht="15" x14ac:dyDescent="0.25">
      <c r="C4468" s="8" t="e">
        <f>VLOOKUP(A:A,'ITEM LIST'!A:C,3,0)</f>
        <v>#N/A</v>
      </c>
      <c r="D4468" s="6">
        <f t="shared" si="70"/>
        <v>0</v>
      </c>
    </row>
    <row r="4469" spans="3:4" ht="15" x14ac:dyDescent="0.25">
      <c r="C4469" s="8" t="e">
        <f>VLOOKUP(A:A,'ITEM LIST'!A:C,3,0)</f>
        <v>#N/A</v>
      </c>
      <c r="D4469" s="6">
        <f t="shared" si="70"/>
        <v>0</v>
      </c>
    </row>
    <row r="4470" spans="3:4" ht="15" x14ac:dyDescent="0.25">
      <c r="C4470" s="8" t="e">
        <f>VLOOKUP(A:A,'ITEM LIST'!A:C,3,0)</f>
        <v>#N/A</v>
      </c>
      <c r="D4470" s="6">
        <f t="shared" si="70"/>
        <v>0</v>
      </c>
    </row>
    <row r="4471" spans="3:4" ht="15" x14ac:dyDescent="0.25">
      <c r="C4471" s="8" t="e">
        <f>VLOOKUP(A:A,'ITEM LIST'!A:C,3,0)</f>
        <v>#N/A</v>
      </c>
      <c r="D4471" s="6">
        <f t="shared" si="70"/>
        <v>0</v>
      </c>
    </row>
    <row r="4472" spans="3:4" ht="15" x14ac:dyDescent="0.25">
      <c r="C4472" s="8" t="e">
        <f>VLOOKUP(A:A,'ITEM LIST'!A:C,3,0)</f>
        <v>#N/A</v>
      </c>
      <c r="D4472" s="6">
        <f t="shared" si="70"/>
        <v>0</v>
      </c>
    </row>
    <row r="4473" spans="3:4" ht="15" x14ac:dyDescent="0.25">
      <c r="C4473" s="8" t="e">
        <f>VLOOKUP(A:A,'ITEM LIST'!A:C,3,0)</f>
        <v>#N/A</v>
      </c>
      <c r="D4473" s="6">
        <f t="shared" si="70"/>
        <v>0</v>
      </c>
    </row>
    <row r="4474" spans="3:4" ht="15" x14ac:dyDescent="0.25">
      <c r="C4474" s="8" t="e">
        <f>VLOOKUP(A:A,'ITEM LIST'!A:C,3,0)</f>
        <v>#N/A</v>
      </c>
      <c r="D4474" s="6">
        <f t="shared" si="70"/>
        <v>0</v>
      </c>
    </row>
    <row r="4475" spans="3:4" ht="15" x14ac:dyDescent="0.25">
      <c r="C4475" s="8" t="e">
        <f>VLOOKUP(A:A,'ITEM LIST'!A:C,3,0)</f>
        <v>#N/A</v>
      </c>
      <c r="D4475" s="6">
        <f t="shared" si="70"/>
        <v>0</v>
      </c>
    </row>
    <row r="4476" spans="3:4" ht="15" x14ac:dyDescent="0.25">
      <c r="C4476" s="8" t="e">
        <f>VLOOKUP(A:A,'ITEM LIST'!A:C,3,0)</f>
        <v>#N/A</v>
      </c>
      <c r="D4476" s="6">
        <f t="shared" si="70"/>
        <v>0</v>
      </c>
    </row>
    <row r="4477" spans="3:4" ht="15" x14ac:dyDescent="0.25">
      <c r="C4477" s="8" t="e">
        <f>VLOOKUP(A:A,'ITEM LIST'!A:C,3,0)</f>
        <v>#N/A</v>
      </c>
      <c r="D4477" s="6">
        <f t="shared" si="70"/>
        <v>0</v>
      </c>
    </row>
    <row r="4478" spans="3:4" ht="15" x14ac:dyDescent="0.25">
      <c r="C4478" s="8" t="e">
        <f>VLOOKUP(A:A,'ITEM LIST'!A:C,3,0)</f>
        <v>#N/A</v>
      </c>
      <c r="D4478" s="6">
        <f t="shared" si="70"/>
        <v>0</v>
      </c>
    </row>
    <row r="4479" spans="3:4" ht="15" x14ac:dyDescent="0.25">
      <c r="C4479" s="8" t="e">
        <f>VLOOKUP(A:A,'ITEM LIST'!A:C,3,0)</f>
        <v>#N/A</v>
      </c>
      <c r="D4479" s="6">
        <f t="shared" si="70"/>
        <v>0</v>
      </c>
    </row>
    <row r="4480" spans="3:4" ht="15" x14ac:dyDescent="0.25">
      <c r="C4480" s="8" t="e">
        <f>VLOOKUP(A:A,'ITEM LIST'!A:C,3,0)</f>
        <v>#N/A</v>
      </c>
      <c r="D4480" s="6">
        <f t="shared" si="70"/>
        <v>0</v>
      </c>
    </row>
    <row r="4481" spans="3:4" ht="15" x14ac:dyDescent="0.25">
      <c r="C4481" s="8" t="e">
        <f>VLOOKUP(A:A,'ITEM LIST'!A:C,3,0)</f>
        <v>#N/A</v>
      </c>
      <c r="D4481" s="6">
        <f t="shared" si="70"/>
        <v>0</v>
      </c>
    </row>
    <row r="4482" spans="3:4" ht="15" x14ac:dyDescent="0.25">
      <c r="C4482" s="8" t="e">
        <f>VLOOKUP(A:A,'ITEM LIST'!A:C,3,0)</f>
        <v>#N/A</v>
      </c>
      <c r="D4482" s="6">
        <f t="shared" si="70"/>
        <v>0</v>
      </c>
    </row>
    <row r="4483" spans="3:4" ht="15" x14ac:dyDescent="0.25">
      <c r="C4483" s="8" t="e">
        <f>VLOOKUP(A:A,'ITEM LIST'!A:C,3,0)</f>
        <v>#N/A</v>
      </c>
      <c r="D4483" s="6">
        <f t="shared" si="70"/>
        <v>0</v>
      </c>
    </row>
    <row r="4484" spans="3:4" ht="15" x14ac:dyDescent="0.25">
      <c r="C4484" s="8" t="e">
        <f>VLOOKUP(A:A,'ITEM LIST'!A:C,3,0)</f>
        <v>#N/A</v>
      </c>
      <c r="D4484" s="6">
        <f t="shared" si="70"/>
        <v>0</v>
      </c>
    </row>
    <row r="4485" spans="3:4" ht="15" x14ac:dyDescent="0.25">
      <c r="C4485" s="8" t="e">
        <f>VLOOKUP(A:A,'ITEM LIST'!A:C,3,0)</f>
        <v>#N/A</v>
      </c>
      <c r="D4485" s="6">
        <f t="shared" si="70"/>
        <v>0</v>
      </c>
    </row>
    <row r="4486" spans="3:4" ht="15" x14ac:dyDescent="0.25">
      <c r="C4486" s="8" t="e">
        <f>VLOOKUP(A:A,'ITEM LIST'!A:C,3,0)</f>
        <v>#N/A</v>
      </c>
      <c r="D4486" s="6">
        <f t="shared" ref="D4486:D4549" si="71">B4486</f>
        <v>0</v>
      </c>
    </row>
    <row r="4487" spans="3:4" ht="15" x14ac:dyDescent="0.25">
      <c r="C4487" s="8" t="e">
        <f>VLOOKUP(A:A,'ITEM LIST'!A:C,3,0)</f>
        <v>#N/A</v>
      </c>
      <c r="D4487" s="6">
        <f t="shared" si="71"/>
        <v>0</v>
      </c>
    </row>
    <row r="4488" spans="3:4" ht="15" x14ac:dyDescent="0.25">
      <c r="C4488" s="8" t="e">
        <f>VLOOKUP(A:A,'ITEM LIST'!A:C,3,0)</f>
        <v>#N/A</v>
      </c>
      <c r="D4488" s="6">
        <f t="shared" si="71"/>
        <v>0</v>
      </c>
    </row>
    <row r="4489" spans="3:4" ht="15" x14ac:dyDescent="0.25">
      <c r="C4489" s="8" t="e">
        <f>VLOOKUP(A:A,'ITEM LIST'!A:C,3,0)</f>
        <v>#N/A</v>
      </c>
      <c r="D4489" s="6">
        <f t="shared" si="71"/>
        <v>0</v>
      </c>
    </row>
    <row r="4490" spans="3:4" ht="15" x14ac:dyDescent="0.25">
      <c r="C4490" s="8" t="e">
        <f>VLOOKUP(A:A,'ITEM LIST'!A:C,3,0)</f>
        <v>#N/A</v>
      </c>
      <c r="D4490" s="6">
        <f t="shared" si="71"/>
        <v>0</v>
      </c>
    </row>
    <row r="4491" spans="3:4" ht="15" x14ac:dyDescent="0.25">
      <c r="C4491" s="8" t="e">
        <f>VLOOKUP(A:A,'ITEM LIST'!A:C,3,0)</f>
        <v>#N/A</v>
      </c>
      <c r="D4491" s="6">
        <f t="shared" si="71"/>
        <v>0</v>
      </c>
    </row>
    <row r="4492" spans="3:4" ht="15" x14ac:dyDescent="0.25">
      <c r="C4492" s="8" t="e">
        <f>VLOOKUP(A:A,'ITEM LIST'!A:C,3,0)</f>
        <v>#N/A</v>
      </c>
      <c r="D4492" s="6">
        <f t="shared" si="71"/>
        <v>0</v>
      </c>
    </row>
    <row r="4493" spans="3:4" ht="15" x14ac:dyDescent="0.25">
      <c r="C4493" s="8" t="e">
        <f>VLOOKUP(A:A,'ITEM LIST'!A:C,3,0)</f>
        <v>#N/A</v>
      </c>
      <c r="D4493" s="6">
        <f t="shared" si="71"/>
        <v>0</v>
      </c>
    </row>
    <row r="4494" spans="3:4" ht="15" x14ac:dyDescent="0.25">
      <c r="C4494" s="8" t="e">
        <f>VLOOKUP(A:A,'ITEM LIST'!A:C,3,0)</f>
        <v>#N/A</v>
      </c>
      <c r="D4494" s="6">
        <f t="shared" si="71"/>
        <v>0</v>
      </c>
    </row>
    <row r="4495" spans="3:4" ht="15" x14ac:dyDescent="0.25">
      <c r="C4495" s="8" t="e">
        <f>VLOOKUP(A:A,'ITEM LIST'!A:C,3,0)</f>
        <v>#N/A</v>
      </c>
      <c r="D4495" s="6">
        <f t="shared" si="71"/>
        <v>0</v>
      </c>
    </row>
    <row r="4496" spans="3:4" ht="15" x14ac:dyDescent="0.25">
      <c r="C4496" s="8" t="e">
        <f>VLOOKUP(A:A,'ITEM LIST'!A:C,3,0)</f>
        <v>#N/A</v>
      </c>
      <c r="D4496" s="6">
        <f t="shared" si="71"/>
        <v>0</v>
      </c>
    </row>
    <row r="4497" spans="3:4" ht="15" x14ac:dyDescent="0.25">
      <c r="C4497" s="8" t="e">
        <f>VLOOKUP(A:A,'ITEM LIST'!A:C,3,0)</f>
        <v>#N/A</v>
      </c>
      <c r="D4497" s="6">
        <f t="shared" si="71"/>
        <v>0</v>
      </c>
    </row>
    <row r="4498" spans="3:4" ht="15" x14ac:dyDescent="0.25">
      <c r="C4498" s="8" t="e">
        <f>VLOOKUP(A:A,'ITEM LIST'!A:C,3,0)</f>
        <v>#N/A</v>
      </c>
      <c r="D4498" s="6">
        <f t="shared" si="71"/>
        <v>0</v>
      </c>
    </row>
    <row r="4499" spans="3:4" ht="15" x14ac:dyDescent="0.25">
      <c r="C4499" s="8" t="e">
        <f>VLOOKUP(A:A,'ITEM LIST'!A:C,3,0)</f>
        <v>#N/A</v>
      </c>
      <c r="D4499" s="6">
        <f t="shared" si="71"/>
        <v>0</v>
      </c>
    </row>
    <row r="4500" spans="3:4" ht="15" x14ac:dyDescent="0.25">
      <c r="C4500" s="8" t="e">
        <f>VLOOKUP(A:A,'ITEM LIST'!A:C,3,0)</f>
        <v>#N/A</v>
      </c>
      <c r="D4500" s="6">
        <f t="shared" si="71"/>
        <v>0</v>
      </c>
    </row>
    <row r="4501" spans="3:4" ht="15" x14ac:dyDescent="0.25">
      <c r="C4501" s="8" t="e">
        <f>VLOOKUP(A:A,'ITEM LIST'!A:C,3,0)</f>
        <v>#N/A</v>
      </c>
      <c r="D4501" s="6">
        <f t="shared" si="71"/>
        <v>0</v>
      </c>
    </row>
    <row r="4502" spans="3:4" ht="15" x14ac:dyDescent="0.25">
      <c r="C4502" s="8" t="e">
        <f>VLOOKUP(A:A,'ITEM LIST'!A:C,3,0)</f>
        <v>#N/A</v>
      </c>
      <c r="D4502" s="6">
        <f t="shared" si="71"/>
        <v>0</v>
      </c>
    </row>
    <row r="4503" spans="3:4" ht="15" x14ac:dyDescent="0.25">
      <c r="C4503" s="8" t="e">
        <f>VLOOKUP(A:A,'ITEM LIST'!A:C,3,0)</f>
        <v>#N/A</v>
      </c>
      <c r="D4503" s="6">
        <f t="shared" si="71"/>
        <v>0</v>
      </c>
    </row>
    <row r="4504" spans="3:4" ht="15" x14ac:dyDescent="0.25">
      <c r="C4504" s="8" t="e">
        <f>VLOOKUP(A:A,'ITEM LIST'!A:C,3,0)</f>
        <v>#N/A</v>
      </c>
      <c r="D4504" s="6">
        <f t="shared" si="71"/>
        <v>0</v>
      </c>
    </row>
    <row r="4505" spans="3:4" ht="15" x14ac:dyDescent="0.25">
      <c r="C4505" s="8" t="e">
        <f>VLOOKUP(A:A,'ITEM LIST'!A:C,3,0)</f>
        <v>#N/A</v>
      </c>
      <c r="D4505" s="6">
        <f t="shared" si="71"/>
        <v>0</v>
      </c>
    </row>
    <row r="4506" spans="3:4" ht="15" x14ac:dyDescent="0.25">
      <c r="C4506" s="8" t="e">
        <f>VLOOKUP(A:A,'ITEM LIST'!A:C,3,0)</f>
        <v>#N/A</v>
      </c>
      <c r="D4506" s="6">
        <f t="shared" si="71"/>
        <v>0</v>
      </c>
    </row>
    <row r="4507" spans="3:4" ht="15" x14ac:dyDescent="0.25">
      <c r="C4507" s="8" t="e">
        <f>VLOOKUP(A:A,'ITEM LIST'!A:C,3,0)</f>
        <v>#N/A</v>
      </c>
      <c r="D4507" s="6">
        <f t="shared" si="71"/>
        <v>0</v>
      </c>
    </row>
    <row r="4508" spans="3:4" ht="15" x14ac:dyDescent="0.25">
      <c r="C4508" s="8" t="e">
        <f>VLOOKUP(A:A,'ITEM LIST'!A:C,3,0)</f>
        <v>#N/A</v>
      </c>
      <c r="D4508" s="6">
        <f t="shared" si="71"/>
        <v>0</v>
      </c>
    </row>
    <row r="4509" spans="3:4" ht="15" x14ac:dyDescent="0.25">
      <c r="C4509" s="8" t="e">
        <f>VLOOKUP(A:A,'ITEM LIST'!A:C,3,0)</f>
        <v>#N/A</v>
      </c>
      <c r="D4509" s="6">
        <f t="shared" si="71"/>
        <v>0</v>
      </c>
    </row>
    <row r="4510" spans="3:4" ht="15" x14ac:dyDescent="0.25">
      <c r="C4510" s="8" t="e">
        <f>VLOOKUP(A:A,'ITEM LIST'!A:C,3,0)</f>
        <v>#N/A</v>
      </c>
      <c r="D4510" s="6">
        <f t="shared" si="71"/>
        <v>0</v>
      </c>
    </row>
    <row r="4511" spans="3:4" ht="15" x14ac:dyDescent="0.25">
      <c r="C4511" s="8" t="e">
        <f>VLOOKUP(A:A,'ITEM LIST'!A:C,3,0)</f>
        <v>#N/A</v>
      </c>
      <c r="D4511" s="6">
        <f t="shared" si="71"/>
        <v>0</v>
      </c>
    </row>
    <row r="4512" spans="3:4" ht="15" x14ac:dyDescent="0.25">
      <c r="C4512" s="8" t="e">
        <f>VLOOKUP(A:A,'ITEM LIST'!A:C,3,0)</f>
        <v>#N/A</v>
      </c>
      <c r="D4512" s="6">
        <f t="shared" si="71"/>
        <v>0</v>
      </c>
    </row>
    <row r="4513" spans="3:4" ht="15" x14ac:dyDescent="0.25">
      <c r="C4513" s="8" t="e">
        <f>VLOOKUP(A:A,'ITEM LIST'!A:C,3,0)</f>
        <v>#N/A</v>
      </c>
      <c r="D4513" s="6">
        <f t="shared" si="71"/>
        <v>0</v>
      </c>
    </row>
    <row r="4514" spans="3:4" ht="15" x14ac:dyDescent="0.25">
      <c r="C4514" s="8" t="e">
        <f>VLOOKUP(A:A,'ITEM LIST'!A:C,3,0)</f>
        <v>#N/A</v>
      </c>
      <c r="D4514" s="6">
        <f t="shared" si="71"/>
        <v>0</v>
      </c>
    </row>
    <row r="4515" spans="3:4" ht="15" x14ac:dyDescent="0.25">
      <c r="C4515" s="8" t="e">
        <f>VLOOKUP(A:A,'ITEM LIST'!A:C,3,0)</f>
        <v>#N/A</v>
      </c>
      <c r="D4515" s="6">
        <f t="shared" si="71"/>
        <v>0</v>
      </c>
    </row>
    <row r="4516" spans="3:4" ht="15" x14ac:dyDescent="0.25">
      <c r="C4516" s="8" t="e">
        <f>VLOOKUP(A:A,'ITEM LIST'!A:C,3,0)</f>
        <v>#N/A</v>
      </c>
      <c r="D4516" s="6">
        <f t="shared" si="71"/>
        <v>0</v>
      </c>
    </row>
    <row r="4517" spans="3:4" ht="15" x14ac:dyDescent="0.25">
      <c r="C4517" s="8" t="e">
        <f>VLOOKUP(A:A,'ITEM LIST'!A:C,3,0)</f>
        <v>#N/A</v>
      </c>
      <c r="D4517" s="6">
        <f t="shared" si="71"/>
        <v>0</v>
      </c>
    </row>
    <row r="4518" spans="3:4" ht="15" x14ac:dyDescent="0.25">
      <c r="C4518" s="8" t="e">
        <f>VLOOKUP(A:A,'ITEM LIST'!A:C,3,0)</f>
        <v>#N/A</v>
      </c>
      <c r="D4518" s="6">
        <f t="shared" si="71"/>
        <v>0</v>
      </c>
    </row>
    <row r="4519" spans="3:4" ht="15" x14ac:dyDescent="0.25">
      <c r="C4519" s="8" t="e">
        <f>VLOOKUP(A:A,'ITEM LIST'!A:C,3,0)</f>
        <v>#N/A</v>
      </c>
      <c r="D4519" s="6">
        <f t="shared" si="71"/>
        <v>0</v>
      </c>
    </row>
    <row r="4520" spans="3:4" ht="15" x14ac:dyDescent="0.25">
      <c r="C4520" s="8" t="e">
        <f>VLOOKUP(A:A,'ITEM LIST'!A:C,3,0)</f>
        <v>#N/A</v>
      </c>
      <c r="D4520" s="6">
        <f t="shared" si="71"/>
        <v>0</v>
      </c>
    </row>
    <row r="4521" spans="3:4" ht="15" x14ac:dyDescent="0.25">
      <c r="C4521" s="8" t="e">
        <f>VLOOKUP(A:A,'ITEM LIST'!A:C,3,0)</f>
        <v>#N/A</v>
      </c>
      <c r="D4521" s="6">
        <f t="shared" si="71"/>
        <v>0</v>
      </c>
    </row>
    <row r="4522" spans="3:4" ht="15" x14ac:dyDescent="0.25">
      <c r="C4522" s="8" t="e">
        <f>VLOOKUP(A:A,'ITEM LIST'!A:C,3,0)</f>
        <v>#N/A</v>
      </c>
      <c r="D4522" s="6">
        <f t="shared" si="71"/>
        <v>0</v>
      </c>
    </row>
    <row r="4523" spans="3:4" ht="15" x14ac:dyDescent="0.25">
      <c r="C4523" s="8" t="e">
        <f>VLOOKUP(A:A,'ITEM LIST'!A:C,3,0)</f>
        <v>#N/A</v>
      </c>
      <c r="D4523" s="6">
        <f t="shared" si="71"/>
        <v>0</v>
      </c>
    </row>
    <row r="4524" spans="3:4" ht="15" x14ac:dyDescent="0.25">
      <c r="C4524" s="8" t="e">
        <f>VLOOKUP(A:A,'ITEM LIST'!A:C,3,0)</f>
        <v>#N/A</v>
      </c>
      <c r="D4524" s="6">
        <f t="shared" si="71"/>
        <v>0</v>
      </c>
    </row>
    <row r="4525" spans="3:4" ht="15" x14ac:dyDescent="0.25">
      <c r="C4525" s="8" t="e">
        <f>VLOOKUP(A:A,'ITEM LIST'!A:C,3,0)</f>
        <v>#N/A</v>
      </c>
      <c r="D4525" s="6">
        <f t="shared" si="71"/>
        <v>0</v>
      </c>
    </row>
    <row r="4526" spans="3:4" ht="15" x14ac:dyDescent="0.25">
      <c r="C4526" s="8" t="e">
        <f>VLOOKUP(A:A,'ITEM LIST'!A:C,3,0)</f>
        <v>#N/A</v>
      </c>
      <c r="D4526" s="6">
        <f t="shared" si="71"/>
        <v>0</v>
      </c>
    </row>
    <row r="4527" spans="3:4" ht="15" x14ac:dyDescent="0.25">
      <c r="C4527" s="8" t="e">
        <f>VLOOKUP(A:A,'ITEM LIST'!A:C,3,0)</f>
        <v>#N/A</v>
      </c>
      <c r="D4527" s="6">
        <f t="shared" si="71"/>
        <v>0</v>
      </c>
    </row>
    <row r="4528" spans="3:4" ht="15" x14ac:dyDescent="0.25">
      <c r="C4528" s="8" t="e">
        <f>VLOOKUP(A:A,'ITEM LIST'!A:C,3,0)</f>
        <v>#N/A</v>
      </c>
      <c r="D4528" s="6">
        <f t="shared" si="71"/>
        <v>0</v>
      </c>
    </row>
    <row r="4529" spans="3:4" ht="15" x14ac:dyDescent="0.25">
      <c r="C4529" s="8" t="e">
        <f>VLOOKUP(A:A,'ITEM LIST'!A:C,3,0)</f>
        <v>#N/A</v>
      </c>
      <c r="D4529" s="6">
        <f t="shared" si="71"/>
        <v>0</v>
      </c>
    </row>
    <row r="4530" spans="3:4" ht="15" x14ac:dyDescent="0.25">
      <c r="C4530" s="8" t="e">
        <f>VLOOKUP(A:A,'ITEM LIST'!A:C,3,0)</f>
        <v>#N/A</v>
      </c>
      <c r="D4530" s="6">
        <f t="shared" si="71"/>
        <v>0</v>
      </c>
    </row>
    <row r="4531" spans="3:4" ht="15" x14ac:dyDescent="0.25">
      <c r="C4531" s="8" t="e">
        <f>VLOOKUP(A:A,'ITEM LIST'!A:C,3,0)</f>
        <v>#N/A</v>
      </c>
      <c r="D4531" s="6">
        <f t="shared" si="71"/>
        <v>0</v>
      </c>
    </row>
    <row r="4532" spans="3:4" ht="15" x14ac:dyDescent="0.25">
      <c r="C4532" s="8" t="e">
        <f>VLOOKUP(A:A,'ITEM LIST'!A:C,3,0)</f>
        <v>#N/A</v>
      </c>
      <c r="D4532" s="6">
        <f t="shared" si="71"/>
        <v>0</v>
      </c>
    </row>
    <row r="4533" spans="3:4" ht="15" x14ac:dyDescent="0.25">
      <c r="C4533" s="8" t="e">
        <f>VLOOKUP(A:A,'ITEM LIST'!A:C,3,0)</f>
        <v>#N/A</v>
      </c>
      <c r="D4533" s="6">
        <f t="shared" si="71"/>
        <v>0</v>
      </c>
    </row>
    <row r="4534" spans="3:4" ht="15" x14ac:dyDescent="0.25">
      <c r="C4534" s="8" t="e">
        <f>VLOOKUP(A:A,'ITEM LIST'!A:C,3,0)</f>
        <v>#N/A</v>
      </c>
      <c r="D4534" s="6">
        <f t="shared" si="71"/>
        <v>0</v>
      </c>
    </row>
    <row r="4535" spans="3:4" ht="15" x14ac:dyDescent="0.25">
      <c r="C4535" s="8" t="e">
        <f>VLOOKUP(A:A,'ITEM LIST'!A:C,3,0)</f>
        <v>#N/A</v>
      </c>
      <c r="D4535" s="6">
        <f t="shared" si="71"/>
        <v>0</v>
      </c>
    </row>
    <row r="4536" spans="3:4" ht="15" x14ac:dyDescent="0.25">
      <c r="C4536" s="8" t="e">
        <f>VLOOKUP(A:A,'ITEM LIST'!A:C,3,0)</f>
        <v>#N/A</v>
      </c>
      <c r="D4536" s="6">
        <f t="shared" si="71"/>
        <v>0</v>
      </c>
    </row>
    <row r="4537" spans="3:4" ht="15" x14ac:dyDescent="0.25">
      <c r="C4537" s="8" t="e">
        <f>VLOOKUP(A:A,'ITEM LIST'!A:C,3,0)</f>
        <v>#N/A</v>
      </c>
      <c r="D4537" s="6">
        <f t="shared" si="71"/>
        <v>0</v>
      </c>
    </row>
    <row r="4538" spans="3:4" ht="15" x14ac:dyDescent="0.25">
      <c r="C4538" s="8" t="e">
        <f>VLOOKUP(A:A,'ITEM LIST'!A:C,3,0)</f>
        <v>#N/A</v>
      </c>
      <c r="D4538" s="6">
        <f t="shared" si="71"/>
        <v>0</v>
      </c>
    </row>
    <row r="4539" spans="3:4" ht="15" x14ac:dyDescent="0.25">
      <c r="C4539" s="8" t="e">
        <f>VLOOKUP(A:A,'ITEM LIST'!A:C,3,0)</f>
        <v>#N/A</v>
      </c>
      <c r="D4539" s="6">
        <f t="shared" si="71"/>
        <v>0</v>
      </c>
    </row>
    <row r="4540" spans="3:4" ht="15" x14ac:dyDescent="0.25">
      <c r="C4540" s="8" t="e">
        <f>VLOOKUP(A:A,'ITEM LIST'!A:C,3,0)</f>
        <v>#N/A</v>
      </c>
      <c r="D4540" s="6">
        <f t="shared" si="71"/>
        <v>0</v>
      </c>
    </row>
    <row r="4541" spans="3:4" ht="15" x14ac:dyDescent="0.25">
      <c r="C4541" s="8" t="e">
        <f>VLOOKUP(A:A,'ITEM LIST'!A:C,3,0)</f>
        <v>#N/A</v>
      </c>
      <c r="D4541" s="6">
        <f t="shared" si="71"/>
        <v>0</v>
      </c>
    </row>
    <row r="4542" spans="3:4" ht="15" x14ac:dyDescent="0.25">
      <c r="C4542" s="8" t="e">
        <f>VLOOKUP(A:A,'ITEM LIST'!A:C,3,0)</f>
        <v>#N/A</v>
      </c>
      <c r="D4542" s="6">
        <f t="shared" si="71"/>
        <v>0</v>
      </c>
    </row>
    <row r="4543" spans="3:4" ht="15" x14ac:dyDescent="0.25">
      <c r="C4543" s="8" t="e">
        <f>VLOOKUP(A:A,'ITEM LIST'!A:C,3,0)</f>
        <v>#N/A</v>
      </c>
      <c r="D4543" s="6">
        <f t="shared" si="71"/>
        <v>0</v>
      </c>
    </row>
    <row r="4544" spans="3:4" ht="15" x14ac:dyDescent="0.25">
      <c r="C4544" s="8" t="e">
        <f>VLOOKUP(A:A,'ITEM LIST'!A:C,3,0)</f>
        <v>#N/A</v>
      </c>
      <c r="D4544" s="6">
        <f t="shared" si="71"/>
        <v>0</v>
      </c>
    </row>
    <row r="4545" spans="3:4" ht="15" x14ac:dyDescent="0.25">
      <c r="C4545" s="8" t="e">
        <f>VLOOKUP(A:A,'ITEM LIST'!A:C,3,0)</f>
        <v>#N/A</v>
      </c>
      <c r="D4545" s="6">
        <f t="shared" si="71"/>
        <v>0</v>
      </c>
    </row>
    <row r="4546" spans="3:4" ht="15" x14ac:dyDescent="0.25">
      <c r="C4546" s="8" t="e">
        <f>VLOOKUP(A:A,'ITEM LIST'!A:C,3,0)</f>
        <v>#N/A</v>
      </c>
      <c r="D4546" s="6">
        <f t="shared" si="71"/>
        <v>0</v>
      </c>
    </row>
    <row r="4547" spans="3:4" ht="15" x14ac:dyDescent="0.25">
      <c r="C4547" s="8" t="e">
        <f>VLOOKUP(A:A,'ITEM LIST'!A:C,3,0)</f>
        <v>#N/A</v>
      </c>
      <c r="D4547" s="6">
        <f t="shared" si="71"/>
        <v>0</v>
      </c>
    </row>
    <row r="4548" spans="3:4" ht="15" x14ac:dyDescent="0.25">
      <c r="C4548" s="8" t="e">
        <f>VLOOKUP(A:A,'ITEM LIST'!A:C,3,0)</f>
        <v>#N/A</v>
      </c>
      <c r="D4548" s="6">
        <f t="shared" si="71"/>
        <v>0</v>
      </c>
    </row>
    <row r="4549" spans="3:4" ht="15" x14ac:dyDescent="0.25">
      <c r="C4549" s="8" t="e">
        <f>VLOOKUP(A:A,'ITEM LIST'!A:C,3,0)</f>
        <v>#N/A</v>
      </c>
      <c r="D4549" s="6">
        <f t="shared" si="71"/>
        <v>0</v>
      </c>
    </row>
    <row r="4550" spans="3:4" ht="15" x14ac:dyDescent="0.25">
      <c r="C4550" s="8" t="e">
        <f>VLOOKUP(A:A,'ITEM LIST'!A:C,3,0)</f>
        <v>#N/A</v>
      </c>
      <c r="D4550" s="6">
        <f t="shared" ref="D4550:D4613" si="72">B4550</f>
        <v>0</v>
      </c>
    </row>
    <row r="4551" spans="3:4" ht="15" x14ac:dyDescent="0.25">
      <c r="C4551" s="8" t="e">
        <f>VLOOKUP(A:A,'ITEM LIST'!A:C,3,0)</f>
        <v>#N/A</v>
      </c>
      <c r="D4551" s="6">
        <f t="shared" si="72"/>
        <v>0</v>
      </c>
    </row>
    <row r="4552" spans="3:4" ht="15" x14ac:dyDescent="0.25">
      <c r="C4552" s="8" t="e">
        <f>VLOOKUP(A:A,'ITEM LIST'!A:C,3,0)</f>
        <v>#N/A</v>
      </c>
      <c r="D4552" s="6">
        <f t="shared" si="72"/>
        <v>0</v>
      </c>
    </row>
    <row r="4553" spans="3:4" ht="15" x14ac:dyDescent="0.25">
      <c r="C4553" s="8" t="e">
        <f>VLOOKUP(A:A,'ITEM LIST'!A:C,3,0)</f>
        <v>#N/A</v>
      </c>
      <c r="D4553" s="6">
        <f t="shared" si="72"/>
        <v>0</v>
      </c>
    </row>
    <row r="4554" spans="3:4" ht="15" x14ac:dyDescent="0.25">
      <c r="C4554" s="8" t="e">
        <f>VLOOKUP(A:A,'ITEM LIST'!A:C,3,0)</f>
        <v>#N/A</v>
      </c>
      <c r="D4554" s="6">
        <f t="shared" si="72"/>
        <v>0</v>
      </c>
    </row>
    <row r="4555" spans="3:4" ht="15" x14ac:dyDescent="0.25">
      <c r="C4555" s="8" t="e">
        <f>VLOOKUP(A:A,'ITEM LIST'!A:C,3,0)</f>
        <v>#N/A</v>
      </c>
      <c r="D4555" s="6">
        <f t="shared" si="72"/>
        <v>0</v>
      </c>
    </row>
    <row r="4556" spans="3:4" ht="15" x14ac:dyDescent="0.25">
      <c r="C4556" s="8" t="e">
        <f>VLOOKUP(A:A,'ITEM LIST'!A:C,3,0)</f>
        <v>#N/A</v>
      </c>
      <c r="D4556" s="6">
        <f t="shared" si="72"/>
        <v>0</v>
      </c>
    </row>
    <row r="4557" spans="3:4" ht="15" x14ac:dyDescent="0.25">
      <c r="C4557" s="8" t="e">
        <f>VLOOKUP(A:A,'ITEM LIST'!A:C,3,0)</f>
        <v>#N/A</v>
      </c>
      <c r="D4557" s="6">
        <f t="shared" si="72"/>
        <v>0</v>
      </c>
    </row>
    <row r="4558" spans="3:4" ht="15" x14ac:dyDescent="0.25">
      <c r="C4558" s="8" t="e">
        <f>VLOOKUP(A:A,'ITEM LIST'!A:C,3,0)</f>
        <v>#N/A</v>
      </c>
      <c r="D4558" s="6">
        <f t="shared" si="72"/>
        <v>0</v>
      </c>
    </row>
    <row r="4559" spans="3:4" ht="15" x14ac:dyDescent="0.25">
      <c r="C4559" s="8" t="e">
        <f>VLOOKUP(A:A,'ITEM LIST'!A:C,3,0)</f>
        <v>#N/A</v>
      </c>
      <c r="D4559" s="6">
        <f t="shared" si="72"/>
        <v>0</v>
      </c>
    </row>
    <row r="4560" spans="3:4" ht="15" x14ac:dyDescent="0.25">
      <c r="C4560" s="8" t="e">
        <f>VLOOKUP(A:A,'ITEM LIST'!A:C,3,0)</f>
        <v>#N/A</v>
      </c>
      <c r="D4560" s="6">
        <f t="shared" si="72"/>
        <v>0</v>
      </c>
    </row>
    <row r="4561" spans="3:4" ht="15" x14ac:dyDescent="0.25">
      <c r="C4561" s="8" t="e">
        <f>VLOOKUP(A:A,'ITEM LIST'!A:C,3,0)</f>
        <v>#N/A</v>
      </c>
      <c r="D4561" s="6">
        <f t="shared" si="72"/>
        <v>0</v>
      </c>
    </row>
    <row r="4562" spans="3:4" ht="15" x14ac:dyDescent="0.25">
      <c r="C4562" s="8" t="e">
        <f>VLOOKUP(A:A,'ITEM LIST'!A:C,3,0)</f>
        <v>#N/A</v>
      </c>
      <c r="D4562" s="6">
        <f t="shared" si="72"/>
        <v>0</v>
      </c>
    </row>
    <row r="4563" spans="3:4" ht="15" x14ac:dyDescent="0.25">
      <c r="C4563" s="8" t="e">
        <f>VLOOKUP(A:A,'ITEM LIST'!A:C,3,0)</f>
        <v>#N/A</v>
      </c>
      <c r="D4563" s="6">
        <f t="shared" si="72"/>
        <v>0</v>
      </c>
    </row>
    <row r="4564" spans="3:4" ht="15" x14ac:dyDescent="0.25">
      <c r="C4564" s="8" t="e">
        <f>VLOOKUP(A:A,'ITEM LIST'!A:C,3,0)</f>
        <v>#N/A</v>
      </c>
      <c r="D4564" s="6">
        <f t="shared" si="72"/>
        <v>0</v>
      </c>
    </row>
    <row r="4565" spans="3:4" ht="15" x14ac:dyDescent="0.25">
      <c r="C4565" s="8" t="e">
        <f>VLOOKUP(A:A,'ITEM LIST'!A:C,3,0)</f>
        <v>#N/A</v>
      </c>
      <c r="D4565" s="6">
        <f t="shared" si="72"/>
        <v>0</v>
      </c>
    </row>
    <row r="4566" spans="3:4" ht="15" x14ac:dyDescent="0.25">
      <c r="C4566" s="8" t="e">
        <f>VLOOKUP(A:A,'ITEM LIST'!A:C,3,0)</f>
        <v>#N/A</v>
      </c>
      <c r="D4566" s="6">
        <f t="shared" si="72"/>
        <v>0</v>
      </c>
    </row>
    <row r="4567" spans="3:4" ht="15" x14ac:dyDescent="0.25">
      <c r="C4567" s="8" t="e">
        <f>VLOOKUP(A:A,'ITEM LIST'!A:C,3,0)</f>
        <v>#N/A</v>
      </c>
      <c r="D4567" s="6">
        <f t="shared" si="72"/>
        <v>0</v>
      </c>
    </row>
    <row r="4568" spans="3:4" ht="15" x14ac:dyDescent="0.25">
      <c r="C4568" s="8" t="e">
        <f>VLOOKUP(A:A,'ITEM LIST'!A:C,3,0)</f>
        <v>#N/A</v>
      </c>
      <c r="D4568" s="6">
        <f t="shared" si="72"/>
        <v>0</v>
      </c>
    </row>
    <row r="4569" spans="3:4" ht="15" x14ac:dyDescent="0.25">
      <c r="C4569" s="8" t="e">
        <f>VLOOKUP(A:A,'ITEM LIST'!A:C,3,0)</f>
        <v>#N/A</v>
      </c>
      <c r="D4569" s="6">
        <f t="shared" si="72"/>
        <v>0</v>
      </c>
    </row>
    <row r="4570" spans="3:4" ht="15" x14ac:dyDescent="0.25">
      <c r="C4570" s="8" t="e">
        <f>VLOOKUP(A:A,'ITEM LIST'!A:C,3,0)</f>
        <v>#N/A</v>
      </c>
      <c r="D4570" s="6">
        <f t="shared" si="72"/>
        <v>0</v>
      </c>
    </row>
    <row r="4571" spans="3:4" ht="15" x14ac:dyDescent="0.25">
      <c r="C4571" s="8" t="e">
        <f>VLOOKUP(A:A,'ITEM LIST'!A:C,3,0)</f>
        <v>#N/A</v>
      </c>
      <c r="D4571" s="6">
        <f t="shared" si="72"/>
        <v>0</v>
      </c>
    </row>
    <row r="4572" spans="3:4" ht="15" x14ac:dyDescent="0.25">
      <c r="C4572" s="8" t="e">
        <f>VLOOKUP(A:A,'ITEM LIST'!A:C,3,0)</f>
        <v>#N/A</v>
      </c>
      <c r="D4572" s="6">
        <f t="shared" si="72"/>
        <v>0</v>
      </c>
    </row>
    <row r="4573" spans="3:4" ht="15" x14ac:dyDescent="0.25">
      <c r="C4573" s="8" t="e">
        <f>VLOOKUP(A:A,'ITEM LIST'!A:C,3,0)</f>
        <v>#N/A</v>
      </c>
      <c r="D4573" s="6">
        <f t="shared" si="72"/>
        <v>0</v>
      </c>
    </row>
    <row r="4574" spans="3:4" ht="15" x14ac:dyDescent="0.25">
      <c r="C4574" s="8" t="e">
        <f>VLOOKUP(A:A,'ITEM LIST'!A:C,3,0)</f>
        <v>#N/A</v>
      </c>
      <c r="D4574" s="6">
        <f t="shared" si="72"/>
        <v>0</v>
      </c>
    </row>
    <row r="4575" spans="3:4" ht="15" x14ac:dyDescent="0.25">
      <c r="C4575" s="8" t="e">
        <f>VLOOKUP(A:A,'ITEM LIST'!A:C,3,0)</f>
        <v>#N/A</v>
      </c>
      <c r="D4575" s="6">
        <f t="shared" si="72"/>
        <v>0</v>
      </c>
    </row>
    <row r="4576" spans="3:4" ht="15" x14ac:dyDescent="0.25">
      <c r="C4576" s="8" t="e">
        <f>VLOOKUP(A:A,'ITEM LIST'!A:C,3,0)</f>
        <v>#N/A</v>
      </c>
      <c r="D4576" s="6">
        <f t="shared" si="72"/>
        <v>0</v>
      </c>
    </row>
    <row r="4577" spans="3:4" ht="15" x14ac:dyDescent="0.25">
      <c r="C4577" s="8" t="e">
        <f>VLOOKUP(A:A,'ITEM LIST'!A:C,3,0)</f>
        <v>#N/A</v>
      </c>
      <c r="D4577" s="6">
        <f t="shared" si="72"/>
        <v>0</v>
      </c>
    </row>
    <row r="4578" spans="3:4" ht="15" x14ac:dyDescent="0.25">
      <c r="C4578" s="8" t="e">
        <f>VLOOKUP(A:A,'ITEM LIST'!A:C,3,0)</f>
        <v>#N/A</v>
      </c>
      <c r="D4578" s="6">
        <f t="shared" si="72"/>
        <v>0</v>
      </c>
    </row>
    <row r="4579" spans="3:4" ht="15" x14ac:dyDescent="0.25">
      <c r="C4579" s="8" t="e">
        <f>VLOOKUP(A:A,'ITEM LIST'!A:C,3,0)</f>
        <v>#N/A</v>
      </c>
      <c r="D4579" s="6">
        <f t="shared" si="72"/>
        <v>0</v>
      </c>
    </row>
    <row r="4580" spans="3:4" ht="15" x14ac:dyDescent="0.25">
      <c r="C4580" s="8" t="e">
        <f>VLOOKUP(A:A,'ITEM LIST'!A:C,3,0)</f>
        <v>#N/A</v>
      </c>
      <c r="D4580" s="6">
        <f t="shared" si="72"/>
        <v>0</v>
      </c>
    </row>
    <row r="4581" spans="3:4" ht="15" x14ac:dyDescent="0.25">
      <c r="C4581" s="8" t="e">
        <f>VLOOKUP(A:A,'ITEM LIST'!A:C,3,0)</f>
        <v>#N/A</v>
      </c>
      <c r="D4581" s="6">
        <f t="shared" si="72"/>
        <v>0</v>
      </c>
    </row>
    <row r="4582" spans="3:4" ht="15" x14ac:dyDescent="0.25">
      <c r="C4582" s="8" t="e">
        <f>VLOOKUP(A:A,'ITEM LIST'!A:C,3,0)</f>
        <v>#N/A</v>
      </c>
      <c r="D4582" s="6">
        <f t="shared" si="72"/>
        <v>0</v>
      </c>
    </row>
    <row r="4583" spans="3:4" ht="15" x14ac:dyDescent="0.25">
      <c r="C4583" s="8" t="e">
        <f>VLOOKUP(A:A,'ITEM LIST'!A:C,3,0)</f>
        <v>#N/A</v>
      </c>
      <c r="D4583" s="6">
        <f t="shared" si="72"/>
        <v>0</v>
      </c>
    </row>
    <row r="4584" spans="3:4" ht="15" x14ac:dyDescent="0.25">
      <c r="C4584" s="8" t="e">
        <f>VLOOKUP(A:A,'ITEM LIST'!A:C,3,0)</f>
        <v>#N/A</v>
      </c>
      <c r="D4584" s="6">
        <f t="shared" si="72"/>
        <v>0</v>
      </c>
    </row>
    <row r="4585" spans="3:4" ht="15" x14ac:dyDescent="0.25">
      <c r="C4585" s="8" t="e">
        <f>VLOOKUP(A:A,'ITEM LIST'!A:C,3,0)</f>
        <v>#N/A</v>
      </c>
      <c r="D4585" s="6">
        <f t="shared" si="72"/>
        <v>0</v>
      </c>
    </row>
    <row r="4586" spans="3:4" ht="15" x14ac:dyDescent="0.25">
      <c r="C4586" s="8" t="e">
        <f>VLOOKUP(A:A,'ITEM LIST'!A:C,3,0)</f>
        <v>#N/A</v>
      </c>
      <c r="D4586" s="6">
        <f t="shared" si="72"/>
        <v>0</v>
      </c>
    </row>
    <row r="4587" spans="3:4" ht="15" x14ac:dyDescent="0.25">
      <c r="C4587" s="8" t="e">
        <f>VLOOKUP(A:A,'ITEM LIST'!A:C,3,0)</f>
        <v>#N/A</v>
      </c>
      <c r="D4587" s="6">
        <f t="shared" si="72"/>
        <v>0</v>
      </c>
    </row>
    <row r="4588" spans="3:4" ht="15" x14ac:dyDescent="0.25">
      <c r="C4588" s="8" t="e">
        <f>VLOOKUP(A:A,'ITEM LIST'!A:C,3,0)</f>
        <v>#N/A</v>
      </c>
      <c r="D4588" s="6">
        <f t="shared" si="72"/>
        <v>0</v>
      </c>
    </row>
    <row r="4589" spans="3:4" ht="15" x14ac:dyDescent="0.25">
      <c r="C4589" s="8" t="e">
        <f>VLOOKUP(A:A,'ITEM LIST'!A:C,3,0)</f>
        <v>#N/A</v>
      </c>
      <c r="D4589" s="6">
        <f t="shared" si="72"/>
        <v>0</v>
      </c>
    </row>
    <row r="4590" spans="3:4" ht="15" x14ac:dyDescent="0.25">
      <c r="C4590" s="8" t="e">
        <f>VLOOKUP(A:A,'ITEM LIST'!A:C,3,0)</f>
        <v>#N/A</v>
      </c>
      <c r="D4590" s="6">
        <f t="shared" si="72"/>
        <v>0</v>
      </c>
    </row>
    <row r="4591" spans="3:4" ht="15" x14ac:dyDescent="0.25">
      <c r="C4591" s="8" t="e">
        <f>VLOOKUP(A:A,'ITEM LIST'!A:C,3,0)</f>
        <v>#N/A</v>
      </c>
      <c r="D4591" s="6">
        <f t="shared" si="72"/>
        <v>0</v>
      </c>
    </row>
    <row r="4592" spans="3:4" ht="15" x14ac:dyDescent="0.25">
      <c r="C4592" s="8" t="e">
        <f>VLOOKUP(A:A,'ITEM LIST'!A:C,3,0)</f>
        <v>#N/A</v>
      </c>
      <c r="D4592" s="6">
        <f t="shared" si="72"/>
        <v>0</v>
      </c>
    </row>
    <row r="4593" spans="3:4" ht="15" x14ac:dyDescent="0.25">
      <c r="C4593" s="8" t="e">
        <f>VLOOKUP(A:A,'ITEM LIST'!A:C,3,0)</f>
        <v>#N/A</v>
      </c>
      <c r="D4593" s="6">
        <f t="shared" si="72"/>
        <v>0</v>
      </c>
    </row>
    <row r="4594" spans="3:4" ht="15" x14ac:dyDescent="0.25">
      <c r="C4594" s="8" t="e">
        <f>VLOOKUP(A:A,'ITEM LIST'!A:C,3,0)</f>
        <v>#N/A</v>
      </c>
      <c r="D4594" s="6">
        <f t="shared" si="72"/>
        <v>0</v>
      </c>
    </row>
    <row r="4595" spans="3:4" ht="15" x14ac:dyDescent="0.25">
      <c r="C4595" s="8" t="e">
        <f>VLOOKUP(A:A,'ITEM LIST'!A:C,3,0)</f>
        <v>#N/A</v>
      </c>
      <c r="D4595" s="6">
        <f t="shared" si="72"/>
        <v>0</v>
      </c>
    </row>
    <row r="4596" spans="3:4" ht="15" x14ac:dyDescent="0.25">
      <c r="C4596" s="8" t="e">
        <f>VLOOKUP(A:A,'ITEM LIST'!A:C,3,0)</f>
        <v>#N/A</v>
      </c>
      <c r="D4596" s="6">
        <f t="shared" si="72"/>
        <v>0</v>
      </c>
    </row>
    <row r="4597" spans="3:4" ht="15" x14ac:dyDescent="0.25">
      <c r="C4597" s="8" t="e">
        <f>VLOOKUP(A:A,'ITEM LIST'!A:C,3,0)</f>
        <v>#N/A</v>
      </c>
      <c r="D4597" s="6">
        <f t="shared" si="72"/>
        <v>0</v>
      </c>
    </row>
    <row r="4598" spans="3:4" ht="15" x14ac:dyDescent="0.25">
      <c r="C4598" s="8" t="e">
        <f>VLOOKUP(A:A,'ITEM LIST'!A:C,3,0)</f>
        <v>#N/A</v>
      </c>
      <c r="D4598" s="6">
        <f t="shared" si="72"/>
        <v>0</v>
      </c>
    </row>
    <row r="4599" spans="3:4" ht="15" x14ac:dyDescent="0.25">
      <c r="C4599" s="8" t="e">
        <f>VLOOKUP(A:A,'ITEM LIST'!A:C,3,0)</f>
        <v>#N/A</v>
      </c>
      <c r="D4599" s="6">
        <f t="shared" si="72"/>
        <v>0</v>
      </c>
    </row>
    <row r="4600" spans="3:4" ht="15" x14ac:dyDescent="0.25">
      <c r="C4600" s="8" t="e">
        <f>VLOOKUP(A:A,'ITEM LIST'!A:C,3,0)</f>
        <v>#N/A</v>
      </c>
      <c r="D4600" s="6">
        <f t="shared" si="72"/>
        <v>0</v>
      </c>
    </row>
    <row r="4601" spans="3:4" ht="15" x14ac:dyDescent="0.25">
      <c r="C4601" s="8" t="e">
        <f>VLOOKUP(A:A,'ITEM LIST'!A:C,3,0)</f>
        <v>#N/A</v>
      </c>
      <c r="D4601" s="6">
        <f t="shared" si="72"/>
        <v>0</v>
      </c>
    </row>
    <row r="4602" spans="3:4" ht="15" x14ac:dyDescent="0.25">
      <c r="C4602" s="8" t="e">
        <f>VLOOKUP(A:A,'ITEM LIST'!A:C,3,0)</f>
        <v>#N/A</v>
      </c>
      <c r="D4602" s="6">
        <f t="shared" si="72"/>
        <v>0</v>
      </c>
    </row>
    <row r="4603" spans="3:4" ht="15" x14ac:dyDescent="0.25">
      <c r="C4603" s="8" t="e">
        <f>VLOOKUP(A:A,'ITEM LIST'!A:C,3,0)</f>
        <v>#N/A</v>
      </c>
      <c r="D4603" s="6">
        <f t="shared" si="72"/>
        <v>0</v>
      </c>
    </row>
    <row r="4604" spans="3:4" ht="15" x14ac:dyDescent="0.25">
      <c r="C4604" s="8" t="e">
        <f>VLOOKUP(A:A,'ITEM LIST'!A:C,3,0)</f>
        <v>#N/A</v>
      </c>
      <c r="D4604" s="6">
        <f t="shared" si="72"/>
        <v>0</v>
      </c>
    </row>
    <row r="4605" spans="3:4" ht="15" x14ac:dyDescent="0.25">
      <c r="C4605" s="8" t="e">
        <f>VLOOKUP(A:A,'ITEM LIST'!A:C,3,0)</f>
        <v>#N/A</v>
      </c>
      <c r="D4605" s="6">
        <f t="shared" si="72"/>
        <v>0</v>
      </c>
    </row>
    <row r="4606" spans="3:4" ht="15" x14ac:dyDescent="0.25">
      <c r="C4606" s="8" t="e">
        <f>VLOOKUP(A:A,'ITEM LIST'!A:C,3,0)</f>
        <v>#N/A</v>
      </c>
      <c r="D4606" s="6">
        <f t="shared" si="72"/>
        <v>0</v>
      </c>
    </row>
    <row r="4607" spans="3:4" ht="15" x14ac:dyDescent="0.25">
      <c r="C4607" s="8" t="e">
        <f>VLOOKUP(A:A,'ITEM LIST'!A:C,3,0)</f>
        <v>#N/A</v>
      </c>
      <c r="D4607" s="6">
        <f t="shared" si="72"/>
        <v>0</v>
      </c>
    </row>
    <row r="4608" spans="3:4" ht="15" x14ac:dyDescent="0.25">
      <c r="C4608" s="8" t="e">
        <f>VLOOKUP(A:A,'ITEM LIST'!A:C,3,0)</f>
        <v>#N/A</v>
      </c>
      <c r="D4608" s="6">
        <f t="shared" si="72"/>
        <v>0</v>
      </c>
    </row>
    <row r="4609" spans="3:4" ht="15" x14ac:dyDescent="0.25">
      <c r="C4609" s="8" t="e">
        <f>VLOOKUP(A:A,'ITEM LIST'!A:C,3,0)</f>
        <v>#N/A</v>
      </c>
      <c r="D4609" s="6">
        <f t="shared" si="72"/>
        <v>0</v>
      </c>
    </row>
    <row r="4610" spans="3:4" ht="15" x14ac:dyDescent="0.25">
      <c r="C4610" s="8" t="e">
        <f>VLOOKUP(A:A,'ITEM LIST'!A:C,3,0)</f>
        <v>#N/A</v>
      </c>
      <c r="D4610" s="6">
        <f t="shared" si="72"/>
        <v>0</v>
      </c>
    </row>
    <row r="4611" spans="3:4" ht="15" x14ac:dyDescent="0.25">
      <c r="C4611" s="8" t="e">
        <f>VLOOKUP(A:A,'ITEM LIST'!A:C,3,0)</f>
        <v>#N/A</v>
      </c>
      <c r="D4611" s="6">
        <f t="shared" si="72"/>
        <v>0</v>
      </c>
    </row>
    <row r="4612" spans="3:4" ht="15" x14ac:dyDescent="0.25">
      <c r="C4612" s="8" t="e">
        <f>VLOOKUP(A:A,'ITEM LIST'!A:C,3,0)</f>
        <v>#N/A</v>
      </c>
      <c r="D4612" s="6">
        <f t="shared" si="72"/>
        <v>0</v>
      </c>
    </row>
    <row r="4613" spans="3:4" ht="15" x14ac:dyDescent="0.25">
      <c r="C4613" s="8" t="e">
        <f>VLOOKUP(A:A,'ITEM LIST'!A:C,3,0)</f>
        <v>#N/A</v>
      </c>
      <c r="D4613" s="6">
        <f t="shared" si="72"/>
        <v>0</v>
      </c>
    </row>
    <row r="4614" spans="3:4" ht="15" x14ac:dyDescent="0.25">
      <c r="C4614" s="8" t="e">
        <f>VLOOKUP(A:A,'ITEM LIST'!A:C,3,0)</f>
        <v>#N/A</v>
      </c>
      <c r="D4614" s="6">
        <f t="shared" ref="D4614:D4677" si="73">B4614</f>
        <v>0</v>
      </c>
    </row>
    <row r="4615" spans="3:4" ht="15" x14ac:dyDescent="0.25">
      <c r="C4615" s="8" t="e">
        <f>VLOOKUP(A:A,'ITEM LIST'!A:C,3,0)</f>
        <v>#N/A</v>
      </c>
      <c r="D4615" s="6">
        <f t="shared" si="73"/>
        <v>0</v>
      </c>
    </row>
    <row r="4616" spans="3:4" ht="15" x14ac:dyDescent="0.25">
      <c r="C4616" s="8" t="e">
        <f>VLOOKUP(A:A,'ITEM LIST'!A:C,3,0)</f>
        <v>#N/A</v>
      </c>
      <c r="D4616" s="6">
        <f t="shared" si="73"/>
        <v>0</v>
      </c>
    </row>
    <row r="4617" spans="3:4" ht="15" x14ac:dyDescent="0.25">
      <c r="C4617" s="8" t="e">
        <f>VLOOKUP(A:A,'ITEM LIST'!A:C,3,0)</f>
        <v>#N/A</v>
      </c>
      <c r="D4617" s="6">
        <f t="shared" si="73"/>
        <v>0</v>
      </c>
    </row>
    <row r="4618" spans="3:4" ht="15" x14ac:dyDescent="0.25">
      <c r="C4618" s="8" t="e">
        <f>VLOOKUP(A:A,'ITEM LIST'!A:C,3,0)</f>
        <v>#N/A</v>
      </c>
      <c r="D4618" s="6">
        <f t="shared" si="73"/>
        <v>0</v>
      </c>
    </row>
    <row r="4619" spans="3:4" ht="15" x14ac:dyDescent="0.25">
      <c r="C4619" s="8" t="e">
        <f>VLOOKUP(A:A,'ITEM LIST'!A:C,3,0)</f>
        <v>#N/A</v>
      </c>
      <c r="D4619" s="6">
        <f t="shared" si="73"/>
        <v>0</v>
      </c>
    </row>
    <row r="4620" spans="3:4" ht="15" x14ac:dyDescent="0.25">
      <c r="C4620" s="8" t="e">
        <f>VLOOKUP(A:A,'ITEM LIST'!A:C,3,0)</f>
        <v>#N/A</v>
      </c>
      <c r="D4620" s="6">
        <f t="shared" si="73"/>
        <v>0</v>
      </c>
    </row>
    <row r="4621" spans="3:4" ht="15" x14ac:dyDescent="0.25">
      <c r="C4621" s="8" t="e">
        <f>VLOOKUP(A:A,'ITEM LIST'!A:C,3,0)</f>
        <v>#N/A</v>
      </c>
      <c r="D4621" s="6">
        <f t="shared" si="73"/>
        <v>0</v>
      </c>
    </row>
    <row r="4622" spans="3:4" ht="15" x14ac:dyDescent="0.25">
      <c r="C4622" s="8" t="e">
        <f>VLOOKUP(A:A,'ITEM LIST'!A:C,3,0)</f>
        <v>#N/A</v>
      </c>
      <c r="D4622" s="6">
        <f t="shared" si="73"/>
        <v>0</v>
      </c>
    </row>
    <row r="4623" spans="3:4" ht="15" x14ac:dyDescent="0.25">
      <c r="C4623" s="8" t="e">
        <f>VLOOKUP(A:A,'ITEM LIST'!A:C,3,0)</f>
        <v>#N/A</v>
      </c>
      <c r="D4623" s="6">
        <f t="shared" si="73"/>
        <v>0</v>
      </c>
    </row>
    <row r="4624" spans="3:4" ht="15" x14ac:dyDescent="0.25">
      <c r="C4624" s="8" t="e">
        <f>VLOOKUP(A:A,'ITEM LIST'!A:C,3,0)</f>
        <v>#N/A</v>
      </c>
      <c r="D4624" s="6">
        <f t="shared" si="73"/>
        <v>0</v>
      </c>
    </row>
    <row r="4625" spans="3:4" ht="15" x14ac:dyDescent="0.25">
      <c r="C4625" s="8" t="e">
        <f>VLOOKUP(A:A,'ITEM LIST'!A:C,3,0)</f>
        <v>#N/A</v>
      </c>
      <c r="D4625" s="6">
        <f t="shared" si="73"/>
        <v>0</v>
      </c>
    </row>
    <row r="4626" spans="3:4" ht="15" x14ac:dyDescent="0.25">
      <c r="C4626" s="8" t="e">
        <f>VLOOKUP(A:A,'ITEM LIST'!A:C,3,0)</f>
        <v>#N/A</v>
      </c>
      <c r="D4626" s="6">
        <f t="shared" si="73"/>
        <v>0</v>
      </c>
    </row>
    <row r="4627" spans="3:4" ht="15" x14ac:dyDescent="0.25">
      <c r="C4627" s="8" t="e">
        <f>VLOOKUP(A:A,'ITEM LIST'!A:C,3,0)</f>
        <v>#N/A</v>
      </c>
      <c r="D4627" s="6">
        <f t="shared" si="73"/>
        <v>0</v>
      </c>
    </row>
    <row r="4628" spans="3:4" ht="15" x14ac:dyDescent="0.25">
      <c r="C4628" s="8" t="e">
        <f>VLOOKUP(A:A,'ITEM LIST'!A:C,3,0)</f>
        <v>#N/A</v>
      </c>
      <c r="D4628" s="6">
        <f t="shared" si="73"/>
        <v>0</v>
      </c>
    </row>
    <row r="4629" spans="3:4" ht="15" x14ac:dyDescent="0.25">
      <c r="C4629" s="8" t="e">
        <f>VLOOKUP(A:A,'ITEM LIST'!A:C,3,0)</f>
        <v>#N/A</v>
      </c>
      <c r="D4629" s="6">
        <f t="shared" si="73"/>
        <v>0</v>
      </c>
    </row>
    <row r="4630" spans="3:4" ht="15" x14ac:dyDescent="0.25">
      <c r="C4630" s="8" t="e">
        <f>VLOOKUP(A:A,'ITEM LIST'!A:C,3,0)</f>
        <v>#N/A</v>
      </c>
      <c r="D4630" s="6">
        <f t="shared" si="73"/>
        <v>0</v>
      </c>
    </row>
    <row r="4631" spans="3:4" ht="15" x14ac:dyDescent="0.25">
      <c r="C4631" s="8" t="e">
        <f>VLOOKUP(A:A,'ITEM LIST'!A:C,3,0)</f>
        <v>#N/A</v>
      </c>
      <c r="D4631" s="6">
        <f t="shared" si="73"/>
        <v>0</v>
      </c>
    </row>
    <row r="4632" spans="3:4" ht="15" x14ac:dyDescent="0.25">
      <c r="C4632" s="8" t="e">
        <f>VLOOKUP(A:A,'ITEM LIST'!A:C,3,0)</f>
        <v>#N/A</v>
      </c>
      <c r="D4632" s="6">
        <f t="shared" si="73"/>
        <v>0</v>
      </c>
    </row>
    <row r="4633" spans="3:4" ht="15" x14ac:dyDescent="0.25">
      <c r="C4633" s="8" t="e">
        <f>VLOOKUP(A:A,'ITEM LIST'!A:C,3,0)</f>
        <v>#N/A</v>
      </c>
      <c r="D4633" s="6">
        <f t="shared" si="73"/>
        <v>0</v>
      </c>
    </row>
    <row r="4634" spans="3:4" ht="15" x14ac:dyDescent="0.25">
      <c r="C4634" s="8" t="e">
        <f>VLOOKUP(A:A,'ITEM LIST'!A:C,3,0)</f>
        <v>#N/A</v>
      </c>
      <c r="D4634" s="6">
        <f t="shared" si="73"/>
        <v>0</v>
      </c>
    </row>
    <row r="4635" spans="3:4" ht="15" x14ac:dyDescent="0.25">
      <c r="C4635" s="8" t="e">
        <f>VLOOKUP(A:A,'ITEM LIST'!A:C,3,0)</f>
        <v>#N/A</v>
      </c>
      <c r="D4635" s="6">
        <f t="shared" si="73"/>
        <v>0</v>
      </c>
    </row>
    <row r="4636" spans="3:4" ht="15" x14ac:dyDescent="0.25">
      <c r="C4636" s="8" t="e">
        <f>VLOOKUP(A:A,'ITEM LIST'!A:C,3,0)</f>
        <v>#N/A</v>
      </c>
      <c r="D4636" s="6">
        <f t="shared" si="73"/>
        <v>0</v>
      </c>
    </row>
    <row r="4637" spans="3:4" ht="15" x14ac:dyDescent="0.25">
      <c r="C4637" s="8" t="e">
        <f>VLOOKUP(A:A,'ITEM LIST'!A:C,3,0)</f>
        <v>#N/A</v>
      </c>
      <c r="D4637" s="6">
        <f t="shared" si="73"/>
        <v>0</v>
      </c>
    </row>
    <row r="4638" spans="3:4" ht="15" x14ac:dyDescent="0.25">
      <c r="C4638" s="8" t="e">
        <f>VLOOKUP(A:A,'ITEM LIST'!A:C,3,0)</f>
        <v>#N/A</v>
      </c>
      <c r="D4638" s="6">
        <f t="shared" si="73"/>
        <v>0</v>
      </c>
    </row>
    <row r="4639" spans="3:4" ht="15" x14ac:dyDescent="0.25">
      <c r="C4639" s="8" t="e">
        <f>VLOOKUP(A:A,'ITEM LIST'!A:C,3,0)</f>
        <v>#N/A</v>
      </c>
      <c r="D4639" s="6">
        <f t="shared" si="73"/>
        <v>0</v>
      </c>
    </row>
    <row r="4640" spans="3:4" ht="15" x14ac:dyDescent="0.25">
      <c r="C4640" s="8" t="e">
        <f>VLOOKUP(A:A,'ITEM LIST'!A:C,3,0)</f>
        <v>#N/A</v>
      </c>
      <c r="D4640" s="6">
        <f t="shared" si="73"/>
        <v>0</v>
      </c>
    </row>
    <row r="4641" spans="3:4" ht="15" x14ac:dyDescent="0.25">
      <c r="C4641" s="8" t="e">
        <f>VLOOKUP(A:A,'ITEM LIST'!A:C,3,0)</f>
        <v>#N/A</v>
      </c>
      <c r="D4641" s="6">
        <f t="shared" si="73"/>
        <v>0</v>
      </c>
    </row>
    <row r="4642" spans="3:4" ht="15" x14ac:dyDescent="0.25">
      <c r="C4642" s="8" t="e">
        <f>VLOOKUP(A:A,'ITEM LIST'!A:C,3,0)</f>
        <v>#N/A</v>
      </c>
      <c r="D4642" s="6">
        <f t="shared" si="73"/>
        <v>0</v>
      </c>
    </row>
    <row r="4643" spans="3:4" ht="15" x14ac:dyDescent="0.25">
      <c r="C4643" s="8" t="e">
        <f>VLOOKUP(A:A,'ITEM LIST'!A:C,3,0)</f>
        <v>#N/A</v>
      </c>
      <c r="D4643" s="6">
        <f t="shared" si="73"/>
        <v>0</v>
      </c>
    </row>
    <row r="4644" spans="3:4" ht="15" x14ac:dyDescent="0.25">
      <c r="C4644" s="8" t="e">
        <f>VLOOKUP(A:A,'ITEM LIST'!A:C,3,0)</f>
        <v>#N/A</v>
      </c>
      <c r="D4644" s="6">
        <f t="shared" si="73"/>
        <v>0</v>
      </c>
    </row>
    <row r="4645" spans="3:4" ht="15" x14ac:dyDescent="0.25">
      <c r="C4645" s="8" t="e">
        <f>VLOOKUP(A:A,'ITEM LIST'!A:C,3,0)</f>
        <v>#N/A</v>
      </c>
      <c r="D4645" s="6">
        <f t="shared" si="73"/>
        <v>0</v>
      </c>
    </row>
    <row r="4646" spans="3:4" ht="15" x14ac:dyDescent="0.25">
      <c r="C4646" s="8" t="e">
        <f>VLOOKUP(A:A,'ITEM LIST'!A:C,3,0)</f>
        <v>#N/A</v>
      </c>
      <c r="D4646" s="6">
        <f t="shared" si="73"/>
        <v>0</v>
      </c>
    </row>
    <row r="4647" spans="3:4" ht="15" x14ac:dyDescent="0.25">
      <c r="C4647" s="8" t="e">
        <f>VLOOKUP(A:A,'ITEM LIST'!A:C,3,0)</f>
        <v>#N/A</v>
      </c>
      <c r="D4647" s="6">
        <f t="shared" si="73"/>
        <v>0</v>
      </c>
    </row>
    <row r="4648" spans="3:4" ht="15" x14ac:dyDescent="0.25">
      <c r="C4648" s="8" t="e">
        <f>VLOOKUP(A:A,'ITEM LIST'!A:C,3,0)</f>
        <v>#N/A</v>
      </c>
      <c r="D4648" s="6">
        <f t="shared" si="73"/>
        <v>0</v>
      </c>
    </row>
    <row r="4649" spans="3:4" ht="15" x14ac:dyDescent="0.25">
      <c r="C4649" s="8" t="e">
        <f>VLOOKUP(A:A,'ITEM LIST'!A:C,3,0)</f>
        <v>#N/A</v>
      </c>
      <c r="D4649" s="6">
        <f t="shared" si="73"/>
        <v>0</v>
      </c>
    </row>
    <row r="4650" spans="3:4" ht="15" x14ac:dyDescent="0.25">
      <c r="C4650" s="8" t="e">
        <f>VLOOKUP(A:A,'ITEM LIST'!A:C,3,0)</f>
        <v>#N/A</v>
      </c>
      <c r="D4650" s="6">
        <f t="shared" si="73"/>
        <v>0</v>
      </c>
    </row>
    <row r="4651" spans="3:4" ht="15" x14ac:dyDescent="0.25">
      <c r="C4651" s="8" t="e">
        <f>VLOOKUP(A:A,'ITEM LIST'!A:C,3,0)</f>
        <v>#N/A</v>
      </c>
      <c r="D4651" s="6">
        <f t="shared" si="73"/>
        <v>0</v>
      </c>
    </row>
    <row r="4652" spans="3:4" ht="15" x14ac:dyDescent="0.25">
      <c r="C4652" s="8" t="e">
        <f>VLOOKUP(A:A,'ITEM LIST'!A:C,3,0)</f>
        <v>#N/A</v>
      </c>
      <c r="D4652" s="6">
        <f t="shared" si="73"/>
        <v>0</v>
      </c>
    </row>
    <row r="4653" spans="3:4" ht="15" x14ac:dyDescent="0.25">
      <c r="C4653" s="8" t="e">
        <f>VLOOKUP(A:A,'ITEM LIST'!A:C,3,0)</f>
        <v>#N/A</v>
      </c>
      <c r="D4653" s="6">
        <f t="shared" si="73"/>
        <v>0</v>
      </c>
    </row>
    <row r="4654" spans="3:4" ht="15" x14ac:dyDescent="0.25">
      <c r="C4654" s="8" t="e">
        <f>VLOOKUP(A:A,'ITEM LIST'!A:C,3,0)</f>
        <v>#N/A</v>
      </c>
      <c r="D4654" s="6">
        <f t="shared" si="73"/>
        <v>0</v>
      </c>
    </row>
    <row r="4655" spans="3:4" ht="15" x14ac:dyDescent="0.25">
      <c r="C4655" s="8" t="e">
        <f>VLOOKUP(A:A,'ITEM LIST'!A:C,3,0)</f>
        <v>#N/A</v>
      </c>
      <c r="D4655" s="6">
        <f t="shared" si="73"/>
        <v>0</v>
      </c>
    </row>
    <row r="4656" spans="3:4" ht="15" x14ac:dyDescent="0.25">
      <c r="C4656" s="8" t="e">
        <f>VLOOKUP(A:A,'ITEM LIST'!A:C,3,0)</f>
        <v>#N/A</v>
      </c>
      <c r="D4656" s="6">
        <f t="shared" si="73"/>
        <v>0</v>
      </c>
    </row>
    <row r="4657" spans="3:4" ht="15" x14ac:dyDescent="0.25">
      <c r="C4657" s="8" t="e">
        <f>VLOOKUP(A:A,'ITEM LIST'!A:C,3,0)</f>
        <v>#N/A</v>
      </c>
      <c r="D4657" s="6">
        <f t="shared" si="73"/>
        <v>0</v>
      </c>
    </row>
    <row r="4658" spans="3:4" ht="15" x14ac:dyDescent="0.25">
      <c r="C4658" s="8" t="e">
        <f>VLOOKUP(A:A,'ITEM LIST'!A:C,3,0)</f>
        <v>#N/A</v>
      </c>
      <c r="D4658" s="6">
        <f t="shared" si="73"/>
        <v>0</v>
      </c>
    </row>
    <row r="4659" spans="3:4" ht="15" x14ac:dyDescent="0.25">
      <c r="C4659" s="8" t="e">
        <f>VLOOKUP(A:A,'ITEM LIST'!A:C,3,0)</f>
        <v>#N/A</v>
      </c>
      <c r="D4659" s="6">
        <f t="shared" si="73"/>
        <v>0</v>
      </c>
    </row>
    <row r="4660" spans="3:4" ht="15" x14ac:dyDescent="0.25">
      <c r="C4660" s="8" t="e">
        <f>VLOOKUP(A:A,'ITEM LIST'!A:C,3,0)</f>
        <v>#N/A</v>
      </c>
      <c r="D4660" s="6">
        <f t="shared" si="73"/>
        <v>0</v>
      </c>
    </row>
    <row r="4661" spans="3:4" ht="15" x14ac:dyDescent="0.25">
      <c r="C4661" s="8" t="e">
        <f>VLOOKUP(A:A,'ITEM LIST'!A:C,3,0)</f>
        <v>#N/A</v>
      </c>
      <c r="D4661" s="6">
        <f t="shared" si="73"/>
        <v>0</v>
      </c>
    </row>
    <row r="4662" spans="3:4" ht="15" x14ac:dyDescent="0.25">
      <c r="C4662" s="8" t="e">
        <f>VLOOKUP(A:A,'ITEM LIST'!A:C,3,0)</f>
        <v>#N/A</v>
      </c>
      <c r="D4662" s="6">
        <f t="shared" si="73"/>
        <v>0</v>
      </c>
    </row>
    <row r="4663" spans="3:4" ht="15" x14ac:dyDescent="0.25">
      <c r="C4663" s="8" t="e">
        <f>VLOOKUP(A:A,'ITEM LIST'!A:C,3,0)</f>
        <v>#N/A</v>
      </c>
      <c r="D4663" s="6">
        <f t="shared" si="73"/>
        <v>0</v>
      </c>
    </row>
    <row r="4664" spans="3:4" ht="15" x14ac:dyDescent="0.25">
      <c r="C4664" s="8" t="e">
        <f>VLOOKUP(A:A,'ITEM LIST'!A:C,3,0)</f>
        <v>#N/A</v>
      </c>
      <c r="D4664" s="6">
        <f t="shared" si="73"/>
        <v>0</v>
      </c>
    </row>
    <row r="4665" spans="3:4" ht="15" x14ac:dyDescent="0.25">
      <c r="C4665" s="8" t="e">
        <f>VLOOKUP(A:A,'ITEM LIST'!A:C,3,0)</f>
        <v>#N/A</v>
      </c>
      <c r="D4665" s="6">
        <f t="shared" si="73"/>
        <v>0</v>
      </c>
    </row>
    <row r="4666" spans="3:4" ht="15" x14ac:dyDescent="0.25">
      <c r="C4666" s="8" t="e">
        <f>VLOOKUP(A:A,'ITEM LIST'!A:C,3,0)</f>
        <v>#N/A</v>
      </c>
      <c r="D4666" s="6">
        <f t="shared" si="73"/>
        <v>0</v>
      </c>
    </row>
    <row r="4667" spans="3:4" ht="15" x14ac:dyDescent="0.25">
      <c r="C4667" s="8" t="e">
        <f>VLOOKUP(A:A,'ITEM LIST'!A:C,3,0)</f>
        <v>#N/A</v>
      </c>
      <c r="D4667" s="6">
        <f t="shared" si="73"/>
        <v>0</v>
      </c>
    </row>
    <row r="4668" spans="3:4" ht="15" x14ac:dyDescent="0.25">
      <c r="C4668" s="8" t="e">
        <f>VLOOKUP(A:A,'ITEM LIST'!A:C,3,0)</f>
        <v>#N/A</v>
      </c>
      <c r="D4668" s="6">
        <f t="shared" si="73"/>
        <v>0</v>
      </c>
    </row>
    <row r="4669" spans="3:4" ht="15" x14ac:dyDescent="0.25">
      <c r="C4669" s="8" t="e">
        <f>VLOOKUP(A:A,'ITEM LIST'!A:C,3,0)</f>
        <v>#N/A</v>
      </c>
      <c r="D4669" s="6">
        <f t="shared" si="73"/>
        <v>0</v>
      </c>
    </row>
    <row r="4670" spans="3:4" ht="15" x14ac:dyDescent="0.25">
      <c r="C4670" s="8" t="e">
        <f>VLOOKUP(A:A,'ITEM LIST'!A:C,3,0)</f>
        <v>#N/A</v>
      </c>
      <c r="D4670" s="6">
        <f t="shared" si="73"/>
        <v>0</v>
      </c>
    </row>
    <row r="4671" spans="3:4" ht="15" x14ac:dyDescent="0.25">
      <c r="C4671" s="8" t="e">
        <f>VLOOKUP(A:A,'ITEM LIST'!A:C,3,0)</f>
        <v>#N/A</v>
      </c>
      <c r="D4671" s="6">
        <f t="shared" si="73"/>
        <v>0</v>
      </c>
    </row>
    <row r="4672" spans="3:4" ht="15" x14ac:dyDescent="0.25">
      <c r="C4672" s="8" t="e">
        <f>VLOOKUP(A:A,'ITEM LIST'!A:C,3,0)</f>
        <v>#N/A</v>
      </c>
      <c r="D4672" s="6">
        <f t="shared" si="73"/>
        <v>0</v>
      </c>
    </row>
    <row r="4673" spans="3:4" ht="15" x14ac:dyDescent="0.25">
      <c r="C4673" s="8" t="e">
        <f>VLOOKUP(A:A,'ITEM LIST'!A:C,3,0)</f>
        <v>#N/A</v>
      </c>
      <c r="D4673" s="6">
        <f t="shared" si="73"/>
        <v>0</v>
      </c>
    </row>
    <row r="4674" spans="3:4" ht="15" x14ac:dyDescent="0.25">
      <c r="C4674" s="8" t="e">
        <f>VLOOKUP(A:A,'ITEM LIST'!A:C,3,0)</f>
        <v>#N/A</v>
      </c>
      <c r="D4674" s="6">
        <f t="shared" si="73"/>
        <v>0</v>
      </c>
    </row>
    <row r="4675" spans="3:4" ht="15" x14ac:dyDescent="0.25">
      <c r="C4675" s="8" t="e">
        <f>VLOOKUP(A:A,'ITEM LIST'!A:C,3,0)</f>
        <v>#N/A</v>
      </c>
      <c r="D4675" s="6">
        <f t="shared" si="73"/>
        <v>0</v>
      </c>
    </row>
    <row r="4676" spans="3:4" ht="15" x14ac:dyDescent="0.25">
      <c r="C4676" s="8" t="e">
        <f>VLOOKUP(A:A,'ITEM LIST'!A:C,3,0)</f>
        <v>#N/A</v>
      </c>
      <c r="D4676" s="6">
        <f t="shared" si="73"/>
        <v>0</v>
      </c>
    </row>
    <row r="4677" spans="3:4" ht="15" x14ac:dyDescent="0.25">
      <c r="C4677" s="8" t="e">
        <f>VLOOKUP(A:A,'ITEM LIST'!A:C,3,0)</f>
        <v>#N/A</v>
      </c>
      <c r="D4677" s="6">
        <f t="shared" si="73"/>
        <v>0</v>
      </c>
    </row>
    <row r="4678" spans="3:4" ht="15" x14ac:dyDescent="0.25">
      <c r="C4678" s="8" t="e">
        <f>VLOOKUP(A:A,'ITEM LIST'!A:C,3,0)</f>
        <v>#N/A</v>
      </c>
      <c r="D4678" s="6">
        <f t="shared" ref="D4678:D4741" si="74">B4678</f>
        <v>0</v>
      </c>
    </row>
    <row r="4679" spans="3:4" ht="15" x14ac:dyDescent="0.25">
      <c r="C4679" s="8" t="e">
        <f>VLOOKUP(A:A,'ITEM LIST'!A:C,3,0)</f>
        <v>#N/A</v>
      </c>
      <c r="D4679" s="6">
        <f t="shared" si="74"/>
        <v>0</v>
      </c>
    </row>
    <row r="4680" spans="3:4" ht="15" x14ac:dyDescent="0.25">
      <c r="C4680" s="8" t="e">
        <f>VLOOKUP(A:A,'ITEM LIST'!A:C,3,0)</f>
        <v>#N/A</v>
      </c>
      <c r="D4680" s="6">
        <f t="shared" si="74"/>
        <v>0</v>
      </c>
    </row>
    <row r="4681" spans="3:4" ht="15" x14ac:dyDescent="0.25">
      <c r="C4681" s="8" t="e">
        <f>VLOOKUP(A:A,'ITEM LIST'!A:C,3,0)</f>
        <v>#N/A</v>
      </c>
      <c r="D4681" s="6">
        <f t="shared" si="74"/>
        <v>0</v>
      </c>
    </row>
    <row r="4682" spans="3:4" ht="15" x14ac:dyDescent="0.25">
      <c r="C4682" s="8" t="e">
        <f>VLOOKUP(A:A,'ITEM LIST'!A:C,3,0)</f>
        <v>#N/A</v>
      </c>
      <c r="D4682" s="6">
        <f t="shared" si="74"/>
        <v>0</v>
      </c>
    </row>
    <row r="4683" spans="3:4" ht="15" x14ac:dyDescent="0.25">
      <c r="C4683" s="8" t="e">
        <f>VLOOKUP(A:A,'ITEM LIST'!A:C,3,0)</f>
        <v>#N/A</v>
      </c>
      <c r="D4683" s="6">
        <f t="shared" si="74"/>
        <v>0</v>
      </c>
    </row>
    <row r="4684" spans="3:4" ht="15" x14ac:dyDescent="0.25">
      <c r="C4684" s="8" t="e">
        <f>VLOOKUP(A:A,'ITEM LIST'!A:C,3,0)</f>
        <v>#N/A</v>
      </c>
      <c r="D4684" s="6">
        <f t="shared" si="74"/>
        <v>0</v>
      </c>
    </row>
    <row r="4685" spans="3:4" ht="15" x14ac:dyDescent="0.25">
      <c r="C4685" s="8" t="e">
        <f>VLOOKUP(A:A,'ITEM LIST'!A:C,3,0)</f>
        <v>#N/A</v>
      </c>
      <c r="D4685" s="6">
        <f t="shared" si="74"/>
        <v>0</v>
      </c>
    </row>
    <row r="4686" spans="3:4" ht="15" x14ac:dyDescent="0.25">
      <c r="C4686" s="8" t="e">
        <f>VLOOKUP(A:A,'ITEM LIST'!A:C,3,0)</f>
        <v>#N/A</v>
      </c>
      <c r="D4686" s="6">
        <f t="shared" si="74"/>
        <v>0</v>
      </c>
    </row>
    <row r="4687" spans="3:4" ht="15" x14ac:dyDescent="0.25">
      <c r="C4687" s="8" t="e">
        <f>VLOOKUP(A:A,'ITEM LIST'!A:C,3,0)</f>
        <v>#N/A</v>
      </c>
      <c r="D4687" s="6">
        <f t="shared" si="74"/>
        <v>0</v>
      </c>
    </row>
    <row r="4688" spans="3:4" ht="15" x14ac:dyDescent="0.25">
      <c r="C4688" s="8" t="e">
        <f>VLOOKUP(A:A,'ITEM LIST'!A:C,3,0)</f>
        <v>#N/A</v>
      </c>
      <c r="D4688" s="6">
        <f t="shared" si="74"/>
        <v>0</v>
      </c>
    </row>
    <row r="4689" spans="3:4" ht="15" x14ac:dyDescent="0.25">
      <c r="C4689" s="8" t="e">
        <f>VLOOKUP(A:A,'ITEM LIST'!A:C,3,0)</f>
        <v>#N/A</v>
      </c>
      <c r="D4689" s="6">
        <f t="shared" si="74"/>
        <v>0</v>
      </c>
    </row>
    <row r="4690" spans="3:4" ht="15" x14ac:dyDescent="0.25">
      <c r="C4690" s="8" t="e">
        <f>VLOOKUP(A:A,'ITEM LIST'!A:C,3,0)</f>
        <v>#N/A</v>
      </c>
      <c r="D4690" s="6">
        <f t="shared" si="74"/>
        <v>0</v>
      </c>
    </row>
    <row r="4691" spans="3:4" ht="15" x14ac:dyDescent="0.25">
      <c r="C4691" s="8" t="e">
        <f>VLOOKUP(A:A,'ITEM LIST'!A:C,3,0)</f>
        <v>#N/A</v>
      </c>
      <c r="D4691" s="6">
        <f t="shared" si="74"/>
        <v>0</v>
      </c>
    </row>
    <row r="4692" spans="3:4" ht="15" x14ac:dyDescent="0.25">
      <c r="C4692" s="8" t="e">
        <f>VLOOKUP(A:A,'ITEM LIST'!A:C,3,0)</f>
        <v>#N/A</v>
      </c>
      <c r="D4692" s="6">
        <f t="shared" si="74"/>
        <v>0</v>
      </c>
    </row>
    <row r="4693" spans="3:4" ht="15" x14ac:dyDescent="0.25">
      <c r="C4693" s="8" t="e">
        <f>VLOOKUP(A:A,'ITEM LIST'!A:C,3,0)</f>
        <v>#N/A</v>
      </c>
      <c r="D4693" s="6">
        <f t="shared" si="74"/>
        <v>0</v>
      </c>
    </row>
    <row r="4694" spans="3:4" ht="15" x14ac:dyDescent="0.25">
      <c r="C4694" s="8" t="e">
        <f>VLOOKUP(A:A,'ITEM LIST'!A:C,3,0)</f>
        <v>#N/A</v>
      </c>
      <c r="D4694" s="6">
        <f t="shared" si="74"/>
        <v>0</v>
      </c>
    </row>
    <row r="4695" spans="3:4" ht="15" x14ac:dyDescent="0.25">
      <c r="C4695" s="8" t="e">
        <f>VLOOKUP(A:A,'ITEM LIST'!A:C,3,0)</f>
        <v>#N/A</v>
      </c>
      <c r="D4695" s="6">
        <f t="shared" si="74"/>
        <v>0</v>
      </c>
    </row>
    <row r="4696" spans="3:4" ht="15" x14ac:dyDescent="0.25">
      <c r="C4696" s="8" t="e">
        <f>VLOOKUP(A:A,'ITEM LIST'!A:C,3,0)</f>
        <v>#N/A</v>
      </c>
      <c r="D4696" s="6">
        <f t="shared" si="74"/>
        <v>0</v>
      </c>
    </row>
    <row r="4697" spans="3:4" ht="15" x14ac:dyDescent="0.25">
      <c r="C4697" s="8" t="e">
        <f>VLOOKUP(A:A,'ITEM LIST'!A:C,3,0)</f>
        <v>#N/A</v>
      </c>
      <c r="D4697" s="6">
        <f t="shared" si="74"/>
        <v>0</v>
      </c>
    </row>
    <row r="4698" spans="3:4" ht="15" x14ac:dyDescent="0.25">
      <c r="C4698" s="8" t="e">
        <f>VLOOKUP(A:A,'ITEM LIST'!A:C,3,0)</f>
        <v>#N/A</v>
      </c>
      <c r="D4698" s="6">
        <f t="shared" si="74"/>
        <v>0</v>
      </c>
    </row>
    <row r="4699" spans="3:4" ht="15" x14ac:dyDescent="0.25">
      <c r="C4699" s="8" t="e">
        <f>VLOOKUP(A:A,'ITEM LIST'!A:C,3,0)</f>
        <v>#N/A</v>
      </c>
      <c r="D4699" s="6">
        <f t="shared" si="74"/>
        <v>0</v>
      </c>
    </row>
    <row r="4700" spans="3:4" ht="15" x14ac:dyDescent="0.25">
      <c r="C4700" s="8" t="e">
        <f>VLOOKUP(A:A,'ITEM LIST'!A:C,3,0)</f>
        <v>#N/A</v>
      </c>
      <c r="D4700" s="6">
        <f t="shared" si="74"/>
        <v>0</v>
      </c>
    </row>
    <row r="4701" spans="3:4" ht="15" x14ac:dyDescent="0.25">
      <c r="C4701" s="8" t="e">
        <f>VLOOKUP(A:A,'ITEM LIST'!A:C,3,0)</f>
        <v>#N/A</v>
      </c>
      <c r="D4701" s="6">
        <f t="shared" si="74"/>
        <v>0</v>
      </c>
    </row>
    <row r="4702" spans="3:4" ht="15" x14ac:dyDescent="0.25">
      <c r="C4702" s="8" t="e">
        <f>VLOOKUP(A:A,'ITEM LIST'!A:C,3,0)</f>
        <v>#N/A</v>
      </c>
      <c r="D4702" s="6">
        <f t="shared" si="74"/>
        <v>0</v>
      </c>
    </row>
    <row r="4703" spans="3:4" ht="15" x14ac:dyDescent="0.25">
      <c r="C4703" s="8" t="e">
        <f>VLOOKUP(A:A,'ITEM LIST'!A:C,3,0)</f>
        <v>#N/A</v>
      </c>
      <c r="D4703" s="6">
        <f t="shared" si="74"/>
        <v>0</v>
      </c>
    </row>
    <row r="4704" spans="3:4" ht="15" x14ac:dyDescent="0.25">
      <c r="C4704" s="8" t="e">
        <f>VLOOKUP(A:A,'ITEM LIST'!A:C,3,0)</f>
        <v>#N/A</v>
      </c>
      <c r="D4704" s="6">
        <f t="shared" si="74"/>
        <v>0</v>
      </c>
    </row>
    <row r="4705" spans="3:4" ht="15" x14ac:dyDescent="0.25">
      <c r="C4705" s="8" t="e">
        <f>VLOOKUP(A:A,'ITEM LIST'!A:C,3,0)</f>
        <v>#N/A</v>
      </c>
      <c r="D4705" s="6">
        <f t="shared" si="74"/>
        <v>0</v>
      </c>
    </row>
    <row r="4706" spans="3:4" ht="15" x14ac:dyDescent="0.25">
      <c r="C4706" s="8" t="e">
        <f>VLOOKUP(A:A,'ITEM LIST'!A:C,3,0)</f>
        <v>#N/A</v>
      </c>
      <c r="D4706" s="6">
        <f t="shared" si="74"/>
        <v>0</v>
      </c>
    </row>
    <row r="4707" spans="3:4" ht="15" x14ac:dyDescent="0.25">
      <c r="C4707" s="8" t="e">
        <f>VLOOKUP(A:A,'ITEM LIST'!A:C,3,0)</f>
        <v>#N/A</v>
      </c>
      <c r="D4707" s="6">
        <f t="shared" si="74"/>
        <v>0</v>
      </c>
    </row>
    <row r="4708" spans="3:4" ht="15" x14ac:dyDescent="0.25">
      <c r="C4708" s="8" t="e">
        <f>VLOOKUP(A:A,'ITEM LIST'!A:C,3,0)</f>
        <v>#N/A</v>
      </c>
      <c r="D4708" s="6">
        <f t="shared" si="74"/>
        <v>0</v>
      </c>
    </row>
    <row r="4709" spans="3:4" ht="15" x14ac:dyDescent="0.25">
      <c r="C4709" s="8" t="e">
        <f>VLOOKUP(A:A,'ITEM LIST'!A:C,3,0)</f>
        <v>#N/A</v>
      </c>
      <c r="D4709" s="6">
        <f t="shared" si="74"/>
        <v>0</v>
      </c>
    </row>
    <row r="4710" spans="3:4" ht="15" x14ac:dyDescent="0.25">
      <c r="C4710" s="8" t="e">
        <f>VLOOKUP(A:A,'ITEM LIST'!A:C,3,0)</f>
        <v>#N/A</v>
      </c>
      <c r="D4710" s="6">
        <f t="shared" si="74"/>
        <v>0</v>
      </c>
    </row>
    <row r="4711" spans="3:4" ht="15" x14ac:dyDescent="0.25">
      <c r="C4711" s="8" t="e">
        <f>VLOOKUP(A:A,'ITEM LIST'!A:C,3,0)</f>
        <v>#N/A</v>
      </c>
      <c r="D4711" s="6">
        <f t="shared" si="74"/>
        <v>0</v>
      </c>
    </row>
    <row r="4712" spans="3:4" ht="15" x14ac:dyDescent="0.25">
      <c r="C4712" s="8" t="e">
        <f>VLOOKUP(A:A,'ITEM LIST'!A:C,3,0)</f>
        <v>#N/A</v>
      </c>
      <c r="D4712" s="6">
        <f t="shared" si="74"/>
        <v>0</v>
      </c>
    </row>
    <row r="4713" spans="3:4" ht="15" x14ac:dyDescent="0.25">
      <c r="C4713" s="8" t="e">
        <f>VLOOKUP(A:A,'ITEM LIST'!A:C,3,0)</f>
        <v>#N/A</v>
      </c>
      <c r="D4713" s="6">
        <f t="shared" si="74"/>
        <v>0</v>
      </c>
    </row>
    <row r="4714" spans="3:4" ht="15" x14ac:dyDescent="0.25">
      <c r="C4714" s="8" t="e">
        <f>VLOOKUP(A:A,'ITEM LIST'!A:C,3,0)</f>
        <v>#N/A</v>
      </c>
      <c r="D4714" s="6">
        <f t="shared" si="74"/>
        <v>0</v>
      </c>
    </row>
    <row r="4715" spans="3:4" ht="15" x14ac:dyDescent="0.25">
      <c r="C4715" s="8" t="e">
        <f>VLOOKUP(A:A,'ITEM LIST'!A:C,3,0)</f>
        <v>#N/A</v>
      </c>
      <c r="D4715" s="6">
        <f t="shared" si="74"/>
        <v>0</v>
      </c>
    </row>
    <row r="4716" spans="3:4" ht="15" x14ac:dyDescent="0.25">
      <c r="C4716" s="8" t="e">
        <f>VLOOKUP(A:A,'ITEM LIST'!A:C,3,0)</f>
        <v>#N/A</v>
      </c>
      <c r="D4716" s="6">
        <f t="shared" si="74"/>
        <v>0</v>
      </c>
    </row>
    <row r="4717" spans="3:4" ht="15" x14ac:dyDescent="0.25">
      <c r="C4717" s="8" t="e">
        <f>VLOOKUP(A:A,'ITEM LIST'!A:C,3,0)</f>
        <v>#N/A</v>
      </c>
      <c r="D4717" s="6">
        <f t="shared" si="74"/>
        <v>0</v>
      </c>
    </row>
    <row r="4718" spans="3:4" ht="15" x14ac:dyDescent="0.25">
      <c r="C4718" s="8" t="e">
        <f>VLOOKUP(A:A,'ITEM LIST'!A:C,3,0)</f>
        <v>#N/A</v>
      </c>
      <c r="D4718" s="6">
        <f t="shared" si="74"/>
        <v>0</v>
      </c>
    </row>
    <row r="4719" spans="3:4" ht="15" x14ac:dyDescent="0.25">
      <c r="C4719" s="8" t="e">
        <f>VLOOKUP(A:A,'ITEM LIST'!A:C,3,0)</f>
        <v>#N/A</v>
      </c>
      <c r="D4719" s="6">
        <f t="shared" si="74"/>
        <v>0</v>
      </c>
    </row>
    <row r="4720" spans="3:4" ht="15" x14ac:dyDescent="0.25">
      <c r="C4720" s="8" t="e">
        <f>VLOOKUP(A:A,'ITEM LIST'!A:C,3,0)</f>
        <v>#N/A</v>
      </c>
      <c r="D4720" s="6">
        <f t="shared" si="74"/>
        <v>0</v>
      </c>
    </row>
    <row r="4721" spans="3:4" ht="15" x14ac:dyDescent="0.25">
      <c r="C4721" s="8" t="e">
        <f>VLOOKUP(A:A,'ITEM LIST'!A:C,3,0)</f>
        <v>#N/A</v>
      </c>
      <c r="D4721" s="6">
        <f t="shared" si="74"/>
        <v>0</v>
      </c>
    </row>
    <row r="4722" spans="3:4" ht="15" x14ac:dyDescent="0.25">
      <c r="C4722" s="8" t="e">
        <f>VLOOKUP(A:A,'ITEM LIST'!A:C,3,0)</f>
        <v>#N/A</v>
      </c>
      <c r="D4722" s="6">
        <f t="shared" si="74"/>
        <v>0</v>
      </c>
    </row>
    <row r="4723" spans="3:4" ht="15" x14ac:dyDescent="0.25">
      <c r="C4723" s="8" t="e">
        <f>VLOOKUP(A:A,'ITEM LIST'!A:C,3,0)</f>
        <v>#N/A</v>
      </c>
      <c r="D4723" s="6">
        <f t="shared" si="74"/>
        <v>0</v>
      </c>
    </row>
    <row r="4724" spans="3:4" ht="15" x14ac:dyDescent="0.25">
      <c r="C4724" s="8" t="e">
        <f>VLOOKUP(A:A,'ITEM LIST'!A:C,3,0)</f>
        <v>#N/A</v>
      </c>
      <c r="D4724" s="6">
        <f t="shared" si="74"/>
        <v>0</v>
      </c>
    </row>
    <row r="4725" spans="3:4" ht="15" x14ac:dyDescent="0.25">
      <c r="C4725" s="8" t="e">
        <f>VLOOKUP(A:A,'ITEM LIST'!A:C,3,0)</f>
        <v>#N/A</v>
      </c>
      <c r="D4725" s="6">
        <f t="shared" si="74"/>
        <v>0</v>
      </c>
    </row>
    <row r="4726" spans="3:4" ht="15" x14ac:dyDescent="0.25">
      <c r="C4726" s="8" t="e">
        <f>VLOOKUP(A:A,'ITEM LIST'!A:C,3,0)</f>
        <v>#N/A</v>
      </c>
      <c r="D4726" s="6">
        <f t="shared" si="74"/>
        <v>0</v>
      </c>
    </row>
    <row r="4727" spans="3:4" ht="15" x14ac:dyDescent="0.25">
      <c r="C4727" s="8" t="e">
        <f>VLOOKUP(A:A,'ITEM LIST'!A:C,3,0)</f>
        <v>#N/A</v>
      </c>
      <c r="D4727" s="6">
        <f t="shared" si="74"/>
        <v>0</v>
      </c>
    </row>
    <row r="4728" spans="3:4" ht="15" x14ac:dyDescent="0.25">
      <c r="C4728" s="8" t="e">
        <f>VLOOKUP(A:A,'ITEM LIST'!A:C,3,0)</f>
        <v>#N/A</v>
      </c>
      <c r="D4728" s="6">
        <f t="shared" si="74"/>
        <v>0</v>
      </c>
    </row>
    <row r="4729" spans="3:4" ht="15" x14ac:dyDescent="0.25">
      <c r="C4729" s="8" t="e">
        <f>VLOOKUP(A:A,'ITEM LIST'!A:C,3,0)</f>
        <v>#N/A</v>
      </c>
      <c r="D4729" s="6">
        <f t="shared" si="74"/>
        <v>0</v>
      </c>
    </row>
    <row r="4730" spans="3:4" ht="15" x14ac:dyDescent="0.25">
      <c r="C4730" s="8" t="e">
        <f>VLOOKUP(A:A,'ITEM LIST'!A:C,3,0)</f>
        <v>#N/A</v>
      </c>
      <c r="D4730" s="6">
        <f t="shared" si="74"/>
        <v>0</v>
      </c>
    </row>
    <row r="4731" spans="3:4" ht="15" x14ac:dyDescent="0.25">
      <c r="C4731" s="8" t="e">
        <f>VLOOKUP(A:A,'ITEM LIST'!A:C,3,0)</f>
        <v>#N/A</v>
      </c>
      <c r="D4731" s="6">
        <f t="shared" si="74"/>
        <v>0</v>
      </c>
    </row>
    <row r="4732" spans="3:4" ht="15" x14ac:dyDescent="0.25">
      <c r="C4732" s="8" t="e">
        <f>VLOOKUP(A:A,'ITEM LIST'!A:C,3,0)</f>
        <v>#N/A</v>
      </c>
      <c r="D4732" s="6">
        <f t="shared" si="74"/>
        <v>0</v>
      </c>
    </row>
    <row r="4733" spans="3:4" ht="15" x14ac:dyDescent="0.25">
      <c r="C4733" s="8" t="e">
        <f>VLOOKUP(A:A,'ITEM LIST'!A:C,3,0)</f>
        <v>#N/A</v>
      </c>
      <c r="D4733" s="6">
        <f t="shared" si="74"/>
        <v>0</v>
      </c>
    </row>
    <row r="4734" spans="3:4" ht="15" x14ac:dyDescent="0.25">
      <c r="C4734" s="8" t="e">
        <f>VLOOKUP(A:A,'ITEM LIST'!A:C,3,0)</f>
        <v>#N/A</v>
      </c>
      <c r="D4734" s="6">
        <f t="shared" si="74"/>
        <v>0</v>
      </c>
    </row>
    <row r="4735" spans="3:4" ht="15" x14ac:dyDescent="0.25">
      <c r="C4735" s="8" t="e">
        <f>VLOOKUP(A:A,'ITEM LIST'!A:C,3,0)</f>
        <v>#N/A</v>
      </c>
      <c r="D4735" s="6">
        <f t="shared" si="74"/>
        <v>0</v>
      </c>
    </row>
    <row r="4736" spans="3:4" ht="15" x14ac:dyDescent="0.25">
      <c r="C4736" s="8" t="e">
        <f>VLOOKUP(A:A,'ITEM LIST'!A:C,3,0)</f>
        <v>#N/A</v>
      </c>
      <c r="D4736" s="6">
        <f t="shared" si="74"/>
        <v>0</v>
      </c>
    </row>
    <row r="4737" spans="3:4" ht="15" x14ac:dyDescent="0.25">
      <c r="C4737" s="8" t="e">
        <f>VLOOKUP(A:A,'ITEM LIST'!A:C,3,0)</f>
        <v>#N/A</v>
      </c>
      <c r="D4737" s="6">
        <f t="shared" si="74"/>
        <v>0</v>
      </c>
    </row>
    <row r="4738" spans="3:4" ht="15" x14ac:dyDescent="0.25">
      <c r="C4738" s="8" t="e">
        <f>VLOOKUP(A:A,'ITEM LIST'!A:C,3,0)</f>
        <v>#N/A</v>
      </c>
      <c r="D4738" s="6">
        <f t="shared" si="74"/>
        <v>0</v>
      </c>
    </row>
    <row r="4739" spans="3:4" ht="15" x14ac:dyDescent="0.25">
      <c r="C4739" s="8" t="e">
        <f>VLOOKUP(A:A,'ITEM LIST'!A:C,3,0)</f>
        <v>#N/A</v>
      </c>
      <c r="D4739" s="6">
        <f t="shared" si="74"/>
        <v>0</v>
      </c>
    </row>
    <row r="4740" spans="3:4" ht="15" x14ac:dyDescent="0.25">
      <c r="C4740" s="8" t="e">
        <f>VLOOKUP(A:A,'ITEM LIST'!A:C,3,0)</f>
        <v>#N/A</v>
      </c>
      <c r="D4740" s="6">
        <f t="shared" si="74"/>
        <v>0</v>
      </c>
    </row>
    <row r="4741" spans="3:4" ht="15" x14ac:dyDescent="0.25">
      <c r="C4741" s="8" t="e">
        <f>VLOOKUP(A:A,'ITEM LIST'!A:C,3,0)</f>
        <v>#N/A</v>
      </c>
      <c r="D4741" s="6">
        <f t="shared" si="74"/>
        <v>0</v>
      </c>
    </row>
    <row r="4742" spans="3:4" ht="15" x14ac:dyDescent="0.25">
      <c r="C4742" s="8" t="e">
        <f>VLOOKUP(A:A,'ITEM LIST'!A:C,3,0)</f>
        <v>#N/A</v>
      </c>
      <c r="D4742" s="6">
        <f t="shared" ref="D4742:D4805" si="75">B4742</f>
        <v>0</v>
      </c>
    </row>
    <row r="4743" spans="3:4" ht="15" x14ac:dyDescent="0.25">
      <c r="C4743" s="8" t="e">
        <f>VLOOKUP(A:A,'ITEM LIST'!A:C,3,0)</f>
        <v>#N/A</v>
      </c>
      <c r="D4743" s="6">
        <f t="shared" si="75"/>
        <v>0</v>
      </c>
    </row>
    <row r="4744" spans="3:4" ht="15" x14ac:dyDescent="0.25">
      <c r="C4744" s="8" t="e">
        <f>VLOOKUP(A:A,'ITEM LIST'!A:C,3,0)</f>
        <v>#N/A</v>
      </c>
      <c r="D4744" s="6">
        <f t="shared" si="75"/>
        <v>0</v>
      </c>
    </row>
    <row r="4745" spans="3:4" ht="15" x14ac:dyDescent="0.25">
      <c r="C4745" s="8" t="e">
        <f>VLOOKUP(A:A,'ITEM LIST'!A:C,3,0)</f>
        <v>#N/A</v>
      </c>
      <c r="D4745" s="6">
        <f t="shared" si="75"/>
        <v>0</v>
      </c>
    </row>
    <row r="4746" spans="3:4" ht="15" x14ac:dyDescent="0.25">
      <c r="C4746" s="8" t="e">
        <f>VLOOKUP(A:A,'ITEM LIST'!A:C,3,0)</f>
        <v>#N/A</v>
      </c>
      <c r="D4746" s="6">
        <f t="shared" si="75"/>
        <v>0</v>
      </c>
    </row>
    <row r="4747" spans="3:4" ht="15" x14ac:dyDescent="0.25">
      <c r="C4747" s="8" t="e">
        <f>VLOOKUP(A:A,'ITEM LIST'!A:C,3,0)</f>
        <v>#N/A</v>
      </c>
      <c r="D4747" s="6">
        <f t="shared" si="75"/>
        <v>0</v>
      </c>
    </row>
    <row r="4748" spans="3:4" ht="15" x14ac:dyDescent="0.25">
      <c r="C4748" s="8" t="e">
        <f>VLOOKUP(A:A,'ITEM LIST'!A:C,3,0)</f>
        <v>#N/A</v>
      </c>
      <c r="D4748" s="6">
        <f t="shared" si="75"/>
        <v>0</v>
      </c>
    </row>
    <row r="4749" spans="3:4" ht="15" x14ac:dyDescent="0.25">
      <c r="C4749" s="8" t="e">
        <f>VLOOKUP(A:A,'ITEM LIST'!A:C,3,0)</f>
        <v>#N/A</v>
      </c>
      <c r="D4749" s="6">
        <f t="shared" si="75"/>
        <v>0</v>
      </c>
    </row>
    <row r="4750" spans="3:4" ht="15" x14ac:dyDescent="0.25">
      <c r="C4750" s="8" t="e">
        <f>VLOOKUP(A:A,'ITEM LIST'!A:C,3,0)</f>
        <v>#N/A</v>
      </c>
      <c r="D4750" s="6">
        <f t="shared" si="75"/>
        <v>0</v>
      </c>
    </row>
    <row r="4751" spans="3:4" ht="15" x14ac:dyDescent="0.25">
      <c r="C4751" s="8" t="e">
        <f>VLOOKUP(A:A,'ITEM LIST'!A:C,3,0)</f>
        <v>#N/A</v>
      </c>
      <c r="D4751" s="6">
        <f t="shared" si="75"/>
        <v>0</v>
      </c>
    </row>
    <row r="4752" spans="3:4" ht="15" x14ac:dyDescent="0.25">
      <c r="C4752" s="8" t="e">
        <f>VLOOKUP(A:A,'ITEM LIST'!A:C,3,0)</f>
        <v>#N/A</v>
      </c>
      <c r="D4752" s="6">
        <f t="shared" si="75"/>
        <v>0</v>
      </c>
    </row>
    <row r="4753" spans="3:4" ht="15" x14ac:dyDescent="0.25">
      <c r="C4753" s="8" t="e">
        <f>VLOOKUP(A:A,'ITEM LIST'!A:C,3,0)</f>
        <v>#N/A</v>
      </c>
      <c r="D4753" s="6">
        <f t="shared" si="75"/>
        <v>0</v>
      </c>
    </row>
    <row r="4754" spans="3:4" ht="15" x14ac:dyDescent="0.25">
      <c r="C4754" s="8" t="e">
        <f>VLOOKUP(A:A,'ITEM LIST'!A:C,3,0)</f>
        <v>#N/A</v>
      </c>
      <c r="D4754" s="6">
        <f t="shared" si="75"/>
        <v>0</v>
      </c>
    </row>
    <row r="4755" spans="3:4" ht="15" x14ac:dyDescent="0.25">
      <c r="C4755" s="8" t="e">
        <f>VLOOKUP(A:A,'ITEM LIST'!A:C,3,0)</f>
        <v>#N/A</v>
      </c>
      <c r="D4755" s="6">
        <f t="shared" si="75"/>
        <v>0</v>
      </c>
    </row>
    <row r="4756" spans="3:4" ht="15" x14ac:dyDescent="0.25">
      <c r="C4756" s="8" t="e">
        <f>VLOOKUP(A:A,'ITEM LIST'!A:C,3,0)</f>
        <v>#N/A</v>
      </c>
      <c r="D4756" s="6">
        <f t="shared" si="75"/>
        <v>0</v>
      </c>
    </row>
    <row r="4757" spans="3:4" ht="15" x14ac:dyDescent="0.25">
      <c r="C4757" s="8" t="e">
        <f>VLOOKUP(A:A,'ITEM LIST'!A:C,3,0)</f>
        <v>#N/A</v>
      </c>
      <c r="D4757" s="6">
        <f t="shared" si="75"/>
        <v>0</v>
      </c>
    </row>
    <row r="4758" spans="3:4" ht="15" x14ac:dyDescent="0.25">
      <c r="C4758" s="8" t="e">
        <f>VLOOKUP(A:A,'ITEM LIST'!A:C,3,0)</f>
        <v>#N/A</v>
      </c>
      <c r="D4758" s="6">
        <f t="shared" si="75"/>
        <v>0</v>
      </c>
    </row>
    <row r="4759" spans="3:4" ht="15" x14ac:dyDescent="0.25">
      <c r="C4759" s="8" t="e">
        <f>VLOOKUP(A:A,'ITEM LIST'!A:C,3,0)</f>
        <v>#N/A</v>
      </c>
      <c r="D4759" s="6">
        <f t="shared" si="75"/>
        <v>0</v>
      </c>
    </row>
    <row r="4760" spans="3:4" ht="15" x14ac:dyDescent="0.25">
      <c r="C4760" s="8" t="e">
        <f>VLOOKUP(A:A,'ITEM LIST'!A:C,3,0)</f>
        <v>#N/A</v>
      </c>
      <c r="D4760" s="6">
        <f t="shared" si="75"/>
        <v>0</v>
      </c>
    </row>
    <row r="4761" spans="3:4" ht="15" x14ac:dyDescent="0.25">
      <c r="C4761" s="8" t="e">
        <f>VLOOKUP(A:A,'ITEM LIST'!A:C,3,0)</f>
        <v>#N/A</v>
      </c>
      <c r="D4761" s="6">
        <f t="shared" si="75"/>
        <v>0</v>
      </c>
    </row>
    <row r="4762" spans="3:4" ht="15" x14ac:dyDescent="0.25">
      <c r="C4762" s="8" t="e">
        <f>VLOOKUP(A:A,'ITEM LIST'!A:C,3,0)</f>
        <v>#N/A</v>
      </c>
      <c r="D4762" s="6">
        <f t="shared" si="75"/>
        <v>0</v>
      </c>
    </row>
    <row r="4763" spans="3:4" ht="15" x14ac:dyDescent="0.25">
      <c r="C4763" s="8" t="e">
        <f>VLOOKUP(A:A,'ITEM LIST'!A:C,3,0)</f>
        <v>#N/A</v>
      </c>
      <c r="D4763" s="6">
        <f t="shared" si="75"/>
        <v>0</v>
      </c>
    </row>
    <row r="4764" spans="3:4" ht="15" x14ac:dyDescent="0.25">
      <c r="C4764" s="8" t="e">
        <f>VLOOKUP(A:A,'ITEM LIST'!A:C,3,0)</f>
        <v>#N/A</v>
      </c>
      <c r="D4764" s="6">
        <f t="shared" si="75"/>
        <v>0</v>
      </c>
    </row>
    <row r="4765" spans="3:4" ht="15" x14ac:dyDescent="0.25">
      <c r="C4765" s="8" t="e">
        <f>VLOOKUP(A:A,'ITEM LIST'!A:C,3,0)</f>
        <v>#N/A</v>
      </c>
      <c r="D4765" s="6">
        <f t="shared" si="75"/>
        <v>0</v>
      </c>
    </row>
    <row r="4766" spans="3:4" ht="15" x14ac:dyDescent="0.25">
      <c r="C4766" s="8" t="e">
        <f>VLOOKUP(A:A,'ITEM LIST'!A:C,3,0)</f>
        <v>#N/A</v>
      </c>
      <c r="D4766" s="6">
        <f t="shared" si="75"/>
        <v>0</v>
      </c>
    </row>
    <row r="4767" spans="3:4" ht="15" x14ac:dyDescent="0.25">
      <c r="C4767" s="8" t="e">
        <f>VLOOKUP(A:A,'ITEM LIST'!A:C,3,0)</f>
        <v>#N/A</v>
      </c>
      <c r="D4767" s="6">
        <f t="shared" si="75"/>
        <v>0</v>
      </c>
    </row>
    <row r="4768" spans="3:4" ht="15" x14ac:dyDescent="0.25">
      <c r="C4768" s="8" t="e">
        <f>VLOOKUP(A:A,'ITEM LIST'!A:C,3,0)</f>
        <v>#N/A</v>
      </c>
      <c r="D4768" s="6">
        <f t="shared" si="75"/>
        <v>0</v>
      </c>
    </row>
    <row r="4769" spans="3:4" ht="15" x14ac:dyDescent="0.25">
      <c r="C4769" s="8" t="e">
        <f>VLOOKUP(A:A,'ITEM LIST'!A:C,3,0)</f>
        <v>#N/A</v>
      </c>
      <c r="D4769" s="6">
        <f t="shared" si="75"/>
        <v>0</v>
      </c>
    </row>
    <row r="4770" spans="3:4" ht="15" x14ac:dyDescent="0.25">
      <c r="C4770" s="8" t="e">
        <f>VLOOKUP(A:A,'ITEM LIST'!A:C,3,0)</f>
        <v>#N/A</v>
      </c>
      <c r="D4770" s="6">
        <f t="shared" si="75"/>
        <v>0</v>
      </c>
    </row>
    <row r="4771" spans="3:4" ht="15" x14ac:dyDescent="0.25">
      <c r="C4771" s="8" t="e">
        <f>VLOOKUP(A:A,'ITEM LIST'!A:C,3,0)</f>
        <v>#N/A</v>
      </c>
      <c r="D4771" s="6">
        <f t="shared" si="75"/>
        <v>0</v>
      </c>
    </row>
    <row r="4772" spans="3:4" ht="15" x14ac:dyDescent="0.25">
      <c r="C4772" s="8" t="e">
        <f>VLOOKUP(A:A,'ITEM LIST'!A:C,3,0)</f>
        <v>#N/A</v>
      </c>
      <c r="D4772" s="6">
        <f t="shared" si="75"/>
        <v>0</v>
      </c>
    </row>
    <row r="4773" spans="3:4" ht="15" x14ac:dyDescent="0.25">
      <c r="C4773" s="8" t="e">
        <f>VLOOKUP(A:A,'ITEM LIST'!A:C,3,0)</f>
        <v>#N/A</v>
      </c>
      <c r="D4773" s="6">
        <f t="shared" si="75"/>
        <v>0</v>
      </c>
    </row>
    <row r="4774" spans="3:4" ht="15" x14ac:dyDescent="0.25">
      <c r="C4774" s="8" t="e">
        <f>VLOOKUP(A:A,'ITEM LIST'!A:C,3,0)</f>
        <v>#N/A</v>
      </c>
      <c r="D4774" s="6">
        <f t="shared" si="75"/>
        <v>0</v>
      </c>
    </row>
    <row r="4775" spans="3:4" ht="15" x14ac:dyDescent="0.25">
      <c r="C4775" s="8" t="e">
        <f>VLOOKUP(A:A,'ITEM LIST'!A:C,3,0)</f>
        <v>#N/A</v>
      </c>
      <c r="D4775" s="6">
        <f t="shared" si="75"/>
        <v>0</v>
      </c>
    </row>
    <row r="4776" spans="3:4" ht="15" x14ac:dyDescent="0.25">
      <c r="C4776" s="8" t="e">
        <f>VLOOKUP(A:A,'ITEM LIST'!A:C,3,0)</f>
        <v>#N/A</v>
      </c>
      <c r="D4776" s="6">
        <f t="shared" si="75"/>
        <v>0</v>
      </c>
    </row>
    <row r="4777" spans="3:4" ht="15" x14ac:dyDescent="0.25">
      <c r="C4777" s="8" t="e">
        <f>VLOOKUP(A:A,'ITEM LIST'!A:C,3,0)</f>
        <v>#N/A</v>
      </c>
      <c r="D4777" s="6">
        <f t="shared" si="75"/>
        <v>0</v>
      </c>
    </row>
    <row r="4778" spans="3:4" ht="15" x14ac:dyDescent="0.25">
      <c r="C4778" s="8" t="e">
        <f>VLOOKUP(A:A,'ITEM LIST'!A:C,3,0)</f>
        <v>#N/A</v>
      </c>
      <c r="D4778" s="6">
        <f t="shared" si="75"/>
        <v>0</v>
      </c>
    </row>
    <row r="4779" spans="3:4" ht="15" x14ac:dyDescent="0.25">
      <c r="C4779" s="8" t="e">
        <f>VLOOKUP(A:A,'ITEM LIST'!A:C,3,0)</f>
        <v>#N/A</v>
      </c>
      <c r="D4779" s="6">
        <f t="shared" si="75"/>
        <v>0</v>
      </c>
    </row>
    <row r="4780" spans="3:4" ht="15" x14ac:dyDescent="0.25">
      <c r="C4780" s="8" t="e">
        <f>VLOOKUP(A:A,'ITEM LIST'!A:C,3,0)</f>
        <v>#N/A</v>
      </c>
      <c r="D4780" s="6">
        <f t="shared" si="75"/>
        <v>0</v>
      </c>
    </row>
    <row r="4781" spans="3:4" ht="15" x14ac:dyDescent="0.25">
      <c r="C4781" s="8" t="e">
        <f>VLOOKUP(A:A,'ITEM LIST'!A:C,3,0)</f>
        <v>#N/A</v>
      </c>
      <c r="D4781" s="6">
        <f t="shared" si="75"/>
        <v>0</v>
      </c>
    </row>
    <row r="4782" spans="3:4" ht="15" x14ac:dyDescent="0.25">
      <c r="C4782" s="8" t="e">
        <f>VLOOKUP(A:A,'ITEM LIST'!A:C,3,0)</f>
        <v>#N/A</v>
      </c>
      <c r="D4782" s="6">
        <f t="shared" si="75"/>
        <v>0</v>
      </c>
    </row>
    <row r="4783" spans="3:4" ht="15" x14ac:dyDescent="0.25">
      <c r="C4783" s="8" t="e">
        <f>VLOOKUP(A:A,'ITEM LIST'!A:C,3,0)</f>
        <v>#N/A</v>
      </c>
      <c r="D4783" s="6">
        <f t="shared" si="75"/>
        <v>0</v>
      </c>
    </row>
    <row r="4784" spans="3:4" ht="15" x14ac:dyDescent="0.25">
      <c r="C4784" s="8" t="e">
        <f>VLOOKUP(A:A,'ITEM LIST'!A:C,3,0)</f>
        <v>#N/A</v>
      </c>
      <c r="D4784" s="6">
        <f t="shared" si="75"/>
        <v>0</v>
      </c>
    </row>
    <row r="4785" spans="3:4" ht="15" x14ac:dyDescent="0.25">
      <c r="C4785" s="8" t="e">
        <f>VLOOKUP(A:A,'ITEM LIST'!A:C,3,0)</f>
        <v>#N/A</v>
      </c>
      <c r="D4785" s="6">
        <f t="shared" si="75"/>
        <v>0</v>
      </c>
    </row>
    <row r="4786" spans="3:4" ht="15" x14ac:dyDescent="0.25">
      <c r="C4786" s="8" t="e">
        <f>VLOOKUP(A:A,'ITEM LIST'!A:C,3,0)</f>
        <v>#N/A</v>
      </c>
      <c r="D4786" s="6">
        <f t="shared" si="75"/>
        <v>0</v>
      </c>
    </row>
    <row r="4787" spans="3:4" ht="15" x14ac:dyDescent="0.25">
      <c r="C4787" s="8" t="e">
        <f>VLOOKUP(A:A,'ITEM LIST'!A:C,3,0)</f>
        <v>#N/A</v>
      </c>
      <c r="D4787" s="6">
        <f t="shared" si="75"/>
        <v>0</v>
      </c>
    </row>
    <row r="4788" spans="3:4" ht="15" x14ac:dyDescent="0.25">
      <c r="C4788" s="8" t="e">
        <f>VLOOKUP(A:A,'ITEM LIST'!A:C,3,0)</f>
        <v>#N/A</v>
      </c>
      <c r="D4788" s="6">
        <f t="shared" si="75"/>
        <v>0</v>
      </c>
    </row>
    <row r="4789" spans="3:4" ht="15" x14ac:dyDescent="0.25">
      <c r="C4789" s="8" t="e">
        <f>VLOOKUP(A:A,'ITEM LIST'!A:C,3,0)</f>
        <v>#N/A</v>
      </c>
      <c r="D4789" s="6">
        <f t="shared" si="75"/>
        <v>0</v>
      </c>
    </row>
    <row r="4790" spans="3:4" ht="15" x14ac:dyDescent="0.25">
      <c r="C4790" s="8" t="e">
        <f>VLOOKUP(A:A,'ITEM LIST'!A:C,3,0)</f>
        <v>#N/A</v>
      </c>
      <c r="D4790" s="6">
        <f t="shared" si="75"/>
        <v>0</v>
      </c>
    </row>
    <row r="4791" spans="3:4" ht="15" x14ac:dyDescent="0.25">
      <c r="C4791" s="8" t="e">
        <f>VLOOKUP(A:A,'ITEM LIST'!A:C,3,0)</f>
        <v>#N/A</v>
      </c>
      <c r="D4791" s="6">
        <f t="shared" si="75"/>
        <v>0</v>
      </c>
    </row>
    <row r="4792" spans="3:4" ht="15" x14ac:dyDescent="0.25">
      <c r="C4792" s="8" t="e">
        <f>VLOOKUP(A:A,'ITEM LIST'!A:C,3,0)</f>
        <v>#N/A</v>
      </c>
      <c r="D4792" s="6">
        <f t="shared" si="75"/>
        <v>0</v>
      </c>
    </row>
    <row r="4793" spans="3:4" ht="15" x14ac:dyDescent="0.25">
      <c r="C4793" s="8" t="e">
        <f>VLOOKUP(A:A,'ITEM LIST'!A:C,3,0)</f>
        <v>#N/A</v>
      </c>
      <c r="D4793" s="6">
        <f t="shared" si="75"/>
        <v>0</v>
      </c>
    </row>
    <row r="4794" spans="3:4" ht="15" x14ac:dyDescent="0.25">
      <c r="C4794" s="8" t="e">
        <f>VLOOKUP(A:A,'ITEM LIST'!A:C,3,0)</f>
        <v>#N/A</v>
      </c>
      <c r="D4794" s="6">
        <f t="shared" si="75"/>
        <v>0</v>
      </c>
    </row>
    <row r="4795" spans="3:4" ht="15" x14ac:dyDescent="0.25">
      <c r="C4795" s="8" t="e">
        <f>VLOOKUP(A:A,'ITEM LIST'!A:C,3,0)</f>
        <v>#N/A</v>
      </c>
      <c r="D4795" s="6">
        <f t="shared" si="75"/>
        <v>0</v>
      </c>
    </row>
    <row r="4796" spans="3:4" ht="15" x14ac:dyDescent="0.25">
      <c r="C4796" s="8" t="e">
        <f>VLOOKUP(A:A,'ITEM LIST'!A:C,3,0)</f>
        <v>#N/A</v>
      </c>
      <c r="D4796" s="6">
        <f t="shared" si="75"/>
        <v>0</v>
      </c>
    </row>
    <row r="4797" spans="3:4" ht="15" x14ac:dyDescent="0.25">
      <c r="C4797" s="8" t="e">
        <f>VLOOKUP(A:A,'ITEM LIST'!A:C,3,0)</f>
        <v>#N/A</v>
      </c>
      <c r="D4797" s="6">
        <f t="shared" si="75"/>
        <v>0</v>
      </c>
    </row>
    <row r="4798" spans="3:4" ht="15" x14ac:dyDescent="0.25">
      <c r="C4798" s="8" t="e">
        <f>VLOOKUP(A:A,'ITEM LIST'!A:C,3,0)</f>
        <v>#N/A</v>
      </c>
      <c r="D4798" s="6">
        <f t="shared" si="75"/>
        <v>0</v>
      </c>
    </row>
    <row r="4799" spans="3:4" ht="15" x14ac:dyDescent="0.25">
      <c r="C4799" s="8" t="e">
        <f>VLOOKUP(A:A,'ITEM LIST'!A:C,3,0)</f>
        <v>#N/A</v>
      </c>
      <c r="D4799" s="6">
        <f t="shared" si="75"/>
        <v>0</v>
      </c>
    </row>
    <row r="4800" spans="3:4" ht="15" x14ac:dyDescent="0.25">
      <c r="C4800" s="8" t="e">
        <f>VLOOKUP(A:A,'ITEM LIST'!A:C,3,0)</f>
        <v>#N/A</v>
      </c>
      <c r="D4800" s="6">
        <f t="shared" si="75"/>
        <v>0</v>
      </c>
    </row>
    <row r="4801" spans="3:4" ht="15" x14ac:dyDescent="0.25">
      <c r="C4801" s="8" t="e">
        <f>VLOOKUP(A:A,'ITEM LIST'!A:C,3,0)</f>
        <v>#N/A</v>
      </c>
      <c r="D4801" s="6">
        <f t="shared" si="75"/>
        <v>0</v>
      </c>
    </row>
    <row r="4802" spans="3:4" ht="15" x14ac:dyDescent="0.25">
      <c r="C4802" s="8" t="e">
        <f>VLOOKUP(A:A,'ITEM LIST'!A:C,3,0)</f>
        <v>#N/A</v>
      </c>
      <c r="D4802" s="6">
        <f t="shared" si="75"/>
        <v>0</v>
      </c>
    </row>
    <row r="4803" spans="3:4" ht="15" x14ac:dyDescent="0.25">
      <c r="C4803" s="8" t="e">
        <f>VLOOKUP(A:A,'ITEM LIST'!A:C,3,0)</f>
        <v>#N/A</v>
      </c>
      <c r="D4803" s="6">
        <f t="shared" si="75"/>
        <v>0</v>
      </c>
    </row>
    <row r="4804" spans="3:4" ht="15" x14ac:dyDescent="0.25">
      <c r="C4804" s="8" t="e">
        <f>VLOOKUP(A:A,'ITEM LIST'!A:C,3,0)</f>
        <v>#N/A</v>
      </c>
      <c r="D4804" s="6">
        <f t="shared" si="75"/>
        <v>0</v>
      </c>
    </row>
    <row r="4805" spans="3:4" ht="15" x14ac:dyDescent="0.25">
      <c r="C4805" s="8" t="e">
        <f>VLOOKUP(A:A,'ITEM LIST'!A:C,3,0)</f>
        <v>#N/A</v>
      </c>
      <c r="D4805" s="6">
        <f t="shared" si="75"/>
        <v>0</v>
      </c>
    </row>
    <row r="4806" spans="3:4" ht="15" x14ac:dyDescent="0.25">
      <c r="C4806" s="8" t="e">
        <f>VLOOKUP(A:A,'ITEM LIST'!A:C,3,0)</f>
        <v>#N/A</v>
      </c>
      <c r="D4806" s="6">
        <f t="shared" ref="D4806:D4869" si="76">B4806</f>
        <v>0</v>
      </c>
    </row>
    <row r="4807" spans="3:4" ht="15" x14ac:dyDescent="0.25">
      <c r="C4807" s="8" t="e">
        <f>VLOOKUP(A:A,'ITEM LIST'!A:C,3,0)</f>
        <v>#N/A</v>
      </c>
      <c r="D4807" s="6">
        <f t="shared" si="76"/>
        <v>0</v>
      </c>
    </row>
    <row r="4808" spans="3:4" ht="15" x14ac:dyDescent="0.25">
      <c r="C4808" s="8" t="e">
        <f>VLOOKUP(A:A,'ITEM LIST'!A:C,3,0)</f>
        <v>#N/A</v>
      </c>
      <c r="D4808" s="6">
        <f t="shared" si="76"/>
        <v>0</v>
      </c>
    </row>
    <row r="4809" spans="3:4" ht="15" x14ac:dyDescent="0.25">
      <c r="C4809" s="8" t="e">
        <f>VLOOKUP(A:A,'ITEM LIST'!A:C,3,0)</f>
        <v>#N/A</v>
      </c>
      <c r="D4809" s="6">
        <f t="shared" si="76"/>
        <v>0</v>
      </c>
    </row>
    <row r="4810" spans="3:4" ht="15" x14ac:dyDescent="0.25">
      <c r="C4810" s="8" t="e">
        <f>VLOOKUP(A:A,'ITEM LIST'!A:C,3,0)</f>
        <v>#N/A</v>
      </c>
      <c r="D4810" s="6">
        <f t="shared" si="76"/>
        <v>0</v>
      </c>
    </row>
    <row r="4811" spans="3:4" ht="15" x14ac:dyDescent="0.25">
      <c r="C4811" s="8" t="e">
        <f>VLOOKUP(A:A,'ITEM LIST'!A:C,3,0)</f>
        <v>#N/A</v>
      </c>
      <c r="D4811" s="6">
        <f t="shared" si="76"/>
        <v>0</v>
      </c>
    </row>
    <row r="4812" spans="3:4" ht="15" x14ac:dyDescent="0.25">
      <c r="C4812" s="8" t="e">
        <f>VLOOKUP(A:A,'ITEM LIST'!A:C,3,0)</f>
        <v>#N/A</v>
      </c>
      <c r="D4812" s="6">
        <f t="shared" si="76"/>
        <v>0</v>
      </c>
    </row>
    <row r="4813" spans="3:4" ht="15" x14ac:dyDescent="0.25">
      <c r="C4813" s="8" t="e">
        <f>VLOOKUP(A:A,'ITEM LIST'!A:C,3,0)</f>
        <v>#N/A</v>
      </c>
      <c r="D4813" s="6">
        <f t="shared" si="76"/>
        <v>0</v>
      </c>
    </row>
    <row r="4814" spans="3:4" ht="15" x14ac:dyDescent="0.25">
      <c r="C4814" s="8" t="e">
        <f>VLOOKUP(A:A,'ITEM LIST'!A:C,3,0)</f>
        <v>#N/A</v>
      </c>
      <c r="D4814" s="6">
        <f t="shared" si="76"/>
        <v>0</v>
      </c>
    </row>
    <row r="4815" spans="3:4" ht="15" x14ac:dyDescent="0.25">
      <c r="C4815" s="8" t="e">
        <f>VLOOKUP(A:A,'ITEM LIST'!A:C,3,0)</f>
        <v>#N/A</v>
      </c>
      <c r="D4815" s="6">
        <f t="shared" si="76"/>
        <v>0</v>
      </c>
    </row>
    <row r="4816" spans="3:4" ht="15" x14ac:dyDescent="0.25">
      <c r="C4816" s="8" t="e">
        <f>VLOOKUP(A:A,'ITEM LIST'!A:C,3,0)</f>
        <v>#N/A</v>
      </c>
      <c r="D4816" s="6">
        <f t="shared" si="76"/>
        <v>0</v>
      </c>
    </row>
    <row r="4817" spans="3:4" ht="15" x14ac:dyDescent="0.25">
      <c r="C4817" s="8" t="e">
        <f>VLOOKUP(A:A,'ITEM LIST'!A:C,3,0)</f>
        <v>#N/A</v>
      </c>
      <c r="D4817" s="6">
        <f t="shared" si="76"/>
        <v>0</v>
      </c>
    </row>
    <row r="4818" spans="3:4" ht="15" x14ac:dyDescent="0.25">
      <c r="C4818" s="8" t="e">
        <f>VLOOKUP(A:A,'ITEM LIST'!A:C,3,0)</f>
        <v>#N/A</v>
      </c>
      <c r="D4818" s="6">
        <f t="shared" si="76"/>
        <v>0</v>
      </c>
    </row>
    <row r="4819" spans="3:4" ht="15" x14ac:dyDescent="0.25">
      <c r="C4819" s="8" t="e">
        <f>VLOOKUP(A:A,'ITEM LIST'!A:C,3,0)</f>
        <v>#N/A</v>
      </c>
      <c r="D4819" s="6">
        <f t="shared" si="76"/>
        <v>0</v>
      </c>
    </row>
    <row r="4820" spans="3:4" ht="15" x14ac:dyDescent="0.25">
      <c r="C4820" s="8" t="e">
        <f>VLOOKUP(A:A,'ITEM LIST'!A:C,3,0)</f>
        <v>#N/A</v>
      </c>
      <c r="D4820" s="6">
        <f t="shared" si="76"/>
        <v>0</v>
      </c>
    </row>
    <row r="4821" spans="3:4" ht="15" x14ac:dyDescent="0.25">
      <c r="C4821" s="8" t="e">
        <f>VLOOKUP(A:A,'ITEM LIST'!A:C,3,0)</f>
        <v>#N/A</v>
      </c>
      <c r="D4821" s="6">
        <f t="shared" si="76"/>
        <v>0</v>
      </c>
    </row>
    <row r="4822" spans="3:4" ht="15" x14ac:dyDescent="0.25">
      <c r="C4822" s="8" t="e">
        <f>VLOOKUP(A:A,'ITEM LIST'!A:C,3,0)</f>
        <v>#N/A</v>
      </c>
      <c r="D4822" s="6">
        <f t="shared" si="76"/>
        <v>0</v>
      </c>
    </row>
    <row r="4823" spans="3:4" ht="15" x14ac:dyDescent="0.25">
      <c r="C4823" s="8" t="e">
        <f>VLOOKUP(A:A,'ITEM LIST'!A:C,3,0)</f>
        <v>#N/A</v>
      </c>
      <c r="D4823" s="6">
        <f t="shared" si="76"/>
        <v>0</v>
      </c>
    </row>
    <row r="4824" spans="3:4" ht="15" x14ac:dyDescent="0.25">
      <c r="C4824" s="8" t="e">
        <f>VLOOKUP(A:A,'ITEM LIST'!A:C,3,0)</f>
        <v>#N/A</v>
      </c>
      <c r="D4824" s="6">
        <f t="shared" si="76"/>
        <v>0</v>
      </c>
    </row>
    <row r="4825" spans="3:4" ht="15" x14ac:dyDescent="0.25">
      <c r="C4825" s="8" t="e">
        <f>VLOOKUP(A:A,'ITEM LIST'!A:C,3,0)</f>
        <v>#N/A</v>
      </c>
      <c r="D4825" s="6">
        <f t="shared" si="76"/>
        <v>0</v>
      </c>
    </row>
    <row r="4826" spans="3:4" ht="15" x14ac:dyDescent="0.25">
      <c r="C4826" s="8" t="e">
        <f>VLOOKUP(A:A,'ITEM LIST'!A:C,3,0)</f>
        <v>#N/A</v>
      </c>
      <c r="D4826" s="6">
        <f t="shared" si="76"/>
        <v>0</v>
      </c>
    </row>
    <row r="4827" spans="3:4" ht="15" x14ac:dyDescent="0.25">
      <c r="C4827" s="8" t="e">
        <f>VLOOKUP(A:A,'ITEM LIST'!A:C,3,0)</f>
        <v>#N/A</v>
      </c>
      <c r="D4827" s="6">
        <f t="shared" si="76"/>
        <v>0</v>
      </c>
    </row>
    <row r="4828" spans="3:4" ht="15" x14ac:dyDescent="0.25">
      <c r="C4828" s="8" t="e">
        <f>VLOOKUP(A:A,'ITEM LIST'!A:C,3,0)</f>
        <v>#N/A</v>
      </c>
      <c r="D4828" s="6">
        <f t="shared" si="76"/>
        <v>0</v>
      </c>
    </row>
    <row r="4829" spans="3:4" ht="15" x14ac:dyDescent="0.25">
      <c r="C4829" s="8" t="e">
        <f>VLOOKUP(A:A,'ITEM LIST'!A:C,3,0)</f>
        <v>#N/A</v>
      </c>
      <c r="D4829" s="6">
        <f t="shared" si="76"/>
        <v>0</v>
      </c>
    </row>
    <row r="4830" spans="3:4" ht="15" x14ac:dyDescent="0.25">
      <c r="C4830" s="8" t="e">
        <f>VLOOKUP(A:A,'ITEM LIST'!A:C,3,0)</f>
        <v>#N/A</v>
      </c>
      <c r="D4830" s="6">
        <f t="shared" si="76"/>
        <v>0</v>
      </c>
    </row>
    <row r="4831" spans="3:4" ht="15" x14ac:dyDescent="0.25">
      <c r="C4831" s="8" t="e">
        <f>VLOOKUP(A:A,'ITEM LIST'!A:C,3,0)</f>
        <v>#N/A</v>
      </c>
      <c r="D4831" s="6">
        <f t="shared" si="76"/>
        <v>0</v>
      </c>
    </row>
    <row r="4832" spans="3:4" ht="15" x14ac:dyDescent="0.25">
      <c r="C4832" s="8" t="e">
        <f>VLOOKUP(A:A,'ITEM LIST'!A:C,3,0)</f>
        <v>#N/A</v>
      </c>
      <c r="D4832" s="6">
        <f t="shared" si="76"/>
        <v>0</v>
      </c>
    </row>
    <row r="4833" spans="3:4" ht="15" x14ac:dyDescent="0.25">
      <c r="C4833" s="8" t="e">
        <f>VLOOKUP(A:A,'ITEM LIST'!A:C,3,0)</f>
        <v>#N/A</v>
      </c>
      <c r="D4833" s="6">
        <f t="shared" si="76"/>
        <v>0</v>
      </c>
    </row>
    <row r="4834" spans="3:4" ht="15" x14ac:dyDescent="0.25">
      <c r="C4834" s="8" t="e">
        <f>VLOOKUP(A:A,'ITEM LIST'!A:C,3,0)</f>
        <v>#N/A</v>
      </c>
      <c r="D4834" s="6">
        <f t="shared" si="76"/>
        <v>0</v>
      </c>
    </row>
    <row r="4835" spans="3:4" ht="15" x14ac:dyDescent="0.25">
      <c r="C4835" s="8" t="e">
        <f>VLOOKUP(A:A,'ITEM LIST'!A:C,3,0)</f>
        <v>#N/A</v>
      </c>
      <c r="D4835" s="6">
        <f t="shared" si="76"/>
        <v>0</v>
      </c>
    </row>
    <row r="4836" spans="3:4" ht="15" x14ac:dyDescent="0.25">
      <c r="C4836" s="8" t="e">
        <f>VLOOKUP(A:A,'ITEM LIST'!A:C,3,0)</f>
        <v>#N/A</v>
      </c>
      <c r="D4836" s="6">
        <f t="shared" si="76"/>
        <v>0</v>
      </c>
    </row>
    <row r="4837" spans="3:4" ht="15" x14ac:dyDescent="0.25">
      <c r="C4837" s="8" t="e">
        <f>VLOOKUP(A:A,'ITEM LIST'!A:C,3,0)</f>
        <v>#N/A</v>
      </c>
      <c r="D4837" s="6">
        <f t="shared" si="76"/>
        <v>0</v>
      </c>
    </row>
    <row r="4838" spans="3:4" ht="15" x14ac:dyDescent="0.25">
      <c r="C4838" s="8" t="e">
        <f>VLOOKUP(A:A,'ITEM LIST'!A:C,3,0)</f>
        <v>#N/A</v>
      </c>
      <c r="D4838" s="6">
        <f t="shared" si="76"/>
        <v>0</v>
      </c>
    </row>
    <row r="4839" spans="3:4" ht="15" x14ac:dyDescent="0.25">
      <c r="C4839" s="8" t="e">
        <f>VLOOKUP(A:A,'ITEM LIST'!A:C,3,0)</f>
        <v>#N/A</v>
      </c>
      <c r="D4839" s="6">
        <f t="shared" si="76"/>
        <v>0</v>
      </c>
    </row>
    <row r="4840" spans="3:4" ht="15" x14ac:dyDescent="0.25">
      <c r="C4840" s="8" t="e">
        <f>VLOOKUP(A:A,'ITEM LIST'!A:C,3,0)</f>
        <v>#N/A</v>
      </c>
      <c r="D4840" s="6">
        <f t="shared" si="76"/>
        <v>0</v>
      </c>
    </row>
    <row r="4841" spans="3:4" ht="15" x14ac:dyDescent="0.25">
      <c r="C4841" s="8" t="e">
        <f>VLOOKUP(A:A,'ITEM LIST'!A:C,3,0)</f>
        <v>#N/A</v>
      </c>
      <c r="D4841" s="6">
        <f t="shared" si="76"/>
        <v>0</v>
      </c>
    </row>
    <row r="4842" spans="3:4" ht="15" x14ac:dyDescent="0.25">
      <c r="C4842" s="8" t="e">
        <f>VLOOKUP(A:A,'ITEM LIST'!A:C,3,0)</f>
        <v>#N/A</v>
      </c>
      <c r="D4842" s="6">
        <f t="shared" si="76"/>
        <v>0</v>
      </c>
    </row>
    <row r="4843" spans="3:4" ht="15" x14ac:dyDescent="0.25">
      <c r="C4843" s="8" t="e">
        <f>VLOOKUP(A:A,'ITEM LIST'!A:C,3,0)</f>
        <v>#N/A</v>
      </c>
      <c r="D4843" s="6">
        <f t="shared" si="76"/>
        <v>0</v>
      </c>
    </row>
    <row r="4844" spans="3:4" ht="15" x14ac:dyDescent="0.25">
      <c r="C4844" s="8" t="e">
        <f>VLOOKUP(A:A,'ITEM LIST'!A:C,3,0)</f>
        <v>#N/A</v>
      </c>
      <c r="D4844" s="6">
        <f t="shared" si="76"/>
        <v>0</v>
      </c>
    </row>
    <row r="4845" spans="3:4" ht="15" x14ac:dyDescent="0.25">
      <c r="C4845" s="8" t="e">
        <f>VLOOKUP(A:A,'ITEM LIST'!A:C,3,0)</f>
        <v>#N/A</v>
      </c>
      <c r="D4845" s="6">
        <f t="shared" si="76"/>
        <v>0</v>
      </c>
    </row>
    <row r="4846" spans="3:4" ht="15" x14ac:dyDescent="0.25">
      <c r="C4846" s="8" t="e">
        <f>VLOOKUP(A:A,'ITEM LIST'!A:C,3,0)</f>
        <v>#N/A</v>
      </c>
      <c r="D4846" s="6">
        <f t="shared" si="76"/>
        <v>0</v>
      </c>
    </row>
    <row r="4847" spans="3:4" ht="15" x14ac:dyDescent="0.25">
      <c r="C4847" s="8" t="e">
        <f>VLOOKUP(A:A,'ITEM LIST'!A:C,3,0)</f>
        <v>#N/A</v>
      </c>
      <c r="D4847" s="6">
        <f t="shared" si="76"/>
        <v>0</v>
      </c>
    </row>
    <row r="4848" spans="3:4" ht="15" x14ac:dyDescent="0.25">
      <c r="C4848" s="8" t="e">
        <f>VLOOKUP(A:A,'ITEM LIST'!A:C,3,0)</f>
        <v>#N/A</v>
      </c>
      <c r="D4848" s="6">
        <f t="shared" si="76"/>
        <v>0</v>
      </c>
    </row>
    <row r="4849" spans="3:4" ht="15" x14ac:dyDescent="0.25">
      <c r="C4849" s="8" t="e">
        <f>VLOOKUP(A:A,'ITEM LIST'!A:C,3,0)</f>
        <v>#N/A</v>
      </c>
      <c r="D4849" s="6">
        <f t="shared" si="76"/>
        <v>0</v>
      </c>
    </row>
    <row r="4850" spans="3:4" ht="15" x14ac:dyDescent="0.25">
      <c r="C4850" s="8" t="e">
        <f>VLOOKUP(A:A,'ITEM LIST'!A:C,3,0)</f>
        <v>#N/A</v>
      </c>
      <c r="D4850" s="6">
        <f t="shared" si="76"/>
        <v>0</v>
      </c>
    </row>
    <row r="4851" spans="3:4" ht="15" x14ac:dyDescent="0.25">
      <c r="C4851" s="8" t="e">
        <f>VLOOKUP(A:A,'ITEM LIST'!A:C,3,0)</f>
        <v>#N/A</v>
      </c>
      <c r="D4851" s="6">
        <f t="shared" si="76"/>
        <v>0</v>
      </c>
    </row>
    <row r="4852" spans="3:4" ht="15" x14ac:dyDescent="0.25">
      <c r="C4852" s="8" t="e">
        <f>VLOOKUP(A:A,'ITEM LIST'!A:C,3,0)</f>
        <v>#N/A</v>
      </c>
      <c r="D4852" s="6">
        <f t="shared" si="76"/>
        <v>0</v>
      </c>
    </row>
    <row r="4853" spans="3:4" ht="15" x14ac:dyDescent="0.25">
      <c r="C4853" s="8" t="e">
        <f>VLOOKUP(A:A,'ITEM LIST'!A:C,3,0)</f>
        <v>#N/A</v>
      </c>
      <c r="D4853" s="6">
        <f t="shared" si="76"/>
        <v>0</v>
      </c>
    </row>
    <row r="4854" spans="3:4" ht="15" x14ac:dyDescent="0.25">
      <c r="C4854" s="8" t="e">
        <f>VLOOKUP(A:A,'ITEM LIST'!A:C,3,0)</f>
        <v>#N/A</v>
      </c>
      <c r="D4854" s="6">
        <f t="shared" si="76"/>
        <v>0</v>
      </c>
    </row>
    <row r="4855" spans="3:4" ht="15" x14ac:dyDescent="0.25">
      <c r="C4855" s="8" t="e">
        <f>VLOOKUP(A:A,'ITEM LIST'!A:C,3,0)</f>
        <v>#N/A</v>
      </c>
      <c r="D4855" s="6">
        <f t="shared" si="76"/>
        <v>0</v>
      </c>
    </row>
    <row r="4856" spans="3:4" ht="15" x14ac:dyDescent="0.25">
      <c r="C4856" s="8" t="e">
        <f>VLOOKUP(A:A,'ITEM LIST'!A:C,3,0)</f>
        <v>#N/A</v>
      </c>
      <c r="D4856" s="6">
        <f t="shared" si="76"/>
        <v>0</v>
      </c>
    </row>
    <row r="4857" spans="3:4" ht="15" x14ac:dyDescent="0.25">
      <c r="C4857" s="8" t="e">
        <f>VLOOKUP(A:A,'ITEM LIST'!A:C,3,0)</f>
        <v>#N/A</v>
      </c>
      <c r="D4857" s="6">
        <f t="shared" si="76"/>
        <v>0</v>
      </c>
    </row>
    <row r="4858" spans="3:4" ht="15" x14ac:dyDescent="0.25">
      <c r="C4858" s="8" t="e">
        <f>VLOOKUP(A:A,'ITEM LIST'!A:C,3,0)</f>
        <v>#N/A</v>
      </c>
      <c r="D4858" s="6">
        <f t="shared" si="76"/>
        <v>0</v>
      </c>
    </row>
    <row r="4859" spans="3:4" ht="15" x14ac:dyDescent="0.25">
      <c r="C4859" s="8" t="e">
        <f>VLOOKUP(A:A,'ITEM LIST'!A:C,3,0)</f>
        <v>#N/A</v>
      </c>
      <c r="D4859" s="6">
        <f t="shared" si="76"/>
        <v>0</v>
      </c>
    </row>
    <row r="4860" spans="3:4" ht="15" x14ac:dyDescent="0.25">
      <c r="C4860" s="8" t="e">
        <f>VLOOKUP(A:A,'ITEM LIST'!A:C,3,0)</f>
        <v>#N/A</v>
      </c>
      <c r="D4860" s="6">
        <f t="shared" si="76"/>
        <v>0</v>
      </c>
    </row>
    <row r="4861" spans="3:4" ht="15" x14ac:dyDescent="0.25">
      <c r="C4861" s="8" t="e">
        <f>VLOOKUP(A:A,'ITEM LIST'!A:C,3,0)</f>
        <v>#N/A</v>
      </c>
      <c r="D4861" s="6">
        <f t="shared" si="76"/>
        <v>0</v>
      </c>
    </row>
    <row r="4862" spans="3:4" ht="15" x14ac:dyDescent="0.25">
      <c r="C4862" s="8" t="e">
        <f>VLOOKUP(A:A,'ITEM LIST'!A:C,3,0)</f>
        <v>#N/A</v>
      </c>
      <c r="D4862" s="6">
        <f t="shared" si="76"/>
        <v>0</v>
      </c>
    </row>
    <row r="4863" spans="3:4" ht="15" x14ac:dyDescent="0.25">
      <c r="C4863" s="8" t="e">
        <f>VLOOKUP(A:A,'ITEM LIST'!A:C,3,0)</f>
        <v>#N/A</v>
      </c>
      <c r="D4863" s="6">
        <f t="shared" si="76"/>
        <v>0</v>
      </c>
    </row>
    <row r="4864" spans="3:4" ht="15" x14ac:dyDescent="0.25">
      <c r="C4864" s="8" t="e">
        <f>VLOOKUP(A:A,'ITEM LIST'!A:C,3,0)</f>
        <v>#N/A</v>
      </c>
      <c r="D4864" s="6">
        <f t="shared" si="76"/>
        <v>0</v>
      </c>
    </row>
    <row r="4865" spans="3:4" ht="15" x14ac:dyDescent="0.25">
      <c r="C4865" s="8" t="e">
        <f>VLOOKUP(A:A,'ITEM LIST'!A:C,3,0)</f>
        <v>#N/A</v>
      </c>
      <c r="D4865" s="6">
        <f t="shared" si="76"/>
        <v>0</v>
      </c>
    </row>
    <row r="4866" spans="3:4" ht="15" x14ac:dyDescent="0.25">
      <c r="C4866" s="8" t="e">
        <f>VLOOKUP(A:A,'ITEM LIST'!A:C,3,0)</f>
        <v>#N/A</v>
      </c>
      <c r="D4866" s="6">
        <f t="shared" si="76"/>
        <v>0</v>
      </c>
    </row>
    <row r="4867" spans="3:4" ht="15" x14ac:dyDescent="0.25">
      <c r="C4867" s="8" t="e">
        <f>VLOOKUP(A:A,'ITEM LIST'!A:C,3,0)</f>
        <v>#N/A</v>
      </c>
      <c r="D4867" s="6">
        <f t="shared" si="76"/>
        <v>0</v>
      </c>
    </row>
    <row r="4868" spans="3:4" ht="15" x14ac:dyDescent="0.25">
      <c r="C4868" s="8" t="e">
        <f>VLOOKUP(A:A,'ITEM LIST'!A:C,3,0)</f>
        <v>#N/A</v>
      </c>
      <c r="D4868" s="6">
        <f t="shared" si="76"/>
        <v>0</v>
      </c>
    </row>
    <row r="4869" spans="3:4" ht="15" x14ac:dyDescent="0.25">
      <c r="C4869" s="8" t="e">
        <f>VLOOKUP(A:A,'ITEM LIST'!A:C,3,0)</f>
        <v>#N/A</v>
      </c>
      <c r="D4869" s="6">
        <f t="shared" si="76"/>
        <v>0</v>
      </c>
    </row>
    <row r="4870" spans="3:4" ht="15" x14ac:dyDescent="0.25">
      <c r="C4870" s="8" t="e">
        <f>VLOOKUP(A:A,'ITEM LIST'!A:C,3,0)</f>
        <v>#N/A</v>
      </c>
      <c r="D4870" s="6">
        <f t="shared" ref="D4870:D4933" si="77">B4870</f>
        <v>0</v>
      </c>
    </row>
    <row r="4871" spans="3:4" ht="15" x14ac:dyDescent="0.25">
      <c r="C4871" s="8" t="e">
        <f>VLOOKUP(A:A,'ITEM LIST'!A:C,3,0)</f>
        <v>#N/A</v>
      </c>
      <c r="D4871" s="6">
        <f t="shared" si="77"/>
        <v>0</v>
      </c>
    </row>
    <row r="4872" spans="3:4" ht="15" x14ac:dyDescent="0.25">
      <c r="C4872" s="8" t="e">
        <f>VLOOKUP(A:A,'ITEM LIST'!A:C,3,0)</f>
        <v>#N/A</v>
      </c>
      <c r="D4872" s="6">
        <f t="shared" si="77"/>
        <v>0</v>
      </c>
    </row>
    <row r="4873" spans="3:4" ht="15" x14ac:dyDescent="0.25">
      <c r="C4873" s="8" t="e">
        <f>VLOOKUP(A:A,'ITEM LIST'!A:C,3,0)</f>
        <v>#N/A</v>
      </c>
      <c r="D4873" s="6">
        <f t="shared" si="77"/>
        <v>0</v>
      </c>
    </row>
    <row r="4874" spans="3:4" ht="15" x14ac:dyDescent="0.25">
      <c r="C4874" s="8" t="e">
        <f>VLOOKUP(A:A,'ITEM LIST'!A:C,3,0)</f>
        <v>#N/A</v>
      </c>
      <c r="D4874" s="6">
        <f t="shared" si="77"/>
        <v>0</v>
      </c>
    </row>
    <row r="4875" spans="3:4" ht="15" x14ac:dyDescent="0.25">
      <c r="C4875" s="8" t="e">
        <f>VLOOKUP(A:A,'ITEM LIST'!A:C,3,0)</f>
        <v>#N/A</v>
      </c>
      <c r="D4875" s="6">
        <f t="shared" si="77"/>
        <v>0</v>
      </c>
    </row>
    <row r="4876" spans="3:4" ht="15" x14ac:dyDescent="0.25">
      <c r="C4876" s="8" t="e">
        <f>VLOOKUP(A:A,'ITEM LIST'!A:C,3,0)</f>
        <v>#N/A</v>
      </c>
      <c r="D4876" s="6">
        <f t="shared" si="77"/>
        <v>0</v>
      </c>
    </row>
    <row r="4877" spans="3:4" ht="15" x14ac:dyDescent="0.25">
      <c r="C4877" s="8" t="e">
        <f>VLOOKUP(A:A,'ITEM LIST'!A:C,3,0)</f>
        <v>#N/A</v>
      </c>
      <c r="D4877" s="6">
        <f t="shared" si="77"/>
        <v>0</v>
      </c>
    </row>
    <row r="4878" spans="3:4" ht="15" x14ac:dyDescent="0.25">
      <c r="C4878" s="8" t="e">
        <f>VLOOKUP(A:A,'ITEM LIST'!A:C,3,0)</f>
        <v>#N/A</v>
      </c>
      <c r="D4878" s="6">
        <f t="shared" si="77"/>
        <v>0</v>
      </c>
    </row>
    <row r="4879" spans="3:4" ht="15" x14ac:dyDescent="0.25">
      <c r="C4879" s="8" t="e">
        <f>VLOOKUP(A:A,'ITEM LIST'!A:C,3,0)</f>
        <v>#N/A</v>
      </c>
      <c r="D4879" s="6">
        <f t="shared" si="77"/>
        <v>0</v>
      </c>
    </row>
    <row r="4880" spans="3:4" ht="15" x14ac:dyDescent="0.25">
      <c r="C4880" s="8" t="e">
        <f>VLOOKUP(A:A,'ITEM LIST'!A:C,3,0)</f>
        <v>#N/A</v>
      </c>
      <c r="D4880" s="6">
        <f t="shared" si="77"/>
        <v>0</v>
      </c>
    </row>
    <row r="4881" spans="3:4" ht="15" x14ac:dyDescent="0.25">
      <c r="C4881" s="8" t="e">
        <f>VLOOKUP(A:A,'ITEM LIST'!A:C,3,0)</f>
        <v>#N/A</v>
      </c>
      <c r="D4881" s="6">
        <f t="shared" si="77"/>
        <v>0</v>
      </c>
    </row>
    <row r="4882" spans="3:4" ht="15" x14ac:dyDescent="0.25">
      <c r="C4882" s="8" t="e">
        <f>VLOOKUP(A:A,'ITEM LIST'!A:C,3,0)</f>
        <v>#N/A</v>
      </c>
      <c r="D4882" s="6">
        <f t="shared" si="77"/>
        <v>0</v>
      </c>
    </row>
    <row r="4883" spans="3:4" ht="15" x14ac:dyDescent="0.25">
      <c r="C4883" s="8" t="e">
        <f>VLOOKUP(A:A,'ITEM LIST'!A:C,3,0)</f>
        <v>#N/A</v>
      </c>
      <c r="D4883" s="6">
        <f t="shared" si="77"/>
        <v>0</v>
      </c>
    </row>
    <row r="4884" spans="3:4" ht="15" x14ac:dyDescent="0.25">
      <c r="C4884" s="8" t="e">
        <f>VLOOKUP(A:A,'ITEM LIST'!A:C,3,0)</f>
        <v>#N/A</v>
      </c>
      <c r="D4884" s="6">
        <f t="shared" si="77"/>
        <v>0</v>
      </c>
    </row>
    <row r="4885" spans="3:4" ht="15" x14ac:dyDescent="0.25">
      <c r="C4885" s="8" t="e">
        <f>VLOOKUP(A:A,'ITEM LIST'!A:C,3,0)</f>
        <v>#N/A</v>
      </c>
      <c r="D4885" s="6">
        <f t="shared" si="77"/>
        <v>0</v>
      </c>
    </row>
    <row r="4886" spans="3:4" ht="15" x14ac:dyDescent="0.25">
      <c r="C4886" s="8" t="e">
        <f>VLOOKUP(A:A,'ITEM LIST'!A:C,3,0)</f>
        <v>#N/A</v>
      </c>
      <c r="D4886" s="6">
        <f t="shared" si="77"/>
        <v>0</v>
      </c>
    </row>
    <row r="4887" spans="3:4" ht="15" x14ac:dyDescent="0.25">
      <c r="C4887" s="8" t="e">
        <f>VLOOKUP(A:A,'ITEM LIST'!A:C,3,0)</f>
        <v>#N/A</v>
      </c>
      <c r="D4887" s="6">
        <f t="shared" si="77"/>
        <v>0</v>
      </c>
    </row>
    <row r="4888" spans="3:4" ht="15" x14ac:dyDescent="0.25">
      <c r="C4888" s="8" t="e">
        <f>VLOOKUP(A:A,'ITEM LIST'!A:C,3,0)</f>
        <v>#N/A</v>
      </c>
      <c r="D4888" s="6">
        <f t="shared" si="77"/>
        <v>0</v>
      </c>
    </row>
    <row r="4889" spans="3:4" ht="15" x14ac:dyDescent="0.25">
      <c r="C4889" s="8" t="e">
        <f>VLOOKUP(A:A,'ITEM LIST'!A:C,3,0)</f>
        <v>#N/A</v>
      </c>
      <c r="D4889" s="6">
        <f t="shared" si="77"/>
        <v>0</v>
      </c>
    </row>
    <row r="4890" spans="3:4" ht="15" x14ac:dyDescent="0.25">
      <c r="C4890" s="8" t="e">
        <f>VLOOKUP(A:A,'ITEM LIST'!A:C,3,0)</f>
        <v>#N/A</v>
      </c>
      <c r="D4890" s="6">
        <f t="shared" si="77"/>
        <v>0</v>
      </c>
    </row>
    <row r="4891" spans="3:4" ht="15" x14ac:dyDescent="0.25">
      <c r="C4891" s="8" t="e">
        <f>VLOOKUP(A:A,'ITEM LIST'!A:C,3,0)</f>
        <v>#N/A</v>
      </c>
      <c r="D4891" s="6">
        <f t="shared" si="77"/>
        <v>0</v>
      </c>
    </row>
    <row r="4892" spans="3:4" ht="15" x14ac:dyDescent="0.25">
      <c r="C4892" s="8" t="e">
        <f>VLOOKUP(A:A,'ITEM LIST'!A:C,3,0)</f>
        <v>#N/A</v>
      </c>
      <c r="D4892" s="6">
        <f t="shared" si="77"/>
        <v>0</v>
      </c>
    </row>
    <row r="4893" spans="3:4" ht="15" x14ac:dyDescent="0.25">
      <c r="C4893" s="8" t="e">
        <f>VLOOKUP(A:A,'ITEM LIST'!A:C,3,0)</f>
        <v>#N/A</v>
      </c>
      <c r="D4893" s="6">
        <f t="shared" si="77"/>
        <v>0</v>
      </c>
    </row>
    <row r="4894" spans="3:4" ht="15" x14ac:dyDescent="0.25">
      <c r="C4894" s="8" t="e">
        <f>VLOOKUP(A:A,'ITEM LIST'!A:C,3,0)</f>
        <v>#N/A</v>
      </c>
      <c r="D4894" s="6">
        <f t="shared" si="77"/>
        <v>0</v>
      </c>
    </row>
    <row r="4895" spans="3:4" ht="15" x14ac:dyDescent="0.25">
      <c r="C4895" s="8" t="e">
        <f>VLOOKUP(A:A,'ITEM LIST'!A:C,3,0)</f>
        <v>#N/A</v>
      </c>
      <c r="D4895" s="6">
        <f t="shared" si="77"/>
        <v>0</v>
      </c>
    </row>
    <row r="4896" spans="3:4" ht="15" x14ac:dyDescent="0.25">
      <c r="C4896" s="8" t="e">
        <f>VLOOKUP(A:A,'ITEM LIST'!A:C,3,0)</f>
        <v>#N/A</v>
      </c>
      <c r="D4896" s="6">
        <f t="shared" si="77"/>
        <v>0</v>
      </c>
    </row>
    <row r="4897" spans="3:4" ht="15" x14ac:dyDescent="0.25">
      <c r="C4897" s="8" t="e">
        <f>VLOOKUP(A:A,'ITEM LIST'!A:C,3,0)</f>
        <v>#N/A</v>
      </c>
      <c r="D4897" s="6">
        <f t="shared" si="77"/>
        <v>0</v>
      </c>
    </row>
    <row r="4898" spans="3:4" ht="15" x14ac:dyDescent="0.25">
      <c r="C4898" s="8" t="e">
        <f>VLOOKUP(A:A,'ITEM LIST'!A:C,3,0)</f>
        <v>#N/A</v>
      </c>
      <c r="D4898" s="6">
        <f t="shared" si="77"/>
        <v>0</v>
      </c>
    </row>
    <row r="4899" spans="3:4" ht="15" x14ac:dyDescent="0.25">
      <c r="C4899" s="8" t="e">
        <f>VLOOKUP(A:A,'ITEM LIST'!A:C,3,0)</f>
        <v>#N/A</v>
      </c>
      <c r="D4899" s="6">
        <f t="shared" si="77"/>
        <v>0</v>
      </c>
    </row>
    <row r="4900" spans="3:4" ht="15" x14ac:dyDescent="0.25">
      <c r="C4900" s="8" t="e">
        <f>VLOOKUP(A:A,'ITEM LIST'!A:C,3,0)</f>
        <v>#N/A</v>
      </c>
      <c r="D4900" s="6">
        <f t="shared" si="77"/>
        <v>0</v>
      </c>
    </row>
    <row r="4901" spans="3:4" ht="15" x14ac:dyDescent="0.25">
      <c r="C4901" s="8" t="e">
        <f>VLOOKUP(A:A,'ITEM LIST'!A:C,3,0)</f>
        <v>#N/A</v>
      </c>
      <c r="D4901" s="6">
        <f t="shared" si="77"/>
        <v>0</v>
      </c>
    </row>
    <row r="4902" spans="3:4" ht="15" x14ac:dyDescent="0.25">
      <c r="C4902" s="8" t="e">
        <f>VLOOKUP(A:A,'ITEM LIST'!A:C,3,0)</f>
        <v>#N/A</v>
      </c>
      <c r="D4902" s="6">
        <f t="shared" si="77"/>
        <v>0</v>
      </c>
    </row>
    <row r="4903" spans="3:4" ht="15" x14ac:dyDescent="0.25">
      <c r="C4903" s="8" t="e">
        <f>VLOOKUP(A:A,'ITEM LIST'!A:C,3,0)</f>
        <v>#N/A</v>
      </c>
      <c r="D4903" s="6">
        <f t="shared" si="77"/>
        <v>0</v>
      </c>
    </row>
    <row r="4904" spans="3:4" ht="15" x14ac:dyDescent="0.25">
      <c r="C4904" s="8" t="e">
        <f>VLOOKUP(A:A,'ITEM LIST'!A:C,3,0)</f>
        <v>#N/A</v>
      </c>
      <c r="D4904" s="6">
        <f t="shared" si="77"/>
        <v>0</v>
      </c>
    </row>
    <row r="4905" spans="3:4" ht="15" x14ac:dyDescent="0.25">
      <c r="C4905" s="8" t="e">
        <f>VLOOKUP(A:A,'ITEM LIST'!A:C,3,0)</f>
        <v>#N/A</v>
      </c>
      <c r="D4905" s="6">
        <f t="shared" si="77"/>
        <v>0</v>
      </c>
    </row>
    <row r="4906" spans="3:4" ht="15" x14ac:dyDescent="0.25">
      <c r="C4906" s="8" t="e">
        <f>VLOOKUP(A:A,'ITEM LIST'!A:C,3,0)</f>
        <v>#N/A</v>
      </c>
      <c r="D4906" s="6">
        <f t="shared" si="77"/>
        <v>0</v>
      </c>
    </row>
    <row r="4907" spans="3:4" ht="15" x14ac:dyDescent="0.25">
      <c r="C4907" s="8" t="e">
        <f>VLOOKUP(A:A,'ITEM LIST'!A:C,3,0)</f>
        <v>#N/A</v>
      </c>
      <c r="D4907" s="6">
        <f t="shared" si="77"/>
        <v>0</v>
      </c>
    </row>
    <row r="4908" spans="3:4" ht="15" x14ac:dyDescent="0.25">
      <c r="C4908" s="8" t="e">
        <f>VLOOKUP(A:A,'ITEM LIST'!A:C,3,0)</f>
        <v>#N/A</v>
      </c>
      <c r="D4908" s="6">
        <f t="shared" si="77"/>
        <v>0</v>
      </c>
    </row>
    <row r="4909" spans="3:4" ht="15" x14ac:dyDescent="0.25">
      <c r="C4909" s="8" t="e">
        <f>VLOOKUP(A:A,'ITEM LIST'!A:C,3,0)</f>
        <v>#N/A</v>
      </c>
      <c r="D4909" s="6">
        <f t="shared" si="77"/>
        <v>0</v>
      </c>
    </row>
    <row r="4910" spans="3:4" ht="15" x14ac:dyDescent="0.25">
      <c r="C4910" s="8" t="e">
        <f>VLOOKUP(A:A,'ITEM LIST'!A:C,3,0)</f>
        <v>#N/A</v>
      </c>
      <c r="D4910" s="6">
        <f t="shared" si="77"/>
        <v>0</v>
      </c>
    </row>
    <row r="4911" spans="3:4" ht="15" x14ac:dyDescent="0.25">
      <c r="C4911" s="8" t="e">
        <f>VLOOKUP(A:A,'ITEM LIST'!A:C,3,0)</f>
        <v>#N/A</v>
      </c>
      <c r="D4911" s="6">
        <f t="shared" si="77"/>
        <v>0</v>
      </c>
    </row>
    <row r="4912" spans="3:4" ht="15" x14ac:dyDescent="0.25">
      <c r="C4912" s="8" t="e">
        <f>VLOOKUP(A:A,'ITEM LIST'!A:C,3,0)</f>
        <v>#N/A</v>
      </c>
      <c r="D4912" s="6">
        <f t="shared" si="77"/>
        <v>0</v>
      </c>
    </row>
    <row r="4913" spans="3:4" ht="15" x14ac:dyDescent="0.25">
      <c r="C4913" s="8" t="e">
        <f>VLOOKUP(A:A,'ITEM LIST'!A:C,3,0)</f>
        <v>#N/A</v>
      </c>
      <c r="D4913" s="6">
        <f t="shared" si="77"/>
        <v>0</v>
      </c>
    </row>
    <row r="4914" spans="3:4" ht="15" x14ac:dyDescent="0.25">
      <c r="C4914" s="8" t="e">
        <f>VLOOKUP(A:A,'ITEM LIST'!A:C,3,0)</f>
        <v>#N/A</v>
      </c>
      <c r="D4914" s="6">
        <f t="shared" si="77"/>
        <v>0</v>
      </c>
    </row>
    <row r="4915" spans="3:4" ht="15" x14ac:dyDescent="0.25">
      <c r="C4915" s="8" t="e">
        <f>VLOOKUP(A:A,'ITEM LIST'!A:C,3,0)</f>
        <v>#N/A</v>
      </c>
      <c r="D4915" s="6">
        <f t="shared" si="77"/>
        <v>0</v>
      </c>
    </row>
    <row r="4916" spans="3:4" ht="15" x14ac:dyDescent="0.25">
      <c r="C4916" s="8" t="e">
        <f>VLOOKUP(A:A,'ITEM LIST'!A:C,3,0)</f>
        <v>#N/A</v>
      </c>
      <c r="D4916" s="6">
        <f t="shared" si="77"/>
        <v>0</v>
      </c>
    </row>
    <row r="4917" spans="3:4" ht="15" x14ac:dyDescent="0.25">
      <c r="C4917" s="8" t="e">
        <f>VLOOKUP(A:A,'ITEM LIST'!A:C,3,0)</f>
        <v>#N/A</v>
      </c>
      <c r="D4917" s="6">
        <f t="shared" si="77"/>
        <v>0</v>
      </c>
    </row>
    <row r="4918" spans="3:4" ht="15" x14ac:dyDescent="0.25">
      <c r="C4918" s="8" t="e">
        <f>VLOOKUP(A:A,'ITEM LIST'!A:C,3,0)</f>
        <v>#N/A</v>
      </c>
      <c r="D4918" s="6">
        <f t="shared" si="77"/>
        <v>0</v>
      </c>
    </row>
    <row r="4919" spans="3:4" ht="15" x14ac:dyDescent="0.25">
      <c r="C4919" s="8" t="e">
        <f>VLOOKUP(A:A,'ITEM LIST'!A:C,3,0)</f>
        <v>#N/A</v>
      </c>
      <c r="D4919" s="6">
        <f t="shared" si="77"/>
        <v>0</v>
      </c>
    </row>
    <row r="4920" spans="3:4" ht="15" x14ac:dyDescent="0.25">
      <c r="C4920" s="8" t="e">
        <f>VLOOKUP(A:A,'ITEM LIST'!A:C,3,0)</f>
        <v>#N/A</v>
      </c>
      <c r="D4920" s="6">
        <f t="shared" si="77"/>
        <v>0</v>
      </c>
    </row>
    <row r="4921" spans="3:4" ht="15" x14ac:dyDescent="0.25">
      <c r="C4921" s="8" t="e">
        <f>VLOOKUP(A:A,'ITEM LIST'!A:C,3,0)</f>
        <v>#N/A</v>
      </c>
      <c r="D4921" s="6">
        <f t="shared" si="77"/>
        <v>0</v>
      </c>
    </row>
    <row r="4922" spans="3:4" ht="15" x14ac:dyDescent="0.25">
      <c r="C4922" s="8" t="e">
        <f>VLOOKUP(A:A,'ITEM LIST'!A:C,3,0)</f>
        <v>#N/A</v>
      </c>
      <c r="D4922" s="6">
        <f t="shared" si="77"/>
        <v>0</v>
      </c>
    </row>
    <row r="4923" spans="3:4" ht="15" x14ac:dyDescent="0.25">
      <c r="C4923" s="8" t="e">
        <f>VLOOKUP(A:A,'ITEM LIST'!A:C,3,0)</f>
        <v>#N/A</v>
      </c>
      <c r="D4923" s="6">
        <f t="shared" si="77"/>
        <v>0</v>
      </c>
    </row>
    <row r="4924" spans="3:4" ht="15" x14ac:dyDescent="0.25">
      <c r="C4924" s="8" t="e">
        <f>VLOOKUP(A:A,'ITEM LIST'!A:C,3,0)</f>
        <v>#N/A</v>
      </c>
      <c r="D4924" s="6">
        <f t="shared" si="77"/>
        <v>0</v>
      </c>
    </row>
    <row r="4925" spans="3:4" ht="15" x14ac:dyDescent="0.25">
      <c r="C4925" s="8" t="e">
        <f>VLOOKUP(A:A,'ITEM LIST'!A:C,3,0)</f>
        <v>#N/A</v>
      </c>
      <c r="D4925" s="6">
        <f t="shared" si="77"/>
        <v>0</v>
      </c>
    </row>
    <row r="4926" spans="3:4" ht="15" x14ac:dyDescent="0.25">
      <c r="C4926" s="8" t="e">
        <f>VLOOKUP(A:A,'ITEM LIST'!A:C,3,0)</f>
        <v>#N/A</v>
      </c>
      <c r="D4926" s="6">
        <f t="shared" si="77"/>
        <v>0</v>
      </c>
    </row>
    <row r="4927" spans="3:4" ht="15" x14ac:dyDescent="0.25">
      <c r="C4927" s="8" t="e">
        <f>VLOOKUP(A:A,'ITEM LIST'!A:C,3,0)</f>
        <v>#N/A</v>
      </c>
      <c r="D4927" s="6">
        <f t="shared" si="77"/>
        <v>0</v>
      </c>
    </row>
    <row r="4928" spans="3:4" ht="15" x14ac:dyDescent="0.25">
      <c r="C4928" s="8" t="e">
        <f>VLOOKUP(A:A,'ITEM LIST'!A:C,3,0)</f>
        <v>#N/A</v>
      </c>
      <c r="D4928" s="6">
        <f t="shared" si="77"/>
        <v>0</v>
      </c>
    </row>
    <row r="4929" spans="3:4" ht="15" x14ac:dyDescent="0.25">
      <c r="C4929" s="8" t="e">
        <f>VLOOKUP(A:A,'ITEM LIST'!A:C,3,0)</f>
        <v>#N/A</v>
      </c>
      <c r="D4929" s="6">
        <f t="shared" si="77"/>
        <v>0</v>
      </c>
    </row>
    <row r="4930" spans="3:4" ht="15" x14ac:dyDescent="0.25">
      <c r="C4930" s="8" t="e">
        <f>VLOOKUP(A:A,'ITEM LIST'!A:C,3,0)</f>
        <v>#N/A</v>
      </c>
      <c r="D4930" s="6">
        <f t="shared" si="77"/>
        <v>0</v>
      </c>
    </row>
    <row r="4931" spans="3:4" ht="15" x14ac:dyDescent="0.25">
      <c r="C4931" s="8" t="e">
        <f>VLOOKUP(A:A,'ITEM LIST'!A:C,3,0)</f>
        <v>#N/A</v>
      </c>
      <c r="D4931" s="6">
        <f t="shared" si="77"/>
        <v>0</v>
      </c>
    </row>
    <row r="4932" spans="3:4" ht="15" x14ac:dyDescent="0.25">
      <c r="C4932" s="8" t="e">
        <f>VLOOKUP(A:A,'ITEM LIST'!A:C,3,0)</f>
        <v>#N/A</v>
      </c>
      <c r="D4932" s="6">
        <f t="shared" si="77"/>
        <v>0</v>
      </c>
    </row>
    <row r="4933" spans="3:4" ht="15" x14ac:dyDescent="0.25">
      <c r="C4933" s="8" t="e">
        <f>VLOOKUP(A:A,'ITEM LIST'!A:C,3,0)</f>
        <v>#N/A</v>
      </c>
      <c r="D4933" s="6">
        <f t="shared" si="77"/>
        <v>0</v>
      </c>
    </row>
    <row r="4934" spans="3:4" ht="15" x14ac:dyDescent="0.25">
      <c r="C4934" s="8" t="e">
        <f>VLOOKUP(A:A,'ITEM LIST'!A:C,3,0)</f>
        <v>#N/A</v>
      </c>
      <c r="D4934" s="6">
        <f t="shared" ref="D4934:D4997" si="78">B4934</f>
        <v>0</v>
      </c>
    </row>
    <row r="4935" spans="3:4" ht="15" x14ac:dyDescent="0.25">
      <c r="C4935" s="8" t="e">
        <f>VLOOKUP(A:A,'ITEM LIST'!A:C,3,0)</f>
        <v>#N/A</v>
      </c>
      <c r="D4935" s="6">
        <f t="shared" si="78"/>
        <v>0</v>
      </c>
    </row>
    <row r="4936" spans="3:4" ht="15" x14ac:dyDescent="0.25">
      <c r="C4936" s="8" t="e">
        <f>VLOOKUP(A:A,'ITEM LIST'!A:C,3,0)</f>
        <v>#N/A</v>
      </c>
      <c r="D4936" s="6">
        <f t="shared" si="78"/>
        <v>0</v>
      </c>
    </row>
    <row r="4937" spans="3:4" ht="15" x14ac:dyDescent="0.25">
      <c r="C4937" s="8" t="e">
        <f>VLOOKUP(A:A,'ITEM LIST'!A:C,3,0)</f>
        <v>#N/A</v>
      </c>
      <c r="D4937" s="6">
        <f t="shared" si="78"/>
        <v>0</v>
      </c>
    </row>
    <row r="4938" spans="3:4" ht="15" x14ac:dyDescent="0.25">
      <c r="C4938" s="8" t="e">
        <f>VLOOKUP(A:A,'ITEM LIST'!A:C,3,0)</f>
        <v>#N/A</v>
      </c>
      <c r="D4938" s="6">
        <f t="shared" si="78"/>
        <v>0</v>
      </c>
    </row>
    <row r="4939" spans="3:4" ht="15" x14ac:dyDescent="0.25">
      <c r="C4939" s="8" t="e">
        <f>VLOOKUP(A:A,'ITEM LIST'!A:C,3,0)</f>
        <v>#N/A</v>
      </c>
      <c r="D4939" s="6">
        <f t="shared" si="78"/>
        <v>0</v>
      </c>
    </row>
    <row r="4940" spans="3:4" ht="15" x14ac:dyDescent="0.25">
      <c r="C4940" s="8" t="e">
        <f>VLOOKUP(A:A,'ITEM LIST'!A:C,3,0)</f>
        <v>#N/A</v>
      </c>
      <c r="D4940" s="6">
        <f t="shared" si="78"/>
        <v>0</v>
      </c>
    </row>
    <row r="4941" spans="3:4" ht="15" x14ac:dyDescent="0.25">
      <c r="C4941" s="8" t="e">
        <f>VLOOKUP(A:A,'ITEM LIST'!A:C,3,0)</f>
        <v>#N/A</v>
      </c>
      <c r="D4941" s="6">
        <f t="shared" si="78"/>
        <v>0</v>
      </c>
    </row>
    <row r="4942" spans="3:4" ht="15" x14ac:dyDescent="0.25">
      <c r="C4942" s="8" t="e">
        <f>VLOOKUP(A:A,'ITEM LIST'!A:C,3,0)</f>
        <v>#N/A</v>
      </c>
      <c r="D4942" s="6">
        <f t="shared" si="78"/>
        <v>0</v>
      </c>
    </row>
    <row r="4943" spans="3:4" ht="15" x14ac:dyDescent="0.25">
      <c r="C4943" s="8" t="e">
        <f>VLOOKUP(A:A,'ITEM LIST'!A:C,3,0)</f>
        <v>#N/A</v>
      </c>
      <c r="D4943" s="6">
        <f t="shared" si="78"/>
        <v>0</v>
      </c>
    </row>
    <row r="4944" spans="3:4" ht="15" x14ac:dyDescent="0.25">
      <c r="C4944" s="8" t="e">
        <f>VLOOKUP(A:A,'ITEM LIST'!A:C,3,0)</f>
        <v>#N/A</v>
      </c>
      <c r="D4944" s="6">
        <f t="shared" si="78"/>
        <v>0</v>
      </c>
    </row>
    <row r="4945" spans="3:4" ht="15" x14ac:dyDescent="0.25">
      <c r="C4945" s="8" t="e">
        <f>VLOOKUP(A:A,'ITEM LIST'!A:C,3,0)</f>
        <v>#N/A</v>
      </c>
      <c r="D4945" s="6">
        <f t="shared" si="78"/>
        <v>0</v>
      </c>
    </row>
    <row r="4946" spans="3:4" ht="15" x14ac:dyDescent="0.25">
      <c r="C4946" s="8" t="e">
        <f>VLOOKUP(A:A,'ITEM LIST'!A:C,3,0)</f>
        <v>#N/A</v>
      </c>
      <c r="D4946" s="6">
        <f t="shared" si="78"/>
        <v>0</v>
      </c>
    </row>
    <row r="4947" spans="3:4" ht="15" x14ac:dyDescent="0.25">
      <c r="C4947" s="8" t="e">
        <f>VLOOKUP(A:A,'ITEM LIST'!A:C,3,0)</f>
        <v>#N/A</v>
      </c>
      <c r="D4947" s="6">
        <f t="shared" si="78"/>
        <v>0</v>
      </c>
    </row>
    <row r="4948" spans="3:4" ht="15" x14ac:dyDescent="0.25">
      <c r="C4948" s="8" t="e">
        <f>VLOOKUP(A:A,'ITEM LIST'!A:C,3,0)</f>
        <v>#N/A</v>
      </c>
      <c r="D4948" s="6">
        <f t="shared" si="78"/>
        <v>0</v>
      </c>
    </row>
    <row r="4949" spans="3:4" ht="15" x14ac:dyDescent="0.25">
      <c r="C4949" s="8" t="e">
        <f>VLOOKUP(A:A,'ITEM LIST'!A:C,3,0)</f>
        <v>#N/A</v>
      </c>
      <c r="D4949" s="6">
        <f t="shared" si="78"/>
        <v>0</v>
      </c>
    </row>
    <row r="4950" spans="3:4" ht="15" x14ac:dyDescent="0.25">
      <c r="C4950" s="8" t="e">
        <f>VLOOKUP(A:A,'ITEM LIST'!A:C,3,0)</f>
        <v>#N/A</v>
      </c>
      <c r="D4950" s="6">
        <f t="shared" si="78"/>
        <v>0</v>
      </c>
    </row>
    <row r="4951" spans="3:4" ht="15" x14ac:dyDescent="0.25">
      <c r="C4951" s="8" t="e">
        <f>VLOOKUP(A:A,'ITEM LIST'!A:C,3,0)</f>
        <v>#N/A</v>
      </c>
      <c r="D4951" s="6">
        <f t="shared" si="78"/>
        <v>0</v>
      </c>
    </row>
    <row r="4952" spans="3:4" ht="15" x14ac:dyDescent="0.25">
      <c r="C4952" s="8" t="e">
        <f>VLOOKUP(A:A,'ITEM LIST'!A:C,3,0)</f>
        <v>#N/A</v>
      </c>
      <c r="D4952" s="6">
        <f t="shared" si="78"/>
        <v>0</v>
      </c>
    </row>
    <row r="4953" spans="3:4" ht="15" x14ac:dyDescent="0.25">
      <c r="C4953" s="8" t="e">
        <f>VLOOKUP(A:A,'ITEM LIST'!A:C,3,0)</f>
        <v>#N/A</v>
      </c>
      <c r="D4953" s="6">
        <f t="shared" si="78"/>
        <v>0</v>
      </c>
    </row>
    <row r="4954" spans="3:4" ht="15" x14ac:dyDescent="0.25">
      <c r="C4954" s="8" t="e">
        <f>VLOOKUP(A:A,'ITEM LIST'!A:C,3,0)</f>
        <v>#N/A</v>
      </c>
      <c r="D4954" s="6">
        <f t="shared" si="78"/>
        <v>0</v>
      </c>
    </row>
    <row r="4955" spans="3:4" ht="15" x14ac:dyDescent="0.25">
      <c r="C4955" s="8" t="e">
        <f>VLOOKUP(A:A,'ITEM LIST'!A:C,3,0)</f>
        <v>#N/A</v>
      </c>
      <c r="D4955" s="6">
        <f t="shared" si="78"/>
        <v>0</v>
      </c>
    </row>
    <row r="4956" spans="3:4" ht="15" x14ac:dyDescent="0.25">
      <c r="C4956" s="8" t="e">
        <f>VLOOKUP(A:A,'ITEM LIST'!A:C,3,0)</f>
        <v>#N/A</v>
      </c>
      <c r="D4956" s="6">
        <f t="shared" si="78"/>
        <v>0</v>
      </c>
    </row>
    <row r="4957" spans="3:4" ht="15" x14ac:dyDescent="0.25">
      <c r="C4957" s="8" t="e">
        <f>VLOOKUP(A:A,'ITEM LIST'!A:C,3,0)</f>
        <v>#N/A</v>
      </c>
      <c r="D4957" s="6">
        <f t="shared" si="78"/>
        <v>0</v>
      </c>
    </row>
    <row r="4958" spans="3:4" ht="15" x14ac:dyDescent="0.25">
      <c r="C4958" s="8" t="e">
        <f>VLOOKUP(A:A,'ITEM LIST'!A:C,3,0)</f>
        <v>#N/A</v>
      </c>
      <c r="D4958" s="6">
        <f t="shared" si="78"/>
        <v>0</v>
      </c>
    </row>
    <row r="4959" spans="3:4" ht="15" x14ac:dyDescent="0.25">
      <c r="C4959" s="8" t="e">
        <f>VLOOKUP(A:A,'ITEM LIST'!A:C,3,0)</f>
        <v>#N/A</v>
      </c>
      <c r="D4959" s="6">
        <f t="shared" si="78"/>
        <v>0</v>
      </c>
    </row>
    <row r="4960" spans="3:4" ht="15" x14ac:dyDescent="0.25">
      <c r="C4960" s="8" t="e">
        <f>VLOOKUP(A:A,'ITEM LIST'!A:C,3,0)</f>
        <v>#N/A</v>
      </c>
      <c r="D4960" s="6">
        <f t="shared" si="78"/>
        <v>0</v>
      </c>
    </row>
    <row r="4961" spans="3:4" ht="15" x14ac:dyDescent="0.25">
      <c r="C4961" s="8" t="e">
        <f>VLOOKUP(A:A,'ITEM LIST'!A:C,3,0)</f>
        <v>#N/A</v>
      </c>
      <c r="D4961" s="6">
        <f t="shared" si="78"/>
        <v>0</v>
      </c>
    </row>
    <row r="4962" spans="3:4" ht="15" x14ac:dyDescent="0.25">
      <c r="C4962" s="8" t="e">
        <f>VLOOKUP(A:A,'ITEM LIST'!A:C,3,0)</f>
        <v>#N/A</v>
      </c>
      <c r="D4962" s="6">
        <f t="shared" si="78"/>
        <v>0</v>
      </c>
    </row>
    <row r="4963" spans="3:4" ht="15" x14ac:dyDescent="0.25">
      <c r="C4963" s="8" t="e">
        <f>VLOOKUP(A:A,'ITEM LIST'!A:C,3,0)</f>
        <v>#N/A</v>
      </c>
      <c r="D4963" s="6">
        <f t="shared" si="78"/>
        <v>0</v>
      </c>
    </row>
    <row r="4964" spans="3:4" ht="15" x14ac:dyDescent="0.25">
      <c r="C4964" s="8" t="e">
        <f>VLOOKUP(A:A,'ITEM LIST'!A:C,3,0)</f>
        <v>#N/A</v>
      </c>
      <c r="D4964" s="6">
        <f t="shared" si="78"/>
        <v>0</v>
      </c>
    </row>
    <row r="4965" spans="3:4" ht="15" x14ac:dyDescent="0.25">
      <c r="C4965" s="8" t="e">
        <f>VLOOKUP(A:A,'ITEM LIST'!A:C,3,0)</f>
        <v>#N/A</v>
      </c>
      <c r="D4965" s="6">
        <f t="shared" si="78"/>
        <v>0</v>
      </c>
    </row>
    <row r="4966" spans="3:4" ht="15" x14ac:dyDescent="0.25">
      <c r="C4966" s="8" t="e">
        <f>VLOOKUP(A:A,'ITEM LIST'!A:C,3,0)</f>
        <v>#N/A</v>
      </c>
      <c r="D4966" s="6">
        <f t="shared" si="78"/>
        <v>0</v>
      </c>
    </row>
    <row r="4967" spans="3:4" ht="15" x14ac:dyDescent="0.25">
      <c r="C4967" s="8" t="e">
        <f>VLOOKUP(A:A,'ITEM LIST'!A:C,3,0)</f>
        <v>#N/A</v>
      </c>
      <c r="D4967" s="6">
        <f t="shared" si="78"/>
        <v>0</v>
      </c>
    </row>
    <row r="4968" spans="3:4" ht="15" x14ac:dyDescent="0.25">
      <c r="C4968" s="8" t="e">
        <f>VLOOKUP(A:A,'ITEM LIST'!A:C,3,0)</f>
        <v>#N/A</v>
      </c>
      <c r="D4968" s="6">
        <f t="shared" si="78"/>
        <v>0</v>
      </c>
    </row>
    <row r="4969" spans="3:4" ht="15" x14ac:dyDescent="0.25">
      <c r="C4969" s="8" t="e">
        <f>VLOOKUP(A:A,'ITEM LIST'!A:C,3,0)</f>
        <v>#N/A</v>
      </c>
      <c r="D4969" s="6">
        <f t="shared" si="78"/>
        <v>0</v>
      </c>
    </row>
    <row r="4970" spans="3:4" ht="15" x14ac:dyDescent="0.25">
      <c r="C4970" s="8" t="e">
        <f>VLOOKUP(A:A,'ITEM LIST'!A:C,3,0)</f>
        <v>#N/A</v>
      </c>
      <c r="D4970" s="6">
        <f t="shared" si="78"/>
        <v>0</v>
      </c>
    </row>
    <row r="4971" spans="3:4" ht="15" x14ac:dyDescent="0.25">
      <c r="C4971" s="8" t="e">
        <f>VLOOKUP(A:A,'ITEM LIST'!A:C,3,0)</f>
        <v>#N/A</v>
      </c>
      <c r="D4971" s="6">
        <f t="shared" si="78"/>
        <v>0</v>
      </c>
    </row>
    <row r="4972" spans="3:4" ht="15" x14ac:dyDescent="0.25">
      <c r="C4972" s="8" t="e">
        <f>VLOOKUP(A:A,'ITEM LIST'!A:C,3,0)</f>
        <v>#N/A</v>
      </c>
      <c r="D4972" s="6">
        <f t="shared" si="78"/>
        <v>0</v>
      </c>
    </row>
    <row r="4973" spans="3:4" ht="15" x14ac:dyDescent="0.25">
      <c r="C4973" s="8" t="e">
        <f>VLOOKUP(A:A,'ITEM LIST'!A:C,3,0)</f>
        <v>#N/A</v>
      </c>
      <c r="D4973" s="6">
        <f t="shared" si="78"/>
        <v>0</v>
      </c>
    </row>
    <row r="4974" spans="3:4" ht="15" x14ac:dyDescent="0.25">
      <c r="C4974" s="8" t="e">
        <f>VLOOKUP(A:A,'ITEM LIST'!A:C,3,0)</f>
        <v>#N/A</v>
      </c>
      <c r="D4974" s="6">
        <f t="shared" si="78"/>
        <v>0</v>
      </c>
    </row>
    <row r="4975" spans="3:4" ht="15" x14ac:dyDescent="0.25">
      <c r="C4975" s="8" t="e">
        <f>VLOOKUP(A:A,'ITEM LIST'!A:C,3,0)</f>
        <v>#N/A</v>
      </c>
      <c r="D4975" s="6">
        <f t="shared" si="78"/>
        <v>0</v>
      </c>
    </row>
    <row r="4976" spans="3:4" ht="15" x14ac:dyDescent="0.25">
      <c r="C4976" s="8" t="e">
        <f>VLOOKUP(A:A,'ITEM LIST'!A:C,3,0)</f>
        <v>#N/A</v>
      </c>
      <c r="D4976" s="6">
        <f t="shared" si="78"/>
        <v>0</v>
      </c>
    </row>
    <row r="4977" spans="3:4" ht="15" x14ac:dyDescent="0.25">
      <c r="C4977" s="8" t="e">
        <f>VLOOKUP(A:A,'ITEM LIST'!A:C,3,0)</f>
        <v>#N/A</v>
      </c>
      <c r="D4977" s="6">
        <f t="shared" si="78"/>
        <v>0</v>
      </c>
    </row>
    <row r="4978" spans="3:4" ht="15" x14ac:dyDescent="0.25">
      <c r="C4978" s="8" t="e">
        <f>VLOOKUP(A:A,'ITEM LIST'!A:C,3,0)</f>
        <v>#N/A</v>
      </c>
      <c r="D4978" s="6">
        <f t="shared" si="78"/>
        <v>0</v>
      </c>
    </row>
    <row r="4979" spans="3:4" ht="15" x14ac:dyDescent="0.25">
      <c r="C4979" s="8" t="e">
        <f>VLOOKUP(A:A,'ITEM LIST'!A:C,3,0)</f>
        <v>#N/A</v>
      </c>
      <c r="D4979" s="6">
        <f t="shared" si="78"/>
        <v>0</v>
      </c>
    </row>
    <row r="4980" spans="3:4" ht="15" x14ac:dyDescent="0.25">
      <c r="C4980" s="8" t="e">
        <f>VLOOKUP(A:A,'ITEM LIST'!A:C,3,0)</f>
        <v>#N/A</v>
      </c>
      <c r="D4980" s="6">
        <f t="shared" si="78"/>
        <v>0</v>
      </c>
    </row>
    <row r="4981" spans="3:4" ht="15" x14ac:dyDescent="0.25">
      <c r="C4981" s="8" t="e">
        <f>VLOOKUP(A:A,'ITEM LIST'!A:C,3,0)</f>
        <v>#N/A</v>
      </c>
      <c r="D4981" s="6">
        <f t="shared" si="78"/>
        <v>0</v>
      </c>
    </row>
    <row r="4982" spans="3:4" ht="15" x14ac:dyDescent="0.25">
      <c r="C4982" s="8" t="e">
        <f>VLOOKUP(A:A,'ITEM LIST'!A:C,3,0)</f>
        <v>#N/A</v>
      </c>
      <c r="D4982" s="6">
        <f t="shared" si="78"/>
        <v>0</v>
      </c>
    </row>
    <row r="4983" spans="3:4" ht="15" x14ac:dyDescent="0.25">
      <c r="C4983" s="8" t="e">
        <f>VLOOKUP(A:A,'ITEM LIST'!A:C,3,0)</f>
        <v>#N/A</v>
      </c>
      <c r="D4983" s="6">
        <f t="shared" si="78"/>
        <v>0</v>
      </c>
    </row>
    <row r="4984" spans="3:4" ht="15" x14ac:dyDescent="0.25">
      <c r="C4984" s="8" t="e">
        <f>VLOOKUP(A:A,'ITEM LIST'!A:C,3,0)</f>
        <v>#N/A</v>
      </c>
      <c r="D4984" s="6">
        <f t="shared" si="78"/>
        <v>0</v>
      </c>
    </row>
    <row r="4985" spans="3:4" ht="15" x14ac:dyDescent="0.25">
      <c r="C4985" s="8" t="e">
        <f>VLOOKUP(A:A,'ITEM LIST'!A:C,3,0)</f>
        <v>#N/A</v>
      </c>
      <c r="D4985" s="6">
        <f t="shared" si="78"/>
        <v>0</v>
      </c>
    </row>
    <row r="4986" spans="3:4" ht="15" x14ac:dyDescent="0.25">
      <c r="C4986" s="8" t="e">
        <f>VLOOKUP(A:A,'ITEM LIST'!A:C,3,0)</f>
        <v>#N/A</v>
      </c>
      <c r="D4986" s="6">
        <f t="shared" si="78"/>
        <v>0</v>
      </c>
    </row>
    <row r="4987" spans="3:4" ht="15" x14ac:dyDescent="0.25">
      <c r="C4987" s="8" t="e">
        <f>VLOOKUP(A:A,'ITEM LIST'!A:C,3,0)</f>
        <v>#N/A</v>
      </c>
      <c r="D4987" s="6">
        <f t="shared" si="78"/>
        <v>0</v>
      </c>
    </row>
    <row r="4988" spans="3:4" ht="15" x14ac:dyDescent="0.25">
      <c r="C4988" s="8" t="e">
        <f>VLOOKUP(A:A,'ITEM LIST'!A:C,3,0)</f>
        <v>#N/A</v>
      </c>
      <c r="D4988" s="6">
        <f t="shared" si="78"/>
        <v>0</v>
      </c>
    </row>
    <row r="4989" spans="3:4" ht="15" x14ac:dyDescent="0.25">
      <c r="C4989" s="8" t="e">
        <f>VLOOKUP(A:A,'ITEM LIST'!A:C,3,0)</f>
        <v>#N/A</v>
      </c>
      <c r="D4989" s="6">
        <f t="shared" si="78"/>
        <v>0</v>
      </c>
    </row>
    <row r="4990" spans="3:4" ht="15" x14ac:dyDescent="0.25">
      <c r="C4990" s="8" t="e">
        <f>VLOOKUP(A:A,'ITEM LIST'!A:C,3,0)</f>
        <v>#N/A</v>
      </c>
      <c r="D4990" s="6">
        <f t="shared" si="78"/>
        <v>0</v>
      </c>
    </row>
    <row r="4991" spans="3:4" ht="15" x14ac:dyDescent="0.25">
      <c r="C4991" s="8" t="e">
        <f>VLOOKUP(A:A,'ITEM LIST'!A:C,3,0)</f>
        <v>#N/A</v>
      </c>
      <c r="D4991" s="6">
        <f t="shared" si="78"/>
        <v>0</v>
      </c>
    </row>
    <row r="4992" spans="3:4" ht="15" x14ac:dyDescent="0.25">
      <c r="C4992" s="8" t="e">
        <f>VLOOKUP(A:A,'ITEM LIST'!A:C,3,0)</f>
        <v>#N/A</v>
      </c>
      <c r="D4992" s="6">
        <f t="shared" si="78"/>
        <v>0</v>
      </c>
    </row>
    <row r="4993" spans="3:4" ht="15" x14ac:dyDescent="0.25">
      <c r="C4993" s="8" t="e">
        <f>VLOOKUP(A:A,'ITEM LIST'!A:C,3,0)</f>
        <v>#N/A</v>
      </c>
      <c r="D4993" s="6">
        <f t="shared" si="78"/>
        <v>0</v>
      </c>
    </row>
    <row r="4994" spans="3:4" ht="15" x14ac:dyDescent="0.25">
      <c r="C4994" s="8" t="e">
        <f>VLOOKUP(A:A,'ITEM LIST'!A:C,3,0)</f>
        <v>#N/A</v>
      </c>
      <c r="D4994" s="6">
        <f t="shared" si="78"/>
        <v>0</v>
      </c>
    </row>
    <row r="4995" spans="3:4" ht="15" x14ac:dyDescent="0.25">
      <c r="C4995" s="8" t="e">
        <f>VLOOKUP(A:A,'ITEM LIST'!A:C,3,0)</f>
        <v>#N/A</v>
      </c>
      <c r="D4995" s="6">
        <f t="shared" si="78"/>
        <v>0</v>
      </c>
    </row>
    <row r="4996" spans="3:4" ht="15" x14ac:dyDescent="0.25">
      <c r="C4996" s="8" t="e">
        <f>VLOOKUP(A:A,'ITEM LIST'!A:C,3,0)</f>
        <v>#N/A</v>
      </c>
      <c r="D4996" s="6">
        <f t="shared" si="78"/>
        <v>0</v>
      </c>
    </row>
    <row r="4997" spans="3:4" ht="15" x14ac:dyDescent="0.25">
      <c r="C4997" s="8" t="e">
        <f>VLOOKUP(A:A,'ITEM LIST'!A:C,3,0)</f>
        <v>#N/A</v>
      </c>
      <c r="D4997" s="6">
        <f t="shared" si="78"/>
        <v>0</v>
      </c>
    </row>
    <row r="4998" spans="3:4" ht="15" x14ac:dyDescent="0.25">
      <c r="C4998" s="8" t="e">
        <f>VLOOKUP(A:A,'ITEM LIST'!A:C,3,0)</f>
        <v>#N/A</v>
      </c>
      <c r="D4998" s="6">
        <f t="shared" ref="D4998:D5061" si="79">B4998</f>
        <v>0</v>
      </c>
    </row>
    <row r="4999" spans="3:4" ht="15" x14ac:dyDescent="0.25">
      <c r="C4999" s="8" t="e">
        <f>VLOOKUP(A:A,'ITEM LIST'!A:C,3,0)</f>
        <v>#N/A</v>
      </c>
      <c r="D4999" s="6">
        <f t="shared" si="79"/>
        <v>0</v>
      </c>
    </row>
    <row r="5000" spans="3:4" ht="15" x14ac:dyDescent="0.25">
      <c r="C5000" s="8" t="e">
        <f>VLOOKUP(A:A,'ITEM LIST'!A:C,3,0)</f>
        <v>#N/A</v>
      </c>
      <c r="D5000" s="6">
        <f t="shared" si="79"/>
        <v>0</v>
      </c>
    </row>
    <row r="5001" spans="3:4" ht="15" x14ac:dyDescent="0.25">
      <c r="C5001" s="8" t="e">
        <f>VLOOKUP(A:A,'ITEM LIST'!A:C,3,0)</f>
        <v>#N/A</v>
      </c>
      <c r="D5001" s="6">
        <f t="shared" si="79"/>
        <v>0</v>
      </c>
    </row>
    <row r="5002" spans="3:4" ht="15" x14ac:dyDescent="0.25">
      <c r="C5002" s="8" t="e">
        <f>VLOOKUP(A:A,'ITEM LIST'!A:C,3,0)</f>
        <v>#N/A</v>
      </c>
      <c r="D5002" s="6">
        <f t="shared" si="79"/>
        <v>0</v>
      </c>
    </row>
    <row r="5003" spans="3:4" ht="15" x14ac:dyDescent="0.25">
      <c r="C5003" s="8" t="e">
        <f>VLOOKUP(A:A,'ITEM LIST'!A:C,3,0)</f>
        <v>#N/A</v>
      </c>
      <c r="D5003" s="6">
        <f t="shared" si="79"/>
        <v>0</v>
      </c>
    </row>
    <row r="5004" spans="3:4" ht="15" x14ac:dyDescent="0.25">
      <c r="C5004" s="8" t="e">
        <f>VLOOKUP(A:A,'ITEM LIST'!A:C,3,0)</f>
        <v>#N/A</v>
      </c>
      <c r="D5004" s="6">
        <f t="shared" si="79"/>
        <v>0</v>
      </c>
    </row>
    <row r="5005" spans="3:4" ht="15" x14ac:dyDescent="0.25">
      <c r="C5005" s="8" t="e">
        <f>VLOOKUP(A:A,'ITEM LIST'!A:C,3,0)</f>
        <v>#N/A</v>
      </c>
      <c r="D5005" s="6">
        <f t="shared" si="79"/>
        <v>0</v>
      </c>
    </row>
    <row r="5006" spans="3:4" ht="15" x14ac:dyDescent="0.25">
      <c r="C5006" s="8" t="e">
        <f>VLOOKUP(A:A,'ITEM LIST'!A:C,3,0)</f>
        <v>#N/A</v>
      </c>
      <c r="D5006" s="6">
        <f t="shared" si="79"/>
        <v>0</v>
      </c>
    </row>
    <row r="5007" spans="3:4" ht="15" x14ac:dyDescent="0.25">
      <c r="C5007" s="8" t="e">
        <f>VLOOKUP(A:A,'ITEM LIST'!A:C,3,0)</f>
        <v>#N/A</v>
      </c>
      <c r="D5007" s="6">
        <f t="shared" si="79"/>
        <v>0</v>
      </c>
    </row>
    <row r="5008" spans="3:4" ht="15" x14ac:dyDescent="0.25">
      <c r="C5008" s="8" t="e">
        <f>VLOOKUP(A:A,'ITEM LIST'!A:C,3,0)</f>
        <v>#N/A</v>
      </c>
      <c r="D5008" s="6">
        <f t="shared" si="79"/>
        <v>0</v>
      </c>
    </row>
    <row r="5009" spans="3:4" ht="15" x14ac:dyDescent="0.25">
      <c r="C5009" s="8" t="e">
        <f>VLOOKUP(A:A,'ITEM LIST'!A:C,3,0)</f>
        <v>#N/A</v>
      </c>
      <c r="D5009" s="6">
        <f t="shared" si="79"/>
        <v>0</v>
      </c>
    </row>
    <row r="5010" spans="3:4" ht="15" x14ac:dyDescent="0.25">
      <c r="C5010" s="8" t="e">
        <f>VLOOKUP(A:A,'ITEM LIST'!A:C,3,0)</f>
        <v>#N/A</v>
      </c>
      <c r="D5010" s="6">
        <f t="shared" si="79"/>
        <v>0</v>
      </c>
    </row>
    <row r="5011" spans="3:4" ht="15" x14ac:dyDescent="0.25">
      <c r="C5011" s="8" t="e">
        <f>VLOOKUP(A:A,'ITEM LIST'!A:C,3,0)</f>
        <v>#N/A</v>
      </c>
      <c r="D5011" s="6">
        <f t="shared" si="79"/>
        <v>0</v>
      </c>
    </row>
    <row r="5012" spans="3:4" ht="15" x14ac:dyDescent="0.25">
      <c r="C5012" s="8" t="e">
        <f>VLOOKUP(A:A,'ITEM LIST'!A:C,3,0)</f>
        <v>#N/A</v>
      </c>
      <c r="D5012" s="6">
        <f t="shared" si="79"/>
        <v>0</v>
      </c>
    </row>
    <row r="5013" spans="3:4" ht="15" x14ac:dyDescent="0.25">
      <c r="C5013" s="8" t="e">
        <f>VLOOKUP(A:A,'ITEM LIST'!A:C,3,0)</f>
        <v>#N/A</v>
      </c>
      <c r="D5013" s="6">
        <f t="shared" si="79"/>
        <v>0</v>
      </c>
    </row>
    <row r="5014" spans="3:4" ht="15" x14ac:dyDescent="0.25">
      <c r="C5014" s="8" t="e">
        <f>VLOOKUP(A:A,'ITEM LIST'!A:C,3,0)</f>
        <v>#N/A</v>
      </c>
      <c r="D5014" s="6">
        <f t="shared" si="79"/>
        <v>0</v>
      </c>
    </row>
    <row r="5015" spans="3:4" ht="15" x14ac:dyDescent="0.25">
      <c r="C5015" s="8" t="e">
        <f>VLOOKUP(A:A,'ITEM LIST'!A:C,3,0)</f>
        <v>#N/A</v>
      </c>
      <c r="D5015" s="6">
        <f t="shared" si="79"/>
        <v>0</v>
      </c>
    </row>
    <row r="5016" spans="3:4" ht="15" x14ac:dyDescent="0.25">
      <c r="C5016" s="8" t="e">
        <f>VLOOKUP(A:A,'ITEM LIST'!A:C,3,0)</f>
        <v>#N/A</v>
      </c>
      <c r="D5016" s="6">
        <f t="shared" si="79"/>
        <v>0</v>
      </c>
    </row>
    <row r="5017" spans="3:4" ht="15" x14ac:dyDescent="0.25">
      <c r="C5017" s="8" t="e">
        <f>VLOOKUP(A:A,'ITEM LIST'!A:C,3,0)</f>
        <v>#N/A</v>
      </c>
      <c r="D5017" s="6">
        <f t="shared" si="79"/>
        <v>0</v>
      </c>
    </row>
    <row r="5018" spans="3:4" ht="15" x14ac:dyDescent="0.25">
      <c r="C5018" s="8" t="e">
        <f>VLOOKUP(A:A,'ITEM LIST'!A:C,3,0)</f>
        <v>#N/A</v>
      </c>
      <c r="D5018" s="6">
        <f t="shared" si="79"/>
        <v>0</v>
      </c>
    </row>
    <row r="5019" spans="3:4" ht="15" x14ac:dyDescent="0.25">
      <c r="C5019" s="8" t="e">
        <f>VLOOKUP(A:A,'ITEM LIST'!A:C,3,0)</f>
        <v>#N/A</v>
      </c>
      <c r="D5019" s="6">
        <f t="shared" si="79"/>
        <v>0</v>
      </c>
    </row>
    <row r="5020" spans="3:4" ht="15" x14ac:dyDescent="0.25">
      <c r="C5020" s="8" t="e">
        <f>VLOOKUP(A:A,'ITEM LIST'!A:C,3,0)</f>
        <v>#N/A</v>
      </c>
      <c r="D5020" s="6">
        <f t="shared" si="79"/>
        <v>0</v>
      </c>
    </row>
    <row r="5021" spans="3:4" ht="15" x14ac:dyDescent="0.25">
      <c r="C5021" s="8" t="e">
        <f>VLOOKUP(A:A,'ITEM LIST'!A:C,3,0)</f>
        <v>#N/A</v>
      </c>
      <c r="D5021" s="6">
        <f t="shared" si="79"/>
        <v>0</v>
      </c>
    </row>
    <row r="5022" spans="3:4" ht="15" x14ac:dyDescent="0.25">
      <c r="C5022" s="8" t="e">
        <f>VLOOKUP(A:A,'ITEM LIST'!A:C,3,0)</f>
        <v>#N/A</v>
      </c>
      <c r="D5022" s="6">
        <f t="shared" si="79"/>
        <v>0</v>
      </c>
    </row>
    <row r="5023" spans="3:4" ht="15" x14ac:dyDescent="0.25">
      <c r="C5023" s="8" t="e">
        <f>VLOOKUP(A:A,'ITEM LIST'!A:C,3,0)</f>
        <v>#N/A</v>
      </c>
      <c r="D5023" s="6">
        <f t="shared" si="79"/>
        <v>0</v>
      </c>
    </row>
    <row r="5024" spans="3:4" ht="15" x14ac:dyDescent="0.25">
      <c r="C5024" s="8" t="e">
        <f>VLOOKUP(A:A,'ITEM LIST'!A:C,3,0)</f>
        <v>#N/A</v>
      </c>
      <c r="D5024" s="6">
        <f t="shared" si="79"/>
        <v>0</v>
      </c>
    </row>
    <row r="5025" spans="3:4" ht="15" x14ac:dyDescent="0.25">
      <c r="C5025" s="8" t="e">
        <f>VLOOKUP(A:A,'ITEM LIST'!A:C,3,0)</f>
        <v>#N/A</v>
      </c>
      <c r="D5025" s="6">
        <f t="shared" si="79"/>
        <v>0</v>
      </c>
    </row>
    <row r="5026" spans="3:4" ht="15" x14ac:dyDescent="0.25">
      <c r="C5026" s="8" t="e">
        <f>VLOOKUP(A:A,'ITEM LIST'!A:C,3,0)</f>
        <v>#N/A</v>
      </c>
      <c r="D5026" s="6">
        <f t="shared" si="79"/>
        <v>0</v>
      </c>
    </row>
    <row r="5027" spans="3:4" ht="15" x14ac:dyDescent="0.25">
      <c r="C5027" s="8" t="e">
        <f>VLOOKUP(A:A,'ITEM LIST'!A:C,3,0)</f>
        <v>#N/A</v>
      </c>
      <c r="D5027" s="6">
        <f t="shared" si="79"/>
        <v>0</v>
      </c>
    </row>
    <row r="5028" spans="3:4" ht="15" x14ac:dyDescent="0.25">
      <c r="C5028" s="8" t="e">
        <f>VLOOKUP(A:A,'ITEM LIST'!A:C,3,0)</f>
        <v>#N/A</v>
      </c>
      <c r="D5028" s="6">
        <f t="shared" si="79"/>
        <v>0</v>
      </c>
    </row>
    <row r="5029" spans="3:4" ht="15" x14ac:dyDescent="0.25">
      <c r="C5029" s="8" t="e">
        <f>VLOOKUP(A:A,'ITEM LIST'!A:C,3,0)</f>
        <v>#N/A</v>
      </c>
      <c r="D5029" s="6">
        <f t="shared" si="79"/>
        <v>0</v>
      </c>
    </row>
    <row r="5030" spans="3:4" ht="15" x14ac:dyDescent="0.25">
      <c r="C5030" s="8" t="e">
        <f>VLOOKUP(A:A,'ITEM LIST'!A:C,3,0)</f>
        <v>#N/A</v>
      </c>
      <c r="D5030" s="6">
        <f t="shared" si="79"/>
        <v>0</v>
      </c>
    </row>
    <row r="5031" spans="3:4" ht="15" x14ac:dyDescent="0.25">
      <c r="C5031" s="8" t="e">
        <f>VLOOKUP(A:A,'ITEM LIST'!A:C,3,0)</f>
        <v>#N/A</v>
      </c>
      <c r="D5031" s="6">
        <f t="shared" si="79"/>
        <v>0</v>
      </c>
    </row>
    <row r="5032" spans="3:4" ht="15" x14ac:dyDescent="0.25">
      <c r="C5032" s="8" t="e">
        <f>VLOOKUP(A:A,'ITEM LIST'!A:C,3,0)</f>
        <v>#N/A</v>
      </c>
      <c r="D5032" s="6">
        <f t="shared" si="79"/>
        <v>0</v>
      </c>
    </row>
    <row r="5033" spans="3:4" ht="15" x14ac:dyDescent="0.25">
      <c r="C5033" s="8" t="e">
        <f>VLOOKUP(A:A,'ITEM LIST'!A:C,3,0)</f>
        <v>#N/A</v>
      </c>
      <c r="D5033" s="6">
        <f t="shared" si="79"/>
        <v>0</v>
      </c>
    </row>
    <row r="5034" spans="3:4" ht="15" x14ac:dyDescent="0.25">
      <c r="C5034" s="8" t="e">
        <f>VLOOKUP(A:A,'ITEM LIST'!A:C,3,0)</f>
        <v>#N/A</v>
      </c>
      <c r="D5034" s="6">
        <f t="shared" si="79"/>
        <v>0</v>
      </c>
    </row>
    <row r="5035" spans="3:4" ht="15" x14ac:dyDescent="0.25">
      <c r="C5035" s="8" t="e">
        <f>VLOOKUP(A:A,'ITEM LIST'!A:C,3,0)</f>
        <v>#N/A</v>
      </c>
      <c r="D5035" s="6">
        <f t="shared" si="79"/>
        <v>0</v>
      </c>
    </row>
    <row r="5036" spans="3:4" ht="15" x14ac:dyDescent="0.25">
      <c r="C5036" s="8" t="e">
        <f>VLOOKUP(A:A,'ITEM LIST'!A:C,3,0)</f>
        <v>#N/A</v>
      </c>
      <c r="D5036" s="6">
        <f t="shared" si="79"/>
        <v>0</v>
      </c>
    </row>
    <row r="5037" spans="3:4" ht="15" x14ac:dyDescent="0.25">
      <c r="C5037" s="8" t="e">
        <f>VLOOKUP(A:A,'ITEM LIST'!A:C,3,0)</f>
        <v>#N/A</v>
      </c>
      <c r="D5037" s="6">
        <f t="shared" si="79"/>
        <v>0</v>
      </c>
    </row>
    <row r="5038" spans="3:4" ht="15" x14ac:dyDescent="0.25">
      <c r="C5038" s="8" t="e">
        <f>VLOOKUP(A:A,'ITEM LIST'!A:C,3,0)</f>
        <v>#N/A</v>
      </c>
      <c r="D5038" s="6">
        <f t="shared" si="79"/>
        <v>0</v>
      </c>
    </row>
    <row r="5039" spans="3:4" ht="15" x14ac:dyDescent="0.25">
      <c r="C5039" s="8" t="e">
        <f>VLOOKUP(A:A,'ITEM LIST'!A:C,3,0)</f>
        <v>#N/A</v>
      </c>
      <c r="D5039" s="6">
        <f t="shared" si="79"/>
        <v>0</v>
      </c>
    </row>
    <row r="5040" spans="3:4" ht="15" x14ac:dyDescent="0.25">
      <c r="C5040" s="8" t="e">
        <f>VLOOKUP(A:A,'ITEM LIST'!A:C,3,0)</f>
        <v>#N/A</v>
      </c>
      <c r="D5040" s="6">
        <f t="shared" si="79"/>
        <v>0</v>
      </c>
    </row>
    <row r="5041" spans="3:4" ht="15" x14ac:dyDescent="0.25">
      <c r="C5041" s="8" t="e">
        <f>VLOOKUP(A:A,'ITEM LIST'!A:C,3,0)</f>
        <v>#N/A</v>
      </c>
      <c r="D5041" s="6">
        <f t="shared" si="79"/>
        <v>0</v>
      </c>
    </row>
    <row r="5042" spans="3:4" ht="15" x14ac:dyDescent="0.25">
      <c r="C5042" s="8" t="e">
        <f>VLOOKUP(A:A,'ITEM LIST'!A:C,3,0)</f>
        <v>#N/A</v>
      </c>
      <c r="D5042" s="6">
        <f t="shared" si="79"/>
        <v>0</v>
      </c>
    </row>
    <row r="5043" spans="3:4" ht="15" x14ac:dyDescent="0.25">
      <c r="C5043" s="8" t="e">
        <f>VLOOKUP(A:A,'ITEM LIST'!A:C,3,0)</f>
        <v>#N/A</v>
      </c>
      <c r="D5043" s="6">
        <f t="shared" si="79"/>
        <v>0</v>
      </c>
    </row>
    <row r="5044" spans="3:4" ht="15" x14ac:dyDescent="0.25">
      <c r="C5044" s="8" t="e">
        <f>VLOOKUP(A:A,'ITEM LIST'!A:C,3,0)</f>
        <v>#N/A</v>
      </c>
      <c r="D5044" s="6">
        <f t="shared" si="79"/>
        <v>0</v>
      </c>
    </row>
    <row r="5045" spans="3:4" ht="15" x14ac:dyDescent="0.25">
      <c r="C5045" s="8" t="e">
        <f>VLOOKUP(A:A,'ITEM LIST'!A:C,3,0)</f>
        <v>#N/A</v>
      </c>
      <c r="D5045" s="6">
        <f t="shared" si="79"/>
        <v>0</v>
      </c>
    </row>
    <row r="5046" spans="3:4" ht="15" x14ac:dyDescent="0.25">
      <c r="C5046" s="8" t="e">
        <f>VLOOKUP(A:A,'ITEM LIST'!A:C,3,0)</f>
        <v>#N/A</v>
      </c>
      <c r="D5046" s="6">
        <f t="shared" si="79"/>
        <v>0</v>
      </c>
    </row>
    <row r="5047" spans="3:4" ht="15" x14ac:dyDescent="0.25">
      <c r="C5047" s="8" t="e">
        <f>VLOOKUP(A:A,'ITEM LIST'!A:C,3,0)</f>
        <v>#N/A</v>
      </c>
      <c r="D5047" s="6">
        <f t="shared" si="79"/>
        <v>0</v>
      </c>
    </row>
    <row r="5048" spans="3:4" ht="15" x14ac:dyDescent="0.25">
      <c r="C5048" s="8" t="e">
        <f>VLOOKUP(A:A,'ITEM LIST'!A:C,3,0)</f>
        <v>#N/A</v>
      </c>
      <c r="D5048" s="6">
        <f t="shared" si="79"/>
        <v>0</v>
      </c>
    </row>
    <row r="5049" spans="3:4" ht="15" x14ac:dyDescent="0.25">
      <c r="C5049" s="8" t="e">
        <f>VLOOKUP(A:A,'ITEM LIST'!A:C,3,0)</f>
        <v>#N/A</v>
      </c>
      <c r="D5049" s="6">
        <f t="shared" si="79"/>
        <v>0</v>
      </c>
    </row>
    <row r="5050" spans="3:4" ht="15" x14ac:dyDescent="0.25">
      <c r="C5050" s="8" t="e">
        <f>VLOOKUP(A:A,'ITEM LIST'!A:C,3,0)</f>
        <v>#N/A</v>
      </c>
      <c r="D5050" s="6">
        <f t="shared" si="79"/>
        <v>0</v>
      </c>
    </row>
    <row r="5051" spans="3:4" ht="15" x14ac:dyDescent="0.25">
      <c r="C5051" s="8" t="e">
        <f>VLOOKUP(A:A,'ITEM LIST'!A:C,3,0)</f>
        <v>#N/A</v>
      </c>
      <c r="D5051" s="6">
        <f t="shared" si="79"/>
        <v>0</v>
      </c>
    </row>
    <row r="5052" spans="3:4" ht="15" x14ac:dyDescent="0.25">
      <c r="C5052" s="8" t="e">
        <f>VLOOKUP(A:A,'ITEM LIST'!A:C,3,0)</f>
        <v>#N/A</v>
      </c>
      <c r="D5052" s="6">
        <f t="shared" si="79"/>
        <v>0</v>
      </c>
    </row>
    <row r="5053" spans="3:4" ht="15" x14ac:dyDescent="0.25">
      <c r="C5053" s="8" t="e">
        <f>VLOOKUP(A:A,'ITEM LIST'!A:C,3,0)</f>
        <v>#N/A</v>
      </c>
      <c r="D5053" s="6">
        <f t="shared" si="79"/>
        <v>0</v>
      </c>
    </row>
    <row r="5054" spans="3:4" ht="15" x14ac:dyDescent="0.25">
      <c r="C5054" s="8" t="e">
        <f>VLOOKUP(A:A,'ITEM LIST'!A:C,3,0)</f>
        <v>#N/A</v>
      </c>
      <c r="D5054" s="6">
        <f t="shared" si="79"/>
        <v>0</v>
      </c>
    </row>
    <row r="5055" spans="3:4" ht="15" x14ac:dyDescent="0.25">
      <c r="C5055" s="8" t="e">
        <f>VLOOKUP(A:A,'ITEM LIST'!A:C,3,0)</f>
        <v>#N/A</v>
      </c>
      <c r="D5055" s="6">
        <f t="shared" si="79"/>
        <v>0</v>
      </c>
    </row>
    <row r="5056" spans="3:4" ht="15" x14ac:dyDescent="0.25">
      <c r="C5056" s="8" t="e">
        <f>VLOOKUP(A:A,'ITEM LIST'!A:C,3,0)</f>
        <v>#N/A</v>
      </c>
      <c r="D5056" s="6">
        <f t="shared" si="79"/>
        <v>0</v>
      </c>
    </row>
    <row r="5057" spans="3:4" ht="15" x14ac:dyDescent="0.25">
      <c r="C5057" s="8" t="e">
        <f>VLOOKUP(A:A,'ITEM LIST'!A:C,3,0)</f>
        <v>#N/A</v>
      </c>
      <c r="D5057" s="6">
        <f t="shared" si="79"/>
        <v>0</v>
      </c>
    </row>
    <row r="5058" spans="3:4" ht="15" x14ac:dyDescent="0.25">
      <c r="C5058" s="8" t="e">
        <f>VLOOKUP(A:A,'ITEM LIST'!A:C,3,0)</f>
        <v>#N/A</v>
      </c>
      <c r="D5058" s="6">
        <f t="shared" si="79"/>
        <v>0</v>
      </c>
    </row>
    <row r="5059" spans="3:4" ht="15" x14ac:dyDescent="0.25">
      <c r="C5059" s="8" t="e">
        <f>VLOOKUP(A:A,'ITEM LIST'!A:C,3,0)</f>
        <v>#N/A</v>
      </c>
      <c r="D5059" s="6">
        <f t="shared" si="79"/>
        <v>0</v>
      </c>
    </row>
    <row r="5060" spans="3:4" ht="15" x14ac:dyDescent="0.25">
      <c r="C5060" s="8" t="e">
        <f>VLOOKUP(A:A,'ITEM LIST'!A:C,3,0)</f>
        <v>#N/A</v>
      </c>
      <c r="D5060" s="6">
        <f t="shared" si="79"/>
        <v>0</v>
      </c>
    </row>
    <row r="5061" spans="3:4" ht="15" x14ac:dyDescent="0.25">
      <c r="C5061" s="8" t="e">
        <f>VLOOKUP(A:A,'ITEM LIST'!A:C,3,0)</f>
        <v>#N/A</v>
      </c>
      <c r="D5061" s="6">
        <f t="shared" si="79"/>
        <v>0</v>
      </c>
    </row>
    <row r="5062" spans="3:4" ht="15" x14ac:dyDescent="0.25">
      <c r="C5062" s="8" t="e">
        <f>VLOOKUP(A:A,'ITEM LIST'!A:C,3,0)</f>
        <v>#N/A</v>
      </c>
      <c r="D5062" s="6">
        <f t="shared" ref="D5062:D5125" si="80">B5062</f>
        <v>0</v>
      </c>
    </row>
    <row r="5063" spans="3:4" ht="15" x14ac:dyDescent="0.25">
      <c r="C5063" s="8" t="e">
        <f>VLOOKUP(A:A,'ITEM LIST'!A:C,3,0)</f>
        <v>#N/A</v>
      </c>
      <c r="D5063" s="6">
        <f t="shared" si="80"/>
        <v>0</v>
      </c>
    </row>
    <row r="5064" spans="3:4" ht="15" x14ac:dyDescent="0.25">
      <c r="C5064" s="8" t="e">
        <f>VLOOKUP(A:A,'ITEM LIST'!A:C,3,0)</f>
        <v>#N/A</v>
      </c>
      <c r="D5064" s="6">
        <f t="shared" si="80"/>
        <v>0</v>
      </c>
    </row>
    <row r="5065" spans="3:4" ht="15" x14ac:dyDescent="0.25">
      <c r="C5065" s="8" t="e">
        <f>VLOOKUP(A:A,'ITEM LIST'!A:C,3,0)</f>
        <v>#N/A</v>
      </c>
      <c r="D5065" s="6">
        <f t="shared" si="80"/>
        <v>0</v>
      </c>
    </row>
    <row r="5066" spans="3:4" ht="15" x14ac:dyDescent="0.25">
      <c r="C5066" s="8" t="e">
        <f>VLOOKUP(A:A,'ITEM LIST'!A:C,3,0)</f>
        <v>#N/A</v>
      </c>
      <c r="D5066" s="6">
        <f t="shared" si="80"/>
        <v>0</v>
      </c>
    </row>
    <row r="5067" spans="3:4" ht="15" x14ac:dyDescent="0.25">
      <c r="C5067" s="8" t="e">
        <f>VLOOKUP(A:A,'ITEM LIST'!A:C,3,0)</f>
        <v>#N/A</v>
      </c>
      <c r="D5067" s="6">
        <f t="shared" si="80"/>
        <v>0</v>
      </c>
    </row>
    <row r="5068" spans="3:4" ht="15" x14ac:dyDescent="0.25">
      <c r="C5068" s="8" t="e">
        <f>VLOOKUP(A:A,'ITEM LIST'!A:C,3,0)</f>
        <v>#N/A</v>
      </c>
      <c r="D5068" s="6">
        <f t="shared" si="80"/>
        <v>0</v>
      </c>
    </row>
    <row r="5069" spans="3:4" ht="15" x14ac:dyDescent="0.25">
      <c r="C5069" s="8" t="e">
        <f>VLOOKUP(A:A,'ITEM LIST'!A:C,3,0)</f>
        <v>#N/A</v>
      </c>
      <c r="D5069" s="6">
        <f t="shared" si="80"/>
        <v>0</v>
      </c>
    </row>
    <row r="5070" spans="3:4" ht="15" x14ac:dyDescent="0.25">
      <c r="C5070" s="8" t="e">
        <f>VLOOKUP(A:A,'ITEM LIST'!A:C,3,0)</f>
        <v>#N/A</v>
      </c>
      <c r="D5070" s="6">
        <f t="shared" si="80"/>
        <v>0</v>
      </c>
    </row>
    <row r="5071" spans="3:4" ht="15" x14ac:dyDescent="0.25">
      <c r="C5071" s="8" t="e">
        <f>VLOOKUP(A:A,'ITEM LIST'!A:C,3,0)</f>
        <v>#N/A</v>
      </c>
      <c r="D5071" s="6">
        <f t="shared" si="80"/>
        <v>0</v>
      </c>
    </row>
    <row r="5072" spans="3:4" ht="15" x14ac:dyDescent="0.25">
      <c r="C5072" s="8" t="e">
        <f>VLOOKUP(A:A,'ITEM LIST'!A:C,3,0)</f>
        <v>#N/A</v>
      </c>
      <c r="D5072" s="6">
        <f t="shared" si="80"/>
        <v>0</v>
      </c>
    </row>
    <row r="5073" spans="3:4" ht="15" x14ac:dyDescent="0.25">
      <c r="C5073" s="8" t="e">
        <f>VLOOKUP(A:A,'ITEM LIST'!A:C,3,0)</f>
        <v>#N/A</v>
      </c>
      <c r="D5073" s="6">
        <f t="shared" si="80"/>
        <v>0</v>
      </c>
    </row>
    <row r="5074" spans="3:4" ht="15" x14ac:dyDescent="0.25">
      <c r="C5074" s="8" t="e">
        <f>VLOOKUP(A:A,'ITEM LIST'!A:C,3,0)</f>
        <v>#N/A</v>
      </c>
      <c r="D5074" s="6">
        <f t="shared" si="80"/>
        <v>0</v>
      </c>
    </row>
    <row r="5075" spans="3:4" ht="15" x14ac:dyDescent="0.25">
      <c r="C5075" s="8" t="e">
        <f>VLOOKUP(A:A,'ITEM LIST'!A:C,3,0)</f>
        <v>#N/A</v>
      </c>
      <c r="D5075" s="6">
        <f t="shared" si="80"/>
        <v>0</v>
      </c>
    </row>
    <row r="5076" spans="3:4" ht="15" x14ac:dyDescent="0.25">
      <c r="C5076" s="8" t="e">
        <f>VLOOKUP(A:A,'ITEM LIST'!A:C,3,0)</f>
        <v>#N/A</v>
      </c>
      <c r="D5076" s="6">
        <f t="shared" si="80"/>
        <v>0</v>
      </c>
    </row>
    <row r="5077" spans="3:4" ht="15" x14ac:dyDescent="0.25">
      <c r="C5077" s="8" t="e">
        <f>VLOOKUP(A:A,'ITEM LIST'!A:C,3,0)</f>
        <v>#N/A</v>
      </c>
      <c r="D5077" s="6">
        <f t="shared" si="80"/>
        <v>0</v>
      </c>
    </row>
    <row r="5078" spans="3:4" ht="15" x14ac:dyDescent="0.25">
      <c r="C5078" s="8" t="e">
        <f>VLOOKUP(A:A,'ITEM LIST'!A:C,3,0)</f>
        <v>#N/A</v>
      </c>
      <c r="D5078" s="6">
        <f t="shared" si="80"/>
        <v>0</v>
      </c>
    </row>
    <row r="5079" spans="3:4" ht="15" x14ac:dyDescent="0.25">
      <c r="C5079" s="8" t="e">
        <f>VLOOKUP(A:A,'ITEM LIST'!A:C,3,0)</f>
        <v>#N/A</v>
      </c>
      <c r="D5079" s="6">
        <f t="shared" si="80"/>
        <v>0</v>
      </c>
    </row>
    <row r="5080" spans="3:4" ht="15" x14ac:dyDescent="0.25">
      <c r="C5080" s="8" t="e">
        <f>VLOOKUP(A:A,'ITEM LIST'!A:C,3,0)</f>
        <v>#N/A</v>
      </c>
      <c r="D5080" s="6">
        <f t="shared" si="80"/>
        <v>0</v>
      </c>
    </row>
    <row r="5081" spans="3:4" ht="15" x14ac:dyDescent="0.25">
      <c r="C5081" s="8" t="e">
        <f>VLOOKUP(A:A,'ITEM LIST'!A:C,3,0)</f>
        <v>#N/A</v>
      </c>
      <c r="D5081" s="6">
        <f t="shared" si="80"/>
        <v>0</v>
      </c>
    </row>
    <row r="5082" spans="3:4" ht="15" x14ac:dyDescent="0.25">
      <c r="C5082" s="8" t="e">
        <f>VLOOKUP(A:A,'ITEM LIST'!A:C,3,0)</f>
        <v>#N/A</v>
      </c>
      <c r="D5082" s="6">
        <f t="shared" si="80"/>
        <v>0</v>
      </c>
    </row>
    <row r="5083" spans="3:4" ht="15" x14ac:dyDescent="0.25">
      <c r="C5083" s="8" t="e">
        <f>VLOOKUP(A:A,'ITEM LIST'!A:C,3,0)</f>
        <v>#N/A</v>
      </c>
      <c r="D5083" s="6">
        <f t="shared" si="80"/>
        <v>0</v>
      </c>
    </row>
    <row r="5084" spans="3:4" ht="15" x14ac:dyDescent="0.25">
      <c r="C5084" s="8" t="e">
        <f>VLOOKUP(A:A,'ITEM LIST'!A:C,3,0)</f>
        <v>#N/A</v>
      </c>
      <c r="D5084" s="6">
        <f t="shared" si="80"/>
        <v>0</v>
      </c>
    </row>
    <row r="5085" spans="3:4" ht="15" x14ac:dyDescent="0.25">
      <c r="C5085" s="8" t="e">
        <f>VLOOKUP(A:A,'ITEM LIST'!A:C,3,0)</f>
        <v>#N/A</v>
      </c>
      <c r="D5085" s="6">
        <f t="shared" si="80"/>
        <v>0</v>
      </c>
    </row>
    <row r="5086" spans="3:4" ht="15" x14ac:dyDescent="0.25">
      <c r="C5086" s="8" t="e">
        <f>VLOOKUP(A:A,'ITEM LIST'!A:C,3,0)</f>
        <v>#N/A</v>
      </c>
      <c r="D5086" s="6">
        <f t="shared" si="80"/>
        <v>0</v>
      </c>
    </row>
    <row r="5087" spans="3:4" ht="15" x14ac:dyDescent="0.25">
      <c r="C5087" s="8" t="e">
        <f>VLOOKUP(A:A,'ITEM LIST'!A:C,3,0)</f>
        <v>#N/A</v>
      </c>
      <c r="D5087" s="6">
        <f t="shared" si="80"/>
        <v>0</v>
      </c>
    </row>
    <row r="5088" spans="3:4" ht="15" x14ac:dyDescent="0.25">
      <c r="C5088" s="8" t="e">
        <f>VLOOKUP(A:A,'ITEM LIST'!A:C,3,0)</f>
        <v>#N/A</v>
      </c>
      <c r="D5088" s="6">
        <f t="shared" si="80"/>
        <v>0</v>
      </c>
    </row>
    <row r="5089" spans="3:4" ht="15" x14ac:dyDescent="0.25">
      <c r="C5089" s="8" t="e">
        <f>VLOOKUP(A:A,'ITEM LIST'!A:C,3,0)</f>
        <v>#N/A</v>
      </c>
      <c r="D5089" s="6">
        <f t="shared" si="80"/>
        <v>0</v>
      </c>
    </row>
    <row r="5090" spans="3:4" ht="15" x14ac:dyDescent="0.25">
      <c r="C5090" s="8" t="e">
        <f>VLOOKUP(A:A,'ITEM LIST'!A:C,3,0)</f>
        <v>#N/A</v>
      </c>
      <c r="D5090" s="6">
        <f t="shared" si="80"/>
        <v>0</v>
      </c>
    </row>
    <row r="5091" spans="3:4" ht="15" x14ac:dyDescent="0.25">
      <c r="C5091" s="8" t="e">
        <f>VLOOKUP(A:A,'ITEM LIST'!A:C,3,0)</f>
        <v>#N/A</v>
      </c>
      <c r="D5091" s="6">
        <f t="shared" si="80"/>
        <v>0</v>
      </c>
    </row>
    <row r="5092" spans="3:4" ht="15" x14ac:dyDescent="0.25">
      <c r="C5092" s="8" t="e">
        <f>VLOOKUP(A:A,'ITEM LIST'!A:C,3,0)</f>
        <v>#N/A</v>
      </c>
      <c r="D5092" s="6">
        <f t="shared" si="80"/>
        <v>0</v>
      </c>
    </row>
    <row r="5093" spans="3:4" ht="15" x14ac:dyDescent="0.25">
      <c r="C5093" s="8" t="e">
        <f>VLOOKUP(A:A,'ITEM LIST'!A:C,3,0)</f>
        <v>#N/A</v>
      </c>
      <c r="D5093" s="6">
        <f t="shared" si="80"/>
        <v>0</v>
      </c>
    </row>
    <row r="5094" spans="3:4" ht="15" x14ac:dyDescent="0.25">
      <c r="C5094" s="8" t="e">
        <f>VLOOKUP(A:A,'ITEM LIST'!A:C,3,0)</f>
        <v>#N/A</v>
      </c>
      <c r="D5094" s="6">
        <f t="shared" si="80"/>
        <v>0</v>
      </c>
    </row>
    <row r="5095" spans="3:4" ht="15" x14ac:dyDescent="0.25">
      <c r="C5095" s="8" t="e">
        <f>VLOOKUP(A:A,'ITEM LIST'!A:C,3,0)</f>
        <v>#N/A</v>
      </c>
      <c r="D5095" s="6">
        <f t="shared" si="80"/>
        <v>0</v>
      </c>
    </row>
    <row r="5096" spans="3:4" ht="15" x14ac:dyDescent="0.25">
      <c r="C5096" s="8" t="e">
        <f>VLOOKUP(A:A,'ITEM LIST'!A:C,3,0)</f>
        <v>#N/A</v>
      </c>
      <c r="D5096" s="6">
        <f t="shared" si="80"/>
        <v>0</v>
      </c>
    </row>
    <row r="5097" spans="3:4" ht="15" x14ac:dyDescent="0.25">
      <c r="C5097" s="8" t="e">
        <f>VLOOKUP(A:A,'ITEM LIST'!A:C,3,0)</f>
        <v>#N/A</v>
      </c>
      <c r="D5097" s="6">
        <f t="shared" si="80"/>
        <v>0</v>
      </c>
    </row>
    <row r="5098" spans="3:4" ht="15" x14ac:dyDescent="0.25">
      <c r="C5098" s="8" t="e">
        <f>VLOOKUP(A:A,'ITEM LIST'!A:C,3,0)</f>
        <v>#N/A</v>
      </c>
      <c r="D5098" s="6">
        <f t="shared" si="80"/>
        <v>0</v>
      </c>
    </row>
    <row r="5099" spans="3:4" ht="15" x14ac:dyDescent="0.25">
      <c r="C5099" s="8" t="e">
        <f>VLOOKUP(A:A,'ITEM LIST'!A:C,3,0)</f>
        <v>#N/A</v>
      </c>
      <c r="D5099" s="6">
        <f t="shared" si="80"/>
        <v>0</v>
      </c>
    </row>
    <row r="5100" spans="3:4" ht="15" x14ac:dyDescent="0.25">
      <c r="C5100" s="8" t="e">
        <f>VLOOKUP(A:A,'ITEM LIST'!A:C,3,0)</f>
        <v>#N/A</v>
      </c>
      <c r="D5100" s="6">
        <f t="shared" si="80"/>
        <v>0</v>
      </c>
    </row>
    <row r="5101" spans="3:4" ht="15" x14ac:dyDescent="0.25">
      <c r="C5101" s="8" t="e">
        <f>VLOOKUP(A:A,'ITEM LIST'!A:C,3,0)</f>
        <v>#N/A</v>
      </c>
      <c r="D5101" s="6">
        <f t="shared" si="80"/>
        <v>0</v>
      </c>
    </row>
    <row r="5102" spans="3:4" ht="15" x14ac:dyDescent="0.25">
      <c r="C5102" s="8" t="e">
        <f>VLOOKUP(A:A,'ITEM LIST'!A:C,3,0)</f>
        <v>#N/A</v>
      </c>
      <c r="D5102" s="6">
        <f t="shared" si="80"/>
        <v>0</v>
      </c>
    </row>
    <row r="5103" spans="3:4" ht="15" x14ac:dyDescent="0.25">
      <c r="C5103" s="8" t="e">
        <f>VLOOKUP(A:A,'ITEM LIST'!A:C,3,0)</f>
        <v>#N/A</v>
      </c>
      <c r="D5103" s="6">
        <f t="shared" si="80"/>
        <v>0</v>
      </c>
    </row>
    <row r="5104" spans="3:4" ht="15" x14ac:dyDescent="0.25">
      <c r="C5104" s="8" t="e">
        <f>VLOOKUP(A:A,'ITEM LIST'!A:C,3,0)</f>
        <v>#N/A</v>
      </c>
      <c r="D5104" s="6">
        <f t="shared" si="80"/>
        <v>0</v>
      </c>
    </row>
    <row r="5105" spans="3:4" ht="15" x14ac:dyDescent="0.25">
      <c r="C5105" s="8" t="e">
        <f>VLOOKUP(A:A,'ITEM LIST'!A:C,3,0)</f>
        <v>#N/A</v>
      </c>
      <c r="D5105" s="6">
        <f t="shared" si="80"/>
        <v>0</v>
      </c>
    </row>
    <row r="5106" spans="3:4" ht="15" x14ac:dyDescent="0.25">
      <c r="C5106" s="8" t="e">
        <f>VLOOKUP(A:A,'ITEM LIST'!A:C,3,0)</f>
        <v>#N/A</v>
      </c>
      <c r="D5106" s="6">
        <f t="shared" si="80"/>
        <v>0</v>
      </c>
    </row>
    <row r="5107" spans="3:4" ht="15" x14ac:dyDescent="0.25">
      <c r="C5107" s="8" t="e">
        <f>VLOOKUP(A:A,'ITEM LIST'!A:C,3,0)</f>
        <v>#N/A</v>
      </c>
      <c r="D5107" s="6">
        <f t="shared" si="80"/>
        <v>0</v>
      </c>
    </row>
    <row r="5108" spans="3:4" ht="15" x14ac:dyDescent="0.25">
      <c r="C5108" s="8" t="e">
        <f>VLOOKUP(A:A,'ITEM LIST'!A:C,3,0)</f>
        <v>#N/A</v>
      </c>
      <c r="D5108" s="6">
        <f t="shared" si="80"/>
        <v>0</v>
      </c>
    </row>
    <row r="5109" spans="3:4" ht="15" x14ac:dyDescent="0.25">
      <c r="C5109" s="8" t="e">
        <f>VLOOKUP(A:A,'ITEM LIST'!A:C,3,0)</f>
        <v>#N/A</v>
      </c>
      <c r="D5109" s="6">
        <f t="shared" si="80"/>
        <v>0</v>
      </c>
    </row>
    <row r="5110" spans="3:4" ht="15" x14ac:dyDescent="0.25">
      <c r="C5110" s="8" t="e">
        <f>VLOOKUP(A:A,'ITEM LIST'!A:C,3,0)</f>
        <v>#N/A</v>
      </c>
      <c r="D5110" s="6">
        <f t="shared" si="80"/>
        <v>0</v>
      </c>
    </row>
    <row r="5111" spans="3:4" ht="15" x14ac:dyDescent="0.25">
      <c r="C5111" s="8" t="e">
        <f>VLOOKUP(A:A,'ITEM LIST'!A:C,3,0)</f>
        <v>#N/A</v>
      </c>
      <c r="D5111" s="6">
        <f t="shared" si="80"/>
        <v>0</v>
      </c>
    </row>
    <row r="5112" spans="3:4" ht="15" x14ac:dyDescent="0.25">
      <c r="C5112" s="8" t="e">
        <f>VLOOKUP(A:A,'ITEM LIST'!A:C,3,0)</f>
        <v>#N/A</v>
      </c>
      <c r="D5112" s="6">
        <f t="shared" si="80"/>
        <v>0</v>
      </c>
    </row>
    <row r="5113" spans="3:4" ht="15" x14ac:dyDescent="0.25">
      <c r="C5113" s="8" t="e">
        <f>VLOOKUP(A:A,'ITEM LIST'!A:C,3,0)</f>
        <v>#N/A</v>
      </c>
      <c r="D5113" s="6">
        <f t="shared" si="80"/>
        <v>0</v>
      </c>
    </row>
    <row r="5114" spans="3:4" ht="15" x14ac:dyDescent="0.25">
      <c r="C5114" s="8" t="e">
        <f>VLOOKUP(A:A,'ITEM LIST'!A:C,3,0)</f>
        <v>#N/A</v>
      </c>
      <c r="D5114" s="6">
        <f t="shared" si="80"/>
        <v>0</v>
      </c>
    </row>
    <row r="5115" spans="3:4" ht="15" x14ac:dyDescent="0.25">
      <c r="C5115" s="8" t="e">
        <f>VLOOKUP(A:A,'ITEM LIST'!A:C,3,0)</f>
        <v>#N/A</v>
      </c>
      <c r="D5115" s="6">
        <f t="shared" si="80"/>
        <v>0</v>
      </c>
    </row>
    <row r="5116" spans="3:4" ht="15" x14ac:dyDescent="0.25">
      <c r="C5116" s="8" t="e">
        <f>VLOOKUP(A:A,'ITEM LIST'!A:C,3,0)</f>
        <v>#N/A</v>
      </c>
      <c r="D5116" s="6">
        <f t="shared" si="80"/>
        <v>0</v>
      </c>
    </row>
    <row r="5117" spans="3:4" ht="15" x14ac:dyDescent="0.25">
      <c r="C5117" s="8" t="e">
        <f>VLOOKUP(A:A,'ITEM LIST'!A:C,3,0)</f>
        <v>#N/A</v>
      </c>
      <c r="D5117" s="6">
        <f t="shared" si="80"/>
        <v>0</v>
      </c>
    </row>
    <row r="5118" spans="3:4" ht="15" x14ac:dyDescent="0.25">
      <c r="C5118" s="8" t="e">
        <f>VLOOKUP(A:A,'ITEM LIST'!A:C,3,0)</f>
        <v>#N/A</v>
      </c>
      <c r="D5118" s="6">
        <f t="shared" si="80"/>
        <v>0</v>
      </c>
    </row>
    <row r="5119" spans="3:4" ht="15" x14ac:dyDescent="0.25">
      <c r="C5119" s="8" t="e">
        <f>VLOOKUP(A:A,'ITEM LIST'!A:C,3,0)</f>
        <v>#N/A</v>
      </c>
      <c r="D5119" s="6">
        <f t="shared" si="80"/>
        <v>0</v>
      </c>
    </row>
    <row r="5120" spans="3:4" ht="15" x14ac:dyDescent="0.25">
      <c r="C5120" s="8" t="e">
        <f>VLOOKUP(A:A,'ITEM LIST'!A:C,3,0)</f>
        <v>#N/A</v>
      </c>
      <c r="D5120" s="6">
        <f t="shared" si="80"/>
        <v>0</v>
      </c>
    </row>
    <row r="5121" spans="3:4" ht="15" x14ac:dyDescent="0.25">
      <c r="C5121" s="8" t="e">
        <f>VLOOKUP(A:A,'ITEM LIST'!A:C,3,0)</f>
        <v>#N/A</v>
      </c>
      <c r="D5121" s="6">
        <f t="shared" si="80"/>
        <v>0</v>
      </c>
    </row>
    <row r="5122" spans="3:4" ht="15" x14ac:dyDescent="0.25">
      <c r="C5122" s="8" t="e">
        <f>VLOOKUP(A:A,'ITEM LIST'!A:C,3,0)</f>
        <v>#N/A</v>
      </c>
      <c r="D5122" s="6">
        <f t="shared" si="80"/>
        <v>0</v>
      </c>
    </row>
    <row r="5123" spans="3:4" ht="15" x14ac:dyDescent="0.25">
      <c r="C5123" s="8" t="e">
        <f>VLOOKUP(A:A,'ITEM LIST'!A:C,3,0)</f>
        <v>#N/A</v>
      </c>
      <c r="D5123" s="6">
        <f t="shared" si="80"/>
        <v>0</v>
      </c>
    </row>
    <row r="5124" spans="3:4" ht="15" x14ac:dyDescent="0.25">
      <c r="C5124" s="8" t="e">
        <f>VLOOKUP(A:A,'ITEM LIST'!A:C,3,0)</f>
        <v>#N/A</v>
      </c>
      <c r="D5124" s="6">
        <f t="shared" si="80"/>
        <v>0</v>
      </c>
    </row>
    <row r="5125" spans="3:4" ht="15" x14ac:dyDescent="0.25">
      <c r="C5125" s="8" t="e">
        <f>VLOOKUP(A:A,'ITEM LIST'!A:C,3,0)</f>
        <v>#N/A</v>
      </c>
      <c r="D5125" s="6">
        <f t="shared" si="80"/>
        <v>0</v>
      </c>
    </row>
    <row r="5126" spans="3:4" ht="15" x14ac:dyDescent="0.25">
      <c r="C5126" s="8" t="e">
        <f>VLOOKUP(A:A,'ITEM LIST'!A:C,3,0)</f>
        <v>#N/A</v>
      </c>
      <c r="D5126" s="6">
        <f t="shared" ref="D5126:D5189" si="81">B5126</f>
        <v>0</v>
      </c>
    </row>
    <row r="5127" spans="3:4" ht="15" x14ac:dyDescent="0.25">
      <c r="C5127" s="8" t="e">
        <f>VLOOKUP(A:A,'ITEM LIST'!A:C,3,0)</f>
        <v>#N/A</v>
      </c>
      <c r="D5127" s="6">
        <f t="shared" si="81"/>
        <v>0</v>
      </c>
    </row>
    <row r="5128" spans="3:4" ht="15" x14ac:dyDescent="0.25">
      <c r="C5128" s="8" t="e">
        <f>VLOOKUP(A:A,'ITEM LIST'!A:C,3,0)</f>
        <v>#N/A</v>
      </c>
      <c r="D5128" s="6">
        <f t="shared" si="81"/>
        <v>0</v>
      </c>
    </row>
    <row r="5129" spans="3:4" ht="15" x14ac:dyDescent="0.25">
      <c r="C5129" s="8" t="e">
        <f>VLOOKUP(A:A,'ITEM LIST'!A:C,3,0)</f>
        <v>#N/A</v>
      </c>
      <c r="D5129" s="6">
        <f t="shared" si="81"/>
        <v>0</v>
      </c>
    </row>
    <row r="5130" spans="3:4" ht="15" x14ac:dyDescent="0.25">
      <c r="C5130" s="8" t="e">
        <f>VLOOKUP(A:A,'ITEM LIST'!A:C,3,0)</f>
        <v>#N/A</v>
      </c>
      <c r="D5130" s="6">
        <f t="shared" si="81"/>
        <v>0</v>
      </c>
    </row>
    <row r="5131" spans="3:4" ht="15" x14ac:dyDescent="0.25">
      <c r="C5131" s="8" t="e">
        <f>VLOOKUP(A:A,'ITEM LIST'!A:C,3,0)</f>
        <v>#N/A</v>
      </c>
      <c r="D5131" s="6">
        <f t="shared" si="81"/>
        <v>0</v>
      </c>
    </row>
    <row r="5132" spans="3:4" ht="15" x14ac:dyDescent="0.25">
      <c r="C5132" s="8" t="e">
        <f>VLOOKUP(A:A,'ITEM LIST'!A:C,3,0)</f>
        <v>#N/A</v>
      </c>
      <c r="D5132" s="6">
        <f t="shared" si="81"/>
        <v>0</v>
      </c>
    </row>
    <row r="5133" spans="3:4" ht="15" x14ac:dyDescent="0.25">
      <c r="C5133" s="8" t="e">
        <f>VLOOKUP(A:A,'ITEM LIST'!A:C,3,0)</f>
        <v>#N/A</v>
      </c>
      <c r="D5133" s="6">
        <f t="shared" si="81"/>
        <v>0</v>
      </c>
    </row>
    <row r="5134" spans="3:4" ht="15" x14ac:dyDescent="0.25">
      <c r="C5134" s="8" t="e">
        <f>VLOOKUP(A:A,'ITEM LIST'!A:C,3,0)</f>
        <v>#N/A</v>
      </c>
      <c r="D5134" s="6">
        <f t="shared" si="81"/>
        <v>0</v>
      </c>
    </row>
    <row r="5135" spans="3:4" ht="15" x14ac:dyDescent="0.25">
      <c r="C5135" s="8" t="e">
        <f>VLOOKUP(A:A,'ITEM LIST'!A:C,3,0)</f>
        <v>#N/A</v>
      </c>
      <c r="D5135" s="6">
        <f t="shared" si="81"/>
        <v>0</v>
      </c>
    </row>
    <row r="5136" spans="3:4" ht="15" x14ac:dyDescent="0.25">
      <c r="C5136" s="8" t="e">
        <f>VLOOKUP(A:A,'ITEM LIST'!A:C,3,0)</f>
        <v>#N/A</v>
      </c>
      <c r="D5136" s="6">
        <f t="shared" si="81"/>
        <v>0</v>
      </c>
    </row>
    <row r="5137" spans="3:4" ht="15" x14ac:dyDescent="0.25">
      <c r="C5137" s="8" t="e">
        <f>VLOOKUP(A:A,'ITEM LIST'!A:C,3,0)</f>
        <v>#N/A</v>
      </c>
      <c r="D5137" s="6">
        <f t="shared" si="81"/>
        <v>0</v>
      </c>
    </row>
    <row r="5138" spans="3:4" ht="15" x14ac:dyDescent="0.25">
      <c r="C5138" s="8" t="e">
        <f>VLOOKUP(A:A,'ITEM LIST'!A:C,3,0)</f>
        <v>#N/A</v>
      </c>
      <c r="D5138" s="6">
        <f t="shared" si="81"/>
        <v>0</v>
      </c>
    </row>
    <row r="5139" spans="3:4" ht="15" x14ac:dyDescent="0.25">
      <c r="C5139" s="8" t="e">
        <f>VLOOKUP(A:A,'ITEM LIST'!A:C,3,0)</f>
        <v>#N/A</v>
      </c>
      <c r="D5139" s="6">
        <f t="shared" si="81"/>
        <v>0</v>
      </c>
    </row>
    <row r="5140" spans="3:4" ht="15" x14ac:dyDescent="0.25">
      <c r="C5140" s="8" t="e">
        <f>VLOOKUP(A:A,'ITEM LIST'!A:C,3,0)</f>
        <v>#N/A</v>
      </c>
      <c r="D5140" s="6">
        <f t="shared" si="81"/>
        <v>0</v>
      </c>
    </row>
    <row r="5141" spans="3:4" ht="15" x14ac:dyDescent="0.25">
      <c r="C5141" s="8" t="e">
        <f>VLOOKUP(A:A,'ITEM LIST'!A:C,3,0)</f>
        <v>#N/A</v>
      </c>
      <c r="D5141" s="6">
        <f t="shared" si="81"/>
        <v>0</v>
      </c>
    </row>
    <row r="5142" spans="3:4" ht="15" x14ac:dyDescent="0.25">
      <c r="C5142" s="8" t="e">
        <f>VLOOKUP(A:A,'ITEM LIST'!A:C,3,0)</f>
        <v>#N/A</v>
      </c>
      <c r="D5142" s="6">
        <f t="shared" si="81"/>
        <v>0</v>
      </c>
    </row>
    <row r="5143" spans="3:4" ht="15" x14ac:dyDescent="0.25">
      <c r="C5143" s="8" t="e">
        <f>VLOOKUP(A:A,'ITEM LIST'!A:C,3,0)</f>
        <v>#N/A</v>
      </c>
      <c r="D5143" s="6">
        <f t="shared" si="81"/>
        <v>0</v>
      </c>
    </row>
    <row r="5144" spans="3:4" ht="15" x14ac:dyDescent="0.25">
      <c r="C5144" s="8" t="e">
        <f>VLOOKUP(A:A,'ITEM LIST'!A:C,3,0)</f>
        <v>#N/A</v>
      </c>
      <c r="D5144" s="6">
        <f t="shared" si="81"/>
        <v>0</v>
      </c>
    </row>
    <row r="5145" spans="3:4" ht="15" x14ac:dyDescent="0.25">
      <c r="C5145" s="8" t="e">
        <f>VLOOKUP(A:A,'ITEM LIST'!A:C,3,0)</f>
        <v>#N/A</v>
      </c>
      <c r="D5145" s="6">
        <f t="shared" si="81"/>
        <v>0</v>
      </c>
    </row>
    <row r="5146" spans="3:4" ht="15" x14ac:dyDescent="0.25">
      <c r="C5146" s="8" t="e">
        <f>VLOOKUP(A:A,'ITEM LIST'!A:C,3,0)</f>
        <v>#N/A</v>
      </c>
      <c r="D5146" s="6">
        <f t="shared" si="81"/>
        <v>0</v>
      </c>
    </row>
    <row r="5147" spans="3:4" ht="15" x14ac:dyDescent="0.25">
      <c r="C5147" s="8" t="e">
        <f>VLOOKUP(A:A,'ITEM LIST'!A:C,3,0)</f>
        <v>#N/A</v>
      </c>
      <c r="D5147" s="6">
        <f t="shared" si="81"/>
        <v>0</v>
      </c>
    </row>
    <row r="5148" spans="3:4" ht="15" x14ac:dyDescent="0.25">
      <c r="C5148" s="8" t="e">
        <f>VLOOKUP(A:A,'ITEM LIST'!A:C,3,0)</f>
        <v>#N/A</v>
      </c>
      <c r="D5148" s="6">
        <f t="shared" si="81"/>
        <v>0</v>
      </c>
    </row>
    <row r="5149" spans="3:4" ht="15" x14ac:dyDescent="0.25">
      <c r="C5149" s="8" t="e">
        <f>VLOOKUP(A:A,'ITEM LIST'!A:C,3,0)</f>
        <v>#N/A</v>
      </c>
      <c r="D5149" s="6">
        <f t="shared" si="81"/>
        <v>0</v>
      </c>
    </row>
    <row r="5150" spans="3:4" ht="15" x14ac:dyDescent="0.25">
      <c r="C5150" s="8" t="e">
        <f>VLOOKUP(A:A,'ITEM LIST'!A:C,3,0)</f>
        <v>#N/A</v>
      </c>
      <c r="D5150" s="6">
        <f t="shared" si="81"/>
        <v>0</v>
      </c>
    </row>
    <row r="5151" spans="3:4" ht="15" x14ac:dyDescent="0.25">
      <c r="C5151" s="8" t="e">
        <f>VLOOKUP(A:A,'ITEM LIST'!A:C,3,0)</f>
        <v>#N/A</v>
      </c>
      <c r="D5151" s="6">
        <f t="shared" si="81"/>
        <v>0</v>
      </c>
    </row>
    <row r="5152" spans="3:4" ht="15" x14ac:dyDescent="0.25">
      <c r="C5152" s="8" t="e">
        <f>VLOOKUP(A:A,'ITEM LIST'!A:C,3,0)</f>
        <v>#N/A</v>
      </c>
      <c r="D5152" s="6">
        <f t="shared" si="81"/>
        <v>0</v>
      </c>
    </row>
    <row r="5153" spans="3:4" ht="15" x14ac:dyDescent="0.25">
      <c r="C5153" s="8" t="e">
        <f>VLOOKUP(A:A,'ITEM LIST'!A:C,3,0)</f>
        <v>#N/A</v>
      </c>
      <c r="D5153" s="6">
        <f t="shared" si="81"/>
        <v>0</v>
      </c>
    </row>
    <row r="5154" spans="3:4" ht="15" x14ac:dyDescent="0.25">
      <c r="C5154" s="8" t="e">
        <f>VLOOKUP(A:A,'ITEM LIST'!A:C,3,0)</f>
        <v>#N/A</v>
      </c>
      <c r="D5154" s="6">
        <f t="shared" si="81"/>
        <v>0</v>
      </c>
    </row>
    <row r="5155" spans="3:4" ht="15" x14ac:dyDescent="0.25">
      <c r="C5155" s="8" t="e">
        <f>VLOOKUP(A:A,'ITEM LIST'!A:C,3,0)</f>
        <v>#N/A</v>
      </c>
      <c r="D5155" s="6">
        <f t="shared" si="81"/>
        <v>0</v>
      </c>
    </row>
    <row r="5156" spans="3:4" ht="15" x14ac:dyDescent="0.25">
      <c r="C5156" s="8" t="e">
        <f>VLOOKUP(A:A,'ITEM LIST'!A:C,3,0)</f>
        <v>#N/A</v>
      </c>
      <c r="D5156" s="6">
        <f t="shared" si="81"/>
        <v>0</v>
      </c>
    </row>
    <row r="5157" spans="3:4" ht="15" x14ac:dyDescent="0.25">
      <c r="C5157" s="8" t="e">
        <f>VLOOKUP(A:A,'ITEM LIST'!A:C,3,0)</f>
        <v>#N/A</v>
      </c>
      <c r="D5157" s="6">
        <f t="shared" si="81"/>
        <v>0</v>
      </c>
    </row>
    <row r="5158" spans="3:4" ht="15" x14ac:dyDescent="0.25">
      <c r="C5158" s="8" t="e">
        <f>VLOOKUP(A:A,'ITEM LIST'!A:C,3,0)</f>
        <v>#N/A</v>
      </c>
      <c r="D5158" s="6">
        <f t="shared" si="81"/>
        <v>0</v>
      </c>
    </row>
    <row r="5159" spans="3:4" ht="15" x14ac:dyDescent="0.25">
      <c r="C5159" s="8" t="e">
        <f>VLOOKUP(A:A,'ITEM LIST'!A:C,3,0)</f>
        <v>#N/A</v>
      </c>
      <c r="D5159" s="6">
        <f t="shared" si="81"/>
        <v>0</v>
      </c>
    </row>
    <row r="5160" spans="3:4" ht="15" x14ac:dyDescent="0.25">
      <c r="C5160" s="8" t="e">
        <f>VLOOKUP(A:A,'ITEM LIST'!A:C,3,0)</f>
        <v>#N/A</v>
      </c>
      <c r="D5160" s="6">
        <f t="shared" si="81"/>
        <v>0</v>
      </c>
    </row>
    <row r="5161" spans="3:4" ht="15" x14ac:dyDescent="0.25">
      <c r="C5161" s="8" t="e">
        <f>VLOOKUP(A:A,'ITEM LIST'!A:C,3,0)</f>
        <v>#N/A</v>
      </c>
      <c r="D5161" s="6">
        <f t="shared" si="81"/>
        <v>0</v>
      </c>
    </row>
    <row r="5162" spans="3:4" ht="15" x14ac:dyDescent="0.25">
      <c r="C5162" s="8" t="e">
        <f>VLOOKUP(A:A,'ITEM LIST'!A:C,3,0)</f>
        <v>#N/A</v>
      </c>
      <c r="D5162" s="6">
        <f t="shared" si="81"/>
        <v>0</v>
      </c>
    </row>
    <row r="5163" spans="3:4" ht="15" x14ac:dyDescent="0.25">
      <c r="C5163" s="8" t="e">
        <f>VLOOKUP(A:A,'ITEM LIST'!A:C,3,0)</f>
        <v>#N/A</v>
      </c>
      <c r="D5163" s="6">
        <f t="shared" si="81"/>
        <v>0</v>
      </c>
    </row>
    <row r="5164" spans="3:4" ht="15" x14ac:dyDescent="0.25">
      <c r="C5164" s="8" t="e">
        <f>VLOOKUP(A:A,'ITEM LIST'!A:C,3,0)</f>
        <v>#N/A</v>
      </c>
      <c r="D5164" s="6">
        <f t="shared" si="81"/>
        <v>0</v>
      </c>
    </row>
    <row r="5165" spans="3:4" ht="15" x14ac:dyDescent="0.25">
      <c r="C5165" s="8" t="e">
        <f>VLOOKUP(A:A,'ITEM LIST'!A:C,3,0)</f>
        <v>#N/A</v>
      </c>
      <c r="D5165" s="6">
        <f t="shared" si="81"/>
        <v>0</v>
      </c>
    </row>
    <row r="5166" spans="3:4" ht="15" x14ac:dyDescent="0.25">
      <c r="C5166" s="8" t="e">
        <f>VLOOKUP(A:A,'ITEM LIST'!A:C,3,0)</f>
        <v>#N/A</v>
      </c>
      <c r="D5166" s="6">
        <f t="shared" si="81"/>
        <v>0</v>
      </c>
    </row>
    <row r="5167" spans="3:4" ht="15" x14ac:dyDescent="0.25">
      <c r="C5167" s="8" t="e">
        <f>VLOOKUP(A:A,'ITEM LIST'!A:C,3,0)</f>
        <v>#N/A</v>
      </c>
      <c r="D5167" s="6">
        <f t="shared" si="81"/>
        <v>0</v>
      </c>
    </row>
    <row r="5168" spans="3:4" ht="15" x14ac:dyDescent="0.25">
      <c r="C5168" s="8" t="e">
        <f>VLOOKUP(A:A,'ITEM LIST'!A:C,3,0)</f>
        <v>#N/A</v>
      </c>
      <c r="D5168" s="6">
        <f t="shared" si="81"/>
        <v>0</v>
      </c>
    </row>
    <row r="5169" spans="3:4" ht="15" x14ac:dyDescent="0.25">
      <c r="C5169" s="8" t="e">
        <f>VLOOKUP(A:A,'ITEM LIST'!A:C,3,0)</f>
        <v>#N/A</v>
      </c>
      <c r="D5169" s="6">
        <f t="shared" si="81"/>
        <v>0</v>
      </c>
    </row>
    <row r="5170" spans="3:4" ht="15" x14ac:dyDescent="0.25">
      <c r="C5170" s="8" t="e">
        <f>VLOOKUP(A:A,'ITEM LIST'!A:C,3,0)</f>
        <v>#N/A</v>
      </c>
      <c r="D5170" s="6">
        <f t="shared" si="81"/>
        <v>0</v>
      </c>
    </row>
    <row r="5171" spans="3:4" ht="15" x14ac:dyDescent="0.25">
      <c r="C5171" s="8" t="e">
        <f>VLOOKUP(A:A,'ITEM LIST'!A:C,3,0)</f>
        <v>#N/A</v>
      </c>
      <c r="D5171" s="6">
        <f t="shared" si="81"/>
        <v>0</v>
      </c>
    </row>
    <row r="5172" spans="3:4" ht="15" x14ac:dyDescent="0.25">
      <c r="C5172" s="8" t="e">
        <f>VLOOKUP(A:A,'ITEM LIST'!A:C,3,0)</f>
        <v>#N/A</v>
      </c>
      <c r="D5172" s="6">
        <f t="shared" si="81"/>
        <v>0</v>
      </c>
    </row>
    <row r="5173" spans="3:4" ht="15" x14ac:dyDescent="0.25">
      <c r="C5173" s="8" t="e">
        <f>VLOOKUP(A:A,'ITEM LIST'!A:C,3,0)</f>
        <v>#N/A</v>
      </c>
      <c r="D5173" s="6">
        <f t="shared" si="81"/>
        <v>0</v>
      </c>
    </row>
    <row r="5174" spans="3:4" ht="15" x14ac:dyDescent="0.25">
      <c r="C5174" s="8" t="e">
        <f>VLOOKUP(A:A,'ITEM LIST'!A:C,3,0)</f>
        <v>#N/A</v>
      </c>
      <c r="D5174" s="6">
        <f t="shared" si="81"/>
        <v>0</v>
      </c>
    </row>
    <row r="5175" spans="3:4" ht="15" x14ac:dyDescent="0.25">
      <c r="C5175" s="8" t="e">
        <f>VLOOKUP(A:A,'ITEM LIST'!A:C,3,0)</f>
        <v>#N/A</v>
      </c>
      <c r="D5175" s="6">
        <f t="shared" si="81"/>
        <v>0</v>
      </c>
    </row>
    <row r="5176" spans="3:4" ht="15" x14ac:dyDescent="0.25">
      <c r="C5176" s="8" t="e">
        <f>VLOOKUP(A:A,'ITEM LIST'!A:C,3,0)</f>
        <v>#N/A</v>
      </c>
      <c r="D5176" s="6">
        <f t="shared" si="81"/>
        <v>0</v>
      </c>
    </row>
    <row r="5177" spans="3:4" ht="15" x14ac:dyDescent="0.25">
      <c r="C5177" s="8" t="e">
        <f>VLOOKUP(A:A,'ITEM LIST'!A:C,3,0)</f>
        <v>#N/A</v>
      </c>
      <c r="D5177" s="6">
        <f t="shared" si="81"/>
        <v>0</v>
      </c>
    </row>
    <row r="5178" spans="3:4" ht="15" x14ac:dyDescent="0.25">
      <c r="C5178" s="8" t="e">
        <f>VLOOKUP(A:A,'ITEM LIST'!A:C,3,0)</f>
        <v>#N/A</v>
      </c>
      <c r="D5178" s="6">
        <f t="shared" si="81"/>
        <v>0</v>
      </c>
    </row>
    <row r="5179" spans="3:4" ht="15" x14ac:dyDescent="0.25">
      <c r="C5179" s="8" t="e">
        <f>VLOOKUP(A:A,'ITEM LIST'!A:C,3,0)</f>
        <v>#N/A</v>
      </c>
      <c r="D5179" s="6">
        <f t="shared" si="81"/>
        <v>0</v>
      </c>
    </row>
    <row r="5180" spans="3:4" ht="15" x14ac:dyDescent="0.25">
      <c r="C5180" s="8" t="e">
        <f>VLOOKUP(A:A,'ITEM LIST'!A:C,3,0)</f>
        <v>#N/A</v>
      </c>
      <c r="D5180" s="6">
        <f t="shared" si="81"/>
        <v>0</v>
      </c>
    </row>
    <row r="5181" spans="3:4" ht="15" x14ac:dyDescent="0.25">
      <c r="C5181" s="8" t="e">
        <f>VLOOKUP(A:A,'ITEM LIST'!A:C,3,0)</f>
        <v>#N/A</v>
      </c>
      <c r="D5181" s="6">
        <f t="shared" si="81"/>
        <v>0</v>
      </c>
    </row>
    <row r="5182" spans="3:4" ht="15" x14ac:dyDescent="0.25">
      <c r="C5182" s="8" t="e">
        <f>VLOOKUP(A:A,'ITEM LIST'!A:C,3,0)</f>
        <v>#N/A</v>
      </c>
      <c r="D5182" s="6">
        <f t="shared" si="81"/>
        <v>0</v>
      </c>
    </row>
    <row r="5183" spans="3:4" ht="15" x14ac:dyDescent="0.25">
      <c r="C5183" s="8" t="e">
        <f>VLOOKUP(A:A,'ITEM LIST'!A:C,3,0)</f>
        <v>#N/A</v>
      </c>
      <c r="D5183" s="6">
        <f t="shared" si="81"/>
        <v>0</v>
      </c>
    </row>
    <row r="5184" spans="3:4" ht="15" x14ac:dyDescent="0.25">
      <c r="C5184" s="8" t="e">
        <f>VLOOKUP(A:A,'ITEM LIST'!A:C,3,0)</f>
        <v>#N/A</v>
      </c>
      <c r="D5184" s="6">
        <f t="shared" si="81"/>
        <v>0</v>
      </c>
    </row>
    <row r="5185" spans="3:4" ht="15" x14ac:dyDescent="0.25">
      <c r="C5185" s="8" t="e">
        <f>VLOOKUP(A:A,'ITEM LIST'!A:C,3,0)</f>
        <v>#N/A</v>
      </c>
      <c r="D5185" s="6">
        <f t="shared" si="81"/>
        <v>0</v>
      </c>
    </row>
    <row r="5186" spans="3:4" ht="15" x14ac:dyDescent="0.25">
      <c r="C5186" s="8" t="e">
        <f>VLOOKUP(A:A,'ITEM LIST'!A:C,3,0)</f>
        <v>#N/A</v>
      </c>
      <c r="D5186" s="6">
        <f t="shared" si="81"/>
        <v>0</v>
      </c>
    </row>
    <row r="5187" spans="3:4" ht="15" x14ac:dyDescent="0.25">
      <c r="C5187" s="8" t="e">
        <f>VLOOKUP(A:A,'ITEM LIST'!A:C,3,0)</f>
        <v>#N/A</v>
      </c>
      <c r="D5187" s="6">
        <f t="shared" si="81"/>
        <v>0</v>
      </c>
    </row>
    <row r="5188" spans="3:4" ht="15" x14ac:dyDescent="0.25">
      <c r="C5188" s="8" t="e">
        <f>VLOOKUP(A:A,'ITEM LIST'!A:C,3,0)</f>
        <v>#N/A</v>
      </c>
      <c r="D5188" s="6">
        <f t="shared" si="81"/>
        <v>0</v>
      </c>
    </row>
    <row r="5189" spans="3:4" ht="15" x14ac:dyDescent="0.25">
      <c r="C5189" s="8" t="e">
        <f>VLOOKUP(A:A,'ITEM LIST'!A:C,3,0)</f>
        <v>#N/A</v>
      </c>
      <c r="D5189" s="6">
        <f t="shared" si="81"/>
        <v>0</v>
      </c>
    </row>
    <row r="5190" spans="3:4" ht="15" x14ac:dyDescent="0.25">
      <c r="C5190" s="8" t="e">
        <f>VLOOKUP(A:A,'ITEM LIST'!A:C,3,0)</f>
        <v>#N/A</v>
      </c>
      <c r="D5190" s="6">
        <f t="shared" ref="D5190:D5253" si="82">B5190</f>
        <v>0</v>
      </c>
    </row>
    <row r="5191" spans="3:4" ht="15" x14ac:dyDescent="0.25">
      <c r="C5191" s="8" t="e">
        <f>VLOOKUP(A:A,'ITEM LIST'!A:C,3,0)</f>
        <v>#N/A</v>
      </c>
      <c r="D5191" s="6">
        <f t="shared" si="82"/>
        <v>0</v>
      </c>
    </row>
    <row r="5192" spans="3:4" ht="15" x14ac:dyDescent="0.25">
      <c r="C5192" s="8" t="e">
        <f>VLOOKUP(A:A,'ITEM LIST'!A:C,3,0)</f>
        <v>#N/A</v>
      </c>
      <c r="D5192" s="6">
        <f t="shared" si="82"/>
        <v>0</v>
      </c>
    </row>
    <row r="5193" spans="3:4" ht="15" x14ac:dyDescent="0.25">
      <c r="C5193" s="8" t="e">
        <f>VLOOKUP(A:A,'ITEM LIST'!A:C,3,0)</f>
        <v>#N/A</v>
      </c>
      <c r="D5193" s="6">
        <f t="shared" si="82"/>
        <v>0</v>
      </c>
    </row>
    <row r="5194" spans="3:4" ht="15" x14ac:dyDescent="0.25">
      <c r="C5194" s="8" t="e">
        <f>VLOOKUP(A:A,'ITEM LIST'!A:C,3,0)</f>
        <v>#N/A</v>
      </c>
      <c r="D5194" s="6">
        <f t="shared" si="82"/>
        <v>0</v>
      </c>
    </row>
    <row r="5195" spans="3:4" ht="15" x14ac:dyDescent="0.25">
      <c r="C5195" s="8" t="e">
        <f>VLOOKUP(A:A,'ITEM LIST'!A:C,3,0)</f>
        <v>#N/A</v>
      </c>
      <c r="D5195" s="6">
        <f t="shared" si="82"/>
        <v>0</v>
      </c>
    </row>
    <row r="5196" spans="3:4" ht="15" x14ac:dyDescent="0.25">
      <c r="C5196" s="8" t="e">
        <f>VLOOKUP(A:A,'ITEM LIST'!A:C,3,0)</f>
        <v>#N/A</v>
      </c>
      <c r="D5196" s="6">
        <f t="shared" si="82"/>
        <v>0</v>
      </c>
    </row>
    <row r="5197" spans="3:4" ht="15" x14ac:dyDescent="0.25">
      <c r="C5197" s="8" t="e">
        <f>VLOOKUP(A:A,'ITEM LIST'!A:C,3,0)</f>
        <v>#N/A</v>
      </c>
      <c r="D5197" s="6">
        <f t="shared" si="82"/>
        <v>0</v>
      </c>
    </row>
    <row r="5198" spans="3:4" ht="15" x14ac:dyDescent="0.25">
      <c r="C5198" s="8" t="e">
        <f>VLOOKUP(A:A,'ITEM LIST'!A:C,3,0)</f>
        <v>#N/A</v>
      </c>
      <c r="D5198" s="6">
        <f t="shared" si="82"/>
        <v>0</v>
      </c>
    </row>
    <row r="5199" spans="3:4" ht="15" x14ac:dyDescent="0.25">
      <c r="C5199" s="8" t="e">
        <f>VLOOKUP(A:A,'ITEM LIST'!A:C,3,0)</f>
        <v>#N/A</v>
      </c>
      <c r="D5199" s="6">
        <f t="shared" si="82"/>
        <v>0</v>
      </c>
    </row>
    <row r="5200" spans="3:4" ht="15" x14ac:dyDescent="0.25">
      <c r="C5200" s="8" t="e">
        <f>VLOOKUP(A:A,'ITEM LIST'!A:C,3,0)</f>
        <v>#N/A</v>
      </c>
      <c r="D5200" s="6">
        <f t="shared" si="82"/>
        <v>0</v>
      </c>
    </row>
    <row r="5201" spans="3:4" ht="15" x14ac:dyDescent="0.25">
      <c r="C5201" s="8" t="e">
        <f>VLOOKUP(A:A,'ITEM LIST'!A:C,3,0)</f>
        <v>#N/A</v>
      </c>
      <c r="D5201" s="6">
        <f t="shared" si="82"/>
        <v>0</v>
      </c>
    </row>
    <row r="5202" spans="3:4" ht="15" x14ac:dyDescent="0.25">
      <c r="C5202" s="8" t="e">
        <f>VLOOKUP(A:A,'ITEM LIST'!A:C,3,0)</f>
        <v>#N/A</v>
      </c>
      <c r="D5202" s="6">
        <f t="shared" si="82"/>
        <v>0</v>
      </c>
    </row>
    <row r="5203" spans="3:4" ht="15" x14ac:dyDescent="0.25">
      <c r="C5203" s="8" t="e">
        <f>VLOOKUP(A:A,'ITEM LIST'!A:C,3,0)</f>
        <v>#N/A</v>
      </c>
      <c r="D5203" s="6">
        <f t="shared" si="82"/>
        <v>0</v>
      </c>
    </row>
    <row r="5204" spans="3:4" ht="15" x14ac:dyDescent="0.25">
      <c r="C5204" s="8" t="e">
        <f>VLOOKUP(A:A,'ITEM LIST'!A:C,3,0)</f>
        <v>#N/A</v>
      </c>
      <c r="D5204" s="6">
        <f t="shared" si="82"/>
        <v>0</v>
      </c>
    </row>
    <row r="5205" spans="3:4" ht="15" x14ac:dyDescent="0.25">
      <c r="C5205" s="8" t="e">
        <f>VLOOKUP(A:A,'ITEM LIST'!A:C,3,0)</f>
        <v>#N/A</v>
      </c>
      <c r="D5205" s="6">
        <f t="shared" si="82"/>
        <v>0</v>
      </c>
    </row>
    <row r="5206" spans="3:4" ht="15" x14ac:dyDescent="0.25">
      <c r="C5206" s="8" t="e">
        <f>VLOOKUP(A:A,'ITEM LIST'!A:C,3,0)</f>
        <v>#N/A</v>
      </c>
      <c r="D5206" s="6">
        <f t="shared" si="82"/>
        <v>0</v>
      </c>
    </row>
    <row r="5207" spans="3:4" ht="15" x14ac:dyDescent="0.25">
      <c r="C5207" s="8" t="e">
        <f>VLOOKUP(A:A,'ITEM LIST'!A:C,3,0)</f>
        <v>#N/A</v>
      </c>
      <c r="D5207" s="6">
        <f t="shared" si="82"/>
        <v>0</v>
      </c>
    </row>
    <row r="5208" spans="3:4" ht="15" x14ac:dyDescent="0.25">
      <c r="C5208" s="8" t="e">
        <f>VLOOKUP(A:A,'ITEM LIST'!A:C,3,0)</f>
        <v>#N/A</v>
      </c>
      <c r="D5208" s="6">
        <f t="shared" si="82"/>
        <v>0</v>
      </c>
    </row>
    <row r="5209" spans="3:4" ht="15" x14ac:dyDescent="0.25">
      <c r="C5209" s="8" t="e">
        <f>VLOOKUP(A:A,'ITEM LIST'!A:C,3,0)</f>
        <v>#N/A</v>
      </c>
      <c r="D5209" s="6">
        <f t="shared" si="82"/>
        <v>0</v>
      </c>
    </row>
    <row r="5210" spans="3:4" ht="15" x14ac:dyDescent="0.25">
      <c r="C5210" s="8" t="e">
        <f>VLOOKUP(A:A,'ITEM LIST'!A:C,3,0)</f>
        <v>#N/A</v>
      </c>
      <c r="D5210" s="6">
        <f t="shared" si="82"/>
        <v>0</v>
      </c>
    </row>
    <row r="5211" spans="3:4" ht="15" x14ac:dyDescent="0.25">
      <c r="C5211" s="8" t="e">
        <f>VLOOKUP(A:A,'ITEM LIST'!A:C,3,0)</f>
        <v>#N/A</v>
      </c>
      <c r="D5211" s="6">
        <f t="shared" si="82"/>
        <v>0</v>
      </c>
    </row>
    <row r="5212" spans="3:4" ht="15" x14ac:dyDescent="0.25">
      <c r="C5212" s="8" t="e">
        <f>VLOOKUP(A:A,'ITEM LIST'!A:C,3,0)</f>
        <v>#N/A</v>
      </c>
      <c r="D5212" s="6">
        <f t="shared" si="82"/>
        <v>0</v>
      </c>
    </row>
    <row r="5213" spans="3:4" ht="15" x14ac:dyDescent="0.25">
      <c r="C5213" s="8" t="e">
        <f>VLOOKUP(A:A,'ITEM LIST'!A:C,3,0)</f>
        <v>#N/A</v>
      </c>
      <c r="D5213" s="6">
        <f t="shared" si="82"/>
        <v>0</v>
      </c>
    </row>
    <row r="5214" spans="3:4" ht="15" x14ac:dyDescent="0.25">
      <c r="C5214" s="8" t="e">
        <f>VLOOKUP(A:A,'ITEM LIST'!A:C,3,0)</f>
        <v>#N/A</v>
      </c>
      <c r="D5214" s="6">
        <f t="shared" si="82"/>
        <v>0</v>
      </c>
    </row>
    <row r="5215" spans="3:4" ht="15" x14ac:dyDescent="0.25">
      <c r="C5215" s="8" t="e">
        <f>VLOOKUP(A:A,'ITEM LIST'!A:C,3,0)</f>
        <v>#N/A</v>
      </c>
      <c r="D5215" s="6">
        <f t="shared" si="82"/>
        <v>0</v>
      </c>
    </row>
    <row r="5216" spans="3:4" ht="15" x14ac:dyDescent="0.25">
      <c r="C5216" s="8" t="e">
        <f>VLOOKUP(A:A,'ITEM LIST'!A:C,3,0)</f>
        <v>#N/A</v>
      </c>
      <c r="D5216" s="6">
        <f t="shared" si="82"/>
        <v>0</v>
      </c>
    </row>
    <row r="5217" spans="3:4" ht="15" x14ac:dyDescent="0.25">
      <c r="C5217" s="8" t="e">
        <f>VLOOKUP(A:A,'ITEM LIST'!A:C,3,0)</f>
        <v>#N/A</v>
      </c>
      <c r="D5217" s="6">
        <f t="shared" si="82"/>
        <v>0</v>
      </c>
    </row>
    <row r="5218" spans="3:4" ht="15" x14ac:dyDescent="0.25">
      <c r="C5218" s="8" t="e">
        <f>VLOOKUP(A:A,'ITEM LIST'!A:C,3,0)</f>
        <v>#N/A</v>
      </c>
      <c r="D5218" s="6">
        <f t="shared" si="82"/>
        <v>0</v>
      </c>
    </row>
    <row r="5219" spans="3:4" ht="15" x14ac:dyDescent="0.25">
      <c r="C5219" s="8" t="e">
        <f>VLOOKUP(A:A,'ITEM LIST'!A:C,3,0)</f>
        <v>#N/A</v>
      </c>
      <c r="D5219" s="6">
        <f t="shared" si="82"/>
        <v>0</v>
      </c>
    </row>
    <row r="5220" spans="3:4" ht="15" x14ac:dyDescent="0.25">
      <c r="C5220" s="8" t="e">
        <f>VLOOKUP(A:A,'ITEM LIST'!A:C,3,0)</f>
        <v>#N/A</v>
      </c>
      <c r="D5220" s="6">
        <f t="shared" si="82"/>
        <v>0</v>
      </c>
    </row>
    <row r="5221" spans="3:4" ht="15" x14ac:dyDescent="0.25">
      <c r="C5221" s="8" t="e">
        <f>VLOOKUP(A:A,'ITEM LIST'!A:C,3,0)</f>
        <v>#N/A</v>
      </c>
      <c r="D5221" s="6">
        <f t="shared" si="82"/>
        <v>0</v>
      </c>
    </row>
    <row r="5222" spans="3:4" ht="15" x14ac:dyDescent="0.25">
      <c r="C5222" s="8" t="e">
        <f>VLOOKUP(A:A,'ITEM LIST'!A:C,3,0)</f>
        <v>#N/A</v>
      </c>
      <c r="D5222" s="6">
        <f t="shared" si="82"/>
        <v>0</v>
      </c>
    </row>
    <row r="5223" spans="3:4" ht="15" x14ac:dyDescent="0.25">
      <c r="C5223" s="8" t="e">
        <f>VLOOKUP(A:A,'ITEM LIST'!A:C,3,0)</f>
        <v>#N/A</v>
      </c>
      <c r="D5223" s="6">
        <f t="shared" si="82"/>
        <v>0</v>
      </c>
    </row>
    <row r="5224" spans="3:4" ht="15" x14ac:dyDescent="0.25">
      <c r="C5224" s="8" t="e">
        <f>VLOOKUP(A:A,'ITEM LIST'!A:C,3,0)</f>
        <v>#N/A</v>
      </c>
      <c r="D5224" s="6">
        <f t="shared" si="82"/>
        <v>0</v>
      </c>
    </row>
    <row r="5225" spans="3:4" ht="15" x14ac:dyDescent="0.25">
      <c r="C5225" s="8" t="e">
        <f>VLOOKUP(A:A,'ITEM LIST'!A:C,3,0)</f>
        <v>#N/A</v>
      </c>
      <c r="D5225" s="6">
        <f t="shared" si="82"/>
        <v>0</v>
      </c>
    </row>
    <row r="5226" spans="3:4" ht="15" x14ac:dyDescent="0.25">
      <c r="C5226" s="8" t="e">
        <f>VLOOKUP(A:A,'ITEM LIST'!A:C,3,0)</f>
        <v>#N/A</v>
      </c>
      <c r="D5226" s="6">
        <f t="shared" si="82"/>
        <v>0</v>
      </c>
    </row>
    <row r="5227" spans="3:4" ht="15" x14ac:dyDescent="0.25">
      <c r="C5227" s="8" t="e">
        <f>VLOOKUP(A:A,'ITEM LIST'!A:C,3,0)</f>
        <v>#N/A</v>
      </c>
      <c r="D5227" s="6">
        <f t="shared" si="82"/>
        <v>0</v>
      </c>
    </row>
    <row r="5228" spans="3:4" ht="15" x14ac:dyDescent="0.25">
      <c r="C5228" s="8" t="e">
        <f>VLOOKUP(A:A,'ITEM LIST'!A:C,3,0)</f>
        <v>#N/A</v>
      </c>
      <c r="D5228" s="6">
        <f t="shared" si="82"/>
        <v>0</v>
      </c>
    </row>
    <row r="5229" spans="3:4" ht="15" x14ac:dyDescent="0.25">
      <c r="C5229" s="8" t="e">
        <f>VLOOKUP(A:A,'ITEM LIST'!A:C,3,0)</f>
        <v>#N/A</v>
      </c>
      <c r="D5229" s="6">
        <f t="shared" si="82"/>
        <v>0</v>
      </c>
    </row>
    <row r="5230" spans="3:4" ht="15" x14ac:dyDescent="0.25">
      <c r="C5230" s="8" t="e">
        <f>VLOOKUP(A:A,'ITEM LIST'!A:C,3,0)</f>
        <v>#N/A</v>
      </c>
      <c r="D5230" s="6">
        <f t="shared" si="82"/>
        <v>0</v>
      </c>
    </row>
    <row r="5231" spans="3:4" ht="15" x14ac:dyDescent="0.25">
      <c r="C5231" s="8" t="e">
        <f>VLOOKUP(A:A,'ITEM LIST'!A:C,3,0)</f>
        <v>#N/A</v>
      </c>
      <c r="D5231" s="6">
        <f t="shared" si="82"/>
        <v>0</v>
      </c>
    </row>
    <row r="5232" spans="3:4" ht="15" x14ac:dyDescent="0.25">
      <c r="C5232" s="8" t="e">
        <f>VLOOKUP(A:A,'ITEM LIST'!A:C,3,0)</f>
        <v>#N/A</v>
      </c>
      <c r="D5232" s="6">
        <f t="shared" si="82"/>
        <v>0</v>
      </c>
    </row>
    <row r="5233" spans="3:4" ht="15" x14ac:dyDescent="0.25">
      <c r="C5233" s="8" t="e">
        <f>VLOOKUP(A:A,'ITEM LIST'!A:C,3,0)</f>
        <v>#N/A</v>
      </c>
      <c r="D5233" s="6">
        <f t="shared" si="82"/>
        <v>0</v>
      </c>
    </row>
    <row r="5234" spans="3:4" ht="15" x14ac:dyDescent="0.25">
      <c r="C5234" s="8" t="e">
        <f>VLOOKUP(A:A,'ITEM LIST'!A:C,3,0)</f>
        <v>#N/A</v>
      </c>
      <c r="D5234" s="6">
        <f t="shared" si="82"/>
        <v>0</v>
      </c>
    </row>
    <row r="5235" spans="3:4" ht="15" x14ac:dyDescent="0.25">
      <c r="C5235" s="8" t="e">
        <f>VLOOKUP(A:A,'ITEM LIST'!A:C,3,0)</f>
        <v>#N/A</v>
      </c>
      <c r="D5235" s="6">
        <f t="shared" si="82"/>
        <v>0</v>
      </c>
    </row>
    <row r="5236" spans="3:4" ht="15" x14ac:dyDescent="0.25">
      <c r="C5236" s="8" t="e">
        <f>VLOOKUP(A:A,'ITEM LIST'!A:C,3,0)</f>
        <v>#N/A</v>
      </c>
      <c r="D5236" s="6">
        <f t="shared" si="82"/>
        <v>0</v>
      </c>
    </row>
    <row r="5237" spans="3:4" ht="15" x14ac:dyDescent="0.25">
      <c r="C5237" s="8" t="e">
        <f>VLOOKUP(A:A,'ITEM LIST'!A:C,3,0)</f>
        <v>#N/A</v>
      </c>
      <c r="D5237" s="6">
        <f t="shared" si="82"/>
        <v>0</v>
      </c>
    </row>
    <row r="5238" spans="3:4" ht="15" x14ac:dyDescent="0.25">
      <c r="C5238" s="8" t="e">
        <f>VLOOKUP(A:A,'ITEM LIST'!A:C,3,0)</f>
        <v>#N/A</v>
      </c>
      <c r="D5238" s="6">
        <f t="shared" si="82"/>
        <v>0</v>
      </c>
    </row>
    <row r="5239" spans="3:4" ht="15" x14ac:dyDescent="0.25">
      <c r="C5239" s="8" t="e">
        <f>VLOOKUP(A:A,'ITEM LIST'!A:C,3,0)</f>
        <v>#N/A</v>
      </c>
      <c r="D5239" s="6">
        <f t="shared" si="82"/>
        <v>0</v>
      </c>
    </row>
    <row r="5240" spans="3:4" ht="15" x14ac:dyDescent="0.25">
      <c r="C5240" s="8" t="e">
        <f>VLOOKUP(A:A,'ITEM LIST'!A:C,3,0)</f>
        <v>#N/A</v>
      </c>
      <c r="D5240" s="6">
        <f t="shared" si="82"/>
        <v>0</v>
      </c>
    </row>
    <row r="5241" spans="3:4" ht="15" x14ac:dyDescent="0.25">
      <c r="C5241" s="8" t="e">
        <f>VLOOKUP(A:A,'ITEM LIST'!A:C,3,0)</f>
        <v>#N/A</v>
      </c>
      <c r="D5241" s="6">
        <f t="shared" si="82"/>
        <v>0</v>
      </c>
    </row>
    <row r="5242" spans="3:4" ht="15" x14ac:dyDescent="0.25">
      <c r="C5242" s="8" t="e">
        <f>VLOOKUP(A:A,'ITEM LIST'!A:C,3,0)</f>
        <v>#N/A</v>
      </c>
      <c r="D5242" s="6">
        <f t="shared" si="82"/>
        <v>0</v>
      </c>
    </row>
    <row r="5243" spans="3:4" ht="15" x14ac:dyDescent="0.25">
      <c r="C5243" s="8" t="e">
        <f>VLOOKUP(A:A,'ITEM LIST'!A:C,3,0)</f>
        <v>#N/A</v>
      </c>
      <c r="D5243" s="6">
        <f t="shared" si="82"/>
        <v>0</v>
      </c>
    </row>
    <row r="5244" spans="3:4" ht="15" x14ac:dyDescent="0.25">
      <c r="C5244" s="8" t="e">
        <f>VLOOKUP(A:A,'ITEM LIST'!A:C,3,0)</f>
        <v>#N/A</v>
      </c>
      <c r="D5244" s="6">
        <f t="shared" si="82"/>
        <v>0</v>
      </c>
    </row>
    <row r="5245" spans="3:4" ht="15" x14ac:dyDescent="0.25">
      <c r="C5245" s="8" t="e">
        <f>VLOOKUP(A:A,'ITEM LIST'!A:C,3,0)</f>
        <v>#N/A</v>
      </c>
      <c r="D5245" s="6">
        <f t="shared" si="82"/>
        <v>0</v>
      </c>
    </row>
    <row r="5246" spans="3:4" ht="15" x14ac:dyDescent="0.25">
      <c r="C5246" s="8" t="e">
        <f>VLOOKUP(A:A,'ITEM LIST'!A:C,3,0)</f>
        <v>#N/A</v>
      </c>
      <c r="D5246" s="6">
        <f t="shared" si="82"/>
        <v>0</v>
      </c>
    </row>
    <row r="5247" spans="3:4" ht="15" x14ac:dyDescent="0.25">
      <c r="C5247" s="8" t="e">
        <f>VLOOKUP(A:A,'ITEM LIST'!A:C,3,0)</f>
        <v>#N/A</v>
      </c>
      <c r="D5247" s="6">
        <f t="shared" si="82"/>
        <v>0</v>
      </c>
    </row>
    <row r="5248" spans="3:4" ht="15" x14ac:dyDescent="0.25">
      <c r="C5248" s="8" t="e">
        <f>VLOOKUP(A:A,'ITEM LIST'!A:C,3,0)</f>
        <v>#N/A</v>
      </c>
      <c r="D5248" s="6">
        <f t="shared" si="82"/>
        <v>0</v>
      </c>
    </row>
    <row r="5249" spans="3:4" ht="15" x14ac:dyDescent="0.25">
      <c r="C5249" s="8" t="e">
        <f>VLOOKUP(A:A,'ITEM LIST'!A:C,3,0)</f>
        <v>#N/A</v>
      </c>
      <c r="D5249" s="6">
        <f t="shared" si="82"/>
        <v>0</v>
      </c>
    </row>
    <row r="5250" spans="3:4" ht="15" x14ac:dyDescent="0.25">
      <c r="C5250" s="8" t="e">
        <f>VLOOKUP(A:A,'ITEM LIST'!A:C,3,0)</f>
        <v>#N/A</v>
      </c>
      <c r="D5250" s="6">
        <f t="shared" si="82"/>
        <v>0</v>
      </c>
    </row>
    <row r="5251" spans="3:4" ht="15" x14ac:dyDescent="0.25">
      <c r="C5251" s="8" t="e">
        <f>VLOOKUP(A:A,'ITEM LIST'!A:C,3,0)</f>
        <v>#N/A</v>
      </c>
      <c r="D5251" s="6">
        <f t="shared" si="82"/>
        <v>0</v>
      </c>
    </row>
    <row r="5252" spans="3:4" ht="15" x14ac:dyDescent="0.25">
      <c r="C5252" s="8" t="e">
        <f>VLOOKUP(A:A,'ITEM LIST'!A:C,3,0)</f>
        <v>#N/A</v>
      </c>
      <c r="D5252" s="6">
        <f t="shared" si="82"/>
        <v>0</v>
      </c>
    </row>
    <row r="5253" spans="3:4" ht="15" x14ac:dyDescent="0.25">
      <c r="C5253" s="8" t="e">
        <f>VLOOKUP(A:A,'ITEM LIST'!A:C,3,0)</f>
        <v>#N/A</v>
      </c>
      <c r="D5253" s="6">
        <f t="shared" si="82"/>
        <v>0</v>
      </c>
    </row>
    <row r="5254" spans="3:4" ht="15" x14ac:dyDescent="0.25">
      <c r="C5254" s="8" t="e">
        <f>VLOOKUP(A:A,'ITEM LIST'!A:C,3,0)</f>
        <v>#N/A</v>
      </c>
      <c r="D5254" s="6">
        <f t="shared" ref="D5254:D5317" si="83">B5254</f>
        <v>0</v>
      </c>
    </row>
    <row r="5255" spans="3:4" ht="15" x14ac:dyDescent="0.25">
      <c r="C5255" s="8" t="e">
        <f>VLOOKUP(A:A,'ITEM LIST'!A:C,3,0)</f>
        <v>#N/A</v>
      </c>
      <c r="D5255" s="6">
        <f t="shared" si="83"/>
        <v>0</v>
      </c>
    </row>
    <row r="5256" spans="3:4" ht="15" x14ac:dyDescent="0.25">
      <c r="C5256" s="8" t="e">
        <f>VLOOKUP(A:A,'ITEM LIST'!A:C,3,0)</f>
        <v>#N/A</v>
      </c>
      <c r="D5256" s="6">
        <f t="shared" si="83"/>
        <v>0</v>
      </c>
    </row>
    <row r="5257" spans="3:4" ht="15" x14ac:dyDescent="0.25">
      <c r="C5257" s="8" t="e">
        <f>VLOOKUP(A:A,'ITEM LIST'!A:C,3,0)</f>
        <v>#N/A</v>
      </c>
      <c r="D5257" s="6">
        <f t="shared" si="83"/>
        <v>0</v>
      </c>
    </row>
    <row r="5258" spans="3:4" ht="15" x14ac:dyDescent="0.25">
      <c r="C5258" s="8" t="e">
        <f>VLOOKUP(A:A,'ITEM LIST'!A:C,3,0)</f>
        <v>#N/A</v>
      </c>
      <c r="D5258" s="6">
        <f t="shared" si="83"/>
        <v>0</v>
      </c>
    </row>
    <row r="5259" spans="3:4" ht="15" x14ac:dyDescent="0.25">
      <c r="C5259" s="8" t="e">
        <f>VLOOKUP(A:A,'ITEM LIST'!A:C,3,0)</f>
        <v>#N/A</v>
      </c>
      <c r="D5259" s="6">
        <f t="shared" si="83"/>
        <v>0</v>
      </c>
    </row>
    <row r="5260" spans="3:4" ht="15" x14ac:dyDescent="0.25">
      <c r="C5260" s="8" t="e">
        <f>VLOOKUP(A:A,'ITEM LIST'!A:C,3,0)</f>
        <v>#N/A</v>
      </c>
      <c r="D5260" s="6">
        <f t="shared" si="83"/>
        <v>0</v>
      </c>
    </row>
    <row r="5261" spans="3:4" ht="15" x14ac:dyDescent="0.25">
      <c r="C5261" s="8" t="e">
        <f>VLOOKUP(A:A,'ITEM LIST'!A:C,3,0)</f>
        <v>#N/A</v>
      </c>
      <c r="D5261" s="6">
        <f t="shared" si="83"/>
        <v>0</v>
      </c>
    </row>
    <row r="5262" spans="3:4" ht="15" x14ac:dyDescent="0.25">
      <c r="C5262" s="8" t="e">
        <f>VLOOKUP(A:A,'ITEM LIST'!A:C,3,0)</f>
        <v>#N/A</v>
      </c>
      <c r="D5262" s="6">
        <f t="shared" si="83"/>
        <v>0</v>
      </c>
    </row>
    <row r="5263" spans="3:4" ht="15" x14ac:dyDescent="0.25">
      <c r="C5263" s="8" t="e">
        <f>VLOOKUP(A:A,'ITEM LIST'!A:C,3,0)</f>
        <v>#N/A</v>
      </c>
      <c r="D5263" s="6">
        <f t="shared" si="83"/>
        <v>0</v>
      </c>
    </row>
    <row r="5264" spans="3:4" ht="15" x14ac:dyDescent="0.25">
      <c r="C5264" s="8" t="e">
        <f>VLOOKUP(A:A,'ITEM LIST'!A:C,3,0)</f>
        <v>#N/A</v>
      </c>
      <c r="D5264" s="6">
        <f t="shared" si="83"/>
        <v>0</v>
      </c>
    </row>
    <row r="5265" spans="3:4" ht="15" x14ac:dyDescent="0.25">
      <c r="C5265" s="8" t="e">
        <f>VLOOKUP(A:A,'ITEM LIST'!A:C,3,0)</f>
        <v>#N/A</v>
      </c>
      <c r="D5265" s="6">
        <f t="shared" si="83"/>
        <v>0</v>
      </c>
    </row>
    <row r="5266" spans="3:4" ht="15" x14ac:dyDescent="0.25">
      <c r="C5266" s="8" t="e">
        <f>VLOOKUP(A:A,'ITEM LIST'!A:C,3,0)</f>
        <v>#N/A</v>
      </c>
      <c r="D5266" s="6">
        <f t="shared" si="83"/>
        <v>0</v>
      </c>
    </row>
    <row r="5267" spans="3:4" ht="15" x14ac:dyDescent="0.25">
      <c r="C5267" s="8" t="e">
        <f>VLOOKUP(A:A,'ITEM LIST'!A:C,3,0)</f>
        <v>#N/A</v>
      </c>
      <c r="D5267" s="6">
        <f t="shared" si="83"/>
        <v>0</v>
      </c>
    </row>
    <row r="5268" spans="3:4" ht="15" x14ac:dyDescent="0.25">
      <c r="C5268" s="8" t="e">
        <f>VLOOKUP(A:A,'ITEM LIST'!A:C,3,0)</f>
        <v>#N/A</v>
      </c>
      <c r="D5268" s="6">
        <f t="shared" si="83"/>
        <v>0</v>
      </c>
    </row>
    <row r="5269" spans="3:4" ht="15" x14ac:dyDescent="0.25">
      <c r="C5269" s="8" t="e">
        <f>VLOOKUP(A:A,'ITEM LIST'!A:C,3,0)</f>
        <v>#N/A</v>
      </c>
      <c r="D5269" s="6">
        <f t="shared" si="83"/>
        <v>0</v>
      </c>
    </row>
    <row r="5270" spans="3:4" ht="15" x14ac:dyDescent="0.25">
      <c r="C5270" s="8" t="e">
        <f>VLOOKUP(A:A,'ITEM LIST'!A:C,3,0)</f>
        <v>#N/A</v>
      </c>
      <c r="D5270" s="6">
        <f t="shared" si="83"/>
        <v>0</v>
      </c>
    </row>
    <row r="5271" spans="3:4" ht="15" x14ac:dyDescent="0.25">
      <c r="C5271" s="8" t="e">
        <f>VLOOKUP(A:A,'ITEM LIST'!A:C,3,0)</f>
        <v>#N/A</v>
      </c>
      <c r="D5271" s="6">
        <f t="shared" si="83"/>
        <v>0</v>
      </c>
    </row>
    <row r="5272" spans="3:4" ht="15" x14ac:dyDescent="0.25">
      <c r="C5272" s="8" t="e">
        <f>VLOOKUP(A:A,'ITEM LIST'!A:C,3,0)</f>
        <v>#N/A</v>
      </c>
      <c r="D5272" s="6">
        <f t="shared" si="83"/>
        <v>0</v>
      </c>
    </row>
    <row r="5273" spans="3:4" ht="15" x14ac:dyDescent="0.25">
      <c r="C5273" s="8" t="e">
        <f>VLOOKUP(A:A,'ITEM LIST'!A:C,3,0)</f>
        <v>#N/A</v>
      </c>
      <c r="D5273" s="6">
        <f t="shared" si="83"/>
        <v>0</v>
      </c>
    </row>
    <row r="5274" spans="3:4" ht="15" x14ac:dyDescent="0.25">
      <c r="C5274" s="8" t="e">
        <f>VLOOKUP(A:A,'ITEM LIST'!A:C,3,0)</f>
        <v>#N/A</v>
      </c>
      <c r="D5274" s="6">
        <f t="shared" si="83"/>
        <v>0</v>
      </c>
    </row>
    <row r="5275" spans="3:4" ht="15" x14ac:dyDescent="0.25">
      <c r="C5275" s="8" t="e">
        <f>VLOOKUP(A:A,'ITEM LIST'!A:C,3,0)</f>
        <v>#N/A</v>
      </c>
      <c r="D5275" s="6">
        <f t="shared" si="83"/>
        <v>0</v>
      </c>
    </row>
    <row r="5276" spans="3:4" ht="15" x14ac:dyDescent="0.25">
      <c r="C5276" s="8" t="e">
        <f>VLOOKUP(A:A,'ITEM LIST'!A:C,3,0)</f>
        <v>#N/A</v>
      </c>
      <c r="D5276" s="6">
        <f t="shared" si="83"/>
        <v>0</v>
      </c>
    </row>
    <row r="5277" spans="3:4" ht="15" x14ac:dyDescent="0.25">
      <c r="C5277" s="8" t="e">
        <f>VLOOKUP(A:A,'ITEM LIST'!A:C,3,0)</f>
        <v>#N/A</v>
      </c>
      <c r="D5277" s="6">
        <f t="shared" si="83"/>
        <v>0</v>
      </c>
    </row>
    <row r="5278" spans="3:4" ht="15" x14ac:dyDescent="0.25">
      <c r="C5278" s="8" t="e">
        <f>VLOOKUP(A:A,'ITEM LIST'!A:C,3,0)</f>
        <v>#N/A</v>
      </c>
      <c r="D5278" s="6">
        <f t="shared" si="83"/>
        <v>0</v>
      </c>
    </row>
    <row r="5279" spans="3:4" ht="15" x14ac:dyDescent="0.25">
      <c r="C5279" s="8" t="e">
        <f>VLOOKUP(A:A,'ITEM LIST'!A:C,3,0)</f>
        <v>#N/A</v>
      </c>
      <c r="D5279" s="6">
        <f t="shared" si="83"/>
        <v>0</v>
      </c>
    </row>
    <row r="5280" spans="3:4" ht="15" x14ac:dyDescent="0.25">
      <c r="C5280" s="8" t="e">
        <f>VLOOKUP(A:A,'ITEM LIST'!A:C,3,0)</f>
        <v>#N/A</v>
      </c>
      <c r="D5280" s="6">
        <f t="shared" si="83"/>
        <v>0</v>
      </c>
    </row>
    <row r="5281" spans="3:4" ht="15" x14ac:dyDescent="0.25">
      <c r="C5281" s="8" t="e">
        <f>VLOOKUP(A:A,'ITEM LIST'!A:C,3,0)</f>
        <v>#N/A</v>
      </c>
      <c r="D5281" s="6">
        <f t="shared" si="83"/>
        <v>0</v>
      </c>
    </row>
    <row r="5282" spans="3:4" ht="15" x14ac:dyDescent="0.25">
      <c r="C5282" s="8" t="e">
        <f>VLOOKUP(A:A,'ITEM LIST'!A:C,3,0)</f>
        <v>#N/A</v>
      </c>
      <c r="D5282" s="6">
        <f t="shared" si="83"/>
        <v>0</v>
      </c>
    </row>
    <row r="5283" spans="3:4" ht="15" x14ac:dyDescent="0.25">
      <c r="C5283" s="8" t="e">
        <f>VLOOKUP(A:A,'ITEM LIST'!A:C,3,0)</f>
        <v>#N/A</v>
      </c>
      <c r="D5283" s="6">
        <f t="shared" si="83"/>
        <v>0</v>
      </c>
    </row>
    <row r="5284" spans="3:4" ht="15" x14ac:dyDescent="0.25">
      <c r="C5284" s="8" t="e">
        <f>VLOOKUP(A:A,'ITEM LIST'!A:C,3,0)</f>
        <v>#N/A</v>
      </c>
      <c r="D5284" s="6">
        <f t="shared" si="83"/>
        <v>0</v>
      </c>
    </row>
    <row r="5285" spans="3:4" ht="15" x14ac:dyDescent="0.25">
      <c r="C5285" s="8" t="e">
        <f>VLOOKUP(A:A,'ITEM LIST'!A:C,3,0)</f>
        <v>#N/A</v>
      </c>
      <c r="D5285" s="6">
        <f t="shared" si="83"/>
        <v>0</v>
      </c>
    </row>
    <row r="5286" spans="3:4" ht="15" x14ac:dyDescent="0.25">
      <c r="C5286" s="8" t="e">
        <f>VLOOKUP(A:A,'ITEM LIST'!A:C,3,0)</f>
        <v>#N/A</v>
      </c>
      <c r="D5286" s="6">
        <f t="shared" si="83"/>
        <v>0</v>
      </c>
    </row>
    <row r="5287" spans="3:4" ht="15" x14ac:dyDescent="0.25">
      <c r="C5287" s="8" t="e">
        <f>VLOOKUP(A:A,'ITEM LIST'!A:C,3,0)</f>
        <v>#N/A</v>
      </c>
      <c r="D5287" s="6">
        <f t="shared" si="83"/>
        <v>0</v>
      </c>
    </row>
    <row r="5288" spans="3:4" ht="15" x14ac:dyDescent="0.25">
      <c r="C5288" s="8" t="e">
        <f>VLOOKUP(A:A,'ITEM LIST'!A:C,3,0)</f>
        <v>#N/A</v>
      </c>
      <c r="D5288" s="6">
        <f t="shared" si="83"/>
        <v>0</v>
      </c>
    </row>
    <row r="5289" spans="3:4" ht="15" x14ac:dyDescent="0.25">
      <c r="C5289" s="8" t="e">
        <f>VLOOKUP(A:A,'ITEM LIST'!A:C,3,0)</f>
        <v>#N/A</v>
      </c>
      <c r="D5289" s="6">
        <f t="shared" si="83"/>
        <v>0</v>
      </c>
    </row>
    <row r="5290" spans="3:4" ht="15" x14ac:dyDescent="0.25">
      <c r="C5290" s="8" t="e">
        <f>VLOOKUP(A:A,'ITEM LIST'!A:C,3,0)</f>
        <v>#N/A</v>
      </c>
      <c r="D5290" s="6">
        <f t="shared" si="83"/>
        <v>0</v>
      </c>
    </row>
    <row r="5291" spans="3:4" ht="15" x14ac:dyDescent="0.25">
      <c r="C5291" s="8" t="e">
        <f>VLOOKUP(A:A,'ITEM LIST'!A:C,3,0)</f>
        <v>#N/A</v>
      </c>
      <c r="D5291" s="6">
        <f t="shared" si="83"/>
        <v>0</v>
      </c>
    </row>
    <row r="5292" spans="3:4" ht="15" x14ac:dyDescent="0.25">
      <c r="C5292" s="8" t="e">
        <f>VLOOKUP(A:A,'ITEM LIST'!A:C,3,0)</f>
        <v>#N/A</v>
      </c>
      <c r="D5292" s="6">
        <f t="shared" si="83"/>
        <v>0</v>
      </c>
    </row>
    <row r="5293" spans="3:4" ht="15" x14ac:dyDescent="0.25">
      <c r="C5293" s="8" t="e">
        <f>VLOOKUP(A:A,'ITEM LIST'!A:C,3,0)</f>
        <v>#N/A</v>
      </c>
      <c r="D5293" s="6">
        <f t="shared" si="83"/>
        <v>0</v>
      </c>
    </row>
    <row r="5294" spans="3:4" ht="15" x14ac:dyDescent="0.25">
      <c r="C5294" s="8" t="e">
        <f>VLOOKUP(A:A,'ITEM LIST'!A:C,3,0)</f>
        <v>#N/A</v>
      </c>
      <c r="D5294" s="6">
        <f t="shared" si="83"/>
        <v>0</v>
      </c>
    </row>
    <row r="5295" spans="3:4" ht="15" x14ac:dyDescent="0.25">
      <c r="C5295" s="8" t="e">
        <f>VLOOKUP(A:A,'ITEM LIST'!A:C,3,0)</f>
        <v>#N/A</v>
      </c>
      <c r="D5295" s="6">
        <f t="shared" si="83"/>
        <v>0</v>
      </c>
    </row>
    <row r="5296" spans="3:4" ht="15" x14ac:dyDescent="0.25">
      <c r="C5296" s="8" t="e">
        <f>VLOOKUP(A:A,'ITEM LIST'!A:C,3,0)</f>
        <v>#N/A</v>
      </c>
      <c r="D5296" s="6">
        <f t="shared" si="83"/>
        <v>0</v>
      </c>
    </row>
    <row r="5297" spans="3:4" ht="15" x14ac:dyDescent="0.25">
      <c r="C5297" s="8" t="e">
        <f>VLOOKUP(A:A,'ITEM LIST'!A:C,3,0)</f>
        <v>#N/A</v>
      </c>
      <c r="D5297" s="6">
        <f t="shared" si="83"/>
        <v>0</v>
      </c>
    </row>
    <row r="5298" spans="3:4" ht="15" x14ac:dyDescent="0.25">
      <c r="C5298" s="8" t="e">
        <f>VLOOKUP(A:A,'ITEM LIST'!A:C,3,0)</f>
        <v>#N/A</v>
      </c>
      <c r="D5298" s="6">
        <f t="shared" si="83"/>
        <v>0</v>
      </c>
    </row>
    <row r="5299" spans="3:4" ht="15" x14ac:dyDescent="0.25">
      <c r="C5299" s="8" t="e">
        <f>VLOOKUP(A:A,'ITEM LIST'!A:C,3,0)</f>
        <v>#N/A</v>
      </c>
      <c r="D5299" s="6">
        <f t="shared" si="83"/>
        <v>0</v>
      </c>
    </row>
    <row r="5300" spans="3:4" ht="15" x14ac:dyDescent="0.25">
      <c r="C5300" s="8" t="e">
        <f>VLOOKUP(A:A,'ITEM LIST'!A:C,3,0)</f>
        <v>#N/A</v>
      </c>
      <c r="D5300" s="6">
        <f t="shared" si="83"/>
        <v>0</v>
      </c>
    </row>
    <row r="5301" spans="3:4" ht="15" x14ac:dyDescent="0.25">
      <c r="C5301" s="8" t="e">
        <f>VLOOKUP(A:A,'ITEM LIST'!A:C,3,0)</f>
        <v>#N/A</v>
      </c>
      <c r="D5301" s="6">
        <f t="shared" si="83"/>
        <v>0</v>
      </c>
    </row>
    <row r="5302" spans="3:4" ht="15" x14ac:dyDescent="0.25">
      <c r="C5302" s="8" t="e">
        <f>VLOOKUP(A:A,'ITEM LIST'!A:C,3,0)</f>
        <v>#N/A</v>
      </c>
      <c r="D5302" s="6">
        <f t="shared" si="83"/>
        <v>0</v>
      </c>
    </row>
    <row r="5303" spans="3:4" ht="15" x14ac:dyDescent="0.25">
      <c r="C5303" s="8" t="e">
        <f>VLOOKUP(A:A,'ITEM LIST'!A:C,3,0)</f>
        <v>#N/A</v>
      </c>
      <c r="D5303" s="6">
        <f t="shared" si="83"/>
        <v>0</v>
      </c>
    </row>
    <row r="5304" spans="3:4" ht="15" x14ac:dyDescent="0.25">
      <c r="C5304" s="8" t="e">
        <f>VLOOKUP(A:A,'ITEM LIST'!A:C,3,0)</f>
        <v>#N/A</v>
      </c>
      <c r="D5304" s="6">
        <f t="shared" si="83"/>
        <v>0</v>
      </c>
    </row>
    <row r="5305" spans="3:4" ht="15" x14ac:dyDescent="0.25">
      <c r="C5305" s="8" t="e">
        <f>VLOOKUP(A:A,'ITEM LIST'!A:C,3,0)</f>
        <v>#N/A</v>
      </c>
      <c r="D5305" s="6">
        <f t="shared" si="83"/>
        <v>0</v>
      </c>
    </row>
    <row r="5306" spans="3:4" ht="15" x14ac:dyDescent="0.25">
      <c r="C5306" s="8" t="e">
        <f>VLOOKUP(A:A,'ITEM LIST'!A:C,3,0)</f>
        <v>#N/A</v>
      </c>
      <c r="D5306" s="6">
        <f t="shared" si="83"/>
        <v>0</v>
      </c>
    </row>
    <row r="5307" spans="3:4" ht="15" x14ac:dyDescent="0.25">
      <c r="C5307" s="8" t="e">
        <f>VLOOKUP(A:A,'ITEM LIST'!A:C,3,0)</f>
        <v>#N/A</v>
      </c>
      <c r="D5307" s="6">
        <f t="shared" si="83"/>
        <v>0</v>
      </c>
    </row>
    <row r="5308" spans="3:4" ht="15" x14ac:dyDescent="0.25">
      <c r="C5308" s="8" t="e">
        <f>VLOOKUP(A:A,'ITEM LIST'!A:C,3,0)</f>
        <v>#N/A</v>
      </c>
      <c r="D5308" s="6">
        <f t="shared" si="83"/>
        <v>0</v>
      </c>
    </row>
    <row r="5309" spans="3:4" ht="15" x14ac:dyDescent="0.25">
      <c r="C5309" s="8" t="e">
        <f>VLOOKUP(A:A,'ITEM LIST'!A:C,3,0)</f>
        <v>#N/A</v>
      </c>
      <c r="D5309" s="6">
        <f t="shared" si="83"/>
        <v>0</v>
      </c>
    </row>
    <row r="5310" spans="3:4" ht="15" x14ac:dyDescent="0.25">
      <c r="C5310" s="8" t="e">
        <f>VLOOKUP(A:A,'ITEM LIST'!A:C,3,0)</f>
        <v>#N/A</v>
      </c>
      <c r="D5310" s="6">
        <f t="shared" si="83"/>
        <v>0</v>
      </c>
    </row>
    <row r="5311" spans="3:4" ht="15" x14ac:dyDescent="0.25">
      <c r="C5311" s="8" t="e">
        <f>VLOOKUP(A:A,'ITEM LIST'!A:C,3,0)</f>
        <v>#N/A</v>
      </c>
      <c r="D5311" s="6">
        <f t="shared" si="83"/>
        <v>0</v>
      </c>
    </row>
    <row r="5312" spans="3:4" ht="15" x14ac:dyDescent="0.25">
      <c r="C5312" s="8" t="e">
        <f>VLOOKUP(A:A,'ITEM LIST'!A:C,3,0)</f>
        <v>#N/A</v>
      </c>
      <c r="D5312" s="6">
        <f t="shared" si="83"/>
        <v>0</v>
      </c>
    </row>
    <row r="5313" spans="3:4" ht="15" x14ac:dyDescent="0.25">
      <c r="C5313" s="8" t="e">
        <f>VLOOKUP(A:A,'ITEM LIST'!A:C,3,0)</f>
        <v>#N/A</v>
      </c>
      <c r="D5313" s="6">
        <f t="shared" si="83"/>
        <v>0</v>
      </c>
    </row>
    <row r="5314" spans="3:4" ht="15" x14ac:dyDescent="0.25">
      <c r="C5314" s="8" t="e">
        <f>VLOOKUP(A:A,'ITEM LIST'!A:C,3,0)</f>
        <v>#N/A</v>
      </c>
      <c r="D5314" s="6">
        <f t="shared" si="83"/>
        <v>0</v>
      </c>
    </row>
    <row r="5315" spans="3:4" ht="15" x14ac:dyDescent="0.25">
      <c r="C5315" s="8" t="e">
        <f>VLOOKUP(A:A,'ITEM LIST'!A:C,3,0)</f>
        <v>#N/A</v>
      </c>
      <c r="D5315" s="6">
        <f t="shared" si="83"/>
        <v>0</v>
      </c>
    </row>
    <row r="5316" spans="3:4" ht="15" x14ac:dyDescent="0.25">
      <c r="C5316" s="8" t="e">
        <f>VLOOKUP(A:A,'ITEM LIST'!A:C,3,0)</f>
        <v>#N/A</v>
      </c>
      <c r="D5316" s="6">
        <f t="shared" si="83"/>
        <v>0</v>
      </c>
    </row>
    <row r="5317" spans="3:4" ht="15" x14ac:dyDescent="0.25">
      <c r="C5317" s="8" t="e">
        <f>VLOOKUP(A:A,'ITEM LIST'!A:C,3,0)</f>
        <v>#N/A</v>
      </c>
      <c r="D5317" s="6">
        <f t="shared" si="83"/>
        <v>0</v>
      </c>
    </row>
    <row r="5318" spans="3:4" ht="15" x14ac:dyDescent="0.25">
      <c r="C5318" s="8" t="e">
        <f>VLOOKUP(A:A,'ITEM LIST'!A:C,3,0)</f>
        <v>#N/A</v>
      </c>
      <c r="D5318" s="6">
        <f t="shared" ref="D5318:D5381" si="84">B5318</f>
        <v>0</v>
      </c>
    </row>
    <row r="5319" spans="3:4" ht="15" x14ac:dyDescent="0.25">
      <c r="C5319" s="8" t="e">
        <f>VLOOKUP(A:A,'ITEM LIST'!A:C,3,0)</f>
        <v>#N/A</v>
      </c>
      <c r="D5319" s="6">
        <f t="shared" si="84"/>
        <v>0</v>
      </c>
    </row>
    <row r="5320" spans="3:4" ht="15" x14ac:dyDescent="0.25">
      <c r="C5320" s="8" t="e">
        <f>VLOOKUP(A:A,'ITEM LIST'!A:C,3,0)</f>
        <v>#N/A</v>
      </c>
      <c r="D5320" s="6">
        <f t="shared" si="84"/>
        <v>0</v>
      </c>
    </row>
    <row r="5321" spans="3:4" ht="15" x14ac:dyDescent="0.25">
      <c r="C5321" s="8" t="e">
        <f>VLOOKUP(A:A,'ITEM LIST'!A:C,3,0)</f>
        <v>#N/A</v>
      </c>
      <c r="D5321" s="6">
        <f t="shared" si="84"/>
        <v>0</v>
      </c>
    </row>
    <row r="5322" spans="3:4" ht="15" x14ac:dyDescent="0.25">
      <c r="C5322" s="8" t="e">
        <f>VLOOKUP(A:A,'ITEM LIST'!A:C,3,0)</f>
        <v>#N/A</v>
      </c>
      <c r="D5322" s="6">
        <f t="shared" si="84"/>
        <v>0</v>
      </c>
    </row>
    <row r="5323" spans="3:4" ht="15" x14ac:dyDescent="0.25">
      <c r="C5323" s="8" t="e">
        <f>VLOOKUP(A:A,'ITEM LIST'!A:C,3,0)</f>
        <v>#N/A</v>
      </c>
      <c r="D5323" s="6">
        <f t="shared" si="84"/>
        <v>0</v>
      </c>
    </row>
    <row r="5324" spans="3:4" ht="15" x14ac:dyDescent="0.25">
      <c r="C5324" s="8" t="e">
        <f>VLOOKUP(A:A,'ITEM LIST'!A:C,3,0)</f>
        <v>#N/A</v>
      </c>
      <c r="D5324" s="6">
        <f t="shared" si="84"/>
        <v>0</v>
      </c>
    </row>
    <row r="5325" spans="3:4" ht="15" x14ac:dyDescent="0.25">
      <c r="C5325" s="8" t="e">
        <f>VLOOKUP(A:A,'ITEM LIST'!A:C,3,0)</f>
        <v>#N/A</v>
      </c>
      <c r="D5325" s="6">
        <f t="shared" si="84"/>
        <v>0</v>
      </c>
    </row>
    <row r="5326" spans="3:4" ht="15" x14ac:dyDescent="0.25">
      <c r="C5326" s="8" t="e">
        <f>VLOOKUP(A:A,'ITEM LIST'!A:C,3,0)</f>
        <v>#N/A</v>
      </c>
      <c r="D5326" s="6">
        <f t="shared" si="84"/>
        <v>0</v>
      </c>
    </row>
    <row r="5327" spans="3:4" ht="15" x14ac:dyDescent="0.25">
      <c r="C5327" s="8" t="e">
        <f>VLOOKUP(A:A,'ITEM LIST'!A:C,3,0)</f>
        <v>#N/A</v>
      </c>
      <c r="D5327" s="6">
        <f t="shared" si="84"/>
        <v>0</v>
      </c>
    </row>
    <row r="5328" spans="3:4" ht="15" x14ac:dyDescent="0.25">
      <c r="C5328" s="8" t="e">
        <f>VLOOKUP(A:A,'ITEM LIST'!A:C,3,0)</f>
        <v>#N/A</v>
      </c>
      <c r="D5328" s="6">
        <f t="shared" si="84"/>
        <v>0</v>
      </c>
    </row>
    <row r="5329" spans="3:4" ht="15" x14ac:dyDescent="0.25">
      <c r="C5329" s="8" t="e">
        <f>VLOOKUP(A:A,'ITEM LIST'!A:C,3,0)</f>
        <v>#N/A</v>
      </c>
      <c r="D5329" s="6">
        <f t="shared" si="84"/>
        <v>0</v>
      </c>
    </row>
    <row r="5330" spans="3:4" ht="15" x14ac:dyDescent="0.25">
      <c r="C5330" s="8" t="e">
        <f>VLOOKUP(A:A,'ITEM LIST'!A:C,3,0)</f>
        <v>#N/A</v>
      </c>
      <c r="D5330" s="6">
        <f t="shared" si="84"/>
        <v>0</v>
      </c>
    </row>
    <row r="5331" spans="3:4" ht="15" x14ac:dyDescent="0.25">
      <c r="C5331" s="8" t="e">
        <f>VLOOKUP(A:A,'ITEM LIST'!A:C,3,0)</f>
        <v>#N/A</v>
      </c>
      <c r="D5331" s="6">
        <f t="shared" si="84"/>
        <v>0</v>
      </c>
    </row>
    <row r="5332" spans="3:4" ht="15" x14ac:dyDescent="0.25">
      <c r="C5332" s="8" t="e">
        <f>VLOOKUP(A:A,'ITEM LIST'!A:C,3,0)</f>
        <v>#N/A</v>
      </c>
      <c r="D5332" s="6">
        <f t="shared" si="84"/>
        <v>0</v>
      </c>
    </row>
    <row r="5333" spans="3:4" ht="15" x14ac:dyDescent="0.25">
      <c r="C5333" s="8" t="e">
        <f>VLOOKUP(A:A,'ITEM LIST'!A:C,3,0)</f>
        <v>#N/A</v>
      </c>
      <c r="D5333" s="6">
        <f t="shared" si="84"/>
        <v>0</v>
      </c>
    </row>
    <row r="5334" spans="3:4" ht="15" x14ac:dyDescent="0.25">
      <c r="C5334" s="8" t="e">
        <f>VLOOKUP(A:A,'ITEM LIST'!A:C,3,0)</f>
        <v>#N/A</v>
      </c>
      <c r="D5334" s="6">
        <f t="shared" si="84"/>
        <v>0</v>
      </c>
    </row>
    <row r="5335" spans="3:4" ht="15" x14ac:dyDescent="0.25">
      <c r="C5335" s="8" t="e">
        <f>VLOOKUP(A:A,'ITEM LIST'!A:C,3,0)</f>
        <v>#N/A</v>
      </c>
      <c r="D5335" s="6">
        <f t="shared" si="84"/>
        <v>0</v>
      </c>
    </row>
    <row r="5336" spans="3:4" ht="15" x14ac:dyDescent="0.25">
      <c r="C5336" s="8" t="e">
        <f>VLOOKUP(A:A,'ITEM LIST'!A:C,3,0)</f>
        <v>#N/A</v>
      </c>
      <c r="D5336" s="6">
        <f t="shared" si="84"/>
        <v>0</v>
      </c>
    </row>
    <row r="5337" spans="3:4" ht="15" x14ac:dyDescent="0.25">
      <c r="C5337" s="8" t="e">
        <f>VLOOKUP(A:A,'ITEM LIST'!A:C,3,0)</f>
        <v>#N/A</v>
      </c>
      <c r="D5337" s="6">
        <f t="shared" si="84"/>
        <v>0</v>
      </c>
    </row>
    <row r="5338" spans="3:4" ht="15" x14ac:dyDescent="0.25">
      <c r="C5338" s="8" t="e">
        <f>VLOOKUP(A:A,'ITEM LIST'!A:C,3,0)</f>
        <v>#N/A</v>
      </c>
      <c r="D5338" s="6">
        <f t="shared" si="84"/>
        <v>0</v>
      </c>
    </row>
    <row r="5339" spans="3:4" ht="15" x14ac:dyDescent="0.25">
      <c r="C5339" s="8" t="e">
        <f>VLOOKUP(A:A,'ITEM LIST'!A:C,3,0)</f>
        <v>#N/A</v>
      </c>
      <c r="D5339" s="6">
        <f t="shared" si="84"/>
        <v>0</v>
      </c>
    </row>
    <row r="5340" spans="3:4" ht="15" x14ac:dyDescent="0.25">
      <c r="C5340" s="8" t="e">
        <f>VLOOKUP(A:A,'ITEM LIST'!A:C,3,0)</f>
        <v>#N/A</v>
      </c>
      <c r="D5340" s="6">
        <f t="shared" si="84"/>
        <v>0</v>
      </c>
    </row>
    <row r="5341" spans="3:4" ht="15" x14ac:dyDescent="0.25">
      <c r="C5341" s="8" t="e">
        <f>VLOOKUP(A:A,'ITEM LIST'!A:C,3,0)</f>
        <v>#N/A</v>
      </c>
      <c r="D5341" s="6">
        <f t="shared" si="84"/>
        <v>0</v>
      </c>
    </row>
    <row r="5342" spans="3:4" ht="15" x14ac:dyDescent="0.25">
      <c r="C5342" s="8" t="e">
        <f>VLOOKUP(A:A,'ITEM LIST'!A:C,3,0)</f>
        <v>#N/A</v>
      </c>
      <c r="D5342" s="6">
        <f t="shared" si="84"/>
        <v>0</v>
      </c>
    </row>
    <row r="5343" spans="3:4" ht="15" x14ac:dyDescent="0.25">
      <c r="C5343" s="8" t="e">
        <f>VLOOKUP(A:A,'ITEM LIST'!A:C,3,0)</f>
        <v>#N/A</v>
      </c>
      <c r="D5343" s="6">
        <f t="shared" si="84"/>
        <v>0</v>
      </c>
    </row>
    <row r="5344" spans="3:4" ht="15" x14ac:dyDescent="0.25">
      <c r="C5344" s="8" t="e">
        <f>VLOOKUP(A:A,'ITEM LIST'!A:C,3,0)</f>
        <v>#N/A</v>
      </c>
      <c r="D5344" s="6">
        <f t="shared" si="84"/>
        <v>0</v>
      </c>
    </row>
    <row r="5345" spans="3:4" ht="15" x14ac:dyDescent="0.25">
      <c r="C5345" s="8" t="e">
        <f>VLOOKUP(A:A,'ITEM LIST'!A:C,3,0)</f>
        <v>#N/A</v>
      </c>
      <c r="D5345" s="6">
        <f t="shared" si="84"/>
        <v>0</v>
      </c>
    </row>
    <row r="5346" spans="3:4" ht="15" x14ac:dyDescent="0.25">
      <c r="C5346" s="8" t="e">
        <f>VLOOKUP(A:A,'ITEM LIST'!A:C,3,0)</f>
        <v>#N/A</v>
      </c>
      <c r="D5346" s="6">
        <f t="shared" si="84"/>
        <v>0</v>
      </c>
    </row>
    <row r="5347" spans="3:4" ht="15" x14ac:dyDescent="0.25">
      <c r="C5347" s="8" t="e">
        <f>VLOOKUP(A:A,'ITEM LIST'!A:C,3,0)</f>
        <v>#N/A</v>
      </c>
      <c r="D5347" s="6">
        <f t="shared" si="84"/>
        <v>0</v>
      </c>
    </row>
    <row r="5348" spans="3:4" ht="15" x14ac:dyDescent="0.25">
      <c r="C5348" s="8" t="e">
        <f>VLOOKUP(A:A,'ITEM LIST'!A:C,3,0)</f>
        <v>#N/A</v>
      </c>
      <c r="D5348" s="6">
        <f t="shared" si="84"/>
        <v>0</v>
      </c>
    </row>
    <row r="5349" spans="3:4" ht="15" x14ac:dyDescent="0.25">
      <c r="C5349" s="8" t="e">
        <f>VLOOKUP(A:A,'ITEM LIST'!A:C,3,0)</f>
        <v>#N/A</v>
      </c>
      <c r="D5349" s="6">
        <f t="shared" si="84"/>
        <v>0</v>
      </c>
    </row>
    <row r="5350" spans="3:4" ht="15" x14ac:dyDescent="0.25">
      <c r="C5350" s="8" t="e">
        <f>VLOOKUP(A:A,'ITEM LIST'!A:C,3,0)</f>
        <v>#N/A</v>
      </c>
      <c r="D5350" s="6">
        <f t="shared" si="84"/>
        <v>0</v>
      </c>
    </row>
    <row r="5351" spans="3:4" ht="15" x14ac:dyDescent="0.25">
      <c r="C5351" s="8" t="e">
        <f>VLOOKUP(A:A,'ITEM LIST'!A:C,3,0)</f>
        <v>#N/A</v>
      </c>
      <c r="D5351" s="6">
        <f t="shared" si="84"/>
        <v>0</v>
      </c>
    </row>
    <row r="5352" spans="3:4" ht="15" x14ac:dyDescent="0.25">
      <c r="C5352" s="8" t="e">
        <f>VLOOKUP(A:A,'ITEM LIST'!A:C,3,0)</f>
        <v>#N/A</v>
      </c>
      <c r="D5352" s="6">
        <f t="shared" si="84"/>
        <v>0</v>
      </c>
    </row>
    <row r="5353" spans="3:4" ht="15" x14ac:dyDescent="0.25">
      <c r="C5353" s="8" t="e">
        <f>VLOOKUP(A:A,'ITEM LIST'!A:C,3,0)</f>
        <v>#N/A</v>
      </c>
      <c r="D5353" s="6">
        <f t="shared" si="84"/>
        <v>0</v>
      </c>
    </row>
    <row r="5354" spans="3:4" ht="15" x14ac:dyDescent="0.25">
      <c r="C5354" s="8" t="e">
        <f>VLOOKUP(A:A,'ITEM LIST'!A:C,3,0)</f>
        <v>#N/A</v>
      </c>
      <c r="D5354" s="6">
        <f t="shared" si="84"/>
        <v>0</v>
      </c>
    </row>
    <row r="5355" spans="3:4" ht="15" x14ac:dyDescent="0.25">
      <c r="C5355" s="8" t="e">
        <f>VLOOKUP(A:A,'ITEM LIST'!A:C,3,0)</f>
        <v>#N/A</v>
      </c>
      <c r="D5355" s="6">
        <f t="shared" si="84"/>
        <v>0</v>
      </c>
    </row>
    <row r="5356" spans="3:4" ht="15" x14ac:dyDescent="0.25">
      <c r="C5356" s="8" t="e">
        <f>VLOOKUP(A:A,'ITEM LIST'!A:C,3,0)</f>
        <v>#N/A</v>
      </c>
      <c r="D5356" s="6">
        <f t="shared" si="84"/>
        <v>0</v>
      </c>
    </row>
    <row r="5357" spans="3:4" ht="15" x14ac:dyDescent="0.25">
      <c r="C5357" s="8" t="e">
        <f>VLOOKUP(A:A,'ITEM LIST'!A:C,3,0)</f>
        <v>#N/A</v>
      </c>
      <c r="D5357" s="6">
        <f t="shared" si="84"/>
        <v>0</v>
      </c>
    </row>
    <row r="5358" spans="3:4" ht="15" x14ac:dyDescent="0.25">
      <c r="C5358" s="8" t="e">
        <f>VLOOKUP(A:A,'ITEM LIST'!A:C,3,0)</f>
        <v>#N/A</v>
      </c>
      <c r="D5358" s="6">
        <f t="shared" si="84"/>
        <v>0</v>
      </c>
    </row>
    <row r="5359" spans="3:4" ht="15" x14ac:dyDescent="0.25">
      <c r="C5359" s="8" t="e">
        <f>VLOOKUP(A:A,'ITEM LIST'!A:C,3,0)</f>
        <v>#N/A</v>
      </c>
      <c r="D5359" s="6">
        <f t="shared" si="84"/>
        <v>0</v>
      </c>
    </row>
    <row r="5360" spans="3:4" ht="15" x14ac:dyDescent="0.25">
      <c r="C5360" s="8" t="e">
        <f>VLOOKUP(A:A,'ITEM LIST'!A:C,3,0)</f>
        <v>#N/A</v>
      </c>
      <c r="D5360" s="6">
        <f t="shared" si="84"/>
        <v>0</v>
      </c>
    </row>
    <row r="5361" spans="3:4" ht="15" x14ac:dyDescent="0.25">
      <c r="C5361" s="8" t="e">
        <f>VLOOKUP(A:A,'ITEM LIST'!A:C,3,0)</f>
        <v>#N/A</v>
      </c>
      <c r="D5361" s="6">
        <f t="shared" si="84"/>
        <v>0</v>
      </c>
    </row>
    <row r="5362" spans="3:4" ht="15" x14ac:dyDescent="0.25">
      <c r="C5362" s="8" t="e">
        <f>VLOOKUP(A:A,'ITEM LIST'!A:C,3,0)</f>
        <v>#N/A</v>
      </c>
      <c r="D5362" s="6">
        <f t="shared" si="84"/>
        <v>0</v>
      </c>
    </row>
    <row r="5363" spans="3:4" ht="15" x14ac:dyDescent="0.25">
      <c r="C5363" s="8" t="e">
        <f>VLOOKUP(A:A,'ITEM LIST'!A:C,3,0)</f>
        <v>#N/A</v>
      </c>
      <c r="D5363" s="6">
        <f t="shared" si="84"/>
        <v>0</v>
      </c>
    </row>
    <row r="5364" spans="3:4" ht="15" x14ac:dyDescent="0.25">
      <c r="C5364" s="8" t="e">
        <f>VLOOKUP(A:A,'ITEM LIST'!A:C,3,0)</f>
        <v>#N/A</v>
      </c>
      <c r="D5364" s="6">
        <f t="shared" si="84"/>
        <v>0</v>
      </c>
    </row>
    <row r="5365" spans="3:4" ht="15" x14ac:dyDescent="0.25">
      <c r="C5365" s="8" t="e">
        <f>VLOOKUP(A:A,'ITEM LIST'!A:C,3,0)</f>
        <v>#N/A</v>
      </c>
      <c r="D5365" s="6">
        <f t="shared" si="84"/>
        <v>0</v>
      </c>
    </row>
    <row r="5366" spans="3:4" ht="15" x14ac:dyDescent="0.25">
      <c r="C5366" s="8" t="e">
        <f>VLOOKUP(A:A,'ITEM LIST'!A:C,3,0)</f>
        <v>#N/A</v>
      </c>
      <c r="D5366" s="6">
        <f t="shared" si="84"/>
        <v>0</v>
      </c>
    </row>
    <row r="5367" spans="3:4" ht="15" x14ac:dyDescent="0.25">
      <c r="C5367" s="8" t="e">
        <f>VLOOKUP(A:A,'ITEM LIST'!A:C,3,0)</f>
        <v>#N/A</v>
      </c>
      <c r="D5367" s="6">
        <f t="shared" si="84"/>
        <v>0</v>
      </c>
    </row>
    <row r="5368" spans="3:4" ht="15" x14ac:dyDescent="0.25">
      <c r="C5368" s="8" t="e">
        <f>VLOOKUP(A:A,'ITEM LIST'!A:C,3,0)</f>
        <v>#N/A</v>
      </c>
      <c r="D5368" s="6">
        <f t="shared" si="84"/>
        <v>0</v>
      </c>
    </row>
    <row r="5369" spans="3:4" ht="15" x14ac:dyDescent="0.25">
      <c r="C5369" s="8" t="e">
        <f>VLOOKUP(A:A,'ITEM LIST'!A:C,3,0)</f>
        <v>#N/A</v>
      </c>
      <c r="D5369" s="6">
        <f t="shared" si="84"/>
        <v>0</v>
      </c>
    </row>
    <row r="5370" spans="3:4" ht="15" x14ac:dyDescent="0.25">
      <c r="C5370" s="8" t="e">
        <f>VLOOKUP(A:A,'ITEM LIST'!A:C,3,0)</f>
        <v>#N/A</v>
      </c>
      <c r="D5370" s="6">
        <f t="shared" si="84"/>
        <v>0</v>
      </c>
    </row>
    <row r="5371" spans="3:4" ht="15" x14ac:dyDescent="0.25">
      <c r="C5371" s="8" t="e">
        <f>VLOOKUP(A:A,'ITEM LIST'!A:C,3,0)</f>
        <v>#N/A</v>
      </c>
      <c r="D5371" s="6">
        <f t="shared" si="84"/>
        <v>0</v>
      </c>
    </row>
    <row r="5372" spans="3:4" ht="15" x14ac:dyDescent="0.25">
      <c r="C5372" s="8" t="e">
        <f>VLOOKUP(A:A,'ITEM LIST'!A:C,3,0)</f>
        <v>#N/A</v>
      </c>
      <c r="D5372" s="6">
        <f t="shared" si="84"/>
        <v>0</v>
      </c>
    </row>
    <row r="5373" spans="3:4" ht="15" x14ac:dyDescent="0.25">
      <c r="C5373" s="8" t="e">
        <f>VLOOKUP(A:A,'ITEM LIST'!A:C,3,0)</f>
        <v>#N/A</v>
      </c>
      <c r="D5373" s="6">
        <f t="shared" si="84"/>
        <v>0</v>
      </c>
    </row>
    <row r="5374" spans="3:4" ht="15" x14ac:dyDescent="0.25">
      <c r="C5374" s="8" t="e">
        <f>VLOOKUP(A:A,'ITEM LIST'!A:C,3,0)</f>
        <v>#N/A</v>
      </c>
      <c r="D5374" s="6">
        <f t="shared" si="84"/>
        <v>0</v>
      </c>
    </row>
    <row r="5375" spans="3:4" ht="15" x14ac:dyDescent="0.25">
      <c r="C5375" s="8" t="e">
        <f>VLOOKUP(A:A,'ITEM LIST'!A:C,3,0)</f>
        <v>#N/A</v>
      </c>
      <c r="D5375" s="6">
        <f t="shared" si="84"/>
        <v>0</v>
      </c>
    </row>
    <row r="5376" spans="3:4" ht="15" x14ac:dyDescent="0.25">
      <c r="C5376" s="8" t="e">
        <f>VLOOKUP(A:A,'ITEM LIST'!A:C,3,0)</f>
        <v>#N/A</v>
      </c>
      <c r="D5376" s="6">
        <f t="shared" si="84"/>
        <v>0</v>
      </c>
    </row>
    <row r="5377" spans="3:4" ht="15" x14ac:dyDescent="0.25">
      <c r="C5377" s="8" t="e">
        <f>VLOOKUP(A:A,'ITEM LIST'!A:C,3,0)</f>
        <v>#N/A</v>
      </c>
      <c r="D5377" s="6">
        <f t="shared" si="84"/>
        <v>0</v>
      </c>
    </row>
    <row r="5378" spans="3:4" ht="15" x14ac:dyDescent="0.25">
      <c r="C5378" s="8" t="e">
        <f>VLOOKUP(A:A,'ITEM LIST'!A:C,3,0)</f>
        <v>#N/A</v>
      </c>
      <c r="D5378" s="6">
        <f t="shared" si="84"/>
        <v>0</v>
      </c>
    </row>
    <row r="5379" spans="3:4" ht="15" x14ac:dyDescent="0.25">
      <c r="C5379" s="8" t="e">
        <f>VLOOKUP(A:A,'ITEM LIST'!A:C,3,0)</f>
        <v>#N/A</v>
      </c>
      <c r="D5379" s="6">
        <f t="shared" si="84"/>
        <v>0</v>
      </c>
    </row>
    <row r="5380" spans="3:4" ht="15" x14ac:dyDescent="0.25">
      <c r="C5380" s="8" t="e">
        <f>VLOOKUP(A:A,'ITEM LIST'!A:C,3,0)</f>
        <v>#N/A</v>
      </c>
      <c r="D5380" s="6">
        <f t="shared" si="84"/>
        <v>0</v>
      </c>
    </row>
    <row r="5381" spans="3:4" ht="15" x14ac:dyDescent="0.25">
      <c r="C5381" s="8" t="e">
        <f>VLOOKUP(A:A,'ITEM LIST'!A:C,3,0)</f>
        <v>#N/A</v>
      </c>
      <c r="D5381" s="6">
        <f t="shared" si="84"/>
        <v>0</v>
      </c>
    </row>
    <row r="5382" spans="3:4" ht="15" x14ac:dyDescent="0.25">
      <c r="C5382" s="8" t="e">
        <f>VLOOKUP(A:A,'ITEM LIST'!A:C,3,0)</f>
        <v>#N/A</v>
      </c>
      <c r="D5382" s="6">
        <f t="shared" ref="D5382:D5445" si="85">B5382</f>
        <v>0</v>
      </c>
    </row>
    <row r="5383" spans="3:4" ht="15" x14ac:dyDescent="0.25">
      <c r="C5383" s="8" t="e">
        <f>VLOOKUP(A:A,'ITEM LIST'!A:C,3,0)</f>
        <v>#N/A</v>
      </c>
      <c r="D5383" s="6">
        <f t="shared" si="85"/>
        <v>0</v>
      </c>
    </row>
    <row r="5384" spans="3:4" ht="15" x14ac:dyDescent="0.25">
      <c r="C5384" s="8" t="e">
        <f>VLOOKUP(A:A,'ITEM LIST'!A:C,3,0)</f>
        <v>#N/A</v>
      </c>
      <c r="D5384" s="6">
        <f t="shared" si="85"/>
        <v>0</v>
      </c>
    </row>
    <row r="5385" spans="3:4" ht="15" x14ac:dyDescent="0.25">
      <c r="C5385" s="8" t="e">
        <f>VLOOKUP(A:A,'ITEM LIST'!A:C,3,0)</f>
        <v>#N/A</v>
      </c>
      <c r="D5385" s="6">
        <f t="shared" si="85"/>
        <v>0</v>
      </c>
    </row>
    <row r="5386" spans="3:4" ht="15" x14ac:dyDescent="0.25">
      <c r="C5386" s="8" t="e">
        <f>VLOOKUP(A:A,'ITEM LIST'!A:C,3,0)</f>
        <v>#N/A</v>
      </c>
      <c r="D5386" s="6">
        <f t="shared" si="85"/>
        <v>0</v>
      </c>
    </row>
    <row r="5387" spans="3:4" ht="15" x14ac:dyDescent="0.25">
      <c r="C5387" s="8" t="e">
        <f>VLOOKUP(A:A,'ITEM LIST'!A:C,3,0)</f>
        <v>#N/A</v>
      </c>
      <c r="D5387" s="6">
        <f t="shared" si="85"/>
        <v>0</v>
      </c>
    </row>
    <row r="5388" spans="3:4" ht="15" x14ac:dyDescent="0.25">
      <c r="C5388" s="8" t="e">
        <f>VLOOKUP(A:A,'ITEM LIST'!A:C,3,0)</f>
        <v>#N/A</v>
      </c>
      <c r="D5388" s="6">
        <f t="shared" si="85"/>
        <v>0</v>
      </c>
    </row>
    <row r="5389" spans="3:4" ht="15" x14ac:dyDescent="0.25">
      <c r="C5389" s="8" t="e">
        <f>VLOOKUP(A:A,'ITEM LIST'!A:C,3,0)</f>
        <v>#N/A</v>
      </c>
      <c r="D5389" s="6">
        <f t="shared" si="85"/>
        <v>0</v>
      </c>
    </row>
    <row r="5390" spans="3:4" ht="15" x14ac:dyDescent="0.25">
      <c r="C5390" s="8" t="e">
        <f>VLOOKUP(A:A,'ITEM LIST'!A:C,3,0)</f>
        <v>#N/A</v>
      </c>
      <c r="D5390" s="6">
        <f t="shared" si="85"/>
        <v>0</v>
      </c>
    </row>
    <row r="5391" spans="3:4" ht="15" x14ac:dyDescent="0.25">
      <c r="C5391" s="8" t="e">
        <f>VLOOKUP(A:A,'ITEM LIST'!A:C,3,0)</f>
        <v>#N/A</v>
      </c>
      <c r="D5391" s="6">
        <f t="shared" si="85"/>
        <v>0</v>
      </c>
    </row>
    <row r="5392" spans="3:4" ht="15" x14ac:dyDescent="0.25">
      <c r="C5392" s="8" t="e">
        <f>VLOOKUP(A:A,'ITEM LIST'!A:C,3,0)</f>
        <v>#N/A</v>
      </c>
      <c r="D5392" s="6">
        <f t="shared" si="85"/>
        <v>0</v>
      </c>
    </row>
    <row r="5393" spans="3:4" ht="15" x14ac:dyDescent="0.25">
      <c r="C5393" s="8" t="e">
        <f>VLOOKUP(A:A,'ITEM LIST'!A:C,3,0)</f>
        <v>#N/A</v>
      </c>
      <c r="D5393" s="6">
        <f t="shared" si="85"/>
        <v>0</v>
      </c>
    </row>
    <row r="5394" spans="3:4" ht="15" x14ac:dyDescent="0.25">
      <c r="C5394" s="8" t="e">
        <f>VLOOKUP(A:A,'ITEM LIST'!A:C,3,0)</f>
        <v>#N/A</v>
      </c>
      <c r="D5394" s="6">
        <f t="shared" si="85"/>
        <v>0</v>
      </c>
    </row>
    <row r="5395" spans="3:4" ht="15" x14ac:dyDescent="0.25">
      <c r="C5395" s="8" t="e">
        <f>VLOOKUP(A:A,'ITEM LIST'!A:C,3,0)</f>
        <v>#N/A</v>
      </c>
      <c r="D5395" s="6">
        <f t="shared" si="85"/>
        <v>0</v>
      </c>
    </row>
    <row r="5396" spans="3:4" ht="15" x14ac:dyDescent="0.25">
      <c r="C5396" s="8" t="e">
        <f>VLOOKUP(A:A,'ITEM LIST'!A:C,3,0)</f>
        <v>#N/A</v>
      </c>
      <c r="D5396" s="6">
        <f t="shared" si="85"/>
        <v>0</v>
      </c>
    </row>
    <row r="5397" spans="3:4" ht="15" x14ac:dyDescent="0.25">
      <c r="C5397" s="8" t="e">
        <f>VLOOKUP(A:A,'ITEM LIST'!A:C,3,0)</f>
        <v>#N/A</v>
      </c>
      <c r="D5397" s="6">
        <f t="shared" si="85"/>
        <v>0</v>
      </c>
    </row>
    <row r="5398" spans="3:4" ht="15" x14ac:dyDescent="0.25">
      <c r="C5398" s="8" t="e">
        <f>VLOOKUP(A:A,'ITEM LIST'!A:C,3,0)</f>
        <v>#N/A</v>
      </c>
      <c r="D5398" s="6">
        <f t="shared" si="85"/>
        <v>0</v>
      </c>
    </row>
    <row r="5399" spans="3:4" ht="15" x14ac:dyDescent="0.25">
      <c r="C5399" s="8" t="e">
        <f>VLOOKUP(A:A,'ITEM LIST'!A:C,3,0)</f>
        <v>#N/A</v>
      </c>
      <c r="D5399" s="6">
        <f t="shared" si="85"/>
        <v>0</v>
      </c>
    </row>
    <row r="5400" spans="3:4" ht="15" x14ac:dyDescent="0.25">
      <c r="C5400" s="8" t="e">
        <f>VLOOKUP(A:A,'ITEM LIST'!A:C,3,0)</f>
        <v>#N/A</v>
      </c>
      <c r="D5400" s="6">
        <f t="shared" si="85"/>
        <v>0</v>
      </c>
    </row>
    <row r="5401" spans="3:4" ht="15" x14ac:dyDescent="0.25">
      <c r="C5401" s="8" t="e">
        <f>VLOOKUP(A:A,'ITEM LIST'!A:C,3,0)</f>
        <v>#N/A</v>
      </c>
      <c r="D5401" s="6">
        <f t="shared" si="85"/>
        <v>0</v>
      </c>
    </row>
    <row r="5402" spans="3:4" ht="15" x14ac:dyDescent="0.25">
      <c r="C5402" s="8" t="e">
        <f>VLOOKUP(A:A,'ITEM LIST'!A:C,3,0)</f>
        <v>#N/A</v>
      </c>
      <c r="D5402" s="6">
        <f t="shared" si="85"/>
        <v>0</v>
      </c>
    </row>
    <row r="5403" spans="3:4" ht="15" x14ac:dyDescent="0.25">
      <c r="C5403" s="8" t="e">
        <f>VLOOKUP(A:A,'ITEM LIST'!A:C,3,0)</f>
        <v>#N/A</v>
      </c>
      <c r="D5403" s="6">
        <f t="shared" si="85"/>
        <v>0</v>
      </c>
    </row>
    <row r="5404" spans="3:4" ht="15" x14ac:dyDescent="0.25">
      <c r="C5404" s="8" t="e">
        <f>VLOOKUP(A:A,'ITEM LIST'!A:C,3,0)</f>
        <v>#N/A</v>
      </c>
      <c r="D5404" s="6">
        <f t="shared" si="85"/>
        <v>0</v>
      </c>
    </row>
    <row r="5405" spans="3:4" ht="15" x14ac:dyDescent="0.25">
      <c r="C5405" s="8" t="e">
        <f>VLOOKUP(A:A,'ITEM LIST'!A:C,3,0)</f>
        <v>#N/A</v>
      </c>
      <c r="D5405" s="6">
        <f t="shared" si="85"/>
        <v>0</v>
      </c>
    </row>
    <row r="5406" spans="3:4" ht="15" x14ac:dyDescent="0.25">
      <c r="C5406" s="8" t="e">
        <f>VLOOKUP(A:A,'ITEM LIST'!A:C,3,0)</f>
        <v>#N/A</v>
      </c>
      <c r="D5406" s="6">
        <f t="shared" si="85"/>
        <v>0</v>
      </c>
    </row>
    <row r="5407" spans="3:4" ht="15" x14ac:dyDescent="0.25">
      <c r="C5407" s="8" t="e">
        <f>VLOOKUP(A:A,'ITEM LIST'!A:C,3,0)</f>
        <v>#N/A</v>
      </c>
      <c r="D5407" s="6">
        <f t="shared" si="85"/>
        <v>0</v>
      </c>
    </row>
    <row r="5408" spans="3:4" ht="15" x14ac:dyDescent="0.25">
      <c r="C5408" s="8" t="e">
        <f>VLOOKUP(A:A,'ITEM LIST'!A:C,3,0)</f>
        <v>#N/A</v>
      </c>
      <c r="D5408" s="6">
        <f t="shared" si="85"/>
        <v>0</v>
      </c>
    </row>
    <row r="5409" spans="3:4" ht="15" x14ac:dyDescent="0.25">
      <c r="C5409" s="8" t="e">
        <f>VLOOKUP(A:A,'ITEM LIST'!A:C,3,0)</f>
        <v>#N/A</v>
      </c>
      <c r="D5409" s="6">
        <f t="shared" si="85"/>
        <v>0</v>
      </c>
    </row>
    <row r="5410" spans="3:4" ht="15" x14ac:dyDescent="0.25">
      <c r="C5410" s="8" t="e">
        <f>VLOOKUP(A:A,'ITEM LIST'!A:C,3,0)</f>
        <v>#N/A</v>
      </c>
      <c r="D5410" s="6">
        <f t="shared" si="85"/>
        <v>0</v>
      </c>
    </row>
    <row r="5411" spans="3:4" ht="15" x14ac:dyDescent="0.25">
      <c r="C5411" s="8" t="e">
        <f>VLOOKUP(A:A,'ITEM LIST'!A:C,3,0)</f>
        <v>#N/A</v>
      </c>
      <c r="D5411" s="6">
        <f t="shared" si="85"/>
        <v>0</v>
      </c>
    </row>
    <row r="5412" spans="3:4" ht="15" x14ac:dyDescent="0.25">
      <c r="C5412" s="8" t="e">
        <f>VLOOKUP(A:A,'ITEM LIST'!A:C,3,0)</f>
        <v>#N/A</v>
      </c>
      <c r="D5412" s="6">
        <f t="shared" si="85"/>
        <v>0</v>
      </c>
    </row>
    <row r="5413" spans="3:4" ht="15" x14ac:dyDescent="0.25">
      <c r="C5413" s="8" t="e">
        <f>VLOOKUP(A:A,'ITEM LIST'!A:C,3,0)</f>
        <v>#N/A</v>
      </c>
      <c r="D5413" s="6">
        <f t="shared" si="85"/>
        <v>0</v>
      </c>
    </row>
    <row r="5414" spans="3:4" ht="15" x14ac:dyDescent="0.25">
      <c r="C5414" s="8" t="e">
        <f>VLOOKUP(A:A,'ITEM LIST'!A:C,3,0)</f>
        <v>#N/A</v>
      </c>
      <c r="D5414" s="6">
        <f t="shared" si="85"/>
        <v>0</v>
      </c>
    </row>
    <row r="5415" spans="3:4" ht="15" x14ac:dyDescent="0.25">
      <c r="C5415" s="8" t="e">
        <f>VLOOKUP(A:A,'ITEM LIST'!A:C,3,0)</f>
        <v>#N/A</v>
      </c>
      <c r="D5415" s="6">
        <f t="shared" si="85"/>
        <v>0</v>
      </c>
    </row>
    <row r="5416" spans="3:4" ht="15" x14ac:dyDescent="0.25">
      <c r="C5416" s="8" t="e">
        <f>VLOOKUP(A:A,'ITEM LIST'!A:C,3,0)</f>
        <v>#N/A</v>
      </c>
      <c r="D5416" s="6">
        <f t="shared" si="85"/>
        <v>0</v>
      </c>
    </row>
    <row r="5417" spans="3:4" ht="15" x14ac:dyDescent="0.25">
      <c r="C5417" s="8" t="e">
        <f>VLOOKUP(A:A,'ITEM LIST'!A:C,3,0)</f>
        <v>#N/A</v>
      </c>
      <c r="D5417" s="6">
        <f t="shared" si="85"/>
        <v>0</v>
      </c>
    </row>
    <row r="5418" spans="3:4" ht="15" x14ac:dyDescent="0.25">
      <c r="C5418" s="8" t="e">
        <f>VLOOKUP(A:A,'ITEM LIST'!A:C,3,0)</f>
        <v>#N/A</v>
      </c>
      <c r="D5418" s="6">
        <f t="shared" si="85"/>
        <v>0</v>
      </c>
    </row>
    <row r="5419" spans="3:4" ht="15" x14ac:dyDescent="0.25">
      <c r="C5419" s="8" t="e">
        <f>VLOOKUP(A:A,'ITEM LIST'!A:C,3,0)</f>
        <v>#N/A</v>
      </c>
      <c r="D5419" s="6">
        <f t="shared" si="85"/>
        <v>0</v>
      </c>
    </row>
    <row r="5420" spans="3:4" ht="15" x14ac:dyDescent="0.25">
      <c r="C5420" s="8" t="e">
        <f>VLOOKUP(A:A,'ITEM LIST'!A:C,3,0)</f>
        <v>#N/A</v>
      </c>
      <c r="D5420" s="6">
        <f t="shared" si="85"/>
        <v>0</v>
      </c>
    </row>
    <row r="5421" spans="3:4" ht="15" x14ac:dyDescent="0.25">
      <c r="C5421" s="8" t="e">
        <f>VLOOKUP(A:A,'ITEM LIST'!A:C,3,0)</f>
        <v>#N/A</v>
      </c>
      <c r="D5421" s="6">
        <f t="shared" si="85"/>
        <v>0</v>
      </c>
    </row>
    <row r="5422" spans="3:4" ht="15" x14ac:dyDescent="0.25">
      <c r="C5422" s="8" t="e">
        <f>VLOOKUP(A:A,'ITEM LIST'!A:C,3,0)</f>
        <v>#N/A</v>
      </c>
      <c r="D5422" s="6">
        <f t="shared" si="85"/>
        <v>0</v>
      </c>
    </row>
    <row r="5423" spans="3:4" ht="15" x14ac:dyDescent="0.25">
      <c r="C5423" s="8" t="e">
        <f>VLOOKUP(A:A,'ITEM LIST'!A:C,3,0)</f>
        <v>#N/A</v>
      </c>
      <c r="D5423" s="6">
        <f t="shared" si="85"/>
        <v>0</v>
      </c>
    </row>
    <row r="5424" spans="3:4" ht="15" x14ac:dyDescent="0.25">
      <c r="C5424" s="8" t="e">
        <f>VLOOKUP(A:A,'ITEM LIST'!A:C,3,0)</f>
        <v>#N/A</v>
      </c>
      <c r="D5424" s="6">
        <f t="shared" si="85"/>
        <v>0</v>
      </c>
    </row>
    <row r="5425" spans="3:4" ht="15" x14ac:dyDescent="0.25">
      <c r="C5425" s="8" t="e">
        <f>VLOOKUP(A:A,'ITEM LIST'!A:C,3,0)</f>
        <v>#N/A</v>
      </c>
      <c r="D5425" s="6">
        <f t="shared" si="85"/>
        <v>0</v>
      </c>
    </row>
    <row r="5426" spans="3:4" ht="15" x14ac:dyDescent="0.25">
      <c r="C5426" s="8" t="e">
        <f>VLOOKUP(A:A,'ITEM LIST'!A:C,3,0)</f>
        <v>#N/A</v>
      </c>
      <c r="D5426" s="6">
        <f t="shared" si="85"/>
        <v>0</v>
      </c>
    </row>
    <row r="5427" spans="3:4" ht="15" x14ac:dyDescent="0.25">
      <c r="C5427" s="8" t="e">
        <f>VLOOKUP(A:A,'ITEM LIST'!A:C,3,0)</f>
        <v>#N/A</v>
      </c>
      <c r="D5427" s="6">
        <f t="shared" si="85"/>
        <v>0</v>
      </c>
    </row>
    <row r="5428" spans="3:4" ht="15" x14ac:dyDescent="0.25">
      <c r="C5428" s="8" t="e">
        <f>VLOOKUP(A:A,'ITEM LIST'!A:C,3,0)</f>
        <v>#N/A</v>
      </c>
      <c r="D5428" s="6">
        <f t="shared" si="85"/>
        <v>0</v>
      </c>
    </row>
    <row r="5429" spans="3:4" ht="15" x14ac:dyDescent="0.25">
      <c r="C5429" s="8" t="e">
        <f>VLOOKUP(A:A,'ITEM LIST'!A:C,3,0)</f>
        <v>#N/A</v>
      </c>
      <c r="D5429" s="6">
        <f t="shared" si="85"/>
        <v>0</v>
      </c>
    </row>
    <row r="5430" spans="3:4" ht="15" x14ac:dyDescent="0.25">
      <c r="C5430" s="8" t="e">
        <f>VLOOKUP(A:A,'ITEM LIST'!A:C,3,0)</f>
        <v>#N/A</v>
      </c>
      <c r="D5430" s="6">
        <f t="shared" si="85"/>
        <v>0</v>
      </c>
    </row>
    <row r="5431" spans="3:4" ht="15" x14ac:dyDescent="0.25">
      <c r="C5431" s="8" t="e">
        <f>VLOOKUP(A:A,'ITEM LIST'!A:C,3,0)</f>
        <v>#N/A</v>
      </c>
      <c r="D5431" s="6">
        <f t="shared" si="85"/>
        <v>0</v>
      </c>
    </row>
    <row r="5432" spans="3:4" ht="15" x14ac:dyDescent="0.25">
      <c r="C5432" s="8" t="e">
        <f>VLOOKUP(A:A,'ITEM LIST'!A:C,3,0)</f>
        <v>#N/A</v>
      </c>
      <c r="D5432" s="6">
        <f t="shared" si="85"/>
        <v>0</v>
      </c>
    </row>
    <row r="5433" spans="3:4" ht="15" x14ac:dyDescent="0.25">
      <c r="C5433" s="8" t="e">
        <f>VLOOKUP(A:A,'ITEM LIST'!A:C,3,0)</f>
        <v>#N/A</v>
      </c>
      <c r="D5433" s="6">
        <f t="shared" si="85"/>
        <v>0</v>
      </c>
    </row>
    <row r="5434" spans="3:4" ht="15" x14ac:dyDescent="0.25">
      <c r="C5434" s="8" t="e">
        <f>VLOOKUP(A:A,'ITEM LIST'!A:C,3,0)</f>
        <v>#N/A</v>
      </c>
      <c r="D5434" s="6">
        <f t="shared" si="85"/>
        <v>0</v>
      </c>
    </row>
    <row r="5435" spans="3:4" ht="15" x14ac:dyDescent="0.25">
      <c r="C5435" s="8" t="e">
        <f>VLOOKUP(A:A,'ITEM LIST'!A:C,3,0)</f>
        <v>#N/A</v>
      </c>
      <c r="D5435" s="6">
        <f t="shared" si="85"/>
        <v>0</v>
      </c>
    </row>
    <row r="5436" spans="3:4" ht="15" x14ac:dyDescent="0.25">
      <c r="C5436" s="8" t="e">
        <f>VLOOKUP(A:A,'ITEM LIST'!A:C,3,0)</f>
        <v>#N/A</v>
      </c>
      <c r="D5436" s="6">
        <f t="shared" si="85"/>
        <v>0</v>
      </c>
    </row>
    <row r="5437" spans="3:4" ht="15" x14ac:dyDescent="0.25">
      <c r="C5437" s="8" t="e">
        <f>VLOOKUP(A:A,'ITEM LIST'!A:C,3,0)</f>
        <v>#N/A</v>
      </c>
      <c r="D5437" s="6">
        <f t="shared" si="85"/>
        <v>0</v>
      </c>
    </row>
    <row r="5438" spans="3:4" ht="15" x14ac:dyDescent="0.25">
      <c r="C5438" s="8" t="e">
        <f>VLOOKUP(A:A,'ITEM LIST'!A:C,3,0)</f>
        <v>#N/A</v>
      </c>
      <c r="D5438" s="6">
        <f t="shared" si="85"/>
        <v>0</v>
      </c>
    </row>
    <row r="5439" spans="3:4" ht="15" x14ac:dyDescent="0.25">
      <c r="C5439" s="8" t="e">
        <f>VLOOKUP(A:A,'ITEM LIST'!A:C,3,0)</f>
        <v>#N/A</v>
      </c>
      <c r="D5439" s="6">
        <f t="shared" si="85"/>
        <v>0</v>
      </c>
    </row>
    <row r="5440" spans="3:4" ht="15" x14ac:dyDescent="0.25">
      <c r="C5440" s="8" t="e">
        <f>VLOOKUP(A:A,'ITEM LIST'!A:C,3,0)</f>
        <v>#N/A</v>
      </c>
      <c r="D5440" s="6">
        <f t="shared" si="85"/>
        <v>0</v>
      </c>
    </row>
    <row r="5441" spans="3:4" ht="15" x14ac:dyDescent="0.25">
      <c r="C5441" s="8" t="e">
        <f>VLOOKUP(A:A,'ITEM LIST'!A:C,3,0)</f>
        <v>#N/A</v>
      </c>
      <c r="D5441" s="6">
        <f t="shared" si="85"/>
        <v>0</v>
      </c>
    </row>
    <row r="5442" spans="3:4" ht="15" x14ac:dyDescent="0.25">
      <c r="C5442" s="8" t="e">
        <f>VLOOKUP(A:A,'ITEM LIST'!A:C,3,0)</f>
        <v>#N/A</v>
      </c>
      <c r="D5442" s="6">
        <f t="shared" si="85"/>
        <v>0</v>
      </c>
    </row>
    <row r="5443" spans="3:4" ht="15" x14ac:dyDescent="0.25">
      <c r="C5443" s="8" t="e">
        <f>VLOOKUP(A:A,'ITEM LIST'!A:C,3,0)</f>
        <v>#N/A</v>
      </c>
      <c r="D5443" s="6">
        <f t="shared" si="85"/>
        <v>0</v>
      </c>
    </row>
    <row r="5444" spans="3:4" ht="15" x14ac:dyDescent="0.25">
      <c r="C5444" s="8" t="e">
        <f>VLOOKUP(A:A,'ITEM LIST'!A:C,3,0)</f>
        <v>#N/A</v>
      </c>
      <c r="D5444" s="6">
        <f t="shared" si="85"/>
        <v>0</v>
      </c>
    </row>
    <row r="5445" spans="3:4" ht="15" x14ac:dyDescent="0.25">
      <c r="C5445" s="8" t="e">
        <f>VLOOKUP(A:A,'ITEM LIST'!A:C,3,0)</f>
        <v>#N/A</v>
      </c>
      <c r="D5445" s="6">
        <f t="shared" si="85"/>
        <v>0</v>
      </c>
    </row>
    <row r="5446" spans="3:4" ht="15" x14ac:dyDescent="0.25">
      <c r="C5446" s="8" t="e">
        <f>VLOOKUP(A:A,'ITEM LIST'!A:C,3,0)</f>
        <v>#N/A</v>
      </c>
      <c r="D5446" s="6">
        <f t="shared" ref="D5446:D5509" si="86">B5446</f>
        <v>0</v>
      </c>
    </row>
    <row r="5447" spans="3:4" ht="15" x14ac:dyDescent="0.25">
      <c r="C5447" s="8" t="e">
        <f>VLOOKUP(A:A,'ITEM LIST'!A:C,3,0)</f>
        <v>#N/A</v>
      </c>
      <c r="D5447" s="6">
        <f t="shared" si="86"/>
        <v>0</v>
      </c>
    </row>
    <row r="5448" spans="3:4" ht="15" x14ac:dyDescent="0.25">
      <c r="C5448" s="8" t="e">
        <f>VLOOKUP(A:A,'ITEM LIST'!A:C,3,0)</f>
        <v>#N/A</v>
      </c>
      <c r="D5448" s="6">
        <f t="shared" si="86"/>
        <v>0</v>
      </c>
    </row>
    <row r="5449" spans="3:4" ht="15" x14ac:dyDescent="0.25">
      <c r="C5449" s="8" t="e">
        <f>VLOOKUP(A:A,'ITEM LIST'!A:C,3,0)</f>
        <v>#N/A</v>
      </c>
      <c r="D5449" s="6">
        <f t="shared" si="86"/>
        <v>0</v>
      </c>
    </row>
    <row r="5450" spans="3:4" ht="15" x14ac:dyDescent="0.25">
      <c r="C5450" s="8" t="e">
        <f>VLOOKUP(A:A,'ITEM LIST'!A:C,3,0)</f>
        <v>#N/A</v>
      </c>
      <c r="D5450" s="6">
        <f t="shared" si="86"/>
        <v>0</v>
      </c>
    </row>
    <row r="5451" spans="3:4" ht="15" x14ac:dyDescent="0.25">
      <c r="C5451" s="8" t="e">
        <f>VLOOKUP(A:A,'ITEM LIST'!A:C,3,0)</f>
        <v>#N/A</v>
      </c>
      <c r="D5451" s="6">
        <f t="shared" si="86"/>
        <v>0</v>
      </c>
    </row>
    <row r="5452" spans="3:4" ht="15" x14ac:dyDescent="0.25">
      <c r="C5452" s="8" t="e">
        <f>VLOOKUP(A:A,'ITEM LIST'!A:C,3,0)</f>
        <v>#N/A</v>
      </c>
      <c r="D5452" s="6">
        <f t="shared" si="86"/>
        <v>0</v>
      </c>
    </row>
    <row r="5453" spans="3:4" ht="15" x14ac:dyDescent="0.25">
      <c r="C5453" s="8" t="e">
        <f>VLOOKUP(A:A,'ITEM LIST'!A:C,3,0)</f>
        <v>#N/A</v>
      </c>
      <c r="D5453" s="6">
        <f t="shared" si="86"/>
        <v>0</v>
      </c>
    </row>
    <row r="5454" spans="3:4" ht="15" x14ac:dyDescent="0.25">
      <c r="C5454" s="8" t="e">
        <f>VLOOKUP(A:A,'ITEM LIST'!A:C,3,0)</f>
        <v>#N/A</v>
      </c>
      <c r="D5454" s="6">
        <f t="shared" si="86"/>
        <v>0</v>
      </c>
    </row>
    <row r="5455" spans="3:4" ht="15" x14ac:dyDescent="0.25">
      <c r="C5455" s="8" t="e">
        <f>VLOOKUP(A:A,'ITEM LIST'!A:C,3,0)</f>
        <v>#N/A</v>
      </c>
      <c r="D5455" s="6">
        <f t="shared" si="86"/>
        <v>0</v>
      </c>
    </row>
    <row r="5456" spans="3:4" ht="15" x14ac:dyDescent="0.25">
      <c r="C5456" s="8" t="e">
        <f>VLOOKUP(A:A,'ITEM LIST'!A:C,3,0)</f>
        <v>#N/A</v>
      </c>
      <c r="D5456" s="6">
        <f t="shared" si="86"/>
        <v>0</v>
      </c>
    </row>
    <row r="5457" spans="3:4" ht="15" x14ac:dyDescent="0.25">
      <c r="C5457" s="8" t="e">
        <f>VLOOKUP(A:A,'ITEM LIST'!A:C,3,0)</f>
        <v>#N/A</v>
      </c>
      <c r="D5457" s="6">
        <f t="shared" si="86"/>
        <v>0</v>
      </c>
    </row>
    <row r="5458" spans="3:4" ht="15" x14ac:dyDescent="0.25">
      <c r="C5458" s="8" t="e">
        <f>VLOOKUP(A:A,'ITEM LIST'!A:C,3,0)</f>
        <v>#N/A</v>
      </c>
      <c r="D5458" s="6">
        <f t="shared" si="86"/>
        <v>0</v>
      </c>
    </row>
    <row r="5459" spans="3:4" ht="15" x14ac:dyDescent="0.25">
      <c r="C5459" s="8" t="e">
        <f>VLOOKUP(A:A,'ITEM LIST'!A:C,3,0)</f>
        <v>#N/A</v>
      </c>
      <c r="D5459" s="6">
        <f t="shared" si="86"/>
        <v>0</v>
      </c>
    </row>
    <row r="5460" spans="3:4" ht="15" x14ac:dyDescent="0.25">
      <c r="C5460" s="8" t="e">
        <f>VLOOKUP(A:A,'ITEM LIST'!A:C,3,0)</f>
        <v>#N/A</v>
      </c>
      <c r="D5460" s="6">
        <f t="shared" si="86"/>
        <v>0</v>
      </c>
    </row>
    <row r="5461" spans="3:4" ht="15" x14ac:dyDescent="0.25">
      <c r="C5461" s="8" t="e">
        <f>VLOOKUP(A:A,'ITEM LIST'!A:C,3,0)</f>
        <v>#N/A</v>
      </c>
      <c r="D5461" s="6">
        <f t="shared" si="86"/>
        <v>0</v>
      </c>
    </row>
    <row r="5462" spans="3:4" ht="15" x14ac:dyDescent="0.25">
      <c r="C5462" s="8" t="e">
        <f>VLOOKUP(A:A,'ITEM LIST'!A:C,3,0)</f>
        <v>#N/A</v>
      </c>
      <c r="D5462" s="6">
        <f t="shared" si="86"/>
        <v>0</v>
      </c>
    </row>
    <row r="5463" spans="3:4" ht="15" x14ac:dyDescent="0.25">
      <c r="C5463" s="8" t="e">
        <f>VLOOKUP(A:A,'ITEM LIST'!A:C,3,0)</f>
        <v>#N/A</v>
      </c>
      <c r="D5463" s="6">
        <f t="shared" si="86"/>
        <v>0</v>
      </c>
    </row>
    <row r="5464" spans="3:4" ht="15" x14ac:dyDescent="0.25">
      <c r="C5464" s="8" t="e">
        <f>VLOOKUP(A:A,'ITEM LIST'!A:C,3,0)</f>
        <v>#N/A</v>
      </c>
      <c r="D5464" s="6">
        <f t="shared" si="86"/>
        <v>0</v>
      </c>
    </row>
    <row r="5465" spans="3:4" ht="15" x14ac:dyDescent="0.25">
      <c r="C5465" s="8" t="e">
        <f>VLOOKUP(A:A,'ITEM LIST'!A:C,3,0)</f>
        <v>#N/A</v>
      </c>
      <c r="D5465" s="6">
        <f t="shared" si="86"/>
        <v>0</v>
      </c>
    </row>
    <row r="5466" spans="3:4" ht="15" x14ac:dyDescent="0.25">
      <c r="C5466" s="8" t="e">
        <f>VLOOKUP(A:A,'ITEM LIST'!A:C,3,0)</f>
        <v>#N/A</v>
      </c>
      <c r="D5466" s="6">
        <f t="shared" si="86"/>
        <v>0</v>
      </c>
    </row>
    <row r="5467" spans="3:4" ht="15" x14ac:dyDescent="0.25">
      <c r="C5467" s="8" t="e">
        <f>VLOOKUP(A:A,'ITEM LIST'!A:C,3,0)</f>
        <v>#N/A</v>
      </c>
      <c r="D5467" s="6">
        <f t="shared" si="86"/>
        <v>0</v>
      </c>
    </row>
    <row r="5468" spans="3:4" ht="15" x14ac:dyDescent="0.25">
      <c r="C5468" s="8" t="e">
        <f>VLOOKUP(A:A,'ITEM LIST'!A:C,3,0)</f>
        <v>#N/A</v>
      </c>
      <c r="D5468" s="6">
        <f t="shared" si="86"/>
        <v>0</v>
      </c>
    </row>
    <row r="5469" spans="3:4" ht="15" x14ac:dyDescent="0.25">
      <c r="C5469" s="8" t="e">
        <f>VLOOKUP(A:A,'ITEM LIST'!A:C,3,0)</f>
        <v>#N/A</v>
      </c>
      <c r="D5469" s="6">
        <f t="shared" si="86"/>
        <v>0</v>
      </c>
    </row>
    <row r="5470" spans="3:4" ht="15" x14ac:dyDescent="0.25">
      <c r="C5470" s="8" t="e">
        <f>VLOOKUP(A:A,'ITEM LIST'!A:C,3,0)</f>
        <v>#N/A</v>
      </c>
      <c r="D5470" s="6">
        <f t="shared" si="86"/>
        <v>0</v>
      </c>
    </row>
    <row r="5471" spans="3:4" ht="15" x14ac:dyDescent="0.25">
      <c r="C5471" s="8" t="e">
        <f>VLOOKUP(A:A,'ITEM LIST'!A:C,3,0)</f>
        <v>#N/A</v>
      </c>
      <c r="D5471" s="6">
        <f t="shared" si="86"/>
        <v>0</v>
      </c>
    </row>
    <row r="5472" spans="3:4" ht="15" x14ac:dyDescent="0.25">
      <c r="C5472" s="8" t="e">
        <f>VLOOKUP(A:A,'ITEM LIST'!A:C,3,0)</f>
        <v>#N/A</v>
      </c>
      <c r="D5472" s="6">
        <f t="shared" si="86"/>
        <v>0</v>
      </c>
    </row>
    <row r="5473" spans="3:4" ht="15" x14ac:dyDescent="0.25">
      <c r="C5473" s="8" t="e">
        <f>VLOOKUP(A:A,'ITEM LIST'!A:C,3,0)</f>
        <v>#N/A</v>
      </c>
      <c r="D5473" s="6">
        <f t="shared" si="86"/>
        <v>0</v>
      </c>
    </row>
    <row r="5474" spans="3:4" ht="15" x14ac:dyDescent="0.25">
      <c r="C5474" s="8" t="e">
        <f>VLOOKUP(A:A,'ITEM LIST'!A:C,3,0)</f>
        <v>#N/A</v>
      </c>
      <c r="D5474" s="6">
        <f t="shared" si="86"/>
        <v>0</v>
      </c>
    </row>
    <row r="5475" spans="3:4" ht="15" x14ac:dyDescent="0.25">
      <c r="C5475" s="8" t="e">
        <f>VLOOKUP(A:A,'ITEM LIST'!A:C,3,0)</f>
        <v>#N/A</v>
      </c>
      <c r="D5475" s="6">
        <f t="shared" si="86"/>
        <v>0</v>
      </c>
    </row>
    <row r="5476" spans="3:4" ht="15" x14ac:dyDescent="0.25">
      <c r="C5476" s="8" t="e">
        <f>VLOOKUP(A:A,'ITEM LIST'!A:C,3,0)</f>
        <v>#N/A</v>
      </c>
      <c r="D5476" s="6">
        <f t="shared" si="86"/>
        <v>0</v>
      </c>
    </row>
    <row r="5477" spans="3:4" ht="15" x14ac:dyDescent="0.25">
      <c r="C5477" s="8" t="e">
        <f>VLOOKUP(A:A,'ITEM LIST'!A:C,3,0)</f>
        <v>#N/A</v>
      </c>
      <c r="D5477" s="6">
        <f t="shared" si="86"/>
        <v>0</v>
      </c>
    </row>
    <row r="5478" spans="3:4" ht="15" x14ac:dyDescent="0.25">
      <c r="C5478" s="8" t="e">
        <f>VLOOKUP(A:A,'ITEM LIST'!A:C,3,0)</f>
        <v>#N/A</v>
      </c>
      <c r="D5478" s="6">
        <f t="shared" si="86"/>
        <v>0</v>
      </c>
    </row>
    <row r="5479" spans="3:4" ht="15" x14ac:dyDescent="0.25">
      <c r="C5479" s="8" t="e">
        <f>VLOOKUP(A:A,'ITEM LIST'!A:C,3,0)</f>
        <v>#N/A</v>
      </c>
      <c r="D5479" s="6">
        <f t="shared" si="86"/>
        <v>0</v>
      </c>
    </row>
    <row r="5480" spans="3:4" ht="15" x14ac:dyDescent="0.25">
      <c r="C5480" s="8" t="e">
        <f>VLOOKUP(A:A,'ITEM LIST'!A:C,3,0)</f>
        <v>#N/A</v>
      </c>
      <c r="D5480" s="6">
        <f t="shared" si="86"/>
        <v>0</v>
      </c>
    </row>
    <row r="5481" spans="3:4" ht="15" x14ac:dyDescent="0.25">
      <c r="C5481" s="8" t="e">
        <f>VLOOKUP(A:A,'ITEM LIST'!A:C,3,0)</f>
        <v>#N/A</v>
      </c>
      <c r="D5481" s="6">
        <f t="shared" si="86"/>
        <v>0</v>
      </c>
    </row>
    <row r="5482" spans="3:4" ht="15" x14ac:dyDescent="0.25">
      <c r="C5482" s="8" t="e">
        <f>VLOOKUP(A:A,'ITEM LIST'!A:C,3,0)</f>
        <v>#N/A</v>
      </c>
      <c r="D5482" s="6">
        <f t="shared" si="86"/>
        <v>0</v>
      </c>
    </row>
    <row r="5483" spans="3:4" ht="15" x14ac:dyDescent="0.25">
      <c r="C5483" s="8" t="e">
        <f>VLOOKUP(A:A,'ITEM LIST'!A:C,3,0)</f>
        <v>#N/A</v>
      </c>
      <c r="D5483" s="6">
        <f t="shared" si="86"/>
        <v>0</v>
      </c>
    </row>
    <row r="5484" spans="3:4" ht="15" x14ac:dyDescent="0.25">
      <c r="C5484" s="8" t="e">
        <f>VLOOKUP(A:A,'ITEM LIST'!A:C,3,0)</f>
        <v>#N/A</v>
      </c>
      <c r="D5484" s="6">
        <f t="shared" si="86"/>
        <v>0</v>
      </c>
    </row>
    <row r="5485" spans="3:4" ht="15" x14ac:dyDescent="0.25">
      <c r="C5485" s="8" t="e">
        <f>VLOOKUP(A:A,'ITEM LIST'!A:C,3,0)</f>
        <v>#N/A</v>
      </c>
      <c r="D5485" s="6">
        <f t="shared" si="86"/>
        <v>0</v>
      </c>
    </row>
    <row r="5486" spans="3:4" ht="15" x14ac:dyDescent="0.25">
      <c r="C5486" s="8" t="e">
        <f>VLOOKUP(A:A,'ITEM LIST'!A:C,3,0)</f>
        <v>#N/A</v>
      </c>
      <c r="D5486" s="6">
        <f t="shared" si="86"/>
        <v>0</v>
      </c>
    </row>
    <row r="5487" spans="3:4" ht="15" x14ac:dyDescent="0.25">
      <c r="C5487" s="8" t="e">
        <f>VLOOKUP(A:A,'ITEM LIST'!A:C,3,0)</f>
        <v>#N/A</v>
      </c>
      <c r="D5487" s="6">
        <f t="shared" si="86"/>
        <v>0</v>
      </c>
    </row>
    <row r="5488" spans="3:4" ht="15" x14ac:dyDescent="0.25">
      <c r="C5488" s="8" t="e">
        <f>VLOOKUP(A:A,'ITEM LIST'!A:C,3,0)</f>
        <v>#N/A</v>
      </c>
      <c r="D5488" s="6">
        <f t="shared" si="86"/>
        <v>0</v>
      </c>
    </row>
    <row r="5489" spans="3:4" ht="15" x14ac:dyDescent="0.25">
      <c r="C5489" s="8" t="e">
        <f>VLOOKUP(A:A,'ITEM LIST'!A:C,3,0)</f>
        <v>#N/A</v>
      </c>
      <c r="D5489" s="6">
        <f t="shared" si="86"/>
        <v>0</v>
      </c>
    </row>
    <row r="5490" spans="3:4" ht="15" x14ac:dyDescent="0.25">
      <c r="C5490" s="8" t="e">
        <f>VLOOKUP(A:A,'ITEM LIST'!A:C,3,0)</f>
        <v>#N/A</v>
      </c>
      <c r="D5490" s="6">
        <f t="shared" si="86"/>
        <v>0</v>
      </c>
    </row>
    <row r="5491" spans="3:4" ht="15" x14ac:dyDescent="0.25">
      <c r="C5491" s="8" t="e">
        <f>VLOOKUP(A:A,'ITEM LIST'!A:C,3,0)</f>
        <v>#N/A</v>
      </c>
      <c r="D5491" s="6">
        <f t="shared" si="86"/>
        <v>0</v>
      </c>
    </row>
    <row r="5492" spans="3:4" ht="15" x14ac:dyDescent="0.25">
      <c r="C5492" s="8" t="e">
        <f>VLOOKUP(A:A,'ITEM LIST'!A:C,3,0)</f>
        <v>#N/A</v>
      </c>
      <c r="D5492" s="6">
        <f t="shared" si="86"/>
        <v>0</v>
      </c>
    </row>
    <row r="5493" spans="3:4" ht="15" x14ac:dyDescent="0.25">
      <c r="C5493" s="8" t="e">
        <f>VLOOKUP(A:A,'ITEM LIST'!A:C,3,0)</f>
        <v>#N/A</v>
      </c>
      <c r="D5493" s="6">
        <f t="shared" si="86"/>
        <v>0</v>
      </c>
    </row>
    <row r="5494" spans="3:4" ht="15" x14ac:dyDescent="0.25">
      <c r="C5494" s="8" t="e">
        <f>VLOOKUP(A:A,'ITEM LIST'!A:C,3,0)</f>
        <v>#N/A</v>
      </c>
      <c r="D5494" s="6">
        <f t="shared" si="86"/>
        <v>0</v>
      </c>
    </row>
    <row r="5495" spans="3:4" ht="15" x14ac:dyDescent="0.25">
      <c r="C5495" s="8" t="e">
        <f>VLOOKUP(A:A,'ITEM LIST'!A:C,3,0)</f>
        <v>#N/A</v>
      </c>
      <c r="D5495" s="6">
        <f t="shared" si="86"/>
        <v>0</v>
      </c>
    </row>
    <row r="5496" spans="3:4" ht="15" x14ac:dyDescent="0.25">
      <c r="C5496" s="8" t="e">
        <f>VLOOKUP(A:A,'ITEM LIST'!A:C,3,0)</f>
        <v>#N/A</v>
      </c>
      <c r="D5496" s="6">
        <f t="shared" si="86"/>
        <v>0</v>
      </c>
    </row>
    <row r="5497" spans="3:4" ht="15" x14ac:dyDescent="0.25">
      <c r="C5497" s="8" t="e">
        <f>VLOOKUP(A:A,'ITEM LIST'!A:C,3,0)</f>
        <v>#N/A</v>
      </c>
      <c r="D5497" s="6">
        <f t="shared" si="86"/>
        <v>0</v>
      </c>
    </row>
    <row r="5498" spans="3:4" ht="15" x14ac:dyDescent="0.25">
      <c r="C5498" s="8" t="e">
        <f>VLOOKUP(A:A,'ITEM LIST'!A:C,3,0)</f>
        <v>#N/A</v>
      </c>
      <c r="D5498" s="6">
        <f t="shared" si="86"/>
        <v>0</v>
      </c>
    </row>
    <row r="5499" spans="3:4" ht="15" x14ac:dyDescent="0.25">
      <c r="C5499" s="8" t="e">
        <f>VLOOKUP(A:A,'ITEM LIST'!A:C,3,0)</f>
        <v>#N/A</v>
      </c>
      <c r="D5499" s="6">
        <f t="shared" si="86"/>
        <v>0</v>
      </c>
    </row>
    <row r="5500" spans="3:4" ht="15" x14ac:dyDescent="0.25">
      <c r="C5500" s="8" t="e">
        <f>VLOOKUP(A:A,'ITEM LIST'!A:C,3,0)</f>
        <v>#N/A</v>
      </c>
      <c r="D5500" s="6">
        <f t="shared" si="86"/>
        <v>0</v>
      </c>
    </row>
    <row r="5501" spans="3:4" ht="15" x14ac:dyDescent="0.25">
      <c r="C5501" s="8" t="e">
        <f>VLOOKUP(A:A,'ITEM LIST'!A:C,3,0)</f>
        <v>#N/A</v>
      </c>
      <c r="D5501" s="6">
        <f t="shared" si="86"/>
        <v>0</v>
      </c>
    </row>
    <row r="5502" spans="3:4" ht="15" x14ac:dyDescent="0.25">
      <c r="C5502" s="8" t="e">
        <f>VLOOKUP(A:A,'ITEM LIST'!A:C,3,0)</f>
        <v>#N/A</v>
      </c>
      <c r="D5502" s="6">
        <f t="shared" si="86"/>
        <v>0</v>
      </c>
    </row>
    <row r="5503" spans="3:4" ht="15" x14ac:dyDescent="0.25">
      <c r="C5503" s="8" t="e">
        <f>VLOOKUP(A:A,'ITEM LIST'!A:C,3,0)</f>
        <v>#N/A</v>
      </c>
      <c r="D5503" s="6">
        <f t="shared" si="86"/>
        <v>0</v>
      </c>
    </row>
    <row r="5504" spans="3:4" ht="15" x14ac:dyDescent="0.25">
      <c r="C5504" s="8" t="e">
        <f>VLOOKUP(A:A,'ITEM LIST'!A:C,3,0)</f>
        <v>#N/A</v>
      </c>
      <c r="D5504" s="6">
        <f t="shared" si="86"/>
        <v>0</v>
      </c>
    </row>
    <row r="5505" spans="3:4" ht="15" x14ac:dyDescent="0.25">
      <c r="C5505" s="8" t="e">
        <f>VLOOKUP(A:A,'ITEM LIST'!A:C,3,0)</f>
        <v>#N/A</v>
      </c>
      <c r="D5505" s="6">
        <f t="shared" si="86"/>
        <v>0</v>
      </c>
    </row>
    <row r="5506" spans="3:4" ht="15" x14ac:dyDescent="0.25">
      <c r="C5506" s="8" t="e">
        <f>VLOOKUP(A:A,'ITEM LIST'!A:C,3,0)</f>
        <v>#N/A</v>
      </c>
      <c r="D5506" s="6">
        <f t="shared" si="86"/>
        <v>0</v>
      </c>
    </row>
    <row r="5507" spans="3:4" ht="15" x14ac:dyDescent="0.25">
      <c r="C5507" s="8" t="e">
        <f>VLOOKUP(A:A,'ITEM LIST'!A:C,3,0)</f>
        <v>#N/A</v>
      </c>
      <c r="D5507" s="6">
        <f t="shared" si="86"/>
        <v>0</v>
      </c>
    </row>
    <row r="5508" spans="3:4" ht="15" x14ac:dyDescent="0.25">
      <c r="C5508" s="8" t="e">
        <f>VLOOKUP(A:A,'ITEM LIST'!A:C,3,0)</f>
        <v>#N/A</v>
      </c>
      <c r="D5508" s="6">
        <f t="shared" si="86"/>
        <v>0</v>
      </c>
    </row>
    <row r="5509" spans="3:4" ht="15" x14ac:dyDescent="0.25">
      <c r="C5509" s="8" t="e">
        <f>VLOOKUP(A:A,'ITEM LIST'!A:C,3,0)</f>
        <v>#N/A</v>
      </c>
      <c r="D5509" s="6">
        <f t="shared" si="86"/>
        <v>0</v>
      </c>
    </row>
    <row r="5510" spans="3:4" ht="15" x14ac:dyDescent="0.25">
      <c r="C5510" s="8" t="e">
        <f>VLOOKUP(A:A,'ITEM LIST'!A:C,3,0)</f>
        <v>#N/A</v>
      </c>
      <c r="D5510" s="6">
        <f t="shared" ref="D5510:D5573" si="87">B5510</f>
        <v>0</v>
      </c>
    </row>
    <row r="5511" spans="3:4" ht="15" x14ac:dyDescent="0.25">
      <c r="C5511" s="8" t="e">
        <f>VLOOKUP(A:A,'ITEM LIST'!A:C,3,0)</f>
        <v>#N/A</v>
      </c>
      <c r="D5511" s="6">
        <f t="shared" si="87"/>
        <v>0</v>
      </c>
    </row>
    <row r="5512" spans="3:4" ht="15" x14ac:dyDescent="0.25">
      <c r="C5512" s="8" t="e">
        <f>VLOOKUP(A:A,'ITEM LIST'!A:C,3,0)</f>
        <v>#N/A</v>
      </c>
      <c r="D5512" s="6">
        <f t="shared" si="87"/>
        <v>0</v>
      </c>
    </row>
    <row r="5513" spans="3:4" ht="15" x14ac:dyDescent="0.25">
      <c r="C5513" s="8" t="e">
        <f>VLOOKUP(A:A,'ITEM LIST'!A:C,3,0)</f>
        <v>#N/A</v>
      </c>
      <c r="D5513" s="6">
        <f t="shared" si="87"/>
        <v>0</v>
      </c>
    </row>
    <row r="5514" spans="3:4" ht="15" x14ac:dyDescent="0.25">
      <c r="C5514" s="8" t="e">
        <f>VLOOKUP(A:A,'ITEM LIST'!A:C,3,0)</f>
        <v>#N/A</v>
      </c>
      <c r="D5514" s="6">
        <f t="shared" si="87"/>
        <v>0</v>
      </c>
    </row>
    <row r="5515" spans="3:4" ht="15" x14ac:dyDescent="0.25">
      <c r="C5515" s="8" t="e">
        <f>VLOOKUP(A:A,'ITEM LIST'!A:C,3,0)</f>
        <v>#N/A</v>
      </c>
      <c r="D5515" s="6">
        <f t="shared" si="87"/>
        <v>0</v>
      </c>
    </row>
    <row r="5516" spans="3:4" ht="15" x14ac:dyDescent="0.25">
      <c r="C5516" s="8" t="e">
        <f>VLOOKUP(A:A,'ITEM LIST'!A:C,3,0)</f>
        <v>#N/A</v>
      </c>
      <c r="D5516" s="6">
        <f t="shared" si="87"/>
        <v>0</v>
      </c>
    </row>
    <row r="5517" spans="3:4" ht="15" x14ac:dyDescent="0.25">
      <c r="C5517" s="8" t="e">
        <f>VLOOKUP(A:A,'ITEM LIST'!A:C,3,0)</f>
        <v>#N/A</v>
      </c>
      <c r="D5517" s="6">
        <f t="shared" si="87"/>
        <v>0</v>
      </c>
    </row>
    <row r="5518" spans="3:4" ht="15" x14ac:dyDescent="0.25">
      <c r="C5518" s="8" t="e">
        <f>VLOOKUP(A:A,'ITEM LIST'!A:C,3,0)</f>
        <v>#N/A</v>
      </c>
      <c r="D5518" s="6">
        <f t="shared" si="87"/>
        <v>0</v>
      </c>
    </row>
    <row r="5519" spans="3:4" ht="15" x14ac:dyDescent="0.25">
      <c r="C5519" s="8" t="e">
        <f>VLOOKUP(A:A,'ITEM LIST'!A:C,3,0)</f>
        <v>#N/A</v>
      </c>
      <c r="D5519" s="6">
        <f t="shared" si="87"/>
        <v>0</v>
      </c>
    </row>
    <row r="5520" spans="3:4" ht="15" x14ac:dyDescent="0.25">
      <c r="C5520" s="8" t="e">
        <f>VLOOKUP(A:A,'ITEM LIST'!A:C,3,0)</f>
        <v>#N/A</v>
      </c>
      <c r="D5520" s="6">
        <f t="shared" si="87"/>
        <v>0</v>
      </c>
    </row>
    <row r="5521" spans="3:4" ht="15" x14ac:dyDescent="0.25">
      <c r="C5521" s="8" t="e">
        <f>VLOOKUP(A:A,'ITEM LIST'!A:C,3,0)</f>
        <v>#N/A</v>
      </c>
      <c r="D5521" s="6">
        <f t="shared" si="87"/>
        <v>0</v>
      </c>
    </row>
    <row r="5522" spans="3:4" ht="15" x14ac:dyDescent="0.25">
      <c r="C5522" s="8" t="e">
        <f>VLOOKUP(A:A,'ITEM LIST'!A:C,3,0)</f>
        <v>#N/A</v>
      </c>
      <c r="D5522" s="6">
        <f t="shared" si="87"/>
        <v>0</v>
      </c>
    </row>
    <row r="5523" spans="3:4" ht="15" x14ac:dyDescent="0.25">
      <c r="C5523" s="8" t="e">
        <f>VLOOKUP(A:A,'ITEM LIST'!A:C,3,0)</f>
        <v>#N/A</v>
      </c>
      <c r="D5523" s="6">
        <f t="shared" si="87"/>
        <v>0</v>
      </c>
    </row>
    <row r="5524" spans="3:4" ht="15" x14ac:dyDescent="0.25">
      <c r="C5524" s="8" t="e">
        <f>VLOOKUP(A:A,'ITEM LIST'!A:C,3,0)</f>
        <v>#N/A</v>
      </c>
      <c r="D5524" s="6">
        <f t="shared" si="87"/>
        <v>0</v>
      </c>
    </row>
    <row r="5525" spans="3:4" ht="15" x14ac:dyDescent="0.25">
      <c r="C5525" s="8" t="e">
        <f>VLOOKUP(A:A,'ITEM LIST'!A:C,3,0)</f>
        <v>#N/A</v>
      </c>
      <c r="D5525" s="6">
        <f t="shared" si="87"/>
        <v>0</v>
      </c>
    </row>
    <row r="5526" spans="3:4" ht="15" x14ac:dyDescent="0.25">
      <c r="C5526" s="8" t="e">
        <f>VLOOKUP(A:A,'ITEM LIST'!A:C,3,0)</f>
        <v>#N/A</v>
      </c>
      <c r="D5526" s="6">
        <f t="shared" si="87"/>
        <v>0</v>
      </c>
    </row>
    <row r="5527" spans="3:4" ht="15" x14ac:dyDescent="0.25">
      <c r="C5527" s="8" t="e">
        <f>VLOOKUP(A:A,'ITEM LIST'!A:C,3,0)</f>
        <v>#N/A</v>
      </c>
      <c r="D5527" s="6">
        <f t="shared" si="87"/>
        <v>0</v>
      </c>
    </row>
    <row r="5528" spans="3:4" ht="15" x14ac:dyDescent="0.25">
      <c r="C5528" s="8" t="e">
        <f>VLOOKUP(A:A,'ITEM LIST'!A:C,3,0)</f>
        <v>#N/A</v>
      </c>
      <c r="D5528" s="6">
        <f t="shared" si="87"/>
        <v>0</v>
      </c>
    </row>
    <row r="5529" spans="3:4" ht="15" x14ac:dyDescent="0.25">
      <c r="C5529" s="8" t="e">
        <f>VLOOKUP(A:A,'ITEM LIST'!A:C,3,0)</f>
        <v>#N/A</v>
      </c>
      <c r="D5529" s="6">
        <f t="shared" si="87"/>
        <v>0</v>
      </c>
    </row>
    <row r="5530" spans="3:4" ht="15" x14ac:dyDescent="0.25">
      <c r="C5530" s="8" t="e">
        <f>VLOOKUP(A:A,'ITEM LIST'!A:C,3,0)</f>
        <v>#N/A</v>
      </c>
      <c r="D5530" s="6">
        <f t="shared" si="87"/>
        <v>0</v>
      </c>
    </row>
    <row r="5531" spans="3:4" ht="15" x14ac:dyDescent="0.25">
      <c r="C5531" s="8" t="e">
        <f>VLOOKUP(A:A,'ITEM LIST'!A:C,3,0)</f>
        <v>#N/A</v>
      </c>
      <c r="D5531" s="6">
        <f t="shared" si="87"/>
        <v>0</v>
      </c>
    </row>
    <row r="5532" spans="3:4" ht="15" x14ac:dyDescent="0.25">
      <c r="C5532" s="8" t="e">
        <f>VLOOKUP(A:A,'ITEM LIST'!A:C,3,0)</f>
        <v>#N/A</v>
      </c>
      <c r="D5532" s="6">
        <f t="shared" si="87"/>
        <v>0</v>
      </c>
    </row>
    <row r="5533" spans="3:4" ht="15" x14ac:dyDescent="0.25">
      <c r="C5533" s="8" t="e">
        <f>VLOOKUP(A:A,'ITEM LIST'!A:C,3,0)</f>
        <v>#N/A</v>
      </c>
      <c r="D5533" s="6">
        <f t="shared" si="87"/>
        <v>0</v>
      </c>
    </row>
    <row r="5534" spans="3:4" ht="15" x14ac:dyDescent="0.25">
      <c r="C5534" s="8" t="e">
        <f>VLOOKUP(A:A,'ITEM LIST'!A:C,3,0)</f>
        <v>#N/A</v>
      </c>
      <c r="D5534" s="6">
        <f t="shared" si="87"/>
        <v>0</v>
      </c>
    </row>
    <row r="5535" spans="3:4" ht="15" x14ac:dyDescent="0.25">
      <c r="C5535" s="8" t="e">
        <f>VLOOKUP(A:A,'ITEM LIST'!A:C,3,0)</f>
        <v>#N/A</v>
      </c>
      <c r="D5535" s="6">
        <f t="shared" si="87"/>
        <v>0</v>
      </c>
    </row>
    <row r="5536" spans="3:4" ht="15" x14ac:dyDescent="0.25">
      <c r="C5536" s="8" t="e">
        <f>VLOOKUP(A:A,'ITEM LIST'!A:C,3,0)</f>
        <v>#N/A</v>
      </c>
      <c r="D5536" s="6">
        <f t="shared" si="87"/>
        <v>0</v>
      </c>
    </row>
    <row r="5537" spans="3:4" ht="15" x14ac:dyDescent="0.25">
      <c r="C5537" s="8" t="e">
        <f>VLOOKUP(A:A,'ITEM LIST'!A:C,3,0)</f>
        <v>#N/A</v>
      </c>
      <c r="D5537" s="6">
        <f t="shared" si="87"/>
        <v>0</v>
      </c>
    </row>
    <row r="5538" spans="3:4" ht="15" x14ac:dyDescent="0.25">
      <c r="C5538" s="8" t="e">
        <f>VLOOKUP(A:A,'ITEM LIST'!A:C,3,0)</f>
        <v>#N/A</v>
      </c>
      <c r="D5538" s="6">
        <f t="shared" si="87"/>
        <v>0</v>
      </c>
    </row>
    <row r="5539" spans="3:4" ht="15" x14ac:dyDescent="0.25">
      <c r="C5539" s="8" t="e">
        <f>VLOOKUP(A:A,'ITEM LIST'!A:C,3,0)</f>
        <v>#N/A</v>
      </c>
      <c r="D5539" s="6">
        <f t="shared" si="87"/>
        <v>0</v>
      </c>
    </row>
    <row r="5540" spans="3:4" ht="15" x14ac:dyDescent="0.25">
      <c r="C5540" s="8" t="e">
        <f>VLOOKUP(A:A,'ITEM LIST'!A:C,3,0)</f>
        <v>#N/A</v>
      </c>
      <c r="D5540" s="6">
        <f t="shared" si="87"/>
        <v>0</v>
      </c>
    </row>
    <row r="5541" spans="3:4" ht="15" x14ac:dyDescent="0.25">
      <c r="C5541" s="8" t="e">
        <f>VLOOKUP(A:A,'ITEM LIST'!A:C,3,0)</f>
        <v>#N/A</v>
      </c>
      <c r="D5541" s="6">
        <f t="shared" si="87"/>
        <v>0</v>
      </c>
    </row>
    <row r="5542" spans="3:4" ht="15" x14ac:dyDescent="0.25">
      <c r="C5542" s="8" t="e">
        <f>VLOOKUP(A:A,'ITEM LIST'!A:C,3,0)</f>
        <v>#N/A</v>
      </c>
      <c r="D5542" s="6">
        <f t="shared" si="87"/>
        <v>0</v>
      </c>
    </row>
    <row r="5543" spans="3:4" ht="15" x14ac:dyDescent="0.25">
      <c r="C5543" s="8" t="e">
        <f>VLOOKUP(A:A,'ITEM LIST'!A:C,3,0)</f>
        <v>#N/A</v>
      </c>
      <c r="D5543" s="6">
        <f t="shared" si="87"/>
        <v>0</v>
      </c>
    </row>
    <row r="5544" spans="3:4" ht="15" x14ac:dyDescent="0.25">
      <c r="C5544" s="8" t="e">
        <f>VLOOKUP(A:A,'ITEM LIST'!A:C,3,0)</f>
        <v>#N/A</v>
      </c>
      <c r="D5544" s="6">
        <f t="shared" si="87"/>
        <v>0</v>
      </c>
    </row>
    <row r="5545" spans="3:4" ht="15" x14ac:dyDescent="0.25">
      <c r="C5545" s="8" t="e">
        <f>VLOOKUP(A:A,'ITEM LIST'!A:C,3,0)</f>
        <v>#N/A</v>
      </c>
      <c r="D5545" s="6">
        <f t="shared" si="87"/>
        <v>0</v>
      </c>
    </row>
    <row r="5546" spans="3:4" ht="15" x14ac:dyDescent="0.25">
      <c r="C5546" s="8" t="e">
        <f>VLOOKUP(A:A,'ITEM LIST'!A:C,3,0)</f>
        <v>#N/A</v>
      </c>
      <c r="D5546" s="6">
        <f t="shared" si="87"/>
        <v>0</v>
      </c>
    </row>
    <row r="5547" spans="3:4" ht="15" x14ac:dyDescent="0.25">
      <c r="C5547" s="8" t="e">
        <f>VLOOKUP(A:A,'ITEM LIST'!A:C,3,0)</f>
        <v>#N/A</v>
      </c>
      <c r="D5547" s="6">
        <f t="shared" si="87"/>
        <v>0</v>
      </c>
    </row>
    <row r="5548" spans="3:4" ht="15" x14ac:dyDescent="0.25">
      <c r="C5548" s="8" t="e">
        <f>VLOOKUP(A:A,'ITEM LIST'!A:C,3,0)</f>
        <v>#N/A</v>
      </c>
      <c r="D5548" s="6">
        <f t="shared" si="87"/>
        <v>0</v>
      </c>
    </row>
    <row r="5549" spans="3:4" ht="15" x14ac:dyDescent="0.25">
      <c r="C5549" s="8" t="e">
        <f>VLOOKUP(A:A,'ITEM LIST'!A:C,3,0)</f>
        <v>#N/A</v>
      </c>
      <c r="D5549" s="6">
        <f t="shared" si="87"/>
        <v>0</v>
      </c>
    </row>
    <row r="5550" spans="3:4" ht="15" x14ac:dyDescent="0.25">
      <c r="C5550" s="8" t="e">
        <f>VLOOKUP(A:A,'ITEM LIST'!A:C,3,0)</f>
        <v>#N/A</v>
      </c>
      <c r="D5550" s="6">
        <f t="shared" si="87"/>
        <v>0</v>
      </c>
    </row>
    <row r="5551" spans="3:4" ht="15" x14ac:dyDescent="0.25">
      <c r="C5551" s="8" t="e">
        <f>VLOOKUP(A:A,'ITEM LIST'!A:C,3,0)</f>
        <v>#N/A</v>
      </c>
      <c r="D5551" s="6">
        <f t="shared" si="87"/>
        <v>0</v>
      </c>
    </row>
    <row r="5552" spans="3:4" ht="15" x14ac:dyDescent="0.25">
      <c r="C5552" s="8" t="e">
        <f>VLOOKUP(A:A,'ITEM LIST'!A:C,3,0)</f>
        <v>#N/A</v>
      </c>
      <c r="D5552" s="6">
        <f t="shared" si="87"/>
        <v>0</v>
      </c>
    </row>
    <row r="5553" spans="3:4" ht="15" x14ac:dyDescent="0.25">
      <c r="C5553" s="8" t="e">
        <f>VLOOKUP(A:A,'ITEM LIST'!A:C,3,0)</f>
        <v>#N/A</v>
      </c>
      <c r="D5553" s="6">
        <f t="shared" si="87"/>
        <v>0</v>
      </c>
    </row>
    <row r="5554" spans="3:4" ht="15" x14ac:dyDescent="0.25">
      <c r="C5554" s="8" t="e">
        <f>VLOOKUP(A:A,'ITEM LIST'!A:C,3,0)</f>
        <v>#N/A</v>
      </c>
      <c r="D5554" s="6">
        <f t="shared" si="87"/>
        <v>0</v>
      </c>
    </row>
    <row r="5555" spans="3:4" ht="15" x14ac:dyDescent="0.25">
      <c r="C5555" s="8" t="e">
        <f>VLOOKUP(A:A,'ITEM LIST'!A:C,3,0)</f>
        <v>#N/A</v>
      </c>
      <c r="D5555" s="6">
        <f t="shared" si="87"/>
        <v>0</v>
      </c>
    </row>
    <row r="5556" spans="3:4" ht="15" x14ac:dyDescent="0.25">
      <c r="C5556" s="8" t="e">
        <f>VLOOKUP(A:A,'ITEM LIST'!A:C,3,0)</f>
        <v>#N/A</v>
      </c>
      <c r="D5556" s="6">
        <f t="shared" si="87"/>
        <v>0</v>
      </c>
    </row>
    <row r="5557" spans="3:4" ht="15" x14ac:dyDescent="0.25">
      <c r="C5557" s="8" t="e">
        <f>VLOOKUP(A:A,'ITEM LIST'!A:C,3,0)</f>
        <v>#N/A</v>
      </c>
      <c r="D5557" s="6">
        <f t="shared" si="87"/>
        <v>0</v>
      </c>
    </row>
    <row r="5558" spans="3:4" ht="15" x14ac:dyDescent="0.25">
      <c r="C5558" s="8" t="e">
        <f>VLOOKUP(A:A,'ITEM LIST'!A:C,3,0)</f>
        <v>#N/A</v>
      </c>
      <c r="D5558" s="6">
        <f t="shared" si="87"/>
        <v>0</v>
      </c>
    </row>
    <row r="5559" spans="3:4" ht="15" x14ac:dyDescent="0.25">
      <c r="C5559" s="8" t="e">
        <f>VLOOKUP(A:A,'ITEM LIST'!A:C,3,0)</f>
        <v>#N/A</v>
      </c>
      <c r="D5559" s="6">
        <f t="shared" si="87"/>
        <v>0</v>
      </c>
    </row>
    <row r="5560" spans="3:4" ht="15" x14ac:dyDescent="0.25">
      <c r="C5560" s="8" t="e">
        <f>VLOOKUP(A:A,'ITEM LIST'!A:C,3,0)</f>
        <v>#N/A</v>
      </c>
      <c r="D5560" s="6">
        <f t="shared" si="87"/>
        <v>0</v>
      </c>
    </row>
    <row r="5561" spans="3:4" ht="15" x14ac:dyDescent="0.25">
      <c r="C5561" s="8" t="e">
        <f>VLOOKUP(A:A,'ITEM LIST'!A:C,3,0)</f>
        <v>#N/A</v>
      </c>
      <c r="D5561" s="6">
        <f t="shared" si="87"/>
        <v>0</v>
      </c>
    </row>
    <row r="5562" spans="3:4" ht="15" x14ac:dyDescent="0.25">
      <c r="C5562" s="8" t="e">
        <f>VLOOKUP(A:A,'ITEM LIST'!A:C,3,0)</f>
        <v>#N/A</v>
      </c>
      <c r="D5562" s="6">
        <f t="shared" si="87"/>
        <v>0</v>
      </c>
    </row>
    <row r="5563" spans="3:4" ht="15" x14ac:dyDescent="0.25">
      <c r="C5563" s="8" t="e">
        <f>VLOOKUP(A:A,'ITEM LIST'!A:C,3,0)</f>
        <v>#N/A</v>
      </c>
      <c r="D5563" s="6">
        <f t="shared" si="87"/>
        <v>0</v>
      </c>
    </row>
    <row r="5564" spans="3:4" ht="15" x14ac:dyDescent="0.25">
      <c r="C5564" s="8" t="e">
        <f>VLOOKUP(A:A,'ITEM LIST'!A:C,3,0)</f>
        <v>#N/A</v>
      </c>
      <c r="D5564" s="6">
        <f t="shared" si="87"/>
        <v>0</v>
      </c>
    </row>
    <row r="5565" spans="3:4" ht="15" x14ac:dyDescent="0.25">
      <c r="C5565" s="8" t="e">
        <f>VLOOKUP(A:A,'ITEM LIST'!A:C,3,0)</f>
        <v>#N/A</v>
      </c>
      <c r="D5565" s="6">
        <f t="shared" si="87"/>
        <v>0</v>
      </c>
    </row>
    <row r="5566" spans="3:4" ht="15" x14ac:dyDescent="0.25">
      <c r="C5566" s="8" t="e">
        <f>VLOOKUP(A:A,'ITEM LIST'!A:C,3,0)</f>
        <v>#N/A</v>
      </c>
      <c r="D5566" s="6">
        <f t="shared" si="87"/>
        <v>0</v>
      </c>
    </row>
    <row r="5567" spans="3:4" ht="15" x14ac:dyDescent="0.25">
      <c r="C5567" s="8" t="e">
        <f>VLOOKUP(A:A,'ITEM LIST'!A:C,3,0)</f>
        <v>#N/A</v>
      </c>
      <c r="D5567" s="6">
        <f t="shared" si="87"/>
        <v>0</v>
      </c>
    </row>
    <row r="5568" spans="3:4" ht="15" x14ac:dyDescent="0.25">
      <c r="C5568" s="8" t="e">
        <f>VLOOKUP(A:A,'ITEM LIST'!A:C,3,0)</f>
        <v>#N/A</v>
      </c>
      <c r="D5568" s="6">
        <f t="shared" si="87"/>
        <v>0</v>
      </c>
    </row>
    <row r="5569" spans="3:4" ht="15" x14ac:dyDescent="0.25">
      <c r="C5569" s="8" t="e">
        <f>VLOOKUP(A:A,'ITEM LIST'!A:C,3,0)</f>
        <v>#N/A</v>
      </c>
      <c r="D5569" s="6">
        <f t="shared" si="87"/>
        <v>0</v>
      </c>
    </row>
    <row r="5570" spans="3:4" ht="15" x14ac:dyDescent="0.25">
      <c r="C5570" s="8" t="e">
        <f>VLOOKUP(A:A,'ITEM LIST'!A:C,3,0)</f>
        <v>#N/A</v>
      </c>
      <c r="D5570" s="6">
        <f t="shared" si="87"/>
        <v>0</v>
      </c>
    </row>
    <row r="5571" spans="3:4" ht="15" x14ac:dyDescent="0.25">
      <c r="C5571" s="8" t="e">
        <f>VLOOKUP(A:A,'ITEM LIST'!A:C,3,0)</f>
        <v>#N/A</v>
      </c>
      <c r="D5571" s="6">
        <f t="shared" si="87"/>
        <v>0</v>
      </c>
    </row>
    <row r="5572" spans="3:4" ht="15" x14ac:dyDescent="0.25">
      <c r="C5572" s="8" t="e">
        <f>VLOOKUP(A:A,'ITEM LIST'!A:C,3,0)</f>
        <v>#N/A</v>
      </c>
      <c r="D5572" s="6">
        <f t="shared" si="87"/>
        <v>0</v>
      </c>
    </row>
    <row r="5573" spans="3:4" ht="15" x14ac:dyDescent="0.25">
      <c r="C5573" s="8" t="e">
        <f>VLOOKUP(A:A,'ITEM LIST'!A:C,3,0)</f>
        <v>#N/A</v>
      </c>
      <c r="D5573" s="6">
        <f t="shared" si="87"/>
        <v>0</v>
      </c>
    </row>
    <row r="5574" spans="3:4" ht="15" x14ac:dyDescent="0.25">
      <c r="C5574" s="8" t="e">
        <f>VLOOKUP(A:A,'ITEM LIST'!A:C,3,0)</f>
        <v>#N/A</v>
      </c>
      <c r="D5574" s="6">
        <f t="shared" ref="D5574:D5637" si="88">B5574</f>
        <v>0</v>
      </c>
    </row>
    <row r="5575" spans="3:4" ht="15" x14ac:dyDescent="0.25">
      <c r="C5575" s="8" t="e">
        <f>VLOOKUP(A:A,'ITEM LIST'!A:C,3,0)</f>
        <v>#N/A</v>
      </c>
      <c r="D5575" s="6">
        <f t="shared" si="88"/>
        <v>0</v>
      </c>
    </row>
    <row r="5576" spans="3:4" ht="15" x14ac:dyDescent="0.25">
      <c r="C5576" s="8" t="e">
        <f>VLOOKUP(A:A,'ITEM LIST'!A:C,3,0)</f>
        <v>#N/A</v>
      </c>
      <c r="D5576" s="6">
        <f t="shared" si="88"/>
        <v>0</v>
      </c>
    </row>
    <row r="5577" spans="3:4" ht="15" x14ac:dyDescent="0.25">
      <c r="C5577" s="8" t="e">
        <f>VLOOKUP(A:A,'ITEM LIST'!A:C,3,0)</f>
        <v>#N/A</v>
      </c>
      <c r="D5577" s="6">
        <f t="shared" si="88"/>
        <v>0</v>
      </c>
    </row>
    <row r="5578" spans="3:4" ht="15" x14ac:dyDescent="0.25">
      <c r="C5578" s="8" t="e">
        <f>VLOOKUP(A:A,'ITEM LIST'!A:C,3,0)</f>
        <v>#N/A</v>
      </c>
      <c r="D5578" s="6">
        <f t="shared" si="88"/>
        <v>0</v>
      </c>
    </row>
    <row r="5579" spans="3:4" ht="15" x14ac:dyDescent="0.25">
      <c r="C5579" s="8" t="e">
        <f>VLOOKUP(A:A,'ITEM LIST'!A:C,3,0)</f>
        <v>#N/A</v>
      </c>
      <c r="D5579" s="6">
        <f t="shared" si="88"/>
        <v>0</v>
      </c>
    </row>
    <row r="5580" spans="3:4" ht="15" x14ac:dyDescent="0.25">
      <c r="C5580" s="8" t="e">
        <f>VLOOKUP(A:A,'ITEM LIST'!A:C,3,0)</f>
        <v>#N/A</v>
      </c>
      <c r="D5580" s="6">
        <f t="shared" si="88"/>
        <v>0</v>
      </c>
    </row>
    <row r="5581" spans="3:4" ht="15" x14ac:dyDescent="0.25">
      <c r="C5581" s="8" t="e">
        <f>VLOOKUP(A:A,'ITEM LIST'!A:C,3,0)</f>
        <v>#N/A</v>
      </c>
      <c r="D5581" s="6">
        <f t="shared" si="88"/>
        <v>0</v>
      </c>
    </row>
    <row r="5582" spans="3:4" ht="15" x14ac:dyDescent="0.25">
      <c r="C5582" s="8" t="e">
        <f>VLOOKUP(A:A,'ITEM LIST'!A:C,3,0)</f>
        <v>#N/A</v>
      </c>
      <c r="D5582" s="6">
        <f t="shared" si="88"/>
        <v>0</v>
      </c>
    </row>
    <row r="5583" spans="3:4" ht="15" x14ac:dyDescent="0.25">
      <c r="C5583" s="8" t="e">
        <f>VLOOKUP(A:A,'ITEM LIST'!A:C,3,0)</f>
        <v>#N/A</v>
      </c>
      <c r="D5583" s="6">
        <f t="shared" si="88"/>
        <v>0</v>
      </c>
    </row>
    <row r="5584" spans="3:4" ht="15" x14ac:dyDescent="0.25">
      <c r="C5584" s="8" t="e">
        <f>VLOOKUP(A:A,'ITEM LIST'!A:C,3,0)</f>
        <v>#N/A</v>
      </c>
      <c r="D5584" s="6">
        <f t="shared" si="88"/>
        <v>0</v>
      </c>
    </row>
    <row r="5585" spans="3:4" ht="15" x14ac:dyDescent="0.25">
      <c r="C5585" s="8" t="e">
        <f>VLOOKUP(A:A,'ITEM LIST'!A:C,3,0)</f>
        <v>#N/A</v>
      </c>
      <c r="D5585" s="6">
        <f t="shared" si="88"/>
        <v>0</v>
      </c>
    </row>
    <row r="5586" spans="3:4" ht="15" x14ac:dyDescent="0.25">
      <c r="C5586" s="8" t="e">
        <f>VLOOKUP(A:A,'ITEM LIST'!A:C,3,0)</f>
        <v>#N/A</v>
      </c>
      <c r="D5586" s="6">
        <f t="shared" si="88"/>
        <v>0</v>
      </c>
    </row>
    <row r="5587" spans="3:4" ht="15" x14ac:dyDescent="0.25">
      <c r="C5587" s="8" t="e">
        <f>VLOOKUP(A:A,'ITEM LIST'!A:C,3,0)</f>
        <v>#N/A</v>
      </c>
      <c r="D5587" s="6">
        <f t="shared" si="88"/>
        <v>0</v>
      </c>
    </row>
    <row r="5588" spans="3:4" ht="15" x14ac:dyDescent="0.25">
      <c r="C5588" s="8" t="e">
        <f>VLOOKUP(A:A,'ITEM LIST'!A:C,3,0)</f>
        <v>#N/A</v>
      </c>
      <c r="D5588" s="6">
        <f t="shared" si="88"/>
        <v>0</v>
      </c>
    </row>
    <row r="5589" spans="3:4" ht="15" x14ac:dyDescent="0.25">
      <c r="C5589" s="8" t="e">
        <f>VLOOKUP(A:A,'ITEM LIST'!A:C,3,0)</f>
        <v>#N/A</v>
      </c>
      <c r="D5589" s="6">
        <f t="shared" si="88"/>
        <v>0</v>
      </c>
    </row>
    <row r="5590" spans="3:4" ht="15" x14ac:dyDescent="0.25">
      <c r="C5590" s="8" t="e">
        <f>VLOOKUP(A:A,'ITEM LIST'!A:C,3,0)</f>
        <v>#N/A</v>
      </c>
      <c r="D5590" s="6">
        <f t="shared" si="88"/>
        <v>0</v>
      </c>
    </row>
    <row r="5591" spans="3:4" ht="15" x14ac:dyDescent="0.25">
      <c r="C5591" s="8" t="e">
        <f>VLOOKUP(A:A,'ITEM LIST'!A:C,3,0)</f>
        <v>#N/A</v>
      </c>
      <c r="D5591" s="6">
        <f t="shared" si="88"/>
        <v>0</v>
      </c>
    </row>
    <row r="5592" spans="3:4" ht="15" x14ac:dyDescent="0.25">
      <c r="C5592" s="8" t="e">
        <f>VLOOKUP(A:A,'ITEM LIST'!A:C,3,0)</f>
        <v>#N/A</v>
      </c>
      <c r="D5592" s="6">
        <f t="shared" si="88"/>
        <v>0</v>
      </c>
    </row>
    <row r="5593" spans="3:4" ht="15" x14ac:dyDescent="0.25">
      <c r="C5593" s="8" t="e">
        <f>VLOOKUP(A:A,'ITEM LIST'!A:C,3,0)</f>
        <v>#N/A</v>
      </c>
      <c r="D5593" s="6">
        <f t="shared" si="88"/>
        <v>0</v>
      </c>
    </row>
    <row r="5594" spans="3:4" ht="15" x14ac:dyDescent="0.25">
      <c r="C5594" s="8" t="e">
        <f>VLOOKUP(A:A,'ITEM LIST'!A:C,3,0)</f>
        <v>#N/A</v>
      </c>
      <c r="D5594" s="6">
        <f t="shared" si="88"/>
        <v>0</v>
      </c>
    </row>
    <row r="5595" spans="3:4" ht="15" x14ac:dyDescent="0.25">
      <c r="C5595" s="8" t="e">
        <f>VLOOKUP(A:A,'ITEM LIST'!A:C,3,0)</f>
        <v>#N/A</v>
      </c>
      <c r="D5595" s="6">
        <f t="shared" si="88"/>
        <v>0</v>
      </c>
    </row>
    <row r="5596" spans="3:4" ht="15" x14ac:dyDescent="0.25">
      <c r="C5596" s="8" t="e">
        <f>VLOOKUP(A:A,'ITEM LIST'!A:C,3,0)</f>
        <v>#N/A</v>
      </c>
      <c r="D5596" s="6">
        <f t="shared" si="88"/>
        <v>0</v>
      </c>
    </row>
    <row r="5597" spans="3:4" ht="15" x14ac:dyDescent="0.25">
      <c r="C5597" s="8" t="e">
        <f>VLOOKUP(A:A,'ITEM LIST'!A:C,3,0)</f>
        <v>#N/A</v>
      </c>
      <c r="D5597" s="6">
        <f t="shared" si="88"/>
        <v>0</v>
      </c>
    </row>
    <row r="5598" spans="3:4" ht="15" x14ac:dyDescent="0.25">
      <c r="C5598" s="8" t="e">
        <f>VLOOKUP(A:A,'ITEM LIST'!A:C,3,0)</f>
        <v>#N/A</v>
      </c>
      <c r="D5598" s="6">
        <f t="shared" si="88"/>
        <v>0</v>
      </c>
    </row>
    <row r="5599" spans="3:4" ht="15" x14ac:dyDescent="0.25">
      <c r="C5599" s="8" t="e">
        <f>VLOOKUP(A:A,'ITEM LIST'!A:C,3,0)</f>
        <v>#N/A</v>
      </c>
      <c r="D5599" s="6">
        <f t="shared" si="88"/>
        <v>0</v>
      </c>
    </row>
    <row r="5600" spans="3:4" ht="15" x14ac:dyDescent="0.25">
      <c r="C5600" s="8" t="e">
        <f>VLOOKUP(A:A,'ITEM LIST'!A:C,3,0)</f>
        <v>#N/A</v>
      </c>
      <c r="D5600" s="6">
        <f t="shared" si="88"/>
        <v>0</v>
      </c>
    </row>
    <row r="5601" spans="3:4" ht="15" x14ac:dyDescent="0.25">
      <c r="C5601" s="8" t="e">
        <f>VLOOKUP(A:A,'ITEM LIST'!A:C,3,0)</f>
        <v>#N/A</v>
      </c>
      <c r="D5601" s="6">
        <f t="shared" si="88"/>
        <v>0</v>
      </c>
    </row>
    <row r="5602" spans="3:4" ht="15" x14ac:dyDescent="0.25">
      <c r="C5602" s="8" t="e">
        <f>VLOOKUP(A:A,'ITEM LIST'!A:C,3,0)</f>
        <v>#N/A</v>
      </c>
      <c r="D5602" s="6">
        <f t="shared" si="88"/>
        <v>0</v>
      </c>
    </row>
    <row r="5603" spans="3:4" ht="15" x14ac:dyDescent="0.25">
      <c r="C5603" s="8" t="e">
        <f>VLOOKUP(A:A,'ITEM LIST'!A:C,3,0)</f>
        <v>#N/A</v>
      </c>
      <c r="D5603" s="6">
        <f t="shared" si="88"/>
        <v>0</v>
      </c>
    </row>
    <row r="5604" spans="3:4" ht="15" x14ac:dyDescent="0.25">
      <c r="C5604" s="8" t="e">
        <f>VLOOKUP(A:A,'ITEM LIST'!A:C,3,0)</f>
        <v>#N/A</v>
      </c>
      <c r="D5604" s="6">
        <f t="shared" si="88"/>
        <v>0</v>
      </c>
    </row>
    <row r="5605" spans="3:4" ht="15" x14ac:dyDescent="0.25">
      <c r="C5605" s="8" t="e">
        <f>VLOOKUP(A:A,'ITEM LIST'!A:C,3,0)</f>
        <v>#N/A</v>
      </c>
      <c r="D5605" s="6">
        <f t="shared" si="88"/>
        <v>0</v>
      </c>
    </row>
    <row r="5606" spans="3:4" ht="15" x14ac:dyDescent="0.25">
      <c r="C5606" s="8" t="e">
        <f>VLOOKUP(A:A,'ITEM LIST'!A:C,3,0)</f>
        <v>#N/A</v>
      </c>
      <c r="D5606" s="6">
        <f t="shared" si="88"/>
        <v>0</v>
      </c>
    </row>
    <row r="5607" spans="3:4" ht="15" x14ac:dyDescent="0.25">
      <c r="C5607" s="8" t="e">
        <f>VLOOKUP(A:A,'ITEM LIST'!A:C,3,0)</f>
        <v>#N/A</v>
      </c>
      <c r="D5607" s="6">
        <f t="shared" si="88"/>
        <v>0</v>
      </c>
    </row>
    <row r="5608" spans="3:4" ht="15" x14ac:dyDescent="0.25">
      <c r="C5608" s="8" t="e">
        <f>VLOOKUP(A:A,'ITEM LIST'!A:C,3,0)</f>
        <v>#N/A</v>
      </c>
      <c r="D5608" s="6">
        <f t="shared" si="88"/>
        <v>0</v>
      </c>
    </row>
    <row r="5609" spans="3:4" ht="15" x14ac:dyDescent="0.25">
      <c r="C5609" s="8" t="e">
        <f>VLOOKUP(A:A,'ITEM LIST'!A:C,3,0)</f>
        <v>#N/A</v>
      </c>
      <c r="D5609" s="6">
        <f t="shared" si="88"/>
        <v>0</v>
      </c>
    </row>
    <row r="5610" spans="3:4" ht="15" x14ac:dyDescent="0.25">
      <c r="C5610" s="8" t="e">
        <f>VLOOKUP(A:A,'ITEM LIST'!A:C,3,0)</f>
        <v>#N/A</v>
      </c>
      <c r="D5610" s="6">
        <f t="shared" si="88"/>
        <v>0</v>
      </c>
    </row>
    <row r="5611" spans="3:4" ht="15" x14ac:dyDescent="0.25">
      <c r="C5611" s="8" t="e">
        <f>VLOOKUP(A:A,'ITEM LIST'!A:C,3,0)</f>
        <v>#N/A</v>
      </c>
      <c r="D5611" s="6">
        <f t="shared" si="88"/>
        <v>0</v>
      </c>
    </row>
    <row r="5612" spans="3:4" ht="15" x14ac:dyDescent="0.25">
      <c r="C5612" s="8" t="e">
        <f>VLOOKUP(A:A,'ITEM LIST'!A:C,3,0)</f>
        <v>#N/A</v>
      </c>
      <c r="D5612" s="6">
        <f t="shared" si="88"/>
        <v>0</v>
      </c>
    </row>
    <row r="5613" spans="3:4" ht="15" x14ac:dyDescent="0.25">
      <c r="C5613" s="8" t="e">
        <f>VLOOKUP(A:A,'ITEM LIST'!A:C,3,0)</f>
        <v>#N/A</v>
      </c>
      <c r="D5613" s="6">
        <f t="shared" si="88"/>
        <v>0</v>
      </c>
    </row>
    <row r="5614" spans="3:4" ht="15" x14ac:dyDescent="0.25">
      <c r="C5614" s="8" t="e">
        <f>VLOOKUP(A:A,'ITEM LIST'!A:C,3,0)</f>
        <v>#N/A</v>
      </c>
      <c r="D5614" s="6">
        <f t="shared" si="88"/>
        <v>0</v>
      </c>
    </row>
    <row r="5615" spans="3:4" ht="15" x14ac:dyDescent="0.25">
      <c r="C5615" s="8" t="e">
        <f>VLOOKUP(A:A,'ITEM LIST'!A:C,3,0)</f>
        <v>#N/A</v>
      </c>
      <c r="D5615" s="6">
        <f t="shared" si="88"/>
        <v>0</v>
      </c>
    </row>
    <row r="5616" spans="3:4" ht="15" x14ac:dyDescent="0.25">
      <c r="C5616" s="8" t="e">
        <f>VLOOKUP(A:A,'ITEM LIST'!A:C,3,0)</f>
        <v>#N/A</v>
      </c>
      <c r="D5616" s="6">
        <f t="shared" si="88"/>
        <v>0</v>
      </c>
    </row>
    <row r="5617" spans="3:4" ht="15" x14ac:dyDescent="0.25">
      <c r="C5617" s="8" t="e">
        <f>VLOOKUP(A:A,'ITEM LIST'!A:C,3,0)</f>
        <v>#N/A</v>
      </c>
      <c r="D5617" s="6">
        <f t="shared" si="88"/>
        <v>0</v>
      </c>
    </row>
    <row r="5618" spans="3:4" ht="15" x14ac:dyDescent="0.25">
      <c r="C5618" s="8" t="e">
        <f>VLOOKUP(A:A,'ITEM LIST'!A:C,3,0)</f>
        <v>#N/A</v>
      </c>
      <c r="D5618" s="6">
        <f t="shared" si="88"/>
        <v>0</v>
      </c>
    </row>
    <row r="5619" spans="3:4" ht="15" x14ac:dyDescent="0.25">
      <c r="C5619" s="8" t="e">
        <f>VLOOKUP(A:A,'ITEM LIST'!A:C,3,0)</f>
        <v>#N/A</v>
      </c>
      <c r="D5619" s="6">
        <f t="shared" si="88"/>
        <v>0</v>
      </c>
    </row>
    <row r="5620" spans="3:4" ht="15" x14ac:dyDescent="0.25">
      <c r="C5620" s="8" t="e">
        <f>VLOOKUP(A:A,'ITEM LIST'!A:C,3,0)</f>
        <v>#N/A</v>
      </c>
      <c r="D5620" s="6">
        <f t="shared" si="88"/>
        <v>0</v>
      </c>
    </row>
    <row r="5621" spans="3:4" ht="15" x14ac:dyDescent="0.25">
      <c r="C5621" s="8" t="e">
        <f>VLOOKUP(A:A,'ITEM LIST'!A:C,3,0)</f>
        <v>#N/A</v>
      </c>
      <c r="D5621" s="6">
        <f t="shared" si="88"/>
        <v>0</v>
      </c>
    </row>
    <row r="5622" spans="3:4" ht="15" x14ac:dyDescent="0.25">
      <c r="C5622" s="8" t="e">
        <f>VLOOKUP(A:A,'ITEM LIST'!A:C,3,0)</f>
        <v>#N/A</v>
      </c>
      <c r="D5622" s="6">
        <f t="shared" si="88"/>
        <v>0</v>
      </c>
    </row>
    <row r="5623" spans="3:4" ht="15" x14ac:dyDescent="0.25">
      <c r="C5623" s="8" t="e">
        <f>VLOOKUP(A:A,'ITEM LIST'!A:C,3,0)</f>
        <v>#N/A</v>
      </c>
      <c r="D5623" s="6">
        <f t="shared" si="88"/>
        <v>0</v>
      </c>
    </row>
    <row r="5624" spans="3:4" ht="15" x14ac:dyDescent="0.25">
      <c r="C5624" s="8" t="e">
        <f>VLOOKUP(A:A,'ITEM LIST'!A:C,3,0)</f>
        <v>#N/A</v>
      </c>
      <c r="D5624" s="6">
        <f t="shared" si="88"/>
        <v>0</v>
      </c>
    </row>
    <row r="5625" spans="3:4" ht="15" x14ac:dyDescent="0.25">
      <c r="C5625" s="8" t="e">
        <f>VLOOKUP(A:A,'ITEM LIST'!A:C,3,0)</f>
        <v>#N/A</v>
      </c>
      <c r="D5625" s="6">
        <f t="shared" si="88"/>
        <v>0</v>
      </c>
    </row>
    <row r="5626" spans="3:4" ht="15" x14ac:dyDescent="0.25">
      <c r="C5626" s="8" t="e">
        <f>VLOOKUP(A:A,'ITEM LIST'!A:C,3,0)</f>
        <v>#N/A</v>
      </c>
      <c r="D5626" s="6">
        <f t="shared" si="88"/>
        <v>0</v>
      </c>
    </row>
    <row r="5627" spans="3:4" ht="15" x14ac:dyDescent="0.25">
      <c r="C5627" s="8" t="e">
        <f>VLOOKUP(A:A,'ITEM LIST'!A:C,3,0)</f>
        <v>#N/A</v>
      </c>
      <c r="D5627" s="6">
        <f t="shared" si="88"/>
        <v>0</v>
      </c>
    </row>
    <row r="5628" spans="3:4" ht="15" x14ac:dyDescent="0.25">
      <c r="C5628" s="8" t="e">
        <f>VLOOKUP(A:A,'ITEM LIST'!A:C,3,0)</f>
        <v>#N/A</v>
      </c>
      <c r="D5628" s="6">
        <f t="shared" si="88"/>
        <v>0</v>
      </c>
    </row>
    <row r="5629" spans="3:4" ht="15" x14ac:dyDescent="0.25">
      <c r="C5629" s="8" t="e">
        <f>VLOOKUP(A:A,'ITEM LIST'!A:C,3,0)</f>
        <v>#N/A</v>
      </c>
      <c r="D5629" s="6">
        <f t="shared" si="88"/>
        <v>0</v>
      </c>
    </row>
    <row r="5630" spans="3:4" ht="15" x14ac:dyDescent="0.25">
      <c r="C5630" s="8" t="e">
        <f>VLOOKUP(A:A,'ITEM LIST'!A:C,3,0)</f>
        <v>#N/A</v>
      </c>
      <c r="D5630" s="6">
        <f t="shared" si="88"/>
        <v>0</v>
      </c>
    </row>
    <row r="5631" spans="3:4" ht="15" x14ac:dyDescent="0.25">
      <c r="C5631" s="8" t="e">
        <f>VLOOKUP(A:A,'ITEM LIST'!A:C,3,0)</f>
        <v>#N/A</v>
      </c>
      <c r="D5631" s="6">
        <f t="shared" si="88"/>
        <v>0</v>
      </c>
    </row>
    <row r="5632" spans="3:4" ht="15" x14ac:dyDescent="0.25">
      <c r="C5632" s="8" t="e">
        <f>VLOOKUP(A:A,'ITEM LIST'!A:C,3,0)</f>
        <v>#N/A</v>
      </c>
      <c r="D5632" s="6">
        <f t="shared" si="88"/>
        <v>0</v>
      </c>
    </row>
    <row r="5633" spans="3:4" ht="15" x14ac:dyDescent="0.25">
      <c r="C5633" s="8" t="e">
        <f>VLOOKUP(A:A,'ITEM LIST'!A:C,3,0)</f>
        <v>#N/A</v>
      </c>
      <c r="D5633" s="6">
        <f t="shared" si="88"/>
        <v>0</v>
      </c>
    </row>
    <row r="5634" spans="3:4" ht="15" x14ac:dyDescent="0.25">
      <c r="C5634" s="8" t="e">
        <f>VLOOKUP(A:A,'ITEM LIST'!A:C,3,0)</f>
        <v>#N/A</v>
      </c>
      <c r="D5634" s="6">
        <f t="shared" si="88"/>
        <v>0</v>
      </c>
    </row>
    <row r="5635" spans="3:4" ht="15" x14ac:dyDescent="0.25">
      <c r="C5635" s="8" t="e">
        <f>VLOOKUP(A:A,'ITEM LIST'!A:C,3,0)</f>
        <v>#N/A</v>
      </c>
      <c r="D5635" s="6">
        <f t="shared" si="88"/>
        <v>0</v>
      </c>
    </row>
    <row r="5636" spans="3:4" ht="15" x14ac:dyDescent="0.25">
      <c r="C5636" s="8" t="e">
        <f>VLOOKUP(A:A,'ITEM LIST'!A:C,3,0)</f>
        <v>#N/A</v>
      </c>
      <c r="D5636" s="6">
        <f t="shared" si="88"/>
        <v>0</v>
      </c>
    </row>
    <row r="5637" spans="3:4" ht="15" x14ac:dyDescent="0.25">
      <c r="C5637" s="8" t="e">
        <f>VLOOKUP(A:A,'ITEM LIST'!A:C,3,0)</f>
        <v>#N/A</v>
      </c>
      <c r="D5637" s="6">
        <f t="shared" si="88"/>
        <v>0</v>
      </c>
    </row>
    <row r="5638" spans="3:4" ht="15" x14ac:dyDescent="0.25">
      <c r="C5638" s="8" t="e">
        <f>VLOOKUP(A:A,'ITEM LIST'!A:C,3,0)</f>
        <v>#N/A</v>
      </c>
      <c r="D5638" s="6">
        <f t="shared" ref="D5638:D5701" si="89">B5638</f>
        <v>0</v>
      </c>
    </row>
    <row r="5639" spans="3:4" ht="15" x14ac:dyDescent="0.25">
      <c r="C5639" s="8" t="e">
        <f>VLOOKUP(A:A,'ITEM LIST'!A:C,3,0)</f>
        <v>#N/A</v>
      </c>
      <c r="D5639" s="6">
        <f t="shared" si="89"/>
        <v>0</v>
      </c>
    </row>
    <row r="5640" spans="3:4" ht="15" x14ac:dyDescent="0.25">
      <c r="C5640" s="8" t="e">
        <f>VLOOKUP(A:A,'ITEM LIST'!A:C,3,0)</f>
        <v>#N/A</v>
      </c>
      <c r="D5640" s="6">
        <f t="shared" si="89"/>
        <v>0</v>
      </c>
    </row>
    <row r="5641" spans="3:4" ht="15" x14ac:dyDescent="0.25">
      <c r="C5641" s="8" t="e">
        <f>VLOOKUP(A:A,'ITEM LIST'!A:C,3,0)</f>
        <v>#N/A</v>
      </c>
      <c r="D5641" s="6">
        <f t="shared" si="89"/>
        <v>0</v>
      </c>
    </row>
    <row r="5642" spans="3:4" ht="15" x14ac:dyDescent="0.25">
      <c r="C5642" s="8" t="e">
        <f>VLOOKUP(A:A,'ITEM LIST'!A:C,3,0)</f>
        <v>#N/A</v>
      </c>
      <c r="D5642" s="6">
        <f t="shared" si="89"/>
        <v>0</v>
      </c>
    </row>
    <row r="5643" spans="3:4" ht="15" x14ac:dyDescent="0.25">
      <c r="C5643" s="8" t="e">
        <f>VLOOKUP(A:A,'ITEM LIST'!A:C,3,0)</f>
        <v>#N/A</v>
      </c>
      <c r="D5643" s="6">
        <f t="shared" si="89"/>
        <v>0</v>
      </c>
    </row>
    <row r="5644" spans="3:4" ht="15" x14ac:dyDescent="0.25">
      <c r="C5644" s="8" t="e">
        <f>VLOOKUP(A:A,'ITEM LIST'!A:C,3,0)</f>
        <v>#N/A</v>
      </c>
      <c r="D5644" s="6">
        <f t="shared" si="89"/>
        <v>0</v>
      </c>
    </row>
    <row r="5645" spans="3:4" ht="15" x14ac:dyDescent="0.25">
      <c r="C5645" s="8" t="e">
        <f>VLOOKUP(A:A,'ITEM LIST'!A:C,3,0)</f>
        <v>#N/A</v>
      </c>
      <c r="D5645" s="6">
        <f t="shared" si="89"/>
        <v>0</v>
      </c>
    </row>
    <row r="5646" spans="3:4" ht="15" x14ac:dyDescent="0.25">
      <c r="C5646" s="8" t="e">
        <f>VLOOKUP(A:A,'ITEM LIST'!A:C,3,0)</f>
        <v>#N/A</v>
      </c>
      <c r="D5646" s="6">
        <f t="shared" si="89"/>
        <v>0</v>
      </c>
    </row>
    <row r="5647" spans="3:4" ht="15" x14ac:dyDescent="0.25">
      <c r="C5647" s="8" t="e">
        <f>VLOOKUP(A:A,'ITEM LIST'!A:C,3,0)</f>
        <v>#N/A</v>
      </c>
      <c r="D5647" s="6">
        <f t="shared" si="89"/>
        <v>0</v>
      </c>
    </row>
    <row r="5648" spans="3:4" ht="15" x14ac:dyDescent="0.25">
      <c r="C5648" s="8" t="e">
        <f>VLOOKUP(A:A,'ITEM LIST'!A:C,3,0)</f>
        <v>#N/A</v>
      </c>
      <c r="D5648" s="6">
        <f t="shared" si="89"/>
        <v>0</v>
      </c>
    </row>
    <row r="5649" spans="3:4" ht="15" x14ac:dyDescent="0.25">
      <c r="C5649" s="8" t="e">
        <f>VLOOKUP(A:A,'ITEM LIST'!A:C,3,0)</f>
        <v>#N/A</v>
      </c>
      <c r="D5649" s="6">
        <f t="shared" si="89"/>
        <v>0</v>
      </c>
    </row>
    <row r="5650" spans="3:4" ht="15" x14ac:dyDescent="0.25">
      <c r="C5650" s="8" t="e">
        <f>VLOOKUP(A:A,'ITEM LIST'!A:C,3,0)</f>
        <v>#N/A</v>
      </c>
      <c r="D5650" s="6">
        <f t="shared" si="89"/>
        <v>0</v>
      </c>
    </row>
    <row r="5651" spans="3:4" ht="15" x14ac:dyDescent="0.25">
      <c r="C5651" s="8" t="e">
        <f>VLOOKUP(A:A,'ITEM LIST'!A:C,3,0)</f>
        <v>#N/A</v>
      </c>
      <c r="D5651" s="6">
        <f t="shared" si="89"/>
        <v>0</v>
      </c>
    </row>
    <row r="5652" spans="3:4" ht="15" x14ac:dyDescent="0.25">
      <c r="C5652" s="8" t="e">
        <f>VLOOKUP(A:A,'ITEM LIST'!A:C,3,0)</f>
        <v>#N/A</v>
      </c>
      <c r="D5652" s="6">
        <f t="shared" si="89"/>
        <v>0</v>
      </c>
    </row>
    <row r="5653" spans="3:4" ht="15" x14ac:dyDescent="0.25">
      <c r="C5653" s="8" t="e">
        <f>VLOOKUP(A:A,'ITEM LIST'!A:C,3,0)</f>
        <v>#N/A</v>
      </c>
      <c r="D5653" s="6">
        <f t="shared" si="89"/>
        <v>0</v>
      </c>
    </row>
    <row r="5654" spans="3:4" ht="15" x14ac:dyDescent="0.25">
      <c r="C5654" s="8" t="e">
        <f>VLOOKUP(A:A,'ITEM LIST'!A:C,3,0)</f>
        <v>#N/A</v>
      </c>
      <c r="D5654" s="6">
        <f t="shared" si="89"/>
        <v>0</v>
      </c>
    </row>
    <row r="5655" spans="3:4" ht="15" x14ac:dyDescent="0.25">
      <c r="C5655" s="8" t="e">
        <f>VLOOKUP(A:A,'ITEM LIST'!A:C,3,0)</f>
        <v>#N/A</v>
      </c>
      <c r="D5655" s="6">
        <f t="shared" si="89"/>
        <v>0</v>
      </c>
    </row>
    <row r="5656" spans="3:4" ht="15" x14ac:dyDescent="0.25">
      <c r="C5656" s="8" t="e">
        <f>VLOOKUP(A:A,'ITEM LIST'!A:C,3,0)</f>
        <v>#N/A</v>
      </c>
      <c r="D5656" s="6">
        <f t="shared" si="89"/>
        <v>0</v>
      </c>
    </row>
    <row r="5657" spans="3:4" ht="15" x14ac:dyDescent="0.25">
      <c r="C5657" s="8" t="e">
        <f>VLOOKUP(A:A,'ITEM LIST'!A:C,3,0)</f>
        <v>#N/A</v>
      </c>
      <c r="D5657" s="6">
        <f t="shared" si="89"/>
        <v>0</v>
      </c>
    </row>
    <row r="5658" spans="3:4" ht="15" x14ac:dyDescent="0.25">
      <c r="C5658" s="8" t="e">
        <f>VLOOKUP(A:A,'ITEM LIST'!A:C,3,0)</f>
        <v>#N/A</v>
      </c>
      <c r="D5658" s="6">
        <f t="shared" si="89"/>
        <v>0</v>
      </c>
    </row>
    <row r="5659" spans="3:4" ht="15" x14ac:dyDescent="0.25">
      <c r="C5659" s="8" t="e">
        <f>VLOOKUP(A:A,'ITEM LIST'!A:C,3,0)</f>
        <v>#N/A</v>
      </c>
      <c r="D5659" s="6">
        <f t="shared" si="89"/>
        <v>0</v>
      </c>
    </row>
    <row r="5660" spans="3:4" ht="15" x14ac:dyDescent="0.25">
      <c r="C5660" s="8" t="e">
        <f>VLOOKUP(A:A,'ITEM LIST'!A:C,3,0)</f>
        <v>#N/A</v>
      </c>
      <c r="D5660" s="6">
        <f t="shared" si="89"/>
        <v>0</v>
      </c>
    </row>
    <row r="5661" spans="3:4" ht="15" x14ac:dyDescent="0.25">
      <c r="C5661" s="8" t="e">
        <f>VLOOKUP(A:A,'ITEM LIST'!A:C,3,0)</f>
        <v>#N/A</v>
      </c>
      <c r="D5661" s="6">
        <f t="shared" si="89"/>
        <v>0</v>
      </c>
    </row>
    <row r="5662" spans="3:4" ht="15" x14ac:dyDescent="0.25">
      <c r="C5662" s="8" t="e">
        <f>VLOOKUP(A:A,'ITEM LIST'!A:C,3,0)</f>
        <v>#N/A</v>
      </c>
      <c r="D5662" s="6">
        <f t="shared" si="89"/>
        <v>0</v>
      </c>
    </row>
    <row r="5663" spans="3:4" ht="15" x14ac:dyDescent="0.25">
      <c r="C5663" s="8" t="e">
        <f>VLOOKUP(A:A,'ITEM LIST'!A:C,3,0)</f>
        <v>#N/A</v>
      </c>
      <c r="D5663" s="6">
        <f t="shared" si="89"/>
        <v>0</v>
      </c>
    </row>
    <row r="5664" spans="3:4" ht="15" x14ac:dyDescent="0.25">
      <c r="C5664" s="8" t="e">
        <f>VLOOKUP(A:A,'ITEM LIST'!A:C,3,0)</f>
        <v>#N/A</v>
      </c>
      <c r="D5664" s="6">
        <f t="shared" si="89"/>
        <v>0</v>
      </c>
    </row>
    <row r="5665" spans="3:4" ht="15" x14ac:dyDescent="0.25">
      <c r="C5665" s="8" t="e">
        <f>VLOOKUP(A:A,'ITEM LIST'!A:C,3,0)</f>
        <v>#N/A</v>
      </c>
      <c r="D5665" s="6">
        <f t="shared" si="89"/>
        <v>0</v>
      </c>
    </row>
    <row r="5666" spans="3:4" ht="15" x14ac:dyDescent="0.25">
      <c r="C5666" s="8" t="e">
        <f>VLOOKUP(A:A,'ITEM LIST'!A:C,3,0)</f>
        <v>#N/A</v>
      </c>
      <c r="D5666" s="6">
        <f t="shared" si="89"/>
        <v>0</v>
      </c>
    </row>
    <row r="5667" spans="3:4" ht="15" x14ac:dyDescent="0.25">
      <c r="C5667" s="8" t="e">
        <f>VLOOKUP(A:A,'ITEM LIST'!A:C,3,0)</f>
        <v>#N/A</v>
      </c>
      <c r="D5667" s="6">
        <f t="shared" si="89"/>
        <v>0</v>
      </c>
    </row>
    <row r="5668" spans="3:4" ht="15" x14ac:dyDescent="0.25">
      <c r="C5668" s="8" t="e">
        <f>VLOOKUP(A:A,'ITEM LIST'!A:C,3,0)</f>
        <v>#N/A</v>
      </c>
      <c r="D5668" s="6">
        <f t="shared" si="89"/>
        <v>0</v>
      </c>
    </row>
    <row r="5669" spans="3:4" ht="15" x14ac:dyDescent="0.25">
      <c r="C5669" s="8" t="e">
        <f>VLOOKUP(A:A,'ITEM LIST'!A:C,3,0)</f>
        <v>#N/A</v>
      </c>
      <c r="D5669" s="6">
        <f t="shared" si="89"/>
        <v>0</v>
      </c>
    </row>
    <row r="5670" spans="3:4" ht="15" x14ac:dyDescent="0.25">
      <c r="C5670" s="8" t="e">
        <f>VLOOKUP(A:A,'ITEM LIST'!A:C,3,0)</f>
        <v>#N/A</v>
      </c>
      <c r="D5670" s="6">
        <f t="shared" si="89"/>
        <v>0</v>
      </c>
    </row>
    <row r="5671" spans="3:4" ht="15" x14ac:dyDescent="0.25">
      <c r="C5671" s="8" t="e">
        <f>VLOOKUP(A:A,'ITEM LIST'!A:C,3,0)</f>
        <v>#N/A</v>
      </c>
      <c r="D5671" s="6">
        <f t="shared" si="89"/>
        <v>0</v>
      </c>
    </row>
    <row r="5672" spans="3:4" ht="15" x14ac:dyDescent="0.25">
      <c r="C5672" s="8" t="e">
        <f>VLOOKUP(A:A,'ITEM LIST'!A:C,3,0)</f>
        <v>#N/A</v>
      </c>
      <c r="D5672" s="6">
        <f t="shared" si="89"/>
        <v>0</v>
      </c>
    </row>
    <row r="5673" spans="3:4" ht="15" x14ac:dyDescent="0.25">
      <c r="C5673" s="8" t="e">
        <f>VLOOKUP(A:A,'ITEM LIST'!A:C,3,0)</f>
        <v>#N/A</v>
      </c>
      <c r="D5673" s="6">
        <f t="shared" si="89"/>
        <v>0</v>
      </c>
    </row>
    <row r="5674" spans="3:4" ht="15" x14ac:dyDescent="0.25">
      <c r="C5674" s="8" t="e">
        <f>VLOOKUP(A:A,'ITEM LIST'!A:C,3,0)</f>
        <v>#N/A</v>
      </c>
      <c r="D5674" s="6">
        <f t="shared" si="89"/>
        <v>0</v>
      </c>
    </row>
    <row r="5675" spans="3:4" ht="15" x14ac:dyDescent="0.25">
      <c r="C5675" s="8" t="e">
        <f>VLOOKUP(A:A,'ITEM LIST'!A:C,3,0)</f>
        <v>#N/A</v>
      </c>
      <c r="D5675" s="6">
        <f t="shared" si="89"/>
        <v>0</v>
      </c>
    </row>
    <row r="5676" spans="3:4" ht="15" x14ac:dyDescent="0.25">
      <c r="C5676" s="8" t="e">
        <f>VLOOKUP(A:A,'ITEM LIST'!A:C,3,0)</f>
        <v>#N/A</v>
      </c>
      <c r="D5676" s="6">
        <f t="shared" si="89"/>
        <v>0</v>
      </c>
    </row>
    <row r="5677" spans="3:4" ht="15" x14ac:dyDescent="0.25">
      <c r="C5677" s="8" t="e">
        <f>VLOOKUP(A:A,'ITEM LIST'!A:C,3,0)</f>
        <v>#N/A</v>
      </c>
      <c r="D5677" s="6">
        <f t="shared" si="89"/>
        <v>0</v>
      </c>
    </row>
    <row r="5678" spans="3:4" ht="15" x14ac:dyDescent="0.25">
      <c r="C5678" s="8" t="e">
        <f>VLOOKUP(A:A,'ITEM LIST'!A:C,3,0)</f>
        <v>#N/A</v>
      </c>
      <c r="D5678" s="6">
        <f t="shared" si="89"/>
        <v>0</v>
      </c>
    </row>
    <row r="5679" spans="3:4" ht="15" x14ac:dyDescent="0.25">
      <c r="C5679" s="8" t="e">
        <f>VLOOKUP(A:A,'ITEM LIST'!A:C,3,0)</f>
        <v>#N/A</v>
      </c>
      <c r="D5679" s="6">
        <f t="shared" si="89"/>
        <v>0</v>
      </c>
    </row>
    <row r="5680" spans="3:4" ht="15" x14ac:dyDescent="0.25">
      <c r="C5680" s="8" t="e">
        <f>VLOOKUP(A:A,'ITEM LIST'!A:C,3,0)</f>
        <v>#N/A</v>
      </c>
      <c r="D5680" s="6">
        <f t="shared" si="89"/>
        <v>0</v>
      </c>
    </row>
    <row r="5681" spans="3:4" ht="15" x14ac:dyDescent="0.25">
      <c r="C5681" s="8" t="e">
        <f>VLOOKUP(A:A,'ITEM LIST'!A:C,3,0)</f>
        <v>#N/A</v>
      </c>
      <c r="D5681" s="6">
        <f t="shared" si="89"/>
        <v>0</v>
      </c>
    </row>
    <row r="5682" spans="3:4" ht="15" x14ac:dyDescent="0.25">
      <c r="C5682" s="8" t="e">
        <f>VLOOKUP(A:A,'ITEM LIST'!A:C,3,0)</f>
        <v>#N/A</v>
      </c>
      <c r="D5682" s="6">
        <f t="shared" si="89"/>
        <v>0</v>
      </c>
    </row>
    <row r="5683" spans="3:4" ht="15" x14ac:dyDescent="0.25">
      <c r="C5683" s="8" t="e">
        <f>VLOOKUP(A:A,'ITEM LIST'!A:C,3,0)</f>
        <v>#N/A</v>
      </c>
      <c r="D5683" s="6">
        <f t="shared" si="89"/>
        <v>0</v>
      </c>
    </row>
    <row r="5684" spans="3:4" ht="15" x14ac:dyDescent="0.25">
      <c r="C5684" s="8" t="e">
        <f>VLOOKUP(A:A,'ITEM LIST'!A:C,3,0)</f>
        <v>#N/A</v>
      </c>
      <c r="D5684" s="6">
        <f t="shared" si="89"/>
        <v>0</v>
      </c>
    </row>
    <row r="5685" spans="3:4" ht="15" x14ac:dyDescent="0.25">
      <c r="C5685" s="8" t="e">
        <f>VLOOKUP(A:A,'ITEM LIST'!A:C,3,0)</f>
        <v>#N/A</v>
      </c>
      <c r="D5685" s="6">
        <f t="shared" si="89"/>
        <v>0</v>
      </c>
    </row>
    <row r="5686" spans="3:4" ht="15" x14ac:dyDescent="0.25">
      <c r="C5686" s="8" t="e">
        <f>VLOOKUP(A:A,'ITEM LIST'!A:C,3,0)</f>
        <v>#N/A</v>
      </c>
      <c r="D5686" s="6">
        <f t="shared" si="89"/>
        <v>0</v>
      </c>
    </row>
    <row r="5687" spans="3:4" ht="15" x14ac:dyDescent="0.25">
      <c r="C5687" s="8" t="e">
        <f>VLOOKUP(A:A,'ITEM LIST'!A:C,3,0)</f>
        <v>#N/A</v>
      </c>
      <c r="D5687" s="6">
        <f t="shared" si="89"/>
        <v>0</v>
      </c>
    </row>
    <row r="5688" spans="3:4" ht="15" x14ac:dyDescent="0.25">
      <c r="C5688" s="8" t="e">
        <f>VLOOKUP(A:A,'ITEM LIST'!A:C,3,0)</f>
        <v>#N/A</v>
      </c>
      <c r="D5688" s="6">
        <f t="shared" si="89"/>
        <v>0</v>
      </c>
    </row>
    <row r="5689" spans="3:4" ht="15" x14ac:dyDescent="0.25">
      <c r="C5689" s="8" t="e">
        <f>VLOOKUP(A:A,'ITEM LIST'!A:C,3,0)</f>
        <v>#N/A</v>
      </c>
      <c r="D5689" s="6">
        <f t="shared" si="89"/>
        <v>0</v>
      </c>
    </row>
    <row r="5690" spans="3:4" ht="15" x14ac:dyDescent="0.25">
      <c r="C5690" s="8" t="e">
        <f>VLOOKUP(A:A,'ITEM LIST'!A:C,3,0)</f>
        <v>#N/A</v>
      </c>
      <c r="D5690" s="6">
        <f t="shared" si="89"/>
        <v>0</v>
      </c>
    </row>
    <row r="5691" spans="3:4" ht="15" x14ac:dyDescent="0.25">
      <c r="C5691" s="8" t="e">
        <f>VLOOKUP(A:A,'ITEM LIST'!A:C,3,0)</f>
        <v>#N/A</v>
      </c>
      <c r="D5691" s="6">
        <f t="shared" si="89"/>
        <v>0</v>
      </c>
    </row>
    <row r="5692" spans="3:4" ht="15" x14ac:dyDescent="0.25">
      <c r="C5692" s="8" t="e">
        <f>VLOOKUP(A:A,'ITEM LIST'!A:C,3,0)</f>
        <v>#N/A</v>
      </c>
      <c r="D5692" s="6">
        <f t="shared" si="89"/>
        <v>0</v>
      </c>
    </row>
    <row r="5693" spans="3:4" ht="15" x14ac:dyDescent="0.25">
      <c r="C5693" s="8" t="e">
        <f>VLOOKUP(A:A,'ITEM LIST'!A:C,3,0)</f>
        <v>#N/A</v>
      </c>
      <c r="D5693" s="6">
        <f t="shared" si="89"/>
        <v>0</v>
      </c>
    </row>
    <row r="5694" spans="3:4" ht="15" x14ac:dyDescent="0.25">
      <c r="C5694" s="8" t="e">
        <f>VLOOKUP(A:A,'ITEM LIST'!A:C,3,0)</f>
        <v>#N/A</v>
      </c>
      <c r="D5694" s="6">
        <f t="shared" si="89"/>
        <v>0</v>
      </c>
    </row>
    <row r="5695" spans="3:4" ht="15" x14ac:dyDescent="0.25">
      <c r="C5695" s="8" t="e">
        <f>VLOOKUP(A:A,'ITEM LIST'!A:C,3,0)</f>
        <v>#N/A</v>
      </c>
      <c r="D5695" s="6">
        <f t="shared" si="89"/>
        <v>0</v>
      </c>
    </row>
    <row r="5696" spans="3:4" ht="15" x14ac:dyDescent="0.25">
      <c r="C5696" s="8" t="e">
        <f>VLOOKUP(A:A,'ITEM LIST'!A:C,3,0)</f>
        <v>#N/A</v>
      </c>
      <c r="D5696" s="6">
        <f t="shared" si="89"/>
        <v>0</v>
      </c>
    </row>
    <row r="5697" spans="3:4" ht="15" x14ac:dyDescent="0.25">
      <c r="C5697" s="8" t="e">
        <f>VLOOKUP(A:A,'ITEM LIST'!A:C,3,0)</f>
        <v>#N/A</v>
      </c>
      <c r="D5697" s="6">
        <f t="shared" si="89"/>
        <v>0</v>
      </c>
    </row>
    <row r="5698" spans="3:4" ht="15" x14ac:dyDescent="0.25">
      <c r="C5698" s="8" t="e">
        <f>VLOOKUP(A:A,'ITEM LIST'!A:C,3,0)</f>
        <v>#N/A</v>
      </c>
      <c r="D5698" s="6">
        <f t="shared" si="89"/>
        <v>0</v>
      </c>
    </row>
    <row r="5699" spans="3:4" ht="15" x14ac:dyDescent="0.25">
      <c r="C5699" s="8" t="e">
        <f>VLOOKUP(A:A,'ITEM LIST'!A:C,3,0)</f>
        <v>#N/A</v>
      </c>
      <c r="D5699" s="6">
        <f t="shared" si="89"/>
        <v>0</v>
      </c>
    </row>
    <row r="5700" spans="3:4" ht="15" x14ac:dyDescent="0.25">
      <c r="C5700" s="8" t="e">
        <f>VLOOKUP(A:A,'ITEM LIST'!A:C,3,0)</f>
        <v>#N/A</v>
      </c>
      <c r="D5700" s="6">
        <f t="shared" si="89"/>
        <v>0</v>
      </c>
    </row>
    <row r="5701" spans="3:4" ht="15" x14ac:dyDescent="0.25">
      <c r="C5701" s="8" t="e">
        <f>VLOOKUP(A:A,'ITEM LIST'!A:C,3,0)</f>
        <v>#N/A</v>
      </c>
      <c r="D5701" s="6">
        <f t="shared" si="89"/>
        <v>0</v>
      </c>
    </row>
    <row r="5702" spans="3:4" ht="15" x14ac:dyDescent="0.25">
      <c r="C5702" s="8" t="e">
        <f>VLOOKUP(A:A,'ITEM LIST'!A:C,3,0)</f>
        <v>#N/A</v>
      </c>
      <c r="D5702" s="6">
        <f t="shared" ref="D5702:D5765" si="90">B5702</f>
        <v>0</v>
      </c>
    </row>
    <row r="5703" spans="3:4" ht="15" x14ac:dyDescent="0.25">
      <c r="C5703" s="8" t="e">
        <f>VLOOKUP(A:A,'ITEM LIST'!A:C,3,0)</f>
        <v>#N/A</v>
      </c>
      <c r="D5703" s="6">
        <f t="shared" si="90"/>
        <v>0</v>
      </c>
    </row>
    <row r="5704" spans="3:4" ht="15" x14ac:dyDescent="0.25">
      <c r="C5704" s="8" t="e">
        <f>VLOOKUP(A:A,'ITEM LIST'!A:C,3,0)</f>
        <v>#N/A</v>
      </c>
      <c r="D5704" s="6">
        <f t="shared" si="90"/>
        <v>0</v>
      </c>
    </row>
    <row r="5705" spans="3:4" ht="15" x14ac:dyDescent="0.25">
      <c r="C5705" s="8" t="e">
        <f>VLOOKUP(A:A,'ITEM LIST'!A:C,3,0)</f>
        <v>#N/A</v>
      </c>
      <c r="D5705" s="6">
        <f t="shared" si="90"/>
        <v>0</v>
      </c>
    </row>
    <row r="5706" spans="3:4" ht="15" x14ac:dyDescent="0.25">
      <c r="C5706" s="8" t="e">
        <f>VLOOKUP(A:A,'ITEM LIST'!A:C,3,0)</f>
        <v>#N/A</v>
      </c>
      <c r="D5706" s="6">
        <f t="shared" si="90"/>
        <v>0</v>
      </c>
    </row>
    <row r="5707" spans="3:4" ht="15" x14ac:dyDescent="0.25">
      <c r="C5707" s="8" t="e">
        <f>VLOOKUP(A:A,'ITEM LIST'!A:C,3,0)</f>
        <v>#N/A</v>
      </c>
      <c r="D5707" s="6">
        <f t="shared" si="90"/>
        <v>0</v>
      </c>
    </row>
    <row r="5708" spans="3:4" ht="15" x14ac:dyDescent="0.25">
      <c r="C5708" s="8" t="e">
        <f>VLOOKUP(A:A,'ITEM LIST'!A:C,3,0)</f>
        <v>#N/A</v>
      </c>
      <c r="D5708" s="6">
        <f t="shared" si="90"/>
        <v>0</v>
      </c>
    </row>
    <row r="5709" spans="3:4" ht="15" x14ac:dyDescent="0.25">
      <c r="C5709" s="8" t="e">
        <f>VLOOKUP(A:A,'ITEM LIST'!A:C,3,0)</f>
        <v>#N/A</v>
      </c>
      <c r="D5709" s="6">
        <f t="shared" si="90"/>
        <v>0</v>
      </c>
    </row>
    <row r="5710" spans="3:4" ht="15" x14ac:dyDescent="0.25">
      <c r="C5710" s="8" t="e">
        <f>VLOOKUP(A:A,'ITEM LIST'!A:C,3,0)</f>
        <v>#N/A</v>
      </c>
      <c r="D5710" s="6">
        <f t="shared" si="90"/>
        <v>0</v>
      </c>
    </row>
    <row r="5711" spans="3:4" ht="15" x14ac:dyDescent="0.25">
      <c r="C5711" s="8" t="e">
        <f>VLOOKUP(A:A,'ITEM LIST'!A:C,3,0)</f>
        <v>#N/A</v>
      </c>
      <c r="D5711" s="6">
        <f t="shared" si="90"/>
        <v>0</v>
      </c>
    </row>
    <row r="5712" spans="3:4" ht="15" x14ac:dyDescent="0.25">
      <c r="C5712" s="8" t="e">
        <f>VLOOKUP(A:A,'ITEM LIST'!A:C,3,0)</f>
        <v>#N/A</v>
      </c>
      <c r="D5712" s="6">
        <f t="shared" si="90"/>
        <v>0</v>
      </c>
    </row>
    <row r="5713" spans="3:4" ht="15" x14ac:dyDescent="0.25">
      <c r="C5713" s="8" t="e">
        <f>VLOOKUP(A:A,'ITEM LIST'!A:C,3,0)</f>
        <v>#N/A</v>
      </c>
      <c r="D5713" s="6">
        <f t="shared" si="90"/>
        <v>0</v>
      </c>
    </row>
    <row r="5714" spans="3:4" ht="15" x14ac:dyDescent="0.25">
      <c r="C5714" s="8" t="e">
        <f>VLOOKUP(A:A,'ITEM LIST'!A:C,3,0)</f>
        <v>#N/A</v>
      </c>
      <c r="D5714" s="6">
        <f t="shared" si="90"/>
        <v>0</v>
      </c>
    </row>
    <row r="5715" spans="3:4" ht="15" x14ac:dyDescent="0.25">
      <c r="C5715" s="8" t="e">
        <f>VLOOKUP(A:A,'ITEM LIST'!A:C,3,0)</f>
        <v>#N/A</v>
      </c>
      <c r="D5715" s="6">
        <f t="shared" si="90"/>
        <v>0</v>
      </c>
    </row>
    <row r="5716" spans="3:4" ht="15" x14ac:dyDescent="0.25">
      <c r="C5716" s="8" t="e">
        <f>VLOOKUP(A:A,'ITEM LIST'!A:C,3,0)</f>
        <v>#N/A</v>
      </c>
      <c r="D5716" s="6">
        <f t="shared" si="90"/>
        <v>0</v>
      </c>
    </row>
    <row r="5717" spans="3:4" ht="15" x14ac:dyDescent="0.25">
      <c r="C5717" s="8" t="e">
        <f>VLOOKUP(A:A,'ITEM LIST'!A:C,3,0)</f>
        <v>#N/A</v>
      </c>
      <c r="D5717" s="6">
        <f t="shared" si="90"/>
        <v>0</v>
      </c>
    </row>
    <row r="5718" spans="3:4" ht="15" x14ac:dyDescent="0.25">
      <c r="C5718" s="8" t="e">
        <f>VLOOKUP(A:A,'ITEM LIST'!A:C,3,0)</f>
        <v>#N/A</v>
      </c>
      <c r="D5718" s="6">
        <f t="shared" si="90"/>
        <v>0</v>
      </c>
    </row>
    <row r="5719" spans="3:4" ht="15" x14ac:dyDescent="0.25">
      <c r="C5719" s="8" t="e">
        <f>VLOOKUP(A:A,'ITEM LIST'!A:C,3,0)</f>
        <v>#N/A</v>
      </c>
      <c r="D5719" s="6">
        <f t="shared" si="90"/>
        <v>0</v>
      </c>
    </row>
    <row r="5720" spans="3:4" ht="15" x14ac:dyDescent="0.25">
      <c r="C5720" s="8" t="e">
        <f>VLOOKUP(A:A,'ITEM LIST'!A:C,3,0)</f>
        <v>#N/A</v>
      </c>
      <c r="D5720" s="6">
        <f t="shared" si="90"/>
        <v>0</v>
      </c>
    </row>
    <row r="5721" spans="3:4" ht="15" x14ac:dyDescent="0.25">
      <c r="C5721" s="8" t="e">
        <f>VLOOKUP(A:A,'ITEM LIST'!A:C,3,0)</f>
        <v>#N/A</v>
      </c>
      <c r="D5721" s="6">
        <f t="shared" si="90"/>
        <v>0</v>
      </c>
    </row>
    <row r="5722" spans="3:4" ht="15" x14ac:dyDescent="0.25">
      <c r="C5722" s="8" t="e">
        <f>VLOOKUP(A:A,'ITEM LIST'!A:C,3,0)</f>
        <v>#N/A</v>
      </c>
      <c r="D5722" s="6">
        <f t="shared" si="90"/>
        <v>0</v>
      </c>
    </row>
    <row r="5723" spans="3:4" ht="15" x14ac:dyDescent="0.25">
      <c r="C5723" s="8" t="e">
        <f>VLOOKUP(A:A,'ITEM LIST'!A:C,3,0)</f>
        <v>#N/A</v>
      </c>
      <c r="D5723" s="6">
        <f t="shared" si="90"/>
        <v>0</v>
      </c>
    </row>
    <row r="5724" spans="3:4" ht="15" x14ac:dyDescent="0.25">
      <c r="C5724" s="8" t="e">
        <f>VLOOKUP(A:A,'ITEM LIST'!A:C,3,0)</f>
        <v>#N/A</v>
      </c>
      <c r="D5724" s="6">
        <f t="shared" si="90"/>
        <v>0</v>
      </c>
    </row>
    <row r="5725" spans="3:4" ht="15" x14ac:dyDescent="0.25">
      <c r="C5725" s="8" t="e">
        <f>VLOOKUP(A:A,'ITEM LIST'!A:C,3,0)</f>
        <v>#N/A</v>
      </c>
      <c r="D5725" s="6">
        <f t="shared" si="90"/>
        <v>0</v>
      </c>
    </row>
    <row r="5726" spans="3:4" ht="15" x14ac:dyDescent="0.25">
      <c r="C5726" s="8" t="e">
        <f>VLOOKUP(A:A,'ITEM LIST'!A:C,3,0)</f>
        <v>#N/A</v>
      </c>
      <c r="D5726" s="6">
        <f t="shared" si="90"/>
        <v>0</v>
      </c>
    </row>
    <row r="5727" spans="3:4" ht="15" x14ac:dyDescent="0.25">
      <c r="C5727" s="8" t="e">
        <f>VLOOKUP(A:A,'ITEM LIST'!A:C,3,0)</f>
        <v>#N/A</v>
      </c>
      <c r="D5727" s="6">
        <f t="shared" si="90"/>
        <v>0</v>
      </c>
    </row>
    <row r="5728" spans="3:4" ht="15" x14ac:dyDescent="0.25">
      <c r="C5728" s="8" t="e">
        <f>VLOOKUP(A:A,'ITEM LIST'!A:C,3,0)</f>
        <v>#N/A</v>
      </c>
      <c r="D5728" s="6">
        <f t="shared" si="90"/>
        <v>0</v>
      </c>
    </row>
    <row r="5729" spans="3:4" ht="15" x14ac:dyDescent="0.25">
      <c r="C5729" s="8" t="e">
        <f>VLOOKUP(A:A,'ITEM LIST'!A:C,3,0)</f>
        <v>#N/A</v>
      </c>
      <c r="D5729" s="6">
        <f t="shared" si="90"/>
        <v>0</v>
      </c>
    </row>
    <row r="5730" spans="3:4" ht="15" x14ac:dyDescent="0.25">
      <c r="C5730" s="8" t="e">
        <f>VLOOKUP(A:A,'ITEM LIST'!A:C,3,0)</f>
        <v>#N/A</v>
      </c>
      <c r="D5730" s="6">
        <f t="shared" si="90"/>
        <v>0</v>
      </c>
    </row>
    <row r="5731" spans="3:4" ht="15" x14ac:dyDescent="0.25">
      <c r="C5731" s="8" t="e">
        <f>VLOOKUP(A:A,'ITEM LIST'!A:C,3,0)</f>
        <v>#N/A</v>
      </c>
      <c r="D5731" s="6">
        <f t="shared" si="90"/>
        <v>0</v>
      </c>
    </row>
    <row r="5732" spans="3:4" ht="15" x14ac:dyDescent="0.25">
      <c r="C5732" s="8" t="e">
        <f>VLOOKUP(A:A,'ITEM LIST'!A:C,3,0)</f>
        <v>#N/A</v>
      </c>
      <c r="D5732" s="6">
        <f t="shared" si="90"/>
        <v>0</v>
      </c>
    </row>
    <row r="5733" spans="3:4" ht="15" x14ac:dyDescent="0.25">
      <c r="C5733" s="8" t="e">
        <f>VLOOKUP(A:A,'ITEM LIST'!A:C,3,0)</f>
        <v>#N/A</v>
      </c>
      <c r="D5733" s="6">
        <f t="shared" si="90"/>
        <v>0</v>
      </c>
    </row>
    <row r="5734" spans="3:4" ht="15" x14ac:dyDescent="0.25">
      <c r="C5734" s="8" t="e">
        <f>VLOOKUP(A:A,'ITEM LIST'!A:C,3,0)</f>
        <v>#N/A</v>
      </c>
      <c r="D5734" s="6">
        <f t="shared" si="90"/>
        <v>0</v>
      </c>
    </row>
    <row r="5735" spans="3:4" ht="15" x14ac:dyDescent="0.25">
      <c r="C5735" s="8" t="e">
        <f>VLOOKUP(A:A,'ITEM LIST'!A:C,3,0)</f>
        <v>#N/A</v>
      </c>
      <c r="D5735" s="6">
        <f t="shared" si="90"/>
        <v>0</v>
      </c>
    </row>
    <row r="5736" spans="3:4" ht="15" x14ac:dyDescent="0.25">
      <c r="C5736" s="8" t="e">
        <f>VLOOKUP(A:A,'ITEM LIST'!A:C,3,0)</f>
        <v>#N/A</v>
      </c>
      <c r="D5736" s="6">
        <f t="shared" si="90"/>
        <v>0</v>
      </c>
    </row>
    <row r="5737" spans="3:4" ht="15" x14ac:dyDescent="0.25">
      <c r="C5737" s="8" t="e">
        <f>VLOOKUP(A:A,'ITEM LIST'!A:C,3,0)</f>
        <v>#N/A</v>
      </c>
      <c r="D5737" s="6">
        <f t="shared" si="90"/>
        <v>0</v>
      </c>
    </row>
    <row r="5738" spans="3:4" ht="15" x14ac:dyDescent="0.25">
      <c r="C5738" s="8" t="e">
        <f>VLOOKUP(A:A,'ITEM LIST'!A:C,3,0)</f>
        <v>#N/A</v>
      </c>
      <c r="D5738" s="6">
        <f t="shared" si="90"/>
        <v>0</v>
      </c>
    </row>
    <row r="5739" spans="3:4" ht="15" x14ac:dyDescent="0.25">
      <c r="C5739" s="8" t="e">
        <f>VLOOKUP(A:A,'ITEM LIST'!A:C,3,0)</f>
        <v>#N/A</v>
      </c>
      <c r="D5739" s="6">
        <f t="shared" si="90"/>
        <v>0</v>
      </c>
    </row>
    <row r="5740" spans="3:4" ht="15" x14ac:dyDescent="0.25">
      <c r="C5740" s="8" t="e">
        <f>VLOOKUP(A:A,'ITEM LIST'!A:C,3,0)</f>
        <v>#N/A</v>
      </c>
      <c r="D5740" s="6">
        <f t="shared" si="90"/>
        <v>0</v>
      </c>
    </row>
    <row r="5741" spans="3:4" ht="15" x14ac:dyDescent="0.25">
      <c r="C5741" s="8" t="e">
        <f>VLOOKUP(A:A,'ITEM LIST'!A:C,3,0)</f>
        <v>#N/A</v>
      </c>
      <c r="D5741" s="6">
        <f t="shared" si="90"/>
        <v>0</v>
      </c>
    </row>
    <row r="5742" spans="3:4" ht="15" x14ac:dyDescent="0.25">
      <c r="C5742" s="8" t="e">
        <f>VLOOKUP(A:A,'ITEM LIST'!A:C,3,0)</f>
        <v>#N/A</v>
      </c>
      <c r="D5742" s="6">
        <f t="shared" si="90"/>
        <v>0</v>
      </c>
    </row>
    <row r="5743" spans="3:4" ht="15" x14ac:dyDescent="0.25">
      <c r="C5743" s="8" t="e">
        <f>VLOOKUP(A:A,'ITEM LIST'!A:C,3,0)</f>
        <v>#N/A</v>
      </c>
      <c r="D5743" s="6">
        <f t="shared" si="90"/>
        <v>0</v>
      </c>
    </row>
    <row r="5744" spans="3:4" ht="15" x14ac:dyDescent="0.25">
      <c r="C5744" s="8" t="e">
        <f>VLOOKUP(A:A,'ITEM LIST'!A:C,3,0)</f>
        <v>#N/A</v>
      </c>
      <c r="D5744" s="6">
        <f t="shared" si="90"/>
        <v>0</v>
      </c>
    </row>
    <row r="5745" spans="3:4" ht="15" x14ac:dyDescent="0.25">
      <c r="C5745" s="8" t="e">
        <f>VLOOKUP(A:A,'ITEM LIST'!A:C,3,0)</f>
        <v>#N/A</v>
      </c>
      <c r="D5745" s="6">
        <f t="shared" si="90"/>
        <v>0</v>
      </c>
    </row>
    <row r="5746" spans="3:4" ht="15" x14ac:dyDescent="0.25">
      <c r="C5746" s="8" t="e">
        <f>VLOOKUP(A:A,'ITEM LIST'!A:C,3,0)</f>
        <v>#N/A</v>
      </c>
      <c r="D5746" s="6">
        <f t="shared" si="90"/>
        <v>0</v>
      </c>
    </row>
    <row r="5747" spans="3:4" ht="15" x14ac:dyDescent="0.25">
      <c r="C5747" s="8" t="e">
        <f>VLOOKUP(A:A,'ITEM LIST'!A:C,3,0)</f>
        <v>#N/A</v>
      </c>
      <c r="D5747" s="6">
        <f t="shared" si="90"/>
        <v>0</v>
      </c>
    </row>
    <row r="5748" spans="3:4" ht="15" x14ac:dyDescent="0.25">
      <c r="C5748" s="8" t="e">
        <f>VLOOKUP(A:A,'ITEM LIST'!A:C,3,0)</f>
        <v>#N/A</v>
      </c>
      <c r="D5748" s="6">
        <f t="shared" si="90"/>
        <v>0</v>
      </c>
    </row>
    <row r="5749" spans="3:4" ht="15" x14ac:dyDescent="0.25">
      <c r="C5749" s="8" t="e">
        <f>VLOOKUP(A:A,'ITEM LIST'!A:C,3,0)</f>
        <v>#N/A</v>
      </c>
      <c r="D5749" s="6">
        <f t="shared" si="90"/>
        <v>0</v>
      </c>
    </row>
    <row r="5750" spans="3:4" ht="15" x14ac:dyDescent="0.25">
      <c r="C5750" s="8" t="e">
        <f>VLOOKUP(A:A,'ITEM LIST'!A:C,3,0)</f>
        <v>#N/A</v>
      </c>
      <c r="D5750" s="6">
        <f t="shared" si="90"/>
        <v>0</v>
      </c>
    </row>
    <row r="5751" spans="3:4" ht="15" x14ac:dyDescent="0.25">
      <c r="C5751" s="8" t="e">
        <f>VLOOKUP(A:A,'ITEM LIST'!A:C,3,0)</f>
        <v>#N/A</v>
      </c>
      <c r="D5751" s="6">
        <f t="shared" si="90"/>
        <v>0</v>
      </c>
    </row>
    <row r="5752" spans="3:4" ht="15" x14ac:dyDescent="0.25">
      <c r="C5752" s="8" t="e">
        <f>VLOOKUP(A:A,'ITEM LIST'!A:C,3,0)</f>
        <v>#N/A</v>
      </c>
      <c r="D5752" s="6">
        <f t="shared" si="90"/>
        <v>0</v>
      </c>
    </row>
    <row r="5753" spans="3:4" ht="15" x14ac:dyDescent="0.25">
      <c r="C5753" s="8" t="e">
        <f>VLOOKUP(A:A,'ITEM LIST'!A:C,3,0)</f>
        <v>#N/A</v>
      </c>
      <c r="D5753" s="6">
        <f t="shared" si="90"/>
        <v>0</v>
      </c>
    </row>
    <row r="5754" spans="3:4" ht="15" x14ac:dyDescent="0.25">
      <c r="C5754" s="8" t="e">
        <f>VLOOKUP(A:A,'ITEM LIST'!A:C,3,0)</f>
        <v>#N/A</v>
      </c>
      <c r="D5754" s="6">
        <f t="shared" si="90"/>
        <v>0</v>
      </c>
    </row>
    <row r="5755" spans="3:4" ht="15" x14ac:dyDescent="0.25">
      <c r="C5755" s="8" t="e">
        <f>VLOOKUP(A:A,'ITEM LIST'!A:C,3,0)</f>
        <v>#N/A</v>
      </c>
      <c r="D5755" s="6">
        <f t="shared" si="90"/>
        <v>0</v>
      </c>
    </row>
    <row r="5756" spans="3:4" ht="15" x14ac:dyDescent="0.25">
      <c r="C5756" s="8" t="e">
        <f>VLOOKUP(A:A,'ITEM LIST'!A:C,3,0)</f>
        <v>#N/A</v>
      </c>
      <c r="D5756" s="6">
        <f t="shared" si="90"/>
        <v>0</v>
      </c>
    </row>
    <row r="5757" spans="3:4" ht="15" x14ac:dyDescent="0.25">
      <c r="C5757" s="8" t="e">
        <f>VLOOKUP(A:A,'ITEM LIST'!A:C,3,0)</f>
        <v>#N/A</v>
      </c>
      <c r="D5757" s="6">
        <f t="shared" si="90"/>
        <v>0</v>
      </c>
    </row>
    <row r="5758" spans="3:4" ht="15" x14ac:dyDescent="0.25">
      <c r="C5758" s="8" t="e">
        <f>VLOOKUP(A:A,'ITEM LIST'!A:C,3,0)</f>
        <v>#N/A</v>
      </c>
      <c r="D5758" s="6">
        <f t="shared" si="90"/>
        <v>0</v>
      </c>
    </row>
    <row r="5759" spans="3:4" ht="15" x14ac:dyDescent="0.25">
      <c r="C5759" s="8" t="e">
        <f>VLOOKUP(A:A,'ITEM LIST'!A:C,3,0)</f>
        <v>#N/A</v>
      </c>
      <c r="D5759" s="6">
        <f t="shared" si="90"/>
        <v>0</v>
      </c>
    </row>
    <row r="5760" spans="3:4" ht="15" x14ac:dyDescent="0.25">
      <c r="C5760" s="8" t="e">
        <f>VLOOKUP(A:A,'ITEM LIST'!A:C,3,0)</f>
        <v>#N/A</v>
      </c>
      <c r="D5760" s="6">
        <f t="shared" si="90"/>
        <v>0</v>
      </c>
    </row>
    <row r="5761" spans="3:4" ht="15" x14ac:dyDescent="0.25">
      <c r="C5761" s="8" t="e">
        <f>VLOOKUP(A:A,'ITEM LIST'!A:C,3,0)</f>
        <v>#N/A</v>
      </c>
      <c r="D5761" s="6">
        <f t="shared" si="90"/>
        <v>0</v>
      </c>
    </row>
    <row r="5762" spans="3:4" ht="15" x14ac:dyDescent="0.25">
      <c r="C5762" s="8" t="e">
        <f>VLOOKUP(A:A,'ITEM LIST'!A:C,3,0)</f>
        <v>#N/A</v>
      </c>
      <c r="D5762" s="6">
        <f t="shared" si="90"/>
        <v>0</v>
      </c>
    </row>
    <row r="5763" spans="3:4" ht="15" x14ac:dyDescent="0.25">
      <c r="C5763" s="8" t="e">
        <f>VLOOKUP(A:A,'ITEM LIST'!A:C,3,0)</f>
        <v>#N/A</v>
      </c>
      <c r="D5763" s="6">
        <f t="shared" si="90"/>
        <v>0</v>
      </c>
    </row>
    <row r="5764" spans="3:4" ht="15" x14ac:dyDescent="0.25">
      <c r="C5764" s="8" t="e">
        <f>VLOOKUP(A:A,'ITEM LIST'!A:C,3,0)</f>
        <v>#N/A</v>
      </c>
      <c r="D5764" s="6">
        <f t="shared" si="90"/>
        <v>0</v>
      </c>
    </row>
    <row r="5765" spans="3:4" ht="15" x14ac:dyDescent="0.25">
      <c r="C5765" s="8" t="e">
        <f>VLOOKUP(A:A,'ITEM LIST'!A:C,3,0)</f>
        <v>#N/A</v>
      </c>
      <c r="D5765" s="6">
        <f t="shared" si="90"/>
        <v>0</v>
      </c>
    </row>
    <row r="5766" spans="3:4" ht="15" x14ac:dyDescent="0.25">
      <c r="C5766" s="8" t="e">
        <f>VLOOKUP(A:A,'ITEM LIST'!A:C,3,0)</f>
        <v>#N/A</v>
      </c>
      <c r="D5766" s="6">
        <f t="shared" ref="D5766:D5829" si="91">B5766</f>
        <v>0</v>
      </c>
    </row>
    <row r="5767" spans="3:4" ht="15" x14ac:dyDescent="0.25">
      <c r="C5767" s="8" t="e">
        <f>VLOOKUP(A:A,'ITEM LIST'!A:C,3,0)</f>
        <v>#N/A</v>
      </c>
      <c r="D5767" s="6">
        <f t="shared" si="91"/>
        <v>0</v>
      </c>
    </row>
    <row r="5768" spans="3:4" ht="15" x14ac:dyDescent="0.25">
      <c r="C5768" s="8" t="e">
        <f>VLOOKUP(A:A,'ITEM LIST'!A:C,3,0)</f>
        <v>#N/A</v>
      </c>
      <c r="D5768" s="6">
        <f t="shared" si="91"/>
        <v>0</v>
      </c>
    </row>
    <row r="5769" spans="3:4" ht="15" x14ac:dyDescent="0.25">
      <c r="C5769" s="8" t="e">
        <f>VLOOKUP(A:A,'ITEM LIST'!A:C,3,0)</f>
        <v>#N/A</v>
      </c>
      <c r="D5769" s="6">
        <f t="shared" si="91"/>
        <v>0</v>
      </c>
    </row>
    <row r="5770" spans="3:4" ht="15" x14ac:dyDescent="0.25">
      <c r="C5770" s="8" t="e">
        <f>VLOOKUP(A:A,'ITEM LIST'!A:C,3,0)</f>
        <v>#N/A</v>
      </c>
      <c r="D5770" s="6">
        <f t="shared" si="91"/>
        <v>0</v>
      </c>
    </row>
    <row r="5771" spans="3:4" ht="15" x14ac:dyDescent="0.25">
      <c r="C5771" s="8" t="e">
        <f>VLOOKUP(A:A,'ITEM LIST'!A:C,3,0)</f>
        <v>#N/A</v>
      </c>
      <c r="D5771" s="6">
        <f t="shared" si="91"/>
        <v>0</v>
      </c>
    </row>
    <row r="5772" spans="3:4" ht="15" x14ac:dyDescent="0.25">
      <c r="C5772" s="8" t="e">
        <f>VLOOKUP(A:A,'ITEM LIST'!A:C,3,0)</f>
        <v>#N/A</v>
      </c>
      <c r="D5772" s="6">
        <f t="shared" si="91"/>
        <v>0</v>
      </c>
    </row>
    <row r="5773" spans="3:4" ht="15" x14ac:dyDescent="0.25">
      <c r="C5773" s="8" t="e">
        <f>VLOOKUP(A:A,'ITEM LIST'!A:C,3,0)</f>
        <v>#N/A</v>
      </c>
      <c r="D5773" s="6">
        <f t="shared" si="91"/>
        <v>0</v>
      </c>
    </row>
    <row r="5774" spans="3:4" ht="15" x14ac:dyDescent="0.25">
      <c r="C5774" s="8" t="e">
        <f>VLOOKUP(A:A,'ITEM LIST'!A:C,3,0)</f>
        <v>#N/A</v>
      </c>
      <c r="D5774" s="6">
        <f t="shared" si="91"/>
        <v>0</v>
      </c>
    </row>
    <row r="5775" spans="3:4" ht="15" x14ac:dyDescent="0.25">
      <c r="C5775" s="8" t="e">
        <f>VLOOKUP(A:A,'ITEM LIST'!A:C,3,0)</f>
        <v>#N/A</v>
      </c>
      <c r="D5775" s="6">
        <f t="shared" si="91"/>
        <v>0</v>
      </c>
    </row>
    <row r="5776" spans="3:4" ht="15" x14ac:dyDescent="0.25">
      <c r="C5776" s="8" t="e">
        <f>VLOOKUP(A:A,'ITEM LIST'!A:C,3,0)</f>
        <v>#N/A</v>
      </c>
      <c r="D5776" s="6">
        <f t="shared" si="91"/>
        <v>0</v>
      </c>
    </row>
    <row r="5777" spans="3:4" ht="15" x14ac:dyDescent="0.25">
      <c r="C5777" s="8" t="e">
        <f>VLOOKUP(A:A,'ITEM LIST'!A:C,3,0)</f>
        <v>#N/A</v>
      </c>
      <c r="D5777" s="6">
        <f t="shared" si="91"/>
        <v>0</v>
      </c>
    </row>
    <row r="5778" spans="3:4" ht="15" x14ac:dyDescent="0.25">
      <c r="C5778" s="8" t="e">
        <f>VLOOKUP(A:A,'ITEM LIST'!A:C,3,0)</f>
        <v>#N/A</v>
      </c>
      <c r="D5778" s="6">
        <f t="shared" si="91"/>
        <v>0</v>
      </c>
    </row>
    <row r="5779" spans="3:4" ht="15" x14ac:dyDescent="0.25">
      <c r="C5779" s="8" t="e">
        <f>VLOOKUP(A:A,'ITEM LIST'!A:C,3,0)</f>
        <v>#N/A</v>
      </c>
      <c r="D5779" s="6">
        <f t="shared" si="91"/>
        <v>0</v>
      </c>
    </row>
    <row r="5780" spans="3:4" ht="15" x14ac:dyDescent="0.25">
      <c r="C5780" s="8" t="e">
        <f>VLOOKUP(A:A,'ITEM LIST'!A:C,3,0)</f>
        <v>#N/A</v>
      </c>
      <c r="D5780" s="6">
        <f t="shared" si="91"/>
        <v>0</v>
      </c>
    </row>
    <row r="5781" spans="3:4" ht="15" x14ac:dyDescent="0.25">
      <c r="C5781" s="8" t="e">
        <f>VLOOKUP(A:A,'ITEM LIST'!A:C,3,0)</f>
        <v>#N/A</v>
      </c>
      <c r="D5781" s="6">
        <f t="shared" si="91"/>
        <v>0</v>
      </c>
    </row>
    <row r="5782" spans="3:4" ht="15" x14ac:dyDescent="0.25">
      <c r="C5782" s="8" t="e">
        <f>VLOOKUP(A:A,'ITEM LIST'!A:C,3,0)</f>
        <v>#N/A</v>
      </c>
      <c r="D5782" s="6">
        <f t="shared" si="91"/>
        <v>0</v>
      </c>
    </row>
    <row r="5783" spans="3:4" ht="15" x14ac:dyDescent="0.25">
      <c r="C5783" s="8" t="e">
        <f>VLOOKUP(A:A,'ITEM LIST'!A:C,3,0)</f>
        <v>#N/A</v>
      </c>
      <c r="D5783" s="6">
        <f t="shared" si="91"/>
        <v>0</v>
      </c>
    </row>
    <row r="5784" spans="3:4" ht="15" x14ac:dyDescent="0.25">
      <c r="C5784" s="8" t="e">
        <f>VLOOKUP(A:A,'ITEM LIST'!A:C,3,0)</f>
        <v>#N/A</v>
      </c>
      <c r="D5784" s="6">
        <f t="shared" si="91"/>
        <v>0</v>
      </c>
    </row>
    <row r="5785" spans="3:4" ht="15" x14ac:dyDescent="0.25">
      <c r="C5785" s="8" t="e">
        <f>VLOOKUP(A:A,'ITEM LIST'!A:C,3,0)</f>
        <v>#N/A</v>
      </c>
      <c r="D5785" s="6">
        <f t="shared" si="91"/>
        <v>0</v>
      </c>
    </row>
    <row r="5786" spans="3:4" ht="15" x14ac:dyDescent="0.25">
      <c r="C5786" s="8" t="e">
        <f>VLOOKUP(A:A,'ITEM LIST'!A:C,3,0)</f>
        <v>#N/A</v>
      </c>
      <c r="D5786" s="6">
        <f t="shared" si="91"/>
        <v>0</v>
      </c>
    </row>
    <row r="5787" spans="3:4" ht="15" x14ac:dyDescent="0.25">
      <c r="C5787" s="8" t="e">
        <f>VLOOKUP(A:A,'ITEM LIST'!A:C,3,0)</f>
        <v>#N/A</v>
      </c>
      <c r="D5787" s="6">
        <f t="shared" si="91"/>
        <v>0</v>
      </c>
    </row>
    <row r="5788" spans="3:4" ht="15" x14ac:dyDescent="0.25">
      <c r="C5788" s="8" t="e">
        <f>VLOOKUP(A:A,'ITEM LIST'!A:C,3,0)</f>
        <v>#N/A</v>
      </c>
      <c r="D5788" s="6">
        <f t="shared" si="91"/>
        <v>0</v>
      </c>
    </row>
    <row r="5789" spans="3:4" ht="15" x14ac:dyDescent="0.25">
      <c r="C5789" s="8" t="e">
        <f>VLOOKUP(A:A,'ITEM LIST'!A:C,3,0)</f>
        <v>#N/A</v>
      </c>
      <c r="D5789" s="6">
        <f t="shared" si="91"/>
        <v>0</v>
      </c>
    </row>
    <row r="5790" spans="3:4" ht="15" x14ac:dyDescent="0.25">
      <c r="C5790" s="8" t="e">
        <f>VLOOKUP(A:A,'ITEM LIST'!A:C,3,0)</f>
        <v>#N/A</v>
      </c>
      <c r="D5790" s="6">
        <f t="shared" si="91"/>
        <v>0</v>
      </c>
    </row>
    <row r="5791" spans="3:4" ht="15" x14ac:dyDescent="0.25">
      <c r="C5791" s="8" t="e">
        <f>VLOOKUP(A:A,'ITEM LIST'!A:C,3,0)</f>
        <v>#N/A</v>
      </c>
      <c r="D5791" s="6">
        <f t="shared" si="91"/>
        <v>0</v>
      </c>
    </row>
    <row r="5792" spans="3:4" ht="15" x14ac:dyDescent="0.25">
      <c r="C5792" s="8" t="e">
        <f>VLOOKUP(A:A,'ITEM LIST'!A:C,3,0)</f>
        <v>#N/A</v>
      </c>
      <c r="D5792" s="6">
        <f t="shared" si="91"/>
        <v>0</v>
      </c>
    </row>
    <row r="5793" spans="3:4" ht="15" x14ac:dyDescent="0.25">
      <c r="C5793" s="8" t="e">
        <f>VLOOKUP(A:A,'ITEM LIST'!A:C,3,0)</f>
        <v>#N/A</v>
      </c>
      <c r="D5793" s="6">
        <f t="shared" si="91"/>
        <v>0</v>
      </c>
    </row>
    <row r="5794" spans="3:4" ht="15" x14ac:dyDescent="0.25">
      <c r="C5794" s="8" t="e">
        <f>VLOOKUP(A:A,'ITEM LIST'!A:C,3,0)</f>
        <v>#N/A</v>
      </c>
      <c r="D5794" s="6">
        <f t="shared" si="91"/>
        <v>0</v>
      </c>
    </row>
    <row r="5795" spans="3:4" ht="15" x14ac:dyDescent="0.25">
      <c r="C5795" s="8" t="e">
        <f>VLOOKUP(A:A,'ITEM LIST'!A:C,3,0)</f>
        <v>#N/A</v>
      </c>
      <c r="D5795" s="6">
        <f t="shared" si="91"/>
        <v>0</v>
      </c>
    </row>
    <row r="5796" spans="3:4" ht="15" x14ac:dyDescent="0.25">
      <c r="C5796" s="8" t="e">
        <f>VLOOKUP(A:A,'ITEM LIST'!A:C,3,0)</f>
        <v>#N/A</v>
      </c>
      <c r="D5796" s="6">
        <f t="shared" si="91"/>
        <v>0</v>
      </c>
    </row>
    <row r="5797" spans="3:4" ht="15" x14ac:dyDescent="0.25">
      <c r="C5797" s="8" t="e">
        <f>VLOOKUP(A:A,'ITEM LIST'!A:C,3,0)</f>
        <v>#N/A</v>
      </c>
      <c r="D5797" s="6">
        <f t="shared" si="91"/>
        <v>0</v>
      </c>
    </row>
    <row r="5798" spans="3:4" ht="15" x14ac:dyDescent="0.25">
      <c r="C5798" s="8" t="e">
        <f>VLOOKUP(A:A,'ITEM LIST'!A:C,3,0)</f>
        <v>#N/A</v>
      </c>
      <c r="D5798" s="6">
        <f t="shared" si="91"/>
        <v>0</v>
      </c>
    </row>
    <row r="5799" spans="3:4" ht="15" x14ac:dyDescent="0.25">
      <c r="C5799" s="8" t="e">
        <f>VLOOKUP(A:A,'ITEM LIST'!A:C,3,0)</f>
        <v>#N/A</v>
      </c>
      <c r="D5799" s="6">
        <f t="shared" si="91"/>
        <v>0</v>
      </c>
    </row>
    <row r="5800" spans="3:4" ht="15" x14ac:dyDescent="0.25">
      <c r="C5800" s="8" t="e">
        <f>VLOOKUP(A:A,'ITEM LIST'!A:C,3,0)</f>
        <v>#N/A</v>
      </c>
      <c r="D5800" s="6">
        <f t="shared" si="91"/>
        <v>0</v>
      </c>
    </row>
    <row r="5801" spans="3:4" ht="15" x14ac:dyDescent="0.25">
      <c r="C5801" s="8" t="e">
        <f>VLOOKUP(A:A,'ITEM LIST'!A:C,3,0)</f>
        <v>#N/A</v>
      </c>
      <c r="D5801" s="6">
        <f t="shared" si="91"/>
        <v>0</v>
      </c>
    </row>
    <row r="5802" spans="3:4" ht="15" x14ac:dyDescent="0.25">
      <c r="C5802" s="8" t="e">
        <f>VLOOKUP(A:A,'ITEM LIST'!A:C,3,0)</f>
        <v>#N/A</v>
      </c>
      <c r="D5802" s="6">
        <f t="shared" si="91"/>
        <v>0</v>
      </c>
    </row>
    <row r="5803" spans="3:4" ht="15" x14ac:dyDescent="0.25">
      <c r="C5803" s="8" t="e">
        <f>VLOOKUP(A:A,'ITEM LIST'!A:C,3,0)</f>
        <v>#N/A</v>
      </c>
      <c r="D5803" s="6">
        <f t="shared" si="91"/>
        <v>0</v>
      </c>
    </row>
    <row r="5804" spans="3:4" ht="15" x14ac:dyDescent="0.25">
      <c r="C5804" s="8" t="e">
        <f>VLOOKUP(A:A,'ITEM LIST'!A:C,3,0)</f>
        <v>#N/A</v>
      </c>
      <c r="D5804" s="6">
        <f t="shared" si="91"/>
        <v>0</v>
      </c>
    </row>
    <row r="5805" spans="3:4" ht="15" x14ac:dyDescent="0.25">
      <c r="C5805" s="8" t="e">
        <f>VLOOKUP(A:A,'ITEM LIST'!A:C,3,0)</f>
        <v>#N/A</v>
      </c>
      <c r="D5805" s="6">
        <f t="shared" si="91"/>
        <v>0</v>
      </c>
    </row>
    <row r="5806" spans="3:4" ht="15" x14ac:dyDescent="0.25">
      <c r="C5806" s="8" t="e">
        <f>VLOOKUP(A:A,'ITEM LIST'!A:C,3,0)</f>
        <v>#N/A</v>
      </c>
      <c r="D5806" s="6">
        <f t="shared" si="91"/>
        <v>0</v>
      </c>
    </row>
    <row r="5807" spans="3:4" ht="15" x14ac:dyDescent="0.25">
      <c r="C5807" s="8" t="e">
        <f>VLOOKUP(A:A,'ITEM LIST'!A:C,3,0)</f>
        <v>#N/A</v>
      </c>
      <c r="D5807" s="6">
        <f t="shared" si="91"/>
        <v>0</v>
      </c>
    </row>
    <row r="5808" spans="3:4" ht="15" x14ac:dyDescent="0.25">
      <c r="C5808" s="8" t="e">
        <f>VLOOKUP(A:A,'ITEM LIST'!A:C,3,0)</f>
        <v>#N/A</v>
      </c>
      <c r="D5808" s="6">
        <f t="shared" si="91"/>
        <v>0</v>
      </c>
    </row>
    <row r="5809" spans="3:4" ht="15" x14ac:dyDescent="0.25">
      <c r="C5809" s="8" t="e">
        <f>VLOOKUP(A:A,'ITEM LIST'!A:C,3,0)</f>
        <v>#N/A</v>
      </c>
      <c r="D5809" s="6">
        <f t="shared" si="91"/>
        <v>0</v>
      </c>
    </row>
    <row r="5810" spans="3:4" ht="15" x14ac:dyDescent="0.25">
      <c r="C5810" s="8" t="e">
        <f>VLOOKUP(A:A,'ITEM LIST'!A:C,3,0)</f>
        <v>#N/A</v>
      </c>
      <c r="D5810" s="6">
        <f t="shared" si="91"/>
        <v>0</v>
      </c>
    </row>
    <row r="5811" spans="3:4" ht="15" x14ac:dyDescent="0.25">
      <c r="C5811" s="8" t="e">
        <f>VLOOKUP(A:A,'ITEM LIST'!A:C,3,0)</f>
        <v>#N/A</v>
      </c>
      <c r="D5811" s="6">
        <f t="shared" si="91"/>
        <v>0</v>
      </c>
    </row>
    <row r="5812" spans="3:4" ht="15" x14ac:dyDescent="0.25">
      <c r="C5812" s="8" t="e">
        <f>VLOOKUP(A:A,'ITEM LIST'!A:C,3,0)</f>
        <v>#N/A</v>
      </c>
      <c r="D5812" s="6">
        <f t="shared" si="91"/>
        <v>0</v>
      </c>
    </row>
    <row r="5813" spans="3:4" ht="15" x14ac:dyDescent="0.25">
      <c r="C5813" s="8" t="e">
        <f>VLOOKUP(A:A,'ITEM LIST'!A:C,3,0)</f>
        <v>#N/A</v>
      </c>
      <c r="D5813" s="6">
        <f t="shared" si="91"/>
        <v>0</v>
      </c>
    </row>
    <row r="5814" spans="3:4" ht="15" x14ac:dyDescent="0.25">
      <c r="C5814" s="8" t="e">
        <f>VLOOKUP(A:A,'ITEM LIST'!A:C,3,0)</f>
        <v>#N/A</v>
      </c>
      <c r="D5814" s="6">
        <f t="shared" si="91"/>
        <v>0</v>
      </c>
    </row>
    <row r="5815" spans="3:4" ht="15" x14ac:dyDescent="0.25">
      <c r="C5815" s="8" t="e">
        <f>VLOOKUP(A:A,'ITEM LIST'!A:C,3,0)</f>
        <v>#N/A</v>
      </c>
      <c r="D5815" s="6">
        <f t="shared" si="91"/>
        <v>0</v>
      </c>
    </row>
    <row r="5816" spans="3:4" ht="15" x14ac:dyDescent="0.25">
      <c r="C5816" s="8" t="e">
        <f>VLOOKUP(A:A,'ITEM LIST'!A:C,3,0)</f>
        <v>#N/A</v>
      </c>
      <c r="D5816" s="6">
        <f t="shared" si="91"/>
        <v>0</v>
      </c>
    </row>
    <row r="5817" spans="3:4" ht="15" x14ac:dyDescent="0.25">
      <c r="C5817" s="8" t="e">
        <f>VLOOKUP(A:A,'ITEM LIST'!A:C,3,0)</f>
        <v>#N/A</v>
      </c>
      <c r="D5817" s="6">
        <f t="shared" si="91"/>
        <v>0</v>
      </c>
    </row>
    <row r="5818" spans="3:4" ht="15" x14ac:dyDescent="0.25">
      <c r="C5818" s="8" t="e">
        <f>VLOOKUP(A:A,'ITEM LIST'!A:C,3,0)</f>
        <v>#N/A</v>
      </c>
      <c r="D5818" s="6">
        <f t="shared" si="91"/>
        <v>0</v>
      </c>
    </row>
    <row r="5819" spans="3:4" ht="15" x14ac:dyDescent="0.25">
      <c r="C5819" s="8" t="e">
        <f>VLOOKUP(A:A,'ITEM LIST'!A:C,3,0)</f>
        <v>#N/A</v>
      </c>
      <c r="D5819" s="6">
        <f t="shared" si="91"/>
        <v>0</v>
      </c>
    </row>
    <row r="5820" spans="3:4" ht="15" x14ac:dyDescent="0.25">
      <c r="C5820" s="8" t="e">
        <f>VLOOKUP(A:A,'ITEM LIST'!A:C,3,0)</f>
        <v>#N/A</v>
      </c>
      <c r="D5820" s="6">
        <f t="shared" si="91"/>
        <v>0</v>
      </c>
    </row>
    <row r="5821" spans="3:4" ht="15" x14ac:dyDescent="0.25">
      <c r="C5821" s="8" t="e">
        <f>VLOOKUP(A:A,'ITEM LIST'!A:C,3,0)</f>
        <v>#N/A</v>
      </c>
      <c r="D5821" s="6">
        <f t="shared" si="91"/>
        <v>0</v>
      </c>
    </row>
    <row r="5822" spans="3:4" ht="15" x14ac:dyDescent="0.25">
      <c r="C5822" s="8" t="e">
        <f>VLOOKUP(A:A,'ITEM LIST'!A:C,3,0)</f>
        <v>#N/A</v>
      </c>
      <c r="D5822" s="6">
        <f t="shared" si="91"/>
        <v>0</v>
      </c>
    </row>
    <row r="5823" spans="3:4" ht="15" x14ac:dyDescent="0.25">
      <c r="C5823" s="8" t="e">
        <f>VLOOKUP(A:A,'ITEM LIST'!A:C,3,0)</f>
        <v>#N/A</v>
      </c>
      <c r="D5823" s="6">
        <f t="shared" si="91"/>
        <v>0</v>
      </c>
    </row>
    <row r="5824" spans="3:4" ht="15" x14ac:dyDescent="0.25">
      <c r="C5824" s="8" t="e">
        <f>VLOOKUP(A:A,'ITEM LIST'!A:C,3,0)</f>
        <v>#N/A</v>
      </c>
      <c r="D5824" s="6">
        <f t="shared" si="91"/>
        <v>0</v>
      </c>
    </row>
    <row r="5825" spans="3:4" ht="15" x14ac:dyDescent="0.25">
      <c r="C5825" s="8" t="e">
        <f>VLOOKUP(A:A,'ITEM LIST'!A:C,3,0)</f>
        <v>#N/A</v>
      </c>
      <c r="D5825" s="6">
        <f t="shared" si="91"/>
        <v>0</v>
      </c>
    </row>
    <row r="5826" spans="3:4" ht="15" x14ac:dyDescent="0.25">
      <c r="C5826" s="8" t="e">
        <f>VLOOKUP(A:A,'ITEM LIST'!A:C,3,0)</f>
        <v>#N/A</v>
      </c>
      <c r="D5826" s="6">
        <f t="shared" si="91"/>
        <v>0</v>
      </c>
    </row>
    <row r="5827" spans="3:4" ht="15" x14ac:dyDescent="0.25">
      <c r="C5827" s="8" t="e">
        <f>VLOOKUP(A:A,'ITEM LIST'!A:C,3,0)</f>
        <v>#N/A</v>
      </c>
      <c r="D5827" s="6">
        <f t="shared" si="91"/>
        <v>0</v>
      </c>
    </row>
    <row r="5828" spans="3:4" ht="15" x14ac:dyDescent="0.25">
      <c r="C5828" s="8" t="e">
        <f>VLOOKUP(A:A,'ITEM LIST'!A:C,3,0)</f>
        <v>#N/A</v>
      </c>
      <c r="D5828" s="6">
        <f t="shared" si="91"/>
        <v>0</v>
      </c>
    </row>
    <row r="5829" spans="3:4" ht="15" x14ac:dyDescent="0.25">
      <c r="C5829" s="8" t="e">
        <f>VLOOKUP(A:A,'ITEM LIST'!A:C,3,0)</f>
        <v>#N/A</v>
      </c>
      <c r="D5829" s="6">
        <f t="shared" si="91"/>
        <v>0</v>
      </c>
    </row>
    <row r="5830" spans="3:4" ht="15" x14ac:dyDescent="0.25">
      <c r="C5830" s="8" t="e">
        <f>VLOOKUP(A:A,'ITEM LIST'!A:C,3,0)</f>
        <v>#N/A</v>
      </c>
      <c r="D5830" s="6">
        <f t="shared" ref="D5830:D5893" si="92">B5830</f>
        <v>0</v>
      </c>
    </row>
    <row r="5831" spans="3:4" ht="15" x14ac:dyDescent="0.25">
      <c r="C5831" s="8" t="e">
        <f>VLOOKUP(A:A,'ITEM LIST'!A:C,3,0)</f>
        <v>#N/A</v>
      </c>
      <c r="D5831" s="6">
        <f t="shared" si="92"/>
        <v>0</v>
      </c>
    </row>
    <row r="5832" spans="3:4" ht="15" x14ac:dyDescent="0.25">
      <c r="C5832" s="8" t="e">
        <f>VLOOKUP(A:A,'ITEM LIST'!A:C,3,0)</f>
        <v>#N/A</v>
      </c>
      <c r="D5832" s="6">
        <f t="shared" si="92"/>
        <v>0</v>
      </c>
    </row>
    <row r="5833" spans="3:4" ht="15" x14ac:dyDescent="0.25">
      <c r="C5833" s="8" t="e">
        <f>VLOOKUP(A:A,'ITEM LIST'!A:C,3,0)</f>
        <v>#N/A</v>
      </c>
      <c r="D5833" s="6">
        <f t="shared" si="92"/>
        <v>0</v>
      </c>
    </row>
    <row r="5834" spans="3:4" ht="15" x14ac:dyDescent="0.25">
      <c r="C5834" s="8" t="e">
        <f>VLOOKUP(A:A,'ITEM LIST'!A:C,3,0)</f>
        <v>#N/A</v>
      </c>
      <c r="D5834" s="6">
        <f t="shared" si="92"/>
        <v>0</v>
      </c>
    </row>
    <row r="5835" spans="3:4" ht="15" x14ac:dyDescent="0.25">
      <c r="C5835" s="8" t="e">
        <f>VLOOKUP(A:A,'ITEM LIST'!A:C,3,0)</f>
        <v>#N/A</v>
      </c>
      <c r="D5835" s="6">
        <f t="shared" si="92"/>
        <v>0</v>
      </c>
    </row>
    <row r="5836" spans="3:4" ht="15" x14ac:dyDescent="0.25">
      <c r="C5836" s="8" t="e">
        <f>VLOOKUP(A:A,'ITEM LIST'!A:C,3,0)</f>
        <v>#N/A</v>
      </c>
      <c r="D5836" s="6">
        <f t="shared" si="92"/>
        <v>0</v>
      </c>
    </row>
    <row r="5837" spans="3:4" ht="15" x14ac:dyDescent="0.25">
      <c r="C5837" s="8" t="e">
        <f>VLOOKUP(A:A,'ITEM LIST'!A:C,3,0)</f>
        <v>#N/A</v>
      </c>
      <c r="D5837" s="6">
        <f t="shared" si="92"/>
        <v>0</v>
      </c>
    </row>
    <row r="5838" spans="3:4" ht="15" x14ac:dyDescent="0.25">
      <c r="C5838" s="8" t="e">
        <f>VLOOKUP(A:A,'ITEM LIST'!A:C,3,0)</f>
        <v>#N/A</v>
      </c>
      <c r="D5838" s="6">
        <f t="shared" si="92"/>
        <v>0</v>
      </c>
    </row>
    <row r="5839" spans="3:4" ht="15" x14ac:dyDescent="0.25">
      <c r="C5839" s="8" t="e">
        <f>VLOOKUP(A:A,'ITEM LIST'!A:C,3,0)</f>
        <v>#N/A</v>
      </c>
      <c r="D5839" s="6">
        <f t="shared" si="92"/>
        <v>0</v>
      </c>
    </row>
    <row r="5840" spans="3:4" ht="15" x14ac:dyDescent="0.25">
      <c r="C5840" s="8" t="e">
        <f>VLOOKUP(A:A,'ITEM LIST'!A:C,3,0)</f>
        <v>#N/A</v>
      </c>
      <c r="D5840" s="6">
        <f t="shared" si="92"/>
        <v>0</v>
      </c>
    </row>
    <row r="5841" spans="3:4" ht="15" x14ac:dyDescent="0.25">
      <c r="C5841" s="8" t="e">
        <f>VLOOKUP(A:A,'ITEM LIST'!A:C,3,0)</f>
        <v>#N/A</v>
      </c>
      <c r="D5841" s="6">
        <f t="shared" si="92"/>
        <v>0</v>
      </c>
    </row>
    <row r="5842" spans="3:4" ht="15" x14ac:dyDescent="0.25">
      <c r="C5842" s="8" t="e">
        <f>VLOOKUP(A:A,'ITEM LIST'!A:C,3,0)</f>
        <v>#N/A</v>
      </c>
      <c r="D5842" s="6">
        <f t="shared" si="92"/>
        <v>0</v>
      </c>
    </row>
    <row r="5843" spans="3:4" ht="15" x14ac:dyDescent="0.25">
      <c r="C5843" s="8" t="e">
        <f>VLOOKUP(A:A,'ITEM LIST'!A:C,3,0)</f>
        <v>#N/A</v>
      </c>
      <c r="D5843" s="6">
        <f t="shared" si="92"/>
        <v>0</v>
      </c>
    </row>
    <row r="5844" spans="3:4" ht="15" x14ac:dyDescent="0.25">
      <c r="C5844" s="8" t="e">
        <f>VLOOKUP(A:A,'ITEM LIST'!A:C,3,0)</f>
        <v>#N/A</v>
      </c>
      <c r="D5844" s="6">
        <f t="shared" si="92"/>
        <v>0</v>
      </c>
    </row>
    <row r="5845" spans="3:4" ht="15" x14ac:dyDescent="0.25">
      <c r="C5845" s="8" t="e">
        <f>VLOOKUP(A:A,'ITEM LIST'!A:C,3,0)</f>
        <v>#N/A</v>
      </c>
      <c r="D5845" s="6">
        <f t="shared" si="92"/>
        <v>0</v>
      </c>
    </row>
    <row r="5846" spans="3:4" ht="15" x14ac:dyDescent="0.25">
      <c r="C5846" s="8" t="e">
        <f>VLOOKUP(A:A,'ITEM LIST'!A:C,3,0)</f>
        <v>#N/A</v>
      </c>
      <c r="D5846" s="6">
        <f t="shared" si="92"/>
        <v>0</v>
      </c>
    </row>
    <row r="5847" spans="3:4" ht="15" x14ac:dyDescent="0.25">
      <c r="C5847" s="8" t="e">
        <f>VLOOKUP(A:A,'ITEM LIST'!A:C,3,0)</f>
        <v>#N/A</v>
      </c>
      <c r="D5847" s="6">
        <f t="shared" si="92"/>
        <v>0</v>
      </c>
    </row>
    <row r="5848" spans="3:4" ht="15" x14ac:dyDescent="0.25">
      <c r="C5848" s="8" t="e">
        <f>VLOOKUP(A:A,'ITEM LIST'!A:C,3,0)</f>
        <v>#N/A</v>
      </c>
      <c r="D5848" s="6">
        <f t="shared" si="92"/>
        <v>0</v>
      </c>
    </row>
    <row r="5849" spans="3:4" ht="15" x14ac:dyDescent="0.25">
      <c r="C5849" s="8" t="e">
        <f>VLOOKUP(A:A,'ITEM LIST'!A:C,3,0)</f>
        <v>#N/A</v>
      </c>
      <c r="D5849" s="6">
        <f t="shared" si="92"/>
        <v>0</v>
      </c>
    </row>
    <row r="5850" spans="3:4" ht="15" x14ac:dyDescent="0.25">
      <c r="C5850" s="8" t="e">
        <f>VLOOKUP(A:A,'ITEM LIST'!A:C,3,0)</f>
        <v>#N/A</v>
      </c>
      <c r="D5850" s="6">
        <f t="shared" si="92"/>
        <v>0</v>
      </c>
    </row>
    <row r="5851" spans="3:4" ht="15" x14ac:dyDescent="0.25">
      <c r="C5851" s="8" t="e">
        <f>VLOOKUP(A:A,'ITEM LIST'!A:C,3,0)</f>
        <v>#N/A</v>
      </c>
      <c r="D5851" s="6">
        <f t="shared" si="92"/>
        <v>0</v>
      </c>
    </row>
    <row r="5852" spans="3:4" ht="15" x14ac:dyDescent="0.25">
      <c r="C5852" s="8" t="e">
        <f>VLOOKUP(A:A,'ITEM LIST'!A:C,3,0)</f>
        <v>#N/A</v>
      </c>
      <c r="D5852" s="6">
        <f t="shared" si="92"/>
        <v>0</v>
      </c>
    </row>
    <row r="5853" spans="3:4" ht="15" x14ac:dyDescent="0.25">
      <c r="C5853" s="8" t="e">
        <f>VLOOKUP(A:A,'ITEM LIST'!A:C,3,0)</f>
        <v>#N/A</v>
      </c>
      <c r="D5853" s="6">
        <f t="shared" si="92"/>
        <v>0</v>
      </c>
    </row>
    <row r="5854" spans="3:4" ht="15" x14ac:dyDescent="0.25">
      <c r="C5854" s="8" t="e">
        <f>VLOOKUP(A:A,'ITEM LIST'!A:C,3,0)</f>
        <v>#N/A</v>
      </c>
      <c r="D5854" s="6">
        <f t="shared" si="92"/>
        <v>0</v>
      </c>
    </row>
    <row r="5855" spans="3:4" ht="15" x14ac:dyDescent="0.25">
      <c r="C5855" s="8" t="e">
        <f>VLOOKUP(A:A,'ITEM LIST'!A:C,3,0)</f>
        <v>#N/A</v>
      </c>
      <c r="D5855" s="6">
        <f t="shared" si="92"/>
        <v>0</v>
      </c>
    </row>
    <row r="5856" spans="3:4" ht="15" x14ac:dyDescent="0.25">
      <c r="C5856" s="8" t="e">
        <f>VLOOKUP(A:A,'ITEM LIST'!A:C,3,0)</f>
        <v>#N/A</v>
      </c>
      <c r="D5856" s="6">
        <f t="shared" si="92"/>
        <v>0</v>
      </c>
    </row>
    <row r="5857" spans="3:4" ht="15" x14ac:dyDescent="0.25">
      <c r="C5857" s="8" t="e">
        <f>VLOOKUP(A:A,'ITEM LIST'!A:C,3,0)</f>
        <v>#N/A</v>
      </c>
      <c r="D5857" s="6">
        <f t="shared" si="92"/>
        <v>0</v>
      </c>
    </row>
    <row r="5858" spans="3:4" ht="15" x14ac:dyDescent="0.25">
      <c r="C5858" s="8" t="e">
        <f>VLOOKUP(A:A,'ITEM LIST'!A:C,3,0)</f>
        <v>#N/A</v>
      </c>
      <c r="D5858" s="6">
        <f t="shared" si="92"/>
        <v>0</v>
      </c>
    </row>
    <row r="5859" spans="3:4" ht="15" x14ac:dyDescent="0.25">
      <c r="C5859" s="8" t="e">
        <f>VLOOKUP(A:A,'ITEM LIST'!A:C,3,0)</f>
        <v>#N/A</v>
      </c>
      <c r="D5859" s="6">
        <f t="shared" si="92"/>
        <v>0</v>
      </c>
    </row>
    <row r="5860" spans="3:4" ht="15" x14ac:dyDescent="0.25">
      <c r="C5860" s="8" t="e">
        <f>VLOOKUP(A:A,'ITEM LIST'!A:C,3,0)</f>
        <v>#N/A</v>
      </c>
      <c r="D5860" s="6">
        <f t="shared" si="92"/>
        <v>0</v>
      </c>
    </row>
    <row r="5861" spans="3:4" ht="15" x14ac:dyDescent="0.25">
      <c r="C5861" s="8" t="e">
        <f>VLOOKUP(A:A,'ITEM LIST'!A:C,3,0)</f>
        <v>#N/A</v>
      </c>
      <c r="D5861" s="6">
        <f t="shared" si="92"/>
        <v>0</v>
      </c>
    </row>
    <row r="5862" spans="3:4" ht="15" x14ac:dyDescent="0.25">
      <c r="C5862" s="8" t="e">
        <f>VLOOKUP(A:A,'ITEM LIST'!A:C,3,0)</f>
        <v>#N/A</v>
      </c>
      <c r="D5862" s="6">
        <f t="shared" si="92"/>
        <v>0</v>
      </c>
    </row>
    <row r="5863" spans="3:4" ht="15" x14ac:dyDescent="0.25">
      <c r="C5863" s="8" t="e">
        <f>VLOOKUP(A:A,'ITEM LIST'!A:C,3,0)</f>
        <v>#N/A</v>
      </c>
      <c r="D5863" s="6">
        <f t="shared" si="92"/>
        <v>0</v>
      </c>
    </row>
    <row r="5864" spans="3:4" ht="15" x14ac:dyDescent="0.25">
      <c r="C5864" s="8" t="e">
        <f>VLOOKUP(A:A,'ITEM LIST'!A:C,3,0)</f>
        <v>#N/A</v>
      </c>
      <c r="D5864" s="6">
        <f t="shared" si="92"/>
        <v>0</v>
      </c>
    </row>
    <row r="5865" spans="3:4" ht="15" x14ac:dyDescent="0.25">
      <c r="C5865" s="8" t="e">
        <f>VLOOKUP(A:A,'ITEM LIST'!A:C,3,0)</f>
        <v>#N/A</v>
      </c>
      <c r="D5865" s="6">
        <f t="shared" si="92"/>
        <v>0</v>
      </c>
    </row>
    <row r="5866" spans="3:4" ht="15" x14ac:dyDescent="0.25">
      <c r="C5866" s="8" t="e">
        <f>VLOOKUP(A:A,'ITEM LIST'!A:C,3,0)</f>
        <v>#N/A</v>
      </c>
      <c r="D5866" s="6">
        <f t="shared" si="92"/>
        <v>0</v>
      </c>
    </row>
    <row r="5867" spans="3:4" ht="15" x14ac:dyDescent="0.25">
      <c r="C5867" s="8" t="e">
        <f>VLOOKUP(A:A,'ITEM LIST'!A:C,3,0)</f>
        <v>#N/A</v>
      </c>
      <c r="D5867" s="6">
        <f t="shared" si="92"/>
        <v>0</v>
      </c>
    </row>
    <row r="5868" spans="3:4" ht="15" x14ac:dyDescent="0.25">
      <c r="C5868" s="8" t="e">
        <f>VLOOKUP(A:A,'ITEM LIST'!A:C,3,0)</f>
        <v>#N/A</v>
      </c>
      <c r="D5868" s="6">
        <f t="shared" si="92"/>
        <v>0</v>
      </c>
    </row>
    <row r="5869" spans="3:4" ht="15" x14ac:dyDescent="0.25">
      <c r="C5869" s="8" t="e">
        <f>VLOOKUP(A:A,'ITEM LIST'!A:C,3,0)</f>
        <v>#N/A</v>
      </c>
      <c r="D5869" s="6">
        <f t="shared" si="92"/>
        <v>0</v>
      </c>
    </row>
    <row r="5870" spans="3:4" ht="15" x14ac:dyDescent="0.25">
      <c r="C5870" s="8" t="e">
        <f>VLOOKUP(A:A,'ITEM LIST'!A:C,3,0)</f>
        <v>#N/A</v>
      </c>
      <c r="D5870" s="6">
        <f t="shared" si="92"/>
        <v>0</v>
      </c>
    </row>
    <row r="5871" spans="3:4" ht="15" x14ac:dyDescent="0.25">
      <c r="C5871" s="8" t="e">
        <f>VLOOKUP(A:A,'ITEM LIST'!A:C,3,0)</f>
        <v>#N/A</v>
      </c>
      <c r="D5871" s="6">
        <f t="shared" si="92"/>
        <v>0</v>
      </c>
    </row>
    <row r="5872" spans="3:4" ht="15" x14ac:dyDescent="0.25">
      <c r="C5872" s="8" t="e">
        <f>VLOOKUP(A:A,'ITEM LIST'!A:C,3,0)</f>
        <v>#N/A</v>
      </c>
      <c r="D5872" s="6">
        <f t="shared" si="92"/>
        <v>0</v>
      </c>
    </row>
    <row r="5873" spans="3:4" ht="15" x14ac:dyDescent="0.25">
      <c r="C5873" s="8" t="e">
        <f>VLOOKUP(A:A,'ITEM LIST'!A:C,3,0)</f>
        <v>#N/A</v>
      </c>
      <c r="D5873" s="6">
        <f t="shared" si="92"/>
        <v>0</v>
      </c>
    </row>
    <row r="5874" spans="3:4" ht="15" x14ac:dyDescent="0.25">
      <c r="C5874" s="8" t="e">
        <f>VLOOKUP(A:A,'ITEM LIST'!A:C,3,0)</f>
        <v>#N/A</v>
      </c>
      <c r="D5874" s="6">
        <f t="shared" si="92"/>
        <v>0</v>
      </c>
    </row>
    <row r="5875" spans="3:4" ht="15" x14ac:dyDescent="0.25">
      <c r="C5875" s="8" t="e">
        <f>VLOOKUP(A:A,'ITEM LIST'!A:C,3,0)</f>
        <v>#N/A</v>
      </c>
      <c r="D5875" s="6">
        <f t="shared" si="92"/>
        <v>0</v>
      </c>
    </row>
    <row r="5876" spans="3:4" ht="15" x14ac:dyDescent="0.25">
      <c r="C5876" s="8" t="e">
        <f>VLOOKUP(A:A,'ITEM LIST'!A:C,3,0)</f>
        <v>#N/A</v>
      </c>
      <c r="D5876" s="6">
        <f t="shared" si="92"/>
        <v>0</v>
      </c>
    </row>
    <row r="5877" spans="3:4" ht="15" x14ac:dyDescent="0.25">
      <c r="C5877" s="8" t="e">
        <f>VLOOKUP(A:A,'ITEM LIST'!A:C,3,0)</f>
        <v>#N/A</v>
      </c>
      <c r="D5877" s="6">
        <f t="shared" si="92"/>
        <v>0</v>
      </c>
    </row>
    <row r="5878" spans="3:4" ht="15" x14ac:dyDescent="0.25">
      <c r="C5878" s="8" t="e">
        <f>VLOOKUP(A:A,'ITEM LIST'!A:C,3,0)</f>
        <v>#N/A</v>
      </c>
      <c r="D5878" s="6">
        <f t="shared" si="92"/>
        <v>0</v>
      </c>
    </row>
    <row r="5879" spans="3:4" ht="15" x14ac:dyDescent="0.25">
      <c r="C5879" s="8" t="e">
        <f>VLOOKUP(A:A,'ITEM LIST'!A:C,3,0)</f>
        <v>#N/A</v>
      </c>
      <c r="D5879" s="6">
        <f t="shared" si="92"/>
        <v>0</v>
      </c>
    </row>
    <row r="5880" spans="3:4" ht="15" x14ac:dyDescent="0.25">
      <c r="C5880" s="8" t="e">
        <f>VLOOKUP(A:A,'ITEM LIST'!A:C,3,0)</f>
        <v>#N/A</v>
      </c>
      <c r="D5880" s="6">
        <f t="shared" si="92"/>
        <v>0</v>
      </c>
    </row>
    <row r="5881" spans="3:4" ht="15" x14ac:dyDescent="0.25">
      <c r="C5881" s="8" t="e">
        <f>VLOOKUP(A:A,'ITEM LIST'!A:C,3,0)</f>
        <v>#N/A</v>
      </c>
      <c r="D5881" s="6">
        <f t="shared" si="92"/>
        <v>0</v>
      </c>
    </row>
    <row r="5882" spans="3:4" ht="15" x14ac:dyDescent="0.25">
      <c r="C5882" s="8" t="e">
        <f>VLOOKUP(A:A,'ITEM LIST'!A:C,3,0)</f>
        <v>#N/A</v>
      </c>
      <c r="D5882" s="6">
        <f t="shared" si="92"/>
        <v>0</v>
      </c>
    </row>
    <row r="5883" spans="3:4" ht="15" x14ac:dyDescent="0.25">
      <c r="C5883" s="8" t="e">
        <f>VLOOKUP(A:A,'ITEM LIST'!A:C,3,0)</f>
        <v>#N/A</v>
      </c>
      <c r="D5883" s="6">
        <f t="shared" si="92"/>
        <v>0</v>
      </c>
    </row>
    <row r="5884" spans="3:4" ht="15" x14ac:dyDescent="0.25">
      <c r="C5884" s="8" t="e">
        <f>VLOOKUP(A:A,'ITEM LIST'!A:C,3,0)</f>
        <v>#N/A</v>
      </c>
      <c r="D5884" s="6">
        <f t="shared" si="92"/>
        <v>0</v>
      </c>
    </row>
    <row r="5885" spans="3:4" ht="15" x14ac:dyDescent="0.25">
      <c r="C5885" s="8" t="e">
        <f>VLOOKUP(A:A,'ITEM LIST'!A:C,3,0)</f>
        <v>#N/A</v>
      </c>
      <c r="D5885" s="6">
        <f t="shared" si="92"/>
        <v>0</v>
      </c>
    </row>
    <row r="5886" spans="3:4" ht="15" x14ac:dyDescent="0.25">
      <c r="C5886" s="8" t="e">
        <f>VLOOKUP(A:A,'ITEM LIST'!A:C,3,0)</f>
        <v>#N/A</v>
      </c>
      <c r="D5886" s="6">
        <f t="shared" si="92"/>
        <v>0</v>
      </c>
    </row>
    <row r="5887" spans="3:4" ht="15" x14ac:dyDescent="0.25">
      <c r="C5887" s="8" t="e">
        <f>VLOOKUP(A:A,'ITEM LIST'!A:C,3,0)</f>
        <v>#N/A</v>
      </c>
      <c r="D5887" s="6">
        <f t="shared" si="92"/>
        <v>0</v>
      </c>
    </row>
    <row r="5888" spans="3:4" ht="15" x14ac:dyDescent="0.25">
      <c r="C5888" s="8" t="e">
        <f>VLOOKUP(A:A,'ITEM LIST'!A:C,3,0)</f>
        <v>#N/A</v>
      </c>
      <c r="D5888" s="6">
        <f t="shared" si="92"/>
        <v>0</v>
      </c>
    </row>
    <row r="5889" spans="3:4" ht="15" x14ac:dyDescent="0.25">
      <c r="C5889" s="8" t="e">
        <f>VLOOKUP(A:A,'ITEM LIST'!A:C,3,0)</f>
        <v>#N/A</v>
      </c>
      <c r="D5889" s="6">
        <f t="shared" si="92"/>
        <v>0</v>
      </c>
    </row>
    <row r="5890" spans="3:4" ht="15" x14ac:dyDescent="0.25">
      <c r="C5890" s="8" t="e">
        <f>VLOOKUP(A:A,'ITEM LIST'!A:C,3,0)</f>
        <v>#N/A</v>
      </c>
      <c r="D5890" s="6">
        <f t="shared" si="92"/>
        <v>0</v>
      </c>
    </row>
    <row r="5891" spans="3:4" ht="15" x14ac:dyDescent="0.25">
      <c r="C5891" s="8" t="e">
        <f>VLOOKUP(A:A,'ITEM LIST'!A:C,3,0)</f>
        <v>#N/A</v>
      </c>
      <c r="D5891" s="6">
        <f t="shared" si="92"/>
        <v>0</v>
      </c>
    </row>
    <row r="5892" spans="3:4" ht="15" x14ac:dyDescent="0.25">
      <c r="C5892" s="8" t="e">
        <f>VLOOKUP(A:A,'ITEM LIST'!A:C,3,0)</f>
        <v>#N/A</v>
      </c>
      <c r="D5892" s="6">
        <f t="shared" si="92"/>
        <v>0</v>
      </c>
    </row>
    <row r="5893" spans="3:4" ht="15" x14ac:dyDescent="0.25">
      <c r="C5893" s="8" t="e">
        <f>VLOOKUP(A:A,'ITEM LIST'!A:C,3,0)</f>
        <v>#N/A</v>
      </c>
      <c r="D5893" s="6">
        <f t="shared" si="92"/>
        <v>0</v>
      </c>
    </row>
    <row r="5894" spans="3:4" ht="15" x14ac:dyDescent="0.25">
      <c r="C5894" s="8" t="e">
        <f>VLOOKUP(A:A,'ITEM LIST'!A:C,3,0)</f>
        <v>#N/A</v>
      </c>
      <c r="D5894" s="6">
        <f t="shared" ref="D5894:D5957" si="93">B5894</f>
        <v>0</v>
      </c>
    </row>
    <row r="5895" spans="3:4" ht="15" x14ac:dyDescent="0.25">
      <c r="C5895" s="8" t="e">
        <f>VLOOKUP(A:A,'ITEM LIST'!A:C,3,0)</f>
        <v>#N/A</v>
      </c>
      <c r="D5895" s="6">
        <f t="shared" si="93"/>
        <v>0</v>
      </c>
    </row>
    <row r="5896" spans="3:4" ht="15" x14ac:dyDescent="0.25">
      <c r="C5896" s="8" t="e">
        <f>VLOOKUP(A:A,'ITEM LIST'!A:C,3,0)</f>
        <v>#N/A</v>
      </c>
      <c r="D5896" s="6">
        <f t="shared" si="93"/>
        <v>0</v>
      </c>
    </row>
    <row r="5897" spans="3:4" ht="15" x14ac:dyDescent="0.25">
      <c r="C5897" s="8" t="e">
        <f>VLOOKUP(A:A,'ITEM LIST'!A:C,3,0)</f>
        <v>#N/A</v>
      </c>
      <c r="D5897" s="6">
        <f t="shared" si="93"/>
        <v>0</v>
      </c>
    </row>
    <row r="5898" spans="3:4" ht="15" x14ac:dyDescent="0.25">
      <c r="C5898" s="8" t="e">
        <f>VLOOKUP(A:A,'ITEM LIST'!A:C,3,0)</f>
        <v>#N/A</v>
      </c>
      <c r="D5898" s="6">
        <f t="shared" si="93"/>
        <v>0</v>
      </c>
    </row>
    <row r="5899" spans="3:4" ht="15" x14ac:dyDescent="0.25">
      <c r="C5899" s="8" t="e">
        <f>VLOOKUP(A:A,'ITEM LIST'!A:C,3,0)</f>
        <v>#N/A</v>
      </c>
      <c r="D5899" s="6">
        <f t="shared" si="93"/>
        <v>0</v>
      </c>
    </row>
    <row r="5900" spans="3:4" ht="15" x14ac:dyDescent="0.25">
      <c r="C5900" s="8" t="e">
        <f>VLOOKUP(A:A,'ITEM LIST'!A:C,3,0)</f>
        <v>#N/A</v>
      </c>
      <c r="D5900" s="6">
        <f t="shared" si="93"/>
        <v>0</v>
      </c>
    </row>
    <row r="5901" spans="3:4" ht="15" x14ac:dyDescent="0.25">
      <c r="C5901" s="8" t="e">
        <f>VLOOKUP(A:A,'ITEM LIST'!A:C,3,0)</f>
        <v>#N/A</v>
      </c>
      <c r="D5901" s="6">
        <f t="shared" si="93"/>
        <v>0</v>
      </c>
    </row>
    <row r="5902" spans="3:4" ht="15" x14ac:dyDescent="0.25">
      <c r="C5902" s="8" t="e">
        <f>VLOOKUP(A:A,'ITEM LIST'!A:C,3,0)</f>
        <v>#N/A</v>
      </c>
      <c r="D5902" s="6">
        <f t="shared" si="93"/>
        <v>0</v>
      </c>
    </row>
    <row r="5903" spans="3:4" ht="15" x14ac:dyDescent="0.25">
      <c r="C5903" s="8" t="e">
        <f>VLOOKUP(A:A,'ITEM LIST'!A:C,3,0)</f>
        <v>#N/A</v>
      </c>
      <c r="D5903" s="6">
        <f t="shared" si="93"/>
        <v>0</v>
      </c>
    </row>
    <row r="5904" spans="3:4" ht="15" x14ac:dyDescent="0.25">
      <c r="C5904" s="8" t="e">
        <f>VLOOKUP(A:A,'ITEM LIST'!A:C,3,0)</f>
        <v>#N/A</v>
      </c>
      <c r="D5904" s="6">
        <f t="shared" si="93"/>
        <v>0</v>
      </c>
    </row>
    <row r="5905" spans="3:4" ht="15" x14ac:dyDescent="0.25">
      <c r="C5905" s="8" t="e">
        <f>VLOOKUP(A:A,'ITEM LIST'!A:C,3,0)</f>
        <v>#N/A</v>
      </c>
      <c r="D5905" s="6">
        <f t="shared" si="93"/>
        <v>0</v>
      </c>
    </row>
    <row r="5906" spans="3:4" ht="15" x14ac:dyDescent="0.25">
      <c r="C5906" s="8" t="e">
        <f>VLOOKUP(A:A,'ITEM LIST'!A:C,3,0)</f>
        <v>#N/A</v>
      </c>
      <c r="D5906" s="6">
        <f t="shared" si="93"/>
        <v>0</v>
      </c>
    </row>
    <row r="5907" spans="3:4" ht="15" x14ac:dyDescent="0.25">
      <c r="C5907" s="8" t="e">
        <f>VLOOKUP(A:A,'ITEM LIST'!A:C,3,0)</f>
        <v>#N/A</v>
      </c>
      <c r="D5907" s="6">
        <f t="shared" si="93"/>
        <v>0</v>
      </c>
    </row>
    <row r="5908" spans="3:4" ht="15" x14ac:dyDescent="0.25">
      <c r="C5908" s="8" t="e">
        <f>VLOOKUP(A:A,'ITEM LIST'!A:C,3,0)</f>
        <v>#N/A</v>
      </c>
      <c r="D5908" s="6">
        <f t="shared" si="93"/>
        <v>0</v>
      </c>
    </row>
    <row r="5909" spans="3:4" ht="15" x14ac:dyDescent="0.25">
      <c r="C5909" s="8" t="e">
        <f>VLOOKUP(A:A,'ITEM LIST'!A:C,3,0)</f>
        <v>#N/A</v>
      </c>
      <c r="D5909" s="6">
        <f t="shared" si="93"/>
        <v>0</v>
      </c>
    </row>
    <row r="5910" spans="3:4" ht="15" x14ac:dyDescent="0.25">
      <c r="C5910" s="8" t="e">
        <f>VLOOKUP(A:A,'ITEM LIST'!A:C,3,0)</f>
        <v>#N/A</v>
      </c>
      <c r="D5910" s="6">
        <f t="shared" si="93"/>
        <v>0</v>
      </c>
    </row>
    <row r="5911" spans="3:4" ht="15" x14ac:dyDescent="0.25">
      <c r="C5911" s="8" t="e">
        <f>VLOOKUP(A:A,'ITEM LIST'!A:C,3,0)</f>
        <v>#N/A</v>
      </c>
      <c r="D5911" s="6">
        <f t="shared" si="93"/>
        <v>0</v>
      </c>
    </row>
    <row r="5912" spans="3:4" ht="15" x14ac:dyDescent="0.25">
      <c r="C5912" s="8" t="e">
        <f>VLOOKUP(A:A,'ITEM LIST'!A:C,3,0)</f>
        <v>#N/A</v>
      </c>
      <c r="D5912" s="6">
        <f t="shared" si="93"/>
        <v>0</v>
      </c>
    </row>
    <row r="5913" spans="3:4" ht="15" x14ac:dyDescent="0.25">
      <c r="C5913" s="8" t="e">
        <f>VLOOKUP(A:A,'ITEM LIST'!A:C,3,0)</f>
        <v>#N/A</v>
      </c>
      <c r="D5913" s="6">
        <f t="shared" si="93"/>
        <v>0</v>
      </c>
    </row>
    <row r="5914" spans="3:4" ht="15" x14ac:dyDescent="0.25">
      <c r="C5914" s="8" t="e">
        <f>VLOOKUP(A:A,'ITEM LIST'!A:C,3,0)</f>
        <v>#N/A</v>
      </c>
      <c r="D5914" s="6">
        <f t="shared" si="93"/>
        <v>0</v>
      </c>
    </row>
    <row r="5915" spans="3:4" ht="15" x14ac:dyDescent="0.25">
      <c r="C5915" s="8" t="e">
        <f>VLOOKUP(A:A,'ITEM LIST'!A:C,3,0)</f>
        <v>#N/A</v>
      </c>
      <c r="D5915" s="6">
        <f t="shared" si="93"/>
        <v>0</v>
      </c>
    </row>
    <row r="5916" spans="3:4" ht="15" x14ac:dyDescent="0.25">
      <c r="C5916" s="8" t="e">
        <f>VLOOKUP(A:A,'ITEM LIST'!A:C,3,0)</f>
        <v>#N/A</v>
      </c>
      <c r="D5916" s="6">
        <f t="shared" si="93"/>
        <v>0</v>
      </c>
    </row>
    <row r="5917" spans="3:4" ht="15" x14ac:dyDescent="0.25">
      <c r="C5917" s="8" t="e">
        <f>VLOOKUP(A:A,'ITEM LIST'!A:C,3,0)</f>
        <v>#N/A</v>
      </c>
      <c r="D5917" s="6">
        <f t="shared" si="93"/>
        <v>0</v>
      </c>
    </row>
    <row r="5918" spans="3:4" ht="15" x14ac:dyDescent="0.25">
      <c r="C5918" s="8" t="e">
        <f>VLOOKUP(A:A,'ITEM LIST'!A:C,3,0)</f>
        <v>#N/A</v>
      </c>
      <c r="D5918" s="6">
        <f t="shared" si="93"/>
        <v>0</v>
      </c>
    </row>
    <row r="5919" spans="3:4" ht="15" x14ac:dyDescent="0.25">
      <c r="C5919" s="8" t="e">
        <f>VLOOKUP(A:A,'ITEM LIST'!A:C,3,0)</f>
        <v>#N/A</v>
      </c>
      <c r="D5919" s="6">
        <f t="shared" si="93"/>
        <v>0</v>
      </c>
    </row>
    <row r="5920" spans="3:4" ht="15" x14ac:dyDescent="0.25">
      <c r="C5920" s="8" t="e">
        <f>VLOOKUP(A:A,'ITEM LIST'!A:C,3,0)</f>
        <v>#N/A</v>
      </c>
      <c r="D5920" s="6">
        <f t="shared" si="93"/>
        <v>0</v>
      </c>
    </row>
    <row r="5921" spans="3:4" ht="15" x14ac:dyDescent="0.25">
      <c r="C5921" s="8" t="e">
        <f>VLOOKUP(A:A,'ITEM LIST'!A:C,3,0)</f>
        <v>#N/A</v>
      </c>
      <c r="D5921" s="6">
        <f t="shared" si="93"/>
        <v>0</v>
      </c>
    </row>
    <row r="5922" spans="3:4" ht="15" x14ac:dyDescent="0.25">
      <c r="C5922" s="8" t="e">
        <f>VLOOKUP(A:A,'ITEM LIST'!A:C,3,0)</f>
        <v>#N/A</v>
      </c>
      <c r="D5922" s="6">
        <f t="shared" si="93"/>
        <v>0</v>
      </c>
    </row>
    <row r="5923" spans="3:4" ht="15" x14ac:dyDescent="0.25">
      <c r="C5923" s="8" t="e">
        <f>VLOOKUP(A:A,'ITEM LIST'!A:C,3,0)</f>
        <v>#N/A</v>
      </c>
      <c r="D5923" s="6">
        <f t="shared" si="93"/>
        <v>0</v>
      </c>
    </row>
    <row r="5924" spans="3:4" ht="15" x14ac:dyDescent="0.25">
      <c r="C5924" s="8" t="e">
        <f>VLOOKUP(A:A,'ITEM LIST'!A:C,3,0)</f>
        <v>#N/A</v>
      </c>
      <c r="D5924" s="6">
        <f t="shared" si="93"/>
        <v>0</v>
      </c>
    </row>
    <row r="5925" spans="3:4" ht="15" x14ac:dyDescent="0.25">
      <c r="C5925" s="8" t="e">
        <f>VLOOKUP(A:A,'ITEM LIST'!A:C,3,0)</f>
        <v>#N/A</v>
      </c>
      <c r="D5925" s="6">
        <f t="shared" si="93"/>
        <v>0</v>
      </c>
    </row>
    <row r="5926" spans="3:4" ht="15" x14ac:dyDescent="0.25">
      <c r="C5926" s="8" t="e">
        <f>VLOOKUP(A:A,'ITEM LIST'!A:C,3,0)</f>
        <v>#N/A</v>
      </c>
      <c r="D5926" s="6">
        <f t="shared" si="93"/>
        <v>0</v>
      </c>
    </row>
    <row r="5927" spans="3:4" ht="15" x14ac:dyDescent="0.25">
      <c r="C5927" s="8" t="e">
        <f>VLOOKUP(A:A,'ITEM LIST'!A:C,3,0)</f>
        <v>#N/A</v>
      </c>
      <c r="D5927" s="6">
        <f t="shared" si="93"/>
        <v>0</v>
      </c>
    </row>
    <row r="5928" spans="3:4" ht="15" x14ac:dyDescent="0.25">
      <c r="C5928" s="8" t="e">
        <f>VLOOKUP(A:A,'ITEM LIST'!A:C,3,0)</f>
        <v>#N/A</v>
      </c>
      <c r="D5928" s="6">
        <f t="shared" si="93"/>
        <v>0</v>
      </c>
    </row>
    <row r="5929" spans="3:4" ht="15" x14ac:dyDescent="0.25">
      <c r="C5929" s="8" t="e">
        <f>VLOOKUP(A:A,'ITEM LIST'!A:C,3,0)</f>
        <v>#N/A</v>
      </c>
      <c r="D5929" s="6">
        <f t="shared" si="93"/>
        <v>0</v>
      </c>
    </row>
    <row r="5930" spans="3:4" ht="15" x14ac:dyDescent="0.25">
      <c r="C5930" s="8" t="e">
        <f>VLOOKUP(A:A,'ITEM LIST'!A:C,3,0)</f>
        <v>#N/A</v>
      </c>
      <c r="D5930" s="6">
        <f t="shared" si="93"/>
        <v>0</v>
      </c>
    </row>
    <row r="5931" spans="3:4" ht="15" x14ac:dyDescent="0.25">
      <c r="C5931" s="8" t="e">
        <f>VLOOKUP(A:A,'ITEM LIST'!A:C,3,0)</f>
        <v>#N/A</v>
      </c>
      <c r="D5931" s="6">
        <f t="shared" si="93"/>
        <v>0</v>
      </c>
    </row>
    <row r="5932" spans="3:4" ht="15" x14ac:dyDescent="0.25">
      <c r="C5932" s="8" t="e">
        <f>VLOOKUP(A:A,'ITEM LIST'!A:C,3,0)</f>
        <v>#N/A</v>
      </c>
      <c r="D5932" s="6">
        <f t="shared" si="93"/>
        <v>0</v>
      </c>
    </row>
    <row r="5933" spans="3:4" ht="15" x14ac:dyDescent="0.25">
      <c r="C5933" s="8" t="e">
        <f>VLOOKUP(A:A,'ITEM LIST'!A:C,3,0)</f>
        <v>#N/A</v>
      </c>
      <c r="D5933" s="6">
        <f t="shared" si="93"/>
        <v>0</v>
      </c>
    </row>
    <row r="5934" spans="3:4" ht="15" x14ac:dyDescent="0.25">
      <c r="C5934" s="8" t="e">
        <f>VLOOKUP(A:A,'ITEM LIST'!A:C,3,0)</f>
        <v>#N/A</v>
      </c>
      <c r="D5934" s="6">
        <f t="shared" si="93"/>
        <v>0</v>
      </c>
    </row>
    <row r="5935" spans="3:4" ht="15" x14ac:dyDescent="0.25">
      <c r="C5935" s="8" t="e">
        <f>VLOOKUP(A:A,'ITEM LIST'!A:C,3,0)</f>
        <v>#N/A</v>
      </c>
      <c r="D5935" s="6">
        <f t="shared" si="93"/>
        <v>0</v>
      </c>
    </row>
    <row r="5936" spans="3:4" ht="15" x14ac:dyDescent="0.25">
      <c r="C5936" s="8" t="e">
        <f>VLOOKUP(A:A,'ITEM LIST'!A:C,3,0)</f>
        <v>#N/A</v>
      </c>
      <c r="D5936" s="6">
        <f t="shared" si="93"/>
        <v>0</v>
      </c>
    </row>
    <row r="5937" spans="3:4" ht="15" x14ac:dyDescent="0.25">
      <c r="C5937" s="8" t="e">
        <f>VLOOKUP(A:A,'ITEM LIST'!A:C,3,0)</f>
        <v>#N/A</v>
      </c>
      <c r="D5937" s="6">
        <f t="shared" si="93"/>
        <v>0</v>
      </c>
    </row>
    <row r="5938" spans="3:4" ht="15" x14ac:dyDescent="0.25">
      <c r="C5938" s="8" t="e">
        <f>VLOOKUP(A:A,'ITEM LIST'!A:C,3,0)</f>
        <v>#N/A</v>
      </c>
      <c r="D5938" s="6">
        <f t="shared" si="93"/>
        <v>0</v>
      </c>
    </row>
    <row r="5939" spans="3:4" ht="15" x14ac:dyDescent="0.25">
      <c r="C5939" s="8" t="e">
        <f>VLOOKUP(A:A,'ITEM LIST'!A:C,3,0)</f>
        <v>#N/A</v>
      </c>
      <c r="D5939" s="6">
        <f t="shared" si="93"/>
        <v>0</v>
      </c>
    </row>
    <row r="5940" spans="3:4" ht="15" x14ac:dyDescent="0.25">
      <c r="C5940" s="8" t="e">
        <f>VLOOKUP(A:A,'ITEM LIST'!A:C,3,0)</f>
        <v>#N/A</v>
      </c>
      <c r="D5940" s="6">
        <f t="shared" si="93"/>
        <v>0</v>
      </c>
    </row>
    <row r="5941" spans="3:4" ht="15" x14ac:dyDescent="0.25">
      <c r="C5941" s="8" t="e">
        <f>VLOOKUP(A:A,'ITEM LIST'!A:C,3,0)</f>
        <v>#N/A</v>
      </c>
      <c r="D5941" s="6">
        <f t="shared" si="93"/>
        <v>0</v>
      </c>
    </row>
    <row r="5942" spans="3:4" ht="15" x14ac:dyDescent="0.25">
      <c r="C5942" s="8" t="e">
        <f>VLOOKUP(A:A,'ITEM LIST'!A:C,3,0)</f>
        <v>#N/A</v>
      </c>
      <c r="D5942" s="6">
        <f t="shared" si="93"/>
        <v>0</v>
      </c>
    </row>
    <row r="5943" spans="3:4" ht="15" x14ac:dyDescent="0.25">
      <c r="C5943" s="8" t="e">
        <f>VLOOKUP(A:A,'ITEM LIST'!A:C,3,0)</f>
        <v>#N/A</v>
      </c>
      <c r="D5943" s="6">
        <f t="shared" si="93"/>
        <v>0</v>
      </c>
    </row>
    <row r="5944" spans="3:4" ht="15" x14ac:dyDescent="0.25">
      <c r="C5944" s="8" t="e">
        <f>VLOOKUP(A:A,'ITEM LIST'!A:C,3,0)</f>
        <v>#N/A</v>
      </c>
      <c r="D5944" s="6">
        <f t="shared" si="93"/>
        <v>0</v>
      </c>
    </row>
    <row r="5945" spans="3:4" ht="15" x14ac:dyDescent="0.25">
      <c r="C5945" s="8" t="e">
        <f>VLOOKUP(A:A,'ITEM LIST'!A:C,3,0)</f>
        <v>#N/A</v>
      </c>
      <c r="D5945" s="6">
        <f t="shared" si="93"/>
        <v>0</v>
      </c>
    </row>
    <row r="5946" spans="3:4" ht="15" x14ac:dyDescent="0.25">
      <c r="C5946" s="8" t="e">
        <f>VLOOKUP(A:A,'ITEM LIST'!A:C,3,0)</f>
        <v>#N/A</v>
      </c>
      <c r="D5946" s="6">
        <f t="shared" si="93"/>
        <v>0</v>
      </c>
    </row>
    <row r="5947" spans="3:4" ht="15" x14ac:dyDescent="0.25">
      <c r="C5947" s="8" t="e">
        <f>VLOOKUP(A:A,'ITEM LIST'!A:C,3,0)</f>
        <v>#N/A</v>
      </c>
      <c r="D5947" s="6">
        <f t="shared" si="93"/>
        <v>0</v>
      </c>
    </row>
    <row r="5948" spans="3:4" ht="15" x14ac:dyDescent="0.25">
      <c r="C5948" s="8" t="e">
        <f>VLOOKUP(A:A,'ITEM LIST'!A:C,3,0)</f>
        <v>#N/A</v>
      </c>
      <c r="D5948" s="6">
        <f t="shared" si="93"/>
        <v>0</v>
      </c>
    </row>
    <row r="5949" spans="3:4" ht="15" x14ac:dyDescent="0.25">
      <c r="C5949" s="8" t="e">
        <f>VLOOKUP(A:A,'ITEM LIST'!A:C,3,0)</f>
        <v>#N/A</v>
      </c>
      <c r="D5949" s="6">
        <f t="shared" si="93"/>
        <v>0</v>
      </c>
    </row>
    <row r="5950" spans="3:4" ht="15" x14ac:dyDescent="0.25">
      <c r="C5950" s="8" t="e">
        <f>VLOOKUP(A:A,'ITEM LIST'!A:C,3,0)</f>
        <v>#N/A</v>
      </c>
      <c r="D5950" s="6">
        <f t="shared" si="93"/>
        <v>0</v>
      </c>
    </row>
    <row r="5951" spans="3:4" ht="15" x14ac:dyDescent="0.25">
      <c r="C5951" s="8" t="e">
        <f>VLOOKUP(A:A,'ITEM LIST'!A:C,3,0)</f>
        <v>#N/A</v>
      </c>
      <c r="D5951" s="6">
        <f t="shared" si="93"/>
        <v>0</v>
      </c>
    </row>
    <row r="5952" spans="3:4" ht="15" x14ac:dyDescent="0.25">
      <c r="C5952" s="8" t="e">
        <f>VLOOKUP(A:A,'ITEM LIST'!A:C,3,0)</f>
        <v>#N/A</v>
      </c>
      <c r="D5952" s="6">
        <f t="shared" si="93"/>
        <v>0</v>
      </c>
    </row>
    <row r="5953" spans="3:4" ht="15" x14ac:dyDescent="0.25">
      <c r="C5953" s="8" t="e">
        <f>VLOOKUP(A:A,'ITEM LIST'!A:C,3,0)</f>
        <v>#N/A</v>
      </c>
      <c r="D5953" s="6">
        <f t="shared" si="93"/>
        <v>0</v>
      </c>
    </row>
    <row r="5954" spans="3:4" ht="15" x14ac:dyDescent="0.25">
      <c r="C5954" s="8" t="e">
        <f>VLOOKUP(A:A,'ITEM LIST'!A:C,3,0)</f>
        <v>#N/A</v>
      </c>
      <c r="D5954" s="6">
        <f t="shared" si="93"/>
        <v>0</v>
      </c>
    </row>
    <row r="5955" spans="3:4" ht="15" x14ac:dyDescent="0.25">
      <c r="C5955" s="8" t="e">
        <f>VLOOKUP(A:A,'ITEM LIST'!A:C,3,0)</f>
        <v>#N/A</v>
      </c>
      <c r="D5955" s="6">
        <f t="shared" si="93"/>
        <v>0</v>
      </c>
    </row>
    <row r="5956" spans="3:4" ht="15" x14ac:dyDescent="0.25">
      <c r="C5956" s="8" t="e">
        <f>VLOOKUP(A:A,'ITEM LIST'!A:C,3,0)</f>
        <v>#N/A</v>
      </c>
      <c r="D5956" s="6">
        <f t="shared" si="93"/>
        <v>0</v>
      </c>
    </row>
    <row r="5957" spans="3:4" ht="15" x14ac:dyDescent="0.25">
      <c r="C5957" s="8" t="e">
        <f>VLOOKUP(A:A,'ITEM LIST'!A:C,3,0)</f>
        <v>#N/A</v>
      </c>
      <c r="D5957" s="6">
        <f t="shared" si="93"/>
        <v>0</v>
      </c>
    </row>
    <row r="5958" spans="3:4" ht="15" x14ac:dyDescent="0.25">
      <c r="C5958" s="8" t="e">
        <f>VLOOKUP(A:A,'ITEM LIST'!A:C,3,0)</f>
        <v>#N/A</v>
      </c>
      <c r="D5958" s="6">
        <f t="shared" ref="D5958:D6021" si="94">B5958</f>
        <v>0</v>
      </c>
    </row>
    <row r="5959" spans="3:4" ht="15" x14ac:dyDescent="0.25">
      <c r="C5959" s="8" t="e">
        <f>VLOOKUP(A:A,'ITEM LIST'!A:C,3,0)</f>
        <v>#N/A</v>
      </c>
      <c r="D5959" s="6">
        <f t="shared" si="94"/>
        <v>0</v>
      </c>
    </row>
    <row r="5960" spans="3:4" ht="15" x14ac:dyDescent="0.25">
      <c r="C5960" s="8" t="e">
        <f>VLOOKUP(A:A,'ITEM LIST'!A:C,3,0)</f>
        <v>#N/A</v>
      </c>
      <c r="D5960" s="6">
        <f t="shared" si="94"/>
        <v>0</v>
      </c>
    </row>
    <row r="5961" spans="3:4" ht="15" x14ac:dyDescent="0.25">
      <c r="C5961" s="8" t="e">
        <f>VLOOKUP(A:A,'ITEM LIST'!A:C,3,0)</f>
        <v>#N/A</v>
      </c>
      <c r="D5961" s="6">
        <f t="shared" si="94"/>
        <v>0</v>
      </c>
    </row>
    <row r="5962" spans="3:4" ht="15" x14ac:dyDescent="0.25">
      <c r="C5962" s="8" t="e">
        <f>VLOOKUP(A:A,'ITEM LIST'!A:C,3,0)</f>
        <v>#N/A</v>
      </c>
      <c r="D5962" s="6">
        <f t="shared" si="94"/>
        <v>0</v>
      </c>
    </row>
    <row r="5963" spans="3:4" ht="15" x14ac:dyDescent="0.25">
      <c r="C5963" s="8" t="e">
        <f>VLOOKUP(A:A,'ITEM LIST'!A:C,3,0)</f>
        <v>#N/A</v>
      </c>
      <c r="D5963" s="6">
        <f t="shared" si="94"/>
        <v>0</v>
      </c>
    </row>
    <row r="5964" spans="3:4" ht="15" x14ac:dyDescent="0.25">
      <c r="C5964" s="8" t="e">
        <f>VLOOKUP(A:A,'ITEM LIST'!A:C,3,0)</f>
        <v>#N/A</v>
      </c>
      <c r="D5964" s="6">
        <f t="shared" si="94"/>
        <v>0</v>
      </c>
    </row>
    <row r="5965" spans="3:4" ht="15" x14ac:dyDescent="0.25">
      <c r="C5965" s="8" t="e">
        <f>VLOOKUP(A:A,'ITEM LIST'!A:C,3,0)</f>
        <v>#N/A</v>
      </c>
      <c r="D5965" s="6">
        <f t="shared" si="94"/>
        <v>0</v>
      </c>
    </row>
    <row r="5966" spans="3:4" ht="15" x14ac:dyDescent="0.25">
      <c r="C5966" s="8" t="e">
        <f>VLOOKUP(A:A,'ITEM LIST'!A:C,3,0)</f>
        <v>#N/A</v>
      </c>
      <c r="D5966" s="6">
        <f t="shared" si="94"/>
        <v>0</v>
      </c>
    </row>
    <row r="5967" spans="3:4" ht="15" x14ac:dyDescent="0.25">
      <c r="C5967" s="8" t="e">
        <f>VLOOKUP(A:A,'ITEM LIST'!A:C,3,0)</f>
        <v>#N/A</v>
      </c>
      <c r="D5967" s="6">
        <f t="shared" si="94"/>
        <v>0</v>
      </c>
    </row>
    <row r="5968" spans="3:4" ht="15" x14ac:dyDescent="0.25">
      <c r="C5968" s="8" t="e">
        <f>VLOOKUP(A:A,'ITEM LIST'!A:C,3,0)</f>
        <v>#N/A</v>
      </c>
      <c r="D5968" s="6">
        <f t="shared" si="94"/>
        <v>0</v>
      </c>
    </row>
    <row r="5969" spans="3:4" ht="15" x14ac:dyDescent="0.25">
      <c r="C5969" s="8" t="e">
        <f>VLOOKUP(A:A,'ITEM LIST'!A:C,3,0)</f>
        <v>#N/A</v>
      </c>
      <c r="D5969" s="6">
        <f t="shared" si="94"/>
        <v>0</v>
      </c>
    </row>
    <row r="5970" spans="3:4" ht="15" x14ac:dyDescent="0.25">
      <c r="C5970" s="8" t="e">
        <f>VLOOKUP(A:A,'ITEM LIST'!A:C,3,0)</f>
        <v>#N/A</v>
      </c>
      <c r="D5970" s="6">
        <f t="shared" si="94"/>
        <v>0</v>
      </c>
    </row>
    <row r="5971" spans="3:4" ht="15" x14ac:dyDescent="0.25">
      <c r="C5971" s="8" t="e">
        <f>VLOOKUP(A:A,'ITEM LIST'!A:C,3,0)</f>
        <v>#N/A</v>
      </c>
      <c r="D5971" s="6">
        <f t="shared" si="94"/>
        <v>0</v>
      </c>
    </row>
    <row r="5972" spans="3:4" ht="15" x14ac:dyDescent="0.25">
      <c r="C5972" s="8" t="e">
        <f>VLOOKUP(A:A,'ITEM LIST'!A:C,3,0)</f>
        <v>#N/A</v>
      </c>
      <c r="D5972" s="6">
        <f t="shared" si="94"/>
        <v>0</v>
      </c>
    </row>
    <row r="5973" spans="3:4" ht="15" x14ac:dyDescent="0.25">
      <c r="C5973" s="8" t="e">
        <f>VLOOKUP(A:A,'ITEM LIST'!A:C,3,0)</f>
        <v>#N/A</v>
      </c>
      <c r="D5973" s="6">
        <f t="shared" si="94"/>
        <v>0</v>
      </c>
    </row>
    <row r="5974" spans="3:4" ht="15" x14ac:dyDescent="0.25">
      <c r="C5974" s="8" t="e">
        <f>VLOOKUP(A:A,'ITEM LIST'!A:C,3,0)</f>
        <v>#N/A</v>
      </c>
      <c r="D5974" s="6">
        <f t="shared" si="94"/>
        <v>0</v>
      </c>
    </row>
    <row r="5975" spans="3:4" ht="15" x14ac:dyDescent="0.25">
      <c r="C5975" s="8" t="e">
        <f>VLOOKUP(A:A,'ITEM LIST'!A:C,3,0)</f>
        <v>#N/A</v>
      </c>
      <c r="D5975" s="6">
        <f t="shared" si="94"/>
        <v>0</v>
      </c>
    </row>
    <row r="5976" spans="3:4" ht="15" x14ac:dyDescent="0.25">
      <c r="C5976" s="8" t="e">
        <f>VLOOKUP(A:A,'ITEM LIST'!A:C,3,0)</f>
        <v>#N/A</v>
      </c>
      <c r="D5976" s="6">
        <f t="shared" si="94"/>
        <v>0</v>
      </c>
    </row>
    <row r="5977" spans="3:4" ht="15" x14ac:dyDescent="0.25">
      <c r="C5977" s="8" t="e">
        <f>VLOOKUP(A:A,'ITEM LIST'!A:C,3,0)</f>
        <v>#N/A</v>
      </c>
      <c r="D5977" s="6">
        <f t="shared" si="94"/>
        <v>0</v>
      </c>
    </row>
    <row r="5978" spans="3:4" ht="15" x14ac:dyDescent="0.25">
      <c r="C5978" s="8" t="e">
        <f>VLOOKUP(A:A,'ITEM LIST'!A:C,3,0)</f>
        <v>#N/A</v>
      </c>
      <c r="D5978" s="6">
        <f t="shared" si="94"/>
        <v>0</v>
      </c>
    </row>
    <row r="5979" spans="3:4" ht="15" x14ac:dyDescent="0.25">
      <c r="C5979" s="8" t="e">
        <f>VLOOKUP(A:A,'ITEM LIST'!A:C,3,0)</f>
        <v>#N/A</v>
      </c>
      <c r="D5979" s="6">
        <f t="shared" si="94"/>
        <v>0</v>
      </c>
    </row>
    <row r="5980" spans="3:4" ht="15" x14ac:dyDescent="0.25">
      <c r="C5980" s="8" t="e">
        <f>VLOOKUP(A:A,'ITEM LIST'!A:C,3,0)</f>
        <v>#N/A</v>
      </c>
      <c r="D5980" s="6">
        <f t="shared" si="94"/>
        <v>0</v>
      </c>
    </row>
    <row r="5981" spans="3:4" ht="15" x14ac:dyDescent="0.25">
      <c r="C5981" s="8" t="e">
        <f>VLOOKUP(A:A,'ITEM LIST'!A:C,3,0)</f>
        <v>#N/A</v>
      </c>
      <c r="D5981" s="6">
        <f t="shared" si="94"/>
        <v>0</v>
      </c>
    </row>
    <row r="5982" spans="3:4" ht="15" x14ac:dyDescent="0.25">
      <c r="C5982" s="8" t="e">
        <f>VLOOKUP(A:A,'ITEM LIST'!A:C,3,0)</f>
        <v>#N/A</v>
      </c>
      <c r="D5982" s="6">
        <f t="shared" si="94"/>
        <v>0</v>
      </c>
    </row>
    <row r="5983" spans="3:4" ht="15" x14ac:dyDescent="0.25">
      <c r="C5983" s="8" t="e">
        <f>VLOOKUP(A:A,'ITEM LIST'!A:C,3,0)</f>
        <v>#N/A</v>
      </c>
      <c r="D5983" s="6">
        <f t="shared" si="94"/>
        <v>0</v>
      </c>
    </row>
    <row r="5984" spans="3:4" ht="15" x14ac:dyDescent="0.25">
      <c r="C5984" s="8" t="e">
        <f>VLOOKUP(A:A,'ITEM LIST'!A:C,3,0)</f>
        <v>#N/A</v>
      </c>
      <c r="D5984" s="6">
        <f t="shared" si="94"/>
        <v>0</v>
      </c>
    </row>
    <row r="5985" spans="3:4" ht="15" x14ac:dyDescent="0.25">
      <c r="C5985" s="8" t="e">
        <f>VLOOKUP(A:A,'ITEM LIST'!A:C,3,0)</f>
        <v>#N/A</v>
      </c>
      <c r="D5985" s="6">
        <f t="shared" si="94"/>
        <v>0</v>
      </c>
    </row>
    <row r="5986" spans="3:4" ht="15" x14ac:dyDescent="0.25">
      <c r="C5986" s="8" t="e">
        <f>VLOOKUP(A:A,'ITEM LIST'!A:C,3,0)</f>
        <v>#N/A</v>
      </c>
      <c r="D5986" s="6">
        <f t="shared" si="94"/>
        <v>0</v>
      </c>
    </row>
    <row r="5987" spans="3:4" ht="15" x14ac:dyDescent="0.25">
      <c r="C5987" s="8" t="e">
        <f>VLOOKUP(A:A,'ITEM LIST'!A:C,3,0)</f>
        <v>#N/A</v>
      </c>
      <c r="D5987" s="6">
        <f t="shared" si="94"/>
        <v>0</v>
      </c>
    </row>
    <row r="5988" spans="3:4" ht="15" x14ac:dyDescent="0.25">
      <c r="C5988" s="8" t="e">
        <f>VLOOKUP(A:A,'ITEM LIST'!A:C,3,0)</f>
        <v>#N/A</v>
      </c>
      <c r="D5988" s="6">
        <f t="shared" si="94"/>
        <v>0</v>
      </c>
    </row>
    <row r="5989" spans="3:4" ht="15" x14ac:dyDescent="0.25">
      <c r="C5989" s="8" t="e">
        <f>VLOOKUP(A:A,'ITEM LIST'!A:C,3,0)</f>
        <v>#N/A</v>
      </c>
      <c r="D5989" s="6">
        <f t="shared" si="94"/>
        <v>0</v>
      </c>
    </row>
    <row r="5990" spans="3:4" ht="15" x14ac:dyDescent="0.25">
      <c r="C5990" s="8" t="e">
        <f>VLOOKUP(A:A,'ITEM LIST'!A:C,3,0)</f>
        <v>#N/A</v>
      </c>
      <c r="D5990" s="6">
        <f t="shared" si="94"/>
        <v>0</v>
      </c>
    </row>
    <row r="5991" spans="3:4" ht="15" x14ac:dyDescent="0.25">
      <c r="C5991" s="8" t="e">
        <f>VLOOKUP(A:A,'ITEM LIST'!A:C,3,0)</f>
        <v>#N/A</v>
      </c>
      <c r="D5991" s="6">
        <f t="shared" si="94"/>
        <v>0</v>
      </c>
    </row>
    <row r="5992" spans="3:4" ht="15" x14ac:dyDescent="0.25">
      <c r="C5992" s="8" t="e">
        <f>VLOOKUP(A:A,'ITEM LIST'!A:C,3,0)</f>
        <v>#N/A</v>
      </c>
      <c r="D5992" s="6">
        <f t="shared" si="94"/>
        <v>0</v>
      </c>
    </row>
    <row r="5993" spans="3:4" ht="15" x14ac:dyDescent="0.25">
      <c r="C5993" s="8" t="e">
        <f>VLOOKUP(A:A,'ITEM LIST'!A:C,3,0)</f>
        <v>#N/A</v>
      </c>
      <c r="D5993" s="6">
        <f t="shared" si="94"/>
        <v>0</v>
      </c>
    </row>
    <row r="5994" spans="3:4" ht="15" x14ac:dyDescent="0.25">
      <c r="C5994" s="8" t="e">
        <f>VLOOKUP(A:A,'ITEM LIST'!A:C,3,0)</f>
        <v>#N/A</v>
      </c>
      <c r="D5994" s="6">
        <f t="shared" si="94"/>
        <v>0</v>
      </c>
    </row>
    <row r="5995" spans="3:4" ht="15" x14ac:dyDescent="0.25">
      <c r="C5995" s="8" t="e">
        <f>VLOOKUP(A:A,'ITEM LIST'!A:C,3,0)</f>
        <v>#N/A</v>
      </c>
      <c r="D5995" s="6">
        <f t="shared" si="94"/>
        <v>0</v>
      </c>
    </row>
    <row r="5996" spans="3:4" ht="15" x14ac:dyDescent="0.25">
      <c r="C5996" s="8" t="e">
        <f>VLOOKUP(A:A,'ITEM LIST'!A:C,3,0)</f>
        <v>#N/A</v>
      </c>
      <c r="D5996" s="6">
        <f t="shared" si="94"/>
        <v>0</v>
      </c>
    </row>
    <row r="5997" spans="3:4" ht="15" x14ac:dyDescent="0.25">
      <c r="C5997" s="8" t="e">
        <f>VLOOKUP(A:A,'ITEM LIST'!A:C,3,0)</f>
        <v>#N/A</v>
      </c>
      <c r="D5997" s="6">
        <f t="shared" si="94"/>
        <v>0</v>
      </c>
    </row>
    <row r="5998" spans="3:4" ht="15" x14ac:dyDescent="0.25">
      <c r="C5998" s="8" t="e">
        <f>VLOOKUP(A:A,'ITEM LIST'!A:C,3,0)</f>
        <v>#N/A</v>
      </c>
      <c r="D5998" s="6">
        <f t="shared" si="94"/>
        <v>0</v>
      </c>
    </row>
    <row r="5999" spans="3:4" ht="15" x14ac:dyDescent="0.25">
      <c r="C5999" s="8" t="e">
        <f>VLOOKUP(A:A,'ITEM LIST'!A:C,3,0)</f>
        <v>#N/A</v>
      </c>
      <c r="D5999" s="6">
        <f t="shared" si="94"/>
        <v>0</v>
      </c>
    </row>
    <row r="6000" spans="3:4" ht="15" x14ac:dyDescent="0.25">
      <c r="C6000" s="8" t="e">
        <f>VLOOKUP(A:A,'ITEM LIST'!A:C,3,0)</f>
        <v>#N/A</v>
      </c>
      <c r="D6000" s="6">
        <f t="shared" si="94"/>
        <v>0</v>
      </c>
    </row>
    <row r="6001" spans="3:4" ht="15" x14ac:dyDescent="0.25">
      <c r="C6001" s="8" t="e">
        <f>VLOOKUP(A:A,'ITEM LIST'!A:C,3,0)</f>
        <v>#N/A</v>
      </c>
      <c r="D6001" s="6">
        <f t="shared" si="94"/>
        <v>0</v>
      </c>
    </row>
    <row r="6002" spans="3:4" ht="15" x14ac:dyDescent="0.25">
      <c r="C6002" s="8" t="e">
        <f>VLOOKUP(A:A,'ITEM LIST'!A:C,3,0)</f>
        <v>#N/A</v>
      </c>
      <c r="D6002" s="6">
        <f t="shared" si="94"/>
        <v>0</v>
      </c>
    </row>
    <row r="6003" spans="3:4" ht="15" x14ac:dyDescent="0.25">
      <c r="C6003" s="8" t="e">
        <f>VLOOKUP(A:A,'ITEM LIST'!A:C,3,0)</f>
        <v>#N/A</v>
      </c>
      <c r="D6003" s="6">
        <f t="shared" si="94"/>
        <v>0</v>
      </c>
    </row>
    <row r="6004" spans="3:4" ht="15" x14ac:dyDescent="0.25">
      <c r="C6004" s="8" t="e">
        <f>VLOOKUP(A:A,'ITEM LIST'!A:C,3,0)</f>
        <v>#N/A</v>
      </c>
      <c r="D6004" s="6">
        <f t="shared" si="94"/>
        <v>0</v>
      </c>
    </row>
    <row r="6005" spans="3:4" ht="15" x14ac:dyDescent="0.25">
      <c r="C6005" s="8" t="e">
        <f>VLOOKUP(A:A,'ITEM LIST'!A:C,3,0)</f>
        <v>#N/A</v>
      </c>
      <c r="D6005" s="6">
        <f t="shared" si="94"/>
        <v>0</v>
      </c>
    </row>
    <row r="6006" spans="3:4" ht="15" x14ac:dyDescent="0.25">
      <c r="C6006" s="8" t="e">
        <f>VLOOKUP(A:A,'ITEM LIST'!A:C,3,0)</f>
        <v>#N/A</v>
      </c>
      <c r="D6006" s="6">
        <f t="shared" si="94"/>
        <v>0</v>
      </c>
    </row>
    <row r="6007" spans="3:4" ht="15" x14ac:dyDescent="0.25">
      <c r="C6007" s="8" t="e">
        <f>VLOOKUP(A:A,'ITEM LIST'!A:C,3,0)</f>
        <v>#N/A</v>
      </c>
      <c r="D6007" s="6">
        <f t="shared" si="94"/>
        <v>0</v>
      </c>
    </row>
    <row r="6008" spans="3:4" ht="15" x14ac:dyDescent="0.25">
      <c r="C6008" s="8" t="e">
        <f>VLOOKUP(A:A,'ITEM LIST'!A:C,3,0)</f>
        <v>#N/A</v>
      </c>
      <c r="D6008" s="6">
        <f t="shared" si="94"/>
        <v>0</v>
      </c>
    </row>
    <row r="6009" spans="3:4" ht="15" x14ac:dyDescent="0.25">
      <c r="C6009" s="8" t="e">
        <f>VLOOKUP(A:A,'ITEM LIST'!A:C,3,0)</f>
        <v>#N/A</v>
      </c>
      <c r="D6009" s="6">
        <f t="shared" si="94"/>
        <v>0</v>
      </c>
    </row>
    <row r="6010" spans="3:4" ht="15" x14ac:dyDescent="0.25">
      <c r="C6010" s="8" t="e">
        <f>VLOOKUP(A:A,'ITEM LIST'!A:C,3,0)</f>
        <v>#N/A</v>
      </c>
      <c r="D6010" s="6">
        <f t="shared" si="94"/>
        <v>0</v>
      </c>
    </row>
    <row r="6011" spans="3:4" ht="15" x14ac:dyDescent="0.25">
      <c r="C6011" s="8" t="e">
        <f>VLOOKUP(A:A,'ITEM LIST'!A:C,3,0)</f>
        <v>#N/A</v>
      </c>
      <c r="D6011" s="6">
        <f t="shared" si="94"/>
        <v>0</v>
      </c>
    </row>
    <row r="6012" spans="3:4" ht="15" x14ac:dyDescent="0.25">
      <c r="C6012" s="8" t="e">
        <f>VLOOKUP(A:A,'ITEM LIST'!A:C,3,0)</f>
        <v>#N/A</v>
      </c>
      <c r="D6012" s="6">
        <f t="shared" si="94"/>
        <v>0</v>
      </c>
    </row>
    <row r="6013" spans="3:4" ht="15" x14ac:dyDescent="0.25">
      <c r="C6013" s="8" t="e">
        <f>VLOOKUP(A:A,'ITEM LIST'!A:C,3,0)</f>
        <v>#N/A</v>
      </c>
      <c r="D6013" s="6">
        <f t="shared" si="94"/>
        <v>0</v>
      </c>
    </row>
    <row r="6014" spans="3:4" ht="15" x14ac:dyDescent="0.25">
      <c r="C6014" s="8" t="e">
        <f>VLOOKUP(A:A,'ITEM LIST'!A:C,3,0)</f>
        <v>#N/A</v>
      </c>
      <c r="D6014" s="6">
        <f t="shared" si="94"/>
        <v>0</v>
      </c>
    </row>
    <row r="6015" spans="3:4" ht="15" x14ac:dyDescent="0.25">
      <c r="C6015" s="8" t="e">
        <f>VLOOKUP(A:A,'ITEM LIST'!A:C,3,0)</f>
        <v>#N/A</v>
      </c>
      <c r="D6015" s="6">
        <f t="shared" si="94"/>
        <v>0</v>
      </c>
    </row>
    <row r="6016" spans="3:4" ht="15" x14ac:dyDescent="0.25">
      <c r="C6016" s="8" t="e">
        <f>VLOOKUP(A:A,'ITEM LIST'!A:C,3,0)</f>
        <v>#N/A</v>
      </c>
      <c r="D6016" s="6">
        <f t="shared" si="94"/>
        <v>0</v>
      </c>
    </row>
    <row r="6017" spans="3:4" ht="15" x14ac:dyDescent="0.25">
      <c r="C6017" s="8" t="e">
        <f>VLOOKUP(A:A,'ITEM LIST'!A:C,3,0)</f>
        <v>#N/A</v>
      </c>
      <c r="D6017" s="6">
        <f t="shared" si="94"/>
        <v>0</v>
      </c>
    </row>
    <row r="6018" spans="3:4" ht="15" x14ac:dyDescent="0.25">
      <c r="C6018" s="8" t="e">
        <f>VLOOKUP(A:A,'ITEM LIST'!A:C,3,0)</f>
        <v>#N/A</v>
      </c>
      <c r="D6018" s="6">
        <f t="shared" si="94"/>
        <v>0</v>
      </c>
    </row>
    <row r="6019" spans="3:4" ht="15" x14ac:dyDescent="0.25">
      <c r="C6019" s="8" t="e">
        <f>VLOOKUP(A:A,'ITEM LIST'!A:C,3,0)</f>
        <v>#N/A</v>
      </c>
      <c r="D6019" s="6">
        <f t="shared" si="94"/>
        <v>0</v>
      </c>
    </row>
    <row r="6020" spans="3:4" ht="15" x14ac:dyDescent="0.25">
      <c r="C6020" s="8" t="e">
        <f>VLOOKUP(A:A,'ITEM LIST'!A:C,3,0)</f>
        <v>#N/A</v>
      </c>
      <c r="D6020" s="6">
        <f t="shared" si="94"/>
        <v>0</v>
      </c>
    </row>
    <row r="6021" spans="3:4" ht="15" x14ac:dyDescent="0.25">
      <c r="C6021" s="8" t="e">
        <f>VLOOKUP(A:A,'ITEM LIST'!A:C,3,0)</f>
        <v>#N/A</v>
      </c>
      <c r="D6021" s="6">
        <f t="shared" si="94"/>
        <v>0</v>
      </c>
    </row>
    <row r="6022" spans="3:4" ht="15" x14ac:dyDescent="0.25">
      <c r="C6022" s="8" t="e">
        <f>VLOOKUP(A:A,'ITEM LIST'!A:C,3,0)</f>
        <v>#N/A</v>
      </c>
      <c r="D6022" s="6">
        <f t="shared" ref="D6022:D6085" si="95">B6022</f>
        <v>0</v>
      </c>
    </row>
    <row r="6023" spans="3:4" ht="15" x14ac:dyDescent="0.25">
      <c r="C6023" s="8" t="e">
        <f>VLOOKUP(A:A,'ITEM LIST'!A:C,3,0)</f>
        <v>#N/A</v>
      </c>
      <c r="D6023" s="6">
        <f t="shared" si="95"/>
        <v>0</v>
      </c>
    </row>
    <row r="6024" spans="3:4" ht="15" x14ac:dyDescent="0.25">
      <c r="C6024" s="8" t="e">
        <f>VLOOKUP(A:A,'ITEM LIST'!A:C,3,0)</f>
        <v>#N/A</v>
      </c>
      <c r="D6024" s="6">
        <f t="shared" si="95"/>
        <v>0</v>
      </c>
    </row>
    <row r="6025" spans="3:4" ht="15" x14ac:dyDescent="0.25">
      <c r="C6025" s="8" t="e">
        <f>VLOOKUP(A:A,'ITEM LIST'!A:C,3,0)</f>
        <v>#N/A</v>
      </c>
      <c r="D6025" s="6">
        <f t="shared" si="95"/>
        <v>0</v>
      </c>
    </row>
    <row r="6026" spans="3:4" ht="15" x14ac:dyDescent="0.25">
      <c r="C6026" s="8" t="e">
        <f>VLOOKUP(A:A,'ITEM LIST'!A:C,3,0)</f>
        <v>#N/A</v>
      </c>
      <c r="D6026" s="6">
        <f t="shared" si="95"/>
        <v>0</v>
      </c>
    </row>
    <row r="6027" spans="3:4" ht="15" x14ac:dyDescent="0.25">
      <c r="C6027" s="8" t="e">
        <f>VLOOKUP(A:A,'ITEM LIST'!A:C,3,0)</f>
        <v>#N/A</v>
      </c>
      <c r="D6027" s="6">
        <f t="shared" si="95"/>
        <v>0</v>
      </c>
    </row>
    <row r="6028" spans="3:4" ht="15" x14ac:dyDescent="0.25">
      <c r="C6028" s="8" t="e">
        <f>VLOOKUP(A:A,'ITEM LIST'!A:C,3,0)</f>
        <v>#N/A</v>
      </c>
      <c r="D6028" s="6">
        <f t="shared" si="95"/>
        <v>0</v>
      </c>
    </row>
    <row r="6029" spans="3:4" ht="15" x14ac:dyDescent="0.25">
      <c r="C6029" s="8" t="e">
        <f>VLOOKUP(A:A,'ITEM LIST'!A:C,3,0)</f>
        <v>#N/A</v>
      </c>
      <c r="D6029" s="6">
        <f t="shared" si="95"/>
        <v>0</v>
      </c>
    </row>
    <row r="6030" spans="3:4" ht="15" x14ac:dyDescent="0.25">
      <c r="C6030" s="8" t="e">
        <f>VLOOKUP(A:A,'ITEM LIST'!A:C,3,0)</f>
        <v>#N/A</v>
      </c>
      <c r="D6030" s="6">
        <f t="shared" si="95"/>
        <v>0</v>
      </c>
    </row>
    <row r="6031" spans="3:4" ht="15" x14ac:dyDescent="0.25">
      <c r="C6031" s="8" t="e">
        <f>VLOOKUP(A:A,'ITEM LIST'!A:C,3,0)</f>
        <v>#N/A</v>
      </c>
      <c r="D6031" s="6">
        <f t="shared" si="95"/>
        <v>0</v>
      </c>
    </row>
    <row r="6032" spans="3:4" ht="15" x14ac:dyDescent="0.25">
      <c r="C6032" s="8" t="e">
        <f>VLOOKUP(A:A,'ITEM LIST'!A:C,3,0)</f>
        <v>#N/A</v>
      </c>
      <c r="D6032" s="6">
        <f t="shared" si="95"/>
        <v>0</v>
      </c>
    </row>
    <row r="6033" spans="3:4" ht="15" x14ac:dyDescent="0.25">
      <c r="C6033" s="8" t="e">
        <f>VLOOKUP(A:A,'ITEM LIST'!A:C,3,0)</f>
        <v>#N/A</v>
      </c>
      <c r="D6033" s="6">
        <f t="shared" si="95"/>
        <v>0</v>
      </c>
    </row>
    <row r="6034" spans="3:4" ht="15" x14ac:dyDescent="0.25">
      <c r="C6034" s="8" t="e">
        <f>VLOOKUP(A:A,'ITEM LIST'!A:C,3,0)</f>
        <v>#N/A</v>
      </c>
      <c r="D6034" s="6">
        <f t="shared" si="95"/>
        <v>0</v>
      </c>
    </row>
    <row r="6035" spans="3:4" ht="15" x14ac:dyDescent="0.25">
      <c r="C6035" s="8" t="e">
        <f>VLOOKUP(A:A,'ITEM LIST'!A:C,3,0)</f>
        <v>#N/A</v>
      </c>
      <c r="D6035" s="6">
        <f t="shared" si="95"/>
        <v>0</v>
      </c>
    </row>
    <row r="6036" spans="3:4" ht="15" x14ac:dyDescent="0.25">
      <c r="C6036" s="8" t="e">
        <f>VLOOKUP(A:A,'ITEM LIST'!A:C,3,0)</f>
        <v>#N/A</v>
      </c>
      <c r="D6036" s="6">
        <f t="shared" si="95"/>
        <v>0</v>
      </c>
    </row>
    <row r="6037" spans="3:4" ht="15" x14ac:dyDescent="0.25">
      <c r="C6037" s="8" t="e">
        <f>VLOOKUP(A:A,'ITEM LIST'!A:C,3,0)</f>
        <v>#N/A</v>
      </c>
      <c r="D6037" s="6">
        <f t="shared" si="95"/>
        <v>0</v>
      </c>
    </row>
    <row r="6038" spans="3:4" ht="15" x14ac:dyDescent="0.25">
      <c r="C6038" s="8" t="e">
        <f>VLOOKUP(A:A,'ITEM LIST'!A:C,3,0)</f>
        <v>#N/A</v>
      </c>
      <c r="D6038" s="6">
        <f t="shared" si="95"/>
        <v>0</v>
      </c>
    </row>
    <row r="6039" spans="3:4" ht="15" x14ac:dyDescent="0.25">
      <c r="C6039" s="8" t="e">
        <f>VLOOKUP(A:A,'ITEM LIST'!A:C,3,0)</f>
        <v>#N/A</v>
      </c>
      <c r="D6039" s="6">
        <f t="shared" si="95"/>
        <v>0</v>
      </c>
    </row>
    <row r="6040" spans="3:4" ht="15" x14ac:dyDescent="0.25">
      <c r="C6040" s="8" t="e">
        <f>VLOOKUP(A:A,'ITEM LIST'!A:C,3,0)</f>
        <v>#N/A</v>
      </c>
      <c r="D6040" s="6">
        <f t="shared" si="95"/>
        <v>0</v>
      </c>
    </row>
    <row r="6041" spans="3:4" ht="15" x14ac:dyDescent="0.25">
      <c r="C6041" s="8" t="e">
        <f>VLOOKUP(A:A,'ITEM LIST'!A:C,3,0)</f>
        <v>#N/A</v>
      </c>
      <c r="D6041" s="6">
        <f t="shared" si="95"/>
        <v>0</v>
      </c>
    </row>
    <row r="6042" spans="3:4" ht="15" x14ac:dyDescent="0.25">
      <c r="C6042" s="8" t="e">
        <f>VLOOKUP(A:A,'ITEM LIST'!A:C,3,0)</f>
        <v>#N/A</v>
      </c>
      <c r="D6042" s="6">
        <f t="shared" si="95"/>
        <v>0</v>
      </c>
    </row>
    <row r="6043" spans="3:4" ht="15" x14ac:dyDescent="0.25">
      <c r="C6043" s="8" t="e">
        <f>VLOOKUP(A:A,'ITEM LIST'!A:C,3,0)</f>
        <v>#N/A</v>
      </c>
      <c r="D6043" s="6">
        <f t="shared" si="95"/>
        <v>0</v>
      </c>
    </row>
    <row r="6044" spans="3:4" ht="15" x14ac:dyDescent="0.25">
      <c r="C6044" s="8" t="e">
        <f>VLOOKUP(A:A,'ITEM LIST'!A:C,3,0)</f>
        <v>#N/A</v>
      </c>
      <c r="D6044" s="6">
        <f t="shared" si="95"/>
        <v>0</v>
      </c>
    </row>
    <row r="6045" spans="3:4" ht="15" x14ac:dyDescent="0.25">
      <c r="C6045" s="8" t="e">
        <f>VLOOKUP(A:A,'ITEM LIST'!A:C,3,0)</f>
        <v>#N/A</v>
      </c>
      <c r="D6045" s="6">
        <f t="shared" si="95"/>
        <v>0</v>
      </c>
    </row>
    <row r="6046" spans="3:4" ht="15" x14ac:dyDescent="0.25">
      <c r="C6046" s="8" t="e">
        <f>VLOOKUP(A:A,'ITEM LIST'!A:C,3,0)</f>
        <v>#N/A</v>
      </c>
      <c r="D6046" s="6">
        <f t="shared" si="95"/>
        <v>0</v>
      </c>
    </row>
    <row r="6047" spans="3:4" ht="15" x14ac:dyDescent="0.25">
      <c r="C6047" s="8" t="e">
        <f>VLOOKUP(A:A,'ITEM LIST'!A:C,3,0)</f>
        <v>#N/A</v>
      </c>
      <c r="D6047" s="6">
        <f t="shared" si="95"/>
        <v>0</v>
      </c>
    </row>
    <row r="6048" spans="3:4" ht="15" x14ac:dyDescent="0.25">
      <c r="C6048" s="8" t="e">
        <f>VLOOKUP(A:A,'ITEM LIST'!A:C,3,0)</f>
        <v>#N/A</v>
      </c>
      <c r="D6048" s="6">
        <f t="shared" si="95"/>
        <v>0</v>
      </c>
    </row>
    <row r="6049" spans="3:4" ht="15" x14ac:dyDescent="0.25">
      <c r="C6049" s="8" t="e">
        <f>VLOOKUP(A:A,'ITEM LIST'!A:C,3,0)</f>
        <v>#N/A</v>
      </c>
      <c r="D6049" s="6">
        <f t="shared" si="95"/>
        <v>0</v>
      </c>
    </row>
    <row r="6050" spans="3:4" ht="15" x14ac:dyDescent="0.25">
      <c r="C6050" s="8" t="e">
        <f>VLOOKUP(A:A,'ITEM LIST'!A:C,3,0)</f>
        <v>#N/A</v>
      </c>
      <c r="D6050" s="6">
        <f t="shared" si="95"/>
        <v>0</v>
      </c>
    </row>
    <row r="6051" spans="3:4" ht="15" x14ac:dyDescent="0.25">
      <c r="C6051" s="8" t="e">
        <f>VLOOKUP(A:A,'ITEM LIST'!A:C,3,0)</f>
        <v>#N/A</v>
      </c>
      <c r="D6051" s="6">
        <f t="shared" si="95"/>
        <v>0</v>
      </c>
    </row>
    <row r="6052" spans="3:4" ht="15" x14ac:dyDescent="0.25">
      <c r="C6052" s="8" t="e">
        <f>VLOOKUP(A:A,'ITEM LIST'!A:C,3,0)</f>
        <v>#N/A</v>
      </c>
      <c r="D6052" s="6">
        <f t="shared" si="95"/>
        <v>0</v>
      </c>
    </row>
    <row r="6053" spans="3:4" ht="15" x14ac:dyDescent="0.25">
      <c r="C6053" s="8" t="e">
        <f>VLOOKUP(A:A,'ITEM LIST'!A:C,3,0)</f>
        <v>#N/A</v>
      </c>
      <c r="D6053" s="6">
        <f t="shared" si="95"/>
        <v>0</v>
      </c>
    </row>
    <row r="6054" spans="3:4" ht="15" x14ac:dyDescent="0.25">
      <c r="C6054" s="8" t="e">
        <f>VLOOKUP(A:A,'ITEM LIST'!A:C,3,0)</f>
        <v>#N/A</v>
      </c>
      <c r="D6054" s="6">
        <f t="shared" si="95"/>
        <v>0</v>
      </c>
    </row>
    <row r="6055" spans="3:4" ht="15" x14ac:dyDescent="0.25">
      <c r="C6055" s="8" t="e">
        <f>VLOOKUP(A:A,'ITEM LIST'!A:C,3,0)</f>
        <v>#N/A</v>
      </c>
      <c r="D6055" s="6">
        <f t="shared" si="95"/>
        <v>0</v>
      </c>
    </row>
    <row r="6056" spans="3:4" ht="15" x14ac:dyDescent="0.25">
      <c r="C6056" s="8" t="e">
        <f>VLOOKUP(A:A,'ITEM LIST'!A:C,3,0)</f>
        <v>#N/A</v>
      </c>
      <c r="D6056" s="6">
        <f t="shared" si="95"/>
        <v>0</v>
      </c>
    </row>
    <row r="6057" spans="3:4" ht="15" x14ac:dyDescent="0.25">
      <c r="C6057" s="8" t="e">
        <f>VLOOKUP(A:A,'ITEM LIST'!A:C,3,0)</f>
        <v>#N/A</v>
      </c>
      <c r="D6057" s="6">
        <f t="shared" si="95"/>
        <v>0</v>
      </c>
    </row>
    <row r="6058" spans="3:4" ht="15" x14ac:dyDescent="0.25">
      <c r="C6058" s="8" t="e">
        <f>VLOOKUP(A:A,'ITEM LIST'!A:C,3,0)</f>
        <v>#N/A</v>
      </c>
      <c r="D6058" s="6">
        <f t="shared" si="95"/>
        <v>0</v>
      </c>
    </row>
    <row r="6059" spans="3:4" ht="15" x14ac:dyDescent="0.25">
      <c r="C6059" s="8" t="e">
        <f>VLOOKUP(A:A,'ITEM LIST'!A:C,3,0)</f>
        <v>#N/A</v>
      </c>
      <c r="D6059" s="6">
        <f t="shared" si="95"/>
        <v>0</v>
      </c>
    </row>
    <row r="6060" spans="3:4" ht="15" x14ac:dyDescent="0.25">
      <c r="C6060" s="8" t="e">
        <f>VLOOKUP(A:A,'ITEM LIST'!A:C,3,0)</f>
        <v>#N/A</v>
      </c>
      <c r="D6060" s="6">
        <f t="shared" si="95"/>
        <v>0</v>
      </c>
    </row>
    <row r="6061" spans="3:4" ht="15" x14ac:dyDescent="0.25">
      <c r="C6061" s="8" t="e">
        <f>VLOOKUP(A:A,'ITEM LIST'!A:C,3,0)</f>
        <v>#N/A</v>
      </c>
      <c r="D6061" s="6">
        <f t="shared" si="95"/>
        <v>0</v>
      </c>
    </row>
    <row r="6062" spans="3:4" ht="15" x14ac:dyDescent="0.25">
      <c r="C6062" s="8" t="e">
        <f>VLOOKUP(A:A,'ITEM LIST'!A:C,3,0)</f>
        <v>#N/A</v>
      </c>
      <c r="D6062" s="6">
        <f t="shared" si="95"/>
        <v>0</v>
      </c>
    </row>
    <row r="6063" spans="3:4" ht="15" x14ac:dyDescent="0.25">
      <c r="C6063" s="8" t="e">
        <f>VLOOKUP(A:A,'ITEM LIST'!A:C,3,0)</f>
        <v>#N/A</v>
      </c>
      <c r="D6063" s="6">
        <f t="shared" si="95"/>
        <v>0</v>
      </c>
    </row>
    <row r="6064" spans="3:4" ht="15" x14ac:dyDescent="0.25">
      <c r="C6064" s="8" t="e">
        <f>VLOOKUP(A:A,'ITEM LIST'!A:C,3,0)</f>
        <v>#N/A</v>
      </c>
      <c r="D6064" s="6">
        <f t="shared" si="95"/>
        <v>0</v>
      </c>
    </row>
    <row r="6065" spans="3:4" ht="15" x14ac:dyDescent="0.25">
      <c r="C6065" s="8" t="e">
        <f>VLOOKUP(A:A,'ITEM LIST'!A:C,3,0)</f>
        <v>#N/A</v>
      </c>
      <c r="D6065" s="6">
        <f t="shared" si="95"/>
        <v>0</v>
      </c>
    </row>
    <row r="6066" spans="3:4" ht="15" x14ac:dyDescent="0.25">
      <c r="C6066" s="8" t="e">
        <f>VLOOKUP(A:A,'ITEM LIST'!A:C,3,0)</f>
        <v>#N/A</v>
      </c>
      <c r="D6066" s="6">
        <f t="shared" si="95"/>
        <v>0</v>
      </c>
    </row>
    <row r="6067" spans="3:4" ht="15" x14ac:dyDescent="0.25">
      <c r="C6067" s="8" t="e">
        <f>VLOOKUP(A:A,'ITEM LIST'!A:C,3,0)</f>
        <v>#N/A</v>
      </c>
      <c r="D6067" s="6">
        <f t="shared" si="95"/>
        <v>0</v>
      </c>
    </row>
    <row r="6068" spans="3:4" ht="15" x14ac:dyDescent="0.25">
      <c r="C6068" s="8" t="e">
        <f>VLOOKUP(A:A,'ITEM LIST'!A:C,3,0)</f>
        <v>#N/A</v>
      </c>
      <c r="D6068" s="6">
        <f t="shared" si="95"/>
        <v>0</v>
      </c>
    </row>
    <row r="6069" spans="3:4" ht="15" x14ac:dyDescent="0.25">
      <c r="C6069" s="8" t="e">
        <f>VLOOKUP(A:A,'ITEM LIST'!A:C,3,0)</f>
        <v>#N/A</v>
      </c>
      <c r="D6069" s="6">
        <f t="shared" si="95"/>
        <v>0</v>
      </c>
    </row>
    <row r="6070" spans="3:4" ht="15" x14ac:dyDescent="0.25">
      <c r="C6070" s="8" t="e">
        <f>VLOOKUP(A:A,'ITEM LIST'!A:C,3,0)</f>
        <v>#N/A</v>
      </c>
      <c r="D6070" s="6">
        <f t="shared" si="95"/>
        <v>0</v>
      </c>
    </row>
    <row r="6071" spans="3:4" ht="15" x14ac:dyDescent="0.25">
      <c r="C6071" s="8" t="e">
        <f>VLOOKUP(A:A,'ITEM LIST'!A:C,3,0)</f>
        <v>#N/A</v>
      </c>
      <c r="D6071" s="6">
        <f t="shared" si="95"/>
        <v>0</v>
      </c>
    </row>
    <row r="6072" spans="3:4" ht="15" x14ac:dyDescent="0.25">
      <c r="C6072" s="8" t="e">
        <f>VLOOKUP(A:A,'ITEM LIST'!A:C,3,0)</f>
        <v>#N/A</v>
      </c>
      <c r="D6072" s="6">
        <f t="shared" si="95"/>
        <v>0</v>
      </c>
    </row>
    <row r="6073" spans="3:4" ht="15" x14ac:dyDescent="0.25">
      <c r="C6073" s="8" t="e">
        <f>VLOOKUP(A:A,'ITEM LIST'!A:C,3,0)</f>
        <v>#N/A</v>
      </c>
      <c r="D6073" s="6">
        <f t="shared" si="95"/>
        <v>0</v>
      </c>
    </row>
    <row r="6074" spans="3:4" ht="15" x14ac:dyDescent="0.25">
      <c r="C6074" s="8" t="e">
        <f>VLOOKUP(A:A,'ITEM LIST'!A:C,3,0)</f>
        <v>#N/A</v>
      </c>
      <c r="D6074" s="6">
        <f t="shared" si="95"/>
        <v>0</v>
      </c>
    </row>
    <row r="6075" spans="3:4" ht="15" x14ac:dyDescent="0.25">
      <c r="C6075" s="8" t="e">
        <f>VLOOKUP(A:A,'ITEM LIST'!A:C,3,0)</f>
        <v>#N/A</v>
      </c>
      <c r="D6075" s="6">
        <f t="shared" si="95"/>
        <v>0</v>
      </c>
    </row>
    <row r="6076" spans="3:4" ht="15" x14ac:dyDescent="0.25">
      <c r="C6076" s="8" t="e">
        <f>VLOOKUP(A:A,'ITEM LIST'!A:C,3,0)</f>
        <v>#N/A</v>
      </c>
      <c r="D6076" s="6">
        <f t="shared" si="95"/>
        <v>0</v>
      </c>
    </row>
    <row r="6077" spans="3:4" ht="15" x14ac:dyDescent="0.25">
      <c r="C6077" s="8" t="e">
        <f>VLOOKUP(A:A,'ITEM LIST'!A:C,3,0)</f>
        <v>#N/A</v>
      </c>
      <c r="D6077" s="6">
        <f t="shared" si="95"/>
        <v>0</v>
      </c>
    </row>
    <row r="6078" spans="3:4" ht="15" x14ac:dyDescent="0.25">
      <c r="C6078" s="8" t="e">
        <f>VLOOKUP(A:A,'ITEM LIST'!A:C,3,0)</f>
        <v>#N/A</v>
      </c>
      <c r="D6078" s="6">
        <f t="shared" si="95"/>
        <v>0</v>
      </c>
    </row>
    <row r="6079" spans="3:4" ht="15" x14ac:dyDescent="0.25">
      <c r="C6079" s="8" t="e">
        <f>VLOOKUP(A:A,'ITEM LIST'!A:C,3,0)</f>
        <v>#N/A</v>
      </c>
      <c r="D6079" s="6">
        <f t="shared" si="95"/>
        <v>0</v>
      </c>
    </row>
    <row r="6080" spans="3:4" ht="15" x14ac:dyDescent="0.25">
      <c r="C6080" s="8" t="e">
        <f>VLOOKUP(A:A,'ITEM LIST'!A:C,3,0)</f>
        <v>#N/A</v>
      </c>
      <c r="D6080" s="6">
        <f t="shared" si="95"/>
        <v>0</v>
      </c>
    </row>
    <row r="6081" spans="3:4" ht="15" x14ac:dyDescent="0.25">
      <c r="C6081" s="8" t="e">
        <f>VLOOKUP(A:A,'ITEM LIST'!A:C,3,0)</f>
        <v>#N/A</v>
      </c>
      <c r="D6081" s="6">
        <f t="shared" si="95"/>
        <v>0</v>
      </c>
    </row>
    <row r="6082" spans="3:4" ht="15" x14ac:dyDescent="0.25">
      <c r="C6082" s="8" t="e">
        <f>VLOOKUP(A:A,'ITEM LIST'!A:C,3,0)</f>
        <v>#N/A</v>
      </c>
      <c r="D6082" s="6">
        <f t="shared" si="95"/>
        <v>0</v>
      </c>
    </row>
    <row r="6083" spans="3:4" ht="15" x14ac:dyDescent="0.25">
      <c r="C6083" s="8" t="e">
        <f>VLOOKUP(A:A,'ITEM LIST'!A:C,3,0)</f>
        <v>#N/A</v>
      </c>
      <c r="D6083" s="6">
        <f t="shared" si="95"/>
        <v>0</v>
      </c>
    </row>
    <row r="6084" spans="3:4" ht="15" x14ac:dyDescent="0.25">
      <c r="C6084" s="8" t="e">
        <f>VLOOKUP(A:A,'ITEM LIST'!A:C,3,0)</f>
        <v>#N/A</v>
      </c>
      <c r="D6084" s="6">
        <f t="shared" si="95"/>
        <v>0</v>
      </c>
    </row>
    <row r="6085" spans="3:4" ht="15" x14ac:dyDescent="0.25">
      <c r="C6085" s="8" t="e">
        <f>VLOOKUP(A:A,'ITEM LIST'!A:C,3,0)</f>
        <v>#N/A</v>
      </c>
      <c r="D6085" s="6">
        <f t="shared" si="95"/>
        <v>0</v>
      </c>
    </row>
    <row r="6086" spans="3:4" ht="15" x14ac:dyDescent="0.25">
      <c r="C6086" s="8" t="e">
        <f>VLOOKUP(A:A,'ITEM LIST'!A:C,3,0)</f>
        <v>#N/A</v>
      </c>
      <c r="D6086" s="6">
        <f t="shared" ref="D6086:D6149" si="96">B6086</f>
        <v>0</v>
      </c>
    </row>
    <row r="6087" spans="3:4" ht="15" x14ac:dyDescent="0.25">
      <c r="C6087" s="8" t="e">
        <f>VLOOKUP(A:A,'ITEM LIST'!A:C,3,0)</f>
        <v>#N/A</v>
      </c>
      <c r="D6087" s="6">
        <f t="shared" si="96"/>
        <v>0</v>
      </c>
    </row>
    <row r="6088" spans="3:4" ht="15" x14ac:dyDescent="0.25">
      <c r="C6088" s="8" t="e">
        <f>VLOOKUP(A:A,'ITEM LIST'!A:C,3,0)</f>
        <v>#N/A</v>
      </c>
      <c r="D6088" s="6">
        <f t="shared" si="96"/>
        <v>0</v>
      </c>
    </row>
    <row r="6089" spans="3:4" ht="15" x14ac:dyDescent="0.25">
      <c r="C6089" s="8" t="e">
        <f>VLOOKUP(A:A,'ITEM LIST'!A:C,3,0)</f>
        <v>#N/A</v>
      </c>
      <c r="D6089" s="6">
        <f t="shared" si="96"/>
        <v>0</v>
      </c>
    </row>
    <row r="6090" spans="3:4" ht="15" x14ac:dyDescent="0.25">
      <c r="C6090" s="8" t="e">
        <f>VLOOKUP(A:A,'ITEM LIST'!A:C,3,0)</f>
        <v>#N/A</v>
      </c>
      <c r="D6090" s="6">
        <f t="shared" si="96"/>
        <v>0</v>
      </c>
    </row>
    <row r="6091" spans="3:4" ht="15" x14ac:dyDescent="0.25">
      <c r="C6091" s="8" t="e">
        <f>VLOOKUP(A:A,'ITEM LIST'!A:C,3,0)</f>
        <v>#N/A</v>
      </c>
      <c r="D6091" s="6">
        <f t="shared" si="96"/>
        <v>0</v>
      </c>
    </row>
    <row r="6092" spans="3:4" ht="15" x14ac:dyDescent="0.25">
      <c r="C6092" s="8" t="e">
        <f>VLOOKUP(A:A,'ITEM LIST'!A:C,3,0)</f>
        <v>#N/A</v>
      </c>
      <c r="D6092" s="6">
        <f t="shared" si="96"/>
        <v>0</v>
      </c>
    </row>
    <row r="6093" spans="3:4" ht="15" x14ac:dyDescent="0.25">
      <c r="C6093" s="8" t="e">
        <f>VLOOKUP(A:A,'ITEM LIST'!A:C,3,0)</f>
        <v>#N/A</v>
      </c>
      <c r="D6093" s="6">
        <f t="shared" si="96"/>
        <v>0</v>
      </c>
    </row>
    <row r="6094" spans="3:4" ht="15" x14ac:dyDescent="0.25">
      <c r="C6094" s="8" t="e">
        <f>VLOOKUP(A:A,'ITEM LIST'!A:C,3,0)</f>
        <v>#N/A</v>
      </c>
      <c r="D6094" s="6">
        <f t="shared" si="96"/>
        <v>0</v>
      </c>
    </row>
    <row r="6095" spans="3:4" ht="15" x14ac:dyDescent="0.25">
      <c r="C6095" s="8" t="e">
        <f>VLOOKUP(A:A,'ITEM LIST'!A:C,3,0)</f>
        <v>#N/A</v>
      </c>
      <c r="D6095" s="6">
        <f t="shared" si="96"/>
        <v>0</v>
      </c>
    </row>
    <row r="6096" spans="3:4" ht="15" x14ac:dyDescent="0.25">
      <c r="C6096" s="8" t="e">
        <f>VLOOKUP(A:A,'ITEM LIST'!A:C,3,0)</f>
        <v>#N/A</v>
      </c>
      <c r="D6096" s="6">
        <f t="shared" si="96"/>
        <v>0</v>
      </c>
    </row>
    <row r="6097" spans="3:4" ht="15" x14ac:dyDescent="0.25">
      <c r="C6097" s="8" t="e">
        <f>VLOOKUP(A:A,'ITEM LIST'!A:C,3,0)</f>
        <v>#N/A</v>
      </c>
      <c r="D6097" s="6">
        <f t="shared" si="96"/>
        <v>0</v>
      </c>
    </row>
    <row r="6098" spans="3:4" ht="15" x14ac:dyDescent="0.25">
      <c r="C6098" s="8" t="e">
        <f>VLOOKUP(A:A,'ITEM LIST'!A:C,3,0)</f>
        <v>#N/A</v>
      </c>
      <c r="D6098" s="6">
        <f t="shared" si="96"/>
        <v>0</v>
      </c>
    </row>
    <row r="6099" spans="3:4" ht="15" x14ac:dyDescent="0.25">
      <c r="C6099" s="8" t="e">
        <f>VLOOKUP(A:A,'ITEM LIST'!A:C,3,0)</f>
        <v>#N/A</v>
      </c>
      <c r="D6099" s="6">
        <f t="shared" si="96"/>
        <v>0</v>
      </c>
    </row>
    <row r="6100" spans="3:4" ht="15" x14ac:dyDescent="0.25">
      <c r="C6100" s="8" t="e">
        <f>VLOOKUP(A:A,'ITEM LIST'!A:C,3,0)</f>
        <v>#N/A</v>
      </c>
      <c r="D6100" s="6">
        <f t="shared" si="96"/>
        <v>0</v>
      </c>
    </row>
    <row r="6101" spans="3:4" ht="15" x14ac:dyDescent="0.25">
      <c r="C6101" s="8" t="e">
        <f>VLOOKUP(A:A,'ITEM LIST'!A:C,3,0)</f>
        <v>#N/A</v>
      </c>
      <c r="D6101" s="6">
        <f t="shared" si="96"/>
        <v>0</v>
      </c>
    </row>
    <row r="6102" spans="3:4" ht="15" x14ac:dyDescent="0.25">
      <c r="C6102" s="8" t="e">
        <f>VLOOKUP(A:A,'ITEM LIST'!A:C,3,0)</f>
        <v>#N/A</v>
      </c>
      <c r="D6102" s="6">
        <f t="shared" si="96"/>
        <v>0</v>
      </c>
    </row>
    <row r="6103" spans="3:4" ht="15" x14ac:dyDescent="0.25">
      <c r="C6103" s="8" t="e">
        <f>VLOOKUP(A:A,'ITEM LIST'!A:C,3,0)</f>
        <v>#N/A</v>
      </c>
      <c r="D6103" s="6">
        <f t="shared" si="96"/>
        <v>0</v>
      </c>
    </row>
    <row r="6104" spans="3:4" ht="15" x14ac:dyDescent="0.25">
      <c r="C6104" s="8" t="e">
        <f>VLOOKUP(A:A,'ITEM LIST'!A:C,3,0)</f>
        <v>#N/A</v>
      </c>
      <c r="D6104" s="6">
        <f t="shared" si="96"/>
        <v>0</v>
      </c>
    </row>
    <row r="6105" spans="3:4" ht="15" x14ac:dyDescent="0.25">
      <c r="C6105" s="8" t="e">
        <f>VLOOKUP(A:A,'ITEM LIST'!A:C,3,0)</f>
        <v>#N/A</v>
      </c>
      <c r="D6105" s="6">
        <f t="shared" si="96"/>
        <v>0</v>
      </c>
    </row>
    <row r="6106" spans="3:4" ht="15" x14ac:dyDescent="0.25">
      <c r="C6106" s="8" t="e">
        <f>VLOOKUP(A:A,'ITEM LIST'!A:C,3,0)</f>
        <v>#N/A</v>
      </c>
      <c r="D6106" s="6">
        <f t="shared" si="96"/>
        <v>0</v>
      </c>
    </row>
    <row r="6107" spans="3:4" ht="15" x14ac:dyDescent="0.25">
      <c r="C6107" s="8" t="e">
        <f>VLOOKUP(A:A,'ITEM LIST'!A:C,3,0)</f>
        <v>#N/A</v>
      </c>
      <c r="D6107" s="6">
        <f t="shared" si="96"/>
        <v>0</v>
      </c>
    </row>
    <row r="6108" spans="3:4" ht="15" x14ac:dyDescent="0.25">
      <c r="C6108" s="8" t="e">
        <f>VLOOKUP(A:A,'ITEM LIST'!A:C,3,0)</f>
        <v>#N/A</v>
      </c>
      <c r="D6108" s="6">
        <f t="shared" si="96"/>
        <v>0</v>
      </c>
    </row>
    <row r="6109" spans="3:4" ht="15" x14ac:dyDescent="0.25">
      <c r="C6109" s="8" t="e">
        <f>VLOOKUP(A:A,'ITEM LIST'!A:C,3,0)</f>
        <v>#N/A</v>
      </c>
      <c r="D6109" s="6">
        <f t="shared" si="96"/>
        <v>0</v>
      </c>
    </row>
    <row r="6110" spans="3:4" ht="15" x14ac:dyDescent="0.25">
      <c r="C6110" s="8" t="e">
        <f>VLOOKUP(A:A,'ITEM LIST'!A:C,3,0)</f>
        <v>#N/A</v>
      </c>
      <c r="D6110" s="6">
        <f t="shared" si="96"/>
        <v>0</v>
      </c>
    </row>
    <row r="6111" spans="3:4" ht="15" x14ac:dyDescent="0.25">
      <c r="C6111" s="8" t="e">
        <f>VLOOKUP(A:A,'ITEM LIST'!A:C,3,0)</f>
        <v>#N/A</v>
      </c>
      <c r="D6111" s="6">
        <f t="shared" si="96"/>
        <v>0</v>
      </c>
    </row>
    <row r="6112" spans="3:4" ht="15" x14ac:dyDescent="0.25">
      <c r="C6112" s="8" t="e">
        <f>VLOOKUP(A:A,'ITEM LIST'!A:C,3,0)</f>
        <v>#N/A</v>
      </c>
      <c r="D6112" s="6">
        <f t="shared" si="96"/>
        <v>0</v>
      </c>
    </row>
    <row r="6113" spans="3:4" ht="15" x14ac:dyDescent="0.25">
      <c r="C6113" s="8" t="e">
        <f>VLOOKUP(A:A,'ITEM LIST'!A:C,3,0)</f>
        <v>#N/A</v>
      </c>
      <c r="D6113" s="6">
        <f t="shared" si="96"/>
        <v>0</v>
      </c>
    </row>
    <row r="6114" spans="3:4" ht="15" x14ac:dyDescent="0.25">
      <c r="C6114" s="8" t="e">
        <f>VLOOKUP(A:A,'ITEM LIST'!A:C,3,0)</f>
        <v>#N/A</v>
      </c>
      <c r="D6114" s="6">
        <f t="shared" si="96"/>
        <v>0</v>
      </c>
    </row>
    <row r="6115" spans="3:4" ht="15" x14ac:dyDescent="0.25">
      <c r="C6115" s="8" t="e">
        <f>VLOOKUP(A:A,'ITEM LIST'!A:C,3,0)</f>
        <v>#N/A</v>
      </c>
      <c r="D6115" s="6">
        <f t="shared" si="96"/>
        <v>0</v>
      </c>
    </row>
    <row r="6116" spans="3:4" ht="15" x14ac:dyDescent="0.25">
      <c r="C6116" s="8" t="e">
        <f>VLOOKUP(A:A,'ITEM LIST'!A:C,3,0)</f>
        <v>#N/A</v>
      </c>
      <c r="D6116" s="6">
        <f t="shared" si="96"/>
        <v>0</v>
      </c>
    </row>
    <row r="6117" spans="3:4" ht="15" x14ac:dyDescent="0.25">
      <c r="C6117" s="8" t="e">
        <f>VLOOKUP(A:A,'ITEM LIST'!A:C,3,0)</f>
        <v>#N/A</v>
      </c>
      <c r="D6117" s="6">
        <f t="shared" si="96"/>
        <v>0</v>
      </c>
    </row>
    <row r="6118" spans="3:4" ht="15" x14ac:dyDescent="0.25">
      <c r="C6118" s="8" t="e">
        <f>VLOOKUP(A:A,'ITEM LIST'!A:C,3,0)</f>
        <v>#N/A</v>
      </c>
      <c r="D6118" s="6">
        <f t="shared" si="96"/>
        <v>0</v>
      </c>
    </row>
    <row r="6119" spans="3:4" ht="15" x14ac:dyDescent="0.25">
      <c r="C6119" s="8" t="e">
        <f>VLOOKUP(A:A,'ITEM LIST'!A:C,3,0)</f>
        <v>#N/A</v>
      </c>
      <c r="D6119" s="6">
        <f t="shared" si="96"/>
        <v>0</v>
      </c>
    </row>
    <row r="6120" spans="3:4" ht="15" x14ac:dyDescent="0.25">
      <c r="C6120" s="8" t="e">
        <f>VLOOKUP(A:A,'ITEM LIST'!A:C,3,0)</f>
        <v>#N/A</v>
      </c>
      <c r="D6120" s="6">
        <f t="shared" si="96"/>
        <v>0</v>
      </c>
    </row>
    <row r="6121" spans="3:4" ht="15" x14ac:dyDescent="0.25">
      <c r="C6121" s="8" t="e">
        <f>VLOOKUP(A:A,'ITEM LIST'!A:C,3,0)</f>
        <v>#N/A</v>
      </c>
      <c r="D6121" s="6">
        <f t="shared" si="96"/>
        <v>0</v>
      </c>
    </row>
    <row r="6122" spans="3:4" ht="15" x14ac:dyDescent="0.25">
      <c r="C6122" s="8" t="e">
        <f>VLOOKUP(A:A,'ITEM LIST'!A:C,3,0)</f>
        <v>#N/A</v>
      </c>
      <c r="D6122" s="6">
        <f t="shared" si="96"/>
        <v>0</v>
      </c>
    </row>
    <row r="6123" spans="3:4" ht="15" x14ac:dyDescent="0.25">
      <c r="C6123" s="8" t="e">
        <f>VLOOKUP(A:A,'ITEM LIST'!A:C,3,0)</f>
        <v>#N/A</v>
      </c>
      <c r="D6123" s="6">
        <f t="shared" si="96"/>
        <v>0</v>
      </c>
    </row>
    <row r="6124" spans="3:4" ht="15" x14ac:dyDescent="0.25">
      <c r="C6124" s="8" t="e">
        <f>VLOOKUP(A:A,'ITEM LIST'!A:C,3,0)</f>
        <v>#N/A</v>
      </c>
      <c r="D6124" s="6">
        <f t="shared" si="96"/>
        <v>0</v>
      </c>
    </row>
    <row r="6125" spans="3:4" ht="15" x14ac:dyDescent="0.25">
      <c r="C6125" s="8" t="e">
        <f>VLOOKUP(A:A,'ITEM LIST'!A:C,3,0)</f>
        <v>#N/A</v>
      </c>
      <c r="D6125" s="6">
        <f t="shared" si="96"/>
        <v>0</v>
      </c>
    </row>
    <row r="6126" spans="3:4" ht="15" x14ac:dyDescent="0.25">
      <c r="C6126" s="8" t="e">
        <f>VLOOKUP(A:A,'ITEM LIST'!A:C,3,0)</f>
        <v>#N/A</v>
      </c>
      <c r="D6126" s="6">
        <f t="shared" si="96"/>
        <v>0</v>
      </c>
    </row>
    <row r="6127" spans="3:4" ht="15" x14ac:dyDescent="0.25">
      <c r="C6127" s="8" t="e">
        <f>VLOOKUP(A:A,'ITEM LIST'!A:C,3,0)</f>
        <v>#N/A</v>
      </c>
      <c r="D6127" s="6">
        <f t="shared" si="96"/>
        <v>0</v>
      </c>
    </row>
    <row r="6128" spans="3:4" ht="15" x14ac:dyDescent="0.25">
      <c r="C6128" s="8" t="e">
        <f>VLOOKUP(A:A,'ITEM LIST'!A:C,3,0)</f>
        <v>#N/A</v>
      </c>
      <c r="D6128" s="6">
        <f t="shared" si="96"/>
        <v>0</v>
      </c>
    </row>
    <row r="6129" spans="3:4" ht="15" x14ac:dyDescent="0.25">
      <c r="C6129" s="8" t="e">
        <f>VLOOKUP(A:A,'ITEM LIST'!A:C,3,0)</f>
        <v>#N/A</v>
      </c>
      <c r="D6129" s="6">
        <f t="shared" si="96"/>
        <v>0</v>
      </c>
    </row>
    <row r="6130" spans="3:4" ht="15" x14ac:dyDescent="0.25">
      <c r="C6130" s="8" t="e">
        <f>VLOOKUP(A:A,'ITEM LIST'!A:C,3,0)</f>
        <v>#N/A</v>
      </c>
      <c r="D6130" s="6">
        <f t="shared" si="96"/>
        <v>0</v>
      </c>
    </row>
    <row r="6131" spans="3:4" ht="15" x14ac:dyDescent="0.25">
      <c r="C6131" s="8" t="e">
        <f>VLOOKUP(A:A,'ITEM LIST'!A:C,3,0)</f>
        <v>#N/A</v>
      </c>
      <c r="D6131" s="6">
        <f t="shared" si="96"/>
        <v>0</v>
      </c>
    </row>
    <row r="6132" spans="3:4" ht="15" x14ac:dyDescent="0.25">
      <c r="C6132" s="8" t="e">
        <f>VLOOKUP(A:A,'ITEM LIST'!A:C,3,0)</f>
        <v>#N/A</v>
      </c>
      <c r="D6132" s="6">
        <f t="shared" si="96"/>
        <v>0</v>
      </c>
    </row>
    <row r="6133" spans="3:4" ht="15" x14ac:dyDescent="0.25">
      <c r="C6133" s="8" t="e">
        <f>VLOOKUP(A:A,'ITEM LIST'!A:C,3,0)</f>
        <v>#N/A</v>
      </c>
      <c r="D6133" s="6">
        <f t="shared" si="96"/>
        <v>0</v>
      </c>
    </row>
    <row r="6134" spans="3:4" ht="15" x14ac:dyDescent="0.25">
      <c r="C6134" s="8" t="e">
        <f>VLOOKUP(A:A,'ITEM LIST'!A:C,3,0)</f>
        <v>#N/A</v>
      </c>
      <c r="D6134" s="6">
        <f t="shared" si="96"/>
        <v>0</v>
      </c>
    </row>
    <row r="6135" spans="3:4" ht="15" x14ac:dyDescent="0.25">
      <c r="C6135" s="8" t="e">
        <f>VLOOKUP(A:A,'ITEM LIST'!A:C,3,0)</f>
        <v>#N/A</v>
      </c>
      <c r="D6135" s="6">
        <f t="shared" si="96"/>
        <v>0</v>
      </c>
    </row>
    <row r="6136" spans="3:4" ht="15" x14ac:dyDescent="0.25">
      <c r="C6136" s="8" t="e">
        <f>VLOOKUP(A:A,'ITEM LIST'!A:C,3,0)</f>
        <v>#N/A</v>
      </c>
      <c r="D6136" s="6">
        <f t="shared" si="96"/>
        <v>0</v>
      </c>
    </row>
    <row r="6137" spans="3:4" ht="15" x14ac:dyDescent="0.25">
      <c r="C6137" s="8" t="e">
        <f>VLOOKUP(A:A,'ITEM LIST'!A:C,3,0)</f>
        <v>#N/A</v>
      </c>
      <c r="D6137" s="6">
        <f t="shared" si="96"/>
        <v>0</v>
      </c>
    </row>
    <row r="6138" spans="3:4" ht="15" x14ac:dyDescent="0.25">
      <c r="C6138" s="8" t="e">
        <f>VLOOKUP(A:A,'ITEM LIST'!A:C,3,0)</f>
        <v>#N/A</v>
      </c>
      <c r="D6138" s="6">
        <f t="shared" si="96"/>
        <v>0</v>
      </c>
    </row>
    <row r="6139" spans="3:4" ht="15" x14ac:dyDescent="0.25">
      <c r="C6139" s="8" t="e">
        <f>VLOOKUP(A:A,'ITEM LIST'!A:C,3,0)</f>
        <v>#N/A</v>
      </c>
      <c r="D6139" s="6">
        <f t="shared" si="96"/>
        <v>0</v>
      </c>
    </row>
    <row r="6140" spans="3:4" ht="15" x14ac:dyDescent="0.25">
      <c r="C6140" s="8" t="e">
        <f>VLOOKUP(A:A,'ITEM LIST'!A:C,3,0)</f>
        <v>#N/A</v>
      </c>
      <c r="D6140" s="6">
        <f t="shared" si="96"/>
        <v>0</v>
      </c>
    </row>
    <row r="6141" spans="3:4" ht="15" x14ac:dyDescent="0.25">
      <c r="C6141" s="8" t="e">
        <f>VLOOKUP(A:A,'ITEM LIST'!A:C,3,0)</f>
        <v>#N/A</v>
      </c>
      <c r="D6141" s="6">
        <f t="shared" si="96"/>
        <v>0</v>
      </c>
    </row>
    <row r="6142" spans="3:4" ht="15" x14ac:dyDescent="0.25">
      <c r="C6142" s="8" t="e">
        <f>VLOOKUP(A:A,'ITEM LIST'!A:C,3,0)</f>
        <v>#N/A</v>
      </c>
      <c r="D6142" s="6">
        <f t="shared" si="96"/>
        <v>0</v>
      </c>
    </row>
    <row r="6143" spans="3:4" ht="15" x14ac:dyDescent="0.25">
      <c r="C6143" s="8" t="e">
        <f>VLOOKUP(A:A,'ITEM LIST'!A:C,3,0)</f>
        <v>#N/A</v>
      </c>
      <c r="D6143" s="6">
        <f t="shared" si="96"/>
        <v>0</v>
      </c>
    </row>
    <row r="6144" spans="3:4" ht="15" x14ac:dyDescent="0.25">
      <c r="C6144" s="8" t="e">
        <f>VLOOKUP(A:A,'ITEM LIST'!A:C,3,0)</f>
        <v>#N/A</v>
      </c>
      <c r="D6144" s="6">
        <f t="shared" si="96"/>
        <v>0</v>
      </c>
    </row>
    <row r="6145" spans="3:4" ht="15" x14ac:dyDescent="0.25">
      <c r="C6145" s="8" t="e">
        <f>VLOOKUP(A:A,'ITEM LIST'!A:C,3,0)</f>
        <v>#N/A</v>
      </c>
      <c r="D6145" s="6">
        <f t="shared" si="96"/>
        <v>0</v>
      </c>
    </row>
    <row r="6146" spans="3:4" ht="15" x14ac:dyDescent="0.25">
      <c r="C6146" s="8" t="e">
        <f>VLOOKUP(A:A,'ITEM LIST'!A:C,3,0)</f>
        <v>#N/A</v>
      </c>
      <c r="D6146" s="6">
        <f t="shared" si="96"/>
        <v>0</v>
      </c>
    </row>
    <row r="6147" spans="3:4" ht="15" x14ac:dyDescent="0.25">
      <c r="C6147" s="8" t="e">
        <f>VLOOKUP(A:A,'ITEM LIST'!A:C,3,0)</f>
        <v>#N/A</v>
      </c>
      <c r="D6147" s="6">
        <f t="shared" si="96"/>
        <v>0</v>
      </c>
    </row>
    <row r="6148" spans="3:4" ht="15" x14ac:dyDescent="0.25">
      <c r="C6148" s="8" t="e">
        <f>VLOOKUP(A:A,'ITEM LIST'!A:C,3,0)</f>
        <v>#N/A</v>
      </c>
      <c r="D6148" s="6">
        <f t="shared" si="96"/>
        <v>0</v>
      </c>
    </row>
    <row r="6149" spans="3:4" ht="15" x14ac:dyDescent="0.25">
      <c r="C6149" s="8" t="e">
        <f>VLOOKUP(A:A,'ITEM LIST'!A:C,3,0)</f>
        <v>#N/A</v>
      </c>
      <c r="D6149" s="6">
        <f t="shared" si="96"/>
        <v>0</v>
      </c>
    </row>
    <row r="6150" spans="3:4" ht="15" x14ac:dyDescent="0.25">
      <c r="C6150" s="8" t="e">
        <f>VLOOKUP(A:A,'ITEM LIST'!A:C,3,0)</f>
        <v>#N/A</v>
      </c>
      <c r="D6150" s="6">
        <f t="shared" ref="D6150:D6213" si="97">B6150</f>
        <v>0</v>
      </c>
    </row>
    <row r="6151" spans="3:4" ht="15" x14ac:dyDescent="0.25">
      <c r="C6151" s="8" t="e">
        <f>VLOOKUP(A:A,'ITEM LIST'!A:C,3,0)</f>
        <v>#N/A</v>
      </c>
      <c r="D6151" s="6">
        <f t="shared" si="97"/>
        <v>0</v>
      </c>
    </row>
    <row r="6152" spans="3:4" ht="15" x14ac:dyDescent="0.25">
      <c r="C6152" s="8" t="e">
        <f>VLOOKUP(A:A,'ITEM LIST'!A:C,3,0)</f>
        <v>#N/A</v>
      </c>
      <c r="D6152" s="6">
        <f t="shared" si="97"/>
        <v>0</v>
      </c>
    </row>
    <row r="6153" spans="3:4" ht="15" x14ac:dyDescent="0.25">
      <c r="C6153" s="8" t="e">
        <f>VLOOKUP(A:A,'ITEM LIST'!A:C,3,0)</f>
        <v>#N/A</v>
      </c>
      <c r="D6153" s="6">
        <f t="shared" si="97"/>
        <v>0</v>
      </c>
    </row>
    <row r="6154" spans="3:4" ht="15" x14ac:dyDescent="0.25">
      <c r="C6154" s="8" t="e">
        <f>VLOOKUP(A:A,'ITEM LIST'!A:C,3,0)</f>
        <v>#N/A</v>
      </c>
      <c r="D6154" s="6">
        <f t="shared" si="97"/>
        <v>0</v>
      </c>
    </row>
    <row r="6155" spans="3:4" ht="15" x14ac:dyDescent="0.25">
      <c r="C6155" s="8" t="e">
        <f>VLOOKUP(A:A,'ITEM LIST'!A:C,3,0)</f>
        <v>#N/A</v>
      </c>
      <c r="D6155" s="6">
        <f t="shared" si="97"/>
        <v>0</v>
      </c>
    </row>
    <row r="6156" spans="3:4" ht="15" x14ac:dyDescent="0.25">
      <c r="C6156" s="8" t="e">
        <f>VLOOKUP(A:A,'ITEM LIST'!A:C,3,0)</f>
        <v>#N/A</v>
      </c>
      <c r="D6156" s="6">
        <f t="shared" si="97"/>
        <v>0</v>
      </c>
    </row>
    <row r="6157" spans="3:4" ht="15" x14ac:dyDescent="0.25">
      <c r="C6157" s="8" t="e">
        <f>VLOOKUP(A:A,'ITEM LIST'!A:C,3,0)</f>
        <v>#N/A</v>
      </c>
      <c r="D6157" s="6">
        <f t="shared" si="97"/>
        <v>0</v>
      </c>
    </row>
    <row r="6158" spans="3:4" ht="15" x14ac:dyDescent="0.25">
      <c r="C6158" s="8" t="e">
        <f>VLOOKUP(A:A,'ITEM LIST'!A:C,3,0)</f>
        <v>#N/A</v>
      </c>
      <c r="D6158" s="6">
        <f t="shared" si="97"/>
        <v>0</v>
      </c>
    </row>
    <row r="6159" spans="3:4" ht="15" x14ac:dyDescent="0.25">
      <c r="C6159" s="8" t="e">
        <f>VLOOKUP(A:A,'ITEM LIST'!A:C,3,0)</f>
        <v>#N/A</v>
      </c>
      <c r="D6159" s="6">
        <f t="shared" si="97"/>
        <v>0</v>
      </c>
    </row>
    <row r="6160" spans="3:4" ht="15" x14ac:dyDescent="0.25">
      <c r="C6160" s="8" t="e">
        <f>VLOOKUP(A:A,'ITEM LIST'!A:C,3,0)</f>
        <v>#N/A</v>
      </c>
      <c r="D6160" s="6">
        <f t="shared" si="97"/>
        <v>0</v>
      </c>
    </row>
    <row r="6161" spans="3:4" ht="15" x14ac:dyDescent="0.25">
      <c r="C6161" s="8" t="e">
        <f>VLOOKUP(A:A,'ITEM LIST'!A:C,3,0)</f>
        <v>#N/A</v>
      </c>
      <c r="D6161" s="6">
        <f t="shared" si="97"/>
        <v>0</v>
      </c>
    </row>
    <row r="6162" spans="3:4" ht="15" x14ac:dyDescent="0.25">
      <c r="C6162" s="8" t="e">
        <f>VLOOKUP(A:A,'ITEM LIST'!A:C,3,0)</f>
        <v>#N/A</v>
      </c>
      <c r="D6162" s="6">
        <f t="shared" si="97"/>
        <v>0</v>
      </c>
    </row>
    <row r="6163" spans="3:4" ht="15" x14ac:dyDescent="0.25">
      <c r="C6163" s="8" t="e">
        <f>VLOOKUP(A:A,'ITEM LIST'!A:C,3,0)</f>
        <v>#N/A</v>
      </c>
      <c r="D6163" s="6">
        <f t="shared" si="97"/>
        <v>0</v>
      </c>
    </row>
    <row r="6164" spans="3:4" ht="15" x14ac:dyDescent="0.25">
      <c r="C6164" s="8" t="e">
        <f>VLOOKUP(A:A,'ITEM LIST'!A:C,3,0)</f>
        <v>#N/A</v>
      </c>
      <c r="D6164" s="6">
        <f t="shared" si="97"/>
        <v>0</v>
      </c>
    </row>
    <row r="6165" spans="3:4" ht="15" x14ac:dyDescent="0.25">
      <c r="C6165" s="8" t="e">
        <f>VLOOKUP(A:A,'ITEM LIST'!A:C,3,0)</f>
        <v>#N/A</v>
      </c>
      <c r="D6165" s="6">
        <f t="shared" si="97"/>
        <v>0</v>
      </c>
    </row>
    <row r="6166" spans="3:4" ht="15" x14ac:dyDescent="0.25">
      <c r="C6166" s="8" t="e">
        <f>VLOOKUP(A:A,'ITEM LIST'!A:C,3,0)</f>
        <v>#N/A</v>
      </c>
      <c r="D6166" s="6">
        <f t="shared" si="97"/>
        <v>0</v>
      </c>
    </row>
    <row r="6167" spans="3:4" ht="15" x14ac:dyDescent="0.25">
      <c r="C6167" s="8" t="e">
        <f>VLOOKUP(A:A,'ITEM LIST'!A:C,3,0)</f>
        <v>#N/A</v>
      </c>
      <c r="D6167" s="6">
        <f t="shared" si="97"/>
        <v>0</v>
      </c>
    </row>
    <row r="6168" spans="3:4" ht="15" x14ac:dyDescent="0.25">
      <c r="C6168" s="8" t="e">
        <f>VLOOKUP(A:A,'ITEM LIST'!A:C,3,0)</f>
        <v>#N/A</v>
      </c>
      <c r="D6168" s="6">
        <f t="shared" si="97"/>
        <v>0</v>
      </c>
    </row>
    <row r="6169" spans="3:4" ht="15" x14ac:dyDescent="0.25">
      <c r="C6169" s="8" t="e">
        <f>VLOOKUP(A:A,'ITEM LIST'!A:C,3,0)</f>
        <v>#N/A</v>
      </c>
      <c r="D6169" s="6">
        <f t="shared" si="97"/>
        <v>0</v>
      </c>
    </row>
    <row r="6170" spans="3:4" ht="15" x14ac:dyDescent="0.25">
      <c r="C6170" s="8" t="e">
        <f>VLOOKUP(A:A,'ITEM LIST'!A:C,3,0)</f>
        <v>#N/A</v>
      </c>
      <c r="D6170" s="6">
        <f t="shared" si="97"/>
        <v>0</v>
      </c>
    </row>
    <row r="6171" spans="3:4" ht="15" x14ac:dyDescent="0.25">
      <c r="C6171" s="8" t="e">
        <f>VLOOKUP(A:A,'ITEM LIST'!A:C,3,0)</f>
        <v>#N/A</v>
      </c>
      <c r="D6171" s="6">
        <f t="shared" si="97"/>
        <v>0</v>
      </c>
    </row>
    <row r="6172" spans="3:4" ht="15" x14ac:dyDescent="0.25">
      <c r="C6172" s="8" t="e">
        <f>VLOOKUP(A:A,'ITEM LIST'!A:C,3,0)</f>
        <v>#N/A</v>
      </c>
      <c r="D6172" s="6">
        <f t="shared" si="97"/>
        <v>0</v>
      </c>
    </row>
    <row r="6173" spans="3:4" ht="15" x14ac:dyDescent="0.25">
      <c r="C6173" s="8" t="e">
        <f>VLOOKUP(A:A,'ITEM LIST'!A:C,3,0)</f>
        <v>#N/A</v>
      </c>
      <c r="D6173" s="6">
        <f t="shared" si="97"/>
        <v>0</v>
      </c>
    </row>
    <row r="6174" spans="3:4" ht="15" x14ac:dyDescent="0.25">
      <c r="C6174" s="8" t="e">
        <f>VLOOKUP(A:A,'ITEM LIST'!A:C,3,0)</f>
        <v>#N/A</v>
      </c>
      <c r="D6174" s="6">
        <f t="shared" si="97"/>
        <v>0</v>
      </c>
    </row>
    <row r="6175" spans="3:4" ht="15" x14ac:dyDescent="0.25">
      <c r="C6175" s="8" t="e">
        <f>VLOOKUP(A:A,'ITEM LIST'!A:C,3,0)</f>
        <v>#N/A</v>
      </c>
      <c r="D6175" s="6">
        <f t="shared" si="97"/>
        <v>0</v>
      </c>
    </row>
    <row r="6176" spans="3:4" ht="15" x14ac:dyDescent="0.25">
      <c r="C6176" s="8" t="e">
        <f>VLOOKUP(A:A,'ITEM LIST'!A:C,3,0)</f>
        <v>#N/A</v>
      </c>
      <c r="D6176" s="6">
        <f t="shared" si="97"/>
        <v>0</v>
      </c>
    </row>
    <row r="6177" spans="3:4" ht="15" x14ac:dyDescent="0.25">
      <c r="C6177" s="8" t="e">
        <f>VLOOKUP(A:A,'ITEM LIST'!A:C,3,0)</f>
        <v>#N/A</v>
      </c>
      <c r="D6177" s="6">
        <f t="shared" si="97"/>
        <v>0</v>
      </c>
    </row>
    <row r="6178" spans="3:4" ht="15" x14ac:dyDescent="0.25">
      <c r="C6178" s="8" t="e">
        <f>VLOOKUP(A:A,'ITEM LIST'!A:C,3,0)</f>
        <v>#N/A</v>
      </c>
      <c r="D6178" s="6">
        <f t="shared" si="97"/>
        <v>0</v>
      </c>
    </row>
    <row r="6179" spans="3:4" ht="15" x14ac:dyDescent="0.25">
      <c r="C6179" s="8" t="e">
        <f>VLOOKUP(A:A,'ITEM LIST'!A:C,3,0)</f>
        <v>#N/A</v>
      </c>
      <c r="D6179" s="6">
        <f t="shared" si="97"/>
        <v>0</v>
      </c>
    </row>
    <row r="6180" spans="3:4" ht="15" x14ac:dyDescent="0.25">
      <c r="C6180" s="8" t="e">
        <f>VLOOKUP(A:A,'ITEM LIST'!A:C,3,0)</f>
        <v>#N/A</v>
      </c>
      <c r="D6180" s="6">
        <f t="shared" si="97"/>
        <v>0</v>
      </c>
    </row>
    <row r="6181" spans="3:4" ht="15" x14ac:dyDescent="0.25">
      <c r="C6181" s="8" t="e">
        <f>VLOOKUP(A:A,'ITEM LIST'!A:C,3,0)</f>
        <v>#N/A</v>
      </c>
      <c r="D6181" s="6">
        <f t="shared" si="97"/>
        <v>0</v>
      </c>
    </row>
    <row r="6182" spans="3:4" ht="15" x14ac:dyDescent="0.25">
      <c r="C6182" s="8" t="e">
        <f>VLOOKUP(A:A,'ITEM LIST'!A:C,3,0)</f>
        <v>#N/A</v>
      </c>
      <c r="D6182" s="6">
        <f t="shared" si="97"/>
        <v>0</v>
      </c>
    </row>
    <row r="6183" spans="3:4" ht="15" x14ac:dyDescent="0.25">
      <c r="C6183" s="8" t="e">
        <f>VLOOKUP(A:A,'ITEM LIST'!A:C,3,0)</f>
        <v>#N/A</v>
      </c>
      <c r="D6183" s="6">
        <f t="shared" si="97"/>
        <v>0</v>
      </c>
    </row>
    <row r="6184" spans="3:4" ht="15" x14ac:dyDescent="0.25">
      <c r="C6184" s="8" t="e">
        <f>VLOOKUP(A:A,'ITEM LIST'!A:C,3,0)</f>
        <v>#N/A</v>
      </c>
      <c r="D6184" s="6">
        <f t="shared" si="97"/>
        <v>0</v>
      </c>
    </row>
    <row r="6185" spans="3:4" ht="15" x14ac:dyDescent="0.25">
      <c r="C6185" s="8" t="e">
        <f>VLOOKUP(A:A,'ITEM LIST'!A:C,3,0)</f>
        <v>#N/A</v>
      </c>
      <c r="D6185" s="6">
        <f t="shared" si="97"/>
        <v>0</v>
      </c>
    </row>
    <row r="6186" spans="3:4" ht="15" x14ac:dyDescent="0.25">
      <c r="C6186" s="8" t="e">
        <f>VLOOKUP(A:A,'ITEM LIST'!A:C,3,0)</f>
        <v>#N/A</v>
      </c>
      <c r="D6186" s="6">
        <f t="shared" si="97"/>
        <v>0</v>
      </c>
    </row>
    <row r="6187" spans="3:4" ht="15" x14ac:dyDescent="0.25">
      <c r="C6187" s="8" t="e">
        <f>VLOOKUP(A:A,'ITEM LIST'!A:C,3,0)</f>
        <v>#N/A</v>
      </c>
      <c r="D6187" s="6">
        <f t="shared" si="97"/>
        <v>0</v>
      </c>
    </row>
    <row r="6188" spans="3:4" ht="15" x14ac:dyDescent="0.25">
      <c r="C6188" s="8" t="e">
        <f>VLOOKUP(A:A,'ITEM LIST'!A:C,3,0)</f>
        <v>#N/A</v>
      </c>
      <c r="D6188" s="6">
        <f t="shared" si="97"/>
        <v>0</v>
      </c>
    </row>
    <row r="6189" spans="3:4" ht="15" x14ac:dyDescent="0.25">
      <c r="C6189" s="8" t="e">
        <f>VLOOKUP(A:A,'ITEM LIST'!A:C,3,0)</f>
        <v>#N/A</v>
      </c>
      <c r="D6189" s="6">
        <f t="shared" si="97"/>
        <v>0</v>
      </c>
    </row>
    <row r="6190" spans="3:4" ht="15" x14ac:dyDescent="0.25">
      <c r="C6190" s="8" t="e">
        <f>VLOOKUP(A:A,'ITEM LIST'!A:C,3,0)</f>
        <v>#N/A</v>
      </c>
      <c r="D6190" s="6">
        <f t="shared" si="97"/>
        <v>0</v>
      </c>
    </row>
    <row r="6191" spans="3:4" ht="15" x14ac:dyDescent="0.25">
      <c r="C6191" s="8" t="e">
        <f>VLOOKUP(A:A,'ITEM LIST'!A:C,3,0)</f>
        <v>#N/A</v>
      </c>
      <c r="D6191" s="6">
        <f t="shared" si="97"/>
        <v>0</v>
      </c>
    </row>
    <row r="6192" spans="3:4" ht="15" x14ac:dyDescent="0.25">
      <c r="C6192" s="8" t="e">
        <f>VLOOKUP(A:A,'ITEM LIST'!A:C,3,0)</f>
        <v>#N/A</v>
      </c>
      <c r="D6192" s="6">
        <f t="shared" si="97"/>
        <v>0</v>
      </c>
    </row>
    <row r="6193" spans="3:4" ht="15" x14ac:dyDescent="0.25">
      <c r="C6193" s="8" t="e">
        <f>VLOOKUP(A:A,'ITEM LIST'!A:C,3,0)</f>
        <v>#N/A</v>
      </c>
      <c r="D6193" s="6">
        <f t="shared" si="97"/>
        <v>0</v>
      </c>
    </row>
    <row r="6194" spans="3:4" ht="15" x14ac:dyDescent="0.25">
      <c r="C6194" s="8" t="e">
        <f>VLOOKUP(A:A,'ITEM LIST'!A:C,3,0)</f>
        <v>#N/A</v>
      </c>
      <c r="D6194" s="6">
        <f t="shared" si="97"/>
        <v>0</v>
      </c>
    </row>
    <row r="6195" spans="3:4" ht="15" x14ac:dyDescent="0.25">
      <c r="C6195" s="8" t="e">
        <f>VLOOKUP(A:A,'ITEM LIST'!A:C,3,0)</f>
        <v>#N/A</v>
      </c>
      <c r="D6195" s="6">
        <f t="shared" si="97"/>
        <v>0</v>
      </c>
    </row>
    <row r="6196" spans="3:4" ht="15" x14ac:dyDescent="0.25">
      <c r="C6196" s="8" t="e">
        <f>VLOOKUP(A:A,'ITEM LIST'!A:C,3,0)</f>
        <v>#N/A</v>
      </c>
      <c r="D6196" s="6">
        <f t="shared" si="97"/>
        <v>0</v>
      </c>
    </row>
    <row r="6197" spans="3:4" ht="15" x14ac:dyDescent="0.25">
      <c r="C6197" s="8" t="e">
        <f>VLOOKUP(A:A,'ITEM LIST'!A:C,3,0)</f>
        <v>#N/A</v>
      </c>
      <c r="D6197" s="6">
        <f t="shared" si="97"/>
        <v>0</v>
      </c>
    </row>
    <row r="6198" spans="3:4" ht="15" x14ac:dyDescent="0.25">
      <c r="C6198" s="8" t="e">
        <f>VLOOKUP(A:A,'ITEM LIST'!A:C,3,0)</f>
        <v>#N/A</v>
      </c>
      <c r="D6198" s="6">
        <f t="shared" si="97"/>
        <v>0</v>
      </c>
    </row>
    <row r="6199" spans="3:4" ht="15" x14ac:dyDescent="0.25">
      <c r="C6199" s="8" t="e">
        <f>VLOOKUP(A:A,'ITEM LIST'!A:C,3,0)</f>
        <v>#N/A</v>
      </c>
      <c r="D6199" s="6">
        <f t="shared" si="97"/>
        <v>0</v>
      </c>
    </row>
    <row r="6200" spans="3:4" ht="15" x14ac:dyDescent="0.25">
      <c r="C6200" s="8" t="e">
        <f>VLOOKUP(A:A,'ITEM LIST'!A:C,3,0)</f>
        <v>#N/A</v>
      </c>
      <c r="D6200" s="6">
        <f t="shared" si="97"/>
        <v>0</v>
      </c>
    </row>
    <row r="6201" spans="3:4" ht="15" x14ac:dyDescent="0.25">
      <c r="C6201" s="8" t="e">
        <f>VLOOKUP(A:A,'ITEM LIST'!A:C,3,0)</f>
        <v>#N/A</v>
      </c>
      <c r="D6201" s="6">
        <f t="shared" si="97"/>
        <v>0</v>
      </c>
    </row>
    <row r="6202" spans="3:4" ht="15" x14ac:dyDescent="0.25">
      <c r="C6202" s="8" t="e">
        <f>VLOOKUP(A:A,'ITEM LIST'!A:C,3,0)</f>
        <v>#N/A</v>
      </c>
      <c r="D6202" s="6">
        <f t="shared" si="97"/>
        <v>0</v>
      </c>
    </row>
    <row r="6203" spans="3:4" ht="15" x14ac:dyDescent="0.25">
      <c r="C6203" s="8" t="e">
        <f>VLOOKUP(A:A,'ITEM LIST'!A:C,3,0)</f>
        <v>#N/A</v>
      </c>
      <c r="D6203" s="6">
        <f t="shared" si="97"/>
        <v>0</v>
      </c>
    </row>
    <row r="6204" spans="3:4" ht="15" x14ac:dyDescent="0.25">
      <c r="C6204" s="8" t="e">
        <f>VLOOKUP(A:A,'ITEM LIST'!A:C,3,0)</f>
        <v>#N/A</v>
      </c>
      <c r="D6204" s="6">
        <f t="shared" si="97"/>
        <v>0</v>
      </c>
    </row>
    <row r="6205" spans="3:4" ht="15" x14ac:dyDescent="0.25">
      <c r="C6205" s="8" t="e">
        <f>VLOOKUP(A:A,'ITEM LIST'!A:C,3,0)</f>
        <v>#N/A</v>
      </c>
      <c r="D6205" s="6">
        <f t="shared" si="97"/>
        <v>0</v>
      </c>
    </row>
    <row r="6206" spans="3:4" ht="15" x14ac:dyDescent="0.25">
      <c r="C6206" s="8" t="e">
        <f>VLOOKUP(A:A,'ITEM LIST'!A:C,3,0)</f>
        <v>#N/A</v>
      </c>
      <c r="D6206" s="6">
        <f t="shared" si="97"/>
        <v>0</v>
      </c>
    </row>
    <row r="6207" spans="3:4" ht="15" x14ac:dyDescent="0.25">
      <c r="C6207" s="8" t="e">
        <f>VLOOKUP(A:A,'ITEM LIST'!A:C,3,0)</f>
        <v>#N/A</v>
      </c>
      <c r="D6207" s="6">
        <f t="shared" si="97"/>
        <v>0</v>
      </c>
    </row>
    <row r="6208" spans="3:4" ht="15" x14ac:dyDescent="0.25">
      <c r="C6208" s="8" t="e">
        <f>VLOOKUP(A:A,'ITEM LIST'!A:C,3,0)</f>
        <v>#N/A</v>
      </c>
      <c r="D6208" s="6">
        <f t="shared" si="97"/>
        <v>0</v>
      </c>
    </row>
    <row r="6209" spans="3:4" ht="15" x14ac:dyDescent="0.25">
      <c r="C6209" s="8" t="e">
        <f>VLOOKUP(A:A,'ITEM LIST'!A:C,3,0)</f>
        <v>#N/A</v>
      </c>
      <c r="D6209" s="6">
        <f t="shared" si="97"/>
        <v>0</v>
      </c>
    </row>
    <row r="6210" spans="3:4" ht="15" x14ac:dyDescent="0.25">
      <c r="C6210" s="8" t="e">
        <f>VLOOKUP(A:A,'ITEM LIST'!A:C,3,0)</f>
        <v>#N/A</v>
      </c>
      <c r="D6210" s="6">
        <f t="shared" si="97"/>
        <v>0</v>
      </c>
    </row>
    <row r="6211" spans="3:4" ht="15" x14ac:dyDescent="0.25">
      <c r="C6211" s="8" t="e">
        <f>VLOOKUP(A:A,'ITEM LIST'!A:C,3,0)</f>
        <v>#N/A</v>
      </c>
      <c r="D6211" s="6">
        <f t="shared" si="97"/>
        <v>0</v>
      </c>
    </row>
    <row r="6212" spans="3:4" ht="15" x14ac:dyDescent="0.25">
      <c r="C6212" s="8" t="e">
        <f>VLOOKUP(A:A,'ITEM LIST'!A:C,3,0)</f>
        <v>#N/A</v>
      </c>
      <c r="D6212" s="6">
        <f t="shared" si="97"/>
        <v>0</v>
      </c>
    </row>
    <row r="6213" spans="3:4" ht="15" x14ac:dyDescent="0.25">
      <c r="C6213" s="8" t="e">
        <f>VLOOKUP(A:A,'ITEM LIST'!A:C,3,0)</f>
        <v>#N/A</v>
      </c>
      <c r="D6213" s="6">
        <f t="shared" si="97"/>
        <v>0</v>
      </c>
    </row>
    <row r="6214" spans="3:4" ht="15" x14ac:dyDescent="0.25">
      <c r="C6214" s="8" t="e">
        <f>VLOOKUP(A:A,'ITEM LIST'!A:C,3,0)</f>
        <v>#N/A</v>
      </c>
      <c r="D6214" s="6">
        <f t="shared" ref="D6214:D6277" si="98">B6214</f>
        <v>0</v>
      </c>
    </row>
    <row r="6215" spans="3:4" ht="15" x14ac:dyDescent="0.25">
      <c r="C6215" s="8" t="e">
        <f>VLOOKUP(A:A,'ITEM LIST'!A:C,3,0)</f>
        <v>#N/A</v>
      </c>
      <c r="D6215" s="6">
        <f t="shared" si="98"/>
        <v>0</v>
      </c>
    </row>
    <row r="6216" spans="3:4" ht="15" x14ac:dyDescent="0.25">
      <c r="C6216" s="8" t="e">
        <f>VLOOKUP(A:A,'ITEM LIST'!A:C,3,0)</f>
        <v>#N/A</v>
      </c>
      <c r="D6216" s="6">
        <f t="shared" si="98"/>
        <v>0</v>
      </c>
    </row>
    <row r="6217" spans="3:4" ht="15" x14ac:dyDescent="0.25">
      <c r="C6217" s="8" t="e">
        <f>VLOOKUP(A:A,'ITEM LIST'!A:C,3,0)</f>
        <v>#N/A</v>
      </c>
      <c r="D6217" s="6">
        <f t="shared" si="98"/>
        <v>0</v>
      </c>
    </row>
    <row r="6218" spans="3:4" ht="15" x14ac:dyDescent="0.25">
      <c r="C6218" s="8" t="e">
        <f>VLOOKUP(A:A,'ITEM LIST'!A:C,3,0)</f>
        <v>#N/A</v>
      </c>
      <c r="D6218" s="6">
        <f t="shared" si="98"/>
        <v>0</v>
      </c>
    </row>
    <row r="6219" spans="3:4" ht="15" x14ac:dyDescent="0.25">
      <c r="C6219" s="8" t="e">
        <f>VLOOKUP(A:A,'ITEM LIST'!A:C,3,0)</f>
        <v>#N/A</v>
      </c>
      <c r="D6219" s="6">
        <f t="shared" si="98"/>
        <v>0</v>
      </c>
    </row>
    <row r="6220" spans="3:4" ht="15" x14ac:dyDescent="0.25">
      <c r="C6220" s="8" t="e">
        <f>VLOOKUP(A:A,'ITEM LIST'!A:C,3,0)</f>
        <v>#N/A</v>
      </c>
      <c r="D6220" s="6">
        <f t="shared" si="98"/>
        <v>0</v>
      </c>
    </row>
    <row r="6221" spans="3:4" ht="15" x14ac:dyDescent="0.25">
      <c r="C6221" s="8" t="e">
        <f>VLOOKUP(A:A,'ITEM LIST'!A:C,3,0)</f>
        <v>#N/A</v>
      </c>
      <c r="D6221" s="6">
        <f t="shared" si="98"/>
        <v>0</v>
      </c>
    </row>
    <row r="6222" spans="3:4" ht="15" x14ac:dyDescent="0.25">
      <c r="C6222" s="8" t="e">
        <f>VLOOKUP(A:A,'ITEM LIST'!A:C,3,0)</f>
        <v>#N/A</v>
      </c>
      <c r="D6222" s="6">
        <f t="shared" si="98"/>
        <v>0</v>
      </c>
    </row>
    <row r="6223" spans="3:4" ht="15" x14ac:dyDescent="0.25">
      <c r="C6223" s="8" t="e">
        <f>VLOOKUP(A:A,'ITEM LIST'!A:C,3,0)</f>
        <v>#N/A</v>
      </c>
      <c r="D6223" s="6">
        <f t="shared" si="98"/>
        <v>0</v>
      </c>
    </row>
    <row r="6224" spans="3:4" ht="15" x14ac:dyDescent="0.25">
      <c r="C6224" s="8" t="e">
        <f>VLOOKUP(A:A,'ITEM LIST'!A:C,3,0)</f>
        <v>#N/A</v>
      </c>
      <c r="D6224" s="6">
        <f t="shared" si="98"/>
        <v>0</v>
      </c>
    </row>
    <row r="6225" spans="3:4" ht="15" x14ac:dyDescent="0.25">
      <c r="C6225" s="8" t="e">
        <f>VLOOKUP(A:A,'ITEM LIST'!A:C,3,0)</f>
        <v>#N/A</v>
      </c>
      <c r="D6225" s="6">
        <f t="shared" si="98"/>
        <v>0</v>
      </c>
    </row>
    <row r="6226" spans="3:4" ht="15" x14ac:dyDescent="0.25">
      <c r="C6226" s="8" t="e">
        <f>VLOOKUP(A:A,'ITEM LIST'!A:C,3,0)</f>
        <v>#N/A</v>
      </c>
      <c r="D6226" s="6">
        <f t="shared" si="98"/>
        <v>0</v>
      </c>
    </row>
    <row r="6227" spans="3:4" ht="15" x14ac:dyDescent="0.25">
      <c r="C6227" s="8" t="e">
        <f>VLOOKUP(A:A,'ITEM LIST'!A:C,3,0)</f>
        <v>#N/A</v>
      </c>
      <c r="D6227" s="6">
        <f t="shared" si="98"/>
        <v>0</v>
      </c>
    </row>
    <row r="6228" spans="3:4" ht="15" x14ac:dyDescent="0.25">
      <c r="C6228" s="8" t="e">
        <f>VLOOKUP(A:A,'ITEM LIST'!A:C,3,0)</f>
        <v>#N/A</v>
      </c>
      <c r="D6228" s="6">
        <f t="shared" si="98"/>
        <v>0</v>
      </c>
    </row>
    <row r="6229" spans="3:4" ht="15" x14ac:dyDescent="0.25">
      <c r="C6229" s="8" t="e">
        <f>VLOOKUP(A:A,'ITEM LIST'!A:C,3,0)</f>
        <v>#N/A</v>
      </c>
      <c r="D6229" s="6">
        <f t="shared" si="98"/>
        <v>0</v>
      </c>
    </row>
    <row r="6230" spans="3:4" ht="15" x14ac:dyDescent="0.25">
      <c r="C6230" s="8" t="e">
        <f>VLOOKUP(A:A,'ITEM LIST'!A:C,3,0)</f>
        <v>#N/A</v>
      </c>
      <c r="D6230" s="6">
        <f t="shared" si="98"/>
        <v>0</v>
      </c>
    </row>
    <row r="6231" spans="3:4" ht="15" x14ac:dyDescent="0.25">
      <c r="C6231" s="8" t="e">
        <f>VLOOKUP(A:A,'ITEM LIST'!A:C,3,0)</f>
        <v>#N/A</v>
      </c>
      <c r="D6231" s="6">
        <f t="shared" si="98"/>
        <v>0</v>
      </c>
    </row>
    <row r="6232" spans="3:4" ht="15" x14ac:dyDescent="0.25">
      <c r="C6232" s="8" t="e">
        <f>VLOOKUP(A:A,'ITEM LIST'!A:C,3,0)</f>
        <v>#N/A</v>
      </c>
      <c r="D6232" s="6">
        <f t="shared" si="98"/>
        <v>0</v>
      </c>
    </row>
    <row r="6233" spans="3:4" ht="15" x14ac:dyDescent="0.25">
      <c r="C6233" s="8" t="e">
        <f>VLOOKUP(A:A,'ITEM LIST'!A:C,3,0)</f>
        <v>#N/A</v>
      </c>
      <c r="D6233" s="6">
        <f t="shared" si="98"/>
        <v>0</v>
      </c>
    </row>
    <row r="6234" spans="3:4" ht="15" x14ac:dyDescent="0.25">
      <c r="C6234" s="8" t="e">
        <f>VLOOKUP(A:A,'ITEM LIST'!A:C,3,0)</f>
        <v>#N/A</v>
      </c>
      <c r="D6234" s="6">
        <f t="shared" si="98"/>
        <v>0</v>
      </c>
    </row>
    <row r="6235" spans="3:4" ht="15" x14ac:dyDescent="0.25">
      <c r="C6235" s="8" t="e">
        <f>VLOOKUP(A:A,'ITEM LIST'!A:C,3,0)</f>
        <v>#N/A</v>
      </c>
      <c r="D6235" s="6">
        <f t="shared" si="98"/>
        <v>0</v>
      </c>
    </row>
    <row r="6236" spans="3:4" ht="15" x14ac:dyDescent="0.25">
      <c r="C6236" s="8" t="e">
        <f>VLOOKUP(A:A,'ITEM LIST'!A:C,3,0)</f>
        <v>#N/A</v>
      </c>
      <c r="D6236" s="6">
        <f t="shared" si="98"/>
        <v>0</v>
      </c>
    </row>
    <row r="6237" spans="3:4" ht="15" x14ac:dyDescent="0.25">
      <c r="C6237" s="8" t="e">
        <f>VLOOKUP(A:A,'ITEM LIST'!A:C,3,0)</f>
        <v>#N/A</v>
      </c>
      <c r="D6237" s="6">
        <f t="shared" si="98"/>
        <v>0</v>
      </c>
    </row>
    <row r="6238" spans="3:4" ht="15" x14ac:dyDescent="0.25">
      <c r="C6238" s="8" t="e">
        <f>VLOOKUP(A:A,'ITEM LIST'!A:C,3,0)</f>
        <v>#N/A</v>
      </c>
      <c r="D6238" s="6">
        <f t="shared" si="98"/>
        <v>0</v>
      </c>
    </row>
    <row r="6239" spans="3:4" ht="15" x14ac:dyDescent="0.25">
      <c r="C6239" s="8" t="e">
        <f>VLOOKUP(A:A,'ITEM LIST'!A:C,3,0)</f>
        <v>#N/A</v>
      </c>
      <c r="D6239" s="6">
        <f t="shared" si="98"/>
        <v>0</v>
      </c>
    </row>
    <row r="6240" spans="3:4" ht="15" x14ac:dyDescent="0.25">
      <c r="C6240" s="8" t="e">
        <f>VLOOKUP(A:A,'ITEM LIST'!A:C,3,0)</f>
        <v>#N/A</v>
      </c>
      <c r="D6240" s="6">
        <f t="shared" si="98"/>
        <v>0</v>
      </c>
    </row>
    <row r="6241" spans="3:4" ht="15" x14ac:dyDescent="0.25">
      <c r="C6241" s="8" t="e">
        <f>VLOOKUP(A:A,'ITEM LIST'!A:C,3,0)</f>
        <v>#N/A</v>
      </c>
      <c r="D6241" s="6">
        <f t="shared" si="98"/>
        <v>0</v>
      </c>
    </row>
    <row r="6242" spans="3:4" ht="15" x14ac:dyDescent="0.25">
      <c r="C6242" s="8" t="e">
        <f>VLOOKUP(A:A,'ITEM LIST'!A:C,3,0)</f>
        <v>#N/A</v>
      </c>
      <c r="D6242" s="6">
        <f t="shared" si="98"/>
        <v>0</v>
      </c>
    </row>
    <row r="6243" spans="3:4" ht="15" x14ac:dyDescent="0.25">
      <c r="C6243" s="8" t="e">
        <f>VLOOKUP(A:A,'ITEM LIST'!A:C,3,0)</f>
        <v>#N/A</v>
      </c>
      <c r="D6243" s="6">
        <f t="shared" si="98"/>
        <v>0</v>
      </c>
    </row>
    <row r="6244" spans="3:4" ht="15" x14ac:dyDescent="0.25">
      <c r="C6244" s="8" t="e">
        <f>VLOOKUP(A:A,'ITEM LIST'!A:C,3,0)</f>
        <v>#N/A</v>
      </c>
      <c r="D6244" s="6">
        <f t="shared" si="98"/>
        <v>0</v>
      </c>
    </row>
    <row r="6245" spans="3:4" ht="15" x14ac:dyDescent="0.25">
      <c r="C6245" s="8" t="e">
        <f>VLOOKUP(A:A,'ITEM LIST'!A:C,3,0)</f>
        <v>#N/A</v>
      </c>
      <c r="D6245" s="6">
        <f t="shared" si="98"/>
        <v>0</v>
      </c>
    </row>
    <row r="6246" spans="3:4" ht="15" x14ac:dyDescent="0.25">
      <c r="C6246" s="8" t="e">
        <f>VLOOKUP(A:A,'ITEM LIST'!A:C,3,0)</f>
        <v>#N/A</v>
      </c>
      <c r="D6246" s="6">
        <f t="shared" si="98"/>
        <v>0</v>
      </c>
    </row>
    <row r="6247" spans="3:4" ht="15" x14ac:dyDescent="0.25">
      <c r="C6247" s="8" t="e">
        <f>VLOOKUP(A:A,'ITEM LIST'!A:C,3,0)</f>
        <v>#N/A</v>
      </c>
      <c r="D6247" s="6">
        <f t="shared" si="98"/>
        <v>0</v>
      </c>
    </row>
    <row r="6248" spans="3:4" ht="15" x14ac:dyDescent="0.25">
      <c r="C6248" s="8" t="e">
        <f>VLOOKUP(A:A,'ITEM LIST'!A:C,3,0)</f>
        <v>#N/A</v>
      </c>
      <c r="D6248" s="6">
        <f t="shared" si="98"/>
        <v>0</v>
      </c>
    </row>
    <row r="6249" spans="3:4" ht="15" x14ac:dyDescent="0.25">
      <c r="C6249" s="8" t="e">
        <f>VLOOKUP(A:A,'ITEM LIST'!A:C,3,0)</f>
        <v>#N/A</v>
      </c>
      <c r="D6249" s="6">
        <f t="shared" si="98"/>
        <v>0</v>
      </c>
    </row>
    <row r="6250" spans="3:4" ht="15" x14ac:dyDescent="0.25">
      <c r="C6250" s="8" t="e">
        <f>VLOOKUP(A:A,'ITEM LIST'!A:C,3,0)</f>
        <v>#N/A</v>
      </c>
      <c r="D6250" s="6">
        <f t="shared" si="98"/>
        <v>0</v>
      </c>
    </row>
    <row r="6251" spans="3:4" ht="15" x14ac:dyDescent="0.25">
      <c r="C6251" s="8" t="e">
        <f>VLOOKUP(A:A,'ITEM LIST'!A:C,3,0)</f>
        <v>#N/A</v>
      </c>
      <c r="D6251" s="6">
        <f t="shared" si="98"/>
        <v>0</v>
      </c>
    </row>
    <row r="6252" spans="3:4" ht="15" x14ac:dyDescent="0.25">
      <c r="C6252" s="8" t="e">
        <f>VLOOKUP(A:A,'ITEM LIST'!A:C,3,0)</f>
        <v>#N/A</v>
      </c>
      <c r="D6252" s="6">
        <f t="shared" si="98"/>
        <v>0</v>
      </c>
    </row>
    <row r="6253" spans="3:4" ht="15" x14ac:dyDescent="0.25">
      <c r="C6253" s="8" t="e">
        <f>VLOOKUP(A:A,'ITEM LIST'!A:C,3,0)</f>
        <v>#N/A</v>
      </c>
      <c r="D6253" s="6">
        <f t="shared" si="98"/>
        <v>0</v>
      </c>
    </row>
    <row r="6254" spans="3:4" ht="15" x14ac:dyDescent="0.25">
      <c r="C6254" s="8" t="e">
        <f>VLOOKUP(A:A,'ITEM LIST'!A:C,3,0)</f>
        <v>#N/A</v>
      </c>
      <c r="D6254" s="6">
        <f t="shared" si="98"/>
        <v>0</v>
      </c>
    </row>
    <row r="6255" spans="3:4" ht="15" x14ac:dyDescent="0.25">
      <c r="C6255" s="8" t="e">
        <f>VLOOKUP(A:A,'ITEM LIST'!A:C,3,0)</f>
        <v>#N/A</v>
      </c>
      <c r="D6255" s="6">
        <f t="shared" si="98"/>
        <v>0</v>
      </c>
    </row>
    <row r="6256" spans="3:4" ht="15" x14ac:dyDescent="0.25">
      <c r="C6256" s="8" t="e">
        <f>VLOOKUP(A:A,'ITEM LIST'!A:C,3,0)</f>
        <v>#N/A</v>
      </c>
      <c r="D6256" s="6">
        <f t="shared" si="98"/>
        <v>0</v>
      </c>
    </row>
    <row r="6257" spans="3:4" ht="15" x14ac:dyDescent="0.25">
      <c r="C6257" s="8" t="e">
        <f>VLOOKUP(A:A,'ITEM LIST'!A:C,3,0)</f>
        <v>#N/A</v>
      </c>
      <c r="D6257" s="6">
        <f t="shared" si="98"/>
        <v>0</v>
      </c>
    </row>
    <row r="6258" spans="3:4" ht="15" x14ac:dyDescent="0.25">
      <c r="C6258" s="8" t="e">
        <f>VLOOKUP(A:A,'ITEM LIST'!A:C,3,0)</f>
        <v>#N/A</v>
      </c>
      <c r="D6258" s="6">
        <f t="shared" si="98"/>
        <v>0</v>
      </c>
    </row>
    <row r="6259" spans="3:4" ht="15" x14ac:dyDescent="0.25">
      <c r="C6259" s="8" t="e">
        <f>VLOOKUP(A:A,'ITEM LIST'!A:C,3,0)</f>
        <v>#N/A</v>
      </c>
      <c r="D6259" s="6">
        <f t="shared" si="98"/>
        <v>0</v>
      </c>
    </row>
    <row r="6260" spans="3:4" ht="15" x14ac:dyDescent="0.25">
      <c r="C6260" s="8" t="e">
        <f>VLOOKUP(A:A,'ITEM LIST'!A:C,3,0)</f>
        <v>#N/A</v>
      </c>
      <c r="D6260" s="6">
        <f t="shared" si="98"/>
        <v>0</v>
      </c>
    </row>
    <row r="6261" spans="3:4" ht="15" x14ac:dyDescent="0.25">
      <c r="C6261" s="8" t="e">
        <f>VLOOKUP(A:A,'ITEM LIST'!A:C,3,0)</f>
        <v>#N/A</v>
      </c>
      <c r="D6261" s="6">
        <f t="shared" si="98"/>
        <v>0</v>
      </c>
    </row>
    <row r="6262" spans="3:4" ht="15" x14ac:dyDescent="0.25">
      <c r="C6262" s="8" t="e">
        <f>VLOOKUP(A:A,'ITEM LIST'!A:C,3,0)</f>
        <v>#N/A</v>
      </c>
      <c r="D6262" s="6">
        <f t="shared" si="98"/>
        <v>0</v>
      </c>
    </row>
    <row r="6263" spans="3:4" ht="15" x14ac:dyDescent="0.25">
      <c r="C6263" s="8" t="e">
        <f>VLOOKUP(A:A,'ITEM LIST'!A:C,3,0)</f>
        <v>#N/A</v>
      </c>
      <c r="D6263" s="6">
        <f t="shared" si="98"/>
        <v>0</v>
      </c>
    </row>
    <row r="6264" spans="3:4" ht="15" x14ac:dyDescent="0.25">
      <c r="C6264" s="8" t="e">
        <f>VLOOKUP(A:A,'ITEM LIST'!A:C,3,0)</f>
        <v>#N/A</v>
      </c>
      <c r="D6264" s="6">
        <f t="shared" si="98"/>
        <v>0</v>
      </c>
    </row>
    <row r="6265" spans="3:4" ht="15" x14ac:dyDescent="0.25">
      <c r="C6265" s="8" t="e">
        <f>VLOOKUP(A:A,'ITEM LIST'!A:C,3,0)</f>
        <v>#N/A</v>
      </c>
      <c r="D6265" s="6">
        <f t="shared" si="98"/>
        <v>0</v>
      </c>
    </row>
    <row r="6266" spans="3:4" ht="15" x14ac:dyDescent="0.25">
      <c r="C6266" s="8" t="e">
        <f>VLOOKUP(A:A,'ITEM LIST'!A:C,3,0)</f>
        <v>#N/A</v>
      </c>
      <c r="D6266" s="6">
        <f t="shared" si="98"/>
        <v>0</v>
      </c>
    </row>
    <row r="6267" spans="3:4" ht="15" x14ac:dyDescent="0.25">
      <c r="C6267" s="8" t="e">
        <f>VLOOKUP(A:A,'ITEM LIST'!A:C,3,0)</f>
        <v>#N/A</v>
      </c>
      <c r="D6267" s="6">
        <f t="shared" si="98"/>
        <v>0</v>
      </c>
    </row>
    <row r="6268" spans="3:4" ht="15" x14ac:dyDescent="0.25">
      <c r="C6268" s="8" t="e">
        <f>VLOOKUP(A:A,'ITEM LIST'!A:C,3,0)</f>
        <v>#N/A</v>
      </c>
      <c r="D6268" s="6">
        <f t="shared" si="98"/>
        <v>0</v>
      </c>
    </row>
    <row r="6269" spans="3:4" ht="15" x14ac:dyDescent="0.25">
      <c r="C6269" s="8" t="e">
        <f>VLOOKUP(A:A,'ITEM LIST'!A:C,3,0)</f>
        <v>#N/A</v>
      </c>
      <c r="D6269" s="6">
        <f t="shared" si="98"/>
        <v>0</v>
      </c>
    </row>
    <row r="6270" spans="3:4" ht="15" x14ac:dyDescent="0.25">
      <c r="C6270" s="8" t="e">
        <f>VLOOKUP(A:A,'ITEM LIST'!A:C,3,0)</f>
        <v>#N/A</v>
      </c>
      <c r="D6270" s="6">
        <f t="shared" si="98"/>
        <v>0</v>
      </c>
    </row>
    <row r="6271" spans="3:4" ht="15" x14ac:dyDescent="0.25">
      <c r="C6271" s="8" t="e">
        <f>VLOOKUP(A:A,'ITEM LIST'!A:C,3,0)</f>
        <v>#N/A</v>
      </c>
      <c r="D6271" s="6">
        <f t="shared" si="98"/>
        <v>0</v>
      </c>
    </row>
    <row r="6272" spans="3:4" ht="15" x14ac:dyDescent="0.25">
      <c r="C6272" s="8" t="e">
        <f>VLOOKUP(A:A,'ITEM LIST'!A:C,3,0)</f>
        <v>#N/A</v>
      </c>
      <c r="D6272" s="6">
        <f t="shared" si="98"/>
        <v>0</v>
      </c>
    </row>
    <row r="6273" spans="3:4" ht="15" x14ac:dyDescent="0.25">
      <c r="C6273" s="8" t="e">
        <f>VLOOKUP(A:A,'ITEM LIST'!A:C,3,0)</f>
        <v>#N/A</v>
      </c>
      <c r="D6273" s="6">
        <f t="shared" si="98"/>
        <v>0</v>
      </c>
    </row>
    <row r="6274" spans="3:4" ht="15" x14ac:dyDescent="0.25">
      <c r="C6274" s="8" t="e">
        <f>VLOOKUP(A:A,'ITEM LIST'!A:C,3,0)</f>
        <v>#N/A</v>
      </c>
      <c r="D6274" s="6">
        <f t="shared" si="98"/>
        <v>0</v>
      </c>
    </row>
    <row r="6275" spans="3:4" ht="15" x14ac:dyDescent="0.25">
      <c r="C6275" s="8" t="e">
        <f>VLOOKUP(A:A,'ITEM LIST'!A:C,3,0)</f>
        <v>#N/A</v>
      </c>
      <c r="D6275" s="6">
        <f t="shared" si="98"/>
        <v>0</v>
      </c>
    </row>
    <row r="6276" spans="3:4" ht="15" x14ac:dyDescent="0.25">
      <c r="C6276" s="8" t="e">
        <f>VLOOKUP(A:A,'ITEM LIST'!A:C,3,0)</f>
        <v>#N/A</v>
      </c>
      <c r="D6276" s="6">
        <f t="shared" si="98"/>
        <v>0</v>
      </c>
    </row>
    <row r="6277" spans="3:4" ht="15" x14ac:dyDescent="0.25">
      <c r="C6277" s="8" t="e">
        <f>VLOOKUP(A:A,'ITEM LIST'!A:C,3,0)</f>
        <v>#N/A</v>
      </c>
      <c r="D6277" s="6">
        <f t="shared" si="98"/>
        <v>0</v>
      </c>
    </row>
    <row r="6278" spans="3:4" ht="15" x14ac:dyDescent="0.25">
      <c r="C6278" s="8" t="e">
        <f>VLOOKUP(A:A,'ITEM LIST'!A:C,3,0)</f>
        <v>#N/A</v>
      </c>
      <c r="D6278" s="6">
        <f t="shared" ref="D6278:D6341" si="99">B6278</f>
        <v>0</v>
      </c>
    </row>
    <row r="6279" spans="3:4" ht="15" x14ac:dyDescent="0.25">
      <c r="C6279" s="8" t="e">
        <f>VLOOKUP(A:A,'ITEM LIST'!A:C,3,0)</f>
        <v>#N/A</v>
      </c>
      <c r="D6279" s="6">
        <f t="shared" si="99"/>
        <v>0</v>
      </c>
    </row>
    <row r="6280" spans="3:4" ht="15" x14ac:dyDescent="0.25">
      <c r="C6280" s="8" t="e">
        <f>VLOOKUP(A:A,'ITEM LIST'!A:C,3,0)</f>
        <v>#N/A</v>
      </c>
      <c r="D6280" s="6">
        <f t="shared" si="99"/>
        <v>0</v>
      </c>
    </row>
    <row r="6281" spans="3:4" ht="15" x14ac:dyDescent="0.25">
      <c r="C6281" s="8" t="e">
        <f>VLOOKUP(A:A,'ITEM LIST'!A:C,3,0)</f>
        <v>#N/A</v>
      </c>
      <c r="D6281" s="6">
        <f t="shared" si="99"/>
        <v>0</v>
      </c>
    </row>
    <row r="6282" spans="3:4" ht="15" x14ac:dyDescent="0.25">
      <c r="C6282" s="8" t="e">
        <f>VLOOKUP(A:A,'ITEM LIST'!A:C,3,0)</f>
        <v>#N/A</v>
      </c>
      <c r="D6282" s="6">
        <f t="shared" si="99"/>
        <v>0</v>
      </c>
    </row>
    <row r="6283" spans="3:4" ht="15" x14ac:dyDescent="0.25">
      <c r="C6283" s="8" t="e">
        <f>VLOOKUP(A:A,'ITEM LIST'!A:C,3,0)</f>
        <v>#N/A</v>
      </c>
      <c r="D6283" s="6">
        <f t="shared" si="99"/>
        <v>0</v>
      </c>
    </row>
    <row r="6284" spans="3:4" ht="15" x14ac:dyDescent="0.25">
      <c r="C6284" s="8" t="e">
        <f>VLOOKUP(A:A,'ITEM LIST'!A:C,3,0)</f>
        <v>#N/A</v>
      </c>
      <c r="D6284" s="6">
        <f t="shared" si="99"/>
        <v>0</v>
      </c>
    </row>
    <row r="6285" spans="3:4" ht="15" x14ac:dyDescent="0.25">
      <c r="C6285" s="8" t="e">
        <f>VLOOKUP(A:A,'ITEM LIST'!A:C,3,0)</f>
        <v>#N/A</v>
      </c>
      <c r="D6285" s="6">
        <f t="shared" si="99"/>
        <v>0</v>
      </c>
    </row>
    <row r="6286" spans="3:4" ht="15" x14ac:dyDescent="0.25">
      <c r="C6286" s="8" t="e">
        <f>VLOOKUP(A:A,'ITEM LIST'!A:C,3,0)</f>
        <v>#N/A</v>
      </c>
      <c r="D6286" s="6">
        <f t="shared" si="99"/>
        <v>0</v>
      </c>
    </row>
    <row r="6287" spans="3:4" ht="15" x14ac:dyDescent="0.25">
      <c r="C6287" s="8" t="e">
        <f>VLOOKUP(A:A,'ITEM LIST'!A:C,3,0)</f>
        <v>#N/A</v>
      </c>
      <c r="D6287" s="6">
        <f t="shared" si="99"/>
        <v>0</v>
      </c>
    </row>
    <row r="6288" spans="3:4" ht="15" x14ac:dyDescent="0.25">
      <c r="C6288" s="8" t="e">
        <f>VLOOKUP(A:A,'ITEM LIST'!A:C,3,0)</f>
        <v>#N/A</v>
      </c>
      <c r="D6288" s="6">
        <f t="shared" si="99"/>
        <v>0</v>
      </c>
    </row>
    <row r="6289" spans="3:4" ht="15" x14ac:dyDescent="0.25">
      <c r="C6289" s="8" t="e">
        <f>VLOOKUP(A:A,'ITEM LIST'!A:C,3,0)</f>
        <v>#N/A</v>
      </c>
      <c r="D6289" s="6">
        <f t="shared" si="99"/>
        <v>0</v>
      </c>
    </row>
    <row r="6290" spans="3:4" ht="15" x14ac:dyDescent="0.25">
      <c r="C6290" s="8" t="e">
        <f>VLOOKUP(A:A,'ITEM LIST'!A:C,3,0)</f>
        <v>#N/A</v>
      </c>
      <c r="D6290" s="6">
        <f t="shared" si="99"/>
        <v>0</v>
      </c>
    </row>
    <row r="6291" spans="3:4" ht="15" x14ac:dyDescent="0.25">
      <c r="C6291" s="8" t="e">
        <f>VLOOKUP(A:A,'ITEM LIST'!A:C,3,0)</f>
        <v>#N/A</v>
      </c>
      <c r="D6291" s="6">
        <f t="shared" si="99"/>
        <v>0</v>
      </c>
    </row>
    <row r="6292" spans="3:4" ht="15" x14ac:dyDescent="0.25">
      <c r="C6292" s="8" t="e">
        <f>VLOOKUP(A:A,'ITEM LIST'!A:C,3,0)</f>
        <v>#N/A</v>
      </c>
      <c r="D6292" s="6">
        <f t="shared" si="99"/>
        <v>0</v>
      </c>
    </row>
    <row r="6293" spans="3:4" ht="15" x14ac:dyDescent="0.25">
      <c r="C6293" s="8" t="e">
        <f>VLOOKUP(A:A,'ITEM LIST'!A:C,3,0)</f>
        <v>#N/A</v>
      </c>
      <c r="D6293" s="6">
        <f t="shared" si="99"/>
        <v>0</v>
      </c>
    </row>
    <row r="6294" spans="3:4" ht="15" x14ac:dyDescent="0.25">
      <c r="C6294" s="8" t="e">
        <f>VLOOKUP(A:A,'ITEM LIST'!A:C,3,0)</f>
        <v>#N/A</v>
      </c>
      <c r="D6294" s="6">
        <f t="shared" si="99"/>
        <v>0</v>
      </c>
    </row>
    <row r="6295" spans="3:4" ht="15" x14ac:dyDescent="0.25">
      <c r="C6295" s="8" t="e">
        <f>VLOOKUP(A:A,'ITEM LIST'!A:C,3,0)</f>
        <v>#N/A</v>
      </c>
      <c r="D6295" s="6">
        <f t="shared" si="99"/>
        <v>0</v>
      </c>
    </row>
    <row r="6296" spans="3:4" ht="15" x14ac:dyDescent="0.25">
      <c r="C6296" s="8" t="e">
        <f>VLOOKUP(A:A,'ITEM LIST'!A:C,3,0)</f>
        <v>#N/A</v>
      </c>
      <c r="D6296" s="6">
        <f t="shared" si="99"/>
        <v>0</v>
      </c>
    </row>
    <row r="6297" spans="3:4" ht="15" x14ac:dyDescent="0.25">
      <c r="C6297" s="8" t="e">
        <f>VLOOKUP(A:A,'ITEM LIST'!A:C,3,0)</f>
        <v>#N/A</v>
      </c>
      <c r="D6297" s="6">
        <f t="shared" si="99"/>
        <v>0</v>
      </c>
    </row>
    <row r="6298" spans="3:4" ht="15" x14ac:dyDescent="0.25">
      <c r="C6298" s="8" t="e">
        <f>VLOOKUP(A:A,'ITEM LIST'!A:C,3,0)</f>
        <v>#N/A</v>
      </c>
      <c r="D6298" s="6">
        <f t="shared" si="99"/>
        <v>0</v>
      </c>
    </row>
    <row r="6299" spans="3:4" ht="15" x14ac:dyDescent="0.25">
      <c r="C6299" s="8" t="e">
        <f>VLOOKUP(A:A,'ITEM LIST'!A:C,3,0)</f>
        <v>#N/A</v>
      </c>
      <c r="D6299" s="6">
        <f t="shared" si="99"/>
        <v>0</v>
      </c>
    </row>
    <row r="6300" spans="3:4" ht="15" x14ac:dyDescent="0.25">
      <c r="C6300" s="8" t="e">
        <f>VLOOKUP(A:A,'ITEM LIST'!A:C,3,0)</f>
        <v>#N/A</v>
      </c>
      <c r="D6300" s="6">
        <f t="shared" si="99"/>
        <v>0</v>
      </c>
    </row>
    <row r="6301" spans="3:4" ht="15" x14ac:dyDescent="0.25">
      <c r="C6301" s="8" t="e">
        <f>VLOOKUP(A:A,'ITEM LIST'!A:C,3,0)</f>
        <v>#N/A</v>
      </c>
      <c r="D6301" s="6">
        <f t="shared" si="99"/>
        <v>0</v>
      </c>
    </row>
    <row r="6302" spans="3:4" ht="15" x14ac:dyDescent="0.25">
      <c r="C6302" s="8" t="e">
        <f>VLOOKUP(A:A,'ITEM LIST'!A:C,3,0)</f>
        <v>#N/A</v>
      </c>
      <c r="D6302" s="6">
        <f t="shared" si="99"/>
        <v>0</v>
      </c>
    </row>
    <row r="6303" spans="3:4" ht="15" x14ac:dyDescent="0.25">
      <c r="C6303" s="8" t="e">
        <f>VLOOKUP(A:A,'ITEM LIST'!A:C,3,0)</f>
        <v>#N/A</v>
      </c>
      <c r="D6303" s="6">
        <f t="shared" si="99"/>
        <v>0</v>
      </c>
    </row>
    <row r="6304" spans="3:4" ht="15" x14ac:dyDescent="0.25">
      <c r="C6304" s="8" t="e">
        <f>VLOOKUP(A:A,'ITEM LIST'!A:C,3,0)</f>
        <v>#N/A</v>
      </c>
      <c r="D6304" s="6">
        <f t="shared" si="99"/>
        <v>0</v>
      </c>
    </row>
    <row r="6305" spans="3:4" ht="15" x14ac:dyDescent="0.25">
      <c r="C6305" s="8" t="e">
        <f>VLOOKUP(A:A,'ITEM LIST'!A:C,3,0)</f>
        <v>#N/A</v>
      </c>
      <c r="D6305" s="6">
        <f t="shared" si="99"/>
        <v>0</v>
      </c>
    </row>
    <row r="6306" spans="3:4" ht="15" x14ac:dyDescent="0.25">
      <c r="C6306" s="8" t="e">
        <f>VLOOKUP(A:A,'ITEM LIST'!A:C,3,0)</f>
        <v>#N/A</v>
      </c>
      <c r="D6306" s="6">
        <f t="shared" si="99"/>
        <v>0</v>
      </c>
    </row>
    <row r="6307" spans="3:4" ht="15" x14ac:dyDescent="0.25">
      <c r="C6307" s="8" t="e">
        <f>VLOOKUP(A:A,'ITEM LIST'!A:C,3,0)</f>
        <v>#N/A</v>
      </c>
      <c r="D6307" s="6">
        <f t="shared" si="99"/>
        <v>0</v>
      </c>
    </row>
    <row r="6308" spans="3:4" ht="15" x14ac:dyDescent="0.25">
      <c r="C6308" s="8" t="e">
        <f>VLOOKUP(A:A,'ITEM LIST'!A:C,3,0)</f>
        <v>#N/A</v>
      </c>
      <c r="D6308" s="6">
        <f t="shared" si="99"/>
        <v>0</v>
      </c>
    </row>
    <row r="6309" spans="3:4" ht="15" x14ac:dyDescent="0.25">
      <c r="C6309" s="8" t="e">
        <f>VLOOKUP(A:A,'ITEM LIST'!A:C,3,0)</f>
        <v>#N/A</v>
      </c>
      <c r="D6309" s="6">
        <f t="shared" si="99"/>
        <v>0</v>
      </c>
    </row>
    <row r="6310" spans="3:4" ht="15" x14ac:dyDescent="0.25">
      <c r="C6310" s="8" t="e">
        <f>VLOOKUP(A:A,'ITEM LIST'!A:C,3,0)</f>
        <v>#N/A</v>
      </c>
      <c r="D6310" s="6">
        <f t="shared" si="99"/>
        <v>0</v>
      </c>
    </row>
    <row r="6311" spans="3:4" ht="15" x14ac:dyDescent="0.25">
      <c r="C6311" s="8" t="e">
        <f>VLOOKUP(A:A,'ITEM LIST'!A:C,3,0)</f>
        <v>#N/A</v>
      </c>
      <c r="D6311" s="6">
        <f t="shared" si="99"/>
        <v>0</v>
      </c>
    </row>
    <row r="6312" spans="3:4" ht="15" x14ac:dyDescent="0.25">
      <c r="C6312" s="8" t="e">
        <f>VLOOKUP(A:A,'ITEM LIST'!A:C,3,0)</f>
        <v>#N/A</v>
      </c>
      <c r="D6312" s="6">
        <f t="shared" si="99"/>
        <v>0</v>
      </c>
    </row>
    <row r="6313" spans="3:4" ht="15" x14ac:dyDescent="0.25">
      <c r="C6313" s="8" t="e">
        <f>VLOOKUP(A:A,'ITEM LIST'!A:C,3,0)</f>
        <v>#N/A</v>
      </c>
      <c r="D6313" s="6">
        <f t="shared" si="99"/>
        <v>0</v>
      </c>
    </row>
    <row r="6314" spans="3:4" ht="15" x14ac:dyDescent="0.25">
      <c r="C6314" s="8" t="e">
        <f>VLOOKUP(A:A,'ITEM LIST'!A:C,3,0)</f>
        <v>#N/A</v>
      </c>
      <c r="D6314" s="6">
        <f t="shared" si="99"/>
        <v>0</v>
      </c>
    </row>
    <row r="6315" spans="3:4" ht="15" x14ac:dyDescent="0.25">
      <c r="C6315" s="8" t="e">
        <f>VLOOKUP(A:A,'ITEM LIST'!A:C,3,0)</f>
        <v>#N/A</v>
      </c>
      <c r="D6315" s="6">
        <f t="shared" si="99"/>
        <v>0</v>
      </c>
    </row>
    <row r="6316" spans="3:4" ht="15" x14ac:dyDescent="0.25">
      <c r="C6316" s="8" t="e">
        <f>VLOOKUP(A:A,'ITEM LIST'!A:C,3,0)</f>
        <v>#N/A</v>
      </c>
      <c r="D6316" s="6">
        <f t="shared" si="99"/>
        <v>0</v>
      </c>
    </row>
    <row r="6317" spans="3:4" ht="15" x14ac:dyDescent="0.25">
      <c r="C6317" s="8" t="e">
        <f>VLOOKUP(A:A,'ITEM LIST'!A:C,3,0)</f>
        <v>#N/A</v>
      </c>
      <c r="D6317" s="6">
        <f t="shared" si="99"/>
        <v>0</v>
      </c>
    </row>
    <row r="6318" spans="3:4" ht="15" x14ac:dyDescent="0.25">
      <c r="C6318" s="8" t="e">
        <f>VLOOKUP(A:A,'ITEM LIST'!A:C,3,0)</f>
        <v>#N/A</v>
      </c>
      <c r="D6318" s="6">
        <f t="shared" si="99"/>
        <v>0</v>
      </c>
    </row>
    <row r="6319" spans="3:4" ht="15" x14ac:dyDescent="0.25">
      <c r="C6319" s="8" t="e">
        <f>VLOOKUP(A:A,'ITEM LIST'!A:C,3,0)</f>
        <v>#N/A</v>
      </c>
      <c r="D6319" s="6">
        <f t="shared" si="99"/>
        <v>0</v>
      </c>
    </row>
    <row r="6320" spans="3:4" ht="15" x14ac:dyDescent="0.25">
      <c r="C6320" s="8" t="e">
        <f>VLOOKUP(A:A,'ITEM LIST'!A:C,3,0)</f>
        <v>#N/A</v>
      </c>
      <c r="D6320" s="6">
        <f t="shared" si="99"/>
        <v>0</v>
      </c>
    </row>
    <row r="6321" spans="3:4" ht="15" x14ac:dyDescent="0.25">
      <c r="C6321" s="8" t="e">
        <f>VLOOKUP(A:A,'ITEM LIST'!A:C,3,0)</f>
        <v>#N/A</v>
      </c>
      <c r="D6321" s="6">
        <f t="shared" si="99"/>
        <v>0</v>
      </c>
    </row>
    <row r="6322" spans="3:4" ht="15" x14ac:dyDescent="0.25">
      <c r="C6322" s="8" t="e">
        <f>VLOOKUP(A:A,'ITEM LIST'!A:C,3,0)</f>
        <v>#N/A</v>
      </c>
      <c r="D6322" s="6">
        <f t="shared" si="99"/>
        <v>0</v>
      </c>
    </row>
    <row r="6323" spans="3:4" ht="15" x14ac:dyDescent="0.25">
      <c r="C6323" s="8" t="e">
        <f>VLOOKUP(A:A,'ITEM LIST'!A:C,3,0)</f>
        <v>#N/A</v>
      </c>
      <c r="D6323" s="6">
        <f t="shared" si="99"/>
        <v>0</v>
      </c>
    </row>
    <row r="6324" spans="3:4" ht="15" x14ac:dyDescent="0.25">
      <c r="C6324" s="8" t="e">
        <f>VLOOKUP(A:A,'ITEM LIST'!A:C,3,0)</f>
        <v>#N/A</v>
      </c>
      <c r="D6324" s="6">
        <f t="shared" si="99"/>
        <v>0</v>
      </c>
    </row>
    <row r="6325" spans="3:4" ht="15" x14ac:dyDescent="0.25">
      <c r="C6325" s="8" t="e">
        <f>VLOOKUP(A:A,'ITEM LIST'!A:C,3,0)</f>
        <v>#N/A</v>
      </c>
      <c r="D6325" s="6">
        <f t="shared" si="99"/>
        <v>0</v>
      </c>
    </row>
    <row r="6326" spans="3:4" ht="15" x14ac:dyDescent="0.25">
      <c r="C6326" s="8" t="e">
        <f>VLOOKUP(A:A,'ITEM LIST'!A:C,3,0)</f>
        <v>#N/A</v>
      </c>
      <c r="D6326" s="6">
        <f t="shared" si="99"/>
        <v>0</v>
      </c>
    </row>
    <row r="6327" spans="3:4" ht="15" x14ac:dyDescent="0.25">
      <c r="C6327" s="8" t="e">
        <f>VLOOKUP(A:A,'ITEM LIST'!A:C,3,0)</f>
        <v>#N/A</v>
      </c>
      <c r="D6327" s="6">
        <f t="shared" si="99"/>
        <v>0</v>
      </c>
    </row>
    <row r="6328" spans="3:4" ht="15" x14ac:dyDescent="0.25">
      <c r="C6328" s="8" t="e">
        <f>VLOOKUP(A:A,'ITEM LIST'!A:C,3,0)</f>
        <v>#N/A</v>
      </c>
      <c r="D6328" s="6">
        <f t="shared" si="99"/>
        <v>0</v>
      </c>
    </row>
    <row r="6329" spans="3:4" ht="15" x14ac:dyDescent="0.25">
      <c r="C6329" s="8" t="e">
        <f>VLOOKUP(A:A,'ITEM LIST'!A:C,3,0)</f>
        <v>#N/A</v>
      </c>
      <c r="D6329" s="6">
        <f t="shared" si="99"/>
        <v>0</v>
      </c>
    </row>
    <row r="6330" spans="3:4" ht="15" x14ac:dyDescent="0.25">
      <c r="C6330" s="8" t="e">
        <f>VLOOKUP(A:A,'ITEM LIST'!A:C,3,0)</f>
        <v>#N/A</v>
      </c>
      <c r="D6330" s="6">
        <f t="shared" si="99"/>
        <v>0</v>
      </c>
    </row>
    <row r="6331" spans="3:4" ht="15" x14ac:dyDescent="0.25">
      <c r="C6331" s="8" t="e">
        <f>VLOOKUP(A:A,'ITEM LIST'!A:C,3,0)</f>
        <v>#N/A</v>
      </c>
      <c r="D6331" s="6">
        <f t="shared" si="99"/>
        <v>0</v>
      </c>
    </row>
    <row r="6332" spans="3:4" ht="15" x14ac:dyDescent="0.25">
      <c r="C6332" s="8" t="e">
        <f>VLOOKUP(A:A,'ITEM LIST'!A:C,3,0)</f>
        <v>#N/A</v>
      </c>
      <c r="D6332" s="6">
        <f t="shared" si="99"/>
        <v>0</v>
      </c>
    </row>
    <row r="6333" spans="3:4" ht="15" x14ac:dyDescent="0.25">
      <c r="C6333" s="8" t="e">
        <f>VLOOKUP(A:A,'ITEM LIST'!A:C,3,0)</f>
        <v>#N/A</v>
      </c>
      <c r="D6333" s="6">
        <f t="shared" si="99"/>
        <v>0</v>
      </c>
    </row>
    <row r="6334" spans="3:4" ht="15" x14ac:dyDescent="0.25">
      <c r="C6334" s="8" t="e">
        <f>VLOOKUP(A:A,'ITEM LIST'!A:C,3,0)</f>
        <v>#N/A</v>
      </c>
      <c r="D6334" s="6">
        <f t="shared" si="99"/>
        <v>0</v>
      </c>
    </row>
    <row r="6335" spans="3:4" ht="15" x14ac:dyDescent="0.25">
      <c r="C6335" s="8" t="e">
        <f>VLOOKUP(A:A,'ITEM LIST'!A:C,3,0)</f>
        <v>#N/A</v>
      </c>
      <c r="D6335" s="6">
        <f t="shared" si="99"/>
        <v>0</v>
      </c>
    </row>
    <row r="6336" spans="3:4" ht="15" x14ac:dyDescent="0.25">
      <c r="C6336" s="8" t="e">
        <f>VLOOKUP(A:A,'ITEM LIST'!A:C,3,0)</f>
        <v>#N/A</v>
      </c>
      <c r="D6336" s="6">
        <f t="shared" si="99"/>
        <v>0</v>
      </c>
    </row>
    <row r="6337" spans="3:4" ht="15" x14ac:dyDescent="0.25">
      <c r="C6337" s="8" t="e">
        <f>VLOOKUP(A:A,'ITEM LIST'!A:C,3,0)</f>
        <v>#N/A</v>
      </c>
      <c r="D6337" s="6">
        <f t="shared" si="99"/>
        <v>0</v>
      </c>
    </row>
    <row r="6338" spans="3:4" ht="15" x14ac:dyDescent="0.25">
      <c r="C6338" s="8" t="e">
        <f>VLOOKUP(A:A,'ITEM LIST'!A:C,3,0)</f>
        <v>#N/A</v>
      </c>
      <c r="D6338" s="6">
        <f t="shared" si="99"/>
        <v>0</v>
      </c>
    </row>
    <row r="6339" spans="3:4" ht="15" x14ac:dyDescent="0.25">
      <c r="C6339" s="8" t="e">
        <f>VLOOKUP(A:A,'ITEM LIST'!A:C,3,0)</f>
        <v>#N/A</v>
      </c>
      <c r="D6339" s="6">
        <f t="shared" si="99"/>
        <v>0</v>
      </c>
    </row>
    <row r="6340" spans="3:4" ht="15" x14ac:dyDescent="0.25">
      <c r="C6340" s="8" t="e">
        <f>VLOOKUP(A:A,'ITEM LIST'!A:C,3,0)</f>
        <v>#N/A</v>
      </c>
      <c r="D6340" s="6">
        <f t="shared" si="99"/>
        <v>0</v>
      </c>
    </row>
    <row r="6341" spans="3:4" ht="15" x14ac:dyDescent="0.25">
      <c r="C6341" s="8" t="e">
        <f>VLOOKUP(A:A,'ITEM LIST'!A:C,3,0)</f>
        <v>#N/A</v>
      </c>
      <c r="D6341" s="6">
        <f t="shared" si="99"/>
        <v>0</v>
      </c>
    </row>
    <row r="6342" spans="3:4" ht="15" x14ac:dyDescent="0.25">
      <c r="C6342" s="8" t="e">
        <f>VLOOKUP(A:A,'ITEM LIST'!A:C,3,0)</f>
        <v>#N/A</v>
      </c>
      <c r="D6342" s="6">
        <f t="shared" ref="D6342:D6405" si="100">B6342</f>
        <v>0</v>
      </c>
    </row>
    <row r="6343" spans="3:4" ht="15" x14ac:dyDescent="0.25">
      <c r="C6343" s="8" t="e">
        <f>VLOOKUP(A:A,'ITEM LIST'!A:C,3,0)</f>
        <v>#N/A</v>
      </c>
      <c r="D6343" s="6">
        <f t="shared" si="100"/>
        <v>0</v>
      </c>
    </row>
    <row r="6344" spans="3:4" ht="15" x14ac:dyDescent="0.25">
      <c r="C6344" s="8" t="e">
        <f>VLOOKUP(A:A,'ITEM LIST'!A:C,3,0)</f>
        <v>#N/A</v>
      </c>
      <c r="D6344" s="6">
        <f t="shared" si="100"/>
        <v>0</v>
      </c>
    </row>
    <row r="6345" spans="3:4" ht="15" x14ac:dyDescent="0.25">
      <c r="C6345" s="8" t="e">
        <f>VLOOKUP(A:A,'ITEM LIST'!A:C,3,0)</f>
        <v>#N/A</v>
      </c>
      <c r="D6345" s="6">
        <f t="shared" si="100"/>
        <v>0</v>
      </c>
    </row>
    <row r="6346" spans="3:4" ht="15" x14ac:dyDescent="0.25">
      <c r="C6346" s="8" t="e">
        <f>VLOOKUP(A:A,'ITEM LIST'!A:C,3,0)</f>
        <v>#N/A</v>
      </c>
      <c r="D6346" s="6">
        <f t="shared" si="100"/>
        <v>0</v>
      </c>
    </row>
    <row r="6347" spans="3:4" ht="15" x14ac:dyDescent="0.25">
      <c r="C6347" s="8" t="e">
        <f>VLOOKUP(A:A,'ITEM LIST'!A:C,3,0)</f>
        <v>#N/A</v>
      </c>
      <c r="D6347" s="6">
        <f t="shared" si="100"/>
        <v>0</v>
      </c>
    </row>
    <row r="6348" spans="3:4" ht="15" x14ac:dyDescent="0.25">
      <c r="C6348" s="8" t="e">
        <f>VLOOKUP(A:A,'ITEM LIST'!A:C,3,0)</f>
        <v>#N/A</v>
      </c>
      <c r="D6348" s="6">
        <f t="shared" si="100"/>
        <v>0</v>
      </c>
    </row>
    <row r="6349" spans="3:4" ht="15" x14ac:dyDescent="0.25">
      <c r="C6349" s="8" t="e">
        <f>VLOOKUP(A:A,'ITEM LIST'!A:C,3,0)</f>
        <v>#N/A</v>
      </c>
      <c r="D6349" s="6">
        <f t="shared" si="100"/>
        <v>0</v>
      </c>
    </row>
    <row r="6350" spans="3:4" ht="15" x14ac:dyDescent="0.25">
      <c r="C6350" s="8" t="e">
        <f>VLOOKUP(A:A,'ITEM LIST'!A:C,3,0)</f>
        <v>#N/A</v>
      </c>
      <c r="D6350" s="6">
        <f t="shared" si="100"/>
        <v>0</v>
      </c>
    </row>
    <row r="6351" spans="3:4" ht="15" x14ac:dyDescent="0.25">
      <c r="C6351" s="8" t="e">
        <f>VLOOKUP(A:A,'ITEM LIST'!A:C,3,0)</f>
        <v>#N/A</v>
      </c>
      <c r="D6351" s="6">
        <f t="shared" si="100"/>
        <v>0</v>
      </c>
    </row>
    <row r="6352" spans="3:4" ht="15" x14ac:dyDescent="0.25">
      <c r="C6352" s="8" t="e">
        <f>VLOOKUP(A:A,'ITEM LIST'!A:C,3,0)</f>
        <v>#N/A</v>
      </c>
      <c r="D6352" s="6">
        <f t="shared" si="100"/>
        <v>0</v>
      </c>
    </row>
    <row r="6353" spans="3:4" ht="15" x14ac:dyDescent="0.25">
      <c r="C6353" s="8" t="e">
        <f>VLOOKUP(A:A,'ITEM LIST'!A:C,3,0)</f>
        <v>#N/A</v>
      </c>
      <c r="D6353" s="6">
        <f t="shared" si="100"/>
        <v>0</v>
      </c>
    </row>
    <row r="6354" spans="3:4" ht="15" x14ac:dyDescent="0.25">
      <c r="C6354" s="8" t="e">
        <f>VLOOKUP(A:A,'ITEM LIST'!A:C,3,0)</f>
        <v>#N/A</v>
      </c>
      <c r="D6354" s="6">
        <f t="shared" si="100"/>
        <v>0</v>
      </c>
    </row>
    <row r="6355" spans="3:4" ht="15" x14ac:dyDescent="0.25">
      <c r="C6355" s="8" t="e">
        <f>VLOOKUP(A:A,'ITEM LIST'!A:C,3,0)</f>
        <v>#N/A</v>
      </c>
      <c r="D6355" s="6">
        <f t="shared" si="100"/>
        <v>0</v>
      </c>
    </row>
    <row r="6356" spans="3:4" ht="15" x14ac:dyDescent="0.25">
      <c r="C6356" s="8" t="e">
        <f>VLOOKUP(A:A,'ITEM LIST'!A:C,3,0)</f>
        <v>#N/A</v>
      </c>
      <c r="D6356" s="6">
        <f t="shared" si="100"/>
        <v>0</v>
      </c>
    </row>
    <row r="6357" spans="3:4" ht="15" x14ac:dyDescent="0.25">
      <c r="C6357" s="8" t="e">
        <f>VLOOKUP(A:A,'ITEM LIST'!A:C,3,0)</f>
        <v>#N/A</v>
      </c>
      <c r="D6357" s="6">
        <f t="shared" si="100"/>
        <v>0</v>
      </c>
    </row>
    <row r="6358" spans="3:4" ht="15" x14ac:dyDescent="0.25">
      <c r="C6358" s="8" t="e">
        <f>VLOOKUP(A:A,'ITEM LIST'!A:C,3,0)</f>
        <v>#N/A</v>
      </c>
      <c r="D6358" s="6">
        <f t="shared" si="100"/>
        <v>0</v>
      </c>
    </row>
    <row r="6359" spans="3:4" ht="15" x14ac:dyDescent="0.25">
      <c r="C6359" s="8" t="e">
        <f>VLOOKUP(A:A,'ITEM LIST'!A:C,3,0)</f>
        <v>#N/A</v>
      </c>
      <c r="D6359" s="6">
        <f t="shared" si="100"/>
        <v>0</v>
      </c>
    </row>
    <row r="6360" spans="3:4" ht="15" x14ac:dyDescent="0.25">
      <c r="C6360" s="8" t="e">
        <f>VLOOKUP(A:A,'ITEM LIST'!A:C,3,0)</f>
        <v>#N/A</v>
      </c>
      <c r="D6360" s="6">
        <f t="shared" si="100"/>
        <v>0</v>
      </c>
    </row>
    <row r="6361" spans="3:4" ht="15" x14ac:dyDescent="0.25">
      <c r="C6361" s="8" t="e">
        <f>VLOOKUP(A:A,'ITEM LIST'!A:C,3,0)</f>
        <v>#N/A</v>
      </c>
      <c r="D6361" s="6">
        <f t="shared" si="100"/>
        <v>0</v>
      </c>
    </row>
    <row r="6362" spans="3:4" ht="15" x14ac:dyDescent="0.25">
      <c r="C6362" s="8" t="e">
        <f>VLOOKUP(A:A,'ITEM LIST'!A:C,3,0)</f>
        <v>#N/A</v>
      </c>
      <c r="D6362" s="6">
        <f t="shared" si="100"/>
        <v>0</v>
      </c>
    </row>
    <row r="6363" spans="3:4" ht="15" x14ac:dyDescent="0.25">
      <c r="C6363" s="8" t="e">
        <f>VLOOKUP(A:A,'ITEM LIST'!A:C,3,0)</f>
        <v>#N/A</v>
      </c>
      <c r="D6363" s="6">
        <f t="shared" si="100"/>
        <v>0</v>
      </c>
    </row>
    <row r="6364" spans="3:4" ht="15" x14ac:dyDescent="0.25">
      <c r="C6364" s="8" t="e">
        <f>VLOOKUP(A:A,'ITEM LIST'!A:C,3,0)</f>
        <v>#N/A</v>
      </c>
      <c r="D6364" s="6">
        <f t="shared" si="100"/>
        <v>0</v>
      </c>
    </row>
    <row r="6365" spans="3:4" ht="15" x14ac:dyDescent="0.25">
      <c r="C6365" s="8" t="e">
        <f>VLOOKUP(A:A,'ITEM LIST'!A:C,3,0)</f>
        <v>#N/A</v>
      </c>
      <c r="D6365" s="6">
        <f t="shared" si="100"/>
        <v>0</v>
      </c>
    </row>
    <row r="6366" spans="3:4" ht="15" x14ac:dyDescent="0.25">
      <c r="C6366" s="8" t="e">
        <f>VLOOKUP(A:A,'ITEM LIST'!A:C,3,0)</f>
        <v>#N/A</v>
      </c>
      <c r="D6366" s="6">
        <f t="shared" si="100"/>
        <v>0</v>
      </c>
    </row>
    <row r="6367" spans="3:4" ht="15" x14ac:dyDescent="0.25">
      <c r="C6367" s="8" t="e">
        <f>VLOOKUP(A:A,'ITEM LIST'!A:C,3,0)</f>
        <v>#N/A</v>
      </c>
      <c r="D6367" s="6">
        <f t="shared" si="100"/>
        <v>0</v>
      </c>
    </row>
    <row r="6368" spans="3:4" ht="15" x14ac:dyDescent="0.25">
      <c r="C6368" s="8" t="e">
        <f>VLOOKUP(A:A,'ITEM LIST'!A:C,3,0)</f>
        <v>#N/A</v>
      </c>
      <c r="D6368" s="6">
        <f t="shared" si="100"/>
        <v>0</v>
      </c>
    </row>
    <row r="6369" spans="3:4" ht="15" x14ac:dyDescent="0.25">
      <c r="C6369" s="8" t="e">
        <f>VLOOKUP(A:A,'ITEM LIST'!A:C,3,0)</f>
        <v>#N/A</v>
      </c>
      <c r="D6369" s="6">
        <f t="shared" si="100"/>
        <v>0</v>
      </c>
    </row>
    <row r="6370" spans="3:4" ht="15" x14ac:dyDescent="0.25">
      <c r="C6370" s="8" t="e">
        <f>VLOOKUP(A:A,'ITEM LIST'!A:C,3,0)</f>
        <v>#N/A</v>
      </c>
      <c r="D6370" s="6">
        <f t="shared" si="100"/>
        <v>0</v>
      </c>
    </row>
    <row r="6371" spans="3:4" ht="15" x14ac:dyDescent="0.25">
      <c r="C6371" s="8" t="e">
        <f>VLOOKUP(A:A,'ITEM LIST'!A:C,3,0)</f>
        <v>#N/A</v>
      </c>
      <c r="D6371" s="6">
        <f t="shared" si="100"/>
        <v>0</v>
      </c>
    </row>
    <row r="6372" spans="3:4" ht="15" x14ac:dyDescent="0.25">
      <c r="C6372" s="8" t="e">
        <f>VLOOKUP(A:A,'ITEM LIST'!A:C,3,0)</f>
        <v>#N/A</v>
      </c>
      <c r="D6372" s="6">
        <f t="shared" si="100"/>
        <v>0</v>
      </c>
    </row>
    <row r="6373" spans="3:4" ht="15" x14ac:dyDescent="0.25">
      <c r="C6373" s="8" t="e">
        <f>VLOOKUP(A:A,'ITEM LIST'!A:C,3,0)</f>
        <v>#N/A</v>
      </c>
      <c r="D6373" s="6">
        <f t="shared" si="100"/>
        <v>0</v>
      </c>
    </row>
    <row r="6374" spans="3:4" ht="15" x14ac:dyDescent="0.25">
      <c r="C6374" s="8" t="e">
        <f>VLOOKUP(A:A,'ITEM LIST'!A:C,3,0)</f>
        <v>#N/A</v>
      </c>
      <c r="D6374" s="6">
        <f t="shared" si="100"/>
        <v>0</v>
      </c>
    </row>
    <row r="6375" spans="3:4" ht="15" x14ac:dyDescent="0.25">
      <c r="C6375" s="8" t="e">
        <f>VLOOKUP(A:A,'ITEM LIST'!A:C,3,0)</f>
        <v>#N/A</v>
      </c>
      <c r="D6375" s="6">
        <f t="shared" si="100"/>
        <v>0</v>
      </c>
    </row>
    <row r="6376" spans="3:4" ht="15" x14ac:dyDescent="0.25">
      <c r="C6376" s="8" t="e">
        <f>VLOOKUP(A:A,'ITEM LIST'!A:C,3,0)</f>
        <v>#N/A</v>
      </c>
      <c r="D6376" s="6">
        <f t="shared" si="100"/>
        <v>0</v>
      </c>
    </row>
    <row r="6377" spans="3:4" ht="15" x14ac:dyDescent="0.25">
      <c r="C6377" s="8" t="e">
        <f>VLOOKUP(A:A,'ITEM LIST'!A:C,3,0)</f>
        <v>#N/A</v>
      </c>
      <c r="D6377" s="6">
        <f t="shared" si="100"/>
        <v>0</v>
      </c>
    </row>
    <row r="6378" spans="3:4" ht="15" x14ac:dyDescent="0.25">
      <c r="C6378" s="8" t="e">
        <f>VLOOKUP(A:A,'ITEM LIST'!A:C,3,0)</f>
        <v>#N/A</v>
      </c>
      <c r="D6378" s="6">
        <f t="shared" si="100"/>
        <v>0</v>
      </c>
    </row>
    <row r="6379" spans="3:4" ht="15" x14ac:dyDescent="0.25">
      <c r="C6379" s="8" t="e">
        <f>VLOOKUP(A:A,'ITEM LIST'!A:C,3,0)</f>
        <v>#N/A</v>
      </c>
      <c r="D6379" s="6">
        <f t="shared" si="100"/>
        <v>0</v>
      </c>
    </row>
    <row r="6380" spans="3:4" ht="15" x14ac:dyDescent="0.25">
      <c r="C6380" s="8" t="e">
        <f>VLOOKUP(A:A,'ITEM LIST'!A:C,3,0)</f>
        <v>#N/A</v>
      </c>
      <c r="D6380" s="6">
        <f t="shared" si="100"/>
        <v>0</v>
      </c>
    </row>
    <row r="6381" spans="3:4" ht="15" x14ac:dyDescent="0.25">
      <c r="C6381" s="8" t="e">
        <f>VLOOKUP(A:A,'ITEM LIST'!A:C,3,0)</f>
        <v>#N/A</v>
      </c>
      <c r="D6381" s="6">
        <f t="shared" si="100"/>
        <v>0</v>
      </c>
    </row>
    <row r="6382" spans="3:4" ht="15" x14ac:dyDescent="0.25">
      <c r="C6382" s="8" t="e">
        <f>VLOOKUP(A:A,'ITEM LIST'!A:C,3,0)</f>
        <v>#N/A</v>
      </c>
      <c r="D6382" s="6">
        <f t="shared" si="100"/>
        <v>0</v>
      </c>
    </row>
    <row r="6383" spans="3:4" ht="15" x14ac:dyDescent="0.25">
      <c r="C6383" s="8" t="e">
        <f>VLOOKUP(A:A,'ITEM LIST'!A:C,3,0)</f>
        <v>#N/A</v>
      </c>
      <c r="D6383" s="6">
        <f t="shared" si="100"/>
        <v>0</v>
      </c>
    </row>
    <row r="6384" spans="3:4" ht="15" x14ac:dyDescent="0.25">
      <c r="C6384" s="8" t="e">
        <f>VLOOKUP(A:A,'ITEM LIST'!A:C,3,0)</f>
        <v>#N/A</v>
      </c>
      <c r="D6384" s="6">
        <f t="shared" si="100"/>
        <v>0</v>
      </c>
    </row>
    <row r="6385" spans="3:4" ht="15" x14ac:dyDescent="0.25">
      <c r="C6385" s="8" t="e">
        <f>VLOOKUP(A:A,'ITEM LIST'!A:C,3,0)</f>
        <v>#N/A</v>
      </c>
      <c r="D6385" s="6">
        <f t="shared" si="100"/>
        <v>0</v>
      </c>
    </row>
    <row r="6386" spans="3:4" ht="15" x14ac:dyDescent="0.25">
      <c r="C6386" s="8" t="e">
        <f>VLOOKUP(A:A,'ITEM LIST'!A:C,3,0)</f>
        <v>#N/A</v>
      </c>
      <c r="D6386" s="6">
        <f t="shared" si="100"/>
        <v>0</v>
      </c>
    </row>
    <row r="6387" spans="3:4" ht="15" x14ac:dyDescent="0.25">
      <c r="C6387" s="8" t="e">
        <f>VLOOKUP(A:A,'ITEM LIST'!A:C,3,0)</f>
        <v>#N/A</v>
      </c>
      <c r="D6387" s="6">
        <f t="shared" si="100"/>
        <v>0</v>
      </c>
    </row>
    <row r="6388" spans="3:4" ht="15" x14ac:dyDescent="0.25">
      <c r="C6388" s="8" t="e">
        <f>VLOOKUP(A:A,'ITEM LIST'!A:C,3,0)</f>
        <v>#N/A</v>
      </c>
      <c r="D6388" s="6">
        <f t="shared" si="100"/>
        <v>0</v>
      </c>
    </row>
    <row r="6389" spans="3:4" ht="15" x14ac:dyDescent="0.25">
      <c r="C6389" s="8" t="e">
        <f>VLOOKUP(A:A,'ITEM LIST'!A:C,3,0)</f>
        <v>#N/A</v>
      </c>
      <c r="D6389" s="6">
        <f t="shared" si="100"/>
        <v>0</v>
      </c>
    </row>
    <row r="6390" spans="3:4" ht="15" x14ac:dyDescent="0.25">
      <c r="C6390" s="8" t="e">
        <f>VLOOKUP(A:A,'ITEM LIST'!A:C,3,0)</f>
        <v>#N/A</v>
      </c>
      <c r="D6390" s="6">
        <f t="shared" si="100"/>
        <v>0</v>
      </c>
    </row>
    <row r="6391" spans="3:4" ht="15" x14ac:dyDescent="0.25">
      <c r="C6391" s="8" t="e">
        <f>VLOOKUP(A:A,'ITEM LIST'!A:C,3,0)</f>
        <v>#N/A</v>
      </c>
      <c r="D6391" s="6">
        <f t="shared" si="100"/>
        <v>0</v>
      </c>
    </row>
    <row r="6392" spans="3:4" ht="15" x14ac:dyDescent="0.25">
      <c r="C6392" s="8" t="e">
        <f>VLOOKUP(A:A,'ITEM LIST'!A:C,3,0)</f>
        <v>#N/A</v>
      </c>
      <c r="D6392" s="6">
        <f t="shared" si="100"/>
        <v>0</v>
      </c>
    </row>
    <row r="6393" spans="3:4" ht="15" x14ac:dyDescent="0.25">
      <c r="C6393" s="8" t="e">
        <f>VLOOKUP(A:A,'ITEM LIST'!A:C,3,0)</f>
        <v>#N/A</v>
      </c>
      <c r="D6393" s="6">
        <f t="shared" si="100"/>
        <v>0</v>
      </c>
    </row>
    <row r="6394" spans="3:4" ht="15" x14ac:dyDescent="0.25">
      <c r="C6394" s="8" t="e">
        <f>VLOOKUP(A:A,'ITEM LIST'!A:C,3,0)</f>
        <v>#N/A</v>
      </c>
      <c r="D6394" s="6">
        <f t="shared" si="100"/>
        <v>0</v>
      </c>
    </row>
    <row r="6395" spans="3:4" ht="15" x14ac:dyDescent="0.25">
      <c r="C6395" s="8" t="e">
        <f>VLOOKUP(A:A,'ITEM LIST'!A:C,3,0)</f>
        <v>#N/A</v>
      </c>
      <c r="D6395" s="6">
        <f t="shared" si="100"/>
        <v>0</v>
      </c>
    </row>
    <row r="6396" spans="3:4" ht="15" x14ac:dyDescent="0.25">
      <c r="C6396" s="8" t="e">
        <f>VLOOKUP(A:A,'ITEM LIST'!A:C,3,0)</f>
        <v>#N/A</v>
      </c>
      <c r="D6396" s="6">
        <f t="shared" si="100"/>
        <v>0</v>
      </c>
    </row>
    <row r="6397" spans="3:4" ht="15" x14ac:dyDescent="0.25">
      <c r="C6397" s="8" t="e">
        <f>VLOOKUP(A:A,'ITEM LIST'!A:C,3,0)</f>
        <v>#N/A</v>
      </c>
      <c r="D6397" s="6">
        <f t="shared" si="100"/>
        <v>0</v>
      </c>
    </row>
    <row r="6398" spans="3:4" ht="15" x14ac:dyDescent="0.25">
      <c r="C6398" s="8" t="e">
        <f>VLOOKUP(A:A,'ITEM LIST'!A:C,3,0)</f>
        <v>#N/A</v>
      </c>
      <c r="D6398" s="6">
        <f t="shared" si="100"/>
        <v>0</v>
      </c>
    </row>
    <row r="6399" spans="3:4" ht="15" x14ac:dyDescent="0.25">
      <c r="C6399" s="8" t="e">
        <f>VLOOKUP(A:A,'ITEM LIST'!A:C,3,0)</f>
        <v>#N/A</v>
      </c>
      <c r="D6399" s="6">
        <f t="shared" si="100"/>
        <v>0</v>
      </c>
    </row>
    <row r="6400" spans="3:4" ht="15" x14ac:dyDescent="0.25">
      <c r="C6400" s="8" t="e">
        <f>VLOOKUP(A:A,'ITEM LIST'!A:C,3,0)</f>
        <v>#N/A</v>
      </c>
      <c r="D6400" s="6">
        <f t="shared" si="100"/>
        <v>0</v>
      </c>
    </row>
    <row r="6401" spans="3:4" ht="15" x14ac:dyDescent="0.25">
      <c r="C6401" s="8" t="e">
        <f>VLOOKUP(A:A,'ITEM LIST'!A:C,3,0)</f>
        <v>#N/A</v>
      </c>
      <c r="D6401" s="6">
        <f t="shared" si="100"/>
        <v>0</v>
      </c>
    </row>
    <row r="6402" spans="3:4" ht="15" x14ac:dyDescent="0.25">
      <c r="C6402" s="8" t="e">
        <f>VLOOKUP(A:A,'ITEM LIST'!A:C,3,0)</f>
        <v>#N/A</v>
      </c>
      <c r="D6402" s="6">
        <f t="shared" si="100"/>
        <v>0</v>
      </c>
    </row>
    <row r="6403" spans="3:4" ht="15" x14ac:dyDescent="0.25">
      <c r="C6403" s="8" t="e">
        <f>VLOOKUP(A:A,'ITEM LIST'!A:C,3,0)</f>
        <v>#N/A</v>
      </c>
      <c r="D6403" s="6">
        <f t="shared" si="100"/>
        <v>0</v>
      </c>
    </row>
    <row r="6404" spans="3:4" ht="15" x14ac:dyDescent="0.25">
      <c r="C6404" s="8" t="e">
        <f>VLOOKUP(A:A,'ITEM LIST'!A:C,3,0)</f>
        <v>#N/A</v>
      </c>
      <c r="D6404" s="6">
        <f t="shared" si="100"/>
        <v>0</v>
      </c>
    </row>
    <row r="6405" spans="3:4" ht="15" x14ac:dyDescent="0.25">
      <c r="C6405" s="8" t="e">
        <f>VLOOKUP(A:A,'ITEM LIST'!A:C,3,0)</f>
        <v>#N/A</v>
      </c>
      <c r="D6405" s="6">
        <f t="shared" si="100"/>
        <v>0</v>
      </c>
    </row>
    <row r="6406" spans="3:4" ht="15" x14ac:dyDescent="0.25">
      <c r="C6406" s="8" t="e">
        <f>VLOOKUP(A:A,'ITEM LIST'!A:C,3,0)</f>
        <v>#N/A</v>
      </c>
      <c r="D6406" s="6">
        <f t="shared" ref="D6406:D6469" si="101">B6406</f>
        <v>0</v>
      </c>
    </row>
    <row r="6407" spans="3:4" ht="15" x14ac:dyDescent="0.25">
      <c r="C6407" s="8" t="e">
        <f>VLOOKUP(A:A,'ITEM LIST'!A:C,3,0)</f>
        <v>#N/A</v>
      </c>
      <c r="D6407" s="6">
        <f t="shared" si="101"/>
        <v>0</v>
      </c>
    </row>
    <row r="6408" spans="3:4" ht="15" x14ac:dyDescent="0.25">
      <c r="C6408" s="8" t="e">
        <f>VLOOKUP(A:A,'ITEM LIST'!A:C,3,0)</f>
        <v>#N/A</v>
      </c>
      <c r="D6408" s="6">
        <f t="shared" si="101"/>
        <v>0</v>
      </c>
    </row>
    <row r="6409" spans="3:4" ht="15" x14ac:dyDescent="0.25">
      <c r="C6409" s="8" t="e">
        <f>VLOOKUP(A:A,'ITEM LIST'!A:C,3,0)</f>
        <v>#N/A</v>
      </c>
      <c r="D6409" s="6">
        <f t="shared" si="101"/>
        <v>0</v>
      </c>
    </row>
    <row r="6410" spans="3:4" ht="15" x14ac:dyDescent="0.25">
      <c r="C6410" s="8" t="e">
        <f>VLOOKUP(A:A,'ITEM LIST'!A:C,3,0)</f>
        <v>#N/A</v>
      </c>
      <c r="D6410" s="6">
        <f t="shared" si="101"/>
        <v>0</v>
      </c>
    </row>
    <row r="6411" spans="3:4" ht="15" x14ac:dyDescent="0.25">
      <c r="C6411" s="8" t="e">
        <f>VLOOKUP(A:A,'ITEM LIST'!A:C,3,0)</f>
        <v>#N/A</v>
      </c>
      <c r="D6411" s="6">
        <f t="shared" si="101"/>
        <v>0</v>
      </c>
    </row>
    <row r="6412" spans="3:4" ht="15" x14ac:dyDescent="0.25">
      <c r="C6412" s="8" t="e">
        <f>VLOOKUP(A:A,'ITEM LIST'!A:C,3,0)</f>
        <v>#N/A</v>
      </c>
      <c r="D6412" s="6">
        <f t="shared" si="101"/>
        <v>0</v>
      </c>
    </row>
    <row r="6413" spans="3:4" ht="15" x14ac:dyDescent="0.25">
      <c r="C6413" s="8" t="e">
        <f>VLOOKUP(A:A,'ITEM LIST'!A:C,3,0)</f>
        <v>#N/A</v>
      </c>
      <c r="D6413" s="6">
        <f t="shared" si="101"/>
        <v>0</v>
      </c>
    </row>
    <row r="6414" spans="3:4" ht="15" x14ac:dyDescent="0.25">
      <c r="C6414" s="8" t="e">
        <f>VLOOKUP(A:A,'ITEM LIST'!A:C,3,0)</f>
        <v>#N/A</v>
      </c>
      <c r="D6414" s="6">
        <f t="shared" si="101"/>
        <v>0</v>
      </c>
    </row>
    <row r="6415" spans="3:4" ht="15" x14ac:dyDescent="0.25">
      <c r="C6415" s="8" t="e">
        <f>VLOOKUP(A:A,'ITEM LIST'!A:C,3,0)</f>
        <v>#N/A</v>
      </c>
      <c r="D6415" s="6">
        <f t="shared" si="101"/>
        <v>0</v>
      </c>
    </row>
    <row r="6416" spans="3:4" ht="15" x14ac:dyDescent="0.25">
      <c r="C6416" s="8" t="e">
        <f>VLOOKUP(A:A,'ITEM LIST'!A:C,3,0)</f>
        <v>#N/A</v>
      </c>
      <c r="D6416" s="6">
        <f t="shared" si="101"/>
        <v>0</v>
      </c>
    </row>
    <row r="6417" spans="3:4" ht="15" x14ac:dyDescent="0.25">
      <c r="C6417" s="8" t="e">
        <f>VLOOKUP(A:A,'ITEM LIST'!A:C,3,0)</f>
        <v>#N/A</v>
      </c>
      <c r="D6417" s="6">
        <f t="shared" si="101"/>
        <v>0</v>
      </c>
    </row>
    <row r="6418" spans="3:4" ht="15" x14ac:dyDescent="0.25">
      <c r="C6418" s="8" t="e">
        <f>VLOOKUP(A:A,'ITEM LIST'!A:C,3,0)</f>
        <v>#N/A</v>
      </c>
      <c r="D6418" s="6">
        <f t="shared" si="101"/>
        <v>0</v>
      </c>
    </row>
    <row r="6419" spans="3:4" ht="15" x14ac:dyDescent="0.25">
      <c r="C6419" s="8" t="e">
        <f>VLOOKUP(A:A,'ITEM LIST'!A:C,3,0)</f>
        <v>#N/A</v>
      </c>
      <c r="D6419" s="6">
        <f t="shared" si="101"/>
        <v>0</v>
      </c>
    </row>
    <row r="6420" spans="3:4" ht="15" x14ac:dyDescent="0.25">
      <c r="C6420" s="8" t="e">
        <f>VLOOKUP(A:A,'ITEM LIST'!A:C,3,0)</f>
        <v>#N/A</v>
      </c>
      <c r="D6420" s="6">
        <f t="shared" si="101"/>
        <v>0</v>
      </c>
    </row>
    <row r="6421" spans="3:4" ht="15" x14ac:dyDescent="0.25">
      <c r="C6421" s="8" t="e">
        <f>VLOOKUP(A:A,'ITEM LIST'!A:C,3,0)</f>
        <v>#N/A</v>
      </c>
      <c r="D6421" s="6">
        <f t="shared" si="101"/>
        <v>0</v>
      </c>
    </row>
    <row r="6422" spans="3:4" ht="15" x14ac:dyDescent="0.25">
      <c r="C6422" s="8" t="e">
        <f>VLOOKUP(A:A,'ITEM LIST'!A:C,3,0)</f>
        <v>#N/A</v>
      </c>
      <c r="D6422" s="6">
        <f t="shared" si="101"/>
        <v>0</v>
      </c>
    </row>
    <row r="6423" spans="3:4" ht="15" x14ac:dyDescent="0.25">
      <c r="C6423" s="8" t="e">
        <f>VLOOKUP(A:A,'ITEM LIST'!A:C,3,0)</f>
        <v>#N/A</v>
      </c>
      <c r="D6423" s="6">
        <f t="shared" si="101"/>
        <v>0</v>
      </c>
    </row>
    <row r="6424" spans="3:4" ht="15" x14ac:dyDescent="0.25">
      <c r="C6424" s="8" t="e">
        <f>VLOOKUP(A:A,'ITEM LIST'!A:C,3,0)</f>
        <v>#N/A</v>
      </c>
      <c r="D6424" s="6">
        <f t="shared" si="101"/>
        <v>0</v>
      </c>
    </row>
    <row r="6425" spans="3:4" ht="15" x14ac:dyDescent="0.25">
      <c r="C6425" s="8" t="e">
        <f>VLOOKUP(A:A,'ITEM LIST'!A:C,3,0)</f>
        <v>#N/A</v>
      </c>
      <c r="D6425" s="6">
        <f t="shared" si="101"/>
        <v>0</v>
      </c>
    </row>
    <row r="6426" spans="3:4" ht="15" x14ac:dyDescent="0.25">
      <c r="C6426" s="8" t="e">
        <f>VLOOKUP(A:A,'ITEM LIST'!A:C,3,0)</f>
        <v>#N/A</v>
      </c>
      <c r="D6426" s="6">
        <f t="shared" si="101"/>
        <v>0</v>
      </c>
    </row>
    <row r="6427" spans="3:4" ht="15" x14ac:dyDescent="0.25">
      <c r="C6427" s="8" t="e">
        <f>VLOOKUP(A:A,'ITEM LIST'!A:C,3,0)</f>
        <v>#N/A</v>
      </c>
      <c r="D6427" s="6">
        <f t="shared" si="101"/>
        <v>0</v>
      </c>
    </row>
    <row r="6428" spans="3:4" ht="15" x14ac:dyDescent="0.25">
      <c r="C6428" s="8" t="e">
        <f>VLOOKUP(A:A,'ITEM LIST'!A:C,3,0)</f>
        <v>#N/A</v>
      </c>
      <c r="D6428" s="6">
        <f t="shared" si="101"/>
        <v>0</v>
      </c>
    </row>
    <row r="6429" spans="3:4" ht="15" x14ac:dyDescent="0.25">
      <c r="C6429" s="8" t="e">
        <f>VLOOKUP(A:A,'ITEM LIST'!A:C,3,0)</f>
        <v>#N/A</v>
      </c>
      <c r="D6429" s="6">
        <f t="shared" si="101"/>
        <v>0</v>
      </c>
    </row>
    <row r="6430" spans="3:4" ht="15" x14ac:dyDescent="0.25">
      <c r="C6430" s="8" t="e">
        <f>VLOOKUP(A:A,'ITEM LIST'!A:C,3,0)</f>
        <v>#N/A</v>
      </c>
      <c r="D6430" s="6">
        <f t="shared" si="101"/>
        <v>0</v>
      </c>
    </row>
    <row r="6431" spans="3:4" ht="15" x14ac:dyDescent="0.25">
      <c r="C6431" s="8" t="e">
        <f>VLOOKUP(A:A,'ITEM LIST'!A:C,3,0)</f>
        <v>#N/A</v>
      </c>
      <c r="D6431" s="6">
        <f t="shared" si="101"/>
        <v>0</v>
      </c>
    </row>
    <row r="6432" spans="3:4" ht="15" x14ac:dyDescent="0.25">
      <c r="C6432" s="8" t="e">
        <f>VLOOKUP(A:A,'ITEM LIST'!A:C,3,0)</f>
        <v>#N/A</v>
      </c>
      <c r="D6432" s="6">
        <f t="shared" si="101"/>
        <v>0</v>
      </c>
    </row>
    <row r="6433" spans="3:4" ht="15" x14ac:dyDescent="0.25">
      <c r="C6433" s="8" t="e">
        <f>VLOOKUP(A:A,'ITEM LIST'!A:C,3,0)</f>
        <v>#N/A</v>
      </c>
      <c r="D6433" s="6">
        <f t="shared" si="101"/>
        <v>0</v>
      </c>
    </row>
    <row r="6434" spans="3:4" ht="15" x14ac:dyDescent="0.25">
      <c r="C6434" s="8" t="e">
        <f>VLOOKUP(A:A,'ITEM LIST'!A:C,3,0)</f>
        <v>#N/A</v>
      </c>
      <c r="D6434" s="6">
        <f t="shared" si="101"/>
        <v>0</v>
      </c>
    </row>
    <row r="6435" spans="3:4" ht="15" x14ac:dyDescent="0.25">
      <c r="C6435" s="8" t="e">
        <f>VLOOKUP(A:A,'ITEM LIST'!A:C,3,0)</f>
        <v>#N/A</v>
      </c>
      <c r="D6435" s="6">
        <f t="shared" si="101"/>
        <v>0</v>
      </c>
    </row>
    <row r="6436" spans="3:4" ht="15" x14ac:dyDescent="0.25">
      <c r="C6436" s="8" t="e">
        <f>VLOOKUP(A:A,'ITEM LIST'!A:C,3,0)</f>
        <v>#N/A</v>
      </c>
      <c r="D6436" s="6">
        <f t="shared" si="101"/>
        <v>0</v>
      </c>
    </row>
    <row r="6437" spans="3:4" ht="15" x14ac:dyDescent="0.25">
      <c r="C6437" s="8" t="e">
        <f>VLOOKUP(A:A,'ITEM LIST'!A:C,3,0)</f>
        <v>#N/A</v>
      </c>
      <c r="D6437" s="6">
        <f t="shared" si="101"/>
        <v>0</v>
      </c>
    </row>
    <row r="6438" spans="3:4" ht="15" x14ac:dyDescent="0.25">
      <c r="C6438" s="8" t="e">
        <f>VLOOKUP(A:A,'ITEM LIST'!A:C,3,0)</f>
        <v>#N/A</v>
      </c>
      <c r="D6438" s="6">
        <f t="shared" si="101"/>
        <v>0</v>
      </c>
    </row>
    <row r="6439" spans="3:4" ht="15" x14ac:dyDescent="0.25">
      <c r="C6439" s="8" t="e">
        <f>VLOOKUP(A:A,'ITEM LIST'!A:C,3,0)</f>
        <v>#N/A</v>
      </c>
      <c r="D6439" s="6">
        <f t="shared" si="101"/>
        <v>0</v>
      </c>
    </row>
    <row r="6440" spans="3:4" ht="15" x14ac:dyDescent="0.25">
      <c r="C6440" s="8" t="e">
        <f>VLOOKUP(A:A,'ITEM LIST'!A:C,3,0)</f>
        <v>#N/A</v>
      </c>
      <c r="D6440" s="6">
        <f t="shared" si="101"/>
        <v>0</v>
      </c>
    </row>
    <row r="6441" spans="3:4" ht="15" x14ac:dyDescent="0.25">
      <c r="C6441" s="8" t="e">
        <f>VLOOKUP(A:A,'ITEM LIST'!A:C,3,0)</f>
        <v>#N/A</v>
      </c>
      <c r="D6441" s="6">
        <f t="shared" si="101"/>
        <v>0</v>
      </c>
    </row>
    <row r="6442" spans="3:4" ht="15" x14ac:dyDescent="0.25">
      <c r="C6442" s="8" t="e">
        <f>VLOOKUP(A:A,'ITEM LIST'!A:C,3,0)</f>
        <v>#N/A</v>
      </c>
      <c r="D6442" s="6">
        <f t="shared" si="101"/>
        <v>0</v>
      </c>
    </row>
    <row r="6443" spans="3:4" ht="15" x14ac:dyDescent="0.25">
      <c r="C6443" s="8" t="e">
        <f>VLOOKUP(A:A,'ITEM LIST'!A:C,3,0)</f>
        <v>#N/A</v>
      </c>
      <c r="D6443" s="6">
        <f t="shared" si="101"/>
        <v>0</v>
      </c>
    </row>
    <row r="6444" spans="3:4" ht="15" x14ac:dyDescent="0.25">
      <c r="C6444" s="8" t="e">
        <f>VLOOKUP(A:A,'ITEM LIST'!A:C,3,0)</f>
        <v>#N/A</v>
      </c>
      <c r="D6444" s="6">
        <f t="shared" si="101"/>
        <v>0</v>
      </c>
    </row>
    <row r="6445" spans="3:4" ht="15" x14ac:dyDescent="0.25">
      <c r="C6445" s="8" t="e">
        <f>VLOOKUP(A:A,'ITEM LIST'!A:C,3,0)</f>
        <v>#N/A</v>
      </c>
      <c r="D6445" s="6">
        <f t="shared" si="101"/>
        <v>0</v>
      </c>
    </row>
    <row r="6446" spans="3:4" ht="15" x14ac:dyDescent="0.25">
      <c r="C6446" s="8" t="e">
        <f>VLOOKUP(A:A,'ITEM LIST'!A:C,3,0)</f>
        <v>#N/A</v>
      </c>
      <c r="D6446" s="6">
        <f t="shared" si="101"/>
        <v>0</v>
      </c>
    </row>
    <row r="6447" spans="3:4" ht="15" x14ac:dyDescent="0.25">
      <c r="C6447" s="8" t="e">
        <f>VLOOKUP(A:A,'ITEM LIST'!A:C,3,0)</f>
        <v>#N/A</v>
      </c>
      <c r="D6447" s="6">
        <f t="shared" si="101"/>
        <v>0</v>
      </c>
    </row>
    <row r="6448" spans="3:4" ht="15" x14ac:dyDescent="0.25">
      <c r="C6448" s="8" t="e">
        <f>VLOOKUP(A:A,'ITEM LIST'!A:C,3,0)</f>
        <v>#N/A</v>
      </c>
      <c r="D6448" s="6">
        <f t="shared" si="101"/>
        <v>0</v>
      </c>
    </row>
    <row r="6449" spans="3:4" ht="15" x14ac:dyDescent="0.25">
      <c r="C6449" s="8" t="e">
        <f>VLOOKUP(A:A,'ITEM LIST'!A:C,3,0)</f>
        <v>#N/A</v>
      </c>
      <c r="D6449" s="6">
        <f t="shared" si="101"/>
        <v>0</v>
      </c>
    </row>
    <row r="6450" spans="3:4" ht="15" x14ac:dyDescent="0.25">
      <c r="C6450" s="8" t="e">
        <f>VLOOKUP(A:A,'ITEM LIST'!A:C,3,0)</f>
        <v>#N/A</v>
      </c>
      <c r="D6450" s="6">
        <f t="shared" si="101"/>
        <v>0</v>
      </c>
    </row>
    <row r="6451" spans="3:4" ht="15" x14ac:dyDescent="0.25">
      <c r="C6451" s="8" t="e">
        <f>VLOOKUP(A:A,'ITEM LIST'!A:C,3,0)</f>
        <v>#N/A</v>
      </c>
      <c r="D6451" s="6">
        <f t="shared" si="101"/>
        <v>0</v>
      </c>
    </row>
    <row r="6452" spans="3:4" ht="15" x14ac:dyDescent="0.25">
      <c r="C6452" s="8" t="e">
        <f>VLOOKUP(A:A,'ITEM LIST'!A:C,3,0)</f>
        <v>#N/A</v>
      </c>
      <c r="D6452" s="6">
        <f t="shared" si="101"/>
        <v>0</v>
      </c>
    </row>
    <row r="6453" spans="3:4" ht="15" x14ac:dyDescent="0.25">
      <c r="C6453" s="8" t="e">
        <f>VLOOKUP(A:A,'ITEM LIST'!A:C,3,0)</f>
        <v>#N/A</v>
      </c>
      <c r="D6453" s="6">
        <f t="shared" si="101"/>
        <v>0</v>
      </c>
    </row>
    <row r="6454" spans="3:4" ht="15" x14ac:dyDescent="0.25">
      <c r="C6454" s="8" t="e">
        <f>VLOOKUP(A:A,'ITEM LIST'!A:C,3,0)</f>
        <v>#N/A</v>
      </c>
      <c r="D6454" s="6">
        <f t="shared" si="101"/>
        <v>0</v>
      </c>
    </row>
    <row r="6455" spans="3:4" ht="15" x14ac:dyDescent="0.25">
      <c r="C6455" s="8" t="e">
        <f>VLOOKUP(A:A,'ITEM LIST'!A:C,3,0)</f>
        <v>#N/A</v>
      </c>
      <c r="D6455" s="6">
        <f t="shared" si="101"/>
        <v>0</v>
      </c>
    </row>
    <row r="6456" spans="3:4" ht="15" x14ac:dyDescent="0.25">
      <c r="C6456" s="8" t="e">
        <f>VLOOKUP(A:A,'ITEM LIST'!A:C,3,0)</f>
        <v>#N/A</v>
      </c>
      <c r="D6456" s="6">
        <f t="shared" si="101"/>
        <v>0</v>
      </c>
    </row>
    <row r="6457" spans="3:4" ht="15" x14ac:dyDescent="0.25">
      <c r="C6457" s="8" t="e">
        <f>VLOOKUP(A:A,'ITEM LIST'!A:C,3,0)</f>
        <v>#N/A</v>
      </c>
      <c r="D6457" s="6">
        <f t="shared" si="101"/>
        <v>0</v>
      </c>
    </row>
    <row r="6458" spans="3:4" ht="15" x14ac:dyDescent="0.25">
      <c r="C6458" s="8" t="e">
        <f>VLOOKUP(A:A,'ITEM LIST'!A:C,3,0)</f>
        <v>#N/A</v>
      </c>
      <c r="D6458" s="6">
        <f t="shared" si="101"/>
        <v>0</v>
      </c>
    </row>
    <row r="6459" spans="3:4" ht="15" x14ac:dyDescent="0.25">
      <c r="C6459" s="8" t="e">
        <f>VLOOKUP(A:A,'ITEM LIST'!A:C,3,0)</f>
        <v>#N/A</v>
      </c>
      <c r="D6459" s="6">
        <f t="shared" si="101"/>
        <v>0</v>
      </c>
    </row>
    <row r="6460" spans="3:4" ht="15" x14ac:dyDescent="0.25">
      <c r="C6460" s="8" t="e">
        <f>VLOOKUP(A:A,'ITEM LIST'!A:C,3,0)</f>
        <v>#N/A</v>
      </c>
      <c r="D6460" s="6">
        <f t="shared" si="101"/>
        <v>0</v>
      </c>
    </row>
    <row r="6461" spans="3:4" ht="15" x14ac:dyDescent="0.25">
      <c r="C6461" s="8" t="e">
        <f>VLOOKUP(A:A,'ITEM LIST'!A:C,3,0)</f>
        <v>#N/A</v>
      </c>
      <c r="D6461" s="6">
        <f t="shared" si="101"/>
        <v>0</v>
      </c>
    </row>
    <row r="6462" spans="3:4" ht="15" x14ac:dyDescent="0.25">
      <c r="C6462" s="8" t="e">
        <f>VLOOKUP(A:A,'ITEM LIST'!A:C,3,0)</f>
        <v>#N/A</v>
      </c>
      <c r="D6462" s="6">
        <f t="shared" si="101"/>
        <v>0</v>
      </c>
    </row>
    <row r="6463" spans="3:4" ht="15" x14ac:dyDescent="0.25">
      <c r="C6463" s="8" t="e">
        <f>VLOOKUP(A:A,'ITEM LIST'!A:C,3,0)</f>
        <v>#N/A</v>
      </c>
      <c r="D6463" s="6">
        <f t="shared" si="101"/>
        <v>0</v>
      </c>
    </row>
    <row r="6464" spans="3:4" ht="15" x14ac:dyDescent="0.25">
      <c r="C6464" s="8" t="e">
        <f>VLOOKUP(A:A,'ITEM LIST'!A:C,3,0)</f>
        <v>#N/A</v>
      </c>
      <c r="D6464" s="6">
        <f t="shared" si="101"/>
        <v>0</v>
      </c>
    </row>
    <row r="6465" spans="3:4" ht="15" x14ac:dyDescent="0.25">
      <c r="C6465" s="8" t="e">
        <f>VLOOKUP(A:A,'ITEM LIST'!A:C,3,0)</f>
        <v>#N/A</v>
      </c>
      <c r="D6465" s="6">
        <f t="shared" si="101"/>
        <v>0</v>
      </c>
    </row>
    <row r="6466" spans="3:4" ht="15" x14ac:dyDescent="0.25">
      <c r="C6466" s="8" t="e">
        <f>VLOOKUP(A:A,'ITEM LIST'!A:C,3,0)</f>
        <v>#N/A</v>
      </c>
      <c r="D6466" s="6">
        <f t="shared" si="101"/>
        <v>0</v>
      </c>
    </row>
    <row r="6467" spans="3:4" ht="15" x14ac:dyDescent="0.25">
      <c r="C6467" s="8" t="e">
        <f>VLOOKUP(A:A,'ITEM LIST'!A:C,3,0)</f>
        <v>#N/A</v>
      </c>
      <c r="D6467" s="6">
        <f t="shared" si="101"/>
        <v>0</v>
      </c>
    </row>
    <row r="6468" spans="3:4" ht="15" x14ac:dyDescent="0.25">
      <c r="C6468" s="8" t="e">
        <f>VLOOKUP(A:A,'ITEM LIST'!A:C,3,0)</f>
        <v>#N/A</v>
      </c>
      <c r="D6468" s="6">
        <f t="shared" si="101"/>
        <v>0</v>
      </c>
    </row>
    <row r="6469" spans="3:4" ht="15" x14ac:dyDescent="0.25">
      <c r="C6469" s="8" t="e">
        <f>VLOOKUP(A:A,'ITEM LIST'!A:C,3,0)</f>
        <v>#N/A</v>
      </c>
      <c r="D6469" s="6">
        <f t="shared" si="101"/>
        <v>0</v>
      </c>
    </row>
    <row r="6470" spans="3:4" ht="15" x14ac:dyDescent="0.25">
      <c r="C6470" s="8" t="e">
        <f>VLOOKUP(A:A,'ITEM LIST'!A:C,3,0)</f>
        <v>#N/A</v>
      </c>
      <c r="D6470" s="6">
        <f t="shared" ref="D6470:D6533" si="102">B6470</f>
        <v>0</v>
      </c>
    </row>
    <row r="6471" spans="3:4" ht="15" x14ac:dyDescent="0.25">
      <c r="C6471" s="8" t="e">
        <f>VLOOKUP(A:A,'ITEM LIST'!A:C,3,0)</f>
        <v>#N/A</v>
      </c>
      <c r="D6471" s="6">
        <f t="shared" si="102"/>
        <v>0</v>
      </c>
    </row>
    <row r="6472" spans="3:4" ht="15" x14ac:dyDescent="0.25">
      <c r="C6472" s="8" t="e">
        <f>VLOOKUP(A:A,'ITEM LIST'!A:C,3,0)</f>
        <v>#N/A</v>
      </c>
      <c r="D6472" s="6">
        <f t="shared" si="102"/>
        <v>0</v>
      </c>
    </row>
    <row r="6473" spans="3:4" ht="15" x14ac:dyDescent="0.25">
      <c r="C6473" s="8" t="e">
        <f>VLOOKUP(A:A,'ITEM LIST'!A:C,3,0)</f>
        <v>#N/A</v>
      </c>
      <c r="D6473" s="6">
        <f t="shared" si="102"/>
        <v>0</v>
      </c>
    </row>
    <row r="6474" spans="3:4" ht="15" x14ac:dyDescent="0.25">
      <c r="C6474" s="8" t="e">
        <f>VLOOKUP(A:A,'ITEM LIST'!A:C,3,0)</f>
        <v>#N/A</v>
      </c>
      <c r="D6474" s="6">
        <f t="shared" si="102"/>
        <v>0</v>
      </c>
    </row>
    <row r="6475" spans="3:4" ht="15" x14ac:dyDescent="0.25">
      <c r="C6475" s="8" t="e">
        <f>VLOOKUP(A:A,'ITEM LIST'!A:C,3,0)</f>
        <v>#N/A</v>
      </c>
      <c r="D6475" s="6">
        <f t="shared" si="102"/>
        <v>0</v>
      </c>
    </row>
    <row r="6476" spans="3:4" ht="15" x14ac:dyDescent="0.25">
      <c r="C6476" s="8" t="e">
        <f>VLOOKUP(A:A,'ITEM LIST'!A:C,3,0)</f>
        <v>#N/A</v>
      </c>
      <c r="D6476" s="6">
        <f t="shared" si="102"/>
        <v>0</v>
      </c>
    </row>
    <row r="6477" spans="3:4" ht="15" x14ac:dyDescent="0.25">
      <c r="C6477" s="8" t="e">
        <f>VLOOKUP(A:A,'ITEM LIST'!A:C,3,0)</f>
        <v>#N/A</v>
      </c>
      <c r="D6477" s="6">
        <f t="shared" si="102"/>
        <v>0</v>
      </c>
    </row>
    <row r="6478" spans="3:4" ht="15" x14ac:dyDescent="0.25">
      <c r="C6478" s="8" t="e">
        <f>VLOOKUP(A:A,'ITEM LIST'!A:C,3,0)</f>
        <v>#N/A</v>
      </c>
      <c r="D6478" s="6">
        <f t="shared" si="102"/>
        <v>0</v>
      </c>
    </row>
    <row r="6479" spans="3:4" ht="15" x14ac:dyDescent="0.25">
      <c r="C6479" s="8" t="e">
        <f>VLOOKUP(A:A,'ITEM LIST'!A:C,3,0)</f>
        <v>#N/A</v>
      </c>
      <c r="D6479" s="6">
        <f t="shared" si="102"/>
        <v>0</v>
      </c>
    </row>
    <row r="6480" spans="3:4" ht="15" x14ac:dyDescent="0.25">
      <c r="C6480" s="8" t="e">
        <f>VLOOKUP(A:A,'ITEM LIST'!A:C,3,0)</f>
        <v>#N/A</v>
      </c>
      <c r="D6480" s="6">
        <f t="shared" si="102"/>
        <v>0</v>
      </c>
    </row>
    <row r="6481" spans="3:4" ht="15" x14ac:dyDescent="0.25">
      <c r="C6481" s="8" t="e">
        <f>VLOOKUP(A:A,'ITEM LIST'!A:C,3,0)</f>
        <v>#N/A</v>
      </c>
      <c r="D6481" s="6">
        <f t="shared" si="102"/>
        <v>0</v>
      </c>
    </row>
    <row r="6482" spans="3:4" ht="15" x14ac:dyDescent="0.25">
      <c r="C6482" s="8" t="e">
        <f>VLOOKUP(A:A,'ITEM LIST'!A:C,3,0)</f>
        <v>#N/A</v>
      </c>
      <c r="D6482" s="6">
        <f t="shared" si="102"/>
        <v>0</v>
      </c>
    </row>
    <row r="6483" spans="3:4" ht="15" x14ac:dyDescent="0.25">
      <c r="C6483" s="8" t="e">
        <f>VLOOKUP(A:A,'ITEM LIST'!A:C,3,0)</f>
        <v>#N/A</v>
      </c>
      <c r="D6483" s="6">
        <f t="shared" si="102"/>
        <v>0</v>
      </c>
    </row>
    <row r="6484" spans="3:4" ht="15" x14ac:dyDescent="0.25">
      <c r="C6484" s="8" t="e">
        <f>VLOOKUP(A:A,'ITEM LIST'!A:C,3,0)</f>
        <v>#N/A</v>
      </c>
      <c r="D6484" s="6">
        <f t="shared" si="102"/>
        <v>0</v>
      </c>
    </row>
    <row r="6485" spans="3:4" ht="15" x14ac:dyDescent="0.25">
      <c r="C6485" s="8" t="e">
        <f>VLOOKUP(A:A,'ITEM LIST'!A:C,3,0)</f>
        <v>#N/A</v>
      </c>
      <c r="D6485" s="6">
        <f t="shared" si="102"/>
        <v>0</v>
      </c>
    </row>
    <row r="6486" spans="3:4" ht="15" x14ac:dyDescent="0.25">
      <c r="C6486" s="8" t="e">
        <f>VLOOKUP(A:A,'ITEM LIST'!A:C,3,0)</f>
        <v>#N/A</v>
      </c>
      <c r="D6486" s="6">
        <f t="shared" si="102"/>
        <v>0</v>
      </c>
    </row>
    <row r="6487" spans="3:4" ht="15" x14ac:dyDescent="0.25">
      <c r="C6487" s="8" t="e">
        <f>VLOOKUP(A:A,'ITEM LIST'!A:C,3,0)</f>
        <v>#N/A</v>
      </c>
      <c r="D6487" s="6">
        <f t="shared" si="102"/>
        <v>0</v>
      </c>
    </row>
    <row r="6488" spans="3:4" ht="15" x14ac:dyDescent="0.25">
      <c r="C6488" s="8" t="e">
        <f>VLOOKUP(A:A,'ITEM LIST'!A:C,3,0)</f>
        <v>#N/A</v>
      </c>
      <c r="D6488" s="6">
        <f t="shared" si="102"/>
        <v>0</v>
      </c>
    </row>
    <row r="6489" spans="3:4" ht="15" x14ac:dyDescent="0.25">
      <c r="C6489" s="8" t="e">
        <f>VLOOKUP(A:A,'ITEM LIST'!A:C,3,0)</f>
        <v>#N/A</v>
      </c>
      <c r="D6489" s="6">
        <f t="shared" si="102"/>
        <v>0</v>
      </c>
    </row>
    <row r="6490" spans="3:4" ht="15" x14ac:dyDescent="0.25">
      <c r="C6490" s="8" t="e">
        <f>VLOOKUP(A:A,'ITEM LIST'!A:C,3,0)</f>
        <v>#N/A</v>
      </c>
      <c r="D6490" s="6">
        <f t="shared" si="102"/>
        <v>0</v>
      </c>
    </row>
    <row r="6491" spans="3:4" ht="15" x14ac:dyDescent="0.25">
      <c r="C6491" s="8" t="e">
        <f>VLOOKUP(A:A,'ITEM LIST'!A:C,3,0)</f>
        <v>#N/A</v>
      </c>
      <c r="D6491" s="6">
        <f t="shared" si="102"/>
        <v>0</v>
      </c>
    </row>
    <row r="6492" spans="3:4" ht="15" x14ac:dyDescent="0.25">
      <c r="C6492" s="8" t="e">
        <f>VLOOKUP(A:A,'ITEM LIST'!A:C,3,0)</f>
        <v>#N/A</v>
      </c>
      <c r="D6492" s="6">
        <f t="shared" si="102"/>
        <v>0</v>
      </c>
    </row>
    <row r="6493" spans="3:4" ht="15" x14ac:dyDescent="0.25">
      <c r="C6493" s="8" t="e">
        <f>VLOOKUP(A:A,'ITEM LIST'!A:C,3,0)</f>
        <v>#N/A</v>
      </c>
      <c r="D6493" s="6">
        <f t="shared" si="102"/>
        <v>0</v>
      </c>
    </row>
    <row r="6494" spans="3:4" ht="15" x14ac:dyDescent="0.25">
      <c r="C6494" s="8" t="e">
        <f>VLOOKUP(A:A,'ITEM LIST'!A:C,3,0)</f>
        <v>#N/A</v>
      </c>
      <c r="D6494" s="6">
        <f t="shared" si="102"/>
        <v>0</v>
      </c>
    </row>
    <row r="6495" spans="3:4" ht="15" x14ac:dyDescent="0.25">
      <c r="C6495" s="8" t="e">
        <f>VLOOKUP(A:A,'ITEM LIST'!A:C,3,0)</f>
        <v>#N/A</v>
      </c>
      <c r="D6495" s="6">
        <f t="shared" si="102"/>
        <v>0</v>
      </c>
    </row>
    <row r="6496" spans="3:4" ht="15" x14ac:dyDescent="0.25">
      <c r="C6496" s="8" t="e">
        <f>VLOOKUP(A:A,'ITEM LIST'!A:C,3,0)</f>
        <v>#N/A</v>
      </c>
      <c r="D6496" s="6">
        <f t="shared" si="102"/>
        <v>0</v>
      </c>
    </row>
    <row r="6497" spans="3:4" ht="15" x14ac:dyDescent="0.25">
      <c r="C6497" s="8" t="e">
        <f>VLOOKUP(A:A,'ITEM LIST'!A:C,3,0)</f>
        <v>#N/A</v>
      </c>
      <c r="D6497" s="6">
        <f t="shared" si="102"/>
        <v>0</v>
      </c>
    </row>
    <row r="6498" spans="3:4" ht="15" x14ac:dyDescent="0.25">
      <c r="C6498" s="8" t="e">
        <f>VLOOKUP(A:A,'ITEM LIST'!A:C,3,0)</f>
        <v>#N/A</v>
      </c>
      <c r="D6498" s="6">
        <f t="shared" si="102"/>
        <v>0</v>
      </c>
    </row>
    <row r="6499" spans="3:4" ht="15" x14ac:dyDescent="0.25">
      <c r="C6499" s="8" t="e">
        <f>VLOOKUP(A:A,'ITEM LIST'!A:C,3,0)</f>
        <v>#N/A</v>
      </c>
      <c r="D6499" s="6">
        <f t="shared" si="102"/>
        <v>0</v>
      </c>
    </row>
    <row r="6500" spans="3:4" ht="15" x14ac:dyDescent="0.25">
      <c r="C6500" s="8" t="e">
        <f>VLOOKUP(A:A,'ITEM LIST'!A:C,3,0)</f>
        <v>#N/A</v>
      </c>
      <c r="D6500" s="6">
        <f t="shared" si="102"/>
        <v>0</v>
      </c>
    </row>
    <row r="6501" spans="3:4" ht="15" x14ac:dyDescent="0.25">
      <c r="C6501" s="8" t="e">
        <f>VLOOKUP(A:A,'ITEM LIST'!A:C,3,0)</f>
        <v>#N/A</v>
      </c>
      <c r="D6501" s="6">
        <f t="shared" si="102"/>
        <v>0</v>
      </c>
    </row>
    <row r="6502" spans="3:4" ht="15" x14ac:dyDescent="0.25">
      <c r="C6502" s="8" t="e">
        <f>VLOOKUP(A:A,'ITEM LIST'!A:C,3,0)</f>
        <v>#N/A</v>
      </c>
      <c r="D6502" s="6">
        <f t="shared" si="102"/>
        <v>0</v>
      </c>
    </row>
    <row r="6503" spans="3:4" ht="15" x14ac:dyDescent="0.25">
      <c r="C6503" s="8" t="e">
        <f>VLOOKUP(A:A,'ITEM LIST'!A:C,3,0)</f>
        <v>#N/A</v>
      </c>
      <c r="D6503" s="6">
        <f t="shared" si="102"/>
        <v>0</v>
      </c>
    </row>
    <row r="6504" spans="3:4" ht="15" x14ac:dyDescent="0.25">
      <c r="C6504" s="8" t="e">
        <f>VLOOKUP(A:A,'ITEM LIST'!A:C,3,0)</f>
        <v>#N/A</v>
      </c>
      <c r="D6504" s="6">
        <f t="shared" si="102"/>
        <v>0</v>
      </c>
    </row>
    <row r="6505" spans="3:4" ht="15" x14ac:dyDescent="0.25">
      <c r="C6505" s="8" t="e">
        <f>VLOOKUP(A:A,'ITEM LIST'!A:C,3,0)</f>
        <v>#N/A</v>
      </c>
      <c r="D6505" s="6">
        <f t="shared" si="102"/>
        <v>0</v>
      </c>
    </row>
    <row r="6506" spans="3:4" ht="15" x14ac:dyDescent="0.25">
      <c r="C6506" s="8" t="e">
        <f>VLOOKUP(A:A,'ITEM LIST'!A:C,3,0)</f>
        <v>#N/A</v>
      </c>
      <c r="D6506" s="6">
        <f t="shared" si="102"/>
        <v>0</v>
      </c>
    </row>
    <row r="6507" spans="3:4" ht="15" x14ac:dyDescent="0.25">
      <c r="C6507" s="8" t="e">
        <f>VLOOKUP(A:A,'ITEM LIST'!A:C,3,0)</f>
        <v>#N/A</v>
      </c>
      <c r="D6507" s="6">
        <f t="shared" si="102"/>
        <v>0</v>
      </c>
    </row>
    <row r="6508" spans="3:4" ht="15" x14ac:dyDescent="0.25">
      <c r="C6508" s="8" t="e">
        <f>VLOOKUP(A:A,'ITEM LIST'!A:C,3,0)</f>
        <v>#N/A</v>
      </c>
      <c r="D6508" s="6">
        <f t="shared" si="102"/>
        <v>0</v>
      </c>
    </row>
    <row r="6509" spans="3:4" ht="15" x14ac:dyDescent="0.25">
      <c r="C6509" s="8" t="e">
        <f>VLOOKUP(A:A,'ITEM LIST'!A:C,3,0)</f>
        <v>#N/A</v>
      </c>
      <c r="D6509" s="6">
        <f t="shared" si="102"/>
        <v>0</v>
      </c>
    </row>
    <row r="6510" spans="3:4" ht="15" x14ac:dyDescent="0.25">
      <c r="C6510" s="8" t="e">
        <f>VLOOKUP(A:A,'ITEM LIST'!A:C,3,0)</f>
        <v>#N/A</v>
      </c>
      <c r="D6510" s="6">
        <f t="shared" si="102"/>
        <v>0</v>
      </c>
    </row>
    <row r="6511" spans="3:4" ht="15" x14ac:dyDescent="0.25">
      <c r="C6511" s="8" t="e">
        <f>VLOOKUP(A:A,'ITEM LIST'!A:C,3,0)</f>
        <v>#N/A</v>
      </c>
      <c r="D6511" s="6">
        <f t="shared" si="102"/>
        <v>0</v>
      </c>
    </row>
    <row r="6512" spans="3:4" ht="15" x14ac:dyDescent="0.25">
      <c r="C6512" s="8" t="e">
        <f>VLOOKUP(A:A,'ITEM LIST'!A:C,3,0)</f>
        <v>#N/A</v>
      </c>
      <c r="D6512" s="6">
        <f t="shared" si="102"/>
        <v>0</v>
      </c>
    </row>
    <row r="6513" spans="3:4" ht="15" x14ac:dyDescent="0.25">
      <c r="C6513" s="8" t="e">
        <f>VLOOKUP(A:A,'ITEM LIST'!A:C,3,0)</f>
        <v>#N/A</v>
      </c>
      <c r="D6513" s="6">
        <f t="shared" si="102"/>
        <v>0</v>
      </c>
    </row>
    <row r="6514" spans="3:4" ht="15" x14ac:dyDescent="0.25">
      <c r="C6514" s="8" t="e">
        <f>VLOOKUP(A:A,'ITEM LIST'!A:C,3,0)</f>
        <v>#N/A</v>
      </c>
      <c r="D6514" s="6">
        <f t="shared" si="102"/>
        <v>0</v>
      </c>
    </row>
    <row r="6515" spans="3:4" ht="15" x14ac:dyDescent="0.25">
      <c r="C6515" s="8" t="e">
        <f>VLOOKUP(A:A,'ITEM LIST'!A:C,3,0)</f>
        <v>#N/A</v>
      </c>
      <c r="D6515" s="6">
        <f t="shared" si="102"/>
        <v>0</v>
      </c>
    </row>
    <row r="6516" spans="3:4" ht="15" x14ac:dyDescent="0.25">
      <c r="C6516" s="8" t="e">
        <f>VLOOKUP(A:A,'ITEM LIST'!A:C,3,0)</f>
        <v>#N/A</v>
      </c>
      <c r="D6516" s="6">
        <f t="shared" si="102"/>
        <v>0</v>
      </c>
    </row>
    <row r="6517" spans="3:4" ht="15" x14ac:dyDescent="0.25">
      <c r="C6517" s="8" t="e">
        <f>VLOOKUP(A:A,'ITEM LIST'!A:C,3,0)</f>
        <v>#N/A</v>
      </c>
      <c r="D6517" s="6">
        <f t="shared" si="102"/>
        <v>0</v>
      </c>
    </row>
    <row r="6518" spans="3:4" ht="15" x14ac:dyDescent="0.25">
      <c r="C6518" s="8" t="e">
        <f>VLOOKUP(A:A,'ITEM LIST'!A:C,3,0)</f>
        <v>#N/A</v>
      </c>
      <c r="D6518" s="6">
        <f t="shared" si="102"/>
        <v>0</v>
      </c>
    </row>
    <row r="6519" spans="3:4" ht="15" x14ac:dyDescent="0.25">
      <c r="C6519" s="8" t="e">
        <f>VLOOKUP(A:A,'ITEM LIST'!A:C,3,0)</f>
        <v>#N/A</v>
      </c>
      <c r="D6519" s="6">
        <f t="shared" si="102"/>
        <v>0</v>
      </c>
    </row>
    <row r="6520" spans="3:4" ht="15" x14ac:dyDescent="0.25">
      <c r="C6520" s="8" t="e">
        <f>VLOOKUP(A:A,'ITEM LIST'!A:C,3,0)</f>
        <v>#N/A</v>
      </c>
      <c r="D6520" s="6">
        <f t="shared" si="102"/>
        <v>0</v>
      </c>
    </row>
    <row r="6521" spans="3:4" ht="15" x14ac:dyDescent="0.25">
      <c r="C6521" s="8" t="e">
        <f>VLOOKUP(A:A,'ITEM LIST'!A:C,3,0)</f>
        <v>#N/A</v>
      </c>
      <c r="D6521" s="6">
        <f t="shared" si="102"/>
        <v>0</v>
      </c>
    </row>
    <row r="6522" spans="3:4" ht="15" x14ac:dyDescent="0.25">
      <c r="C6522" s="8" t="e">
        <f>VLOOKUP(A:A,'ITEM LIST'!A:C,3,0)</f>
        <v>#N/A</v>
      </c>
      <c r="D6522" s="6">
        <f t="shared" si="102"/>
        <v>0</v>
      </c>
    </row>
    <row r="6523" spans="3:4" ht="15" x14ac:dyDescent="0.25">
      <c r="C6523" s="8" t="e">
        <f>VLOOKUP(A:A,'ITEM LIST'!A:C,3,0)</f>
        <v>#N/A</v>
      </c>
      <c r="D6523" s="6">
        <f t="shared" si="102"/>
        <v>0</v>
      </c>
    </row>
    <row r="6524" spans="3:4" ht="15" x14ac:dyDescent="0.25">
      <c r="C6524" s="8" t="e">
        <f>VLOOKUP(A:A,'ITEM LIST'!A:C,3,0)</f>
        <v>#N/A</v>
      </c>
      <c r="D6524" s="6">
        <f t="shared" si="102"/>
        <v>0</v>
      </c>
    </row>
    <row r="6525" spans="3:4" ht="15" x14ac:dyDescent="0.25">
      <c r="C6525" s="8" t="e">
        <f>VLOOKUP(A:A,'ITEM LIST'!A:C,3,0)</f>
        <v>#N/A</v>
      </c>
      <c r="D6525" s="6">
        <f t="shared" si="102"/>
        <v>0</v>
      </c>
    </row>
    <row r="6526" spans="3:4" ht="15" x14ac:dyDescent="0.25">
      <c r="C6526" s="8" t="e">
        <f>VLOOKUP(A:A,'ITEM LIST'!A:C,3,0)</f>
        <v>#N/A</v>
      </c>
      <c r="D6526" s="6">
        <f t="shared" si="102"/>
        <v>0</v>
      </c>
    </row>
    <row r="6527" spans="3:4" ht="15" x14ac:dyDescent="0.25">
      <c r="C6527" s="8" t="e">
        <f>VLOOKUP(A:A,'ITEM LIST'!A:C,3,0)</f>
        <v>#N/A</v>
      </c>
      <c r="D6527" s="6">
        <f t="shared" si="102"/>
        <v>0</v>
      </c>
    </row>
    <row r="6528" spans="3:4" ht="15" x14ac:dyDescent="0.25">
      <c r="C6528" s="8" t="e">
        <f>VLOOKUP(A:A,'ITEM LIST'!A:C,3,0)</f>
        <v>#N/A</v>
      </c>
      <c r="D6528" s="6">
        <f t="shared" si="102"/>
        <v>0</v>
      </c>
    </row>
    <row r="6529" spans="3:4" ht="15" x14ac:dyDescent="0.25">
      <c r="C6529" s="8" t="e">
        <f>VLOOKUP(A:A,'ITEM LIST'!A:C,3,0)</f>
        <v>#N/A</v>
      </c>
      <c r="D6529" s="6">
        <f t="shared" si="102"/>
        <v>0</v>
      </c>
    </row>
    <row r="6530" spans="3:4" ht="15" x14ac:dyDescent="0.25">
      <c r="C6530" s="8" t="e">
        <f>VLOOKUP(A:A,'ITEM LIST'!A:C,3,0)</f>
        <v>#N/A</v>
      </c>
      <c r="D6530" s="6">
        <f t="shared" si="102"/>
        <v>0</v>
      </c>
    </row>
    <row r="6531" spans="3:4" ht="15" x14ac:dyDescent="0.25">
      <c r="C6531" s="8" t="e">
        <f>VLOOKUP(A:A,'ITEM LIST'!A:C,3,0)</f>
        <v>#N/A</v>
      </c>
      <c r="D6531" s="6">
        <f t="shared" si="102"/>
        <v>0</v>
      </c>
    </row>
    <row r="6532" spans="3:4" ht="15" x14ac:dyDescent="0.25">
      <c r="C6532" s="8" t="e">
        <f>VLOOKUP(A:A,'ITEM LIST'!A:C,3,0)</f>
        <v>#N/A</v>
      </c>
      <c r="D6532" s="6">
        <f t="shared" si="102"/>
        <v>0</v>
      </c>
    </row>
    <row r="6533" spans="3:4" ht="15" x14ac:dyDescent="0.25">
      <c r="C6533" s="8" t="e">
        <f>VLOOKUP(A:A,'ITEM LIST'!A:C,3,0)</f>
        <v>#N/A</v>
      </c>
      <c r="D6533" s="6">
        <f t="shared" si="102"/>
        <v>0</v>
      </c>
    </row>
    <row r="6534" spans="3:4" ht="15" x14ac:dyDescent="0.25">
      <c r="C6534" s="8" t="e">
        <f>VLOOKUP(A:A,'ITEM LIST'!A:C,3,0)</f>
        <v>#N/A</v>
      </c>
      <c r="D6534" s="6">
        <f t="shared" ref="D6534:D6597" si="103">B6534</f>
        <v>0</v>
      </c>
    </row>
    <row r="6535" spans="3:4" ht="15" x14ac:dyDescent="0.25">
      <c r="C6535" s="8" t="e">
        <f>VLOOKUP(A:A,'ITEM LIST'!A:C,3,0)</f>
        <v>#N/A</v>
      </c>
      <c r="D6535" s="6">
        <f t="shared" si="103"/>
        <v>0</v>
      </c>
    </row>
    <row r="6536" spans="3:4" ht="15" x14ac:dyDescent="0.25">
      <c r="C6536" s="8" t="e">
        <f>VLOOKUP(A:A,'ITEM LIST'!A:C,3,0)</f>
        <v>#N/A</v>
      </c>
      <c r="D6536" s="6">
        <f t="shared" si="103"/>
        <v>0</v>
      </c>
    </row>
    <row r="6537" spans="3:4" ht="15" x14ac:dyDescent="0.25">
      <c r="C6537" s="8" t="e">
        <f>VLOOKUP(A:A,'ITEM LIST'!A:C,3,0)</f>
        <v>#N/A</v>
      </c>
      <c r="D6537" s="6">
        <f t="shared" si="103"/>
        <v>0</v>
      </c>
    </row>
    <row r="6538" spans="3:4" ht="15" x14ac:dyDescent="0.25">
      <c r="C6538" s="8" t="e">
        <f>VLOOKUP(A:A,'ITEM LIST'!A:C,3,0)</f>
        <v>#N/A</v>
      </c>
      <c r="D6538" s="6">
        <f t="shared" si="103"/>
        <v>0</v>
      </c>
    </row>
    <row r="6539" spans="3:4" ht="15" x14ac:dyDescent="0.25">
      <c r="C6539" s="8" t="e">
        <f>VLOOKUP(A:A,'ITEM LIST'!A:C,3,0)</f>
        <v>#N/A</v>
      </c>
      <c r="D6539" s="6">
        <f t="shared" si="103"/>
        <v>0</v>
      </c>
    </row>
    <row r="6540" spans="3:4" ht="15" x14ac:dyDescent="0.25">
      <c r="C6540" s="8" t="e">
        <f>VLOOKUP(A:A,'ITEM LIST'!A:C,3,0)</f>
        <v>#N/A</v>
      </c>
      <c r="D6540" s="6">
        <f t="shared" si="103"/>
        <v>0</v>
      </c>
    </row>
    <row r="6541" spans="3:4" ht="15" x14ac:dyDescent="0.25">
      <c r="C6541" s="8" t="e">
        <f>VLOOKUP(A:A,'ITEM LIST'!A:C,3,0)</f>
        <v>#N/A</v>
      </c>
      <c r="D6541" s="6">
        <f t="shared" si="103"/>
        <v>0</v>
      </c>
    </row>
    <row r="6542" spans="3:4" ht="15" x14ac:dyDescent="0.25">
      <c r="C6542" s="8" t="e">
        <f>VLOOKUP(A:A,'ITEM LIST'!A:C,3,0)</f>
        <v>#N/A</v>
      </c>
      <c r="D6542" s="6">
        <f t="shared" si="103"/>
        <v>0</v>
      </c>
    </row>
    <row r="6543" spans="3:4" ht="15" x14ac:dyDescent="0.25">
      <c r="C6543" s="8" t="e">
        <f>VLOOKUP(A:A,'ITEM LIST'!A:C,3,0)</f>
        <v>#N/A</v>
      </c>
      <c r="D6543" s="6">
        <f t="shared" si="103"/>
        <v>0</v>
      </c>
    </row>
    <row r="6544" spans="3:4" ht="15" x14ac:dyDescent="0.25">
      <c r="C6544" s="8" t="e">
        <f>VLOOKUP(A:A,'ITEM LIST'!A:C,3,0)</f>
        <v>#N/A</v>
      </c>
      <c r="D6544" s="6">
        <f t="shared" si="103"/>
        <v>0</v>
      </c>
    </row>
    <row r="6545" spans="3:4" ht="15" x14ac:dyDescent="0.25">
      <c r="C6545" s="8" t="e">
        <f>VLOOKUP(A:A,'ITEM LIST'!A:C,3,0)</f>
        <v>#N/A</v>
      </c>
      <c r="D6545" s="6">
        <f t="shared" si="103"/>
        <v>0</v>
      </c>
    </row>
    <row r="6546" spans="3:4" ht="15" x14ac:dyDescent="0.25">
      <c r="C6546" s="8" t="e">
        <f>VLOOKUP(A:A,'ITEM LIST'!A:C,3,0)</f>
        <v>#N/A</v>
      </c>
      <c r="D6546" s="6">
        <f t="shared" si="103"/>
        <v>0</v>
      </c>
    </row>
    <row r="6547" spans="3:4" ht="15" x14ac:dyDescent="0.25">
      <c r="C6547" s="8" t="e">
        <f>VLOOKUP(A:A,'ITEM LIST'!A:C,3,0)</f>
        <v>#N/A</v>
      </c>
      <c r="D6547" s="6">
        <f t="shared" si="103"/>
        <v>0</v>
      </c>
    </row>
    <row r="6548" spans="3:4" ht="15" x14ac:dyDescent="0.25">
      <c r="C6548" s="8" t="e">
        <f>VLOOKUP(A:A,'ITEM LIST'!A:C,3,0)</f>
        <v>#N/A</v>
      </c>
      <c r="D6548" s="6">
        <f t="shared" si="103"/>
        <v>0</v>
      </c>
    </row>
    <row r="6549" spans="3:4" ht="15" x14ac:dyDescent="0.25">
      <c r="C6549" s="8" t="e">
        <f>VLOOKUP(A:A,'ITEM LIST'!A:C,3,0)</f>
        <v>#N/A</v>
      </c>
      <c r="D6549" s="6">
        <f t="shared" si="103"/>
        <v>0</v>
      </c>
    </row>
    <row r="6550" spans="3:4" ht="15" x14ac:dyDescent="0.25">
      <c r="C6550" s="8" t="e">
        <f>VLOOKUP(A:A,'ITEM LIST'!A:C,3,0)</f>
        <v>#N/A</v>
      </c>
      <c r="D6550" s="6">
        <f t="shared" si="103"/>
        <v>0</v>
      </c>
    </row>
    <row r="6551" spans="3:4" ht="15" x14ac:dyDescent="0.25">
      <c r="C6551" s="8" t="e">
        <f>VLOOKUP(A:A,'ITEM LIST'!A:C,3,0)</f>
        <v>#N/A</v>
      </c>
      <c r="D6551" s="6">
        <f t="shared" si="103"/>
        <v>0</v>
      </c>
    </row>
    <row r="6552" spans="3:4" ht="15" x14ac:dyDescent="0.25">
      <c r="C6552" s="8" t="e">
        <f>VLOOKUP(A:A,'ITEM LIST'!A:C,3,0)</f>
        <v>#N/A</v>
      </c>
      <c r="D6552" s="6">
        <f t="shared" si="103"/>
        <v>0</v>
      </c>
    </row>
    <row r="6553" spans="3:4" ht="15" x14ac:dyDescent="0.25">
      <c r="C6553" s="8" t="e">
        <f>VLOOKUP(A:A,'ITEM LIST'!A:C,3,0)</f>
        <v>#N/A</v>
      </c>
      <c r="D6553" s="6">
        <f t="shared" si="103"/>
        <v>0</v>
      </c>
    </row>
    <row r="6554" spans="3:4" ht="15" x14ac:dyDescent="0.25">
      <c r="C6554" s="8" t="e">
        <f>VLOOKUP(A:A,'ITEM LIST'!A:C,3,0)</f>
        <v>#N/A</v>
      </c>
      <c r="D6554" s="6">
        <f t="shared" si="103"/>
        <v>0</v>
      </c>
    </row>
    <row r="6555" spans="3:4" ht="15" x14ac:dyDescent="0.25">
      <c r="C6555" s="8" t="e">
        <f>VLOOKUP(A:A,'ITEM LIST'!A:C,3,0)</f>
        <v>#N/A</v>
      </c>
      <c r="D6555" s="6">
        <f t="shared" si="103"/>
        <v>0</v>
      </c>
    </row>
    <row r="6556" spans="3:4" ht="15" x14ac:dyDescent="0.25">
      <c r="C6556" s="8" t="e">
        <f>VLOOKUP(A:A,'ITEM LIST'!A:C,3,0)</f>
        <v>#N/A</v>
      </c>
      <c r="D6556" s="6">
        <f t="shared" si="103"/>
        <v>0</v>
      </c>
    </row>
    <row r="6557" spans="3:4" ht="15" x14ac:dyDescent="0.25">
      <c r="C6557" s="8" t="e">
        <f>VLOOKUP(A:A,'ITEM LIST'!A:C,3,0)</f>
        <v>#N/A</v>
      </c>
      <c r="D6557" s="6">
        <f t="shared" si="103"/>
        <v>0</v>
      </c>
    </row>
    <row r="6558" spans="3:4" ht="15" x14ac:dyDescent="0.25">
      <c r="C6558" s="8" t="e">
        <f>VLOOKUP(A:A,'ITEM LIST'!A:C,3,0)</f>
        <v>#N/A</v>
      </c>
      <c r="D6558" s="6">
        <f t="shared" si="103"/>
        <v>0</v>
      </c>
    </row>
    <row r="6559" spans="3:4" ht="15" x14ac:dyDescent="0.25">
      <c r="C6559" s="8" t="e">
        <f>VLOOKUP(A:A,'ITEM LIST'!A:C,3,0)</f>
        <v>#N/A</v>
      </c>
      <c r="D6559" s="6">
        <f t="shared" si="103"/>
        <v>0</v>
      </c>
    </row>
    <row r="6560" spans="3:4" ht="15" x14ac:dyDescent="0.25">
      <c r="C6560" s="8" t="e">
        <f>VLOOKUP(A:A,'ITEM LIST'!A:C,3,0)</f>
        <v>#N/A</v>
      </c>
      <c r="D6560" s="6">
        <f t="shared" si="103"/>
        <v>0</v>
      </c>
    </row>
    <row r="6561" spans="3:4" ht="15" x14ac:dyDescent="0.25">
      <c r="C6561" s="8" t="e">
        <f>VLOOKUP(A:A,'ITEM LIST'!A:C,3,0)</f>
        <v>#N/A</v>
      </c>
      <c r="D6561" s="6">
        <f t="shared" si="103"/>
        <v>0</v>
      </c>
    </row>
    <row r="6562" spans="3:4" ht="15" x14ac:dyDescent="0.25">
      <c r="C6562" s="8" t="e">
        <f>VLOOKUP(A:A,'ITEM LIST'!A:C,3,0)</f>
        <v>#N/A</v>
      </c>
      <c r="D6562" s="6">
        <f t="shared" si="103"/>
        <v>0</v>
      </c>
    </row>
    <row r="6563" spans="3:4" ht="15" x14ac:dyDescent="0.25">
      <c r="C6563" s="8" t="e">
        <f>VLOOKUP(A:A,'ITEM LIST'!A:C,3,0)</f>
        <v>#N/A</v>
      </c>
      <c r="D6563" s="6">
        <f t="shared" si="103"/>
        <v>0</v>
      </c>
    </row>
    <row r="6564" spans="3:4" ht="15" x14ac:dyDescent="0.25">
      <c r="C6564" s="8" t="e">
        <f>VLOOKUP(A:A,'ITEM LIST'!A:C,3,0)</f>
        <v>#N/A</v>
      </c>
      <c r="D6564" s="6">
        <f t="shared" si="103"/>
        <v>0</v>
      </c>
    </row>
    <row r="6565" spans="3:4" ht="15" x14ac:dyDescent="0.25">
      <c r="C6565" s="8" t="e">
        <f>VLOOKUP(A:A,'ITEM LIST'!A:C,3,0)</f>
        <v>#N/A</v>
      </c>
      <c r="D6565" s="6">
        <f t="shared" si="103"/>
        <v>0</v>
      </c>
    </row>
    <row r="6566" spans="3:4" ht="15" x14ac:dyDescent="0.25">
      <c r="C6566" s="8" t="e">
        <f>VLOOKUP(A:A,'ITEM LIST'!A:C,3,0)</f>
        <v>#N/A</v>
      </c>
      <c r="D6566" s="6">
        <f t="shared" si="103"/>
        <v>0</v>
      </c>
    </row>
    <row r="6567" spans="3:4" ht="15" x14ac:dyDescent="0.25">
      <c r="C6567" s="8" t="e">
        <f>VLOOKUP(A:A,'ITEM LIST'!A:C,3,0)</f>
        <v>#N/A</v>
      </c>
      <c r="D6567" s="6">
        <f t="shared" si="103"/>
        <v>0</v>
      </c>
    </row>
    <row r="6568" spans="3:4" ht="15" x14ac:dyDescent="0.25">
      <c r="C6568" s="8" t="e">
        <f>VLOOKUP(A:A,'ITEM LIST'!A:C,3,0)</f>
        <v>#N/A</v>
      </c>
      <c r="D6568" s="6">
        <f t="shared" si="103"/>
        <v>0</v>
      </c>
    </row>
    <row r="6569" spans="3:4" ht="15" x14ac:dyDescent="0.25">
      <c r="C6569" s="8" t="e">
        <f>VLOOKUP(A:A,'ITEM LIST'!A:C,3,0)</f>
        <v>#N/A</v>
      </c>
      <c r="D6569" s="6">
        <f t="shared" si="103"/>
        <v>0</v>
      </c>
    </row>
    <row r="6570" spans="3:4" ht="15" x14ac:dyDescent="0.25">
      <c r="C6570" s="8" t="e">
        <f>VLOOKUP(A:A,'ITEM LIST'!A:C,3,0)</f>
        <v>#N/A</v>
      </c>
      <c r="D6570" s="6">
        <f t="shared" si="103"/>
        <v>0</v>
      </c>
    </row>
    <row r="6571" spans="3:4" ht="15" x14ac:dyDescent="0.25">
      <c r="C6571" s="8" t="e">
        <f>VLOOKUP(A:A,'ITEM LIST'!A:C,3,0)</f>
        <v>#N/A</v>
      </c>
      <c r="D6571" s="6">
        <f t="shared" si="103"/>
        <v>0</v>
      </c>
    </row>
    <row r="6572" spans="3:4" ht="15" x14ac:dyDescent="0.25">
      <c r="C6572" s="8" t="e">
        <f>VLOOKUP(A:A,'ITEM LIST'!A:C,3,0)</f>
        <v>#N/A</v>
      </c>
      <c r="D6572" s="6">
        <f t="shared" si="103"/>
        <v>0</v>
      </c>
    </row>
    <row r="6573" spans="3:4" ht="15" x14ac:dyDescent="0.25">
      <c r="C6573" s="8" t="e">
        <f>VLOOKUP(A:A,'ITEM LIST'!A:C,3,0)</f>
        <v>#N/A</v>
      </c>
      <c r="D6573" s="6">
        <f t="shared" si="103"/>
        <v>0</v>
      </c>
    </row>
    <row r="6574" spans="3:4" ht="15" x14ac:dyDescent="0.25">
      <c r="C6574" s="8" t="e">
        <f>VLOOKUP(A:A,'ITEM LIST'!A:C,3,0)</f>
        <v>#N/A</v>
      </c>
      <c r="D6574" s="6">
        <f t="shared" si="103"/>
        <v>0</v>
      </c>
    </row>
    <row r="6575" spans="3:4" ht="15" x14ac:dyDescent="0.25">
      <c r="C6575" s="8" t="e">
        <f>VLOOKUP(A:A,'ITEM LIST'!A:C,3,0)</f>
        <v>#N/A</v>
      </c>
      <c r="D6575" s="6">
        <f t="shared" si="103"/>
        <v>0</v>
      </c>
    </row>
    <row r="6576" spans="3:4" ht="15" x14ac:dyDescent="0.25">
      <c r="C6576" s="8" t="e">
        <f>VLOOKUP(A:A,'ITEM LIST'!A:C,3,0)</f>
        <v>#N/A</v>
      </c>
      <c r="D6576" s="6">
        <f t="shared" si="103"/>
        <v>0</v>
      </c>
    </row>
    <row r="6577" spans="3:4" ht="15" x14ac:dyDescent="0.25">
      <c r="C6577" s="8" t="e">
        <f>VLOOKUP(A:A,'ITEM LIST'!A:C,3,0)</f>
        <v>#N/A</v>
      </c>
      <c r="D6577" s="6">
        <f t="shared" si="103"/>
        <v>0</v>
      </c>
    </row>
    <row r="6578" spans="3:4" ht="15" x14ac:dyDescent="0.25">
      <c r="C6578" s="8" t="e">
        <f>VLOOKUP(A:A,'ITEM LIST'!A:C,3,0)</f>
        <v>#N/A</v>
      </c>
      <c r="D6578" s="6">
        <f t="shared" si="103"/>
        <v>0</v>
      </c>
    </row>
    <row r="6579" spans="3:4" ht="15" x14ac:dyDescent="0.25">
      <c r="C6579" s="8" t="e">
        <f>VLOOKUP(A:A,'ITEM LIST'!A:C,3,0)</f>
        <v>#N/A</v>
      </c>
      <c r="D6579" s="6">
        <f t="shared" si="103"/>
        <v>0</v>
      </c>
    </row>
    <row r="6580" spans="3:4" ht="15" x14ac:dyDescent="0.25">
      <c r="C6580" s="8" t="e">
        <f>VLOOKUP(A:A,'ITEM LIST'!A:C,3,0)</f>
        <v>#N/A</v>
      </c>
      <c r="D6580" s="6">
        <f t="shared" si="103"/>
        <v>0</v>
      </c>
    </row>
    <row r="6581" spans="3:4" ht="15" x14ac:dyDescent="0.25">
      <c r="C6581" s="8" t="e">
        <f>VLOOKUP(A:A,'ITEM LIST'!A:C,3,0)</f>
        <v>#N/A</v>
      </c>
      <c r="D6581" s="6">
        <f t="shared" si="103"/>
        <v>0</v>
      </c>
    </row>
    <row r="6582" spans="3:4" ht="15" x14ac:dyDescent="0.25">
      <c r="C6582" s="8" t="e">
        <f>VLOOKUP(A:A,'ITEM LIST'!A:C,3,0)</f>
        <v>#N/A</v>
      </c>
      <c r="D6582" s="6">
        <f t="shared" si="103"/>
        <v>0</v>
      </c>
    </row>
    <row r="6583" spans="3:4" ht="15" x14ac:dyDescent="0.25">
      <c r="C6583" s="8" t="e">
        <f>VLOOKUP(A:A,'ITEM LIST'!A:C,3,0)</f>
        <v>#N/A</v>
      </c>
      <c r="D6583" s="6">
        <f t="shared" si="103"/>
        <v>0</v>
      </c>
    </row>
    <row r="6584" spans="3:4" ht="15" x14ac:dyDescent="0.25">
      <c r="C6584" s="8" t="e">
        <f>VLOOKUP(A:A,'ITEM LIST'!A:C,3,0)</f>
        <v>#N/A</v>
      </c>
      <c r="D6584" s="6">
        <f t="shared" si="103"/>
        <v>0</v>
      </c>
    </row>
    <row r="6585" spans="3:4" ht="15" x14ac:dyDescent="0.25">
      <c r="C6585" s="8" t="e">
        <f>VLOOKUP(A:A,'ITEM LIST'!A:C,3,0)</f>
        <v>#N/A</v>
      </c>
      <c r="D6585" s="6">
        <f t="shared" si="103"/>
        <v>0</v>
      </c>
    </row>
    <row r="6586" spans="3:4" ht="15" x14ac:dyDescent="0.25">
      <c r="C6586" s="8" t="e">
        <f>VLOOKUP(A:A,'ITEM LIST'!A:C,3,0)</f>
        <v>#N/A</v>
      </c>
      <c r="D6586" s="6">
        <f t="shared" si="103"/>
        <v>0</v>
      </c>
    </row>
    <row r="6587" spans="3:4" ht="15" x14ac:dyDescent="0.25">
      <c r="C6587" s="8" t="e">
        <f>VLOOKUP(A:A,'ITEM LIST'!A:C,3,0)</f>
        <v>#N/A</v>
      </c>
      <c r="D6587" s="6">
        <f t="shared" si="103"/>
        <v>0</v>
      </c>
    </row>
    <row r="6588" spans="3:4" ht="15" x14ac:dyDescent="0.25">
      <c r="C6588" s="8" t="e">
        <f>VLOOKUP(A:A,'ITEM LIST'!A:C,3,0)</f>
        <v>#N/A</v>
      </c>
      <c r="D6588" s="6">
        <f t="shared" si="103"/>
        <v>0</v>
      </c>
    </row>
    <row r="6589" spans="3:4" ht="15" x14ac:dyDescent="0.25">
      <c r="C6589" s="8" t="e">
        <f>VLOOKUP(A:A,'ITEM LIST'!A:C,3,0)</f>
        <v>#N/A</v>
      </c>
      <c r="D6589" s="6">
        <f t="shared" si="103"/>
        <v>0</v>
      </c>
    </row>
    <row r="6590" spans="3:4" ht="15" x14ac:dyDescent="0.25">
      <c r="C6590" s="8" t="e">
        <f>VLOOKUP(A:A,'ITEM LIST'!A:C,3,0)</f>
        <v>#N/A</v>
      </c>
      <c r="D6590" s="6">
        <f t="shared" si="103"/>
        <v>0</v>
      </c>
    </row>
    <row r="6591" spans="3:4" ht="15" x14ac:dyDescent="0.25">
      <c r="C6591" s="8" t="e">
        <f>VLOOKUP(A:A,'ITEM LIST'!A:C,3,0)</f>
        <v>#N/A</v>
      </c>
      <c r="D6591" s="6">
        <f t="shared" si="103"/>
        <v>0</v>
      </c>
    </row>
    <row r="6592" spans="3:4" ht="15" x14ac:dyDescent="0.25">
      <c r="C6592" s="8" t="e">
        <f>VLOOKUP(A:A,'ITEM LIST'!A:C,3,0)</f>
        <v>#N/A</v>
      </c>
      <c r="D6592" s="6">
        <f t="shared" si="103"/>
        <v>0</v>
      </c>
    </row>
    <row r="6593" spans="3:4" ht="15" x14ac:dyDescent="0.25">
      <c r="C6593" s="8" t="e">
        <f>VLOOKUP(A:A,'ITEM LIST'!A:C,3,0)</f>
        <v>#N/A</v>
      </c>
      <c r="D6593" s="6">
        <f t="shared" si="103"/>
        <v>0</v>
      </c>
    </row>
    <row r="6594" spans="3:4" ht="15" x14ac:dyDescent="0.25">
      <c r="C6594" s="8" t="e">
        <f>VLOOKUP(A:A,'ITEM LIST'!A:C,3,0)</f>
        <v>#N/A</v>
      </c>
      <c r="D6594" s="6">
        <f t="shared" si="103"/>
        <v>0</v>
      </c>
    </row>
    <row r="6595" spans="3:4" ht="15" x14ac:dyDescent="0.25">
      <c r="C6595" s="8" t="e">
        <f>VLOOKUP(A:A,'ITEM LIST'!A:C,3,0)</f>
        <v>#N/A</v>
      </c>
      <c r="D6595" s="6">
        <f t="shared" si="103"/>
        <v>0</v>
      </c>
    </row>
    <row r="6596" spans="3:4" ht="15" x14ac:dyDescent="0.25">
      <c r="C6596" s="8" t="e">
        <f>VLOOKUP(A:A,'ITEM LIST'!A:C,3,0)</f>
        <v>#N/A</v>
      </c>
      <c r="D6596" s="6">
        <f t="shared" si="103"/>
        <v>0</v>
      </c>
    </row>
    <row r="6597" spans="3:4" ht="15" x14ac:dyDescent="0.25">
      <c r="C6597" s="8" t="e">
        <f>VLOOKUP(A:A,'ITEM LIST'!A:C,3,0)</f>
        <v>#N/A</v>
      </c>
      <c r="D6597" s="6">
        <f t="shared" si="103"/>
        <v>0</v>
      </c>
    </row>
    <row r="6598" spans="3:4" ht="15" x14ac:dyDescent="0.25">
      <c r="C6598" s="8" t="e">
        <f>VLOOKUP(A:A,'ITEM LIST'!A:C,3,0)</f>
        <v>#N/A</v>
      </c>
      <c r="D6598" s="6">
        <f t="shared" ref="D6598:D6661" si="104">B6598</f>
        <v>0</v>
      </c>
    </row>
    <row r="6599" spans="3:4" ht="15" x14ac:dyDescent="0.25">
      <c r="C6599" s="8" t="e">
        <f>VLOOKUP(A:A,'ITEM LIST'!A:C,3,0)</f>
        <v>#N/A</v>
      </c>
      <c r="D6599" s="6">
        <f t="shared" si="104"/>
        <v>0</v>
      </c>
    </row>
    <row r="6600" spans="3:4" ht="15" x14ac:dyDescent="0.25">
      <c r="C6600" s="8" t="e">
        <f>VLOOKUP(A:A,'ITEM LIST'!A:C,3,0)</f>
        <v>#N/A</v>
      </c>
      <c r="D6600" s="6">
        <f t="shared" si="104"/>
        <v>0</v>
      </c>
    </row>
    <row r="6601" spans="3:4" ht="15" x14ac:dyDescent="0.25">
      <c r="C6601" s="8" t="e">
        <f>VLOOKUP(A:A,'ITEM LIST'!A:C,3,0)</f>
        <v>#N/A</v>
      </c>
      <c r="D6601" s="6">
        <f t="shared" si="104"/>
        <v>0</v>
      </c>
    </row>
    <row r="6602" spans="3:4" ht="15" x14ac:dyDescent="0.25">
      <c r="C6602" s="8" t="e">
        <f>VLOOKUP(A:A,'ITEM LIST'!A:C,3,0)</f>
        <v>#N/A</v>
      </c>
      <c r="D6602" s="6">
        <f t="shared" si="104"/>
        <v>0</v>
      </c>
    </row>
    <row r="6603" spans="3:4" ht="15" x14ac:dyDescent="0.25">
      <c r="C6603" s="8" t="e">
        <f>VLOOKUP(A:A,'ITEM LIST'!A:C,3,0)</f>
        <v>#N/A</v>
      </c>
      <c r="D6603" s="6">
        <f t="shared" si="104"/>
        <v>0</v>
      </c>
    </row>
    <row r="6604" spans="3:4" ht="15" x14ac:dyDescent="0.25">
      <c r="C6604" s="8" t="e">
        <f>VLOOKUP(A:A,'ITEM LIST'!A:C,3,0)</f>
        <v>#N/A</v>
      </c>
      <c r="D6604" s="6">
        <f t="shared" si="104"/>
        <v>0</v>
      </c>
    </row>
    <row r="6605" spans="3:4" ht="15" x14ac:dyDescent="0.25">
      <c r="C6605" s="8" t="e">
        <f>VLOOKUP(A:A,'ITEM LIST'!A:C,3,0)</f>
        <v>#N/A</v>
      </c>
      <c r="D6605" s="6">
        <f t="shared" si="104"/>
        <v>0</v>
      </c>
    </row>
    <row r="6606" spans="3:4" ht="15" x14ac:dyDescent="0.25">
      <c r="C6606" s="8" t="e">
        <f>VLOOKUP(A:A,'ITEM LIST'!A:C,3,0)</f>
        <v>#N/A</v>
      </c>
      <c r="D6606" s="6">
        <f t="shared" si="104"/>
        <v>0</v>
      </c>
    </row>
    <row r="6607" spans="3:4" ht="15" x14ac:dyDescent="0.25">
      <c r="C6607" s="8" t="e">
        <f>VLOOKUP(A:A,'ITEM LIST'!A:C,3,0)</f>
        <v>#N/A</v>
      </c>
      <c r="D6607" s="6">
        <f t="shared" si="104"/>
        <v>0</v>
      </c>
    </row>
    <row r="6608" spans="3:4" ht="15" x14ac:dyDescent="0.25">
      <c r="C6608" s="8" t="e">
        <f>VLOOKUP(A:A,'ITEM LIST'!A:C,3,0)</f>
        <v>#N/A</v>
      </c>
      <c r="D6608" s="6">
        <f t="shared" si="104"/>
        <v>0</v>
      </c>
    </row>
    <row r="6609" spans="3:4" ht="15" x14ac:dyDescent="0.25">
      <c r="C6609" s="8" t="e">
        <f>VLOOKUP(A:A,'ITEM LIST'!A:C,3,0)</f>
        <v>#N/A</v>
      </c>
      <c r="D6609" s="6">
        <f t="shared" si="104"/>
        <v>0</v>
      </c>
    </row>
    <row r="6610" spans="3:4" ht="15" x14ac:dyDescent="0.25">
      <c r="C6610" s="8" t="e">
        <f>VLOOKUP(A:A,'ITEM LIST'!A:C,3,0)</f>
        <v>#N/A</v>
      </c>
      <c r="D6610" s="6">
        <f t="shared" si="104"/>
        <v>0</v>
      </c>
    </row>
    <row r="6611" spans="3:4" ht="15" x14ac:dyDescent="0.25">
      <c r="C6611" s="8" t="e">
        <f>VLOOKUP(A:A,'ITEM LIST'!A:C,3,0)</f>
        <v>#N/A</v>
      </c>
      <c r="D6611" s="6">
        <f t="shared" si="104"/>
        <v>0</v>
      </c>
    </row>
    <row r="6612" spans="3:4" ht="15" x14ac:dyDescent="0.25">
      <c r="C6612" s="8" t="e">
        <f>VLOOKUP(A:A,'ITEM LIST'!A:C,3,0)</f>
        <v>#N/A</v>
      </c>
      <c r="D6612" s="6">
        <f t="shared" si="104"/>
        <v>0</v>
      </c>
    </row>
    <row r="6613" spans="3:4" ht="15" x14ac:dyDescent="0.25">
      <c r="C6613" s="8" t="e">
        <f>VLOOKUP(A:A,'ITEM LIST'!A:C,3,0)</f>
        <v>#N/A</v>
      </c>
      <c r="D6613" s="6">
        <f t="shared" si="104"/>
        <v>0</v>
      </c>
    </row>
    <row r="6614" spans="3:4" ht="15" x14ac:dyDescent="0.25">
      <c r="C6614" s="8" t="e">
        <f>VLOOKUP(A:A,'ITEM LIST'!A:C,3,0)</f>
        <v>#N/A</v>
      </c>
      <c r="D6614" s="6">
        <f t="shared" si="104"/>
        <v>0</v>
      </c>
    </row>
    <row r="6615" spans="3:4" ht="15" x14ac:dyDescent="0.25">
      <c r="C6615" s="8" t="e">
        <f>VLOOKUP(A:A,'ITEM LIST'!A:C,3,0)</f>
        <v>#N/A</v>
      </c>
      <c r="D6615" s="6">
        <f t="shared" si="104"/>
        <v>0</v>
      </c>
    </row>
    <row r="6616" spans="3:4" ht="15" x14ac:dyDescent="0.25">
      <c r="C6616" s="8" t="e">
        <f>VLOOKUP(A:A,'ITEM LIST'!A:C,3,0)</f>
        <v>#N/A</v>
      </c>
      <c r="D6616" s="6">
        <f t="shared" si="104"/>
        <v>0</v>
      </c>
    </row>
    <row r="6617" spans="3:4" ht="15" x14ac:dyDescent="0.25">
      <c r="C6617" s="8" t="e">
        <f>VLOOKUP(A:A,'ITEM LIST'!A:C,3,0)</f>
        <v>#N/A</v>
      </c>
      <c r="D6617" s="6">
        <f t="shared" si="104"/>
        <v>0</v>
      </c>
    </row>
    <row r="6618" spans="3:4" ht="15" x14ac:dyDescent="0.25">
      <c r="C6618" s="8" t="e">
        <f>VLOOKUP(A:A,'ITEM LIST'!A:C,3,0)</f>
        <v>#N/A</v>
      </c>
      <c r="D6618" s="6">
        <f t="shared" si="104"/>
        <v>0</v>
      </c>
    </row>
    <row r="6619" spans="3:4" ht="15" x14ac:dyDescent="0.25">
      <c r="C6619" s="8" t="e">
        <f>VLOOKUP(A:A,'ITEM LIST'!A:C,3,0)</f>
        <v>#N/A</v>
      </c>
      <c r="D6619" s="6">
        <f t="shared" si="104"/>
        <v>0</v>
      </c>
    </row>
    <row r="6620" spans="3:4" ht="15" x14ac:dyDescent="0.25">
      <c r="C6620" s="8" t="e">
        <f>VLOOKUP(A:A,'ITEM LIST'!A:C,3,0)</f>
        <v>#N/A</v>
      </c>
      <c r="D6620" s="6">
        <f t="shared" si="104"/>
        <v>0</v>
      </c>
    </row>
    <row r="6621" spans="3:4" ht="15" x14ac:dyDescent="0.25">
      <c r="C6621" s="8" t="e">
        <f>VLOOKUP(A:A,'ITEM LIST'!A:C,3,0)</f>
        <v>#N/A</v>
      </c>
      <c r="D6621" s="6">
        <f t="shared" si="104"/>
        <v>0</v>
      </c>
    </row>
    <row r="6622" spans="3:4" ht="15" x14ac:dyDescent="0.25">
      <c r="C6622" s="8" t="e">
        <f>VLOOKUP(A:A,'ITEM LIST'!A:C,3,0)</f>
        <v>#N/A</v>
      </c>
      <c r="D6622" s="6">
        <f t="shared" si="104"/>
        <v>0</v>
      </c>
    </row>
    <row r="6623" spans="3:4" ht="15" x14ac:dyDescent="0.25">
      <c r="C6623" s="8" t="e">
        <f>VLOOKUP(A:A,'ITEM LIST'!A:C,3,0)</f>
        <v>#N/A</v>
      </c>
      <c r="D6623" s="6">
        <f t="shared" si="104"/>
        <v>0</v>
      </c>
    </row>
    <row r="6624" spans="3:4" ht="15" x14ac:dyDescent="0.25">
      <c r="C6624" s="8" t="e">
        <f>VLOOKUP(A:A,'ITEM LIST'!A:C,3,0)</f>
        <v>#N/A</v>
      </c>
      <c r="D6624" s="6">
        <f t="shared" si="104"/>
        <v>0</v>
      </c>
    </row>
    <row r="6625" spans="3:4" ht="15" x14ac:dyDescent="0.25">
      <c r="C6625" s="8" t="e">
        <f>VLOOKUP(A:A,'ITEM LIST'!A:C,3,0)</f>
        <v>#N/A</v>
      </c>
      <c r="D6625" s="6">
        <f t="shared" si="104"/>
        <v>0</v>
      </c>
    </row>
    <row r="6626" spans="3:4" ht="15" x14ac:dyDescent="0.25">
      <c r="C6626" s="8" t="e">
        <f>VLOOKUP(A:A,'ITEM LIST'!A:C,3,0)</f>
        <v>#N/A</v>
      </c>
      <c r="D6626" s="6">
        <f t="shared" si="104"/>
        <v>0</v>
      </c>
    </row>
    <row r="6627" spans="3:4" ht="15" x14ac:dyDescent="0.25">
      <c r="C6627" s="8" t="e">
        <f>VLOOKUP(A:A,'ITEM LIST'!A:C,3,0)</f>
        <v>#N/A</v>
      </c>
      <c r="D6627" s="6">
        <f t="shared" si="104"/>
        <v>0</v>
      </c>
    </row>
    <row r="6628" spans="3:4" ht="15" x14ac:dyDescent="0.25">
      <c r="C6628" s="8" t="e">
        <f>VLOOKUP(A:A,'ITEM LIST'!A:C,3,0)</f>
        <v>#N/A</v>
      </c>
      <c r="D6628" s="6">
        <f t="shared" si="104"/>
        <v>0</v>
      </c>
    </row>
    <row r="6629" spans="3:4" ht="15" x14ac:dyDescent="0.25">
      <c r="C6629" s="8" t="e">
        <f>VLOOKUP(A:A,'ITEM LIST'!A:C,3,0)</f>
        <v>#N/A</v>
      </c>
      <c r="D6629" s="6">
        <f t="shared" si="104"/>
        <v>0</v>
      </c>
    </row>
    <row r="6630" spans="3:4" ht="15" x14ac:dyDescent="0.25">
      <c r="C6630" s="8" t="e">
        <f>VLOOKUP(A:A,'ITEM LIST'!A:C,3,0)</f>
        <v>#N/A</v>
      </c>
      <c r="D6630" s="6">
        <f t="shared" si="104"/>
        <v>0</v>
      </c>
    </row>
    <row r="6631" spans="3:4" ht="15" x14ac:dyDescent="0.25">
      <c r="C6631" s="8" t="e">
        <f>VLOOKUP(A:A,'ITEM LIST'!A:C,3,0)</f>
        <v>#N/A</v>
      </c>
      <c r="D6631" s="6">
        <f t="shared" si="104"/>
        <v>0</v>
      </c>
    </row>
    <row r="6632" spans="3:4" ht="15" x14ac:dyDescent="0.25">
      <c r="C6632" s="8" t="e">
        <f>VLOOKUP(A:A,'ITEM LIST'!A:C,3,0)</f>
        <v>#N/A</v>
      </c>
      <c r="D6632" s="6">
        <f t="shared" si="104"/>
        <v>0</v>
      </c>
    </row>
    <row r="6633" spans="3:4" ht="15" x14ac:dyDescent="0.25">
      <c r="C6633" s="8" t="e">
        <f>VLOOKUP(A:A,'ITEM LIST'!A:C,3,0)</f>
        <v>#N/A</v>
      </c>
      <c r="D6633" s="6">
        <f t="shared" si="104"/>
        <v>0</v>
      </c>
    </row>
    <row r="6634" spans="3:4" ht="15" x14ac:dyDescent="0.25">
      <c r="C6634" s="8" t="e">
        <f>VLOOKUP(A:A,'ITEM LIST'!A:C,3,0)</f>
        <v>#N/A</v>
      </c>
      <c r="D6634" s="6">
        <f t="shared" si="104"/>
        <v>0</v>
      </c>
    </row>
    <row r="6635" spans="3:4" ht="15" x14ac:dyDescent="0.25">
      <c r="C6635" s="8" t="e">
        <f>VLOOKUP(A:A,'ITEM LIST'!A:C,3,0)</f>
        <v>#N/A</v>
      </c>
      <c r="D6635" s="6">
        <f t="shared" si="104"/>
        <v>0</v>
      </c>
    </row>
    <row r="6636" spans="3:4" ht="15" x14ac:dyDescent="0.25">
      <c r="C6636" s="8" t="e">
        <f>VLOOKUP(A:A,'ITEM LIST'!A:C,3,0)</f>
        <v>#N/A</v>
      </c>
      <c r="D6636" s="6">
        <f t="shared" si="104"/>
        <v>0</v>
      </c>
    </row>
    <row r="6637" spans="3:4" ht="15" x14ac:dyDescent="0.25">
      <c r="C6637" s="8" t="e">
        <f>VLOOKUP(A:A,'ITEM LIST'!A:C,3,0)</f>
        <v>#N/A</v>
      </c>
      <c r="D6637" s="6">
        <f t="shared" si="104"/>
        <v>0</v>
      </c>
    </row>
    <row r="6638" spans="3:4" ht="15" x14ac:dyDescent="0.25">
      <c r="C6638" s="8" t="e">
        <f>VLOOKUP(A:A,'ITEM LIST'!A:C,3,0)</f>
        <v>#N/A</v>
      </c>
      <c r="D6638" s="6">
        <f t="shared" si="104"/>
        <v>0</v>
      </c>
    </row>
    <row r="6639" spans="3:4" ht="15" x14ac:dyDescent="0.25">
      <c r="C6639" s="8" t="e">
        <f>VLOOKUP(A:A,'ITEM LIST'!A:C,3,0)</f>
        <v>#N/A</v>
      </c>
      <c r="D6639" s="6">
        <f t="shared" si="104"/>
        <v>0</v>
      </c>
    </row>
    <row r="6640" spans="3:4" ht="15" x14ac:dyDescent="0.25">
      <c r="C6640" s="8" t="e">
        <f>VLOOKUP(A:A,'ITEM LIST'!A:C,3,0)</f>
        <v>#N/A</v>
      </c>
      <c r="D6640" s="6">
        <f t="shared" si="104"/>
        <v>0</v>
      </c>
    </row>
    <row r="6641" spans="3:4" ht="15" x14ac:dyDescent="0.25">
      <c r="C6641" s="8" t="e">
        <f>VLOOKUP(A:A,'ITEM LIST'!A:C,3,0)</f>
        <v>#N/A</v>
      </c>
      <c r="D6641" s="6">
        <f t="shared" si="104"/>
        <v>0</v>
      </c>
    </row>
    <row r="6642" spans="3:4" ht="15" x14ac:dyDescent="0.25">
      <c r="C6642" s="8" t="e">
        <f>VLOOKUP(A:A,'ITEM LIST'!A:C,3,0)</f>
        <v>#N/A</v>
      </c>
      <c r="D6642" s="6">
        <f t="shared" si="104"/>
        <v>0</v>
      </c>
    </row>
    <row r="6643" spans="3:4" ht="15" x14ac:dyDescent="0.25">
      <c r="C6643" s="8" t="e">
        <f>VLOOKUP(A:A,'ITEM LIST'!A:C,3,0)</f>
        <v>#N/A</v>
      </c>
      <c r="D6643" s="6">
        <f t="shared" si="104"/>
        <v>0</v>
      </c>
    </row>
    <row r="6644" spans="3:4" ht="15" x14ac:dyDescent="0.25">
      <c r="C6644" s="8" t="e">
        <f>VLOOKUP(A:A,'ITEM LIST'!A:C,3,0)</f>
        <v>#N/A</v>
      </c>
      <c r="D6644" s="6">
        <f t="shared" si="104"/>
        <v>0</v>
      </c>
    </row>
    <row r="6645" spans="3:4" ht="15" x14ac:dyDescent="0.25">
      <c r="C6645" s="8" t="e">
        <f>VLOOKUP(A:A,'ITEM LIST'!A:C,3,0)</f>
        <v>#N/A</v>
      </c>
      <c r="D6645" s="6">
        <f t="shared" si="104"/>
        <v>0</v>
      </c>
    </row>
    <row r="6646" spans="3:4" ht="15" x14ac:dyDescent="0.25">
      <c r="C6646" s="8" t="e">
        <f>VLOOKUP(A:A,'ITEM LIST'!A:C,3,0)</f>
        <v>#N/A</v>
      </c>
      <c r="D6646" s="6">
        <f t="shared" si="104"/>
        <v>0</v>
      </c>
    </row>
    <row r="6647" spans="3:4" ht="15" x14ac:dyDescent="0.25">
      <c r="C6647" s="8" t="e">
        <f>VLOOKUP(A:A,'ITEM LIST'!A:C,3,0)</f>
        <v>#N/A</v>
      </c>
      <c r="D6647" s="6">
        <f t="shared" si="104"/>
        <v>0</v>
      </c>
    </row>
    <row r="6648" spans="3:4" ht="15" x14ac:dyDescent="0.25">
      <c r="C6648" s="8" t="e">
        <f>VLOOKUP(A:A,'ITEM LIST'!A:C,3,0)</f>
        <v>#N/A</v>
      </c>
      <c r="D6648" s="6">
        <f t="shared" si="104"/>
        <v>0</v>
      </c>
    </row>
    <row r="6649" spans="3:4" ht="15" x14ac:dyDescent="0.25">
      <c r="C6649" s="8" t="e">
        <f>VLOOKUP(A:A,'ITEM LIST'!A:C,3,0)</f>
        <v>#N/A</v>
      </c>
      <c r="D6649" s="6">
        <f t="shared" si="104"/>
        <v>0</v>
      </c>
    </row>
    <row r="6650" spans="3:4" ht="15" x14ac:dyDescent="0.25">
      <c r="C6650" s="8" t="e">
        <f>VLOOKUP(A:A,'ITEM LIST'!A:C,3,0)</f>
        <v>#N/A</v>
      </c>
      <c r="D6650" s="6">
        <f t="shared" si="104"/>
        <v>0</v>
      </c>
    </row>
    <row r="6651" spans="3:4" ht="15" x14ac:dyDescent="0.25">
      <c r="C6651" s="8" t="e">
        <f>VLOOKUP(A:A,'ITEM LIST'!A:C,3,0)</f>
        <v>#N/A</v>
      </c>
      <c r="D6651" s="6">
        <f t="shared" si="104"/>
        <v>0</v>
      </c>
    </row>
    <row r="6652" spans="3:4" ht="15" x14ac:dyDescent="0.25">
      <c r="C6652" s="8" t="e">
        <f>VLOOKUP(A:A,'ITEM LIST'!A:C,3,0)</f>
        <v>#N/A</v>
      </c>
      <c r="D6652" s="6">
        <f t="shared" si="104"/>
        <v>0</v>
      </c>
    </row>
    <row r="6653" spans="3:4" ht="15" x14ac:dyDescent="0.25">
      <c r="C6653" s="8" t="e">
        <f>VLOOKUP(A:A,'ITEM LIST'!A:C,3,0)</f>
        <v>#N/A</v>
      </c>
      <c r="D6653" s="6">
        <f t="shared" si="104"/>
        <v>0</v>
      </c>
    </row>
    <row r="6654" spans="3:4" ht="15" x14ac:dyDescent="0.25">
      <c r="C6654" s="8" t="e">
        <f>VLOOKUP(A:A,'ITEM LIST'!A:C,3,0)</f>
        <v>#N/A</v>
      </c>
      <c r="D6654" s="6">
        <f t="shared" si="104"/>
        <v>0</v>
      </c>
    </row>
    <row r="6655" spans="3:4" ht="15" x14ac:dyDescent="0.25">
      <c r="C6655" s="8" t="e">
        <f>VLOOKUP(A:A,'ITEM LIST'!A:C,3,0)</f>
        <v>#N/A</v>
      </c>
      <c r="D6655" s="6">
        <f t="shared" si="104"/>
        <v>0</v>
      </c>
    </row>
    <row r="6656" spans="3:4" ht="15" x14ac:dyDescent="0.25">
      <c r="C6656" s="8" t="e">
        <f>VLOOKUP(A:A,'ITEM LIST'!A:C,3,0)</f>
        <v>#N/A</v>
      </c>
      <c r="D6656" s="6">
        <f t="shared" si="104"/>
        <v>0</v>
      </c>
    </row>
    <row r="6657" spans="3:4" ht="15" x14ac:dyDescent="0.25">
      <c r="C6657" s="8" t="e">
        <f>VLOOKUP(A:A,'ITEM LIST'!A:C,3,0)</f>
        <v>#N/A</v>
      </c>
      <c r="D6657" s="6">
        <f t="shared" si="104"/>
        <v>0</v>
      </c>
    </row>
    <row r="6658" spans="3:4" ht="15" x14ac:dyDescent="0.25">
      <c r="C6658" s="8" t="e">
        <f>VLOOKUP(A:A,'ITEM LIST'!A:C,3,0)</f>
        <v>#N/A</v>
      </c>
      <c r="D6658" s="6">
        <f t="shared" si="104"/>
        <v>0</v>
      </c>
    </row>
    <row r="6659" spans="3:4" ht="15" x14ac:dyDescent="0.25">
      <c r="C6659" s="8" t="e">
        <f>VLOOKUP(A:A,'ITEM LIST'!A:C,3,0)</f>
        <v>#N/A</v>
      </c>
      <c r="D6659" s="6">
        <f t="shared" si="104"/>
        <v>0</v>
      </c>
    </row>
    <row r="6660" spans="3:4" ht="15" x14ac:dyDescent="0.25">
      <c r="C6660" s="8" t="e">
        <f>VLOOKUP(A:A,'ITEM LIST'!A:C,3,0)</f>
        <v>#N/A</v>
      </c>
      <c r="D6660" s="6">
        <f t="shared" si="104"/>
        <v>0</v>
      </c>
    </row>
    <row r="6661" spans="3:4" ht="15" x14ac:dyDescent="0.25">
      <c r="C6661" s="8" t="e">
        <f>VLOOKUP(A:A,'ITEM LIST'!A:C,3,0)</f>
        <v>#N/A</v>
      </c>
      <c r="D6661" s="6">
        <f t="shared" si="104"/>
        <v>0</v>
      </c>
    </row>
    <row r="6662" spans="3:4" ht="15" x14ac:dyDescent="0.25">
      <c r="C6662" s="8" t="e">
        <f>VLOOKUP(A:A,'ITEM LIST'!A:C,3,0)</f>
        <v>#N/A</v>
      </c>
      <c r="D6662" s="6">
        <f t="shared" ref="D6662:D6725" si="105">B6662</f>
        <v>0</v>
      </c>
    </row>
    <row r="6663" spans="3:4" ht="15" x14ac:dyDescent="0.25">
      <c r="C6663" s="8" t="e">
        <f>VLOOKUP(A:A,'ITEM LIST'!A:C,3,0)</f>
        <v>#N/A</v>
      </c>
      <c r="D6663" s="6">
        <f t="shared" si="105"/>
        <v>0</v>
      </c>
    </row>
    <row r="6664" spans="3:4" ht="15" x14ac:dyDescent="0.25">
      <c r="C6664" s="8" t="e">
        <f>VLOOKUP(A:A,'ITEM LIST'!A:C,3,0)</f>
        <v>#N/A</v>
      </c>
      <c r="D6664" s="6">
        <f t="shared" si="105"/>
        <v>0</v>
      </c>
    </row>
    <row r="6665" spans="3:4" ht="15" x14ac:dyDescent="0.25">
      <c r="C6665" s="8" t="e">
        <f>VLOOKUP(A:A,'ITEM LIST'!A:C,3,0)</f>
        <v>#N/A</v>
      </c>
      <c r="D6665" s="6">
        <f t="shared" si="105"/>
        <v>0</v>
      </c>
    </row>
    <row r="6666" spans="3:4" ht="15" x14ac:dyDescent="0.25">
      <c r="C6666" s="8" t="e">
        <f>VLOOKUP(A:A,'ITEM LIST'!A:C,3,0)</f>
        <v>#N/A</v>
      </c>
      <c r="D6666" s="6">
        <f t="shared" si="105"/>
        <v>0</v>
      </c>
    </row>
    <row r="6667" spans="3:4" ht="15" x14ac:dyDescent="0.25">
      <c r="C6667" s="8" t="e">
        <f>VLOOKUP(A:A,'ITEM LIST'!A:C,3,0)</f>
        <v>#N/A</v>
      </c>
      <c r="D6667" s="6">
        <f t="shared" si="105"/>
        <v>0</v>
      </c>
    </row>
    <row r="6668" spans="3:4" ht="15" x14ac:dyDescent="0.25">
      <c r="C6668" s="8" t="e">
        <f>VLOOKUP(A:A,'ITEM LIST'!A:C,3,0)</f>
        <v>#N/A</v>
      </c>
      <c r="D6668" s="6">
        <f t="shared" si="105"/>
        <v>0</v>
      </c>
    </row>
    <row r="6669" spans="3:4" ht="15" x14ac:dyDescent="0.25">
      <c r="C6669" s="8" t="e">
        <f>VLOOKUP(A:A,'ITEM LIST'!A:C,3,0)</f>
        <v>#N/A</v>
      </c>
      <c r="D6669" s="6">
        <f t="shared" si="105"/>
        <v>0</v>
      </c>
    </row>
    <row r="6670" spans="3:4" ht="15" x14ac:dyDescent="0.25">
      <c r="C6670" s="8" t="e">
        <f>VLOOKUP(A:A,'ITEM LIST'!A:C,3,0)</f>
        <v>#N/A</v>
      </c>
      <c r="D6670" s="6">
        <f t="shared" si="105"/>
        <v>0</v>
      </c>
    </row>
    <row r="6671" spans="3:4" ht="15" x14ac:dyDescent="0.25">
      <c r="C6671" s="8" t="e">
        <f>VLOOKUP(A:A,'ITEM LIST'!A:C,3,0)</f>
        <v>#N/A</v>
      </c>
      <c r="D6671" s="6">
        <f t="shared" si="105"/>
        <v>0</v>
      </c>
    </row>
    <row r="6672" spans="3:4" ht="15" x14ac:dyDescent="0.25">
      <c r="C6672" s="8" t="e">
        <f>VLOOKUP(A:A,'ITEM LIST'!A:C,3,0)</f>
        <v>#N/A</v>
      </c>
      <c r="D6672" s="6">
        <f t="shared" si="105"/>
        <v>0</v>
      </c>
    </row>
    <row r="6673" spans="3:4" ht="15" x14ac:dyDescent="0.25">
      <c r="C6673" s="8" t="e">
        <f>VLOOKUP(A:A,'ITEM LIST'!A:C,3,0)</f>
        <v>#N/A</v>
      </c>
      <c r="D6673" s="6">
        <f t="shared" si="105"/>
        <v>0</v>
      </c>
    </row>
    <row r="6674" spans="3:4" ht="15" x14ac:dyDescent="0.25">
      <c r="C6674" s="8" t="e">
        <f>VLOOKUP(A:A,'ITEM LIST'!A:C,3,0)</f>
        <v>#N/A</v>
      </c>
      <c r="D6674" s="6">
        <f t="shared" si="105"/>
        <v>0</v>
      </c>
    </row>
    <row r="6675" spans="3:4" ht="15" x14ac:dyDescent="0.25">
      <c r="C6675" s="8" t="e">
        <f>VLOOKUP(A:A,'ITEM LIST'!A:C,3,0)</f>
        <v>#N/A</v>
      </c>
      <c r="D6675" s="6">
        <f t="shared" si="105"/>
        <v>0</v>
      </c>
    </row>
    <row r="6676" spans="3:4" ht="15" x14ac:dyDescent="0.25">
      <c r="C6676" s="8" t="e">
        <f>VLOOKUP(A:A,'ITEM LIST'!A:C,3,0)</f>
        <v>#N/A</v>
      </c>
      <c r="D6676" s="6">
        <f t="shared" si="105"/>
        <v>0</v>
      </c>
    </row>
    <row r="6677" spans="3:4" ht="15" x14ac:dyDescent="0.25">
      <c r="C6677" s="8" t="e">
        <f>VLOOKUP(A:A,'ITEM LIST'!A:C,3,0)</f>
        <v>#N/A</v>
      </c>
      <c r="D6677" s="6">
        <f t="shared" si="105"/>
        <v>0</v>
      </c>
    </row>
    <row r="6678" spans="3:4" ht="15" x14ac:dyDescent="0.25">
      <c r="C6678" s="8" t="e">
        <f>VLOOKUP(A:A,'ITEM LIST'!A:C,3,0)</f>
        <v>#N/A</v>
      </c>
      <c r="D6678" s="6">
        <f t="shared" si="105"/>
        <v>0</v>
      </c>
    </row>
    <row r="6679" spans="3:4" ht="15" x14ac:dyDescent="0.25">
      <c r="C6679" s="8" t="e">
        <f>VLOOKUP(A:A,'ITEM LIST'!A:C,3,0)</f>
        <v>#N/A</v>
      </c>
      <c r="D6679" s="6">
        <f t="shared" si="105"/>
        <v>0</v>
      </c>
    </row>
    <row r="6680" spans="3:4" ht="15" x14ac:dyDescent="0.25">
      <c r="C6680" s="8" t="e">
        <f>VLOOKUP(A:A,'ITEM LIST'!A:C,3,0)</f>
        <v>#N/A</v>
      </c>
      <c r="D6680" s="6">
        <f t="shared" si="105"/>
        <v>0</v>
      </c>
    </row>
    <row r="6681" spans="3:4" ht="15" x14ac:dyDescent="0.25">
      <c r="C6681" s="8" t="e">
        <f>VLOOKUP(A:A,'ITEM LIST'!A:C,3,0)</f>
        <v>#N/A</v>
      </c>
      <c r="D6681" s="6">
        <f t="shared" si="105"/>
        <v>0</v>
      </c>
    </row>
    <row r="6682" spans="3:4" ht="15" x14ac:dyDescent="0.25">
      <c r="C6682" s="8" t="e">
        <f>VLOOKUP(A:A,'ITEM LIST'!A:C,3,0)</f>
        <v>#N/A</v>
      </c>
      <c r="D6682" s="6">
        <f t="shared" si="105"/>
        <v>0</v>
      </c>
    </row>
    <row r="6683" spans="3:4" ht="15" x14ac:dyDescent="0.25">
      <c r="C6683" s="8" t="e">
        <f>VLOOKUP(A:A,'ITEM LIST'!A:C,3,0)</f>
        <v>#N/A</v>
      </c>
      <c r="D6683" s="6">
        <f t="shared" si="105"/>
        <v>0</v>
      </c>
    </row>
    <row r="6684" spans="3:4" ht="15" x14ac:dyDescent="0.25">
      <c r="C6684" s="8" t="e">
        <f>VLOOKUP(A:A,'ITEM LIST'!A:C,3,0)</f>
        <v>#N/A</v>
      </c>
      <c r="D6684" s="6">
        <f t="shared" si="105"/>
        <v>0</v>
      </c>
    </row>
    <row r="6685" spans="3:4" ht="15" x14ac:dyDescent="0.25">
      <c r="C6685" s="8" t="e">
        <f>VLOOKUP(A:A,'ITEM LIST'!A:C,3,0)</f>
        <v>#N/A</v>
      </c>
      <c r="D6685" s="6">
        <f t="shared" si="105"/>
        <v>0</v>
      </c>
    </row>
    <row r="6686" spans="3:4" ht="15" x14ac:dyDescent="0.25">
      <c r="C6686" s="8" t="e">
        <f>VLOOKUP(A:A,'ITEM LIST'!A:C,3,0)</f>
        <v>#N/A</v>
      </c>
      <c r="D6686" s="6">
        <f t="shared" si="105"/>
        <v>0</v>
      </c>
    </row>
    <row r="6687" spans="3:4" ht="15" x14ac:dyDescent="0.25">
      <c r="C6687" s="8" t="e">
        <f>VLOOKUP(A:A,'ITEM LIST'!A:C,3,0)</f>
        <v>#N/A</v>
      </c>
      <c r="D6687" s="6">
        <f t="shared" si="105"/>
        <v>0</v>
      </c>
    </row>
    <row r="6688" spans="3:4" ht="15" x14ac:dyDescent="0.25">
      <c r="C6688" s="8" t="e">
        <f>VLOOKUP(A:A,'ITEM LIST'!A:C,3,0)</f>
        <v>#N/A</v>
      </c>
      <c r="D6688" s="6">
        <f t="shared" si="105"/>
        <v>0</v>
      </c>
    </row>
    <row r="6689" spans="3:4" ht="15" x14ac:dyDescent="0.25">
      <c r="C6689" s="8" t="e">
        <f>VLOOKUP(A:A,'ITEM LIST'!A:C,3,0)</f>
        <v>#N/A</v>
      </c>
      <c r="D6689" s="6">
        <f t="shared" si="105"/>
        <v>0</v>
      </c>
    </row>
    <row r="6690" spans="3:4" ht="15" x14ac:dyDescent="0.25">
      <c r="C6690" s="8" t="e">
        <f>VLOOKUP(A:A,'ITEM LIST'!A:C,3,0)</f>
        <v>#N/A</v>
      </c>
      <c r="D6690" s="6">
        <f t="shared" si="105"/>
        <v>0</v>
      </c>
    </row>
    <row r="6691" spans="3:4" ht="15" x14ac:dyDescent="0.25">
      <c r="C6691" s="8" t="e">
        <f>VLOOKUP(A:A,'ITEM LIST'!A:C,3,0)</f>
        <v>#N/A</v>
      </c>
      <c r="D6691" s="6">
        <f t="shared" si="105"/>
        <v>0</v>
      </c>
    </row>
    <row r="6692" spans="3:4" ht="15" x14ac:dyDescent="0.25">
      <c r="C6692" s="8" t="e">
        <f>VLOOKUP(A:A,'ITEM LIST'!A:C,3,0)</f>
        <v>#N/A</v>
      </c>
      <c r="D6692" s="6">
        <f t="shared" si="105"/>
        <v>0</v>
      </c>
    </row>
    <row r="6693" spans="3:4" ht="15" x14ac:dyDescent="0.25">
      <c r="C6693" s="8" t="e">
        <f>VLOOKUP(A:A,'ITEM LIST'!A:C,3,0)</f>
        <v>#N/A</v>
      </c>
      <c r="D6693" s="6">
        <f t="shared" si="105"/>
        <v>0</v>
      </c>
    </row>
    <row r="6694" spans="3:4" ht="15" x14ac:dyDescent="0.25">
      <c r="C6694" s="8" t="e">
        <f>VLOOKUP(A:A,'ITEM LIST'!A:C,3,0)</f>
        <v>#N/A</v>
      </c>
      <c r="D6694" s="6">
        <f t="shared" si="105"/>
        <v>0</v>
      </c>
    </row>
    <row r="6695" spans="3:4" ht="15" x14ac:dyDescent="0.25">
      <c r="C6695" s="8" t="e">
        <f>VLOOKUP(A:A,'ITEM LIST'!A:C,3,0)</f>
        <v>#N/A</v>
      </c>
      <c r="D6695" s="6">
        <f t="shared" si="105"/>
        <v>0</v>
      </c>
    </row>
    <row r="6696" spans="3:4" ht="15" x14ac:dyDescent="0.25">
      <c r="C6696" s="8" t="e">
        <f>VLOOKUP(A:A,'ITEM LIST'!A:C,3,0)</f>
        <v>#N/A</v>
      </c>
      <c r="D6696" s="6">
        <f t="shared" si="105"/>
        <v>0</v>
      </c>
    </row>
    <row r="6697" spans="3:4" ht="15" x14ac:dyDescent="0.25">
      <c r="C6697" s="8" t="e">
        <f>VLOOKUP(A:A,'ITEM LIST'!A:C,3,0)</f>
        <v>#N/A</v>
      </c>
      <c r="D6697" s="6">
        <f t="shared" si="105"/>
        <v>0</v>
      </c>
    </row>
    <row r="6698" spans="3:4" ht="15" x14ac:dyDescent="0.25">
      <c r="C6698" s="8" t="e">
        <f>VLOOKUP(A:A,'ITEM LIST'!A:C,3,0)</f>
        <v>#N/A</v>
      </c>
      <c r="D6698" s="6">
        <f t="shared" si="105"/>
        <v>0</v>
      </c>
    </row>
    <row r="6699" spans="3:4" ht="15" x14ac:dyDescent="0.25">
      <c r="C6699" s="8" t="e">
        <f>VLOOKUP(A:A,'ITEM LIST'!A:C,3,0)</f>
        <v>#N/A</v>
      </c>
      <c r="D6699" s="6">
        <f t="shared" si="105"/>
        <v>0</v>
      </c>
    </row>
    <row r="6700" spans="3:4" ht="15" x14ac:dyDescent="0.25">
      <c r="C6700" s="8" t="e">
        <f>VLOOKUP(A:A,'ITEM LIST'!A:C,3,0)</f>
        <v>#N/A</v>
      </c>
      <c r="D6700" s="6">
        <f t="shared" si="105"/>
        <v>0</v>
      </c>
    </row>
    <row r="6701" spans="3:4" ht="15" x14ac:dyDescent="0.25">
      <c r="C6701" s="8" t="e">
        <f>VLOOKUP(A:A,'ITEM LIST'!A:C,3,0)</f>
        <v>#N/A</v>
      </c>
      <c r="D6701" s="6">
        <f t="shared" si="105"/>
        <v>0</v>
      </c>
    </row>
    <row r="6702" spans="3:4" ht="15" x14ac:dyDescent="0.25">
      <c r="C6702" s="8" t="e">
        <f>VLOOKUP(A:A,'ITEM LIST'!A:C,3,0)</f>
        <v>#N/A</v>
      </c>
      <c r="D6702" s="6">
        <f t="shared" si="105"/>
        <v>0</v>
      </c>
    </row>
    <row r="6703" spans="3:4" ht="15" x14ac:dyDescent="0.25">
      <c r="C6703" s="8" t="e">
        <f>VLOOKUP(A:A,'ITEM LIST'!A:C,3,0)</f>
        <v>#N/A</v>
      </c>
      <c r="D6703" s="6">
        <f t="shared" si="105"/>
        <v>0</v>
      </c>
    </row>
    <row r="6704" spans="3:4" ht="15" x14ac:dyDescent="0.25">
      <c r="C6704" s="8" t="e">
        <f>VLOOKUP(A:A,'ITEM LIST'!A:C,3,0)</f>
        <v>#N/A</v>
      </c>
      <c r="D6704" s="6">
        <f t="shared" si="105"/>
        <v>0</v>
      </c>
    </row>
    <row r="6705" spans="3:4" ht="15" x14ac:dyDescent="0.25">
      <c r="C6705" s="8" t="e">
        <f>VLOOKUP(A:A,'ITEM LIST'!A:C,3,0)</f>
        <v>#N/A</v>
      </c>
      <c r="D6705" s="6">
        <f t="shared" si="105"/>
        <v>0</v>
      </c>
    </row>
    <row r="6706" spans="3:4" ht="15" x14ac:dyDescent="0.25">
      <c r="C6706" s="8" t="e">
        <f>VLOOKUP(A:A,'ITEM LIST'!A:C,3,0)</f>
        <v>#N/A</v>
      </c>
      <c r="D6706" s="6">
        <f t="shared" si="105"/>
        <v>0</v>
      </c>
    </row>
    <row r="6707" spans="3:4" ht="15" x14ac:dyDescent="0.25">
      <c r="C6707" s="8" t="e">
        <f>VLOOKUP(A:A,'ITEM LIST'!A:C,3,0)</f>
        <v>#N/A</v>
      </c>
      <c r="D6707" s="6">
        <f t="shared" si="105"/>
        <v>0</v>
      </c>
    </row>
    <row r="6708" spans="3:4" ht="15" x14ac:dyDescent="0.25">
      <c r="C6708" s="8" t="e">
        <f>VLOOKUP(A:A,'ITEM LIST'!A:C,3,0)</f>
        <v>#N/A</v>
      </c>
      <c r="D6708" s="6">
        <f t="shared" si="105"/>
        <v>0</v>
      </c>
    </row>
    <row r="6709" spans="3:4" ht="15" x14ac:dyDescent="0.25">
      <c r="C6709" s="8" t="e">
        <f>VLOOKUP(A:A,'ITEM LIST'!A:C,3,0)</f>
        <v>#N/A</v>
      </c>
      <c r="D6709" s="6">
        <f t="shared" si="105"/>
        <v>0</v>
      </c>
    </row>
    <row r="6710" spans="3:4" ht="15" x14ac:dyDescent="0.25">
      <c r="C6710" s="8" t="e">
        <f>VLOOKUP(A:A,'ITEM LIST'!A:C,3,0)</f>
        <v>#N/A</v>
      </c>
      <c r="D6710" s="6">
        <f t="shared" si="105"/>
        <v>0</v>
      </c>
    </row>
    <row r="6711" spans="3:4" ht="15" x14ac:dyDescent="0.25">
      <c r="C6711" s="8" t="e">
        <f>VLOOKUP(A:A,'ITEM LIST'!A:C,3,0)</f>
        <v>#N/A</v>
      </c>
      <c r="D6711" s="6">
        <f t="shared" si="105"/>
        <v>0</v>
      </c>
    </row>
    <row r="6712" spans="3:4" ht="15" x14ac:dyDescent="0.25">
      <c r="C6712" s="8" t="e">
        <f>VLOOKUP(A:A,'ITEM LIST'!A:C,3,0)</f>
        <v>#N/A</v>
      </c>
      <c r="D6712" s="6">
        <f t="shared" si="105"/>
        <v>0</v>
      </c>
    </row>
    <row r="6713" spans="3:4" ht="15" x14ac:dyDescent="0.25">
      <c r="C6713" s="8" t="e">
        <f>VLOOKUP(A:A,'ITEM LIST'!A:C,3,0)</f>
        <v>#N/A</v>
      </c>
      <c r="D6713" s="6">
        <f t="shared" si="105"/>
        <v>0</v>
      </c>
    </row>
    <row r="6714" spans="3:4" ht="15" x14ac:dyDescent="0.25">
      <c r="C6714" s="8" t="e">
        <f>VLOOKUP(A:A,'ITEM LIST'!A:C,3,0)</f>
        <v>#N/A</v>
      </c>
      <c r="D6714" s="6">
        <f t="shared" si="105"/>
        <v>0</v>
      </c>
    </row>
    <row r="6715" spans="3:4" ht="15" x14ac:dyDescent="0.25">
      <c r="C6715" s="8" t="e">
        <f>VLOOKUP(A:A,'ITEM LIST'!A:C,3,0)</f>
        <v>#N/A</v>
      </c>
      <c r="D6715" s="6">
        <f t="shared" si="105"/>
        <v>0</v>
      </c>
    </row>
    <row r="6716" spans="3:4" ht="15" x14ac:dyDescent="0.25">
      <c r="C6716" s="8" t="e">
        <f>VLOOKUP(A:A,'ITEM LIST'!A:C,3,0)</f>
        <v>#N/A</v>
      </c>
      <c r="D6716" s="6">
        <f t="shared" si="105"/>
        <v>0</v>
      </c>
    </row>
    <row r="6717" spans="3:4" ht="15" x14ac:dyDescent="0.25">
      <c r="C6717" s="8" t="e">
        <f>VLOOKUP(A:A,'ITEM LIST'!A:C,3,0)</f>
        <v>#N/A</v>
      </c>
      <c r="D6717" s="6">
        <f t="shared" si="105"/>
        <v>0</v>
      </c>
    </row>
    <row r="6718" spans="3:4" ht="15" x14ac:dyDescent="0.25">
      <c r="C6718" s="8" t="e">
        <f>VLOOKUP(A:A,'ITEM LIST'!A:C,3,0)</f>
        <v>#N/A</v>
      </c>
      <c r="D6718" s="6">
        <f t="shared" si="105"/>
        <v>0</v>
      </c>
    </row>
    <row r="6719" spans="3:4" ht="15" x14ac:dyDescent="0.25">
      <c r="C6719" s="8" t="e">
        <f>VLOOKUP(A:A,'ITEM LIST'!A:C,3,0)</f>
        <v>#N/A</v>
      </c>
      <c r="D6719" s="6">
        <f t="shared" si="105"/>
        <v>0</v>
      </c>
    </row>
    <row r="6720" spans="3:4" ht="15" x14ac:dyDescent="0.25">
      <c r="C6720" s="8" t="e">
        <f>VLOOKUP(A:A,'ITEM LIST'!A:C,3,0)</f>
        <v>#N/A</v>
      </c>
      <c r="D6720" s="6">
        <f t="shared" si="105"/>
        <v>0</v>
      </c>
    </row>
    <row r="6721" spans="3:4" ht="15" x14ac:dyDescent="0.25">
      <c r="C6721" s="8" t="e">
        <f>VLOOKUP(A:A,'ITEM LIST'!A:C,3,0)</f>
        <v>#N/A</v>
      </c>
      <c r="D6721" s="6">
        <f t="shared" si="105"/>
        <v>0</v>
      </c>
    </row>
    <row r="6722" spans="3:4" ht="15" x14ac:dyDescent="0.25">
      <c r="C6722" s="8" t="e">
        <f>VLOOKUP(A:A,'ITEM LIST'!A:C,3,0)</f>
        <v>#N/A</v>
      </c>
      <c r="D6722" s="6">
        <f t="shared" si="105"/>
        <v>0</v>
      </c>
    </row>
    <row r="6723" spans="3:4" ht="15" x14ac:dyDescent="0.25">
      <c r="C6723" s="8" t="e">
        <f>VLOOKUP(A:A,'ITEM LIST'!A:C,3,0)</f>
        <v>#N/A</v>
      </c>
      <c r="D6723" s="6">
        <f t="shared" si="105"/>
        <v>0</v>
      </c>
    </row>
    <row r="6724" spans="3:4" ht="15" x14ac:dyDescent="0.25">
      <c r="C6724" s="8" t="e">
        <f>VLOOKUP(A:A,'ITEM LIST'!A:C,3,0)</f>
        <v>#N/A</v>
      </c>
      <c r="D6724" s="6">
        <f t="shared" si="105"/>
        <v>0</v>
      </c>
    </row>
    <row r="6725" spans="3:4" ht="15" x14ac:dyDescent="0.25">
      <c r="C6725" s="8" t="e">
        <f>VLOOKUP(A:A,'ITEM LIST'!A:C,3,0)</f>
        <v>#N/A</v>
      </c>
      <c r="D6725" s="6">
        <f t="shared" si="105"/>
        <v>0</v>
      </c>
    </row>
    <row r="6726" spans="3:4" ht="15" x14ac:dyDescent="0.25">
      <c r="C6726" s="8" t="e">
        <f>VLOOKUP(A:A,'ITEM LIST'!A:C,3,0)</f>
        <v>#N/A</v>
      </c>
      <c r="D6726" s="6">
        <f t="shared" ref="D6726:D6789" si="106">B6726</f>
        <v>0</v>
      </c>
    </row>
    <row r="6727" spans="3:4" ht="15" x14ac:dyDescent="0.25">
      <c r="C6727" s="8" t="e">
        <f>VLOOKUP(A:A,'ITEM LIST'!A:C,3,0)</f>
        <v>#N/A</v>
      </c>
      <c r="D6727" s="6">
        <f t="shared" si="106"/>
        <v>0</v>
      </c>
    </row>
    <row r="6728" spans="3:4" ht="15" x14ac:dyDescent="0.25">
      <c r="C6728" s="8" t="e">
        <f>VLOOKUP(A:A,'ITEM LIST'!A:C,3,0)</f>
        <v>#N/A</v>
      </c>
      <c r="D6728" s="6">
        <f t="shared" si="106"/>
        <v>0</v>
      </c>
    </row>
    <row r="6729" spans="3:4" ht="15" x14ac:dyDescent="0.25">
      <c r="C6729" s="8" t="e">
        <f>VLOOKUP(A:A,'ITEM LIST'!A:C,3,0)</f>
        <v>#N/A</v>
      </c>
      <c r="D6729" s="6">
        <f t="shared" si="106"/>
        <v>0</v>
      </c>
    </row>
    <row r="6730" spans="3:4" ht="15" x14ac:dyDescent="0.25">
      <c r="C6730" s="8" t="e">
        <f>VLOOKUP(A:A,'ITEM LIST'!A:C,3,0)</f>
        <v>#N/A</v>
      </c>
      <c r="D6730" s="6">
        <f t="shared" si="106"/>
        <v>0</v>
      </c>
    </row>
    <row r="6731" spans="3:4" ht="15" x14ac:dyDescent="0.25">
      <c r="C6731" s="8" t="e">
        <f>VLOOKUP(A:A,'ITEM LIST'!A:C,3,0)</f>
        <v>#N/A</v>
      </c>
      <c r="D6731" s="6">
        <f t="shared" si="106"/>
        <v>0</v>
      </c>
    </row>
    <row r="6732" spans="3:4" ht="15" x14ac:dyDescent="0.25">
      <c r="C6732" s="8" t="e">
        <f>VLOOKUP(A:A,'ITEM LIST'!A:C,3,0)</f>
        <v>#N/A</v>
      </c>
      <c r="D6732" s="6">
        <f t="shared" si="106"/>
        <v>0</v>
      </c>
    </row>
    <row r="6733" spans="3:4" ht="15" x14ac:dyDescent="0.25">
      <c r="C6733" s="8" t="e">
        <f>VLOOKUP(A:A,'ITEM LIST'!A:C,3,0)</f>
        <v>#N/A</v>
      </c>
      <c r="D6733" s="6">
        <f t="shared" si="106"/>
        <v>0</v>
      </c>
    </row>
    <row r="6734" spans="3:4" ht="15" x14ac:dyDescent="0.25">
      <c r="C6734" s="8" t="e">
        <f>VLOOKUP(A:A,'ITEM LIST'!A:C,3,0)</f>
        <v>#N/A</v>
      </c>
      <c r="D6734" s="6">
        <f t="shared" si="106"/>
        <v>0</v>
      </c>
    </row>
    <row r="6735" spans="3:4" ht="15" x14ac:dyDescent="0.25">
      <c r="C6735" s="8" t="e">
        <f>VLOOKUP(A:A,'ITEM LIST'!A:C,3,0)</f>
        <v>#N/A</v>
      </c>
      <c r="D6735" s="6">
        <f t="shared" si="106"/>
        <v>0</v>
      </c>
    </row>
    <row r="6736" spans="3:4" ht="15" x14ac:dyDescent="0.25">
      <c r="C6736" s="8" t="e">
        <f>VLOOKUP(A:A,'ITEM LIST'!A:C,3,0)</f>
        <v>#N/A</v>
      </c>
      <c r="D6736" s="6">
        <f t="shared" si="106"/>
        <v>0</v>
      </c>
    </row>
    <row r="6737" spans="3:4" ht="15" x14ac:dyDescent="0.25">
      <c r="C6737" s="8" t="e">
        <f>VLOOKUP(A:A,'ITEM LIST'!A:C,3,0)</f>
        <v>#N/A</v>
      </c>
      <c r="D6737" s="6">
        <f t="shared" si="106"/>
        <v>0</v>
      </c>
    </row>
    <row r="6738" spans="3:4" ht="15" x14ac:dyDescent="0.25">
      <c r="C6738" s="8" t="e">
        <f>VLOOKUP(A:A,'ITEM LIST'!A:C,3,0)</f>
        <v>#N/A</v>
      </c>
      <c r="D6738" s="6">
        <f t="shared" si="106"/>
        <v>0</v>
      </c>
    </row>
    <row r="6739" spans="3:4" ht="15" x14ac:dyDescent="0.25">
      <c r="C6739" s="8" t="e">
        <f>VLOOKUP(A:A,'ITEM LIST'!A:C,3,0)</f>
        <v>#N/A</v>
      </c>
      <c r="D6739" s="6">
        <f t="shared" si="106"/>
        <v>0</v>
      </c>
    </row>
    <row r="6740" spans="3:4" ht="15" x14ac:dyDescent="0.25">
      <c r="C6740" s="8" t="e">
        <f>VLOOKUP(A:A,'ITEM LIST'!A:C,3,0)</f>
        <v>#N/A</v>
      </c>
      <c r="D6740" s="6">
        <f t="shared" si="106"/>
        <v>0</v>
      </c>
    </row>
    <row r="6741" spans="3:4" ht="15" x14ac:dyDescent="0.25">
      <c r="C6741" s="8" t="e">
        <f>VLOOKUP(A:A,'ITEM LIST'!A:C,3,0)</f>
        <v>#N/A</v>
      </c>
      <c r="D6741" s="6">
        <f t="shared" si="106"/>
        <v>0</v>
      </c>
    </row>
    <row r="6742" spans="3:4" ht="15" x14ac:dyDescent="0.25">
      <c r="C6742" s="8" t="e">
        <f>VLOOKUP(A:A,'ITEM LIST'!A:C,3,0)</f>
        <v>#N/A</v>
      </c>
      <c r="D6742" s="6">
        <f t="shared" si="106"/>
        <v>0</v>
      </c>
    </row>
    <row r="6743" spans="3:4" ht="15" x14ac:dyDescent="0.25">
      <c r="C6743" s="8" t="e">
        <f>VLOOKUP(A:A,'ITEM LIST'!A:C,3,0)</f>
        <v>#N/A</v>
      </c>
      <c r="D6743" s="6">
        <f t="shared" si="106"/>
        <v>0</v>
      </c>
    </row>
    <row r="6744" spans="3:4" ht="15" x14ac:dyDescent="0.25">
      <c r="C6744" s="8" t="e">
        <f>VLOOKUP(A:A,'ITEM LIST'!A:C,3,0)</f>
        <v>#N/A</v>
      </c>
      <c r="D6744" s="6">
        <f t="shared" si="106"/>
        <v>0</v>
      </c>
    </row>
    <row r="6745" spans="3:4" ht="15" x14ac:dyDescent="0.25">
      <c r="C6745" s="8" t="e">
        <f>VLOOKUP(A:A,'ITEM LIST'!A:C,3,0)</f>
        <v>#N/A</v>
      </c>
      <c r="D6745" s="6">
        <f t="shared" si="106"/>
        <v>0</v>
      </c>
    </row>
    <row r="6746" spans="3:4" ht="15" x14ac:dyDescent="0.25">
      <c r="C6746" s="8" t="e">
        <f>VLOOKUP(A:A,'ITEM LIST'!A:C,3,0)</f>
        <v>#N/A</v>
      </c>
      <c r="D6746" s="6">
        <f t="shared" si="106"/>
        <v>0</v>
      </c>
    </row>
    <row r="6747" spans="3:4" ht="15" x14ac:dyDescent="0.25">
      <c r="C6747" s="8" t="e">
        <f>VLOOKUP(A:A,'ITEM LIST'!A:C,3,0)</f>
        <v>#N/A</v>
      </c>
      <c r="D6747" s="6">
        <f t="shared" si="106"/>
        <v>0</v>
      </c>
    </row>
    <row r="6748" spans="3:4" ht="15" x14ac:dyDescent="0.25">
      <c r="C6748" s="8" t="e">
        <f>VLOOKUP(A:A,'ITEM LIST'!A:C,3,0)</f>
        <v>#N/A</v>
      </c>
      <c r="D6748" s="6">
        <f t="shared" si="106"/>
        <v>0</v>
      </c>
    </row>
    <row r="6749" spans="3:4" ht="15" x14ac:dyDescent="0.25">
      <c r="C6749" s="8" t="e">
        <f>VLOOKUP(A:A,'ITEM LIST'!A:C,3,0)</f>
        <v>#N/A</v>
      </c>
      <c r="D6749" s="6">
        <f t="shared" si="106"/>
        <v>0</v>
      </c>
    </row>
    <row r="6750" spans="3:4" ht="15" x14ac:dyDescent="0.25">
      <c r="C6750" s="8" t="e">
        <f>VLOOKUP(A:A,'ITEM LIST'!A:C,3,0)</f>
        <v>#N/A</v>
      </c>
      <c r="D6750" s="6">
        <f t="shared" si="106"/>
        <v>0</v>
      </c>
    </row>
    <row r="6751" spans="3:4" ht="15" x14ac:dyDescent="0.25">
      <c r="C6751" s="8" t="e">
        <f>VLOOKUP(A:A,'ITEM LIST'!A:C,3,0)</f>
        <v>#N/A</v>
      </c>
      <c r="D6751" s="6">
        <f t="shared" si="106"/>
        <v>0</v>
      </c>
    </row>
    <row r="6752" spans="3:4" ht="15" x14ac:dyDescent="0.25">
      <c r="C6752" s="8" t="e">
        <f>VLOOKUP(A:A,'ITEM LIST'!A:C,3,0)</f>
        <v>#N/A</v>
      </c>
      <c r="D6752" s="6">
        <f t="shared" si="106"/>
        <v>0</v>
      </c>
    </row>
    <row r="6753" spans="3:4" ht="15" x14ac:dyDescent="0.25">
      <c r="C6753" s="8" t="e">
        <f>VLOOKUP(A:A,'ITEM LIST'!A:C,3,0)</f>
        <v>#N/A</v>
      </c>
      <c r="D6753" s="6">
        <f t="shared" si="106"/>
        <v>0</v>
      </c>
    </row>
    <row r="6754" spans="3:4" ht="15" x14ac:dyDescent="0.25">
      <c r="C6754" s="8" t="e">
        <f>VLOOKUP(A:A,'ITEM LIST'!A:C,3,0)</f>
        <v>#N/A</v>
      </c>
      <c r="D6754" s="6">
        <f t="shared" si="106"/>
        <v>0</v>
      </c>
    </row>
    <row r="6755" spans="3:4" ht="15" x14ac:dyDescent="0.25">
      <c r="C6755" s="8" t="e">
        <f>VLOOKUP(A:A,'ITEM LIST'!A:C,3,0)</f>
        <v>#N/A</v>
      </c>
      <c r="D6755" s="6">
        <f t="shared" si="106"/>
        <v>0</v>
      </c>
    </row>
    <row r="6756" spans="3:4" ht="15" x14ac:dyDescent="0.25">
      <c r="C6756" s="8" t="e">
        <f>VLOOKUP(A:A,'ITEM LIST'!A:C,3,0)</f>
        <v>#N/A</v>
      </c>
      <c r="D6756" s="6">
        <f t="shared" si="106"/>
        <v>0</v>
      </c>
    </row>
    <row r="6757" spans="3:4" ht="15" x14ac:dyDescent="0.25">
      <c r="C6757" s="8" t="e">
        <f>VLOOKUP(A:A,'ITEM LIST'!A:C,3,0)</f>
        <v>#N/A</v>
      </c>
      <c r="D6757" s="6">
        <f t="shared" si="106"/>
        <v>0</v>
      </c>
    </row>
    <row r="6758" spans="3:4" ht="15" x14ac:dyDescent="0.25">
      <c r="C6758" s="8" t="e">
        <f>VLOOKUP(A:A,'ITEM LIST'!A:C,3,0)</f>
        <v>#N/A</v>
      </c>
      <c r="D6758" s="6">
        <f t="shared" si="106"/>
        <v>0</v>
      </c>
    </row>
    <row r="6759" spans="3:4" ht="15" x14ac:dyDescent="0.25">
      <c r="C6759" s="8" t="e">
        <f>VLOOKUP(A:A,'ITEM LIST'!A:C,3,0)</f>
        <v>#N/A</v>
      </c>
      <c r="D6759" s="6">
        <f t="shared" si="106"/>
        <v>0</v>
      </c>
    </row>
    <row r="6760" spans="3:4" ht="15" x14ac:dyDescent="0.25">
      <c r="C6760" s="8" t="e">
        <f>VLOOKUP(A:A,'ITEM LIST'!A:C,3,0)</f>
        <v>#N/A</v>
      </c>
      <c r="D6760" s="6">
        <f t="shared" si="106"/>
        <v>0</v>
      </c>
    </row>
    <row r="6761" spans="3:4" ht="15" x14ac:dyDescent="0.25">
      <c r="C6761" s="8" t="e">
        <f>VLOOKUP(A:A,'ITEM LIST'!A:C,3,0)</f>
        <v>#N/A</v>
      </c>
      <c r="D6761" s="6">
        <f t="shared" si="106"/>
        <v>0</v>
      </c>
    </row>
    <row r="6762" spans="3:4" ht="15" x14ac:dyDescent="0.25">
      <c r="C6762" s="8" t="e">
        <f>VLOOKUP(A:A,'ITEM LIST'!A:C,3,0)</f>
        <v>#N/A</v>
      </c>
      <c r="D6762" s="6">
        <f t="shared" si="106"/>
        <v>0</v>
      </c>
    </row>
    <row r="6763" spans="3:4" ht="15" x14ac:dyDescent="0.25">
      <c r="C6763" s="8" t="e">
        <f>VLOOKUP(A:A,'ITEM LIST'!A:C,3,0)</f>
        <v>#N/A</v>
      </c>
      <c r="D6763" s="6">
        <f t="shared" si="106"/>
        <v>0</v>
      </c>
    </row>
    <row r="6764" spans="3:4" ht="15" x14ac:dyDescent="0.25">
      <c r="C6764" s="8" t="e">
        <f>VLOOKUP(A:A,'ITEM LIST'!A:C,3,0)</f>
        <v>#N/A</v>
      </c>
      <c r="D6764" s="6">
        <f t="shared" si="106"/>
        <v>0</v>
      </c>
    </row>
    <row r="6765" spans="3:4" ht="15" x14ac:dyDescent="0.25">
      <c r="C6765" s="8" t="e">
        <f>VLOOKUP(A:A,'ITEM LIST'!A:C,3,0)</f>
        <v>#N/A</v>
      </c>
      <c r="D6765" s="6">
        <f t="shared" si="106"/>
        <v>0</v>
      </c>
    </row>
    <row r="6766" spans="3:4" ht="15" x14ac:dyDescent="0.25">
      <c r="C6766" s="8" t="e">
        <f>VLOOKUP(A:A,'ITEM LIST'!A:C,3,0)</f>
        <v>#N/A</v>
      </c>
      <c r="D6766" s="6">
        <f t="shared" si="106"/>
        <v>0</v>
      </c>
    </row>
    <row r="6767" spans="3:4" ht="15" x14ac:dyDescent="0.25">
      <c r="C6767" s="8" t="e">
        <f>VLOOKUP(A:A,'ITEM LIST'!A:C,3,0)</f>
        <v>#N/A</v>
      </c>
      <c r="D6767" s="6">
        <f t="shared" si="106"/>
        <v>0</v>
      </c>
    </row>
    <row r="6768" spans="3:4" ht="15" x14ac:dyDescent="0.25">
      <c r="C6768" s="8" t="e">
        <f>VLOOKUP(A:A,'ITEM LIST'!A:C,3,0)</f>
        <v>#N/A</v>
      </c>
      <c r="D6768" s="6">
        <f t="shared" si="106"/>
        <v>0</v>
      </c>
    </row>
    <row r="6769" spans="3:4" ht="15" x14ac:dyDescent="0.25">
      <c r="C6769" s="8" t="e">
        <f>VLOOKUP(A:A,'ITEM LIST'!A:C,3,0)</f>
        <v>#N/A</v>
      </c>
      <c r="D6769" s="6">
        <f t="shared" si="106"/>
        <v>0</v>
      </c>
    </row>
    <row r="6770" spans="3:4" ht="15" x14ac:dyDescent="0.25">
      <c r="C6770" s="8" t="e">
        <f>VLOOKUP(A:A,'ITEM LIST'!A:C,3,0)</f>
        <v>#N/A</v>
      </c>
      <c r="D6770" s="6">
        <f t="shared" si="106"/>
        <v>0</v>
      </c>
    </row>
    <row r="6771" spans="3:4" ht="15" x14ac:dyDescent="0.25">
      <c r="C6771" s="8" t="e">
        <f>VLOOKUP(A:A,'ITEM LIST'!A:C,3,0)</f>
        <v>#N/A</v>
      </c>
      <c r="D6771" s="6">
        <f t="shared" si="106"/>
        <v>0</v>
      </c>
    </row>
    <row r="6772" spans="3:4" ht="15" x14ac:dyDescent="0.25">
      <c r="C6772" s="8" t="e">
        <f>VLOOKUP(A:A,'ITEM LIST'!A:C,3,0)</f>
        <v>#N/A</v>
      </c>
      <c r="D6772" s="6">
        <f t="shared" si="106"/>
        <v>0</v>
      </c>
    </row>
    <row r="6773" spans="3:4" ht="15" x14ac:dyDescent="0.25">
      <c r="C6773" s="8" t="e">
        <f>VLOOKUP(A:A,'ITEM LIST'!A:C,3,0)</f>
        <v>#N/A</v>
      </c>
      <c r="D6773" s="6">
        <f t="shared" si="106"/>
        <v>0</v>
      </c>
    </row>
    <row r="6774" spans="3:4" ht="15" x14ac:dyDescent="0.25">
      <c r="C6774" s="8" t="e">
        <f>VLOOKUP(A:A,'ITEM LIST'!A:C,3,0)</f>
        <v>#N/A</v>
      </c>
      <c r="D6774" s="6">
        <f t="shared" si="106"/>
        <v>0</v>
      </c>
    </row>
    <row r="6775" spans="3:4" ht="15" x14ac:dyDescent="0.25">
      <c r="C6775" s="8" t="e">
        <f>VLOOKUP(A:A,'ITEM LIST'!A:C,3,0)</f>
        <v>#N/A</v>
      </c>
      <c r="D6775" s="6">
        <f t="shared" si="106"/>
        <v>0</v>
      </c>
    </row>
    <row r="6776" spans="3:4" ht="15" x14ac:dyDescent="0.25">
      <c r="C6776" s="8" t="e">
        <f>VLOOKUP(A:A,'ITEM LIST'!A:C,3,0)</f>
        <v>#N/A</v>
      </c>
      <c r="D6776" s="6">
        <f t="shared" si="106"/>
        <v>0</v>
      </c>
    </row>
    <row r="6777" spans="3:4" ht="15" x14ac:dyDescent="0.25">
      <c r="C6777" s="8" t="e">
        <f>VLOOKUP(A:A,'ITEM LIST'!A:C,3,0)</f>
        <v>#N/A</v>
      </c>
      <c r="D6777" s="6">
        <f t="shared" si="106"/>
        <v>0</v>
      </c>
    </row>
    <row r="6778" spans="3:4" ht="15" x14ac:dyDescent="0.25">
      <c r="C6778" s="8" t="e">
        <f>VLOOKUP(A:A,'ITEM LIST'!A:C,3,0)</f>
        <v>#N/A</v>
      </c>
      <c r="D6778" s="6">
        <f t="shared" si="106"/>
        <v>0</v>
      </c>
    </row>
    <row r="6779" spans="3:4" ht="15" x14ac:dyDescent="0.25">
      <c r="C6779" s="8" t="e">
        <f>VLOOKUP(A:A,'ITEM LIST'!A:C,3,0)</f>
        <v>#N/A</v>
      </c>
      <c r="D6779" s="6">
        <f t="shared" si="106"/>
        <v>0</v>
      </c>
    </row>
    <row r="6780" spans="3:4" ht="15" x14ac:dyDescent="0.25">
      <c r="C6780" s="8" t="e">
        <f>VLOOKUP(A:A,'ITEM LIST'!A:C,3,0)</f>
        <v>#N/A</v>
      </c>
      <c r="D6780" s="6">
        <f t="shared" si="106"/>
        <v>0</v>
      </c>
    </row>
    <row r="6781" spans="3:4" ht="15" x14ac:dyDescent="0.25">
      <c r="C6781" s="8" t="e">
        <f>VLOOKUP(A:A,'ITEM LIST'!A:C,3,0)</f>
        <v>#N/A</v>
      </c>
      <c r="D6781" s="6">
        <f t="shared" si="106"/>
        <v>0</v>
      </c>
    </row>
    <row r="6782" spans="3:4" ht="15" x14ac:dyDescent="0.25">
      <c r="C6782" s="8" t="e">
        <f>VLOOKUP(A:A,'ITEM LIST'!A:C,3,0)</f>
        <v>#N/A</v>
      </c>
      <c r="D6782" s="6">
        <f t="shared" si="106"/>
        <v>0</v>
      </c>
    </row>
    <row r="6783" spans="3:4" ht="15" x14ac:dyDescent="0.25">
      <c r="C6783" s="8" t="e">
        <f>VLOOKUP(A:A,'ITEM LIST'!A:C,3,0)</f>
        <v>#N/A</v>
      </c>
      <c r="D6783" s="6">
        <f t="shared" si="106"/>
        <v>0</v>
      </c>
    </row>
    <row r="6784" spans="3:4" ht="15" x14ac:dyDescent="0.25">
      <c r="C6784" s="8" t="e">
        <f>VLOOKUP(A:A,'ITEM LIST'!A:C,3,0)</f>
        <v>#N/A</v>
      </c>
      <c r="D6784" s="6">
        <f t="shared" si="106"/>
        <v>0</v>
      </c>
    </row>
    <row r="6785" spans="3:4" ht="15" x14ac:dyDescent="0.25">
      <c r="C6785" s="8" t="e">
        <f>VLOOKUP(A:A,'ITEM LIST'!A:C,3,0)</f>
        <v>#N/A</v>
      </c>
      <c r="D6785" s="6">
        <f t="shared" si="106"/>
        <v>0</v>
      </c>
    </row>
    <row r="6786" spans="3:4" ht="15" x14ac:dyDescent="0.25">
      <c r="C6786" s="8" t="e">
        <f>VLOOKUP(A:A,'ITEM LIST'!A:C,3,0)</f>
        <v>#N/A</v>
      </c>
      <c r="D6786" s="6">
        <f t="shared" si="106"/>
        <v>0</v>
      </c>
    </row>
    <row r="6787" spans="3:4" ht="15" x14ac:dyDescent="0.25">
      <c r="C6787" s="8" t="e">
        <f>VLOOKUP(A:A,'ITEM LIST'!A:C,3,0)</f>
        <v>#N/A</v>
      </c>
      <c r="D6787" s="6">
        <f t="shared" si="106"/>
        <v>0</v>
      </c>
    </row>
    <row r="6788" spans="3:4" ht="15" x14ac:dyDescent="0.25">
      <c r="C6788" s="8" t="e">
        <f>VLOOKUP(A:A,'ITEM LIST'!A:C,3,0)</f>
        <v>#N/A</v>
      </c>
      <c r="D6788" s="6">
        <f t="shared" si="106"/>
        <v>0</v>
      </c>
    </row>
    <row r="6789" spans="3:4" ht="15" x14ac:dyDescent="0.25">
      <c r="C6789" s="8" t="e">
        <f>VLOOKUP(A:A,'ITEM LIST'!A:C,3,0)</f>
        <v>#N/A</v>
      </c>
      <c r="D6789" s="6">
        <f t="shared" si="106"/>
        <v>0</v>
      </c>
    </row>
    <row r="6790" spans="3:4" ht="15" x14ac:dyDescent="0.25">
      <c r="C6790" s="8" t="e">
        <f>VLOOKUP(A:A,'ITEM LIST'!A:C,3,0)</f>
        <v>#N/A</v>
      </c>
      <c r="D6790" s="6">
        <f t="shared" ref="D6790:D6853" si="107">B6790</f>
        <v>0</v>
      </c>
    </row>
    <row r="6791" spans="3:4" ht="15" x14ac:dyDescent="0.25">
      <c r="C6791" s="8" t="e">
        <f>VLOOKUP(A:A,'ITEM LIST'!A:C,3,0)</f>
        <v>#N/A</v>
      </c>
      <c r="D6791" s="6">
        <f t="shared" si="107"/>
        <v>0</v>
      </c>
    </row>
    <row r="6792" spans="3:4" ht="15" x14ac:dyDescent="0.25">
      <c r="C6792" s="8" t="e">
        <f>VLOOKUP(A:A,'ITEM LIST'!A:C,3,0)</f>
        <v>#N/A</v>
      </c>
      <c r="D6792" s="6">
        <f t="shared" si="107"/>
        <v>0</v>
      </c>
    </row>
    <row r="6793" spans="3:4" ht="15" x14ac:dyDescent="0.25">
      <c r="C6793" s="8" t="e">
        <f>VLOOKUP(A:A,'ITEM LIST'!A:C,3,0)</f>
        <v>#N/A</v>
      </c>
      <c r="D6793" s="6">
        <f t="shared" si="107"/>
        <v>0</v>
      </c>
    </row>
    <row r="6794" spans="3:4" ht="15" x14ac:dyDescent="0.25">
      <c r="C6794" s="8" t="e">
        <f>VLOOKUP(A:A,'ITEM LIST'!A:C,3,0)</f>
        <v>#N/A</v>
      </c>
      <c r="D6794" s="6">
        <f t="shared" si="107"/>
        <v>0</v>
      </c>
    </row>
    <row r="6795" spans="3:4" ht="15" x14ac:dyDescent="0.25">
      <c r="C6795" s="8" t="e">
        <f>VLOOKUP(A:A,'ITEM LIST'!A:C,3,0)</f>
        <v>#N/A</v>
      </c>
      <c r="D6795" s="6">
        <f t="shared" si="107"/>
        <v>0</v>
      </c>
    </row>
    <row r="6796" spans="3:4" ht="15" x14ac:dyDescent="0.25">
      <c r="C6796" s="8" t="e">
        <f>VLOOKUP(A:A,'ITEM LIST'!A:C,3,0)</f>
        <v>#N/A</v>
      </c>
      <c r="D6796" s="6">
        <f t="shared" si="107"/>
        <v>0</v>
      </c>
    </row>
    <row r="6797" spans="3:4" ht="15" x14ac:dyDescent="0.25">
      <c r="C6797" s="8" t="e">
        <f>VLOOKUP(A:A,'ITEM LIST'!A:C,3,0)</f>
        <v>#N/A</v>
      </c>
      <c r="D6797" s="6">
        <f t="shared" si="107"/>
        <v>0</v>
      </c>
    </row>
    <row r="6798" spans="3:4" ht="15" x14ac:dyDescent="0.25">
      <c r="C6798" s="8" t="e">
        <f>VLOOKUP(A:A,'ITEM LIST'!A:C,3,0)</f>
        <v>#N/A</v>
      </c>
      <c r="D6798" s="6">
        <f t="shared" si="107"/>
        <v>0</v>
      </c>
    </row>
    <row r="6799" spans="3:4" ht="15" x14ac:dyDescent="0.25">
      <c r="C6799" s="8" t="e">
        <f>VLOOKUP(A:A,'ITEM LIST'!A:C,3,0)</f>
        <v>#N/A</v>
      </c>
      <c r="D6799" s="6">
        <f t="shared" si="107"/>
        <v>0</v>
      </c>
    </row>
    <row r="6800" spans="3:4" ht="15" x14ac:dyDescent="0.25">
      <c r="C6800" s="8" t="e">
        <f>VLOOKUP(A:A,'ITEM LIST'!A:C,3,0)</f>
        <v>#N/A</v>
      </c>
      <c r="D6800" s="6">
        <f t="shared" si="107"/>
        <v>0</v>
      </c>
    </row>
    <row r="6801" spans="3:4" ht="15" x14ac:dyDescent="0.25">
      <c r="C6801" s="8" t="e">
        <f>VLOOKUP(A:A,'ITEM LIST'!A:C,3,0)</f>
        <v>#N/A</v>
      </c>
      <c r="D6801" s="6">
        <f t="shared" si="107"/>
        <v>0</v>
      </c>
    </row>
    <row r="6802" spans="3:4" ht="15" x14ac:dyDescent="0.25">
      <c r="C6802" s="8" t="e">
        <f>VLOOKUP(A:A,'ITEM LIST'!A:C,3,0)</f>
        <v>#N/A</v>
      </c>
      <c r="D6802" s="6">
        <f t="shared" si="107"/>
        <v>0</v>
      </c>
    </row>
    <row r="6803" spans="3:4" ht="15" x14ac:dyDescent="0.25">
      <c r="C6803" s="8" t="e">
        <f>VLOOKUP(A:A,'ITEM LIST'!A:C,3,0)</f>
        <v>#N/A</v>
      </c>
      <c r="D6803" s="6">
        <f t="shared" si="107"/>
        <v>0</v>
      </c>
    </row>
    <row r="6804" spans="3:4" ht="15" x14ac:dyDescent="0.25">
      <c r="C6804" s="8" t="e">
        <f>VLOOKUP(A:A,'ITEM LIST'!A:C,3,0)</f>
        <v>#N/A</v>
      </c>
      <c r="D6804" s="6">
        <f t="shared" si="107"/>
        <v>0</v>
      </c>
    </row>
    <row r="6805" spans="3:4" ht="15" x14ac:dyDescent="0.25">
      <c r="C6805" s="8" t="e">
        <f>VLOOKUP(A:A,'ITEM LIST'!A:C,3,0)</f>
        <v>#N/A</v>
      </c>
      <c r="D6805" s="6">
        <f t="shared" si="107"/>
        <v>0</v>
      </c>
    </row>
    <row r="6806" spans="3:4" ht="15" x14ac:dyDescent="0.25">
      <c r="C6806" s="8" t="e">
        <f>VLOOKUP(A:A,'ITEM LIST'!A:C,3,0)</f>
        <v>#N/A</v>
      </c>
      <c r="D6806" s="6">
        <f t="shared" si="107"/>
        <v>0</v>
      </c>
    </row>
    <row r="6807" spans="3:4" ht="15" x14ac:dyDescent="0.25">
      <c r="C6807" s="8" t="e">
        <f>VLOOKUP(A:A,'ITEM LIST'!A:C,3,0)</f>
        <v>#N/A</v>
      </c>
      <c r="D6807" s="6">
        <f t="shared" si="107"/>
        <v>0</v>
      </c>
    </row>
    <row r="6808" spans="3:4" ht="15" x14ac:dyDescent="0.25">
      <c r="C6808" s="8" t="e">
        <f>VLOOKUP(A:A,'ITEM LIST'!A:C,3,0)</f>
        <v>#N/A</v>
      </c>
      <c r="D6808" s="6">
        <f t="shared" si="107"/>
        <v>0</v>
      </c>
    </row>
    <row r="6809" spans="3:4" ht="15" x14ac:dyDescent="0.25">
      <c r="C6809" s="8" t="e">
        <f>VLOOKUP(A:A,'ITEM LIST'!A:C,3,0)</f>
        <v>#N/A</v>
      </c>
      <c r="D6809" s="6">
        <f t="shared" si="107"/>
        <v>0</v>
      </c>
    </row>
    <row r="6810" spans="3:4" ht="15" x14ac:dyDescent="0.25">
      <c r="C6810" s="8" t="e">
        <f>VLOOKUP(A:A,'ITEM LIST'!A:C,3,0)</f>
        <v>#N/A</v>
      </c>
      <c r="D6810" s="6">
        <f t="shared" si="107"/>
        <v>0</v>
      </c>
    </row>
    <row r="6811" spans="3:4" ht="15" x14ac:dyDescent="0.25">
      <c r="C6811" s="8" t="e">
        <f>VLOOKUP(A:A,'ITEM LIST'!A:C,3,0)</f>
        <v>#N/A</v>
      </c>
      <c r="D6811" s="6">
        <f t="shared" si="107"/>
        <v>0</v>
      </c>
    </row>
    <row r="6812" spans="3:4" ht="15" x14ac:dyDescent="0.25">
      <c r="C6812" s="8" t="e">
        <f>VLOOKUP(A:A,'ITEM LIST'!A:C,3,0)</f>
        <v>#N/A</v>
      </c>
      <c r="D6812" s="6">
        <f t="shared" si="107"/>
        <v>0</v>
      </c>
    </row>
    <row r="6813" spans="3:4" ht="15" x14ac:dyDescent="0.25">
      <c r="C6813" s="8" t="e">
        <f>VLOOKUP(A:A,'ITEM LIST'!A:C,3,0)</f>
        <v>#N/A</v>
      </c>
      <c r="D6813" s="6">
        <f t="shared" si="107"/>
        <v>0</v>
      </c>
    </row>
    <row r="6814" spans="3:4" ht="15" x14ac:dyDescent="0.25">
      <c r="C6814" s="8" t="e">
        <f>VLOOKUP(A:A,'ITEM LIST'!A:C,3,0)</f>
        <v>#N/A</v>
      </c>
      <c r="D6814" s="6">
        <f t="shared" si="107"/>
        <v>0</v>
      </c>
    </row>
    <row r="6815" spans="3:4" ht="15" x14ac:dyDescent="0.25">
      <c r="C6815" s="8" t="e">
        <f>VLOOKUP(A:A,'ITEM LIST'!A:C,3,0)</f>
        <v>#N/A</v>
      </c>
      <c r="D6815" s="6">
        <f t="shared" si="107"/>
        <v>0</v>
      </c>
    </row>
    <row r="6816" spans="3:4" ht="15" x14ac:dyDescent="0.25">
      <c r="C6816" s="8" t="e">
        <f>VLOOKUP(A:A,'ITEM LIST'!A:C,3,0)</f>
        <v>#N/A</v>
      </c>
      <c r="D6816" s="6">
        <f t="shared" si="107"/>
        <v>0</v>
      </c>
    </row>
    <row r="6817" spans="3:4" ht="15" x14ac:dyDescent="0.25">
      <c r="C6817" s="8" t="e">
        <f>VLOOKUP(A:A,'ITEM LIST'!A:C,3,0)</f>
        <v>#N/A</v>
      </c>
      <c r="D6817" s="6">
        <f t="shared" si="107"/>
        <v>0</v>
      </c>
    </row>
    <row r="6818" spans="3:4" ht="15" x14ac:dyDescent="0.25">
      <c r="C6818" s="8" t="e">
        <f>VLOOKUP(A:A,'ITEM LIST'!A:C,3,0)</f>
        <v>#N/A</v>
      </c>
      <c r="D6818" s="6">
        <f t="shared" si="107"/>
        <v>0</v>
      </c>
    </row>
    <row r="6819" spans="3:4" ht="15" x14ac:dyDescent="0.25">
      <c r="C6819" s="8" t="e">
        <f>VLOOKUP(A:A,'ITEM LIST'!A:C,3,0)</f>
        <v>#N/A</v>
      </c>
      <c r="D6819" s="6">
        <f t="shared" si="107"/>
        <v>0</v>
      </c>
    </row>
    <row r="6820" spans="3:4" ht="15" x14ac:dyDescent="0.25">
      <c r="C6820" s="8" t="e">
        <f>VLOOKUP(A:A,'ITEM LIST'!A:C,3,0)</f>
        <v>#N/A</v>
      </c>
      <c r="D6820" s="6">
        <f t="shared" si="107"/>
        <v>0</v>
      </c>
    </row>
    <row r="6821" spans="3:4" ht="15" x14ac:dyDescent="0.25">
      <c r="C6821" s="8" t="e">
        <f>VLOOKUP(A:A,'ITEM LIST'!A:C,3,0)</f>
        <v>#N/A</v>
      </c>
      <c r="D6821" s="6">
        <f t="shared" si="107"/>
        <v>0</v>
      </c>
    </row>
    <row r="6822" spans="3:4" ht="15" x14ac:dyDescent="0.25">
      <c r="C6822" s="8" t="e">
        <f>VLOOKUP(A:A,'ITEM LIST'!A:C,3,0)</f>
        <v>#N/A</v>
      </c>
      <c r="D6822" s="6">
        <f t="shared" si="107"/>
        <v>0</v>
      </c>
    </row>
    <row r="6823" spans="3:4" ht="15" x14ac:dyDescent="0.25">
      <c r="C6823" s="8" t="e">
        <f>VLOOKUP(A:A,'ITEM LIST'!A:C,3,0)</f>
        <v>#N/A</v>
      </c>
      <c r="D6823" s="6">
        <f t="shared" si="107"/>
        <v>0</v>
      </c>
    </row>
    <row r="6824" spans="3:4" ht="15" x14ac:dyDescent="0.25">
      <c r="C6824" s="8" t="e">
        <f>VLOOKUP(A:A,'ITEM LIST'!A:C,3,0)</f>
        <v>#N/A</v>
      </c>
      <c r="D6824" s="6">
        <f t="shared" si="107"/>
        <v>0</v>
      </c>
    </row>
    <row r="6825" spans="3:4" ht="15" x14ac:dyDescent="0.25">
      <c r="C6825" s="8" t="e">
        <f>VLOOKUP(A:A,'ITEM LIST'!A:C,3,0)</f>
        <v>#N/A</v>
      </c>
      <c r="D6825" s="6">
        <f t="shared" si="107"/>
        <v>0</v>
      </c>
    </row>
    <row r="6826" spans="3:4" ht="15" x14ac:dyDescent="0.25">
      <c r="C6826" s="8" t="e">
        <f>VLOOKUP(A:A,'ITEM LIST'!A:C,3,0)</f>
        <v>#N/A</v>
      </c>
      <c r="D6826" s="6">
        <f t="shared" si="107"/>
        <v>0</v>
      </c>
    </row>
    <row r="6827" spans="3:4" ht="15" x14ac:dyDescent="0.25">
      <c r="C6827" s="8" t="e">
        <f>VLOOKUP(A:A,'ITEM LIST'!A:C,3,0)</f>
        <v>#N/A</v>
      </c>
      <c r="D6827" s="6">
        <f t="shared" si="107"/>
        <v>0</v>
      </c>
    </row>
    <row r="6828" spans="3:4" ht="15" x14ac:dyDescent="0.25">
      <c r="C6828" s="8" t="e">
        <f>VLOOKUP(A:A,'ITEM LIST'!A:C,3,0)</f>
        <v>#N/A</v>
      </c>
      <c r="D6828" s="6">
        <f t="shared" si="107"/>
        <v>0</v>
      </c>
    </row>
    <row r="6829" spans="3:4" ht="15" x14ac:dyDescent="0.25">
      <c r="C6829" s="8" t="e">
        <f>VLOOKUP(A:A,'ITEM LIST'!A:C,3,0)</f>
        <v>#N/A</v>
      </c>
      <c r="D6829" s="6">
        <f t="shared" si="107"/>
        <v>0</v>
      </c>
    </row>
    <row r="6830" spans="3:4" ht="15" x14ac:dyDescent="0.25">
      <c r="C6830" s="8" t="e">
        <f>VLOOKUP(A:A,'ITEM LIST'!A:C,3,0)</f>
        <v>#N/A</v>
      </c>
      <c r="D6830" s="6">
        <f t="shared" si="107"/>
        <v>0</v>
      </c>
    </row>
    <row r="6831" spans="3:4" ht="15" x14ac:dyDescent="0.25">
      <c r="C6831" s="8" t="e">
        <f>VLOOKUP(A:A,'ITEM LIST'!A:C,3,0)</f>
        <v>#N/A</v>
      </c>
      <c r="D6831" s="6">
        <f t="shared" si="107"/>
        <v>0</v>
      </c>
    </row>
    <row r="6832" spans="3:4" ht="15" x14ac:dyDescent="0.25">
      <c r="C6832" s="8" t="e">
        <f>VLOOKUP(A:A,'ITEM LIST'!A:C,3,0)</f>
        <v>#N/A</v>
      </c>
      <c r="D6832" s="6">
        <f t="shared" si="107"/>
        <v>0</v>
      </c>
    </row>
    <row r="6833" spans="3:4" ht="15" x14ac:dyDescent="0.25">
      <c r="C6833" s="8" t="e">
        <f>VLOOKUP(A:A,'ITEM LIST'!A:C,3,0)</f>
        <v>#N/A</v>
      </c>
      <c r="D6833" s="6">
        <f t="shared" si="107"/>
        <v>0</v>
      </c>
    </row>
    <row r="6834" spans="3:4" ht="15" x14ac:dyDescent="0.25">
      <c r="C6834" s="8" t="e">
        <f>VLOOKUP(A:A,'ITEM LIST'!A:C,3,0)</f>
        <v>#N/A</v>
      </c>
      <c r="D6834" s="6">
        <f t="shared" si="107"/>
        <v>0</v>
      </c>
    </row>
    <row r="6835" spans="3:4" ht="15" x14ac:dyDescent="0.25">
      <c r="C6835" s="8" t="e">
        <f>VLOOKUP(A:A,'ITEM LIST'!A:C,3,0)</f>
        <v>#N/A</v>
      </c>
      <c r="D6835" s="6">
        <f t="shared" si="107"/>
        <v>0</v>
      </c>
    </row>
    <row r="6836" spans="3:4" ht="15" x14ac:dyDescent="0.25">
      <c r="C6836" s="8" t="e">
        <f>VLOOKUP(A:A,'ITEM LIST'!A:C,3,0)</f>
        <v>#N/A</v>
      </c>
      <c r="D6836" s="6">
        <f t="shared" si="107"/>
        <v>0</v>
      </c>
    </row>
    <row r="6837" spans="3:4" ht="15" x14ac:dyDescent="0.25">
      <c r="C6837" s="8" t="e">
        <f>VLOOKUP(A:A,'ITEM LIST'!A:C,3,0)</f>
        <v>#N/A</v>
      </c>
      <c r="D6837" s="6">
        <f t="shared" si="107"/>
        <v>0</v>
      </c>
    </row>
    <row r="6838" spans="3:4" ht="15" x14ac:dyDescent="0.25">
      <c r="C6838" s="8" t="e">
        <f>VLOOKUP(A:A,'ITEM LIST'!A:C,3,0)</f>
        <v>#N/A</v>
      </c>
      <c r="D6838" s="6">
        <f t="shared" si="107"/>
        <v>0</v>
      </c>
    </row>
    <row r="6839" spans="3:4" ht="15" x14ac:dyDescent="0.25">
      <c r="C6839" s="8" t="e">
        <f>VLOOKUP(A:A,'ITEM LIST'!A:C,3,0)</f>
        <v>#N/A</v>
      </c>
      <c r="D6839" s="6">
        <f t="shared" si="107"/>
        <v>0</v>
      </c>
    </row>
    <row r="6840" spans="3:4" ht="15" x14ac:dyDescent="0.25">
      <c r="C6840" s="8" t="e">
        <f>VLOOKUP(A:A,'ITEM LIST'!A:C,3,0)</f>
        <v>#N/A</v>
      </c>
      <c r="D6840" s="6">
        <f t="shared" si="107"/>
        <v>0</v>
      </c>
    </row>
    <row r="6841" spans="3:4" ht="15" x14ac:dyDescent="0.25">
      <c r="C6841" s="8" t="e">
        <f>VLOOKUP(A:A,'ITEM LIST'!A:C,3,0)</f>
        <v>#N/A</v>
      </c>
      <c r="D6841" s="6">
        <f t="shared" si="107"/>
        <v>0</v>
      </c>
    </row>
    <row r="6842" spans="3:4" ht="15" x14ac:dyDescent="0.25">
      <c r="C6842" s="8" t="e">
        <f>VLOOKUP(A:A,'ITEM LIST'!A:C,3,0)</f>
        <v>#N/A</v>
      </c>
      <c r="D6842" s="6">
        <f t="shared" si="107"/>
        <v>0</v>
      </c>
    </row>
    <row r="6843" spans="3:4" ht="15" x14ac:dyDescent="0.25">
      <c r="C6843" s="8" t="e">
        <f>VLOOKUP(A:A,'ITEM LIST'!A:C,3,0)</f>
        <v>#N/A</v>
      </c>
      <c r="D6843" s="6">
        <f t="shared" si="107"/>
        <v>0</v>
      </c>
    </row>
    <row r="6844" spans="3:4" ht="15" x14ac:dyDescent="0.25">
      <c r="C6844" s="8" t="e">
        <f>VLOOKUP(A:A,'ITEM LIST'!A:C,3,0)</f>
        <v>#N/A</v>
      </c>
      <c r="D6844" s="6">
        <f t="shared" si="107"/>
        <v>0</v>
      </c>
    </row>
    <row r="6845" spans="3:4" ht="15" x14ac:dyDescent="0.25">
      <c r="C6845" s="8" t="e">
        <f>VLOOKUP(A:A,'ITEM LIST'!A:C,3,0)</f>
        <v>#N/A</v>
      </c>
      <c r="D6845" s="6">
        <f t="shared" si="107"/>
        <v>0</v>
      </c>
    </row>
    <row r="6846" spans="3:4" ht="15" x14ac:dyDescent="0.25">
      <c r="C6846" s="8" t="e">
        <f>VLOOKUP(A:A,'ITEM LIST'!A:C,3,0)</f>
        <v>#N/A</v>
      </c>
      <c r="D6846" s="6">
        <f t="shared" si="107"/>
        <v>0</v>
      </c>
    </row>
    <row r="6847" spans="3:4" ht="15" x14ac:dyDescent="0.25">
      <c r="C6847" s="8" t="e">
        <f>VLOOKUP(A:A,'ITEM LIST'!A:C,3,0)</f>
        <v>#N/A</v>
      </c>
      <c r="D6847" s="6">
        <f t="shared" si="107"/>
        <v>0</v>
      </c>
    </row>
    <row r="6848" spans="3:4" ht="15" x14ac:dyDescent="0.25">
      <c r="C6848" s="8" t="e">
        <f>VLOOKUP(A:A,'ITEM LIST'!A:C,3,0)</f>
        <v>#N/A</v>
      </c>
      <c r="D6848" s="6">
        <f t="shared" si="107"/>
        <v>0</v>
      </c>
    </row>
    <row r="6849" spans="3:4" ht="15" x14ac:dyDescent="0.25">
      <c r="C6849" s="8" t="e">
        <f>VLOOKUP(A:A,'ITEM LIST'!A:C,3,0)</f>
        <v>#N/A</v>
      </c>
      <c r="D6849" s="6">
        <f t="shared" si="107"/>
        <v>0</v>
      </c>
    </row>
    <row r="6850" spans="3:4" ht="15" x14ac:dyDescent="0.25">
      <c r="C6850" s="8" t="e">
        <f>VLOOKUP(A:A,'ITEM LIST'!A:C,3,0)</f>
        <v>#N/A</v>
      </c>
      <c r="D6850" s="6">
        <f t="shared" si="107"/>
        <v>0</v>
      </c>
    </row>
    <row r="6851" spans="3:4" ht="15" x14ac:dyDescent="0.25">
      <c r="C6851" s="8" t="e">
        <f>VLOOKUP(A:A,'ITEM LIST'!A:C,3,0)</f>
        <v>#N/A</v>
      </c>
      <c r="D6851" s="6">
        <f t="shared" si="107"/>
        <v>0</v>
      </c>
    </row>
    <row r="6852" spans="3:4" ht="15" x14ac:dyDescent="0.25">
      <c r="C6852" s="8" t="e">
        <f>VLOOKUP(A:A,'ITEM LIST'!A:C,3,0)</f>
        <v>#N/A</v>
      </c>
      <c r="D6852" s="6">
        <f t="shared" si="107"/>
        <v>0</v>
      </c>
    </row>
    <row r="6853" spans="3:4" ht="15" x14ac:dyDescent="0.25">
      <c r="C6853" s="8" t="e">
        <f>VLOOKUP(A:A,'ITEM LIST'!A:C,3,0)</f>
        <v>#N/A</v>
      </c>
      <c r="D6853" s="6">
        <f t="shared" si="107"/>
        <v>0</v>
      </c>
    </row>
    <row r="6854" spans="3:4" ht="15" x14ac:dyDescent="0.25">
      <c r="C6854" s="8" t="e">
        <f>VLOOKUP(A:A,'ITEM LIST'!A:C,3,0)</f>
        <v>#N/A</v>
      </c>
      <c r="D6854" s="6">
        <f t="shared" ref="D6854:D6917" si="108">B6854</f>
        <v>0</v>
      </c>
    </row>
    <row r="6855" spans="3:4" ht="15" x14ac:dyDescent="0.25">
      <c r="C6855" s="8" t="e">
        <f>VLOOKUP(A:A,'ITEM LIST'!A:C,3,0)</f>
        <v>#N/A</v>
      </c>
      <c r="D6855" s="6">
        <f t="shared" si="108"/>
        <v>0</v>
      </c>
    </row>
    <row r="6856" spans="3:4" ht="15" x14ac:dyDescent="0.25">
      <c r="C6856" s="8" t="e">
        <f>VLOOKUP(A:A,'ITEM LIST'!A:C,3,0)</f>
        <v>#N/A</v>
      </c>
      <c r="D6856" s="6">
        <f t="shared" si="108"/>
        <v>0</v>
      </c>
    </row>
    <row r="6857" spans="3:4" ht="15" x14ac:dyDescent="0.25">
      <c r="C6857" s="8" t="e">
        <f>VLOOKUP(A:A,'ITEM LIST'!A:C,3,0)</f>
        <v>#N/A</v>
      </c>
      <c r="D6857" s="6">
        <f t="shared" si="108"/>
        <v>0</v>
      </c>
    </row>
    <row r="6858" spans="3:4" ht="15" x14ac:dyDescent="0.25">
      <c r="C6858" s="8" t="e">
        <f>VLOOKUP(A:A,'ITEM LIST'!A:C,3,0)</f>
        <v>#N/A</v>
      </c>
      <c r="D6858" s="6">
        <f t="shared" si="108"/>
        <v>0</v>
      </c>
    </row>
    <row r="6859" spans="3:4" ht="15" x14ac:dyDescent="0.25">
      <c r="C6859" s="8" t="e">
        <f>VLOOKUP(A:A,'ITEM LIST'!A:C,3,0)</f>
        <v>#N/A</v>
      </c>
      <c r="D6859" s="6">
        <f t="shared" si="108"/>
        <v>0</v>
      </c>
    </row>
    <row r="6860" spans="3:4" ht="15" x14ac:dyDescent="0.25">
      <c r="C6860" s="8" t="e">
        <f>VLOOKUP(A:A,'ITEM LIST'!A:C,3,0)</f>
        <v>#N/A</v>
      </c>
      <c r="D6860" s="6">
        <f t="shared" si="108"/>
        <v>0</v>
      </c>
    </row>
    <row r="6861" spans="3:4" ht="15" x14ac:dyDescent="0.25">
      <c r="C6861" s="8" t="e">
        <f>VLOOKUP(A:A,'ITEM LIST'!A:C,3,0)</f>
        <v>#N/A</v>
      </c>
      <c r="D6861" s="6">
        <f t="shared" si="108"/>
        <v>0</v>
      </c>
    </row>
    <row r="6862" spans="3:4" ht="15" x14ac:dyDescent="0.25">
      <c r="C6862" s="8" t="e">
        <f>VLOOKUP(A:A,'ITEM LIST'!A:C,3,0)</f>
        <v>#N/A</v>
      </c>
      <c r="D6862" s="6">
        <f t="shared" si="108"/>
        <v>0</v>
      </c>
    </row>
    <row r="6863" spans="3:4" ht="15" x14ac:dyDescent="0.25">
      <c r="C6863" s="8" t="e">
        <f>VLOOKUP(A:A,'ITEM LIST'!A:C,3,0)</f>
        <v>#N/A</v>
      </c>
      <c r="D6863" s="6">
        <f t="shared" si="108"/>
        <v>0</v>
      </c>
    </row>
    <row r="6864" spans="3:4" ht="15" x14ac:dyDescent="0.25">
      <c r="C6864" s="8" t="e">
        <f>VLOOKUP(A:A,'ITEM LIST'!A:C,3,0)</f>
        <v>#N/A</v>
      </c>
      <c r="D6864" s="6">
        <f t="shared" si="108"/>
        <v>0</v>
      </c>
    </row>
    <row r="6865" spans="3:4" ht="15" x14ac:dyDescent="0.25">
      <c r="C6865" s="8" t="e">
        <f>VLOOKUP(A:A,'ITEM LIST'!A:C,3,0)</f>
        <v>#N/A</v>
      </c>
      <c r="D6865" s="6">
        <f t="shared" si="108"/>
        <v>0</v>
      </c>
    </row>
    <row r="6866" spans="3:4" ht="15" x14ac:dyDescent="0.25">
      <c r="C6866" s="8" t="e">
        <f>VLOOKUP(A:A,'ITEM LIST'!A:C,3,0)</f>
        <v>#N/A</v>
      </c>
      <c r="D6866" s="6">
        <f t="shared" si="108"/>
        <v>0</v>
      </c>
    </row>
    <row r="6867" spans="3:4" ht="15" x14ac:dyDescent="0.25">
      <c r="C6867" s="8" t="e">
        <f>VLOOKUP(A:A,'ITEM LIST'!A:C,3,0)</f>
        <v>#N/A</v>
      </c>
      <c r="D6867" s="6">
        <f t="shared" si="108"/>
        <v>0</v>
      </c>
    </row>
    <row r="6868" spans="3:4" ht="15" x14ac:dyDescent="0.25">
      <c r="C6868" s="8" t="e">
        <f>VLOOKUP(A:A,'ITEM LIST'!A:C,3,0)</f>
        <v>#N/A</v>
      </c>
      <c r="D6868" s="6">
        <f t="shared" si="108"/>
        <v>0</v>
      </c>
    </row>
    <row r="6869" spans="3:4" ht="15" x14ac:dyDescent="0.25">
      <c r="C6869" s="8" t="e">
        <f>VLOOKUP(A:A,'ITEM LIST'!A:C,3,0)</f>
        <v>#N/A</v>
      </c>
      <c r="D6869" s="6">
        <f t="shared" si="108"/>
        <v>0</v>
      </c>
    </row>
    <row r="6870" spans="3:4" ht="15" x14ac:dyDescent="0.25">
      <c r="C6870" s="8" t="e">
        <f>VLOOKUP(A:A,'ITEM LIST'!A:C,3,0)</f>
        <v>#N/A</v>
      </c>
      <c r="D6870" s="6">
        <f t="shared" si="108"/>
        <v>0</v>
      </c>
    </row>
    <row r="6871" spans="3:4" ht="15" x14ac:dyDescent="0.25">
      <c r="C6871" s="8" t="e">
        <f>VLOOKUP(A:A,'ITEM LIST'!A:C,3,0)</f>
        <v>#N/A</v>
      </c>
      <c r="D6871" s="6">
        <f t="shared" si="108"/>
        <v>0</v>
      </c>
    </row>
    <row r="6872" spans="3:4" ht="15" x14ac:dyDescent="0.25">
      <c r="C6872" s="8" t="e">
        <f>VLOOKUP(A:A,'ITEM LIST'!A:C,3,0)</f>
        <v>#N/A</v>
      </c>
      <c r="D6872" s="6">
        <f t="shared" si="108"/>
        <v>0</v>
      </c>
    </row>
    <row r="6873" spans="3:4" ht="15" x14ac:dyDescent="0.25">
      <c r="C6873" s="8" t="e">
        <f>VLOOKUP(A:A,'ITEM LIST'!A:C,3,0)</f>
        <v>#N/A</v>
      </c>
      <c r="D6873" s="6">
        <f t="shared" si="108"/>
        <v>0</v>
      </c>
    </row>
    <row r="6874" spans="3:4" ht="15" x14ac:dyDescent="0.25">
      <c r="C6874" s="8" t="e">
        <f>VLOOKUP(A:A,'ITEM LIST'!A:C,3,0)</f>
        <v>#N/A</v>
      </c>
      <c r="D6874" s="6">
        <f t="shared" si="108"/>
        <v>0</v>
      </c>
    </row>
    <row r="6875" spans="3:4" ht="15" x14ac:dyDescent="0.25">
      <c r="C6875" s="8" t="e">
        <f>VLOOKUP(A:A,'ITEM LIST'!A:C,3,0)</f>
        <v>#N/A</v>
      </c>
      <c r="D6875" s="6">
        <f t="shared" si="108"/>
        <v>0</v>
      </c>
    </row>
    <row r="6876" spans="3:4" ht="15" x14ac:dyDescent="0.25">
      <c r="C6876" s="8" t="e">
        <f>VLOOKUP(A:A,'ITEM LIST'!A:C,3,0)</f>
        <v>#N/A</v>
      </c>
      <c r="D6876" s="6">
        <f t="shared" si="108"/>
        <v>0</v>
      </c>
    </row>
    <row r="6877" spans="3:4" ht="15" x14ac:dyDescent="0.25">
      <c r="C6877" s="8" t="e">
        <f>VLOOKUP(A:A,'ITEM LIST'!A:C,3,0)</f>
        <v>#N/A</v>
      </c>
      <c r="D6877" s="6">
        <f t="shared" si="108"/>
        <v>0</v>
      </c>
    </row>
    <row r="6878" spans="3:4" ht="15" x14ac:dyDescent="0.25">
      <c r="C6878" s="8" t="e">
        <f>VLOOKUP(A:A,'ITEM LIST'!A:C,3,0)</f>
        <v>#N/A</v>
      </c>
      <c r="D6878" s="6">
        <f t="shared" si="108"/>
        <v>0</v>
      </c>
    </row>
    <row r="6879" spans="3:4" ht="15" x14ac:dyDescent="0.25">
      <c r="C6879" s="8" t="e">
        <f>VLOOKUP(A:A,'ITEM LIST'!A:C,3,0)</f>
        <v>#N/A</v>
      </c>
      <c r="D6879" s="6">
        <f t="shared" si="108"/>
        <v>0</v>
      </c>
    </row>
    <row r="6880" spans="3:4" ht="15" x14ac:dyDescent="0.25">
      <c r="C6880" s="8" t="e">
        <f>VLOOKUP(A:A,'ITEM LIST'!A:C,3,0)</f>
        <v>#N/A</v>
      </c>
      <c r="D6880" s="6">
        <f t="shared" si="108"/>
        <v>0</v>
      </c>
    </row>
    <row r="6881" spans="3:4" ht="15" x14ac:dyDescent="0.25">
      <c r="C6881" s="8" t="e">
        <f>VLOOKUP(A:A,'ITEM LIST'!A:C,3,0)</f>
        <v>#N/A</v>
      </c>
      <c r="D6881" s="6">
        <f t="shared" si="108"/>
        <v>0</v>
      </c>
    </row>
    <row r="6882" spans="3:4" ht="15" x14ac:dyDescent="0.25">
      <c r="C6882" s="8" t="e">
        <f>VLOOKUP(A:A,'ITEM LIST'!A:C,3,0)</f>
        <v>#N/A</v>
      </c>
      <c r="D6882" s="6">
        <f t="shared" si="108"/>
        <v>0</v>
      </c>
    </row>
    <row r="6883" spans="3:4" ht="15" x14ac:dyDescent="0.25">
      <c r="C6883" s="8" t="e">
        <f>VLOOKUP(A:A,'ITEM LIST'!A:C,3,0)</f>
        <v>#N/A</v>
      </c>
      <c r="D6883" s="6">
        <f t="shared" si="108"/>
        <v>0</v>
      </c>
    </row>
    <row r="6884" spans="3:4" ht="15" x14ac:dyDescent="0.25">
      <c r="C6884" s="8" t="e">
        <f>VLOOKUP(A:A,'ITEM LIST'!A:C,3,0)</f>
        <v>#N/A</v>
      </c>
      <c r="D6884" s="6">
        <f t="shared" si="108"/>
        <v>0</v>
      </c>
    </row>
    <row r="6885" spans="3:4" ht="15" x14ac:dyDescent="0.25">
      <c r="C6885" s="8" t="e">
        <f>VLOOKUP(A:A,'ITEM LIST'!A:C,3,0)</f>
        <v>#N/A</v>
      </c>
      <c r="D6885" s="6">
        <f t="shared" si="108"/>
        <v>0</v>
      </c>
    </row>
    <row r="6886" spans="3:4" ht="15" x14ac:dyDescent="0.25">
      <c r="C6886" s="8" t="e">
        <f>VLOOKUP(A:A,'ITEM LIST'!A:C,3,0)</f>
        <v>#N/A</v>
      </c>
      <c r="D6886" s="6">
        <f t="shared" si="108"/>
        <v>0</v>
      </c>
    </row>
    <row r="6887" spans="3:4" ht="15" x14ac:dyDescent="0.25">
      <c r="C6887" s="8" t="e">
        <f>VLOOKUP(A:A,'ITEM LIST'!A:C,3,0)</f>
        <v>#N/A</v>
      </c>
      <c r="D6887" s="6">
        <f t="shared" si="108"/>
        <v>0</v>
      </c>
    </row>
    <row r="6888" spans="3:4" ht="15" x14ac:dyDescent="0.25">
      <c r="C6888" s="8" t="e">
        <f>VLOOKUP(A:A,'ITEM LIST'!A:C,3,0)</f>
        <v>#N/A</v>
      </c>
      <c r="D6888" s="6">
        <f t="shared" si="108"/>
        <v>0</v>
      </c>
    </row>
    <row r="6889" spans="3:4" ht="15" x14ac:dyDescent="0.25">
      <c r="C6889" s="8" t="e">
        <f>VLOOKUP(A:A,'ITEM LIST'!A:C,3,0)</f>
        <v>#N/A</v>
      </c>
      <c r="D6889" s="6">
        <f t="shared" si="108"/>
        <v>0</v>
      </c>
    </row>
    <row r="6890" spans="3:4" ht="15" x14ac:dyDescent="0.25">
      <c r="C6890" s="8" t="e">
        <f>VLOOKUP(A:A,'ITEM LIST'!A:C,3,0)</f>
        <v>#N/A</v>
      </c>
      <c r="D6890" s="6">
        <f t="shared" si="108"/>
        <v>0</v>
      </c>
    </row>
    <row r="6891" spans="3:4" ht="15" x14ac:dyDescent="0.25">
      <c r="C6891" s="8" t="e">
        <f>VLOOKUP(A:A,'ITEM LIST'!A:C,3,0)</f>
        <v>#N/A</v>
      </c>
      <c r="D6891" s="6">
        <f t="shared" si="108"/>
        <v>0</v>
      </c>
    </row>
    <row r="6892" spans="3:4" ht="15" x14ac:dyDescent="0.25">
      <c r="C6892" s="8" t="e">
        <f>VLOOKUP(A:A,'ITEM LIST'!A:C,3,0)</f>
        <v>#N/A</v>
      </c>
      <c r="D6892" s="6">
        <f t="shared" si="108"/>
        <v>0</v>
      </c>
    </row>
    <row r="6893" spans="3:4" ht="15" x14ac:dyDescent="0.25">
      <c r="C6893" s="8" t="e">
        <f>VLOOKUP(A:A,'ITEM LIST'!A:C,3,0)</f>
        <v>#N/A</v>
      </c>
      <c r="D6893" s="6">
        <f t="shared" si="108"/>
        <v>0</v>
      </c>
    </row>
    <row r="6894" spans="3:4" ht="15" x14ac:dyDescent="0.25">
      <c r="C6894" s="8" t="e">
        <f>VLOOKUP(A:A,'ITEM LIST'!A:C,3,0)</f>
        <v>#N/A</v>
      </c>
      <c r="D6894" s="6">
        <f t="shared" si="108"/>
        <v>0</v>
      </c>
    </row>
    <row r="6895" spans="3:4" ht="15" x14ac:dyDescent="0.25">
      <c r="C6895" s="8" t="e">
        <f>VLOOKUP(A:A,'ITEM LIST'!A:C,3,0)</f>
        <v>#N/A</v>
      </c>
      <c r="D6895" s="6">
        <f t="shared" si="108"/>
        <v>0</v>
      </c>
    </row>
    <row r="6896" spans="3:4" ht="15" x14ac:dyDescent="0.25">
      <c r="C6896" s="8" t="e">
        <f>VLOOKUP(A:A,'ITEM LIST'!A:C,3,0)</f>
        <v>#N/A</v>
      </c>
      <c r="D6896" s="6">
        <f t="shared" si="108"/>
        <v>0</v>
      </c>
    </row>
    <row r="6897" spans="3:4" ht="15" x14ac:dyDescent="0.25">
      <c r="C6897" s="8" t="e">
        <f>VLOOKUP(A:A,'ITEM LIST'!A:C,3,0)</f>
        <v>#N/A</v>
      </c>
      <c r="D6897" s="6">
        <f t="shared" si="108"/>
        <v>0</v>
      </c>
    </row>
    <row r="6898" spans="3:4" ht="15" x14ac:dyDescent="0.25">
      <c r="C6898" s="8" t="e">
        <f>VLOOKUP(A:A,'ITEM LIST'!A:C,3,0)</f>
        <v>#N/A</v>
      </c>
      <c r="D6898" s="6">
        <f t="shared" si="108"/>
        <v>0</v>
      </c>
    </row>
    <row r="6899" spans="3:4" ht="15" x14ac:dyDescent="0.25">
      <c r="C6899" s="8" t="e">
        <f>VLOOKUP(A:A,'ITEM LIST'!A:C,3,0)</f>
        <v>#N/A</v>
      </c>
      <c r="D6899" s="6">
        <f t="shared" si="108"/>
        <v>0</v>
      </c>
    </row>
    <row r="6900" spans="3:4" ht="15" x14ac:dyDescent="0.25">
      <c r="C6900" s="8" t="e">
        <f>VLOOKUP(A:A,'ITEM LIST'!A:C,3,0)</f>
        <v>#N/A</v>
      </c>
      <c r="D6900" s="6">
        <f t="shared" si="108"/>
        <v>0</v>
      </c>
    </row>
    <row r="6901" spans="3:4" ht="15" x14ac:dyDescent="0.25">
      <c r="C6901" s="8" t="e">
        <f>VLOOKUP(A:A,'ITEM LIST'!A:C,3,0)</f>
        <v>#N/A</v>
      </c>
      <c r="D6901" s="6">
        <f t="shared" si="108"/>
        <v>0</v>
      </c>
    </row>
    <row r="6902" spans="3:4" ht="15" x14ac:dyDescent="0.25">
      <c r="C6902" s="8" t="e">
        <f>VLOOKUP(A:A,'ITEM LIST'!A:C,3,0)</f>
        <v>#N/A</v>
      </c>
      <c r="D6902" s="6">
        <f t="shared" si="108"/>
        <v>0</v>
      </c>
    </row>
    <row r="6903" spans="3:4" ht="15" x14ac:dyDescent="0.25">
      <c r="C6903" s="8" t="e">
        <f>VLOOKUP(A:A,'ITEM LIST'!A:C,3,0)</f>
        <v>#N/A</v>
      </c>
      <c r="D6903" s="6">
        <f t="shared" si="108"/>
        <v>0</v>
      </c>
    </row>
    <row r="6904" spans="3:4" ht="15" x14ac:dyDescent="0.25">
      <c r="C6904" s="8" t="e">
        <f>VLOOKUP(A:A,'ITEM LIST'!A:C,3,0)</f>
        <v>#N/A</v>
      </c>
      <c r="D6904" s="6">
        <f t="shared" si="108"/>
        <v>0</v>
      </c>
    </row>
    <row r="6905" spans="3:4" ht="15" x14ac:dyDescent="0.25">
      <c r="C6905" s="8" t="e">
        <f>VLOOKUP(A:A,'ITEM LIST'!A:C,3,0)</f>
        <v>#N/A</v>
      </c>
      <c r="D6905" s="6">
        <f t="shared" si="108"/>
        <v>0</v>
      </c>
    </row>
    <row r="6906" spans="3:4" ht="15" x14ac:dyDescent="0.25">
      <c r="C6906" s="8" t="e">
        <f>VLOOKUP(A:A,'ITEM LIST'!A:C,3,0)</f>
        <v>#N/A</v>
      </c>
      <c r="D6906" s="6">
        <f t="shared" si="108"/>
        <v>0</v>
      </c>
    </row>
    <row r="6907" spans="3:4" ht="15" x14ac:dyDescent="0.25">
      <c r="C6907" s="8" t="e">
        <f>VLOOKUP(A:A,'ITEM LIST'!A:C,3,0)</f>
        <v>#N/A</v>
      </c>
      <c r="D6907" s="6">
        <f t="shared" si="108"/>
        <v>0</v>
      </c>
    </row>
    <row r="6908" spans="3:4" ht="15" x14ac:dyDescent="0.25">
      <c r="C6908" s="8" t="e">
        <f>VLOOKUP(A:A,'ITEM LIST'!A:C,3,0)</f>
        <v>#N/A</v>
      </c>
      <c r="D6908" s="6">
        <f t="shared" si="108"/>
        <v>0</v>
      </c>
    </row>
    <row r="6909" spans="3:4" ht="15" x14ac:dyDescent="0.25">
      <c r="C6909" s="8" t="e">
        <f>VLOOKUP(A:A,'ITEM LIST'!A:C,3,0)</f>
        <v>#N/A</v>
      </c>
      <c r="D6909" s="6">
        <f t="shared" si="108"/>
        <v>0</v>
      </c>
    </row>
    <row r="6910" spans="3:4" ht="15" x14ac:dyDescent="0.25">
      <c r="C6910" s="8" t="e">
        <f>VLOOKUP(A:A,'ITEM LIST'!A:C,3,0)</f>
        <v>#N/A</v>
      </c>
      <c r="D6910" s="6">
        <f t="shared" si="108"/>
        <v>0</v>
      </c>
    </row>
    <row r="6911" spans="3:4" ht="15" x14ac:dyDescent="0.25">
      <c r="C6911" s="8" t="e">
        <f>VLOOKUP(A:A,'ITEM LIST'!A:C,3,0)</f>
        <v>#N/A</v>
      </c>
      <c r="D6911" s="6">
        <f t="shared" si="108"/>
        <v>0</v>
      </c>
    </row>
    <row r="6912" spans="3:4" ht="15" x14ac:dyDescent="0.25">
      <c r="C6912" s="8" t="e">
        <f>VLOOKUP(A:A,'ITEM LIST'!A:C,3,0)</f>
        <v>#N/A</v>
      </c>
      <c r="D6912" s="6">
        <f t="shared" si="108"/>
        <v>0</v>
      </c>
    </row>
    <row r="6913" spans="3:4" ht="15" x14ac:dyDescent="0.25">
      <c r="C6913" s="8" t="e">
        <f>VLOOKUP(A:A,'ITEM LIST'!A:C,3,0)</f>
        <v>#N/A</v>
      </c>
      <c r="D6913" s="6">
        <f t="shared" si="108"/>
        <v>0</v>
      </c>
    </row>
    <row r="6914" spans="3:4" ht="15" x14ac:dyDescent="0.25">
      <c r="C6914" s="8" t="e">
        <f>VLOOKUP(A:A,'ITEM LIST'!A:C,3,0)</f>
        <v>#N/A</v>
      </c>
      <c r="D6914" s="6">
        <f t="shared" si="108"/>
        <v>0</v>
      </c>
    </row>
    <row r="6915" spans="3:4" ht="15" x14ac:dyDescent="0.25">
      <c r="C6915" s="8" t="e">
        <f>VLOOKUP(A:A,'ITEM LIST'!A:C,3,0)</f>
        <v>#N/A</v>
      </c>
      <c r="D6915" s="6">
        <f t="shared" si="108"/>
        <v>0</v>
      </c>
    </row>
    <row r="6916" spans="3:4" ht="15" x14ac:dyDescent="0.25">
      <c r="C6916" s="8" t="e">
        <f>VLOOKUP(A:A,'ITEM LIST'!A:C,3,0)</f>
        <v>#N/A</v>
      </c>
      <c r="D6916" s="6">
        <f t="shared" si="108"/>
        <v>0</v>
      </c>
    </row>
    <row r="6917" spans="3:4" ht="15" x14ac:dyDescent="0.25">
      <c r="C6917" s="8" t="e">
        <f>VLOOKUP(A:A,'ITEM LIST'!A:C,3,0)</f>
        <v>#N/A</v>
      </c>
      <c r="D6917" s="6">
        <f t="shared" si="108"/>
        <v>0</v>
      </c>
    </row>
    <row r="6918" spans="3:4" ht="15" x14ac:dyDescent="0.25">
      <c r="C6918" s="8" t="e">
        <f>VLOOKUP(A:A,'ITEM LIST'!A:C,3,0)</f>
        <v>#N/A</v>
      </c>
      <c r="D6918" s="6">
        <f t="shared" ref="D6918:D6981" si="109">B6918</f>
        <v>0</v>
      </c>
    </row>
    <row r="6919" spans="3:4" ht="15" x14ac:dyDescent="0.25">
      <c r="C6919" s="8" t="e">
        <f>VLOOKUP(A:A,'ITEM LIST'!A:C,3,0)</f>
        <v>#N/A</v>
      </c>
      <c r="D6919" s="6">
        <f t="shared" si="109"/>
        <v>0</v>
      </c>
    </row>
    <row r="6920" spans="3:4" ht="15" x14ac:dyDescent="0.25">
      <c r="C6920" s="8" t="e">
        <f>VLOOKUP(A:A,'ITEM LIST'!A:C,3,0)</f>
        <v>#N/A</v>
      </c>
      <c r="D6920" s="6">
        <f t="shared" si="109"/>
        <v>0</v>
      </c>
    </row>
    <row r="6921" spans="3:4" ht="15" x14ac:dyDescent="0.25">
      <c r="C6921" s="8" t="e">
        <f>VLOOKUP(A:A,'ITEM LIST'!A:C,3,0)</f>
        <v>#N/A</v>
      </c>
      <c r="D6921" s="6">
        <f t="shared" si="109"/>
        <v>0</v>
      </c>
    </row>
    <row r="6922" spans="3:4" ht="15" x14ac:dyDescent="0.25">
      <c r="C6922" s="8" t="e">
        <f>VLOOKUP(A:A,'ITEM LIST'!A:C,3,0)</f>
        <v>#N/A</v>
      </c>
      <c r="D6922" s="6">
        <f t="shared" si="109"/>
        <v>0</v>
      </c>
    </row>
    <row r="6923" spans="3:4" ht="15" x14ac:dyDescent="0.25">
      <c r="C6923" s="8" t="e">
        <f>VLOOKUP(A:A,'ITEM LIST'!A:C,3,0)</f>
        <v>#N/A</v>
      </c>
      <c r="D6923" s="6">
        <f t="shared" si="109"/>
        <v>0</v>
      </c>
    </row>
    <row r="6924" spans="3:4" ht="15" x14ac:dyDescent="0.25">
      <c r="C6924" s="8" t="e">
        <f>VLOOKUP(A:A,'ITEM LIST'!A:C,3,0)</f>
        <v>#N/A</v>
      </c>
      <c r="D6924" s="6">
        <f t="shared" si="109"/>
        <v>0</v>
      </c>
    </row>
    <row r="6925" spans="3:4" ht="15" x14ac:dyDescent="0.25">
      <c r="C6925" s="8" t="e">
        <f>VLOOKUP(A:A,'ITEM LIST'!A:C,3,0)</f>
        <v>#N/A</v>
      </c>
      <c r="D6925" s="6">
        <f t="shared" si="109"/>
        <v>0</v>
      </c>
    </row>
    <row r="6926" spans="3:4" ht="15" x14ac:dyDescent="0.25">
      <c r="C6926" s="8" t="e">
        <f>VLOOKUP(A:A,'ITEM LIST'!A:C,3,0)</f>
        <v>#N/A</v>
      </c>
      <c r="D6926" s="6">
        <f t="shared" si="109"/>
        <v>0</v>
      </c>
    </row>
    <row r="6927" spans="3:4" ht="15" x14ac:dyDescent="0.25">
      <c r="C6927" s="8" t="e">
        <f>VLOOKUP(A:A,'ITEM LIST'!A:C,3,0)</f>
        <v>#N/A</v>
      </c>
      <c r="D6927" s="6">
        <f t="shared" si="109"/>
        <v>0</v>
      </c>
    </row>
    <row r="6928" spans="3:4" ht="15" x14ac:dyDescent="0.25">
      <c r="C6928" s="8" t="e">
        <f>VLOOKUP(A:A,'ITEM LIST'!A:C,3,0)</f>
        <v>#N/A</v>
      </c>
      <c r="D6928" s="6">
        <f t="shared" si="109"/>
        <v>0</v>
      </c>
    </row>
    <row r="6929" spans="3:4" ht="15" x14ac:dyDescent="0.25">
      <c r="C6929" s="8" t="e">
        <f>VLOOKUP(A:A,'ITEM LIST'!A:C,3,0)</f>
        <v>#N/A</v>
      </c>
      <c r="D6929" s="6">
        <f t="shared" si="109"/>
        <v>0</v>
      </c>
    </row>
    <row r="6930" spans="3:4" ht="15" x14ac:dyDescent="0.25">
      <c r="C6930" s="8" t="e">
        <f>VLOOKUP(A:A,'ITEM LIST'!A:C,3,0)</f>
        <v>#N/A</v>
      </c>
      <c r="D6930" s="6">
        <f t="shared" si="109"/>
        <v>0</v>
      </c>
    </row>
    <row r="6931" spans="3:4" ht="15" x14ac:dyDescent="0.25">
      <c r="C6931" s="8" t="e">
        <f>VLOOKUP(A:A,'ITEM LIST'!A:C,3,0)</f>
        <v>#N/A</v>
      </c>
      <c r="D6931" s="6">
        <f t="shared" si="109"/>
        <v>0</v>
      </c>
    </row>
    <row r="6932" spans="3:4" ht="15" x14ac:dyDescent="0.25">
      <c r="C6932" s="8" t="e">
        <f>VLOOKUP(A:A,'ITEM LIST'!A:C,3,0)</f>
        <v>#N/A</v>
      </c>
      <c r="D6932" s="6">
        <f t="shared" si="109"/>
        <v>0</v>
      </c>
    </row>
    <row r="6933" spans="3:4" ht="15" x14ac:dyDescent="0.25">
      <c r="C6933" s="8" t="e">
        <f>VLOOKUP(A:A,'ITEM LIST'!A:C,3,0)</f>
        <v>#N/A</v>
      </c>
      <c r="D6933" s="6">
        <f t="shared" si="109"/>
        <v>0</v>
      </c>
    </row>
    <row r="6934" spans="3:4" ht="15" x14ac:dyDescent="0.25">
      <c r="C6934" s="8" t="e">
        <f>VLOOKUP(A:A,'ITEM LIST'!A:C,3,0)</f>
        <v>#N/A</v>
      </c>
      <c r="D6934" s="6">
        <f t="shared" si="109"/>
        <v>0</v>
      </c>
    </row>
    <row r="6935" spans="3:4" ht="15" x14ac:dyDescent="0.25">
      <c r="C6935" s="8" t="e">
        <f>VLOOKUP(A:A,'ITEM LIST'!A:C,3,0)</f>
        <v>#N/A</v>
      </c>
      <c r="D6935" s="6">
        <f t="shared" si="109"/>
        <v>0</v>
      </c>
    </row>
    <row r="6936" spans="3:4" ht="15" x14ac:dyDescent="0.25">
      <c r="C6936" s="8" t="e">
        <f>VLOOKUP(A:A,'ITEM LIST'!A:C,3,0)</f>
        <v>#N/A</v>
      </c>
      <c r="D6936" s="6">
        <f t="shared" si="109"/>
        <v>0</v>
      </c>
    </row>
    <row r="6937" spans="3:4" ht="15" x14ac:dyDescent="0.25">
      <c r="C6937" s="8" t="e">
        <f>VLOOKUP(A:A,'ITEM LIST'!A:C,3,0)</f>
        <v>#N/A</v>
      </c>
      <c r="D6937" s="6">
        <f t="shared" si="109"/>
        <v>0</v>
      </c>
    </row>
    <row r="6938" spans="3:4" ht="15" x14ac:dyDescent="0.25">
      <c r="C6938" s="8" t="e">
        <f>VLOOKUP(A:A,'ITEM LIST'!A:C,3,0)</f>
        <v>#N/A</v>
      </c>
      <c r="D6938" s="6">
        <f t="shared" si="109"/>
        <v>0</v>
      </c>
    </row>
    <row r="6939" spans="3:4" ht="15" x14ac:dyDescent="0.25">
      <c r="C6939" s="8" t="e">
        <f>VLOOKUP(A:A,'ITEM LIST'!A:C,3,0)</f>
        <v>#N/A</v>
      </c>
      <c r="D6939" s="6">
        <f t="shared" si="109"/>
        <v>0</v>
      </c>
    </row>
    <row r="6940" spans="3:4" ht="15" x14ac:dyDescent="0.25">
      <c r="C6940" s="8" t="e">
        <f>VLOOKUP(A:A,'ITEM LIST'!A:C,3,0)</f>
        <v>#N/A</v>
      </c>
      <c r="D6940" s="6">
        <f t="shared" si="109"/>
        <v>0</v>
      </c>
    </row>
    <row r="6941" spans="3:4" ht="15" x14ac:dyDescent="0.25">
      <c r="C6941" s="8" t="e">
        <f>VLOOKUP(A:A,'ITEM LIST'!A:C,3,0)</f>
        <v>#N/A</v>
      </c>
      <c r="D6941" s="6">
        <f t="shared" si="109"/>
        <v>0</v>
      </c>
    </row>
    <row r="6942" spans="3:4" ht="15" x14ac:dyDescent="0.25">
      <c r="C6942" s="8" t="e">
        <f>VLOOKUP(A:A,'ITEM LIST'!A:C,3,0)</f>
        <v>#N/A</v>
      </c>
      <c r="D6942" s="6">
        <f t="shared" si="109"/>
        <v>0</v>
      </c>
    </row>
    <row r="6943" spans="3:4" ht="15" x14ac:dyDescent="0.25">
      <c r="C6943" s="8" t="e">
        <f>VLOOKUP(A:A,'ITEM LIST'!A:C,3,0)</f>
        <v>#N/A</v>
      </c>
      <c r="D6943" s="6">
        <f t="shared" si="109"/>
        <v>0</v>
      </c>
    </row>
    <row r="6944" spans="3:4" ht="15" x14ac:dyDescent="0.25">
      <c r="C6944" s="8" t="e">
        <f>VLOOKUP(A:A,'ITEM LIST'!A:C,3,0)</f>
        <v>#N/A</v>
      </c>
      <c r="D6944" s="6">
        <f t="shared" si="109"/>
        <v>0</v>
      </c>
    </row>
    <row r="6945" spans="3:4" ht="15" x14ac:dyDescent="0.25">
      <c r="C6945" s="8" t="e">
        <f>VLOOKUP(A:A,'ITEM LIST'!A:C,3,0)</f>
        <v>#N/A</v>
      </c>
      <c r="D6945" s="6">
        <f t="shared" si="109"/>
        <v>0</v>
      </c>
    </row>
    <row r="6946" spans="3:4" ht="15" x14ac:dyDescent="0.25">
      <c r="C6946" s="8" t="e">
        <f>VLOOKUP(A:A,'ITEM LIST'!A:C,3,0)</f>
        <v>#N/A</v>
      </c>
      <c r="D6946" s="6">
        <f t="shared" si="109"/>
        <v>0</v>
      </c>
    </row>
    <row r="6947" spans="3:4" ht="15" x14ac:dyDescent="0.25">
      <c r="C6947" s="8" t="e">
        <f>VLOOKUP(A:A,'ITEM LIST'!A:C,3,0)</f>
        <v>#N/A</v>
      </c>
      <c r="D6947" s="6">
        <f t="shared" si="109"/>
        <v>0</v>
      </c>
    </row>
    <row r="6948" spans="3:4" ht="15" x14ac:dyDescent="0.25">
      <c r="C6948" s="8" t="e">
        <f>VLOOKUP(A:A,'ITEM LIST'!A:C,3,0)</f>
        <v>#N/A</v>
      </c>
      <c r="D6948" s="6">
        <f t="shared" si="109"/>
        <v>0</v>
      </c>
    </row>
    <row r="6949" spans="3:4" ht="15" x14ac:dyDescent="0.25">
      <c r="C6949" s="8" t="e">
        <f>VLOOKUP(A:A,'ITEM LIST'!A:C,3,0)</f>
        <v>#N/A</v>
      </c>
      <c r="D6949" s="6">
        <f t="shared" si="109"/>
        <v>0</v>
      </c>
    </row>
    <row r="6950" spans="3:4" ht="15" x14ac:dyDescent="0.25">
      <c r="C6950" s="8" t="e">
        <f>VLOOKUP(A:A,'ITEM LIST'!A:C,3,0)</f>
        <v>#N/A</v>
      </c>
      <c r="D6950" s="6">
        <f t="shared" si="109"/>
        <v>0</v>
      </c>
    </row>
    <row r="6951" spans="3:4" ht="15" x14ac:dyDescent="0.25">
      <c r="C6951" s="8" t="e">
        <f>VLOOKUP(A:A,'ITEM LIST'!A:C,3,0)</f>
        <v>#N/A</v>
      </c>
      <c r="D6951" s="6">
        <f t="shared" si="109"/>
        <v>0</v>
      </c>
    </row>
    <row r="6952" spans="3:4" ht="15" x14ac:dyDescent="0.25">
      <c r="C6952" s="8" t="e">
        <f>VLOOKUP(A:A,'ITEM LIST'!A:C,3,0)</f>
        <v>#N/A</v>
      </c>
      <c r="D6952" s="6">
        <f t="shared" si="109"/>
        <v>0</v>
      </c>
    </row>
    <row r="6953" spans="3:4" ht="15" x14ac:dyDescent="0.25">
      <c r="C6953" s="8" t="e">
        <f>VLOOKUP(A:A,'ITEM LIST'!A:C,3,0)</f>
        <v>#N/A</v>
      </c>
      <c r="D6953" s="6">
        <f t="shared" si="109"/>
        <v>0</v>
      </c>
    </row>
    <row r="6954" spans="3:4" ht="15" x14ac:dyDescent="0.25">
      <c r="C6954" s="8" t="e">
        <f>VLOOKUP(A:A,'ITEM LIST'!A:C,3,0)</f>
        <v>#N/A</v>
      </c>
      <c r="D6954" s="6">
        <f t="shared" si="109"/>
        <v>0</v>
      </c>
    </row>
    <row r="6955" spans="3:4" ht="15" x14ac:dyDescent="0.25">
      <c r="C6955" s="8" t="e">
        <f>VLOOKUP(A:A,'ITEM LIST'!A:C,3,0)</f>
        <v>#N/A</v>
      </c>
      <c r="D6955" s="6">
        <f t="shared" si="109"/>
        <v>0</v>
      </c>
    </row>
    <row r="6956" spans="3:4" ht="15" x14ac:dyDescent="0.25">
      <c r="C6956" s="8" t="e">
        <f>VLOOKUP(A:A,'ITEM LIST'!A:C,3,0)</f>
        <v>#N/A</v>
      </c>
      <c r="D6956" s="6">
        <f t="shared" si="109"/>
        <v>0</v>
      </c>
    </row>
    <row r="6957" spans="3:4" ht="15" x14ac:dyDescent="0.25">
      <c r="C6957" s="8" t="e">
        <f>VLOOKUP(A:A,'ITEM LIST'!A:C,3,0)</f>
        <v>#N/A</v>
      </c>
      <c r="D6957" s="6">
        <f t="shared" si="109"/>
        <v>0</v>
      </c>
    </row>
    <row r="6958" spans="3:4" ht="15" x14ac:dyDescent="0.25">
      <c r="C6958" s="8" t="e">
        <f>VLOOKUP(A:A,'ITEM LIST'!A:C,3,0)</f>
        <v>#N/A</v>
      </c>
      <c r="D6958" s="6">
        <f t="shared" si="109"/>
        <v>0</v>
      </c>
    </row>
    <row r="6959" spans="3:4" ht="15" x14ac:dyDescent="0.25">
      <c r="C6959" s="8" t="e">
        <f>VLOOKUP(A:A,'ITEM LIST'!A:C,3,0)</f>
        <v>#N/A</v>
      </c>
      <c r="D6959" s="6">
        <f t="shared" si="109"/>
        <v>0</v>
      </c>
    </row>
    <row r="6960" spans="3:4" ht="15" x14ac:dyDescent="0.25">
      <c r="C6960" s="8" t="e">
        <f>VLOOKUP(A:A,'ITEM LIST'!A:C,3,0)</f>
        <v>#N/A</v>
      </c>
      <c r="D6960" s="6">
        <f t="shared" si="109"/>
        <v>0</v>
      </c>
    </row>
    <row r="6961" spans="3:4" ht="15" x14ac:dyDescent="0.25">
      <c r="C6961" s="8" t="e">
        <f>VLOOKUP(A:A,'ITEM LIST'!A:C,3,0)</f>
        <v>#N/A</v>
      </c>
      <c r="D6961" s="6">
        <f t="shared" si="109"/>
        <v>0</v>
      </c>
    </row>
    <row r="6962" spans="3:4" ht="15" x14ac:dyDescent="0.25">
      <c r="C6962" s="8" t="e">
        <f>VLOOKUP(A:A,'ITEM LIST'!A:C,3,0)</f>
        <v>#N/A</v>
      </c>
      <c r="D6962" s="6">
        <f t="shared" si="109"/>
        <v>0</v>
      </c>
    </row>
    <row r="6963" spans="3:4" ht="15" x14ac:dyDescent="0.25">
      <c r="C6963" s="8" t="e">
        <f>VLOOKUP(A:A,'ITEM LIST'!A:C,3,0)</f>
        <v>#N/A</v>
      </c>
      <c r="D6963" s="6">
        <f t="shared" si="109"/>
        <v>0</v>
      </c>
    </row>
    <row r="6964" spans="3:4" ht="15" x14ac:dyDescent="0.25">
      <c r="C6964" s="8" t="e">
        <f>VLOOKUP(A:A,'ITEM LIST'!A:C,3,0)</f>
        <v>#N/A</v>
      </c>
      <c r="D6964" s="6">
        <f t="shared" si="109"/>
        <v>0</v>
      </c>
    </row>
    <row r="6965" spans="3:4" ht="15" x14ac:dyDescent="0.25">
      <c r="C6965" s="8" t="e">
        <f>VLOOKUP(A:A,'ITEM LIST'!A:C,3,0)</f>
        <v>#N/A</v>
      </c>
      <c r="D6965" s="6">
        <f t="shared" si="109"/>
        <v>0</v>
      </c>
    </row>
    <row r="6966" spans="3:4" ht="15" x14ac:dyDescent="0.25">
      <c r="C6966" s="8" t="e">
        <f>VLOOKUP(A:A,'ITEM LIST'!A:C,3,0)</f>
        <v>#N/A</v>
      </c>
      <c r="D6966" s="6">
        <f t="shared" si="109"/>
        <v>0</v>
      </c>
    </row>
    <row r="6967" spans="3:4" ht="15" x14ac:dyDescent="0.25">
      <c r="C6967" s="8" t="e">
        <f>VLOOKUP(A:A,'ITEM LIST'!A:C,3,0)</f>
        <v>#N/A</v>
      </c>
      <c r="D6967" s="6">
        <f t="shared" si="109"/>
        <v>0</v>
      </c>
    </row>
    <row r="6968" spans="3:4" ht="15" x14ac:dyDescent="0.25">
      <c r="C6968" s="8" t="e">
        <f>VLOOKUP(A:A,'ITEM LIST'!A:C,3,0)</f>
        <v>#N/A</v>
      </c>
      <c r="D6968" s="6">
        <f t="shared" si="109"/>
        <v>0</v>
      </c>
    </row>
    <row r="6969" spans="3:4" ht="15" x14ac:dyDescent="0.25">
      <c r="C6969" s="8" t="e">
        <f>VLOOKUP(A:A,'ITEM LIST'!A:C,3,0)</f>
        <v>#N/A</v>
      </c>
      <c r="D6969" s="6">
        <f t="shared" si="109"/>
        <v>0</v>
      </c>
    </row>
    <row r="6970" spans="3:4" ht="15" x14ac:dyDescent="0.25">
      <c r="C6970" s="8" t="e">
        <f>VLOOKUP(A:A,'ITEM LIST'!A:C,3,0)</f>
        <v>#N/A</v>
      </c>
      <c r="D6970" s="6">
        <f t="shared" si="109"/>
        <v>0</v>
      </c>
    </row>
    <row r="6971" spans="3:4" ht="15" x14ac:dyDescent="0.25">
      <c r="C6971" s="8" t="e">
        <f>VLOOKUP(A:A,'ITEM LIST'!A:C,3,0)</f>
        <v>#N/A</v>
      </c>
      <c r="D6971" s="6">
        <f t="shared" si="109"/>
        <v>0</v>
      </c>
    </row>
    <row r="6972" spans="3:4" ht="15" x14ac:dyDescent="0.25">
      <c r="C6972" s="8" t="e">
        <f>VLOOKUP(A:A,'ITEM LIST'!A:C,3,0)</f>
        <v>#N/A</v>
      </c>
      <c r="D6972" s="6">
        <f t="shared" si="109"/>
        <v>0</v>
      </c>
    </row>
    <row r="6973" spans="3:4" ht="15" x14ac:dyDescent="0.25">
      <c r="C6973" s="8" t="e">
        <f>VLOOKUP(A:A,'ITEM LIST'!A:C,3,0)</f>
        <v>#N/A</v>
      </c>
      <c r="D6973" s="6">
        <f t="shared" si="109"/>
        <v>0</v>
      </c>
    </row>
    <row r="6974" spans="3:4" ht="15" x14ac:dyDescent="0.25">
      <c r="C6974" s="8" t="e">
        <f>VLOOKUP(A:A,'ITEM LIST'!A:C,3,0)</f>
        <v>#N/A</v>
      </c>
      <c r="D6974" s="6">
        <f t="shared" si="109"/>
        <v>0</v>
      </c>
    </row>
    <row r="6975" spans="3:4" ht="15" x14ac:dyDescent="0.25">
      <c r="C6975" s="8" t="e">
        <f>VLOOKUP(A:A,'ITEM LIST'!A:C,3,0)</f>
        <v>#N/A</v>
      </c>
      <c r="D6975" s="6">
        <f t="shared" si="109"/>
        <v>0</v>
      </c>
    </row>
    <row r="6976" spans="3:4" ht="15" x14ac:dyDescent="0.25">
      <c r="C6976" s="8" t="e">
        <f>VLOOKUP(A:A,'ITEM LIST'!A:C,3,0)</f>
        <v>#N/A</v>
      </c>
      <c r="D6976" s="6">
        <f t="shared" si="109"/>
        <v>0</v>
      </c>
    </row>
    <row r="6977" spans="3:4" ht="15" x14ac:dyDescent="0.25">
      <c r="C6977" s="8" t="e">
        <f>VLOOKUP(A:A,'ITEM LIST'!A:C,3,0)</f>
        <v>#N/A</v>
      </c>
      <c r="D6977" s="6">
        <f t="shared" si="109"/>
        <v>0</v>
      </c>
    </row>
    <row r="6978" spans="3:4" ht="15" x14ac:dyDescent="0.25">
      <c r="C6978" s="8" t="e">
        <f>VLOOKUP(A:A,'ITEM LIST'!A:C,3,0)</f>
        <v>#N/A</v>
      </c>
      <c r="D6978" s="6">
        <f t="shared" si="109"/>
        <v>0</v>
      </c>
    </row>
    <row r="6979" spans="3:4" ht="15" x14ac:dyDescent="0.25">
      <c r="C6979" s="8" t="e">
        <f>VLOOKUP(A:A,'ITEM LIST'!A:C,3,0)</f>
        <v>#N/A</v>
      </c>
      <c r="D6979" s="6">
        <f t="shared" si="109"/>
        <v>0</v>
      </c>
    </row>
    <row r="6980" spans="3:4" ht="15" x14ac:dyDescent="0.25">
      <c r="C6980" s="8" t="e">
        <f>VLOOKUP(A:A,'ITEM LIST'!A:C,3,0)</f>
        <v>#N/A</v>
      </c>
      <c r="D6980" s="6">
        <f t="shared" si="109"/>
        <v>0</v>
      </c>
    </row>
    <row r="6981" spans="3:4" ht="15" x14ac:dyDescent="0.25">
      <c r="C6981" s="8" t="e">
        <f>VLOOKUP(A:A,'ITEM LIST'!A:C,3,0)</f>
        <v>#N/A</v>
      </c>
      <c r="D6981" s="6">
        <f t="shared" si="109"/>
        <v>0</v>
      </c>
    </row>
    <row r="6982" spans="3:4" ht="15" x14ac:dyDescent="0.25">
      <c r="C6982" s="8" t="e">
        <f>VLOOKUP(A:A,'ITEM LIST'!A:C,3,0)</f>
        <v>#N/A</v>
      </c>
      <c r="D6982" s="6">
        <f t="shared" ref="D6982:D7045" si="110">B6982</f>
        <v>0</v>
      </c>
    </row>
    <row r="6983" spans="3:4" ht="15" x14ac:dyDescent="0.25">
      <c r="C6983" s="8" t="e">
        <f>VLOOKUP(A:A,'ITEM LIST'!A:C,3,0)</f>
        <v>#N/A</v>
      </c>
      <c r="D6983" s="6">
        <f t="shared" si="110"/>
        <v>0</v>
      </c>
    </row>
    <row r="6984" spans="3:4" ht="15" x14ac:dyDescent="0.25">
      <c r="C6984" s="8" t="e">
        <f>VLOOKUP(A:A,'ITEM LIST'!A:C,3,0)</f>
        <v>#N/A</v>
      </c>
      <c r="D6984" s="6">
        <f t="shared" si="110"/>
        <v>0</v>
      </c>
    </row>
    <row r="6985" spans="3:4" ht="15" x14ac:dyDescent="0.25">
      <c r="C6985" s="8" t="e">
        <f>VLOOKUP(A:A,'ITEM LIST'!A:C,3,0)</f>
        <v>#N/A</v>
      </c>
      <c r="D6985" s="6">
        <f t="shared" si="110"/>
        <v>0</v>
      </c>
    </row>
    <row r="6986" spans="3:4" ht="15" x14ac:dyDescent="0.25">
      <c r="C6986" s="8" t="e">
        <f>VLOOKUP(A:A,'ITEM LIST'!A:C,3,0)</f>
        <v>#N/A</v>
      </c>
      <c r="D6986" s="6">
        <f t="shared" si="110"/>
        <v>0</v>
      </c>
    </row>
    <row r="6987" spans="3:4" ht="15" x14ac:dyDescent="0.25">
      <c r="C6987" s="8" t="e">
        <f>VLOOKUP(A:A,'ITEM LIST'!A:C,3,0)</f>
        <v>#N/A</v>
      </c>
      <c r="D6987" s="6">
        <f t="shared" si="110"/>
        <v>0</v>
      </c>
    </row>
    <row r="6988" spans="3:4" ht="15" x14ac:dyDescent="0.25">
      <c r="C6988" s="8" t="e">
        <f>VLOOKUP(A:A,'ITEM LIST'!A:C,3,0)</f>
        <v>#N/A</v>
      </c>
      <c r="D6988" s="6">
        <f t="shared" si="110"/>
        <v>0</v>
      </c>
    </row>
    <row r="6989" spans="3:4" ht="15" x14ac:dyDescent="0.25">
      <c r="C6989" s="8" t="e">
        <f>VLOOKUP(A:A,'ITEM LIST'!A:C,3,0)</f>
        <v>#N/A</v>
      </c>
      <c r="D6989" s="6">
        <f t="shared" si="110"/>
        <v>0</v>
      </c>
    </row>
    <row r="6990" spans="3:4" ht="15" x14ac:dyDescent="0.25">
      <c r="C6990" s="8" t="e">
        <f>VLOOKUP(A:A,'ITEM LIST'!A:C,3,0)</f>
        <v>#N/A</v>
      </c>
      <c r="D6990" s="6">
        <f t="shared" si="110"/>
        <v>0</v>
      </c>
    </row>
    <row r="6991" spans="3:4" ht="15" x14ac:dyDescent="0.25">
      <c r="C6991" s="8" t="e">
        <f>VLOOKUP(A:A,'ITEM LIST'!A:C,3,0)</f>
        <v>#N/A</v>
      </c>
      <c r="D6991" s="6">
        <f t="shared" si="110"/>
        <v>0</v>
      </c>
    </row>
    <row r="6992" spans="3:4" ht="15" x14ac:dyDescent="0.25">
      <c r="C6992" s="8" t="e">
        <f>VLOOKUP(A:A,'ITEM LIST'!A:C,3,0)</f>
        <v>#N/A</v>
      </c>
      <c r="D6992" s="6">
        <f t="shared" si="110"/>
        <v>0</v>
      </c>
    </row>
    <row r="6993" spans="3:4" ht="15" x14ac:dyDescent="0.25">
      <c r="C6993" s="8" t="e">
        <f>VLOOKUP(A:A,'ITEM LIST'!A:C,3,0)</f>
        <v>#N/A</v>
      </c>
      <c r="D6993" s="6">
        <f t="shared" si="110"/>
        <v>0</v>
      </c>
    </row>
    <row r="6994" spans="3:4" ht="15" x14ac:dyDescent="0.25">
      <c r="C6994" s="8" t="e">
        <f>VLOOKUP(A:A,'ITEM LIST'!A:C,3,0)</f>
        <v>#N/A</v>
      </c>
      <c r="D6994" s="6">
        <f t="shared" si="110"/>
        <v>0</v>
      </c>
    </row>
    <row r="6995" spans="3:4" ht="15" x14ac:dyDescent="0.25">
      <c r="C6995" s="8" t="e">
        <f>VLOOKUP(A:A,'ITEM LIST'!A:C,3,0)</f>
        <v>#N/A</v>
      </c>
      <c r="D6995" s="6">
        <f t="shared" si="110"/>
        <v>0</v>
      </c>
    </row>
    <row r="6996" spans="3:4" ht="15" x14ac:dyDescent="0.25">
      <c r="C6996" s="8" t="e">
        <f>VLOOKUP(A:A,'ITEM LIST'!A:C,3,0)</f>
        <v>#N/A</v>
      </c>
      <c r="D6996" s="6">
        <f t="shared" si="110"/>
        <v>0</v>
      </c>
    </row>
    <row r="6997" spans="3:4" ht="15" x14ac:dyDescent="0.25">
      <c r="C6997" s="8" t="e">
        <f>VLOOKUP(A:A,'ITEM LIST'!A:C,3,0)</f>
        <v>#N/A</v>
      </c>
      <c r="D6997" s="6">
        <f t="shared" si="110"/>
        <v>0</v>
      </c>
    </row>
    <row r="6998" spans="3:4" ht="15" x14ac:dyDescent="0.25">
      <c r="C6998" s="8" t="e">
        <f>VLOOKUP(A:A,'ITEM LIST'!A:C,3,0)</f>
        <v>#N/A</v>
      </c>
      <c r="D6998" s="6">
        <f t="shared" si="110"/>
        <v>0</v>
      </c>
    </row>
    <row r="6999" spans="3:4" ht="15" x14ac:dyDescent="0.25">
      <c r="C6999" s="8" t="e">
        <f>VLOOKUP(A:A,'ITEM LIST'!A:C,3,0)</f>
        <v>#N/A</v>
      </c>
      <c r="D6999" s="6">
        <f t="shared" si="110"/>
        <v>0</v>
      </c>
    </row>
    <row r="7000" spans="3:4" ht="15" x14ac:dyDescent="0.25">
      <c r="C7000" s="8" t="e">
        <f>VLOOKUP(A:A,'ITEM LIST'!A:C,3,0)</f>
        <v>#N/A</v>
      </c>
      <c r="D7000" s="6">
        <f t="shared" si="110"/>
        <v>0</v>
      </c>
    </row>
    <row r="7001" spans="3:4" ht="15" x14ac:dyDescent="0.25">
      <c r="C7001" s="8" t="e">
        <f>VLOOKUP(A:A,'ITEM LIST'!A:C,3,0)</f>
        <v>#N/A</v>
      </c>
      <c r="D7001" s="6">
        <f t="shared" si="110"/>
        <v>0</v>
      </c>
    </row>
    <row r="7002" spans="3:4" ht="15" x14ac:dyDescent="0.25">
      <c r="C7002" s="8" t="e">
        <f>VLOOKUP(A:A,'ITEM LIST'!A:C,3,0)</f>
        <v>#N/A</v>
      </c>
      <c r="D7002" s="6">
        <f t="shared" si="110"/>
        <v>0</v>
      </c>
    </row>
    <row r="7003" spans="3:4" ht="15" x14ac:dyDescent="0.25">
      <c r="C7003" s="8" t="e">
        <f>VLOOKUP(A:A,'ITEM LIST'!A:C,3,0)</f>
        <v>#N/A</v>
      </c>
      <c r="D7003" s="6">
        <f t="shared" si="110"/>
        <v>0</v>
      </c>
    </row>
    <row r="7004" spans="3:4" ht="15" x14ac:dyDescent="0.25">
      <c r="C7004" s="8" t="e">
        <f>VLOOKUP(A:A,'ITEM LIST'!A:C,3,0)</f>
        <v>#N/A</v>
      </c>
      <c r="D7004" s="6">
        <f t="shared" si="110"/>
        <v>0</v>
      </c>
    </row>
    <row r="7005" spans="3:4" ht="15" x14ac:dyDescent="0.25">
      <c r="C7005" s="8" t="e">
        <f>VLOOKUP(A:A,'ITEM LIST'!A:C,3,0)</f>
        <v>#N/A</v>
      </c>
      <c r="D7005" s="6">
        <f t="shared" si="110"/>
        <v>0</v>
      </c>
    </row>
    <row r="7006" spans="3:4" ht="15" x14ac:dyDescent="0.25">
      <c r="C7006" s="8" t="e">
        <f>VLOOKUP(A:A,'ITEM LIST'!A:C,3,0)</f>
        <v>#N/A</v>
      </c>
      <c r="D7006" s="6">
        <f t="shared" si="110"/>
        <v>0</v>
      </c>
    </row>
    <row r="7007" spans="3:4" ht="15" x14ac:dyDescent="0.25">
      <c r="C7007" s="8" t="e">
        <f>VLOOKUP(A:A,'ITEM LIST'!A:C,3,0)</f>
        <v>#N/A</v>
      </c>
      <c r="D7007" s="6">
        <f t="shared" si="110"/>
        <v>0</v>
      </c>
    </row>
    <row r="7008" spans="3:4" ht="15" x14ac:dyDescent="0.25">
      <c r="C7008" s="8" t="e">
        <f>VLOOKUP(A:A,'ITEM LIST'!A:C,3,0)</f>
        <v>#N/A</v>
      </c>
      <c r="D7008" s="6">
        <f t="shared" si="110"/>
        <v>0</v>
      </c>
    </row>
    <row r="7009" spans="3:4" ht="15" x14ac:dyDescent="0.25">
      <c r="C7009" s="8" t="e">
        <f>VLOOKUP(A:A,'ITEM LIST'!A:C,3,0)</f>
        <v>#N/A</v>
      </c>
      <c r="D7009" s="6">
        <f t="shared" si="110"/>
        <v>0</v>
      </c>
    </row>
    <row r="7010" spans="3:4" ht="15" x14ac:dyDescent="0.25">
      <c r="C7010" s="8" t="e">
        <f>VLOOKUP(A:A,'ITEM LIST'!A:C,3,0)</f>
        <v>#N/A</v>
      </c>
      <c r="D7010" s="6">
        <f t="shared" si="110"/>
        <v>0</v>
      </c>
    </row>
    <row r="7011" spans="3:4" ht="15" x14ac:dyDescent="0.25">
      <c r="C7011" s="8" t="e">
        <f>VLOOKUP(A:A,'ITEM LIST'!A:C,3,0)</f>
        <v>#N/A</v>
      </c>
      <c r="D7011" s="6">
        <f t="shared" si="110"/>
        <v>0</v>
      </c>
    </row>
    <row r="7012" spans="3:4" ht="15" x14ac:dyDescent="0.25">
      <c r="C7012" s="8" t="e">
        <f>VLOOKUP(A:A,'ITEM LIST'!A:C,3,0)</f>
        <v>#N/A</v>
      </c>
      <c r="D7012" s="6">
        <f t="shared" si="110"/>
        <v>0</v>
      </c>
    </row>
    <row r="7013" spans="3:4" ht="15" x14ac:dyDescent="0.25">
      <c r="C7013" s="8" t="e">
        <f>VLOOKUP(A:A,'ITEM LIST'!A:C,3,0)</f>
        <v>#N/A</v>
      </c>
      <c r="D7013" s="6">
        <f t="shared" si="110"/>
        <v>0</v>
      </c>
    </row>
    <row r="7014" spans="3:4" ht="15" x14ac:dyDescent="0.25">
      <c r="C7014" s="8" t="e">
        <f>VLOOKUP(A:A,'ITEM LIST'!A:C,3,0)</f>
        <v>#N/A</v>
      </c>
      <c r="D7014" s="6">
        <f t="shared" si="110"/>
        <v>0</v>
      </c>
    </row>
    <row r="7015" spans="3:4" ht="15" x14ac:dyDescent="0.25">
      <c r="C7015" s="8" t="e">
        <f>VLOOKUP(A:A,'ITEM LIST'!A:C,3,0)</f>
        <v>#N/A</v>
      </c>
      <c r="D7015" s="6">
        <f t="shared" si="110"/>
        <v>0</v>
      </c>
    </row>
    <row r="7016" spans="3:4" ht="15" x14ac:dyDescent="0.25">
      <c r="C7016" s="8" t="e">
        <f>VLOOKUP(A:A,'ITEM LIST'!A:C,3,0)</f>
        <v>#N/A</v>
      </c>
      <c r="D7016" s="6">
        <f t="shared" si="110"/>
        <v>0</v>
      </c>
    </row>
    <row r="7017" spans="3:4" ht="15" x14ac:dyDescent="0.25">
      <c r="C7017" s="8" t="e">
        <f>VLOOKUP(A:A,'ITEM LIST'!A:C,3,0)</f>
        <v>#N/A</v>
      </c>
      <c r="D7017" s="6">
        <f t="shared" si="110"/>
        <v>0</v>
      </c>
    </row>
    <row r="7018" spans="3:4" ht="15" x14ac:dyDescent="0.25">
      <c r="C7018" s="8" t="e">
        <f>VLOOKUP(A:A,'ITEM LIST'!A:C,3,0)</f>
        <v>#N/A</v>
      </c>
      <c r="D7018" s="6">
        <f t="shared" si="110"/>
        <v>0</v>
      </c>
    </row>
    <row r="7019" spans="3:4" ht="15" x14ac:dyDescent="0.25">
      <c r="C7019" s="8" t="e">
        <f>VLOOKUP(A:A,'ITEM LIST'!A:C,3,0)</f>
        <v>#N/A</v>
      </c>
      <c r="D7019" s="6">
        <f t="shared" si="110"/>
        <v>0</v>
      </c>
    </row>
    <row r="7020" spans="3:4" ht="15" x14ac:dyDescent="0.25">
      <c r="C7020" s="8" t="e">
        <f>VLOOKUP(A:A,'ITEM LIST'!A:C,3,0)</f>
        <v>#N/A</v>
      </c>
      <c r="D7020" s="6">
        <f t="shared" si="110"/>
        <v>0</v>
      </c>
    </row>
    <row r="7021" spans="3:4" ht="15" x14ac:dyDescent="0.25">
      <c r="C7021" s="8" t="e">
        <f>VLOOKUP(A:A,'ITEM LIST'!A:C,3,0)</f>
        <v>#N/A</v>
      </c>
      <c r="D7021" s="6">
        <f t="shared" si="110"/>
        <v>0</v>
      </c>
    </row>
    <row r="7022" spans="3:4" ht="15" x14ac:dyDescent="0.25">
      <c r="C7022" s="8" t="e">
        <f>VLOOKUP(A:A,'ITEM LIST'!A:C,3,0)</f>
        <v>#N/A</v>
      </c>
      <c r="D7022" s="6">
        <f t="shared" si="110"/>
        <v>0</v>
      </c>
    </row>
    <row r="7023" spans="3:4" ht="15" x14ac:dyDescent="0.25">
      <c r="C7023" s="8" t="e">
        <f>VLOOKUP(A:A,'ITEM LIST'!A:C,3,0)</f>
        <v>#N/A</v>
      </c>
      <c r="D7023" s="6">
        <f t="shared" si="110"/>
        <v>0</v>
      </c>
    </row>
    <row r="7024" spans="3:4" ht="15" x14ac:dyDescent="0.25">
      <c r="C7024" s="8" t="e">
        <f>VLOOKUP(A:A,'ITEM LIST'!A:C,3,0)</f>
        <v>#N/A</v>
      </c>
      <c r="D7024" s="6">
        <f t="shared" si="110"/>
        <v>0</v>
      </c>
    </row>
    <row r="7025" spans="3:4" ht="15" x14ac:dyDescent="0.25">
      <c r="C7025" s="8" t="e">
        <f>VLOOKUP(A:A,'ITEM LIST'!A:C,3,0)</f>
        <v>#N/A</v>
      </c>
      <c r="D7025" s="6">
        <f t="shared" si="110"/>
        <v>0</v>
      </c>
    </row>
    <row r="7026" spans="3:4" ht="15" x14ac:dyDescent="0.25">
      <c r="C7026" s="8" t="e">
        <f>VLOOKUP(A:A,'ITEM LIST'!A:C,3,0)</f>
        <v>#N/A</v>
      </c>
      <c r="D7026" s="6">
        <f t="shared" si="110"/>
        <v>0</v>
      </c>
    </row>
    <row r="7027" spans="3:4" ht="15" x14ac:dyDescent="0.25">
      <c r="C7027" s="8" t="e">
        <f>VLOOKUP(A:A,'ITEM LIST'!A:C,3,0)</f>
        <v>#N/A</v>
      </c>
      <c r="D7027" s="6">
        <f t="shared" si="110"/>
        <v>0</v>
      </c>
    </row>
    <row r="7028" spans="3:4" ht="15" x14ac:dyDescent="0.25">
      <c r="C7028" s="8" t="e">
        <f>VLOOKUP(A:A,'ITEM LIST'!A:C,3,0)</f>
        <v>#N/A</v>
      </c>
      <c r="D7028" s="6">
        <f t="shared" si="110"/>
        <v>0</v>
      </c>
    </row>
    <row r="7029" spans="3:4" ht="15" x14ac:dyDescent="0.25">
      <c r="C7029" s="8" t="e">
        <f>VLOOKUP(A:A,'ITEM LIST'!A:C,3,0)</f>
        <v>#N/A</v>
      </c>
      <c r="D7029" s="6">
        <f t="shared" si="110"/>
        <v>0</v>
      </c>
    </row>
    <row r="7030" spans="3:4" ht="15" x14ac:dyDescent="0.25">
      <c r="C7030" s="8" t="e">
        <f>VLOOKUP(A:A,'ITEM LIST'!A:C,3,0)</f>
        <v>#N/A</v>
      </c>
      <c r="D7030" s="6">
        <f t="shared" si="110"/>
        <v>0</v>
      </c>
    </row>
    <row r="7031" spans="3:4" ht="15" x14ac:dyDescent="0.25">
      <c r="C7031" s="8" t="e">
        <f>VLOOKUP(A:A,'ITEM LIST'!A:C,3,0)</f>
        <v>#N/A</v>
      </c>
      <c r="D7031" s="6">
        <f t="shared" si="110"/>
        <v>0</v>
      </c>
    </row>
    <row r="7032" spans="3:4" ht="15" x14ac:dyDescent="0.25">
      <c r="C7032" s="8" t="e">
        <f>VLOOKUP(A:A,'ITEM LIST'!A:C,3,0)</f>
        <v>#N/A</v>
      </c>
      <c r="D7032" s="6">
        <f t="shared" si="110"/>
        <v>0</v>
      </c>
    </row>
    <row r="7033" spans="3:4" ht="15" x14ac:dyDescent="0.25">
      <c r="C7033" s="8" t="e">
        <f>VLOOKUP(A:A,'ITEM LIST'!A:C,3,0)</f>
        <v>#N/A</v>
      </c>
      <c r="D7033" s="6">
        <f t="shared" si="110"/>
        <v>0</v>
      </c>
    </row>
    <row r="7034" spans="3:4" ht="15" x14ac:dyDescent="0.25">
      <c r="C7034" s="8" t="e">
        <f>VLOOKUP(A:A,'ITEM LIST'!A:C,3,0)</f>
        <v>#N/A</v>
      </c>
      <c r="D7034" s="6">
        <f t="shared" si="110"/>
        <v>0</v>
      </c>
    </row>
    <row r="7035" spans="3:4" ht="15" x14ac:dyDescent="0.25">
      <c r="C7035" s="8" t="e">
        <f>VLOOKUP(A:A,'ITEM LIST'!A:C,3,0)</f>
        <v>#N/A</v>
      </c>
      <c r="D7035" s="6">
        <f t="shared" si="110"/>
        <v>0</v>
      </c>
    </row>
    <row r="7036" spans="3:4" ht="15" x14ac:dyDescent="0.25">
      <c r="C7036" s="8" t="e">
        <f>VLOOKUP(A:A,'ITEM LIST'!A:C,3,0)</f>
        <v>#N/A</v>
      </c>
      <c r="D7036" s="6">
        <f t="shared" si="110"/>
        <v>0</v>
      </c>
    </row>
    <row r="7037" spans="3:4" ht="15" x14ac:dyDescent="0.25">
      <c r="C7037" s="8" t="e">
        <f>VLOOKUP(A:A,'ITEM LIST'!A:C,3,0)</f>
        <v>#N/A</v>
      </c>
      <c r="D7037" s="6">
        <f t="shared" si="110"/>
        <v>0</v>
      </c>
    </row>
    <row r="7038" spans="3:4" ht="15" x14ac:dyDescent="0.25">
      <c r="C7038" s="8" t="e">
        <f>VLOOKUP(A:A,'ITEM LIST'!A:C,3,0)</f>
        <v>#N/A</v>
      </c>
      <c r="D7038" s="6">
        <f t="shared" si="110"/>
        <v>0</v>
      </c>
    </row>
    <row r="7039" spans="3:4" ht="15" x14ac:dyDescent="0.25">
      <c r="C7039" s="8" t="e">
        <f>VLOOKUP(A:A,'ITEM LIST'!A:C,3,0)</f>
        <v>#N/A</v>
      </c>
      <c r="D7039" s="6">
        <f t="shared" si="110"/>
        <v>0</v>
      </c>
    </row>
    <row r="7040" spans="3:4" ht="15" x14ac:dyDescent="0.25">
      <c r="C7040" s="8" t="e">
        <f>VLOOKUP(A:A,'ITEM LIST'!A:C,3,0)</f>
        <v>#N/A</v>
      </c>
      <c r="D7040" s="6">
        <f t="shared" si="110"/>
        <v>0</v>
      </c>
    </row>
    <row r="7041" spans="3:4" ht="15" x14ac:dyDescent="0.25">
      <c r="C7041" s="8" t="e">
        <f>VLOOKUP(A:A,'ITEM LIST'!A:C,3,0)</f>
        <v>#N/A</v>
      </c>
      <c r="D7041" s="6">
        <f t="shared" si="110"/>
        <v>0</v>
      </c>
    </row>
    <row r="7042" spans="3:4" ht="15" x14ac:dyDescent="0.25">
      <c r="C7042" s="8" t="e">
        <f>VLOOKUP(A:A,'ITEM LIST'!A:C,3,0)</f>
        <v>#N/A</v>
      </c>
      <c r="D7042" s="6">
        <f t="shared" si="110"/>
        <v>0</v>
      </c>
    </row>
    <row r="7043" spans="3:4" ht="15" x14ac:dyDescent="0.25">
      <c r="C7043" s="8" t="e">
        <f>VLOOKUP(A:A,'ITEM LIST'!A:C,3,0)</f>
        <v>#N/A</v>
      </c>
      <c r="D7043" s="6">
        <f t="shared" si="110"/>
        <v>0</v>
      </c>
    </row>
    <row r="7044" spans="3:4" ht="15" x14ac:dyDescent="0.25">
      <c r="C7044" s="8" t="e">
        <f>VLOOKUP(A:A,'ITEM LIST'!A:C,3,0)</f>
        <v>#N/A</v>
      </c>
      <c r="D7044" s="6">
        <f t="shared" si="110"/>
        <v>0</v>
      </c>
    </row>
    <row r="7045" spans="3:4" ht="15" x14ac:dyDescent="0.25">
      <c r="C7045" s="8" t="e">
        <f>VLOOKUP(A:A,'ITEM LIST'!A:C,3,0)</f>
        <v>#N/A</v>
      </c>
      <c r="D7045" s="6">
        <f t="shared" si="110"/>
        <v>0</v>
      </c>
    </row>
    <row r="7046" spans="3:4" ht="15" x14ac:dyDescent="0.25">
      <c r="C7046" s="8" t="e">
        <f>VLOOKUP(A:A,'ITEM LIST'!A:C,3,0)</f>
        <v>#N/A</v>
      </c>
      <c r="D7046" s="6">
        <f t="shared" ref="D7046:D7109" si="111">B7046</f>
        <v>0</v>
      </c>
    </row>
    <row r="7047" spans="3:4" ht="15" x14ac:dyDescent="0.25">
      <c r="C7047" s="8" t="e">
        <f>VLOOKUP(A:A,'ITEM LIST'!A:C,3,0)</f>
        <v>#N/A</v>
      </c>
      <c r="D7047" s="6">
        <f t="shared" si="111"/>
        <v>0</v>
      </c>
    </row>
    <row r="7048" spans="3:4" ht="15" x14ac:dyDescent="0.25">
      <c r="C7048" s="8" t="e">
        <f>VLOOKUP(A:A,'ITEM LIST'!A:C,3,0)</f>
        <v>#N/A</v>
      </c>
      <c r="D7048" s="6">
        <f t="shared" si="111"/>
        <v>0</v>
      </c>
    </row>
    <row r="7049" spans="3:4" ht="15" x14ac:dyDescent="0.25">
      <c r="C7049" s="8" t="e">
        <f>VLOOKUP(A:A,'ITEM LIST'!A:C,3,0)</f>
        <v>#N/A</v>
      </c>
      <c r="D7049" s="6">
        <f t="shared" si="111"/>
        <v>0</v>
      </c>
    </row>
    <row r="7050" spans="3:4" ht="15" x14ac:dyDescent="0.25">
      <c r="C7050" s="8" t="e">
        <f>VLOOKUP(A:A,'ITEM LIST'!A:C,3,0)</f>
        <v>#N/A</v>
      </c>
      <c r="D7050" s="6">
        <f t="shared" si="111"/>
        <v>0</v>
      </c>
    </row>
    <row r="7051" spans="3:4" ht="15" x14ac:dyDescent="0.25">
      <c r="C7051" s="8" t="e">
        <f>VLOOKUP(A:A,'ITEM LIST'!A:C,3,0)</f>
        <v>#N/A</v>
      </c>
      <c r="D7051" s="6">
        <f t="shared" si="111"/>
        <v>0</v>
      </c>
    </row>
    <row r="7052" spans="3:4" ht="15" x14ac:dyDescent="0.25">
      <c r="C7052" s="8" t="e">
        <f>VLOOKUP(A:A,'ITEM LIST'!A:C,3,0)</f>
        <v>#N/A</v>
      </c>
      <c r="D7052" s="6">
        <f t="shared" si="111"/>
        <v>0</v>
      </c>
    </row>
    <row r="7053" spans="3:4" ht="15" x14ac:dyDescent="0.25">
      <c r="C7053" s="8" t="e">
        <f>VLOOKUP(A:A,'ITEM LIST'!A:C,3,0)</f>
        <v>#N/A</v>
      </c>
      <c r="D7053" s="6">
        <f t="shared" si="111"/>
        <v>0</v>
      </c>
    </row>
    <row r="7054" spans="3:4" ht="15" x14ac:dyDescent="0.25">
      <c r="C7054" s="8" t="e">
        <f>VLOOKUP(A:A,'ITEM LIST'!A:C,3,0)</f>
        <v>#N/A</v>
      </c>
      <c r="D7054" s="6">
        <f t="shared" si="111"/>
        <v>0</v>
      </c>
    </row>
    <row r="7055" spans="3:4" ht="15" x14ac:dyDescent="0.25">
      <c r="C7055" s="8" t="e">
        <f>VLOOKUP(A:A,'ITEM LIST'!A:C,3,0)</f>
        <v>#N/A</v>
      </c>
      <c r="D7055" s="6">
        <f t="shared" si="111"/>
        <v>0</v>
      </c>
    </row>
    <row r="7056" spans="3:4" ht="15" x14ac:dyDescent="0.25">
      <c r="C7056" s="8" t="e">
        <f>VLOOKUP(A:A,'ITEM LIST'!A:C,3,0)</f>
        <v>#N/A</v>
      </c>
      <c r="D7056" s="6">
        <f t="shared" si="111"/>
        <v>0</v>
      </c>
    </row>
    <row r="7057" spans="3:4" ht="15" x14ac:dyDescent="0.25">
      <c r="C7057" s="8" t="e">
        <f>VLOOKUP(A:A,'ITEM LIST'!A:C,3,0)</f>
        <v>#N/A</v>
      </c>
      <c r="D7057" s="6">
        <f t="shared" si="111"/>
        <v>0</v>
      </c>
    </row>
    <row r="7058" spans="3:4" ht="15" x14ac:dyDescent="0.25">
      <c r="C7058" s="8" t="e">
        <f>VLOOKUP(A:A,'ITEM LIST'!A:C,3,0)</f>
        <v>#N/A</v>
      </c>
      <c r="D7058" s="6">
        <f t="shared" si="111"/>
        <v>0</v>
      </c>
    </row>
    <row r="7059" spans="3:4" ht="15" x14ac:dyDescent="0.25">
      <c r="C7059" s="8" t="e">
        <f>VLOOKUP(A:A,'ITEM LIST'!A:C,3,0)</f>
        <v>#N/A</v>
      </c>
      <c r="D7059" s="6">
        <f t="shared" si="111"/>
        <v>0</v>
      </c>
    </row>
    <row r="7060" spans="3:4" ht="15" x14ac:dyDescent="0.25">
      <c r="C7060" s="8" t="e">
        <f>VLOOKUP(A:A,'ITEM LIST'!A:C,3,0)</f>
        <v>#N/A</v>
      </c>
      <c r="D7060" s="6">
        <f t="shared" si="111"/>
        <v>0</v>
      </c>
    </row>
    <row r="7061" spans="3:4" ht="15" x14ac:dyDescent="0.25">
      <c r="C7061" s="8" t="e">
        <f>VLOOKUP(A:A,'ITEM LIST'!A:C,3,0)</f>
        <v>#N/A</v>
      </c>
      <c r="D7061" s="6">
        <f t="shared" si="111"/>
        <v>0</v>
      </c>
    </row>
    <row r="7062" spans="3:4" ht="15" x14ac:dyDescent="0.25">
      <c r="C7062" s="8" t="e">
        <f>VLOOKUP(A:A,'ITEM LIST'!A:C,3,0)</f>
        <v>#N/A</v>
      </c>
      <c r="D7062" s="6">
        <f t="shared" si="111"/>
        <v>0</v>
      </c>
    </row>
    <row r="7063" spans="3:4" ht="15" x14ac:dyDescent="0.25">
      <c r="C7063" s="8" t="e">
        <f>VLOOKUP(A:A,'ITEM LIST'!A:C,3,0)</f>
        <v>#N/A</v>
      </c>
      <c r="D7063" s="6">
        <f t="shared" si="111"/>
        <v>0</v>
      </c>
    </row>
    <row r="7064" spans="3:4" ht="15" x14ac:dyDescent="0.25">
      <c r="C7064" s="8" t="e">
        <f>VLOOKUP(A:A,'ITEM LIST'!A:C,3,0)</f>
        <v>#N/A</v>
      </c>
      <c r="D7064" s="6">
        <f t="shared" si="111"/>
        <v>0</v>
      </c>
    </row>
    <row r="7065" spans="3:4" ht="15" x14ac:dyDescent="0.25">
      <c r="C7065" s="8" t="e">
        <f>VLOOKUP(A:A,'ITEM LIST'!A:C,3,0)</f>
        <v>#N/A</v>
      </c>
      <c r="D7065" s="6">
        <f t="shared" si="111"/>
        <v>0</v>
      </c>
    </row>
    <row r="7066" spans="3:4" ht="15" x14ac:dyDescent="0.25">
      <c r="C7066" s="8" t="e">
        <f>VLOOKUP(A:A,'ITEM LIST'!A:C,3,0)</f>
        <v>#N/A</v>
      </c>
      <c r="D7066" s="6">
        <f t="shared" si="111"/>
        <v>0</v>
      </c>
    </row>
    <row r="7067" spans="3:4" ht="15" x14ac:dyDescent="0.25">
      <c r="C7067" s="8" t="e">
        <f>VLOOKUP(A:A,'ITEM LIST'!A:C,3,0)</f>
        <v>#N/A</v>
      </c>
      <c r="D7067" s="6">
        <f t="shared" si="111"/>
        <v>0</v>
      </c>
    </row>
    <row r="7068" spans="3:4" ht="15" x14ac:dyDescent="0.25">
      <c r="C7068" s="8" t="e">
        <f>VLOOKUP(A:A,'ITEM LIST'!A:C,3,0)</f>
        <v>#N/A</v>
      </c>
      <c r="D7068" s="6">
        <f t="shared" si="111"/>
        <v>0</v>
      </c>
    </row>
    <row r="7069" spans="3:4" ht="15" x14ac:dyDescent="0.25">
      <c r="C7069" s="8" t="e">
        <f>VLOOKUP(A:A,'ITEM LIST'!A:C,3,0)</f>
        <v>#N/A</v>
      </c>
      <c r="D7069" s="6">
        <f t="shared" si="111"/>
        <v>0</v>
      </c>
    </row>
    <row r="7070" spans="3:4" ht="15" x14ac:dyDescent="0.25">
      <c r="C7070" s="8" t="e">
        <f>VLOOKUP(A:A,'ITEM LIST'!A:C,3,0)</f>
        <v>#N/A</v>
      </c>
      <c r="D7070" s="6">
        <f t="shared" si="111"/>
        <v>0</v>
      </c>
    </row>
    <row r="7071" spans="3:4" ht="15" x14ac:dyDescent="0.25">
      <c r="C7071" s="8" t="e">
        <f>VLOOKUP(A:A,'ITEM LIST'!A:C,3,0)</f>
        <v>#N/A</v>
      </c>
      <c r="D7071" s="6">
        <f t="shared" si="111"/>
        <v>0</v>
      </c>
    </row>
    <row r="7072" spans="3:4" ht="15" x14ac:dyDescent="0.25">
      <c r="C7072" s="8" t="e">
        <f>VLOOKUP(A:A,'ITEM LIST'!A:C,3,0)</f>
        <v>#N/A</v>
      </c>
      <c r="D7072" s="6">
        <f t="shared" si="111"/>
        <v>0</v>
      </c>
    </row>
    <row r="7073" spans="3:4" ht="15" x14ac:dyDescent="0.25">
      <c r="C7073" s="8" t="e">
        <f>VLOOKUP(A:A,'ITEM LIST'!A:C,3,0)</f>
        <v>#N/A</v>
      </c>
      <c r="D7073" s="6">
        <f t="shared" si="111"/>
        <v>0</v>
      </c>
    </row>
    <row r="7074" spans="3:4" ht="15" x14ac:dyDescent="0.25">
      <c r="C7074" s="8" t="e">
        <f>VLOOKUP(A:A,'ITEM LIST'!A:C,3,0)</f>
        <v>#N/A</v>
      </c>
      <c r="D7074" s="6">
        <f t="shared" si="111"/>
        <v>0</v>
      </c>
    </row>
    <row r="7075" spans="3:4" ht="15" x14ac:dyDescent="0.25">
      <c r="C7075" s="8" t="e">
        <f>VLOOKUP(A:A,'ITEM LIST'!A:C,3,0)</f>
        <v>#N/A</v>
      </c>
      <c r="D7075" s="6">
        <f t="shared" si="111"/>
        <v>0</v>
      </c>
    </row>
    <row r="7076" spans="3:4" ht="15" x14ac:dyDescent="0.25">
      <c r="C7076" s="8" t="e">
        <f>VLOOKUP(A:A,'ITEM LIST'!A:C,3,0)</f>
        <v>#N/A</v>
      </c>
      <c r="D7076" s="6">
        <f t="shared" si="111"/>
        <v>0</v>
      </c>
    </row>
    <row r="7077" spans="3:4" ht="15" x14ac:dyDescent="0.25">
      <c r="C7077" s="8" t="e">
        <f>VLOOKUP(A:A,'ITEM LIST'!A:C,3,0)</f>
        <v>#N/A</v>
      </c>
      <c r="D7077" s="6">
        <f t="shared" si="111"/>
        <v>0</v>
      </c>
    </row>
    <row r="7078" spans="3:4" ht="15" x14ac:dyDescent="0.25">
      <c r="C7078" s="8" t="e">
        <f>VLOOKUP(A:A,'ITEM LIST'!A:C,3,0)</f>
        <v>#N/A</v>
      </c>
      <c r="D7078" s="6">
        <f t="shared" si="111"/>
        <v>0</v>
      </c>
    </row>
    <row r="7079" spans="3:4" ht="15" x14ac:dyDescent="0.25">
      <c r="C7079" s="8" t="e">
        <f>VLOOKUP(A:A,'ITEM LIST'!A:C,3,0)</f>
        <v>#N/A</v>
      </c>
      <c r="D7079" s="6">
        <f t="shared" si="111"/>
        <v>0</v>
      </c>
    </row>
    <row r="7080" spans="3:4" ht="15" x14ac:dyDescent="0.25">
      <c r="C7080" s="8" t="e">
        <f>VLOOKUP(A:A,'ITEM LIST'!A:C,3,0)</f>
        <v>#N/A</v>
      </c>
      <c r="D7080" s="6">
        <f t="shared" si="111"/>
        <v>0</v>
      </c>
    </row>
    <row r="7081" spans="3:4" ht="15" x14ac:dyDescent="0.25">
      <c r="C7081" s="8" t="e">
        <f>VLOOKUP(A:A,'ITEM LIST'!A:C,3,0)</f>
        <v>#N/A</v>
      </c>
      <c r="D7081" s="6">
        <f t="shared" si="111"/>
        <v>0</v>
      </c>
    </row>
    <row r="7082" spans="3:4" ht="15" x14ac:dyDescent="0.25">
      <c r="C7082" s="8" t="e">
        <f>VLOOKUP(A:A,'ITEM LIST'!A:C,3,0)</f>
        <v>#N/A</v>
      </c>
      <c r="D7082" s="6">
        <f t="shared" si="111"/>
        <v>0</v>
      </c>
    </row>
    <row r="7083" spans="3:4" ht="15" x14ac:dyDescent="0.25">
      <c r="C7083" s="8" t="e">
        <f>VLOOKUP(A:A,'ITEM LIST'!A:C,3,0)</f>
        <v>#N/A</v>
      </c>
      <c r="D7083" s="6">
        <f t="shared" si="111"/>
        <v>0</v>
      </c>
    </row>
    <row r="7084" spans="3:4" ht="15" x14ac:dyDescent="0.25">
      <c r="C7084" s="8" t="e">
        <f>VLOOKUP(A:A,'ITEM LIST'!A:C,3,0)</f>
        <v>#N/A</v>
      </c>
      <c r="D7084" s="6">
        <f t="shared" si="111"/>
        <v>0</v>
      </c>
    </row>
    <row r="7085" spans="3:4" ht="15" x14ac:dyDescent="0.25">
      <c r="C7085" s="8" t="e">
        <f>VLOOKUP(A:A,'ITEM LIST'!A:C,3,0)</f>
        <v>#N/A</v>
      </c>
      <c r="D7085" s="6">
        <f t="shared" si="111"/>
        <v>0</v>
      </c>
    </row>
    <row r="7086" spans="3:4" ht="15" x14ac:dyDescent="0.25">
      <c r="C7086" s="8" t="e">
        <f>VLOOKUP(A:A,'ITEM LIST'!A:C,3,0)</f>
        <v>#N/A</v>
      </c>
      <c r="D7086" s="6">
        <f t="shared" si="111"/>
        <v>0</v>
      </c>
    </row>
    <row r="7087" spans="3:4" ht="15" x14ac:dyDescent="0.25">
      <c r="C7087" s="8" t="e">
        <f>VLOOKUP(A:A,'ITEM LIST'!A:C,3,0)</f>
        <v>#N/A</v>
      </c>
      <c r="D7087" s="6">
        <f t="shared" si="111"/>
        <v>0</v>
      </c>
    </row>
    <row r="7088" spans="3:4" ht="15" x14ac:dyDescent="0.25">
      <c r="C7088" s="8" t="e">
        <f>VLOOKUP(A:A,'ITEM LIST'!A:C,3,0)</f>
        <v>#N/A</v>
      </c>
      <c r="D7088" s="6">
        <f t="shared" si="111"/>
        <v>0</v>
      </c>
    </row>
    <row r="7089" spans="3:4" ht="15" x14ac:dyDescent="0.25">
      <c r="C7089" s="8" t="e">
        <f>VLOOKUP(A:A,'ITEM LIST'!A:C,3,0)</f>
        <v>#N/A</v>
      </c>
      <c r="D7089" s="6">
        <f t="shared" si="111"/>
        <v>0</v>
      </c>
    </row>
    <row r="7090" spans="3:4" ht="15" x14ac:dyDescent="0.25">
      <c r="C7090" s="8" t="e">
        <f>VLOOKUP(A:A,'ITEM LIST'!A:C,3,0)</f>
        <v>#N/A</v>
      </c>
      <c r="D7090" s="6">
        <f t="shared" si="111"/>
        <v>0</v>
      </c>
    </row>
    <row r="7091" spans="3:4" ht="15" x14ac:dyDescent="0.25">
      <c r="C7091" s="8" t="e">
        <f>VLOOKUP(A:A,'ITEM LIST'!A:C,3,0)</f>
        <v>#N/A</v>
      </c>
      <c r="D7091" s="6">
        <f t="shared" si="111"/>
        <v>0</v>
      </c>
    </row>
    <row r="7092" spans="3:4" ht="15" x14ac:dyDescent="0.25">
      <c r="C7092" s="8" t="e">
        <f>VLOOKUP(A:A,'ITEM LIST'!A:C,3,0)</f>
        <v>#N/A</v>
      </c>
      <c r="D7092" s="6">
        <f t="shared" si="111"/>
        <v>0</v>
      </c>
    </row>
    <row r="7093" spans="3:4" ht="15" x14ac:dyDescent="0.25">
      <c r="C7093" s="8" t="e">
        <f>VLOOKUP(A:A,'ITEM LIST'!A:C,3,0)</f>
        <v>#N/A</v>
      </c>
      <c r="D7093" s="6">
        <f t="shared" si="111"/>
        <v>0</v>
      </c>
    </row>
    <row r="7094" spans="3:4" ht="15" x14ac:dyDescent="0.25">
      <c r="C7094" s="8" t="e">
        <f>VLOOKUP(A:A,'ITEM LIST'!A:C,3,0)</f>
        <v>#N/A</v>
      </c>
      <c r="D7094" s="6">
        <f t="shared" si="111"/>
        <v>0</v>
      </c>
    </row>
    <row r="7095" spans="3:4" ht="15" x14ac:dyDescent="0.25">
      <c r="C7095" s="8" t="e">
        <f>VLOOKUP(A:A,'ITEM LIST'!A:C,3,0)</f>
        <v>#N/A</v>
      </c>
      <c r="D7095" s="6">
        <f t="shared" si="111"/>
        <v>0</v>
      </c>
    </row>
    <row r="7096" spans="3:4" ht="15" x14ac:dyDescent="0.25">
      <c r="C7096" s="8" t="e">
        <f>VLOOKUP(A:A,'ITEM LIST'!A:C,3,0)</f>
        <v>#N/A</v>
      </c>
      <c r="D7096" s="6">
        <f t="shared" si="111"/>
        <v>0</v>
      </c>
    </row>
    <row r="7097" spans="3:4" ht="15" x14ac:dyDescent="0.25">
      <c r="C7097" s="8" t="e">
        <f>VLOOKUP(A:A,'ITEM LIST'!A:C,3,0)</f>
        <v>#N/A</v>
      </c>
      <c r="D7097" s="6">
        <f t="shared" si="111"/>
        <v>0</v>
      </c>
    </row>
    <row r="7098" spans="3:4" ht="15" x14ac:dyDescent="0.25">
      <c r="C7098" s="8" t="e">
        <f>VLOOKUP(A:A,'ITEM LIST'!A:C,3,0)</f>
        <v>#N/A</v>
      </c>
      <c r="D7098" s="6">
        <f t="shared" si="111"/>
        <v>0</v>
      </c>
    </row>
    <row r="7099" spans="3:4" ht="15" x14ac:dyDescent="0.25">
      <c r="C7099" s="8" t="e">
        <f>VLOOKUP(A:A,'ITEM LIST'!A:C,3,0)</f>
        <v>#N/A</v>
      </c>
      <c r="D7099" s="6">
        <f t="shared" si="111"/>
        <v>0</v>
      </c>
    </row>
    <row r="7100" spans="3:4" ht="15" x14ac:dyDescent="0.25">
      <c r="C7100" s="8" t="e">
        <f>VLOOKUP(A:A,'ITEM LIST'!A:C,3,0)</f>
        <v>#N/A</v>
      </c>
      <c r="D7100" s="6">
        <f t="shared" si="111"/>
        <v>0</v>
      </c>
    </row>
    <row r="7101" spans="3:4" ht="15" x14ac:dyDescent="0.25">
      <c r="C7101" s="8" t="e">
        <f>VLOOKUP(A:A,'ITEM LIST'!A:C,3,0)</f>
        <v>#N/A</v>
      </c>
      <c r="D7101" s="6">
        <f t="shared" si="111"/>
        <v>0</v>
      </c>
    </row>
    <row r="7102" spans="3:4" ht="15" x14ac:dyDescent="0.25">
      <c r="C7102" s="8" t="e">
        <f>VLOOKUP(A:A,'ITEM LIST'!A:C,3,0)</f>
        <v>#N/A</v>
      </c>
      <c r="D7102" s="6">
        <f t="shared" si="111"/>
        <v>0</v>
      </c>
    </row>
    <row r="7103" spans="3:4" ht="15" x14ac:dyDescent="0.25">
      <c r="C7103" s="8" t="e">
        <f>VLOOKUP(A:A,'ITEM LIST'!A:C,3,0)</f>
        <v>#N/A</v>
      </c>
      <c r="D7103" s="6">
        <f t="shared" si="111"/>
        <v>0</v>
      </c>
    </row>
    <row r="7104" spans="3:4" ht="15" x14ac:dyDescent="0.25">
      <c r="C7104" s="8" t="e">
        <f>VLOOKUP(A:A,'ITEM LIST'!A:C,3,0)</f>
        <v>#N/A</v>
      </c>
      <c r="D7104" s="6">
        <f t="shared" si="111"/>
        <v>0</v>
      </c>
    </row>
    <row r="7105" spans="3:4" ht="15" x14ac:dyDescent="0.25">
      <c r="C7105" s="8" t="e">
        <f>VLOOKUP(A:A,'ITEM LIST'!A:C,3,0)</f>
        <v>#N/A</v>
      </c>
      <c r="D7105" s="6">
        <f t="shared" si="111"/>
        <v>0</v>
      </c>
    </row>
    <row r="7106" spans="3:4" ht="15" x14ac:dyDescent="0.25">
      <c r="C7106" s="8" t="e">
        <f>VLOOKUP(A:A,'ITEM LIST'!A:C,3,0)</f>
        <v>#N/A</v>
      </c>
      <c r="D7106" s="6">
        <f t="shared" si="111"/>
        <v>0</v>
      </c>
    </row>
    <row r="7107" spans="3:4" ht="15" x14ac:dyDescent="0.25">
      <c r="C7107" s="8" t="e">
        <f>VLOOKUP(A:A,'ITEM LIST'!A:C,3,0)</f>
        <v>#N/A</v>
      </c>
      <c r="D7107" s="6">
        <f t="shared" si="111"/>
        <v>0</v>
      </c>
    </row>
    <row r="7108" spans="3:4" ht="15" x14ac:dyDescent="0.25">
      <c r="C7108" s="8" t="e">
        <f>VLOOKUP(A:A,'ITEM LIST'!A:C,3,0)</f>
        <v>#N/A</v>
      </c>
      <c r="D7108" s="6">
        <f t="shared" si="111"/>
        <v>0</v>
      </c>
    </row>
    <row r="7109" spans="3:4" ht="15" x14ac:dyDescent="0.25">
      <c r="C7109" s="8" t="e">
        <f>VLOOKUP(A:A,'ITEM LIST'!A:C,3,0)</f>
        <v>#N/A</v>
      </c>
      <c r="D7109" s="6">
        <f t="shared" si="111"/>
        <v>0</v>
      </c>
    </row>
    <row r="7110" spans="3:4" ht="15" x14ac:dyDescent="0.25">
      <c r="C7110" s="8" t="e">
        <f>VLOOKUP(A:A,'ITEM LIST'!A:C,3,0)</f>
        <v>#N/A</v>
      </c>
      <c r="D7110" s="6">
        <f t="shared" ref="D7110:D7173" si="112">B7110</f>
        <v>0</v>
      </c>
    </row>
    <row r="7111" spans="3:4" ht="15" x14ac:dyDescent="0.25">
      <c r="C7111" s="8" t="e">
        <f>VLOOKUP(A:A,'ITEM LIST'!A:C,3,0)</f>
        <v>#N/A</v>
      </c>
      <c r="D7111" s="6">
        <f t="shared" si="112"/>
        <v>0</v>
      </c>
    </row>
    <row r="7112" spans="3:4" ht="15" x14ac:dyDescent="0.25">
      <c r="C7112" s="8" t="e">
        <f>VLOOKUP(A:A,'ITEM LIST'!A:C,3,0)</f>
        <v>#N/A</v>
      </c>
      <c r="D7112" s="6">
        <f t="shared" si="112"/>
        <v>0</v>
      </c>
    </row>
    <row r="7113" spans="3:4" ht="15" x14ac:dyDescent="0.25">
      <c r="C7113" s="8" t="e">
        <f>VLOOKUP(A:A,'ITEM LIST'!A:C,3,0)</f>
        <v>#N/A</v>
      </c>
      <c r="D7113" s="6">
        <f t="shared" si="112"/>
        <v>0</v>
      </c>
    </row>
    <row r="7114" spans="3:4" ht="15" x14ac:dyDescent="0.25">
      <c r="C7114" s="8" t="e">
        <f>VLOOKUP(A:A,'ITEM LIST'!A:C,3,0)</f>
        <v>#N/A</v>
      </c>
      <c r="D7114" s="6">
        <f t="shared" si="112"/>
        <v>0</v>
      </c>
    </row>
    <row r="7115" spans="3:4" ht="15" x14ac:dyDescent="0.25">
      <c r="C7115" s="8" t="e">
        <f>VLOOKUP(A:A,'ITEM LIST'!A:C,3,0)</f>
        <v>#N/A</v>
      </c>
      <c r="D7115" s="6">
        <f t="shared" si="112"/>
        <v>0</v>
      </c>
    </row>
    <row r="7116" spans="3:4" ht="15" x14ac:dyDescent="0.25">
      <c r="C7116" s="8" t="e">
        <f>VLOOKUP(A:A,'ITEM LIST'!A:C,3,0)</f>
        <v>#N/A</v>
      </c>
      <c r="D7116" s="6">
        <f t="shared" si="112"/>
        <v>0</v>
      </c>
    </row>
    <row r="7117" spans="3:4" ht="15" x14ac:dyDescent="0.25">
      <c r="C7117" s="8" t="e">
        <f>VLOOKUP(A:A,'ITEM LIST'!A:C,3,0)</f>
        <v>#N/A</v>
      </c>
      <c r="D7117" s="6">
        <f t="shared" si="112"/>
        <v>0</v>
      </c>
    </row>
    <row r="7118" spans="3:4" ht="15" x14ac:dyDescent="0.25">
      <c r="C7118" s="8" t="e">
        <f>VLOOKUP(A:A,'ITEM LIST'!A:C,3,0)</f>
        <v>#N/A</v>
      </c>
      <c r="D7118" s="6">
        <f t="shared" si="112"/>
        <v>0</v>
      </c>
    </row>
    <row r="7119" spans="3:4" ht="15" x14ac:dyDescent="0.25">
      <c r="C7119" s="8" t="e">
        <f>VLOOKUP(A:A,'ITEM LIST'!A:C,3,0)</f>
        <v>#N/A</v>
      </c>
      <c r="D7119" s="6">
        <f t="shared" si="112"/>
        <v>0</v>
      </c>
    </row>
    <row r="7120" spans="3:4" ht="15" x14ac:dyDescent="0.25">
      <c r="C7120" s="8" t="e">
        <f>VLOOKUP(A:A,'ITEM LIST'!A:C,3,0)</f>
        <v>#N/A</v>
      </c>
      <c r="D7120" s="6">
        <f t="shared" si="112"/>
        <v>0</v>
      </c>
    </row>
    <row r="7121" spans="3:4" ht="15" x14ac:dyDescent="0.25">
      <c r="C7121" s="8" t="e">
        <f>VLOOKUP(A:A,'ITEM LIST'!A:C,3,0)</f>
        <v>#N/A</v>
      </c>
      <c r="D7121" s="6">
        <f t="shared" si="112"/>
        <v>0</v>
      </c>
    </row>
    <row r="7122" spans="3:4" ht="15" x14ac:dyDescent="0.25">
      <c r="C7122" s="8" t="e">
        <f>VLOOKUP(A:A,'ITEM LIST'!A:C,3,0)</f>
        <v>#N/A</v>
      </c>
      <c r="D7122" s="6">
        <f t="shared" si="112"/>
        <v>0</v>
      </c>
    </row>
    <row r="7123" spans="3:4" ht="15" x14ac:dyDescent="0.25">
      <c r="C7123" s="8" t="e">
        <f>VLOOKUP(A:A,'ITEM LIST'!A:C,3,0)</f>
        <v>#N/A</v>
      </c>
      <c r="D7123" s="6">
        <f t="shared" si="112"/>
        <v>0</v>
      </c>
    </row>
    <row r="7124" spans="3:4" ht="15" x14ac:dyDescent="0.25">
      <c r="C7124" s="8" t="e">
        <f>VLOOKUP(A:A,'ITEM LIST'!A:C,3,0)</f>
        <v>#N/A</v>
      </c>
      <c r="D7124" s="6">
        <f t="shared" si="112"/>
        <v>0</v>
      </c>
    </row>
    <row r="7125" spans="3:4" ht="15" x14ac:dyDescent="0.25">
      <c r="C7125" s="8" t="e">
        <f>VLOOKUP(A:A,'ITEM LIST'!A:C,3,0)</f>
        <v>#N/A</v>
      </c>
      <c r="D7125" s="6">
        <f t="shared" si="112"/>
        <v>0</v>
      </c>
    </row>
    <row r="7126" spans="3:4" ht="15" x14ac:dyDescent="0.25">
      <c r="C7126" s="8" t="e">
        <f>VLOOKUP(A:A,'ITEM LIST'!A:C,3,0)</f>
        <v>#N/A</v>
      </c>
      <c r="D7126" s="6">
        <f t="shared" si="112"/>
        <v>0</v>
      </c>
    </row>
    <row r="7127" spans="3:4" ht="15" x14ac:dyDescent="0.25">
      <c r="C7127" s="8" t="e">
        <f>VLOOKUP(A:A,'ITEM LIST'!A:C,3,0)</f>
        <v>#N/A</v>
      </c>
      <c r="D7127" s="6">
        <f t="shared" si="112"/>
        <v>0</v>
      </c>
    </row>
    <row r="7128" spans="3:4" ht="15" x14ac:dyDescent="0.25">
      <c r="C7128" s="8" t="e">
        <f>VLOOKUP(A:A,'ITEM LIST'!A:C,3,0)</f>
        <v>#N/A</v>
      </c>
      <c r="D7128" s="6">
        <f t="shared" si="112"/>
        <v>0</v>
      </c>
    </row>
    <row r="7129" spans="3:4" ht="15" x14ac:dyDescent="0.25">
      <c r="C7129" s="8" t="e">
        <f>VLOOKUP(A:A,'ITEM LIST'!A:C,3,0)</f>
        <v>#N/A</v>
      </c>
      <c r="D7129" s="6">
        <f t="shared" si="112"/>
        <v>0</v>
      </c>
    </row>
    <row r="7130" spans="3:4" ht="15" x14ac:dyDescent="0.25">
      <c r="C7130" s="8" t="e">
        <f>VLOOKUP(A:A,'ITEM LIST'!A:C,3,0)</f>
        <v>#N/A</v>
      </c>
      <c r="D7130" s="6">
        <f t="shared" si="112"/>
        <v>0</v>
      </c>
    </row>
    <row r="7131" spans="3:4" ht="15" x14ac:dyDescent="0.25">
      <c r="C7131" s="8" t="e">
        <f>VLOOKUP(A:A,'ITEM LIST'!A:C,3,0)</f>
        <v>#N/A</v>
      </c>
      <c r="D7131" s="6">
        <f t="shared" si="112"/>
        <v>0</v>
      </c>
    </row>
    <row r="7132" spans="3:4" ht="15" x14ac:dyDescent="0.25">
      <c r="C7132" s="8" t="e">
        <f>VLOOKUP(A:A,'ITEM LIST'!A:C,3,0)</f>
        <v>#N/A</v>
      </c>
      <c r="D7132" s="6">
        <f t="shared" si="112"/>
        <v>0</v>
      </c>
    </row>
    <row r="7133" spans="3:4" ht="15" x14ac:dyDescent="0.25">
      <c r="C7133" s="8" t="e">
        <f>VLOOKUP(A:A,'ITEM LIST'!A:C,3,0)</f>
        <v>#N/A</v>
      </c>
      <c r="D7133" s="6">
        <f t="shared" si="112"/>
        <v>0</v>
      </c>
    </row>
    <row r="7134" spans="3:4" ht="15" x14ac:dyDescent="0.25">
      <c r="C7134" s="8" t="e">
        <f>VLOOKUP(A:A,'ITEM LIST'!A:C,3,0)</f>
        <v>#N/A</v>
      </c>
      <c r="D7134" s="6">
        <f t="shared" si="112"/>
        <v>0</v>
      </c>
    </row>
    <row r="7135" spans="3:4" ht="15" x14ac:dyDescent="0.25">
      <c r="C7135" s="8" t="e">
        <f>VLOOKUP(A:A,'ITEM LIST'!A:C,3,0)</f>
        <v>#N/A</v>
      </c>
      <c r="D7135" s="6">
        <f t="shared" si="112"/>
        <v>0</v>
      </c>
    </row>
    <row r="7136" spans="3:4" ht="15" x14ac:dyDescent="0.25">
      <c r="C7136" s="8" t="e">
        <f>VLOOKUP(A:A,'ITEM LIST'!A:C,3,0)</f>
        <v>#N/A</v>
      </c>
      <c r="D7136" s="6">
        <f t="shared" si="112"/>
        <v>0</v>
      </c>
    </row>
    <row r="7137" spans="3:4" ht="15" x14ac:dyDescent="0.25">
      <c r="C7137" s="8" t="e">
        <f>VLOOKUP(A:A,'ITEM LIST'!A:C,3,0)</f>
        <v>#N/A</v>
      </c>
      <c r="D7137" s="6">
        <f t="shared" si="112"/>
        <v>0</v>
      </c>
    </row>
    <row r="7138" spans="3:4" ht="15" x14ac:dyDescent="0.25">
      <c r="C7138" s="8" t="e">
        <f>VLOOKUP(A:A,'ITEM LIST'!A:C,3,0)</f>
        <v>#N/A</v>
      </c>
      <c r="D7138" s="6">
        <f t="shared" si="112"/>
        <v>0</v>
      </c>
    </row>
    <row r="7139" spans="3:4" ht="15" x14ac:dyDescent="0.25">
      <c r="C7139" s="8" t="e">
        <f>VLOOKUP(A:A,'ITEM LIST'!A:C,3,0)</f>
        <v>#N/A</v>
      </c>
      <c r="D7139" s="6">
        <f t="shared" si="112"/>
        <v>0</v>
      </c>
    </row>
    <row r="7140" spans="3:4" ht="15" x14ac:dyDescent="0.25">
      <c r="C7140" s="8" t="e">
        <f>VLOOKUP(A:A,'ITEM LIST'!A:C,3,0)</f>
        <v>#N/A</v>
      </c>
      <c r="D7140" s="6">
        <f t="shared" si="112"/>
        <v>0</v>
      </c>
    </row>
    <row r="7141" spans="3:4" ht="15" x14ac:dyDescent="0.25">
      <c r="C7141" s="8" t="e">
        <f>VLOOKUP(A:A,'ITEM LIST'!A:C,3,0)</f>
        <v>#N/A</v>
      </c>
      <c r="D7141" s="6">
        <f t="shared" si="112"/>
        <v>0</v>
      </c>
    </row>
    <row r="7142" spans="3:4" ht="15" x14ac:dyDescent="0.25">
      <c r="C7142" s="8" t="e">
        <f>VLOOKUP(A:A,'ITEM LIST'!A:C,3,0)</f>
        <v>#N/A</v>
      </c>
      <c r="D7142" s="6">
        <f t="shared" si="112"/>
        <v>0</v>
      </c>
    </row>
    <row r="7143" spans="3:4" ht="15" x14ac:dyDescent="0.25">
      <c r="C7143" s="8" t="e">
        <f>VLOOKUP(A:A,'ITEM LIST'!A:C,3,0)</f>
        <v>#N/A</v>
      </c>
      <c r="D7143" s="6">
        <f t="shared" si="112"/>
        <v>0</v>
      </c>
    </row>
    <row r="7144" spans="3:4" ht="15" x14ac:dyDescent="0.25">
      <c r="C7144" s="8" t="e">
        <f>VLOOKUP(A:A,'ITEM LIST'!A:C,3,0)</f>
        <v>#N/A</v>
      </c>
      <c r="D7144" s="6">
        <f t="shared" si="112"/>
        <v>0</v>
      </c>
    </row>
    <row r="7145" spans="3:4" ht="15" x14ac:dyDescent="0.25">
      <c r="C7145" s="8" t="e">
        <f>VLOOKUP(A:A,'ITEM LIST'!A:C,3,0)</f>
        <v>#N/A</v>
      </c>
      <c r="D7145" s="6">
        <f t="shared" si="112"/>
        <v>0</v>
      </c>
    </row>
    <row r="7146" spans="3:4" ht="15" x14ac:dyDescent="0.25">
      <c r="C7146" s="8" t="e">
        <f>VLOOKUP(A:A,'ITEM LIST'!A:C,3,0)</f>
        <v>#N/A</v>
      </c>
      <c r="D7146" s="6">
        <f t="shared" si="112"/>
        <v>0</v>
      </c>
    </row>
    <row r="7147" spans="3:4" ht="15" x14ac:dyDescent="0.25">
      <c r="C7147" s="8" t="e">
        <f>VLOOKUP(A:A,'ITEM LIST'!A:C,3,0)</f>
        <v>#N/A</v>
      </c>
      <c r="D7147" s="6">
        <f t="shared" si="112"/>
        <v>0</v>
      </c>
    </row>
    <row r="7148" spans="3:4" ht="15" x14ac:dyDescent="0.25">
      <c r="C7148" s="8" t="e">
        <f>VLOOKUP(A:A,'ITEM LIST'!A:C,3,0)</f>
        <v>#N/A</v>
      </c>
      <c r="D7148" s="6">
        <f t="shared" si="112"/>
        <v>0</v>
      </c>
    </row>
    <row r="7149" spans="3:4" ht="15" x14ac:dyDescent="0.25">
      <c r="C7149" s="8" t="e">
        <f>VLOOKUP(A:A,'ITEM LIST'!A:C,3,0)</f>
        <v>#N/A</v>
      </c>
      <c r="D7149" s="6">
        <f t="shared" si="112"/>
        <v>0</v>
      </c>
    </row>
    <row r="7150" spans="3:4" ht="15" x14ac:dyDescent="0.25">
      <c r="C7150" s="8" t="e">
        <f>VLOOKUP(A:A,'ITEM LIST'!A:C,3,0)</f>
        <v>#N/A</v>
      </c>
      <c r="D7150" s="6">
        <f t="shared" si="112"/>
        <v>0</v>
      </c>
    </row>
    <row r="7151" spans="3:4" ht="15" x14ac:dyDescent="0.25">
      <c r="C7151" s="8" t="e">
        <f>VLOOKUP(A:A,'ITEM LIST'!A:C,3,0)</f>
        <v>#N/A</v>
      </c>
      <c r="D7151" s="6">
        <f t="shared" si="112"/>
        <v>0</v>
      </c>
    </row>
    <row r="7152" spans="3:4" ht="15" x14ac:dyDescent="0.25">
      <c r="C7152" s="8" t="e">
        <f>VLOOKUP(A:A,'ITEM LIST'!A:C,3,0)</f>
        <v>#N/A</v>
      </c>
      <c r="D7152" s="6">
        <f t="shared" si="112"/>
        <v>0</v>
      </c>
    </row>
    <row r="7153" spans="3:4" ht="15" x14ac:dyDescent="0.25">
      <c r="C7153" s="8" t="e">
        <f>VLOOKUP(A:A,'ITEM LIST'!A:C,3,0)</f>
        <v>#N/A</v>
      </c>
      <c r="D7153" s="6">
        <f t="shared" si="112"/>
        <v>0</v>
      </c>
    </row>
    <row r="7154" spans="3:4" ht="15" x14ac:dyDescent="0.25">
      <c r="C7154" s="8" t="e">
        <f>VLOOKUP(A:A,'ITEM LIST'!A:C,3,0)</f>
        <v>#N/A</v>
      </c>
      <c r="D7154" s="6">
        <f t="shared" si="112"/>
        <v>0</v>
      </c>
    </row>
    <row r="7155" spans="3:4" ht="15" x14ac:dyDescent="0.25">
      <c r="C7155" s="8" t="e">
        <f>VLOOKUP(A:A,'ITEM LIST'!A:C,3,0)</f>
        <v>#N/A</v>
      </c>
      <c r="D7155" s="6">
        <f t="shared" si="112"/>
        <v>0</v>
      </c>
    </row>
    <row r="7156" spans="3:4" ht="15" x14ac:dyDescent="0.25">
      <c r="C7156" s="8" t="e">
        <f>VLOOKUP(A:A,'ITEM LIST'!A:C,3,0)</f>
        <v>#N/A</v>
      </c>
      <c r="D7156" s="6">
        <f t="shared" si="112"/>
        <v>0</v>
      </c>
    </row>
    <row r="7157" spans="3:4" ht="15" x14ac:dyDescent="0.25">
      <c r="C7157" s="8" t="e">
        <f>VLOOKUP(A:A,'ITEM LIST'!A:C,3,0)</f>
        <v>#N/A</v>
      </c>
      <c r="D7157" s="6">
        <f t="shared" si="112"/>
        <v>0</v>
      </c>
    </row>
    <row r="7158" spans="3:4" ht="15" x14ac:dyDescent="0.25">
      <c r="C7158" s="8" t="e">
        <f>VLOOKUP(A:A,'ITEM LIST'!A:C,3,0)</f>
        <v>#N/A</v>
      </c>
      <c r="D7158" s="6">
        <f t="shared" si="112"/>
        <v>0</v>
      </c>
    </row>
    <row r="7159" spans="3:4" ht="15" x14ac:dyDescent="0.25">
      <c r="C7159" s="8" t="e">
        <f>VLOOKUP(A:A,'ITEM LIST'!A:C,3,0)</f>
        <v>#N/A</v>
      </c>
      <c r="D7159" s="6">
        <f t="shared" si="112"/>
        <v>0</v>
      </c>
    </row>
    <row r="7160" spans="3:4" ht="15" x14ac:dyDescent="0.25">
      <c r="C7160" s="8" t="e">
        <f>VLOOKUP(A:A,'ITEM LIST'!A:C,3,0)</f>
        <v>#N/A</v>
      </c>
      <c r="D7160" s="6">
        <f t="shared" si="112"/>
        <v>0</v>
      </c>
    </row>
    <row r="7161" spans="3:4" ht="15" x14ac:dyDescent="0.25">
      <c r="C7161" s="8" t="e">
        <f>VLOOKUP(A:A,'ITEM LIST'!A:C,3,0)</f>
        <v>#N/A</v>
      </c>
      <c r="D7161" s="6">
        <f t="shared" si="112"/>
        <v>0</v>
      </c>
    </row>
    <row r="7162" spans="3:4" ht="15" x14ac:dyDescent="0.25">
      <c r="C7162" s="8" t="e">
        <f>VLOOKUP(A:A,'ITEM LIST'!A:C,3,0)</f>
        <v>#N/A</v>
      </c>
      <c r="D7162" s="6">
        <f t="shared" si="112"/>
        <v>0</v>
      </c>
    </row>
    <row r="7163" spans="3:4" ht="15" x14ac:dyDescent="0.25">
      <c r="C7163" s="8" t="e">
        <f>VLOOKUP(A:A,'ITEM LIST'!A:C,3,0)</f>
        <v>#N/A</v>
      </c>
      <c r="D7163" s="6">
        <f t="shared" si="112"/>
        <v>0</v>
      </c>
    </row>
    <row r="7164" spans="3:4" ht="15" x14ac:dyDescent="0.25">
      <c r="C7164" s="8" t="e">
        <f>VLOOKUP(A:A,'ITEM LIST'!A:C,3,0)</f>
        <v>#N/A</v>
      </c>
      <c r="D7164" s="6">
        <f t="shared" si="112"/>
        <v>0</v>
      </c>
    </row>
    <row r="7165" spans="3:4" ht="15" x14ac:dyDescent="0.25">
      <c r="C7165" s="8" t="e">
        <f>VLOOKUP(A:A,'ITEM LIST'!A:C,3,0)</f>
        <v>#N/A</v>
      </c>
      <c r="D7165" s="6">
        <f t="shared" si="112"/>
        <v>0</v>
      </c>
    </row>
    <row r="7166" spans="3:4" ht="15" x14ac:dyDescent="0.25">
      <c r="C7166" s="8" t="e">
        <f>VLOOKUP(A:A,'ITEM LIST'!A:C,3,0)</f>
        <v>#N/A</v>
      </c>
      <c r="D7166" s="6">
        <f t="shared" si="112"/>
        <v>0</v>
      </c>
    </row>
    <row r="7167" spans="3:4" ht="15" x14ac:dyDescent="0.25">
      <c r="C7167" s="8" t="e">
        <f>VLOOKUP(A:A,'ITEM LIST'!A:C,3,0)</f>
        <v>#N/A</v>
      </c>
      <c r="D7167" s="6">
        <f t="shared" si="112"/>
        <v>0</v>
      </c>
    </row>
    <row r="7168" spans="3:4" ht="15" x14ac:dyDescent="0.25">
      <c r="C7168" s="8" t="e">
        <f>VLOOKUP(A:A,'ITEM LIST'!A:C,3,0)</f>
        <v>#N/A</v>
      </c>
      <c r="D7168" s="6">
        <f t="shared" si="112"/>
        <v>0</v>
      </c>
    </row>
    <row r="7169" spans="3:4" ht="15" x14ac:dyDescent="0.25">
      <c r="C7169" s="8" t="e">
        <f>VLOOKUP(A:A,'ITEM LIST'!A:C,3,0)</f>
        <v>#N/A</v>
      </c>
      <c r="D7169" s="6">
        <f t="shared" si="112"/>
        <v>0</v>
      </c>
    </row>
    <row r="7170" spans="3:4" ht="15" x14ac:dyDescent="0.25">
      <c r="C7170" s="8" t="e">
        <f>VLOOKUP(A:A,'ITEM LIST'!A:C,3,0)</f>
        <v>#N/A</v>
      </c>
      <c r="D7170" s="6">
        <f t="shared" si="112"/>
        <v>0</v>
      </c>
    </row>
    <row r="7171" spans="3:4" ht="15" x14ac:dyDescent="0.25">
      <c r="C7171" s="8" t="e">
        <f>VLOOKUP(A:A,'ITEM LIST'!A:C,3,0)</f>
        <v>#N/A</v>
      </c>
      <c r="D7171" s="6">
        <f t="shared" si="112"/>
        <v>0</v>
      </c>
    </row>
    <row r="7172" spans="3:4" ht="15" x14ac:dyDescent="0.25">
      <c r="C7172" s="8" t="e">
        <f>VLOOKUP(A:A,'ITEM LIST'!A:C,3,0)</f>
        <v>#N/A</v>
      </c>
      <c r="D7172" s="6">
        <f t="shared" si="112"/>
        <v>0</v>
      </c>
    </row>
    <row r="7173" spans="3:4" ht="15" x14ac:dyDescent="0.25">
      <c r="C7173" s="8" t="e">
        <f>VLOOKUP(A:A,'ITEM LIST'!A:C,3,0)</f>
        <v>#N/A</v>
      </c>
      <c r="D7173" s="6">
        <f t="shared" si="112"/>
        <v>0</v>
      </c>
    </row>
    <row r="7174" spans="3:4" ht="15" x14ac:dyDescent="0.25">
      <c r="C7174" s="8" t="e">
        <f>VLOOKUP(A:A,'ITEM LIST'!A:C,3,0)</f>
        <v>#N/A</v>
      </c>
      <c r="D7174" s="6">
        <f t="shared" ref="D7174:D7237" si="113">B7174</f>
        <v>0</v>
      </c>
    </row>
    <row r="7175" spans="3:4" ht="15" x14ac:dyDescent="0.25">
      <c r="C7175" s="8" t="e">
        <f>VLOOKUP(A:A,'ITEM LIST'!A:C,3,0)</f>
        <v>#N/A</v>
      </c>
      <c r="D7175" s="6">
        <f t="shared" si="113"/>
        <v>0</v>
      </c>
    </row>
    <row r="7176" spans="3:4" ht="15" x14ac:dyDescent="0.25">
      <c r="C7176" s="8" t="e">
        <f>VLOOKUP(A:A,'ITEM LIST'!A:C,3,0)</f>
        <v>#N/A</v>
      </c>
      <c r="D7176" s="6">
        <f t="shared" si="113"/>
        <v>0</v>
      </c>
    </row>
    <row r="7177" spans="3:4" ht="15" x14ac:dyDescent="0.25">
      <c r="C7177" s="8" t="e">
        <f>VLOOKUP(A:A,'ITEM LIST'!A:C,3,0)</f>
        <v>#N/A</v>
      </c>
      <c r="D7177" s="6">
        <f t="shared" si="113"/>
        <v>0</v>
      </c>
    </row>
    <row r="7178" spans="3:4" ht="15" x14ac:dyDescent="0.25">
      <c r="C7178" s="8" t="e">
        <f>VLOOKUP(A:A,'ITEM LIST'!A:C,3,0)</f>
        <v>#N/A</v>
      </c>
      <c r="D7178" s="6">
        <f t="shared" si="113"/>
        <v>0</v>
      </c>
    </row>
    <row r="7179" spans="3:4" ht="15" x14ac:dyDescent="0.25">
      <c r="C7179" s="8" t="e">
        <f>VLOOKUP(A:A,'ITEM LIST'!A:C,3,0)</f>
        <v>#N/A</v>
      </c>
      <c r="D7179" s="6">
        <f t="shared" si="113"/>
        <v>0</v>
      </c>
    </row>
    <row r="7180" spans="3:4" ht="15" x14ac:dyDescent="0.25">
      <c r="C7180" s="8" t="e">
        <f>VLOOKUP(A:A,'ITEM LIST'!A:C,3,0)</f>
        <v>#N/A</v>
      </c>
      <c r="D7180" s="6">
        <f t="shared" si="113"/>
        <v>0</v>
      </c>
    </row>
    <row r="7181" spans="3:4" ht="15" x14ac:dyDescent="0.25">
      <c r="C7181" s="8" t="e">
        <f>VLOOKUP(A:A,'ITEM LIST'!A:C,3,0)</f>
        <v>#N/A</v>
      </c>
      <c r="D7181" s="6">
        <f t="shared" si="113"/>
        <v>0</v>
      </c>
    </row>
    <row r="7182" spans="3:4" ht="15" x14ac:dyDescent="0.25">
      <c r="C7182" s="8" t="e">
        <f>VLOOKUP(A:A,'ITEM LIST'!A:C,3,0)</f>
        <v>#N/A</v>
      </c>
      <c r="D7182" s="6">
        <f t="shared" si="113"/>
        <v>0</v>
      </c>
    </row>
    <row r="7183" spans="3:4" ht="15" x14ac:dyDescent="0.25">
      <c r="C7183" s="8" t="e">
        <f>VLOOKUP(A:A,'ITEM LIST'!A:C,3,0)</f>
        <v>#N/A</v>
      </c>
      <c r="D7183" s="6">
        <f t="shared" si="113"/>
        <v>0</v>
      </c>
    </row>
    <row r="7184" spans="3:4" ht="15" x14ac:dyDescent="0.25">
      <c r="C7184" s="8" t="e">
        <f>VLOOKUP(A:A,'ITEM LIST'!A:C,3,0)</f>
        <v>#N/A</v>
      </c>
      <c r="D7184" s="6">
        <f t="shared" si="113"/>
        <v>0</v>
      </c>
    </row>
    <row r="7185" spans="3:4" ht="15" x14ac:dyDescent="0.25">
      <c r="C7185" s="8" t="e">
        <f>VLOOKUP(A:A,'ITEM LIST'!A:C,3,0)</f>
        <v>#N/A</v>
      </c>
      <c r="D7185" s="6">
        <f t="shared" si="113"/>
        <v>0</v>
      </c>
    </row>
    <row r="7186" spans="3:4" ht="15" x14ac:dyDescent="0.25">
      <c r="C7186" s="8" t="e">
        <f>VLOOKUP(A:A,'ITEM LIST'!A:C,3,0)</f>
        <v>#N/A</v>
      </c>
      <c r="D7186" s="6">
        <f t="shared" si="113"/>
        <v>0</v>
      </c>
    </row>
    <row r="7187" spans="3:4" ht="15" x14ac:dyDescent="0.25">
      <c r="C7187" s="8" t="e">
        <f>VLOOKUP(A:A,'ITEM LIST'!A:C,3,0)</f>
        <v>#N/A</v>
      </c>
      <c r="D7187" s="6">
        <f t="shared" si="113"/>
        <v>0</v>
      </c>
    </row>
    <row r="7188" spans="3:4" ht="15" x14ac:dyDescent="0.25">
      <c r="C7188" s="8" t="e">
        <f>VLOOKUP(A:A,'ITEM LIST'!A:C,3,0)</f>
        <v>#N/A</v>
      </c>
      <c r="D7188" s="6">
        <f t="shared" si="113"/>
        <v>0</v>
      </c>
    </row>
    <row r="7189" spans="3:4" ht="15" x14ac:dyDescent="0.25">
      <c r="C7189" s="8" t="e">
        <f>VLOOKUP(A:A,'ITEM LIST'!A:C,3,0)</f>
        <v>#N/A</v>
      </c>
      <c r="D7189" s="6">
        <f t="shared" si="113"/>
        <v>0</v>
      </c>
    </row>
    <row r="7190" spans="3:4" ht="15" x14ac:dyDescent="0.25">
      <c r="C7190" s="8" t="e">
        <f>VLOOKUP(A:A,'ITEM LIST'!A:C,3,0)</f>
        <v>#N/A</v>
      </c>
      <c r="D7190" s="6">
        <f t="shared" si="113"/>
        <v>0</v>
      </c>
    </row>
    <row r="7191" spans="3:4" ht="15" x14ac:dyDescent="0.25">
      <c r="C7191" s="8" t="e">
        <f>VLOOKUP(A:A,'ITEM LIST'!A:C,3,0)</f>
        <v>#N/A</v>
      </c>
      <c r="D7191" s="6">
        <f t="shared" si="113"/>
        <v>0</v>
      </c>
    </row>
    <row r="7192" spans="3:4" ht="15" x14ac:dyDescent="0.25">
      <c r="C7192" s="8" t="e">
        <f>VLOOKUP(A:A,'ITEM LIST'!A:C,3,0)</f>
        <v>#N/A</v>
      </c>
      <c r="D7192" s="6">
        <f t="shared" si="113"/>
        <v>0</v>
      </c>
    </row>
    <row r="7193" spans="3:4" ht="15" x14ac:dyDescent="0.25">
      <c r="C7193" s="8" t="e">
        <f>VLOOKUP(A:A,'ITEM LIST'!A:C,3,0)</f>
        <v>#N/A</v>
      </c>
      <c r="D7193" s="6">
        <f t="shared" si="113"/>
        <v>0</v>
      </c>
    </row>
    <row r="7194" spans="3:4" ht="15" x14ac:dyDescent="0.25">
      <c r="C7194" s="8" t="e">
        <f>VLOOKUP(A:A,'ITEM LIST'!A:C,3,0)</f>
        <v>#N/A</v>
      </c>
      <c r="D7194" s="6">
        <f t="shared" si="113"/>
        <v>0</v>
      </c>
    </row>
    <row r="7195" spans="3:4" ht="15" x14ac:dyDescent="0.25">
      <c r="C7195" s="8" t="e">
        <f>VLOOKUP(A:A,'ITEM LIST'!A:C,3,0)</f>
        <v>#N/A</v>
      </c>
      <c r="D7195" s="6">
        <f t="shared" si="113"/>
        <v>0</v>
      </c>
    </row>
    <row r="7196" spans="3:4" ht="15" x14ac:dyDescent="0.25">
      <c r="C7196" s="8" t="e">
        <f>VLOOKUP(A:A,'ITEM LIST'!A:C,3,0)</f>
        <v>#N/A</v>
      </c>
      <c r="D7196" s="6">
        <f t="shared" si="113"/>
        <v>0</v>
      </c>
    </row>
    <row r="7197" spans="3:4" ht="15" x14ac:dyDescent="0.25">
      <c r="C7197" s="8" t="e">
        <f>VLOOKUP(A:A,'ITEM LIST'!A:C,3,0)</f>
        <v>#N/A</v>
      </c>
      <c r="D7197" s="6">
        <f t="shared" si="113"/>
        <v>0</v>
      </c>
    </row>
    <row r="7198" spans="3:4" ht="15" x14ac:dyDescent="0.25">
      <c r="C7198" s="8" t="e">
        <f>VLOOKUP(A:A,'ITEM LIST'!A:C,3,0)</f>
        <v>#N/A</v>
      </c>
      <c r="D7198" s="6">
        <f t="shared" si="113"/>
        <v>0</v>
      </c>
    </row>
    <row r="7199" spans="3:4" ht="15" x14ac:dyDescent="0.25">
      <c r="C7199" s="8" t="e">
        <f>VLOOKUP(A:A,'ITEM LIST'!A:C,3,0)</f>
        <v>#N/A</v>
      </c>
      <c r="D7199" s="6">
        <f t="shared" si="113"/>
        <v>0</v>
      </c>
    </row>
    <row r="7200" spans="3:4" ht="15" x14ac:dyDescent="0.25">
      <c r="C7200" s="8" t="e">
        <f>VLOOKUP(A:A,'ITEM LIST'!A:C,3,0)</f>
        <v>#N/A</v>
      </c>
      <c r="D7200" s="6">
        <f t="shared" si="113"/>
        <v>0</v>
      </c>
    </row>
    <row r="7201" spans="3:4" ht="15" x14ac:dyDescent="0.25">
      <c r="C7201" s="8" t="e">
        <f>VLOOKUP(A:A,'ITEM LIST'!A:C,3,0)</f>
        <v>#N/A</v>
      </c>
      <c r="D7201" s="6">
        <f t="shared" si="113"/>
        <v>0</v>
      </c>
    </row>
    <row r="7202" spans="3:4" ht="15" x14ac:dyDescent="0.25">
      <c r="C7202" s="8" t="e">
        <f>VLOOKUP(A:A,'ITEM LIST'!A:C,3,0)</f>
        <v>#N/A</v>
      </c>
      <c r="D7202" s="6">
        <f t="shared" si="113"/>
        <v>0</v>
      </c>
    </row>
    <row r="7203" spans="3:4" ht="15" x14ac:dyDescent="0.25">
      <c r="C7203" s="8" t="e">
        <f>VLOOKUP(A:A,'ITEM LIST'!A:C,3,0)</f>
        <v>#N/A</v>
      </c>
      <c r="D7203" s="6">
        <f t="shared" si="113"/>
        <v>0</v>
      </c>
    </row>
    <row r="7204" spans="3:4" ht="15" x14ac:dyDescent="0.25">
      <c r="C7204" s="8" t="e">
        <f>VLOOKUP(A:A,'ITEM LIST'!A:C,3,0)</f>
        <v>#N/A</v>
      </c>
      <c r="D7204" s="6">
        <f t="shared" si="113"/>
        <v>0</v>
      </c>
    </row>
    <row r="7205" spans="3:4" ht="15" x14ac:dyDescent="0.25">
      <c r="C7205" s="8" t="e">
        <f>VLOOKUP(A:A,'ITEM LIST'!A:C,3,0)</f>
        <v>#N/A</v>
      </c>
      <c r="D7205" s="6">
        <f t="shared" si="113"/>
        <v>0</v>
      </c>
    </row>
    <row r="7206" spans="3:4" ht="15" x14ac:dyDescent="0.25">
      <c r="C7206" s="8" t="e">
        <f>VLOOKUP(A:A,'ITEM LIST'!A:C,3,0)</f>
        <v>#N/A</v>
      </c>
      <c r="D7206" s="6">
        <f t="shared" si="113"/>
        <v>0</v>
      </c>
    </row>
    <row r="7207" spans="3:4" ht="15" x14ac:dyDescent="0.25">
      <c r="C7207" s="8" t="e">
        <f>VLOOKUP(A:A,'ITEM LIST'!A:C,3,0)</f>
        <v>#N/A</v>
      </c>
      <c r="D7207" s="6">
        <f t="shared" si="113"/>
        <v>0</v>
      </c>
    </row>
    <row r="7208" spans="3:4" ht="15" x14ac:dyDescent="0.25">
      <c r="C7208" s="8" t="e">
        <f>VLOOKUP(A:A,'ITEM LIST'!A:C,3,0)</f>
        <v>#N/A</v>
      </c>
      <c r="D7208" s="6">
        <f t="shared" si="113"/>
        <v>0</v>
      </c>
    </row>
    <row r="7209" spans="3:4" ht="15" x14ac:dyDescent="0.25">
      <c r="C7209" s="8" t="e">
        <f>VLOOKUP(A:A,'ITEM LIST'!A:C,3,0)</f>
        <v>#N/A</v>
      </c>
      <c r="D7209" s="6">
        <f t="shared" si="113"/>
        <v>0</v>
      </c>
    </row>
    <row r="7210" spans="3:4" ht="15" x14ac:dyDescent="0.25">
      <c r="C7210" s="8" t="e">
        <f>VLOOKUP(A:A,'ITEM LIST'!A:C,3,0)</f>
        <v>#N/A</v>
      </c>
      <c r="D7210" s="6">
        <f t="shared" si="113"/>
        <v>0</v>
      </c>
    </row>
    <row r="7211" spans="3:4" ht="15" x14ac:dyDescent="0.25">
      <c r="C7211" s="8" t="e">
        <f>VLOOKUP(A:A,'ITEM LIST'!A:C,3,0)</f>
        <v>#N/A</v>
      </c>
      <c r="D7211" s="6">
        <f t="shared" si="113"/>
        <v>0</v>
      </c>
    </row>
    <row r="7212" spans="3:4" ht="15" x14ac:dyDescent="0.25">
      <c r="C7212" s="8" t="e">
        <f>VLOOKUP(A:A,'ITEM LIST'!A:C,3,0)</f>
        <v>#N/A</v>
      </c>
      <c r="D7212" s="6">
        <f t="shared" si="113"/>
        <v>0</v>
      </c>
    </row>
    <row r="7213" spans="3:4" ht="15" x14ac:dyDescent="0.25">
      <c r="C7213" s="8" t="e">
        <f>VLOOKUP(A:A,'ITEM LIST'!A:C,3,0)</f>
        <v>#N/A</v>
      </c>
      <c r="D7213" s="6">
        <f t="shared" si="113"/>
        <v>0</v>
      </c>
    </row>
    <row r="7214" spans="3:4" ht="15" x14ac:dyDescent="0.25">
      <c r="C7214" s="8" t="e">
        <f>VLOOKUP(A:A,'ITEM LIST'!A:C,3,0)</f>
        <v>#N/A</v>
      </c>
      <c r="D7214" s="6">
        <f t="shared" si="113"/>
        <v>0</v>
      </c>
    </row>
    <row r="7215" spans="3:4" ht="15" x14ac:dyDescent="0.25">
      <c r="C7215" s="8" t="e">
        <f>VLOOKUP(A:A,'ITEM LIST'!A:C,3,0)</f>
        <v>#N/A</v>
      </c>
      <c r="D7215" s="6">
        <f t="shared" si="113"/>
        <v>0</v>
      </c>
    </row>
    <row r="7216" spans="3:4" ht="15" x14ac:dyDescent="0.25">
      <c r="C7216" s="8" t="e">
        <f>VLOOKUP(A:A,'ITEM LIST'!A:C,3,0)</f>
        <v>#N/A</v>
      </c>
      <c r="D7216" s="6">
        <f t="shared" si="113"/>
        <v>0</v>
      </c>
    </row>
    <row r="7217" spans="3:4" ht="15" x14ac:dyDescent="0.25">
      <c r="C7217" s="8" t="e">
        <f>VLOOKUP(A:A,'ITEM LIST'!A:C,3,0)</f>
        <v>#N/A</v>
      </c>
      <c r="D7217" s="6">
        <f t="shared" si="113"/>
        <v>0</v>
      </c>
    </row>
    <row r="7218" spans="3:4" ht="15" x14ac:dyDescent="0.25">
      <c r="C7218" s="8" t="e">
        <f>VLOOKUP(A:A,'ITEM LIST'!A:C,3,0)</f>
        <v>#N/A</v>
      </c>
      <c r="D7218" s="6">
        <f t="shared" si="113"/>
        <v>0</v>
      </c>
    </row>
    <row r="7219" spans="3:4" ht="15" x14ac:dyDescent="0.25">
      <c r="C7219" s="8" t="e">
        <f>VLOOKUP(A:A,'ITEM LIST'!A:C,3,0)</f>
        <v>#N/A</v>
      </c>
      <c r="D7219" s="6">
        <f t="shared" si="113"/>
        <v>0</v>
      </c>
    </row>
    <row r="7220" spans="3:4" ht="15" x14ac:dyDescent="0.25">
      <c r="C7220" s="8" t="e">
        <f>VLOOKUP(A:A,'ITEM LIST'!A:C,3,0)</f>
        <v>#N/A</v>
      </c>
      <c r="D7220" s="6">
        <f t="shared" si="113"/>
        <v>0</v>
      </c>
    </row>
    <row r="7221" spans="3:4" ht="15" x14ac:dyDescent="0.25">
      <c r="C7221" s="8" t="e">
        <f>VLOOKUP(A:A,'ITEM LIST'!A:C,3,0)</f>
        <v>#N/A</v>
      </c>
      <c r="D7221" s="6">
        <f t="shared" si="113"/>
        <v>0</v>
      </c>
    </row>
    <row r="7222" spans="3:4" ht="15" x14ac:dyDescent="0.25">
      <c r="C7222" s="8" t="e">
        <f>VLOOKUP(A:A,'ITEM LIST'!A:C,3,0)</f>
        <v>#N/A</v>
      </c>
      <c r="D7222" s="6">
        <f t="shared" si="113"/>
        <v>0</v>
      </c>
    </row>
    <row r="7223" spans="3:4" ht="15" x14ac:dyDescent="0.25">
      <c r="C7223" s="8" t="e">
        <f>VLOOKUP(A:A,'ITEM LIST'!A:C,3,0)</f>
        <v>#N/A</v>
      </c>
      <c r="D7223" s="6">
        <f t="shared" si="113"/>
        <v>0</v>
      </c>
    </row>
    <row r="7224" spans="3:4" ht="15" x14ac:dyDescent="0.25">
      <c r="C7224" s="8" t="e">
        <f>VLOOKUP(A:A,'ITEM LIST'!A:C,3,0)</f>
        <v>#N/A</v>
      </c>
      <c r="D7224" s="6">
        <f t="shared" si="113"/>
        <v>0</v>
      </c>
    </row>
    <row r="7225" spans="3:4" ht="15" x14ac:dyDescent="0.25">
      <c r="C7225" s="8" t="e">
        <f>VLOOKUP(A:A,'ITEM LIST'!A:C,3,0)</f>
        <v>#N/A</v>
      </c>
      <c r="D7225" s="6">
        <f t="shared" si="113"/>
        <v>0</v>
      </c>
    </row>
    <row r="7226" spans="3:4" ht="15" x14ac:dyDescent="0.25">
      <c r="C7226" s="8" t="e">
        <f>VLOOKUP(A:A,'ITEM LIST'!A:C,3,0)</f>
        <v>#N/A</v>
      </c>
      <c r="D7226" s="6">
        <f t="shared" si="113"/>
        <v>0</v>
      </c>
    </row>
    <row r="7227" spans="3:4" ht="15" x14ac:dyDescent="0.25">
      <c r="C7227" s="8" t="e">
        <f>VLOOKUP(A:A,'ITEM LIST'!A:C,3,0)</f>
        <v>#N/A</v>
      </c>
      <c r="D7227" s="6">
        <f t="shared" si="113"/>
        <v>0</v>
      </c>
    </row>
    <row r="7228" spans="3:4" ht="15" x14ac:dyDescent="0.25">
      <c r="C7228" s="8" t="e">
        <f>VLOOKUP(A:A,'ITEM LIST'!A:C,3,0)</f>
        <v>#N/A</v>
      </c>
      <c r="D7228" s="6">
        <f t="shared" si="113"/>
        <v>0</v>
      </c>
    </row>
    <row r="7229" spans="3:4" ht="15" x14ac:dyDescent="0.25">
      <c r="C7229" s="8" t="e">
        <f>VLOOKUP(A:A,'ITEM LIST'!A:C,3,0)</f>
        <v>#N/A</v>
      </c>
      <c r="D7229" s="6">
        <f t="shared" si="113"/>
        <v>0</v>
      </c>
    </row>
    <row r="7230" spans="3:4" ht="15" x14ac:dyDescent="0.25">
      <c r="C7230" s="8" t="e">
        <f>VLOOKUP(A:A,'ITEM LIST'!A:C,3,0)</f>
        <v>#N/A</v>
      </c>
      <c r="D7230" s="6">
        <f t="shared" si="113"/>
        <v>0</v>
      </c>
    </row>
    <row r="7231" spans="3:4" ht="15" x14ac:dyDescent="0.25">
      <c r="C7231" s="8" t="e">
        <f>VLOOKUP(A:A,'ITEM LIST'!A:C,3,0)</f>
        <v>#N/A</v>
      </c>
      <c r="D7231" s="6">
        <f t="shared" si="113"/>
        <v>0</v>
      </c>
    </row>
    <row r="7232" spans="3:4" ht="15" x14ac:dyDescent="0.25">
      <c r="C7232" s="8" t="e">
        <f>VLOOKUP(A:A,'ITEM LIST'!A:C,3,0)</f>
        <v>#N/A</v>
      </c>
      <c r="D7232" s="6">
        <f t="shared" si="113"/>
        <v>0</v>
      </c>
    </row>
    <row r="7233" spans="3:4" ht="15" x14ac:dyDescent="0.25">
      <c r="C7233" s="8" t="e">
        <f>VLOOKUP(A:A,'ITEM LIST'!A:C,3,0)</f>
        <v>#N/A</v>
      </c>
      <c r="D7233" s="6">
        <f t="shared" si="113"/>
        <v>0</v>
      </c>
    </row>
    <row r="7234" spans="3:4" ht="15" x14ac:dyDescent="0.25">
      <c r="C7234" s="8" t="e">
        <f>VLOOKUP(A:A,'ITEM LIST'!A:C,3,0)</f>
        <v>#N/A</v>
      </c>
      <c r="D7234" s="6">
        <f t="shared" si="113"/>
        <v>0</v>
      </c>
    </row>
    <row r="7235" spans="3:4" ht="15" x14ac:dyDescent="0.25">
      <c r="C7235" s="8" t="e">
        <f>VLOOKUP(A:A,'ITEM LIST'!A:C,3,0)</f>
        <v>#N/A</v>
      </c>
      <c r="D7235" s="6">
        <f t="shared" si="113"/>
        <v>0</v>
      </c>
    </row>
    <row r="7236" spans="3:4" ht="15" x14ac:dyDescent="0.25">
      <c r="C7236" s="8" t="e">
        <f>VLOOKUP(A:A,'ITEM LIST'!A:C,3,0)</f>
        <v>#N/A</v>
      </c>
      <c r="D7236" s="6">
        <f t="shared" si="113"/>
        <v>0</v>
      </c>
    </row>
    <row r="7237" spans="3:4" ht="15" x14ac:dyDescent="0.25">
      <c r="C7237" s="8" t="e">
        <f>VLOOKUP(A:A,'ITEM LIST'!A:C,3,0)</f>
        <v>#N/A</v>
      </c>
      <c r="D7237" s="6">
        <f t="shared" si="113"/>
        <v>0</v>
      </c>
    </row>
    <row r="7238" spans="3:4" ht="15" x14ac:dyDescent="0.25">
      <c r="C7238" s="8" t="e">
        <f>VLOOKUP(A:A,'ITEM LIST'!A:C,3,0)</f>
        <v>#N/A</v>
      </c>
      <c r="D7238" s="6">
        <f t="shared" ref="D7238:D7301" si="114">B7238</f>
        <v>0</v>
      </c>
    </row>
    <row r="7239" spans="3:4" ht="15" x14ac:dyDescent="0.25">
      <c r="C7239" s="8" t="e">
        <f>VLOOKUP(A:A,'ITEM LIST'!A:C,3,0)</f>
        <v>#N/A</v>
      </c>
      <c r="D7239" s="6">
        <f t="shared" si="114"/>
        <v>0</v>
      </c>
    </row>
    <row r="7240" spans="3:4" ht="15" x14ac:dyDescent="0.25">
      <c r="C7240" s="8" t="e">
        <f>VLOOKUP(A:A,'ITEM LIST'!A:C,3,0)</f>
        <v>#N/A</v>
      </c>
      <c r="D7240" s="6">
        <f t="shared" si="114"/>
        <v>0</v>
      </c>
    </row>
    <row r="7241" spans="3:4" ht="15" x14ac:dyDescent="0.25">
      <c r="C7241" s="8" t="e">
        <f>VLOOKUP(A:A,'ITEM LIST'!A:C,3,0)</f>
        <v>#N/A</v>
      </c>
      <c r="D7241" s="6">
        <f t="shared" si="114"/>
        <v>0</v>
      </c>
    </row>
    <row r="7242" spans="3:4" ht="15" x14ac:dyDescent="0.25">
      <c r="C7242" s="8" t="e">
        <f>VLOOKUP(A:A,'ITEM LIST'!A:C,3,0)</f>
        <v>#N/A</v>
      </c>
      <c r="D7242" s="6">
        <f t="shared" si="114"/>
        <v>0</v>
      </c>
    </row>
    <row r="7243" spans="3:4" ht="15" x14ac:dyDescent="0.25">
      <c r="C7243" s="8" t="e">
        <f>VLOOKUP(A:A,'ITEM LIST'!A:C,3,0)</f>
        <v>#N/A</v>
      </c>
      <c r="D7243" s="6">
        <f t="shared" si="114"/>
        <v>0</v>
      </c>
    </row>
    <row r="7244" spans="3:4" ht="15" x14ac:dyDescent="0.25">
      <c r="C7244" s="8" t="e">
        <f>VLOOKUP(A:A,'ITEM LIST'!A:C,3,0)</f>
        <v>#N/A</v>
      </c>
      <c r="D7244" s="6">
        <f t="shared" si="114"/>
        <v>0</v>
      </c>
    </row>
    <row r="7245" spans="3:4" ht="15" x14ac:dyDescent="0.25">
      <c r="C7245" s="8" t="e">
        <f>VLOOKUP(A:A,'ITEM LIST'!A:C,3,0)</f>
        <v>#N/A</v>
      </c>
      <c r="D7245" s="6">
        <f t="shared" si="114"/>
        <v>0</v>
      </c>
    </row>
    <row r="7246" spans="3:4" ht="15" x14ac:dyDescent="0.25">
      <c r="C7246" s="8" t="e">
        <f>VLOOKUP(A:A,'ITEM LIST'!A:C,3,0)</f>
        <v>#N/A</v>
      </c>
      <c r="D7246" s="6">
        <f t="shared" si="114"/>
        <v>0</v>
      </c>
    </row>
    <row r="7247" spans="3:4" ht="15" x14ac:dyDescent="0.25">
      <c r="C7247" s="8" t="e">
        <f>VLOOKUP(A:A,'ITEM LIST'!A:C,3,0)</f>
        <v>#N/A</v>
      </c>
      <c r="D7247" s="6">
        <f t="shared" si="114"/>
        <v>0</v>
      </c>
    </row>
    <row r="7248" spans="3:4" ht="15" x14ac:dyDescent="0.25">
      <c r="C7248" s="8" t="e">
        <f>VLOOKUP(A:A,'ITEM LIST'!A:C,3,0)</f>
        <v>#N/A</v>
      </c>
      <c r="D7248" s="6">
        <f t="shared" si="114"/>
        <v>0</v>
      </c>
    </row>
    <row r="7249" spans="3:4" ht="15" x14ac:dyDescent="0.25">
      <c r="C7249" s="8" t="e">
        <f>VLOOKUP(A:A,'ITEM LIST'!A:C,3,0)</f>
        <v>#N/A</v>
      </c>
      <c r="D7249" s="6">
        <f t="shared" si="114"/>
        <v>0</v>
      </c>
    </row>
    <row r="7250" spans="3:4" ht="15" x14ac:dyDescent="0.25">
      <c r="C7250" s="8" t="e">
        <f>VLOOKUP(A:A,'ITEM LIST'!A:C,3,0)</f>
        <v>#N/A</v>
      </c>
      <c r="D7250" s="6">
        <f t="shared" si="114"/>
        <v>0</v>
      </c>
    </row>
    <row r="7251" spans="3:4" ht="15" x14ac:dyDescent="0.25">
      <c r="C7251" s="8" t="e">
        <f>VLOOKUP(A:A,'ITEM LIST'!A:C,3,0)</f>
        <v>#N/A</v>
      </c>
      <c r="D7251" s="6">
        <f t="shared" si="114"/>
        <v>0</v>
      </c>
    </row>
    <row r="7252" spans="3:4" ht="15" x14ac:dyDescent="0.25">
      <c r="C7252" s="8" t="e">
        <f>VLOOKUP(A:A,'ITEM LIST'!A:C,3,0)</f>
        <v>#N/A</v>
      </c>
      <c r="D7252" s="6">
        <f t="shared" si="114"/>
        <v>0</v>
      </c>
    </row>
    <row r="7253" spans="3:4" ht="15" x14ac:dyDescent="0.25">
      <c r="C7253" s="8" t="e">
        <f>VLOOKUP(A:A,'ITEM LIST'!A:C,3,0)</f>
        <v>#N/A</v>
      </c>
      <c r="D7253" s="6">
        <f t="shared" si="114"/>
        <v>0</v>
      </c>
    </row>
    <row r="7254" spans="3:4" ht="15" x14ac:dyDescent="0.25">
      <c r="C7254" s="8" t="e">
        <f>VLOOKUP(A:A,'ITEM LIST'!A:C,3,0)</f>
        <v>#N/A</v>
      </c>
      <c r="D7254" s="6">
        <f t="shared" si="114"/>
        <v>0</v>
      </c>
    </row>
    <row r="7255" spans="3:4" ht="15" x14ac:dyDescent="0.25">
      <c r="C7255" s="8" t="e">
        <f>VLOOKUP(A:A,'ITEM LIST'!A:C,3,0)</f>
        <v>#N/A</v>
      </c>
      <c r="D7255" s="6">
        <f t="shared" si="114"/>
        <v>0</v>
      </c>
    </row>
    <row r="7256" spans="3:4" ht="15" x14ac:dyDescent="0.25">
      <c r="C7256" s="8" t="e">
        <f>VLOOKUP(A:A,'ITEM LIST'!A:C,3,0)</f>
        <v>#N/A</v>
      </c>
      <c r="D7256" s="6">
        <f t="shared" si="114"/>
        <v>0</v>
      </c>
    </row>
    <row r="7257" spans="3:4" ht="15" x14ac:dyDescent="0.25">
      <c r="C7257" s="8" t="e">
        <f>VLOOKUP(A:A,'ITEM LIST'!A:C,3,0)</f>
        <v>#N/A</v>
      </c>
      <c r="D7257" s="6">
        <f t="shared" si="114"/>
        <v>0</v>
      </c>
    </row>
    <row r="7258" spans="3:4" ht="15" x14ac:dyDescent="0.25">
      <c r="C7258" s="8" t="e">
        <f>VLOOKUP(A:A,'ITEM LIST'!A:C,3,0)</f>
        <v>#N/A</v>
      </c>
      <c r="D7258" s="6">
        <f t="shared" si="114"/>
        <v>0</v>
      </c>
    </row>
    <row r="7259" spans="3:4" ht="15" x14ac:dyDescent="0.25">
      <c r="C7259" s="8" t="e">
        <f>VLOOKUP(A:A,'ITEM LIST'!A:C,3,0)</f>
        <v>#N/A</v>
      </c>
      <c r="D7259" s="6">
        <f t="shared" si="114"/>
        <v>0</v>
      </c>
    </row>
    <row r="7260" spans="3:4" ht="15" x14ac:dyDescent="0.25">
      <c r="C7260" s="8" t="e">
        <f>VLOOKUP(A:A,'ITEM LIST'!A:C,3,0)</f>
        <v>#N/A</v>
      </c>
      <c r="D7260" s="6">
        <f t="shared" si="114"/>
        <v>0</v>
      </c>
    </row>
    <row r="7261" spans="3:4" ht="15" x14ac:dyDescent="0.25">
      <c r="C7261" s="8" t="e">
        <f>VLOOKUP(A:A,'ITEM LIST'!A:C,3,0)</f>
        <v>#N/A</v>
      </c>
      <c r="D7261" s="6">
        <f t="shared" si="114"/>
        <v>0</v>
      </c>
    </row>
    <row r="7262" spans="3:4" ht="15" x14ac:dyDescent="0.25">
      <c r="C7262" s="8" t="e">
        <f>VLOOKUP(A:A,'ITEM LIST'!A:C,3,0)</f>
        <v>#N/A</v>
      </c>
      <c r="D7262" s="6">
        <f t="shared" si="114"/>
        <v>0</v>
      </c>
    </row>
    <row r="7263" spans="3:4" ht="15" x14ac:dyDescent="0.25">
      <c r="C7263" s="8" t="e">
        <f>VLOOKUP(A:A,'ITEM LIST'!A:C,3,0)</f>
        <v>#N/A</v>
      </c>
      <c r="D7263" s="6">
        <f t="shared" si="114"/>
        <v>0</v>
      </c>
    </row>
    <row r="7264" spans="3:4" ht="15" x14ac:dyDescent="0.25">
      <c r="C7264" s="8" t="e">
        <f>VLOOKUP(A:A,'ITEM LIST'!A:C,3,0)</f>
        <v>#N/A</v>
      </c>
      <c r="D7264" s="6">
        <f t="shared" si="114"/>
        <v>0</v>
      </c>
    </row>
    <row r="7265" spans="3:4" ht="15" x14ac:dyDescent="0.25">
      <c r="C7265" s="8" t="e">
        <f>VLOOKUP(A:A,'ITEM LIST'!A:C,3,0)</f>
        <v>#N/A</v>
      </c>
      <c r="D7265" s="6">
        <f t="shared" si="114"/>
        <v>0</v>
      </c>
    </row>
    <row r="7266" spans="3:4" ht="15" x14ac:dyDescent="0.25">
      <c r="C7266" s="8" t="e">
        <f>VLOOKUP(A:A,'ITEM LIST'!A:C,3,0)</f>
        <v>#N/A</v>
      </c>
      <c r="D7266" s="6">
        <f t="shared" si="114"/>
        <v>0</v>
      </c>
    </row>
    <row r="7267" spans="3:4" ht="15" x14ac:dyDescent="0.25">
      <c r="C7267" s="8" t="e">
        <f>VLOOKUP(A:A,'ITEM LIST'!A:C,3,0)</f>
        <v>#N/A</v>
      </c>
      <c r="D7267" s="6">
        <f t="shared" si="114"/>
        <v>0</v>
      </c>
    </row>
    <row r="7268" spans="3:4" ht="15" x14ac:dyDescent="0.25">
      <c r="C7268" s="8" t="e">
        <f>VLOOKUP(A:A,'ITEM LIST'!A:C,3,0)</f>
        <v>#N/A</v>
      </c>
      <c r="D7268" s="6">
        <f t="shared" si="114"/>
        <v>0</v>
      </c>
    </row>
    <row r="7269" spans="3:4" ht="15" x14ac:dyDescent="0.25">
      <c r="C7269" s="8" t="e">
        <f>VLOOKUP(A:A,'ITEM LIST'!A:C,3,0)</f>
        <v>#N/A</v>
      </c>
      <c r="D7269" s="6">
        <f t="shared" si="114"/>
        <v>0</v>
      </c>
    </row>
    <row r="7270" spans="3:4" ht="15" x14ac:dyDescent="0.25">
      <c r="C7270" s="8" t="e">
        <f>VLOOKUP(A:A,'ITEM LIST'!A:C,3,0)</f>
        <v>#N/A</v>
      </c>
      <c r="D7270" s="6">
        <f t="shared" si="114"/>
        <v>0</v>
      </c>
    </row>
    <row r="7271" spans="3:4" ht="15" x14ac:dyDescent="0.25">
      <c r="C7271" s="8" t="e">
        <f>VLOOKUP(A:A,'ITEM LIST'!A:C,3,0)</f>
        <v>#N/A</v>
      </c>
      <c r="D7271" s="6">
        <f t="shared" si="114"/>
        <v>0</v>
      </c>
    </row>
    <row r="7272" spans="3:4" ht="15" x14ac:dyDescent="0.25">
      <c r="C7272" s="8" t="e">
        <f>VLOOKUP(A:A,'ITEM LIST'!A:C,3,0)</f>
        <v>#N/A</v>
      </c>
      <c r="D7272" s="6">
        <f t="shared" si="114"/>
        <v>0</v>
      </c>
    </row>
    <row r="7273" spans="3:4" ht="15" x14ac:dyDescent="0.25">
      <c r="C7273" s="8" t="e">
        <f>VLOOKUP(A:A,'ITEM LIST'!A:C,3,0)</f>
        <v>#N/A</v>
      </c>
      <c r="D7273" s="6">
        <f t="shared" si="114"/>
        <v>0</v>
      </c>
    </row>
    <row r="7274" spans="3:4" ht="15" x14ac:dyDescent="0.25">
      <c r="C7274" s="8" t="e">
        <f>VLOOKUP(A:A,'ITEM LIST'!A:C,3,0)</f>
        <v>#N/A</v>
      </c>
      <c r="D7274" s="6">
        <f t="shared" si="114"/>
        <v>0</v>
      </c>
    </row>
    <row r="7275" spans="3:4" ht="15" x14ac:dyDescent="0.25">
      <c r="C7275" s="8" t="e">
        <f>VLOOKUP(A:A,'ITEM LIST'!A:C,3,0)</f>
        <v>#N/A</v>
      </c>
      <c r="D7275" s="6">
        <f t="shared" si="114"/>
        <v>0</v>
      </c>
    </row>
    <row r="7276" spans="3:4" ht="15" x14ac:dyDescent="0.25">
      <c r="C7276" s="8" t="e">
        <f>VLOOKUP(A:A,'ITEM LIST'!A:C,3,0)</f>
        <v>#N/A</v>
      </c>
      <c r="D7276" s="6">
        <f t="shared" si="114"/>
        <v>0</v>
      </c>
    </row>
    <row r="7277" spans="3:4" ht="15" x14ac:dyDescent="0.25">
      <c r="C7277" s="8" t="e">
        <f>VLOOKUP(A:A,'ITEM LIST'!A:C,3,0)</f>
        <v>#N/A</v>
      </c>
      <c r="D7277" s="6">
        <f t="shared" si="114"/>
        <v>0</v>
      </c>
    </row>
    <row r="7278" spans="3:4" ht="15" x14ac:dyDescent="0.25">
      <c r="C7278" s="8" t="e">
        <f>VLOOKUP(A:A,'ITEM LIST'!A:C,3,0)</f>
        <v>#N/A</v>
      </c>
      <c r="D7278" s="6">
        <f t="shared" si="114"/>
        <v>0</v>
      </c>
    </row>
    <row r="7279" spans="3:4" ht="15" x14ac:dyDescent="0.25">
      <c r="C7279" s="8" t="e">
        <f>VLOOKUP(A:A,'ITEM LIST'!A:C,3,0)</f>
        <v>#N/A</v>
      </c>
      <c r="D7279" s="6">
        <f t="shared" si="114"/>
        <v>0</v>
      </c>
    </row>
    <row r="7280" spans="3:4" ht="15" x14ac:dyDescent="0.25">
      <c r="C7280" s="8" t="e">
        <f>VLOOKUP(A:A,'ITEM LIST'!A:C,3,0)</f>
        <v>#N/A</v>
      </c>
      <c r="D7280" s="6">
        <f t="shared" si="114"/>
        <v>0</v>
      </c>
    </row>
    <row r="7281" spans="3:4" ht="15" x14ac:dyDescent="0.25">
      <c r="C7281" s="8" t="e">
        <f>VLOOKUP(A:A,'ITEM LIST'!A:C,3,0)</f>
        <v>#N/A</v>
      </c>
      <c r="D7281" s="6">
        <f t="shared" si="114"/>
        <v>0</v>
      </c>
    </row>
    <row r="7282" spans="3:4" ht="15" x14ac:dyDescent="0.25">
      <c r="C7282" s="8" t="e">
        <f>VLOOKUP(A:A,'ITEM LIST'!A:C,3,0)</f>
        <v>#N/A</v>
      </c>
      <c r="D7282" s="6">
        <f t="shared" si="114"/>
        <v>0</v>
      </c>
    </row>
    <row r="7283" spans="3:4" ht="15" x14ac:dyDescent="0.25">
      <c r="C7283" s="8" t="e">
        <f>VLOOKUP(A:A,'ITEM LIST'!A:C,3,0)</f>
        <v>#N/A</v>
      </c>
      <c r="D7283" s="6">
        <f t="shared" si="114"/>
        <v>0</v>
      </c>
    </row>
    <row r="7284" spans="3:4" ht="15" x14ac:dyDescent="0.25">
      <c r="C7284" s="8" t="e">
        <f>VLOOKUP(A:A,'ITEM LIST'!A:C,3,0)</f>
        <v>#N/A</v>
      </c>
      <c r="D7284" s="6">
        <f t="shared" si="114"/>
        <v>0</v>
      </c>
    </row>
    <row r="7285" spans="3:4" ht="15" x14ac:dyDescent="0.25">
      <c r="C7285" s="8" t="e">
        <f>VLOOKUP(A:A,'ITEM LIST'!A:C,3,0)</f>
        <v>#N/A</v>
      </c>
      <c r="D7285" s="6">
        <f t="shared" si="114"/>
        <v>0</v>
      </c>
    </row>
    <row r="7286" spans="3:4" ht="15" x14ac:dyDescent="0.25">
      <c r="C7286" s="8" t="e">
        <f>VLOOKUP(A:A,'ITEM LIST'!A:C,3,0)</f>
        <v>#N/A</v>
      </c>
      <c r="D7286" s="6">
        <f t="shared" si="114"/>
        <v>0</v>
      </c>
    </row>
    <row r="7287" spans="3:4" ht="15" x14ac:dyDescent="0.25">
      <c r="C7287" s="8" t="e">
        <f>VLOOKUP(A:A,'ITEM LIST'!A:C,3,0)</f>
        <v>#N/A</v>
      </c>
      <c r="D7287" s="6">
        <f t="shared" si="114"/>
        <v>0</v>
      </c>
    </row>
    <row r="7288" spans="3:4" ht="15" x14ac:dyDescent="0.25">
      <c r="C7288" s="8" t="e">
        <f>VLOOKUP(A:A,'ITEM LIST'!A:C,3,0)</f>
        <v>#N/A</v>
      </c>
      <c r="D7288" s="6">
        <f t="shared" si="114"/>
        <v>0</v>
      </c>
    </row>
    <row r="7289" spans="3:4" ht="15" x14ac:dyDescent="0.25">
      <c r="C7289" s="8" t="e">
        <f>VLOOKUP(A:A,'ITEM LIST'!A:C,3,0)</f>
        <v>#N/A</v>
      </c>
      <c r="D7289" s="6">
        <f t="shared" si="114"/>
        <v>0</v>
      </c>
    </row>
    <row r="7290" spans="3:4" ht="15" x14ac:dyDescent="0.25">
      <c r="C7290" s="8" t="e">
        <f>VLOOKUP(A:A,'ITEM LIST'!A:C,3,0)</f>
        <v>#N/A</v>
      </c>
      <c r="D7290" s="6">
        <f t="shared" si="114"/>
        <v>0</v>
      </c>
    </row>
    <row r="7291" spans="3:4" ht="15" x14ac:dyDescent="0.25">
      <c r="C7291" s="8" t="e">
        <f>VLOOKUP(A:A,'ITEM LIST'!A:C,3,0)</f>
        <v>#N/A</v>
      </c>
      <c r="D7291" s="6">
        <f t="shared" si="114"/>
        <v>0</v>
      </c>
    </row>
    <row r="7292" spans="3:4" ht="15" x14ac:dyDescent="0.25">
      <c r="C7292" s="8" t="e">
        <f>VLOOKUP(A:A,'ITEM LIST'!A:C,3,0)</f>
        <v>#N/A</v>
      </c>
      <c r="D7292" s="6">
        <f t="shared" si="114"/>
        <v>0</v>
      </c>
    </row>
    <row r="7293" spans="3:4" ht="15" x14ac:dyDescent="0.25">
      <c r="C7293" s="8" t="e">
        <f>VLOOKUP(A:A,'ITEM LIST'!A:C,3,0)</f>
        <v>#N/A</v>
      </c>
      <c r="D7293" s="6">
        <f t="shared" si="114"/>
        <v>0</v>
      </c>
    </row>
    <row r="7294" spans="3:4" ht="15" x14ac:dyDescent="0.25">
      <c r="C7294" s="8" t="e">
        <f>VLOOKUP(A:A,'ITEM LIST'!A:C,3,0)</f>
        <v>#N/A</v>
      </c>
      <c r="D7294" s="6">
        <f t="shared" si="114"/>
        <v>0</v>
      </c>
    </row>
    <row r="7295" spans="3:4" ht="15" x14ac:dyDescent="0.25">
      <c r="C7295" s="8" t="e">
        <f>VLOOKUP(A:A,'ITEM LIST'!A:C,3,0)</f>
        <v>#N/A</v>
      </c>
      <c r="D7295" s="6">
        <f t="shared" si="114"/>
        <v>0</v>
      </c>
    </row>
    <row r="7296" spans="3:4" ht="15" x14ac:dyDescent="0.25">
      <c r="C7296" s="8" t="e">
        <f>VLOOKUP(A:A,'ITEM LIST'!A:C,3,0)</f>
        <v>#N/A</v>
      </c>
      <c r="D7296" s="6">
        <f t="shared" si="114"/>
        <v>0</v>
      </c>
    </row>
    <row r="7297" spans="3:4" ht="15" x14ac:dyDescent="0.25">
      <c r="C7297" s="8" t="e">
        <f>VLOOKUP(A:A,'ITEM LIST'!A:C,3,0)</f>
        <v>#N/A</v>
      </c>
      <c r="D7297" s="6">
        <f t="shared" si="114"/>
        <v>0</v>
      </c>
    </row>
    <row r="7298" spans="3:4" ht="15" x14ac:dyDescent="0.25">
      <c r="C7298" s="8" t="e">
        <f>VLOOKUP(A:A,'ITEM LIST'!A:C,3,0)</f>
        <v>#N/A</v>
      </c>
      <c r="D7298" s="6">
        <f t="shared" si="114"/>
        <v>0</v>
      </c>
    </row>
    <row r="7299" spans="3:4" ht="15" x14ac:dyDescent="0.25">
      <c r="C7299" s="8" t="e">
        <f>VLOOKUP(A:A,'ITEM LIST'!A:C,3,0)</f>
        <v>#N/A</v>
      </c>
      <c r="D7299" s="6">
        <f t="shared" si="114"/>
        <v>0</v>
      </c>
    </row>
    <row r="7300" spans="3:4" ht="15" x14ac:dyDescent="0.25">
      <c r="C7300" s="8" t="e">
        <f>VLOOKUP(A:A,'ITEM LIST'!A:C,3,0)</f>
        <v>#N/A</v>
      </c>
      <c r="D7300" s="6">
        <f t="shared" si="114"/>
        <v>0</v>
      </c>
    </row>
    <row r="7301" spans="3:4" ht="15" x14ac:dyDescent="0.25">
      <c r="C7301" s="8" t="e">
        <f>VLOOKUP(A:A,'ITEM LIST'!A:C,3,0)</f>
        <v>#N/A</v>
      </c>
      <c r="D7301" s="6">
        <f t="shared" si="114"/>
        <v>0</v>
      </c>
    </row>
    <row r="7302" spans="3:4" ht="15" x14ac:dyDescent="0.25">
      <c r="C7302" s="8" t="e">
        <f>VLOOKUP(A:A,'ITEM LIST'!A:C,3,0)</f>
        <v>#N/A</v>
      </c>
      <c r="D7302" s="6">
        <f t="shared" ref="D7302:D7365" si="115">B7302</f>
        <v>0</v>
      </c>
    </row>
    <row r="7303" spans="3:4" ht="15" x14ac:dyDescent="0.25">
      <c r="C7303" s="8" t="e">
        <f>VLOOKUP(A:A,'ITEM LIST'!A:C,3,0)</f>
        <v>#N/A</v>
      </c>
      <c r="D7303" s="6">
        <f t="shared" si="115"/>
        <v>0</v>
      </c>
    </row>
    <row r="7304" spans="3:4" ht="15" x14ac:dyDescent="0.25">
      <c r="C7304" s="8" t="e">
        <f>VLOOKUP(A:A,'ITEM LIST'!A:C,3,0)</f>
        <v>#N/A</v>
      </c>
      <c r="D7304" s="6">
        <f t="shared" si="115"/>
        <v>0</v>
      </c>
    </row>
    <row r="7305" spans="3:4" ht="15" x14ac:dyDescent="0.25">
      <c r="C7305" s="8" t="e">
        <f>VLOOKUP(A:A,'ITEM LIST'!A:C,3,0)</f>
        <v>#N/A</v>
      </c>
      <c r="D7305" s="6">
        <f t="shared" si="115"/>
        <v>0</v>
      </c>
    </row>
    <row r="7306" spans="3:4" ht="15" x14ac:dyDescent="0.25">
      <c r="C7306" s="8" t="e">
        <f>VLOOKUP(A:A,'ITEM LIST'!A:C,3,0)</f>
        <v>#N/A</v>
      </c>
      <c r="D7306" s="6">
        <f t="shared" si="115"/>
        <v>0</v>
      </c>
    </row>
    <row r="7307" spans="3:4" ht="15" x14ac:dyDescent="0.25">
      <c r="C7307" s="8" t="e">
        <f>VLOOKUP(A:A,'ITEM LIST'!A:C,3,0)</f>
        <v>#N/A</v>
      </c>
      <c r="D7307" s="6">
        <f t="shared" si="115"/>
        <v>0</v>
      </c>
    </row>
    <row r="7308" spans="3:4" ht="15" x14ac:dyDescent="0.25">
      <c r="C7308" s="8" t="e">
        <f>VLOOKUP(A:A,'ITEM LIST'!A:C,3,0)</f>
        <v>#N/A</v>
      </c>
      <c r="D7308" s="6">
        <f t="shared" si="115"/>
        <v>0</v>
      </c>
    </row>
    <row r="7309" spans="3:4" ht="15" x14ac:dyDescent="0.25">
      <c r="C7309" s="8" t="e">
        <f>VLOOKUP(A:A,'ITEM LIST'!A:C,3,0)</f>
        <v>#N/A</v>
      </c>
      <c r="D7309" s="6">
        <f t="shared" si="115"/>
        <v>0</v>
      </c>
    </row>
    <row r="7310" spans="3:4" ht="15" x14ac:dyDescent="0.25">
      <c r="C7310" s="8" t="e">
        <f>VLOOKUP(A:A,'ITEM LIST'!A:C,3,0)</f>
        <v>#N/A</v>
      </c>
      <c r="D7310" s="6">
        <f t="shared" si="115"/>
        <v>0</v>
      </c>
    </row>
    <row r="7311" spans="3:4" ht="15" x14ac:dyDescent="0.25">
      <c r="C7311" s="8" t="e">
        <f>VLOOKUP(A:A,'ITEM LIST'!A:C,3,0)</f>
        <v>#N/A</v>
      </c>
      <c r="D7311" s="6">
        <f t="shared" si="115"/>
        <v>0</v>
      </c>
    </row>
    <row r="7312" spans="3:4" ht="15" x14ac:dyDescent="0.25">
      <c r="C7312" s="8" t="e">
        <f>VLOOKUP(A:A,'ITEM LIST'!A:C,3,0)</f>
        <v>#N/A</v>
      </c>
      <c r="D7312" s="6">
        <f t="shared" si="115"/>
        <v>0</v>
      </c>
    </row>
    <row r="7313" spans="3:4" ht="15" x14ac:dyDescent="0.25">
      <c r="C7313" s="8" t="e">
        <f>VLOOKUP(A:A,'ITEM LIST'!A:C,3,0)</f>
        <v>#N/A</v>
      </c>
      <c r="D7313" s="6">
        <f t="shared" si="115"/>
        <v>0</v>
      </c>
    </row>
    <row r="7314" spans="3:4" ht="15" x14ac:dyDescent="0.25">
      <c r="C7314" s="8" t="e">
        <f>VLOOKUP(A:A,'ITEM LIST'!A:C,3,0)</f>
        <v>#N/A</v>
      </c>
      <c r="D7314" s="6">
        <f t="shared" si="115"/>
        <v>0</v>
      </c>
    </row>
    <row r="7315" spans="3:4" ht="15" x14ac:dyDescent="0.25">
      <c r="C7315" s="8" t="e">
        <f>VLOOKUP(A:A,'ITEM LIST'!A:C,3,0)</f>
        <v>#N/A</v>
      </c>
      <c r="D7315" s="6">
        <f t="shared" si="115"/>
        <v>0</v>
      </c>
    </row>
    <row r="7316" spans="3:4" ht="15" x14ac:dyDescent="0.25">
      <c r="C7316" s="8" t="e">
        <f>VLOOKUP(A:A,'ITEM LIST'!A:C,3,0)</f>
        <v>#N/A</v>
      </c>
      <c r="D7316" s="6">
        <f t="shared" si="115"/>
        <v>0</v>
      </c>
    </row>
    <row r="7317" spans="3:4" ht="15" x14ac:dyDescent="0.25">
      <c r="C7317" s="8" t="e">
        <f>VLOOKUP(A:A,'ITEM LIST'!A:C,3,0)</f>
        <v>#N/A</v>
      </c>
      <c r="D7317" s="6">
        <f t="shared" si="115"/>
        <v>0</v>
      </c>
    </row>
    <row r="7318" spans="3:4" ht="15" x14ac:dyDescent="0.25">
      <c r="C7318" s="8" t="e">
        <f>VLOOKUP(A:A,'ITEM LIST'!A:C,3,0)</f>
        <v>#N/A</v>
      </c>
      <c r="D7318" s="6">
        <f t="shared" si="115"/>
        <v>0</v>
      </c>
    </row>
    <row r="7319" spans="3:4" ht="15" x14ac:dyDescent="0.25">
      <c r="C7319" s="8" t="e">
        <f>VLOOKUP(A:A,'ITEM LIST'!A:C,3,0)</f>
        <v>#N/A</v>
      </c>
      <c r="D7319" s="6">
        <f t="shared" si="115"/>
        <v>0</v>
      </c>
    </row>
    <row r="7320" spans="3:4" ht="15" x14ac:dyDescent="0.25">
      <c r="C7320" s="8" t="e">
        <f>VLOOKUP(A:A,'ITEM LIST'!A:C,3,0)</f>
        <v>#N/A</v>
      </c>
      <c r="D7320" s="6">
        <f t="shared" si="115"/>
        <v>0</v>
      </c>
    </row>
    <row r="7321" spans="3:4" ht="15" x14ac:dyDescent="0.25">
      <c r="C7321" s="8" t="e">
        <f>VLOOKUP(A:A,'ITEM LIST'!A:C,3,0)</f>
        <v>#N/A</v>
      </c>
      <c r="D7321" s="6">
        <f t="shared" si="115"/>
        <v>0</v>
      </c>
    </row>
    <row r="7322" spans="3:4" ht="15" x14ac:dyDescent="0.25">
      <c r="C7322" s="8" t="e">
        <f>VLOOKUP(A:A,'ITEM LIST'!A:C,3,0)</f>
        <v>#N/A</v>
      </c>
      <c r="D7322" s="6">
        <f t="shared" si="115"/>
        <v>0</v>
      </c>
    </row>
    <row r="7323" spans="3:4" ht="15" x14ac:dyDescent="0.25">
      <c r="C7323" s="8" t="e">
        <f>VLOOKUP(A:A,'ITEM LIST'!A:C,3,0)</f>
        <v>#N/A</v>
      </c>
      <c r="D7323" s="6">
        <f t="shared" si="115"/>
        <v>0</v>
      </c>
    </row>
    <row r="7324" spans="3:4" ht="15" x14ac:dyDescent="0.25">
      <c r="C7324" s="8" t="e">
        <f>VLOOKUP(A:A,'ITEM LIST'!A:C,3,0)</f>
        <v>#N/A</v>
      </c>
      <c r="D7324" s="6">
        <f t="shared" si="115"/>
        <v>0</v>
      </c>
    </row>
    <row r="7325" spans="3:4" ht="15" x14ac:dyDescent="0.25">
      <c r="C7325" s="8" t="e">
        <f>VLOOKUP(A:A,'ITEM LIST'!A:C,3,0)</f>
        <v>#N/A</v>
      </c>
      <c r="D7325" s="6">
        <f t="shared" si="115"/>
        <v>0</v>
      </c>
    </row>
    <row r="7326" spans="3:4" ht="15" x14ac:dyDescent="0.25">
      <c r="C7326" s="8" t="e">
        <f>VLOOKUP(A:A,'ITEM LIST'!A:C,3,0)</f>
        <v>#N/A</v>
      </c>
      <c r="D7326" s="6">
        <f t="shared" si="115"/>
        <v>0</v>
      </c>
    </row>
    <row r="7327" spans="3:4" ht="15" x14ac:dyDescent="0.25">
      <c r="C7327" s="8" t="e">
        <f>VLOOKUP(A:A,'ITEM LIST'!A:C,3,0)</f>
        <v>#N/A</v>
      </c>
      <c r="D7327" s="6">
        <f t="shared" si="115"/>
        <v>0</v>
      </c>
    </row>
    <row r="7328" spans="3:4" ht="15" x14ac:dyDescent="0.25">
      <c r="C7328" s="8" t="e">
        <f>VLOOKUP(A:A,'ITEM LIST'!A:C,3,0)</f>
        <v>#N/A</v>
      </c>
      <c r="D7328" s="6">
        <f t="shared" si="115"/>
        <v>0</v>
      </c>
    </row>
    <row r="7329" spans="3:4" ht="15" x14ac:dyDescent="0.25">
      <c r="C7329" s="8" t="e">
        <f>VLOOKUP(A:A,'ITEM LIST'!A:C,3,0)</f>
        <v>#N/A</v>
      </c>
      <c r="D7329" s="6">
        <f t="shared" si="115"/>
        <v>0</v>
      </c>
    </row>
    <row r="7330" spans="3:4" ht="15" x14ac:dyDescent="0.25">
      <c r="C7330" s="8" t="e">
        <f>VLOOKUP(A:A,'ITEM LIST'!A:C,3,0)</f>
        <v>#N/A</v>
      </c>
      <c r="D7330" s="6">
        <f t="shared" si="115"/>
        <v>0</v>
      </c>
    </row>
    <row r="7331" spans="3:4" ht="15" x14ac:dyDescent="0.25">
      <c r="C7331" s="8" t="e">
        <f>VLOOKUP(A:A,'ITEM LIST'!A:C,3,0)</f>
        <v>#N/A</v>
      </c>
      <c r="D7331" s="6">
        <f t="shared" si="115"/>
        <v>0</v>
      </c>
    </row>
    <row r="7332" spans="3:4" ht="15" x14ac:dyDescent="0.25">
      <c r="C7332" s="8" t="e">
        <f>VLOOKUP(A:A,'ITEM LIST'!A:C,3,0)</f>
        <v>#N/A</v>
      </c>
      <c r="D7332" s="6">
        <f t="shared" si="115"/>
        <v>0</v>
      </c>
    </row>
    <row r="7333" spans="3:4" ht="15" x14ac:dyDescent="0.25">
      <c r="C7333" s="8" t="e">
        <f>VLOOKUP(A:A,'ITEM LIST'!A:C,3,0)</f>
        <v>#N/A</v>
      </c>
      <c r="D7333" s="6">
        <f t="shared" si="115"/>
        <v>0</v>
      </c>
    </row>
    <row r="7334" spans="3:4" ht="15" x14ac:dyDescent="0.25">
      <c r="C7334" s="8" t="e">
        <f>VLOOKUP(A:A,'ITEM LIST'!A:C,3,0)</f>
        <v>#N/A</v>
      </c>
      <c r="D7334" s="6">
        <f t="shared" si="115"/>
        <v>0</v>
      </c>
    </row>
    <row r="7335" spans="3:4" ht="15" x14ac:dyDescent="0.25">
      <c r="C7335" s="8" t="e">
        <f>VLOOKUP(A:A,'ITEM LIST'!A:C,3,0)</f>
        <v>#N/A</v>
      </c>
      <c r="D7335" s="6">
        <f t="shared" si="115"/>
        <v>0</v>
      </c>
    </row>
    <row r="7336" spans="3:4" ht="15" x14ac:dyDescent="0.25">
      <c r="C7336" s="8" t="e">
        <f>VLOOKUP(A:A,'ITEM LIST'!A:C,3,0)</f>
        <v>#N/A</v>
      </c>
      <c r="D7336" s="6">
        <f t="shared" si="115"/>
        <v>0</v>
      </c>
    </row>
    <row r="7337" spans="3:4" ht="15" x14ac:dyDescent="0.25">
      <c r="C7337" s="8" t="e">
        <f>VLOOKUP(A:A,'ITEM LIST'!A:C,3,0)</f>
        <v>#N/A</v>
      </c>
      <c r="D7337" s="6">
        <f t="shared" si="115"/>
        <v>0</v>
      </c>
    </row>
    <row r="7338" spans="3:4" ht="15" x14ac:dyDescent="0.25">
      <c r="C7338" s="8" t="e">
        <f>VLOOKUP(A:A,'ITEM LIST'!A:C,3,0)</f>
        <v>#N/A</v>
      </c>
      <c r="D7338" s="6">
        <f t="shared" si="115"/>
        <v>0</v>
      </c>
    </row>
    <row r="7339" spans="3:4" ht="15" x14ac:dyDescent="0.25">
      <c r="C7339" s="8" t="e">
        <f>VLOOKUP(A:A,'ITEM LIST'!A:C,3,0)</f>
        <v>#N/A</v>
      </c>
      <c r="D7339" s="6">
        <f t="shared" si="115"/>
        <v>0</v>
      </c>
    </row>
    <row r="7340" spans="3:4" ht="15" x14ac:dyDescent="0.25">
      <c r="C7340" s="8" t="e">
        <f>VLOOKUP(A:A,'ITEM LIST'!A:C,3,0)</f>
        <v>#N/A</v>
      </c>
      <c r="D7340" s="6">
        <f t="shared" si="115"/>
        <v>0</v>
      </c>
    </row>
    <row r="7341" spans="3:4" ht="15" x14ac:dyDescent="0.25">
      <c r="C7341" s="8" t="e">
        <f>VLOOKUP(A:A,'ITEM LIST'!A:C,3,0)</f>
        <v>#N/A</v>
      </c>
      <c r="D7341" s="6">
        <f t="shared" si="115"/>
        <v>0</v>
      </c>
    </row>
    <row r="7342" spans="3:4" ht="15" x14ac:dyDescent="0.25">
      <c r="C7342" s="8" t="e">
        <f>VLOOKUP(A:A,'ITEM LIST'!A:C,3,0)</f>
        <v>#N/A</v>
      </c>
      <c r="D7342" s="6">
        <f t="shared" si="115"/>
        <v>0</v>
      </c>
    </row>
    <row r="7343" spans="3:4" ht="15" x14ac:dyDescent="0.25">
      <c r="C7343" s="8" t="e">
        <f>VLOOKUP(A:A,'ITEM LIST'!A:C,3,0)</f>
        <v>#N/A</v>
      </c>
      <c r="D7343" s="6">
        <f t="shared" si="115"/>
        <v>0</v>
      </c>
    </row>
    <row r="7344" spans="3:4" ht="15" x14ac:dyDescent="0.25">
      <c r="C7344" s="8" t="e">
        <f>VLOOKUP(A:A,'ITEM LIST'!A:C,3,0)</f>
        <v>#N/A</v>
      </c>
      <c r="D7344" s="6">
        <f t="shared" si="115"/>
        <v>0</v>
      </c>
    </row>
    <row r="7345" spans="3:4" ht="15" x14ac:dyDescent="0.25">
      <c r="C7345" s="8" t="e">
        <f>VLOOKUP(A:A,'ITEM LIST'!A:C,3,0)</f>
        <v>#N/A</v>
      </c>
      <c r="D7345" s="6">
        <f t="shared" si="115"/>
        <v>0</v>
      </c>
    </row>
    <row r="7346" spans="3:4" ht="15" x14ac:dyDescent="0.25">
      <c r="C7346" s="8" t="e">
        <f>VLOOKUP(A:A,'ITEM LIST'!A:C,3,0)</f>
        <v>#N/A</v>
      </c>
      <c r="D7346" s="6">
        <f t="shared" si="115"/>
        <v>0</v>
      </c>
    </row>
    <row r="7347" spans="3:4" ht="15" x14ac:dyDescent="0.25">
      <c r="C7347" s="8" t="e">
        <f>VLOOKUP(A:A,'ITEM LIST'!A:C,3,0)</f>
        <v>#N/A</v>
      </c>
      <c r="D7347" s="6">
        <f t="shared" si="115"/>
        <v>0</v>
      </c>
    </row>
    <row r="7348" spans="3:4" ht="15" x14ac:dyDescent="0.25">
      <c r="C7348" s="8" t="e">
        <f>VLOOKUP(A:A,'ITEM LIST'!A:C,3,0)</f>
        <v>#N/A</v>
      </c>
      <c r="D7348" s="6">
        <f t="shared" si="115"/>
        <v>0</v>
      </c>
    </row>
    <row r="7349" spans="3:4" ht="15" x14ac:dyDescent="0.25">
      <c r="C7349" s="8" t="e">
        <f>VLOOKUP(A:A,'ITEM LIST'!A:C,3,0)</f>
        <v>#N/A</v>
      </c>
      <c r="D7349" s="6">
        <f t="shared" si="115"/>
        <v>0</v>
      </c>
    </row>
    <row r="7350" spans="3:4" ht="15" x14ac:dyDescent="0.25">
      <c r="C7350" s="8" t="e">
        <f>VLOOKUP(A:A,'ITEM LIST'!A:C,3,0)</f>
        <v>#N/A</v>
      </c>
      <c r="D7350" s="6">
        <f t="shared" si="115"/>
        <v>0</v>
      </c>
    </row>
    <row r="7351" spans="3:4" ht="15" x14ac:dyDescent="0.25">
      <c r="C7351" s="8" t="e">
        <f>VLOOKUP(A:A,'ITEM LIST'!A:C,3,0)</f>
        <v>#N/A</v>
      </c>
      <c r="D7351" s="6">
        <f t="shared" si="115"/>
        <v>0</v>
      </c>
    </row>
    <row r="7352" spans="3:4" ht="15" x14ac:dyDescent="0.25">
      <c r="C7352" s="8" t="e">
        <f>VLOOKUP(A:A,'ITEM LIST'!A:C,3,0)</f>
        <v>#N/A</v>
      </c>
      <c r="D7352" s="6">
        <f t="shared" si="115"/>
        <v>0</v>
      </c>
    </row>
    <row r="7353" spans="3:4" ht="15" x14ac:dyDescent="0.25">
      <c r="C7353" s="8" t="e">
        <f>VLOOKUP(A:A,'ITEM LIST'!A:C,3,0)</f>
        <v>#N/A</v>
      </c>
      <c r="D7353" s="6">
        <f t="shared" si="115"/>
        <v>0</v>
      </c>
    </row>
    <row r="7354" spans="3:4" ht="15" x14ac:dyDescent="0.25">
      <c r="C7354" s="8" t="e">
        <f>VLOOKUP(A:A,'ITEM LIST'!A:C,3,0)</f>
        <v>#N/A</v>
      </c>
      <c r="D7354" s="6">
        <f t="shared" si="115"/>
        <v>0</v>
      </c>
    </row>
    <row r="7355" spans="3:4" ht="15" x14ac:dyDescent="0.25">
      <c r="C7355" s="8" t="e">
        <f>VLOOKUP(A:A,'ITEM LIST'!A:C,3,0)</f>
        <v>#N/A</v>
      </c>
      <c r="D7355" s="6">
        <f t="shared" si="115"/>
        <v>0</v>
      </c>
    </row>
    <row r="7356" spans="3:4" ht="15" x14ac:dyDescent="0.25">
      <c r="C7356" s="8" t="e">
        <f>VLOOKUP(A:A,'ITEM LIST'!A:C,3,0)</f>
        <v>#N/A</v>
      </c>
      <c r="D7356" s="6">
        <f t="shared" si="115"/>
        <v>0</v>
      </c>
    </row>
    <row r="7357" spans="3:4" ht="15" x14ac:dyDescent="0.25">
      <c r="C7357" s="8" t="e">
        <f>VLOOKUP(A:A,'ITEM LIST'!A:C,3,0)</f>
        <v>#N/A</v>
      </c>
      <c r="D7357" s="6">
        <f t="shared" si="115"/>
        <v>0</v>
      </c>
    </row>
    <row r="7358" spans="3:4" ht="15" x14ac:dyDescent="0.25">
      <c r="C7358" s="8" t="e">
        <f>VLOOKUP(A:A,'ITEM LIST'!A:C,3,0)</f>
        <v>#N/A</v>
      </c>
      <c r="D7358" s="6">
        <f t="shared" si="115"/>
        <v>0</v>
      </c>
    </row>
    <row r="7359" spans="3:4" ht="15" x14ac:dyDescent="0.25">
      <c r="C7359" s="8" t="e">
        <f>VLOOKUP(A:A,'ITEM LIST'!A:C,3,0)</f>
        <v>#N/A</v>
      </c>
      <c r="D7359" s="6">
        <f t="shared" si="115"/>
        <v>0</v>
      </c>
    </row>
    <row r="7360" spans="3:4" ht="15" x14ac:dyDescent="0.25">
      <c r="C7360" s="8" t="e">
        <f>VLOOKUP(A:A,'ITEM LIST'!A:C,3,0)</f>
        <v>#N/A</v>
      </c>
      <c r="D7360" s="6">
        <f t="shared" si="115"/>
        <v>0</v>
      </c>
    </row>
    <row r="7361" spans="3:4" ht="15" x14ac:dyDescent="0.25">
      <c r="C7361" s="8" t="e">
        <f>VLOOKUP(A:A,'ITEM LIST'!A:C,3,0)</f>
        <v>#N/A</v>
      </c>
      <c r="D7361" s="6">
        <f t="shared" si="115"/>
        <v>0</v>
      </c>
    </row>
    <row r="7362" spans="3:4" ht="15" x14ac:dyDescent="0.25">
      <c r="C7362" s="8" t="e">
        <f>VLOOKUP(A:A,'ITEM LIST'!A:C,3,0)</f>
        <v>#N/A</v>
      </c>
      <c r="D7362" s="6">
        <f t="shared" si="115"/>
        <v>0</v>
      </c>
    </row>
    <row r="7363" spans="3:4" ht="15" x14ac:dyDescent="0.25">
      <c r="C7363" s="8" t="e">
        <f>VLOOKUP(A:A,'ITEM LIST'!A:C,3,0)</f>
        <v>#N/A</v>
      </c>
      <c r="D7363" s="6">
        <f t="shared" si="115"/>
        <v>0</v>
      </c>
    </row>
    <row r="7364" spans="3:4" ht="15" x14ac:dyDescent="0.25">
      <c r="C7364" s="8" t="e">
        <f>VLOOKUP(A:A,'ITEM LIST'!A:C,3,0)</f>
        <v>#N/A</v>
      </c>
      <c r="D7364" s="6">
        <f t="shared" si="115"/>
        <v>0</v>
      </c>
    </row>
    <row r="7365" spans="3:4" ht="15" x14ac:dyDescent="0.25">
      <c r="C7365" s="8" t="e">
        <f>VLOOKUP(A:A,'ITEM LIST'!A:C,3,0)</f>
        <v>#N/A</v>
      </c>
      <c r="D7365" s="6">
        <f t="shared" si="115"/>
        <v>0</v>
      </c>
    </row>
    <row r="7366" spans="3:4" ht="15" x14ac:dyDescent="0.25">
      <c r="C7366" s="8" t="e">
        <f>VLOOKUP(A:A,'ITEM LIST'!A:C,3,0)</f>
        <v>#N/A</v>
      </c>
      <c r="D7366" s="6">
        <f t="shared" ref="D7366:D7429" si="116">B7366</f>
        <v>0</v>
      </c>
    </row>
    <row r="7367" spans="3:4" ht="15" x14ac:dyDescent="0.25">
      <c r="C7367" s="8" t="e">
        <f>VLOOKUP(A:A,'ITEM LIST'!A:C,3,0)</f>
        <v>#N/A</v>
      </c>
      <c r="D7367" s="6">
        <f t="shared" si="116"/>
        <v>0</v>
      </c>
    </row>
    <row r="7368" spans="3:4" ht="15" x14ac:dyDescent="0.25">
      <c r="C7368" s="8" t="e">
        <f>VLOOKUP(A:A,'ITEM LIST'!A:C,3,0)</f>
        <v>#N/A</v>
      </c>
      <c r="D7368" s="6">
        <f t="shared" si="116"/>
        <v>0</v>
      </c>
    </row>
    <row r="7369" spans="3:4" ht="15" x14ac:dyDescent="0.25">
      <c r="C7369" s="8" t="e">
        <f>VLOOKUP(A:A,'ITEM LIST'!A:C,3,0)</f>
        <v>#N/A</v>
      </c>
      <c r="D7369" s="6">
        <f t="shared" si="116"/>
        <v>0</v>
      </c>
    </row>
    <row r="7370" spans="3:4" ht="15" x14ac:dyDescent="0.25">
      <c r="C7370" s="8" t="e">
        <f>VLOOKUP(A:A,'ITEM LIST'!A:C,3,0)</f>
        <v>#N/A</v>
      </c>
      <c r="D7370" s="6">
        <f t="shared" si="116"/>
        <v>0</v>
      </c>
    </row>
    <row r="7371" spans="3:4" ht="15" x14ac:dyDescent="0.25">
      <c r="C7371" s="8" t="e">
        <f>VLOOKUP(A:A,'ITEM LIST'!A:C,3,0)</f>
        <v>#N/A</v>
      </c>
      <c r="D7371" s="6">
        <f t="shared" si="116"/>
        <v>0</v>
      </c>
    </row>
    <row r="7372" spans="3:4" ht="15" x14ac:dyDescent="0.25">
      <c r="C7372" s="8" t="e">
        <f>VLOOKUP(A:A,'ITEM LIST'!A:C,3,0)</f>
        <v>#N/A</v>
      </c>
      <c r="D7372" s="6">
        <f t="shared" si="116"/>
        <v>0</v>
      </c>
    </row>
    <row r="7373" spans="3:4" ht="15" x14ac:dyDescent="0.25">
      <c r="C7373" s="8" t="e">
        <f>VLOOKUP(A:A,'ITEM LIST'!A:C,3,0)</f>
        <v>#N/A</v>
      </c>
      <c r="D7373" s="6">
        <f t="shared" si="116"/>
        <v>0</v>
      </c>
    </row>
    <row r="7374" spans="3:4" ht="15" x14ac:dyDescent="0.25">
      <c r="C7374" s="8" t="e">
        <f>VLOOKUP(A:A,'ITEM LIST'!A:C,3,0)</f>
        <v>#N/A</v>
      </c>
      <c r="D7374" s="6">
        <f t="shared" si="116"/>
        <v>0</v>
      </c>
    </row>
    <row r="7375" spans="3:4" ht="15" x14ac:dyDescent="0.25">
      <c r="C7375" s="8" t="e">
        <f>VLOOKUP(A:A,'ITEM LIST'!A:C,3,0)</f>
        <v>#N/A</v>
      </c>
      <c r="D7375" s="6">
        <f t="shared" si="116"/>
        <v>0</v>
      </c>
    </row>
    <row r="7376" spans="3:4" ht="15" x14ac:dyDescent="0.25">
      <c r="C7376" s="8" t="e">
        <f>VLOOKUP(A:A,'ITEM LIST'!A:C,3,0)</f>
        <v>#N/A</v>
      </c>
      <c r="D7376" s="6">
        <f t="shared" si="116"/>
        <v>0</v>
      </c>
    </row>
    <row r="7377" spans="3:4" ht="15" x14ac:dyDescent="0.25">
      <c r="C7377" s="8" t="e">
        <f>VLOOKUP(A:A,'ITEM LIST'!A:C,3,0)</f>
        <v>#N/A</v>
      </c>
      <c r="D7377" s="6">
        <f t="shared" si="116"/>
        <v>0</v>
      </c>
    </row>
    <row r="7378" spans="3:4" ht="15" x14ac:dyDescent="0.25">
      <c r="C7378" s="8" t="e">
        <f>VLOOKUP(A:A,'ITEM LIST'!A:C,3,0)</f>
        <v>#N/A</v>
      </c>
      <c r="D7378" s="6">
        <f t="shared" si="116"/>
        <v>0</v>
      </c>
    </row>
    <row r="7379" spans="3:4" ht="15" x14ac:dyDescent="0.25">
      <c r="C7379" s="8" t="e">
        <f>VLOOKUP(A:A,'ITEM LIST'!A:C,3,0)</f>
        <v>#N/A</v>
      </c>
      <c r="D7379" s="6">
        <f t="shared" si="116"/>
        <v>0</v>
      </c>
    </row>
    <row r="7380" spans="3:4" ht="15" x14ac:dyDescent="0.25">
      <c r="C7380" s="8" t="e">
        <f>VLOOKUP(A:A,'ITEM LIST'!A:C,3,0)</f>
        <v>#N/A</v>
      </c>
      <c r="D7380" s="6">
        <f t="shared" si="116"/>
        <v>0</v>
      </c>
    </row>
    <row r="7381" spans="3:4" ht="15" x14ac:dyDescent="0.25">
      <c r="C7381" s="8" t="e">
        <f>VLOOKUP(A:A,'ITEM LIST'!A:C,3,0)</f>
        <v>#N/A</v>
      </c>
      <c r="D7381" s="6">
        <f t="shared" si="116"/>
        <v>0</v>
      </c>
    </row>
    <row r="7382" spans="3:4" ht="15" x14ac:dyDescent="0.25">
      <c r="C7382" s="8" t="e">
        <f>VLOOKUP(A:A,'ITEM LIST'!A:C,3,0)</f>
        <v>#N/A</v>
      </c>
      <c r="D7382" s="6">
        <f t="shared" si="116"/>
        <v>0</v>
      </c>
    </row>
    <row r="7383" spans="3:4" ht="15" x14ac:dyDescent="0.25">
      <c r="C7383" s="8" t="e">
        <f>VLOOKUP(A:A,'ITEM LIST'!A:C,3,0)</f>
        <v>#N/A</v>
      </c>
      <c r="D7383" s="6">
        <f t="shared" si="116"/>
        <v>0</v>
      </c>
    </row>
    <row r="7384" spans="3:4" ht="15" x14ac:dyDescent="0.25">
      <c r="C7384" s="8" t="e">
        <f>VLOOKUP(A:A,'ITEM LIST'!A:C,3,0)</f>
        <v>#N/A</v>
      </c>
      <c r="D7384" s="6">
        <f t="shared" si="116"/>
        <v>0</v>
      </c>
    </row>
    <row r="7385" spans="3:4" ht="15" x14ac:dyDescent="0.25">
      <c r="C7385" s="8" t="e">
        <f>VLOOKUP(A:A,'ITEM LIST'!A:C,3,0)</f>
        <v>#N/A</v>
      </c>
      <c r="D7385" s="6">
        <f t="shared" si="116"/>
        <v>0</v>
      </c>
    </row>
    <row r="7386" spans="3:4" ht="15" x14ac:dyDescent="0.25">
      <c r="C7386" s="8" t="e">
        <f>VLOOKUP(A:A,'ITEM LIST'!A:C,3,0)</f>
        <v>#N/A</v>
      </c>
      <c r="D7386" s="6">
        <f t="shared" si="116"/>
        <v>0</v>
      </c>
    </row>
    <row r="7387" spans="3:4" ht="15" x14ac:dyDescent="0.25">
      <c r="C7387" s="8" t="e">
        <f>VLOOKUP(A:A,'ITEM LIST'!A:C,3,0)</f>
        <v>#N/A</v>
      </c>
      <c r="D7387" s="6">
        <f t="shared" si="116"/>
        <v>0</v>
      </c>
    </row>
    <row r="7388" spans="3:4" ht="15" x14ac:dyDescent="0.25">
      <c r="C7388" s="8" t="e">
        <f>VLOOKUP(A:A,'ITEM LIST'!A:C,3,0)</f>
        <v>#N/A</v>
      </c>
      <c r="D7388" s="6">
        <f t="shared" si="116"/>
        <v>0</v>
      </c>
    </row>
    <row r="7389" spans="3:4" ht="15" x14ac:dyDescent="0.25">
      <c r="C7389" s="8" t="e">
        <f>VLOOKUP(A:A,'ITEM LIST'!A:C,3,0)</f>
        <v>#N/A</v>
      </c>
      <c r="D7389" s="6">
        <f t="shared" si="116"/>
        <v>0</v>
      </c>
    </row>
    <row r="7390" spans="3:4" ht="15" x14ac:dyDescent="0.25">
      <c r="C7390" s="8" t="e">
        <f>VLOOKUP(A:A,'ITEM LIST'!A:C,3,0)</f>
        <v>#N/A</v>
      </c>
      <c r="D7390" s="6">
        <f t="shared" si="116"/>
        <v>0</v>
      </c>
    </row>
    <row r="7391" spans="3:4" ht="15" x14ac:dyDescent="0.25">
      <c r="C7391" s="8" t="e">
        <f>VLOOKUP(A:A,'ITEM LIST'!A:C,3,0)</f>
        <v>#N/A</v>
      </c>
      <c r="D7391" s="6">
        <f t="shared" si="116"/>
        <v>0</v>
      </c>
    </row>
    <row r="7392" spans="3:4" ht="15" x14ac:dyDescent="0.25">
      <c r="C7392" s="8" t="e">
        <f>VLOOKUP(A:A,'ITEM LIST'!A:C,3,0)</f>
        <v>#N/A</v>
      </c>
      <c r="D7392" s="6">
        <f t="shared" si="116"/>
        <v>0</v>
      </c>
    </row>
    <row r="7393" spans="3:4" ht="15" x14ac:dyDescent="0.25">
      <c r="C7393" s="8" t="e">
        <f>VLOOKUP(A:A,'ITEM LIST'!A:C,3,0)</f>
        <v>#N/A</v>
      </c>
      <c r="D7393" s="6">
        <f t="shared" si="116"/>
        <v>0</v>
      </c>
    </row>
    <row r="7394" spans="3:4" ht="15" x14ac:dyDescent="0.25">
      <c r="C7394" s="8" t="e">
        <f>VLOOKUP(A:A,'ITEM LIST'!A:C,3,0)</f>
        <v>#N/A</v>
      </c>
      <c r="D7394" s="6">
        <f t="shared" si="116"/>
        <v>0</v>
      </c>
    </row>
    <row r="7395" spans="3:4" ht="15" x14ac:dyDescent="0.25">
      <c r="C7395" s="8" t="e">
        <f>VLOOKUP(A:A,'ITEM LIST'!A:C,3,0)</f>
        <v>#N/A</v>
      </c>
      <c r="D7395" s="6">
        <f t="shared" si="116"/>
        <v>0</v>
      </c>
    </row>
    <row r="7396" spans="3:4" ht="15" x14ac:dyDescent="0.25">
      <c r="C7396" s="8" t="e">
        <f>VLOOKUP(A:A,'ITEM LIST'!A:C,3,0)</f>
        <v>#N/A</v>
      </c>
      <c r="D7396" s="6">
        <f t="shared" si="116"/>
        <v>0</v>
      </c>
    </row>
    <row r="7397" spans="3:4" ht="15" x14ac:dyDescent="0.25">
      <c r="C7397" s="8" t="e">
        <f>VLOOKUP(A:A,'ITEM LIST'!A:C,3,0)</f>
        <v>#N/A</v>
      </c>
      <c r="D7397" s="6">
        <f t="shared" si="116"/>
        <v>0</v>
      </c>
    </row>
    <row r="7398" spans="3:4" ht="15" x14ac:dyDescent="0.25">
      <c r="C7398" s="8" t="e">
        <f>VLOOKUP(A:A,'ITEM LIST'!A:C,3,0)</f>
        <v>#N/A</v>
      </c>
      <c r="D7398" s="6">
        <f t="shared" si="116"/>
        <v>0</v>
      </c>
    </row>
    <row r="7399" spans="3:4" ht="15" x14ac:dyDescent="0.25">
      <c r="C7399" s="8" t="e">
        <f>VLOOKUP(A:A,'ITEM LIST'!A:C,3,0)</f>
        <v>#N/A</v>
      </c>
      <c r="D7399" s="6">
        <f t="shared" si="116"/>
        <v>0</v>
      </c>
    </row>
    <row r="7400" spans="3:4" ht="15" x14ac:dyDescent="0.25">
      <c r="C7400" s="8" t="e">
        <f>VLOOKUP(A:A,'ITEM LIST'!A:C,3,0)</f>
        <v>#N/A</v>
      </c>
      <c r="D7400" s="6">
        <f t="shared" si="116"/>
        <v>0</v>
      </c>
    </row>
    <row r="7401" spans="3:4" ht="15" x14ac:dyDescent="0.25">
      <c r="C7401" s="8" t="e">
        <f>VLOOKUP(A:A,'ITEM LIST'!A:C,3,0)</f>
        <v>#N/A</v>
      </c>
      <c r="D7401" s="6">
        <f t="shared" si="116"/>
        <v>0</v>
      </c>
    </row>
    <row r="7402" spans="3:4" ht="15" x14ac:dyDescent="0.25">
      <c r="C7402" s="8" t="e">
        <f>VLOOKUP(A:A,'ITEM LIST'!A:C,3,0)</f>
        <v>#N/A</v>
      </c>
      <c r="D7402" s="6">
        <f t="shared" si="116"/>
        <v>0</v>
      </c>
    </row>
    <row r="7403" spans="3:4" ht="15" x14ac:dyDescent="0.25">
      <c r="C7403" s="8" t="e">
        <f>VLOOKUP(A:A,'ITEM LIST'!A:C,3,0)</f>
        <v>#N/A</v>
      </c>
      <c r="D7403" s="6">
        <f t="shared" si="116"/>
        <v>0</v>
      </c>
    </row>
    <row r="7404" spans="3:4" ht="15" x14ac:dyDescent="0.25">
      <c r="C7404" s="8" t="e">
        <f>VLOOKUP(A:A,'ITEM LIST'!A:C,3,0)</f>
        <v>#N/A</v>
      </c>
      <c r="D7404" s="6">
        <f t="shared" si="116"/>
        <v>0</v>
      </c>
    </row>
    <row r="7405" spans="3:4" ht="15" x14ac:dyDescent="0.25">
      <c r="C7405" s="8" t="e">
        <f>VLOOKUP(A:A,'ITEM LIST'!A:C,3,0)</f>
        <v>#N/A</v>
      </c>
      <c r="D7405" s="6">
        <f t="shared" si="116"/>
        <v>0</v>
      </c>
    </row>
    <row r="7406" spans="3:4" ht="15" x14ac:dyDescent="0.25">
      <c r="C7406" s="8" t="e">
        <f>VLOOKUP(A:A,'ITEM LIST'!A:C,3,0)</f>
        <v>#N/A</v>
      </c>
      <c r="D7406" s="6">
        <f t="shared" si="116"/>
        <v>0</v>
      </c>
    </row>
    <row r="7407" spans="3:4" ht="15" x14ac:dyDescent="0.25">
      <c r="C7407" s="8" t="e">
        <f>VLOOKUP(A:A,'ITEM LIST'!A:C,3,0)</f>
        <v>#N/A</v>
      </c>
      <c r="D7407" s="6">
        <f t="shared" si="116"/>
        <v>0</v>
      </c>
    </row>
    <row r="7408" spans="3:4" ht="15" x14ac:dyDescent="0.25">
      <c r="C7408" s="8" t="e">
        <f>VLOOKUP(A:A,'ITEM LIST'!A:C,3,0)</f>
        <v>#N/A</v>
      </c>
      <c r="D7408" s="6">
        <f t="shared" si="116"/>
        <v>0</v>
      </c>
    </row>
    <row r="7409" spans="3:4" ht="15" x14ac:dyDescent="0.25">
      <c r="C7409" s="8" t="e">
        <f>VLOOKUP(A:A,'ITEM LIST'!A:C,3,0)</f>
        <v>#N/A</v>
      </c>
      <c r="D7409" s="6">
        <f t="shared" si="116"/>
        <v>0</v>
      </c>
    </row>
    <row r="7410" spans="3:4" ht="15" x14ac:dyDescent="0.25">
      <c r="C7410" s="8" t="e">
        <f>VLOOKUP(A:A,'ITEM LIST'!A:C,3,0)</f>
        <v>#N/A</v>
      </c>
      <c r="D7410" s="6">
        <f t="shared" si="116"/>
        <v>0</v>
      </c>
    </row>
    <row r="7411" spans="3:4" ht="15" x14ac:dyDescent="0.25">
      <c r="C7411" s="8" t="e">
        <f>VLOOKUP(A:A,'ITEM LIST'!A:C,3,0)</f>
        <v>#N/A</v>
      </c>
      <c r="D7411" s="6">
        <f t="shared" si="116"/>
        <v>0</v>
      </c>
    </row>
    <row r="7412" spans="3:4" ht="15" x14ac:dyDescent="0.25">
      <c r="C7412" s="8" t="e">
        <f>VLOOKUP(A:A,'ITEM LIST'!A:C,3,0)</f>
        <v>#N/A</v>
      </c>
      <c r="D7412" s="6">
        <f t="shared" si="116"/>
        <v>0</v>
      </c>
    </row>
    <row r="7413" spans="3:4" ht="15" x14ac:dyDescent="0.25">
      <c r="C7413" s="8" t="e">
        <f>VLOOKUP(A:A,'ITEM LIST'!A:C,3,0)</f>
        <v>#N/A</v>
      </c>
      <c r="D7413" s="6">
        <f t="shared" si="116"/>
        <v>0</v>
      </c>
    </row>
    <row r="7414" spans="3:4" ht="15" x14ac:dyDescent="0.25">
      <c r="C7414" s="8" t="e">
        <f>VLOOKUP(A:A,'ITEM LIST'!A:C,3,0)</f>
        <v>#N/A</v>
      </c>
      <c r="D7414" s="6">
        <f t="shared" si="116"/>
        <v>0</v>
      </c>
    </row>
    <row r="7415" spans="3:4" ht="15" x14ac:dyDescent="0.25">
      <c r="C7415" s="8" t="e">
        <f>VLOOKUP(A:A,'ITEM LIST'!A:C,3,0)</f>
        <v>#N/A</v>
      </c>
      <c r="D7415" s="6">
        <f t="shared" si="116"/>
        <v>0</v>
      </c>
    </row>
    <row r="7416" spans="3:4" ht="15" x14ac:dyDescent="0.25">
      <c r="C7416" s="8" t="e">
        <f>VLOOKUP(A:A,'ITEM LIST'!A:C,3,0)</f>
        <v>#N/A</v>
      </c>
      <c r="D7416" s="6">
        <f t="shared" si="116"/>
        <v>0</v>
      </c>
    </row>
    <row r="7417" spans="3:4" ht="15" x14ac:dyDescent="0.25">
      <c r="C7417" s="8" t="e">
        <f>VLOOKUP(A:A,'ITEM LIST'!A:C,3,0)</f>
        <v>#N/A</v>
      </c>
      <c r="D7417" s="6">
        <f t="shared" si="116"/>
        <v>0</v>
      </c>
    </row>
    <row r="7418" spans="3:4" ht="15" x14ac:dyDescent="0.25">
      <c r="C7418" s="8" t="e">
        <f>VLOOKUP(A:A,'ITEM LIST'!A:C,3,0)</f>
        <v>#N/A</v>
      </c>
      <c r="D7418" s="6">
        <f t="shared" si="116"/>
        <v>0</v>
      </c>
    </row>
    <row r="7419" spans="3:4" ht="15" x14ac:dyDescent="0.25">
      <c r="C7419" s="8" t="e">
        <f>VLOOKUP(A:A,'ITEM LIST'!A:C,3,0)</f>
        <v>#N/A</v>
      </c>
      <c r="D7419" s="6">
        <f t="shared" si="116"/>
        <v>0</v>
      </c>
    </row>
    <row r="7420" spans="3:4" ht="15" x14ac:dyDescent="0.25">
      <c r="C7420" s="8" t="e">
        <f>VLOOKUP(A:A,'ITEM LIST'!A:C,3,0)</f>
        <v>#N/A</v>
      </c>
      <c r="D7420" s="6">
        <f t="shared" si="116"/>
        <v>0</v>
      </c>
    </row>
    <row r="7421" spans="3:4" ht="15" x14ac:dyDescent="0.25">
      <c r="C7421" s="8" t="e">
        <f>VLOOKUP(A:A,'ITEM LIST'!A:C,3,0)</f>
        <v>#N/A</v>
      </c>
      <c r="D7421" s="6">
        <f t="shared" si="116"/>
        <v>0</v>
      </c>
    </row>
    <row r="7422" spans="3:4" ht="15" x14ac:dyDescent="0.25">
      <c r="C7422" s="8" t="e">
        <f>VLOOKUP(A:A,'ITEM LIST'!A:C,3,0)</f>
        <v>#N/A</v>
      </c>
      <c r="D7422" s="6">
        <f t="shared" si="116"/>
        <v>0</v>
      </c>
    </row>
    <row r="7423" spans="3:4" ht="15" x14ac:dyDescent="0.25">
      <c r="C7423" s="8" t="e">
        <f>VLOOKUP(A:A,'ITEM LIST'!A:C,3,0)</f>
        <v>#N/A</v>
      </c>
      <c r="D7423" s="6">
        <f t="shared" si="116"/>
        <v>0</v>
      </c>
    </row>
    <row r="7424" spans="3:4" ht="15" x14ac:dyDescent="0.25">
      <c r="C7424" s="8" t="e">
        <f>VLOOKUP(A:A,'ITEM LIST'!A:C,3,0)</f>
        <v>#N/A</v>
      </c>
      <c r="D7424" s="6">
        <f t="shared" si="116"/>
        <v>0</v>
      </c>
    </row>
    <row r="7425" spans="3:4" ht="15" x14ac:dyDescent="0.25">
      <c r="C7425" s="8" t="e">
        <f>VLOOKUP(A:A,'ITEM LIST'!A:C,3,0)</f>
        <v>#N/A</v>
      </c>
      <c r="D7425" s="6">
        <f t="shared" si="116"/>
        <v>0</v>
      </c>
    </row>
    <row r="7426" spans="3:4" ht="15" x14ac:dyDescent="0.25">
      <c r="C7426" s="8" t="e">
        <f>VLOOKUP(A:A,'ITEM LIST'!A:C,3,0)</f>
        <v>#N/A</v>
      </c>
      <c r="D7426" s="6">
        <f t="shared" si="116"/>
        <v>0</v>
      </c>
    </row>
    <row r="7427" spans="3:4" ht="15" x14ac:dyDescent="0.25">
      <c r="C7427" s="8" t="e">
        <f>VLOOKUP(A:A,'ITEM LIST'!A:C,3,0)</f>
        <v>#N/A</v>
      </c>
      <c r="D7427" s="6">
        <f t="shared" si="116"/>
        <v>0</v>
      </c>
    </row>
    <row r="7428" spans="3:4" ht="15" x14ac:dyDescent="0.25">
      <c r="C7428" s="8" t="e">
        <f>VLOOKUP(A:A,'ITEM LIST'!A:C,3,0)</f>
        <v>#N/A</v>
      </c>
      <c r="D7428" s="6">
        <f t="shared" si="116"/>
        <v>0</v>
      </c>
    </row>
    <row r="7429" spans="3:4" ht="15" x14ac:dyDescent="0.25">
      <c r="C7429" s="8" t="e">
        <f>VLOOKUP(A:A,'ITEM LIST'!A:C,3,0)</f>
        <v>#N/A</v>
      </c>
      <c r="D7429" s="6">
        <f t="shared" si="116"/>
        <v>0</v>
      </c>
    </row>
    <row r="7430" spans="3:4" ht="15" x14ac:dyDescent="0.25">
      <c r="C7430" s="8" t="e">
        <f>VLOOKUP(A:A,'ITEM LIST'!A:C,3,0)</f>
        <v>#N/A</v>
      </c>
      <c r="D7430" s="6">
        <f t="shared" ref="D7430:D7493" si="117">B7430</f>
        <v>0</v>
      </c>
    </row>
    <row r="7431" spans="3:4" ht="15" x14ac:dyDescent="0.25">
      <c r="C7431" s="8" t="e">
        <f>VLOOKUP(A:A,'ITEM LIST'!A:C,3,0)</f>
        <v>#N/A</v>
      </c>
      <c r="D7431" s="6">
        <f t="shared" si="117"/>
        <v>0</v>
      </c>
    </row>
    <row r="7432" spans="3:4" ht="15" x14ac:dyDescent="0.25">
      <c r="C7432" s="8" t="e">
        <f>VLOOKUP(A:A,'ITEM LIST'!A:C,3,0)</f>
        <v>#N/A</v>
      </c>
      <c r="D7432" s="6">
        <f t="shared" si="117"/>
        <v>0</v>
      </c>
    </row>
    <row r="7433" spans="3:4" ht="15" x14ac:dyDescent="0.25">
      <c r="C7433" s="8" t="e">
        <f>VLOOKUP(A:A,'ITEM LIST'!A:C,3,0)</f>
        <v>#N/A</v>
      </c>
      <c r="D7433" s="6">
        <f t="shared" si="117"/>
        <v>0</v>
      </c>
    </row>
    <row r="7434" spans="3:4" ht="15" x14ac:dyDescent="0.25">
      <c r="C7434" s="8" t="e">
        <f>VLOOKUP(A:A,'ITEM LIST'!A:C,3,0)</f>
        <v>#N/A</v>
      </c>
      <c r="D7434" s="6">
        <f t="shared" si="117"/>
        <v>0</v>
      </c>
    </row>
    <row r="7435" spans="3:4" ht="15" x14ac:dyDescent="0.25">
      <c r="C7435" s="8" t="e">
        <f>VLOOKUP(A:A,'ITEM LIST'!A:C,3,0)</f>
        <v>#N/A</v>
      </c>
      <c r="D7435" s="6">
        <f t="shared" si="117"/>
        <v>0</v>
      </c>
    </row>
    <row r="7436" spans="3:4" ht="15" x14ac:dyDescent="0.25">
      <c r="C7436" s="8" t="e">
        <f>VLOOKUP(A:A,'ITEM LIST'!A:C,3,0)</f>
        <v>#N/A</v>
      </c>
      <c r="D7436" s="6">
        <f t="shared" si="117"/>
        <v>0</v>
      </c>
    </row>
    <row r="7437" spans="3:4" ht="15" x14ac:dyDescent="0.25">
      <c r="C7437" s="8" t="e">
        <f>VLOOKUP(A:A,'ITEM LIST'!A:C,3,0)</f>
        <v>#N/A</v>
      </c>
      <c r="D7437" s="6">
        <f t="shared" si="117"/>
        <v>0</v>
      </c>
    </row>
    <row r="7438" spans="3:4" ht="15" x14ac:dyDescent="0.25">
      <c r="C7438" s="8" t="e">
        <f>VLOOKUP(A:A,'ITEM LIST'!A:C,3,0)</f>
        <v>#N/A</v>
      </c>
      <c r="D7438" s="6">
        <f t="shared" si="117"/>
        <v>0</v>
      </c>
    </row>
    <row r="7439" spans="3:4" ht="15" x14ac:dyDescent="0.25">
      <c r="C7439" s="8" t="e">
        <f>VLOOKUP(A:A,'ITEM LIST'!A:C,3,0)</f>
        <v>#N/A</v>
      </c>
      <c r="D7439" s="6">
        <f t="shared" si="117"/>
        <v>0</v>
      </c>
    </row>
    <row r="7440" spans="3:4" ht="15" x14ac:dyDescent="0.25">
      <c r="C7440" s="8" t="e">
        <f>VLOOKUP(A:A,'ITEM LIST'!A:C,3,0)</f>
        <v>#N/A</v>
      </c>
      <c r="D7440" s="6">
        <f t="shared" si="117"/>
        <v>0</v>
      </c>
    </row>
    <row r="7441" spans="3:4" ht="15" x14ac:dyDescent="0.25">
      <c r="C7441" s="8" t="e">
        <f>VLOOKUP(A:A,'ITEM LIST'!A:C,3,0)</f>
        <v>#N/A</v>
      </c>
      <c r="D7441" s="6">
        <f t="shared" si="117"/>
        <v>0</v>
      </c>
    </row>
    <row r="7442" spans="3:4" ht="15" x14ac:dyDescent="0.25">
      <c r="C7442" s="8" t="e">
        <f>VLOOKUP(A:A,'ITEM LIST'!A:C,3,0)</f>
        <v>#N/A</v>
      </c>
      <c r="D7442" s="6">
        <f t="shared" si="117"/>
        <v>0</v>
      </c>
    </row>
    <row r="7443" spans="3:4" ht="15" x14ac:dyDescent="0.25">
      <c r="C7443" s="8" t="e">
        <f>VLOOKUP(A:A,'ITEM LIST'!A:C,3,0)</f>
        <v>#N/A</v>
      </c>
      <c r="D7443" s="6">
        <f t="shared" si="117"/>
        <v>0</v>
      </c>
    </row>
    <row r="7444" spans="3:4" ht="15" x14ac:dyDescent="0.25">
      <c r="C7444" s="8" t="e">
        <f>VLOOKUP(A:A,'ITEM LIST'!A:C,3,0)</f>
        <v>#N/A</v>
      </c>
      <c r="D7444" s="6">
        <f t="shared" si="117"/>
        <v>0</v>
      </c>
    </row>
    <row r="7445" spans="3:4" ht="15" x14ac:dyDescent="0.25">
      <c r="C7445" s="8" t="e">
        <f>VLOOKUP(A:A,'ITEM LIST'!A:C,3,0)</f>
        <v>#N/A</v>
      </c>
      <c r="D7445" s="6">
        <f t="shared" si="117"/>
        <v>0</v>
      </c>
    </row>
    <row r="7446" spans="3:4" ht="15" x14ac:dyDescent="0.25">
      <c r="C7446" s="8" t="e">
        <f>VLOOKUP(A:A,'ITEM LIST'!A:C,3,0)</f>
        <v>#N/A</v>
      </c>
      <c r="D7446" s="6">
        <f t="shared" si="117"/>
        <v>0</v>
      </c>
    </row>
    <row r="7447" spans="3:4" ht="15" x14ac:dyDescent="0.25">
      <c r="C7447" s="8" t="e">
        <f>VLOOKUP(A:A,'ITEM LIST'!A:C,3,0)</f>
        <v>#N/A</v>
      </c>
      <c r="D7447" s="6">
        <f t="shared" si="117"/>
        <v>0</v>
      </c>
    </row>
    <row r="7448" spans="3:4" ht="15" x14ac:dyDescent="0.25">
      <c r="C7448" s="8" t="e">
        <f>VLOOKUP(A:A,'ITEM LIST'!A:C,3,0)</f>
        <v>#N/A</v>
      </c>
      <c r="D7448" s="6">
        <f t="shared" si="117"/>
        <v>0</v>
      </c>
    </row>
    <row r="7449" spans="3:4" ht="15" x14ac:dyDescent="0.25">
      <c r="C7449" s="8" t="e">
        <f>VLOOKUP(A:A,'ITEM LIST'!A:C,3,0)</f>
        <v>#N/A</v>
      </c>
      <c r="D7449" s="6">
        <f t="shared" si="117"/>
        <v>0</v>
      </c>
    </row>
    <row r="7450" spans="3:4" ht="15" x14ac:dyDescent="0.25">
      <c r="C7450" s="8" t="e">
        <f>VLOOKUP(A:A,'ITEM LIST'!A:C,3,0)</f>
        <v>#N/A</v>
      </c>
      <c r="D7450" s="6">
        <f t="shared" si="117"/>
        <v>0</v>
      </c>
    </row>
    <row r="7451" spans="3:4" ht="15" x14ac:dyDescent="0.25">
      <c r="C7451" s="8" t="e">
        <f>VLOOKUP(A:A,'ITEM LIST'!A:C,3,0)</f>
        <v>#N/A</v>
      </c>
      <c r="D7451" s="6">
        <f t="shared" si="117"/>
        <v>0</v>
      </c>
    </row>
    <row r="7452" spans="3:4" ht="15" x14ac:dyDescent="0.25">
      <c r="C7452" s="8" t="e">
        <f>VLOOKUP(A:A,'ITEM LIST'!A:C,3,0)</f>
        <v>#N/A</v>
      </c>
      <c r="D7452" s="6">
        <f t="shared" si="117"/>
        <v>0</v>
      </c>
    </row>
    <row r="7453" spans="3:4" ht="15" x14ac:dyDescent="0.25">
      <c r="C7453" s="8" t="e">
        <f>VLOOKUP(A:A,'ITEM LIST'!A:C,3,0)</f>
        <v>#N/A</v>
      </c>
      <c r="D7453" s="6">
        <f t="shared" si="117"/>
        <v>0</v>
      </c>
    </row>
    <row r="7454" spans="3:4" ht="15" x14ac:dyDescent="0.25">
      <c r="C7454" s="8" t="e">
        <f>VLOOKUP(A:A,'ITEM LIST'!A:C,3,0)</f>
        <v>#N/A</v>
      </c>
      <c r="D7454" s="6">
        <f t="shared" si="117"/>
        <v>0</v>
      </c>
    </row>
    <row r="7455" spans="3:4" ht="15" x14ac:dyDescent="0.25">
      <c r="C7455" s="8" t="e">
        <f>VLOOKUP(A:A,'ITEM LIST'!A:C,3,0)</f>
        <v>#N/A</v>
      </c>
      <c r="D7455" s="6">
        <f t="shared" si="117"/>
        <v>0</v>
      </c>
    </row>
    <row r="7456" spans="3:4" ht="15" x14ac:dyDescent="0.25">
      <c r="C7456" s="8" t="e">
        <f>VLOOKUP(A:A,'ITEM LIST'!A:C,3,0)</f>
        <v>#N/A</v>
      </c>
      <c r="D7456" s="6">
        <f t="shared" si="117"/>
        <v>0</v>
      </c>
    </row>
    <row r="7457" spans="3:4" ht="15" x14ac:dyDescent="0.25">
      <c r="C7457" s="8" t="e">
        <f>VLOOKUP(A:A,'ITEM LIST'!A:C,3,0)</f>
        <v>#N/A</v>
      </c>
      <c r="D7457" s="6">
        <f t="shared" si="117"/>
        <v>0</v>
      </c>
    </row>
    <row r="7458" spans="3:4" ht="15" x14ac:dyDescent="0.25">
      <c r="C7458" s="8" t="e">
        <f>VLOOKUP(A:A,'ITEM LIST'!A:C,3,0)</f>
        <v>#N/A</v>
      </c>
      <c r="D7458" s="6">
        <f t="shared" si="117"/>
        <v>0</v>
      </c>
    </row>
    <row r="7459" spans="3:4" ht="15" x14ac:dyDescent="0.25">
      <c r="C7459" s="8" t="e">
        <f>VLOOKUP(A:A,'ITEM LIST'!A:C,3,0)</f>
        <v>#N/A</v>
      </c>
      <c r="D7459" s="6">
        <f t="shared" si="117"/>
        <v>0</v>
      </c>
    </row>
    <row r="7460" spans="3:4" ht="15" x14ac:dyDescent="0.25">
      <c r="C7460" s="8" t="e">
        <f>VLOOKUP(A:A,'ITEM LIST'!A:C,3,0)</f>
        <v>#N/A</v>
      </c>
      <c r="D7460" s="6">
        <f t="shared" si="117"/>
        <v>0</v>
      </c>
    </row>
    <row r="7461" spans="3:4" ht="15" x14ac:dyDescent="0.25">
      <c r="C7461" s="8" t="e">
        <f>VLOOKUP(A:A,'ITEM LIST'!A:C,3,0)</f>
        <v>#N/A</v>
      </c>
      <c r="D7461" s="6">
        <f t="shared" si="117"/>
        <v>0</v>
      </c>
    </row>
    <row r="7462" spans="3:4" ht="15" x14ac:dyDescent="0.25">
      <c r="C7462" s="8" t="e">
        <f>VLOOKUP(A:A,'ITEM LIST'!A:C,3,0)</f>
        <v>#N/A</v>
      </c>
      <c r="D7462" s="6">
        <f t="shared" si="117"/>
        <v>0</v>
      </c>
    </row>
    <row r="7463" spans="3:4" ht="15" x14ac:dyDescent="0.25">
      <c r="C7463" s="8" t="e">
        <f>VLOOKUP(A:A,'ITEM LIST'!A:C,3,0)</f>
        <v>#N/A</v>
      </c>
      <c r="D7463" s="6">
        <f t="shared" si="117"/>
        <v>0</v>
      </c>
    </row>
    <row r="7464" spans="3:4" ht="15" x14ac:dyDescent="0.25">
      <c r="C7464" s="8" t="e">
        <f>VLOOKUP(A:A,'ITEM LIST'!A:C,3,0)</f>
        <v>#N/A</v>
      </c>
      <c r="D7464" s="6">
        <f t="shared" si="117"/>
        <v>0</v>
      </c>
    </row>
    <row r="7465" spans="3:4" ht="15" x14ac:dyDescent="0.25">
      <c r="C7465" s="8" t="e">
        <f>VLOOKUP(A:A,'ITEM LIST'!A:C,3,0)</f>
        <v>#N/A</v>
      </c>
      <c r="D7465" s="6">
        <f t="shared" si="117"/>
        <v>0</v>
      </c>
    </row>
    <row r="7466" spans="3:4" ht="15" x14ac:dyDescent="0.25">
      <c r="C7466" s="8" t="e">
        <f>VLOOKUP(A:A,'ITEM LIST'!A:C,3,0)</f>
        <v>#N/A</v>
      </c>
      <c r="D7466" s="6">
        <f t="shared" si="117"/>
        <v>0</v>
      </c>
    </row>
    <row r="7467" spans="3:4" ht="15" x14ac:dyDescent="0.25">
      <c r="C7467" s="8" t="e">
        <f>VLOOKUP(A:A,'ITEM LIST'!A:C,3,0)</f>
        <v>#N/A</v>
      </c>
      <c r="D7467" s="6">
        <f t="shared" si="117"/>
        <v>0</v>
      </c>
    </row>
    <row r="7468" spans="3:4" ht="15" x14ac:dyDescent="0.25">
      <c r="C7468" s="8" t="e">
        <f>VLOOKUP(A:A,'ITEM LIST'!A:C,3,0)</f>
        <v>#N/A</v>
      </c>
      <c r="D7468" s="6">
        <f t="shared" si="117"/>
        <v>0</v>
      </c>
    </row>
    <row r="7469" spans="3:4" ht="15" x14ac:dyDescent="0.25">
      <c r="C7469" s="8" t="e">
        <f>VLOOKUP(A:A,'ITEM LIST'!A:C,3,0)</f>
        <v>#N/A</v>
      </c>
      <c r="D7469" s="6">
        <f t="shared" si="117"/>
        <v>0</v>
      </c>
    </row>
    <row r="7470" spans="3:4" ht="15" x14ac:dyDescent="0.25">
      <c r="C7470" s="8" t="e">
        <f>VLOOKUP(A:A,'ITEM LIST'!A:C,3,0)</f>
        <v>#N/A</v>
      </c>
      <c r="D7470" s="6">
        <f t="shared" si="117"/>
        <v>0</v>
      </c>
    </row>
    <row r="7471" spans="3:4" ht="15" x14ac:dyDescent="0.25">
      <c r="C7471" s="8" t="e">
        <f>VLOOKUP(A:A,'ITEM LIST'!A:C,3,0)</f>
        <v>#N/A</v>
      </c>
      <c r="D7471" s="6">
        <f t="shared" si="117"/>
        <v>0</v>
      </c>
    </row>
    <row r="7472" spans="3:4" ht="15" x14ac:dyDescent="0.25">
      <c r="C7472" s="8" t="e">
        <f>VLOOKUP(A:A,'ITEM LIST'!A:C,3,0)</f>
        <v>#N/A</v>
      </c>
      <c r="D7472" s="6">
        <f t="shared" si="117"/>
        <v>0</v>
      </c>
    </row>
    <row r="7473" spans="3:4" ht="15" x14ac:dyDescent="0.25">
      <c r="C7473" s="8" t="e">
        <f>VLOOKUP(A:A,'ITEM LIST'!A:C,3,0)</f>
        <v>#N/A</v>
      </c>
      <c r="D7473" s="6">
        <f t="shared" si="117"/>
        <v>0</v>
      </c>
    </row>
    <row r="7474" spans="3:4" ht="15" x14ac:dyDescent="0.25">
      <c r="C7474" s="8" t="e">
        <f>VLOOKUP(A:A,'ITEM LIST'!A:C,3,0)</f>
        <v>#N/A</v>
      </c>
      <c r="D7474" s="6">
        <f t="shared" si="117"/>
        <v>0</v>
      </c>
    </row>
    <row r="7475" spans="3:4" ht="15" x14ac:dyDescent="0.25">
      <c r="C7475" s="8" t="e">
        <f>VLOOKUP(A:A,'ITEM LIST'!A:C,3,0)</f>
        <v>#N/A</v>
      </c>
      <c r="D7475" s="6">
        <f t="shared" si="117"/>
        <v>0</v>
      </c>
    </row>
    <row r="7476" spans="3:4" ht="15" x14ac:dyDescent="0.25">
      <c r="C7476" s="8" t="e">
        <f>VLOOKUP(A:A,'ITEM LIST'!A:C,3,0)</f>
        <v>#N/A</v>
      </c>
      <c r="D7476" s="6">
        <f t="shared" si="117"/>
        <v>0</v>
      </c>
    </row>
    <row r="7477" spans="3:4" ht="15" x14ac:dyDescent="0.25">
      <c r="C7477" s="8" t="e">
        <f>VLOOKUP(A:A,'ITEM LIST'!A:C,3,0)</f>
        <v>#N/A</v>
      </c>
      <c r="D7477" s="6">
        <f t="shared" si="117"/>
        <v>0</v>
      </c>
    </row>
    <row r="7478" spans="3:4" ht="15" x14ac:dyDescent="0.25">
      <c r="C7478" s="8" t="e">
        <f>VLOOKUP(A:A,'ITEM LIST'!A:C,3,0)</f>
        <v>#N/A</v>
      </c>
      <c r="D7478" s="6">
        <f t="shared" si="117"/>
        <v>0</v>
      </c>
    </row>
    <row r="7479" spans="3:4" ht="15" x14ac:dyDescent="0.25">
      <c r="C7479" s="8" t="e">
        <f>VLOOKUP(A:A,'ITEM LIST'!A:C,3,0)</f>
        <v>#N/A</v>
      </c>
      <c r="D7479" s="6">
        <f t="shared" si="117"/>
        <v>0</v>
      </c>
    </row>
    <row r="7480" spans="3:4" ht="15" x14ac:dyDescent="0.25">
      <c r="C7480" s="8" t="e">
        <f>VLOOKUP(A:A,'ITEM LIST'!A:C,3,0)</f>
        <v>#N/A</v>
      </c>
      <c r="D7480" s="6">
        <f t="shared" si="117"/>
        <v>0</v>
      </c>
    </row>
    <row r="7481" spans="3:4" ht="15" x14ac:dyDescent="0.25">
      <c r="C7481" s="8" t="e">
        <f>VLOOKUP(A:A,'ITEM LIST'!A:C,3,0)</f>
        <v>#N/A</v>
      </c>
      <c r="D7481" s="6">
        <f t="shared" si="117"/>
        <v>0</v>
      </c>
    </row>
    <row r="7482" spans="3:4" ht="15" x14ac:dyDescent="0.25">
      <c r="C7482" s="8" t="e">
        <f>VLOOKUP(A:A,'ITEM LIST'!A:C,3,0)</f>
        <v>#N/A</v>
      </c>
      <c r="D7482" s="6">
        <f t="shared" si="117"/>
        <v>0</v>
      </c>
    </row>
    <row r="7483" spans="3:4" ht="15" x14ac:dyDescent="0.25">
      <c r="C7483" s="8" t="e">
        <f>VLOOKUP(A:A,'ITEM LIST'!A:C,3,0)</f>
        <v>#N/A</v>
      </c>
      <c r="D7483" s="6">
        <f t="shared" si="117"/>
        <v>0</v>
      </c>
    </row>
    <row r="7484" spans="3:4" ht="15" x14ac:dyDescent="0.25">
      <c r="C7484" s="8" t="e">
        <f>VLOOKUP(A:A,'ITEM LIST'!A:C,3,0)</f>
        <v>#N/A</v>
      </c>
      <c r="D7484" s="6">
        <f t="shared" si="117"/>
        <v>0</v>
      </c>
    </row>
    <row r="7485" spans="3:4" ht="15" x14ac:dyDescent="0.25">
      <c r="C7485" s="8" t="e">
        <f>VLOOKUP(A:A,'ITEM LIST'!A:C,3,0)</f>
        <v>#N/A</v>
      </c>
      <c r="D7485" s="6">
        <f t="shared" si="117"/>
        <v>0</v>
      </c>
    </row>
    <row r="7486" spans="3:4" ht="15" x14ac:dyDescent="0.25">
      <c r="C7486" s="8" t="e">
        <f>VLOOKUP(A:A,'ITEM LIST'!A:C,3,0)</f>
        <v>#N/A</v>
      </c>
      <c r="D7486" s="6">
        <f t="shared" si="117"/>
        <v>0</v>
      </c>
    </row>
    <row r="7487" spans="3:4" ht="15" x14ac:dyDescent="0.25">
      <c r="C7487" s="8" t="e">
        <f>VLOOKUP(A:A,'ITEM LIST'!A:C,3,0)</f>
        <v>#N/A</v>
      </c>
      <c r="D7487" s="6">
        <f t="shared" si="117"/>
        <v>0</v>
      </c>
    </row>
    <row r="7488" spans="3:4" ht="15" x14ac:dyDescent="0.25">
      <c r="C7488" s="8" t="e">
        <f>VLOOKUP(A:A,'ITEM LIST'!A:C,3,0)</f>
        <v>#N/A</v>
      </c>
      <c r="D7488" s="6">
        <f t="shared" si="117"/>
        <v>0</v>
      </c>
    </row>
    <row r="7489" spans="3:4" ht="15" x14ac:dyDescent="0.25">
      <c r="C7489" s="8" t="e">
        <f>VLOOKUP(A:A,'ITEM LIST'!A:C,3,0)</f>
        <v>#N/A</v>
      </c>
      <c r="D7489" s="6">
        <f t="shared" si="117"/>
        <v>0</v>
      </c>
    </row>
    <row r="7490" spans="3:4" ht="15" x14ac:dyDescent="0.25">
      <c r="C7490" s="8" t="e">
        <f>VLOOKUP(A:A,'ITEM LIST'!A:C,3,0)</f>
        <v>#N/A</v>
      </c>
      <c r="D7490" s="6">
        <f t="shared" si="117"/>
        <v>0</v>
      </c>
    </row>
    <row r="7491" spans="3:4" ht="15" x14ac:dyDescent="0.25">
      <c r="C7491" s="8" t="e">
        <f>VLOOKUP(A:A,'ITEM LIST'!A:C,3,0)</f>
        <v>#N/A</v>
      </c>
      <c r="D7491" s="6">
        <f t="shared" si="117"/>
        <v>0</v>
      </c>
    </row>
    <row r="7492" spans="3:4" ht="15" x14ac:dyDescent="0.25">
      <c r="C7492" s="8" t="e">
        <f>VLOOKUP(A:A,'ITEM LIST'!A:C,3,0)</f>
        <v>#N/A</v>
      </c>
      <c r="D7492" s="6">
        <f t="shared" si="117"/>
        <v>0</v>
      </c>
    </row>
    <row r="7493" spans="3:4" ht="15" x14ac:dyDescent="0.25">
      <c r="C7493" s="8" t="e">
        <f>VLOOKUP(A:A,'ITEM LIST'!A:C,3,0)</f>
        <v>#N/A</v>
      </c>
      <c r="D7493" s="6">
        <f t="shared" si="117"/>
        <v>0</v>
      </c>
    </row>
    <row r="7494" spans="3:4" ht="15" x14ac:dyDescent="0.25">
      <c r="C7494" s="8" t="e">
        <f>VLOOKUP(A:A,'ITEM LIST'!A:C,3,0)</f>
        <v>#N/A</v>
      </c>
      <c r="D7494" s="6">
        <f t="shared" ref="D7494:D7557" si="118">B7494</f>
        <v>0</v>
      </c>
    </row>
    <row r="7495" spans="3:4" ht="15" x14ac:dyDescent="0.25">
      <c r="C7495" s="8" t="e">
        <f>VLOOKUP(A:A,'ITEM LIST'!A:C,3,0)</f>
        <v>#N/A</v>
      </c>
      <c r="D7495" s="6">
        <f t="shared" si="118"/>
        <v>0</v>
      </c>
    </row>
    <row r="7496" spans="3:4" ht="15" x14ac:dyDescent="0.25">
      <c r="C7496" s="8" t="e">
        <f>VLOOKUP(A:A,'ITEM LIST'!A:C,3,0)</f>
        <v>#N/A</v>
      </c>
      <c r="D7496" s="6">
        <f t="shared" si="118"/>
        <v>0</v>
      </c>
    </row>
    <row r="7497" spans="3:4" ht="15" x14ac:dyDescent="0.25">
      <c r="C7497" s="8" t="e">
        <f>VLOOKUP(A:A,'ITEM LIST'!A:C,3,0)</f>
        <v>#N/A</v>
      </c>
      <c r="D7497" s="6">
        <f t="shared" si="118"/>
        <v>0</v>
      </c>
    </row>
    <row r="7498" spans="3:4" ht="15" x14ac:dyDescent="0.25">
      <c r="C7498" s="8" t="e">
        <f>VLOOKUP(A:A,'ITEM LIST'!A:C,3,0)</f>
        <v>#N/A</v>
      </c>
      <c r="D7498" s="6">
        <f t="shared" si="118"/>
        <v>0</v>
      </c>
    </row>
    <row r="7499" spans="3:4" ht="15" x14ac:dyDescent="0.25">
      <c r="C7499" s="8" t="e">
        <f>VLOOKUP(A:A,'ITEM LIST'!A:C,3,0)</f>
        <v>#N/A</v>
      </c>
      <c r="D7499" s="6">
        <f t="shared" si="118"/>
        <v>0</v>
      </c>
    </row>
    <row r="7500" spans="3:4" ht="15" x14ac:dyDescent="0.25">
      <c r="C7500" s="8" t="e">
        <f>VLOOKUP(A:A,'ITEM LIST'!A:C,3,0)</f>
        <v>#N/A</v>
      </c>
      <c r="D7500" s="6">
        <f t="shared" si="118"/>
        <v>0</v>
      </c>
    </row>
    <row r="7501" spans="3:4" ht="15" x14ac:dyDescent="0.25">
      <c r="C7501" s="8" t="e">
        <f>VLOOKUP(A:A,'ITEM LIST'!A:C,3,0)</f>
        <v>#N/A</v>
      </c>
      <c r="D7501" s="6">
        <f t="shared" si="118"/>
        <v>0</v>
      </c>
    </row>
    <row r="7502" spans="3:4" ht="15" x14ac:dyDescent="0.25">
      <c r="C7502" s="8" t="e">
        <f>VLOOKUP(A:A,'ITEM LIST'!A:C,3,0)</f>
        <v>#N/A</v>
      </c>
      <c r="D7502" s="6">
        <f t="shared" si="118"/>
        <v>0</v>
      </c>
    </row>
    <row r="7503" spans="3:4" ht="15" x14ac:dyDescent="0.25">
      <c r="C7503" s="8" t="e">
        <f>VLOOKUP(A:A,'ITEM LIST'!A:C,3,0)</f>
        <v>#N/A</v>
      </c>
      <c r="D7503" s="6">
        <f t="shared" si="118"/>
        <v>0</v>
      </c>
    </row>
    <row r="7504" spans="3:4" ht="15" x14ac:dyDescent="0.25">
      <c r="C7504" s="8" t="e">
        <f>VLOOKUP(A:A,'ITEM LIST'!A:C,3,0)</f>
        <v>#N/A</v>
      </c>
      <c r="D7504" s="6">
        <f t="shared" si="118"/>
        <v>0</v>
      </c>
    </row>
    <row r="7505" spans="3:4" ht="15" x14ac:dyDescent="0.25">
      <c r="C7505" s="8" t="e">
        <f>VLOOKUP(A:A,'ITEM LIST'!A:C,3,0)</f>
        <v>#N/A</v>
      </c>
      <c r="D7505" s="6">
        <f t="shared" si="118"/>
        <v>0</v>
      </c>
    </row>
    <row r="7506" spans="3:4" ht="15" x14ac:dyDescent="0.25">
      <c r="C7506" s="8" t="e">
        <f>VLOOKUP(A:A,'ITEM LIST'!A:C,3,0)</f>
        <v>#N/A</v>
      </c>
      <c r="D7506" s="6">
        <f t="shared" si="118"/>
        <v>0</v>
      </c>
    </row>
    <row r="7507" spans="3:4" ht="15" x14ac:dyDescent="0.25">
      <c r="C7507" s="8" t="e">
        <f>VLOOKUP(A:A,'ITEM LIST'!A:C,3,0)</f>
        <v>#N/A</v>
      </c>
      <c r="D7507" s="6">
        <f t="shared" si="118"/>
        <v>0</v>
      </c>
    </row>
    <row r="7508" spans="3:4" ht="15" x14ac:dyDescent="0.25">
      <c r="C7508" s="8" t="e">
        <f>VLOOKUP(A:A,'ITEM LIST'!A:C,3,0)</f>
        <v>#N/A</v>
      </c>
      <c r="D7508" s="6">
        <f t="shared" si="118"/>
        <v>0</v>
      </c>
    </row>
    <row r="7509" spans="3:4" ht="15" x14ac:dyDescent="0.25">
      <c r="C7509" s="8" t="e">
        <f>VLOOKUP(A:A,'ITEM LIST'!A:C,3,0)</f>
        <v>#N/A</v>
      </c>
      <c r="D7509" s="6">
        <f t="shared" si="118"/>
        <v>0</v>
      </c>
    </row>
    <row r="7510" spans="3:4" ht="15" x14ac:dyDescent="0.25">
      <c r="C7510" s="8" t="e">
        <f>VLOOKUP(A:A,'ITEM LIST'!A:C,3,0)</f>
        <v>#N/A</v>
      </c>
      <c r="D7510" s="6">
        <f t="shared" si="118"/>
        <v>0</v>
      </c>
    </row>
    <row r="7511" spans="3:4" ht="15" x14ac:dyDescent="0.25">
      <c r="C7511" s="8" t="e">
        <f>VLOOKUP(A:A,'ITEM LIST'!A:C,3,0)</f>
        <v>#N/A</v>
      </c>
      <c r="D7511" s="6">
        <f t="shared" si="118"/>
        <v>0</v>
      </c>
    </row>
    <row r="7512" spans="3:4" ht="15" x14ac:dyDescent="0.25">
      <c r="C7512" s="8" t="e">
        <f>VLOOKUP(A:A,'ITEM LIST'!A:C,3,0)</f>
        <v>#N/A</v>
      </c>
      <c r="D7512" s="6">
        <f t="shared" si="118"/>
        <v>0</v>
      </c>
    </row>
    <row r="7513" spans="3:4" ht="15" x14ac:dyDescent="0.25">
      <c r="C7513" s="8" t="e">
        <f>VLOOKUP(A:A,'ITEM LIST'!A:C,3,0)</f>
        <v>#N/A</v>
      </c>
      <c r="D7513" s="6">
        <f t="shared" si="118"/>
        <v>0</v>
      </c>
    </row>
    <row r="7514" spans="3:4" ht="15" x14ac:dyDescent="0.25">
      <c r="C7514" s="8" t="e">
        <f>VLOOKUP(A:A,'ITEM LIST'!A:C,3,0)</f>
        <v>#N/A</v>
      </c>
      <c r="D7514" s="6">
        <f t="shared" si="118"/>
        <v>0</v>
      </c>
    </row>
    <row r="7515" spans="3:4" ht="15" x14ac:dyDescent="0.25">
      <c r="C7515" s="8" t="e">
        <f>VLOOKUP(A:A,'ITEM LIST'!A:C,3,0)</f>
        <v>#N/A</v>
      </c>
      <c r="D7515" s="6">
        <f t="shared" si="118"/>
        <v>0</v>
      </c>
    </row>
    <row r="7516" spans="3:4" ht="15" x14ac:dyDescent="0.25">
      <c r="C7516" s="8" t="e">
        <f>VLOOKUP(A:A,'ITEM LIST'!A:C,3,0)</f>
        <v>#N/A</v>
      </c>
      <c r="D7516" s="6">
        <f t="shared" si="118"/>
        <v>0</v>
      </c>
    </row>
    <row r="7517" spans="3:4" ht="15" x14ac:dyDescent="0.25">
      <c r="C7517" s="8" t="e">
        <f>VLOOKUP(A:A,'ITEM LIST'!A:C,3,0)</f>
        <v>#N/A</v>
      </c>
      <c r="D7517" s="6">
        <f t="shared" si="118"/>
        <v>0</v>
      </c>
    </row>
    <row r="7518" spans="3:4" ht="15" x14ac:dyDescent="0.25">
      <c r="C7518" s="8" t="e">
        <f>VLOOKUP(A:A,'ITEM LIST'!A:C,3,0)</f>
        <v>#N/A</v>
      </c>
      <c r="D7518" s="6">
        <f t="shared" si="118"/>
        <v>0</v>
      </c>
    </row>
    <row r="7519" spans="3:4" ht="15" x14ac:dyDescent="0.25">
      <c r="C7519" s="8" t="e">
        <f>VLOOKUP(A:A,'ITEM LIST'!A:C,3,0)</f>
        <v>#N/A</v>
      </c>
      <c r="D7519" s="6">
        <f t="shared" si="118"/>
        <v>0</v>
      </c>
    </row>
    <row r="7520" spans="3:4" ht="15" x14ac:dyDescent="0.25">
      <c r="C7520" s="8" t="e">
        <f>VLOOKUP(A:A,'ITEM LIST'!A:C,3,0)</f>
        <v>#N/A</v>
      </c>
      <c r="D7520" s="6">
        <f t="shared" si="118"/>
        <v>0</v>
      </c>
    </row>
    <row r="7521" spans="3:4" ht="15" x14ac:dyDescent="0.25">
      <c r="C7521" s="8" t="e">
        <f>VLOOKUP(A:A,'ITEM LIST'!A:C,3,0)</f>
        <v>#N/A</v>
      </c>
      <c r="D7521" s="6">
        <f t="shared" si="118"/>
        <v>0</v>
      </c>
    </row>
    <row r="7522" spans="3:4" ht="15" x14ac:dyDescent="0.25">
      <c r="C7522" s="8" t="e">
        <f>VLOOKUP(A:A,'ITEM LIST'!A:C,3,0)</f>
        <v>#N/A</v>
      </c>
      <c r="D7522" s="6">
        <f t="shared" si="118"/>
        <v>0</v>
      </c>
    </row>
    <row r="7523" spans="3:4" ht="15" x14ac:dyDescent="0.25">
      <c r="C7523" s="8" t="e">
        <f>VLOOKUP(A:A,'ITEM LIST'!A:C,3,0)</f>
        <v>#N/A</v>
      </c>
      <c r="D7523" s="6">
        <f t="shared" si="118"/>
        <v>0</v>
      </c>
    </row>
    <row r="7524" spans="3:4" ht="15" x14ac:dyDescent="0.25">
      <c r="C7524" s="8" t="e">
        <f>VLOOKUP(A:A,'ITEM LIST'!A:C,3,0)</f>
        <v>#N/A</v>
      </c>
      <c r="D7524" s="6">
        <f t="shared" si="118"/>
        <v>0</v>
      </c>
    </row>
    <row r="7525" spans="3:4" ht="15" x14ac:dyDescent="0.25">
      <c r="C7525" s="8" t="e">
        <f>VLOOKUP(A:A,'ITEM LIST'!A:C,3,0)</f>
        <v>#N/A</v>
      </c>
      <c r="D7525" s="6">
        <f t="shared" si="118"/>
        <v>0</v>
      </c>
    </row>
    <row r="7526" spans="3:4" ht="15" x14ac:dyDescent="0.25">
      <c r="C7526" s="8" t="e">
        <f>VLOOKUP(A:A,'ITEM LIST'!A:C,3,0)</f>
        <v>#N/A</v>
      </c>
      <c r="D7526" s="6">
        <f t="shared" si="118"/>
        <v>0</v>
      </c>
    </row>
    <row r="7527" spans="3:4" ht="15" x14ac:dyDescent="0.25">
      <c r="C7527" s="8" t="e">
        <f>VLOOKUP(A:A,'ITEM LIST'!A:C,3,0)</f>
        <v>#N/A</v>
      </c>
      <c r="D7527" s="6">
        <f t="shared" si="118"/>
        <v>0</v>
      </c>
    </row>
    <row r="7528" spans="3:4" ht="15" x14ac:dyDescent="0.25">
      <c r="C7528" s="8" t="e">
        <f>VLOOKUP(A:A,'ITEM LIST'!A:C,3,0)</f>
        <v>#N/A</v>
      </c>
      <c r="D7528" s="6">
        <f t="shared" si="118"/>
        <v>0</v>
      </c>
    </row>
    <row r="7529" spans="3:4" ht="15" x14ac:dyDescent="0.25">
      <c r="C7529" s="8" t="e">
        <f>VLOOKUP(A:A,'ITEM LIST'!A:C,3,0)</f>
        <v>#N/A</v>
      </c>
      <c r="D7529" s="6">
        <f t="shared" si="118"/>
        <v>0</v>
      </c>
    </row>
    <row r="7530" spans="3:4" ht="15" x14ac:dyDescent="0.25">
      <c r="C7530" s="8" t="e">
        <f>VLOOKUP(A:A,'ITEM LIST'!A:C,3,0)</f>
        <v>#N/A</v>
      </c>
      <c r="D7530" s="6">
        <f t="shared" si="118"/>
        <v>0</v>
      </c>
    </row>
    <row r="7531" spans="3:4" ht="15" x14ac:dyDescent="0.25">
      <c r="C7531" s="8" t="e">
        <f>VLOOKUP(A:A,'ITEM LIST'!A:C,3,0)</f>
        <v>#N/A</v>
      </c>
      <c r="D7531" s="6">
        <f t="shared" si="118"/>
        <v>0</v>
      </c>
    </row>
    <row r="7532" spans="3:4" ht="15" x14ac:dyDescent="0.25">
      <c r="C7532" s="8" t="e">
        <f>VLOOKUP(A:A,'ITEM LIST'!A:C,3,0)</f>
        <v>#N/A</v>
      </c>
      <c r="D7532" s="6">
        <f t="shared" si="118"/>
        <v>0</v>
      </c>
    </row>
    <row r="7533" spans="3:4" ht="15" x14ac:dyDescent="0.25">
      <c r="C7533" s="8" t="e">
        <f>VLOOKUP(A:A,'ITEM LIST'!A:C,3,0)</f>
        <v>#N/A</v>
      </c>
      <c r="D7533" s="6">
        <f t="shared" si="118"/>
        <v>0</v>
      </c>
    </row>
    <row r="7534" spans="3:4" ht="15" x14ac:dyDescent="0.25">
      <c r="C7534" s="8" t="e">
        <f>VLOOKUP(A:A,'ITEM LIST'!A:C,3,0)</f>
        <v>#N/A</v>
      </c>
      <c r="D7534" s="6">
        <f t="shared" si="118"/>
        <v>0</v>
      </c>
    </row>
    <row r="7535" spans="3:4" ht="15" x14ac:dyDescent="0.25">
      <c r="C7535" s="8" t="e">
        <f>VLOOKUP(A:A,'ITEM LIST'!A:C,3,0)</f>
        <v>#N/A</v>
      </c>
      <c r="D7535" s="6">
        <f t="shared" si="118"/>
        <v>0</v>
      </c>
    </row>
    <row r="7536" spans="3:4" ht="15" x14ac:dyDescent="0.25">
      <c r="C7536" s="8" t="e">
        <f>VLOOKUP(A:A,'ITEM LIST'!A:C,3,0)</f>
        <v>#N/A</v>
      </c>
      <c r="D7536" s="6">
        <f t="shared" si="118"/>
        <v>0</v>
      </c>
    </row>
    <row r="7537" spans="3:4" ht="15" x14ac:dyDescent="0.25">
      <c r="C7537" s="8" t="e">
        <f>VLOOKUP(A:A,'ITEM LIST'!A:C,3,0)</f>
        <v>#N/A</v>
      </c>
      <c r="D7537" s="6">
        <f t="shared" si="118"/>
        <v>0</v>
      </c>
    </row>
    <row r="7538" spans="3:4" ht="15" x14ac:dyDescent="0.25">
      <c r="C7538" s="8" t="e">
        <f>VLOOKUP(A:A,'ITEM LIST'!A:C,3,0)</f>
        <v>#N/A</v>
      </c>
      <c r="D7538" s="6">
        <f t="shared" si="118"/>
        <v>0</v>
      </c>
    </row>
    <row r="7539" spans="3:4" ht="15" x14ac:dyDescent="0.25">
      <c r="C7539" s="8" t="e">
        <f>VLOOKUP(A:A,'ITEM LIST'!A:C,3,0)</f>
        <v>#N/A</v>
      </c>
      <c r="D7539" s="6">
        <f t="shared" si="118"/>
        <v>0</v>
      </c>
    </row>
    <row r="7540" spans="3:4" ht="15" x14ac:dyDescent="0.25">
      <c r="C7540" s="8" t="e">
        <f>VLOOKUP(A:A,'ITEM LIST'!A:C,3,0)</f>
        <v>#N/A</v>
      </c>
      <c r="D7540" s="6">
        <f t="shared" si="118"/>
        <v>0</v>
      </c>
    </row>
    <row r="7541" spans="3:4" ht="15" x14ac:dyDescent="0.25">
      <c r="C7541" s="8" t="e">
        <f>VLOOKUP(A:A,'ITEM LIST'!A:C,3,0)</f>
        <v>#N/A</v>
      </c>
      <c r="D7541" s="6">
        <f t="shared" si="118"/>
        <v>0</v>
      </c>
    </row>
    <row r="7542" spans="3:4" ht="15" x14ac:dyDescent="0.25">
      <c r="C7542" s="8" t="e">
        <f>VLOOKUP(A:A,'ITEM LIST'!A:C,3,0)</f>
        <v>#N/A</v>
      </c>
      <c r="D7542" s="6">
        <f t="shared" si="118"/>
        <v>0</v>
      </c>
    </row>
    <row r="7543" spans="3:4" ht="15" x14ac:dyDescent="0.25">
      <c r="C7543" s="8" t="e">
        <f>VLOOKUP(A:A,'ITEM LIST'!A:C,3,0)</f>
        <v>#N/A</v>
      </c>
      <c r="D7543" s="6">
        <f t="shared" si="118"/>
        <v>0</v>
      </c>
    </row>
    <row r="7544" spans="3:4" ht="15" x14ac:dyDescent="0.25">
      <c r="C7544" s="8" t="e">
        <f>VLOOKUP(A:A,'ITEM LIST'!A:C,3,0)</f>
        <v>#N/A</v>
      </c>
      <c r="D7544" s="6">
        <f t="shared" si="118"/>
        <v>0</v>
      </c>
    </row>
    <row r="7545" spans="3:4" ht="15" x14ac:dyDescent="0.25">
      <c r="C7545" s="8" t="e">
        <f>VLOOKUP(A:A,'ITEM LIST'!A:C,3,0)</f>
        <v>#N/A</v>
      </c>
      <c r="D7545" s="6">
        <f t="shared" si="118"/>
        <v>0</v>
      </c>
    </row>
    <row r="7546" spans="3:4" ht="15" x14ac:dyDescent="0.25">
      <c r="C7546" s="8" t="e">
        <f>VLOOKUP(A:A,'ITEM LIST'!A:C,3,0)</f>
        <v>#N/A</v>
      </c>
      <c r="D7546" s="6">
        <f t="shared" si="118"/>
        <v>0</v>
      </c>
    </row>
    <row r="7547" spans="3:4" ht="15" x14ac:dyDescent="0.25">
      <c r="C7547" s="8" t="e">
        <f>VLOOKUP(A:A,'ITEM LIST'!A:C,3,0)</f>
        <v>#N/A</v>
      </c>
      <c r="D7547" s="6">
        <f t="shared" si="118"/>
        <v>0</v>
      </c>
    </row>
    <row r="7548" spans="3:4" ht="15" x14ac:dyDescent="0.25">
      <c r="C7548" s="8" t="e">
        <f>VLOOKUP(A:A,'ITEM LIST'!A:C,3,0)</f>
        <v>#N/A</v>
      </c>
      <c r="D7548" s="6">
        <f t="shared" si="118"/>
        <v>0</v>
      </c>
    </row>
    <row r="7549" spans="3:4" ht="15" x14ac:dyDescent="0.25">
      <c r="C7549" s="8" t="e">
        <f>VLOOKUP(A:A,'ITEM LIST'!A:C,3,0)</f>
        <v>#N/A</v>
      </c>
      <c r="D7549" s="6">
        <f t="shared" si="118"/>
        <v>0</v>
      </c>
    </row>
    <row r="7550" spans="3:4" ht="15" x14ac:dyDescent="0.25">
      <c r="C7550" s="8" t="e">
        <f>VLOOKUP(A:A,'ITEM LIST'!A:C,3,0)</f>
        <v>#N/A</v>
      </c>
      <c r="D7550" s="6">
        <f t="shared" si="118"/>
        <v>0</v>
      </c>
    </row>
    <row r="7551" spans="3:4" ht="15" x14ac:dyDescent="0.25">
      <c r="C7551" s="8" t="e">
        <f>VLOOKUP(A:A,'ITEM LIST'!A:C,3,0)</f>
        <v>#N/A</v>
      </c>
      <c r="D7551" s="6">
        <f t="shared" si="118"/>
        <v>0</v>
      </c>
    </row>
    <row r="7552" spans="3:4" ht="15" x14ac:dyDescent="0.25">
      <c r="C7552" s="8" t="e">
        <f>VLOOKUP(A:A,'ITEM LIST'!A:C,3,0)</f>
        <v>#N/A</v>
      </c>
      <c r="D7552" s="6">
        <f t="shared" si="118"/>
        <v>0</v>
      </c>
    </row>
    <row r="7553" spans="3:4" ht="15" x14ac:dyDescent="0.25">
      <c r="C7553" s="8" t="e">
        <f>VLOOKUP(A:A,'ITEM LIST'!A:C,3,0)</f>
        <v>#N/A</v>
      </c>
      <c r="D7553" s="6">
        <f t="shared" si="118"/>
        <v>0</v>
      </c>
    </row>
    <row r="7554" spans="3:4" ht="15" x14ac:dyDescent="0.25">
      <c r="C7554" s="8" t="e">
        <f>VLOOKUP(A:A,'ITEM LIST'!A:C,3,0)</f>
        <v>#N/A</v>
      </c>
      <c r="D7554" s="6">
        <f t="shared" si="118"/>
        <v>0</v>
      </c>
    </row>
    <row r="7555" spans="3:4" ht="15" x14ac:dyDescent="0.25">
      <c r="C7555" s="8" t="e">
        <f>VLOOKUP(A:A,'ITEM LIST'!A:C,3,0)</f>
        <v>#N/A</v>
      </c>
      <c r="D7555" s="6">
        <f t="shared" si="118"/>
        <v>0</v>
      </c>
    </row>
    <row r="7556" spans="3:4" ht="15" x14ac:dyDescent="0.25">
      <c r="C7556" s="8" t="e">
        <f>VLOOKUP(A:A,'ITEM LIST'!A:C,3,0)</f>
        <v>#N/A</v>
      </c>
      <c r="D7556" s="6">
        <f t="shared" si="118"/>
        <v>0</v>
      </c>
    </row>
    <row r="7557" spans="3:4" ht="15" x14ac:dyDescent="0.25">
      <c r="C7557" s="8" t="e">
        <f>VLOOKUP(A:A,'ITEM LIST'!A:C,3,0)</f>
        <v>#N/A</v>
      </c>
      <c r="D7557" s="6">
        <f t="shared" si="118"/>
        <v>0</v>
      </c>
    </row>
    <row r="7558" spans="3:4" ht="15" x14ac:dyDescent="0.25">
      <c r="C7558" s="8" t="e">
        <f>VLOOKUP(A:A,'ITEM LIST'!A:C,3,0)</f>
        <v>#N/A</v>
      </c>
      <c r="D7558" s="6">
        <f t="shared" ref="D7558:D7621" si="119">B7558</f>
        <v>0</v>
      </c>
    </row>
    <row r="7559" spans="3:4" ht="15" x14ac:dyDescent="0.25">
      <c r="C7559" s="8" t="e">
        <f>VLOOKUP(A:A,'ITEM LIST'!A:C,3,0)</f>
        <v>#N/A</v>
      </c>
      <c r="D7559" s="6">
        <f t="shared" si="119"/>
        <v>0</v>
      </c>
    </row>
    <row r="7560" spans="3:4" ht="15" x14ac:dyDescent="0.25">
      <c r="C7560" s="8" t="e">
        <f>VLOOKUP(A:A,'ITEM LIST'!A:C,3,0)</f>
        <v>#N/A</v>
      </c>
      <c r="D7560" s="6">
        <f t="shared" si="119"/>
        <v>0</v>
      </c>
    </row>
    <row r="7561" spans="3:4" ht="15" x14ac:dyDescent="0.25">
      <c r="C7561" s="8" t="e">
        <f>VLOOKUP(A:A,'ITEM LIST'!A:C,3,0)</f>
        <v>#N/A</v>
      </c>
      <c r="D7561" s="6">
        <f t="shared" si="119"/>
        <v>0</v>
      </c>
    </row>
    <row r="7562" spans="3:4" ht="15" x14ac:dyDescent="0.25">
      <c r="C7562" s="8" t="e">
        <f>VLOOKUP(A:A,'ITEM LIST'!A:C,3,0)</f>
        <v>#N/A</v>
      </c>
      <c r="D7562" s="6">
        <f t="shared" si="119"/>
        <v>0</v>
      </c>
    </row>
    <row r="7563" spans="3:4" ht="15" x14ac:dyDescent="0.25">
      <c r="C7563" s="8" t="e">
        <f>VLOOKUP(A:A,'ITEM LIST'!A:C,3,0)</f>
        <v>#N/A</v>
      </c>
      <c r="D7563" s="6">
        <f t="shared" si="119"/>
        <v>0</v>
      </c>
    </row>
    <row r="7564" spans="3:4" ht="15" x14ac:dyDescent="0.25">
      <c r="C7564" s="8" t="e">
        <f>VLOOKUP(A:A,'ITEM LIST'!A:C,3,0)</f>
        <v>#N/A</v>
      </c>
      <c r="D7564" s="6">
        <f t="shared" si="119"/>
        <v>0</v>
      </c>
    </row>
    <row r="7565" spans="3:4" ht="15" x14ac:dyDescent="0.25">
      <c r="C7565" s="8" t="e">
        <f>VLOOKUP(A:A,'ITEM LIST'!A:C,3,0)</f>
        <v>#N/A</v>
      </c>
      <c r="D7565" s="6">
        <f t="shared" si="119"/>
        <v>0</v>
      </c>
    </row>
    <row r="7566" spans="3:4" ht="15" x14ac:dyDescent="0.25">
      <c r="C7566" s="8" t="e">
        <f>VLOOKUP(A:A,'ITEM LIST'!A:C,3,0)</f>
        <v>#N/A</v>
      </c>
      <c r="D7566" s="6">
        <f t="shared" si="119"/>
        <v>0</v>
      </c>
    </row>
    <row r="7567" spans="3:4" ht="15" x14ac:dyDescent="0.25">
      <c r="C7567" s="8" t="e">
        <f>VLOOKUP(A:A,'ITEM LIST'!A:C,3,0)</f>
        <v>#N/A</v>
      </c>
      <c r="D7567" s="6">
        <f t="shared" si="119"/>
        <v>0</v>
      </c>
    </row>
    <row r="7568" spans="3:4" ht="15" x14ac:dyDescent="0.25">
      <c r="C7568" s="8" t="e">
        <f>VLOOKUP(A:A,'ITEM LIST'!A:C,3,0)</f>
        <v>#N/A</v>
      </c>
      <c r="D7568" s="6">
        <f t="shared" si="119"/>
        <v>0</v>
      </c>
    </row>
    <row r="7569" spans="3:4" ht="15" x14ac:dyDescent="0.25">
      <c r="C7569" s="8" t="e">
        <f>VLOOKUP(A:A,'ITEM LIST'!A:C,3,0)</f>
        <v>#N/A</v>
      </c>
      <c r="D7569" s="6">
        <f t="shared" si="119"/>
        <v>0</v>
      </c>
    </row>
    <row r="7570" spans="3:4" ht="15" x14ac:dyDescent="0.25">
      <c r="C7570" s="8" t="e">
        <f>VLOOKUP(A:A,'ITEM LIST'!A:C,3,0)</f>
        <v>#N/A</v>
      </c>
      <c r="D7570" s="6">
        <f t="shared" si="119"/>
        <v>0</v>
      </c>
    </row>
    <row r="7571" spans="3:4" ht="15" x14ac:dyDescent="0.25">
      <c r="C7571" s="8" t="e">
        <f>VLOOKUP(A:A,'ITEM LIST'!A:C,3,0)</f>
        <v>#N/A</v>
      </c>
      <c r="D7571" s="6">
        <f t="shared" si="119"/>
        <v>0</v>
      </c>
    </row>
    <row r="7572" spans="3:4" ht="15" x14ac:dyDescent="0.25">
      <c r="C7572" s="8" t="e">
        <f>VLOOKUP(A:A,'ITEM LIST'!A:C,3,0)</f>
        <v>#N/A</v>
      </c>
      <c r="D7572" s="6">
        <f t="shared" si="119"/>
        <v>0</v>
      </c>
    </row>
    <row r="7573" spans="3:4" ht="15" x14ac:dyDescent="0.25">
      <c r="C7573" s="8" t="e">
        <f>VLOOKUP(A:A,'ITEM LIST'!A:C,3,0)</f>
        <v>#N/A</v>
      </c>
      <c r="D7573" s="6">
        <f t="shared" si="119"/>
        <v>0</v>
      </c>
    </row>
    <row r="7574" spans="3:4" ht="15" x14ac:dyDescent="0.25">
      <c r="C7574" s="8" t="e">
        <f>VLOOKUP(A:A,'ITEM LIST'!A:C,3,0)</f>
        <v>#N/A</v>
      </c>
      <c r="D7574" s="6">
        <f t="shared" si="119"/>
        <v>0</v>
      </c>
    </row>
    <row r="7575" spans="3:4" ht="15" x14ac:dyDescent="0.25">
      <c r="C7575" s="8" t="e">
        <f>VLOOKUP(A:A,'ITEM LIST'!A:C,3,0)</f>
        <v>#N/A</v>
      </c>
      <c r="D7575" s="6">
        <f t="shared" si="119"/>
        <v>0</v>
      </c>
    </row>
    <row r="7576" spans="3:4" ht="15" x14ac:dyDescent="0.25">
      <c r="C7576" s="8" t="e">
        <f>VLOOKUP(A:A,'ITEM LIST'!A:C,3,0)</f>
        <v>#N/A</v>
      </c>
      <c r="D7576" s="6">
        <f t="shared" si="119"/>
        <v>0</v>
      </c>
    </row>
    <row r="7577" spans="3:4" ht="15" x14ac:dyDescent="0.25">
      <c r="C7577" s="8" t="e">
        <f>VLOOKUP(A:A,'ITEM LIST'!A:C,3,0)</f>
        <v>#N/A</v>
      </c>
      <c r="D7577" s="6">
        <f t="shared" si="119"/>
        <v>0</v>
      </c>
    </row>
    <row r="7578" spans="3:4" ht="15" x14ac:dyDescent="0.25">
      <c r="C7578" s="8" t="e">
        <f>VLOOKUP(A:A,'ITEM LIST'!A:C,3,0)</f>
        <v>#N/A</v>
      </c>
      <c r="D7578" s="6">
        <f t="shared" si="119"/>
        <v>0</v>
      </c>
    </row>
    <row r="7579" spans="3:4" ht="15" x14ac:dyDescent="0.25">
      <c r="C7579" s="8" t="e">
        <f>VLOOKUP(A:A,'ITEM LIST'!A:C,3,0)</f>
        <v>#N/A</v>
      </c>
      <c r="D7579" s="6">
        <f t="shared" si="119"/>
        <v>0</v>
      </c>
    </row>
    <row r="7580" spans="3:4" ht="15" x14ac:dyDescent="0.25">
      <c r="C7580" s="8" t="e">
        <f>VLOOKUP(A:A,'ITEM LIST'!A:C,3,0)</f>
        <v>#N/A</v>
      </c>
      <c r="D7580" s="6">
        <f t="shared" si="119"/>
        <v>0</v>
      </c>
    </row>
    <row r="7581" spans="3:4" ht="15" x14ac:dyDescent="0.25">
      <c r="C7581" s="8" t="e">
        <f>VLOOKUP(A:A,'ITEM LIST'!A:C,3,0)</f>
        <v>#N/A</v>
      </c>
      <c r="D7581" s="6">
        <f t="shared" si="119"/>
        <v>0</v>
      </c>
    </row>
    <row r="7582" spans="3:4" ht="15" x14ac:dyDescent="0.25">
      <c r="C7582" s="8" t="e">
        <f>VLOOKUP(A:A,'ITEM LIST'!A:C,3,0)</f>
        <v>#N/A</v>
      </c>
      <c r="D7582" s="6">
        <f t="shared" si="119"/>
        <v>0</v>
      </c>
    </row>
    <row r="7583" spans="3:4" ht="15" x14ac:dyDescent="0.25">
      <c r="C7583" s="8" t="e">
        <f>VLOOKUP(A:A,'ITEM LIST'!A:C,3,0)</f>
        <v>#N/A</v>
      </c>
      <c r="D7583" s="6">
        <f t="shared" si="119"/>
        <v>0</v>
      </c>
    </row>
    <row r="7584" spans="3:4" ht="15" x14ac:dyDescent="0.25">
      <c r="C7584" s="8" t="e">
        <f>VLOOKUP(A:A,'ITEM LIST'!A:C,3,0)</f>
        <v>#N/A</v>
      </c>
      <c r="D7584" s="6">
        <f t="shared" si="119"/>
        <v>0</v>
      </c>
    </row>
    <row r="7585" spans="3:4" ht="15" x14ac:dyDescent="0.25">
      <c r="C7585" s="8" t="e">
        <f>VLOOKUP(A:A,'ITEM LIST'!A:C,3,0)</f>
        <v>#N/A</v>
      </c>
      <c r="D7585" s="6">
        <f t="shared" si="119"/>
        <v>0</v>
      </c>
    </row>
    <row r="7586" spans="3:4" ht="15" x14ac:dyDescent="0.25">
      <c r="C7586" s="8" t="e">
        <f>VLOOKUP(A:A,'ITEM LIST'!A:C,3,0)</f>
        <v>#N/A</v>
      </c>
      <c r="D7586" s="6">
        <f t="shared" si="119"/>
        <v>0</v>
      </c>
    </row>
    <row r="7587" spans="3:4" ht="15" x14ac:dyDescent="0.25">
      <c r="C7587" s="8" t="e">
        <f>VLOOKUP(A:A,'ITEM LIST'!A:C,3,0)</f>
        <v>#N/A</v>
      </c>
      <c r="D7587" s="6">
        <f t="shared" si="119"/>
        <v>0</v>
      </c>
    </row>
    <row r="7588" spans="3:4" ht="15" x14ac:dyDescent="0.25">
      <c r="C7588" s="8" t="e">
        <f>VLOOKUP(A:A,'ITEM LIST'!A:C,3,0)</f>
        <v>#N/A</v>
      </c>
      <c r="D7588" s="6">
        <f t="shared" si="119"/>
        <v>0</v>
      </c>
    </row>
    <row r="7589" spans="3:4" ht="15" x14ac:dyDescent="0.25">
      <c r="C7589" s="8" t="e">
        <f>VLOOKUP(A:A,'ITEM LIST'!A:C,3,0)</f>
        <v>#N/A</v>
      </c>
      <c r="D7589" s="6">
        <f t="shared" si="119"/>
        <v>0</v>
      </c>
    </row>
    <row r="7590" spans="3:4" ht="15" x14ac:dyDescent="0.25">
      <c r="C7590" s="8" t="e">
        <f>VLOOKUP(A:A,'ITEM LIST'!A:C,3,0)</f>
        <v>#N/A</v>
      </c>
      <c r="D7590" s="6">
        <f t="shared" si="119"/>
        <v>0</v>
      </c>
    </row>
    <row r="7591" spans="3:4" ht="15" x14ac:dyDescent="0.25">
      <c r="C7591" s="8" t="e">
        <f>VLOOKUP(A:A,'ITEM LIST'!A:C,3,0)</f>
        <v>#N/A</v>
      </c>
      <c r="D7591" s="6">
        <f t="shared" si="119"/>
        <v>0</v>
      </c>
    </row>
    <row r="7592" spans="3:4" ht="15" x14ac:dyDescent="0.25">
      <c r="C7592" s="8" t="e">
        <f>VLOOKUP(A:A,'ITEM LIST'!A:C,3,0)</f>
        <v>#N/A</v>
      </c>
      <c r="D7592" s="6">
        <f t="shared" si="119"/>
        <v>0</v>
      </c>
    </row>
    <row r="7593" spans="3:4" ht="15" x14ac:dyDescent="0.25">
      <c r="C7593" s="8" t="e">
        <f>VLOOKUP(A:A,'ITEM LIST'!A:C,3,0)</f>
        <v>#N/A</v>
      </c>
      <c r="D7593" s="6">
        <f t="shared" si="119"/>
        <v>0</v>
      </c>
    </row>
    <row r="7594" spans="3:4" ht="15" x14ac:dyDescent="0.25">
      <c r="C7594" s="8" t="e">
        <f>VLOOKUP(A:A,'ITEM LIST'!A:C,3,0)</f>
        <v>#N/A</v>
      </c>
      <c r="D7594" s="6">
        <f t="shared" si="119"/>
        <v>0</v>
      </c>
    </row>
    <row r="7595" spans="3:4" ht="15" x14ac:dyDescent="0.25">
      <c r="C7595" s="8" t="e">
        <f>VLOOKUP(A:A,'ITEM LIST'!A:C,3,0)</f>
        <v>#N/A</v>
      </c>
      <c r="D7595" s="6">
        <f t="shared" si="119"/>
        <v>0</v>
      </c>
    </row>
    <row r="7596" spans="3:4" ht="15" x14ac:dyDescent="0.25">
      <c r="C7596" s="8" t="e">
        <f>VLOOKUP(A:A,'ITEM LIST'!A:C,3,0)</f>
        <v>#N/A</v>
      </c>
      <c r="D7596" s="6">
        <f t="shared" si="119"/>
        <v>0</v>
      </c>
    </row>
    <row r="7597" spans="3:4" ht="15" x14ac:dyDescent="0.25">
      <c r="C7597" s="8" t="e">
        <f>VLOOKUP(A:A,'ITEM LIST'!A:C,3,0)</f>
        <v>#N/A</v>
      </c>
      <c r="D7597" s="6">
        <f t="shared" si="119"/>
        <v>0</v>
      </c>
    </row>
    <row r="7598" spans="3:4" ht="15" x14ac:dyDescent="0.25">
      <c r="C7598" s="8" t="e">
        <f>VLOOKUP(A:A,'ITEM LIST'!A:C,3,0)</f>
        <v>#N/A</v>
      </c>
      <c r="D7598" s="6">
        <f t="shared" si="119"/>
        <v>0</v>
      </c>
    </row>
    <row r="7599" spans="3:4" ht="15" x14ac:dyDescent="0.25">
      <c r="C7599" s="8" t="e">
        <f>VLOOKUP(A:A,'ITEM LIST'!A:C,3,0)</f>
        <v>#N/A</v>
      </c>
      <c r="D7599" s="6">
        <f t="shared" si="119"/>
        <v>0</v>
      </c>
    </row>
    <row r="7600" spans="3:4" ht="15" x14ac:dyDescent="0.25">
      <c r="C7600" s="8" t="e">
        <f>VLOOKUP(A:A,'ITEM LIST'!A:C,3,0)</f>
        <v>#N/A</v>
      </c>
      <c r="D7600" s="6">
        <f t="shared" si="119"/>
        <v>0</v>
      </c>
    </row>
    <row r="7601" spans="3:4" ht="15" x14ac:dyDescent="0.25">
      <c r="C7601" s="8" t="e">
        <f>VLOOKUP(A:A,'ITEM LIST'!A:C,3,0)</f>
        <v>#N/A</v>
      </c>
      <c r="D7601" s="6">
        <f t="shared" si="119"/>
        <v>0</v>
      </c>
    </row>
    <row r="7602" spans="3:4" ht="15" x14ac:dyDescent="0.25">
      <c r="C7602" s="8" t="e">
        <f>VLOOKUP(A:A,'ITEM LIST'!A:C,3,0)</f>
        <v>#N/A</v>
      </c>
      <c r="D7602" s="6">
        <f t="shared" si="119"/>
        <v>0</v>
      </c>
    </row>
    <row r="7603" spans="3:4" ht="15" x14ac:dyDescent="0.25">
      <c r="C7603" s="8" t="e">
        <f>VLOOKUP(A:A,'ITEM LIST'!A:C,3,0)</f>
        <v>#N/A</v>
      </c>
      <c r="D7603" s="6">
        <f t="shared" si="119"/>
        <v>0</v>
      </c>
    </row>
    <row r="7604" spans="3:4" ht="15" x14ac:dyDescent="0.25">
      <c r="C7604" s="8" t="e">
        <f>VLOOKUP(A:A,'ITEM LIST'!A:C,3,0)</f>
        <v>#N/A</v>
      </c>
      <c r="D7604" s="6">
        <f t="shared" si="119"/>
        <v>0</v>
      </c>
    </row>
    <row r="7605" spans="3:4" ht="15" x14ac:dyDescent="0.25">
      <c r="C7605" s="8" t="e">
        <f>VLOOKUP(A:A,'ITEM LIST'!A:C,3,0)</f>
        <v>#N/A</v>
      </c>
      <c r="D7605" s="6">
        <f t="shared" si="119"/>
        <v>0</v>
      </c>
    </row>
    <row r="7606" spans="3:4" ht="15" x14ac:dyDescent="0.25">
      <c r="C7606" s="8" t="e">
        <f>VLOOKUP(A:A,'ITEM LIST'!A:C,3,0)</f>
        <v>#N/A</v>
      </c>
      <c r="D7606" s="6">
        <f t="shared" si="119"/>
        <v>0</v>
      </c>
    </row>
    <row r="7607" spans="3:4" ht="15" x14ac:dyDescent="0.25">
      <c r="C7607" s="8" t="e">
        <f>VLOOKUP(A:A,'ITEM LIST'!A:C,3,0)</f>
        <v>#N/A</v>
      </c>
      <c r="D7607" s="6">
        <f t="shared" si="119"/>
        <v>0</v>
      </c>
    </row>
    <row r="7608" spans="3:4" ht="15" x14ac:dyDescent="0.25">
      <c r="C7608" s="8" t="e">
        <f>VLOOKUP(A:A,'ITEM LIST'!A:C,3,0)</f>
        <v>#N/A</v>
      </c>
      <c r="D7608" s="6">
        <f t="shared" si="119"/>
        <v>0</v>
      </c>
    </row>
    <row r="7609" spans="3:4" ht="15" x14ac:dyDescent="0.25">
      <c r="C7609" s="8" t="e">
        <f>VLOOKUP(A:A,'ITEM LIST'!A:C,3,0)</f>
        <v>#N/A</v>
      </c>
      <c r="D7609" s="6">
        <f t="shared" si="119"/>
        <v>0</v>
      </c>
    </row>
    <row r="7610" spans="3:4" ht="15" x14ac:dyDescent="0.25">
      <c r="C7610" s="8" t="e">
        <f>VLOOKUP(A:A,'ITEM LIST'!A:C,3,0)</f>
        <v>#N/A</v>
      </c>
      <c r="D7610" s="6">
        <f t="shared" si="119"/>
        <v>0</v>
      </c>
    </row>
    <row r="7611" spans="3:4" ht="15" x14ac:dyDescent="0.25">
      <c r="C7611" s="8" t="e">
        <f>VLOOKUP(A:A,'ITEM LIST'!A:C,3,0)</f>
        <v>#N/A</v>
      </c>
      <c r="D7611" s="6">
        <f t="shared" si="119"/>
        <v>0</v>
      </c>
    </row>
    <row r="7612" spans="3:4" ht="15" x14ac:dyDescent="0.25">
      <c r="C7612" s="8" t="e">
        <f>VLOOKUP(A:A,'ITEM LIST'!A:C,3,0)</f>
        <v>#N/A</v>
      </c>
      <c r="D7612" s="6">
        <f t="shared" si="119"/>
        <v>0</v>
      </c>
    </row>
    <row r="7613" spans="3:4" ht="15" x14ac:dyDescent="0.25">
      <c r="C7613" s="8" t="e">
        <f>VLOOKUP(A:A,'ITEM LIST'!A:C,3,0)</f>
        <v>#N/A</v>
      </c>
      <c r="D7613" s="6">
        <f t="shared" si="119"/>
        <v>0</v>
      </c>
    </row>
    <row r="7614" spans="3:4" ht="15" x14ac:dyDescent="0.25">
      <c r="C7614" s="8" t="e">
        <f>VLOOKUP(A:A,'ITEM LIST'!A:C,3,0)</f>
        <v>#N/A</v>
      </c>
      <c r="D7614" s="6">
        <f t="shared" si="119"/>
        <v>0</v>
      </c>
    </row>
    <row r="7615" spans="3:4" ht="15" x14ac:dyDescent="0.25">
      <c r="C7615" s="8" t="e">
        <f>VLOOKUP(A:A,'ITEM LIST'!A:C,3,0)</f>
        <v>#N/A</v>
      </c>
      <c r="D7615" s="6">
        <f t="shared" si="119"/>
        <v>0</v>
      </c>
    </row>
    <row r="7616" spans="3:4" ht="15" x14ac:dyDescent="0.25">
      <c r="C7616" s="8" t="e">
        <f>VLOOKUP(A:A,'ITEM LIST'!A:C,3,0)</f>
        <v>#N/A</v>
      </c>
      <c r="D7616" s="6">
        <f t="shared" si="119"/>
        <v>0</v>
      </c>
    </row>
    <row r="7617" spans="3:4" ht="15" x14ac:dyDescent="0.25">
      <c r="C7617" s="8" t="e">
        <f>VLOOKUP(A:A,'ITEM LIST'!A:C,3,0)</f>
        <v>#N/A</v>
      </c>
      <c r="D7617" s="6">
        <f t="shared" si="119"/>
        <v>0</v>
      </c>
    </row>
    <row r="7618" spans="3:4" ht="15" x14ac:dyDescent="0.25">
      <c r="C7618" s="8" t="e">
        <f>VLOOKUP(A:A,'ITEM LIST'!A:C,3,0)</f>
        <v>#N/A</v>
      </c>
      <c r="D7618" s="6">
        <f t="shared" si="119"/>
        <v>0</v>
      </c>
    </row>
    <row r="7619" spans="3:4" ht="15" x14ac:dyDescent="0.25">
      <c r="C7619" s="8" t="e">
        <f>VLOOKUP(A:A,'ITEM LIST'!A:C,3,0)</f>
        <v>#N/A</v>
      </c>
      <c r="D7619" s="6">
        <f t="shared" si="119"/>
        <v>0</v>
      </c>
    </row>
    <row r="7620" spans="3:4" ht="15" x14ac:dyDescent="0.25">
      <c r="C7620" s="8" t="e">
        <f>VLOOKUP(A:A,'ITEM LIST'!A:C,3,0)</f>
        <v>#N/A</v>
      </c>
      <c r="D7620" s="6">
        <f t="shared" si="119"/>
        <v>0</v>
      </c>
    </row>
    <row r="7621" spans="3:4" ht="15" x14ac:dyDescent="0.25">
      <c r="C7621" s="8" t="e">
        <f>VLOOKUP(A:A,'ITEM LIST'!A:C,3,0)</f>
        <v>#N/A</v>
      </c>
      <c r="D7621" s="6">
        <f t="shared" si="119"/>
        <v>0</v>
      </c>
    </row>
    <row r="7622" spans="3:4" ht="15" x14ac:dyDescent="0.25">
      <c r="C7622" s="8" t="e">
        <f>VLOOKUP(A:A,'ITEM LIST'!A:C,3,0)</f>
        <v>#N/A</v>
      </c>
      <c r="D7622" s="6">
        <f t="shared" ref="D7622:D7685" si="120">B7622</f>
        <v>0</v>
      </c>
    </row>
    <row r="7623" spans="3:4" ht="15" x14ac:dyDescent="0.25">
      <c r="C7623" s="8" t="e">
        <f>VLOOKUP(A:A,'ITEM LIST'!A:C,3,0)</f>
        <v>#N/A</v>
      </c>
      <c r="D7623" s="6">
        <f t="shared" si="120"/>
        <v>0</v>
      </c>
    </row>
    <row r="7624" spans="3:4" ht="15" x14ac:dyDescent="0.25">
      <c r="C7624" s="8" t="e">
        <f>VLOOKUP(A:A,'ITEM LIST'!A:C,3,0)</f>
        <v>#N/A</v>
      </c>
      <c r="D7624" s="6">
        <f t="shared" si="120"/>
        <v>0</v>
      </c>
    </row>
    <row r="7625" spans="3:4" ht="15" x14ac:dyDescent="0.25">
      <c r="C7625" s="8" t="e">
        <f>VLOOKUP(A:A,'ITEM LIST'!A:C,3,0)</f>
        <v>#N/A</v>
      </c>
      <c r="D7625" s="6">
        <f t="shared" si="120"/>
        <v>0</v>
      </c>
    </row>
    <row r="7626" spans="3:4" ht="15" x14ac:dyDescent="0.25">
      <c r="C7626" s="8" t="e">
        <f>VLOOKUP(A:A,'ITEM LIST'!A:C,3,0)</f>
        <v>#N/A</v>
      </c>
      <c r="D7626" s="6">
        <f t="shared" si="120"/>
        <v>0</v>
      </c>
    </row>
    <row r="7627" spans="3:4" ht="15" x14ac:dyDescent="0.25">
      <c r="C7627" s="8" t="e">
        <f>VLOOKUP(A:A,'ITEM LIST'!A:C,3,0)</f>
        <v>#N/A</v>
      </c>
      <c r="D7627" s="6">
        <f t="shared" si="120"/>
        <v>0</v>
      </c>
    </row>
    <row r="7628" spans="3:4" ht="15" x14ac:dyDescent="0.25">
      <c r="C7628" s="8" t="e">
        <f>VLOOKUP(A:A,'ITEM LIST'!A:C,3,0)</f>
        <v>#N/A</v>
      </c>
      <c r="D7628" s="6">
        <f t="shared" si="120"/>
        <v>0</v>
      </c>
    </row>
    <row r="7629" spans="3:4" ht="15" x14ac:dyDescent="0.25">
      <c r="C7629" s="8" t="e">
        <f>VLOOKUP(A:A,'ITEM LIST'!A:C,3,0)</f>
        <v>#N/A</v>
      </c>
      <c r="D7629" s="6">
        <f t="shared" si="120"/>
        <v>0</v>
      </c>
    </row>
    <row r="7630" spans="3:4" ht="15" x14ac:dyDescent="0.25">
      <c r="C7630" s="8" t="e">
        <f>VLOOKUP(A:A,'ITEM LIST'!A:C,3,0)</f>
        <v>#N/A</v>
      </c>
      <c r="D7630" s="6">
        <f t="shared" si="120"/>
        <v>0</v>
      </c>
    </row>
    <row r="7631" spans="3:4" ht="15" x14ac:dyDescent="0.25">
      <c r="C7631" s="8" t="e">
        <f>VLOOKUP(A:A,'ITEM LIST'!A:C,3,0)</f>
        <v>#N/A</v>
      </c>
      <c r="D7631" s="6">
        <f t="shared" si="120"/>
        <v>0</v>
      </c>
    </row>
    <row r="7632" spans="3:4" ht="15" x14ac:dyDescent="0.25">
      <c r="C7632" s="8" t="e">
        <f>VLOOKUP(A:A,'ITEM LIST'!A:C,3,0)</f>
        <v>#N/A</v>
      </c>
      <c r="D7632" s="6">
        <f t="shared" si="120"/>
        <v>0</v>
      </c>
    </row>
    <row r="7633" spans="3:4" ht="15" x14ac:dyDescent="0.25">
      <c r="C7633" s="8" t="e">
        <f>VLOOKUP(A:A,'ITEM LIST'!A:C,3,0)</f>
        <v>#N/A</v>
      </c>
      <c r="D7633" s="6">
        <f t="shared" si="120"/>
        <v>0</v>
      </c>
    </row>
    <row r="7634" spans="3:4" ht="15" x14ac:dyDescent="0.25">
      <c r="C7634" s="8" t="e">
        <f>VLOOKUP(A:A,'ITEM LIST'!A:C,3,0)</f>
        <v>#N/A</v>
      </c>
      <c r="D7634" s="6">
        <f t="shared" si="120"/>
        <v>0</v>
      </c>
    </row>
    <row r="7635" spans="3:4" ht="15" x14ac:dyDescent="0.25">
      <c r="C7635" s="8" t="e">
        <f>VLOOKUP(A:A,'ITEM LIST'!A:C,3,0)</f>
        <v>#N/A</v>
      </c>
      <c r="D7635" s="6">
        <f t="shared" si="120"/>
        <v>0</v>
      </c>
    </row>
    <row r="7636" spans="3:4" ht="15" x14ac:dyDescent="0.25">
      <c r="C7636" s="8" t="e">
        <f>VLOOKUP(A:A,'ITEM LIST'!A:C,3,0)</f>
        <v>#N/A</v>
      </c>
      <c r="D7636" s="6">
        <f t="shared" si="120"/>
        <v>0</v>
      </c>
    </row>
    <row r="7637" spans="3:4" ht="15" x14ac:dyDescent="0.25">
      <c r="C7637" s="8" t="e">
        <f>VLOOKUP(A:A,'ITEM LIST'!A:C,3,0)</f>
        <v>#N/A</v>
      </c>
      <c r="D7637" s="6">
        <f t="shared" si="120"/>
        <v>0</v>
      </c>
    </row>
    <row r="7638" spans="3:4" ht="15" x14ac:dyDescent="0.25">
      <c r="C7638" s="8" t="e">
        <f>VLOOKUP(A:A,'ITEM LIST'!A:C,3,0)</f>
        <v>#N/A</v>
      </c>
      <c r="D7638" s="6">
        <f t="shared" si="120"/>
        <v>0</v>
      </c>
    </row>
    <row r="7639" spans="3:4" ht="15" x14ac:dyDescent="0.25">
      <c r="C7639" s="8" t="e">
        <f>VLOOKUP(A:A,'ITEM LIST'!A:C,3,0)</f>
        <v>#N/A</v>
      </c>
      <c r="D7639" s="6">
        <f t="shared" si="120"/>
        <v>0</v>
      </c>
    </row>
    <row r="7640" spans="3:4" ht="15" x14ac:dyDescent="0.25">
      <c r="C7640" s="8" t="e">
        <f>VLOOKUP(A:A,'ITEM LIST'!A:C,3,0)</f>
        <v>#N/A</v>
      </c>
      <c r="D7640" s="6">
        <f t="shared" si="120"/>
        <v>0</v>
      </c>
    </row>
    <row r="7641" spans="3:4" ht="15" x14ac:dyDescent="0.25">
      <c r="C7641" s="8" t="e">
        <f>VLOOKUP(A:A,'ITEM LIST'!A:C,3,0)</f>
        <v>#N/A</v>
      </c>
      <c r="D7641" s="6">
        <f t="shared" si="120"/>
        <v>0</v>
      </c>
    </row>
    <row r="7642" spans="3:4" ht="15" x14ac:dyDescent="0.25">
      <c r="C7642" s="8" t="e">
        <f>VLOOKUP(A:A,'ITEM LIST'!A:C,3,0)</f>
        <v>#N/A</v>
      </c>
      <c r="D7642" s="6">
        <f t="shared" si="120"/>
        <v>0</v>
      </c>
    </row>
    <row r="7643" spans="3:4" ht="15" x14ac:dyDescent="0.25">
      <c r="C7643" s="8" t="e">
        <f>VLOOKUP(A:A,'ITEM LIST'!A:C,3,0)</f>
        <v>#N/A</v>
      </c>
      <c r="D7643" s="6">
        <f t="shared" si="120"/>
        <v>0</v>
      </c>
    </row>
    <row r="7644" spans="3:4" ht="15" x14ac:dyDescent="0.25">
      <c r="C7644" s="8" t="e">
        <f>VLOOKUP(A:A,'ITEM LIST'!A:C,3,0)</f>
        <v>#N/A</v>
      </c>
      <c r="D7644" s="6">
        <f t="shared" si="120"/>
        <v>0</v>
      </c>
    </row>
    <row r="7645" spans="3:4" ht="15" x14ac:dyDescent="0.25">
      <c r="C7645" s="8" t="e">
        <f>VLOOKUP(A:A,'ITEM LIST'!A:C,3,0)</f>
        <v>#N/A</v>
      </c>
      <c r="D7645" s="6">
        <f t="shared" si="120"/>
        <v>0</v>
      </c>
    </row>
    <row r="7646" spans="3:4" ht="15" x14ac:dyDescent="0.25">
      <c r="C7646" s="8" t="e">
        <f>VLOOKUP(A:A,'ITEM LIST'!A:C,3,0)</f>
        <v>#N/A</v>
      </c>
      <c r="D7646" s="6">
        <f t="shared" si="120"/>
        <v>0</v>
      </c>
    </row>
    <row r="7647" spans="3:4" ht="15" x14ac:dyDescent="0.25">
      <c r="C7647" s="8" t="e">
        <f>VLOOKUP(A:A,'ITEM LIST'!A:C,3,0)</f>
        <v>#N/A</v>
      </c>
      <c r="D7647" s="6">
        <f t="shared" si="120"/>
        <v>0</v>
      </c>
    </row>
    <row r="7648" spans="3:4" ht="15" x14ac:dyDescent="0.25">
      <c r="C7648" s="8" t="e">
        <f>VLOOKUP(A:A,'ITEM LIST'!A:C,3,0)</f>
        <v>#N/A</v>
      </c>
      <c r="D7648" s="6">
        <f t="shared" si="120"/>
        <v>0</v>
      </c>
    </row>
    <row r="7649" spans="3:4" ht="15" x14ac:dyDescent="0.25">
      <c r="C7649" s="8" t="e">
        <f>VLOOKUP(A:A,'ITEM LIST'!A:C,3,0)</f>
        <v>#N/A</v>
      </c>
      <c r="D7649" s="6">
        <f t="shared" si="120"/>
        <v>0</v>
      </c>
    </row>
    <row r="7650" spans="3:4" ht="15" x14ac:dyDescent="0.25">
      <c r="C7650" s="8" t="e">
        <f>VLOOKUP(A:A,'ITEM LIST'!A:C,3,0)</f>
        <v>#N/A</v>
      </c>
      <c r="D7650" s="6">
        <f t="shared" si="120"/>
        <v>0</v>
      </c>
    </row>
    <row r="7651" spans="3:4" ht="15" x14ac:dyDescent="0.25">
      <c r="C7651" s="8" t="e">
        <f>VLOOKUP(A:A,'ITEM LIST'!A:C,3,0)</f>
        <v>#N/A</v>
      </c>
      <c r="D7651" s="6">
        <f t="shared" si="120"/>
        <v>0</v>
      </c>
    </row>
    <row r="7652" spans="3:4" ht="15" x14ac:dyDescent="0.25">
      <c r="C7652" s="8" t="e">
        <f>VLOOKUP(A:A,'ITEM LIST'!A:C,3,0)</f>
        <v>#N/A</v>
      </c>
      <c r="D7652" s="6">
        <f t="shared" si="120"/>
        <v>0</v>
      </c>
    </row>
    <row r="7653" spans="3:4" ht="15" x14ac:dyDescent="0.25">
      <c r="C7653" s="8" t="e">
        <f>VLOOKUP(A:A,'ITEM LIST'!A:C,3,0)</f>
        <v>#N/A</v>
      </c>
      <c r="D7653" s="6">
        <f t="shared" si="120"/>
        <v>0</v>
      </c>
    </row>
    <row r="7654" spans="3:4" ht="15" x14ac:dyDescent="0.25">
      <c r="C7654" s="8" t="e">
        <f>VLOOKUP(A:A,'ITEM LIST'!A:C,3,0)</f>
        <v>#N/A</v>
      </c>
      <c r="D7654" s="6">
        <f t="shared" si="120"/>
        <v>0</v>
      </c>
    </row>
    <row r="7655" spans="3:4" ht="15" x14ac:dyDescent="0.25">
      <c r="C7655" s="8" t="e">
        <f>VLOOKUP(A:A,'ITEM LIST'!A:C,3,0)</f>
        <v>#N/A</v>
      </c>
      <c r="D7655" s="6">
        <f t="shared" si="120"/>
        <v>0</v>
      </c>
    </row>
    <row r="7656" spans="3:4" ht="15" x14ac:dyDescent="0.25">
      <c r="C7656" s="8" t="e">
        <f>VLOOKUP(A:A,'ITEM LIST'!A:C,3,0)</f>
        <v>#N/A</v>
      </c>
      <c r="D7656" s="6">
        <f t="shared" si="120"/>
        <v>0</v>
      </c>
    </row>
    <row r="7657" spans="3:4" ht="15" x14ac:dyDescent="0.25">
      <c r="C7657" s="8" t="e">
        <f>VLOOKUP(A:A,'ITEM LIST'!A:C,3,0)</f>
        <v>#N/A</v>
      </c>
      <c r="D7657" s="6">
        <f t="shared" si="120"/>
        <v>0</v>
      </c>
    </row>
    <row r="7658" spans="3:4" ht="15" x14ac:dyDescent="0.25">
      <c r="C7658" s="8" t="e">
        <f>VLOOKUP(A:A,'ITEM LIST'!A:C,3,0)</f>
        <v>#N/A</v>
      </c>
      <c r="D7658" s="6">
        <f t="shared" si="120"/>
        <v>0</v>
      </c>
    </row>
    <row r="7659" spans="3:4" ht="15" x14ac:dyDescent="0.25">
      <c r="C7659" s="8" t="e">
        <f>VLOOKUP(A:A,'ITEM LIST'!A:C,3,0)</f>
        <v>#N/A</v>
      </c>
      <c r="D7659" s="6">
        <f t="shared" si="120"/>
        <v>0</v>
      </c>
    </row>
    <row r="7660" spans="3:4" ht="15" x14ac:dyDescent="0.25">
      <c r="C7660" s="8" t="e">
        <f>VLOOKUP(A:A,'ITEM LIST'!A:C,3,0)</f>
        <v>#N/A</v>
      </c>
      <c r="D7660" s="6">
        <f t="shared" si="120"/>
        <v>0</v>
      </c>
    </row>
    <row r="7661" spans="3:4" ht="15" x14ac:dyDescent="0.25">
      <c r="C7661" s="8" t="e">
        <f>VLOOKUP(A:A,'ITEM LIST'!A:C,3,0)</f>
        <v>#N/A</v>
      </c>
      <c r="D7661" s="6">
        <f t="shared" si="120"/>
        <v>0</v>
      </c>
    </row>
    <row r="7662" spans="3:4" ht="15" x14ac:dyDescent="0.25">
      <c r="C7662" s="8" t="e">
        <f>VLOOKUP(A:A,'ITEM LIST'!A:C,3,0)</f>
        <v>#N/A</v>
      </c>
      <c r="D7662" s="6">
        <f t="shared" si="120"/>
        <v>0</v>
      </c>
    </row>
    <row r="7663" spans="3:4" ht="15" x14ac:dyDescent="0.25">
      <c r="C7663" s="8" t="e">
        <f>VLOOKUP(A:A,'ITEM LIST'!A:C,3,0)</f>
        <v>#N/A</v>
      </c>
      <c r="D7663" s="6">
        <f t="shared" si="120"/>
        <v>0</v>
      </c>
    </row>
    <row r="7664" spans="3:4" ht="15" x14ac:dyDescent="0.25">
      <c r="C7664" s="8" t="e">
        <f>VLOOKUP(A:A,'ITEM LIST'!A:C,3,0)</f>
        <v>#N/A</v>
      </c>
      <c r="D7664" s="6">
        <f t="shared" si="120"/>
        <v>0</v>
      </c>
    </row>
    <row r="7665" spans="3:4" ht="15" x14ac:dyDescent="0.25">
      <c r="C7665" s="8" t="e">
        <f>VLOOKUP(A:A,'ITEM LIST'!A:C,3,0)</f>
        <v>#N/A</v>
      </c>
      <c r="D7665" s="6">
        <f t="shared" si="120"/>
        <v>0</v>
      </c>
    </row>
    <row r="7666" spans="3:4" ht="15" x14ac:dyDescent="0.25">
      <c r="C7666" s="8" t="e">
        <f>VLOOKUP(A:A,'ITEM LIST'!A:C,3,0)</f>
        <v>#N/A</v>
      </c>
      <c r="D7666" s="6">
        <f t="shared" si="120"/>
        <v>0</v>
      </c>
    </row>
    <row r="7667" spans="3:4" ht="15" x14ac:dyDescent="0.25">
      <c r="C7667" s="8" t="e">
        <f>VLOOKUP(A:A,'ITEM LIST'!A:C,3,0)</f>
        <v>#N/A</v>
      </c>
      <c r="D7667" s="6">
        <f t="shared" si="120"/>
        <v>0</v>
      </c>
    </row>
    <row r="7668" spans="3:4" ht="15" x14ac:dyDescent="0.25">
      <c r="C7668" s="8" t="e">
        <f>VLOOKUP(A:A,'ITEM LIST'!A:C,3,0)</f>
        <v>#N/A</v>
      </c>
      <c r="D7668" s="6">
        <f t="shared" si="120"/>
        <v>0</v>
      </c>
    </row>
    <row r="7669" spans="3:4" ht="15" x14ac:dyDescent="0.25">
      <c r="C7669" s="8" t="e">
        <f>VLOOKUP(A:A,'ITEM LIST'!A:C,3,0)</f>
        <v>#N/A</v>
      </c>
      <c r="D7669" s="6">
        <f t="shared" si="120"/>
        <v>0</v>
      </c>
    </row>
    <row r="7670" spans="3:4" ht="15" x14ac:dyDescent="0.25">
      <c r="C7670" s="8" t="e">
        <f>VLOOKUP(A:A,'ITEM LIST'!A:C,3,0)</f>
        <v>#N/A</v>
      </c>
      <c r="D7670" s="6">
        <f t="shared" si="120"/>
        <v>0</v>
      </c>
    </row>
    <row r="7671" spans="3:4" ht="15" x14ac:dyDescent="0.25">
      <c r="C7671" s="8" t="e">
        <f>VLOOKUP(A:A,'ITEM LIST'!A:C,3,0)</f>
        <v>#N/A</v>
      </c>
      <c r="D7671" s="6">
        <f t="shared" si="120"/>
        <v>0</v>
      </c>
    </row>
    <row r="7672" spans="3:4" ht="15" x14ac:dyDescent="0.25">
      <c r="C7672" s="8" t="e">
        <f>VLOOKUP(A:A,'ITEM LIST'!A:C,3,0)</f>
        <v>#N/A</v>
      </c>
      <c r="D7672" s="6">
        <f t="shared" si="120"/>
        <v>0</v>
      </c>
    </row>
    <row r="7673" spans="3:4" ht="15" x14ac:dyDescent="0.25">
      <c r="C7673" s="8" t="e">
        <f>VLOOKUP(A:A,'ITEM LIST'!A:C,3,0)</f>
        <v>#N/A</v>
      </c>
      <c r="D7673" s="6">
        <f t="shared" si="120"/>
        <v>0</v>
      </c>
    </row>
    <row r="7674" spans="3:4" ht="15" x14ac:dyDescent="0.25">
      <c r="C7674" s="8" t="e">
        <f>VLOOKUP(A:A,'ITEM LIST'!A:C,3,0)</f>
        <v>#N/A</v>
      </c>
      <c r="D7674" s="6">
        <f t="shared" si="120"/>
        <v>0</v>
      </c>
    </row>
    <row r="7675" spans="3:4" ht="15" x14ac:dyDescent="0.25">
      <c r="C7675" s="8" t="e">
        <f>VLOOKUP(A:A,'ITEM LIST'!A:C,3,0)</f>
        <v>#N/A</v>
      </c>
      <c r="D7675" s="6">
        <f t="shared" si="120"/>
        <v>0</v>
      </c>
    </row>
    <row r="7676" spans="3:4" ht="15" x14ac:dyDescent="0.25">
      <c r="C7676" s="8" t="e">
        <f>VLOOKUP(A:A,'ITEM LIST'!A:C,3,0)</f>
        <v>#N/A</v>
      </c>
      <c r="D7676" s="6">
        <f t="shared" si="120"/>
        <v>0</v>
      </c>
    </row>
    <row r="7677" spans="3:4" ht="15" x14ac:dyDescent="0.25">
      <c r="C7677" s="8" t="e">
        <f>VLOOKUP(A:A,'ITEM LIST'!A:C,3,0)</f>
        <v>#N/A</v>
      </c>
      <c r="D7677" s="6">
        <f t="shared" si="120"/>
        <v>0</v>
      </c>
    </row>
    <row r="7678" spans="3:4" ht="15" x14ac:dyDescent="0.25">
      <c r="C7678" s="8" t="e">
        <f>VLOOKUP(A:A,'ITEM LIST'!A:C,3,0)</f>
        <v>#N/A</v>
      </c>
      <c r="D7678" s="6">
        <f t="shared" si="120"/>
        <v>0</v>
      </c>
    </row>
    <row r="7679" spans="3:4" ht="15" x14ac:dyDescent="0.25">
      <c r="C7679" s="8" t="e">
        <f>VLOOKUP(A:A,'ITEM LIST'!A:C,3,0)</f>
        <v>#N/A</v>
      </c>
      <c r="D7679" s="6">
        <f t="shared" si="120"/>
        <v>0</v>
      </c>
    </row>
    <row r="7680" spans="3:4" ht="15" x14ac:dyDescent="0.25">
      <c r="C7680" s="8" t="e">
        <f>VLOOKUP(A:A,'ITEM LIST'!A:C,3,0)</f>
        <v>#N/A</v>
      </c>
      <c r="D7680" s="6">
        <f t="shared" si="120"/>
        <v>0</v>
      </c>
    </row>
    <row r="7681" spans="3:4" ht="15" x14ac:dyDescent="0.25">
      <c r="C7681" s="8" t="e">
        <f>VLOOKUP(A:A,'ITEM LIST'!A:C,3,0)</f>
        <v>#N/A</v>
      </c>
      <c r="D7681" s="6">
        <f t="shared" si="120"/>
        <v>0</v>
      </c>
    </row>
    <row r="7682" spans="3:4" ht="15" x14ac:dyDescent="0.25">
      <c r="C7682" s="8" t="e">
        <f>VLOOKUP(A:A,'ITEM LIST'!A:C,3,0)</f>
        <v>#N/A</v>
      </c>
      <c r="D7682" s="6">
        <f t="shared" si="120"/>
        <v>0</v>
      </c>
    </row>
    <row r="7683" spans="3:4" ht="15" x14ac:dyDescent="0.25">
      <c r="C7683" s="8" t="e">
        <f>VLOOKUP(A:A,'ITEM LIST'!A:C,3,0)</f>
        <v>#N/A</v>
      </c>
      <c r="D7683" s="6">
        <f t="shared" si="120"/>
        <v>0</v>
      </c>
    </row>
    <row r="7684" spans="3:4" ht="15" x14ac:dyDescent="0.25">
      <c r="C7684" s="8" t="e">
        <f>VLOOKUP(A:A,'ITEM LIST'!A:C,3,0)</f>
        <v>#N/A</v>
      </c>
      <c r="D7684" s="6">
        <f t="shared" si="120"/>
        <v>0</v>
      </c>
    </row>
    <row r="7685" spans="3:4" ht="15" x14ac:dyDescent="0.25">
      <c r="C7685" s="8" t="e">
        <f>VLOOKUP(A:A,'ITEM LIST'!A:C,3,0)</f>
        <v>#N/A</v>
      </c>
      <c r="D7685" s="6">
        <f t="shared" si="120"/>
        <v>0</v>
      </c>
    </row>
    <row r="7686" spans="3:4" ht="15" x14ac:dyDescent="0.25">
      <c r="C7686" s="8" t="e">
        <f>VLOOKUP(A:A,'ITEM LIST'!A:C,3,0)</f>
        <v>#N/A</v>
      </c>
      <c r="D7686" s="6">
        <f t="shared" ref="D7686:D7749" si="121">B7686</f>
        <v>0</v>
      </c>
    </row>
    <row r="7687" spans="3:4" ht="15" x14ac:dyDescent="0.25">
      <c r="C7687" s="8" t="e">
        <f>VLOOKUP(A:A,'ITEM LIST'!A:C,3,0)</f>
        <v>#N/A</v>
      </c>
      <c r="D7687" s="6">
        <f t="shared" si="121"/>
        <v>0</v>
      </c>
    </row>
    <row r="7688" spans="3:4" ht="15" x14ac:dyDescent="0.25">
      <c r="C7688" s="8" t="e">
        <f>VLOOKUP(A:A,'ITEM LIST'!A:C,3,0)</f>
        <v>#N/A</v>
      </c>
      <c r="D7688" s="6">
        <f t="shared" si="121"/>
        <v>0</v>
      </c>
    </row>
    <row r="7689" spans="3:4" ht="15" x14ac:dyDescent="0.25">
      <c r="C7689" s="8" t="e">
        <f>VLOOKUP(A:A,'ITEM LIST'!A:C,3,0)</f>
        <v>#N/A</v>
      </c>
      <c r="D7689" s="6">
        <f t="shared" si="121"/>
        <v>0</v>
      </c>
    </row>
    <row r="7690" spans="3:4" ht="15" x14ac:dyDescent="0.25">
      <c r="C7690" s="8" t="e">
        <f>VLOOKUP(A:A,'ITEM LIST'!A:C,3,0)</f>
        <v>#N/A</v>
      </c>
      <c r="D7690" s="6">
        <f t="shared" si="121"/>
        <v>0</v>
      </c>
    </row>
    <row r="7691" spans="3:4" ht="15" x14ac:dyDescent="0.25">
      <c r="C7691" s="8" t="e">
        <f>VLOOKUP(A:A,'ITEM LIST'!A:C,3,0)</f>
        <v>#N/A</v>
      </c>
      <c r="D7691" s="6">
        <f t="shared" si="121"/>
        <v>0</v>
      </c>
    </row>
    <row r="7692" spans="3:4" ht="15" x14ac:dyDescent="0.25">
      <c r="C7692" s="8" t="e">
        <f>VLOOKUP(A:A,'ITEM LIST'!A:C,3,0)</f>
        <v>#N/A</v>
      </c>
      <c r="D7692" s="6">
        <f t="shared" si="121"/>
        <v>0</v>
      </c>
    </row>
    <row r="7693" spans="3:4" ht="15" x14ac:dyDescent="0.25">
      <c r="C7693" s="8" t="e">
        <f>VLOOKUP(A:A,'ITEM LIST'!A:C,3,0)</f>
        <v>#N/A</v>
      </c>
      <c r="D7693" s="6">
        <f t="shared" si="121"/>
        <v>0</v>
      </c>
    </row>
    <row r="7694" spans="3:4" ht="15" x14ac:dyDescent="0.25">
      <c r="C7694" s="8" t="e">
        <f>VLOOKUP(A:A,'ITEM LIST'!A:C,3,0)</f>
        <v>#N/A</v>
      </c>
      <c r="D7694" s="6">
        <f t="shared" si="121"/>
        <v>0</v>
      </c>
    </row>
    <row r="7695" spans="3:4" ht="15" x14ac:dyDescent="0.25">
      <c r="C7695" s="8" t="e">
        <f>VLOOKUP(A:A,'ITEM LIST'!A:C,3,0)</f>
        <v>#N/A</v>
      </c>
      <c r="D7695" s="6">
        <f t="shared" si="121"/>
        <v>0</v>
      </c>
    </row>
    <row r="7696" spans="3:4" ht="15" x14ac:dyDescent="0.25">
      <c r="C7696" s="8" t="e">
        <f>VLOOKUP(A:A,'ITEM LIST'!A:C,3,0)</f>
        <v>#N/A</v>
      </c>
      <c r="D7696" s="6">
        <f t="shared" si="121"/>
        <v>0</v>
      </c>
    </row>
    <row r="7697" spans="3:4" ht="15" x14ac:dyDescent="0.25">
      <c r="C7697" s="8" t="e">
        <f>VLOOKUP(A:A,'ITEM LIST'!A:C,3,0)</f>
        <v>#N/A</v>
      </c>
      <c r="D7697" s="6">
        <f t="shared" si="121"/>
        <v>0</v>
      </c>
    </row>
    <row r="7698" spans="3:4" ht="15" x14ac:dyDescent="0.25">
      <c r="C7698" s="8" t="e">
        <f>VLOOKUP(A:A,'ITEM LIST'!A:C,3,0)</f>
        <v>#N/A</v>
      </c>
      <c r="D7698" s="6">
        <f t="shared" si="121"/>
        <v>0</v>
      </c>
    </row>
    <row r="7699" spans="3:4" ht="15" x14ac:dyDescent="0.25">
      <c r="C7699" s="8" t="e">
        <f>VLOOKUP(A:A,'ITEM LIST'!A:C,3,0)</f>
        <v>#N/A</v>
      </c>
      <c r="D7699" s="6">
        <f t="shared" si="121"/>
        <v>0</v>
      </c>
    </row>
    <row r="7700" spans="3:4" ht="15" x14ac:dyDescent="0.25">
      <c r="C7700" s="8" t="e">
        <f>VLOOKUP(A:A,'ITEM LIST'!A:C,3,0)</f>
        <v>#N/A</v>
      </c>
      <c r="D7700" s="6">
        <f t="shared" si="121"/>
        <v>0</v>
      </c>
    </row>
    <row r="7701" spans="3:4" ht="15" x14ac:dyDescent="0.25">
      <c r="C7701" s="8" t="e">
        <f>VLOOKUP(A:A,'ITEM LIST'!A:C,3,0)</f>
        <v>#N/A</v>
      </c>
      <c r="D7701" s="6">
        <f t="shared" si="121"/>
        <v>0</v>
      </c>
    </row>
    <row r="7702" spans="3:4" ht="15" x14ac:dyDescent="0.25">
      <c r="C7702" s="8" t="e">
        <f>VLOOKUP(A:A,'ITEM LIST'!A:C,3,0)</f>
        <v>#N/A</v>
      </c>
      <c r="D7702" s="6">
        <f t="shared" si="121"/>
        <v>0</v>
      </c>
    </row>
    <row r="7703" spans="3:4" ht="15" x14ac:dyDescent="0.25">
      <c r="C7703" s="8" t="e">
        <f>VLOOKUP(A:A,'ITEM LIST'!A:C,3,0)</f>
        <v>#N/A</v>
      </c>
      <c r="D7703" s="6">
        <f t="shared" si="121"/>
        <v>0</v>
      </c>
    </row>
    <row r="7704" spans="3:4" ht="15" x14ac:dyDescent="0.25">
      <c r="C7704" s="8" t="e">
        <f>VLOOKUP(A:A,'ITEM LIST'!A:C,3,0)</f>
        <v>#N/A</v>
      </c>
      <c r="D7704" s="6">
        <f t="shared" si="121"/>
        <v>0</v>
      </c>
    </row>
    <row r="7705" spans="3:4" ht="15" x14ac:dyDescent="0.25">
      <c r="C7705" s="8" t="e">
        <f>VLOOKUP(A:A,'ITEM LIST'!A:C,3,0)</f>
        <v>#N/A</v>
      </c>
      <c r="D7705" s="6">
        <f t="shared" si="121"/>
        <v>0</v>
      </c>
    </row>
    <row r="7706" spans="3:4" ht="15" x14ac:dyDescent="0.25">
      <c r="C7706" s="8" t="e">
        <f>VLOOKUP(A:A,'ITEM LIST'!A:C,3,0)</f>
        <v>#N/A</v>
      </c>
      <c r="D7706" s="6">
        <f t="shared" si="121"/>
        <v>0</v>
      </c>
    </row>
    <row r="7707" spans="3:4" ht="15" x14ac:dyDescent="0.25">
      <c r="C7707" s="8" t="e">
        <f>VLOOKUP(A:A,'ITEM LIST'!A:C,3,0)</f>
        <v>#N/A</v>
      </c>
      <c r="D7707" s="6">
        <f t="shared" si="121"/>
        <v>0</v>
      </c>
    </row>
    <row r="7708" spans="3:4" ht="15" x14ac:dyDescent="0.25">
      <c r="C7708" s="8" t="e">
        <f>VLOOKUP(A:A,'ITEM LIST'!A:C,3,0)</f>
        <v>#N/A</v>
      </c>
      <c r="D7708" s="6">
        <f t="shared" si="121"/>
        <v>0</v>
      </c>
    </row>
    <row r="7709" spans="3:4" ht="15" x14ac:dyDescent="0.25">
      <c r="C7709" s="8" t="e">
        <f>VLOOKUP(A:A,'ITEM LIST'!A:C,3,0)</f>
        <v>#N/A</v>
      </c>
      <c r="D7709" s="6">
        <f t="shared" si="121"/>
        <v>0</v>
      </c>
    </row>
    <row r="7710" spans="3:4" ht="15" x14ac:dyDescent="0.25">
      <c r="C7710" s="8" t="e">
        <f>VLOOKUP(A:A,'ITEM LIST'!A:C,3,0)</f>
        <v>#N/A</v>
      </c>
      <c r="D7710" s="6">
        <f t="shared" si="121"/>
        <v>0</v>
      </c>
    </row>
    <row r="7711" spans="3:4" ht="15" x14ac:dyDescent="0.25">
      <c r="C7711" s="8" t="e">
        <f>VLOOKUP(A:A,'ITEM LIST'!A:C,3,0)</f>
        <v>#N/A</v>
      </c>
      <c r="D7711" s="6">
        <f t="shared" si="121"/>
        <v>0</v>
      </c>
    </row>
    <row r="7712" spans="3:4" ht="15" x14ac:dyDescent="0.25">
      <c r="C7712" s="8" t="e">
        <f>VLOOKUP(A:A,'ITEM LIST'!A:C,3,0)</f>
        <v>#N/A</v>
      </c>
      <c r="D7712" s="6">
        <f t="shared" si="121"/>
        <v>0</v>
      </c>
    </row>
    <row r="7713" spans="3:4" ht="15" x14ac:dyDescent="0.25">
      <c r="C7713" s="8" t="e">
        <f>VLOOKUP(A:A,'ITEM LIST'!A:C,3,0)</f>
        <v>#N/A</v>
      </c>
      <c r="D7713" s="6">
        <f t="shared" si="121"/>
        <v>0</v>
      </c>
    </row>
    <row r="7714" spans="3:4" ht="15" x14ac:dyDescent="0.25">
      <c r="C7714" s="8" t="e">
        <f>VLOOKUP(A:A,'ITEM LIST'!A:C,3,0)</f>
        <v>#N/A</v>
      </c>
      <c r="D7714" s="6">
        <f t="shared" si="121"/>
        <v>0</v>
      </c>
    </row>
    <row r="7715" spans="3:4" ht="15" x14ac:dyDescent="0.25">
      <c r="C7715" s="8" t="e">
        <f>VLOOKUP(A:A,'ITEM LIST'!A:C,3,0)</f>
        <v>#N/A</v>
      </c>
      <c r="D7715" s="6">
        <f t="shared" si="121"/>
        <v>0</v>
      </c>
    </row>
    <row r="7716" spans="3:4" ht="15" x14ac:dyDescent="0.25">
      <c r="C7716" s="8" t="e">
        <f>VLOOKUP(A:A,'ITEM LIST'!A:C,3,0)</f>
        <v>#N/A</v>
      </c>
      <c r="D7716" s="6">
        <f t="shared" si="121"/>
        <v>0</v>
      </c>
    </row>
    <row r="7717" spans="3:4" ht="15" x14ac:dyDescent="0.25">
      <c r="C7717" s="8" t="e">
        <f>VLOOKUP(A:A,'ITEM LIST'!A:C,3,0)</f>
        <v>#N/A</v>
      </c>
      <c r="D7717" s="6">
        <f t="shared" si="121"/>
        <v>0</v>
      </c>
    </row>
    <row r="7718" spans="3:4" ht="15" x14ac:dyDescent="0.25">
      <c r="C7718" s="8" t="e">
        <f>VLOOKUP(A:A,'ITEM LIST'!A:C,3,0)</f>
        <v>#N/A</v>
      </c>
      <c r="D7718" s="6">
        <f t="shared" si="121"/>
        <v>0</v>
      </c>
    </row>
    <row r="7719" spans="3:4" ht="15" x14ac:dyDescent="0.25">
      <c r="C7719" s="8" t="e">
        <f>VLOOKUP(A:A,'ITEM LIST'!A:C,3,0)</f>
        <v>#N/A</v>
      </c>
      <c r="D7719" s="6">
        <f t="shared" si="121"/>
        <v>0</v>
      </c>
    </row>
    <row r="7720" spans="3:4" ht="15" x14ac:dyDescent="0.25">
      <c r="C7720" s="8" t="e">
        <f>VLOOKUP(A:A,'ITEM LIST'!A:C,3,0)</f>
        <v>#N/A</v>
      </c>
      <c r="D7720" s="6">
        <f t="shared" si="121"/>
        <v>0</v>
      </c>
    </row>
    <row r="7721" spans="3:4" ht="15" x14ac:dyDescent="0.25">
      <c r="C7721" s="8" t="e">
        <f>VLOOKUP(A:A,'ITEM LIST'!A:C,3,0)</f>
        <v>#N/A</v>
      </c>
      <c r="D7721" s="6">
        <f t="shared" si="121"/>
        <v>0</v>
      </c>
    </row>
    <row r="7722" spans="3:4" ht="15" x14ac:dyDescent="0.25">
      <c r="C7722" s="8" t="e">
        <f>VLOOKUP(A:A,'ITEM LIST'!A:C,3,0)</f>
        <v>#N/A</v>
      </c>
      <c r="D7722" s="6">
        <f t="shared" si="121"/>
        <v>0</v>
      </c>
    </row>
    <row r="7723" spans="3:4" ht="15" x14ac:dyDescent="0.25">
      <c r="C7723" s="8" t="e">
        <f>VLOOKUP(A:A,'ITEM LIST'!A:C,3,0)</f>
        <v>#N/A</v>
      </c>
      <c r="D7723" s="6">
        <f t="shared" si="121"/>
        <v>0</v>
      </c>
    </row>
    <row r="7724" spans="3:4" ht="15" x14ac:dyDescent="0.25">
      <c r="C7724" s="8" t="e">
        <f>VLOOKUP(A:A,'ITEM LIST'!A:C,3,0)</f>
        <v>#N/A</v>
      </c>
      <c r="D7724" s="6">
        <f t="shared" si="121"/>
        <v>0</v>
      </c>
    </row>
    <row r="7725" spans="3:4" ht="15" x14ac:dyDescent="0.25">
      <c r="C7725" s="8" t="e">
        <f>VLOOKUP(A:A,'ITEM LIST'!A:C,3,0)</f>
        <v>#N/A</v>
      </c>
      <c r="D7725" s="6">
        <f t="shared" si="121"/>
        <v>0</v>
      </c>
    </row>
    <row r="7726" spans="3:4" ht="15" x14ac:dyDescent="0.25">
      <c r="C7726" s="8" t="e">
        <f>VLOOKUP(A:A,'ITEM LIST'!A:C,3,0)</f>
        <v>#N/A</v>
      </c>
      <c r="D7726" s="6">
        <f t="shared" si="121"/>
        <v>0</v>
      </c>
    </row>
    <row r="7727" spans="3:4" ht="15" x14ac:dyDescent="0.25">
      <c r="C7727" s="8" t="e">
        <f>VLOOKUP(A:A,'ITEM LIST'!A:C,3,0)</f>
        <v>#N/A</v>
      </c>
      <c r="D7727" s="6">
        <f t="shared" si="121"/>
        <v>0</v>
      </c>
    </row>
    <row r="7728" spans="3:4" ht="15" x14ac:dyDescent="0.25">
      <c r="C7728" s="8" t="e">
        <f>VLOOKUP(A:A,'ITEM LIST'!A:C,3,0)</f>
        <v>#N/A</v>
      </c>
      <c r="D7728" s="6">
        <f t="shared" si="121"/>
        <v>0</v>
      </c>
    </row>
    <row r="7729" spans="3:4" ht="15" x14ac:dyDescent="0.25">
      <c r="C7729" s="8" t="e">
        <f>VLOOKUP(A:A,'ITEM LIST'!A:C,3,0)</f>
        <v>#N/A</v>
      </c>
      <c r="D7729" s="6">
        <f t="shared" si="121"/>
        <v>0</v>
      </c>
    </row>
    <row r="7730" spans="3:4" ht="15" x14ac:dyDescent="0.25">
      <c r="C7730" s="8" t="e">
        <f>VLOOKUP(A:A,'ITEM LIST'!A:C,3,0)</f>
        <v>#N/A</v>
      </c>
      <c r="D7730" s="6">
        <f t="shared" si="121"/>
        <v>0</v>
      </c>
    </row>
    <row r="7731" spans="3:4" ht="15" x14ac:dyDescent="0.25">
      <c r="C7731" s="8" t="e">
        <f>VLOOKUP(A:A,'ITEM LIST'!A:C,3,0)</f>
        <v>#N/A</v>
      </c>
      <c r="D7731" s="6">
        <f t="shared" si="121"/>
        <v>0</v>
      </c>
    </row>
    <row r="7732" spans="3:4" ht="15" x14ac:dyDescent="0.25">
      <c r="C7732" s="8" t="e">
        <f>VLOOKUP(A:A,'ITEM LIST'!A:C,3,0)</f>
        <v>#N/A</v>
      </c>
      <c r="D7732" s="6">
        <f t="shared" si="121"/>
        <v>0</v>
      </c>
    </row>
    <row r="7733" spans="3:4" ht="15" x14ac:dyDescent="0.25">
      <c r="C7733" s="8" t="e">
        <f>VLOOKUP(A:A,'ITEM LIST'!A:C,3,0)</f>
        <v>#N/A</v>
      </c>
      <c r="D7733" s="6">
        <f t="shared" si="121"/>
        <v>0</v>
      </c>
    </row>
    <row r="7734" spans="3:4" ht="15" x14ac:dyDescent="0.25">
      <c r="C7734" s="8" t="e">
        <f>VLOOKUP(A:A,'ITEM LIST'!A:C,3,0)</f>
        <v>#N/A</v>
      </c>
      <c r="D7734" s="6">
        <f t="shared" si="121"/>
        <v>0</v>
      </c>
    </row>
    <row r="7735" spans="3:4" ht="15" x14ac:dyDescent="0.25">
      <c r="C7735" s="8" t="e">
        <f>VLOOKUP(A:A,'ITEM LIST'!A:C,3,0)</f>
        <v>#N/A</v>
      </c>
      <c r="D7735" s="6">
        <f t="shared" si="121"/>
        <v>0</v>
      </c>
    </row>
    <row r="7736" spans="3:4" ht="15" x14ac:dyDescent="0.25">
      <c r="C7736" s="8" t="e">
        <f>VLOOKUP(A:A,'ITEM LIST'!A:C,3,0)</f>
        <v>#N/A</v>
      </c>
      <c r="D7736" s="6">
        <f t="shared" si="121"/>
        <v>0</v>
      </c>
    </row>
    <row r="7737" spans="3:4" ht="15" x14ac:dyDescent="0.25">
      <c r="C7737" s="8" t="e">
        <f>VLOOKUP(A:A,'ITEM LIST'!A:C,3,0)</f>
        <v>#N/A</v>
      </c>
      <c r="D7737" s="6">
        <f t="shared" si="121"/>
        <v>0</v>
      </c>
    </row>
    <row r="7738" spans="3:4" ht="15" x14ac:dyDescent="0.25">
      <c r="C7738" s="8" t="e">
        <f>VLOOKUP(A:A,'ITEM LIST'!A:C,3,0)</f>
        <v>#N/A</v>
      </c>
      <c r="D7738" s="6">
        <f t="shared" si="121"/>
        <v>0</v>
      </c>
    </row>
    <row r="7739" spans="3:4" ht="15" x14ac:dyDescent="0.25">
      <c r="C7739" s="8" t="e">
        <f>VLOOKUP(A:A,'ITEM LIST'!A:C,3,0)</f>
        <v>#N/A</v>
      </c>
      <c r="D7739" s="6">
        <f t="shared" si="121"/>
        <v>0</v>
      </c>
    </row>
    <row r="7740" spans="3:4" ht="15" x14ac:dyDescent="0.25">
      <c r="C7740" s="8" t="e">
        <f>VLOOKUP(A:A,'ITEM LIST'!A:C,3,0)</f>
        <v>#N/A</v>
      </c>
      <c r="D7740" s="6">
        <f t="shared" si="121"/>
        <v>0</v>
      </c>
    </row>
    <row r="7741" spans="3:4" ht="15" x14ac:dyDescent="0.25">
      <c r="C7741" s="8" t="e">
        <f>VLOOKUP(A:A,'ITEM LIST'!A:C,3,0)</f>
        <v>#N/A</v>
      </c>
      <c r="D7741" s="6">
        <f t="shared" si="121"/>
        <v>0</v>
      </c>
    </row>
    <row r="7742" spans="3:4" ht="15" x14ac:dyDescent="0.25">
      <c r="C7742" s="8" t="e">
        <f>VLOOKUP(A:A,'ITEM LIST'!A:C,3,0)</f>
        <v>#N/A</v>
      </c>
      <c r="D7742" s="6">
        <f t="shared" si="121"/>
        <v>0</v>
      </c>
    </row>
    <row r="7743" spans="3:4" ht="15" x14ac:dyDescent="0.25">
      <c r="C7743" s="8" t="e">
        <f>VLOOKUP(A:A,'ITEM LIST'!A:C,3,0)</f>
        <v>#N/A</v>
      </c>
      <c r="D7743" s="6">
        <f t="shared" si="121"/>
        <v>0</v>
      </c>
    </row>
    <row r="7744" spans="3:4" ht="15" x14ac:dyDescent="0.25">
      <c r="C7744" s="8" t="e">
        <f>VLOOKUP(A:A,'ITEM LIST'!A:C,3,0)</f>
        <v>#N/A</v>
      </c>
      <c r="D7744" s="6">
        <f t="shared" si="121"/>
        <v>0</v>
      </c>
    </row>
    <row r="7745" spans="3:4" ht="15" x14ac:dyDescent="0.25">
      <c r="C7745" s="8" t="e">
        <f>VLOOKUP(A:A,'ITEM LIST'!A:C,3,0)</f>
        <v>#N/A</v>
      </c>
      <c r="D7745" s="6">
        <f t="shared" si="121"/>
        <v>0</v>
      </c>
    </row>
    <row r="7746" spans="3:4" ht="15" x14ac:dyDescent="0.25">
      <c r="C7746" s="8" t="e">
        <f>VLOOKUP(A:A,'ITEM LIST'!A:C,3,0)</f>
        <v>#N/A</v>
      </c>
      <c r="D7746" s="6">
        <f t="shared" si="121"/>
        <v>0</v>
      </c>
    </row>
    <row r="7747" spans="3:4" ht="15" x14ac:dyDescent="0.25">
      <c r="C7747" s="8" t="e">
        <f>VLOOKUP(A:A,'ITEM LIST'!A:C,3,0)</f>
        <v>#N/A</v>
      </c>
      <c r="D7747" s="6">
        <f t="shared" si="121"/>
        <v>0</v>
      </c>
    </row>
    <row r="7748" spans="3:4" ht="15" x14ac:dyDescent="0.25">
      <c r="C7748" s="8" t="e">
        <f>VLOOKUP(A:A,'ITEM LIST'!A:C,3,0)</f>
        <v>#N/A</v>
      </c>
      <c r="D7748" s="6">
        <f t="shared" si="121"/>
        <v>0</v>
      </c>
    </row>
    <row r="7749" spans="3:4" ht="15" x14ac:dyDescent="0.25">
      <c r="C7749" s="8" t="e">
        <f>VLOOKUP(A:A,'ITEM LIST'!A:C,3,0)</f>
        <v>#N/A</v>
      </c>
      <c r="D7749" s="6">
        <f t="shared" si="121"/>
        <v>0</v>
      </c>
    </row>
    <row r="7750" spans="3:4" ht="15" x14ac:dyDescent="0.25">
      <c r="C7750" s="8" t="e">
        <f>VLOOKUP(A:A,'ITEM LIST'!A:C,3,0)</f>
        <v>#N/A</v>
      </c>
      <c r="D7750" s="6">
        <f t="shared" ref="D7750:D7813" si="122">B7750</f>
        <v>0</v>
      </c>
    </row>
    <row r="7751" spans="3:4" ht="15" x14ac:dyDescent="0.25">
      <c r="C7751" s="8" t="e">
        <f>VLOOKUP(A:A,'ITEM LIST'!A:C,3,0)</f>
        <v>#N/A</v>
      </c>
      <c r="D7751" s="6">
        <f t="shared" si="122"/>
        <v>0</v>
      </c>
    </row>
    <row r="7752" spans="3:4" ht="15" x14ac:dyDescent="0.25">
      <c r="C7752" s="8" t="e">
        <f>VLOOKUP(A:A,'ITEM LIST'!A:C,3,0)</f>
        <v>#N/A</v>
      </c>
      <c r="D7752" s="6">
        <f t="shared" si="122"/>
        <v>0</v>
      </c>
    </row>
    <row r="7753" spans="3:4" ht="15" x14ac:dyDescent="0.25">
      <c r="C7753" s="8" t="e">
        <f>VLOOKUP(A:A,'ITEM LIST'!A:C,3,0)</f>
        <v>#N/A</v>
      </c>
      <c r="D7753" s="6">
        <f t="shared" si="122"/>
        <v>0</v>
      </c>
    </row>
    <row r="7754" spans="3:4" ht="15" x14ac:dyDescent="0.25">
      <c r="C7754" s="8" t="e">
        <f>VLOOKUP(A:A,'ITEM LIST'!A:C,3,0)</f>
        <v>#N/A</v>
      </c>
      <c r="D7754" s="6">
        <f t="shared" si="122"/>
        <v>0</v>
      </c>
    </row>
    <row r="7755" spans="3:4" ht="15" x14ac:dyDescent="0.25">
      <c r="C7755" s="8" t="e">
        <f>VLOOKUP(A:A,'ITEM LIST'!A:C,3,0)</f>
        <v>#N/A</v>
      </c>
      <c r="D7755" s="6">
        <f t="shared" si="122"/>
        <v>0</v>
      </c>
    </row>
    <row r="7756" spans="3:4" ht="15" x14ac:dyDescent="0.25">
      <c r="C7756" s="8" t="e">
        <f>VLOOKUP(A:A,'ITEM LIST'!A:C,3,0)</f>
        <v>#N/A</v>
      </c>
      <c r="D7756" s="6">
        <f t="shared" si="122"/>
        <v>0</v>
      </c>
    </row>
    <row r="7757" spans="3:4" ht="15" x14ac:dyDescent="0.25">
      <c r="C7757" s="8" t="e">
        <f>VLOOKUP(A:A,'ITEM LIST'!A:C,3,0)</f>
        <v>#N/A</v>
      </c>
      <c r="D7757" s="6">
        <f t="shared" si="122"/>
        <v>0</v>
      </c>
    </row>
    <row r="7758" spans="3:4" ht="15" x14ac:dyDescent="0.25">
      <c r="C7758" s="8" t="e">
        <f>VLOOKUP(A:A,'ITEM LIST'!A:C,3,0)</f>
        <v>#N/A</v>
      </c>
      <c r="D7758" s="6">
        <f t="shared" si="122"/>
        <v>0</v>
      </c>
    </row>
    <row r="7759" spans="3:4" ht="15" x14ac:dyDescent="0.25">
      <c r="C7759" s="8" t="e">
        <f>VLOOKUP(A:A,'ITEM LIST'!A:C,3,0)</f>
        <v>#N/A</v>
      </c>
      <c r="D7759" s="6">
        <f t="shared" si="122"/>
        <v>0</v>
      </c>
    </row>
    <row r="7760" spans="3:4" ht="15" x14ac:dyDescent="0.25">
      <c r="C7760" s="8" t="e">
        <f>VLOOKUP(A:A,'ITEM LIST'!A:C,3,0)</f>
        <v>#N/A</v>
      </c>
      <c r="D7760" s="6">
        <f t="shared" si="122"/>
        <v>0</v>
      </c>
    </row>
    <row r="7761" spans="3:4" ht="15" x14ac:dyDescent="0.25">
      <c r="C7761" s="8" t="e">
        <f>VLOOKUP(A:A,'ITEM LIST'!A:C,3,0)</f>
        <v>#N/A</v>
      </c>
      <c r="D7761" s="6">
        <f t="shared" si="122"/>
        <v>0</v>
      </c>
    </row>
    <row r="7762" spans="3:4" ht="15" x14ac:dyDescent="0.25">
      <c r="C7762" s="8" t="e">
        <f>VLOOKUP(A:A,'ITEM LIST'!A:C,3,0)</f>
        <v>#N/A</v>
      </c>
      <c r="D7762" s="6">
        <f t="shared" si="122"/>
        <v>0</v>
      </c>
    </row>
    <row r="7763" spans="3:4" ht="15" x14ac:dyDescent="0.25">
      <c r="C7763" s="8" t="e">
        <f>VLOOKUP(A:A,'ITEM LIST'!A:C,3,0)</f>
        <v>#N/A</v>
      </c>
      <c r="D7763" s="6">
        <f t="shared" si="122"/>
        <v>0</v>
      </c>
    </row>
    <row r="7764" spans="3:4" ht="15" x14ac:dyDescent="0.25">
      <c r="C7764" s="8" t="e">
        <f>VLOOKUP(A:A,'ITEM LIST'!A:C,3,0)</f>
        <v>#N/A</v>
      </c>
      <c r="D7764" s="6">
        <f t="shared" si="122"/>
        <v>0</v>
      </c>
    </row>
    <row r="7765" spans="3:4" ht="15" x14ac:dyDescent="0.25">
      <c r="C7765" s="8" t="e">
        <f>VLOOKUP(A:A,'ITEM LIST'!A:C,3,0)</f>
        <v>#N/A</v>
      </c>
      <c r="D7765" s="6">
        <f t="shared" si="122"/>
        <v>0</v>
      </c>
    </row>
    <row r="7766" spans="3:4" ht="15" x14ac:dyDescent="0.25">
      <c r="C7766" s="8" t="e">
        <f>VLOOKUP(A:A,'ITEM LIST'!A:C,3,0)</f>
        <v>#N/A</v>
      </c>
      <c r="D7766" s="6">
        <f t="shared" si="122"/>
        <v>0</v>
      </c>
    </row>
    <row r="7767" spans="3:4" ht="15" x14ac:dyDescent="0.25">
      <c r="C7767" s="8" t="e">
        <f>VLOOKUP(A:A,'ITEM LIST'!A:C,3,0)</f>
        <v>#N/A</v>
      </c>
      <c r="D7767" s="6">
        <f t="shared" si="122"/>
        <v>0</v>
      </c>
    </row>
    <row r="7768" spans="3:4" ht="15" x14ac:dyDescent="0.25">
      <c r="C7768" s="8" t="e">
        <f>VLOOKUP(A:A,'ITEM LIST'!A:C,3,0)</f>
        <v>#N/A</v>
      </c>
      <c r="D7768" s="6">
        <f t="shared" si="122"/>
        <v>0</v>
      </c>
    </row>
    <row r="7769" spans="3:4" ht="15" x14ac:dyDescent="0.25">
      <c r="C7769" s="8" t="e">
        <f>VLOOKUP(A:A,'ITEM LIST'!A:C,3,0)</f>
        <v>#N/A</v>
      </c>
      <c r="D7769" s="6">
        <f t="shared" si="122"/>
        <v>0</v>
      </c>
    </row>
    <row r="7770" spans="3:4" ht="15" x14ac:dyDescent="0.25">
      <c r="C7770" s="8" t="e">
        <f>VLOOKUP(A:A,'ITEM LIST'!A:C,3,0)</f>
        <v>#N/A</v>
      </c>
      <c r="D7770" s="6">
        <f t="shared" si="122"/>
        <v>0</v>
      </c>
    </row>
    <row r="7771" spans="3:4" ht="15" x14ac:dyDescent="0.25">
      <c r="C7771" s="8" t="e">
        <f>VLOOKUP(A:A,'ITEM LIST'!A:C,3,0)</f>
        <v>#N/A</v>
      </c>
      <c r="D7771" s="6">
        <f t="shared" si="122"/>
        <v>0</v>
      </c>
    </row>
    <row r="7772" spans="3:4" ht="15" x14ac:dyDescent="0.25">
      <c r="C7772" s="8" t="e">
        <f>VLOOKUP(A:A,'ITEM LIST'!A:C,3,0)</f>
        <v>#N/A</v>
      </c>
      <c r="D7772" s="6">
        <f t="shared" si="122"/>
        <v>0</v>
      </c>
    </row>
    <row r="7773" spans="3:4" ht="15" x14ac:dyDescent="0.25">
      <c r="C7773" s="8" t="e">
        <f>VLOOKUP(A:A,'ITEM LIST'!A:C,3,0)</f>
        <v>#N/A</v>
      </c>
      <c r="D7773" s="6">
        <f t="shared" si="122"/>
        <v>0</v>
      </c>
    </row>
    <row r="7774" spans="3:4" ht="15" x14ac:dyDescent="0.25">
      <c r="C7774" s="8" t="e">
        <f>VLOOKUP(A:A,'ITEM LIST'!A:C,3,0)</f>
        <v>#N/A</v>
      </c>
      <c r="D7774" s="6">
        <f t="shared" si="122"/>
        <v>0</v>
      </c>
    </row>
    <row r="7775" spans="3:4" ht="15" x14ac:dyDescent="0.25">
      <c r="C7775" s="8" t="e">
        <f>VLOOKUP(A:A,'ITEM LIST'!A:C,3,0)</f>
        <v>#N/A</v>
      </c>
      <c r="D7775" s="6">
        <f t="shared" si="122"/>
        <v>0</v>
      </c>
    </row>
    <row r="7776" spans="3:4" ht="15" x14ac:dyDescent="0.25">
      <c r="C7776" s="8" t="e">
        <f>VLOOKUP(A:A,'ITEM LIST'!A:C,3,0)</f>
        <v>#N/A</v>
      </c>
      <c r="D7776" s="6">
        <f t="shared" si="122"/>
        <v>0</v>
      </c>
    </row>
    <row r="7777" spans="3:4" ht="15" x14ac:dyDescent="0.25">
      <c r="C7777" s="8" t="e">
        <f>VLOOKUP(A:A,'ITEM LIST'!A:C,3,0)</f>
        <v>#N/A</v>
      </c>
      <c r="D7777" s="6">
        <f t="shared" si="122"/>
        <v>0</v>
      </c>
    </row>
    <row r="7778" spans="3:4" ht="15" x14ac:dyDescent="0.25">
      <c r="C7778" s="8" t="e">
        <f>VLOOKUP(A:A,'ITEM LIST'!A:C,3,0)</f>
        <v>#N/A</v>
      </c>
      <c r="D7778" s="6">
        <f t="shared" si="122"/>
        <v>0</v>
      </c>
    </row>
    <row r="7779" spans="3:4" ht="15" x14ac:dyDescent="0.25">
      <c r="C7779" s="8" t="e">
        <f>VLOOKUP(A:A,'ITEM LIST'!A:C,3,0)</f>
        <v>#N/A</v>
      </c>
      <c r="D7779" s="6">
        <f t="shared" si="122"/>
        <v>0</v>
      </c>
    </row>
    <row r="7780" spans="3:4" ht="15" x14ac:dyDescent="0.25">
      <c r="C7780" s="8" t="e">
        <f>VLOOKUP(A:A,'ITEM LIST'!A:C,3,0)</f>
        <v>#N/A</v>
      </c>
      <c r="D7780" s="6">
        <f t="shared" si="122"/>
        <v>0</v>
      </c>
    </row>
    <row r="7781" spans="3:4" ht="15" x14ac:dyDescent="0.25">
      <c r="C7781" s="8" t="e">
        <f>VLOOKUP(A:A,'ITEM LIST'!A:C,3,0)</f>
        <v>#N/A</v>
      </c>
      <c r="D7781" s="6">
        <f t="shared" si="122"/>
        <v>0</v>
      </c>
    </row>
    <row r="7782" spans="3:4" ht="15" x14ac:dyDescent="0.25">
      <c r="C7782" s="8" t="e">
        <f>VLOOKUP(A:A,'ITEM LIST'!A:C,3,0)</f>
        <v>#N/A</v>
      </c>
      <c r="D7782" s="6">
        <f t="shared" si="122"/>
        <v>0</v>
      </c>
    </row>
    <row r="7783" spans="3:4" ht="15" x14ac:dyDescent="0.25">
      <c r="C7783" s="8" t="e">
        <f>VLOOKUP(A:A,'ITEM LIST'!A:C,3,0)</f>
        <v>#N/A</v>
      </c>
      <c r="D7783" s="6">
        <f t="shared" si="122"/>
        <v>0</v>
      </c>
    </row>
    <row r="7784" spans="3:4" ht="15" x14ac:dyDescent="0.25">
      <c r="C7784" s="8" t="e">
        <f>VLOOKUP(A:A,'ITEM LIST'!A:C,3,0)</f>
        <v>#N/A</v>
      </c>
      <c r="D7784" s="6">
        <f t="shared" si="122"/>
        <v>0</v>
      </c>
    </row>
    <row r="7785" spans="3:4" ht="15" x14ac:dyDescent="0.25">
      <c r="C7785" s="8" t="e">
        <f>VLOOKUP(A:A,'ITEM LIST'!A:C,3,0)</f>
        <v>#N/A</v>
      </c>
      <c r="D7785" s="6">
        <f t="shared" si="122"/>
        <v>0</v>
      </c>
    </row>
    <row r="7786" spans="3:4" ht="15" x14ac:dyDescent="0.25">
      <c r="C7786" s="8" t="e">
        <f>VLOOKUP(A:A,'ITEM LIST'!A:C,3,0)</f>
        <v>#N/A</v>
      </c>
      <c r="D7786" s="6">
        <f t="shared" si="122"/>
        <v>0</v>
      </c>
    </row>
    <row r="7787" spans="3:4" ht="15" x14ac:dyDescent="0.25">
      <c r="C7787" s="8" t="e">
        <f>VLOOKUP(A:A,'ITEM LIST'!A:C,3,0)</f>
        <v>#N/A</v>
      </c>
      <c r="D7787" s="6">
        <f t="shared" si="122"/>
        <v>0</v>
      </c>
    </row>
    <row r="7788" spans="3:4" ht="15" x14ac:dyDescent="0.25">
      <c r="C7788" s="8" t="e">
        <f>VLOOKUP(A:A,'ITEM LIST'!A:C,3,0)</f>
        <v>#N/A</v>
      </c>
      <c r="D7788" s="6">
        <f t="shared" si="122"/>
        <v>0</v>
      </c>
    </row>
    <row r="7789" spans="3:4" ht="15" x14ac:dyDescent="0.25">
      <c r="C7789" s="8" t="e">
        <f>VLOOKUP(A:A,'ITEM LIST'!A:C,3,0)</f>
        <v>#N/A</v>
      </c>
      <c r="D7789" s="6">
        <f t="shared" si="122"/>
        <v>0</v>
      </c>
    </row>
    <row r="7790" spans="3:4" ht="15" x14ac:dyDescent="0.25">
      <c r="C7790" s="8" t="e">
        <f>VLOOKUP(A:A,'ITEM LIST'!A:C,3,0)</f>
        <v>#N/A</v>
      </c>
      <c r="D7790" s="6">
        <f t="shared" si="122"/>
        <v>0</v>
      </c>
    </row>
    <row r="7791" spans="3:4" ht="15" x14ac:dyDescent="0.25">
      <c r="C7791" s="8" t="e">
        <f>VLOOKUP(A:A,'ITEM LIST'!A:C,3,0)</f>
        <v>#N/A</v>
      </c>
      <c r="D7791" s="6">
        <f t="shared" si="122"/>
        <v>0</v>
      </c>
    </row>
    <row r="7792" spans="3:4" ht="15" x14ac:dyDescent="0.25">
      <c r="C7792" s="8" t="e">
        <f>VLOOKUP(A:A,'ITEM LIST'!A:C,3,0)</f>
        <v>#N/A</v>
      </c>
      <c r="D7792" s="6">
        <f t="shared" si="122"/>
        <v>0</v>
      </c>
    </row>
    <row r="7793" spans="3:4" ht="15" x14ac:dyDescent="0.25">
      <c r="C7793" s="8" t="e">
        <f>VLOOKUP(A:A,'ITEM LIST'!A:C,3,0)</f>
        <v>#N/A</v>
      </c>
      <c r="D7793" s="6">
        <f t="shared" si="122"/>
        <v>0</v>
      </c>
    </row>
    <row r="7794" spans="3:4" ht="15" x14ac:dyDescent="0.25">
      <c r="C7794" s="8" t="e">
        <f>VLOOKUP(A:A,'ITEM LIST'!A:C,3,0)</f>
        <v>#N/A</v>
      </c>
      <c r="D7794" s="6">
        <f t="shared" si="122"/>
        <v>0</v>
      </c>
    </row>
    <row r="7795" spans="3:4" ht="15" x14ac:dyDescent="0.25">
      <c r="C7795" s="8" t="e">
        <f>VLOOKUP(A:A,'ITEM LIST'!A:C,3,0)</f>
        <v>#N/A</v>
      </c>
      <c r="D7795" s="6">
        <f t="shared" si="122"/>
        <v>0</v>
      </c>
    </row>
    <row r="7796" spans="3:4" ht="15" x14ac:dyDescent="0.25">
      <c r="C7796" s="8" t="e">
        <f>VLOOKUP(A:A,'ITEM LIST'!A:C,3,0)</f>
        <v>#N/A</v>
      </c>
      <c r="D7796" s="6">
        <f t="shared" si="122"/>
        <v>0</v>
      </c>
    </row>
    <row r="7797" spans="3:4" ht="15" x14ac:dyDescent="0.25">
      <c r="C7797" s="8" t="e">
        <f>VLOOKUP(A:A,'ITEM LIST'!A:C,3,0)</f>
        <v>#N/A</v>
      </c>
      <c r="D7797" s="6">
        <f t="shared" si="122"/>
        <v>0</v>
      </c>
    </row>
    <row r="7798" spans="3:4" ht="15" x14ac:dyDescent="0.25">
      <c r="C7798" s="8" t="e">
        <f>VLOOKUP(A:A,'ITEM LIST'!A:C,3,0)</f>
        <v>#N/A</v>
      </c>
      <c r="D7798" s="6">
        <f t="shared" si="122"/>
        <v>0</v>
      </c>
    </row>
    <row r="7799" spans="3:4" ht="15" x14ac:dyDescent="0.25">
      <c r="C7799" s="8" t="e">
        <f>VLOOKUP(A:A,'ITEM LIST'!A:C,3,0)</f>
        <v>#N/A</v>
      </c>
      <c r="D7799" s="6">
        <f t="shared" si="122"/>
        <v>0</v>
      </c>
    </row>
    <row r="7800" spans="3:4" ht="15" x14ac:dyDescent="0.25">
      <c r="C7800" s="8" t="e">
        <f>VLOOKUP(A:A,'ITEM LIST'!A:C,3,0)</f>
        <v>#N/A</v>
      </c>
      <c r="D7800" s="6">
        <f t="shared" si="122"/>
        <v>0</v>
      </c>
    </row>
    <row r="7801" spans="3:4" ht="15" x14ac:dyDescent="0.25">
      <c r="C7801" s="8" t="e">
        <f>VLOOKUP(A:A,'ITEM LIST'!A:C,3,0)</f>
        <v>#N/A</v>
      </c>
      <c r="D7801" s="6">
        <f t="shared" si="122"/>
        <v>0</v>
      </c>
    </row>
    <row r="7802" spans="3:4" ht="15" x14ac:dyDescent="0.25">
      <c r="C7802" s="8" t="e">
        <f>VLOOKUP(A:A,'ITEM LIST'!A:C,3,0)</f>
        <v>#N/A</v>
      </c>
      <c r="D7802" s="6">
        <f t="shared" si="122"/>
        <v>0</v>
      </c>
    </row>
    <row r="7803" spans="3:4" ht="15" x14ac:dyDescent="0.25">
      <c r="C7803" s="8" t="e">
        <f>VLOOKUP(A:A,'ITEM LIST'!A:C,3,0)</f>
        <v>#N/A</v>
      </c>
      <c r="D7803" s="6">
        <f t="shared" si="122"/>
        <v>0</v>
      </c>
    </row>
    <row r="7804" spans="3:4" ht="15" x14ac:dyDescent="0.25">
      <c r="C7804" s="8" t="e">
        <f>VLOOKUP(A:A,'ITEM LIST'!A:C,3,0)</f>
        <v>#N/A</v>
      </c>
      <c r="D7804" s="6">
        <f t="shared" si="122"/>
        <v>0</v>
      </c>
    </row>
    <row r="7805" spans="3:4" ht="15" x14ac:dyDescent="0.25">
      <c r="C7805" s="8" t="e">
        <f>VLOOKUP(A:A,'ITEM LIST'!A:C,3,0)</f>
        <v>#N/A</v>
      </c>
      <c r="D7805" s="6">
        <f t="shared" si="122"/>
        <v>0</v>
      </c>
    </row>
    <row r="7806" spans="3:4" ht="15" x14ac:dyDescent="0.25">
      <c r="C7806" s="8" t="e">
        <f>VLOOKUP(A:A,'ITEM LIST'!A:C,3,0)</f>
        <v>#N/A</v>
      </c>
      <c r="D7806" s="6">
        <f t="shared" si="122"/>
        <v>0</v>
      </c>
    </row>
    <row r="7807" spans="3:4" ht="15" x14ac:dyDescent="0.25">
      <c r="C7807" s="8" t="e">
        <f>VLOOKUP(A:A,'ITEM LIST'!A:C,3,0)</f>
        <v>#N/A</v>
      </c>
      <c r="D7807" s="6">
        <f t="shared" si="122"/>
        <v>0</v>
      </c>
    </row>
    <row r="7808" spans="3:4" ht="15" x14ac:dyDescent="0.25">
      <c r="C7808" s="8" t="e">
        <f>VLOOKUP(A:A,'ITEM LIST'!A:C,3,0)</f>
        <v>#N/A</v>
      </c>
      <c r="D7808" s="6">
        <f t="shared" si="122"/>
        <v>0</v>
      </c>
    </row>
    <row r="7809" spans="3:4" ht="15" x14ac:dyDescent="0.25">
      <c r="C7809" s="8" t="e">
        <f>VLOOKUP(A:A,'ITEM LIST'!A:C,3,0)</f>
        <v>#N/A</v>
      </c>
      <c r="D7809" s="6">
        <f t="shared" si="122"/>
        <v>0</v>
      </c>
    </row>
    <row r="7810" spans="3:4" ht="15" x14ac:dyDescent="0.25">
      <c r="C7810" s="8" t="e">
        <f>VLOOKUP(A:A,'ITEM LIST'!A:C,3,0)</f>
        <v>#N/A</v>
      </c>
      <c r="D7810" s="6">
        <f t="shared" si="122"/>
        <v>0</v>
      </c>
    </row>
    <row r="7811" spans="3:4" ht="15" x14ac:dyDescent="0.25">
      <c r="C7811" s="8" t="e">
        <f>VLOOKUP(A:A,'ITEM LIST'!A:C,3,0)</f>
        <v>#N/A</v>
      </c>
      <c r="D7811" s="6">
        <f t="shared" si="122"/>
        <v>0</v>
      </c>
    </row>
    <row r="7812" spans="3:4" ht="15" x14ac:dyDescent="0.25">
      <c r="C7812" s="8" t="e">
        <f>VLOOKUP(A:A,'ITEM LIST'!A:C,3,0)</f>
        <v>#N/A</v>
      </c>
      <c r="D7812" s="6">
        <f t="shared" si="122"/>
        <v>0</v>
      </c>
    </row>
    <row r="7813" spans="3:4" ht="15" x14ac:dyDescent="0.25">
      <c r="C7813" s="8" t="e">
        <f>VLOOKUP(A:A,'ITEM LIST'!A:C,3,0)</f>
        <v>#N/A</v>
      </c>
      <c r="D7813" s="6">
        <f t="shared" si="122"/>
        <v>0</v>
      </c>
    </row>
    <row r="7814" spans="3:4" ht="15" x14ac:dyDescent="0.25">
      <c r="C7814" s="8" t="e">
        <f>VLOOKUP(A:A,'ITEM LIST'!A:C,3,0)</f>
        <v>#N/A</v>
      </c>
      <c r="D7814" s="6">
        <f t="shared" ref="D7814:D7877" si="123">B7814</f>
        <v>0</v>
      </c>
    </row>
    <row r="7815" spans="3:4" ht="15" x14ac:dyDescent="0.25">
      <c r="C7815" s="8" t="e">
        <f>VLOOKUP(A:A,'ITEM LIST'!A:C,3,0)</f>
        <v>#N/A</v>
      </c>
      <c r="D7815" s="6">
        <f t="shared" si="123"/>
        <v>0</v>
      </c>
    </row>
    <row r="7816" spans="3:4" ht="15" x14ac:dyDescent="0.25">
      <c r="C7816" s="8" t="e">
        <f>VLOOKUP(A:A,'ITEM LIST'!A:C,3,0)</f>
        <v>#N/A</v>
      </c>
      <c r="D7816" s="6">
        <f t="shared" si="123"/>
        <v>0</v>
      </c>
    </row>
    <row r="7817" spans="3:4" ht="15" x14ac:dyDescent="0.25">
      <c r="C7817" s="8" t="e">
        <f>VLOOKUP(A:A,'ITEM LIST'!A:C,3,0)</f>
        <v>#N/A</v>
      </c>
      <c r="D7817" s="6">
        <f t="shared" si="123"/>
        <v>0</v>
      </c>
    </row>
    <row r="7818" spans="3:4" ht="15" x14ac:dyDescent="0.25">
      <c r="C7818" s="8" t="e">
        <f>VLOOKUP(A:A,'ITEM LIST'!A:C,3,0)</f>
        <v>#N/A</v>
      </c>
      <c r="D7818" s="6">
        <f t="shared" si="123"/>
        <v>0</v>
      </c>
    </row>
    <row r="7819" spans="3:4" ht="15" x14ac:dyDescent="0.25">
      <c r="C7819" s="8" t="e">
        <f>VLOOKUP(A:A,'ITEM LIST'!A:C,3,0)</f>
        <v>#N/A</v>
      </c>
      <c r="D7819" s="6">
        <f t="shared" si="123"/>
        <v>0</v>
      </c>
    </row>
    <row r="7820" spans="3:4" ht="15" x14ac:dyDescent="0.25">
      <c r="C7820" s="8" t="e">
        <f>VLOOKUP(A:A,'ITEM LIST'!A:C,3,0)</f>
        <v>#N/A</v>
      </c>
      <c r="D7820" s="6">
        <f t="shared" si="123"/>
        <v>0</v>
      </c>
    </row>
    <row r="7821" spans="3:4" ht="15" x14ac:dyDescent="0.25">
      <c r="C7821" s="8" t="e">
        <f>VLOOKUP(A:A,'ITEM LIST'!A:C,3,0)</f>
        <v>#N/A</v>
      </c>
      <c r="D7821" s="6">
        <f t="shared" si="123"/>
        <v>0</v>
      </c>
    </row>
    <row r="7822" spans="3:4" ht="15" x14ac:dyDescent="0.25">
      <c r="C7822" s="8" t="e">
        <f>VLOOKUP(A:A,'ITEM LIST'!A:C,3,0)</f>
        <v>#N/A</v>
      </c>
      <c r="D7822" s="6">
        <f t="shared" si="123"/>
        <v>0</v>
      </c>
    </row>
    <row r="7823" spans="3:4" ht="15" x14ac:dyDescent="0.25">
      <c r="C7823" s="8" t="e">
        <f>VLOOKUP(A:A,'ITEM LIST'!A:C,3,0)</f>
        <v>#N/A</v>
      </c>
      <c r="D7823" s="6">
        <f t="shared" si="123"/>
        <v>0</v>
      </c>
    </row>
    <row r="7824" spans="3:4" ht="15" x14ac:dyDescent="0.25">
      <c r="C7824" s="8" t="e">
        <f>VLOOKUP(A:A,'ITEM LIST'!A:C,3,0)</f>
        <v>#N/A</v>
      </c>
      <c r="D7824" s="6">
        <f t="shared" si="123"/>
        <v>0</v>
      </c>
    </row>
    <row r="7825" spans="3:4" ht="15" x14ac:dyDescent="0.25">
      <c r="C7825" s="8" t="e">
        <f>VLOOKUP(A:A,'ITEM LIST'!A:C,3,0)</f>
        <v>#N/A</v>
      </c>
      <c r="D7825" s="6">
        <f t="shared" si="123"/>
        <v>0</v>
      </c>
    </row>
    <row r="7826" spans="3:4" ht="15" x14ac:dyDescent="0.25">
      <c r="C7826" s="8" t="e">
        <f>VLOOKUP(A:A,'ITEM LIST'!A:C,3,0)</f>
        <v>#N/A</v>
      </c>
      <c r="D7826" s="6">
        <f t="shared" si="123"/>
        <v>0</v>
      </c>
    </row>
    <row r="7827" spans="3:4" ht="15" x14ac:dyDescent="0.25">
      <c r="C7827" s="8" t="e">
        <f>VLOOKUP(A:A,'ITEM LIST'!A:C,3,0)</f>
        <v>#N/A</v>
      </c>
      <c r="D7827" s="6">
        <f t="shared" si="123"/>
        <v>0</v>
      </c>
    </row>
    <row r="7828" spans="3:4" ht="15" x14ac:dyDescent="0.25">
      <c r="C7828" s="8" t="e">
        <f>VLOOKUP(A:A,'ITEM LIST'!A:C,3,0)</f>
        <v>#N/A</v>
      </c>
      <c r="D7828" s="6">
        <f t="shared" si="123"/>
        <v>0</v>
      </c>
    </row>
    <row r="7829" spans="3:4" ht="15" x14ac:dyDescent="0.25">
      <c r="C7829" s="8" t="e">
        <f>VLOOKUP(A:A,'ITEM LIST'!A:C,3,0)</f>
        <v>#N/A</v>
      </c>
      <c r="D7829" s="6">
        <f t="shared" si="123"/>
        <v>0</v>
      </c>
    </row>
    <row r="7830" spans="3:4" ht="15" x14ac:dyDescent="0.25">
      <c r="C7830" s="8" t="e">
        <f>VLOOKUP(A:A,'ITEM LIST'!A:C,3,0)</f>
        <v>#N/A</v>
      </c>
      <c r="D7830" s="6">
        <f t="shared" si="123"/>
        <v>0</v>
      </c>
    </row>
    <row r="7831" spans="3:4" ht="15" x14ac:dyDescent="0.25">
      <c r="C7831" s="8" t="e">
        <f>VLOOKUP(A:A,'ITEM LIST'!A:C,3,0)</f>
        <v>#N/A</v>
      </c>
      <c r="D7831" s="6">
        <f t="shared" si="123"/>
        <v>0</v>
      </c>
    </row>
    <row r="7832" spans="3:4" ht="15" x14ac:dyDescent="0.25">
      <c r="C7832" s="8" t="e">
        <f>VLOOKUP(A:A,'ITEM LIST'!A:C,3,0)</f>
        <v>#N/A</v>
      </c>
      <c r="D7832" s="6">
        <f t="shared" si="123"/>
        <v>0</v>
      </c>
    </row>
    <row r="7833" spans="3:4" ht="15" x14ac:dyDescent="0.25">
      <c r="C7833" s="8" t="e">
        <f>VLOOKUP(A:A,'ITEM LIST'!A:C,3,0)</f>
        <v>#N/A</v>
      </c>
      <c r="D7833" s="6">
        <f t="shared" si="123"/>
        <v>0</v>
      </c>
    </row>
    <row r="7834" spans="3:4" ht="15" x14ac:dyDescent="0.25">
      <c r="C7834" s="8" t="e">
        <f>VLOOKUP(A:A,'ITEM LIST'!A:C,3,0)</f>
        <v>#N/A</v>
      </c>
      <c r="D7834" s="6">
        <f t="shared" si="123"/>
        <v>0</v>
      </c>
    </row>
    <row r="7835" spans="3:4" ht="15" x14ac:dyDescent="0.25">
      <c r="C7835" s="8" t="e">
        <f>VLOOKUP(A:A,'ITEM LIST'!A:C,3,0)</f>
        <v>#N/A</v>
      </c>
      <c r="D7835" s="6">
        <f t="shared" si="123"/>
        <v>0</v>
      </c>
    </row>
    <row r="7836" spans="3:4" ht="15" x14ac:dyDescent="0.25">
      <c r="C7836" s="8" t="e">
        <f>VLOOKUP(A:A,'ITEM LIST'!A:C,3,0)</f>
        <v>#N/A</v>
      </c>
      <c r="D7836" s="6">
        <f t="shared" si="123"/>
        <v>0</v>
      </c>
    </row>
    <row r="7837" spans="3:4" ht="15" x14ac:dyDescent="0.25">
      <c r="C7837" s="8" t="e">
        <f>VLOOKUP(A:A,'ITEM LIST'!A:C,3,0)</f>
        <v>#N/A</v>
      </c>
      <c r="D7837" s="6">
        <f t="shared" si="123"/>
        <v>0</v>
      </c>
    </row>
    <row r="7838" spans="3:4" ht="15" x14ac:dyDescent="0.25">
      <c r="C7838" s="8" t="e">
        <f>VLOOKUP(A:A,'ITEM LIST'!A:C,3,0)</f>
        <v>#N/A</v>
      </c>
      <c r="D7838" s="6">
        <f t="shared" si="123"/>
        <v>0</v>
      </c>
    </row>
    <row r="7839" spans="3:4" ht="15" x14ac:dyDescent="0.25">
      <c r="C7839" s="8" t="e">
        <f>VLOOKUP(A:A,'ITEM LIST'!A:C,3,0)</f>
        <v>#N/A</v>
      </c>
      <c r="D7839" s="6">
        <f t="shared" si="123"/>
        <v>0</v>
      </c>
    </row>
    <row r="7840" spans="3:4" ht="15" x14ac:dyDescent="0.25">
      <c r="C7840" s="8" t="e">
        <f>VLOOKUP(A:A,'ITEM LIST'!A:C,3,0)</f>
        <v>#N/A</v>
      </c>
      <c r="D7840" s="6">
        <f t="shared" si="123"/>
        <v>0</v>
      </c>
    </row>
    <row r="7841" spans="3:4" ht="15" x14ac:dyDescent="0.25">
      <c r="C7841" s="8" t="e">
        <f>VLOOKUP(A:A,'ITEM LIST'!A:C,3,0)</f>
        <v>#N/A</v>
      </c>
      <c r="D7841" s="6">
        <f t="shared" si="123"/>
        <v>0</v>
      </c>
    </row>
    <row r="7842" spans="3:4" ht="15" x14ac:dyDescent="0.25">
      <c r="C7842" s="8" t="e">
        <f>VLOOKUP(A:A,'ITEM LIST'!A:C,3,0)</f>
        <v>#N/A</v>
      </c>
      <c r="D7842" s="6">
        <f t="shared" si="123"/>
        <v>0</v>
      </c>
    </row>
    <row r="7843" spans="3:4" ht="15" x14ac:dyDescent="0.25">
      <c r="C7843" s="8" t="e">
        <f>VLOOKUP(A:A,'ITEM LIST'!A:C,3,0)</f>
        <v>#N/A</v>
      </c>
      <c r="D7843" s="6">
        <f t="shared" si="123"/>
        <v>0</v>
      </c>
    </row>
    <row r="7844" spans="3:4" ht="15" x14ac:dyDescent="0.25">
      <c r="C7844" s="8" t="e">
        <f>VLOOKUP(A:A,'ITEM LIST'!A:C,3,0)</f>
        <v>#N/A</v>
      </c>
      <c r="D7844" s="6">
        <f t="shared" si="123"/>
        <v>0</v>
      </c>
    </row>
    <row r="7845" spans="3:4" ht="15" x14ac:dyDescent="0.25">
      <c r="C7845" s="8" t="e">
        <f>VLOOKUP(A:A,'ITEM LIST'!A:C,3,0)</f>
        <v>#N/A</v>
      </c>
      <c r="D7845" s="6">
        <f t="shared" si="123"/>
        <v>0</v>
      </c>
    </row>
    <row r="7846" spans="3:4" ht="15" x14ac:dyDescent="0.25">
      <c r="C7846" s="8" t="e">
        <f>VLOOKUP(A:A,'ITEM LIST'!A:C,3,0)</f>
        <v>#N/A</v>
      </c>
      <c r="D7846" s="6">
        <f t="shared" si="123"/>
        <v>0</v>
      </c>
    </row>
    <row r="7847" spans="3:4" ht="15" x14ac:dyDescent="0.25">
      <c r="C7847" s="8" t="e">
        <f>VLOOKUP(A:A,'ITEM LIST'!A:C,3,0)</f>
        <v>#N/A</v>
      </c>
      <c r="D7847" s="6">
        <f t="shared" si="123"/>
        <v>0</v>
      </c>
    </row>
    <row r="7848" spans="3:4" ht="15" x14ac:dyDescent="0.25">
      <c r="C7848" s="8" t="e">
        <f>VLOOKUP(A:A,'ITEM LIST'!A:C,3,0)</f>
        <v>#N/A</v>
      </c>
      <c r="D7848" s="6">
        <f t="shared" si="123"/>
        <v>0</v>
      </c>
    </row>
    <row r="7849" spans="3:4" ht="15" x14ac:dyDescent="0.25">
      <c r="C7849" s="8" t="e">
        <f>VLOOKUP(A:A,'ITEM LIST'!A:C,3,0)</f>
        <v>#N/A</v>
      </c>
      <c r="D7849" s="6">
        <f t="shared" si="123"/>
        <v>0</v>
      </c>
    </row>
    <row r="7850" spans="3:4" ht="15" x14ac:dyDescent="0.25">
      <c r="C7850" s="8" t="e">
        <f>VLOOKUP(A:A,'ITEM LIST'!A:C,3,0)</f>
        <v>#N/A</v>
      </c>
      <c r="D7850" s="6">
        <f t="shared" si="123"/>
        <v>0</v>
      </c>
    </row>
    <row r="7851" spans="3:4" ht="15" x14ac:dyDescent="0.25">
      <c r="C7851" s="8" t="e">
        <f>VLOOKUP(A:A,'ITEM LIST'!A:C,3,0)</f>
        <v>#N/A</v>
      </c>
      <c r="D7851" s="6">
        <f t="shared" si="123"/>
        <v>0</v>
      </c>
    </row>
    <row r="7852" spans="3:4" ht="15" x14ac:dyDescent="0.25">
      <c r="C7852" s="8" t="e">
        <f>VLOOKUP(A:A,'ITEM LIST'!A:C,3,0)</f>
        <v>#N/A</v>
      </c>
      <c r="D7852" s="6">
        <f t="shared" si="123"/>
        <v>0</v>
      </c>
    </row>
    <row r="7853" spans="3:4" ht="15" x14ac:dyDescent="0.25">
      <c r="C7853" s="8" t="e">
        <f>VLOOKUP(A:A,'ITEM LIST'!A:C,3,0)</f>
        <v>#N/A</v>
      </c>
      <c r="D7853" s="6">
        <f t="shared" si="123"/>
        <v>0</v>
      </c>
    </row>
    <row r="7854" spans="3:4" ht="15" x14ac:dyDescent="0.25">
      <c r="C7854" s="8" t="e">
        <f>VLOOKUP(A:A,'ITEM LIST'!A:C,3,0)</f>
        <v>#N/A</v>
      </c>
      <c r="D7854" s="6">
        <f t="shared" si="123"/>
        <v>0</v>
      </c>
    </row>
    <row r="7855" spans="3:4" ht="15" x14ac:dyDescent="0.25">
      <c r="C7855" s="8" t="e">
        <f>VLOOKUP(A:A,'ITEM LIST'!A:C,3,0)</f>
        <v>#N/A</v>
      </c>
      <c r="D7855" s="6">
        <f t="shared" si="123"/>
        <v>0</v>
      </c>
    </row>
    <row r="7856" spans="3:4" ht="15" x14ac:dyDescent="0.25">
      <c r="C7856" s="8" t="e">
        <f>VLOOKUP(A:A,'ITEM LIST'!A:C,3,0)</f>
        <v>#N/A</v>
      </c>
      <c r="D7856" s="6">
        <f t="shared" si="123"/>
        <v>0</v>
      </c>
    </row>
    <row r="7857" spans="3:4" ht="15" x14ac:dyDescent="0.25">
      <c r="C7857" s="8" t="e">
        <f>VLOOKUP(A:A,'ITEM LIST'!A:C,3,0)</f>
        <v>#N/A</v>
      </c>
      <c r="D7857" s="6">
        <f t="shared" si="123"/>
        <v>0</v>
      </c>
    </row>
    <row r="7858" spans="3:4" ht="15" x14ac:dyDescent="0.25">
      <c r="C7858" s="8" t="e">
        <f>VLOOKUP(A:A,'ITEM LIST'!A:C,3,0)</f>
        <v>#N/A</v>
      </c>
      <c r="D7858" s="6">
        <f t="shared" si="123"/>
        <v>0</v>
      </c>
    </row>
    <row r="7859" spans="3:4" ht="15" x14ac:dyDescent="0.25">
      <c r="C7859" s="8" t="e">
        <f>VLOOKUP(A:A,'ITEM LIST'!A:C,3,0)</f>
        <v>#N/A</v>
      </c>
      <c r="D7859" s="6">
        <f t="shared" si="123"/>
        <v>0</v>
      </c>
    </row>
    <row r="7860" spans="3:4" ht="15" x14ac:dyDescent="0.25">
      <c r="C7860" s="8" t="e">
        <f>VLOOKUP(A:A,'ITEM LIST'!A:C,3,0)</f>
        <v>#N/A</v>
      </c>
      <c r="D7860" s="6">
        <f t="shared" si="123"/>
        <v>0</v>
      </c>
    </row>
    <row r="7861" spans="3:4" ht="15" x14ac:dyDescent="0.25">
      <c r="C7861" s="8" t="e">
        <f>VLOOKUP(A:A,'ITEM LIST'!A:C,3,0)</f>
        <v>#N/A</v>
      </c>
      <c r="D7861" s="6">
        <f t="shared" si="123"/>
        <v>0</v>
      </c>
    </row>
    <row r="7862" spans="3:4" ht="15" x14ac:dyDescent="0.25">
      <c r="C7862" s="8" t="e">
        <f>VLOOKUP(A:A,'ITEM LIST'!A:C,3,0)</f>
        <v>#N/A</v>
      </c>
      <c r="D7862" s="6">
        <f t="shared" si="123"/>
        <v>0</v>
      </c>
    </row>
    <row r="7863" spans="3:4" ht="15" x14ac:dyDescent="0.25">
      <c r="C7863" s="8" t="e">
        <f>VLOOKUP(A:A,'ITEM LIST'!A:C,3,0)</f>
        <v>#N/A</v>
      </c>
      <c r="D7863" s="6">
        <f t="shared" si="123"/>
        <v>0</v>
      </c>
    </row>
    <row r="7864" spans="3:4" ht="15" x14ac:dyDescent="0.25">
      <c r="C7864" s="8" t="e">
        <f>VLOOKUP(A:A,'ITEM LIST'!A:C,3,0)</f>
        <v>#N/A</v>
      </c>
      <c r="D7864" s="6">
        <f t="shared" si="123"/>
        <v>0</v>
      </c>
    </row>
    <row r="7865" spans="3:4" ht="15" x14ac:dyDescent="0.25">
      <c r="C7865" s="8" t="e">
        <f>VLOOKUP(A:A,'ITEM LIST'!A:C,3,0)</f>
        <v>#N/A</v>
      </c>
      <c r="D7865" s="6">
        <f t="shared" si="123"/>
        <v>0</v>
      </c>
    </row>
    <row r="7866" spans="3:4" ht="15" x14ac:dyDescent="0.25">
      <c r="C7866" s="8" t="e">
        <f>VLOOKUP(A:A,'ITEM LIST'!A:C,3,0)</f>
        <v>#N/A</v>
      </c>
      <c r="D7866" s="6">
        <f t="shared" si="123"/>
        <v>0</v>
      </c>
    </row>
    <row r="7867" spans="3:4" ht="15" x14ac:dyDescent="0.25">
      <c r="C7867" s="8" t="e">
        <f>VLOOKUP(A:A,'ITEM LIST'!A:C,3,0)</f>
        <v>#N/A</v>
      </c>
      <c r="D7867" s="6">
        <f t="shared" si="123"/>
        <v>0</v>
      </c>
    </row>
    <row r="7868" spans="3:4" ht="15" x14ac:dyDescent="0.25">
      <c r="C7868" s="8" t="e">
        <f>VLOOKUP(A:A,'ITEM LIST'!A:C,3,0)</f>
        <v>#N/A</v>
      </c>
      <c r="D7868" s="6">
        <f t="shared" si="123"/>
        <v>0</v>
      </c>
    </row>
    <row r="7869" spans="3:4" ht="15" x14ac:dyDescent="0.25">
      <c r="C7869" s="8" t="e">
        <f>VLOOKUP(A:A,'ITEM LIST'!A:C,3,0)</f>
        <v>#N/A</v>
      </c>
      <c r="D7869" s="6">
        <f t="shared" si="123"/>
        <v>0</v>
      </c>
    </row>
    <row r="7870" spans="3:4" ht="15" x14ac:dyDescent="0.25">
      <c r="C7870" s="8" t="e">
        <f>VLOOKUP(A:A,'ITEM LIST'!A:C,3,0)</f>
        <v>#N/A</v>
      </c>
      <c r="D7870" s="6">
        <f t="shared" si="123"/>
        <v>0</v>
      </c>
    </row>
    <row r="7871" spans="3:4" ht="15" x14ac:dyDescent="0.25">
      <c r="C7871" s="8" t="e">
        <f>VLOOKUP(A:A,'ITEM LIST'!A:C,3,0)</f>
        <v>#N/A</v>
      </c>
      <c r="D7871" s="6">
        <f t="shared" si="123"/>
        <v>0</v>
      </c>
    </row>
    <row r="7872" spans="3:4" ht="15" x14ac:dyDescent="0.25">
      <c r="C7872" s="8" t="e">
        <f>VLOOKUP(A:A,'ITEM LIST'!A:C,3,0)</f>
        <v>#N/A</v>
      </c>
      <c r="D7872" s="6">
        <f t="shared" si="123"/>
        <v>0</v>
      </c>
    </row>
    <row r="7873" spans="3:4" ht="15" x14ac:dyDescent="0.25">
      <c r="C7873" s="8" t="e">
        <f>VLOOKUP(A:A,'ITEM LIST'!A:C,3,0)</f>
        <v>#N/A</v>
      </c>
      <c r="D7873" s="6">
        <f t="shared" si="123"/>
        <v>0</v>
      </c>
    </row>
    <row r="7874" spans="3:4" ht="15" x14ac:dyDescent="0.25">
      <c r="C7874" s="8" t="e">
        <f>VLOOKUP(A:A,'ITEM LIST'!A:C,3,0)</f>
        <v>#N/A</v>
      </c>
      <c r="D7874" s="6">
        <f t="shared" si="123"/>
        <v>0</v>
      </c>
    </row>
    <row r="7875" spans="3:4" ht="15" x14ac:dyDescent="0.25">
      <c r="C7875" s="8" t="e">
        <f>VLOOKUP(A:A,'ITEM LIST'!A:C,3,0)</f>
        <v>#N/A</v>
      </c>
      <c r="D7875" s="6">
        <f t="shared" si="123"/>
        <v>0</v>
      </c>
    </row>
    <row r="7876" spans="3:4" ht="15" x14ac:dyDescent="0.25">
      <c r="C7876" s="8" t="e">
        <f>VLOOKUP(A:A,'ITEM LIST'!A:C,3,0)</f>
        <v>#N/A</v>
      </c>
      <c r="D7876" s="6">
        <f t="shared" si="123"/>
        <v>0</v>
      </c>
    </row>
    <row r="7877" spans="3:4" ht="15" x14ac:dyDescent="0.25">
      <c r="C7877" s="8" t="e">
        <f>VLOOKUP(A:A,'ITEM LIST'!A:C,3,0)</f>
        <v>#N/A</v>
      </c>
      <c r="D7877" s="6">
        <f t="shared" si="123"/>
        <v>0</v>
      </c>
    </row>
    <row r="7878" spans="3:4" ht="15" x14ac:dyDescent="0.25">
      <c r="C7878" s="8" t="e">
        <f>VLOOKUP(A:A,'ITEM LIST'!A:C,3,0)</f>
        <v>#N/A</v>
      </c>
      <c r="D7878" s="6">
        <f t="shared" ref="D7878:D7941" si="124">B7878</f>
        <v>0</v>
      </c>
    </row>
    <row r="7879" spans="3:4" ht="15" x14ac:dyDescent="0.25">
      <c r="C7879" s="8" t="e">
        <f>VLOOKUP(A:A,'ITEM LIST'!A:C,3,0)</f>
        <v>#N/A</v>
      </c>
      <c r="D7879" s="6">
        <f t="shared" si="124"/>
        <v>0</v>
      </c>
    </row>
    <row r="7880" spans="3:4" ht="15" x14ac:dyDescent="0.25">
      <c r="C7880" s="8" t="e">
        <f>VLOOKUP(A:A,'ITEM LIST'!A:C,3,0)</f>
        <v>#N/A</v>
      </c>
      <c r="D7880" s="6">
        <f t="shared" si="124"/>
        <v>0</v>
      </c>
    </row>
    <row r="7881" spans="3:4" ht="15" x14ac:dyDescent="0.25">
      <c r="C7881" s="8" t="e">
        <f>VLOOKUP(A:A,'ITEM LIST'!A:C,3,0)</f>
        <v>#N/A</v>
      </c>
      <c r="D7881" s="6">
        <f t="shared" si="124"/>
        <v>0</v>
      </c>
    </row>
    <row r="7882" spans="3:4" ht="15" x14ac:dyDescent="0.25">
      <c r="C7882" s="8" t="e">
        <f>VLOOKUP(A:A,'ITEM LIST'!A:C,3,0)</f>
        <v>#N/A</v>
      </c>
      <c r="D7882" s="6">
        <f t="shared" si="124"/>
        <v>0</v>
      </c>
    </row>
    <row r="7883" spans="3:4" ht="15" x14ac:dyDescent="0.25">
      <c r="C7883" s="8" t="e">
        <f>VLOOKUP(A:A,'ITEM LIST'!A:C,3,0)</f>
        <v>#N/A</v>
      </c>
      <c r="D7883" s="6">
        <f t="shared" si="124"/>
        <v>0</v>
      </c>
    </row>
    <row r="7884" spans="3:4" ht="15" x14ac:dyDescent="0.25">
      <c r="C7884" s="8" t="e">
        <f>VLOOKUP(A:A,'ITEM LIST'!A:C,3,0)</f>
        <v>#N/A</v>
      </c>
      <c r="D7884" s="6">
        <f t="shared" si="124"/>
        <v>0</v>
      </c>
    </row>
    <row r="7885" spans="3:4" ht="15" x14ac:dyDescent="0.25">
      <c r="C7885" s="8" t="e">
        <f>VLOOKUP(A:A,'ITEM LIST'!A:C,3,0)</f>
        <v>#N/A</v>
      </c>
      <c r="D7885" s="6">
        <f t="shared" si="124"/>
        <v>0</v>
      </c>
    </row>
    <row r="7886" spans="3:4" ht="15" x14ac:dyDescent="0.25">
      <c r="C7886" s="8" t="e">
        <f>VLOOKUP(A:A,'ITEM LIST'!A:C,3,0)</f>
        <v>#N/A</v>
      </c>
      <c r="D7886" s="6">
        <f t="shared" si="124"/>
        <v>0</v>
      </c>
    </row>
    <row r="7887" spans="3:4" ht="15" x14ac:dyDescent="0.25">
      <c r="C7887" s="8" t="e">
        <f>VLOOKUP(A:A,'ITEM LIST'!A:C,3,0)</f>
        <v>#N/A</v>
      </c>
      <c r="D7887" s="6">
        <f t="shared" si="124"/>
        <v>0</v>
      </c>
    </row>
    <row r="7888" spans="3:4" ht="15" x14ac:dyDescent="0.25">
      <c r="C7888" s="8" t="e">
        <f>VLOOKUP(A:A,'ITEM LIST'!A:C,3,0)</f>
        <v>#N/A</v>
      </c>
      <c r="D7888" s="6">
        <f t="shared" si="124"/>
        <v>0</v>
      </c>
    </row>
    <row r="7889" spans="3:4" ht="15" x14ac:dyDescent="0.25">
      <c r="C7889" s="8" t="e">
        <f>VLOOKUP(A:A,'ITEM LIST'!A:C,3,0)</f>
        <v>#N/A</v>
      </c>
      <c r="D7889" s="6">
        <f t="shared" si="124"/>
        <v>0</v>
      </c>
    </row>
    <row r="7890" spans="3:4" ht="15" x14ac:dyDescent="0.25">
      <c r="C7890" s="8" t="e">
        <f>VLOOKUP(A:A,'ITEM LIST'!A:C,3,0)</f>
        <v>#N/A</v>
      </c>
      <c r="D7890" s="6">
        <f t="shared" si="124"/>
        <v>0</v>
      </c>
    </row>
    <row r="7891" spans="3:4" ht="15" x14ac:dyDescent="0.25">
      <c r="C7891" s="8" t="e">
        <f>VLOOKUP(A:A,'ITEM LIST'!A:C,3,0)</f>
        <v>#N/A</v>
      </c>
      <c r="D7891" s="6">
        <f t="shared" si="124"/>
        <v>0</v>
      </c>
    </row>
    <row r="7892" spans="3:4" ht="15" x14ac:dyDescent="0.25">
      <c r="C7892" s="8" t="e">
        <f>VLOOKUP(A:A,'ITEM LIST'!A:C,3,0)</f>
        <v>#N/A</v>
      </c>
      <c r="D7892" s="6">
        <f t="shared" si="124"/>
        <v>0</v>
      </c>
    </row>
    <row r="7893" spans="3:4" ht="15" x14ac:dyDescent="0.25">
      <c r="C7893" s="8" t="e">
        <f>VLOOKUP(A:A,'ITEM LIST'!A:C,3,0)</f>
        <v>#N/A</v>
      </c>
      <c r="D7893" s="6">
        <f t="shared" si="124"/>
        <v>0</v>
      </c>
    </row>
    <row r="7894" spans="3:4" ht="15" x14ac:dyDescent="0.25">
      <c r="C7894" s="8" t="e">
        <f>VLOOKUP(A:A,'ITEM LIST'!A:C,3,0)</f>
        <v>#N/A</v>
      </c>
      <c r="D7894" s="6">
        <f t="shared" si="124"/>
        <v>0</v>
      </c>
    </row>
    <row r="7895" spans="3:4" ht="15" x14ac:dyDescent="0.25">
      <c r="C7895" s="8" t="e">
        <f>VLOOKUP(A:A,'ITEM LIST'!A:C,3,0)</f>
        <v>#N/A</v>
      </c>
      <c r="D7895" s="6">
        <f t="shared" si="124"/>
        <v>0</v>
      </c>
    </row>
    <row r="7896" spans="3:4" ht="15" x14ac:dyDescent="0.25">
      <c r="C7896" s="8" t="e">
        <f>VLOOKUP(A:A,'ITEM LIST'!A:C,3,0)</f>
        <v>#N/A</v>
      </c>
      <c r="D7896" s="6">
        <f t="shared" si="124"/>
        <v>0</v>
      </c>
    </row>
    <row r="7897" spans="3:4" ht="15" x14ac:dyDescent="0.25">
      <c r="C7897" s="8" t="e">
        <f>VLOOKUP(A:A,'ITEM LIST'!A:C,3,0)</f>
        <v>#N/A</v>
      </c>
      <c r="D7897" s="6">
        <f t="shared" si="124"/>
        <v>0</v>
      </c>
    </row>
    <row r="7898" spans="3:4" ht="15" x14ac:dyDescent="0.25">
      <c r="C7898" s="8" t="e">
        <f>VLOOKUP(A:A,'ITEM LIST'!A:C,3,0)</f>
        <v>#N/A</v>
      </c>
      <c r="D7898" s="6">
        <f t="shared" si="124"/>
        <v>0</v>
      </c>
    </row>
    <row r="7899" spans="3:4" ht="15" x14ac:dyDescent="0.25">
      <c r="C7899" s="8" t="e">
        <f>VLOOKUP(A:A,'ITEM LIST'!A:C,3,0)</f>
        <v>#N/A</v>
      </c>
      <c r="D7899" s="6">
        <f t="shared" si="124"/>
        <v>0</v>
      </c>
    </row>
    <row r="7900" spans="3:4" ht="15" x14ac:dyDescent="0.25">
      <c r="C7900" s="8" t="e">
        <f>VLOOKUP(A:A,'ITEM LIST'!A:C,3,0)</f>
        <v>#N/A</v>
      </c>
      <c r="D7900" s="6">
        <f t="shared" si="124"/>
        <v>0</v>
      </c>
    </row>
    <row r="7901" spans="3:4" ht="15" x14ac:dyDescent="0.25">
      <c r="C7901" s="8" t="e">
        <f>VLOOKUP(A:A,'ITEM LIST'!A:C,3,0)</f>
        <v>#N/A</v>
      </c>
      <c r="D7901" s="6">
        <f t="shared" si="124"/>
        <v>0</v>
      </c>
    </row>
    <row r="7902" spans="3:4" ht="15" x14ac:dyDescent="0.25">
      <c r="C7902" s="8" t="e">
        <f>VLOOKUP(A:A,'ITEM LIST'!A:C,3,0)</f>
        <v>#N/A</v>
      </c>
      <c r="D7902" s="6">
        <f t="shared" si="124"/>
        <v>0</v>
      </c>
    </row>
    <row r="7903" spans="3:4" ht="15" x14ac:dyDescent="0.25">
      <c r="C7903" s="8" t="e">
        <f>VLOOKUP(A:A,'ITEM LIST'!A:C,3,0)</f>
        <v>#N/A</v>
      </c>
      <c r="D7903" s="6">
        <f t="shared" si="124"/>
        <v>0</v>
      </c>
    </row>
    <row r="7904" spans="3:4" ht="15" x14ac:dyDescent="0.25">
      <c r="C7904" s="8" t="e">
        <f>VLOOKUP(A:A,'ITEM LIST'!A:C,3,0)</f>
        <v>#N/A</v>
      </c>
      <c r="D7904" s="6">
        <f t="shared" si="124"/>
        <v>0</v>
      </c>
    </row>
    <row r="7905" spans="3:4" ht="15" x14ac:dyDescent="0.25">
      <c r="C7905" s="8" t="e">
        <f>VLOOKUP(A:A,'ITEM LIST'!A:C,3,0)</f>
        <v>#N/A</v>
      </c>
      <c r="D7905" s="6">
        <f t="shared" si="124"/>
        <v>0</v>
      </c>
    </row>
    <row r="7906" spans="3:4" ht="15" x14ac:dyDescent="0.25">
      <c r="C7906" s="8" t="e">
        <f>VLOOKUP(A:A,'ITEM LIST'!A:C,3,0)</f>
        <v>#N/A</v>
      </c>
      <c r="D7906" s="6">
        <f t="shared" si="124"/>
        <v>0</v>
      </c>
    </row>
    <row r="7907" spans="3:4" ht="15" x14ac:dyDescent="0.25">
      <c r="C7907" s="8" t="e">
        <f>VLOOKUP(A:A,'ITEM LIST'!A:C,3,0)</f>
        <v>#N/A</v>
      </c>
      <c r="D7907" s="6">
        <f t="shared" si="124"/>
        <v>0</v>
      </c>
    </row>
    <row r="7908" spans="3:4" ht="15" x14ac:dyDescent="0.25">
      <c r="C7908" s="8" t="e">
        <f>VLOOKUP(A:A,'ITEM LIST'!A:C,3,0)</f>
        <v>#N/A</v>
      </c>
      <c r="D7908" s="6">
        <f t="shared" si="124"/>
        <v>0</v>
      </c>
    </row>
    <row r="7909" spans="3:4" ht="15" x14ac:dyDescent="0.25">
      <c r="C7909" s="8" t="e">
        <f>VLOOKUP(A:A,'ITEM LIST'!A:C,3,0)</f>
        <v>#N/A</v>
      </c>
      <c r="D7909" s="6">
        <f t="shared" si="124"/>
        <v>0</v>
      </c>
    </row>
    <row r="7910" spans="3:4" ht="15" x14ac:dyDescent="0.25">
      <c r="C7910" s="8" t="e">
        <f>VLOOKUP(A:A,'ITEM LIST'!A:C,3,0)</f>
        <v>#N/A</v>
      </c>
      <c r="D7910" s="6">
        <f t="shared" si="124"/>
        <v>0</v>
      </c>
    </row>
    <row r="7911" spans="3:4" ht="15" x14ac:dyDescent="0.25">
      <c r="C7911" s="8" t="e">
        <f>VLOOKUP(A:A,'ITEM LIST'!A:C,3,0)</f>
        <v>#N/A</v>
      </c>
      <c r="D7911" s="6">
        <f t="shared" si="124"/>
        <v>0</v>
      </c>
    </row>
    <row r="7912" spans="3:4" ht="15" x14ac:dyDescent="0.25">
      <c r="C7912" s="8" t="e">
        <f>VLOOKUP(A:A,'ITEM LIST'!A:C,3,0)</f>
        <v>#N/A</v>
      </c>
      <c r="D7912" s="6">
        <f t="shared" si="124"/>
        <v>0</v>
      </c>
    </row>
    <row r="7913" spans="3:4" ht="15" x14ac:dyDescent="0.25">
      <c r="C7913" s="8" t="e">
        <f>VLOOKUP(A:A,'ITEM LIST'!A:C,3,0)</f>
        <v>#N/A</v>
      </c>
      <c r="D7913" s="6">
        <f t="shared" si="124"/>
        <v>0</v>
      </c>
    </row>
    <row r="7914" spans="3:4" ht="15" x14ac:dyDescent="0.25">
      <c r="C7914" s="8" t="e">
        <f>VLOOKUP(A:A,'ITEM LIST'!A:C,3,0)</f>
        <v>#N/A</v>
      </c>
      <c r="D7914" s="6">
        <f t="shared" si="124"/>
        <v>0</v>
      </c>
    </row>
    <row r="7915" spans="3:4" ht="15" x14ac:dyDescent="0.25">
      <c r="C7915" s="8" t="e">
        <f>VLOOKUP(A:A,'ITEM LIST'!A:C,3,0)</f>
        <v>#N/A</v>
      </c>
      <c r="D7915" s="6">
        <f t="shared" si="124"/>
        <v>0</v>
      </c>
    </row>
    <row r="7916" spans="3:4" ht="15" x14ac:dyDescent="0.25">
      <c r="C7916" s="8" t="e">
        <f>VLOOKUP(A:A,'ITEM LIST'!A:C,3,0)</f>
        <v>#N/A</v>
      </c>
      <c r="D7916" s="6">
        <f t="shared" si="124"/>
        <v>0</v>
      </c>
    </row>
    <row r="7917" spans="3:4" ht="15" x14ac:dyDescent="0.25">
      <c r="C7917" s="8" t="e">
        <f>VLOOKUP(A:A,'ITEM LIST'!A:C,3,0)</f>
        <v>#N/A</v>
      </c>
      <c r="D7917" s="6">
        <f t="shared" si="124"/>
        <v>0</v>
      </c>
    </row>
    <row r="7918" spans="3:4" ht="15" x14ac:dyDescent="0.25">
      <c r="C7918" s="8" t="e">
        <f>VLOOKUP(A:A,'ITEM LIST'!A:C,3,0)</f>
        <v>#N/A</v>
      </c>
      <c r="D7918" s="6">
        <f t="shared" si="124"/>
        <v>0</v>
      </c>
    </row>
    <row r="7919" spans="3:4" ht="15" x14ac:dyDescent="0.25">
      <c r="C7919" s="8" t="e">
        <f>VLOOKUP(A:A,'ITEM LIST'!A:C,3,0)</f>
        <v>#N/A</v>
      </c>
      <c r="D7919" s="6">
        <f t="shared" si="124"/>
        <v>0</v>
      </c>
    </row>
    <row r="7920" spans="3:4" ht="15" x14ac:dyDescent="0.25">
      <c r="C7920" s="8" t="e">
        <f>VLOOKUP(A:A,'ITEM LIST'!A:C,3,0)</f>
        <v>#N/A</v>
      </c>
      <c r="D7920" s="6">
        <f t="shared" si="124"/>
        <v>0</v>
      </c>
    </row>
    <row r="7921" spans="3:4" ht="15" x14ac:dyDescent="0.25">
      <c r="C7921" s="8" t="e">
        <f>VLOOKUP(A:A,'ITEM LIST'!A:C,3,0)</f>
        <v>#N/A</v>
      </c>
      <c r="D7921" s="6">
        <f t="shared" si="124"/>
        <v>0</v>
      </c>
    </row>
    <row r="7922" spans="3:4" ht="15" x14ac:dyDescent="0.25">
      <c r="C7922" s="8" t="e">
        <f>VLOOKUP(A:A,'ITEM LIST'!A:C,3,0)</f>
        <v>#N/A</v>
      </c>
      <c r="D7922" s="6">
        <f t="shared" si="124"/>
        <v>0</v>
      </c>
    </row>
    <row r="7923" spans="3:4" ht="15" x14ac:dyDescent="0.25">
      <c r="C7923" s="8" t="e">
        <f>VLOOKUP(A:A,'ITEM LIST'!A:C,3,0)</f>
        <v>#N/A</v>
      </c>
      <c r="D7923" s="6">
        <f t="shared" si="124"/>
        <v>0</v>
      </c>
    </row>
    <row r="7924" spans="3:4" ht="15" x14ac:dyDescent="0.25">
      <c r="C7924" s="8" t="e">
        <f>VLOOKUP(A:A,'ITEM LIST'!A:C,3,0)</f>
        <v>#N/A</v>
      </c>
      <c r="D7924" s="6">
        <f t="shared" si="124"/>
        <v>0</v>
      </c>
    </row>
    <row r="7925" spans="3:4" ht="15" x14ac:dyDescent="0.25">
      <c r="C7925" s="8" t="e">
        <f>VLOOKUP(A:A,'ITEM LIST'!A:C,3,0)</f>
        <v>#N/A</v>
      </c>
      <c r="D7925" s="6">
        <f t="shared" si="124"/>
        <v>0</v>
      </c>
    </row>
    <row r="7926" spans="3:4" ht="15" x14ac:dyDescent="0.25">
      <c r="C7926" s="8" t="e">
        <f>VLOOKUP(A:A,'ITEM LIST'!A:C,3,0)</f>
        <v>#N/A</v>
      </c>
      <c r="D7926" s="6">
        <f t="shared" si="124"/>
        <v>0</v>
      </c>
    </row>
    <row r="7927" spans="3:4" ht="15" x14ac:dyDescent="0.25">
      <c r="C7927" s="8" t="e">
        <f>VLOOKUP(A:A,'ITEM LIST'!A:C,3,0)</f>
        <v>#N/A</v>
      </c>
      <c r="D7927" s="6">
        <f t="shared" si="124"/>
        <v>0</v>
      </c>
    </row>
    <row r="7928" spans="3:4" ht="15" x14ac:dyDescent="0.25">
      <c r="C7928" s="8" t="e">
        <f>VLOOKUP(A:A,'ITEM LIST'!A:C,3,0)</f>
        <v>#N/A</v>
      </c>
      <c r="D7928" s="6">
        <f t="shared" si="124"/>
        <v>0</v>
      </c>
    </row>
    <row r="7929" spans="3:4" ht="15" x14ac:dyDescent="0.25">
      <c r="C7929" s="8" t="e">
        <f>VLOOKUP(A:A,'ITEM LIST'!A:C,3,0)</f>
        <v>#N/A</v>
      </c>
      <c r="D7929" s="6">
        <f t="shared" si="124"/>
        <v>0</v>
      </c>
    </row>
    <row r="7930" spans="3:4" ht="15" x14ac:dyDescent="0.25">
      <c r="C7930" s="8" t="e">
        <f>VLOOKUP(A:A,'ITEM LIST'!A:C,3,0)</f>
        <v>#N/A</v>
      </c>
      <c r="D7930" s="6">
        <f t="shared" si="124"/>
        <v>0</v>
      </c>
    </row>
    <row r="7931" spans="3:4" ht="15" x14ac:dyDescent="0.25">
      <c r="C7931" s="8" t="e">
        <f>VLOOKUP(A:A,'ITEM LIST'!A:C,3,0)</f>
        <v>#N/A</v>
      </c>
      <c r="D7931" s="6">
        <f t="shared" si="124"/>
        <v>0</v>
      </c>
    </row>
    <row r="7932" spans="3:4" ht="15" x14ac:dyDescent="0.25">
      <c r="C7932" s="8" t="e">
        <f>VLOOKUP(A:A,'ITEM LIST'!A:C,3,0)</f>
        <v>#N/A</v>
      </c>
      <c r="D7932" s="6">
        <f t="shared" si="124"/>
        <v>0</v>
      </c>
    </row>
    <row r="7933" spans="3:4" ht="15" x14ac:dyDescent="0.25">
      <c r="C7933" s="8" t="e">
        <f>VLOOKUP(A:A,'ITEM LIST'!A:C,3,0)</f>
        <v>#N/A</v>
      </c>
      <c r="D7933" s="6">
        <f t="shared" si="124"/>
        <v>0</v>
      </c>
    </row>
    <row r="7934" spans="3:4" ht="15" x14ac:dyDescent="0.25">
      <c r="C7934" s="8" t="e">
        <f>VLOOKUP(A:A,'ITEM LIST'!A:C,3,0)</f>
        <v>#N/A</v>
      </c>
      <c r="D7934" s="6">
        <f t="shared" si="124"/>
        <v>0</v>
      </c>
    </row>
    <row r="7935" spans="3:4" ht="15" x14ac:dyDescent="0.25">
      <c r="C7935" s="8" t="e">
        <f>VLOOKUP(A:A,'ITEM LIST'!A:C,3,0)</f>
        <v>#N/A</v>
      </c>
      <c r="D7935" s="6">
        <f t="shared" si="124"/>
        <v>0</v>
      </c>
    </row>
    <row r="7936" spans="3:4" ht="15" x14ac:dyDescent="0.25">
      <c r="C7936" s="8" t="e">
        <f>VLOOKUP(A:A,'ITEM LIST'!A:C,3,0)</f>
        <v>#N/A</v>
      </c>
      <c r="D7936" s="6">
        <f t="shared" si="124"/>
        <v>0</v>
      </c>
    </row>
    <row r="7937" spans="3:4" ht="15" x14ac:dyDescent="0.25">
      <c r="C7937" s="8" t="e">
        <f>VLOOKUP(A:A,'ITEM LIST'!A:C,3,0)</f>
        <v>#N/A</v>
      </c>
      <c r="D7937" s="6">
        <f t="shared" si="124"/>
        <v>0</v>
      </c>
    </row>
    <row r="7938" spans="3:4" ht="15" x14ac:dyDescent="0.25">
      <c r="C7938" s="8" t="e">
        <f>VLOOKUP(A:A,'ITEM LIST'!A:C,3,0)</f>
        <v>#N/A</v>
      </c>
      <c r="D7938" s="6">
        <f t="shared" si="124"/>
        <v>0</v>
      </c>
    </row>
    <row r="7939" spans="3:4" ht="15" x14ac:dyDescent="0.25">
      <c r="C7939" s="8" t="e">
        <f>VLOOKUP(A:A,'ITEM LIST'!A:C,3,0)</f>
        <v>#N/A</v>
      </c>
      <c r="D7939" s="6">
        <f t="shared" si="124"/>
        <v>0</v>
      </c>
    </row>
    <row r="7940" spans="3:4" ht="15" x14ac:dyDescent="0.25">
      <c r="C7940" s="8" t="e">
        <f>VLOOKUP(A:A,'ITEM LIST'!A:C,3,0)</f>
        <v>#N/A</v>
      </c>
      <c r="D7940" s="6">
        <f t="shared" si="124"/>
        <v>0</v>
      </c>
    </row>
    <row r="7941" spans="3:4" ht="15" x14ac:dyDescent="0.25">
      <c r="C7941" s="8" t="e">
        <f>VLOOKUP(A:A,'ITEM LIST'!A:C,3,0)</f>
        <v>#N/A</v>
      </c>
      <c r="D7941" s="6">
        <f t="shared" si="124"/>
        <v>0</v>
      </c>
    </row>
    <row r="7942" spans="3:4" ht="15" x14ac:dyDescent="0.25">
      <c r="C7942" s="8" t="e">
        <f>VLOOKUP(A:A,'ITEM LIST'!A:C,3,0)</f>
        <v>#N/A</v>
      </c>
      <c r="D7942" s="6">
        <f t="shared" ref="D7942:D8005" si="125">B7942</f>
        <v>0</v>
      </c>
    </row>
    <row r="7943" spans="3:4" ht="15" x14ac:dyDescent="0.25">
      <c r="C7943" s="8" t="e">
        <f>VLOOKUP(A:A,'ITEM LIST'!A:C,3,0)</f>
        <v>#N/A</v>
      </c>
      <c r="D7943" s="6">
        <f t="shared" si="125"/>
        <v>0</v>
      </c>
    </row>
    <row r="7944" spans="3:4" ht="15" x14ac:dyDescent="0.25">
      <c r="C7944" s="8" t="e">
        <f>VLOOKUP(A:A,'ITEM LIST'!A:C,3,0)</f>
        <v>#N/A</v>
      </c>
      <c r="D7944" s="6">
        <f t="shared" si="125"/>
        <v>0</v>
      </c>
    </row>
    <row r="7945" spans="3:4" ht="15" x14ac:dyDescent="0.25">
      <c r="C7945" s="8" t="e">
        <f>VLOOKUP(A:A,'ITEM LIST'!A:C,3,0)</f>
        <v>#N/A</v>
      </c>
      <c r="D7945" s="6">
        <f t="shared" si="125"/>
        <v>0</v>
      </c>
    </row>
    <row r="7946" spans="3:4" ht="15" x14ac:dyDescent="0.25">
      <c r="C7946" s="8" t="e">
        <f>VLOOKUP(A:A,'ITEM LIST'!A:C,3,0)</f>
        <v>#N/A</v>
      </c>
      <c r="D7946" s="6">
        <f t="shared" si="125"/>
        <v>0</v>
      </c>
    </row>
    <row r="7947" spans="3:4" ht="15" x14ac:dyDescent="0.25">
      <c r="C7947" s="8" t="e">
        <f>VLOOKUP(A:A,'ITEM LIST'!A:C,3,0)</f>
        <v>#N/A</v>
      </c>
      <c r="D7947" s="6">
        <f t="shared" si="125"/>
        <v>0</v>
      </c>
    </row>
    <row r="7948" spans="3:4" ht="15" x14ac:dyDescent="0.25">
      <c r="C7948" s="8" t="e">
        <f>VLOOKUP(A:A,'ITEM LIST'!A:C,3,0)</f>
        <v>#N/A</v>
      </c>
      <c r="D7948" s="6">
        <f t="shared" si="125"/>
        <v>0</v>
      </c>
    </row>
    <row r="7949" spans="3:4" ht="15" x14ac:dyDescent="0.25">
      <c r="C7949" s="8" t="e">
        <f>VLOOKUP(A:A,'ITEM LIST'!A:C,3,0)</f>
        <v>#N/A</v>
      </c>
      <c r="D7949" s="6">
        <f t="shared" si="125"/>
        <v>0</v>
      </c>
    </row>
    <row r="7950" spans="3:4" ht="15" x14ac:dyDescent="0.25">
      <c r="C7950" s="8" t="e">
        <f>VLOOKUP(A:A,'ITEM LIST'!A:C,3,0)</f>
        <v>#N/A</v>
      </c>
      <c r="D7950" s="6">
        <f t="shared" si="125"/>
        <v>0</v>
      </c>
    </row>
    <row r="7951" spans="3:4" ht="15" x14ac:dyDescent="0.25">
      <c r="C7951" s="8" t="e">
        <f>VLOOKUP(A:A,'ITEM LIST'!A:C,3,0)</f>
        <v>#N/A</v>
      </c>
      <c r="D7951" s="6">
        <f t="shared" si="125"/>
        <v>0</v>
      </c>
    </row>
    <row r="7952" spans="3:4" ht="15" x14ac:dyDescent="0.25">
      <c r="C7952" s="8" t="e">
        <f>VLOOKUP(A:A,'ITEM LIST'!A:C,3,0)</f>
        <v>#N/A</v>
      </c>
      <c r="D7952" s="6">
        <f t="shared" si="125"/>
        <v>0</v>
      </c>
    </row>
    <row r="7953" spans="3:4" ht="15" x14ac:dyDescent="0.25">
      <c r="C7953" s="8" t="e">
        <f>VLOOKUP(A:A,'ITEM LIST'!A:C,3,0)</f>
        <v>#N/A</v>
      </c>
      <c r="D7953" s="6">
        <f t="shared" si="125"/>
        <v>0</v>
      </c>
    </row>
    <row r="7954" spans="3:4" ht="15" x14ac:dyDescent="0.25">
      <c r="C7954" s="8" t="e">
        <f>VLOOKUP(A:A,'ITEM LIST'!A:C,3,0)</f>
        <v>#N/A</v>
      </c>
      <c r="D7954" s="6">
        <f t="shared" si="125"/>
        <v>0</v>
      </c>
    </row>
    <row r="7955" spans="3:4" ht="15" x14ac:dyDescent="0.25">
      <c r="C7955" s="8" t="e">
        <f>VLOOKUP(A:A,'ITEM LIST'!A:C,3,0)</f>
        <v>#N/A</v>
      </c>
      <c r="D7955" s="6">
        <f t="shared" si="125"/>
        <v>0</v>
      </c>
    </row>
    <row r="7956" spans="3:4" ht="15" x14ac:dyDescent="0.25">
      <c r="C7956" s="8" t="e">
        <f>VLOOKUP(A:A,'ITEM LIST'!A:C,3,0)</f>
        <v>#N/A</v>
      </c>
      <c r="D7956" s="6">
        <f t="shared" si="125"/>
        <v>0</v>
      </c>
    </row>
    <row r="7957" spans="3:4" ht="15" x14ac:dyDescent="0.25">
      <c r="C7957" s="8" t="e">
        <f>VLOOKUP(A:A,'ITEM LIST'!A:C,3,0)</f>
        <v>#N/A</v>
      </c>
      <c r="D7957" s="6">
        <f t="shared" si="125"/>
        <v>0</v>
      </c>
    </row>
    <row r="7958" spans="3:4" ht="15" x14ac:dyDescent="0.25">
      <c r="C7958" s="8" t="e">
        <f>VLOOKUP(A:A,'ITEM LIST'!A:C,3,0)</f>
        <v>#N/A</v>
      </c>
      <c r="D7958" s="6">
        <f t="shared" si="125"/>
        <v>0</v>
      </c>
    </row>
    <row r="7959" spans="3:4" ht="15" x14ac:dyDescent="0.25">
      <c r="C7959" s="8" t="e">
        <f>VLOOKUP(A:A,'ITEM LIST'!A:C,3,0)</f>
        <v>#N/A</v>
      </c>
      <c r="D7959" s="6">
        <f t="shared" si="125"/>
        <v>0</v>
      </c>
    </row>
    <row r="7960" spans="3:4" ht="15" x14ac:dyDescent="0.25">
      <c r="C7960" s="8" t="e">
        <f>VLOOKUP(A:A,'ITEM LIST'!A:C,3,0)</f>
        <v>#N/A</v>
      </c>
      <c r="D7960" s="6">
        <f t="shared" si="125"/>
        <v>0</v>
      </c>
    </row>
    <row r="7961" spans="3:4" ht="15" x14ac:dyDescent="0.25">
      <c r="C7961" s="8" t="e">
        <f>VLOOKUP(A:A,'ITEM LIST'!A:C,3,0)</f>
        <v>#N/A</v>
      </c>
      <c r="D7961" s="6">
        <f t="shared" si="125"/>
        <v>0</v>
      </c>
    </row>
    <row r="7962" spans="3:4" ht="15" x14ac:dyDescent="0.25">
      <c r="C7962" s="8" t="e">
        <f>VLOOKUP(A:A,'ITEM LIST'!A:C,3,0)</f>
        <v>#N/A</v>
      </c>
      <c r="D7962" s="6">
        <f t="shared" si="125"/>
        <v>0</v>
      </c>
    </row>
    <row r="7963" spans="3:4" ht="15" x14ac:dyDescent="0.25">
      <c r="C7963" s="8" t="e">
        <f>VLOOKUP(A:A,'ITEM LIST'!A:C,3,0)</f>
        <v>#N/A</v>
      </c>
      <c r="D7963" s="6">
        <f t="shared" si="125"/>
        <v>0</v>
      </c>
    </row>
    <row r="7964" spans="3:4" ht="15" x14ac:dyDescent="0.25">
      <c r="C7964" s="8" t="e">
        <f>VLOOKUP(A:A,'ITEM LIST'!A:C,3,0)</f>
        <v>#N/A</v>
      </c>
      <c r="D7964" s="6">
        <f t="shared" si="125"/>
        <v>0</v>
      </c>
    </row>
    <row r="7965" spans="3:4" ht="15" x14ac:dyDescent="0.25">
      <c r="C7965" s="8" t="e">
        <f>VLOOKUP(A:A,'ITEM LIST'!A:C,3,0)</f>
        <v>#N/A</v>
      </c>
      <c r="D7965" s="6">
        <f t="shared" si="125"/>
        <v>0</v>
      </c>
    </row>
    <row r="7966" spans="3:4" ht="15" x14ac:dyDescent="0.25">
      <c r="C7966" s="8" t="e">
        <f>VLOOKUP(A:A,'ITEM LIST'!A:C,3,0)</f>
        <v>#N/A</v>
      </c>
      <c r="D7966" s="6">
        <f t="shared" si="125"/>
        <v>0</v>
      </c>
    </row>
    <row r="7967" spans="3:4" ht="15" x14ac:dyDescent="0.25">
      <c r="C7967" s="8" t="e">
        <f>VLOOKUP(A:A,'ITEM LIST'!A:C,3,0)</f>
        <v>#N/A</v>
      </c>
      <c r="D7967" s="6">
        <f t="shared" si="125"/>
        <v>0</v>
      </c>
    </row>
    <row r="7968" spans="3:4" ht="15" x14ac:dyDescent="0.25">
      <c r="C7968" s="8" t="e">
        <f>VLOOKUP(A:A,'ITEM LIST'!A:C,3,0)</f>
        <v>#N/A</v>
      </c>
      <c r="D7968" s="6">
        <f t="shared" si="125"/>
        <v>0</v>
      </c>
    </row>
    <row r="7969" spans="3:4" ht="15" x14ac:dyDescent="0.25">
      <c r="C7969" s="8" t="e">
        <f>VLOOKUP(A:A,'ITEM LIST'!A:C,3,0)</f>
        <v>#N/A</v>
      </c>
      <c r="D7969" s="6">
        <f t="shared" si="125"/>
        <v>0</v>
      </c>
    </row>
    <row r="7970" spans="3:4" ht="15" x14ac:dyDescent="0.25">
      <c r="C7970" s="8" t="e">
        <f>VLOOKUP(A:A,'ITEM LIST'!A:C,3,0)</f>
        <v>#N/A</v>
      </c>
      <c r="D7970" s="6">
        <f t="shared" si="125"/>
        <v>0</v>
      </c>
    </row>
    <row r="7971" spans="3:4" ht="15" x14ac:dyDescent="0.25">
      <c r="C7971" s="8" t="e">
        <f>VLOOKUP(A:A,'ITEM LIST'!A:C,3,0)</f>
        <v>#N/A</v>
      </c>
      <c r="D7971" s="6">
        <f t="shared" si="125"/>
        <v>0</v>
      </c>
    </row>
    <row r="7972" spans="3:4" ht="15" x14ac:dyDescent="0.25">
      <c r="C7972" s="8" t="e">
        <f>VLOOKUP(A:A,'ITEM LIST'!A:C,3,0)</f>
        <v>#N/A</v>
      </c>
      <c r="D7972" s="6">
        <f t="shared" si="125"/>
        <v>0</v>
      </c>
    </row>
    <row r="7973" spans="3:4" ht="15" x14ac:dyDescent="0.25">
      <c r="C7973" s="8" t="e">
        <f>VLOOKUP(A:A,'ITEM LIST'!A:C,3,0)</f>
        <v>#N/A</v>
      </c>
      <c r="D7973" s="6">
        <f t="shared" si="125"/>
        <v>0</v>
      </c>
    </row>
    <row r="7974" spans="3:4" ht="15" x14ac:dyDescent="0.25">
      <c r="C7974" s="8" t="e">
        <f>VLOOKUP(A:A,'ITEM LIST'!A:C,3,0)</f>
        <v>#N/A</v>
      </c>
      <c r="D7974" s="6">
        <f t="shared" si="125"/>
        <v>0</v>
      </c>
    </row>
    <row r="7975" spans="3:4" ht="15" x14ac:dyDescent="0.25">
      <c r="C7975" s="8" t="e">
        <f>VLOOKUP(A:A,'ITEM LIST'!A:C,3,0)</f>
        <v>#N/A</v>
      </c>
      <c r="D7975" s="6">
        <f t="shared" si="125"/>
        <v>0</v>
      </c>
    </row>
    <row r="7976" spans="3:4" ht="15" x14ac:dyDescent="0.25">
      <c r="C7976" s="8" t="e">
        <f>VLOOKUP(A:A,'ITEM LIST'!A:C,3,0)</f>
        <v>#N/A</v>
      </c>
      <c r="D7976" s="6">
        <f t="shared" si="125"/>
        <v>0</v>
      </c>
    </row>
    <row r="7977" spans="3:4" ht="15" x14ac:dyDescent="0.25">
      <c r="C7977" s="8" t="e">
        <f>VLOOKUP(A:A,'ITEM LIST'!A:C,3,0)</f>
        <v>#N/A</v>
      </c>
      <c r="D7977" s="6">
        <f t="shared" si="125"/>
        <v>0</v>
      </c>
    </row>
    <row r="7978" spans="3:4" ht="15" x14ac:dyDescent="0.25">
      <c r="C7978" s="8" t="e">
        <f>VLOOKUP(A:A,'ITEM LIST'!A:C,3,0)</f>
        <v>#N/A</v>
      </c>
      <c r="D7978" s="6">
        <f t="shared" si="125"/>
        <v>0</v>
      </c>
    </row>
    <row r="7979" spans="3:4" ht="15" x14ac:dyDescent="0.25">
      <c r="C7979" s="8" t="e">
        <f>VLOOKUP(A:A,'ITEM LIST'!A:C,3,0)</f>
        <v>#N/A</v>
      </c>
      <c r="D7979" s="6">
        <f t="shared" si="125"/>
        <v>0</v>
      </c>
    </row>
    <row r="7980" spans="3:4" ht="15" x14ac:dyDescent="0.25">
      <c r="C7980" s="8" t="e">
        <f>VLOOKUP(A:A,'ITEM LIST'!A:C,3,0)</f>
        <v>#N/A</v>
      </c>
      <c r="D7980" s="6">
        <f t="shared" si="125"/>
        <v>0</v>
      </c>
    </row>
    <row r="7981" spans="3:4" ht="15" x14ac:dyDescent="0.25">
      <c r="C7981" s="8" t="e">
        <f>VLOOKUP(A:A,'ITEM LIST'!A:C,3,0)</f>
        <v>#N/A</v>
      </c>
      <c r="D7981" s="6">
        <f t="shared" si="125"/>
        <v>0</v>
      </c>
    </row>
    <row r="7982" spans="3:4" ht="15" x14ac:dyDescent="0.25">
      <c r="C7982" s="8" t="e">
        <f>VLOOKUP(A:A,'ITEM LIST'!A:C,3,0)</f>
        <v>#N/A</v>
      </c>
      <c r="D7982" s="6">
        <f t="shared" si="125"/>
        <v>0</v>
      </c>
    </row>
    <row r="7983" spans="3:4" ht="15" x14ac:dyDescent="0.25">
      <c r="C7983" s="8" t="e">
        <f>VLOOKUP(A:A,'ITEM LIST'!A:C,3,0)</f>
        <v>#N/A</v>
      </c>
      <c r="D7983" s="6">
        <f t="shared" si="125"/>
        <v>0</v>
      </c>
    </row>
    <row r="7984" spans="3:4" ht="15" x14ac:dyDescent="0.25">
      <c r="C7984" s="8" t="e">
        <f>VLOOKUP(A:A,'ITEM LIST'!A:C,3,0)</f>
        <v>#N/A</v>
      </c>
      <c r="D7984" s="6">
        <f t="shared" si="125"/>
        <v>0</v>
      </c>
    </row>
    <row r="7985" spans="3:4" ht="15" x14ac:dyDescent="0.25">
      <c r="C7985" s="8" t="e">
        <f>VLOOKUP(A:A,'ITEM LIST'!A:C,3,0)</f>
        <v>#N/A</v>
      </c>
      <c r="D7985" s="6">
        <f t="shared" si="125"/>
        <v>0</v>
      </c>
    </row>
    <row r="7986" spans="3:4" ht="15" x14ac:dyDescent="0.25">
      <c r="C7986" s="8" t="e">
        <f>VLOOKUP(A:A,'ITEM LIST'!A:C,3,0)</f>
        <v>#N/A</v>
      </c>
      <c r="D7986" s="6">
        <f t="shared" si="125"/>
        <v>0</v>
      </c>
    </row>
    <row r="7987" spans="3:4" ht="15" x14ac:dyDescent="0.25">
      <c r="C7987" s="8" t="e">
        <f>VLOOKUP(A:A,'ITEM LIST'!A:C,3,0)</f>
        <v>#N/A</v>
      </c>
      <c r="D7987" s="6">
        <f t="shared" si="125"/>
        <v>0</v>
      </c>
    </row>
    <row r="7988" spans="3:4" ht="15" x14ac:dyDescent="0.25">
      <c r="C7988" s="8" t="e">
        <f>VLOOKUP(A:A,'ITEM LIST'!A:C,3,0)</f>
        <v>#N/A</v>
      </c>
      <c r="D7988" s="6">
        <f t="shared" si="125"/>
        <v>0</v>
      </c>
    </row>
    <row r="7989" spans="3:4" ht="15" x14ac:dyDescent="0.25">
      <c r="C7989" s="8" t="e">
        <f>VLOOKUP(A:A,'ITEM LIST'!A:C,3,0)</f>
        <v>#N/A</v>
      </c>
      <c r="D7989" s="6">
        <f t="shared" si="125"/>
        <v>0</v>
      </c>
    </row>
    <row r="7990" spans="3:4" ht="15" x14ac:dyDescent="0.25">
      <c r="C7990" s="8" t="e">
        <f>VLOOKUP(A:A,'ITEM LIST'!A:C,3,0)</f>
        <v>#N/A</v>
      </c>
      <c r="D7990" s="6">
        <f t="shared" si="125"/>
        <v>0</v>
      </c>
    </row>
    <row r="7991" spans="3:4" ht="15" x14ac:dyDescent="0.25">
      <c r="C7991" s="8" t="e">
        <f>VLOOKUP(A:A,'ITEM LIST'!A:C,3,0)</f>
        <v>#N/A</v>
      </c>
      <c r="D7991" s="6">
        <f t="shared" si="125"/>
        <v>0</v>
      </c>
    </row>
    <row r="7992" spans="3:4" ht="15" x14ac:dyDescent="0.25">
      <c r="C7992" s="8" t="e">
        <f>VLOOKUP(A:A,'ITEM LIST'!A:C,3,0)</f>
        <v>#N/A</v>
      </c>
      <c r="D7992" s="6">
        <f t="shared" si="125"/>
        <v>0</v>
      </c>
    </row>
    <row r="7993" spans="3:4" ht="15" x14ac:dyDescent="0.25">
      <c r="C7993" s="8" t="e">
        <f>VLOOKUP(A:A,'ITEM LIST'!A:C,3,0)</f>
        <v>#N/A</v>
      </c>
      <c r="D7993" s="6">
        <f t="shared" si="125"/>
        <v>0</v>
      </c>
    </row>
    <row r="7994" spans="3:4" ht="15" x14ac:dyDescent="0.25">
      <c r="C7994" s="8" t="e">
        <f>VLOOKUP(A:A,'ITEM LIST'!A:C,3,0)</f>
        <v>#N/A</v>
      </c>
      <c r="D7994" s="6">
        <f t="shared" si="125"/>
        <v>0</v>
      </c>
    </row>
    <row r="7995" spans="3:4" ht="15" x14ac:dyDescent="0.25">
      <c r="C7995" s="8" t="e">
        <f>VLOOKUP(A:A,'ITEM LIST'!A:C,3,0)</f>
        <v>#N/A</v>
      </c>
      <c r="D7995" s="6">
        <f t="shared" si="125"/>
        <v>0</v>
      </c>
    </row>
    <row r="7996" spans="3:4" ht="15" x14ac:dyDescent="0.25">
      <c r="C7996" s="8" t="e">
        <f>VLOOKUP(A:A,'ITEM LIST'!A:C,3,0)</f>
        <v>#N/A</v>
      </c>
      <c r="D7996" s="6">
        <f t="shared" si="125"/>
        <v>0</v>
      </c>
    </row>
    <row r="7997" spans="3:4" ht="15" x14ac:dyDescent="0.25">
      <c r="C7997" s="8" t="e">
        <f>VLOOKUP(A:A,'ITEM LIST'!A:C,3,0)</f>
        <v>#N/A</v>
      </c>
      <c r="D7997" s="6">
        <f t="shared" si="125"/>
        <v>0</v>
      </c>
    </row>
    <row r="7998" spans="3:4" ht="15" x14ac:dyDescent="0.25">
      <c r="C7998" s="8" t="e">
        <f>VLOOKUP(A:A,'ITEM LIST'!A:C,3,0)</f>
        <v>#N/A</v>
      </c>
      <c r="D7998" s="6">
        <f t="shared" si="125"/>
        <v>0</v>
      </c>
    </row>
    <row r="7999" spans="3:4" ht="15" x14ac:dyDescent="0.25">
      <c r="C7999" s="8" t="e">
        <f>VLOOKUP(A:A,'ITEM LIST'!A:C,3,0)</f>
        <v>#N/A</v>
      </c>
      <c r="D7999" s="6">
        <f t="shared" si="125"/>
        <v>0</v>
      </c>
    </row>
    <row r="8000" spans="3:4" ht="15" x14ac:dyDescent="0.25">
      <c r="C8000" s="8" t="e">
        <f>VLOOKUP(A:A,'ITEM LIST'!A:C,3,0)</f>
        <v>#N/A</v>
      </c>
      <c r="D8000" s="6">
        <f t="shared" si="125"/>
        <v>0</v>
      </c>
    </row>
    <row r="8001" spans="3:4" ht="15" x14ac:dyDescent="0.25">
      <c r="C8001" s="8" t="e">
        <f>VLOOKUP(A:A,'ITEM LIST'!A:C,3,0)</f>
        <v>#N/A</v>
      </c>
      <c r="D8001" s="6">
        <f t="shared" si="125"/>
        <v>0</v>
      </c>
    </row>
    <row r="8002" spans="3:4" ht="15" x14ac:dyDescent="0.25">
      <c r="C8002" s="8" t="e">
        <f>VLOOKUP(A:A,'ITEM LIST'!A:C,3,0)</f>
        <v>#N/A</v>
      </c>
      <c r="D8002" s="6">
        <f t="shared" si="125"/>
        <v>0</v>
      </c>
    </row>
    <row r="8003" spans="3:4" ht="15" x14ac:dyDescent="0.25">
      <c r="C8003" s="8" t="e">
        <f>VLOOKUP(A:A,'ITEM LIST'!A:C,3,0)</f>
        <v>#N/A</v>
      </c>
      <c r="D8003" s="6">
        <f t="shared" si="125"/>
        <v>0</v>
      </c>
    </row>
    <row r="8004" spans="3:4" ht="15" x14ac:dyDescent="0.25">
      <c r="C8004" s="8" t="e">
        <f>VLOOKUP(A:A,'ITEM LIST'!A:C,3,0)</f>
        <v>#N/A</v>
      </c>
      <c r="D8004" s="6">
        <f t="shared" si="125"/>
        <v>0</v>
      </c>
    </row>
    <row r="8005" spans="3:4" ht="15" x14ac:dyDescent="0.25">
      <c r="C8005" s="8" t="e">
        <f>VLOOKUP(A:A,'ITEM LIST'!A:C,3,0)</f>
        <v>#N/A</v>
      </c>
      <c r="D8005" s="6">
        <f t="shared" si="125"/>
        <v>0</v>
      </c>
    </row>
    <row r="8006" spans="3:4" ht="15" x14ac:dyDescent="0.25">
      <c r="C8006" s="8" t="e">
        <f>VLOOKUP(A:A,'ITEM LIST'!A:C,3,0)</f>
        <v>#N/A</v>
      </c>
      <c r="D8006" s="6">
        <f t="shared" ref="D8006:D8069" si="126">B8006</f>
        <v>0</v>
      </c>
    </row>
    <row r="8007" spans="3:4" ht="15" x14ac:dyDescent="0.25">
      <c r="C8007" s="8" t="e">
        <f>VLOOKUP(A:A,'ITEM LIST'!A:C,3,0)</f>
        <v>#N/A</v>
      </c>
      <c r="D8007" s="6">
        <f t="shared" si="126"/>
        <v>0</v>
      </c>
    </row>
    <row r="8008" spans="3:4" ht="15" x14ac:dyDescent="0.25">
      <c r="C8008" s="8" t="e">
        <f>VLOOKUP(A:A,'ITEM LIST'!A:C,3,0)</f>
        <v>#N/A</v>
      </c>
      <c r="D8008" s="6">
        <f t="shared" si="126"/>
        <v>0</v>
      </c>
    </row>
    <row r="8009" spans="3:4" ht="15" x14ac:dyDescent="0.25">
      <c r="C8009" s="8" t="e">
        <f>VLOOKUP(A:A,'ITEM LIST'!A:C,3,0)</f>
        <v>#N/A</v>
      </c>
      <c r="D8009" s="6">
        <f t="shared" si="126"/>
        <v>0</v>
      </c>
    </row>
    <row r="8010" spans="3:4" ht="15" x14ac:dyDescent="0.25">
      <c r="C8010" s="8" t="e">
        <f>VLOOKUP(A:A,'ITEM LIST'!A:C,3,0)</f>
        <v>#N/A</v>
      </c>
      <c r="D8010" s="6">
        <f t="shared" si="126"/>
        <v>0</v>
      </c>
    </row>
    <row r="8011" spans="3:4" ht="15" x14ac:dyDescent="0.25">
      <c r="C8011" s="8" t="e">
        <f>VLOOKUP(A:A,'ITEM LIST'!A:C,3,0)</f>
        <v>#N/A</v>
      </c>
      <c r="D8011" s="6">
        <f t="shared" si="126"/>
        <v>0</v>
      </c>
    </row>
    <row r="8012" spans="3:4" ht="15" x14ac:dyDescent="0.25">
      <c r="C8012" s="8" t="e">
        <f>VLOOKUP(A:A,'ITEM LIST'!A:C,3,0)</f>
        <v>#N/A</v>
      </c>
      <c r="D8012" s="6">
        <f t="shared" si="126"/>
        <v>0</v>
      </c>
    </row>
    <row r="8013" spans="3:4" ht="15" x14ac:dyDescent="0.25">
      <c r="C8013" s="8" t="e">
        <f>VLOOKUP(A:A,'ITEM LIST'!A:C,3,0)</f>
        <v>#N/A</v>
      </c>
      <c r="D8013" s="6">
        <f t="shared" si="126"/>
        <v>0</v>
      </c>
    </row>
    <row r="8014" spans="3:4" ht="15" x14ac:dyDescent="0.25">
      <c r="C8014" s="8" t="e">
        <f>VLOOKUP(A:A,'ITEM LIST'!A:C,3,0)</f>
        <v>#N/A</v>
      </c>
      <c r="D8014" s="6">
        <f t="shared" si="126"/>
        <v>0</v>
      </c>
    </row>
    <row r="8015" spans="3:4" ht="15" x14ac:dyDescent="0.25">
      <c r="C8015" s="8" t="e">
        <f>VLOOKUP(A:A,'ITEM LIST'!A:C,3,0)</f>
        <v>#N/A</v>
      </c>
      <c r="D8015" s="6">
        <f t="shared" si="126"/>
        <v>0</v>
      </c>
    </row>
    <row r="8016" spans="3:4" ht="15" x14ac:dyDescent="0.25">
      <c r="C8016" s="8" t="e">
        <f>VLOOKUP(A:A,'ITEM LIST'!A:C,3,0)</f>
        <v>#N/A</v>
      </c>
      <c r="D8016" s="6">
        <f t="shared" si="126"/>
        <v>0</v>
      </c>
    </row>
    <row r="8017" spans="3:4" ht="15" x14ac:dyDescent="0.25">
      <c r="C8017" s="8" t="e">
        <f>VLOOKUP(A:A,'ITEM LIST'!A:C,3,0)</f>
        <v>#N/A</v>
      </c>
      <c r="D8017" s="6">
        <f t="shared" si="126"/>
        <v>0</v>
      </c>
    </row>
    <row r="8018" spans="3:4" ht="15" x14ac:dyDescent="0.25">
      <c r="C8018" s="8" t="e">
        <f>VLOOKUP(A:A,'ITEM LIST'!A:C,3,0)</f>
        <v>#N/A</v>
      </c>
      <c r="D8018" s="6">
        <f t="shared" si="126"/>
        <v>0</v>
      </c>
    </row>
    <row r="8019" spans="3:4" ht="15" x14ac:dyDescent="0.25">
      <c r="C8019" s="8" t="e">
        <f>VLOOKUP(A:A,'ITEM LIST'!A:C,3,0)</f>
        <v>#N/A</v>
      </c>
      <c r="D8019" s="6">
        <f t="shared" si="126"/>
        <v>0</v>
      </c>
    </row>
    <row r="8020" spans="3:4" ht="15" x14ac:dyDescent="0.25">
      <c r="C8020" s="8" t="e">
        <f>VLOOKUP(A:A,'ITEM LIST'!A:C,3,0)</f>
        <v>#N/A</v>
      </c>
      <c r="D8020" s="6">
        <f t="shared" si="126"/>
        <v>0</v>
      </c>
    </row>
    <row r="8021" spans="3:4" ht="15" x14ac:dyDescent="0.25">
      <c r="C8021" s="8" t="e">
        <f>VLOOKUP(A:A,'ITEM LIST'!A:C,3,0)</f>
        <v>#N/A</v>
      </c>
      <c r="D8021" s="6">
        <f t="shared" si="126"/>
        <v>0</v>
      </c>
    </row>
    <row r="8022" spans="3:4" ht="15" x14ac:dyDescent="0.25">
      <c r="C8022" s="8" t="e">
        <f>VLOOKUP(A:A,'ITEM LIST'!A:C,3,0)</f>
        <v>#N/A</v>
      </c>
      <c r="D8022" s="6">
        <f t="shared" si="126"/>
        <v>0</v>
      </c>
    </row>
    <row r="8023" spans="3:4" ht="15" x14ac:dyDescent="0.25">
      <c r="C8023" s="8" t="e">
        <f>VLOOKUP(A:A,'ITEM LIST'!A:C,3,0)</f>
        <v>#N/A</v>
      </c>
      <c r="D8023" s="6">
        <f t="shared" si="126"/>
        <v>0</v>
      </c>
    </row>
    <row r="8024" spans="3:4" ht="15" x14ac:dyDescent="0.25">
      <c r="C8024" s="8" t="e">
        <f>VLOOKUP(A:A,'ITEM LIST'!A:C,3,0)</f>
        <v>#N/A</v>
      </c>
      <c r="D8024" s="6">
        <f t="shared" si="126"/>
        <v>0</v>
      </c>
    </row>
    <row r="8025" spans="3:4" ht="15" x14ac:dyDescent="0.25">
      <c r="C8025" s="8" t="e">
        <f>VLOOKUP(A:A,'ITEM LIST'!A:C,3,0)</f>
        <v>#N/A</v>
      </c>
      <c r="D8025" s="6">
        <f t="shared" si="126"/>
        <v>0</v>
      </c>
    </row>
    <row r="8026" spans="3:4" ht="15" x14ac:dyDescent="0.25">
      <c r="C8026" s="8" t="e">
        <f>VLOOKUP(A:A,'ITEM LIST'!A:C,3,0)</f>
        <v>#N/A</v>
      </c>
      <c r="D8026" s="6">
        <f t="shared" si="126"/>
        <v>0</v>
      </c>
    </row>
    <row r="8027" spans="3:4" ht="15" x14ac:dyDescent="0.25">
      <c r="C8027" s="8" t="e">
        <f>VLOOKUP(A:A,'ITEM LIST'!A:C,3,0)</f>
        <v>#N/A</v>
      </c>
      <c r="D8027" s="6">
        <f t="shared" si="126"/>
        <v>0</v>
      </c>
    </row>
    <row r="8028" spans="3:4" ht="15" x14ac:dyDescent="0.25">
      <c r="C8028" s="8" t="e">
        <f>VLOOKUP(A:A,'ITEM LIST'!A:C,3,0)</f>
        <v>#N/A</v>
      </c>
      <c r="D8028" s="6">
        <f t="shared" si="126"/>
        <v>0</v>
      </c>
    </row>
    <row r="8029" spans="3:4" ht="15" x14ac:dyDescent="0.25">
      <c r="C8029" s="8" t="e">
        <f>VLOOKUP(A:A,'ITEM LIST'!A:C,3,0)</f>
        <v>#N/A</v>
      </c>
      <c r="D8029" s="6">
        <f t="shared" si="126"/>
        <v>0</v>
      </c>
    </row>
    <row r="8030" spans="3:4" ht="15" x14ac:dyDescent="0.25">
      <c r="C8030" s="8" t="e">
        <f>VLOOKUP(A:A,'ITEM LIST'!A:C,3,0)</f>
        <v>#N/A</v>
      </c>
      <c r="D8030" s="6">
        <f t="shared" si="126"/>
        <v>0</v>
      </c>
    </row>
    <row r="8031" spans="3:4" ht="15" x14ac:dyDescent="0.25">
      <c r="C8031" s="8" t="e">
        <f>VLOOKUP(A:A,'ITEM LIST'!A:C,3,0)</f>
        <v>#N/A</v>
      </c>
      <c r="D8031" s="6">
        <f t="shared" si="126"/>
        <v>0</v>
      </c>
    </row>
    <row r="8032" spans="3:4" ht="15" x14ac:dyDescent="0.25">
      <c r="C8032" s="8" t="e">
        <f>VLOOKUP(A:A,'ITEM LIST'!A:C,3,0)</f>
        <v>#N/A</v>
      </c>
      <c r="D8032" s="6">
        <f t="shared" si="126"/>
        <v>0</v>
      </c>
    </row>
    <row r="8033" spans="3:4" ht="15" x14ac:dyDescent="0.25">
      <c r="C8033" s="8" t="e">
        <f>VLOOKUP(A:A,'ITEM LIST'!A:C,3,0)</f>
        <v>#N/A</v>
      </c>
      <c r="D8033" s="6">
        <f t="shared" si="126"/>
        <v>0</v>
      </c>
    </row>
    <row r="8034" spans="3:4" ht="15" x14ac:dyDescent="0.25">
      <c r="C8034" s="8" t="e">
        <f>VLOOKUP(A:A,'ITEM LIST'!A:C,3,0)</f>
        <v>#N/A</v>
      </c>
      <c r="D8034" s="6">
        <f t="shared" si="126"/>
        <v>0</v>
      </c>
    </row>
    <row r="8035" spans="3:4" ht="15" x14ac:dyDescent="0.25">
      <c r="C8035" s="8" t="e">
        <f>VLOOKUP(A:A,'ITEM LIST'!A:C,3,0)</f>
        <v>#N/A</v>
      </c>
      <c r="D8035" s="6">
        <f t="shared" si="126"/>
        <v>0</v>
      </c>
    </row>
    <row r="8036" spans="3:4" ht="15" x14ac:dyDescent="0.25">
      <c r="C8036" s="8" t="e">
        <f>VLOOKUP(A:A,'ITEM LIST'!A:C,3,0)</f>
        <v>#N/A</v>
      </c>
      <c r="D8036" s="6">
        <f t="shared" si="126"/>
        <v>0</v>
      </c>
    </row>
    <row r="8037" spans="3:4" ht="15" x14ac:dyDescent="0.25">
      <c r="C8037" s="8" t="e">
        <f>VLOOKUP(A:A,'ITEM LIST'!A:C,3,0)</f>
        <v>#N/A</v>
      </c>
      <c r="D8037" s="6">
        <f t="shared" si="126"/>
        <v>0</v>
      </c>
    </row>
    <row r="8038" spans="3:4" ht="15" x14ac:dyDescent="0.25">
      <c r="C8038" s="8" t="e">
        <f>VLOOKUP(A:A,'ITEM LIST'!A:C,3,0)</f>
        <v>#N/A</v>
      </c>
      <c r="D8038" s="6">
        <f t="shared" si="126"/>
        <v>0</v>
      </c>
    </row>
    <row r="8039" spans="3:4" ht="15" x14ac:dyDescent="0.25">
      <c r="C8039" s="8" t="e">
        <f>VLOOKUP(A:A,'ITEM LIST'!A:C,3,0)</f>
        <v>#N/A</v>
      </c>
      <c r="D8039" s="6">
        <f t="shared" si="126"/>
        <v>0</v>
      </c>
    </row>
    <row r="8040" spans="3:4" ht="15" x14ac:dyDescent="0.25">
      <c r="C8040" s="8" t="e">
        <f>VLOOKUP(A:A,'ITEM LIST'!A:C,3,0)</f>
        <v>#N/A</v>
      </c>
      <c r="D8040" s="6">
        <f t="shared" si="126"/>
        <v>0</v>
      </c>
    </row>
    <row r="8041" spans="3:4" ht="15" x14ac:dyDescent="0.25">
      <c r="C8041" s="8" t="e">
        <f>VLOOKUP(A:A,'ITEM LIST'!A:C,3,0)</f>
        <v>#N/A</v>
      </c>
      <c r="D8041" s="6">
        <f t="shared" si="126"/>
        <v>0</v>
      </c>
    </row>
    <row r="8042" spans="3:4" ht="15" x14ac:dyDescent="0.25">
      <c r="C8042" s="8" t="e">
        <f>VLOOKUP(A:A,'ITEM LIST'!A:C,3,0)</f>
        <v>#N/A</v>
      </c>
      <c r="D8042" s="6">
        <f t="shared" si="126"/>
        <v>0</v>
      </c>
    </row>
    <row r="8043" spans="3:4" ht="15" x14ac:dyDescent="0.25">
      <c r="C8043" s="8" t="e">
        <f>VLOOKUP(A:A,'ITEM LIST'!A:C,3,0)</f>
        <v>#N/A</v>
      </c>
      <c r="D8043" s="6">
        <f t="shared" si="126"/>
        <v>0</v>
      </c>
    </row>
    <row r="8044" spans="3:4" ht="15" x14ac:dyDescent="0.25">
      <c r="C8044" s="8" t="e">
        <f>VLOOKUP(A:A,'ITEM LIST'!A:C,3,0)</f>
        <v>#N/A</v>
      </c>
      <c r="D8044" s="6">
        <f t="shared" si="126"/>
        <v>0</v>
      </c>
    </row>
    <row r="8045" spans="3:4" ht="15" x14ac:dyDescent="0.25">
      <c r="C8045" s="8" t="e">
        <f>VLOOKUP(A:A,'ITEM LIST'!A:C,3,0)</f>
        <v>#N/A</v>
      </c>
      <c r="D8045" s="6">
        <f t="shared" si="126"/>
        <v>0</v>
      </c>
    </row>
    <row r="8046" spans="3:4" ht="15" x14ac:dyDescent="0.25">
      <c r="C8046" s="8" t="e">
        <f>VLOOKUP(A:A,'ITEM LIST'!A:C,3,0)</f>
        <v>#N/A</v>
      </c>
      <c r="D8046" s="6">
        <f t="shared" si="126"/>
        <v>0</v>
      </c>
    </row>
    <row r="8047" spans="3:4" ht="15" x14ac:dyDescent="0.25">
      <c r="C8047" s="8" t="e">
        <f>VLOOKUP(A:A,'ITEM LIST'!A:C,3,0)</f>
        <v>#N/A</v>
      </c>
      <c r="D8047" s="6">
        <f t="shared" si="126"/>
        <v>0</v>
      </c>
    </row>
    <row r="8048" spans="3:4" ht="15" x14ac:dyDescent="0.25">
      <c r="C8048" s="8" t="e">
        <f>VLOOKUP(A:A,'ITEM LIST'!A:C,3,0)</f>
        <v>#N/A</v>
      </c>
      <c r="D8048" s="6">
        <f t="shared" si="126"/>
        <v>0</v>
      </c>
    </row>
    <row r="8049" spans="3:4" ht="15" x14ac:dyDescent="0.25">
      <c r="C8049" s="8" t="e">
        <f>VLOOKUP(A:A,'ITEM LIST'!A:C,3,0)</f>
        <v>#N/A</v>
      </c>
      <c r="D8049" s="6">
        <f t="shared" si="126"/>
        <v>0</v>
      </c>
    </row>
    <row r="8050" spans="3:4" ht="15" x14ac:dyDescent="0.25">
      <c r="C8050" s="8" t="e">
        <f>VLOOKUP(A:A,'ITEM LIST'!A:C,3,0)</f>
        <v>#N/A</v>
      </c>
      <c r="D8050" s="6">
        <f t="shared" si="126"/>
        <v>0</v>
      </c>
    </row>
    <row r="8051" spans="3:4" ht="15" x14ac:dyDescent="0.25">
      <c r="C8051" s="8" t="e">
        <f>VLOOKUP(A:A,'ITEM LIST'!A:C,3,0)</f>
        <v>#N/A</v>
      </c>
      <c r="D8051" s="6">
        <f t="shared" si="126"/>
        <v>0</v>
      </c>
    </row>
    <row r="8052" spans="3:4" ht="15" x14ac:dyDescent="0.25">
      <c r="C8052" s="8" t="e">
        <f>VLOOKUP(A:A,'ITEM LIST'!A:C,3,0)</f>
        <v>#N/A</v>
      </c>
      <c r="D8052" s="6">
        <f t="shared" si="126"/>
        <v>0</v>
      </c>
    </row>
    <row r="8053" spans="3:4" ht="15" x14ac:dyDescent="0.25">
      <c r="C8053" s="8" t="e">
        <f>VLOOKUP(A:A,'ITEM LIST'!A:C,3,0)</f>
        <v>#N/A</v>
      </c>
      <c r="D8053" s="6">
        <f t="shared" si="126"/>
        <v>0</v>
      </c>
    </row>
    <row r="8054" spans="3:4" ht="15" x14ac:dyDescent="0.25">
      <c r="C8054" s="8" t="e">
        <f>VLOOKUP(A:A,'ITEM LIST'!A:C,3,0)</f>
        <v>#N/A</v>
      </c>
      <c r="D8054" s="6">
        <f t="shared" si="126"/>
        <v>0</v>
      </c>
    </row>
    <row r="8055" spans="3:4" ht="15" x14ac:dyDescent="0.25">
      <c r="C8055" s="8" t="e">
        <f>VLOOKUP(A:A,'ITEM LIST'!A:C,3,0)</f>
        <v>#N/A</v>
      </c>
      <c r="D8055" s="6">
        <f t="shared" si="126"/>
        <v>0</v>
      </c>
    </row>
    <row r="8056" spans="3:4" ht="15" x14ac:dyDescent="0.25">
      <c r="C8056" s="8" t="e">
        <f>VLOOKUP(A:A,'ITEM LIST'!A:C,3,0)</f>
        <v>#N/A</v>
      </c>
      <c r="D8056" s="6">
        <f t="shared" si="126"/>
        <v>0</v>
      </c>
    </row>
    <row r="8057" spans="3:4" ht="15" x14ac:dyDescent="0.25">
      <c r="C8057" s="8" t="e">
        <f>VLOOKUP(A:A,'ITEM LIST'!A:C,3,0)</f>
        <v>#N/A</v>
      </c>
      <c r="D8057" s="6">
        <f t="shared" si="126"/>
        <v>0</v>
      </c>
    </row>
    <row r="8058" spans="3:4" ht="15" x14ac:dyDescent="0.25">
      <c r="C8058" s="8" t="e">
        <f>VLOOKUP(A:A,'ITEM LIST'!A:C,3,0)</f>
        <v>#N/A</v>
      </c>
      <c r="D8058" s="6">
        <f t="shared" si="126"/>
        <v>0</v>
      </c>
    </row>
    <row r="8059" spans="3:4" ht="15" x14ac:dyDescent="0.25">
      <c r="C8059" s="8" t="e">
        <f>VLOOKUP(A:A,'ITEM LIST'!A:C,3,0)</f>
        <v>#N/A</v>
      </c>
      <c r="D8059" s="6">
        <f t="shared" si="126"/>
        <v>0</v>
      </c>
    </row>
    <row r="8060" spans="3:4" ht="15" x14ac:dyDescent="0.25">
      <c r="C8060" s="8" t="e">
        <f>VLOOKUP(A:A,'ITEM LIST'!A:C,3,0)</f>
        <v>#N/A</v>
      </c>
      <c r="D8060" s="6">
        <f t="shared" si="126"/>
        <v>0</v>
      </c>
    </row>
    <row r="8061" spans="3:4" ht="15" x14ac:dyDescent="0.25">
      <c r="C8061" s="8" t="e">
        <f>VLOOKUP(A:A,'ITEM LIST'!A:C,3,0)</f>
        <v>#N/A</v>
      </c>
      <c r="D8061" s="6">
        <f t="shared" si="126"/>
        <v>0</v>
      </c>
    </row>
    <row r="8062" spans="3:4" ht="15" x14ac:dyDescent="0.25">
      <c r="C8062" s="8" t="e">
        <f>VLOOKUP(A:A,'ITEM LIST'!A:C,3,0)</f>
        <v>#N/A</v>
      </c>
      <c r="D8062" s="6">
        <f t="shared" si="126"/>
        <v>0</v>
      </c>
    </row>
    <row r="8063" spans="3:4" ht="15" x14ac:dyDescent="0.25">
      <c r="C8063" s="8" t="e">
        <f>VLOOKUP(A:A,'ITEM LIST'!A:C,3,0)</f>
        <v>#N/A</v>
      </c>
      <c r="D8063" s="6">
        <f t="shared" si="126"/>
        <v>0</v>
      </c>
    </row>
    <row r="8064" spans="3:4" ht="15" x14ac:dyDescent="0.25">
      <c r="C8064" s="8" t="e">
        <f>VLOOKUP(A:A,'ITEM LIST'!A:C,3,0)</f>
        <v>#N/A</v>
      </c>
      <c r="D8064" s="6">
        <f t="shared" si="126"/>
        <v>0</v>
      </c>
    </row>
    <row r="8065" spans="3:4" ht="15" x14ac:dyDescent="0.25">
      <c r="C8065" s="8" t="e">
        <f>VLOOKUP(A:A,'ITEM LIST'!A:C,3,0)</f>
        <v>#N/A</v>
      </c>
      <c r="D8065" s="6">
        <f t="shared" si="126"/>
        <v>0</v>
      </c>
    </row>
    <row r="8066" spans="3:4" ht="15" x14ac:dyDescent="0.25">
      <c r="C8066" s="8" t="e">
        <f>VLOOKUP(A:A,'ITEM LIST'!A:C,3,0)</f>
        <v>#N/A</v>
      </c>
      <c r="D8066" s="6">
        <f t="shared" si="126"/>
        <v>0</v>
      </c>
    </row>
    <row r="8067" spans="3:4" ht="15" x14ac:dyDescent="0.25">
      <c r="C8067" s="8" t="e">
        <f>VLOOKUP(A:A,'ITEM LIST'!A:C,3,0)</f>
        <v>#N/A</v>
      </c>
      <c r="D8067" s="6">
        <f t="shared" si="126"/>
        <v>0</v>
      </c>
    </row>
    <row r="8068" spans="3:4" ht="15" x14ac:dyDescent="0.25">
      <c r="C8068" s="8" t="e">
        <f>VLOOKUP(A:A,'ITEM LIST'!A:C,3,0)</f>
        <v>#N/A</v>
      </c>
      <c r="D8068" s="6">
        <f t="shared" si="126"/>
        <v>0</v>
      </c>
    </row>
    <row r="8069" spans="3:4" ht="15" x14ac:dyDescent="0.25">
      <c r="C8069" s="8" t="e">
        <f>VLOOKUP(A:A,'ITEM LIST'!A:C,3,0)</f>
        <v>#N/A</v>
      </c>
      <c r="D8069" s="6">
        <f t="shared" si="126"/>
        <v>0</v>
      </c>
    </row>
    <row r="8070" spans="3:4" ht="15" x14ac:dyDescent="0.25">
      <c r="C8070" s="8" t="e">
        <f>VLOOKUP(A:A,'ITEM LIST'!A:C,3,0)</f>
        <v>#N/A</v>
      </c>
      <c r="D8070" s="6">
        <f t="shared" ref="D8070:D8133" si="127">B8070</f>
        <v>0</v>
      </c>
    </row>
    <row r="8071" spans="3:4" ht="15" x14ac:dyDescent="0.25">
      <c r="C8071" s="8" t="e">
        <f>VLOOKUP(A:A,'ITEM LIST'!A:C,3,0)</f>
        <v>#N/A</v>
      </c>
      <c r="D8071" s="6">
        <f t="shared" si="127"/>
        <v>0</v>
      </c>
    </row>
    <row r="8072" spans="3:4" ht="15" x14ac:dyDescent="0.25">
      <c r="C8072" s="8" t="e">
        <f>VLOOKUP(A:A,'ITEM LIST'!A:C,3,0)</f>
        <v>#N/A</v>
      </c>
      <c r="D8072" s="6">
        <f t="shared" si="127"/>
        <v>0</v>
      </c>
    </row>
    <row r="8073" spans="3:4" ht="15" x14ac:dyDescent="0.25">
      <c r="C8073" s="8" t="e">
        <f>VLOOKUP(A:A,'ITEM LIST'!A:C,3,0)</f>
        <v>#N/A</v>
      </c>
      <c r="D8073" s="6">
        <f t="shared" si="127"/>
        <v>0</v>
      </c>
    </row>
    <row r="8074" spans="3:4" ht="15" x14ac:dyDescent="0.25">
      <c r="C8074" s="8" t="e">
        <f>VLOOKUP(A:A,'ITEM LIST'!A:C,3,0)</f>
        <v>#N/A</v>
      </c>
      <c r="D8074" s="6">
        <f t="shared" si="127"/>
        <v>0</v>
      </c>
    </row>
    <row r="8075" spans="3:4" ht="15" x14ac:dyDescent="0.25">
      <c r="C8075" s="8" t="e">
        <f>VLOOKUP(A:A,'ITEM LIST'!A:C,3,0)</f>
        <v>#N/A</v>
      </c>
      <c r="D8075" s="6">
        <f t="shared" si="127"/>
        <v>0</v>
      </c>
    </row>
    <row r="8076" spans="3:4" ht="15" x14ac:dyDescent="0.25">
      <c r="C8076" s="8" t="e">
        <f>VLOOKUP(A:A,'ITEM LIST'!A:C,3,0)</f>
        <v>#N/A</v>
      </c>
      <c r="D8076" s="6">
        <f t="shared" si="127"/>
        <v>0</v>
      </c>
    </row>
    <row r="8077" spans="3:4" ht="15" x14ac:dyDescent="0.25">
      <c r="C8077" s="8" t="e">
        <f>VLOOKUP(A:A,'ITEM LIST'!A:C,3,0)</f>
        <v>#N/A</v>
      </c>
      <c r="D8077" s="6">
        <f t="shared" si="127"/>
        <v>0</v>
      </c>
    </row>
    <row r="8078" spans="3:4" ht="15" x14ac:dyDescent="0.25">
      <c r="C8078" s="8" t="e">
        <f>VLOOKUP(A:A,'ITEM LIST'!A:C,3,0)</f>
        <v>#N/A</v>
      </c>
      <c r="D8078" s="6">
        <f t="shared" si="127"/>
        <v>0</v>
      </c>
    </row>
    <row r="8079" spans="3:4" ht="15" x14ac:dyDescent="0.25">
      <c r="C8079" s="8" t="e">
        <f>VLOOKUP(A:A,'ITEM LIST'!A:C,3,0)</f>
        <v>#N/A</v>
      </c>
      <c r="D8079" s="6">
        <f t="shared" si="127"/>
        <v>0</v>
      </c>
    </row>
    <row r="8080" spans="3:4" ht="15" x14ac:dyDescent="0.25">
      <c r="C8080" s="8" t="e">
        <f>VLOOKUP(A:A,'ITEM LIST'!A:C,3,0)</f>
        <v>#N/A</v>
      </c>
      <c r="D8080" s="6">
        <f t="shared" si="127"/>
        <v>0</v>
      </c>
    </row>
    <row r="8081" spans="3:4" ht="15" x14ac:dyDescent="0.25">
      <c r="C8081" s="8" t="e">
        <f>VLOOKUP(A:A,'ITEM LIST'!A:C,3,0)</f>
        <v>#N/A</v>
      </c>
      <c r="D8081" s="6">
        <f t="shared" si="127"/>
        <v>0</v>
      </c>
    </row>
    <row r="8082" spans="3:4" ht="15" x14ac:dyDescent="0.25">
      <c r="C8082" s="8" t="e">
        <f>VLOOKUP(A:A,'ITEM LIST'!A:C,3,0)</f>
        <v>#N/A</v>
      </c>
      <c r="D8082" s="6">
        <f t="shared" si="127"/>
        <v>0</v>
      </c>
    </row>
    <row r="8083" spans="3:4" ht="15" x14ac:dyDescent="0.25">
      <c r="C8083" s="8" t="e">
        <f>VLOOKUP(A:A,'ITEM LIST'!A:C,3,0)</f>
        <v>#N/A</v>
      </c>
      <c r="D8083" s="6">
        <f t="shared" si="127"/>
        <v>0</v>
      </c>
    </row>
    <row r="8084" spans="3:4" ht="15" x14ac:dyDescent="0.25">
      <c r="C8084" s="8" t="e">
        <f>VLOOKUP(A:A,'ITEM LIST'!A:C,3,0)</f>
        <v>#N/A</v>
      </c>
      <c r="D8084" s="6">
        <f t="shared" si="127"/>
        <v>0</v>
      </c>
    </row>
    <row r="8085" spans="3:4" ht="15" x14ac:dyDescent="0.25">
      <c r="C8085" s="8" t="e">
        <f>VLOOKUP(A:A,'ITEM LIST'!A:C,3,0)</f>
        <v>#N/A</v>
      </c>
      <c r="D8085" s="6">
        <f t="shared" si="127"/>
        <v>0</v>
      </c>
    </row>
    <row r="8086" spans="3:4" ht="15" x14ac:dyDescent="0.25">
      <c r="C8086" s="8" t="e">
        <f>VLOOKUP(A:A,'ITEM LIST'!A:C,3,0)</f>
        <v>#N/A</v>
      </c>
      <c r="D8086" s="6">
        <f t="shared" si="127"/>
        <v>0</v>
      </c>
    </row>
    <row r="8087" spans="3:4" ht="15" x14ac:dyDescent="0.25">
      <c r="C8087" s="8" t="e">
        <f>VLOOKUP(A:A,'ITEM LIST'!A:C,3,0)</f>
        <v>#N/A</v>
      </c>
      <c r="D8087" s="6">
        <f t="shared" si="127"/>
        <v>0</v>
      </c>
    </row>
    <row r="8088" spans="3:4" ht="15" x14ac:dyDescent="0.25">
      <c r="C8088" s="8" t="e">
        <f>VLOOKUP(A:A,'ITEM LIST'!A:C,3,0)</f>
        <v>#N/A</v>
      </c>
      <c r="D8088" s="6">
        <f t="shared" si="127"/>
        <v>0</v>
      </c>
    </row>
    <row r="8089" spans="3:4" ht="15" x14ac:dyDescent="0.25">
      <c r="C8089" s="8" t="e">
        <f>VLOOKUP(A:A,'ITEM LIST'!A:C,3,0)</f>
        <v>#N/A</v>
      </c>
      <c r="D8089" s="6">
        <f t="shared" si="127"/>
        <v>0</v>
      </c>
    </row>
    <row r="8090" spans="3:4" ht="15" x14ac:dyDescent="0.25">
      <c r="C8090" s="8" t="e">
        <f>VLOOKUP(A:A,'ITEM LIST'!A:C,3,0)</f>
        <v>#N/A</v>
      </c>
      <c r="D8090" s="6">
        <f t="shared" si="127"/>
        <v>0</v>
      </c>
    </row>
    <row r="8091" spans="3:4" ht="15" x14ac:dyDescent="0.25">
      <c r="C8091" s="8" t="e">
        <f>VLOOKUP(A:A,'ITEM LIST'!A:C,3,0)</f>
        <v>#N/A</v>
      </c>
      <c r="D8091" s="6">
        <f t="shared" si="127"/>
        <v>0</v>
      </c>
    </row>
    <row r="8092" spans="3:4" ht="15" x14ac:dyDescent="0.25">
      <c r="C8092" s="8" t="e">
        <f>VLOOKUP(A:A,'ITEM LIST'!A:C,3,0)</f>
        <v>#N/A</v>
      </c>
      <c r="D8092" s="6">
        <f t="shared" si="127"/>
        <v>0</v>
      </c>
    </row>
    <row r="8093" spans="3:4" ht="15" x14ac:dyDescent="0.25">
      <c r="C8093" s="8" t="e">
        <f>VLOOKUP(A:A,'ITEM LIST'!A:C,3,0)</f>
        <v>#N/A</v>
      </c>
      <c r="D8093" s="6">
        <f t="shared" si="127"/>
        <v>0</v>
      </c>
    </row>
    <row r="8094" spans="3:4" ht="15" x14ac:dyDescent="0.25">
      <c r="C8094" s="8" t="e">
        <f>VLOOKUP(A:A,'ITEM LIST'!A:C,3,0)</f>
        <v>#N/A</v>
      </c>
      <c r="D8094" s="6">
        <f t="shared" si="127"/>
        <v>0</v>
      </c>
    </row>
    <row r="8095" spans="3:4" ht="15" x14ac:dyDescent="0.25">
      <c r="C8095" s="8" t="e">
        <f>VLOOKUP(A:A,'ITEM LIST'!A:C,3,0)</f>
        <v>#N/A</v>
      </c>
      <c r="D8095" s="6">
        <f t="shared" si="127"/>
        <v>0</v>
      </c>
    </row>
    <row r="8096" spans="3:4" ht="15" x14ac:dyDescent="0.25">
      <c r="C8096" s="8" t="e">
        <f>VLOOKUP(A:A,'ITEM LIST'!A:C,3,0)</f>
        <v>#N/A</v>
      </c>
      <c r="D8096" s="6">
        <f t="shared" si="127"/>
        <v>0</v>
      </c>
    </row>
    <row r="8097" spans="3:4" ht="15" x14ac:dyDescent="0.25">
      <c r="C8097" s="8" t="e">
        <f>VLOOKUP(A:A,'ITEM LIST'!A:C,3,0)</f>
        <v>#N/A</v>
      </c>
      <c r="D8097" s="6">
        <f t="shared" si="127"/>
        <v>0</v>
      </c>
    </row>
    <row r="8098" spans="3:4" ht="15" x14ac:dyDescent="0.25">
      <c r="C8098" s="8" t="e">
        <f>VLOOKUP(A:A,'ITEM LIST'!A:C,3,0)</f>
        <v>#N/A</v>
      </c>
      <c r="D8098" s="6">
        <f t="shared" si="127"/>
        <v>0</v>
      </c>
    </row>
    <row r="8099" spans="3:4" ht="15" x14ac:dyDescent="0.25">
      <c r="C8099" s="8" t="e">
        <f>VLOOKUP(A:A,'ITEM LIST'!A:C,3,0)</f>
        <v>#N/A</v>
      </c>
      <c r="D8099" s="6">
        <f t="shared" si="127"/>
        <v>0</v>
      </c>
    </row>
    <row r="8100" spans="3:4" ht="15" x14ac:dyDescent="0.25">
      <c r="C8100" s="8" t="e">
        <f>VLOOKUP(A:A,'ITEM LIST'!A:C,3,0)</f>
        <v>#N/A</v>
      </c>
      <c r="D8100" s="6">
        <f t="shared" si="127"/>
        <v>0</v>
      </c>
    </row>
    <row r="8101" spans="3:4" ht="15" x14ac:dyDescent="0.25">
      <c r="C8101" s="8" t="e">
        <f>VLOOKUP(A:A,'ITEM LIST'!A:C,3,0)</f>
        <v>#N/A</v>
      </c>
      <c r="D8101" s="6">
        <f t="shared" si="127"/>
        <v>0</v>
      </c>
    </row>
    <row r="8102" spans="3:4" ht="15" x14ac:dyDescent="0.25">
      <c r="C8102" s="8" t="e">
        <f>VLOOKUP(A:A,'ITEM LIST'!A:C,3,0)</f>
        <v>#N/A</v>
      </c>
      <c r="D8102" s="6">
        <f t="shared" si="127"/>
        <v>0</v>
      </c>
    </row>
    <row r="8103" spans="3:4" ht="15" x14ac:dyDescent="0.25">
      <c r="C8103" s="8" t="e">
        <f>VLOOKUP(A:A,'ITEM LIST'!A:C,3,0)</f>
        <v>#N/A</v>
      </c>
      <c r="D8103" s="6">
        <f t="shared" si="127"/>
        <v>0</v>
      </c>
    </row>
    <row r="8104" spans="3:4" ht="15" x14ac:dyDescent="0.25">
      <c r="C8104" s="8" t="e">
        <f>VLOOKUP(A:A,'ITEM LIST'!A:C,3,0)</f>
        <v>#N/A</v>
      </c>
      <c r="D8104" s="6">
        <f t="shared" si="127"/>
        <v>0</v>
      </c>
    </row>
    <row r="8105" spans="3:4" ht="15" x14ac:dyDescent="0.25">
      <c r="C8105" s="8" t="e">
        <f>VLOOKUP(A:A,'ITEM LIST'!A:C,3,0)</f>
        <v>#N/A</v>
      </c>
      <c r="D8105" s="6">
        <f t="shared" si="127"/>
        <v>0</v>
      </c>
    </row>
    <row r="8106" spans="3:4" ht="15" x14ac:dyDescent="0.25">
      <c r="C8106" s="8" t="e">
        <f>VLOOKUP(A:A,'ITEM LIST'!A:C,3,0)</f>
        <v>#N/A</v>
      </c>
      <c r="D8106" s="6">
        <f t="shared" si="127"/>
        <v>0</v>
      </c>
    </row>
    <row r="8107" spans="3:4" ht="15" x14ac:dyDescent="0.25">
      <c r="C8107" s="8" t="e">
        <f>VLOOKUP(A:A,'ITEM LIST'!A:C,3,0)</f>
        <v>#N/A</v>
      </c>
      <c r="D8107" s="6">
        <f t="shared" si="127"/>
        <v>0</v>
      </c>
    </row>
    <row r="8108" spans="3:4" ht="15" x14ac:dyDescent="0.25">
      <c r="C8108" s="8" t="e">
        <f>VLOOKUP(A:A,'ITEM LIST'!A:C,3,0)</f>
        <v>#N/A</v>
      </c>
      <c r="D8108" s="6">
        <f t="shared" si="127"/>
        <v>0</v>
      </c>
    </row>
    <row r="8109" spans="3:4" ht="15" x14ac:dyDescent="0.25">
      <c r="C8109" s="8" t="e">
        <f>VLOOKUP(A:A,'ITEM LIST'!A:C,3,0)</f>
        <v>#N/A</v>
      </c>
      <c r="D8109" s="6">
        <f t="shared" si="127"/>
        <v>0</v>
      </c>
    </row>
    <row r="8110" spans="3:4" ht="15" x14ac:dyDescent="0.25">
      <c r="C8110" s="8" t="e">
        <f>VLOOKUP(A:A,'ITEM LIST'!A:C,3,0)</f>
        <v>#N/A</v>
      </c>
      <c r="D8110" s="6">
        <f t="shared" si="127"/>
        <v>0</v>
      </c>
    </row>
    <row r="8111" spans="3:4" ht="15" x14ac:dyDescent="0.25">
      <c r="C8111" s="8" t="e">
        <f>VLOOKUP(A:A,'ITEM LIST'!A:C,3,0)</f>
        <v>#N/A</v>
      </c>
      <c r="D8111" s="6">
        <f t="shared" si="127"/>
        <v>0</v>
      </c>
    </row>
    <row r="8112" spans="3:4" ht="15" x14ac:dyDescent="0.25">
      <c r="C8112" s="8" t="e">
        <f>VLOOKUP(A:A,'ITEM LIST'!A:C,3,0)</f>
        <v>#N/A</v>
      </c>
      <c r="D8112" s="6">
        <f t="shared" si="127"/>
        <v>0</v>
      </c>
    </row>
    <row r="8113" spans="3:4" ht="15" x14ac:dyDescent="0.25">
      <c r="C8113" s="8" t="e">
        <f>VLOOKUP(A:A,'ITEM LIST'!A:C,3,0)</f>
        <v>#N/A</v>
      </c>
      <c r="D8113" s="6">
        <f t="shared" si="127"/>
        <v>0</v>
      </c>
    </row>
    <row r="8114" spans="3:4" ht="15" x14ac:dyDescent="0.25">
      <c r="C8114" s="8" t="e">
        <f>VLOOKUP(A:A,'ITEM LIST'!A:C,3,0)</f>
        <v>#N/A</v>
      </c>
      <c r="D8114" s="6">
        <f t="shared" si="127"/>
        <v>0</v>
      </c>
    </row>
    <row r="8115" spans="3:4" ht="15" x14ac:dyDescent="0.25">
      <c r="C8115" s="8" t="e">
        <f>VLOOKUP(A:A,'ITEM LIST'!A:C,3,0)</f>
        <v>#N/A</v>
      </c>
      <c r="D8115" s="6">
        <f t="shared" si="127"/>
        <v>0</v>
      </c>
    </row>
    <row r="8116" spans="3:4" ht="15" x14ac:dyDescent="0.25">
      <c r="C8116" s="8" t="e">
        <f>VLOOKUP(A:A,'ITEM LIST'!A:C,3,0)</f>
        <v>#N/A</v>
      </c>
      <c r="D8116" s="6">
        <f t="shared" si="127"/>
        <v>0</v>
      </c>
    </row>
    <row r="8117" spans="3:4" ht="15" x14ac:dyDescent="0.25">
      <c r="C8117" s="8" t="e">
        <f>VLOOKUP(A:A,'ITEM LIST'!A:C,3,0)</f>
        <v>#N/A</v>
      </c>
      <c r="D8117" s="6">
        <f t="shared" si="127"/>
        <v>0</v>
      </c>
    </row>
    <row r="8118" spans="3:4" ht="15" x14ac:dyDescent="0.25">
      <c r="C8118" s="8" t="e">
        <f>VLOOKUP(A:A,'ITEM LIST'!A:C,3,0)</f>
        <v>#N/A</v>
      </c>
      <c r="D8118" s="6">
        <f t="shared" si="127"/>
        <v>0</v>
      </c>
    </row>
    <row r="8119" spans="3:4" ht="15" x14ac:dyDescent="0.25">
      <c r="C8119" s="8" t="e">
        <f>VLOOKUP(A:A,'ITEM LIST'!A:C,3,0)</f>
        <v>#N/A</v>
      </c>
      <c r="D8119" s="6">
        <f t="shared" si="127"/>
        <v>0</v>
      </c>
    </row>
    <row r="8120" spans="3:4" ht="15" x14ac:dyDescent="0.25">
      <c r="C8120" s="8" t="e">
        <f>VLOOKUP(A:A,'ITEM LIST'!A:C,3,0)</f>
        <v>#N/A</v>
      </c>
      <c r="D8120" s="6">
        <f t="shared" si="127"/>
        <v>0</v>
      </c>
    </row>
    <row r="8121" spans="3:4" ht="15" x14ac:dyDescent="0.25">
      <c r="C8121" s="8" t="e">
        <f>VLOOKUP(A:A,'ITEM LIST'!A:C,3,0)</f>
        <v>#N/A</v>
      </c>
      <c r="D8121" s="6">
        <f t="shared" si="127"/>
        <v>0</v>
      </c>
    </row>
    <row r="8122" spans="3:4" ht="15" x14ac:dyDescent="0.25">
      <c r="C8122" s="8" t="e">
        <f>VLOOKUP(A:A,'ITEM LIST'!A:C,3,0)</f>
        <v>#N/A</v>
      </c>
      <c r="D8122" s="6">
        <f t="shared" si="127"/>
        <v>0</v>
      </c>
    </row>
    <row r="8123" spans="3:4" ht="15" x14ac:dyDescent="0.25">
      <c r="C8123" s="8" t="e">
        <f>VLOOKUP(A:A,'ITEM LIST'!A:C,3,0)</f>
        <v>#N/A</v>
      </c>
      <c r="D8123" s="6">
        <f t="shared" si="127"/>
        <v>0</v>
      </c>
    </row>
    <row r="8124" spans="3:4" ht="15" x14ac:dyDescent="0.25">
      <c r="C8124" s="8" t="e">
        <f>VLOOKUP(A:A,'ITEM LIST'!A:C,3,0)</f>
        <v>#N/A</v>
      </c>
      <c r="D8124" s="6">
        <f t="shared" si="127"/>
        <v>0</v>
      </c>
    </row>
    <row r="8125" spans="3:4" ht="15" x14ac:dyDescent="0.25">
      <c r="C8125" s="8" t="e">
        <f>VLOOKUP(A:A,'ITEM LIST'!A:C,3,0)</f>
        <v>#N/A</v>
      </c>
      <c r="D8125" s="6">
        <f t="shared" si="127"/>
        <v>0</v>
      </c>
    </row>
    <row r="8126" spans="3:4" ht="15" x14ac:dyDescent="0.25">
      <c r="C8126" s="8" t="e">
        <f>VLOOKUP(A:A,'ITEM LIST'!A:C,3,0)</f>
        <v>#N/A</v>
      </c>
      <c r="D8126" s="6">
        <f t="shared" si="127"/>
        <v>0</v>
      </c>
    </row>
    <row r="8127" spans="3:4" ht="15" x14ac:dyDescent="0.25">
      <c r="C8127" s="8" t="e">
        <f>VLOOKUP(A:A,'ITEM LIST'!A:C,3,0)</f>
        <v>#N/A</v>
      </c>
      <c r="D8127" s="6">
        <f t="shared" si="127"/>
        <v>0</v>
      </c>
    </row>
    <row r="8128" spans="3:4" ht="15" x14ac:dyDescent="0.25">
      <c r="C8128" s="8" t="e">
        <f>VLOOKUP(A:A,'ITEM LIST'!A:C,3,0)</f>
        <v>#N/A</v>
      </c>
      <c r="D8128" s="6">
        <f t="shared" si="127"/>
        <v>0</v>
      </c>
    </row>
    <row r="8129" spans="3:4" ht="15" x14ac:dyDescent="0.25">
      <c r="C8129" s="8" t="e">
        <f>VLOOKUP(A:A,'ITEM LIST'!A:C,3,0)</f>
        <v>#N/A</v>
      </c>
      <c r="D8129" s="6">
        <f t="shared" si="127"/>
        <v>0</v>
      </c>
    </row>
    <row r="8130" spans="3:4" ht="15" x14ac:dyDescent="0.25">
      <c r="C8130" s="8" t="e">
        <f>VLOOKUP(A:A,'ITEM LIST'!A:C,3,0)</f>
        <v>#N/A</v>
      </c>
      <c r="D8130" s="6">
        <f t="shared" si="127"/>
        <v>0</v>
      </c>
    </row>
    <row r="8131" spans="3:4" ht="15" x14ac:dyDescent="0.25">
      <c r="C8131" s="8" t="e">
        <f>VLOOKUP(A:A,'ITEM LIST'!A:C,3,0)</f>
        <v>#N/A</v>
      </c>
      <c r="D8131" s="6">
        <f t="shared" si="127"/>
        <v>0</v>
      </c>
    </row>
    <row r="8132" spans="3:4" ht="15" x14ac:dyDescent="0.25">
      <c r="C8132" s="8" t="e">
        <f>VLOOKUP(A:A,'ITEM LIST'!A:C,3,0)</f>
        <v>#N/A</v>
      </c>
      <c r="D8132" s="6">
        <f t="shared" si="127"/>
        <v>0</v>
      </c>
    </row>
    <row r="8133" spans="3:4" ht="15" x14ac:dyDescent="0.25">
      <c r="C8133" s="8" t="e">
        <f>VLOOKUP(A:A,'ITEM LIST'!A:C,3,0)</f>
        <v>#N/A</v>
      </c>
      <c r="D8133" s="6">
        <f t="shared" si="127"/>
        <v>0</v>
      </c>
    </row>
    <row r="8134" spans="3:4" ht="15" x14ac:dyDescent="0.25">
      <c r="C8134" s="8" t="e">
        <f>VLOOKUP(A:A,'ITEM LIST'!A:C,3,0)</f>
        <v>#N/A</v>
      </c>
      <c r="D8134" s="6">
        <f t="shared" ref="D8134:D8197" si="128">B8134</f>
        <v>0</v>
      </c>
    </row>
    <row r="8135" spans="3:4" ht="15" x14ac:dyDescent="0.25">
      <c r="C8135" s="8" t="e">
        <f>VLOOKUP(A:A,'ITEM LIST'!A:C,3,0)</f>
        <v>#N/A</v>
      </c>
      <c r="D8135" s="6">
        <f t="shared" si="128"/>
        <v>0</v>
      </c>
    </row>
    <row r="8136" spans="3:4" ht="15" x14ac:dyDescent="0.25">
      <c r="C8136" s="8" t="e">
        <f>VLOOKUP(A:A,'ITEM LIST'!A:C,3,0)</f>
        <v>#N/A</v>
      </c>
      <c r="D8136" s="6">
        <f t="shared" si="128"/>
        <v>0</v>
      </c>
    </row>
    <row r="8137" spans="3:4" ht="15" x14ac:dyDescent="0.25">
      <c r="C8137" s="8" t="e">
        <f>VLOOKUP(A:A,'ITEM LIST'!A:C,3,0)</f>
        <v>#N/A</v>
      </c>
      <c r="D8137" s="6">
        <f t="shared" si="128"/>
        <v>0</v>
      </c>
    </row>
    <row r="8138" spans="3:4" ht="15" x14ac:dyDescent="0.25">
      <c r="C8138" s="8" t="e">
        <f>VLOOKUP(A:A,'ITEM LIST'!A:C,3,0)</f>
        <v>#N/A</v>
      </c>
      <c r="D8138" s="6">
        <f t="shared" si="128"/>
        <v>0</v>
      </c>
    </row>
    <row r="8139" spans="3:4" ht="15" x14ac:dyDescent="0.25">
      <c r="C8139" s="8" t="e">
        <f>VLOOKUP(A:A,'ITEM LIST'!A:C,3,0)</f>
        <v>#N/A</v>
      </c>
      <c r="D8139" s="6">
        <f t="shared" si="128"/>
        <v>0</v>
      </c>
    </row>
    <row r="8140" spans="3:4" ht="15" x14ac:dyDescent="0.25">
      <c r="C8140" s="8" t="e">
        <f>VLOOKUP(A:A,'ITEM LIST'!A:C,3,0)</f>
        <v>#N/A</v>
      </c>
      <c r="D8140" s="6">
        <f t="shared" si="128"/>
        <v>0</v>
      </c>
    </row>
    <row r="8141" spans="3:4" ht="15" x14ac:dyDescent="0.25">
      <c r="C8141" s="8" t="e">
        <f>VLOOKUP(A:A,'ITEM LIST'!A:C,3,0)</f>
        <v>#N/A</v>
      </c>
      <c r="D8141" s="6">
        <f t="shared" si="128"/>
        <v>0</v>
      </c>
    </row>
    <row r="8142" spans="3:4" ht="15" x14ac:dyDescent="0.25">
      <c r="C8142" s="8" t="e">
        <f>VLOOKUP(A:A,'ITEM LIST'!A:C,3,0)</f>
        <v>#N/A</v>
      </c>
      <c r="D8142" s="6">
        <f t="shared" si="128"/>
        <v>0</v>
      </c>
    </row>
    <row r="8143" spans="3:4" ht="15" x14ac:dyDescent="0.25">
      <c r="C8143" s="8" t="e">
        <f>VLOOKUP(A:A,'ITEM LIST'!A:C,3,0)</f>
        <v>#N/A</v>
      </c>
      <c r="D8143" s="6">
        <f t="shared" si="128"/>
        <v>0</v>
      </c>
    </row>
    <row r="8144" spans="3:4" ht="15" x14ac:dyDescent="0.25">
      <c r="C8144" s="8" t="e">
        <f>VLOOKUP(A:A,'ITEM LIST'!A:C,3,0)</f>
        <v>#N/A</v>
      </c>
      <c r="D8144" s="6">
        <f t="shared" si="128"/>
        <v>0</v>
      </c>
    </row>
    <row r="8145" spans="3:4" ht="15" x14ac:dyDescent="0.25">
      <c r="C8145" s="8" t="e">
        <f>VLOOKUP(A:A,'ITEM LIST'!A:C,3,0)</f>
        <v>#N/A</v>
      </c>
      <c r="D8145" s="6">
        <f t="shared" si="128"/>
        <v>0</v>
      </c>
    </row>
    <row r="8146" spans="3:4" ht="15" x14ac:dyDescent="0.25">
      <c r="C8146" s="8" t="e">
        <f>VLOOKUP(A:A,'ITEM LIST'!A:C,3,0)</f>
        <v>#N/A</v>
      </c>
      <c r="D8146" s="6">
        <f t="shared" si="128"/>
        <v>0</v>
      </c>
    </row>
    <row r="8147" spans="3:4" ht="15" x14ac:dyDescent="0.25">
      <c r="C8147" s="8" t="e">
        <f>VLOOKUP(A:A,'ITEM LIST'!A:C,3,0)</f>
        <v>#N/A</v>
      </c>
      <c r="D8147" s="6">
        <f t="shared" si="128"/>
        <v>0</v>
      </c>
    </row>
    <row r="8148" spans="3:4" ht="15" x14ac:dyDescent="0.25">
      <c r="C8148" s="8" t="e">
        <f>VLOOKUP(A:A,'ITEM LIST'!A:C,3,0)</f>
        <v>#N/A</v>
      </c>
      <c r="D8148" s="6">
        <f t="shared" si="128"/>
        <v>0</v>
      </c>
    </row>
    <row r="8149" spans="3:4" ht="15" x14ac:dyDescent="0.25">
      <c r="C8149" s="8" t="e">
        <f>VLOOKUP(A:A,'ITEM LIST'!A:C,3,0)</f>
        <v>#N/A</v>
      </c>
      <c r="D8149" s="6">
        <f t="shared" si="128"/>
        <v>0</v>
      </c>
    </row>
    <row r="8150" spans="3:4" ht="15" x14ac:dyDescent="0.25">
      <c r="C8150" s="8" t="e">
        <f>VLOOKUP(A:A,'ITEM LIST'!A:C,3,0)</f>
        <v>#N/A</v>
      </c>
      <c r="D8150" s="6">
        <f t="shared" si="128"/>
        <v>0</v>
      </c>
    </row>
    <row r="8151" spans="3:4" ht="15" x14ac:dyDescent="0.25">
      <c r="C8151" s="8" t="e">
        <f>VLOOKUP(A:A,'ITEM LIST'!A:C,3,0)</f>
        <v>#N/A</v>
      </c>
      <c r="D8151" s="6">
        <f t="shared" si="128"/>
        <v>0</v>
      </c>
    </row>
    <row r="8152" spans="3:4" ht="15" x14ac:dyDescent="0.25">
      <c r="C8152" s="8" t="e">
        <f>VLOOKUP(A:A,'ITEM LIST'!A:C,3,0)</f>
        <v>#N/A</v>
      </c>
      <c r="D8152" s="6">
        <f t="shared" si="128"/>
        <v>0</v>
      </c>
    </row>
    <row r="8153" spans="3:4" ht="15" x14ac:dyDescent="0.25">
      <c r="C8153" s="8" t="e">
        <f>VLOOKUP(A:A,'ITEM LIST'!A:C,3,0)</f>
        <v>#N/A</v>
      </c>
      <c r="D8153" s="6">
        <f t="shared" si="128"/>
        <v>0</v>
      </c>
    </row>
    <row r="8154" spans="3:4" ht="15" x14ac:dyDescent="0.25">
      <c r="C8154" s="8" t="e">
        <f>VLOOKUP(A:A,'ITEM LIST'!A:C,3,0)</f>
        <v>#N/A</v>
      </c>
      <c r="D8154" s="6">
        <f t="shared" si="128"/>
        <v>0</v>
      </c>
    </row>
    <row r="8155" spans="3:4" ht="15" x14ac:dyDescent="0.25">
      <c r="C8155" s="8" t="e">
        <f>VLOOKUP(A:A,'ITEM LIST'!A:C,3,0)</f>
        <v>#N/A</v>
      </c>
      <c r="D8155" s="6">
        <f t="shared" si="128"/>
        <v>0</v>
      </c>
    </row>
    <row r="8156" spans="3:4" ht="15" x14ac:dyDescent="0.25">
      <c r="C8156" s="8" t="e">
        <f>VLOOKUP(A:A,'ITEM LIST'!A:C,3,0)</f>
        <v>#N/A</v>
      </c>
      <c r="D8156" s="6">
        <f t="shared" si="128"/>
        <v>0</v>
      </c>
    </row>
    <row r="8157" spans="3:4" ht="15" x14ac:dyDescent="0.25">
      <c r="C8157" s="8" t="e">
        <f>VLOOKUP(A:A,'ITEM LIST'!A:C,3,0)</f>
        <v>#N/A</v>
      </c>
      <c r="D8157" s="6">
        <f t="shared" si="128"/>
        <v>0</v>
      </c>
    </row>
    <row r="8158" spans="3:4" ht="15" x14ac:dyDescent="0.25">
      <c r="C8158" s="8" t="e">
        <f>VLOOKUP(A:A,'ITEM LIST'!A:C,3,0)</f>
        <v>#N/A</v>
      </c>
      <c r="D8158" s="6">
        <f t="shared" si="128"/>
        <v>0</v>
      </c>
    </row>
    <row r="8159" spans="3:4" ht="15" x14ac:dyDescent="0.25">
      <c r="C8159" s="8" t="e">
        <f>VLOOKUP(A:A,'ITEM LIST'!A:C,3,0)</f>
        <v>#N/A</v>
      </c>
      <c r="D8159" s="6">
        <f t="shared" si="128"/>
        <v>0</v>
      </c>
    </row>
    <row r="8160" spans="3:4" ht="15" x14ac:dyDescent="0.25">
      <c r="C8160" s="8" t="e">
        <f>VLOOKUP(A:A,'ITEM LIST'!A:C,3,0)</f>
        <v>#N/A</v>
      </c>
      <c r="D8160" s="6">
        <f t="shared" si="128"/>
        <v>0</v>
      </c>
    </row>
    <row r="8161" spans="3:4" ht="15" x14ac:dyDescent="0.25">
      <c r="C8161" s="8" t="e">
        <f>VLOOKUP(A:A,'ITEM LIST'!A:C,3,0)</f>
        <v>#N/A</v>
      </c>
      <c r="D8161" s="6">
        <f t="shared" si="128"/>
        <v>0</v>
      </c>
    </row>
    <row r="8162" spans="3:4" ht="15" x14ac:dyDescent="0.25">
      <c r="C8162" s="8" t="e">
        <f>VLOOKUP(A:A,'ITEM LIST'!A:C,3,0)</f>
        <v>#N/A</v>
      </c>
      <c r="D8162" s="6">
        <f t="shared" si="128"/>
        <v>0</v>
      </c>
    </row>
    <row r="8163" spans="3:4" ht="15" x14ac:dyDescent="0.25">
      <c r="C8163" s="8" t="e">
        <f>VLOOKUP(A:A,'ITEM LIST'!A:C,3,0)</f>
        <v>#N/A</v>
      </c>
      <c r="D8163" s="6">
        <f t="shared" si="128"/>
        <v>0</v>
      </c>
    </row>
    <row r="8164" spans="3:4" ht="15" x14ac:dyDescent="0.25">
      <c r="C8164" s="8" t="e">
        <f>VLOOKUP(A:A,'ITEM LIST'!A:C,3,0)</f>
        <v>#N/A</v>
      </c>
      <c r="D8164" s="6">
        <f t="shared" si="128"/>
        <v>0</v>
      </c>
    </row>
    <row r="8165" spans="3:4" ht="15" x14ac:dyDescent="0.25">
      <c r="C8165" s="8" t="e">
        <f>VLOOKUP(A:A,'ITEM LIST'!A:C,3,0)</f>
        <v>#N/A</v>
      </c>
      <c r="D8165" s="6">
        <f t="shared" si="128"/>
        <v>0</v>
      </c>
    </row>
    <row r="8166" spans="3:4" ht="15" x14ac:dyDescent="0.25">
      <c r="C8166" s="8" t="e">
        <f>VLOOKUP(A:A,'ITEM LIST'!A:C,3,0)</f>
        <v>#N/A</v>
      </c>
      <c r="D8166" s="6">
        <f t="shared" si="128"/>
        <v>0</v>
      </c>
    </row>
    <row r="8167" spans="3:4" ht="15" x14ac:dyDescent="0.25">
      <c r="C8167" s="8" t="e">
        <f>VLOOKUP(A:A,'ITEM LIST'!A:C,3,0)</f>
        <v>#N/A</v>
      </c>
      <c r="D8167" s="6">
        <f t="shared" si="128"/>
        <v>0</v>
      </c>
    </row>
    <row r="8168" spans="3:4" ht="15" x14ac:dyDescent="0.25">
      <c r="C8168" s="8" t="e">
        <f>VLOOKUP(A:A,'ITEM LIST'!A:C,3,0)</f>
        <v>#N/A</v>
      </c>
      <c r="D8168" s="6">
        <f t="shared" si="128"/>
        <v>0</v>
      </c>
    </row>
    <row r="8169" spans="3:4" ht="15" x14ac:dyDescent="0.25">
      <c r="C8169" s="8" t="e">
        <f>VLOOKUP(A:A,'ITEM LIST'!A:C,3,0)</f>
        <v>#N/A</v>
      </c>
      <c r="D8169" s="6">
        <f t="shared" si="128"/>
        <v>0</v>
      </c>
    </row>
    <row r="8170" spans="3:4" ht="15" x14ac:dyDescent="0.25">
      <c r="C8170" s="8" t="e">
        <f>VLOOKUP(A:A,'ITEM LIST'!A:C,3,0)</f>
        <v>#N/A</v>
      </c>
      <c r="D8170" s="6">
        <f t="shared" si="128"/>
        <v>0</v>
      </c>
    </row>
    <row r="8171" spans="3:4" ht="15" x14ac:dyDescent="0.25">
      <c r="C8171" s="8" t="e">
        <f>VLOOKUP(A:A,'ITEM LIST'!A:C,3,0)</f>
        <v>#N/A</v>
      </c>
      <c r="D8171" s="6">
        <f t="shared" si="128"/>
        <v>0</v>
      </c>
    </row>
    <row r="8172" spans="3:4" ht="15" x14ac:dyDescent="0.25">
      <c r="C8172" s="8" t="e">
        <f>VLOOKUP(A:A,'ITEM LIST'!A:C,3,0)</f>
        <v>#N/A</v>
      </c>
      <c r="D8172" s="6">
        <f t="shared" si="128"/>
        <v>0</v>
      </c>
    </row>
    <row r="8173" spans="3:4" ht="15" x14ac:dyDescent="0.25">
      <c r="C8173" s="8" t="e">
        <f>VLOOKUP(A:A,'ITEM LIST'!A:C,3,0)</f>
        <v>#N/A</v>
      </c>
      <c r="D8173" s="6">
        <f t="shared" si="128"/>
        <v>0</v>
      </c>
    </row>
    <row r="8174" spans="3:4" ht="15" x14ac:dyDescent="0.25">
      <c r="C8174" s="8" t="e">
        <f>VLOOKUP(A:A,'ITEM LIST'!A:C,3,0)</f>
        <v>#N/A</v>
      </c>
      <c r="D8174" s="6">
        <f t="shared" si="128"/>
        <v>0</v>
      </c>
    </row>
    <row r="8175" spans="3:4" ht="15" x14ac:dyDescent="0.25">
      <c r="C8175" s="8" t="e">
        <f>VLOOKUP(A:A,'ITEM LIST'!A:C,3,0)</f>
        <v>#N/A</v>
      </c>
      <c r="D8175" s="6">
        <f t="shared" si="128"/>
        <v>0</v>
      </c>
    </row>
    <row r="8176" spans="3:4" ht="15" x14ac:dyDescent="0.25">
      <c r="C8176" s="8" t="e">
        <f>VLOOKUP(A:A,'ITEM LIST'!A:C,3,0)</f>
        <v>#N/A</v>
      </c>
      <c r="D8176" s="6">
        <f t="shared" si="128"/>
        <v>0</v>
      </c>
    </row>
    <row r="8177" spans="3:4" ht="15" x14ac:dyDescent="0.25">
      <c r="C8177" s="8" t="e">
        <f>VLOOKUP(A:A,'ITEM LIST'!A:C,3,0)</f>
        <v>#N/A</v>
      </c>
      <c r="D8177" s="6">
        <f t="shared" si="128"/>
        <v>0</v>
      </c>
    </row>
    <row r="8178" spans="3:4" ht="15" x14ac:dyDescent="0.25">
      <c r="C8178" s="8" t="e">
        <f>VLOOKUP(A:A,'ITEM LIST'!A:C,3,0)</f>
        <v>#N/A</v>
      </c>
      <c r="D8178" s="6">
        <f t="shared" si="128"/>
        <v>0</v>
      </c>
    </row>
    <row r="8179" spans="3:4" ht="15" x14ac:dyDescent="0.25">
      <c r="C8179" s="8" t="e">
        <f>VLOOKUP(A:A,'ITEM LIST'!A:C,3,0)</f>
        <v>#N/A</v>
      </c>
      <c r="D8179" s="6">
        <f t="shared" si="128"/>
        <v>0</v>
      </c>
    </row>
    <row r="8180" spans="3:4" ht="15" x14ac:dyDescent="0.25">
      <c r="C8180" s="8" t="e">
        <f>VLOOKUP(A:A,'ITEM LIST'!A:C,3,0)</f>
        <v>#N/A</v>
      </c>
      <c r="D8180" s="6">
        <f t="shared" si="128"/>
        <v>0</v>
      </c>
    </row>
    <row r="8181" spans="3:4" ht="15" x14ac:dyDescent="0.25">
      <c r="C8181" s="8" t="e">
        <f>VLOOKUP(A:A,'ITEM LIST'!A:C,3,0)</f>
        <v>#N/A</v>
      </c>
      <c r="D8181" s="6">
        <f t="shared" si="128"/>
        <v>0</v>
      </c>
    </row>
    <row r="8182" spans="3:4" ht="15" x14ac:dyDescent="0.25">
      <c r="C8182" s="8" t="e">
        <f>VLOOKUP(A:A,'ITEM LIST'!A:C,3,0)</f>
        <v>#N/A</v>
      </c>
      <c r="D8182" s="6">
        <f t="shared" si="128"/>
        <v>0</v>
      </c>
    </row>
    <row r="8183" spans="3:4" ht="15" x14ac:dyDescent="0.25">
      <c r="C8183" s="8" t="e">
        <f>VLOOKUP(A:A,'ITEM LIST'!A:C,3,0)</f>
        <v>#N/A</v>
      </c>
      <c r="D8183" s="6">
        <f t="shared" si="128"/>
        <v>0</v>
      </c>
    </row>
    <row r="8184" spans="3:4" ht="15" x14ac:dyDescent="0.25">
      <c r="C8184" s="8" t="e">
        <f>VLOOKUP(A:A,'ITEM LIST'!A:C,3,0)</f>
        <v>#N/A</v>
      </c>
      <c r="D8184" s="6">
        <f t="shared" si="128"/>
        <v>0</v>
      </c>
    </row>
    <row r="8185" spans="3:4" ht="15" x14ac:dyDescent="0.25">
      <c r="C8185" s="8" t="e">
        <f>VLOOKUP(A:A,'ITEM LIST'!A:C,3,0)</f>
        <v>#N/A</v>
      </c>
      <c r="D8185" s="6">
        <f t="shared" si="128"/>
        <v>0</v>
      </c>
    </row>
    <row r="8186" spans="3:4" ht="15" x14ac:dyDescent="0.25">
      <c r="C8186" s="8" t="e">
        <f>VLOOKUP(A:A,'ITEM LIST'!A:C,3,0)</f>
        <v>#N/A</v>
      </c>
      <c r="D8186" s="6">
        <f t="shared" si="128"/>
        <v>0</v>
      </c>
    </row>
    <row r="8187" spans="3:4" ht="15" x14ac:dyDescent="0.25">
      <c r="C8187" s="8" t="e">
        <f>VLOOKUP(A:A,'ITEM LIST'!A:C,3,0)</f>
        <v>#N/A</v>
      </c>
      <c r="D8187" s="6">
        <f t="shared" si="128"/>
        <v>0</v>
      </c>
    </row>
    <row r="8188" spans="3:4" ht="15" x14ac:dyDescent="0.25">
      <c r="C8188" s="8" t="e">
        <f>VLOOKUP(A:A,'ITEM LIST'!A:C,3,0)</f>
        <v>#N/A</v>
      </c>
      <c r="D8188" s="6">
        <f t="shared" si="128"/>
        <v>0</v>
      </c>
    </row>
    <row r="8189" spans="3:4" ht="15" x14ac:dyDescent="0.25">
      <c r="C8189" s="8" t="e">
        <f>VLOOKUP(A:A,'ITEM LIST'!A:C,3,0)</f>
        <v>#N/A</v>
      </c>
      <c r="D8189" s="6">
        <f t="shared" si="128"/>
        <v>0</v>
      </c>
    </row>
    <row r="8190" spans="3:4" ht="15" x14ac:dyDescent="0.25">
      <c r="C8190" s="8" t="e">
        <f>VLOOKUP(A:A,'ITEM LIST'!A:C,3,0)</f>
        <v>#N/A</v>
      </c>
      <c r="D8190" s="6">
        <f t="shared" si="128"/>
        <v>0</v>
      </c>
    </row>
    <row r="8191" spans="3:4" ht="15" x14ac:dyDescent="0.25">
      <c r="C8191" s="8" t="e">
        <f>VLOOKUP(A:A,'ITEM LIST'!A:C,3,0)</f>
        <v>#N/A</v>
      </c>
      <c r="D8191" s="6">
        <f t="shared" si="128"/>
        <v>0</v>
      </c>
    </row>
    <row r="8192" spans="3:4" ht="15" x14ac:dyDescent="0.25">
      <c r="C8192" s="8" t="e">
        <f>VLOOKUP(A:A,'ITEM LIST'!A:C,3,0)</f>
        <v>#N/A</v>
      </c>
      <c r="D8192" s="6">
        <f t="shared" si="128"/>
        <v>0</v>
      </c>
    </row>
    <row r="8193" spans="3:4" ht="15" x14ac:dyDescent="0.25">
      <c r="C8193" s="8" t="e">
        <f>VLOOKUP(A:A,'ITEM LIST'!A:C,3,0)</f>
        <v>#N/A</v>
      </c>
      <c r="D8193" s="6">
        <f t="shared" si="128"/>
        <v>0</v>
      </c>
    </row>
    <row r="8194" spans="3:4" ht="15" x14ac:dyDescent="0.25">
      <c r="C8194" s="8" t="e">
        <f>VLOOKUP(A:A,'ITEM LIST'!A:C,3,0)</f>
        <v>#N/A</v>
      </c>
      <c r="D8194" s="6">
        <f t="shared" si="128"/>
        <v>0</v>
      </c>
    </row>
    <row r="8195" spans="3:4" ht="15" x14ac:dyDescent="0.25">
      <c r="C8195" s="8" t="e">
        <f>VLOOKUP(A:A,'ITEM LIST'!A:C,3,0)</f>
        <v>#N/A</v>
      </c>
      <c r="D8195" s="6">
        <f t="shared" si="128"/>
        <v>0</v>
      </c>
    </row>
    <row r="8196" spans="3:4" ht="15" x14ac:dyDescent="0.25">
      <c r="C8196" s="8" t="e">
        <f>VLOOKUP(A:A,'ITEM LIST'!A:C,3,0)</f>
        <v>#N/A</v>
      </c>
      <c r="D8196" s="6">
        <f t="shared" si="128"/>
        <v>0</v>
      </c>
    </row>
    <row r="8197" spans="3:4" ht="15" x14ac:dyDescent="0.25">
      <c r="C8197" s="8" t="e">
        <f>VLOOKUP(A:A,'ITEM LIST'!A:C,3,0)</f>
        <v>#N/A</v>
      </c>
      <c r="D8197" s="6">
        <f t="shared" si="128"/>
        <v>0</v>
      </c>
    </row>
    <row r="8198" spans="3:4" ht="15" x14ac:dyDescent="0.25">
      <c r="C8198" s="8" t="e">
        <f>VLOOKUP(A:A,'ITEM LIST'!A:C,3,0)</f>
        <v>#N/A</v>
      </c>
      <c r="D8198" s="6">
        <f t="shared" ref="D8198:D8261" si="129">B8198</f>
        <v>0</v>
      </c>
    </row>
    <row r="8199" spans="3:4" ht="15" x14ac:dyDescent="0.25">
      <c r="C8199" s="8" t="e">
        <f>VLOOKUP(A:A,'ITEM LIST'!A:C,3,0)</f>
        <v>#N/A</v>
      </c>
      <c r="D8199" s="6">
        <f t="shared" si="129"/>
        <v>0</v>
      </c>
    </row>
    <row r="8200" spans="3:4" ht="15" x14ac:dyDescent="0.25">
      <c r="C8200" s="8" t="e">
        <f>VLOOKUP(A:A,'ITEM LIST'!A:C,3,0)</f>
        <v>#N/A</v>
      </c>
      <c r="D8200" s="6">
        <f t="shared" si="129"/>
        <v>0</v>
      </c>
    </row>
    <row r="8201" spans="3:4" ht="15" x14ac:dyDescent="0.25">
      <c r="C8201" s="8" t="e">
        <f>VLOOKUP(A:A,'ITEM LIST'!A:C,3,0)</f>
        <v>#N/A</v>
      </c>
      <c r="D8201" s="6">
        <f t="shared" si="129"/>
        <v>0</v>
      </c>
    </row>
    <row r="8202" spans="3:4" ht="15" x14ac:dyDescent="0.25">
      <c r="C8202" s="8" t="e">
        <f>VLOOKUP(A:A,'ITEM LIST'!A:C,3,0)</f>
        <v>#N/A</v>
      </c>
      <c r="D8202" s="6">
        <f t="shared" si="129"/>
        <v>0</v>
      </c>
    </row>
    <row r="8203" spans="3:4" ht="15" x14ac:dyDescent="0.25">
      <c r="C8203" s="8" t="e">
        <f>VLOOKUP(A:A,'ITEM LIST'!A:C,3,0)</f>
        <v>#N/A</v>
      </c>
      <c r="D8203" s="6">
        <f t="shared" si="129"/>
        <v>0</v>
      </c>
    </row>
    <row r="8204" spans="3:4" ht="15" x14ac:dyDescent="0.25">
      <c r="C8204" s="8" t="e">
        <f>VLOOKUP(A:A,'ITEM LIST'!A:C,3,0)</f>
        <v>#N/A</v>
      </c>
      <c r="D8204" s="6">
        <f t="shared" si="129"/>
        <v>0</v>
      </c>
    </row>
    <row r="8205" spans="3:4" ht="15" x14ac:dyDescent="0.25">
      <c r="C8205" s="8" t="e">
        <f>VLOOKUP(A:A,'ITEM LIST'!A:C,3,0)</f>
        <v>#N/A</v>
      </c>
      <c r="D8205" s="6">
        <f t="shared" si="129"/>
        <v>0</v>
      </c>
    </row>
    <row r="8206" spans="3:4" ht="15" x14ac:dyDescent="0.25">
      <c r="C8206" s="8" t="e">
        <f>VLOOKUP(A:A,'ITEM LIST'!A:C,3,0)</f>
        <v>#N/A</v>
      </c>
      <c r="D8206" s="6">
        <f t="shared" si="129"/>
        <v>0</v>
      </c>
    </row>
    <row r="8207" spans="3:4" ht="15" x14ac:dyDescent="0.25">
      <c r="C8207" s="8" t="e">
        <f>VLOOKUP(A:A,'ITEM LIST'!A:C,3,0)</f>
        <v>#N/A</v>
      </c>
      <c r="D8207" s="6">
        <f t="shared" si="129"/>
        <v>0</v>
      </c>
    </row>
    <row r="8208" spans="3:4" ht="15" x14ac:dyDescent="0.25">
      <c r="C8208" s="8" t="e">
        <f>VLOOKUP(A:A,'ITEM LIST'!A:C,3,0)</f>
        <v>#N/A</v>
      </c>
      <c r="D8208" s="6">
        <f t="shared" si="129"/>
        <v>0</v>
      </c>
    </row>
    <row r="8209" spans="3:4" ht="15" x14ac:dyDescent="0.25">
      <c r="C8209" s="8" t="e">
        <f>VLOOKUP(A:A,'ITEM LIST'!A:C,3,0)</f>
        <v>#N/A</v>
      </c>
      <c r="D8209" s="6">
        <f t="shared" si="129"/>
        <v>0</v>
      </c>
    </row>
    <row r="8210" spans="3:4" ht="15" x14ac:dyDescent="0.25">
      <c r="C8210" s="8" t="e">
        <f>VLOOKUP(A:A,'ITEM LIST'!A:C,3,0)</f>
        <v>#N/A</v>
      </c>
      <c r="D8210" s="6">
        <f t="shared" si="129"/>
        <v>0</v>
      </c>
    </row>
    <row r="8211" spans="3:4" ht="15" x14ac:dyDescent="0.25">
      <c r="C8211" s="8" t="e">
        <f>VLOOKUP(A:A,'ITEM LIST'!A:C,3,0)</f>
        <v>#N/A</v>
      </c>
      <c r="D8211" s="6">
        <f t="shared" si="129"/>
        <v>0</v>
      </c>
    </row>
    <row r="8212" spans="3:4" ht="15" x14ac:dyDescent="0.25">
      <c r="C8212" s="8" t="e">
        <f>VLOOKUP(A:A,'ITEM LIST'!A:C,3,0)</f>
        <v>#N/A</v>
      </c>
      <c r="D8212" s="6">
        <f t="shared" si="129"/>
        <v>0</v>
      </c>
    </row>
    <row r="8213" spans="3:4" ht="15" x14ac:dyDescent="0.25">
      <c r="C8213" s="8" t="e">
        <f>VLOOKUP(A:A,'ITEM LIST'!A:C,3,0)</f>
        <v>#N/A</v>
      </c>
      <c r="D8213" s="6">
        <f t="shared" si="129"/>
        <v>0</v>
      </c>
    </row>
    <row r="8214" spans="3:4" ht="15" x14ac:dyDescent="0.25">
      <c r="C8214" s="8" t="e">
        <f>VLOOKUP(A:A,'ITEM LIST'!A:C,3,0)</f>
        <v>#N/A</v>
      </c>
      <c r="D8214" s="6">
        <f t="shared" si="129"/>
        <v>0</v>
      </c>
    </row>
    <row r="8215" spans="3:4" ht="15" x14ac:dyDescent="0.25">
      <c r="C8215" s="8" t="e">
        <f>VLOOKUP(A:A,'ITEM LIST'!A:C,3,0)</f>
        <v>#N/A</v>
      </c>
      <c r="D8215" s="6">
        <f t="shared" si="129"/>
        <v>0</v>
      </c>
    </row>
    <row r="8216" spans="3:4" ht="15" x14ac:dyDescent="0.25">
      <c r="C8216" s="8" t="e">
        <f>VLOOKUP(A:A,'ITEM LIST'!A:C,3,0)</f>
        <v>#N/A</v>
      </c>
      <c r="D8216" s="6">
        <f t="shared" si="129"/>
        <v>0</v>
      </c>
    </row>
    <row r="8217" spans="3:4" ht="15" x14ac:dyDescent="0.25">
      <c r="C8217" s="8" t="e">
        <f>VLOOKUP(A:A,'ITEM LIST'!A:C,3,0)</f>
        <v>#N/A</v>
      </c>
      <c r="D8217" s="6">
        <f t="shared" si="129"/>
        <v>0</v>
      </c>
    </row>
    <row r="8218" spans="3:4" ht="15" x14ac:dyDescent="0.25">
      <c r="C8218" s="8" t="e">
        <f>VLOOKUP(A:A,'ITEM LIST'!A:C,3,0)</f>
        <v>#N/A</v>
      </c>
      <c r="D8218" s="6">
        <f t="shared" si="129"/>
        <v>0</v>
      </c>
    </row>
    <row r="8219" spans="3:4" ht="15" x14ac:dyDescent="0.25">
      <c r="C8219" s="8" t="e">
        <f>VLOOKUP(A:A,'ITEM LIST'!A:C,3,0)</f>
        <v>#N/A</v>
      </c>
      <c r="D8219" s="6">
        <f t="shared" si="129"/>
        <v>0</v>
      </c>
    </row>
    <row r="8220" spans="3:4" ht="15" x14ac:dyDescent="0.25">
      <c r="C8220" s="8" t="e">
        <f>VLOOKUP(A:A,'ITEM LIST'!A:C,3,0)</f>
        <v>#N/A</v>
      </c>
      <c r="D8220" s="6">
        <f t="shared" si="129"/>
        <v>0</v>
      </c>
    </row>
    <row r="8221" spans="3:4" ht="15" x14ac:dyDescent="0.25">
      <c r="C8221" s="8" t="e">
        <f>VLOOKUP(A:A,'ITEM LIST'!A:C,3,0)</f>
        <v>#N/A</v>
      </c>
      <c r="D8221" s="6">
        <f t="shared" si="129"/>
        <v>0</v>
      </c>
    </row>
    <row r="8222" spans="3:4" ht="15" x14ac:dyDescent="0.25">
      <c r="C8222" s="8" t="e">
        <f>VLOOKUP(A:A,'ITEM LIST'!A:C,3,0)</f>
        <v>#N/A</v>
      </c>
      <c r="D8222" s="6">
        <f t="shared" si="129"/>
        <v>0</v>
      </c>
    </row>
    <row r="8223" spans="3:4" ht="15" x14ac:dyDescent="0.25">
      <c r="C8223" s="8" t="e">
        <f>VLOOKUP(A:A,'ITEM LIST'!A:C,3,0)</f>
        <v>#N/A</v>
      </c>
      <c r="D8223" s="6">
        <f t="shared" si="129"/>
        <v>0</v>
      </c>
    </row>
    <row r="8224" spans="3:4" ht="15" x14ac:dyDescent="0.25">
      <c r="C8224" s="8" t="e">
        <f>VLOOKUP(A:A,'ITEM LIST'!A:C,3,0)</f>
        <v>#N/A</v>
      </c>
      <c r="D8224" s="6">
        <f t="shared" si="129"/>
        <v>0</v>
      </c>
    </row>
    <row r="8225" spans="3:4" ht="15" x14ac:dyDescent="0.25">
      <c r="C8225" s="8" t="e">
        <f>VLOOKUP(A:A,'ITEM LIST'!A:C,3,0)</f>
        <v>#N/A</v>
      </c>
      <c r="D8225" s="6">
        <f t="shared" si="129"/>
        <v>0</v>
      </c>
    </row>
    <row r="8226" spans="3:4" ht="15" x14ac:dyDescent="0.25">
      <c r="C8226" s="8" t="e">
        <f>VLOOKUP(A:A,'ITEM LIST'!A:C,3,0)</f>
        <v>#N/A</v>
      </c>
      <c r="D8226" s="6">
        <f t="shared" si="129"/>
        <v>0</v>
      </c>
    </row>
    <row r="8227" spans="3:4" ht="15" x14ac:dyDescent="0.25">
      <c r="C8227" s="8" t="e">
        <f>VLOOKUP(A:A,'ITEM LIST'!A:C,3,0)</f>
        <v>#N/A</v>
      </c>
      <c r="D8227" s="6">
        <f t="shared" si="129"/>
        <v>0</v>
      </c>
    </row>
    <row r="8228" spans="3:4" ht="15" x14ac:dyDescent="0.25">
      <c r="C8228" s="8" t="e">
        <f>VLOOKUP(A:A,'ITEM LIST'!A:C,3,0)</f>
        <v>#N/A</v>
      </c>
      <c r="D8228" s="6">
        <f t="shared" si="129"/>
        <v>0</v>
      </c>
    </row>
    <row r="8229" spans="3:4" ht="15" x14ac:dyDescent="0.25">
      <c r="C8229" s="8" t="e">
        <f>VLOOKUP(A:A,'ITEM LIST'!A:C,3,0)</f>
        <v>#N/A</v>
      </c>
      <c r="D8229" s="6">
        <f t="shared" si="129"/>
        <v>0</v>
      </c>
    </row>
    <row r="8230" spans="3:4" ht="15" x14ac:dyDescent="0.25">
      <c r="C8230" s="8" t="e">
        <f>VLOOKUP(A:A,'ITEM LIST'!A:C,3,0)</f>
        <v>#N/A</v>
      </c>
      <c r="D8230" s="6">
        <f t="shared" si="129"/>
        <v>0</v>
      </c>
    </row>
    <row r="8231" spans="3:4" ht="15" x14ac:dyDescent="0.25">
      <c r="C8231" s="8" t="e">
        <f>VLOOKUP(A:A,'ITEM LIST'!A:C,3,0)</f>
        <v>#N/A</v>
      </c>
      <c r="D8231" s="6">
        <f t="shared" si="129"/>
        <v>0</v>
      </c>
    </row>
    <row r="8232" spans="3:4" ht="15" x14ac:dyDescent="0.25">
      <c r="C8232" s="8" t="e">
        <f>VLOOKUP(A:A,'ITEM LIST'!A:C,3,0)</f>
        <v>#N/A</v>
      </c>
      <c r="D8232" s="6">
        <f t="shared" si="129"/>
        <v>0</v>
      </c>
    </row>
    <row r="8233" spans="3:4" ht="15" x14ac:dyDescent="0.25">
      <c r="C8233" s="8" t="e">
        <f>VLOOKUP(A:A,'ITEM LIST'!A:C,3,0)</f>
        <v>#N/A</v>
      </c>
      <c r="D8233" s="6">
        <f t="shared" si="129"/>
        <v>0</v>
      </c>
    </row>
    <row r="8234" spans="3:4" ht="15" x14ac:dyDescent="0.25">
      <c r="C8234" s="8" t="e">
        <f>VLOOKUP(A:A,'ITEM LIST'!A:C,3,0)</f>
        <v>#N/A</v>
      </c>
      <c r="D8234" s="6">
        <f t="shared" si="129"/>
        <v>0</v>
      </c>
    </row>
    <row r="8235" spans="3:4" ht="15" x14ac:dyDescent="0.25">
      <c r="C8235" s="8" t="e">
        <f>VLOOKUP(A:A,'ITEM LIST'!A:C,3,0)</f>
        <v>#N/A</v>
      </c>
      <c r="D8235" s="6">
        <f t="shared" si="129"/>
        <v>0</v>
      </c>
    </row>
    <row r="8236" spans="3:4" ht="15" x14ac:dyDescent="0.25">
      <c r="C8236" s="8" t="e">
        <f>VLOOKUP(A:A,'ITEM LIST'!A:C,3,0)</f>
        <v>#N/A</v>
      </c>
      <c r="D8236" s="6">
        <f t="shared" si="129"/>
        <v>0</v>
      </c>
    </row>
    <row r="8237" spans="3:4" ht="15" x14ac:dyDescent="0.25">
      <c r="C8237" s="8" t="e">
        <f>VLOOKUP(A:A,'ITEM LIST'!A:C,3,0)</f>
        <v>#N/A</v>
      </c>
      <c r="D8237" s="6">
        <f t="shared" si="129"/>
        <v>0</v>
      </c>
    </row>
    <row r="8238" spans="3:4" ht="15" x14ac:dyDescent="0.25">
      <c r="C8238" s="8" t="e">
        <f>VLOOKUP(A:A,'ITEM LIST'!A:C,3,0)</f>
        <v>#N/A</v>
      </c>
      <c r="D8238" s="6">
        <f t="shared" si="129"/>
        <v>0</v>
      </c>
    </row>
    <row r="8239" spans="3:4" ht="15" x14ac:dyDescent="0.25">
      <c r="C8239" s="8" t="e">
        <f>VLOOKUP(A:A,'ITEM LIST'!A:C,3,0)</f>
        <v>#N/A</v>
      </c>
      <c r="D8239" s="6">
        <f t="shared" si="129"/>
        <v>0</v>
      </c>
    </row>
    <row r="8240" spans="3:4" ht="15" x14ac:dyDescent="0.25">
      <c r="C8240" s="8" t="e">
        <f>VLOOKUP(A:A,'ITEM LIST'!A:C,3,0)</f>
        <v>#N/A</v>
      </c>
      <c r="D8240" s="6">
        <f t="shared" si="129"/>
        <v>0</v>
      </c>
    </row>
    <row r="8241" spans="3:4" ht="15" x14ac:dyDescent="0.25">
      <c r="C8241" s="8" t="e">
        <f>VLOOKUP(A:A,'ITEM LIST'!A:C,3,0)</f>
        <v>#N/A</v>
      </c>
      <c r="D8241" s="6">
        <f t="shared" si="129"/>
        <v>0</v>
      </c>
    </row>
    <row r="8242" spans="3:4" ht="15" x14ac:dyDescent="0.25">
      <c r="C8242" s="8" t="e">
        <f>VLOOKUP(A:A,'ITEM LIST'!A:C,3,0)</f>
        <v>#N/A</v>
      </c>
      <c r="D8242" s="6">
        <f t="shared" si="129"/>
        <v>0</v>
      </c>
    </row>
    <row r="8243" spans="3:4" ht="15" x14ac:dyDescent="0.25">
      <c r="C8243" s="8" t="e">
        <f>VLOOKUP(A:A,'ITEM LIST'!A:C,3,0)</f>
        <v>#N/A</v>
      </c>
      <c r="D8243" s="6">
        <f t="shared" si="129"/>
        <v>0</v>
      </c>
    </row>
    <row r="8244" spans="3:4" ht="15" x14ac:dyDescent="0.25">
      <c r="C8244" s="8" t="e">
        <f>VLOOKUP(A:A,'ITEM LIST'!A:C,3,0)</f>
        <v>#N/A</v>
      </c>
      <c r="D8244" s="6">
        <f t="shared" si="129"/>
        <v>0</v>
      </c>
    </row>
    <row r="8245" spans="3:4" ht="15" x14ac:dyDescent="0.25">
      <c r="C8245" s="8" t="e">
        <f>VLOOKUP(A:A,'ITEM LIST'!A:C,3,0)</f>
        <v>#N/A</v>
      </c>
      <c r="D8245" s="6">
        <f t="shared" si="129"/>
        <v>0</v>
      </c>
    </row>
    <row r="8246" spans="3:4" ht="15" x14ac:dyDescent="0.25">
      <c r="C8246" s="8" t="e">
        <f>VLOOKUP(A:A,'ITEM LIST'!A:C,3,0)</f>
        <v>#N/A</v>
      </c>
      <c r="D8246" s="6">
        <f t="shared" si="129"/>
        <v>0</v>
      </c>
    </row>
    <row r="8247" spans="3:4" ht="15" x14ac:dyDescent="0.25">
      <c r="C8247" s="8" t="e">
        <f>VLOOKUP(A:A,'ITEM LIST'!A:C,3,0)</f>
        <v>#N/A</v>
      </c>
      <c r="D8247" s="6">
        <f t="shared" si="129"/>
        <v>0</v>
      </c>
    </row>
    <row r="8248" spans="3:4" ht="15" x14ac:dyDescent="0.25">
      <c r="C8248" s="8" t="e">
        <f>VLOOKUP(A:A,'ITEM LIST'!A:C,3,0)</f>
        <v>#N/A</v>
      </c>
      <c r="D8248" s="6">
        <f t="shared" si="129"/>
        <v>0</v>
      </c>
    </row>
    <row r="8249" spans="3:4" ht="15" x14ac:dyDescent="0.25">
      <c r="C8249" s="8" t="e">
        <f>VLOOKUP(A:A,'ITEM LIST'!A:C,3,0)</f>
        <v>#N/A</v>
      </c>
      <c r="D8249" s="6">
        <f t="shared" si="129"/>
        <v>0</v>
      </c>
    </row>
    <row r="8250" spans="3:4" ht="15" x14ac:dyDescent="0.25">
      <c r="C8250" s="8" t="e">
        <f>VLOOKUP(A:A,'ITEM LIST'!A:C,3,0)</f>
        <v>#N/A</v>
      </c>
      <c r="D8250" s="6">
        <f t="shared" si="129"/>
        <v>0</v>
      </c>
    </row>
    <row r="8251" spans="3:4" ht="15" x14ac:dyDescent="0.25">
      <c r="C8251" s="8" t="e">
        <f>VLOOKUP(A:A,'ITEM LIST'!A:C,3,0)</f>
        <v>#N/A</v>
      </c>
      <c r="D8251" s="6">
        <f t="shared" si="129"/>
        <v>0</v>
      </c>
    </row>
    <row r="8252" spans="3:4" ht="15" x14ac:dyDescent="0.25">
      <c r="C8252" s="8" t="e">
        <f>VLOOKUP(A:A,'ITEM LIST'!A:C,3,0)</f>
        <v>#N/A</v>
      </c>
      <c r="D8252" s="6">
        <f t="shared" si="129"/>
        <v>0</v>
      </c>
    </row>
    <row r="8253" spans="3:4" ht="15" x14ac:dyDescent="0.25">
      <c r="C8253" s="8" t="e">
        <f>VLOOKUP(A:A,'ITEM LIST'!A:C,3,0)</f>
        <v>#N/A</v>
      </c>
      <c r="D8253" s="6">
        <f t="shared" si="129"/>
        <v>0</v>
      </c>
    </row>
    <row r="8254" spans="3:4" ht="15" x14ac:dyDescent="0.25">
      <c r="C8254" s="8" t="e">
        <f>VLOOKUP(A:A,'ITEM LIST'!A:C,3,0)</f>
        <v>#N/A</v>
      </c>
      <c r="D8254" s="6">
        <f t="shared" si="129"/>
        <v>0</v>
      </c>
    </row>
    <row r="8255" spans="3:4" ht="15" x14ac:dyDescent="0.25">
      <c r="C8255" s="8" t="e">
        <f>VLOOKUP(A:A,'ITEM LIST'!A:C,3,0)</f>
        <v>#N/A</v>
      </c>
      <c r="D8255" s="6">
        <f t="shared" si="129"/>
        <v>0</v>
      </c>
    </row>
    <row r="8256" spans="3:4" ht="15" x14ac:dyDescent="0.25">
      <c r="C8256" s="8" t="e">
        <f>VLOOKUP(A:A,'ITEM LIST'!A:C,3,0)</f>
        <v>#N/A</v>
      </c>
      <c r="D8256" s="6">
        <f t="shared" si="129"/>
        <v>0</v>
      </c>
    </row>
    <row r="8257" spans="3:4" ht="15" x14ac:dyDescent="0.25">
      <c r="C8257" s="8" t="e">
        <f>VLOOKUP(A:A,'ITEM LIST'!A:C,3,0)</f>
        <v>#N/A</v>
      </c>
      <c r="D8257" s="6">
        <f t="shared" si="129"/>
        <v>0</v>
      </c>
    </row>
    <row r="8258" spans="3:4" ht="15" x14ac:dyDescent="0.25">
      <c r="C8258" s="8" t="e">
        <f>VLOOKUP(A:A,'ITEM LIST'!A:C,3,0)</f>
        <v>#N/A</v>
      </c>
      <c r="D8258" s="6">
        <f t="shared" si="129"/>
        <v>0</v>
      </c>
    </row>
    <row r="8259" spans="3:4" ht="15" x14ac:dyDescent="0.25">
      <c r="C8259" s="8" t="e">
        <f>VLOOKUP(A:A,'ITEM LIST'!A:C,3,0)</f>
        <v>#N/A</v>
      </c>
      <c r="D8259" s="6">
        <f t="shared" si="129"/>
        <v>0</v>
      </c>
    </row>
    <row r="8260" spans="3:4" ht="15" x14ac:dyDescent="0.25">
      <c r="C8260" s="8" t="e">
        <f>VLOOKUP(A:A,'ITEM LIST'!A:C,3,0)</f>
        <v>#N/A</v>
      </c>
      <c r="D8260" s="6">
        <f t="shared" si="129"/>
        <v>0</v>
      </c>
    </row>
    <row r="8261" spans="3:4" ht="15" x14ac:dyDescent="0.25">
      <c r="C8261" s="8" t="e">
        <f>VLOOKUP(A:A,'ITEM LIST'!A:C,3,0)</f>
        <v>#N/A</v>
      </c>
      <c r="D8261" s="6">
        <f t="shared" si="129"/>
        <v>0</v>
      </c>
    </row>
    <row r="8262" spans="3:4" ht="15" x14ac:dyDescent="0.25">
      <c r="C8262" s="8" t="e">
        <f>VLOOKUP(A:A,'ITEM LIST'!A:C,3,0)</f>
        <v>#N/A</v>
      </c>
      <c r="D8262" s="6">
        <f t="shared" ref="D8262:D8325" si="130">B8262</f>
        <v>0</v>
      </c>
    </row>
    <row r="8263" spans="3:4" ht="15" x14ac:dyDescent="0.25">
      <c r="C8263" s="8" t="e">
        <f>VLOOKUP(A:A,'ITEM LIST'!A:C,3,0)</f>
        <v>#N/A</v>
      </c>
      <c r="D8263" s="6">
        <f t="shared" si="130"/>
        <v>0</v>
      </c>
    </row>
    <row r="8264" spans="3:4" ht="15" x14ac:dyDescent="0.25">
      <c r="C8264" s="8" t="e">
        <f>VLOOKUP(A:A,'ITEM LIST'!A:C,3,0)</f>
        <v>#N/A</v>
      </c>
      <c r="D8264" s="6">
        <f t="shared" si="130"/>
        <v>0</v>
      </c>
    </row>
    <row r="8265" spans="3:4" ht="15" x14ac:dyDescent="0.25">
      <c r="C8265" s="8" t="e">
        <f>VLOOKUP(A:A,'ITEM LIST'!A:C,3,0)</f>
        <v>#N/A</v>
      </c>
      <c r="D8265" s="6">
        <f t="shared" si="130"/>
        <v>0</v>
      </c>
    </row>
    <row r="8266" spans="3:4" ht="15" x14ac:dyDescent="0.25">
      <c r="C8266" s="8" t="e">
        <f>VLOOKUP(A:A,'ITEM LIST'!A:C,3,0)</f>
        <v>#N/A</v>
      </c>
      <c r="D8266" s="6">
        <f t="shared" si="130"/>
        <v>0</v>
      </c>
    </row>
    <row r="8267" spans="3:4" ht="15" x14ac:dyDescent="0.25">
      <c r="C8267" s="8" t="e">
        <f>VLOOKUP(A:A,'ITEM LIST'!A:C,3,0)</f>
        <v>#N/A</v>
      </c>
      <c r="D8267" s="6">
        <f t="shared" si="130"/>
        <v>0</v>
      </c>
    </row>
    <row r="8268" spans="3:4" ht="15" x14ac:dyDescent="0.25">
      <c r="C8268" s="8" t="e">
        <f>VLOOKUP(A:A,'ITEM LIST'!A:C,3,0)</f>
        <v>#N/A</v>
      </c>
      <c r="D8268" s="6">
        <f t="shared" si="130"/>
        <v>0</v>
      </c>
    </row>
    <row r="8269" spans="3:4" ht="15" x14ac:dyDescent="0.25">
      <c r="C8269" s="8" t="e">
        <f>VLOOKUP(A:A,'ITEM LIST'!A:C,3,0)</f>
        <v>#N/A</v>
      </c>
      <c r="D8269" s="6">
        <f t="shared" si="130"/>
        <v>0</v>
      </c>
    </row>
    <row r="8270" spans="3:4" ht="15" x14ac:dyDescent="0.25">
      <c r="C8270" s="8" t="e">
        <f>VLOOKUP(A:A,'ITEM LIST'!A:C,3,0)</f>
        <v>#N/A</v>
      </c>
      <c r="D8270" s="6">
        <f t="shared" si="130"/>
        <v>0</v>
      </c>
    </row>
    <row r="8271" spans="3:4" ht="15" x14ac:dyDescent="0.25">
      <c r="C8271" s="8" t="e">
        <f>VLOOKUP(A:A,'ITEM LIST'!A:C,3,0)</f>
        <v>#N/A</v>
      </c>
      <c r="D8271" s="6">
        <f t="shared" si="130"/>
        <v>0</v>
      </c>
    </row>
    <row r="8272" spans="3:4" ht="15" x14ac:dyDescent="0.25">
      <c r="C8272" s="8" t="e">
        <f>VLOOKUP(A:A,'ITEM LIST'!A:C,3,0)</f>
        <v>#N/A</v>
      </c>
      <c r="D8272" s="6">
        <f t="shared" si="130"/>
        <v>0</v>
      </c>
    </row>
    <row r="8273" spans="3:4" ht="15" x14ac:dyDescent="0.25">
      <c r="C8273" s="8" t="e">
        <f>VLOOKUP(A:A,'ITEM LIST'!A:C,3,0)</f>
        <v>#N/A</v>
      </c>
      <c r="D8273" s="6">
        <f t="shared" si="130"/>
        <v>0</v>
      </c>
    </row>
    <row r="8274" spans="3:4" ht="15" x14ac:dyDescent="0.25">
      <c r="C8274" s="8" t="e">
        <f>VLOOKUP(A:A,'ITEM LIST'!A:C,3,0)</f>
        <v>#N/A</v>
      </c>
      <c r="D8274" s="6">
        <f t="shared" si="130"/>
        <v>0</v>
      </c>
    </row>
    <row r="8275" spans="3:4" ht="15" x14ac:dyDescent="0.25">
      <c r="C8275" s="8" t="e">
        <f>VLOOKUP(A:A,'ITEM LIST'!A:C,3,0)</f>
        <v>#N/A</v>
      </c>
      <c r="D8275" s="6">
        <f t="shared" si="130"/>
        <v>0</v>
      </c>
    </row>
    <row r="8276" spans="3:4" ht="15" x14ac:dyDescent="0.25">
      <c r="C8276" s="8" t="e">
        <f>VLOOKUP(A:A,'ITEM LIST'!A:C,3,0)</f>
        <v>#N/A</v>
      </c>
      <c r="D8276" s="6">
        <f t="shared" si="130"/>
        <v>0</v>
      </c>
    </row>
    <row r="8277" spans="3:4" ht="15" x14ac:dyDescent="0.25">
      <c r="C8277" s="8" t="e">
        <f>VLOOKUP(A:A,'ITEM LIST'!A:C,3,0)</f>
        <v>#N/A</v>
      </c>
      <c r="D8277" s="6">
        <f t="shared" si="130"/>
        <v>0</v>
      </c>
    </row>
    <row r="8278" spans="3:4" ht="15" x14ac:dyDescent="0.25">
      <c r="C8278" s="8" t="e">
        <f>VLOOKUP(A:A,'ITEM LIST'!A:C,3,0)</f>
        <v>#N/A</v>
      </c>
      <c r="D8278" s="6">
        <f t="shared" si="130"/>
        <v>0</v>
      </c>
    </row>
    <row r="8279" spans="3:4" ht="15" x14ac:dyDescent="0.25">
      <c r="C8279" s="8" t="e">
        <f>VLOOKUP(A:A,'ITEM LIST'!A:C,3,0)</f>
        <v>#N/A</v>
      </c>
      <c r="D8279" s="6">
        <f t="shared" si="130"/>
        <v>0</v>
      </c>
    </row>
    <row r="8280" spans="3:4" ht="15" x14ac:dyDescent="0.25">
      <c r="C8280" s="8" t="e">
        <f>VLOOKUP(A:A,'ITEM LIST'!A:C,3,0)</f>
        <v>#N/A</v>
      </c>
      <c r="D8280" s="6">
        <f t="shared" si="130"/>
        <v>0</v>
      </c>
    </row>
    <row r="8281" spans="3:4" ht="15" x14ac:dyDescent="0.25">
      <c r="C8281" s="8" t="e">
        <f>VLOOKUP(A:A,'ITEM LIST'!A:C,3,0)</f>
        <v>#N/A</v>
      </c>
      <c r="D8281" s="6">
        <f t="shared" si="130"/>
        <v>0</v>
      </c>
    </row>
    <row r="8282" spans="3:4" ht="15" x14ac:dyDescent="0.25">
      <c r="C8282" s="8" t="e">
        <f>VLOOKUP(A:A,'ITEM LIST'!A:C,3,0)</f>
        <v>#N/A</v>
      </c>
      <c r="D8282" s="6">
        <f t="shared" si="130"/>
        <v>0</v>
      </c>
    </row>
    <row r="8283" spans="3:4" ht="15" x14ac:dyDescent="0.25">
      <c r="C8283" s="8" t="e">
        <f>VLOOKUP(A:A,'ITEM LIST'!A:C,3,0)</f>
        <v>#N/A</v>
      </c>
      <c r="D8283" s="6">
        <f t="shared" si="130"/>
        <v>0</v>
      </c>
    </row>
    <row r="8284" spans="3:4" ht="15" x14ac:dyDescent="0.25">
      <c r="C8284" s="8" t="e">
        <f>VLOOKUP(A:A,'ITEM LIST'!A:C,3,0)</f>
        <v>#N/A</v>
      </c>
      <c r="D8284" s="6">
        <f t="shared" si="130"/>
        <v>0</v>
      </c>
    </row>
    <row r="8285" spans="3:4" ht="15" x14ac:dyDescent="0.25">
      <c r="C8285" s="8" t="e">
        <f>VLOOKUP(A:A,'ITEM LIST'!A:C,3,0)</f>
        <v>#N/A</v>
      </c>
      <c r="D8285" s="6">
        <f t="shared" si="130"/>
        <v>0</v>
      </c>
    </row>
    <row r="8286" spans="3:4" ht="15" x14ac:dyDescent="0.25">
      <c r="C8286" s="8" t="e">
        <f>VLOOKUP(A:A,'ITEM LIST'!A:C,3,0)</f>
        <v>#N/A</v>
      </c>
      <c r="D8286" s="6">
        <f t="shared" si="130"/>
        <v>0</v>
      </c>
    </row>
    <row r="8287" spans="3:4" ht="15" x14ac:dyDescent="0.25">
      <c r="C8287" s="8" t="e">
        <f>VLOOKUP(A:A,'ITEM LIST'!A:C,3,0)</f>
        <v>#N/A</v>
      </c>
      <c r="D8287" s="6">
        <f t="shared" si="130"/>
        <v>0</v>
      </c>
    </row>
    <row r="8288" spans="3:4" ht="15" x14ac:dyDescent="0.25">
      <c r="C8288" s="8" t="e">
        <f>VLOOKUP(A:A,'ITEM LIST'!A:C,3,0)</f>
        <v>#N/A</v>
      </c>
      <c r="D8288" s="6">
        <f t="shared" si="130"/>
        <v>0</v>
      </c>
    </row>
    <row r="8289" spans="3:4" ht="15" x14ac:dyDescent="0.25">
      <c r="C8289" s="8" t="e">
        <f>VLOOKUP(A:A,'ITEM LIST'!A:C,3,0)</f>
        <v>#N/A</v>
      </c>
      <c r="D8289" s="6">
        <f t="shared" si="130"/>
        <v>0</v>
      </c>
    </row>
    <row r="8290" spans="3:4" ht="15" x14ac:dyDescent="0.25">
      <c r="C8290" s="8" t="e">
        <f>VLOOKUP(A:A,'ITEM LIST'!A:C,3,0)</f>
        <v>#N/A</v>
      </c>
      <c r="D8290" s="6">
        <f t="shared" si="130"/>
        <v>0</v>
      </c>
    </row>
    <row r="8291" spans="3:4" ht="15" x14ac:dyDescent="0.25">
      <c r="C8291" s="8" t="e">
        <f>VLOOKUP(A:A,'ITEM LIST'!A:C,3,0)</f>
        <v>#N/A</v>
      </c>
      <c r="D8291" s="6">
        <f t="shared" si="130"/>
        <v>0</v>
      </c>
    </row>
    <row r="8292" spans="3:4" ht="15" x14ac:dyDescent="0.25">
      <c r="C8292" s="8" t="e">
        <f>VLOOKUP(A:A,'ITEM LIST'!A:C,3,0)</f>
        <v>#N/A</v>
      </c>
      <c r="D8292" s="6">
        <f t="shared" si="130"/>
        <v>0</v>
      </c>
    </row>
    <row r="8293" spans="3:4" ht="15" x14ac:dyDescent="0.25">
      <c r="C8293" s="8" t="e">
        <f>VLOOKUP(A:A,'ITEM LIST'!A:C,3,0)</f>
        <v>#N/A</v>
      </c>
      <c r="D8293" s="6">
        <f t="shared" si="130"/>
        <v>0</v>
      </c>
    </row>
    <row r="8294" spans="3:4" ht="15" x14ac:dyDescent="0.25">
      <c r="C8294" s="8" t="e">
        <f>VLOOKUP(A:A,'ITEM LIST'!A:C,3,0)</f>
        <v>#N/A</v>
      </c>
      <c r="D8294" s="6">
        <f t="shared" si="130"/>
        <v>0</v>
      </c>
    </row>
    <row r="8295" spans="3:4" ht="15" x14ac:dyDescent="0.25">
      <c r="C8295" s="8" t="e">
        <f>VLOOKUP(A:A,'ITEM LIST'!A:C,3,0)</f>
        <v>#N/A</v>
      </c>
      <c r="D8295" s="6">
        <f t="shared" si="130"/>
        <v>0</v>
      </c>
    </row>
    <row r="8296" spans="3:4" ht="15" x14ac:dyDescent="0.25">
      <c r="C8296" s="8" t="e">
        <f>VLOOKUP(A:A,'ITEM LIST'!A:C,3,0)</f>
        <v>#N/A</v>
      </c>
      <c r="D8296" s="6">
        <f t="shared" si="130"/>
        <v>0</v>
      </c>
    </row>
    <row r="8297" spans="3:4" ht="15" x14ac:dyDescent="0.25">
      <c r="C8297" s="8" t="e">
        <f>VLOOKUP(A:A,'ITEM LIST'!A:C,3,0)</f>
        <v>#N/A</v>
      </c>
      <c r="D8297" s="6">
        <f t="shared" si="130"/>
        <v>0</v>
      </c>
    </row>
    <row r="8298" spans="3:4" ht="15" x14ac:dyDescent="0.25">
      <c r="C8298" s="8" t="e">
        <f>VLOOKUP(A:A,'ITEM LIST'!A:C,3,0)</f>
        <v>#N/A</v>
      </c>
      <c r="D8298" s="6">
        <f t="shared" si="130"/>
        <v>0</v>
      </c>
    </row>
    <row r="8299" spans="3:4" ht="15" x14ac:dyDescent="0.25">
      <c r="C8299" s="8" t="e">
        <f>VLOOKUP(A:A,'ITEM LIST'!A:C,3,0)</f>
        <v>#N/A</v>
      </c>
      <c r="D8299" s="6">
        <f t="shared" si="130"/>
        <v>0</v>
      </c>
    </row>
    <row r="8300" spans="3:4" ht="15" x14ac:dyDescent="0.25">
      <c r="C8300" s="8" t="e">
        <f>VLOOKUP(A:A,'ITEM LIST'!A:C,3,0)</f>
        <v>#N/A</v>
      </c>
      <c r="D8300" s="6">
        <f t="shared" si="130"/>
        <v>0</v>
      </c>
    </row>
    <row r="8301" spans="3:4" ht="15" x14ac:dyDescent="0.25">
      <c r="C8301" s="8" t="e">
        <f>VLOOKUP(A:A,'ITEM LIST'!A:C,3,0)</f>
        <v>#N/A</v>
      </c>
      <c r="D8301" s="6">
        <f t="shared" si="130"/>
        <v>0</v>
      </c>
    </row>
    <row r="8302" spans="3:4" ht="15" x14ac:dyDescent="0.25">
      <c r="C8302" s="8" t="e">
        <f>VLOOKUP(A:A,'ITEM LIST'!A:C,3,0)</f>
        <v>#N/A</v>
      </c>
      <c r="D8302" s="6">
        <f t="shared" si="130"/>
        <v>0</v>
      </c>
    </row>
    <row r="8303" spans="3:4" ht="15" x14ac:dyDescent="0.25">
      <c r="C8303" s="8" t="e">
        <f>VLOOKUP(A:A,'ITEM LIST'!A:C,3,0)</f>
        <v>#N/A</v>
      </c>
      <c r="D8303" s="6">
        <f t="shared" si="130"/>
        <v>0</v>
      </c>
    </row>
    <row r="8304" spans="3:4" ht="15" x14ac:dyDescent="0.25">
      <c r="C8304" s="8" t="e">
        <f>VLOOKUP(A:A,'ITEM LIST'!A:C,3,0)</f>
        <v>#N/A</v>
      </c>
      <c r="D8304" s="6">
        <f t="shared" si="130"/>
        <v>0</v>
      </c>
    </row>
    <row r="8305" spans="3:4" ht="15" x14ac:dyDescent="0.25">
      <c r="C8305" s="8" t="e">
        <f>VLOOKUP(A:A,'ITEM LIST'!A:C,3,0)</f>
        <v>#N/A</v>
      </c>
      <c r="D8305" s="6">
        <f t="shared" si="130"/>
        <v>0</v>
      </c>
    </row>
    <row r="8306" spans="3:4" ht="15" x14ac:dyDescent="0.25">
      <c r="C8306" s="8" t="e">
        <f>VLOOKUP(A:A,'ITEM LIST'!A:C,3,0)</f>
        <v>#N/A</v>
      </c>
      <c r="D8306" s="6">
        <f t="shared" si="130"/>
        <v>0</v>
      </c>
    </row>
    <row r="8307" spans="3:4" ht="15" x14ac:dyDescent="0.25">
      <c r="C8307" s="8" t="e">
        <f>VLOOKUP(A:A,'ITEM LIST'!A:C,3,0)</f>
        <v>#N/A</v>
      </c>
      <c r="D8307" s="6">
        <f t="shared" si="130"/>
        <v>0</v>
      </c>
    </row>
    <row r="8308" spans="3:4" ht="15" x14ac:dyDescent="0.25">
      <c r="C8308" s="8" t="e">
        <f>VLOOKUP(A:A,'ITEM LIST'!A:C,3,0)</f>
        <v>#N/A</v>
      </c>
      <c r="D8308" s="6">
        <f t="shared" si="130"/>
        <v>0</v>
      </c>
    </row>
    <row r="8309" spans="3:4" ht="15" x14ac:dyDescent="0.25">
      <c r="C8309" s="8" t="e">
        <f>VLOOKUP(A:A,'ITEM LIST'!A:C,3,0)</f>
        <v>#N/A</v>
      </c>
      <c r="D8309" s="6">
        <f t="shared" si="130"/>
        <v>0</v>
      </c>
    </row>
    <row r="8310" spans="3:4" ht="15" x14ac:dyDescent="0.25">
      <c r="C8310" s="8" t="e">
        <f>VLOOKUP(A:A,'ITEM LIST'!A:C,3,0)</f>
        <v>#N/A</v>
      </c>
      <c r="D8310" s="6">
        <f t="shared" si="130"/>
        <v>0</v>
      </c>
    </row>
    <row r="8311" spans="3:4" ht="15" x14ac:dyDescent="0.25">
      <c r="C8311" s="8" t="e">
        <f>VLOOKUP(A:A,'ITEM LIST'!A:C,3,0)</f>
        <v>#N/A</v>
      </c>
      <c r="D8311" s="6">
        <f t="shared" si="130"/>
        <v>0</v>
      </c>
    </row>
    <row r="8312" spans="3:4" ht="15" x14ac:dyDescent="0.25">
      <c r="C8312" s="8" t="e">
        <f>VLOOKUP(A:A,'ITEM LIST'!A:C,3,0)</f>
        <v>#N/A</v>
      </c>
      <c r="D8312" s="6">
        <f t="shared" si="130"/>
        <v>0</v>
      </c>
    </row>
    <row r="8313" spans="3:4" ht="15" x14ac:dyDescent="0.25">
      <c r="C8313" s="8" t="e">
        <f>VLOOKUP(A:A,'ITEM LIST'!A:C,3,0)</f>
        <v>#N/A</v>
      </c>
      <c r="D8313" s="6">
        <f t="shared" si="130"/>
        <v>0</v>
      </c>
    </row>
    <row r="8314" spans="3:4" ht="15" x14ac:dyDescent="0.25">
      <c r="C8314" s="8" t="e">
        <f>VLOOKUP(A:A,'ITEM LIST'!A:C,3,0)</f>
        <v>#N/A</v>
      </c>
      <c r="D8314" s="6">
        <f t="shared" si="130"/>
        <v>0</v>
      </c>
    </row>
    <row r="8315" spans="3:4" ht="15" x14ac:dyDescent="0.25">
      <c r="C8315" s="8" t="e">
        <f>VLOOKUP(A:A,'ITEM LIST'!A:C,3,0)</f>
        <v>#N/A</v>
      </c>
      <c r="D8315" s="6">
        <f t="shared" si="130"/>
        <v>0</v>
      </c>
    </row>
    <row r="8316" spans="3:4" ht="15" x14ac:dyDescent="0.25">
      <c r="C8316" s="8" t="e">
        <f>VLOOKUP(A:A,'ITEM LIST'!A:C,3,0)</f>
        <v>#N/A</v>
      </c>
      <c r="D8316" s="6">
        <f t="shared" si="130"/>
        <v>0</v>
      </c>
    </row>
    <row r="8317" spans="3:4" ht="15" x14ac:dyDescent="0.25">
      <c r="C8317" s="8" t="e">
        <f>VLOOKUP(A:A,'ITEM LIST'!A:C,3,0)</f>
        <v>#N/A</v>
      </c>
      <c r="D8317" s="6">
        <f t="shared" si="130"/>
        <v>0</v>
      </c>
    </row>
    <row r="8318" spans="3:4" ht="15" x14ac:dyDescent="0.25">
      <c r="C8318" s="8" t="e">
        <f>VLOOKUP(A:A,'ITEM LIST'!A:C,3,0)</f>
        <v>#N/A</v>
      </c>
      <c r="D8318" s="6">
        <f t="shared" si="130"/>
        <v>0</v>
      </c>
    </row>
    <row r="8319" spans="3:4" ht="15" x14ac:dyDescent="0.25">
      <c r="C8319" s="8" t="e">
        <f>VLOOKUP(A:A,'ITEM LIST'!A:C,3,0)</f>
        <v>#N/A</v>
      </c>
      <c r="D8319" s="6">
        <f t="shared" si="130"/>
        <v>0</v>
      </c>
    </row>
    <row r="8320" spans="3:4" ht="15" x14ac:dyDescent="0.25">
      <c r="C8320" s="8" t="e">
        <f>VLOOKUP(A:A,'ITEM LIST'!A:C,3,0)</f>
        <v>#N/A</v>
      </c>
      <c r="D8320" s="6">
        <f t="shared" si="130"/>
        <v>0</v>
      </c>
    </row>
    <row r="8321" spans="3:4" ht="15" x14ac:dyDescent="0.25">
      <c r="C8321" s="8" t="e">
        <f>VLOOKUP(A:A,'ITEM LIST'!A:C,3,0)</f>
        <v>#N/A</v>
      </c>
      <c r="D8321" s="6">
        <f t="shared" si="130"/>
        <v>0</v>
      </c>
    </row>
    <row r="8322" spans="3:4" ht="15" x14ac:dyDescent="0.25">
      <c r="C8322" s="8" t="e">
        <f>VLOOKUP(A:A,'ITEM LIST'!A:C,3,0)</f>
        <v>#N/A</v>
      </c>
      <c r="D8322" s="6">
        <f t="shared" si="130"/>
        <v>0</v>
      </c>
    </row>
    <row r="8323" spans="3:4" ht="15" x14ac:dyDescent="0.25">
      <c r="C8323" s="8" t="e">
        <f>VLOOKUP(A:A,'ITEM LIST'!A:C,3,0)</f>
        <v>#N/A</v>
      </c>
      <c r="D8323" s="6">
        <f t="shared" si="130"/>
        <v>0</v>
      </c>
    </row>
    <row r="8324" spans="3:4" ht="15" x14ac:dyDescent="0.25">
      <c r="C8324" s="8" t="e">
        <f>VLOOKUP(A:A,'ITEM LIST'!A:C,3,0)</f>
        <v>#N/A</v>
      </c>
      <c r="D8324" s="6">
        <f t="shared" si="130"/>
        <v>0</v>
      </c>
    </row>
    <row r="8325" spans="3:4" ht="15" x14ac:dyDescent="0.25">
      <c r="C8325" s="8" t="e">
        <f>VLOOKUP(A:A,'ITEM LIST'!A:C,3,0)</f>
        <v>#N/A</v>
      </c>
      <c r="D8325" s="6">
        <f t="shared" si="130"/>
        <v>0</v>
      </c>
    </row>
    <row r="8326" spans="3:4" ht="15" x14ac:dyDescent="0.25">
      <c r="C8326" s="8" t="e">
        <f>VLOOKUP(A:A,'ITEM LIST'!A:C,3,0)</f>
        <v>#N/A</v>
      </c>
      <c r="D8326" s="6">
        <f t="shared" ref="D8326:D8389" si="131">B8326</f>
        <v>0</v>
      </c>
    </row>
    <row r="8327" spans="3:4" ht="15" x14ac:dyDescent="0.25">
      <c r="C8327" s="8" t="e">
        <f>VLOOKUP(A:A,'ITEM LIST'!A:C,3,0)</f>
        <v>#N/A</v>
      </c>
      <c r="D8327" s="6">
        <f t="shared" si="131"/>
        <v>0</v>
      </c>
    </row>
    <row r="8328" spans="3:4" ht="15" x14ac:dyDescent="0.25">
      <c r="C8328" s="8" t="e">
        <f>VLOOKUP(A:A,'ITEM LIST'!A:C,3,0)</f>
        <v>#N/A</v>
      </c>
      <c r="D8328" s="6">
        <f t="shared" si="131"/>
        <v>0</v>
      </c>
    </row>
    <row r="8329" spans="3:4" ht="15" x14ac:dyDescent="0.25">
      <c r="C8329" s="8" t="e">
        <f>VLOOKUP(A:A,'ITEM LIST'!A:C,3,0)</f>
        <v>#N/A</v>
      </c>
      <c r="D8329" s="6">
        <f t="shared" si="131"/>
        <v>0</v>
      </c>
    </row>
    <row r="8330" spans="3:4" ht="15" x14ac:dyDescent="0.25">
      <c r="C8330" s="8" t="e">
        <f>VLOOKUP(A:A,'ITEM LIST'!A:C,3,0)</f>
        <v>#N/A</v>
      </c>
      <c r="D8330" s="6">
        <f t="shared" si="131"/>
        <v>0</v>
      </c>
    </row>
    <row r="8331" spans="3:4" ht="15" x14ac:dyDescent="0.25">
      <c r="C8331" s="8" t="e">
        <f>VLOOKUP(A:A,'ITEM LIST'!A:C,3,0)</f>
        <v>#N/A</v>
      </c>
      <c r="D8331" s="6">
        <f t="shared" si="131"/>
        <v>0</v>
      </c>
    </row>
    <row r="8332" spans="3:4" ht="15" x14ac:dyDescent="0.25">
      <c r="C8332" s="8" t="e">
        <f>VLOOKUP(A:A,'ITEM LIST'!A:C,3,0)</f>
        <v>#N/A</v>
      </c>
      <c r="D8332" s="6">
        <f t="shared" si="131"/>
        <v>0</v>
      </c>
    </row>
    <row r="8333" spans="3:4" ht="15" x14ac:dyDescent="0.25">
      <c r="C8333" s="8" t="e">
        <f>VLOOKUP(A:A,'ITEM LIST'!A:C,3,0)</f>
        <v>#N/A</v>
      </c>
      <c r="D8333" s="6">
        <f t="shared" si="131"/>
        <v>0</v>
      </c>
    </row>
    <row r="8334" spans="3:4" ht="15" x14ac:dyDescent="0.25">
      <c r="C8334" s="8" t="e">
        <f>VLOOKUP(A:A,'ITEM LIST'!A:C,3,0)</f>
        <v>#N/A</v>
      </c>
      <c r="D8334" s="6">
        <f t="shared" si="131"/>
        <v>0</v>
      </c>
    </row>
    <row r="8335" spans="3:4" ht="15" x14ac:dyDescent="0.25">
      <c r="C8335" s="8" t="e">
        <f>VLOOKUP(A:A,'ITEM LIST'!A:C,3,0)</f>
        <v>#N/A</v>
      </c>
      <c r="D8335" s="6">
        <f t="shared" si="131"/>
        <v>0</v>
      </c>
    </row>
    <row r="8336" spans="3:4" ht="15" x14ac:dyDescent="0.25">
      <c r="C8336" s="8" t="e">
        <f>VLOOKUP(A:A,'ITEM LIST'!A:C,3,0)</f>
        <v>#N/A</v>
      </c>
      <c r="D8336" s="6">
        <f t="shared" si="131"/>
        <v>0</v>
      </c>
    </row>
    <row r="8337" spans="3:4" ht="15" x14ac:dyDescent="0.25">
      <c r="C8337" s="8" t="e">
        <f>VLOOKUP(A:A,'ITEM LIST'!A:C,3,0)</f>
        <v>#N/A</v>
      </c>
      <c r="D8337" s="6">
        <f t="shared" si="131"/>
        <v>0</v>
      </c>
    </row>
    <row r="8338" spans="3:4" ht="15" x14ac:dyDescent="0.25">
      <c r="C8338" s="8" t="e">
        <f>VLOOKUP(A:A,'ITEM LIST'!A:C,3,0)</f>
        <v>#N/A</v>
      </c>
      <c r="D8338" s="6">
        <f t="shared" si="131"/>
        <v>0</v>
      </c>
    </row>
    <row r="8339" spans="3:4" ht="15" x14ac:dyDescent="0.25">
      <c r="C8339" s="8" t="e">
        <f>VLOOKUP(A:A,'ITEM LIST'!A:C,3,0)</f>
        <v>#N/A</v>
      </c>
      <c r="D8339" s="6">
        <f t="shared" si="131"/>
        <v>0</v>
      </c>
    </row>
    <row r="8340" spans="3:4" ht="15" x14ac:dyDescent="0.25">
      <c r="C8340" s="8" t="e">
        <f>VLOOKUP(A:A,'ITEM LIST'!A:C,3,0)</f>
        <v>#N/A</v>
      </c>
      <c r="D8340" s="6">
        <f t="shared" si="131"/>
        <v>0</v>
      </c>
    </row>
    <row r="8341" spans="3:4" ht="15" x14ac:dyDescent="0.25">
      <c r="C8341" s="8" t="e">
        <f>VLOOKUP(A:A,'ITEM LIST'!A:C,3,0)</f>
        <v>#N/A</v>
      </c>
      <c r="D8341" s="6">
        <f t="shared" si="131"/>
        <v>0</v>
      </c>
    </row>
    <row r="8342" spans="3:4" ht="15" x14ac:dyDescent="0.25">
      <c r="C8342" s="8" t="e">
        <f>VLOOKUP(A:A,'ITEM LIST'!A:C,3,0)</f>
        <v>#N/A</v>
      </c>
      <c r="D8342" s="6">
        <f t="shared" si="131"/>
        <v>0</v>
      </c>
    </row>
    <row r="8343" spans="3:4" ht="15" x14ac:dyDescent="0.25">
      <c r="C8343" s="8" t="e">
        <f>VLOOKUP(A:A,'ITEM LIST'!A:C,3,0)</f>
        <v>#N/A</v>
      </c>
      <c r="D8343" s="6">
        <f t="shared" si="131"/>
        <v>0</v>
      </c>
    </row>
    <row r="8344" spans="3:4" ht="15" x14ac:dyDescent="0.25">
      <c r="C8344" s="8" t="e">
        <f>VLOOKUP(A:A,'ITEM LIST'!A:C,3,0)</f>
        <v>#N/A</v>
      </c>
      <c r="D8344" s="6">
        <f t="shared" si="131"/>
        <v>0</v>
      </c>
    </row>
    <row r="8345" spans="3:4" ht="15" x14ac:dyDescent="0.25">
      <c r="C8345" s="8" t="e">
        <f>VLOOKUP(A:A,'ITEM LIST'!A:C,3,0)</f>
        <v>#N/A</v>
      </c>
      <c r="D8345" s="6">
        <f t="shared" si="131"/>
        <v>0</v>
      </c>
    </row>
    <row r="8346" spans="3:4" ht="15" x14ac:dyDescent="0.25">
      <c r="C8346" s="8" t="e">
        <f>VLOOKUP(A:A,'ITEM LIST'!A:C,3,0)</f>
        <v>#N/A</v>
      </c>
      <c r="D8346" s="6">
        <f t="shared" si="131"/>
        <v>0</v>
      </c>
    </row>
    <row r="8347" spans="3:4" ht="15" x14ac:dyDescent="0.25">
      <c r="C8347" s="8" t="e">
        <f>VLOOKUP(A:A,'ITEM LIST'!A:C,3,0)</f>
        <v>#N/A</v>
      </c>
      <c r="D8347" s="6">
        <f t="shared" si="131"/>
        <v>0</v>
      </c>
    </row>
    <row r="8348" spans="3:4" ht="15" x14ac:dyDescent="0.25">
      <c r="C8348" s="8" t="e">
        <f>VLOOKUP(A:A,'ITEM LIST'!A:C,3,0)</f>
        <v>#N/A</v>
      </c>
      <c r="D8348" s="6">
        <f t="shared" si="131"/>
        <v>0</v>
      </c>
    </row>
    <row r="8349" spans="3:4" ht="15" x14ac:dyDescent="0.25">
      <c r="C8349" s="8" t="e">
        <f>VLOOKUP(A:A,'ITEM LIST'!A:C,3,0)</f>
        <v>#N/A</v>
      </c>
      <c r="D8349" s="6">
        <f t="shared" si="131"/>
        <v>0</v>
      </c>
    </row>
    <row r="8350" spans="3:4" ht="15" x14ac:dyDescent="0.25">
      <c r="C8350" s="8" t="e">
        <f>VLOOKUP(A:A,'ITEM LIST'!A:C,3,0)</f>
        <v>#N/A</v>
      </c>
      <c r="D8350" s="6">
        <f t="shared" si="131"/>
        <v>0</v>
      </c>
    </row>
    <row r="8351" spans="3:4" ht="15" x14ac:dyDescent="0.25">
      <c r="C8351" s="8" t="e">
        <f>VLOOKUP(A:A,'ITEM LIST'!A:C,3,0)</f>
        <v>#N/A</v>
      </c>
      <c r="D8351" s="6">
        <f t="shared" si="131"/>
        <v>0</v>
      </c>
    </row>
    <row r="8352" spans="3:4" ht="15" x14ac:dyDescent="0.25">
      <c r="C8352" s="8" t="e">
        <f>VLOOKUP(A:A,'ITEM LIST'!A:C,3,0)</f>
        <v>#N/A</v>
      </c>
      <c r="D8352" s="6">
        <f t="shared" si="131"/>
        <v>0</v>
      </c>
    </row>
    <row r="8353" spans="3:4" ht="15" x14ac:dyDescent="0.25">
      <c r="C8353" s="8" t="e">
        <f>VLOOKUP(A:A,'ITEM LIST'!A:C,3,0)</f>
        <v>#N/A</v>
      </c>
      <c r="D8353" s="6">
        <f t="shared" si="131"/>
        <v>0</v>
      </c>
    </row>
    <row r="8354" spans="3:4" ht="15" x14ac:dyDescent="0.25">
      <c r="C8354" s="8" t="e">
        <f>VLOOKUP(A:A,'ITEM LIST'!A:C,3,0)</f>
        <v>#N/A</v>
      </c>
      <c r="D8354" s="6">
        <f t="shared" si="131"/>
        <v>0</v>
      </c>
    </row>
    <row r="8355" spans="3:4" ht="15" x14ac:dyDescent="0.25">
      <c r="C8355" s="8" t="e">
        <f>VLOOKUP(A:A,'ITEM LIST'!A:C,3,0)</f>
        <v>#N/A</v>
      </c>
      <c r="D8355" s="6">
        <f t="shared" si="131"/>
        <v>0</v>
      </c>
    </row>
    <row r="8356" spans="3:4" ht="15" x14ac:dyDescent="0.25">
      <c r="C8356" s="8" t="e">
        <f>VLOOKUP(A:A,'ITEM LIST'!A:C,3,0)</f>
        <v>#N/A</v>
      </c>
      <c r="D8356" s="6">
        <f t="shared" si="131"/>
        <v>0</v>
      </c>
    </row>
    <row r="8357" spans="3:4" ht="15" x14ac:dyDescent="0.25">
      <c r="C8357" s="8" t="e">
        <f>VLOOKUP(A:A,'ITEM LIST'!A:C,3,0)</f>
        <v>#N/A</v>
      </c>
      <c r="D8357" s="6">
        <f t="shared" si="131"/>
        <v>0</v>
      </c>
    </row>
    <row r="8358" spans="3:4" ht="15" x14ac:dyDescent="0.25">
      <c r="C8358" s="8" t="e">
        <f>VLOOKUP(A:A,'ITEM LIST'!A:C,3,0)</f>
        <v>#N/A</v>
      </c>
      <c r="D8358" s="6">
        <f t="shared" si="131"/>
        <v>0</v>
      </c>
    </row>
    <row r="8359" spans="3:4" ht="15" x14ac:dyDescent="0.25">
      <c r="C8359" s="8" t="e">
        <f>VLOOKUP(A:A,'ITEM LIST'!A:C,3,0)</f>
        <v>#N/A</v>
      </c>
      <c r="D8359" s="6">
        <f t="shared" si="131"/>
        <v>0</v>
      </c>
    </row>
    <row r="8360" spans="3:4" ht="15" x14ac:dyDescent="0.25">
      <c r="C8360" s="8" t="e">
        <f>VLOOKUP(A:A,'ITEM LIST'!A:C,3,0)</f>
        <v>#N/A</v>
      </c>
      <c r="D8360" s="6">
        <f t="shared" si="131"/>
        <v>0</v>
      </c>
    </row>
    <row r="8361" spans="3:4" ht="15" x14ac:dyDescent="0.25">
      <c r="C8361" s="8" t="e">
        <f>VLOOKUP(A:A,'ITEM LIST'!A:C,3,0)</f>
        <v>#N/A</v>
      </c>
      <c r="D8361" s="6">
        <f t="shared" si="131"/>
        <v>0</v>
      </c>
    </row>
    <row r="8362" spans="3:4" ht="15" x14ac:dyDescent="0.25">
      <c r="C8362" s="8" t="e">
        <f>VLOOKUP(A:A,'ITEM LIST'!A:C,3,0)</f>
        <v>#N/A</v>
      </c>
      <c r="D8362" s="6">
        <f t="shared" si="131"/>
        <v>0</v>
      </c>
    </row>
    <row r="8363" spans="3:4" ht="15" x14ac:dyDescent="0.25">
      <c r="C8363" s="8" t="e">
        <f>VLOOKUP(A:A,'ITEM LIST'!A:C,3,0)</f>
        <v>#N/A</v>
      </c>
      <c r="D8363" s="6">
        <f t="shared" si="131"/>
        <v>0</v>
      </c>
    </row>
    <row r="8364" spans="3:4" ht="15" x14ac:dyDescent="0.25">
      <c r="C8364" s="8" t="e">
        <f>VLOOKUP(A:A,'ITEM LIST'!A:C,3,0)</f>
        <v>#N/A</v>
      </c>
      <c r="D8364" s="6">
        <f t="shared" si="131"/>
        <v>0</v>
      </c>
    </row>
    <row r="8365" spans="3:4" ht="15" x14ac:dyDescent="0.25">
      <c r="C8365" s="8" t="e">
        <f>VLOOKUP(A:A,'ITEM LIST'!A:C,3,0)</f>
        <v>#N/A</v>
      </c>
      <c r="D8365" s="6">
        <f t="shared" si="131"/>
        <v>0</v>
      </c>
    </row>
    <row r="8366" spans="3:4" ht="15" x14ac:dyDescent="0.25">
      <c r="C8366" s="8" t="e">
        <f>VLOOKUP(A:A,'ITEM LIST'!A:C,3,0)</f>
        <v>#N/A</v>
      </c>
      <c r="D8366" s="6">
        <f t="shared" si="131"/>
        <v>0</v>
      </c>
    </row>
    <row r="8367" spans="3:4" ht="15" x14ac:dyDescent="0.25">
      <c r="C8367" s="8" t="e">
        <f>VLOOKUP(A:A,'ITEM LIST'!A:C,3,0)</f>
        <v>#N/A</v>
      </c>
      <c r="D8367" s="6">
        <f t="shared" si="131"/>
        <v>0</v>
      </c>
    </row>
    <row r="8368" spans="3:4" ht="15" x14ac:dyDescent="0.25">
      <c r="C8368" s="8" t="e">
        <f>VLOOKUP(A:A,'ITEM LIST'!A:C,3,0)</f>
        <v>#N/A</v>
      </c>
      <c r="D8368" s="6">
        <f t="shared" si="131"/>
        <v>0</v>
      </c>
    </row>
    <row r="8369" spans="3:4" ht="15" x14ac:dyDescent="0.25">
      <c r="C8369" s="8" t="e">
        <f>VLOOKUP(A:A,'ITEM LIST'!A:C,3,0)</f>
        <v>#N/A</v>
      </c>
      <c r="D8369" s="6">
        <f t="shared" si="131"/>
        <v>0</v>
      </c>
    </row>
    <row r="8370" spans="3:4" ht="15" x14ac:dyDescent="0.25">
      <c r="C8370" s="8" t="e">
        <f>VLOOKUP(A:A,'ITEM LIST'!A:C,3,0)</f>
        <v>#N/A</v>
      </c>
      <c r="D8370" s="6">
        <f t="shared" si="131"/>
        <v>0</v>
      </c>
    </row>
    <row r="8371" spans="3:4" ht="15" x14ac:dyDescent="0.25">
      <c r="C8371" s="8" t="e">
        <f>VLOOKUP(A:A,'ITEM LIST'!A:C,3,0)</f>
        <v>#N/A</v>
      </c>
      <c r="D8371" s="6">
        <f t="shared" si="131"/>
        <v>0</v>
      </c>
    </row>
    <row r="8372" spans="3:4" ht="15" x14ac:dyDescent="0.25">
      <c r="C8372" s="8" t="e">
        <f>VLOOKUP(A:A,'ITEM LIST'!A:C,3,0)</f>
        <v>#N/A</v>
      </c>
      <c r="D8372" s="6">
        <f t="shared" si="131"/>
        <v>0</v>
      </c>
    </row>
    <row r="8373" spans="3:4" ht="15" x14ac:dyDescent="0.25">
      <c r="C8373" s="8" t="e">
        <f>VLOOKUP(A:A,'ITEM LIST'!A:C,3,0)</f>
        <v>#N/A</v>
      </c>
      <c r="D8373" s="6">
        <f t="shared" si="131"/>
        <v>0</v>
      </c>
    </row>
    <row r="8374" spans="3:4" ht="15" x14ac:dyDescent="0.25">
      <c r="C8374" s="8" t="e">
        <f>VLOOKUP(A:A,'ITEM LIST'!A:C,3,0)</f>
        <v>#N/A</v>
      </c>
      <c r="D8374" s="6">
        <f t="shared" si="131"/>
        <v>0</v>
      </c>
    </row>
    <row r="8375" spans="3:4" ht="15" x14ac:dyDescent="0.25">
      <c r="C8375" s="8" t="e">
        <f>VLOOKUP(A:A,'ITEM LIST'!A:C,3,0)</f>
        <v>#N/A</v>
      </c>
      <c r="D8375" s="6">
        <f t="shared" si="131"/>
        <v>0</v>
      </c>
    </row>
    <row r="8376" spans="3:4" ht="15" x14ac:dyDescent="0.25">
      <c r="C8376" s="8" t="e">
        <f>VLOOKUP(A:A,'ITEM LIST'!A:C,3,0)</f>
        <v>#N/A</v>
      </c>
      <c r="D8376" s="6">
        <f t="shared" si="131"/>
        <v>0</v>
      </c>
    </row>
    <row r="8377" spans="3:4" ht="15" x14ac:dyDescent="0.25">
      <c r="C8377" s="8" t="e">
        <f>VLOOKUP(A:A,'ITEM LIST'!A:C,3,0)</f>
        <v>#N/A</v>
      </c>
      <c r="D8377" s="6">
        <f t="shared" si="131"/>
        <v>0</v>
      </c>
    </row>
    <row r="8378" spans="3:4" ht="15" x14ac:dyDescent="0.25">
      <c r="C8378" s="8" t="e">
        <f>VLOOKUP(A:A,'ITEM LIST'!A:C,3,0)</f>
        <v>#N/A</v>
      </c>
      <c r="D8378" s="6">
        <f t="shared" si="131"/>
        <v>0</v>
      </c>
    </row>
    <row r="8379" spans="3:4" ht="15" x14ac:dyDescent="0.25">
      <c r="C8379" s="8" t="e">
        <f>VLOOKUP(A:A,'ITEM LIST'!A:C,3,0)</f>
        <v>#N/A</v>
      </c>
      <c r="D8379" s="6">
        <f t="shared" si="131"/>
        <v>0</v>
      </c>
    </row>
    <row r="8380" spans="3:4" ht="15" x14ac:dyDescent="0.25">
      <c r="C8380" s="8" t="e">
        <f>VLOOKUP(A:A,'ITEM LIST'!A:C,3,0)</f>
        <v>#N/A</v>
      </c>
      <c r="D8380" s="6">
        <f t="shared" si="131"/>
        <v>0</v>
      </c>
    </row>
    <row r="8381" spans="3:4" ht="15" x14ac:dyDescent="0.25">
      <c r="C8381" s="8" t="e">
        <f>VLOOKUP(A:A,'ITEM LIST'!A:C,3,0)</f>
        <v>#N/A</v>
      </c>
      <c r="D8381" s="6">
        <f t="shared" si="131"/>
        <v>0</v>
      </c>
    </row>
    <row r="8382" spans="3:4" ht="15" x14ac:dyDescent="0.25">
      <c r="C8382" s="8" t="e">
        <f>VLOOKUP(A:A,'ITEM LIST'!A:C,3,0)</f>
        <v>#N/A</v>
      </c>
      <c r="D8382" s="6">
        <f t="shared" si="131"/>
        <v>0</v>
      </c>
    </row>
    <row r="8383" spans="3:4" ht="15" x14ac:dyDescent="0.25">
      <c r="C8383" s="8" t="e">
        <f>VLOOKUP(A:A,'ITEM LIST'!A:C,3,0)</f>
        <v>#N/A</v>
      </c>
      <c r="D8383" s="6">
        <f t="shared" si="131"/>
        <v>0</v>
      </c>
    </row>
    <row r="8384" spans="3:4" ht="15" x14ac:dyDescent="0.25">
      <c r="C8384" s="8" t="e">
        <f>VLOOKUP(A:A,'ITEM LIST'!A:C,3,0)</f>
        <v>#N/A</v>
      </c>
      <c r="D8384" s="6">
        <f t="shared" si="131"/>
        <v>0</v>
      </c>
    </row>
    <row r="8385" spans="3:4" ht="15" x14ac:dyDescent="0.25">
      <c r="C8385" s="8" t="e">
        <f>VLOOKUP(A:A,'ITEM LIST'!A:C,3,0)</f>
        <v>#N/A</v>
      </c>
      <c r="D8385" s="6">
        <f t="shared" si="131"/>
        <v>0</v>
      </c>
    </row>
    <row r="8386" spans="3:4" ht="15" x14ac:dyDescent="0.25">
      <c r="C8386" s="8" t="e">
        <f>VLOOKUP(A:A,'ITEM LIST'!A:C,3,0)</f>
        <v>#N/A</v>
      </c>
      <c r="D8386" s="6">
        <f t="shared" si="131"/>
        <v>0</v>
      </c>
    </row>
    <row r="8387" spans="3:4" ht="15" x14ac:dyDescent="0.25">
      <c r="C8387" s="8" t="e">
        <f>VLOOKUP(A:A,'ITEM LIST'!A:C,3,0)</f>
        <v>#N/A</v>
      </c>
      <c r="D8387" s="6">
        <f t="shared" si="131"/>
        <v>0</v>
      </c>
    </row>
    <row r="8388" spans="3:4" ht="15" x14ac:dyDescent="0.25">
      <c r="C8388" s="8" t="e">
        <f>VLOOKUP(A:A,'ITEM LIST'!A:C,3,0)</f>
        <v>#N/A</v>
      </c>
      <c r="D8388" s="6">
        <f t="shared" si="131"/>
        <v>0</v>
      </c>
    </row>
    <row r="8389" spans="3:4" ht="15" x14ac:dyDescent="0.25">
      <c r="C8389" s="8" t="e">
        <f>VLOOKUP(A:A,'ITEM LIST'!A:C,3,0)</f>
        <v>#N/A</v>
      </c>
      <c r="D8389" s="6">
        <f t="shared" si="131"/>
        <v>0</v>
      </c>
    </row>
    <row r="8390" spans="3:4" ht="15" x14ac:dyDescent="0.25">
      <c r="C8390" s="8" t="e">
        <f>VLOOKUP(A:A,'ITEM LIST'!A:C,3,0)</f>
        <v>#N/A</v>
      </c>
      <c r="D8390" s="6">
        <f t="shared" ref="D8390:D8453" si="132">B8390</f>
        <v>0</v>
      </c>
    </row>
    <row r="8391" spans="3:4" ht="15" x14ac:dyDescent="0.25">
      <c r="C8391" s="8" t="e">
        <f>VLOOKUP(A:A,'ITEM LIST'!A:C,3,0)</f>
        <v>#N/A</v>
      </c>
      <c r="D8391" s="6">
        <f t="shared" si="132"/>
        <v>0</v>
      </c>
    </row>
    <row r="8392" spans="3:4" ht="15" x14ac:dyDescent="0.25">
      <c r="C8392" s="8" t="e">
        <f>VLOOKUP(A:A,'ITEM LIST'!A:C,3,0)</f>
        <v>#N/A</v>
      </c>
      <c r="D8392" s="6">
        <f t="shared" si="132"/>
        <v>0</v>
      </c>
    </row>
    <row r="8393" spans="3:4" ht="15" x14ac:dyDescent="0.25">
      <c r="C8393" s="8" t="e">
        <f>VLOOKUP(A:A,'ITEM LIST'!A:C,3,0)</f>
        <v>#N/A</v>
      </c>
      <c r="D8393" s="6">
        <f t="shared" si="132"/>
        <v>0</v>
      </c>
    </row>
    <row r="8394" spans="3:4" ht="15" x14ac:dyDescent="0.25">
      <c r="C8394" s="8" t="e">
        <f>VLOOKUP(A:A,'ITEM LIST'!A:C,3,0)</f>
        <v>#N/A</v>
      </c>
      <c r="D8394" s="6">
        <f t="shared" si="132"/>
        <v>0</v>
      </c>
    </row>
    <row r="8395" spans="3:4" ht="15" x14ac:dyDescent="0.25">
      <c r="C8395" s="8" t="e">
        <f>VLOOKUP(A:A,'ITEM LIST'!A:C,3,0)</f>
        <v>#N/A</v>
      </c>
      <c r="D8395" s="6">
        <f t="shared" si="132"/>
        <v>0</v>
      </c>
    </row>
    <row r="8396" spans="3:4" ht="15" x14ac:dyDescent="0.25">
      <c r="C8396" s="8" t="e">
        <f>VLOOKUP(A:A,'ITEM LIST'!A:C,3,0)</f>
        <v>#N/A</v>
      </c>
      <c r="D8396" s="6">
        <f t="shared" si="132"/>
        <v>0</v>
      </c>
    </row>
    <row r="8397" spans="3:4" ht="15" x14ac:dyDescent="0.25">
      <c r="C8397" s="8" t="e">
        <f>VLOOKUP(A:A,'ITEM LIST'!A:C,3,0)</f>
        <v>#N/A</v>
      </c>
      <c r="D8397" s="6">
        <f t="shared" si="132"/>
        <v>0</v>
      </c>
    </row>
    <row r="8398" spans="3:4" ht="15" x14ac:dyDescent="0.25">
      <c r="C8398" s="8" t="e">
        <f>VLOOKUP(A:A,'ITEM LIST'!A:C,3,0)</f>
        <v>#N/A</v>
      </c>
      <c r="D8398" s="6">
        <f t="shared" si="132"/>
        <v>0</v>
      </c>
    </row>
    <row r="8399" spans="3:4" ht="15" x14ac:dyDescent="0.25">
      <c r="C8399" s="8" t="e">
        <f>VLOOKUP(A:A,'ITEM LIST'!A:C,3,0)</f>
        <v>#N/A</v>
      </c>
      <c r="D8399" s="6">
        <f t="shared" si="132"/>
        <v>0</v>
      </c>
    </row>
    <row r="8400" spans="3:4" ht="15" x14ac:dyDescent="0.25">
      <c r="C8400" s="8" t="e">
        <f>VLOOKUP(A:A,'ITEM LIST'!A:C,3,0)</f>
        <v>#N/A</v>
      </c>
      <c r="D8400" s="6">
        <f t="shared" si="132"/>
        <v>0</v>
      </c>
    </row>
    <row r="8401" spans="3:4" ht="15" x14ac:dyDescent="0.25">
      <c r="C8401" s="8" t="e">
        <f>VLOOKUP(A:A,'ITEM LIST'!A:C,3,0)</f>
        <v>#N/A</v>
      </c>
      <c r="D8401" s="6">
        <f t="shared" si="132"/>
        <v>0</v>
      </c>
    </row>
    <row r="8402" spans="3:4" ht="15" x14ac:dyDescent="0.25">
      <c r="C8402" s="8" t="e">
        <f>VLOOKUP(A:A,'ITEM LIST'!A:C,3,0)</f>
        <v>#N/A</v>
      </c>
      <c r="D8402" s="6">
        <f t="shared" si="132"/>
        <v>0</v>
      </c>
    </row>
    <row r="8403" spans="3:4" ht="15" x14ac:dyDescent="0.25">
      <c r="C8403" s="8" t="e">
        <f>VLOOKUP(A:A,'ITEM LIST'!A:C,3,0)</f>
        <v>#N/A</v>
      </c>
      <c r="D8403" s="6">
        <f t="shared" si="132"/>
        <v>0</v>
      </c>
    </row>
    <row r="8404" spans="3:4" ht="15" x14ac:dyDescent="0.25">
      <c r="C8404" s="8" t="e">
        <f>VLOOKUP(A:A,'ITEM LIST'!A:C,3,0)</f>
        <v>#N/A</v>
      </c>
      <c r="D8404" s="6">
        <f t="shared" si="132"/>
        <v>0</v>
      </c>
    </row>
    <row r="8405" spans="3:4" ht="15" x14ac:dyDescent="0.25">
      <c r="C8405" s="8" t="e">
        <f>VLOOKUP(A:A,'ITEM LIST'!A:C,3,0)</f>
        <v>#N/A</v>
      </c>
      <c r="D8405" s="6">
        <f t="shared" si="132"/>
        <v>0</v>
      </c>
    </row>
    <row r="8406" spans="3:4" ht="15" x14ac:dyDescent="0.25">
      <c r="C8406" s="8" t="e">
        <f>VLOOKUP(A:A,'ITEM LIST'!A:C,3,0)</f>
        <v>#N/A</v>
      </c>
      <c r="D8406" s="6">
        <f t="shared" si="132"/>
        <v>0</v>
      </c>
    </row>
    <row r="8407" spans="3:4" ht="15" x14ac:dyDescent="0.25">
      <c r="C8407" s="8" t="e">
        <f>VLOOKUP(A:A,'ITEM LIST'!A:C,3,0)</f>
        <v>#N/A</v>
      </c>
      <c r="D8407" s="6">
        <f t="shared" si="132"/>
        <v>0</v>
      </c>
    </row>
    <row r="8408" spans="3:4" ht="15" x14ac:dyDescent="0.25">
      <c r="C8408" s="8" t="e">
        <f>VLOOKUP(A:A,'ITEM LIST'!A:C,3,0)</f>
        <v>#N/A</v>
      </c>
      <c r="D8408" s="6">
        <f t="shared" si="132"/>
        <v>0</v>
      </c>
    </row>
    <row r="8409" spans="3:4" ht="15" x14ac:dyDescent="0.25">
      <c r="C8409" s="8" t="e">
        <f>VLOOKUP(A:A,'ITEM LIST'!A:C,3,0)</f>
        <v>#N/A</v>
      </c>
      <c r="D8409" s="6">
        <f t="shared" si="132"/>
        <v>0</v>
      </c>
    </row>
    <row r="8410" spans="3:4" ht="15" x14ac:dyDescent="0.25">
      <c r="C8410" s="8" t="e">
        <f>VLOOKUP(A:A,'ITEM LIST'!A:C,3,0)</f>
        <v>#N/A</v>
      </c>
      <c r="D8410" s="6">
        <f t="shared" si="132"/>
        <v>0</v>
      </c>
    </row>
    <row r="8411" spans="3:4" ht="15" x14ac:dyDescent="0.25">
      <c r="C8411" s="8" t="e">
        <f>VLOOKUP(A:A,'ITEM LIST'!A:C,3,0)</f>
        <v>#N/A</v>
      </c>
      <c r="D8411" s="6">
        <f t="shared" si="132"/>
        <v>0</v>
      </c>
    </row>
    <row r="8412" spans="3:4" ht="15" x14ac:dyDescent="0.25">
      <c r="C8412" s="8" t="e">
        <f>VLOOKUP(A:A,'ITEM LIST'!A:C,3,0)</f>
        <v>#N/A</v>
      </c>
      <c r="D8412" s="6">
        <f t="shared" si="132"/>
        <v>0</v>
      </c>
    </row>
    <row r="8413" spans="3:4" ht="15" x14ac:dyDescent="0.25">
      <c r="C8413" s="8" t="e">
        <f>VLOOKUP(A:A,'ITEM LIST'!A:C,3,0)</f>
        <v>#N/A</v>
      </c>
      <c r="D8413" s="6">
        <f t="shared" si="132"/>
        <v>0</v>
      </c>
    </row>
    <row r="8414" spans="3:4" ht="15" x14ac:dyDescent="0.25">
      <c r="C8414" s="8" t="e">
        <f>VLOOKUP(A:A,'ITEM LIST'!A:C,3,0)</f>
        <v>#N/A</v>
      </c>
      <c r="D8414" s="6">
        <f t="shared" si="132"/>
        <v>0</v>
      </c>
    </row>
    <row r="8415" spans="3:4" ht="15" x14ac:dyDescent="0.25">
      <c r="C8415" s="8" t="e">
        <f>VLOOKUP(A:A,'ITEM LIST'!A:C,3,0)</f>
        <v>#N/A</v>
      </c>
      <c r="D8415" s="6">
        <f t="shared" si="132"/>
        <v>0</v>
      </c>
    </row>
    <row r="8416" spans="3:4" ht="15" x14ac:dyDescent="0.25">
      <c r="C8416" s="8" t="e">
        <f>VLOOKUP(A:A,'ITEM LIST'!A:C,3,0)</f>
        <v>#N/A</v>
      </c>
      <c r="D8416" s="6">
        <f t="shared" si="132"/>
        <v>0</v>
      </c>
    </row>
    <row r="8417" spans="3:4" ht="15" x14ac:dyDescent="0.25">
      <c r="C8417" s="8" t="e">
        <f>VLOOKUP(A:A,'ITEM LIST'!A:C,3,0)</f>
        <v>#N/A</v>
      </c>
      <c r="D8417" s="6">
        <f t="shared" si="132"/>
        <v>0</v>
      </c>
    </row>
    <row r="8418" spans="3:4" ht="15" x14ac:dyDescent="0.25">
      <c r="C8418" s="8" t="e">
        <f>VLOOKUP(A:A,'ITEM LIST'!A:C,3,0)</f>
        <v>#N/A</v>
      </c>
      <c r="D8418" s="6">
        <f t="shared" si="132"/>
        <v>0</v>
      </c>
    </row>
    <row r="8419" spans="3:4" ht="15" x14ac:dyDescent="0.25">
      <c r="C8419" s="8" t="e">
        <f>VLOOKUP(A:A,'ITEM LIST'!A:C,3,0)</f>
        <v>#N/A</v>
      </c>
      <c r="D8419" s="6">
        <f t="shared" si="132"/>
        <v>0</v>
      </c>
    </row>
    <row r="8420" spans="3:4" ht="15" x14ac:dyDescent="0.25">
      <c r="C8420" s="8" t="e">
        <f>VLOOKUP(A:A,'ITEM LIST'!A:C,3,0)</f>
        <v>#N/A</v>
      </c>
      <c r="D8420" s="6">
        <f t="shared" si="132"/>
        <v>0</v>
      </c>
    </row>
    <row r="8421" spans="3:4" ht="15" x14ac:dyDescent="0.25">
      <c r="C8421" s="8" t="e">
        <f>VLOOKUP(A:A,'ITEM LIST'!A:C,3,0)</f>
        <v>#N/A</v>
      </c>
      <c r="D8421" s="6">
        <f t="shared" si="132"/>
        <v>0</v>
      </c>
    </row>
    <row r="8422" spans="3:4" ht="15" x14ac:dyDescent="0.25">
      <c r="C8422" s="8" t="e">
        <f>VLOOKUP(A:A,'ITEM LIST'!A:C,3,0)</f>
        <v>#N/A</v>
      </c>
      <c r="D8422" s="6">
        <f t="shared" si="132"/>
        <v>0</v>
      </c>
    </row>
    <row r="8423" spans="3:4" ht="15" x14ac:dyDescent="0.25">
      <c r="C8423" s="8" t="e">
        <f>VLOOKUP(A:A,'ITEM LIST'!A:C,3,0)</f>
        <v>#N/A</v>
      </c>
      <c r="D8423" s="6">
        <f t="shared" si="132"/>
        <v>0</v>
      </c>
    </row>
    <row r="8424" spans="3:4" ht="15" x14ac:dyDescent="0.25">
      <c r="C8424" s="8" t="e">
        <f>VLOOKUP(A:A,'ITEM LIST'!A:C,3,0)</f>
        <v>#N/A</v>
      </c>
      <c r="D8424" s="6">
        <f t="shared" si="132"/>
        <v>0</v>
      </c>
    </row>
    <row r="8425" spans="3:4" ht="15" x14ac:dyDescent="0.25">
      <c r="C8425" s="8" t="e">
        <f>VLOOKUP(A:A,'ITEM LIST'!A:C,3,0)</f>
        <v>#N/A</v>
      </c>
      <c r="D8425" s="6">
        <f t="shared" si="132"/>
        <v>0</v>
      </c>
    </row>
    <row r="8426" spans="3:4" ht="15" x14ac:dyDescent="0.25">
      <c r="C8426" s="8" t="e">
        <f>VLOOKUP(A:A,'ITEM LIST'!A:C,3,0)</f>
        <v>#N/A</v>
      </c>
      <c r="D8426" s="6">
        <f t="shared" si="132"/>
        <v>0</v>
      </c>
    </row>
    <row r="8427" spans="3:4" ht="15" x14ac:dyDescent="0.25">
      <c r="C8427" s="8" t="e">
        <f>VLOOKUP(A:A,'ITEM LIST'!A:C,3,0)</f>
        <v>#N/A</v>
      </c>
      <c r="D8427" s="6">
        <f t="shared" si="132"/>
        <v>0</v>
      </c>
    </row>
    <row r="8428" spans="3:4" ht="15" x14ac:dyDescent="0.25">
      <c r="C8428" s="8" t="e">
        <f>VLOOKUP(A:A,'ITEM LIST'!A:C,3,0)</f>
        <v>#N/A</v>
      </c>
      <c r="D8428" s="6">
        <f t="shared" si="132"/>
        <v>0</v>
      </c>
    </row>
    <row r="8429" spans="3:4" ht="15" x14ac:dyDescent="0.25">
      <c r="C8429" s="8" t="e">
        <f>VLOOKUP(A:A,'ITEM LIST'!A:C,3,0)</f>
        <v>#N/A</v>
      </c>
      <c r="D8429" s="6">
        <f t="shared" si="132"/>
        <v>0</v>
      </c>
    </row>
    <row r="8430" spans="3:4" ht="15" x14ac:dyDescent="0.25">
      <c r="C8430" s="8" t="e">
        <f>VLOOKUP(A:A,'ITEM LIST'!A:C,3,0)</f>
        <v>#N/A</v>
      </c>
      <c r="D8430" s="6">
        <f t="shared" si="132"/>
        <v>0</v>
      </c>
    </row>
    <row r="8431" spans="3:4" ht="15" x14ac:dyDescent="0.25">
      <c r="C8431" s="8" t="e">
        <f>VLOOKUP(A:A,'ITEM LIST'!A:C,3,0)</f>
        <v>#N/A</v>
      </c>
      <c r="D8431" s="6">
        <f t="shared" si="132"/>
        <v>0</v>
      </c>
    </row>
    <row r="8432" spans="3:4" ht="15" x14ac:dyDescent="0.25">
      <c r="C8432" s="8" t="e">
        <f>VLOOKUP(A:A,'ITEM LIST'!A:C,3,0)</f>
        <v>#N/A</v>
      </c>
      <c r="D8432" s="6">
        <f t="shared" si="132"/>
        <v>0</v>
      </c>
    </row>
    <row r="8433" spans="3:4" ht="15" x14ac:dyDescent="0.25">
      <c r="C8433" s="8" t="e">
        <f>VLOOKUP(A:A,'ITEM LIST'!A:C,3,0)</f>
        <v>#N/A</v>
      </c>
      <c r="D8433" s="6">
        <f t="shared" si="132"/>
        <v>0</v>
      </c>
    </row>
    <row r="8434" spans="3:4" ht="15" x14ac:dyDescent="0.25">
      <c r="C8434" s="8" t="e">
        <f>VLOOKUP(A:A,'ITEM LIST'!A:C,3,0)</f>
        <v>#N/A</v>
      </c>
      <c r="D8434" s="6">
        <f t="shared" si="132"/>
        <v>0</v>
      </c>
    </row>
    <row r="8435" spans="3:4" ht="15" x14ac:dyDescent="0.25">
      <c r="C8435" s="8" t="e">
        <f>VLOOKUP(A:A,'ITEM LIST'!A:C,3,0)</f>
        <v>#N/A</v>
      </c>
      <c r="D8435" s="6">
        <f t="shared" si="132"/>
        <v>0</v>
      </c>
    </row>
    <row r="8436" spans="3:4" ht="15" x14ac:dyDescent="0.25">
      <c r="C8436" s="8" t="e">
        <f>VLOOKUP(A:A,'ITEM LIST'!A:C,3,0)</f>
        <v>#N/A</v>
      </c>
      <c r="D8436" s="6">
        <f t="shared" si="132"/>
        <v>0</v>
      </c>
    </row>
    <row r="8437" spans="3:4" ht="15" x14ac:dyDescent="0.25">
      <c r="C8437" s="8" t="e">
        <f>VLOOKUP(A:A,'ITEM LIST'!A:C,3,0)</f>
        <v>#N/A</v>
      </c>
      <c r="D8437" s="6">
        <f t="shared" si="132"/>
        <v>0</v>
      </c>
    </row>
    <row r="8438" spans="3:4" ht="15" x14ac:dyDescent="0.25">
      <c r="C8438" s="8" t="e">
        <f>VLOOKUP(A:A,'ITEM LIST'!A:C,3,0)</f>
        <v>#N/A</v>
      </c>
      <c r="D8438" s="6">
        <f t="shared" si="132"/>
        <v>0</v>
      </c>
    </row>
    <row r="8439" spans="3:4" ht="15" x14ac:dyDescent="0.25">
      <c r="C8439" s="8" t="e">
        <f>VLOOKUP(A:A,'ITEM LIST'!A:C,3,0)</f>
        <v>#N/A</v>
      </c>
      <c r="D8439" s="6">
        <f t="shared" si="132"/>
        <v>0</v>
      </c>
    </row>
    <row r="8440" spans="3:4" ht="15" x14ac:dyDescent="0.25">
      <c r="C8440" s="8" t="e">
        <f>VLOOKUP(A:A,'ITEM LIST'!A:C,3,0)</f>
        <v>#N/A</v>
      </c>
      <c r="D8440" s="6">
        <f t="shared" si="132"/>
        <v>0</v>
      </c>
    </row>
    <row r="8441" spans="3:4" ht="15" x14ac:dyDescent="0.25">
      <c r="C8441" s="8" t="e">
        <f>VLOOKUP(A:A,'ITEM LIST'!A:C,3,0)</f>
        <v>#N/A</v>
      </c>
      <c r="D8441" s="6">
        <f t="shared" si="132"/>
        <v>0</v>
      </c>
    </row>
    <row r="8442" spans="3:4" ht="15" x14ac:dyDescent="0.25">
      <c r="C8442" s="8" t="e">
        <f>VLOOKUP(A:A,'ITEM LIST'!A:C,3,0)</f>
        <v>#N/A</v>
      </c>
      <c r="D8442" s="6">
        <f t="shared" si="132"/>
        <v>0</v>
      </c>
    </row>
    <row r="8443" spans="3:4" ht="15" x14ac:dyDescent="0.25">
      <c r="C8443" s="8" t="e">
        <f>VLOOKUP(A:A,'ITEM LIST'!A:C,3,0)</f>
        <v>#N/A</v>
      </c>
      <c r="D8443" s="6">
        <f t="shared" si="132"/>
        <v>0</v>
      </c>
    </row>
    <row r="8444" spans="3:4" ht="15" x14ac:dyDescent="0.25">
      <c r="C8444" s="8" t="e">
        <f>VLOOKUP(A:A,'ITEM LIST'!A:C,3,0)</f>
        <v>#N/A</v>
      </c>
      <c r="D8444" s="6">
        <f t="shared" si="132"/>
        <v>0</v>
      </c>
    </row>
    <row r="8445" spans="3:4" ht="15" x14ac:dyDescent="0.25">
      <c r="C8445" s="8" t="e">
        <f>VLOOKUP(A:A,'ITEM LIST'!A:C,3,0)</f>
        <v>#N/A</v>
      </c>
      <c r="D8445" s="6">
        <f t="shared" si="132"/>
        <v>0</v>
      </c>
    </row>
    <row r="8446" spans="3:4" ht="15" x14ac:dyDescent="0.25">
      <c r="C8446" s="8" t="e">
        <f>VLOOKUP(A:A,'ITEM LIST'!A:C,3,0)</f>
        <v>#N/A</v>
      </c>
      <c r="D8446" s="6">
        <f t="shared" si="132"/>
        <v>0</v>
      </c>
    </row>
    <row r="8447" spans="3:4" ht="15" x14ac:dyDescent="0.25">
      <c r="C8447" s="8" t="e">
        <f>VLOOKUP(A:A,'ITEM LIST'!A:C,3,0)</f>
        <v>#N/A</v>
      </c>
      <c r="D8447" s="6">
        <f t="shared" si="132"/>
        <v>0</v>
      </c>
    </row>
    <row r="8448" spans="3:4" ht="15" x14ac:dyDescent="0.25">
      <c r="C8448" s="8" t="e">
        <f>VLOOKUP(A:A,'ITEM LIST'!A:C,3,0)</f>
        <v>#N/A</v>
      </c>
      <c r="D8448" s="6">
        <f t="shared" si="132"/>
        <v>0</v>
      </c>
    </row>
    <row r="8449" spans="3:4" ht="15" x14ac:dyDescent="0.25">
      <c r="C8449" s="8" t="e">
        <f>VLOOKUP(A:A,'ITEM LIST'!A:C,3,0)</f>
        <v>#N/A</v>
      </c>
      <c r="D8449" s="6">
        <f t="shared" si="132"/>
        <v>0</v>
      </c>
    </row>
    <row r="8450" spans="3:4" ht="15" x14ac:dyDescent="0.25">
      <c r="C8450" s="8" t="e">
        <f>VLOOKUP(A:A,'ITEM LIST'!A:C,3,0)</f>
        <v>#N/A</v>
      </c>
      <c r="D8450" s="6">
        <f t="shared" si="132"/>
        <v>0</v>
      </c>
    </row>
    <row r="8451" spans="3:4" ht="15" x14ac:dyDescent="0.25">
      <c r="C8451" s="8" t="e">
        <f>VLOOKUP(A:A,'ITEM LIST'!A:C,3,0)</f>
        <v>#N/A</v>
      </c>
      <c r="D8451" s="6">
        <f t="shared" si="132"/>
        <v>0</v>
      </c>
    </row>
    <row r="8452" spans="3:4" ht="15" x14ac:dyDescent="0.25">
      <c r="C8452" s="8" t="e">
        <f>VLOOKUP(A:A,'ITEM LIST'!A:C,3,0)</f>
        <v>#N/A</v>
      </c>
      <c r="D8452" s="6">
        <f t="shared" si="132"/>
        <v>0</v>
      </c>
    </row>
    <row r="8453" spans="3:4" ht="15" x14ac:dyDescent="0.25">
      <c r="C8453" s="8" t="e">
        <f>VLOOKUP(A:A,'ITEM LIST'!A:C,3,0)</f>
        <v>#N/A</v>
      </c>
      <c r="D8453" s="6">
        <f t="shared" si="132"/>
        <v>0</v>
      </c>
    </row>
    <row r="8454" spans="3:4" ht="15" x14ac:dyDescent="0.25">
      <c r="C8454" s="8" t="e">
        <f>VLOOKUP(A:A,'ITEM LIST'!A:C,3,0)</f>
        <v>#N/A</v>
      </c>
      <c r="D8454" s="6">
        <f t="shared" ref="D8454:D8517" si="133">B8454</f>
        <v>0</v>
      </c>
    </row>
    <row r="8455" spans="3:4" ht="15" x14ac:dyDescent="0.25">
      <c r="C8455" s="8" t="e">
        <f>VLOOKUP(A:A,'ITEM LIST'!A:C,3,0)</f>
        <v>#N/A</v>
      </c>
      <c r="D8455" s="6">
        <f t="shared" si="133"/>
        <v>0</v>
      </c>
    </row>
    <row r="8456" spans="3:4" ht="15" x14ac:dyDescent="0.25">
      <c r="C8456" s="8" t="e">
        <f>VLOOKUP(A:A,'ITEM LIST'!A:C,3,0)</f>
        <v>#N/A</v>
      </c>
      <c r="D8456" s="6">
        <f t="shared" si="133"/>
        <v>0</v>
      </c>
    </row>
    <row r="8457" spans="3:4" ht="15" x14ac:dyDescent="0.25">
      <c r="C8457" s="8" t="e">
        <f>VLOOKUP(A:A,'ITEM LIST'!A:C,3,0)</f>
        <v>#N/A</v>
      </c>
      <c r="D8457" s="6">
        <f t="shared" si="133"/>
        <v>0</v>
      </c>
    </row>
    <row r="8458" spans="3:4" ht="15" x14ac:dyDescent="0.25">
      <c r="C8458" s="8" t="e">
        <f>VLOOKUP(A:A,'ITEM LIST'!A:C,3,0)</f>
        <v>#N/A</v>
      </c>
      <c r="D8458" s="6">
        <f t="shared" si="133"/>
        <v>0</v>
      </c>
    </row>
    <row r="8459" spans="3:4" ht="15" x14ac:dyDescent="0.25">
      <c r="C8459" s="8" t="e">
        <f>VLOOKUP(A:A,'ITEM LIST'!A:C,3,0)</f>
        <v>#N/A</v>
      </c>
      <c r="D8459" s="6">
        <f t="shared" si="133"/>
        <v>0</v>
      </c>
    </row>
    <row r="8460" spans="3:4" ht="15" x14ac:dyDescent="0.25">
      <c r="C8460" s="8" t="e">
        <f>VLOOKUP(A:A,'ITEM LIST'!A:C,3,0)</f>
        <v>#N/A</v>
      </c>
      <c r="D8460" s="6">
        <f t="shared" si="133"/>
        <v>0</v>
      </c>
    </row>
    <row r="8461" spans="3:4" ht="15" x14ac:dyDescent="0.25">
      <c r="C8461" s="8" t="e">
        <f>VLOOKUP(A:A,'ITEM LIST'!A:C,3,0)</f>
        <v>#N/A</v>
      </c>
      <c r="D8461" s="6">
        <f t="shared" si="133"/>
        <v>0</v>
      </c>
    </row>
    <row r="8462" spans="3:4" ht="15" x14ac:dyDescent="0.25">
      <c r="C8462" s="8" t="e">
        <f>VLOOKUP(A:A,'ITEM LIST'!A:C,3,0)</f>
        <v>#N/A</v>
      </c>
      <c r="D8462" s="6">
        <f t="shared" si="133"/>
        <v>0</v>
      </c>
    </row>
    <row r="8463" spans="3:4" ht="15" x14ac:dyDescent="0.25">
      <c r="C8463" s="8" t="e">
        <f>VLOOKUP(A:A,'ITEM LIST'!A:C,3,0)</f>
        <v>#N/A</v>
      </c>
      <c r="D8463" s="6">
        <f t="shared" si="133"/>
        <v>0</v>
      </c>
    </row>
    <row r="8464" spans="3:4" ht="15" x14ac:dyDescent="0.25">
      <c r="C8464" s="8" t="e">
        <f>VLOOKUP(A:A,'ITEM LIST'!A:C,3,0)</f>
        <v>#N/A</v>
      </c>
      <c r="D8464" s="6">
        <f t="shared" si="133"/>
        <v>0</v>
      </c>
    </row>
    <row r="8465" spans="3:4" ht="15" x14ac:dyDescent="0.25">
      <c r="C8465" s="8" t="e">
        <f>VLOOKUP(A:A,'ITEM LIST'!A:C,3,0)</f>
        <v>#N/A</v>
      </c>
      <c r="D8465" s="6">
        <f t="shared" si="133"/>
        <v>0</v>
      </c>
    </row>
    <row r="8466" spans="3:4" ht="15" x14ac:dyDescent="0.25">
      <c r="C8466" s="8" t="e">
        <f>VLOOKUP(A:A,'ITEM LIST'!A:C,3,0)</f>
        <v>#N/A</v>
      </c>
      <c r="D8466" s="6">
        <f t="shared" si="133"/>
        <v>0</v>
      </c>
    </row>
    <row r="8467" spans="3:4" ht="15" x14ac:dyDescent="0.25">
      <c r="C8467" s="8" t="e">
        <f>VLOOKUP(A:A,'ITEM LIST'!A:C,3,0)</f>
        <v>#N/A</v>
      </c>
      <c r="D8467" s="6">
        <f t="shared" si="133"/>
        <v>0</v>
      </c>
    </row>
    <row r="8468" spans="3:4" ht="15" x14ac:dyDescent="0.25">
      <c r="C8468" s="8" t="e">
        <f>VLOOKUP(A:A,'ITEM LIST'!A:C,3,0)</f>
        <v>#N/A</v>
      </c>
      <c r="D8468" s="6">
        <f t="shared" si="133"/>
        <v>0</v>
      </c>
    </row>
    <row r="8469" spans="3:4" ht="15" x14ac:dyDescent="0.25">
      <c r="C8469" s="8" t="e">
        <f>VLOOKUP(A:A,'ITEM LIST'!A:C,3,0)</f>
        <v>#N/A</v>
      </c>
      <c r="D8469" s="6">
        <f t="shared" si="133"/>
        <v>0</v>
      </c>
    </row>
    <row r="8470" spans="3:4" ht="15" x14ac:dyDescent="0.25">
      <c r="C8470" s="8" t="e">
        <f>VLOOKUP(A:A,'ITEM LIST'!A:C,3,0)</f>
        <v>#N/A</v>
      </c>
      <c r="D8470" s="6">
        <f t="shared" si="133"/>
        <v>0</v>
      </c>
    </row>
    <row r="8471" spans="3:4" ht="15" x14ac:dyDescent="0.25">
      <c r="C8471" s="8" t="e">
        <f>VLOOKUP(A:A,'ITEM LIST'!A:C,3,0)</f>
        <v>#N/A</v>
      </c>
      <c r="D8471" s="6">
        <f t="shared" si="133"/>
        <v>0</v>
      </c>
    </row>
    <row r="8472" spans="3:4" ht="15" x14ac:dyDescent="0.25">
      <c r="C8472" s="8" t="e">
        <f>VLOOKUP(A:A,'ITEM LIST'!A:C,3,0)</f>
        <v>#N/A</v>
      </c>
      <c r="D8472" s="6">
        <f t="shared" si="133"/>
        <v>0</v>
      </c>
    </row>
    <row r="8473" spans="3:4" ht="15" x14ac:dyDescent="0.25">
      <c r="C8473" s="8" t="e">
        <f>VLOOKUP(A:A,'ITEM LIST'!A:C,3,0)</f>
        <v>#N/A</v>
      </c>
      <c r="D8473" s="6">
        <f t="shared" si="133"/>
        <v>0</v>
      </c>
    </row>
    <row r="8474" spans="3:4" ht="15" x14ac:dyDescent="0.25">
      <c r="C8474" s="8" t="e">
        <f>VLOOKUP(A:A,'ITEM LIST'!A:C,3,0)</f>
        <v>#N/A</v>
      </c>
      <c r="D8474" s="6">
        <f t="shared" si="133"/>
        <v>0</v>
      </c>
    </row>
    <row r="8475" spans="3:4" ht="15" x14ac:dyDescent="0.25">
      <c r="C8475" s="8" t="e">
        <f>VLOOKUP(A:A,'ITEM LIST'!A:C,3,0)</f>
        <v>#N/A</v>
      </c>
      <c r="D8475" s="6">
        <f t="shared" si="133"/>
        <v>0</v>
      </c>
    </row>
    <row r="8476" spans="3:4" ht="15" x14ac:dyDescent="0.25">
      <c r="C8476" s="8" t="e">
        <f>VLOOKUP(A:A,'ITEM LIST'!A:C,3,0)</f>
        <v>#N/A</v>
      </c>
      <c r="D8476" s="6">
        <f t="shared" si="133"/>
        <v>0</v>
      </c>
    </row>
    <row r="8477" spans="3:4" ht="15" x14ac:dyDescent="0.25">
      <c r="C8477" s="8" t="e">
        <f>VLOOKUP(A:A,'ITEM LIST'!A:C,3,0)</f>
        <v>#N/A</v>
      </c>
      <c r="D8477" s="6">
        <f t="shared" si="133"/>
        <v>0</v>
      </c>
    </row>
    <row r="8478" spans="3:4" ht="15" x14ac:dyDescent="0.25">
      <c r="C8478" s="8" t="e">
        <f>VLOOKUP(A:A,'ITEM LIST'!A:C,3,0)</f>
        <v>#N/A</v>
      </c>
      <c r="D8478" s="6">
        <f t="shared" si="133"/>
        <v>0</v>
      </c>
    </row>
    <row r="8479" spans="3:4" ht="15" x14ac:dyDescent="0.25">
      <c r="C8479" s="8" t="e">
        <f>VLOOKUP(A:A,'ITEM LIST'!A:C,3,0)</f>
        <v>#N/A</v>
      </c>
      <c r="D8479" s="6">
        <f t="shared" si="133"/>
        <v>0</v>
      </c>
    </row>
    <row r="8480" spans="3:4" ht="15" x14ac:dyDescent="0.25">
      <c r="C8480" s="8" t="e">
        <f>VLOOKUP(A:A,'ITEM LIST'!A:C,3,0)</f>
        <v>#N/A</v>
      </c>
      <c r="D8480" s="6">
        <f t="shared" si="133"/>
        <v>0</v>
      </c>
    </row>
    <row r="8481" spans="3:4" ht="15" x14ac:dyDescent="0.25">
      <c r="C8481" s="8" t="e">
        <f>VLOOKUP(A:A,'ITEM LIST'!A:C,3,0)</f>
        <v>#N/A</v>
      </c>
      <c r="D8481" s="6">
        <f t="shared" si="133"/>
        <v>0</v>
      </c>
    </row>
    <row r="8482" spans="3:4" ht="15" x14ac:dyDescent="0.25">
      <c r="C8482" s="8" t="e">
        <f>VLOOKUP(A:A,'ITEM LIST'!A:C,3,0)</f>
        <v>#N/A</v>
      </c>
      <c r="D8482" s="6">
        <f t="shared" si="133"/>
        <v>0</v>
      </c>
    </row>
    <row r="8483" spans="3:4" ht="15" x14ac:dyDescent="0.25">
      <c r="C8483" s="8" t="e">
        <f>VLOOKUP(A:A,'ITEM LIST'!A:C,3,0)</f>
        <v>#N/A</v>
      </c>
      <c r="D8483" s="6">
        <f t="shared" si="133"/>
        <v>0</v>
      </c>
    </row>
    <row r="8484" spans="3:4" ht="15" x14ac:dyDescent="0.25">
      <c r="C8484" s="8" t="e">
        <f>VLOOKUP(A:A,'ITEM LIST'!A:C,3,0)</f>
        <v>#N/A</v>
      </c>
      <c r="D8484" s="6">
        <f t="shared" si="133"/>
        <v>0</v>
      </c>
    </row>
    <row r="8485" spans="3:4" ht="15" x14ac:dyDescent="0.25">
      <c r="C8485" s="8" t="e">
        <f>VLOOKUP(A:A,'ITEM LIST'!A:C,3,0)</f>
        <v>#N/A</v>
      </c>
      <c r="D8485" s="6">
        <f t="shared" si="133"/>
        <v>0</v>
      </c>
    </row>
    <row r="8486" spans="3:4" ht="15" x14ac:dyDescent="0.25">
      <c r="C8486" s="8" t="e">
        <f>VLOOKUP(A:A,'ITEM LIST'!A:C,3,0)</f>
        <v>#N/A</v>
      </c>
      <c r="D8486" s="6">
        <f t="shared" si="133"/>
        <v>0</v>
      </c>
    </row>
    <row r="8487" spans="3:4" ht="15" x14ac:dyDescent="0.25">
      <c r="C8487" s="8" t="e">
        <f>VLOOKUP(A:A,'ITEM LIST'!A:C,3,0)</f>
        <v>#N/A</v>
      </c>
      <c r="D8487" s="6">
        <f t="shared" si="133"/>
        <v>0</v>
      </c>
    </row>
    <row r="8488" spans="3:4" ht="15" x14ac:dyDescent="0.25">
      <c r="C8488" s="8" t="e">
        <f>VLOOKUP(A:A,'ITEM LIST'!A:C,3,0)</f>
        <v>#N/A</v>
      </c>
      <c r="D8488" s="6">
        <f t="shared" si="133"/>
        <v>0</v>
      </c>
    </row>
    <row r="8489" spans="3:4" ht="15" x14ac:dyDescent="0.25">
      <c r="C8489" s="8" t="e">
        <f>VLOOKUP(A:A,'ITEM LIST'!A:C,3,0)</f>
        <v>#N/A</v>
      </c>
      <c r="D8489" s="6">
        <f t="shared" si="133"/>
        <v>0</v>
      </c>
    </row>
    <row r="8490" spans="3:4" ht="15" x14ac:dyDescent="0.25">
      <c r="C8490" s="8" t="e">
        <f>VLOOKUP(A:A,'ITEM LIST'!A:C,3,0)</f>
        <v>#N/A</v>
      </c>
      <c r="D8490" s="6">
        <f t="shared" si="133"/>
        <v>0</v>
      </c>
    </row>
    <row r="8491" spans="3:4" ht="15" x14ac:dyDescent="0.25">
      <c r="C8491" s="8" t="e">
        <f>VLOOKUP(A:A,'ITEM LIST'!A:C,3,0)</f>
        <v>#N/A</v>
      </c>
      <c r="D8491" s="6">
        <f t="shared" si="133"/>
        <v>0</v>
      </c>
    </row>
    <row r="8492" spans="3:4" ht="15" x14ac:dyDescent="0.25">
      <c r="C8492" s="8" t="e">
        <f>VLOOKUP(A:A,'ITEM LIST'!A:C,3,0)</f>
        <v>#N/A</v>
      </c>
      <c r="D8492" s="6">
        <f t="shared" si="133"/>
        <v>0</v>
      </c>
    </row>
    <row r="8493" spans="3:4" ht="15" x14ac:dyDescent="0.25">
      <c r="C8493" s="8" t="e">
        <f>VLOOKUP(A:A,'ITEM LIST'!A:C,3,0)</f>
        <v>#N/A</v>
      </c>
      <c r="D8493" s="6">
        <f t="shared" si="133"/>
        <v>0</v>
      </c>
    </row>
    <row r="8494" spans="3:4" ht="15" x14ac:dyDescent="0.25">
      <c r="C8494" s="8" t="e">
        <f>VLOOKUP(A:A,'ITEM LIST'!A:C,3,0)</f>
        <v>#N/A</v>
      </c>
      <c r="D8494" s="6">
        <f t="shared" si="133"/>
        <v>0</v>
      </c>
    </row>
    <row r="8495" spans="3:4" ht="15" x14ac:dyDescent="0.25">
      <c r="C8495" s="8" t="e">
        <f>VLOOKUP(A:A,'ITEM LIST'!A:C,3,0)</f>
        <v>#N/A</v>
      </c>
      <c r="D8495" s="6">
        <f t="shared" si="133"/>
        <v>0</v>
      </c>
    </row>
    <row r="8496" spans="3:4" ht="15" x14ac:dyDescent="0.25">
      <c r="C8496" s="8" t="e">
        <f>VLOOKUP(A:A,'ITEM LIST'!A:C,3,0)</f>
        <v>#N/A</v>
      </c>
      <c r="D8496" s="6">
        <f t="shared" si="133"/>
        <v>0</v>
      </c>
    </row>
    <row r="8497" spans="3:4" ht="15" x14ac:dyDescent="0.25">
      <c r="C8497" s="8" t="e">
        <f>VLOOKUP(A:A,'ITEM LIST'!A:C,3,0)</f>
        <v>#N/A</v>
      </c>
      <c r="D8497" s="6">
        <f t="shared" si="133"/>
        <v>0</v>
      </c>
    </row>
    <row r="8498" spans="3:4" ht="15" x14ac:dyDescent="0.25">
      <c r="C8498" s="8" t="e">
        <f>VLOOKUP(A:A,'ITEM LIST'!A:C,3,0)</f>
        <v>#N/A</v>
      </c>
      <c r="D8498" s="6">
        <f t="shared" si="133"/>
        <v>0</v>
      </c>
    </row>
    <row r="8499" spans="3:4" ht="15" x14ac:dyDescent="0.25">
      <c r="C8499" s="8" t="e">
        <f>VLOOKUP(A:A,'ITEM LIST'!A:C,3,0)</f>
        <v>#N/A</v>
      </c>
      <c r="D8499" s="6">
        <f t="shared" si="133"/>
        <v>0</v>
      </c>
    </row>
    <row r="8500" spans="3:4" ht="15" x14ac:dyDescent="0.25">
      <c r="C8500" s="8" t="e">
        <f>VLOOKUP(A:A,'ITEM LIST'!A:C,3,0)</f>
        <v>#N/A</v>
      </c>
      <c r="D8500" s="6">
        <f t="shared" si="133"/>
        <v>0</v>
      </c>
    </row>
    <row r="8501" spans="3:4" ht="15" x14ac:dyDescent="0.25">
      <c r="C8501" s="8" t="e">
        <f>VLOOKUP(A:A,'ITEM LIST'!A:C,3,0)</f>
        <v>#N/A</v>
      </c>
      <c r="D8501" s="6">
        <f t="shared" si="133"/>
        <v>0</v>
      </c>
    </row>
    <row r="8502" spans="3:4" ht="15" x14ac:dyDescent="0.25">
      <c r="C8502" s="8" t="e">
        <f>VLOOKUP(A:A,'ITEM LIST'!A:C,3,0)</f>
        <v>#N/A</v>
      </c>
      <c r="D8502" s="6">
        <f t="shared" si="133"/>
        <v>0</v>
      </c>
    </row>
    <row r="8503" spans="3:4" ht="15" x14ac:dyDescent="0.25">
      <c r="C8503" s="8" t="e">
        <f>VLOOKUP(A:A,'ITEM LIST'!A:C,3,0)</f>
        <v>#N/A</v>
      </c>
      <c r="D8503" s="6">
        <f t="shared" si="133"/>
        <v>0</v>
      </c>
    </row>
    <row r="8504" spans="3:4" ht="15" x14ac:dyDescent="0.25">
      <c r="C8504" s="8" t="e">
        <f>VLOOKUP(A:A,'ITEM LIST'!A:C,3,0)</f>
        <v>#N/A</v>
      </c>
      <c r="D8504" s="6">
        <f t="shared" si="133"/>
        <v>0</v>
      </c>
    </row>
    <row r="8505" spans="3:4" ht="15" x14ac:dyDescent="0.25">
      <c r="C8505" s="8" t="e">
        <f>VLOOKUP(A:A,'ITEM LIST'!A:C,3,0)</f>
        <v>#N/A</v>
      </c>
      <c r="D8505" s="6">
        <f t="shared" si="133"/>
        <v>0</v>
      </c>
    </row>
    <row r="8506" spans="3:4" ht="15" x14ac:dyDescent="0.25">
      <c r="C8506" s="8" t="e">
        <f>VLOOKUP(A:A,'ITEM LIST'!A:C,3,0)</f>
        <v>#N/A</v>
      </c>
      <c r="D8506" s="6">
        <f t="shared" si="133"/>
        <v>0</v>
      </c>
    </row>
    <row r="8507" spans="3:4" ht="15" x14ac:dyDescent="0.25">
      <c r="C8507" s="8" t="e">
        <f>VLOOKUP(A:A,'ITEM LIST'!A:C,3,0)</f>
        <v>#N/A</v>
      </c>
      <c r="D8507" s="6">
        <f t="shared" si="133"/>
        <v>0</v>
      </c>
    </row>
    <row r="8508" spans="3:4" ht="15" x14ac:dyDescent="0.25">
      <c r="C8508" s="8" t="e">
        <f>VLOOKUP(A:A,'ITEM LIST'!A:C,3,0)</f>
        <v>#N/A</v>
      </c>
      <c r="D8508" s="6">
        <f t="shared" si="133"/>
        <v>0</v>
      </c>
    </row>
    <row r="8509" spans="3:4" ht="15" x14ac:dyDescent="0.25">
      <c r="C8509" s="8" t="e">
        <f>VLOOKUP(A:A,'ITEM LIST'!A:C,3,0)</f>
        <v>#N/A</v>
      </c>
      <c r="D8509" s="6">
        <f t="shared" si="133"/>
        <v>0</v>
      </c>
    </row>
    <row r="8510" spans="3:4" ht="15" x14ac:dyDescent="0.25">
      <c r="C8510" s="8" t="e">
        <f>VLOOKUP(A:A,'ITEM LIST'!A:C,3,0)</f>
        <v>#N/A</v>
      </c>
      <c r="D8510" s="6">
        <f t="shared" si="133"/>
        <v>0</v>
      </c>
    </row>
    <row r="8511" spans="3:4" ht="15" x14ac:dyDescent="0.25">
      <c r="C8511" s="8" t="e">
        <f>VLOOKUP(A:A,'ITEM LIST'!A:C,3,0)</f>
        <v>#N/A</v>
      </c>
      <c r="D8511" s="6">
        <f t="shared" si="133"/>
        <v>0</v>
      </c>
    </row>
    <row r="8512" spans="3:4" ht="15" x14ac:dyDescent="0.25">
      <c r="C8512" s="8" t="e">
        <f>VLOOKUP(A:A,'ITEM LIST'!A:C,3,0)</f>
        <v>#N/A</v>
      </c>
      <c r="D8512" s="6">
        <f t="shared" si="133"/>
        <v>0</v>
      </c>
    </row>
    <row r="8513" spans="3:4" ht="15" x14ac:dyDescent="0.25">
      <c r="C8513" s="8" t="e">
        <f>VLOOKUP(A:A,'ITEM LIST'!A:C,3,0)</f>
        <v>#N/A</v>
      </c>
      <c r="D8513" s="6">
        <f t="shared" si="133"/>
        <v>0</v>
      </c>
    </row>
    <row r="8514" spans="3:4" ht="15" x14ac:dyDescent="0.25">
      <c r="C8514" s="8" t="e">
        <f>VLOOKUP(A:A,'ITEM LIST'!A:C,3,0)</f>
        <v>#N/A</v>
      </c>
      <c r="D8514" s="6">
        <f t="shared" si="133"/>
        <v>0</v>
      </c>
    </row>
    <row r="8515" spans="3:4" ht="15" x14ac:dyDescent="0.25">
      <c r="C8515" s="8" t="e">
        <f>VLOOKUP(A:A,'ITEM LIST'!A:C,3,0)</f>
        <v>#N/A</v>
      </c>
      <c r="D8515" s="6">
        <f t="shared" si="133"/>
        <v>0</v>
      </c>
    </row>
    <row r="8516" spans="3:4" ht="15" x14ac:dyDescent="0.25">
      <c r="C8516" s="8" t="e">
        <f>VLOOKUP(A:A,'ITEM LIST'!A:C,3,0)</f>
        <v>#N/A</v>
      </c>
      <c r="D8516" s="6">
        <f t="shared" si="133"/>
        <v>0</v>
      </c>
    </row>
    <row r="8517" spans="3:4" ht="15" x14ac:dyDescent="0.25">
      <c r="C8517" s="8" t="e">
        <f>VLOOKUP(A:A,'ITEM LIST'!A:C,3,0)</f>
        <v>#N/A</v>
      </c>
      <c r="D8517" s="6">
        <f t="shared" si="133"/>
        <v>0</v>
      </c>
    </row>
    <row r="8518" spans="3:4" ht="15" x14ac:dyDescent="0.25">
      <c r="C8518" s="8" t="e">
        <f>VLOOKUP(A:A,'ITEM LIST'!A:C,3,0)</f>
        <v>#N/A</v>
      </c>
      <c r="D8518" s="6">
        <f t="shared" ref="D8518:D8581" si="134">B8518</f>
        <v>0</v>
      </c>
    </row>
    <row r="8519" spans="3:4" ht="15" x14ac:dyDescent="0.25">
      <c r="C8519" s="8" t="e">
        <f>VLOOKUP(A:A,'ITEM LIST'!A:C,3,0)</f>
        <v>#N/A</v>
      </c>
      <c r="D8519" s="6">
        <f t="shared" si="134"/>
        <v>0</v>
      </c>
    </row>
    <row r="8520" spans="3:4" ht="15" x14ac:dyDescent="0.25">
      <c r="C8520" s="8" t="e">
        <f>VLOOKUP(A:A,'ITEM LIST'!A:C,3,0)</f>
        <v>#N/A</v>
      </c>
      <c r="D8520" s="6">
        <f t="shared" si="134"/>
        <v>0</v>
      </c>
    </row>
    <row r="8521" spans="3:4" ht="15" x14ac:dyDescent="0.25">
      <c r="C8521" s="8" t="e">
        <f>VLOOKUP(A:A,'ITEM LIST'!A:C,3,0)</f>
        <v>#N/A</v>
      </c>
      <c r="D8521" s="6">
        <f t="shared" si="134"/>
        <v>0</v>
      </c>
    </row>
    <row r="8522" spans="3:4" ht="15" x14ac:dyDescent="0.25">
      <c r="C8522" s="8" t="e">
        <f>VLOOKUP(A:A,'ITEM LIST'!A:C,3,0)</f>
        <v>#N/A</v>
      </c>
      <c r="D8522" s="6">
        <f t="shared" si="134"/>
        <v>0</v>
      </c>
    </row>
    <row r="8523" spans="3:4" ht="15" x14ac:dyDescent="0.25">
      <c r="C8523" s="8" t="e">
        <f>VLOOKUP(A:A,'ITEM LIST'!A:C,3,0)</f>
        <v>#N/A</v>
      </c>
      <c r="D8523" s="6">
        <f t="shared" si="134"/>
        <v>0</v>
      </c>
    </row>
    <row r="8524" spans="3:4" ht="15" x14ac:dyDescent="0.25">
      <c r="C8524" s="8" t="e">
        <f>VLOOKUP(A:A,'ITEM LIST'!A:C,3,0)</f>
        <v>#N/A</v>
      </c>
      <c r="D8524" s="6">
        <f t="shared" si="134"/>
        <v>0</v>
      </c>
    </row>
    <row r="8525" spans="3:4" ht="15" x14ac:dyDescent="0.25">
      <c r="C8525" s="8" t="e">
        <f>VLOOKUP(A:A,'ITEM LIST'!A:C,3,0)</f>
        <v>#N/A</v>
      </c>
      <c r="D8525" s="6">
        <f t="shared" si="134"/>
        <v>0</v>
      </c>
    </row>
    <row r="8526" spans="3:4" ht="15" x14ac:dyDescent="0.25">
      <c r="C8526" s="8" t="e">
        <f>VLOOKUP(A:A,'ITEM LIST'!A:C,3,0)</f>
        <v>#N/A</v>
      </c>
      <c r="D8526" s="6">
        <f t="shared" si="134"/>
        <v>0</v>
      </c>
    </row>
    <row r="8527" spans="3:4" ht="15" x14ac:dyDescent="0.25">
      <c r="C8527" s="8" t="e">
        <f>VLOOKUP(A:A,'ITEM LIST'!A:C,3,0)</f>
        <v>#N/A</v>
      </c>
      <c r="D8527" s="6">
        <f t="shared" si="134"/>
        <v>0</v>
      </c>
    </row>
    <row r="8528" spans="3:4" ht="15" x14ac:dyDescent="0.25">
      <c r="C8528" s="8" t="e">
        <f>VLOOKUP(A:A,'ITEM LIST'!A:C,3,0)</f>
        <v>#N/A</v>
      </c>
      <c r="D8528" s="6">
        <f t="shared" si="134"/>
        <v>0</v>
      </c>
    </row>
    <row r="8529" spans="3:4" ht="15" x14ac:dyDescent="0.25">
      <c r="C8529" s="8" t="e">
        <f>VLOOKUP(A:A,'ITEM LIST'!A:C,3,0)</f>
        <v>#N/A</v>
      </c>
      <c r="D8529" s="6">
        <f t="shared" si="134"/>
        <v>0</v>
      </c>
    </row>
    <row r="8530" spans="3:4" ht="15" x14ac:dyDescent="0.25">
      <c r="C8530" s="8" t="e">
        <f>VLOOKUP(A:A,'ITEM LIST'!A:C,3,0)</f>
        <v>#N/A</v>
      </c>
      <c r="D8530" s="6">
        <f t="shared" si="134"/>
        <v>0</v>
      </c>
    </row>
    <row r="8531" spans="3:4" ht="15" x14ac:dyDescent="0.25">
      <c r="C8531" s="8" t="e">
        <f>VLOOKUP(A:A,'ITEM LIST'!A:C,3,0)</f>
        <v>#N/A</v>
      </c>
      <c r="D8531" s="6">
        <f t="shared" si="134"/>
        <v>0</v>
      </c>
    </row>
    <row r="8532" spans="3:4" ht="15" x14ac:dyDescent="0.25">
      <c r="C8532" s="8" t="e">
        <f>VLOOKUP(A:A,'ITEM LIST'!A:C,3,0)</f>
        <v>#N/A</v>
      </c>
      <c r="D8532" s="6">
        <f t="shared" si="134"/>
        <v>0</v>
      </c>
    </row>
    <row r="8533" spans="3:4" ht="15" x14ac:dyDescent="0.25">
      <c r="C8533" s="8" t="e">
        <f>VLOOKUP(A:A,'ITEM LIST'!A:C,3,0)</f>
        <v>#N/A</v>
      </c>
      <c r="D8533" s="6">
        <f t="shared" si="134"/>
        <v>0</v>
      </c>
    </row>
    <row r="8534" spans="3:4" ht="15" x14ac:dyDescent="0.25">
      <c r="C8534" s="8" t="e">
        <f>VLOOKUP(A:A,'ITEM LIST'!A:C,3,0)</f>
        <v>#N/A</v>
      </c>
      <c r="D8534" s="6">
        <f t="shared" si="134"/>
        <v>0</v>
      </c>
    </row>
    <row r="8535" spans="3:4" ht="15" x14ac:dyDescent="0.25">
      <c r="C8535" s="8" t="e">
        <f>VLOOKUP(A:A,'ITEM LIST'!A:C,3,0)</f>
        <v>#N/A</v>
      </c>
      <c r="D8535" s="6">
        <f t="shared" si="134"/>
        <v>0</v>
      </c>
    </row>
    <row r="8536" spans="3:4" ht="15" x14ac:dyDescent="0.25">
      <c r="C8536" s="8" t="e">
        <f>VLOOKUP(A:A,'ITEM LIST'!A:C,3,0)</f>
        <v>#N/A</v>
      </c>
      <c r="D8536" s="6">
        <f t="shared" si="134"/>
        <v>0</v>
      </c>
    </row>
    <row r="8537" spans="3:4" ht="15" x14ac:dyDescent="0.25">
      <c r="C8537" s="8" t="e">
        <f>VLOOKUP(A:A,'ITEM LIST'!A:C,3,0)</f>
        <v>#N/A</v>
      </c>
      <c r="D8537" s="6">
        <f t="shared" si="134"/>
        <v>0</v>
      </c>
    </row>
    <row r="8538" spans="3:4" ht="15" x14ac:dyDescent="0.25">
      <c r="C8538" s="8" t="e">
        <f>VLOOKUP(A:A,'ITEM LIST'!A:C,3,0)</f>
        <v>#N/A</v>
      </c>
      <c r="D8538" s="6">
        <f t="shared" si="134"/>
        <v>0</v>
      </c>
    </row>
    <row r="8539" spans="3:4" ht="15" x14ac:dyDescent="0.25">
      <c r="C8539" s="8" t="e">
        <f>VLOOKUP(A:A,'ITEM LIST'!A:C,3,0)</f>
        <v>#N/A</v>
      </c>
      <c r="D8539" s="6">
        <f t="shared" si="134"/>
        <v>0</v>
      </c>
    </row>
    <row r="8540" spans="3:4" ht="15" x14ac:dyDescent="0.25">
      <c r="C8540" s="8" t="e">
        <f>VLOOKUP(A:A,'ITEM LIST'!A:C,3,0)</f>
        <v>#N/A</v>
      </c>
      <c r="D8540" s="6">
        <f t="shared" si="134"/>
        <v>0</v>
      </c>
    </row>
    <row r="8541" spans="3:4" ht="15" x14ac:dyDescent="0.25">
      <c r="C8541" s="8" t="e">
        <f>VLOOKUP(A:A,'ITEM LIST'!A:C,3,0)</f>
        <v>#N/A</v>
      </c>
      <c r="D8541" s="6">
        <f t="shared" si="134"/>
        <v>0</v>
      </c>
    </row>
    <row r="8542" spans="3:4" ht="15" x14ac:dyDescent="0.25">
      <c r="C8542" s="8" t="e">
        <f>VLOOKUP(A:A,'ITEM LIST'!A:C,3,0)</f>
        <v>#N/A</v>
      </c>
      <c r="D8542" s="6">
        <f t="shared" si="134"/>
        <v>0</v>
      </c>
    </row>
    <row r="8543" spans="3:4" ht="15" x14ac:dyDescent="0.25">
      <c r="C8543" s="8" t="e">
        <f>VLOOKUP(A:A,'ITEM LIST'!A:C,3,0)</f>
        <v>#N/A</v>
      </c>
      <c r="D8543" s="6">
        <f t="shared" si="134"/>
        <v>0</v>
      </c>
    </row>
    <row r="8544" spans="3:4" ht="15" x14ac:dyDescent="0.25">
      <c r="C8544" s="8" t="e">
        <f>VLOOKUP(A:A,'ITEM LIST'!A:C,3,0)</f>
        <v>#N/A</v>
      </c>
      <c r="D8544" s="6">
        <f t="shared" si="134"/>
        <v>0</v>
      </c>
    </row>
    <row r="8545" spans="3:4" ht="15" x14ac:dyDescent="0.25">
      <c r="C8545" s="8" t="e">
        <f>VLOOKUP(A:A,'ITEM LIST'!A:C,3,0)</f>
        <v>#N/A</v>
      </c>
      <c r="D8545" s="6">
        <f t="shared" si="134"/>
        <v>0</v>
      </c>
    </row>
    <row r="8546" spans="3:4" ht="15" x14ac:dyDescent="0.25">
      <c r="C8546" s="8" t="e">
        <f>VLOOKUP(A:A,'ITEM LIST'!A:C,3,0)</f>
        <v>#N/A</v>
      </c>
      <c r="D8546" s="6">
        <f t="shared" si="134"/>
        <v>0</v>
      </c>
    </row>
    <row r="8547" spans="3:4" ht="15" x14ac:dyDescent="0.25">
      <c r="C8547" s="8" t="e">
        <f>VLOOKUP(A:A,'ITEM LIST'!A:C,3,0)</f>
        <v>#N/A</v>
      </c>
      <c r="D8547" s="6">
        <f t="shared" si="134"/>
        <v>0</v>
      </c>
    </row>
    <row r="8548" spans="3:4" ht="15" x14ac:dyDescent="0.25">
      <c r="C8548" s="8" t="e">
        <f>VLOOKUP(A:A,'ITEM LIST'!A:C,3,0)</f>
        <v>#N/A</v>
      </c>
      <c r="D8548" s="6">
        <f t="shared" si="134"/>
        <v>0</v>
      </c>
    </row>
    <row r="8549" spans="3:4" ht="15" x14ac:dyDescent="0.25">
      <c r="C8549" s="8" t="e">
        <f>VLOOKUP(A:A,'ITEM LIST'!A:C,3,0)</f>
        <v>#N/A</v>
      </c>
      <c r="D8549" s="6">
        <f t="shared" si="134"/>
        <v>0</v>
      </c>
    </row>
    <row r="8550" spans="3:4" ht="15" x14ac:dyDescent="0.25">
      <c r="C8550" s="8" t="e">
        <f>VLOOKUP(A:A,'ITEM LIST'!A:C,3,0)</f>
        <v>#N/A</v>
      </c>
      <c r="D8550" s="6">
        <f t="shared" si="134"/>
        <v>0</v>
      </c>
    </row>
    <row r="8551" spans="3:4" ht="15" x14ac:dyDescent="0.25">
      <c r="C8551" s="8" t="e">
        <f>VLOOKUP(A:A,'ITEM LIST'!A:C,3,0)</f>
        <v>#N/A</v>
      </c>
      <c r="D8551" s="6">
        <f t="shared" si="134"/>
        <v>0</v>
      </c>
    </row>
    <row r="8552" spans="3:4" ht="15" x14ac:dyDescent="0.25">
      <c r="C8552" s="8" t="e">
        <f>VLOOKUP(A:A,'ITEM LIST'!A:C,3,0)</f>
        <v>#N/A</v>
      </c>
      <c r="D8552" s="6">
        <f t="shared" si="134"/>
        <v>0</v>
      </c>
    </row>
    <row r="8553" spans="3:4" ht="15" x14ac:dyDescent="0.25">
      <c r="C8553" s="8" t="e">
        <f>VLOOKUP(A:A,'ITEM LIST'!A:C,3,0)</f>
        <v>#N/A</v>
      </c>
      <c r="D8553" s="6">
        <f t="shared" si="134"/>
        <v>0</v>
      </c>
    </row>
    <row r="8554" spans="3:4" ht="15" x14ac:dyDescent="0.25">
      <c r="C8554" s="8" t="e">
        <f>VLOOKUP(A:A,'ITEM LIST'!A:C,3,0)</f>
        <v>#N/A</v>
      </c>
      <c r="D8554" s="6">
        <f t="shared" si="134"/>
        <v>0</v>
      </c>
    </row>
    <row r="8555" spans="3:4" ht="15" x14ac:dyDescent="0.25">
      <c r="C8555" s="8" t="e">
        <f>VLOOKUP(A:A,'ITEM LIST'!A:C,3,0)</f>
        <v>#N/A</v>
      </c>
      <c r="D8555" s="6">
        <f t="shared" si="134"/>
        <v>0</v>
      </c>
    </row>
    <row r="8556" spans="3:4" ht="15" x14ac:dyDescent="0.25">
      <c r="C8556" s="8" t="e">
        <f>VLOOKUP(A:A,'ITEM LIST'!A:C,3,0)</f>
        <v>#N/A</v>
      </c>
      <c r="D8556" s="6">
        <f t="shared" si="134"/>
        <v>0</v>
      </c>
    </row>
    <row r="8557" spans="3:4" ht="15" x14ac:dyDescent="0.25">
      <c r="C8557" s="8" t="e">
        <f>VLOOKUP(A:A,'ITEM LIST'!A:C,3,0)</f>
        <v>#N/A</v>
      </c>
      <c r="D8557" s="6">
        <f t="shared" si="134"/>
        <v>0</v>
      </c>
    </row>
    <row r="8558" spans="3:4" ht="15" x14ac:dyDescent="0.25">
      <c r="C8558" s="8" t="e">
        <f>VLOOKUP(A:A,'ITEM LIST'!A:C,3,0)</f>
        <v>#N/A</v>
      </c>
      <c r="D8558" s="6">
        <f t="shared" si="134"/>
        <v>0</v>
      </c>
    </row>
    <row r="8559" spans="3:4" ht="15" x14ac:dyDescent="0.25">
      <c r="C8559" s="8" t="e">
        <f>VLOOKUP(A:A,'ITEM LIST'!A:C,3,0)</f>
        <v>#N/A</v>
      </c>
      <c r="D8559" s="6">
        <f t="shared" si="134"/>
        <v>0</v>
      </c>
    </row>
    <row r="8560" spans="3:4" ht="15" x14ac:dyDescent="0.25">
      <c r="C8560" s="8" t="e">
        <f>VLOOKUP(A:A,'ITEM LIST'!A:C,3,0)</f>
        <v>#N/A</v>
      </c>
      <c r="D8560" s="6">
        <f t="shared" si="134"/>
        <v>0</v>
      </c>
    </row>
    <row r="8561" spans="3:4" ht="15" x14ac:dyDescent="0.25">
      <c r="C8561" s="8" t="e">
        <f>VLOOKUP(A:A,'ITEM LIST'!A:C,3,0)</f>
        <v>#N/A</v>
      </c>
      <c r="D8561" s="6">
        <f t="shared" si="134"/>
        <v>0</v>
      </c>
    </row>
    <row r="8562" spans="3:4" ht="15" x14ac:dyDescent="0.25">
      <c r="C8562" s="8" t="e">
        <f>VLOOKUP(A:A,'ITEM LIST'!A:C,3,0)</f>
        <v>#N/A</v>
      </c>
      <c r="D8562" s="6">
        <f t="shared" si="134"/>
        <v>0</v>
      </c>
    </row>
    <row r="8563" spans="3:4" ht="15" x14ac:dyDescent="0.25">
      <c r="C8563" s="8" t="e">
        <f>VLOOKUP(A:A,'ITEM LIST'!A:C,3,0)</f>
        <v>#N/A</v>
      </c>
      <c r="D8563" s="6">
        <f t="shared" si="134"/>
        <v>0</v>
      </c>
    </row>
    <row r="8564" spans="3:4" ht="15" x14ac:dyDescent="0.25">
      <c r="C8564" s="8" t="e">
        <f>VLOOKUP(A:A,'ITEM LIST'!A:C,3,0)</f>
        <v>#N/A</v>
      </c>
      <c r="D8564" s="6">
        <f t="shared" si="134"/>
        <v>0</v>
      </c>
    </row>
    <row r="8565" spans="3:4" ht="15" x14ac:dyDescent="0.25">
      <c r="C8565" s="8" t="e">
        <f>VLOOKUP(A:A,'ITEM LIST'!A:C,3,0)</f>
        <v>#N/A</v>
      </c>
      <c r="D8565" s="6">
        <f t="shared" si="134"/>
        <v>0</v>
      </c>
    </row>
    <row r="8566" spans="3:4" ht="15" x14ac:dyDescent="0.25">
      <c r="C8566" s="8" t="e">
        <f>VLOOKUP(A:A,'ITEM LIST'!A:C,3,0)</f>
        <v>#N/A</v>
      </c>
      <c r="D8566" s="6">
        <f t="shared" si="134"/>
        <v>0</v>
      </c>
    </row>
    <row r="8567" spans="3:4" ht="15" x14ac:dyDescent="0.25">
      <c r="C8567" s="8" t="e">
        <f>VLOOKUP(A:A,'ITEM LIST'!A:C,3,0)</f>
        <v>#N/A</v>
      </c>
      <c r="D8567" s="6">
        <f t="shared" si="134"/>
        <v>0</v>
      </c>
    </row>
    <row r="8568" spans="3:4" ht="15" x14ac:dyDescent="0.25">
      <c r="C8568" s="8" t="e">
        <f>VLOOKUP(A:A,'ITEM LIST'!A:C,3,0)</f>
        <v>#N/A</v>
      </c>
      <c r="D8568" s="6">
        <f t="shared" si="134"/>
        <v>0</v>
      </c>
    </row>
    <row r="8569" spans="3:4" ht="15" x14ac:dyDescent="0.25">
      <c r="C8569" s="8" t="e">
        <f>VLOOKUP(A:A,'ITEM LIST'!A:C,3,0)</f>
        <v>#N/A</v>
      </c>
      <c r="D8569" s="6">
        <f t="shared" si="134"/>
        <v>0</v>
      </c>
    </row>
    <row r="8570" spans="3:4" ht="15" x14ac:dyDescent="0.25">
      <c r="C8570" s="8" t="e">
        <f>VLOOKUP(A:A,'ITEM LIST'!A:C,3,0)</f>
        <v>#N/A</v>
      </c>
      <c r="D8570" s="6">
        <f t="shared" si="134"/>
        <v>0</v>
      </c>
    </row>
    <row r="8571" spans="3:4" ht="15" x14ac:dyDescent="0.25">
      <c r="C8571" s="8" t="e">
        <f>VLOOKUP(A:A,'ITEM LIST'!A:C,3,0)</f>
        <v>#N/A</v>
      </c>
      <c r="D8571" s="6">
        <f t="shared" si="134"/>
        <v>0</v>
      </c>
    </row>
    <row r="8572" spans="3:4" ht="15" x14ac:dyDescent="0.25">
      <c r="C8572" s="8" t="e">
        <f>VLOOKUP(A:A,'ITEM LIST'!A:C,3,0)</f>
        <v>#N/A</v>
      </c>
      <c r="D8572" s="6">
        <f t="shared" si="134"/>
        <v>0</v>
      </c>
    </row>
    <row r="8573" spans="3:4" ht="15" x14ac:dyDescent="0.25">
      <c r="C8573" s="8" t="e">
        <f>VLOOKUP(A:A,'ITEM LIST'!A:C,3,0)</f>
        <v>#N/A</v>
      </c>
      <c r="D8573" s="6">
        <f t="shared" si="134"/>
        <v>0</v>
      </c>
    </row>
    <row r="8574" spans="3:4" ht="15" x14ac:dyDescent="0.25">
      <c r="C8574" s="8" t="e">
        <f>VLOOKUP(A:A,'ITEM LIST'!A:C,3,0)</f>
        <v>#N/A</v>
      </c>
      <c r="D8574" s="6">
        <f t="shared" si="134"/>
        <v>0</v>
      </c>
    </row>
    <row r="8575" spans="3:4" ht="15" x14ac:dyDescent="0.25">
      <c r="C8575" s="8" t="e">
        <f>VLOOKUP(A:A,'ITEM LIST'!A:C,3,0)</f>
        <v>#N/A</v>
      </c>
      <c r="D8575" s="6">
        <f t="shared" si="134"/>
        <v>0</v>
      </c>
    </row>
    <row r="8576" spans="3:4" ht="15" x14ac:dyDescent="0.25">
      <c r="C8576" s="8" t="e">
        <f>VLOOKUP(A:A,'ITEM LIST'!A:C,3,0)</f>
        <v>#N/A</v>
      </c>
      <c r="D8576" s="6">
        <f t="shared" si="134"/>
        <v>0</v>
      </c>
    </row>
    <row r="8577" spans="3:4" ht="15" x14ac:dyDescent="0.25">
      <c r="C8577" s="8" t="e">
        <f>VLOOKUP(A:A,'ITEM LIST'!A:C,3,0)</f>
        <v>#N/A</v>
      </c>
      <c r="D8577" s="6">
        <f t="shared" si="134"/>
        <v>0</v>
      </c>
    </row>
    <row r="8578" spans="3:4" ht="15" x14ac:dyDescent="0.25">
      <c r="C8578" s="8" t="e">
        <f>VLOOKUP(A:A,'ITEM LIST'!A:C,3,0)</f>
        <v>#N/A</v>
      </c>
      <c r="D8578" s="6">
        <f t="shared" si="134"/>
        <v>0</v>
      </c>
    </row>
    <row r="8579" spans="3:4" ht="15" x14ac:dyDescent="0.25">
      <c r="C8579" s="8" t="e">
        <f>VLOOKUP(A:A,'ITEM LIST'!A:C,3,0)</f>
        <v>#N/A</v>
      </c>
      <c r="D8579" s="6">
        <f t="shared" si="134"/>
        <v>0</v>
      </c>
    </row>
    <row r="8580" spans="3:4" ht="15" x14ac:dyDescent="0.25">
      <c r="C8580" s="8" t="e">
        <f>VLOOKUP(A:A,'ITEM LIST'!A:C,3,0)</f>
        <v>#N/A</v>
      </c>
      <c r="D8580" s="6">
        <f t="shared" si="134"/>
        <v>0</v>
      </c>
    </row>
    <row r="8581" spans="3:4" ht="15" x14ac:dyDescent="0.25">
      <c r="C8581" s="8" t="e">
        <f>VLOOKUP(A:A,'ITEM LIST'!A:C,3,0)</f>
        <v>#N/A</v>
      </c>
      <c r="D8581" s="6">
        <f t="shared" si="134"/>
        <v>0</v>
      </c>
    </row>
    <row r="8582" spans="3:4" ht="15" x14ac:dyDescent="0.25">
      <c r="C8582" s="8" t="e">
        <f>VLOOKUP(A:A,'ITEM LIST'!A:C,3,0)</f>
        <v>#N/A</v>
      </c>
      <c r="D8582" s="6">
        <f t="shared" ref="D8582:D8645" si="135">B8582</f>
        <v>0</v>
      </c>
    </row>
    <row r="8583" spans="3:4" ht="15" x14ac:dyDescent="0.25">
      <c r="C8583" s="8" t="e">
        <f>VLOOKUP(A:A,'ITEM LIST'!A:C,3,0)</f>
        <v>#N/A</v>
      </c>
      <c r="D8583" s="6">
        <f t="shared" si="135"/>
        <v>0</v>
      </c>
    </row>
    <row r="8584" spans="3:4" ht="15" x14ac:dyDescent="0.25">
      <c r="C8584" s="8" t="e">
        <f>VLOOKUP(A:A,'ITEM LIST'!A:C,3,0)</f>
        <v>#N/A</v>
      </c>
      <c r="D8584" s="6">
        <f t="shared" si="135"/>
        <v>0</v>
      </c>
    </row>
    <row r="8585" spans="3:4" ht="15" x14ac:dyDescent="0.25">
      <c r="C8585" s="8" t="e">
        <f>VLOOKUP(A:A,'ITEM LIST'!A:C,3,0)</f>
        <v>#N/A</v>
      </c>
      <c r="D8585" s="6">
        <f t="shared" si="135"/>
        <v>0</v>
      </c>
    </row>
    <row r="8586" spans="3:4" ht="15" x14ac:dyDescent="0.25">
      <c r="C8586" s="8" t="e">
        <f>VLOOKUP(A:A,'ITEM LIST'!A:C,3,0)</f>
        <v>#N/A</v>
      </c>
      <c r="D8586" s="6">
        <f t="shared" si="135"/>
        <v>0</v>
      </c>
    </row>
    <row r="8587" spans="3:4" ht="15" x14ac:dyDescent="0.25">
      <c r="C8587" s="8" t="e">
        <f>VLOOKUP(A:A,'ITEM LIST'!A:C,3,0)</f>
        <v>#N/A</v>
      </c>
      <c r="D8587" s="6">
        <f t="shared" si="135"/>
        <v>0</v>
      </c>
    </row>
    <row r="8588" spans="3:4" ht="15" x14ac:dyDescent="0.25">
      <c r="C8588" s="8" t="e">
        <f>VLOOKUP(A:A,'ITEM LIST'!A:C,3,0)</f>
        <v>#N/A</v>
      </c>
      <c r="D8588" s="6">
        <f t="shared" si="135"/>
        <v>0</v>
      </c>
    </row>
    <row r="8589" spans="3:4" ht="15" x14ac:dyDescent="0.25">
      <c r="C8589" s="8" t="e">
        <f>VLOOKUP(A:A,'ITEM LIST'!A:C,3,0)</f>
        <v>#N/A</v>
      </c>
      <c r="D8589" s="6">
        <f t="shared" si="135"/>
        <v>0</v>
      </c>
    </row>
    <row r="8590" spans="3:4" ht="15" x14ac:dyDescent="0.25">
      <c r="C8590" s="8" t="e">
        <f>VLOOKUP(A:A,'ITEM LIST'!A:C,3,0)</f>
        <v>#N/A</v>
      </c>
      <c r="D8590" s="6">
        <f t="shared" si="135"/>
        <v>0</v>
      </c>
    </row>
    <row r="8591" spans="3:4" ht="15" x14ac:dyDescent="0.25">
      <c r="C8591" s="8" t="e">
        <f>VLOOKUP(A:A,'ITEM LIST'!A:C,3,0)</f>
        <v>#N/A</v>
      </c>
      <c r="D8591" s="6">
        <f t="shared" si="135"/>
        <v>0</v>
      </c>
    </row>
    <row r="8592" spans="3:4" ht="15" x14ac:dyDescent="0.25">
      <c r="C8592" s="8" t="e">
        <f>VLOOKUP(A:A,'ITEM LIST'!A:C,3,0)</f>
        <v>#N/A</v>
      </c>
      <c r="D8592" s="6">
        <f t="shared" si="135"/>
        <v>0</v>
      </c>
    </row>
    <row r="8593" spans="3:4" ht="15" x14ac:dyDescent="0.25">
      <c r="C8593" s="8" t="e">
        <f>VLOOKUP(A:A,'ITEM LIST'!A:C,3,0)</f>
        <v>#N/A</v>
      </c>
      <c r="D8593" s="6">
        <f t="shared" si="135"/>
        <v>0</v>
      </c>
    </row>
    <row r="8594" spans="3:4" ht="15" x14ac:dyDescent="0.25">
      <c r="C8594" s="8" t="e">
        <f>VLOOKUP(A:A,'ITEM LIST'!A:C,3,0)</f>
        <v>#N/A</v>
      </c>
      <c r="D8594" s="6">
        <f t="shared" si="135"/>
        <v>0</v>
      </c>
    </row>
    <row r="8595" spans="3:4" ht="15" x14ac:dyDescent="0.25">
      <c r="C8595" s="8" t="e">
        <f>VLOOKUP(A:A,'ITEM LIST'!A:C,3,0)</f>
        <v>#N/A</v>
      </c>
      <c r="D8595" s="6">
        <f t="shared" si="135"/>
        <v>0</v>
      </c>
    </row>
    <row r="8596" spans="3:4" ht="15" x14ac:dyDescent="0.25">
      <c r="C8596" s="8" t="e">
        <f>VLOOKUP(A:A,'ITEM LIST'!A:C,3,0)</f>
        <v>#N/A</v>
      </c>
      <c r="D8596" s="6">
        <f t="shared" si="135"/>
        <v>0</v>
      </c>
    </row>
    <row r="8597" spans="3:4" ht="15" x14ac:dyDescent="0.25">
      <c r="C8597" s="8" t="e">
        <f>VLOOKUP(A:A,'ITEM LIST'!A:C,3,0)</f>
        <v>#N/A</v>
      </c>
      <c r="D8597" s="6">
        <f t="shared" si="135"/>
        <v>0</v>
      </c>
    </row>
    <row r="8598" spans="3:4" ht="15" x14ac:dyDescent="0.25">
      <c r="C8598" s="8" t="e">
        <f>VLOOKUP(A:A,'ITEM LIST'!A:C,3,0)</f>
        <v>#N/A</v>
      </c>
      <c r="D8598" s="6">
        <f t="shared" si="135"/>
        <v>0</v>
      </c>
    </row>
    <row r="8599" spans="3:4" ht="15" x14ac:dyDescent="0.25">
      <c r="C8599" s="8" t="e">
        <f>VLOOKUP(A:A,'ITEM LIST'!A:C,3,0)</f>
        <v>#N/A</v>
      </c>
      <c r="D8599" s="6">
        <f t="shared" si="135"/>
        <v>0</v>
      </c>
    </row>
    <row r="8600" spans="3:4" ht="15" x14ac:dyDescent="0.25">
      <c r="C8600" s="8" t="e">
        <f>VLOOKUP(A:A,'ITEM LIST'!A:C,3,0)</f>
        <v>#N/A</v>
      </c>
      <c r="D8600" s="6">
        <f t="shared" si="135"/>
        <v>0</v>
      </c>
    </row>
    <row r="8601" spans="3:4" ht="15" x14ac:dyDescent="0.25">
      <c r="C8601" s="8" t="e">
        <f>VLOOKUP(A:A,'ITEM LIST'!A:C,3,0)</f>
        <v>#N/A</v>
      </c>
      <c r="D8601" s="6">
        <f t="shared" si="135"/>
        <v>0</v>
      </c>
    </row>
    <row r="8602" spans="3:4" ht="15" x14ac:dyDescent="0.25">
      <c r="C8602" s="8" t="e">
        <f>VLOOKUP(A:A,'ITEM LIST'!A:C,3,0)</f>
        <v>#N/A</v>
      </c>
      <c r="D8602" s="6">
        <f t="shared" si="135"/>
        <v>0</v>
      </c>
    </row>
    <row r="8603" spans="3:4" ht="15" x14ac:dyDescent="0.25">
      <c r="C8603" s="8" t="e">
        <f>VLOOKUP(A:A,'ITEM LIST'!A:C,3,0)</f>
        <v>#N/A</v>
      </c>
      <c r="D8603" s="6">
        <f t="shared" si="135"/>
        <v>0</v>
      </c>
    </row>
    <row r="8604" spans="3:4" ht="15" x14ac:dyDescent="0.25">
      <c r="C8604" s="8" t="e">
        <f>VLOOKUP(A:A,'ITEM LIST'!A:C,3,0)</f>
        <v>#N/A</v>
      </c>
      <c r="D8604" s="6">
        <f t="shared" si="135"/>
        <v>0</v>
      </c>
    </row>
    <row r="8605" spans="3:4" ht="15" x14ac:dyDescent="0.25">
      <c r="C8605" s="8" t="e">
        <f>VLOOKUP(A:A,'ITEM LIST'!A:C,3,0)</f>
        <v>#N/A</v>
      </c>
      <c r="D8605" s="6">
        <f t="shared" si="135"/>
        <v>0</v>
      </c>
    </row>
    <row r="8606" spans="3:4" ht="15" x14ac:dyDescent="0.25">
      <c r="C8606" s="8" t="e">
        <f>VLOOKUP(A:A,'ITEM LIST'!A:C,3,0)</f>
        <v>#N/A</v>
      </c>
      <c r="D8606" s="6">
        <f t="shared" si="135"/>
        <v>0</v>
      </c>
    </row>
    <row r="8607" spans="3:4" ht="15" x14ac:dyDescent="0.25">
      <c r="C8607" s="8" t="e">
        <f>VLOOKUP(A:A,'ITEM LIST'!A:C,3,0)</f>
        <v>#N/A</v>
      </c>
      <c r="D8607" s="6">
        <f t="shared" si="135"/>
        <v>0</v>
      </c>
    </row>
    <row r="8608" spans="3:4" ht="15" x14ac:dyDescent="0.25">
      <c r="C8608" s="8" t="e">
        <f>VLOOKUP(A:A,'ITEM LIST'!A:C,3,0)</f>
        <v>#N/A</v>
      </c>
      <c r="D8608" s="6">
        <f t="shared" si="135"/>
        <v>0</v>
      </c>
    </row>
    <row r="8609" spans="3:4" ht="15" x14ac:dyDescent="0.25">
      <c r="C8609" s="8" t="e">
        <f>VLOOKUP(A:A,'ITEM LIST'!A:C,3,0)</f>
        <v>#N/A</v>
      </c>
      <c r="D8609" s="6">
        <f t="shared" si="135"/>
        <v>0</v>
      </c>
    </row>
    <row r="8610" spans="3:4" ht="15" x14ac:dyDescent="0.25">
      <c r="C8610" s="8" t="e">
        <f>VLOOKUP(A:A,'ITEM LIST'!A:C,3,0)</f>
        <v>#N/A</v>
      </c>
      <c r="D8610" s="6">
        <f t="shared" si="135"/>
        <v>0</v>
      </c>
    </row>
    <row r="8611" spans="3:4" ht="15" x14ac:dyDescent="0.25">
      <c r="C8611" s="8" t="e">
        <f>VLOOKUP(A:A,'ITEM LIST'!A:C,3,0)</f>
        <v>#N/A</v>
      </c>
      <c r="D8611" s="6">
        <f t="shared" si="135"/>
        <v>0</v>
      </c>
    </row>
    <row r="8612" spans="3:4" ht="15" x14ac:dyDescent="0.25">
      <c r="C8612" s="8" t="e">
        <f>VLOOKUP(A:A,'ITEM LIST'!A:C,3,0)</f>
        <v>#N/A</v>
      </c>
      <c r="D8612" s="6">
        <f t="shared" si="135"/>
        <v>0</v>
      </c>
    </row>
    <row r="8613" spans="3:4" ht="15" x14ac:dyDescent="0.25">
      <c r="C8613" s="8" t="e">
        <f>VLOOKUP(A:A,'ITEM LIST'!A:C,3,0)</f>
        <v>#N/A</v>
      </c>
      <c r="D8613" s="6">
        <f t="shared" si="135"/>
        <v>0</v>
      </c>
    </row>
    <row r="8614" spans="3:4" ht="15" x14ac:dyDescent="0.25">
      <c r="C8614" s="8" t="e">
        <f>VLOOKUP(A:A,'ITEM LIST'!A:C,3,0)</f>
        <v>#N/A</v>
      </c>
      <c r="D8614" s="6">
        <f t="shared" si="135"/>
        <v>0</v>
      </c>
    </row>
    <row r="8615" spans="3:4" ht="15" x14ac:dyDescent="0.25">
      <c r="C8615" s="8" t="e">
        <f>VLOOKUP(A:A,'ITEM LIST'!A:C,3,0)</f>
        <v>#N/A</v>
      </c>
      <c r="D8615" s="6">
        <f t="shared" si="135"/>
        <v>0</v>
      </c>
    </row>
    <row r="8616" spans="3:4" ht="15" x14ac:dyDescent="0.25">
      <c r="C8616" s="8" t="e">
        <f>VLOOKUP(A:A,'ITEM LIST'!A:C,3,0)</f>
        <v>#N/A</v>
      </c>
      <c r="D8616" s="6">
        <f t="shared" si="135"/>
        <v>0</v>
      </c>
    </row>
    <row r="8617" spans="3:4" ht="15" x14ac:dyDescent="0.25">
      <c r="C8617" s="8" t="e">
        <f>VLOOKUP(A:A,'ITEM LIST'!A:C,3,0)</f>
        <v>#N/A</v>
      </c>
      <c r="D8617" s="6">
        <f t="shared" si="135"/>
        <v>0</v>
      </c>
    </row>
    <row r="8618" spans="3:4" ht="15" x14ac:dyDescent="0.25">
      <c r="C8618" s="8" t="e">
        <f>VLOOKUP(A:A,'ITEM LIST'!A:C,3,0)</f>
        <v>#N/A</v>
      </c>
      <c r="D8618" s="6">
        <f t="shared" si="135"/>
        <v>0</v>
      </c>
    </row>
    <row r="8619" spans="3:4" ht="15" x14ac:dyDescent="0.25">
      <c r="C8619" s="8" t="e">
        <f>VLOOKUP(A:A,'ITEM LIST'!A:C,3,0)</f>
        <v>#N/A</v>
      </c>
      <c r="D8619" s="6">
        <f t="shared" si="135"/>
        <v>0</v>
      </c>
    </row>
    <row r="8620" spans="3:4" ht="15" x14ac:dyDescent="0.25">
      <c r="C8620" s="8" t="e">
        <f>VLOOKUP(A:A,'ITEM LIST'!A:C,3,0)</f>
        <v>#N/A</v>
      </c>
      <c r="D8620" s="6">
        <f t="shared" si="135"/>
        <v>0</v>
      </c>
    </row>
    <row r="8621" spans="3:4" ht="15" x14ac:dyDescent="0.25">
      <c r="C8621" s="8" t="e">
        <f>VLOOKUP(A:A,'ITEM LIST'!A:C,3,0)</f>
        <v>#N/A</v>
      </c>
      <c r="D8621" s="6">
        <f t="shared" si="135"/>
        <v>0</v>
      </c>
    </row>
    <row r="8622" spans="3:4" ht="15" x14ac:dyDescent="0.25">
      <c r="C8622" s="8" t="e">
        <f>VLOOKUP(A:A,'ITEM LIST'!A:C,3,0)</f>
        <v>#N/A</v>
      </c>
      <c r="D8622" s="6">
        <f t="shared" si="135"/>
        <v>0</v>
      </c>
    </row>
    <row r="8623" spans="3:4" ht="15" x14ac:dyDescent="0.25">
      <c r="C8623" s="8" t="e">
        <f>VLOOKUP(A:A,'ITEM LIST'!A:C,3,0)</f>
        <v>#N/A</v>
      </c>
      <c r="D8623" s="6">
        <f t="shared" si="135"/>
        <v>0</v>
      </c>
    </row>
    <row r="8624" spans="3:4" ht="15" x14ac:dyDescent="0.25">
      <c r="C8624" s="8" t="e">
        <f>VLOOKUP(A:A,'ITEM LIST'!A:C,3,0)</f>
        <v>#N/A</v>
      </c>
      <c r="D8624" s="6">
        <f t="shared" si="135"/>
        <v>0</v>
      </c>
    </row>
    <row r="8625" spans="3:4" ht="15" x14ac:dyDescent="0.25">
      <c r="C8625" s="8" t="e">
        <f>VLOOKUP(A:A,'ITEM LIST'!A:C,3,0)</f>
        <v>#N/A</v>
      </c>
      <c r="D8625" s="6">
        <f t="shared" si="135"/>
        <v>0</v>
      </c>
    </row>
    <row r="8626" spans="3:4" ht="15" x14ac:dyDescent="0.25">
      <c r="C8626" s="8" t="e">
        <f>VLOOKUP(A:A,'ITEM LIST'!A:C,3,0)</f>
        <v>#N/A</v>
      </c>
      <c r="D8626" s="6">
        <f t="shared" si="135"/>
        <v>0</v>
      </c>
    </row>
    <row r="8627" spans="3:4" ht="15" x14ac:dyDescent="0.25">
      <c r="C8627" s="8" t="e">
        <f>VLOOKUP(A:A,'ITEM LIST'!A:C,3,0)</f>
        <v>#N/A</v>
      </c>
      <c r="D8627" s="6">
        <f t="shared" si="135"/>
        <v>0</v>
      </c>
    </row>
    <row r="8628" spans="3:4" ht="15" x14ac:dyDescent="0.25">
      <c r="C8628" s="8" t="e">
        <f>VLOOKUP(A:A,'ITEM LIST'!A:C,3,0)</f>
        <v>#N/A</v>
      </c>
      <c r="D8628" s="6">
        <f t="shared" si="135"/>
        <v>0</v>
      </c>
    </row>
    <row r="8629" spans="3:4" ht="15" x14ac:dyDescent="0.25">
      <c r="C8629" s="8" t="e">
        <f>VLOOKUP(A:A,'ITEM LIST'!A:C,3,0)</f>
        <v>#N/A</v>
      </c>
      <c r="D8629" s="6">
        <f t="shared" si="135"/>
        <v>0</v>
      </c>
    </row>
    <row r="8630" spans="3:4" ht="15" x14ac:dyDescent="0.25">
      <c r="C8630" s="8" t="e">
        <f>VLOOKUP(A:A,'ITEM LIST'!A:C,3,0)</f>
        <v>#N/A</v>
      </c>
      <c r="D8630" s="6">
        <f t="shared" si="135"/>
        <v>0</v>
      </c>
    </row>
    <row r="8631" spans="3:4" ht="15" x14ac:dyDescent="0.25">
      <c r="C8631" s="8" t="e">
        <f>VLOOKUP(A:A,'ITEM LIST'!A:C,3,0)</f>
        <v>#N/A</v>
      </c>
      <c r="D8631" s="6">
        <f t="shared" si="135"/>
        <v>0</v>
      </c>
    </row>
    <row r="8632" spans="3:4" ht="15" x14ac:dyDescent="0.25">
      <c r="C8632" s="8" t="e">
        <f>VLOOKUP(A:A,'ITEM LIST'!A:C,3,0)</f>
        <v>#N/A</v>
      </c>
      <c r="D8632" s="6">
        <f t="shared" si="135"/>
        <v>0</v>
      </c>
    </row>
    <row r="8633" spans="3:4" ht="15" x14ac:dyDescent="0.25">
      <c r="C8633" s="8" t="e">
        <f>VLOOKUP(A:A,'ITEM LIST'!A:C,3,0)</f>
        <v>#N/A</v>
      </c>
      <c r="D8633" s="6">
        <f t="shared" si="135"/>
        <v>0</v>
      </c>
    </row>
    <row r="8634" spans="3:4" ht="15" x14ac:dyDescent="0.25">
      <c r="C8634" s="8" t="e">
        <f>VLOOKUP(A:A,'ITEM LIST'!A:C,3,0)</f>
        <v>#N/A</v>
      </c>
      <c r="D8634" s="6">
        <f t="shared" si="135"/>
        <v>0</v>
      </c>
    </row>
    <row r="8635" spans="3:4" ht="15" x14ac:dyDescent="0.25">
      <c r="C8635" s="8" t="e">
        <f>VLOOKUP(A:A,'ITEM LIST'!A:C,3,0)</f>
        <v>#N/A</v>
      </c>
      <c r="D8635" s="6">
        <f t="shared" si="135"/>
        <v>0</v>
      </c>
    </row>
    <row r="8636" spans="3:4" ht="15" x14ac:dyDescent="0.25">
      <c r="C8636" s="8" t="e">
        <f>VLOOKUP(A:A,'ITEM LIST'!A:C,3,0)</f>
        <v>#N/A</v>
      </c>
      <c r="D8636" s="6">
        <f t="shared" si="135"/>
        <v>0</v>
      </c>
    </row>
    <row r="8637" spans="3:4" ht="15" x14ac:dyDescent="0.25">
      <c r="C8637" s="8" t="e">
        <f>VLOOKUP(A:A,'ITEM LIST'!A:C,3,0)</f>
        <v>#N/A</v>
      </c>
      <c r="D8637" s="6">
        <f t="shared" si="135"/>
        <v>0</v>
      </c>
    </row>
    <row r="8638" spans="3:4" ht="15" x14ac:dyDescent="0.25">
      <c r="C8638" s="8" t="e">
        <f>VLOOKUP(A:A,'ITEM LIST'!A:C,3,0)</f>
        <v>#N/A</v>
      </c>
      <c r="D8638" s="6">
        <f t="shared" si="135"/>
        <v>0</v>
      </c>
    </row>
    <row r="8639" spans="3:4" ht="15" x14ac:dyDescent="0.25">
      <c r="C8639" s="8" t="e">
        <f>VLOOKUP(A:A,'ITEM LIST'!A:C,3,0)</f>
        <v>#N/A</v>
      </c>
      <c r="D8639" s="6">
        <f t="shared" si="135"/>
        <v>0</v>
      </c>
    </row>
    <row r="8640" spans="3:4" ht="15" x14ac:dyDescent="0.25">
      <c r="C8640" s="8" t="e">
        <f>VLOOKUP(A:A,'ITEM LIST'!A:C,3,0)</f>
        <v>#N/A</v>
      </c>
      <c r="D8640" s="6">
        <f t="shared" si="135"/>
        <v>0</v>
      </c>
    </row>
    <row r="8641" spans="3:4" ht="15" x14ac:dyDescent="0.25">
      <c r="C8641" s="8" t="e">
        <f>VLOOKUP(A:A,'ITEM LIST'!A:C,3,0)</f>
        <v>#N/A</v>
      </c>
      <c r="D8641" s="6">
        <f t="shared" si="135"/>
        <v>0</v>
      </c>
    </row>
    <row r="8642" spans="3:4" ht="15" x14ac:dyDescent="0.25">
      <c r="C8642" s="8" t="e">
        <f>VLOOKUP(A:A,'ITEM LIST'!A:C,3,0)</f>
        <v>#N/A</v>
      </c>
      <c r="D8642" s="6">
        <f t="shared" si="135"/>
        <v>0</v>
      </c>
    </row>
    <row r="8643" spans="3:4" ht="15" x14ac:dyDescent="0.25">
      <c r="C8643" s="8" t="e">
        <f>VLOOKUP(A:A,'ITEM LIST'!A:C,3,0)</f>
        <v>#N/A</v>
      </c>
      <c r="D8643" s="6">
        <f t="shared" si="135"/>
        <v>0</v>
      </c>
    </row>
    <row r="8644" spans="3:4" ht="15" x14ac:dyDescent="0.25">
      <c r="C8644" s="8" t="e">
        <f>VLOOKUP(A:A,'ITEM LIST'!A:C,3,0)</f>
        <v>#N/A</v>
      </c>
      <c r="D8644" s="6">
        <f t="shared" si="135"/>
        <v>0</v>
      </c>
    </row>
    <row r="8645" spans="3:4" ht="15" x14ac:dyDescent="0.25">
      <c r="C8645" s="8" t="e">
        <f>VLOOKUP(A:A,'ITEM LIST'!A:C,3,0)</f>
        <v>#N/A</v>
      </c>
      <c r="D8645" s="6">
        <f t="shared" si="135"/>
        <v>0</v>
      </c>
    </row>
    <row r="8646" spans="3:4" ht="15" x14ac:dyDescent="0.25">
      <c r="C8646" s="8" t="e">
        <f>VLOOKUP(A:A,'ITEM LIST'!A:C,3,0)</f>
        <v>#N/A</v>
      </c>
      <c r="D8646" s="6">
        <f t="shared" ref="D8646:D8709" si="136">B8646</f>
        <v>0</v>
      </c>
    </row>
    <row r="8647" spans="3:4" ht="15" x14ac:dyDescent="0.25">
      <c r="C8647" s="8" t="e">
        <f>VLOOKUP(A:A,'ITEM LIST'!A:C,3,0)</f>
        <v>#N/A</v>
      </c>
      <c r="D8647" s="6">
        <f t="shared" si="136"/>
        <v>0</v>
      </c>
    </row>
    <row r="8648" spans="3:4" ht="15" x14ac:dyDescent="0.25">
      <c r="C8648" s="8" t="e">
        <f>VLOOKUP(A:A,'ITEM LIST'!A:C,3,0)</f>
        <v>#N/A</v>
      </c>
      <c r="D8648" s="6">
        <f t="shared" si="136"/>
        <v>0</v>
      </c>
    </row>
    <row r="8649" spans="3:4" ht="15" x14ac:dyDescent="0.25">
      <c r="C8649" s="8" t="e">
        <f>VLOOKUP(A:A,'ITEM LIST'!A:C,3,0)</f>
        <v>#N/A</v>
      </c>
      <c r="D8649" s="6">
        <f t="shared" si="136"/>
        <v>0</v>
      </c>
    </row>
    <row r="8650" spans="3:4" ht="15" x14ac:dyDescent="0.25">
      <c r="C8650" s="8" t="e">
        <f>VLOOKUP(A:A,'ITEM LIST'!A:C,3,0)</f>
        <v>#N/A</v>
      </c>
      <c r="D8650" s="6">
        <f t="shared" si="136"/>
        <v>0</v>
      </c>
    </row>
    <row r="8651" spans="3:4" ht="15" x14ac:dyDescent="0.25">
      <c r="C8651" s="8" t="e">
        <f>VLOOKUP(A:A,'ITEM LIST'!A:C,3,0)</f>
        <v>#N/A</v>
      </c>
      <c r="D8651" s="6">
        <f t="shared" si="136"/>
        <v>0</v>
      </c>
    </row>
    <row r="8652" spans="3:4" ht="15" x14ac:dyDescent="0.25">
      <c r="C8652" s="8" t="e">
        <f>VLOOKUP(A:A,'ITEM LIST'!A:C,3,0)</f>
        <v>#N/A</v>
      </c>
      <c r="D8652" s="6">
        <f t="shared" si="136"/>
        <v>0</v>
      </c>
    </row>
    <row r="8653" spans="3:4" ht="15" x14ac:dyDescent="0.25">
      <c r="C8653" s="8" t="e">
        <f>VLOOKUP(A:A,'ITEM LIST'!A:C,3,0)</f>
        <v>#N/A</v>
      </c>
      <c r="D8653" s="6">
        <f t="shared" si="136"/>
        <v>0</v>
      </c>
    </row>
    <row r="8654" spans="3:4" ht="15" x14ac:dyDescent="0.25">
      <c r="C8654" s="8" t="e">
        <f>VLOOKUP(A:A,'ITEM LIST'!A:C,3,0)</f>
        <v>#N/A</v>
      </c>
      <c r="D8654" s="6">
        <f t="shared" si="136"/>
        <v>0</v>
      </c>
    </row>
    <row r="8655" spans="3:4" ht="15" x14ac:dyDescent="0.25">
      <c r="C8655" s="8" t="e">
        <f>VLOOKUP(A:A,'ITEM LIST'!A:C,3,0)</f>
        <v>#N/A</v>
      </c>
      <c r="D8655" s="6">
        <f t="shared" si="136"/>
        <v>0</v>
      </c>
    </row>
    <row r="8656" spans="3:4" ht="15" x14ac:dyDescent="0.25">
      <c r="C8656" s="8" t="e">
        <f>VLOOKUP(A:A,'ITEM LIST'!A:C,3,0)</f>
        <v>#N/A</v>
      </c>
      <c r="D8656" s="6">
        <f t="shared" si="136"/>
        <v>0</v>
      </c>
    </row>
    <row r="8657" spans="3:4" ht="15" x14ac:dyDescent="0.25">
      <c r="C8657" s="8" t="e">
        <f>VLOOKUP(A:A,'ITEM LIST'!A:C,3,0)</f>
        <v>#N/A</v>
      </c>
      <c r="D8657" s="6">
        <f t="shared" si="136"/>
        <v>0</v>
      </c>
    </row>
    <row r="8658" spans="3:4" ht="15" x14ac:dyDescent="0.25">
      <c r="C8658" s="8" t="e">
        <f>VLOOKUP(A:A,'ITEM LIST'!A:C,3,0)</f>
        <v>#N/A</v>
      </c>
      <c r="D8658" s="6">
        <f t="shared" si="136"/>
        <v>0</v>
      </c>
    </row>
    <row r="8659" spans="3:4" ht="15" x14ac:dyDescent="0.25">
      <c r="C8659" s="8" t="e">
        <f>VLOOKUP(A:A,'ITEM LIST'!A:C,3,0)</f>
        <v>#N/A</v>
      </c>
      <c r="D8659" s="6">
        <f t="shared" si="136"/>
        <v>0</v>
      </c>
    </row>
    <row r="8660" spans="3:4" ht="15" x14ac:dyDescent="0.25">
      <c r="C8660" s="8" t="e">
        <f>VLOOKUP(A:A,'ITEM LIST'!A:C,3,0)</f>
        <v>#N/A</v>
      </c>
      <c r="D8660" s="6">
        <f t="shared" si="136"/>
        <v>0</v>
      </c>
    </row>
    <row r="8661" spans="3:4" ht="15" x14ac:dyDescent="0.25">
      <c r="C8661" s="8" t="e">
        <f>VLOOKUP(A:A,'ITEM LIST'!A:C,3,0)</f>
        <v>#N/A</v>
      </c>
      <c r="D8661" s="6">
        <f t="shared" si="136"/>
        <v>0</v>
      </c>
    </row>
    <row r="8662" spans="3:4" ht="15" x14ac:dyDescent="0.25">
      <c r="C8662" s="8" t="e">
        <f>VLOOKUP(A:A,'ITEM LIST'!A:C,3,0)</f>
        <v>#N/A</v>
      </c>
      <c r="D8662" s="6">
        <f t="shared" si="136"/>
        <v>0</v>
      </c>
    </row>
    <row r="8663" spans="3:4" ht="15" x14ac:dyDescent="0.25">
      <c r="C8663" s="8" t="e">
        <f>VLOOKUP(A:A,'ITEM LIST'!A:C,3,0)</f>
        <v>#N/A</v>
      </c>
      <c r="D8663" s="6">
        <f t="shared" si="136"/>
        <v>0</v>
      </c>
    </row>
    <row r="8664" spans="3:4" ht="15" x14ac:dyDescent="0.25">
      <c r="C8664" s="8" t="e">
        <f>VLOOKUP(A:A,'ITEM LIST'!A:C,3,0)</f>
        <v>#N/A</v>
      </c>
      <c r="D8664" s="6">
        <f t="shared" si="136"/>
        <v>0</v>
      </c>
    </row>
    <row r="8665" spans="3:4" ht="15" x14ac:dyDescent="0.25">
      <c r="C8665" s="8" t="e">
        <f>VLOOKUP(A:A,'ITEM LIST'!A:C,3,0)</f>
        <v>#N/A</v>
      </c>
      <c r="D8665" s="6">
        <f t="shared" si="136"/>
        <v>0</v>
      </c>
    </row>
    <row r="8666" spans="3:4" ht="15" x14ac:dyDescent="0.25">
      <c r="C8666" s="8" t="e">
        <f>VLOOKUP(A:A,'ITEM LIST'!A:C,3,0)</f>
        <v>#N/A</v>
      </c>
      <c r="D8666" s="6">
        <f t="shared" si="136"/>
        <v>0</v>
      </c>
    </row>
    <row r="8667" spans="3:4" ht="15" x14ac:dyDescent="0.25">
      <c r="C8667" s="8" t="e">
        <f>VLOOKUP(A:A,'ITEM LIST'!A:C,3,0)</f>
        <v>#N/A</v>
      </c>
      <c r="D8667" s="6">
        <f t="shared" si="136"/>
        <v>0</v>
      </c>
    </row>
    <row r="8668" spans="3:4" ht="15" x14ac:dyDescent="0.25">
      <c r="C8668" s="8" t="e">
        <f>VLOOKUP(A:A,'ITEM LIST'!A:C,3,0)</f>
        <v>#N/A</v>
      </c>
      <c r="D8668" s="6">
        <f t="shared" si="136"/>
        <v>0</v>
      </c>
    </row>
    <row r="8669" spans="3:4" ht="15" x14ac:dyDescent="0.25">
      <c r="C8669" s="8" t="e">
        <f>VLOOKUP(A:A,'ITEM LIST'!A:C,3,0)</f>
        <v>#N/A</v>
      </c>
      <c r="D8669" s="6">
        <f t="shared" si="136"/>
        <v>0</v>
      </c>
    </row>
    <row r="8670" spans="3:4" ht="15" x14ac:dyDescent="0.25">
      <c r="C8670" s="8" t="e">
        <f>VLOOKUP(A:A,'ITEM LIST'!A:C,3,0)</f>
        <v>#N/A</v>
      </c>
      <c r="D8670" s="6">
        <f t="shared" si="136"/>
        <v>0</v>
      </c>
    </row>
    <row r="8671" spans="3:4" ht="15" x14ac:dyDescent="0.25">
      <c r="C8671" s="8" t="e">
        <f>VLOOKUP(A:A,'ITEM LIST'!A:C,3,0)</f>
        <v>#N/A</v>
      </c>
      <c r="D8671" s="6">
        <f t="shared" si="136"/>
        <v>0</v>
      </c>
    </row>
    <row r="8672" spans="3:4" ht="15" x14ac:dyDescent="0.25">
      <c r="C8672" s="8" t="e">
        <f>VLOOKUP(A:A,'ITEM LIST'!A:C,3,0)</f>
        <v>#N/A</v>
      </c>
      <c r="D8672" s="6">
        <f t="shared" si="136"/>
        <v>0</v>
      </c>
    </row>
    <row r="8673" spans="3:4" ht="15" x14ac:dyDescent="0.25">
      <c r="C8673" s="8" t="e">
        <f>VLOOKUP(A:A,'ITEM LIST'!A:C,3,0)</f>
        <v>#N/A</v>
      </c>
      <c r="D8673" s="6">
        <f t="shared" si="136"/>
        <v>0</v>
      </c>
    </row>
    <row r="8674" spans="3:4" ht="15" x14ac:dyDescent="0.25">
      <c r="C8674" s="8" t="e">
        <f>VLOOKUP(A:A,'ITEM LIST'!A:C,3,0)</f>
        <v>#N/A</v>
      </c>
      <c r="D8674" s="6">
        <f t="shared" si="136"/>
        <v>0</v>
      </c>
    </row>
    <row r="8675" spans="3:4" ht="15" x14ac:dyDescent="0.25">
      <c r="C8675" s="8" t="e">
        <f>VLOOKUP(A:A,'ITEM LIST'!A:C,3,0)</f>
        <v>#N/A</v>
      </c>
      <c r="D8675" s="6">
        <f t="shared" si="136"/>
        <v>0</v>
      </c>
    </row>
    <row r="8676" spans="3:4" ht="15" x14ac:dyDescent="0.25">
      <c r="C8676" s="8" t="e">
        <f>VLOOKUP(A:A,'ITEM LIST'!A:C,3,0)</f>
        <v>#N/A</v>
      </c>
      <c r="D8676" s="6">
        <f t="shared" si="136"/>
        <v>0</v>
      </c>
    </row>
    <row r="8677" spans="3:4" ht="15" x14ac:dyDescent="0.25">
      <c r="C8677" s="8" t="e">
        <f>VLOOKUP(A:A,'ITEM LIST'!A:C,3,0)</f>
        <v>#N/A</v>
      </c>
      <c r="D8677" s="6">
        <f t="shared" si="136"/>
        <v>0</v>
      </c>
    </row>
    <row r="8678" spans="3:4" ht="15" x14ac:dyDescent="0.25">
      <c r="C8678" s="8" t="e">
        <f>VLOOKUP(A:A,'ITEM LIST'!A:C,3,0)</f>
        <v>#N/A</v>
      </c>
      <c r="D8678" s="6">
        <f t="shared" si="136"/>
        <v>0</v>
      </c>
    </row>
    <row r="8679" spans="3:4" ht="15" x14ac:dyDescent="0.25">
      <c r="C8679" s="8" t="e">
        <f>VLOOKUP(A:A,'ITEM LIST'!A:C,3,0)</f>
        <v>#N/A</v>
      </c>
      <c r="D8679" s="6">
        <f t="shared" si="136"/>
        <v>0</v>
      </c>
    </row>
    <row r="8680" spans="3:4" ht="15" x14ac:dyDescent="0.25">
      <c r="C8680" s="8" t="e">
        <f>VLOOKUP(A:A,'ITEM LIST'!A:C,3,0)</f>
        <v>#N/A</v>
      </c>
      <c r="D8680" s="6">
        <f t="shared" si="136"/>
        <v>0</v>
      </c>
    </row>
    <row r="8681" spans="3:4" ht="15" x14ac:dyDescent="0.25">
      <c r="C8681" s="8" t="e">
        <f>VLOOKUP(A:A,'ITEM LIST'!A:C,3,0)</f>
        <v>#N/A</v>
      </c>
      <c r="D8681" s="6">
        <f t="shared" si="136"/>
        <v>0</v>
      </c>
    </row>
    <row r="8682" spans="3:4" ht="15" x14ac:dyDescent="0.25">
      <c r="C8682" s="8" t="e">
        <f>VLOOKUP(A:A,'ITEM LIST'!A:C,3,0)</f>
        <v>#N/A</v>
      </c>
      <c r="D8682" s="6">
        <f t="shared" si="136"/>
        <v>0</v>
      </c>
    </row>
    <row r="8683" spans="3:4" ht="15" x14ac:dyDescent="0.25">
      <c r="C8683" s="8" t="e">
        <f>VLOOKUP(A:A,'ITEM LIST'!A:C,3,0)</f>
        <v>#N/A</v>
      </c>
      <c r="D8683" s="6">
        <f t="shared" si="136"/>
        <v>0</v>
      </c>
    </row>
    <row r="8684" spans="3:4" ht="15" x14ac:dyDescent="0.25">
      <c r="C8684" s="8" t="e">
        <f>VLOOKUP(A:A,'ITEM LIST'!A:C,3,0)</f>
        <v>#N/A</v>
      </c>
      <c r="D8684" s="6">
        <f t="shared" si="136"/>
        <v>0</v>
      </c>
    </row>
    <row r="8685" spans="3:4" ht="15" x14ac:dyDescent="0.25">
      <c r="C8685" s="8" t="e">
        <f>VLOOKUP(A:A,'ITEM LIST'!A:C,3,0)</f>
        <v>#N/A</v>
      </c>
      <c r="D8685" s="6">
        <f t="shared" si="136"/>
        <v>0</v>
      </c>
    </row>
    <row r="8686" spans="3:4" ht="15" x14ac:dyDescent="0.25">
      <c r="C8686" s="8" t="e">
        <f>VLOOKUP(A:A,'ITEM LIST'!A:C,3,0)</f>
        <v>#N/A</v>
      </c>
      <c r="D8686" s="6">
        <f t="shared" si="136"/>
        <v>0</v>
      </c>
    </row>
    <row r="8687" spans="3:4" ht="15" x14ac:dyDescent="0.25">
      <c r="C8687" s="8" t="e">
        <f>VLOOKUP(A:A,'ITEM LIST'!A:C,3,0)</f>
        <v>#N/A</v>
      </c>
      <c r="D8687" s="6">
        <f t="shared" si="136"/>
        <v>0</v>
      </c>
    </row>
    <row r="8688" spans="3:4" ht="15" x14ac:dyDescent="0.25">
      <c r="C8688" s="8" t="e">
        <f>VLOOKUP(A:A,'ITEM LIST'!A:C,3,0)</f>
        <v>#N/A</v>
      </c>
      <c r="D8688" s="6">
        <f t="shared" si="136"/>
        <v>0</v>
      </c>
    </row>
    <row r="8689" spans="3:4" ht="15" x14ac:dyDescent="0.25">
      <c r="C8689" s="8" t="e">
        <f>VLOOKUP(A:A,'ITEM LIST'!A:C,3,0)</f>
        <v>#N/A</v>
      </c>
      <c r="D8689" s="6">
        <f t="shared" si="136"/>
        <v>0</v>
      </c>
    </row>
    <row r="8690" spans="3:4" ht="15" x14ac:dyDescent="0.25">
      <c r="C8690" s="8" t="e">
        <f>VLOOKUP(A:A,'ITEM LIST'!A:C,3,0)</f>
        <v>#N/A</v>
      </c>
      <c r="D8690" s="6">
        <f t="shared" si="136"/>
        <v>0</v>
      </c>
    </row>
    <row r="8691" spans="3:4" ht="15" x14ac:dyDescent="0.25">
      <c r="C8691" s="8" t="e">
        <f>VLOOKUP(A:A,'ITEM LIST'!A:C,3,0)</f>
        <v>#N/A</v>
      </c>
      <c r="D8691" s="6">
        <f t="shared" si="136"/>
        <v>0</v>
      </c>
    </row>
    <row r="8692" spans="3:4" ht="15" x14ac:dyDescent="0.25">
      <c r="C8692" s="8" t="e">
        <f>VLOOKUP(A:A,'ITEM LIST'!A:C,3,0)</f>
        <v>#N/A</v>
      </c>
      <c r="D8692" s="6">
        <f t="shared" si="136"/>
        <v>0</v>
      </c>
    </row>
    <row r="8693" spans="3:4" ht="15" x14ac:dyDescent="0.25">
      <c r="C8693" s="8" t="e">
        <f>VLOOKUP(A:A,'ITEM LIST'!A:C,3,0)</f>
        <v>#N/A</v>
      </c>
      <c r="D8693" s="6">
        <f t="shared" si="136"/>
        <v>0</v>
      </c>
    </row>
    <row r="8694" spans="3:4" ht="15" x14ac:dyDescent="0.25">
      <c r="C8694" s="8" t="e">
        <f>VLOOKUP(A:A,'ITEM LIST'!A:C,3,0)</f>
        <v>#N/A</v>
      </c>
      <c r="D8694" s="6">
        <f t="shared" si="136"/>
        <v>0</v>
      </c>
    </row>
    <row r="8695" spans="3:4" ht="15" x14ac:dyDescent="0.25">
      <c r="C8695" s="8" t="e">
        <f>VLOOKUP(A:A,'ITEM LIST'!A:C,3,0)</f>
        <v>#N/A</v>
      </c>
      <c r="D8695" s="6">
        <f t="shared" si="136"/>
        <v>0</v>
      </c>
    </row>
    <row r="8696" spans="3:4" ht="15" x14ac:dyDescent="0.25">
      <c r="C8696" s="8" t="e">
        <f>VLOOKUP(A:A,'ITEM LIST'!A:C,3,0)</f>
        <v>#N/A</v>
      </c>
      <c r="D8696" s="6">
        <f t="shared" si="136"/>
        <v>0</v>
      </c>
    </row>
    <row r="8697" spans="3:4" ht="15" x14ac:dyDescent="0.25">
      <c r="C8697" s="8" t="e">
        <f>VLOOKUP(A:A,'ITEM LIST'!A:C,3,0)</f>
        <v>#N/A</v>
      </c>
      <c r="D8697" s="6">
        <f t="shared" si="136"/>
        <v>0</v>
      </c>
    </row>
    <row r="8698" spans="3:4" ht="15" x14ac:dyDescent="0.25">
      <c r="C8698" s="8" t="e">
        <f>VLOOKUP(A:A,'ITEM LIST'!A:C,3,0)</f>
        <v>#N/A</v>
      </c>
      <c r="D8698" s="6">
        <f t="shared" si="136"/>
        <v>0</v>
      </c>
    </row>
    <row r="8699" spans="3:4" ht="15" x14ac:dyDescent="0.25">
      <c r="C8699" s="8" t="e">
        <f>VLOOKUP(A:A,'ITEM LIST'!A:C,3,0)</f>
        <v>#N/A</v>
      </c>
      <c r="D8699" s="6">
        <f t="shared" si="136"/>
        <v>0</v>
      </c>
    </row>
    <row r="8700" spans="3:4" ht="15" x14ac:dyDescent="0.25">
      <c r="C8700" s="8" t="e">
        <f>VLOOKUP(A:A,'ITEM LIST'!A:C,3,0)</f>
        <v>#N/A</v>
      </c>
      <c r="D8700" s="6">
        <f t="shared" si="136"/>
        <v>0</v>
      </c>
    </row>
    <row r="8701" spans="3:4" ht="15" x14ac:dyDescent="0.25">
      <c r="C8701" s="8" t="e">
        <f>VLOOKUP(A:A,'ITEM LIST'!A:C,3,0)</f>
        <v>#N/A</v>
      </c>
      <c r="D8701" s="6">
        <f t="shared" si="136"/>
        <v>0</v>
      </c>
    </row>
    <row r="8702" spans="3:4" ht="15" x14ac:dyDescent="0.25">
      <c r="C8702" s="8" t="e">
        <f>VLOOKUP(A:A,'ITEM LIST'!A:C,3,0)</f>
        <v>#N/A</v>
      </c>
      <c r="D8702" s="6">
        <f t="shared" si="136"/>
        <v>0</v>
      </c>
    </row>
    <row r="8703" spans="3:4" ht="15" x14ac:dyDescent="0.25">
      <c r="C8703" s="8" t="e">
        <f>VLOOKUP(A:A,'ITEM LIST'!A:C,3,0)</f>
        <v>#N/A</v>
      </c>
      <c r="D8703" s="6">
        <f t="shared" si="136"/>
        <v>0</v>
      </c>
    </row>
    <row r="8704" spans="3:4" ht="15" x14ac:dyDescent="0.25">
      <c r="C8704" s="8" t="e">
        <f>VLOOKUP(A:A,'ITEM LIST'!A:C,3,0)</f>
        <v>#N/A</v>
      </c>
      <c r="D8704" s="6">
        <f t="shared" si="136"/>
        <v>0</v>
      </c>
    </row>
    <row r="8705" spans="3:4" ht="15" x14ac:dyDescent="0.25">
      <c r="C8705" s="8" t="e">
        <f>VLOOKUP(A:A,'ITEM LIST'!A:C,3,0)</f>
        <v>#N/A</v>
      </c>
      <c r="D8705" s="6">
        <f t="shared" si="136"/>
        <v>0</v>
      </c>
    </row>
    <row r="8706" spans="3:4" ht="15" x14ac:dyDescent="0.25">
      <c r="C8706" s="8" t="e">
        <f>VLOOKUP(A:A,'ITEM LIST'!A:C,3,0)</f>
        <v>#N/A</v>
      </c>
      <c r="D8706" s="6">
        <f t="shared" si="136"/>
        <v>0</v>
      </c>
    </row>
    <row r="8707" spans="3:4" ht="15" x14ac:dyDescent="0.25">
      <c r="C8707" s="8" t="e">
        <f>VLOOKUP(A:A,'ITEM LIST'!A:C,3,0)</f>
        <v>#N/A</v>
      </c>
      <c r="D8707" s="6">
        <f t="shared" si="136"/>
        <v>0</v>
      </c>
    </row>
    <row r="8708" spans="3:4" ht="15" x14ac:dyDescent="0.25">
      <c r="C8708" s="8" t="e">
        <f>VLOOKUP(A:A,'ITEM LIST'!A:C,3,0)</f>
        <v>#N/A</v>
      </c>
      <c r="D8708" s="6">
        <f t="shared" si="136"/>
        <v>0</v>
      </c>
    </row>
    <row r="8709" spans="3:4" ht="15" x14ac:dyDescent="0.25">
      <c r="C8709" s="8" t="e">
        <f>VLOOKUP(A:A,'ITEM LIST'!A:C,3,0)</f>
        <v>#N/A</v>
      </c>
      <c r="D8709" s="6">
        <f t="shared" si="136"/>
        <v>0</v>
      </c>
    </row>
    <row r="8710" spans="3:4" ht="15" x14ac:dyDescent="0.25">
      <c r="C8710" s="8" t="e">
        <f>VLOOKUP(A:A,'ITEM LIST'!A:C,3,0)</f>
        <v>#N/A</v>
      </c>
      <c r="D8710" s="6">
        <f t="shared" ref="D8710:D8773" si="137">B8710</f>
        <v>0</v>
      </c>
    </row>
    <row r="8711" spans="3:4" ht="15" x14ac:dyDescent="0.25">
      <c r="C8711" s="8" t="e">
        <f>VLOOKUP(A:A,'ITEM LIST'!A:C,3,0)</f>
        <v>#N/A</v>
      </c>
      <c r="D8711" s="6">
        <f t="shared" si="137"/>
        <v>0</v>
      </c>
    </row>
    <row r="8712" spans="3:4" ht="15" x14ac:dyDescent="0.25">
      <c r="C8712" s="8" t="e">
        <f>VLOOKUP(A:A,'ITEM LIST'!A:C,3,0)</f>
        <v>#N/A</v>
      </c>
      <c r="D8712" s="6">
        <f t="shared" si="137"/>
        <v>0</v>
      </c>
    </row>
    <row r="8713" spans="3:4" ht="15" x14ac:dyDescent="0.25">
      <c r="C8713" s="8" t="e">
        <f>VLOOKUP(A:A,'ITEM LIST'!A:C,3,0)</f>
        <v>#N/A</v>
      </c>
      <c r="D8713" s="6">
        <f t="shared" si="137"/>
        <v>0</v>
      </c>
    </row>
    <row r="8714" spans="3:4" ht="15" x14ac:dyDescent="0.25">
      <c r="C8714" s="8" t="e">
        <f>VLOOKUP(A:A,'ITEM LIST'!A:C,3,0)</f>
        <v>#N/A</v>
      </c>
      <c r="D8714" s="6">
        <f t="shared" si="137"/>
        <v>0</v>
      </c>
    </row>
    <row r="8715" spans="3:4" ht="15" x14ac:dyDescent="0.25">
      <c r="C8715" s="8" t="e">
        <f>VLOOKUP(A:A,'ITEM LIST'!A:C,3,0)</f>
        <v>#N/A</v>
      </c>
      <c r="D8715" s="6">
        <f t="shared" si="137"/>
        <v>0</v>
      </c>
    </row>
    <row r="8716" spans="3:4" ht="15" x14ac:dyDescent="0.25">
      <c r="C8716" s="8" t="e">
        <f>VLOOKUP(A:A,'ITEM LIST'!A:C,3,0)</f>
        <v>#N/A</v>
      </c>
      <c r="D8716" s="6">
        <f t="shared" si="137"/>
        <v>0</v>
      </c>
    </row>
    <row r="8717" spans="3:4" ht="15" x14ac:dyDescent="0.25">
      <c r="C8717" s="8" t="e">
        <f>VLOOKUP(A:A,'ITEM LIST'!A:C,3,0)</f>
        <v>#N/A</v>
      </c>
      <c r="D8717" s="6">
        <f t="shared" si="137"/>
        <v>0</v>
      </c>
    </row>
    <row r="8718" spans="3:4" ht="15" x14ac:dyDescent="0.25">
      <c r="C8718" s="8" t="e">
        <f>VLOOKUP(A:A,'ITEM LIST'!A:C,3,0)</f>
        <v>#N/A</v>
      </c>
      <c r="D8718" s="6">
        <f t="shared" si="137"/>
        <v>0</v>
      </c>
    </row>
    <row r="8719" spans="3:4" ht="15" x14ac:dyDescent="0.25">
      <c r="C8719" s="8" t="e">
        <f>VLOOKUP(A:A,'ITEM LIST'!A:C,3,0)</f>
        <v>#N/A</v>
      </c>
      <c r="D8719" s="6">
        <f t="shared" si="137"/>
        <v>0</v>
      </c>
    </row>
    <row r="8720" spans="3:4" ht="15" x14ac:dyDescent="0.25">
      <c r="C8720" s="8" t="e">
        <f>VLOOKUP(A:A,'ITEM LIST'!A:C,3,0)</f>
        <v>#N/A</v>
      </c>
      <c r="D8720" s="6">
        <f t="shared" si="137"/>
        <v>0</v>
      </c>
    </row>
    <row r="8721" spans="3:4" ht="15" x14ac:dyDescent="0.25">
      <c r="C8721" s="8" t="e">
        <f>VLOOKUP(A:A,'ITEM LIST'!A:C,3,0)</f>
        <v>#N/A</v>
      </c>
      <c r="D8721" s="6">
        <f t="shared" si="137"/>
        <v>0</v>
      </c>
    </row>
    <row r="8722" spans="3:4" ht="15" x14ac:dyDescent="0.25">
      <c r="C8722" s="8" t="e">
        <f>VLOOKUP(A:A,'ITEM LIST'!A:C,3,0)</f>
        <v>#N/A</v>
      </c>
      <c r="D8722" s="6">
        <f t="shared" si="137"/>
        <v>0</v>
      </c>
    </row>
    <row r="8723" spans="3:4" ht="15" x14ac:dyDescent="0.25">
      <c r="C8723" s="8" t="e">
        <f>VLOOKUP(A:A,'ITEM LIST'!A:C,3,0)</f>
        <v>#N/A</v>
      </c>
      <c r="D8723" s="6">
        <f t="shared" si="137"/>
        <v>0</v>
      </c>
    </row>
    <row r="8724" spans="3:4" ht="15" x14ac:dyDescent="0.25">
      <c r="C8724" s="8" t="e">
        <f>VLOOKUP(A:A,'ITEM LIST'!A:C,3,0)</f>
        <v>#N/A</v>
      </c>
      <c r="D8724" s="6">
        <f t="shared" si="137"/>
        <v>0</v>
      </c>
    </row>
    <row r="8725" spans="3:4" ht="15" x14ac:dyDescent="0.25">
      <c r="C8725" s="8" t="e">
        <f>VLOOKUP(A:A,'ITEM LIST'!A:C,3,0)</f>
        <v>#N/A</v>
      </c>
      <c r="D8725" s="6">
        <f t="shared" si="137"/>
        <v>0</v>
      </c>
    </row>
    <row r="8726" spans="3:4" ht="15" x14ac:dyDescent="0.25">
      <c r="C8726" s="8" t="e">
        <f>VLOOKUP(A:A,'ITEM LIST'!A:C,3,0)</f>
        <v>#N/A</v>
      </c>
      <c r="D8726" s="6">
        <f t="shared" si="137"/>
        <v>0</v>
      </c>
    </row>
    <row r="8727" spans="3:4" ht="15" x14ac:dyDescent="0.25">
      <c r="C8727" s="8" t="e">
        <f>VLOOKUP(A:A,'ITEM LIST'!A:C,3,0)</f>
        <v>#N/A</v>
      </c>
      <c r="D8727" s="6">
        <f t="shared" si="137"/>
        <v>0</v>
      </c>
    </row>
    <row r="8728" spans="3:4" ht="15" x14ac:dyDescent="0.25">
      <c r="C8728" s="8" t="e">
        <f>VLOOKUP(A:A,'ITEM LIST'!A:C,3,0)</f>
        <v>#N/A</v>
      </c>
      <c r="D8728" s="6">
        <f t="shared" si="137"/>
        <v>0</v>
      </c>
    </row>
    <row r="8729" spans="3:4" ht="15" x14ac:dyDescent="0.25">
      <c r="C8729" s="8" t="e">
        <f>VLOOKUP(A:A,'ITEM LIST'!A:C,3,0)</f>
        <v>#N/A</v>
      </c>
      <c r="D8729" s="6">
        <f t="shared" si="137"/>
        <v>0</v>
      </c>
    </row>
    <row r="8730" spans="3:4" ht="15" x14ac:dyDescent="0.25">
      <c r="C8730" s="8" t="e">
        <f>VLOOKUP(A:A,'ITEM LIST'!A:C,3,0)</f>
        <v>#N/A</v>
      </c>
      <c r="D8730" s="6">
        <f t="shared" si="137"/>
        <v>0</v>
      </c>
    </row>
    <row r="8731" spans="3:4" ht="15" x14ac:dyDescent="0.25">
      <c r="C8731" s="8" t="e">
        <f>VLOOKUP(A:A,'ITEM LIST'!A:C,3,0)</f>
        <v>#N/A</v>
      </c>
      <c r="D8731" s="6">
        <f t="shared" si="137"/>
        <v>0</v>
      </c>
    </row>
    <row r="8732" spans="3:4" ht="15" x14ac:dyDescent="0.25">
      <c r="C8732" s="8" t="e">
        <f>VLOOKUP(A:A,'ITEM LIST'!A:C,3,0)</f>
        <v>#N/A</v>
      </c>
      <c r="D8732" s="6">
        <f t="shared" si="137"/>
        <v>0</v>
      </c>
    </row>
    <row r="8733" spans="3:4" ht="15" x14ac:dyDescent="0.25">
      <c r="C8733" s="8" t="e">
        <f>VLOOKUP(A:A,'ITEM LIST'!A:C,3,0)</f>
        <v>#N/A</v>
      </c>
      <c r="D8733" s="6">
        <f t="shared" si="137"/>
        <v>0</v>
      </c>
    </row>
    <row r="8734" spans="3:4" ht="15" x14ac:dyDescent="0.25">
      <c r="C8734" s="8" t="e">
        <f>VLOOKUP(A:A,'ITEM LIST'!A:C,3,0)</f>
        <v>#N/A</v>
      </c>
      <c r="D8734" s="6">
        <f t="shared" si="137"/>
        <v>0</v>
      </c>
    </row>
    <row r="8735" spans="3:4" ht="15" x14ac:dyDescent="0.25">
      <c r="C8735" s="8" t="e">
        <f>VLOOKUP(A:A,'ITEM LIST'!A:C,3,0)</f>
        <v>#N/A</v>
      </c>
      <c r="D8735" s="6">
        <f t="shared" si="137"/>
        <v>0</v>
      </c>
    </row>
    <row r="8736" spans="3:4" ht="15" x14ac:dyDescent="0.25">
      <c r="C8736" s="8" t="e">
        <f>VLOOKUP(A:A,'ITEM LIST'!A:C,3,0)</f>
        <v>#N/A</v>
      </c>
      <c r="D8736" s="6">
        <f t="shared" si="137"/>
        <v>0</v>
      </c>
    </row>
    <row r="8737" spans="3:4" ht="15" x14ac:dyDescent="0.25">
      <c r="C8737" s="8" t="e">
        <f>VLOOKUP(A:A,'ITEM LIST'!A:C,3,0)</f>
        <v>#N/A</v>
      </c>
      <c r="D8737" s="6">
        <f t="shared" si="137"/>
        <v>0</v>
      </c>
    </row>
    <row r="8738" spans="3:4" ht="15" x14ac:dyDescent="0.25">
      <c r="C8738" s="8" t="e">
        <f>VLOOKUP(A:A,'ITEM LIST'!A:C,3,0)</f>
        <v>#N/A</v>
      </c>
      <c r="D8738" s="6">
        <f t="shared" si="137"/>
        <v>0</v>
      </c>
    </row>
    <row r="8739" spans="3:4" ht="15" x14ac:dyDescent="0.25">
      <c r="C8739" s="8" t="e">
        <f>VLOOKUP(A:A,'ITEM LIST'!A:C,3,0)</f>
        <v>#N/A</v>
      </c>
      <c r="D8739" s="6">
        <f t="shared" si="137"/>
        <v>0</v>
      </c>
    </row>
    <row r="8740" spans="3:4" ht="15" x14ac:dyDescent="0.25">
      <c r="C8740" s="8" t="e">
        <f>VLOOKUP(A:A,'ITEM LIST'!A:C,3,0)</f>
        <v>#N/A</v>
      </c>
      <c r="D8740" s="6">
        <f t="shared" si="137"/>
        <v>0</v>
      </c>
    </row>
    <row r="8741" spans="3:4" ht="15" x14ac:dyDescent="0.25">
      <c r="C8741" s="8" t="e">
        <f>VLOOKUP(A:A,'ITEM LIST'!A:C,3,0)</f>
        <v>#N/A</v>
      </c>
      <c r="D8741" s="6">
        <f t="shared" si="137"/>
        <v>0</v>
      </c>
    </row>
    <row r="8742" spans="3:4" ht="15" x14ac:dyDescent="0.25">
      <c r="C8742" s="8" t="e">
        <f>VLOOKUP(A:A,'ITEM LIST'!A:C,3,0)</f>
        <v>#N/A</v>
      </c>
      <c r="D8742" s="6">
        <f t="shared" si="137"/>
        <v>0</v>
      </c>
    </row>
    <row r="8743" spans="3:4" ht="15" x14ac:dyDescent="0.25">
      <c r="C8743" s="8" t="e">
        <f>VLOOKUP(A:A,'ITEM LIST'!A:C,3,0)</f>
        <v>#N/A</v>
      </c>
      <c r="D8743" s="6">
        <f t="shared" si="137"/>
        <v>0</v>
      </c>
    </row>
    <row r="8744" spans="3:4" ht="15" x14ac:dyDescent="0.25">
      <c r="C8744" s="8" t="e">
        <f>VLOOKUP(A:A,'ITEM LIST'!A:C,3,0)</f>
        <v>#N/A</v>
      </c>
      <c r="D8744" s="6">
        <f t="shared" si="137"/>
        <v>0</v>
      </c>
    </row>
    <row r="8745" spans="3:4" ht="15" x14ac:dyDescent="0.25">
      <c r="C8745" s="8" t="e">
        <f>VLOOKUP(A:A,'ITEM LIST'!A:C,3,0)</f>
        <v>#N/A</v>
      </c>
      <c r="D8745" s="6">
        <f t="shared" si="137"/>
        <v>0</v>
      </c>
    </row>
    <row r="8746" spans="3:4" ht="15" x14ac:dyDescent="0.25">
      <c r="C8746" s="8" t="e">
        <f>VLOOKUP(A:A,'ITEM LIST'!A:C,3,0)</f>
        <v>#N/A</v>
      </c>
      <c r="D8746" s="6">
        <f t="shared" si="137"/>
        <v>0</v>
      </c>
    </row>
    <row r="8747" spans="3:4" ht="15" x14ac:dyDescent="0.25">
      <c r="C8747" s="8" t="e">
        <f>VLOOKUP(A:A,'ITEM LIST'!A:C,3,0)</f>
        <v>#N/A</v>
      </c>
      <c r="D8747" s="6">
        <f t="shared" si="137"/>
        <v>0</v>
      </c>
    </row>
    <row r="8748" spans="3:4" ht="15" x14ac:dyDescent="0.25">
      <c r="C8748" s="8" t="e">
        <f>VLOOKUP(A:A,'ITEM LIST'!A:C,3,0)</f>
        <v>#N/A</v>
      </c>
      <c r="D8748" s="6">
        <f t="shared" si="137"/>
        <v>0</v>
      </c>
    </row>
    <row r="8749" spans="3:4" ht="15" x14ac:dyDescent="0.25">
      <c r="C8749" s="8" t="e">
        <f>VLOOKUP(A:A,'ITEM LIST'!A:C,3,0)</f>
        <v>#N/A</v>
      </c>
      <c r="D8749" s="6">
        <f t="shared" si="137"/>
        <v>0</v>
      </c>
    </row>
    <row r="8750" spans="3:4" ht="15" x14ac:dyDescent="0.25">
      <c r="C8750" s="8" t="e">
        <f>VLOOKUP(A:A,'ITEM LIST'!A:C,3,0)</f>
        <v>#N/A</v>
      </c>
      <c r="D8750" s="6">
        <f t="shared" si="137"/>
        <v>0</v>
      </c>
    </row>
    <row r="8751" spans="3:4" ht="15" x14ac:dyDescent="0.25">
      <c r="C8751" s="8" t="e">
        <f>VLOOKUP(A:A,'ITEM LIST'!A:C,3,0)</f>
        <v>#N/A</v>
      </c>
      <c r="D8751" s="6">
        <f t="shared" si="137"/>
        <v>0</v>
      </c>
    </row>
    <row r="8752" spans="3:4" ht="15" x14ac:dyDescent="0.25">
      <c r="C8752" s="8" t="e">
        <f>VLOOKUP(A:A,'ITEM LIST'!A:C,3,0)</f>
        <v>#N/A</v>
      </c>
      <c r="D8752" s="6">
        <f t="shared" si="137"/>
        <v>0</v>
      </c>
    </row>
    <row r="8753" spans="3:4" ht="15" x14ac:dyDescent="0.25">
      <c r="C8753" s="8" t="e">
        <f>VLOOKUP(A:A,'ITEM LIST'!A:C,3,0)</f>
        <v>#N/A</v>
      </c>
      <c r="D8753" s="6">
        <f t="shared" si="137"/>
        <v>0</v>
      </c>
    </row>
    <row r="8754" spans="3:4" ht="15" x14ac:dyDescent="0.25">
      <c r="C8754" s="8" t="e">
        <f>VLOOKUP(A:A,'ITEM LIST'!A:C,3,0)</f>
        <v>#N/A</v>
      </c>
      <c r="D8754" s="6">
        <f t="shared" si="137"/>
        <v>0</v>
      </c>
    </row>
    <row r="8755" spans="3:4" ht="15" x14ac:dyDescent="0.25">
      <c r="C8755" s="8" t="e">
        <f>VLOOKUP(A:A,'ITEM LIST'!A:C,3,0)</f>
        <v>#N/A</v>
      </c>
      <c r="D8755" s="6">
        <f t="shared" si="137"/>
        <v>0</v>
      </c>
    </row>
    <row r="8756" spans="3:4" ht="15" x14ac:dyDescent="0.25">
      <c r="C8756" s="8" t="e">
        <f>VLOOKUP(A:A,'ITEM LIST'!A:C,3,0)</f>
        <v>#N/A</v>
      </c>
      <c r="D8756" s="6">
        <f t="shared" si="137"/>
        <v>0</v>
      </c>
    </row>
    <row r="8757" spans="3:4" ht="15" x14ac:dyDescent="0.25">
      <c r="C8757" s="8" t="e">
        <f>VLOOKUP(A:A,'ITEM LIST'!A:C,3,0)</f>
        <v>#N/A</v>
      </c>
      <c r="D8757" s="6">
        <f t="shared" si="137"/>
        <v>0</v>
      </c>
    </row>
    <row r="8758" spans="3:4" ht="15" x14ac:dyDescent="0.25">
      <c r="C8758" s="8" t="e">
        <f>VLOOKUP(A:A,'ITEM LIST'!A:C,3,0)</f>
        <v>#N/A</v>
      </c>
      <c r="D8758" s="6">
        <f t="shared" si="137"/>
        <v>0</v>
      </c>
    </row>
    <row r="8759" spans="3:4" ht="15" x14ac:dyDescent="0.25">
      <c r="C8759" s="8" t="e">
        <f>VLOOKUP(A:A,'ITEM LIST'!A:C,3,0)</f>
        <v>#N/A</v>
      </c>
      <c r="D8759" s="6">
        <f t="shared" si="137"/>
        <v>0</v>
      </c>
    </row>
    <row r="8760" spans="3:4" ht="15" x14ac:dyDescent="0.25">
      <c r="C8760" s="8" t="e">
        <f>VLOOKUP(A:A,'ITEM LIST'!A:C,3,0)</f>
        <v>#N/A</v>
      </c>
      <c r="D8760" s="6">
        <f t="shared" si="137"/>
        <v>0</v>
      </c>
    </row>
    <row r="8761" spans="3:4" ht="15" x14ac:dyDescent="0.25">
      <c r="C8761" s="8" t="e">
        <f>VLOOKUP(A:A,'ITEM LIST'!A:C,3,0)</f>
        <v>#N/A</v>
      </c>
      <c r="D8761" s="6">
        <f t="shared" si="137"/>
        <v>0</v>
      </c>
    </row>
    <row r="8762" spans="3:4" ht="15" x14ac:dyDescent="0.25">
      <c r="C8762" s="8" t="e">
        <f>VLOOKUP(A:A,'ITEM LIST'!A:C,3,0)</f>
        <v>#N/A</v>
      </c>
      <c r="D8762" s="6">
        <f t="shared" si="137"/>
        <v>0</v>
      </c>
    </row>
    <row r="8763" spans="3:4" ht="15" x14ac:dyDescent="0.25">
      <c r="C8763" s="8" t="e">
        <f>VLOOKUP(A:A,'ITEM LIST'!A:C,3,0)</f>
        <v>#N/A</v>
      </c>
      <c r="D8763" s="6">
        <f t="shared" si="137"/>
        <v>0</v>
      </c>
    </row>
    <row r="8764" spans="3:4" ht="15" x14ac:dyDescent="0.25">
      <c r="C8764" s="8" t="e">
        <f>VLOOKUP(A:A,'ITEM LIST'!A:C,3,0)</f>
        <v>#N/A</v>
      </c>
      <c r="D8764" s="6">
        <f t="shared" si="137"/>
        <v>0</v>
      </c>
    </row>
    <row r="8765" spans="3:4" ht="15" x14ac:dyDescent="0.25">
      <c r="C8765" s="8" t="e">
        <f>VLOOKUP(A:A,'ITEM LIST'!A:C,3,0)</f>
        <v>#N/A</v>
      </c>
      <c r="D8765" s="6">
        <f t="shared" si="137"/>
        <v>0</v>
      </c>
    </row>
    <row r="8766" spans="3:4" ht="15" x14ac:dyDescent="0.25">
      <c r="C8766" s="8" t="e">
        <f>VLOOKUP(A:A,'ITEM LIST'!A:C,3,0)</f>
        <v>#N/A</v>
      </c>
      <c r="D8766" s="6">
        <f t="shared" si="137"/>
        <v>0</v>
      </c>
    </row>
    <row r="8767" spans="3:4" ht="15" x14ac:dyDescent="0.25">
      <c r="C8767" s="8" t="e">
        <f>VLOOKUP(A:A,'ITEM LIST'!A:C,3,0)</f>
        <v>#N/A</v>
      </c>
      <c r="D8767" s="6">
        <f t="shared" si="137"/>
        <v>0</v>
      </c>
    </row>
    <row r="8768" spans="3:4" ht="15" x14ac:dyDescent="0.25">
      <c r="C8768" s="8" t="e">
        <f>VLOOKUP(A:A,'ITEM LIST'!A:C,3,0)</f>
        <v>#N/A</v>
      </c>
      <c r="D8768" s="6">
        <f t="shared" si="137"/>
        <v>0</v>
      </c>
    </row>
    <row r="8769" spans="3:4" ht="15" x14ac:dyDescent="0.25">
      <c r="C8769" s="8" t="e">
        <f>VLOOKUP(A:A,'ITEM LIST'!A:C,3,0)</f>
        <v>#N/A</v>
      </c>
      <c r="D8769" s="6">
        <f t="shared" si="137"/>
        <v>0</v>
      </c>
    </row>
    <row r="8770" spans="3:4" ht="15" x14ac:dyDescent="0.25">
      <c r="C8770" s="8" t="e">
        <f>VLOOKUP(A:A,'ITEM LIST'!A:C,3,0)</f>
        <v>#N/A</v>
      </c>
      <c r="D8770" s="6">
        <f t="shared" si="137"/>
        <v>0</v>
      </c>
    </row>
    <row r="8771" spans="3:4" ht="15" x14ac:dyDescent="0.25">
      <c r="C8771" s="8" t="e">
        <f>VLOOKUP(A:A,'ITEM LIST'!A:C,3,0)</f>
        <v>#N/A</v>
      </c>
      <c r="D8771" s="6">
        <f t="shared" si="137"/>
        <v>0</v>
      </c>
    </row>
    <row r="8772" spans="3:4" ht="15" x14ac:dyDescent="0.25">
      <c r="C8772" s="8" t="e">
        <f>VLOOKUP(A:A,'ITEM LIST'!A:C,3,0)</f>
        <v>#N/A</v>
      </c>
      <c r="D8772" s="6">
        <f t="shared" si="137"/>
        <v>0</v>
      </c>
    </row>
    <row r="8773" spans="3:4" ht="15" x14ac:dyDescent="0.25">
      <c r="C8773" s="8" t="e">
        <f>VLOOKUP(A:A,'ITEM LIST'!A:C,3,0)</f>
        <v>#N/A</v>
      </c>
      <c r="D8773" s="6">
        <f t="shared" si="137"/>
        <v>0</v>
      </c>
    </row>
    <row r="8774" spans="3:4" ht="15" x14ac:dyDescent="0.25">
      <c r="C8774" s="8" t="e">
        <f>VLOOKUP(A:A,'ITEM LIST'!A:C,3,0)</f>
        <v>#N/A</v>
      </c>
      <c r="D8774" s="6">
        <f t="shared" ref="D8774:D8837" si="138">B8774</f>
        <v>0</v>
      </c>
    </row>
    <row r="8775" spans="3:4" ht="15" x14ac:dyDescent="0.25">
      <c r="C8775" s="8" t="e">
        <f>VLOOKUP(A:A,'ITEM LIST'!A:C,3,0)</f>
        <v>#N/A</v>
      </c>
      <c r="D8775" s="6">
        <f t="shared" si="138"/>
        <v>0</v>
      </c>
    </row>
    <row r="8776" spans="3:4" ht="15" x14ac:dyDescent="0.25">
      <c r="C8776" s="8" t="e">
        <f>VLOOKUP(A:A,'ITEM LIST'!A:C,3,0)</f>
        <v>#N/A</v>
      </c>
      <c r="D8776" s="6">
        <f t="shared" si="138"/>
        <v>0</v>
      </c>
    </row>
    <row r="8777" spans="3:4" ht="15" x14ac:dyDescent="0.25">
      <c r="C8777" s="8" t="e">
        <f>VLOOKUP(A:A,'ITEM LIST'!A:C,3,0)</f>
        <v>#N/A</v>
      </c>
      <c r="D8777" s="6">
        <f t="shared" si="138"/>
        <v>0</v>
      </c>
    </row>
    <row r="8778" spans="3:4" ht="15" x14ac:dyDescent="0.25">
      <c r="C8778" s="8" t="e">
        <f>VLOOKUP(A:A,'ITEM LIST'!A:C,3,0)</f>
        <v>#N/A</v>
      </c>
      <c r="D8778" s="6">
        <f t="shared" si="138"/>
        <v>0</v>
      </c>
    </row>
    <row r="8779" spans="3:4" ht="15" x14ac:dyDescent="0.25">
      <c r="C8779" s="8" t="e">
        <f>VLOOKUP(A:A,'ITEM LIST'!A:C,3,0)</f>
        <v>#N/A</v>
      </c>
      <c r="D8779" s="6">
        <f t="shared" si="138"/>
        <v>0</v>
      </c>
    </row>
    <row r="8780" spans="3:4" ht="15" x14ac:dyDescent="0.25">
      <c r="C8780" s="8" t="e">
        <f>VLOOKUP(A:A,'ITEM LIST'!A:C,3,0)</f>
        <v>#N/A</v>
      </c>
      <c r="D8780" s="6">
        <f t="shared" si="138"/>
        <v>0</v>
      </c>
    </row>
    <row r="8781" spans="3:4" ht="15" x14ac:dyDescent="0.25">
      <c r="C8781" s="8" t="e">
        <f>VLOOKUP(A:A,'ITEM LIST'!A:C,3,0)</f>
        <v>#N/A</v>
      </c>
      <c r="D8781" s="6">
        <f t="shared" si="138"/>
        <v>0</v>
      </c>
    </row>
    <row r="8782" spans="3:4" ht="15" x14ac:dyDescent="0.25">
      <c r="C8782" s="8" t="e">
        <f>VLOOKUP(A:A,'ITEM LIST'!A:C,3,0)</f>
        <v>#N/A</v>
      </c>
      <c r="D8782" s="6">
        <f t="shared" si="138"/>
        <v>0</v>
      </c>
    </row>
    <row r="8783" spans="3:4" ht="15" x14ac:dyDescent="0.25">
      <c r="C8783" s="8" t="e">
        <f>VLOOKUP(A:A,'ITEM LIST'!A:C,3,0)</f>
        <v>#N/A</v>
      </c>
      <c r="D8783" s="6">
        <f t="shared" si="138"/>
        <v>0</v>
      </c>
    </row>
    <row r="8784" spans="3:4" ht="15" x14ac:dyDescent="0.25">
      <c r="C8784" s="8" t="e">
        <f>VLOOKUP(A:A,'ITEM LIST'!A:C,3,0)</f>
        <v>#N/A</v>
      </c>
      <c r="D8784" s="6">
        <f t="shared" si="138"/>
        <v>0</v>
      </c>
    </row>
    <row r="8785" spans="3:4" ht="15" x14ac:dyDescent="0.25">
      <c r="C8785" s="8" t="e">
        <f>VLOOKUP(A:A,'ITEM LIST'!A:C,3,0)</f>
        <v>#N/A</v>
      </c>
      <c r="D8785" s="6">
        <f t="shared" si="138"/>
        <v>0</v>
      </c>
    </row>
    <row r="8786" spans="3:4" ht="15" x14ac:dyDescent="0.25">
      <c r="C8786" s="8" t="e">
        <f>VLOOKUP(A:A,'ITEM LIST'!A:C,3,0)</f>
        <v>#N/A</v>
      </c>
      <c r="D8786" s="6">
        <f t="shared" si="138"/>
        <v>0</v>
      </c>
    </row>
    <row r="8787" spans="3:4" ht="15" x14ac:dyDescent="0.25">
      <c r="C8787" s="8" t="e">
        <f>VLOOKUP(A:A,'ITEM LIST'!A:C,3,0)</f>
        <v>#N/A</v>
      </c>
      <c r="D8787" s="6">
        <f t="shared" si="138"/>
        <v>0</v>
      </c>
    </row>
    <row r="8788" spans="3:4" ht="15" x14ac:dyDescent="0.25">
      <c r="C8788" s="8" t="e">
        <f>VLOOKUP(A:A,'ITEM LIST'!A:C,3,0)</f>
        <v>#N/A</v>
      </c>
      <c r="D8788" s="6">
        <f t="shared" si="138"/>
        <v>0</v>
      </c>
    </row>
    <row r="8789" spans="3:4" ht="15" x14ac:dyDescent="0.25">
      <c r="C8789" s="8" t="e">
        <f>VLOOKUP(A:A,'ITEM LIST'!A:C,3,0)</f>
        <v>#N/A</v>
      </c>
      <c r="D8789" s="6">
        <f t="shared" si="138"/>
        <v>0</v>
      </c>
    </row>
    <row r="8790" spans="3:4" ht="15" x14ac:dyDescent="0.25">
      <c r="C8790" s="8" t="e">
        <f>VLOOKUP(A:A,'ITEM LIST'!A:C,3,0)</f>
        <v>#N/A</v>
      </c>
      <c r="D8790" s="6">
        <f t="shared" si="138"/>
        <v>0</v>
      </c>
    </row>
    <row r="8791" spans="3:4" ht="15" x14ac:dyDescent="0.25">
      <c r="C8791" s="8" t="e">
        <f>VLOOKUP(A:A,'ITEM LIST'!A:C,3,0)</f>
        <v>#N/A</v>
      </c>
      <c r="D8791" s="6">
        <f t="shared" si="138"/>
        <v>0</v>
      </c>
    </row>
    <row r="8792" spans="3:4" ht="15" x14ac:dyDescent="0.25">
      <c r="C8792" s="8" t="e">
        <f>VLOOKUP(A:A,'ITEM LIST'!A:C,3,0)</f>
        <v>#N/A</v>
      </c>
      <c r="D8792" s="6">
        <f t="shared" si="138"/>
        <v>0</v>
      </c>
    </row>
    <row r="8793" spans="3:4" ht="15" x14ac:dyDescent="0.25">
      <c r="C8793" s="8" t="e">
        <f>VLOOKUP(A:A,'ITEM LIST'!A:C,3,0)</f>
        <v>#N/A</v>
      </c>
      <c r="D8793" s="6">
        <f t="shared" si="138"/>
        <v>0</v>
      </c>
    </row>
    <row r="8794" spans="3:4" ht="15" x14ac:dyDescent="0.25">
      <c r="C8794" s="8" t="e">
        <f>VLOOKUP(A:A,'ITEM LIST'!A:C,3,0)</f>
        <v>#N/A</v>
      </c>
      <c r="D8794" s="6">
        <f t="shared" si="138"/>
        <v>0</v>
      </c>
    </row>
    <row r="8795" spans="3:4" ht="15" x14ac:dyDescent="0.25">
      <c r="C8795" s="8" t="e">
        <f>VLOOKUP(A:A,'ITEM LIST'!A:C,3,0)</f>
        <v>#N/A</v>
      </c>
      <c r="D8795" s="6">
        <f t="shared" si="138"/>
        <v>0</v>
      </c>
    </row>
    <row r="8796" spans="3:4" ht="15" x14ac:dyDescent="0.25">
      <c r="C8796" s="8" t="e">
        <f>VLOOKUP(A:A,'ITEM LIST'!A:C,3,0)</f>
        <v>#N/A</v>
      </c>
      <c r="D8796" s="6">
        <f t="shared" si="138"/>
        <v>0</v>
      </c>
    </row>
    <row r="8797" spans="3:4" ht="15" x14ac:dyDescent="0.25">
      <c r="C8797" s="8" t="e">
        <f>VLOOKUP(A:A,'ITEM LIST'!A:C,3,0)</f>
        <v>#N/A</v>
      </c>
      <c r="D8797" s="6">
        <f t="shared" si="138"/>
        <v>0</v>
      </c>
    </row>
    <row r="8798" spans="3:4" ht="15" x14ac:dyDescent="0.25">
      <c r="C8798" s="8" t="e">
        <f>VLOOKUP(A:A,'ITEM LIST'!A:C,3,0)</f>
        <v>#N/A</v>
      </c>
      <c r="D8798" s="6">
        <f t="shared" si="138"/>
        <v>0</v>
      </c>
    </row>
    <row r="8799" spans="3:4" ht="15" x14ac:dyDescent="0.25">
      <c r="C8799" s="8" t="e">
        <f>VLOOKUP(A:A,'ITEM LIST'!A:C,3,0)</f>
        <v>#N/A</v>
      </c>
      <c r="D8799" s="6">
        <f t="shared" si="138"/>
        <v>0</v>
      </c>
    </row>
    <row r="8800" spans="3:4" ht="15" x14ac:dyDescent="0.25">
      <c r="C8800" s="8" t="e">
        <f>VLOOKUP(A:A,'ITEM LIST'!A:C,3,0)</f>
        <v>#N/A</v>
      </c>
      <c r="D8800" s="6">
        <f t="shared" si="138"/>
        <v>0</v>
      </c>
    </row>
    <row r="8801" spans="3:4" ht="15" x14ac:dyDescent="0.25">
      <c r="C8801" s="8" t="e">
        <f>VLOOKUP(A:A,'ITEM LIST'!A:C,3,0)</f>
        <v>#N/A</v>
      </c>
      <c r="D8801" s="6">
        <f t="shared" si="138"/>
        <v>0</v>
      </c>
    </row>
    <row r="8802" spans="3:4" ht="15" x14ac:dyDescent="0.25">
      <c r="C8802" s="8" t="e">
        <f>VLOOKUP(A:A,'ITEM LIST'!A:C,3,0)</f>
        <v>#N/A</v>
      </c>
      <c r="D8802" s="6">
        <f t="shared" si="138"/>
        <v>0</v>
      </c>
    </row>
    <row r="8803" spans="3:4" ht="15" x14ac:dyDescent="0.25">
      <c r="C8803" s="8" t="e">
        <f>VLOOKUP(A:A,'ITEM LIST'!A:C,3,0)</f>
        <v>#N/A</v>
      </c>
      <c r="D8803" s="6">
        <f t="shared" si="138"/>
        <v>0</v>
      </c>
    </row>
    <row r="8804" spans="3:4" ht="15" x14ac:dyDescent="0.25">
      <c r="C8804" s="8" t="e">
        <f>VLOOKUP(A:A,'ITEM LIST'!A:C,3,0)</f>
        <v>#N/A</v>
      </c>
      <c r="D8804" s="6">
        <f t="shared" si="138"/>
        <v>0</v>
      </c>
    </row>
    <row r="8805" spans="3:4" ht="15" x14ac:dyDescent="0.25">
      <c r="C8805" s="8" t="e">
        <f>VLOOKUP(A:A,'ITEM LIST'!A:C,3,0)</f>
        <v>#N/A</v>
      </c>
      <c r="D8805" s="6">
        <f t="shared" si="138"/>
        <v>0</v>
      </c>
    </row>
    <row r="8806" spans="3:4" ht="15" x14ac:dyDescent="0.25">
      <c r="C8806" s="8" t="e">
        <f>VLOOKUP(A:A,'ITEM LIST'!A:C,3,0)</f>
        <v>#N/A</v>
      </c>
      <c r="D8806" s="6">
        <f t="shared" si="138"/>
        <v>0</v>
      </c>
    </row>
    <row r="8807" spans="3:4" ht="15" x14ac:dyDescent="0.25">
      <c r="C8807" s="8" t="e">
        <f>VLOOKUP(A:A,'ITEM LIST'!A:C,3,0)</f>
        <v>#N/A</v>
      </c>
      <c r="D8807" s="6">
        <f t="shared" si="138"/>
        <v>0</v>
      </c>
    </row>
    <row r="8808" spans="3:4" ht="15" x14ac:dyDescent="0.25">
      <c r="C8808" s="8" t="e">
        <f>VLOOKUP(A:A,'ITEM LIST'!A:C,3,0)</f>
        <v>#N/A</v>
      </c>
      <c r="D8808" s="6">
        <f t="shared" si="138"/>
        <v>0</v>
      </c>
    </row>
    <row r="8809" spans="3:4" ht="15" x14ac:dyDescent="0.25">
      <c r="C8809" s="8" t="e">
        <f>VLOOKUP(A:A,'ITEM LIST'!A:C,3,0)</f>
        <v>#N/A</v>
      </c>
      <c r="D8809" s="6">
        <f t="shared" si="138"/>
        <v>0</v>
      </c>
    </row>
    <row r="8810" spans="3:4" ht="15" x14ac:dyDescent="0.25">
      <c r="C8810" s="8" t="e">
        <f>VLOOKUP(A:A,'ITEM LIST'!A:C,3,0)</f>
        <v>#N/A</v>
      </c>
      <c r="D8810" s="6">
        <f t="shared" si="138"/>
        <v>0</v>
      </c>
    </row>
    <row r="8811" spans="3:4" ht="15" x14ac:dyDescent="0.25">
      <c r="C8811" s="8" t="e">
        <f>VLOOKUP(A:A,'ITEM LIST'!A:C,3,0)</f>
        <v>#N/A</v>
      </c>
      <c r="D8811" s="6">
        <f t="shared" si="138"/>
        <v>0</v>
      </c>
    </row>
    <row r="8812" spans="3:4" ht="15" x14ac:dyDescent="0.25">
      <c r="C8812" s="8" t="e">
        <f>VLOOKUP(A:A,'ITEM LIST'!A:C,3,0)</f>
        <v>#N/A</v>
      </c>
      <c r="D8812" s="6">
        <f t="shared" si="138"/>
        <v>0</v>
      </c>
    </row>
    <row r="8813" spans="3:4" ht="15" x14ac:dyDescent="0.25">
      <c r="C8813" s="8" t="e">
        <f>VLOOKUP(A:A,'ITEM LIST'!A:C,3,0)</f>
        <v>#N/A</v>
      </c>
      <c r="D8813" s="6">
        <f t="shared" si="138"/>
        <v>0</v>
      </c>
    </row>
    <row r="8814" spans="3:4" ht="15" x14ac:dyDescent="0.25">
      <c r="C8814" s="8" t="e">
        <f>VLOOKUP(A:A,'ITEM LIST'!A:C,3,0)</f>
        <v>#N/A</v>
      </c>
      <c r="D8814" s="6">
        <f t="shared" si="138"/>
        <v>0</v>
      </c>
    </row>
    <row r="8815" spans="3:4" ht="15" x14ac:dyDescent="0.25">
      <c r="C8815" s="8" t="e">
        <f>VLOOKUP(A:A,'ITEM LIST'!A:C,3,0)</f>
        <v>#N/A</v>
      </c>
      <c r="D8815" s="6">
        <f t="shared" si="138"/>
        <v>0</v>
      </c>
    </row>
    <row r="8816" spans="3:4" ht="15" x14ac:dyDescent="0.25">
      <c r="C8816" s="8" t="e">
        <f>VLOOKUP(A:A,'ITEM LIST'!A:C,3,0)</f>
        <v>#N/A</v>
      </c>
      <c r="D8816" s="6">
        <f t="shared" si="138"/>
        <v>0</v>
      </c>
    </row>
    <row r="8817" spans="3:4" ht="15" x14ac:dyDescent="0.25">
      <c r="C8817" s="8" t="e">
        <f>VLOOKUP(A:A,'ITEM LIST'!A:C,3,0)</f>
        <v>#N/A</v>
      </c>
      <c r="D8817" s="6">
        <f t="shared" si="138"/>
        <v>0</v>
      </c>
    </row>
    <row r="8818" spans="3:4" ht="15" x14ac:dyDescent="0.25">
      <c r="C8818" s="8" t="e">
        <f>VLOOKUP(A:A,'ITEM LIST'!A:C,3,0)</f>
        <v>#N/A</v>
      </c>
      <c r="D8818" s="6">
        <f t="shared" si="138"/>
        <v>0</v>
      </c>
    </row>
    <row r="8819" spans="3:4" ht="15" x14ac:dyDescent="0.25">
      <c r="C8819" s="8" t="e">
        <f>VLOOKUP(A:A,'ITEM LIST'!A:C,3,0)</f>
        <v>#N/A</v>
      </c>
      <c r="D8819" s="6">
        <f t="shared" si="138"/>
        <v>0</v>
      </c>
    </row>
    <row r="8820" spans="3:4" ht="15" x14ac:dyDescent="0.25">
      <c r="C8820" s="8" t="e">
        <f>VLOOKUP(A:A,'ITEM LIST'!A:C,3,0)</f>
        <v>#N/A</v>
      </c>
      <c r="D8820" s="6">
        <f t="shared" si="138"/>
        <v>0</v>
      </c>
    </row>
    <row r="8821" spans="3:4" ht="15" x14ac:dyDescent="0.25">
      <c r="C8821" s="8" t="e">
        <f>VLOOKUP(A:A,'ITEM LIST'!A:C,3,0)</f>
        <v>#N/A</v>
      </c>
      <c r="D8821" s="6">
        <f t="shared" si="138"/>
        <v>0</v>
      </c>
    </row>
    <row r="8822" spans="3:4" ht="15" x14ac:dyDescent="0.25">
      <c r="C8822" s="8" t="e">
        <f>VLOOKUP(A:A,'ITEM LIST'!A:C,3,0)</f>
        <v>#N/A</v>
      </c>
      <c r="D8822" s="6">
        <f t="shared" si="138"/>
        <v>0</v>
      </c>
    </row>
    <row r="8823" spans="3:4" ht="15" x14ac:dyDescent="0.25">
      <c r="C8823" s="8" t="e">
        <f>VLOOKUP(A:A,'ITEM LIST'!A:C,3,0)</f>
        <v>#N/A</v>
      </c>
      <c r="D8823" s="6">
        <f t="shared" si="138"/>
        <v>0</v>
      </c>
    </row>
    <row r="8824" spans="3:4" ht="15" x14ac:dyDescent="0.25">
      <c r="C8824" s="8" t="e">
        <f>VLOOKUP(A:A,'ITEM LIST'!A:C,3,0)</f>
        <v>#N/A</v>
      </c>
      <c r="D8824" s="6">
        <f t="shared" si="138"/>
        <v>0</v>
      </c>
    </row>
    <row r="8825" spans="3:4" ht="15" x14ac:dyDescent="0.25">
      <c r="C8825" s="8" t="e">
        <f>VLOOKUP(A:A,'ITEM LIST'!A:C,3,0)</f>
        <v>#N/A</v>
      </c>
      <c r="D8825" s="6">
        <f t="shared" si="138"/>
        <v>0</v>
      </c>
    </row>
    <row r="8826" spans="3:4" ht="15" x14ac:dyDescent="0.25">
      <c r="C8826" s="8" t="e">
        <f>VLOOKUP(A:A,'ITEM LIST'!A:C,3,0)</f>
        <v>#N/A</v>
      </c>
      <c r="D8826" s="6">
        <f t="shared" si="138"/>
        <v>0</v>
      </c>
    </row>
    <row r="8827" spans="3:4" ht="15" x14ac:dyDescent="0.25">
      <c r="C8827" s="8" t="e">
        <f>VLOOKUP(A:A,'ITEM LIST'!A:C,3,0)</f>
        <v>#N/A</v>
      </c>
      <c r="D8827" s="6">
        <f t="shared" si="138"/>
        <v>0</v>
      </c>
    </row>
    <row r="8828" spans="3:4" ht="15" x14ac:dyDescent="0.25">
      <c r="C8828" s="8" t="e">
        <f>VLOOKUP(A:A,'ITEM LIST'!A:C,3,0)</f>
        <v>#N/A</v>
      </c>
      <c r="D8828" s="6">
        <f t="shared" si="138"/>
        <v>0</v>
      </c>
    </row>
    <row r="8829" spans="3:4" ht="15" x14ac:dyDescent="0.25">
      <c r="C8829" s="8" t="e">
        <f>VLOOKUP(A:A,'ITEM LIST'!A:C,3,0)</f>
        <v>#N/A</v>
      </c>
      <c r="D8829" s="6">
        <f t="shared" si="138"/>
        <v>0</v>
      </c>
    </row>
    <row r="8830" spans="3:4" ht="15" x14ac:dyDescent="0.25">
      <c r="C8830" s="8" t="e">
        <f>VLOOKUP(A:A,'ITEM LIST'!A:C,3,0)</f>
        <v>#N/A</v>
      </c>
      <c r="D8830" s="6">
        <f t="shared" si="138"/>
        <v>0</v>
      </c>
    </row>
    <row r="8831" spans="3:4" ht="15" x14ac:dyDescent="0.25">
      <c r="C8831" s="8" t="e">
        <f>VLOOKUP(A:A,'ITEM LIST'!A:C,3,0)</f>
        <v>#N/A</v>
      </c>
      <c r="D8831" s="6">
        <f t="shared" si="138"/>
        <v>0</v>
      </c>
    </row>
    <row r="8832" spans="3:4" ht="15" x14ac:dyDescent="0.25">
      <c r="C8832" s="8" t="e">
        <f>VLOOKUP(A:A,'ITEM LIST'!A:C,3,0)</f>
        <v>#N/A</v>
      </c>
      <c r="D8832" s="6">
        <f t="shared" si="138"/>
        <v>0</v>
      </c>
    </row>
    <row r="8833" spans="3:4" ht="15" x14ac:dyDescent="0.25">
      <c r="C8833" s="8" t="e">
        <f>VLOOKUP(A:A,'ITEM LIST'!A:C,3,0)</f>
        <v>#N/A</v>
      </c>
      <c r="D8833" s="6">
        <f t="shared" si="138"/>
        <v>0</v>
      </c>
    </row>
    <row r="8834" spans="3:4" ht="15" x14ac:dyDescent="0.25">
      <c r="C8834" s="8" t="e">
        <f>VLOOKUP(A:A,'ITEM LIST'!A:C,3,0)</f>
        <v>#N/A</v>
      </c>
      <c r="D8834" s="6">
        <f t="shared" si="138"/>
        <v>0</v>
      </c>
    </row>
    <row r="8835" spans="3:4" ht="15" x14ac:dyDescent="0.25">
      <c r="C8835" s="8" t="e">
        <f>VLOOKUP(A:A,'ITEM LIST'!A:C,3,0)</f>
        <v>#N/A</v>
      </c>
      <c r="D8835" s="6">
        <f t="shared" si="138"/>
        <v>0</v>
      </c>
    </row>
    <row r="8836" spans="3:4" ht="15" x14ac:dyDescent="0.25">
      <c r="C8836" s="8" t="e">
        <f>VLOOKUP(A:A,'ITEM LIST'!A:C,3,0)</f>
        <v>#N/A</v>
      </c>
      <c r="D8836" s="6">
        <f t="shared" si="138"/>
        <v>0</v>
      </c>
    </row>
    <row r="8837" spans="3:4" ht="15" x14ac:dyDescent="0.25">
      <c r="C8837" s="8" t="e">
        <f>VLOOKUP(A:A,'ITEM LIST'!A:C,3,0)</f>
        <v>#N/A</v>
      </c>
      <c r="D8837" s="6">
        <f t="shared" si="138"/>
        <v>0</v>
      </c>
    </row>
    <row r="8838" spans="3:4" ht="15" x14ac:dyDescent="0.25">
      <c r="C8838" s="8" t="e">
        <f>VLOOKUP(A:A,'ITEM LIST'!A:C,3,0)</f>
        <v>#N/A</v>
      </c>
      <c r="D8838" s="6">
        <f t="shared" ref="D8838:D8901" si="139">B8838</f>
        <v>0</v>
      </c>
    </row>
    <row r="8839" spans="3:4" ht="15" x14ac:dyDescent="0.25">
      <c r="C8839" s="8" t="e">
        <f>VLOOKUP(A:A,'ITEM LIST'!A:C,3,0)</f>
        <v>#N/A</v>
      </c>
      <c r="D8839" s="6">
        <f t="shared" si="139"/>
        <v>0</v>
      </c>
    </row>
    <row r="8840" spans="3:4" ht="15" x14ac:dyDescent="0.25">
      <c r="C8840" s="8" t="e">
        <f>VLOOKUP(A:A,'ITEM LIST'!A:C,3,0)</f>
        <v>#N/A</v>
      </c>
      <c r="D8840" s="6">
        <f t="shared" si="139"/>
        <v>0</v>
      </c>
    </row>
    <row r="8841" spans="3:4" ht="15" x14ac:dyDescent="0.25">
      <c r="C8841" s="8" t="e">
        <f>VLOOKUP(A:A,'ITEM LIST'!A:C,3,0)</f>
        <v>#N/A</v>
      </c>
      <c r="D8841" s="6">
        <f t="shared" si="139"/>
        <v>0</v>
      </c>
    </row>
    <row r="8842" spans="3:4" ht="15" x14ac:dyDescent="0.25">
      <c r="C8842" s="8" t="e">
        <f>VLOOKUP(A:A,'ITEM LIST'!A:C,3,0)</f>
        <v>#N/A</v>
      </c>
      <c r="D8842" s="6">
        <f t="shared" si="139"/>
        <v>0</v>
      </c>
    </row>
    <row r="8843" spans="3:4" ht="15" x14ac:dyDescent="0.25">
      <c r="C8843" s="8" t="e">
        <f>VLOOKUP(A:A,'ITEM LIST'!A:C,3,0)</f>
        <v>#N/A</v>
      </c>
      <c r="D8843" s="6">
        <f t="shared" si="139"/>
        <v>0</v>
      </c>
    </row>
    <row r="8844" spans="3:4" ht="15" x14ac:dyDescent="0.25">
      <c r="C8844" s="8" t="e">
        <f>VLOOKUP(A:A,'ITEM LIST'!A:C,3,0)</f>
        <v>#N/A</v>
      </c>
      <c r="D8844" s="6">
        <f t="shared" si="139"/>
        <v>0</v>
      </c>
    </row>
    <row r="8845" spans="3:4" ht="15" x14ac:dyDescent="0.25">
      <c r="C8845" s="8" t="e">
        <f>VLOOKUP(A:A,'ITEM LIST'!A:C,3,0)</f>
        <v>#N/A</v>
      </c>
      <c r="D8845" s="6">
        <f t="shared" si="139"/>
        <v>0</v>
      </c>
    </row>
    <row r="8846" spans="3:4" ht="15" x14ac:dyDescent="0.25">
      <c r="C8846" s="8" t="e">
        <f>VLOOKUP(A:A,'ITEM LIST'!A:C,3,0)</f>
        <v>#N/A</v>
      </c>
      <c r="D8846" s="6">
        <f t="shared" si="139"/>
        <v>0</v>
      </c>
    </row>
    <row r="8847" spans="3:4" ht="15" x14ac:dyDescent="0.25">
      <c r="C8847" s="8" t="e">
        <f>VLOOKUP(A:A,'ITEM LIST'!A:C,3,0)</f>
        <v>#N/A</v>
      </c>
      <c r="D8847" s="6">
        <f t="shared" si="139"/>
        <v>0</v>
      </c>
    </row>
    <row r="8848" spans="3:4" ht="15" x14ac:dyDescent="0.25">
      <c r="C8848" s="8" t="e">
        <f>VLOOKUP(A:A,'ITEM LIST'!A:C,3,0)</f>
        <v>#N/A</v>
      </c>
      <c r="D8848" s="6">
        <f t="shared" si="139"/>
        <v>0</v>
      </c>
    </row>
    <row r="8849" spans="3:4" ht="15" x14ac:dyDescent="0.25">
      <c r="C8849" s="8" t="e">
        <f>VLOOKUP(A:A,'ITEM LIST'!A:C,3,0)</f>
        <v>#N/A</v>
      </c>
      <c r="D8849" s="6">
        <f t="shared" si="139"/>
        <v>0</v>
      </c>
    </row>
    <row r="8850" spans="3:4" ht="15" x14ac:dyDescent="0.25">
      <c r="C8850" s="8" t="e">
        <f>VLOOKUP(A:A,'ITEM LIST'!A:C,3,0)</f>
        <v>#N/A</v>
      </c>
      <c r="D8850" s="6">
        <f t="shared" si="139"/>
        <v>0</v>
      </c>
    </row>
    <row r="8851" spans="3:4" ht="15" x14ac:dyDescent="0.25">
      <c r="C8851" s="8" t="e">
        <f>VLOOKUP(A:A,'ITEM LIST'!A:C,3,0)</f>
        <v>#N/A</v>
      </c>
      <c r="D8851" s="6">
        <f t="shared" si="139"/>
        <v>0</v>
      </c>
    </row>
    <row r="8852" spans="3:4" ht="15" x14ac:dyDescent="0.25">
      <c r="C8852" s="8" t="e">
        <f>VLOOKUP(A:A,'ITEM LIST'!A:C,3,0)</f>
        <v>#N/A</v>
      </c>
      <c r="D8852" s="6">
        <f t="shared" si="139"/>
        <v>0</v>
      </c>
    </row>
    <row r="8853" spans="3:4" ht="15" x14ac:dyDescent="0.25">
      <c r="C8853" s="8" t="e">
        <f>VLOOKUP(A:A,'ITEM LIST'!A:C,3,0)</f>
        <v>#N/A</v>
      </c>
      <c r="D8853" s="6">
        <f t="shared" si="139"/>
        <v>0</v>
      </c>
    </row>
    <row r="8854" spans="3:4" ht="15" x14ac:dyDescent="0.25">
      <c r="C8854" s="8" t="e">
        <f>VLOOKUP(A:A,'ITEM LIST'!A:C,3,0)</f>
        <v>#N/A</v>
      </c>
      <c r="D8854" s="6">
        <f t="shared" si="139"/>
        <v>0</v>
      </c>
    </row>
    <row r="8855" spans="3:4" ht="15" x14ac:dyDescent="0.25">
      <c r="C8855" s="8" t="e">
        <f>VLOOKUP(A:A,'ITEM LIST'!A:C,3,0)</f>
        <v>#N/A</v>
      </c>
      <c r="D8855" s="6">
        <f t="shared" si="139"/>
        <v>0</v>
      </c>
    </row>
    <row r="8856" spans="3:4" ht="15" x14ac:dyDescent="0.25">
      <c r="C8856" s="8" t="e">
        <f>VLOOKUP(A:A,'ITEM LIST'!A:C,3,0)</f>
        <v>#N/A</v>
      </c>
      <c r="D8856" s="6">
        <f t="shared" si="139"/>
        <v>0</v>
      </c>
    </row>
    <row r="8857" spans="3:4" ht="15" x14ac:dyDescent="0.25">
      <c r="C8857" s="8" t="e">
        <f>VLOOKUP(A:A,'ITEM LIST'!A:C,3,0)</f>
        <v>#N/A</v>
      </c>
      <c r="D8857" s="6">
        <f t="shared" si="139"/>
        <v>0</v>
      </c>
    </row>
    <row r="8858" spans="3:4" ht="15" x14ac:dyDescent="0.25">
      <c r="C8858" s="8" t="e">
        <f>VLOOKUP(A:A,'ITEM LIST'!A:C,3,0)</f>
        <v>#N/A</v>
      </c>
      <c r="D8858" s="6">
        <f t="shared" si="139"/>
        <v>0</v>
      </c>
    </row>
    <row r="8859" spans="3:4" ht="15" x14ac:dyDescent="0.25">
      <c r="C8859" s="8" t="e">
        <f>VLOOKUP(A:A,'ITEM LIST'!A:C,3,0)</f>
        <v>#N/A</v>
      </c>
      <c r="D8859" s="6">
        <f t="shared" si="139"/>
        <v>0</v>
      </c>
    </row>
    <row r="8860" spans="3:4" ht="15" x14ac:dyDescent="0.25">
      <c r="C8860" s="8" t="e">
        <f>VLOOKUP(A:A,'ITEM LIST'!A:C,3,0)</f>
        <v>#N/A</v>
      </c>
      <c r="D8860" s="6">
        <f t="shared" si="139"/>
        <v>0</v>
      </c>
    </row>
    <row r="8861" spans="3:4" ht="15" x14ac:dyDescent="0.25">
      <c r="C8861" s="8" t="e">
        <f>VLOOKUP(A:A,'ITEM LIST'!A:C,3,0)</f>
        <v>#N/A</v>
      </c>
      <c r="D8861" s="6">
        <f t="shared" si="139"/>
        <v>0</v>
      </c>
    </row>
    <row r="8862" spans="3:4" ht="15" x14ac:dyDescent="0.25">
      <c r="C8862" s="8" t="e">
        <f>VLOOKUP(A:A,'ITEM LIST'!A:C,3,0)</f>
        <v>#N/A</v>
      </c>
      <c r="D8862" s="6">
        <f t="shared" si="139"/>
        <v>0</v>
      </c>
    </row>
    <row r="8863" spans="3:4" ht="15" x14ac:dyDescent="0.25">
      <c r="C8863" s="8" t="e">
        <f>VLOOKUP(A:A,'ITEM LIST'!A:C,3,0)</f>
        <v>#N/A</v>
      </c>
      <c r="D8863" s="6">
        <f t="shared" si="139"/>
        <v>0</v>
      </c>
    </row>
    <row r="8864" spans="3:4" ht="15" x14ac:dyDescent="0.25">
      <c r="C8864" s="8" t="e">
        <f>VLOOKUP(A:A,'ITEM LIST'!A:C,3,0)</f>
        <v>#N/A</v>
      </c>
      <c r="D8864" s="6">
        <f t="shared" si="139"/>
        <v>0</v>
      </c>
    </row>
    <row r="8865" spans="3:4" ht="15" x14ac:dyDescent="0.25">
      <c r="C8865" s="8" t="e">
        <f>VLOOKUP(A:A,'ITEM LIST'!A:C,3,0)</f>
        <v>#N/A</v>
      </c>
      <c r="D8865" s="6">
        <f t="shared" si="139"/>
        <v>0</v>
      </c>
    </row>
    <row r="8866" spans="3:4" ht="15" x14ac:dyDescent="0.25">
      <c r="C8866" s="8" t="e">
        <f>VLOOKUP(A:A,'ITEM LIST'!A:C,3,0)</f>
        <v>#N/A</v>
      </c>
      <c r="D8866" s="6">
        <f t="shared" si="139"/>
        <v>0</v>
      </c>
    </row>
    <row r="8867" spans="3:4" ht="15" x14ac:dyDescent="0.25">
      <c r="C8867" s="8" t="e">
        <f>VLOOKUP(A:A,'ITEM LIST'!A:C,3,0)</f>
        <v>#N/A</v>
      </c>
      <c r="D8867" s="6">
        <f t="shared" si="139"/>
        <v>0</v>
      </c>
    </row>
    <row r="8868" spans="3:4" ht="15" x14ac:dyDescent="0.25">
      <c r="C8868" s="8" t="e">
        <f>VLOOKUP(A:A,'ITEM LIST'!A:C,3,0)</f>
        <v>#N/A</v>
      </c>
      <c r="D8868" s="6">
        <f t="shared" si="139"/>
        <v>0</v>
      </c>
    </row>
    <row r="8869" spans="3:4" ht="15" x14ac:dyDescent="0.25">
      <c r="C8869" s="8" t="e">
        <f>VLOOKUP(A:A,'ITEM LIST'!A:C,3,0)</f>
        <v>#N/A</v>
      </c>
      <c r="D8869" s="6">
        <f t="shared" si="139"/>
        <v>0</v>
      </c>
    </row>
    <row r="8870" spans="3:4" ht="15" x14ac:dyDescent="0.25">
      <c r="C8870" s="8" t="e">
        <f>VLOOKUP(A:A,'ITEM LIST'!A:C,3,0)</f>
        <v>#N/A</v>
      </c>
      <c r="D8870" s="6">
        <f t="shared" si="139"/>
        <v>0</v>
      </c>
    </row>
    <row r="8871" spans="3:4" ht="15" x14ac:dyDescent="0.25">
      <c r="C8871" s="8" t="e">
        <f>VLOOKUP(A:A,'ITEM LIST'!A:C,3,0)</f>
        <v>#N/A</v>
      </c>
      <c r="D8871" s="6">
        <f t="shared" si="139"/>
        <v>0</v>
      </c>
    </row>
    <row r="8872" spans="3:4" ht="15" x14ac:dyDescent="0.25">
      <c r="C8872" s="8" t="e">
        <f>VLOOKUP(A:A,'ITEM LIST'!A:C,3,0)</f>
        <v>#N/A</v>
      </c>
      <c r="D8872" s="6">
        <f t="shared" si="139"/>
        <v>0</v>
      </c>
    </row>
    <row r="8873" spans="3:4" ht="15" x14ac:dyDescent="0.25">
      <c r="C8873" s="8" t="e">
        <f>VLOOKUP(A:A,'ITEM LIST'!A:C,3,0)</f>
        <v>#N/A</v>
      </c>
      <c r="D8873" s="6">
        <f t="shared" si="139"/>
        <v>0</v>
      </c>
    </row>
    <row r="8874" spans="3:4" ht="15" x14ac:dyDescent="0.25">
      <c r="C8874" s="8" t="e">
        <f>VLOOKUP(A:A,'ITEM LIST'!A:C,3,0)</f>
        <v>#N/A</v>
      </c>
      <c r="D8874" s="6">
        <f t="shared" si="139"/>
        <v>0</v>
      </c>
    </row>
    <row r="8875" spans="3:4" ht="15" x14ac:dyDescent="0.25">
      <c r="C8875" s="8" t="e">
        <f>VLOOKUP(A:A,'ITEM LIST'!A:C,3,0)</f>
        <v>#N/A</v>
      </c>
      <c r="D8875" s="6">
        <f t="shared" si="139"/>
        <v>0</v>
      </c>
    </row>
    <row r="8876" spans="3:4" ht="15" x14ac:dyDescent="0.25">
      <c r="C8876" s="8" t="e">
        <f>VLOOKUP(A:A,'ITEM LIST'!A:C,3,0)</f>
        <v>#N/A</v>
      </c>
      <c r="D8876" s="6">
        <f t="shared" si="139"/>
        <v>0</v>
      </c>
    </row>
    <row r="8877" spans="3:4" ht="15" x14ac:dyDescent="0.25">
      <c r="C8877" s="8" t="e">
        <f>VLOOKUP(A:A,'ITEM LIST'!A:C,3,0)</f>
        <v>#N/A</v>
      </c>
      <c r="D8877" s="6">
        <f t="shared" si="139"/>
        <v>0</v>
      </c>
    </row>
    <row r="8878" spans="3:4" ht="15" x14ac:dyDescent="0.25">
      <c r="C8878" s="8" t="e">
        <f>VLOOKUP(A:A,'ITEM LIST'!A:C,3,0)</f>
        <v>#N/A</v>
      </c>
      <c r="D8878" s="6">
        <f t="shared" si="139"/>
        <v>0</v>
      </c>
    </row>
    <row r="8879" spans="3:4" ht="15" x14ac:dyDescent="0.25">
      <c r="C8879" s="8" t="e">
        <f>VLOOKUP(A:A,'ITEM LIST'!A:C,3,0)</f>
        <v>#N/A</v>
      </c>
      <c r="D8879" s="6">
        <f t="shared" si="139"/>
        <v>0</v>
      </c>
    </row>
    <row r="8880" spans="3:4" ht="15" x14ac:dyDescent="0.25">
      <c r="C8880" s="8" t="e">
        <f>VLOOKUP(A:A,'ITEM LIST'!A:C,3,0)</f>
        <v>#N/A</v>
      </c>
      <c r="D8880" s="6">
        <f t="shared" si="139"/>
        <v>0</v>
      </c>
    </row>
    <row r="8881" spans="3:4" ht="15" x14ac:dyDescent="0.25">
      <c r="C8881" s="8" t="e">
        <f>VLOOKUP(A:A,'ITEM LIST'!A:C,3,0)</f>
        <v>#N/A</v>
      </c>
      <c r="D8881" s="6">
        <f t="shared" si="139"/>
        <v>0</v>
      </c>
    </row>
    <row r="8882" spans="3:4" ht="15" x14ac:dyDescent="0.25">
      <c r="C8882" s="8" t="e">
        <f>VLOOKUP(A:A,'ITEM LIST'!A:C,3,0)</f>
        <v>#N/A</v>
      </c>
      <c r="D8882" s="6">
        <f t="shared" si="139"/>
        <v>0</v>
      </c>
    </row>
    <row r="8883" spans="3:4" ht="15" x14ac:dyDescent="0.25">
      <c r="C8883" s="8" t="e">
        <f>VLOOKUP(A:A,'ITEM LIST'!A:C,3,0)</f>
        <v>#N/A</v>
      </c>
      <c r="D8883" s="6">
        <f t="shared" si="139"/>
        <v>0</v>
      </c>
    </row>
    <row r="8884" spans="3:4" ht="15" x14ac:dyDescent="0.25">
      <c r="C8884" s="8" t="e">
        <f>VLOOKUP(A:A,'ITEM LIST'!A:C,3,0)</f>
        <v>#N/A</v>
      </c>
      <c r="D8884" s="6">
        <f t="shared" si="139"/>
        <v>0</v>
      </c>
    </row>
    <row r="8885" spans="3:4" ht="15" x14ac:dyDescent="0.25">
      <c r="C8885" s="8" t="e">
        <f>VLOOKUP(A:A,'ITEM LIST'!A:C,3,0)</f>
        <v>#N/A</v>
      </c>
      <c r="D8885" s="6">
        <f t="shared" si="139"/>
        <v>0</v>
      </c>
    </row>
    <row r="8886" spans="3:4" ht="15" x14ac:dyDescent="0.25">
      <c r="C8886" s="8" t="e">
        <f>VLOOKUP(A:A,'ITEM LIST'!A:C,3,0)</f>
        <v>#N/A</v>
      </c>
      <c r="D8886" s="6">
        <f t="shared" si="139"/>
        <v>0</v>
      </c>
    </row>
    <row r="8887" spans="3:4" ht="15" x14ac:dyDescent="0.25">
      <c r="C8887" s="8" t="e">
        <f>VLOOKUP(A:A,'ITEM LIST'!A:C,3,0)</f>
        <v>#N/A</v>
      </c>
      <c r="D8887" s="6">
        <f t="shared" si="139"/>
        <v>0</v>
      </c>
    </row>
    <row r="8888" spans="3:4" ht="15" x14ac:dyDescent="0.25">
      <c r="C8888" s="8" t="e">
        <f>VLOOKUP(A:A,'ITEM LIST'!A:C,3,0)</f>
        <v>#N/A</v>
      </c>
      <c r="D8888" s="6">
        <f t="shared" si="139"/>
        <v>0</v>
      </c>
    </row>
    <row r="8889" spans="3:4" ht="15" x14ac:dyDescent="0.25">
      <c r="C8889" s="8" t="e">
        <f>VLOOKUP(A:A,'ITEM LIST'!A:C,3,0)</f>
        <v>#N/A</v>
      </c>
      <c r="D8889" s="6">
        <f t="shared" si="139"/>
        <v>0</v>
      </c>
    </row>
    <row r="8890" spans="3:4" ht="15" x14ac:dyDescent="0.25">
      <c r="C8890" s="8" t="e">
        <f>VLOOKUP(A:A,'ITEM LIST'!A:C,3,0)</f>
        <v>#N/A</v>
      </c>
      <c r="D8890" s="6">
        <f t="shared" si="139"/>
        <v>0</v>
      </c>
    </row>
    <row r="8891" spans="3:4" ht="15" x14ac:dyDescent="0.25">
      <c r="C8891" s="8" t="e">
        <f>VLOOKUP(A:A,'ITEM LIST'!A:C,3,0)</f>
        <v>#N/A</v>
      </c>
      <c r="D8891" s="6">
        <f t="shared" si="139"/>
        <v>0</v>
      </c>
    </row>
    <row r="8892" spans="3:4" ht="15" x14ac:dyDescent="0.25">
      <c r="C8892" s="8" t="e">
        <f>VLOOKUP(A:A,'ITEM LIST'!A:C,3,0)</f>
        <v>#N/A</v>
      </c>
      <c r="D8892" s="6">
        <f t="shared" si="139"/>
        <v>0</v>
      </c>
    </row>
    <row r="8893" spans="3:4" ht="15" x14ac:dyDescent="0.25">
      <c r="C8893" s="8" t="e">
        <f>VLOOKUP(A:A,'ITEM LIST'!A:C,3,0)</f>
        <v>#N/A</v>
      </c>
      <c r="D8893" s="6">
        <f t="shared" si="139"/>
        <v>0</v>
      </c>
    </row>
    <row r="8894" spans="3:4" ht="15" x14ac:dyDescent="0.25">
      <c r="C8894" s="8" t="e">
        <f>VLOOKUP(A:A,'ITEM LIST'!A:C,3,0)</f>
        <v>#N/A</v>
      </c>
      <c r="D8894" s="6">
        <f t="shared" si="139"/>
        <v>0</v>
      </c>
    </row>
    <row r="8895" spans="3:4" ht="15" x14ac:dyDescent="0.25">
      <c r="C8895" s="8" t="e">
        <f>VLOOKUP(A:A,'ITEM LIST'!A:C,3,0)</f>
        <v>#N/A</v>
      </c>
      <c r="D8895" s="6">
        <f t="shared" si="139"/>
        <v>0</v>
      </c>
    </row>
    <row r="8896" spans="3:4" ht="15" x14ac:dyDescent="0.25">
      <c r="C8896" s="8" t="e">
        <f>VLOOKUP(A:A,'ITEM LIST'!A:C,3,0)</f>
        <v>#N/A</v>
      </c>
      <c r="D8896" s="6">
        <f t="shared" si="139"/>
        <v>0</v>
      </c>
    </row>
    <row r="8897" spans="3:4" ht="15" x14ac:dyDescent="0.25">
      <c r="C8897" s="8" t="e">
        <f>VLOOKUP(A:A,'ITEM LIST'!A:C,3,0)</f>
        <v>#N/A</v>
      </c>
      <c r="D8897" s="6">
        <f t="shared" si="139"/>
        <v>0</v>
      </c>
    </row>
    <row r="8898" spans="3:4" ht="15" x14ac:dyDescent="0.25">
      <c r="C8898" s="8" t="e">
        <f>VLOOKUP(A:A,'ITEM LIST'!A:C,3,0)</f>
        <v>#N/A</v>
      </c>
      <c r="D8898" s="6">
        <f t="shared" si="139"/>
        <v>0</v>
      </c>
    </row>
    <row r="8899" spans="3:4" ht="15" x14ac:dyDescent="0.25">
      <c r="C8899" s="8" t="e">
        <f>VLOOKUP(A:A,'ITEM LIST'!A:C,3,0)</f>
        <v>#N/A</v>
      </c>
      <c r="D8899" s="6">
        <f t="shared" si="139"/>
        <v>0</v>
      </c>
    </row>
    <row r="8900" spans="3:4" ht="15" x14ac:dyDescent="0.25">
      <c r="C8900" s="8" t="e">
        <f>VLOOKUP(A:A,'ITEM LIST'!A:C,3,0)</f>
        <v>#N/A</v>
      </c>
      <c r="D8900" s="6">
        <f t="shared" si="139"/>
        <v>0</v>
      </c>
    </row>
    <row r="8901" spans="3:4" ht="15" x14ac:dyDescent="0.25">
      <c r="C8901" s="8" t="e">
        <f>VLOOKUP(A:A,'ITEM LIST'!A:C,3,0)</f>
        <v>#N/A</v>
      </c>
      <c r="D8901" s="6">
        <f t="shared" si="139"/>
        <v>0</v>
      </c>
    </row>
    <row r="8902" spans="3:4" ht="15" x14ac:dyDescent="0.25">
      <c r="C8902" s="8" t="e">
        <f>VLOOKUP(A:A,'ITEM LIST'!A:C,3,0)</f>
        <v>#N/A</v>
      </c>
      <c r="D8902" s="6">
        <f t="shared" ref="D8902:D8965" si="140">B8902</f>
        <v>0</v>
      </c>
    </row>
    <row r="8903" spans="3:4" ht="15" x14ac:dyDescent="0.25">
      <c r="C8903" s="8" t="e">
        <f>VLOOKUP(A:A,'ITEM LIST'!A:C,3,0)</f>
        <v>#N/A</v>
      </c>
      <c r="D8903" s="6">
        <f t="shared" si="140"/>
        <v>0</v>
      </c>
    </row>
    <row r="8904" spans="3:4" ht="15" x14ac:dyDescent="0.25">
      <c r="C8904" s="8" t="e">
        <f>VLOOKUP(A:A,'ITEM LIST'!A:C,3,0)</f>
        <v>#N/A</v>
      </c>
      <c r="D8904" s="6">
        <f t="shared" si="140"/>
        <v>0</v>
      </c>
    </row>
    <row r="8905" spans="3:4" ht="15" x14ac:dyDescent="0.25">
      <c r="C8905" s="8" t="e">
        <f>VLOOKUP(A:A,'ITEM LIST'!A:C,3,0)</f>
        <v>#N/A</v>
      </c>
      <c r="D8905" s="6">
        <f t="shared" si="140"/>
        <v>0</v>
      </c>
    </row>
    <row r="8906" spans="3:4" ht="15" x14ac:dyDescent="0.25">
      <c r="C8906" s="8" t="e">
        <f>VLOOKUP(A:A,'ITEM LIST'!A:C,3,0)</f>
        <v>#N/A</v>
      </c>
      <c r="D8906" s="6">
        <f t="shared" si="140"/>
        <v>0</v>
      </c>
    </row>
    <row r="8907" spans="3:4" ht="15" x14ac:dyDescent="0.25">
      <c r="C8907" s="8" t="e">
        <f>VLOOKUP(A:A,'ITEM LIST'!A:C,3,0)</f>
        <v>#N/A</v>
      </c>
      <c r="D8907" s="6">
        <f t="shared" si="140"/>
        <v>0</v>
      </c>
    </row>
    <row r="8908" spans="3:4" ht="15" x14ac:dyDescent="0.25">
      <c r="C8908" s="8" t="e">
        <f>VLOOKUP(A:A,'ITEM LIST'!A:C,3,0)</f>
        <v>#N/A</v>
      </c>
      <c r="D8908" s="6">
        <f t="shared" si="140"/>
        <v>0</v>
      </c>
    </row>
    <row r="8909" spans="3:4" ht="15" x14ac:dyDescent="0.25">
      <c r="C8909" s="8" t="e">
        <f>VLOOKUP(A:A,'ITEM LIST'!A:C,3,0)</f>
        <v>#N/A</v>
      </c>
      <c r="D8909" s="6">
        <f t="shared" si="140"/>
        <v>0</v>
      </c>
    </row>
    <row r="8910" spans="3:4" ht="15" x14ac:dyDescent="0.25">
      <c r="C8910" s="8" t="e">
        <f>VLOOKUP(A:A,'ITEM LIST'!A:C,3,0)</f>
        <v>#N/A</v>
      </c>
      <c r="D8910" s="6">
        <f t="shared" si="140"/>
        <v>0</v>
      </c>
    </row>
    <row r="8911" spans="3:4" ht="15" x14ac:dyDescent="0.25">
      <c r="C8911" s="8" t="e">
        <f>VLOOKUP(A:A,'ITEM LIST'!A:C,3,0)</f>
        <v>#N/A</v>
      </c>
      <c r="D8911" s="6">
        <f t="shared" si="140"/>
        <v>0</v>
      </c>
    </row>
    <row r="8912" spans="3:4" ht="15" x14ac:dyDescent="0.25">
      <c r="C8912" s="8" t="e">
        <f>VLOOKUP(A:A,'ITEM LIST'!A:C,3,0)</f>
        <v>#N/A</v>
      </c>
      <c r="D8912" s="6">
        <f t="shared" si="140"/>
        <v>0</v>
      </c>
    </row>
    <row r="8913" spans="3:4" ht="15" x14ac:dyDescent="0.25">
      <c r="C8913" s="8" t="e">
        <f>VLOOKUP(A:A,'ITEM LIST'!A:C,3,0)</f>
        <v>#N/A</v>
      </c>
      <c r="D8913" s="6">
        <f t="shared" si="140"/>
        <v>0</v>
      </c>
    </row>
    <row r="8914" spans="3:4" ht="15" x14ac:dyDescent="0.25">
      <c r="C8914" s="8" t="e">
        <f>VLOOKUP(A:A,'ITEM LIST'!A:C,3,0)</f>
        <v>#N/A</v>
      </c>
      <c r="D8914" s="6">
        <f t="shared" si="140"/>
        <v>0</v>
      </c>
    </row>
    <row r="8915" spans="3:4" ht="15" x14ac:dyDescent="0.25">
      <c r="C8915" s="8" t="e">
        <f>VLOOKUP(A:A,'ITEM LIST'!A:C,3,0)</f>
        <v>#N/A</v>
      </c>
      <c r="D8915" s="6">
        <f t="shared" si="140"/>
        <v>0</v>
      </c>
    </row>
    <row r="8916" spans="3:4" ht="15" x14ac:dyDescent="0.25">
      <c r="C8916" s="8" t="e">
        <f>VLOOKUP(A:A,'ITEM LIST'!A:C,3,0)</f>
        <v>#N/A</v>
      </c>
      <c r="D8916" s="6">
        <f t="shared" si="140"/>
        <v>0</v>
      </c>
    </row>
    <row r="8917" spans="3:4" ht="15" x14ac:dyDescent="0.25">
      <c r="C8917" s="8" t="e">
        <f>VLOOKUP(A:A,'ITEM LIST'!A:C,3,0)</f>
        <v>#N/A</v>
      </c>
      <c r="D8917" s="6">
        <f t="shared" si="140"/>
        <v>0</v>
      </c>
    </row>
    <row r="8918" spans="3:4" ht="15" x14ac:dyDescent="0.25">
      <c r="C8918" s="8" t="e">
        <f>VLOOKUP(A:A,'ITEM LIST'!A:C,3,0)</f>
        <v>#N/A</v>
      </c>
      <c r="D8918" s="6">
        <f t="shared" si="140"/>
        <v>0</v>
      </c>
    </row>
    <row r="8919" spans="3:4" ht="15" x14ac:dyDescent="0.25">
      <c r="C8919" s="8" t="e">
        <f>VLOOKUP(A:A,'ITEM LIST'!A:C,3,0)</f>
        <v>#N/A</v>
      </c>
      <c r="D8919" s="6">
        <f t="shared" si="140"/>
        <v>0</v>
      </c>
    </row>
    <row r="8920" spans="3:4" ht="15" x14ac:dyDescent="0.25">
      <c r="C8920" s="8" t="e">
        <f>VLOOKUP(A:A,'ITEM LIST'!A:C,3,0)</f>
        <v>#N/A</v>
      </c>
      <c r="D8920" s="6">
        <f t="shared" si="140"/>
        <v>0</v>
      </c>
    </row>
    <row r="8921" spans="3:4" ht="15" x14ac:dyDescent="0.25">
      <c r="C8921" s="8" t="e">
        <f>VLOOKUP(A:A,'ITEM LIST'!A:C,3,0)</f>
        <v>#N/A</v>
      </c>
      <c r="D8921" s="6">
        <f t="shared" si="140"/>
        <v>0</v>
      </c>
    </row>
    <row r="8922" spans="3:4" ht="15" x14ac:dyDescent="0.25">
      <c r="C8922" s="8" t="e">
        <f>VLOOKUP(A:A,'ITEM LIST'!A:C,3,0)</f>
        <v>#N/A</v>
      </c>
      <c r="D8922" s="6">
        <f t="shared" si="140"/>
        <v>0</v>
      </c>
    </row>
    <row r="8923" spans="3:4" ht="15" x14ac:dyDescent="0.25">
      <c r="C8923" s="8" t="e">
        <f>VLOOKUP(A:A,'ITEM LIST'!A:C,3,0)</f>
        <v>#N/A</v>
      </c>
      <c r="D8923" s="6">
        <f t="shared" si="140"/>
        <v>0</v>
      </c>
    </row>
    <row r="8924" spans="3:4" ht="15" x14ac:dyDescent="0.25">
      <c r="C8924" s="8" t="e">
        <f>VLOOKUP(A:A,'ITEM LIST'!A:C,3,0)</f>
        <v>#N/A</v>
      </c>
      <c r="D8924" s="6">
        <f t="shared" si="140"/>
        <v>0</v>
      </c>
    </row>
    <row r="8925" spans="3:4" ht="15" x14ac:dyDescent="0.25">
      <c r="C8925" s="8" t="e">
        <f>VLOOKUP(A:A,'ITEM LIST'!A:C,3,0)</f>
        <v>#N/A</v>
      </c>
      <c r="D8925" s="6">
        <f t="shared" si="140"/>
        <v>0</v>
      </c>
    </row>
    <row r="8926" spans="3:4" ht="15" x14ac:dyDescent="0.25">
      <c r="C8926" s="8" t="e">
        <f>VLOOKUP(A:A,'ITEM LIST'!A:C,3,0)</f>
        <v>#N/A</v>
      </c>
      <c r="D8926" s="6">
        <f t="shared" si="140"/>
        <v>0</v>
      </c>
    </row>
    <row r="8927" spans="3:4" ht="15" x14ac:dyDescent="0.25">
      <c r="C8927" s="8" t="e">
        <f>VLOOKUP(A:A,'ITEM LIST'!A:C,3,0)</f>
        <v>#N/A</v>
      </c>
      <c r="D8927" s="6">
        <f t="shared" si="140"/>
        <v>0</v>
      </c>
    </row>
    <row r="8928" spans="3:4" ht="15" x14ac:dyDescent="0.25">
      <c r="C8928" s="8" t="e">
        <f>VLOOKUP(A:A,'ITEM LIST'!A:C,3,0)</f>
        <v>#N/A</v>
      </c>
      <c r="D8928" s="6">
        <f t="shared" si="140"/>
        <v>0</v>
      </c>
    </row>
    <row r="8929" spans="3:4" ht="15" x14ac:dyDescent="0.25">
      <c r="C8929" s="8" t="e">
        <f>VLOOKUP(A:A,'ITEM LIST'!A:C,3,0)</f>
        <v>#N/A</v>
      </c>
      <c r="D8929" s="6">
        <f t="shared" si="140"/>
        <v>0</v>
      </c>
    </row>
    <row r="8930" spans="3:4" ht="15" x14ac:dyDescent="0.25">
      <c r="C8930" s="8" t="e">
        <f>VLOOKUP(A:A,'ITEM LIST'!A:C,3,0)</f>
        <v>#N/A</v>
      </c>
      <c r="D8930" s="6">
        <f t="shared" si="140"/>
        <v>0</v>
      </c>
    </row>
    <row r="8931" spans="3:4" ht="15" x14ac:dyDescent="0.25">
      <c r="C8931" s="8" t="e">
        <f>VLOOKUP(A:A,'ITEM LIST'!A:C,3,0)</f>
        <v>#N/A</v>
      </c>
      <c r="D8931" s="6">
        <f t="shared" si="140"/>
        <v>0</v>
      </c>
    </row>
    <row r="8932" spans="3:4" ht="15" x14ac:dyDescent="0.25">
      <c r="C8932" s="8" t="e">
        <f>VLOOKUP(A:A,'ITEM LIST'!A:C,3,0)</f>
        <v>#N/A</v>
      </c>
      <c r="D8932" s="6">
        <f t="shared" si="140"/>
        <v>0</v>
      </c>
    </row>
    <row r="8933" spans="3:4" ht="15" x14ac:dyDescent="0.25">
      <c r="C8933" s="8" t="e">
        <f>VLOOKUP(A:A,'ITEM LIST'!A:C,3,0)</f>
        <v>#N/A</v>
      </c>
      <c r="D8933" s="6">
        <f t="shared" si="140"/>
        <v>0</v>
      </c>
    </row>
    <row r="8934" spans="3:4" ht="15" x14ac:dyDescent="0.25">
      <c r="C8934" s="8" t="e">
        <f>VLOOKUP(A:A,'ITEM LIST'!A:C,3,0)</f>
        <v>#N/A</v>
      </c>
      <c r="D8934" s="6">
        <f t="shared" si="140"/>
        <v>0</v>
      </c>
    </row>
    <row r="8935" spans="3:4" ht="15" x14ac:dyDescent="0.25">
      <c r="C8935" s="8" t="e">
        <f>VLOOKUP(A:A,'ITEM LIST'!A:C,3,0)</f>
        <v>#N/A</v>
      </c>
      <c r="D8935" s="6">
        <f t="shared" si="140"/>
        <v>0</v>
      </c>
    </row>
    <row r="8936" spans="3:4" ht="15" x14ac:dyDescent="0.25">
      <c r="C8936" s="8" t="e">
        <f>VLOOKUP(A:A,'ITEM LIST'!A:C,3,0)</f>
        <v>#N/A</v>
      </c>
      <c r="D8936" s="6">
        <f t="shared" si="140"/>
        <v>0</v>
      </c>
    </row>
    <row r="8937" spans="3:4" ht="15" x14ac:dyDescent="0.25">
      <c r="C8937" s="8" t="e">
        <f>VLOOKUP(A:A,'ITEM LIST'!A:C,3,0)</f>
        <v>#N/A</v>
      </c>
      <c r="D8937" s="6">
        <f t="shared" si="140"/>
        <v>0</v>
      </c>
    </row>
    <row r="8938" spans="3:4" ht="15" x14ac:dyDescent="0.25">
      <c r="C8938" s="8" t="e">
        <f>VLOOKUP(A:A,'ITEM LIST'!A:C,3,0)</f>
        <v>#N/A</v>
      </c>
      <c r="D8938" s="6">
        <f t="shared" si="140"/>
        <v>0</v>
      </c>
    </row>
    <row r="8939" spans="3:4" ht="15" x14ac:dyDescent="0.25">
      <c r="C8939" s="8" t="e">
        <f>VLOOKUP(A:A,'ITEM LIST'!A:C,3,0)</f>
        <v>#N/A</v>
      </c>
      <c r="D8939" s="6">
        <f t="shared" si="140"/>
        <v>0</v>
      </c>
    </row>
    <row r="8940" spans="3:4" ht="15" x14ac:dyDescent="0.25">
      <c r="C8940" s="8" t="e">
        <f>VLOOKUP(A:A,'ITEM LIST'!A:C,3,0)</f>
        <v>#N/A</v>
      </c>
      <c r="D8940" s="6">
        <f t="shared" si="140"/>
        <v>0</v>
      </c>
    </row>
    <row r="8941" spans="3:4" ht="15" x14ac:dyDescent="0.25">
      <c r="C8941" s="8" t="e">
        <f>VLOOKUP(A:A,'ITEM LIST'!A:C,3,0)</f>
        <v>#N/A</v>
      </c>
      <c r="D8941" s="6">
        <f t="shared" si="140"/>
        <v>0</v>
      </c>
    </row>
    <row r="8942" spans="3:4" ht="15" x14ac:dyDescent="0.25">
      <c r="C8942" s="8" t="e">
        <f>VLOOKUP(A:A,'ITEM LIST'!A:C,3,0)</f>
        <v>#N/A</v>
      </c>
      <c r="D8942" s="6">
        <f t="shared" si="140"/>
        <v>0</v>
      </c>
    </row>
    <row r="8943" spans="3:4" ht="15" x14ac:dyDescent="0.25">
      <c r="C8943" s="8" t="e">
        <f>VLOOKUP(A:A,'ITEM LIST'!A:C,3,0)</f>
        <v>#N/A</v>
      </c>
      <c r="D8943" s="6">
        <f t="shared" si="140"/>
        <v>0</v>
      </c>
    </row>
    <row r="8944" spans="3:4" ht="15" x14ac:dyDescent="0.25">
      <c r="C8944" s="8" t="e">
        <f>VLOOKUP(A:A,'ITEM LIST'!A:C,3,0)</f>
        <v>#N/A</v>
      </c>
      <c r="D8944" s="6">
        <f t="shared" si="140"/>
        <v>0</v>
      </c>
    </row>
    <row r="8945" spans="3:4" ht="15" x14ac:dyDescent="0.25">
      <c r="C8945" s="8" t="e">
        <f>VLOOKUP(A:A,'ITEM LIST'!A:C,3,0)</f>
        <v>#N/A</v>
      </c>
      <c r="D8945" s="6">
        <f t="shared" si="140"/>
        <v>0</v>
      </c>
    </row>
    <row r="8946" spans="3:4" ht="15" x14ac:dyDescent="0.25">
      <c r="C8946" s="8" t="e">
        <f>VLOOKUP(A:A,'ITEM LIST'!A:C,3,0)</f>
        <v>#N/A</v>
      </c>
      <c r="D8946" s="6">
        <f t="shared" si="140"/>
        <v>0</v>
      </c>
    </row>
    <row r="8947" spans="3:4" ht="15" x14ac:dyDescent="0.25">
      <c r="C8947" s="8" t="e">
        <f>VLOOKUP(A:A,'ITEM LIST'!A:C,3,0)</f>
        <v>#N/A</v>
      </c>
      <c r="D8947" s="6">
        <f t="shared" si="140"/>
        <v>0</v>
      </c>
    </row>
    <row r="8948" spans="3:4" ht="15" x14ac:dyDescent="0.25">
      <c r="C8948" s="8" t="e">
        <f>VLOOKUP(A:A,'ITEM LIST'!A:C,3,0)</f>
        <v>#N/A</v>
      </c>
      <c r="D8948" s="6">
        <f t="shared" si="140"/>
        <v>0</v>
      </c>
    </row>
    <row r="8949" spans="3:4" ht="15" x14ac:dyDescent="0.25">
      <c r="C8949" s="8" t="e">
        <f>VLOOKUP(A:A,'ITEM LIST'!A:C,3,0)</f>
        <v>#N/A</v>
      </c>
      <c r="D8949" s="6">
        <f t="shared" si="140"/>
        <v>0</v>
      </c>
    </row>
    <row r="8950" spans="3:4" ht="15" x14ac:dyDescent="0.25">
      <c r="C8950" s="8" t="e">
        <f>VLOOKUP(A:A,'ITEM LIST'!A:C,3,0)</f>
        <v>#N/A</v>
      </c>
      <c r="D8950" s="6">
        <f t="shared" si="140"/>
        <v>0</v>
      </c>
    </row>
    <row r="8951" spans="3:4" ht="15" x14ac:dyDescent="0.25">
      <c r="C8951" s="8" t="e">
        <f>VLOOKUP(A:A,'ITEM LIST'!A:C,3,0)</f>
        <v>#N/A</v>
      </c>
      <c r="D8951" s="6">
        <f t="shared" si="140"/>
        <v>0</v>
      </c>
    </row>
    <row r="8952" spans="3:4" ht="15" x14ac:dyDescent="0.25">
      <c r="C8952" s="8" t="e">
        <f>VLOOKUP(A:A,'ITEM LIST'!A:C,3,0)</f>
        <v>#N/A</v>
      </c>
      <c r="D8952" s="6">
        <f t="shared" si="140"/>
        <v>0</v>
      </c>
    </row>
    <row r="8953" spans="3:4" ht="15" x14ac:dyDescent="0.25">
      <c r="C8953" s="8" t="e">
        <f>VLOOKUP(A:A,'ITEM LIST'!A:C,3,0)</f>
        <v>#N/A</v>
      </c>
      <c r="D8953" s="6">
        <f t="shared" si="140"/>
        <v>0</v>
      </c>
    </row>
    <row r="8954" spans="3:4" ht="15" x14ac:dyDescent="0.25">
      <c r="C8954" s="8" t="e">
        <f>VLOOKUP(A:A,'ITEM LIST'!A:C,3,0)</f>
        <v>#N/A</v>
      </c>
      <c r="D8954" s="6">
        <f t="shared" si="140"/>
        <v>0</v>
      </c>
    </row>
    <row r="8955" spans="3:4" ht="15" x14ac:dyDescent="0.25">
      <c r="C8955" s="8" t="e">
        <f>VLOOKUP(A:A,'ITEM LIST'!A:C,3,0)</f>
        <v>#N/A</v>
      </c>
      <c r="D8955" s="6">
        <f t="shared" si="140"/>
        <v>0</v>
      </c>
    </row>
    <row r="8956" spans="3:4" ht="15" x14ac:dyDescent="0.25">
      <c r="C8956" s="8" t="e">
        <f>VLOOKUP(A:A,'ITEM LIST'!A:C,3,0)</f>
        <v>#N/A</v>
      </c>
      <c r="D8956" s="6">
        <f t="shared" si="140"/>
        <v>0</v>
      </c>
    </row>
    <row r="8957" spans="3:4" ht="15" x14ac:dyDescent="0.25">
      <c r="C8957" s="8" t="e">
        <f>VLOOKUP(A:A,'ITEM LIST'!A:C,3,0)</f>
        <v>#N/A</v>
      </c>
      <c r="D8957" s="6">
        <f t="shared" si="140"/>
        <v>0</v>
      </c>
    </row>
    <row r="8958" spans="3:4" ht="15" x14ac:dyDescent="0.25">
      <c r="C8958" s="8" t="e">
        <f>VLOOKUP(A:A,'ITEM LIST'!A:C,3,0)</f>
        <v>#N/A</v>
      </c>
      <c r="D8958" s="6">
        <f t="shared" si="140"/>
        <v>0</v>
      </c>
    </row>
    <row r="8959" spans="3:4" ht="15" x14ac:dyDescent="0.25">
      <c r="C8959" s="8" t="e">
        <f>VLOOKUP(A:A,'ITEM LIST'!A:C,3,0)</f>
        <v>#N/A</v>
      </c>
      <c r="D8959" s="6">
        <f t="shared" si="140"/>
        <v>0</v>
      </c>
    </row>
    <row r="8960" spans="3:4" ht="15" x14ac:dyDescent="0.25">
      <c r="C8960" s="8" t="e">
        <f>VLOOKUP(A:A,'ITEM LIST'!A:C,3,0)</f>
        <v>#N/A</v>
      </c>
      <c r="D8960" s="6">
        <f t="shared" si="140"/>
        <v>0</v>
      </c>
    </row>
    <row r="8961" spans="3:4" ht="15" x14ac:dyDescent="0.25">
      <c r="C8961" s="8" t="e">
        <f>VLOOKUP(A:A,'ITEM LIST'!A:C,3,0)</f>
        <v>#N/A</v>
      </c>
      <c r="D8961" s="6">
        <f t="shared" si="140"/>
        <v>0</v>
      </c>
    </row>
    <row r="8962" spans="3:4" ht="15" x14ac:dyDescent="0.25">
      <c r="C8962" s="8" t="e">
        <f>VLOOKUP(A:A,'ITEM LIST'!A:C,3,0)</f>
        <v>#N/A</v>
      </c>
      <c r="D8962" s="6">
        <f t="shared" si="140"/>
        <v>0</v>
      </c>
    </row>
    <row r="8963" spans="3:4" ht="15" x14ac:dyDescent="0.25">
      <c r="C8963" s="8" t="e">
        <f>VLOOKUP(A:A,'ITEM LIST'!A:C,3,0)</f>
        <v>#N/A</v>
      </c>
      <c r="D8963" s="6">
        <f t="shared" si="140"/>
        <v>0</v>
      </c>
    </row>
    <row r="8964" spans="3:4" ht="15" x14ac:dyDescent="0.25">
      <c r="C8964" s="8" t="e">
        <f>VLOOKUP(A:A,'ITEM LIST'!A:C,3,0)</f>
        <v>#N/A</v>
      </c>
      <c r="D8964" s="6">
        <f t="shared" si="140"/>
        <v>0</v>
      </c>
    </row>
    <row r="8965" spans="3:4" ht="15" x14ac:dyDescent="0.25">
      <c r="C8965" s="8" t="e">
        <f>VLOOKUP(A:A,'ITEM LIST'!A:C,3,0)</f>
        <v>#N/A</v>
      </c>
      <c r="D8965" s="6">
        <f t="shared" si="140"/>
        <v>0</v>
      </c>
    </row>
    <row r="8966" spans="3:4" ht="15" x14ac:dyDescent="0.25">
      <c r="C8966" s="8" t="e">
        <f>VLOOKUP(A:A,'ITEM LIST'!A:C,3,0)</f>
        <v>#N/A</v>
      </c>
      <c r="D8966" s="6">
        <f t="shared" ref="D8966:D9029" si="141">B8966</f>
        <v>0</v>
      </c>
    </row>
    <row r="8967" spans="3:4" ht="15" x14ac:dyDescent="0.25">
      <c r="C8967" s="8" t="e">
        <f>VLOOKUP(A:A,'ITEM LIST'!A:C,3,0)</f>
        <v>#N/A</v>
      </c>
      <c r="D8967" s="6">
        <f t="shared" si="141"/>
        <v>0</v>
      </c>
    </row>
    <row r="8968" spans="3:4" ht="15" x14ac:dyDescent="0.25">
      <c r="C8968" s="8" t="e">
        <f>VLOOKUP(A:A,'ITEM LIST'!A:C,3,0)</f>
        <v>#N/A</v>
      </c>
      <c r="D8968" s="6">
        <f t="shared" si="141"/>
        <v>0</v>
      </c>
    </row>
    <row r="8969" spans="3:4" ht="15" x14ac:dyDescent="0.25">
      <c r="C8969" s="8" t="e">
        <f>VLOOKUP(A:A,'ITEM LIST'!A:C,3,0)</f>
        <v>#N/A</v>
      </c>
      <c r="D8969" s="6">
        <f t="shared" si="141"/>
        <v>0</v>
      </c>
    </row>
    <row r="8970" spans="3:4" ht="15" x14ac:dyDescent="0.25">
      <c r="C8970" s="8" t="e">
        <f>VLOOKUP(A:A,'ITEM LIST'!A:C,3,0)</f>
        <v>#N/A</v>
      </c>
      <c r="D8970" s="6">
        <f t="shared" si="141"/>
        <v>0</v>
      </c>
    </row>
    <row r="8971" spans="3:4" ht="15" x14ac:dyDescent="0.25">
      <c r="C8971" s="8" t="e">
        <f>VLOOKUP(A:A,'ITEM LIST'!A:C,3,0)</f>
        <v>#N/A</v>
      </c>
      <c r="D8971" s="6">
        <f t="shared" si="141"/>
        <v>0</v>
      </c>
    </row>
    <row r="8972" spans="3:4" ht="15" x14ac:dyDescent="0.25">
      <c r="C8972" s="8" t="e">
        <f>VLOOKUP(A:A,'ITEM LIST'!A:C,3,0)</f>
        <v>#N/A</v>
      </c>
      <c r="D8972" s="6">
        <f t="shared" si="141"/>
        <v>0</v>
      </c>
    </row>
    <row r="8973" spans="3:4" ht="15" x14ac:dyDescent="0.25">
      <c r="C8973" s="8" t="e">
        <f>VLOOKUP(A:A,'ITEM LIST'!A:C,3,0)</f>
        <v>#N/A</v>
      </c>
      <c r="D8973" s="6">
        <f t="shared" si="141"/>
        <v>0</v>
      </c>
    </row>
    <row r="8974" spans="3:4" ht="15" x14ac:dyDescent="0.25">
      <c r="C8974" s="8" t="e">
        <f>VLOOKUP(A:A,'ITEM LIST'!A:C,3,0)</f>
        <v>#N/A</v>
      </c>
      <c r="D8974" s="6">
        <f t="shared" si="141"/>
        <v>0</v>
      </c>
    </row>
    <row r="8975" spans="3:4" ht="15" x14ac:dyDescent="0.25">
      <c r="C8975" s="8" t="e">
        <f>VLOOKUP(A:A,'ITEM LIST'!A:C,3,0)</f>
        <v>#N/A</v>
      </c>
      <c r="D8975" s="6">
        <f t="shared" si="141"/>
        <v>0</v>
      </c>
    </row>
    <row r="8976" spans="3:4" ht="15" x14ac:dyDescent="0.25">
      <c r="C8976" s="8" t="e">
        <f>VLOOKUP(A:A,'ITEM LIST'!A:C,3,0)</f>
        <v>#N/A</v>
      </c>
      <c r="D8976" s="6">
        <f t="shared" si="141"/>
        <v>0</v>
      </c>
    </row>
    <row r="8977" spans="3:4" ht="15" x14ac:dyDescent="0.25">
      <c r="C8977" s="8" t="e">
        <f>VLOOKUP(A:A,'ITEM LIST'!A:C,3,0)</f>
        <v>#N/A</v>
      </c>
      <c r="D8977" s="6">
        <f t="shared" si="141"/>
        <v>0</v>
      </c>
    </row>
    <row r="8978" spans="3:4" ht="15" x14ac:dyDescent="0.25">
      <c r="C8978" s="8" t="e">
        <f>VLOOKUP(A:A,'ITEM LIST'!A:C,3,0)</f>
        <v>#N/A</v>
      </c>
      <c r="D8978" s="6">
        <f t="shared" si="141"/>
        <v>0</v>
      </c>
    </row>
    <row r="8979" spans="3:4" ht="15" x14ac:dyDescent="0.25">
      <c r="C8979" s="8" t="e">
        <f>VLOOKUP(A:A,'ITEM LIST'!A:C,3,0)</f>
        <v>#N/A</v>
      </c>
      <c r="D8979" s="6">
        <f t="shared" si="141"/>
        <v>0</v>
      </c>
    </row>
    <row r="8980" spans="3:4" ht="15" x14ac:dyDescent="0.25">
      <c r="C8980" s="8" t="e">
        <f>VLOOKUP(A:A,'ITEM LIST'!A:C,3,0)</f>
        <v>#N/A</v>
      </c>
      <c r="D8980" s="6">
        <f t="shared" si="141"/>
        <v>0</v>
      </c>
    </row>
    <row r="8981" spans="3:4" ht="15" x14ac:dyDescent="0.25">
      <c r="C8981" s="8" t="e">
        <f>VLOOKUP(A:A,'ITEM LIST'!A:C,3,0)</f>
        <v>#N/A</v>
      </c>
      <c r="D8981" s="6">
        <f t="shared" si="141"/>
        <v>0</v>
      </c>
    </row>
    <row r="8982" spans="3:4" ht="15" x14ac:dyDescent="0.25">
      <c r="C8982" s="8" t="e">
        <f>VLOOKUP(A:A,'ITEM LIST'!A:C,3,0)</f>
        <v>#N/A</v>
      </c>
      <c r="D8982" s="6">
        <f t="shared" si="141"/>
        <v>0</v>
      </c>
    </row>
    <row r="8983" spans="3:4" ht="15" x14ac:dyDescent="0.25">
      <c r="C8983" s="8" t="e">
        <f>VLOOKUP(A:A,'ITEM LIST'!A:C,3,0)</f>
        <v>#N/A</v>
      </c>
      <c r="D8983" s="6">
        <f t="shared" si="141"/>
        <v>0</v>
      </c>
    </row>
    <row r="8984" spans="3:4" ht="15" x14ac:dyDescent="0.25">
      <c r="C8984" s="8" t="e">
        <f>VLOOKUP(A:A,'ITEM LIST'!A:C,3,0)</f>
        <v>#N/A</v>
      </c>
      <c r="D8984" s="6">
        <f t="shared" si="141"/>
        <v>0</v>
      </c>
    </row>
    <row r="8985" spans="3:4" ht="15" x14ac:dyDescent="0.25">
      <c r="C8985" s="8" t="e">
        <f>VLOOKUP(A:A,'ITEM LIST'!A:C,3,0)</f>
        <v>#N/A</v>
      </c>
      <c r="D8985" s="6">
        <f t="shared" si="141"/>
        <v>0</v>
      </c>
    </row>
    <row r="8986" spans="3:4" ht="15" x14ac:dyDescent="0.25">
      <c r="C8986" s="8" t="e">
        <f>VLOOKUP(A:A,'ITEM LIST'!A:C,3,0)</f>
        <v>#N/A</v>
      </c>
      <c r="D8986" s="6">
        <f t="shared" si="141"/>
        <v>0</v>
      </c>
    </row>
    <row r="8987" spans="3:4" ht="15" x14ac:dyDescent="0.25">
      <c r="C8987" s="8" t="e">
        <f>VLOOKUP(A:A,'ITEM LIST'!A:C,3,0)</f>
        <v>#N/A</v>
      </c>
      <c r="D8987" s="6">
        <f t="shared" si="141"/>
        <v>0</v>
      </c>
    </row>
    <row r="8988" spans="3:4" ht="15" x14ac:dyDescent="0.25">
      <c r="C8988" s="8" t="e">
        <f>VLOOKUP(A:A,'ITEM LIST'!A:C,3,0)</f>
        <v>#N/A</v>
      </c>
      <c r="D8988" s="6">
        <f t="shared" si="141"/>
        <v>0</v>
      </c>
    </row>
    <row r="8989" spans="3:4" ht="15" x14ac:dyDescent="0.25">
      <c r="C8989" s="8" t="e">
        <f>VLOOKUP(A:A,'ITEM LIST'!A:C,3,0)</f>
        <v>#N/A</v>
      </c>
      <c r="D8989" s="6">
        <f t="shared" si="141"/>
        <v>0</v>
      </c>
    </row>
    <row r="8990" spans="3:4" ht="15" x14ac:dyDescent="0.25">
      <c r="C8990" s="8" t="e">
        <f>VLOOKUP(A:A,'ITEM LIST'!A:C,3,0)</f>
        <v>#N/A</v>
      </c>
      <c r="D8990" s="6">
        <f t="shared" si="141"/>
        <v>0</v>
      </c>
    </row>
    <row r="8991" spans="3:4" ht="15" x14ac:dyDescent="0.25">
      <c r="C8991" s="8" t="e">
        <f>VLOOKUP(A:A,'ITEM LIST'!A:C,3,0)</f>
        <v>#N/A</v>
      </c>
      <c r="D8991" s="6">
        <f t="shared" si="141"/>
        <v>0</v>
      </c>
    </row>
    <row r="8992" spans="3:4" ht="15" x14ac:dyDescent="0.25">
      <c r="C8992" s="8" t="e">
        <f>VLOOKUP(A:A,'ITEM LIST'!A:C,3,0)</f>
        <v>#N/A</v>
      </c>
      <c r="D8992" s="6">
        <f t="shared" si="141"/>
        <v>0</v>
      </c>
    </row>
    <row r="8993" spans="3:4" ht="15" x14ac:dyDescent="0.25">
      <c r="C8993" s="8" t="e">
        <f>VLOOKUP(A:A,'ITEM LIST'!A:C,3,0)</f>
        <v>#N/A</v>
      </c>
      <c r="D8993" s="6">
        <f t="shared" si="141"/>
        <v>0</v>
      </c>
    </row>
    <row r="8994" spans="3:4" ht="15" x14ac:dyDescent="0.25">
      <c r="C8994" s="8" t="e">
        <f>VLOOKUP(A:A,'ITEM LIST'!A:C,3,0)</f>
        <v>#N/A</v>
      </c>
      <c r="D8994" s="6">
        <f t="shared" si="141"/>
        <v>0</v>
      </c>
    </row>
    <row r="8995" spans="3:4" ht="15" x14ac:dyDescent="0.25">
      <c r="C8995" s="8" t="e">
        <f>VLOOKUP(A:A,'ITEM LIST'!A:C,3,0)</f>
        <v>#N/A</v>
      </c>
      <c r="D8995" s="6">
        <f t="shared" si="141"/>
        <v>0</v>
      </c>
    </row>
    <row r="8996" spans="3:4" ht="15" x14ac:dyDescent="0.25">
      <c r="C8996" s="8" t="e">
        <f>VLOOKUP(A:A,'ITEM LIST'!A:C,3,0)</f>
        <v>#N/A</v>
      </c>
      <c r="D8996" s="6">
        <f t="shared" si="141"/>
        <v>0</v>
      </c>
    </row>
    <row r="8997" spans="3:4" ht="15" x14ac:dyDescent="0.25">
      <c r="C8997" s="8" t="e">
        <f>VLOOKUP(A:A,'ITEM LIST'!A:C,3,0)</f>
        <v>#N/A</v>
      </c>
      <c r="D8997" s="6">
        <f t="shared" si="141"/>
        <v>0</v>
      </c>
    </row>
    <row r="8998" spans="3:4" ht="15" x14ac:dyDescent="0.25">
      <c r="C8998" s="8" t="e">
        <f>VLOOKUP(A:A,'ITEM LIST'!A:C,3,0)</f>
        <v>#N/A</v>
      </c>
      <c r="D8998" s="6">
        <f t="shared" si="141"/>
        <v>0</v>
      </c>
    </row>
    <row r="8999" spans="3:4" ht="15" x14ac:dyDescent="0.25">
      <c r="C8999" s="8" t="e">
        <f>VLOOKUP(A:A,'ITEM LIST'!A:C,3,0)</f>
        <v>#N/A</v>
      </c>
      <c r="D8999" s="6">
        <f t="shared" si="141"/>
        <v>0</v>
      </c>
    </row>
    <row r="9000" spans="3:4" ht="15" x14ac:dyDescent="0.25">
      <c r="C9000" s="8" t="e">
        <f>VLOOKUP(A:A,'ITEM LIST'!A:C,3,0)</f>
        <v>#N/A</v>
      </c>
      <c r="D9000" s="6">
        <f t="shared" si="141"/>
        <v>0</v>
      </c>
    </row>
    <row r="9001" spans="3:4" ht="15" x14ac:dyDescent="0.25">
      <c r="C9001" s="8" t="e">
        <f>VLOOKUP(A:A,'ITEM LIST'!A:C,3,0)</f>
        <v>#N/A</v>
      </c>
      <c r="D9001" s="6">
        <f t="shared" si="141"/>
        <v>0</v>
      </c>
    </row>
    <row r="9002" spans="3:4" ht="15" x14ac:dyDescent="0.25">
      <c r="C9002" s="8" t="e">
        <f>VLOOKUP(A:A,'ITEM LIST'!A:C,3,0)</f>
        <v>#N/A</v>
      </c>
      <c r="D9002" s="6">
        <f t="shared" si="141"/>
        <v>0</v>
      </c>
    </row>
    <row r="9003" spans="3:4" ht="15" x14ac:dyDescent="0.25">
      <c r="C9003" s="8" t="e">
        <f>VLOOKUP(A:A,'ITEM LIST'!A:C,3,0)</f>
        <v>#N/A</v>
      </c>
      <c r="D9003" s="6">
        <f t="shared" si="141"/>
        <v>0</v>
      </c>
    </row>
    <row r="9004" spans="3:4" ht="15" x14ac:dyDescent="0.25">
      <c r="C9004" s="8" t="e">
        <f>VLOOKUP(A:A,'ITEM LIST'!A:C,3,0)</f>
        <v>#N/A</v>
      </c>
      <c r="D9004" s="6">
        <f t="shared" si="141"/>
        <v>0</v>
      </c>
    </row>
    <row r="9005" spans="3:4" ht="15" x14ac:dyDescent="0.25">
      <c r="C9005" s="8" t="e">
        <f>VLOOKUP(A:A,'ITEM LIST'!A:C,3,0)</f>
        <v>#N/A</v>
      </c>
      <c r="D9005" s="6">
        <f t="shared" si="141"/>
        <v>0</v>
      </c>
    </row>
    <row r="9006" spans="3:4" ht="15" x14ac:dyDescent="0.25">
      <c r="C9006" s="8" t="e">
        <f>VLOOKUP(A:A,'ITEM LIST'!A:C,3,0)</f>
        <v>#N/A</v>
      </c>
      <c r="D9006" s="6">
        <f t="shared" si="141"/>
        <v>0</v>
      </c>
    </row>
    <row r="9007" spans="3:4" ht="15" x14ac:dyDescent="0.25">
      <c r="C9007" s="8" t="e">
        <f>VLOOKUP(A:A,'ITEM LIST'!A:C,3,0)</f>
        <v>#N/A</v>
      </c>
      <c r="D9007" s="6">
        <f t="shared" si="141"/>
        <v>0</v>
      </c>
    </row>
    <row r="9008" spans="3:4" ht="15" x14ac:dyDescent="0.25">
      <c r="C9008" s="8" t="e">
        <f>VLOOKUP(A:A,'ITEM LIST'!A:C,3,0)</f>
        <v>#N/A</v>
      </c>
      <c r="D9008" s="6">
        <f t="shared" si="141"/>
        <v>0</v>
      </c>
    </row>
    <row r="9009" spans="3:4" ht="15" x14ac:dyDescent="0.25">
      <c r="C9009" s="8" t="e">
        <f>VLOOKUP(A:A,'ITEM LIST'!A:C,3,0)</f>
        <v>#N/A</v>
      </c>
      <c r="D9009" s="6">
        <f t="shared" si="141"/>
        <v>0</v>
      </c>
    </row>
    <row r="9010" spans="3:4" ht="15" x14ac:dyDescent="0.25">
      <c r="C9010" s="8" t="e">
        <f>VLOOKUP(A:A,'ITEM LIST'!A:C,3,0)</f>
        <v>#N/A</v>
      </c>
      <c r="D9010" s="6">
        <f t="shared" si="141"/>
        <v>0</v>
      </c>
    </row>
    <row r="9011" spans="3:4" ht="15" x14ac:dyDescent="0.25">
      <c r="C9011" s="8" t="e">
        <f>VLOOKUP(A:A,'ITEM LIST'!A:C,3,0)</f>
        <v>#N/A</v>
      </c>
      <c r="D9011" s="6">
        <f t="shared" si="141"/>
        <v>0</v>
      </c>
    </row>
    <row r="9012" spans="3:4" ht="15" x14ac:dyDescent="0.25">
      <c r="C9012" s="8" t="e">
        <f>VLOOKUP(A:A,'ITEM LIST'!A:C,3,0)</f>
        <v>#N/A</v>
      </c>
      <c r="D9012" s="6">
        <f t="shared" si="141"/>
        <v>0</v>
      </c>
    </row>
    <row r="9013" spans="3:4" ht="15" x14ac:dyDescent="0.25">
      <c r="C9013" s="8" t="e">
        <f>VLOOKUP(A:A,'ITEM LIST'!A:C,3,0)</f>
        <v>#N/A</v>
      </c>
      <c r="D9013" s="6">
        <f t="shared" si="141"/>
        <v>0</v>
      </c>
    </row>
    <row r="9014" spans="3:4" ht="15" x14ac:dyDescent="0.25">
      <c r="C9014" s="8" t="e">
        <f>VLOOKUP(A:A,'ITEM LIST'!A:C,3,0)</f>
        <v>#N/A</v>
      </c>
      <c r="D9014" s="6">
        <f t="shared" si="141"/>
        <v>0</v>
      </c>
    </row>
    <row r="9015" spans="3:4" ht="15" x14ac:dyDescent="0.25">
      <c r="C9015" s="8" t="e">
        <f>VLOOKUP(A:A,'ITEM LIST'!A:C,3,0)</f>
        <v>#N/A</v>
      </c>
      <c r="D9015" s="6">
        <f t="shared" si="141"/>
        <v>0</v>
      </c>
    </row>
    <row r="9016" spans="3:4" ht="15" x14ac:dyDescent="0.25">
      <c r="C9016" s="8" t="e">
        <f>VLOOKUP(A:A,'ITEM LIST'!A:C,3,0)</f>
        <v>#N/A</v>
      </c>
      <c r="D9016" s="6">
        <f t="shared" si="141"/>
        <v>0</v>
      </c>
    </row>
    <row r="9017" spans="3:4" ht="15" x14ac:dyDescent="0.25">
      <c r="C9017" s="8" t="e">
        <f>VLOOKUP(A:A,'ITEM LIST'!A:C,3,0)</f>
        <v>#N/A</v>
      </c>
      <c r="D9017" s="6">
        <f t="shared" si="141"/>
        <v>0</v>
      </c>
    </row>
    <row r="9018" spans="3:4" ht="15" x14ac:dyDescent="0.25">
      <c r="C9018" s="8" t="e">
        <f>VLOOKUP(A:A,'ITEM LIST'!A:C,3,0)</f>
        <v>#N/A</v>
      </c>
      <c r="D9018" s="6">
        <f t="shared" si="141"/>
        <v>0</v>
      </c>
    </row>
    <row r="9019" spans="3:4" ht="15" x14ac:dyDescent="0.25">
      <c r="C9019" s="8" t="e">
        <f>VLOOKUP(A:A,'ITEM LIST'!A:C,3,0)</f>
        <v>#N/A</v>
      </c>
      <c r="D9019" s="6">
        <f t="shared" si="141"/>
        <v>0</v>
      </c>
    </row>
    <row r="9020" spans="3:4" ht="15" x14ac:dyDescent="0.25">
      <c r="C9020" s="8" t="e">
        <f>VLOOKUP(A:A,'ITEM LIST'!A:C,3,0)</f>
        <v>#N/A</v>
      </c>
      <c r="D9020" s="6">
        <f t="shared" si="141"/>
        <v>0</v>
      </c>
    </row>
    <row r="9021" spans="3:4" ht="15" x14ac:dyDescent="0.25">
      <c r="C9021" s="8" t="e">
        <f>VLOOKUP(A:A,'ITEM LIST'!A:C,3,0)</f>
        <v>#N/A</v>
      </c>
      <c r="D9021" s="6">
        <f t="shared" si="141"/>
        <v>0</v>
      </c>
    </row>
    <row r="9022" spans="3:4" ht="15" x14ac:dyDescent="0.25">
      <c r="C9022" s="8" t="e">
        <f>VLOOKUP(A:A,'ITEM LIST'!A:C,3,0)</f>
        <v>#N/A</v>
      </c>
      <c r="D9022" s="6">
        <f t="shared" si="141"/>
        <v>0</v>
      </c>
    </row>
    <row r="9023" spans="3:4" ht="15" x14ac:dyDescent="0.25">
      <c r="C9023" s="8" t="e">
        <f>VLOOKUP(A:A,'ITEM LIST'!A:C,3,0)</f>
        <v>#N/A</v>
      </c>
      <c r="D9023" s="6">
        <f t="shared" si="141"/>
        <v>0</v>
      </c>
    </row>
    <row r="9024" spans="3:4" ht="15" x14ac:dyDescent="0.25">
      <c r="C9024" s="8" t="e">
        <f>VLOOKUP(A:A,'ITEM LIST'!A:C,3,0)</f>
        <v>#N/A</v>
      </c>
      <c r="D9024" s="6">
        <f t="shared" si="141"/>
        <v>0</v>
      </c>
    </row>
    <row r="9025" spans="3:4" ht="15" x14ac:dyDescent="0.25">
      <c r="C9025" s="8" t="e">
        <f>VLOOKUP(A:A,'ITEM LIST'!A:C,3,0)</f>
        <v>#N/A</v>
      </c>
      <c r="D9025" s="6">
        <f t="shared" si="141"/>
        <v>0</v>
      </c>
    </row>
    <row r="9026" spans="3:4" ht="15" x14ac:dyDescent="0.25">
      <c r="C9026" s="8" t="e">
        <f>VLOOKUP(A:A,'ITEM LIST'!A:C,3,0)</f>
        <v>#N/A</v>
      </c>
      <c r="D9026" s="6">
        <f t="shared" si="141"/>
        <v>0</v>
      </c>
    </row>
    <row r="9027" spans="3:4" ht="15" x14ac:dyDescent="0.25">
      <c r="C9027" s="8" t="e">
        <f>VLOOKUP(A:A,'ITEM LIST'!A:C,3,0)</f>
        <v>#N/A</v>
      </c>
      <c r="D9027" s="6">
        <f t="shared" si="141"/>
        <v>0</v>
      </c>
    </row>
    <row r="9028" spans="3:4" ht="15" x14ac:dyDescent="0.25">
      <c r="C9028" s="8" t="e">
        <f>VLOOKUP(A:A,'ITEM LIST'!A:C,3,0)</f>
        <v>#N/A</v>
      </c>
      <c r="D9028" s="6">
        <f t="shared" si="141"/>
        <v>0</v>
      </c>
    </row>
    <row r="9029" spans="3:4" ht="15" x14ac:dyDescent="0.25">
      <c r="C9029" s="8" t="e">
        <f>VLOOKUP(A:A,'ITEM LIST'!A:C,3,0)</f>
        <v>#N/A</v>
      </c>
      <c r="D9029" s="6">
        <f t="shared" si="141"/>
        <v>0</v>
      </c>
    </row>
    <row r="9030" spans="3:4" ht="15" x14ac:dyDescent="0.25">
      <c r="C9030" s="8" t="e">
        <f>VLOOKUP(A:A,'ITEM LIST'!A:C,3,0)</f>
        <v>#N/A</v>
      </c>
      <c r="D9030" s="6">
        <f t="shared" ref="D9030:D9093" si="142">B9030</f>
        <v>0</v>
      </c>
    </row>
    <row r="9031" spans="3:4" ht="15" x14ac:dyDescent="0.25">
      <c r="C9031" s="8" t="e">
        <f>VLOOKUP(A:A,'ITEM LIST'!A:C,3,0)</f>
        <v>#N/A</v>
      </c>
      <c r="D9031" s="6">
        <f t="shared" si="142"/>
        <v>0</v>
      </c>
    </row>
    <row r="9032" spans="3:4" ht="15" x14ac:dyDescent="0.25">
      <c r="C9032" s="8" t="e">
        <f>VLOOKUP(A:A,'ITEM LIST'!A:C,3,0)</f>
        <v>#N/A</v>
      </c>
      <c r="D9032" s="6">
        <f t="shared" si="142"/>
        <v>0</v>
      </c>
    </row>
    <row r="9033" spans="3:4" ht="15" x14ac:dyDescent="0.25">
      <c r="C9033" s="8" t="e">
        <f>VLOOKUP(A:A,'ITEM LIST'!A:C,3,0)</f>
        <v>#N/A</v>
      </c>
      <c r="D9033" s="6">
        <f t="shared" si="142"/>
        <v>0</v>
      </c>
    </row>
    <row r="9034" spans="3:4" ht="15" x14ac:dyDescent="0.25">
      <c r="C9034" s="8" t="e">
        <f>VLOOKUP(A:A,'ITEM LIST'!A:C,3,0)</f>
        <v>#N/A</v>
      </c>
      <c r="D9034" s="6">
        <f t="shared" si="142"/>
        <v>0</v>
      </c>
    </row>
    <row r="9035" spans="3:4" ht="15" x14ac:dyDescent="0.25">
      <c r="C9035" s="8" t="e">
        <f>VLOOKUP(A:A,'ITEM LIST'!A:C,3,0)</f>
        <v>#N/A</v>
      </c>
      <c r="D9035" s="6">
        <f t="shared" si="142"/>
        <v>0</v>
      </c>
    </row>
    <row r="9036" spans="3:4" ht="15" x14ac:dyDescent="0.25">
      <c r="C9036" s="8" t="e">
        <f>VLOOKUP(A:A,'ITEM LIST'!A:C,3,0)</f>
        <v>#N/A</v>
      </c>
      <c r="D9036" s="6">
        <f t="shared" si="142"/>
        <v>0</v>
      </c>
    </row>
    <row r="9037" spans="3:4" ht="15" x14ac:dyDescent="0.25">
      <c r="C9037" s="8" t="e">
        <f>VLOOKUP(A:A,'ITEM LIST'!A:C,3,0)</f>
        <v>#N/A</v>
      </c>
      <c r="D9037" s="6">
        <f t="shared" si="142"/>
        <v>0</v>
      </c>
    </row>
    <row r="9038" spans="3:4" ht="15" x14ac:dyDescent="0.25">
      <c r="C9038" s="8" t="e">
        <f>VLOOKUP(A:A,'ITEM LIST'!A:C,3,0)</f>
        <v>#N/A</v>
      </c>
      <c r="D9038" s="6">
        <f t="shared" si="142"/>
        <v>0</v>
      </c>
    </row>
    <row r="9039" spans="3:4" ht="15" x14ac:dyDescent="0.25">
      <c r="C9039" s="8" t="e">
        <f>VLOOKUP(A:A,'ITEM LIST'!A:C,3,0)</f>
        <v>#N/A</v>
      </c>
      <c r="D9039" s="6">
        <f t="shared" si="142"/>
        <v>0</v>
      </c>
    </row>
    <row r="9040" spans="3:4" ht="15" x14ac:dyDescent="0.25">
      <c r="C9040" s="8" t="e">
        <f>VLOOKUP(A:A,'ITEM LIST'!A:C,3,0)</f>
        <v>#N/A</v>
      </c>
      <c r="D9040" s="6">
        <f t="shared" si="142"/>
        <v>0</v>
      </c>
    </row>
    <row r="9041" spans="3:4" ht="15" x14ac:dyDescent="0.25">
      <c r="C9041" s="8" t="e">
        <f>VLOOKUP(A:A,'ITEM LIST'!A:C,3,0)</f>
        <v>#N/A</v>
      </c>
      <c r="D9041" s="6">
        <f t="shared" si="142"/>
        <v>0</v>
      </c>
    </row>
    <row r="9042" spans="3:4" ht="15" x14ac:dyDescent="0.25">
      <c r="C9042" s="8" t="e">
        <f>VLOOKUP(A:A,'ITEM LIST'!A:C,3,0)</f>
        <v>#N/A</v>
      </c>
      <c r="D9042" s="6">
        <f t="shared" si="142"/>
        <v>0</v>
      </c>
    </row>
    <row r="9043" spans="3:4" ht="15" x14ac:dyDescent="0.25">
      <c r="C9043" s="8" t="e">
        <f>VLOOKUP(A:A,'ITEM LIST'!A:C,3,0)</f>
        <v>#N/A</v>
      </c>
      <c r="D9043" s="6">
        <f t="shared" si="142"/>
        <v>0</v>
      </c>
    </row>
    <row r="9044" spans="3:4" ht="15" x14ac:dyDescent="0.25">
      <c r="C9044" s="8" t="e">
        <f>VLOOKUP(A:A,'ITEM LIST'!A:C,3,0)</f>
        <v>#N/A</v>
      </c>
      <c r="D9044" s="6">
        <f t="shared" si="142"/>
        <v>0</v>
      </c>
    </row>
    <row r="9045" spans="3:4" ht="15" x14ac:dyDescent="0.25">
      <c r="C9045" s="8" t="e">
        <f>VLOOKUP(A:A,'ITEM LIST'!A:C,3,0)</f>
        <v>#N/A</v>
      </c>
      <c r="D9045" s="6">
        <f t="shared" si="142"/>
        <v>0</v>
      </c>
    </row>
    <row r="9046" spans="3:4" ht="15" x14ac:dyDescent="0.25">
      <c r="C9046" s="8" t="e">
        <f>VLOOKUP(A:A,'ITEM LIST'!A:C,3,0)</f>
        <v>#N/A</v>
      </c>
      <c r="D9046" s="6">
        <f t="shared" si="142"/>
        <v>0</v>
      </c>
    </row>
    <row r="9047" spans="3:4" ht="15" x14ac:dyDescent="0.25">
      <c r="C9047" s="8" t="e">
        <f>VLOOKUP(A:A,'ITEM LIST'!A:C,3,0)</f>
        <v>#N/A</v>
      </c>
      <c r="D9047" s="6">
        <f t="shared" si="142"/>
        <v>0</v>
      </c>
    </row>
    <row r="9048" spans="3:4" ht="15" x14ac:dyDescent="0.25">
      <c r="C9048" s="8" t="e">
        <f>VLOOKUP(A:A,'ITEM LIST'!A:C,3,0)</f>
        <v>#N/A</v>
      </c>
      <c r="D9048" s="6">
        <f t="shared" si="142"/>
        <v>0</v>
      </c>
    </row>
    <row r="9049" spans="3:4" ht="15" x14ac:dyDescent="0.25">
      <c r="C9049" s="8" t="e">
        <f>VLOOKUP(A:A,'ITEM LIST'!A:C,3,0)</f>
        <v>#N/A</v>
      </c>
      <c r="D9049" s="6">
        <f t="shared" si="142"/>
        <v>0</v>
      </c>
    </row>
    <row r="9050" spans="3:4" ht="15" x14ac:dyDescent="0.25">
      <c r="C9050" s="8" t="e">
        <f>VLOOKUP(A:A,'ITEM LIST'!A:C,3,0)</f>
        <v>#N/A</v>
      </c>
      <c r="D9050" s="6">
        <f t="shared" si="142"/>
        <v>0</v>
      </c>
    </row>
    <row r="9051" spans="3:4" ht="15" x14ac:dyDescent="0.25">
      <c r="C9051" s="8" t="e">
        <f>VLOOKUP(A:A,'ITEM LIST'!A:C,3,0)</f>
        <v>#N/A</v>
      </c>
      <c r="D9051" s="6">
        <f t="shared" si="142"/>
        <v>0</v>
      </c>
    </row>
    <row r="9052" spans="3:4" ht="15" x14ac:dyDescent="0.25">
      <c r="C9052" s="8" t="e">
        <f>VLOOKUP(A:A,'ITEM LIST'!A:C,3,0)</f>
        <v>#N/A</v>
      </c>
      <c r="D9052" s="6">
        <f t="shared" si="142"/>
        <v>0</v>
      </c>
    </row>
    <row r="9053" spans="3:4" ht="15" x14ac:dyDescent="0.25">
      <c r="C9053" s="8" t="e">
        <f>VLOOKUP(A:A,'ITEM LIST'!A:C,3,0)</f>
        <v>#N/A</v>
      </c>
      <c r="D9053" s="6">
        <f t="shared" si="142"/>
        <v>0</v>
      </c>
    </row>
    <row r="9054" spans="3:4" ht="15" x14ac:dyDescent="0.25">
      <c r="C9054" s="8" t="e">
        <f>VLOOKUP(A:A,'ITEM LIST'!A:C,3,0)</f>
        <v>#N/A</v>
      </c>
      <c r="D9054" s="6">
        <f t="shared" si="142"/>
        <v>0</v>
      </c>
    </row>
    <row r="9055" spans="3:4" ht="15" x14ac:dyDescent="0.25">
      <c r="C9055" s="8" t="e">
        <f>VLOOKUP(A:A,'ITEM LIST'!A:C,3,0)</f>
        <v>#N/A</v>
      </c>
      <c r="D9055" s="6">
        <f t="shared" si="142"/>
        <v>0</v>
      </c>
    </row>
    <row r="9056" spans="3:4" ht="15" x14ac:dyDescent="0.25">
      <c r="C9056" s="8" t="e">
        <f>VLOOKUP(A:A,'ITEM LIST'!A:C,3,0)</f>
        <v>#N/A</v>
      </c>
      <c r="D9056" s="6">
        <f t="shared" si="142"/>
        <v>0</v>
      </c>
    </row>
    <row r="9057" spans="3:4" ht="15" x14ac:dyDescent="0.25">
      <c r="C9057" s="8" t="e">
        <f>VLOOKUP(A:A,'ITEM LIST'!A:C,3,0)</f>
        <v>#N/A</v>
      </c>
      <c r="D9057" s="6">
        <f t="shared" si="142"/>
        <v>0</v>
      </c>
    </row>
    <row r="9058" spans="3:4" ht="15" x14ac:dyDescent="0.25">
      <c r="C9058" s="8" t="e">
        <f>VLOOKUP(A:A,'ITEM LIST'!A:C,3,0)</f>
        <v>#N/A</v>
      </c>
      <c r="D9058" s="6">
        <f t="shared" si="142"/>
        <v>0</v>
      </c>
    </row>
    <row r="9059" spans="3:4" ht="15" x14ac:dyDescent="0.25">
      <c r="C9059" s="8" t="e">
        <f>VLOOKUP(A:A,'ITEM LIST'!A:C,3,0)</f>
        <v>#N/A</v>
      </c>
      <c r="D9059" s="6">
        <f t="shared" si="142"/>
        <v>0</v>
      </c>
    </row>
    <row r="9060" spans="3:4" ht="15" x14ac:dyDescent="0.25">
      <c r="C9060" s="8" t="e">
        <f>VLOOKUP(A:A,'ITEM LIST'!A:C,3,0)</f>
        <v>#N/A</v>
      </c>
      <c r="D9060" s="6">
        <f t="shared" si="142"/>
        <v>0</v>
      </c>
    </row>
    <row r="9061" spans="3:4" ht="15" x14ac:dyDescent="0.25">
      <c r="C9061" s="8" t="e">
        <f>VLOOKUP(A:A,'ITEM LIST'!A:C,3,0)</f>
        <v>#N/A</v>
      </c>
      <c r="D9061" s="6">
        <f t="shared" si="142"/>
        <v>0</v>
      </c>
    </row>
    <row r="9062" spans="3:4" ht="15" x14ac:dyDescent="0.25">
      <c r="C9062" s="8" t="e">
        <f>VLOOKUP(A:A,'ITEM LIST'!A:C,3,0)</f>
        <v>#N/A</v>
      </c>
      <c r="D9062" s="6">
        <f t="shared" si="142"/>
        <v>0</v>
      </c>
    </row>
    <row r="9063" spans="3:4" ht="15" x14ac:dyDescent="0.25">
      <c r="C9063" s="8" t="e">
        <f>VLOOKUP(A:A,'ITEM LIST'!A:C,3,0)</f>
        <v>#N/A</v>
      </c>
      <c r="D9063" s="6">
        <f t="shared" si="142"/>
        <v>0</v>
      </c>
    </row>
    <row r="9064" spans="3:4" ht="15" x14ac:dyDescent="0.25">
      <c r="C9064" s="8" t="e">
        <f>VLOOKUP(A:A,'ITEM LIST'!A:C,3,0)</f>
        <v>#N/A</v>
      </c>
      <c r="D9064" s="6">
        <f t="shared" si="142"/>
        <v>0</v>
      </c>
    </row>
    <row r="9065" spans="3:4" ht="15" x14ac:dyDescent="0.25">
      <c r="C9065" s="8" t="e">
        <f>VLOOKUP(A:A,'ITEM LIST'!A:C,3,0)</f>
        <v>#N/A</v>
      </c>
      <c r="D9065" s="6">
        <f t="shared" si="142"/>
        <v>0</v>
      </c>
    </row>
    <row r="9066" spans="3:4" ht="15" x14ac:dyDescent="0.25">
      <c r="C9066" s="8" t="e">
        <f>VLOOKUP(A:A,'ITEM LIST'!A:C,3,0)</f>
        <v>#N/A</v>
      </c>
      <c r="D9066" s="6">
        <f t="shared" si="142"/>
        <v>0</v>
      </c>
    </row>
    <row r="9067" spans="3:4" ht="15" x14ac:dyDescent="0.25">
      <c r="C9067" s="8" t="e">
        <f>VLOOKUP(A:A,'ITEM LIST'!A:C,3,0)</f>
        <v>#N/A</v>
      </c>
      <c r="D9067" s="6">
        <f t="shared" si="142"/>
        <v>0</v>
      </c>
    </row>
    <row r="9068" spans="3:4" ht="15" x14ac:dyDescent="0.25">
      <c r="C9068" s="8" t="e">
        <f>VLOOKUP(A:A,'ITEM LIST'!A:C,3,0)</f>
        <v>#N/A</v>
      </c>
      <c r="D9068" s="6">
        <f t="shared" si="142"/>
        <v>0</v>
      </c>
    </row>
    <row r="9069" spans="3:4" ht="15" x14ac:dyDescent="0.25">
      <c r="C9069" s="8" t="e">
        <f>VLOOKUP(A:A,'ITEM LIST'!A:C,3,0)</f>
        <v>#N/A</v>
      </c>
      <c r="D9069" s="6">
        <f t="shared" si="142"/>
        <v>0</v>
      </c>
    </row>
    <row r="9070" spans="3:4" ht="15" x14ac:dyDescent="0.25">
      <c r="C9070" s="8" t="e">
        <f>VLOOKUP(A:A,'ITEM LIST'!A:C,3,0)</f>
        <v>#N/A</v>
      </c>
      <c r="D9070" s="6">
        <f t="shared" si="142"/>
        <v>0</v>
      </c>
    </row>
    <row r="9071" spans="3:4" ht="15" x14ac:dyDescent="0.25">
      <c r="C9071" s="8" t="e">
        <f>VLOOKUP(A:A,'ITEM LIST'!A:C,3,0)</f>
        <v>#N/A</v>
      </c>
      <c r="D9071" s="6">
        <f t="shared" si="142"/>
        <v>0</v>
      </c>
    </row>
    <row r="9072" spans="3:4" ht="15" x14ac:dyDescent="0.25">
      <c r="C9072" s="8" t="e">
        <f>VLOOKUP(A:A,'ITEM LIST'!A:C,3,0)</f>
        <v>#N/A</v>
      </c>
      <c r="D9072" s="6">
        <f t="shared" si="142"/>
        <v>0</v>
      </c>
    </row>
    <row r="9073" spans="3:4" ht="15" x14ac:dyDescent="0.25">
      <c r="C9073" s="8" t="e">
        <f>VLOOKUP(A:A,'ITEM LIST'!A:C,3,0)</f>
        <v>#N/A</v>
      </c>
      <c r="D9073" s="6">
        <f t="shared" si="142"/>
        <v>0</v>
      </c>
    </row>
    <row r="9074" spans="3:4" ht="15" x14ac:dyDescent="0.25">
      <c r="C9074" s="8" t="e">
        <f>VLOOKUP(A:A,'ITEM LIST'!A:C,3,0)</f>
        <v>#N/A</v>
      </c>
      <c r="D9074" s="6">
        <f t="shared" si="142"/>
        <v>0</v>
      </c>
    </row>
    <row r="9075" spans="3:4" ht="15" x14ac:dyDescent="0.25">
      <c r="C9075" s="8" t="e">
        <f>VLOOKUP(A:A,'ITEM LIST'!A:C,3,0)</f>
        <v>#N/A</v>
      </c>
      <c r="D9075" s="6">
        <f t="shared" si="142"/>
        <v>0</v>
      </c>
    </row>
    <row r="9076" spans="3:4" ht="15" x14ac:dyDescent="0.25">
      <c r="C9076" s="8" t="e">
        <f>VLOOKUP(A:A,'ITEM LIST'!A:C,3,0)</f>
        <v>#N/A</v>
      </c>
      <c r="D9076" s="6">
        <f t="shared" si="142"/>
        <v>0</v>
      </c>
    </row>
    <row r="9077" spans="3:4" ht="15" x14ac:dyDescent="0.25">
      <c r="C9077" s="8" t="e">
        <f>VLOOKUP(A:A,'ITEM LIST'!A:C,3,0)</f>
        <v>#N/A</v>
      </c>
      <c r="D9077" s="6">
        <f t="shared" si="142"/>
        <v>0</v>
      </c>
    </row>
    <row r="9078" spans="3:4" ht="15" x14ac:dyDescent="0.25">
      <c r="C9078" s="8" t="e">
        <f>VLOOKUP(A:A,'ITEM LIST'!A:C,3,0)</f>
        <v>#N/A</v>
      </c>
      <c r="D9078" s="6">
        <f t="shared" si="142"/>
        <v>0</v>
      </c>
    </row>
    <row r="9079" spans="3:4" ht="15" x14ac:dyDescent="0.25">
      <c r="C9079" s="8" t="e">
        <f>VLOOKUP(A:A,'ITEM LIST'!A:C,3,0)</f>
        <v>#N/A</v>
      </c>
      <c r="D9079" s="6">
        <f t="shared" si="142"/>
        <v>0</v>
      </c>
    </row>
    <row r="9080" spans="3:4" ht="15" x14ac:dyDescent="0.25">
      <c r="C9080" s="8" t="e">
        <f>VLOOKUP(A:A,'ITEM LIST'!A:C,3,0)</f>
        <v>#N/A</v>
      </c>
      <c r="D9080" s="6">
        <f t="shared" si="142"/>
        <v>0</v>
      </c>
    </row>
    <row r="9081" spans="3:4" ht="15" x14ac:dyDescent="0.25">
      <c r="C9081" s="8" t="e">
        <f>VLOOKUP(A:A,'ITEM LIST'!A:C,3,0)</f>
        <v>#N/A</v>
      </c>
      <c r="D9081" s="6">
        <f t="shared" si="142"/>
        <v>0</v>
      </c>
    </row>
    <row r="9082" spans="3:4" ht="15" x14ac:dyDescent="0.25">
      <c r="C9082" s="8" t="e">
        <f>VLOOKUP(A:A,'ITEM LIST'!A:C,3,0)</f>
        <v>#N/A</v>
      </c>
      <c r="D9082" s="6">
        <f t="shared" si="142"/>
        <v>0</v>
      </c>
    </row>
    <row r="9083" spans="3:4" ht="15" x14ac:dyDescent="0.25">
      <c r="C9083" s="8" t="e">
        <f>VLOOKUP(A:A,'ITEM LIST'!A:C,3,0)</f>
        <v>#N/A</v>
      </c>
      <c r="D9083" s="6">
        <f t="shared" si="142"/>
        <v>0</v>
      </c>
    </row>
    <row r="9084" spans="3:4" ht="15" x14ac:dyDescent="0.25">
      <c r="C9084" s="8" t="e">
        <f>VLOOKUP(A:A,'ITEM LIST'!A:C,3,0)</f>
        <v>#N/A</v>
      </c>
      <c r="D9084" s="6">
        <f t="shared" si="142"/>
        <v>0</v>
      </c>
    </row>
    <row r="9085" spans="3:4" ht="15" x14ac:dyDescent="0.25">
      <c r="C9085" s="8" t="e">
        <f>VLOOKUP(A:A,'ITEM LIST'!A:C,3,0)</f>
        <v>#N/A</v>
      </c>
      <c r="D9085" s="6">
        <f t="shared" si="142"/>
        <v>0</v>
      </c>
    </row>
    <row r="9086" spans="3:4" ht="15" x14ac:dyDescent="0.25">
      <c r="C9086" s="8" t="e">
        <f>VLOOKUP(A:A,'ITEM LIST'!A:C,3,0)</f>
        <v>#N/A</v>
      </c>
      <c r="D9086" s="6">
        <f t="shared" si="142"/>
        <v>0</v>
      </c>
    </row>
    <row r="9087" spans="3:4" ht="15" x14ac:dyDescent="0.25">
      <c r="C9087" s="8" t="e">
        <f>VLOOKUP(A:A,'ITEM LIST'!A:C,3,0)</f>
        <v>#N/A</v>
      </c>
      <c r="D9087" s="6">
        <f t="shared" si="142"/>
        <v>0</v>
      </c>
    </row>
    <row r="9088" spans="3:4" ht="15" x14ac:dyDescent="0.25">
      <c r="C9088" s="8" t="e">
        <f>VLOOKUP(A:A,'ITEM LIST'!A:C,3,0)</f>
        <v>#N/A</v>
      </c>
      <c r="D9088" s="6">
        <f t="shared" si="142"/>
        <v>0</v>
      </c>
    </row>
    <row r="9089" spans="3:4" ht="15" x14ac:dyDescent="0.25">
      <c r="C9089" s="8" t="e">
        <f>VLOOKUP(A:A,'ITEM LIST'!A:C,3,0)</f>
        <v>#N/A</v>
      </c>
      <c r="D9089" s="6">
        <f t="shared" si="142"/>
        <v>0</v>
      </c>
    </row>
    <row r="9090" spans="3:4" ht="15" x14ac:dyDescent="0.25">
      <c r="C9090" s="8" t="e">
        <f>VLOOKUP(A:A,'ITEM LIST'!A:C,3,0)</f>
        <v>#N/A</v>
      </c>
      <c r="D9090" s="6">
        <f t="shared" si="142"/>
        <v>0</v>
      </c>
    </row>
    <row r="9091" spans="3:4" ht="15" x14ac:dyDescent="0.25">
      <c r="C9091" s="8" t="e">
        <f>VLOOKUP(A:A,'ITEM LIST'!A:C,3,0)</f>
        <v>#N/A</v>
      </c>
      <c r="D9091" s="6">
        <f t="shared" si="142"/>
        <v>0</v>
      </c>
    </row>
    <row r="9092" spans="3:4" ht="15" x14ac:dyDescent="0.25">
      <c r="C9092" s="8" t="e">
        <f>VLOOKUP(A:A,'ITEM LIST'!A:C,3,0)</f>
        <v>#N/A</v>
      </c>
      <c r="D9092" s="6">
        <f t="shared" si="142"/>
        <v>0</v>
      </c>
    </row>
    <row r="9093" spans="3:4" ht="15" x14ac:dyDescent="0.25">
      <c r="C9093" s="8" t="e">
        <f>VLOOKUP(A:A,'ITEM LIST'!A:C,3,0)</f>
        <v>#N/A</v>
      </c>
      <c r="D9093" s="6">
        <f t="shared" si="142"/>
        <v>0</v>
      </c>
    </row>
    <row r="9094" spans="3:4" ht="15" x14ac:dyDescent="0.25">
      <c r="C9094" s="8" t="e">
        <f>VLOOKUP(A:A,'ITEM LIST'!A:C,3,0)</f>
        <v>#N/A</v>
      </c>
      <c r="D9094" s="6">
        <f t="shared" ref="D9094:D9157" si="143">B9094</f>
        <v>0</v>
      </c>
    </row>
    <row r="9095" spans="3:4" ht="15" x14ac:dyDescent="0.25">
      <c r="C9095" s="8" t="e">
        <f>VLOOKUP(A:A,'ITEM LIST'!A:C,3,0)</f>
        <v>#N/A</v>
      </c>
      <c r="D9095" s="6">
        <f t="shared" si="143"/>
        <v>0</v>
      </c>
    </row>
    <row r="9096" spans="3:4" ht="15" x14ac:dyDescent="0.25">
      <c r="C9096" s="8" t="e">
        <f>VLOOKUP(A:A,'ITEM LIST'!A:C,3,0)</f>
        <v>#N/A</v>
      </c>
      <c r="D9096" s="6">
        <f t="shared" si="143"/>
        <v>0</v>
      </c>
    </row>
    <row r="9097" spans="3:4" ht="15" x14ac:dyDescent="0.25">
      <c r="C9097" s="8" t="e">
        <f>VLOOKUP(A:A,'ITEM LIST'!A:C,3,0)</f>
        <v>#N/A</v>
      </c>
      <c r="D9097" s="6">
        <f t="shared" si="143"/>
        <v>0</v>
      </c>
    </row>
    <row r="9098" spans="3:4" ht="15" x14ac:dyDescent="0.25">
      <c r="C9098" s="8" t="e">
        <f>VLOOKUP(A:A,'ITEM LIST'!A:C,3,0)</f>
        <v>#N/A</v>
      </c>
      <c r="D9098" s="6">
        <f t="shared" si="143"/>
        <v>0</v>
      </c>
    </row>
    <row r="9099" spans="3:4" ht="15" x14ac:dyDescent="0.25">
      <c r="C9099" s="8" t="e">
        <f>VLOOKUP(A:A,'ITEM LIST'!A:C,3,0)</f>
        <v>#N/A</v>
      </c>
      <c r="D9099" s="6">
        <f t="shared" si="143"/>
        <v>0</v>
      </c>
    </row>
    <row r="9100" spans="3:4" ht="15" x14ac:dyDescent="0.25">
      <c r="C9100" s="8" t="e">
        <f>VLOOKUP(A:A,'ITEM LIST'!A:C,3,0)</f>
        <v>#N/A</v>
      </c>
      <c r="D9100" s="6">
        <f t="shared" si="143"/>
        <v>0</v>
      </c>
    </row>
    <row r="9101" spans="3:4" ht="15" x14ac:dyDescent="0.25">
      <c r="C9101" s="8" t="e">
        <f>VLOOKUP(A:A,'ITEM LIST'!A:C,3,0)</f>
        <v>#N/A</v>
      </c>
      <c r="D9101" s="6">
        <f t="shared" si="143"/>
        <v>0</v>
      </c>
    </row>
    <row r="9102" spans="3:4" ht="15" x14ac:dyDescent="0.25">
      <c r="C9102" s="8" t="e">
        <f>VLOOKUP(A:A,'ITEM LIST'!A:C,3,0)</f>
        <v>#N/A</v>
      </c>
      <c r="D9102" s="6">
        <f t="shared" si="143"/>
        <v>0</v>
      </c>
    </row>
    <row r="9103" spans="3:4" ht="15" x14ac:dyDescent="0.25">
      <c r="C9103" s="8" t="e">
        <f>VLOOKUP(A:A,'ITEM LIST'!A:C,3,0)</f>
        <v>#N/A</v>
      </c>
      <c r="D9103" s="6">
        <f t="shared" si="143"/>
        <v>0</v>
      </c>
    </row>
    <row r="9104" spans="3:4" ht="15" x14ac:dyDescent="0.25">
      <c r="C9104" s="8" t="e">
        <f>VLOOKUP(A:A,'ITEM LIST'!A:C,3,0)</f>
        <v>#N/A</v>
      </c>
      <c r="D9104" s="6">
        <f t="shared" si="143"/>
        <v>0</v>
      </c>
    </row>
    <row r="9105" spans="3:4" ht="15" x14ac:dyDescent="0.25">
      <c r="C9105" s="8" t="e">
        <f>VLOOKUP(A:A,'ITEM LIST'!A:C,3,0)</f>
        <v>#N/A</v>
      </c>
      <c r="D9105" s="6">
        <f t="shared" si="143"/>
        <v>0</v>
      </c>
    </row>
    <row r="9106" spans="3:4" ht="15" x14ac:dyDescent="0.25">
      <c r="C9106" s="8" t="e">
        <f>VLOOKUP(A:A,'ITEM LIST'!A:C,3,0)</f>
        <v>#N/A</v>
      </c>
      <c r="D9106" s="6">
        <f t="shared" si="143"/>
        <v>0</v>
      </c>
    </row>
    <row r="9107" spans="3:4" ht="15" x14ac:dyDescent="0.25">
      <c r="C9107" s="8" t="e">
        <f>VLOOKUP(A:A,'ITEM LIST'!A:C,3,0)</f>
        <v>#N/A</v>
      </c>
      <c r="D9107" s="6">
        <f t="shared" si="143"/>
        <v>0</v>
      </c>
    </row>
    <row r="9108" spans="3:4" ht="15" x14ac:dyDescent="0.25">
      <c r="C9108" s="8" t="e">
        <f>VLOOKUP(A:A,'ITEM LIST'!A:C,3,0)</f>
        <v>#N/A</v>
      </c>
      <c r="D9108" s="6">
        <f t="shared" si="143"/>
        <v>0</v>
      </c>
    </row>
    <row r="9109" spans="3:4" ht="15" x14ac:dyDescent="0.25">
      <c r="C9109" s="8" t="e">
        <f>VLOOKUP(A:A,'ITEM LIST'!A:C,3,0)</f>
        <v>#N/A</v>
      </c>
      <c r="D9109" s="6">
        <f t="shared" si="143"/>
        <v>0</v>
      </c>
    </row>
    <row r="9110" spans="3:4" ht="15" x14ac:dyDescent="0.25">
      <c r="C9110" s="8" t="e">
        <f>VLOOKUP(A:A,'ITEM LIST'!A:C,3,0)</f>
        <v>#N/A</v>
      </c>
      <c r="D9110" s="6">
        <f t="shared" si="143"/>
        <v>0</v>
      </c>
    </row>
    <row r="9111" spans="3:4" ht="15" x14ac:dyDescent="0.25">
      <c r="C9111" s="8" t="e">
        <f>VLOOKUP(A:A,'ITEM LIST'!A:C,3,0)</f>
        <v>#N/A</v>
      </c>
      <c r="D9111" s="6">
        <f t="shared" si="143"/>
        <v>0</v>
      </c>
    </row>
    <row r="9112" spans="3:4" ht="15" x14ac:dyDescent="0.25">
      <c r="C9112" s="8" t="e">
        <f>VLOOKUP(A:A,'ITEM LIST'!A:C,3,0)</f>
        <v>#N/A</v>
      </c>
      <c r="D9112" s="6">
        <f t="shared" si="143"/>
        <v>0</v>
      </c>
    </row>
    <row r="9113" spans="3:4" ht="15" x14ac:dyDescent="0.25">
      <c r="C9113" s="8" t="e">
        <f>VLOOKUP(A:A,'ITEM LIST'!A:C,3,0)</f>
        <v>#N/A</v>
      </c>
      <c r="D9113" s="6">
        <f t="shared" si="143"/>
        <v>0</v>
      </c>
    </row>
    <row r="9114" spans="3:4" ht="15" x14ac:dyDescent="0.25">
      <c r="C9114" s="8" t="e">
        <f>VLOOKUP(A:A,'ITEM LIST'!A:C,3,0)</f>
        <v>#N/A</v>
      </c>
      <c r="D9114" s="6">
        <f t="shared" si="143"/>
        <v>0</v>
      </c>
    </row>
    <row r="9115" spans="3:4" ht="15" x14ac:dyDescent="0.25">
      <c r="C9115" s="8" t="e">
        <f>VLOOKUP(A:A,'ITEM LIST'!A:C,3,0)</f>
        <v>#N/A</v>
      </c>
      <c r="D9115" s="6">
        <f t="shared" si="143"/>
        <v>0</v>
      </c>
    </row>
    <row r="9116" spans="3:4" ht="15" x14ac:dyDescent="0.25">
      <c r="C9116" s="8" t="e">
        <f>VLOOKUP(A:A,'ITEM LIST'!A:C,3,0)</f>
        <v>#N/A</v>
      </c>
      <c r="D9116" s="6">
        <f t="shared" si="143"/>
        <v>0</v>
      </c>
    </row>
    <row r="9117" spans="3:4" ht="15" x14ac:dyDescent="0.25">
      <c r="C9117" s="8" t="e">
        <f>VLOOKUP(A:A,'ITEM LIST'!A:C,3,0)</f>
        <v>#N/A</v>
      </c>
      <c r="D9117" s="6">
        <f t="shared" si="143"/>
        <v>0</v>
      </c>
    </row>
    <row r="9118" spans="3:4" ht="15" x14ac:dyDescent="0.25">
      <c r="C9118" s="8" t="e">
        <f>VLOOKUP(A:A,'ITEM LIST'!A:C,3,0)</f>
        <v>#N/A</v>
      </c>
      <c r="D9118" s="6">
        <f t="shared" si="143"/>
        <v>0</v>
      </c>
    </row>
    <row r="9119" spans="3:4" ht="15" x14ac:dyDescent="0.25">
      <c r="C9119" s="8" t="e">
        <f>VLOOKUP(A:A,'ITEM LIST'!A:C,3,0)</f>
        <v>#N/A</v>
      </c>
      <c r="D9119" s="6">
        <f t="shared" si="143"/>
        <v>0</v>
      </c>
    </row>
    <row r="9120" spans="3:4" ht="15" x14ac:dyDescent="0.25">
      <c r="C9120" s="8" t="e">
        <f>VLOOKUP(A:A,'ITEM LIST'!A:C,3,0)</f>
        <v>#N/A</v>
      </c>
      <c r="D9120" s="6">
        <f t="shared" si="143"/>
        <v>0</v>
      </c>
    </row>
    <row r="9121" spans="3:4" ht="15" x14ac:dyDescent="0.25">
      <c r="C9121" s="8" t="e">
        <f>VLOOKUP(A:A,'ITEM LIST'!A:C,3,0)</f>
        <v>#N/A</v>
      </c>
      <c r="D9121" s="6">
        <f t="shared" si="143"/>
        <v>0</v>
      </c>
    </row>
    <row r="9122" spans="3:4" ht="15" x14ac:dyDescent="0.25">
      <c r="C9122" s="8" t="e">
        <f>VLOOKUP(A:A,'ITEM LIST'!A:C,3,0)</f>
        <v>#N/A</v>
      </c>
      <c r="D9122" s="6">
        <f t="shared" si="143"/>
        <v>0</v>
      </c>
    </row>
    <row r="9123" spans="3:4" ht="15" x14ac:dyDescent="0.25">
      <c r="C9123" s="8" t="e">
        <f>VLOOKUP(A:A,'ITEM LIST'!A:C,3,0)</f>
        <v>#N/A</v>
      </c>
      <c r="D9123" s="6">
        <f t="shared" si="143"/>
        <v>0</v>
      </c>
    </row>
    <row r="9124" spans="3:4" ht="15" x14ac:dyDescent="0.25">
      <c r="C9124" s="8" t="e">
        <f>VLOOKUP(A:A,'ITEM LIST'!A:C,3,0)</f>
        <v>#N/A</v>
      </c>
      <c r="D9124" s="6">
        <f t="shared" si="143"/>
        <v>0</v>
      </c>
    </row>
    <row r="9125" spans="3:4" ht="15" x14ac:dyDescent="0.25">
      <c r="C9125" s="8" t="e">
        <f>VLOOKUP(A:A,'ITEM LIST'!A:C,3,0)</f>
        <v>#N/A</v>
      </c>
      <c r="D9125" s="6">
        <f t="shared" si="143"/>
        <v>0</v>
      </c>
    </row>
    <row r="9126" spans="3:4" ht="15" x14ac:dyDescent="0.25">
      <c r="C9126" s="8" t="e">
        <f>VLOOKUP(A:A,'ITEM LIST'!A:C,3,0)</f>
        <v>#N/A</v>
      </c>
      <c r="D9126" s="6">
        <f t="shared" si="143"/>
        <v>0</v>
      </c>
    </row>
    <row r="9127" spans="3:4" ht="15" x14ac:dyDescent="0.25">
      <c r="C9127" s="8" t="e">
        <f>VLOOKUP(A:A,'ITEM LIST'!A:C,3,0)</f>
        <v>#N/A</v>
      </c>
      <c r="D9127" s="6">
        <f t="shared" si="143"/>
        <v>0</v>
      </c>
    </row>
    <row r="9128" spans="3:4" ht="15" x14ac:dyDescent="0.25">
      <c r="C9128" s="8" t="e">
        <f>VLOOKUP(A:A,'ITEM LIST'!A:C,3,0)</f>
        <v>#N/A</v>
      </c>
      <c r="D9128" s="6">
        <f t="shared" si="143"/>
        <v>0</v>
      </c>
    </row>
    <row r="9129" spans="3:4" ht="15" x14ac:dyDescent="0.25">
      <c r="C9129" s="8" t="e">
        <f>VLOOKUP(A:A,'ITEM LIST'!A:C,3,0)</f>
        <v>#N/A</v>
      </c>
      <c r="D9129" s="6">
        <f t="shared" si="143"/>
        <v>0</v>
      </c>
    </row>
    <row r="9130" spans="3:4" ht="15" x14ac:dyDescent="0.25">
      <c r="C9130" s="8" t="e">
        <f>VLOOKUP(A:A,'ITEM LIST'!A:C,3,0)</f>
        <v>#N/A</v>
      </c>
      <c r="D9130" s="6">
        <f t="shared" si="143"/>
        <v>0</v>
      </c>
    </row>
    <row r="9131" spans="3:4" ht="15" x14ac:dyDescent="0.25">
      <c r="C9131" s="8" t="e">
        <f>VLOOKUP(A:A,'ITEM LIST'!A:C,3,0)</f>
        <v>#N/A</v>
      </c>
      <c r="D9131" s="6">
        <f t="shared" si="143"/>
        <v>0</v>
      </c>
    </row>
    <row r="9132" spans="3:4" ht="15" x14ac:dyDescent="0.25">
      <c r="C9132" s="8" t="e">
        <f>VLOOKUP(A:A,'ITEM LIST'!A:C,3,0)</f>
        <v>#N/A</v>
      </c>
      <c r="D9132" s="6">
        <f t="shared" si="143"/>
        <v>0</v>
      </c>
    </row>
    <row r="9133" spans="3:4" ht="15" x14ac:dyDescent="0.25">
      <c r="C9133" s="8" t="e">
        <f>VLOOKUP(A:A,'ITEM LIST'!A:C,3,0)</f>
        <v>#N/A</v>
      </c>
      <c r="D9133" s="6">
        <f t="shared" si="143"/>
        <v>0</v>
      </c>
    </row>
    <row r="9134" spans="3:4" ht="15" x14ac:dyDescent="0.25">
      <c r="C9134" s="8" t="e">
        <f>VLOOKUP(A:A,'ITEM LIST'!A:C,3,0)</f>
        <v>#N/A</v>
      </c>
      <c r="D9134" s="6">
        <f t="shared" si="143"/>
        <v>0</v>
      </c>
    </row>
    <row r="9135" spans="3:4" ht="15" x14ac:dyDescent="0.25">
      <c r="C9135" s="8" t="e">
        <f>VLOOKUP(A:A,'ITEM LIST'!A:C,3,0)</f>
        <v>#N/A</v>
      </c>
      <c r="D9135" s="6">
        <f t="shared" si="143"/>
        <v>0</v>
      </c>
    </row>
    <row r="9136" spans="3:4" ht="15" x14ac:dyDescent="0.25">
      <c r="C9136" s="8" t="e">
        <f>VLOOKUP(A:A,'ITEM LIST'!A:C,3,0)</f>
        <v>#N/A</v>
      </c>
      <c r="D9136" s="6">
        <f t="shared" si="143"/>
        <v>0</v>
      </c>
    </row>
    <row r="9137" spans="3:4" ht="15" x14ac:dyDescent="0.25">
      <c r="C9137" s="8" t="e">
        <f>VLOOKUP(A:A,'ITEM LIST'!A:C,3,0)</f>
        <v>#N/A</v>
      </c>
      <c r="D9137" s="6">
        <f t="shared" si="143"/>
        <v>0</v>
      </c>
    </row>
    <row r="9138" spans="3:4" ht="15" x14ac:dyDescent="0.25">
      <c r="C9138" s="8" t="e">
        <f>VLOOKUP(A:A,'ITEM LIST'!A:C,3,0)</f>
        <v>#N/A</v>
      </c>
      <c r="D9138" s="6">
        <f t="shared" si="143"/>
        <v>0</v>
      </c>
    </row>
    <row r="9139" spans="3:4" ht="15" x14ac:dyDescent="0.25">
      <c r="C9139" s="8" t="e">
        <f>VLOOKUP(A:A,'ITEM LIST'!A:C,3,0)</f>
        <v>#N/A</v>
      </c>
      <c r="D9139" s="6">
        <f t="shared" si="143"/>
        <v>0</v>
      </c>
    </row>
    <row r="9140" spans="3:4" ht="15" x14ac:dyDescent="0.25">
      <c r="C9140" s="8" t="e">
        <f>VLOOKUP(A:A,'ITEM LIST'!A:C,3,0)</f>
        <v>#N/A</v>
      </c>
      <c r="D9140" s="6">
        <f t="shared" si="143"/>
        <v>0</v>
      </c>
    </row>
    <row r="9141" spans="3:4" ht="15" x14ac:dyDescent="0.25">
      <c r="C9141" s="8" t="e">
        <f>VLOOKUP(A:A,'ITEM LIST'!A:C,3,0)</f>
        <v>#N/A</v>
      </c>
      <c r="D9141" s="6">
        <f t="shared" si="143"/>
        <v>0</v>
      </c>
    </row>
    <row r="9142" spans="3:4" ht="15" x14ac:dyDescent="0.25">
      <c r="C9142" s="8" t="e">
        <f>VLOOKUP(A:A,'ITEM LIST'!A:C,3,0)</f>
        <v>#N/A</v>
      </c>
      <c r="D9142" s="6">
        <f t="shared" si="143"/>
        <v>0</v>
      </c>
    </row>
    <row r="9143" spans="3:4" ht="15" x14ac:dyDescent="0.25">
      <c r="C9143" s="8" t="e">
        <f>VLOOKUP(A:A,'ITEM LIST'!A:C,3,0)</f>
        <v>#N/A</v>
      </c>
      <c r="D9143" s="6">
        <f t="shared" si="143"/>
        <v>0</v>
      </c>
    </row>
    <row r="9144" spans="3:4" ht="15" x14ac:dyDescent="0.25">
      <c r="C9144" s="8" t="e">
        <f>VLOOKUP(A:A,'ITEM LIST'!A:C,3,0)</f>
        <v>#N/A</v>
      </c>
      <c r="D9144" s="6">
        <f t="shared" si="143"/>
        <v>0</v>
      </c>
    </row>
    <row r="9145" spans="3:4" ht="15" x14ac:dyDescent="0.25">
      <c r="C9145" s="8" t="e">
        <f>VLOOKUP(A:A,'ITEM LIST'!A:C,3,0)</f>
        <v>#N/A</v>
      </c>
      <c r="D9145" s="6">
        <f t="shared" si="143"/>
        <v>0</v>
      </c>
    </row>
    <row r="9146" spans="3:4" ht="15" x14ac:dyDescent="0.25">
      <c r="C9146" s="8" t="e">
        <f>VLOOKUP(A:A,'ITEM LIST'!A:C,3,0)</f>
        <v>#N/A</v>
      </c>
      <c r="D9146" s="6">
        <f t="shared" si="143"/>
        <v>0</v>
      </c>
    </row>
    <row r="9147" spans="3:4" ht="15" x14ac:dyDescent="0.25">
      <c r="C9147" s="8" t="e">
        <f>VLOOKUP(A:A,'ITEM LIST'!A:C,3,0)</f>
        <v>#N/A</v>
      </c>
      <c r="D9147" s="6">
        <f t="shared" si="143"/>
        <v>0</v>
      </c>
    </row>
    <row r="9148" spans="3:4" ht="15" x14ac:dyDescent="0.25">
      <c r="C9148" s="8" t="e">
        <f>VLOOKUP(A:A,'ITEM LIST'!A:C,3,0)</f>
        <v>#N/A</v>
      </c>
      <c r="D9148" s="6">
        <f t="shared" si="143"/>
        <v>0</v>
      </c>
    </row>
    <row r="9149" spans="3:4" ht="15" x14ac:dyDescent="0.25">
      <c r="C9149" s="8" t="e">
        <f>VLOOKUP(A:A,'ITEM LIST'!A:C,3,0)</f>
        <v>#N/A</v>
      </c>
      <c r="D9149" s="6">
        <f t="shared" si="143"/>
        <v>0</v>
      </c>
    </row>
    <row r="9150" spans="3:4" ht="15" x14ac:dyDescent="0.25">
      <c r="C9150" s="8" t="e">
        <f>VLOOKUP(A:A,'ITEM LIST'!A:C,3,0)</f>
        <v>#N/A</v>
      </c>
      <c r="D9150" s="6">
        <f t="shared" si="143"/>
        <v>0</v>
      </c>
    </row>
    <row r="9151" spans="3:4" ht="15" x14ac:dyDescent="0.25">
      <c r="C9151" s="8" t="e">
        <f>VLOOKUP(A:A,'ITEM LIST'!A:C,3,0)</f>
        <v>#N/A</v>
      </c>
      <c r="D9151" s="6">
        <f t="shared" si="143"/>
        <v>0</v>
      </c>
    </row>
    <row r="9152" spans="3:4" ht="15" x14ac:dyDescent="0.25">
      <c r="C9152" s="8" t="e">
        <f>VLOOKUP(A:A,'ITEM LIST'!A:C,3,0)</f>
        <v>#N/A</v>
      </c>
      <c r="D9152" s="6">
        <f t="shared" si="143"/>
        <v>0</v>
      </c>
    </row>
    <row r="9153" spans="3:4" ht="15" x14ac:dyDescent="0.25">
      <c r="C9153" s="8" t="e">
        <f>VLOOKUP(A:A,'ITEM LIST'!A:C,3,0)</f>
        <v>#N/A</v>
      </c>
      <c r="D9153" s="6">
        <f t="shared" si="143"/>
        <v>0</v>
      </c>
    </row>
    <row r="9154" spans="3:4" ht="15" x14ac:dyDescent="0.25">
      <c r="C9154" s="8" t="e">
        <f>VLOOKUP(A:A,'ITEM LIST'!A:C,3,0)</f>
        <v>#N/A</v>
      </c>
      <c r="D9154" s="6">
        <f t="shared" si="143"/>
        <v>0</v>
      </c>
    </row>
    <row r="9155" spans="3:4" ht="15" x14ac:dyDescent="0.25">
      <c r="C9155" s="8" t="e">
        <f>VLOOKUP(A:A,'ITEM LIST'!A:C,3,0)</f>
        <v>#N/A</v>
      </c>
      <c r="D9155" s="6">
        <f t="shared" si="143"/>
        <v>0</v>
      </c>
    </row>
    <row r="9156" spans="3:4" ht="15" x14ac:dyDescent="0.25">
      <c r="C9156" s="8" t="e">
        <f>VLOOKUP(A:A,'ITEM LIST'!A:C,3,0)</f>
        <v>#N/A</v>
      </c>
      <c r="D9156" s="6">
        <f t="shared" si="143"/>
        <v>0</v>
      </c>
    </row>
    <row r="9157" spans="3:4" ht="15" x14ac:dyDescent="0.25">
      <c r="C9157" s="8" t="e">
        <f>VLOOKUP(A:A,'ITEM LIST'!A:C,3,0)</f>
        <v>#N/A</v>
      </c>
      <c r="D9157" s="6">
        <f t="shared" si="143"/>
        <v>0</v>
      </c>
    </row>
    <row r="9158" spans="3:4" ht="15" x14ac:dyDescent="0.25">
      <c r="C9158" s="8" t="e">
        <f>VLOOKUP(A:A,'ITEM LIST'!A:C,3,0)</f>
        <v>#N/A</v>
      </c>
      <c r="D9158" s="6">
        <f t="shared" ref="D9158:D9221" si="144">B9158</f>
        <v>0</v>
      </c>
    </row>
    <row r="9159" spans="3:4" ht="15" x14ac:dyDescent="0.25">
      <c r="C9159" s="8" t="e">
        <f>VLOOKUP(A:A,'ITEM LIST'!A:C,3,0)</f>
        <v>#N/A</v>
      </c>
      <c r="D9159" s="6">
        <f t="shared" si="144"/>
        <v>0</v>
      </c>
    </row>
    <row r="9160" spans="3:4" ht="15" x14ac:dyDescent="0.25">
      <c r="C9160" s="8" t="e">
        <f>VLOOKUP(A:A,'ITEM LIST'!A:C,3,0)</f>
        <v>#N/A</v>
      </c>
      <c r="D9160" s="6">
        <f t="shared" si="144"/>
        <v>0</v>
      </c>
    </row>
    <row r="9161" spans="3:4" ht="15" x14ac:dyDescent="0.25">
      <c r="C9161" s="8" t="e">
        <f>VLOOKUP(A:A,'ITEM LIST'!A:C,3,0)</f>
        <v>#N/A</v>
      </c>
      <c r="D9161" s="6">
        <f t="shared" si="144"/>
        <v>0</v>
      </c>
    </row>
    <row r="9162" spans="3:4" ht="15" x14ac:dyDescent="0.25">
      <c r="C9162" s="8" t="e">
        <f>VLOOKUP(A:A,'ITEM LIST'!A:C,3,0)</f>
        <v>#N/A</v>
      </c>
      <c r="D9162" s="6">
        <f t="shared" si="144"/>
        <v>0</v>
      </c>
    </row>
    <row r="9163" spans="3:4" ht="15" x14ac:dyDescent="0.25">
      <c r="C9163" s="8" t="e">
        <f>VLOOKUP(A:A,'ITEM LIST'!A:C,3,0)</f>
        <v>#N/A</v>
      </c>
      <c r="D9163" s="6">
        <f t="shared" si="144"/>
        <v>0</v>
      </c>
    </row>
    <row r="9164" spans="3:4" ht="15" x14ac:dyDescent="0.25">
      <c r="C9164" s="8" t="e">
        <f>VLOOKUP(A:A,'ITEM LIST'!A:C,3,0)</f>
        <v>#N/A</v>
      </c>
      <c r="D9164" s="6">
        <f t="shared" si="144"/>
        <v>0</v>
      </c>
    </row>
    <row r="9165" spans="3:4" ht="15" x14ac:dyDescent="0.25">
      <c r="C9165" s="8" t="e">
        <f>VLOOKUP(A:A,'ITEM LIST'!A:C,3,0)</f>
        <v>#N/A</v>
      </c>
      <c r="D9165" s="6">
        <f t="shared" si="144"/>
        <v>0</v>
      </c>
    </row>
    <row r="9166" spans="3:4" ht="15" x14ac:dyDescent="0.25">
      <c r="C9166" s="8" t="e">
        <f>VLOOKUP(A:A,'ITEM LIST'!A:C,3,0)</f>
        <v>#N/A</v>
      </c>
      <c r="D9166" s="6">
        <f t="shared" si="144"/>
        <v>0</v>
      </c>
    </row>
    <row r="9167" spans="3:4" ht="15" x14ac:dyDescent="0.25">
      <c r="C9167" s="8" t="e">
        <f>VLOOKUP(A:A,'ITEM LIST'!A:C,3,0)</f>
        <v>#N/A</v>
      </c>
      <c r="D9167" s="6">
        <f t="shared" si="144"/>
        <v>0</v>
      </c>
    </row>
    <row r="9168" spans="3:4" ht="15" x14ac:dyDescent="0.25">
      <c r="C9168" s="8" t="e">
        <f>VLOOKUP(A:A,'ITEM LIST'!A:C,3,0)</f>
        <v>#N/A</v>
      </c>
      <c r="D9168" s="6">
        <f t="shared" si="144"/>
        <v>0</v>
      </c>
    </row>
    <row r="9169" spans="3:4" ht="15" x14ac:dyDescent="0.25">
      <c r="C9169" s="8" t="e">
        <f>VLOOKUP(A:A,'ITEM LIST'!A:C,3,0)</f>
        <v>#N/A</v>
      </c>
      <c r="D9169" s="6">
        <f t="shared" si="144"/>
        <v>0</v>
      </c>
    </row>
    <row r="9170" spans="3:4" ht="15" x14ac:dyDescent="0.25">
      <c r="C9170" s="8" t="e">
        <f>VLOOKUP(A:A,'ITEM LIST'!A:C,3,0)</f>
        <v>#N/A</v>
      </c>
      <c r="D9170" s="6">
        <f t="shared" si="144"/>
        <v>0</v>
      </c>
    </row>
    <row r="9171" spans="3:4" ht="15" x14ac:dyDescent="0.25">
      <c r="C9171" s="8" t="e">
        <f>VLOOKUP(A:A,'ITEM LIST'!A:C,3,0)</f>
        <v>#N/A</v>
      </c>
      <c r="D9171" s="6">
        <f t="shared" si="144"/>
        <v>0</v>
      </c>
    </row>
    <row r="9172" spans="3:4" ht="15" x14ac:dyDescent="0.25">
      <c r="C9172" s="8" t="e">
        <f>VLOOKUP(A:A,'ITEM LIST'!A:C,3,0)</f>
        <v>#N/A</v>
      </c>
      <c r="D9172" s="6">
        <f t="shared" si="144"/>
        <v>0</v>
      </c>
    </row>
    <row r="9173" spans="3:4" ht="15" x14ac:dyDescent="0.25">
      <c r="C9173" s="8" t="e">
        <f>VLOOKUP(A:A,'ITEM LIST'!A:C,3,0)</f>
        <v>#N/A</v>
      </c>
      <c r="D9173" s="6">
        <f t="shared" si="144"/>
        <v>0</v>
      </c>
    </row>
    <row r="9174" spans="3:4" ht="15" x14ac:dyDescent="0.25">
      <c r="C9174" s="8" t="e">
        <f>VLOOKUP(A:A,'ITEM LIST'!A:C,3,0)</f>
        <v>#N/A</v>
      </c>
      <c r="D9174" s="6">
        <f t="shared" si="144"/>
        <v>0</v>
      </c>
    </row>
    <row r="9175" spans="3:4" ht="15" x14ac:dyDescent="0.25">
      <c r="C9175" s="8" t="e">
        <f>VLOOKUP(A:A,'ITEM LIST'!A:C,3,0)</f>
        <v>#N/A</v>
      </c>
      <c r="D9175" s="6">
        <f t="shared" si="144"/>
        <v>0</v>
      </c>
    </row>
    <row r="9176" spans="3:4" ht="15" x14ac:dyDescent="0.25">
      <c r="C9176" s="8" t="e">
        <f>VLOOKUP(A:A,'ITEM LIST'!A:C,3,0)</f>
        <v>#N/A</v>
      </c>
      <c r="D9176" s="6">
        <f t="shared" si="144"/>
        <v>0</v>
      </c>
    </row>
    <row r="9177" spans="3:4" ht="15" x14ac:dyDescent="0.25">
      <c r="C9177" s="8" t="e">
        <f>VLOOKUP(A:A,'ITEM LIST'!A:C,3,0)</f>
        <v>#N/A</v>
      </c>
      <c r="D9177" s="6">
        <f t="shared" si="144"/>
        <v>0</v>
      </c>
    </row>
    <row r="9178" spans="3:4" ht="15" x14ac:dyDescent="0.25">
      <c r="C9178" s="8" t="e">
        <f>VLOOKUP(A:A,'ITEM LIST'!A:C,3,0)</f>
        <v>#N/A</v>
      </c>
      <c r="D9178" s="6">
        <f t="shared" si="144"/>
        <v>0</v>
      </c>
    </row>
    <row r="9179" spans="3:4" ht="15" x14ac:dyDescent="0.25">
      <c r="C9179" s="8" t="e">
        <f>VLOOKUP(A:A,'ITEM LIST'!A:C,3,0)</f>
        <v>#N/A</v>
      </c>
      <c r="D9179" s="6">
        <f t="shared" si="144"/>
        <v>0</v>
      </c>
    </row>
    <row r="9180" spans="3:4" ht="15" x14ac:dyDescent="0.25">
      <c r="C9180" s="8" t="e">
        <f>VLOOKUP(A:A,'ITEM LIST'!A:C,3,0)</f>
        <v>#N/A</v>
      </c>
      <c r="D9180" s="6">
        <f t="shared" si="144"/>
        <v>0</v>
      </c>
    </row>
    <row r="9181" spans="3:4" ht="15" x14ac:dyDescent="0.25">
      <c r="C9181" s="8" t="e">
        <f>VLOOKUP(A:A,'ITEM LIST'!A:C,3,0)</f>
        <v>#N/A</v>
      </c>
      <c r="D9181" s="6">
        <f t="shared" si="144"/>
        <v>0</v>
      </c>
    </row>
    <row r="9182" spans="3:4" ht="15" x14ac:dyDescent="0.25">
      <c r="C9182" s="8" t="e">
        <f>VLOOKUP(A:A,'ITEM LIST'!A:C,3,0)</f>
        <v>#N/A</v>
      </c>
      <c r="D9182" s="6">
        <f t="shared" si="144"/>
        <v>0</v>
      </c>
    </row>
    <row r="9183" spans="3:4" ht="15" x14ac:dyDescent="0.25">
      <c r="C9183" s="8" t="e">
        <f>VLOOKUP(A:A,'ITEM LIST'!A:C,3,0)</f>
        <v>#N/A</v>
      </c>
      <c r="D9183" s="6">
        <f t="shared" si="144"/>
        <v>0</v>
      </c>
    </row>
    <row r="9184" spans="3:4" ht="15" x14ac:dyDescent="0.25">
      <c r="C9184" s="8" t="e">
        <f>VLOOKUP(A:A,'ITEM LIST'!A:C,3,0)</f>
        <v>#N/A</v>
      </c>
      <c r="D9184" s="6">
        <f t="shared" si="144"/>
        <v>0</v>
      </c>
    </row>
    <row r="9185" spans="3:4" ht="15" x14ac:dyDescent="0.25">
      <c r="C9185" s="8" t="e">
        <f>VLOOKUP(A:A,'ITEM LIST'!A:C,3,0)</f>
        <v>#N/A</v>
      </c>
      <c r="D9185" s="6">
        <f t="shared" si="144"/>
        <v>0</v>
      </c>
    </row>
    <row r="9186" spans="3:4" ht="15" x14ac:dyDescent="0.25">
      <c r="C9186" s="8" t="e">
        <f>VLOOKUP(A:A,'ITEM LIST'!A:C,3,0)</f>
        <v>#N/A</v>
      </c>
      <c r="D9186" s="6">
        <f t="shared" si="144"/>
        <v>0</v>
      </c>
    </row>
    <row r="9187" spans="3:4" ht="15" x14ac:dyDescent="0.25">
      <c r="C9187" s="8" t="e">
        <f>VLOOKUP(A:A,'ITEM LIST'!A:C,3,0)</f>
        <v>#N/A</v>
      </c>
      <c r="D9187" s="6">
        <f t="shared" si="144"/>
        <v>0</v>
      </c>
    </row>
    <row r="9188" spans="3:4" ht="15" x14ac:dyDescent="0.25">
      <c r="C9188" s="8" t="e">
        <f>VLOOKUP(A:A,'ITEM LIST'!A:C,3,0)</f>
        <v>#N/A</v>
      </c>
      <c r="D9188" s="6">
        <f t="shared" si="144"/>
        <v>0</v>
      </c>
    </row>
    <row r="9189" spans="3:4" ht="15" x14ac:dyDescent="0.25">
      <c r="C9189" s="8" t="e">
        <f>VLOOKUP(A:A,'ITEM LIST'!A:C,3,0)</f>
        <v>#N/A</v>
      </c>
      <c r="D9189" s="6">
        <f t="shared" si="144"/>
        <v>0</v>
      </c>
    </row>
    <row r="9190" spans="3:4" ht="15" x14ac:dyDescent="0.25">
      <c r="C9190" s="8" t="e">
        <f>VLOOKUP(A:A,'ITEM LIST'!A:C,3,0)</f>
        <v>#N/A</v>
      </c>
      <c r="D9190" s="6">
        <f t="shared" si="144"/>
        <v>0</v>
      </c>
    </row>
    <row r="9191" spans="3:4" ht="15" x14ac:dyDescent="0.25">
      <c r="C9191" s="8" t="e">
        <f>VLOOKUP(A:A,'ITEM LIST'!A:C,3,0)</f>
        <v>#N/A</v>
      </c>
      <c r="D9191" s="6">
        <f t="shared" si="144"/>
        <v>0</v>
      </c>
    </row>
    <row r="9192" spans="3:4" ht="15" x14ac:dyDescent="0.25">
      <c r="C9192" s="8" t="e">
        <f>VLOOKUP(A:A,'ITEM LIST'!A:C,3,0)</f>
        <v>#N/A</v>
      </c>
      <c r="D9192" s="6">
        <f t="shared" si="144"/>
        <v>0</v>
      </c>
    </row>
    <row r="9193" spans="3:4" ht="15" x14ac:dyDescent="0.25">
      <c r="C9193" s="8" t="e">
        <f>VLOOKUP(A:A,'ITEM LIST'!A:C,3,0)</f>
        <v>#N/A</v>
      </c>
      <c r="D9193" s="6">
        <f t="shared" si="144"/>
        <v>0</v>
      </c>
    </row>
    <row r="9194" spans="3:4" ht="15" x14ac:dyDescent="0.25">
      <c r="C9194" s="8" t="e">
        <f>VLOOKUP(A:A,'ITEM LIST'!A:C,3,0)</f>
        <v>#N/A</v>
      </c>
      <c r="D9194" s="6">
        <f t="shared" si="144"/>
        <v>0</v>
      </c>
    </row>
    <row r="9195" spans="3:4" ht="15" x14ac:dyDescent="0.25">
      <c r="C9195" s="8" t="e">
        <f>VLOOKUP(A:A,'ITEM LIST'!A:C,3,0)</f>
        <v>#N/A</v>
      </c>
      <c r="D9195" s="6">
        <f t="shared" si="144"/>
        <v>0</v>
      </c>
    </row>
    <row r="9196" spans="3:4" ht="15" x14ac:dyDescent="0.25">
      <c r="C9196" s="8" t="e">
        <f>VLOOKUP(A:A,'ITEM LIST'!A:C,3,0)</f>
        <v>#N/A</v>
      </c>
      <c r="D9196" s="6">
        <f t="shared" si="144"/>
        <v>0</v>
      </c>
    </row>
    <row r="9197" spans="3:4" ht="15" x14ac:dyDescent="0.25">
      <c r="C9197" s="8" t="e">
        <f>VLOOKUP(A:A,'ITEM LIST'!A:C,3,0)</f>
        <v>#N/A</v>
      </c>
      <c r="D9197" s="6">
        <f t="shared" si="144"/>
        <v>0</v>
      </c>
    </row>
    <row r="9198" spans="3:4" ht="15" x14ac:dyDescent="0.25">
      <c r="C9198" s="8" t="e">
        <f>VLOOKUP(A:A,'ITEM LIST'!A:C,3,0)</f>
        <v>#N/A</v>
      </c>
      <c r="D9198" s="6">
        <f t="shared" si="144"/>
        <v>0</v>
      </c>
    </row>
    <row r="9199" spans="3:4" ht="15" x14ac:dyDescent="0.25">
      <c r="C9199" s="8" t="e">
        <f>VLOOKUP(A:A,'ITEM LIST'!A:C,3,0)</f>
        <v>#N/A</v>
      </c>
      <c r="D9199" s="6">
        <f t="shared" si="144"/>
        <v>0</v>
      </c>
    </row>
    <row r="9200" spans="3:4" ht="15" x14ac:dyDescent="0.25">
      <c r="C9200" s="8" t="e">
        <f>VLOOKUP(A:A,'ITEM LIST'!A:C,3,0)</f>
        <v>#N/A</v>
      </c>
      <c r="D9200" s="6">
        <f t="shared" si="144"/>
        <v>0</v>
      </c>
    </row>
    <row r="9201" spans="3:4" ht="15" x14ac:dyDescent="0.25">
      <c r="C9201" s="8" t="e">
        <f>VLOOKUP(A:A,'ITEM LIST'!A:C,3,0)</f>
        <v>#N/A</v>
      </c>
      <c r="D9201" s="6">
        <f t="shared" si="144"/>
        <v>0</v>
      </c>
    </row>
    <row r="9202" spans="3:4" ht="15" x14ac:dyDescent="0.25">
      <c r="C9202" s="8" t="e">
        <f>VLOOKUP(A:A,'ITEM LIST'!A:C,3,0)</f>
        <v>#N/A</v>
      </c>
      <c r="D9202" s="6">
        <f t="shared" si="144"/>
        <v>0</v>
      </c>
    </row>
    <row r="9203" spans="3:4" ht="15" x14ac:dyDescent="0.25">
      <c r="C9203" s="8" t="e">
        <f>VLOOKUP(A:A,'ITEM LIST'!A:C,3,0)</f>
        <v>#N/A</v>
      </c>
      <c r="D9203" s="6">
        <f t="shared" si="144"/>
        <v>0</v>
      </c>
    </row>
    <row r="9204" spans="3:4" ht="15" x14ac:dyDescent="0.25">
      <c r="C9204" s="8" t="e">
        <f>VLOOKUP(A:A,'ITEM LIST'!A:C,3,0)</f>
        <v>#N/A</v>
      </c>
      <c r="D9204" s="6">
        <f t="shared" si="144"/>
        <v>0</v>
      </c>
    </row>
    <row r="9205" spans="3:4" ht="15" x14ac:dyDescent="0.25">
      <c r="C9205" s="8" t="e">
        <f>VLOOKUP(A:A,'ITEM LIST'!A:C,3,0)</f>
        <v>#N/A</v>
      </c>
      <c r="D9205" s="6">
        <f t="shared" si="144"/>
        <v>0</v>
      </c>
    </row>
    <row r="9206" spans="3:4" ht="15" x14ac:dyDescent="0.25">
      <c r="C9206" s="8" t="e">
        <f>VLOOKUP(A:A,'ITEM LIST'!A:C,3,0)</f>
        <v>#N/A</v>
      </c>
      <c r="D9206" s="6">
        <f t="shared" si="144"/>
        <v>0</v>
      </c>
    </row>
    <row r="9207" spans="3:4" ht="15" x14ac:dyDescent="0.25">
      <c r="C9207" s="8" t="e">
        <f>VLOOKUP(A:A,'ITEM LIST'!A:C,3,0)</f>
        <v>#N/A</v>
      </c>
      <c r="D9207" s="6">
        <f t="shared" si="144"/>
        <v>0</v>
      </c>
    </row>
    <row r="9208" spans="3:4" ht="15" x14ac:dyDescent="0.25">
      <c r="C9208" s="8" t="e">
        <f>VLOOKUP(A:A,'ITEM LIST'!A:C,3,0)</f>
        <v>#N/A</v>
      </c>
      <c r="D9208" s="6">
        <f t="shared" si="144"/>
        <v>0</v>
      </c>
    </row>
    <row r="9209" spans="3:4" ht="15" x14ac:dyDescent="0.25">
      <c r="C9209" s="8" t="e">
        <f>VLOOKUP(A:A,'ITEM LIST'!A:C,3,0)</f>
        <v>#N/A</v>
      </c>
      <c r="D9209" s="6">
        <f t="shared" si="144"/>
        <v>0</v>
      </c>
    </row>
    <row r="9210" spans="3:4" ht="15" x14ac:dyDescent="0.25">
      <c r="C9210" s="8" t="e">
        <f>VLOOKUP(A:A,'ITEM LIST'!A:C,3,0)</f>
        <v>#N/A</v>
      </c>
      <c r="D9210" s="6">
        <f t="shared" si="144"/>
        <v>0</v>
      </c>
    </row>
    <row r="9211" spans="3:4" ht="15" x14ac:dyDescent="0.25">
      <c r="C9211" s="8" t="e">
        <f>VLOOKUP(A:A,'ITEM LIST'!A:C,3,0)</f>
        <v>#N/A</v>
      </c>
      <c r="D9211" s="6">
        <f t="shared" si="144"/>
        <v>0</v>
      </c>
    </row>
    <row r="9212" spans="3:4" ht="15" x14ac:dyDescent="0.25">
      <c r="C9212" s="8" t="e">
        <f>VLOOKUP(A:A,'ITEM LIST'!A:C,3,0)</f>
        <v>#N/A</v>
      </c>
      <c r="D9212" s="6">
        <f t="shared" si="144"/>
        <v>0</v>
      </c>
    </row>
    <row r="9213" spans="3:4" ht="15" x14ac:dyDescent="0.25">
      <c r="C9213" s="8" t="e">
        <f>VLOOKUP(A:A,'ITEM LIST'!A:C,3,0)</f>
        <v>#N/A</v>
      </c>
      <c r="D9213" s="6">
        <f t="shared" si="144"/>
        <v>0</v>
      </c>
    </row>
    <row r="9214" spans="3:4" ht="15" x14ac:dyDescent="0.25">
      <c r="C9214" s="8" t="e">
        <f>VLOOKUP(A:A,'ITEM LIST'!A:C,3,0)</f>
        <v>#N/A</v>
      </c>
      <c r="D9214" s="6">
        <f t="shared" si="144"/>
        <v>0</v>
      </c>
    </row>
    <row r="9215" spans="3:4" ht="15" x14ac:dyDescent="0.25">
      <c r="C9215" s="8" t="e">
        <f>VLOOKUP(A:A,'ITEM LIST'!A:C,3,0)</f>
        <v>#N/A</v>
      </c>
      <c r="D9215" s="6">
        <f t="shared" si="144"/>
        <v>0</v>
      </c>
    </row>
    <row r="9216" spans="3:4" ht="15" x14ac:dyDescent="0.25">
      <c r="C9216" s="8" t="e">
        <f>VLOOKUP(A:A,'ITEM LIST'!A:C,3,0)</f>
        <v>#N/A</v>
      </c>
      <c r="D9216" s="6">
        <f t="shared" si="144"/>
        <v>0</v>
      </c>
    </row>
    <row r="9217" spans="3:4" ht="15" x14ac:dyDescent="0.25">
      <c r="C9217" s="8" t="e">
        <f>VLOOKUP(A:A,'ITEM LIST'!A:C,3,0)</f>
        <v>#N/A</v>
      </c>
      <c r="D9217" s="6">
        <f t="shared" si="144"/>
        <v>0</v>
      </c>
    </row>
    <row r="9218" spans="3:4" ht="15" x14ac:dyDescent="0.25">
      <c r="C9218" s="8" t="e">
        <f>VLOOKUP(A:A,'ITEM LIST'!A:C,3,0)</f>
        <v>#N/A</v>
      </c>
      <c r="D9218" s="6">
        <f t="shared" si="144"/>
        <v>0</v>
      </c>
    </row>
    <row r="9219" spans="3:4" ht="15" x14ac:dyDescent="0.25">
      <c r="C9219" s="8" t="e">
        <f>VLOOKUP(A:A,'ITEM LIST'!A:C,3,0)</f>
        <v>#N/A</v>
      </c>
      <c r="D9219" s="6">
        <f t="shared" si="144"/>
        <v>0</v>
      </c>
    </row>
    <row r="9220" spans="3:4" ht="15" x14ac:dyDescent="0.25">
      <c r="C9220" s="8" t="e">
        <f>VLOOKUP(A:A,'ITEM LIST'!A:C,3,0)</f>
        <v>#N/A</v>
      </c>
      <c r="D9220" s="6">
        <f t="shared" si="144"/>
        <v>0</v>
      </c>
    </row>
    <row r="9221" spans="3:4" ht="15" x14ac:dyDescent="0.25">
      <c r="C9221" s="8" t="e">
        <f>VLOOKUP(A:A,'ITEM LIST'!A:C,3,0)</f>
        <v>#N/A</v>
      </c>
      <c r="D9221" s="6">
        <f t="shared" si="144"/>
        <v>0</v>
      </c>
    </row>
    <row r="9222" spans="3:4" ht="15" x14ac:dyDescent="0.25">
      <c r="C9222" s="8" t="e">
        <f>VLOOKUP(A:A,'ITEM LIST'!A:C,3,0)</f>
        <v>#N/A</v>
      </c>
      <c r="D9222" s="6">
        <f t="shared" ref="D9222:D9285" si="145">B9222</f>
        <v>0</v>
      </c>
    </row>
    <row r="9223" spans="3:4" ht="15" x14ac:dyDescent="0.25">
      <c r="C9223" s="8" t="e">
        <f>VLOOKUP(A:A,'ITEM LIST'!A:C,3,0)</f>
        <v>#N/A</v>
      </c>
      <c r="D9223" s="6">
        <f t="shared" si="145"/>
        <v>0</v>
      </c>
    </row>
    <row r="9224" spans="3:4" ht="15" x14ac:dyDescent="0.25">
      <c r="C9224" s="8" t="e">
        <f>VLOOKUP(A:A,'ITEM LIST'!A:C,3,0)</f>
        <v>#N/A</v>
      </c>
      <c r="D9224" s="6">
        <f t="shared" si="145"/>
        <v>0</v>
      </c>
    </row>
    <row r="9225" spans="3:4" ht="15" x14ac:dyDescent="0.25">
      <c r="C9225" s="8" t="e">
        <f>VLOOKUP(A:A,'ITEM LIST'!A:C,3,0)</f>
        <v>#N/A</v>
      </c>
      <c r="D9225" s="6">
        <f t="shared" si="145"/>
        <v>0</v>
      </c>
    </row>
    <row r="9226" spans="3:4" ht="15" x14ac:dyDescent="0.25">
      <c r="C9226" s="8" t="e">
        <f>VLOOKUP(A:A,'ITEM LIST'!A:C,3,0)</f>
        <v>#N/A</v>
      </c>
      <c r="D9226" s="6">
        <f t="shared" si="145"/>
        <v>0</v>
      </c>
    </row>
    <row r="9227" spans="3:4" ht="15" x14ac:dyDescent="0.25">
      <c r="C9227" s="8" t="e">
        <f>VLOOKUP(A:A,'ITEM LIST'!A:C,3,0)</f>
        <v>#N/A</v>
      </c>
      <c r="D9227" s="6">
        <f t="shared" si="145"/>
        <v>0</v>
      </c>
    </row>
    <row r="9228" spans="3:4" ht="15" x14ac:dyDescent="0.25">
      <c r="C9228" s="8" t="e">
        <f>VLOOKUP(A:A,'ITEM LIST'!A:C,3,0)</f>
        <v>#N/A</v>
      </c>
      <c r="D9228" s="6">
        <f t="shared" si="145"/>
        <v>0</v>
      </c>
    </row>
    <row r="9229" spans="3:4" ht="15" x14ac:dyDescent="0.25">
      <c r="C9229" s="8" t="e">
        <f>VLOOKUP(A:A,'ITEM LIST'!A:C,3,0)</f>
        <v>#N/A</v>
      </c>
      <c r="D9229" s="6">
        <f t="shared" si="145"/>
        <v>0</v>
      </c>
    </row>
    <row r="9230" spans="3:4" ht="15" x14ac:dyDescent="0.25">
      <c r="C9230" s="8" t="e">
        <f>VLOOKUP(A:A,'ITEM LIST'!A:C,3,0)</f>
        <v>#N/A</v>
      </c>
      <c r="D9230" s="6">
        <f t="shared" si="145"/>
        <v>0</v>
      </c>
    </row>
    <row r="9231" spans="3:4" ht="15" x14ac:dyDescent="0.25">
      <c r="C9231" s="8" t="e">
        <f>VLOOKUP(A:A,'ITEM LIST'!A:C,3,0)</f>
        <v>#N/A</v>
      </c>
      <c r="D9231" s="6">
        <f t="shared" si="145"/>
        <v>0</v>
      </c>
    </row>
    <row r="9232" spans="3:4" ht="15" x14ac:dyDescent="0.25">
      <c r="C9232" s="8" t="e">
        <f>VLOOKUP(A:A,'ITEM LIST'!A:C,3,0)</f>
        <v>#N/A</v>
      </c>
      <c r="D9232" s="6">
        <f t="shared" si="145"/>
        <v>0</v>
      </c>
    </row>
    <row r="9233" spans="3:4" ht="15" x14ac:dyDescent="0.25">
      <c r="C9233" s="8" t="e">
        <f>VLOOKUP(A:A,'ITEM LIST'!A:C,3,0)</f>
        <v>#N/A</v>
      </c>
      <c r="D9233" s="6">
        <f t="shared" si="145"/>
        <v>0</v>
      </c>
    </row>
    <row r="9234" spans="3:4" ht="15" x14ac:dyDescent="0.25">
      <c r="C9234" s="8" t="e">
        <f>VLOOKUP(A:A,'ITEM LIST'!A:C,3,0)</f>
        <v>#N/A</v>
      </c>
      <c r="D9234" s="6">
        <f t="shared" si="145"/>
        <v>0</v>
      </c>
    </row>
    <row r="9235" spans="3:4" ht="15" x14ac:dyDescent="0.25">
      <c r="C9235" s="8" t="e">
        <f>VLOOKUP(A:A,'ITEM LIST'!A:C,3,0)</f>
        <v>#N/A</v>
      </c>
      <c r="D9235" s="6">
        <f t="shared" si="145"/>
        <v>0</v>
      </c>
    </row>
    <row r="9236" spans="3:4" ht="15" x14ac:dyDescent="0.25">
      <c r="C9236" s="8" t="e">
        <f>VLOOKUP(A:A,'ITEM LIST'!A:C,3,0)</f>
        <v>#N/A</v>
      </c>
      <c r="D9236" s="6">
        <f t="shared" si="145"/>
        <v>0</v>
      </c>
    </row>
    <row r="9237" spans="3:4" ht="15" x14ac:dyDescent="0.25">
      <c r="C9237" s="8" t="e">
        <f>VLOOKUP(A:A,'ITEM LIST'!A:C,3,0)</f>
        <v>#N/A</v>
      </c>
      <c r="D9237" s="6">
        <f t="shared" si="145"/>
        <v>0</v>
      </c>
    </row>
    <row r="9238" spans="3:4" ht="15" x14ac:dyDescent="0.25">
      <c r="C9238" s="8" t="e">
        <f>VLOOKUP(A:A,'ITEM LIST'!A:C,3,0)</f>
        <v>#N/A</v>
      </c>
      <c r="D9238" s="6">
        <f t="shared" si="145"/>
        <v>0</v>
      </c>
    </row>
    <row r="9239" spans="3:4" ht="15" x14ac:dyDescent="0.25">
      <c r="C9239" s="8" t="e">
        <f>VLOOKUP(A:A,'ITEM LIST'!A:C,3,0)</f>
        <v>#N/A</v>
      </c>
      <c r="D9239" s="6">
        <f t="shared" si="145"/>
        <v>0</v>
      </c>
    </row>
    <row r="9240" spans="3:4" ht="15" x14ac:dyDescent="0.25">
      <c r="C9240" s="8" t="e">
        <f>VLOOKUP(A:A,'ITEM LIST'!A:C,3,0)</f>
        <v>#N/A</v>
      </c>
      <c r="D9240" s="6">
        <f t="shared" si="145"/>
        <v>0</v>
      </c>
    </row>
    <row r="9241" spans="3:4" ht="15" x14ac:dyDescent="0.25">
      <c r="C9241" s="8" t="e">
        <f>VLOOKUP(A:A,'ITEM LIST'!A:C,3,0)</f>
        <v>#N/A</v>
      </c>
      <c r="D9241" s="6">
        <f t="shared" si="145"/>
        <v>0</v>
      </c>
    </row>
    <row r="9242" spans="3:4" ht="15" x14ac:dyDescent="0.25">
      <c r="C9242" s="8" t="e">
        <f>VLOOKUP(A:A,'ITEM LIST'!A:C,3,0)</f>
        <v>#N/A</v>
      </c>
      <c r="D9242" s="6">
        <f t="shared" si="145"/>
        <v>0</v>
      </c>
    </row>
    <row r="9243" spans="3:4" ht="15" x14ac:dyDescent="0.25">
      <c r="C9243" s="8" t="e">
        <f>VLOOKUP(A:A,'ITEM LIST'!A:C,3,0)</f>
        <v>#N/A</v>
      </c>
      <c r="D9243" s="6">
        <f t="shared" si="145"/>
        <v>0</v>
      </c>
    </row>
    <row r="9244" spans="3:4" ht="15" x14ac:dyDescent="0.25">
      <c r="C9244" s="8" t="e">
        <f>VLOOKUP(A:A,'ITEM LIST'!A:C,3,0)</f>
        <v>#N/A</v>
      </c>
      <c r="D9244" s="6">
        <f t="shared" si="145"/>
        <v>0</v>
      </c>
    </row>
    <row r="9245" spans="3:4" ht="15" x14ac:dyDescent="0.25">
      <c r="C9245" s="8" t="e">
        <f>VLOOKUP(A:A,'ITEM LIST'!A:C,3,0)</f>
        <v>#N/A</v>
      </c>
      <c r="D9245" s="6">
        <f t="shared" si="145"/>
        <v>0</v>
      </c>
    </row>
    <row r="9246" spans="3:4" ht="15" x14ac:dyDescent="0.25">
      <c r="C9246" s="8" t="e">
        <f>VLOOKUP(A:A,'ITEM LIST'!A:C,3,0)</f>
        <v>#N/A</v>
      </c>
      <c r="D9246" s="6">
        <f t="shared" si="145"/>
        <v>0</v>
      </c>
    </row>
    <row r="9247" spans="3:4" ht="15" x14ac:dyDescent="0.25">
      <c r="C9247" s="8" t="e">
        <f>VLOOKUP(A:A,'ITEM LIST'!A:C,3,0)</f>
        <v>#N/A</v>
      </c>
      <c r="D9247" s="6">
        <f t="shared" si="145"/>
        <v>0</v>
      </c>
    </row>
    <row r="9248" spans="3:4" ht="15" x14ac:dyDescent="0.25">
      <c r="C9248" s="8" t="e">
        <f>VLOOKUP(A:A,'ITEM LIST'!A:C,3,0)</f>
        <v>#N/A</v>
      </c>
      <c r="D9248" s="6">
        <f t="shared" si="145"/>
        <v>0</v>
      </c>
    </row>
    <row r="9249" spans="3:4" ht="15" x14ac:dyDescent="0.25">
      <c r="C9249" s="8" t="e">
        <f>VLOOKUP(A:A,'ITEM LIST'!A:C,3,0)</f>
        <v>#N/A</v>
      </c>
      <c r="D9249" s="6">
        <f t="shared" si="145"/>
        <v>0</v>
      </c>
    </row>
    <row r="9250" spans="3:4" ht="15" x14ac:dyDescent="0.25">
      <c r="C9250" s="8" t="e">
        <f>VLOOKUP(A:A,'ITEM LIST'!A:C,3,0)</f>
        <v>#N/A</v>
      </c>
      <c r="D9250" s="6">
        <f t="shared" si="145"/>
        <v>0</v>
      </c>
    </row>
    <row r="9251" spans="3:4" ht="15" x14ac:dyDescent="0.25">
      <c r="C9251" s="8" t="e">
        <f>VLOOKUP(A:A,'ITEM LIST'!A:C,3,0)</f>
        <v>#N/A</v>
      </c>
      <c r="D9251" s="6">
        <f t="shared" si="145"/>
        <v>0</v>
      </c>
    </row>
    <row r="9252" spans="3:4" ht="15" x14ac:dyDescent="0.25">
      <c r="C9252" s="8" t="e">
        <f>VLOOKUP(A:A,'ITEM LIST'!A:C,3,0)</f>
        <v>#N/A</v>
      </c>
      <c r="D9252" s="6">
        <f t="shared" si="145"/>
        <v>0</v>
      </c>
    </row>
    <row r="9253" spans="3:4" ht="15" x14ac:dyDescent="0.25">
      <c r="C9253" s="8" t="e">
        <f>VLOOKUP(A:A,'ITEM LIST'!A:C,3,0)</f>
        <v>#N/A</v>
      </c>
      <c r="D9253" s="6">
        <f t="shared" si="145"/>
        <v>0</v>
      </c>
    </row>
    <row r="9254" spans="3:4" ht="15" x14ac:dyDescent="0.25">
      <c r="C9254" s="8" t="e">
        <f>VLOOKUP(A:A,'ITEM LIST'!A:C,3,0)</f>
        <v>#N/A</v>
      </c>
      <c r="D9254" s="6">
        <f t="shared" si="145"/>
        <v>0</v>
      </c>
    </row>
    <row r="9255" spans="3:4" ht="15" x14ac:dyDescent="0.25">
      <c r="C9255" s="8" t="e">
        <f>VLOOKUP(A:A,'ITEM LIST'!A:C,3,0)</f>
        <v>#N/A</v>
      </c>
      <c r="D9255" s="6">
        <f t="shared" si="145"/>
        <v>0</v>
      </c>
    </row>
    <row r="9256" spans="3:4" ht="15" x14ac:dyDescent="0.25">
      <c r="C9256" s="8" t="e">
        <f>VLOOKUP(A:A,'ITEM LIST'!A:C,3,0)</f>
        <v>#N/A</v>
      </c>
      <c r="D9256" s="6">
        <f t="shared" si="145"/>
        <v>0</v>
      </c>
    </row>
    <row r="9257" spans="3:4" ht="15" x14ac:dyDescent="0.25">
      <c r="C9257" s="8" t="e">
        <f>VLOOKUP(A:A,'ITEM LIST'!A:C,3,0)</f>
        <v>#N/A</v>
      </c>
      <c r="D9257" s="6">
        <f t="shared" si="145"/>
        <v>0</v>
      </c>
    </row>
    <row r="9258" spans="3:4" ht="15" x14ac:dyDescent="0.25">
      <c r="C9258" s="8" t="e">
        <f>VLOOKUP(A:A,'ITEM LIST'!A:C,3,0)</f>
        <v>#N/A</v>
      </c>
      <c r="D9258" s="6">
        <f t="shared" si="145"/>
        <v>0</v>
      </c>
    </row>
    <row r="9259" spans="3:4" ht="15" x14ac:dyDescent="0.25">
      <c r="C9259" s="8" t="e">
        <f>VLOOKUP(A:A,'ITEM LIST'!A:C,3,0)</f>
        <v>#N/A</v>
      </c>
      <c r="D9259" s="6">
        <f t="shared" si="145"/>
        <v>0</v>
      </c>
    </row>
    <row r="9260" spans="3:4" ht="15" x14ac:dyDescent="0.25">
      <c r="C9260" s="8" t="e">
        <f>VLOOKUP(A:A,'ITEM LIST'!A:C,3,0)</f>
        <v>#N/A</v>
      </c>
      <c r="D9260" s="6">
        <f t="shared" si="145"/>
        <v>0</v>
      </c>
    </row>
    <row r="9261" spans="3:4" ht="15" x14ac:dyDescent="0.25">
      <c r="C9261" s="8" t="e">
        <f>VLOOKUP(A:A,'ITEM LIST'!A:C,3,0)</f>
        <v>#N/A</v>
      </c>
      <c r="D9261" s="6">
        <f t="shared" si="145"/>
        <v>0</v>
      </c>
    </row>
    <row r="9262" spans="3:4" ht="15" x14ac:dyDescent="0.25">
      <c r="C9262" s="8" t="e">
        <f>VLOOKUP(A:A,'ITEM LIST'!A:C,3,0)</f>
        <v>#N/A</v>
      </c>
      <c r="D9262" s="6">
        <f t="shared" si="145"/>
        <v>0</v>
      </c>
    </row>
    <row r="9263" spans="3:4" ht="15" x14ac:dyDescent="0.25">
      <c r="C9263" s="8" t="e">
        <f>VLOOKUP(A:A,'ITEM LIST'!A:C,3,0)</f>
        <v>#N/A</v>
      </c>
      <c r="D9263" s="6">
        <f t="shared" si="145"/>
        <v>0</v>
      </c>
    </row>
    <row r="9264" spans="3:4" ht="15" x14ac:dyDescent="0.25">
      <c r="C9264" s="8" t="e">
        <f>VLOOKUP(A:A,'ITEM LIST'!A:C,3,0)</f>
        <v>#N/A</v>
      </c>
      <c r="D9264" s="6">
        <f t="shared" si="145"/>
        <v>0</v>
      </c>
    </row>
    <row r="9265" spans="3:4" ht="15" x14ac:dyDescent="0.25">
      <c r="C9265" s="8" t="e">
        <f>VLOOKUP(A:A,'ITEM LIST'!A:C,3,0)</f>
        <v>#N/A</v>
      </c>
      <c r="D9265" s="6">
        <f t="shared" si="145"/>
        <v>0</v>
      </c>
    </row>
    <row r="9266" spans="3:4" ht="15" x14ac:dyDescent="0.25">
      <c r="C9266" s="8" t="e">
        <f>VLOOKUP(A:A,'ITEM LIST'!A:C,3,0)</f>
        <v>#N/A</v>
      </c>
      <c r="D9266" s="6">
        <f t="shared" si="145"/>
        <v>0</v>
      </c>
    </row>
    <row r="9267" spans="3:4" ht="15" x14ac:dyDescent="0.25">
      <c r="C9267" s="8" t="e">
        <f>VLOOKUP(A:A,'ITEM LIST'!A:C,3,0)</f>
        <v>#N/A</v>
      </c>
      <c r="D9267" s="6">
        <f t="shared" si="145"/>
        <v>0</v>
      </c>
    </row>
    <row r="9268" spans="3:4" ht="15" x14ac:dyDescent="0.25">
      <c r="C9268" s="8" t="e">
        <f>VLOOKUP(A:A,'ITEM LIST'!A:C,3,0)</f>
        <v>#N/A</v>
      </c>
      <c r="D9268" s="6">
        <f t="shared" si="145"/>
        <v>0</v>
      </c>
    </row>
    <row r="9269" spans="3:4" ht="15" x14ac:dyDescent="0.25">
      <c r="C9269" s="8" t="e">
        <f>VLOOKUP(A:A,'ITEM LIST'!A:C,3,0)</f>
        <v>#N/A</v>
      </c>
      <c r="D9269" s="6">
        <f t="shared" si="145"/>
        <v>0</v>
      </c>
    </row>
    <row r="9270" spans="3:4" ht="15" x14ac:dyDescent="0.25">
      <c r="C9270" s="8" t="e">
        <f>VLOOKUP(A:A,'ITEM LIST'!A:C,3,0)</f>
        <v>#N/A</v>
      </c>
      <c r="D9270" s="6">
        <f t="shared" si="145"/>
        <v>0</v>
      </c>
    </row>
    <row r="9271" spans="3:4" ht="15" x14ac:dyDescent="0.25">
      <c r="C9271" s="8" t="e">
        <f>VLOOKUP(A:A,'ITEM LIST'!A:C,3,0)</f>
        <v>#N/A</v>
      </c>
      <c r="D9271" s="6">
        <f t="shared" si="145"/>
        <v>0</v>
      </c>
    </row>
    <row r="9272" spans="3:4" ht="15" x14ac:dyDescent="0.25">
      <c r="C9272" s="8" t="e">
        <f>VLOOKUP(A:A,'ITEM LIST'!A:C,3,0)</f>
        <v>#N/A</v>
      </c>
      <c r="D9272" s="6">
        <f t="shared" si="145"/>
        <v>0</v>
      </c>
    </row>
    <row r="9273" spans="3:4" ht="15" x14ac:dyDescent="0.25">
      <c r="C9273" s="8" t="e">
        <f>VLOOKUP(A:A,'ITEM LIST'!A:C,3,0)</f>
        <v>#N/A</v>
      </c>
      <c r="D9273" s="6">
        <f t="shared" si="145"/>
        <v>0</v>
      </c>
    </row>
    <row r="9274" spans="3:4" ht="15" x14ac:dyDescent="0.25">
      <c r="C9274" s="8" t="e">
        <f>VLOOKUP(A:A,'ITEM LIST'!A:C,3,0)</f>
        <v>#N/A</v>
      </c>
      <c r="D9274" s="6">
        <f t="shared" si="145"/>
        <v>0</v>
      </c>
    </row>
    <row r="9275" spans="3:4" ht="15" x14ac:dyDescent="0.25">
      <c r="C9275" s="8" t="e">
        <f>VLOOKUP(A:A,'ITEM LIST'!A:C,3,0)</f>
        <v>#N/A</v>
      </c>
      <c r="D9275" s="6">
        <f t="shared" si="145"/>
        <v>0</v>
      </c>
    </row>
    <row r="9276" spans="3:4" ht="15" x14ac:dyDescent="0.25">
      <c r="C9276" s="8" t="e">
        <f>VLOOKUP(A:A,'ITEM LIST'!A:C,3,0)</f>
        <v>#N/A</v>
      </c>
      <c r="D9276" s="6">
        <f t="shared" si="145"/>
        <v>0</v>
      </c>
    </row>
    <row r="9277" spans="3:4" ht="15" x14ac:dyDescent="0.25">
      <c r="C9277" s="8" t="e">
        <f>VLOOKUP(A:A,'ITEM LIST'!A:C,3,0)</f>
        <v>#N/A</v>
      </c>
      <c r="D9277" s="6">
        <f t="shared" si="145"/>
        <v>0</v>
      </c>
    </row>
    <row r="9278" spans="3:4" ht="15" x14ac:dyDescent="0.25">
      <c r="C9278" s="8" t="e">
        <f>VLOOKUP(A:A,'ITEM LIST'!A:C,3,0)</f>
        <v>#N/A</v>
      </c>
      <c r="D9278" s="6">
        <f t="shared" si="145"/>
        <v>0</v>
      </c>
    </row>
    <row r="9279" spans="3:4" ht="15" x14ac:dyDescent="0.25">
      <c r="C9279" s="8" t="e">
        <f>VLOOKUP(A:A,'ITEM LIST'!A:C,3,0)</f>
        <v>#N/A</v>
      </c>
      <c r="D9279" s="6">
        <f t="shared" si="145"/>
        <v>0</v>
      </c>
    </row>
    <row r="9280" spans="3:4" ht="15" x14ac:dyDescent="0.25">
      <c r="C9280" s="8" t="e">
        <f>VLOOKUP(A:A,'ITEM LIST'!A:C,3,0)</f>
        <v>#N/A</v>
      </c>
      <c r="D9280" s="6">
        <f t="shared" si="145"/>
        <v>0</v>
      </c>
    </row>
    <row r="9281" spans="3:4" ht="15" x14ac:dyDescent="0.25">
      <c r="C9281" s="8" t="e">
        <f>VLOOKUP(A:A,'ITEM LIST'!A:C,3,0)</f>
        <v>#N/A</v>
      </c>
      <c r="D9281" s="6">
        <f t="shared" si="145"/>
        <v>0</v>
      </c>
    </row>
    <row r="9282" spans="3:4" ht="15" x14ac:dyDescent="0.25">
      <c r="C9282" s="8" t="e">
        <f>VLOOKUP(A:A,'ITEM LIST'!A:C,3,0)</f>
        <v>#N/A</v>
      </c>
      <c r="D9282" s="6">
        <f t="shared" si="145"/>
        <v>0</v>
      </c>
    </row>
    <row r="9283" spans="3:4" ht="15" x14ac:dyDescent="0.25">
      <c r="C9283" s="8" t="e">
        <f>VLOOKUP(A:A,'ITEM LIST'!A:C,3,0)</f>
        <v>#N/A</v>
      </c>
      <c r="D9283" s="6">
        <f t="shared" si="145"/>
        <v>0</v>
      </c>
    </row>
    <row r="9284" spans="3:4" ht="15" x14ac:dyDescent="0.25">
      <c r="C9284" s="8" t="e">
        <f>VLOOKUP(A:A,'ITEM LIST'!A:C,3,0)</f>
        <v>#N/A</v>
      </c>
      <c r="D9284" s="6">
        <f t="shared" si="145"/>
        <v>0</v>
      </c>
    </row>
    <row r="9285" spans="3:4" ht="15" x14ac:dyDescent="0.25">
      <c r="C9285" s="8" t="e">
        <f>VLOOKUP(A:A,'ITEM LIST'!A:C,3,0)</f>
        <v>#N/A</v>
      </c>
      <c r="D9285" s="6">
        <f t="shared" si="145"/>
        <v>0</v>
      </c>
    </row>
    <row r="9286" spans="3:4" ht="15" x14ac:dyDescent="0.25">
      <c r="C9286" s="8" t="e">
        <f>VLOOKUP(A:A,'ITEM LIST'!A:C,3,0)</f>
        <v>#N/A</v>
      </c>
      <c r="D9286" s="6">
        <f t="shared" ref="D9286:D9349" si="146">B9286</f>
        <v>0</v>
      </c>
    </row>
    <row r="9287" spans="3:4" ht="15" x14ac:dyDescent="0.25">
      <c r="C9287" s="8" t="e">
        <f>VLOOKUP(A:A,'ITEM LIST'!A:C,3,0)</f>
        <v>#N/A</v>
      </c>
      <c r="D9287" s="6">
        <f t="shared" si="146"/>
        <v>0</v>
      </c>
    </row>
    <row r="9288" spans="3:4" ht="15" x14ac:dyDescent="0.25">
      <c r="C9288" s="8" t="e">
        <f>VLOOKUP(A:A,'ITEM LIST'!A:C,3,0)</f>
        <v>#N/A</v>
      </c>
      <c r="D9288" s="6">
        <f t="shared" si="146"/>
        <v>0</v>
      </c>
    </row>
    <row r="9289" spans="3:4" ht="15" x14ac:dyDescent="0.25">
      <c r="C9289" s="8" t="e">
        <f>VLOOKUP(A:A,'ITEM LIST'!A:C,3,0)</f>
        <v>#N/A</v>
      </c>
      <c r="D9289" s="6">
        <f t="shared" si="146"/>
        <v>0</v>
      </c>
    </row>
    <row r="9290" spans="3:4" ht="15" x14ac:dyDescent="0.25">
      <c r="C9290" s="8" t="e">
        <f>VLOOKUP(A:A,'ITEM LIST'!A:C,3,0)</f>
        <v>#N/A</v>
      </c>
      <c r="D9290" s="6">
        <f t="shared" si="146"/>
        <v>0</v>
      </c>
    </row>
    <row r="9291" spans="3:4" ht="15" x14ac:dyDescent="0.25">
      <c r="C9291" s="8" t="e">
        <f>VLOOKUP(A:A,'ITEM LIST'!A:C,3,0)</f>
        <v>#N/A</v>
      </c>
      <c r="D9291" s="6">
        <f t="shared" si="146"/>
        <v>0</v>
      </c>
    </row>
    <row r="9292" spans="3:4" ht="15" x14ac:dyDescent="0.25">
      <c r="C9292" s="8" t="e">
        <f>VLOOKUP(A:A,'ITEM LIST'!A:C,3,0)</f>
        <v>#N/A</v>
      </c>
      <c r="D9292" s="6">
        <f t="shared" si="146"/>
        <v>0</v>
      </c>
    </row>
    <row r="9293" spans="3:4" ht="15" x14ac:dyDescent="0.25">
      <c r="C9293" s="8" t="e">
        <f>VLOOKUP(A:A,'ITEM LIST'!A:C,3,0)</f>
        <v>#N/A</v>
      </c>
      <c r="D9293" s="6">
        <f t="shared" si="146"/>
        <v>0</v>
      </c>
    </row>
    <row r="9294" spans="3:4" ht="15" x14ac:dyDescent="0.25">
      <c r="C9294" s="8" t="e">
        <f>VLOOKUP(A:A,'ITEM LIST'!A:C,3,0)</f>
        <v>#N/A</v>
      </c>
      <c r="D9294" s="6">
        <f t="shared" si="146"/>
        <v>0</v>
      </c>
    </row>
    <row r="9295" spans="3:4" ht="15" x14ac:dyDescent="0.25">
      <c r="C9295" s="8" t="e">
        <f>VLOOKUP(A:A,'ITEM LIST'!A:C,3,0)</f>
        <v>#N/A</v>
      </c>
      <c r="D9295" s="6">
        <f t="shared" si="146"/>
        <v>0</v>
      </c>
    </row>
    <row r="9296" spans="3:4" ht="15" x14ac:dyDescent="0.25">
      <c r="C9296" s="8" t="e">
        <f>VLOOKUP(A:A,'ITEM LIST'!A:C,3,0)</f>
        <v>#N/A</v>
      </c>
      <c r="D9296" s="6">
        <f t="shared" si="146"/>
        <v>0</v>
      </c>
    </row>
    <row r="9297" spans="3:4" ht="15" x14ac:dyDescent="0.25">
      <c r="C9297" s="8" t="e">
        <f>VLOOKUP(A:A,'ITEM LIST'!A:C,3,0)</f>
        <v>#N/A</v>
      </c>
      <c r="D9297" s="6">
        <f t="shared" si="146"/>
        <v>0</v>
      </c>
    </row>
    <row r="9298" spans="3:4" ht="15" x14ac:dyDescent="0.25">
      <c r="C9298" s="8" t="e">
        <f>VLOOKUP(A:A,'ITEM LIST'!A:C,3,0)</f>
        <v>#N/A</v>
      </c>
      <c r="D9298" s="6">
        <f t="shared" si="146"/>
        <v>0</v>
      </c>
    </row>
    <row r="9299" spans="3:4" ht="15" x14ac:dyDescent="0.25">
      <c r="C9299" s="8" t="e">
        <f>VLOOKUP(A:A,'ITEM LIST'!A:C,3,0)</f>
        <v>#N/A</v>
      </c>
      <c r="D9299" s="6">
        <f t="shared" si="146"/>
        <v>0</v>
      </c>
    </row>
    <row r="9300" spans="3:4" ht="15" x14ac:dyDescent="0.25">
      <c r="C9300" s="8" t="e">
        <f>VLOOKUP(A:A,'ITEM LIST'!A:C,3,0)</f>
        <v>#N/A</v>
      </c>
      <c r="D9300" s="6">
        <f t="shared" si="146"/>
        <v>0</v>
      </c>
    </row>
    <row r="9301" spans="3:4" ht="15" x14ac:dyDescent="0.25">
      <c r="C9301" s="8" t="e">
        <f>VLOOKUP(A:A,'ITEM LIST'!A:C,3,0)</f>
        <v>#N/A</v>
      </c>
      <c r="D9301" s="6">
        <f t="shared" si="146"/>
        <v>0</v>
      </c>
    </row>
    <row r="9302" spans="3:4" ht="15" x14ac:dyDescent="0.25">
      <c r="C9302" s="8" t="e">
        <f>VLOOKUP(A:A,'ITEM LIST'!A:C,3,0)</f>
        <v>#N/A</v>
      </c>
      <c r="D9302" s="6">
        <f t="shared" si="146"/>
        <v>0</v>
      </c>
    </row>
    <row r="9303" spans="3:4" ht="15" x14ac:dyDescent="0.25">
      <c r="C9303" s="8" t="e">
        <f>VLOOKUP(A:A,'ITEM LIST'!A:C,3,0)</f>
        <v>#N/A</v>
      </c>
      <c r="D9303" s="6">
        <f t="shared" si="146"/>
        <v>0</v>
      </c>
    </row>
    <row r="9304" spans="3:4" ht="15" x14ac:dyDescent="0.25">
      <c r="C9304" s="8" t="e">
        <f>VLOOKUP(A:A,'ITEM LIST'!A:C,3,0)</f>
        <v>#N/A</v>
      </c>
      <c r="D9304" s="6">
        <f t="shared" si="146"/>
        <v>0</v>
      </c>
    </row>
    <row r="9305" spans="3:4" ht="15" x14ac:dyDescent="0.25">
      <c r="C9305" s="8" t="e">
        <f>VLOOKUP(A:A,'ITEM LIST'!A:C,3,0)</f>
        <v>#N/A</v>
      </c>
      <c r="D9305" s="6">
        <f t="shared" si="146"/>
        <v>0</v>
      </c>
    </row>
    <row r="9306" spans="3:4" ht="15" x14ac:dyDescent="0.25">
      <c r="C9306" s="8" t="e">
        <f>VLOOKUP(A:A,'ITEM LIST'!A:C,3,0)</f>
        <v>#N/A</v>
      </c>
      <c r="D9306" s="6">
        <f t="shared" si="146"/>
        <v>0</v>
      </c>
    </row>
    <row r="9307" spans="3:4" ht="15" x14ac:dyDescent="0.25">
      <c r="C9307" s="8" t="e">
        <f>VLOOKUP(A:A,'ITEM LIST'!A:C,3,0)</f>
        <v>#N/A</v>
      </c>
      <c r="D9307" s="6">
        <f t="shared" si="146"/>
        <v>0</v>
      </c>
    </row>
    <row r="9308" spans="3:4" ht="15" x14ac:dyDescent="0.25">
      <c r="C9308" s="8" t="e">
        <f>VLOOKUP(A:A,'ITEM LIST'!A:C,3,0)</f>
        <v>#N/A</v>
      </c>
      <c r="D9308" s="6">
        <f t="shared" si="146"/>
        <v>0</v>
      </c>
    </row>
    <row r="9309" spans="3:4" ht="15" x14ac:dyDescent="0.25">
      <c r="C9309" s="8" t="e">
        <f>VLOOKUP(A:A,'ITEM LIST'!A:C,3,0)</f>
        <v>#N/A</v>
      </c>
      <c r="D9309" s="6">
        <f t="shared" si="146"/>
        <v>0</v>
      </c>
    </row>
    <row r="9310" spans="3:4" ht="15" x14ac:dyDescent="0.25">
      <c r="C9310" s="8" t="e">
        <f>VLOOKUP(A:A,'ITEM LIST'!A:C,3,0)</f>
        <v>#N/A</v>
      </c>
      <c r="D9310" s="6">
        <f t="shared" si="146"/>
        <v>0</v>
      </c>
    </row>
    <row r="9311" spans="3:4" ht="15" x14ac:dyDescent="0.25">
      <c r="C9311" s="8" t="e">
        <f>VLOOKUP(A:A,'ITEM LIST'!A:C,3,0)</f>
        <v>#N/A</v>
      </c>
      <c r="D9311" s="6">
        <f t="shared" si="146"/>
        <v>0</v>
      </c>
    </row>
    <row r="9312" spans="3:4" ht="15" x14ac:dyDescent="0.25">
      <c r="C9312" s="8" t="e">
        <f>VLOOKUP(A:A,'ITEM LIST'!A:C,3,0)</f>
        <v>#N/A</v>
      </c>
      <c r="D9312" s="6">
        <f t="shared" si="146"/>
        <v>0</v>
      </c>
    </row>
    <row r="9313" spans="3:4" ht="15" x14ac:dyDescent="0.25">
      <c r="C9313" s="8" t="e">
        <f>VLOOKUP(A:A,'ITEM LIST'!A:C,3,0)</f>
        <v>#N/A</v>
      </c>
      <c r="D9313" s="6">
        <f t="shared" si="146"/>
        <v>0</v>
      </c>
    </row>
    <row r="9314" spans="3:4" ht="15" x14ac:dyDescent="0.25">
      <c r="C9314" s="8" t="e">
        <f>VLOOKUP(A:A,'ITEM LIST'!A:C,3,0)</f>
        <v>#N/A</v>
      </c>
      <c r="D9314" s="6">
        <f t="shared" si="146"/>
        <v>0</v>
      </c>
    </row>
    <row r="9315" spans="3:4" ht="15" x14ac:dyDescent="0.25">
      <c r="C9315" s="8" t="e">
        <f>VLOOKUP(A:A,'ITEM LIST'!A:C,3,0)</f>
        <v>#N/A</v>
      </c>
      <c r="D9315" s="6">
        <f t="shared" si="146"/>
        <v>0</v>
      </c>
    </row>
    <row r="9316" spans="3:4" ht="15" x14ac:dyDescent="0.25">
      <c r="C9316" s="8" t="e">
        <f>VLOOKUP(A:A,'ITEM LIST'!A:C,3,0)</f>
        <v>#N/A</v>
      </c>
      <c r="D9316" s="6">
        <f t="shared" si="146"/>
        <v>0</v>
      </c>
    </row>
    <row r="9317" spans="3:4" ht="15" x14ac:dyDescent="0.25">
      <c r="C9317" s="8" t="e">
        <f>VLOOKUP(A:A,'ITEM LIST'!A:C,3,0)</f>
        <v>#N/A</v>
      </c>
      <c r="D9317" s="6">
        <f t="shared" si="146"/>
        <v>0</v>
      </c>
    </row>
    <row r="9318" spans="3:4" ht="15" x14ac:dyDescent="0.25">
      <c r="C9318" s="8" t="e">
        <f>VLOOKUP(A:A,'ITEM LIST'!A:C,3,0)</f>
        <v>#N/A</v>
      </c>
      <c r="D9318" s="6">
        <f t="shared" si="146"/>
        <v>0</v>
      </c>
    </row>
    <row r="9319" spans="3:4" ht="15" x14ac:dyDescent="0.25">
      <c r="C9319" s="8" t="e">
        <f>VLOOKUP(A:A,'ITEM LIST'!A:C,3,0)</f>
        <v>#N/A</v>
      </c>
      <c r="D9319" s="6">
        <f t="shared" si="146"/>
        <v>0</v>
      </c>
    </row>
    <row r="9320" spans="3:4" ht="15" x14ac:dyDescent="0.25">
      <c r="C9320" s="8" t="e">
        <f>VLOOKUP(A:A,'ITEM LIST'!A:C,3,0)</f>
        <v>#N/A</v>
      </c>
      <c r="D9320" s="6">
        <f t="shared" si="146"/>
        <v>0</v>
      </c>
    </row>
    <row r="9321" spans="3:4" ht="15" x14ac:dyDescent="0.25">
      <c r="C9321" s="8" t="e">
        <f>VLOOKUP(A:A,'ITEM LIST'!A:C,3,0)</f>
        <v>#N/A</v>
      </c>
      <c r="D9321" s="6">
        <f t="shared" si="146"/>
        <v>0</v>
      </c>
    </row>
    <row r="9322" spans="3:4" ht="15" x14ac:dyDescent="0.25">
      <c r="C9322" s="8" t="e">
        <f>VLOOKUP(A:A,'ITEM LIST'!A:C,3,0)</f>
        <v>#N/A</v>
      </c>
      <c r="D9322" s="6">
        <f t="shared" si="146"/>
        <v>0</v>
      </c>
    </row>
    <row r="9323" spans="3:4" ht="15" x14ac:dyDescent="0.25">
      <c r="C9323" s="8" t="e">
        <f>VLOOKUP(A:A,'ITEM LIST'!A:C,3,0)</f>
        <v>#N/A</v>
      </c>
      <c r="D9323" s="6">
        <f t="shared" si="146"/>
        <v>0</v>
      </c>
    </row>
    <row r="9324" spans="3:4" ht="15" x14ac:dyDescent="0.25">
      <c r="C9324" s="8" t="e">
        <f>VLOOKUP(A:A,'ITEM LIST'!A:C,3,0)</f>
        <v>#N/A</v>
      </c>
      <c r="D9324" s="6">
        <f t="shared" si="146"/>
        <v>0</v>
      </c>
    </row>
    <row r="9325" spans="3:4" ht="15" x14ac:dyDescent="0.25">
      <c r="C9325" s="8" t="e">
        <f>VLOOKUP(A:A,'ITEM LIST'!A:C,3,0)</f>
        <v>#N/A</v>
      </c>
      <c r="D9325" s="6">
        <f t="shared" si="146"/>
        <v>0</v>
      </c>
    </row>
    <row r="9326" spans="3:4" ht="15" x14ac:dyDescent="0.25">
      <c r="C9326" s="8" t="e">
        <f>VLOOKUP(A:A,'ITEM LIST'!A:C,3,0)</f>
        <v>#N/A</v>
      </c>
      <c r="D9326" s="6">
        <f t="shared" si="146"/>
        <v>0</v>
      </c>
    </row>
    <row r="9327" spans="3:4" ht="15" x14ac:dyDescent="0.25">
      <c r="C9327" s="8" t="e">
        <f>VLOOKUP(A:A,'ITEM LIST'!A:C,3,0)</f>
        <v>#N/A</v>
      </c>
      <c r="D9327" s="6">
        <f t="shared" si="146"/>
        <v>0</v>
      </c>
    </row>
    <row r="9328" spans="3:4" ht="15" x14ac:dyDescent="0.25">
      <c r="C9328" s="8" t="e">
        <f>VLOOKUP(A:A,'ITEM LIST'!A:C,3,0)</f>
        <v>#N/A</v>
      </c>
      <c r="D9328" s="6">
        <f t="shared" si="146"/>
        <v>0</v>
      </c>
    </row>
    <row r="9329" spans="3:4" ht="15" x14ac:dyDescent="0.25">
      <c r="C9329" s="8" t="e">
        <f>VLOOKUP(A:A,'ITEM LIST'!A:C,3,0)</f>
        <v>#N/A</v>
      </c>
      <c r="D9329" s="6">
        <f t="shared" si="146"/>
        <v>0</v>
      </c>
    </row>
    <row r="9330" spans="3:4" ht="15" x14ac:dyDescent="0.25">
      <c r="C9330" s="8" t="e">
        <f>VLOOKUP(A:A,'ITEM LIST'!A:C,3,0)</f>
        <v>#N/A</v>
      </c>
      <c r="D9330" s="6">
        <f t="shared" si="146"/>
        <v>0</v>
      </c>
    </row>
    <row r="9331" spans="3:4" ht="15" x14ac:dyDescent="0.25">
      <c r="C9331" s="8" t="e">
        <f>VLOOKUP(A:A,'ITEM LIST'!A:C,3,0)</f>
        <v>#N/A</v>
      </c>
      <c r="D9331" s="6">
        <f t="shared" si="146"/>
        <v>0</v>
      </c>
    </row>
    <row r="9332" spans="3:4" ht="15" x14ac:dyDescent="0.25">
      <c r="C9332" s="8" t="e">
        <f>VLOOKUP(A:A,'ITEM LIST'!A:C,3,0)</f>
        <v>#N/A</v>
      </c>
      <c r="D9332" s="6">
        <f t="shared" si="146"/>
        <v>0</v>
      </c>
    </row>
    <row r="9333" spans="3:4" ht="15" x14ac:dyDescent="0.25">
      <c r="C9333" s="8" t="e">
        <f>VLOOKUP(A:A,'ITEM LIST'!A:C,3,0)</f>
        <v>#N/A</v>
      </c>
      <c r="D9333" s="6">
        <f t="shared" si="146"/>
        <v>0</v>
      </c>
    </row>
    <row r="9334" spans="3:4" ht="15" x14ac:dyDescent="0.25">
      <c r="C9334" s="8" t="e">
        <f>VLOOKUP(A:A,'ITEM LIST'!A:C,3,0)</f>
        <v>#N/A</v>
      </c>
      <c r="D9334" s="6">
        <f t="shared" si="146"/>
        <v>0</v>
      </c>
    </row>
    <row r="9335" spans="3:4" ht="15" x14ac:dyDescent="0.25">
      <c r="C9335" s="8" t="e">
        <f>VLOOKUP(A:A,'ITEM LIST'!A:C,3,0)</f>
        <v>#N/A</v>
      </c>
      <c r="D9335" s="6">
        <f t="shared" si="146"/>
        <v>0</v>
      </c>
    </row>
    <row r="9336" spans="3:4" ht="15" x14ac:dyDescent="0.25">
      <c r="C9336" s="8" t="e">
        <f>VLOOKUP(A:A,'ITEM LIST'!A:C,3,0)</f>
        <v>#N/A</v>
      </c>
      <c r="D9336" s="6">
        <f t="shared" si="146"/>
        <v>0</v>
      </c>
    </row>
    <row r="9337" spans="3:4" ht="15" x14ac:dyDescent="0.25">
      <c r="C9337" s="8" t="e">
        <f>VLOOKUP(A:A,'ITEM LIST'!A:C,3,0)</f>
        <v>#N/A</v>
      </c>
      <c r="D9337" s="6">
        <f t="shared" si="146"/>
        <v>0</v>
      </c>
    </row>
    <row r="9338" spans="3:4" ht="15" x14ac:dyDescent="0.25">
      <c r="C9338" s="8" t="e">
        <f>VLOOKUP(A:A,'ITEM LIST'!A:C,3,0)</f>
        <v>#N/A</v>
      </c>
      <c r="D9338" s="6">
        <f t="shared" si="146"/>
        <v>0</v>
      </c>
    </row>
    <row r="9339" spans="3:4" ht="15" x14ac:dyDescent="0.25">
      <c r="C9339" s="8" t="e">
        <f>VLOOKUP(A:A,'ITEM LIST'!A:C,3,0)</f>
        <v>#N/A</v>
      </c>
      <c r="D9339" s="6">
        <f t="shared" si="146"/>
        <v>0</v>
      </c>
    </row>
    <row r="9340" spans="3:4" ht="15" x14ac:dyDescent="0.25">
      <c r="C9340" s="8" t="e">
        <f>VLOOKUP(A:A,'ITEM LIST'!A:C,3,0)</f>
        <v>#N/A</v>
      </c>
      <c r="D9340" s="6">
        <f t="shared" si="146"/>
        <v>0</v>
      </c>
    </row>
    <row r="9341" spans="3:4" ht="15" x14ac:dyDescent="0.25">
      <c r="C9341" s="8" t="e">
        <f>VLOOKUP(A:A,'ITEM LIST'!A:C,3,0)</f>
        <v>#N/A</v>
      </c>
      <c r="D9341" s="6">
        <f t="shared" si="146"/>
        <v>0</v>
      </c>
    </row>
    <row r="9342" spans="3:4" ht="15" x14ac:dyDescent="0.25">
      <c r="C9342" s="8" t="e">
        <f>VLOOKUP(A:A,'ITEM LIST'!A:C,3,0)</f>
        <v>#N/A</v>
      </c>
      <c r="D9342" s="6">
        <f t="shared" si="146"/>
        <v>0</v>
      </c>
    </row>
    <row r="9343" spans="3:4" ht="15" x14ac:dyDescent="0.25">
      <c r="C9343" s="8" t="e">
        <f>VLOOKUP(A:A,'ITEM LIST'!A:C,3,0)</f>
        <v>#N/A</v>
      </c>
      <c r="D9343" s="6">
        <f t="shared" si="146"/>
        <v>0</v>
      </c>
    </row>
    <row r="9344" spans="3:4" ht="15" x14ac:dyDescent="0.25">
      <c r="C9344" s="8" t="e">
        <f>VLOOKUP(A:A,'ITEM LIST'!A:C,3,0)</f>
        <v>#N/A</v>
      </c>
      <c r="D9344" s="6">
        <f t="shared" si="146"/>
        <v>0</v>
      </c>
    </row>
    <row r="9345" spans="3:4" ht="15" x14ac:dyDescent="0.25">
      <c r="C9345" s="8" t="e">
        <f>VLOOKUP(A:A,'ITEM LIST'!A:C,3,0)</f>
        <v>#N/A</v>
      </c>
      <c r="D9345" s="6">
        <f t="shared" si="146"/>
        <v>0</v>
      </c>
    </row>
    <row r="9346" spans="3:4" ht="15" x14ac:dyDescent="0.25">
      <c r="C9346" s="8" t="e">
        <f>VLOOKUP(A:A,'ITEM LIST'!A:C,3,0)</f>
        <v>#N/A</v>
      </c>
      <c r="D9346" s="6">
        <f t="shared" si="146"/>
        <v>0</v>
      </c>
    </row>
    <row r="9347" spans="3:4" ht="15" x14ac:dyDescent="0.25">
      <c r="C9347" s="8" t="e">
        <f>VLOOKUP(A:A,'ITEM LIST'!A:C,3,0)</f>
        <v>#N/A</v>
      </c>
      <c r="D9347" s="6">
        <f t="shared" si="146"/>
        <v>0</v>
      </c>
    </row>
    <row r="9348" spans="3:4" ht="15" x14ac:dyDescent="0.25">
      <c r="C9348" s="8" t="e">
        <f>VLOOKUP(A:A,'ITEM LIST'!A:C,3,0)</f>
        <v>#N/A</v>
      </c>
      <c r="D9348" s="6">
        <f t="shared" si="146"/>
        <v>0</v>
      </c>
    </row>
    <row r="9349" spans="3:4" ht="15" x14ac:dyDescent="0.25">
      <c r="C9349" s="8" t="e">
        <f>VLOOKUP(A:A,'ITEM LIST'!A:C,3,0)</f>
        <v>#N/A</v>
      </c>
      <c r="D9349" s="6">
        <f t="shared" si="146"/>
        <v>0</v>
      </c>
    </row>
    <row r="9350" spans="3:4" ht="15" x14ac:dyDescent="0.25">
      <c r="C9350" s="8" t="e">
        <f>VLOOKUP(A:A,'ITEM LIST'!A:C,3,0)</f>
        <v>#N/A</v>
      </c>
      <c r="D9350" s="6">
        <f t="shared" ref="D9350:D9413" si="147">B9350</f>
        <v>0</v>
      </c>
    </row>
    <row r="9351" spans="3:4" ht="15" x14ac:dyDescent="0.25">
      <c r="C9351" s="8" t="e">
        <f>VLOOKUP(A:A,'ITEM LIST'!A:C,3,0)</f>
        <v>#N/A</v>
      </c>
      <c r="D9351" s="6">
        <f t="shared" si="147"/>
        <v>0</v>
      </c>
    </row>
    <row r="9352" spans="3:4" ht="15" x14ac:dyDescent="0.25">
      <c r="C9352" s="8" t="e">
        <f>VLOOKUP(A:A,'ITEM LIST'!A:C,3,0)</f>
        <v>#N/A</v>
      </c>
      <c r="D9352" s="6">
        <f t="shared" si="147"/>
        <v>0</v>
      </c>
    </row>
    <row r="9353" spans="3:4" ht="15" x14ac:dyDescent="0.25">
      <c r="C9353" s="8" t="e">
        <f>VLOOKUP(A:A,'ITEM LIST'!A:C,3,0)</f>
        <v>#N/A</v>
      </c>
      <c r="D9353" s="6">
        <f t="shared" si="147"/>
        <v>0</v>
      </c>
    </row>
    <row r="9354" spans="3:4" ht="15" x14ac:dyDescent="0.25">
      <c r="C9354" s="8" t="e">
        <f>VLOOKUP(A:A,'ITEM LIST'!A:C,3,0)</f>
        <v>#N/A</v>
      </c>
      <c r="D9354" s="6">
        <f t="shared" si="147"/>
        <v>0</v>
      </c>
    </row>
    <row r="9355" spans="3:4" ht="15" x14ac:dyDescent="0.25">
      <c r="C9355" s="8" t="e">
        <f>VLOOKUP(A:A,'ITEM LIST'!A:C,3,0)</f>
        <v>#N/A</v>
      </c>
      <c r="D9355" s="6">
        <f t="shared" si="147"/>
        <v>0</v>
      </c>
    </row>
    <row r="9356" spans="3:4" ht="15" x14ac:dyDescent="0.25">
      <c r="C9356" s="8" t="e">
        <f>VLOOKUP(A:A,'ITEM LIST'!A:C,3,0)</f>
        <v>#N/A</v>
      </c>
      <c r="D9356" s="6">
        <f t="shared" si="147"/>
        <v>0</v>
      </c>
    </row>
    <row r="9357" spans="3:4" ht="15" x14ac:dyDescent="0.25">
      <c r="C9357" s="8" t="e">
        <f>VLOOKUP(A:A,'ITEM LIST'!A:C,3,0)</f>
        <v>#N/A</v>
      </c>
      <c r="D9357" s="6">
        <f t="shared" si="147"/>
        <v>0</v>
      </c>
    </row>
    <row r="9358" spans="3:4" ht="15" x14ac:dyDescent="0.25">
      <c r="C9358" s="8" t="e">
        <f>VLOOKUP(A:A,'ITEM LIST'!A:C,3,0)</f>
        <v>#N/A</v>
      </c>
      <c r="D9358" s="6">
        <f t="shared" si="147"/>
        <v>0</v>
      </c>
    </row>
    <row r="9359" spans="3:4" ht="15" x14ac:dyDescent="0.25">
      <c r="C9359" s="8" t="e">
        <f>VLOOKUP(A:A,'ITEM LIST'!A:C,3,0)</f>
        <v>#N/A</v>
      </c>
      <c r="D9359" s="6">
        <f t="shared" si="147"/>
        <v>0</v>
      </c>
    </row>
    <row r="9360" spans="3:4" ht="15" x14ac:dyDescent="0.25">
      <c r="C9360" s="8" t="e">
        <f>VLOOKUP(A:A,'ITEM LIST'!A:C,3,0)</f>
        <v>#N/A</v>
      </c>
      <c r="D9360" s="6">
        <f t="shared" si="147"/>
        <v>0</v>
      </c>
    </row>
    <row r="9361" spans="3:4" ht="15" x14ac:dyDescent="0.25">
      <c r="C9361" s="8" t="e">
        <f>VLOOKUP(A:A,'ITEM LIST'!A:C,3,0)</f>
        <v>#N/A</v>
      </c>
      <c r="D9361" s="6">
        <f t="shared" si="147"/>
        <v>0</v>
      </c>
    </row>
    <row r="9362" spans="3:4" ht="15" x14ac:dyDescent="0.25">
      <c r="C9362" s="8" t="e">
        <f>VLOOKUP(A:A,'ITEM LIST'!A:C,3,0)</f>
        <v>#N/A</v>
      </c>
      <c r="D9362" s="6">
        <f t="shared" si="147"/>
        <v>0</v>
      </c>
    </row>
    <row r="9363" spans="3:4" ht="15" x14ac:dyDescent="0.25">
      <c r="C9363" s="8" t="e">
        <f>VLOOKUP(A:A,'ITEM LIST'!A:C,3,0)</f>
        <v>#N/A</v>
      </c>
      <c r="D9363" s="6">
        <f t="shared" si="147"/>
        <v>0</v>
      </c>
    </row>
    <row r="9364" spans="3:4" ht="15" x14ac:dyDescent="0.25">
      <c r="C9364" s="8" t="e">
        <f>VLOOKUP(A:A,'ITEM LIST'!A:C,3,0)</f>
        <v>#N/A</v>
      </c>
      <c r="D9364" s="6">
        <f t="shared" si="147"/>
        <v>0</v>
      </c>
    </row>
    <row r="9365" spans="3:4" ht="15" x14ac:dyDescent="0.25">
      <c r="C9365" s="8" t="e">
        <f>VLOOKUP(A:A,'ITEM LIST'!A:C,3,0)</f>
        <v>#N/A</v>
      </c>
      <c r="D9365" s="6">
        <f t="shared" si="147"/>
        <v>0</v>
      </c>
    </row>
    <row r="9366" spans="3:4" ht="15" x14ac:dyDescent="0.25">
      <c r="C9366" s="8" t="e">
        <f>VLOOKUP(A:A,'ITEM LIST'!A:C,3,0)</f>
        <v>#N/A</v>
      </c>
      <c r="D9366" s="6">
        <f t="shared" si="147"/>
        <v>0</v>
      </c>
    </row>
    <row r="9367" spans="3:4" ht="15" x14ac:dyDescent="0.25">
      <c r="C9367" s="8" t="e">
        <f>VLOOKUP(A:A,'ITEM LIST'!A:C,3,0)</f>
        <v>#N/A</v>
      </c>
      <c r="D9367" s="6">
        <f t="shared" si="147"/>
        <v>0</v>
      </c>
    </row>
    <row r="9368" spans="3:4" ht="15" x14ac:dyDescent="0.25">
      <c r="C9368" s="8" t="e">
        <f>VLOOKUP(A:A,'ITEM LIST'!A:C,3,0)</f>
        <v>#N/A</v>
      </c>
      <c r="D9368" s="6">
        <f t="shared" si="147"/>
        <v>0</v>
      </c>
    </row>
    <row r="9369" spans="3:4" ht="15" x14ac:dyDescent="0.25">
      <c r="C9369" s="8" t="e">
        <f>VLOOKUP(A:A,'ITEM LIST'!A:C,3,0)</f>
        <v>#N/A</v>
      </c>
      <c r="D9369" s="6">
        <f t="shared" si="147"/>
        <v>0</v>
      </c>
    </row>
    <row r="9370" spans="3:4" ht="15" x14ac:dyDescent="0.25">
      <c r="C9370" s="8" t="e">
        <f>VLOOKUP(A:A,'ITEM LIST'!A:C,3,0)</f>
        <v>#N/A</v>
      </c>
      <c r="D9370" s="6">
        <f t="shared" si="147"/>
        <v>0</v>
      </c>
    </row>
    <row r="9371" spans="3:4" ht="15" x14ac:dyDescent="0.25">
      <c r="C9371" s="8" t="e">
        <f>VLOOKUP(A:A,'ITEM LIST'!A:C,3,0)</f>
        <v>#N/A</v>
      </c>
      <c r="D9371" s="6">
        <f t="shared" si="147"/>
        <v>0</v>
      </c>
    </row>
    <row r="9372" spans="3:4" ht="15" x14ac:dyDescent="0.25">
      <c r="C9372" s="8" t="e">
        <f>VLOOKUP(A:A,'ITEM LIST'!A:C,3,0)</f>
        <v>#N/A</v>
      </c>
      <c r="D9372" s="6">
        <f t="shared" si="147"/>
        <v>0</v>
      </c>
    </row>
    <row r="9373" spans="3:4" ht="15" x14ac:dyDescent="0.25">
      <c r="C9373" s="8" t="e">
        <f>VLOOKUP(A:A,'ITEM LIST'!A:C,3,0)</f>
        <v>#N/A</v>
      </c>
      <c r="D9373" s="6">
        <f t="shared" si="147"/>
        <v>0</v>
      </c>
    </row>
    <row r="9374" spans="3:4" ht="15" x14ac:dyDescent="0.25">
      <c r="C9374" s="8" t="e">
        <f>VLOOKUP(A:A,'ITEM LIST'!A:C,3,0)</f>
        <v>#N/A</v>
      </c>
      <c r="D9374" s="6">
        <f t="shared" si="147"/>
        <v>0</v>
      </c>
    </row>
    <row r="9375" spans="3:4" ht="15" x14ac:dyDescent="0.25">
      <c r="C9375" s="8" t="e">
        <f>VLOOKUP(A:A,'ITEM LIST'!A:C,3,0)</f>
        <v>#N/A</v>
      </c>
      <c r="D9375" s="6">
        <f t="shared" si="147"/>
        <v>0</v>
      </c>
    </row>
    <row r="9376" spans="3:4" ht="15" x14ac:dyDescent="0.25">
      <c r="C9376" s="8" t="e">
        <f>VLOOKUP(A:A,'ITEM LIST'!A:C,3,0)</f>
        <v>#N/A</v>
      </c>
      <c r="D9376" s="6">
        <f t="shared" si="147"/>
        <v>0</v>
      </c>
    </row>
    <row r="9377" spans="3:4" ht="15" x14ac:dyDescent="0.25">
      <c r="C9377" s="8" t="e">
        <f>VLOOKUP(A:A,'ITEM LIST'!A:C,3,0)</f>
        <v>#N/A</v>
      </c>
      <c r="D9377" s="6">
        <f t="shared" si="147"/>
        <v>0</v>
      </c>
    </row>
    <row r="9378" spans="3:4" ht="15" x14ac:dyDescent="0.25">
      <c r="C9378" s="8" t="e">
        <f>VLOOKUP(A:A,'ITEM LIST'!A:C,3,0)</f>
        <v>#N/A</v>
      </c>
      <c r="D9378" s="6">
        <f t="shared" si="147"/>
        <v>0</v>
      </c>
    </row>
    <row r="9379" spans="3:4" ht="15" x14ac:dyDescent="0.25">
      <c r="C9379" s="8" t="e">
        <f>VLOOKUP(A:A,'ITEM LIST'!A:C,3,0)</f>
        <v>#N/A</v>
      </c>
      <c r="D9379" s="6">
        <f t="shared" si="147"/>
        <v>0</v>
      </c>
    </row>
    <row r="9380" spans="3:4" ht="15" x14ac:dyDescent="0.25">
      <c r="C9380" s="8" t="e">
        <f>VLOOKUP(A:A,'ITEM LIST'!A:C,3,0)</f>
        <v>#N/A</v>
      </c>
      <c r="D9380" s="6">
        <f t="shared" si="147"/>
        <v>0</v>
      </c>
    </row>
    <row r="9381" spans="3:4" ht="15" x14ac:dyDescent="0.25">
      <c r="C9381" s="8" t="e">
        <f>VLOOKUP(A:A,'ITEM LIST'!A:C,3,0)</f>
        <v>#N/A</v>
      </c>
      <c r="D9381" s="6">
        <f t="shared" si="147"/>
        <v>0</v>
      </c>
    </row>
    <row r="9382" spans="3:4" ht="15" x14ac:dyDescent="0.25">
      <c r="C9382" s="8" t="e">
        <f>VLOOKUP(A:A,'ITEM LIST'!A:C,3,0)</f>
        <v>#N/A</v>
      </c>
      <c r="D9382" s="6">
        <f t="shared" si="147"/>
        <v>0</v>
      </c>
    </row>
    <row r="9383" spans="3:4" ht="15" x14ac:dyDescent="0.25">
      <c r="C9383" s="8" t="e">
        <f>VLOOKUP(A:A,'ITEM LIST'!A:C,3,0)</f>
        <v>#N/A</v>
      </c>
      <c r="D9383" s="6">
        <f t="shared" si="147"/>
        <v>0</v>
      </c>
    </row>
    <row r="9384" spans="3:4" ht="15" x14ac:dyDescent="0.25">
      <c r="C9384" s="8" t="e">
        <f>VLOOKUP(A:A,'ITEM LIST'!A:C,3,0)</f>
        <v>#N/A</v>
      </c>
      <c r="D9384" s="6">
        <f t="shared" si="147"/>
        <v>0</v>
      </c>
    </row>
    <row r="9385" spans="3:4" ht="15" x14ac:dyDescent="0.25">
      <c r="C9385" s="8" t="e">
        <f>VLOOKUP(A:A,'ITEM LIST'!A:C,3,0)</f>
        <v>#N/A</v>
      </c>
      <c r="D9385" s="6">
        <f t="shared" si="147"/>
        <v>0</v>
      </c>
    </row>
    <row r="9386" spans="3:4" ht="15" x14ac:dyDescent="0.25">
      <c r="C9386" s="8" t="e">
        <f>VLOOKUP(A:A,'ITEM LIST'!A:C,3,0)</f>
        <v>#N/A</v>
      </c>
      <c r="D9386" s="6">
        <f t="shared" si="147"/>
        <v>0</v>
      </c>
    </row>
    <row r="9387" spans="3:4" ht="15" x14ac:dyDescent="0.25">
      <c r="C9387" s="8" t="e">
        <f>VLOOKUP(A:A,'ITEM LIST'!A:C,3,0)</f>
        <v>#N/A</v>
      </c>
      <c r="D9387" s="6">
        <f t="shared" si="147"/>
        <v>0</v>
      </c>
    </row>
    <row r="9388" spans="3:4" ht="15" x14ac:dyDescent="0.25">
      <c r="C9388" s="8" t="e">
        <f>VLOOKUP(A:A,'ITEM LIST'!A:C,3,0)</f>
        <v>#N/A</v>
      </c>
      <c r="D9388" s="6">
        <f t="shared" si="147"/>
        <v>0</v>
      </c>
    </row>
    <row r="9389" spans="3:4" ht="15" x14ac:dyDescent="0.25">
      <c r="C9389" s="8" t="e">
        <f>VLOOKUP(A:A,'ITEM LIST'!A:C,3,0)</f>
        <v>#N/A</v>
      </c>
      <c r="D9389" s="6">
        <f t="shared" si="147"/>
        <v>0</v>
      </c>
    </row>
    <row r="9390" spans="3:4" ht="15" x14ac:dyDescent="0.25">
      <c r="C9390" s="8" t="e">
        <f>VLOOKUP(A:A,'ITEM LIST'!A:C,3,0)</f>
        <v>#N/A</v>
      </c>
      <c r="D9390" s="6">
        <f t="shared" si="147"/>
        <v>0</v>
      </c>
    </row>
    <row r="9391" spans="3:4" ht="15" x14ac:dyDescent="0.25">
      <c r="C9391" s="8" t="e">
        <f>VLOOKUP(A:A,'ITEM LIST'!A:C,3,0)</f>
        <v>#N/A</v>
      </c>
      <c r="D9391" s="6">
        <f t="shared" si="147"/>
        <v>0</v>
      </c>
    </row>
    <row r="9392" spans="3:4" ht="15" x14ac:dyDescent="0.25">
      <c r="C9392" s="8" t="e">
        <f>VLOOKUP(A:A,'ITEM LIST'!A:C,3,0)</f>
        <v>#N/A</v>
      </c>
      <c r="D9392" s="6">
        <f t="shared" si="147"/>
        <v>0</v>
      </c>
    </row>
    <row r="9393" spans="3:4" ht="15" x14ac:dyDescent="0.25">
      <c r="C9393" s="8" t="e">
        <f>VLOOKUP(A:A,'ITEM LIST'!A:C,3,0)</f>
        <v>#N/A</v>
      </c>
      <c r="D9393" s="6">
        <f t="shared" si="147"/>
        <v>0</v>
      </c>
    </row>
    <row r="9394" spans="3:4" ht="15" x14ac:dyDescent="0.25">
      <c r="C9394" s="8" t="e">
        <f>VLOOKUP(A:A,'ITEM LIST'!A:C,3,0)</f>
        <v>#N/A</v>
      </c>
      <c r="D9394" s="6">
        <f t="shared" si="147"/>
        <v>0</v>
      </c>
    </row>
    <row r="9395" spans="3:4" ht="15" x14ac:dyDescent="0.25">
      <c r="C9395" s="8" t="e">
        <f>VLOOKUP(A:A,'ITEM LIST'!A:C,3,0)</f>
        <v>#N/A</v>
      </c>
      <c r="D9395" s="6">
        <f t="shared" si="147"/>
        <v>0</v>
      </c>
    </row>
    <row r="9396" spans="3:4" ht="15" x14ac:dyDescent="0.25">
      <c r="C9396" s="8" t="e">
        <f>VLOOKUP(A:A,'ITEM LIST'!A:C,3,0)</f>
        <v>#N/A</v>
      </c>
      <c r="D9396" s="6">
        <f t="shared" si="147"/>
        <v>0</v>
      </c>
    </row>
    <row r="9397" spans="3:4" ht="15" x14ac:dyDescent="0.25">
      <c r="C9397" s="8" t="e">
        <f>VLOOKUP(A:A,'ITEM LIST'!A:C,3,0)</f>
        <v>#N/A</v>
      </c>
      <c r="D9397" s="6">
        <f t="shared" si="147"/>
        <v>0</v>
      </c>
    </row>
    <row r="9398" spans="3:4" ht="15" x14ac:dyDescent="0.25">
      <c r="C9398" s="8" t="e">
        <f>VLOOKUP(A:A,'ITEM LIST'!A:C,3,0)</f>
        <v>#N/A</v>
      </c>
      <c r="D9398" s="6">
        <f t="shared" si="147"/>
        <v>0</v>
      </c>
    </row>
    <row r="9399" spans="3:4" ht="15" x14ac:dyDescent="0.25">
      <c r="C9399" s="8" t="e">
        <f>VLOOKUP(A:A,'ITEM LIST'!A:C,3,0)</f>
        <v>#N/A</v>
      </c>
      <c r="D9399" s="6">
        <f t="shared" si="147"/>
        <v>0</v>
      </c>
    </row>
    <row r="9400" spans="3:4" ht="15" x14ac:dyDescent="0.25">
      <c r="C9400" s="8" t="e">
        <f>VLOOKUP(A:A,'ITEM LIST'!A:C,3,0)</f>
        <v>#N/A</v>
      </c>
      <c r="D9400" s="6">
        <f t="shared" si="147"/>
        <v>0</v>
      </c>
    </row>
    <row r="9401" spans="3:4" ht="15" x14ac:dyDescent="0.25">
      <c r="C9401" s="8" t="e">
        <f>VLOOKUP(A:A,'ITEM LIST'!A:C,3,0)</f>
        <v>#N/A</v>
      </c>
      <c r="D9401" s="6">
        <f t="shared" si="147"/>
        <v>0</v>
      </c>
    </row>
    <row r="9402" spans="3:4" ht="15" x14ac:dyDescent="0.25">
      <c r="C9402" s="8" t="e">
        <f>VLOOKUP(A:A,'ITEM LIST'!A:C,3,0)</f>
        <v>#N/A</v>
      </c>
      <c r="D9402" s="6">
        <f t="shared" si="147"/>
        <v>0</v>
      </c>
    </row>
    <row r="9403" spans="3:4" ht="15" x14ac:dyDescent="0.25">
      <c r="C9403" s="8" t="e">
        <f>VLOOKUP(A:A,'ITEM LIST'!A:C,3,0)</f>
        <v>#N/A</v>
      </c>
      <c r="D9403" s="6">
        <f t="shared" si="147"/>
        <v>0</v>
      </c>
    </row>
    <row r="9404" spans="3:4" ht="15" x14ac:dyDescent="0.25">
      <c r="C9404" s="8" t="e">
        <f>VLOOKUP(A:A,'ITEM LIST'!A:C,3,0)</f>
        <v>#N/A</v>
      </c>
      <c r="D9404" s="6">
        <f t="shared" si="147"/>
        <v>0</v>
      </c>
    </row>
    <row r="9405" spans="3:4" ht="15" x14ac:dyDescent="0.25">
      <c r="C9405" s="8" t="e">
        <f>VLOOKUP(A:A,'ITEM LIST'!A:C,3,0)</f>
        <v>#N/A</v>
      </c>
      <c r="D9405" s="6">
        <f t="shared" si="147"/>
        <v>0</v>
      </c>
    </row>
    <row r="9406" spans="3:4" ht="15" x14ac:dyDescent="0.25">
      <c r="C9406" s="8" t="e">
        <f>VLOOKUP(A:A,'ITEM LIST'!A:C,3,0)</f>
        <v>#N/A</v>
      </c>
      <c r="D9406" s="6">
        <f t="shared" si="147"/>
        <v>0</v>
      </c>
    </row>
    <row r="9407" spans="3:4" ht="15" x14ac:dyDescent="0.25">
      <c r="C9407" s="8" t="e">
        <f>VLOOKUP(A:A,'ITEM LIST'!A:C,3,0)</f>
        <v>#N/A</v>
      </c>
      <c r="D9407" s="6">
        <f t="shared" si="147"/>
        <v>0</v>
      </c>
    </row>
    <row r="9408" spans="3:4" ht="15" x14ac:dyDescent="0.25">
      <c r="C9408" s="8" t="e">
        <f>VLOOKUP(A:A,'ITEM LIST'!A:C,3,0)</f>
        <v>#N/A</v>
      </c>
      <c r="D9408" s="6">
        <f t="shared" si="147"/>
        <v>0</v>
      </c>
    </row>
    <row r="9409" spans="3:4" ht="15" x14ac:dyDescent="0.25">
      <c r="C9409" s="8" t="e">
        <f>VLOOKUP(A:A,'ITEM LIST'!A:C,3,0)</f>
        <v>#N/A</v>
      </c>
      <c r="D9409" s="6">
        <f t="shared" si="147"/>
        <v>0</v>
      </c>
    </row>
    <row r="9410" spans="3:4" ht="15" x14ac:dyDescent="0.25">
      <c r="C9410" s="8" t="e">
        <f>VLOOKUP(A:A,'ITEM LIST'!A:C,3,0)</f>
        <v>#N/A</v>
      </c>
      <c r="D9410" s="6">
        <f t="shared" si="147"/>
        <v>0</v>
      </c>
    </row>
    <row r="9411" spans="3:4" ht="15" x14ac:dyDescent="0.25">
      <c r="C9411" s="8" t="e">
        <f>VLOOKUP(A:A,'ITEM LIST'!A:C,3,0)</f>
        <v>#N/A</v>
      </c>
      <c r="D9411" s="6">
        <f t="shared" si="147"/>
        <v>0</v>
      </c>
    </row>
    <row r="9412" spans="3:4" ht="15" x14ac:dyDescent="0.25">
      <c r="C9412" s="8" t="e">
        <f>VLOOKUP(A:A,'ITEM LIST'!A:C,3,0)</f>
        <v>#N/A</v>
      </c>
      <c r="D9412" s="6">
        <f t="shared" si="147"/>
        <v>0</v>
      </c>
    </row>
    <row r="9413" spans="3:4" ht="15" x14ac:dyDescent="0.25">
      <c r="C9413" s="8" t="e">
        <f>VLOOKUP(A:A,'ITEM LIST'!A:C,3,0)</f>
        <v>#N/A</v>
      </c>
      <c r="D9413" s="6">
        <f t="shared" si="147"/>
        <v>0</v>
      </c>
    </row>
    <row r="9414" spans="3:4" ht="15" x14ac:dyDescent="0.25">
      <c r="C9414" s="8" t="e">
        <f>VLOOKUP(A:A,'ITEM LIST'!A:C,3,0)</f>
        <v>#N/A</v>
      </c>
      <c r="D9414" s="6">
        <f t="shared" ref="D9414:D9477" si="148">B9414</f>
        <v>0</v>
      </c>
    </row>
    <row r="9415" spans="3:4" ht="15" x14ac:dyDescent="0.25">
      <c r="C9415" s="8" t="e">
        <f>VLOOKUP(A:A,'ITEM LIST'!A:C,3,0)</f>
        <v>#N/A</v>
      </c>
      <c r="D9415" s="6">
        <f t="shared" si="148"/>
        <v>0</v>
      </c>
    </row>
    <row r="9416" spans="3:4" ht="15" x14ac:dyDescent="0.25">
      <c r="C9416" s="8" t="e">
        <f>VLOOKUP(A:A,'ITEM LIST'!A:C,3,0)</f>
        <v>#N/A</v>
      </c>
      <c r="D9416" s="6">
        <f t="shared" si="148"/>
        <v>0</v>
      </c>
    </row>
    <row r="9417" spans="3:4" ht="15" x14ac:dyDescent="0.25">
      <c r="C9417" s="8" t="e">
        <f>VLOOKUP(A:A,'ITEM LIST'!A:C,3,0)</f>
        <v>#N/A</v>
      </c>
      <c r="D9417" s="6">
        <f t="shared" si="148"/>
        <v>0</v>
      </c>
    </row>
    <row r="9418" spans="3:4" ht="15" x14ac:dyDescent="0.25">
      <c r="C9418" s="8" t="e">
        <f>VLOOKUP(A:A,'ITEM LIST'!A:C,3,0)</f>
        <v>#N/A</v>
      </c>
      <c r="D9418" s="6">
        <f t="shared" si="148"/>
        <v>0</v>
      </c>
    </row>
    <row r="9419" spans="3:4" ht="15" x14ac:dyDescent="0.25">
      <c r="C9419" s="8" t="e">
        <f>VLOOKUP(A:A,'ITEM LIST'!A:C,3,0)</f>
        <v>#N/A</v>
      </c>
      <c r="D9419" s="6">
        <f t="shared" si="148"/>
        <v>0</v>
      </c>
    </row>
    <row r="9420" spans="3:4" ht="15" x14ac:dyDescent="0.25">
      <c r="C9420" s="8" t="e">
        <f>VLOOKUP(A:A,'ITEM LIST'!A:C,3,0)</f>
        <v>#N/A</v>
      </c>
      <c r="D9420" s="6">
        <f t="shared" si="148"/>
        <v>0</v>
      </c>
    </row>
    <row r="9421" spans="3:4" ht="15" x14ac:dyDescent="0.25">
      <c r="C9421" s="8" t="e">
        <f>VLOOKUP(A:A,'ITEM LIST'!A:C,3,0)</f>
        <v>#N/A</v>
      </c>
      <c r="D9421" s="6">
        <f t="shared" si="148"/>
        <v>0</v>
      </c>
    </row>
    <row r="9422" spans="3:4" ht="15" x14ac:dyDescent="0.25">
      <c r="C9422" s="8" t="e">
        <f>VLOOKUP(A:A,'ITEM LIST'!A:C,3,0)</f>
        <v>#N/A</v>
      </c>
      <c r="D9422" s="6">
        <f t="shared" si="148"/>
        <v>0</v>
      </c>
    </row>
    <row r="9423" spans="3:4" ht="15" x14ac:dyDescent="0.25">
      <c r="C9423" s="8" t="e">
        <f>VLOOKUP(A:A,'ITEM LIST'!A:C,3,0)</f>
        <v>#N/A</v>
      </c>
      <c r="D9423" s="6">
        <f t="shared" si="148"/>
        <v>0</v>
      </c>
    </row>
    <row r="9424" spans="3:4" ht="15" x14ac:dyDescent="0.25">
      <c r="C9424" s="8" t="e">
        <f>VLOOKUP(A:A,'ITEM LIST'!A:C,3,0)</f>
        <v>#N/A</v>
      </c>
      <c r="D9424" s="6">
        <f t="shared" si="148"/>
        <v>0</v>
      </c>
    </row>
    <row r="9425" spans="3:4" ht="15" x14ac:dyDescent="0.25">
      <c r="C9425" s="8" t="e">
        <f>VLOOKUP(A:A,'ITEM LIST'!A:C,3,0)</f>
        <v>#N/A</v>
      </c>
      <c r="D9425" s="6">
        <f t="shared" si="148"/>
        <v>0</v>
      </c>
    </row>
    <row r="9426" spans="3:4" ht="15" x14ac:dyDescent="0.25">
      <c r="C9426" s="8" t="e">
        <f>VLOOKUP(A:A,'ITEM LIST'!A:C,3,0)</f>
        <v>#N/A</v>
      </c>
      <c r="D9426" s="6">
        <f t="shared" si="148"/>
        <v>0</v>
      </c>
    </row>
    <row r="9427" spans="3:4" ht="15" x14ac:dyDescent="0.25">
      <c r="C9427" s="8" t="e">
        <f>VLOOKUP(A:A,'ITEM LIST'!A:C,3,0)</f>
        <v>#N/A</v>
      </c>
      <c r="D9427" s="6">
        <f t="shared" si="148"/>
        <v>0</v>
      </c>
    </row>
    <row r="9428" spans="3:4" ht="15" x14ac:dyDescent="0.25">
      <c r="C9428" s="8" t="e">
        <f>VLOOKUP(A:A,'ITEM LIST'!A:C,3,0)</f>
        <v>#N/A</v>
      </c>
      <c r="D9428" s="6">
        <f t="shared" si="148"/>
        <v>0</v>
      </c>
    </row>
    <row r="9429" spans="3:4" ht="15" x14ac:dyDescent="0.25">
      <c r="C9429" s="8" t="e">
        <f>VLOOKUP(A:A,'ITEM LIST'!A:C,3,0)</f>
        <v>#N/A</v>
      </c>
      <c r="D9429" s="6">
        <f t="shared" si="148"/>
        <v>0</v>
      </c>
    </row>
    <row r="9430" spans="3:4" ht="15" x14ac:dyDescent="0.25">
      <c r="C9430" s="8" t="e">
        <f>VLOOKUP(A:A,'ITEM LIST'!A:C,3,0)</f>
        <v>#N/A</v>
      </c>
      <c r="D9430" s="6">
        <f t="shared" si="148"/>
        <v>0</v>
      </c>
    </row>
    <row r="9431" spans="3:4" ht="15" x14ac:dyDescent="0.25">
      <c r="C9431" s="8" t="e">
        <f>VLOOKUP(A:A,'ITEM LIST'!A:C,3,0)</f>
        <v>#N/A</v>
      </c>
      <c r="D9431" s="6">
        <f t="shared" si="148"/>
        <v>0</v>
      </c>
    </row>
    <row r="9432" spans="3:4" ht="15" x14ac:dyDescent="0.25">
      <c r="C9432" s="8" t="e">
        <f>VLOOKUP(A:A,'ITEM LIST'!A:C,3,0)</f>
        <v>#N/A</v>
      </c>
      <c r="D9432" s="6">
        <f t="shared" si="148"/>
        <v>0</v>
      </c>
    </row>
    <row r="9433" spans="3:4" ht="15" x14ac:dyDescent="0.25">
      <c r="C9433" s="8" t="e">
        <f>VLOOKUP(A:A,'ITEM LIST'!A:C,3,0)</f>
        <v>#N/A</v>
      </c>
      <c r="D9433" s="6">
        <f t="shared" si="148"/>
        <v>0</v>
      </c>
    </row>
    <row r="9434" spans="3:4" ht="15" x14ac:dyDescent="0.25">
      <c r="C9434" s="8" t="e">
        <f>VLOOKUP(A:A,'ITEM LIST'!A:C,3,0)</f>
        <v>#N/A</v>
      </c>
      <c r="D9434" s="6">
        <f t="shared" si="148"/>
        <v>0</v>
      </c>
    </row>
    <row r="9435" spans="3:4" ht="15" x14ac:dyDescent="0.25">
      <c r="C9435" s="8" t="e">
        <f>VLOOKUP(A:A,'ITEM LIST'!A:C,3,0)</f>
        <v>#N/A</v>
      </c>
      <c r="D9435" s="6">
        <f t="shared" si="148"/>
        <v>0</v>
      </c>
    </row>
    <row r="9436" spans="3:4" ht="15" x14ac:dyDescent="0.25">
      <c r="C9436" s="8" t="e">
        <f>VLOOKUP(A:A,'ITEM LIST'!A:C,3,0)</f>
        <v>#N/A</v>
      </c>
      <c r="D9436" s="6">
        <f t="shared" si="148"/>
        <v>0</v>
      </c>
    </row>
    <row r="9437" spans="3:4" ht="15" x14ac:dyDescent="0.25">
      <c r="C9437" s="8" t="e">
        <f>VLOOKUP(A:A,'ITEM LIST'!A:C,3,0)</f>
        <v>#N/A</v>
      </c>
      <c r="D9437" s="6">
        <f t="shared" si="148"/>
        <v>0</v>
      </c>
    </row>
    <row r="9438" spans="3:4" ht="15" x14ac:dyDescent="0.25">
      <c r="C9438" s="8" t="e">
        <f>VLOOKUP(A:A,'ITEM LIST'!A:C,3,0)</f>
        <v>#N/A</v>
      </c>
      <c r="D9438" s="6">
        <f t="shared" si="148"/>
        <v>0</v>
      </c>
    </row>
    <row r="9439" spans="3:4" ht="15" x14ac:dyDescent="0.25">
      <c r="C9439" s="8" t="e">
        <f>VLOOKUP(A:A,'ITEM LIST'!A:C,3,0)</f>
        <v>#N/A</v>
      </c>
      <c r="D9439" s="6">
        <f t="shared" si="148"/>
        <v>0</v>
      </c>
    </row>
    <row r="9440" spans="3:4" ht="15" x14ac:dyDescent="0.25">
      <c r="C9440" s="8" t="e">
        <f>VLOOKUP(A:A,'ITEM LIST'!A:C,3,0)</f>
        <v>#N/A</v>
      </c>
      <c r="D9440" s="6">
        <f t="shared" si="148"/>
        <v>0</v>
      </c>
    </row>
    <row r="9441" spans="3:4" ht="15" x14ac:dyDescent="0.25">
      <c r="C9441" s="8" t="e">
        <f>VLOOKUP(A:A,'ITEM LIST'!A:C,3,0)</f>
        <v>#N/A</v>
      </c>
      <c r="D9441" s="6">
        <f t="shared" si="148"/>
        <v>0</v>
      </c>
    </row>
    <row r="9442" spans="3:4" ht="15" x14ac:dyDescent="0.25">
      <c r="C9442" s="8" t="e">
        <f>VLOOKUP(A:A,'ITEM LIST'!A:C,3,0)</f>
        <v>#N/A</v>
      </c>
      <c r="D9442" s="6">
        <f t="shared" si="148"/>
        <v>0</v>
      </c>
    </row>
    <row r="9443" spans="3:4" ht="15" x14ac:dyDescent="0.25">
      <c r="C9443" s="8" t="e">
        <f>VLOOKUP(A:A,'ITEM LIST'!A:C,3,0)</f>
        <v>#N/A</v>
      </c>
      <c r="D9443" s="6">
        <f t="shared" si="148"/>
        <v>0</v>
      </c>
    </row>
    <row r="9444" spans="3:4" ht="15" x14ac:dyDescent="0.25">
      <c r="C9444" s="8" t="e">
        <f>VLOOKUP(A:A,'ITEM LIST'!A:C,3,0)</f>
        <v>#N/A</v>
      </c>
      <c r="D9444" s="6">
        <f t="shared" si="148"/>
        <v>0</v>
      </c>
    </row>
    <row r="9445" spans="3:4" ht="15" x14ac:dyDescent="0.25">
      <c r="C9445" s="8" t="e">
        <f>VLOOKUP(A:A,'ITEM LIST'!A:C,3,0)</f>
        <v>#N/A</v>
      </c>
      <c r="D9445" s="6">
        <f t="shared" si="148"/>
        <v>0</v>
      </c>
    </row>
    <row r="9446" spans="3:4" ht="15" x14ac:dyDescent="0.25">
      <c r="C9446" s="8" t="e">
        <f>VLOOKUP(A:A,'ITEM LIST'!A:C,3,0)</f>
        <v>#N/A</v>
      </c>
      <c r="D9446" s="6">
        <f t="shared" si="148"/>
        <v>0</v>
      </c>
    </row>
    <row r="9447" spans="3:4" ht="15" x14ac:dyDescent="0.25">
      <c r="C9447" s="8" t="e">
        <f>VLOOKUP(A:A,'ITEM LIST'!A:C,3,0)</f>
        <v>#N/A</v>
      </c>
      <c r="D9447" s="6">
        <f t="shared" si="148"/>
        <v>0</v>
      </c>
    </row>
    <row r="9448" spans="3:4" ht="15" x14ac:dyDescent="0.25">
      <c r="C9448" s="8" t="e">
        <f>VLOOKUP(A:A,'ITEM LIST'!A:C,3,0)</f>
        <v>#N/A</v>
      </c>
      <c r="D9448" s="6">
        <f t="shared" si="148"/>
        <v>0</v>
      </c>
    </row>
    <row r="9449" spans="3:4" ht="15" x14ac:dyDescent="0.25">
      <c r="C9449" s="8" t="e">
        <f>VLOOKUP(A:A,'ITEM LIST'!A:C,3,0)</f>
        <v>#N/A</v>
      </c>
      <c r="D9449" s="6">
        <f t="shared" si="148"/>
        <v>0</v>
      </c>
    </row>
    <row r="9450" spans="3:4" ht="15" x14ac:dyDescent="0.25">
      <c r="C9450" s="8" t="e">
        <f>VLOOKUP(A:A,'ITEM LIST'!A:C,3,0)</f>
        <v>#N/A</v>
      </c>
      <c r="D9450" s="6">
        <f t="shared" si="148"/>
        <v>0</v>
      </c>
    </row>
    <row r="9451" spans="3:4" ht="15" x14ac:dyDescent="0.25">
      <c r="C9451" s="8" t="e">
        <f>VLOOKUP(A:A,'ITEM LIST'!A:C,3,0)</f>
        <v>#N/A</v>
      </c>
      <c r="D9451" s="6">
        <f t="shared" si="148"/>
        <v>0</v>
      </c>
    </row>
    <row r="9452" spans="3:4" ht="15" x14ac:dyDescent="0.25">
      <c r="C9452" s="8" t="e">
        <f>VLOOKUP(A:A,'ITEM LIST'!A:C,3,0)</f>
        <v>#N/A</v>
      </c>
      <c r="D9452" s="6">
        <f t="shared" si="148"/>
        <v>0</v>
      </c>
    </row>
    <row r="9453" spans="3:4" ht="15" x14ac:dyDescent="0.25">
      <c r="C9453" s="8" t="e">
        <f>VLOOKUP(A:A,'ITEM LIST'!A:C,3,0)</f>
        <v>#N/A</v>
      </c>
      <c r="D9453" s="6">
        <f t="shared" si="148"/>
        <v>0</v>
      </c>
    </row>
    <row r="9454" spans="3:4" ht="15" x14ac:dyDescent="0.25">
      <c r="C9454" s="8" t="e">
        <f>VLOOKUP(A:A,'ITEM LIST'!A:C,3,0)</f>
        <v>#N/A</v>
      </c>
      <c r="D9454" s="6">
        <f t="shared" si="148"/>
        <v>0</v>
      </c>
    </row>
    <row r="9455" spans="3:4" ht="15" x14ac:dyDescent="0.25">
      <c r="C9455" s="8" t="e">
        <f>VLOOKUP(A:A,'ITEM LIST'!A:C,3,0)</f>
        <v>#N/A</v>
      </c>
      <c r="D9455" s="6">
        <f t="shared" si="148"/>
        <v>0</v>
      </c>
    </row>
    <row r="9456" spans="3:4" ht="15" x14ac:dyDescent="0.25">
      <c r="C9456" s="8" t="e">
        <f>VLOOKUP(A:A,'ITEM LIST'!A:C,3,0)</f>
        <v>#N/A</v>
      </c>
      <c r="D9456" s="6">
        <f t="shared" si="148"/>
        <v>0</v>
      </c>
    </row>
    <row r="9457" spans="3:4" ht="15" x14ac:dyDescent="0.25">
      <c r="C9457" s="8" t="e">
        <f>VLOOKUP(A:A,'ITEM LIST'!A:C,3,0)</f>
        <v>#N/A</v>
      </c>
      <c r="D9457" s="6">
        <f t="shared" si="148"/>
        <v>0</v>
      </c>
    </row>
    <row r="9458" spans="3:4" ht="15" x14ac:dyDescent="0.25">
      <c r="C9458" s="8" t="e">
        <f>VLOOKUP(A:A,'ITEM LIST'!A:C,3,0)</f>
        <v>#N/A</v>
      </c>
      <c r="D9458" s="6">
        <f t="shared" si="148"/>
        <v>0</v>
      </c>
    </row>
    <row r="9459" spans="3:4" ht="15" x14ac:dyDescent="0.25">
      <c r="C9459" s="8" t="e">
        <f>VLOOKUP(A:A,'ITEM LIST'!A:C,3,0)</f>
        <v>#N/A</v>
      </c>
      <c r="D9459" s="6">
        <f t="shared" si="148"/>
        <v>0</v>
      </c>
    </row>
    <row r="9460" spans="3:4" ht="15" x14ac:dyDescent="0.25">
      <c r="C9460" s="8" t="e">
        <f>VLOOKUP(A:A,'ITEM LIST'!A:C,3,0)</f>
        <v>#N/A</v>
      </c>
      <c r="D9460" s="6">
        <f t="shared" si="148"/>
        <v>0</v>
      </c>
    </row>
    <row r="9461" spans="3:4" ht="15" x14ac:dyDescent="0.25">
      <c r="C9461" s="8" t="e">
        <f>VLOOKUP(A:A,'ITEM LIST'!A:C,3,0)</f>
        <v>#N/A</v>
      </c>
      <c r="D9461" s="6">
        <f t="shared" si="148"/>
        <v>0</v>
      </c>
    </row>
    <row r="9462" spans="3:4" ht="15" x14ac:dyDescent="0.25">
      <c r="C9462" s="8" t="e">
        <f>VLOOKUP(A:A,'ITEM LIST'!A:C,3,0)</f>
        <v>#N/A</v>
      </c>
      <c r="D9462" s="6">
        <f t="shared" si="148"/>
        <v>0</v>
      </c>
    </row>
    <row r="9463" spans="3:4" ht="15" x14ac:dyDescent="0.25">
      <c r="C9463" s="8" t="e">
        <f>VLOOKUP(A:A,'ITEM LIST'!A:C,3,0)</f>
        <v>#N/A</v>
      </c>
      <c r="D9463" s="6">
        <f t="shared" si="148"/>
        <v>0</v>
      </c>
    </row>
    <row r="9464" spans="3:4" ht="15" x14ac:dyDescent="0.25">
      <c r="C9464" s="8" t="e">
        <f>VLOOKUP(A:A,'ITEM LIST'!A:C,3,0)</f>
        <v>#N/A</v>
      </c>
      <c r="D9464" s="6">
        <f t="shared" si="148"/>
        <v>0</v>
      </c>
    </row>
    <row r="9465" spans="3:4" ht="15" x14ac:dyDescent="0.25">
      <c r="C9465" s="8" t="e">
        <f>VLOOKUP(A:A,'ITEM LIST'!A:C,3,0)</f>
        <v>#N/A</v>
      </c>
      <c r="D9465" s="6">
        <f t="shared" si="148"/>
        <v>0</v>
      </c>
    </row>
    <row r="9466" spans="3:4" ht="15" x14ac:dyDescent="0.25">
      <c r="C9466" s="8" t="e">
        <f>VLOOKUP(A:A,'ITEM LIST'!A:C,3,0)</f>
        <v>#N/A</v>
      </c>
      <c r="D9466" s="6">
        <f t="shared" si="148"/>
        <v>0</v>
      </c>
    </row>
    <row r="9467" spans="3:4" ht="15" x14ac:dyDescent="0.25">
      <c r="C9467" s="8" t="e">
        <f>VLOOKUP(A:A,'ITEM LIST'!A:C,3,0)</f>
        <v>#N/A</v>
      </c>
      <c r="D9467" s="6">
        <f t="shared" si="148"/>
        <v>0</v>
      </c>
    </row>
    <row r="9468" spans="3:4" ht="15" x14ac:dyDescent="0.25">
      <c r="C9468" s="8" t="e">
        <f>VLOOKUP(A:A,'ITEM LIST'!A:C,3,0)</f>
        <v>#N/A</v>
      </c>
      <c r="D9468" s="6">
        <f t="shared" si="148"/>
        <v>0</v>
      </c>
    </row>
    <row r="9469" spans="3:4" ht="15" x14ac:dyDescent="0.25">
      <c r="C9469" s="8" t="e">
        <f>VLOOKUP(A:A,'ITEM LIST'!A:C,3,0)</f>
        <v>#N/A</v>
      </c>
      <c r="D9469" s="6">
        <f t="shared" si="148"/>
        <v>0</v>
      </c>
    </row>
    <row r="9470" spans="3:4" ht="15" x14ac:dyDescent="0.25">
      <c r="C9470" s="8" t="e">
        <f>VLOOKUP(A:A,'ITEM LIST'!A:C,3,0)</f>
        <v>#N/A</v>
      </c>
      <c r="D9470" s="6">
        <f t="shared" si="148"/>
        <v>0</v>
      </c>
    </row>
    <row r="9471" spans="3:4" ht="15" x14ac:dyDescent="0.25">
      <c r="C9471" s="8" t="e">
        <f>VLOOKUP(A:A,'ITEM LIST'!A:C,3,0)</f>
        <v>#N/A</v>
      </c>
      <c r="D9471" s="6">
        <f t="shared" si="148"/>
        <v>0</v>
      </c>
    </row>
    <row r="9472" spans="3:4" ht="15" x14ac:dyDescent="0.25">
      <c r="C9472" s="8" t="e">
        <f>VLOOKUP(A:A,'ITEM LIST'!A:C,3,0)</f>
        <v>#N/A</v>
      </c>
      <c r="D9472" s="6">
        <f t="shared" si="148"/>
        <v>0</v>
      </c>
    </row>
    <row r="9473" spans="3:4" ht="15" x14ac:dyDescent="0.25">
      <c r="C9473" s="8" t="e">
        <f>VLOOKUP(A:A,'ITEM LIST'!A:C,3,0)</f>
        <v>#N/A</v>
      </c>
      <c r="D9473" s="6">
        <f t="shared" si="148"/>
        <v>0</v>
      </c>
    </row>
    <row r="9474" spans="3:4" ht="15" x14ac:dyDescent="0.25">
      <c r="C9474" s="8" t="e">
        <f>VLOOKUP(A:A,'ITEM LIST'!A:C,3,0)</f>
        <v>#N/A</v>
      </c>
      <c r="D9474" s="6">
        <f t="shared" si="148"/>
        <v>0</v>
      </c>
    </row>
    <row r="9475" spans="3:4" ht="15" x14ac:dyDescent="0.25">
      <c r="C9475" s="8" t="e">
        <f>VLOOKUP(A:A,'ITEM LIST'!A:C,3,0)</f>
        <v>#N/A</v>
      </c>
      <c r="D9475" s="6">
        <f t="shared" si="148"/>
        <v>0</v>
      </c>
    </row>
    <row r="9476" spans="3:4" ht="15" x14ac:dyDescent="0.25">
      <c r="C9476" s="8" t="e">
        <f>VLOOKUP(A:A,'ITEM LIST'!A:C,3,0)</f>
        <v>#N/A</v>
      </c>
      <c r="D9476" s="6">
        <f t="shared" si="148"/>
        <v>0</v>
      </c>
    </row>
    <row r="9477" spans="3:4" ht="15" x14ac:dyDescent="0.25">
      <c r="C9477" s="8" t="e">
        <f>VLOOKUP(A:A,'ITEM LIST'!A:C,3,0)</f>
        <v>#N/A</v>
      </c>
      <c r="D9477" s="6">
        <f t="shared" si="148"/>
        <v>0</v>
      </c>
    </row>
    <row r="9478" spans="3:4" ht="15" x14ac:dyDescent="0.25">
      <c r="C9478" s="8" t="e">
        <f>VLOOKUP(A:A,'ITEM LIST'!A:C,3,0)</f>
        <v>#N/A</v>
      </c>
      <c r="D9478" s="6">
        <f t="shared" ref="D9478:D9541" si="149">B9478</f>
        <v>0</v>
      </c>
    </row>
    <row r="9479" spans="3:4" ht="15" x14ac:dyDescent="0.25">
      <c r="C9479" s="8" t="e">
        <f>VLOOKUP(A:A,'ITEM LIST'!A:C,3,0)</f>
        <v>#N/A</v>
      </c>
      <c r="D9479" s="6">
        <f t="shared" si="149"/>
        <v>0</v>
      </c>
    </row>
    <row r="9480" spans="3:4" ht="15" x14ac:dyDescent="0.25">
      <c r="C9480" s="8" t="e">
        <f>VLOOKUP(A:A,'ITEM LIST'!A:C,3,0)</f>
        <v>#N/A</v>
      </c>
      <c r="D9480" s="6">
        <f t="shared" si="149"/>
        <v>0</v>
      </c>
    </row>
    <row r="9481" spans="3:4" ht="15" x14ac:dyDescent="0.25">
      <c r="C9481" s="8" t="e">
        <f>VLOOKUP(A:A,'ITEM LIST'!A:C,3,0)</f>
        <v>#N/A</v>
      </c>
      <c r="D9481" s="6">
        <f t="shared" si="149"/>
        <v>0</v>
      </c>
    </row>
    <row r="9482" spans="3:4" ht="15" x14ac:dyDescent="0.25">
      <c r="C9482" s="8" t="e">
        <f>VLOOKUP(A:A,'ITEM LIST'!A:C,3,0)</f>
        <v>#N/A</v>
      </c>
      <c r="D9482" s="6">
        <f t="shared" si="149"/>
        <v>0</v>
      </c>
    </row>
    <row r="9483" spans="3:4" ht="15" x14ac:dyDescent="0.25">
      <c r="C9483" s="8" t="e">
        <f>VLOOKUP(A:A,'ITEM LIST'!A:C,3,0)</f>
        <v>#N/A</v>
      </c>
      <c r="D9483" s="6">
        <f t="shared" si="149"/>
        <v>0</v>
      </c>
    </row>
    <row r="9484" spans="3:4" ht="15" x14ac:dyDescent="0.25">
      <c r="C9484" s="8" t="e">
        <f>VLOOKUP(A:A,'ITEM LIST'!A:C,3,0)</f>
        <v>#N/A</v>
      </c>
      <c r="D9484" s="6">
        <f t="shared" si="149"/>
        <v>0</v>
      </c>
    </row>
    <row r="9485" spans="3:4" ht="15" x14ac:dyDescent="0.25">
      <c r="C9485" s="8" t="e">
        <f>VLOOKUP(A:A,'ITEM LIST'!A:C,3,0)</f>
        <v>#N/A</v>
      </c>
      <c r="D9485" s="6">
        <f t="shared" si="149"/>
        <v>0</v>
      </c>
    </row>
    <row r="9486" spans="3:4" ht="15" x14ac:dyDescent="0.25">
      <c r="C9486" s="8" t="e">
        <f>VLOOKUP(A:A,'ITEM LIST'!A:C,3,0)</f>
        <v>#N/A</v>
      </c>
      <c r="D9486" s="6">
        <f t="shared" si="149"/>
        <v>0</v>
      </c>
    </row>
    <row r="9487" spans="3:4" ht="15" x14ac:dyDescent="0.25">
      <c r="C9487" s="8" t="e">
        <f>VLOOKUP(A:A,'ITEM LIST'!A:C,3,0)</f>
        <v>#N/A</v>
      </c>
      <c r="D9487" s="6">
        <f t="shared" si="149"/>
        <v>0</v>
      </c>
    </row>
    <row r="9488" spans="3:4" ht="15" x14ac:dyDescent="0.25">
      <c r="C9488" s="8" t="e">
        <f>VLOOKUP(A:A,'ITEM LIST'!A:C,3,0)</f>
        <v>#N/A</v>
      </c>
      <c r="D9488" s="6">
        <f t="shared" si="149"/>
        <v>0</v>
      </c>
    </row>
    <row r="9489" spans="3:4" ht="15" x14ac:dyDescent="0.25">
      <c r="C9489" s="8" t="e">
        <f>VLOOKUP(A:A,'ITEM LIST'!A:C,3,0)</f>
        <v>#N/A</v>
      </c>
      <c r="D9489" s="6">
        <f t="shared" si="149"/>
        <v>0</v>
      </c>
    </row>
    <row r="9490" spans="3:4" ht="15" x14ac:dyDescent="0.25">
      <c r="C9490" s="8" t="e">
        <f>VLOOKUP(A:A,'ITEM LIST'!A:C,3,0)</f>
        <v>#N/A</v>
      </c>
      <c r="D9490" s="6">
        <f t="shared" si="149"/>
        <v>0</v>
      </c>
    </row>
    <row r="9491" spans="3:4" ht="15" x14ac:dyDescent="0.25">
      <c r="C9491" s="8" t="e">
        <f>VLOOKUP(A:A,'ITEM LIST'!A:C,3,0)</f>
        <v>#N/A</v>
      </c>
      <c r="D9491" s="6">
        <f t="shared" si="149"/>
        <v>0</v>
      </c>
    </row>
    <row r="9492" spans="3:4" ht="15" x14ac:dyDescent="0.25">
      <c r="C9492" s="8" t="e">
        <f>VLOOKUP(A:A,'ITEM LIST'!A:C,3,0)</f>
        <v>#N/A</v>
      </c>
      <c r="D9492" s="6">
        <f t="shared" si="149"/>
        <v>0</v>
      </c>
    </row>
    <row r="9493" spans="3:4" ht="15" x14ac:dyDescent="0.25">
      <c r="C9493" s="8" t="e">
        <f>VLOOKUP(A:A,'ITEM LIST'!A:C,3,0)</f>
        <v>#N/A</v>
      </c>
      <c r="D9493" s="6">
        <f t="shared" si="149"/>
        <v>0</v>
      </c>
    </row>
    <row r="9494" spans="3:4" ht="15" x14ac:dyDescent="0.25">
      <c r="C9494" s="8" t="e">
        <f>VLOOKUP(A:A,'ITEM LIST'!A:C,3,0)</f>
        <v>#N/A</v>
      </c>
      <c r="D9494" s="6">
        <f t="shared" si="149"/>
        <v>0</v>
      </c>
    </row>
    <row r="9495" spans="3:4" ht="15" x14ac:dyDescent="0.25">
      <c r="C9495" s="8" t="e">
        <f>VLOOKUP(A:A,'ITEM LIST'!A:C,3,0)</f>
        <v>#N/A</v>
      </c>
      <c r="D9495" s="6">
        <f t="shared" si="149"/>
        <v>0</v>
      </c>
    </row>
    <row r="9496" spans="3:4" ht="15" x14ac:dyDescent="0.25">
      <c r="C9496" s="8" t="e">
        <f>VLOOKUP(A:A,'ITEM LIST'!A:C,3,0)</f>
        <v>#N/A</v>
      </c>
      <c r="D9496" s="6">
        <f t="shared" si="149"/>
        <v>0</v>
      </c>
    </row>
    <row r="9497" spans="3:4" ht="15" x14ac:dyDescent="0.25">
      <c r="C9497" s="8" t="e">
        <f>VLOOKUP(A:A,'ITEM LIST'!A:C,3,0)</f>
        <v>#N/A</v>
      </c>
      <c r="D9497" s="6">
        <f t="shared" si="149"/>
        <v>0</v>
      </c>
    </row>
    <row r="9498" spans="3:4" ht="15" x14ac:dyDescent="0.25">
      <c r="C9498" s="8" t="e">
        <f>VLOOKUP(A:A,'ITEM LIST'!A:C,3,0)</f>
        <v>#N/A</v>
      </c>
      <c r="D9498" s="6">
        <f t="shared" si="149"/>
        <v>0</v>
      </c>
    </row>
    <row r="9499" spans="3:4" ht="15" x14ac:dyDescent="0.25">
      <c r="C9499" s="8" t="e">
        <f>VLOOKUP(A:A,'ITEM LIST'!A:C,3,0)</f>
        <v>#N/A</v>
      </c>
      <c r="D9499" s="6">
        <f t="shared" si="149"/>
        <v>0</v>
      </c>
    </row>
    <row r="9500" spans="3:4" ht="15" x14ac:dyDescent="0.25">
      <c r="C9500" s="8" t="e">
        <f>VLOOKUP(A:A,'ITEM LIST'!A:C,3,0)</f>
        <v>#N/A</v>
      </c>
      <c r="D9500" s="6">
        <f t="shared" si="149"/>
        <v>0</v>
      </c>
    </row>
    <row r="9501" spans="3:4" ht="15" x14ac:dyDescent="0.25">
      <c r="C9501" s="8" t="e">
        <f>VLOOKUP(A:A,'ITEM LIST'!A:C,3,0)</f>
        <v>#N/A</v>
      </c>
      <c r="D9501" s="6">
        <f t="shared" si="149"/>
        <v>0</v>
      </c>
    </row>
    <row r="9502" spans="3:4" ht="15" x14ac:dyDescent="0.25">
      <c r="C9502" s="8" t="e">
        <f>VLOOKUP(A:A,'ITEM LIST'!A:C,3,0)</f>
        <v>#N/A</v>
      </c>
      <c r="D9502" s="6">
        <f t="shared" si="149"/>
        <v>0</v>
      </c>
    </row>
    <row r="9503" spans="3:4" ht="15" x14ac:dyDescent="0.25">
      <c r="C9503" s="8" t="e">
        <f>VLOOKUP(A:A,'ITEM LIST'!A:C,3,0)</f>
        <v>#N/A</v>
      </c>
      <c r="D9503" s="6">
        <f t="shared" si="149"/>
        <v>0</v>
      </c>
    </row>
    <row r="9504" spans="3:4" ht="15" x14ac:dyDescent="0.25">
      <c r="C9504" s="8" t="e">
        <f>VLOOKUP(A:A,'ITEM LIST'!A:C,3,0)</f>
        <v>#N/A</v>
      </c>
      <c r="D9504" s="6">
        <f t="shared" si="149"/>
        <v>0</v>
      </c>
    </row>
    <row r="9505" spans="3:4" ht="15" x14ac:dyDescent="0.25">
      <c r="C9505" s="8" t="e">
        <f>VLOOKUP(A:A,'ITEM LIST'!A:C,3,0)</f>
        <v>#N/A</v>
      </c>
      <c r="D9505" s="6">
        <f t="shared" si="149"/>
        <v>0</v>
      </c>
    </row>
    <row r="9506" spans="3:4" ht="15" x14ac:dyDescent="0.25">
      <c r="C9506" s="8" t="e">
        <f>VLOOKUP(A:A,'ITEM LIST'!A:C,3,0)</f>
        <v>#N/A</v>
      </c>
      <c r="D9506" s="6">
        <f t="shared" si="149"/>
        <v>0</v>
      </c>
    </row>
    <row r="9507" spans="3:4" ht="15" x14ac:dyDescent="0.25">
      <c r="C9507" s="8" t="e">
        <f>VLOOKUP(A:A,'ITEM LIST'!A:C,3,0)</f>
        <v>#N/A</v>
      </c>
      <c r="D9507" s="6">
        <f t="shared" si="149"/>
        <v>0</v>
      </c>
    </row>
    <row r="9508" spans="3:4" ht="15" x14ac:dyDescent="0.25">
      <c r="C9508" s="8" t="e">
        <f>VLOOKUP(A:A,'ITEM LIST'!A:C,3,0)</f>
        <v>#N/A</v>
      </c>
      <c r="D9508" s="6">
        <f t="shared" si="149"/>
        <v>0</v>
      </c>
    </row>
    <row r="9509" spans="3:4" ht="15" x14ac:dyDescent="0.25">
      <c r="C9509" s="8" t="e">
        <f>VLOOKUP(A:A,'ITEM LIST'!A:C,3,0)</f>
        <v>#N/A</v>
      </c>
      <c r="D9509" s="6">
        <f t="shared" si="149"/>
        <v>0</v>
      </c>
    </row>
    <row r="9510" spans="3:4" ht="15" x14ac:dyDescent="0.25">
      <c r="C9510" s="8" t="e">
        <f>VLOOKUP(A:A,'ITEM LIST'!A:C,3,0)</f>
        <v>#N/A</v>
      </c>
      <c r="D9510" s="6">
        <f t="shared" si="149"/>
        <v>0</v>
      </c>
    </row>
    <row r="9511" spans="3:4" ht="15" x14ac:dyDescent="0.25">
      <c r="C9511" s="8" t="e">
        <f>VLOOKUP(A:A,'ITEM LIST'!A:C,3,0)</f>
        <v>#N/A</v>
      </c>
      <c r="D9511" s="6">
        <f t="shared" si="149"/>
        <v>0</v>
      </c>
    </row>
    <row r="9512" spans="3:4" ht="15" x14ac:dyDescent="0.25">
      <c r="C9512" s="8" t="e">
        <f>VLOOKUP(A:A,'ITEM LIST'!A:C,3,0)</f>
        <v>#N/A</v>
      </c>
      <c r="D9512" s="6">
        <f t="shared" si="149"/>
        <v>0</v>
      </c>
    </row>
    <row r="9513" spans="3:4" ht="15" x14ac:dyDescent="0.25">
      <c r="C9513" s="8" t="e">
        <f>VLOOKUP(A:A,'ITEM LIST'!A:C,3,0)</f>
        <v>#N/A</v>
      </c>
      <c r="D9513" s="6">
        <f t="shared" si="149"/>
        <v>0</v>
      </c>
    </row>
    <row r="9514" spans="3:4" ht="15" x14ac:dyDescent="0.25">
      <c r="C9514" s="8" t="e">
        <f>VLOOKUP(A:A,'ITEM LIST'!A:C,3,0)</f>
        <v>#N/A</v>
      </c>
      <c r="D9514" s="6">
        <f t="shared" si="149"/>
        <v>0</v>
      </c>
    </row>
    <row r="9515" spans="3:4" ht="15" x14ac:dyDescent="0.25">
      <c r="C9515" s="8" t="e">
        <f>VLOOKUP(A:A,'ITEM LIST'!A:C,3,0)</f>
        <v>#N/A</v>
      </c>
      <c r="D9515" s="6">
        <f t="shared" si="149"/>
        <v>0</v>
      </c>
    </row>
    <row r="9516" spans="3:4" ht="15" x14ac:dyDescent="0.25">
      <c r="C9516" s="8" t="e">
        <f>VLOOKUP(A:A,'ITEM LIST'!A:C,3,0)</f>
        <v>#N/A</v>
      </c>
      <c r="D9516" s="6">
        <f t="shared" si="149"/>
        <v>0</v>
      </c>
    </row>
    <row r="9517" spans="3:4" ht="15" x14ac:dyDescent="0.25">
      <c r="C9517" s="8" t="e">
        <f>VLOOKUP(A:A,'ITEM LIST'!A:C,3,0)</f>
        <v>#N/A</v>
      </c>
      <c r="D9517" s="6">
        <f t="shared" si="149"/>
        <v>0</v>
      </c>
    </row>
    <row r="9518" spans="3:4" ht="15" x14ac:dyDescent="0.25">
      <c r="C9518" s="8" t="e">
        <f>VLOOKUP(A:A,'ITEM LIST'!A:C,3,0)</f>
        <v>#N/A</v>
      </c>
      <c r="D9518" s="6">
        <f t="shared" si="149"/>
        <v>0</v>
      </c>
    </row>
    <row r="9519" spans="3:4" ht="15" x14ac:dyDescent="0.25">
      <c r="C9519" s="8" t="e">
        <f>VLOOKUP(A:A,'ITEM LIST'!A:C,3,0)</f>
        <v>#N/A</v>
      </c>
      <c r="D9519" s="6">
        <f t="shared" si="149"/>
        <v>0</v>
      </c>
    </row>
    <row r="9520" spans="3:4" ht="15" x14ac:dyDescent="0.25">
      <c r="C9520" s="8" t="e">
        <f>VLOOKUP(A:A,'ITEM LIST'!A:C,3,0)</f>
        <v>#N/A</v>
      </c>
      <c r="D9520" s="6">
        <f t="shared" si="149"/>
        <v>0</v>
      </c>
    </row>
    <row r="9521" spans="3:4" ht="15" x14ac:dyDescent="0.25">
      <c r="C9521" s="8" t="e">
        <f>VLOOKUP(A:A,'ITEM LIST'!A:C,3,0)</f>
        <v>#N/A</v>
      </c>
      <c r="D9521" s="6">
        <f t="shared" si="149"/>
        <v>0</v>
      </c>
    </row>
    <row r="9522" spans="3:4" ht="15" x14ac:dyDescent="0.25">
      <c r="C9522" s="8" t="e">
        <f>VLOOKUP(A:A,'ITEM LIST'!A:C,3,0)</f>
        <v>#N/A</v>
      </c>
      <c r="D9522" s="6">
        <f t="shared" si="149"/>
        <v>0</v>
      </c>
    </row>
    <row r="9523" spans="3:4" ht="15" x14ac:dyDescent="0.25">
      <c r="C9523" s="8" t="e">
        <f>VLOOKUP(A:A,'ITEM LIST'!A:C,3,0)</f>
        <v>#N/A</v>
      </c>
      <c r="D9523" s="6">
        <f t="shared" si="149"/>
        <v>0</v>
      </c>
    </row>
    <row r="9524" spans="3:4" ht="15" x14ac:dyDescent="0.25">
      <c r="C9524" s="8" t="e">
        <f>VLOOKUP(A:A,'ITEM LIST'!A:C,3,0)</f>
        <v>#N/A</v>
      </c>
      <c r="D9524" s="6">
        <f t="shared" si="149"/>
        <v>0</v>
      </c>
    </row>
    <row r="9525" spans="3:4" ht="15" x14ac:dyDescent="0.25">
      <c r="C9525" s="8" t="e">
        <f>VLOOKUP(A:A,'ITEM LIST'!A:C,3,0)</f>
        <v>#N/A</v>
      </c>
      <c r="D9525" s="6">
        <f t="shared" si="149"/>
        <v>0</v>
      </c>
    </row>
    <row r="9526" spans="3:4" ht="15" x14ac:dyDescent="0.25">
      <c r="C9526" s="8" t="e">
        <f>VLOOKUP(A:A,'ITEM LIST'!A:C,3,0)</f>
        <v>#N/A</v>
      </c>
      <c r="D9526" s="6">
        <f t="shared" si="149"/>
        <v>0</v>
      </c>
    </row>
    <row r="9527" spans="3:4" ht="15" x14ac:dyDescent="0.25">
      <c r="C9527" s="8" t="e">
        <f>VLOOKUP(A:A,'ITEM LIST'!A:C,3,0)</f>
        <v>#N/A</v>
      </c>
      <c r="D9527" s="6">
        <f t="shared" si="149"/>
        <v>0</v>
      </c>
    </row>
    <row r="9528" spans="3:4" ht="15" x14ac:dyDescent="0.25">
      <c r="C9528" s="8" t="e">
        <f>VLOOKUP(A:A,'ITEM LIST'!A:C,3,0)</f>
        <v>#N/A</v>
      </c>
      <c r="D9528" s="6">
        <f t="shared" si="149"/>
        <v>0</v>
      </c>
    </row>
    <row r="9529" spans="3:4" ht="15" x14ac:dyDescent="0.25">
      <c r="C9529" s="8" t="e">
        <f>VLOOKUP(A:A,'ITEM LIST'!A:C,3,0)</f>
        <v>#N/A</v>
      </c>
      <c r="D9529" s="6">
        <f t="shared" si="149"/>
        <v>0</v>
      </c>
    </row>
    <row r="9530" spans="3:4" ht="15" x14ac:dyDescent="0.25">
      <c r="C9530" s="8" t="e">
        <f>VLOOKUP(A:A,'ITEM LIST'!A:C,3,0)</f>
        <v>#N/A</v>
      </c>
      <c r="D9530" s="6">
        <f t="shared" si="149"/>
        <v>0</v>
      </c>
    </row>
    <row r="9531" spans="3:4" ht="15" x14ac:dyDescent="0.25">
      <c r="C9531" s="8" t="e">
        <f>VLOOKUP(A:A,'ITEM LIST'!A:C,3,0)</f>
        <v>#N/A</v>
      </c>
      <c r="D9531" s="6">
        <f t="shared" si="149"/>
        <v>0</v>
      </c>
    </row>
    <row r="9532" spans="3:4" ht="15" x14ac:dyDescent="0.25">
      <c r="C9532" s="8" t="e">
        <f>VLOOKUP(A:A,'ITEM LIST'!A:C,3,0)</f>
        <v>#N/A</v>
      </c>
      <c r="D9532" s="6">
        <f t="shared" si="149"/>
        <v>0</v>
      </c>
    </row>
    <row r="9533" spans="3:4" ht="15" x14ac:dyDescent="0.25">
      <c r="C9533" s="8" t="e">
        <f>VLOOKUP(A:A,'ITEM LIST'!A:C,3,0)</f>
        <v>#N/A</v>
      </c>
      <c r="D9533" s="6">
        <f t="shared" si="149"/>
        <v>0</v>
      </c>
    </row>
    <row r="9534" spans="3:4" ht="15" x14ac:dyDescent="0.25">
      <c r="C9534" s="8" t="e">
        <f>VLOOKUP(A:A,'ITEM LIST'!A:C,3,0)</f>
        <v>#N/A</v>
      </c>
      <c r="D9534" s="6">
        <f t="shared" si="149"/>
        <v>0</v>
      </c>
    </row>
    <row r="9535" spans="3:4" ht="15" x14ac:dyDescent="0.25">
      <c r="C9535" s="8" t="e">
        <f>VLOOKUP(A:A,'ITEM LIST'!A:C,3,0)</f>
        <v>#N/A</v>
      </c>
      <c r="D9535" s="6">
        <f t="shared" si="149"/>
        <v>0</v>
      </c>
    </row>
    <row r="9536" spans="3:4" ht="15" x14ac:dyDescent="0.25">
      <c r="C9536" s="8" t="e">
        <f>VLOOKUP(A:A,'ITEM LIST'!A:C,3,0)</f>
        <v>#N/A</v>
      </c>
      <c r="D9536" s="6">
        <f t="shared" si="149"/>
        <v>0</v>
      </c>
    </row>
    <row r="9537" spans="3:4" ht="15" x14ac:dyDescent="0.25">
      <c r="C9537" s="8" t="e">
        <f>VLOOKUP(A:A,'ITEM LIST'!A:C,3,0)</f>
        <v>#N/A</v>
      </c>
      <c r="D9537" s="6">
        <f t="shared" si="149"/>
        <v>0</v>
      </c>
    </row>
    <row r="9538" spans="3:4" ht="15" x14ac:dyDescent="0.25">
      <c r="C9538" s="8" t="e">
        <f>VLOOKUP(A:A,'ITEM LIST'!A:C,3,0)</f>
        <v>#N/A</v>
      </c>
      <c r="D9538" s="6">
        <f t="shared" si="149"/>
        <v>0</v>
      </c>
    </row>
    <row r="9539" spans="3:4" ht="15" x14ac:dyDescent="0.25">
      <c r="C9539" s="8" t="e">
        <f>VLOOKUP(A:A,'ITEM LIST'!A:C,3,0)</f>
        <v>#N/A</v>
      </c>
      <c r="D9539" s="6">
        <f t="shared" si="149"/>
        <v>0</v>
      </c>
    </row>
    <row r="9540" spans="3:4" ht="15" x14ac:dyDescent="0.25">
      <c r="C9540" s="8" t="e">
        <f>VLOOKUP(A:A,'ITEM LIST'!A:C,3,0)</f>
        <v>#N/A</v>
      </c>
      <c r="D9540" s="6">
        <f t="shared" si="149"/>
        <v>0</v>
      </c>
    </row>
    <row r="9541" spans="3:4" ht="15" x14ac:dyDescent="0.25">
      <c r="C9541" s="8" t="e">
        <f>VLOOKUP(A:A,'ITEM LIST'!A:C,3,0)</f>
        <v>#N/A</v>
      </c>
      <c r="D9541" s="6">
        <f t="shared" si="149"/>
        <v>0</v>
      </c>
    </row>
    <row r="9542" spans="3:4" ht="15" x14ac:dyDescent="0.25">
      <c r="C9542" s="8" t="e">
        <f>VLOOKUP(A:A,'ITEM LIST'!A:C,3,0)</f>
        <v>#N/A</v>
      </c>
      <c r="D9542" s="6">
        <f t="shared" ref="D9542:D9605" si="150">B9542</f>
        <v>0</v>
      </c>
    </row>
    <row r="9543" spans="3:4" ht="15" x14ac:dyDescent="0.25">
      <c r="C9543" s="8" t="e">
        <f>VLOOKUP(A:A,'ITEM LIST'!A:C,3,0)</f>
        <v>#N/A</v>
      </c>
      <c r="D9543" s="6">
        <f t="shared" si="150"/>
        <v>0</v>
      </c>
    </row>
    <row r="9544" spans="3:4" ht="15" x14ac:dyDescent="0.25">
      <c r="C9544" s="8" t="e">
        <f>VLOOKUP(A:A,'ITEM LIST'!A:C,3,0)</f>
        <v>#N/A</v>
      </c>
      <c r="D9544" s="6">
        <f t="shared" si="150"/>
        <v>0</v>
      </c>
    </row>
    <row r="9545" spans="3:4" ht="15" x14ac:dyDescent="0.25">
      <c r="C9545" s="8" t="e">
        <f>VLOOKUP(A:A,'ITEM LIST'!A:C,3,0)</f>
        <v>#N/A</v>
      </c>
      <c r="D9545" s="6">
        <f t="shared" si="150"/>
        <v>0</v>
      </c>
    </row>
    <row r="9546" spans="3:4" ht="15" x14ac:dyDescent="0.25">
      <c r="C9546" s="8" t="e">
        <f>VLOOKUP(A:A,'ITEM LIST'!A:C,3,0)</f>
        <v>#N/A</v>
      </c>
      <c r="D9546" s="6">
        <f t="shared" si="150"/>
        <v>0</v>
      </c>
    </row>
    <row r="9547" spans="3:4" ht="15" x14ac:dyDescent="0.25">
      <c r="C9547" s="8" t="e">
        <f>VLOOKUP(A:A,'ITEM LIST'!A:C,3,0)</f>
        <v>#N/A</v>
      </c>
      <c r="D9547" s="6">
        <f t="shared" si="150"/>
        <v>0</v>
      </c>
    </row>
    <row r="9548" spans="3:4" ht="15" x14ac:dyDescent="0.25">
      <c r="C9548" s="8" t="e">
        <f>VLOOKUP(A:A,'ITEM LIST'!A:C,3,0)</f>
        <v>#N/A</v>
      </c>
      <c r="D9548" s="6">
        <f t="shared" si="150"/>
        <v>0</v>
      </c>
    </row>
    <row r="9549" spans="3:4" ht="15" x14ac:dyDescent="0.25">
      <c r="C9549" s="8" t="e">
        <f>VLOOKUP(A:A,'ITEM LIST'!A:C,3,0)</f>
        <v>#N/A</v>
      </c>
      <c r="D9549" s="6">
        <f t="shared" si="150"/>
        <v>0</v>
      </c>
    </row>
    <row r="9550" spans="3:4" ht="15" x14ac:dyDescent="0.25">
      <c r="C9550" s="8" t="e">
        <f>VLOOKUP(A:A,'ITEM LIST'!A:C,3,0)</f>
        <v>#N/A</v>
      </c>
      <c r="D9550" s="6">
        <f t="shared" si="150"/>
        <v>0</v>
      </c>
    </row>
    <row r="9551" spans="3:4" ht="15" x14ac:dyDescent="0.25">
      <c r="C9551" s="8" t="e">
        <f>VLOOKUP(A:A,'ITEM LIST'!A:C,3,0)</f>
        <v>#N/A</v>
      </c>
      <c r="D9551" s="6">
        <f t="shared" si="150"/>
        <v>0</v>
      </c>
    </row>
    <row r="9552" spans="3:4" ht="15" x14ac:dyDescent="0.25">
      <c r="C9552" s="8" t="e">
        <f>VLOOKUP(A:A,'ITEM LIST'!A:C,3,0)</f>
        <v>#N/A</v>
      </c>
      <c r="D9552" s="6">
        <f t="shared" si="150"/>
        <v>0</v>
      </c>
    </row>
    <row r="9553" spans="3:4" ht="15" x14ac:dyDescent="0.25">
      <c r="C9553" s="8" t="e">
        <f>VLOOKUP(A:A,'ITEM LIST'!A:C,3,0)</f>
        <v>#N/A</v>
      </c>
      <c r="D9553" s="6">
        <f t="shared" si="150"/>
        <v>0</v>
      </c>
    </row>
    <row r="9554" spans="3:4" ht="15" x14ac:dyDescent="0.25">
      <c r="C9554" s="8" t="e">
        <f>VLOOKUP(A:A,'ITEM LIST'!A:C,3,0)</f>
        <v>#N/A</v>
      </c>
      <c r="D9554" s="6">
        <f t="shared" si="150"/>
        <v>0</v>
      </c>
    </row>
    <row r="9555" spans="3:4" ht="15" x14ac:dyDescent="0.25">
      <c r="C9555" s="8" t="e">
        <f>VLOOKUP(A:A,'ITEM LIST'!A:C,3,0)</f>
        <v>#N/A</v>
      </c>
      <c r="D9555" s="6">
        <f t="shared" si="150"/>
        <v>0</v>
      </c>
    </row>
    <row r="9556" spans="3:4" ht="15" x14ac:dyDescent="0.25">
      <c r="C9556" s="8" t="e">
        <f>VLOOKUP(A:A,'ITEM LIST'!A:C,3,0)</f>
        <v>#N/A</v>
      </c>
      <c r="D9556" s="6">
        <f t="shared" si="150"/>
        <v>0</v>
      </c>
    </row>
    <row r="9557" spans="3:4" ht="15" x14ac:dyDescent="0.25">
      <c r="C9557" s="8" t="e">
        <f>VLOOKUP(A:A,'ITEM LIST'!A:C,3,0)</f>
        <v>#N/A</v>
      </c>
      <c r="D9557" s="6">
        <f t="shared" si="150"/>
        <v>0</v>
      </c>
    </row>
    <row r="9558" spans="3:4" ht="15" x14ac:dyDescent="0.25">
      <c r="C9558" s="8" t="e">
        <f>VLOOKUP(A:A,'ITEM LIST'!A:C,3,0)</f>
        <v>#N/A</v>
      </c>
      <c r="D9558" s="6">
        <f t="shared" si="150"/>
        <v>0</v>
      </c>
    </row>
    <row r="9559" spans="3:4" ht="15" x14ac:dyDescent="0.25">
      <c r="C9559" s="8" t="e">
        <f>VLOOKUP(A:A,'ITEM LIST'!A:C,3,0)</f>
        <v>#N/A</v>
      </c>
      <c r="D9559" s="6">
        <f t="shared" si="150"/>
        <v>0</v>
      </c>
    </row>
    <row r="9560" spans="3:4" ht="15" x14ac:dyDescent="0.25">
      <c r="C9560" s="8" t="e">
        <f>VLOOKUP(A:A,'ITEM LIST'!A:C,3,0)</f>
        <v>#N/A</v>
      </c>
      <c r="D9560" s="6">
        <f t="shared" si="150"/>
        <v>0</v>
      </c>
    </row>
    <row r="9561" spans="3:4" ht="15" x14ac:dyDescent="0.25">
      <c r="C9561" s="8" t="e">
        <f>VLOOKUP(A:A,'ITEM LIST'!A:C,3,0)</f>
        <v>#N/A</v>
      </c>
      <c r="D9561" s="6">
        <f t="shared" si="150"/>
        <v>0</v>
      </c>
    </row>
    <row r="9562" spans="3:4" ht="15" x14ac:dyDescent="0.25">
      <c r="C9562" s="8" t="e">
        <f>VLOOKUP(A:A,'ITEM LIST'!A:C,3,0)</f>
        <v>#N/A</v>
      </c>
      <c r="D9562" s="6">
        <f t="shared" si="150"/>
        <v>0</v>
      </c>
    </row>
    <row r="9563" spans="3:4" ht="15" x14ac:dyDescent="0.25">
      <c r="C9563" s="8" t="e">
        <f>VLOOKUP(A:A,'ITEM LIST'!A:C,3,0)</f>
        <v>#N/A</v>
      </c>
      <c r="D9563" s="6">
        <f t="shared" si="150"/>
        <v>0</v>
      </c>
    </row>
    <row r="9564" spans="3:4" ht="15" x14ac:dyDescent="0.25">
      <c r="C9564" s="8" t="e">
        <f>VLOOKUP(A:A,'ITEM LIST'!A:C,3,0)</f>
        <v>#N/A</v>
      </c>
      <c r="D9564" s="6">
        <f t="shared" si="150"/>
        <v>0</v>
      </c>
    </row>
    <row r="9565" spans="3:4" ht="15" x14ac:dyDescent="0.25">
      <c r="C9565" s="8" t="e">
        <f>VLOOKUP(A:A,'ITEM LIST'!A:C,3,0)</f>
        <v>#N/A</v>
      </c>
      <c r="D9565" s="6">
        <f t="shared" si="150"/>
        <v>0</v>
      </c>
    </row>
    <row r="9566" spans="3:4" ht="15" x14ac:dyDescent="0.25">
      <c r="C9566" s="8" t="e">
        <f>VLOOKUP(A:A,'ITEM LIST'!A:C,3,0)</f>
        <v>#N/A</v>
      </c>
      <c r="D9566" s="6">
        <f t="shared" si="150"/>
        <v>0</v>
      </c>
    </row>
    <row r="9567" spans="3:4" ht="15" x14ac:dyDescent="0.25">
      <c r="C9567" s="8" t="e">
        <f>VLOOKUP(A:A,'ITEM LIST'!A:C,3,0)</f>
        <v>#N/A</v>
      </c>
      <c r="D9567" s="6">
        <f t="shared" si="150"/>
        <v>0</v>
      </c>
    </row>
    <row r="9568" spans="3:4" ht="15" x14ac:dyDescent="0.25">
      <c r="C9568" s="8" t="e">
        <f>VLOOKUP(A:A,'ITEM LIST'!A:C,3,0)</f>
        <v>#N/A</v>
      </c>
      <c r="D9568" s="6">
        <f t="shared" si="150"/>
        <v>0</v>
      </c>
    </row>
    <row r="9569" spans="3:4" ht="15" x14ac:dyDescent="0.25">
      <c r="C9569" s="8" t="e">
        <f>VLOOKUP(A:A,'ITEM LIST'!A:C,3,0)</f>
        <v>#N/A</v>
      </c>
      <c r="D9569" s="6">
        <f t="shared" si="150"/>
        <v>0</v>
      </c>
    </row>
    <row r="9570" spans="3:4" ht="15" x14ac:dyDescent="0.25">
      <c r="C9570" s="8" t="e">
        <f>VLOOKUP(A:A,'ITEM LIST'!A:C,3,0)</f>
        <v>#N/A</v>
      </c>
      <c r="D9570" s="6">
        <f t="shared" si="150"/>
        <v>0</v>
      </c>
    </row>
    <row r="9571" spans="3:4" ht="15" x14ac:dyDescent="0.25">
      <c r="C9571" s="8" t="e">
        <f>VLOOKUP(A:A,'ITEM LIST'!A:C,3,0)</f>
        <v>#N/A</v>
      </c>
      <c r="D9571" s="6">
        <f t="shared" si="150"/>
        <v>0</v>
      </c>
    </row>
    <row r="9572" spans="3:4" ht="15" x14ac:dyDescent="0.25">
      <c r="C9572" s="8" t="e">
        <f>VLOOKUP(A:A,'ITEM LIST'!A:C,3,0)</f>
        <v>#N/A</v>
      </c>
      <c r="D9572" s="6">
        <f t="shared" si="150"/>
        <v>0</v>
      </c>
    </row>
    <row r="9573" spans="3:4" ht="15" x14ac:dyDescent="0.25">
      <c r="C9573" s="8" t="e">
        <f>VLOOKUP(A:A,'ITEM LIST'!A:C,3,0)</f>
        <v>#N/A</v>
      </c>
      <c r="D9573" s="6">
        <f t="shared" si="150"/>
        <v>0</v>
      </c>
    </row>
    <row r="9574" spans="3:4" ht="15" x14ac:dyDescent="0.25">
      <c r="C9574" s="8" t="e">
        <f>VLOOKUP(A:A,'ITEM LIST'!A:C,3,0)</f>
        <v>#N/A</v>
      </c>
      <c r="D9574" s="6">
        <f t="shared" si="150"/>
        <v>0</v>
      </c>
    </row>
    <row r="9575" spans="3:4" ht="15" x14ac:dyDescent="0.25">
      <c r="C9575" s="8" t="e">
        <f>VLOOKUP(A:A,'ITEM LIST'!A:C,3,0)</f>
        <v>#N/A</v>
      </c>
      <c r="D9575" s="6">
        <f t="shared" si="150"/>
        <v>0</v>
      </c>
    </row>
    <row r="9576" spans="3:4" ht="15" x14ac:dyDescent="0.25">
      <c r="C9576" s="8" t="e">
        <f>VLOOKUP(A:A,'ITEM LIST'!A:C,3,0)</f>
        <v>#N/A</v>
      </c>
      <c r="D9576" s="6">
        <f t="shared" si="150"/>
        <v>0</v>
      </c>
    </row>
    <row r="9577" spans="3:4" ht="15" x14ac:dyDescent="0.25">
      <c r="C9577" s="8" t="e">
        <f>VLOOKUP(A:A,'ITEM LIST'!A:C,3,0)</f>
        <v>#N/A</v>
      </c>
      <c r="D9577" s="6">
        <f t="shared" si="150"/>
        <v>0</v>
      </c>
    </row>
    <row r="9578" spans="3:4" ht="15" x14ac:dyDescent="0.25">
      <c r="C9578" s="8" t="e">
        <f>VLOOKUP(A:A,'ITEM LIST'!A:C,3,0)</f>
        <v>#N/A</v>
      </c>
      <c r="D9578" s="6">
        <f t="shared" si="150"/>
        <v>0</v>
      </c>
    </row>
    <row r="9579" spans="3:4" ht="15" x14ac:dyDescent="0.25">
      <c r="C9579" s="8" t="e">
        <f>VLOOKUP(A:A,'ITEM LIST'!A:C,3,0)</f>
        <v>#N/A</v>
      </c>
      <c r="D9579" s="6">
        <f t="shared" si="150"/>
        <v>0</v>
      </c>
    </row>
    <row r="9580" spans="3:4" ht="15" x14ac:dyDescent="0.25">
      <c r="C9580" s="8" t="e">
        <f>VLOOKUP(A:A,'ITEM LIST'!A:C,3,0)</f>
        <v>#N/A</v>
      </c>
      <c r="D9580" s="6">
        <f t="shared" si="150"/>
        <v>0</v>
      </c>
    </row>
    <row r="9581" spans="3:4" ht="15" x14ac:dyDescent="0.25">
      <c r="C9581" s="8" t="e">
        <f>VLOOKUP(A:A,'ITEM LIST'!A:C,3,0)</f>
        <v>#N/A</v>
      </c>
      <c r="D9581" s="6">
        <f t="shared" si="150"/>
        <v>0</v>
      </c>
    </row>
    <row r="9582" spans="3:4" ht="15" x14ac:dyDescent="0.25">
      <c r="C9582" s="8" t="e">
        <f>VLOOKUP(A:A,'ITEM LIST'!A:C,3,0)</f>
        <v>#N/A</v>
      </c>
      <c r="D9582" s="6">
        <f t="shared" si="150"/>
        <v>0</v>
      </c>
    </row>
    <row r="9583" spans="3:4" ht="15" x14ac:dyDescent="0.25">
      <c r="C9583" s="8" t="e">
        <f>VLOOKUP(A:A,'ITEM LIST'!A:C,3,0)</f>
        <v>#N/A</v>
      </c>
      <c r="D9583" s="6">
        <f t="shared" si="150"/>
        <v>0</v>
      </c>
    </row>
    <row r="9584" spans="3:4" ht="15" x14ac:dyDescent="0.25">
      <c r="C9584" s="8" t="e">
        <f>VLOOKUP(A:A,'ITEM LIST'!A:C,3,0)</f>
        <v>#N/A</v>
      </c>
      <c r="D9584" s="6">
        <f t="shared" si="150"/>
        <v>0</v>
      </c>
    </row>
    <row r="9585" spans="3:4" ht="15" x14ac:dyDescent="0.25">
      <c r="C9585" s="8" t="e">
        <f>VLOOKUP(A:A,'ITEM LIST'!A:C,3,0)</f>
        <v>#N/A</v>
      </c>
      <c r="D9585" s="6">
        <f t="shared" si="150"/>
        <v>0</v>
      </c>
    </row>
    <row r="9586" spans="3:4" ht="15" x14ac:dyDescent="0.25">
      <c r="C9586" s="8" t="e">
        <f>VLOOKUP(A:A,'ITEM LIST'!A:C,3,0)</f>
        <v>#N/A</v>
      </c>
      <c r="D9586" s="6">
        <f t="shared" si="150"/>
        <v>0</v>
      </c>
    </row>
    <row r="9587" spans="3:4" ht="15" x14ac:dyDescent="0.25">
      <c r="C9587" s="8" t="e">
        <f>VLOOKUP(A:A,'ITEM LIST'!A:C,3,0)</f>
        <v>#N/A</v>
      </c>
      <c r="D9587" s="6">
        <f t="shared" si="150"/>
        <v>0</v>
      </c>
    </row>
    <row r="9588" spans="3:4" ht="15" x14ac:dyDescent="0.25">
      <c r="C9588" s="8" t="e">
        <f>VLOOKUP(A:A,'ITEM LIST'!A:C,3,0)</f>
        <v>#N/A</v>
      </c>
      <c r="D9588" s="6">
        <f t="shared" si="150"/>
        <v>0</v>
      </c>
    </row>
    <row r="9589" spans="3:4" ht="15" x14ac:dyDescent="0.25">
      <c r="C9589" s="8" t="e">
        <f>VLOOKUP(A:A,'ITEM LIST'!A:C,3,0)</f>
        <v>#N/A</v>
      </c>
      <c r="D9589" s="6">
        <f t="shared" si="150"/>
        <v>0</v>
      </c>
    </row>
    <row r="9590" spans="3:4" ht="15" x14ac:dyDescent="0.25">
      <c r="C9590" s="8" t="e">
        <f>VLOOKUP(A:A,'ITEM LIST'!A:C,3,0)</f>
        <v>#N/A</v>
      </c>
      <c r="D9590" s="6">
        <f t="shared" si="150"/>
        <v>0</v>
      </c>
    </row>
    <row r="9591" spans="3:4" ht="15" x14ac:dyDescent="0.25">
      <c r="C9591" s="8" t="e">
        <f>VLOOKUP(A:A,'ITEM LIST'!A:C,3,0)</f>
        <v>#N/A</v>
      </c>
      <c r="D9591" s="6">
        <f t="shared" si="150"/>
        <v>0</v>
      </c>
    </row>
    <row r="9592" spans="3:4" ht="15" x14ac:dyDescent="0.25">
      <c r="C9592" s="8" t="e">
        <f>VLOOKUP(A:A,'ITEM LIST'!A:C,3,0)</f>
        <v>#N/A</v>
      </c>
      <c r="D9592" s="6">
        <f t="shared" si="150"/>
        <v>0</v>
      </c>
    </row>
    <row r="9593" spans="3:4" ht="15" x14ac:dyDescent="0.25">
      <c r="C9593" s="8" t="e">
        <f>VLOOKUP(A:A,'ITEM LIST'!A:C,3,0)</f>
        <v>#N/A</v>
      </c>
      <c r="D9593" s="6">
        <f t="shared" si="150"/>
        <v>0</v>
      </c>
    </row>
    <row r="9594" spans="3:4" ht="15" x14ac:dyDescent="0.25">
      <c r="C9594" s="8" t="e">
        <f>VLOOKUP(A:A,'ITEM LIST'!A:C,3,0)</f>
        <v>#N/A</v>
      </c>
      <c r="D9594" s="6">
        <f t="shared" si="150"/>
        <v>0</v>
      </c>
    </row>
    <row r="9595" spans="3:4" ht="15" x14ac:dyDescent="0.25">
      <c r="C9595" s="8" t="e">
        <f>VLOOKUP(A:A,'ITEM LIST'!A:C,3,0)</f>
        <v>#N/A</v>
      </c>
      <c r="D9595" s="6">
        <f t="shared" si="150"/>
        <v>0</v>
      </c>
    </row>
    <row r="9596" spans="3:4" ht="15" x14ac:dyDescent="0.25">
      <c r="C9596" s="8" t="e">
        <f>VLOOKUP(A:A,'ITEM LIST'!A:C,3,0)</f>
        <v>#N/A</v>
      </c>
      <c r="D9596" s="6">
        <f t="shared" si="150"/>
        <v>0</v>
      </c>
    </row>
    <row r="9597" spans="3:4" ht="15" x14ac:dyDescent="0.25">
      <c r="C9597" s="8" t="e">
        <f>VLOOKUP(A:A,'ITEM LIST'!A:C,3,0)</f>
        <v>#N/A</v>
      </c>
      <c r="D9597" s="6">
        <f t="shared" si="150"/>
        <v>0</v>
      </c>
    </row>
    <row r="9598" spans="3:4" ht="15" x14ac:dyDescent="0.25">
      <c r="C9598" s="8" t="e">
        <f>VLOOKUP(A:A,'ITEM LIST'!A:C,3,0)</f>
        <v>#N/A</v>
      </c>
      <c r="D9598" s="6">
        <f t="shared" si="150"/>
        <v>0</v>
      </c>
    </row>
    <row r="9599" spans="3:4" ht="15" x14ac:dyDescent="0.25">
      <c r="C9599" s="8" t="e">
        <f>VLOOKUP(A:A,'ITEM LIST'!A:C,3,0)</f>
        <v>#N/A</v>
      </c>
      <c r="D9599" s="6">
        <f t="shared" si="150"/>
        <v>0</v>
      </c>
    </row>
    <row r="9600" spans="3:4" ht="15" x14ac:dyDescent="0.25">
      <c r="C9600" s="8" t="e">
        <f>VLOOKUP(A:A,'ITEM LIST'!A:C,3,0)</f>
        <v>#N/A</v>
      </c>
      <c r="D9600" s="6">
        <f t="shared" si="150"/>
        <v>0</v>
      </c>
    </row>
    <row r="9601" spans="3:4" ht="15" x14ac:dyDescent="0.25">
      <c r="C9601" s="8" t="e">
        <f>VLOOKUP(A:A,'ITEM LIST'!A:C,3,0)</f>
        <v>#N/A</v>
      </c>
      <c r="D9601" s="6">
        <f t="shared" si="150"/>
        <v>0</v>
      </c>
    </row>
    <row r="9602" spans="3:4" ht="15" x14ac:dyDescent="0.25">
      <c r="C9602" s="8" t="e">
        <f>VLOOKUP(A:A,'ITEM LIST'!A:C,3,0)</f>
        <v>#N/A</v>
      </c>
      <c r="D9602" s="6">
        <f t="shared" si="150"/>
        <v>0</v>
      </c>
    </row>
    <row r="9603" spans="3:4" ht="15" x14ac:dyDescent="0.25">
      <c r="C9603" s="8" t="e">
        <f>VLOOKUP(A:A,'ITEM LIST'!A:C,3,0)</f>
        <v>#N/A</v>
      </c>
      <c r="D9603" s="6">
        <f t="shared" si="150"/>
        <v>0</v>
      </c>
    </row>
    <row r="9604" spans="3:4" ht="15" x14ac:dyDescent="0.25">
      <c r="C9604" s="8" t="e">
        <f>VLOOKUP(A:A,'ITEM LIST'!A:C,3,0)</f>
        <v>#N/A</v>
      </c>
      <c r="D9604" s="6">
        <f t="shared" si="150"/>
        <v>0</v>
      </c>
    </row>
    <row r="9605" spans="3:4" ht="15" x14ac:dyDescent="0.25">
      <c r="C9605" s="8" t="e">
        <f>VLOOKUP(A:A,'ITEM LIST'!A:C,3,0)</f>
        <v>#N/A</v>
      </c>
      <c r="D9605" s="6">
        <f t="shared" si="150"/>
        <v>0</v>
      </c>
    </row>
    <row r="9606" spans="3:4" ht="15" x14ac:dyDescent="0.25">
      <c r="C9606" s="8" t="e">
        <f>VLOOKUP(A:A,'ITEM LIST'!A:C,3,0)</f>
        <v>#N/A</v>
      </c>
      <c r="D9606" s="6">
        <f t="shared" ref="D9606:D9669" si="151">B9606</f>
        <v>0</v>
      </c>
    </row>
    <row r="9607" spans="3:4" ht="15" x14ac:dyDescent="0.25">
      <c r="C9607" s="8" t="e">
        <f>VLOOKUP(A:A,'ITEM LIST'!A:C,3,0)</f>
        <v>#N/A</v>
      </c>
      <c r="D9607" s="6">
        <f t="shared" si="151"/>
        <v>0</v>
      </c>
    </row>
    <row r="9608" spans="3:4" ht="15" x14ac:dyDescent="0.25">
      <c r="C9608" s="8" t="e">
        <f>VLOOKUP(A:A,'ITEM LIST'!A:C,3,0)</f>
        <v>#N/A</v>
      </c>
      <c r="D9608" s="6">
        <f t="shared" si="151"/>
        <v>0</v>
      </c>
    </row>
    <row r="9609" spans="3:4" ht="15" x14ac:dyDescent="0.25">
      <c r="C9609" s="8" t="e">
        <f>VLOOKUP(A:A,'ITEM LIST'!A:C,3,0)</f>
        <v>#N/A</v>
      </c>
      <c r="D9609" s="6">
        <f t="shared" si="151"/>
        <v>0</v>
      </c>
    </row>
    <row r="9610" spans="3:4" ht="15" x14ac:dyDescent="0.25">
      <c r="C9610" s="8" t="e">
        <f>VLOOKUP(A:A,'ITEM LIST'!A:C,3,0)</f>
        <v>#N/A</v>
      </c>
      <c r="D9610" s="6">
        <f t="shared" si="151"/>
        <v>0</v>
      </c>
    </row>
    <row r="9611" spans="3:4" ht="15" x14ac:dyDescent="0.25">
      <c r="C9611" s="8" t="e">
        <f>VLOOKUP(A:A,'ITEM LIST'!A:C,3,0)</f>
        <v>#N/A</v>
      </c>
      <c r="D9611" s="6">
        <f t="shared" si="151"/>
        <v>0</v>
      </c>
    </row>
    <row r="9612" spans="3:4" ht="15" x14ac:dyDescent="0.25">
      <c r="C9612" s="8" t="e">
        <f>VLOOKUP(A:A,'ITEM LIST'!A:C,3,0)</f>
        <v>#N/A</v>
      </c>
      <c r="D9612" s="6">
        <f t="shared" si="151"/>
        <v>0</v>
      </c>
    </row>
    <row r="9613" spans="3:4" ht="15" x14ac:dyDescent="0.25">
      <c r="C9613" s="8" t="e">
        <f>VLOOKUP(A:A,'ITEM LIST'!A:C,3,0)</f>
        <v>#N/A</v>
      </c>
      <c r="D9613" s="6">
        <f t="shared" si="151"/>
        <v>0</v>
      </c>
    </row>
    <row r="9614" spans="3:4" ht="15" x14ac:dyDescent="0.25">
      <c r="C9614" s="8" t="e">
        <f>VLOOKUP(A:A,'ITEM LIST'!A:C,3,0)</f>
        <v>#N/A</v>
      </c>
      <c r="D9614" s="6">
        <f t="shared" si="151"/>
        <v>0</v>
      </c>
    </row>
    <row r="9615" spans="3:4" ht="15" x14ac:dyDescent="0.25">
      <c r="C9615" s="8" t="e">
        <f>VLOOKUP(A:A,'ITEM LIST'!A:C,3,0)</f>
        <v>#N/A</v>
      </c>
      <c r="D9615" s="6">
        <f t="shared" si="151"/>
        <v>0</v>
      </c>
    </row>
    <row r="9616" spans="3:4" ht="15" x14ac:dyDescent="0.25">
      <c r="C9616" s="8" t="e">
        <f>VLOOKUP(A:A,'ITEM LIST'!A:C,3,0)</f>
        <v>#N/A</v>
      </c>
      <c r="D9616" s="6">
        <f t="shared" si="151"/>
        <v>0</v>
      </c>
    </row>
    <row r="9617" spans="3:4" ht="15" x14ac:dyDescent="0.25">
      <c r="C9617" s="8" t="e">
        <f>VLOOKUP(A:A,'ITEM LIST'!A:C,3,0)</f>
        <v>#N/A</v>
      </c>
      <c r="D9617" s="6">
        <f t="shared" si="151"/>
        <v>0</v>
      </c>
    </row>
    <row r="9618" spans="3:4" ht="15" x14ac:dyDescent="0.25">
      <c r="C9618" s="8" t="e">
        <f>VLOOKUP(A:A,'ITEM LIST'!A:C,3,0)</f>
        <v>#N/A</v>
      </c>
      <c r="D9618" s="6">
        <f t="shared" si="151"/>
        <v>0</v>
      </c>
    </row>
    <row r="9619" spans="3:4" ht="15" x14ac:dyDescent="0.25">
      <c r="C9619" s="8" t="e">
        <f>VLOOKUP(A:A,'ITEM LIST'!A:C,3,0)</f>
        <v>#N/A</v>
      </c>
      <c r="D9619" s="6">
        <f t="shared" si="151"/>
        <v>0</v>
      </c>
    </row>
    <row r="9620" spans="3:4" ht="15" x14ac:dyDescent="0.25">
      <c r="C9620" s="8" t="e">
        <f>VLOOKUP(A:A,'ITEM LIST'!A:C,3,0)</f>
        <v>#N/A</v>
      </c>
      <c r="D9620" s="6">
        <f t="shared" si="151"/>
        <v>0</v>
      </c>
    </row>
    <row r="9621" spans="3:4" ht="15" x14ac:dyDescent="0.25">
      <c r="C9621" s="8" t="e">
        <f>VLOOKUP(A:A,'ITEM LIST'!A:C,3,0)</f>
        <v>#N/A</v>
      </c>
      <c r="D9621" s="6">
        <f t="shared" si="151"/>
        <v>0</v>
      </c>
    </row>
    <row r="9622" spans="3:4" ht="15" x14ac:dyDescent="0.25">
      <c r="C9622" s="8" t="e">
        <f>VLOOKUP(A:A,'ITEM LIST'!A:C,3,0)</f>
        <v>#N/A</v>
      </c>
      <c r="D9622" s="6">
        <f t="shared" si="151"/>
        <v>0</v>
      </c>
    </row>
    <row r="9623" spans="3:4" ht="15" x14ac:dyDescent="0.25">
      <c r="C9623" s="8" t="e">
        <f>VLOOKUP(A:A,'ITEM LIST'!A:C,3,0)</f>
        <v>#N/A</v>
      </c>
      <c r="D9623" s="6">
        <f t="shared" si="151"/>
        <v>0</v>
      </c>
    </row>
    <row r="9624" spans="3:4" ht="15" x14ac:dyDescent="0.25">
      <c r="C9624" s="8" t="e">
        <f>VLOOKUP(A:A,'ITEM LIST'!A:C,3,0)</f>
        <v>#N/A</v>
      </c>
      <c r="D9624" s="6">
        <f t="shared" si="151"/>
        <v>0</v>
      </c>
    </row>
    <row r="9625" spans="3:4" ht="15" x14ac:dyDescent="0.25">
      <c r="C9625" s="8" t="e">
        <f>VLOOKUP(A:A,'ITEM LIST'!A:C,3,0)</f>
        <v>#N/A</v>
      </c>
      <c r="D9625" s="6">
        <f t="shared" si="151"/>
        <v>0</v>
      </c>
    </row>
    <row r="9626" spans="3:4" ht="15" x14ac:dyDescent="0.25">
      <c r="C9626" s="8" t="e">
        <f>VLOOKUP(A:A,'ITEM LIST'!A:C,3,0)</f>
        <v>#N/A</v>
      </c>
      <c r="D9626" s="6">
        <f t="shared" si="151"/>
        <v>0</v>
      </c>
    </row>
    <row r="9627" spans="3:4" ht="15" x14ac:dyDescent="0.25">
      <c r="C9627" s="8" t="e">
        <f>VLOOKUP(A:A,'ITEM LIST'!A:C,3,0)</f>
        <v>#N/A</v>
      </c>
      <c r="D9627" s="6">
        <f t="shared" si="151"/>
        <v>0</v>
      </c>
    </row>
    <row r="9628" spans="3:4" ht="15" x14ac:dyDescent="0.25">
      <c r="C9628" s="8" t="e">
        <f>VLOOKUP(A:A,'ITEM LIST'!A:C,3,0)</f>
        <v>#N/A</v>
      </c>
      <c r="D9628" s="6">
        <f t="shared" si="151"/>
        <v>0</v>
      </c>
    </row>
    <row r="9629" spans="3:4" ht="15" x14ac:dyDescent="0.25">
      <c r="C9629" s="8" t="e">
        <f>VLOOKUP(A:A,'ITEM LIST'!A:C,3,0)</f>
        <v>#N/A</v>
      </c>
      <c r="D9629" s="6">
        <f t="shared" si="151"/>
        <v>0</v>
      </c>
    </row>
    <row r="9630" spans="3:4" ht="15" x14ac:dyDescent="0.25">
      <c r="C9630" s="8" t="e">
        <f>VLOOKUP(A:A,'ITEM LIST'!A:C,3,0)</f>
        <v>#N/A</v>
      </c>
      <c r="D9630" s="6">
        <f t="shared" si="151"/>
        <v>0</v>
      </c>
    </row>
    <row r="9631" spans="3:4" ht="15" x14ac:dyDescent="0.25">
      <c r="C9631" s="8" t="e">
        <f>VLOOKUP(A:A,'ITEM LIST'!A:C,3,0)</f>
        <v>#N/A</v>
      </c>
      <c r="D9631" s="6">
        <f t="shared" si="151"/>
        <v>0</v>
      </c>
    </row>
    <row r="9632" spans="3:4" ht="15" x14ac:dyDescent="0.25">
      <c r="C9632" s="8" t="e">
        <f>VLOOKUP(A:A,'ITEM LIST'!A:C,3,0)</f>
        <v>#N/A</v>
      </c>
      <c r="D9632" s="6">
        <f t="shared" si="151"/>
        <v>0</v>
      </c>
    </row>
    <row r="9633" spans="3:4" ht="15" x14ac:dyDescent="0.25">
      <c r="C9633" s="8" t="e">
        <f>VLOOKUP(A:A,'ITEM LIST'!A:C,3,0)</f>
        <v>#N/A</v>
      </c>
      <c r="D9633" s="6">
        <f t="shared" si="151"/>
        <v>0</v>
      </c>
    </row>
    <row r="9634" spans="3:4" ht="15" x14ac:dyDescent="0.25">
      <c r="C9634" s="8" t="e">
        <f>VLOOKUP(A:A,'ITEM LIST'!A:C,3,0)</f>
        <v>#N/A</v>
      </c>
      <c r="D9634" s="6">
        <f t="shared" si="151"/>
        <v>0</v>
      </c>
    </row>
    <row r="9635" spans="3:4" ht="15" x14ac:dyDescent="0.25">
      <c r="C9635" s="8" t="e">
        <f>VLOOKUP(A:A,'ITEM LIST'!A:C,3,0)</f>
        <v>#N/A</v>
      </c>
      <c r="D9635" s="6">
        <f t="shared" si="151"/>
        <v>0</v>
      </c>
    </row>
    <row r="9636" spans="3:4" ht="15" x14ac:dyDescent="0.25">
      <c r="C9636" s="8" t="e">
        <f>VLOOKUP(A:A,'ITEM LIST'!A:C,3,0)</f>
        <v>#N/A</v>
      </c>
      <c r="D9636" s="6">
        <f t="shared" si="151"/>
        <v>0</v>
      </c>
    </row>
    <row r="9637" spans="3:4" ht="15" x14ac:dyDescent="0.25">
      <c r="C9637" s="8" t="e">
        <f>VLOOKUP(A:A,'ITEM LIST'!A:C,3,0)</f>
        <v>#N/A</v>
      </c>
      <c r="D9637" s="6">
        <f t="shared" si="151"/>
        <v>0</v>
      </c>
    </row>
    <row r="9638" spans="3:4" ht="15" x14ac:dyDescent="0.25">
      <c r="C9638" s="8" t="e">
        <f>VLOOKUP(A:A,'ITEM LIST'!A:C,3,0)</f>
        <v>#N/A</v>
      </c>
      <c r="D9638" s="6">
        <f t="shared" si="151"/>
        <v>0</v>
      </c>
    </row>
    <row r="9639" spans="3:4" ht="15" x14ac:dyDescent="0.25">
      <c r="C9639" s="8" t="e">
        <f>VLOOKUP(A:A,'ITEM LIST'!A:C,3,0)</f>
        <v>#N/A</v>
      </c>
      <c r="D9639" s="6">
        <f t="shared" si="151"/>
        <v>0</v>
      </c>
    </row>
    <row r="9640" spans="3:4" ht="15" x14ac:dyDescent="0.25">
      <c r="C9640" s="8" t="e">
        <f>VLOOKUP(A:A,'ITEM LIST'!A:C,3,0)</f>
        <v>#N/A</v>
      </c>
      <c r="D9640" s="6">
        <f t="shared" si="151"/>
        <v>0</v>
      </c>
    </row>
    <row r="9641" spans="3:4" ht="15" x14ac:dyDescent="0.25">
      <c r="C9641" s="8" t="e">
        <f>VLOOKUP(A:A,'ITEM LIST'!A:C,3,0)</f>
        <v>#N/A</v>
      </c>
      <c r="D9641" s="6">
        <f t="shared" si="151"/>
        <v>0</v>
      </c>
    </row>
    <row r="9642" spans="3:4" ht="15" x14ac:dyDescent="0.25">
      <c r="C9642" s="8" t="e">
        <f>VLOOKUP(A:A,'ITEM LIST'!A:C,3,0)</f>
        <v>#N/A</v>
      </c>
      <c r="D9642" s="6">
        <f t="shared" si="151"/>
        <v>0</v>
      </c>
    </row>
    <row r="9643" spans="3:4" ht="15" x14ac:dyDescent="0.25">
      <c r="C9643" s="8" t="e">
        <f>VLOOKUP(A:A,'ITEM LIST'!A:C,3,0)</f>
        <v>#N/A</v>
      </c>
      <c r="D9643" s="6">
        <f t="shared" si="151"/>
        <v>0</v>
      </c>
    </row>
    <row r="9644" spans="3:4" ht="15" x14ac:dyDescent="0.25">
      <c r="C9644" s="8" t="e">
        <f>VLOOKUP(A:A,'ITEM LIST'!A:C,3,0)</f>
        <v>#N/A</v>
      </c>
      <c r="D9644" s="6">
        <f t="shared" si="151"/>
        <v>0</v>
      </c>
    </row>
    <row r="9645" spans="3:4" ht="15" x14ac:dyDescent="0.25">
      <c r="C9645" s="8" t="e">
        <f>VLOOKUP(A:A,'ITEM LIST'!A:C,3,0)</f>
        <v>#N/A</v>
      </c>
      <c r="D9645" s="6">
        <f t="shared" si="151"/>
        <v>0</v>
      </c>
    </row>
    <row r="9646" spans="3:4" ht="15" x14ac:dyDescent="0.25">
      <c r="C9646" s="8" t="e">
        <f>VLOOKUP(A:A,'ITEM LIST'!A:C,3,0)</f>
        <v>#N/A</v>
      </c>
      <c r="D9646" s="6">
        <f t="shared" si="151"/>
        <v>0</v>
      </c>
    </row>
    <row r="9647" spans="3:4" ht="15" x14ac:dyDescent="0.25">
      <c r="C9647" s="8" t="e">
        <f>VLOOKUP(A:A,'ITEM LIST'!A:C,3,0)</f>
        <v>#N/A</v>
      </c>
      <c r="D9647" s="6">
        <f t="shared" si="151"/>
        <v>0</v>
      </c>
    </row>
    <row r="9648" spans="3:4" ht="15" x14ac:dyDescent="0.25">
      <c r="C9648" s="8" t="e">
        <f>VLOOKUP(A:A,'ITEM LIST'!A:C,3,0)</f>
        <v>#N/A</v>
      </c>
      <c r="D9648" s="6">
        <f t="shared" si="151"/>
        <v>0</v>
      </c>
    </row>
    <row r="9649" spans="3:4" ht="15" x14ac:dyDescent="0.25">
      <c r="C9649" s="8" t="e">
        <f>VLOOKUP(A:A,'ITEM LIST'!A:C,3,0)</f>
        <v>#N/A</v>
      </c>
      <c r="D9649" s="6">
        <f t="shared" si="151"/>
        <v>0</v>
      </c>
    </row>
    <row r="9650" spans="3:4" ht="15" x14ac:dyDescent="0.25">
      <c r="C9650" s="8" t="e">
        <f>VLOOKUP(A:A,'ITEM LIST'!A:C,3,0)</f>
        <v>#N/A</v>
      </c>
      <c r="D9650" s="6">
        <f t="shared" si="151"/>
        <v>0</v>
      </c>
    </row>
    <row r="9651" spans="3:4" ht="15" x14ac:dyDescent="0.25">
      <c r="C9651" s="8" t="e">
        <f>VLOOKUP(A:A,'ITEM LIST'!A:C,3,0)</f>
        <v>#N/A</v>
      </c>
      <c r="D9651" s="6">
        <f t="shared" si="151"/>
        <v>0</v>
      </c>
    </row>
    <row r="9652" spans="3:4" ht="15" x14ac:dyDescent="0.25">
      <c r="C9652" s="8" t="e">
        <f>VLOOKUP(A:A,'ITEM LIST'!A:C,3,0)</f>
        <v>#N/A</v>
      </c>
      <c r="D9652" s="6">
        <f t="shared" si="151"/>
        <v>0</v>
      </c>
    </row>
    <row r="9653" spans="3:4" ht="15" x14ac:dyDescent="0.25">
      <c r="C9653" s="8" t="e">
        <f>VLOOKUP(A:A,'ITEM LIST'!A:C,3,0)</f>
        <v>#N/A</v>
      </c>
      <c r="D9653" s="6">
        <f t="shared" si="151"/>
        <v>0</v>
      </c>
    </row>
    <row r="9654" spans="3:4" ht="15" x14ac:dyDescent="0.25">
      <c r="C9654" s="8" t="e">
        <f>VLOOKUP(A:A,'ITEM LIST'!A:C,3,0)</f>
        <v>#N/A</v>
      </c>
      <c r="D9654" s="6">
        <f t="shared" si="151"/>
        <v>0</v>
      </c>
    </row>
    <row r="9655" spans="3:4" ht="15" x14ac:dyDescent="0.25">
      <c r="C9655" s="8" t="e">
        <f>VLOOKUP(A:A,'ITEM LIST'!A:C,3,0)</f>
        <v>#N/A</v>
      </c>
      <c r="D9655" s="6">
        <f t="shared" si="151"/>
        <v>0</v>
      </c>
    </row>
    <row r="9656" spans="3:4" ht="15" x14ac:dyDescent="0.25">
      <c r="C9656" s="8" t="e">
        <f>VLOOKUP(A:A,'ITEM LIST'!A:C,3,0)</f>
        <v>#N/A</v>
      </c>
      <c r="D9656" s="6">
        <f t="shared" si="151"/>
        <v>0</v>
      </c>
    </row>
    <row r="9657" spans="3:4" ht="15" x14ac:dyDescent="0.25">
      <c r="C9657" s="8" t="e">
        <f>VLOOKUP(A:A,'ITEM LIST'!A:C,3,0)</f>
        <v>#N/A</v>
      </c>
      <c r="D9657" s="6">
        <f t="shared" si="151"/>
        <v>0</v>
      </c>
    </row>
    <row r="9658" spans="3:4" ht="15" x14ac:dyDescent="0.25">
      <c r="C9658" s="8" t="e">
        <f>VLOOKUP(A:A,'ITEM LIST'!A:C,3,0)</f>
        <v>#N/A</v>
      </c>
      <c r="D9658" s="6">
        <f t="shared" si="151"/>
        <v>0</v>
      </c>
    </row>
    <row r="9659" spans="3:4" ht="15" x14ac:dyDescent="0.25">
      <c r="C9659" s="8" t="e">
        <f>VLOOKUP(A:A,'ITEM LIST'!A:C,3,0)</f>
        <v>#N/A</v>
      </c>
      <c r="D9659" s="6">
        <f t="shared" si="151"/>
        <v>0</v>
      </c>
    </row>
    <row r="9660" spans="3:4" ht="15" x14ac:dyDescent="0.25">
      <c r="C9660" s="8" t="e">
        <f>VLOOKUP(A:A,'ITEM LIST'!A:C,3,0)</f>
        <v>#N/A</v>
      </c>
      <c r="D9660" s="6">
        <f t="shared" si="151"/>
        <v>0</v>
      </c>
    </row>
    <row r="9661" spans="3:4" ht="15" x14ac:dyDescent="0.25">
      <c r="C9661" s="8" t="e">
        <f>VLOOKUP(A:A,'ITEM LIST'!A:C,3,0)</f>
        <v>#N/A</v>
      </c>
      <c r="D9661" s="6">
        <f t="shared" si="151"/>
        <v>0</v>
      </c>
    </row>
    <row r="9662" spans="3:4" ht="15" x14ac:dyDescent="0.25">
      <c r="C9662" s="8" t="e">
        <f>VLOOKUP(A:A,'ITEM LIST'!A:C,3,0)</f>
        <v>#N/A</v>
      </c>
      <c r="D9662" s="6">
        <f t="shared" si="151"/>
        <v>0</v>
      </c>
    </row>
    <row r="9663" spans="3:4" ht="15" x14ac:dyDescent="0.25">
      <c r="C9663" s="8" t="e">
        <f>VLOOKUP(A:A,'ITEM LIST'!A:C,3,0)</f>
        <v>#N/A</v>
      </c>
      <c r="D9663" s="6">
        <f t="shared" si="151"/>
        <v>0</v>
      </c>
    </row>
    <row r="9664" spans="3:4" ht="15" x14ac:dyDescent="0.25">
      <c r="C9664" s="8" t="e">
        <f>VLOOKUP(A:A,'ITEM LIST'!A:C,3,0)</f>
        <v>#N/A</v>
      </c>
      <c r="D9664" s="6">
        <f t="shared" si="151"/>
        <v>0</v>
      </c>
    </row>
    <row r="9665" spans="3:4" ht="15" x14ac:dyDescent="0.25">
      <c r="C9665" s="8" t="e">
        <f>VLOOKUP(A:A,'ITEM LIST'!A:C,3,0)</f>
        <v>#N/A</v>
      </c>
      <c r="D9665" s="6">
        <f t="shared" si="151"/>
        <v>0</v>
      </c>
    </row>
    <row r="9666" spans="3:4" ht="15" x14ac:dyDescent="0.25">
      <c r="C9666" s="8" t="e">
        <f>VLOOKUP(A:A,'ITEM LIST'!A:C,3,0)</f>
        <v>#N/A</v>
      </c>
      <c r="D9666" s="6">
        <f t="shared" si="151"/>
        <v>0</v>
      </c>
    </row>
    <row r="9667" spans="3:4" ht="15" x14ac:dyDescent="0.25">
      <c r="C9667" s="8" t="e">
        <f>VLOOKUP(A:A,'ITEM LIST'!A:C,3,0)</f>
        <v>#N/A</v>
      </c>
      <c r="D9667" s="6">
        <f t="shared" si="151"/>
        <v>0</v>
      </c>
    </row>
    <row r="9668" spans="3:4" ht="15" x14ac:dyDescent="0.25">
      <c r="C9668" s="8" t="e">
        <f>VLOOKUP(A:A,'ITEM LIST'!A:C,3,0)</f>
        <v>#N/A</v>
      </c>
      <c r="D9668" s="6">
        <f t="shared" si="151"/>
        <v>0</v>
      </c>
    </row>
    <row r="9669" spans="3:4" ht="15" x14ac:dyDescent="0.25">
      <c r="C9669" s="8" t="e">
        <f>VLOOKUP(A:A,'ITEM LIST'!A:C,3,0)</f>
        <v>#N/A</v>
      </c>
      <c r="D9669" s="6">
        <f t="shared" si="151"/>
        <v>0</v>
      </c>
    </row>
    <row r="9670" spans="3:4" ht="15" x14ac:dyDescent="0.25">
      <c r="C9670" s="8" t="e">
        <f>VLOOKUP(A:A,'ITEM LIST'!A:C,3,0)</f>
        <v>#N/A</v>
      </c>
      <c r="D9670" s="6">
        <f t="shared" ref="D9670:D9733" si="152">B9670</f>
        <v>0</v>
      </c>
    </row>
    <row r="9671" spans="3:4" ht="15" x14ac:dyDescent="0.25">
      <c r="C9671" s="8" t="e">
        <f>VLOOKUP(A:A,'ITEM LIST'!A:C,3,0)</f>
        <v>#N/A</v>
      </c>
      <c r="D9671" s="6">
        <f t="shared" si="152"/>
        <v>0</v>
      </c>
    </row>
    <row r="9672" spans="3:4" ht="15" x14ac:dyDescent="0.25">
      <c r="C9672" s="8" t="e">
        <f>VLOOKUP(A:A,'ITEM LIST'!A:C,3,0)</f>
        <v>#N/A</v>
      </c>
      <c r="D9672" s="6">
        <f t="shared" si="152"/>
        <v>0</v>
      </c>
    </row>
    <row r="9673" spans="3:4" ht="15" x14ac:dyDescent="0.25">
      <c r="C9673" s="8" t="e">
        <f>VLOOKUP(A:A,'ITEM LIST'!A:C,3,0)</f>
        <v>#N/A</v>
      </c>
      <c r="D9673" s="6">
        <f t="shared" si="152"/>
        <v>0</v>
      </c>
    </row>
    <row r="9674" spans="3:4" ht="15" x14ac:dyDescent="0.25">
      <c r="C9674" s="8" t="e">
        <f>VLOOKUP(A:A,'ITEM LIST'!A:C,3,0)</f>
        <v>#N/A</v>
      </c>
      <c r="D9674" s="6">
        <f t="shared" si="152"/>
        <v>0</v>
      </c>
    </row>
    <row r="9675" spans="3:4" ht="15" x14ac:dyDescent="0.25">
      <c r="C9675" s="8" t="e">
        <f>VLOOKUP(A:A,'ITEM LIST'!A:C,3,0)</f>
        <v>#N/A</v>
      </c>
      <c r="D9675" s="6">
        <f t="shared" si="152"/>
        <v>0</v>
      </c>
    </row>
    <row r="9676" spans="3:4" ht="15" x14ac:dyDescent="0.25">
      <c r="C9676" s="8" t="e">
        <f>VLOOKUP(A:A,'ITEM LIST'!A:C,3,0)</f>
        <v>#N/A</v>
      </c>
      <c r="D9676" s="6">
        <f t="shared" si="152"/>
        <v>0</v>
      </c>
    </row>
    <row r="9677" spans="3:4" ht="15" x14ac:dyDescent="0.25">
      <c r="C9677" s="8" t="e">
        <f>VLOOKUP(A:A,'ITEM LIST'!A:C,3,0)</f>
        <v>#N/A</v>
      </c>
      <c r="D9677" s="6">
        <f t="shared" si="152"/>
        <v>0</v>
      </c>
    </row>
    <row r="9678" spans="3:4" ht="15" x14ac:dyDescent="0.25">
      <c r="C9678" s="8" t="e">
        <f>VLOOKUP(A:A,'ITEM LIST'!A:C,3,0)</f>
        <v>#N/A</v>
      </c>
      <c r="D9678" s="6">
        <f t="shared" si="152"/>
        <v>0</v>
      </c>
    </row>
    <row r="9679" spans="3:4" ht="15" x14ac:dyDescent="0.25">
      <c r="C9679" s="8" t="e">
        <f>VLOOKUP(A:A,'ITEM LIST'!A:C,3,0)</f>
        <v>#N/A</v>
      </c>
      <c r="D9679" s="6">
        <f t="shared" si="152"/>
        <v>0</v>
      </c>
    </row>
    <row r="9680" spans="3:4" ht="15" x14ac:dyDescent="0.25">
      <c r="C9680" s="8" t="e">
        <f>VLOOKUP(A:A,'ITEM LIST'!A:C,3,0)</f>
        <v>#N/A</v>
      </c>
      <c r="D9680" s="6">
        <f t="shared" si="152"/>
        <v>0</v>
      </c>
    </row>
    <row r="9681" spans="3:4" ht="15" x14ac:dyDescent="0.25">
      <c r="C9681" s="8" t="e">
        <f>VLOOKUP(A:A,'ITEM LIST'!A:C,3,0)</f>
        <v>#N/A</v>
      </c>
      <c r="D9681" s="6">
        <f t="shared" si="152"/>
        <v>0</v>
      </c>
    </row>
    <row r="9682" spans="3:4" ht="15" x14ac:dyDescent="0.25">
      <c r="C9682" s="8" t="e">
        <f>VLOOKUP(A:A,'ITEM LIST'!A:C,3,0)</f>
        <v>#N/A</v>
      </c>
      <c r="D9682" s="6">
        <f t="shared" si="152"/>
        <v>0</v>
      </c>
    </row>
    <row r="9683" spans="3:4" ht="15" x14ac:dyDescent="0.25">
      <c r="C9683" s="8" t="e">
        <f>VLOOKUP(A:A,'ITEM LIST'!A:C,3,0)</f>
        <v>#N/A</v>
      </c>
      <c r="D9683" s="6">
        <f t="shared" si="152"/>
        <v>0</v>
      </c>
    </row>
    <row r="9684" spans="3:4" ht="15" x14ac:dyDescent="0.25">
      <c r="C9684" s="8" t="e">
        <f>VLOOKUP(A:A,'ITEM LIST'!A:C,3,0)</f>
        <v>#N/A</v>
      </c>
      <c r="D9684" s="6">
        <f t="shared" si="152"/>
        <v>0</v>
      </c>
    </row>
    <row r="9685" spans="3:4" ht="15" x14ac:dyDescent="0.25">
      <c r="C9685" s="8" t="e">
        <f>VLOOKUP(A:A,'ITEM LIST'!A:C,3,0)</f>
        <v>#N/A</v>
      </c>
      <c r="D9685" s="6">
        <f t="shared" si="152"/>
        <v>0</v>
      </c>
    </row>
    <row r="9686" spans="3:4" ht="15" x14ac:dyDescent="0.25">
      <c r="C9686" s="8" t="e">
        <f>VLOOKUP(A:A,'ITEM LIST'!A:C,3,0)</f>
        <v>#N/A</v>
      </c>
      <c r="D9686" s="6">
        <f t="shared" si="152"/>
        <v>0</v>
      </c>
    </row>
    <row r="9687" spans="3:4" ht="15" x14ac:dyDescent="0.25">
      <c r="C9687" s="8" t="e">
        <f>VLOOKUP(A:A,'ITEM LIST'!A:C,3,0)</f>
        <v>#N/A</v>
      </c>
      <c r="D9687" s="6">
        <f t="shared" si="152"/>
        <v>0</v>
      </c>
    </row>
    <row r="9688" spans="3:4" ht="15" x14ac:dyDescent="0.25">
      <c r="C9688" s="8" t="e">
        <f>VLOOKUP(A:A,'ITEM LIST'!A:C,3,0)</f>
        <v>#N/A</v>
      </c>
      <c r="D9688" s="6">
        <f t="shared" si="152"/>
        <v>0</v>
      </c>
    </row>
    <row r="9689" spans="3:4" ht="15" x14ac:dyDescent="0.25">
      <c r="C9689" s="8" t="e">
        <f>VLOOKUP(A:A,'ITEM LIST'!A:C,3,0)</f>
        <v>#N/A</v>
      </c>
      <c r="D9689" s="6">
        <f t="shared" si="152"/>
        <v>0</v>
      </c>
    </row>
    <row r="9690" spans="3:4" ht="15" x14ac:dyDescent="0.25">
      <c r="C9690" s="8" t="e">
        <f>VLOOKUP(A:A,'ITEM LIST'!A:C,3,0)</f>
        <v>#N/A</v>
      </c>
      <c r="D9690" s="6">
        <f t="shared" si="152"/>
        <v>0</v>
      </c>
    </row>
    <row r="9691" spans="3:4" ht="15" x14ac:dyDescent="0.25">
      <c r="C9691" s="8" t="e">
        <f>VLOOKUP(A:A,'ITEM LIST'!A:C,3,0)</f>
        <v>#N/A</v>
      </c>
      <c r="D9691" s="6">
        <f t="shared" si="152"/>
        <v>0</v>
      </c>
    </row>
    <row r="9692" spans="3:4" ht="15" x14ac:dyDescent="0.25">
      <c r="C9692" s="8" t="e">
        <f>VLOOKUP(A:A,'ITEM LIST'!A:C,3,0)</f>
        <v>#N/A</v>
      </c>
      <c r="D9692" s="6">
        <f t="shared" si="152"/>
        <v>0</v>
      </c>
    </row>
    <row r="9693" spans="3:4" ht="15" x14ac:dyDescent="0.25">
      <c r="C9693" s="8" t="e">
        <f>VLOOKUP(A:A,'ITEM LIST'!A:C,3,0)</f>
        <v>#N/A</v>
      </c>
      <c r="D9693" s="6">
        <f t="shared" si="152"/>
        <v>0</v>
      </c>
    </row>
    <row r="9694" spans="3:4" ht="15" x14ac:dyDescent="0.25">
      <c r="C9694" s="8" t="e">
        <f>VLOOKUP(A:A,'ITEM LIST'!A:C,3,0)</f>
        <v>#N/A</v>
      </c>
      <c r="D9694" s="6">
        <f t="shared" si="152"/>
        <v>0</v>
      </c>
    </row>
    <row r="9695" spans="3:4" ht="15" x14ac:dyDescent="0.25">
      <c r="C9695" s="8" t="e">
        <f>VLOOKUP(A:A,'ITEM LIST'!A:C,3,0)</f>
        <v>#N/A</v>
      </c>
      <c r="D9695" s="6">
        <f t="shared" si="152"/>
        <v>0</v>
      </c>
    </row>
    <row r="9696" spans="3:4" ht="15" x14ac:dyDescent="0.25">
      <c r="C9696" s="8" t="e">
        <f>VLOOKUP(A:A,'ITEM LIST'!A:C,3,0)</f>
        <v>#N/A</v>
      </c>
      <c r="D9696" s="6">
        <f t="shared" si="152"/>
        <v>0</v>
      </c>
    </row>
    <row r="9697" spans="3:4" ht="15" x14ac:dyDescent="0.25">
      <c r="C9697" s="8" t="e">
        <f>VLOOKUP(A:A,'ITEM LIST'!A:C,3,0)</f>
        <v>#N/A</v>
      </c>
      <c r="D9697" s="6">
        <f t="shared" si="152"/>
        <v>0</v>
      </c>
    </row>
    <row r="9698" spans="3:4" ht="15" x14ac:dyDescent="0.25">
      <c r="C9698" s="8" t="e">
        <f>VLOOKUP(A:A,'ITEM LIST'!A:C,3,0)</f>
        <v>#N/A</v>
      </c>
      <c r="D9698" s="6">
        <f t="shared" si="152"/>
        <v>0</v>
      </c>
    </row>
    <row r="9699" spans="3:4" ht="15" x14ac:dyDescent="0.25">
      <c r="C9699" s="8" t="e">
        <f>VLOOKUP(A:A,'ITEM LIST'!A:C,3,0)</f>
        <v>#N/A</v>
      </c>
      <c r="D9699" s="6">
        <f t="shared" si="152"/>
        <v>0</v>
      </c>
    </row>
    <row r="9700" spans="3:4" ht="15" x14ac:dyDescent="0.25">
      <c r="C9700" s="8" t="e">
        <f>VLOOKUP(A:A,'ITEM LIST'!A:C,3,0)</f>
        <v>#N/A</v>
      </c>
      <c r="D9700" s="6">
        <f t="shared" si="152"/>
        <v>0</v>
      </c>
    </row>
    <row r="9701" spans="3:4" ht="15" x14ac:dyDescent="0.25">
      <c r="C9701" s="8" t="e">
        <f>VLOOKUP(A:A,'ITEM LIST'!A:C,3,0)</f>
        <v>#N/A</v>
      </c>
      <c r="D9701" s="6">
        <f t="shared" si="152"/>
        <v>0</v>
      </c>
    </row>
    <row r="9702" spans="3:4" ht="15" x14ac:dyDescent="0.25">
      <c r="C9702" s="8" t="e">
        <f>VLOOKUP(A:A,'ITEM LIST'!A:C,3,0)</f>
        <v>#N/A</v>
      </c>
      <c r="D9702" s="6">
        <f t="shared" si="152"/>
        <v>0</v>
      </c>
    </row>
    <row r="9703" spans="3:4" ht="15" x14ac:dyDescent="0.25">
      <c r="C9703" s="8" t="e">
        <f>VLOOKUP(A:A,'ITEM LIST'!A:C,3,0)</f>
        <v>#N/A</v>
      </c>
      <c r="D9703" s="6">
        <f t="shared" si="152"/>
        <v>0</v>
      </c>
    </row>
    <row r="9704" spans="3:4" ht="15" x14ac:dyDescent="0.25">
      <c r="C9704" s="8" t="e">
        <f>VLOOKUP(A:A,'ITEM LIST'!A:C,3,0)</f>
        <v>#N/A</v>
      </c>
      <c r="D9704" s="6">
        <f t="shared" si="152"/>
        <v>0</v>
      </c>
    </row>
    <row r="9705" spans="3:4" ht="15" x14ac:dyDescent="0.25">
      <c r="C9705" s="8" t="e">
        <f>VLOOKUP(A:A,'ITEM LIST'!A:C,3,0)</f>
        <v>#N/A</v>
      </c>
      <c r="D9705" s="6">
        <f t="shared" si="152"/>
        <v>0</v>
      </c>
    </row>
    <row r="9706" spans="3:4" ht="15" x14ac:dyDescent="0.25">
      <c r="C9706" s="8" t="e">
        <f>VLOOKUP(A:A,'ITEM LIST'!A:C,3,0)</f>
        <v>#N/A</v>
      </c>
      <c r="D9706" s="6">
        <f t="shared" si="152"/>
        <v>0</v>
      </c>
    </row>
    <row r="9707" spans="3:4" ht="15" x14ac:dyDescent="0.25">
      <c r="C9707" s="8" t="e">
        <f>VLOOKUP(A:A,'ITEM LIST'!A:C,3,0)</f>
        <v>#N/A</v>
      </c>
      <c r="D9707" s="6">
        <f t="shared" si="152"/>
        <v>0</v>
      </c>
    </row>
    <row r="9708" spans="3:4" ht="15" x14ac:dyDescent="0.25">
      <c r="C9708" s="8" t="e">
        <f>VLOOKUP(A:A,'ITEM LIST'!A:C,3,0)</f>
        <v>#N/A</v>
      </c>
      <c r="D9708" s="6">
        <f t="shared" si="152"/>
        <v>0</v>
      </c>
    </row>
    <row r="9709" spans="3:4" ht="15" x14ac:dyDescent="0.25">
      <c r="C9709" s="8" t="e">
        <f>VLOOKUP(A:A,'ITEM LIST'!A:C,3,0)</f>
        <v>#N/A</v>
      </c>
      <c r="D9709" s="6">
        <f t="shared" si="152"/>
        <v>0</v>
      </c>
    </row>
    <row r="9710" spans="3:4" ht="15" x14ac:dyDescent="0.25">
      <c r="C9710" s="8" t="e">
        <f>VLOOKUP(A:A,'ITEM LIST'!A:C,3,0)</f>
        <v>#N/A</v>
      </c>
      <c r="D9710" s="6">
        <f t="shared" si="152"/>
        <v>0</v>
      </c>
    </row>
    <row r="9711" spans="3:4" ht="15" x14ac:dyDescent="0.25">
      <c r="C9711" s="8" t="e">
        <f>VLOOKUP(A:A,'ITEM LIST'!A:C,3,0)</f>
        <v>#N/A</v>
      </c>
      <c r="D9711" s="6">
        <f t="shared" si="152"/>
        <v>0</v>
      </c>
    </row>
    <row r="9712" spans="3:4" ht="15" x14ac:dyDescent="0.25">
      <c r="C9712" s="8" t="e">
        <f>VLOOKUP(A:A,'ITEM LIST'!A:C,3,0)</f>
        <v>#N/A</v>
      </c>
      <c r="D9712" s="6">
        <f t="shared" si="152"/>
        <v>0</v>
      </c>
    </row>
    <row r="9713" spans="3:4" ht="15" x14ac:dyDescent="0.25">
      <c r="C9713" s="8" t="e">
        <f>VLOOKUP(A:A,'ITEM LIST'!A:C,3,0)</f>
        <v>#N/A</v>
      </c>
      <c r="D9713" s="6">
        <f t="shared" si="152"/>
        <v>0</v>
      </c>
    </row>
    <row r="9714" spans="3:4" ht="15" x14ac:dyDescent="0.25">
      <c r="C9714" s="8" t="e">
        <f>VLOOKUP(A:A,'ITEM LIST'!A:C,3,0)</f>
        <v>#N/A</v>
      </c>
      <c r="D9714" s="6">
        <f t="shared" si="152"/>
        <v>0</v>
      </c>
    </row>
    <row r="9715" spans="3:4" ht="15" x14ac:dyDescent="0.25">
      <c r="C9715" s="8" t="e">
        <f>VLOOKUP(A:A,'ITEM LIST'!A:C,3,0)</f>
        <v>#N/A</v>
      </c>
      <c r="D9715" s="6">
        <f t="shared" si="152"/>
        <v>0</v>
      </c>
    </row>
    <row r="9716" spans="3:4" ht="15" x14ac:dyDescent="0.25">
      <c r="C9716" s="8" t="e">
        <f>VLOOKUP(A:A,'ITEM LIST'!A:C,3,0)</f>
        <v>#N/A</v>
      </c>
      <c r="D9716" s="6">
        <f t="shared" si="152"/>
        <v>0</v>
      </c>
    </row>
    <row r="9717" spans="3:4" ht="15" x14ac:dyDescent="0.25">
      <c r="C9717" s="8" t="e">
        <f>VLOOKUP(A:A,'ITEM LIST'!A:C,3,0)</f>
        <v>#N/A</v>
      </c>
      <c r="D9717" s="6">
        <f t="shared" si="152"/>
        <v>0</v>
      </c>
    </row>
    <row r="9718" spans="3:4" ht="15" x14ac:dyDescent="0.25">
      <c r="C9718" s="8" t="e">
        <f>VLOOKUP(A:A,'ITEM LIST'!A:C,3,0)</f>
        <v>#N/A</v>
      </c>
      <c r="D9718" s="6">
        <f t="shared" si="152"/>
        <v>0</v>
      </c>
    </row>
    <row r="9719" spans="3:4" ht="15" x14ac:dyDescent="0.25">
      <c r="C9719" s="8" t="e">
        <f>VLOOKUP(A:A,'ITEM LIST'!A:C,3,0)</f>
        <v>#N/A</v>
      </c>
      <c r="D9719" s="6">
        <f t="shared" si="152"/>
        <v>0</v>
      </c>
    </row>
    <row r="9720" spans="3:4" ht="15" x14ac:dyDescent="0.25">
      <c r="C9720" s="8" t="e">
        <f>VLOOKUP(A:A,'ITEM LIST'!A:C,3,0)</f>
        <v>#N/A</v>
      </c>
      <c r="D9720" s="6">
        <f t="shared" si="152"/>
        <v>0</v>
      </c>
    </row>
    <row r="9721" spans="3:4" ht="15" x14ac:dyDescent="0.25">
      <c r="C9721" s="8" t="e">
        <f>VLOOKUP(A:A,'ITEM LIST'!A:C,3,0)</f>
        <v>#N/A</v>
      </c>
      <c r="D9721" s="6">
        <f t="shared" si="152"/>
        <v>0</v>
      </c>
    </row>
    <row r="9722" spans="3:4" ht="15" x14ac:dyDescent="0.25">
      <c r="C9722" s="8" t="e">
        <f>VLOOKUP(A:A,'ITEM LIST'!A:C,3,0)</f>
        <v>#N/A</v>
      </c>
      <c r="D9722" s="6">
        <f t="shared" si="152"/>
        <v>0</v>
      </c>
    </row>
    <row r="9723" spans="3:4" ht="15" x14ac:dyDescent="0.25">
      <c r="C9723" s="8" t="e">
        <f>VLOOKUP(A:A,'ITEM LIST'!A:C,3,0)</f>
        <v>#N/A</v>
      </c>
      <c r="D9723" s="6">
        <f t="shared" si="152"/>
        <v>0</v>
      </c>
    </row>
    <row r="9724" spans="3:4" ht="15" x14ac:dyDescent="0.25">
      <c r="C9724" s="8" t="e">
        <f>VLOOKUP(A:A,'ITEM LIST'!A:C,3,0)</f>
        <v>#N/A</v>
      </c>
      <c r="D9724" s="6">
        <f t="shared" si="152"/>
        <v>0</v>
      </c>
    </row>
    <row r="9725" spans="3:4" ht="15" x14ac:dyDescent="0.25">
      <c r="C9725" s="8" t="e">
        <f>VLOOKUP(A:A,'ITEM LIST'!A:C,3,0)</f>
        <v>#N/A</v>
      </c>
      <c r="D9725" s="6">
        <f t="shared" si="152"/>
        <v>0</v>
      </c>
    </row>
    <row r="9726" spans="3:4" ht="15" x14ac:dyDescent="0.25">
      <c r="C9726" s="8" t="e">
        <f>VLOOKUP(A:A,'ITEM LIST'!A:C,3,0)</f>
        <v>#N/A</v>
      </c>
      <c r="D9726" s="6">
        <f t="shared" si="152"/>
        <v>0</v>
      </c>
    </row>
    <row r="9727" spans="3:4" ht="15" x14ac:dyDescent="0.25">
      <c r="C9727" s="8" t="e">
        <f>VLOOKUP(A:A,'ITEM LIST'!A:C,3,0)</f>
        <v>#N/A</v>
      </c>
      <c r="D9727" s="6">
        <f t="shared" si="152"/>
        <v>0</v>
      </c>
    </row>
    <row r="9728" spans="3:4" ht="15" x14ac:dyDescent="0.25">
      <c r="C9728" s="8" t="e">
        <f>VLOOKUP(A:A,'ITEM LIST'!A:C,3,0)</f>
        <v>#N/A</v>
      </c>
      <c r="D9728" s="6">
        <f t="shared" si="152"/>
        <v>0</v>
      </c>
    </row>
    <row r="9729" spans="3:4" ht="15" x14ac:dyDescent="0.25">
      <c r="C9729" s="8" t="e">
        <f>VLOOKUP(A:A,'ITEM LIST'!A:C,3,0)</f>
        <v>#N/A</v>
      </c>
      <c r="D9729" s="6">
        <f t="shared" si="152"/>
        <v>0</v>
      </c>
    </row>
    <row r="9730" spans="3:4" ht="15" x14ac:dyDescent="0.25">
      <c r="C9730" s="8" t="e">
        <f>VLOOKUP(A:A,'ITEM LIST'!A:C,3,0)</f>
        <v>#N/A</v>
      </c>
      <c r="D9730" s="6">
        <f t="shared" si="152"/>
        <v>0</v>
      </c>
    </row>
    <row r="9731" spans="3:4" ht="15" x14ac:dyDescent="0.25">
      <c r="C9731" s="8" t="e">
        <f>VLOOKUP(A:A,'ITEM LIST'!A:C,3,0)</f>
        <v>#N/A</v>
      </c>
      <c r="D9731" s="6">
        <f t="shared" si="152"/>
        <v>0</v>
      </c>
    </row>
    <row r="9732" spans="3:4" ht="15" x14ac:dyDescent="0.25">
      <c r="C9732" s="8" t="e">
        <f>VLOOKUP(A:A,'ITEM LIST'!A:C,3,0)</f>
        <v>#N/A</v>
      </c>
      <c r="D9732" s="6">
        <f t="shared" si="152"/>
        <v>0</v>
      </c>
    </row>
    <row r="9733" spans="3:4" ht="15" x14ac:dyDescent="0.25">
      <c r="C9733" s="8" t="e">
        <f>VLOOKUP(A:A,'ITEM LIST'!A:C,3,0)</f>
        <v>#N/A</v>
      </c>
      <c r="D9733" s="6">
        <f t="shared" si="152"/>
        <v>0</v>
      </c>
    </row>
    <row r="9734" spans="3:4" ht="15" x14ac:dyDescent="0.25">
      <c r="C9734" s="8" t="e">
        <f>VLOOKUP(A:A,'ITEM LIST'!A:C,3,0)</f>
        <v>#N/A</v>
      </c>
      <c r="D9734" s="6">
        <f t="shared" ref="D9734:D9797" si="153">B9734</f>
        <v>0</v>
      </c>
    </row>
    <row r="9735" spans="3:4" ht="15" x14ac:dyDescent="0.25">
      <c r="C9735" s="8" t="e">
        <f>VLOOKUP(A:A,'ITEM LIST'!A:C,3,0)</f>
        <v>#N/A</v>
      </c>
      <c r="D9735" s="6">
        <f t="shared" si="153"/>
        <v>0</v>
      </c>
    </row>
    <row r="9736" spans="3:4" ht="15" x14ac:dyDescent="0.25">
      <c r="C9736" s="8" t="e">
        <f>VLOOKUP(A:A,'ITEM LIST'!A:C,3,0)</f>
        <v>#N/A</v>
      </c>
      <c r="D9736" s="6">
        <f t="shared" si="153"/>
        <v>0</v>
      </c>
    </row>
    <row r="9737" spans="3:4" ht="15" x14ac:dyDescent="0.25">
      <c r="C9737" s="8" t="e">
        <f>VLOOKUP(A:A,'ITEM LIST'!A:C,3,0)</f>
        <v>#N/A</v>
      </c>
      <c r="D9737" s="6">
        <f t="shared" si="153"/>
        <v>0</v>
      </c>
    </row>
    <row r="9738" spans="3:4" ht="15" x14ac:dyDescent="0.25">
      <c r="C9738" s="8" t="e">
        <f>VLOOKUP(A:A,'ITEM LIST'!A:C,3,0)</f>
        <v>#N/A</v>
      </c>
      <c r="D9738" s="6">
        <f t="shared" si="153"/>
        <v>0</v>
      </c>
    </row>
    <row r="9739" spans="3:4" ht="15" x14ac:dyDescent="0.25">
      <c r="C9739" s="8" t="e">
        <f>VLOOKUP(A:A,'ITEM LIST'!A:C,3,0)</f>
        <v>#N/A</v>
      </c>
      <c r="D9739" s="6">
        <f t="shared" si="153"/>
        <v>0</v>
      </c>
    </row>
    <row r="9740" spans="3:4" ht="15" x14ac:dyDescent="0.25">
      <c r="C9740" s="8" t="e">
        <f>VLOOKUP(A:A,'ITEM LIST'!A:C,3,0)</f>
        <v>#N/A</v>
      </c>
      <c r="D9740" s="6">
        <f t="shared" si="153"/>
        <v>0</v>
      </c>
    </row>
    <row r="9741" spans="3:4" ht="15" x14ac:dyDescent="0.25">
      <c r="C9741" s="8" t="e">
        <f>VLOOKUP(A:A,'ITEM LIST'!A:C,3,0)</f>
        <v>#N/A</v>
      </c>
      <c r="D9741" s="6">
        <f t="shared" si="153"/>
        <v>0</v>
      </c>
    </row>
    <row r="9742" spans="3:4" ht="15" x14ac:dyDescent="0.25">
      <c r="C9742" s="8" t="e">
        <f>VLOOKUP(A:A,'ITEM LIST'!A:C,3,0)</f>
        <v>#N/A</v>
      </c>
      <c r="D9742" s="6">
        <f t="shared" si="153"/>
        <v>0</v>
      </c>
    </row>
    <row r="9743" spans="3:4" ht="15" x14ac:dyDescent="0.25">
      <c r="C9743" s="8" t="e">
        <f>VLOOKUP(A:A,'ITEM LIST'!A:C,3,0)</f>
        <v>#N/A</v>
      </c>
      <c r="D9743" s="6">
        <f t="shared" si="153"/>
        <v>0</v>
      </c>
    </row>
    <row r="9744" spans="3:4" ht="15" x14ac:dyDescent="0.25">
      <c r="C9744" s="8" t="e">
        <f>VLOOKUP(A:A,'ITEM LIST'!A:C,3,0)</f>
        <v>#N/A</v>
      </c>
      <c r="D9744" s="6">
        <f t="shared" si="153"/>
        <v>0</v>
      </c>
    </row>
    <row r="9745" spans="3:4" ht="15" x14ac:dyDescent="0.25">
      <c r="C9745" s="8" t="e">
        <f>VLOOKUP(A:A,'ITEM LIST'!A:C,3,0)</f>
        <v>#N/A</v>
      </c>
      <c r="D9745" s="6">
        <f t="shared" si="153"/>
        <v>0</v>
      </c>
    </row>
    <row r="9746" spans="3:4" ht="15" x14ac:dyDescent="0.25">
      <c r="C9746" s="8" t="e">
        <f>VLOOKUP(A:A,'ITEM LIST'!A:C,3,0)</f>
        <v>#N/A</v>
      </c>
      <c r="D9746" s="6">
        <f t="shared" si="153"/>
        <v>0</v>
      </c>
    </row>
    <row r="9747" spans="3:4" ht="15" x14ac:dyDescent="0.25">
      <c r="C9747" s="8" t="e">
        <f>VLOOKUP(A:A,'ITEM LIST'!A:C,3,0)</f>
        <v>#N/A</v>
      </c>
      <c r="D9747" s="6">
        <f t="shared" si="153"/>
        <v>0</v>
      </c>
    </row>
    <row r="9748" spans="3:4" ht="15" x14ac:dyDescent="0.25">
      <c r="C9748" s="8" t="e">
        <f>VLOOKUP(A:A,'ITEM LIST'!A:C,3,0)</f>
        <v>#N/A</v>
      </c>
      <c r="D9748" s="6">
        <f t="shared" si="153"/>
        <v>0</v>
      </c>
    </row>
    <row r="9749" spans="3:4" ht="15" x14ac:dyDescent="0.25">
      <c r="C9749" s="8" t="e">
        <f>VLOOKUP(A:A,'ITEM LIST'!A:C,3,0)</f>
        <v>#N/A</v>
      </c>
      <c r="D9749" s="6">
        <f t="shared" si="153"/>
        <v>0</v>
      </c>
    </row>
    <row r="9750" spans="3:4" ht="15" x14ac:dyDescent="0.25">
      <c r="C9750" s="8" t="e">
        <f>VLOOKUP(A:A,'ITEM LIST'!A:C,3,0)</f>
        <v>#N/A</v>
      </c>
      <c r="D9750" s="6">
        <f t="shared" si="153"/>
        <v>0</v>
      </c>
    </row>
    <row r="9751" spans="3:4" ht="15" x14ac:dyDescent="0.25">
      <c r="C9751" s="8" t="e">
        <f>VLOOKUP(A:A,'ITEM LIST'!A:C,3,0)</f>
        <v>#N/A</v>
      </c>
      <c r="D9751" s="6">
        <f t="shared" si="153"/>
        <v>0</v>
      </c>
    </row>
    <row r="9752" spans="3:4" ht="15" x14ac:dyDescent="0.25">
      <c r="C9752" s="8" t="e">
        <f>VLOOKUP(A:A,'ITEM LIST'!A:C,3,0)</f>
        <v>#N/A</v>
      </c>
      <c r="D9752" s="6">
        <f t="shared" si="153"/>
        <v>0</v>
      </c>
    </row>
    <row r="9753" spans="3:4" ht="15" x14ac:dyDescent="0.25">
      <c r="C9753" s="8" t="e">
        <f>VLOOKUP(A:A,'ITEM LIST'!A:C,3,0)</f>
        <v>#N/A</v>
      </c>
      <c r="D9753" s="6">
        <f t="shared" si="153"/>
        <v>0</v>
      </c>
    </row>
    <row r="9754" spans="3:4" ht="15" x14ac:dyDescent="0.25">
      <c r="C9754" s="8" t="e">
        <f>VLOOKUP(A:A,'ITEM LIST'!A:C,3,0)</f>
        <v>#N/A</v>
      </c>
      <c r="D9754" s="6">
        <f t="shared" si="153"/>
        <v>0</v>
      </c>
    </row>
    <row r="9755" spans="3:4" ht="15" x14ac:dyDescent="0.25">
      <c r="C9755" s="8" t="e">
        <f>VLOOKUP(A:A,'ITEM LIST'!A:C,3,0)</f>
        <v>#N/A</v>
      </c>
      <c r="D9755" s="6">
        <f t="shared" si="153"/>
        <v>0</v>
      </c>
    </row>
    <row r="9756" spans="3:4" ht="15" x14ac:dyDescent="0.25">
      <c r="C9756" s="8" t="e">
        <f>VLOOKUP(A:A,'ITEM LIST'!A:C,3,0)</f>
        <v>#N/A</v>
      </c>
      <c r="D9756" s="6">
        <f t="shared" si="153"/>
        <v>0</v>
      </c>
    </row>
    <row r="9757" spans="3:4" ht="15" x14ac:dyDescent="0.25">
      <c r="C9757" s="8" t="e">
        <f>VLOOKUP(A:A,'ITEM LIST'!A:C,3,0)</f>
        <v>#N/A</v>
      </c>
      <c r="D9757" s="6">
        <f t="shared" si="153"/>
        <v>0</v>
      </c>
    </row>
    <row r="9758" spans="3:4" ht="15" x14ac:dyDescent="0.25">
      <c r="C9758" s="8" t="e">
        <f>VLOOKUP(A:A,'ITEM LIST'!A:C,3,0)</f>
        <v>#N/A</v>
      </c>
      <c r="D9758" s="6">
        <f t="shared" si="153"/>
        <v>0</v>
      </c>
    </row>
    <row r="9759" spans="3:4" ht="15" x14ac:dyDescent="0.25">
      <c r="C9759" s="8" t="e">
        <f>VLOOKUP(A:A,'ITEM LIST'!A:C,3,0)</f>
        <v>#N/A</v>
      </c>
      <c r="D9759" s="6">
        <f t="shared" si="153"/>
        <v>0</v>
      </c>
    </row>
    <row r="9760" spans="3:4" ht="15" x14ac:dyDescent="0.25">
      <c r="C9760" s="8" t="e">
        <f>VLOOKUP(A:A,'ITEM LIST'!A:C,3,0)</f>
        <v>#N/A</v>
      </c>
      <c r="D9760" s="6">
        <f t="shared" si="153"/>
        <v>0</v>
      </c>
    </row>
    <row r="9761" spans="3:4" ht="15" x14ac:dyDescent="0.25">
      <c r="C9761" s="8" t="e">
        <f>VLOOKUP(A:A,'ITEM LIST'!A:C,3,0)</f>
        <v>#N/A</v>
      </c>
      <c r="D9761" s="6">
        <f t="shared" si="153"/>
        <v>0</v>
      </c>
    </row>
    <row r="9762" spans="3:4" ht="15" x14ac:dyDescent="0.25">
      <c r="C9762" s="8" t="e">
        <f>VLOOKUP(A:A,'ITEM LIST'!A:C,3,0)</f>
        <v>#N/A</v>
      </c>
      <c r="D9762" s="6">
        <f t="shared" si="153"/>
        <v>0</v>
      </c>
    </row>
    <row r="9763" spans="3:4" ht="15" x14ac:dyDescent="0.25">
      <c r="C9763" s="8" t="e">
        <f>VLOOKUP(A:A,'ITEM LIST'!A:C,3,0)</f>
        <v>#N/A</v>
      </c>
      <c r="D9763" s="6">
        <f t="shared" si="153"/>
        <v>0</v>
      </c>
    </row>
    <row r="9764" spans="3:4" ht="15" x14ac:dyDescent="0.25">
      <c r="C9764" s="8" t="e">
        <f>VLOOKUP(A:A,'ITEM LIST'!A:C,3,0)</f>
        <v>#N/A</v>
      </c>
      <c r="D9764" s="6">
        <f t="shared" si="153"/>
        <v>0</v>
      </c>
    </row>
    <row r="9765" spans="3:4" ht="15" x14ac:dyDescent="0.25">
      <c r="C9765" s="8" t="e">
        <f>VLOOKUP(A:A,'ITEM LIST'!A:C,3,0)</f>
        <v>#N/A</v>
      </c>
      <c r="D9765" s="6">
        <f t="shared" si="153"/>
        <v>0</v>
      </c>
    </row>
    <row r="9766" spans="3:4" ht="15" x14ac:dyDescent="0.25">
      <c r="C9766" s="8" t="e">
        <f>VLOOKUP(A:A,'ITEM LIST'!A:C,3,0)</f>
        <v>#N/A</v>
      </c>
      <c r="D9766" s="6">
        <f t="shared" si="153"/>
        <v>0</v>
      </c>
    </row>
    <row r="9767" spans="3:4" ht="15" x14ac:dyDescent="0.25">
      <c r="C9767" s="8" t="e">
        <f>VLOOKUP(A:A,'ITEM LIST'!A:C,3,0)</f>
        <v>#N/A</v>
      </c>
      <c r="D9767" s="6">
        <f t="shared" si="153"/>
        <v>0</v>
      </c>
    </row>
    <row r="9768" spans="3:4" ht="15" x14ac:dyDescent="0.25">
      <c r="C9768" s="8" t="e">
        <f>VLOOKUP(A:A,'ITEM LIST'!A:C,3,0)</f>
        <v>#N/A</v>
      </c>
      <c r="D9768" s="6">
        <f t="shared" si="153"/>
        <v>0</v>
      </c>
    </row>
    <row r="9769" spans="3:4" ht="15" x14ac:dyDescent="0.25">
      <c r="C9769" s="8" t="e">
        <f>VLOOKUP(A:A,'ITEM LIST'!A:C,3,0)</f>
        <v>#N/A</v>
      </c>
      <c r="D9769" s="6">
        <f t="shared" si="153"/>
        <v>0</v>
      </c>
    </row>
    <row r="9770" spans="3:4" ht="15" x14ac:dyDescent="0.25">
      <c r="C9770" s="8" t="e">
        <f>VLOOKUP(A:A,'ITEM LIST'!A:C,3,0)</f>
        <v>#N/A</v>
      </c>
      <c r="D9770" s="6">
        <f t="shared" si="153"/>
        <v>0</v>
      </c>
    </row>
    <row r="9771" spans="3:4" ht="15" x14ac:dyDescent="0.25">
      <c r="C9771" s="8" t="e">
        <f>VLOOKUP(A:A,'ITEM LIST'!A:C,3,0)</f>
        <v>#N/A</v>
      </c>
      <c r="D9771" s="6">
        <f t="shared" si="153"/>
        <v>0</v>
      </c>
    </row>
    <row r="9772" spans="3:4" ht="15" x14ac:dyDescent="0.25">
      <c r="C9772" s="8" t="e">
        <f>VLOOKUP(A:A,'ITEM LIST'!A:C,3,0)</f>
        <v>#N/A</v>
      </c>
      <c r="D9772" s="6">
        <f t="shared" si="153"/>
        <v>0</v>
      </c>
    </row>
    <row r="9773" spans="3:4" ht="15" x14ac:dyDescent="0.25">
      <c r="C9773" s="8" t="e">
        <f>VLOOKUP(A:A,'ITEM LIST'!A:C,3,0)</f>
        <v>#N/A</v>
      </c>
      <c r="D9773" s="6">
        <f t="shared" si="153"/>
        <v>0</v>
      </c>
    </row>
    <row r="9774" spans="3:4" ht="15" x14ac:dyDescent="0.25">
      <c r="C9774" s="8" t="e">
        <f>VLOOKUP(A:A,'ITEM LIST'!A:C,3,0)</f>
        <v>#N/A</v>
      </c>
      <c r="D9774" s="6">
        <f t="shared" si="153"/>
        <v>0</v>
      </c>
    </row>
    <row r="9775" spans="3:4" ht="15" x14ac:dyDescent="0.25">
      <c r="C9775" s="8" t="e">
        <f>VLOOKUP(A:A,'ITEM LIST'!A:C,3,0)</f>
        <v>#N/A</v>
      </c>
      <c r="D9775" s="6">
        <f t="shared" si="153"/>
        <v>0</v>
      </c>
    </row>
    <row r="9776" spans="3:4" ht="15" x14ac:dyDescent="0.25">
      <c r="C9776" s="8" t="e">
        <f>VLOOKUP(A:A,'ITEM LIST'!A:C,3,0)</f>
        <v>#N/A</v>
      </c>
      <c r="D9776" s="6">
        <f t="shared" si="153"/>
        <v>0</v>
      </c>
    </row>
    <row r="9777" spans="3:4" ht="15" x14ac:dyDescent="0.25">
      <c r="C9777" s="8" t="e">
        <f>VLOOKUP(A:A,'ITEM LIST'!A:C,3,0)</f>
        <v>#N/A</v>
      </c>
      <c r="D9777" s="6">
        <f t="shared" si="153"/>
        <v>0</v>
      </c>
    </row>
    <row r="9778" spans="3:4" ht="15" x14ac:dyDescent="0.25">
      <c r="C9778" s="8" t="e">
        <f>VLOOKUP(A:A,'ITEM LIST'!A:C,3,0)</f>
        <v>#N/A</v>
      </c>
      <c r="D9778" s="6">
        <f t="shared" si="153"/>
        <v>0</v>
      </c>
    </row>
    <row r="9779" spans="3:4" ht="15" x14ac:dyDescent="0.25">
      <c r="C9779" s="8" t="e">
        <f>VLOOKUP(A:A,'ITEM LIST'!A:C,3,0)</f>
        <v>#N/A</v>
      </c>
      <c r="D9779" s="6">
        <f t="shared" si="153"/>
        <v>0</v>
      </c>
    </row>
    <row r="9780" spans="3:4" ht="15" x14ac:dyDescent="0.25">
      <c r="C9780" s="8" t="e">
        <f>VLOOKUP(A:A,'ITEM LIST'!A:C,3,0)</f>
        <v>#N/A</v>
      </c>
      <c r="D9780" s="6">
        <f t="shared" si="153"/>
        <v>0</v>
      </c>
    </row>
    <row r="9781" spans="3:4" ht="15" x14ac:dyDescent="0.25">
      <c r="C9781" s="8" t="e">
        <f>VLOOKUP(A:A,'ITEM LIST'!A:C,3,0)</f>
        <v>#N/A</v>
      </c>
      <c r="D9781" s="6">
        <f t="shared" si="153"/>
        <v>0</v>
      </c>
    </row>
    <row r="9782" spans="3:4" ht="15" x14ac:dyDescent="0.25">
      <c r="C9782" s="8" t="e">
        <f>VLOOKUP(A:A,'ITEM LIST'!A:C,3,0)</f>
        <v>#N/A</v>
      </c>
      <c r="D9782" s="6">
        <f t="shared" si="153"/>
        <v>0</v>
      </c>
    </row>
    <row r="9783" spans="3:4" ht="15" x14ac:dyDescent="0.25">
      <c r="C9783" s="8" t="e">
        <f>VLOOKUP(A:A,'ITEM LIST'!A:C,3,0)</f>
        <v>#N/A</v>
      </c>
      <c r="D9783" s="6">
        <f t="shared" si="153"/>
        <v>0</v>
      </c>
    </row>
    <row r="9784" spans="3:4" ht="15" x14ac:dyDescent="0.25">
      <c r="C9784" s="8" t="e">
        <f>VLOOKUP(A:A,'ITEM LIST'!A:C,3,0)</f>
        <v>#N/A</v>
      </c>
      <c r="D9784" s="6">
        <f t="shared" si="153"/>
        <v>0</v>
      </c>
    </row>
    <row r="9785" spans="3:4" ht="15" x14ac:dyDescent="0.25">
      <c r="C9785" s="8" t="e">
        <f>VLOOKUP(A:A,'ITEM LIST'!A:C,3,0)</f>
        <v>#N/A</v>
      </c>
      <c r="D9785" s="6">
        <f t="shared" si="153"/>
        <v>0</v>
      </c>
    </row>
    <row r="9786" spans="3:4" ht="15" x14ac:dyDescent="0.25">
      <c r="C9786" s="8" t="e">
        <f>VLOOKUP(A:A,'ITEM LIST'!A:C,3,0)</f>
        <v>#N/A</v>
      </c>
      <c r="D9786" s="6">
        <f t="shared" si="153"/>
        <v>0</v>
      </c>
    </row>
    <row r="9787" spans="3:4" ht="15" x14ac:dyDescent="0.25">
      <c r="C9787" s="8" t="e">
        <f>VLOOKUP(A:A,'ITEM LIST'!A:C,3,0)</f>
        <v>#N/A</v>
      </c>
      <c r="D9787" s="6">
        <f t="shared" si="153"/>
        <v>0</v>
      </c>
    </row>
    <row r="9788" spans="3:4" ht="15" x14ac:dyDescent="0.25">
      <c r="C9788" s="8" t="e">
        <f>VLOOKUP(A:A,'ITEM LIST'!A:C,3,0)</f>
        <v>#N/A</v>
      </c>
      <c r="D9788" s="6">
        <f t="shared" si="153"/>
        <v>0</v>
      </c>
    </row>
    <row r="9789" spans="3:4" ht="15" x14ac:dyDescent="0.25">
      <c r="C9789" s="8" t="e">
        <f>VLOOKUP(A:A,'ITEM LIST'!A:C,3,0)</f>
        <v>#N/A</v>
      </c>
      <c r="D9789" s="6">
        <f t="shared" si="153"/>
        <v>0</v>
      </c>
    </row>
    <row r="9790" spans="3:4" ht="15" x14ac:dyDescent="0.25">
      <c r="C9790" s="8" t="e">
        <f>VLOOKUP(A:A,'ITEM LIST'!A:C,3,0)</f>
        <v>#N/A</v>
      </c>
      <c r="D9790" s="6">
        <f t="shared" si="153"/>
        <v>0</v>
      </c>
    </row>
    <row r="9791" spans="3:4" ht="15" x14ac:dyDescent="0.25">
      <c r="C9791" s="8" t="e">
        <f>VLOOKUP(A:A,'ITEM LIST'!A:C,3,0)</f>
        <v>#N/A</v>
      </c>
      <c r="D9791" s="6">
        <f t="shared" si="153"/>
        <v>0</v>
      </c>
    </row>
    <row r="9792" spans="3:4" ht="15" x14ac:dyDescent="0.25">
      <c r="C9792" s="8" t="e">
        <f>VLOOKUP(A:A,'ITEM LIST'!A:C,3,0)</f>
        <v>#N/A</v>
      </c>
      <c r="D9792" s="6">
        <f t="shared" si="153"/>
        <v>0</v>
      </c>
    </row>
    <row r="9793" spans="3:4" ht="15" x14ac:dyDescent="0.25">
      <c r="C9793" s="8" t="e">
        <f>VLOOKUP(A:A,'ITEM LIST'!A:C,3,0)</f>
        <v>#N/A</v>
      </c>
      <c r="D9793" s="6">
        <f t="shared" si="153"/>
        <v>0</v>
      </c>
    </row>
    <row r="9794" spans="3:4" ht="15" x14ac:dyDescent="0.25">
      <c r="C9794" s="8" t="e">
        <f>VLOOKUP(A:A,'ITEM LIST'!A:C,3,0)</f>
        <v>#N/A</v>
      </c>
      <c r="D9794" s="6">
        <f t="shared" si="153"/>
        <v>0</v>
      </c>
    </row>
    <row r="9795" spans="3:4" ht="15" x14ac:dyDescent="0.25">
      <c r="C9795" s="8" t="e">
        <f>VLOOKUP(A:A,'ITEM LIST'!A:C,3,0)</f>
        <v>#N/A</v>
      </c>
      <c r="D9795" s="6">
        <f t="shared" si="153"/>
        <v>0</v>
      </c>
    </row>
    <row r="9796" spans="3:4" ht="15" x14ac:dyDescent="0.25">
      <c r="C9796" s="8" t="e">
        <f>VLOOKUP(A:A,'ITEM LIST'!A:C,3,0)</f>
        <v>#N/A</v>
      </c>
      <c r="D9796" s="6">
        <f t="shared" si="153"/>
        <v>0</v>
      </c>
    </row>
    <row r="9797" spans="3:4" ht="15" x14ac:dyDescent="0.25">
      <c r="C9797" s="8" t="e">
        <f>VLOOKUP(A:A,'ITEM LIST'!A:C,3,0)</f>
        <v>#N/A</v>
      </c>
      <c r="D9797" s="6">
        <f t="shared" si="153"/>
        <v>0</v>
      </c>
    </row>
    <row r="9798" spans="3:4" ht="15" x14ac:dyDescent="0.25">
      <c r="C9798" s="8" t="e">
        <f>VLOOKUP(A:A,'ITEM LIST'!A:C,3,0)</f>
        <v>#N/A</v>
      </c>
      <c r="D9798" s="6">
        <f t="shared" ref="D9798:D9861" si="154">B9798</f>
        <v>0</v>
      </c>
    </row>
    <row r="9799" spans="3:4" ht="15" x14ac:dyDescent="0.25">
      <c r="C9799" s="8" t="e">
        <f>VLOOKUP(A:A,'ITEM LIST'!A:C,3,0)</f>
        <v>#N/A</v>
      </c>
      <c r="D9799" s="6">
        <f t="shared" si="154"/>
        <v>0</v>
      </c>
    </row>
    <row r="9800" spans="3:4" ht="15" x14ac:dyDescent="0.25">
      <c r="C9800" s="8" t="e">
        <f>VLOOKUP(A:A,'ITEM LIST'!A:C,3,0)</f>
        <v>#N/A</v>
      </c>
      <c r="D9800" s="6">
        <f t="shared" si="154"/>
        <v>0</v>
      </c>
    </row>
    <row r="9801" spans="3:4" ht="15" x14ac:dyDescent="0.25">
      <c r="C9801" s="8" t="e">
        <f>VLOOKUP(A:A,'ITEM LIST'!A:C,3,0)</f>
        <v>#N/A</v>
      </c>
      <c r="D9801" s="6">
        <f t="shared" si="154"/>
        <v>0</v>
      </c>
    </row>
    <row r="9802" spans="3:4" ht="15" x14ac:dyDescent="0.25">
      <c r="C9802" s="8" t="e">
        <f>VLOOKUP(A:A,'ITEM LIST'!A:C,3,0)</f>
        <v>#N/A</v>
      </c>
      <c r="D9802" s="6">
        <f t="shared" si="154"/>
        <v>0</v>
      </c>
    </row>
    <row r="9803" spans="3:4" ht="15" x14ac:dyDescent="0.25">
      <c r="C9803" s="8" t="e">
        <f>VLOOKUP(A:A,'ITEM LIST'!A:C,3,0)</f>
        <v>#N/A</v>
      </c>
      <c r="D9803" s="6">
        <f t="shared" si="154"/>
        <v>0</v>
      </c>
    </row>
    <row r="9804" spans="3:4" ht="15" x14ac:dyDescent="0.25">
      <c r="C9804" s="8" t="e">
        <f>VLOOKUP(A:A,'ITEM LIST'!A:C,3,0)</f>
        <v>#N/A</v>
      </c>
      <c r="D9804" s="6">
        <f t="shared" si="154"/>
        <v>0</v>
      </c>
    </row>
    <row r="9805" spans="3:4" ht="15" x14ac:dyDescent="0.25">
      <c r="C9805" s="8" t="e">
        <f>VLOOKUP(A:A,'ITEM LIST'!A:C,3,0)</f>
        <v>#N/A</v>
      </c>
      <c r="D9805" s="6">
        <f t="shared" si="154"/>
        <v>0</v>
      </c>
    </row>
    <row r="9806" spans="3:4" ht="15" x14ac:dyDescent="0.25">
      <c r="C9806" s="8" t="e">
        <f>VLOOKUP(A:A,'ITEM LIST'!A:C,3,0)</f>
        <v>#N/A</v>
      </c>
      <c r="D9806" s="6">
        <f t="shared" si="154"/>
        <v>0</v>
      </c>
    </row>
    <row r="9807" spans="3:4" ht="15" x14ac:dyDescent="0.25">
      <c r="C9807" s="8" t="e">
        <f>VLOOKUP(A:A,'ITEM LIST'!A:C,3,0)</f>
        <v>#N/A</v>
      </c>
      <c r="D9807" s="6">
        <f t="shared" si="154"/>
        <v>0</v>
      </c>
    </row>
    <row r="9808" spans="3:4" ht="15" x14ac:dyDescent="0.25">
      <c r="C9808" s="8" t="e">
        <f>VLOOKUP(A:A,'ITEM LIST'!A:C,3,0)</f>
        <v>#N/A</v>
      </c>
      <c r="D9808" s="6">
        <f t="shared" si="154"/>
        <v>0</v>
      </c>
    </row>
    <row r="9809" spans="3:4" ht="15" x14ac:dyDescent="0.25">
      <c r="C9809" s="8" t="e">
        <f>VLOOKUP(A:A,'ITEM LIST'!A:C,3,0)</f>
        <v>#N/A</v>
      </c>
      <c r="D9809" s="6">
        <f t="shared" si="154"/>
        <v>0</v>
      </c>
    </row>
    <row r="9810" spans="3:4" ht="15" x14ac:dyDescent="0.25">
      <c r="C9810" s="8" t="e">
        <f>VLOOKUP(A:A,'ITEM LIST'!A:C,3,0)</f>
        <v>#N/A</v>
      </c>
      <c r="D9810" s="6">
        <f t="shared" si="154"/>
        <v>0</v>
      </c>
    </row>
    <row r="9811" spans="3:4" ht="15" x14ac:dyDescent="0.25">
      <c r="C9811" s="8" t="e">
        <f>VLOOKUP(A:A,'ITEM LIST'!A:C,3,0)</f>
        <v>#N/A</v>
      </c>
      <c r="D9811" s="6">
        <f t="shared" si="154"/>
        <v>0</v>
      </c>
    </row>
    <row r="9812" spans="3:4" ht="15" x14ac:dyDescent="0.25">
      <c r="C9812" s="8" t="e">
        <f>VLOOKUP(A:A,'ITEM LIST'!A:C,3,0)</f>
        <v>#N/A</v>
      </c>
      <c r="D9812" s="6">
        <f t="shared" si="154"/>
        <v>0</v>
      </c>
    </row>
    <row r="9813" spans="3:4" ht="15" x14ac:dyDescent="0.25">
      <c r="C9813" s="8" t="e">
        <f>VLOOKUP(A:A,'ITEM LIST'!A:C,3,0)</f>
        <v>#N/A</v>
      </c>
      <c r="D9813" s="6">
        <f t="shared" si="154"/>
        <v>0</v>
      </c>
    </row>
    <row r="9814" spans="3:4" ht="15" x14ac:dyDescent="0.25">
      <c r="C9814" s="8" t="e">
        <f>VLOOKUP(A:A,'ITEM LIST'!A:C,3,0)</f>
        <v>#N/A</v>
      </c>
      <c r="D9814" s="6">
        <f t="shared" si="154"/>
        <v>0</v>
      </c>
    </row>
    <row r="9815" spans="3:4" ht="15" x14ac:dyDescent="0.25">
      <c r="C9815" s="8" t="e">
        <f>VLOOKUP(A:A,'ITEM LIST'!A:C,3,0)</f>
        <v>#N/A</v>
      </c>
      <c r="D9815" s="6">
        <f t="shared" si="154"/>
        <v>0</v>
      </c>
    </row>
    <row r="9816" spans="3:4" ht="15" x14ac:dyDescent="0.25">
      <c r="C9816" s="8" t="e">
        <f>VLOOKUP(A:A,'ITEM LIST'!A:C,3,0)</f>
        <v>#N/A</v>
      </c>
      <c r="D9816" s="6">
        <f t="shared" si="154"/>
        <v>0</v>
      </c>
    </row>
    <row r="9817" spans="3:4" ht="15" x14ac:dyDescent="0.25">
      <c r="C9817" s="8" t="e">
        <f>VLOOKUP(A:A,'ITEM LIST'!A:C,3,0)</f>
        <v>#N/A</v>
      </c>
      <c r="D9817" s="6">
        <f t="shared" si="154"/>
        <v>0</v>
      </c>
    </row>
    <row r="9818" spans="3:4" ht="15" x14ac:dyDescent="0.25">
      <c r="C9818" s="8" t="e">
        <f>VLOOKUP(A:A,'ITEM LIST'!A:C,3,0)</f>
        <v>#N/A</v>
      </c>
      <c r="D9818" s="6">
        <f t="shared" si="154"/>
        <v>0</v>
      </c>
    </row>
    <row r="9819" spans="3:4" ht="15" x14ac:dyDescent="0.25">
      <c r="C9819" s="8" t="e">
        <f>VLOOKUP(A:A,'ITEM LIST'!A:C,3,0)</f>
        <v>#N/A</v>
      </c>
      <c r="D9819" s="6">
        <f t="shared" si="154"/>
        <v>0</v>
      </c>
    </row>
    <row r="9820" spans="3:4" ht="15" x14ac:dyDescent="0.25">
      <c r="C9820" s="8" t="e">
        <f>VLOOKUP(A:A,'ITEM LIST'!A:C,3,0)</f>
        <v>#N/A</v>
      </c>
      <c r="D9820" s="6">
        <f t="shared" si="154"/>
        <v>0</v>
      </c>
    </row>
    <row r="9821" spans="3:4" ht="15" x14ac:dyDescent="0.25">
      <c r="C9821" s="8" t="e">
        <f>VLOOKUP(A:A,'ITEM LIST'!A:C,3,0)</f>
        <v>#N/A</v>
      </c>
      <c r="D9821" s="6">
        <f t="shared" si="154"/>
        <v>0</v>
      </c>
    </row>
    <row r="9822" spans="3:4" ht="15" x14ac:dyDescent="0.25">
      <c r="C9822" s="8" t="e">
        <f>VLOOKUP(A:A,'ITEM LIST'!A:C,3,0)</f>
        <v>#N/A</v>
      </c>
      <c r="D9822" s="6">
        <f t="shared" si="154"/>
        <v>0</v>
      </c>
    </row>
    <row r="9823" spans="3:4" ht="15" x14ac:dyDescent="0.25">
      <c r="C9823" s="8" t="e">
        <f>VLOOKUP(A:A,'ITEM LIST'!A:C,3,0)</f>
        <v>#N/A</v>
      </c>
      <c r="D9823" s="6">
        <f t="shared" si="154"/>
        <v>0</v>
      </c>
    </row>
    <row r="9824" spans="3:4" ht="15" x14ac:dyDescent="0.25">
      <c r="C9824" s="8" t="e">
        <f>VLOOKUP(A:A,'ITEM LIST'!A:C,3,0)</f>
        <v>#N/A</v>
      </c>
      <c r="D9824" s="6">
        <f t="shared" si="154"/>
        <v>0</v>
      </c>
    </row>
    <row r="9825" spans="3:4" ht="15" x14ac:dyDescent="0.25">
      <c r="C9825" s="8" t="e">
        <f>VLOOKUP(A:A,'ITEM LIST'!A:C,3,0)</f>
        <v>#N/A</v>
      </c>
      <c r="D9825" s="6">
        <f t="shared" si="154"/>
        <v>0</v>
      </c>
    </row>
    <row r="9826" spans="3:4" ht="15" x14ac:dyDescent="0.25">
      <c r="C9826" s="8" t="e">
        <f>VLOOKUP(A:A,'ITEM LIST'!A:C,3,0)</f>
        <v>#N/A</v>
      </c>
      <c r="D9826" s="6">
        <f t="shared" si="154"/>
        <v>0</v>
      </c>
    </row>
    <row r="9827" spans="3:4" ht="15" x14ac:dyDescent="0.25">
      <c r="C9827" s="8" t="e">
        <f>VLOOKUP(A:A,'ITEM LIST'!A:C,3,0)</f>
        <v>#N/A</v>
      </c>
      <c r="D9827" s="6">
        <f t="shared" si="154"/>
        <v>0</v>
      </c>
    </row>
    <row r="9828" spans="3:4" ht="15" x14ac:dyDescent="0.25">
      <c r="C9828" s="8" t="e">
        <f>VLOOKUP(A:A,'ITEM LIST'!A:C,3,0)</f>
        <v>#N/A</v>
      </c>
      <c r="D9828" s="6">
        <f t="shared" si="154"/>
        <v>0</v>
      </c>
    </row>
    <row r="9829" spans="3:4" ht="15" x14ac:dyDescent="0.25">
      <c r="C9829" s="8" t="e">
        <f>VLOOKUP(A:A,'ITEM LIST'!A:C,3,0)</f>
        <v>#N/A</v>
      </c>
      <c r="D9829" s="6">
        <f t="shared" si="154"/>
        <v>0</v>
      </c>
    </row>
    <row r="9830" spans="3:4" ht="15" x14ac:dyDescent="0.25">
      <c r="C9830" s="8" t="e">
        <f>VLOOKUP(A:A,'ITEM LIST'!A:C,3,0)</f>
        <v>#N/A</v>
      </c>
      <c r="D9830" s="6">
        <f t="shared" si="154"/>
        <v>0</v>
      </c>
    </row>
    <row r="9831" spans="3:4" ht="15" x14ac:dyDescent="0.25">
      <c r="C9831" s="8" t="e">
        <f>VLOOKUP(A:A,'ITEM LIST'!A:C,3,0)</f>
        <v>#N/A</v>
      </c>
      <c r="D9831" s="6">
        <f t="shared" si="154"/>
        <v>0</v>
      </c>
    </row>
    <row r="9832" spans="3:4" ht="15" x14ac:dyDescent="0.25">
      <c r="C9832" s="8" t="e">
        <f>VLOOKUP(A:A,'ITEM LIST'!A:C,3,0)</f>
        <v>#N/A</v>
      </c>
      <c r="D9832" s="6">
        <f t="shared" si="154"/>
        <v>0</v>
      </c>
    </row>
    <row r="9833" spans="3:4" ht="15" x14ac:dyDescent="0.25">
      <c r="C9833" s="8" t="e">
        <f>VLOOKUP(A:A,'ITEM LIST'!A:C,3,0)</f>
        <v>#N/A</v>
      </c>
      <c r="D9833" s="6">
        <f t="shared" si="154"/>
        <v>0</v>
      </c>
    </row>
    <row r="9834" spans="3:4" ht="15" x14ac:dyDescent="0.25">
      <c r="C9834" s="8" t="e">
        <f>VLOOKUP(A:A,'ITEM LIST'!A:C,3,0)</f>
        <v>#N/A</v>
      </c>
      <c r="D9834" s="6">
        <f t="shared" si="154"/>
        <v>0</v>
      </c>
    </row>
    <row r="9835" spans="3:4" ht="15" x14ac:dyDescent="0.25">
      <c r="C9835" s="8" t="e">
        <f>VLOOKUP(A:A,'ITEM LIST'!A:C,3,0)</f>
        <v>#N/A</v>
      </c>
      <c r="D9835" s="6">
        <f t="shared" si="154"/>
        <v>0</v>
      </c>
    </row>
    <row r="9836" spans="3:4" ht="15" x14ac:dyDescent="0.25">
      <c r="C9836" s="8" t="e">
        <f>VLOOKUP(A:A,'ITEM LIST'!A:C,3,0)</f>
        <v>#N/A</v>
      </c>
      <c r="D9836" s="6">
        <f t="shared" si="154"/>
        <v>0</v>
      </c>
    </row>
    <row r="9837" spans="3:4" ht="15" x14ac:dyDescent="0.25">
      <c r="C9837" s="8" t="e">
        <f>VLOOKUP(A:A,'ITEM LIST'!A:C,3,0)</f>
        <v>#N/A</v>
      </c>
      <c r="D9837" s="6">
        <f t="shared" si="154"/>
        <v>0</v>
      </c>
    </row>
    <row r="9838" spans="3:4" ht="15" x14ac:dyDescent="0.25">
      <c r="C9838" s="8" t="e">
        <f>VLOOKUP(A:A,'ITEM LIST'!A:C,3,0)</f>
        <v>#N/A</v>
      </c>
      <c r="D9838" s="6">
        <f t="shared" si="154"/>
        <v>0</v>
      </c>
    </row>
    <row r="9839" spans="3:4" ht="15" x14ac:dyDescent="0.25">
      <c r="C9839" s="8" t="e">
        <f>VLOOKUP(A:A,'ITEM LIST'!A:C,3,0)</f>
        <v>#N/A</v>
      </c>
      <c r="D9839" s="6">
        <f t="shared" si="154"/>
        <v>0</v>
      </c>
    </row>
    <row r="9840" spans="3:4" ht="15" x14ac:dyDescent="0.25">
      <c r="C9840" s="8" t="e">
        <f>VLOOKUP(A:A,'ITEM LIST'!A:C,3,0)</f>
        <v>#N/A</v>
      </c>
      <c r="D9840" s="6">
        <f t="shared" si="154"/>
        <v>0</v>
      </c>
    </row>
    <row r="9841" spans="3:4" ht="15" x14ac:dyDescent="0.25">
      <c r="C9841" s="8" t="e">
        <f>VLOOKUP(A:A,'ITEM LIST'!A:C,3,0)</f>
        <v>#N/A</v>
      </c>
      <c r="D9841" s="6">
        <f t="shared" si="154"/>
        <v>0</v>
      </c>
    </row>
    <row r="9842" spans="3:4" ht="15" x14ac:dyDescent="0.25">
      <c r="C9842" s="8" t="e">
        <f>VLOOKUP(A:A,'ITEM LIST'!A:C,3,0)</f>
        <v>#N/A</v>
      </c>
      <c r="D9842" s="6">
        <f t="shared" si="154"/>
        <v>0</v>
      </c>
    </row>
    <row r="9843" spans="3:4" ht="15" x14ac:dyDescent="0.25">
      <c r="C9843" s="8" t="e">
        <f>VLOOKUP(A:A,'ITEM LIST'!A:C,3,0)</f>
        <v>#N/A</v>
      </c>
      <c r="D9843" s="6">
        <f t="shared" si="154"/>
        <v>0</v>
      </c>
    </row>
    <row r="9844" spans="3:4" ht="15" x14ac:dyDescent="0.25">
      <c r="C9844" s="8" t="e">
        <f>VLOOKUP(A:A,'ITEM LIST'!A:C,3,0)</f>
        <v>#N/A</v>
      </c>
      <c r="D9844" s="6">
        <f t="shared" si="154"/>
        <v>0</v>
      </c>
    </row>
    <row r="9845" spans="3:4" ht="15" x14ac:dyDescent="0.25">
      <c r="C9845" s="8" t="e">
        <f>VLOOKUP(A:A,'ITEM LIST'!A:C,3,0)</f>
        <v>#N/A</v>
      </c>
      <c r="D9845" s="6">
        <f t="shared" si="154"/>
        <v>0</v>
      </c>
    </row>
    <row r="9846" spans="3:4" ht="15" x14ac:dyDescent="0.25">
      <c r="C9846" s="8" t="e">
        <f>VLOOKUP(A:A,'ITEM LIST'!A:C,3,0)</f>
        <v>#N/A</v>
      </c>
      <c r="D9846" s="6">
        <f t="shared" si="154"/>
        <v>0</v>
      </c>
    </row>
    <row r="9847" spans="3:4" ht="15" x14ac:dyDescent="0.25">
      <c r="C9847" s="8" t="e">
        <f>VLOOKUP(A:A,'ITEM LIST'!A:C,3,0)</f>
        <v>#N/A</v>
      </c>
      <c r="D9847" s="6">
        <f t="shared" si="154"/>
        <v>0</v>
      </c>
    </row>
    <row r="9848" spans="3:4" ht="15" x14ac:dyDescent="0.25">
      <c r="C9848" s="8" t="e">
        <f>VLOOKUP(A:A,'ITEM LIST'!A:C,3,0)</f>
        <v>#N/A</v>
      </c>
      <c r="D9848" s="6">
        <f t="shared" si="154"/>
        <v>0</v>
      </c>
    </row>
    <row r="9849" spans="3:4" ht="15" x14ac:dyDescent="0.25">
      <c r="C9849" s="8" t="e">
        <f>VLOOKUP(A:A,'ITEM LIST'!A:C,3,0)</f>
        <v>#N/A</v>
      </c>
      <c r="D9849" s="6">
        <f t="shared" si="154"/>
        <v>0</v>
      </c>
    </row>
    <row r="9850" spans="3:4" ht="15" x14ac:dyDescent="0.25">
      <c r="C9850" s="8" t="e">
        <f>VLOOKUP(A:A,'ITEM LIST'!A:C,3,0)</f>
        <v>#N/A</v>
      </c>
      <c r="D9850" s="6">
        <f t="shared" si="154"/>
        <v>0</v>
      </c>
    </row>
    <row r="9851" spans="3:4" ht="15" x14ac:dyDescent="0.25">
      <c r="C9851" s="8" t="e">
        <f>VLOOKUP(A:A,'ITEM LIST'!A:C,3,0)</f>
        <v>#N/A</v>
      </c>
      <c r="D9851" s="6">
        <f t="shared" si="154"/>
        <v>0</v>
      </c>
    </row>
    <row r="9852" spans="3:4" ht="15" x14ac:dyDescent="0.25">
      <c r="C9852" s="8" t="e">
        <f>VLOOKUP(A:A,'ITEM LIST'!A:C,3,0)</f>
        <v>#N/A</v>
      </c>
      <c r="D9852" s="6">
        <f t="shared" si="154"/>
        <v>0</v>
      </c>
    </row>
    <row r="9853" spans="3:4" ht="15" x14ac:dyDescent="0.25">
      <c r="C9853" s="8" t="e">
        <f>VLOOKUP(A:A,'ITEM LIST'!A:C,3,0)</f>
        <v>#N/A</v>
      </c>
      <c r="D9853" s="6">
        <f t="shared" si="154"/>
        <v>0</v>
      </c>
    </row>
    <row r="9854" spans="3:4" ht="15" x14ac:dyDescent="0.25">
      <c r="C9854" s="8" t="e">
        <f>VLOOKUP(A:A,'ITEM LIST'!A:C,3,0)</f>
        <v>#N/A</v>
      </c>
      <c r="D9854" s="6">
        <f t="shared" si="154"/>
        <v>0</v>
      </c>
    </row>
    <row r="9855" spans="3:4" ht="15" x14ac:dyDescent="0.25">
      <c r="C9855" s="8" t="e">
        <f>VLOOKUP(A:A,'ITEM LIST'!A:C,3,0)</f>
        <v>#N/A</v>
      </c>
      <c r="D9855" s="6">
        <f t="shared" si="154"/>
        <v>0</v>
      </c>
    </row>
    <row r="9856" spans="3:4" ht="15" x14ac:dyDescent="0.25">
      <c r="C9856" s="8" t="e">
        <f>VLOOKUP(A:A,'ITEM LIST'!A:C,3,0)</f>
        <v>#N/A</v>
      </c>
      <c r="D9856" s="6">
        <f t="shared" si="154"/>
        <v>0</v>
      </c>
    </row>
    <row r="9857" spans="3:4" ht="15" x14ac:dyDescent="0.25">
      <c r="C9857" s="8" t="e">
        <f>VLOOKUP(A:A,'ITEM LIST'!A:C,3,0)</f>
        <v>#N/A</v>
      </c>
      <c r="D9857" s="6">
        <f t="shared" si="154"/>
        <v>0</v>
      </c>
    </row>
    <row r="9858" spans="3:4" ht="15" x14ac:dyDescent="0.25">
      <c r="C9858" s="8" t="e">
        <f>VLOOKUP(A:A,'ITEM LIST'!A:C,3,0)</f>
        <v>#N/A</v>
      </c>
      <c r="D9858" s="6">
        <f t="shared" si="154"/>
        <v>0</v>
      </c>
    </row>
    <row r="9859" spans="3:4" ht="15" x14ac:dyDescent="0.25">
      <c r="C9859" s="8" t="e">
        <f>VLOOKUP(A:A,'ITEM LIST'!A:C,3,0)</f>
        <v>#N/A</v>
      </c>
      <c r="D9859" s="6">
        <f t="shared" si="154"/>
        <v>0</v>
      </c>
    </row>
    <row r="9860" spans="3:4" ht="15" x14ac:dyDescent="0.25">
      <c r="C9860" s="8" t="e">
        <f>VLOOKUP(A:A,'ITEM LIST'!A:C,3,0)</f>
        <v>#N/A</v>
      </c>
      <c r="D9860" s="6">
        <f t="shared" si="154"/>
        <v>0</v>
      </c>
    </row>
    <row r="9861" spans="3:4" ht="15" x14ac:dyDescent="0.25">
      <c r="C9861" s="8" t="e">
        <f>VLOOKUP(A:A,'ITEM LIST'!A:C,3,0)</f>
        <v>#N/A</v>
      </c>
      <c r="D9861" s="6">
        <f t="shared" si="154"/>
        <v>0</v>
      </c>
    </row>
    <row r="9862" spans="3:4" ht="15" x14ac:dyDescent="0.25">
      <c r="C9862" s="8" t="e">
        <f>VLOOKUP(A:A,'ITEM LIST'!A:C,3,0)</f>
        <v>#N/A</v>
      </c>
      <c r="D9862" s="6">
        <f t="shared" ref="D9862:D9925" si="155">B9862</f>
        <v>0</v>
      </c>
    </row>
    <row r="9863" spans="3:4" ht="15" x14ac:dyDescent="0.25">
      <c r="C9863" s="8" t="e">
        <f>VLOOKUP(A:A,'ITEM LIST'!A:C,3,0)</f>
        <v>#N/A</v>
      </c>
      <c r="D9863" s="6">
        <f t="shared" si="155"/>
        <v>0</v>
      </c>
    </row>
    <row r="9864" spans="3:4" ht="15" x14ac:dyDescent="0.25">
      <c r="C9864" s="8" t="e">
        <f>VLOOKUP(A:A,'ITEM LIST'!A:C,3,0)</f>
        <v>#N/A</v>
      </c>
      <c r="D9864" s="6">
        <f t="shared" si="155"/>
        <v>0</v>
      </c>
    </row>
    <row r="9865" spans="3:4" ht="15" x14ac:dyDescent="0.25">
      <c r="C9865" s="8" t="e">
        <f>VLOOKUP(A:A,'ITEM LIST'!A:C,3,0)</f>
        <v>#N/A</v>
      </c>
      <c r="D9865" s="6">
        <f t="shared" si="155"/>
        <v>0</v>
      </c>
    </row>
    <row r="9866" spans="3:4" ht="15" x14ac:dyDescent="0.25">
      <c r="C9866" s="8" t="e">
        <f>VLOOKUP(A:A,'ITEM LIST'!A:C,3,0)</f>
        <v>#N/A</v>
      </c>
      <c r="D9866" s="6">
        <f t="shared" si="155"/>
        <v>0</v>
      </c>
    </row>
    <row r="9867" spans="3:4" ht="15" x14ac:dyDescent="0.25">
      <c r="C9867" s="8" t="e">
        <f>VLOOKUP(A:A,'ITEM LIST'!A:C,3,0)</f>
        <v>#N/A</v>
      </c>
      <c r="D9867" s="6">
        <f t="shared" si="155"/>
        <v>0</v>
      </c>
    </row>
    <row r="9868" spans="3:4" ht="15" x14ac:dyDescent="0.25">
      <c r="C9868" s="8" t="e">
        <f>VLOOKUP(A:A,'ITEM LIST'!A:C,3,0)</f>
        <v>#N/A</v>
      </c>
      <c r="D9868" s="6">
        <f t="shared" si="155"/>
        <v>0</v>
      </c>
    </row>
    <row r="9869" spans="3:4" ht="15" x14ac:dyDescent="0.25">
      <c r="C9869" s="8" t="e">
        <f>VLOOKUP(A:A,'ITEM LIST'!A:C,3,0)</f>
        <v>#N/A</v>
      </c>
      <c r="D9869" s="6">
        <f t="shared" si="155"/>
        <v>0</v>
      </c>
    </row>
    <row r="9870" spans="3:4" ht="15" x14ac:dyDescent="0.25">
      <c r="C9870" s="8" t="e">
        <f>VLOOKUP(A:A,'ITEM LIST'!A:C,3,0)</f>
        <v>#N/A</v>
      </c>
      <c r="D9870" s="6">
        <f t="shared" si="155"/>
        <v>0</v>
      </c>
    </row>
    <row r="9871" spans="3:4" ht="15" x14ac:dyDescent="0.25">
      <c r="C9871" s="8" t="e">
        <f>VLOOKUP(A:A,'ITEM LIST'!A:C,3,0)</f>
        <v>#N/A</v>
      </c>
      <c r="D9871" s="6">
        <f t="shared" si="155"/>
        <v>0</v>
      </c>
    </row>
    <row r="9872" spans="3:4" ht="15" x14ac:dyDescent="0.25">
      <c r="C9872" s="8" t="e">
        <f>VLOOKUP(A:A,'ITEM LIST'!A:C,3,0)</f>
        <v>#N/A</v>
      </c>
      <c r="D9872" s="6">
        <f t="shared" si="155"/>
        <v>0</v>
      </c>
    </row>
    <row r="9873" spans="3:4" ht="15" x14ac:dyDescent="0.25">
      <c r="C9873" s="8" t="e">
        <f>VLOOKUP(A:A,'ITEM LIST'!A:C,3,0)</f>
        <v>#N/A</v>
      </c>
      <c r="D9873" s="6">
        <f t="shared" si="155"/>
        <v>0</v>
      </c>
    </row>
    <row r="9874" spans="3:4" ht="15" x14ac:dyDescent="0.25">
      <c r="C9874" s="8" t="e">
        <f>VLOOKUP(A:A,'ITEM LIST'!A:C,3,0)</f>
        <v>#N/A</v>
      </c>
      <c r="D9874" s="6">
        <f t="shared" si="155"/>
        <v>0</v>
      </c>
    </row>
    <row r="9875" spans="3:4" ht="15" x14ac:dyDescent="0.25">
      <c r="C9875" s="8" t="e">
        <f>VLOOKUP(A:A,'ITEM LIST'!A:C,3,0)</f>
        <v>#N/A</v>
      </c>
      <c r="D9875" s="6">
        <f t="shared" si="155"/>
        <v>0</v>
      </c>
    </row>
    <row r="9876" spans="3:4" ht="15" x14ac:dyDescent="0.25">
      <c r="C9876" s="8" t="e">
        <f>VLOOKUP(A:A,'ITEM LIST'!A:C,3,0)</f>
        <v>#N/A</v>
      </c>
      <c r="D9876" s="6">
        <f t="shared" si="155"/>
        <v>0</v>
      </c>
    </row>
    <row r="9877" spans="3:4" ht="15" x14ac:dyDescent="0.25">
      <c r="C9877" s="8" t="e">
        <f>VLOOKUP(A:A,'ITEM LIST'!A:C,3,0)</f>
        <v>#N/A</v>
      </c>
      <c r="D9877" s="6">
        <f t="shared" si="155"/>
        <v>0</v>
      </c>
    </row>
    <row r="9878" spans="3:4" ht="15" x14ac:dyDescent="0.25">
      <c r="C9878" s="8" t="e">
        <f>VLOOKUP(A:A,'ITEM LIST'!A:C,3,0)</f>
        <v>#N/A</v>
      </c>
      <c r="D9878" s="6">
        <f t="shared" si="155"/>
        <v>0</v>
      </c>
    </row>
    <row r="9879" spans="3:4" ht="15" x14ac:dyDescent="0.25">
      <c r="C9879" s="8" t="e">
        <f>VLOOKUP(A:A,'ITEM LIST'!A:C,3,0)</f>
        <v>#N/A</v>
      </c>
      <c r="D9879" s="6">
        <f t="shared" si="155"/>
        <v>0</v>
      </c>
    </row>
    <row r="9880" spans="3:4" ht="15" x14ac:dyDescent="0.25">
      <c r="C9880" s="8" t="e">
        <f>VLOOKUP(A:A,'ITEM LIST'!A:C,3,0)</f>
        <v>#N/A</v>
      </c>
      <c r="D9880" s="6">
        <f t="shared" si="155"/>
        <v>0</v>
      </c>
    </row>
    <row r="9881" spans="3:4" ht="15" x14ac:dyDescent="0.25">
      <c r="C9881" s="8" t="e">
        <f>VLOOKUP(A:A,'ITEM LIST'!A:C,3,0)</f>
        <v>#N/A</v>
      </c>
      <c r="D9881" s="6">
        <f t="shared" si="155"/>
        <v>0</v>
      </c>
    </row>
    <row r="9882" spans="3:4" ht="15" x14ac:dyDescent="0.25">
      <c r="C9882" s="8" t="e">
        <f>VLOOKUP(A:A,'ITEM LIST'!A:C,3,0)</f>
        <v>#N/A</v>
      </c>
      <c r="D9882" s="6">
        <f t="shared" si="155"/>
        <v>0</v>
      </c>
    </row>
    <row r="9883" spans="3:4" ht="15" x14ac:dyDescent="0.25">
      <c r="C9883" s="8" t="e">
        <f>VLOOKUP(A:A,'ITEM LIST'!A:C,3,0)</f>
        <v>#N/A</v>
      </c>
      <c r="D9883" s="6">
        <f t="shared" si="155"/>
        <v>0</v>
      </c>
    </row>
    <row r="9884" spans="3:4" ht="15" x14ac:dyDescent="0.25">
      <c r="C9884" s="8" t="e">
        <f>VLOOKUP(A:A,'ITEM LIST'!A:C,3,0)</f>
        <v>#N/A</v>
      </c>
      <c r="D9884" s="6">
        <f t="shared" si="155"/>
        <v>0</v>
      </c>
    </row>
    <row r="9885" spans="3:4" ht="15" x14ac:dyDescent="0.25">
      <c r="C9885" s="8" t="e">
        <f>VLOOKUP(A:A,'ITEM LIST'!A:C,3,0)</f>
        <v>#N/A</v>
      </c>
      <c r="D9885" s="6">
        <f t="shared" si="155"/>
        <v>0</v>
      </c>
    </row>
    <row r="9886" spans="3:4" ht="15" x14ac:dyDescent="0.25">
      <c r="C9886" s="8" t="e">
        <f>VLOOKUP(A:A,'ITEM LIST'!A:C,3,0)</f>
        <v>#N/A</v>
      </c>
      <c r="D9886" s="6">
        <f t="shared" si="155"/>
        <v>0</v>
      </c>
    </row>
    <row r="9887" spans="3:4" ht="15" x14ac:dyDescent="0.25">
      <c r="C9887" s="8" t="e">
        <f>VLOOKUP(A:A,'ITEM LIST'!A:C,3,0)</f>
        <v>#N/A</v>
      </c>
      <c r="D9887" s="6">
        <f t="shared" si="155"/>
        <v>0</v>
      </c>
    </row>
    <row r="9888" spans="3:4" ht="15" x14ac:dyDescent="0.25">
      <c r="C9888" s="8" t="e">
        <f>VLOOKUP(A:A,'ITEM LIST'!A:C,3,0)</f>
        <v>#N/A</v>
      </c>
      <c r="D9888" s="6">
        <f t="shared" si="155"/>
        <v>0</v>
      </c>
    </row>
    <row r="9889" spans="3:4" ht="15" x14ac:dyDescent="0.25">
      <c r="C9889" s="8" t="e">
        <f>VLOOKUP(A:A,'ITEM LIST'!A:C,3,0)</f>
        <v>#N/A</v>
      </c>
      <c r="D9889" s="6">
        <f t="shared" si="155"/>
        <v>0</v>
      </c>
    </row>
    <row r="9890" spans="3:4" ht="15" x14ac:dyDescent="0.25">
      <c r="C9890" s="8" t="e">
        <f>VLOOKUP(A:A,'ITEM LIST'!A:C,3,0)</f>
        <v>#N/A</v>
      </c>
      <c r="D9890" s="6">
        <f t="shared" si="155"/>
        <v>0</v>
      </c>
    </row>
    <row r="9891" spans="3:4" ht="15" x14ac:dyDescent="0.25">
      <c r="C9891" s="8" t="e">
        <f>VLOOKUP(A:A,'ITEM LIST'!A:C,3,0)</f>
        <v>#N/A</v>
      </c>
      <c r="D9891" s="6">
        <f t="shared" si="155"/>
        <v>0</v>
      </c>
    </row>
    <row r="9892" spans="3:4" ht="15" x14ac:dyDescent="0.25">
      <c r="C9892" s="8" t="e">
        <f>VLOOKUP(A:A,'ITEM LIST'!A:C,3,0)</f>
        <v>#N/A</v>
      </c>
      <c r="D9892" s="6">
        <f t="shared" si="155"/>
        <v>0</v>
      </c>
    </row>
    <row r="9893" spans="3:4" ht="15" x14ac:dyDescent="0.25">
      <c r="C9893" s="8" t="e">
        <f>VLOOKUP(A:A,'ITEM LIST'!A:C,3,0)</f>
        <v>#N/A</v>
      </c>
      <c r="D9893" s="6">
        <f t="shared" si="155"/>
        <v>0</v>
      </c>
    </row>
    <row r="9894" spans="3:4" ht="15" x14ac:dyDescent="0.25">
      <c r="C9894" s="8" t="e">
        <f>VLOOKUP(A:A,'ITEM LIST'!A:C,3,0)</f>
        <v>#N/A</v>
      </c>
      <c r="D9894" s="6">
        <f t="shared" si="155"/>
        <v>0</v>
      </c>
    </row>
    <row r="9895" spans="3:4" ht="15" x14ac:dyDescent="0.25">
      <c r="C9895" s="8" t="e">
        <f>VLOOKUP(A:A,'ITEM LIST'!A:C,3,0)</f>
        <v>#N/A</v>
      </c>
      <c r="D9895" s="6">
        <f t="shared" si="155"/>
        <v>0</v>
      </c>
    </row>
    <row r="9896" spans="3:4" ht="15" x14ac:dyDescent="0.25">
      <c r="C9896" s="8" t="e">
        <f>VLOOKUP(A:A,'ITEM LIST'!A:C,3,0)</f>
        <v>#N/A</v>
      </c>
      <c r="D9896" s="6">
        <f t="shared" si="155"/>
        <v>0</v>
      </c>
    </row>
    <row r="9897" spans="3:4" ht="15" x14ac:dyDescent="0.25">
      <c r="C9897" s="8" t="e">
        <f>VLOOKUP(A:A,'ITEM LIST'!A:C,3,0)</f>
        <v>#N/A</v>
      </c>
      <c r="D9897" s="6">
        <f t="shared" si="155"/>
        <v>0</v>
      </c>
    </row>
    <row r="9898" spans="3:4" ht="15" x14ac:dyDescent="0.25">
      <c r="C9898" s="8" t="e">
        <f>VLOOKUP(A:A,'ITEM LIST'!A:C,3,0)</f>
        <v>#N/A</v>
      </c>
      <c r="D9898" s="6">
        <f t="shared" si="155"/>
        <v>0</v>
      </c>
    </row>
    <row r="9899" spans="3:4" ht="15" x14ac:dyDescent="0.25">
      <c r="C9899" s="8" t="e">
        <f>VLOOKUP(A:A,'ITEM LIST'!A:C,3,0)</f>
        <v>#N/A</v>
      </c>
      <c r="D9899" s="6">
        <f t="shared" si="155"/>
        <v>0</v>
      </c>
    </row>
    <row r="9900" spans="3:4" ht="15" x14ac:dyDescent="0.25">
      <c r="C9900" s="8" t="e">
        <f>VLOOKUP(A:A,'ITEM LIST'!A:C,3,0)</f>
        <v>#N/A</v>
      </c>
      <c r="D9900" s="6">
        <f t="shared" si="155"/>
        <v>0</v>
      </c>
    </row>
    <row r="9901" spans="3:4" ht="15" x14ac:dyDescent="0.25">
      <c r="C9901" s="8" t="e">
        <f>VLOOKUP(A:A,'ITEM LIST'!A:C,3,0)</f>
        <v>#N/A</v>
      </c>
      <c r="D9901" s="6">
        <f t="shared" si="155"/>
        <v>0</v>
      </c>
    </row>
    <row r="9902" spans="3:4" ht="15" x14ac:dyDescent="0.25">
      <c r="C9902" s="8" t="e">
        <f>VLOOKUP(A:A,'ITEM LIST'!A:C,3,0)</f>
        <v>#N/A</v>
      </c>
      <c r="D9902" s="6">
        <f t="shared" si="155"/>
        <v>0</v>
      </c>
    </row>
    <row r="9903" spans="3:4" ht="15" x14ac:dyDescent="0.25">
      <c r="C9903" s="8" t="e">
        <f>VLOOKUP(A:A,'ITEM LIST'!A:C,3,0)</f>
        <v>#N/A</v>
      </c>
      <c r="D9903" s="6">
        <f t="shared" si="155"/>
        <v>0</v>
      </c>
    </row>
    <row r="9904" spans="3:4" ht="15" x14ac:dyDescent="0.25">
      <c r="C9904" s="8" t="e">
        <f>VLOOKUP(A:A,'ITEM LIST'!A:C,3,0)</f>
        <v>#N/A</v>
      </c>
      <c r="D9904" s="6">
        <f t="shared" si="155"/>
        <v>0</v>
      </c>
    </row>
    <row r="9905" spans="3:4" ht="15" x14ac:dyDescent="0.25">
      <c r="C9905" s="8" t="e">
        <f>VLOOKUP(A:A,'ITEM LIST'!A:C,3,0)</f>
        <v>#N/A</v>
      </c>
      <c r="D9905" s="6">
        <f t="shared" si="155"/>
        <v>0</v>
      </c>
    </row>
    <row r="9906" spans="3:4" ht="15" x14ac:dyDescent="0.25">
      <c r="C9906" s="8" t="e">
        <f>VLOOKUP(A:A,'ITEM LIST'!A:C,3,0)</f>
        <v>#N/A</v>
      </c>
      <c r="D9906" s="6">
        <f t="shared" si="155"/>
        <v>0</v>
      </c>
    </row>
    <row r="9907" spans="3:4" ht="15" x14ac:dyDescent="0.25">
      <c r="C9907" s="8" t="e">
        <f>VLOOKUP(A:A,'ITEM LIST'!A:C,3,0)</f>
        <v>#N/A</v>
      </c>
      <c r="D9907" s="6">
        <f t="shared" si="155"/>
        <v>0</v>
      </c>
    </row>
    <row r="9908" spans="3:4" ht="15" x14ac:dyDescent="0.25">
      <c r="C9908" s="8" t="e">
        <f>VLOOKUP(A:A,'ITEM LIST'!A:C,3,0)</f>
        <v>#N/A</v>
      </c>
      <c r="D9908" s="6">
        <f t="shared" si="155"/>
        <v>0</v>
      </c>
    </row>
    <row r="9909" spans="3:4" ht="15" x14ac:dyDescent="0.25">
      <c r="C9909" s="8" t="e">
        <f>VLOOKUP(A:A,'ITEM LIST'!A:C,3,0)</f>
        <v>#N/A</v>
      </c>
      <c r="D9909" s="6">
        <f t="shared" si="155"/>
        <v>0</v>
      </c>
    </row>
    <row r="9910" spans="3:4" ht="15" x14ac:dyDescent="0.25">
      <c r="C9910" s="8" t="e">
        <f>VLOOKUP(A:A,'ITEM LIST'!A:C,3,0)</f>
        <v>#N/A</v>
      </c>
      <c r="D9910" s="6">
        <f t="shared" si="155"/>
        <v>0</v>
      </c>
    </row>
    <row r="9911" spans="3:4" ht="15" x14ac:dyDescent="0.25">
      <c r="C9911" s="8" t="e">
        <f>VLOOKUP(A:A,'ITEM LIST'!A:C,3,0)</f>
        <v>#N/A</v>
      </c>
      <c r="D9911" s="6">
        <f t="shared" si="155"/>
        <v>0</v>
      </c>
    </row>
    <row r="9912" spans="3:4" ht="15" x14ac:dyDescent="0.25">
      <c r="C9912" s="8" t="e">
        <f>VLOOKUP(A:A,'ITEM LIST'!A:C,3,0)</f>
        <v>#N/A</v>
      </c>
      <c r="D9912" s="6">
        <f t="shared" si="155"/>
        <v>0</v>
      </c>
    </row>
    <row r="9913" spans="3:4" ht="15" x14ac:dyDescent="0.25">
      <c r="C9913" s="8" t="e">
        <f>VLOOKUP(A:A,'ITEM LIST'!A:C,3,0)</f>
        <v>#N/A</v>
      </c>
      <c r="D9913" s="6">
        <f t="shared" si="155"/>
        <v>0</v>
      </c>
    </row>
    <row r="9914" spans="3:4" ht="15" x14ac:dyDescent="0.25">
      <c r="C9914" s="8" t="e">
        <f>VLOOKUP(A:A,'ITEM LIST'!A:C,3,0)</f>
        <v>#N/A</v>
      </c>
      <c r="D9914" s="6">
        <f t="shared" si="155"/>
        <v>0</v>
      </c>
    </row>
    <row r="9915" spans="3:4" ht="15" x14ac:dyDescent="0.25">
      <c r="C9915" s="8" t="e">
        <f>VLOOKUP(A:A,'ITEM LIST'!A:C,3,0)</f>
        <v>#N/A</v>
      </c>
      <c r="D9915" s="6">
        <f t="shared" si="155"/>
        <v>0</v>
      </c>
    </row>
    <row r="9916" spans="3:4" ht="15" x14ac:dyDescent="0.25">
      <c r="C9916" s="8" t="e">
        <f>VLOOKUP(A:A,'ITEM LIST'!A:C,3,0)</f>
        <v>#N/A</v>
      </c>
      <c r="D9916" s="6">
        <f t="shared" si="155"/>
        <v>0</v>
      </c>
    </row>
    <row r="9917" spans="3:4" ht="15" x14ac:dyDescent="0.25">
      <c r="C9917" s="8" t="e">
        <f>VLOOKUP(A:A,'ITEM LIST'!A:C,3,0)</f>
        <v>#N/A</v>
      </c>
      <c r="D9917" s="6">
        <f t="shared" si="155"/>
        <v>0</v>
      </c>
    </row>
    <row r="9918" spans="3:4" ht="15" x14ac:dyDescent="0.25">
      <c r="C9918" s="8" t="e">
        <f>VLOOKUP(A:A,'ITEM LIST'!A:C,3,0)</f>
        <v>#N/A</v>
      </c>
      <c r="D9918" s="6">
        <f t="shared" si="155"/>
        <v>0</v>
      </c>
    </row>
    <row r="9919" spans="3:4" ht="15" x14ac:dyDescent="0.25">
      <c r="C9919" s="8" t="e">
        <f>VLOOKUP(A:A,'ITEM LIST'!A:C,3,0)</f>
        <v>#N/A</v>
      </c>
      <c r="D9919" s="6">
        <f t="shared" si="155"/>
        <v>0</v>
      </c>
    </row>
    <row r="9920" spans="3:4" ht="15" x14ac:dyDescent="0.25">
      <c r="C9920" s="8" t="e">
        <f>VLOOKUP(A:A,'ITEM LIST'!A:C,3,0)</f>
        <v>#N/A</v>
      </c>
      <c r="D9920" s="6">
        <f t="shared" si="155"/>
        <v>0</v>
      </c>
    </row>
    <row r="9921" spans="3:4" ht="15" x14ac:dyDescent="0.25">
      <c r="C9921" s="8" t="e">
        <f>VLOOKUP(A:A,'ITEM LIST'!A:C,3,0)</f>
        <v>#N/A</v>
      </c>
      <c r="D9921" s="6">
        <f t="shared" si="155"/>
        <v>0</v>
      </c>
    </row>
    <row r="9922" spans="3:4" ht="15" x14ac:dyDescent="0.25">
      <c r="C9922" s="8" t="e">
        <f>VLOOKUP(A:A,'ITEM LIST'!A:C,3,0)</f>
        <v>#N/A</v>
      </c>
      <c r="D9922" s="6">
        <f t="shared" si="155"/>
        <v>0</v>
      </c>
    </row>
    <row r="9923" spans="3:4" ht="15" x14ac:dyDescent="0.25">
      <c r="C9923" s="8" t="e">
        <f>VLOOKUP(A:A,'ITEM LIST'!A:C,3,0)</f>
        <v>#N/A</v>
      </c>
      <c r="D9923" s="6">
        <f t="shared" si="155"/>
        <v>0</v>
      </c>
    </row>
    <row r="9924" spans="3:4" ht="15" x14ac:dyDescent="0.25">
      <c r="C9924" s="8" t="e">
        <f>VLOOKUP(A:A,'ITEM LIST'!A:C,3,0)</f>
        <v>#N/A</v>
      </c>
      <c r="D9924" s="6">
        <f t="shared" si="155"/>
        <v>0</v>
      </c>
    </row>
    <row r="9925" spans="3:4" ht="15" x14ac:dyDescent="0.25">
      <c r="C9925" s="8" t="e">
        <f>VLOOKUP(A:A,'ITEM LIST'!A:C,3,0)</f>
        <v>#N/A</v>
      </c>
      <c r="D9925" s="6">
        <f t="shared" si="155"/>
        <v>0</v>
      </c>
    </row>
    <row r="9926" spans="3:4" ht="15" x14ac:dyDescent="0.25">
      <c r="C9926" s="8" t="e">
        <f>VLOOKUP(A:A,'ITEM LIST'!A:C,3,0)</f>
        <v>#N/A</v>
      </c>
      <c r="D9926" s="6">
        <f t="shared" ref="D9926:D9989" si="156">B9926</f>
        <v>0</v>
      </c>
    </row>
    <row r="9927" spans="3:4" ht="15" x14ac:dyDescent="0.25">
      <c r="C9927" s="8" t="e">
        <f>VLOOKUP(A:A,'ITEM LIST'!A:C,3,0)</f>
        <v>#N/A</v>
      </c>
      <c r="D9927" s="6">
        <f t="shared" si="156"/>
        <v>0</v>
      </c>
    </row>
    <row r="9928" spans="3:4" ht="15" x14ac:dyDescent="0.25">
      <c r="C9928" s="8" t="e">
        <f>VLOOKUP(A:A,'ITEM LIST'!A:C,3,0)</f>
        <v>#N/A</v>
      </c>
      <c r="D9928" s="6">
        <f t="shared" si="156"/>
        <v>0</v>
      </c>
    </row>
    <row r="9929" spans="3:4" ht="15" x14ac:dyDescent="0.25">
      <c r="C9929" s="8" t="e">
        <f>VLOOKUP(A:A,'ITEM LIST'!A:C,3,0)</f>
        <v>#N/A</v>
      </c>
      <c r="D9929" s="6">
        <f t="shared" si="156"/>
        <v>0</v>
      </c>
    </row>
    <row r="9930" spans="3:4" ht="15" x14ac:dyDescent="0.25">
      <c r="C9930" s="8" t="e">
        <f>VLOOKUP(A:A,'ITEM LIST'!A:C,3,0)</f>
        <v>#N/A</v>
      </c>
      <c r="D9930" s="6">
        <f t="shared" si="156"/>
        <v>0</v>
      </c>
    </row>
    <row r="9931" spans="3:4" ht="15" x14ac:dyDescent="0.25">
      <c r="C9931" s="8" t="e">
        <f>VLOOKUP(A:A,'ITEM LIST'!A:C,3,0)</f>
        <v>#N/A</v>
      </c>
      <c r="D9931" s="6">
        <f t="shared" si="156"/>
        <v>0</v>
      </c>
    </row>
    <row r="9932" spans="3:4" ht="15" x14ac:dyDescent="0.25">
      <c r="C9932" s="8" t="e">
        <f>VLOOKUP(A:A,'ITEM LIST'!A:C,3,0)</f>
        <v>#N/A</v>
      </c>
      <c r="D9932" s="6">
        <f t="shared" si="156"/>
        <v>0</v>
      </c>
    </row>
    <row r="9933" spans="3:4" ht="15" x14ac:dyDescent="0.25">
      <c r="C9933" s="8" t="e">
        <f>VLOOKUP(A:A,'ITEM LIST'!A:C,3,0)</f>
        <v>#N/A</v>
      </c>
      <c r="D9933" s="6">
        <f t="shared" si="156"/>
        <v>0</v>
      </c>
    </row>
    <row r="9934" spans="3:4" ht="15" x14ac:dyDescent="0.25">
      <c r="C9934" s="8" t="e">
        <f>VLOOKUP(A:A,'ITEM LIST'!A:C,3,0)</f>
        <v>#N/A</v>
      </c>
      <c r="D9934" s="6">
        <f t="shared" si="156"/>
        <v>0</v>
      </c>
    </row>
    <row r="9935" spans="3:4" ht="15" x14ac:dyDescent="0.25">
      <c r="C9935" s="8" t="e">
        <f>VLOOKUP(A:A,'ITEM LIST'!A:C,3,0)</f>
        <v>#N/A</v>
      </c>
      <c r="D9935" s="6">
        <f t="shared" si="156"/>
        <v>0</v>
      </c>
    </row>
    <row r="9936" spans="3:4" ht="15" x14ac:dyDescent="0.25">
      <c r="C9936" s="8" t="e">
        <f>VLOOKUP(A:A,'ITEM LIST'!A:C,3,0)</f>
        <v>#N/A</v>
      </c>
      <c r="D9936" s="6">
        <f t="shared" si="156"/>
        <v>0</v>
      </c>
    </row>
    <row r="9937" spans="3:4" ht="15" x14ac:dyDescent="0.25">
      <c r="C9937" s="8" t="e">
        <f>VLOOKUP(A:A,'ITEM LIST'!A:C,3,0)</f>
        <v>#N/A</v>
      </c>
      <c r="D9937" s="6">
        <f t="shared" si="156"/>
        <v>0</v>
      </c>
    </row>
    <row r="9938" spans="3:4" ht="15" x14ac:dyDescent="0.25">
      <c r="C9938" s="8" t="e">
        <f>VLOOKUP(A:A,'ITEM LIST'!A:C,3,0)</f>
        <v>#N/A</v>
      </c>
      <c r="D9938" s="6">
        <f t="shared" si="156"/>
        <v>0</v>
      </c>
    </row>
    <row r="9939" spans="3:4" ht="15" x14ac:dyDescent="0.25">
      <c r="C9939" s="8" t="e">
        <f>VLOOKUP(A:A,'ITEM LIST'!A:C,3,0)</f>
        <v>#N/A</v>
      </c>
      <c r="D9939" s="6">
        <f t="shared" si="156"/>
        <v>0</v>
      </c>
    </row>
    <row r="9940" spans="3:4" ht="15" x14ac:dyDescent="0.25">
      <c r="C9940" s="8" t="e">
        <f>VLOOKUP(A:A,'ITEM LIST'!A:C,3,0)</f>
        <v>#N/A</v>
      </c>
      <c r="D9940" s="6">
        <f t="shared" si="156"/>
        <v>0</v>
      </c>
    </row>
    <row r="9941" spans="3:4" ht="15" x14ac:dyDescent="0.25">
      <c r="C9941" s="8" t="e">
        <f>VLOOKUP(A:A,'ITEM LIST'!A:C,3,0)</f>
        <v>#N/A</v>
      </c>
      <c r="D9941" s="6">
        <f t="shared" si="156"/>
        <v>0</v>
      </c>
    </row>
    <row r="9942" spans="3:4" ht="15" x14ac:dyDescent="0.25">
      <c r="C9942" s="8" t="e">
        <f>VLOOKUP(A:A,'ITEM LIST'!A:C,3,0)</f>
        <v>#N/A</v>
      </c>
      <c r="D9942" s="6">
        <f t="shared" si="156"/>
        <v>0</v>
      </c>
    </row>
    <row r="9943" spans="3:4" ht="15" x14ac:dyDescent="0.25">
      <c r="C9943" s="8" t="e">
        <f>VLOOKUP(A:A,'ITEM LIST'!A:C,3,0)</f>
        <v>#N/A</v>
      </c>
      <c r="D9943" s="6">
        <f t="shared" si="156"/>
        <v>0</v>
      </c>
    </row>
    <row r="9944" spans="3:4" ht="15" x14ac:dyDescent="0.25">
      <c r="C9944" s="8" t="e">
        <f>VLOOKUP(A:A,'ITEM LIST'!A:C,3,0)</f>
        <v>#N/A</v>
      </c>
      <c r="D9944" s="6">
        <f t="shared" si="156"/>
        <v>0</v>
      </c>
    </row>
    <row r="9945" spans="3:4" ht="15" x14ac:dyDescent="0.25">
      <c r="C9945" s="8" t="e">
        <f>VLOOKUP(A:A,'ITEM LIST'!A:C,3,0)</f>
        <v>#N/A</v>
      </c>
      <c r="D9945" s="6">
        <f t="shared" si="156"/>
        <v>0</v>
      </c>
    </row>
    <row r="9946" spans="3:4" ht="15" x14ac:dyDescent="0.25">
      <c r="C9946" s="8" t="e">
        <f>VLOOKUP(A:A,'ITEM LIST'!A:C,3,0)</f>
        <v>#N/A</v>
      </c>
      <c r="D9946" s="6">
        <f t="shared" si="156"/>
        <v>0</v>
      </c>
    </row>
    <row r="9947" spans="3:4" ht="15" x14ac:dyDescent="0.25">
      <c r="C9947" s="8" t="e">
        <f>VLOOKUP(A:A,'ITEM LIST'!A:C,3,0)</f>
        <v>#N/A</v>
      </c>
      <c r="D9947" s="6">
        <f t="shared" si="156"/>
        <v>0</v>
      </c>
    </row>
    <row r="9948" spans="3:4" ht="15" x14ac:dyDescent="0.25">
      <c r="C9948" s="8" t="e">
        <f>VLOOKUP(A:A,'ITEM LIST'!A:C,3,0)</f>
        <v>#N/A</v>
      </c>
      <c r="D9948" s="6">
        <f t="shared" si="156"/>
        <v>0</v>
      </c>
    </row>
    <row r="9949" spans="3:4" ht="15" x14ac:dyDescent="0.25">
      <c r="C9949" s="8" t="e">
        <f>VLOOKUP(A:A,'ITEM LIST'!A:C,3,0)</f>
        <v>#N/A</v>
      </c>
      <c r="D9949" s="6">
        <f t="shared" si="156"/>
        <v>0</v>
      </c>
    </row>
    <row r="9950" spans="3:4" ht="15" x14ac:dyDescent="0.25">
      <c r="C9950" s="8" t="e">
        <f>VLOOKUP(A:A,'ITEM LIST'!A:C,3,0)</f>
        <v>#N/A</v>
      </c>
      <c r="D9950" s="6">
        <f t="shared" si="156"/>
        <v>0</v>
      </c>
    </row>
    <row r="9951" spans="3:4" ht="15" x14ac:dyDescent="0.25">
      <c r="C9951" s="8" t="e">
        <f>VLOOKUP(A:A,'ITEM LIST'!A:C,3,0)</f>
        <v>#N/A</v>
      </c>
      <c r="D9951" s="6">
        <f t="shared" si="156"/>
        <v>0</v>
      </c>
    </row>
    <row r="9952" spans="3:4" ht="15" x14ac:dyDescent="0.25">
      <c r="C9952" s="8" t="e">
        <f>VLOOKUP(A:A,'ITEM LIST'!A:C,3,0)</f>
        <v>#N/A</v>
      </c>
      <c r="D9952" s="6">
        <f t="shared" si="156"/>
        <v>0</v>
      </c>
    </row>
    <row r="9953" spans="3:4" ht="15" x14ac:dyDescent="0.25">
      <c r="C9953" s="8" t="e">
        <f>VLOOKUP(A:A,'ITEM LIST'!A:C,3,0)</f>
        <v>#N/A</v>
      </c>
      <c r="D9953" s="6">
        <f t="shared" si="156"/>
        <v>0</v>
      </c>
    </row>
    <row r="9954" spans="3:4" ht="15" x14ac:dyDescent="0.25">
      <c r="C9954" s="8" t="e">
        <f>VLOOKUP(A:A,'ITEM LIST'!A:C,3,0)</f>
        <v>#N/A</v>
      </c>
      <c r="D9954" s="6">
        <f t="shared" si="156"/>
        <v>0</v>
      </c>
    </row>
    <row r="9955" spans="3:4" ht="15" x14ac:dyDescent="0.25">
      <c r="C9955" s="8" t="e">
        <f>VLOOKUP(A:A,'ITEM LIST'!A:C,3,0)</f>
        <v>#N/A</v>
      </c>
      <c r="D9955" s="6">
        <f t="shared" si="156"/>
        <v>0</v>
      </c>
    </row>
    <row r="9956" spans="3:4" ht="15" x14ac:dyDescent="0.25">
      <c r="C9956" s="8" t="e">
        <f>VLOOKUP(A:A,'ITEM LIST'!A:C,3,0)</f>
        <v>#N/A</v>
      </c>
      <c r="D9956" s="6">
        <f t="shared" si="156"/>
        <v>0</v>
      </c>
    </row>
    <row r="9957" spans="3:4" ht="15" x14ac:dyDescent="0.25">
      <c r="C9957" s="8" t="e">
        <f>VLOOKUP(A:A,'ITEM LIST'!A:C,3,0)</f>
        <v>#N/A</v>
      </c>
      <c r="D9957" s="6">
        <f t="shared" si="156"/>
        <v>0</v>
      </c>
    </row>
    <row r="9958" spans="3:4" ht="15" x14ac:dyDescent="0.25">
      <c r="C9958" s="8" t="e">
        <f>VLOOKUP(A:A,'ITEM LIST'!A:C,3,0)</f>
        <v>#N/A</v>
      </c>
      <c r="D9958" s="6">
        <f t="shared" si="156"/>
        <v>0</v>
      </c>
    </row>
    <row r="9959" spans="3:4" ht="15" x14ac:dyDescent="0.25">
      <c r="C9959" s="8" t="e">
        <f>VLOOKUP(A:A,'ITEM LIST'!A:C,3,0)</f>
        <v>#N/A</v>
      </c>
      <c r="D9959" s="6">
        <f t="shared" si="156"/>
        <v>0</v>
      </c>
    </row>
    <row r="9960" spans="3:4" ht="15" x14ac:dyDescent="0.25">
      <c r="C9960" s="8" t="e">
        <f>VLOOKUP(A:A,'ITEM LIST'!A:C,3,0)</f>
        <v>#N/A</v>
      </c>
      <c r="D9960" s="6">
        <f t="shared" si="156"/>
        <v>0</v>
      </c>
    </row>
    <row r="9961" spans="3:4" ht="15" x14ac:dyDescent="0.25">
      <c r="C9961" s="8" t="e">
        <f>VLOOKUP(A:A,'ITEM LIST'!A:C,3,0)</f>
        <v>#N/A</v>
      </c>
      <c r="D9961" s="6">
        <f t="shared" si="156"/>
        <v>0</v>
      </c>
    </row>
    <row r="9962" spans="3:4" ht="15" x14ac:dyDescent="0.25">
      <c r="C9962" s="8" t="e">
        <f>VLOOKUP(A:A,'ITEM LIST'!A:C,3,0)</f>
        <v>#N/A</v>
      </c>
      <c r="D9962" s="6">
        <f t="shared" si="156"/>
        <v>0</v>
      </c>
    </row>
    <row r="9963" spans="3:4" ht="15" x14ac:dyDescent="0.25">
      <c r="C9963" s="8" t="e">
        <f>VLOOKUP(A:A,'ITEM LIST'!A:C,3,0)</f>
        <v>#N/A</v>
      </c>
      <c r="D9963" s="6">
        <f t="shared" si="156"/>
        <v>0</v>
      </c>
    </row>
    <row r="9964" spans="3:4" ht="15" x14ac:dyDescent="0.25">
      <c r="C9964" s="8" t="e">
        <f>VLOOKUP(A:A,'ITEM LIST'!A:C,3,0)</f>
        <v>#N/A</v>
      </c>
      <c r="D9964" s="6">
        <f t="shared" si="156"/>
        <v>0</v>
      </c>
    </row>
    <row r="9965" spans="3:4" ht="15" x14ac:dyDescent="0.25">
      <c r="C9965" s="8" t="e">
        <f>VLOOKUP(A:A,'ITEM LIST'!A:C,3,0)</f>
        <v>#N/A</v>
      </c>
      <c r="D9965" s="6">
        <f t="shared" si="156"/>
        <v>0</v>
      </c>
    </row>
    <row r="9966" spans="3:4" ht="15" x14ac:dyDescent="0.25">
      <c r="C9966" s="8" t="e">
        <f>VLOOKUP(A:A,'ITEM LIST'!A:C,3,0)</f>
        <v>#N/A</v>
      </c>
      <c r="D9966" s="6">
        <f t="shared" si="156"/>
        <v>0</v>
      </c>
    </row>
    <row r="9967" spans="3:4" ht="15" x14ac:dyDescent="0.25">
      <c r="C9967" s="8" t="e">
        <f>VLOOKUP(A:A,'ITEM LIST'!A:C,3,0)</f>
        <v>#N/A</v>
      </c>
      <c r="D9967" s="6">
        <f t="shared" si="156"/>
        <v>0</v>
      </c>
    </row>
    <row r="9968" spans="3:4" ht="15" x14ac:dyDescent="0.25">
      <c r="C9968" s="8" t="e">
        <f>VLOOKUP(A:A,'ITEM LIST'!A:C,3,0)</f>
        <v>#N/A</v>
      </c>
      <c r="D9968" s="6">
        <f t="shared" si="156"/>
        <v>0</v>
      </c>
    </row>
    <row r="9969" spans="3:4" ht="15" x14ac:dyDescent="0.25">
      <c r="C9969" s="8" t="e">
        <f>VLOOKUP(A:A,'ITEM LIST'!A:C,3,0)</f>
        <v>#N/A</v>
      </c>
      <c r="D9969" s="6">
        <f t="shared" si="156"/>
        <v>0</v>
      </c>
    </row>
    <row r="9970" spans="3:4" ht="15" x14ac:dyDescent="0.25">
      <c r="C9970" s="8" t="e">
        <f>VLOOKUP(A:A,'ITEM LIST'!A:C,3,0)</f>
        <v>#N/A</v>
      </c>
      <c r="D9970" s="6">
        <f t="shared" si="156"/>
        <v>0</v>
      </c>
    </row>
    <row r="9971" spans="3:4" ht="15" x14ac:dyDescent="0.25">
      <c r="C9971" s="8" t="e">
        <f>VLOOKUP(A:A,'ITEM LIST'!A:C,3,0)</f>
        <v>#N/A</v>
      </c>
      <c r="D9971" s="6">
        <f t="shared" si="156"/>
        <v>0</v>
      </c>
    </row>
    <row r="9972" spans="3:4" ht="15" x14ac:dyDescent="0.25">
      <c r="C9972" s="8" t="e">
        <f>VLOOKUP(A:A,'ITEM LIST'!A:C,3,0)</f>
        <v>#N/A</v>
      </c>
      <c r="D9972" s="6">
        <f t="shared" si="156"/>
        <v>0</v>
      </c>
    </row>
    <row r="9973" spans="3:4" ht="15" x14ac:dyDescent="0.25">
      <c r="C9973" s="8" t="e">
        <f>VLOOKUP(A:A,'ITEM LIST'!A:C,3,0)</f>
        <v>#N/A</v>
      </c>
      <c r="D9973" s="6">
        <f t="shared" si="156"/>
        <v>0</v>
      </c>
    </row>
    <row r="9974" spans="3:4" ht="15" x14ac:dyDescent="0.25">
      <c r="C9974" s="8" t="e">
        <f>VLOOKUP(A:A,'ITEM LIST'!A:C,3,0)</f>
        <v>#N/A</v>
      </c>
      <c r="D9974" s="6">
        <f t="shared" si="156"/>
        <v>0</v>
      </c>
    </row>
    <row r="9975" spans="3:4" ht="15" x14ac:dyDescent="0.25">
      <c r="C9975" s="8" t="e">
        <f>VLOOKUP(A:A,'ITEM LIST'!A:C,3,0)</f>
        <v>#N/A</v>
      </c>
      <c r="D9975" s="6">
        <f t="shared" si="156"/>
        <v>0</v>
      </c>
    </row>
    <row r="9976" spans="3:4" ht="15" x14ac:dyDescent="0.25">
      <c r="C9976" s="8" t="e">
        <f>VLOOKUP(A:A,'ITEM LIST'!A:C,3,0)</f>
        <v>#N/A</v>
      </c>
      <c r="D9976" s="6">
        <f t="shared" si="156"/>
        <v>0</v>
      </c>
    </row>
    <row r="9977" spans="3:4" ht="15" x14ac:dyDescent="0.25">
      <c r="C9977" s="8" t="e">
        <f>VLOOKUP(A:A,'ITEM LIST'!A:C,3,0)</f>
        <v>#N/A</v>
      </c>
      <c r="D9977" s="6">
        <f t="shared" si="156"/>
        <v>0</v>
      </c>
    </row>
    <row r="9978" spans="3:4" ht="15" x14ac:dyDescent="0.25">
      <c r="C9978" s="8" t="e">
        <f>VLOOKUP(A:A,'ITEM LIST'!A:C,3,0)</f>
        <v>#N/A</v>
      </c>
      <c r="D9978" s="6">
        <f t="shared" si="156"/>
        <v>0</v>
      </c>
    </row>
    <row r="9979" spans="3:4" ht="15" x14ac:dyDescent="0.25">
      <c r="C9979" s="8" t="e">
        <f>VLOOKUP(A:A,'ITEM LIST'!A:C,3,0)</f>
        <v>#N/A</v>
      </c>
      <c r="D9979" s="6">
        <f t="shared" si="156"/>
        <v>0</v>
      </c>
    </row>
    <row r="9980" spans="3:4" ht="15" x14ac:dyDescent="0.25">
      <c r="C9980" s="8" t="e">
        <f>VLOOKUP(A:A,'ITEM LIST'!A:C,3,0)</f>
        <v>#N/A</v>
      </c>
      <c r="D9980" s="6">
        <f t="shared" si="156"/>
        <v>0</v>
      </c>
    </row>
    <row r="9981" spans="3:4" ht="15" x14ac:dyDescent="0.25">
      <c r="C9981" s="8" t="e">
        <f>VLOOKUP(A:A,'ITEM LIST'!A:C,3,0)</f>
        <v>#N/A</v>
      </c>
      <c r="D9981" s="6">
        <f t="shared" si="156"/>
        <v>0</v>
      </c>
    </row>
    <row r="9982" spans="3:4" ht="15" x14ac:dyDescent="0.25">
      <c r="C9982" s="8" t="e">
        <f>VLOOKUP(A:A,'ITEM LIST'!A:C,3,0)</f>
        <v>#N/A</v>
      </c>
      <c r="D9982" s="6">
        <f t="shared" si="156"/>
        <v>0</v>
      </c>
    </row>
    <row r="9983" spans="3:4" ht="15" x14ac:dyDescent="0.25">
      <c r="C9983" s="8" t="e">
        <f>VLOOKUP(A:A,'ITEM LIST'!A:C,3,0)</f>
        <v>#N/A</v>
      </c>
      <c r="D9983" s="6">
        <f t="shared" si="156"/>
        <v>0</v>
      </c>
    </row>
    <row r="9984" spans="3:4" ht="15" x14ac:dyDescent="0.25">
      <c r="C9984" s="8" t="e">
        <f>VLOOKUP(A:A,'ITEM LIST'!A:C,3,0)</f>
        <v>#N/A</v>
      </c>
      <c r="D9984" s="6">
        <f t="shared" si="156"/>
        <v>0</v>
      </c>
    </row>
    <row r="9985" spans="3:4" ht="15" x14ac:dyDescent="0.25">
      <c r="C9985" s="8" t="e">
        <f>VLOOKUP(A:A,'ITEM LIST'!A:C,3,0)</f>
        <v>#N/A</v>
      </c>
      <c r="D9985" s="6">
        <f t="shared" si="156"/>
        <v>0</v>
      </c>
    </row>
    <row r="9986" spans="3:4" ht="15" x14ac:dyDescent="0.25">
      <c r="C9986" s="8" t="e">
        <f>VLOOKUP(A:A,'ITEM LIST'!A:C,3,0)</f>
        <v>#N/A</v>
      </c>
      <c r="D9986" s="6">
        <f t="shared" si="156"/>
        <v>0</v>
      </c>
    </row>
    <row r="9987" spans="3:4" ht="15" x14ac:dyDescent="0.25">
      <c r="C9987" s="8" t="e">
        <f>VLOOKUP(A:A,'ITEM LIST'!A:C,3,0)</f>
        <v>#N/A</v>
      </c>
      <c r="D9987" s="6">
        <f t="shared" si="156"/>
        <v>0</v>
      </c>
    </row>
    <row r="9988" spans="3:4" ht="15" x14ac:dyDescent="0.25">
      <c r="C9988" s="8" t="e">
        <f>VLOOKUP(A:A,'ITEM LIST'!A:C,3,0)</f>
        <v>#N/A</v>
      </c>
      <c r="D9988" s="6">
        <f t="shared" si="156"/>
        <v>0</v>
      </c>
    </row>
    <row r="9989" spans="3:4" ht="15" x14ac:dyDescent="0.25">
      <c r="C9989" s="8" t="e">
        <f>VLOOKUP(A:A,'ITEM LIST'!A:C,3,0)</f>
        <v>#N/A</v>
      </c>
      <c r="D9989" s="6">
        <f t="shared" si="156"/>
        <v>0</v>
      </c>
    </row>
    <row r="9990" spans="3:4" ht="15" x14ac:dyDescent="0.25">
      <c r="C9990" s="8" t="e">
        <f>VLOOKUP(A:A,'ITEM LIST'!A:C,3,0)</f>
        <v>#N/A</v>
      </c>
      <c r="D9990" s="6">
        <f t="shared" ref="D9990:D10053" si="157">B9990</f>
        <v>0</v>
      </c>
    </row>
    <row r="9991" spans="3:4" ht="15" x14ac:dyDescent="0.25">
      <c r="C9991" s="8" t="e">
        <f>VLOOKUP(A:A,'ITEM LIST'!A:C,3,0)</f>
        <v>#N/A</v>
      </c>
      <c r="D9991" s="6">
        <f t="shared" si="157"/>
        <v>0</v>
      </c>
    </row>
    <row r="9992" spans="3:4" ht="15" x14ac:dyDescent="0.25">
      <c r="C9992" s="8" t="e">
        <f>VLOOKUP(A:A,'ITEM LIST'!A:C,3,0)</f>
        <v>#N/A</v>
      </c>
      <c r="D9992" s="6">
        <f t="shared" si="157"/>
        <v>0</v>
      </c>
    </row>
    <row r="9993" spans="3:4" ht="15" x14ac:dyDescent="0.25">
      <c r="C9993" s="8" t="e">
        <f>VLOOKUP(A:A,'ITEM LIST'!A:C,3,0)</f>
        <v>#N/A</v>
      </c>
      <c r="D9993" s="6">
        <f t="shared" si="157"/>
        <v>0</v>
      </c>
    </row>
    <row r="9994" spans="3:4" ht="15" x14ac:dyDescent="0.25">
      <c r="C9994" s="8" t="e">
        <f>VLOOKUP(A:A,'ITEM LIST'!A:C,3,0)</f>
        <v>#N/A</v>
      </c>
      <c r="D9994" s="6">
        <f t="shared" si="157"/>
        <v>0</v>
      </c>
    </row>
    <row r="9995" spans="3:4" ht="15" x14ac:dyDescent="0.25">
      <c r="C9995" s="8" t="e">
        <f>VLOOKUP(A:A,'ITEM LIST'!A:C,3,0)</f>
        <v>#N/A</v>
      </c>
      <c r="D9995" s="6">
        <f t="shared" si="157"/>
        <v>0</v>
      </c>
    </row>
    <row r="9996" spans="3:4" ht="15" x14ac:dyDescent="0.25">
      <c r="C9996" s="8" t="e">
        <f>VLOOKUP(A:A,'ITEM LIST'!A:C,3,0)</f>
        <v>#N/A</v>
      </c>
      <c r="D9996" s="6">
        <f t="shared" si="157"/>
        <v>0</v>
      </c>
    </row>
    <row r="9997" spans="3:4" ht="15" x14ac:dyDescent="0.25">
      <c r="C9997" s="8" t="e">
        <f>VLOOKUP(A:A,'ITEM LIST'!A:C,3,0)</f>
        <v>#N/A</v>
      </c>
      <c r="D9997" s="6">
        <f t="shared" si="157"/>
        <v>0</v>
      </c>
    </row>
    <row r="9998" spans="3:4" ht="15" x14ac:dyDescent="0.25">
      <c r="C9998" s="8" t="e">
        <f>VLOOKUP(A:A,'ITEM LIST'!A:C,3,0)</f>
        <v>#N/A</v>
      </c>
      <c r="D9998" s="6">
        <f t="shared" si="157"/>
        <v>0</v>
      </c>
    </row>
    <row r="9999" spans="3:4" ht="15" x14ac:dyDescent="0.25">
      <c r="C9999" s="8" t="e">
        <f>VLOOKUP(A:A,'ITEM LIST'!A:C,3,0)</f>
        <v>#N/A</v>
      </c>
      <c r="D9999" s="6">
        <f t="shared" si="157"/>
        <v>0</v>
      </c>
    </row>
    <row r="10000" spans="3:4" ht="15" x14ac:dyDescent="0.25">
      <c r="C10000" s="8" t="e">
        <f>VLOOKUP(A:A,'ITEM LIST'!A:C,3,0)</f>
        <v>#N/A</v>
      </c>
      <c r="D10000" s="6">
        <f t="shared" si="157"/>
        <v>0</v>
      </c>
    </row>
    <row r="10001" spans="3:4" ht="15" x14ac:dyDescent="0.25">
      <c r="C10001" s="8" t="e">
        <f>VLOOKUP(A:A,'ITEM LIST'!A:C,3,0)</f>
        <v>#N/A</v>
      </c>
      <c r="D10001" s="6">
        <f t="shared" si="157"/>
        <v>0</v>
      </c>
    </row>
    <row r="10002" spans="3:4" ht="15" x14ac:dyDescent="0.25">
      <c r="C10002" s="8" t="e">
        <f>VLOOKUP(A:A,'ITEM LIST'!A:C,3,0)</f>
        <v>#N/A</v>
      </c>
      <c r="D10002" s="6">
        <f t="shared" si="157"/>
        <v>0</v>
      </c>
    </row>
    <row r="10003" spans="3:4" ht="15" x14ac:dyDescent="0.25">
      <c r="C10003" s="8" t="e">
        <f>VLOOKUP(A:A,'ITEM LIST'!A:C,3,0)</f>
        <v>#N/A</v>
      </c>
      <c r="D10003" s="6">
        <f t="shared" si="157"/>
        <v>0</v>
      </c>
    </row>
    <row r="10004" spans="3:4" ht="15" x14ac:dyDescent="0.25">
      <c r="C10004" s="8" t="e">
        <f>VLOOKUP(A:A,'ITEM LIST'!A:C,3,0)</f>
        <v>#N/A</v>
      </c>
      <c r="D10004" s="6">
        <f t="shared" si="157"/>
        <v>0</v>
      </c>
    </row>
    <row r="10005" spans="3:4" ht="15" x14ac:dyDescent="0.25">
      <c r="C10005" s="8" t="e">
        <f>VLOOKUP(A:A,'ITEM LIST'!A:C,3,0)</f>
        <v>#N/A</v>
      </c>
      <c r="D10005" s="6">
        <f t="shared" si="157"/>
        <v>0</v>
      </c>
    </row>
    <row r="10006" spans="3:4" ht="15" x14ac:dyDescent="0.25">
      <c r="C10006" s="8" t="e">
        <f>VLOOKUP(A:A,'ITEM LIST'!A:C,3,0)</f>
        <v>#N/A</v>
      </c>
      <c r="D10006" s="6">
        <f t="shared" si="157"/>
        <v>0</v>
      </c>
    </row>
    <row r="10007" spans="3:4" ht="15" x14ac:dyDescent="0.25">
      <c r="C10007" s="8" t="e">
        <f>VLOOKUP(A:A,'ITEM LIST'!A:C,3,0)</f>
        <v>#N/A</v>
      </c>
      <c r="D10007" s="6">
        <f t="shared" si="157"/>
        <v>0</v>
      </c>
    </row>
    <row r="10008" spans="3:4" ht="15" x14ac:dyDescent="0.25">
      <c r="C10008" s="8" t="e">
        <f>VLOOKUP(A:A,'ITEM LIST'!A:C,3,0)</f>
        <v>#N/A</v>
      </c>
      <c r="D10008" s="6">
        <f t="shared" si="157"/>
        <v>0</v>
      </c>
    </row>
    <row r="10009" spans="3:4" ht="15" x14ac:dyDescent="0.25">
      <c r="C10009" s="8" t="e">
        <f>VLOOKUP(A:A,'ITEM LIST'!A:C,3,0)</f>
        <v>#N/A</v>
      </c>
      <c r="D10009" s="6">
        <f t="shared" si="157"/>
        <v>0</v>
      </c>
    </row>
    <row r="10010" spans="3:4" ht="15" x14ac:dyDescent="0.25">
      <c r="C10010" s="8" t="e">
        <f>VLOOKUP(A:A,'ITEM LIST'!A:C,3,0)</f>
        <v>#N/A</v>
      </c>
      <c r="D10010" s="6">
        <f t="shared" si="157"/>
        <v>0</v>
      </c>
    </row>
    <row r="10011" spans="3:4" ht="15" x14ac:dyDescent="0.25">
      <c r="C10011" s="8" t="e">
        <f>VLOOKUP(A:A,'ITEM LIST'!A:C,3,0)</f>
        <v>#N/A</v>
      </c>
      <c r="D10011" s="6">
        <f t="shared" si="157"/>
        <v>0</v>
      </c>
    </row>
    <row r="10012" spans="3:4" ht="15" x14ac:dyDescent="0.25">
      <c r="C10012" s="8" t="e">
        <f>VLOOKUP(A:A,'ITEM LIST'!A:C,3,0)</f>
        <v>#N/A</v>
      </c>
      <c r="D10012" s="6">
        <f t="shared" si="157"/>
        <v>0</v>
      </c>
    </row>
    <row r="10013" spans="3:4" ht="15" x14ac:dyDescent="0.25">
      <c r="C10013" s="8" t="e">
        <f>VLOOKUP(A:A,'ITEM LIST'!A:C,3,0)</f>
        <v>#N/A</v>
      </c>
      <c r="D10013" s="6">
        <f t="shared" si="157"/>
        <v>0</v>
      </c>
    </row>
    <row r="10014" spans="3:4" ht="15" x14ac:dyDescent="0.25">
      <c r="C10014" s="8" t="e">
        <f>VLOOKUP(A:A,'ITEM LIST'!A:C,3,0)</f>
        <v>#N/A</v>
      </c>
      <c r="D10014" s="6">
        <f t="shared" si="157"/>
        <v>0</v>
      </c>
    </row>
    <row r="10015" spans="3:4" ht="15" x14ac:dyDescent="0.25">
      <c r="C10015" s="8" t="e">
        <f>VLOOKUP(A:A,'ITEM LIST'!A:C,3,0)</f>
        <v>#N/A</v>
      </c>
      <c r="D10015" s="6">
        <f t="shared" si="157"/>
        <v>0</v>
      </c>
    </row>
    <row r="10016" spans="3:4" ht="15" x14ac:dyDescent="0.25">
      <c r="C10016" s="8" t="e">
        <f>VLOOKUP(A:A,'ITEM LIST'!A:C,3,0)</f>
        <v>#N/A</v>
      </c>
      <c r="D10016" s="6">
        <f t="shared" si="157"/>
        <v>0</v>
      </c>
    </row>
    <row r="10017" spans="3:4" ht="15" x14ac:dyDescent="0.25">
      <c r="C10017" s="8" t="e">
        <f>VLOOKUP(A:A,'ITEM LIST'!A:C,3,0)</f>
        <v>#N/A</v>
      </c>
      <c r="D10017" s="6">
        <f t="shared" si="157"/>
        <v>0</v>
      </c>
    </row>
    <row r="10018" spans="3:4" ht="15" x14ac:dyDescent="0.25">
      <c r="C10018" s="8" t="e">
        <f>VLOOKUP(A:A,'ITEM LIST'!A:C,3,0)</f>
        <v>#N/A</v>
      </c>
      <c r="D10018" s="6">
        <f t="shared" si="157"/>
        <v>0</v>
      </c>
    </row>
    <row r="10019" spans="3:4" ht="15" x14ac:dyDescent="0.25">
      <c r="C10019" s="8" t="e">
        <f>VLOOKUP(A:A,'ITEM LIST'!A:C,3,0)</f>
        <v>#N/A</v>
      </c>
      <c r="D10019" s="6">
        <f t="shared" si="157"/>
        <v>0</v>
      </c>
    </row>
    <row r="10020" spans="3:4" ht="15" x14ac:dyDescent="0.25">
      <c r="C10020" s="8" t="e">
        <f>VLOOKUP(A:A,'ITEM LIST'!A:C,3,0)</f>
        <v>#N/A</v>
      </c>
      <c r="D10020" s="6">
        <f t="shared" si="157"/>
        <v>0</v>
      </c>
    </row>
    <row r="10021" spans="3:4" ht="15" x14ac:dyDescent="0.25">
      <c r="C10021" s="8" t="e">
        <f>VLOOKUP(A:A,'ITEM LIST'!A:C,3,0)</f>
        <v>#N/A</v>
      </c>
      <c r="D10021" s="6">
        <f t="shared" si="157"/>
        <v>0</v>
      </c>
    </row>
    <row r="10022" spans="3:4" ht="15" x14ac:dyDescent="0.25">
      <c r="C10022" s="8" t="e">
        <f>VLOOKUP(A:A,'ITEM LIST'!A:C,3,0)</f>
        <v>#N/A</v>
      </c>
      <c r="D10022" s="6">
        <f t="shared" si="157"/>
        <v>0</v>
      </c>
    </row>
    <row r="10023" spans="3:4" ht="15" x14ac:dyDescent="0.25">
      <c r="C10023" s="8" t="e">
        <f>VLOOKUP(A:A,'ITEM LIST'!A:C,3,0)</f>
        <v>#N/A</v>
      </c>
      <c r="D10023" s="6">
        <f t="shared" si="157"/>
        <v>0</v>
      </c>
    </row>
    <row r="10024" spans="3:4" ht="15" x14ac:dyDescent="0.25">
      <c r="C10024" s="8" t="e">
        <f>VLOOKUP(A:A,'ITEM LIST'!A:C,3,0)</f>
        <v>#N/A</v>
      </c>
      <c r="D10024" s="6">
        <f t="shared" si="157"/>
        <v>0</v>
      </c>
    </row>
    <row r="10025" spans="3:4" ht="15" x14ac:dyDescent="0.25">
      <c r="C10025" s="8" t="e">
        <f>VLOOKUP(A:A,'ITEM LIST'!A:C,3,0)</f>
        <v>#N/A</v>
      </c>
      <c r="D10025" s="6">
        <f t="shared" si="157"/>
        <v>0</v>
      </c>
    </row>
    <row r="10026" spans="3:4" ht="15" x14ac:dyDescent="0.25">
      <c r="C10026" s="8" t="e">
        <f>VLOOKUP(A:A,'ITEM LIST'!A:C,3,0)</f>
        <v>#N/A</v>
      </c>
      <c r="D10026" s="6">
        <f t="shared" si="157"/>
        <v>0</v>
      </c>
    </row>
    <row r="10027" spans="3:4" ht="15" x14ac:dyDescent="0.25">
      <c r="C10027" s="8" t="e">
        <f>VLOOKUP(A:A,'ITEM LIST'!A:C,3,0)</f>
        <v>#N/A</v>
      </c>
      <c r="D10027" s="6">
        <f t="shared" si="157"/>
        <v>0</v>
      </c>
    </row>
    <row r="10028" spans="3:4" ht="15" x14ac:dyDescent="0.25">
      <c r="C10028" s="8" t="e">
        <f>VLOOKUP(A:A,'ITEM LIST'!A:C,3,0)</f>
        <v>#N/A</v>
      </c>
      <c r="D10028" s="6">
        <f t="shared" si="157"/>
        <v>0</v>
      </c>
    </row>
    <row r="10029" spans="3:4" ht="15" x14ac:dyDescent="0.25">
      <c r="C10029" s="8" t="e">
        <f>VLOOKUP(A:A,'ITEM LIST'!A:C,3,0)</f>
        <v>#N/A</v>
      </c>
      <c r="D10029" s="6">
        <f t="shared" si="157"/>
        <v>0</v>
      </c>
    </row>
    <row r="10030" spans="3:4" ht="15" x14ac:dyDescent="0.25">
      <c r="C10030" s="8" t="e">
        <f>VLOOKUP(A:A,'ITEM LIST'!A:C,3,0)</f>
        <v>#N/A</v>
      </c>
      <c r="D10030" s="6">
        <f t="shared" si="157"/>
        <v>0</v>
      </c>
    </row>
    <row r="10031" spans="3:4" ht="15" x14ac:dyDescent="0.25">
      <c r="C10031" s="8" t="e">
        <f>VLOOKUP(A:A,'ITEM LIST'!A:C,3,0)</f>
        <v>#N/A</v>
      </c>
      <c r="D10031" s="6">
        <f t="shared" si="157"/>
        <v>0</v>
      </c>
    </row>
    <row r="10032" spans="3:4" ht="15" x14ac:dyDescent="0.25">
      <c r="C10032" s="8" t="e">
        <f>VLOOKUP(A:A,'ITEM LIST'!A:C,3,0)</f>
        <v>#N/A</v>
      </c>
      <c r="D10032" s="6">
        <f t="shared" si="157"/>
        <v>0</v>
      </c>
    </row>
    <row r="10033" spans="3:4" ht="15" x14ac:dyDescent="0.25">
      <c r="C10033" s="8" t="e">
        <f>VLOOKUP(A:A,'ITEM LIST'!A:C,3,0)</f>
        <v>#N/A</v>
      </c>
      <c r="D10033" s="6">
        <f t="shared" si="157"/>
        <v>0</v>
      </c>
    </row>
    <row r="10034" spans="3:4" ht="15" x14ac:dyDescent="0.25">
      <c r="C10034" s="8" t="e">
        <f>VLOOKUP(A:A,'ITEM LIST'!A:C,3,0)</f>
        <v>#N/A</v>
      </c>
      <c r="D10034" s="6">
        <f t="shared" si="157"/>
        <v>0</v>
      </c>
    </row>
    <row r="10035" spans="3:4" ht="15" x14ac:dyDescent="0.25">
      <c r="C10035" s="8" t="e">
        <f>VLOOKUP(A:A,'ITEM LIST'!A:C,3,0)</f>
        <v>#N/A</v>
      </c>
      <c r="D10035" s="6">
        <f t="shared" si="157"/>
        <v>0</v>
      </c>
    </row>
    <row r="10036" spans="3:4" ht="15" x14ac:dyDescent="0.25">
      <c r="C10036" s="8" t="e">
        <f>VLOOKUP(A:A,'ITEM LIST'!A:C,3,0)</f>
        <v>#N/A</v>
      </c>
      <c r="D10036" s="6">
        <f t="shared" si="157"/>
        <v>0</v>
      </c>
    </row>
    <row r="10037" spans="3:4" ht="15" x14ac:dyDescent="0.25">
      <c r="C10037" s="8" t="e">
        <f>VLOOKUP(A:A,'ITEM LIST'!A:C,3,0)</f>
        <v>#N/A</v>
      </c>
      <c r="D10037" s="6">
        <f t="shared" si="157"/>
        <v>0</v>
      </c>
    </row>
    <row r="10038" spans="3:4" ht="15" x14ac:dyDescent="0.25">
      <c r="C10038" s="8" t="e">
        <f>VLOOKUP(A:A,'ITEM LIST'!A:C,3,0)</f>
        <v>#N/A</v>
      </c>
      <c r="D10038" s="6">
        <f t="shared" si="157"/>
        <v>0</v>
      </c>
    </row>
    <row r="10039" spans="3:4" ht="15" x14ac:dyDescent="0.25">
      <c r="C10039" s="8" t="e">
        <f>VLOOKUP(A:A,'ITEM LIST'!A:C,3,0)</f>
        <v>#N/A</v>
      </c>
      <c r="D10039" s="6">
        <f t="shared" si="157"/>
        <v>0</v>
      </c>
    </row>
    <row r="10040" spans="3:4" ht="15" x14ac:dyDescent="0.25">
      <c r="C10040" s="8" t="e">
        <f>VLOOKUP(A:A,'ITEM LIST'!A:C,3,0)</f>
        <v>#N/A</v>
      </c>
      <c r="D10040" s="6">
        <f t="shared" si="157"/>
        <v>0</v>
      </c>
    </row>
    <row r="10041" spans="3:4" ht="15" x14ac:dyDescent="0.25">
      <c r="C10041" s="8" t="e">
        <f>VLOOKUP(A:A,'ITEM LIST'!A:C,3,0)</f>
        <v>#N/A</v>
      </c>
      <c r="D10041" s="6">
        <f t="shared" si="157"/>
        <v>0</v>
      </c>
    </row>
    <row r="10042" spans="3:4" ht="15" x14ac:dyDescent="0.25">
      <c r="C10042" s="8" t="e">
        <f>VLOOKUP(A:A,'ITEM LIST'!A:C,3,0)</f>
        <v>#N/A</v>
      </c>
      <c r="D10042" s="6">
        <f t="shared" si="157"/>
        <v>0</v>
      </c>
    </row>
    <row r="10043" spans="3:4" ht="15" x14ac:dyDescent="0.25">
      <c r="C10043" s="8" t="e">
        <f>VLOOKUP(A:A,'ITEM LIST'!A:C,3,0)</f>
        <v>#N/A</v>
      </c>
      <c r="D10043" s="6">
        <f t="shared" si="157"/>
        <v>0</v>
      </c>
    </row>
    <row r="10044" spans="3:4" ht="15" x14ac:dyDescent="0.25">
      <c r="C10044" s="8" t="e">
        <f>VLOOKUP(A:A,'ITEM LIST'!A:C,3,0)</f>
        <v>#N/A</v>
      </c>
      <c r="D10044" s="6">
        <f t="shared" si="157"/>
        <v>0</v>
      </c>
    </row>
    <row r="10045" spans="3:4" ht="15" x14ac:dyDescent="0.25">
      <c r="C10045" s="8" t="e">
        <f>VLOOKUP(A:A,'ITEM LIST'!A:C,3,0)</f>
        <v>#N/A</v>
      </c>
      <c r="D10045" s="6">
        <f t="shared" si="157"/>
        <v>0</v>
      </c>
    </row>
    <row r="10046" spans="3:4" ht="15" x14ac:dyDescent="0.25">
      <c r="C10046" s="8" t="e">
        <f>VLOOKUP(A:A,'ITEM LIST'!A:C,3,0)</f>
        <v>#N/A</v>
      </c>
      <c r="D10046" s="6">
        <f t="shared" si="157"/>
        <v>0</v>
      </c>
    </row>
    <row r="10047" spans="3:4" ht="15" x14ac:dyDescent="0.25">
      <c r="C10047" s="8" t="e">
        <f>VLOOKUP(A:A,'ITEM LIST'!A:C,3,0)</f>
        <v>#N/A</v>
      </c>
      <c r="D10047" s="6">
        <f t="shared" si="157"/>
        <v>0</v>
      </c>
    </row>
    <row r="10048" spans="3:4" ht="15" x14ac:dyDescent="0.25">
      <c r="C10048" s="8" t="e">
        <f>VLOOKUP(A:A,'ITEM LIST'!A:C,3,0)</f>
        <v>#N/A</v>
      </c>
      <c r="D10048" s="6">
        <f t="shared" si="157"/>
        <v>0</v>
      </c>
    </row>
    <row r="10049" spans="3:4" ht="15" x14ac:dyDescent="0.25">
      <c r="C10049" s="8" t="e">
        <f>VLOOKUP(A:A,'ITEM LIST'!A:C,3,0)</f>
        <v>#N/A</v>
      </c>
      <c r="D10049" s="6">
        <f t="shared" si="157"/>
        <v>0</v>
      </c>
    </row>
    <row r="10050" spans="3:4" ht="15" x14ac:dyDescent="0.25">
      <c r="C10050" s="8" t="e">
        <f>VLOOKUP(A:A,'ITEM LIST'!A:C,3,0)</f>
        <v>#N/A</v>
      </c>
      <c r="D10050" s="6">
        <f t="shared" si="157"/>
        <v>0</v>
      </c>
    </row>
    <row r="10051" spans="3:4" ht="15" x14ac:dyDescent="0.25">
      <c r="C10051" s="8" t="e">
        <f>VLOOKUP(A:A,'ITEM LIST'!A:C,3,0)</f>
        <v>#N/A</v>
      </c>
      <c r="D10051" s="6">
        <f t="shared" si="157"/>
        <v>0</v>
      </c>
    </row>
    <row r="10052" spans="3:4" ht="15" x14ac:dyDescent="0.25">
      <c r="C10052" s="8" t="e">
        <f>VLOOKUP(A:A,'ITEM LIST'!A:C,3,0)</f>
        <v>#N/A</v>
      </c>
      <c r="D10052" s="6">
        <f t="shared" si="157"/>
        <v>0</v>
      </c>
    </row>
    <row r="10053" spans="3:4" ht="15" x14ac:dyDescent="0.25">
      <c r="C10053" s="8" t="e">
        <f>VLOOKUP(A:A,'ITEM LIST'!A:C,3,0)</f>
        <v>#N/A</v>
      </c>
      <c r="D10053" s="6">
        <f t="shared" si="157"/>
        <v>0</v>
      </c>
    </row>
    <row r="10054" spans="3:4" ht="15" x14ac:dyDescent="0.25">
      <c r="C10054" s="8" t="e">
        <f>VLOOKUP(A:A,'ITEM LIST'!A:C,3,0)</f>
        <v>#N/A</v>
      </c>
      <c r="D10054" s="6">
        <f t="shared" ref="D10054:D10117" si="158">B10054</f>
        <v>0</v>
      </c>
    </row>
    <row r="10055" spans="3:4" ht="15" x14ac:dyDescent="0.25">
      <c r="C10055" s="8" t="e">
        <f>VLOOKUP(A:A,'ITEM LIST'!A:C,3,0)</f>
        <v>#N/A</v>
      </c>
      <c r="D10055" s="6">
        <f t="shared" si="158"/>
        <v>0</v>
      </c>
    </row>
    <row r="10056" spans="3:4" ht="15" x14ac:dyDescent="0.25">
      <c r="C10056" s="8" t="e">
        <f>VLOOKUP(A:A,'ITEM LIST'!A:C,3,0)</f>
        <v>#N/A</v>
      </c>
      <c r="D10056" s="6">
        <f t="shared" si="158"/>
        <v>0</v>
      </c>
    </row>
    <row r="10057" spans="3:4" ht="15" x14ac:dyDescent="0.25">
      <c r="C10057" s="8" t="e">
        <f>VLOOKUP(A:A,'ITEM LIST'!A:C,3,0)</f>
        <v>#N/A</v>
      </c>
      <c r="D10057" s="6">
        <f t="shared" si="158"/>
        <v>0</v>
      </c>
    </row>
    <row r="10058" spans="3:4" ht="15" x14ac:dyDescent="0.25">
      <c r="C10058" s="8" t="e">
        <f>VLOOKUP(A:A,'ITEM LIST'!A:C,3,0)</f>
        <v>#N/A</v>
      </c>
      <c r="D10058" s="6">
        <f t="shared" si="158"/>
        <v>0</v>
      </c>
    </row>
    <row r="10059" spans="3:4" ht="15" x14ac:dyDescent="0.25">
      <c r="C10059" s="8" t="e">
        <f>VLOOKUP(A:A,'ITEM LIST'!A:C,3,0)</f>
        <v>#N/A</v>
      </c>
      <c r="D10059" s="6">
        <f t="shared" si="158"/>
        <v>0</v>
      </c>
    </row>
    <row r="10060" spans="3:4" ht="15" x14ac:dyDescent="0.25">
      <c r="C10060" s="8" t="e">
        <f>VLOOKUP(A:A,'ITEM LIST'!A:C,3,0)</f>
        <v>#N/A</v>
      </c>
      <c r="D10060" s="6">
        <f t="shared" si="158"/>
        <v>0</v>
      </c>
    </row>
    <row r="10061" spans="3:4" ht="15" x14ac:dyDescent="0.25">
      <c r="C10061" s="8" t="e">
        <f>VLOOKUP(A:A,'ITEM LIST'!A:C,3,0)</f>
        <v>#N/A</v>
      </c>
      <c r="D10061" s="6">
        <f t="shared" si="158"/>
        <v>0</v>
      </c>
    </row>
    <row r="10062" spans="3:4" ht="15" x14ac:dyDescent="0.25">
      <c r="C10062" s="8" t="e">
        <f>VLOOKUP(A:A,'ITEM LIST'!A:C,3,0)</f>
        <v>#N/A</v>
      </c>
      <c r="D10062" s="6">
        <f t="shared" si="158"/>
        <v>0</v>
      </c>
    </row>
    <row r="10063" spans="3:4" ht="15" x14ac:dyDescent="0.25">
      <c r="C10063" s="8" t="e">
        <f>VLOOKUP(A:A,'ITEM LIST'!A:C,3,0)</f>
        <v>#N/A</v>
      </c>
      <c r="D10063" s="6">
        <f t="shared" si="158"/>
        <v>0</v>
      </c>
    </row>
    <row r="10064" spans="3:4" ht="15" x14ac:dyDescent="0.25">
      <c r="C10064" s="8" t="e">
        <f>VLOOKUP(A:A,'ITEM LIST'!A:C,3,0)</f>
        <v>#N/A</v>
      </c>
      <c r="D10064" s="6">
        <f t="shared" si="158"/>
        <v>0</v>
      </c>
    </row>
    <row r="10065" spans="3:4" ht="15" x14ac:dyDescent="0.25">
      <c r="C10065" s="8" t="e">
        <f>VLOOKUP(A:A,'ITEM LIST'!A:C,3,0)</f>
        <v>#N/A</v>
      </c>
      <c r="D10065" s="6">
        <f t="shared" si="158"/>
        <v>0</v>
      </c>
    </row>
    <row r="10066" spans="3:4" ht="15" x14ac:dyDescent="0.25">
      <c r="C10066" s="8" t="e">
        <f>VLOOKUP(A:A,'ITEM LIST'!A:C,3,0)</f>
        <v>#N/A</v>
      </c>
      <c r="D10066" s="6">
        <f t="shared" si="158"/>
        <v>0</v>
      </c>
    </row>
    <row r="10067" spans="3:4" ht="15" x14ac:dyDescent="0.25">
      <c r="C10067" s="8" t="e">
        <f>VLOOKUP(A:A,'ITEM LIST'!A:C,3,0)</f>
        <v>#N/A</v>
      </c>
      <c r="D10067" s="6">
        <f t="shared" si="158"/>
        <v>0</v>
      </c>
    </row>
    <row r="10068" spans="3:4" ht="15" x14ac:dyDescent="0.25">
      <c r="C10068" s="8" t="e">
        <f>VLOOKUP(A:A,'ITEM LIST'!A:C,3,0)</f>
        <v>#N/A</v>
      </c>
      <c r="D10068" s="6">
        <f t="shared" si="158"/>
        <v>0</v>
      </c>
    </row>
    <row r="10069" spans="3:4" ht="15" x14ac:dyDescent="0.25">
      <c r="C10069" s="8" t="e">
        <f>VLOOKUP(A:A,'ITEM LIST'!A:C,3,0)</f>
        <v>#N/A</v>
      </c>
      <c r="D10069" s="6">
        <f t="shared" si="158"/>
        <v>0</v>
      </c>
    </row>
    <row r="10070" spans="3:4" ht="15" x14ac:dyDescent="0.25">
      <c r="C10070" s="8" t="e">
        <f>VLOOKUP(A:A,'ITEM LIST'!A:C,3,0)</f>
        <v>#N/A</v>
      </c>
      <c r="D10070" s="6">
        <f t="shared" si="158"/>
        <v>0</v>
      </c>
    </row>
    <row r="10071" spans="3:4" ht="15" x14ac:dyDescent="0.25">
      <c r="C10071" s="8" t="e">
        <f>VLOOKUP(A:A,'ITEM LIST'!A:C,3,0)</f>
        <v>#N/A</v>
      </c>
      <c r="D10071" s="6">
        <f t="shared" si="158"/>
        <v>0</v>
      </c>
    </row>
    <row r="10072" spans="3:4" ht="15" x14ac:dyDescent="0.25">
      <c r="C10072" s="8" t="e">
        <f>VLOOKUP(A:A,'ITEM LIST'!A:C,3,0)</f>
        <v>#N/A</v>
      </c>
      <c r="D10072" s="6">
        <f t="shared" si="158"/>
        <v>0</v>
      </c>
    </row>
    <row r="10073" spans="3:4" ht="15" x14ac:dyDescent="0.25">
      <c r="C10073" s="8" t="e">
        <f>VLOOKUP(A:A,'ITEM LIST'!A:C,3,0)</f>
        <v>#N/A</v>
      </c>
      <c r="D10073" s="6">
        <f t="shared" si="158"/>
        <v>0</v>
      </c>
    </row>
    <row r="10074" spans="3:4" ht="15" x14ac:dyDescent="0.25">
      <c r="C10074" s="8" t="e">
        <f>VLOOKUP(A:A,'ITEM LIST'!A:C,3,0)</f>
        <v>#N/A</v>
      </c>
      <c r="D10074" s="6">
        <f t="shared" si="158"/>
        <v>0</v>
      </c>
    </row>
    <row r="10075" spans="3:4" ht="15" x14ac:dyDescent="0.25">
      <c r="C10075" s="8" t="e">
        <f>VLOOKUP(A:A,'ITEM LIST'!A:C,3,0)</f>
        <v>#N/A</v>
      </c>
      <c r="D10075" s="6">
        <f t="shared" si="158"/>
        <v>0</v>
      </c>
    </row>
    <row r="10076" spans="3:4" ht="15" x14ac:dyDescent="0.25">
      <c r="C10076" s="8" t="e">
        <f>VLOOKUP(A:A,'ITEM LIST'!A:C,3,0)</f>
        <v>#N/A</v>
      </c>
      <c r="D10076" s="6">
        <f t="shared" si="158"/>
        <v>0</v>
      </c>
    </row>
    <row r="10077" spans="3:4" ht="15" x14ac:dyDescent="0.25">
      <c r="C10077" s="8" t="e">
        <f>VLOOKUP(A:A,'ITEM LIST'!A:C,3,0)</f>
        <v>#N/A</v>
      </c>
      <c r="D10077" s="6">
        <f t="shared" si="158"/>
        <v>0</v>
      </c>
    </row>
    <row r="10078" spans="3:4" ht="15" x14ac:dyDescent="0.25">
      <c r="C10078" s="8" t="e">
        <f>VLOOKUP(A:A,'ITEM LIST'!A:C,3,0)</f>
        <v>#N/A</v>
      </c>
      <c r="D10078" s="6">
        <f t="shared" si="158"/>
        <v>0</v>
      </c>
    </row>
    <row r="10079" spans="3:4" ht="15" x14ac:dyDescent="0.25">
      <c r="C10079" s="8" t="e">
        <f>VLOOKUP(A:A,'ITEM LIST'!A:C,3,0)</f>
        <v>#N/A</v>
      </c>
      <c r="D10079" s="6">
        <f t="shared" si="158"/>
        <v>0</v>
      </c>
    </row>
    <row r="10080" spans="3:4" ht="15" x14ac:dyDescent="0.25">
      <c r="C10080" s="8" t="e">
        <f>VLOOKUP(A:A,'ITEM LIST'!A:C,3,0)</f>
        <v>#N/A</v>
      </c>
      <c r="D10080" s="6">
        <f t="shared" si="158"/>
        <v>0</v>
      </c>
    </row>
    <row r="10081" spans="3:4" ht="15" x14ac:dyDescent="0.25">
      <c r="C10081" s="8" t="e">
        <f>VLOOKUP(A:A,'ITEM LIST'!A:C,3,0)</f>
        <v>#N/A</v>
      </c>
      <c r="D10081" s="6">
        <f t="shared" si="158"/>
        <v>0</v>
      </c>
    </row>
    <row r="10082" spans="3:4" ht="15" x14ac:dyDescent="0.25">
      <c r="C10082" s="8" t="e">
        <f>VLOOKUP(A:A,'ITEM LIST'!A:C,3,0)</f>
        <v>#N/A</v>
      </c>
      <c r="D10082" s="6">
        <f t="shared" si="158"/>
        <v>0</v>
      </c>
    </row>
    <row r="10083" spans="3:4" ht="15" x14ac:dyDescent="0.25">
      <c r="C10083" s="8" t="e">
        <f>VLOOKUP(A:A,'ITEM LIST'!A:C,3,0)</f>
        <v>#N/A</v>
      </c>
      <c r="D10083" s="6">
        <f t="shared" si="158"/>
        <v>0</v>
      </c>
    </row>
    <row r="10084" spans="3:4" ht="15" x14ac:dyDescent="0.25">
      <c r="C10084" s="8" t="e">
        <f>VLOOKUP(A:A,'ITEM LIST'!A:C,3,0)</f>
        <v>#N/A</v>
      </c>
      <c r="D10084" s="6">
        <f t="shared" si="158"/>
        <v>0</v>
      </c>
    </row>
    <row r="10085" spans="3:4" ht="15" x14ac:dyDescent="0.25">
      <c r="C10085" s="8" t="e">
        <f>VLOOKUP(A:A,'ITEM LIST'!A:C,3,0)</f>
        <v>#N/A</v>
      </c>
      <c r="D10085" s="6">
        <f t="shared" si="158"/>
        <v>0</v>
      </c>
    </row>
    <row r="10086" spans="3:4" ht="15" x14ac:dyDescent="0.25">
      <c r="C10086" s="8" t="e">
        <f>VLOOKUP(A:A,'ITEM LIST'!A:C,3,0)</f>
        <v>#N/A</v>
      </c>
      <c r="D10086" s="6">
        <f t="shared" si="158"/>
        <v>0</v>
      </c>
    </row>
    <row r="10087" spans="3:4" ht="15" x14ac:dyDescent="0.25">
      <c r="C10087" s="8" t="e">
        <f>VLOOKUP(A:A,'ITEM LIST'!A:C,3,0)</f>
        <v>#N/A</v>
      </c>
      <c r="D10087" s="6">
        <f t="shared" si="158"/>
        <v>0</v>
      </c>
    </row>
    <row r="10088" spans="3:4" ht="15" x14ac:dyDescent="0.25">
      <c r="C10088" s="8" t="e">
        <f>VLOOKUP(A:A,'ITEM LIST'!A:C,3,0)</f>
        <v>#N/A</v>
      </c>
      <c r="D10088" s="6">
        <f t="shared" si="158"/>
        <v>0</v>
      </c>
    </row>
    <row r="10089" spans="3:4" ht="15" x14ac:dyDescent="0.25">
      <c r="C10089" s="8" t="e">
        <f>VLOOKUP(A:A,'ITEM LIST'!A:C,3,0)</f>
        <v>#N/A</v>
      </c>
      <c r="D10089" s="6">
        <f t="shared" si="158"/>
        <v>0</v>
      </c>
    </row>
    <row r="10090" spans="3:4" ht="15" x14ac:dyDescent="0.25">
      <c r="C10090" s="8" t="e">
        <f>VLOOKUP(A:A,'ITEM LIST'!A:C,3,0)</f>
        <v>#N/A</v>
      </c>
      <c r="D10090" s="6">
        <f t="shared" si="158"/>
        <v>0</v>
      </c>
    </row>
    <row r="10091" spans="3:4" ht="15" x14ac:dyDescent="0.25">
      <c r="C10091" s="8" t="e">
        <f>VLOOKUP(A:A,'ITEM LIST'!A:C,3,0)</f>
        <v>#N/A</v>
      </c>
      <c r="D10091" s="6">
        <f t="shared" si="158"/>
        <v>0</v>
      </c>
    </row>
    <row r="10092" spans="3:4" ht="15" x14ac:dyDescent="0.25">
      <c r="C10092" s="8" t="e">
        <f>VLOOKUP(A:A,'ITEM LIST'!A:C,3,0)</f>
        <v>#N/A</v>
      </c>
      <c r="D10092" s="6">
        <f t="shared" si="158"/>
        <v>0</v>
      </c>
    </row>
    <row r="10093" spans="3:4" ht="15" x14ac:dyDescent="0.25">
      <c r="C10093" s="8" t="e">
        <f>VLOOKUP(A:A,'ITEM LIST'!A:C,3,0)</f>
        <v>#N/A</v>
      </c>
      <c r="D10093" s="6">
        <f t="shared" si="158"/>
        <v>0</v>
      </c>
    </row>
    <row r="10094" spans="3:4" ht="15" x14ac:dyDescent="0.25">
      <c r="C10094" s="8" t="e">
        <f>VLOOKUP(A:A,'ITEM LIST'!A:C,3,0)</f>
        <v>#N/A</v>
      </c>
      <c r="D10094" s="6">
        <f t="shared" si="158"/>
        <v>0</v>
      </c>
    </row>
    <row r="10095" spans="3:4" ht="15" x14ac:dyDescent="0.25">
      <c r="C10095" s="8" t="e">
        <f>VLOOKUP(A:A,'ITEM LIST'!A:C,3,0)</f>
        <v>#N/A</v>
      </c>
      <c r="D10095" s="6">
        <f t="shared" si="158"/>
        <v>0</v>
      </c>
    </row>
    <row r="10096" spans="3:4" ht="15" x14ac:dyDescent="0.25">
      <c r="C10096" s="8" t="e">
        <f>VLOOKUP(A:A,'ITEM LIST'!A:C,3,0)</f>
        <v>#N/A</v>
      </c>
      <c r="D10096" s="6">
        <f t="shared" si="158"/>
        <v>0</v>
      </c>
    </row>
    <row r="10097" spans="3:4" ht="15" x14ac:dyDescent="0.25">
      <c r="C10097" s="8" t="e">
        <f>VLOOKUP(A:A,'ITEM LIST'!A:C,3,0)</f>
        <v>#N/A</v>
      </c>
      <c r="D10097" s="6">
        <f t="shared" si="158"/>
        <v>0</v>
      </c>
    </row>
    <row r="10098" spans="3:4" ht="15" x14ac:dyDescent="0.25">
      <c r="C10098" s="8" t="e">
        <f>VLOOKUP(A:A,'ITEM LIST'!A:C,3,0)</f>
        <v>#N/A</v>
      </c>
      <c r="D10098" s="6">
        <f t="shared" si="158"/>
        <v>0</v>
      </c>
    </row>
    <row r="10099" spans="3:4" ht="15" x14ac:dyDescent="0.25">
      <c r="C10099" s="8" t="e">
        <f>VLOOKUP(A:A,'ITEM LIST'!A:C,3,0)</f>
        <v>#N/A</v>
      </c>
      <c r="D10099" s="6">
        <f t="shared" si="158"/>
        <v>0</v>
      </c>
    </row>
    <row r="10100" spans="3:4" ht="15" x14ac:dyDescent="0.25">
      <c r="C10100" s="8" t="e">
        <f>VLOOKUP(A:A,'ITEM LIST'!A:C,3,0)</f>
        <v>#N/A</v>
      </c>
      <c r="D10100" s="6">
        <f t="shared" si="158"/>
        <v>0</v>
      </c>
    </row>
    <row r="10101" spans="3:4" ht="15" x14ac:dyDescent="0.25">
      <c r="C10101" s="8" t="e">
        <f>VLOOKUP(A:A,'ITEM LIST'!A:C,3,0)</f>
        <v>#N/A</v>
      </c>
      <c r="D10101" s="6">
        <f t="shared" si="158"/>
        <v>0</v>
      </c>
    </row>
    <row r="10102" spans="3:4" ht="15" x14ac:dyDescent="0.25">
      <c r="C10102" s="8" t="e">
        <f>VLOOKUP(A:A,'ITEM LIST'!A:C,3,0)</f>
        <v>#N/A</v>
      </c>
      <c r="D10102" s="6">
        <f t="shared" si="158"/>
        <v>0</v>
      </c>
    </row>
    <row r="10103" spans="3:4" ht="15" x14ac:dyDescent="0.25">
      <c r="C10103" s="8" t="e">
        <f>VLOOKUP(A:A,'ITEM LIST'!A:C,3,0)</f>
        <v>#N/A</v>
      </c>
      <c r="D10103" s="6">
        <f t="shared" si="158"/>
        <v>0</v>
      </c>
    </row>
    <row r="10104" spans="3:4" ht="15" x14ac:dyDescent="0.25">
      <c r="C10104" s="8" t="e">
        <f>VLOOKUP(A:A,'ITEM LIST'!A:C,3,0)</f>
        <v>#N/A</v>
      </c>
      <c r="D10104" s="6">
        <f t="shared" si="158"/>
        <v>0</v>
      </c>
    </row>
    <row r="10105" spans="3:4" ht="15" x14ac:dyDescent="0.25">
      <c r="C10105" s="8" t="e">
        <f>VLOOKUP(A:A,'ITEM LIST'!A:C,3,0)</f>
        <v>#N/A</v>
      </c>
      <c r="D10105" s="6">
        <f t="shared" si="158"/>
        <v>0</v>
      </c>
    </row>
    <row r="10106" spans="3:4" ht="15" x14ac:dyDescent="0.25">
      <c r="C10106" s="8" t="e">
        <f>VLOOKUP(A:A,'ITEM LIST'!A:C,3,0)</f>
        <v>#N/A</v>
      </c>
      <c r="D10106" s="6">
        <f t="shared" si="158"/>
        <v>0</v>
      </c>
    </row>
    <row r="10107" spans="3:4" ht="15" x14ac:dyDescent="0.25">
      <c r="C10107" s="8" t="e">
        <f>VLOOKUP(A:A,'ITEM LIST'!A:C,3,0)</f>
        <v>#N/A</v>
      </c>
      <c r="D10107" s="6">
        <f t="shared" si="158"/>
        <v>0</v>
      </c>
    </row>
    <row r="10108" spans="3:4" ht="15" x14ac:dyDescent="0.25">
      <c r="C10108" s="8" t="e">
        <f>VLOOKUP(A:A,'ITEM LIST'!A:C,3,0)</f>
        <v>#N/A</v>
      </c>
      <c r="D10108" s="6">
        <f t="shared" si="158"/>
        <v>0</v>
      </c>
    </row>
    <row r="10109" spans="3:4" ht="15" x14ac:dyDescent="0.25">
      <c r="C10109" s="8" t="e">
        <f>VLOOKUP(A:A,'ITEM LIST'!A:C,3,0)</f>
        <v>#N/A</v>
      </c>
      <c r="D10109" s="6">
        <f t="shared" si="158"/>
        <v>0</v>
      </c>
    </row>
    <row r="10110" spans="3:4" ht="15" x14ac:dyDescent="0.25">
      <c r="C10110" s="8" t="e">
        <f>VLOOKUP(A:A,'ITEM LIST'!A:C,3,0)</f>
        <v>#N/A</v>
      </c>
      <c r="D10110" s="6">
        <f t="shared" si="158"/>
        <v>0</v>
      </c>
    </row>
    <row r="10111" spans="3:4" ht="15" x14ac:dyDescent="0.25">
      <c r="C10111" s="8" t="e">
        <f>VLOOKUP(A:A,'ITEM LIST'!A:C,3,0)</f>
        <v>#N/A</v>
      </c>
      <c r="D10111" s="6">
        <f t="shared" si="158"/>
        <v>0</v>
      </c>
    </row>
    <row r="10112" spans="3:4" ht="15" x14ac:dyDescent="0.25">
      <c r="C10112" s="8" t="e">
        <f>VLOOKUP(A:A,'ITEM LIST'!A:C,3,0)</f>
        <v>#N/A</v>
      </c>
      <c r="D10112" s="6">
        <f t="shared" si="158"/>
        <v>0</v>
      </c>
    </row>
    <row r="10113" spans="3:4" ht="15" x14ac:dyDescent="0.25">
      <c r="C10113" s="8" t="e">
        <f>VLOOKUP(A:A,'ITEM LIST'!A:C,3,0)</f>
        <v>#N/A</v>
      </c>
      <c r="D10113" s="6">
        <f t="shared" si="158"/>
        <v>0</v>
      </c>
    </row>
    <row r="10114" spans="3:4" ht="15" x14ac:dyDescent="0.25">
      <c r="C10114" s="8" t="e">
        <f>VLOOKUP(A:A,'ITEM LIST'!A:C,3,0)</f>
        <v>#N/A</v>
      </c>
      <c r="D10114" s="6">
        <f t="shared" si="158"/>
        <v>0</v>
      </c>
    </row>
    <row r="10115" spans="3:4" ht="15" x14ac:dyDescent="0.25">
      <c r="C10115" s="8" t="e">
        <f>VLOOKUP(A:A,'ITEM LIST'!A:C,3,0)</f>
        <v>#N/A</v>
      </c>
      <c r="D10115" s="6">
        <f t="shared" si="158"/>
        <v>0</v>
      </c>
    </row>
    <row r="10116" spans="3:4" ht="15" x14ac:dyDescent="0.25">
      <c r="C10116" s="8" t="e">
        <f>VLOOKUP(A:A,'ITEM LIST'!A:C,3,0)</f>
        <v>#N/A</v>
      </c>
      <c r="D10116" s="6">
        <f t="shared" si="158"/>
        <v>0</v>
      </c>
    </row>
    <row r="10117" spans="3:4" ht="15" x14ac:dyDescent="0.25">
      <c r="C10117" s="8" t="e">
        <f>VLOOKUP(A:A,'ITEM LIST'!A:C,3,0)</f>
        <v>#N/A</v>
      </c>
      <c r="D10117" s="6">
        <f t="shared" si="158"/>
        <v>0</v>
      </c>
    </row>
    <row r="10118" spans="3:4" ht="15" x14ac:dyDescent="0.25">
      <c r="C10118" s="8" t="e">
        <f>VLOOKUP(A:A,'ITEM LIST'!A:C,3,0)</f>
        <v>#N/A</v>
      </c>
      <c r="D10118" s="6">
        <f t="shared" ref="D10118:D10181" si="159">B10118</f>
        <v>0</v>
      </c>
    </row>
    <row r="10119" spans="3:4" ht="15" x14ac:dyDescent="0.25">
      <c r="C10119" s="8" t="e">
        <f>VLOOKUP(A:A,'ITEM LIST'!A:C,3,0)</f>
        <v>#N/A</v>
      </c>
      <c r="D10119" s="6">
        <f t="shared" si="159"/>
        <v>0</v>
      </c>
    </row>
    <row r="10120" spans="3:4" ht="15" x14ac:dyDescent="0.25">
      <c r="C10120" s="8" t="e">
        <f>VLOOKUP(A:A,'ITEM LIST'!A:C,3,0)</f>
        <v>#N/A</v>
      </c>
      <c r="D10120" s="6">
        <f t="shared" si="159"/>
        <v>0</v>
      </c>
    </row>
    <row r="10121" spans="3:4" ht="15" x14ac:dyDescent="0.25">
      <c r="C10121" s="8" t="e">
        <f>VLOOKUP(A:A,'ITEM LIST'!A:C,3,0)</f>
        <v>#N/A</v>
      </c>
      <c r="D10121" s="6">
        <f t="shared" si="159"/>
        <v>0</v>
      </c>
    </row>
    <row r="10122" spans="3:4" ht="15" x14ac:dyDescent="0.25">
      <c r="C10122" s="8" t="e">
        <f>VLOOKUP(A:A,'ITEM LIST'!A:C,3,0)</f>
        <v>#N/A</v>
      </c>
      <c r="D10122" s="6">
        <f t="shared" si="159"/>
        <v>0</v>
      </c>
    </row>
    <row r="10123" spans="3:4" ht="15" x14ac:dyDescent="0.25">
      <c r="C10123" s="8" t="e">
        <f>VLOOKUP(A:A,'ITEM LIST'!A:C,3,0)</f>
        <v>#N/A</v>
      </c>
      <c r="D10123" s="6">
        <f t="shared" si="159"/>
        <v>0</v>
      </c>
    </row>
    <row r="10124" spans="3:4" ht="15" x14ac:dyDescent="0.25">
      <c r="C10124" s="8" t="e">
        <f>VLOOKUP(A:A,'ITEM LIST'!A:C,3,0)</f>
        <v>#N/A</v>
      </c>
      <c r="D10124" s="6">
        <f t="shared" si="159"/>
        <v>0</v>
      </c>
    </row>
    <row r="10125" spans="3:4" ht="15" x14ac:dyDescent="0.25">
      <c r="C10125" s="8" t="e">
        <f>VLOOKUP(A:A,'ITEM LIST'!A:C,3,0)</f>
        <v>#N/A</v>
      </c>
      <c r="D10125" s="6">
        <f t="shared" si="159"/>
        <v>0</v>
      </c>
    </row>
    <row r="10126" spans="3:4" ht="15" x14ac:dyDescent="0.25">
      <c r="C10126" s="8" t="e">
        <f>VLOOKUP(A:A,'ITEM LIST'!A:C,3,0)</f>
        <v>#N/A</v>
      </c>
      <c r="D10126" s="6">
        <f t="shared" si="159"/>
        <v>0</v>
      </c>
    </row>
    <row r="10127" spans="3:4" ht="15" x14ac:dyDescent="0.25">
      <c r="C10127" s="8" t="e">
        <f>VLOOKUP(A:A,'ITEM LIST'!A:C,3,0)</f>
        <v>#N/A</v>
      </c>
      <c r="D10127" s="6">
        <f t="shared" si="159"/>
        <v>0</v>
      </c>
    </row>
    <row r="10128" spans="3:4" ht="15" x14ac:dyDescent="0.25">
      <c r="C10128" s="8" t="e">
        <f>VLOOKUP(A:A,'ITEM LIST'!A:C,3,0)</f>
        <v>#N/A</v>
      </c>
      <c r="D10128" s="6">
        <f t="shared" si="159"/>
        <v>0</v>
      </c>
    </row>
    <row r="10129" spans="3:4" ht="15" x14ac:dyDescent="0.25">
      <c r="C10129" s="8" t="e">
        <f>VLOOKUP(A:A,'ITEM LIST'!A:C,3,0)</f>
        <v>#N/A</v>
      </c>
      <c r="D10129" s="6">
        <f t="shared" si="159"/>
        <v>0</v>
      </c>
    </row>
    <row r="10130" spans="3:4" ht="15" x14ac:dyDescent="0.25">
      <c r="C10130" s="8" t="e">
        <f>VLOOKUP(A:A,'ITEM LIST'!A:C,3,0)</f>
        <v>#N/A</v>
      </c>
      <c r="D10130" s="6">
        <f t="shared" si="159"/>
        <v>0</v>
      </c>
    </row>
    <row r="10131" spans="3:4" ht="15" x14ac:dyDescent="0.25">
      <c r="C10131" s="8" t="e">
        <f>VLOOKUP(A:A,'ITEM LIST'!A:C,3,0)</f>
        <v>#N/A</v>
      </c>
      <c r="D10131" s="6">
        <f t="shared" si="159"/>
        <v>0</v>
      </c>
    </row>
    <row r="10132" spans="3:4" ht="15" x14ac:dyDescent="0.25">
      <c r="C10132" s="8" t="e">
        <f>VLOOKUP(A:A,'ITEM LIST'!A:C,3,0)</f>
        <v>#N/A</v>
      </c>
      <c r="D10132" s="6">
        <f t="shared" si="159"/>
        <v>0</v>
      </c>
    </row>
    <row r="10133" spans="3:4" ht="15" x14ac:dyDescent="0.25">
      <c r="C10133" s="8" t="e">
        <f>VLOOKUP(A:A,'ITEM LIST'!A:C,3,0)</f>
        <v>#N/A</v>
      </c>
      <c r="D10133" s="6">
        <f t="shared" si="159"/>
        <v>0</v>
      </c>
    </row>
    <row r="10134" spans="3:4" ht="15" x14ac:dyDescent="0.25">
      <c r="C10134" s="8" t="e">
        <f>VLOOKUP(A:A,'ITEM LIST'!A:C,3,0)</f>
        <v>#N/A</v>
      </c>
      <c r="D10134" s="6">
        <f t="shared" si="159"/>
        <v>0</v>
      </c>
    </row>
    <row r="10135" spans="3:4" ht="15" x14ac:dyDescent="0.25">
      <c r="C10135" s="8" t="e">
        <f>VLOOKUP(A:A,'ITEM LIST'!A:C,3,0)</f>
        <v>#N/A</v>
      </c>
      <c r="D10135" s="6">
        <f t="shared" si="159"/>
        <v>0</v>
      </c>
    </row>
    <row r="10136" spans="3:4" ht="15" x14ac:dyDescent="0.25">
      <c r="C10136" s="8" t="e">
        <f>VLOOKUP(A:A,'ITEM LIST'!A:C,3,0)</f>
        <v>#N/A</v>
      </c>
      <c r="D10136" s="6">
        <f t="shared" si="159"/>
        <v>0</v>
      </c>
    </row>
    <row r="10137" spans="3:4" ht="15" x14ac:dyDescent="0.25">
      <c r="C10137" s="8" t="e">
        <f>VLOOKUP(A:A,'ITEM LIST'!A:C,3,0)</f>
        <v>#N/A</v>
      </c>
      <c r="D10137" s="6">
        <f t="shared" si="159"/>
        <v>0</v>
      </c>
    </row>
    <row r="10138" spans="3:4" ht="15" x14ac:dyDescent="0.25">
      <c r="C10138" s="8" t="e">
        <f>VLOOKUP(A:A,'ITEM LIST'!A:C,3,0)</f>
        <v>#N/A</v>
      </c>
      <c r="D10138" s="6">
        <f t="shared" si="159"/>
        <v>0</v>
      </c>
    </row>
    <row r="10139" spans="3:4" ht="15" x14ac:dyDescent="0.25">
      <c r="C10139" s="8" t="e">
        <f>VLOOKUP(A:A,'ITEM LIST'!A:C,3,0)</f>
        <v>#N/A</v>
      </c>
      <c r="D10139" s="6">
        <f t="shared" si="159"/>
        <v>0</v>
      </c>
    </row>
    <row r="10140" spans="3:4" ht="15" x14ac:dyDescent="0.25">
      <c r="C10140" s="8" t="e">
        <f>VLOOKUP(A:A,'ITEM LIST'!A:C,3,0)</f>
        <v>#N/A</v>
      </c>
      <c r="D10140" s="6">
        <f t="shared" si="159"/>
        <v>0</v>
      </c>
    </row>
    <row r="10141" spans="3:4" ht="15" x14ac:dyDescent="0.25">
      <c r="C10141" s="8" t="e">
        <f>VLOOKUP(A:A,'ITEM LIST'!A:C,3,0)</f>
        <v>#N/A</v>
      </c>
      <c r="D10141" s="6">
        <f t="shared" si="159"/>
        <v>0</v>
      </c>
    </row>
    <row r="10142" spans="3:4" ht="15" x14ac:dyDescent="0.25">
      <c r="C10142" s="8" t="e">
        <f>VLOOKUP(A:A,'ITEM LIST'!A:C,3,0)</f>
        <v>#N/A</v>
      </c>
      <c r="D10142" s="6">
        <f t="shared" si="159"/>
        <v>0</v>
      </c>
    </row>
    <row r="10143" spans="3:4" ht="15" x14ac:dyDescent="0.25">
      <c r="C10143" s="8" t="e">
        <f>VLOOKUP(A:A,'ITEM LIST'!A:C,3,0)</f>
        <v>#N/A</v>
      </c>
      <c r="D10143" s="6">
        <f t="shared" si="159"/>
        <v>0</v>
      </c>
    </row>
    <row r="10144" spans="3:4" ht="15" x14ac:dyDescent="0.25">
      <c r="C10144" s="8" t="e">
        <f>VLOOKUP(A:A,'ITEM LIST'!A:C,3,0)</f>
        <v>#N/A</v>
      </c>
      <c r="D10144" s="6">
        <f t="shared" si="159"/>
        <v>0</v>
      </c>
    </row>
    <row r="10145" spans="3:4" ht="15" x14ac:dyDescent="0.25">
      <c r="C10145" s="8" t="e">
        <f>VLOOKUP(A:A,'ITEM LIST'!A:C,3,0)</f>
        <v>#N/A</v>
      </c>
      <c r="D10145" s="6">
        <f t="shared" si="159"/>
        <v>0</v>
      </c>
    </row>
    <row r="10146" spans="3:4" ht="15" x14ac:dyDescent="0.25">
      <c r="C10146" s="8" t="e">
        <f>VLOOKUP(A:A,'ITEM LIST'!A:C,3,0)</f>
        <v>#N/A</v>
      </c>
      <c r="D10146" s="6">
        <f t="shared" si="159"/>
        <v>0</v>
      </c>
    </row>
    <row r="10147" spans="3:4" ht="15" x14ac:dyDescent="0.25">
      <c r="C10147" s="8" t="e">
        <f>VLOOKUP(A:A,'ITEM LIST'!A:C,3,0)</f>
        <v>#N/A</v>
      </c>
      <c r="D10147" s="6">
        <f t="shared" si="159"/>
        <v>0</v>
      </c>
    </row>
    <row r="10148" spans="3:4" ht="15" x14ac:dyDescent="0.25">
      <c r="C10148" s="8" t="e">
        <f>VLOOKUP(A:A,'ITEM LIST'!A:C,3,0)</f>
        <v>#N/A</v>
      </c>
      <c r="D10148" s="6">
        <f t="shared" si="159"/>
        <v>0</v>
      </c>
    </row>
    <row r="10149" spans="3:4" ht="15" x14ac:dyDescent="0.25">
      <c r="C10149" s="8" t="e">
        <f>VLOOKUP(A:A,'ITEM LIST'!A:C,3,0)</f>
        <v>#N/A</v>
      </c>
      <c r="D10149" s="6">
        <f t="shared" si="159"/>
        <v>0</v>
      </c>
    </row>
    <row r="10150" spans="3:4" ht="15" x14ac:dyDescent="0.25">
      <c r="C10150" s="8" t="e">
        <f>VLOOKUP(A:A,'ITEM LIST'!A:C,3,0)</f>
        <v>#N/A</v>
      </c>
      <c r="D10150" s="6">
        <f t="shared" si="159"/>
        <v>0</v>
      </c>
    </row>
    <row r="10151" spans="3:4" ht="15" x14ac:dyDescent="0.25">
      <c r="C10151" s="8" t="e">
        <f>VLOOKUP(A:A,'ITEM LIST'!A:C,3,0)</f>
        <v>#N/A</v>
      </c>
      <c r="D10151" s="6">
        <f t="shared" si="159"/>
        <v>0</v>
      </c>
    </row>
    <row r="10152" spans="3:4" ht="15" x14ac:dyDescent="0.25">
      <c r="C10152" s="8" t="e">
        <f>VLOOKUP(A:A,'ITEM LIST'!A:C,3,0)</f>
        <v>#N/A</v>
      </c>
      <c r="D10152" s="6">
        <f t="shared" si="159"/>
        <v>0</v>
      </c>
    </row>
    <row r="10153" spans="3:4" ht="15" x14ac:dyDescent="0.25">
      <c r="C10153" s="8" t="e">
        <f>VLOOKUP(A:A,'ITEM LIST'!A:C,3,0)</f>
        <v>#N/A</v>
      </c>
      <c r="D10153" s="6">
        <f t="shared" si="159"/>
        <v>0</v>
      </c>
    </row>
    <row r="10154" spans="3:4" ht="15" x14ac:dyDescent="0.25">
      <c r="C10154" s="8" t="e">
        <f>VLOOKUP(A:A,'ITEM LIST'!A:C,3,0)</f>
        <v>#N/A</v>
      </c>
      <c r="D10154" s="6">
        <f t="shared" si="159"/>
        <v>0</v>
      </c>
    </row>
    <row r="10155" spans="3:4" ht="15" x14ac:dyDescent="0.25">
      <c r="C10155" s="8" t="e">
        <f>VLOOKUP(A:A,'ITEM LIST'!A:C,3,0)</f>
        <v>#N/A</v>
      </c>
      <c r="D10155" s="6">
        <f t="shared" si="159"/>
        <v>0</v>
      </c>
    </row>
    <row r="10156" spans="3:4" ht="15" x14ac:dyDescent="0.25">
      <c r="C10156" s="8" t="e">
        <f>VLOOKUP(A:A,'ITEM LIST'!A:C,3,0)</f>
        <v>#N/A</v>
      </c>
      <c r="D10156" s="6">
        <f t="shared" si="159"/>
        <v>0</v>
      </c>
    </row>
    <row r="10157" spans="3:4" ht="15" x14ac:dyDescent="0.25">
      <c r="C10157" s="8" t="e">
        <f>VLOOKUP(A:A,'ITEM LIST'!A:C,3,0)</f>
        <v>#N/A</v>
      </c>
      <c r="D10157" s="6">
        <f t="shared" si="159"/>
        <v>0</v>
      </c>
    </row>
    <row r="10158" spans="3:4" ht="15" x14ac:dyDescent="0.25">
      <c r="C10158" s="8" t="e">
        <f>VLOOKUP(A:A,'ITEM LIST'!A:C,3,0)</f>
        <v>#N/A</v>
      </c>
      <c r="D10158" s="6">
        <f t="shared" si="159"/>
        <v>0</v>
      </c>
    </row>
    <row r="10159" spans="3:4" ht="15" x14ac:dyDescent="0.25">
      <c r="C10159" s="8" t="e">
        <f>VLOOKUP(A:A,'ITEM LIST'!A:C,3,0)</f>
        <v>#N/A</v>
      </c>
      <c r="D10159" s="6">
        <f t="shared" si="159"/>
        <v>0</v>
      </c>
    </row>
    <row r="10160" spans="3:4" ht="15" x14ac:dyDescent="0.25">
      <c r="C10160" s="8" t="e">
        <f>VLOOKUP(A:A,'ITEM LIST'!A:C,3,0)</f>
        <v>#N/A</v>
      </c>
      <c r="D10160" s="6">
        <f t="shared" si="159"/>
        <v>0</v>
      </c>
    </row>
    <row r="10161" spans="3:4" ht="15" x14ac:dyDescent="0.25">
      <c r="C10161" s="8" t="e">
        <f>VLOOKUP(A:A,'ITEM LIST'!A:C,3,0)</f>
        <v>#N/A</v>
      </c>
      <c r="D10161" s="6">
        <f t="shared" si="159"/>
        <v>0</v>
      </c>
    </row>
    <row r="10162" spans="3:4" ht="15" x14ac:dyDescent="0.25">
      <c r="C10162" s="8" t="e">
        <f>VLOOKUP(A:A,'ITEM LIST'!A:C,3,0)</f>
        <v>#N/A</v>
      </c>
      <c r="D10162" s="6">
        <f t="shared" si="159"/>
        <v>0</v>
      </c>
    </row>
    <row r="10163" spans="3:4" ht="15" x14ac:dyDescent="0.25">
      <c r="C10163" s="8" t="e">
        <f>VLOOKUP(A:A,'ITEM LIST'!A:C,3,0)</f>
        <v>#N/A</v>
      </c>
      <c r="D10163" s="6">
        <f t="shared" si="159"/>
        <v>0</v>
      </c>
    </row>
    <row r="10164" spans="3:4" ht="15" x14ac:dyDescent="0.25">
      <c r="C10164" s="8" t="e">
        <f>VLOOKUP(A:A,'ITEM LIST'!A:C,3,0)</f>
        <v>#N/A</v>
      </c>
      <c r="D10164" s="6">
        <f t="shared" si="159"/>
        <v>0</v>
      </c>
    </row>
    <row r="10165" spans="3:4" ht="15" x14ac:dyDescent="0.25">
      <c r="C10165" s="8" t="e">
        <f>VLOOKUP(A:A,'ITEM LIST'!A:C,3,0)</f>
        <v>#N/A</v>
      </c>
      <c r="D10165" s="6">
        <f t="shared" si="159"/>
        <v>0</v>
      </c>
    </row>
    <row r="10166" spans="3:4" ht="15" x14ac:dyDescent="0.25">
      <c r="C10166" s="8" t="e">
        <f>VLOOKUP(A:A,'ITEM LIST'!A:C,3,0)</f>
        <v>#N/A</v>
      </c>
      <c r="D10166" s="6">
        <f t="shared" si="159"/>
        <v>0</v>
      </c>
    </row>
    <row r="10167" spans="3:4" ht="15" x14ac:dyDescent="0.25">
      <c r="C10167" s="8" t="e">
        <f>VLOOKUP(A:A,'ITEM LIST'!A:C,3,0)</f>
        <v>#N/A</v>
      </c>
      <c r="D10167" s="6">
        <f t="shared" si="159"/>
        <v>0</v>
      </c>
    </row>
    <row r="10168" spans="3:4" ht="15" x14ac:dyDescent="0.25">
      <c r="C10168" s="8" t="e">
        <f>VLOOKUP(A:A,'ITEM LIST'!A:C,3,0)</f>
        <v>#N/A</v>
      </c>
      <c r="D10168" s="6">
        <f t="shared" si="159"/>
        <v>0</v>
      </c>
    </row>
    <row r="10169" spans="3:4" ht="15" x14ac:dyDescent="0.25">
      <c r="C10169" s="8" t="e">
        <f>VLOOKUP(A:A,'ITEM LIST'!A:C,3,0)</f>
        <v>#N/A</v>
      </c>
      <c r="D10169" s="6">
        <f t="shared" si="159"/>
        <v>0</v>
      </c>
    </row>
    <row r="10170" spans="3:4" ht="15" x14ac:dyDescent="0.25">
      <c r="C10170" s="8" t="e">
        <f>VLOOKUP(A:A,'ITEM LIST'!A:C,3,0)</f>
        <v>#N/A</v>
      </c>
      <c r="D10170" s="6">
        <f t="shared" si="159"/>
        <v>0</v>
      </c>
    </row>
    <row r="10171" spans="3:4" ht="15" x14ac:dyDescent="0.25">
      <c r="C10171" s="8" t="e">
        <f>VLOOKUP(A:A,'ITEM LIST'!A:C,3,0)</f>
        <v>#N/A</v>
      </c>
      <c r="D10171" s="6">
        <f t="shared" si="159"/>
        <v>0</v>
      </c>
    </row>
    <row r="10172" spans="3:4" ht="15" x14ac:dyDescent="0.25">
      <c r="C10172" s="8" t="e">
        <f>VLOOKUP(A:A,'ITEM LIST'!A:C,3,0)</f>
        <v>#N/A</v>
      </c>
      <c r="D10172" s="6">
        <f t="shared" si="159"/>
        <v>0</v>
      </c>
    </row>
    <row r="10173" spans="3:4" ht="15" x14ac:dyDescent="0.25">
      <c r="C10173" s="8" t="e">
        <f>VLOOKUP(A:A,'ITEM LIST'!A:C,3,0)</f>
        <v>#N/A</v>
      </c>
      <c r="D10173" s="6">
        <f t="shared" si="159"/>
        <v>0</v>
      </c>
    </row>
    <row r="10174" spans="3:4" ht="15" x14ac:dyDescent="0.25">
      <c r="C10174" s="8" t="e">
        <f>VLOOKUP(A:A,'ITEM LIST'!A:C,3,0)</f>
        <v>#N/A</v>
      </c>
      <c r="D10174" s="6">
        <f t="shared" si="159"/>
        <v>0</v>
      </c>
    </row>
    <row r="10175" spans="3:4" ht="15" x14ac:dyDescent="0.25">
      <c r="C10175" s="8" t="e">
        <f>VLOOKUP(A:A,'ITEM LIST'!A:C,3,0)</f>
        <v>#N/A</v>
      </c>
      <c r="D10175" s="6">
        <f t="shared" si="159"/>
        <v>0</v>
      </c>
    </row>
    <row r="10176" spans="3:4" ht="15" x14ac:dyDescent="0.25">
      <c r="C10176" s="8" t="e">
        <f>VLOOKUP(A:A,'ITEM LIST'!A:C,3,0)</f>
        <v>#N/A</v>
      </c>
      <c r="D10176" s="6">
        <f t="shared" si="159"/>
        <v>0</v>
      </c>
    </row>
    <row r="10177" spans="3:4" ht="15" x14ac:dyDescent="0.25">
      <c r="C10177" s="8" t="e">
        <f>VLOOKUP(A:A,'ITEM LIST'!A:C,3,0)</f>
        <v>#N/A</v>
      </c>
      <c r="D10177" s="6">
        <f t="shared" si="159"/>
        <v>0</v>
      </c>
    </row>
    <row r="10178" spans="3:4" ht="15" x14ac:dyDescent="0.25">
      <c r="C10178" s="8" t="e">
        <f>VLOOKUP(A:A,'ITEM LIST'!A:C,3,0)</f>
        <v>#N/A</v>
      </c>
      <c r="D10178" s="6">
        <f t="shared" si="159"/>
        <v>0</v>
      </c>
    </row>
    <row r="10179" spans="3:4" ht="15" x14ac:dyDescent="0.25">
      <c r="C10179" s="8" t="e">
        <f>VLOOKUP(A:A,'ITEM LIST'!A:C,3,0)</f>
        <v>#N/A</v>
      </c>
      <c r="D10179" s="6">
        <f t="shared" si="159"/>
        <v>0</v>
      </c>
    </row>
    <row r="10180" spans="3:4" ht="15" x14ac:dyDescent="0.25">
      <c r="C10180" s="8" t="e">
        <f>VLOOKUP(A:A,'ITEM LIST'!A:C,3,0)</f>
        <v>#N/A</v>
      </c>
      <c r="D10180" s="6">
        <f t="shared" si="159"/>
        <v>0</v>
      </c>
    </row>
    <row r="10181" spans="3:4" ht="15" x14ac:dyDescent="0.25">
      <c r="C10181" s="8" t="e">
        <f>VLOOKUP(A:A,'ITEM LIST'!A:C,3,0)</f>
        <v>#N/A</v>
      </c>
      <c r="D10181" s="6">
        <f t="shared" si="159"/>
        <v>0</v>
      </c>
    </row>
    <row r="10182" spans="3:4" ht="15" x14ac:dyDescent="0.25">
      <c r="C10182" s="8" t="e">
        <f>VLOOKUP(A:A,'ITEM LIST'!A:C,3,0)</f>
        <v>#N/A</v>
      </c>
      <c r="D10182" s="6">
        <f t="shared" ref="D10182:D10245" si="160">B10182</f>
        <v>0</v>
      </c>
    </row>
    <row r="10183" spans="3:4" ht="15" x14ac:dyDescent="0.25">
      <c r="C10183" s="8" t="e">
        <f>VLOOKUP(A:A,'ITEM LIST'!A:C,3,0)</f>
        <v>#N/A</v>
      </c>
      <c r="D10183" s="6">
        <f t="shared" si="160"/>
        <v>0</v>
      </c>
    </row>
    <row r="10184" spans="3:4" ht="15" x14ac:dyDescent="0.25">
      <c r="C10184" s="8" t="e">
        <f>VLOOKUP(A:A,'ITEM LIST'!A:C,3,0)</f>
        <v>#N/A</v>
      </c>
      <c r="D10184" s="6">
        <f t="shared" si="160"/>
        <v>0</v>
      </c>
    </row>
    <row r="10185" spans="3:4" ht="15" x14ac:dyDescent="0.25">
      <c r="C10185" s="8" t="e">
        <f>VLOOKUP(A:A,'ITEM LIST'!A:C,3,0)</f>
        <v>#N/A</v>
      </c>
      <c r="D10185" s="6">
        <f t="shared" si="160"/>
        <v>0</v>
      </c>
    </row>
    <row r="10186" spans="3:4" ht="15" x14ac:dyDescent="0.25">
      <c r="C10186" s="8" t="e">
        <f>VLOOKUP(A:A,'ITEM LIST'!A:C,3,0)</f>
        <v>#N/A</v>
      </c>
      <c r="D10186" s="6">
        <f t="shared" si="160"/>
        <v>0</v>
      </c>
    </row>
    <row r="10187" spans="3:4" ht="15" x14ac:dyDescent="0.25">
      <c r="C10187" s="8" t="e">
        <f>VLOOKUP(A:A,'ITEM LIST'!A:C,3,0)</f>
        <v>#N/A</v>
      </c>
      <c r="D10187" s="6">
        <f t="shared" si="160"/>
        <v>0</v>
      </c>
    </row>
    <row r="10188" spans="3:4" ht="15" x14ac:dyDescent="0.25">
      <c r="C10188" s="8" t="e">
        <f>VLOOKUP(A:A,'ITEM LIST'!A:C,3,0)</f>
        <v>#N/A</v>
      </c>
      <c r="D10188" s="6">
        <f t="shared" si="160"/>
        <v>0</v>
      </c>
    </row>
    <row r="10189" spans="3:4" ht="15" x14ac:dyDescent="0.25">
      <c r="C10189" s="8" t="e">
        <f>VLOOKUP(A:A,'ITEM LIST'!A:C,3,0)</f>
        <v>#N/A</v>
      </c>
      <c r="D10189" s="6">
        <f t="shared" si="160"/>
        <v>0</v>
      </c>
    </row>
    <row r="10190" spans="3:4" ht="15" x14ac:dyDescent="0.25">
      <c r="C10190" s="8" t="e">
        <f>VLOOKUP(A:A,'ITEM LIST'!A:C,3,0)</f>
        <v>#N/A</v>
      </c>
      <c r="D10190" s="6">
        <f t="shared" si="160"/>
        <v>0</v>
      </c>
    </row>
    <row r="10191" spans="3:4" ht="15" x14ac:dyDescent="0.25">
      <c r="C10191" s="8" t="e">
        <f>VLOOKUP(A:A,'ITEM LIST'!A:C,3,0)</f>
        <v>#N/A</v>
      </c>
      <c r="D10191" s="6">
        <f t="shared" si="160"/>
        <v>0</v>
      </c>
    </row>
    <row r="10192" spans="3:4" ht="15" x14ac:dyDescent="0.25">
      <c r="C10192" s="8" t="e">
        <f>VLOOKUP(A:A,'ITEM LIST'!A:C,3,0)</f>
        <v>#N/A</v>
      </c>
      <c r="D10192" s="6">
        <f t="shared" si="160"/>
        <v>0</v>
      </c>
    </row>
    <row r="10193" spans="3:4" ht="15" x14ac:dyDescent="0.25">
      <c r="C10193" s="8" t="e">
        <f>VLOOKUP(A:A,'ITEM LIST'!A:C,3,0)</f>
        <v>#N/A</v>
      </c>
      <c r="D10193" s="6">
        <f t="shared" si="160"/>
        <v>0</v>
      </c>
    </row>
    <row r="10194" spans="3:4" ht="15" x14ac:dyDescent="0.25">
      <c r="C10194" s="8" t="e">
        <f>VLOOKUP(A:A,'ITEM LIST'!A:C,3,0)</f>
        <v>#N/A</v>
      </c>
      <c r="D10194" s="6">
        <f t="shared" si="160"/>
        <v>0</v>
      </c>
    </row>
    <row r="10195" spans="3:4" ht="15" x14ac:dyDescent="0.25">
      <c r="C10195" s="8" t="e">
        <f>VLOOKUP(A:A,'ITEM LIST'!A:C,3,0)</f>
        <v>#N/A</v>
      </c>
      <c r="D10195" s="6">
        <f t="shared" si="160"/>
        <v>0</v>
      </c>
    </row>
    <row r="10196" spans="3:4" ht="15" x14ac:dyDescent="0.25">
      <c r="C10196" s="8" t="e">
        <f>VLOOKUP(A:A,'ITEM LIST'!A:C,3,0)</f>
        <v>#N/A</v>
      </c>
      <c r="D10196" s="6">
        <f t="shared" si="160"/>
        <v>0</v>
      </c>
    </row>
    <row r="10197" spans="3:4" ht="15" x14ac:dyDescent="0.25">
      <c r="C10197" s="8" t="e">
        <f>VLOOKUP(A:A,'ITEM LIST'!A:C,3,0)</f>
        <v>#N/A</v>
      </c>
      <c r="D10197" s="6">
        <f t="shared" si="160"/>
        <v>0</v>
      </c>
    </row>
    <row r="10198" spans="3:4" ht="15" x14ac:dyDescent="0.25">
      <c r="C10198" s="8" t="e">
        <f>VLOOKUP(A:A,'ITEM LIST'!A:C,3,0)</f>
        <v>#N/A</v>
      </c>
      <c r="D10198" s="6">
        <f t="shared" si="160"/>
        <v>0</v>
      </c>
    </row>
    <row r="10199" spans="3:4" ht="15" x14ac:dyDescent="0.25">
      <c r="C10199" s="8" t="e">
        <f>VLOOKUP(A:A,'ITEM LIST'!A:C,3,0)</f>
        <v>#N/A</v>
      </c>
      <c r="D10199" s="6">
        <f t="shared" si="160"/>
        <v>0</v>
      </c>
    </row>
    <row r="10200" spans="3:4" ht="15" x14ac:dyDescent="0.25">
      <c r="C10200" s="8" t="e">
        <f>VLOOKUP(A:A,'ITEM LIST'!A:C,3,0)</f>
        <v>#N/A</v>
      </c>
      <c r="D10200" s="6">
        <f t="shared" si="160"/>
        <v>0</v>
      </c>
    </row>
    <row r="10201" spans="3:4" ht="15" x14ac:dyDescent="0.25">
      <c r="C10201" s="8" t="e">
        <f>VLOOKUP(A:A,'ITEM LIST'!A:C,3,0)</f>
        <v>#N/A</v>
      </c>
      <c r="D10201" s="6">
        <f t="shared" si="160"/>
        <v>0</v>
      </c>
    </row>
    <row r="10202" spans="3:4" ht="15" x14ac:dyDescent="0.25">
      <c r="C10202" s="8" t="e">
        <f>VLOOKUP(A:A,'ITEM LIST'!A:C,3,0)</f>
        <v>#N/A</v>
      </c>
      <c r="D10202" s="6">
        <f t="shared" si="160"/>
        <v>0</v>
      </c>
    </row>
    <row r="10203" spans="3:4" ht="15" x14ac:dyDescent="0.25">
      <c r="C10203" s="8" t="e">
        <f>VLOOKUP(A:A,'ITEM LIST'!A:C,3,0)</f>
        <v>#N/A</v>
      </c>
      <c r="D10203" s="6">
        <f t="shared" si="160"/>
        <v>0</v>
      </c>
    </row>
    <row r="10204" spans="3:4" ht="15" x14ac:dyDescent="0.25">
      <c r="C10204" s="8" t="e">
        <f>VLOOKUP(A:A,'ITEM LIST'!A:C,3,0)</f>
        <v>#N/A</v>
      </c>
      <c r="D10204" s="6">
        <f t="shared" si="160"/>
        <v>0</v>
      </c>
    </row>
    <row r="10205" spans="3:4" ht="15" x14ac:dyDescent="0.25">
      <c r="C10205" s="8" t="e">
        <f>VLOOKUP(A:A,'ITEM LIST'!A:C,3,0)</f>
        <v>#N/A</v>
      </c>
      <c r="D10205" s="6">
        <f t="shared" si="160"/>
        <v>0</v>
      </c>
    </row>
    <row r="10206" spans="3:4" ht="15" x14ac:dyDescent="0.25">
      <c r="C10206" s="8" t="e">
        <f>VLOOKUP(A:A,'ITEM LIST'!A:C,3,0)</f>
        <v>#N/A</v>
      </c>
      <c r="D10206" s="6">
        <f t="shared" si="160"/>
        <v>0</v>
      </c>
    </row>
    <row r="10207" spans="3:4" ht="15" x14ac:dyDescent="0.25">
      <c r="C10207" s="8" t="e">
        <f>VLOOKUP(A:A,'ITEM LIST'!A:C,3,0)</f>
        <v>#N/A</v>
      </c>
      <c r="D10207" s="6">
        <f t="shared" si="160"/>
        <v>0</v>
      </c>
    </row>
    <row r="10208" spans="3:4" ht="15" x14ac:dyDescent="0.25">
      <c r="C10208" s="8" t="e">
        <f>VLOOKUP(A:A,'ITEM LIST'!A:C,3,0)</f>
        <v>#N/A</v>
      </c>
      <c r="D10208" s="6">
        <f t="shared" si="160"/>
        <v>0</v>
      </c>
    </row>
    <row r="10209" spans="3:4" ht="15" x14ac:dyDescent="0.25">
      <c r="C10209" s="8" t="e">
        <f>VLOOKUP(A:A,'ITEM LIST'!A:C,3,0)</f>
        <v>#N/A</v>
      </c>
      <c r="D10209" s="6">
        <f t="shared" si="160"/>
        <v>0</v>
      </c>
    </row>
    <row r="10210" spans="3:4" ht="15" x14ac:dyDescent="0.25">
      <c r="C10210" s="8" t="e">
        <f>VLOOKUP(A:A,'ITEM LIST'!A:C,3,0)</f>
        <v>#N/A</v>
      </c>
      <c r="D10210" s="6">
        <f t="shared" si="160"/>
        <v>0</v>
      </c>
    </row>
    <row r="10211" spans="3:4" ht="15" x14ac:dyDescent="0.25">
      <c r="C10211" s="8" t="e">
        <f>VLOOKUP(A:A,'ITEM LIST'!A:C,3,0)</f>
        <v>#N/A</v>
      </c>
      <c r="D10211" s="6">
        <f t="shared" si="160"/>
        <v>0</v>
      </c>
    </row>
    <row r="10212" spans="3:4" ht="15" x14ac:dyDescent="0.25">
      <c r="C10212" s="8" t="e">
        <f>VLOOKUP(A:A,'ITEM LIST'!A:C,3,0)</f>
        <v>#N/A</v>
      </c>
      <c r="D10212" s="6">
        <f t="shared" si="160"/>
        <v>0</v>
      </c>
    </row>
    <row r="10213" spans="3:4" ht="15" x14ac:dyDescent="0.25">
      <c r="C10213" s="8" t="e">
        <f>VLOOKUP(A:A,'ITEM LIST'!A:C,3,0)</f>
        <v>#N/A</v>
      </c>
      <c r="D10213" s="6">
        <f t="shared" si="160"/>
        <v>0</v>
      </c>
    </row>
    <row r="10214" spans="3:4" ht="15" x14ac:dyDescent="0.25">
      <c r="C10214" s="8" t="e">
        <f>VLOOKUP(A:A,'ITEM LIST'!A:C,3,0)</f>
        <v>#N/A</v>
      </c>
      <c r="D10214" s="6">
        <f t="shared" si="160"/>
        <v>0</v>
      </c>
    </row>
    <row r="10215" spans="3:4" ht="15" x14ac:dyDescent="0.25">
      <c r="C10215" s="8" t="e">
        <f>VLOOKUP(A:A,'ITEM LIST'!A:C,3,0)</f>
        <v>#N/A</v>
      </c>
      <c r="D10215" s="6">
        <f t="shared" si="160"/>
        <v>0</v>
      </c>
    </row>
    <row r="10216" spans="3:4" ht="15" x14ac:dyDescent="0.25">
      <c r="C10216" s="8" t="e">
        <f>VLOOKUP(A:A,'ITEM LIST'!A:C,3,0)</f>
        <v>#N/A</v>
      </c>
      <c r="D10216" s="6">
        <f t="shared" si="160"/>
        <v>0</v>
      </c>
    </row>
    <row r="10217" spans="3:4" ht="15" x14ac:dyDescent="0.25">
      <c r="C10217" s="8" t="e">
        <f>VLOOKUP(A:A,'ITEM LIST'!A:C,3,0)</f>
        <v>#N/A</v>
      </c>
      <c r="D10217" s="6">
        <f t="shared" si="160"/>
        <v>0</v>
      </c>
    </row>
    <row r="10218" spans="3:4" ht="15" x14ac:dyDescent="0.25">
      <c r="C10218" s="8" t="e">
        <f>VLOOKUP(A:A,'ITEM LIST'!A:C,3,0)</f>
        <v>#N/A</v>
      </c>
      <c r="D10218" s="6">
        <f t="shared" si="160"/>
        <v>0</v>
      </c>
    </row>
    <row r="10219" spans="3:4" ht="15" x14ac:dyDescent="0.25">
      <c r="C10219" s="8" t="e">
        <f>VLOOKUP(A:A,'ITEM LIST'!A:C,3,0)</f>
        <v>#N/A</v>
      </c>
      <c r="D10219" s="6">
        <f t="shared" si="160"/>
        <v>0</v>
      </c>
    </row>
    <row r="10220" spans="3:4" ht="15" x14ac:dyDescent="0.25">
      <c r="C10220" s="8" t="e">
        <f>VLOOKUP(A:A,'ITEM LIST'!A:C,3,0)</f>
        <v>#N/A</v>
      </c>
      <c r="D10220" s="6">
        <f t="shared" si="160"/>
        <v>0</v>
      </c>
    </row>
    <row r="10221" spans="3:4" ht="15" x14ac:dyDescent="0.25">
      <c r="C10221" s="8" t="e">
        <f>VLOOKUP(A:A,'ITEM LIST'!A:C,3,0)</f>
        <v>#N/A</v>
      </c>
      <c r="D10221" s="6">
        <f t="shared" si="160"/>
        <v>0</v>
      </c>
    </row>
    <row r="10222" spans="3:4" ht="15" x14ac:dyDescent="0.25">
      <c r="C10222" s="8" t="e">
        <f>VLOOKUP(A:A,'ITEM LIST'!A:C,3,0)</f>
        <v>#N/A</v>
      </c>
      <c r="D10222" s="6">
        <f t="shared" si="160"/>
        <v>0</v>
      </c>
    </row>
    <row r="10223" spans="3:4" ht="15" x14ac:dyDescent="0.25">
      <c r="C10223" s="8" t="e">
        <f>VLOOKUP(A:A,'ITEM LIST'!A:C,3,0)</f>
        <v>#N/A</v>
      </c>
      <c r="D10223" s="6">
        <f t="shared" si="160"/>
        <v>0</v>
      </c>
    </row>
    <row r="10224" spans="3:4" ht="15" x14ac:dyDescent="0.25">
      <c r="C10224" s="8" t="e">
        <f>VLOOKUP(A:A,'ITEM LIST'!A:C,3,0)</f>
        <v>#N/A</v>
      </c>
      <c r="D10224" s="6">
        <f t="shared" si="160"/>
        <v>0</v>
      </c>
    </row>
    <row r="10225" spans="3:4" ht="15" x14ac:dyDescent="0.25">
      <c r="C10225" s="8" t="e">
        <f>VLOOKUP(A:A,'ITEM LIST'!A:C,3,0)</f>
        <v>#N/A</v>
      </c>
      <c r="D10225" s="6">
        <f t="shared" si="160"/>
        <v>0</v>
      </c>
    </row>
    <row r="10226" spans="3:4" ht="15" x14ac:dyDescent="0.25">
      <c r="C10226" s="8" t="e">
        <f>VLOOKUP(A:A,'ITEM LIST'!A:C,3,0)</f>
        <v>#N/A</v>
      </c>
      <c r="D10226" s="6">
        <f t="shared" si="160"/>
        <v>0</v>
      </c>
    </row>
    <row r="10227" spans="3:4" ht="15" x14ac:dyDescent="0.25">
      <c r="C10227" s="8" t="e">
        <f>VLOOKUP(A:A,'ITEM LIST'!A:C,3,0)</f>
        <v>#N/A</v>
      </c>
      <c r="D10227" s="6">
        <f t="shared" si="160"/>
        <v>0</v>
      </c>
    </row>
    <row r="10228" spans="3:4" ht="15" x14ac:dyDescent="0.25">
      <c r="C10228" s="8" t="e">
        <f>VLOOKUP(A:A,'ITEM LIST'!A:C,3,0)</f>
        <v>#N/A</v>
      </c>
      <c r="D10228" s="6">
        <f t="shared" si="160"/>
        <v>0</v>
      </c>
    </row>
    <row r="10229" spans="3:4" ht="15" x14ac:dyDescent="0.25">
      <c r="C10229" s="8" t="e">
        <f>VLOOKUP(A:A,'ITEM LIST'!A:C,3,0)</f>
        <v>#N/A</v>
      </c>
      <c r="D10229" s="6">
        <f t="shared" si="160"/>
        <v>0</v>
      </c>
    </row>
    <row r="10230" spans="3:4" ht="15" x14ac:dyDescent="0.25">
      <c r="C10230" s="8" t="e">
        <f>VLOOKUP(A:A,'ITEM LIST'!A:C,3,0)</f>
        <v>#N/A</v>
      </c>
      <c r="D10230" s="6">
        <f t="shared" si="160"/>
        <v>0</v>
      </c>
    </row>
    <row r="10231" spans="3:4" ht="15" x14ac:dyDescent="0.25">
      <c r="C10231" s="8" t="e">
        <f>VLOOKUP(A:A,'ITEM LIST'!A:C,3,0)</f>
        <v>#N/A</v>
      </c>
      <c r="D10231" s="6">
        <f t="shared" si="160"/>
        <v>0</v>
      </c>
    </row>
    <row r="10232" spans="3:4" ht="15" x14ac:dyDescent="0.25">
      <c r="C10232" s="8" t="e">
        <f>VLOOKUP(A:A,'ITEM LIST'!A:C,3,0)</f>
        <v>#N/A</v>
      </c>
      <c r="D10232" s="6">
        <f t="shared" si="160"/>
        <v>0</v>
      </c>
    </row>
    <row r="10233" spans="3:4" ht="15" x14ac:dyDescent="0.25">
      <c r="C10233" s="8" t="e">
        <f>VLOOKUP(A:A,'ITEM LIST'!A:C,3,0)</f>
        <v>#N/A</v>
      </c>
      <c r="D10233" s="6">
        <f t="shared" si="160"/>
        <v>0</v>
      </c>
    </row>
    <row r="10234" spans="3:4" ht="15" x14ac:dyDescent="0.25">
      <c r="C10234" s="8" t="e">
        <f>VLOOKUP(A:A,'ITEM LIST'!A:C,3,0)</f>
        <v>#N/A</v>
      </c>
      <c r="D10234" s="6">
        <f t="shared" si="160"/>
        <v>0</v>
      </c>
    </row>
    <row r="10235" spans="3:4" ht="15" x14ac:dyDescent="0.25">
      <c r="C10235" s="8" t="e">
        <f>VLOOKUP(A:A,'ITEM LIST'!A:C,3,0)</f>
        <v>#N/A</v>
      </c>
      <c r="D10235" s="6">
        <f t="shared" si="160"/>
        <v>0</v>
      </c>
    </row>
    <row r="10236" spans="3:4" ht="15" x14ac:dyDescent="0.25">
      <c r="C10236" s="8" t="e">
        <f>VLOOKUP(A:A,'ITEM LIST'!A:C,3,0)</f>
        <v>#N/A</v>
      </c>
      <c r="D10236" s="6">
        <f t="shared" si="160"/>
        <v>0</v>
      </c>
    </row>
    <row r="10237" spans="3:4" ht="15" x14ac:dyDescent="0.25">
      <c r="C10237" s="8" t="e">
        <f>VLOOKUP(A:A,'ITEM LIST'!A:C,3,0)</f>
        <v>#N/A</v>
      </c>
      <c r="D10237" s="6">
        <f t="shared" si="160"/>
        <v>0</v>
      </c>
    </row>
    <row r="10238" spans="3:4" ht="15" x14ac:dyDescent="0.25">
      <c r="C10238" s="8" t="e">
        <f>VLOOKUP(A:A,'ITEM LIST'!A:C,3,0)</f>
        <v>#N/A</v>
      </c>
      <c r="D10238" s="6">
        <f t="shared" si="160"/>
        <v>0</v>
      </c>
    </row>
    <row r="10239" spans="3:4" ht="15" x14ac:dyDescent="0.25">
      <c r="C10239" s="8" t="e">
        <f>VLOOKUP(A:A,'ITEM LIST'!A:C,3,0)</f>
        <v>#N/A</v>
      </c>
      <c r="D10239" s="6">
        <f t="shared" si="160"/>
        <v>0</v>
      </c>
    </row>
    <row r="10240" spans="3:4" ht="15" x14ac:dyDescent="0.25">
      <c r="C10240" s="8" t="e">
        <f>VLOOKUP(A:A,'ITEM LIST'!A:C,3,0)</f>
        <v>#N/A</v>
      </c>
      <c r="D10240" s="6">
        <f t="shared" si="160"/>
        <v>0</v>
      </c>
    </row>
    <row r="10241" spans="3:4" ht="15" x14ac:dyDescent="0.25">
      <c r="C10241" s="8" t="e">
        <f>VLOOKUP(A:A,'ITEM LIST'!A:C,3,0)</f>
        <v>#N/A</v>
      </c>
      <c r="D10241" s="6">
        <f t="shared" si="160"/>
        <v>0</v>
      </c>
    </row>
    <row r="10242" spans="3:4" ht="15" x14ac:dyDescent="0.25">
      <c r="C10242" s="8" t="e">
        <f>VLOOKUP(A:A,'ITEM LIST'!A:C,3,0)</f>
        <v>#N/A</v>
      </c>
      <c r="D10242" s="6">
        <f t="shared" si="160"/>
        <v>0</v>
      </c>
    </row>
    <row r="10243" spans="3:4" ht="15" x14ac:dyDescent="0.25">
      <c r="C10243" s="8" t="e">
        <f>VLOOKUP(A:A,'ITEM LIST'!A:C,3,0)</f>
        <v>#N/A</v>
      </c>
      <c r="D10243" s="6">
        <f t="shared" si="160"/>
        <v>0</v>
      </c>
    </row>
    <row r="10244" spans="3:4" ht="15" x14ac:dyDescent="0.25">
      <c r="C10244" s="8" t="e">
        <f>VLOOKUP(A:A,'ITEM LIST'!A:C,3,0)</f>
        <v>#N/A</v>
      </c>
      <c r="D10244" s="6">
        <f t="shared" si="160"/>
        <v>0</v>
      </c>
    </row>
    <row r="10245" spans="3:4" ht="15" x14ac:dyDescent="0.25">
      <c r="C10245" s="8" t="e">
        <f>VLOOKUP(A:A,'ITEM LIST'!A:C,3,0)</f>
        <v>#N/A</v>
      </c>
      <c r="D10245" s="6">
        <f t="shared" si="160"/>
        <v>0</v>
      </c>
    </row>
    <row r="10246" spans="3:4" ht="15" x14ac:dyDescent="0.25">
      <c r="C10246" s="8" t="e">
        <f>VLOOKUP(A:A,'ITEM LIST'!A:C,3,0)</f>
        <v>#N/A</v>
      </c>
      <c r="D10246" s="6">
        <f t="shared" ref="D10246:D10309" si="161">B10246</f>
        <v>0</v>
      </c>
    </row>
    <row r="10247" spans="3:4" ht="15" x14ac:dyDescent="0.25">
      <c r="C10247" s="8" t="e">
        <f>VLOOKUP(A:A,'ITEM LIST'!A:C,3,0)</f>
        <v>#N/A</v>
      </c>
      <c r="D10247" s="6">
        <f t="shared" si="161"/>
        <v>0</v>
      </c>
    </row>
    <row r="10248" spans="3:4" ht="15" x14ac:dyDescent="0.25">
      <c r="C10248" s="8" t="e">
        <f>VLOOKUP(A:A,'ITEM LIST'!A:C,3,0)</f>
        <v>#N/A</v>
      </c>
      <c r="D10248" s="6">
        <f t="shared" si="161"/>
        <v>0</v>
      </c>
    </row>
    <row r="10249" spans="3:4" ht="15" x14ac:dyDescent="0.25">
      <c r="C10249" s="8" t="e">
        <f>VLOOKUP(A:A,'ITEM LIST'!A:C,3,0)</f>
        <v>#N/A</v>
      </c>
      <c r="D10249" s="6">
        <f t="shared" si="161"/>
        <v>0</v>
      </c>
    </row>
    <row r="10250" spans="3:4" ht="15" x14ac:dyDescent="0.25">
      <c r="C10250" s="8" t="e">
        <f>VLOOKUP(A:A,'ITEM LIST'!A:C,3,0)</f>
        <v>#N/A</v>
      </c>
      <c r="D10250" s="6">
        <f t="shared" si="161"/>
        <v>0</v>
      </c>
    </row>
    <row r="10251" spans="3:4" ht="15" x14ac:dyDescent="0.25">
      <c r="C10251" s="8" t="e">
        <f>VLOOKUP(A:A,'ITEM LIST'!A:C,3,0)</f>
        <v>#N/A</v>
      </c>
      <c r="D10251" s="6">
        <f t="shared" si="161"/>
        <v>0</v>
      </c>
    </row>
    <row r="10252" spans="3:4" ht="15" x14ac:dyDescent="0.25">
      <c r="C10252" s="8" t="e">
        <f>VLOOKUP(A:A,'ITEM LIST'!A:C,3,0)</f>
        <v>#N/A</v>
      </c>
      <c r="D10252" s="6">
        <f t="shared" si="161"/>
        <v>0</v>
      </c>
    </row>
    <row r="10253" spans="3:4" ht="15" x14ac:dyDescent="0.25">
      <c r="C10253" s="8" t="e">
        <f>VLOOKUP(A:A,'ITEM LIST'!A:C,3,0)</f>
        <v>#N/A</v>
      </c>
      <c r="D10253" s="6">
        <f t="shared" si="161"/>
        <v>0</v>
      </c>
    </row>
    <row r="10254" spans="3:4" ht="15" x14ac:dyDescent="0.25">
      <c r="C10254" s="8" t="e">
        <f>VLOOKUP(A:A,'ITEM LIST'!A:C,3,0)</f>
        <v>#N/A</v>
      </c>
      <c r="D10254" s="6">
        <f t="shared" si="161"/>
        <v>0</v>
      </c>
    </row>
    <row r="10255" spans="3:4" ht="15" x14ac:dyDescent="0.25">
      <c r="C10255" s="8" t="e">
        <f>VLOOKUP(A:A,'ITEM LIST'!A:C,3,0)</f>
        <v>#N/A</v>
      </c>
      <c r="D10255" s="6">
        <f t="shared" si="161"/>
        <v>0</v>
      </c>
    </row>
    <row r="10256" spans="3:4" ht="15" x14ac:dyDescent="0.25">
      <c r="C10256" s="8" t="e">
        <f>VLOOKUP(A:A,'ITEM LIST'!A:C,3,0)</f>
        <v>#N/A</v>
      </c>
      <c r="D10256" s="6">
        <f t="shared" si="161"/>
        <v>0</v>
      </c>
    </row>
    <row r="10257" spans="3:4" ht="15" x14ac:dyDescent="0.25">
      <c r="C10257" s="8" t="e">
        <f>VLOOKUP(A:A,'ITEM LIST'!A:C,3,0)</f>
        <v>#N/A</v>
      </c>
      <c r="D10257" s="6">
        <f t="shared" si="161"/>
        <v>0</v>
      </c>
    </row>
    <row r="10258" spans="3:4" ht="15" x14ac:dyDescent="0.25">
      <c r="C10258" s="8" t="e">
        <f>VLOOKUP(A:A,'ITEM LIST'!A:C,3,0)</f>
        <v>#N/A</v>
      </c>
      <c r="D10258" s="6">
        <f t="shared" si="161"/>
        <v>0</v>
      </c>
    </row>
    <row r="10259" spans="3:4" ht="15" x14ac:dyDescent="0.25">
      <c r="C10259" s="8" t="e">
        <f>VLOOKUP(A:A,'ITEM LIST'!A:C,3,0)</f>
        <v>#N/A</v>
      </c>
      <c r="D10259" s="6">
        <f t="shared" si="161"/>
        <v>0</v>
      </c>
    </row>
    <row r="10260" spans="3:4" ht="15" x14ac:dyDescent="0.25">
      <c r="C10260" s="8" t="e">
        <f>VLOOKUP(A:A,'ITEM LIST'!A:C,3,0)</f>
        <v>#N/A</v>
      </c>
      <c r="D10260" s="6">
        <f t="shared" si="161"/>
        <v>0</v>
      </c>
    </row>
    <row r="10261" spans="3:4" ht="15" x14ac:dyDescent="0.25">
      <c r="C10261" s="8" t="e">
        <f>VLOOKUP(A:A,'ITEM LIST'!A:C,3,0)</f>
        <v>#N/A</v>
      </c>
      <c r="D10261" s="6">
        <f t="shared" si="161"/>
        <v>0</v>
      </c>
    </row>
    <row r="10262" spans="3:4" ht="15" x14ac:dyDescent="0.25">
      <c r="C10262" s="8" t="e">
        <f>VLOOKUP(A:A,'ITEM LIST'!A:C,3,0)</f>
        <v>#N/A</v>
      </c>
      <c r="D10262" s="6">
        <f t="shared" si="161"/>
        <v>0</v>
      </c>
    </row>
    <row r="10263" spans="3:4" ht="15" x14ac:dyDescent="0.25">
      <c r="C10263" s="8" t="e">
        <f>VLOOKUP(A:A,'ITEM LIST'!A:C,3,0)</f>
        <v>#N/A</v>
      </c>
      <c r="D10263" s="6">
        <f t="shared" si="161"/>
        <v>0</v>
      </c>
    </row>
    <row r="10264" spans="3:4" ht="15" x14ac:dyDescent="0.25">
      <c r="C10264" s="8" t="e">
        <f>VLOOKUP(A:A,'ITEM LIST'!A:C,3,0)</f>
        <v>#N/A</v>
      </c>
      <c r="D10264" s="6">
        <f t="shared" si="161"/>
        <v>0</v>
      </c>
    </row>
    <row r="10265" spans="3:4" ht="15" x14ac:dyDescent="0.25">
      <c r="C10265" s="8" t="e">
        <f>VLOOKUP(A:A,'ITEM LIST'!A:C,3,0)</f>
        <v>#N/A</v>
      </c>
      <c r="D10265" s="6">
        <f t="shared" si="161"/>
        <v>0</v>
      </c>
    </row>
    <row r="10266" spans="3:4" ht="15" x14ac:dyDescent="0.25">
      <c r="C10266" s="8" t="e">
        <f>VLOOKUP(A:A,'ITEM LIST'!A:C,3,0)</f>
        <v>#N/A</v>
      </c>
      <c r="D10266" s="6">
        <f t="shared" si="161"/>
        <v>0</v>
      </c>
    </row>
    <row r="10267" spans="3:4" ht="15" x14ac:dyDescent="0.25">
      <c r="C10267" s="8" t="e">
        <f>VLOOKUP(A:A,'ITEM LIST'!A:C,3,0)</f>
        <v>#N/A</v>
      </c>
      <c r="D10267" s="6">
        <f t="shared" si="161"/>
        <v>0</v>
      </c>
    </row>
    <row r="10268" spans="3:4" ht="15" x14ac:dyDescent="0.25">
      <c r="C10268" s="8" t="e">
        <f>VLOOKUP(A:A,'ITEM LIST'!A:C,3,0)</f>
        <v>#N/A</v>
      </c>
      <c r="D10268" s="6">
        <f t="shared" si="161"/>
        <v>0</v>
      </c>
    </row>
    <row r="10269" spans="3:4" ht="15" x14ac:dyDescent="0.25">
      <c r="C10269" s="8" t="e">
        <f>VLOOKUP(A:A,'ITEM LIST'!A:C,3,0)</f>
        <v>#N/A</v>
      </c>
      <c r="D10269" s="6">
        <f t="shared" si="161"/>
        <v>0</v>
      </c>
    </row>
    <row r="10270" spans="3:4" ht="15" x14ac:dyDescent="0.25">
      <c r="C10270" s="8" t="e">
        <f>VLOOKUP(A:A,'ITEM LIST'!A:C,3,0)</f>
        <v>#N/A</v>
      </c>
      <c r="D10270" s="6">
        <f t="shared" si="161"/>
        <v>0</v>
      </c>
    </row>
    <row r="10271" spans="3:4" ht="15" x14ac:dyDescent="0.25">
      <c r="C10271" s="8" t="e">
        <f>VLOOKUP(A:A,'ITEM LIST'!A:C,3,0)</f>
        <v>#N/A</v>
      </c>
      <c r="D10271" s="6">
        <f t="shared" si="161"/>
        <v>0</v>
      </c>
    </row>
    <row r="10272" spans="3:4" ht="15" x14ac:dyDescent="0.25">
      <c r="C10272" s="8" t="e">
        <f>VLOOKUP(A:A,'ITEM LIST'!A:C,3,0)</f>
        <v>#N/A</v>
      </c>
      <c r="D10272" s="6">
        <f t="shared" si="161"/>
        <v>0</v>
      </c>
    </row>
    <row r="10273" spans="3:4" ht="15" x14ac:dyDescent="0.25">
      <c r="C10273" s="8" t="e">
        <f>VLOOKUP(A:A,'ITEM LIST'!A:C,3,0)</f>
        <v>#N/A</v>
      </c>
      <c r="D10273" s="6">
        <f t="shared" si="161"/>
        <v>0</v>
      </c>
    </row>
    <row r="10274" spans="3:4" ht="15" x14ac:dyDescent="0.25">
      <c r="C10274" s="8" t="e">
        <f>VLOOKUP(A:A,'ITEM LIST'!A:C,3,0)</f>
        <v>#N/A</v>
      </c>
      <c r="D10274" s="6">
        <f t="shared" si="161"/>
        <v>0</v>
      </c>
    </row>
    <row r="10275" spans="3:4" ht="15" x14ac:dyDescent="0.25">
      <c r="C10275" s="8" t="e">
        <f>VLOOKUP(A:A,'ITEM LIST'!A:C,3,0)</f>
        <v>#N/A</v>
      </c>
      <c r="D10275" s="6">
        <f t="shared" si="161"/>
        <v>0</v>
      </c>
    </row>
    <row r="10276" spans="3:4" ht="15" x14ac:dyDescent="0.25">
      <c r="C10276" s="8" t="e">
        <f>VLOOKUP(A:A,'ITEM LIST'!A:C,3,0)</f>
        <v>#N/A</v>
      </c>
      <c r="D10276" s="6">
        <f t="shared" si="161"/>
        <v>0</v>
      </c>
    </row>
    <row r="10277" spans="3:4" ht="15" x14ac:dyDescent="0.25">
      <c r="C10277" s="8" t="e">
        <f>VLOOKUP(A:A,'ITEM LIST'!A:C,3,0)</f>
        <v>#N/A</v>
      </c>
      <c r="D10277" s="6">
        <f t="shared" si="161"/>
        <v>0</v>
      </c>
    </row>
    <row r="10278" spans="3:4" ht="15" x14ac:dyDescent="0.25">
      <c r="C10278" s="8" t="e">
        <f>VLOOKUP(A:A,'ITEM LIST'!A:C,3,0)</f>
        <v>#N/A</v>
      </c>
      <c r="D10278" s="6">
        <f t="shared" si="161"/>
        <v>0</v>
      </c>
    </row>
    <row r="10279" spans="3:4" ht="15" x14ac:dyDescent="0.25">
      <c r="C10279" s="8" t="e">
        <f>VLOOKUP(A:A,'ITEM LIST'!A:C,3,0)</f>
        <v>#N/A</v>
      </c>
      <c r="D10279" s="6">
        <f t="shared" si="161"/>
        <v>0</v>
      </c>
    </row>
    <row r="10280" spans="3:4" ht="15" x14ac:dyDescent="0.25">
      <c r="C10280" s="8" t="e">
        <f>VLOOKUP(A:A,'ITEM LIST'!A:C,3,0)</f>
        <v>#N/A</v>
      </c>
      <c r="D10280" s="6">
        <f t="shared" si="161"/>
        <v>0</v>
      </c>
    </row>
    <row r="10281" spans="3:4" ht="15" x14ac:dyDescent="0.25">
      <c r="C10281" s="8" t="e">
        <f>VLOOKUP(A:A,'ITEM LIST'!A:C,3,0)</f>
        <v>#N/A</v>
      </c>
      <c r="D10281" s="6">
        <f t="shared" si="161"/>
        <v>0</v>
      </c>
    </row>
    <row r="10282" spans="3:4" ht="15" x14ac:dyDescent="0.25">
      <c r="C10282" s="8" t="e">
        <f>VLOOKUP(A:A,'ITEM LIST'!A:C,3,0)</f>
        <v>#N/A</v>
      </c>
      <c r="D10282" s="6">
        <f t="shared" si="161"/>
        <v>0</v>
      </c>
    </row>
    <row r="10283" spans="3:4" ht="15" x14ac:dyDescent="0.25">
      <c r="C10283" s="8" t="e">
        <f>VLOOKUP(A:A,'ITEM LIST'!A:C,3,0)</f>
        <v>#N/A</v>
      </c>
      <c r="D10283" s="6">
        <f t="shared" si="161"/>
        <v>0</v>
      </c>
    </row>
    <row r="10284" spans="3:4" ht="15" x14ac:dyDescent="0.25">
      <c r="C10284" s="8" t="e">
        <f>VLOOKUP(A:A,'ITEM LIST'!A:C,3,0)</f>
        <v>#N/A</v>
      </c>
      <c r="D10284" s="6">
        <f t="shared" si="161"/>
        <v>0</v>
      </c>
    </row>
    <row r="10285" spans="3:4" ht="15" x14ac:dyDescent="0.25">
      <c r="C10285" s="8" t="e">
        <f>VLOOKUP(A:A,'ITEM LIST'!A:C,3,0)</f>
        <v>#N/A</v>
      </c>
      <c r="D10285" s="6">
        <f t="shared" si="161"/>
        <v>0</v>
      </c>
    </row>
    <row r="10286" spans="3:4" ht="15" x14ac:dyDescent="0.25">
      <c r="C10286" s="8" t="e">
        <f>VLOOKUP(A:A,'ITEM LIST'!A:C,3,0)</f>
        <v>#N/A</v>
      </c>
      <c r="D10286" s="6">
        <f t="shared" si="161"/>
        <v>0</v>
      </c>
    </row>
    <row r="10287" spans="3:4" ht="15" x14ac:dyDescent="0.25">
      <c r="C10287" s="8" t="e">
        <f>VLOOKUP(A:A,'ITEM LIST'!A:C,3,0)</f>
        <v>#N/A</v>
      </c>
      <c r="D10287" s="6">
        <f t="shared" si="161"/>
        <v>0</v>
      </c>
    </row>
    <row r="10288" spans="3:4" ht="15" x14ac:dyDescent="0.25">
      <c r="C10288" s="8" t="e">
        <f>VLOOKUP(A:A,'ITEM LIST'!A:C,3,0)</f>
        <v>#N/A</v>
      </c>
      <c r="D10288" s="6">
        <f t="shared" si="161"/>
        <v>0</v>
      </c>
    </row>
    <row r="10289" spans="3:4" ht="15" x14ac:dyDescent="0.25">
      <c r="C10289" s="8" t="e">
        <f>VLOOKUP(A:A,'ITEM LIST'!A:C,3,0)</f>
        <v>#N/A</v>
      </c>
      <c r="D10289" s="6">
        <f t="shared" si="161"/>
        <v>0</v>
      </c>
    </row>
    <row r="10290" spans="3:4" ht="15" x14ac:dyDescent="0.25">
      <c r="C10290" s="8" t="e">
        <f>VLOOKUP(A:A,'ITEM LIST'!A:C,3,0)</f>
        <v>#N/A</v>
      </c>
      <c r="D10290" s="6">
        <f t="shared" si="161"/>
        <v>0</v>
      </c>
    </row>
    <row r="10291" spans="3:4" ht="15" x14ac:dyDescent="0.25">
      <c r="C10291" s="8" t="e">
        <f>VLOOKUP(A:A,'ITEM LIST'!A:C,3,0)</f>
        <v>#N/A</v>
      </c>
      <c r="D10291" s="6">
        <f t="shared" si="161"/>
        <v>0</v>
      </c>
    </row>
    <row r="10292" spans="3:4" ht="15" x14ac:dyDescent="0.25">
      <c r="C10292" s="8" t="e">
        <f>VLOOKUP(A:A,'ITEM LIST'!A:C,3,0)</f>
        <v>#N/A</v>
      </c>
      <c r="D10292" s="6">
        <f t="shared" si="161"/>
        <v>0</v>
      </c>
    </row>
    <row r="10293" spans="3:4" ht="15" x14ac:dyDescent="0.25">
      <c r="C10293" s="8" t="e">
        <f>VLOOKUP(A:A,'ITEM LIST'!A:C,3,0)</f>
        <v>#N/A</v>
      </c>
      <c r="D10293" s="6">
        <f t="shared" si="161"/>
        <v>0</v>
      </c>
    </row>
    <row r="10294" spans="3:4" ht="15" x14ac:dyDescent="0.25">
      <c r="C10294" s="8" t="e">
        <f>VLOOKUP(A:A,'ITEM LIST'!A:C,3,0)</f>
        <v>#N/A</v>
      </c>
      <c r="D10294" s="6">
        <f t="shared" si="161"/>
        <v>0</v>
      </c>
    </row>
    <row r="10295" spans="3:4" ht="15" x14ac:dyDescent="0.25">
      <c r="C10295" s="8" t="e">
        <f>VLOOKUP(A:A,'ITEM LIST'!A:C,3,0)</f>
        <v>#N/A</v>
      </c>
      <c r="D10295" s="6">
        <f t="shared" si="161"/>
        <v>0</v>
      </c>
    </row>
    <row r="10296" spans="3:4" ht="15" x14ac:dyDescent="0.25">
      <c r="C10296" s="8" t="e">
        <f>VLOOKUP(A:A,'ITEM LIST'!A:C,3,0)</f>
        <v>#N/A</v>
      </c>
      <c r="D10296" s="6">
        <f t="shared" si="161"/>
        <v>0</v>
      </c>
    </row>
    <row r="10297" spans="3:4" ht="15" x14ac:dyDescent="0.25">
      <c r="C10297" s="8" t="e">
        <f>VLOOKUP(A:A,'ITEM LIST'!A:C,3,0)</f>
        <v>#N/A</v>
      </c>
      <c r="D10297" s="6">
        <f t="shared" si="161"/>
        <v>0</v>
      </c>
    </row>
    <row r="10298" spans="3:4" ht="15" x14ac:dyDescent="0.25">
      <c r="C10298" s="8" t="e">
        <f>VLOOKUP(A:A,'ITEM LIST'!A:C,3,0)</f>
        <v>#N/A</v>
      </c>
      <c r="D10298" s="6">
        <f t="shared" si="161"/>
        <v>0</v>
      </c>
    </row>
    <row r="10299" spans="3:4" ht="15" x14ac:dyDescent="0.25">
      <c r="C10299" s="8" t="e">
        <f>VLOOKUP(A:A,'ITEM LIST'!A:C,3,0)</f>
        <v>#N/A</v>
      </c>
      <c r="D10299" s="6">
        <f t="shared" si="161"/>
        <v>0</v>
      </c>
    </row>
    <row r="10300" spans="3:4" ht="15" x14ac:dyDescent="0.25">
      <c r="C10300" s="8" t="e">
        <f>VLOOKUP(A:A,'ITEM LIST'!A:C,3,0)</f>
        <v>#N/A</v>
      </c>
      <c r="D10300" s="6">
        <f t="shared" si="161"/>
        <v>0</v>
      </c>
    </row>
    <row r="10301" spans="3:4" ht="15" x14ac:dyDescent="0.25">
      <c r="C10301" s="8" t="e">
        <f>VLOOKUP(A:A,'ITEM LIST'!A:C,3,0)</f>
        <v>#N/A</v>
      </c>
      <c r="D10301" s="6">
        <f t="shared" si="161"/>
        <v>0</v>
      </c>
    </row>
    <row r="10302" spans="3:4" ht="15" x14ac:dyDescent="0.25">
      <c r="C10302" s="8" t="e">
        <f>VLOOKUP(A:A,'ITEM LIST'!A:C,3,0)</f>
        <v>#N/A</v>
      </c>
      <c r="D10302" s="6">
        <f t="shared" si="161"/>
        <v>0</v>
      </c>
    </row>
    <row r="10303" spans="3:4" ht="15" x14ac:dyDescent="0.25">
      <c r="C10303" s="8" t="e">
        <f>VLOOKUP(A:A,'ITEM LIST'!A:C,3,0)</f>
        <v>#N/A</v>
      </c>
      <c r="D10303" s="6">
        <f t="shared" si="161"/>
        <v>0</v>
      </c>
    </row>
    <row r="10304" spans="3:4" ht="15" x14ac:dyDescent="0.25">
      <c r="C10304" s="8" t="e">
        <f>VLOOKUP(A:A,'ITEM LIST'!A:C,3,0)</f>
        <v>#N/A</v>
      </c>
      <c r="D10304" s="6">
        <f t="shared" si="161"/>
        <v>0</v>
      </c>
    </row>
    <row r="10305" spans="3:4" ht="15" x14ac:dyDescent="0.25">
      <c r="C10305" s="8" t="e">
        <f>VLOOKUP(A:A,'ITEM LIST'!A:C,3,0)</f>
        <v>#N/A</v>
      </c>
      <c r="D10305" s="6">
        <f t="shared" si="161"/>
        <v>0</v>
      </c>
    </row>
    <row r="10306" spans="3:4" ht="15" x14ac:dyDescent="0.25">
      <c r="C10306" s="8" t="e">
        <f>VLOOKUP(A:A,'ITEM LIST'!A:C,3,0)</f>
        <v>#N/A</v>
      </c>
      <c r="D10306" s="6">
        <f t="shared" si="161"/>
        <v>0</v>
      </c>
    </row>
    <row r="10307" spans="3:4" ht="15" x14ac:dyDescent="0.25">
      <c r="C10307" s="8" t="e">
        <f>VLOOKUP(A:A,'ITEM LIST'!A:C,3,0)</f>
        <v>#N/A</v>
      </c>
      <c r="D10307" s="6">
        <f t="shared" si="161"/>
        <v>0</v>
      </c>
    </row>
    <row r="10308" spans="3:4" ht="15" x14ac:dyDescent="0.25">
      <c r="C10308" s="8" t="e">
        <f>VLOOKUP(A:A,'ITEM LIST'!A:C,3,0)</f>
        <v>#N/A</v>
      </c>
      <c r="D10308" s="6">
        <f t="shared" si="161"/>
        <v>0</v>
      </c>
    </row>
    <row r="10309" spans="3:4" ht="15" x14ac:dyDescent="0.25">
      <c r="C10309" s="8" t="e">
        <f>VLOOKUP(A:A,'ITEM LIST'!A:C,3,0)</f>
        <v>#N/A</v>
      </c>
      <c r="D10309" s="6">
        <f t="shared" si="161"/>
        <v>0</v>
      </c>
    </row>
    <row r="10310" spans="3:4" ht="15" x14ac:dyDescent="0.25">
      <c r="C10310" s="8" t="e">
        <f>VLOOKUP(A:A,'ITEM LIST'!A:C,3,0)</f>
        <v>#N/A</v>
      </c>
      <c r="D10310" s="6">
        <f t="shared" ref="D10310:D10373" si="162">B10310</f>
        <v>0</v>
      </c>
    </row>
    <row r="10311" spans="3:4" ht="15" x14ac:dyDescent="0.25">
      <c r="C10311" s="8" t="e">
        <f>VLOOKUP(A:A,'ITEM LIST'!A:C,3,0)</f>
        <v>#N/A</v>
      </c>
      <c r="D10311" s="6">
        <f t="shared" si="162"/>
        <v>0</v>
      </c>
    </row>
    <row r="10312" spans="3:4" ht="15" x14ac:dyDescent="0.25">
      <c r="C10312" s="8" t="e">
        <f>VLOOKUP(A:A,'ITEM LIST'!A:C,3,0)</f>
        <v>#N/A</v>
      </c>
      <c r="D10312" s="6">
        <f t="shared" si="162"/>
        <v>0</v>
      </c>
    </row>
    <row r="10313" spans="3:4" ht="15" x14ac:dyDescent="0.25">
      <c r="C10313" s="8" t="e">
        <f>VLOOKUP(A:A,'ITEM LIST'!A:C,3,0)</f>
        <v>#N/A</v>
      </c>
      <c r="D10313" s="6">
        <f t="shared" si="162"/>
        <v>0</v>
      </c>
    </row>
    <row r="10314" spans="3:4" ht="15" x14ac:dyDescent="0.25">
      <c r="C10314" s="8" t="e">
        <f>VLOOKUP(A:A,'ITEM LIST'!A:C,3,0)</f>
        <v>#N/A</v>
      </c>
      <c r="D10314" s="6">
        <f t="shared" si="162"/>
        <v>0</v>
      </c>
    </row>
    <row r="10315" spans="3:4" ht="15" x14ac:dyDescent="0.25">
      <c r="C10315" s="8" t="e">
        <f>VLOOKUP(A:A,'ITEM LIST'!A:C,3,0)</f>
        <v>#N/A</v>
      </c>
      <c r="D10315" s="6">
        <f t="shared" si="162"/>
        <v>0</v>
      </c>
    </row>
    <row r="10316" spans="3:4" ht="15" x14ac:dyDescent="0.25">
      <c r="C10316" s="8" t="e">
        <f>VLOOKUP(A:A,'ITEM LIST'!A:C,3,0)</f>
        <v>#N/A</v>
      </c>
      <c r="D10316" s="6">
        <f t="shared" si="162"/>
        <v>0</v>
      </c>
    </row>
    <row r="10317" spans="3:4" ht="15" x14ac:dyDescent="0.25">
      <c r="C10317" s="8" t="e">
        <f>VLOOKUP(A:A,'ITEM LIST'!A:C,3,0)</f>
        <v>#N/A</v>
      </c>
      <c r="D10317" s="6">
        <f t="shared" si="162"/>
        <v>0</v>
      </c>
    </row>
    <row r="10318" spans="3:4" ht="15" x14ac:dyDescent="0.25">
      <c r="C10318" s="8" t="e">
        <f>VLOOKUP(A:A,'ITEM LIST'!A:C,3,0)</f>
        <v>#N/A</v>
      </c>
      <c r="D10318" s="6">
        <f t="shared" si="162"/>
        <v>0</v>
      </c>
    </row>
    <row r="10319" spans="3:4" ht="15" x14ac:dyDescent="0.25">
      <c r="C10319" s="8" t="e">
        <f>VLOOKUP(A:A,'ITEM LIST'!A:C,3,0)</f>
        <v>#N/A</v>
      </c>
      <c r="D10319" s="6">
        <f t="shared" si="162"/>
        <v>0</v>
      </c>
    </row>
    <row r="10320" spans="3:4" ht="15" x14ac:dyDescent="0.25">
      <c r="C10320" s="8" t="e">
        <f>VLOOKUP(A:A,'ITEM LIST'!A:C,3,0)</f>
        <v>#N/A</v>
      </c>
      <c r="D10320" s="6">
        <f t="shared" si="162"/>
        <v>0</v>
      </c>
    </row>
    <row r="10321" spans="3:4" ht="15" x14ac:dyDescent="0.25">
      <c r="C10321" s="8" t="e">
        <f>VLOOKUP(A:A,'ITEM LIST'!A:C,3,0)</f>
        <v>#N/A</v>
      </c>
      <c r="D10321" s="6">
        <f t="shared" si="162"/>
        <v>0</v>
      </c>
    </row>
    <row r="10322" spans="3:4" ht="15" x14ac:dyDescent="0.25">
      <c r="C10322" s="8" t="e">
        <f>VLOOKUP(A:A,'ITEM LIST'!A:C,3,0)</f>
        <v>#N/A</v>
      </c>
      <c r="D10322" s="6">
        <f t="shared" si="162"/>
        <v>0</v>
      </c>
    </row>
    <row r="10323" spans="3:4" ht="15" x14ac:dyDescent="0.25">
      <c r="C10323" s="8" t="e">
        <f>VLOOKUP(A:A,'ITEM LIST'!A:C,3,0)</f>
        <v>#N/A</v>
      </c>
      <c r="D10323" s="6">
        <f t="shared" si="162"/>
        <v>0</v>
      </c>
    </row>
    <row r="10324" spans="3:4" ht="15" x14ac:dyDescent="0.25">
      <c r="C10324" s="8" t="e">
        <f>VLOOKUP(A:A,'ITEM LIST'!A:C,3,0)</f>
        <v>#N/A</v>
      </c>
      <c r="D10324" s="6">
        <f t="shared" si="162"/>
        <v>0</v>
      </c>
    </row>
    <row r="10325" spans="3:4" ht="15" x14ac:dyDescent="0.25">
      <c r="C10325" s="8" t="e">
        <f>VLOOKUP(A:A,'ITEM LIST'!A:C,3,0)</f>
        <v>#N/A</v>
      </c>
      <c r="D10325" s="6">
        <f t="shared" si="162"/>
        <v>0</v>
      </c>
    </row>
    <row r="10326" spans="3:4" ht="15" x14ac:dyDescent="0.25">
      <c r="C10326" s="8" t="e">
        <f>VLOOKUP(A:A,'ITEM LIST'!A:C,3,0)</f>
        <v>#N/A</v>
      </c>
      <c r="D10326" s="6">
        <f t="shared" si="162"/>
        <v>0</v>
      </c>
    </row>
    <row r="10327" spans="3:4" ht="15" x14ac:dyDescent="0.25">
      <c r="C10327" s="8" t="e">
        <f>VLOOKUP(A:A,'ITEM LIST'!A:C,3,0)</f>
        <v>#N/A</v>
      </c>
      <c r="D10327" s="6">
        <f t="shared" si="162"/>
        <v>0</v>
      </c>
    </row>
    <row r="10328" spans="3:4" ht="15" x14ac:dyDescent="0.25">
      <c r="C10328" s="8" t="e">
        <f>VLOOKUP(A:A,'ITEM LIST'!A:C,3,0)</f>
        <v>#N/A</v>
      </c>
      <c r="D10328" s="6">
        <f t="shared" si="162"/>
        <v>0</v>
      </c>
    </row>
    <row r="10329" spans="3:4" ht="15" x14ac:dyDescent="0.25">
      <c r="C10329" s="8" t="e">
        <f>VLOOKUP(A:A,'ITEM LIST'!A:C,3,0)</f>
        <v>#N/A</v>
      </c>
      <c r="D10329" s="6">
        <f t="shared" si="162"/>
        <v>0</v>
      </c>
    </row>
    <row r="10330" spans="3:4" ht="15" x14ac:dyDescent="0.25">
      <c r="C10330" s="8" t="e">
        <f>VLOOKUP(A:A,'ITEM LIST'!A:C,3,0)</f>
        <v>#N/A</v>
      </c>
      <c r="D10330" s="6">
        <f t="shared" si="162"/>
        <v>0</v>
      </c>
    </row>
    <row r="10331" spans="3:4" ht="15" x14ac:dyDescent="0.25">
      <c r="C10331" s="8" t="e">
        <f>VLOOKUP(A:A,'ITEM LIST'!A:C,3,0)</f>
        <v>#N/A</v>
      </c>
      <c r="D10331" s="6">
        <f t="shared" si="162"/>
        <v>0</v>
      </c>
    </row>
    <row r="10332" spans="3:4" ht="15" x14ac:dyDescent="0.25">
      <c r="C10332" s="8" t="e">
        <f>VLOOKUP(A:A,'ITEM LIST'!A:C,3,0)</f>
        <v>#N/A</v>
      </c>
      <c r="D10332" s="6">
        <f t="shared" si="162"/>
        <v>0</v>
      </c>
    </row>
    <row r="10333" spans="3:4" ht="15" x14ac:dyDescent="0.25">
      <c r="C10333" s="8" t="e">
        <f>VLOOKUP(A:A,'ITEM LIST'!A:C,3,0)</f>
        <v>#N/A</v>
      </c>
      <c r="D10333" s="6">
        <f t="shared" si="162"/>
        <v>0</v>
      </c>
    </row>
    <row r="10334" spans="3:4" ht="15" x14ac:dyDescent="0.25">
      <c r="C10334" s="8" t="e">
        <f>VLOOKUP(A:A,'ITEM LIST'!A:C,3,0)</f>
        <v>#N/A</v>
      </c>
      <c r="D10334" s="6">
        <f t="shared" si="162"/>
        <v>0</v>
      </c>
    </row>
    <row r="10335" spans="3:4" ht="15" x14ac:dyDescent="0.25">
      <c r="C10335" s="8" t="e">
        <f>VLOOKUP(A:A,'ITEM LIST'!A:C,3,0)</f>
        <v>#N/A</v>
      </c>
      <c r="D10335" s="6">
        <f t="shared" si="162"/>
        <v>0</v>
      </c>
    </row>
    <row r="10336" spans="3:4" ht="15" x14ac:dyDescent="0.25">
      <c r="C10336" s="8" t="e">
        <f>VLOOKUP(A:A,'ITEM LIST'!A:C,3,0)</f>
        <v>#N/A</v>
      </c>
      <c r="D10336" s="6">
        <f t="shared" si="162"/>
        <v>0</v>
      </c>
    </row>
    <row r="10337" spans="3:4" ht="15" x14ac:dyDescent="0.25">
      <c r="C10337" s="8" t="e">
        <f>VLOOKUP(A:A,'ITEM LIST'!A:C,3,0)</f>
        <v>#N/A</v>
      </c>
      <c r="D10337" s="6">
        <f t="shared" si="162"/>
        <v>0</v>
      </c>
    </row>
    <row r="10338" spans="3:4" ht="15" x14ac:dyDescent="0.25">
      <c r="C10338" s="8" t="e">
        <f>VLOOKUP(A:A,'ITEM LIST'!A:C,3,0)</f>
        <v>#N/A</v>
      </c>
      <c r="D10338" s="6">
        <f t="shared" si="162"/>
        <v>0</v>
      </c>
    </row>
    <row r="10339" spans="3:4" ht="15" x14ac:dyDescent="0.25">
      <c r="C10339" s="8" t="e">
        <f>VLOOKUP(A:A,'ITEM LIST'!A:C,3,0)</f>
        <v>#N/A</v>
      </c>
      <c r="D10339" s="6">
        <f t="shared" si="162"/>
        <v>0</v>
      </c>
    </row>
    <row r="10340" spans="3:4" ht="15" x14ac:dyDescent="0.25">
      <c r="C10340" s="8" t="e">
        <f>VLOOKUP(A:A,'ITEM LIST'!A:C,3,0)</f>
        <v>#N/A</v>
      </c>
      <c r="D10340" s="6">
        <f t="shared" si="162"/>
        <v>0</v>
      </c>
    </row>
    <row r="10341" spans="3:4" ht="15" x14ac:dyDescent="0.25">
      <c r="C10341" s="8" t="e">
        <f>VLOOKUP(A:A,'ITEM LIST'!A:C,3,0)</f>
        <v>#N/A</v>
      </c>
      <c r="D10341" s="6">
        <f t="shared" si="162"/>
        <v>0</v>
      </c>
    </row>
    <row r="10342" spans="3:4" ht="15" x14ac:dyDescent="0.25">
      <c r="C10342" s="8" t="e">
        <f>VLOOKUP(A:A,'ITEM LIST'!A:C,3,0)</f>
        <v>#N/A</v>
      </c>
      <c r="D10342" s="6">
        <f t="shared" si="162"/>
        <v>0</v>
      </c>
    </row>
    <row r="10343" spans="3:4" ht="15" x14ac:dyDescent="0.25">
      <c r="C10343" s="8" t="e">
        <f>VLOOKUP(A:A,'ITEM LIST'!A:C,3,0)</f>
        <v>#N/A</v>
      </c>
      <c r="D10343" s="6">
        <f t="shared" si="162"/>
        <v>0</v>
      </c>
    </row>
    <row r="10344" spans="3:4" ht="15" x14ac:dyDescent="0.25">
      <c r="C10344" s="8" t="e">
        <f>VLOOKUP(A:A,'ITEM LIST'!A:C,3,0)</f>
        <v>#N/A</v>
      </c>
      <c r="D10344" s="6">
        <f t="shared" si="162"/>
        <v>0</v>
      </c>
    </row>
    <row r="10345" spans="3:4" ht="15" x14ac:dyDescent="0.25">
      <c r="C10345" s="8" t="e">
        <f>VLOOKUP(A:A,'ITEM LIST'!A:C,3,0)</f>
        <v>#N/A</v>
      </c>
      <c r="D10345" s="6">
        <f t="shared" si="162"/>
        <v>0</v>
      </c>
    </row>
    <row r="10346" spans="3:4" ht="15" x14ac:dyDescent="0.25">
      <c r="C10346" s="8" t="e">
        <f>VLOOKUP(A:A,'ITEM LIST'!A:C,3,0)</f>
        <v>#N/A</v>
      </c>
      <c r="D10346" s="6">
        <f t="shared" si="162"/>
        <v>0</v>
      </c>
    </row>
    <row r="10347" spans="3:4" ht="15" x14ac:dyDescent="0.25">
      <c r="C10347" s="8" t="e">
        <f>VLOOKUP(A:A,'ITEM LIST'!A:C,3,0)</f>
        <v>#N/A</v>
      </c>
      <c r="D10347" s="6">
        <f t="shared" si="162"/>
        <v>0</v>
      </c>
    </row>
    <row r="10348" spans="3:4" ht="15" x14ac:dyDescent="0.25">
      <c r="C10348" s="8" t="e">
        <f>VLOOKUP(A:A,'ITEM LIST'!A:C,3,0)</f>
        <v>#N/A</v>
      </c>
      <c r="D10348" s="6">
        <f t="shared" si="162"/>
        <v>0</v>
      </c>
    </row>
    <row r="10349" spans="3:4" ht="15" x14ac:dyDescent="0.25">
      <c r="C10349" s="8" t="e">
        <f>VLOOKUP(A:A,'ITEM LIST'!A:C,3,0)</f>
        <v>#N/A</v>
      </c>
      <c r="D10349" s="6">
        <f t="shared" si="162"/>
        <v>0</v>
      </c>
    </row>
    <row r="10350" spans="3:4" ht="15" x14ac:dyDescent="0.25">
      <c r="C10350" s="8" t="e">
        <f>VLOOKUP(A:A,'ITEM LIST'!A:C,3,0)</f>
        <v>#N/A</v>
      </c>
      <c r="D10350" s="6">
        <f t="shared" si="162"/>
        <v>0</v>
      </c>
    </row>
    <row r="10351" spans="3:4" ht="15" x14ac:dyDescent="0.25">
      <c r="C10351" s="8" t="e">
        <f>VLOOKUP(A:A,'ITEM LIST'!A:C,3,0)</f>
        <v>#N/A</v>
      </c>
      <c r="D10351" s="6">
        <f t="shared" si="162"/>
        <v>0</v>
      </c>
    </row>
    <row r="10352" spans="3:4" ht="15" x14ac:dyDescent="0.25">
      <c r="C10352" s="8" t="e">
        <f>VLOOKUP(A:A,'ITEM LIST'!A:C,3,0)</f>
        <v>#N/A</v>
      </c>
      <c r="D10352" s="6">
        <f t="shared" si="162"/>
        <v>0</v>
      </c>
    </row>
    <row r="10353" spans="3:4" ht="15" x14ac:dyDescent="0.25">
      <c r="C10353" s="8" t="e">
        <f>VLOOKUP(A:A,'ITEM LIST'!A:C,3,0)</f>
        <v>#N/A</v>
      </c>
      <c r="D10353" s="6">
        <f t="shared" si="162"/>
        <v>0</v>
      </c>
    </row>
    <row r="10354" spans="3:4" ht="15" x14ac:dyDescent="0.25">
      <c r="C10354" s="8" t="e">
        <f>VLOOKUP(A:A,'ITEM LIST'!A:C,3,0)</f>
        <v>#N/A</v>
      </c>
      <c r="D10354" s="6">
        <f t="shared" si="162"/>
        <v>0</v>
      </c>
    </row>
    <row r="10355" spans="3:4" ht="15" x14ac:dyDescent="0.25">
      <c r="C10355" s="8" t="e">
        <f>VLOOKUP(A:A,'ITEM LIST'!A:C,3,0)</f>
        <v>#N/A</v>
      </c>
      <c r="D10355" s="6">
        <f t="shared" si="162"/>
        <v>0</v>
      </c>
    </row>
    <row r="10356" spans="3:4" ht="15" x14ac:dyDescent="0.25">
      <c r="C10356" s="8" t="e">
        <f>VLOOKUP(A:A,'ITEM LIST'!A:C,3,0)</f>
        <v>#N/A</v>
      </c>
      <c r="D10356" s="6">
        <f t="shared" si="162"/>
        <v>0</v>
      </c>
    </row>
    <row r="10357" spans="3:4" ht="15" x14ac:dyDescent="0.25">
      <c r="C10357" s="8" t="e">
        <f>VLOOKUP(A:A,'ITEM LIST'!A:C,3,0)</f>
        <v>#N/A</v>
      </c>
      <c r="D10357" s="6">
        <f t="shared" si="162"/>
        <v>0</v>
      </c>
    </row>
    <row r="10358" spans="3:4" ht="15" x14ac:dyDescent="0.25">
      <c r="C10358" s="8" t="e">
        <f>VLOOKUP(A:A,'ITEM LIST'!A:C,3,0)</f>
        <v>#N/A</v>
      </c>
      <c r="D10358" s="6">
        <f t="shared" si="162"/>
        <v>0</v>
      </c>
    </row>
    <row r="10359" spans="3:4" ht="15" x14ac:dyDescent="0.25">
      <c r="C10359" s="8" t="e">
        <f>VLOOKUP(A:A,'ITEM LIST'!A:C,3,0)</f>
        <v>#N/A</v>
      </c>
      <c r="D10359" s="6">
        <f t="shared" si="162"/>
        <v>0</v>
      </c>
    </row>
    <row r="10360" spans="3:4" ht="15" x14ac:dyDescent="0.25">
      <c r="C10360" s="8" t="e">
        <f>VLOOKUP(A:A,'ITEM LIST'!A:C,3,0)</f>
        <v>#N/A</v>
      </c>
      <c r="D10360" s="6">
        <f t="shared" si="162"/>
        <v>0</v>
      </c>
    </row>
    <row r="10361" spans="3:4" ht="15" x14ac:dyDescent="0.25">
      <c r="C10361" s="8" t="e">
        <f>VLOOKUP(A:A,'ITEM LIST'!A:C,3,0)</f>
        <v>#N/A</v>
      </c>
      <c r="D10361" s="6">
        <f t="shared" si="162"/>
        <v>0</v>
      </c>
    </row>
    <row r="10362" spans="3:4" ht="15" x14ac:dyDescent="0.25">
      <c r="C10362" s="8" t="e">
        <f>VLOOKUP(A:A,'ITEM LIST'!A:C,3,0)</f>
        <v>#N/A</v>
      </c>
      <c r="D10362" s="6">
        <f t="shared" si="162"/>
        <v>0</v>
      </c>
    </row>
    <row r="10363" spans="3:4" ht="15" x14ac:dyDescent="0.25">
      <c r="C10363" s="8" t="e">
        <f>VLOOKUP(A:A,'ITEM LIST'!A:C,3,0)</f>
        <v>#N/A</v>
      </c>
      <c r="D10363" s="6">
        <f t="shared" si="162"/>
        <v>0</v>
      </c>
    </row>
    <row r="10364" spans="3:4" ht="15" x14ac:dyDescent="0.25">
      <c r="C10364" s="8" t="e">
        <f>VLOOKUP(A:A,'ITEM LIST'!A:C,3,0)</f>
        <v>#N/A</v>
      </c>
      <c r="D10364" s="6">
        <f t="shared" si="162"/>
        <v>0</v>
      </c>
    </row>
    <row r="10365" spans="3:4" ht="15" x14ac:dyDescent="0.25">
      <c r="C10365" s="8" t="e">
        <f>VLOOKUP(A:A,'ITEM LIST'!A:C,3,0)</f>
        <v>#N/A</v>
      </c>
      <c r="D10365" s="6">
        <f t="shared" si="162"/>
        <v>0</v>
      </c>
    </row>
    <row r="10366" spans="3:4" ht="15" x14ac:dyDescent="0.25">
      <c r="C10366" s="8" t="e">
        <f>VLOOKUP(A:A,'ITEM LIST'!A:C,3,0)</f>
        <v>#N/A</v>
      </c>
      <c r="D10366" s="6">
        <f t="shared" si="162"/>
        <v>0</v>
      </c>
    </row>
    <row r="10367" spans="3:4" ht="15" x14ac:dyDescent="0.25">
      <c r="C10367" s="8" t="e">
        <f>VLOOKUP(A:A,'ITEM LIST'!A:C,3,0)</f>
        <v>#N/A</v>
      </c>
      <c r="D10367" s="6">
        <f t="shared" si="162"/>
        <v>0</v>
      </c>
    </row>
    <row r="10368" spans="3:4" ht="15" x14ac:dyDescent="0.25">
      <c r="C10368" s="8" t="e">
        <f>VLOOKUP(A:A,'ITEM LIST'!A:C,3,0)</f>
        <v>#N/A</v>
      </c>
      <c r="D10368" s="6">
        <f t="shared" si="162"/>
        <v>0</v>
      </c>
    </row>
    <row r="10369" spans="3:4" ht="15" x14ac:dyDescent="0.25">
      <c r="C10369" s="8" t="e">
        <f>VLOOKUP(A:A,'ITEM LIST'!A:C,3,0)</f>
        <v>#N/A</v>
      </c>
      <c r="D10369" s="6">
        <f t="shared" si="162"/>
        <v>0</v>
      </c>
    </row>
    <row r="10370" spans="3:4" ht="15" x14ac:dyDescent="0.25">
      <c r="C10370" s="8" t="e">
        <f>VLOOKUP(A:A,'ITEM LIST'!A:C,3,0)</f>
        <v>#N/A</v>
      </c>
      <c r="D10370" s="6">
        <f t="shared" si="162"/>
        <v>0</v>
      </c>
    </row>
    <row r="10371" spans="3:4" ht="15" x14ac:dyDescent="0.25">
      <c r="C10371" s="8" t="e">
        <f>VLOOKUP(A:A,'ITEM LIST'!A:C,3,0)</f>
        <v>#N/A</v>
      </c>
      <c r="D10371" s="6">
        <f t="shared" si="162"/>
        <v>0</v>
      </c>
    </row>
    <row r="10372" spans="3:4" ht="15" x14ac:dyDescent="0.25">
      <c r="C10372" s="8" t="e">
        <f>VLOOKUP(A:A,'ITEM LIST'!A:C,3,0)</f>
        <v>#N/A</v>
      </c>
      <c r="D10372" s="6">
        <f t="shared" si="162"/>
        <v>0</v>
      </c>
    </row>
    <row r="10373" spans="3:4" ht="15" x14ac:dyDescent="0.25">
      <c r="C10373" s="8" t="e">
        <f>VLOOKUP(A:A,'ITEM LIST'!A:C,3,0)</f>
        <v>#N/A</v>
      </c>
      <c r="D10373" s="6">
        <f t="shared" si="162"/>
        <v>0</v>
      </c>
    </row>
    <row r="10374" spans="3:4" ht="15" x14ac:dyDescent="0.25">
      <c r="C10374" s="8" t="e">
        <f>VLOOKUP(A:A,'ITEM LIST'!A:C,3,0)</f>
        <v>#N/A</v>
      </c>
      <c r="D10374" s="6">
        <f t="shared" ref="D10374:D10437" si="163">B10374</f>
        <v>0</v>
      </c>
    </row>
    <row r="10375" spans="3:4" ht="15" x14ac:dyDescent="0.25">
      <c r="C10375" s="8" t="e">
        <f>VLOOKUP(A:A,'ITEM LIST'!A:C,3,0)</f>
        <v>#N/A</v>
      </c>
      <c r="D10375" s="6">
        <f t="shared" si="163"/>
        <v>0</v>
      </c>
    </row>
    <row r="10376" spans="3:4" ht="15" x14ac:dyDescent="0.25">
      <c r="C10376" s="8" t="e">
        <f>VLOOKUP(A:A,'ITEM LIST'!A:C,3,0)</f>
        <v>#N/A</v>
      </c>
      <c r="D10376" s="6">
        <f t="shared" si="163"/>
        <v>0</v>
      </c>
    </row>
    <row r="10377" spans="3:4" ht="15" x14ac:dyDescent="0.25">
      <c r="C10377" s="8" t="e">
        <f>VLOOKUP(A:A,'ITEM LIST'!A:C,3,0)</f>
        <v>#N/A</v>
      </c>
      <c r="D10377" s="6">
        <f t="shared" si="163"/>
        <v>0</v>
      </c>
    </row>
    <row r="10378" spans="3:4" ht="15" x14ac:dyDescent="0.25">
      <c r="C10378" s="8" t="e">
        <f>VLOOKUP(A:A,'ITEM LIST'!A:C,3,0)</f>
        <v>#N/A</v>
      </c>
      <c r="D10378" s="6">
        <f t="shared" si="163"/>
        <v>0</v>
      </c>
    </row>
    <row r="10379" spans="3:4" ht="15" x14ac:dyDescent="0.25">
      <c r="C10379" s="8" t="e">
        <f>VLOOKUP(A:A,'ITEM LIST'!A:C,3,0)</f>
        <v>#N/A</v>
      </c>
      <c r="D10379" s="6">
        <f t="shared" si="163"/>
        <v>0</v>
      </c>
    </row>
    <row r="10380" spans="3:4" ht="15" x14ac:dyDescent="0.25">
      <c r="C10380" s="8" t="e">
        <f>VLOOKUP(A:A,'ITEM LIST'!A:C,3,0)</f>
        <v>#N/A</v>
      </c>
      <c r="D10380" s="6">
        <f t="shared" si="163"/>
        <v>0</v>
      </c>
    </row>
    <row r="10381" spans="3:4" ht="15" x14ac:dyDescent="0.25">
      <c r="C10381" s="8" t="e">
        <f>VLOOKUP(A:A,'ITEM LIST'!A:C,3,0)</f>
        <v>#N/A</v>
      </c>
      <c r="D10381" s="6">
        <f t="shared" si="163"/>
        <v>0</v>
      </c>
    </row>
    <row r="10382" spans="3:4" ht="15" x14ac:dyDescent="0.25">
      <c r="C10382" s="8" t="e">
        <f>VLOOKUP(A:A,'ITEM LIST'!A:C,3,0)</f>
        <v>#N/A</v>
      </c>
      <c r="D10382" s="6">
        <f t="shared" si="163"/>
        <v>0</v>
      </c>
    </row>
    <row r="10383" spans="3:4" ht="15" x14ac:dyDescent="0.25">
      <c r="C10383" s="8" t="e">
        <f>VLOOKUP(A:A,'ITEM LIST'!A:C,3,0)</f>
        <v>#N/A</v>
      </c>
      <c r="D10383" s="6">
        <f t="shared" si="163"/>
        <v>0</v>
      </c>
    </row>
    <row r="10384" spans="3:4" ht="15" x14ac:dyDescent="0.25">
      <c r="C10384" s="8" t="e">
        <f>VLOOKUP(A:A,'ITEM LIST'!A:C,3,0)</f>
        <v>#N/A</v>
      </c>
      <c r="D10384" s="6">
        <f t="shared" si="163"/>
        <v>0</v>
      </c>
    </row>
    <row r="10385" spans="3:4" ht="15" x14ac:dyDescent="0.25">
      <c r="C10385" s="8" t="e">
        <f>VLOOKUP(A:A,'ITEM LIST'!A:C,3,0)</f>
        <v>#N/A</v>
      </c>
      <c r="D10385" s="6">
        <f t="shared" si="163"/>
        <v>0</v>
      </c>
    </row>
    <row r="10386" spans="3:4" ht="15" x14ac:dyDescent="0.25">
      <c r="C10386" s="8" t="e">
        <f>VLOOKUP(A:A,'ITEM LIST'!A:C,3,0)</f>
        <v>#N/A</v>
      </c>
      <c r="D10386" s="6">
        <f t="shared" si="163"/>
        <v>0</v>
      </c>
    </row>
    <row r="10387" spans="3:4" ht="15" x14ac:dyDescent="0.25">
      <c r="C10387" s="8" t="e">
        <f>VLOOKUP(A:A,'ITEM LIST'!A:C,3,0)</f>
        <v>#N/A</v>
      </c>
      <c r="D10387" s="6">
        <f t="shared" si="163"/>
        <v>0</v>
      </c>
    </row>
    <row r="10388" spans="3:4" ht="15" x14ac:dyDescent="0.25">
      <c r="C10388" s="8" t="e">
        <f>VLOOKUP(A:A,'ITEM LIST'!A:C,3,0)</f>
        <v>#N/A</v>
      </c>
      <c r="D10388" s="6">
        <f t="shared" si="163"/>
        <v>0</v>
      </c>
    </row>
    <row r="10389" spans="3:4" ht="15" x14ac:dyDescent="0.25">
      <c r="C10389" s="8" t="e">
        <f>VLOOKUP(A:A,'ITEM LIST'!A:C,3,0)</f>
        <v>#N/A</v>
      </c>
      <c r="D10389" s="6">
        <f t="shared" si="163"/>
        <v>0</v>
      </c>
    </row>
    <row r="10390" spans="3:4" ht="15" x14ac:dyDescent="0.25">
      <c r="C10390" s="8" t="e">
        <f>VLOOKUP(A:A,'ITEM LIST'!A:C,3,0)</f>
        <v>#N/A</v>
      </c>
      <c r="D10390" s="6">
        <f t="shared" si="163"/>
        <v>0</v>
      </c>
    </row>
    <row r="10391" spans="3:4" ht="15" x14ac:dyDescent="0.25">
      <c r="C10391" s="8" t="e">
        <f>VLOOKUP(A:A,'ITEM LIST'!A:C,3,0)</f>
        <v>#N/A</v>
      </c>
      <c r="D10391" s="6">
        <f t="shared" si="163"/>
        <v>0</v>
      </c>
    </row>
    <row r="10392" spans="3:4" ht="15" x14ac:dyDescent="0.25">
      <c r="C10392" s="8" t="e">
        <f>VLOOKUP(A:A,'ITEM LIST'!A:C,3,0)</f>
        <v>#N/A</v>
      </c>
      <c r="D10392" s="6">
        <f t="shared" si="163"/>
        <v>0</v>
      </c>
    </row>
    <row r="10393" spans="3:4" ht="15" x14ac:dyDescent="0.25">
      <c r="C10393" s="8" t="e">
        <f>VLOOKUP(A:A,'ITEM LIST'!A:C,3,0)</f>
        <v>#N/A</v>
      </c>
      <c r="D10393" s="6">
        <f t="shared" si="163"/>
        <v>0</v>
      </c>
    </row>
    <row r="10394" spans="3:4" ht="15" x14ac:dyDescent="0.25">
      <c r="C10394" s="8" t="e">
        <f>VLOOKUP(A:A,'ITEM LIST'!A:C,3,0)</f>
        <v>#N/A</v>
      </c>
      <c r="D10394" s="6">
        <f t="shared" si="163"/>
        <v>0</v>
      </c>
    </row>
    <row r="10395" spans="3:4" ht="15" x14ac:dyDescent="0.25">
      <c r="C10395" s="8" t="e">
        <f>VLOOKUP(A:A,'ITEM LIST'!A:C,3,0)</f>
        <v>#N/A</v>
      </c>
      <c r="D10395" s="6">
        <f t="shared" si="163"/>
        <v>0</v>
      </c>
    </row>
    <row r="10396" spans="3:4" ht="15" x14ac:dyDescent="0.25">
      <c r="C10396" s="8" t="e">
        <f>VLOOKUP(A:A,'ITEM LIST'!A:C,3,0)</f>
        <v>#N/A</v>
      </c>
      <c r="D10396" s="6">
        <f t="shared" si="163"/>
        <v>0</v>
      </c>
    </row>
    <row r="10397" spans="3:4" ht="15" x14ac:dyDescent="0.25">
      <c r="C10397" s="8" t="e">
        <f>VLOOKUP(A:A,'ITEM LIST'!A:C,3,0)</f>
        <v>#N/A</v>
      </c>
      <c r="D10397" s="6">
        <f t="shared" si="163"/>
        <v>0</v>
      </c>
    </row>
    <row r="10398" spans="3:4" ht="15" x14ac:dyDescent="0.25">
      <c r="C10398" s="8" t="e">
        <f>VLOOKUP(A:A,'ITEM LIST'!A:C,3,0)</f>
        <v>#N/A</v>
      </c>
      <c r="D10398" s="6">
        <f t="shared" si="163"/>
        <v>0</v>
      </c>
    </row>
    <row r="10399" spans="3:4" ht="15" x14ac:dyDescent="0.25">
      <c r="C10399" s="8" t="e">
        <f>VLOOKUP(A:A,'ITEM LIST'!A:C,3,0)</f>
        <v>#N/A</v>
      </c>
      <c r="D10399" s="6">
        <f t="shared" si="163"/>
        <v>0</v>
      </c>
    </row>
    <row r="10400" spans="3:4" ht="15" x14ac:dyDescent="0.25">
      <c r="C10400" s="8" t="e">
        <f>VLOOKUP(A:A,'ITEM LIST'!A:C,3,0)</f>
        <v>#N/A</v>
      </c>
      <c r="D10400" s="6">
        <f t="shared" si="163"/>
        <v>0</v>
      </c>
    </row>
    <row r="10401" spans="3:4" ht="15" x14ac:dyDescent="0.25">
      <c r="C10401" s="8" t="e">
        <f>VLOOKUP(A:A,'ITEM LIST'!A:C,3,0)</f>
        <v>#N/A</v>
      </c>
      <c r="D10401" s="6">
        <f t="shared" si="163"/>
        <v>0</v>
      </c>
    </row>
    <row r="10402" spans="3:4" ht="15" x14ac:dyDescent="0.25">
      <c r="C10402" s="8" t="e">
        <f>VLOOKUP(A:A,'ITEM LIST'!A:C,3,0)</f>
        <v>#N/A</v>
      </c>
      <c r="D10402" s="6">
        <f t="shared" si="163"/>
        <v>0</v>
      </c>
    </row>
    <row r="10403" spans="3:4" ht="15" x14ac:dyDescent="0.25">
      <c r="C10403" s="8" t="e">
        <f>VLOOKUP(A:A,'ITEM LIST'!A:C,3,0)</f>
        <v>#N/A</v>
      </c>
      <c r="D10403" s="6">
        <f t="shared" si="163"/>
        <v>0</v>
      </c>
    </row>
    <row r="10404" spans="3:4" ht="15" x14ac:dyDescent="0.25">
      <c r="C10404" s="8" t="e">
        <f>VLOOKUP(A:A,'ITEM LIST'!A:C,3,0)</f>
        <v>#N/A</v>
      </c>
      <c r="D10404" s="6">
        <f t="shared" si="163"/>
        <v>0</v>
      </c>
    </row>
    <row r="10405" spans="3:4" ht="15" x14ac:dyDescent="0.25">
      <c r="C10405" s="8" t="e">
        <f>VLOOKUP(A:A,'ITEM LIST'!A:C,3,0)</f>
        <v>#N/A</v>
      </c>
      <c r="D10405" s="6">
        <f t="shared" si="163"/>
        <v>0</v>
      </c>
    </row>
    <row r="10406" spans="3:4" ht="15" x14ac:dyDescent="0.25">
      <c r="C10406" s="8" t="e">
        <f>VLOOKUP(A:A,'ITEM LIST'!A:C,3,0)</f>
        <v>#N/A</v>
      </c>
      <c r="D10406" s="6">
        <f t="shared" si="163"/>
        <v>0</v>
      </c>
    </row>
    <row r="10407" spans="3:4" ht="15" x14ac:dyDescent="0.25">
      <c r="C10407" s="8" t="e">
        <f>VLOOKUP(A:A,'ITEM LIST'!A:C,3,0)</f>
        <v>#N/A</v>
      </c>
      <c r="D10407" s="6">
        <f t="shared" si="163"/>
        <v>0</v>
      </c>
    </row>
    <row r="10408" spans="3:4" ht="15" x14ac:dyDescent="0.25">
      <c r="C10408" s="8" t="e">
        <f>VLOOKUP(A:A,'ITEM LIST'!A:C,3,0)</f>
        <v>#N/A</v>
      </c>
      <c r="D10408" s="6">
        <f t="shared" si="163"/>
        <v>0</v>
      </c>
    </row>
    <row r="10409" spans="3:4" ht="15" x14ac:dyDescent="0.25">
      <c r="C10409" s="8" t="e">
        <f>VLOOKUP(A:A,'ITEM LIST'!A:C,3,0)</f>
        <v>#N/A</v>
      </c>
      <c r="D10409" s="6">
        <f t="shared" si="163"/>
        <v>0</v>
      </c>
    </row>
    <row r="10410" spans="3:4" ht="15" x14ac:dyDescent="0.25">
      <c r="C10410" s="8" t="e">
        <f>VLOOKUP(A:A,'ITEM LIST'!A:C,3,0)</f>
        <v>#N/A</v>
      </c>
      <c r="D10410" s="6">
        <f t="shared" si="163"/>
        <v>0</v>
      </c>
    </row>
    <row r="10411" spans="3:4" ht="15" x14ac:dyDescent="0.25">
      <c r="C10411" s="8" t="e">
        <f>VLOOKUP(A:A,'ITEM LIST'!A:C,3,0)</f>
        <v>#N/A</v>
      </c>
      <c r="D10411" s="6">
        <f t="shared" si="163"/>
        <v>0</v>
      </c>
    </row>
    <row r="10412" spans="3:4" ht="15" x14ac:dyDescent="0.25">
      <c r="C10412" s="8" t="e">
        <f>VLOOKUP(A:A,'ITEM LIST'!A:C,3,0)</f>
        <v>#N/A</v>
      </c>
      <c r="D10412" s="6">
        <f t="shared" si="163"/>
        <v>0</v>
      </c>
    </row>
    <row r="10413" spans="3:4" ht="15" x14ac:dyDescent="0.25">
      <c r="C10413" s="8" t="e">
        <f>VLOOKUP(A:A,'ITEM LIST'!A:C,3,0)</f>
        <v>#N/A</v>
      </c>
      <c r="D10413" s="6">
        <f t="shared" si="163"/>
        <v>0</v>
      </c>
    </row>
    <row r="10414" spans="3:4" ht="15" x14ac:dyDescent="0.25">
      <c r="C10414" s="8" t="e">
        <f>VLOOKUP(A:A,'ITEM LIST'!A:C,3,0)</f>
        <v>#N/A</v>
      </c>
      <c r="D10414" s="6">
        <f t="shared" si="163"/>
        <v>0</v>
      </c>
    </row>
    <row r="10415" spans="3:4" ht="15" x14ac:dyDescent="0.25">
      <c r="C10415" s="8" t="e">
        <f>VLOOKUP(A:A,'ITEM LIST'!A:C,3,0)</f>
        <v>#N/A</v>
      </c>
      <c r="D10415" s="6">
        <f t="shared" si="163"/>
        <v>0</v>
      </c>
    </row>
    <row r="10416" spans="3:4" ht="15" x14ac:dyDescent="0.25">
      <c r="C10416" s="8" t="e">
        <f>VLOOKUP(A:A,'ITEM LIST'!A:C,3,0)</f>
        <v>#N/A</v>
      </c>
      <c r="D10416" s="6">
        <f t="shared" si="163"/>
        <v>0</v>
      </c>
    </row>
    <row r="10417" spans="3:4" ht="15" x14ac:dyDescent="0.25">
      <c r="C10417" s="8" t="e">
        <f>VLOOKUP(A:A,'ITEM LIST'!A:C,3,0)</f>
        <v>#N/A</v>
      </c>
      <c r="D10417" s="6">
        <f t="shared" si="163"/>
        <v>0</v>
      </c>
    </row>
    <row r="10418" spans="3:4" ht="15" x14ac:dyDescent="0.25">
      <c r="C10418" s="8" t="e">
        <f>VLOOKUP(A:A,'ITEM LIST'!A:C,3,0)</f>
        <v>#N/A</v>
      </c>
      <c r="D10418" s="6">
        <f t="shared" si="163"/>
        <v>0</v>
      </c>
    </row>
    <row r="10419" spans="3:4" ht="15" x14ac:dyDescent="0.25">
      <c r="C10419" s="8" t="e">
        <f>VLOOKUP(A:A,'ITEM LIST'!A:C,3,0)</f>
        <v>#N/A</v>
      </c>
      <c r="D10419" s="6">
        <f t="shared" si="163"/>
        <v>0</v>
      </c>
    </row>
    <row r="10420" spans="3:4" ht="15" x14ac:dyDescent="0.25">
      <c r="C10420" s="8" t="e">
        <f>VLOOKUP(A:A,'ITEM LIST'!A:C,3,0)</f>
        <v>#N/A</v>
      </c>
      <c r="D10420" s="6">
        <f t="shared" si="163"/>
        <v>0</v>
      </c>
    </row>
    <row r="10421" spans="3:4" ht="15" x14ac:dyDescent="0.25">
      <c r="C10421" s="8" t="e">
        <f>VLOOKUP(A:A,'ITEM LIST'!A:C,3,0)</f>
        <v>#N/A</v>
      </c>
      <c r="D10421" s="6">
        <f t="shared" si="163"/>
        <v>0</v>
      </c>
    </row>
    <row r="10422" spans="3:4" ht="15" x14ac:dyDescent="0.25">
      <c r="C10422" s="8" t="e">
        <f>VLOOKUP(A:A,'ITEM LIST'!A:C,3,0)</f>
        <v>#N/A</v>
      </c>
      <c r="D10422" s="6">
        <f t="shared" si="163"/>
        <v>0</v>
      </c>
    </row>
    <row r="10423" spans="3:4" ht="15" x14ac:dyDescent="0.25">
      <c r="C10423" s="8" t="e">
        <f>VLOOKUP(A:A,'ITEM LIST'!A:C,3,0)</f>
        <v>#N/A</v>
      </c>
      <c r="D10423" s="6">
        <f t="shared" si="163"/>
        <v>0</v>
      </c>
    </row>
    <row r="10424" spans="3:4" ht="15" x14ac:dyDescent="0.25">
      <c r="C10424" s="8" t="e">
        <f>VLOOKUP(A:A,'ITEM LIST'!A:C,3,0)</f>
        <v>#N/A</v>
      </c>
      <c r="D10424" s="6">
        <f t="shared" si="163"/>
        <v>0</v>
      </c>
    </row>
    <row r="10425" spans="3:4" ht="15" x14ac:dyDescent="0.25">
      <c r="C10425" s="8" t="e">
        <f>VLOOKUP(A:A,'ITEM LIST'!A:C,3,0)</f>
        <v>#N/A</v>
      </c>
      <c r="D10425" s="6">
        <f t="shared" si="163"/>
        <v>0</v>
      </c>
    </row>
    <row r="10426" spans="3:4" ht="15" x14ac:dyDescent="0.25">
      <c r="C10426" s="8" t="e">
        <f>VLOOKUP(A:A,'ITEM LIST'!A:C,3,0)</f>
        <v>#N/A</v>
      </c>
      <c r="D10426" s="6">
        <f t="shared" si="163"/>
        <v>0</v>
      </c>
    </row>
    <row r="10427" spans="3:4" ht="15" x14ac:dyDescent="0.25">
      <c r="C10427" s="8" t="e">
        <f>VLOOKUP(A:A,'ITEM LIST'!A:C,3,0)</f>
        <v>#N/A</v>
      </c>
      <c r="D10427" s="6">
        <f t="shared" si="163"/>
        <v>0</v>
      </c>
    </row>
    <row r="10428" spans="3:4" ht="15" x14ac:dyDescent="0.25">
      <c r="C10428" s="8" t="e">
        <f>VLOOKUP(A:A,'ITEM LIST'!A:C,3,0)</f>
        <v>#N/A</v>
      </c>
      <c r="D10428" s="6">
        <f t="shared" si="163"/>
        <v>0</v>
      </c>
    </row>
    <row r="10429" spans="3:4" ht="15" x14ac:dyDescent="0.25">
      <c r="C10429" s="8" t="e">
        <f>VLOOKUP(A:A,'ITEM LIST'!A:C,3,0)</f>
        <v>#N/A</v>
      </c>
      <c r="D10429" s="6">
        <f t="shared" si="163"/>
        <v>0</v>
      </c>
    </row>
    <row r="10430" spans="3:4" ht="15" x14ac:dyDescent="0.25">
      <c r="C10430" s="8" t="e">
        <f>VLOOKUP(A:A,'ITEM LIST'!A:C,3,0)</f>
        <v>#N/A</v>
      </c>
      <c r="D10430" s="6">
        <f t="shared" si="163"/>
        <v>0</v>
      </c>
    </row>
    <row r="10431" spans="3:4" ht="15" x14ac:dyDescent="0.25">
      <c r="C10431" s="8" t="e">
        <f>VLOOKUP(A:A,'ITEM LIST'!A:C,3,0)</f>
        <v>#N/A</v>
      </c>
      <c r="D10431" s="6">
        <f t="shared" si="163"/>
        <v>0</v>
      </c>
    </row>
    <row r="10432" spans="3:4" ht="15" x14ac:dyDescent="0.25">
      <c r="C10432" s="8" t="e">
        <f>VLOOKUP(A:A,'ITEM LIST'!A:C,3,0)</f>
        <v>#N/A</v>
      </c>
      <c r="D10432" s="6">
        <f t="shared" si="163"/>
        <v>0</v>
      </c>
    </row>
    <row r="10433" spans="3:4" ht="15" x14ac:dyDescent="0.25">
      <c r="C10433" s="8" t="e">
        <f>VLOOKUP(A:A,'ITEM LIST'!A:C,3,0)</f>
        <v>#N/A</v>
      </c>
      <c r="D10433" s="6">
        <f t="shared" si="163"/>
        <v>0</v>
      </c>
    </row>
    <row r="10434" spans="3:4" ht="15" x14ac:dyDescent="0.25">
      <c r="C10434" s="8" t="e">
        <f>VLOOKUP(A:A,'ITEM LIST'!A:C,3,0)</f>
        <v>#N/A</v>
      </c>
      <c r="D10434" s="6">
        <f t="shared" si="163"/>
        <v>0</v>
      </c>
    </row>
    <row r="10435" spans="3:4" ht="15" x14ac:dyDescent="0.25">
      <c r="C10435" s="8" t="e">
        <f>VLOOKUP(A:A,'ITEM LIST'!A:C,3,0)</f>
        <v>#N/A</v>
      </c>
      <c r="D10435" s="6">
        <f t="shared" si="163"/>
        <v>0</v>
      </c>
    </row>
    <row r="10436" spans="3:4" ht="15" x14ac:dyDescent="0.25">
      <c r="C10436" s="8" t="e">
        <f>VLOOKUP(A:A,'ITEM LIST'!A:C,3,0)</f>
        <v>#N/A</v>
      </c>
      <c r="D10436" s="6">
        <f t="shared" si="163"/>
        <v>0</v>
      </c>
    </row>
    <row r="10437" spans="3:4" ht="15" x14ac:dyDescent="0.25">
      <c r="C10437" s="8" t="e">
        <f>VLOOKUP(A:A,'ITEM LIST'!A:C,3,0)</f>
        <v>#N/A</v>
      </c>
      <c r="D10437" s="6">
        <f t="shared" si="163"/>
        <v>0</v>
      </c>
    </row>
    <row r="10438" spans="3:4" ht="15" x14ac:dyDescent="0.25">
      <c r="C10438" s="8" t="e">
        <f>VLOOKUP(A:A,'ITEM LIST'!A:C,3,0)</f>
        <v>#N/A</v>
      </c>
      <c r="D10438" s="6">
        <f t="shared" ref="D10438:D10501" si="164">B10438</f>
        <v>0</v>
      </c>
    </row>
    <row r="10439" spans="3:4" ht="15" x14ac:dyDescent="0.25">
      <c r="C10439" s="8" t="e">
        <f>VLOOKUP(A:A,'ITEM LIST'!A:C,3,0)</f>
        <v>#N/A</v>
      </c>
      <c r="D10439" s="6">
        <f t="shared" si="164"/>
        <v>0</v>
      </c>
    </row>
    <row r="10440" spans="3:4" ht="15" x14ac:dyDescent="0.25">
      <c r="C10440" s="8" t="e">
        <f>VLOOKUP(A:A,'ITEM LIST'!A:C,3,0)</f>
        <v>#N/A</v>
      </c>
      <c r="D10440" s="6">
        <f t="shared" si="164"/>
        <v>0</v>
      </c>
    </row>
    <row r="10441" spans="3:4" ht="15" x14ac:dyDescent="0.25">
      <c r="C10441" s="8" t="e">
        <f>VLOOKUP(A:A,'ITEM LIST'!A:C,3,0)</f>
        <v>#N/A</v>
      </c>
      <c r="D10441" s="6">
        <f t="shared" si="164"/>
        <v>0</v>
      </c>
    </row>
    <row r="10442" spans="3:4" ht="15" x14ac:dyDescent="0.25">
      <c r="C10442" s="8" t="e">
        <f>VLOOKUP(A:A,'ITEM LIST'!A:C,3,0)</f>
        <v>#N/A</v>
      </c>
      <c r="D10442" s="6">
        <f t="shared" si="164"/>
        <v>0</v>
      </c>
    </row>
    <row r="10443" spans="3:4" ht="15" x14ac:dyDescent="0.25">
      <c r="C10443" s="8" t="e">
        <f>VLOOKUP(A:A,'ITEM LIST'!A:C,3,0)</f>
        <v>#N/A</v>
      </c>
      <c r="D10443" s="6">
        <f t="shared" si="164"/>
        <v>0</v>
      </c>
    </row>
    <row r="10444" spans="3:4" ht="15" x14ac:dyDescent="0.25">
      <c r="C10444" s="8" t="e">
        <f>VLOOKUP(A:A,'ITEM LIST'!A:C,3,0)</f>
        <v>#N/A</v>
      </c>
      <c r="D10444" s="6">
        <f t="shared" si="164"/>
        <v>0</v>
      </c>
    </row>
    <row r="10445" spans="3:4" ht="15" x14ac:dyDescent="0.25">
      <c r="C10445" s="8" t="e">
        <f>VLOOKUP(A:A,'ITEM LIST'!A:C,3,0)</f>
        <v>#N/A</v>
      </c>
      <c r="D10445" s="6">
        <f t="shared" si="164"/>
        <v>0</v>
      </c>
    </row>
    <row r="10446" spans="3:4" ht="15" x14ac:dyDescent="0.25">
      <c r="C10446" s="8" t="e">
        <f>VLOOKUP(A:A,'ITEM LIST'!A:C,3,0)</f>
        <v>#N/A</v>
      </c>
      <c r="D10446" s="6">
        <f t="shared" si="164"/>
        <v>0</v>
      </c>
    </row>
    <row r="10447" spans="3:4" ht="15" x14ac:dyDescent="0.25">
      <c r="C10447" s="8" t="e">
        <f>VLOOKUP(A:A,'ITEM LIST'!A:C,3,0)</f>
        <v>#N/A</v>
      </c>
      <c r="D10447" s="6">
        <f t="shared" si="164"/>
        <v>0</v>
      </c>
    </row>
    <row r="10448" spans="3:4" ht="15" x14ac:dyDescent="0.25">
      <c r="C10448" s="8" t="e">
        <f>VLOOKUP(A:A,'ITEM LIST'!A:C,3,0)</f>
        <v>#N/A</v>
      </c>
      <c r="D10448" s="6">
        <f t="shared" si="164"/>
        <v>0</v>
      </c>
    </row>
    <row r="10449" spans="3:4" ht="15" x14ac:dyDescent="0.25">
      <c r="C10449" s="8" t="e">
        <f>VLOOKUP(A:A,'ITEM LIST'!A:C,3,0)</f>
        <v>#N/A</v>
      </c>
      <c r="D10449" s="6">
        <f t="shared" si="164"/>
        <v>0</v>
      </c>
    </row>
    <row r="10450" spans="3:4" ht="15" x14ac:dyDescent="0.25">
      <c r="C10450" s="8" t="e">
        <f>VLOOKUP(A:A,'ITEM LIST'!A:C,3,0)</f>
        <v>#N/A</v>
      </c>
      <c r="D10450" s="6">
        <f t="shared" si="164"/>
        <v>0</v>
      </c>
    </row>
    <row r="10451" spans="3:4" ht="15" x14ac:dyDescent="0.25">
      <c r="C10451" s="8" t="e">
        <f>VLOOKUP(A:A,'ITEM LIST'!A:C,3,0)</f>
        <v>#N/A</v>
      </c>
      <c r="D10451" s="6">
        <f t="shared" si="164"/>
        <v>0</v>
      </c>
    </row>
    <row r="10452" spans="3:4" ht="15" x14ac:dyDescent="0.25">
      <c r="C10452" s="8" t="e">
        <f>VLOOKUP(A:A,'ITEM LIST'!A:C,3,0)</f>
        <v>#N/A</v>
      </c>
      <c r="D10452" s="6">
        <f t="shared" si="164"/>
        <v>0</v>
      </c>
    </row>
    <row r="10453" spans="3:4" ht="15" x14ac:dyDescent="0.25">
      <c r="C10453" s="8" t="e">
        <f>VLOOKUP(A:A,'ITEM LIST'!A:C,3,0)</f>
        <v>#N/A</v>
      </c>
      <c r="D10453" s="6">
        <f t="shared" si="164"/>
        <v>0</v>
      </c>
    </row>
    <row r="10454" spans="3:4" ht="15" x14ac:dyDescent="0.25">
      <c r="C10454" s="8" t="e">
        <f>VLOOKUP(A:A,'ITEM LIST'!A:C,3,0)</f>
        <v>#N/A</v>
      </c>
      <c r="D10454" s="6">
        <f t="shared" si="164"/>
        <v>0</v>
      </c>
    </row>
    <row r="10455" spans="3:4" ht="15" x14ac:dyDescent="0.25">
      <c r="C10455" s="8" t="e">
        <f>VLOOKUP(A:A,'ITEM LIST'!A:C,3,0)</f>
        <v>#N/A</v>
      </c>
      <c r="D10455" s="6">
        <f t="shared" si="164"/>
        <v>0</v>
      </c>
    </row>
    <row r="10456" spans="3:4" ht="15" x14ac:dyDescent="0.25">
      <c r="C10456" s="8" t="e">
        <f>VLOOKUP(A:A,'ITEM LIST'!A:C,3,0)</f>
        <v>#N/A</v>
      </c>
      <c r="D10456" s="6">
        <f t="shared" si="164"/>
        <v>0</v>
      </c>
    </row>
    <row r="10457" spans="3:4" ht="15" x14ac:dyDescent="0.25">
      <c r="C10457" s="8" t="e">
        <f>VLOOKUP(A:A,'ITEM LIST'!A:C,3,0)</f>
        <v>#N/A</v>
      </c>
      <c r="D10457" s="6">
        <f t="shared" si="164"/>
        <v>0</v>
      </c>
    </row>
    <row r="10458" spans="3:4" ht="15" x14ac:dyDescent="0.25">
      <c r="C10458" s="8" t="e">
        <f>VLOOKUP(A:A,'ITEM LIST'!A:C,3,0)</f>
        <v>#N/A</v>
      </c>
      <c r="D10458" s="6">
        <f t="shared" si="164"/>
        <v>0</v>
      </c>
    </row>
    <row r="10459" spans="3:4" ht="15" x14ac:dyDescent="0.25">
      <c r="C10459" s="8" t="e">
        <f>VLOOKUP(A:A,'ITEM LIST'!A:C,3,0)</f>
        <v>#N/A</v>
      </c>
      <c r="D10459" s="6">
        <f t="shared" si="164"/>
        <v>0</v>
      </c>
    </row>
    <row r="10460" spans="3:4" ht="15" x14ac:dyDescent="0.25">
      <c r="C10460" s="8" t="e">
        <f>VLOOKUP(A:A,'ITEM LIST'!A:C,3,0)</f>
        <v>#N/A</v>
      </c>
      <c r="D10460" s="6">
        <f t="shared" si="164"/>
        <v>0</v>
      </c>
    </row>
    <row r="10461" spans="3:4" ht="15" x14ac:dyDescent="0.25">
      <c r="C10461" s="8" t="e">
        <f>VLOOKUP(A:A,'ITEM LIST'!A:C,3,0)</f>
        <v>#N/A</v>
      </c>
      <c r="D10461" s="6">
        <f t="shared" si="164"/>
        <v>0</v>
      </c>
    </row>
    <row r="10462" spans="3:4" ht="15" x14ac:dyDescent="0.25">
      <c r="C10462" s="8" t="e">
        <f>VLOOKUP(A:A,'ITEM LIST'!A:C,3,0)</f>
        <v>#N/A</v>
      </c>
      <c r="D10462" s="6">
        <f t="shared" si="164"/>
        <v>0</v>
      </c>
    </row>
    <row r="10463" spans="3:4" ht="15" x14ac:dyDescent="0.25">
      <c r="C10463" s="8" t="e">
        <f>VLOOKUP(A:A,'ITEM LIST'!A:C,3,0)</f>
        <v>#N/A</v>
      </c>
      <c r="D10463" s="6">
        <f t="shared" si="164"/>
        <v>0</v>
      </c>
    </row>
    <row r="10464" spans="3:4" ht="15" x14ac:dyDescent="0.25">
      <c r="C10464" s="8" t="e">
        <f>VLOOKUP(A:A,'ITEM LIST'!A:C,3,0)</f>
        <v>#N/A</v>
      </c>
      <c r="D10464" s="6">
        <f t="shared" si="164"/>
        <v>0</v>
      </c>
    </row>
    <row r="10465" spans="3:4" ht="15" x14ac:dyDescent="0.25">
      <c r="C10465" s="8" t="e">
        <f>VLOOKUP(A:A,'ITEM LIST'!A:C,3,0)</f>
        <v>#N/A</v>
      </c>
      <c r="D10465" s="6">
        <f t="shared" si="164"/>
        <v>0</v>
      </c>
    </row>
    <row r="10466" spans="3:4" ht="15" x14ac:dyDescent="0.25">
      <c r="C10466" s="8" t="e">
        <f>VLOOKUP(A:A,'ITEM LIST'!A:C,3,0)</f>
        <v>#N/A</v>
      </c>
      <c r="D10466" s="6">
        <f t="shared" si="164"/>
        <v>0</v>
      </c>
    </row>
    <row r="10467" spans="3:4" ht="15" x14ac:dyDescent="0.25">
      <c r="C10467" s="8" t="e">
        <f>VLOOKUP(A:A,'ITEM LIST'!A:C,3,0)</f>
        <v>#N/A</v>
      </c>
      <c r="D10467" s="6">
        <f t="shared" si="164"/>
        <v>0</v>
      </c>
    </row>
    <row r="10468" spans="3:4" ht="15" x14ac:dyDescent="0.25">
      <c r="C10468" s="8" t="e">
        <f>VLOOKUP(A:A,'ITEM LIST'!A:C,3,0)</f>
        <v>#N/A</v>
      </c>
      <c r="D10468" s="6">
        <f t="shared" si="164"/>
        <v>0</v>
      </c>
    </row>
    <row r="10469" spans="3:4" ht="15" x14ac:dyDescent="0.25">
      <c r="C10469" s="8" t="e">
        <f>VLOOKUP(A:A,'ITEM LIST'!A:C,3,0)</f>
        <v>#N/A</v>
      </c>
      <c r="D10469" s="6">
        <f t="shared" si="164"/>
        <v>0</v>
      </c>
    </row>
    <row r="10470" spans="3:4" ht="15" x14ac:dyDescent="0.25">
      <c r="C10470" s="8" t="e">
        <f>VLOOKUP(A:A,'ITEM LIST'!A:C,3,0)</f>
        <v>#N/A</v>
      </c>
      <c r="D10470" s="6">
        <f t="shared" si="164"/>
        <v>0</v>
      </c>
    </row>
    <row r="10471" spans="3:4" ht="15" x14ac:dyDescent="0.25">
      <c r="C10471" s="8" t="e">
        <f>VLOOKUP(A:A,'ITEM LIST'!A:C,3,0)</f>
        <v>#N/A</v>
      </c>
      <c r="D10471" s="6">
        <f t="shared" si="164"/>
        <v>0</v>
      </c>
    </row>
    <row r="10472" spans="3:4" ht="15" x14ac:dyDescent="0.25">
      <c r="C10472" s="8" t="e">
        <f>VLOOKUP(A:A,'ITEM LIST'!A:C,3,0)</f>
        <v>#N/A</v>
      </c>
      <c r="D10472" s="6">
        <f t="shared" si="164"/>
        <v>0</v>
      </c>
    </row>
    <row r="10473" spans="3:4" ht="15" x14ac:dyDescent="0.25">
      <c r="C10473" s="8" t="e">
        <f>VLOOKUP(A:A,'ITEM LIST'!A:C,3,0)</f>
        <v>#N/A</v>
      </c>
      <c r="D10473" s="6">
        <f t="shared" si="164"/>
        <v>0</v>
      </c>
    </row>
    <row r="10474" spans="3:4" ht="15" x14ac:dyDescent="0.25">
      <c r="C10474" s="8" t="e">
        <f>VLOOKUP(A:A,'ITEM LIST'!A:C,3,0)</f>
        <v>#N/A</v>
      </c>
      <c r="D10474" s="6">
        <f t="shared" si="164"/>
        <v>0</v>
      </c>
    </row>
    <row r="10475" spans="3:4" ht="15" x14ac:dyDescent="0.25">
      <c r="C10475" s="8" t="e">
        <f>VLOOKUP(A:A,'ITEM LIST'!A:C,3,0)</f>
        <v>#N/A</v>
      </c>
      <c r="D10475" s="6">
        <f t="shared" si="164"/>
        <v>0</v>
      </c>
    </row>
    <row r="10476" spans="3:4" ht="15" x14ac:dyDescent="0.25">
      <c r="C10476" s="8" t="e">
        <f>VLOOKUP(A:A,'ITEM LIST'!A:C,3,0)</f>
        <v>#N/A</v>
      </c>
      <c r="D10476" s="6">
        <f t="shared" si="164"/>
        <v>0</v>
      </c>
    </row>
    <row r="10477" spans="3:4" ht="15" x14ac:dyDescent="0.25">
      <c r="C10477" s="8" t="e">
        <f>VLOOKUP(A:A,'ITEM LIST'!A:C,3,0)</f>
        <v>#N/A</v>
      </c>
      <c r="D10477" s="6">
        <f t="shared" si="164"/>
        <v>0</v>
      </c>
    </row>
    <row r="10478" spans="3:4" ht="15" x14ac:dyDescent="0.25">
      <c r="C10478" s="8" t="e">
        <f>VLOOKUP(A:A,'ITEM LIST'!A:C,3,0)</f>
        <v>#N/A</v>
      </c>
      <c r="D10478" s="6">
        <f t="shared" si="164"/>
        <v>0</v>
      </c>
    </row>
    <row r="10479" spans="3:4" ht="15" x14ac:dyDescent="0.25">
      <c r="C10479" s="8" t="e">
        <f>VLOOKUP(A:A,'ITEM LIST'!A:C,3,0)</f>
        <v>#N/A</v>
      </c>
      <c r="D10479" s="6">
        <f t="shared" si="164"/>
        <v>0</v>
      </c>
    </row>
    <row r="10480" spans="3:4" ht="15" x14ac:dyDescent="0.25">
      <c r="C10480" s="8" t="e">
        <f>VLOOKUP(A:A,'ITEM LIST'!A:C,3,0)</f>
        <v>#N/A</v>
      </c>
      <c r="D10480" s="6">
        <f t="shared" si="164"/>
        <v>0</v>
      </c>
    </row>
    <row r="10481" spans="3:4" ht="15" x14ac:dyDescent="0.25">
      <c r="C10481" s="8" t="e">
        <f>VLOOKUP(A:A,'ITEM LIST'!A:C,3,0)</f>
        <v>#N/A</v>
      </c>
      <c r="D10481" s="6">
        <f t="shared" si="164"/>
        <v>0</v>
      </c>
    </row>
    <row r="10482" spans="3:4" ht="15" x14ac:dyDescent="0.25">
      <c r="C10482" s="8" t="e">
        <f>VLOOKUP(A:A,'ITEM LIST'!A:C,3,0)</f>
        <v>#N/A</v>
      </c>
      <c r="D10482" s="6">
        <f t="shared" si="164"/>
        <v>0</v>
      </c>
    </row>
    <row r="10483" spans="3:4" ht="15" x14ac:dyDescent="0.25">
      <c r="C10483" s="8" t="e">
        <f>VLOOKUP(A:A,'ITEM LIST'!A:C,3,0)</f>
        <v>#N/A</v>
      </c>
      <c r="D10483" s="6">
        <f t="shared" si="164"/>
        <v>0</v>
      </c>
    </row>
    <row r="10484" spans="3:4" ht="15" x14ac:dyDescent="0.25">
      <c r="C10484" s="8" t="e">
        <f>VLOOKUP(A:A,'ITEM LIST'!A:C,3,0)</f>
        <v>#N/A</v>
      </c>
      <c r="D10484" s="6">
        <f t="shared" si="164"/>
        <v>0</v>
      </c>
    </row>
    <row r="10485" spans="3:4" ht="15" x14ac:dyDescent="0.25">
      <c r="C10485" s="8" t="e">
        <f>VLOOKUP(A:A,'ITEM LIST'!A:C,3,0)</f>
        <v>#N/A</v>
      </c>
      <c r="D10485" s="6">
        <f t="shared" si="164"/>
        <v>0</v>
      </c>
    </row>
    <row r="10486" spans="3:4" ht="15" x14ac:dyDescent="0.25">
      <c r="C10486" s="8" t="e">
        <f>VLOOKUP(A:A,'ITEM LIST'!A:C,3,0)</f>
        <v>#N/A</v>
      </c>
      <c r="D10486" s="6">
        <f t="shared" si="164"/>
        <v>0</v>
      </c>
    </row>
    <row r="10487" spans="3:4" ht="15" x14ac:dyDescent="0.25">
      <c r="C10487" s="8" t="e">
        <f>VLOOKUP(A:A,'ITEM LIST'!A:C,3,0)</f>
        <v>#N/A</v>
      </c>
      <c r="D10487" s="6">
        <f t="shared" si="164"/>
        <v>0</v>
      </c>
    </row>
    <row r="10488" spans="3:4" ht="15" x14ac:dyDescent="0.25">
      <c r="C10488" s="8" t="e">
        <f>VLOOKUP(A:A,'ITEM LIST'!A:C,3,0)</f>
        <v>#N/A</v>
      </c>
      <c r="D10488" s="6">
        <f t="shared" si="164"/>
        <v>0</v>
      </c>
    </row>
    <row r="10489" spans="3:4" ht="15" x14ac:dyDescent="0.25">
      <c r="C10489" s="8" t="e">
        <f>VLOOKUP(A:A,'ITEM LIST'!A:C,3,0)</f>
        <v>#N/A</v>
      </c>
      <c r="D10489" s="6">
        <f t="shared" si="164"/>
        <v>0</v>
      </c>
    </row>
    <row r="10490" spans="3:4" ht="15" x14ac:dyDescent="0.25">
      <c r="C10490" s="8" t="e">
        <f>VLOOKUP(A:A,'ITEM LIST'!A:C,3,0)</f>
        <v>#N/A</v>
      </c>
      <c r="D10490" s="6">
        <f t="shared" si="164"/>
        <v>0</v>
      </c>
    </row>
    <row r="10491" spans="3:4" ht="15" x14ac:dyDescent="0.25">
      <c r="C10491" s="8" t="e">
        <f>VLOOKUP(A:A,'ITEM LIST'!A:C,3,0)</f>
        <v>#N/A</v>
      </c>
      <c r="D10491" s="6">
        <f t="shared" si="164"/>
        <v>0</v>
      </c>
    </row>
    <row r="10492" spans="3:4" ht="15" x14ac:dyDescent="0.25">
      <c r="C10492" s="8" t="e">
        <f>VLOOKUP(A:A,'ITEM LIST'!A:C,3,0)</f>
        <v>#N/A</v>
      </c>
      <c r="D10492" s="6">
        <f t="shared" si="164"/>
        <v>0</v>
      </c>
    </row>
    <row r="10493" spans="3:4" ht="15" x14ac:dyDescent="0.25">
      <c r="C10493" s="8" t="e">
        <f>VLOOKUP(A:A,'ITEM LIST'!A:C,3,0)</f>
        <v>#N/A</v>
      </c>
      <c r="D10493" s="6">
        <f t="shared" si="164"/>
        <v>0</v>
      </c>
    </row>
    <row r="10494" spans="3:4" ht="15" x14ac:dyDescent="0.25">
      <c r="C10494" s="8" t="e">
        <f>VLOOKUP(A:A,'ITEM LIST'!A:C,3,0)</f>
        <v>#N/A</v>
      </c>
      <c r="D10494" s="6">
        <f t="shared" si="164"/>
        <v>0</v>
      </c>
    </row>
    <row r="10495" spans="3:4" ht="15" x14ac:dyDescent="0.25">
      <c r="C10495" s="8" t="e">
        <f>VLOOKUP(A:A,'ITEM LIST'!A:C,3,0)</f>
        <v>#N/A</v>
      </c>
      <c r="D10495" s="6">
        <f t="shared" si="164"/>
        <v>0</v>
      </c>
    </row>
    <row r="10496" spans="3:4" ht="15" x14ac:dyDescent="0.25">
      <c r="C10496" s="8" t="e">
        <f>VLOOKUP(A:A,'ITEM LIST'!A:C,3,0)</f>
        <v>#N/A</v>
      </c>
      <c r="D10496" s="6">
        <f t="shared" si="164"/>
        <v>0</v>
      </c>
    </row>
    <row r="10497" spans="3:4" ht="15" x14ac:dyDescent="0.25">
      <c r="C10497" s="8" t="e">
        <f>VLOOKUP(A:A,'ITEM LIST'!A:C,3,0)</f>
        <v>#N/A</v>
      </c>
      <c r="D10497" s="6">
        <f t="shared" si="164"/>
        <v>0</v>
      </c>
    </row>
    <row r="10498" spans="3:4" ht="15" x14ac:dyDescent="0.25">
      <c r="C10498" s="8" t="e">
        <f>VLOOKUP(A:A,'ITEM LIST'!A:C,3,0)</f>
        <v>#N/A</v>
      </c>
      <c r="D10498" s="6">
        <f t="shared" si="164"/>
        <v>0</v>
      </c>
    </row>
    <row r="10499" spans="3:4" ht="15" x14ac:dyDescent="0.25">
      <c r="C10499" s="8" t="e">
        <f>VLOOKUP(A:A,'ITEM LIST'!A:C,3,0)</f>
        <v>#N/A</v>
      </c>
      <c r="D10499" s="6">
        <f t="shared" si="164"/>
        <v>0</v>
      </c>
    </row>
    <row r="10500" spans="3:4" ht="15" x14ac:dyDescent="0.25">
      <c r="C10500" s="8" t="e">
        <f>VLOOKUP(A:A,'ITEM LIST'!A:C,3,0)</f>
        <v>#N/A</v>
      </c>
      <c r="D10500" s="6">
        <f t="shared" si="164"/>
        <v>0</v>
      </c>
    </row>
    <row r="10501" spans="3:4" ht="15" x14ac:dyDescent="0.25">
      <c r="C10501" s="8" t="e">
        <f>VLOOKUP(A:A,'ITEM LIST'!A:C,3,0)</f>
        <v>#N/A</v>
      </c>
      <c r="D10501" s="6">
        <f t="shared" si="164"/>
        <v>0</v>
      </c>
    </row>
    <row r="10502" spans="3:4" ht="15" x14ac:dyDescent="0.25">
      <c r="C10502" s="8" t="e">
        <f>VLOOKUP(A:A,'ITEM LIST'!A:C,3,0)</f>
        <v>#N/A</v>
      </c>
      <c r="D10502" s="6">
        <f t="shared" ref="D10502:D10565" si="165">B10502</f>
        <v>0</v>
      </c>
    </row>
    <row r="10503" spans="3:4" ht="15" x14ac:dyDescent="0.25">
      <c r="C10503" s="8" t="e">
        <f>VLOOKUP(A:A,'ITEM LIST'!A:C,3,0)</f>
        <v>#N/A</v>
      </c>
      <c r="D10503" s="6">
        <f t="shared" si="165"/>
        <v>0</v>
      </c>
    </row>
    <row r="10504" spans="3:4" ht="15" x14ac:dyDescent="0.25">
      <c r="C10504" s="8" t="e">
        <f>VLOOKUP(A:A,'ITEM LIST'!A:C,3,0)</f>
        <v>#N/A</v>
      </c>
      <c r="D10504" s="6">
        <f t="shared" si="165"/>
        <v>0</v>
      </c>
    </row>
    <row r="10505" spans="3:4" ht="15" x14ac:dyDescent="0.25">
      <c r="C10505" s="8" t="e">
        <f>VLOOKUP(A:A,'ITEM LIST'!A:C,3,0)</f>
        <v>#N/A</v>
      </c>
      <c r="D10505" s="6">
        <f t="shared" si="165"/>
        <v>0</v>
      </c>
    </row>
    <row r="10506" spans="3:4" ht="15" x14ac:dyDescent="0.25">
      <c r="C10506" s="8" t="e">
        <f>VLOOKUP(A:A,'ITEM LIST'!A:C,3,0)</f>
        <v>#N/A</v>
      </c>
      <c r="D10506" s="6">
        <f t="shared" si="165"/>
        <v>0</v>
      </c>
    </row>
    <row r="10507" spans="3:4" ht="15" x14ac:dyDescent="0.25">
      <c r="C10507" s="8" t="e">
        <f>VLOOKUP(A:A,'ITEM LIST'!A:C,3,0)</f>
        <v>#N/A</v>
      </c>
      <c r="D10507" s="6">
        <f t="shared" si="165"/>
        <v>0</v>
      </c>
    </row>
    <row r="10508" spans="3:4" ht="15" x14ac:dyDescent="0.25">
      <c r="C10508" s="8" t="e">
        <f>VLOOKUP(A:A,'ITEM LIST'!A:C,3,0)</f>
        <v>#N/A</v>
      </c>
      <c r="D10508" s="6">
        <f t="shared" si="165"/>
        <v>0</v>
      </c>
    </row>
    <row r="10509" spans="3:4" ht="15" x14ac:dyDescent="0.25">
      <c r="C10509" s="8" t="e">
        <f>VLOOKUP(A:A,'ITEM LIST'!A:C,3,0)</f>
        <v>#N/A</v>
      </c>
      <c r="D10509" s="6">
        <f t="shared" si="165"/>
        <v>0</v>
      </c>
    </row>
    <row r="10510" spans="3:4" ht="15" x14ac:dyDescent="0.25">
      <c r="C10510" s="8" t="e">
        <f>VLOOKUP(A:A,'ITEM LIST'!A:C,3,0)</f>
        <v>#N/A</v>
      </c>
      <c r="D10510" s="6">
        <f t="shared" si="165"/>
        <v>0</v>
      </c>
    </row>
    <row r="10511" spans="3:4" ht="15" x14ac:dyDescent="0.25">
      <c r="C10511" s="8" t="e">
        <f>VLOOKUP(A:A,'ITEM LIST'!A:C,3,0)</f>
        <v>#N/A</v>
      </c>
      <c r="D10511" s="6">
        <f t="shared" si="165"/>
        <v>0</v>
      </c>
    </row>
    <row r="10512" spans="3:4" ht="15" x14ac:dyDescent="0.25">
      <c r="C10512" s="8" t="e">
        <f>VLOOKUP(A:A,'ITEM LIST'!A:C,3,0)</f>
        <v>#N/A</v>
      </c>
      <c r="D10512" s="6">
        <f t="shared" si="165"/>
        <v>0</v>
      </c>
    </row>
    <row r="10513" spans="3:4" ht="15" x14ac:dyDescent="0.25">
      <c r="C10513" s="8" t="e">
        <f>VLOOKUP(A:A,'ITEM LIST'!A:C,3,0)</f>
        <v>#N/A</v>
      </c>
      <c r="D10513" s="6">
        <f t="shared" si="165"/>
        <v>0</v>
      </c>
    </row>
    <row r="10514" spans="3:4" ht="15" x14ac:dyDescent="0.25">
      <c r="C10514" s="8" t="e">
        <f>VLOOKUP(A:A,'ITEM LIST'!A:C,3,0)</f>
        <v>#N/A</v>
      </c>
      <c r="D10514" s="6">
        <f t="shared" si="165"/>
        <v>0</v>
      </c>
    </row>
    <row r="10515" spans="3:4" ht="15" x14ac:dyDescent="0.25">
      <c r="C10515" s="8" t="e">
        <f>VLOOKUP(A:A,'ITEM LIST'!A:C,3,0)</f>
        <v>#N/A</v>
      </c>
      <c r="D10515" s="6">
        <f t="shared" si="165"/>
        <v>0</v>
      </c>
    </row>
    <row r="10516" spans="3:4" ht="15" x14ac:dyDescent="0.25">
      <c r="C10516" s="8" t="e">
        <f>VLOOKUP(A:A,'ITEM LIST'!A:C,3,0)</f>
        <v>#N/A</v>
      </c>
      <c r="D10516" s="6">
        <f t="shared" si="165"/>
        <v>0</v>
      </c>
    </row>
    <row r="10517" spans="3:4" ht="15" x14ac:dyDescent="0.25">
      <c r="C10517" s="8" t="e">
        <f>VLOOKUP(A:A,'ITEM LIST'!A:C,3,0)</f>
        <v>#N/A</v>
      </c>
      <c r="D10517" s="6">
        <f t="shared" si="165"/>
        <v>0</v>
      </c>
    </row>
    <row r="10518" spans="3:4" ht="15" x14ac:dyDescent="0.25">
      <c r="C10518" s="8" t="e">
        <f>VLOOKUP(A:A,'ITEM LIST'!A:C,3,0)</f>
        <v>#N/A</v>
      </c>
      <c r="D10518" s="6">
        <f t="shared" si="165"/>
        <v>0</v>
      </c>
    </row>
    <row r="10519" spans="3:4" ht="15" x14ac:dyDescent="0.25">
      <c r="C10519" s="8" t="e">
        <f>VLOOKUP(A:A,'ITEM LIST'!A:C,3,0)</f>
        <v>#N/A</v>
      </c>
      <c r="D10519" s="6">
        <f t="shared" si="165"/>
        <v>0</v>
      </c>
    </row>
    <row r="10520" spans="3:4" ht="15" x14ac:dyDescent="0.25">
      <c r="C10520" s="8" t="e">
        <f>VLOOKUP(A:A,'ITEM LIST'!A:C,3,0)</f>
        <v>#N/A</v>
      </c>
      <c r="D10520" s="6">
        <f t="shared" si="165"/>
        <v>0</v>
      </c>
    </row>
    <row r="10521" spans="3:4" ht="15" x14ac:dyDescent="0.25">
      <c r="C10521" s="8" t="e">
        <f>VLOOKUP(A:A,'ITEM LIST'!A:C,3,0)</f>
        <v>#N/A</v>
      </c>
      <c r="D10521" s="6">
        <f t="shared" si="165"/>
        <v>0</v>
      </c>
    </row>
    <row r="10522" spans="3:4" ht="15" x14ac:dyDescent="0.25">
      <c r="C10522" s="8" t="e">
        <f>VLOOKUP(A:A,'ITEM LIST'!A:C,3,0)</f>
        <v>#N/A</v>
      </c>
      <c r="D10522" s="6">
        <f t="shared" si="165"/>
        <v>0</v>
      </c>
    </row>
    <row r="10523" spans="3:4" ht="15" x14ac:dyDescent="0.25">
      <c r="C10523" s="8" t="e">
        <f>VLOOKUP(A:A,'ITEM LIST'!A:C,3,0)</f>
        <v>#N/A</v>
      </c>
      <c r="D10523" s="6">
        <f t="shared" si="165"/>
        <v>0</v>
      </c>
    </row>
    <row r="10524" spans="3:4" ht="15" x14ac:dyDescent="0.25">
      <c r="C10524" s="8" t="e">
        <f>VLOOKUP(A:A,'ITEM LIST'!A:C,3,0)</f>
        <v>#N/A</v>
      </c>
      <c r="D10524" s="6">
        <f t="shared" si="165"/>
        <v>0</v>
      </c>
    </row>
    <row r="10525" spans="3:4" ht="15" x14ac:dyDescent="0.25">
      <c r="C10525" s="8" t="e">
        <f>VLOOKUP(A:A,'ITEM LIST'!A:C,3,0)</f>
        <v>#N/A</v>
      </c>
      <c r="D10525" s="6">
        <f t="shared" si="165"/>
        <v>0</v>
      </c>
    </row>
    <row r="10526" spans="3:4" ht="15" x14ac:dyDescent="0.25">
      <c r="C10526" s="8" t="e">
        <f>VLOOKUP(A:A,'ITEM LIST'!A:C,3,0)</f>
        <v>#N/A</v>
      </c>
      <c r="D10526" s="6">
        <f t="shared" si="165"/>
        <v>0</v>
      </c>
    </row>
    <row r="10527" spans="3:4" ht="15" x14ac:dyDescent="0.25">
      <c r="C10527" s="8" t="e">
        <f>VLOOKUP(A:A,'ITEM LIST'!A:C,3,0)</f>
        <v>#N/A</v>
      </c>
      <c r="D10527" s="6">
        <f t="shared" si="165"/>
        <v>0</v>
      </c>
    </row>
    <row r="10528" spans="3:4" ht="15" x14ac:dyDescent="0.25">
      <c r="C10528" s="8" t="e">
        <f>VLOOKUP(A:A,'ITEM LIST'!A:C,3,0)</f>
        <v>#N/A</v>
      </c>
      <c r="D10528" s="6">
        <f t="shared" si="165"/>
        <v>0</v>
      </c>
    </row>
    <row r="10529" spans="3:4" ht="15" x14ac:dyDescent="0.25">
      <c r="C10529" s="8" t="e">
        <f>VLOOKUP(A:A,'ITEM LIST'!A:C,3,0)</f>
        <v>#N/A</v>
      </c>
      <c r="D10529" s="6">
        <f t="shared" si="165"/>
        <v>0</v>
      </c>
    </row>
    <row r="10530" spans="3:4" ht="15" x14ac:dyDescent="0.25">
      <c r="C10530" s="8" t="e">
        <f>VLOOKUP(A:A,'ITEM LIST'!A:C,3,0)</f>
        <v>#N/A</v>
      </c>
      <c r="D10530" s="6">
        <f t="shared" si="165"/>
        <v>0</v>
      </c>
    </row>
    <row r="10531" spans="3:4" ht="15" x14ac:dyDescent="0.25">
      <c r="C10531" s="8" t="e">
        <f>VLOOKUP(A:A,'ITEM LIST'!A:C,3,0)</f>
        <v>#N/A</v>
      </c>
      <c r="D10531" s="6">
        <f t="shared" si="165"/>
        <v>0</v>
      </c>
    </row>
    <row r="10532" spans="3:4" ht="15" x14ac:dyDescent="0.25">
      <c r="C10532" s="8" t="e">
        <f>VLOOKUP(A:A,'ITEM LIST'!A:C,3,0)</f>
        <v>#N/A</v>
      </c>
      <c r="D10532" s="6">
        <f t="shared" si="165"/>
        <v>0</v>
      </c>
    </row>
    <row r="10533" spans="3:4" ht="15" x14ac:dyDescent="0.25">
      <c r="C10533" s="8" t="e">
        <f>VLOOKUP(A:A,'ITEM LIST'!A:C,3,0)</f>
        <v>#N/A</v>
      </c>
      <c r="D10533" s="6">
        <f t="shared" si="165"/>
        <v>0</v>
      </c>
    </row>
    <row r="10534" spans="3:4" ht="15" x14ac:dyDescent="0.25">
      <c r="C10534" s="8" t="e">
        <f>VLOOKUP(A:A,'ITEM LIST'!A:C,3,0)</f>
        <v>#N/A</v>
      </c>
      <c r="D10534" s="6">
        <f t="shared" si="165"/>
        <v>0</v>
      </c>
    </row>
    <row r="10535" spans="3:4" ht="15" x14ac:dyDescent="0.25">
      <c r="C10535" s="8" t="e">
        <f>VLOOKUP(A:A,'ITEM LIST'!A:C,3,0)</f>
        <v>#N/A</v>
      </c>
      <c r="D10535" s="6">
        <f t="shared" si="165"/>
        <v>0</v>
      </c>
    </row>
    <row r="10536" spans="3:4" ht="15" x14ac:dyDescent="0.25">
      <c r="C10536" s="8" t="e">
        <f>VLOOKUP(A:A,'ITEM LIST'!A:C,3,0)</f>
        <v>#N/A</v>
      </c>
      <c r="D10536" s="6">
        <f t="shared" si="165"/>
        <v>0</v>
      </c>
    </row>
    <row r="10537" spans="3:4" ht="15" x14ac:dyDescent="0.25">
      <c r="C10537" s="8" t="e">
        <f>VLOOKUP(A:A,'ITEM LIST'!A:C,3,0)</f>
        <v>#N/A</v>
      </c>
      <c r="D10537" s="6">
        <f t="shared" si="165"/>
        <v>0</v>
      </c>
    </row>
    <row r="10538" spans="3:4" ht="15" x14ac:dyDescent="0.25">
      <c r="C10538" s="8" t="e">
        <f>VLOOKUP(A:A,'ITEM LIST'!A:C,3,0)</f>
        <v>#N/A</v>
      </c>
      <c r="D10538" s="6">
        <f t="shared" si="165"/>
        <v>0</v>
      </c>
    </row>
    <row r="10539" spans="3:4" ht="15" x14ac:dyDescent="0.25">
      <c r="C10539" s="8" t="e">
        <f>VLOOKUP(A:A,'ITEM LIST'!A:C,3,0)</f>
        <v>#N/A</v>
      </c>
      <c r="D10539" s="6">
        <f t="shared" si="165"/>
        <v>0</v>
      </c>
    </row>
    <row r="10540" spans="3:4" ht="15" x14ac:dyDescent="0.25">
      <c r="C10540" s="8" t="e">
        <f>VLOOKUP(A:A,'ITEM LIST'!A:C,3,0)</f>
        <v>#N/A</v>
      </c>
      <c r="D10540" s="6">
        <f t="shared" si="165"/>
        <v>0</v>
      </c>
    </row>
    <row r="10541" spans="3:4" ht="15" x14ac:dyDescent="0.25">
      <c r="C10541" s="8" t="e">
        <f>VLOOKUP(A:A,'ITEM LIST'!A:C,3,0)</f>
        <v>#N/A</v>
      </c>
      <c r="D10541" s="6">
        <f t="shared" si="165"/>
        <v>0</v>
      </c>
    </row>
    <row r="10542" spans="3:4" ht="15" x14ac:dyDescent="0.25">
      <c r="C10542" s="8" t="e">
        <f>VLOOKUP(A:A,'ITEM LIST'!A:C,3,0)</f>
        <v>#N/A</v>
      </c>
      <c r="D10542" s="6">
        <f t="shared" si="165"/>
        <v>0</v>
      </c>
    </row>
    <row r="10543" spans="3:4" ht="15" x14ac:dyDescent="0.25">
      <c r="C10543" s="8" t="e">
        <f>VLOOKUP(A:A,'ITEM LIST'!A:C,3,0)</f>
        <v>#N/A</v>
      </c>
      <c r="D10543" s="6">
        <f t="shared" si="165"/>
        <v>0</v>
      </c>
    </row>
    <row r="10544" spans="3:4" ht="15" x14ac:dyDescent="0.25">
      <c r="C10544" s="8" t="e">
        <f>VLOOKUP(A:A,'ITEM LIST'!A:C,3,0)</f>
        <v>#N/A</v>
      </c>
      <c r="D10544" s="6">
        <f t="shared" si="165"/>
        <v>0</v>
      </c>
    </row>
    <row r="10545" spans="3:4" ht="15" x14ac:dyDescent="0.25">
      <c r="C10545" s="8" t="e">
        <f>VLOOKUP(A:A,'ITEM LIST'!A:C,3,0)</f>
        <v>#N/A</v>
      </c>
      <c r="D10545" s="6">
        <f t="shared" si="165"/>
        <v>0</v>
      </c>
    </row>
    <row r="10546" spans="3:4" ht="15" x14ac:dyDescent="0.25">
      <c r="C10546" s="8" t="e">
        <f>VLOOKUP(A:A,'ITEM LIST'!A:C,3,0)</f>
        <v>#N/A</v>
      </c>
      <c r="D10546" s="6">
        <f t="shared" si="165"/>
        <v>0</v>
      </c>
    </row>
    <row r="10547" spans="3:4" ht="15" x14ac:dyDescent="0.25">
      <c r="C10547" s="8" t="e">
        <f>VLOOKUP(A:A,'ITEM LIST'!A:C,3,0)</f>
        <v>#N/A</v>
      </c>
      <c r="D10547" s="6">
        <f t="shared" si="165"/>
        <v>0</v>
      </c>
    </row>
    <row r="10548" spans="3:4" ht="15" x14ac:dyDescent="0.25">
      <c r="C10548" s="8" t="e">
        <f>VLOOKUP(A:A,'ITEM LIST'!A:C,3,0)</f>
        <v>#N/A</v>
      </c>
      <c r="D10548" s="6">
        <f t="shared" si="165"/>
        <v>0</v>
      </c>
    </row>
    <row r="10549" spans="3:4" ht="15" x14ac:dyDescent="0.25">
      <c r="C10549" s="8" t="e">
        <f>VLOOKUP(A:A,'ITEM LIST'!A:C,3,0)</f>
        <v>#N/A</v>
      </c>
      <c r="D10549" s="6">
        <f t="shared" si="165"/>
        <v>0</v>
      </c>
    </row>
    <row r="10550" spans="3:4" ht="15" x14ac:dyDescent="0.25">
      <c r="C10550" s="8" t="e">
        <f>VLOOKUP(A:A,'ITEM LIST'!A:C,3,0)</f>
        <v>#N/A</v>
      </c>
      <c r="D10550" s="6">
        <f t="shared" si="165"/>
        <v>0</v>
      </c>
    </row>
    <row r="10551" spans="3:4" ht="15" x14ac:dyDescent="0.25">
      <c r="C10551" s="8" t="e">
        <f>VLOOKUP(A:A,'ITEM LIST'!A:C,3,0)</f>
        <v>#N/A</v>
      </c>
      <c r="D10551" s="6">
        <f t="shared" si="165"/>
        <v>0</v>
      </c>
    </row>
    <row r="10552" spans="3:4" ht="15" x14ac:dyDescent="0.25">
      <c r="C10552" s="8" t="e">
        <f>VLOOKUP(A:A,'ITEM LIST'!A:C,3,0)</f>
        <v>#N/A</v>
      </c>
      <c r="D10552" s="6">
        <f t="shared" si="165"/>
        <v>0</v>
      </c>
    </row>
    <row r="10553" spans="3:4" ht="15" x14ac:dyDescent="0.25">
      <c r="C10553" s="8" t="e">
        <f>VLOOKUP(A:A,'ITEM LIST'!A:C,3,0)</f>
        <v>#N/A</v>
      </c>
      <c r="D10553" s="6">
        <f t="shared" si="165"/>
        <v>0</v>
      </c>
    </row>
    <row r="10554" spans="3:4" ht="15" x14ac:dyDescent="0.25">
      <c r="C10554" s="8" t="e">
        <f>VLOOKUP(A:A,'ITEM LIST'!A:C,3,0)</f>
        <v>#N/A</v>
      </c>
      <c r="D10554" s="6">
        <f t="shared" si="165"/>
        <v>0</v>
      </c>
    </row>
    <row r="10555" spans="3:4" ht="15" x14ac:dyDescent="0.25">
      <c r="C10555" s="8" t="e">
        <f>VLOOKUP(A:A,'ITEM LIST'!A:C,3,0)</f>
        <v>#N/A</v>
      </c>
      <c r="D10555" s="6">
        <f t="shared" si="165"/>
        <v>0</v>
      </c>
    </row>
    <row r="10556" spans="3:4" ht="15" x14ac:dyDescent="0.25">
      <c r="C10556" s="8" t="e">
        <f>VLOOKUP(A:A,'ITEM LIST'!A:C,3,0)</f>
        <v>#N/A</v>
      </c>
      <c r="D10556" s="6">
        <f t="shared" si="165"/>
        <v>0</v>
      </c>
    </row>
    <row r="10557" spans="3:4" ht="15" x14ac:dyDescent="0.25">
      <c r="C10557" s="8" t="e">
        <f>VLOOKUP(A:A,'ITEM LIST'!A:C,3,0)</f>
        <v>#N/A</v>
      </c>
      <c r="D10557" s="6">
        <f t="shared" si="165"/>
        <v>0</v>
      </c>
    </row>
    <row r="10558" spans="3:4" ht="15" x14ac:dyDescent="0.25">
      <c r="C10558" s="8" t="e">
        <f>VLOOKUP(A:A,'ITEM LIST'!A:C,3,0)</f>
        <v>#N/A</v>
      </c>
      <c r="D10558" s="6">
        <f t="shared" si="165"/>
        <v>0</v>
      </c>
    </row>
    <row r="10559" spans="3:4" ht="15" x14ac:dyDescent="0.25">
      <c r="C10559" s="8" t="e">
        <f>VLOOKUP(A:A,'ITEM LIST'!A:C,3,0)</f>
        <v>#N/A</v>
      </c>
      <c r="D10559" s="6">
        <f t="shared" si="165"/>
        <v>0</v>
      </c>
    </row>
    <row r="10560" spans="3:4" ht="15" x14ac:dyDescent="0.25">
      <c r="C10560" s="8" t="e">
        <f>VLOOKUP(A:A,'ITEM LIST'!A:C,3,0)</f>
        <v>#N/A</v>
      </c>
      <c r="D10560" s="6">
        <f t="shared" si="165"/>
        <v>0</v>
      </c>
    </row>
    <row r="10561" spans="3:4" ht="15" x14ac:dyDescent="0.25">
      <c r="C10561" s="8" t="e">
        <f>VLOOKUP(A:A,'ITEM LIST'!A:C,3,0)</f>
        <v>#N/A</v>
      </c>
      <c r="D10561" s="6">
        <f t="shared" si="165"/>
        <v>0</v>
      </c>
    </row>
    <row r="10562" spans="3:4" ht="15" x14ac:dyDescent="0.25">
      <c r="C10562" s="8" t="e">
        <f>VLOOKUP(A:A,'ITEM LIST'!A:C,3,0)</f>
        <v>#N/A</v>
      </c>
      <c r="D10562" s="6">
        <f t="shared" si="165"/>
        <v>0</v>
      </c>
    </row>
    <row r="10563" spans="3:4" ht="15" x14ac:dyDescent="0.25">
      <c r="C10563" s="8" t="e">
        <f>VLOOKUP(A:A,'ITEM LIST'!A:C,3,0)</f>
        <v>#N/A</v>
      </c>
      <c r="D10563" s="6">
        <f t="shared" si="165"/>
        <v>0</v>
      </c>
    </row>
    <row r="10564" spans="3:4" ht="15" x14ac:dyDescent="0.25">
      <c r="C10564" s="8" t="e">
        <f>VLOOKUP(A:A,'ITEM LIST'!A:C,3,0)</f>
        <v>#N/A</v>
      </c>
      <c r="D10564" s="6">
        <f t="shared" si="165"/>
        <v>0</v>
      </c>
    </row>
    <row r="10565" spans="3:4" ht="15" x14ac:dyDescent="0.25">
      <c r="C10565" s="8" t="e">
        <f>VLOOKUP(A:A,'ITEM LIST'!A:C,3,0)</f>
        <v>#N/A</v>
      </c>
      <c r="D10565" s="6">
        <f t="shared" si="165"/>
        <v>0</v>
      </c>
    </row>
    <row r="10566" spans="3:4" ht="15" x14ac:dyDescent="0.25">
      <c r="C10566" s="8" t="e">
        <f>VLOOKUP(A:A,'ITEM LIST'!A:C,3,0)</f>
        <v>#N/A</v>
      </c>
      <c r="D10566" s="6">
        <f t="shared" ref="D10566:D10629" si="166">B10566</f>
        <v>0</v>
      </c>
    </row>
    <row r="10567" spans="3:4" ht="15" x14ac:dyDescent="0.25">
      <c r="C10567" s="8" t="e">
        <f>VLOOKUP(A:A,'ITEM LIST'!A:C,3,0)</f>
        <v>#N/A</v>
      </c>
      <c r="D10567" s="6">
        <f t="shared" si="166"/>
        <v>0</v>
      </c>
    </row>
    <row r="10568" spans="3:4" ht="15" x14ac:dyDescent="0.25">
      <c r="C10568" s="8" t="e">
        <f>VLOOKUP(A:A,'ITEM LIST'!A:C,3,0)</f>
        <v>#N/A</v>
      </c>
      <c r="D10568" s="6">
        <f t="shared" si="166"/>
        <v>0</v>
      </c>
    </row>
    <row r="10569" spans="3:4" ht="15" x14ac:dyDescent="0.25">
      <c r="C10569" s="8" t="e">
        <f>VLOOKUP(A:A,'ITEM LIST'!A:C,3,0)</f>
        <v>#N/A</v>
      </c>
      <c r="D10569" s="6">
        <f t="shared" si="166"/>
        <v>0</v>
      </c>
    </row>
    <row r="10570" spans="3:4" ht="15" x14ac:dyDescent="0.25">
      <c r="C10570" s="8" t="e">
        <f>VLOOKUP(A:A,'ITEM LIST'!A:C,3,0)</f>
        <v>#N/A</v>
      </c>
      <c r="D10570" s="6">
        <f t="shared" si="166"/>
        <v>0</v>
      </c>
    </row>
    <row r="10571" spans="3:4" ht="15" x14ac:dyDescent="0.25">
      <c r="C10571" s="8" t="e">
        <f>VLOOKUP(A:A,'ITEM LIST'!A:C,3,0)</f>
        <v>#N/A</v>
      </c>
      <c r="D10571" s="6">
        <f t="shared" si="166"/>
        <v>0</v>
      </c>
    </row>
    <row r="10572" spans="3:4" ht="15" x14ac:dyDescent="0.25">
      <c r="C10572" s="8" t="e">
        <f>VLOOKUP(A:A,'ITEM LIST'!A:C,3,0)</f>
        <v>#N/A</v>
      </c>
      <c r="D10572" s="6">
        <f t="shared" si="166"/>
        <v>0</v>
      </c>
    </row>
    <row r="10573" spans="3:4" ht="15" x14ac:dyDescent="0.25">
      <c r="C10573" s="8" t="e">
        <f>VLOOKUP(A:A,'ITEM LIST'!A:C,3,0)</f>
        <v>#N/A</v>
      </c>
      <c r="D10573" s="6">
        <f t="shared" si="166"/>
        <v>0</v>
      </c>
    </row>
    <row r="10574" spans="3:4" ht="15" x14ac:dyDescent="0.25">
      <c r="C10574" s="8" t="e">
        <f>VLOOKUP(A:A,'ITEM LIST'!A:C,3,0)</f>
        <v>#N/A</v>
      </c>
      <c r="D10574" s="6">
        <f t="shared" si="166"/>
        <v>0</v>
      </c>
    </row>
    <row r="10575" spans="3:4" ht="15" x14ac:dyDescent="0.25">
      <c r="C10575" s="8" t="e">
        <f>VLOOKUP(A:A,'ITEM LIST'!A:C,3,0)</f>
        <v>#N/A</v>
      </c>
      <c r="D10575" s="6">
        <f t="shared" si="166"/>
        <v>0</v>
      </c>
    </row>
    <row r="10576" spans="3:4" ht="15" x14ac:dyDescent="0.25">
      <c r="C10576" s="8" t="e">
        <f>VLOOKUP(A:A,'ITEM LIST'!A:C,3,0)</f>
        <v>#N/A</v>
      </c>
      <c r="D10576" s="6">
        <f t="shared" si="166"/>
        <v>0</v>
      </c>
    </row>
    <row r="10577" spans="3:4" ht="15" x14ac:dyDescent="0.25">
      <c r="C10577" s="8" t="e">
        <f>VLOOKUP(A:A,'ITEM LIST'!A:C,3,0)</f>
        <v>#N/A</v>
      </c>
      <c r="D10577" s="6">
        <f t="shared" si="166"/>
        <v>0</v>
      </c>
    </row>
    <row r="10578" spans="3:4" ht="15" x14ac:dyDescent="0.25">
      <c r="C10578" s="8" t="e">
        <f>VLOOKUP(A:A,'ITEM LIST'!A:C,3,0)</f>
        <v>#N/A</v>
      </c>
      <c r="D10578" s="6">
        <f t="shared" si="166"/>
        <v>0</v>
      </c>
    </row>
    <row r="10579" spans="3:4" ht="15" x14ac:dyDescent="0.25">
      <c r="C10579" s="8" t="e">
        <f>VLOOKUP(A:A,'ITEM LIST'!A:C,3,0)</f>
        <v>#N/A</v>
      </c>
      <c r="D10579" s="6">
        <f t="shared" si="166"/>
        <v>0</v>
      </c>
    </row>
    <row r="10580" spans="3:4" ht="15" x14ac:dyDescent="0.25">
      <c r="C10580" s="8" t="e">
        <f>VLOOKUP(A:A,'ITEM LIST'!A:C,3,0)</f>
        <v>#N/A</v>
      </c>
      <c r="D10580" s="6">
        <f t="shared" si="166"/>
        <v>0</v>
      </c>
    </row>
    <row r="10581" spans="3:4" ht="15" x14ac:dyDescent="0.25">
      <c r="C10581" s="8" t="e">
        <f>VLOOKUP(A:A,'ITEM LIST'!A:C,3,0)</f>
        <v>#N/A</v>
      </c>
      <c r="D10581" s="6">
        <f t="shared" si="166"/>
        <v>0</v>
      </c>
    </row>
    <row r="10582" spans="3:4" ht="15" x14ac:dyDescent="0.25">
      <c r="C10582" s="8" t="e">
        <f>VLOOKUP(A:A,'ITEM LIST'!A:C,3,0)</f>
        <v>#N/A</v>
      </c>
      <c r="D10582" s="6">
        <f t="shared" si="166"/>
        <v>0</v>
      </c>
    </row>
    <row r="10583" spans="3:4" ht="15" x14ac:dyDescent="0.25">
      <c r="C10583" s="8" t="e">
        <f>VLOOKUP(A:A,'ITEM LIST'!A:C,3,0)</f>
        <v>#N/A</v>
      </c>
      <c r="D10583" s="6">
        <f t="shared" si="166"/>
        <v>0</v>
      </c>
    </row>
    <row r="10584" spans="3:4" ht="15" x14ac:dyDescent="0.25">
      <c r="C10584" s="8" t="e">
        <f>VLOOKUP(A:A,'ITEM LIST'!A:C,3,0)</f>
        <v>#N/A</v>
      </c>
      <c r="D10584" s="6">
        <f t="shared" si="166"/>
        <v>0</v>
      </c>
    </row>
    <row r="10585" spans="3:4" ht="15" x14ac:dyDescent="0.25">
      <c r="C10585" s="8" t="e">
        <f>VLOOKUP(A:A,'ITEM LIST'!A:C,3,0)</f>
        <v>#N/A</v>
      </c>
      <c r="D10585" s="6">
        <f t="shared" si="166"/>
        <v>0</v>
      </c>
    </row>
    <row r="10586" spans="3:4" ht="15" x14ac:dyDescent="0.25">
      <c r="C10586" s="8" t="e">
        <f>VLOOKUP(A:A,'ITEM LIST'!A:C,3,0)</f>
        <v>#N/A</v>
      </c>
      <c r="D10586" s="6">
        <f t="shared" si="166"/>
        <v>0</v>
      </c>
    </row>
    <row r="10587" spans="3:4" ht="15" x14ac:dyDescent="0.25">
      <c r="C10587" s="8" t="e">
        <f>VLOOKUP(A:A,'ITEM LIST'!A:C,3,0)</f>
        <v>#N/A</v>
      </c>
      <c r="D10587" s="6">
        <f t="shared" si="166"/>
        <v>0</v>
      </c>
    </row>
    <row r="10588" spans="3:4" ht="15" x14ac:dyDescent="0.25">
      <c r="C10588" s="8" t="e">
        <f>VLOOKUP(A:A,'ITEM LIST'!A:C,3,0)</f>
        <v>#N/A</v>
      </c>
      <c r="D10588" s="6">
        <f t="shared" si="166"/>
        <v>0</v>
      </c>
    </row>
    <row r="10589" spans="3:4" ht="15" x14ac:dyDescent="0.25">
      <c r="C10589" s="8" t="e">
        <f>VLOOKUP(A:A,'ITEM LIST'!A:C,3,0)</f>
        <v>#N/A</v>
      </c>
      <c r="D10589" s="6">
        <f t="shared" si="166"/>
        <v>0</v>
      </c>
    </row>
    <row r="10590" spans="3:4" ht="15" x14ac:dyDescent="0.25">
      <c r="C10590" s="8" t="e">
        <f>VLOOKUP(A:A,'ITEM LIST'!A:C,3,0)</f>
        <v>#N/A</v>
      </c>
      <c r="D10590" s="6">
        <f t="shared" si="166"/>
        <v>0</v>
      </c>
    </row>
    <row r="10591" spans="3:4" ht="15" x14ac:dyDescent="0.25">
      <c r="C10591" s="8" t="e">
        <f>VLOOKUP(A:A,'ITEM LIST'!A:C,3,0)</f>
        <v>#N/A</v>
      </c>
      <c r="D10591" s="6">
        <f t="shared" si="166"/>
        <v>0</v>
      </c>
    </row>
    <row r="10592" spans="3:4" ht="15" x14ac:dyDescent="0.25">
      <c r="C10592" s="8" t="e">
        <f>VLOOKUP(A:A,'ITEM LIST'!A:C,3,0)</f>
        <v>#N/A</v>
      </c>
      <c r="D10592" s="6">
        <f t="shared" si="166"/>
        <v>0</v>
      </c>
    </row>
    <row r="10593" spans="3:4" ht="15" x14ac:dyDescent="0.25">
      <c r="C10593" s="8" t="e">
        <f>VLOOKUP(A:A,'ITEM LIST'!A:C,3,0)</f>
        <v>#N/A</v>
      </c>
      <c r="D10593" s="6">
        <f t="shared" si="166"/>
        <v>0</v>
      </c>
    </row>
    <row r="10594" spans="3:4" ht="15" x14ac:dyDescent="0.25">
      <c r="C10594" s="8" t="e">
        <f>VLOOKUP(A:A,'ITEM LIST'!A:C,3,0)</f>
        <v>#N/A</v>
      </c>
      <c r="D10594" s="6">
        <f t="shared" si="166"/>
        <v>0</v>
      </c>
    </row>
    <row r="10595" spans="3:4" ht="15" x14ac:dyDescent="0.25">
      <c r="C10595" s="8" t="e">
        <f>VLOOKUP(A:A,'ITEM LIST'!A:C,3,0)</f>
        <v>#N/A</v>
      </c>
      <c r="D10595" s="6">
        <f t="shared" si="166"/>
        <v>0</v>
      </c>
    </row>
    <row r="10596" spans="3:4" ht="15" x14ac:dyDescent="0.25">
      <c r="C10596" s="8" t="e">
        <f>VLOOKUP(A:A,'ITEM LIST'!A:C,3,0)</f>
        <v>#N/A</v>
      </c>
      <c r="D10596" s="6">
        <f t="shared" si="166"/>
        <v>0</v>
      </c>
    </row>
    <row r="10597" spans="3:4" ht="15" x14ac:dyDescent="0.25">
      <c r="C10597" s="8" t="e">
        <f>VLOOKUP(A:A,'ITEM LIST'!A:C,3,0)</f>
        <v>#N/A</v>
      </c>
      <c r="D10597" s="6">
        <f t="shared" si="166"/>
        <v>0</v>
      </c>
    </row>
    <row r="10598" spans="3:4" ht="15" x14ac:dyDescent="0.25">
      <c r="C10598" s="8" t="e">
        <f>VLOOKUP(A:A,'ITEM LIST'!A:C,3,0)</f>
        <v>#N/A</v>
      </c>
      <c r="D10598" s="6">
        <f t="shared" si="166"/>
        <v>0</v>
      </c>
    </row>
    <row r="10599" spans="3:4" ht="15" x14ac:dyDescent="0.25">
      <c r="C10599" s="8" t="e">
        <f>VLOOKUP(A:A,'ITEM LIST'!A:C,3,0)</f>
        <v>#N/A</v>
      </c>
      <c r="D10599" s="6">
        <f t="shared" si="166"/>
        <v>0</v>
      </c>
    </row>
    <row r="10600" spans="3:4" ht="15" x14ac:dyDescent="0.25">
      <c r="C10600" s="8" t="e">
        <f>VLOOKUP(A:A,'ITEM LIST'!A:C,3,0)</f>
        <v>#N/A</v>
      </c>
      <c r="D10600" s="6">
        <f t="shared" si="166"/>
        <v>0</v>
      </c>
    </row>
    <row r="10601" spans="3:4" ht="15" x14ac:dyDescent="0.25">
      <c r="C10601" s="8" t="e">
        <f>VLOOKUP(A:A,'ITEM LIST'!A:C,3,0)</f>
        <v>#N/A</v>
      </c>
      <c r="D10601" s="6">
        <f t="shared" si="166"/>
        <v>0</v>
      </c>
    </row>
    <row r="10602" spans="3:4" ht="15" x14ac:dyDescent="0.25">
      <c r="C10602" s="8" t="e">
        <f>VLOOKUP(A:A,'ITEM LIST'!A:C,3,0)</f>
        <v>#N/A</v>
      </c>
      <c r="D10602" s="6">
        <f t="shared" si="166"/>
        <v>0</v>
      </c>
    </row>
    <row r="10603" spans="3:4" ht="15" x14ac:dyDescent="0.25">
      <c r="C10603" s="8" t="e">
        <f>VLOOKUP(A:A,'ITEM LIST'!A:C,3,0)</f>
        <v>#N/A</v>
      </c>
      <c r="D10603" s="6">
        <f t="shared" si="166"/>
        <v>0</v>
      </c>
    </row>
    <row r="10604" spans="3:4" ht="15" x14ac:dyDescent="0.25">
      <c r="C10604" s="8" t="e">
        <f>VLOOKUP(A:A,'ITEM LIST'!A:C,3,0)</f>
        <v>#N/A</v>
      </c>
      <c r="D10604" s="6">
        <f t="shared" si="166"/>
        <v>0</v>
      </c>
    </row>
    <row r="10605" spans="3:4" ht="15" x14ac:dyDescent="0.25">
      <c r="C10605" s="8" t="e">
        <f>VLOOKUP(A:A,'ITEM LIST'!A:C,3,0)</f>
        <v>#N/A</v>
      </c>
      <c r="D10605" s="6">
        <f t="shared" si="166"/>
        <v>0</v>
      </c>
    </row>
    <row r="10606" spans="3:4" ht="15" x14ac:dyDescent="0.25">
      <c r="C10606" s="8" t="e">
        <f>VLOOKUP(A:A,'ITEM LIST'!A:C,3,0)</f>
        <v>#N/A</v>
      </c>
      <c r="D10606" s="6">
        <f t="shared" si="166"/>
        <v>0</v>
      </c>
    </row>
    <row r="10607" spans="3:4" ht="15" x14ac:dyDescent="0.25">
      <c r="C10607" s="8" t="e">
        <f>VLOOKUP(A:A,'ITEM LIST'!A:C,3,0)</f>
        <v>#N/A</v>
      </c>
      <c r="D10607" s="6">
        <f t="shared" si="166"/>
        <v>0</v>
      </c>
    </row>
    <row r="10608" spans="3:4" ht="15" x14ac:dyDescent="0.25">
      <c r="C10608" s="8" t="e">
        <f>VLOOKUP(A:A,'ITEM LIST'!A:C,3,0)</f>
        <v>#N/A</v>
      </c>
      <c r="D10608" s="6">
        <f t="shared" si="166"/>
        <v>0</v>
      </c>
    </row>
    <row r="10609" spans="3:4" ht="15" x14ac:dyDescent="0.25">
      <c r="C10609" s="8" t="e">
        <f>VLOOKUP(A:A,'ITEM LIST'!A:C,3,0)</f>
        <v>#N/A</v>
      </c>
      <c r="D10609" s="6">
        <f t="shared" si="166"/>
        <v>0</v>
      </c>
    </row>
    <row r="10610" spans="3:4" ht="15" x14ac:dyDescent="0.25">
      <c r="C10610" s="8" t="e">
        <f>VLOOKUP(A:A,'ITEM LIST'!A:C,3,0)</f>
        <v>#N/A</v>
      </c>
      <c r="D10610" s="6">
        <f t="shared" si="166"/>
        <v>0</v>
      </c>
    </row>
    <row r="10611" spans="3:4" ht="15" x14ac:dyDescent="0.25">
      <c r="C10611" s="8" t="e">
        <f>VLOOKUP(A:A,'ITEM LIST'!A:C,3,0)</f>
        <v>#N/A</v>
      </c>
      <c r="D10611" s="6">
        <f t="shared" si="166"/>
        <v>0</v>
      </c>
    </row>
    <row r="10612" spans="3:4" ht="15" x14ac:dyDescent="0.25">
      <c r="C10612" s="8" t="e">
        <f>VLOOKUP(A:A,'ITEM LIST'!A:C,3,0)</f>
        <v>#N/A</v>
      </c>
      <c r="D10612" s="6">
        <f t="shared" si="166"/>
        <v>0</v>
      </c>
    </row>
    <row r="10613" spans="3:4" ht="15" x14ac:dyDescent="0.25">
      <c r="C10613" s="8" t="e">
        <f>VLOOKUP(A:A,'ITEM LIST'!A:C,3,0)</f>
        <v>#N/A</v>
      </c>
      <c r="D10613" s="6">
        <f t="shared" si="166"/>
        <v>0</v>
      </c>
    </row>
    <row r="10614" spans="3:4" ht="15" x14ac:dyDescent="0.25">
      <c r="C10614" s="8" t="e">
        <f>VLOOKUP(A:A,'ITEM LIST'!A:C,3,0)</f>
        <v>#N/A</v>
      </c>
      <c r="D10614" s="6">
        <f t="shared" si="166"/>
        <v>0</v>
      </c>
    </row>
    <row r="10615" spans="3:4" ht="15" x14ac:dyDescent="0.25">
      <c r="C10615" s="8" t="e">
        <f>VLOOKUP(A:A,'ITEM LIST'!A:C,3,0)</f>
        <v>#N/A</v>
      </c>
      <c r="D10615" s="6">
        <f t="shared" si="166"/>
        <v>0</v>
      </c>
    </row>
    <row r="10616" spans="3:4" ht="15" x14ac:dyDescent="0.25">
      <c r="C10616" s="8" t="e">
        <f>VLOOKUP(A:A,'ITEM LIST'!A:C,3,0)</f>
        <v>#N/A</v>
      </c>
      <c r="D10616" s="6">
        <f t="shared" si="166"/>
        <v>0</v>
      </c>
    </row>
    <row r="10617" spans="3:4" ht="15" x14ac:dyDescent="0.25">
      <c r="C10617" s="8" t="e">
        <f>VLOOKUP(A:A,'ITEM LIST'!A:C,3,0)</f>
        <v>#N/A</v>
      </c>
      <c r="D10617" s="6">
        <f t="shared" si="166"/>
        <v>0</v>
      </c>
    </row>
    <row r="10618" spans="3:4" ht="15" x14ac:dyDescent="0.25">
      <c r="C10618" s="8" t="e">
        <f>VLOOKUP(A:A,'ITEM LIST'!A:C,3,0)</f>
        <v>#N/A</v>
      </c>
      <c r="D10618" s="6">
        <f t="shared" si="166"/>
        <v>0</v>
      </c>
    </row>
    <row r="10619" spans="3:4" ht="15" x14ac:dyDescent="0.25">
      <c r="C10619" s="8" t="e">
        <f>VLOOKUP(A:A,'ITEM LIST'!A:C,3,0)</f>
        <v>#N/A</v>
      </c>
      <c r="D10619" s="6">
        <f t="shared" si="166"/>
        <v>0</v>
      </c>
    </row>
    <row r="10620" spans="3:4" ht="15" x14ac:dyDescent="0.25">
      <c r="C10620" s="8" t="e">
        <f>VLOOKUP(A:A,'ITEM LIST'!A:C,3,0)</f>
        <v>#N/A</v>
      </c>
      <c r="D10620" s="6">
        <f t="shared" si="166"/>
        <v>0</v>
      </c>
    </row>
    <row r="10621" spans="3:4" ht="15" x14ac:dyDescent="0.25">
      <c r="C10621" s="8" t="e">
        <f>VLOOKUP(A:A,'ITEM LIST'!A:C,3,0)</f>
        <v>#N/A</v>
      </c>
      <c r="D10621" s="6">
        <f t="shared" si="166"/>
        <v>0</v>
      </c>
    </row>
    <row r="10622" spans="3:4" ht="15" x14ac:dyDescent="0.25">
      <c r="C10622" s="8" t="e">
        <f>VLOOKUP(A:A,'ITEM LIST'!A:C,3,0)</f>
        <v>#N/A</v>
      </c>
      <c r="D10622" s="6">
        <f t="shared" si="166"/>
        <v>0</v>
      </c>
    </row>
    <row r="10623" spans="3:4" ht="15" x14ac:dyDescent="0.25">
      <c r="C10623" s="8" t="e">
        <f>VLOOKUP(A:A,'ITEM LIST'!A:C,3,0)</f>
        <v>#N/A</v>
      </c>
      <c r="D10623" s="6">
        <f t="shared" si="166"/>
        <v>0</v>
      </c>
    </row>
    <row r="10624" spans="3:4" ht="15" x14ac:dyDescent="0.25">
      <c r="C10624" s="8" t="e">
        <f>VLOOKUP(A:A,'ITEM LIST'!A:C,3,0)</f>
        <v>#N/A</v>
      </c>
      <c r="D10624" s="6">
        <f t="shared" si="166"/>
        <v>0</v>
      </c>
    </row>
    <row r="10625" spans="3:4" ht="15" x14ac:dyDescent="0.25">
      <c r="C10625" s="8" t="e">
        <f>VLOOKUP(A:A,'ITEM LIST'!A:C,3,0)</f>
        <v>#N/A</v>
      </c>
      <c r="D10625" s="6">
        <f t="shared" si="166"/>
        <v>0</v>
      </c>
    </row>
    <row r="10626" spans="3:4" ht="15" x14ac:dyDescent="0.25">
      <c r="C10626" s="8" t="e">
        <f>VLOOKUP(A:A,'ITEM LIST'!A:C,3,0)</f>
        <v>#N/A</v>
      </c>
      <c r="D10626" s="6">
        <f t="shared" si="166"/>
        <v>0</v>
      </c>
    </row>
    <row r="10627" spans="3:4" ht="15" x14ac:dyDescent="0.25">
      <c r="C10627" s="8" t="e">
        <f>VLOOKUP(A:A,'ITEM LIST'!A:C,3,0)</f>
        <v>#N/A</v>
      </c>
      <c r="D10627" s="6">
        <f t="shared" si="166"/>
        <v>0</v>
      </c>
    </row>
    <row r="10628" spans="3:4" ht="15" x14ac:dyDescent="0.25">
      <c r="C10628" s="8" t="e">
        <f>VLOOKUP(A:A,'ITEM LIST'!A:C,3,0)</f>
        <v>#N/A</v>
      </c>
      <c r="D10628" s="6">
        <f t="shared" si="166"/>
        <v>0</v>
      </c>
    </row>
    <row r="10629" spans="3:4" ht="15" x14ac:dyDescent="0.25">
      <c r="C10629" s="8" t="e">
        <f>VLOOKUP(A:A,'ITEM LIST'!A:C,3,0)</f>
        <v>#N/A</v>
      </c>
      <c r="D10629" s="6">
        <f t="shared" si="166"/>
        <v>0</v>
      </c>
    </row>
    <row r="10630" spans="3:4" ht="15" x14ac:dyDescent="0.25">
      <c r="C10630" s="8" t="e">
        <f>VLOOKUP(A:A,'ITEM LIST'!A:C,3,0)</f>
        <v>#N/A</v>
      </c>
      <c r="D10630" s="6">
        <f t="shared" ref="D10630:D10693" si="167">B10630</f>
        <v>0</v>
      </c>
    </row>
    <row r="10631" spans="3:4" ht="15" x14ac:dyDescent="0.25">
      <c r="C10631" s="8" t="e">
        <f>VLOOKUP(A:A,'ITEM LIST'!A:C,3,0)</f>
        <v>#N/A</v>
      </c>
      <c r="D10631" s="6">
        <f t="shared" si="167"/>
        <v>0</v>
      </c>
    </row>
    <row r="10632" spans="3:4" ht="15" x14ac:dyDescent="0.25">
      <c r="C10632" s="8" t="e">
        <f>VLOOKUP(A:A,'ITEM LIST'!A:C,3,0)</f>
        <v>#N/A</v>
      </c>
      <c r="D10632" s="6">
        <f t="shared" si="167"/>
        <v>0</v>
      </c>
    </row>
    <row r="10633" spans="3:4" ht="15" x14ac:dyDescent="0.25">
      <c r="C10633" s="8" t="e">
        <f>VLOOKUP(A:A,'ITEM LIST'!A:C,3,0)</f>
        <v>#N/A</v>
      </c>
      <c r="D10633" s="6">
        <f t="shared" si="167"/>
        <v>0</v>
      </c>
    </row>
    <row r="10634" spans="3:4" ht="15" x14ac:dyDescent="0.25">
      <c r="C10634" s="8" t="e">
        <f>VLOOKUP(A:A,'ITEM LIST'!A:C,3,0)</f>
        <v>#N/A</v>
      </c>
      <c r="D10634" s="6">
        <f t="shared" si="167"/>
        <v>0</v>
      </c>
    </row>
    <row r="10635" spans="3:4" ht="15" x14ac:dyDescent="0.25">
      <c r="C10635" s="8" t="e">
        <f>VLOOKUP(A:A,'ITEM LIST'!A:C,3,0)</f>
        <v>#N/A</v>
      </c>
      <c r="D10635" s="6">
        <f t="shared" si="167"/>
        <v>0</v>
      </c>
    </row>
    <row r="10636" spans="3:4" ht="15" x14ac:dyDescent="0.25">
      <c r="C10636" s="8" t="e">
        <f>VLOOKUP(A:A,'ITEM LIST'!A:C,3,0)</f>
        <v>#N/A</v>
      </c>
      <c r="D10636" s="6">
        <f t="shared" si="167"/>
        <v>0</v>
      </c>
    </row>
    <row r="10637" spans="3:4" ht="15" x14ac:dyDescent="0.25">
      <c r="C10637" s="8" t="e">
        <f>VLOOKUP(A:A,'ITEM LIST'!A:C,3,0)</f>
        <v>#N/A</v>
      </c>
      <c r="D10637" s="6">
        <f t="shared" si="167"/>
        <v>0</v>
      </c>
    </row>
    <row r="10638" spans="3:4" ht="15" x14ac:dyDescent="0.25">
      <c r="C10638" s="8" t="e">
        <f>VLOOKUP(A:A,'ITEM LIST'!A:C,3,0)</f>
        <v>#N/A</v>
      </c>
      <c r="D10638" s="6">
        <f t="shared" si="167"/>
        <v>0</v>
      </c>
    </row>
    <row r="10639" spans="3:4" ht="15" x14ac:dyDescent="0.25">
      <c r="C10639" s="8" t="e">
        <f>VLOOKUP(A:A,'ITEM LIST'!A:C,3,0)</f>
        <v>#N/A</v>
      </c>
      <c r="D10639" s="6">
        <f t="shared" si="167"/>
        <v>0</v>
      </c>
    </row>
    <row r="10640" spans="3:4" ht="15" x14ac:dyDescent="0.25">
      <c r="C10640" s="8" t="e">
        <f>VLOOKUP(A:A,'ITEM LIST'!A:C,3,0)</f>
        <v>#N/A</v>
      </c>
      <c r="D10640" s="6">
        <f t="shared" si="167"/>
        <v>0</v>
      </c>
    </row>
    <row r="10641" spans="3:4" ht="15" x14ac:dyDescent="0.25">
      <c r="C10641" s="8" t="e">
        <f>VLOOKUP(A:A,'ITEM LIST'!A:C,3,0)</f>
        <v>#N/A</v>
      </c>
      <c r="D10641" s="6">
        <f t="shared" si="167"/>
        <v>0</v>
      </c>
    </row>
    <row r="10642" spans="3:4" ht="15" x14ac:dyDescent="0.25">
      <c r="C10642" s="8" t="e">
        <f>VLOOKUP(A:A,'ITEM LIST'!A:C,3,0)</f>
        <v>#N/A</v>
      </c>
      <c r="D10642" s="6">
        <f t="shared" si="167"/>
        <v>0</v>
      </c>
    </row>
    <row r="10643" spans="3:4" ht="15" x14ac:dyDescent="0.25">
      <c r="C10643" s="8" t="e">
        <f>VLOOKUP(A:A,'ITEM LIST'!A:C,3,0)</f>
        <v>#N/A</v>
      </c>
      <c r="D10643" s="6">
        <f t="shared" si="167"/>
        <v>0</v>
      </c>
    </row>
    <row r="10644" spans="3:4" ht="15" x14ac:dyDescent="0.25">
      <c r="C10644" s="8" t="e">
        <f>VLOOKUP(A:A,'ITEM LIST'!A:C,3,0)</f>
        <v>#N/A</v>
      </c>
      <c r="D10644" s="6">
        <f t="shared" si="167"/>
        <v>0</v>
      </c>
    </row>
    <row r="10645" spans="3:4" ht="15" x14ac:dyDescent="0.25">
      <c r="C10645" s="8" t="e">
        <f>VLOOKUP(A:A,'ITEM LIST'!A:C,3,0)</f>
        <v>#N/A</v>
      </c>
      <c r="D10645" s="6">
        <f t="shared" si="167"/>
        <v>0</v>
      </c>
    </row>
    <row r="10646" spans="3:4" ht="15" x14ac:dyDescent="0.25">
      <c r="C10646" s="8" t="e">
        <f>VLOOKUP(A:A,'ITEM LIST'!A:C,3,0)</f>
        <v>#N/A</v>
      </c>
      <c r="D10646" s="6">
        <f t="shared" si="167"/>
        <v>0</v>
      </c>
    </row>
    <row r="10647" spans="3:4" ht="15" x14ac:dyDescent="0.25">
      <c r="C10647" s="8" t="e">
        <f>VLOOKUP(A:A,'ITEM LIST'!A:C,3,0)</f>
        <v>#N/A</v>
      </c>
      <c r="D10647" s="6">
        <f t="shared" si="167"/>
        <v>0</v>
      </c>
    </row>
    <row r="10648" spans="3:4" ht="15" x14ac:dyDescent="0.25">
      <c r="C10648" s="8" t="e">
        <f>VLOOKUP(A:A,'ITEM LIST'!A:C,3,0)</f>
        <v>#N/A</v>
      </c>
      <c r="D10648" s="6">
        <f t="shared" si="167"/>
        <v>0</v>
      </c>
    </row>
    <row r="10649" spans="3:4" ht="15" x14ac:dyDescent="0.25">
      <c r="C10649" s="8" t="e">
        <f>VLOOKUP(A:A,'ITEM LIST'!A:C,3,0)</f>
        <v>#N/A</v>
      </c>
      <c r="D10649" s="6">
        <f t="shared" si="167"/>
        <v>0</v>
      </c>
    </row>
    <row r="10650" spans="3:4" ht="15" x14ac:dyDescent="0.25">
      <c r="C10650" s="8" t="e">
        <f>VLOOKUP(A:A,'ITEM LIST'!A:C,3,0)</f>
        <v>#N/A</v>
      </c>
      <c r="D10650" s="6">
        <f t="shared" si="167"/>
        <v>0</v>
      </c>
    </row>
    <row r="10651" spans="3:4" ht="15" x14ac:dyDescent="0.25">
      <c r="C10651" s="8" t="e">
        <f>VLOOKUP(A:A,'ITEM LIST'!A:C,3,0)</f>
        <v>#N/A</v>
      </c>
      <c r="D10651" s="6">
        <f t="shared" si="167"/>
        <v>0</v>
      </c>
    </row>
    <row r="10652" spans="3:4" ht="15" x14ac:dyDescent="0.25">
      <c r="C10652" s="8" t="e">
        <f>VLOOKUP(A:A,'ITEM LIST'!A:C,3,0)</f>
        <v>#N/A</v>
      </c>
      <c r="D10652" s="6">
        <f t="shared" si="167"/>
        <v>0</v>
      </c>
    </row>
    <row r="10653" spans="3:4" ht="15" x14ac:dyDescent="0.25">
      <c r="C10653" s="8" t="e">
        <f>VLOOKUP(A:A,'ITEM LIST'!A:C,3,0)</f>
        <v>#N/A</v>
      </c>
      <c r="D10653" s="6">
        <f t="shared" si="167"/>
        <v>0</v>
      </c>
    </row>
    <row r="10654" spans="3:4" ht="15" x14ac:dyDescent="0.25">
      <c r="C10654" s="8" t="e">
        <f>VLOOKUP(A:A,'ITEM LIST'!A:C,3,0)</f>
        <v>#N/A</v>
      </c>
      <c r="D10654" s="6">
        <f t="shared" si="167"/>
        <v>0</v>
      </c>
    </row>
    <row r="10655" spans="3:4" ht="15" x14ac:dyDescent="0.25">
      <c r="C10655" s="8" t="e">
        <f>VLOOKUP(A:A,'ITEM LIST'!A:C,3,0)</f>
        <v>#N/A</v>
      </c>
      <c r="D10655" s="6">
        <f t="shared" si="167"/>
        <v>0</v>
      </c>
    </row>
    <row r="10656" spans="3:4" ht="15" x14ac:dyDescent="0.25">
      <c r="C10656" s="8" t="e">
        <f>VLOOKUP(A:A,'ITEM LIST'!A:C,3,0)</f>
        <v>#N/A</v>
      </c>
      <c r="D10656" s="6">
        <f t="shared" si="167"/>
        <v>0</v>
      </c>
    </row>
    <row r="10657" spans="3:4" ht="15" x14ac:dyDescent="0.25">
      <c r="C10657" s="8" t="e">
        <f>VLOOKUP(A:A,'ITEM LIST'!A:C,3,0)</f>
        <v>#N/A</v>
      </c>
      <c r="D10657" s="6">
        <f t="shared" si="167"/>
        <v>0</v>
      </c>
    </row>
    <row r="10658" spans="3:4" ht="15" x14ac:dyDescent="0.25">
      <c r="C10658" s="8" t="e">
        <f>VLOOKUP(A:A,'ITEM LIST'!A:C,3,0)</f>
        <v>#N/A</v>
      </c>
      <c r="D10658" s="6">
        <f t="shared" si="167"/>
        <v>0</v>
      </c>
    </row>
    <row r="10659" spans="3:4" ht="15" x14ac:dyDescent="0.25">
      <c r="C10659" s="8" t="e">
        <f>VLOOKUP(A:A,'ITEM LIST'!A:C,3,0)</f>
        <v>#N/A</v>
      </c>
      <c r="D10659" s="6">
        <f t="shared" si="167"/>
        <v>0</v>
      </c>
    </row>
    <row r="10660" spans="3:4" ht="15" x14ac:dyDescent="0.25">
      <c r="C10660" s="8" t="e">
        <f>VLOOKUP(A:A,'ITEM LIST'!A:C,3,0)</f>
        <v>#N/A</v>
      </c>
      <c r="D10660" s="6">
        <f t="shared" si="167"/>
        <v>0</v>
      </c>
    </row>
    <row r="10661" spans="3:4" ht="15" x14ac:dyDescent="0.25">
      <c r="C10661" s="8" t="e">
        <f>VLOOKUP(A:A,'ITEM LIST'!A:C,3,0)</f>
        <v>#N/A</v>
      </c>
      <c r="D10661" s="6">
        <f t="shared" si="167"/>
        <v>0</v>
      </c>
    </row>
    <row r="10662" spans="3:4" ht="15" x14ac:dyDescent="0.25">
      <c r="C10662" s="8" t="e">
        <f>VLOOKUP(A:A,'ITEM LIST'!A:C,3,0)</f>
        <v>#N/A</v>
      </c>
      <c r="D10662" s="6">
        <f t="shared" si="167"/>
        <v>0</v>
      </c>
    </row>
    <row r="10663" spans="3:4" ht="15" x14ac:dyDescent="0.25">
      <c r="C10663" s="8" t="e">
        <f>VLOOKUP(A:A,'ITEM LIST'!A:C,3,0)</f>
        <v>#N/A</v>
      </c>
      <c r="D10663" s="6">
        <f t="shared" si="167"/>
        <v>0</v>
      </c>
    </row>
    <row r="10664" spans="3:4" ht="15" x14ac:dyDescent="0.25">
      <c r="C10664" s="8" t="e">
        <f>VLOOKUP(A:A,'ITEM LIST'!A:C,3,0)</f>
        <v>#N/A</v>
      </c>
      <c r="D10664" s="6">
        <f t="shared" si="167"/>
        <v>0</v>
      </c>
    </row>
    <row r="10665" spans="3:4" ht="15" x14ac:dyDescent="0.25">
      <c r="C10665" s="8" t="e">
        <f>VLOOKUP(A:A,'ITEM LIST'!A:C,3,0)</f>
        <v>#N/A</v>
      </c>
      <c r="D10665" s="6">
        <f t="shared" si="167"/>
        <v>0</v>
      </c>
    </row>
    <row r="10666" spans="3:4" ht="15" x14ac:dyDescent="0.25">
      <c r="C10666" s="8" t="e">
        <f>VLOOKUP(A:A,'ITEM LIST'!A:C,3,0)</f>
        <v>#N/A</v>
      </c>
      <c r="D10666" s="6">
        <f t="shared" si="167"/>
        <v>0</v>
      </c>
    </row>
    <row r="10667" spans="3:4" ht="15" x14ac:dyDescent="0.25">
      <c r="C10667" s="8" t="e">
        <f>VLOOKUP(A:A,'ITEM LIST'!A:C,3,0)</f>
        <v>#N/A</v>
      </c>
      <c r="D10667" s="6">
        <f t="shared" si="167"/>
        <v>0</v>
      </c>
    </row>
    <row r="10668" spans="3:4" ht="15" x14ac:dyDescent="0.25">
      <c r="C10668" s="8" t="e">
        <f>VLOOKUP(A:A,'ITEM LIST'!A:C,3,0)</f>
        <v>#N/A</v>
      </c>
      <c r="D10668" s="6">
        <f t="shared" si="167"/>
        <v>0</v>
      </c>
    </row>
    <row r="10669" spans="3:4" ht="15" x14ac:dyDescent="0.25">
      <c r="C10669" s="8" t="e">
        <f>VLOOKUP(A:A,'ITEM LIST'!A:C,3,0)</f>
        <v>#N/A</v>
      </c>
      <c r="D10669" s="6">
        <f t="shared" si="167"/>
        <v>0</v>
      </c>
    </row>
    <row r="10670" spans="3:4" ht="15" x14ac:dyDescent="0.25">
      <c r="C10670" s="8" t="e">
        <f>VLOOKUP(A:A,'ITEM LIST'!A:C,3,0)</f>
        <v>#N/A</v>
      </c>
      <c r="D10670" s="6">
        <f t="shared" si="167"/>
        <v>0</v>
      </c>
    </row>
    <row r="10671" spans="3:4" ht="15" x14ac:dyDescent="0.25">
      <c r="C10671" s="8" t="e">
        <f>VLOOKUP(A:A,'ITEM LIST'!A:C,3,0)</f>
        <v>#N/A</v>
      </c>
      <c r="D10671" s="6">
        <f t="shared" si="167"/>
        <v>0</v>
      </c>
    </row>
    <row r="10672" spans="3:4" ht="15" x14ac:dyDescent="0.25">
      <c r="C10672" s="8" t="e">
        <f>VLOOKUP(A:A,'ITEM LIST'!A:C,3,0)</f>
        <v>#N/A</v>
      </c>
      <c r="D10672" s="6">
        <f t="shared" si="167"/>
        <v>0</v>
      </c>
    </row>
    <row r="10673" spans="3:4" ht="15" x14ac:dyDescent="0.25">
      <c r="C10673" s="8" t="e">
        <f>VLOOKUP(A:A,'ITEM LIST'!A:C,3,0)</f>
        <v>#N/A</v>
      </c>
      <c r="D10673" s="6">
        <f t="shared" si="167"/>
        <v>0</v>
      </c>
    </row>
    <row r="10674" spans="3:4" ht="15" x14ac:dyDescent="0.25">
      <c r="C10674" s="8" t="e">
        <f>VLOOKUP(A:A,'ITEM LIST'!A:C,3,0)</f>
        <v>#N/A</v>
      </c>
      <c r="D10674" s="6">
        <f t="shared" si="167"/>
        <v>0</v>
      </c>
    </row>
    <row r="10675" spans="3:4" ht="15" x14ac:dyDescent="0.25">
      <c r="C10675" s="8" t="e">
        <f>VLOOKUP(A:A,'ITEM LIST'!A:C,3,0)</f>
        <v>#N/A</v>
      </c>
      <c r="D10675" s="6">
        <f t="shared" si="167"/>
        <v>0</v>
      </c>
    </row>
    <row r="10676" spans="3:4" ht="15" x14ac:dyDescent="0.25">
      <c r="C10676" s="8" t="e">
        <f>VLOOKUP(A:A,'ITEM LIST'!A:C,3,0)</f>
        <v>#N/A</v>
      </c>
      <c r="D10676" s="6">
        <f t="shared" si="167"/>
        <v>0</v>
      </c>
    </row>
    <row r="10677" spans="3:4" ht="15" x14ac:dyDescent="0.25">
      <c r="C10677" s="8" t="e">
        <f>VLOOKUP(A:A,'ITEM LIST'!A:C,3,0)</f>
        <v>#N/A</v>
      </c>
      <c r="D10677" s="6">
        <f t="shared" si="167"/>
        <v>0</v>
      </c>
    </row>
    <row r="10678" spans="3:4" ht="15" x14ac:dyDescent="0.25">
      <c r="C10678" s="8" t="e">
        <f>VLOOKUP(A:A,'ITEM LIST'!A:C,3,0)</f>
        <v>#N/A</v>
      </c>
      <c r="D10678" s="6">
        <f t="shared" si="167"/>
        <v>0</v>
      </c>
    </row>
    <row r="10679" spans="3:4" ht="15" x14ac:dyDescent="0.25">
      <c r="C10679" s="8" t="e">
        <f>VLOOKUP(A:A,'ITEM LIST'!A:C,3,0)</f>
        <v>#N/A</v>
      </c>
      <c r="D10679" s="6">
        <f t="shared" si="167"/>
        <v>0</v>
      </c>
    </row>
    <row r="10680" spans="3:4" ht="15" x14ac:dyDescent="0.25">
      <c r="C10680" s="8" t="e">
        <f>VLOOKUP(A:A,'ITEM LIST'!A:C,3,0)</f>
        <v>#N/A</v>
      </c>
      <c r="D10680" s="6">
        <f t="shared" si="167"/>
        <v>0</v>
      </c>
    </row>
    <row r="10681" spans="3:4" ht="15" x14ac:dyDescent="0.25">
      <c r="C10681" s="8" t="e">
        <f>VLOOKUP(A:A,'ITEM LIST'!A:C,3,0)</f>
        <v>#N/A</v>
      </c>
      <c r="D10681" s="6">
        <f t="shared" si="167"/>
        <v>0</v>
      </c>
    </row>
    <row r="10682" spans="3:4" ht="15" x14ac:dyDescent="0.25">
      <c r="C10682" s="8" t="e">
        <f>VLOOKUP(A:A,'ITEM LIST'!A:C,3,0)</f>
        <v>#N/A</v>
      </c>
      <c r="D10682" s="6">
        <f t="shared" si="167"/>
        <v>0</v>
      </c>
    </row>
    <row r="10683" spans="3:4" ht="15" x14ac:dyDescent="0.25">
      <c r="C10683" s="8" t="e">
        <f>VLOOKUP(A:A,'ITEM LIST'!A:C,3,0)</f>
        <v>#N/A</v>
      </c>
      <c r="D10683" s="6">
        <f t="shared" si="167"/>
        <v>0</v>
      </c>
    </row>
    <row r="10684" spans="3:4" ht="15" x14ac:dyDescent="0.25">
      <c r="C10684" s="8" t="e">
        <f>VLOOKUP(A:A,'ITEM LIST'!A:C,3,0)</f>
        <v>#N/A</v>
      </c>
      <c r="D10684" s="6">
        <f t="shared" si="167"/>
        <v>0</v>
      </c>
    </row>
    <row r="10685" spans="3:4" ht="15" x14ac:dyDescent="0.25">
      <c r="C10685" s="8" t="e">
        <f>VLOOKUP(A:A,'ITEM LIST'!A:C,3,0)</f>
        <v>#N/A</v>
      </c>
      <c r="D10685" s="6">
        <f t="shared" si="167"/>
        <v>0</v>
      </c>
    </row>
    <row r="10686" spans="3:4" ht="15" x14ac:dyDescent="0.25">
      <c r="C10686" s="8" t="e">
        <f>VLOOKUP(A:A,'ITEM LIST'!A:C,3,0)</f>
        <v>#N/A</v>
      </c>
      <c r="D10686" s="6">
        <f t="shared" si="167"/>
        <v>0</v>
      </c>
    </row>
    <row r="10687" spans="3:4" ht="15" x14ac:dyDescent="0.25">
      <c r="C10687" s="8" t="e">
        <f>VLOOKUP(A:A,'ITEM LIST'!A:C,3,0)</f>
        <v>#N/A</v>
      </c>
      <c r="D10687" s="6">
        <f t="shared" si="167"/>
        <v>0</v>
      </c>
    </row>
    <row r="10688" spans="3:4" ht="15" x14ac:dyDescent="0.25">
      <c r="C10688" s="8" t="e">
        <f>VLOOKUP(A:A,'ITEM LIST'!A:C,3,0)</f>
        <v>#N/A</v>
      </c>
      <c r="D10688" s="6">
        <f t="shared" si="167"/>
        <v>0</v>
      </c>
    </row>
    <row r="10689" spans="3:4" ht="15" x14ac:dyDescent="0.25">
      <c r="C10689" s="8" t="e">
        <f>VLOOKUP(A:A,'ITEM LIST'!A:C,3,0)</f>
        <v>#N/A</v>
      </c>
      <c r="D10689" s="6">
        <f t="shared" si="167"/>
        <v>0</v>
      </c>
    </row>
    <row r="10690" spans="3:4" ht="15" x14ac:dyDescent="0.25">
      <c r="C10690" s="8" t="e">
        <f>VLOOKUP(A:A,'ITEM LIST'!A:C,3,0)</f>
        <v>#N/A</v>
      </c>
      <c r="D10690" s="6">
        <f t="shared" si="167"/>
        <v>0</v>
      </c>
    </row>
    <row r="10691" spans="3:4" ht="15" x14ac:dyDescent="0.25">
      <c r="C10691" s="8" t="e">
        <f>VLOOKUP(A:A,'ITEM LIST'!A:C,3,0)</f>
        <v>#N/A</v>
      </c>
      <c r="D10691" s="6">
        <f t="shared" si="167"/>
        <v>0</v>
      </c>
    </row>
    <row r="10692" spans="3:4" ht="15" x14ac:dyDescent="0.25">
      <c r="C10692" s="8" t="e">
        <f>VLOOKUP(A:A,'ITEM LIST'!A:C,3,0)</f>
        <v>#N/A</v>
      </c>
      <c r="D10692" s="6">
        <f t="shared" si="167"/>
        <v>0</v>
      </c>
    </row>
    <row r="10693" spans="3:4" ht="15" x14ac:dyDescent="0.25">
      <c r="C10693" s="8" t="e">
        <f>VLOOKUP(A:A,'ITEM LIST'!A:C,3,0)</f>
        <v>#N/A</v>
      </c>
      <c r="D10693" s="6">
        <f t="shared" si="167"/>
        <v>0</v>
      </c>
    </row>
    <row r="10694" spans="3:4" ht="15" x14ac:dyDescent="0.25">
      <c r="C10694" s="8" t="e">
        <f>VLOOKUP(A:A,'ITEM LIST'!A:C,3,0)</f>
        <v>#N/A</v>
      </c>
      <c r="D10694" s="6">
        <f t="shared" ref="D10694:D10757" si="168">B10694</f>
        <v>0</v>
      </c>
    </row>
    <row r="10695" spans="3:4" ht="15" x14ac:dyDescent="0.25">
      <c r="C10695" s="8" t="e">
        <f>VLOOKUP(A:A,'ITEM LIST'!A:C,3,0)</f>
        <v>#N/A</v>
      </c>
      <c r="D10695" s="6">
        <f t="shared" si="168"/>
        <v>0</v>
      </c>
    </row>
    <row r="10696" spans="3:4" ht="15" x14ac:dyDescent="0.25">
      <c r="C10696" s="8" t="e">
        <f>VLOOKUP(A:A,'ITEM LIST'!A:C,3,0)</f>
        <v>#N/A</v>
      </c>
      <c r="D10696" s="6">
        <f t="shared" si="168"/>
        <v>0</v>
      </c>
    </row>
    <row r="10697" spans="3:4" ht="15" x14ac:dyDescent="0.25">
      <c r="C10697" s="8" t="e">
        <f>VLOOKUP(A:A,'ITEM LIST'!A:C,3,0)</f>
        <v>#N/A</v>
      </c>
      <c r="D10697" s="6">
        <f t="shared" si="168"/>
        <v>0</v>
      </c>
    </row>
    <row r="10698" spans="3:4" ht="15" x14ac:dyDescent="0.25">
      <c r="C10698" s="8" t="e">
        <f>VLOOKUP(A:A,'ITEM LIST'!A:C,3,0)</f>
        <v>#N/A</v>
      </c>
      <c r="D10698" s="6">
        <f t="shared" si="168"/>
        <v>0</v>
      </c>
    </row>
    <row r="10699" spans="3:4" ht="15" x14ac:dyDescent="0.25">
      <c r="C10699" s="8" t="e">
        <f>VLOOKUP(A:A,'ITEM LIST'!A:C,3,0)</f>
        <v>#N/A</v>
      </c>
      <c r="D10699" s="6">
        <f t="shared" si="168"/>
        <v>0</v>
      </c>
    </row>
    <row r="10700" spans="3:4" ht="15" x14ac:dyDescent="0.25">
      <c r="C10700" s="8" t="e">
        <f>VLOOKUP(A:A,'ITEM LIST'!A:C,3,0)</f>
        <v>#N/A</v>
      </c>
      <c r="D10700" s="6">
        <f t="shared" si="168"/>
        <v>0</v>
      </c>
    </row>
    <row r="10701" spans="3:4" ht="15" x14ac:dyDescent="0.25">
      <c r="C10701" s="8" t="e">
        <f>VLOOKUP(A:A,'ITEM LIST'!A:C,3,0)</f>
        <v>#N/A</v>
      </c>
      <c r="D10701" s="6">
        <f t="shared" si="168"/>
        <v>0</v>
      </c>
    </row>
    <row r="10702" spans="3:4" ht="15" x14ac:dyDescent="0.25">
      <c r="C10702" s="8" t="e">
        <f>VLOOKUP(A:A,'ITEM LIST'!A:C,3,0)</f>
        <v>#N/A</v>
      </c>
      <c r="D10702" s="6">
        <f t="shared" si="168"/>
        <v>0</v>
      </c>
    </row>
    <row r="10703" spans="3:4" ht="15" x14ac:dyDescent="0.25">
      <c r="C10703" s="8" t="e">
        <f>VLOOKUP(A:A,'ITEM LIST'!A:C,3,0)</f>
        <v>#N/A</v>
      </c>
      <c r="D10703" s="6">
        <f t="shared" si="168"/>
        <v>0</v>
      </c>
    </row>
    <row r="10704" spans="3:4" ht="15" x14ac:dyDescent="0.25">
      <c r="C10704" s="8" t="e">
        <f>VLOOKUP(A:A,'ITEM LIST'!A:C,3,0)</f>
        <v>#N/A</v>
      </c>
      <c r="D10704" s="6">
        <f t="shared" si="168"/>
        <v>0</v>
      </c>
    </row>
    <row r="10705" spans="3:4" ht="15" x14ac:dyDescent="0.25">
      <c r="C10705" s="8" t="e">
        <f>VLOOKUP(A:A,'ITEM LIST'!A:C,3,0)</f>
        <v>#N/A</v>
      </c>
      <c r="D10705" s="6">
        <f t="shared" si="168"/>
        <v>0</v>
      </c>
    </row>
    <row r="10706" spans="3:4" ht="15" x14ac:dyDescent="0.25">
      <c r="C10706" s="8" t="e">
        <f>VLOOKUP(A:A,'ITEM LIST'!A:C,3,0)</f>
        <v>#N/A</v>
      </c>
      <c r="D10706" s="6">
        <f t="shared" si="168"/>
        <v>0</v>
      </c>
    </row>
    <row r="10707" spans="3:4" ht="15" x14ac:dyDescent="0.25">
      <c r="C10707" s="8" t="e">
        <f>VLOOKUP(A:A,'ITEM LIST'!A:C,3,0)</f>
        <v>#N/A</v>
      </c>
      <c r="D10707" s="6">
        <f t="shared" si="168"/>
        <v>0</v>
      </c>
    </row>
    <row r="10708" spans="3:4" ht="15" x14ac:dyDescent="0.25">
      <c r="C10708" s="8" t="e">
        <f>VLOOKUP(A:A,'ITEM LIST'!A:C,3,0)</f>
        <v>#N/A</v>
      </c>
      <c r="D10708" s="6">
        <f t="shared" si="168"/>
        <v>0</v>
      </c>
    </row>
    <row r="10709" spans="3:4" ht="15" x14ac:dyDescent="0.25">
      <c r="C10709" s="8" t="e">
        <f>VLOOKUP(A:A,'ITEM LIST'!A:C,3,0)</f>
        <v>#N/A</v>
      </c>
      <c r="D10709" s="6">
        <f t="shared" si="168"/>
        <v>0</v>
      </c>
    </row>
    <row r="10710" spans="3:4" ht="15" x14ac:dyDescent="0.25">
      <c r="C10710" s="8" t="e">
        <f>VLOOKUP(A:A,'ITEM LIST'!A:C,3,0)</f>
        <v>#N/A</v>
      </c>
      <c r="D10710" s="6">
        <f t="shared" si="168"/>
        <v>0</v>
      </c>
    </row>
    <row r="10711" spans="3:4" ht="15" x14ac:dyDescent="0.25">
      <c r="C10711" s="8" t="e">
        <f>VLOOKUP(A:A,'ITEM LIST'!A:C,3,0)</f>
        <v>#N/A</v>
      </c>
      <c r="D10711" s="6">
        <f t="shared" si="168"/>
        <v>0</v>
      </c>
    </row>
    <row r="10712" spans="3:4" ht="15" x14ac:dyDescent="0.25">
      <c r="C10712" s="8" t="e">
        <f>VLOOKUP(A:A,'ITEM LIST'!A:C,3,0)</f>
        <v>#N/A</v>
      </c>
      <c r="D10712" s="6">
        <f t="shared" si="168"/>
        <v>0</v>
      </c>
    </row>
    <row r="10713" spans="3:4" ht="15" x14ac:dyDescent="0.25">
      <c r="C10713" s="8" t="e">
        <f>VLOOKUP(A:A,'ITEM LIST'!A:C,3,0)</f>
        <v>#N/A</v>
      </c>
      <c r="D10713" s="6">
        <f t="shared" si="168"/>
        <v>0</v>
      </c>
    </row>
    <row r="10714" spans="3:4" ht="15" x14ac:dyDescent="0.25">
      <c r="C10714" s="8" t="e">
        <f>VLOOKUP(A:A,'ITEM LIST'!A:C,3,0)</f>
        <v>#N/A</v>
      </c>
      <c r="D10714" s="6">
        <f t="shared" si="168"/>
        <v>0</v>
      </c>
    </row>
    <row r="10715" spans="3:4" ht="15" x14ac:dyDescent="0.25">
      <c r="C10715" s="8" t="e">
        <f>VLOOKUP(A:A,'ITEM LIST'!A:C,3,0)</f>
        <v>#N/A</v>
      </c>
      <c r="D10715" s="6">
        <f t="shared" si="168"/>
        <v>0</v>
      </c>
    </row>
    <row r="10716" spans="3:4" ht="15" x14ac:dyDescent="0.25">
      <c r="C10716" s="8" t="e">
        <f>VLOOKUP(A:A,'ITEM LIST'!A:C,3,0)</f>
        <v>#N/A</v>
      </c>
      <c r="D10716" s="6">
        <f t="shared" si="168"/>
        <v>0</v>
      </c>
    </row>
    <row r="10717" spans="3:4" ht="15" x14ac:dyDescent="0.25">
      <c r="C10717" s="8" t="e">
        <f>VLOOKUP(A:A,'ITEM LIST'!A:C,3,0)</f>
        <v>#N/A</v>
      </c>
      <c r="D10717" s="6">
        <f t="shared" si="168"/>
        <v>0</v>
      </c>
    </row>
    <row r="10718" spans="3:4" ht="15" x14ac:dyDescent="0.25">
      <c r="C10718" s="8" t="e">
        <f>VLOOKUP(A:A,'ITEM LIST'!A:C,3,0)</f>
        <v>#N/A</v>
      </c>
      <c r="D10718" s="6">
        <f t="shared" si="168"/>
        <v>0</v>
      </c>
    </row>
    <row r="10719" spans="3:4" ht="15" x14ac:dyDescent="0.25">
      <c r="C10719" s="8" t="e">
        <f>VLOOKUP(A:A,'ITEM LIST'!A:C,3,0)</f>
        <v>#N/A</v>
      </c>
      <c r="D10719" s="6">
        <f t="shared" si="168"/>
        <v>0</v>
      </c>
    </row>
    <row r="10720" spans="3:4" ht="15" x14ac:dyDescent="0.25">
      <c r="C10720" s="8" t="e">
        <f>VLOOKUP(A:A,'ITEM LIST'!A:C,3,0)</f>
        <v>#N/A</v>
      </c>
      <c r="D10720" s="6">
        <f t="shared" si="168"/>
        <v>0</v>
      </c>
    </row>
    <row r="10721" spans="3:4" ht="15" x14ac:dyDescent="0.25">
      <c r="C10721" s="8" t="e">
        <f>VLOOKUP(A:A,'ITEM LIST'!A:C,3,0)</f>
        <v>#N/A</v>
      </c>
      <c r="D10721" s="6">
        <f t="shared" si="168"/>
        <v>0</v>
      </c>
    </row>
    <row r="10722" spans="3:4" ht="15" x14ac:dyDescent="0.25">
      <c r="C10722" s="8" t="e">
        <f>VLOOKUP(A:A,'ITEM LIST'!A:C,3,0)</f>
        <v>#N/A</v>
      </c>
      <c r="D10722" s="6">
        <f t="shared" si="168"/>
        <v>0</v>
      </c>
    </row>
    <row r="10723" spans="3:4" ht="15" x14ac:dyDescent="0.25">
      <c r="C10723" s="8" t="e">
        <f>VLOOKUP(A:A,'ITEM LIST'!A:C,3,0)</f>
        <v>#N/A</v>
      </c>
      <c r="D10723" s="6">
        <f t="shared" si="168"/>
        <v>0</v>
      </c>
    </row>
    <row r="10724" spans="3:4" ht="15" x14ac:dyDescent="0.25">
      <c r="C10724" s="8" t="e">
        <f>VLOOKUP(A:A,'ITEM LIST'!A:C,3,0)</f>
        <v>#N/A</v>
      </c>
      <c r="D10724" s="6">
        <f t="shared" si="168"/>
        <v>0</v>
      </c>
    </row>
    <row r="10725" spans="3:4" ht="15" x14ac:dyDescent="0.25">
      <c r="C10725" s="8" t="e">
        <f>VLOOKUP(A:A,'ITEM LIST'!A:C,3,0)</f>
        <v>#N/A</v>
      </c>
      <c r="D10725" s="6">
        <f t="shared" si="168"/>
        <v>0</v>
      </c>
    </row>
    <row r="10726" spans="3:4" ht="15" x14ac:dyDescent="0.25">
      <c r="C10726" s="8" t="e">
        <f>VLOOKUP(A:A,'ITEM LIST'!A:C,3,0)</f>
        <v>#N/A</v>
      </c>
      <c r="D10726" s="6">
        <f t="shared" si="168"/>
        <v>0</v>
      </c>
    </row>
    <row r="10727" spans="3:4" ht="15" x14ac:dyDescent="0.25">
      <c r="C10727" s="8" t="e">
        <f>VLOOKUP(A:A,'ITEM LIST'!A:C,3,0)</f>
        <v>#N/A</v>
      </c>
      <c r="D10727" s="6">
        <f t="shared" si="168"/>
        <v>0</v>
      </c>
    </row>
    <row r="10728" spans="3:4" ht="15" x14ac:dyDescent="0.25">
      <c r="C10728" s="8" t="e">
        <f>VLOOKUP(A:A,'ITEM LIST'!A:C,3,0)</f>
        <v>#N/A</v>
      </c>
      <c r="D10728" s="6">
        <f t="shared" si="168"/>
        <v>0</v>
      </c>
    </row>
    <row r="10729" spans="3:4" ht="15" x14ac:dyDescent="0.25">
      <c r="C10729" s="8" t="e">
        <f>VLOOKUP(A:A,'ITEM LIST'!A:C,3,0)</f>
        <v>#N/A</v>
      </c>
      <c r="D10729" s="6">
        <f t="shared" si="168"/>
        <v>0</v>
      </c>
    </row>
    <row r="10730" spans="3:4" ht="15" x14ac:dyDescent="0.25">
      <c r="C10730" s="8" t="e">
        <f>VLOOKUP(A:A,'ITEM LIST'!A:C,3,0)</f>
        <v>#N/A</v>
      </c>
      <c r="D10730" s="6">
        <f t="shared" si="168"/>
        <v>0</v>
      </c>
    </row>
    <row r="10731" spans="3:4" ht="15" x14ac:dyDescent="0.25">
      <c r="C10731" s="8" t="e">
        <f>VLOOKUP(A:A,'ITEM LIST'!A:C,3,0)</f>
        <v>#N/A</v>
      </c>
      <c r="D10731" s="6">
        <f t="shared" si="168"/>
        <v>0</v>
      </c>
    </row>
    <row r="10732" spans="3:4" ht="15" x14ac:dyDescent="0.25">
      <c r="C10732" s="8" t="e">
        <f>VLOOKUP(A:A,'ITEM LIST'!A:C,3,0)</f>
        <v>#N/A</v>
      </c>
      <c r="D10732" s="6">
        <f t="shared" si="168"/>
        <v>0</v>
      </c>
    </row>
    <row r="10733" spans="3:4" ht="15" x14ac:dyDescent="0.25">
      <c r="C10733" s="8" t="e">
        <f>VLOOKUP(A:A,'ITEM LIST'!A:C,3,0)</f>
        <v>#N/A</v>
      </c>
      <c r="D10733" s="6">
        <f t="shared" si="168"/>
        <v>0</v>
      </c>
    </row>
    <row r="10734" spans="3:4" ht="15" x14ac:dyDescent="0.25">
      <c r="C10734" s="8" t="e">
        <f>VLOOKUP(A:A,'ITEM LIST'!A:C,3,0)</f>
        <v>#N/A</v>
      </c>
      <c r="D10734" s="6">
        <f t="shared" si="168"/>
        <v>0</v>
      </c>
    </row>
    <row r="10735" spans="3:4" ht="15" x14ac:dyDescent="0.25">
      <c r="C10735" s="8" t="e">
        <f>VLOOKUP(A:A,'ITEM LIST'!A:C,3,0)</f>
        <v>#N/A</v>
      </c>
      <c r="D10735" s="6">
        <f t="shared" si="168"/>
        <v>0</v>
      </c>
    </row>
    <row r="10736" spans="3:4" ht="15" x14ac:dyDescent="0.25">
      <c r="C10736" s="8" t="e">
        <f>VLOOKUP(A:A,'ITEM LIST'!A:C,3,0)</f>
        <v>#N/A</v>
      </c>
      <c r="D10736" s="6">
        <f t="shared" si="168"/>
        <v>0</v>
      </c>
    </row>
    <row r="10737" spans="3:4" ht="15" x14ac:dyDescent="0.25">
      <c r="C10737" s="8" t="e">
        <f>VLOOKUP(A:A,'ITEM LIST'!A:C,3,0)</f>
        <v>#N/A</v>
      </c>
      <c r="D10737" s="6">
        <f t="shared" si="168"/>
        <v>0</v>
      </c>
    </row>
    <row r="10738" spans="3:4" ht="15" x14ac:dyDescent="0.25">
      <c r="C10738" s="8" t="e">
        <f>VLOOKUP(A:A,'ITEM LIST'!A:C,3,0)</f>
        <v>#N/A</v>
      </c>
      <c r="D10738" s="6">
        <f t="shared" si="168"/>
        <v>0</v>
      </c>
    </row>
    <row r="10739" spans="3:4" ht="15" x14ac:dyDescent="0.25">
      <c r="C10739" s="8" t="e">
        <f>VLOOKUP(A:A,'ITEM LIST'!A:C,3,0)</f>
        <v>#N/A</v>
      </c>
      <c r="D10739" s="6">
        <f t="shared" si="168"/>
        <v>0</v>
      </c>
    </row>
    <row r="10740" spans="3:4" ht="15" x14ac:dyDescent="0.25">
      <c r="C10740" s="8" t="e">
        <f>VLOOKUP(A:A,'ITEM LIST'!A:C,3,0)</f>
        <v>#N/A</v>
      </c>
      <c r="D10740" s="6">
        <f t="shared" si="168"/>
        <v>0</v>
      </c>
    </row>
    <row r="10741" spans="3:4" ht="15" x14ac:dyDescent="0.25">
      <c r="C10741" s="8" t="e">
        <f>VLOOKUP(A:A,'ITEM LIST'!A:C,3,0)</f>
        <v>#N/A</v>
      </c>
      <c r="D10741" s="6">
        <f t="shared" si="168"/>
        <v>0</v>
      </c>
    </row>
    <row r="10742" spans="3:4" ht="15" x14ac:dyDescent="0.25">
      <c r="C10742" s="8" t="e">
        <f>VLOOKUP(A:A,'ITEM LIST'!A:C,3,0)</f>
        <v>#N/A</v>
      </c>
      <c r="D10742" s="6">
        <f t="shared" si="168"/>
        <v>0</v>
      </c>
    </row>
    <row r="10743" spans="3:4" ht="15" x14ac:dyDescent="0.25">
      <c r="C10743" s="8" t="e">
        <f>VLOOKUP(A:A,'ITEM LIST'!A:C,3,0)</f>
        <v>#N/A</v>
      </c>
      <c r="D10743" s="6">
        <f t="shared" si="168"/>
        <v>0</v>
      </c>
    </row>
    <row r="10744" spans="3:4" ht="15" x14ac:dyDescent="0.25">
      <c r="C10744" s="8" t="e">
        <f>VLOOKUP(A:A,'ITEM LIST'!A:C,3,0)</f>
        <v>#N/A</v>
      </c>
      <c r="D10744" s="6">
        <f t="shared" si="168"/>
        <v>0</v>
      </c>
    </row>
    <row r="10745" spans="3:4" ht="15" x14ac:dyDescent="0.25">
      <c r="C10745" s="8" t="e">
        <f>VLOOKUP(A:A,'ITEM LIST'!A:C,3,0)</f>
        <v>#N/A</v>
      </c>
      <c r="D10745" s="6">
        <f t="shared" si="168"/>
        <v>0</v>
      </c>
    </row>
    <row r="10746" spans="3:4" ht="15" x14ac:dyDescent="0.25">
      <c r="C10746" s="8" t="e">
        <f>VLOOKUP(A:A,'ITEM LIST'!A:C,3,0)</f>
        <v>#N/A</v>
      </c>
      <c r="D10746" s="6">
        <f t="shared" si="168"/>
        <v>0</v>
      </c>
    </row>
    <row r="10747" spans="3:4" ht="15" x14ac:dyDescent="0.25">
      <c r="C10747" s="8" t="e">
        <f>VLOOKUP(A:A,'ITEM LIST'!A:C,3,0)</f>
        <v>#N/A</v>
      </c>
      <c r="D10747" s="6">
        <f t="shared" si="168"/>
        <v>0</v>
      </c>
    </row>
    <row r="10748" spans="3:4" ht="15" x14ac:dyDescent="0.25">
      <c r="C10748" s="8" t="e">
        <f>VLOOKUP(A:A,'ITEM LIST'!A:C,3,0)</f>
        <v>#N/A</v>
      </c>
      <c r="D10748" s="6">
        <f t="shared" si="168"/>
        <v>0</v>
      </c>
    </row>
    <row r="10749" spans="3:4" ht="15" x14ac:dyDescent="0.25">
      <c r="C10749" s="8" t="e">
        <f>VLOOKUP(A:A,'ITEM LIST'!A:C,3,0)</f>
        <v>#N/A</v>
      </c>
      <c r="D10749" s="6">
        <f t="shared" si="168"/>
        <v>0</v>
      </c>
    </row>
    <row r="10750" spans="3:4" ht="15" x14ac:dyDescent="0.25">
      <c r="C10750" s="8" t="e">
        <f>VLOOKUP(A:A,'ITEM LIST'!A:C,3,0)</f>
        <v>#N/A</v>
      </c>
      <c r="D10750" s="6">
        <f t="shared" si="168"/>
        <v>0</v>
      </c>
    </row>
    <row r="10751" spans="3:4" ht="15" x14ac:dyDescent="0.25">
      <c r="C10751" s="8" t="e">
        <f>VLOOKUP(A:A,'ITEM LIST'!A:C,3,0)</f>
        <v>#N/A</v>
      </c>
      <c r="D10751" s="6">
        <f t="shared" si="168"/>
        <v>0</v>
      </c>
    </row>
    <row r="10752" spans="3:4" ht="15" x14ac:dyDescent="0.25">
      <c r="C10752" s="8" t="e">
        <f>VLOOKUP(A:A,'ITEM LIST'!A:C,3,0)</f>
        <v>#N/A</v>
      </c>
      <c r="D10752" s="6">
        <f t="shared" si="168"/>
        <v>0</v>
      </c>
    </row>
    <row r="10753" spans="3:4" ht="15" x14ac:dyDescent="0.25">
      <c r="C10753" s="8" t="e">
        <f>VLOOKUP(A:A,'ITEM LIST'!A:C,3,0)</f>
        <v>#N/A</v>
      </c>
      <c r="D10753" s="6">
        <f t="shared" si="168"/>
        <v>0</v>
      </c>
    </row>
    <row r="10754" spans="3:4" ht="15" x14ac:dyDescent="0.25">
      <c r="C10754" s="8" t="e">
        <f>VLOOKUP(A:A,'ITEM LIST'!A:C,3,0)</f>
        <v>#N/A</v>
      </c>
      <c r="D10754" s="6">
        <f t="shared" si="168"/>
        <v>0</v>
      </c>
    </row>
    <row r="10755" spans="3:4" ht="15" x14ac:dyDescent="0.25">
      <c r="C10755" s="8" t="e">
        <f>VLOOKUP(A:A,'ITEM LIST'!A:C,3,0)</f>
        <v>#N/A</v>
      </c>
      <c r="D10755" s="6">
        <f t="shared" si="168"/>
        <v>0</v>
      </c>
    </row>
    <row r="10756" spans="3:4" ht="15" x14ac:dyDescent="0.25">
      <c r="C10756" s="8" t="e">
        <f>VLOOKUP(A:A,'ITEM LIST'!A:C,3,0)</f>
        <v>#N/A</v>
      </c>
      <c r="D10756" s="6">
        <f t="shared" si="168"/>
        <v>0</v>
      </c>
    </row>
    <row r="10757" spans="3:4" ht="15" x14ac:dyDescent="0.25">
      <c r="C10757" s="8" t="e">
        <f>VLOOKUP(A:A,'ITEM LIST'!A:C,3,0)</f>
        <v>#N/A</v>
      </c>
      <c r="D10757" s="6">
        <f t="shared" si="168"/>
        <v>0</v>
      </c>
    </row>
    <row r="10758" spans="3:4" ht="15" x14ac:dyDescent="0.25">
      <c r="C10758" s="8" t="e">
        <f>VLOOKUP(A:A,'ITEM LIST'!A:C,3,0)</f>
        <v>#N/A</v>
      </c>
      <c r="D10758" s="6">
        <f t="shared" ref="D10758:D10821" si="169">B10758</f>
        <v>0</v>
      </c>
    </row>
    <row r="10759" spans="3:4" ht="15" x14ac:dyDescent="0.25">
      <c r="C10759" s="8" t="e">
        <f>VLOOKUP(A:A,'ITEM LIST'!A:C,3,0)</f>
        <v>#N/A</v>
      </c>
      <c r="D10759" s="6">
        <f t="shared" si="169"/>
        <v>0</v>
      </c>
    </row>
    <row r="10760" spans="3:4" ht="15" x14ac:dyDescent="0.25">
      <c r="C10760" s="8" t="e">
        <f>VLOOKUP(A:A,'ITEM LIST'!A:C,3,0)</f>
        <v>#N/A</v>
      </c>
      <c r="D10760" s="6">
        <f t="shared" si="169"/>
        <v>0</v>
      </c>
    </row>
    <row r="10761" spans="3:4" ht="15" x14ac:dyDescent="0.25">
      <c r="C10761" s="8" t="e">
        <f>VLOOKUP(A:A,'ITEM LIST'!A:C,3,0)</f>
        <v>#N/A</v>
      </c>
      <c r="D10761" s="6">
        <f t="shared" si="169"/>
        <v>0</v>
      </c>
    </row>
    <row r="10762" spans="3:4" ht="15" x14ac:dyDescent="0.25">
      <c r="C10762" s="8" t="e">
        <f>VLOOKUP(A:A,'ITEM LIST'!A:C,3,0)</f>
        <v>#N/A</v>
      </c>
      <c r="D10762" s="6">
        <f t="shared" si="169"/>
        <v>0</v>
      </c>
    </row>
    <row r="10763" spans="3:4" ht="15" x14ac:dyDescent="0.25">
      <c r="C10763" s="8" t="e">
        <f>VLOOKUP(A:A,'ITEM LIST'!A:C,3,0)</f>
        <v>#N/A</v>
      </c>
      <c r="D10763" s="6">
        <f t="shared" si="169"/>
        <v>0</v>
      </c>
    </row>
    <row r="10764" spans="3:4" ht="15" x14ac:dyDescent="0.25">
      <c r="C10764" s="8" t="e">
        <f>VLOOKUP(A:A,'ITEM LIST'!A:C,3,0)</f>
        <v>#N/A</v>
      </c>
      <c r="D10764" s="6">
        <f t="shared" si="169"/>
        <v>0</v>
      </c>
    </row>
    <row r="10765" spans="3:4" ht="15" x14ac:dyDescent="0.25">
      <c r="C10765" s="8" t="e">
        <f>VLOOKUP(A:A,'ITEM LIST'!A:C,3,0)</f>
        <v>#N/A</v>
      </c>
      <c r="D10765" s="6">
        <f t="shared" si="169"/>
        <v>0</v>
      </c>
    </row>
    <row r="10766" spans="3:4" ht="15" x14ac:dyDescent="0.25">
      <c r="C10766" s="8" t="e">
        <f>VLOOKUP(A:A,'ITEM LIST'!A:C,3,0)</f>
        <v>#N/A</v>
      </c>
      <c r="D10766" s="6">
        <f t="shared" si="169"/>
        <v>0</v>
      </c>
    </row>
    <row r="10767" spans="3:4" ht="15" x14ac:dyDescent="0.25">
      <c r="C10767" s="8" t="e">
        <f>VLOOKUP(A:A,'ITEM LIST'!A:C,3,0)</f>
        <v>#N/A</v>
      </c>
      <c r="D10767" s="6">
        <f t="shared" si="169"/>
        <v>0</v>
      </c>
    </row>
    <row r="10768" spans="3:4" ht="15" x14ac:dyDescent="0.25">
      <c r="C10768" s="8" t="e">
        <f>VLOOKUP(A:A,'ITEM LIST'!A:C,3,0)</f>
        <v>#N/A</v>
      </c>
      <c r="D10768" s="6">
        <f t="shared" si="169"/>
        <v>0</v>
      </c>
    </row>
    <row r="10769" spans="3:4" ht="15" x14ac:dyDescent="0.25">
      <c r="C10769" s="8" t="e">
        <f>VLOOKUP(A:A,'ITEM LIST'!A:C,3,0)</f>
        <v>#N/A</v>
      </c>
      <c r="D10769" s="6">
        <f t="shared" si="169"/>
        <v>0</v>
      </c>
    </row>
    <row r="10770" spans="3:4" ht="15" x14ac:dyDescent="0.25">
      <c r="C10770" s="8" t="e">
        <f>VLOOKUP(A:A,'ITEM LIST'!A:C,3,0)</f>
        <v>#N/A</v>
      </c>
      <c r="D10770" s="6">
        <f t="shared" si="169"/>
        <v>0</v>
      </c>
    </row>
    <row r="10771" spans="3:4" ht="15" x14ac:dyDescent="0.25">
      <c r="C10771" s="8" t="e">
        <f>VLOOKUP(A:A,'ITEM LIST'!A:C,3,0)</f>
        <v>#N/A</v>
      </c>
      <c r="D10771" s="6">
        <f t="shared" si="169"/>
        <v>0</v>
      </c>
    </row>
    <row r="10772" spans="3:4" ht="15" x14ac:dyDescent="0.25">
      <c r="C10772" s="8" t="e">
        <f>VLOOKUP(A:A,'ITEM LIST'!A:C,3,0)</f>
        <v>#N/A</v>
      </c>
      <c r="D10772" s="6">
        <f t="shared" si="169"/>
        <v>0</v>
      </c>
    </row>
    <row r="10773" spans="3:4" ht="15" x14ac:dyDescent="0.25">
      <c r="C10773" s="8" t="e">
        <f>VLOOKUP(A:A,'ITEM LIST'!A:C,3,0)</f>
        <v>#N/A</v>
      </c>
      <c r="D10773" s="6">
        <f t="shared" si="169"/>
        <v>0</v>
      </c>
    </row>
    <row r="10774" spans="3:4" ht="15" x14ac:dyDescent="0.25">
      <c r="C10774" s="8" t="e">
        <f>VLOOKUP(A:A,'ITEM LIST'!A:C,3,0)</f>
        <v>#N/A</v>
      </c>
      <c r="D10774" s="6">
        <f t="shared" si="169"/>
        <v>0</v>
      </c>
    </row>
    <row r="10775" spans="3:4" ht="15" x14ac:dyDescent="0.25">
      <c r="C10775" s="8" t="e">
        <f>VLOOKUP(A:A,'ITEM LIST'!A:C,3,0)</f>
        <v>#N/A</v>
      </c>
      <c r="D10775" s="6">
        <f t="shared" si="169"/>
        <v>0</v>
      </c>
    </row>
    <row r="10776" spans="3:4" ht="15" x14ac:dyDescent="0.25">
      <c r="C10776" s="8" t="e">
        <f>VLOOKUP(A:A,'ITEM LIST'!A:C,3,0)</f>
        <v>#N/A</v>
      </c>
      <c r="D10776" s="6">
        <f t="shared" si="169"/>
        <v>0</v>
      </c>
    </row>
    <row r="10777" spans="3:4" ht="15" x14ac:dyDescent="0.25">
      <c r="C10777" s="8" t="e">
        <f>VLOOKUP(A:A,'ITEM LIST'!A:C,3,0)</f>
        <v>#N/A</v>
      </c>
      <c r="D10777" s="6">
        <f t="shared" si="169"/>
        <v>0</v>
      </c>
    </row>
    <row r="10778" spans="3:4" ht="15" x14ac:dyDescent="0.25">
      <c r="C10778" s="8" t="e">
        <f>VLOOKUP(A:A,'ITEM LIST'!A:C,3,0)</f>
        <v>#N/A</v>
      </c>
      <c r="D10778" s="6">
        <f t="shared" si="169"/>
        <v>0</v>
      </c>
    </row>
    <row r="10779" spans="3:4" ht="15" x14ac:dyDescent="0.25">
      <c r="C10779" s="8" t="e">
        <f>VLOOKUP(A:A,'ITEM LIST'!A:C,3,0)</f>
        <v>#N/A</v>
      </c>
      <c r="D10779" s="6">
        <f t="shared" si="169"/>
        <v>0</v>
      </c>
    </row>
    <row r="10780" spans="3:4" ht="15" x14ac:dyDescent="0.25">
      <c r="C10780" s="8" t="e">
        <f>VLOOKUP(A:A,'ITEM LIST'!A:C,3,0)</f>
        <v>#N/A</v>
      </c>
      <c r="D10780" s="6">
        <f t="shared" si="169"/>
        <v>0</v>
      </c>
    </row>
    <row r="10781" spans="3:4" ht="15" x14ac:dyDescent="0.25">
      <c r="C10781" s="8" t="e">
        <f>VLOOKUP(A:A,'ITEM LIST'!A:C,3,0)</f>
        <v>#N/A</v>
      </c>
      <c r="D10781" s="6">
        <f t="shared" si="169"/>
        <v>0</v>
      </c>
    </row>
    <row r="10782" spans="3:4" ht="15" x14ac:dyDescent="0.25">
      <c r="C10782" s="8" t="e">
        <f>VLOOKUP(A:A,'ITEM LIST'!A:C,3,0)</f>
        <v>#N/A</v>
      </c>
      <c r="D10782" s="6">
        <f t="shared" si="169"/>
        <v>0</v>
      </c>
    </row>
    <row r="10783" spans="3:4" ht="15" x14ac:dyDescent="0.25">
      <c r="C10783" s="8" t="e">
        <f>VLOOKUP(A:A,'ITEM LIST'!A:C,3,0)</f>
        <v>#N/A</v>
      </c>
      <c r="D10783" s="6">
        <f t="shared" si="169"/>
        <v>0</v>
      </c>
    </row>
    <row r="10784" spans="3:4" ht="15" x14ac:dyDescent="0.25">
      <c r="C10784" s="8" t="e">
        <f>VLOOKUP(A:A,'ITEM LIST'!A:C,3,0)</f>
        <v>#N/A</v>
      </c>
      <c r="D10784" s="6">
        <f t="shared" si="169"/>
        <v>0</v>
      </c>
    </row>
    <row r="10785" spans="3:4" ht="15" x14ac:dyDescent="0.25">
      <c r="C10785" s="8" t="e">
        <f>VLOOKUP(A:A,'ITEM LIST'!A:C,3,0)</f>
        <v>#N/A</v>
      </c>
      <c r="D10785" s="6">
        <f t="shared" si="169"/>
        <v>0</v>
      </c>
    </row>
    <row r="10786" spans="3:4" ht="15" x14ac:dyDescent="0.25">
      <c r="C10786" s="8" t="e">
        <f>VLOOKUP(A:A,'ITEM LIST'!A:C,3,0)</f>
        <v>#N/A</v>
      </c>
      <c r="D10786" s="6">
        <f t="shared" si="169"/>
        <v>0</v>
      </c>
    </row>
    <row r="10787" spans="3:4" ht="15" x14ac:dyDescent="0.25">
      <c r="C10787" s="8" t="e">
        <f>VLOOKUP(A:A,'ITEM LIST'!A:C,3,0)</f>
        <v>#N/A</v>
      </c>
      <c r="D10787" s="6">
        <f t="shared" si="169"/>
        <v>0</v>
      </c>
    </row>
    <row r="10788" spans="3:4" ht="15" x14ac:dyDescent="0.25">
      <c r="C10788" s="8" t="e">
        <f>VLOOKUP(A:A,'ITEM LIST'!A:C,3,0)</f>
        <v>#N/A</v>
      </c>
      <c r="D10788" s="6">
        <f t="shared" si="169"/>
        <v>0</v>
      </c>
    </row>
    <row r="10789" spans="3:4" ht="15" x14ac:dyDescent="0.25">
      <c r="C10789" s="8" t="e">
        <f>VLOOKUP(A:A,'ITEM LIST'!A:C,3,0)</f>
        <v>#N/A</v>
      </c>
      <c r="D10789" s="6">
        <f t="shared" si="169"/>
        <v>0</v>
      </c>
    </row>
    <row r="10790" spans="3:4" ht="15" x14ac:dyDescent="0.25">
      <c r="C10790" s="8" t="e">
        <f>VLOOKUP(A:A,'ITEM LIST'!A:C,3,0)</f>
        <v>#N/A</v>
      </c>
      <c r="D10790" s="6">
        <f t="shared" si="169"/>
        <v>0</v>
      </c>
    </row>
    <row r="10791" spans="3:4" ht="15" x14ac:dyDescent="0.25">
      <c r="C10791" s="8" t="e">
        <f>VLOOKUP(A:A,'ITEM LIST'!A:C,3,0)</f>
        <v>#N/A</v>
      </c>
      <c r="D10791" s="6">
        <f t="shared" si="169"/>
        <v>0</v>
      </c>
    </row>
    <row r="10792" spans="3:4" ht="15" x14ac:dyDescent="0.25">
      <c r="C10792" s="8" t="e">
        <f>VLOOKUP(A:A,'ITEM LIST'!A:C,3,0)</f>
        <v>#N/A</v>
      </c>
      <c r="D10792" s="6">
        <f t="shared" si="169"/>
        <v>0</v>
      </c>
    </row>
    <row r="10793" spans="3:4" ht="15" x14ac:dyDescent="0.25">
      <c r="C10793" s="8" t="e">
        <f>VLOOKUP(A:A,'ITEM LIST'!A:C,3,0)</f>
        <v>#N/A</v>
      </c>
      <c r="D10793" s="6">
        <f t="shared" si="169"/>
        <v>0</v>
      </c>
    </row>
    <row r="10794" spans="3:4" ht="15" x14ac:dyDescent="0.25">
      <c r="C10794" s="8" t="e">
        <f>VLOOKUP(A:A,'ITEM LIST'!A:C,3,0)</f>
        <v>#N/A</v>
      </c>
      <c r="D10794" s="6">
        <f t="shared" si="169"/>
        <v>0</v>
      </c>
    </row>
    <row r="10795" spans="3:4" ht="15" x14ac:dyDescent="0.25">
      <c r="C10795" s="8" t="e">
        <f>VLOOKUP(A:A,'ITEM LIST'!A:C,3,0)</f>
        <v>#N/A</v>
      </c>
      <c r="D10795" s="6">
        <f t="shared" si="169"/>
        <v>0</v>
      </c>
    </row>
    <row r="10796" spans="3:4" ht="15" x14ac:dyDescent="0.25">
      <c r="C10796" s="8" t="e">
        <f>VLOOKUP(A:A,'ITEM LIST'!A:C,3,0)</f>
        <v>#N/A</v>
      </c>
      <c r="D10796" s="6">
        <f t="shared" si="169"/>
        <v>0</v>
      </c>
    </row>
    <row r="10797" spans="3:4" ht="15" x14ac:dyDescent="0.25">
      <c r="C10797" s="8" t="e">
        <f>VLOOKUP(A:A,'ITEM LIST'!A:C,3,0)</f>
        <v>#N/A</v>
      </c>
      <c r="D10797" s="6">
        <f t="shared" si="169"/>
        <v>0</v>
      </c>
    </row>
    <row r="10798" spans="3:4" ht="15" x14ac:dyDescent="0.25">
      <c r="C10798" s="8" t="e">
        <f>VLOOKUP(A:A,'ITEM LIST'!A:C,3,0)</f>
        <v>#N/A</v>
      </c>
      <c r="D10798" s="6">
        <f t="shared" si="169"/>
        <v>0</v>
      </c>
    </row>
    <row r="10799" spans="3:4" ht="15" x14ac:dyDescent="0.25">
      <c r="C10799" s="8" t="e">
        <f>VLOOKUP(A:A,'ITEM LIST'!A:C,3,0)</f>
        <v>#N/A</v>
      </c>
      <c r="D10799" s="6">
        <f t="shared" si="169"/>
        <v>0</v>
      </c>
    </row>
    <row r="10800" spans="3:4" ht="15" x14ac:dyDescent="0.25">
      <c r="C10800" s="8" t="e">
        <f>VLOOKUP(A:A,'ITEM LIST'!A:C,3,0)</f>
        <v>#N/A</v>
      </c>
      <c r="D10800" s="6">
        <f t="shared" si="169"/>
        <v>0</v>
      </c>
    </row>
    <row r="10801" spans="3:4" ht="15" x14ac:dyDescent="0.25">
      <c r="C10801" s="8" t="e">
        <f>VLOOKUP(A:A,'ITEM LIST'!A:C,3,0)</f>
        <v>#N/A</v>
      </c>
      <c r="D10801" s="6">
        <f t="shared" si="169"/>
        <v>0</v>
      </c>
    </row>
    <row r="10802" spans="3:4" ht="15" x14ac:dyDescent="0.25">
      <c r="C10802" s="8" t="e">
        <f>VLOOKUP(A:A,'ITEM LIST'!A:C,3,0)</f>
        <v>#N/A</v>
      </c>
      <c r="D10802" s="6">
        <f t="shared" si="169"/>
        <v>0</v>
      </c>
    </row>
    <row r="10803" spans="3:4" ht="15" x14ac:dyDescent="0.25">
      <c r="C10803" s="8" t="e">
        <f>VLOOKUP(A:A,'ITEM LIST'!A:C,3,0)</f>
        <v>#N/A</v>
      </c>
      <c r="D10803" s="6">
        <f t="shared" si="169"/>
        <v>0</v>
      </c>
    </row>
    <row r="10804" spans="3:4" ht="15" x14ac:dyDescent="0.25">
      <c r="C10804" s="8" t="e">
        <f>VLOOKUP(A:A,'ITEM LIST'!A:C,3,0)</f>
        <v>#N/A</v>
      </c>
      <c r="D10804" s="6">
        <f t="shared" si="169"/>
        <v>0</v>
      </c>
    </row>
    <row r="10805" spans="3:4" ht="15" x14ac:dyDescent="0.25">
      <c r="C10805" s="8" t="e">
        <f>VLOOKUP(A:A,'ITEM LIST'!A:C,3,0)</f>
        <v>#N/A</v>
      </c>
      <c r="D10805" s="6">
        <f t="shared" si="169"/>
        <v>0</v>
      </c>
    </row>
    <row r="10806" spans="3:4" ht="15" x14ac:dyDescent="0.25">
      <c r="C10806" s="8" t="e">
        <f>VLOOKUP(A:A,'ITEM LIST'!A:C,3,0)</f>
        <v>#N/A</v>
      </c>
      <c r="D10806" s="6">
        <f t="shared" si="169"/>
        <v>0</v>
      </c>
    </row>
    <row r="10807" spans="3:4" ht="15" x14ac:dyDescent="0.25">
      <c r="C10807" s="8" t="e">
        <f>VLOOKUP(A:A,'ITEM LIST'!A:C,3,0)</f>
        <v>#N/A</v>
      </c>
      <c r="D10807" s="6">
        <f t="shared" si="169"/>
        <v>0</v>
      </c>
    </row>
    <row r="10808" spans="3:4" ht="15" x14ac:dyDescent="0.25">
      <c r="C10808" s="8" t="e">
        <f>VLOOKUP(A:A,'ITEM LIST'!A:C,3,0)</f>
        <v>#N/A</v>
      </c>
      <c r="D10808" s="6">
        <f t="shared" si="169"/>
        <v>0</v>
      </c>
    </row>
    <row r="10809" spans="3:4" ht="15" x14ac:dyDescent="0.25">
      <c r="C10809" s="8" t="e">
        <f>VLOOKUP(A:A,'ITEM LIST'!A:C,3,0)</f>
        <v>#N/A</v>
      </c>
      <c r="D10809" s="6">
        <f t="shared" si="169"/>
        <v>0</v>
      </c>
    </row>
    <row r="10810" spans="3:4" ht="15" x14ac:dyDescent="0.25">
      <c r="C10810" s="8" t="e">
        <f>VLOOKUP(A:A,'ITEM LIST'!A:C,3,0)</f>
        <v>#N/A</v>
      </c>
      <c r="D10810" s="6">
        <f t="shared" si="169"/>
        <v>0</v>
      </c>
    </row>
    <row r="10811" spans="3:4" ht="15" x14ac:dyDescent="0.25">
      <c r="C10811" s="8" t="e">
        <f>VLOOKUP(A:A,'ITEM LIST'!A:C,3,0)</f>
        <v>#N/A</v>
      </c>
      <c r="D10811" s="6">
        <f t="shared" si="169"/>
        <v>0</v>
      </c>
    </row>
    <row r="10812" spans="3:4" ht="15" x14ac:dyDescent="0.25">
      <c r="C10812" s="8" t="e">
        <f>VLOOKUP(A:A,'ITEM LIST'!A:C,3,0)</f>
        <v>#N/A</v>
      </c>
      <c r="D10812" s="6">
        <f t="shared" si="169"/>
        <v>0</v>
      </c>
    </row>
    <row r="10813" spans="3:4" ht="15" x14ac:dyDescent="0.25">
      <c r="C10813" s="8" t="e">
        <f>VLOOKUP(A:A,'ITEM LIST'!A:C,3,0)</f>
        <v>#N/A</v>
      </c>
      <c r="D10813" s="6">
        <f t="shared" si="169"/>
        <v>0</v>
      </c>
    </row>
    <row r="10814" spans="3:4" ht="15" x14ac:dyDescent="0.25">
      <c r="C10814" s="8" t="e">
        <f>VLOOKUP(A:A,'ITEM LIST'!A:C,3,0)</f>
        <v>#N/A</v>
      </c>
      <c r="D10814" s="6">
        <f t="shared" si="169"/>
        <v>0</v>
      </c>
    </row>
    <row r="10815" spans="3:4" ht="15" x14ac:dyDescent="0.25">
      <c r="C10815" s="8" t="e">
        <f>VLOOKUP(A:A,'ITEM LIST'!A:C,3,0)</f>
        <v>#N/A</v>
      </c>
      <c r="D10815" s="6">
        <f t="shared" si="169"/>
        <v>0</v>
      </c>
    </row>
    <row r="10816" spans="3:4" ht="15" x14ac:dyDescent="0.25">
      <c r="C10816" s="8" t="e">
        <f>VLOOKUP(A:A,'ITEM LIST'!A:C,3,0)</f>
        <v>#N/A</v>
      </c>
      <c r="D10816" s="6">
        <f t="shared" si="169"/>
        <v>0</v>
      </c>
    </row>
    <row r="10817" spans="3:4" ht="15" x14ac:dyDescent="0.25">
      <c r="C10817" s="8" t="e">
        <f>VLOOKUP(A:A,'ITEM LIST'!A:C,3,0)</f>
        <v>#N/A</v>
      </c>
      <c r="D10817" s="6">
        <f t="shared" si="169"/>
        <v>0</v>
      </c>
    </row>
    <row r="10818" spans="3:4" ht="15" x14ac:dyDescent="0.25">
      <c r="C10818" s="8" t="e">
        <f>VLOOKUP(A:A,'ITEM LIST'!A:C,3,0)</f>
        <v>#N/A</v>
      </c>
      <c r="D10818" s="6">
        <f t="shared" si="169"/>
        <v>0</v>
      </c>
    </row>
    <row r="10819" spans="3:4" ht="15" x14ac:dyDescent="0.25">
      <c r="C10819" s="8" t="e">
        <f>VLOOKUP(A:A,'ITEM LIST'!A:C,3,0)</f>
        <v>#N/A</v>
      </c>
      <c r="D10819" s="6">
        <f t="shared" si="169"/>
        <v>0</v>
      </c>
    </row>
    <row r="10820" spans="3:4" ht="15" x14ac:dyDescent="0.25">
      <c r="C10820" s="8" t="e">
        <f>VLOOKUP(A:A,'ITEM LIST'!A:C,3,0)</f>
        <v>#N/A</v>
      </c>
      <c r="D10820" s="6">
        <f t="shared" si="169"/>
        <v>0</v>
      </c>
    </row>
    <row r="10821" spans="3:4" ht="15" x14ac:dyDescent="0.25">
      <c r="C10821" s="8" t="e">
        <f>VLOOKUP(A:A,'ITEM LIST'!A:C,3,0)</f>
        <v>#N/A</v>
      </c>
      <c r="D10821" s="6">
        <f t="shared" si="169"/>
        <v>0</v>
      </c>
    </row>
    <row r="10822" spans="3:4" ht="15" x14ac:dyDescent="0.25">
      <c r="C10822" s="8" t="e">
        <f>VLOOKUP(A:A,'ITEM LIST'!A:C,3,0)</f>
        <v>#N/A</v>
      </c>
      <c r="D10822" s="6">
        <f t="shared" ref="D10822:D10885" si="170">B10822</f>
        <v>0</v>
      </c>
    </row>
    <row r="10823" spans="3:4" ht="15" x14ac:dyDescent="0.25">
      <c r="C10823" s="8" t="e">
        <f>VLOOKUP(A:A,'ITEM LIST'!A:C,3,0)</f>
        <v>#N/A</v>
      </c>
      <c r="D10823" s="6">
        <f t="shared" si="170"/>
        <v>0</v>
      </c>
    </row>
    <row r="10824" spans="3:4" ht="15" x14ac:dyDescent="0.25">
      <c r="C10824" s="8" t="e">
        <f>VLOOKUP(A:A,'ITEM LIST'!A:C,3,0)</f>
        <v>#N/A</v>
      </c>
      <c r="D10824" s="6">
        <f t="shared" si="170"/>
        <v>0</v>
      </c>
    </row>
    <row r="10825" spans="3:4" ht="15" x14ac:dyDescent="0.25">
      <c r="C10825" s="8" t="e">
        <f>VLOOKUP(A:A,'ITEM LIST'!A:C,3,0)</f>
        <v>#N/A</v>
      </c>
      <c r="D10825" s="6">
        <f t="shared" si="170"/>
        <v>0</v>
      </c>
    </row>
    <row r="10826" spans="3:4" ht="15" x14ac:dyDescent="0.25">
      <c r="C10826" s="8" t="e">
        <f>VLOOKUP(A:A,'ITEM LIST'!A:C,3,0)</f>
        <v>#N/A</v>
      </c>
      <c r="D10826" s="6">
        <f t="shared" si="170"/>
        <v>0</v>
      </c>
    </row>
    <row r="10827" spans="3:4" ht="15" x14ac:dyDescent="0.25">
      <c r="C10827" s="8" t="e">
        <f>VLOOKUP(A:A,'ITEM LIST'!A:C,3,0)</f>
        <v>#N/A</v>
      </c>
      <c r="D10827" s="6">
        <f t="shared" si="170"/>
        <v>0</v>
      </c>
    </row>
    <row r="10828" spans="3:4" ht="15" x14ac:dyDescent="0.25">
      <c r="C10828" s="8" t="e">
        <f>VLOOKUP(A:A,'ITEM LIST'!A:C,3,0)</f>
        <v>#N/A</v>
      </c>
      <c r="D10828" s="6">
        <f t="shared" si="170"/>
        <v>0</v>
      </c>
    </row>
    <row r="10829" spans="3:4" ht="15" x14ac:dyDescent="0.25">
      <c r="C10829" s="8" t="e">
        <f>VLOOKUP(A:A,'ITEM LIST'!A:C,3,0)</f>
        <v>#N/A</v>
      </c>
      <c r="D10829" s="6">
        <f t="shared" si="170"/>
        <v>0</v>
      </c>
    </row>
    <row r="10830" spans="3:4" ht="15" x14ac:dyDescent="0.25">
      <c r="C10830" s="8" t="e">
        <f>VLOOKUP(A:A,'ITEM LIST'!A:C,3,0)</f>
        <v>#N/A</v>
      </c>
      <c r="D10830" s="6">
        <f t="shared" si="170"/>
        <v>0</v>
      </c>
    </row>
    <row r="10831" spans="3:4" ht="15" x14ac:dyDescent="0.25">
      <c r="C10831" s="8" t="e">
        <f>VLOOKUP(A:A,'ITEM LIST'!A:C,3,0)</f>
        <v>#N/A</v>
      </c>
      <c r="D10831" s="6">
        <f t="shared" si="170"/>
        <v>0</v>
      </c>
    </row>
    <row r="10832" spans="3:4" ht="15" x14ac:dyDescent="0.25">
      <c r="C10832" s="8" t="e">
        <f>VLOOKUP(A:A,'ITEM LIST'!A:C,3,0)</f>
        <v>#N/A</v>
      </c>
      <c r="D10832" s="6">
        <f t="shared" si="170"/>
        <v>0</v>
      </c>
    </row>
    <row r="10833" spans="3:4" ht="15" x14ac:dyDescent="0.25">
      <c r="C10833" s="8" t="e">
        <f>VLOOKUP(A:A,'ITEM LIST'!A:C,3,0)</f>
        <v>#N/A</v>
      </c>
      <c r="D10833" s="6">
        <f t="shared" si="170"/>
        <v>0</v>
      </c>
    </row>
    <row r="10834" spans="3:4" ht="15" x14ac:dyDescent="0.25">
      <c r="C10834" s="8" t="e">
        <f>VLOOKUP(A:A,'ITEM LIST'!A:C,3,0)</f>
        <v>#N/A</v>
      </c>
      <c r="D10834" s="6">
        <f t="shared" si="170"/>
        <v>0</v>
      </c>
    </row>
    <row r="10835" spans="3:4" ht="15" x14ac:dyDescent="0.25">
      <c r="C10835" s="8" t="e">
        <f>VLOOKUP(A:A,'ITEM LIST'!A:C,3,0)</f>
        <v>#N/A</v>
      </c>
      <c r="D10835" s="6">
        <f t="shared" si="170"/>
        <v>0</v>
      </c>
    </row>
    <row r="10836" spans="3:4" ht="15" x14ac:dyDescent="0.25">
      <c r="C10836" s="8" t="e">
        <f>VLOOKUP(A:A,'ITEM LIST'!A:C,3,0)</f>
        <v>#N/A</v>
      </c>
      <c r="D10836" s="6">
        <f t="shared" si="170"/>
        <v>0</v>
      </c>
    </row>
    <row r="10837" spans="3:4" ht="15" x14ac:dyDescent="0.25">
      <c r="C10837" s="8" t="e">
        <f>VLOOKUP(A:A,'ITEM LIST'!A:C,3,0)</f>
        <v>#N/A</v>
      </c>
      <c r="D10837" s="6">
        <f t="shared" si="170"/>
        <v>0</v>
      </c>
    </row>
    <row r="10838" spans="3:4" ht="15" x14ac:dyDescent="0.25">
      <c r="C10838" s="8" t="e">
        <f>VLOOKUP(A:A,'ITEM LIST'!A:C,3,0)</f>
        <v>#N/A</v>
      </c>
      <c r="D10838" s="6">
        <f t="shared" si="170"/>
        <v>0</v>
      </c>
    </row>
    <row r="10839" spans="3:4" ht="15" x14ac:dyDescent="0.25">
      <c r="C10839" s="8" t="e">
        <f>VLOOKUP(A:A,'ITEM LIST'!A:C,3,0)</f>
        <v>#N/A</v>
      </c>
      <c r="D10839" s="6">
        <f t="shared" si="170"/>
        <v>0</v>
      </c>
    </row>
    <row r="10840" spans="3:4" ht="15" x14ac:dyDescent="0.25">
      <c r="C10840" s="8" t="e">
        <f>VLOOKUP(A:A,'ITEM LIST'!A:C,3,0)</f>
        <v>#N/A</v>
      </c>
      <c r="D10840" s="6">
        <f t="shared" si="170"/>
        <v>0</v>
      </c>
    </row>
    <row r="10841" spans="3:4" ht="15" x14ac:dyDescent="0.25">
      <c r="C10841" s="8" t="e">
        <f>VLOOKUP(A:A,'ITEM LIST'!A:C,3,0)</f>
        <v>#N/A</v>
      </c>
      <c r="D10841" s="6">
        <f t="shared" si="170"/>
        <v>0</v>
      </c>
    </row>
    <row r="10842" spans="3:4" ht="15" x14ac:dyDescent="0.25">
      <c r="C10842" s="8" t="e">
        <f>VLOOKUP(A:A,'ITEM LIST'!A:C,3,0)</f>
        <v>#N/A</v>
      </c>
      <c r="D10842" s="6">
        <f t="shared" si="170"/>
        <v>0</v>
      </c>
    </row>
    <row r="10843" spans="3:4" ht="15" x14ac:dyDescent="0.25">
      <c r="C10843" s="8" t="e">
        <f>VLOOKUP(A:A,'ITEM LIST'!A:C,3,0)</f>
        <v>#N/A</v>
      </c>
      <c r="D10843" s="6">
        <f t="shared" si="170"/>
        <v>0</v>
      </c>
    </row>
    <row r="10844" spans="3:4" ht="15" x14ac:dyDescent="0.25">
      <c r="C10844" s="8" t="e">
        <f>VLOOKUP(A:A,'ITEM LIST'!A:C,3,0)</f>
        <v>#N/A</v>
      </c>
      <c r="D10844" s="6">
        <f t="shared" si="170"/>
        <v>0</v>
      </c>
    </row>
    <row r="10845" spans="3:4" ht="15" x14ac:dyDescent="0.25">
      <c r="C10845" s="8" t="e">
        <f>VLOOKUP(A:A,'ITEM LIST'!A:C,3,0)</f>
        <v>#N/A</v>
      </c>
      <c r="D10845" s="6">
        <f t="shared" si="170"/>
        <v>0</v>
      </c>
    </row>
    <row r="10846" spans="3:4" ht="15" x14ac:dyDescent="0.25">
      <c r="C10846" s="8" t="e">
        <f>VLOOKUP(A:A,'ITEM LIST'!A:C,3,0)</f>
        <v>#N/A</v>
      </c>
      <c r="D10846" s="6">
        <f t="shared" si="170"/>
        <v>0</v>
      </c>
    </row>
    <row r="10847" spans="3:4" ht="15" x14ac:dyDescent="0.25">
      <c r="C10847" s="8" t="e">
        <f>VLOOKUP(A:A,'ITEM LIST'!A:C,3,0)</f>
        <v>#N/A</v>
      </c>
      <c r="D10847" s="6">
        <f t="shared" si="170"/>
        <v>0</v>
      </c>
    </row>
    <row r="10848" spans="3:4" ht="15" x14ac:dyDescent="0.25">
      <c r="C10848" s="8" t="e">
        <f>VLOOKUP(A:A,'ITEM LIST'!A:C,3,0)</f>
        <v>#N/A</v>
      </c>
      <c r="D10848" s="6">
        <f t="shared" si="170"/>
        <v>0</v>
      </c>
    </row>
    <row r="10849" spans="3:4" ht="15" x14ac:dyDescent="0.25">
      <c r="C10849" s="8" t="e">
        <f>VLOOKUP(A:A,'ITEM LIST'!A:C,3,0)</f>
        <v>#N/A</v>
      </c>
      <c r="D10849" s="6">
        <f t="shared" si="170"/>
        <v>0</v>
      </c>
    </row>
    <row r="10850" spans="3:4" ht="15" x14ac:dyDescent="0.25">
      <c r="C10850" s="8" t="e">
        <f>VLOOKUP(A:A,'ITEM LIST'!A:C,3,0)</f>
        <v>#N/A</v>
      </c>
      <c r="D10850" s="6">
        <f t="shared" si="170"/>
        <v>0</v>
      </c>
    </row>
    <row r="10851" spans="3:4" ht="15" x14ac:dyDescent="0.25">
      <c r="C10851" s="8" t="e">
        <f>VLOOKUP(A:A,'ITEM LIST'!A:C,3,0)</f>
        <v>#N/A</v>
      </c>
      <c r="D10851" s="6">
        <f t="shared" si="170"/>
        <v>0</v>
      </c>
    </row>
    <row r="10852" spans="3:4" ht="15" x14ac:dyDescent="0.25">
      <c r="C10852" s="8" t="e">
        <f>VLOOKUP(A:A,'ITEM LIST'!A:C,3,0)</f>
        <v>#N/A</v>
      </c>
      <c r="D10852" s="6">
        <f t="shared" si="170"/>
        <v>0</v>
      </c>
    </row>
    <row r="10853" spans="3:4" ht="15" x14ac:dyDescent="0.25">
      <c r="C10853" s="8" t="e">
        <f>VLOOKUP(A:A,'ITEM LIST'!A:C,3,0)</f>
        <v>#N/A</v>
      </c>
      <c r="D10853" s="6">
        <f t="shared" si="170"/>
        <v>0</v>
      </c>
    </row>
    <row r="10854" spans="3:4" ht="15" x14ac:dyDescent="0.25">
      <c r="C10854" s="8" t="e">
        <f>VLOOKUP(A:A,'ITEM LIST'!A:C,3,0)</f>
        <v>#N/A</v>
      </c>
      <c r="D10854" s="6">
        <f t="shared" si="170"/>
        <v>0</v>
      </c>
    </row>
    <row r="10855" spans="3:4" ht="15" x14ac:dyDescent="0.25">
      <c r="C10855" s="8" t="e">
        <f>VLOOKUP(A:A,'ITEM LIST'!A:C,3,0)</f>
        <v>#N/A</v>
      </c>
      <c r="D10855" s="6">
        <f t="shared" si="170"/>
        <v>0</v>
      </c>
    </row>
    <row r="10856" spans="3:4" ht="15" x14ac:dyDescent="0.25">
      <c r="C10856" s="8" t="e">
        <f>VLOOKUP(A:A,'ITEM LIST'!A:C,3,0)</f>
        <v>#N/A</v>
      </c>
      <c r="D10856" s="6">
        <f t="shared" si="170"/>
        <v>0</v>
      </c>
    </row>
    <row r="10857" spans="3:4" ht="15" x14ac:dyDescent="0.25">
      <c r="C10857" s="8" t="e">
        <f>VLOOKUP(A:A,'ITEM LIST'!A:C,3,0)</f>
        <v>#N/A</v>
      </c>
      <c r="D10857" s="6">
        <f t="shared" si="170"/>
        <v>0</v>
      </c>
    </row>
    <row r="10858" spans="3:4" ht="15" x14ac:dyDescent="0.25">
      <c r="C10858" s="8" t="e">
        <f>VLOOKUP(A:A,'ITEM LIST'!A:C,3,0)</f>
        <v>#N/A</v>
      </c>
      <c r="D10858" s="6">
        <f t="shared" si="170"/>
        <v>0</v>
      </c>
    </row>
    <row r="10859" spans="3:4" ht="15" x14ac:dyDescent="0.25">
      <c r="C10859" s="8" t="e">
        <f>VLOOKUP(A:A,'ITEM LIST'!A:C,3,0)</f>
        <v>#N/A</v>
      </c>
      <c r="D10859" s="6">
        <f t="shared" si="170"/>
        <v>0</v>
      </c>
    </row>
    <row r="10860" spans="3:4" ht="15" x14ac:dyDescent="0.25">
      <c r="C10860" s="8" t="e">
        <f>VLOOKUP(A:A,'ITEM LIST'!A:C,3,0)</f>
        <v>#N/A</v>
      </c>
      <c r="D10860" s="6">
        <f t="shared" si="170"/>
        <v>0</v>
      </c>
    </row>
    <row r="10861" spans="3:4" ht="15" x14ac:dyDescent="0.25">
      <c r="C10861" s="8" t="e">
        <f>VLOOKUP(A:A,'ITEM LIST'!A:C,3,0)</f>
        <v>#N/A</v>
      </c>
      <c r="D10861" s="6">
        <f t="shared" si="170"/>
        <v>0</v>
      </c>
    </row>
    <row r="10862" spans="3:4" ht="15" x14ac:dyDescent="0.25">
      <c r="C10862" s="8" t="e">
        <f>VLOOKUP(A:A,'ITEM LIST'!A:C,3,0)</f>
        <v>#N/A</v>
      </c>
      <c r="D10862" s="6">
        <f t="shared" si="170"/>
        <v>0</v>
      </c>
    </row>
    <row r="10863" spans="3:4" ht="15" x14ac:dyDescent="0.25">
      <c r="C10863" s="8" t="e">
        <f>VLOOKUP(A:A,'ITEM LIST'!A:C,3,0)</f>
        <v>#N/A</v>
      </c>
      <c r="D10863" s="6">
        <f t="shared" si="170"/>
        <v>0</v>
      </c>
    </row>
    <row r="10864" spans="3:4" ht="15" x14ac:dyDescent="0.25">
      <c r="C10864" s="8" t="e">
        <f>VLOOKUP(A:A,'ITEM LIST'!A:C,3,0)</f>
        <v>#N/A</v>
      </c>
      <c r="D10864" s="6">
        <f t="shared" si="170"/>
        <v>0</v>
      </c>
    </row>
    <row r="10865" spans="3:4" ht="15" x14ac:dyDescent="0.25">
      <c r="C10865" s="8" t="e">
        <f>VLOOKUP(A:A,'ITEM LIST'!A:C,3,0)</f>
        <v>#N/A</v>
      </c>
      <c r="D10865" s="6">
        <f t="shared" si="170"/>
        <v>0</v>
      </c>
    </row>
    <row r="10866" spans="3:4" ht="15" x14ac:dyDescent="0.25">
      <c r="C10866" s="8" t="e">
        <f>VLOOKUP(A:A,'ITEM LIST'!A:C,3,0)</f>
        <v>#N/A</v>
      </c>
      <c r="D10866" s="6">
        <f t="shared" si="170"/>
        <v>0</v>
      </c>
    </row>
    <row r="10867" spans="3:4" ht="15" x14ac:dyDescent="0.25">
      <c r="C10867" s="8" t="e">
        <f>VLOOKUP(A:A,'ITEM LIST'!A:C,3,0)</f>
        <v>#N/A</v>
      </c>
      <c r="D10867" s="6">
        <f t="shared" si="170"/>
        <v>0</v>
      </c>
    </row>
    <row r="10868" spans="3:4" ht="15" x14ac:dyDescent="0.25">
      <c r="C10868" s="8" t="e">
        <f>VLOOKUP(A:A,'ITEM LIST'!A:C,3,0)</f>
        <v>#N/A</v>
      </c>
      <c r="D10868" s="6">
        <f t="shared" si="170"/>
        <v>0</v>
      </c>
    </row>
    <row r="10869" spans="3:4" ht="15" x14ac:dyDescent="0.25">
      <c r="C10869" s="8" t="e">
        <f>VLOOKUP(A:A,'ITEM LIST'!A:C,3,0)</f>
        <v>#N/A</v>
      </c>
      <c r="D10869" s="6">
        <f t="shared" si="170"/>
        <v>0</v>
      </c>
    </row>
    <row r="10870" spans="3:4" ht="15" x14ac:dyDescent="0.25">
      <c r="C10870" s="8" t="e">
        <f>VLOOKUP(A:A,'ITEM LIST'!A:C,3,0)</f>
        <v>#N/A</v>
      </c>
      <c r="D10870" s="6">
        <f t="shared" si="170"/>
        <v>0</v>
      </c>
    </row>
    <row r="10871" spans="3:4" ht="15" x14ac:dyDescent="0.25">
      <c r="C10871" s="8" t="e">
        <f>VLOOKUP(A:A,'ITEM LIST'!A:C,3,0)</f>
        <v>#N/A</v>
      </c>
      <c r="D10871" s="6">
        <f t="shared" si="170"/>
        <v>0</v>
      </c>
    </row>
    <row r="10872" spans="3:4" ht="15" x14ac:dyDescent="0.25">
      <c r="C10872" s="8" t="e">
        <f>VLOOKUP(A:A,'ITEM LIST'!A:C,3,0)</f>
        <v>#N/A</v>
      </c>
      <c r="D10872" s="6">
        <f t="shared" si="170"/>
        <v>0</v>
      </c>
    </row>
    <row r="10873" spans="3:4" ht="15" x14ac:dyDescent="0.25">
      <c r="C10873" s="8" t="e">
        <f>VLOOKUP(A:A,'ITEM LIST'!A:C,3,0)</f>
        <v>#N/A</v>
      </c>
      <c r="D10873" s="6">
        <f t="shared" si="170"/>
        <v>0</v>
      </c>
    </row>
    <row r="10874" spans="3:4" ht="15" x14ac:dyDescent="0.25">
      <c r="C10874" s="8" t="e">
        <f>VLOOKUP(A:A,'ITEM LIST'!A:C,3,0)</f>
        <v>#N/A</v>
      </c>
      <c r="D10874" s="6">
        <f t="shared" si="170"/>
        <v>0</v>
      </c>
    </row>
    <row r="10875" spans="3:4" ht="15" x14ac:dyDescent="0.25">
      <c r="C10875" s="8" t="e">
        <f>VLOOKUP(A:A,'ITEM LIST'!A:C,3,0)</f>
        <v>#N/A</v>
      </c>
      <c r="D10875" s="6">
        <f t="shared" si="170"/>
        <v>0</v>
      </c>
    </row>
    <row r="10876" spans="3:4" ht="15" x14ac:dyDescent="0.25">
      <c r="C10876" s="8" t="e">
        <f>VLOOKUP(A:A,'ITEM LIST'!A:C,3,0)</f>
        <v>#N/A</v>
      </c>
      <c r="D10876" s="6">
        <f t="shared" si="170"/>
        <v>0</v>
      </c>
    </row>
    <row r="10877" spans="3:4" ht="15" x14ac:dyDescent="0.25">
      <c r="C10877" s="8" t="e">
        <f>VLOOKUP(A:A,'ITEM LIST'!A:C,3,0)</f>
        <v>#N/A</v>
      </c>
      <c r="D10877" s="6">
        <f t="shared" si="170"/>
        <v>0</v>
      </c>
    </row>
    <row r="10878" spans="3:4" ht="15" x14ac:dyDescent="0.25">
      <c r="C10878" s="8" t="e">
        <f>VLOOKUP(A:A,'ITEM LIST'!A:C,3,0)</f>
        <v>#N/A</v>
      </c>
      <c r="D10878" s="6">
        <f t="shared" si="170"/>
        <v>0</v>
      </c>
    </row>
    <row r="10879" spans="3:4" ht="15" x14ac:dyDescent="0.25">
      <c r="C10879" s="8" t="e">
        <f>VLOOKUP(A:A,'ITEM LIST'!A:C,3,0)</f>
        <v>#N/A</v>
      </c>
      <c r="D10879" s="6">
        <f t="shared" si="170"/>
        <v>0</v>
      </c>
    </row>
    <row r="10880" spans="3:4" ht="15" x14ac:dyDescent="0.25">
      <c r="C10880" s="8" t="e">
        <f>VLOOKUP(A:A,'ITEM LIST'!A:C,3,0)</f>
        <v>#N/A</v>
      </c>
      <c r="D10880" s="6">
        <f t="shared" si="170"/>
        <v>0</v>
      </c>
    </row>
    <row r="10881" spans="3:4" ht="15" x14ac:dyDescent="0.25">
      <c r="C10881" s="8" t="e">
        <f>VLOOKUP(A:A,'ITEM LIST'!A:C,3,0)</f>
        <v>#N/A</v>
      </c>
      <c r="D10881" s="6">
        <f t="shared" si="170"/>
        <v>0</v>
      </c>
    </row>
    <row r="10882" spans="3:4" ht="15" x14ac:dyDescent="0.25">
      <c r="C10882" s="8" t="e">
        <f>VLOOKUP(A:A,'ITEM LIST'!A:C,3,0)</f>
        <v>#N/A</v>
      </c>
      <c r="D10882" s="6">
        <f t="shared" si="170"/>
        <v>0</v>
      </c>
    </row>
    <row r="10883" spans="3:4" ht="15" x14ac:dyDescent="0.25">
      <c r="C10883" s="8" t="e">
        <f>VLOOKUP(A:A,'ITEM LIST'!A:C,3,0)</f>
        <v>#N/A</v>
      </c>
      <c r="D10883" s="6">
        <f t="shared" si="170"/>
        <v>0</v>
      </c>
    </row>
    <row r="10884" spans="3:4" ht="15" x14ac:dyDescent="0.25">
      <c r="C10884" s="8" t="e">
        <f>VLOOKUP(A:A,'ITEM LIST'!A:C,3,0)</f>
        <v>#N/A</v>
      </c>
      <c r="D10884" s="6">
        <f t="shared" si="170"/>
        <v>0</v>
      </c>
    </row>
    <row r="10885" spans="3:4" ht="15" x14ac:dyDescent="0.25">
      <c r="C10885" s="8" t="e">
        <f>VLOOKUP(A:A,'ITEM LIST'!A:C,3,0)</f>
        <v>#N/A</v>
      </c>
      <c r="D10885" s="6">
        <f t="shared" si="170"/>
        <v>0</v>
      </c>
    </row>
    <row r="10886" spans="3:4" ht="15" x14ac:dyDescent="0.25">
      <c r="C10886" s="8" t="e">
        <f>VLOOKUP(A:A,'ITEM LIST'!A:C,3,0)</f>
        <v>#N/A</v>
      </c>
      <c r="D10886" s="6">
        <f t="shared" ref="D10886:D10949" si="171">B10886</f>
        <v>0</v>
      </c>
    </row>
    <row r="10887" spans="3:4" ht="15" x14ac:dyDescent="0.25">
      <c r="C10887" s="8" t="e">
        <f>VLOOKUP(A:A,'ITEM LIST'!A:C,3,0)</f>
        <v>#N/A</v>
      </c>
      <c r="D10887" s="6">
        <f t="shared" si="171"/>
        <v>0</v>
      </c>
    </row>
    <row r="10888" spans="3:4" ht="15" x14ac:dyDescent="0.25">
      <c r="C10888" s="8" t="e">
        <f>VLOOKUP(A:A,'ITEM LIST'!A:C,3,0)</f>
        <v>#N/A</v>
      </c>
      <c r="D10888" s="6">
        <f t="shared" si="171"/>
        <v>0</v>
      </c>
    </row>
    <row r="10889" spans="3:4" ht="15" x14ac:dyDescent="0.25">
      <c r="C10889" s="8" t="e">
        <f>VLOOKUP(A:A,'ITEM LIST'!A:C,3,0)</f>
        <v>#N/A</v>
      </c>
      <c r="D10889" s="6">
        <f t="shared" si="171"/>
        <v>0</v>
      </c>
    </row>
    <row r="10890" spans="3:4" ht="15" x14ac:dyDescent="0.25">
      <c r="C10890" s="8" t="e">
        <f>VLOOKUP(A:A,'ITEM LIST'!A:C,3,0)</f>
        <v>#N/A</v>
      </c>
      <c r="D10890" s="6">
        <f t="shared" si="171"/>
        <v>0</v>
      </c>
    </row>
    <row r="10891" spans="3:4" ht="15" x14ac:dyDescent="0.25">
      <c r="C10891" s="8" t="e">
        <f>VLOOKUP(A:A,'ITEM LIST'!A:C,3,0)</f>
        <v>#N/A</v>
      </c>
      <c r="D10891" s="6">
        <f t="shared" si="171"/>
        <v>0</v>
      </c>
    </row>
    <row r="10892" spans="3:4" ht="15" x14ac:dyDescent="0.25">
      <c r="C10892" s="8" t="e">
        <f>VLOOKUP(A:A,'ITEM LIST'!A:C,3,0)</f>
        <v>#N/A</v>
      </c>
      <c r="D10892" s="6">
        <f t="shared" si="171"/>
        <v>0</v>
      </c>
    </row>
    <row r="10893" spans="3:4" ht="15" x14ac:dyDescent="0.25">
      <c r="C10893" s="8" t="e">
        <f>VLOOKUP(A:A,'ITEM LIST'!A:C,3,0)</f>
        <v>#N/A</v>
      </c>
      <c r="D10893" s="6">
        <f t="shared" si="171"/>
        <v>0</v>
      </c>
    </row>
    <row r="10894" spans="3:4" ht="15" x14ac:dyDescent="0.25">
      <c r="C10894" s="8" t="e">
        <f>VLOOKUP(A:A,'ITEM LIST'!A:C,3,0)</f>
        <v>#N/A</v>
      </c>
      <c r="D10894" s="6">
        <f t="shared" si="171"/>
        <v>0</v>
      </c>
    </row>
    <row r="10895" spans="3:4" ht="15" x14ac:dyDescent="0.25">
      <c r="C10895" s="8" t="e">
        <f>VLOOKUP(A:A,'ITEM LIST'!A:C,3,0)</f>
        <v>#N/A</v>
      </c>
      <c r="D10895" s="6">
        <f t="shared" si="171"/>
        <v>0</v>
      </c>
    </row>
    <row r="10896" spans="3:4" ht="15" x14ac:dyDescent="0.25">
      <c r="C10896" s="8" t="e">
        <f>VLOOKUP(A:A,'ITEM LIST'!A:C,3,0)</f>
        <v>#N/A</v>
      </c>
      <c r="D10896" s="6">
        <f t="shared" si="171"/>
        <v>0</v>
      </c>
    </row>
    <row r="10897" spans="3:4" ht="15" x14ac:dyDescent="0.25">
      <c r="C10897" s="8" t="e">
        <f>VLOOKUP(A:A,'ITEM LIST'!A:C,3,0)</f>
        <v>#N/A</v>
      </c>
      <c r="D10897" s="6">
        <f t="shared" si="171"/>
        <v>0</v>
      </c>
    </row>
    <row r="10898" spans="3:4" ht="15" x14ac:dyDescent="0.25">
      <c r="C10898" s="8" t="e">
        <f>VLOOKUP(A:A,'ITEM LIST'!A:C,3,0)</f>
        <v>#N/A</v>
      </c>
      <c r="D10898" s="6">
        <f t="shared" si="171"/>
        <v>0</v>
      </c>
    </row>
    <row r="10899" spans="3:4" ht="15" x14ac:dyDescent="0.25">
      <c r="C10899" s="8" t="e">
        <f>VLOOKUP(A:A,'ITEM LIST'!A:C,3,0)</f>
        <v>#N/A</v>
      </c>
      <c r="D10899" s="6">
        <f t="shared" si="171"/>
        <v>0</v>
      </c>
    </row>
    <row r="10900" spans="3:4" ht="15" x14ac:dyDescent="0.25">
      <c r="C10900" s="8" t="e">
        <f>VLOOKUP(A:A,'ITEM LIST'!A:C,3,0)</f>
        <v>#N/A</v>
      </c>
      <c r="D10900" s="6">
        <f t="shared" si="171"/>
        <v>0</v>
      </c>
    </row>
    <row r="10901" spans="3:4" ht="15" x14ac:dyDescent="0.25">
      <c r="C10901" s="8" t="e">
        <f>VLOOKUP(A:A,'ITEM LIST'!A:C,3,0)</f>
        <v>#N/A</v>
      </c>
      <c r="D10901" s="6">
        <f t="shared" si="171"/>
        <v>0</v>
      </c>
    </row>
    <row r="10902" spans="3:4" ht="15" x14ac:dyDescent="0.25">
      <c r="C10902" s="8" t="e">
        <f>VLOOKUP(A:A,'ITEM LIST'!A:C,3,0)</f>
        <v>#N/A</v>
      </c>
      <c r="D10902" s="6">
        <f t="shared" si="171"/>
        <v>0</v>
      </c>
    </row>
    <row r="10903" spans="3:4" ht="15" x14ac:dyDescent="0.25">
      <c r="C10903" s="8" t="e">
        <f>VLOOKUP(A:A,'ITEM LIST'!A:C,3,0)</f>
        <v>#N/A</v>
      </c>
      <c r="D10903" s="6">
        <f t="shared" si="171"/>
        <v>0</v>
      </c>
    </row>
    <row r="10904" spans="3:4" ht="15" x14ac:dyDescent="0.25">
      <c r="C10904" s="8" t="e">
        <f>VLOOKUP(A:A,'ITEM LIST'!A:C,3,0)</f>
        <v>#N/A</v>
      </c>
      <c r="D10904" s="6">
        <f t="shared" si="171"/>
        <v>0</v>
      </c>
    </row>
    <row r="10905" spans="3:4" ht="15" x14ac:dyDescent="0.25">
      <c r="C10905" s="8" t="e">
        <f>VLOOKUP(A:A,'ITEM LIST'!A:C,3,0)</f>
        <v>#N/A</v>
      </c>
      <c r="D10905" s="6">
        <f t="shared" si="171"/>
        <v>0</v>
      </c>
    </row>
    <row r="10906" spans="3:4" ht="15" x14ac:dyDescent="0.25">
      <c r="C10906" s="8" t="e">
        <f>VLOOKUP(A:A,'ITEM LIST'!A:C,3,0)</f>
        <v>#N/A</v>
      </c>
      <c r="D10906" s="6">
        <f t="shared" si="171"/>
        <v>0</v>
      </c>
    </row>
    <row r="10907" spans="3:4" ht="15" x14ac:dyDescent="0.25">
      <c r="C10907" s="8" t="e">
        <f>VLOOKUP(A:A,'ITEM LIST'!A:C,3,0)</f>
        <v>#N/A</v>
      </c>
      <c r="D10907" s="6">
        <f t="shared" si="171"/>
        <v>0</v>
      </c>
    </row>
    <row r="10908" spans="3:4" ht="15" x14ac:dyDescent="0.25">
      <c r="C10908" s="8" t="e">
        <f>VLOOKUP(A:A,'ITEM LIST'!A:C,3,0)</f>
        <v>#N/A</v>
      </c>
      <c r="D10908" s="6">
        <f t="shared" si="171"/>
        <v>0</v>
      </c>
    </row>
    <row r="10909" spans="3:4" ht="15" x14ac:dyDescent="0.25">
      <c r="C10909" s="8" t="e">
        <f>VLOOKUP(A:A,'ITEM LIST'!A:C,3,0)</f>
        <v>#N/A</v>
      </c>
      <c r="D10909" s="6">
        <f t="shared" si="171"/>
        <v>0</v>
      </c>
    </row>
    <row r="10910" spans="3:4" ht="15" x14ac:dyDescent="0.25">
      <c r="C10910" s="8" t="e">
        <f>VLOOKUP(A:A,'ITEM LIST'!A:C,3,0)</f>
        <v>#N/A</v>
      </c>
      <c r="D10910" s="6">
        <f t="shared" si="171"/>
        <v>0</v>
      </c>
    </row>
    <row r="10911" spans="3:4" ht="15" x14ac:dyDescent="0.25">
      <c r="C10911" s="8" t="e">
        <f>VLOOKUP(A:A,'ITEM LIST'!A:C,3,0)</f>
        <v>#N/A</v>
      </c>
      <c r="D10911" s="6">
        <f t="shared" si="171"/>
        <v>0</v>
      </c>
    </row>
    <row r="10912" spans="3:4" ht="15" x14ac:dyDescent="0.25">
      <c r="C10912" s="8" t="e">
        <f>VLOOKUP(A:A,'ITEM LIST'!A:C,3,0)</f>
        <v>#N/A</v>
      </c>
      <c r="D10912" s="6">
        <f t="shared" si="171"/>
        <v>0</v>
      </c>
    </row>
    <row r="10913" spans="3:4" ht="15" x14ac:dyDescent="0.25">
      <c r="C10913" s="8" t="e">
        <f>VLOOKUP(A:A,'ITEM LIST'!A:C,3,0)</f>
        <v>#N/A</v>
      </c>
      <c r="D10913" s="6">
        <f t="shared" si="171"/>
        <v>0</v>
      </c>
    </row>
    <row r="10914" spans="3:4" ht="15" x14ac:dyDescent="0.25">
      <c r="C10914" s="8" t="e">
        <f>VLOOKUP(A:A,'ITEM LIST'!A:C,3,0)</f>
        <v>#N/A</v>
      </c>
      <c r="D10914" s="6">
        <f t="shared" si="171"/>
        <v>0</v>
      </c>
    </row>
    <row r="10915" spans="3:4" ht="15" x14ac:dyDescent="0.25">
      <c r="C10915" s="8" t="e">
        <f>VLOOKUP(A:A,'ITEM LIST'!A:C,3,0)</f>
        <v>#N/A</v>
      </c>
      <c r="D10915" s="6">
        <f t="shared" si="171"/>
        <v>0</v>
      </c>
    </row>
    <row r="10916" spans="3:4" ht="15" x14ac:dyDescent="0.25">
      <c r="C10916" s="8" t="e">
        <f>VLOOKUP(A:A,'ITEM LIST'!A:C,3,0)</f>
        <v>#N/A</v>
      </c>
      <c r="D10916" s="6">
        <f t="shared" si="171"/>
        <v>0</v>
      </c>
    </row>
    <row r="10917" spans="3:4" ht="15" x14ac:dyDescent="0.25">
      <c r="C10917" s="8" t="e">
        <f>VLOOKUP(A:A,'ITEM LIST'!A:C,3,0)</f>
        <v>#N/A</v>
      </c>
      <c r="D10917" s="6">
        <f t="shared" si="171"/>
        <v>0</v>
      </c>
    </row>
    <row r="10918" spans="3:4" ht="15" x14ac:dyDescent="0.25">
      <c r="C10918" s="8" t="e">
        <f>VLOOKUP(A:A,'ITEM LIST'!A:C,3,0)</f>
        <v>#N/A</v>
      </c>
      <c r="D10918" s="6">
        <f t="shared" si="171"/>
        <v>0</v>
      </c>
    </row>
    <row r="10919" spans="3:4" ht="15" x14ac:dyDescent="0.25">
      <c r="C10919" s="8" t="e">
        <f>VLOOKUP(A:A,'ITEM LIST'!A:C,3,0)</f>
        <v>#N/A</v>
      </c>
      <c r="D10919" s="6">
        <f t="shared" si="171"/>
        <v>0</v>
      </c>
    </row>
    <row r="10920" spans="3:4" ht="15" x14ac:dyDescent="0.25">
      <c r="C10920" s="8" t="e">
        <f>VLOOKUP(A:A,'ITEM LIST'!A:C,3,0)</f>
        <v>#N/A</v>
      </c>
      <c r="D10920" s="6">
        <f t="shared" si="171"/>
        <v>0</v>
      </c>
    </row>
    <row r="10921" spans="3:4" ht="15" x14ac:dyDescent="0.25">
      <c r="C10921" s="8" t="e">
        <f>VLOOKUP(A:A,'ITEM LIST'!A:C,3,0)</f>
        <v>#N/A</v>
      </c>
      <c r="D10921" s="6">
        <f t="shared" si="171"/>
        <v>0</v>
      </c>
    </row>
    <row r="10922" spans="3:4" ht="15" x14ac:dyDescent="0.25">
      <c r="C10922" s="8" t="e">
        <f>VLOOKUP(A:A,'ITEM LIST'!A:C,3,0)</f>
        <v>#N/A</v>
      </c>
      <c r="D10922" s="6">
        <f t="shared" si="171"/>
        <v>0</v>
      </c>
    </row>
    <row r="10923" spans="3:4" ht="15" x14ac:dyDescent="0.25">
      <c r="C10923" s="8" t="e">
        <f>VLOOKUP(A:A,'ITEM LIST'!A:C,3,0)</f>
        <v>#N/A</v>
      </c>
      <c r="D10923" s="6">
        <f t="shared" si="171"/>
        <v>0</v>
      </c>
    </row>
    <row r="10924" spans="3:4" ht="15" x14ac:dyDescent="0.25">
      <c r="C10924" s="8" t="e">
        <f>VLOOKUP(A:A,'ITEM LIST'!A:C,3,0)</f>
        <v>#N/A</v>
      </c>
      <c r="D10924" s="6">
        <f t="shared" si="171"/>
        <v>0</v>
      </c>
    </row>
    <row r="10925" spans="3:4" ht="15" x14ac:dyDescent="0.25">
      <c r="C10925" s="8" t="e">
        <f>VLOOKUP(A:A,'ITEM LIST'!A:C,3,0)</f>
        <v>#N/A</v>
      </c>
      <c r="D10925" s="6">
        <f t="shared" si="171"/>
        <v>0</v>
      </c>
    </row>
    <row r="10926" spans="3:4" ht="15" x14ac:dyDescent="0.25">
      <c r="C10926" s="8" t="e">
        <f>VLOOKUP(A:A,'ITEM LIST'!A:C,3,0)</f>
        <v>#N/A</v>
      </c>
      <c r="D10926" s="6">
        <f t="shared" si="171"/>
        <v>0</v>
      </c>
    </row>
    <row r="10927" spans="3:4" ht="15" x14ac:dyDescent="0.25">
      <c r="C10927" s="8" t="e">
        <f>VLOOKUP(A:A,'ITEM LIST'!A:C,3,0)</f>
        <v>#N/A</v>
      </c>
      <c r="D10927" s="6">
        <f t="shared" si="171"/>
        <v>0</v>
      </c>
    </row>
    <row r="10928" spans="3:4" ht="15" x14ac:dyDescent="0.25">
      <c r="C10928" s="8" t="e">
        <f>VLOOKUP(A:A,'ITEM LIST'!A:C,3,0)</f>
        <v>#N/A</v>
      </c>
      <c r="D10928" s="6">
        <f t="shared" si="171"/>
        <v>0</v>
      </c>
    </row>
    <row r="10929" spans="3:4" ht="15" x14ac:dyDescent="0.25">
      <c r="C10929" s="8" t="e">
        <f>VLOOKUP(A:A,'ITEM LIST'!A:C,3,0)</f>
        <v>#N/A</v>
      </c>
      <c r="D10929" s="6">
        <f t="shared" si="171"/>
        <v>0</v>
      </c>
    </row>
    <row r="10930" spans="3:4" ht="15" x14ac:dyDescent="0.25">
      <c r="C10930" s="8" t="e">
        <f>VLOOKUP(A:A,'ITEM LIST'!A:C,3,0)</f>
        <v>#N/A</v>
      </c>
      <c r="D10930" s="6">
        <f t="shared" si="171"/>
        <v>0</v>
      </c>
    </row>
    <row r="10931" spans="3:4" ht="15" x14ac:dyDescent="0.25">
      <c r="C10931" s="8" t="e">
        <f>VLOOKUP(A:A,'ITEM LIST'!A:C,3,0)</f>
        <v>#N/A</v>
      </c>
      <c r="D10931" s="6">
        <f t="shared" si="171"/>
        <v>0</v>
      </c>
    </row>
    <row r="10932" spans="3:4" ht="15" x14ac:dyDescent="0.25">
      <c r="C10932" s="8" t="e">
        <f>VLOOKUP(A:A,'ITEM LIST'!A:C,3,0)</f>
        <v>#N/A</v>
      </c>
      <c r="D10932" s="6">
        <f t="shared" si="171"/>
        <v>0</v>
      </c>
    </row>
    <row r="10933" spans="3:4" ht="15" x14ac:dyDescent="0.25">
      <c r="C10933" s="8" t="e">
        <f>VLOOKUP(A:A,'ITEM LIST'!A:C,3,0)</f>
        <v>#N/A</v>
      </c>
      <c r="D10933" s="6">
        <f t="shared" si="171"/>
        <v>0</v>
      </c>
    </row>
    <row r="10934" spans="3:4" ht="15" x14ac:dyDescent="0.25">
      <c r="C10934" s="8" t="e">
        <f>VLOOKUP(A:A,'ITEM LIST'!A:C,3,0)</f>
        <v>#N/A</v>
      </c>
      <c r="D10934" s="6">
        <f t="shared" si="171"/>
        <v>0</v>
      </c>
    </row>
    <row r="10935" spans="3:4" ht="15" x14ac:dyDescent="0.25">
      <c r="C10935" s="8" t="e">
        <f>VLOOKUP(A:A,'ITEM LIST'!A:C,3,0)</f>
        <v>#N/A</v>
      </c>
      <c r="D10935" s="6">
        <f t="shared" si="171"/>
        <v>0</v>
      </c>
    </row>
    <row r="10936" spans="3:4" ht="15" x14ac:dyDescent="0.25">
      <c r="C10936" s="8" t="e">
        <f>VLOOKUP(A:A,'ITEM LIST'!A:C,3,0)</f>
        <v>#N/A</v>
      </c>
      <c r="D10936" s="6">
        <f t="shared" si="171"/>
        <v>0</v>
      </c>
    </row>
    <row r="10937" spans="3:4" ht="15" x14ac:dyDescent="0.25">
      <c r="C10937" s="8" t="e">
        <f>VLOOKUP(A:A,'ITEM LIST'!A:C,3,0)</f>
        <v>#N/A</v>
      </c>
      <c r="D10937" s="6">
        <f t="shared" si="171"/>
        <v>0</v>
      </c>
    </row>
    <row r="10938" spans="3:4" ht="15" x14ac:dyDescent="0.25">
      <c r="C10938" s="8" t="e">
        <f>VLOOKUP(A:A,'ITEM LIST'!A:C,3,0)</f>
        <v>#N/A</v>
      </c>
      <c r="D10938" s="6">
        <f t="shared" si="171"/>
        <v>0</v>
      </c>
    </row>
    <row r="10939" spans="3:4" ht="15" x14ac:dyDescent="0.25">
      <c r="C10939" s="8" t="e">
        <f>VLOOKUP(A:A,'ITEM LIST'!A:C,3,0)</f>
        <v>#N/A</v>
      </c>
      <c r="D10939" s="6">
        <f t="shared" si="171"/>
        <v>0</v>
      </c>
    </row>
    <row r="10940" spans="3:4" ht="15" x14ac:dyDescent="0.25">
      <c r="C10940" s="8" t="e">
        <f>VLOOKUP(A:A,'ITEM LIST'!A:C,3,0)</f>
        <v>#N/A</v>
      </c>
      <c r="D10940" s="6">
        <f t="shared" si="171"/>
        <v>0</v>
      </c>
    </row>
    <row r="10941" spans="3:4" ht="15" x14ac:dyDescent="0.25">
      <c r="C10941" s="8" t="e">
        <f>VLOOKUP(A:A,'ITEM LIST'!A:C,3,0)</f>
        <v>#N/A</v>
      </c>
      <c r="D10941" s="6">
        <f t="shared" si="171"/>
        <v>0</v>
      </c>
    </row>
    <row r="10942" spans="3:4" ht="15" x14ac:dyDescent="0.25">
      <c r="C10942" s="8" t="e">
        <f>VLOOKUP(A:A,'ITEM LIST'!A:C,3,0)</f>
        <v>#N/A</v>
      </c>
      <c r="D10942" s="6">
        <f t="shared" si="171"/>
        <v>0</v>
      </c>
    </row>
    <row r="10943" spans="3:4" ht="15" x14ac:dyDescent="0.25">
      <c r="C10943" s="8" t="e">
        <f>VLOOKUP(A:A,'ITEM LIST'!A:C,3,0)</f>
        <v>#N/A</v>
      </c>
      <c r="D10943" s="6">
        <f t="shared" si="171"/>
        <v>0</v>
      </c>
    </row>
    <row r="10944" spans="3:4" ht="15" x14ac:dyDescent="0.25">
      <c r="C10944" s="8" t="e">
        <f>VLOOKUP(A:A,'ITEM LIST'!A:C,3,0)</f>
        <v>#N/A</v>
      </c>
      <c r="D10944" s="6">
        <f t="shared" si="171"/>
        <v>0</v>
      </c>
    </row>
    <row r="10945" spans="3:4" ht="15" x14ac:dyDescent="0.25">
      <c r="C10945" s="8" t="e">
        <f>VLOOKUP(A:A,'ITEM LIST'!A:C,3,0)</f>
        <v>#N/A</v>
      </c>
      <c r="D10945" s="6">
        <f t="shared" si="171"/>
        <v>0</v>
      </c>
    </row>
    <row r="10946" spans="3:4" ht="15" x14ac:dyDescent="0.25">
      <c r="C10946" s="8" t="e">
        <f>VLOOKUP(A:A,'ITEM LIST'!A:C,3,0)</f>
        <v>#N/A</v>
      </c>
      <c r="D10946" s="6">
        <f t="shared" si="171"/>
        <v>0</v>
      </c>
    </row>
    <row r="10947" spans="3:4" ht="15" x14ac:dyDescent="0.25">
      <c r="C10947" s="8" t="e">
        <f>VLOOKUP(A:A,'ITEM LIST'!A:C,3,0)</f>
        <v>#N/A</v>
      </c>
      <c r="D10947" s="6">
        <f t="shared" si="171"/>
        <v>0</v>
      </c>
    </row>
    <row r="10948" spans="3:4" ht="15" x14ac:dyDescent="0.25">
      <c r="C10948" s="8" t="e">
        <f>VLOOKUP(A:A,'ITEM LIST'!A:C,3,0)</f>
        <v>#N/A</v>
      </c>
      <c r="D10948" s="6">
        <f t="shared" si="171"/>
        <v>0</v>
      </c>
    </row>
    <row r="10949" spans="3:4" ht="15" x14ac:dyDescent="0.25">
      <c r="C10949" s="8" t="e">
        <f>VLOOKUP(A:A,'ITEM LIST'!A:C,3,0)</f>
        <v>#N/A</v>
      </c>
      <c r="D10949" s="6">
        <f t="shared" si="171"/>
        <v>0</v>
      </c>
    </row>
    <row r="10950" spans="3:4" ht="15" x14ac:dyDescent="0.25">
      <c r="C10950" s="8" t="e">
        <f>VLOOKUP(A:A,'ITEM LIST'!A:C,3,0)</f>
        <v>#N/A</v>
      </c>
      <c r="D10950" s="6">
        <f t="shared" ref="D10950:D11013" si="172">B10950</f>
        <v>0</v>
      </c>
    </row>
    <row r="10951" spans="3:4" ht="15" x14ac:dyDescent="0.25">
      <c r="C10951" s="8" t="e">
        <f>VLOOKUP(A:A,'ITEM LIST'!A:C,3,0)</f>
        <v>#N/A</v>
      </c>
      <c r="D10951" s="6">
        <f t="shared" si="172"/>
        <v>0</v>
      </c>
    </row>
    <row r="10952" spans="3:4" ht="15" x14ac:dyDescent="0.25">
      <c r="C10952" s="8" t="e">
        <f>VLOOKUP(A:A,'ITEM LIST'!A:C,3,0)</f>
        <v>#N/A</v>
      </c>
      <c r="D10952" s="6">
        <f t="shared" si="172"/>
        <v>0</v>
      </c>
    </row>
    <row r="10953" spans="3:4" ht="15" x14ac:dyDescent="0.25">
      <c r="C10953" s="8" t="e">
        <f>VLOOKUP(A:A,'ITEM LIST'!A:C,3,0)</f>
        <v>#N/A</v>
      </c>
      <c r="D10953" s="6">
        <f t="shared" si="172"/>
        <v>0</v>
      </c>
    </row>
    <row r="10954" spans="3:4" ht="15" x14ac:dyDescent="0.25">
      <c r="C10954" s="8" t="e">
        <f>VLOOKUP(A:A,'ITEM LIST'!A:C,3,0)</f>
        <v>#N/A</v>
      </c>
      <c r="D10954" s="6">
        <f t="shared" si="172"/>
        <v>0</v>
      </c>
    </row>
    <row r="10955" spans="3:4" ht="15" x14ac:dyDescent="0.25">
      <c r="C10955" s="8" t="e">
        <f>VLOOKUP(A:A,'ITEM LIST'!A:C,3,0)</f>
        <v>#N/A</v>
      </c>
      <c r="D10955" s="6">
        <f t="shared" si="172"/>
        <v>0</v>
      </c>
    </row>
    <row r="10956" spans="3:4" ht="15" x14ac:dyDescent="0.25">
      <c r="C10956" s="8" t="e">
        <f>VLOOKUP(A:A,'ITEM LIST'!A:C,3,0)</f>
        <v>#N/A</v>
      </c>
      <c r="D10956" s="6">
        <f t="shared" si="172"/>
        <v>0</v>
      </c>
    </row>
    <row r="10957" spans="3:4" ht="15" x14ac:dyDescent="0.25">
      <c r="C10957" s="8" t="e">
        <f>VLOOKUP(A:A,'ITEM LIST'!A:C,3,0)</f>
        <v>#N/A</v>
      </c>
      <c r="D10957" s="6">
        <f t="shared" si="172"/>
        <v>0</v>
      </c>
    </row>
    <row r="10958" spans="3:4" ht="15" x14ac:dyDescent="0.25">
      <c r="C10958" s="8" t="e">
        <f>VLOOKUP(A:A,'ITEM LIST'!A:C,3,0)</f>
        <v>#N/A</v>
      </c>
      <c r="D10958" s="6">
        <f t="shared" si="172"/>
        <v>0</v>
      </c>
    </row>
    <row r="10959" spans="3:4" ht="15" x14ac:dyDescent="0.25">
      <c r="C10959" s="8" t="e">
        <f>VLOOKUP(A:A,'ITEM LIST'!A:C,3,0)</f>
        <v>#N/A</v>
      </c>
      <c r="D10959" s="6">
        <f t="shared" si="172"/>
        <v>0</v>
      </c>
    </row>
    <row r="10960" spans="3:4" ht="15" x14ac:dyDescent="0.25">
      <c r="C10960" s="8" t="e">
        <f>VLOOKUP(A:A,'ITEM LIST'!A:C,3,0)</f>
        <v>#N/A</v>
      </c>
      <c r="D10960" s="6">
        <f t="shared" si="172"/>
        <v>0</v>
      </c>
    </row>
    <row r="10961" spans="3:4" ht="15" x14ac:dyDescent="0.25">
      <c r="C10961" s="8" t="e">
        <f>VLOOKUP(A:A,'ITEM LIST'!A:C,3,0)</f>
        <v>#N/A</v>
      </c>
      <c r="D10961" s="6">
        <f t="shared" si="172"/>
        <v>0</v>
      </c>
    </row>
    <row r="10962" spans="3:4" ht="15" x14ac:dyDescent="0.25">
      <c r="C10962" s="8" t="e">
        <f>VLOOKUP(A:A,'ITEM LIST'!A:C,3,0)</f>
        <v>#N/A</v>
      </c>
      <c r="D10962" s="6">
        <f t="shared" si="172"/>
        <v>0</v>
      </c>
    </row>
    <row r="10963" spans="3:4" ht="15" x14ac:dyDescent="0.25">
      <c r="C10963" s="8" t="e">
        <f>VLOOKUP(A:A,'ITEM LIST'!A:C,3,0)</f>
        <v>#N/A</v>
      </c>
      <c r="D10963" s="6">
        <f t="shared" si="172"/>
        <v>0</v>
      </c>
    </row>
    <row r="10964" spans="3:4" ht="15" x14ac:dyDescent="0.25">
      <c r="C10964" s="8" t="e">
        <f>VLOOKUP(A:A,'ITEM LIST'!A:C,3,0)</f>
        <v>#N/A</v>
      </c>
      <c r="D10964" s="6">
        <f t="shared" si="172"/>
        <v>0</v>
      </c>
    </row>
    <row r="10965" spans="3:4" ht="15" x14ac:dyDescent="0.25">
      <c r="C10965" s="8" t="e">
        <f>VLOOKUP(A:A,'ITEM LIST'!A:C,3,0)</f>
        <v>#N/A</v>
      </c>
      <c r="D10965" s="6">
        <f t="shared" si="172"/>
        <v>0</v>
      </c>
    </row>
    <row r="10966" spans="3:4" ht="15" x14ac:dyDescent="0.25">
      <c r="C10966" s="8" t="e">
        <f>VLOOKUP(A:A,'ITEM LIST'!A:C,3,0)</f>
        <v>#N/A</v>
      </c>
      <c r="D10966" s="6">
        <f t="shared" si="172"/>
        <v>0</v>
      </c>
    </row>
    <row r="10967" spans="3:4" ht="15" x14ac:dyDescent="0.25">
      <c r="C10967" s="8" t="e">
        <f>VLOOKUP(A:A,'ITEM LIST'!A:C,3,0)</f>
        <v>#N/A</v>
      </c>
      <c r="D10967" s="6">
        <f t="shared" si="172"/>
        <v>0</v>
      </c>
    </row>
    <row r="10968" spans="3:4" ht="15" x14ac:dyDescent="0.25">
      <c r="C10968" s="8" t="e">
        <f>VLOOKUP(A:A,'ITEM LIST'!A:C,3,0)</f>
        <v>#N/A</v>
      </c>
      <c r="D10968" s="6">
        <f t="shared" si="172"/>
        <v>0</v>
      </c>
    </row>
    <row r="10969" spans="3:4" ht="15" x14ac:dyDescent="0.25">
      <c r="C10969" s="8" t="e">
        <f>VLOOKUP(A:A,'ITEM LIST'!A:C,3,0)</f>
        <v>#N/A</v>
      </c>
      <c r="D10969" s="6">
        <f t="shared" si="172"/>
        <v>0</v>
      </c>
    </row>
    <row r="10970" spans="3:4" ht="15" x14ac:dyDescent="0.25">
      <c r="C10970" s="8" t="e">
        <f>VLOOKUP(A:A,'ITEM LIST'!A:C,3,0)</f>
        <v>#N/A</v>
      </c>
      <c r="D10970" s="6">
        <f t="shared" si="172"/>
        <v>0</v>
      </c>
    </row>
    <row r="10971" spans="3:4" ht="15" x14ac:dyDescent="0.25">
      <c r="C10971" s="8" t="e">
        <f>VLOOKUP(A:A,'ITEM LIST'!A:C,3,0)</f>
        <v>#N/A</v>
      </c>
      <c r="D10971" s="6">
        <f t="shared" si="172"/>
        <v>0</v>
      </c>
    </row>
    <row r="10972" spans="3:4" ht="15" x14ac:dyDescent="0.25">
      <c r="C10972" s="8" t="e">
        <f>VLOOKUP(A:A,'ITEM LIST'!A:C,3,0)</f>
        <v>#N/A</v>
      </c>
      <c r="D10972" s="6">
        <f t="shared" si="172"/>
        <v>0</v>
      </c>
    </row>
    <row r="10973" spans="3:4" ht="15" x14ac:dyDescent="0.25">
      <c r="C10973" s="8" t="e">
        <f>VLOOKUP(A:A,'ITEM LIST'!A:C,3,0)</f>
        <v>#N/A</v>
      </c>
      <c r="D10973" s="6">
        <f t="shared" si="172"/>
        <v>0</v>
      </c>
    </row>
    <row r="10974" spans="3:4" ht="15" x14ac:dyDescent="0.25">
      <c r="C10974" s="8" t="e">
        <f>VLOOKUP(A:A,'ITEM LIST'!A:C,3,0)</f>
        <v>#N/A</v>
      </c>
      <c r="D10974" s="6">
        <f t="shared" si="172"/>
        <v>0</v>
      </c>
    </row>
    <row r="10975" spans="3:4" ht="15" x14ac:dyDescent="0.25">
      <c r="C10975" s="8" t="e">
        <f>VLOOKUP(A:A,'ITEM LIST'!A:C,3,0)</f>
        <v>#N/A</v>
      </c>
      <c r="D10975" s="6">
        <f t="shared" si="172"/>
        <v>0</v>
      </c>
    </row>
    <row r="10976" spans="3:4" ht="15" x14ac:dyDescent="0.25">
      <c r="C10976" s="8" t="e">
        <f>VLOOKUP(A:A,'ITEM LIST'!A:C,3,0)</f>
        <v>#N/A</v>
      </c>
      <c r="D10976" s="6">
        <f t="shared" si="172"/>
        <v>0</v>
      </c>
    </row>
    <row r="10977" spans="3:4" ht="15" x14ac:dyDescent="0.25">
      <c r="C10977" s="8" t="e">
        <f>VLOOKUP(A:A,'ITEM LIST'!A:C,3,0)</f>
        <v>#N/A</v>
      </c>
      <c r="D10977" s="6">
        <f t="shared" si="172"/>
        <v>0</v>
      </c>
    </row>
    <row r="10978" spans="3:4" ht="15" x14ac:dyDescent="0.25">
      <c r="C10978" s="8" t="e">
        <f>VLOOKUP(A:A,'ITEM LIST'!A:C,3,0)</f>
        <v>#N/A</v>
      </c>
      <c r="D10978" s="6">
        <f t="shared" si="172"/>
        <v>0</v>
      </c>
    </row>
    <row r="10979" spans="3:4" ht="15" x14ac:dyDescent="0.25">
      <c r="C10979" s="8" t="e">
        <f>VLOOKUP(A:A,'ITEM LIST'!A:C,3,0)</f>
        <v>#N/A</v>
      </c>
      <c r="D10979" s="6">
        <f t="shared" si="172"/>
        <v>0</v>
      </c>
    </row>
    <row r="10980" spans="3:4" ht="15" x14ac:dyDescent="0.25">
      <c r="C10980" s="8" t="e">
        <f>VLOOKUP(A:A,'ITEM LIST'!A:C,3,0)</f>
        <v>#N/A</v>
      </c>
      <c r="D10980" s="6">
        <f t="shared" si="172"/>
        <v>0</v>
      </c>
    </row>
    <row r="10981" spans="3:4" ht="15" x14ac:dyDescent="0.25">
      <c r="C10981" s="8" t="e">
        <f>VLOOKUP(A:A,'ITEM LIST'!A:C,3,0)</f>
        <v>#N/A</v>
      </c>
      <c r="D10981" s="6">
        <f t="shared" si="172"/>
        <v>0</v>
      </c>
    </row>
    <row r="10982" spans="3:4" ht="15" x14ac:dyDescent="0.25">
      <c r="C10982" s="8" t="e">
        <f>VLOOKUP(A:A,'ITEM LIST'!A:C,3,0)</f>
        <v>#N/A</v>
      </c>
      <c r="D10982" s="6">
        <f t="shared" si="172"/>
        <v>0</v>
      </c>
    </row>
    <row r="10983" spans="3:4" ht="15" x14ac:dyDescent="0.25">
      <c r="C10983" s="8" t="e">
        <f>VLOOKUP(A:A,'ITEM LIST'!A:C,3,0)</f>
        <v>#N/A</v>
      </c>
      <c r="D10983" s="6">
        <f t="shared" si="172"/>
        <v>0</v>
      </c>
    </row>
    <row r="10984" spans="3:4" ht="15" x14ac:dyDescent="0.25">
      <c r="C10984" s="8" t="e">
        <f>VLOOKUP(A:A,'ITEM LIST'!A:C,3,0)</f>
        <v>#N/A</v>
      </c>
      <c r="D10984" s="6">
        <f t="shared" si="172"/>
        <v>0</v>
      </c>
    </row>
    <row r="10985" spans="3:4" ht="15" x14ac:dyDescent="0.25">
      <c r="C10985" s="8" t="e">
        <f>VLOOKUP(A:A,'ITEM LIST'!A:C,3,0)</f>
        <v>#N/A</v>
      </c>
      <c r="D10985" s="6">
        <f t="shared" si="172"/>
        <v>0</v>
      </c>
    </row>
    <row r="10986" spans="3:4" ht="15" x14ac:dyDescent="0.25">
      <c r="C10986" s="8" t="e">
        <f>VLOOKUP(A:A,'ITEM LIST'!A:C,3,0)</f>
        <v>#N/A</v>
      </c>
      <c r="D10986" s="6">
        <f t="shared" si="172"/>
        <v>0</v>
      </c>
    </row>
    <row r="10987" spans="3:4" ht="15" x14ac:dyDescent="0.25">
      <c r="C10987" s="8" t="e">
        <f>VLOOKUP(A:A,'ITEM LIST'!A:C,3,0)</f>
        <v>#N/A</v>
      </c>
      <c r="D10987" s="6">
        <f t="shared" si="172"/>
        <v>0</v>
      </c>
    </row>
    <row r="10988" spans="3:4" ht="15" x14ac:dyDescent="0.25">
      <c r="C10988" s="8" t="e">
        <f>VLOOKUP(A:A,'ITEM LIST'!A:C,3,0)</f>
        <v>#N/A</v>
      </c>
      <c r="D10988" s="6">
        <f t="shared" si="172"/>
        <v>0</v>
      </c>
    </row>
    <row r="10989" spans="3:4" ht="15" x14ac:dyDescent="0.25">
      <c r="C10989" s="8" t="e">
        <f>VLOOKUP(A:A,'ITEM LIST'!A:C,3,0)</f>
        <v>#N/A</v>
      </c>
      <c r="D10989" s="6">
        <f t="shared" si="172"/>
        <v>0</v>
      </c>
    </row>
    <row r="10990" spans="3:4" ht="15" x14ac:dyDescent="0.25">
      <c r="C10990" s="8" t="e">
        <f>VLOOKUP(A:A,'ITEM LIST'!A:C,3,0)</f>
        <v>#N/A</v>
      </c>
      <c r="D10990" s="6">
        <f t="shared" si="172"/>
        <v>0</v>
      </c>
    </row>
    <row r="10991" spans="3:4" ht="15" x14ac:dyDescent="0.25">
      <c r="C10991" s="8" t="e">
        <f>VLOOKUP(A:A,'ITEM LIST'!A:C,3,0)</f>
        <v>#N/A</v>
      </c>
      <c r="D10991" s="6">
        <f t="shared" si="172"/>
        <v>0</v>
      </c>
    </row>
    <row r="10992" spans="3:4" ht="15" x14ac:dyDescent="0.25">
      <c r="C10992" s="8" t="e">
        <f>VLOOKUP(A:A,'ITEM LIST'!A:C,3,0)</f>
        <v>#N/A</v>
      </c>
      <c r="D10992" s="6">
        <f t="shared" si="172"/>
        <v>0</v>
      </c>
    </row>
    <row r="10993" spans="3:4" ht="15" x14ac:dyDescent="0.25">
      <c r="C10993" s="8" t="e">
        <f>VLOOKUP(A:A,'ITEM LIST'!A:C,3,0)</f>
        <v>#N/A</v>
      </c>
      <c r="D10993" s="6">
        <f t="shared" si="172"/>
        <v>0</v>
      </c>
    </row>
    <row r="10994" spans="3:4" ht="15" x14ac:dyDescent="0.25">
      <c r="C10994" s="8" t="e">
        <f>VLOOKUP(A:A,'ITEM LIST'!A:C,3,0)</f>
        <v>#N/A</v>
      </c>
      <c r="D10994" s="6">
        <f t="shared" si="172"/>
        <v>0</v>
      </c>
    </row>
    <row r="10995" spans="3:4" ht="15" x14ac:dyDescent="0.25">
      <c r="C10995" s="8" t="e">
        <f>VLOOKUP(A:A,'ITEM LIST'!A:C,3,0)</f>
        <v>#N/A</v>
      </c>
      <c r="D10995" s="6">
        <f t="shared" si="172"/>
        <v>0</v>
      </c>
    </row>
    <row r="10996" spans="3:4" ht="15" x14ac:dyDescent="0.25">
      <c r="C10996" s="8" t="e">
        <f>VLOOKUP(A:A,'ITEM LIST'!A:C,3,0)</f>
        <v>#N/A</v>
      </c>
      <c r="D10996" s="6">
        <f t="shared" si="172"/>
        <v>0</v>
      </c>
    </row>
    <row r="10997" spans="3:4" ht="15" x14ac:dyDescent="0.25">
      <c r="C10997" s="8" t="e">
        <f>VLOOKUP(A:A,'ITEM LIST'!A:C,3,0)</f>
        <v>#N/A</v>
      </c>
      <c r="D10997" s="6">
        <f t="shared" si="172"/>
        <v>0</v>
      </c>
    </row>
    <row r="10998" spans="3:4" ht="15" x14ac:dyDescent="0.25">
      <c r="C10998" s="8" t="e">
        <f>VLOOKUP(A:A,'ITEM LIST'!A:C,3,0)</f>
        <v>#N/A</v>
      </c>
      <c r="D10998" s="6">
        <f t="shared" si="172"/>
        <v>0</v>
      </c>
    </row>
    <row r="10999" spans="3:4" ht="15" x14ac:dyDescent="0.25">
      <c r="C10999" s="8" t="e">
        <f>VLOOKUP(A:A,'ITEM LIST'!A:C,3,0)</f>
        <v>#N/A</v>
      </c>
      <c r="D10999" s="6">
        <f t="shared" si="172"/>
        <v>0</v>
      </c>
    </row>
    <row r="11000" spans="3:4" ht="15" x14ac:dyDescent="0.25">
      <c r="C11000" s="8" t="e">
        <f>VLOOKUP(A:A,'ITEM LIST'!A:C,3,0)</f>
        <v>#N/A</v>
      </c>
      <c r="D11000" s="6">
        <f t="shared" si="172"/>
        <v>0</v>
      </c>
    </row>
    <row r="11001" spans="3:4" ht="15" x14ac:dyDescent="0.25">
      <c r="C11001" s="8" t="e">
        <f>VLOOKUP(A:A,'ITEM LIST'!A:C,3,0)</f>
        <v>#N/A</v>
      </c>
      <c r="D11001" s="6">
        <f t="shared" si="172"/>
        <v>0</v>
      </c>
    </row>
    <row r="11002" spans="3:4" ht="15" x14ac:dyDescent="0.25">
      <c r="C11002" s="8" t="e">
        <f>VLOOKUP(A:A,'ITEM LIST'!A:C,3,0)</f>
        <v>#N/A</v>
      </c>
      <c r="D11002" s="6">
        <f t="shared" si="172"/>
        <v>0</v>
      </c>
    </row>
    <row r="11003" spans="3:4" ht="15" x14ac:dyDescent="0.25">
      <c r="C11003" s="8" t="e">
        <f>VLOOKUP(A:A,'ITEM LIST'!A:C,3,0)</f>
        <v>#N/A</v>
      </c>
      <c r="D11003" s="6">
        <f t="shared" si="172"/>
        <v>0</v>
      </c>
    </row>
    <row r="11004" spans="3:4" ht="15" x14ac:dyDescent="0.25">
      <c r="C11004" s="8" t="e">
        <f>VLOOKUP(A:A,'ITEM LIST'!A:C,3,0)</f>
        <v>#N/A</v>
      </c>
      <c r="D11004" s="6">
        <f t="shared" si="172"/>
        <v>0</v>
      </c>
    </row>
    <row r="11005" spans="3:4" ht="15" x14ac:dyDescent="0.25">
      <c r="C11005" s="8" t="e">
        <f>VLOOKUP(A:A,'ITEM LIST'!A:C,3,0)</f>
        <v>#N/A</v>
      </c>
      <c r="D11005" s="6">
        <f t="shared" si="172"/>
        <v>0</v>
      </c>
    </row>
    <row r="11006" spans="3:4" ht="15" x14ac:dyDescent="0.25">
      <c r="C11006" s="8" t="e">
        <f>VLOOKUP(A:A,'ITEM LIST'!A:C,3,0)</f>
        <v>#N/A</v>
      </c>
      <c r="D11006" s="6">
        <f t="shared" si="172"/>
        <v>0</v>
      </c>
    </row>
    <row r="11007" spans="3:4" ht="15" x14ac:dyDescent="0.25">
      <c r="C11007" s="8" t="e">
        <f>VLOOKUP(A:A,'ITEM LIST'!A:C,3,0)</f>
        <v>#N/A</v>
      </c>
      <c r="D11007" s="6">
        <f t="shared" si="172"/>
        <v>0</v>
      </c>
    </row>
    <row r="11008" spans="3:4" ht="15" x14ac:dyDescent="0.25">
      <c r="C11008" s="8" t="e">
        <f>VLOOKUP(A:A,'ITEM LIST'!A:C,3,0)</f>
        <v>#N/A</v>
      </c>
      <c r="D11008" s="6">
        <f t="shared" si="172"/>
        <v>0</v>
      </c>
    </row>
    <row r="11009" spans="3:4" ht="15" x14ac:dyDescent="0.25">
      <c r="C11009" s="8" t="e">
        <f>VLOOKUP(A:A,'ITEM LIST'!A:C,3,0)</f>
        <v>#N/A</v>
      </c>
      <c r="D11009" s="6">
        <f t="shared" si="172"/>
        <v>0</v>
      </c>
    </row>
    <row r="11010" spans="3:4" ht="15" x14ac:dyDescent="0.25">
      <c r="C11010" s="8" t="e">
        <f>VLOOKUP(A:A,'ITEM LIST'!A:C,3,0)</f>
        <v>#N/A</v>
      </c>
      <c r="D11010" s="6">
        <f t="shared" si="172"/>
        <v>0</v>
      </c>
    </row>
    <row r="11011" spans="3:4" ht="15" x14ac:dyDescent="0.25">
      <c r="C11011" s="8" t="e">
        <f>VLOOKUP(A:A,'ITEM LIST'!A:C,3,0)</f>
        <v>#N/A</v>
      </c>
      <c r="D11011" s="6">
        <f t="shared" si="172"/>
        <v>0</v>
      </c>
    </row>
    <row r="11012" spans="3:4" ht="15" x14ac:dyDescent="0.25">
      <c r="C11012" s="8" t="e">
        <f>VLOOKUP(A:A,'ITEM LIST'!A:C,3,0)</f>
        <v>#N/A</v>
      </c>
      <c r="D11012" s="6">
        <f t="shared" si="172"/>
        <v>0</v>
      </c>
    </row>
    <row r="11013" spans="3:4" ht="15" x14ac:dyDescent="0.25">
      <c r="C11013" s="8" t="e">
        <f>VLOOKUP(A:A,'ITEM LIST'!A:C,3,0)</f>
        <v>#N/A</v>
      </c>
      <c r="D11013" s="6">
        <f t="shared" si="172"/>
        <v>0</v>
      </c>
    </row>
    <row r="11014" spans="3:4" ht="15" x14ac:dyDescent="0.25">
      <c r="C11014" s="8" t="e">
        <f>VLOOKUP(A:A,'ITEM LIST'!A:C,3,0)</f>
        <v>#N/A</v>
      </c>
      <c r="D11014" s="6">
        <f t="shared" ref="D11014:D11077" si="173">B11014</f>
        <v>0</v>
      </c>
    </row>
    <row r="11015" spans="3:4" ht="15" x14ac:dyDescent="0.25">
      <c r="C11015" s="8" t="e">
        <f>VLOOKUP(A:A,'ITEM LIST'!A:C,3,0)</f>
        <v>#N/A</v>
      </c>
      <c r="D11015" s="6">
        <f t="shared" si="173"/>
        <v>0</v>
      </c>
    </row>
    <row r="11016" spans="3:4" ht="15" x14ac:dyDescent="0.25">
      <c r="C11016" s="8" t="e">
        <f>VLOOKUP(A:A,'ITEM LIST'!A:C,3,0)</f>
        <v>#N/A</v>
      </c>
      <c r="D11016" s="6">
        <f t="shared" si="173"/>
        <v>0</v>
      </c>
    </row>
    <row r="11017" spans="3:4" ht="15" x14ac:dyDescent="0.25">
      <c r="C11017" s="8" t="e">
        <f>VLOOKUP(A:A,'ITEM LIST'!A:C,3,0)</f>
        <v>#N/A</v>
      </c>
      <c r="D11017" s="6">
        <f t="shared" si="173"/>
        <v>0</v>
      </c>
    </row>
    <row r="11018" spans="3:4" ht="15" x14ac:dyDescent="0.25">
      <c r="C11018" s="8" t="e">
        <f>VLOOKUP(A:A,'ITEM LIST'!A:C,3,0)</f>
        <v>#N/A</v>
      </c>
      <c r="D11018" s="6">
        <f t="shared" si="173"/>
        <v>0</v>
      </c>
    </row>
    <row r="11019" spans="3:4" ht="15" x14ac:dyDescent="0.25">
      <c r="C11019" s="8" t="e">
        <f>VLOOKUP(A:A,'ITEM LIST'!A:C,3,0)</f>
        <v>#N/A</v>
      </c>
      <c r="D11019" s="6">
        <f t="shared" si="173"/>
        <v>0</v>
      </c>
    </row>
    <row r="11020" spans="3:4" ht="15" x14ac:dyDescent="0.25">
      <c r="C11020" s="8" t="e">
        <f>VLOOKUP(A:A,'ITEM LIST'!A:C,3,0)</f>
        <v>#N/A</v>
      </c>
      <c r="D11020" s="6">
        <f t="shared" si="173"/>
        <v>0</v>
      </c>
    </row>
    <row r="11021" spans="3:4" ht="15" x14ac:dyDescent="0.25">
      <c r="C11021" s="8" t="e">
        <f>VLOOKUP(A:A,'ITEM LIST'!A:C,3,0)</f>
        <v>#N/A</v>
      </c>
      <c r="D11021" s="6">
        <f t="shared" si="173"/>
        <v>0</v>
      </c>
    </row>
    <row r="11022" spans="3:4" ht="15" x14ac:dyDescent="0.25">
      <c r="C11022" s="8" t="e">
        <f>VLOOKUP(A:A,'ITEM LIST'!A:C,3,0)</f>
        <v>#N/A</v>
      </c>
      <c r="D11022" s="6">
        <f t="shared" si="173"/>
        <v>0</v>
      </c>
    </row>
    <row r="11023" spans="3:4" ht="15" x14ac:dyDescent="0.25">
      <c r="C11023" s="8" t="e">
        <f>VLOOKUP(A:A,'ITEM LIST'!A:C,3,0)</f>
        <v>#N/A</v>
      </c>
      <c r="D11023" s="6">
        <f t="shared" si="173"/>
        <v>0</v>
      </c>
    </row>
    <row r="11024" spans="3:4" ht="15" x14ac:dyDescent="0.25">
      <c r="C11024" s="8" t="e">
        <f>VLOOKUP(A:A,'ITEM LIST'!A:C,3,0)</f>
        <v>#N/A</v>
      </c>
      <c r="D11024" s="6">
        <f t="shared" si="173"/>
        <v>0</v>
      </c>
    </row>
    <row r="11025" spans="3:4" ht="15" x14ac:dyDescent="0.25">
      <c r="C11025" s="8" t="e">
        <f>VLOOKUP(A:A,'ITEM LIST'!A:C,3,0)</f>
        <v>#N/A</v>
      </c>
      <c r="D11025" s="6">
        <f t="shared" si="173"/>
        <v>0</v>
      </c>
    </row>
    <row r="11026" spans="3:4" ht="15" x14ac:dyDescent="0.25">
      <c r="C11026" s="8" t="e">
        <f>VLOOKUP(A:A,'ITEM LIST'!A:C,3,0)</f>
        <v>#N/A</v>
      </c>
      <c r="D11026" s="6">
        <f t="shared" si="173"/>
        <v>0</v>
      </c>
    </row>
    <row r="11027" spans="3:4" ht="15" x14ac:dyDescent="0.25">
      <c r="C11027" s="8" t="e">
        <f>VLOOKUP(A:A,'ITEM LIST'!A:C,3,0)</f>
        <v>#N/A</v>
      </c>
      <c r="D11027" s="6">
        <f t="shared" si="173"/>
        <v>0</v>
      </c>
    </row>
    <row r="11028" spans="3:4" ht="15" x14ac:dyDescent="0.25">
      <c r="C11028" s="8" t="e">
        <f>VLOOKUP(A:A,'ITEM LIST'!A:C,3,0)</f>
        <v>#N/A</v>
      </c>
      <c r="D11028" s="6">
        <f t="shared" si="173"/>
        <v>0</v>
      </c>
    </row>
    <row r="11029" spans="3:4" ht="15" x14ac:dyDescent="0.25">
      <c r="C11029" s="8" t="e">
        <f>VLOOKUP(A:A,'ITEM LIST'!A:C,3,0)</f>
        <v>#N/A</v>
      </c>
      <c r="D11029" s="6">
        <f t="shared" si="173"/>
        <v>0</v>
      </c>
    </row>
    <row r="11030" spans="3:4" ht="15" x14ac:dyDescent="0.25">
      <c r="C11030" s="8" t="e">
        <f>VLOOKUP(A:A,'ITEM LIST'!A:C,3,0)</f>
        <v>#N/A</v>
      </c>
      <c r="D11030" s="6">
        <f t="shared" si="173"/>
        <v>0</v>
      </c>
    </row>
    <row r="11031" spans="3:4" ht="15" x14ac:dyDescent="0.25">
      <c r="C11031" s="8" t="e">
        <f>VLOOKUP(A:A,'ITEM LIST'!A:C,3,0)</f>
        <v>#N/A</v>
      </c>
      <c r="D11031" s="6">
        <f t="shared" si="173"/>
        <v>0</v>
      </c>
    </row>
    <row r="11032" spans="3:4" ht="15" x14ac:dyDescent="0.25">
      <c r="C11032" s="8" t="e">
        <f>VLOOKUP(A:A,'ITEM LIST'!A:C,3,0)</f>
        <v>#N/A</v>
      </c>
      <c r="D11032" s="6">
        <f t="shared" si="173"/>
        <v>0</v>
      </c>
    </row>
    <row r="11033" spans="3:4" ht="15" x14ac:dyDescent="0.25">
      <c r="C11033" s="8" t="e">
        <f>VLOOKUP(A:A,'ITEM LIST'!A:C,3,0)</f>
        <v>#N/A</v>
      </c>
      <c r="D11033" s="6">
        <f t="shared" si="173"/>
        <v>0</v>
      </c>
    </row>
    <row r="11034" spans="3:4" ht="15" x14ac:dyDescent="0.25">
      <c r="C11034" s="8" t="e">
        <f>VLOOKUP(A:A,'ITEM LIST'!A:C,3,0)</f>
        <v>#N/A</v>
      </c>
      <c r="D11034" s="6">
        <f t="shared" si="173"/>
        <v>0</v>
      </c>
    </row>
    <row r="11035" spans="3:4" ht="15" x14ac:dyDescent="0.25">
      <c r="C11035" s="8" t="e">
        <f>VLOOKUP(A:A,'ITEM LIST'!A:C,3,0)</f>
        <v>#N/A</v>
      </c>
      <c r="D11035" s="6">
        <f t="shared" si="173"/>
        <v>0</v>
      </c>
    </row>
    <row r="11036" spans="3:4" ht="15" x14ac:dyDescent="0.25">
      <c r="C11036" s="8" t="e">
        <f>VLOOKUP(A:A,'ITEM LIST'!A:C,3,0)</f>
        <v>#N/A</v>
      </c>
      <c r="D11036" s="6">
        <f t="shared" si="173"/>
        <v>0</v>
      </c>
    </row>
    <row r="11037" spans="3:4" ht="15" x14ac:dyDescent="0.25">
      <c r="C11037" s="8" t="e">
        <f>VLOOKUP(A:A,'ITEM LIST'!A:C,3,0)</f>
        <v>#N/A</v>
      </c>
      <c r="D11037" s="6">
        <f t="shared" si="173"/>
        <v>0</v>
      </c>
    </row>
    <row r="11038" spans="3:4" ht="15" x14ac:dyDescent="0.25">
      <c r="C11038" s="8" t="e">
        <f>VLOOKUP(A:A,'ITEM LIST'!A:C,3,0)</f>
        <v>#N/A</v>
      </c>
      <c r="D11038" s="6">
        <f t="shared" si="173"/>
        <v>0</v>
      </c>
    </row>
    <row r="11039" spans="3:4" ht="15" x14ac:dyDescent="0.25">
      <c r="C11039" s="8" t="e">
        <f>VLOOKUP(A:A,'ITEM LIST'!A:C,3,0)</f>
        <v>#N/A</v>
      </c>
      <c r="D11039" s="6">
        <f t="shared" si="173"/>
        <v>0</v>
      </c>
    </row>
    <row r="11040" spans="3:4" ht="15" x14ac:dyDescent="0.25">
      <c r="C11040" s="8" t="e">
        <f>VLOOKUP(A:A,'ITEM LIST'!A:C,3,0)</f>
        <v>#N/A</v>
      </c>
      <c r="D11040" s="6">
        <f t="shared" si="173"/>
        <v>0</v>
      </c>
    </row>
    <row r="11041" spans="3:4" ht="15" x14ac:dyDescent="0.25">
      <c r="C11041" s="8" t="e">
        <f>VLOOKUP(A:A,'ITEM LIST'!A:C,3,0)</f>
        <v>#N/A</v>
      </c>
      <c r="D11041" s="6">
        <f t="shared" si="173"/>
        <v>0</v>
      </c>
    </row>
    <row r="11042" spans="3:4" ht="15" x14ac:dyDescent="0.25">
      <c r="C11042" s="8" t="e">
        <f>VLOOKUP(A:A,'ITEM LIST'!A:C,3,0)</f>
        <v>#N/A</v>
      </c>
      <c r="D11042" s="6">
        <f t="shared" si="173"/>
        <v>0</v>
      </c>
    </row>
    <row r="11043" spans="3:4" ht="15" x14ac:dyDescent="0.25">
      <c r="C11043" s="8" t="e">
        <f>VLOOKUP(A:A,'ITEM LIST'!A:C,3,0)</f>
        <v>#N/A</v>
      </c>
      <c r="D11043" s="6">
        <f t="shared" si="173"/>
        <v>0</v>
      </c>
    </row>
    <row r="11044" spans="3:4" ht="15" x14ac:dyDescent="0.25">
      <c r="C11044" s="8" t="e">
        <f>VLOOKUP(A:A,'ITEM LIST'!A:C,3,0)</f>
        <v>#N/A</v>
      </c>
      <c r="D11044" s="6">
        <f t="shared" si="173"/>
        <v>0</v>
      </c>
    </row>
    <row r="11045" spans="3:4" ht="15" x14ac:dyDescent="0.25">
      <c r="C11045" s="8" t="e">
        <f>VLOOKUP(A:A,'ITEM LIST'!A:C,3,0)</f>
        <v>#N/A</v>
      </c>
      <c r="D11045" s="6">
        <f t="shared" si="173"/>
        <v>0</v>
      </c>
    </row>
    <row r="11046" spans="3:4" ht="15" x14ac:dyDescent="0.25">
      <c r="C11046" s="8" t="e">
        <f>VLOOKUP(A:A,'ITEM LIST'!A:C,3,0)</f>
        <v>#N/A</v>
      </c>
      <c r="D11046" s="6">
        <f t="shared" si="173"/>
        <v>0</v>
      </c>
    </row>
    <row r="11047" spans="3:4" ht="15" x14ac:dyDescent="0.25">
      <c r="C11047" s="8" t="e">
        <f>VLOOKUP(A:A,'ITEM LIST'!A:C,3,0)</f>
        <v>#N/A</v>
      </c>
      <c r="D11047" s="6">
        <f t="shared" si="173"/>
        <v>0</v>
      </c>
    </row>
    <row r="11048" spans="3:4" ht="15" x14ac:dyDescent="0.25">
      <c r="C11048" s="8" t="e">
        <f>VLOOKUP(A:A,'ITEM LIST'!A:C,3,0)</f>
        <v>#N/A</v>
      </c>
      <c r="D11048" s="6">
        <f t="shared" si="173"/>
        <v>0</v>
      </c>
    </row>
    <row r="11049" spans="3:4" ht="15" x14ac:dyDescent="0.25">
      <c r="C11049" s="8" t="e">
        <f>VLOOKUP(A:A,'ITEM LIST'!A:C,3,0)</f>
        <v>#N/A</v>
      </c>
      <c r="D11049" s="6">
        <f t="shared" si="173"/>
        <v>0</v>
      </c>
    </row>
    <row r="11050" spans="3:4" ht="15" x14ac:dyDescent="0.25">
      <c r="C11050" s="8" t="e">
        <f>VLOOKUP(A:A,'ITEM LIST'!A:C,3,0)</f>
        <v>#N/A</v>
      </c>
      <c r="D11050" s="6">
        <f t="shared" si="173"/>
        <v>0</v>
      </c>
    </row>
    <row r="11051" spans="3:4" ht="15" x14ac:dyDescent="0.25">
      <c r="C11051" s="8" t="e">
        <f>VLOOKUP(A:A,'ITEM LIST'!A:C,3,0)</f>
        <v>#N/A</v>
      </c>
      <c r="D11051" s="6">
        <f t="shared" si="173"/>
        <v>0</v>
      </c>
    </row>
    <row r="11052" spans="3:4" ht="15" x14ac:dyDescent="0.25">
      <c r="C11052" s="8" t="e">
        <f>VLOOKUP(A:A,'ITEM LIST'!A:C,3,0)</f>
        <v>#N/A</v>
      </c>
      <c r="D11052" s="6">
        <f t="shared" si="173"/>
        <v>0</v>
      </c>
    </row>
    <row r="11053" spans="3:4" ht="15" x14ac:dyDescent="0.25">
      <c r="C11053" s="8" t="e">
        <f>VLOOKUP(A:A,'ITEM LIST'!A:C,3,0)</f>
        <v>#N/A</v>
      </c>
      <c r="D11053" s="6">
        <f t="shared" si="173"/>
        <v>0</v>
      </c>
    </row>
    <row r="11054" spans="3:4" ht="15" x14ac:dyDescent="0.25">
      <c r="C11054" s="8" t="e">
        <f>VLOOKUP(A:A,'ITEM LIST'!A:C,3,0)</f>
        <v>#N/A</v>
      </c>
      <c r="D11054" s="6">
        <f t="shared" si="173"/>
        <v>0</v>
      </c>
    </row>
    <row r="11055" spans="3:4" ht="15" x14ac:dyDescent="0.25">
      <c r="C11055" s="8" t="e">
        <f>VLOOKUP(A:A,'ITEM LIST'!A:C,3,0)</f>
        <v>#N/A</v>
      </c>
      <c r="D11055" s="6">
        <f t="shared" si="173"/>
        <v>0</v>
      </c>
    </row>
    <row r="11056" spans="3:4" ht="15" x14ac:dyDescent="0.25">
      <c r="C11056" s="8" t="e">
        <f>VLOOKUP(A:A,'ITEM LIST'!A:C,3,0)</f>
        <v>#N/A</v>
      </c>
      <c r="D11056" s="6">
        <f t="shared" si="173"/>
        <v>0</v>
      </c>
    </row>
    <row r="11057" spans="3:4" ht="15" x14ac:dyDescent="0.25">
      <c r="C11057" s="8" t="e">
        <f>VLOOKUP(A:A,'ITEM LIST'!A:C,3,0)</f>
        <v>#N/A</v>
      </c>
      <c r="D11057" s="6">
        <f t="shared" si="173"/>
        <v>0</v>
      </c>
    </row>
    <row r="11058" spans="3:4" ht="15" x14ac:dyDescent="0.25">
      <c r="C11058" s="8" t="e">
        <f>VLOOKUP(A:A,'ITEM LIST'!A:C,3,0)</f>
        <v>#N/A</v>
      </c>
      <c r="D11058" s="6">
        <f t="shared" si="173"/>
        <v>0</v>
      </c>
    </row>
    <row r="11059" spans="3:4" ht="15" x14ac:dyDescent="0.25">
      <c r="C11059" s="8" t="e">
        <f>VLOOKUP(A:A,'ITEM LIST'!A:C,3,0)</f>
        <v>#N/A</v>
      </c>
      <c r="D11059" s="6">
        <f t="shared" si="173"/>
        <v>0</v>
      </c>
    </row>
    <row r="11060" spans="3:4" ht="15" x14ac:dyDescent="0.25">
      <c r="C11060" s="8" t="e">
        <f>VLOOKUP(A:A,'ITEM LIST'!A:C,3,0)</f>
        <v>#N/A</v>
      </c>
      <c r="D11060" s="6">
        <f t="shared" si="173"/>
        <v>0</v>
      </c>
    </row>
    <row r="11061" spans="3:4" ht="15" x14ac:dyDescent="0.25">
      <c r="C11061" s="8" t="e">
        <f>VLOOKUP(A:A,'ITEM LIST'!A:C,3,0)</f>
        <v>#N/A</v>
      </c>
      <c r="D11061" s="6">
        <f t="shared" si="173"/>
        <v>0</v>
      </c>
    </row>
    <row r="11062" spans="3:4" ht="15" x14ac:dyDescent="0.25">
      <c r="C11062" s="8" t="e">
        <f>VLOOKUP(A:A,'ITEM LIST'!A:C,3,0)</f>
        <v>#N/A</v>
      </c>
      <c r="D11062" s="6">
        <f t="shared" si="173"/>
        <v>0</v>
      </c>
    </row>
    <row r="11063" spans="3:4" ht="15" x14ac:dyDescent="0.25">
      <c r="C11063" s="8" t="e">
        <f>VLOOKUP(A:A,'ITEM LIST'!A:C,3,0)</f>
        <v>#N/A</v>
      </c>
      <c r="D11063" s="6">
        <f t="shared" si="173"/>
        <v>0</v>
      </c>
    </row>
    <row r="11064" spans="3:4" ht="15" x14ac:dyDescent="0.25">
      <c r="C11064" s="8" t="e">
        <f>VLOOKUP(A:A,'ITEM LIST'!A:C,3,0)</f>
        <v>#N/A</v>
      </c>
      <c r="D11064" s="6">
        <f t="shared" si="173"/>
        <v>0</v>
      </c>
    </row>
    <row r="11065" spans="3:4" ht="15" x14ac:dyDescent="0.25">
      <c r="C11065" s="8" t="e">
        <f>VLOOKUP(A:A,'ITEM LIST'!A:C,3,0)</f>
        <v>#N/A</v>
      </c>
      <c r="D11065" s="6">
        <f t="shared" si="173"/>
        <v>0</v>
      </c>
    </row>
    <row r="11066" spans="3:4" ht="15" x14ac:dyDescent="0.25">
      <c r="C11066" s="8" t="e">
        <f>VLOOKUP(A:A,'ITEM LIST'!A:C,3,0)</f>
        <v>#N/A</v>
      </c>
      <c r="D11066" s="6">
        <f t="shared" si="173"/>
        <v>0</v>
      </c>
    </row>
    <row r="11067" spans="3:4" ht="15" x14ac:dyDescent="0.25">
      <c r="C11067" s="8" t="e">
        <f>VLOOKUP(A:A,'ITEM LIST'!A:C,3,0)</f>
        <v>#N/A</v>
      </c>
      <c r="D11067" s="6">
        <f t="shared" si="173"/>
        <v>0</v>
      </c>
    </row>
    <row r="11068" spans="3:4" ht="15" x14ac:dyDescent="0.25">
      <c r="C11068" s="8" t="e">
        <f>VLOOKUP(A:A,'ITEM LIST'!A:C,3,0)</f>
        <v>#N/A</v>
      </c>
      <c r="D11068" s="6">
        <f t="shared" si="173"/>
        <v>0</v>
      </c>
    </row>
    <row r="11069" spans="3:4" ht="15" x14ac:dyDescent="0.25">
      <c r="C11069" s="8" t="e">
        <f>VLOOKUP(A:A,'ITEM LIST'!A:C,3,0)</f>
        <v>#N/A</v>
      </c>
      <c r="D11069" s="6">
        <f t="shared" si="173"/>
        <v>0</v>
      </c>
    </row>
    <row r="11070" spans="3:4" ht="15" x14ac:dyDescent="0.25">
      <c r="C11070" s="8" t="e">
        <f>VLOOKUP(A:A,'ITEM LIST'!A:C,3,0)</f>
        <v>#N/A</v>
      </c>
      <c r="D11070" s="6">
        <f t="shared" si="173"/>
        <v>0</v>
      </c>
    </row>
    <row r="11071" spans="3:4" ht="15" x14ac:dyDescent="0.25">
      <c r="C11071" s="8" t="e">
        <f>VLOOKUP(A:A,'ITEM LIST'!A:C,3,0)</f>
        <v>#N/A</v>
      </c>
      <c r="D11071" s="6">
        <f t="shared" si="173"/>
        <v>0</v>
      </c>
    </row>
    <row r="11072" spans="3:4" ht="15" x14ac:dyDescent="0.25">
      <c r="C11072" s="8" t="e">
        <f>VLOOKUP(A:A,'ITEM LIST'!A:C,3,0)</f>
        <v>#N/A</v>
      </c>
      <c r="D11072" s="6">
        <f t="shared" si="173"/>
        <v>0</v>
      </c>
    </row>
    <row r="11073" spans="3:4" ht="15" x14ac:dyDescent="0.25">
      <c r="C11073" s="8" t="e">
        <f>VLOOKUP(A:A,'ITEM LIST'!A:C,3,0)</f>
        <v>#N/A</v>
      </c>
      <c r="D11073" s="6">
        <f t="shared" si="173"/>
        <v>0</v>
      </c>
    </row>
    <row r="11074" spans="3:4" ht="15" x14ac:dyDescent="0.25">
      <c r="C11074" s="8" t="e">
        <f>VLOOKUP(A:A,'ITEM LIST'!A:C,3,0)</f>
        <v>#N/A</v>
      </c>
      <c r="D11074" s="6">
        <f t="shared" si="173"/>
        <v>0</v>
      </c>
    </row>
    <row r="11075" spans="3:4" ht="15" x14ac:dyDescent="0.25">
      <c r="C11075" s="8" t="e">
        <f>VLOOKUP(A:A,'ITEM LIST'!A:C,3,0)</f>
        <v>#N/A</v>
      </c>
      <c r="D11075" s="6">
        <f t="shared" si="173"/>
        <v>0</v>
      </c>
    </row>
    <row r="11076" spans="3:4" ht="15" x14ac:dyDescent="0.25">
      <c r="C11076" s="8" t="e">
        <f>VLOOKUP(A:A,'ITEM LIST'!A:C,3,0)</f>
        <v>#N/A</v>
      </c>
      <c r="D11076" s="6">
        <f t="shared" si="173"/>
        <v>0</v>
      </c>
    </row>
    <row r="11077" spans="3:4" ht="15" x14ac:dyDescent="0.25">
      <c r="C11077" s="8" t="e">
        <f>VLOOKUP(A:A,'ITEM LIST'!A:C,3,0)</f>
        <v>#N/A</v>
      </c>
      <c r="D11077" s="6">
        <f t="shared" si="173"/>
        <v>0</v>
      </c>
    </row>
    <row r="11078" spans="3:4" ht="15" x14ac:dyDescent="0.25">
      <c r="C11078" s="8" t="e">
        <f>VLOOKUP(A:A,'ITEM LIST'!A:C,3,0)</f>
        <v>#N/A</v>
      </c>
      <c r="D11078" s="6">
        <f t="shared" ref="D11078:D11141" si="174">B11078</f>
        <v>0</v>
      </c>
    </row>
    <row r="11079" spans="3:4" ht="15" x14ac:dyDescent="0.25">
      <c r="C11079" s="8" t="e">
        <f>VLOOKUP(A:A,'ITEM LIST'!A:C,3,0)</f>
        <v>#N/A</v>
      </c>
      <c r="D11079" s="6">
        <f t="shared" si="174"/>
        <v>0</v>
      </c>
    </row>
    <row r="11080" spans="3:4" ht="15" x14ac:dyDescent="0.25">
      <c r="C11080" s="8" t="e">
        <f>VLOOKUP(A:A,'ITEM LIST'!A:C,3,0)</f>
        <v>#N/A</v>
      </c>
      <c r="D11080" s="6">
        <f t="shared" si="174"/>
        <v>0</v>
      </c>
    </row>
    <row r="11081" spans="3:4" ht="15" x14ac:dyDescent="0.25">
      <c r="C11081" s="8" t="e">
        <f>VLOOKUP(A:A,'ITEM LIST'!A:C,3,0)</f>
        <v>#N/A</v>
      </c>
      <c r="D11081" s="6">
        <f t="shared" si="174"/>
        <v>0</v>
      </c>
    </row>
    <row r="11082" spans="3:4" ht="15" x14ac:dyDescent="0.25">
      <c r="C11082" s="8" t="e">
        <f>VLOOKUP(A:A,'ITEM LIST'!A:C,3,0)</f>
        <v>#N/A</v>
      </c>
      <c r="D11082" s="6">
        <f t="shared" si="174"/>
        <v>0</v>
      </c>
    </row>
    <row r="11083" spans="3:4" ht="15" x14ac:dyDescent="0.25">
      <c r="C11083" s="8" t="e">
        <f>VLOOKUP(A:A,'ITEM LIST'!A:C,3,0)</f>
        <v>#N/A</v>
      </c>
      <c r="D11083" s="6">
        <f t="shared" si="174"/>
        <v>0</v>
      </c>
    </row>
    <row r="11084" spans="3:4" ht="15" x14ac:dyDescent="0.25">
      <c r="C11084" s="8" t="e">
        <f>VLOOKUP(A:A,'ITEM LIST'!A:C,3,0)</f>
        <v>#N/A</v>
      </c>
      <c r="D11084" s="6">
        <f t="shared" si="174"/>
        <v>0</v>
      </c>
    </row>
    <row r="11085" spans="3:4" ht="15" x14ac:dyDescent="0.25">
      <c r="C11085" s="8" t="e">
        <f>VLOOKUP(A:A,'ITEM LIST'!A:C,3,0)</f>
        <v>#N/A</v>
      </c>
      <c r="D11085" s="6">
        <f t="shared" si="174"/>
        <v>0</v>
      </c>
    </row>
    <row r="11086" spans="3:4" ht="15" x14ac:dyDescent="0.25">
      <c r="C11086" s="8" t="e">
        <f>VLOOKUP(A:A,'ITEM LIST'!A:C,3,0)</f>
        <v>#N/A</v>
      </c>
      <c r="D11086" s="6">
        <f t="shared" si="174"/>
        <v>0</v>
      </c>
    </row>
    <row r="11087" spans="3:4" ht="15" x14ac:dyDescent="0.25">
      <c r="C11087" s="8" t="e">
        <f>VLOOKUP(A:A,'ITEM LIST'!A:C,3,0)</f>
        <v>#N/A</v>
      </c>
      <c r="D11087" s="6">
        <f t="shared" si="174"/>
        <v>0</v>
      </c>
    </row>
    <row r="11088" spans="3:4" ht="15" x14ac:dyDescent="0.25">
      <c r="C11088" s="8" t="e">
        <f>VLOOKUP(A:A,'ITEM LIST'!A:C,3,0)</f>
        <v>#N/A</v>
      </c>
      <c r="D11088" s="6">
        <f t="shared" si="174"/>
        <v>0</v>
      </c>
    </row>
    <row r="11089" spans="3:4" ht="15" x14ac:dyDescent="0.25">
      <c r="C11089" s="8" t="e">
        <f>VLOOKUP(A:A,'ITEM LIST'!A:C,3,0)</f>
        <v>#N/A</v>
      </c>
      <c r="D11089" s="6">
        <f t="shared" si="174"/>
        <v>0</v>
      </c>
    </row>
    <row r="11090" spans="3:4" ht="15" x14ac:dyDescent="0.25">
      <c r="C11090" s="8" t="e">
        <f>VLOOKUP(A:A,'ITEM LIST'!A:C,3,0)</f>
        <v>#N/A</v>
      </c>
      <c r="D11090" s="6">
        <f t="shared" si="174"/>
        <v>0</v>
      </c>
    </row>
    <row r="11091" spans="3:4" ht="15" x14ac:dyDescent="0.25">
      <c r="C11091" s="8" t="e">
        <f>VLOOKUP(A:A,'ITEM LIST'!A:C,3,0)</f>
        <v>#N/A</v>
      </c>
      <c r="D11091" s="6">
        <f t="shared" si="174"/>
        <v>0</v>
      </c>
    </row>
    <row r="11092" spans="3:4" ht="15" x14ac:dyDescent="0.25">
      <c r="C11092" s="8" t="e">
        <f>VLOOKUP(A:A,'ITEM LIST'!A:C,3,0)</f>
        <v>#N/A</v>
      </c>
      <c r="D11092" s="6">
        <f t="shared" si="174"/>
        <v>0</v>
      </c>
    </row>
    <row r="11093" spans="3:4" ht="15" x14ac:dyDescent="0.25">
      <c r="C11093" s="8" t="e">
        <f>VLOOKUP(A:A,'ITEM LIST'!A:C,3,0)</f>
        <v>#N/A</v>
      </c>
      <c r="D11093" s="6">
        <f t="shared" si="174"/>
        <v>0</v>
      </c>
    </row>
    <row r="11094" spans="3:4" ht="15" x14ac:dyDescent="0.25">
      <c r="C11094" s="8" t="e">
        <f>VLOOKUP(A:A,'ITEM LIST'!A:C,3,0)</f>
        <v>#N/A</v>
      </c>
      <c r="D11094" s="6">
        <f t="shared" si="174"/>
        <v>0</v>
      </c>
    </row>
    <row r="11095" spans="3:4" ht="15" x14ac:dyDescent="0.25">
      <c r="C11095" s="8" t="e">
        <f>VLOOKUP(A:A,'ITEM LIST'!A:C,3,0)</f>
        <v>#N/A</v>
      </c>
      <c r="D11095" s="6">
        <f t="shared" si="174"/>
        <v>0</v>
      </c>
    </row>
    <row r="11096" spans="3:4" ht="15" x14ac:dyDescent="0.25">
      <c r="C11096" s="8" t="e">
        <f>VLOOKUP(A:A,'ITEM LIST'!A:C,3,0)</f>
        <v>#N/A</v>
      </c>
      <c r="D11096" s="6">
        <f t="shared" si="174"/>
        <v>0</v>
      </c>
    </row>
    <row r="11097" spans="3:4" ht="15" x14ac:dyDescent="0.25">
      <c r="C11097" s="8" t="e">
        <f>VLOOKUP(A:A,'ITEM LIST'!A:C,3,0)</f>
        <v>#N/A</v>
      </c>
      <c r="D11097" s="6">
        <f t="shared" si="174"/>
        <v>0</v>
      </c>
    </row>
    <row r="11098" spans="3:4" ht="15" x14ac:dyDescent="0.25">
      <c r="C11098" s="8" t="e">
        <f>VLOOKUP(A:A,'ITEM LIST'!A:C,3,0)</f>
        <v>#N/A</v>
      </c>
      <c r="D11098" s="6">
        <f t="shared" si="174"/>
        <v>0</v>
      </c>
    </row>
    <row r="11099" spans="3:4" ht="15" x14ac:dyDescent="0.25">
      <c r="C11099" s="8" t="e">
        <f>VLOOKUP(A:A,'ITEM LIST'!A:C,3,0)</f>
        <v>#N/A</v>
      </c>
      <c r="D11099" s="6">
        <f t="shared" si="174"/>
        <v>0</v>
      </c>
    </row>
    <row r="11100" spans="3:4" ht="15" x14ac:dyDescent="0.25">
      <c r="C11100" s="8" t="e">
        <f>VLOOKUP(A:A,'ITEM LIST'!A:C,3,0)</f>
        <v>#N/A</v>
      </c>
      <c r="D11100" s="6">
        <f t="shared" si="174"/>
        <v>0</v>
      </c>
    </row>
    <row r="11101" spans="3:4" ht="15" x14ac:dyDescent="0.25">
      <c r="C11101" s="8" t="e">
        <f>VLOOKUP(A:A,'ITEM LIST'!A:C,3,0)</f>
        <v>#N/A</v>
      </c>
      <c r="D11101" s="6">
        <f t="shared" si="174"/>
        <v>0</v>
      </c>
    </row>
    <row r="11102" spans="3:4" ht="15" x14ac:dyDescent="0.25">
      <c r="C11102" s="8" t="e">
        <f>VLOOKUP(A:A,'ITEM LIST'!A:C,3,0)</f>
        <v>#N/A</v>
      </c>
      <c r="D11102" s="6">
        <f t="shared" si="174"/>
        <v>0</v>
      </c>
    </row>
    <row r="11103" spans="3:4" ht="15" x14ac:dyDescent="0.25">
      <c r="C11103" s="8" t="e">
        <f>VLOOKUP(A:A,'ITEM LIST'!A:C,3,0)</f>
        <v>#N/A</v>
      </c>
      <c r="D11103" s="6">
        <f t="shared" si="174"/>
        <v>0</v>
      </c>
    </row>
    <row r="11104" spans="3:4" ht="15" x14ac:dyDescent="0.25">
      <c r="C11104" s="8" t="e">
        <f>VLOOKUP(A:A,'ITEM LIST'!A:C,3,0)</f>
        <v>#N/A</v>
      </c>
      <c r="D11104" s="6">
        <f t="shared" si="174"/>
        <v>0</v>
      </c>
    </row>
    <row r="11105" spans="3:4" ht="15" x14ac:dyDescent="0.25">
      <c r="C11105" s="8" t="e">
        <f>VLOOKUP(A:A,'ITEM LIST'!A:C,3,0)</f>
        <v>#N/A</v>
      </c>
      <c r="D11105" s="6">
        <f t="shared" si="174"/>
        <v>0</v>
      </c>
    </row>
    <row r="11106" spans="3:4" ht="15" x14ac:dyDescent="0.25">
      <c r="C11106" s="8" t="e">
        <f>VLOOKUP(A:A,'ITEM LIST'!A:C,3,0)</f>
        <v>#N/A</v>
      </c>
      <c r="D11106" s="6">
        <f t="shared" si="174"/>
        <v>0</v>
      </c>
    </row>
    <row r="11107" spans="3:4" ht="15" x14ac:dyDescent="0.25">
      <c r="C11107" s="8" t="e">
        <f>VLOOKUP(A:A,'ITEM LIST'!A:C,3,0)</f>
        <v>#N/A</v>
      </c>
      <c r="D11107" s="6">
        <f t="shared" si="174"/>
        <v>0</v>
      </c>
    </row>
    <row r="11108" spans="3:4" ht="15" x14ac:dyDescent="0.25">
      <c r="C11108" s="8" t="e">
        <f>VLOOKUP(A:A,'ITEM LIST'!A:C,3,0)</f>
        <v>#N/A</v>
      </c>
      <c r="D11108" s="6">
        <f t="shared" si="174"/>
        <v>0</v>
      </c>
    </row>
    <row r="11109" spans="3:4" ht="15" x14ac:dyDescent="0.25">
      <c r="C11109" s="8" t="e">
        <f>VLOOKUP(A:A,'ITEM LIST'!A:C,3,0)</f>
        <v>#N/A</v>
      </c>
      <c r="D11109" s="6">
        <f t="shared" si="174"/>
        <v>0</v>
      </c>
    </row>
    <row r="11110" spans="3:4" ht="15" x14ac:dyDescent="0.25">
      <c r="C11110" s="8" t="e">
        <f>VLOOKUP(A:A,'ITEM LIST'!A:C,3,0)</f>
        <v>#N/A</v>
      </c>
      <c r="D11110" s="6">
        <f t="shared" si="174"/>
        <v>0</v>
      </c>
    </row>
    <row r="11111" spans="3:4" ht="15" x14ac:dyDescent="0.25">
      <c r="C11111" s="8" t="e">
        <f>VLOOKUP(A:A,'ITEM LIST'!A:C,3,0)</f>
        <v>#N/A</v>
      </c>
      <c r="D11111" s="6">
        <f t="shared" si="174"/>
        <v>0</v>
      </c>
    </row>
    <row r="11112" spans="3:4" ht="15" x14ac:dyDescent="0.25">
      <c r="C11112" s="8" t="e">
        <f>VLOOKUP(A:A,'ITEM LIST'!A:C,3,0)</f>
        <v>#N/A</v>
      </c>
      <c r="D11112" s="6">
        <f t="shared" si="174"/>
        <v>0</v>
      </c>
    </row>
    <row r="11113" spans="3:4" ht="15" x14ac:dyDescent="0.25">
      <c r="C11113" s="8" t="e">
        <f>VLOOKUP(A:A,'ITEM LIST'!A:C,3,0)</f>
        <v>#N/A</v>
      </c>
      <c r="D11113" s="6">
        <f t="shared" si="174"/>
        <v>0</v>
      </c>
    </row>
    <row r="11114" spans="3:4" ht="15" x14ac:dyDescent="0.25">
      <c r="C11114" s="8" t="e">
        <f>VLOOKUP(A:A,'ITEM LIST'!A:C,3,0)</f>
        <v>#N/A</v>
      </c>
      <c r="D11114" s="6">
        <f t="shared" si="174"/>
        <v>0</v>
      </c>
    </row>
    <row r="11115" spans="3:4" ht="15" x14ac:dyDescent="0.25">
      <c r="C11115" s="8" t="e">
        <f>VLOOKUP(A:A,'ITEM LIST'!A:C,3,0)</f>
        <v>#N/A</v>
      </c>
      <c r="D11115" s="6">
        <f t="shared" si="174"/>
        <v>0</v>
      </c>
    </row>
    <row r="11116" spans="3:4" ht="15" x14ac:dyDescent="0.25">
      <c r="C11116" s="8" t="e">
        <f>VLOOKUP(A:A,'ITEM LIST'!A:C,3,0)</f>
        <v>#N/A</v>
      </c>
      <c r="D11116" s="6">
        <f t="shared" si="174"/>
        <v>0</v>
      </c>
    </row>
    <row r="11117" spans="3:4" ht="15" x14ac:dyDescent="0.25">
      <c r="C11117" s="8" t="e">
        <f>VLOOKUP(A:A,'ITEM LIST'!A:C,3,0)</f>
        <v>#N/A</v>
      </c>
      <c r="D11117" s="6">
        <f t="shared" si="174"/>
        <v>0</v>
      </c>
    </row>
    <row r="11118" spans="3:4" ht="15" x14ac:dyDescent="0.25">
      <c r="C11118" s="8" t="e">
        <f>VLOOKUP(A:A,'ITEM LIST'!A:C,3,0)</f>
        <v>#N/A</v>
      </c>
      <c r="D11118" s="6">
        <f t="shared" si="174"/>
        <v>0</v>
      </c>
    </row>
    <row r="11119" spans="3:4" ht="15" x14ac:dyDescent="0.25">
      <c r="C11119" s="8" t="e">
        <f>VLOOKUP(A:A,'ITEM LIST'!A:C,3,0)</f>
        <v>#N/A</v>
      </c>
      <c r="D11119" s="6">
        <f t="shared" si="174"/>
        <v>0</v>
      </c>
    </row>
    <row r="11120" spans="3:4" ht="15" x14ac:dyDescent="0.25">
      <c r="C11120" s="8" t="e">
        <f>VLOOKUP(A:A,'ITEM LIST'!A:C,3,0)</f>
        <v>#N/A</v>
      </c>
      <c r="D11120" s="6">
        <f t="shared" si="174"/>
        <v>0</v>
      </c>
    </row>
    <row r="11121" spans="3:4" ht="15" x14ac:dyDescent="0.25">
      <c r="C11121" s="8" t="e">
        <f>VLOOKUP(A:A,'ITEM LIST'!A:C,3,0)</f>
        <v>#N/A</v>
      </c>
      <c r="D11121" s="6">
        <f t="shared" si="174"/>
        <v>0</v>
      </c>
    </row>
    <row r="11122" spans="3:4" ht="15" x14ac:dyDescent="0.25">
      <c r="C11122" s="8" t="e">
        <f>VLOOKUP(A:A,'ITEM LIST'!A:C,3,0)</f>
        <v>#N/A</v>
      </c>
      <c r="D11122" s="6">
        <f t="shared" si="174"/>
        <v>0</v>
      </c>
    </row>
    <row r="11123" spans="3:4" ht="15" x14ac:dyDescent="0.25">
      <c r="C11123" s="8" t="e">
        <f>VLOOKUP(A:A,'ITEM LIST'!A:C,3,0)</f>
        <v>#N/A</v>
      </c>
      <c r="D11123" s="6">
        <f t="shared" si="174"/>
        <v>0</v>
      </c>
    </row>
    <row r="11124" spans="3:4" ht="15" x14ac:dyDescent="0.25">
      <c r="C11124" s="8" t="e">
        <f>VLOOKUP(A:A,'ITEM LIST'!A:C,3,0)</f>
        <v>#N/A</v>
      </c>
      <c r="D11124" s="6">
        <f t="shared" si="174"/>
        <v>0</v>
      </c>
    </row>
    <row r="11125" spans="3:4" ht="15" x14ac:dyDescent="0.25">
      <c r="C11125" s="8" t="e">
        <f>VLOOKUP(A:A,'ITEM LIST'!A:C,3,0)</f>
        <v>#N/A</v>
      </c>
      <c r="D11125" s="6">
        <f t="shared" si="174"/>
        <v>0</v>
      </c>
    </row>
    <row r="11126" spans="3:4" ht="15" x14ac:dyDescent="0.25">
      <c r="C11126" s="8" t="e">
        <f>VLOOKUP(A:A,'ITEM LIST'!A:C,3,0)</f>
        <v>#N/A</v>
      </c>
      <c r="D11126" s="6">
        <f t="shared" si="174"/>
        <v>0</v>
      </c>
    </row>
    <row r="11127" spans="3:4" ht="15" x14ac:dyDescent="0.25">
      <c r="C11127" s="8" t="e">
        <f>VLOOKUP(A:A,'ITEM LIST'!A:C,3,0)</f>
        <v>#N/A</v>
      </c>
      <c r="D11127" s="6">
        <f t="shared" si="174"/>
        <v>0</v>
      </c>
    </row>
    <row r="11128" spans="3:4" ht="15" x14ac:dyDescent="0.25">
      <c r="C11128" s="8" t="e">
        <f>VLOOKUP(A:A,'ITEM LIST'!A:C,3,0)</f>
        <v>#N/A</v>
      </c>
      <c r="D11128" s="6">
        <f t="shared" si="174"/>
        <v>0</v>
      </c>
    </row>
    <row r="11129" spans="3:4" ht="15" x14ac:dyDescent="0.25">
      <c r="C11129" s="8" t="e">
        <f>VLOOKUP(A:A,'ITEM LIST'!A:C,3,0)</f>
        <v>#N/A</v>
      </c>
      <c r="D11129" s="6">
        <f t="shared" si="174"/>
        <v>0</v>
      </c>
    </row>
    <row r="11130" spans="3:4" ht="15" x14ac:dyDescent="0.25">
      <c r="C11130" s="8" t="e">
        <f>VLOOKUP(A:A,'ITEM LIST'!A:C,3,0)</f>
        <v>#N/A</v>
      </c>
      <c r="D11130" s="6">
        <f t="shared" si="174"/>
        <v>0</v>
      </c>
    </row>
    <row r="11131" spans="3:4" ht="15" x14ac:dyDescent="0.25">
      <c r="C11131" s="8" t="e">
        <f>VLOOKUP(A:A,'ITEM LIST'!A:C,3,0)</f>
        <v>#N/A</v>
      </c>
      <c r="D11131" s="6">
        <f t="shared" si="174"/>
        <v>0</v>
      </c>
    </row>
    <row r="11132" spans="3:4" ht="15" x14ac:dyDescent="0.25">
      <c r="C11132" s="8" t="e">
        <f>VLOOKUP(A:A,'ITEM LIST'!A:C,3,0)</f>
        <v>#N/A</v>
      </c>
      <c r="D11132" s="6">
        <f t="shared" si="174"/>
        <v>0</v>
      </c>
    </row>
    <row r="11133" spans="3:4" ht="15" x14ac:dyDescent="0.25">
      <c r="C11133" s="8" t="e">
        <f>VLOOKUP(A:A,'ITEM LIST'!A:C,3,0)</f>
        <v>#N/A</v>
      </c>
      <c r="D11133" s="6">
        <f t="shared" si="174"/>
        <v>0</v>
      </c>
    </row>
    <row r="11134" spans="3:4" ht="15" x14ac:dyDescent="0.25">
      <c r="C11134" s="8" t="e">
        <f>VLOOKUP(A:A,'ITEM LIST'!A:C,3,0)</f>
        <v>#N/A</v>
      </c>
      <c r="D11134" s="6">
        <f t="shared" si="174"/>
        <v>0</v>
      </c>
    </row>
    <row r="11135" spans="3:4" ht="15" x14ac:dyDescent="0.25">
      <c r="C11135" s="8" t="e">
        <f>VLOOKUP(A:A,'ITEM LIST'!A:C,3,0)</f>
        <v>#N/A</v>
      </c>
      <c r="D11135" s="6">
        <f t="shared" si="174"/>
        <v>0</v>
      </c>
    </row>
    <row r="11136" spans="3:4" ht="15" x14ac:dyDescent="0.25">
      <c r="C11136" s="8" t="e">
        <f>VLOOKUP(A:A,'ITEM LIST'!A:C,3,0)</f>
        <v>#N/A</v>
      </c>
      <c r="D11136" s="6">
        <f t="shared" si="174"/>
        <v>0</v>
      </c>
    </row>
    <row r="11137" spans="3:4" ht="15" x14ac:dyDescent="0.25">
      <c r="C11137" s="8" t="e">
        <f>VLOOKUP(A:A,'ITEM LIST'!A:C,3,0)</f>
        <v>#N/A</v>
      </c>
      <c r="D11137" s="6">
        <f t="shared" si="174"/>
        <v>0</v>
      </c>
    </row>
    <row r="11138" spans="3:4" ht="15" x14ac:dyDescent="0.25">
      <c r="C11138" s="8" t="e">
        <f>VLOOKUP(A:A,'ITEM LIST'!A:C,3,0)</f>
        <v>#N/A</v>
      </c>
      <c r="D11138" s="6">
        <f t="shared" si="174"/>
        <v>0</v>
      </c>
    </row>
    <row r="11139" spans="3:4" ht="15" x14ac:dyDescent="0.25">
      <c r="C11139" s="8" t="e">
        <f>VLOOKUP(A:A,'ITEM LIST'!A:C,3,0)</f>
        <v>#N/A</v>
      </c>
      <c r="D11139" s="6">
        <f t="shared" si="174"/>
        <v>0</v>
      </c>
    </row>
    <row r="11140" spans="3:4" ht="15" x14ac:dyDescent="0.25">
      <c r="C11140" s="8" t="e">
        <f>VLOOKUP(A:A,'ITEM LIST'!A:C,3,0)</f>
        <v>#N/A</v>
      </c>
      <c r="D11140" s="6">
        <f t="shared" si="174"/>
        <v>0</v>
      </c>
    </row>
    <row r="11141" spans="3:4" ht="15" x14ac:dyDescent="0.25">
      <c r="C11141" s="8" t="e">
        <f>VLOOKUP(A:A,'ITEM LIST'!A:C,3,0)</f>
        <v>#N/A</v>
      </c>
      <c r="D11141" s="6">
        <f t="shared" si="174"/>
        <v>0</v>
      </c>
    </row>
    <row r="11142" spans="3:4" ht="15" x14ac:dyDescent="0.25">
      <c r="C11142" s="8" t="e">
        <f>VLOOKUP(A:A,'ITEM LIST'!A:C,3,0)</f>
        <v>#N/A</v>
      </c>
      <c r="D11142" s="6">
        <f t="shared" ref="D11142:D11205" si="175">B11142</f>
        <v>0</v>
      </c>
    </row>
    <row r="11143" spans="3:4" ht="15" x14ac:dyDescent="0.25">
      <c r="C11143" s="8" t="e">
        <f>VLOOKUP(A:A,'ITEM LIST'!A:C,3,0)</f>
        <v>#N/A</v>
      </c>
      <c r="D11143" s="6">
        <f t="shared" si="175"/>
        <v>0</v>
      </c>
    </row>
    <row r="11144" spans="3:4" ht="15" x14ac:dyDescent="0.25">
      <c r="C11144" s="8" t="e">
        <f>VLOOKUP(A:A,'ITEM LIST'!A:C,3,0)</f>
        <v>#N/A</v>
      </c>
      <c r="D11144" s="6">
        <f t="shared" si="175"/>
        <v>0</v>
      </c>
    </row>
    <row r="11145" spans="3:4" ht="15" x14ac:dyDescent="0.25">
      <c r="C11145" s="8" t="e">
        <f>VLOOKUP(A:A,'ITEM LIST'!A:C,3,0)</f>
        <v>#N/A</v>
      </c>
      <c r="D11145" s="6">
        <f t="shared" si="175"/>
        <v>0</v>
      </c>
    </row>
    <row r="11146" spans="3:4" ht="15" x14ac:dyDescent="0.25">
      <c r="C11146" s="8" t="e">
        <f>VLOOKUP(A:A,'ITEM LIST'!A:C,3,0)</f>
        <v>#N/A</v>
      </c>
      <c r="D11146" s="6">
        <f t="shared" si="175"/>
        <v>0</v>
      </c>
    </row>
    <row r="11147" spans="3:4" ht="15" x14ac:dyDescent="0.25">
      <c r="C11147" s="8" t="e">
        <f>VLOOKUP(A:A,'ITEM LIST'!A:C,3,0)</f>
        <v>#N/A</v>
      </c>
      <c r="D11147" s="6">
        <f t="shared" si="175"/>
        <v>0</v>
      </c>
    </row>
    <row r="11148" spans="3:4" ht="15" x14ac:dyDescent="0.25">
      <c r="C11148" s="8" t="e">
        <f>VLOOKUP(A:A,'ITEM LIST'!A:C,3,0)</f>
        <v>#N/A</v>
      </c>
      <c r="D11148" s="6">
        <f t="shared" si="175"/>
        <v>0</v>
      </c>
    </row>
    <row r="11149" spans="3:4" ht="15" x14ac:dyDescent="0.25">
      <c r="C11149" s="8" t="e">
        <f>VLOOKUP(A:A,'ITEM LIST'!A:C,3,0)</f>
        <v>#N/A</v>
      </c>
      <c r="D11149" s="6">
        <f t="shared" si="175"/>
        <v>0</v>
      </c>
    </row>
    <row r="11150" spans="3:4" ht="15" x14ac:dyDescent="0.25">
      <c r="C11150" s="8" t="e">
        <f>VLOOKUP(A:A,'ITEM LIST'!A:C,3,0)</f>
        <v>#N/A</v>
      </c>
      <c r="D11150" s="6">
        <f t="shared" si="175"/>
        <v>0</v>
      </c>
    </row>
    <row r="11151" spans="3:4" ht="15" x14ac:dyDescent="0.25">
      <c r="C11151" s="8" t="e">
        <f>VLOOKUP(A:A,'ITEM LIST'!A:C,3,0)</f>
        <v>#N/A</v>
      </c>
      <c r="D11151" s="6">
        <f t="shared" si="175"/>
        <v>0</v>
      </c>
    </row>
    <row r="11152" spans="3:4" ht="15" x14ac:dyDescent="0.25">
      <c r="C11152" s="8" t="e">
        <f>VLOOKUP(A:A,'ITEM LIST'!A:C,3,0)</f>
        <v>#N/A</v>
      </c>
      <c r="D11152" s="6">
        <f t="shared" si="175"/>
        <v>0</v>
      </c>
    </row>
    <row r="11153" spans="3:4" ht="15" x14ac:dyDescent="0.25">
      <c r="C11153" s="8" t="e">
        <f>VLOOKUP(A:A,'ITEM LIST'!A:C,3,0)</f>
        <v>#N/A</v>
      </c>
      <c r="D11153" s="6">
        <f t="shared" si="175"/>
        <v>0</v>
      </c>
    </row>
    <row r="11154" spans="3:4" ht="15" x14ac:dyDescent="0.25">
      <c r="C11154" s="8" t="e">
        <f>VLOOKUP(A:A,'ITEM LIST'!A:C,3,0)</f>
        <v>#N/A</v>
      </c>
      <c r="D11154" s="6">
        <f t="shared" si="175"/>
        <v>0</v>
      </c>
    </row>
    <row r="11155" spans="3:4" ht="15" x14ac:dyDescent="0.25">
      <c r="C11155" s="8" t="e">
        <f>VLOOKUP(A:A,'ITEM LIST'!A:C,3,0)</f>
        <v>#N/A</v>
      </c>
      <c r="D11155" s="6">
        <f t="shared" si="175"/>
        <v>0</v>
      </c>
    </row>
    <row r="11156" spans="3:4" ht="15" x14ac:dyDescent="0.25">
      <c r="C11156" s="8" t="e">
        <f>VLOOKUP(A:A,'ITEM LIST'!A:C,3,0)</f>
        <v>#N/A</v>
      </c>
      <c r="D11156" s="6">
        <f t="shared" si="175"/>
        <v>0</v>
      </c>
    </row>
    <row r="11157" spans="3:4" ht="15" x14ac:dyDescent="0.25">
      <c r="C11157" s="8" t="e">
        <f>VLOOKUP(A:A,'ITEM LIST'!A:C,3,0)</f>
        <v>#N/A</v>
      </c>
      <c r="D11157" s="6">
        <f t="shared" si="175"/>
        <v>0</v>
      </c>
    </row>
    <row r="11158" spans="3:4" ht="15" x14ac:dyDescent="0.25">
      <c r="C11158" s="8" t="e">
        <f>VLOOKUP(A:A,'ITEM LIST'!A:C,3,0)</f>
        <v>#N/A</v>
      </c>
      <c r="D11158" s="6">
        <f t="shared" si="175"/>
        <v>0</v>
      </c>
    </row>
    <row r="11159" spans="3:4" ht="15" x14ac:dyDescent="0.25">
      <c r="C11159" s="8" t="e">
        <f>VLOOKUP(A:A,'ITEM LIST'!A:C,3,0)</f>
        <v>#N/A</v>
      </c>
      <c r="D11159" s="6">
        <f t="shared" si="175"/>
        <v>0</v>
      </c>
    </row>
    <row r="11160" spans="3:4" ht="15" x14ac:dyDescent="0.25">
      <c r="C11160" s="8" t="e">
        <f>VLOOKUP(A:A,'ITEM LIST'!A:C,3,0)</f>
        <v>#N/A</v>
      </c>
      <c r="D11160" s="6">
        <f t="shared" si="175"/>
        <v>0</v>
      </c>
    </row>
    <row r="11161" spans="3:4" ht="15" x14ac:dyDescent="0.25">
      <c r="C11161" s="8" t="e">
        <f>VLOOKUP(A:A,'ITEM LIST'!A:C,3,0)</f>
        <v>#N/A</v>
      </c>
      <c r="D11161" s="6">
        <f t="shared" si="175"/>
        <v>0</v>
      </c>
    </row>
    <row r="11162" spans="3:4" ht="15" x14ac:dyDescent="0.25">
      <c r="C11162" s="8" t="e">
        <f>VLOOKUP(A:A,'ITEM LIST'!A:C,3,0)</f>
        <v>#N/A</v>
      </c>
      <c r="D11162" s="6">
        <f t="shared" si="175"/>
        <v>0</v>
      </c>
    </row>
    <row r="11163" spans="3:4" ht="15" x14ac:dyDescent="0.25">
      <c r="C11163" s="8" t="e">
        <f>VLOOKUP(A:A,'ITEM LIST'!A:C,3,0)</f>
        <v>#N/A</v>
      </c>
      <c r="D11163" s="6">
        <f t="shared" si="175"/>
        <v>0</v>
      </c>
    </row>
    <row r="11164" spans="3:4" ht="15" x14ac:dyDescent="0.25">
      <c r="C11164" s="8" t="e">
        <f>VLOOKUP(A:A,'ITEM LIST'!A:C,3,0)</f>
        <v>#N/A</v>
      </c>
      <c r="D11164" s="6">
        <f t="shared" si="175"/>
        <v>0</v>
      </c>
    </row>
    <row r="11165" spans="3:4" ht="15" x14ac:dyDescent="0.25">
      <c r="C11165" s="8" t="e">
        <f>VLOOKUP(A:A,'ITEM LIST'!A:C,3,0)</f>
        <v>#N/A</v>
      </c>
      <c r="D11165" s="6">
        <f t="shared" si="175"/>
        <v>0</v>
      </c>
    </row>
    <row r="11166" spans="3:4" ht="15" x14ac:dyDescent="0.25">
      <c r="C11166" s="8" t="e">
        <f>VLOOKUP(A:A,'ITEM LIST'!A:C,3,0)</f>
        <v>#N/A</v>
      </c>
      <c r="D11166" s="6">
        <f t="shared" si="175"/>
        <v>0</v>
      </c>
    </row>
    <row r="11167" spans="3:4" ht="15" x14ac:dyDescent="0.25">
      <c r="C11167" s="8" t="e">
        <f>VLOOKUP(A:A,'ITEM LIST'!A:C,3,0)</f>
        <v>#N/A</v>
      </c>
      <c r="D11167" s="6">
        <f t="shared" si="175"/>
        <v>0</v>
      </c>
    </row>
    <row r="11168" spans="3:4" ht="15" x14ac:dyDescent="0.25">
      <c r="C11168" s="8" t="e">
        <f>VLOOKUP(A:A,'ITEM LIST'!A:C,3,0)</f>
        <v>#N/A</v>
      </c>
      <c r="D11168" s="6">
        <f t="shared" si="175"/>
        <v>0</v>
      </c>
    </row>
    <row r="11169" spans="3:4" ht="15" x14ac:dyDescent="0.25">
      <c r="C11169" s="8" t="e">
        <f>VLOOKUP(A:A,'ITEM LIST'!A:C,3,0)</f>
        <v>#N/A</v>
      </c>
      <c r="D11169" s="6">
        <f t="shared" si="175"/>
        <v>0</v>
      </c>
    </row>
    <row r="11170" spans="3:4" ht="15" x14ac:dyDescent="0.25">
      <c r="C11170" s="8" t="e">
        <f>VLOOKUP(A:A,'ITEM LIST'!A:C,3,0)</f>
        <v>#N/A</v>
      </c>
      <c r="D11170" s="6">
        <f t="shared" si="175"/>
        <v>0</v>
      </c>
    </row>
    <row r="11171" spans="3:4" ht="15" x14ac:dyDescent="0.25">
      <c r="C11171" s="8" t="e">
        <f>VLOOKUP(A:A,'ITEM LIST'!A:C,3,0)</f>
        <v>#N/A</v>
      </c>
      <c r="D11171" s="6">
        <f t="shared" si="175"/>
        <v>0</v>
      </c>
    </row>
    <row r="11172" spans="3:4" ht="15" x14ac:dyDescent="0.25">
      <c r="C11172" s="8" t="e">
        <f>VLOOKUP(A:A,'ITEM LIST'!A:C,3,0)</f>
        <v>#N/A</v>
      </c>
      <c r="D11172" s="6">
        <f t="shared" si="175"/>
        <v>0</v>
      </c>
    </row>
    <row r="11173" spans="3:4" ht="15" x14ac:dyDescent="0.25">
      <c r="C11173" s="8" t="e">
        <f>VLOOKUP(A:A,'ITEM LIST'!A:C,3,0)</f>
        <v>#N/A</v>
      </c>
      <c r="D11173" s="6">
        <f t="shared" si="175"/>
        <v>0</v>
      </c>
    </row>
    <row r="11174" spans="3:4" ht="15" x14ac:dyDescent="0.25">
      <c r="C11174" s="8" t="e">
        <f>VLOOKUP(A:A,'ITEM LIST'!A:C,3,0)</f>
        <v>#N/A</v>
      </c>
      <c r="D11174" s="6">
        <f t="shared" si="175"/>
        <v>0</v>
      </c>
    </row>
    <row r="11175" spans="3:4" ht="15" x14ac:dyDescent="0.25">
      <c r="C11175" s="8" t="e">
        <f>VLOOKUP(A:A,'ITEM LIST'!A:C,3,0)</f>
        <v>#N/A</v>
      </c>
      <c r="D11175" s="6">
        <f t="shared" si="175"/>
        <v>0</v>
      </c>
    </row>
    <row r="11176" spans="3:4" ht="15" x14ac:dyDescent="0.25">
      <c r="C11176" s="8" t="e">
        <f>VLOOKUP(A:A,'ITEM LIST'!A:C,3,0)</f>
        <v>#N/A</v>
      </c>
      <c r="D11176" s="6">
        <f t="shared" si="175"/>
        <v>0</v>
      </c>
    </row>
    <row r="11177" spans="3:4" ht="15" x14ac:dyDescent="0.25">
      <c r="C11177" s="8" t="e">
        <f>VLOOKUP(A:A,'ITEM LIST'!A:C,3,0)</f>
        <v>#N/A</v>
      </c>
      <c r="D11177" s="6">
        <f t="shared" si="175"/>
        <v>0</v>
      </c>
    </row>
    <row r="11178" spans="3:4" ht="15" x14ac:dyDescent="0.25">
      <c r="C11178" s="8" t="e">
        <f>VLOOKUP(A:A,'ITEM LIST'!A:C,3,0)</f>
        <v>#N/A</v>
      </c>
      <c r="D11178" s="6">
        <f t="shared" si="175"/>
        <v>0</v>
      </c>
    </row>
    <row r="11179" spans="3:4" ht="15" x14ac:dyDescent="0.25">
      <c r="C11179" s="8" t="e">
        <f>VLOOKUP(A:A,'ITEM LIST'!A:C,3,0)</f>
        <v>#N/A</v>
      </c>
      <c r="D11179" s="6">
        <f t="shared" si="175"/>
        <v>0</v>
      </c>
    </row>
    <row r="11180" spans="3:4" ht="15" x14ac:dyDescent="0.25">
      <c r="C11180" s="8" t="e">
        <f>VLOOKUP(A:A,'ITEM LIST'!A:C,3,0)</f>
        <v>#N/A</v>
      </c>
      <c r="D11180" s="6">
        <f t="shared" si="175"/>
        <v>0</v>
      </c>
    </row>
    <row r="11181" spans="3:4" ht="15" x14ac:dyDescent="0.25">
      <c r="C11181" s="8" t="e">
        <f>VLOOKUP(A:A,'ITEM LIST'!A:C,3,0)</f>
        <v>#N/A</v>
      </c>
      <c r="D11181" s="6">
        <f t="shared" si="175"/>
        <v>0</v>
      </c>
    </row>
    <row r="11182" spans="3:4" ht="15" x14ac:dyDescent="0.25">
      <c r="C11182" s="8" t="e">
        <f>VLOOKUP(A:A,'ITEM LIST'!A:C,3,0)</f>
        <v>#N/A</v>
      </c>
      <c r="D11182" s="6">
        <f t="shared" si="175"/>
        <v>0</v>
      </c>
    </row>
    <row r="11183" spans="3:4" ht="15" x14ac:dyDescent="0.25">
      <c r="C11183" s="8" t="e">
        <f>VLOOKUP(A:A,'ITEM LIST'!A:C,3,0)</f>
        <v>#N/A</v>
      </c>
      <c r="D11183" s="6">
        <f t="shared" si="175"/>
        <v>0</v>
      </c>
    </row>
    <row r="11184" spans="3:4" ht="15" x14ac:dyDescent="0.25">
      <c r="C11184" s="8" t="e">
        <f>VLOOKUP(A:A,'ITEM LIST'!A:C,3,0)</f>
        <v>#N/A</v>
      </c>
      <c r="D11184" s="6">
        <f t="shared" si="175"/>
        <v>0</v>
      </c>
    </row>
    <row r="11185" spans="3:4" ht="15" x14ac:dyDescent="0.25">
      <c r="C11185" s="8" t="e">
        <f>VLOOKUP(A:A,'ITEM LIST'!A:C,3,0)</f>
        <v>#N/A</v>
      </c>
      <c r="D11185" s="6">
        <f t="shared" si="175"/>
        <v>0</v>
      </c>
    </row>
    <row r="11186" spans="3:4" ht="15" x14ac:dyDescent="0.25">
      <c r="C11186" s="8" t="e">
        <f>VLOOKUP(A:A,'ITEM LIST'!A:C,3,0)</f>
        <v>#N/A</v>
      </c>
      <c r="D11186" s="6">
        <f t="shared" si="175"/>
        <v>0</v>
      </c>
    </row>
    <row r="11187" spans="3:4" ht="15" x14ac:dyDescent="0.25">
      <c r="C11187" s="8" t="e">
        <f>VLOOKUP(A:A,'ITEM LIST'!A:C,3,0)</f>
        <v>#N/A</v>
      </c>
      <c r="D11187" s="6">
        <f t="shared" si="175"/>
        <v>0</v>
      </c>
    </row>
    <row r="11188" spans="3:4" ht="15" x14ac:dyDescent="0.25">
      <c r="C11188" s="8" t="e">
        <f>VLOOKUP(A:A,'ITEM LIST'!A:C,3,0)</f>
        <v>#N/A</v>
      </c>
      <c r="D11188" s="6">
        <f t="shared" si="175"/>
        <v>0</v>
      </c>
    </row>
    <row r="11189" spans="3:4" ht="15" x14ac:dyDescent="0.25">
      <c r="C11189" s="8" t="e">
        <f>VLOOKUP(A:A,'ITEM LIST'!A:C,3,0)</f>
        <v>#N/A</v>
      </c>
      <c r="D11189" s="6">
        <f t="shared" si="175"/>
        <v>0</v>
      </c>
    </row>
    <row r="11190" spans="3:4" ht="15" x14ac:dyDescent="0.25">
      <c r="C11190" s="8" t="e">
        <f>VLOOKUP(A:A,'ITEM LIST'!A:C,3,0)</f>
        <v>#N/A</v>
      </c>
      <c r="D11190" s="6">
        <f t="shared" si="175"/>
        <v>0</v>
      </c>
    </row>
    <row r="11191" spans="3:4" ht="15" x14ac:dyDescent="0.25">
      <c r="C11191" s="8" t="e">
        <f>VLOOKUP(A:A,'ITEM LIST'!A:C,3,0)</f>
        <v>#N/A</v>
      </c>
      <c r="D11191" s="6">
        <f t="shared" si="175"/>
        <v>0</v>
      </c>
    </row>
    <row r="11192" spans="3:4" ht="15" x14ac:dyDescent="0.25">
      <c r="C11192" s="8" t="e">
        <f>VLOOKUP(A:A,'ITEM LIST'!A:C,3,0)</f>
        <v>#N/A</v>
      </c>
      <c r="D11192" s="6">
        <f t="shared" si="175"/>
        <v>0</v>
      </c>
    </row>
    <row r="11193" spans="3:4" ht="15" x14ac:dyDescent="0.25">
      <c r="C11193" s="8" t="e">
        <f>VLOOKUP(A:A,'ITEM LIST'!A:C,3,0)</f>
        <v>#N/A</v>
      </c>
      <c r="D11193" s="6">
        <f t="shared" si="175"/>
        <v>0</v>
      </c>
    </row>
    <row r="11194" spans="3:4" ht="15" x14ac:dyDescent="0.25">
      <c r="C11194" s="8" t="e">
        <f>VLOOKUP(A:A,'ITEM LIST'!A:C,3,0)</f>
        <v>#N/A</v>
      </c>
      <c r="D11194" s="6">
        <f t="shared" si="175"/>
        <v>0</v>
      </c>
    </row>
    <row r="11195" spans="3:4" ht="15" x14ac:dyDescent="0.25">
      <c r="C11195" s="8" t="e">
        <f>VLOOKUP(A:A,'ITEM LIST'!A:C,3,0)</f>
        <v>#N/A</v>
      </c>
      <c r="D11195" s="6">
        <f t="shared" si="175"/>
        <v>0</v>
      </c>
    </row>
    <row r="11196" spans="3:4" ht="15" x14ac:dyDescent="0.25">
      <c r="C11196" s="8" t="e">
        <f>VLOOKUP(A:A,'ITEM LIST'!A:C,3,0)</f>
        <v>#N/A</v>
      </c>
      <c r="D11196" s="6">
        <f t="shared" si="175"/>
        <v>0</v>
      </c>
    </row>
    <row r="11197" spans="3:4" ht="15" x14ac:dyDescent="0.25">
      <c r="C11197" s="8" t="e">
        <f>VLOOKUP(A:A,'ITEM LIST'!A:C,3,0)</f>
        <v>#N/A</v>
      </c>
      <c r="D11197" s="6">
        <f t="shared" si="175"/>
        <v>0</v>
      </c>
    </row>
    <row r="11198" spans="3:4" ht="15" x14ac:dyDescent="0.25">
      <c r="C11198" s="8" t="e">
        <f>VLOOKUP(A:A,'ITEM LIST'!A:C,3,0)</f>
        <v>#N/A</v>
      </c>
      <c r="D11198" s="6">
        <f t="shared" si="175"/>
        <v>0</v>
      </c>
    </row>
    <row r="11199" spans="3:4" ht="15" x14ac:dyDescent="0.25">
      <c r="C11199" s="8" t="e">
        <f>VLOOKUP(A:A,'ITEM LIST'!A:C,3,0)</f>
        <v>#N/A</v>
      </c>
      <c r="D11199" s="6">
        <f t="shared" si="175"/>
        <v>0</v>
      </c>
    </row>
    <row r="11200" spans="3:4" ht="15" x14ac:dyDescent="0.25">
      <c r="C11200" s="8" t="e">
        <f>VLOOKUP(A:A,'ITEM LIST'!A:C,3,0)</f>
        <v>#N/A</v>
      </c>
      <c r="D11200" s="6">
        <f t="shared" si="175"/>
        <v>0</v>
      </c>
    </row>
    <row r="11201" spans="3:4" ht="15" x14ac:dyDescent="0.25">
      <c r="C11201" s="8" t="e">
        <f>VLOOKUP(A:A,'ITEM LIST'!A:C,3,0)</f>
        <v>#N/A</v>
      </c>
      <c r="D11201" s="6">
        <f t="shared" si="175"/>
        <v>0</v>
      </c>
    </row>
    <row r="11202" spans="3:4" ht="15" x14ac:dyDescent="0.25">
      <c r="C11202" s="8" t="e">
        <f>VLOOKUP(A:A,'ITEM LIST'!A:C,3,0)</f>
        <v>#N/A</v>
      </c>
      <c r="D11202" s="6">
        <f t="shared" si="175"/>
        <v>0</v>
      </c>
    </row>
    <row r="11203" spans="3:4" ht="15" x14ac:dyDescent="0.25">
      <c r="C11203" s="8" t="e">
        <f>VLOOKUP(A:A,'ITEM LIST'!A:C,3,0)</f>
        <v>#N/A</v>
      </c>
      <c r="D11203" s="6">
        <f t="shared" si="175"/>
        <v>0</v>
      </c>
    </row>
    <row r="11204" spans="3:4" ht="15" x14ac:dyDescent="0.25">
      <c r="C11204" s="8" t="e">
        <f>VLOOKUP(A:A,'ITEM LIST'!A:C,3,0)</f>
        <v>#N/A</v>
      </c>
      <c r="D11204" s="6">
        <f t="shared" si="175"/>
        <v>0</v>
      </c>
    </row>
    <row r="11205" spans="3:4" ht="15" x14ac:dyDescent="0.25">
      <c r="C11205" s="8" t="e">
        <f>VLOOKUP(A:A,'ITEM LIST'!A:C,3,0)</f>
        <v>#N/A</v>
      </c>
      <c r="D11205" s="6">
        <f t="shared" si="175"/>
        <v>0</v>
      </c>
    </row>
    <row r="11206" spans="3:4" ht="15" x14ac:dyDescent="0.25">
      <c r="C11206" s="8" t="e">
        <f>VLOOKUP(A:A,'ITEM LIST'!A:C,3,0)</f>
        <v>#N/A</v>
      </c>
      <c r="D11206" s="6">
        <f t="shared" ref="D11206:D11269" si="176">B11206</f>
        <v>0</v>
      </c>
    </row>
    <row r="11207" spans="3:4" ht="15" x14ac:dyDescent="0.25">
      <c r="C11207" s="8" t="e">
        <f>VLOOKUP(A:A,'ITEM LIST'!A:C,3,0)</f>
        <v>#N/A</v>
      </c>
      <c r="D11207" s="6">
        <f t="shared" si="176"/>
        <v>0</v>
      </c>
    </row>
    <row r="11208" spans="3:4" ht="15" x14ac:dyDescent="0.25">
      <c r="C11208" s="8" t="e">
        <f>VLOOKUP(A:A,'ITEM LIST'!A:C,3,0)</f>
        <v>#N/A</v>
      </c>
      <c r="D11208" s="6">
        <f t="shared" si="176"/>
        <v>0</v>
      </c>
    </row>
    <row r="11209" spans="3:4" ht="15" x14ac:dyDescent="0.25">
      <c r="C11209" s="8" t="e">
        <f>VLOOKUP(A:A,'ITEM LIST'!A:C,3,0)</f>
        <v>#N/A</v>
      </c>
      <c r="D11209" s="6">
        <f t="shared" si="176"/>
        <v>0</v>
      </c>
    </row>
    <row r="11210" spans="3:4" ht="15" x14ac:dyDescent="0.25">
      <c r="C11210" s="8" t="e">
        <f>VLOOKUP(A:A,'ITEM LIST'!A:C,3,0)</f>
        <v>#N/A</v>
      </c>
      <c r="D11210" s="6">
        <f t="shared" si="176"/>
        <v>0</v>
      </c>
    </row>
    <row r="11211" spans="3:4" ht="15" x14ac:dyDescent="0.25">
      <c r="C11211" s="8" t="e">
        <f>VLOOKUP(A:A,'ITEM LIST'!A:C,3,0)</f>
        <v>#N/A</v>
      </c>
      <c r="D11211" s="6">
        <f t="shared" si="176"/>
        <v>0</v>
      </c>
    </row>
    <row r="11212" spans="3:4" ht="15" x14ac:dyDescent="0.25">
      <c r="C11212" s="8" t="e">
        <f>VLOOKUP(A:A,'ITEM LIST'!A:C,3,0)</f>
        <v>#N/A</v>
      </c>
      <c r="D11212" s="6">
        <f t="shared" si="176"/>
        <v>0</v>
      </c>
    </row>
    <row r="11213" spans="3:4" ht="15" x14ac:dyDescent="0.25">
      <c r="C11213" s="8" t="e">
        <f>VLOOKUP(A:A,'ITEM LIST'!A:C,3,0)</f>
        <v>#N/A</v>
      </c>
      <c r="D11213" s="6">
        <f t="shared" si="176"/>
        <v>0</v>
      </c>
    </row>
    <row r="11214" spans="3:4" ht="15" x14ac:dyDescent="0.25">
      <c r="C11214" s="8" t="e">
        <f>VLOOKUP(A:A,'ITEM LIST'!A:C,3,0)</f>
        <v>#N/A</v>
      </c>
      <c r="D11214" s="6">
        <f t="shared" si="176"/>
        <v>0</v>
      </c>
    </row>
    <row r="11215" spans="3:4" ht="15" x14ac:dyDescent="0.25">
      <c r="C11215" s="8" t="e">
        <f>VLOOKUP(A:A,'ITEM LIST'!A:C,3,0)</f>
        <v>#N/A</v>
      </c>
      <c r="D11215" s="6">
        <f t="shared" si="176"/>
        <v>0</v>
      </c>
    </row>
    <row r="11216" spans="3:4" ht="15" x14ac:dyDescent="0.25">
      <c r="C11216" s="8" t="e">
        <f>VLOOKUP(A:A,'ITEM LIST'!A:C,3,0)</f>
        <v>#N/A</v>
      </c>
      <c r="D11216" s="6">
        <f t="shared" si="176"/>
        <v>0</v>
      </c>
    </row>
    <row r="11217" spans="3:4" ht="15" x14ac:dyDescent="0.25">
      <c r="C11217" s="8" t="e">
        <f>VLOOKUP(A:A,'ITEM LIST'!A:C,3,0)</f>
        <v>#N/A</v>
      </c>
      <c r="D11217" s="6">
        <f t="shared" si="176"/>
        <v>0</v>
      </c>
    </row>
    <row r="11218" spans="3:4" ht="15" x14ac:dyDescent="0.25">
      <c r="C11218" s="8" t="e">
        <f>VLOOKUP(A:A,'ITEM LIST'!A:C,3,0)</f>
        <v>#N/A</v>
      </c>
      <c r="D11218" s="6">
        <f t="shared" si="176"/>
        <v>0</v>
      </c>
    </row>
    <row r="11219" spans="3:4" ht="15" x14ac:dyDescent="0.25">
      <c r="C11219" s="8" t="e">
        <f>VLOOKUP(A:A,'ITEM LIST'!A:C,3,0)</f>
        <v>#N/A</v>
      </c>
      <c r="D11219" s="6">
        <f t="shared" si="176"/>
        <v>0</v>
      </c>
    </row>
    <row r="11220" spans="3:4" ht="15" x14ac:dyDescent="0.25">
      <c r="C11220" s="8" t="e">
        <f>VLOOKUP(A:A,'ITEM LIST'!A:C,3,0)</f>
        <v>#N/A</v>
      </c>
      <c r="D11220" s="6">
        <f t="shared" si="176"/>
        <v>0</v>
      </c>
    </row>
    <row r="11221" spans="3:4" ht="15" x14ac:dyDescent="0.25">
      <c r="C11221" s="8" t="e">
        <f>VLOOKUP(A:A,'ITEM LIST'!A:C,3,0)</f>
        <v>#N/A</v>
      </c>
      <c r="D11221" s="6">
        <f t="shared" si="176"/>
        <v>0</v>
      </c>
    </row>
    <row r="11222" spans="3:4" ht="15" x14ac:dyDescent="0.25">
      <c r="C11222" s="8" t="e">
        <f>VLOOKUP(A:A,'ITEM LIST'!A:C,3,0)</f>
        <v>#N/A</v>
      </c>
      <c r="D11222" s="6">
        <f t="shared" si="176"/>
        <v>0</v>
      </c>
    </row>
    <row r="11223" spans="3:4" ht="15" x14ac:dyDescent="0.25">
      <c r="C11223" s="8" t="e">
        <f>VLOOKUP(A:A,'ITEM LIST'!A:C,3,0)</f>
        <v>#N/A</v>
      </c>
      <c r="D11223" s="6">
        <f t="shared" si="176"/>
        <v>0</v>
      </c>
    </row>
    <row r="11224" spans="3:4" ht="15" x14ac:dyDescent="0.25">
      <c r="C11224" s="8" t="e">
        <f>VLOOKUP(A:A,'ITEM LIST'!A:C,3,0)</f>
        <v>#N/A</v>
      </c>
      <c r="D11224" s="6">
        <f t="shared" si="176"/>
        <v>0</v>
      </c>
    </row>
    <row r="11225" spans="3:4" ht="15" x14ac:dyDescent="0.25">
      <c r="C11225" s="8" t="e">
        <f>VLOOKUP(A:A,'ITEM LIST'!A:C,3,0)</f>
        <v>#N/A</v>
      </c>
      <c r="D11225" s="6">
        <f t="shared" si="176"/>
        <v>0</v>
      </c>
    </row>
    <row r="11226" spans="3:4" ht="15" x14ac:dyDescent="0.25">
      <c r="C11226" s="8" t="e">
        <f>VLOOKUP(A:A,'ITEM LIST'!A:C,3,0)</f>
        <v>#N/A</v>
      </c>
      <c r="D11226" s="6">
        <f t="shared" si="176"/>
        <v>0</v>
      </c>
    </row>
    <row r="11227" spans="3:4" ht="15" x14ac:dyDescent="0.25">
      <c r="C11227" s="8" t="e">
        <f>VLOOKUP(A:A,'ITEM LIST'!A:C,3,0)</f>
        <v>#N/A</v>
      </c>
      <c r="D11227" s="6">
        <f t="shared" si="176"/>
        <v>0</v>
      </c>
    </row>
    <row r="11228" spans="3:4" ht="15" x14ac:dyDescent="0.25">
      <c r="C11228" s="8" t="e">
        <f>VLOOKUP(A:A,'ITEM LIST'!A:C,3,0)</f>
        <v>#N/A</v>
      </c>
      <c r="D11228" s="6">
        <f t="shared" si="176"/>
        <v>0</v>
      </c>
    </row>
    <row r="11229" spans="3:4" ht="15" x14ac:dyDescent="0.25">
      <c r="C11229" s="8" t="e">
        <f>VLOOKUP(A:A,'ITEM LIST'!A:C,3,0)</f>
        <v>#N/A</v>
      </c>
      <c r="D11229" s="6">
        <f t="shared" si="176"/>
        <v>0</v>
      </c>
    </row>
    <row r="11230" spans="3:4" ht="15" x14ac:dyDescent="0.25">
      <c r="C11230" s="8" t="e">
        <f>VLOOKUP(A:A,'ITEM LIST'!A:C,3,0)</f>
        <v>#N/A</v>
      </c>
      <c r="D11230" s="6">
        <f t="shared" si="176"/>
        <v>0</v>
      </c>
    </row>
    <row r="11231" spans="3:4" ht="15" x14ac:dyDescent="0.25">
      <c r="C11231" s="8" t="e">
        <f>VLOOKUP(A:A,'ITEM LIST'!A:C,3,0)</f>
        <v>#N/A</v>
      </c>
      <c r="D11231" s="6">
        <f t="shared" si="176"/>
        <v>0</v>
      </c>
    </row>
    <row r="11232" spans="3:4" ht="15" x14ac:dyDescent="0.25">
      <c r="C11232" s="8" t="e">
        <f>VLOOKUP(A:A,'ITEM LIST'!A:C,3,0)</f>
        <v>#N/A</v>
      </c>
      <c r="D11232" s="6">
        <f t="shared" si="176"/>
        <v>0</v>
      </c>
    </row>
    <row r="11233" spans="3:4" ht="15" x14ac:dyDescent="0.25">
      <c r="C11233" s="8" t="e">
        <f>VLOOKUP(A:A,'ITEM LIST'!A:C,3,0)</f>
        <v>#N/A</v>
      </c>
      <c r="D11233" s="6">
        <f t="shared" si="176"/>
        <v>0</v>
      </c>
    </row>
    <row r="11234" spans="3:4" ht="15" x14ac:dyDescent="0.25">
      <c r="C11234" s="8" t="e">
        <f>VLOOKUP(A:A,'ITEM LIST'!A:C,3,0)</f>
        <v>#N/A</v>
      </c>
      <c r="D11234" s="6">
        <f t="shared" si="176"/>
        <v>0</v>
      </c>
    </row>
    <row r="11235" spans="3:4" ht="15" x14ac:dyDescent="0.25">
      <c r="C11235" s="8" t="e">
        <f>VLOOKUP(A:A,'ITEM LIST'!A:C,3,0)</f>
        <v>#N/A</v>
      </c>
      <c r="D11235" s="6">
        <f t="shared" si="176"/>
        <v>0</v>
      </c>
    </row>
    <row r="11236" spans="3:4" ht="15" x14ac:dyDescent="0.25">
      <c r="C11236" s="8" t="e">
        <f>VLOOKUP(A:A,'ITEM LIST'!A:C,3,0)</f>
        <v>#N/A</v>
      </c>
      <c r="D11236" s="6">
        <f t="shared" si="176"/>
        <v>0</v>
      </c>
    </row>
    <row r="11237" spans="3:4" ht="15" x14ac:dyDescent="0.25">
      <c r="C11237" s="8" t="e">
        <f>VLOOKUP(A:A,'ITEM LIST'!A:C,3,0)</f>
        <v>#N/A</v>
      </c>
      <c r="D11237" s="6">
        <f t="shared" si="176"/>
        <v>0</v>
      </c>
    </row>
    <row r="11238" spans="3:4" ht="15" x14ac:dyDescent="0.25">
      <c r="C11238" s="8" t="e">
        <f>VLOOKUP(A:A,'ITEM LIST'!A:C,3,0)</f>
        <v>#N/A</v>
      </c>
      <c r="D11238" s="6">
        <f t="shared" si="176"/>
        <v>0</v>
      </c>
    </row>
    <row r="11239" spans="3:4" ht="15" x14ac:dyDescent="0.25">
      <c r="C11239" s="8" t="e">
        <f>VLOOKUP(A:A,'ITEM LIST'!A:C,3,0)</f>
        <v>#N/A</v>
      </c>
      <c r="D11239" s="6">
        <f t="shared" si="176"/>
        <v>0</v>
      </c>
    </row>
    <row r="11240" spans="3:4" ht="15" x14ac:dyDescent="0.25">
      <c r="C11240" s="8" t="e">
        <f>VLOOKUP(A:A,'ITEM LIST'!A:C,3,0)</f>
        <v>#N/A</v>
      </c>
      <c r="D11240" s="6">
        <f t="shared" si="176"/>
        <v>0</v>
      </c>
    </row>
    <row r="11241" spans="3:4" ht="15" x14ac:dyDescent="0.25">
      <c r="C11241" s="8" t="e">
        <f>VLOOKUP(A:A,'ITEM LIST'!A:C,3,0)</f>
        <v>#N/A</v>
      </c>
      <c r="D11241" s="6">
        <f t="shared" si="176"/>
        <v>0</v>
      </c>
    </row>
    <row r="11242" spans="3:4" ht="15" x14ac:dyDescent="0.25">
      <c r="C11242" s="8" t="e">
        <f>VLOOKUP(A:A,'ITEM LIST'!A:C,3,0)</f>
        <v>#N/A</v>
      </c>
      <c r="D11242" s="6">
        <f t="shared" si="176"/>
        <v>0</v>
      </c>
    </row>
    <row r="11243" spans="3:4" ht="15" x14ac:dyDescent="0.25">
      <c r="C11243" s="8" t="e">
        <f>VLOOKUP(A:A,'ITEM LIST'!A:C,3,0)</f>
        <v>#N/A</v>
      </c>
      <c r="D11243" s="6">
        <f t="shared" si="176"/>
        <v>0</v>
      </c>
    </row>
    <row r="11244" spans="3:4" ht="15" x14ac:dyDescent="0.25">
      <c r="C11244" s="8" t="e">
        <f>VLOOKUP(A:A,'ITEM LIST'!A:C,3,0)</f>
        <v>#N/A</v>
      </c>
      <c r="D11244" s="6">
        <f t="shared" si="176"/>
        <v>0</v>
      </c>
    </row>
    <row r="11245" spans="3:4" ht="15" x14ac:dyDescent="0.25">
      <c r="C11245" s="8" t="e">
        <f>VLOOKUP(A:A,'ITEM LIST'!A:C,3,0)</f>
        <v>#N/A</v>
      </c>
      <c r="D11245" s="6">
        <f t="shared" si="176"/>
        <v>0</v>
      </c>
    </row>
    <row r="11246" spans="3:4" ht="15" x14ac:dyDescent="0.25">
      <c r="C11246" s="8" t="e">
        <f>VLOOKUP(A:A,'ITEM LIST'!A:C,3,0)</f>
        <v>#N/A</v>
      </c>
      <c r="D11246" s="6">
        <f t="shared" si="176"/>
        <v>0</v>
      </c>
    </row>
    <row r="11247" spans="3:4" ht="15" x14ac:dyDescent="0.25">
      <c r="C11247" s="8" t="e">
        <f>VLOOKUP(A:A,'ITEM LIST'!A:C,3,0)</f>
        <v>#N/A</v>
      </c>
      <c r="D11247" s="6">
        <f t="shared" si="176"/>
        <v>0</v>
      </c>
    </row>
    <row r="11248" spans="3:4" ht="15" x14ac:dyDescent="0.25">
      <c r="C11248" s="8" t="e">
        <f>VLOOKUP(A:A,'ITEM LIST'!A:C,3,0)</f>
        <v>#N/A</v>
      </c>
      <c r="D11248" s="6">
        <f t="shared" si="176"/>
        <v>0</v>
      </c>
    </row>
    <row r="11249" spans="3:4" ht="15" x14ac:dyDescent="0.25">
      <c r="C11249" s="8" t="e">
        <f>VLOOKUP(A:A,'ITEM LIST'!A:C,3,0)</f>
        <v>#N/A</v>
      </c>
      <c r="D11249" s="6">
        <f t="shared" si="176"/>
        <v>0</v>
      </c>
    </row>
    <row r="11250" spans="3:4" ht="15" x14ac:dyDescent="0.25">
      <c r="C11250" s="8" t="e">
        <f>VLOOKUP(A:A,'ITEM LIST'!A:C,3,0)</f>
        <v>#N/A</v>
      </c>
      <c r="D11250" s="6">
        <f t="shared" si="176"/>
        <v>0</v>
      </c>
    </row>
    <row r="11251" spans="3:4" ht="15" x14ac:dyDescent="0.25">
      <c r="C11251" s="8" t="e">
        <f>VLOOKUP(A:A,'ITEM LIST'!A:C,3,0)</f>
        <v>#N/A</v>
      </c>
      <c r="D11251" s="6">
        <f t="shared" si="176"/>
        <v>0</v>
      </c>
    </row>
    <row r="11252" spans="3:4" ht="15" x14ac:dyDescent="0.25">
      <c r="C11252" s="8" t="e">
        <f>VLOOKUP(A:A,'ITEM LIST'!A:C,3,0)</f>
        <v>#N/A</v>
      </c>
      <c r="D11252" s="6">
        <f t="shared" si="176"/>
        <v>0</v>
      </c>
    </row>
    <row r="11253" spans="3:4" ht="15" x14ac:dyDescent="0.25">
      <c r="C11253" s="8" t="e">
        <f>VLOOKUP(A:A,'ITEM LIST'!A:C,3,0)</f>
        <v>#N/A</v>
      </c>
      <c r="D11253" s="6">
        <f t="shared" si="176"/>
        <v>0</v>
      </c>
    </row>
    <row r="11254" spans="3:4" ht="15" x14ac:dyDescent="0.25">
      <c r="C11254" s="8" t="e">
        <f>VLOOKUP(A:A,'ITEM LIST'!A:C,3,0)</f>
        <v>#N/A</v>
      </c>
      <c r="D11254" s="6">
        <f t="shared" si="176"/>
        <v>0</v>
      </c>
    </row>
    <row r="11255" spans="3:4" ht="15" x14ac:dyDescent="0.25">
      <c r="C11255" s="8" t="e">
        <f>VLOOKUP(A:A,'ITEM LIST'!A:C,3,0)</f>
        <v>#N/A</v>
      </c>
      <c r="D11255" s="6">
        <f t="shared" si="176"/>
        <v>0</v>
      </c>
    </row>
    <row r="11256" spans="3:4" ht="15" x14ac:dyDescent="0.25">
      <c r="C11256" s="8" t="e">
        <f>VLOOKUP(A:A,'ITEM LIST'!A:C,3,0)</f>
        <v>#N/A</v>
      </c>
      <c r="D11256" s="6">
        <f t="shared" si="176"/>
        <v>0</v>
      </c>
    </row>
    <row r="11257" spans="3:4" ht="15" x14ac:dyDescent="0.25">
      <c r="C11257" s="8" t="e">
        <f>VLOOKUP(A:A,'ITEM LIST'!A:C,3,0)</f>
        <v>#N/A</v>
      </c>
      <c r="D11257" s="6">
        <f t="shared" si="176"/>
        <v>0</v>
      </c>
    </row>
    <row r="11258" spans="3:4" ht="15" x14ac:dyDescent="0.25">
      <c r="C11258" s="8" t="e">
        <f>VLOOKUP(A:A,'ITEM LIST'!A:C,3,0)</f>
        <v>#N/A</v>
      </c>
      <c r="D11258" s="6">
        <f t="shared" si="176"/>
        <v>0</v>
      </c>
    </row>
    <row r="11259" spans="3:4" ht="15" x14ac:dyDescent="0.25">
      <c r="C11259" s="8" t="e">
        <f>VLOOKUP(A:A,'ITEM LIST'!A:C,3,0)</f>
        <v>#N/A</v>
      </c>
      <c r="D11259" s="6">
        <f t="shared" si="176"/>
        <v>0</v>
      </c>
    </row>
    <row r="11260" spans="3:4" ht="15" x14ac:dyDescent="0.25">
      <c r="C11260" s="8" t="e">
        <f>VLOOKUP(A:A,'ITEM LIST'!A:C,3,0)</f>
        <v>#N/A</v>
      </c>
      <c r="D11260" s="6">
        <f t="shared" si="176"/>
        <v>0</v>
      </c>
    </row>
    <row r="11261" spans="3:4" ht="15" x14ac:dyDescent="0.25">
      <c r="C11261" s="8" t="e">
        <f>VLOOKUP(A:A,'ITEM LIST'!A:C,3,0)</f>
        <v>#N/A</v>
      </c>
      <c r="D11261" s="6">
        <f t="shared" si="176"/>
        <v>0</v>
      </c>
    </row>
    <row r="11262" spans="3:4" ht="15" x14ac:dyDescent="0.25">
      <c r="C11262" s="8" t="e">
        <f>VLOOKUP(A:A,'ITEM LIST'!A:C,3,0)</f>
        <v>#N/A</v>
      </c>
      <c r="D11262" s="6">
        <f t="shared" si="176"/>
        <v>0</v>
      </c>
    </row>
    <row r="11263" spans="3:4" ht="15" x14ac:dyDescent="0.25">
      <c r="C11263" s="8" t="e">
        <f>VLOOKUP(A:A,'ITEM LIST'!A:C,3,0)</f>
        <v>#N/A</v>
      </c>
      <c r="D11263" s="6">
        <f t="shared" si="176"/>
        <v>0</v>
      </c>
    </row>
    <row r="11264" spans="3:4" ht="15" x14ac:dyDescent="0.25">
      <c r="C11264" s="8" t="e">
        <f>VLOOKUP(A:A,'ITEM LIST'!A:C,3,0)</f>
        <v>#N/A</v>
      </c>
      <c r="D11264" s="6">
        <f t="shared" si="176"/>
        <v>0</v>
      </c>
    </row>
    <row r="11265" spans="3:4" ht="15" x14ac:dyDescent="0.25">
      <c r="C11265" s="8" t="e">
        <f>VLOOKUP(A:A,'ITEM LIST'!A:C,3,0)</f>
        <v>#N/A</v>
      </c>
      <c r="D11265" s="6">
        <f t="shared" si="176"/>
        <v>0</v>
      </c>
    </row>
    <row r="11266" spans="3:4" ht="15" x14ac:dyDescent="0.25">
      <c r="C11266" s="8" t="e">
        <f>VLOOKUP(A:A,'ITEM LIST'!A:C,3,0)</f>
        <v>#N/A</v>
      </c>
      <c r="D11266" s="6">
        <f t="shared" si="176"/>
        <v>0</v>
      </c>
    </row>
    <row r="11267" spans="3:4" ht="15" x14ac:dyDescent="0.25">
      <c r="C11267" s="8" t="e">
        <f>VLOOKUP(A:A,'ITEM LIST'!A:C,3,0)</f>
        <v>#N/A</v>
      </c>
      <c r="D11267" s="6">
        <f t="shared" si="176"/>
        <v>0</v>
      </c>
    </row>
    <row r="11268" spans="3:4" ht="15" x14ac:dyDescent="0.25">
      <c r="C11268" s="8" t="e">
        <f>VLOOKUP(A:A,'ITEM LIST'!A:C,3,0)</f>
        <v>#N/A</v>
      </c>
      <c r="D11268" s="6">
        <f t="shared" si="176"/>
        <v>0</v>
      </c>
    </row>
    <row r="11269" spans="3:4" ht="15" x14ac:dyDescent="0.25">
      <c r="C11269" s="8" t="e">
        <f>VLOOKUP(A:A,'ITEM LIST'!A:C,3,0)</f>
        <v>#N/A</v>
      </c>
      <c r="D11269" s="6">
        <f t="shared" si="176"/>
        <v>0</v>
      </c>
    </row>
    <row r="11270" spans="3:4" ht="15" x14ac:dyDescent="0.25">
      <c r="C11270" s="8" t="e">
        <f>VLOOKUP(A:A,'ITEM LIST'!A:C,3,0)</f>
        <v>#N/A</v>
      </c>
      <c r="D11270" s="6">
        <f t="shared" ref="D11270:D11333" si="177">B11270</f>
        <v>0</v>
      </c>
    </row>
    <row r="11271" spans="3:4" ht="15" x14ac:dyDescent="0.25">
      <c r="C11271" s="8" t="e">
        <f>VLOOKUP(A:A,'ITEM LIST'!A:C,3,0)</f>
        <v>#N/A</v>
      </c>
      <c r="D11271" s="6">
        <f t="shared" si="177"/>
        <v>0</v>
      </c>
    </row>
    <row r="11272" spans="3:4" ht="15" x14ac:dyDescent="0.25">
      <c r="C11272" s="8" t="e">
        <f>VLOOKUP(A:A,'ITEM LIST'!A:C,3,0)</f>
        <v>#N/A</v>
      </c>
      <c r="D11272" s="6">
        <f t="shared" si="177"/>
        <v>0</v>
      </c>
    </row>
    <row r="11273" spans="3:4" ht="15" x14ac:dyDescent="0.25">
      <c r="C11273" s="8" t="e">
        <f>VLOOKUP(A:A,'ITEM LIST'!A:C,3,0)</f>
        <v>#N/A</v>
      </c>
      <c r="D11273" s="6">
        <f t="shared" si="177"/>
        <v>0</v>
      </c>
    </row>
    <row r="11274" spans="3:4" ht="15" x14ac:dyDescent="0.25">
      <c r="C11274" s="8" t="e">
        <f>VLOOKUP(A:A,'ITEM LIST'!A:C,3,0)</f>
        <v>#N/A</v>
      </c>
      <c r="D11274" s="6">
        <f t="shared" si="177"/>
        <v>0</v>
      </c>
    </row>
    <row r="11275" spans="3:4" ht="15" x14ac:dyDescent="0.25">
      <c r="C11275" s="8" t="e">
        <f>VLOOKUP(A:A,'ITEM LIST'!A:C,3,0)</f>
        <v>#N/A</v>
      </c>
      <c r="D11275" s="6">
        <f t="shared" si="177"/>
        <v>0</v>
      </c>
    </row>
    <row r="11276" spans="3:4" ht="15" x14ac:dyDescent="0.25">
      <c r="C11276" s="8" t="e">
        <f>VLOOKUP(A:A,'ITEM LIST'!A:C,3,0)</f>
        <v>#N/A</v>
      </c>
      <c r="D11276" s="6">
        <f t="shared" si="177"/>
        <v>0</v>
      </c>
    </row>
    <row r="11277" spans="3:4" ht="15" x14ac:dyDescent="0.25">
      <c r="C11277" s="8" t="e">
        <f>VLOOKUP(A:A,'ITEM LIST'!A:C,3,0)</f>
        <v>#N/A</v>
      </c>
      <c r="D11277" s="6">
        <f t="shared" si="177"/>
        <v>0</v>
      </c>
    </row>
    <row r="11278" spans="3:4" ht="15" x14ac:dyDescent="0.25">
      <c r="C11278" s="8" t="e">
        <f>VLOOKUP(A:A,'ITEM LIST'!A:C,3,0)</f>
        <v>#N/A</v>
      </c>
      <c r="D11278" s="6">
        <f t="shared" si="177"/>
        <v>0</v>
      </c>
    </row>
    <row r="11279" spans="3:4" ht="15" x14ac:dyDescent="0.25">
      <c r="C11279" s="8" t="e">
        <f>VLOOKUP(A:A,'ITEM LIST'!A:C,3,0)</f>
        <v>#N/A</v>
      </c>
      <c r="D11279" s="6">
        <f t="shared" si="177"/>
        <v>0</v>
      </c>
    </row>
    <row r="11280" spans="3:4" ht="15" x14ac:dyDescent="0.25">
      <c r="C11280" s="8" t="e">
        <f>VLOOKUP(A:A,'ITEM LIST'!A:C,3,0)</f>
        <v>#N/A</v>
      </c>
      <c r="D11280" s="6">
        <f t="shared" si="177"/>
        <v>0</v>
      </c>
    </row>
    <row r="11281" spans="3:4" ht="15" x14ac:dyDescent="0.25">
      <c r="C11281" s="8" t="e">
        <f>VLOOKUP(A:A,'ITEM LIST'!A:C,3,0)</f>
        <v>#N/A</v>
      </c>
      <c r="D11281" s="6">
        <f t="shared" si="177"/>
        <v>0</v>
      </c>
    </row>
    <row r="11282" spans="3:4" ht="15" x14ac:dyDescent="0.25">
      <c r="C11282" s="8" t="e">
        <f>VLOOKUP(A:A,'ITEM LIST'!A:C,3,0)</f>
        <v>#N/A</v>
      </c>
      <c r="D11282" s="6">
        <f t="shared" si="177"/>
        <v>0</v>
      </c>
    </row>
    <row r="11283" spans="3:4" ht="15" x14ac:dyDescent="0.25">
      <c r="C11283" s="8" t="e">
        <f>VLOOKUP(A:A,'ITEM LIST'!A:C,3,0)</f>
        <v>#N/A</v>
      </c>
      <c r="D11283" s="6">
        <f t="shared" si="177"/>
        <v>0</v>
      </c>
    </row>
    <row r="11284" spans="3:4" ht="15" x14ac:dyDescent="0.25">
      <c r="C11284" s="8" t="e">
        <f>VLOOKUP(A:A,'ITEM LIST'!A:C,3,0)</f>
        <v>#N/A</v>
      </c>
      <c r="D11284" s="6">
        <f t="shared" si="177"/>
        <v>0</v>
      </c>
    </row>
    <row r="11285" spans="3:4" ht="15" x14ac:dyDescent="0.25">
      <c r="C11285" s="8" t="e">
        <f>VLOOKUP(A:A,'ITEM LIST'!A:C,3,0)</f>
        <v>#N/A</v>
      </c>
      <c r="D11285" s="6">
        <f t="shared" si="177"/>
        <v>0</v>
      </c>
    </row>
    <row r="11286" spans="3:4" ht="15" x14ac:dyDescent="0.25">
      <c r="C11286" s="8" t="e">
        <f>VLOOKUP(A:A,'ITEM LIST'!A:C,3,0)</f>
        <v>#N/A</v>
      </c>
      <c r="D11286" s="6">
        <f t="shared" si="177"/>
        <v>0</v>
      </c>
    </row>
    <row r="11287" spans="3:4" ht="15" x14ac:dyDescent="0.25">
      <c r="C11287" s="8" t="e">
        <f>VLOOKUP(A:A,'ITEM LIST'!A:C,3,0)</f>
        <v>#N/A</v>
      </c>
      <c r="D11287" s="6">
        <f t="shared" si="177"/>
        <v>0</v>
      </c>
    </row>
    <row r="11288" spans="3:4" ht="15" x14ac:dyDescent="0.25">
      <c r="C11288" s="8" t="e">
        <f>VLOOKUP(A:A,'ITEM LIST'!A:C,3,0)</f>
        <v>#N/A</v>
      </c>
      <c r="D11288" s="6">
        <f t="shared" si="177"/>
        <v>0</v>
      </c>
    </row>
    <row r="11289" spans="3:4" ht="15" x14ac:dyDescent="0.25">
      <c r="C11289" s="8" t="e">
        <f>VLOOKUP(A:A,'ITEM LIST'!A:C,3,0)</f>
        <v>#N/A</v>
      </c>
      <c r="D11289" s="6">
        <f t="shared" si="177"/>
        <v>0</v>
      </c>
    </row>
    <row r="11290" spans="3:4" ht="15" x14ac:dyDescent="0.25">
      <c r="C11290" s="8" t="e">
        <f>VLOOKUP(A:A,'ITEM LIST'!A:C,3,0)</f>
        <v>#N/A</v>
      </c>
      <c r="D11290" s="6">
        <f t="shared" si="177"/>
        <v>0</v>
      </c>
    </row>
    <row r="11291" spans="3:4" ht="15" x14ac:dyDescent="0.25">
      <c r="C11291" s="8" t="e">
        <f>VLOOKUP(A:A,'ITEM LIST'!A:C,3,0)</f>
        <v>#N/A</v>
      </c>
      <c r="D11291" s="6">
        <f t="shared" si="177"/>
        <v>0</v>
      </c>
    </row>
    <row r="11292" spans="3:4" ht="15" x14ac:dyDescent="0.25">
      <c r="C11292" s="8" t="e">
        <f>VLOOKUP(A:A,'ITEM LIST'!A:C,3,0)</f>
        <v>#N/A</v>
      </c>
      <c r="D11292" s="6">
        <f t="shared" si="177"/>
        <v>0</v>
      </c>
    </row>
    <row r="11293" spans="3:4" ht="15" x14ac:dyDescent="0.25">
      <c r="C11293" s="8" t="e">
        <f>VLOOKUP(A:A,'ITEM LIST'!A:C,3,0)</f>
        <v>#N/A</v>
      </c>
      <c r="D11293" s="6">
        <f t="shared" si="177"/>
        <v>0</v>
      </c>
    </row>
    <row r="11294" spans="3:4" ht="15" x14ac:dyDescent="0.25">
      <c r="C11294" s="8" t="e">
        <f>VLOOKUP(A:A,'ITEM LIST'!A:C,3,0)</f>
        <v>#N/A</v>
      </c>
      <c r="D11294" s="6">
        <f t="shared" si="177"/>
        <v>0</v>
      </c>
    </row>
    <row r="11295" spans="3:4" ht="15" x14ac:dyDescent="0.25">
      <c r="C11295" s="8" t="e">
        <f>VLOOKUP(A:A,'ITEM LIST'!A:C,3,0)</f>
        <v>#N/A</v>
      </c>
      <c r="D11295" s="6">
        <f t="shared" si="177"/>
        <v>0</v>
      </c>
    </row>
    <row r="11296" spans="3:4" ht="15" x14ac:dyDescent="0.25">
      <c r="C11296" s="8" t="e">
        <f>VLOOKUP(A:A,'ITEM LIST'!A:C,3,0)</f>
        <v>#N/A</v>
      </c>
      <c r="D11296" s="6">
        <f t="shared" si="177"/>
        <v>0</v>
      </c>
    </row>
    <row r="11297" spans="3:4" ht="15" x14ac:dyDescent="0.25">
      <c r="C11297" s="8" t="e">
        <f>VLOOKUP(A:A,'ITEM LIST'!A:C,3,0)</f>
        <v>#N/A</v>
      </c>
      <c r="D11297" s="6">
        <f t="shared" si="177"/>
        <v>0</v>
      </c>
    </row>
    <row r="11298" spans="3:4" ht="15" x14ac:dyDescent="0.25">
      <c r="C11298" s="8" t="e">
        <f>VLOOKUP(A:A,'ITEM LIST'!A:C,3,0)</f>
        <v>#N/A</v>
      </c>
      <c r="D11298" s="6">
        <f t="shared" si="177"/>
        <v>0</v>
      </c>
    </row>
    <row r="11299" spans="3:4" ht="15" x14ac:dyDescent="0.25">
      <c r="C11299" s="8" t="e">
        <f>VLOOKUP(A:A,'ITEM LIST'!A:C,3,0)</f>
        <v>#N/A</v>
      </c>
      <c r="D11299" s="6">
        <f t="shared" si="177"/>
        <v>0</v>
      </c>
    </row>
    <row r="11300" spans="3:4" ht="15" x14ac:dyDescent="0.25">
      <c r="C11300" s="8" t="e">
        <f>VLOOKUP(A:A,'ITEM LIST'!A:C,3,0)</f>
        <v>#N/A</v>
      </c>
      <c r="D11300" s="6">
        <f t="shared" si="177"/>
        <v>0</v>
      </c>
    </row>
    <row r="11301" spans="3:4" ht="15" x14ac:dyDescent="0.25">
      <c r="C11301" s="8" t="e">
        <f>VLOOKUP(A:A,'ITEM LIST'!A:C,3,0)</f>
        <v>#N/A</v>
      </c>
      <c r="D11301" s="6">
        <f t="shared" si="177"/>
        <v>0</v>
      </c>
    </row>
    <row r="11302" spans="3:4" ht="15" x14ac:dyDescent="0.25">
      <c r="C11302" s="8" t="e">
        <f>VLOOKUP(A:A,'ITEM LIST'!A:C,3,0)</f>
        <v>#N/A</v>
      </c>
      <c r="D11302" s="6">
        <f t="shared" si="177"/>
        <v>0</v>
      </c>
    </row>
    <row r="11303" spans="3:4" ht="15" x14ac:dyDescent="0.25">
      <c r="C11303" s="8" t="e">
        <f>VLOOKUP(A:A,'ITEM LIST'!A:C,3,0)</f>
        <v>#N/A</v>
      </c>
      <c r="D11303" s="6">
        <f t="shared" si="177"/>
        <v>0</v>
      </c>
    </row>
    <row r="11304" spans="3:4" ht="15" x14ac:dyDescent="0.25">
      <c r="C11304" s="8" t="e">
        <f>VLOOKUP(A:A,'ITEM LIST'!A:C,3,0)</f>
        <v>#N/A</v>
      </c>
      <c r="D11304" s="6">
        <f t="shared" si="177"/>
        <v>0</v>
      </c>
    </row>
    <row r="11305" spans="3:4" ht="15" x14ac:dyDescent="0.25">
      <c r="C11305" s="8" t="e">
        <f>VLOOKUP(A:A,'ITEM LIST'!A:C,3,0)</f>
        <v>#N/A</v>
      </c>
      <c r="D11305" s="6">
        <f t="shared" si="177"/>
        <v>0</v>
      </c>
    </row>
    <row r="11306" spans="3:4" ht="15" x14ac:dyDescent="0.25">
      <c r="C11306" s="8" t="e">
        <f>VLOOKUP(A:A,'ITEM LIST'!A:C,3,0)</f>
        <v>#N/A</v>
      </c>
      <c r="D11306" s="6">
        <f t="shared" si="177"/>
        <v>0</v>
      </c>
    </row>
    <row r="11307" spans="3:4" ht="15" x14ac:dyDescent="0.25">
      <c r="C11307" s="8" t="e">
        <f>VLOOKUP(A:A,'ITEM LIST'!A:C,3,0)</f>
        <v>#N/A</v>
      </c>
      <c r="D11307" s="6">
        <f t="shared" si="177"/>
        <v>0</v>
      </c>
    </row>
    <row r="11308" spans="3:4" ht="15" x14ac:dyDescent="0.25">
      <c r="C11308" s="8" t="e">
        <f>VLOOKUP(A:A,'ITEM LIST'!A:C,3,0)</f>
        <v>#N/A</v>
      </c>
      <c r="D11308" s="6">
        <f t="shared" si="177"/>
        <v>0</v>
      </c>
    </row>
    <row r="11309" spans="3:4" ht="15" x14ac:dyDescent="0.25">
      <c r="C11309" s="8" t="e">
        <f>VLOOKUP(A:A,'ITEM LIST'!A:C,3,0)</f>
        <v>#N/A</v>
      </c>
      <c r="D11309" s="6">
        <f t="shared" si="177"/>
        <v>0</v>
      </c>
    </row>
    <row r="11310" spans="3:4" ht="15" x14ac:dyDescent="0.25">
      <c r="C11310" s="8" t="e">
        <f>VLOOKUP(A:A,'ITEM LIST'!A:C,3,0)</f>
        <v>#N/A</v>
      </c>
      <c r="D11310" s="6">
        <f t="shared" si="177"/>
        <v>0</v>
      </c>
    </row>
    <row r="11311" spans="3:4" ht="15" x14ac:dyDescent="0.25">
      <c r="C11311" s="8" t="e">
        <f>VLOOKUP(A:A,'ITEM LIST'!A:C,3,0)</f>
        <v>#N/A</v>
      </c>
      <c r="D11311" s="6">
        <f t="shared" si="177"/>
        <v>0</v>
      </c>
    </row>
    <row r="11312" spans="3:4" ht="15" x14ac:dyDescent="0.25">
      <c r="C11312" s="8" t="e">
        <f>VLOOKUP(A:A,'ITEM LIST'!A:C,3,0)</f>
        <v>#N/A</v>
      </c>
      <c r="D11312" s="6">
        <f t="shared" si="177"/>
        <v>0</v>
      </c>
    </row>
    <row r="11313" spans="3:4" ht="15" x14ac:dyDescent="0.25">
      <c r="C11313" s="8" t="e">
        <f>VLOOKUP(A:A,'ITEM LIST'!A:C,3,0)</f>
        <v>#N/A</v>
      </c>
      <c r="D11313" s="6">
        <f t="shared" si="177"/>
        <v>0</v>
      </c>
    </row>
    <row r="11314" spans="3:4" ht="15" x14ac:dyDescent="0.25">
      <c r="C11314" s="8" t="e">
        <f>VLOOKUP(A:A,'ITEM LIST'!A:C,3,0)</f>
        <v>#N/A</v>
      </c>
      <c r="D11314" s="6">
        <f t="shared" si="177"/>
        <v>0</v>
      </c>
    </row>
    <row r="11315" spans="3:4" ht="15" x14ac:dyDescent="0.25">
      <c r="C11315" s="8" t="e">
        <f>VLOOKUP(A:A,'ITEM LIST'!A:C,3,0)</f>
        <v>#N/A</v>
      </c>
      <c r="D11315" s="6">
        <f t="shared" si="177"/>
        <v>0</v>
      </c>
    </row>
    <row r="11316" spans="3:4" ht="15" x14ac:dyDescent="0.25">
      <c r="C11316" s="8" t="e">
        <f>VLOOKUP(A:A,'ITEM LIST'!A:C,3,0)</f>
        <v>#N/A</v>
      </c>
      <c r="D11316" s="6">
        <f t="shared" si="177"/>
        <v>0</v>
      </c>
    </row>
    <row r="11317" spans="3:4" ht="15" x14ac:dyDescent="0.25">
      <c r="C11317" s="8" t="e">
        <f>VLOOKUP(A:A,'ITEM LIST'!A:C,3,0)</f>
        <v>#N/A</v>
      </c>
      <c r="D11317" s="6">
        <f t="shared" si="177"/>
        <v>0</v>
      </c>
    </row>
    <row r="11318" spans="3:4" ht="15" x14ac:dyDescent="0.25">
      <c r="C11318" s="8" t="e">
        <f>VLOOKUP(A:A,'ITEM LIST'!A:C,3,0)</f>
        <v>#N/A</v>
      </c>
      <c r="D11318" s="6">
        <f t="shared" si="177"/>
        <v>0</v>
      </c>
    </row>
    <row r="11319" spans="3:4" ht="15" x14ac:dyDescent="0.25">
      <c r="C11319" s="8" t="e">
        <f>VLOOKUP(A:A,'ITEM LIST'!A:C,3,0)</f>
        <v>#N/A</v>
      </c>
      <c r="D11319" s="6">
        <f t="shared" si="177"/>
        <v>0</v>
      </c>
    </row>
    <row r="11320" spans="3:4" ht="15" x14ac:dyDescent="0.25">
      <c r="C11320" s="8" t="e">
        <f>VLOOKUP(A:A,'ITEM LIST'!A:C,3,0)</f>
        <v>#N/A</v>
      </c>
      <c r="D11320" s="6">
        <f t="shared" si="177"/>
        <v>0</v>
      </c>
    </row>
    <row r="11321" spans="3:4" ht="15" x14ac:dyDescent="0.25">
      <c r="C11321" s="8" t="e">
        <f>VLOOKUP(A:A,'ITEM LIST'!A:C,3,0)</f>
        <v>#N/A</v>
      </c>
      <c r="D11321" s="6">
        <f t="shared" si="177"/>
        <v>0</v>
      </c>
    </row>
    <row r="11322" spans="3:4" ht="15" x14ac:dyDescent="0.25">
      <c r="C11322" s="8" t="e">
        <f>VLOOKUP(A:A,'ITEM LIST'!A:C,3,0)</f>
        <v>#N/A</v>
      </c>
      <c r="D11322" s="6">
        <f t="shared" si="177"/>
        <v>0</v>
      </c>
    </row>
    <row r="11323" spans="3:4" ht="15" x14ac:dyDescent="0.25">
      <c r="C11323" s="8" t="e">
        <f>VLOOKUP(A:A,'ITEM LIST'!A:C,3,0)</f>
        <v>#N/A</v>
      </c>
      <c r="D11323" s="6">
        <f t="shared" si="177"/>
        <v>0</v>
      </c>
    </row>
    <row r="11324" spans="3:4" ht="15" x14ac:dyDescent="0.25">
      <c r="C11324" s="8" t="e">
        <f>VLOOKUP(A:A,'ITEM LIST'!A:C,3,0)</f>
        <v>#N/A</v>
      </c>
      <c r="D11324" s="6">
        <f t="shared" si="177"/>
        <v>0</v>
      </c>
    </row>
    <row r="11325" spans="3:4" ht="15" x14ac:dyDescent="0.25">
      <c r="C11325" s="8" t="e">
        <f>VLOOKUP(A:A,'ITEM LIST'!A:C,3,0)</f>
        <v>#N/A</v>
      </c>
      <c r="D11325" s="6">
        <f t="shared" si="177"/>
        <v>0</v>
      </c>
    </row>
    <row r="11326" spans="3:4" ht="15" x14ac:dyDescent="0.25">
      <c r="C11326" s="8" t="e">
        <f>VLOOKUP(A:A,'ITEM LIST'!A:C,3,0)</f>
        <v>#N/A</v>
      </c>
      <c r="D11326" s="6">
        <f t="shared" si="177"/>
        <v>0</v>
      </c>
    </row>
    <row r="11327" spans="3:4" ht="15" x14ac:dyDescent="0.25">
      <c r="C11327" s="8" t="e">
        <f>VLOOKUP(A:A,'ITEM LIST'!A:C,3,0)</f>
        <v>#N/A</v>
      </c>
      <c r="D11327" s="6">
        <f t="shared" si="177"/>
        <v>0</v>
      </c>
    </row>
    <row r="11328" spans="3:4" ht="15" x14ac:dyDescent="0.25">
      <c r="C11328" s="8" t="e">
        <f>VLOOKUP(A:A,'ITEM LIST'!A:C,3,0)</f>
        <v>#N/A</v>
      </c>
      <c r="D11328" s="6">
        <f t="shared" si="177"/>
        <v>0</v>
      </c>
    </row>
    <row r="11329" spans="3:4" ht="15" x14ac:dyDescent="0.25">
      <c r="C11329" s="8" t="e">
        <f>VLOOKUP(A:A,'ITEM LIST'!A:C,3,0)</f>
        <v>#N/A</v>
      </c>
      <c r="D11329" s="6">
        <f t="shared" si="177"/>
        <v>0</v>
      </c>
    </row>
    <row r="11330" spans="3:4" ht="15" x14ac:dyDescent="0.25">
      <c r="C11330" s="8" t="e">
        <f>VLOOKUP(A:A,'ITEM LIST'!A:C,3,0)</f>
        <v>#N/A</v>
      </c>
      <c r="D11330" s="6">
        <f t="shared" si="177"/>
        <v>0</v>
      </c>
    </row>
    <row r="11331" spans="3:4" ht="15" x14ac:dyDescent="0.25">
      <c r="C11331" s="8" t="e">
        <f>VLOOKUP(A:A,'ITEM LIST'!A:C,3,0)</f>
        <v>#N/A</v>
      </c>
      <c r="D11331" s="6">
        <f t="shared" si="177"/>
        <v>0</v>
      </c>
    </row>
    <row r="11332" spans="3:4" ht="15" x14ac:dyDescent="0.25">
      <c r="C11332" s="8" t="e">
        <f>VLOOKUP(A:A,'ITEM LIST'!A:C,3,0)</f>
        <v>#N/A</v>
      </c>
      <c r="D11332" s="6">
        <f t="shared" si="177"/>
        <v>0</v>
      </c>
    </row>
    <row r="11333" spans="3:4" ht="15" x14ac:dyDescent="0.25">
      <c r="C11333" s="8" t="e">
        <f>VLOOKUP(A:A,'ITEM LIST'!A:C,3,0)</f>
        <v>#N/A</v>
      </c>
      <c r="D11333" s="6">
        <f t="shared" si="177"/>
        <v>0</v>
      </c>
    </row>
    <row r="11334" spans="3:4" ht="15" x14ac:dyDescent="0.25">
      <c r="C11334" s="8" t="e">
        <f>VLOOKUP(A:A,'ITEM LIST'!A:C,3,0)</f>
        <v>#N/A</v>
      </c>
      <c r="D11334" s="6">
        <f t="shared" ref="D11334:D11397" si="178">B11334</f>
        <v>0</v>
      </c>
    </row>
    <row r="11335" spans="3:4" ht="15" x14ac:dyDescent="0.25">
      <c r="C11335" s="8" t="e">
        <f>VLOOKUP(A:A,'ITEM LIST'!A:C,3,0)</f>
        <v>#N/A</v>
      </c>
      <c r="D11335" s="6">
        <f t="shared" si="178"/>
        <v>0</v>
      </c>
    </row>
    <row r="11336" spans="3:4" ht="15" x14ac:dyDescent="0.25">
      <c r="C11336" s="8" t="e">
        <f>VLOOKUP(A:A,'ITEM LIST'!A:C,3,0)</f>
        <v>#N/A</v>
      </c>
      <c r="D11336" s="6">
        <f t="shared" si="178"/>
        <v>0</v>
      </c>
    </row>
    <row r="11337" spans="3:4" ht="15" x14ac:dyDescent="0.25">
      <c r="C11337" s="8" t="e">
        <f>VLOOKUP(A:A,'ITEM LIST'!A:C,3,0)</f>
        <v>#N/A</v>
      </c>
      <c r="D11337" s="6">
        <f t="shared" si="178"/>
        <v>0</v>
      </c>
    </row>
    <row r="11338" spans="3:4" ht="15" x14ac:dyDescent="0.25">
      <c r="C11338" s="8" t="e">
        <f>VLOOKUP(A:A,'ITEM LIST'!A:C,3,0)</f>
        <v>#N/A</v>
      </c>
      <c r="D11338" s="6">
        <f t="shared" si="178"/>
        <v>0</v>
      </c>
    </row>
    <row r="11339" spans="3:4" ht="15" x14ac:dyDescent="0.25">
      <c r="C11339" s="8" t="e">
        <f>VLOOKUP(A:A,'ITEM LIST'!A:C,3,0)</f>
        <v>#N/A</v>
      </c>
      <c r="D11339" s="6">
        <f t="shared" si="178"/>
        <v>0</v>
      </c>
    </row>
    <row r="11340" spans="3:4" ht="15" x14ac:dyDescent="0.25">
      <c r="C11340" s="8" t="e">
        <f>VLOOKUP(A:A,'ITEM LIST'!A:C,3,0)</f>
        <v>#N/A</v>
      </c>
      <c r="D11340" s="6">
        <f t="shared" si="178"/>
        <v>0</v>
      </c>
    </row>
    <row r="11341" spans="3:4" ht="15" x14ac:dyDescent="0.25">
      <c r="C11341" s="8" t="e">
        <f>VLOOKUP(A:A,'ITEM LIST'!A:C,3,0)</f>
        <v>#N/A</v>
      </c>
      <c r="D11341" s="6">
        <f t="shared" si="178"/>
        <v>0</v>
      </c>
    </row>
    <row r="11342" spans="3:4" ht="15" x14ac:dyDescent="0.25">
      <c r="C11342" s="8" t="e">
        <f>VLOOKUP(A:A,'ITEM LIST'!A:C,3,0)</f>
        <v>#N/A</v>
      </c>
      <c r="D11342" s="6">
        <f t="shared" si="178"/>
        <v>0</v>
      </c>
    </row>
    <row r="11343" spans="3:4" ht="15" x14ac:dyDescent="0.25">
      <c r="C11343" s="8" t="e">
        <f>VLOOKUP(A:A,'ITEM LIST'!A:C,3,0)</f>
        <v>#N/A</v>
      </c>
      <c r="D11343" s="6">
        <f t="shared" si="178"/>
        <v>0</v>
      </c>
    </row>
    <row r="11344" spans="3:4" ht="15" x14ac:dyDescent="0.25">
      <c r="C11344" s="8" t="e">
        <f>VLOOKUP(A:A,'ITEM LIST'!A:C,3,0)</f>
        <v>#N/A</v>
      </c>
      <c r="D11344" s="6">
        <f t="shared" si="178"/>
        <v>0</v>
      </c>
    </row>
    <row r="11345" spans="3:4" ht="15" x14ac:dyDescent="0.25">
      <c r="C11345" s="8" t="e">
        <f>VLOOKUP(A:A,'ITEM LIST'!A:C,3,0)</f>
        <v>#N/A</v>
      </c>
      <c r="D11345" s="6">
        <f t="shared" si="178"/>
        <v>0</v>
      </c>
    </row>
    <row r="11346" spans="3:4" ht="15" x14ac:dyDescent="0.25">
      <c r="C11346" s="8" t="e">
        <f>VLOOKUP(A:A,'ITEM LIST'!A:C,3,0)</f>
        <v>#N/A</v>
      </c>
      <c r="D11346" s="6">
        <f t="shared" si="178"/>
        <v>0</v>
      </c>
    </row>
    <row r="11347" spans="3:4" ht="15" x14ac:dyDescent="0.25">
      <c r="C11347" s="8" t="e">
        <f>VLOOKUP(A:A,'ITEM LIST'!A:C,3,0)</f>
        <v>#N/A</v>
      </c>
      <c r="D11347" s="6">
        <f t="shared" si="178"/>
        <v>0</v>
      </c>
    </row>
    <row r="11348" spans="3:4" ht="15" x14ac:dyDescent="0.25">
      <c r="C11348" s="8" t="e">
        <f>VLOOKUP(A:A,'ITEM LIST'!A:C,3,0)</f>
        <v>#N/A</v>
      </c>
      <c r="D11348" s="6">
        <f t="shared" si="178"/>
        <v>0</v>
      </c>
    </row>
    <row r="11349" spans="3:4" ht="15" x14ac:dyDescent="0.25">
      <c r="C11349" s="8" t="e">
        <f>VLOOKUP(A:A,'ITEM LIST'!A:C,3,0)</f>
        <v>#N/A</v>
      </c>
      <c r="D11349" s="6">
        <f t="shared" si="178"/>
        <v>0</v>
      </c>
    </row>
    <row r="11350" spans="3:4" ht="15" x14ac:dyDescent="0.25">
      <c r="C11350" s="8" t="e">
        <f>VLOOKUP(A:A,'ITEM LIST'!A:C,3,0)</f>
        <v>#N/A</v>
      </c>
      <c r="D11350" s="6">
        <f t="shared" si="178"/>
        <v>0</v>
      </c>
    </row>
    <row r="11351" spans="3:4" ht="15" x14ac:dyDescent="0.25">
      <c r="C11351" s="8" t="e">
        <f>VLOOKUP(A:A,'ITEM LIST'!A:C,3,0)</f>
        <v>#N/A</v>
      </c>
      <c r="D11351" s="6">
        <f t="shared" si="178"/>
        <v>0</v>
      </c>
    </row>
    <row r="11352" spans="3:4" ht="15" x14ac:dyDescent="0.25">
      <c r="C11352" s="8" t="e">
        <f>VLOOKUP(A:A,'ITEM LIST'!A:C,3,0)</f>
        <v>#N/A</v>
      </c>
      <c r="D11352" s="6">
        <f t="shared" si="178"/>
        <v>0</v>
      </c>
    </row>
    <row r="11353" spans="3:4" ht="15" x14ac:dyDescent="0.25">
      <c r="C11353" s="8" t="e">
        <f>VLOOKUP(A:A,'ITEM LIST'!A:C,3,0)</f>
        <v>#N/A</v>
      </c>
      <c r="D11353" s="6">
        <f t="shared" si="178"/>
        <v>0</v>
      </c>
    </row>
    <row r="11354" spans="3:4" ht="15" x14ac:dyDescent="0.25">
      <c r="C11354" s="8" t="e">
        <f>VLOOKUP(A:A,'ITEM LIST'!A:C,3,0)</f>
        <v>#N/A</v>
      </c>
      <c r="D11354" s="6">
        <f t="shared" si="178"/>
        <v>0</v>
      </c>
    </row>
    <row r="11355" spans="3:4" ht="15" x14ac:dyDescent="0.25">
      <c r="C11355" s="8" t="e">
        <f>VLOOKUP(A:A,'ITEM LIST'!A:C,3,0)</f>
        <v>#N/A</v>
      </c>
      <c r="D11355" s="6">
        <f t="shared" si="178"/>
        <v>0</v>
      </c>
    </row>
    <row r="11356" spans="3:4" ht="15" x14ac:dyDescent="0.25">
      <c r="C11356" s="8" t="e">
        <f>VLOOKUP(A:A,'ITEM LIST'!A:C,3,0)</f>
        <v>#N/A</v>
      </c>
      <c r="D11356" s="6">
        <f t="shared" si="178"/>
        <v>0</v>
      </c>
    </row>
    <row r="11357" spans="3:4" ht="15" x14ac:dyDescent="0.25">
      <c r="C11357" s="8" t="e">
        <f>VLOOKUP(A:A,'ITEM LIST'!A:C,3,0)</f>
        <v>#N/A</v>
      </c>
      <c r="D11357" s="6">
        <f t="shared" si="178"/>
        <v>0</v>
      </c>
    </row>
    <row r="11358" spans="3:4" ht="15" x14ac:dyDescent="0.25">
      <c r="C11358" s="8" t="e">
        <f>VLOOKUP(A:A,'ITEM LIST'!A:C,3,0)</f>
        <v>#N/A</v>
      </c>
      <c r="D11358" s="6">
        <f t="shared" si="178"/>
        <v>0</v>
      </c>
    </row>
    <row r="11359" spans="3:4" ht="15" x14ac:dyDescent="0.25">
      <c r="C11359" s="8" t="e">
        <f>VLOOKUP(A:A,'ITEM LIST'!A:C,3,0)</f>
        <v>#N/A</v>
      </c>
      <c r="D11359" s="6">
        <f t="shared" si="178"/>
        <v>0</v>
      </c>
    </row>
    <row r="11360" spans="3:4" ht="15" x14ac:dyDescent="0.25">
      <c r="C11360" s="8" t="e">
        <f>VLOOKUP(A:A,'ITEM LIST'!A:C,3,0)</f>
        <v>#N/A</v>
      </c>
      <c r="D11360" s="6">
        <f t="shared" si="178"/>
        <v>0</v>
      </c>
    </row>
    <row r="11361" spans="3:4" ht="15" x14ac:dyDescent="0.25">
      <c r="C11361" s="8" t="e">
        <f>VLOOKUP(A:A,'ITEM LIST'!A:C,3,0)</f>
        <v>#N/A</v>
      </c>
      <c r="D11361" s="6">
        <f t="shared" si="178"/>
        <v>0</v>
      </c>
    </row>
    <row r="11362" spans="3:4" ht="15" x14ac:dyDescent="0.25">
      <c r="C11362" s="8" t="e">
        <f>VLOOKUP(A:A,'ITEM LIST'!A:C,3,0)</f>
        <v>#N/A</v>
      </c>
      <c r="D11362" s="6">
        <f t="shared" si="178"/>
        <v>0</v>
      </c>
    </row>
    <row r="11363" spans="3:4" ht="15" x14ac:dyDescent="0.25">
      <c r="C11363" s="8" t="e">
        <f>VLOOKUP(A:A,'ITEM LIST'!A:C,3,0)</f>
        <v>#N/A</v>
      </c>
      <c r="D11363" s="6">
        <f t="shared" si="178"/>
        <v>0</v>
      </c>
    </row>
    <row r="11364" spans="3:4" ht="15" x14ac:dyDescent="0.25">
      <c r="C11364" s="8" t="e">
        <f>VLOOKUP(A:A,'ITEM LIST'!A:C,3,0)</f>
        <v>#N/A</v>
      </c>
      <c r="D11364" s="6">
        <f t="shared" si="178"/>
        <v>0</v>
      </c>
    </row>
    <row r="11365" spans="3:4" ht="15" x14ac:dyDescent="0.25">
      <c r="C11365" s="8" t="e">
        <f>VLOOKUP(A:A,'ITEM LIST'!A:C,3,0)</f>
        <v>#N/A</v>
      </c>
      <c r="D11365" s="6">
        <f t="shared" si="178"/>
        <v>0</v>
      </c>
    </row>
    <row r="11366" spans="3:4" ht="15" x14ac:dyDescent="0.25">
      <c r="C11366" s="8" t="e">
        <f>VLOOKUP(A:A,'ITEM LIST'!A:C,3,0)</f>
        <v>#N/A</v>
      </c>
      <c r="D11366" s="6">
        <f t="shared" si="178"/>
        <v>0</v>
      </c>
    </row>
    <row r="11367" spans="3:4" ht="15" x14ac:dyDescent="0.25">
      <c r="C11367" s="8" t="e">
        <f>VLOOKUP(A:A,'ITEM LIST'!A:C,3,0)</f>
        <v>#N/A</v>
      </c>
      <c r="D11367" s="6">
        <f t="shared" si="178"/>
        <v>0</v>
      </c>
    </row>
    <row r="11368" spans="3:4" ht="15" x14ac:dyDescent="0.25">
      <c r="C11368" s="8" t="e">
        <f>VLOOKUP(A:A,'ITEM LIST'!A:C,3,0)</f>
        <v>#N/A</v>
      </c>
      <c r="D11368" s="6">
        <f t="shared" si="178"/>
        <v>0</v>
      </c>
    </row>
    <row r="11369" spans="3:4" ht="15" x14ac:dyDescent="0.25">
      <c r="C11369" s="8" t="e">
        <f>VLOOKUP(A:A,'ITEM LIST'!A:C,3,0)</f>
        <v>#N/A</v>
      </c>
      <c r="D11369" s="6">
        <f t="shared" si="178"/>
        <v>0</v>
      </c>
    </row>
    <row r="11370" spans="3:4" ht="15" x14ac:dyDescent="0.25">
      <c r="C11370" s="8" t="e">
        <f>VLOOKUP(A:A,'ITEM LIST'!A:C,3,0)</f>
        <v>#N/A</v>
      </c>
      <c r="D11370" s="6">
        <f t="shared" si="178"/>
        <v>0</v>
      </c>
    </row>
    <row r="11371" spans="3:4" ht="15" x14ac:dyDescent="0.25">
      <c r="C11371" s="8" t="e">
        <f>VLOOKUP(A:A,'ITEM LIST'!A:C,3,0)</f>
        <v>#N/A</v>
      </c>
      <c r="D11371" s="6">
        <f t="shared" si="178"/>
        <v>0</v>
      </c>
    </row>
    <row r="11372" spans="3:4" ht="15" x14ac:dyDescent="0.25">
      <c r="C11372" s="8" t="e">
        <f>VLOOKUP(A:A,'ITEM LIST'!A:C,3,0)</f>
        <v>#N/A</v>
      </c>
      <c r="D11372" s="6">
        <f t="shared" si="178"/>
        <v>0</v>
      </c>
    </row>
    <row r="11373" spans="3:4" ht="15" x14ac:dyDescent="0.25">
      <c r="C11373" s="8" t="e">
        <f>VLOOKUP(A:A,'ITEM LIST'!A:C,3,0)</f>
        <v>#N/A</v>
      </c>
      <c r="D11373" s="6">
        <f t="shared" si="178"/>
        <v>0</v>
      </c>
    </row>
    <row r="11374" spans="3:4" ht="15" x14ac:dyDescent="0.25">
      <c r="C11374" s="8" t="e">
        <f>VLOOKUP(A:A,'ITEM LIST'!A:C,3,0)</f>
        <v>#N/A</v>
      </c>
      <c r="D11374" s="6">
        <f t="shared" si="178"/>
        <v>0</v>
      </c>
    </row>
    <row r="11375" spans="3:4" ht="15" x14ac:dyDescent="0.25">
      <c r="C11375" s="8" t="e">
        <f>VLOOKUP(A:A,'ITEM LIST'!A:C,3,0)</f>
        <v>#N/A</v>
      </c>
      <c r="D11375" s="6">
        <f t="shared" si="178"/>
        <v>0</v>
      </c>
    </row>
    <row r="11376" spans="3:4" ht="15" x14ac:dyDescent="0.25">
      <c r="C11376" s="8" t="e">
        <f>VLOOKUP(A:A,'ITEM LIST'!A:C,3,0)</f>
        <v>#N/A</v>
      </c>
      <c r="D11376" s="6">
        <f t="shared" si="178"/>
        <v>0</v>
      </c>
    </row>
    <row r="11377" spans="3:4" ht="15" x14ac:dyDescent="0.25">
      <c r="C11377" s="8" t="e">
        <f>VLOOKUP(A:A,'ITEM LIST'!A:C,3,0)</f>
        <v>#N/A</v>
      </c>
      <c r="D11377" s="6">
        <f t="shared" si="178"/>
        <v>0</v>
      </c>
    </row>
    <row r="11378" spans="3:4" ht="15" x14ac:dyDescent="0.25">
      <c r="C11378" s="8" t="e">
        <f>VLOOKUP(A:A,'ITEM LIST'!A:C,3,0)</f>
        <v>#N/A</v>
      </c>
      <c r="D11378" s="6">
        <f t="shared" si="178"/>
        <v>0</v>
      </c>
    </row>
    <row r="11379" spans="3:4" ht="15" x14ac:dyDescent="0.25">
      <c r="C11379" s="8" t="e">
        <f>VLOOKUP(A:A,'ITEM LIST'!A:C,3,0)</f>
        <v>#N/A</v>
      </c>
      <c r="D11379" s="6">
        <f t="shared" si="178"/>
        <v>0</v>
      </c>
    </row>
    <row r="11380" spans="3:4" ht="15" x14ac:dyDescent="0.25">
      <c r="C11380" s="8" t="e">
        <f>VLOOKUP(A:A,'ITEM LIST'!A:C,3,0)</f>
        <v>#N/A</v>
      </c>
      <c r="D11380" s="6">
        <f t="shared" si="178"/>
        <v>0</v>
      </c>
    </row>
    <row r="11381" spans="3:4" ht="15" x14ac:dyDescent="0.25">
      <c r="C11381" s="8" t="e">
        <f>VLOOKUP(A:A,'ITEM LIST'!A:C,3,0)</f>
        <v>#N/A</v>
      </c>
      <c r="D11381" s="6">
        <f t="shared" si="178"/>
        <v>0</v>
      </c>
    </row>
    <row r="11382" spans="3:4" ht="15" x14ac:dyDescent="0.25">
      <c r="C11382" s="8" t="e">
        <f>VLOOKUP(A:A,'ITEM LIST'!A:C,3,0)</f>
        <v>#N/A</v>
      </c>
      <c r="D11382" s="6">
        <f t="shared" si="178"/>
        <v>0</v>
      </c>
    </row>
    <row r="11383" spans="3:4" ht="15" x14ac:dyDescent="0.25">
      <c r="C11383" s="8" t="e">
        <f>VLOOKUP(A:A,'ITEM LIST'!A:C,3,0)</f>
        <v>#N/A</v>
      </c>
      <c r="D11383" s="6">
        <f t="shared" si="178"/>
        <v>0</v>
      </c>
    </row>
    <row r="11384" spans="3:4" ht="15" x14ac:dyDescent="0.25">
      <c r="C11384" s="8" t="e">
        <f>VLOOKUP(A:A,'ITEM LIST'!A:C,3,0)</f>
        <v>#N/A</v>
      </c>
      <c r="D11384" s="6">
        <f t="shared" si="178"/>
        <v>0</v>
      </c>
    </row>
    <row r="11385" spans="3:4" ht="15" x14ac:dyDescent="0.25">
      <c r="C11385" s="8" t="e">
        <f>VLOOKUP(A:A,'ITEM LIST'!A:C,3,0)</f>
        <v>#N/A</v>
      </c>
      <c r="D11385" s="6">
        <f t="shared" si="178"/>
        <v>0</v>
      </c>
    </row>
    <row r="11386" spans="3:4" ht="15" x14ac:dyDescent="0.25">
      <c r="C11386" s="8" t="e">
        <f>VLOOKUP(A:A,'ITEM LIST'!A:C,3,0)</f>
        <v>#N/A</v>
      </c>
      <c r="D11386" s="6">
        <f t="shared" si="178"/>
        <v>0</v>
      </c>
    </row>
    <row r="11387" spans="3:4" ht="15" x14ac:dyDescent="0.25">
      <c r="C11387" s="8" t="e">
        <f>VLOOKUP(A:A,'ITEM LIST'!A:C,3,0)</f>
        <v>#N/A</v>
      </c>
      <c r="D11387" s="6">
        <f t="shared" si="178"/>
        <v>0</v>
      </c>
    </row>
    <row r="11388" spans="3:4" ht="15" x14ac:dyDescent="0.25">
      <c r="C11388" s="8" t="e">
        <f>VLOOKUP(A:A,'ITEM LIST'!A:C,3,0)</f>
        <v>#N/A</v>
      </c>
      <c r="D11388" s="6">
        <f t="shared" si="178"/>
        <v>0</v>
      </c>
    </row>
    <row r="11389" spans="3:4" ht="15" x14ac:dyDescent="0.25">
      <c r="C11389" s="8" t="e">
        <f>VLOOKUP(A:A,'ITEM LIST'!A:C,3,0)</f>
        <v>#N/A</v>
      </c>
      <c r="D11389" s="6">
        <f t="shared" si="178"/>
        <v>0</v>
      </c>
    </row>
    <row r="11390" spans="3:4" ht="15" x14ac:dyDescent="0.25">
      <c r="C11390" s="8" t="e">
        <f>VLOOKUP(A:A,'ITEM LIST'!A:C,3,0)</f>
        <v>#N/A</v>
      </c>
      <c r="D11390" s="6">
        <f t="shared" si="178"/>
        <v>0</v>
      </c>
    </row>
    <row r="11391" spans="3:4" ht="15" x14ac:dyDescent="0.25">
      <c r="C11391" s="8" t="e">
        <f>VLOOKUP(A:A,'ITEM LIST'!A:C,3,0)</f>
        <v>#N/A</v>
      </c>
      <c r="D11391" s="6">
        <f t="shared" si="178"/>
        <v>0</v>
      </c>
    </row>
    <row r="11392" spans="3:4" ht="15" x14ac:dyDescent="0.25">
      <c r="C11392" s="8" t="e">
        <f>VLOOKUP(A:A,'ITEM LIST'!A:C,3,0)</f>
        <v>#N/A</v>
      </c>
      <c r="D11392" s="6">
        <f t="shared" si="178"/>
        <v>0</v>
      </c>
    </row>
    <row r="11393" spans="3:4" ht="15" x14ac:dyDescent="0.25">
      <c r="C11393" s="8" t="e">
        <f>VLOOKUP(A:A,'ITEM LIST'!A:C,3,0)</f>
        <v>#N/A</v>
      </c>
      <c r="D11393" s="6">
        <f t="shared" si="178"/>
        <v>0</v>
      </c>
    </row>
    <row r="11394" spans="3:4" ht="15" x14ac:dyDescent="0.25">
      <c r="C11394" s="8" t="e">
        <f>VLOOKUP(A:A,'ITEM LIST'!A:C,3,0)</f>
        <v>#N/A</v>
      </c>
      <c r="D11394" s="6">
        <f t="shared" si="178"/>
        <v>0</v>
      </c>
    </row>
    <row r="11395" spans="3:4" ht="15" x14ac:dyDescent="0.25">
      <c r="C11395" s="8" t="e">
        <f>VLOOKUP(A:A,'ITEM LIST'!A:C,3,0)</f>
        <v>#N/A</v>
      </c>
      <c r="D11395" s="6">
        <f t="shared" si="178"/>
        <v>0</v>
      </c>
    </row>
    <row r="11396" spans="3:4" ht="15" x14ac:dyDescent="0.25">
      <c r="C11396" s="8" t="e">
        <f>VLOOKUP(A:A,'ITEM LIST'!A:C,3,0)</f>
        <v>#N/A</v>
      </c>
      <c r="D11396" s="6">
        <f t="shared" si="178"/>
        <v>0</v>
      </c>
    </row>
    <row r="11397" spans="3:4" ht="15" x14ac:dyDescent="0.25">
      <c r="C11397" s="8" t="e">
        <f>VLOOKUP(A:A,'ITEM LIST'!A:C,3,0)</f>
        <v>#N/A</v>
      </c>
      <c r="D11397" s="6">
        <f t="shared" si="178"/>
        <v>0</v>
      </c>
    </row>
    <row r="11398" spans="3:4" ht="15" x14ac:dyDescent="0.25">
      <c r="C11398" s="8" t="e">
        <f>VLOOKUP(A:A,'ITEM LIST'!A:C,3,0)</f>
        <v>#N/A</v>
      </c>
      <c r="D11398" s="6">
        <f t="shared" ref="D11398:D11461" si="179">B11398</f>
        <v>0</v>
      </c>
    </row>
    <row r="11399" spans="3:4" ht="15" x14ac:dyDescent="0.25">
      <c r="C11399" s="8" t="e">
        <f>VLOOKUP(A:A,'ITEM LIST'!A:C,3,0)</f>
        <v>#N/A</v>
      </c>
      <c r="D11399" s="6">
        <f t="shared" si="179"/>
        <v>0</v>
      </c>
    </row>
    <row r="11400" spans="3:4" ht="15" x14ac:dyDescent="0.25">
      <c r="C11400" s="8" t="e">
        <f>VLOOKUP(A:A,'ITEM LIST'!A:C,3,0)</f>
        <v>#N/A</v>
      </c>
      <c r="D11400" s="6">
        <f t="shared" si="179"/>
        <v>0</v>
      </c>
    </row>
    <row r="11401" spans="3:4" ht="15" x14ac:dyDescent="0.25">
      <c r="C11401" s="8" t="e">
        <f>VLOOKUP(A:A,'ITEM LIST'!A:C,3,0)</f>
        <v>#N/A</v>
      </c>
      <c r="D11401" s="6">
        <f t="shared" si="179"/>
        <v>0</v>
      </c>
    </row>
    <row r="11402" spans="3:4" ht="15" x14ac:dyDescent="0.25">
      <c r="C11402" s="8" t="e">
        <f>VLOOKUP(A:A,'ITEM LIST'!A:C,3,0)</f>
        <v>#N/A</v>
      </c>
      <c r="D11402" s="6">
        <f t="shared" si="179"/>
        <v>0</v>
      </c>
    </row>
    <row r="11403" spans="3:4" ht="15" x14ac:dyDescent="0.25">
      <c r="C11403" s="8" t="e">
        <f>VLOOKUP(A:A,'ITEM LIST'!A:C,3,0)</f>
        <v>#N/A</v>
      </c>
      <c r="D11403" s="6">
        <f t="shared" si="179"/>
        <v>0</v>
      </c>
    </row>
    <row r="11404" spans="3:4" ht="15" x14ac:dyDescent="0.25">
      <c r="C11404" s="8" t="e">
        <f>VLOOKUP(A:A,'ITEM LIST'!A:C,3,0)</f>
        <v>#N/A</v>
      </c>
      <c r="D11404" s="6">
        <f t="shared" si="179"/>
        <v>0</v>
      </c>
    </row>
    <row r="11405" spans="3:4" ht="15" x14ac:dyDescent="0.25">
      <c r="C11405" s="8" t="e">
        <f>VLOOKUP(A:A,'ITEM LIST'!A:C,3,0)</f>
        <v>#N/A</v>
      </c>
      <c r="D11405" s="6">
        <f t="shared" si="179"/>
        <v>0</v>
      </c>
    </row>
    <row r="11406" spans="3:4" ht="15" x14ac:dyDescent="0.25">
      <c r="C11406" s="8" t="e">
        <f>VLOOKUP(A:A,'ITEM LIST'!A:C,3,0)</f>
        <v>#N/A</v>
      </c>
      <c r="D11406" s="6">
        <f t="shared" si="179"/>
        <v>0</v>
      </c>
    </row>
    <row r="11407" spans="3:4" ht="15" x14ac:dyDescent="0.25">
      <c r="C11407" s="8" t="e">
        <f>VLOOKUP(A:A,'ITEM LIST'!A:C,3,0)</f>
        <v>#N/A</v>
      </c>
      <c r="D11407" s="6">
        <f t="shared" si="179"/>
        <v>0</v>
      </c>
    </row>
    <row r="11408" spans="3:4" ht="15" x14ac:dyDescent="0.25">
      <c r="C11408" s="8" t="e">
        <f>VLOOKUP(A:A,'ITEM LIST'!A:C,3,0)</f>
        <v>#N/A</v>
      </c>
      <c r="D11408" s="6">
        <f t="shared" si="179"/>
        <v>0</v>
      </c>
    </row>
    <row r="11409" spans="3:4" ht="15" x14ac:dyDescent="0.25">
      <c r="C11409" s="8" t="e">
        <f>VLOOKUP(A:A,'ITEM LIST'!A:C,3,0)</f>
        <v>#N/A</v>
      </c>
      <c r="D11409" s="6">
        <f t="shared" si="179"/>
        <v>0</v>
      </c>
    </row>
    <row r="11410" spans="3:4" ht="15" x14ac:dyDescent="0.25">
      <c r="C11410" s="8" t="e">
        <f>VLOOKUP(A:A,'ITEM LIST'!A:C,3,0)</f>
        <v>#N/A</v>
      </c>
      <c r="D11410" s="6">
        <f t="shared" si="179"/>
        <v>0</v>
      </c>
    </row>
    <row r="11411" spans="3:4" ht="15" x14ac:dyDescent="0.25">
      <c r="C11411" s="8" t="e">
        <f>VLOOKUP(A:A,'ITEM LIST'!A:C,3,0)</f>
        <v>#N/A</v>
      </c>
      <c r="D11411" s="6">
        <f t="shared" si="179"/>
        <v>0</v>
      </c>
    </row>
    <row r="11412" spans="3:4" ht="15" x14ac:dyDescent="0.25">
      <c r="C11412" s="8" t="e">
        <f>VLOOKUP(A:A,'ITEM LIST'!A:C,3,0)</f>
        <v>#N/A</v>
      </c>
      <c r="D11412" s="6">
        <f t="shared" si="179"/>
        <v>0</v>
      </c>
    </row>
    <row r="11413" spans="3:4" ht="15" x14ac:dyDescent="0.25">
      <c r="C11413" s="8" t="e">
        <f>VLOOKUP(A:A,'ITEM LIST'!A:C,3,0)</f>
        <v>#N/A</v>
      </c>
      <c r="D11413" s="6">
        <f t="shared" si="179"/>
        <v>0</v>
      </c>
    </row>
    <row r="11414" spans="3:4" ht="15" x14ac:dyDescent="0.25">
      <c r="C11414" s="8" t="e">
        <f>VLOOKUP(A:A,'ITEM LIST'!A:C,3,0)</f>
        <v>#N/A</v>
      </c>
      <c r="D11414" s="6">
        <f t="shared" si="179"/>
        <v>0</v>
      </c>
    </row>
    <row r="11415" spans="3:4" ht="15" x14ac:dyDescent="0.25">
      <c r="C11415" s="8" t="e">
        <f>VLOOKUP(A:A,'ITEM LIST'!A:C,3,0)</f>
        <v>#N/A</v>
      </c>
      <c r="D11415" s="6">
        <f t="shared" si="179"/>
        <v>0</v>
      </c>
    </row>
    <row r="11416" spans="3:4" ht="15" x14ac:dyDescent="0.25">
      <c r="C11416" s="8" t="e">
        <f>VLOOKUP(A:A,'ITEM LIST'!A:C,3,0)</f>
        <v>#N/A</v>
      </c>
      <c r="D11416" s="6">
        <f t="shared" si="179"/>
        <v>0</v>
      </c>
    </row>
    <row r="11417" spans="3:4" ht="15" x14ac:dyDescent="0.25">
      <c r="C11417" s="8" t="e">
        <f>VLOOKUP(A:A,'ITEM LIST'!A:C,3,0)</f>
        <v>#N/A</v>
      </c>
      <c r="D11417" s="6">
        <f t="shared" si="179"/>
        <v>0</v>
      </c>
    </row>
    <row r="11418" spans="3:4" ht="15" x14ac:dyDescent="0.25">
      <c r="C11418" s="8" t="e">
        <f>VLOOKUP(A:A,'ITEM LIST'!A:C,3,0)</f>
        <v>#N/A</v>
      </c>
      <c r="D11418" s="6">
        <f t="shared" si="179"/>
        <v>0</v>
      </c>
    </row>
    <row r="11419" spans="3:4" ht="15" x14ac:dyDescent="0.25">
      <c r="C11419" s="8" t="e">
        <f>VLOOKUP(A:A,'ITEM LIST'!A:C,3,0)</f>
        <v>#N/A</v>
      </c>
      <c r="D11419" s="6">
        <f t="shared" si="179"/>
        <v>0</v>
      </c>
    </row>
    <row r="11420" spans="3:4" ht="15" x14ac:dyDescent="0.25">
      <c r="C11420" s="8" t="e">
        <f>VLOOKUP(A:A,'ITEM LIST'!A:C,3,0)</f>
        <v>#N/A</v>
      </c>
      <c r="D11420" s="6">
        <f t="shared" si="179"/>
        <v>0</v>
      </c>
    </row>
    <row r="11421" spans="3:4" ht="15" x14ac:dyDescent="0.25">
      <c r="C11421" s="8" t="e">
        <f>VLOOKUP(A:A,'ITEM LIST'!A:C,3,0)</f>
        <v>#N/A</v>
      </c>
      <c r="D11421" s="6">
        <f t="shared" si="179"/>
        <v>0</v>
      </c>
    </row>
    <row r="11422" spans="3:4" ht="15" x14ac:dyDescent="0.25">
      <c r="C11422" s="8" t="e">
        <f>VLOOKUP(A:A,'ITEM LIST'!A:C,3,0)</f>
        <v>#N/A</v>
      </c>
      <c r="D11422" s="6">
        <f t="shared" si="179"/>
        <v>0</v>
      </c>
    </row>
    <row r="11423" spans="3:4" ht="15" x14ac:dyDescent="0.25">
      <c r="C11423" s="8" t="e">
        <f>VLOOKUP(A:A,'ITEM LIST'!A:C,3,0)</f>
        <v>#N/A</v>
      </c>
      <c r="D11423" s="6">
        <f t="shared" si="179"/>
        <v>0</v>
      </c>
    </row>
    <row r="11424" spans="3:4" ht="15" x14ac:dyDescent="0.25">
      <c r="C11424" s="8" t="e">
        <f>VLOOKUP(A:A,'ITEM LIST'!A:C,3,0)</f>
        <v>#N/A</v>
      </c>
      <c r="D11424" s="6">
        <f t="shared" si="179"/>
        <v>0</v>
      </c>
    </row>
    <row r="11425" spans="3:4" ht="15" x14ac:dyDescent="0.25">
      <c r="C11425" s="8" t="e">
        <f>VLOOKUP(A:A,'ITEM LIST'!A:C,3,0)</f>
        <v>#N/A</v>
      </c>
      <c r="D11425" s="6">
        <f t="shared" si="179"/>
        <v>0</v>
      </c>
    </row>
    <row r="11426" spans="3:4" ht="15" x14ac:dyDescent="0.25">
      <c r="C11426" s="8" t="e">
        <f>VLOOKUP(A:A,'ITEM LIST'!A:C,3,0)</f>
        <v>#N/A</v>
      </c>
      <c r="D11426" s="6">
        <f t="shared" si="179"/>
        <v>0</v>
      </c>
    </row>
    <row r="11427" spans="3:4" ht="15" x14ac:dyDescent="0.25">
      <c r="C11427" s="8" t="e">
        <f>VLOOKUP(A:A,'ITEM LIST'!A:C,3,0)</f>
        <v>#N/A</v>
      </c>
      <c r="D11427" s="6">
        <f t="shared" si="179"/>
        <v>0</v>
      </c>
    </row>
    <row r="11428" spans="3:4" ht="15" x14ac:dyDescent="0.25">
      <c r="C11428" s="8" t="e">
        <f>VLOOKUP(A:A,'ITEM LIST'!A:C,3,0)</f>
        <v>#N/A</v>
      </c>
      <c r="D11428" s="6">
        <f t="shared" si="179"/>
        <v>0</v>
      </c>
    </row>
    <row r="11429" spans="3:4" ht="15" x14ac:dyDescent="0.25">
      <c r="C11429" s="8" t="e">
        <f>VLOOKUP(A:A,'ITEM LIST'!A:C,3,0)</f>
        <v>#N/A</v>
      </c>
      <c r="D11429" s="6">
        <f t="shared" si="179"/>
        <v>0</v>
      </c>
    </row>
    <row r="11430" spans="3:4" ht="15" x14ac:dyDescent="0.25">
      <c r="C11430" s="8" t="e">
        <f>VLOOKUP(A:A,'ITEM LIST'!A:C,3,0)</f>
        <v>#N/A</v>
      </c>
      <c r="D11430" s="6">
        <f t="shared" si="179"/>
        <v>0</v>
      </c>
    </row>
    <row r="11431" spans="3:4" ht="15" x14ac:dyDescent="0.25">
      <c r="C11431" s="8" t="e">
        <f>VLOOKUP(A:A,'ITEM LIST'!A:C,3,0)</f>
        <v>#N/A</v>
      </c>
      <c r="D11431" s="6">
        <f t="shared" si="179"/>
        <v>0</v>
      </c>
    </row>
    <row r="11432" spans="3:4" ht="15" x14ac:dyDescent="0.25">
      <c r="C11432" s="8" t="e">
        <f>VLOOKUP(A:A,'ITEM LIST'!A:C,3,0)</f>
        <v>#N/A</v>
      </c>
      <c r="D11432" s="6">
        <f t="shared" si="179"/>
        <v>0</v>
      </c>
    </row>
    <row r="11433" spans="3:4" ht="15" x14ac:dyDescent="0.25">
      <c r="C11433" s="8" t="e">
        <f>VLOOKUP(A:A,'ITEM LIST'!A:C,3,0)</f>
        <v>#N/A</v>
      </c>
      <c r="D11433" s="6">
        <f t="shared" si="179"/>
        <v>0</v>
      </c>
    </row>
    <row r="11434" spans="3:4" ht="15" x14ac:dyDescent="0.25">
      <c r="C11434" s="8" t="e">
        <f>VLOOKUP(A:A,'ITEM LIST'!A:C,3,0)</f>
        <v>#N/A</v>
      </c>
      <c r="D11434" s="6">
        <f t="shared" si="179"/>
        <v>0</v>
      </c>
    </row>
    <row r="11435" spans="3:4" ht="15" x14ac:dyDescent="0.25">
      <c r="C11435" s="8" t="e">
        <f>VLOOKUP(A:A,'ITEM LIST'!A:C,3,0)</f>
        <v>#N/A</v>
      </c>
      <c r="D11435" s="6">
        <f t="shared" si="179"/>
        <v>0</v>
      </c>
    </row>
    <row r="11436" spans="3:4" ht="15" x14ac:dyDescent="0.25">
      <c r="C11436" s="8" t="e">
        <f>VLOOKUP(A:A,'ITEM LIST'!A:C,3,0)</f>
        <v>#N/A</v>
      </c>
      <c r="D11436" s="6">
        <f t="shared" si="179"/>
        <v>0</v>
      </c>
    </row>
    <row r="11437" spans="3:4" ht="15" x14ac:dyDescent="0.25">
      <c r="C11437" s="8" t="e">
        <f>VLOOKUP(A:A,'ITEM LIST'!A:C,3,0)</f>
        <v>#N/A</v>
      </c>
      <c r="D11437" s="6">
        <f t="shared" si="179"/>
        <v>0</v>
      </c>
    </row>
    <row r="11438" spans="3:4" ht="15" x14ac:dyDescent="0.25">
      <c r="C11438" s="8" t="e">
        <f>VLOOKUP(A:A,'ITEM LIST'!A:C,3,0)</f>
        <v>#N/A</v>
      </c>
      <c r="D11438" s="6">
        <f t="shared" si="179"/>
        <v>0</v>
      </c>
    </row>
    <row r="11439" spans="3:4" ht="15" x14ac:dyDescent="0.25">
      <c r="C11439" s="8" t="e">
        <f>VLOOKUP(A:A,'ITEM LIST'!A:C,3,0)</f>
        <v>#N/A</v>
      </c>
      <c r="D11439" s="6">
        <f t="shared" si="179"/>
        <v>0</v>
      </c>
    </row>
    <row r="11440" spans="3:4" ht="15" x14ac:dyDescent="0.25">
      <c r="C11440" s="8" t="e">
        <f>VLOOKUP(A:A,'ITEM LIST'!A:C,3,0)</f>
        <v>#N/A</v>
      </c>
      <c r="D11440" s="6">
        <f t="shared" si="179"/>
        <v>0</v>
      </c>
    </row>
    <row r="11441" spans="3:4" ht="15" x14ac:dyDescent="0.25">
      <c r="C11441" s="8" t="e">
        <f>VLOOKUP(A:A,'ITEM LIST'!A:C,3,0)</f>
        <v>#N/A</v>
      </c>
      <c r="D11441" s="6">
        <f t="shared" si="179"/>
        <v>0</v>
      </c>
    </row>
    <row r="11442" spans="3:4" ht="15" x14ac:dyDescent="0.25">
      <c r="C11442" s="8" t="e">
        <f>VLOOKUP(A:A,'ITEM LIST'!A:C,3,0)</f>
        <v>#N/A</v>
      </c>
      <c r="D11442" s="6">
        <f t="shared" si="179"/>
        <v>0</v>
      </c>
    </row>
    <row r="11443" spans="3:4" ht="15" x14ac:dyDescent="0.25">
      <c r="C11443" s="8" t="e">
        <f>VLOOKUP(A:A,'ITEM LIST'!A:C,3,0)</f>
        <v>#N/A</v>
      </c>
      <c r="D11443" s="6">
        <f t="shared" si="179"/>
        <v>0</v>
      </c>
    </row>
    <row r="11444" spans="3:4" ht="15" x14ac:dyDescent="0.25">
      <c r="C11444" s="8" t="e">
        <f>VLOOKUP(A:A,'ITEM LIST'!A:C,3,0)</f>
        <v>#N/A</v>
      </c>
      <c r="D11444" s="6">
        <f t="shared" si="179"/>
        <v>0</v>
      </c>
    </row>
    <row r="11445" spans="3:4" ht="15" x14ac:dyDescent="0.25">
      <c r="C11445" s="8" t="e">
        <f>VLOOKUP(A:A,'ITEM LIST'!A:C,3,0)</f>
        <v>#N/A</v>
      </c>
      <c r="D11445" s="6">
        <f t="shared" si="179"/>
        <v>0</v>
      </c>
    </row>
    <row r="11446" spans="3:4" ht="15" x14ac:dyDescent="0.25">
      <c r="C11446" s="8" t="e">
        <f>VLOOKUP(A:A,'ITEM LIST'!A:C,3,0)</f>
        <v>#N/A</v>
      </c>
      <c r="D11446" s="6">
        <f t="shared" si="179"/>
        <v>0</v>
      </c>
    </row>
    <row r="11447" spans="3:4" ht="15" x14ac:dyDescent="0.25">
      <c r="C11447" s="8" t="e">
        <f>VLOOKUP(A:A,'ITEM LIST'!A:C,3,0)</f>
        <v>#N/A</v>
      </c>
      <c r="D11447" s="6">
        <f t="shared" si="179"/>
        <v>0</v>
      </c>
    </row>
    <row r="11448" spans="3:4" ht="15" x14ac:dyDescent="0.25">
      <c r="C11448" s="8" t="e">
        <f>VLOOKUP(A:A,'ITEM LIST'!A:C,3,0)</f>
        <v>#N/A</v>
      </c>
      <c r="D11448" s="6">
        <f t="shared" si="179"/>
        <v>0</v>
      </c>
    </row>
    <row r="11449" spans="3:4" ht="15" x14ac:dyDescent="0.25">
      <c r="C11449" s="8" t="e">
        <f>VLOOKUP(A:A,'ITEM LIST'!A:C,3,0)</f>
        <v>#N/A</v>
      </c>
      <c r="D11449" s="6">
        <f t="shared" si="179"/>
        <v>0</v>
      </c>
    </row>
    <row r="11450" spans="3:4" ht="15" x14ac:dyDescent="0.25">
      <c r="C11450" s="8" t="e">
        <f>VLOOKUP(A:A,'ITEM LIST'!A:C,3,0)</f>
        <v>#N/A</v>
      </c>
      <c r="D11450" s="6">
        <f t="shared" si="179"/>
        <v>0</v>
      </c>
    </row>
    <row r="11451" spans="3:4" ht="15" x14ac:dyDescent="0.25">
      <c r="C11451" s="8" t="e">
        <f>VLOOKUP(A:A,'ITEM LIST'!A:C,3,0)</f>
        <v>#N/A</v>
      </c>
      <c r="D11451" s="6">
        <f t="shared" si="179"/>
        <v>0</v>
      </c>
    </row>
    <row r="11452" spans="3:4" ht="15" x14ac:dyDescent="0.25">
      <c r="C11452" s="8" t="e">
        <f>VLOOKUP(A:A,'ITEM LIST'!A:C,3,0)</f>
        <v>#N/A</v>
      </c>
      <c r="D11452" s="6">
        <f t="shared" si="179"/>
        <v>0</v>
      </c>
    </row>
    <row r="11453" spans="3:4" ht="15" x14ac:dyDescent="0.25">
      <c r="C11453" s="8" t="e">
        <f>VLOOKUP(A:A,'ITEM LIST'!A:C,3,0)</f>
        <v>#N/A</v>
      </c>
      <c r="D11453" s="6">
        <f t="shared" si="179"/>
        <v>0</v>
      </c>
    </row>
    <row r="11454" spans="3:4" ht="15" x14ac:dyDescent="0.25">
      <c r="C11454" s="8" t="e">
        <f>VLOOKUP(A:A,'ITEM LIST'!A:C,3,0)</f>
        <v>#N/A</v>
      </c>
      <c r="D11454" s="6">
        <f t="shared" si="179"/>
        <v>0</v>
      </c>
    </row>
    <row r="11455" spans="3:4" ht="15" x14ac:dyDescent="0.25">
      <c r="C11455" s="8" t="e">
        <f>VLOOKUP(A:A,'ITEM LIST'!A:C,3,0)</f>
        <v>#N/A</v>
      </c>
      <c r="D11455" s="6">
        <f t="shared" si="179"/>
        <v>0</v>
      </c>
    </row>
    <row r="11456" spans="3:4" ht="15" x14ac:dyDescent="0.25">
      <c r="C11456" s="8" t="e">
        <f>VLOOKUP(A:A,'ITEM LIST'!A:C,3,0)</f>
        <v>#N/A</v>
      </c>
      <c r="D11456" s="6">
        <f t="shared" si="179"/>
        <v>0</v>
      </c>
    </row>
    <row r="11457" spans="3:4" ht="15" x14ac:dyDescent="0.25">
      <c r="C11457" s="8" t="e">
        <f>VLOOKUP(A:A,'ITEM LIST'!A:C,3,0)</f>
        <v>#N/A</v>
      </c>
      <c r="D11457" s="6">
        <f t="shared" si="179"/>
        <v>0</v>
      </c>
    </row>
    <row r="11458" spans="3:4" ht="15" x14ac:dyDescent="0.25">
      <c r="C11458" s="8" t="e">
        <f>VLOOKUP(A:A,'ITEM LIST'!A:C,3,0)</f>
        <v>#N/A</v>
      </c>
      <c r="D11458" s="6">
        <f t="shared" si="179"/>
        <v>0</v>
      </c>
    </row>
    <row r="11459" spans="3:4" ht="15" x14ac:dyDescent="0.25">
      <c r="C11459" s="8" t="e">
        <f>VLOOKUP(A:A,'ITEM LIST'!A:C,3,0)</f>
        <v>#N/A</v>
      </c>
      <c r="D11459" s="6">
        <f t="shared" si="179"/>
        <v>0</v>
      </c>
    </row>
    <row r="11460" spans="3:4" ht="15" x14ac:dyDescent="0.25">
      <c r="C11460" s="8" t="e">
        <f>VLOOKUP(A:A,'ITEM LIST'!A:C,3,0)</f>
        <v>#N/A</v>
      </c>
      <c r="D11460" s="6">
        <f t="shared" si="179"/>
        <v>0</v>
      </c>
    </row>
    <row r="11461" spans="3:4" ht="15" x14ac:dyDescent="0.25">
      <c r="C11461" s="8" t="e">
        <f>VLOOKUP(A:A,'ITEM LIST'!A:C,3,0)</f>
        <v>#N/A</v>
      </c>
      <c r="D11461" s="6">
        <f t="shared" si="179"/>
        <v>0</v>
      </c>
    </row>
    <row r="11462" spans="3:4" ht="15" x14ac:dyDescent="0.25">
      <c r="C11462" s="8" t="e">
        <f>VLOOKUP(A:A,'ITEM LIST'!A:C,3,0)</f>
        <v>#N/A</v>
      </c>
      <c r="D11462" s="6">
        <f t="shared" ref="D11462:D11525" si="180">B11462</f>
        <v>0</v>
      </c>
    </row>
    <row r="11463" spans="3:4" ht="15" x14ac:dyDescent="0.25">
      <c r="C11463" s="8" t="e">
        <f>VLOOKUP(A:A,'ITEM LIST'!A:C,3,0)</f>
        <v>#N/A</v>
      </c>
      <c r="D11463" s="6">
        <f t="shared" si="180"/>
        <v>0</v>
      </c>
    </row>
    <row r="11464" spans="3:4" ht="15" x14ac:dyDescent="0.25">
      <c r="C11464" s="8" t="e">
        <f>VLOOKUP(A:A,'ITEM LIST'!A:C,3,0)</f>
        <v>#N/A</v>
      </c>
      <c r="D11464" s="6">
        <f t="shared" si="180"/>
        <v>0</v>
      </c>
    </row>
    <row r="11465" spans="3:4" ht="15" x14ac:dyDescent="0.25">
      <c r="C11465" s="8" t="e">
        <f>VLOOKUP(A:A,'ITEM LIST'!A:C,3,0)</f>
        <v>#N/A</v>
      </c>
      <c r="D11465" s="6">
        <f t="shared" si="180"/>
        <v>0</v>
      </c>
    </row>
    <row r="11466" spans="3:4" ht="15" x14ac:dyDescent="0.25">
      <c r="C11466" s="8" t="e">
        <f>VLOOKUP(A:A,'ITEM LIST'!A:C,3,0)</f>
        <v>#N/A</v>
      </c>
      <c r="D11466" s="6">
        <f t="shared" si="180"/>
        <v>0</v>
      </c>
    </row>
    <row r="11467" spans="3:4" ht="15" x14ac:dyDescent="0.25">
      <c r="C11467" s="8" t="e">
        <f>VLOOKUP(A:A,'ITEM LIST'!A:C,3,0)</f>
        <v>#N/A</v>
      </c>
      <c r="D11467" s="6">
        <f t="shared" si="180"/>
        <v>0</v>
      </c>
    </row>
    <row r="11468" spans="3:4" ht="15" x14ac:dyDescent="0.25">
      <c r="C11468" s="8" t="e">
        <f>VLOOKUP(A:A,'ITEM LIST'!A:C,3,0)</f>
        <v>#N/A</v>
      </c>
      <c r="D11468" s="6">
        <f t="shared" si="180"/>
        <v>0</v>
      </c>
    </row>
    <row r="11469" spans="3:4" ht="15" x14ac:dyDescent="0.25">
      <c r="C11469" s="8" t="e">
        <f>VLOOKUP(A:A,'ITEM LIST'!A:C,3,0)</f>
        <v>#N/A</v>
      </c>
      <c r="D11469" s="6">
        <f t="shared" si="180"/>
        <v>0</v>
      </c>
    </row>
    <row r="11470" spans="3:4" ht="15" x14ac:dyDescent="0.25">
      <c r="C11470" s="8" t="e">
        <f>VLOOKUP(A:A,'ITEM LIST'!A:C,3,0)</f>
        <v>#N/A</v>
      </c>
      <c r="D11470" s="6">
        <f t="shared" si="180"/>
        <v>0</v>
      </c>
    </row>
    <row r="11471" spans="3:4" ht="15" x14ac:dyDescent="0.25">
      <c r="C11471" s="8" t="e">
        <f>VLOOKUP(A:A,'ITEM LIST'!A:C,3,0)</f>
        <v>#N/A</v>
      </c>
      <c r="D11471" s="6">
        <f t="shared" si="180"/>
        <v>0</v>
      </c>
    </row>
    <row r="11472" spans="3:4" ht="15" x14ac:dyDescent="0.25">
      <c r="C11472" s="8" t="e">
        <f>VLOOKUP(A:A,'ITEM LIST'!A:C,3,0)</f>
        <v>#N/A</v>
      </c>
      <c r="D11472" s="6">
        <f t="shared" si="180"/>
        <v>0</v>
      </c>
    </row>
    <row r="11473" spans="3:4" ht="15" x14ac:dyDescent="0.25">
      <c r="C11473" s="8" t="e">
        <f>VLOOKUP(A:A,'ITEM LIST'!A:C,3,0)</f>
        <v>#N/A</v>
      </c>
      <c r="D11473" s="6">
        <f t="shared" si="180"/>
        <v>0</v>
      </c>
    </row>
    <row r="11474" spans="3:4" ht="15" x14ac:dyDescent="0.25">
      <c r="C11474" s="8" t="e">
        <f>VLOOKUP(A:A,'ITEM LIST'!A:C,3,0)</f>
        <v>#N/A</v>
      </c>
      <c r="D11474" s="6">
        <f t="shared" si="180"/>
        <v>0</v>
      </c>
    </row>
    <row r="11475" spans="3:4" ht="15" x14ac:dyDescent="0.25">
      <c r="C11475" s="8" t="e">
        <f>VLOOKUP(A:A,'ITEM LIST'!A:C,3,0)</f>
        <v>#N/A</v>
      </c>
      <c r="D11475" s="6">
        <f t="shared" si="180"/>
        <v>0</v>
      </c>
    </row>
    <row r="11476" spans="3:4" ht="15" x14ac:dyDescent="0.25">
      <c r="C11476" s="8" t="e">
        <f>VLOOKUP(A:A,'ITEM LIST'!A:C,3,0)</f>
        <v>#N/A</v>
      </c>
      <c r="D11476" s="6">
        <f t="shared" si="180"/>
        <v>0</v>
      </c>
    </row>
    <row r="11477" spans="3:4" ht="15" x14ac:dyDescent="0.25">
      <c r="C11477" s="8" t="e">
        <f>VLOOKUP(A:A,'ITEM LIST'!A:C,3,0)</f>
        <v>#N/A</v>
      </c>
      <c r="D11477" s="6">
        <f t="shared" si="180"/>
        <v>0</v>
      </c>
    </row>
    <row r="11478" spans="3:4" ht="15" x14ac:dyDescent="0.25">
      <c r="C11478" s="8" t="e">
        <f>VLOOKUP(A:A,'ITEM LIST'!A:C,3,0)</f>
        <v>#N/A</v>
      </c>
      <c r="D11478" s="6">
        <f t="shared" si="180"/>
        <v>0</v>
      </c>
    </row>
    <row r="11479" spans="3:4" ht="15" x14ac:dyDescent="0.25">
      <c r="C11479" s="8" t="e">
        <f>VLOOKUP(A:A,'ITEM LIST'!A:C,3,0)</f>
        <v>#N/A</v>
      </c>
      <c r="D11479" s="6">
        <f t="shared" si="180"/>
        <v>0</v>
      </c>
    </row>
    <row r="11480" spans="3:4" ht="15" x14ac:dyDescent="0.25">
      <c r="C11480" s="8" t="e">
        <f>VLOOKUP(A:A,'ITEM LIST'!A:C,3,0)</f>
        <v>#N/A</v>
      </c>
      <c r="D11480" s="6">
        <f t="shared" si="180"/>
        <v>0</v>
      </c>
    </row>
    <row r="11481" spans="3:4" ht="15" x14ac:dyDescent="0.25">
      <c r="C11481" s="8" t="e">
        <f>VLOOKUP(A:A,'ITEM LIST'!A:C,3,0)</f>
        <v>#N/A</v>
      </c>
      <c r="D11481" s="6">
        <f t="shared" si="180"/>
        <v>0</v>
      </c>
    </row>
    <row r="11482" spans="3:4" ht="15" x14ac:dyDescent="0.25">
      <c r="C11482" s="8" t="e">
        <f>VLOOKUP(A:A,'ITEM LIST'!A:C,3,0)</f>
        <v>#N/A</v>
      </c>
      <c r="D11482" s="6">
        <f t="shared" si="180"/>
        <v>0</v>
      </c>
    </row>
    <row r="11483" spans="3:4" ht="15" x14ac:dyDescent="0.25">
      <c r="C11483" s="8" t="e">
        <f>VLOOKUP(A:A,'ITEM LIST'!A:C,3,0)</f>
        <v>#N/A</v>
      </c>
      <c r="D11483" s="6">
        <f t="shared" si="180"/>
        <v>0</v>
      </c>
    </row>
    <row r="11484" spans="3:4" ht="15" x14ac:dyDescent="0.25">
      <c r="C11484" s="8" t="e">
        <f>VLOOKUP(A:A,'ITEM LIST'!A:C,3,0)</f>
        <v>#N/A</v>
      </c>
      <c r="D11484" s="6">
        <f t="shared" si="180"/>
        <v>0</v>
      </c>
    </row>
    <row r="11485" spans="3:4" ht="15" x14ac:dyDescent="0.25">
      <c r="C11485" s="8" t="e">
        <f>VLOOKUP(A:A,'ITEM LIST'!A:C,3,0)</f>
        <v>#N/A</v>
      </c>
      <c r="D11485" s="6">
        <f t="shared" si="180"/>
        <v>0</v>
      </c>
    </row>
    <row r="11486" spans="3:4" ht="15" x14ac:dyDescent="0.25">
      <c r="C11486" s="8" t="e">
        <f>VLOOKUP(A:A,'ITEM LIST'!A:C,3,0)</f>
        <v>#N/A</v>
      </c>
      <c r="D11486" s="6">
        <f t="shared" si="180"/>
        <v>0</v>
      </c>
    </row>
    <row r="11487" spans="3:4" ht="15" x14ac:dyDescent="0.25">
      <c r="C11487" s="8" t="e">
        <f>VLOOKUP(A:A,'ITEM LIST'!A:C,3,0)</f>
        <v>#N/A</v>
      </c>
      <c r="D11487" s="6">
        <f t="shared" si="180"/>
        <v>0</v>
      </c>
    </row>
    <row r="11488" spans="3:4" ht="15" x14ac:dyDescent="0.25">
      <c r="C11488" s="8" t="e">
        <f>VLOOKUP(A:A,'ITEM LIST'!A:C,3,0)</f>
        <v>#N/A</v>
      </c>
      <c r="D11488" s="6">
        <f t="shared" si="180"/>
        <v>0</v>
      </c>
    </row>
    <row r="11489" spans="3:4" ht="15" x14ac:dyDescent="0.25">
      <c r="C11489" s="8" t="e">
        <f>VLOOKUP(A:A,'ITEM LIST'!A:C,3,0)</f>
        <v>#N/A</v>
      </c>
      <c r="D11489" s="6">
        <f t="shared" si="180"/>
        <v>0</v>
      </c>
    </row>
    <row r="11490" spans="3:4" ht="15" x14ac:dyDescent="0.25">
      <c r="C11490" s="8" t="e">
        <f>VLOOKUP(A:A,'ITEM LIST'!A:C,3,0)</f>
        <v>#N/A</v>
      </c>
      <c r="D11490" s="6">
        <f t="shared" si="180"/>
        <v>0</v>
      </c>
    </row>
    <row r="11491" spans="3:4" ht="15" x14ac:dyDescent="0.25">
      <c r="C11491" s="8" t="e">
        <f>VLOOKUP(A:A,'ITEM LIST'!A:C,3,0)</f>
        <v>#N/A</v>
      </c>
      <c r="D11491" s="6">
        <f t="shared" si="180"/>
        <v>0</v>
      </c>
    </row>
    <row r="11492" spans="3:4" ht="15" x14ac:dyDescent="0.25">
      <c r="C11492" s="8" t="e">
        <f>VLOOKUP(A:A,'ITEM LIST'!A:C,3,0)</f>
        <v>#N/A</v>
      </c>
      <c r="D11492" s="6">
        <f t="shared" si="180"/>
        <v>0</v>
      </c>
    </row>
    <row r="11493" spans="3:4" ht="15" x14ac:dyDescent="0.25">
      <c r="C11493" s="8" t="e">
        <f>VLOOKUP(A:A,'ITEM LIST'!A:C,3,0)</f>
        <v>#N/A</v>
      </c>
      <c r="D11493" s="6">
        <f t="shared" si="180"/>
        <v>0</v>
      </c>
    </row>
    <row r="11494" spans="3:4" ht="15" x14ac:dyDescent="0.25">
      <c r="C11494" s="8" t="e">
        <f>VLOOKUP(A:A,'ITEM LIST'!A:C,3,0)</f>
        <v>#N/A</v>
      </c>
      <c r="D11494" s="6">
        <f t="shared" si="180"/>
        <v>0</v>
      </c>
    </row>
    <row r="11495" spans="3:4" ht="15" x14ac:dyDescent="0.25">
      <c r="C11495" s="8" t="e">
        <f>VLOOKUP(A:A,'ITEM LIST'!A:C,3,0)</f>
        <v>#N/A</v>
      </c>
      <c r="D11495" s="6">
        <f t="shared" si="180"/>
        <v>0</v>
      </c>
    </row>
    <row r="11496" spans="3:4" ht="15" x14ac:dyDescent="0.25">
      <c r="C11496" s="8" t="e">
        <f>VLOOKUP(A:A,'ITEM LIST'!A:C,3,0)</f>
        <v>#N/A</v>
      </c>
      <c r="D11496" s="6">
        <f t="shared" si="180"/>
        <v>0</v>
      </c>
    </row>
    <row r="11497" spans="3:4" ht="15" x14ac:dyDescent="0.25">
      <c r="C11497" s="8" t="e">
        <f>VLOOKUP(A:A,'ITEM LIST'!A:C,3,0)</f>
        <v>#N/A</v>
      </c>
      <c r="D11497" s="6">
        <f t="shared" si="180"/>
        <v>0</v>
      </c>
    </row>
    <row r="11498" spans="3:4" ht="15" x14ac:dyDescent="0.25">
      <c r="C11498" s="8" t="e">
        <f>VLOOKUP(A:A,'ITEM LIST'!A:C,3,0)</f>
        <v>#N/A</v>
      </c>
      <c r="D11498" s="6">
        <f t="shared" si="180"/>
        <v>0</v>
      </c>
    </row>
    <row r="11499" spans="3:4" ht="15" x14ac:dyDescent="0.25">
      <c r="C11499" s="8" t="e">
        <f>VLOOKUP(A:A,'ITEM LIST'!A:C,3,0)</f>
        <v>#N/A</v>
      </c>
      <c r="D11499" s="6">
        <f t="shared" si="180"/>
        <v>0</v>
      </c>
    </row>
    <row r="11500" spans="3:4" ht="15" x14ac:dyDescent="0.25">
      <c r="C11500" s="8" t="e">
        <f>VLOOKUP(A:A,'ITEM LIST'!A:C,3,0)</f>
        <v>#N/A</v>
      </c>
      <c r="D11500" s="6">
        <f t="shared" si="180"/>
        <v>0</v>
      </c>
    </row>
    <row r="11501" spans="3:4" ht="15" x14ac:dyDescent="0.25">
      <c r="C11501" s="8" t="e">
        <f>VLOOKUP(A:A,'ITEM LIST'!A:C,3,0)</f>
        <v>#N/A</v>
      </c>
      <c r="D11501" s="6">
        <f t="shared" si="180"/>
        <v>0</v>
      </c>
    </row>
    <row r="11502" spans="3:4" ht="15" x14ac:dyDescent="0.25">
      <c r="C11502" s="8" t="e">
        <f>VLOOKUP(A:A,'ITEM LIST'!A:C,3,0)</f>
        <v>#N/A</v>
      </c>
      <c r="D11502" s="6">
        <f t="shared" si="180"/>
        <v>0</v>
      </c>
    </row>
    <row r="11503" spans="3:4" ht="15" x14ac:dyDescent="0.25">
      <c r="C11503" s="8" t="e">
        <f>VLOOKUP(A:A,'ITEM LIST'!A:C,3,0)</f>
        <v>#N/A</v>
      </c>
      <c r="D11503" s="6">
        <f t="shared" si="180"/>
        <v>0</v>
      </c>
    </row>
    <row r="11504" spans="3:4" ht="15" x14ac:dyDescent="0.25">
      <c r="C11504" s="8" t="e">
        <f>VLOOKUP(A:A,'ITEM LIST'!A:C,3,0)</f>
        <v>#N/A</v>
      </c>
      <c r="D11504" s="6">
        <f t="shared" si="180"/>
        <v>0</v>
      </c>
    </row>
    <row r="11505" spans="3:4" ht="15" x14ac:dyDescent="0.25">
      <c r="C11505" s="8" t="e">
        <f>VLOOKUP(A:A,'ITEM LIST'!A:C,3,0)</f>
        <v>#N/A</v>
      </c>
      <c r="D11505" s="6">
        <f t="shared" si="180"/>
        <v>0</v>
      </c>
    </row>
    <row r="11506" spans="3:4" ht="15" x14ac:dyDescent="0.25">
      <c r="C11506" s="8" t="e">
        <f>VLOOKUP(A:A,'ITEM LIST'!A:C,3,0)</f>
        <v>#N/A</v>
      </c>
      <c r="D11506" s="6">
        <f t="shared" si="180"/>
        <v>0</v>
      </c>
    </row>
    <row r="11507" spans="3:4" ht="15" x14ac:dyDescent="0.25">
      <c r="C11507" s="8" t="e">
        <f>VLOOKUP(A:A,'ITEM LIST'!A:C,3,0)</f>
        <v>#N/A</v>
      </c>
      <c r="D11507" s="6">
        <f t="shared" si="180"/>
        <v>0</v>
      </c>
    </row>
    <row r="11508" spans="3:4" ht="15" x14ac:dyDescent="0.25">
      <c r="C11508" s="8" t="e">
        <f>VLOOKUP(A:A,'ITEM LIST'!A:C,3,0)</f>
        <v>#N/A</v>
      </c>
      <c r="D11508" s="6">
        <f t="shared" si="180"/>
        <v>0</v>
      </c>
    </row>
    <row r="11509" spans="3:4" ht="15" x14ac:dyDescent="0.25">
      <c r="C11509" s="8" t="e">
        <f>VLOOKUP(A:A,'ITEM LIST'!A:C,3,0)</f>
        <v>#N/A</v>
      </c>
      <c r="D11509" s="6">
        <f t="shared" si="180"/>
        <v>0</v>
      </c>
    </row>
    <row r="11510" spans="3:4" ht="15" x14ac:dyDescent="0.25">
      <c r="C11510" s="8" t="e">
        <f>VLOOKUP(A:A,'ITEM LIST'!A:C,3,0)</f>
        <v>#N/A</v>
      </c>
      <c r="D11510" s="6">
        <f t="shared" si="180"/>
        <v>0</v>
      </c>
    </row>
    <row r="11511" spans="3:4" ht="15" x14ac:dyDescent="0.25">
      <c r="C11511" s="8" t="e">
        <f>VLOOKUP(A:A,'ITEM LIST'!A:C,3,0)</f>
        <v>#N/A</v>
      </c>
      <c r="D11511" s="6">
        <f t="shared" si="180"/>
        <v>0</v>
      </c>
    </row>
    <row r="11512" spans="3:4" ht="15" x14ac:dyDescent="0.25">
      <c r="C11512" s="8" t="e">
        <f>VLOOKUP(A:A,'ITEM LIST'!A:C,3,0)</f>
        <v>#N/A</v>
      </c>
      <c r="D11512" s="6">
        <f t="shared" si="180"/>
        <v>0</v>
      </c>
    </row>
    <row r="11513" spans="3:4" ht="15" x14ac:dyDescent="0.25">
      <c r="C11513" s="8" t="e">
        <f>VLOOKUP(A:A,'ITEM LIST'!A:C,3,0)</f>
        <v>#N/A</v>
      </c>
      <c r="D11513" s="6">
        <f t="shared" si="180"/>
        <v>0</v>
      </c>
    </row>
    <row r="11514" spans="3:4" ht="15" x14ac:dyDescent="0.25">
      <c r="C11514" s="8" t="e">
        <f>VLOOKUP(A:A,'ITEM LIST'!A:C,3,0)</f>
        <v>#N/A</v>
      </c>
      <c r="D11514" s="6">
        <f t="shared" si="180"/>
        <v>0</v>
      </c>
    </row>
    <row r="11515" spans="3:4" ht="15" x14ac:dyDescent="0.25">
      <c r="C11515" s="8" t="e">
        <f>VLOOKUP(A:A,'ITEM LIST'!A:C,3,0)</f>
        <v>#N/A</v>
      </c>
      <c r="D11515" s="6">
        <f t="shared" si="180"/>
        <v>0</v>
      </c>
    </row>
    <row r="11516" spans="3:4" ht="15" x14ac:dyDescent="0.25">
      <c r="C11516" s="8" t="e">
        <f>VLOOKUP(A:A,'ITEM LIST'!A:C,3,0)</f>
        <v>#N/A</v>
      </c>
      <c r="D11516" s="6">
        <f t="shared" si="180"/>
        <v>0</v>
      </c>
    </row>
    <row r="11517" spans="3:4" ht="15" x14ac:dyDescent="0.25">
      <c r="C11517" s="8" t="e">
        <f>VLOOKUP(A:A,'ITEM LIST'!A:C,3,0)</f>
        <v>#N/A</v>
      </c>
      <c r="D11517" s="6">
        <f t="shared" si="180"/>
        <v>0</v>
      </c>
    </row>
    <row r="11518" spans="3:4" ht="15" x14ac:dyDescent="0.25">
      <c r="C11518" s="8" t="e">
        <f>VLOOKUP(A:A,'ITEM LIST'!A:C,3,0)</f>
        <v>#N/A</v>
      </c>
      <c r="D11518" s="6">
        <f t="shared" si="180"/>
        <v>0</v>
      </c>
    </row>
    <row r="11519" spans="3:4" ht="15" x14ac:dyDescent="0.25">
      <c r="C11519" s="8" t="e">
        <f>VLOOKUP(A:A,'ITEM LIST'!A:C,3,0)</f>
        <v>#N/A</v>
      </c>
      <c r="D11519" s="6">
        <f t="shared" si="180"/>
        <v>0</v>
      </c>
    </row>
    <row r="11520" spans="3:4" ht="15" x14ac:dyDescent="0.25">
      <c r="C11520" s="8" t="e">
        <f>VLOOKUP(A:A,'ITEM LIST'!A:C,3,0)</f>
        <v>#N/A</v>
      </c>
      <c r="D11520" s="6">
        <f t="shared" si="180"/>
        <v>0</v>
      </c>
    </row>
    <row r="11521" spans="3:4" ht="15" x14ac:dyDescent="0.25">
      <c r="C11521" s="8" t="e">
        <f>VLOOKUP(A:A,'ITEM LIST'!A:C,3,0)</f>
        <v>#N/A</v>
      </c>
      <c r="D11521" s="6">
        <f t="shared" si="180"/>
        <v>0</v>
      </c>
    </row>
    <row r="11522" spans="3:4" ht="15" x14ac:dyDescent="0.25">
      <c r="C11522" s="8" t="e">
        <f>VLOOKUP(A:A,'ITEM LIST'!A:C,3,0)</f>
        <v>#N/A</v>
      </c>
      <c r="D11522" s="6">
        <f t="shared" si="180"/>
        <v>0</v>
      </c>
    </row>
    <row r="11523" spans="3:4" ht="15" x14ac:dyDescent="0.25">
      <c r="C11523" s="8" t="e">
        <f>VLOOKUP(A:A,'ITEM LIST'!A:C,3,0)</f>
        <v>#N/A</v>
      </c>
      <c r="D11523" s="6">
        <f t="shared" si="180"/>
        <v>0</v>
      </c>
    </row>
    <row r="11524" spans="3:4" ht="15" x14ac:dyDescent="0.25">
      <c r="C11524" s="8" t="e">
        <f>VLOOKUP(A:A,'ITEM LIST'!A:C,3,0)</f>
        <v>#N/A</v>
      </c>
      <c r="D11524" s="6">
        <f t="shared" si="180"/>
        <v>0</v>
      </c>
    </row>
    <row r="11525" spans="3:4" ht="15" x14ac:dyDescent="0.25">
      <c r="C11525" s="8" t="e">
        <f>VLOOKUP(A:A,'ITEM LIST'!A:C,3,0)</f>
        <v>#N/A</v>
      </c>
      <c r="D11525" s="6">
        <f t="shared" si="180"/>
        <v>0</v>
      </c>
    </row>
    <row r="11526" spans="3:4" ht="15" x14ac:dyDescent="0.25">
      <c r="C11526" s="8" t="e">
        <f>VLOOKUP(A:A,'ITEM LIST'!A:C,3,0)</f>
        <v>#N/A</v>
      </c>
      <c r="D11526" s="6">
        <f t="shared" ref="D11526:D11589" si="181">B11526</f>
        <v>0</v>
      </c>
    </row>
    <row r="11527" spans="3:4" ht="15" x14ac:dyDescent="0.25">
      <c r="C11527" s="8" t="e">
        <f>VLOOKUP(A:A,'ITEM LIST'!A:C,3,0)</f>
        <v>#N/A</v>
      </c>
      <c r="D11527" s="6">
        <f t="shared" si="181"/>
        <v>0</v>
      </c>
    </row>
    <row r="11528" spans="3:4" ht="15" x14ac:dyDescent="0.25">
      <c r="C11528" s="8" t="e">
        <f>VLOOKUP(A:A,'ITEM LIST'!A:C,3,0)</f>
        <v>#N/A</v>
      </c>
      <c r="D11528" s="6">
        <f t="shared" si="181"/>
        <v>0</v>
      </c>
    </row>
    <row r="11529" spans="3:4" ht="15" x14ac:dyDescent="0.25">
      <c r="C11529" s="8" t="e">
        <f>VLOOKUP(A:A,'ITEM LIST'!A:C,3,0)</f>
        <v>#N/A</v>
      </c>
      <c r="D11529" s="6">
        <f t="shared" si="181"/>
        <v>0</v>
      </c>
    </row>
    <row r="11530" spans="3:4" ht="15" x14ac:dyDescent="0.25">
      <c r="C11530" s="8" t="e">
        <f>VLOOKUP(A:A,'ITEM LIST'!A:C,3,0)</f>
        <v>#N/A</v>
      </c>
      <c r="D11530" s="6">
        <f t="shared" si="181"/>
        <v>0</v>
      </c>
    </row>
    <row r="11531" spans="3:4" ht="15" x14ac:dyDescent="0.25">
      <c r="C11531" s="8" t="e">
        <f>VLOOKUP(A:A,'ITEM LIST'!A:C,3,0)</f>
        <v>#N/A</v>
      </c>
      <c r="D11531" s="6">
        <f t="shared" si="181"/>
        <v>0</v>
      </c>
    </row>
    <row r="11532" spans="3:4" ht="15" x14ac:dyDescent="0.25">
      <c r="C11532" s="8" t="e">
        <f>VLOOKUP(A:A,'ITEM LIST'!A:C,3,0)</f>
        <v>#N/A</v>
      </c>
      <c r="D11532" s="6">
        <f t="shared" si="181"/>
        <v>0</v>
      </c>
    </row>
    <row r="11533" spans="3:4" ht="15" x14ac:dyDescent="0.25">
      <c r="C11533" s="8" t="e">
        <f>VLOOKUP(A:A,'ITEM LIST'!A:C,3,0)</f>
        <v>#N/A</v>
      </c>
      <c r="D11533" s="6">
        <f t="shared" si="181"/>
        <v>0</v>
      </c>
    </row>
    <row r="11534" spans="3:4" ht="15" x14ac:dyDescent="0.25">
      <c r="C11534" s="8" t="e">
        <f>VLOOKUP(A:A,'ITEM LIST'!A:C,3,0)</f>
        <v>#N/A</v>
      </c>
      <c r="D11534" s="6">
        <f t="shared" si="181"/>
        <v>0</v>
      </c>
    </row>
    <row r="11535" spans="3:4" ht="15" x14ac:dyDescent="0.25">
      <c r="C11535" s="8" t="e">
        <f>VLOOKUP(A:A,'ITEM LIST'!A:C,3,0)</f>
        <v>#N/A</v>
      </c>
      <c r="D11535" s="6">
        <f t="shared" si="181"/>
        <v>0</v>
      </c>
    </row>
    <row r="11536" spans="3:4" ht="15" x14ac:dyDescent="0.25">
      <c r="C11536" s="8" t="e">
        <f>VLOOKUP(A:A,'ITEM LIST'!A:C,3,0)</f>
        <v>#N/A</v>
      </c>
      <c r="D11536" s="6">
        <f t="shared" si="181"/>
        <v>0</v>
      </c>
    </row>
    <row r="11537" spans="3:4" ht="15" x14ac:dyDescent="0.25">
      <c r="C11537" s="8" t="e">
        <f>VLOOKUP(A:A,'ITEM LIST'!A:C,3,0)</f>
        <v>#N/A</v>
      </c>
      <c r="D11537" s="6">
        <f t="shared" si="181"/>
        <v>0</v>
      </c>
    </row>
    <row r="11538" spans="3:4" ht="15" x14ac:dyDescent="0.25">
      <c r="C11538" s="8" t="e">
        <f>VLOOKUP(A:A,'ITEM LIST'!A:C,3,0)</f>
        <v>#N/A</v>
      </c>
      <c r="D11538" s="6">
        <f t="shared" si="181"/>
        <v>0</v>
      </c>
    </row>
    <row r="11539" spans="3:4" ht="15" x14ac:dyDescent="0.25">
      <c r="C11539" s="8" t="e">
        <f>VLOOKUP(A:A,'ITEM LIST'!A:C,3,0)</f>
        <v>#N/A</v>
      </c>
      <c r="D11539" s="6">
        <f t="shared" si="181"/>
        <v>0</v>
      </c>
    </row>
    <row r="11540" spans="3:4" ht="15" x14ac:dyDescent="0.25">
      <c r="C11540" s="8" t="e">
        <f>VLOOKUP(A:A,'ITEM LIST'!A:C,3,0)</f>
        <v>#N/A</v>
      </c>
      <c r="D11540" s="6">
        <f t="shared" si="181"/>
        <v>0</v>
      </c>
    </row>
    <row r="11541" spans="3:4" ht="15" x14ac:dyDescent="0.25">
      <c r="C11541" s="8" t="e">
        <f>VLOOKUP(A:A,'ITEM LIST'!A:C,3,0)</f>
        <v>#N/A</v>
      </c>
      <c r="D11541" s="6">
        <f t="shared" si="181"/>
        <v>0</v>
      </c>
    </row>
    <row r="11542" spans="3:4" ht="15" x14ac:dyDescent="0.25">
      <c r="C11542" s="8" t="e">
        <f>VLOOKUP(A:A,'ITEM LIST'!A:C,3,0)</f>
        <v>#N/A</v>
      </c>
      <c r="D11542" s="6">
        <f t="shared" si="181"/>
        <v>0</v>
      </c>
    </row>
    <row r="11543" spans="3:4" ht="15" x14ac:dyDescent="0.25">
      <c r="C11543" s="8" t="e">
        <f>VLOOKUP(A:A,'ITEM LIST'!A:C,3,0)</f>
        <v>#N/A</v>
      </c>
      <c r="D11543" s="6">
        <f t="shared" si="181"/>
        <v>0</v>
      </c>
    </row>
    <row r="11544" spans="3:4" ht="15" x14ac:dyDescent="0.25">
      <c r="C11544" s="8" t="e">
        <f>VLOOKUP(A:A,'ITEM LIST'!A:C,3,0)</f>
        <v>#N/A</v>
      </c>
      <c r="D11544" s="6">
        <f t="shared" si="181"/>
        <v>0</v>
      </c>
    </row>
    <row r="11545" spans="3:4" ht="15" x14ac:dyDescent="0.25">
      <c r="C11545" s="8" t="e">
        <f>VLOOKUP(A:A,'ITEM LIST'!A:C,3,0)</f>
        <v>#N/A</v>
      </c>
      <c r="D11545" s="6">
        <f t="shared" si="181"/>
        <v>0</v>
      </c>
    </row>
    <row r="11546" spans="3:4" ht="15" x14ac:dyDescent="0.25">
      <c r="C11546" s="8" t="e">
        <f>VLOOKUP(A:A,'ITEM LIST'!A:C,3,0)</f>
        <v>#N/A</v>
      </c>
      <c r="D11546" s="6">
        <f t="shared" si="181"/>
        <v>0</v>
      </c>
    </row>
    <row r="11547" spans="3:4" ht="15" x14ac:dyDescent="0.25">
      <c r="C11547" s="8" t="e">
        <f>VLOOKUP(A:A,'ITEM LIST'!A:C,3,0)</f>
        <v>#N/A</v>
      </c>
      <c r="D11547" s="6">
        <f t="shared" si="181"/>
        <v>0</v>
      </c>
    </row>
    <row r="11548" spans="3:4" ht="15" x14ac:dyDescent="0.25">
      <c r="C11548" s="8" t="e">
        <f>VLOOKUP(A:A,'ITEM LIST'!A:C,3,0)</f>
        <v>#N/A</v>
      </c>
      <c r="D11548" s="6">
        <f t="shared" si="181"/>
        <v>0</v>
      </c>
    </row>
    <row r="11549" spans="3:4" ht="15" x14ac:dyDescent="0.25">
      <c r="C11549" s="8" t="e">
        <f>VLOOKUP(A:A,'ITEM LIST'!A:C,3,0)</f>
        <v>#N/A</v>
      </c>
      <c r="D11549" s="6">
        <f t="shared" si="181"/>
        <v>0</v>
      </c>
    </row>
    <row r="11550" spans="3:4" ht="15" x14ac:dyDescent="0.25">
      <c r="C11550" s="8" t="e">
        <f>VLOOKUP(A:A,'ITEM LIST'!A:C,3,0)</f>
        <v>#N/A</v>
      </c>
      <c r="D11550" s="6">
        <f t="shared" si="181"/>
        <v>0</v>
      </c>
    </row>
    <row r="11551" spans="3:4" ht="15" x14ac:dyDescent="0.25">
      <c r="C11551" s="8" t="e">
        <f>VLOOKUP(A:A,'ITEM LIST'!A:C,3,0)</f>
        <v>#N/A</v>
      </c>
      <c r="D11551" s="6">
        <f t="shared" si="181"/>
        <v>0</v>
      </c>
    </row>
    <row r="11552" spans="3:4" ht="15" x14ac:dyDescent="0.25">
      <c r="C11552" s="8" t="e">
        <f>VLOOKUP(A:A,'ITEM LIST'!A:C,3,0)</f>
        <v>#N/A</v>
      </c>
      <c r="D11552" s="6">
        <f t="shared" si="181"/>
        <v>0</v>
      </c>
    </row>
    <row r="11553" spans="3:4" ht="15" x14ac:dyDescent="0.25">
      <c r="C11553" s="8" t="e">
        <f>VLOOKUP(A:A,'ITEM LIST'!A:C,3,0)</f>
        <v>#N/A</v>
      </c>
      <c r="D11553" s="6">
        <f t="shared" si="181"/>
        <v>0</v>
      </c>
    </row>
    <row r="11554" spans="3:4" ht="15" x14ac:dyDescent="0.25">
      <c r="C11554" s="8" t="e">
        <f>VLOOKUP(A:A,'ITEM LIST'!A:C,3,0)</f>
        <v>#N/A</v>
      </c>
      <c r="D11554" s="6">
        <f t="shared" si="181"/>
        <v>0</v>
      </c>
    </row>
    <row r="11555" spans="3:4" ht="15" x14ac:dyDescent="0.25">
      <c r="C11555" s="8" t="e">
        <f>VLOOKUP(A:A,'ITEM LIST'!A:C,3,0)</f>
        <v>#N/A</v>
      </c>
      <c r="D11555" s="6">
        <f t="shared" si="181"/>
        <v>0</v>
      </c>
    </row>
    <row r="11556" spans="3:4" ht="15" x14ac:dyDescent="0.25">
      <c r="C11556" s="8" t="e">
        <f>VLOOKUP(A:A,'ITEM LIST'!A:C,3,0)</f>
        <v>#N/A</v>
      </c>
      <c r="D11556" s="6">
        <f t="shared" si="181"/>
        <v>0</v>
      </c>
    </row>
    <row r="11557" spans="3:4" ht="15" x14ac:dyDescent="0.25">
      <c r="C11557" s="8" t="e">
        <f>VLOOKUP(A:A,'ITEM LIST'!A:C,3,0)</f>
        <v>#N/A</v>
      </c>
      <c r="D11557" s="6">
        <f t="shared" si="181"/>
        <v>0</v>
      </c>
    </row>
    <row r="11558" spans="3:4" ht="15" x14ac:dyDescent="0.25">
      <c r="C11558" s="8" t="e">
        <f>VLOOKUP(A:A,'ITEM LIST'!A:C,3,0)</f>
        <v>#N/A</v>
      </c>
      <c r="D11558" s="6">
        <f t="shared" si="181"/>
        <v>0</v>
      </c>
    </row>
    <row r="11559" spans="3:4" ht="15" x14ac:dyDescent="0.25">
      <c r="C11559" s="8" t="e">
        <f>VLOOKUP(A:A,'ITEM LIST'!A:C,3,0)</f>
        <v>#N/A</v>
      </c>
      <c r="D11559" s="6">
        <f t="shared" si="181"/>
        <v>0</v>
      </c>
    </row>
    <row r="11560" spans="3:4" ht="15" x14ac:dyDescent="0.25">
      <c r="C11560" s="8" t="e">
        <f>VLOOKUP(A:A,'ITEM LIST'!A:C,3,0)</f>
        <v>#N/A</v>
      </c>
      <c r="D11560" s="6">
        <f t="shared" si="181"/>
        <v>0</v>
      </c>
    </row>
    <row r="11561" spans="3:4" ht="15" x14ac:dyDescent="0.25">
      <c r="C11561" s="8" t="e">
        <f>VLOOKUP(A:A,'ITEM LIST'!A:C,3,0)</f>
        <v>#N/A</v>
      </c>
      <c r="D11561" s="6">
        <f t="shared" si="181"/>
        <v>0</v>
      </c>
    </row>
    <row r="11562" spans="3:4" ht="15" x14ac:dyDescent="0.25">
      <c r="C11562" s="8" t="e">
        <f>VLOOKUP(A:A,'ITEM LIST'!A:C,3,0)</f>
        <v>#N/A</v>
      </c>
      <c r="D11562" s="6">
        <f t="shared" si="181"/>
        <v>0</v>
      </c>
    </row>
    <row r="11563" spans="3:4" ht="15" x14ac:dyDescent="0.25">
      <c r="C11563" s="8" t="e">
        <f>VLOOKUP(A:A,'ITEM LIST'!A:C,3,0)</f>
        <v>#N/A</v>
      </c>
      <c r="D11563" s="6">
        <f t="shared" si="181"/>
        <v>0</v>
      </c>
    </row>
    <row r="11564" spans="3:4" ht="15" x14ac:dyDescent="0.25">
      <c r="C11564" s="8" t="e">
        <f>VLOOKUP(A:A,'ITEM LIST'!A:C,3,0)</f>
        <v>#N/A</v>
      </c>
      <c r="D11564" s="6">
        <f t="shared" si="181"/>
        <v>0</v>
      </c>
    </row>
    <row r="11565" spans="3:4" ht="15" x14ac:dyDescent="0.25">
      <c r="C11565" s="8" t="e">
        <f>VLOOKUP(A:A,'ITEM LIST'!A:C,3,0)</f>
        <v>#N/A</v>
      </c>
      <c r="D11565" s="6">
        <f t="shared" si="181"/>
        <v>0</v>
      </c>
    </row>
    <row r="11566" spans="3:4" ht="15" x14ac:dyDescent="0.25">
      <c r="C11566" s="8" t="e">
        <f>VLOOKUP(A:A,'ITEM LIST'!A:C,3,0)</f>
        <v>#N/A</v>
      </c>
      <c r="D11566" s="6">
        <f t="shared" si="181"/>
        <v>0</v>
      </c>
    </row>
    <row r="11567" spans="3:4" ht="15" x14ac:dyDescent="0.25">
      <c r="C11567" s="8" t="e">
        <f>VLOOKUP(A:A,'ITEM LIST'!A:C,3,0)</f>
        <v>#N/A</v>
      </c>
      <c r="D11567" s="6">
        <f t="shared" si="181"/>
        <v>0</v>
      </c>
    </row>
    <row r="11568" spans="3:4" ht="15" x14ac:dyDescent="0.25">
      <c r="C11568" s="8" t="e">
        <f>VLOOKUP(A:A,'ITEM LIST'!A:C,3,0)</f>
        <v>#N/A</v>
      </c>
      <c r="D11568" s="6">
        <f t="shared" si="181"/>
        <v>0</v>
      </c>
    </row>
    <row r="11569" spans="3:4" ht="15" x14ac:dyDescent="0.25">
      <c r="C11569" s="8" t="e">
        <f>VLOOKUP(A:A,'ITEM LIST'!A:C,3,0)</f>
        <v>#N/A</v>
      </c>
      <c r="D11569" s="6">
        <f t="shared" si="181"/>
        <v>0</v>
      </c>
    </row>
    <row r="11570" spans="3:4" ht="15" x14ac:dyDescent="0.25">
      <c r="C11570" s="8" t="e">
        <f>VLOOKUP(A:A,'ITEM LIST'!A:C,3,0)</f>
        <v>#N/A</v>
      </c>
      <c r="D11570" s="6">
        <f t="shared" si="181"/>
        <v>0</v>
      </c>
    </row>
    <row r="11571" spans="3:4" ht="15" x14ac:dyDescent="0.25">
      <c r="C11571" s="8" t="e">
        <f>VLOOKUP(A:A,'ITEM LIST'!A:C,3,0)</f>
        <v>#N/A</v>
      </c>
      <c r="D11571" s="6">
        <f t="shared" si="181"/>
        <v>0</v>
      </c>
    </row>
    <row r="11572" spans="3:4" ht="15" x14ac:dyDescent="0.25">
      <c r="C11572" s="8" t="e">
        <f>VLOOKUP(A:A,'ITEM LIST'!A:C,3,0)</f>
        <v>#N/A</v>
      </c>
      <c r="D11572" s="6">
        <f t="shared" si="181"/>
        <v>0</v>
      </c>
    </row>
    <row r="11573" spans="3:4" ht="15" x14ac:dyDescent="0.25">
      <c r="C11573" s="8" t="e">
        <f>VLOOKUP(A:A,'ITEM LIST'!A:C,3,0)</f>
        <v>#N/A</v>
      </c>
      <c r="D11573" s="6">
        <f t="shared" si="181"/>
        <v>0</v>
      </c>
    </row>
    <row r="11574" spans="3:4" ht="15" x14ac:dyDescent="0.25">
      <c r="C11574" s="8" t="e">
        <f>VLOOKUP(A:A,'ITEM LIST'!A:C,3,0)</f>
        <v>#N/A</v>
      </c>
      <c r="D11574" s="6">
        <f t="shared" si="181"/>
        <v>0</v>
      </c>
    </row>
    <row r="11575" spans="3:4" ht="15" x14ac:dyDescent="0.25">
      <c r="C11575" s="8" t="e">
        <f>VLOOKUP(A:A,'ITEM LIST'!A:C,3,0)</f>
        <v>#N/A</v>
      </c>
      <c r="D11575" s="6">
        <f t="shared" si="181"/>
        <v>0</v>
      </c>
    </row>
    <row r="11576" spans="3:4" ht="15" x14ac:dyDescent="0.25">
      <c r="C11576" s="8" t="e">
        <f>VLOOKUP(A:A,'ITEM LIST'!A:C,3,0)</f>
        <v>#N/A</v>
      </c>
      <c r="D11576" s="6">
        <f t="shared" si="181"/>
        <v>0</v>
      </c>
    </row>
    <row r="11577" spans="3:4" ht="15" x14ac:dyDescent="0.25">
      <c r="C11577" s="8" t="e">
        <f>VLOOKUP(A:A,'ITEM LIST'!A:C,3,0)</f>
        <v>#N/A</v>
      </c>
      <c r="D11577" s="6">
        <f t="shared" si="181"/>
        <v>0</v>
      </c>
    </row>
    <row r="11578" spans="3:4" ht="15" x14ac:dyDescent="0.25">
      <c r="C11578" s="8" t="e">
        <f>VLOOKUP(A:A,'ITEM LIST'!A:C,3,0)</f>
        <v>#N/A</v>
      </c>
      <c r="D11578" s="6">
        <f t="shared" si="181"/>
        <v>0</v>
      </c>
    </row>
    <row r="11579" spans="3:4" ht="15" x14ac:dyDescent="0.25">
      <c r="C11579" s="8" t="e">
        <f>VLOOKUP(A:A,'ITEM LIST'!A:C,3,0)</f>
        <v>#N/A</v>
      </c>
      <c r="D11579" s="6">
        <f t="shared" si="181"/>
        <v>0</v>
      </c>
    </row>
    <row r="11580" spans="3:4" ht="15" x14ac:dyDescent="0.25">
      <c r="C11580" s="8" t="e">
        <f>VLOOKUP(A:A,'ITEM LIST'!A:C,3,0)</f>
        <v>#N/A</v>
      </c>
      <c r="D11580" s="6">
        <f t="shared" si="181"/>
        <v>0</v>
      </c>
    </row>
    <row r="11581" spans="3:4" ht="15" x14ac:dyDescent="0.25">
      <c r="C11581" s="8" t="e">
        <f>VLOOKUP(A:A,'ITEM LIST'!A:C,3,0)</f>
        <v>#N/A</v>
      </c>
      <c r="D11581" s="6">
        <f t="shared" si="181"/>
        <v>0</v>
      </c>
    </row>
    <row r="11582" spans="3:4" ht="15" x14ac:dyDescent="0.25">
      <c r="C11582" s="8" t="e">
        <f>VLOOKUP(A:A,'ITEM LIST'!A:C,3,0)</f>
        <v>#N/A</v>
      </c>
      <c r="D11582" s="6">
        <f t="shared" si="181"/>
        <v>0</v>
      </c>
    </row>
    <row r="11583" spans="3:4" ht="15" x14ac:dyDescent="0.25">
      <c r="C11583" s="8" t="e">
        <f>VLOOKUP(A:A,'ITEM LIST'!A:C,3,0)</f>
        <v>#N/A</v>
      </c>
      <c r="D11583" s="6">
        <f t="shared" si="181"/>
        <v>0</v>
      </c>
    </row>
    <row r="11584" spans="3:4" ht="15" x14ac:dyDescent="0.25">
      <c r="C11584" s="8" t="e">
        <f>VLOOKUP(A:A,'ITEM LIST'!A:C,3,0)</f>
        <v>#N/A</v>
      </c>
      <c r="D11584" s="6">
        <f t="shared" si="181"/>
        <v>0</v>
      </c>
    </row>
    <row r="11585" spans="3:4" ht="15" x14ac:dyDescent="0.25">
      <c r="C11585" s="8" t="e">
        <f>VLOOKUP(A:A,'ITEM LIST'!A:C,3,0)</f>
        <v>#N/A</v>
      </c>
      <c r="D11585" s="6">
        <f t="shared" si="181"/>
        <v>0</v>
      </c>
    </row>
    <row r="11586" spans="3:4" ht="15" x14ac:dyDescent="0.25">
      <c r="C11586" s="8" t="e">
        <f>VLOOKUP(A:A,'ITEM LIST'!A:C,3,0)</f>
        <v>#N/A</v>
      </c>
      <c r="D11586" s="6">
        <f t="shared" si="181"/>
        <v>0</v>
      </c>
    </row>
    <row r="11587" spans="3:4" ht="15" x14ac:dyDescent="0.25">
      <c r="C11587" s="8" t="e">
        <f>VLOOKUP(A:A,'ITEM LIST'!A:C,3,0)</f>
        <v>#N/A</v>
      </c>
      <c r="D11587" s="6">
        <f t="shared" si="181"/>
        <v>0</v>
      </c>
    </row>
    <row r="11588" spans="3:4" ht="15" x14ac:dyDescent="0.25">
      <c r="C11588" s="8" t="e">
        <f>VLOOKUP(A:A,'ITEM LIST'!A:C,3,0)</f>
        <v>#N/A</v>
      </c>
      <c r="D11588" s="6">
        <f t="shared" si="181"/>
        <v>0</v>
      </c>
    </row>
    <row r="11589" spans="3:4" ht="15" x14ac:dyDescent="0.25">
      <c r="C11589" s="8" t="e">
        <f>VLOOKUP(A:A,'ITEM LIST'!A:C,3,0)</f>
        <v>#N/A</v>
      </c>
      <c r="D11589" s="6">
        <f t="shared" si="181"/>
        <v>0</v>
      </c>
    </row>
    <row r="11590" spans="3:4" ht="15" x14ac:dyDescent="0.25">
      <c r="C11590" s="8" t="e">
        <f>VLOOKUP(A:A,'ITEM LIST'!A:C,3,0)</f>
        <v>#N/A</v>
      </c>
      <c r="D11590" s="6">
        <f t="shared" ref="D11590:D11653" si="182">B11590</f>
        <v>0</v>
      </c>
    </row>
    <row r="11591" spans="3:4" ht="15" x14ac:dyDescent="0.25">
      <c r="C11591" s="8" t="e">
        <f>VLOOKUP(A:A,'ITEM LIST'!A:C,3,0)</f>
        <v>#N/A</v>
      </c>
      <c r="D11591" s="6">
        <f t="shared" si="182"/>
        <v>0</v>
      </c>
    </row>
    <row r="11592" spans="3:4" ht="15" x14ac:dyDescent="0.25">
      <c r="C11592" s="8" t="e">
        <f>VLOOKUP(A:A,'ITEM LIST'!A:C,3,0)</f>
        <v>#N/A</v>
      </c>
      <c r="D11592" s="6">
        <f t="shared" si="182"/>
        <v>0</v>
      </c>
    </row>
    <row r="11593" spans="3:4" ht="15" x14ac:dyDescent="0.25">
      <c r="C11593" s="8" t="e">
        <f>VLOOKUP(A:A,'ITEM LIST'!A:C,3,0)</f>
        <v>#N/A</v>
      </c>
      <c r="D11593" s="6">
        <f t="shared" si="182"/>
        <v>0</v>
      </c>
    </row>
    <row r="11594" spans="3:4" ht="15" x14ac:dyDescent="0.25">
      <c r="C11594" s="8" t="e">
        <f>VLOOKUP(A:A,'ITEM LIST'!A:C,3,0)</f>
        <v>#N/A</v>
      </c>
      <c r="D11594" s="6">
        <f t="shared" si="182"/>
        <v>0</v>
      </c>
    </row>
    <row r="11595" spans="3:4" ht="15" x14ac:dyDescent="0.25">
      <c r="C11595" s="8" t="e">
        <f>VLOOKUP(A:A,'ITEM LIST'!A:C,3,0)</f>
        <v>#N/A</v>
      </c>
      <c r="D11595" s="6">
        <f t="shared" si="182"/>
        <v>0</v>
      </c>
    </row>
    <row r="11596" spans="3:4" ht="15" x14ac:dyDescent="0.25">
      <c r="C11596" s="8" t="e">
        <f>VLOOKUP(A:A,'ITEM LIST'!A:C,3,0)</f>
        <v>#N/A</v>
      </c>
      <c r="D11596" s="6">
        <f t="shared" si="182"/>
        <v>0</v>
      </c>
    </row>
    <row r="11597" spans="3:4" ht="15" x14ac:dyDescent="0.25">
      <c r="C11597" s="8" t="e">
        <f>VLOOKUP(A:A,'ITEM LIST'!A:C,3,0)</f>
        <v>#N/A</v>
      </c>
      <c r="D11597" s="6">
        <f t="shared" si="182"/>
        <v>0</v>
      </c>
    </row>
    <row r="11598" spans="3:4" ht="15" x14ac:dyDescent="0.25">
      <c r="C11598" s="8" t="e">
        <f>VLOOKUP(A:A,'ITEM LIST'!A:C,3,0)</f>
        <v>#N/A</v>
      </c>
      <c r="D11598" s="6">
        <f t="shared" si="182"/>
        <v>0</v>
      </c>
    </row>
    <row r="11599" spans="3:4" ht="15" x14ac:dyDescent="0.25">
      <c r="C11599" s="8" t="e">
        <f>VLOOKUP(A:A,'ITEM LIST'!A:C,3,0)</f>
        <v>#N/A</v>
      </c>
      <c r="D11599" s="6">
        <f t="shared" si="182"/>
        <v>0</v>
      </c>
    </row>
    <row r="11600" spans="3:4" ht="15" x14ac:dyDescent="0.25">
      <c r="C11600" s="8" t="e">
        <f>VLOOKUP(A:A,'ITEM LIST'!A:C,3,0)</f>
        <v>#N/A</v>
      </c>
      <c r="D11600" s="6">
        <f t="shared" si="182"/>
        <v>0</v>
      </c>
    </row>
    <row r="11601" spans="3:4" ht="15" x14ac:dyDescent="0.25">
      <c r="C11601" s="8" t="e">
        <f>VLOOKUP(A:A,'ITEM LIST'!A:C,3,0)</f>
        <v>#N/A</v>
      </c>
      <c r="D11601" s="6">
        <f t="shared" si="182"/>
        <v>0</v>
      </c>
    </row>
    <row r="11602" spans="3:4" ht="15" x14ac:dyDescent="0.25">
      <c r="C11602" s="8" t="e">
        <f>VLOOKUP(A:A,'ITEM LIST'!A:C,3,0)</f>
        <v>#N/A</v>
      </c>
      <c r="D11602" s="6">
        <f t="shared" si="182"/>
        <v>0</v>
      </c>
    </row>
    <row r="11603" spans="3:4" ht="15" x14ac:dyDescent="0.25">
      <c r="C11603" s="8" t="e">
        <f>VLOOKUP(A:A,'ITEM LIST'!A:C,3,0)</f>
        <v>#N/A</v>
      </c>
      <c r="D11603" s="6">
        <f t="shared" si="182"/>
        <v>0</v>
      </c>
    </row>
    <row r="11604" spans="3:4" ht="15" x14ac:dyDescent="0.25">
      <c r="C11604" s="8" t="e">
        <f>VLOOKUP(A:A,'ITEM LIST'!A:C,3,0)</f>
        <v>#N/A</v>
      </c>
      <c r="D11604" s="6">
        <f t="shared" si="182"/>
        <v>0</v>
      </c>
    </row>
    <row r="11605" spans="3:4" ht="15" x14ac:dyDescent="0.25">
      <c r="C11605" s="8" t="e">
        <f>VLOOKUP(A:A,'ITEM LIST'!A:C,3,0)</f>
        <v>#N/A</v>
      </c>
      <c r="D11605" s="6">
        <f t="shared" si="182"/>
        <v>0</v>
      </c>
    </row>
    <row r="11606" spans="3:4" ht="15" x14ac:dyDescent="0.25">
      <c r="C11606" s="8" t="e">
        <f>VLOOKUP(A:A,'ITEM LIST'!A:C,3,0)</f>
        <v>#N/A</v>
      </c>
      <c r="D11606" s="6">
        <f t="shared" si="182"/>
        <v>0</v>
      </c>
    </row>
    <row r="11607" spans="3:4" ht="15" x14ac:dyDescent="0.25">
      <c r="C11607" s="8" t="e">
        <f>VLOOKUP(A:A,'ITEM LIST'!A:C,3,0)</f>
        <v>#N/A</v>
      </c>
      <c r="D11607" s="6">
        <f t="shared" si="182"/>
        <v>0</v>
      </c>
    </row>
    <row r="11608" spans="3:4" ht="15" x14ac:dyDescent="0.25">
      <c r="C11608" s="8" t="e">
        <f>VLOOKUP(A:A,'ITEM LIST'!A:C,3,0)</f>
        <v>#N/A</v>
      </c>
      <c r="D11608" s="6">
        <f t="shared" si="182"/>
        <v>0</v>
      </c>
    </row>
    <row r="11609" spans="3:4" ht="15" x14ac:dyDescent="0.25">
      <c r="C11609" s="8" t="e">
        <f>VLOOKUP(A:A,'ITEM LIST'!A:C,3,0)</f>
        <v>#N/A</v>
      </c>
      <c r="D11609" s="6">
        <f t="shared" si="182"/>
        <v>0</v>
      </c>
    </row>
    <row r="11610" spans="3:4" ht="15" x14ac:dyDescent="0.25">
      <c r="C11610" s="8" t="e">
        <f>VLOOKUP(A:A,'ITEM LIST'!A:C,3,0)</f>
        <v>#N/A</v>
      </c>
      <c r="D11610" s="6">
        <f t="shared" si="182"/>
        <v>0</v>
      </c>
    </row>
    <row r="11611" spans="3:4" ht="15" x14ac:dyDescent="0.25">
      <c r="C11611" s="8" t="e">
        <f>VLOOKUP(A:A,'ITEM LIST'!A:C,3,0)</f>
        <v>#N/A</v>
      </c>
      <c r="D11611" s="6">
        <f t="shared" si="182"/>
        <v>0</v>
      </c>
    </row>
    <row r="11612" spans="3:4" ht="15" x14ac:dyDescent="0.25">
      <c r="C11612" s="8" t="e">
        <f>VLOOKUP(A:A,'ITEM LIST'!A:C,3,0)</f>
        <v>#N/A</v>
      </c>
      <c r="D11612" s="6">
        <f t="shared" si="182"/>
        <v>0</v>
      </c>
    </row>
    <row r="11613" spans="3:4" ht="15" x14ac:dyDescent="0.25">
      <c r="C11613" s="8" t="e">
        <f>VLOOKUP(A:A,'ITEM LIST'!A:C,3,0)</f>
        <v>#N/A</v>
      </c>
      <c r="D11613" s="6">
        <f t="shared" si="182"/>
        <v>0</v>
      </c>
    </row>
    <row r="11614" spans="3:4" ht="15" x14ac:dyDescent="0.25">
      <c r="C11614" s="8" t="e">
        <f>VLOOKUP(A:A,'ITEM LIST'!A:C,3,0)</f>
        <v>#N/A</v>
      </c>
      <c r="D11614" s="6">
        <f t="shared" si="182"/>
        <v>0</v>
      </c>
    </row>
    <row r="11615" spans="3:4" ht="15" x14ac:dyDescent="0.25">
      <c r="C11615" s="8" t="e">
        <f>VLOOKUP(A:A,'ITEM LIST'!A:C,3,0)</f>
        <v>#N/A</v>
      </c>
      <c r="D11615" s="6">
        <f t="shared" si="182"/>
        <v>0</v>
      </c>
    </row>
    <row r="11616" spans="3:4" ht="15" x14ac:dyDescent="0.25">
      <c r="C11616" s="8" t="e">
        <f>VLOOKUP(A:A,'ITEM LIST'!A:C,3,0)</f>
        <v>#N/A</v>
      </c>
      <c r="D11616" s="6">
        <f t="shared" si="182"/>
        <v>0</v>
      </c>
    </row>
    <row r="11617" spans="3:4" ht="15" x14ac:dyDescent="0.25">
      <c r="C11617" s="8" t="e">
        <f>VLOOKUP(A:A,'ITEM LIST'!A:C,3,0)</f>
        <v>#N/A</v>
      </c>
      <c r="D11617" s="6">
        <f t="shared" si="182"/>
        <v>0</v>
      </c>
    </row>
    <row r="11618" spans="3:4" ht="15" x14ac:dyDescent="0.25">
      <c r="C11618" s="8" t="e">
        <f>VLOOKUP(A:A,'ITEM LIST'!A:C,3,0)</f>
        <v>#N/A</v>
      </c>
      <c r="D11618" s="6">
        <f t="shared" si="182"/>
        <v>0</v>
      </c>
    </row>
    <row r="11619" spans="3:4" ht="15" x14ac:dyDescent="0.25">
      <c r="C11619" s="8" t="e">
        <f>VLOOKUP(A:A,'ITEM LIST'!A:C,3,0)</f>
        <v>#N/A</v>
      </c>
      <c r="D11619" s="6">
        <f t="shared" si="182"/>
        <v>0</v>
      </c>
    </row>
    <row r="11620" spans="3:4" ht="15" x14ac:dyDescent="0.25">
      <c r="C11620" s="8" t="e">
        <f>VLOOKUP(A:A,'ITEM LIST'!A:C,3,0)</f>
        <v>#N/A</v>
      </c>
      <c r="D11620" s="6">
        <f t="shared" si="182"/>
        <v>0</v>
      </c>
    </row>
    <row r="11621" spans="3:4" ht="15" x14ac:dyDescent="0.25">
      <c r="C11621" s="8" t="e">
        <f>VLOOKUP(A:A,'ITEM LIST'!A:C,3,0)</f>
        <v>#N/A</v>
      </c>
      <c r="D11621" s="6">
        <f t="shared" si="182"/>
        <v>0</v>
      </c>
    </row>
    <row r="11622" spans="3:4" ht="15" x14ac:dyDescent="0.25">
      <c r="C11622" s="8" t="e">
        <f>VLOOKUP(A:A,'ITEM LIST'!A:C,3,0)</f>
        <v>#N/A</v>
      </c>
      <c r="D11622" s="6">
        <f t="shared" si="182"/>
        <v>0</v>
      </c>
    </row>
    <row r="11623" spans="3:4" ht="15" x14ac:dyDescent="0.25">
      <c r="C11623" s="8" t="e">
        <f>VLOOKUP(A:A,'ITEM LIST'!A:C,3,0)</f>
        <v>#N/A</v>
      </c>
      <c r="D11623" s="6">
        <f t="shared" si="182"/>
        <v>0</v>
      </c>
    </row>
    <row r="11624" spans="3:4" ht="15" x14ac:dyDescent="0.25">
      <c r="C11624" s="8" t="e">
        <f>VLOOKUP(A:A,'ITEM LIST'!A:C,3,0)</f>
        <v>#N/A</v>
      </c>
      <c r="D11624" s="6">
        <f t="shared" si="182"/>
        <v>0</v>
      </c>
    </row>
    <row r="11625" spans="3:4" ht="15" x14ac:dyDescent="0.25">
      <c r="C11625" s="8" t="e">
        <f>VLOOKUP(A:A,'ITEM LIST'!A:C,3,0)</f>
        <v>#N/A</v>
      </c>
      <c r="D11625" s="6">
        <f t="shared" si="182"/>
        <v>0</v>
      </c>
    </row>
    <row r="11626" spans="3:4" ht="15" x14ac:dyDescent="0.25">
      <c r="C11626" s="8" t="e">
        <f>VLOOKUP(A:A,'ITEM LIST'!A:C,3,0)</f>
        <v>#N/A</v>
      </c>
      <c r="D11626" s="6">
        <f t="shared" si="182"/>
        <v>0</v>
      </c>
    </row>
    <row r="11627" spans="3:4" ht="15" x14ac:dyDescent="0.25">
      <c r="C11627" s="8" t="e">
        <f>VLOOKUP(A:A,'ITEM LIST'!A:C,3,0)</f>
        <v>#N/A</v>
      </c>
      <c r="D11627" s="6">
        <f t="shared" si="182"/>
        <v>0</v>
      </c>
    </row>
    <row r="11628" spans="3:4" ht="15" x14ac:dyDescent="0.25">
      <c r="C11628" s="8" t="e">
        <f>VLOOKUP(A:A,'ITEM LIST'!A:C,3,0)</f>
        <v>#N/A</v>
      </c>
      <c r="D11628" s="6">
        <f t="shared" si="182"/>
        <v>0</v>
      </c>
    </row>
    <row r="11629" spans="3:4" ht="15" x14ac:dyDescent="0.25">
      <c r="C11629" s="8" t="e">
        <f>VLOOKUP(A:A,'ITEM LIST'!A:C,3,0)</f>
        <v>#N/A</v>
      </c>
      <c r="D11629" s="6">
        <f t="shared" si="182"/>
        <v>0</v>
      </c>
    </row>
    <row r="11630" spans="3:4" ht="15" x14ac:dyDescent="0.25">
      <c r="C11630" s="8" t="e">
        <f>VLOOKUP(A:A,'ITEM LIST'!A:C,3,0)</f>
        <v>#N/A</v>
      </c>
      <c r="D11630" s="6">
        <f t="shared" si="182"/>
        <v>0</v>
      </c>
    </row>
    <row r="11631" spans="3:4" ht="15" x14ac:dyDescent="0.25">
      <c r="C11631" s="8" t="e">
        <f>VLOOKUP(A:A,'ITEM LIST'!A:C,3,0)</f>
        <v>#N/A</v>
      </c>
      <c r="D11631" s="6">
        <f t="shared" si="182"/>
        <v>0</v>
      </c>
    </row>
    <row r="11632" spans="3:4" ht="15" x14ac:dyDescent="0.25">
      <c r="C11632" s="8" t="e">
        <f>VLOOKUP(A:A,'ITEM LIST'!A:C,3,0)</f>
        <v>#N/A</v>
      </c>
      <c r="D11632" s="6">
        <f t="shared" si="182"/>
        <v>0</v>
      </c>
    </row>
    <row r="11633" spans="3:4" ht="15" x14ac:dyDescent="0.25">
      <c r="C11633" s="8" t="e">
        <f>VLOOKUP(A:A,'ITEM LIST'!A:C,3,0)</f>
        <v>#N/A</v>
      </c>
      <c r="D11633" s="6">
        <f t="shared" si="182"/>
        <v>0</v>
      </c>
    </row>
    <row r="11634" spans="3:4" ht="15" x14ac:dyDescent="0.25">
      <c r="C11634" s="8" t="e">
        <f>VLOOKUP(A:A,'ITEM LIST'!A:C,3,0)</f>
        <v>#N/A</v>
      </c>
      <c r="D11634" s="6">
        <f t="shared" si="182"/>
        <v>0</v>
      </c>
    </row>
    <row r="11635" spans="3:4" ht="15" x14ac:dyDescent="0.25">
      <c r="C11635" s="8" t="e">
        <f>VLOOKUP(A:A,'ITEM LIST'!A:C,3,0)</f>
        <v>#N/A</v>
      </c>
      <c r="D11635" s="6">
        <f t="shared" si="182"/>
        <v>0</v>
      </c>
    </row>
    <row r="11636" spans="3:4" ht="15" x14ac:dyDescent="0.25">
      <c r="C11636" s="8" t="e">
        <f>VLOOKUP(A:A,'ITEM LIST'!A:C,3,0)</f>
        <v>#N/A</v>
      </c>
      <c r="D11636" s="6">
        <f t="shared" si="182"/>
        <v>0</v>
      </c>
    </row>
    <row r="11637" spans="3:4" ht="15" x14ac:dyDescent="0.25">
      <c r="C11637" s="8" t="e">
        <f>VLOOKUP(A:A,'ITEM LIST'!A:C,3,0)</f>
        <v>#N/A</v>
      </c>
      <c r="D11637" s="6">
        <f t="shared" si="182"/>
        <v>0</v>
      </c>
    </row>
    <row r="11638" spans="3:4" ht="15" x14ac:dyDescent="0.25">
      <c r="C11638" s="8" t="e">
        <f>VLOOKUP(A:A,'ITEM LIST'!A:C,3,0)</f>
        <v>#N/A</v>
      </c>
      <c r="D11638" s="6">
        <f t="shared" si="182"/>
        <v>0</v>
      </c>
    </row>
    <row r="11639" spans="3:4" ht="15" x14ac:dyDescent="0.25">
      <c r="C11639" s="8" t="e">
        <f>VLOOKUP(A:A,'ITEM LIST'!A:C,3,0)</f>
        <v>#N/A</v>
      </c>
      <c r="D11639" s="6">
        <f t="shared" si="182"/>
        <v>0</v>
      </c>
    </row>
    <row r="11640" spans="3:4" ht="15" x14ac:dyDescent="0.25">
      <c r="C11640" s="8" t="e">
        <f>VLOOKUP(A:A,'ITEM LIST'!A:C,3,0)</f>
        <v>#N/A</v>
      </c>
      <c r="D11640" s="6">
        <f t="shared" si="182"/>
        <v>0</v>
      </c>
    </row>
    <row r="11641" spans="3:4" ht="15" x14ac:dyDescent="0.25">
      <c r="C11641" s="8" t="e">
        <f>VLOOKUP(A:A,'ITEM LIST'!A:C,3,0)</f>
        <v>#N/A</v>
      </c>
      <c r="D11641" s="6">
        <f t="shared" si="182"/>
        <v>0</v>
      </c>
    </row>
    <row r="11642" spans="3:4" ht="15" x14ac:dyDescent="0.25">
      <c r="C11642" s="8" t="e">
        <f>VLOOKUP(A:A,'ITEM LIST'!A:C,3,0)</f>
        <v>#N/A</v>
      </c>
      <c r="D11642" s="6">
        <f t="shared" si="182"/>
        <v>0</v>
      </c>
    </row>
    <row r="11643" spans="3:4" ht="15" x14ac:dyDescent="0.25">
      <c r="C11643" s="8" t="e">
        <f>VLOOKUP(A:A,'ITEM LIST'!A:C,3,0)</f>
        <v>#N/A</v>
      </c>
      <c r="D11643" s="6">
        <f t="shared" si="182"/>
        <v>0</v>
      </c>
    </row>
    <row r="11644" spans="3:4" ht="15" x14ac:dyDescent="0.25">
      <c r="C11644" s="8" t="e">
        <f>VLOOKUP(A:A,'ITEM LIST'!A:C,3,0)</f>
        <v>#N/A</v>
      </c>
      <c r="D11644" s="6">
        <f t="shared" si="182"/>
        <v>0</v>
      </c>
    </row>
    <row r="11645" spans="3:4" ht="15" x14ac:dyDescent="0.25">
      <c r="C11645" s="8" t="e">
        <f>VLOOKUP(A:A,'ITEM LIST'!A:C,3,0)</f>
        <v>#N/A</v>
      </c>
      <c r="D11645" s="6">
        <f t="shared" si="182"/>
        <v>0</v>
      </c>
    </row>
    <row r="11646" spans="3:4" ht="15" x14ac:dyDescent="0.25">
      <c r="C11646" s="8" t="e">
        <f>VLOOKUP(A:A,'ITEM LIST'!A:C,3,0)</f>
        <v>#N/A</v>
      </c>
      <c r="D11646" s="6">
        <f t="shared" si="182"/>
        <v>0</v>
      </c>
    </row>
    <row r="11647" spans="3:4" ht="15" x14ac:dyDescent="0.25">
      <c r="C11647" s="8" t="e">
        <f>VLOOKUP(A:A,'ITEM LIST'!A:C,3,0)</f>
        <v>#N/A</v>
      </c>
      <c r="D11647" s="6">
        <f t="shared" si="182"/>
        <v>0</v>
      </c>
    </row>
    <row r="11648" spans="3:4" ht="15" x14ac:dyDescent="0.25">
      <c r="C11648" s="8" t="e">
        <f>VLOOKUP(A:A,'ITEM LIST'!A:C,3,0)</f>
        <v>#N/A</v>
      </c>
      <c r="D11648" s="6">
        <f t="shared" si="182"/>
        <v>0</v>
      </c>
    </row>
    <row r="11649" spans="3:4" ht="15" x14ac:dyDescent="0.25">
      <c r="C11649" s="8" t="e">
        <f>VLOOKUP(A:A,'ITEM LIST'!A:C,3,0)</f>
        <v>#N/A</v>
      </c>
      <c r="D11649" s="6">
        <f t="shared" si="182"/>
        <v>0</v>
      </c>
    </row>
    <row r="11650" spans="3:4" ht="15" x14ac:dyDescent="0.25">
      <c r="C11650" s="8" t="e">
        <f>VLOOKUP(A:A,'ITEM LIST'!A:C,3,0)</f>
        <v>#N/A</v>
      </c>
      <c r="D11650" s="6">
        <f t="shared" si="182"/>
        <v>0</v>
      </c>
    </row>
    <row r="11651" spans="3:4" ht="15" x14ac:dyDescent="0.25">
      <c r="C11651" s="8" t="e">
        <f>VLOOKUP(A:A,'ITEM LIST'!A:C,3,0)</f>
        <v>#N/A</v>
      </c>
      <c r="D11651" s="6">
        <f t="shared" si="182"/>
        <v>0</v>
      </c>
    </row>
    <row r="11652" spans="3:4" ht="15" x14ac:dyDescent="0.25">
      <c r="C11652" s="8" t="e">
        <f>VLOOKUP(A:A,'ITEM LIST'!A:C,3,0)</f>
        <v>#N/A</v>
      </c>
      <c r="D11652" s="6">
        <f t="shared" si="182"/>
        <v>0</v>
      </c>
    </row>
    <row r="11653" spans="3:4" ht="15" x14ac:dyDescent="0.25">
      <c r="C11653" s="8" t="e">
        <f>VLOOKUP(A:A,'ITEM LIST'!A:C,3,0)</f>
        <v>#N/A</v>
      </c>
      <c r="D11653" s="6">
        <f t="shared" si="182"/>
        <v>0</v>
      </c>
    </row>
    <row r="11654" spans="3:4" ht="15" x14ac:dyDescent="0.25">
      <c r="C11654" s="8" t="e">
        <f>VLOOKUP(A:A,'ITEM LIST'!A:C,3,0)</f>
        <v>#N/A</v>
      </c>
      <c r="D11654" s="6">
        <f t="shared" ref="D11654:D11717" si="183">B11654</f>
        <v>0</v>
      </c>
    </row>
    <row r="11655" spans="3:4" ht="15" x14ac:dyDescent="0.25">
      <c r="C11655" s="8" t="e">
        <f>VLOOKUP(A:A,'ITEM LIST'!A:C,3,0)</f>
        <v>#N/A</v>
      </c>
      <c r="D11655" s="6">
        <f t="shared" si="183"/>
        <v>0</v>
      </c>
    </row>
    <row r="11656" spans="3:4" ht="15" x14ac:dyDescent="0.25">
      <c r="C11656" s="8" t="e">
        <f>VLOOKUP(A:A,'ITEM LIST'!A:C,3,0)</f>
        <v>#N/A</v>
      </c>
      <c r="D11656" s="6">
        <f t="shared" si="183"/>
        <v>0</v>
      </c>
    </row>
    <row r="11657" spans="3:4" ht="15" x14ac:dyDescent="0.25">
      <c r="C11657" s="8" t="e">
        <f>VLOOKUP(A:A,'ITEM LIST'!A:C,3,0)</f>
        <v>#N/A</v>
      </c>
      <c r="D11657" s="6">
        <f t="shared" si="183"/>
        <v>0</v>
      </c>
    </row>
    <row r="11658" spans="3:4" ht="15" x14ac:dyDescent="0.25">
      <c r="C11658" s="8" t="e">
        <f>VLOOKUP(A:A,'ITEM LIST'!A:C,3,0)</f>
        <v>#N/A</v>
      </c>
      <c r="D11658" s="6">
        <f t="shared" si="183"/>
        <v>0</v>
      </c>
    </row>
    <row r="11659" spans="3:4" ht="15" x14ac:dyDescent="0.25">
      <c r="C11659" s="8" t="e">
        <f>VLOOKUP(A:A,'ITEM LIST'!A:C,3,0)</f>
        <v>#N/A</v>
      </c>
      <c r="D11659" s="6">
        <f t="shared" si="183"/>
        <v>0</v>
      </c>
    </row>
    <row r="11660" spans="3:4" ht="15" x14ac:dyDescent="0.25">
      <c r="C11660" s="8" t="e">
        <f>VLOOKUP(A:A,'ITEM LIST'!A:C,3,0)</f>
        <v>#N/A</v>
      </c>
      <c r="D11660" s="6">
        <f t="shared" si="183"/>
        <v>0</v>
      </c>
    </row>
    <row r="11661" spans="3:4" ht="15" x14ac:dyDescent="0.25">
      <c r="C11661" s="8" t="e">
        <f>VLOOKUP(A:A,'ITEM LIST'!A:C,3,0)</f>
        <v>#N/A</v>
      </c>
      <c r="D11661" s="6">
        <f t="shared" si="183"/>
        <v>0</v>
      </c>
    </row>
    <row r="11662" spans="3:4" ht="15" x14ac:dyDescent="0.25">
      <c r="C11662" s="8" t="e">
        <f>VLOOKUP(A:A,'ITEM LIST'!A:C,3,0)</f>
        <v>#N/A</v>
      </c>
      <c r="D11662" s="6">
        <f t="shared" si="183"/>
        <v>0</v>
      </c>
    </row>
    <row r="11663" spans="3:4" ht="15" x14ac:dyDescent="0.25">
      <c r="C11663" s="8" t="e">
        <f>VLOOKUP(A:A,'ITEM LIST'!A:C,3,0)</f>
        <v>#N/A</v>
      </c>
      <c r="D11663" s="6">
        <f t="shared" si="183"/>
        <v>0</v>
      </c>
    </row>
    <row r="11664" spans="3:4" ht="15" x14ac:dyDescent="0.25">
      <c r="C11664" s="8" t="e">
        <f>VLOOKUP(A:A,'ITEM LIST'!A:C,3,0)</f>
        <v>#N/A</v>
      </c>
      <c r="D11664" s="6">
        <f t="shared" si="183"/>
        <v>0</v>
      </c>
    </row>
    <row r="11665" spans="3:4" ht="15" x14ac:dyDescent="0.25">
      <c r="C11665" s="8" t="e">
        <f>VLOOKUP(A:A,'ITEM LIST'!A:C,3,0)</f>
        <v>#N/A</v>
      </c>
      <c r="D11665" s="6">
        <f t="shared" si="183"/>
        <v>0</v>
      </c>
    </row>
    <row r="11666" spans="3:4" ht="15" x14ac:dyDescent="0.25">
      <c r="C11666" s="8" t="e">
        <f>VLOOKUP(A:A,'ITEM LIST'!A:C,3,0)</f>
        <v>#N/A</v>
      </c>
      <c r="D11666" s="6">
        <f t="shared" si="183"/>
        <v>0</v>
      </c>
    </row>
    <row r="11667" spans="3:4" ht="15" x14ac:dyDescent="0.25">
      <c r="C11667" s="8" t="e">
        <f>VLOOKUP(A:A,'ITEM LIST'!A:C,3,0)</f>
        <v>#N/A</v>
      </c>
      <c r="D11667" s="6">
        <f t="shared" si="183"/>
        <v>0</v>
      </c>
    </row>
    <row r="11668" spans="3:4" ht="15" x14ac:dyDescent="0.25">
      <c r="C11668" s="8" t="e">
        <f>VLOOKUP(A:A,'ITEM LIST'!A:C,3,0)</f>
        <v>#N/A</v>
      </c>
      <c r="D11668" s="6">
        <f t="shared" si="183"/>
        <v>0</v>
      </c>
    </row>
    <row r="11669" spans="3:4" ht="15" x14ac:dyDescent="0.25">
      <c r="C11669" s="8" t="e">
        <f>VLOOKUP(A:A,'ITEM LIST'!A:C,3,0)</f>
        <v>#N/A</v>
      </c>
      <c r="D11669" s="6">
        <f t="shared" si="183"/>
        <v>0</v>
      </c>
    </row>
    <row r="11670" spans="3:4" ht="15" x14ac:dyDescent="0.25">
      <c r="C11670" s="8" t="e">
        <f>VLOOKUP(A:A,'ITEM LIST'!A:C,3,0)</f>
        <v>#N/A</v>
      </c>
      <c r="D11670" s="6">
        <f t="shared" si="183"/>
        <v>0</v>
      </c>
    </row>
    <row r="11671" spans="3:4" ht="15" x14ac:dyDescent="0.25">
      <c r="C11671" s="8" t="e">
        <f>VLOOKUP(A:A,'ITEM LIST'!A:C,3,0)</f>
        <v>#N/A</v>
      </c>
      <c r="D11671" s="6">
        <f t="shared" si="183"/>
        <v>0</v>
      </c>
    </row>
    <row r="11672" spans="3:4" ht="15" x14ac:dyDescent="0.25">
      <c r="C11672" s="8" t="e">
        <f>VLOOKUP(A:A,'ITEM LIST'!A:C,3,0)</f>
        <v>#N/A</v>
      </c>
      <c r="D11672" s="6">
        <f t="shared" si="183"/>
        <v>0</v>
      </c>
    </row>
    <row r="11673" spans="3:4" ht="15" x14ac:dyDescent="0.25">
      <c r="C11673" s="8" t="e">
        <f>VLOOKUP(A:A,'ITEM LIST'!A:C,3,0)</f>
        <v>#N/A</v>
      </c>
      <c r="D11673" s="6">
        <f t="shared" si="183"/>
        <v>0</v>
      </c>
    </row>
    <row r="11674" spans="3:4" ht="15" x14ac:dyDescent="0.25">
      <c r="C11674" s="8" t="e">
        <f>VLOOKUP(A:A,'ITEM LIST'!A:C,3,0)</f>
        <v>#N/A</v>
      </c>
      <c r="D11674" s="6">
        <f t="shared" si="183"/>
        <v>0</v>
      </c>
    </row>
    <row r="11675" spans="3:4" ht="15" x14ac:dyDescent="0.25">
      <c r="C11675" s="8" t="e">
        <f>VLOOKUP(A:A,'ITEM LIST'!A:C,3,0)</f>
        <v>#N/A</v>
      </c>
      <c r="D11675" s="6">
        <f t="shared" si="183"/>
        <v>0</v>
      </c>
    </row>
    <row r="11676" spans="3:4" ht="15" x14ac:dyDescent="0.25">
      <c r="C11676" s="8" t="e">
        <f>VLOOKUP(A:A,'ITEM LIST'!A:C,3,0)</f>
        <v>#N/A</v>
      </c>
      <c r="D11676" s="6">
        <f t="shared" si="183"/>
        <v>0</v>
      </c>
    </row>
    <row r="11677" spans="3:4" ht="15" x14ac:dyDescent="0.25">
      <c r="C11677" s="8" t="e">
        <f>VLOOKUP(A:A,'ITEM LIST'!A:C,3,0)</f>
        <v>#N/A</v>
      </c>
      <c r="D11677" s="6">
        <f t="shared" si="183"/>
        <v>0</v>
      </c>
    </row>
    <row r="11678" spans="3:4" ht="15" x14ac:dyDescent="0.25">
      <c r="C11678" s="8" t="e">
        <f>VLOOKUP(A:A,'ITEM LIST'!A:C,3,0)</f>
        <v>#N/A</v>
      </c>
      <c r="D11678" s="6">
        <f t="shared" si="183"/>
        <v>0</v>
      </c>
    </row>
    <row r="11679" spans="3:4" ht="15" x14ac:dyDescent="0.25">
      <c r="C11679" s="8" t="e">
        <f>VLOOKUP(A:A,'ITEM LIST'!A:C,3,0)</f>
        <v>#N/A</v>
      </c>
      <c r="D11679" s="6">
        <f t="shared" si="183"/>
        <v>0</v>
      </c>
    </row>
    <row r="11680" spans="3:4" ht="15" x14ac:dyDescent="0.25">
      <c r="C11680" s="8" t="e">
        <f>VLOOKUP(A:A,'ITEM LIST'!A:C,3,0)</f>
        <v>#N/A</v>
      </c>
      <c r="D11680" s="6">
        <f t="shared" si="183"/>
        <v>0</v>
      </c>
    </row>
    <row r="11681" spans="3:4" ht="15" x14ac:dyDescent="0.25">
      <c r="C11681" s="8" t="e">
        <f>VLOOKUP(A:A,'ITEM LIST'!A:C,3,0)</f>
        <v>#N/A</v>
      </c>
      <c r="D11681" s="6">
        <f t="shared" si="183"/>
        <v>0</v>
      </c>
    </row>
    <row r="11682" spans="3:4" ht="15" x14ac:dyDescent="0.25">
      <c r="C11682" s="8" t="e">
        <f>VLOOKUP(A:A,'ITEM LIST'!A:C,3,0)</f>
        <v>#N/A</v>
      </c>
      <c r="D11682" s="6">
        <f t="shared" si="183"/>
        <v>0</v>
      </c>
    </row>
    <row r="11683" spans="3:4" ht="15" x14ac:dyDescent="0.25">
      <c r="C11683" s="8" t="e">
        <f>VLOOKUP(A:A,'ITEM LIST'!A:C,3,0)</f>
        <v>#N/A</v>
      </c>
      <c r="D11683" s="6">
        <f t="shared" si="183"/>
        <v>0</v>
      </c>
    </row>
    <row r="11684" spans="3:4" ht="15" x14ac:dyDescent="0.25">
      <c r="C11684" s="8" t="e">
        <f>VLOOKUP(A:A,'ITEM LIST'!A:C,3,0)</f>
        <v>#N/A</v>
      </c>
      <c r="D11684" s="6">
        <f t="shared" si="183"/>
        <v>0</v>
      </c>
    </row>
    <row r="11685" spans="3:4" ht="15" x14ac:dyDescent="0.25">
      <c r="C11685" s="8" t="e">
        <f>VLOOKUP(A:A,'ITEM LIST'!A:C,3,0)</f>
        <v>#N/A</v>
      </c>
      <c r="D11685" s="6">
        <f t="shared" si="183"/>
        <v>0</v>
      </c>
    </row>
    <row r="11686" spans="3:4" ht="15" x14ac:dyDescent="0.25">
      <c r="C11686" s="8" t="e">
        <f>VLOOKUP(A:A,'ITEM LIST'!A:C,3,0)</f>
        <v>#N/A</v>
      </c>
      <c r="D11686" s="6">
        <f t="shared" si="183"/>
        <v>0</v>
      </c>
    </row>
    <row r="11687" spans="3:4" ht="15" x14ac:dyDescent="0.25">
      <c r="C11687" s="8" t="e">
        <f>VLOOKUP(A:A,'ITEM LIST'!A:C,3,0)</f>
        <v>#N/A</v>
      </c>
      <c r="D11687" s="6">
        <f t="shared" si="183"/>
        <v>0</v>
      </c>
    </row>
    <row r="11688" spans="3:4" ht="15" x14ac:dyDescent="0.25">
      <c r="C11688" s="8" t="e">
        <f>VLOOKUP(A:A,'ITEM LIST'!A:C,3,0)</f>
        <v>#N/A</v>
      </c>
      <c r="D11688" s="6">
        <f t="shared" si="183"/>
        <v>0</v>
      </c>
    </row>
    <row r="11689" spans="3:4" ht="15" x14ac:dyDescent="0.25">
      <c r="C11689" s="8" t="e">
        <f>VLOOKUP(A:A,'ITEM LIST'!A:C,3,0)</f>
        <v>#N/A</v>
      </c>
      <c r="D11689" s="6">
        <f t="shared" si="183"/>
        <v>0</v>
      </c>
    </row>
    <row r="11690" spans="3:4" ht="15" x14ac:dyDescent="0.25">
      <c r="C11690" s="8" t="e">
        <f>VLOOKUP(A:A,'ITEM LIST'!A:C,3,0)</f>
        <v>#N/A</v>
      </c>
      <c r="D11690" s="6">
        <f t="shared" si="183"/>
        <v>0</v>
      </c>
    </row>
    <row r="11691" spans="3:4" ht="15" x14ac:dyDescent="0.25">
      <c r="C11691" s="8" t="e">
        <f>VLOOKUP(A:A,'ITEM LIST'!A:C,3,0)</f>
        <v>#N/A</v>
      </c>
      <c r="D11691" s="6">
        <f t="shared" si="183"/>
        <v>0</v>
      </c>
    </row>
    <row r="11692" spans="3:4" ht="15" x14ac:dyDescent="0.25">
      <c r="C11692" s="8" t="e">
        <f>VLOOKUP(A:A,'ITEM LIST'!A:C,3,0)</f>
        <v>#N/A</v>
      </c>
      <c r="D11692" s="6">
        <f t="shared" si="183"/>
        <v>0</v>
      </c>
    </row>
    <row r="11693" spans="3:4" ht="15" x14ac:dyDescent="0.25">
      <c r="C11693" s="8" t="e">
        <f>VLOOKUP(A:A,'ITEM LIST'!A:C,3,0)</f>
        <v>#N/A</v>
      </c>
      <c r="D11693" s="6">
        <f t="shared" si="183"/>
        <v>0</v>
      </c>
    </row>
    <row r="11694" spans="3:4" ht="15" x14ac:dyDescent="0.25">
      <c r="C11694" s="8" t="e">
        <f>VLOOKUP(A:A,'ITEM LIST'!A:C,3,0)</f>
        <v>#N/A</v>
      </c>
      <c r="D11694" s="6">
        <f t="shared" si="183"/>
        <v>0</v>
      </c>
    </row>
    <row r="11695" spans="3:4" ht="15" x14ac:dyDescent="0.25">
      <c r="C11695" s="8" t="e">
        <f>VLOOKUP(A:A,'ITEM LIST'!A:C,3,0)</f>
        <v>#N/A</v>
      </c>
      <c r="D11695" s="6">
        <f t="shared" si="183"/>
        <v>0</v>
      </c>
    </row>
    <row r="11696" spans="3:4" ht="15" x14ac:dyDescent="0.25">
      <c r="C11696" s="8" t="e">
        <f>VLOOKUP(A:A,'ITEM LIST'!A:C,3,0)</f>
        <v>#N/A</v>
      </c>
      <c r="D11696" s="6">
        <f t="shared" si="183"/>
        <v>0</v>
      </c>
    </row>
    <row r="11697" spans="3:4" ht="15" x14ac:dyDescent="0.25">
      <c r="C11697" s="8" t="e">
        <f>VLOOKUP(A:A,'ITEM LIST'!A:C,3,0)</f>
        <v>#N/A</v>
      </c>
      <c r="D11697" s="6">
        <f t="shared" si="183"/>
        <v>0</v>
      </c>
    </row>
    <row r="11698" spans="3:4" ht="15" x14ac:dyDescent="0.25">
      <c r="C11698" s="8" t="e">
        <f>VLOOKUP(A:A,'ITEM LIST'!A:C,3,0)</f>
        <v>#N/A</v>
      </c>
      <c r="D11698" s="6">
        <f t="shared" si="183"/>
        <v>0</v>
      </c>
    </row>
    <row r="11699" spans="3:4" ht="15" x14ac:dyDescent="0.25">
      <c r="C11699" s="8" t="e">
        <f>VLOOKUP(A:A,'ITEM LIST'!A:C,3,0)</f>
        <v>#N/A</v>
      </c>
      <c r="D11699" s="6">
        <f t="shared" si="183"/>
        <v>0</v>
      </c>
    </row>
    <row r="11700" spans="3:4" ht="15" x14ac:dyDescent="0.25">
      <c r="C11700" s="8" t="e">
        <f>VLOOKUP(A:A,'ITEM LIST'!A:C,3,0)</f>
        <v>#N/A</v>
      </c>
      <c r="D11700" s="6">
        <f t="shared" si="183"/>
        <v>0</v>
      </c>
    </row>
    <row r="11701" spans="3:4" ht="15" x14ac:dyDescent="0.25">
      <c r="C11701" s="8" t="e">
        <f>VLOOKUP(A:A,'ITEM LIST'!A:C,3,0)</f>
        <v>#N/A</v>
      </c>
      <c r="D11701" s="6">
        <f t="shared" si="183"/>
        <v>0</v>
      </c>
    </row>
    <row r="11702" spans="3:4" ht="15" x14ac:dyDescent="0.25">
      <c r="C11702" s="8" t="e">
        <f>VLOOKUP(A:A,'ITEM LIST'!A:C,3,0)</f>
        <v>#N/A</v>
      </c>
      <c r="D11702" s="6">
        <f t="shared" si="183"/>
        <v>0</v>
      </c>
    </row>
    <row r="11703" spans="3:4" ht="15" x14ac:dyDescent="0.25">
      <c r="C11703" s="8" t="e">
        <f>VLOOKUP(A:A,'ITEM LIST'!A:C,3,0)</f>
        <v>#N/A</v>
      </c>
      <c r="D11703" s="6">
        <f t="shared" si="183"/>
        <v>0</v>
      </c>
    </row>
    <row r="11704" spans="3:4" ht="15" x14ac:dyDescent="0.25">
      <c r="C11704" s="8" t="e">
        <f>VLOOKUP(A:A,'ITEM LIST'!A:C,3,0)</f>
        <v>#N/A</v>
      </c>
      <c r="D11704" s="6">
        <f t="shared" si="183"/>
        <v>0</v>
      </c>
    </row>
    <row r="11705" spans="3:4" ht="15" x14ac:dyDescent="0.25">
      <c r="C11705" s="8" t="e">
        <f>VLOOKUP(A:A,'ITEM LIST'!A:C,3,0)</f>
        <v>#N/A</v>
      </c>
      <c r="D11705" s="6">
        <f t="shared" si="183"/>
        <v>0</v>
      </c>
    </row>
    <row r="11706" spans="3:4" ht="15" x14ac:dyDescent="0.25">
      <c r="C11706" s="8" t="e">
        <f>VLOOKUP(A:A,'ITEM LIST'!A:C,3,0)</f>
        <v>#N/A</v>
      </c>
      <c r="D11706" s="6">
        <f t="shared" si="183"/>
        <v>0</v>
      </c>
    </row>
    <row r="11707" spans="3:4" ht="15" x14ac:dyDescent="0.25">
      <c r="C11707" s="8" t="e">
        <f>VLOOKUP(A:A,'ITEM LIST'!A:C,3,0)</f>
        <v>#N/A</v>
      </c>
      <c r="D11707" s="6">
        <f t="shared" si="183"/>
        <v>0</v>
      </c>
    </row>
    <row r="11708" spans="3:4" ht="15" x14ac:dyDescent="0.25">
      <c r="C11708" s="8" t="e">
        <f>VLOOKUP(A:A,'ITEM LIST'!A:C,3,0)</f>
        <v>#N/A</v>
      </c>
      <c r="D11708" s="6">
        <f t="shared" si="183"/>
        <v>0</v>
      </c>
    </row>
    <row r="11709" spans="3:4" ht="15" x14ac:dyDescent="0.25">
      <c r="C11709" s="8" t="e">
        <f>VLOOKUP(A:A,'ITEM LIST'!A:C,3,0)</f>
        <v>#N/A</v>
      </c>
      <c r="D11709" s="6">
        <f t="shared" si="183"/>
        <v>0</v>
      </c>
    </row>
    <row r="11710" spans="3:4" ht="15" x14ac:dyDescent="0.25">
      <c r="C11710" s="8" t="e">
        <f>VLOOKUP(A:A,'ITEM LIST'!A:C,3,0)</f>
        <v>#N/A</v>
      </c>
      <c r="D11710" s="6">
        <f t="shared" si="183"/>
        <v>0</v>
      </c>
    </row>
    <row r="11711" spans="3:4" ht="15" x14ac:dyDescent="0.25">
      <c r="C11711" s="8" t="e">
        <f>VLOOKUP(A:A,'ITEM LIST'!A:C,3,0)</f>
        <v>#N/A</v>
      </c>
      <c r="D11711" s="6">
        <f t="shared" si="183"/>
        <v>0</v>
      </c>
    </row>
    <row r="11712" spans="3:4" ht="15" x14ac:dyDescent="0.25">
      <c r="C11712" s="8" t="e">
        <f>VLOOKUP(A:A,'ITEM LIST'!A:C,3,0)</f>
        <v>#N/A</v>
      </c>
      <c r="D11712" s="6">
        <f t="shared" si="183"/>
        <v>0</v>
      </c>
    </row>
    <row r="11713" spans="3:4" ht="15" x14ac:dyDescent="0.25">
      <c r="C11713" s="8" t="e">
        <f>VLOOKUP(A:A,'ITEM LIST'!A:C,3,0)</f>
        <v>#N/A</v>
      </c>
      <c r="D11713" s="6">
        <f t="shared" si="183"/>
        <v>0</v>
      </c>
    </row>
    <row r="11714" spans="3:4" ht="15" x14ac:dyDescent="0.25">
      <c r="C11714" s="8" t="e">
        <f>VLOOKUP(A:A,'ITEM LIST'!A:C,3,0)</f>
        <v>#N/A</v>
      </c>
      <c r="D11714" s="6">
        <f t="shared" si="183"/>
        <v>0</v>
      </c>
    </row>
    <row r="11715" spans="3:4" ht="15" x14ac:dyDescent="0.25">
      <c r="C11715" s="8" t="e">
        <f>VLOOKUP(A:A,'ITEM LIST'!A:C,3,0)</f>
        <v>#N/A</v>
      </c>
      <c r="D11715" s="6">
        <f t="shared" si="183"/>
        <v>0</v>
      </c>
    </row>
    <row r="11716" spans="3:4" ht="15" x14ac:dyDescent="0.25">
      <c r="C11716" s="8" t="e">
        <f>VLOOKUP(A:A,'ITEM LIST'!A:C,3,0)</f>
        <v>#N/A</v>
      </c>
      <c r="D11716" s="6">
        <f t="shared" si="183"/>
        <v>0</v>
      </c>
    </row>
    <row r="11717" spans="3:4" ht="15" x14ac:dyDescent="0.25">
      <c r="C11717" s="8" t="e">
        <f>VLOOKUP(A:A,'ITEM LIST'!A:C,3,0)</f>
        <v>#N/A</v>
      </c>
      <c r="D11717" s="6">
        <f t="shared" si="183"/>
        <v>0</v>
      </c>
    </row>
    <row r="11718" spans="3:4" ht="15" x14ac:dyDescent="0.25">
      <c r="C11718" s="8" t="e">
        <f>VLOOKUP(A:A,'ITEM LIST'!A:C,3,0)</f>
        <v>#N/A</v>
      </c>
      <c r="D11718" s="6">
        <f t="shared" ref="D11718:D11781" si="184">B11718</f>
        <v>0</v>
      </c>
    </row>
    <row r="11719" spans="3:4" ht="15" x14ac:dyDescent="0.25">
      <c r="C11719" s="8" t="e">
        <f>VLOOKUP(A:A,'ITEM LIST'!A:C,3,0)</f>
        <v>#N/A</v>
      </c>
      <c r="D11719" s="6">
        <f t="shared" si="184"/>
        <v>0</v>
      </c>
    </row>
    <row r="11720" spans="3:4" ht="15" x14ac:dyDescent="0.25">
      <c r="C11720" s="8" t="e">
        <f>VLOOKUP(A:A,'ITEM LIST'!A:C,3,0)</f>
        <v>#N/A</v>
      </c>
      <c r="D11720" s="6">
        <f t="shared" si="184"/>
        <v>0</v>
      </c>
    </row>
    <row r="11721" spans="3:4" ht="15" x14ac:dyDescent="0.25">
      <c r="C11721" s="8" t="e">
        <f>VLOOKUP(A:A,'ITEM LIST'!A:C,3,0)</f>
        <v>#N/A</v>
      </c>
      <c r="D11721" s="6">
        <f t="shared" si="184"/>
        <v>0</v>
      </c>
    </row>
    <row r="11722" spans="3:4" ht="15" x14ac:dyDescent="0.25">
      <c r="C11722" s="8" t="e">
        <f>VLOOKUP(A:A,'ITEM LIST'!A:C,3,0)</f>
        <v>#N/A</v>
      </c>
      <c r="D11722" s="6">
        <f t="shared" si="184"/>
        <v>0</v>
      </c>
    </row>
    <row r="11723" spans="3:4" ht="15" x14ac:dyDescent="0.25">
      <c r="C11723" s="8" t="e">
        <f>VLOOKUP(A:A,'ITEM LIST'!A:C,3,0)</f>
        <v>#N/A</v>
      </c>
      <c r="D11723" s="6">
        <f t="shared" si="184"/>
        <v>0</v>
      </c>
    </row>
    <row r="11724" spans="3:4" ht="15" x14ac:dyDescent="0.25">
      <c r="C11724" s="8" t="e">
        <f>VLOOKUP(A:A,'ITEM LIST'!A:C,3,0)</f>
        <v>#N/A</v>
      </c>
      <c r="D11724" s="6">
        <f t="shared" si="184"/>
        <v>0</v>
      </c>
    </row>
    <row r="11725" spans="3:4" ht="15" x14ac:dyDescent="0.25">
      <c r="C11725" s="8" t="e">
        <f>VLOOKUP(A:A,'ITEM LIST'!A:C,3,0)</f>
        <v>#N/A</v>
      </c>
      <c r="D11725" s="6">
        <f t="shared" si="184"/>
        <v>0</v>
      </c>
    </row>
    <row r="11726" spans="3:4" ht="15" x14ac:dyDescent="0.25">
      <c r="C11726" s="8" t="e">
        <f>VLOOKUP(A:A,'ITEM LIST'!A:C,3,0)</f>
        <v>#N/A</v>
      </c>
      <c r="D11726" s="6">
        <f t="shared" si="184"/>
        <v>0</v>
      </c>
    </row>
    <row r="11727" spans="3:4" ht="15" x14ac:dyDescent="0.25">
      <c r="C11727" s="8" t="e">
        <f>VLOOKUP(A:A,'ITEM LIST'!A:C,3,0)</f>
        <v>#N/A</v>
      </c>
      <c r="D11727" s="6">
        <f t="shared" si="184"/>
        <v>0</v>
      </c>
    </row>
    <row r="11728" spans="3:4" ht="15" x14ac:dyDescent="0.25">
      <c r="C11728" s="8" t="e">
        <f>VLOOKUP(A:A,'ITEM LIST'!A:C,3,0)</f>
        <v>#N/A</v>
      </c>
      <c r="D11728" s="6">
        <f t="shared" si="184"/>
        <v>0</v>
      </c>
    </row>
    <row r="11729" spans="3:4" ht="15" x14ac:dyDescent="0.25">
      <c r="C11729" s="8" t="e">
        <f>VLOOKUP(A:A,'ITEM LIST'!A:C,3,0)</f>
        <v>#N/A</v>
      </c>
      <c r="D11729" s="6">
        <f t="shared" si="184"/>
        <v>0</v>
      </c>
    </row>
    <row r="11730" spans="3:4" ht="15" x14ac:dyDescent="0.25">
      <c r="C11730" s="8" t="e">
        <f>VLOOKUP(A:A,'ITEM LIST'!A:C,3,0)</f>
        <v>#N/A</v>
      </c>
      <c r="D11730" s="6">
        <f t="shared" si="184"/>
        <v>0</v>
      </c>
    </row>
    <row r="11731" spans="3:4" ht="15" x14ac:dyDescent="0.25">
      <c r="C11731" s="8" t="e">
        <f>VLOOKUP(A:A,'ITEM LIST'!A:C,3,0)</f>
        <v>#N/A</v>
      </c>
      <c r="D11731" s="6">
        <f t="shared" si="184"/>
        <v>0</v>
      </c>
    </row>
    <row r="11732" spans="3:4" ht="15" x14ac:dyDescent="0.25">
      <c r="C11732" s="8" t="e">
        <f>VLOOKUP(A:A,'ITEM LIST'!A:C,3,0)</f>
        <v>#N/A</v>
      </c>
      <c r="D11732" s="6">
        <f t="shared" si="184"/>
        <v>0</v>
      </c>
    </row>
    <row r="11733" spans="3:4" ht="15" x14ac:dyDescent="0.25">
      <c r="C11733" s="8" t="e">
        <f>VLOOKUP(A:A,'ITEM LIST'!A:C,3,0)</f>
        <v>#N/A</v>
      </c>
      <c r="D11733" s="6">
        <f t="shared" si="184"/>
        <v>0</v>
      </c>
    </row>
    <row r="11734" spans="3:4" ht="15" x14ac:dyDescent="0.25">
      <c r="C11734" s="8" t="e">
        <f>VLOOKUP(A:A,'ITEM LIST'!A:C,3,0)</f>
        <v>#N/A</v>
      </c>
      <c r="D11734" s="6">
        <f t="shared" si="184"/>
        <v>0</v>
      </c>
    </row>
    <row r="11735" spans="3:4" ht="15" x14ac:dyDescent="0.25">
      <c r="C11735" s="8" t="e">
        <f>VLOOKUP(A:A,'ITEM LIST'!A:C,3,0)</f>
        <v>#N/A</v>
      </c>
      <c r="D11735" s="6">
        <f t="shared" si="184"/>
        <v>0</v>
      </c>
    </row>
    <row r="11736" spans="3:4" ht="15" x14ac:dyDescent="0.25">
      <c r="C11736" s="8" t="e">
        <f>VLOOKUP(A:A,'ITEM LIST'!A:C,3,0)</f>
        <v>#N/A</v>
      </c>
      <c r="D11736" s="6">
        <f t="shared" si="184"/>
        <v>0</v>
      </c>
    </row>
    <row r="11737" spans="3:4" ht="15" x14ac:dyDescent="0.25">
      <c r="C11737" s="8" t="e">
        <f>VLOOKUP(A:A,'ITEM LIST'!A:C,3,0)</f>
        <v>#N/A</v>
      </c>
      <c r="D11737" s="6">
        <f t="shared" si="184"/>
        <v>0</v>
      </c>
    </row>
    <row r="11738" spans="3:4" ht="15" x14ac:dyDescent="0.25">
      <c r="C11738" s="8" t="e">
        <f>VLOOKUP(A:A,'ITEM LIST'!A:C,3,0)</f>
        <v>#N/A</v>
      </c>
      <c r="D11738" s="6">
        <f t="shared" si="184"/>
        <v>0</v>
      </c>
    </row>
    <row r="11739" spans="3:4" ht="15" x14ac:dyDescent="0.25">
      <c r="C11739" s="8" t="e">
        <f>VLOOKUP(A:A,'ITEM LIST'!A:C,3,0)</f>
        <v>#N/A</v>
      </c>
      <c r="D11739" s="6">
        <f t="shared" si="184"/>
        <v>0</v>
      </c>
    </row>
    <row r="11740" spans="3:4" ht="15" x14ac:dyDescent="0.25">
      <c r="C11740" s="8" t="e">
        <f>VLOOKUP(A:A,'ITEM LIST'!A:C,3,0)</f>
        <v>#N/A</v>
      </c>
      <c r="D11740" s="6">
        <f t="shared" si="184"/>
        <v>0</v>
      </c>
    </row>
    <row r="11741" spans="3:4" ht="15" x14ac:dyDescent="0.25">
      <c r="C11741" s="8" t="e">
        <f>VLOOKUP(A:A,'ITEM LIST'!A:C,3,0)</f>
        <v>#N/A</v>
      </c>
      <c r="D11741" s="6">
        <f t="shared" si="184"/>
        <v>0</v>
      </c>
    </row>
    <row r="11742" spans="3:4" ht="15" x14ac:dyDescent="0.25">
      <c r="C11742" s="8" t="e">
        <f>VLOOKUP(A:A,'ITEM LIST'!A:C,3,0)</f>
        <v>#N/A</v>
      </c>
      <c r="D11742" s="6">
        <f t="shared" si="184"/>
        <v>0</v>
      </c>
    </row>
    <row r="11743" spans="3:4" ht="15" x14ac:dyDescent="0.25">
      <c r="C11743" s="8" t="e">
        <f>VLOOKUP(A:A,'ITEM LIST'!A:C,3,0)</f>
        <v>#N/A</v>
      </c>
      <c r="D11743" s="6">
        <f t="shared" si="184"/>
        <v>0</v>
      </c>
    </row>
    <row r="11744" spans="3:4" ht="15" x14ac:dyDescent="0.25">
      <c r="C11744" s="8" t="e">
        <f>VLOOKUP(A:A,'ITEM LIST'!A:C,3,0)</f>
        <v>#N/A</v>
      </c>
      <c r="D11744" s="6">
        <f t="shared" si="184"/>
        <v>0</v>
      </c>
    </row>
    <row r="11745" spans="3:4" ht="15" x14ac:dyDescent="0.25">
      <c r="C11745" s="8" t="e">
        <f>VLOOKUP(A:A,'ITEM LIST'!A:C,3,0)</f>
        <v>#N/A</v>
      </c>
      <c r="D11745" s="6">
        <f t="shared" si="184"/>
        <v>0</v>
      </c>
    </row>
    <row r="11746" spans="3:4" ht="15" x14ac:dyDescent="0.25">
      <c r="C11746" s="8" t="e">
        <f>VLOOKUP(A:A,'ITEM LIST'!A:C,3,0)</f>
        <v>#N/A</v>
      </c>
      <c r="D11746" s="6">
        <f t="shared" si="184"/>
        <v>0</v>
      </c>
    </row>
    <row r="11747" spans="3:4" ht="15" x14ac:dyDescent="0.25">
      <c r="C11747" s="8" t="e">
        <f>VLOOKUP(A:A,'ITEM LIST'!A:C,3,0)</f>
        <v>#N/A</v>
      </c>
      <c r="D11747" s="6">
        <f t="shared" si="184"/>
        <v>0</v>
      </c>
    </row>
    <row r="11748" spans="3:4" ht="15" x14ac:dyDescent="0.25">
      <c r="C11748" s="8" t="e">
        <f>VLOOKUP(A:A,'ITEM LIST'!A:C,3,0)</f>
        <v>#N/A</v>
      </c>
      <c r="D11748" s="6">
        <f t="shared" si="184"/>
        <v>0</v>
      </c>
    </row>
    <row r="11749" spans="3:4" ht="15" x14ac:dyDescent="0.25">
      <c r="C11749" s="8" t="e">
        <f>VLOOKUP(A:A,'ITEM LIST'!A:C,3,0)</f>
        <v>#N/A</v>
      </c>
      <c r="D11749" s="6">
        <f t="shared" si="184"/>
        <v>0</v>
      </c>
    </row>
    <row r="11750" spans="3:4" ht="15" x14ac:dyDescent="0.25">
      <c r="C11750" s="8" t="e">
        <f>VLOOKUP(A:A,'ITEM LIST'!A:C,3,0)</f>
        <v>#N/A</v>
      </c>
      <c r="D11750" s="6">
        <f t="shared" si="184"/>
        <v>0</v>
      </c>
    </row>
    <row r="11751" spans="3:4" ht="15" x14ac:dyDescent="0.25">
      <c r="C11751" s="8" t="e">
        <f>VLOOKUP(A:A,'ITEM LIST'!A:C,3,0)</f>
        <v>#N/A</v>
      </c>
      <c r="D11751" s="6">
        <f t="shared" si="184"/>
        <v>0</v>
      </c>
    </row>
    <row r="11752" spans="3:4" ht="15" x14ac:dyDescent="0.25">
      <c r="C11752" s="8" t="e">
        <f>VLOOKUP(A:A,'ITEM LIST'!A:C,3,0)</f>
        <v>#N/A</v>
      </c>
      <c r="D11752" s="6">
        <f t="shared" si="184"/>
        <v>0</v>
      </c>
    </row>
    <row r="11753" spans="3:4" ht="15" x14ac:dyDescent="0.25">
      <c r="C11753" s="8" t="e">
        <f>VLOOKUP(A:A,'ITEM LIST'!A:C,3,0)</f>
        <v>#N/A</v>
      </c>
      <c r="D11753" s="6">
        <f t="shared" si="184"/>
        <v>0</v>
      </c>
    </row>
    <row r="11754" spans="3:4" ht="15" x14ac:dyDescent="0.25">
      <c r="C11754" s="8" t="e">
        <f>VLOOKUP(A:A,'ITEM LIST'!A:C,3,0)</f>
        <v>#N/A</v>
      </c>
      <c r="D11754" s="6">
        <f t="shared" si="184"/>
        <v>0</v>
      </c>
    </row>
    <row r="11755" spans="3:4" ht="15" x14ac:dyDescent="0.25">
      <c r="C11755" s="8" t="e">
        <f>VLOOKUP(A:A,'ITEM LIST'!A:C,3,0)</f>
        <v>#N/A</v>
      </c>
      <c r="D11755" s="6">
        <f t="shared" si="184"/>
        <v>0</v>
      </c>
    </row>
    <row r="11756" spans="3:4" ht="15" x14ac:dyDescent="0.25">
      <c r="C11756" s="8" t="e">
        <f>VLOOKUP(A:A,'ITEM LIST'!A:C,3,0)</f>
        <v>#N/A</v>
      </c>
      <c r="D11756" s="6">
        <f t="shared" si="184"/>
        <v>0</v>
      </c>
    </row>
    <row r="11757" spans="3:4" ht="15" x14ac:dyDescent="0.25">
      <c r="C11757" s="8" t="e">
        <f>VLOOKUP(A:A,'ITEM LIST'!A:C,3,0)</f>
        <v>#N/A</v>
      </c>
      <c r="D11757" s="6">
        <f t="shared" si="184"/>
        <v>0</v>
      </c>
    </row>
    <row r="11758" spans="3:4" ht="15" x14ac:dyDescent="0.25">
      <c r="C11758" s="8" t="e">
        <f>VLOOKUP(A:A,'ITEM LIST'!A:C,3,0)</f>
        <v>#N/A</v>
      </c>
      <c r="D11758" s="6">
        <f t="shared" si="184"/>
        <v>0</v>
      </c>
    </row>
    <row r="11759" spans="3:4" ht="15" x14ac:dyDescent="0.25">
      <c r="C11759" s="8" t="e">
        <f>VLOOKUP(A:A,'ITEM LIST'!A:C,3,0)</f>
        <v>#N/A</v>
      </c>
      <c r="D11759" s="6">
        <f t="shared" si="184"/>
        <v>0</v>
      </c>
    </row>
    <row r="11760" spans="3:4" ht="15" x14ac:dyDescent="0.25">
      <c r="C11760" s="8" t="e">
        <f>VLOOKUP(A:A,'ITEM LIST'!A:C,3,0)</f>
        <v>#N/A</v>
      </c>
      <c r="D11760" s="6">
        <f t="shared" si="184"/>
        <v>0</v>
      </c>
    </row>
    <row r="11761" spans="3:4" ht="15" x14ac:dyDescent="0.25">
      <c r="C11761" s="8" t="e">
        <f>VLOOKUP(A:A,'ITEM LIST'!A:C,3,0)</f>
        <v>#N/A</v>
      </c>
      <c r="D11761" s="6">
        <f t="shared" si="184"/>
        <v>0</v>
      </c>
    </row>
    <row r="11762" spans="3:4" ht="15" x14ac:dyDescent="0.25">
      <c r="C11762" s="8" t="e">
        <f>VLOOKUP(A:A,'ITEM LIST'!A:C,3,0)</f>
        <v>#N/A</v>
      </c>
      <c r="D11762" s="6">
        <f t="shared" si="184"/>
        <v>0</v>
      </c>
    </row>
    <row r="11763" spans="3:4" ht="15" x14ac:dyDescent="0.25">
      <c r="C11763" s="8" t="e">
        <f>VLOOKUP(A:A,'ITEM LIST'!A:C,3,0)</f>
        <v>#N/A</v>
      </c>
      <c r="D11763" s="6">
        <f t="shared" si="184"/>
        <v>0</v>
      </c>
    </row>
    <row r="11764" spans="3:4" ht="15" x14ac:dyDescent="0.25">
      <c r="C11764" s="8" t="e">
        <f>VLOOKUP(A:A,'ITEM LIST'!A:C,3,0)</f>
        <v>#N/A</v>
      </c>
      <c r="D11764" s="6">
        <f t="shared" si="184"/>
        <v>0</v>
      </c>
    </row>
    <row r="11765" spans="3:4" ht="15" x14ac:dyDescent="0.25">
      <c r="C11765" s="8" t="e">
        <f>VLOOKUP(A:A,'ITEM LIST'!A:C,3,0)</f>
        <v>#N/A</v>
      </c>
      <c r="D11765" s="6">
        <f t="shared" si="184"/>
        <v>0</v>
      </c>
    </row>
    <row r="11766" spans="3:4" ht="15" x14ac:dyDescent="0.25">
      <c r="C11766" s="8" t="e">
        <f>VLOOKUP(A:A,'ITEM LIST'!A:C,3,0)</f>
        <v>#N/A</v>
      </c>
      <c r="D11766" s="6">
        <f t="shared" si="184"/>
        <v>0</v>
      </c>
    </row>
    <row r="11767" spans="3:4" ht="15" x14ac:dyDescent="0.25">
      <c r="C11767" s="8" t="e">
        <f>VLOOKUP(A:A,'ITEM LIST'!A:C,3,0)</f>
        <v>#N/A</v>
      </c>
      <c r="D11767" s="6">
        <f t="shared" si="184"/>
        <v>0</v>
      </c>
    </row>
    <row r="11768" spans="3:4" ht="15" x14ac:dyDescent="0.25">
      <c r="C11768" s="8" t="e">
        <f>VLOOKUP(A:A,'ITEM LIST'!A:C,3,0)</f>
        <v>#N/A</v>
      </c>
      <c r="D11768" s="6">
        <f t="shared" si="184"/>
        <v>0</v>
      </c>
    </row>
    <row r="11769" spans="3:4" ht="15" x14ac:dyDescent="0.25">
      <c r="C11769" s="8" t="e">
        <f>VLOOKUP(A:A,'ITEM LIST'!A:C,3,0)</f>
        <v>#N/A</v>
      </c>
      <c r="D11769" s="6">
        <f t="shared" si="184"/>
        <v>0</v>
      </c>
    </row>
    <row r="11770" spans="3:4" ht="15" x14ac:dyDescent="0.25">
      <c r="C11770" s="8" t="e">
        <f>VLOOKUP(A:A,'ITEM LIST'!A:C,3,0)</f>
        <v>#N/A</v>
      </c>
      <c r="D11770" s="6">
        <f t="shared" si="184"/>
        <v>0</v>
      </c>
    </row>
    <row r="11771" spans="3:4" ht="15" x14ac:dyDescent="0.25">
      <c r="C11771" s="8" t="e">
        <f>VLOOKUP(A:A,'ITEM LIST'!A:C,3,0)</f>
        <v>#N/A</v>
      </c>
      <c r="D11771" s="6">
        <f t="shared" si="184"/>
        <v>0</v>
      </c>
    </row>
    <row r="11772" spans="3:4" ht="15" x14ac:dyDescent="0.25">
      <c r="C11772" s="8" t="e">
        <f>VLOOKUP(A:A,'ITEM LIST'!A:C,3,0)</f>
        <v>#N/A</v>
      </c>
      <c r="D11772" s="6">
        <f t="shared" si="184"/>
        <v>0</v>
      </c>
    </row>
    <row r="11773" spans="3:4" ht="15" x14ac:dyDescent="0.25">
      <c r="C11773" s="8" t="e">
        <f>VLOOKUP(A:A,'ITEM LIST'!A:C,3,0)</f>
        <v>#N/A</v>
      </c>
      <c r="D11773" s="6">
        <f t="shared" si="184"/>
        <v>0</v>
      </c>
    </row>
    <row r="11774" spans="3:4" ht="15" x14ac:dyDescent="0.25">
      <c r="C11774" s="8" t="e">
        <f>VLOOKUP(A:A,'ITEM LIST'!A:C,3,0)</f>
        <v>#N/A</v>
      </c>
      <c r="D11774" s="6">
        <f t="shared" si="184"/>
        <v>0</v>
      </c>
    </row>
    <row r="11775" spans="3:4" ht="15" x14ac:dyDescent="0.25">
      <c r="C11775" s="8" t="e">
        <f>VLOOKUP(A:A,'ITEM LIST'!A:C,3,0)</f>
        <v>#N/A</v>
      </c>
      <c r="D11775" s="6">
        <f t="shared" si="184"/>
        <v>0</v>
      </c>
    </row>
    <row r="11776" spans="3:4" ht="15" x14ac:dyDescent="0.25">
      <c r="C11776" s="8" t="e">
        <f>VLOOKUP(A:A,'ITEM LIST'!A:C,3,0)</f>
        <v>#N/A</v>
      </c>
      <c r="D11776" s="6">
        <f t="shared" si="184"/>
        <v>0</v>
      </c>
    </row>
    <row r="11777" spans="3:4" ht="15" x14ac:dyDescent="0.25">
      <c r="C11777" s="8" t="e">
        <f>VLOOKUP(A:A,'ITEM LIST'!A:C,3,0)</f>
        <v>#N/A</v>
      </c>
      <c r="D11777" s="6">
        <f t="shared" si="184"/>
        <v>0</v>
      </c>
    </row>
    <row r="11778" spans="3:4" ht="15" x14ac:dyDescent="0.25">
      <c r="C11778" s="8" t="e">
        <f>VLOOKUP(A:A,'ITEM LIST'!A:C,3,0)</f>
        <v>#N/A</v>
      </c>
      <c r="D11778" s="6">
        <f t="shared" si="184"/>
        <v>0</v>
      </c>
    </row>
    <row r="11779" spans="3:4" ht="15" x14ac:dyDescent="0.25">
      <c r="C11779" s="8" t="e">
        <f>VLOOKUP(A:A,'ITEM LIST'!A:C,3,0)</f>
        <v>#N/A</v>
      </c>
      <c r="D11779" s="6">
        <f t="shared" si="184"/>
        <v>0</v>
      </c>
    </row>
    <row r="11780" spans="3:4" ht="15" x14ac:dyDescent="0.25">
      <c r="C11780" s="8" t="e">
        <f>VLOOKUP(A:A,'ITEM LIST'!A:C,3,0)</f>
        <v>#N/A</v>
      </c>
      <c r="D11780" s="6">
        <f t="shared" si="184"/>
        <v>0</v>
      </c>
    </row>
    <row r="11781" spans="3:4" ht="15" x14ac:dyDescent="0.25">
      <c r="C11781" s="8" t="e">
        <f>VLOOKUP(A:A,'ITEM LIST'!A:C,3,0)</f>
        <v>#N/A</v>
      </c>
      <c r="D11781" s="6">
        <f t="shared" si="184"/>
        <v>0</v>
      </c>
    </row>
    <row r="11782" spans="3:4" ht="15" x14ac:dyDescent="0.25">
      <c r="C11782" s="8" t="e">
        <f>VLOOKUP(A:A,'ITEM LIST'!A:C,3,0)</f>
        <v>#N/A</v>
      </c>
      <c r="D11782" s="6">
        <f t="shared" ref="D11782:D11845" si="185">B11782</f>
        <v>0</v>
      </c>
    </row>
    <row r="11783" spans="3:4" ht="15" x14ac:dyDescent="0.25">
      <c r="C11783" s="8" t="e">
        <f>VLOOKUP(A:A,'ITEM LIST'!A:C,3,0)</f>
        <v>#N/A</v>
      </c>
      <c r="D11783" s="6">
        <f t="shared" si="185"/>
        <v>0</v>
      </c>
    </row>
    <row r="11784" spans="3:4" ht="15" x14ac:dyDescent="0.25">
      <c r="C11784" s="8" t="e">
        <f>VLOOKUP(A:A,'ITEM LIST'!A:C,3,0)</f>
        <v>#N/A</v>
      </c>
      <c r="D11784" s="6">
        <f t="shared" si="185"/>
        <v>0</v>
      </c>
    </row>
    <row r="11785" spans="3:4" ht="15" x14ac:dyDescent="0.25">
      <c r="C11785" s="8" t="e">
        <f>VLOOKUP(A:A,'ITEM LIST'!A:C,3,0)</f>
        <v>#N/A</v>
      </c>
      <c r="D11785" s="6">
        <f t="shared" si="185"/>
        <v>0</v>
      </c>
    </row>
    <row r="11786" spans="3:4" ht="15" x14ac:dyDescent="0.25">
      <c r="C11786" s="8" t="e">
        <f>VLOOKUP(A:A,'ITEM LIST'!A:C,3,0)</f>
        <v>#N/A</v>
      </c>
      <c r="D11786" s="6">
        <f t="shared" si="185"/>
        <v>0</v>
      </c>
    </row>
    <row r="11787" spans="3:4" ht="15" x14ac:dyDescent="0.25">
      <c r="C11787" s="8" t="e">
        <f>VLOOKUP(A:A,'ITEM LIST'!A:C,3,0)</f>
        <v>#N/A</v>
      </c>
      <c r="D11787" s="6">
        <f t="shared" si="185"/>
        <v>0</v>
      </c>
    </row>
    <row r="11788" spans="3:4" ht="15" x14ac:dyDescent="0.25">
      <c r="C11788" s="8" t="e">
        <f>VLOOKUP(A:A,'ITEM LIST'!A:C,3,0)</f>
        <v>#N/A</v>
      </c>
      <c r="D11788" s="6">
        <f t="shared" si="185"/>
        <v>0</v>
      </c>
    </row>
    <row r="11789" spans="3:4" ht="15" x14ac:dyDescent="0.25">
      <c r="C11789" s="8" t="e">
        <f>VLOOKUP(A:A,'ITEM LIST'!A:C,3,0)</f>
        <v>#N/A</v>
      </c>
      <c r="D11789" s="6">
        <f t="shared" si="185"/>
        <v>0</v>
      </c>
    </row>
    <row r="11790" spans="3:4" ht="15" x14ac:dyDescent="0.25">
      <c r="C11790" s="8" t="e">
        <f>VLOOKUP(A:A,'ITEM LIST'!A:C,3,0)</f>
        <v>#N/A</v>
      </c>
      <c r="D11790" s="6">
        <f t="shared" si="185"/>
        <v>0</v>
      </c>
    </row>
    <row r="11791" spans="3:4" ht="15" x14ac:dyDescent="0.25">
      <c r="C11791" s="8" t="e">
        <f>VLOOKUP(A:A,'ITEM LIST'!A:C,3,0)</f>
        <v>#N/A</v>
      </c>
      <c r="D11791" s="6">
        <f t="shared" si="185"/>
        <v>0</v>
      </c>
    </row>
    <row r="11792" spans="3:4" ht="15" x14ac:dyDescent="0.25">
      <c r="C11792" s="8" t="e">
        <f>VLOOKUP(A:A,'ITEM LIST'!A:C,3,0)</f>
        <v>#N/A</v>
      </c>
      <c r="D11792" s="6">
        <f t="shared" si="185"/>
        <v>0</v>
      </c>
    </row>
    <row r="11793" spans="3:4" ht="15" x14ac:dyDescent="0.25">
      <c r="C11793" s="8" t="e">
        <f>VLOOKUP(A:A,'ITEM LIST'!A:C,3,0)</f>
        <v>#N/A</v>
      </c>
      <c r="D11793" s="6">
        <f t="shared" si="185"/>
        <v>0</v>
      </c>
    </row>
    <row r="11794" spans="3:4" ht="15" x14ac:dyDescent="0.25">
      <c r="C11794" s="8" t="e">
        <f>VLOOKUP(A:A,'ITEM LIST'!A:C,3,0)</f>
        <v>#N/A</v>
      </c>
      <c r="D11794" s="6">
        <f t="shared" si="185"/>
        <v>0</v>
      </c>
    </row>
    <row r="11795" spans="3:4" ht="15" x14ac:dyDescent="0.25">
      <c r="C11795" s="8" t="e">
        <f>VLOOKUP(A:A,'ITEM LIST'!A:C,3,0)</f>
        <v>#N/A</v>
      </c>
      <c r="D11795" s="6">
        <f t="shared" si="185"/>
        <v>0</v>
      </c>
    </row>
    <row r="11796" spans="3:4" ht="15" x14ac:dyDescent="0.25">
      <c r="C11796" s="8" t="e">
        <f>VLOOKUP(A:A,'ITEM LIST'!A:C,3,0)</f>
        <v>#N/A</v>
      </c>
      <c r="D11796" s="6">
        <f t="shared" si="185"/>
        <v>0</v>
      </c>
    </row>
    <row r="11797" spans="3:4" ht="15" x14ac:dyDescent="0.25">
      <c r="C11797" s="8" t="e">
        <f>VLOOKUP(A:A,'ITEM LIST'!A:C,3,0)</f>
        <v>#N/A</v>
      </c>
      <c r="D11797" s="6">
        <f t="shared" si="185"/>
        <v>0</v>
      </c>
    </row>
    <row r="11798" spans="3:4" ht="15" x14ac:dyDescent="0.25">
      <c r="C11798" s="8" t="e">
        <f>VLOOKUP(A:A,'ITEM LIST'!A:C,3,0)</f>
        <v>#N/A</v>
      </c>
      <c r="D11798" s="6">
        <f t="shared" si="185"/>
        <v>0</v>
      </c>
    </row>
    <row r="11799" spans="3:4" ht="15" x14ac:dyDescent="0.25">
      <c r="C11799" s="8" t="e">
        <f>VLOOKUP(A:A,'ITEM LIST'!A:C,3,0)</f>
        <v>#N/A</v>
      </c>
      <c r="D11799" s="6">
        <f t="shared" si="185"/>
        <v>0</v>
      </c>
    </row>
    <row r="11800" spans="3:4" ht="15" x14ac:dyDescent="0.25">
      <c r="C11800" s="8" t="e">
        <f>VLOOKUP(A:A,'ITEM LIST'!A:C,3,0)</f>
        <v>#N/A</v>
      </c>
      <c r="D11800" s="6">
        <f t="shared" si="185"/>
        <v>0</v>
      </c>
    </row>
    <row r="11801" spans="3:4" ht="15" x14ac:dyDescent="0.25">
      <c r="C11801" s="8" t="e">
        <f>VLOOKUP(A:A,'ITEM LIST'!A:C,3,0)</f>
        <v>#N/A</v>
      </c>
      <c r="D11801" s="6">
        <f t="shared" si="185"/>
        <v>0</v>
      </c>
    </row>
    <row r="11802" spans="3:4" ht="15" x14ac:dyDescent="0.25">
      <c r="C11802" s="8" t="e">
        <f>VLOOKUP(A:A,'ITEM LIST'!A:C,3,0)</f>
        <v>#N/A</v>
      </c>
      <c r="D11802" s="6">
        <f t="shared" si="185"/>
        <v>0</v>
      </c>
    </row>
    <row r="11803" spans="3:4" ht="15" x14ac:dyDescent="0.25">
      <c r="C11803" s="8" t="e">
        <f>VLOOKUP(A:A,'ITEM LIST'!A:C,3,0)</f>
        <v>#N/A</v>
      </c>
      <c r="D11803" s="6">
        <f t="shared" si="185"/>
        <v>0</v>
      </c>
    </row>
    <row r="11804" spans="3:4" ht="15" x14ac:dyDescent="0.25">
      <c r="C11804" s="8" t="e">
        <f>VLOOKUP(A:A,'ITEM LIST'!A:C,3,0)</f>
        <v>#N/A</v>
      </c>
      <c r="D11804" s="6">
        <f t="shared" si="185"/>
        <v>0</v>
      </c>
    </row>
    <row r="11805" spans="3:4" ht="15" x14ac:dyDescent="0.25">
      <c r="C11805" s="8" t="e">
        <f>VLOOKUP(A:A,'ITEM LIST'!A:C,3,0)</f>
        <v>#N/A</v>
      </c>
      <c r="D11805" s="6">
        <f t="shared" si="185"/>
        <v>0</v>
      </c>
    </row>
    <row r="11806" spans="3:4" ht="15" x14ac:dyDescent="0.25">
      <c r="C11806" s="8" t="e">
        <f>VLOOKUP(A:A,'ITEM LIST'!A:C,3,0)</f>
        <v>#N/A</v>
      </c>
      <c r="D11806" s="6">
        <f t="shared" si="185"/>
        <v>0</v>
      </c>
    </row>
    <row r="11807" spans="3:4" ht="15" x14ac:dyDescent="0.25">
      <c r="C11807" s="8" t="e">
        <f>VLOOKUP(A:A,'ITEM LIST'!A:C,3,0)</f>
        <v>#N/A</v>
      </c>
      <c r="D11807" s="6">
        <f t="shared" si="185"/>
        <v>0</v>
      </c>
    </row>
    <row r="11808" spans="3:4" ht="15" x14ac:dyDescent="0.25">
      <c r="C11808" s="8" t="e">
        <f>VLOOKUP(A:A,'ITEM LIST'!A:C,3,0)</f>
        <v>#N/A</v>
      </c>
      <c r="D11808" s="6">
        <f t="shared" si="185"/>
        <v>0</v>
      </c>
    </row>
    <row r="11809" spans="3:4" ht="15" x14ac:dyDescent="0.25">
      <c r="C11809" s="8" t="e">
        <f>VLOOKUP(A:A,'ITEM LIST'!A:C,3,0)</f>
        <v>#N/A</v>
      </c>
      <c r="D11809" s="6">
        <f t="shared" si="185"/>
        <v>0</v>
      </c>
    </row>
    <row r="11810" spans="3:4" ht="15" x14ac:dyDescent="0.25">
      <c r="C11810" s="8" t="e">
        <f>VLOOKUP(A:A,'ITEM LIST'!A:C,3,0)</f>
        <v>#N/A</v>
      </c>
      <c r="D11810" s="6">
        <f t="shared" si="185"/>
        <v>0</v>
      </c>
    </row>
    <row r="11811" spans="3:4" ht="15" x14ac:dyDescent="0.25">
      <c r="C11811" s="8" t="e">
        <f>VLOOKUP(A:A,'ITEM LIST'!A:C,3,0)</f>
        <v>#N/A</v>
      </c>
      <c r="D11811" s="6">
        <f t="shared" si="185"/>
        <v>0</v>
      </c>
    </row>
    <row r="11812" spans="3:4" ht="15" x14ac:dyDescent="0.25">
      <c r="C11812" s="8" t="e">
        <f>VLOOKUP(A:A,'ITEM LIST'!A:C,3,0)</f>
        <v>#N/A</v>
      </c>
      <c r="D11812" s="6">
        <f t="shared" si="185"/>
        <v>0</v>
      </c>
    </row>
    <row r="11813" spans="3:4" ht="15" x14ac:dyDescent="0.25">
      <c r="C11813" s="8" t="e">
        <f>VLOOKUP(A:A,'ITEM LIST'!A:C,3,0)</f>
        <v>#N/A</v>
      </c>
      <c r="D11813" s="6">
        <f t="shared" si="185"/>
        <v>0</v>
      </c>
    </row>
    <row r="11814" spans="3:4" ht="15" x14ac:dyDescent="0.25">
      <c r="C11814" s="8" t="e">
        <f>VLOOKUP(A:A,'ITEM LIST'!A:C,3,0)</f>
        <v>#N/A</v>
      </c>
      <c r="D11814" s="6">
        <f t="shared" si="185"/>
        <v>0</v>
      </c>
    </row>
    <row r="11815" spans="3:4" ht="15" x14ac:dyDescent="0.25">
      <c r="C11815" s="8" t="e">
        <f>VLOOKUP(A:A,'ITEM LIST'!A:C,3,0)</f>
        <v>#N/A</v>
      </c>
      <c r="D11815" s="6">
        <f t="shared" si="185"/>
        <v>0</v>
      </c>
    </row>
    <row r="11816" spans="3:4" ht="15" x14ac:dyDescent="0.25">
      <c r="C11816" s="8" t="e">
        <f>VLOOKUP(A:A,'ITEM LIST'!A:C,3,0)</f>
        <v>#N/A</v>
      </c>
      <c r="D11816" s="6">
        <f t="shared" si="185"/>
        <v>0</v>
      </c>
    </row>
    <row r="11817" spans="3:4" ht="15" x14ac:dyDescent="0.25">
      <c r="C11817" s="8" t="e">
        <f>VLOOKUP(A:A,'ITEM LIST'!A:C,3,0)</f>
        <v>#N/A</v>
      </c>
      <c r="D11817" s="6">
        <f t="shared" si="185"/>
        <v>0</v>
      </c>
    </row>
    <row r="11818" spans="3:4" ht="15" x14ac:dyDescent="0.25">
      <c r="C11818" s="8" t="e">
        <f>VLOOKUP(A:A,'ITEM LIST'!A:C,3,0)</f>
        <v>#N/A</v>
      </c>
      <c r="D11818" s="6">
        <f t="shared" si="185"/>
        <v>0</v>
      </c>
    </row>
    <row r="11819" spans="3:4" ht="15" x14ac:dyDescent="0.25">
      <c r="C11819" s="8" t="e">
        <f>VLOOKUP(A:A,'ITEM LIST'!A:C,3,0)</f>
        <v>#N/A</v>
      </c>
      <c r="D11819" s="6">
        <f t="shared" si="185"/>
        <v>0</v>
      </c>
    </row>
    <row r="11820" spans="3:4" ht="15" x14ac:dyDescent="0.25">
      <c r="C11820" s="8" t="e">
        <f>VLOOKUP(A:A,'ITEM LIST'!A:C,3,0)</f>
        <v>#N/A</v>
      </c>
      <c r="D11820" s="6">
        <f t="shared" si="185"/>
        <v>0</v>
      </c>
    </row>
    <row r="11821" spans="3:4" ht="15" x14ac:dyDescent="0.25">
      <c r="C11821" s="8" t="e">
        <f>VLOOKUP(A:A,'ITEM LIST'!A:C,3,0)</f>
        <v>#N/A</v>
      </c>
      <c r="D11821" s="6">
        <f t="shared" si="185"/>
        <v>0</v>
      </c>
    </row>
    <row r="11822" spans="3:4" ht="15" x14ac:dyDescent="0.25">
      <c r="C11822" s="8" t="e">
        <f>VLOOKUP(A:A,'ITEM LIST'!A:C,3,0)</f>
        <v>#N/A</v>
      </c>
      <c r="D11822" s="6">
        <f t="shared" si="185"/>
        <v>0</v>
      </c>
    </row>
    <row r="11823" spans="3:4" ht="15" x14ac:dyDescent="0.25">
      <c r="C11823" s="8" t="e">
        <f>VLOOKUP(A:A,'ITEM LIST'!A:C,3,0)</f>
        <v>#N/A</v>
      </c>
      <c r="D11823" s="6">
        <f t="shared" si="185"/>
        <v>0</v>
      </c>
    </row>
    <row r="11824" spans="3:4" ht="15" x14ac:dyDescent="0.25">
      <c r="C11824" s="8" t="e">
        <f>VLOOKUP(A:A,'ITEM LIST'!A:C,3,0)</f>
        <v>#N/A</v>
      </c>
      <c r="D11824" s="6">
        <f t="shared" si="185"/>
        <v>0</v>
      </c>
    </row>
    <row r="11825" spans="3:4" ht="15" x14ac:dyDescent="0.25">
      <c r="C11825" s="8" t="e">
        <f>VLOOKUP(A:A,'ITEM LIST'!A:C,3,0)</f>
        <v>#N/A</v>
      </c>
      <c r="D11825" s="6">
        <f t="shared" si="185"/>
        <v>0</v>
      </c>
    </row>
    <row r="11826" spans="3:4" ht="15" x14ac:dyDescent="0.25">
      <c r="C11826" s="8" t="e">
        <f>VLOOKUP(A:A,'ITEM LIST'!A:C,3,0)</f>
        <v>#N/A</v>
      </c>
      <c r="D11826" s="6">
        <f t="shared" si="185"/>
        <v>0</v>
      </c>
    </row>
    <row r="11827" spans="3:4" ht="15" x14ac:dyDescent="0.25">
      <c r="C11827" s="8" t="e">
        <f>VLOOKUP(A:A,'ITEM LIST'!A:C,3,0)</f>
        <v>#N/A</v>
      </c>
      <c r="D11827" s="6">
        <f t="shared" si="185"/>
        <v>0</v>
      </c>
    </row>
    <row r="11828" spans="3:4" ht="15" x14ac:dyDescent="0.25">
      <c r="C11828" s="8" t="e">
        <f>VLOOKUP(A:A,'ITEM LIST'!A:C,3,0)</f>
        <v>#N/A</v>
      </c>
      <c r="D11828" s="6">
        <f t="shared" si="185"/>
        <v>0</v>
      </c>
    </row>
    <row r="11829" spans="3:4" ht="15" x14ac:dyDescent="0.25">
      <c r="C11829" s="8" t="e">
        <f>VLOOKUP(A:A,'ITEM LIST'!A:C,3,0)</f>
        <v>#N/A</v>
      </c>
      <c r="D11829" s="6">
        <f t="shared" si="185"/>
        <v>0</v>
      </c>
    </row>
    <row r="11830" spans="3:4" ht="15" x14ac:dyDescent="0.25">
      <c r="C11830" s="8" t="e">
        <f>VLOOKUP(A:A,'ITEM LIST'!A:C,3,0)</f>
        <v>#N/A</v>
      </c>
      <c r="D11830" s="6">
        <f t="shared" si="185"/>
        <v>0</v>
      </c>
    </row>
    <row r="11831" spans="3:4" ht="15" x14ac:dyDescent="0.25">
      <c r="C11831" s="8" t="e">
        <f>VLOOKUP(A:A,'ITEM LIST'!A:C,3,0)</f>
        <v>#N/A</v>
      </c>
      <c r="D11831" s="6">
        <f t="shared" si="185"/>
        <v>0</v>
      </c>
    </row>
    <row r="11832" spans="3:4" ht="15" x14ac:dyDescent="0.25">
      <c r="C11832" s="8" t="e">
        <f>VLOOKUP(A:A,'ITEM LIST'!A:C,3,0)</f>
        <v>#N/A</v>
      </c>
      <c r="D11832" s="6">
        <f t="shared" si="185"/>
        <v>0</v>
      </c>
    </row>
    <row r="11833" spans="3:4" ht="15" x14ac:dyDescent="0.25">
      <c r="C11833" s="8" t="e">
        <f>VLOOKUP(A:A,'ITEM LIST'!A:C,3,0)</f>
        <v>#N/A</v>
      </c>
      <c r="D11833" s="6">
        <f t="shared" si="185"/>
        <v>0</v>
      </c>
    </row>
    <row r="11834" spans="3:4" ht="15" x14ac:dyDescent="0.25">
      <c r="C11834" s="8" t="e">
        <f>VLOOKUP(A:A,'ITEM LIST'!A:C,3,0)</f>
        <v>#N/A</v>
      </c>
      <c r="D11834" s="6">
        <f t="shared" si="185"/>
        <v>0</v>
      </c>
    </row>
    <row r="11835" spans="3:4" ht="15" x14ac:dyDescent="0.25">
      <c r="C11835" s="8" t="e">
        <f>VLOOKUP(A:A,'ITEM LIST'!A:C,3,0)</f>
        <v>#N/A</v>
      </c>
      <c r="D11835" s="6">
        <f t="shared" si="185"/>
        <v>0</v>
      </c>
    </row>
    <row r="11836" spans="3:4" ht="15" x14ac:dyDescent="0.25">
      <c r="C11836" s="8" t="e">
        <f>VLOOKUP(A:A,'ITEM LIST'!A:C,3,0)</f>
        <v>#N/A</v>
      </c>
      <c r="D11836" s="6">
        <f t="shared" si="185"/>
        <v>0</v>
      </c>
    </row>
    <row r="11837" spans="3:4" ht="15" x14ac:dyDescent="0.25">
      <c r="C11837" s="8" t="e">
        <f>VLOOKUP(A:A,'ITEM LIST'!A:C,3,0)</f>
        <v>#N/A</v>
      </c>
      <c r="D11837" s="6">
        <f t="shared" si="185"/>
        <v>0</v>
      </c>
    </row>
    <row r="11838" spans="3:4" ht="15" x14ac:dyDescent="0.25">
      <c r="C11838" s="8" t="e">
        <f>VLOOKUP(A:A,'ITEM LIST'!A:C,3,0)</f>
        <v>#N/A</v>
      </c>
      <c r="D11838" s="6">
        <f t="shared" si="185"/>
        <v>0</v>
      </c>
    </row>
    <row r="11839" spans="3:4" ht="15" x14ac:dyDescent="0.25">
      <c r="C11839" s="8" t="e">
        <f>VLOOKUP(A:A,'ITEM LIST'!A:C,3,0)</f>
        <v>#N/A</v>
      </c>
      <c r="D11839" s="6">
        <f t="shared" si="185"/>
        <v>0</v>
      </c>
    </row>
    <row r="11840" spans="3:4" ht="15" x14ac:dyDescent="0.25">
      <c r="C11840" s="8" t="e">
        <f>VLOOKUP(A:A,'ITEM LIST'!A:C,3,0)</f>
        <v>#N/A</v>
      </c>
      <c r="D11840" s="6">
        <f t="shared" si="185"/>
        <v>0</v>
      </c>
    </row>
    <row r="11841" spans="3:4" ht="15" x14ac:dyDescent="0.25">
      <c r="C11841" s="8" t="e">
        <f>VLOOKUP(A:A,'ITEM LIST'!A:C,3,0)</f>
        <v>#N/A</v>
      </c>
      <c r="D11841" s="6">
        <f t="shared" si="185"/>
        <v>0</v>
      </c>
    </row>
    <row r="11842" spans="3:4" ht="15" x14ac:dyDescent="0.25">
      <c r="C11842" s="8" t="e">
        <f>VLOOKUP(A:A,'ITEM LIST'!A:C,3,0)</f>
        <v>#N/A</v>
      </c>
      <c r="D11842" s="6">
        <f t="shared" si="185"/>
        <v>0</v>
      </c>
    </row>
    <row r="11843" spans="3:4" ht="15" x14ac:dyDescent="0.25">
      <c r="C11843" s="8" t="e">
        <f>VLOOKUP(A:A,'ITEM LIST'!A:C,3,0)</f>
        <v>#N/A</v>
      </c>
      <c r="D11843" s="6">
        <f t="shared" si="185"/>
        <v>0</v>
      </c>
    </row>
    <row r="11844" spans="3:4" ht="15" x14ac:dyDescent="0.25">
      <c r="C11844" s="8" t="e">
        <f>VLOOKUP(A:A,'ITEM LIST'!A:C,3,0)</f>
        <v>#N/A</v>
      </c>
      <c r="D11844" s="6">
        <f t="shared" si="185"/>
        <v>0</v>
      </c>
    </row>
    <row r="11845" spans="3:4" ht="15" x14ac:dyDescent="0.25">
      <c r="C11845" s="8" t="e">
        <f>VLOOKUP(A:A,'ITEM LIST'!A:C,3,0)</f>
        <v>#N/A</v>
      </c>
      <c r="D11845" s="6">
        <f t="shared" si="185"/>
        <v>0</v>
      </c>
    </row>
    <row r="11846" spans="3:4" ht="15" x14ac:dyDescent="0.25">
      <c r="C11846" s="8" t="e">
        <f>VLOOKUP(A:A,'ITEM LIST'!A:C,3,0)</f>
        <v>#N/A</v>
      </c>
      <c r="D11846" s="6">
        <f t="shared" ref="D11846:D11909" si="186">B11846</f>
        <v>0</v>
      </c>
    </row>
    <row r="11847" spans="3:4" ht="15" x14ac:dyDescent="0.25">
      <c r="C11847" s="8" t="e">
        <f>VLOOKUP(A:A,'ITEM LIST'!A:C,3,0)</f>
        <v>#N/A</v>
      </c>
      <c r="D11847" s="6">
        <f t="shared" si="186"/>
        <v>0</v>
      </c>
    </row>
    <row r="11848" spans="3:4" ht="15" x14ac:dyDescent="0.25">
      <c r="C11848" s="8" t="e">
        <f>VLOOKUP(A:A,'ITEM LIST'!A:C,3,0)</f>
        <v>#N/A</v>
      </c>
      <c r="D11848" s="6">
        <f t="shared" si="186"/>
        <v>0</v>
      </c>
    </row>
    <row r="11849" spans="3:4" ht="15" x14ac:dyDescent="0.25">
      <c r="C11849" s="8" t="e">
        <f>VLOOKUP(A:A,'ITEM LIST'!A:C,3,0)</f>
        <v>#N/A</v>
      </c>
      <c r="D11849" s="6">
        <f t="shared" si="186"/>
        <v>0</v>
      </c>
    </row>
    <row r="11850" spans="3:4" ht="15" x14ac:dyDescent="0.25">
      <c r="C11850" s="8" t="e">
        <f>VLOOKUP(A:A,'ITEM LIST'!A:C,3,0)</f>
        <v>#N/A</v>
      </c>
      <c r="D11850" s="6">
        <f t="shared" si="186"/>
        <v>0</v>
      </c>
    </row>
    <row r="11851" spans="3:4" ht="15" x14ac:dyDescent="0.25">
      <c r="C11851" s="8" t="e">
        <f>VLOOKUP(A:A,'ITEM LIST'!A:C,3,0)</f>
        <v>#N/A</v>
      </c>
      <c r="D11851" s="6">
        <f t="shared" si="186"/>
        <v>0</v>
      </c>
    </row>
    <row r="11852" spans="3:4" ht="15" x14ac:dyDescent="0.25">
      <c r="C11852" s="8" t="e">
        <f>VLOOKUP(A:A,'ITEM LIST'!A:C,3,0)</f>
        <v>#N/A</v>
      </c>
      <c r="D11852" s="6">
        <f t="shared" si="186"/>
        <v>0</v>
      </c>
    </row>
    <row r="11853" spans="3:4" ht="15" x14ac:dyDescent="0.25">
      <c r="C11853" s="8" t="e">
        <f>VLOOKUP(A:A,'ITEM LIST'!A:C,3,0)</f>
        <v>#N/A</v>
      </c>
      <c r="D11853" s="6">
        <f t="shared" si="186"/>
        <v>0</v>
      </c>
    </row>
    <row r="11854" spans="3:4" ht="15" x14ac:dyDescent="0.25">
      <c r="C11854" s="8" t="e">
        <f>VLOOKUP(A:A,'ITEM LIST'!A:C,3,0)</f>
        <v>#N/A</v>
      </c>
      <c r="D11854" s="6">
        <f t="shared" si="186"/>
        <v>0</v>
      </c>
    </row>
    <row r="11855" spans="3:4" ht="15" x14ac:dyDescent="0.25">
      <c r="C11855" s="8" t="e">
        <f>VLOOKUP(A:A,'ITEM LIST'!A:C,3,0)</f>
        <v>#N/A</v>
      </c>
      <c r="D11855" s="6">
        <f t="shared" si="186"/>
        <v>0</v>
      </c>
    </row>
    <row r="11856" spans="3:4" ht="15" x14ac:dyDescent="0.25">
      <c r="C11856" s="8" t="e">
        <f>VLOOKUP(A:A,'ITEM LIST'!A:C,3,0)</f>
        <v>#N/A</v>
      </c>
      <c r="D11856" s="6">
        <f t="shared" si="186"/>
        <v>0</v>
      </c>
    </row>
    <row r="11857" spans="3:4" ht="15" x14ac:dyDescent="0.25">
      <c r="C11857" s="8" t="e">
        <f>VLOOKUP(A:A,'ITEM LIST'!A:C,3,0)</f>
        <v>#N/A</v>
      </c>
      <c r="D11857" s="6">
        <f t="shared" si="186"/>
        <v>0</v>
      </c>
    </row>
    <row r="11858" spans="3:4" ht="15" x14ac:dyDescent="0.25">
      <c r="C11858" s="8" t="e">
        <f>VLOOKUP(A:A,'ITEM LIST'!A:C,3,0)</f>
        <v>#N/A</v>
      </c>
      <c r="D11858" s="6">
        <f t="shared" si="186"/>
        <v>0</v>
      </c>
    </row>
    <row r="11859" spans="3:4" ht="15" x14ac:dyDescent="0.25">
      <c r="C11859" s="8" t="e">
        <f>VLOOKUP(A:A,'ITEM LIST'!A:C,3,0)</f>
        <v>#N/A</v>
      </c>
      <c r="D11859" s="6">
        <f t="shared" si="186"/>
        <v>0</v>
      </c>
    </row>
    <row r="11860" spans="3:4" ht="15" x14ac:dyDescent="0.25">
      <c r="C11860" s="8" t="e">
        <f>VLOOKUP(A:A,'ITEM LIST'!A:C,3,0)</f>
        <v>#N/A</v>
      </c>
      <c r="D11860" s="6">
        <f t="shared" si="186"/>
        <v>0</v>
      </c>
    </row>
    <row r="11861" spans="3:4" ht="15" x14ac:dyDescent="0.25">
      <c r="C11861" s="8" t="e">
        <f>VLOOKUP(A:A,'ITEM LIST'!A:C,3,0)</f>
        <v>#N/A</v>
      </c>
      <c r="D11861" s="6">
        <f t="shared" si="186"/>
        <v>0</v>
      </c>
    </row>
    <row r="11862" spans="3:4" ht="15" x14ac:dyDescent="0.25">
      <c r="C11862" s="8" t="e">
        <f>VLOOKUP(A:A,'ITEM LIST'!A:C,3,0)</f>
        <v>#N/A</v>
      </c>
      <c r="D11862" s="6">
        <f t="shared" si="186"/>
        <v>0</v>
      </c>
    </row>
    <row r="11863" spans="3:4" ht="15" x14ac:dyDescent="0.25">
      <c r="C11863" s="8" t="e">
        <f>VLOOKUP(A:A,'ITEM LIST'!A:C,3,0)</f>
        <v>#N/A</v>
      </c>
      <c r="D11863" s="6">
        <f t="shared" si="186"/>
        <v>0</v>
      </c>
    </row>
    <row r="11864" spans="3:4" ht="15" x14ac:dyDescent="0.25">
      <c r="C11864" s="8" t="e">
        <f>VLOOKUP(A:A,'ITEM LIST'!A:C,3,0)</f>
        <v>#N/A</v>
      </c>
      <c r="D11864" s="6">
        <f t="shared" si="186"/>
        <v>0</v>
      </c>
    </row>
    <row r="11865" spans="3:4" ht="15" x14ac:dyDescent="0.25">
      <c r="C11865" s="8" t="e">
        <f>VLOOKUP(A:A,'ITEM LIST'!A:C,3,0)</f>
        <v>#N/A</v>
      </c>
      <c r="D11865" s="6">
        <f t="shared" si="186"/>
        <v>0</v>
      </c>
    </row>
    <row r="11866" spans="3:4" ht="15" x14ac:dyDescent="0.25">
      <c r="C11866" s="8" t="e">
        <f>VLOOKUP(A:A,'ITEM LIST'!A:C,3,0)</f>
        <v>#N/A</v>
      </c>
      <c r="D11866" s="6">
        <f t="shared" si="186"/>
        <v>0</v>
      </c>
    </row>
    <row r="11867" spans="3:4" ht="15" x14ac:dyDescent="0.25">
      <c r="C11867" s="8" t="e">
        <f>VLOOKUP(A:A,'ITEM LIST'!A:C,3,0)</f>
        <v>#N/A</v>
      </c>
      <c r="D11867" s="6">
        <f t="shared" si="186"/>
        <v>0</v>
      </c>
    </row>
    <row r="11868" spans="3:4" ht="15" x14ac:dyDescent="0.25">
      <c r="C11868" s="8" t="e">
        <f>VLOOKUP(A:A,'ITEM LIST'!A:C,3,0)</f>
        <v>#N/A</v>
      </c>
      <c r="D11868" s="6">
        <f t="shared" si="186"/>
        <v>0</v>
      </c>
    </row>
    <row r="11869" spans="3:4" ht="15" x14ac:dyDescent="0.25">
      <c r="C11869" s="8" t="e">
        <f>VLOOKUP(A:A,'ITEM LIST'!A:C,3,0)</f>
        <v>#N/A</v>
      </c>
      <c r="D11869" s="6">
        <f t="shared" si="186"/>
        <v>0</v>
      </c>
    </row>
    <row r="11870" spans="3:4" ht="15" x14ac:dyDescent="0.25">
      <c r="C11870" s="8" t="e">
        <f>VLOOKUP(A:A,'ITEM LIST'!A:C,3,0)</f>
        <v>#N/A</v>
      </c>
      <c r="D11870" s="6">
        <f t="shared" si="186"/>
        <v>0</v>
      </c>
    </row>
    <row r="11871" spans="3:4" ht="15" x14ac:dyDescent="0.25">
      <c r="C11871" s="8" t="e">
        <f>VLOOKUP(A:A,'ITEM LIST'!A:C,3,0)</f>
        <v>#N/A</v>
      </c>
      <c r="D11871" s="6">
        <f t="shared" si="186"/>
        <v>0</v>
      </c>
    </row>
    <row r="11872" spans="3:4" ht="15" x14ac:dyDescent="0.25">
      <c r="C11872" s="8" t="e">
        <f>VLOOKUP(A:A,'ITEM LIST'!A:C,3,0)</f>
        <v>#N/A</v>
      </c>
      <c r="D11872" s="6">
        <f t="shared" si="186"/>
        <v>0</v>
      </c>
    </row>
    <row r="11873" spans="3:4" ht="15" x14ac:dyDescent="0.25">
      <c r="C11873" s="8" t="e">
        <f>VLOOKUP(A:A,'ITEM LIST'!A:C,3,0)</f>
        <v>#N/A</v>
      </c>
      <c r="D11873" s="6">
        <f t="shared" si="186"/>
        <v>0</v>
      </c>
    </row>
    <row r="11874" spans="3:4" ht="15" x14ac:dyDescent="0.25">
      <c r="C11874" s="8" t="e">
        <f>VLOOKUP(A:A,'ITEM LIST'!A:C,3,0)</f>
        <v>#N/A</v>
      </c>
      <c r="D11874" s="6">
        <f t="shared" si="186"/>
        <v>0</v>
      </c>
    </row>
    <row r="11875" spans="3:4" ht="15" x14ac:dyDescent="0.25">
      <c r="C11875" s="8" t="e">
        <f>VLOOKUP(A:A,'ITEM LIST'!A:C,3,0)</f>
        <v>#N/A</v>
      </c>
      <c r="D11875" s="6">
        <f t="shared" si="186"/>
        <v>0</v>
      </c>
    </row>
    <row r="11876" spans="3:4" ht="15" x14ac:dyDescent="0.25">
      <c r="C11876" s="8" t="e">
        <f>VLOOKUP(A:A,'ITEM LIST'!A:C,3,0)</f>
        <v>#N/A</v>
      </c>
      <c r="D11876" s="6">
        <f t="shared" si="186"/>
        <v>0</v>
      </c>
    </row>
    <row r="11877" spans="3:4" ht="15" x14ac:dyDescent="0.25">
      <c r="C11877" s="8" t="e">
        <f>VLOOKUP(A:A,'ITEM LIST'!A:C,3,0)</f>
        <v>#N/A</v>
      </c>
      <c r="D11877" s="6">
        <f t="shared" si="186"/>
        <v>0</v>
      </c>
    </row>
    <row r="11878" spans="3:4" ht="15" x14ac:dyDescent="0.25">
      <c r="C11878" s="8" t="e">
        <f>VLOOKUP(A:A,'ITEM LIST'!A:C,3,0)</f>
        <v>#N/A</v>
      </c>
      <c r="D11878" s="6">
        <f t="shared" si="186"/>
        <v>0</v>
      </c>
    </row>
    <row r="11879" spans="3:4" ht="15" x14ac:dyDescent="0.25">
      <c r="C11879" s="8" t="e">
        <f>VLOOKUP(A:A,'ITEM LIST'!A:C,3,0)</f>
        <v>#N/A</v>
      </c>
      <c r="D11879" s="6">
        <f t="shared" si="186"/>
        <v>0</v>
      </c>
    </row>
    <row r="11880" spans="3:4" ht="15" x14ac:dyDescent="0.25">
      <c r="C11880" s="8" t="e">
        <f>VLOOKUP(A:A,'ITEM LIST'!A:C,3,0)</f>
        <v>#N/A</v>
      </c>
      <c r="D11880" s="6">
        <f t="shared" si="186"/>
        <v>0</v>
      </c>
    </row>
    <row r="11881" spans="3:4" ht="15" x14ac:dyDescent="0.25">
      <c r="C11881" s="8" t="e">
        <f>VLOOKUP(A:A,'ITEM LIST'!A:C,3,0)</f>
        <v>#N/A</v>
      </c>
      <c r="D11881" s="6">
        <f t="shared" si="186"/>
        <v>0</v>
      </c>
    </row>
    <row r="11882" spans="3:4" ht="15" x14ac:dyDescent="0.25">
      <c r="C11882" s="8" t="e">
        <f>VLOOKUP(A:A,'ITEM LIST'!A:C,3,0)</f>
        <v>#N/A</v>
      </c>
      <c r="D11882" s="6">
        <f t="shared" si="186"/>
        <v>0</v>
      </c>
    </row>
    <row r="11883" spans="3:4" ht="15" x14ac:dyDescent="0.25">
      <c r="C11883" s="8" t="e">
        <f>VLOOKUP(A:A,'ITEM LIST'!A:C,3,0)</f>
        <v>#N/A</v>
      </c>
      <c r="D11883" s="6">
        <f t="shared" si="186"/>
        <v>0</v>
      </c>
    </row>
    <row r="11884" spans="3:4" ht="15" x14ac:dyDescent="0.25">
      <c r="C11884" s="8" t="e">
        <f>VLOOKUP(A:A,'ITEM LIST'!A:C,3,0)</f>
        <v>#N/A</v>
      </c>
      <c r="D11884" s="6">
        <f t="shared" si="186"/>
        <v>0</v>
      </c>
    </row>
    <row r="11885" spans="3:4" ht="15" x14ac:dyDescent="0.25">
      <c r="C11885" s="8" t="e">
        <f>VLOOKUP(A:A,'ITEM LIST'!A:C,3,0)</f>
        <v>#N/A</v>
      </c>
      <c r="D11885" s="6">
        <f t="shared" si="186"/>
        <v>0</v>
      </c>
    </row>
    <row r="11886" spans="3:4" ht="15" x14ac:dyDescent="0.25">
      <c r="C11886" s="8" t="e">
        <f>VLOOKUP(A:A,'ITEM LIST'!A:C,3,0)</f>
        <v>#N/A</v>
      </c>
      <c r="D11886" s="6">
        <f t="shared" si="186"/>
        <v>0</v>
      </c>
    </row>
    <row r="11887" spans="3:4" ht="15" x14ac:dyDescent="0.25">
      <c r="C11887" s="8" t="e">
        <f>VLOOKUP(A:A,'ITEM LIST'!A:C,3,0)</f>
        <v>#N/A</v>
      </c>
      <c r="D11887" s="6">
        <f t="shared" si="186"/>
        <v>0</v>
      </c>
    </row>
    <row r="11888" spans="3:4" ht="15" x14ac:dyDescent="0.25">
      <c r="C11888" s="8" t="e">
        <f>VLOOKUP(A:A,'ITEM LIST'!A:C,3,0)</f>
        <v>#N/A</v>
      </c>
      <c r="D11888" s="6">
        <f t="shared" si="186"/>
        <v>0</v>
      </c>
    </row>
    <row r="11889" spans="3:4" ht="15" x14ac:dyDescent="0.25">
      <c r="C11889" s="8" t="e">
        <f>VLOOKUP(A:A,'ITEM LIST'!A:C,3,0)</f>
        <v>#N/A</v>
      </c>
      <c r="D11889" s="6">
        <f t="shared" si="186"/>
        <v>0</v>
      </c>
    </row>
    <row r="11890" spans="3:4" ht="15" x14ac:dyDescent="0.25">
      <c r="C11890" s="8" t="e">
        <f>VLOOKUP(A:A,'ITEM LIST'!A:C,3,0)</f>
        <v>#N/A</v>
      </c>
      <c r="D11890" s="6">
        <f t="shared" si="186"/>
        <v>0</v>
      </c>
    </row>
    <row r="11891" spans="3:4" ht="15" x14ac:dyDescent="0.25">
      <c r="C11891" s="8" t="e">
        <f>VLOOKUP(A:A,'ITEM LIST'!A:C,3,0)</f>
        <v>#N/A</v>
      </c>
      <c r="D11891" s="6">
        <f t="shared" si="186"/>
        <v>0</v>
      </c>
    </row>
    <row r="11892" spans="3:4" ht="15" x14ac:dyDescent="0.25">
      <c r="C11892" s="8" t="e">
        <f>VLOOKUP(A:A,'ITEM LIST'!A:C,3,0)</f>
        <v>#N/A</v>
      </c>
      <c r="D11892" s="6">
        <f t="shared" si="186"/>
        <v>0</v>
      </c>
    </row>
    <row r="11893" spans="3:4" ht="15" x14ac:dyDescent="0.25">
      <c r="C11893" s="8" t="e">
        <f>VLOOKUP(A:A,'ITEM LIST'!A:C,3,0)</f>
        <v>#N/A</v>
      </c>
      <c r="D11893" s="6">
        <f t="shared" si="186"/>
        <v>0</v>
      </c>
    </row>
    <row r="11894" spans="3:4" ht="15" x14ac:dyDescent="0.25">
      <c r="C11894" s="8" t="e">
        <f>VLOOKUP(A:A,'ITEM LIST'!A:C,3,0)</f>
        <v>#N/A</v>
      </c>
      <c r="D11894" s="6">
        <f t="shared" si="186"/>
        <v>0</v>
      </c>
    </row>
    <row r="11895" spans="3:4" ht="15" x14ac:dyDescent="0.25">
      <c r="C11895" s="8" t="e">
        <f>VLOOKUP(A:A,'ITEM LIST'!A:C,3,0)</f>
        <v>#N/A</v>
      </c>
      <c r="D11895" s="6">
        <f t="shared" si="186"/>
        <v>0</v>
      </c>
    </row>
    <row r="11896" spans="3:4" ht="15" x14ac:dyDescent="0.25">
      <c r="C11896" s="8" t="e">
        <f>VLOOKUP(A:A,'ITEM LIST'!A:C,3,0)</f>
        <v>#N/A</v>
      </c>
      <c r="D11896" s="6">
        <f t="shared" si="186"/>
        <v>0</v>
      </c>
    </row>
    <row r="11897" spans="3:4" ht="15" x14ac:dyDescent="0.25">
      <c r="C11897" s="8" t="e">
        <f>VLOOKUP(A:A,'ITEM LIST'!A:C,3,0)</f>
        <v>#N/A</v>
      </c>
      <c r="D11897" s="6">
        <f t="shared" si="186"/>
        <v>0</v>
      </c>
    </row>
    <row r="11898" spans="3:4" ht="15" x14ac:dyDescent="0.25">
      <c r="C11898" s="8" t="e">
        <f>VLOOKUP(A:A,'ITEM LIST'!A:C,3,0)</f>
        <v>#N/A</v>
      </c>
      <c r="D11898" s="6">
        <f t="shared" si="186"/>
        <v>0</v>
      </c>
    </row>
    <row r="11899" spans="3:4" ht="15" x14ac:dyDescent="0.25">
      <c r="C11899" s="8" t="e">
        <f>VLOOKUP(A:A,'ITEM LIST'!A:C,3,0)</f>
        <v>#N/A</v>
      </c>
      <c r="D11899" s="6">
        <f t="shared" si="186"/>
        <v>0</v>
      </c>
    </row>
    <row r="11900" spans="3:4" ht="15" x14ac:dyDescent="0.25">
      <c r="C11900" s="8" t="e">
        <f>VLOOKUP(A:A,'ITEM LIST'!A:C,3,0)</f>
        <v>#N/A</v>
      </c>
      <c r="D11900" s="6">
        <f t="shared" si="186"/>
        <v>0</v>
      </c>
    </row>
    <row r="11901" spans="3:4" ht="15" x14ac:dyDescent="0.25">
      <c r="C11901" s="8" t="e">
        <f>VLOOKUP(A:A,'ITEM LIST'!A:C,3,0)</f>
        <v>#N/A</v>
      </c>
      <c r="D11901" s="6">
        <f t="shared" si="186"/>
        <v>0</v>
      </c>
    </row>
    <row r="11902" spans="3:4" ht="15" x14ac:dyDescent="0.25">
      <c r="C11902" s="8" t="e">
        <f>VLOOKUP(A:A,'ITEM LIST'!A:C,3,0)</f>
        <v>#N/A</v>
      </c>
      <c r="D11902" s="6">
        <f t="shared" si="186"/>
        <v>0</v>
      </c>
    </row>
    <row r="11903" spans="3:4" ht="15" x14ac:dyDescent="0.25">
      <c r="C11903" s="8" t="e">
        <f>VLOOKUP(A:A,'ITEM LIST'!A:C,3,0)</f>
        <v>#N/A</v>
      </c>
      <c r="D11903" s="6">
        <f t="shared" si="186"/>
        <v>0</v>
      </c>
    </row>
    <row r="11904" spans="3:4" ht="15" x14ac:dyDescent="0.25">
      <c r="C11904" s="8" t="e">
        <f>VLOOKUP(A:A,'ITEM LIST'!A:C,3,0)</f>
        <v>#N/A</v>
      </c>
      <c r="D11904" s="6">
        <f t="shared" si="186"/>
        <v>0</v>
      </c>
    </row>
    <row r="11905" spans="3:4" ht="15" x14ac:dyDescent="0.25">
      <c r="C11905" s="8" t="e">
        <f>VLOOKUP(A:A,'ITEM LIST'!A:C,3,0)</f>
        <v>#N/A</v>
      </c>
      <c r="D11905" s="6">
        <f t="shared" si="186"/>
        <v>0</v>
      </c>
    </row>
    <row r="11906" spans="3:4" ht="15" x14ac:dyDescent="0.25">
      <c r="C11906" s="8" t="e">
        <f>VLOOKUP(A:A,'ITEM LIST'!A:C,3,0)</f>
        <v>#N/A</v>
      </c>
      <c r="D11906" s="6">
        <f t="shared" si="186"/>
        <v>0</v>
      </c>
    </row>
    <row r="11907" spans="3:4" ht="15" x14ac:dyDescent="0.25">
      <c r="C11907" s="8" t="e">
        <f>VLOOKUP(A:A,'ITEM LIST'!A:C,3,0)</f>
        <v>#N/A</v>
      </c>
      <c r="D11907" s="6">
        <f t="shared" si="186"/>
        <v>0</v>
      </c>
    </row>
    <row r="11908" spans="3:4" ht="15" x14ac:dyDescent="0.25">
      <c r="C11908" s="8" t="e">
        <f>VLOOKUP(A:A,'ITEM LIST'!A:C,3,0)</f>
        <v>#N/A</v>
      </c>
      <c r="D11908" s="6">
        <f t="shared" si="186"/>
        <v>0</v>
      </c>
    </row>
    <row r="11909" spans="3:4" ht="15" x14ac:dyDescent="0.25">
      <c r="C11909" s="8" t="e">
        <f>VLOOKUP(A:A,'ITEM LIST'!A:C,3,0)</f>
        <v>#N/A</v>
      </c>
      <c r="D11909" s="6">
        <f t="shared" si="186"/>
        <v>0</v>
      </c>
    </row>
    <row r="11910" spans="3:4" ht="15" x14ac:dyDescent="0.25">
      <c r="C11910" s="8" t="e">
        <f>VLOOKUP(A:A,'ITEM LIST'!A:C,3,0)</f>
        <v>#N/A</v>
      </c>
      <c r="D11910" s="6">
        <f t="shared" ref="D11910:D11973" si="187">B11910</f>
        <v>0</v>
      </c>
    </row>
    <row r="11911" spans="3:4" ht="15" x14ac:dyDescent="0.25">
      <c r="C11911" s="8" t="e">
        <f>VLOOKUP(A:A,'ITEM LIST'!A:C,3,0)</f>
        <v>#N/A</v>
      </c>
      <c r="D11911" s="6">
        <f t="shared" si="187"/>
        <v>0</v>
      </c>
    </row>
    <row r="11912" spans="3:4" ht="15" x14ac:dyDescent="0.25">
      <c r="C11912" s="8" t="e">
        <f>VLOOKUP(A:A,'ITEM LIST'!A:C,3,0)</f>
        <v>#N/A</v>
      </c>
      <c r="D11912" s="6">
        <f t="shared" si="187"/>
        <v>0</v>
      </c>
    </row>
    <row r="11913" spans="3:4" ht="15" x14ac:dyDescent="0.25">
      <c r="C11913" s="8" t="e">
        <f>VLOOKUP(A:A,'ITEM LIST'!A:C,3,0)</f>
        <v>#N/A</v>
      </c>
      <c r="D11913" s="6">
        <f t="shared" si="187"/>
        <v>0</v>
      </c>
    </row>
    <row r="11914" spans="3:4" ht="15" x14ac:dyDescent="0.25">
      <c r="C11914" s="8" t="e">
        <f>VLOOKUP(A:A,'ITEM LIST'!A:C,3,0)</f>
        <v>#N/A</v>
      </c>
      <c r="D11914" s="6">
        <f t="shared" si="187"/>
        <v>0</v>
      </c>
    </row>
    <row r="11915" spans="3:4" ht="15" x14ac:dyDescent="0.25">
      <c r="C11915" s="8" t="e">
        <f>VLOOKUP(A:A,'ITEM LIST'!A:C,3,0)</f>
        <v>#N/A</v>
      </c>
      <c r="D11915" s="6">
        <f t="shared" si="187"/>
        <v>0</v>
      </c>
    </row>
    <row r="11916" spans="3:4" ht="15" x14ac:dyDescent="0.25">
      <c r="C11916" s="8" t="e">
        <f>VLOOKUP(A:A,'ITEM LIST'!A:C,3,0)</f>
        <v>#N/A</v>
      </c>
      <c r="D11916" s="6">
        <f t="shared" si="187"/>
        <v>0</v>
      </c>
    </row>
    <row r="11917" spans="3:4" ht="15" x14ac:dyDescent="0.25">
      <c r="C11917" s="8" t="e">
        <f>VLOOKUP(A:A,'ITEM LIST'!A:C,3,0)</f>
        <v>#N/A</v>
      </c>
      <c r="D11917" s="6">
        <f t="shared" si="187"/>
        <v>0</v>
      </c>
    </row>
    <row r="11918" spans="3:4" ht="15" x14ac:dyDescent="0.25">
      <c r="C11918" s="8" t="e">
        <f>VLOOKUP(A:A,'ITEM LIST'!A:C,3,0)</f>
        <v>#N/A</v>
      </c>
      <c r="D11918" s="6">
        <f t="shared" si="187"/>
        <v>0</v>
      </c>
    </row>
    <row r="11919" spans="3:4" ht="15" x14ac:dyDescent="0.25">
      <c r="C11919" s="8" t="e">
        <f>VLOOKUP(A:A,'ITEM LIST'!A:C,3,0)</f>
        <v>#N/A</v>
      </c>
      <c r="D11919" s="6">
        <f t="shared" si="187"/>
        <v>0</v>
      </c>
    </row>
    <row r="11920" spans="3:4" ht="15" x14ac:dyDescent="0.25">
      <c r="C11920" s="8" t="e">
        <f>VLOOKUP(A:A,'ITEM LIST'!A:C,3,0)</f>
        <v>#N/A</v>
      </c>
      <c r="D11920" s="6">
        <f t="shared" si="187"/>
        <v>0</v>
      </c>
    </row>
    <row r="11921" spans="3:4" ht="15" x14ac:dyDescent="0.25">
      <c r="C11921" s="8" t="e">
        <f>VLOOKUP(A:A,'ITEM LIST'!A:C,3,0)</f>
        <v>#N/A</v>
      </c>
      <c r="D11921" s="6">
        <f t="shared" si="187"/>
        <v>0</v>
      </c>
    </row>
    <row r="11922" spans="3:4" ht="15" x14ac:dyDescent="0.25">
      <c r="C11922" s="8" t="e">
        <f>VLOOKUP(A:A,'ITEM LIST'!A:C,3,0)</f>
        <v>#N/A</v>
      </c>
      <c r="D11922" s="6">
        <f t="shared" si="187"/>
        <v>0</v>
      </c>
    </row>
    <row r="11923" spans="3:4" ht="15" x14ac:dyDescent="0.25">
      <c r="C11923" s="8" t="e">
        <f>VLOOKUP(A:A,'ITEM LIST'!A:C,3,0)</f>
        <v>#N/A</v>
      </c>
      <c r="D11923" s="6">
        <f t="shared" si="187"/>
        <v>0</v>
      </c>
    </row>
    <row r="11924" spans="3:4" ht="15" x14ac:dyDescent="0.25">
      <c r="C11924" s="8" t="e">
        <f>VLOOKUP(A:A,'ITEM LIST'!A:C,3,0)</f>
        <v>#N/A</v>
      </c>
      <c r="D11924" s="6">
        <f t="shared" si="187"/>
        <v>0</v>
      </c>
    </row>
    <row r="11925" spans="3:4" ht="15" x14ac:dyDescent="0.25">
      <c r="C11925" s="8" t="e">
        <f>VLOOKUP(A:A,'ITEM LIST'!A:C,3,0)</f>
        <v>#N/A</v>
      </c>
      <c r="D11925" s="6">
        <f t="shared" si="187"/>
        <v>0</v>
      </c>
    </row>
    <row r="11926" spans="3:4" ht="15" x14ac:dyDescent="0.25">
      <c r="C11926" s="8" t="e">
        <f>VLOOKUP(A:A,'ITEM LIST'!A:C,3,0)</f>
        <v>#N/A</v>
      </c>
      <c r="D11926" s="6">
        <f t="shared" si="187"/>
        <v>0</v>
      </c>
    </row>
    <row r="11927" spans="3:4" ht="15" x14ac:dyDescent="0.25">
      <c r="C11927" s="8" t="e">
        <f>VLOOKUP(A:A,'ITEM LIST'!A:C,3,0)</f>
        <v>#N/A</v>
      </c>
      <c r="D11927" s="6">
        <f t="shared" si="187"/>
        <v>0</v>
      </c>
    </row>
    <row r="11928" spans="3:4" ht="15" x14ac:dyDescent="0.25">
      <c r="C11928" s="8" t="e">
        <f>VLOOKUP(A:A,'ITEM LIST'!A:C,3,0)</f>
        <v>#N/A</v>
      </c>
      <c r="D11928" s="6">
        <f t="shared" si="187"/>
        <v>0</v>
      </c>
    </row>
    <row r="11929" spans="3:4" ht="15" x14ac:dyDescent="0.25">
      <c r="C11929" s="8" t="e">
        <f>VLOOKUP(A:A,'ITEM LIST'!A:C,3,0)</f>
        <v>#N/A</v>
      </c>
      <c r="D11929" s="6">
        <f t="shared" si="187"/>
        <v>0</v>
      </c>
    </row>
    <row r="11930" spans="3:4" ht="15" x14ac:dyDescent="0.25">
      <c r="C11930" s="8" t="e">
        <f>VLOOKUP(A:A,'ITEM LIST'!A:C,3,0)</f>
        <v>#N/A</v>
      </c>
      <c r="D11930" s="6">
        <f t="shared" si="187"/>
        <v>0</v>
      </c>
    </row>
    <row r="11931" spans="3:4" ht="15" x14ac:dyDescent="0.25">
      <c r="C11931" s="8" t="e">
        <f>VLOOKUP(A:A,'ITEM LIST'!A:C,3,0)</f>
        <v>#N/A</v>
      </c>
      <c r="D11931" s="6">
        <f t="shared" si="187"/>
        <v>0</v>
      </c>
    </row>
    <row r="11932" spans="3:4" ht="15" x14ac:dyDescent="0.25">
      <c r="C11932" s="8" t="e">
        <f>VLOOKUP(A:A,'ITEM LIST'!A:C,3,0)</f>
        <v>#N/A</v>
      </c>
      <c r="D11932" s="6">
        <f t="shared" si="187"/>
        <v>0</v>
      </c>
    </row>
    <row r="11933" spans="3:4" ht="15" x14ac:dyDescent="0.25">
      <c r="C11933" s="8" t="e">
        <f>VLOOKUP(A:A,'ITEM LIST'!A:C,3,0)</f>
        <v>#N/A</v>
      </c>
      <c r="D11933" s="6">
        <f t="shared" si="187"/>
        <v>0</v>
      </c>
    </row>
    <row r="11934" spans="3:4" ht="15" x14ac:dyDescent="0.25">
      <c r="C11934" s="8" t="e">
        <f>VLOOKUP(A:A,'ITEM LIST'!A:C,3,0)</f>
        <v>#N/A</v>
      </c>
      <c r="D11934" s="6">
        <f t="shared" si="187"/>
        <v>0</v>
      </c>
    </row>
    <row r="11935" spans="3:4" ht="15" x14ac:dyDescent="0.25">
      <c r="C11935" s="8" t="e">
        <f>VLOOKUP(A:A,'ITEM LIST'!A:C,3,0)</f>
        <v>#N/A</v>
      </c>
      <c r="D11935" s="6">
        <f t="shared" si="187"/>
        <v>0</v>
      </c>
    </row>
    <row r="11936" spans="3:4" ht="15" x14ac:dyDescent="0.25">
      <c r="C11936" s="8" t="e">
        <f>VLOOKUP(A:A,'ITEM LIST'!A:C,3,0)</f>
        <v>#N/A</v>
      </c>
      <c r="D11936" s="6">
        <f t="shared" si="187"/>
        <v>0</v>
      </c>
    </row>
    <row r="11937" spans="3:4" ht="15" x14ac:dyDescent="0.25">
      <c r="C11937" s="8" t="e">
        <f>VLOOKUP(A:A,'ITEM LIST'!A:C,3,0)</f>
        <v>#N/A</v>
      </c>
      <c r="D11937" s="6">
        <f t="shared" si="187"/>
        <v>0</v>
      </c>
    </row>
    <row r="11938" spans="3:4" ht="15" x14ac:dyDescent="0.25">
      <c r="C11938" s="8" t="e">
        <f>VLOOKUP(A:A,'ITEM LIST'!A:C,3,0)</f>
        <v>#N/A</v>
      </c>
      <c r="D11938" s="6">
        <f t="shared" si="187"/>
        <v>0</v>
      </c>
    </row>
    <row r="11939" spans="3:4" ht="15" x14ac:dyDescent="0.25">
      <c r="C11939" s="8" t="e">
        <f>VLOOKUP(A:A,'ITEM LIST'!A:C,3,0)</f>
        <v>#N/A</v>
      </c>
      <c r="D11939" s="6">
        <f t="shared" si="187"/>
        <v>0</v>
      </c>
    </row>
    <row r="11940" spans="3:4" ht="15" x14ac:dyDescent="0.25">
      <c r="C11940" s="8" t="e">
        <f>VLOOKUP(A:A,'ITEM LIST'!A:C,3,0)</f>
        <v>#N/A</v>
      </c>
      <c r="D11940" s="6">
        <f t="shared" si="187"/>
        <v>0</v>
      </c>
    </row>
    <row r="11941" spans="3:4" ht="15" x14ac:dyDescent="0.25">
      <c r="C11941" s="8" t="e">
        <f>VLOOKUP(A:A,'ITEM LIST'!A:C,3,0)</f>
        <v>#N/A</v>
      </c>
      <c r="D11941" s="6">
        <f t="shared" si="187"/>
        <v>0</v>
      </c>
    </row>
    <row r="11942" spans="3:4" ht="15" x14ac:dyDescent="0.25">
      <c r="C11942" s="8" t="e">
        <f>VLOOKUP(A:A,'ITEM LIST'!A:C,3,0)</f>
        <v>#N/A</v>
      </c>
      <c r="D11942" s="6">
        <f t="shared" si="187"/>
        <v>0</v>
      </c>
    </row>
    <row r="11943" spans="3:4" ht="15" x14ac:dyDescent="0.25">
      <c r="C11943" s="8" t="e">
        <f>VLOOKUP(A:A,'ITEM LIST'!A:C,3,0)</f>
        <v>#N/A</v>
      </c>
      <c r="D11943" s="6">
        <f t="shared" si="187"/>
        <v>0</v>
      </c>
    </row>
    <row r="11944" spans="3:4" ht="15" x14ac:dyDescent="0.25">
      <c r="C11944" s="8" t="e">
        <f>VLOOKUP(A:A,'ITEM LIST'!A:C,3,0)</f>
        <v>#N/A</v>
      </c>
      <c r="D11944" s="6">
        <f t="shared" si="187"/>
        <v>0</v>
      </c>
    </row>
    <row r="11945" spans="3:4" ht="15" x14ac:dyDescent="0.25">
      <c r="C11945" s="8" t="e">
        <f>VLOOKUP(A:A,'ITEM LIST'!A:C,3,0)</f>
        <v>#N/A</v>
      </c>
      <c r="D11945" s="6">
        <f t="shared" si="187"/>
        <v>0</v>
      </c>
    </row>
    <row r="11946" spans="3:4" ht="15" x14ac:dyDescent="0.25">
      <c r="C11946" s="8" t="e">
        <f>VLOOKUP(A:A,'ITEM LIST'!A:C,3,0)</f>
        <v>#N/A</v>
      </c>
      <c r="D11946" s="6">
        <f t="shared" si="187"/>
        <v>0</v>
      </c>
    </row>
    <row r="11947" spans="3:4" ht="15" x14ac:dyDescent="0.25">
      <c r="C11947" s="8" t="e">
        <f>VLOOKUP(A:A,'ITEM LIST'!A:C,3,0)</f>
        <v>#N/A</v>
      </c>
      <c r="D11947" s="6">
        <f t="shared" si="187"/>
        <v>0</v>
      </c>
    </row>
    <row r="11948" spans="3:4" ht="15" x14ac:dyDescent="0.25">
      <c r="C11948" s="8" t="e">
        <f>VLOOKUP(A:A,'ITEM LIST'!A:C,3,0)</f>
        <v>#N/A</v>
      </c>
      <c r="D11948" s="6">
        <f t="shared" si="187"/>
        <v>0</v>
      </c>
    </row>
    <row r="11949" spans="3:4" ht="15" x14ac:dyDescent="0.25">
      <c r="C11949" s="8" t="e">
        <f>VLOOKUP(A:A,'ITEM LIST'!A:C,3,0)</f>
        <v>#N/A</v>
      </c>
      <c r="D11949" s="6">
        <f t="shared" si="187"/>
        <v>0</v>
      </c>
    </row>
    <row r="11950" spans="3:4" ht="15" x14ac:dyDescent="0.25">
      <c r="C11950" s="8" t="e">
        <f>VLOOKUP(A:A,'ITEM LIST'!A:C,3,0)</f>
        <v>#N/A</v>
      </c>
      <c r="D11950" s="6">
        <f t="shared" si="187"/>
        <v>0</v>
      </c>
    </row>
    <row r="11951" spans="3:4" ht="15" x14ac:dyDescent="0.25">
      <c r="C11951" s="8" t="e">
        <f>VLOOKUP(A:A,'ITEM LIST'!A:C,3,0)</f>
        <v>#N/A</v>
      </c>
      <c r="D11951" s="6">
        <f t="shared" si="187"/>
        <v>0</v>
      </c>
    </row>
    <row r="11952" spans="3:4" ht="15" x14ac:dyDescent="0.25">
      <c r="C11952" s="8" t="e">
        <f>VLOOKUP(A:A,'ITEM LIST'!A:C,3,0)</f>
        <v>#N/A</v>
      </c>
      <c r="D11952" s="6">
        <f t="shared" si="187"/>
        <v>0</v>
      </c>
    </row>
    <row r="11953" spans="3:4" ht="15" x14ac:dyDescent="0.25">
      <c r="C11953" s="8" t="e">
        <f>VLOOKUP(A:A,'ITEM LIST'!A:C,3,0)</f>
        <v>#N/A</v>
      </c>
      <c r="D11953" s="6">
        <f t="shared" si="187"/>
        <v>0</v>
      </c>
    </row>
    <row r="11954" spans="3:4" ht="15" x14ac:dyDescent="0.25">
      <c r="C11954" s="8" t="e">
        <f>VLOOKUP(A:A,'ITEM LIST'!A:C,3,0)</f>
        <v>#N/A</v>
      </c>
      <c r="D11954" s="6">
        <f t="shared" si="187"/>
        <v>0</v>
      </c>
    </row>
    <row r="11955" spans="3:4" ht="15" x14ac:dyDescent="0.25">
      <c r="C11955" s="8" t="e">
        <f>VLOOKUP(A:A,'ITEM LIST'!A:C,3,0)</f>
        <v>#N/A</v>
      </c>
      <c r="D11955" s="6">
        <f t="shared" si="187"/>
        <v>0</v>
      </c>
    </row>
    <row r="11956" spans="3:4" ht="15" x14ac:dyDescent="0.25">
      <c r="C11956" s="8" t="e">
        <f>VLOOKUP(A:A,'ITEM LIST'!A:C,3,0)</f>
        <v>#N/A</v>
      </c>
      <c r="D11956" s="6">
        <f t="shared" si="187"/>
        <v>0</v>
      </c>
    </row>
    <row r="11957" spans="3:4" ht="15" x14ac:dyDescent="0.25">
      <c r="C11957" s="8" t="e">
        <f>VLOOKUP(A:A,'ITEM LIST'!A:C,3,0)</f>
        <v>#N/A</v>
      </c>
      <c r="D11957" s="6">
        <f t="shared" si="187"/>
        <v>0</v>
      </c>
    </row>
    <row r="11958" spans="3:4" ht="15" x14ac:dyDescent="0.25">
      <c r="C11958" s="8" t="e">
        <f>VLOOKUP(A:A,'ITEM LIST'!A:C,3,0)</f>
        <v>#N/A</v>
      </c>
      <c r="D11958" s="6">
        <f t="shared" si="187"/>
        <v>0</v>
      </c>
    </row>
    <row r="11959" spans="3:4" ht="15" x14ac:dyDescent="0.25">
      <c r="C11959" s="8" t="e">
        <f>VLOOKUP(A:A,'ITEM LIST'!A:C,3,0)</f>
        <v>#N/A</v>
      </c>
      <c r="D11959" s="6">
        <f t="shared" si="187"/>
        <v>0</v>
      </c>
    </row>
    <row r="11960" spans="3:4" ht="15" x14ac:dyDescent="0.25">
      <c r="C11960" s="8" t="e">
        <f>VLOOKUP(A:A,'ITEM LIST'!A:C,3,0)</f>
        <v>#N/A</v>
      </c>
      <c r="D11960" s="6">
        <f t="shared" si="187"/>
        <v>0</v>
      </c>
    </row>
    <row r="11961" spans="3:4" ht="15" x14ac:dyDescent="0.25">
      <c r="C11961" s="8" t="e">
        <f>VLOOKUP(A:A,'ITEM LIST'!A:C,3,0)</f>
        <v>#N/A</v>
      </c>
      <c r="D11961" s="6">
        <f t="shared" si="187"/>
        <v>0</v>
      </c>
    </row>
    <row r="11962" spans="3:4" ht="15" x14ac:dyDescent="0.25">
      <c r="C11962" s="8" t="e">
        <f>VLOOKUP(A:A,'ITEM LIST'!A:C,3,0)</f>
        <v>#N/A</v>
      </c>
      <c r="D11962" s="6">
        <f t="shared" si="187"/>
        <v>0</v>
      </c>
    </row>
    <row r="11963" spans="3:4" ht="15" x14ac:dyDescent="0.25">
      <c r="C11963" s="8" t="e">
        <f>VLOOKUP(A:A,'ITEM LIST'!A:C,3,0)</f>
        <v>#N/A</v>
      </c>
      <c r="D11963" s="6">
        <f t="shared" si="187"/>
        <v>0</v>
      </c>
    </row>
    <row r="11964" spans="3:4" ht="15" x14ac:dyDescent="0.25">
      <c r="C11964" s="8" t="e">
        <f>VLOOKUP(A:A,'ITEM LIST'!A:C,3,0)</f>
        <v>#N/A</v>
      </c>
      <c r="D11964" s="6">
        <f t="shared" si="187"/>
        <v>0</v>
      </c>
    </row>
    <row r="11965" spans="3:4" ht="15" x14ac:dyDescent="0.25">
      <c r="C11965" s="8" t="e">
        <f>VLOOKUP(A:A,'ITEM LIST'!A:C,3,0)</f>
        <v>#N/A</v>
      </c>
      <c r="D11965" s="6">
        <f t="shared" si="187"/>
        <v>0</v>
      </c>
    </row>
    <row r="11966" spans="3:4" ht="15" x14ac:dyDescent="0.25">
      <c r="C11966" s="8" t="e">
        <f>VLOOKUP(A:A,'ITEM LIST'!A:C,3,0)</f>
        <v>#N/A</v>
      </c>
      <c r="D11966" s="6">
        <f t="shared" si="187"/>
        <v>0</v>
      </c>
    </row>
    <row r="11967" spans="3:4" ht="15" x14ac:dyDescent="0.25">
      <c r="C11967" s="8" t="e">
        <f>VLOOKUP(A:A,'ITEM LIST'!A:C,3,0)</f>
        <v>#N/A</v>
      </c>
      <c r="D11967" s="6">
        <f t="shared" si="187"/>
        <v>0</v>
      </c>
    </row>
    <row r="11968" spans="3:4" ht="15" x14ac:dyDescent="0.25">
      <c r="C11968" s="8" t="e">
        <f>VLOOKUP(A:A,'ITEM LIST'!A:C,3,0)</f>
        <v>#N/A</v>
      </c>
      <c r="D11968" s="6">
        <f t="shared" si="187"/>
        <v>0</v>
      </c>
    </row>
    <row r="11969" spans="3:4" ht="15" x14ac:dyDescent="0.25">
      <c r="C11969" s="8" t="e">
        <f>VLOOKUP(A:A,'ITEM LIST'!A:C,3,0)</f>
        <v>#N/A</v>
      </c>
      <c r="D11969" s="6">
        <f t="shared" si="187"/>
        <v>0</v>
      </c>
    </row>
    <row r="11970" spans="3:4" ht="15" x14ac:dyDescent="0.25">
      <c r="C11970" s="8" t="e">
        <f>VLOOKUP(A:A,'ITEM LIST'!A:C,3,0)</f>
        <v>#N/A</v>
      </c>
      <c r="D11970" s="6">
        <f t="shared" si="187"/>
        <v>0</v>
      </c>
    </row>
    <row r="11971" spans="3:4" ht="15" x14ac:dyDescent="0.25">
      <c r="C11971" s="8" t="e">
        <f>VLOOKUP(A:A,'ITEM LIST'!A:C,3,0)</f>
        <v>#N/A</v>
      </c>
      <c r="D11971" s="6">
        <f t="shared" si="187"/>
        <v>0</v>
      </c>
    </row>
    <row r="11972" spans="3:4" ht="15" x14ac:dyDescent="0.25">
      <c r="C11972" s="8" t="e">
        <f>VLOOKUP(A:A,'ITEM LIST'!A:C,3,0)</f>
        <v>#N/A</v>
      </c>
      <c r="D11972" s="6">
        <f t="shared" si="187"/>
        <v>0</v>
      </c>
    </row>
    <row r="11973" spans="3:4" ht="15" x14ac:dyDescent="0.25">
      <c r="C11973" s="8" t="e">
        <f>VLOOKUP(A:A,'ITEM LIST'!A:C,3,0)</f>
        <v>#N/A</v>
      </c>
      <c r="D11973" s="6">
        <f t="shared" si="187"/>
        <v>0</v>
      </c>
    </row>
    <row r="11974" spans="3:4" ht="15" x14ac:dyDescent="0.25">
      <c r="C11974" s="8" t="e">
        <f>VLOOKUP(A:A,'ITEM LIST'!A:C,3,0)</f>
        <v>#N/A</v>
      </c>
      <c r="D11974" s="6">
        <f t="shared" ref="D11974:D12037" si="188">B11974</f>
        <v>0</v>
      </c>
    </row>
    <row r="11975" spans="3:4" ht="15" x14ac:dyDescent="0.25">
      <c r="C11975" s="8" t="e">
        <f>VLOOKUP(A:A,'ITEM LIST'!A:C,3,0)</f>
        <v>#N/A</v>
      </c>
      <c r="D11975" s="6">
        <f t="shared" si="188"/>
        <v>0</v>
      </c>
    </row>
    <row r="11976" spans="3:4" ht="15" x14ac:dyDescent="0.25">
      <c r="C11976" s="8" t="e">
        <f>VLOOKUP(A:A,'ITEM LIST'!A:C,3,0)</f>
        <v>#N/A</v>
      </c>
      <c r="D11976" s="6">
        <f t="shared" si="188"/>
        <v>0</v>
      </c>
    </row>
    <row r="11977" spans="3:4" ht="15" x14ac:dyDescent="0.25">
      <c r="C11977" s="8" t="e">
        <f>VLOOKUP(A:A,'ITEM LIST'!A:C,3,0)</f>
        <v>#N/A</v>
      </c>
      <c r="D11977" s="6">
        <f t="shared" si="188"/>
        <v>0</v>
      </c>
    </row>
    <row r="11978" spans="3:4" ht="15" x14ac:dyDescent="0.25">
      <c r="C11978" s="8" t="e">
        <f>VLOOKUP(A:A,'ITEM LIST'!A:C,3,0)</f>
        <v>#N/A</v>
      </c>
      <c r="D11978" s="6">
        <f t="shared" si="188"/>
        <v>0</v>
      </c>
    </row>
    <row r="11979" spans="3:4" ht="15" x14ac:dyDescent="0.25">
      <c r="C11979" s="8" t="e">
        <f>VLOOKUP(A:A,'ITEM LIST'!A:C,3,0)</f>
        <v>#N/A</v>
      </c>
      <c r="D11979" s="6">
        <f t="shared" si="188"/>
        <v>0</v>
      </c>
    </row>
    <row r="11980" spans="3:4" ht="15" x14ac:dyDescent="0.25">
      <c r="C11980" s="8" t="e">
        <f>VLOOKUP(A:A,'ITEM LIST'!A:C,3,0)</f>
        <v>#N/A</v>
      </c>
      <c r="D11980" s="6">
        <f t="shared" si="188"/>
        <v>0</v>
      </c>
    </row>
    <row r="11981" spans="3:4" ht="15" x14ac:dyDescent="0.25">
      <c r="C11981" s="8" t="e">
        <f>VLOOKUP(A:A,'ITEM LIST'!A:C,3,0)</f>
        <v>#N/A</v>
      </c>
      <c r="D11981" s="6">
        <f t="shared" si="188"/>
        <v>0</v>
      </c>
    </row>
    <row r="11982" spans="3:4" ht="15" x14ac:dyDescent="0.25">
      <c r="C11982" s="8" t="e">
        <f>VLOOKUP(A:A,'ITEM LIST'!A:C,3,0)</f>
        <v>#N/A</v>
      </c>
      <c r="D11982" s="6">
        <f t="shared" si="188"/>
        <v>0</v>
      </c>
    </row>
    <row r="11983" spans="3:4" ht="15" x14ac:dyDescent="0.25">
      <c r="C11983" s="8" t="e">
        <f>VLOOKUP(A:A,'ITEM LIST'!A:C,3,0)</f>
        <v>#N/A</v>
      </c>
      <c r="D11983" s="6">
        <f t="shared" si="188"/>
        <v>0</v>
      </c>
    </row>
    <row r="11984" spans="3:4" ht="15" x14ac:dyDescent="0.25">
      <c r="C11984" s="8" t="e">
        <f>VLOOKUP(A:A,'ITEM LIST'!A:C,3,0)</f>
        <v>#N/A</v>
      </c>
      <c r="D11984" s="6">
        <f t="shared" si="188"/>
        <v>0</v>
      </c>
    </row>
    <row r="11985" spans="3:4" ht="15" x14ac:dyDescent="0.25">
      <c r="C11985" s="8" t="e">
        <f>VLOOKUP(A:A,'ITEM LIST'!A:C,3,0)</f>
        <v>#N/A</v>
      </c>
      <c r="D11985" s="6">
        <f t="shared" si="188"/>
        <v>0</v>
      </c>
    </row>
    <row r="11986" spans="3:4" ht="15" x14ac:dyDescent="0.25">
      <c r="C11986" s="8" t="e">
        <f>VLOOKUP(A:A,'ITEM LIST'!A:C,3,0)</f>
        <v>#N/A</v>
      </c>
      <c r="D11986" s="6">
        <f t="shared" si="188"/>
        <v>0</v>
      </c>
    </row>
    <row r="11987" spans="3:4" ht="15" x14ac:dyDescent="0.25">
      <c r="C11987" s="8" t="e">
        <f>VLOOKUP(A:A,'ITEM LIST'!A:C,3,0)</f>
        <v>#N/A</v>
      </c>
      <c r="D11987" s="6">
        <f t="shared" si="188"/>
        <v>0</v>
      </c>
    </row>
    <row r="11988" spans="3:4" ht="15" x14ac:dyDescent="0.25">
      <c r="C11988" s="8" t="e">
        <f>VLOOKUP(A:A,'ITEM LIST'!A:C,3,0)</f>
        <v>#N/A</v>
      </c>
      <c r="D11988" s="6">
        <f t="shared" si="188"/>
        <v>0</v>
      </c>
    </row>
    <row r="11989" spans="3:4" ht="15" x14ac:dyDescent="0.25">
      <c r="C11989" s="8" t="e">
        <f>VLOOKUP(A:A,'ITEM LIST'!A:C,3,0)</f>
        <v>#N/A</v>
      </c>
      <c r="D11989" s="6">
        <f t="shared" si="188"/>
        <v>0</v>
      </c>
    </row>
    <row r="11990" spans="3:4" ht="15" x14ac:dyDescent="0.25">
      <c r="C11990" s="8" t="e">
        <f>VLOOKUP(A:A,'ITEM LIST'!A:C,3,0)</f>
        <v>#N/A</v>
      </c>
      <c r="D11990" s="6">
        <f t="shared" si="188"/>
        <v>0</v>
      </c>
    </row>
    <row r="11991" spans="3:4" ht="15" x14ac:dyDescent="0.25">
      <c r="C11991" s="8" t="e">
        <f>VLOOKUP(A:A,'ITEM LIST'!A:C,3,0)</f>
        <v>#N/A</v>
      </c>
      <c r="D11991" s="6">
        <f t="shared" si="188"/>
        <v>0</v>
      </c>
    </row>
    <row r="11992" spans="3:4" ht="15" x14ac:dyDescent="0.25">
      <c r="C11992" s="8" t="e">
        <f>VLOOKUP(A:A,'ITEM LIST'!A:C,3,0)</f>
        <v>#N/A</v>
      </c>
      <c r="D11992" s="6">
        <f t="shared" si="188"/>
        <v>0</v>
      </c>
    </row>
    <row r="11993" spans="3:4" ht="15" x14ac:dyDescent="0.25">
      <c r="C11993" s="8" t="e">
        <f>VLOOKUP(A:A,'ITEM LIST'!A:C,3,0)</f>
        <v>#N/A</v>
      </c>
      <c r="D11993" s="6">
        <f t="shared" si="188"/>
        <v>0</v>
      </c>
    </row>
    <row r="11994" spans="3:4" ht="15" x14ac:dyDescent="0.25">
      <c r="C11994" s="8" t="e">
        <f>VLOOKUP(A:A,'ITEM LIST'!A:C,3,0)</f>
        <v>#N/A</v>
      </c>
      <c r="D11994" s="6">
        <f t="shared" si="188"/>
        <v>0</v>
      </c>
    </row>
    <row r="11995" spans="3:4" ht="15" x14ac:dyDescent="0.25">
      <c r="C11995" s="8" t="e">
        <f>VLOOKUP(A:A,'ITEM LIST'!A:C,3,0)</f>
        <v>#N/A</v>
      </c>
      <c r="D11995" s="6">
        <f t="shared" si="188"/>
        <v>0</v>
      </c>
    </row>
    <row r="11996" spans="3:4" ht="15" x14ac:dyDescent="0.25">
      <c r="C11996" s="8" t="e">
        <f>VLOOKUP(A:A,'ITEM LIST'!A:C,3,0)</f>
        <v>#N/A</v>
      </c>
      <c r="D11996" s="6">
        <f t="shared" si="188"/>
        <v>0</v>
      </c>
    </row>
    <row r="11997" spans="3:4" ht="15" x14ac:dyDescent="0.25">
      <c r="C11997" s="8" t="e">
        <f>VLOOKUP(A:A,'ITEM LIST'!A:C,3,0)</f>
        <v>#N/A</v>
      </c>
      <c r="D11997" s="6">
        <f t="shared" si="188"/>
        <v>0</v>
      </c>
    </row>
    <row r="11998" spans="3:4" ht="15" x14ac:dyDescent="0.25">
      <c r="C11998" s="8" t="e">
        <f>VLOOKUP(A:A,'ITEM LIST'!A:C,3,0)</f>
        <v>#N/A</v>
      </c>
      <c r="D11998" s="6">
        <f t="shared" si="188"/>
        <v>0</v>
      </c>
    </row>
    <row r="11999" spans="3:4" ht="15" x14ac:dyDescent="0.25">
      <c r="C11999" s="8" t="e">
        <f>VLOOKUP(A:A,'ITEM LIST'!A:C,3,0)</f>
        <v>#N/A</v>
      </c>
      <c r="D11999" s="6">
        <f t="shared" si="188"/>
        <v>0</v>
      </c>
    </row>
    <row r="12000" spans="3:4" ht="15" x14ac:dyDescent="0.25">
      <c r="C12000" s="8" t="e">
        <f>VLOOKUP(A:A,'ITEM LIST'!A:C,3,0)</f>
        <v>#N/A</v>
      </c>
      <c r="D12000" s="6">
        <f t="shared" si="188"/>
        <v>0</v>
      </c>
    </row>
    <row r="12001" spans="3:4" ht="15" x14ac:dyDescent="0.25">
      <c r="C12001" s="8" t="e">
        <f>VLOOKUP(A:A,'ITEM LIST'!A:C,3,0)</f>
        <v>#N/A</v>
      </c>
      <c r="D12001" s="6">
        <f t="shared" si="188"/>
        <v>0</v>
      </c>
    </row>
    <row r="12002" spans="3:4" ht="15" x14ac:dyDescent="0.25">
      <c r="C12002" s="8" t="e">
        <f>VLOOKUP(A:A,'ITEM LIST'!A:C,3,0)</f>
        <v>#N/A</v>
      </c>
      <c r="D12002" s="6">
        <f t="shared" si="188"/>
        <v>0</v>
      </c>
    </row>
    <row r="12003" spans="3:4" ht="15" x14ac:dyDescent="0.25">
      <c r="C12003" s="8" t="e">
        <f>VLOOKUP(A:A,'ITEM LIST'!A:C,3,0)</f>
        <v>#N/A</v>
      </c>
      <c r="D12003" s="6">
        <f t="shared" si="188"/>
        <v>0</v>
      </c>
    </row>
    <row r="12004" spans="3:4" ht="15" x14ac:dyDescent="0.25">
      <c r="C12004" s="8" t="e">
        <f>VLOOKUP(A:A,'ITEM LIST'!A:C,3,0)</f>
        <v>#N/A</v>
      </c>
      <c r="D12004" s="6">
        <f t="shared" si="188"/>
        <v>0</v>
      </c>
    </row>
    <row r="12005" spans="3:4" ht="15" x14ac:dyDescent="0.25">
      <c r="C12005" s="8" t="e">
        <f>VLOOKUP(A:A,'ITEM LIST'!A:C,3,0)</f>
        <v>#N/A</v>
      </c>
      <c r="D12005" s="6">
        <f t="shared" si="188"/>
        <v>0</v>
      </c>
    </row>
    <row r="12006" spans="3:4" ht="15" x14ac:dyDescent="0.25">
      <c r="C12006" s="8" t="e">
        <f>VLOOKUP(A:A,'ITEM LIST'!A:C,3,0)</f>
        <v>#N/A</v>
      </c>
      <c r="D12006" s="6">
        <f t="shared" si="188"/>
        <v>0</v>
      </c>
    </row>
    <row r="12007" spans="3:4" ht="15" x14ac:dyDescent="0.25">
      <c r="C12007" s="8" t="e">
        <f>VLOOKUP(A:A,'ITEM LIST'!A:C,3,0)</f>
        <v>#N/A</v>
      </c>
      <c r="D12007" s="6">
        <f t="shared" si="188"/>
        <v>0</v>
      </c>
    </row>
    <row r="12008" spans="3:4" ht="15" x14ac:dyDescent="0.25">
      <c r="C12008" s="8" t="e">
        <f>VLOOKUP(A:A,'ITEM LIST'!A:C,3,0)</f>
        <v>#N/A</v>
      </c>
      <c r="D12008" s="6">
        <f t="shared" si="188"/>
        <v>0</v>
      </c>
    </row>
    <row r="12009" spans="3:4" ht="15" x14ac:dyDescent="0.25">
      <c r="C12009" s="8" t="e">
        <f>VLOOKUP(A:A,'ITEM LIST'!A:C,3,0)</f>
        <v>#N/A</v>
      </c>
      <c r="D12009" s="6">
        <f t="shared" si="188"/>
        <v>0</v>
      </c>
    </row>
    <row r="12010" spans="3:4" ht="15" x14ac:dyDescent="0.25">
      <c r="C12010" s="8" t="e">
        <f>VLOOKUP(A:A,'ITEM LIST'!A:C,3,0)</f>
        <v>#N/A</v>
      </c>
      <c r="D12010" s="6">
        <f t="shared" si="188"/>
        <v>0</v>
      </c>
    </row>
    <row r="12011" spans="3:4" ht="15" x14ac:dyDescent="0.25">
      <c r="C12011" s="8" t="e">
        <f>VLOOKUP(A:A,'ITEM LIST'!A:C,3,0)</f>
        <v>#N/A</v>
      </c>
      <c r="D12011" s="6">
        <f t="shared" si="188"/>
        <v>0</v>
      </c>
    </row>
    <row r="12012" spans="3:4" ht="15" x14ac:dyDescent="0.25">
      <c r="C12012" s="8" t="e">
        <f>VLOOKUP(A:A,'ITEM LIST'!A:C,3,0)</f>
        <v>#N/A</v>
      </c>
      <c r="D12012" s="6">
        <f t="shared" si="188"/>
        <v>0</v>
      </c>
    </row>
    <row r="12013" spans="3:4" ht="15" x14ac:dyDescent="0.25">
      <c r="C12013" s="8" t="e">
        <f>VLOOKUP(A:A,'ITEM LIST'!A:C,3,0)</f>
        <v>#N/A</v>
      </c>
      <c r="D12013" s="6">
        <f t="shared" si="188"/>
        <v>0</v>
      </c>
    </row>
    <row r="12014" spans="3:4" ht="15" x14ac:dyDescent="0.25">
      <c r="C12014" s="8" t="e">
        <f>VLOOKUP(A:A,'ITEM LIST'!A:C,3,0)</f>
        <v>#N/A</v>
      </c>
      <c r="D12014" s="6">
        <f t="shared" si="188"/>
        <v>0</v>
      </c>
    </row>
    <row r="12015" spans="3:4" ht="15" x14ac:dyDescent="0.25">
      <c r="C12015" s="8" t="e">
        <f>VLOOKUP(A:A,'ITEM LIST'!A:C,3,0)</f>
        <v>#N/A</v>
      </c>
      <c r="D12015" s="6">
        <f t="shared" si="188"/>
        <v>0</v>
      </c>
    </row>
    <row r="12016" spans="3:4" ht="15" x14ac:dyDescent="0.25">
      <c r="C12016" s="8" t="e">
        <f>VLOOKUP(A:A,'ITEM LIST'!A:C,3,0)</f>
        <v>#N/A</v>
      </c>
      <c r="D12016" s="6">
        <f t="shared" si="188"/>
        <v>0</v>
      </c>
    </row>
    <row r="12017" spans="3:4" ht="15" x14ac:dyDescent="0.25">
      <c r="C12017" s="8" t="e">
        <f>VLOOKUP(A:A,'ITEM LIST'!A:C,3,0)</f>
        <v>#N/A</v>
      </c>
      <c r="D12017" s="6">
        <f t="shared" si="188"/>
        <v>0</v>
      </c>
    </row>
    <row r="12018" spans="3:4" ht="15" x14ac:dyDescent="0.25">
      <c r="C12018" s="8" t="e">
        <f>VLOOKUP(A:A,'ITEM LIST'!A:C,3,0)</f>
        <v>#N/A</v>
      </c>
      <c r="D12018" s="6">
        <f t="shared" si="188"/>
        <v>0</v>
      </c>
    </row>
    <row r="12019" spans="3:4" ht="15" x14ac:dyDescent="0.25">
      <c r="C12019" s="8" t="e">
        <f>VLOOKUP(A:A,'ITEM LIST'!A:C,3,0)</f>
        <v>#N/A</v>
      </c>
      <c r="D12019" s="6">
        <f t="shared" si="188"/>
        <v>0</v>
      </c>
    </row>
    <row r="12020" spans="3:4" ht="15" x14ac:dyDescent="0.25">
      <c r="C12020" s="8" t="e">
        <f>VLOOKUP(A:A,'ITEM LIST'!A:C,3,0)</f>
        <v>#N/A</v>
      </c>
      <c r="D12020" s="6">
        <f t="shared" si="188"/>
        <v>0</v>
      </c>
    </row>
    <row r="12021" spans="3:4" ht="15" x14ac:dyDescent="0.25">
      <c r="C12021" s="8" t="e">
        <f>VLOOKUP(A:A,'ITEM LIST'!A:C,3,0)</f>
        <v>#N/A</v>
      </c>
      <c r="D12021" s="6">
        <f t="shared" si="188"/>
        <v>0</v>
      </c>
    </row>
    <row r="12022" spans="3:4" ht="15" x14ac:dyDescent="0.25">
      <c r="C12022" s="8" t="e">
        <f>VLOOKUP(A:A,'ITEM LIST'!A:C,3,0)</f>
        <v>#N/A</v>
      </c>
      <c r="D12022" s="6">
        <f t="shared" si="188"/>
        <v>0</v>
      </c>
    </row>
    <row r="12023" spans="3:4" ht="15" x14ac:dyDescent="0.25">
      <c r="C12023" s="8" t="e">
        <f>VLOOKUP(A:A,'ITEM LIST'!A:C,3,0)</f>
        <v>#N/A</v>
      </c>
      <c r="D12023" s="6">
        <f t="shared" si="188"/>
        <v>0</v>
      </c>
    </row>
    <row r="12024" spans="3:4" ht="15" x14ac:dyDescent="0.25">
      <c r="C12024" s="8" t="e">
        <f>VLOOKUP(A:A,'ITEM LIST'!A:C,3,0)</f>
        <v>#N/A</v>
      </c>
      <c r="D12024" s="6">
        <f t="shared" si="188"/>
        <v>0</v>
      </c>
    </row>
    <row r="12025" spans="3:4" ht="15" x14ac:dyDescent="0.25">
      <c r="C12025" s="8" t="e">
        <f>VLOOKUP(A:A,'ITEM LIST'!A:C,3,0)</f>
        <v>#N/A</v>
      </c>
      <c r="D12025" s="6">
        <f t="shared" si="188"/>
        <v>0</v>
      </c>
    </row>
    <row r="12026" spans="3:4" ht="15" x14ac:dyDescent="0.25">
      <c r="C12026" s="8" t="e">
        <f>VLOOKUP(A:A,'ITEM LIST'!A:C,3,0)</f>
        <v>#N/A</v>
      </c>
      <c r="D12026" s="6">
        <f t="shared" si="188"/>
        <v>0</v>
      </c>
    </row>
    <row r="12027" spans="3:4" ht="15" x14ac:dyDescent="0.25">
      <c r="C12027" s="8" t="e">
        <f>VLOOKUP(A:A,'ITEM LIST'!A:C,3,0)</f>
        <v>#N/A</v>
      </c>
      <c r="D12027" s="6">
        <f t="shared" si="188"/>
        <v>0</v>
      </c>
    </row>
    <row r="12028" spans="3:4" ht="15" x14ac:dyDescent="0.25">
      <c r="C12028" s="8" t="e">
        <f>VLOOKUP(A:A,'ITEM LIST'!A:C,3,0)</f>
        <v>#N/A</v>
      </c>
      <c r="D12028" s="6">
        <f t="shared" si="188"/>
        <v>0</v>
      </c>
    </row>
    <row r="12029" spans="3:4" ht="15" x14ac:dyDescent="0.25">
      <c r="C12029" s="8" t="e">
        <f>VLOOKUP(A:A,'ITEM LIST'!A:C,3,0)</f>
        <v>#N/A</v>
      </c>
      <c r="D12029" s="6">
        <f t="shared" si="188"/>
        <v>0</v>
      </c>
    </row>
    <row r="12030" spans="3:4" ht="15" x14ac:dyDescent="0.25">
      <c r="C12030" s="8" t="e">
        <f>VLOOKUP(A:A,'ITEM LIST'!A:C,3,0)</f>
        <v>#N/A</v>
      </c>
      <c r="D12030" s="6">
        <f t="shared" si="188"/>
        <v>0</v>
      </c>
    </row>
    <row r="12031" spans="3:4" ht="15" x14ac:dyDescent="0.25">
      <c r="C12031" s="8" t="e">
        <f>VLOOKUP(A:A,'ITEM LIST'!A:C,3,0)</f>
        <v>#N/A</v>
      </c>
      <c r="D12031" s="6">
        <f t="shared" si="188"/>
        <v>0</v>
      </c>
    </row>
    <row r="12032" spans="3:4" ht="15" x14ac:dyDescent="0.25">
      <c r="C12032" s="8" t="e">
        <f>VLOOKUP(A:A,'ITEM LIST'!A:C,3,0)</f>
        <v>#N/A</v>
      </c>
      <c r="D12032" s="6">
        <f t="shared" si="188"/>
        <v>0</v>
      </c>
    </row>
    <row r="12033" spans="3:4" ht="15" x14ac:dyDescent="0.25">
      <c r="C12033" s="8" t="e">
        <f>VLOOKUP(A:A,'ITEM LIST'!A:C,3,0)</f>
        <v>#N/A</v>
      </c>
      <c r="D12033" s="6">
        <f t="shared" si="188"/>
        <v>0</v>
      </c>
    </row>
    <row r="12034" spans="3:4" ht="15" x14ac:dyDescent="0.25">
      <c r="C12034" s="8" t="e">
        <f>VLOOKUP(A:A,'ITEM LIST'!A:C,3,0)</f>
        <v>#N/A</v>
      </c>
      <c r="D12034" s="6">
        <f t="shared" si="188"/>
        <v>0</v>
      </c>
    </row>
    <row r="12035" spans="3:4" ht="15" x14ac:dyDescent="0.25">
      <c r="C12035" s="8" t="e">
        <f>VLOOKUP(A:A,'ITEM LIST'!A:C,3,0)</f>
        <v>#N/A</v>
      </c>
      <c r="D12035" s="6">
        <f t="shared" si="188"/>
        <v>0</v>
      </c>
    </row>
    <row r="12036" spans="3:4" ht="15" x14ac:dyDescent="0.25">
      <c r="C12036" s="8" t="e">
        <f>VLOOKUP(A:A,'ITEM LIST'!A:C,3,0)</f>
        <v>#N/A</v>
      </c>
      <c r="D12036" s="6">
        <f t="shared" si="188"/>
        <v>0</v>
      </c>
    </row>
    <row r="12037" spans="3:4" ht="15" x14ac:dyDescent="0.25">
      <c r="C12037" s="8" t="e">
        <f>VLOOKUP(A:A,'ITEM LIST'!A:C,3,0)</f>
        <v>#N/A</v>
      </c>
      <c r="D12037" s="6">
        <f t="shared" si="188"/>
        <v>0</v>
      </c>
    </row>
    <row r="12038" spans="3:4" ht="15" x14ac:dyDescent="0.25">
      <c r="C12038" s="8" t="e">
        <f>VLOOKUP(A:A,'ITEM LIST'!A:C,3,0)</f>
        <v>#N/A</v>
      </c>
      <c r="D12038" s="6">
        <f t="shared" ref="D12038:D12101" si="189">B12038</f>
        <v>0</v>
      </c>
    </row>
    <row r="12039" spans="3:4" ht="15" x14ac:dyDescent="0.25">
      <c r="C12039" s="8" t="e">
        <f>VLOOKUP(A:A,'ITEM LIST'!A:C,3,0)</f>
        <v>#N/A</v>
      </c>
      <c r="D12039" s="6">
        <f t="shared" si="189"/>
        <v>0</v>
      </c>
    </row>
    <row r="12040" spans="3:4" ht="15" x14ac:dyDescent="0.25">
      <c r="C12040" s="8" t="e">
        <f>VLOOKUP(A:A,'ITEM LIST'!A:C,3,0)</f>
        <v>#N/A</v>
      </c>
      <c r="D12040" s="6">
        <f t="shared" si="189"/>
        <v>0</v>
      </c>
    </row>
    <row r="12041" spans="3:4" ht="15" x14ac:dyDescent="0.25">
      <c r="C12041" s="8" t="e">
        <f>VLOOKUP(A:A,'ITEM LIST'!A:C,3,0)</f>
        <v>#N/A</v>
      </c>
      <c r="D12041" s="6">
        <f t="shared" si="189"/>
        <v>0</v>
      </c>
    </row>
    <row r="12042" spans="3:4" ht="15" x14ac:dyDescent="0.25">
      <c r="C12042" s="8" t="e">
        <f>VLOOKUP(A:A,'ITEM LIST'!A:C,3,0)</f>
        <v>#N/A</v>
      </c>
      <c r="D12042" s="6">
        <f t="shared" si="189"/>
        <v>0</v>
      </c>
    </row>
    <row r="12043" spans="3:4" ht="15" x14ac:dyDescent="0.25">
      <c r="C12043" s="8" t="e">
        <f>VLOOKUP(A:A,'ITEM LIST'!A:C,3,0)</f>
        <v>#N/A</v>
      </c>
      <c r="D12043" s="6">
        <f t="shared" si="189"/>
        <v>0</v>
      </c>
    </row>
    <row r="12044" spans="3:4" ht="15" x14ac:dyDescent="0.25">
      <c r="C12044" s="8" t="e">
        <f>VLOOKUP(A:A,'ITEM LIST'!A:C,3,0)</f>
        <v>#N/A</v>
      </c>
      <c r="D12044" s="6">
        <f t="shared" si="189"/>
        <v>0</v>
      </c>
    </row>
    <row r="12045" spans="3:4" ht="15" x14ac:dyDescent="0.25">
      <c r="C12045" s="8" t="e">
        <f>VLOOKUP(A:A,'ITEM LIST'!A:C,3,0)</f>
        <v>#N/A</v>
      </c>
      <c r="D12045" s="6">
        <f t="shared" si="189"/>
        <v>0</v>
      </c>
    </row>
    <row r="12046" spans="3:4" ht="15" x14ac:dyDescent="0.25">
      <c r="C12046" s="8" t="e">
        <f>VLOOKUP(A:A,'ITEM LIST'!A:C,3,0)</f>
        <v>#N/A</v>
      </c>
      <c r="D12046" s="6">
        <f t="shared" si="189"/>
        <v>0</v>
      </c>
    </row>
    <row r="12047" spans="3:4" ht="15" x14ac:dyDescent="0.25">
      <c r="C12047" s="8" t="e">
        <f>VLOOKUP(A:A,'ITEM LIST'!A:C,3,0)</f>
        <v>#N/A</v>
      </c>
      <c r="D12047" s="6">
        <f t="shared" si="189"/>
        <v>0</v>
      </c>
    </row>
    <row r="12048" spans="3:4" ht="15" x14ac:dyDescent="0.25">
      <c r="C12048" s="8" t="e">
        <f>VLOOKUP(A:A,'ITEM LIST'!A:C,3,0)</f>
        <v>#N/A</v>
      </c>
      <c r="D12048" s="6">
        <f t="shared" si="189"/>
        <v>0</v>
      </c>
    </row>
    <row r="12049" spans="3:4" ht="15" x14ac:dyDescent="0.25">
      <c r="C12049" s="8" t="e">
        <f>VLOOKUP(A:A,'ITEM LIST'!A:C,3,0)</f>
        <v>#N/A</v>
      </c>
      <c r="D12049" s="6">
        <f t="shared" si="189"/>
        <v>0</v>
      </c>
    </row>
    <row r="12050" spans="3:4" ht="15" x14ac:dyDescent="0.25">
      <c r="C12050" s="8" t="e">
        <f>VLOOKUP(A:A,'ITEM LIST'!A:C,3,0)</f>
        <v>#N/A</v>
      </c>
      <c r="D12050" s="6">
        <f t="shared" si="189"/>
        <v>0</v>
      </c>
    </row>
    <row r="12051" spans="3:4" ht="15" x14ac:dyDescent="0.25">
      <c r="C12051" s="8" t="e">
        <f>VLOOKUP(A:A,'ITEM LIST'!A:C,3,0)</f>
        <v>#N/A</v>
      </c>
      <c r="D12051" s="6">
        <f t="shared" si="189"/>
        <v>0</v>
      </c>
    </row>
    <row r="12052" spans="3:4" ht="15" x14ac:dyDescent="0.25">
      <c r="C12052" s="8" t="e">
        <f>VLOOKUP(A:A,'ITEM LIST'!A:C,3,0)</f>
        <v>#N/A</v>
      </c>
      <c r="D12052" s="6">
        <f t="shared" si="189"/>
        <v>0</v>
      </c>
    </row>
    <row r="12053" spans="3:4" ht="15" x14ac:dyDescent="0.25">
      <c r="C12053" s="8" t="e">
        <f>VLOOKUP(A:A,'ITEM LIST'!A:C,3,0)</f>
        <v>#N/A</v>
      </c>
      <c r="D12053" s="6">
        <f t="shared" si="189"/>
        <v>0</v>
      </c>
    </row>
    <row r="12054" spans="3:4" ht="15" x14ac:dyDescent="0.25">
      <c r="C12054" s="8" t="e">
        <f>VLOOKUP(A:A,'ITEM LIST'!A:C,3,0)</f>
        <v>#N/A</v>
      </c>
      <c r="D12054" s="6">
        <f t="shared" si="189"/>
        <v>0</v>
      </c>
    </row>
    <row r="12055" spans="3:4" ht="15" x14ac:dyDescent="0.25">
      <c r="C12055" s="8" t="e">
        <f>VLOOKUP(A:A,'ITEM LIST'!A:C,3,0)</f>
        <v>#N/A</v>
      </c>
      <c r="D12055" s="6">
        <f t="shared" si="189"/>
        <v>0</v>
      </c>
    </row>
    <row r="12056" spans="3:4" ht="15" x14ac:dyDescent="0.25">
      <c r="C12056" s="8" t="e">
        <f>VLOOKUP(A:A,'ITEM LIST'!A:C,3,0)</f>
        <v>#N/A</v>
      </c>
      <c r="D12056" s="6">
        <f t="shared" si="189"/>
        <v>0</v>
      </c>
    </row>
    <row r="12057" spans="3:4" ht="15" x14ac:dyDescent="0.25">
      <c r="C12057" s="8" t="e">
        <f>VLOOKUP(A:A,'ITEM LIST'!A:C,3,0)</f>
        <v>#N/A</v>
      </c>
      <c r="D12057" s="6">
        <f t="shared" si="189"/>
        <v>0</v>
      </c>
    </row>
    <row r="12058" spans="3:4" ht="15" x14ac:dyDescent="0.25">
      <c r="C12058" s="8" t="e">
        <f>VLOOKUP(A:A,'ITEM LIST'!A:C,3,0)</f>
        <v>#N/A</v>
      </c>
      <c r="D12058" s="6">
        <f t="shared" si="189"/>
        <v>0</v>
      </c>
    </row>
    <row r="12059" spans="3:4" ht="15" x14ac:dyDescent="0.25">
      <c r="C12059" s="8" t="e">
        <f>VLOOKUP(A:A,'ITEM LIST'!A:C,3,0)</f>
        <v>#N/A</v>
      </c>
      <c r="D12059" s="6">
        <f t="shared" si="189"/>
        <v>0</v>
      </c>
    </row>
    <row r="12060" spans="3:4" ht="15" x14ac:dyDescent="0.25">
      <c r="C12060" s="8" t="e">
        <f>VLOOKUP(A:A,'ITEM LIST'!A:C,3,0)</f>
        <v>#N/A</v>
      </c>
      <c r="D12060" s="6">
        <f t="shared" si="189"/>
        <v>0</v>
      </c>
    </row>
    <row r="12061" spans="3:4" ht="15" x14ac:dyDescent="0.25">
      <c r="C12061" s="8" t="e">
        <f>VLOOKUP(A:A,'ITEM LIST'!A:C,3,0)</f>
        <v>#N/A</v>
      </c>
      <c r="D12061" s="6">
        <f t="shared" si="189"/>
        <v>0</v>
      </c>
    </row>
    <row r="12062" spans="3:4" ht="15" x14ac:dyDescent="0.25">
      <c r="C12062" s="8" t="e">
        <f>VLOOKUP(A:A,'ITEM LIST'!A:C,3,0)</f>
        <v>#N/A</v>
      </c>
      <c r="D12062" s="6">
        <f t="shared" si="189"/>
        <v>0</v>
      </c>
    </row>
    <row r="12063" spans="3:4" ht="15" x14ac:dyDescent="0.25">
      <c r="C12063" s="8" t="e">
        <f>VLOOKUP(A:A,'ITEM LIST'!A:C,3,0)</f>
        <v>#N/A</v>
      </c>
      <c r="D12063" s="6">
        <f t="shared" si="189"/>
        <v>0</v>
      </c>
    </row>
    <row r="12064" spans="3:4" ht="15" x14ac:dyDescent="0.25">
      <c r="C12064" s="8" t="e">
        <f>VLOOKUP(A:A,'ITEM LIST'!A:C,3,0)</f>
        <v>#N/A</v>
      </c>
      <c r="D12064" s="6">
        <f t="shared" si="189"/>
        <v>0</v>
      </c>
    </row>
    <row r="12065" spans="3:4" ht="15" x14ac:dyDescent="0.25">
      <c r="C12065" s="8" t="e">
        <f>VLOOKUP(A:A,'ITEM LIST'!A:C,3,0)</f>
        <v>#N/A</v>
      </c>
      <c r="D12065" s="6">
        <f t="shared" si="189"/>
        <v>0</v>
      </c>
    </row>
    <row r="12066" spans="3:4" ht="15" x14ac:dyDescent="0.25">
      <c r="C12066" s="8" t="e">
        <f>VLOOKUP(A:A,'ITEM LIST'!A:C,3,0)</f>
        <v>#N/A</v>
      </c>
      <c r="D12066" s="6">
        <f t="shared" si="189"/>
        <v>0</v>
      </c>
    </row>
    <row r="12067" spans="3:4" ht="15" x14ac:dyDescent="0.25">
      <c r="C12067" s="8" t="e">
        <f>VLOOKUP(A:A,'ITEM LIST'!A:C,3,0)</f>
        <v>#N/A</v>
      </c>
      <c r="D12067" s="6">
        <f t="shared" si="189"/>
        <v>0</v>
      </c>
    </row>
    <row r="12068" spans="3:4" ht="15" x14ac:dyDescent="0.25">
      <c r="C12068" s="8" t="e">
        <f>VLOOKUP(A:A,'ITEM LIST'!A:C,3,0)</f>
        <v>#N/A</v>
      </c>
      <c r="D12068" s="6">
        <f t="shared" si="189"/>
        <v>0</v>
      </c>
    </row>
    <row r="12069" spans="3:4" ht="15" x14ac:dyDescent="0.25">
      <c r="C12069" s="8" t="e">
        <f>VLOOKUP(A:A,'ITEM LIST'!A:C,3,0)</f>
        <v>#N/A</v>
      </c>
      <c r="D12069" s="6">
        <f t="shared" si="189"/>
        <v>0</v>
      </c>
    </row>
    <row r="12070" spans="3:4" ht="15" x14ac:dyDescent="0.25">
      <c r="C12070" s="8" t="e">
        <f>VLOOKUP(A:A,'ITEM LIST'!A:C,3,0)</f>
        <v>#N/A</v>
      </c>
      <c r="D12070" s="6">
        <f t="shared" si="189"/>
        <v>0</v>
      </c>
    </row>
    <row r="12071" spans="3:4" ht="15" x14ac:dyDescent="0.25">
      <c r="C12071" s="8" t="e">
        <f>VLOOKUP(A:A,'ITEM LIST'!A:C,3,0)</f>
        <v>#N/A</v>
      </c>
      <c r="D12071" s="6">
        <f t="shared" si="189"/>
        <v>0</v>
      </c>
    </row>
    <row r="12072" spans="3:4" ht="15" x14ac:dyDescent="0.25">
      <c r="C12072" s="8" t="e">
        <f>VLOOKUP(A:A,'ITEM LIST'!A:C,3,0)</f>
        <v>#N/A</v>
      </c>
      <c r="D12072" s="6">
        <f t="shared" si="189"/>
        <v>0</v>
      </c>
    </row>
    <row r="12073" spans="3:4" ht="15" x14ac:dyDescent="0.25">
      <c r="C12073" s="8" t="e">
        <f>VLOOKUP(A:A,'ITEM LIST'!A:C,3,0)</f>
        <v>#N/A</v>
      </c>
      <c r="D12073" s="6">
        <f t="shared" si="189"/>
        <v>0</v>
      </c>
    </row>
    <row r="12074" spans="3:4" ht="15" x14ac:dyDescent="0.25">
      <c r="C12074" s="8" t="e">
        <f>VLOOKUP(A:A,'ITEM LIST'!A:C,3,0)</f>
        <v>#N/A</v>
      </c>
      <c r="D12074" s="6">
        <f t="shared" si="189"/>
        <v>0</v>
      </c>
    </row>
    <row r="12075" spans="3:4" ht="15" x14ac:dyDescent="0.25">
      <c r="C12075" s="8" t="e">
        <f>VLOOKUP(A:A,'ITEM LIST'!A:C,3,0)</f>
        <v>#N/A</v>
      </c>
      <c r="D12075" s="6">
        <f t="shared" si="189"/>
        <v>0</v>
      </c>
    </row>
    <row r="12076" spans="3:4" ht="15" x14ac:dyDescent="0.25">
      <c r="C12076" s="8" t="e">
        <f>VLOOKUP(A:A,'ITEM LIST'!A:C,3,0)</f>
        <v>#N/A</v>
      </c>
      <c r="D12076" s="6">
        <f t="shared" si="189"/>
        <v>0</v>
      </c>
    </row>
    <row r="12077" spans="3:4" ht="15" x14ac:dyDescent="0.25">
      <c r="C12077" s="8" t="e">
        <f>VLOOKUP(A:A,'ITEM LIST'!A:C,3,0)</f>
        <v>#N/A</v>
      </c>
      <c r="D12077" s="6">
        <f t="shared" si="189"/>
        <v>0</v>
      </c>
    </row>
    <row r="12078" spans="3:4" ht="15" x14ac:dyDescent="0.25">
      <c r="C12078" s="8" t="e">
        <f>VLOOKUP(A:A,'ITEM LIST'!A:C,3,0)</f>
        <v>#N/A</v>
      </c>
      <c r="D12078" s="6">
        <f t="shared" si="189"/>
        <v>0</v>
      </c>
    </row>
    <row r="12079" spans="3:4" ht="15" x14ac:dyDescent="0.25">
      <c r="C12079" s="8" t="e">
        <f>VLOOKUP(A:A,'ITEM LIST'!A:C,3,0)</f>
        <v>#N/A</v>
      </c>
      <c r="D12079" s="6">
        <f t="shared" si="189"/>
        <v>0</v>
      </c>
    </row>
    <row r="12080" spans="3:4" ht="15" x14ac:dyDescent="0.25">
      <c r="C12080" s="8" t="e">
        <f>VLOOKUP(A:A,'ITEM LIST'!A:C,3,0)</f>
        <v>#N/A</v>
      </c>
      <c r="D12080" s="6">
        <f t="shared" si="189"/>
        <v>0</v>
      </c>
    </row>
    <row r="12081" spans="3:4" ht="15" x14ac:dyDescent="0.25">
      <c r="C12081" s="8" t="e">
        <f>VLOOKUP(A:A,'ITEM LIST'!A:C,3,0)</f>
        <v>#N/A</v>
      </c>
      <c r="D12081" s="6">
        <f t="shared" si="189"/>
        <v>0</v>
      </c>
    </row>
    <row r="12082" spans="3:4" ht="15" x14ac:dyDescent="0.25">
      <c r="C12082" s="8" t="e">
        <f>VLOOKUP(A:A,'ITEM LIST'!A:C,3,0)</f>
        <v>#N/A</v>
      </c>
      <c r="D12082" s="6">
        <f t="shared" si="189"/>
        <v>0</v>
      </c>
    </row>
    <row r="12083" spans="3:4" ht="15" x14ac:dyDescent="0.25">
      <c r="C12083" s="8" t="e">
        <f>VLOOKUP(A:A,'ITEM LIST'!A:C,3,0)</f>
        <v>#N/A</v>
      </c>
      <c r="D12083" s="6">
        <f t="shared" si="189"/>
        <v>0</v>
      </c>
    </row>
    <row r="12084" spans="3:4" ht="15" x14ac:dyDescent="0.25">
      <c r="C12084" s="8" t="e">
        <f>VLOOKUP(A:A,'ITEM LIST'!A:C,3,0)</f>
        <v>#N/A</v>
      </c>
      <c r="D12084" s="6">
        <f t="shared" si="189"/>
        <v>0</v>
      </c>
    </row>
    <row r="12085" spans="3:4" ht="15" x14ac:dyDescent="0.25">
      <c r="C12085" s="8" t="e">
        <f>VLOOKUP(A:A,'ITEM LIST'!A:C,3,0)</f>
        <v>#N/A</v>
      </c>
      <c r="D12085" s="6">
        <f t="shared" si="189"/>
        <v>0</v>
      </c>
    </row>
    <row r="12086" spans="3:4" ht="15" x14ac:dyDescent="0.25">
      <c r="C12086" s="8" t="e">
        <f>VLOOKUP(A:A,'ITEM LIST'!A:C,3,0)</f>
        <v>#N/A</v>
      </c>
      <c r="D12086" s="6">
        <f t="shared" si="189"/>
        <v>0</v>
      </c>
    </row>
    <row r="12087" spans="3:4" ht="15" x14ac:dyDescent="0.25">
      <c r="C12087" s="8" t="e">
        <f>VLOOKUP(A:A,'ITEM LIST'!A:C,3,0)</f>
        <v>#N/A</v>
      </c>
      <c r="D12087" s="6">
        <f t="shared" si="189"/>
        <v>0</v>
      </c>
    </row>
    <row r="12088" spans="3:4" ht="15" x14ac:dyDescent="0.25">
      <c r="C12088" s="8" t="e">
        <f>VLOOKUP(A:A,'ITEM LIST'!A:C,3,0)</f>
        <v>#N/A</v>
      </c>
      <c r="D12088" s="6">
        <f t="shared" si="189"/>
        <v>0</v>
      </c>
    </row>
    <row r="12089" spans="3:4" ht="15" x14ac:dyDescent="0.25">
      <c r="C12089" s="8" t="e">
        <f>VLOOKUP(A:A,'ITEM LIST'!A:C,3,0)</f>
        <v>#N/A</v>
      </c>
      <c r="D12089" s="6">
        <f t="shared" si="189"/>
        <v>0</v>
      </c>
    </row>
    <row r="12090" spans="3:4" ht="15" x14ac:dyDescent="0.25">
      <c r="C12090" s="8" t="e">
        <f>VLOOKUP(A:A,'ITEM LIST'!A:C,3,0)</f>
        <v>#N/A</v>
      </c>
      <c r="D12090" s="6">
        <f t="shared" si="189"/>
        <v>0</v>
      </c>
    </row>
    <row r="12091" spans="3:4" ht="15" x14ac:dyDescent="0.25">
      <c r="C12091" s="8" t="e">
        <f>VLOOKUP(A:A,'ITEM LIST'!A:C,3,0)</f>
        <v>#N/A</v>
      </c>
      <c r="D12091" s="6">
        <f t="shared" si="189"/>
        <v>0</v>
      </c>
    </row>
    <row r="12092" spans="3:4" ht="15" x14ac:dyDescent="0.25">
      <c r="C12092" s="8" t="e">
        <f>VLOOKUP(A:A,'ITEM LIST'!A:C,3,0)</f>
        <v>#N/A</v>
      </c>
      <c r="D12092" s="6">
        <f t="shared" si="189"/>
        <v>0</v>
      </c>
    </row>
    <row r="12093" spans="3:4" ht="15" x14ac:dyDescent="0.25">
      <c r="C12093" s="8" t="e">
        <f>VLOOKUP(A:A,'ITEM LIST'!A:C,3,0)</f>
        <v>#N/A</v>
      </c>
      <c r="D12093" s="6">
        <f t="shared" si="189"/>
        <v>0</v>
      </c>
    </row>
    <row r="12094" spans="3:4" ht="15" x14ac:dyDescent="0.25">
      <c r="C12094" s="8" t="e">
        <f>VLOOKUP(A:A,'ITEM LIST'!A:C,3,0)</f>
        <v>#N/A</v>
      </c>
      <c r="D12094" s="6">
        <f t="shared" si="189"/>
        <v>0</v>
      </c>
    </row>
    <row r="12095" spans="3:4" ht="15" x14ac:dyDescent="0.25">
      <c r="C12095" s="8" t="e">
        <f>VLOOKUP(A:A,'ITEM LIST'!A:C,3,0)</f>
        <v>#N/A</v>
      </c>
      <c r="D12095" s="6">
        <f t="shared" si="189"/>
        <v>0</v>
      </c>
    </row>
    <row r="12096" spans="3:4" ht="15" x14ac:dyDescent="0.25">
      <c r="C12096" s="8" t="e">
        <f>VLOOKUP(A:A,'ITEM LIST'!A:C,3,0)</f>
        <v>#N/A</v>
      </c>
      <c r="D12096" s="6">
        <f t="shared" si="189"/>
        <v>0</v>
      </c>
    </row>
    <row r="12097" spans="3:4" ht="15" x14ac:dyDescent="0.25">
      <c r="C12097" s="8" t="e">
        <f>VLOOKUP(A:A,'ITEM LIST'!A:C,3,0)</f>
        <v>#N/A</v>
      </c>
      <c r="D12097" s="6">
        <f t="shared" si="189"/>
        <v>0</v>
      </c>
    </row>
    <row r="12098" spans="3:4" ht="15" x14ac:dyDescent="0.25">
      <c r="C12098" s="8" t="e">
        <f>VLOOKUP(A:A,'ITEM LIST'!A:C,3,0)</f>
        <v>#N/A</v>
      </c>
      <c r="D12098" s="6">
        <f t="shared" si="189"/>
        <v>0</v>
      </c>
    </row>
    <row r="12099" spans="3:4" ht="15" x14ac:dyDescent="0.25">
      <c r="C12099" s="8" t="e">
        <f>VLOOKUP(A:A,'ITEM LIST'!A:C,3,0)</f>
        <v>#N/A</v>
      </c>
      <c r="D12099" s="6">
        <f t="shared" si="189"/>
        <v>0</v>
      </c>
    </row>
    <row r="12100" spans="3:4" ht="15" x14ac:dyDescent="0.25">
      <c r="C12100" s="8" t="e">
        <f>VLOOKUP(A:A,'ITEM LIST'!A:C,3,0)</f>
        <v>#N/A</v>
      </c>
      <c r="D12100" s="6">
        <f t="shared" si="189"/>
        <v>0</v>
      </c>
    </row>
    <row r="12101" spans="3:4" ht="15" x14ac:dyDescent="0.25">
      <c r="C12101" s="8" t="e">
        <f>VLOOKUP(A:A,'ITEM LIST'!A:C,3,0)</f>
        <v>#N/A</v>
      </c>
      <c r="D12101" s="6">
        <f t="shared" si="189"/>
        <v>0</v>
      </c>
    </row>
    <row r="12102" spans="3:4" ht="15" x14ac:dyDescent="0.25">
      <c r="C12102" s="8" t="e">
        <f>VLOOKUP(A:A,'ITEM LIST'!A:C,3,0)</f>
        <v>#N/A</v>
      </c>
      <c r="D12102" s="6">
        <f t="shared" ref="D12102:D12165" si="190">B12102</f>
        <v>0</v>
      </c>
    </row>
    <row r="12103" spans="3:4" ht="15" x14ac:dyDescent="0.25">
      <c r="C12103" s="8" t="e">
        <f>VLOOKUP(A:A,'ITEM LIST'!A:C,3,0)</f>
        <v>#N/A</v>
      </c>
      <c r="D12103" s="6">
        <f t="shared" si="190"/>
        <v>0</v>
      </c>
    </row>
    <row r="12104" spans="3:4" ht="15" x14ac:dyDescent="0.25">
      <c r="C12104" s="8" t="e">
        <f>VLOOKUP(A:A,'ITEM LIST'!A:C,3,0)</f>
        <v>#N/A</v>
      </c>
      <c r="D12104" s="6">
        <f t="shared" si="190"/>
        <v>0</v>
      </c>
    </row>
    <row r="12105" spans="3:4" ht="15" x14ac:dyDescent="0.25">
      <c r="C12105" s="8" t="e">
        <f>VLOOKUP(A:A,'ITEM LIST'!A:C,3,0)</f>
        <v>#N/A</v>
      </c>
      <c r="D12105" s="6">
        <f t="shared" si="190"/>
        <v>0</v>
      </c>
    </row>
    <row r="12106" spans="3:4" ht="15" x14ac:dyDescent="0.25">
      <c r="C12106" s="8" t="e">
        <f>VLOOKUP(A:A,'ITEM LIST'!A:C,3,0)</f>
        <v>#N/A</v>
      </c>
      <c r="D12106" s="6">
        <f t="shared" si="190"/>
        <v>0</v>
      </c>
    </row>
    <row r="12107" spans="3:4" ht="15" x14ac:dyDescent="0.25">
      <c r="C12107" s="8" t="e">
        <f>VLOOKUP(A:A,'ITEM LIST'!A:C,3,0)</f>
        <v>#N/A</v>
      </c>
      <c r="D12107" s="6">
        <f t="shared" si="190"/>
        <v>0</v>
      </c>
    </row>
    <row r="12108" spans="3:4" ht="15" x14ac:dyDescent="0.25">
      <c r="C12108" s="8" t="e">
        <f>VLOOKUP(A:A,'ITEM LIST'!A:C,3,0)</f>
        <v>#N/A</v>
      </c>
      <c r="D12108" s="6">
        <f t="shared" si="190"/>
        <v>0</v>
      </c>
    </row>
    <row r="12109" spans="3:4" ht="15" x14ac:dyDescent="0.25">
      <c r="C12109" s="8" t="e">
        <f>VLOOKUP(A:A,'ITEM LIST'!A:C,3,0)</f>
        <v>#N/A</v>
      </c>
      <c r="D12109" s="6">
        <f t="shared" si="190"/>
        <v>0</v>
      </c>
    </row>
    <row r="12110" spans="3:4" ht="15" x14ac:dyDescent="0.25">
      <c r="C12110" s="8" t="e">
        <f>VLOOKUP(A:A,'ITEM LIST'!A:C,3,0)</f>
        <v>#N/A</v>
      </c>
      <c r="D12110" s="6">
        <f t="shared" si="190"/>
        <v>0</v>
      </c>
    </row>
    <row r="12111" spans="3:4" ht="15" x14ac:dyDescent="0.25">
      <c r="C12111" s="8" t="e">
        <f>VLOOKUP(A:A,'ITEM LIST'!A:C,3,0)</f>
        <v>#N/A</v>
      </c>
      <c r="D12111" s="6">
        <f t="shared" si="190"/>
        <v>0</v>
      </c>
    </row>
    <row r="12112" spans="3:4" ht="15" x14ac:dyDescent="0.25">
      <c r="C12112" s="8" t="e">
        <f>VLOOKUP(A:A,'ITEM LIST'!A:C,3,0)</f>
        <v>#N/A</v>
      </c>
      <c r="D12112" s="6">
        <f t="shared" si="190"/>
        <v>0</v>
      </c>
    </row>
    <row r="12113" spans="3:4" ht="15" x14ac:dyDescent="0.25">
      <c r="C12113" s="8" t="e">
        <f>VLOOKUP(A:A,'ITEM LIST'!A:C,3,0)</f>
        <v>#N/A</v>
      </c>
      <c r="D12113" s="6">
        <f t="shared" si="190"/>
        <v>0</v>
      </c>
    </row>
    <row r="12114" spans="3:4" ht="15" x14ac:dyDescent="0.25">
      <c r="C12114" s="8" t="e">
        <f>VLOOKUP(A:A,'ITEM LIST'!A:C,3,0)</f>
        <v>#N/A</v>
      </c>
      <c r="D12114" s="6">
        <f t="shared" si="190"/>
        <v>0</v>
      </c>
    </row>
    <row r="12115" spans="3:4" ht="15" x14ac:dyDescent="0.25">
      <c r="C12115" s="8" t="e">
        <f>VLOOKUP(A:A,'ITEM LIST'!A:C,3,0)</f>
        <v>#N/A</v>
      </c>
      <c r="D12115" s="6">
        <f t="shared" si="190"/>
        <v>0</v>
      </c>
    </row>
    <row r="12116" spans="3:4" ht="15" x14ac:dyDescent="0.25">
      <c r="C12116" s="8" t="e">
        <f>VLOOKUP(A:A,'ITEM LIST'!A:C,3,0)</f>
        <v>#N/A</v>
      </c>
      <c r="D12116" s="6">
        <f t="shared" si="190"/>
        <v>0</v>
      </c>
    </row>
    <row r="12117" spans="3:4" ht="15" x14ac:dyDescent="0.25">
      <c r="C12117" s="8" t="e">
        <f>VLOOKUP(A:A,'ITEM LIST'!A:C,3,0)</f>
        <v>#N/A</v>
      </c>
      <c r="D12117" s="6">
        <f t="shared" si="190"/>
        <v>0</v>
      </c>
    </row>
    <row r="12118" spans="3:4" ht="15" x14ac:dyDescent="0.25">
      <c r="C12118" s="8" t="e">
        <f>VLOOKUP(A:A,'ITEM LIST'!A:C,3,0)</f>
        <v>#N/A</v>
      </c>
      <c r="D12118" s="6">
        <f t="shared" si="190"/>
        <v>0</v>
      </c>
    </row>
    <row r="12119" spans="3:4" ht="15" x14ac:dyDescent="0.25">
      <c r="C12119" s="8" t="e">
        <f>VLOOKUP(A:A,'ITEM LIST'!A:C,3,0)</f>
        <v>#N/A</v>
      </c>
      <c r="D12119" s="6">
        <f t="shared" si="190"/>
        <v>0</v>
      </c>
    </row>
    <row r="12120" spans="3:4" ht="15" x14ac:dyDescent="0.25">
      <c r="C12120" s="8" t="e">
        <f>VLOOKUP(A:A,'ITEM LIST'!A:C,3,0)</f>
        <v>#N/A</v>
      </c>
      <c r="D12120" s="6">
        <f t="shared" si="190"/>
        <v>0</v>
      </c>
    </row>
    <row r="12121" spans="3:4" ht="15" x14ac:dyDescent="0.25">
      <c r="C12121" s="8" t="e">
        <f>VLOOKUP(A:A,'ITEM LIST'!A:C,3,0)</f>
        <v>#N/A</v>
      </c>
      <c r="D12121" s="6">
        <f t="shared" si="190"/>
        <v>0</v>
      </c>
    </row>
    <row r="12122" spans="3:4" ht="15" x14ac:dyDescent="0.25">
      <c r="C12122" s="8" t="e">
        <f>VLOOKUP(A:A,'ITEM LIST'!A:C,3,0)</f>
        <v>#N/A</v>
      </c>
      <c r="D12122" s="6">
        <f t="shared" si="190"/>
        <v>0</v>
      </c>
    </row>
    <row r="12123" spans="3:4" ht="15" x14ac:dyDescent="0.25">
      <c r="C12123" s="8" t="e">
        <f>VLOOKUP(A:A,'ITEM LIST'!A:C,3,0)</f>
        <v>#N/A</v>
      </c>
      <c r="D12123" s="6">
        <f t="shared" si="190"/>
        <v>0</v>
      </c>
    </row>
    <row r="12124" spans="3:4" ht="15" x14ac:dyDescent="0.25">
      <c r="C12124" s="8" t="e">
        <f>VLOOKUP(A:A,'ITEM LIST'!A:C,3,0)</f>
        <v>#N/A</v>
      </c>
      <c r="D12124" s="6">
        <f t="shared" si="190"/>
        <v>0</v>
      </c>
    </row>
    <row r="12125" spans="3:4" ht="15" x14ac:dyDescent="0.25">
      <c r="C12125" s="8" t="e">
        <f>VLOOKUP(A:A,'ITEM LIST'!A:C,3,0)</f>
        <v>#N/A</v>
      </c>
      <c r="D12125" s="6">
        <f t="shared" si="190"/>
        <v>0</v>
      </c>
    </row>
    <row r="12126" spans="3:4" ht="15" x14ac:dyDescent="0.25">
      <c r="C12126" s="8" t="e">
        <f>VLOOKUP(A:A,'ITEM LIST'!A:C,3,0)</f>
        <v>#N/A</v>
      </c>
      <c r="D12126" s="6">
        <f t="shared" si="190"/>
        <v>0</v>
      </c>
    </row>
    <row r="12127" spans="3:4" ht="15" x14ac:dyDescent="0.25">
      <c r="C12127" s="8" t="e">
        <f>VLOOKUP(A:A,'ITEM LIST'!A:C,3,0)</f>
        <v>#N/A</v>
      </c>
      <c r="D12127" s="6">
        <f t="shared" si="190"/>
        <v>0</v>
      </c>
    </row>
    <row r="12128" spans="3:4" ht="15" x14ac:dyDescent="0.25">
      <c r="C12128" s="8" t="e">
        <f>VLOOKUP(A:A,'ITEM LIST'!A:C,3,0)</f>
        <v>#N/A</v>
      </c>
      <c r="D12128" s="6">
        <f t="shared" si="190"/>
        <v>0</v>
      </c>
    </row>
    <row r="12129" spans="3:4" ht="15" x14ac:dyDescent="0.25">
      <c r="C12129" s="8" t="e">
        <f>VLOOKUP(A:A,'ITEM LIST'!A:C,3,0)</f>
        <v>#N/A</v>
      </c>
      <c r="D12129" s="6">
        <f t="shared" si="190"/>
        <v>0</v>
      </c>
    </row>
    <row r="12130" spans="3:4" ht="15" x14ac:dyDescent="0.25">
      <c r="C12130" s="8" t="e">
        <f>VLOOKUP(A:A,'ITEM LIST'!A:C,3,0)</f>
        <v>#N/A</v>
      </c>
      <c r="D12130" s="6">
        <f t="shared" si="190"/>
        <v>0</v>
      </c>
    </row>
    <row r="12131" spans="3:4" ht="15" x14ac:dyDescent="0.25">
      <c r="C12131" s="8" t="e">
        <f>VLOOKUP(A:A,'ITEM LIST'!A:C,3,0)</f>
        <v>#N/A</v>
      </c>
      <c r="D12131" s="6">
        <f t="shared" si="190"/>
        <v>0</v>
      </c>
    </row>
    <row r="12132" spans="3:4" ht="15" x14ac:dyDescent="0.25">
      <c r="C12132" s="8" t="e">
        <f>VLOOKUP(A:A,'ITEM LIST'!A:C,3,0)</f>
        <v>#N/A</v>
      </c>
      <c r="D12132" s="6">
        <f t="shared" si="190"/>
        <v>0</v>
      </c>
    </row>
    <row r="12133" spans="3:4" ht="15" x14ac:dyDescent="0.25">
      <c r="C12133" s="8" t="e">
        <f>VLOOKUP(A:A,'ITEM LIST'!A:C,3,0)</f>
        <v>#N/A</v>
      </c>
      <c r="D12133" s="6">
        <f t="shared" si="190"/>
        <v>0</v>
      </c>
    </row>
    <row r="12134" spans="3:4" ht="15" x14ac:dyDescent="0.25">
      <c r="C12134" s="8" t="e">
        <f>VLOOKUP(A:A,'ITEM LIST'!A:C,3,0)</f>
        <v>#N/A</v>
      </c>
      <c r="D12134" s="6">
        <f t="shared" si="190"/>
        <v>0</v>
      </c>
    </row>
    <row r="12135" spans="3:4" ht="15" x14ac:dyDescent="0.25">
      <c r="C12135" s="8" t="e">
        <f>VLOOKUP(A:A,'ITEM LIST'!A:C,3,0)</f>
        <v>#N/A</v>
      </c>
      <c r="D12135" s="6">
        <f t="shared" si="190"/>
        <v>0</v>
      </c>
    </row>
    <row r="12136" spans="3:4" ht="15" x14ac:dyDescent="0.25">
      <c r="C12136" s="8" t="e">
        <f>VLOOKUP(A:A,'ITEM LIST'!A:C,3,0)</f>
        <v>#N/A</v>
      </c>
      <c r="D12136" s="6">
        <f t="shared" si="190"/>
        <v>0</v>
      </c>
    </row>
    <row r="12137" spans="3:4" ht="15" x14ac:dyDescent="0.25">
      <c r="C12137" s="8" t="e">
        <f>VLOOKUP(A:A,'ITEM LIST'!A:C,3,0)</f>
        <v>#N/A</v>
      </c>
      <c r="D12137" s="6">
        <f t="shared" si="190"/>
        <v>0</v>
      </c>
    </row>
    <row r="12138" spans="3:4" ht="15" x14ac:dyDescent="0.25">
      <c r="C12138" s="8" t="e">
        <f>VLOOKUP(A:A,'ITEM LIST'!A:C,3,0)</f>
        <v>#N/A</v>
      </c>
      <c r="D12138" s="6">
        <f t="shared" si="190"/>
        <v>0</v>
      </c>
    </row>
    <row r="12139" spans="3:4" ht="15" x14ac:dyDescent="0.25">
      <c r="C12139" s="8" t="e">
        <f>VLOOKUP(A:A,'ITEM LIST'!A:C,3,0)</f>
        <v>#N/A</v>
      </c>
      <c r="D12139" s="6">
        <f t="shared" si="190"/>
        <v>0</v>
      </c>
    </row>
    <row r="12140" spans="3:4" ht="15" x14ac:dyDescent="0.25">
      <c r="C12140" s="8" t="e">
        <f>VLOOKUP(A:A,'ITEM LIST'!A:C,3,0)</f>
        <v>#N/A</v>
      </c>
      <c r="D12140" s="6">
        <f t="shared" si="190"/>
        <v>0</v>
      </c>
    </row>
    <row r="12141" spans="3:4" ht="15" x14ac:dyDescent="0.25">
      <c r="C12141" s="8" t="e">
        <f>VLOOKUP(A:A,'ITEM LIST'!A:C,3,0)</f>
        <v>#N/A</v>
      </c>
      <c r="D12141" s="6">
        <f t="shared" si="190"/>
        <v>0</v>
      </c>
    </row>
    <row r="12142" spans="3:4" ht="15" x14ac:dyDescent="0.25">
      <c r="C12142" s="8" t="e">
        <f>VLOOKUP(A:A,'ITEM LIST'!A:C,3,0)</f>
        <v>#N/A</v>
      </c>
      <c r="D12142" s="6">
        <f t="shared" si="190"/>
        <v>0</v>
      </c>
    </row>
    <row r="12143" spans="3:4" ht="15" x14ac:dyDescent="0.25">
      <c r="C12143" s="8" t="e">
        <f>VLOOKUP(A:A,'ITEM LIST'!A:C,3,0)</f>
        <v>#N/A</v>
      </c>
      <c r="D12143" s="6">
        <f t="shared" si="190"/>
        <v>0</v>
      </c>
    </row>
    <row r="12144" spans="3:4" ht="15" x14ac:dyDescent="0.25">
      <c r="C12144" s="8" t="e">
        <f>VLOOKUP(A:A,'ITEM LIST'!A:C,3,0)</f>
        <v>#N/A</v>
      </c>
      <c r="D12144" s="6">
        <f t="shared" si="190"/>
        <v>0</v>
      </c>
    </row>
    <row r="12145" spans="3:4" ht="15" x14ac:dyDescent="0.25">
      <c r="C12145" s="8" t="e">
        <f>VLOOKUP(A:A,'ITEM LIST'!A:C,3,0)</f>
        <v>#N/A</v>
      </c>
      <c r="D12145" s="6">
        <f t="shared" si="190"/>
        <v>0</v>
      </c>
    </row>
    <row r="12146" spans="3:4" ht="15" x14ac:dyDescent="0.25">
      <c r="C12146" s="8" t="e">
        <f>VLOOKUP(A:A,'ITEM LIST'!A:C,3,0)</f>
        <v>#N/A</v>
      </c>
      <c r="D12146" s="6">
        <f t="shared" si="190"/>
        <v>0</v>
      </c>
    </row>
    <row r="12147" spans="3:4" ht="15" x14ac:dyDescent="0.25">
      <c r="C12147" s="8" t="e">
        <f>VLOOKUP(A:A,'ITEM LIST'!A:C,3,0)</f>
        <v>#N/A</v>
      </c>
      <c r="D12147" s="6">
        <f t="shared" si="190"/>
        <v>0</v>
      </c>
    </row>
    <row r="12148" spans="3:4" ht="15" x14ac:dyDescent="0.25">
      <c r="C12148" s="8" t="e">
        <f>VLOOKUP(A:A,'ITEM LIST'!A:C,3,0)</f>
        <v>#N/A</v>
      </c>
      <c r="D12148" s="6">
        <f t="shared" si="190"/>
        <v>0</v>
      </c>
    </row>
    <row r="12149" spans="3:4" ht="15" x14ac:dyDescent="0.25">
      <c r="C12149" s="8" t="e">
        <f>VLOOKUP(A:A,'ITEM LIST'!A:C,3,0)</f>
        <v>#N/A</v>
      </c>
      <c r="D12149" s="6">
        <f t="shared" si="190"/>
        <v>0</v>
      </c>
    </row>
    <row r="12150" spans="3:4" ht="15" x14ac:dyDescent="0.25">
      <c r="C12150" s="8" t="e">
        <f>VLOOKUP(A:A,'ITEM LIST'!A:C,3,0)</f>
        <v>#N/A</v>
      </c>
      <c r="D12150" s="6">
        <f t="shared" si="190"/>
        <v>0</v>
      </c>
    </row>
    <row r="12151" spans="3:4" ht="15" x14ac:dyDescent="0.25">
      <c r="C12151" s="8" t="e">
        <f>VLOOKUP(A:A,'ITEM LIST'!A:C,3,0)</f>
        <v>#N/A</v>
      </c>
      <c r="D12151" s="6">
        <f t="shared" si="190"/>
        <v>0</v>
      </c>
    </row>
    <row r="12152" spans="3:4" ht="15" x14ac:dyDescent="0.25">
      <c r="C12152" s="8" t="e">
        <f>VLOOKUP(A:A,'ITEM LIST'!A:C,3,0)</f>
        <v>#N/A</v>
      </c>
      <c r="D12152" s="6">
        <f t="shared" si="190"/>
        <v>0</v>
      </c>
    </row>
    <row r="12153" spans="3:4" ht="15" x14ac:dyDescent="0.25">
      <c r="C12153" s="8" t="e">
        <f>VLOOKUP(A:A,'ITEM LIST'!A:C,3,0)</f>
        <v>#N/A</v>
      </c>
      <c r="D12153" s="6">
        <f t="shared" si="190"/>
        <v>0</v>
      </c>
    </row>
    <row r="12154" spans="3:4" ht="15" x14ac:dyDescent="0.25">
      <c r="C12154" s="8" t="e">
        <f>VLOOKUP(A:A,'ITEM LIST'!A:C,3,0)</f>
        <v>#N/A</v>
      </c>
      <c r="D12154" s="6">
        <f t="shared" si="190"/>
        <v>0</v>
      </c>
    </row>
    <row r="12155" spans="3:4" ht="15" x14ac:dyDescent="0.25">
      <c r="C12155" s="8" t="e">
        <f>VLOOKUP(A:A,'ITEM LIST'!A:C,3,0)</f>
        <v>#N/A</v>
      </c>
      <c r="D12155" s="6">
        <f t="shared" si="190"/>
        <v>0</v>
      </c>
    </row>
    <row r="12156" spans="3:4" ht="15" x14ac:dyDescent="0.25">
      <c r="C12156" s="8" t="e">
        <f>VLOOKUP(A:A,'ITEM LIST'!A:C,3,0)</f>
        <v>#N/A</v>
      </c>
      <c r="D12156" s="6">
        <f t="shared" si="190"/>
        <v>0</v>
      </c>
    </row>
    <row r="12157" spans="3:4" ht="15" x14ac:dyDescent="0.25">
      <c r="C12157" s="8" t="e">
        <f>VLOOKUP(A:A,'ITEM LIST'!A:C,3,0)</f>
        <v>#N/A</v>
      </c>
      <c r="D12157" s="6">
        <f t="shared" si="190"/>
        <v>0</v>
      </c>
    </row>
    <row r="12158" spans="3:4" ht="15" x14ac:dyDescent="0.25">
      <c r="C12158" s="8" t="e">
        <f>VLOOKUP(A:A,'ITEM LIST'!A:C,3,0)</f>
        <v>#N/A</v>
      </c>
      <c r="D12158" s="6">
        <f t="shared" si="190"/>
        <v>0</v>
      </c>
    </row>
    <row r="12159" spans="3:4" ht="15" x14ac:dyDescent="0.25">
      <c r="C12159" s="8" t="e">
        <f>VLOOKUP(A:A,'ITEM LIST'!A:C,3,0)</f>
        <v>#N/A</v>
      </c>
      <c r="D12159" s="6">
        <f t="shared" si="190"/>
        <v>0</v>
      </c>
    </row>
    <row r="12160" spans="3:4" ht="15" x14ac:dyDescent="0.25">
      <c r="C12160" s="8" t="e">
        <f>VLOOKUP(A:A,'ITEM LIST'!A:C,3,0)</f>
        <v>#N/A</v>
      </c>
      <c r="D12160" s="6">
        <f t="shared" si="190"/>
        <v>0</v>
      </c>
    </row>
    <row r="12161" spans="3:4" ht="15" x14ac:dyDescent="0.25">
      <c r="C12161" s="8" t="e">
        <f>VLOOKUP(A:A,'ITEM LIST'!A:C,3,0)</f>
        <v>#N/A</v>
      </c>
      <c r="D12161" s="6">
        <f t="shared" si="190"/>
        <v>0</v>
      </c>
    </row>
    <row r="12162" spans="3:4" ht="15" x14ac:dyDescent="0.25">
      <c r="C12162" s="8" t="e">
        <f>VLOOKUP(A:A,'ITEM LIST'!A:C,3,0)</f>
        <v>#N/A</v>
      </c>
      <c r="D12162" s="6">
        <f t="shared" si="190"/>
        <v>0</v>
      </c>
    </row>
    <row r="12163" spans="3:4" ht="15" x14ac:dyDescent="0.25">
      <c r="C12163" s="8" t="e">
        <f>VLOOKUP(A:A,'ITEM LIST'!A:C,3,0)</f>
        <v>#N/A</v>
      </c>
      <c r="D12163" s="6">
        <f t="shared" si="190"/>
        <v>0</v>
      </c>
    </row>
    <row r="12164" spans="3:4" ht="15" x14ac:dyDescent="0.25">
      <c r="C12164" s="8" t="e">
        <f>VLOOKUP(A:A,'ITEM LIST'!A:C,3,0)</f>
        <v>#N/A</v>
      </c>
      <c r="D12164" s="6">
        <f t="shared" si="190"/>
        <v>0</v>
      </c>
    </row>
    <row r="12165" spans="3:4" ht="15" x14ac:dyDescent="0.25">
      <c r="C12165" s="8" t="e">
        <f>VLOOKUP(A:A,'ITEM LIST'!A:C,3,0)</f>
        <v>#N/A</v>
      </c>
      <c r="D12165" s="6">
        <f t="shared" si="190"/>
        <v>0</v>
      </c>
    </row>
    <row r="12166" spans="3:4" ht="15" x14ac:dyDescent="0.25">
      <c r="C12166" s="8" t="e">
        <f>VLOOKUP(A:A,'ITEM LIST'!A:C,3,0)</f>
        <v>#N/A</v>
      </c>
      <c r="D12166" s="6">
        <f t="shared" ref="D12166:D12229" si="191">B12166</f>
        <v>0</v>
      </c>
    </row>
    <row r="12167" spans="3:4" ht="15" x14ac:dyDescent="0.25">
      <c r="C12167" s="8" t="e">
        <f>VLOOKUP(A:A,'ITEM LIST'!A:C,3,0)</f>
        <v>#N/A</v>
      </c>
      <c r="D12167" s="6">
        <f t="shared" si="191"/>
        <v>0</v>
      </c>
    </row>
    <row r="12168" spans="3:4" ht="15" x14ac:dyDescent="0.25">
      <c r="C12168" s="8" t="e">
        <f>VLOOKUP(A:A,'ITEM LIST'!A:C,3,0)</f>
        <v>#N/A</v>
      </c>
      <c r="D12168" s="6">
        <f t="shared" si="191"/>
        <v>0</v>
      </c>
    </row>
    <row r="12169" spans="3:4" ht="15" x14ac:dyDescent="0.25">
      <c r="C12169" s="8" t="e">
        <f>VLOOKUP(A:A,'ITEM LIST'!A:C,3,0)</f>
        <v>#N/A</v>
      </c>
      <c r="D12169" s="6">
        <f t="shared" si="191"/>
        <v>0</v>
      </c>
    </row>
    <row r="12170" spans="3:4" ht="15" x14ac:dyDescent="0.25">
      <c r="C12170" s="8" t="e">
        <f>VLOOKUP(A:A,'ITEM LIST'!A:C,3,0)</f>
        <v>#N/A</v>
      </c>
      <c r="D12170" s="6">
        <f t="shared" si="191"/>
        <v>0</v>
      </c>
    </row>
    <row r="12171" spans="3:4" ht="15" x14ac:dyDescent="0.25">
      <c r="C12171" s="8" t="e">
        <f>VLOOKUP(A:A,'ITEM LIST'!A:C,3,0)</f>
        <v>#N/A</v>
      </c>
      <c r="D12171" s="6">
        <f t="shared" si="191"/>
        <v>0</v>
      </c>
    </row>
    <row r="12172" spans="3:4" ht="15" x14ac:dyDescent="0.25">
      <c r="C12172" s="8" t="e">
        <f>VLOOKUP(A:A,'ITEM LIST'!A:C,3,0)</f>
        <v>#N/A</v>
      </c>
      <c r="D12172" s="6">
        <f t="shared" si="191"/>
        <v>0</v>
      </c>
    </row>
    <row r="12173" spans="3:4" ht="15" x14ac:dyDescent="0.25">
      <c r="C12173" s="8" t="e">
        <f>VLOOKUP(A:A,'ITEM LIST'!A:C,3,0)</f>
        <v>#N/A</v>
      </c>
      <c r="D12173" s="6">
        <f t="shared" si="191"/>
        <v>0</v>
      </c>
    </row>
    <row r="12174" spans="3:4" ht="15" x14ac:dyDescent="0.25">
      <c r="C12174" s="8" t="e">
        <f>VLOOKUP(A:A,'ITEM LIST'!A:C,3,0)</f>
        <v>#N/A</v>
      </c>
      <c r="D12174" s="6">
        <f t="shared" si="191"/>
        <v>0</v>
      </c>
    </row>
    <row r="12175" spans="3:4" ht="15" x14ac:dyDescent="0.25">
      <c r="C12175" s="8" t="e">
        <f>VLOOKUP(A:A,'ITEM LIST'!A:C,3,0)</f>
        <v>#N/A</v>
      </c>
      <c r="D12175" s="6">
        <f t="shared" si="191"/>
        <v>0</v>
      </c>
    </row>
    <row r="12176" spans="3:4" ht="15" x14ac:dyDescent="0.25">
      <c r="C12176" s="8" t="e">
        <f>VLOOKUP(A:A,'ITEM LIST'!A:C,3,0)</f>
        <v>#N/A</v>
      </c>
      <c r="D12176" s="6">
        <f t="shared" si="191"/>
        <v>0</v>
      </c>
    </row>
    <row r="12177" spans="3:4" ht="15" x14ac:dyDescent="0.25">
      <c r="C12177" s="8" t="e">
        <f>VLOOKUP(A:A,'ITEM LIST'!A:C,3,0)</f>
        <v>#N/A</v>
      </c>
      <c r="D12177" s="6">
        <f t="shared" si="191"/>
        <v>0</v>
      </c>
    </row>
    <row r="12178" spans="3:4" ht="15" x14ac:dyDescent="0.25">
      <c r="C12178" s="8" t="e">
        <f>VLOOKUP(A:A,'ITEM LIST'!A:C,3,0)</f>
        <v>#N/A</v>
      </c>
      <c r="D12178" s="6">
        <f t="shared" si="191"/>
        <v>0</v>
      </c>
    </row>
    <row r="12179" spans="3:4" ht="15" x14ac:dyDescent="0.25">
      <c r="C12179" s="8" t="e">
        <f>VLOOKUP(A:A,'ITEM LIST'!A:C,3,0)</f>
        <v>#N/A</v>
      </c>
      <c r="D12179" s="6">
        <f t="shared" si="191"/>
        <v>0</v>
      </c>
    </row>
    <row r="12180" spans="3:4" ht="15" x14ac:dyDescent="0.25">
      <c r="C12180" s="8" t="e">
        <f>VLOOKUP(A:A,'ITEM LIST'!A:C,3,0)</f>
        <v>#N/A</v>
      </c>
      <c r="D12180" s="6">
        <f t="shared" si="191"/>
        <v>0</v>
      </c>
    </row>
    <row r="12181" spans="3:4" ht="15" x14ac:dyDescent="0.25">
      <c r="C12181" s="8" t="e">
        <f>VLOOKUP(A:A,'ITEM LIST'!A:C,3,0)</f>
        <v>#N/A</v>
      </c>
      <c r="D12181" s="6">
        <f t="shared" si="191"/>
        <v>0</v>
      </c>
    </row>
    <row r="12182" spans="3:4" ht="15" x14ac:dyDescent="0.25">
      <c r="C12182" s="8" t="e">
        <f>VLOOKUP(A:A,'ITEM LIST'!A:C,3,0)</f>
        <v>#N/A</v>
      </c>
      <c r="D12182" s="6">
        <f t="shared" si="191"/>
        <v>0</v>
      </c>
    </row>
    <row r="12183" spans="3:4" ht="15" x14ac:dyDescent="0.25">
      <c r="C12183" s="8" t="e">
        <f>VLOOKUP(A:A,'ITEM LIST'!A:C,3,0)</f>
        <v>#N/A</v>
      </c>
      <c r="D12183" s="6">
        <f t="shared" si="191"/>
        <v>0</v>
      </c>
    </row>
    <row r="12184" spans="3:4" ht="15" x14ac:dyDescent="0.25">
      <c r="C12184" s="8" t="e">
        <f>VLOOKUP(A:A,'ITEM LIST'!A:C,3,0)</f>
        <v>#N/A</v>
      </c>
      <c r="D12184" s="6">
        <f t="shared" si="191"/>
        <v>0</v>
      </c>
    </row>
    <row r="12185" spans="3:4" ht="15" x14ac:dyDescent="0.25">
      <c r="C12185" s="8" t="e">
        <f>VLOOKUP(A:A,'ITEM LIST'!A:C,3,0)</f>
        <v>#N/A</v>
      </c>
      <c r="D12185" s="6">
        <f t="shared" si="191"/>
        <v>0</v>
      </c>
    </row>
    <row r="12186" spans="3:4" ht="15" x14ac:dyDescent="0.25">
      <c r="C12186" s="8" t="e">
        <f>VLOOKUP(A:A,'ITEM LIST'!A:C,3,0)</f>
        <v>#N/A</v>
      </c>
      <c r="D12186" s="6">
        <f t="shared" si="191"/>
        <v>0</v>
      </c>
    </row>
    <row r="12187" spans="3:4" ht="15" x14ac:dyDescent="0.25">
      <c r="C12187" s="8" t="e">
        <f>VLOOKUP(A:A,'ITEM LIST'!A:C,3,0)</f>
        <v>#N/A</v>
      </c>
      <c r="D12187" s="6">
        <f t="shared" si="191"/>
        <v>0</v>
      </c>
    </row>
    <row r="12188" spans="3:4" ht="15" x14ac:dyDescent="0.25">
      <c r="C12188" s="8" t="e">
        <f>VLOOKUP(A:A,'ITEM LIST'!A:C,3,0)</f>
        <v>#N/A</v>
      </c>
      <c r="D12188" s="6">
        <f t="shared" si="191"/>
        <v>0</v>
      </c>
    </row>
    <row r="12189" spans="3:4" ht="15" x14ac:dyDescent="0.25">
      <c r="C12189" s="8" t="e">
        <f>VLOOKUP(A:A,'ITEM LIST'!A:C,3,0)</f>
        <v>#N/A</v>
      </c>
      <c r="D12189" s="6">
        <f t="shared" si="191"/>
        <v>0</v>
      </c>
    </row>
    <row r="12190" spans="3:4" ht="15" x14ac:dyDescent="0.25">
      <c r="C12190" s="8" t="e">
        <f>VLOOKUP(A:A,'ITEM LIST'!A:C,3,0)</f>
        <v>#N/A</v>
      </c>
      <c r="D12190" s="6">
        <f t="shared" si="191"/>
        <v>0</v>
      </c>
    </row>
    <row r="12191" spans="3:4" ht="15" x14ac:dyDescent="0.25">
      <c r="C12191" s="8" t="e">
        <f>VLOOKUP(A:A,'ITEM LIST'!A:C,3,0)</f>
        <v>#N/A</v>
      </c>
      <c r="D12191" s="6">
        <f t="shared" si="191"/>
        <v>0</v>
      </c>
    </row>
    <row r="12192" spans="3:4" ht="15" x14ac:dyDescent="0.25">
      <c r="C12192" s="8" t="e">
        <f>VLOOKUP(A:A,'ITEM LIST'!A:C,3,0)</f>
        <v>#N/A</v>
      </c>
      <c r="D12192" s="6">
        <f t="shared" si="191"/>
        <v>0</v>
      </c>
    </row>
    <row r="12193" spans="3:4" ht="15" x14ac:dyDescent="0.25">
      <c r="C12193" s="8" t="e">
        <f>VLOOKUP(A:A,'ITEM LIST'!A:C,3,0)</f>
        <v>#N/A</v>
      </c>
      <c r="D12193" s="6">
        <f t="shared" si="191"/>
        <v>0</v>
      </c>
    </row>
    <row r="12194" spans="3:4" ht="15" x14ac:dyDescent="0.25">
      <c r="C12194" s="8" t="e">
        <f>VLOOKUP(A:A,'ITEM LIST'!A:C,3,0)</f>
        <v>#N/A</v>
      </c>
      <c r="D12194" s="6">
        <f t="shared" si="191"/>
        <v>0</v>
      </c>
    </row>
    <row r="12195" spans="3:4" ht="15" x14ac:dyDescent="0.25">
      <c r="C12195" s="8" t="e">
        <f>VLOOKUP(A:A,'ITEM LIST'!A:C,3,0)</f>
        <v>#N/A</v>
      </c>
      <c r="D12195" s="6">
        <f t="shared" si="191"/>
        <v>0</v>
      </c>
    </row>
    <row r="12196" spans="3:4" ht="15" x14ac:dyDescent="0.25">
      <c r="C12196" s="8" t="e">
        <f>VLOOKUP(A:A,'ITEM LIST'!A:C,3,0)</f>
        <v>#N/A</v>
      </c>
      <c r="D12196" s="6">
        <f t="shared" si="191"/>
        <v>0</v>
      </c>
    </row>
    <row r="12197" spans="3:4" ht="15" x14ac:dyDescent="0.25">
      <c r="C12197" s="8" t="e">
        <f>VLOOKUP(A:A,'ITEM LIST'!A:C,3,0)</f>
        <v>#N/A</v>
      </c>
      <c r="D12197" s="6">
        <f t="shared" si="191"/>
        <v>0</v>
      </c>
    </row>
    <row r="12198" spans="3:4" ht="15" x14ac:dyDescent="0.25">
      <c r="C12198" s="8" t="e">
        <f>VLOOKUP(A:A,'ITEM LIST'!A:C,3,0)</f>
        <v>#N/A</v>
      </c>
      <c r="D12198" s="6">
        <f t="shared" si="191"/>
        <v>0</v>
      </c>
    </row>
    <row r="12199" spans="3:4" ht="15" x14ac:dyDescent="0.25">
      <c r="C12199" s="8" t="e">
        <f>VLOOKUP(A:A,'ITEM LIST'!A:C,3,0)</f>
        <v>#N/A</v>
      </c>
      <c r="D12199" s="6">
        <f t="shared" si="191"/>
        <v>0</v>
      </c>
    </row>
    <row r="12200" spans="3:4" ht="15" x14ac:dyDescent="0.25">
      <c r="C12200" s="8" t="e">
        <f>VLOOKUP(A:A,'ITEM LIST'!A:C,3,0)</f>
        <v>#N/A</v>
      </c>
      <c r="D12200" s="6">
        <f t="shared" si="191"/>
        <v>0</v>
      </c>
    </row>
    <row r="12201" spans="3:4" ht="15" x14ac:dyDescent="0.25">
      <c r="C12201" s="8" t="e">
        <f>VLOOKUP(A:A,'ITEM LIST'!A:C,3,0)</f>
        <v>#N/A</v>
      </c>
      <c r="D12201" s="6">
        <f t="shared" si="191"/>
        <v>0</v>
      </c>
    </row>
    <row r="12202" spans="3:4" ht="15" x14ac:dyDescent="0.25">
      <c r="C12202" s="8" t="e">
        <f>VLOOKUP(A:A,'ITEM LIST'!A:C,3,0)</f>
        <v>#N/A</v>
      </c>
      <c r="D12202" s="6">
        <f t="shared" si="191"/>
        <v>0</v>
      </c>
    </row>
    <row r="12203" spans="3:4" ht="15" x14ac:dyDescent="0.25">
      <c r="C12203" s="8" t="e">
        <f>VLOOKUP(A:A,'ITEM LIST'!A:C,3,0)</f>
        <v>#N/A</v>
      </c>
      <c r="D12203" s="6">
        <f t="shared" si="191"/>
        <v>0</v>
      </c>
    </row>
    <row r="12204" spans="3:4" ht="15" x14ac:dyDescent="0.25">
      <c r="C12204" s="8" t="e">
        <f>VLOOKUP(A:A,'ITEM LIST'!A:C,3,0)</f>
        <v>#N/A</v>
      </c>
      <c r="D12204" s="6">
        <f t="shared" si="191"/>
        <v>0</v>
      </c>
    </row>
    <row r="12205" spans="3:4" ht="15" x14ac:dyDescent="0.25">
      <c r="C12205" s="8" t="e">
        <f>VLOOKUP(A:A,'ITEM LIST'!A:C,3,0)</f>
        <v>#N/A</v>
      </c>
      <c r="D12205" s="6">
        <f t="shared" si="191"/>
        <v>0</v>
      </c>
    </row>
    <row r="12206" spans="3:4" ht="15" x14ac:dyDescent="0.25">
      <c r="C12206" s="8" t="e">
        <f>VLOOKUP(A:A,'ITEM LIST'!A:C,3,0)</f>
        <v>#N/A</v>
      </c>
      <c r="D12206" s="6">
        <f t="shared" si="191"/>
        <v>0</v>
      </c>
    </row>
    <row r="12207" spans="3:4" ht="15" x14ac:dyDescent="0.25">
      <c r="C12207" s="8" t="e">
        <f>VLOOKUP(A:A,'ITEM LIST'!A:C,3,0)</f>
        <v>#N/A</v>
      </c>
      <c r="D12207" s="6">
        <f t="shared" si="191"/>
        <v>0</v>
      </c>
    </row>
    <row r="12208" spans="3:4" ht="15" x14ac:dyDescent="0.25">
      <c r="C12208" s="8" t="e">
        <f>VLOOKUP(A:A,'ITEM LIST'!A:C,3,0)</f>
        <v>#N/A</v>
      </c>
      <c r="D12208" s="6">
        <f t="shared" si="191"/>
        <v>0</v>
      </c>
    </row>
    <row r="12209" spans="3:4" ht="15" x14ac:dyDescent="0.25">
      <c r="C12209" s="8" t="e">
        <f>VLOOKUP(A:A,'ITEM LIST'!A:C,3,0)</f>
        <v>#N/A</v>
      </c>
      <c r="D12209" s="6">
        <f t="shared" si="191"/>
        <v>0</v>
      </c>
    </row>
    <row r="12210" spans="3:4" ht="15" x14ac:dyDescent="0.25">
      <c r="C12210" s="8" t="e">
        <f>VLOOKUP(A:A,'ITEM LIST'!A:C,3,0)</f>
        <v>#N/A</v>
      </c>
      <c r="D12210" s="6">
        <f t="shared" si="191"/>
        <v>0</v>
      </c>
    </row>
    <row r="12211" spans="3:4" ht="15" x14ac:dyDescent="0.25">
      <c r="C12211" s="8" t="e">
        <f>VLOOKUP(A:A,'ITEM LIST'!A:C,3,0)</f>
        <v>#N/A</v>
      </c>
      <c r="D12211" s="6">
        <f t="shared" si="191"/>
        <v>0</v>
      </c>
    </row>
    <row r="12212" spans="3:4" ht="15" x14ac:dyDescent="0.25">
      <c r="C12212" s="8" t="e">
        <f>VLOOKUP(A:A,'ITEM LIST'!A:C,3,0)</f>
        <v>#N/A</v>
      </c>
      <c r="D12212" s="6">
        <f t="shared" si="191"/>
        <v>0</v>
      </c>
    </row>
    <row r="12213" spans="3:4" ht="15" x14ac:dyDescent="0.25">
      <c r="C12213" s="8" t="e">
        <f>VLOOKUP(A:A,'ITEM LIST'!A:C,3,0)</f>
        <v>#N/A</v>
      </c>
      <c r="D12213" s="6">
        <f t="shared" si="191"/>
        <v>0</v>
      </c>
    </row>
    <row r="12214" spans="3:4" ht="15" x14ac:dyDescent="0.25">
      <c r="C12214" s="8" t="e">
        <f>VLOOKUP(A:A,'ITEM LIST'!A:C,3,0)</f>
        <v>#N/A</v>
      </c>
      <c r="D12214" s="6">
        <f t="shared" si="191"/>
        <v>0</v>
      </c>
    </row>
    <row r="12215" spans="3:4" ht="15" x14ac:dyDescent="0.25">
      <c r="C12215" s="8" t="e">
        <f>VLOOKUP(A:A,'ITEM LIST'!A:C,3,0)</f>
        <v>#N/A</v>
      </c>
      <c r="D12215" s="6">
        <f t="shared" si="191"/>
        <v>0</v>
      </c>
    </row>
    <row r="12216" spans="3:4" ht="15" x14ac:dyDescent="0.25">
      <c r="C12216" s="8" t="e">
        <f>VLOOKUP(A:A,'ITEM LIST'!A:C,3,0)</f>
        <v>#N/A</v>
      </c>
      <c r="D12216" s="6">
        <f t="shared" si="191"/>
        <v>0</v>
      </c>
    </row>
    <row r="12217" spans="3:4" ht="15" x14ac:dyDescent="0.25">
      <c r="C12217" s="8" t="e">
        <f>VLOOKUP(A:A,'ITEM LIST'!A:C,3,0)</f>
        <v>#N/A</v>
      </c>
      <c r="D12217" s="6">
        <f t="shared" si="191"/>
        <v>0</v>
      </c>
    </row>
    <row r="12218" spans="3:4" ht="15" x14ac:dyDescent="0.25">
      <c r="C12218" s="8" t="e">
        <f>VLOOKUP(A:A,'ITEM LIST'!A:C,3,0)</f>
        <v>#N/A</v>
      </c>
      <c r="D12218" s="6">
        <f t="shared" si="191"/>
        <v>0</v>
      </c>
    </row>
    <row r="12219" spans="3:4" ht="15" x14ac:dyDescent="0.25">
      <c r="C12219" s="8" t="e">
        <f>VLOOKUP(A:A,'ITEM LIST'!A:C,3,0)</f>
        <v>#N/A</v>
      </c>
      <c r="D12219" s="6">
        <f t="shared" si="191"/>
        <v>0</v>
      </c>
    </row>
    <row r="12220" spans="3:4" ht="15" x14ac:dyDescent="0.25">
      <c r="C12220" s="8" t="e">
        <f>VLOOKUP(A:A,'ITEM LIST'!A:C,3,0)</f>
        <v>#N/A</v>
      </c>
      <c r="D12220" s="6">
        <f t="shared" si="191"/>
        <v>0</v>
      </c>
    </row>
    <row r="12221" spans="3:4" ht="15" x14ac:dyDescent="0.25">
      <c r="C12221" s="8" t="e">
        <f>VLOOKUP(A:A,'ITEM LIST'!A:C,3,0)</f>
        <v>#N/A</v>
      </c>
      <c r="D12221" s="6">
        <f t="shared" si="191"/>
        <v>0</v>
      </c>
    </row>
    <row r="12222" spans="3:4" ht="15" x14ac:dyDescent="0.25">
      <c r="C12222" s="8" t="e">
        <f>VLOOKUP(A:A,'ITEM LIST'!A:C,3,0)</f>
        <v>#N/A</v>
      </c>
      <c r="D12222" s="6">
        <f t="shared" si="191"/>
        <v>0</v>
      </c>
    </row>
    <row r="12223" spans="3:4" ht="15" x14ac:dyDescent="0.25">
      <c r="C12223" s="8" t="e">
        <f>VLOOKUP(A:A,'ITEM LIST'!A:C,3,0)</f>
        <v>#N/A</v>
      </c>
      <c r="D12223" s="6">
        <f t="shared" si="191"/>
        <v>0</v>
      </c>
    </row>
    <row r="12224" spans="3:4" ht="15" x14ac:dyDescent="0.25">
      <c r="C12224" s="8" t="e">
        <f>VLOOKUP(A:A,'ITEM LIST'!A:C,3,0)</f>
        <v>#N/A</v>
      </c>
      <c r="D12224" s="6">
        <f t="shared" si="191"/>
        <v>0</v>
      </c>
    </row>
    <row r="12225" spans="3:4" ht="15" x14ac:dyDescent="0.25">
      <c r="C12225" s="8" t="e">
        <f>VLOOKUP(A:A,'ITEM LIST'!A:C,3,0)</f>
        <v>#N/A</v>
      </c>
      <c r="D12225" s="6">
        <f t="shared" si="191"/>
        <v>0</v>
      </c>
    </row>
    <row r="12226" spans="3:4" ht="15" x14ac:dyDescent="0.25">
      <c r="C12226" s="8" t="e">
        <f>VLOOKUP(A:A,'ITEM LIST'!A:C,3,0)</f>
        <v>#N/A</v>
      </c>
      <c r="D12226" s="6">
        <f t="shared" si="191"/>
        <v>0</v>
      </c>
    </row>
    <row r="12227" spans="3:4" ht="15" x14ac:dyDescent="0.25">
      <c r="C12227" s="8" t="e">
        <f>VLOOKUP(A:A,'ITEM LIST'!A:C,3,0)</f>
        <v>#N/A</v>
      </c>
      <c r="D12227" s="6">
        <f t="shared" si="191"/>
        <v>0</v>
      </c>
    </row>
    <row r="12228" spans="3:4" ht="15" x14ac:dyDescent="0.25">
      <c r="C12228" s="8" t="e">
        <f>VLOOKUP(A:A,'ITEM LIST'!A:C,3,0)</f>
        <v>#N/A</v>
      </c>
      <c r="D12228" s="6">
        <f t="shared" si="191"/>
        <v>0</v>
      </c>
    </row>
    <row r="12229" spans="3:4" ht="15" x14ac:dyDescent="0.25">
      <c r="C12229" s="8" t="e">
        <f>VLOOKUP(A:A,'ITEM LIST'!A:C,3,0)</f>
        <v>#N/A</v>
      </c>
      <c r="D12229" s="6">
        <f t="shared" si="191"/>
        <v>0</v>
      </c>
    </row>
    <row r="12230" spans="3:4" ht="15" x14ac:dyDescent="0.25">
      <c r="C12230" s="8" t="e">
        <f>VLOOKUP(A:A,'ITEM LIST'!A:C,3,0)</f>
        <v>#N/A</v>
      </c>
      <c r="D12230" s="6">
        <f t="shared" ref="D12230:D12293" si="192">B12230</f>
        <v>0</v>
      </c>
    </row>
    <row r="12231" spans="3:4" ht="15" x14ac:dyDescent="0.25">
      <c r="C12231" s="8" t="e">
        <f>VLOOKUP(A:A,'ITEM LIST'!A:C,3,0)</f>
        <v>#N/A</v>
      </c>
      <c r="D12231" s="6">
        <f t="shared" si="192"/>
        <v>0</v>
      </c>
    </row>
    <row r="12232" spans="3:4" ht="15" x14ac:dyDescent="0.25">
      <c r="C12232" s="8" t="e">
        <f>VLOOKUP(A:A,'ITEM LIST'!A:C,3,0)</f>
        <v>#N/A</v>
      </c>
      <c r="D12232" s="6">
        <f t="shared" si="192"/>
        <v>0</v>
      </c>
    </row>
    <row r="12233" spans="3:4" ht="15" x14ac:dyDescent="0.25">
      <c r="C12233" s="8" t="e">
        <f>VLOOKUP(A:A,'ITEM LIST'!A:C,3,0)</f>
        <v>#N/A</v>
      </c>
      <c r="D12233" s="6">
        <f t="shared" si="192"/>
        <v>0</v>
      </c>
    </row>
    <row r="12234" spans="3:4" ht="15" x14ac:dyDescent="0.25">
      <c r="C12234" s="8" t="e">
        <f>VLOOKUP(A:A,'ITEM LIST'!A:C,3,0)</f>
        <v>#N/A</v>
      </c>
      <c r="D12234" s="6">
        <f t="shared" si="192"/>
        <v>0</v>
      </c>
    </row>
    <row r="12235" spans="3:4" ht="15" x14ac:dyDescent="0.25">
      <c r="C12235" s="8" t="e">
        <f>VLOOKUP(A:A,'ITEM LIST'!A:C,3,0)</f>
        <v>#N/A</v>
      </c>
      <c r="D12235" s="6">
        <f t="shared" si="192"/>
        <v>0</v>
      </c>
    </row>
    <row r="12236" spans="3:4" ht="15" x14ac:dyDescent="0.25">
      <c r="C12236" s="8" t="e">
        <f>VLOOKUP(A:A,'ITEM LIST'!A:C,3,0)</f>
        <v>#N/A</v>
      </c>
      <c r="D12236" s="6">
        <f t="shared" si="192"/>
        <v>0</v>
      </c>
    </row>
    <row r="12237" spans="3:4" ht="15" x14ac:dyDescent="0.25">
      <c r="C12237" s="8" t="e">
        <f>VLOOKUP(A:A,'ITEM LIST'!A:C,3,0)</f>
        <v>#N/A</v>
      </c>
      <c r="D12237" s="6">
        <f t="shared" si="192"/>
        <v>0</v>
      </c>
    </row>
    <row r="12238" spans="3:4" ht="15" x14ac:dyDescent="0.25">
      <c r="C12238" s="8" t="e">
        <f>VLOOKUP(A:A,'ITEM LIST'!A:C,3,0)</f>
        <v>#N/A</v>
      </c>
      <c r="D12238" s="6">
        <f t="shared" si="192"/>
        <v>0</v>
      </c>
    </row>
    <row r="12239" spans="3:4" ht="15" x14ac:dyDescent="0.25">
      <c r="C12239" s="8" t="e">
        <f>VLOOKUP(A:A,'ITEM LIST'!A:C,3,0)</f>
        <v>#N/A</v>
      </c>
      <c r="D12239" s="6">
        <f t="shared" si="192"/>
        <v>0</v>
      </c>
    </row>
    <row r="12240" spans="3:4" ht="15" x14ac:dyDescent="0.25">
      <c r="C12240" s="8" t="e">
        <f>VLOOKUP(A:A,'ITEM LIST'!A:C,3,0)</f>
        <v>#N/A</v>
      </c>
      <c r="D12240" s="6">
        <f t="shared" si="192"/>
        <v>0</v>
      </c>
    </row>
    <row r="12241" spans="3:4" ht="15" x14ac:dyDescent="0.25">
      <c r="C12241" s="8" t="e">
        <f>VLOOKUP(A:A,'ITEM LIST'!A:C,3,0)</f>
        <v>#N/A</v>
      </c>
      <c r="D12241" s="6">
        <f t="shared" si="192"/>
        <v>0</v>
      </c>
    </row>
    <row r="12242" spans="3:4" ht="15" x14ac:dyDescent="0.25">
      <c r="C12242" s="8" t="e">
        <f>VLOOKUP(A:A,'ITEM LIST'!A:C,3,0)</f>
        <v>#N/A</v>
      </c>
      <c r="D12242" s="6">
        <f t="shared" si="192"/>
        <v>0</v>
      </c>
    </row>
    <row r="12243" spans="3:4" ht="15" x14ac:dyDescent="0.25">
      <c r="C12243" s="8" t="e">
        <f>VLOOKUP(A:A,'ITEM LIST'!A:C,3,0)</f>
        <v>#N/A</v>
      </c>
      <c r="D12243" s="6">
        <f t="shared" si="192"/>
        <v>0</v>
      </c>
    </row>
    <row r="12244" spans="3:4" ht="15" x14ac:dyDescent="0.25">
      <c r="C12244" s="8" t="e">
        <f>VLOOKUP(A:A,'ITEM LIST'!A:C,3,0)</f>
        <v>#N/A</v>
      </c>
      <c r="D12244" s="6">
        <f t="shared" si="192"/>
        <v>0</v>
      </c>
    </row>
    <row r="12245" spans="3:4" ht="15" x14ac:dyDescent="0.25">
      <c r="C12245" s="8" t="e">
        <f>VLOOKUP(A:A,'ITEM LIST'!A:C,3,0)</f>
        <v>#N/A</v>
      </c>
      <c r="D12245" s="6">
        <f t="shared" si="192"/>
        <v>0</v>
      </c>
    </row>
    <row r="12246" spans="3:4" ht="15" x14ac:dyDescent="0.25">
      <c r="C12246" s="8" t="e">
        <f>VLOOKUP(A:A,'ITEM LIST'!A:C,3,0)</f>
        <v>#N/A</v>
      </c>
      <c r="D12246" s="6">
        <f t="shared" si="192"/>
        <v>0</v>
      </c>
    </row>
    <row r="12247" spans="3:4" ht="15" x14ac:dyDescent="0.25">
      <c r="C12247" s="8" t="e">
        <f>VLOOKUP(A:A,'ITEM LIST'!A:C,3,0)</f>
        <v>#N/A</v>
      </c>
      <c r="D12247" s="6">
        <f t="shared" si="192"/>
        <v>0</v>
      </c>
    </row>
    <row r="12248" spans="3:4" ht="15" x14ac:dyDescent="0.25">
      <c r="C12248" s="8" t="e">
        <f>VLOOKUP(A:A,'ITEM LIST'!A:C,3,0)</f>
        <v>#N/A</v>
      </c>
      <c r="D12248" s="6">
        <f t="shared" si="192"/>
        <v>0</v>
      </c>
    </row>
    <row r="12249" spans="3:4" ht="15" x14ac:dyDescent="0.25">
      <c r="C12249" s="8" t="e">
        <f>VLOOKUP(A:A,'ITEM LIST'!A:C,3,0)</f>
        <v>#N/A</v>
      </c>
      <c r="D12249" s="6">
        <f t="shared" si="192"/>
        <v>0</v>
      </c>
    </row>
    <row r="12250" spans="3:4" ht="15" x14ac:dyDescent="0.25">
      <c r="C12250" s="8" t="e">
        <f>VLOOKUP(A:A,'ITEM LIST'!A:C,3,0)</f>
        <v>#N/A</v>
      </c>
      <c r="D12250" s="6">
        <f t="shared" si="192"/>
        <v>0</v>
      </c>
    </row>
    <row r="12251" spans="3:4" ht="15" x14ac:dyDescent="0.25">
      <c r="C12251" s="8" t="e">
        <f>VLOOKUP(A:A,'ITEM LIST'!A:C,3,0)</f>
        <v>#N/A</v>
      </c>
      <c r="D12251" s="6">
        <f t="shared" si="192"/>
        <v>0</v>
      </c>
    </row>
    <row r="12252" spans="3:4" ht="15" x14ac:dyDescent="0.25">
      <c r="C12252" s="8" t="e">
        <f>VLOOKUP(A:A,'ITEM LIST'!A:C,3,0)</f>
        <v>#N/A</v>
      </c>
      <c r="D12252" s="6">
        <f t="shared" si="192"/>
        <v>0</v>
      </c>
    </row>
    <row r="12253" spans="3:4" ht="15" x14ac:dyDescent="0.25">
      <c r="C12253" s="8" t="e">
        <f>VLOOKUP(A:A,'ITEM LIST'!A:C,3,0)</f>
        <v>#N/A</v>
      </c>
      <c r="D12253" s="6">
        <f t="shared" si="192"/>
        <v>0</v>
      </c>
    </row>
    <row r="12254" spans="3:4" ht="15" x14ac:dyDescent="0.25">
      <c r="C12254" s="8" t="e">
        <f>VLOOKUP(A:A,'ITEM LIST'!A:C,3,0)</f>
        <v>#N/A</v>
      </c>
      <c r="D12254" s="6">
        <f t="shared" si="192"/>
        <v>0</v>
      </c>
    </row>
    <row r="12255" spans="3:4" ht="15" x14ac:dyDescent="0.25">
      <c r="C12255" s="8" t="e">
        <f>VLOOKUP(A:A,'ITEM LIST'!A:C,3,0)</f>
        <v>#N/A</v>
      </c>
      <c r="D12255" s="6">
        <f t="shared" si="192"/>
        <v>0</v>
      </c>
    </row>
    <row r="12256" spans="3:4" ht="15" x14ac:dyDescent="0.25">
      <c r="C12256" s="8" t="e">
        <f>VLOOKUP(A:A,'ITEM LIST'!A:C,3,0)</f>
        <v>#N/A</v>
      </c>
      <c r="D12256" s="6">
        <f t="shared" si="192"/>
        <v>0</v>
      </c>
    </row>
    <row r="12257" spans="3:4" ht="15" x14ac:dyDescent="0.25">
      <c r="C12257" s="8" t="e">
        <f>VLOOKUP(A:A,'ITEM LIST'!A:C,3,0)</f>
        <v>#N/A</v>
      </c>
      <c r="D12257" s="6">
        <f t="shared" si="192"/>
        <v>0</v>
      </c>
    </row>
    <row r="12258" spans="3:4" ht="15" x14ac:dyDescent="0.25">
      <c r="C12258" s="8" t="e">
        <f>VLOOKUP(A:A,'ITEM LIST'!A:C,3,0)</f>
        <v>#N/A</v>
      </c>
      <c r="D12258" s="6">
        <f t="shared" si="192"/>
        <v>0</v>
      </c>
    </row>
    <row r="12259" spans="3:4" ht="15" x14ac:dyDescent="0.25">
      <c r="C12259" s="8" t="e">
        <f>VLOOKUP(A:A,'ITEM LIST'!A:C,3,0)</f>
        <v>#N/A</v>
      </c>
      <c r="D12259" s="6">
        <f t="shared" si="192"/>
        <v>0</v>
      </c>
    </row>
    <row r="12260" spans="3:4" ht="15" x14ac:dyDescent="0.25">
      <c r="C12260" s="8" t="e">
        <f>VLOOKUP(A:A,'ITEM LIST'!A:C,3,0)</f>
        <v>#N/A</v>
      </c>
      <c r="D12260" s="6">
        <f t="shared" si="192"/>
        <v>0</v>
      </c>
    </row>
    <row r="12261" spans="3:4" ht="15" x14ac:dyDescent="0.25">
      <c r="C12261" s="8" t="e">
        <f>VLOOKUP(A:A,'ITEM LIST'!A:C,3,0)</f>
        <v>#N/A</v>
      </c>
      <c r="D12261" s="6">
        <f t="shared" si="192"/>
        <v>0</v>
      </c>
    </row>
    <row r="12262" spans="3:4" ht="15" x14ac:dyDescent="0.25">
      <c r="C12262" s="8" t="e">
        <f>VLOOKUP(A:A,'ITEM LIST'!A:C,3,0)</f>
        <v>#N/A</v>
      </c>
      <c r="D12262" s="6">
        <f t="shared" si="192"/>
        <v>0</v>
      </c>
    </row>
    <row r="12263" spans="3:4" ht="15" x14ac:dyDescent="0.25">
      <c r="C12263" s="8" t="e">
        <f>VLOOKUP(A:A,'ITEM LIST'!A:C,3,0)</f>
        <v>#N/A</v>
      </c>
      <c r="D12263" s="6">
        <f t="shared" si="192"/>
        <v>0</v>
      </c>
    </row>
    <row r="12264" spans="3:4" ht="15" x14ac:dyDescent="0.25">
      <c r="C12264" s="8" t="e">
        <f>VLOOKUP(A:A,'ITEM LIST'!A:C,3,0)</f>
        <v>#N/A</v>
      </c>
      <c r="D12264" s="6">
        <f t="shared" si="192"/>
        <v>0</v>
      </c>
    </row>
    <row r="12265" spans="3:4" ht="15" x14ac:dyDescent="0.25">
      <c r="C12265" s="8" t="e">
        <f>VLOOKUP(A:A,'ITEM LIST'!A:C,3,0)</f>
        <v>#N/A</v>
      </c>
      <c r="D12265" s="6">
        <f t="shared" si="192"/>
        <v>0</v>
      </c>
    </row>
    <row r="12266" spans="3:4" ht="15" x14ac:dyDescent="0.25">
      <c r="C12266" s="8" t="e">
        <f>VLOOKUP(A:A,'ITEM LIST'!A:C,3,0)</f>
        <v>#N/A</v>
      </c>
      <c r="D12266" s="6">
        <f t="shared" si="192"/>
        <v>0</v>
      </c>
    </row>
    <row r="12267" spans="3:4" ht="15" x14ac:dyDescent="0.25">
      <c r="C12267" s="8" t="e">
        <f>VLOOKUP(A:A,'ITEM LIST'!A:C,3,0)</f>
        <v>#N/A</v>
      </c>
      <c r="D12267" s="6">
        <f t="shared" si="192"/>
        <v>0</v>
      </c>
    </row>
    <row r="12268" spans="3:4" ht="15" x14ac:dyDescent="0.25">
      <c r="C12268" s="8" t="e">
        <f>VLOOKUP(A:A,'ITEM LIST'!A:C,3,0)</f>
        <v>#N/A</v>
      </c>
      <c r="D12268" s="6">
        <f t="shared" si="192"/>
        <v>0</v>
      </c>
    </row>
    <row r="12269" spans="3:4" ht="15" x14ac:dyDescent="0.25">
      <c r="C12269" s="8" t="e">
        <f>VLOOKUP(A:A,'ITEM LIST'!A:C,3,0)</f>
        <v>#N/A</v>
      </c>
      <c r="D12269" s="6">
        <f t="shared" si="192"/>
        <v>0</v>
      </c>
    </row>
    <row r="12270" spans="3:4" ht="15" x14ac:dyDescent="0.25">
      <c r="C12270" s="8" t="e">
        <f>VLOOKUP(A:A,'ITEM LIST'!A:C,3,0)</f>
        <v>#N/A</v>
      </c>
      <c r="D12270" s="6">
        <f t="shared" si="192"/>
        <v>0</v>
      </c>
    </row>
    <row r="12271" spans="3:4" ht="15" x14ac:dyDescent="0.25">
      <c r="C12271" s="8" t="e">
        <f>VLOOKUP(A:A,'ITEM LIST'!A:C,3,0)</f>
        <v>#N/A</v>
      </c>
      <c r="D12271" s="6">
        <f t="shared" si="192"/>
        <v>0</v>
      </c>
    </row>
    <row r="12272" spans="3:4" ht="15" x14ac:dyDescent="0.25">
      <c r="C12272" s="8" t="e">
        <f>VLOOKUP(A:A,'ITEM LIST'!A:C,3,0)</f>
        <v>#N/A</v>
      </c>
      <c r="D12272" s="6">
        <f t="shared" si="192"/>
        <v>0</v>
      </c>
    </row>
    <row r="12273" spans="3:4" ht="15" x14ac:dyDescent="0.25">
      <c r="C12273" s="8" t="e">
        <f>VLOOKUP(A:A,'ITEM LIST'!A:C,3,0)</f>
        <v>#N/A</v>
      </c>
      <c r="D12273" s="6">
        <f t="shared" si="192"/>
        <v>0</v>
      </c>
    </row>
    <row r="12274" spans="3:4" ht="15" x14ac:dyDescent="0.25">
      <c r="C12274" s="8" t="e">
        <f>VLOOKUP(A:A,'ITEM LIST'!A:C,3,0)</f>
        <v>#N/A</v>
      </c>
      <c r="D12274" s="6">
        <f t="shared" si="192"/>
        <v>0</v>
      </c>
    </row>
    <row r="12275" spans="3:4" ht="15" x14ac:dyDescent="0.25">
      <c r="C12275" s="8" t="e">
        <f>VLOOKUP(A:A,'ITEM LIST'!A:C,3,0)</f>
        <v>#N/A</v>
      </c>
      <c r="D12275" s="6">
        <f t="shared" si="192"/>
        <v>0</v>
      </c>
    </row>
    <row r="12276" spans="3:4" ht="15" x14ac:dyDescent="0.25">
      <c r="C12276" s="8" t="e">
        <f>VLOOKUP(A:A,'ITEM LIST'!A:C,3,0)</f>
        <v>#N/A</v>
      </c>
      <c r="D12276" s="6">
        <f t="shared" si="192"/>
        <v>0</v>
      </c>
    </row>
    <row r="12277" spans="3:4" ht="15" x14ac:dyDescent="0.25">
      <c r="C12277" s="8" t="e">
        <f>VLOOKUP(A:A,'ITEM LIST'!A:C,3,0)</f>
        <v>#N/A</v>
      </c>
      <c r="D12277" s="6">
        <f t="shared" si="192"/>
        <v>0</v>
      </c>
    </row>
    <row r="12278" spans="3:4" ht="15" x14ac:dyDescent="0.25">
      <c r="C12278" s="8" t="e">
        <f>VLOOKUP(A:A,'ITEM LIST'!A:C,3,0)</f>
        <v>#N/A</v>
      </c>
      <c r="D12278" s="6">
        <f t="shared" si="192"/>
        <v>0</v>
      </c>
    </row>
    <row r="12279" spans="3:4" ht="15" x14ac:dyDescent="0.25">
      <c r="C12279" s="8" t="e">
        <f>VLOOKUP(A:A,'ITEM LIST'!A:C,3,0)</f>
        <v>#N/A</v>
      </c>
      <c r="D12279" s="6">
        <f t="shared" si="192"/>
        <v>0</v>
      </c>
    </row>
    <row r="12280" spans="3:4" ht="15" x14ac:dyDescent="0.25">
      <c r="C12280" s="8" t="e">
        <f>VLOOKUP(A:A,'ITEM LIST'!A:C,3,0)</f>
        <v>#N/A</v>
      </c>
      <c r="D12280" s="6">
        <f t="shared" si="192"/>
        <v>0</v>
      </c>
    </row>
    <row r="12281" spans="3:4" ht="15" x14ac:dyDescent="0.25">
      <c r="C12281" s="8" t="e">
        <f>VLOOKUP(A:A,'ITEM LIST'!A:C,3,0)</f>
        <v>#N/A</v>
      </c>
      <c r="D12281" s="6">
        <f t="shared" si="192"/>
        <v>0</v>
      </c>
    </row>
    <row r="12282" spans="3:4" ht="15" x14ac:dyDescent="0.25">
      <c r="C12282" s="8" t="e">
        <f>VLOOKUP(A:A,'ITEM LIST'!A:C,3,0)</f>
        <v>#N/A</v>
      </c>
      <c r="D12282" s="6">
        <f t="shared" si="192"/>
        <v>0</v>
      </c>
    </row>
    <row r="12283" spans="3:4" ht="15" x14ac:dyDescent="0.25">
      <c r="C12283" s="8" t="e">
        <f>VLOOKUP(A:A,'ITEM LIST'!A:C,3,0)</f>
        <v>#N/A</v>
      </c>
      <c r="D12283" s="6">
        <f t="shared" si="192"/>
        <v>0</v>
      </c>
    </row>
    <row r="12284" spans="3:4" ht="15" x14ac:dyDescent="0.25">
      <c r="C12284" s="8" t="e">
        <f>VLOOKUP(A:A,'ITEM LIST'!A:C,3,0)</f>
        <v>#N/A</v>
      </c>
      <c r="D12284" s="6">
        <f t="shared" si="192"/>
        <v>0</v>
      </c>
    </row>
    <row r="12285" spans="3:4" ht="15" x14ac:dyDescent="0.25">
      <c r="C12285" s="8" t="e">
        <f>VLOOKUP(A:A,'ITEM LIST'!A:C,3,0)</f>
        <v>#N/A</v>
      </c>
      <c r="D12285" s="6">
        <f t="shared" si="192"/>
        <v>0</v>
      </c>
    </row>
    <row r="12286" spans="3:4" ht="15" x14ac:dyDescent="0.25">
      <c r="C12286" s="8" t="e">
        <f>VLOOKUP(A:A,'ITEM LIST'!A:C,3,0)</f>
        <v>#N/A</v>
      </c>
      <c r="D12286" s="6">
        <f t="shared" si="192"/>
        <v>0</v>
      </c>
    </row>
    <row r="12287" spans="3:4" ht="15" x14ac:dyDescent="0.25">
      <c r="C12287" s="8" t="e">
        <f>VLOOKUP(A:A,'ITEM LIST'!A:C,3,0)</f>
        <v>#N/A</v>
      </c>
      <c r="D12287" s="6">
        <f t="shared" si="192"/>
        <v>0</v>
      </c>
    </row>
    <row r="12288" spans="3:4" ht="15" x14ac:dyDescent="0.25">
      <c r="C12288" s="8" t="e">
        <f>VLOOKUP(A:A,'ITEM LIST'!A:C,3,0)</f>
        <v>#N/A</v>
      </c>
      <c r="D12288" s="6">
        <f t="shared" si="192"/>
        <v>0</v>
      </c>
    </row>
    <row r="12289" spans="3:4" ht="15" x14ac:dyDescent="0.25">
      <c r="C12289" s="8" t="e">
        <f>VLOOKUP(A:A,'ITEM LIST'!A:C,3,0)</f>
        <v>#N/A</v>
      </c>
      <c r="D12289" s="6">
        <f t="shared" si="192"/>
        <v>0</v>
      </c>
    </row>
    <row r="12290" spans="3:4" ht="15" x14ac:dyDescent="0.25">
      <c r="C12290" s="8" t="e">
        <f>VLOOKUP(A:A,'ITEM LIST'!A:C,3,0)</f>
        <v>#N/A</v>
      </c>
      <c r="D12290" s="6">
        <f t="shared" si="192"/>
        <v>0</v>
      </c>
    </row>
    <row r="12291" spans="3:4" ht="15" x14ac:dyDescent="0.25">
      <c r="C12291" s="8" t="e">
        <f>VLOOKUP(A:A,'ITEM LIST'!A:C,3,0)</f>
        <v>#N/A</v>
      </c>
      <c r="D12291" s="6">
        <f t="shared" si="192"/>
        <v>0</v>
      </c>
    </row>
    <row r="12292" spans="3:4" ht="15" x14ac:dyDescent="0.25">
      <c r="C12292" s="8" t="e">
        <f>VLOOKUP(A:A,'ITEM LIST'!A:C,3,0)</f>
        <v>#N/A</v>
      </c>
      <c r="D12292" s="6">
        <f t="shared" si="192"/>
        <v>0</v>
      </c>
    </row>
    <row r="12293" spans="3:4" ht="15" x14ac:dyDescent="0.25">
      <c r="C12293" s="8" t="e">
        <f>VLOOKUP(A:A,'ITEM LIST'!A:C,3,0)</f>
        <v>#N/A</v>
      </c>
      <c r="D12293" s="6">
        <f t="shared" si="192"/>
        <v>0</v>
      </c>
    </row>
    <row r="12294" spans="3:4" ht="15" x14ac:dyDescent="0.25">
      <c r="C12294" s="8" t="e">
        <f>VLOOKUP(A:A,'ITEM LIST'!A:C,3,0)</f>
        <v>#N/A</v>
      </c>
      <c r="D12294" s="6">
        <f t="shared" ref="D12294:D12357" si="193">B12294</f>
        <v>0</v>
      </c>
    </row>
    <row r="12295" spans="3:4" ht="15" x14ac:dyDescent="0.25">
      <c r="C12295" s="8" t="e">
        <f>VLOOKUP(A:A,'ITEM LIST'!A:C,3,0)</f>
        <v>#N/A</v>
      </c>
      <c r="D12295" s="6">
        <f t="shared" si="193"/>
        <v>0</v>
      </c>
    </row>
    <row r="12296" spans="3:4" ht="15" x14ac:dyDescent="0.25">
      <c r="C12296" s="8" t="e">
        <f>VLOOKUP(A:A,'ITEM LIST'!A:C,3,0)</f>
        <v>#N/A</v>
      </c>
      <c r="D12296" s="6">
        <f t="shared" si="193"/>
        <v>0</v>
      </c>
    </row>
    <row r="12297" spans="3:4" ht="15" x14ac:dyDescent="0.25">
      <c r="C12297" s="8" t="e">
        <f>VLOOKUP(A:A,'ITEM LIST'!A:C,3,0)</f>
        <v>#N/A</v>
      </c>
      <c r="D12297" s="6">
        <f t="shared" si="193"/>
        <v>0</v>
      </c>
    </row>
    <row r="12298" spans="3:4" ht="15" x14ac:dyDescent="0.25">
      <c r="C12298" s="8" t="e">
        <f>VLOOKUP(A:A,'ITEM LIST'!A:C,3,0)</f>
        <v>#N/A</v>
      </c>
      <c r="D12298" s="6">
        <f t="shared" si="193"/>
        <v>0</v>
      </c>
    </row>
    <row r="12299" spans="3:4" ht="15" x14ac:dyDescent="0.25">
      <c r="C12299" s="8" t="e">
        <f>VLOOKUP(A:A,'ITEM LIST'!A:C,3,0)</f>
        <v>#N/A</v>
      </c>
      <c r="D12299" s="6">
        <f t="shared" si="193"/>
        <v>0</v>
      </c>
    </row>
    <row r="12300" spans="3:4" ht="15" x14ac:dyDescent="0.25">
      <c r="C12300" s="8" t="e">
        <f>VLOOKUP(A:A,'ITEM LIST'!A:C,3,0)</f>
        <v>#N/A</v>
      </c>
      <c r="D12300" s="6">
        <f t="shared" si="193"/>
        <v>0</v>
      </c>
    </row>
    <row r="12301" spans="3:4" ht="15" x14ac:dyDescent="0.25">
      <c r="C12301" s="8" t="e">
        <f>VLOOKUP(A:A,'ITEM LIST'!A:C,3,0)</f>
        <v>#N/A</v>
      </c>
      <c r="D12301" s="6">
        <f t="shared" si="193"/>
        <v>0</v>
      </c>
    </row>
    <row r="12302" spans="3:4" ht="15" x14ac:dyDescent="0.25">
      <c r="C12302" s="8" t="e">
        <f>VLOOKUP(A:A,'ITEM LIST'!A:C,3,0)</f>
        <v>#N/A</v>
      </c>
      <c r="D12302" s="6">
        <f t="shared" si="193"/>
        <v>0</v>
      </c>
    </row>
    <row r="12303" spans="3:4" ht="15" x14ac:dyDescent="0.25">
      <c r="C12303" s="8" t="e">
        <f>VLOOKUP(A:A,'ITEM LIST'!A:C,3,0)</f>
        <v>#N/A</v>
      </c>
      <c r="D12303" s="6">
        <f t="shared" si="193"/>
        <v>0</v>
      </c>
    </row>
    <row r="12304" spans="3:4" ht="15" x14ac:dyDescent="0.25">
      <c r="C12304" s="8" t="e">
        <f>VLOOKUP(A:A,'ITEM LIST'!A:C,3,0)</f>
        <v>#N/A</v>
      </c>
      <c r="D12304" s="6">
        <f t="shared" si="193"/>
        <v>0</v>
      </c>
    </row>
    <row r="12305" spans="3:4" ht="15" x14ac:dyDescent="0.25">
      <c r="C12305" s="8" t="e">
        <f>VLOOKUP(A:A,'ITEM LIST'!A:C,3,0)</f>
        <v>#N/A</v>
      </c>
      <c r="D12305" s="6">
        <f t="shared" si="193"/>
        <v>0</v>
      </c>
    </row>
    <row r="12306" spans="3:4" ht="15" x14ac:dyDescent="0.25">
      <c r="C12306" s="8" t="e">
        <f>VLOOKUP(A:A,'ITEM LIST'!A:C,3,0)</f>
        <v>#N/A</v>
      </c>
      <c r="D12306" s="6">
        <f t="shared" si="193"/>
        <v>0</v>
      </c>
    </row>
    <row r="12307" spans="3:4" ht="15" x14ac:dyDescent="0.25">
      <c r="C12307" s="8" t="e">
        <f>VLOOKUP(A:A,'ITEM LIST'!A:C,3,0)</f>
        <v>#N/A</v>
      </c>
      <c r="D12307" s="6">
        <f t="shared" si="193"/>
        <v>0</v>
      </c>
    </row>
    <row r="12308" spans="3:4" ht="15" x14ac:dyDescent="0.25">
      <c r="C12308" s="8" t="e">
        <f>VLOOKUP(A:A,'ITEM LIST'!A:C,3,0)</f>
        <v>#N/A</v>
      </c>
      <c r="D12308" s="6">
        <f t="shared" si="193"/>
        <v>0</v>
      </c>
    </row>
    <row r="12309" spans="3:4" ht="15" x14ac:dyDescent="0.25">
      <c r="C12309" s="8" t="e">
        <f>VLOOKUP(A:A,'ITEM LIST'!A:C,3,0)</f>
        <v>#N/A</v>
      </c>
      <c r="D12309" s="6">
        <f t="shared" si="193"/>
        <v>0</v>
      </c>
    </row>
    <row r="12310" spans="3:4" ht="15" x14ac:dyDescent="0.25">
      <c r="C12310" s="8" t="e">
        <f>VLOOKUP(A:A,'ITEM LIST'!A:C,3,0)</f>
        <v>#N/A</v>
      </c>
      <c r="D12310" s="6">
        <f t="shared" si="193"/>
        <v>0</v>
      </c>
    </row>
    <row r="12311" spans="3:4" ht="15" x14ac:dyDescent="0.25">
      <c r="C12311" s="8" t="e">
        <f>VLOOKUP(A:A,'ITEM LIST'!A:C,3,0)</f>
        <v>#N/A</v>
      </c>
      <c r="D12311" s="6">
        <f t="shared" si="193"/>
        <v>0</v>
      </c>
    </row>
    <row r="12312" spans="3:4" ht="15" x14ac:dyDescent="0.25">
      <c r="C12312" s="8" t="e">
        <f>VLOOKUP(A:A,'ITEM LIST'!A:C,3,0)</f>
        <v>#N/A</v>
      </c>
      <c r="D12312" s="6">
        <f t="shared" si="193"/>
        <v>0</v>
      </c>
    </row>
    <row r="12313" spans="3:4" ht="15" x14ac:dyDescent="0.25">
      <c r="C12313" s="8" t="e">
        <f>VLOOKUP(A:A,'ITEM LIST'!A:C,3,0)</f>
        <v>#N/A</v>
      </c>
      <c r="D12313" s="6">
        <f t="shared" si="193"/>
        <v>0</v>
      </c>
    </row>
    <row r="12314" spans="3:4" ht="15" x14ac:dyDescent="0.25">
      <c r="C12314" s="8" t="e">
        <f>VLOOKUP(A:A,'ITEM LIST'!A:C,3,0)</f>
        <v>#N/A</v>
      </c>
      <c r="D12314" s="6">
        <f t="shared" si="193"/>
        <v>0</v>
      </c>
    </row>
    <row r="12315" spans="3:4" ht="15" x14ac:dyDescent="0.25">
      <c r="C12315" s="8" t="e">
        <f>VLOOKUP(A:A,'ITEM LIST'!A:C,3,0)</f>
        <v>#N/A</v>
      </c>
      <c r="D12315" s="6">
        <f t="shared" si="193"/>
        <v>0</v>
      </c>
    </row>
    <row r="12316" spans="3:4" ht="15" x14ac:dyDescent="0.25">
      <c r="C12316" s="8" t="e">
        <f>VLOOKUP(A:A,'ITEM LIST'!A:C,3,0)</f>
        <v>#N/A</v>
      </c>
      <c r="D12316" s="6">
        <f t="shared" si="193"/>
        <v>0</v>
      </c>
    </row>
    <row r="12317" spans="3:4" ht="15" x14ac:dyDescent="0.25">
      <c r="C12317" s="8" t="e">
        <f>VLOOKUP(A:A,'ITEM LIST'!A:C,3,0)</f>
        <v>#N/A</v>
      </c>
      <c r="D12317" s="6">
        <f t="shared" si="193"/>
        <v>0</v>
      </c>
    </row>
    <row r="12318" spans="3:4" ht="15" x14ac:dyDescent="0.25">
      <c r="C12318" s="8" t="e">
        <f>VLOOKUP(A:A,'ITEM LIST'!A:C,3,0)</f>
        <v>#N/A</v>
      </c>
      <c r="D12318" s="6">
        <f t="shared" si="193"/>
        <v>0</v>
      </c>
    </row>
    <row r="12319" spans="3:4" ht="15" x14ac:dyDescent="0.25">
      <c r="C12319" s="8" t="e">
        <f>VLOOKUP(A:A,'ITEM LIST'!A:C,3,0)</f>
        <v>#N/A</v>
      </c>
      <c r="D12319" s="6">
        <f t="shared" si="193"/>
        <v>0</v>
      </c>
    </row>
    <row r="12320" spans="3:4" ht="15" x14ac:dyDescent="0.25">
      <c r="C12320" s="8" t="e">
        <f>VLOOKUP(A:A,'ITEM LIST'!A:C,3,0)</f>
        <v>#N/A</v>
      </c>
      <c r="D12320" s="6">
        <f t="shared" si="193"/>
        <v>0</v>
      </c>
    </row>
    <row r="12321" spans="3:4" ht="15" x14ac:dyDescent="0.25">
      <c r="C12321" s="8" t="e">
        <f>VLOOKUP(A:A,'ITEM LIST'!A:C,3,0)</f>
        <v>#N/A</v>
      </c>
      <c r="D12321" s="6">
        <f t="shared" si="193"/>
        <v>0</v>
      </c>
    </row>
    <row r="12322" spans="3:4" ht="15" x14ac:dyDescent="0.25">
      <c r="C12322" s="8" t="e">
        <f>VLOOKUP(A:A,'ITEM LIST'!A:C,3,0)</f>
        <v>#N/A</v>
      </c>
      <c r="D12322" s="6">
        <f t="shared" si="193"/>
        <v>0</v>
      </c>
    </row>
    <row r="12323" spans="3:4" ht="15" x14ac:dyDescent="0.25">
      <c r="C12323" s="8" t="e">
        <f>VLOOKUP(A:A,'ITEM LIST'!A:C,3,0)</f>
        <v>#N/A</v>
      </c>
      <c r="D12323" s="6">
        <f t="shared" si="193"/>
        <v>0</v>
      </c>
    </row>
    <row r="12324" spans="3:4" ht="15" x14ac:dyDescent="0.25">
      <c r="C12324" s="8" t="e">
        <f>VLOOKUP(A:A,'ITEM LIST'!A:C,3,0)</f>
        <v>#N/A</v>
      </c>
      <c r="D12324" s="6">
        <f t="shared" si="193"/>
        <v>0</v>
      </c>
    </row>
    <row r="12325" spans="3:4" ht="15" x14ac:dyDescent="0.25">
      <c r="C12325" s="8" t="e">
        <f>VLOOKUP(A:A,'ITEM LIST'!A:C,3,0)</f>
        <v>#N/A</v>
      </c>
      <c r="D12325" s="6">
        <f t="shared" si="193"/>
        <v>0</v>
      </c>
    </row>
    <row r="12326" spans="3:4" ht="15" x14ac:dyDescent="0.25">
      <c r="C12326" s="8" t="e">
        <f>VLOOKUP(A:A,'ITEM LIST'!A:C,3,0)</f>
        <v>#N/A</v>
      </c>
      <c r="D12326" s="6">
        <f t="shared" si="193"/>
        <v>0</v>
      </c>
    </row>
    <row r="12327" spans="3:4" ht="15" x14ac:dyDescent="0.25">
      <c r="C12327" s="8" t="e">
        <f>VLOOKUP(A:A,'ITEM LIST'!A:C,3,0)</f>
        <v>#N/A</v>
      </c>
      <c r="D12327" s="6">
        <f t="shared" si="193"/>
        <v>0</v>
      </c>
    </row>
    <row r="12328" spans="3:4" ht="15" x14ac:dyDescent="0.25">
      <c r="C12328" s="8" t="e">
        <f>VLOOKUP(A:A,'ITEM LIST'!A:C,3,0)</f>
        <v>#N/A</v>
      </c>
      <c r="D12328" s="6">
        <f t="shared" si="193"/>
        <v>0</v>
      </c>
    </row>
    <row r="12329" spans="3:4" ht="15" x14ac:dyDescent="0.25">
      <c r="C12329" s="8" t="e">
        <f>VLOOKUP(A:A,'ITEM LIST'!A:C,3,0)</f>
        <v>#N/A</v>
      </c>
      <c r="D12329" s="6">
        <f t="shared" si="193"/>
        <v>0</v>
      </c>
    </row>
    <row r="12330" spans="3:4" ht="15" x14ac:dyDescent="0.25">
      <c r="C12330" s="8" t="e">
        <f>VLOOKUP(A:A,'ITEM LIST'!A:C,3,0)</f>
        <v>#N/A</v>
      </c>
      <c r="D12330" s="6">
        <f t="shared" si="193"/>
        <v>0</v>
      </c>
    </row>
    <row r="12331" spans="3:4" ht="15" x14ac:dyDescent="0.25">
      <c r="C12331" s="8" t="e">
        <f>VLOOKUP(A:A,'ITEM LIST'!A:C,3,0)</f>
        <v>#N/A</v>
      </c>
      <c r="D12331" s="6">
        <f t="shared" si="193"/>
        <v>0</v>
      </c>
    </row>
    <row r="12332" spans="3:4" ht="15" x14ac:dyDescent="0.25">
      <c r="C12332" s="8" t="e">
        <f>VLOOKUP(A:A,'ITEM LIST'!A:C,3,0)</f>
        <v>#N/A</v>
      </c>
      <c r="D12332" s="6">
        <f t="shared" si="193"/>
        <v>0</v>
      </c>
    </row>
    <row r="12333" spans="3:4" ht="15" x14ac:dyDescent="0.25">
      <c r="C12333" s="8" t="e">
        <f>VLOOKUP(A:A,'ITEM LIST'!A:C,3,0)</f>
        <v>#N/A</v>
      </c>
      <c r="D12333" s="6">
        <f t="shared" si="193"/>
        <v>0</v>
      </c>
    </row>
    <row r="12334" spans="3:4" ht="15" x14ac:dyDescent="0.25">
      <c r="C12334" s="8" t="e">
        <f>VLOOKUP(A:A,'ITEM LIST'!A:C,3,0)</f>
        <v>#N/A</v>
      </c>
      <c r="D12334" s="6">
        <f t="shared" si="193"/>
        <v>0</v>
      </c>
    </row>
    <row r="12335" spans="3:4" ht="15" x14ac:dyDescent="0.25">
      <c r="C12335" s="8" t="e">
        <f>VLOOKUP(A:A,'ITEM LIST'!A:C,3,0)</f>
        <v>#N/A</v>
      </c>
      <c r="D12335" s="6">
        <f t="shared" si="193"/>
        <v>0</v>
      </c>
    </row>
    <row r="12336" spans="3:4" ht="15" x14ac:dyDescent="0.25">
      <c r="C12336" s="8" t="e">
        <f>VLOOKUP(A:A,'ITEM LIST'!A:C,3,0)</f>
        <v>#N/A</v>
      </c>
      <c r="D12336" s="6">
        <f t="shared" si="193"/>
        <v>0</v>
      </c>
    </row>
    <row r="12337" spans="3:4" ht="15" x14ac:dyDescent="0.25">
      <c r="C12337" s="8" t="e">
        <f>VLOOKUP(A:A,'ITEM LIST'!A:C,3,0)</f>
        <v>#N/A</v>
      </c>
      <c r="D12337" s="6">
        <f t="shared" si="193"/>
        <v>0</v>
      </c>
    </row>
    <row r="12338" spans="3:4" ht="15" x14ac:dyDescent="0.25">
      <c r="C12338" s="8" t="e">
        <f>VLOOKUP(A:A,'ITEM LIST'!A:C,3,0)</f>
        <v>#N/A</v>
      </c>
      <c r="D12338" s="6">
        <f t="shared" si="193"/>
        <v>0</v>
      </c>
    </row>
    <row r="12339" spans="3:4" ht="15" x14ac:dyDescent="0.25">
      <c r="C12339" s="8" t="e">
        <f>VLOOKUP(A:A,'ITEM LIST'!A:C,3,0)</f>
        <v>#N/A</v>
      </c>
      <c r="D12339" s="6">
        <f t="shared" si="193"/>
        <v>0</v>
      </c>
    </row>
    <row r="12340" spans="3:4" ht="15" x14ac:dyDescent="0.25">
      <c r="C12340" s="8" t="e">
        <f>VLOOKUP(A:A,'ITEM LIST'!A:C,3,0)</f>
        <v>#N/A</v>
      </c>
      <c r="D12340" s="6">
        <f t="shared" si="193"/>
        <v>0</v>
      </c>
    </row>
    <row r="12341" spans="3:4" ht="15" x14ac:dyDescent="0.25">
      <c r="C12341" s="8" t="e">
        <f>VLOOKUP(A:A,'ITEM LIST'!A:C,3,0)</f>
        <v>#N/A</v>
      </c>
      <c r="D12341" s="6">
        <f t="shared" si="193"/>
        <v>0</v>
      </c>
    </row>
    <row r="12342" spans="3:4" ht="15" x14ac:dyDescent="0.25">
      <c r="C12342" s="8" t="e">
        <f>VLOOKUP(A:A,'ITEM LIST'!A:C,3,0)</f>
        <v>#N/A</v>
      </c>
      <c r="D12342" s="6">
        <f t="shared" si="193"/>
        <v>0</v>
      </c>
    </row>
    <row r="12343" spans="3:4" ht="15" x14ac:dyDescent="0.25">
      <c r="C12343" s="8" t="e">
        <f>VLOOKUP(A:A,'ITEM LIST'!A:C,3,0)</f>
        <v>#N/A</v>
      </c>
      <c r="D12343" s="6">
        <f t="shared" si="193"/>
        <v>0</v>
      </c>
    </row>
    <row r="12344" spans="3:4" ht="15" x14ac:dyDescent="0.25">
      <c r="C12344" s="8" t="e">
        <f>VLOOKUP(A:A,'ITEM LIST'!A:C,3,0)</f>
        <v>#N/A</v>
      </c>
      <c r="D12344" s="6">
        <f t="shared" si="193"/>
        <v>0</v>
      </c>
    </row>
    <row r="12345" spans="3:4" ht="15" x14ac:dyDescent="0.25">
      <c r="C12345" s="8" t="e">
        <f>VLOOKUP(A:A,'ITEM LIST'!A:C,3,0)</f>
        <v>#N/A</v>
      </c>
      <c r="D12345" s="6">
        <f t="shared" si="193"/>
        <v>0</v>
      </c>
    </row>
    <row r="12346" spans="3:4" ht="15" x14ac:dyDescent="0.25">
      <c r="C12346" s="8" t="e">
        <f>VLOOKUP(A:A,'ITEM LIST'!A:C,3,0)</f>
        <v>#N/A</v>
      </c>
      <c r="D12346" s="6">
        <f t="shared" si="193"/>
        <v>0</v>
      </c>
    </row>
    <row r="12347" spans="3:4" ht="15" x14ac:dyDescent="0.25">
      <c r="C12347" s="8" t="e">
        <f>VLOOKUP(A:A,'ITEM LIST'!A:C,3,0)</f>
        <v>#N/A</v>
      </c>
      <c r="D12347" s="6">
        <f t="shared" si="193"/>
        <v>0</v>
      </c>
    </row>
    <row r="12348" spans="3:4" ht="15" x14ac:dyDescent="0.25">
      <c r="C12348" s="8" t="e">
        <f>VLOOKUP(A:A,'ITEM LIST'!A:C,3,0)</f>
        <v>#N/A</v>
      </c>
      <c r="D12348" s="6">
        <f t="shared" si="193"/>
        <v>0</v>
      </c>
    </row>
    <row r="12349" spans="3:4" ht="15" x14ac:dyDescent="0.25">
      <c r="C12349" s="8" t="e">
        <f>VLOOKUP(A:A,'ITEM LIST'!A:C,3,0)</f>
        <v>#N/A</v>
      </c>
      <c r="D12349" s="6">
        <f t="shared" si="193"/>
        <v>0</v>
      </c>
    </row>
    <row r="12350" spans="3:4" ht="15" x14ac:dyDescent="0.25">
      <c r="C12350" s="8" t="e">
        <f>VLOOKUP(A:A,'ITEM LIST'!A:C,3,0)</f>
        <v>#N/A</v>
      </c>
      <c r="D12350" s="6">
        <f t="shared" si="193"/>
        <v>0</v>
      </c>
    </row>
    <row r="12351" spans="3:4" ht="15" x14ac:dyDescent="0.25">
      <c r="C12351" s="8" t="e">
        <f>VLOOKUP(A:A,'ITEM LIST'!A:C,3,0)</f>
        <v>#N/A</v>
      </c>
      <c r="D12351" s="6">
        <f t="shared" si="193"/>
        <v>0</v>
      </c>
    </row>
    <row r="12352" spans="3:4" ht="15" x14ac:dyDescent="0.25">
      <c r="C12352" s="8" t="e">
        <f>VLOOKUP(A:A,'ITEM LIST'!A:C,3,0)</f>
        <v>#N/A</v>
      </c>
      <c r="D12352" s="6">
        <f t="shared" si="193"/>
        <v>0</v>
      </c>
    </row>
    <row r="12353" spans="3:4" ht="15" x14ac:dyDescent="0.25">
      <c r="C12353" s="8" t="e">
        <f>VLOOKUP(A:A,'ITEM LIST'!A:C,3,0)</f>
        <v>#N/A</v>
      </c>
      <c r="D12353" s="6">
        <f t="shared" si="193"/>
        <v>0</v>
      </c>
    </row>
    <row r="12354" spans="3:4" ht="15" x14ac:dyDescent="0.25">
      <c r="C12354" s="8" t="e">
        <f>VLOOKUP(A:A,'ITEM LIST'!A:C,3,0)</f>
        <v>#N/A</v>
      </c>
      <c r="D12354" s="6">
        <f t="shared" si="193"/>
        <v>0</v>
      </c>
    </row>
    <row r="12355" spans="3:4" ht="15" x14ac:dyDescent="0.25">
      <c r="C12355" s="8" t="e">
        <f>VLOOKUP(A:A,'ITEM LIST'!A:C,3,0)</f>
        <v>#N/A</v>
      </c>
      <c r="D12355" s="6">
        <f t="shared" si="193"/>
        <v>0</v>
      </c>
    </row>
    <row r="12356" spans="3:4" ht="15" x14ac:dyDescent="0.25">
      <c r="C12356" s="8" t="e">
        <f>VLOOKUP(A:A,'ITEM LIST'!A:C,3,0)</f>
        <v>#N/A</v>
      </c>
      <c r="D12356" s="6">
        <f t="shared" si="193"/>
        <v>0</v>
      </c>
    </row>
    <row r="12357" spans="3:4" ht="15" x14ac:dyDescent="0.25">
      <c r="C12357" s="8" t="e">
        <f>VLOOKUP(A:A,'ITEM LIST'!A:C,3,0)</f>
        <v>#N/A</v>
      </c>
      <c r="D12357" s="6">
        <f t="shared" si="193"/>
        <v>0</v>
      </c>
    </row>
    <row r="12358" spans="3:4" ht="15" x14ac:dyDescent="0.25">
      <c r="C12358" s="8" t="e">
        <f>VLOOKUP(A:A,'ITEM LIST'!A:C,3,0)</f>
        <v>#N/A</v>
      </c>
      <c r="D12358" s="6">
        <f t="shared" ref="D12358:D12421" si="194">B12358</f>
        <v>0</v>
      </c>
    </row>
    <row r="12359" spans="3:4" ht="15" x14ac:dyDescent="0.25">
      <c r="C12359" s="8" t="e">
        <f>VLOOKUP(A:A,'ITEM LIST'!A:C,3,0)</f>
        <v>#N/A</v>
      </c>
      <c r="D12359" s="6">
        <f t="shared" si="194"/>
        <v>0</v>
      </c>
    </row>
    <row r="12360" spans="3:4" ht="15" x14ac:dyDescent="0.25">
      <c r="C12360" s="8" t="e">
        <f>VLOOKUP(A:A,'ITEM LIST'!A:C,3,0)</f>
        <v>#N/A</v>
      </c>
      <c r="D12360" s="6">
        <f t="shared" si="194"/>
        <v>0</v>
      </c>
    </row>
    <row r="12361" spans="3:4" ht="15" x14ac:dyDescent="0.25">
      <c r="C12361" s="8" t="e">
        <f>VLOOKUP(A:A,'ITEM LIST'!A:C,3,0)</f>
        <v>#N/A</v>
      </c>
      <c r="D12361" s="6">
        <f t="shared" si="194"/>
        <v>0</v>
      </c>
    </row>
    <row r="12362" spans="3:4" ht="15" x14ac:dyDescent="0.25">
      <c r="C12362" s="8" t="e">
        <f>VLOOKUP(A:A,'ITEM LIST'!A:C,3,0)</f>
        <v>#N/A</v>
      </c>
      <c r="D12362" s="6">
        <f t="shared" si="194"/>
        <v>0</v>
      </c>
    </row>
    <row r="12363" spans="3:4" ht="15" x14ac:dyDescent="0.25">
      <c r="C12363" s="8" t="e">
        <f>VLOOKUP(A:A,'ITEM LIST'!A:C,3,0)</f>
        <v>#N/A</v>
      </c>
      <c r="D12363" s="6">
        <f t="shared" si="194"/>
        <v>0</v>
      </c>
    </row>
    <row r="12364" spans="3:4" ht="15" x14ac:dyDescent="0.25">
      <c r="C12364" s="8" t="e">
        <f>VLOOKUP(A:A,'ITEM LIST'!A:C,3,0)</f>
        <v>#N/A</v>
      </c>
      <c r="D12364" s="6">
        <f t="shared" si="194"/>
        <v>0</v>
      </c>
    </row>
    <row r="12365" spans="3:4" ht="15" x14ac:dyDescent="0.25">
      <c r="C12365" s="8" t="e">
        <f>VLOOKUP(A:A,'ITEM LIST'!A:C,3,0)</f>
        <v>#N/A</v>
      </c>
      <c r="D12365" s="6">
        <f t="shared" si="194"/>
        <v>0</v>
      </c>
    </row>
    <row r="12366" spans="3:4" ht="15" x14ac:dyDescent="0.25">
      <c r="C12366" s="8" t="e">
        <f>VLOOKUP(A:A,'ITEM LIST'!A:C,3,0)</f>
        <v>#N/A</v>
      </c>
      <c r="D12366" s="6">
        <f t="shared" si="194"/>
        <v>0</v>
      </c>
    </row>
    <row r="12367" spans="3:4" ht="15" x14ac:dyDescent="0.25">
      <c r="C12367" s="8" t="e">
        <f>VLOOKUP(A:A,'ITEM LIST'!A:C,3,0)</f>
        <v>#N/A</v>
      </c>
      <c r="D12367" s="6">
        <f t="shared" si="194"/>
        <v>0</v>
      </c>
    </row>
    <row r="12368" spans="3:4" ht="15" x14ac:dyDescent="0.25">
      <c r="C12368" s="8" t="e">
        <f>VLOOKUP(A:A,'ITEM LIST'!A:C,3,0)</f>
        <v>#N/A</v>
      </c>
      <c r="D12368" s="6">
        <f t="shared" si="194"/>
        <v>0</v>
      </c>
    </row>
    <row r="12369" spans="3:4" ht="15" x14ac:dyDescent="0.25">
      <c r="C12369" s="8" t="e">
        <f>VLOOKUP(A:A,'ITEM LIST'!A:C,3,0)</f>
        <v>#N/A</v>
      </c>
      <c r="D12369" s="6">
        <f t="shared" si="194"/>
        <v>0</v>
      </c>
    </row>
    <row r="12370" spans="3:4" ht="15" x14ac:dyDescent="0.25">
      <c r="C12370" s="8" t="e">
        <f>VLOOKUP(A:A,'ITEM LIST'!A:C,3,0)</f>
        <v>#N/A</v>
      </c>
      <c r="D12370" s="6">
        <f t="shared" si="194"/>
        <v>0</v>
      </c>
    </row>
    <row r="12371" spans="3:4" ht="15" x14ac:dyDescent="0.25">
      <c r="C12371" s="8" t="e">
        <f>VLOOKUP(A:A,'ITEM LIST'!A:C,3,0)</f>
        <v>#N/A</v>
      </c>
      <c r="D12371" s="6">
        <f t="shared" si="194"/>
        <v>0</v>
      </c>
    </row>
    <row r="12372" spans="3:4" ht="15" x14ac:dyDescent="0.25">
      <c r="C12372" s="8" t="e">
        <f>VLOOKUP(A:A,'ITEM LIST'!A:C,3,0)</f>
        <v>#N/A</v>
      </c>
      <c r="D12372" s="6">
        <f t="shared" si="194"/>
        <v>0</v>
      </c>
    </row>
    <row r="12373" spans="3:4" ht="15" x14ac:dyDescent="0.25">
      <c r="C12373" s="8" t="e">
        <f>VLOOKUP(A:A,'ITEM LIST'!A:C,3,0)</f>
        <v>#N/A</v>
      </c>
      <c r="D12373" s="6">
        <f t="shared" si="194"/>
        <v>0</v>
      </c>
    </row>
    <row r="12374" spans="3:4" ht="15" x14ac:dyDescent="0.25">
      <c r="C12374" s="8" t="e">
        <f>VLOOKUP(A:A,'ITEM LIST'!A:C,3,0)</f>
        <v>#N/A</v>
      </c>
      <c r="D12374" s="6">
        <f t="shared" si="194"/>
        <v>0</v>
      </c>
    </row>
    <row r="12375" spans="3:4" ht="15" x14ac:dyDescent="0.25">
      <c r="C12375" s="8" t="e">
        <f>VLOOKUP(A:A,'ITEM LIST'!A:C,3,0)</f>
        <v>#N/A</v>
      </c>
      <c r="D12375" s="6">
        <f t="shared" si="194"/>
        <v>0</v>
      </c>
    </row>
    <row r="12376" spans="3:4" ht="15" x14ac:dyDescent="0.25">
      <c r="C12376" s="8" t="e">
        <f>VLOOKUP(A:A,'ITEM LIST'!A:C,3,0)</f>
        <v>#N/A</v>
      </c>
      <c r="D12376" s="6">
        <f t="shared" si="194"/>
        <v>0</v>
      </c>
    </row>
    <row r="12377" spans="3:4" ht="15" x14ac:dyDescent="0.25">
      <c r="C12377" s="8" t="e">
        <f>VLOOKUP(A:A,'ITEM LIST'!A:C,3,0)</f>
        <v>#N/A</v>
      </c>
      <c r="D12377" s="6">
        <f t="shared" si="194"/>
        <v>0</v>
      </c>
    </row>
    <row r="12378" spans="3:4" ht="15" x14ac:dyDescent="0.25">
      <c r="C12378" s="8" t="e">
        <f>VLOOKUP(A:A,'ITEM LIST'!A:C,3,0)</f>
        <v>#N/A</v>
      </c>
      <c r="D12378" s="6">
        <f t="shared" si="194"/>
        <v>0</v>
      </c>
    </row>
    <row r="12379" spans="3:4" ht="15" x14ac:dyDescent="0.25">
      <c r="C12379" s="8" t="e">
        <f>VLOOKUP(A:A,'ITEM LIST'!A:C,3,0)</f>
        <v>#N/A</v>
      </c>
      <c r="D12379" s="6">
        <f t="shared" si="194"/>
        <v>0</v>
      </c>
    </row>
    <row r="12380" spans="3:4" ht="15" x14ac:dyDescent="0.25">
      <c r="C12380" s="8" t="e">
        <f>VLOOKUP(A:A,'ITEM LIST'!A:C,3,0)</f>
        <v>#N/A</v>
      </c>
      <c r="D12380" s="6">
        <f t="shared" si="194"/>
        <v>0</v>
      </c>
    </row>
    <row r="12381" spans="3:4" ht="15" x14ac:dyDescent="0.25">
      <c r="C12381" s="8" t="e">
        <f>VLOOKUP(A:A,'ITEM LIST'!A:C,3,0)</f>
        <v>#N/A</v>
      </c>
      <c r="D12381" s="6">
        <f t="shared" si="194"/>
        <v>0</v>
      </c>
    </row>
    <row r="12382" spans="3:4" ht="15" x14ac:dyDescent="0.25">
      <c r="C12382" s="8" t="e">
        <f>VLOOKUP(A:A,'ITEM LIST'!A:C,3,0)</f>
        <v>#N/A</v>
      </c>
      <c r="D12382" s="6">
        <f t="shared" si="194"/>
        <v>0</v>
      </c>
    </row>
    <row r="12383" spans="3:4" ht="15" x14ac:dyDescent="0.25">
      <c r="C12383" s="8" t="e">
        <f>VLOOKUP(A:A,'ITEM LIST'!A:C,3,0)</f>
        <v>#N/A</v>
      </c>
      <c r="D12383" s="6">
        <f t="shared" si="194"/>
        <v>0</v>
      </c>
    </row>
    <row r="12384" spans="3:4" ht="15" x14ac:dyDescent="0.25">
      <c r="C12384" s="8" t="e">
        <f>VLOOKUP(A:A,'ITEM LIST'!A:C,3,0)</f>
        <v>#N/A</v>
      </c>
      <c r="D12384" s="6">
        <f t="shared" si="194"/>
        <v>0</v>
      </c>
    </row>
    <row r="12385" spans="3:4" ht="15" x14ac:dyDescent="0.25">
      <c r="C12385" s="8" t="e">
        <f>VLOOKUP(A:A,'ITEM LIST'!A:C,3,0)</f>
        <v>#N/A</v>
      </c>
      <c r="D12385" s="6">
        <f t="shared" si="194"/>
        <v>0</v>
      </c>
    </row>
    <row r="12386" spans="3:4" ht="15" x14ac:dyDescent="0.25">
      <c r="C12386" s="8" t="e">
        <f>VLOOKUP(A:A,'ITEM LIST'!A:C,3,0)</f>
        <v>#N/A</v>
      </c>
      <c r="D12386" s="6">
        <f t="shared" si="194"/>
        <v>0</v>
      </c>
    </row>
    <row r="12387" spans="3:4" ht="15" x14ac:dyDescent="0.25">
      <c r="C12387" s="8" t="e">
        <f>VLOOKUP(A:A,'ITEM LIST'!A:C,3,0)</f>
        <v>#N/A</v>
      </c>
      <c r="D12387" s="6">
        <f t="shared" si="194"/>
        <v>0</v>
      </c>
    </row>
    <row r="12388" spans="3:4" ht="15" x14ac:dyDescent="0.25">
      <c r="C12388" s="8" t="e">
        <f>VLOOKUP(A:A,'ITEM LIST'!A:C,3,0)</f>
        <v>#N/A</v>
      </c>
      <c r="D12388" s="6">
        <f t="shared" si="194"/>
        <v>0</v>
      </c>
    </row>
    <row r="12389" spans="3:4" ht="15" x14ac:dyDescent="0.25">
      <c r="C12389" s="8" t="e">
        <f>VLOOKUP(A:A,'ITEM LIST'!A:C,3,0)</f>
        <v>#N/A</v>
      </c>
      <c r="D12389" s="6">
        <f t="shared" si="194"/>
        <v>0</v>
      </c>
    </row>
    <row r="12390" spans="3:4" ht="15" x14ac:dyDescent="0.25">
      <c r="C12390" s="8" t="e">
        <f>VLOOKUP(A:A,'ITEM LIST'!A:C,3,0)</f>
        <v>#N/A</v>
      </c>
      <c r="D12390" s="6">
        <f t="shared" si="194"/>
        <v>0</v>
      </c>
    </row>
    <row r="12391" spans="3:4" ht="15" x14ac:dyDescent="0.25">
      <c r="C12391" s="8" t="e">
        <f>VLOOKUP(A:A,'ITEM LIST'!A:C,3,0)</f>
        <v>#N/A</v>
      </c>
      <c r="D12391" s="6">
        <f t="shared" si="194"/>
        <v>0</v>
      </c>
    </row>
    <row r="12392" spans="3:4" ht="15" x14ac:dyDescent="0.25">
      <c r="C12392" s="8" t="e">
        <f>VLOOKUP(A:A,'ITEM LIST'!A:C,3,0)</f>
        <v>#N/A</v>
      </c>
      <c r="D12392" s="6">
        <f t="shared" si="194"/>
        <v>0</v>
      </c>
    </row>
    <row r="12393" spans="3:4" ht="15" x14ac:dyDescent="0.25">
      <c r="C12393" s="8" t="e">
        <f>VLOOKUP(A:A,'ITEM LIST'!A:C,3,0)</f>
        <v>#N/A</v>
      </c>
      <c r="D12393" s="6">
        <f t="shared" si="194"/>
        <v>0</v>
      </c>
    </row>
    <row r="12394" spans="3:4" ht="15" x14ac:dyDescent="0.25">
      <c r="C12394" s="8" t="e">
        <f>VLOOKUP(A:A,'ITEM LIST'!A:C,3,0)</f>
        <v>#N/A</v>
      </c>
      <c r="D12394" s="6">
        <f t="shared" si="194"/>
        <v>0</v>
      </c>
    </row>
    <row r="12395" spans="3:4" ht="15" x14ac:dyDescent="0.25">
      <c r="C12395" s="8" t="e">
        <f>VLOOKUP(A:A,'ITEM LIST'!A:C,3,0)</f>
        <v>#N/A</v>
      </c>
      <c r="D12395" s="6">
        <f t="shared" si="194"/>
        <v>0</v>
      </c>
    </row>
    <row r="12396" spans="3:4" ht="15" x14ac:dyDescent="0.25">
      <c r="C12396" s="8" t="e">
        <f>VLOOKUP(A:A,'ITEM LIST'!A:C,3,0)</f>
        <v>#N/A</v>
      </c>
      <c r="D12396" s="6">
        <f t="shared" si="194"/>
        <v>0</v>
      </c>
    </row>
    <row r="12397" spans="3:4" ht="15" x14ac:dyDescent="0.25">
      <c r="C12397" s="8" t="e">
        <f>VLOOKUP(A:A,'ITEM LIST'!A:C,3,0)</f>
        <v>#N/A</v>
      </c>
      <c r="D12397" s="6">
        <f t="shared" si="194"/>
        <v>0</v>
      </c>
    </row>
    <row r="12398" spans="3:4" ht="15" x14ac:dyDescent="0.25">
      <c r="C12398" s="8" t="e">
        <f>VLOOKUP(A:A,'ITEM LIST'!A:C,3,0)</f>
        <v>#N/A</v>
      </c>
      <c r="D12398" s="6">
        <f t="shared" si="194"/>
        <v>0</v>
      </c>
    </row>
    <row r="12399" spans="3:4" ht="15" x14ac:dyDescent="0.25">
      <c r="C12399" s="8" t="e">
        <f>VLOOKUP(A:A,'ITEM LIST'!A:C,3,0)</f>
        <v>#N/A</v>
      </c>
      <c r="D12399" s="6">
        <f t="shared" si="194"/>
        <v>0</v>
      </c>
    </row>
    <row r="12400" spans="3:4" ht="15" x14ac:dyDescent="0.25">
      <c r="C12400" s="8" t="e">
        <f>VLOOKUP(A:A,'ITEM LIST'!A:C,3,0)</f>
        <v>#N/A</v>
      </c>
      <c r="D12400" s="6">
        <f t="shared" si="194"/>
        <v>0</v>
      </c>
    </row>
    <row r="12401" spans="3:4" ht="15" x14ac:dyDescent="0.25">
      <c r="C12401" s="8" t="e">
        <f>VLOOKUP(A:A,'ITEM LIST'!A:C,3,0)</f>
        <v>#N/A</v>
      </c>
      <c r="D12401" s="6">
        <f t="shared" si="194"/>
        <v>0</v>
      </c>
    </row>
    <row r="12402" spans="3:4" ht="15" x14ac:dyDescent="0.25">
      <c r="C12402" s="8" t="e">
        <f>VLOOKUP(A:A,'ITEM LIST'!A:C,3,0)</f>
        <v>#N/A</v>
      </c>
      <c r="D12402" s="6">
        <f t="shared" si="194"/>
        <v>0</v>
      </c>
    </row>
    <row r="12403" spans="3:4" ht="15" x14ac:dyDescent="0.25">
      <c r="C12403" s="8" t="e">
        <f>VLOOKUP(A:A,'ITEM LIST'!A:C,3,0)</f>
        <v>#N/A</v>
      </c>
      <c r="D12403" s="6">
        <f t="shared" si="194"/>
        <v>0</v>
      </c>
    </row>
    <row r="12404" spans="3:4" ht="15" x14ac:dyDescent="0.25">
      <c r="C12404" s="8" t="e">
        <f>VLOOKUP(A:A,'ITEM LIST'!A:C,3,0)</f>
        <v>#N/A</v>
      </c>
      <c r="D12404" s="6">
        <f t="shared" si="194"/>
        <v>0</v>
      </c>
    </row>
    <row r="12405" spans="3:4" ht="15" x14ac:dyDescent="0.25">
      <c r="C12405" s="8" t="e">
        <f>VLOOKUP(A:A,'ITEM LIST'!A:C,3,0)</f>
        <v>#N/A</v>
      </c>
      <c r="D12405" s="6">
        <f t="shared" si="194"/>
        <v>0</v>
      </c>
    </row>
    <row r="12406" spans="3:4" ht="15" x14ac:dyDescent="0.25">
      <c r="C12406" s="8" t="e">
        <f>VLOOKUP(A:A,'ITEM LIST'!A:C,3,0)</f>
        <v>#N/A</v>
      </c>
      <c r="D12406" s="6">
        <f t="shared" si="194"/>
        <v>0</v>
      </c>
    </row>
    <row r="12407" spans="3:4" ht="15" x14ac:dyDescent="0.25">
      <c r="C12407" s="8" t="e">
        <f>VLOOKUP(A:A,'ITEM LIST'!A:C,3,0)</f>
        <v>#N/A</v>
      </c>
      <c r="D12407" s="6">
        <f t="shared" si="194"/>
        <v>0</v>
      </c>
    </row>
    <row r="12408" spans="3:4" ht="15" x14ac:dyDescent="0.25">
      <c r="C12408" s="8" t="e">
        <f>VLOOKUP(A:A,'ITEM LIST'!A:C,3,0)</f>
        <v>#N/A</v>
      </c>
      <c r="D12408" s="6">
        <f t="shared" si="194"/>
        <v>0</v>
      </c>
    </row>
    <row r="12409" spans="3:4" ht="15" x14ac:dyDescent="0.25">
      <c r="C12409" s="8" t="e">
        <f>VLOOKUP(A:A,'ITEM LIST'!A:C,3,0)</f>
        <v>#N/A</v>
      </c>
      <c r="D12409" s="6">
        <f t="shared" si="194"/>
        <v>0</v>
      </c>
    </row>
    <row r="12410" spans="3:4" ht="15" x14ac:dyDescent="0.25">
      <c r="C12410" s="8" t="e">
        <f>VLOOKUP(A:A,'ITEM LIST'!A:C,3,0)</f>
        <v>#N/A</v>
      </c>
      <c r="D12410" s="6">
        <f t="shared" si="194"/>
        <v>0</v>
      </c>
    </row>
    <row r="12411" spans="3:4" ht="15" x14ac:dyDescent="0.25">
      <c r="C12411" s="8" t="e">
        <f>VLOOKUP(A:A,'ITEM LIST'!A:C,3,0)</f>
        <v>#N/A</v>
      </c>
      <c r="D12411" s="6">
        <f t="shared" si="194"/>
        <v>0</v>
      </c>
    </row>
    <row r="12412" spans="3:4" ht="15" x14ac:dyDescent="0.25">
      <c r="C12412" s="8" t="e">
        <f>VLOOKUP(A:A,'ITEM LIST'!A:C,3,0)</f>
        <v>#N/A</v>
      </c>
      <c r="D12412" s="6">
        <f t="shared" si="194"/>
        <v>0</v>
      </c>
    </row>
    <row r="12413" spans="3:4" ht="15" x14ac:dyDescent="0.25">
      <c r="C12413" s="8" t="e">
        <f>VLOOKUP(A:A,'ITEM LIST'!A:C,3,0)</f>
        <v>#N/A</v>
      </c>
      <c r="D12413" s="6">
        <f t="shared" si="194"/>
        <v>0</v>
      </c>
    </row>
    <row r="12414" spans="3:4" ht="15" x14ac:dyDescent="0.25">
      <c r="C12414" s="8" t="e">
        <f>VLOOKUP(A:A,'ITEM LIST'!A:C,3,0)</f>
        <v>#N/A</v>
      </c>
      <c r="D12414" s="6">
        <f t="shared" si="194"/>
        <v>0</v>
      </c>
    </row>
    <row r="12415" spans="3:4" ht="15" x14ac:dyDescent="0.25">
      <c r="C12415" s="8" t="e">
        <f>VLOOKUP(A:A,'ITEM LIST'!A:C,3,0)</f>
        <v>#N/A</v>
      </c>
      <c r="D12415" s="6">
        <f t="shared" si="194"/>
        <v>0</v>
      </c>
    </row>
    <row r="12416" spans="3:4" ht="15" x14ac:dyDescent="0.25">
      <c r="C12416" s="8" t="e">
        <f>VLOOKUP(A:A,'ITEM LIST'!A:C,3,0)</f>
        <v>#N/A</v>
      </c>
      <c r="D12416" s="6">
        <f t="shared" si="194"/>
        <v>0</v>
      </c>
    </row>
    <row r="12417" spans="3:4" ht="15" x14ac:dyDescent="0.25">
      <c r="C12417" s="8" t="e">
        <f>VLOOKUP(A:A,'ITEM LIST'!A:C,3,0)</f>
        <v>#N/A</v>
      </c>
      <c r="D12417" s="6">
        <f t="shared" si="194"/>
        <v>0</v>
      </c>
    </row>
    <row r="12418" spans="3:4" ht="15" x14ac:dyDescent="0.25">
      <c r="C12418" s="8" t="e">
        <f>VLOOKUP(A:A,'ITEM LIST'!A:C,3,0)</f>
        <v>#N/A</v>
      </c>
      <c r="D12418" s="6">
        <f t="shared" si="194"/>
        <v>0</v>
      </c>
    </row>
    <row r="12419" spans="3:4" ht="15" x14ac:dyDescent="0.25">
      <c r="C12419" s="8" t="e">
        <f>VLOOKUP(A:A,'ITEM LIST'!A:C,3,0)</f>
        <v>#N/A</v>
      </c>
      <c r="D12419" s="6">
        <f t="shared" si="194"/>
        <v>0</v>
      </c>
    </row>
    <row r="12420" spans="3:4" ht="15" x14ac:dyDescent="0.25">
      <c r="C12420" s="8" t="e">
        <f>VLOOKUP(A:A,'ITEM LIST'!A:C,3,0)</f>
        <v>#N/A</v>
      </c>
      <c r="D12420" s="6">
        <f t="shared" si="194"/>
        <v>0</v>
      </c>
    </row>
    <row r="12421" spans="3:4" ht="15" x14ac:dyDescent="0.25">
      <c r="C12421" s="8" t="e">
        <f>VLOOKUP(A:A,'ITEM LIST'!A:C,3,0)</f>
        <v>#N/A</v>
      </c>
      <c r="D12421" s="6">
        <f t="shared" si="194"/>
        <v>0</v>
      </c>
    </row>
    <row r="12422" spans="3:4" ht="15" x14ac:dyDescent="0.25">
      <c r="C12422" s="8" t="e">
        <f>VLOOKUP(A:A,'ITEM LIST'!A:C,3,0)</f>
        <v>#N/A</v>
      </c>
      <c r="D12422" s="6">
        <f t="shared" ref="D12422:D12485" si="195">B12422</f>
        <v>0</v>
      </c>
    </row>
    <row r="12423" spans="3:4" ht="15" x14ac:dyDescent="0.25">
      <c r="C12423" s="8" t="e">
        <f>VLOOKUP(A:A,'ITEM LIST'!A:C,3,0)</f>
        <v>#N/A</v>
      </c>
      <c r="D12423" s="6">
        <f t="shared" si="195"/>
        <v>0</v>
      </c>
    </row>
    <row r="12424" spans="3:4" ht="15" x14ac:dyDescent="0.25">
      <c r="C12424" s="8" t="e">
        <f>VLOOKUP(A:A,'ITEM LIST'!A:C,3,0)</f>
        <v>#N/A</v>
      </c>
      <c r="D12424" s="6">
        <f t="shared" si="195"/>
        <v>0</v>
      </c>
    </row>
    <row r="12425" spans="3:4" ht="15" x14ac:dyDescent="0.25">
      <c r="C12425" s="8" t="e">
        <f>VLOOKUP(A:A,'ITEM LIST'!A:C,3,0)</f>
        <v>#N/A</v>
      </c>
      <c r="D12425" s="6">
        <f t="shared" si="195"/>
        <v>0</v>
      </c>
    </row>
    <row r="12426" spans="3:4" ht="15" x14ac:dyDescent="0.25">
      <c r="C12426" s="8" t="e">
        <f>VLOOKUP(A:A,'ITEM LIST'!A:C,3,0)</f>
        <v>#N/A</v>
      </c>
      <c r="D12426" s="6">
        <f t="shared" si="195"/>
        <v>0</v>
      </c>
    </row>
    <row r="12427" spans="3:4" ht="15" x14ac:dyDescent="0.25">
      <c r="C12427" s="8" t="e">
        <f>VLOOKUP(A:A,'ITEM LIST'!A:C,3,0)</f>
        <v>#N/A</v>
      </c>
      <c r="D12427" s="6">
        <f t="shared" si="195"/>
        <v>0</v>
      </c>
    </row>
    <row r="12428" spans="3:4" ht="15" x14ac:dyDescent="0.25">
      <c r="C12428" s="8" t="e">
        <f>VLOOKUP(A:A,'ITEM LIST'!A:C,3,0)</f>
        <v>#N/A</v>
      </c>
      <c r="D12428" s="6">
        <f t="shared" si="195"/>
        <v>0</v>
      </c>
    </row>
    <row r="12429" spans="3:4" ht="15" x14ac:dyDescent="0.25">
      <c r="C12429" s="8" t="e">
        <f>VLOOKUP(A:A,'ITEM LIST'!A:C,3,0)</f>
        <v>#N/A</v>
      </c>
      <c r="D12429" s="6">
        <f t="shared" si="195"/>
        <v>0</v>
      </c>
    </row>
    <row r="12430" spans="3:4" ht="15" x14ac:dyDescent="0.25">
      <c r="C12430" s="8" t="e">
        <f>VLOOKUP(A:A,'ITEM LIST'!A:C,3,0)</f>
        <v>#N/A</v>
      </c>
      <c r="D12430" s="6">
        <f t="shared" si="195"/>
        <v>0</v>
      </c>
    </row>
    <row r="12431" spans="3:4" ht="15" x14ac:dyDescent="0.25">
      <c r="C12431" s="8" t="e">
        <f>VLOOKUP(A:A,'ITEM LIST'!A:C,3,0)</f>
        <v>#N/A</v>
      </c>
      <c r="D12431" s="6">
        <f t="shared" si="195"/>
        <v>0</v>
      </c>
    </row>
    <row r="12432" spans="3:4" ht="15" x14ac:dyDescent="0.25">
      <c r="C12432" s="8" t="e">
        <f>VLOOKUP(A:A,'ITEM LIST'!A:C,3,0)</f>
        <v>#N/A</v>
      </c>
      <c r="D12432" s="6">
        <f t="shared" si="195"/>
        <v>0</v>
      </c>
    </row>
    <row r="12433" spans="3:4" ht="15" x14ac:dyDescent="0.25">
      <c r="C12433" s="8" t="e">
        <f>VLOOKUP(A:A,'ITEM LIST'!A:C,3,0)</f>
        <v>#N/A</v>
      </c>
      <c r="D12433" s="6">
        <f t="shared" si="195"/>
        <v>0</v>
      </c>
    </row>
    <row r="12434" spans="3:4" ht="15" x14ac:dyDescent="0.25">
      <c r="C12434" s="8" t="e">
        <f>VLOOKUP(A:A,'ITEM LIST'!A:C,3,0)</f>
        <v>#N/A</v>
      </c>
      <c r="D12434" s="6">
        <f t="shared" si="195"/>
        <v>0</v>
      </c>
    </row>
    <row r="12435" spans="3:4" ht="15" x14ac:dyDescent="0.25">
      <c r="C12435" s="8" t="e">
        <f>VLOOKUP(A:A,'ITEM LIST'!A:C,3,0)</f>
        <v>#N/A</v>
      </c>
      <c r="D12435" s="6">
        <f t="shared" si="195"/>
        <v>0</v>
      </c>
    </row>
    <row r="12436" spans="3:4" ht="15" x14ac:dyDescent="0.25">
      <c r="C12436" s="8" t="e">
        <f>VLOOKUP(A:A,'ITEM LIST'!A:C,3,0)</f>
        <v>#N/A</v>
      </c>
      <c r="D12436" s="6">
        <f t="shared" si="195"/>
        <v>0</v>
      </c>
    </row>
    <row r="12437" spans="3:4" ht="15" x14ac:dyDescent="0.25">
      <c r="C12437" s="8" t="e">
        <f>VLOOKUP(A:A,'ITEM LIST'!A:C,3,0)</f>
        <v>#N/A</v>
      </c>
      <c r="D12437" s="6">
        <f t="shared" si="195"/>
        <v>0</v>
      </c>
    </row>
    <row r="12438" spans="3:4" ht="15" x14ac:dyDescent="0.25">
      <c r="C12438" s="8" t="e">
        <f>VLOOKUP(A:A,'ITEM LIST'!A:C,3,0)</f>
        <v>#N/A</v>
      </c>
      <c r="D12438" s="6">
        <f t="shared" si="195"/>
        <v>0</v>
      </c>
    </row>
    <row r="12439" spans="3:4" ht="15" x14ac:dyDescent="0.25">
      <c r="C12439" s="8" t="e">
        <f>VLOOKUP(A:A,'ITEM LIST'!A:C,3,0)</f>
        <v>#N/A</v>
      </c>
      <c r="D12439" s="6">
        <f t="shared" si="195"/>
        <v>0</v>
      </c>
    </row>
    <row r="12440" spans="3:4" ht="15" x14ac:dyDescent="0.25">
      <c r="C12440" s="8" t="e">
        <f>VLOOKUP(A:A,'ITEM LIST'!A:C,3,0)</f>
        <v>#N/A</v>
      </c>
      <c r="D12440" s="6">
        <f t="shared" si="195"/>
        <v>0</v>
      </c>
    </row>
    <row r="12441" spans="3:4" ht="15" x14ac:dyDescent="0.25">
      <c r="C12441" s="8" t="e">
        <f>VLOOKUP(A:A,'ITEM LIST'!A:C,3,0)</f>
        <v>#N/A</v>
      </c>
      <c r="D12441" s="6">
        <f t="shared" si="195"/>
        <v>0</v>
      </c>
    </row>
    <row r="12442" spans="3:4" ht="15" x14ac:dyDescent="0.25">
      <c r="C12442" s="8" t="e">
        <f>VLOOKUP(A:A,'ITEM LIST'!A:C,3,0)</f>
        <v>#N/A</v>
      </c>
      <c r="D12442" s="6">
        <f t="shared" si="195"/>
        <v>0</v>
      </c>
    </row>
    <row r="12443" spans="3:4" ht="15" x14ac:dyDescent="0.25">
      <c r="C12443" s="8" t="e">
        <f>VLOOKUP(A:A,'ITEM LIST'!A:C,3,0)</f>
        <v>#N/A</v>
      </c>
      <c r="D12443" s="6">
        <f t="shared" si="195"/>
        <v>0</v>
      </c>
    </row>
    <row r="12444" spans="3:4" ht="15" x14ac:dyDescent="0.25">
      <c r="C12444" s="8" t="e">
        <f>VLOOKUP(A:A,'ITEM LIST'!A:C,3,0)</f>
        <v>#N/A</v>
      </c>
      <c r="D12444" s="6">
        <f t="shared" si="195"/>
        <v>0</v>
      </c>
    </row>
    <row r="12445" spans="3:4" ht="15" x14ac:dyDescent="0.25">
      <c r="C12445" s="8" t="e">
        <f>VLOOKUP(A:A,'ITEM LIST'!A:C,3,0)</f>
        <v>#N/A</v>
      </c>
      <c r="D12445" s="6">
        <f t="shared" si="195"/>
        <v>0</v>
      </c>
    </row>
    <row r="12446" spans="3:4" ht="15" x14ac:dyDescent="0.25">
      <c r="C12446" s="8" t="e">
        <f>VLOOKUP(A:A,'ITEM LIST'!A:C,3,0)</f>
        <v>#N/A</v>
      </c>
      <c r="D12446" s="6">
        <f t="shared" si="195"/>
        <v>0</v>
      </c>
    </row>
    <row r="12447" spans="3:4" ht="15" x14ac:dyDescent="0.25">
      <c r="C12447" s="8" t="e">
        <f>VLOOKUP(A:A,'ITEM LIST'!A:C,3,0)</f>
        <v>#N/A</v>
      </c>
      <c r="D12447" s="6">
        <f t="shared" si="195"/>
        <v>0</v>
      </c>
    </row>
    <row r="12448" spans="3:4" ht="15" x14ac:dyDescent="0.25">
      <c r="C12448" s="8" t="e">
        <f>VLOOKUP(A:A,'ITEM LIST'!A:C,3,0)</f>
        <v>#N/A</v>
      </c>
      <c r="D12448" s="6">
        <f t="shared" si="195"/>
        <v>0</v>
      </c>
    </row>
    <row r="12449" spans="3:4" ht="15" x14ac:dyDescent="0.25">
      <c r="C12449" s="8" t="e">
        <f>VLOOKUP(A:A,'ITEM LIST'!A:C,3,0)</f>
        <v>#N/A</v>
      </c>
      <c r="D12449" s="6">
        <f t="shared" si="195"/>
        <v>0</v>
      </c>
    </row>
    <row r="12450" spans="3:4" ht="15" x14ac:dyDescent="0.25">
      <c r="C12450" s="8" t="e">
        <f>VLOOKUP(A:A,'ITEM LIST'!A:C,3,0)</f>
        <v>#N/A</v>
      </c>
      <c r="D12450" s="6">
        <f t="shared" si="195"/>
        <v>0</v>
      </c>
    </row>
    <row r="12451" spans="3:4" ht="15" x14ac:dyDescent="0.25">
      <c r="C12451" s="8" t="e">
        <f>VLOOKUP(A:A,'ITEM LIST'!A:C,3,0)</f>
        <v>#N/A</v>
      </c>
      <c r="D12451" s="6">
        <f t="shared" si="195"/>
        <v>0</v>
      </c>
    </row>
    <row r="12452" spans="3:4" ht="15" x14ac:dyDescent="0.25">
      <c r="C12452" s="8" t="e">
        <f>VLOOKUP(A:A,'ITEM LIST'!A:C,3,0)</f>
        <v>#N/A</v>
      </c>
      <c r="D12452" s="6">
        <f t="shared" si="195"/>
        <v>0</v>
      </c>
    </row>
    <row r="12453" spans="3:4" ht="15" x14ac:dyDescent="0.25">
      <c r="C12453" s="8" t="e">
        <f>VLOOKUP(A:A,'ITEM LIST'!A:C,3,0)</f>
        <v>#N/A</v>
      </c>
      <c r="D12453" s="6">
        <f t="shared" si="195"/>
        <v>0</v>
      </c>
    </row>
    <row r="12454" spans="3:4" ht="15" x14ac:dyDescent="0.25">
      <c r="C12454" s="8" t="e">
        <f>VLOOKUP(A:A,'ITEM LIST'!A:C,3,0)</f>
        <v>#N/A</v>
      </c>
      <c r="D12454" s="6">
        <f t="shared" si="195"/>
        <v>0</v>
      </c>
    </row>
    <row r="12455" spans="3:4" ht="15" x14ac:dyDescent="0.25">
      <c r="C12455" s="8" t="e">
        <f>VLOOKUP(A:A,'ITEM LIST'!A:C,3,0)</f>
        <v>#N/A</v>
      </c>
      <c r="D12455" s="6">
        <f t="shared" si="195"/>
        <v>0</v>
      </c>
    </row>
    <row r="12456" spans="3:4" ht="15" x14ac:dyDescent="0.25">
      <c r="C12456" s="8" t="e">
        <f>VLOOKUP(A:A,'ITEM LIST'!A:C,3,0)</f>
        <v>#N/A</v>
      </c>
      <c r="D12456" s="6">
        <f t="shared" si="195"/>
        <v>0</v>
      </c>
    </row>
    <row r="12457" spans="3:4" ht="15" x14ac:dyDescent="0.25">
      <c r="C12457" s="8" t="e">
        <f>VLOOKUP(A:A,'ITEM LIST'!A:C,3,0)</f>
        <v>#N/A</v>
      </c>
      <c r="D12457" s="6">
        <f t="shared" si="195"/>
        <v>0</v>
      </c>
    </row>
    <row r="12458" spans="3:4" ht="15" x14ac:dyDescent="0.25">
      <c r="C12458" s="8" t="e">
        <f>VLOOKUP(A:A,'ITEM LIST'!A:C,3,0)</f>
        <v>#N/A</v>
      </c>
      <c r="D12458" s="6">
        <f t="shared" si="195"/>
        <v>0</v>
      </c>
    </row>
    <row r="12459" spans="3:4" ht="15" x14ac:dyDescent="0.25">
      <c r="C12459" s="8" t="e">
        <f>VLOOKUP(A:A,'ITEM LIST'!A:C,3,0)</f>
        <v>#N/A</v>
      </c>
      <c r="D12459" s="6">
        <f t="shared" si="195"/>
        <v>0</v>
      </c>
    </row>
    <row r="12460" spans="3:4" ht="15" x14ac:dyDescent="0.25">
      <c r="C12460" s="8" t="e">
        <f>VLOOKUP(A:A,'ITEM LIST'!A:C,3,0)</f>
        <v>#N/A</v>
      </c>
      <c r="D12460" s="6">
        <f t="shared" si="195"/>
        <v>0</v>
      </c>
    </row>
    <row r="12461" spans="3:4" ht="15" x14ac:dyDescent="0.25">
      <c r="C12461" s="8" t="e">
        <f>VLOOKUP(A:A,'ITEM LIST'!A:C,3,0)</f>
        <v>#N/A</v>
      </c>
      <c r="D12461" s="6">
        <f t="shared" si="195"/>
        <v>0</v>
      </c>
    </row>
    <row r="12462" spans="3:4" ht="15" x14ac:dyDescent="0.25">
      <c r="C12462" s="8" t="e">
        <f>VLOOKUP(A:A,'ITEM LIST'!A:C,3,0)</f>
        <v>#N/A</v>
      </c>
      <c r="D12462" s="6">
        <f t="shared" si="195"/>
        <v>0</v>
      </c>
    </row>
    <row r="12463" spans="3:4" ht="15" x14ac:dyDescent="0.25">
      <c r="C12463" s="8" t="e">
        <f>VLOOKUP(A:A,'ITEM LIST'!A:C,3,0)</f>
        <v>#N/A</v>
      </c>
      <c r="D12463" s="6">
        <f t="shared" si="195"/>
        <v>0</v>
      </c>
    </row>
    <row r="12464" spans="3:4" ht="15" x14ac:dyDescent="0.25">
      <c r="C12464" s="8" t="e">
        <f>VLOOKUP(A:A,'ITEM LIST'!A:C,3,0)</f>
        <v>#N/A</v>
      </c>
      <c r="D12464" s="6">
        <f t="shared" si="195"/>
        <v>0</v>
      </c>
    </row>
    <row r="12465" spans="3:4" ht="15" x14ac:dyDescent="0.25">
      <c r="C12465" s="8" t="e">
        <f>VLOOKUP(A:A,'ITEM LIST'!A:C,3,0)</f>
        <v>#N/A</v>
      </c>
      <c r="D12465" s="6">
        <f t="shared" si="195"/>
        <v>0</v>
      </c>
    </row>
    <row r="12466" spans="3:4" ht="15" x14ac:dyDescent="0.25">
      <c r="C12466" s="8" t="e">
        <f>VLOOKUP(A:A,'ITEM LIST'!A:C,3,0)</f>
        <v>#N/A</v>
      </c>
      <c r="D12466" s="6">
        <f t="shared" si="195"/>
        <v>0</v>
      </c>
    </row>
    <row r="12467" spans="3:4" ht="15" x14ac:dyDescent="0.25">
      <c r="C12467" s="8" t="e">
        <f>VLOOKUP(A:A,'ITEM LIST'!A:C,3,0)</f>
        <v>#N/A</v>
      </c>
      <c r="D12467" s="6">
        <f t="shared" si="195"/>
        <v>0</v>
      </c>
    </row>
    <row r="12468" spans="3:4" ht="15" x14ac:dyDescent="0.25">
      <c r="C12468" s="8" t="e">
        <f>VLOOKUP(A:A,'ITEM LIST'!A:C,3,0)</f>
        <v>#N/A</v>
      </c>
      <c r="D12468" s="6">
        <f t="shared" si="195"/>
        <v>0</v>
      </c>
    </row>
    <row r="12469" spans="3:4" ht="15" x14ac:dyDescent="0.25">
      <c r="C12469" s="8" t="e">
        <f>VLOOKUP(A:A,'ITEM LIST'!A:C,3,0)</f>
        <v>#N/A</v>
      </c>
      <c r="D12469" s="6">
        <f t="shared" si="195"/>
        <v>0</v>
      </c>
    </row>
    <row r="12470" spans="3:4" ht="15" x14ac:dyDescent="0.25">
      <c r="C12470" s="8" t="e">
        <f>VLOOKUP(A:A,'ITEM LIST'!A:C,3,0)</f>
        <v>#N/A</v>
      </c>
      <c r="D12470" s="6">
        <f t="shared" si="195"/>
        <v>0</v>
      </c>
    </row>
    <row r="12471" spans="3:4" ht="15" x14ac:dyDescent="0.25">
      <c r="C12471" s="8" t="e">
        <f>VLOOKUP(A:A,'ITEM LIST'!A:C,3,0)</f>
        <v>#N/A</v>
      </c>
      <c r="D12471" s="6">
        <f t="shared" si="195"/>
        <v>0</v>
      </c>
    </row>
    <row r="12472" spans="3:4" ht="15" x14ac:dyDescent="0.25">
      <c r="C12472" s="8" t="e">
        <f>VLOOKUP(A:A,'ITEM LIST'!A:C,3,0)</f>
        <v>#N/A</v>
      </c>
      <c r="D12472" s="6">
        <f t="shared" si="195"/>
        <v>0</v>
      </c>
    </row>
    <row r="12473" spans="3:4" ht="15" x14ac:dyDescent="0.25">
      <c r="C12473" s="8" t="e">
        <f>VLOOKUP(A:A,'ITEM LIST'!A:C,3,0)</f>
        <v>#N/A</v>
      </c>
      <c r="D12473" s="6">
        <f t="shared" si="195"/>
        <v>0</v>
      </c>
    </row>
    <row r="12474" spans="3:4" ht="15" x14ac:dyDescent="0.25">
      <c r="C12474" s="8" t="e">
        <f>VLOOKUP(A:A,'ITEM LIST'!A:C,3,0)</f>
        <v>#N/A</v>
      </c>
      <c r="D12474" s="6">
        <f t="shared" si="195"/>
        <v>0</v>
      </c>
    </row>
    <row r="12475" spans="3:4" ht="15" x14ac:dyDescent="0.25">
      <c r="C12475" s="8" t="e">
        <f>VLOOKUP(A:A,'ITEM LIST'!A:C,3,0)</f>
        <v>#N/A</v>
      </c>
      <c r="D12475" s="6">
        <f t="shared" si="195"/>
        <v>0</v>
      </c>
    </row>
    <row r="12476" spans="3:4" ht="15" x14ac:dyDescent="0.25">
      <c r="C12476" s="8" t="e">
        <f>VLOOKUP(A:A,'ITEM LIST'!A:C,3,0)</f>
        <v>#N/A</v>
      </c>
      <c r="D12476" s="6">
        <f t="shared" si="195"/>
        <v>0</v>
      </c>
    </row>
    <row r="12477" spans="3:4" ht="15" x14ac:dyDescent="0.25">
      <c r="C12477" s="8" t="e">
        <f>VLOOKUP(A:A,'ITEM LIST'!A:C,3,0)</f>
        <v>#N/A</v>
      </c>
      <c r="D12477" s="6">
        <f t="shared" si="195"/>
        <v>0</v>
      </c>
    </row>
    <row r="12478" spans="3:4" ht="15" x14ac:dyDescent="0.25">
      <c r="C12478" s="8" t="e">
        <f>VLOOKUP(A:A,'ITEM LIST'!A:C,3,0)</f>
        <v>#N/A</v>
      </c>
      <c r="D12478" s="6">
        <f t="shared" si="195"/>
        <v>0</v>
      </c>
    </row>
    <row r="12479" spans="3:4" ht="15" x14ac:dyDescent="0.25">
      <c r="C12479" s="8" t="e">
        <f>VLOOKUP(A:A,'ITEM LIST'!A:C,3,0)</f>
        <v>#N/A</v>
      </c>
      <c r="D12479" s="6">
        <f t="shared" si="195"/>
        <v>0</v>
      </c>
    </row>
    <row r="12480" spans="3:4" ht="15" x14ac:dyDescent="0.25">
      <c r="C12480" s="8" t="e">
        <f>VLOOKUP(A:A,'ITEM LIST'!A:C,3,0)</f>
        <v>#N/A</v>
      </c>
      <c r="D12480" s="6">
        <f t="shared" si="195"/>
        <v>0</v>
      </c>
    </row>
    <row r="12481" spans="3:4" ht="15" x14ac:dyDescent="0.25">
      <c r="C12481" s="8" t="e">
        <f>VLOOKUP(A:A,'ITEM LIST'!A:C,3,0)</f>
        <v>#N/A</v>
      </c>
      <c r="D12481" s="6">
        <f t="shared" si="195"/>
        <v>0</v>
      </c>
    </row>
    <row r="12482" spans="3:4" ht="15" x14ac:dyDescent="0.25">
      <c r="C12482" s="8" t="e">
        <f>VLOOKUP(A:A,'ITEM LIST'!A:C,3,0)</f>
        <v>#N/A</v>
      </c>
      <c r="D12482" s="6">
        <f t="shared" si="195"/>
        <v>0</v>
      </c>
    </row>
    <row r="12483" spans="3:4" ht="15" x14ac:dyDescent="0.25">
      <c r="C12483" s="8" t="e">
        <f>VLOOKUP(A:A,'ITEM LIST'!A:C,3,0)</f>
        <v>#N/A</v>
      </c>
      <c r="D12483" s="6">
        <f t="shared" si="195"/>
        <v>0</v>
      </c>
    </row>
    <row r="12484" spans="3:4" ht="15" x14ac:dyDescent="0.25">
      <c r="C12484" s="8" t="e">
        <f>VLOOKUP(A:A,'ITEM LIST'!A:C,3,0)</f>
        <v>#N/A</v>
      </c>
      <c r="D12484" s="6">
        <f t="shared" si="195"/>
        <v>0</v>
      </c>
    </row>
    <row r="12485" spans="3:4" ht="15" x14ac:dyDescent="0.25">
      <c r="C12485" s="8" t="e">
        <f>VLOOKUP(A:A,'ITEM LIST'!A:C,3,0)</f>
        <v>#N/A</v>
      </c>
      <c r="D12485" s="6">
        <f t="shared" si="195"/>
        <v>0</v>
      </c>
    </row>
    <row r="12486" spans="3:4" ht="15" x14ac:dyDescent="0.25">
      <c r="C12486" s="8" t="e">
        <f>VLOOKUP(A:A,'ITEM LIST'!A:C,3,0)</f>
        <v>#N/A</v>
      </c>
      <c r="D12486" s="6">
        <f t="shared" ref="D12486:D12549" si="196">B12486</f>
        <v>0</v>
      </c>
    </row>
    <row r="12487" spans="3:4" ht="15" x14ac:dyDescent="0.25">
      <c r="C12487" s="8" t="e">
        <f>VLOOKUP(A:A,'ITEM LIST'!A:C,3,0)</f>
        <v>#N/A</v>
      </c>
      <c r="D12487" s="6">
        <f t="shared" si="196"/>
        <v>0</v>
      </c>
    </row>
    <row r="12488" spans="3:4" ht="15" x14ac:dyDescent="0.25">
      <c r="C12488" s="8" t="e">
        <f>VLOOKUP(A:A,'ITEM LIST'!A:C,3,0)</f>
        <v>#N/A</v>
      </c>
      <c r="D12488" s="6">
        <f t="shared" si="196"/>
        <v>0</v>
      </c>
    </row>
    <row r="12489" spans="3:4" ht="15" x14ac:dyDescent="0.25">
      <c r="C12489" s="8" t="e">
        <f>VLOOKUP(A:A,'ITEM LIST'!A:C,3,0)</f>
        <v>#N/A</v>
      </c>
      <c r="D12489" s="6">
        <f t="shared" si="196"/>
        <v>0</v>
      </c>
    </row>
    <row r="12490" spans="3:4" ht="15" x14ac:dyDescent="0.25">
      <c r="C12490" s="8" t="e">
        <f>VLOOKUP(A:A,'ITEM LIST'!A:C,3,0)</f>
        <v>#N/A</v>
      </c>
      <c r="D12490" s="6">
        <f t="shared" si="196"/>
        <v>0</v>
      </c>
    </row>
    <row r="12491" spans="3:4" ht="15" x14ac:dyDescent="0.25">
      <c r="C12491" s="8" t="e">
        <f>VLOOKUP(A:A,'ITEM LIST'!A:C,3,0)</f>
        <v>#N/A</v>
      </c>
      <c r="D12491" s="6">
        <f t="shared" si="196"/>
        <v>0</v>
      </c>
    </row>
    <row r="12492" spans="3:4" ht="15" x14ac:dyDescent="0.25">
      <c r="C12492" s="8" t="e">
        <f>VLOOKUP(A:A,'ITEM LIST'!A:C,3,0)</f>
        <v>#N/A</v>
      </c>
      <c r="D12492" s="6">
        <f t="shared" si="196"/>
        <v>0</v>
      </c>
    </row>
    <row r="12493" spans="3:4" ht="15" x14ac:dyDescent="0.25">
      <c r="C12493" s="8" t="e">
        <f>VLOOKUP(A:A,'ITEM LIST'!A:C,3,0)</f>
        <v>#N/A</v>
      </c>
      <c r="D12493" s="6">
        <f t="shared" si="196"/>
        <v>0</v>
      </c>
    </row>
    <row r="12494" spans="3:4" ht="15" x14ac:dyDescent="0.25">
      <c r="C12494" s="8" t="e">
        <f>VLOOKUP(A:A,'ITEM LIST'!A:C,3,0)</f>
        <v>#N/A</v>
      </c>
      <c r="D12494" s="6">
        <f t="shared" si="196"/>
        <v>0</v>
      </c>
    </row>
    <row r="12495" spans="3:4" ht="15" x14ac:dyDescent="0.25">
      <c r="C12495" s="8" t="e">
        <f>VLOOKUP(A:A,'ITEM LIST'!A:C,3,0)</f>
        <v>#N/A</v>
      </c>
      <c r="D12495" s="6">
        <f t="shared" si="196"/>
        <v>0</v>
      </c>
    </row>
    <row r="12496" spans="3:4" ht="15" x14ac:dyDescent="0.25">
      <c r="C12496" s="8" t="e">
        <f>VLOOKUP(A:A,'ITEM LIST'!A:C,3,0)</f>
        <v>#N/A</v>
      </c>
      <c r="D12496" s="6">
        <f t="shared" si="196"/>
        <v>0</v>
      </c>
    </row>
    <row r="12497" spans="3:4" ht="15" x14ac:dyDescent="0.25">
      <c r="C12497" s="8" t="e">
        <f>VLOOKUP(A:A,'ITEM LIST'!A:C,3,0)</f>
        <v>#N/A</v>
      </c>
      <c r="D12497" s="6">
        <f t="shared" si="196"/>
        <v>0</v>
      </c>
    </row>
    <row r="12498" spans="3:4" ht="15" x14ac:dyDescent="0.25">
      <c r="C12498" s="8" t="e">
        <f>VLOOKUP(A:A,'ITEM LIST'!A:C,3,0)</f>
        <v>#N/A</v>
      </c>
      <c r="D12498" s="6">
        <f t="shared" si="196"/>
        <v>0</v>
      </c>
    </row>
    <row r="12499" spans="3:4" ht="15" x14ac:dyDescent="0.25">
      <c r="C12499" s="8" t="e">
        <f>VLOOKUP(A:A,'ITEM LIST'!A:C,3,0)</f>
        <v>#N/A</v>
      </c>
      <c r="D12499" s="6">
        <f t="shared" si="196"/>
        <v>0</v>
      </c>
    </row>
    <row r="12500" spans="3:4" ht="15" x14ac:dyDescent="0.25">
      <c r="C12500" s="8" t="e">
        <f>VLOOKUP(A:A,'ITEM LIST'!A:C,3,0)</f>
        <v>#N/A</v>
      </c>
      <c r="D12500" s="6">
        <f t="shared" si="196"/>
        <v>0</v>
      </c>
    </row>
    <row r="12501" spans="3:4" ht="15" x14ac:dyDescent="0.25">
      <c r="C12501" s="8" t="e">
        <f>VLOOKUP(A:A,'ITEM LIST'!A:C,3,0)</f>
        <v>#N/A</v>
      </c>
      <c r="D12501" s="6">
        <f t="shared" si="196"/>
        <v>0</v>
      </c>
    </row>
    <row r="12502" spans="3:4" ht="15" x14ac:dyDescent="0.25">
      <c r="C12502" s="8" t="e">
        <f>VLOOKUP(A:A,'ITEM LIST'!A:C,3,0)</f>
        <v>#N/A</v>
      </c>
      <c r="D12502" s="6">
        <f t="shared" si="196"/>
        <v>0</v>
      </c>
    </row>
    <row r="12503" spans="3:4" ht="15" x14ac:dyDescent="0.25">
      <c r="C12503" s="8" t="e">
        <f>VLOOKUP(A:A,'ITEM LIST'!A:C,3,0)</f>
        <v>#N/A</v>
      </c>
      <c r="D12503" s="6">
        <f t="shared" si="196"/>
        <v>0</v>
      </c>
    </row>
    <row r="12504" spans="3:4" ht="15" x14ac:dyDescent="0.25">
      <c r="C12504" s="8" t="e">
        <f>VLOOKUP(A:A,'ITEM LIST'!A:C,3,0)</f>
        <v>#N/A</v>
      </c>
      <c r="D12504" s="6">
        <f t="shared" si="196"/>
        <v>0</v>
      </c>
    </row>
    <row r="12505" spans="3:4" ht="15" x14ac:dyDescent="0.25">
      <c r="C12505" s="8" t="e">
        <f>VLOOKUP(A:A,'ITEM LIST'!A:C,3,0)</f>
        <v>#N/A</v>
      </c>
      <c r="D12505" s="6">
        <f t="shared" si="196"/>
        <v>0</v>
      </c>
    </row>
    <row r="12506" spans="3:4" ht="15" x14ac:dyDescent="0.25">
      <c r="C12506" s="8" t="e">
        <f>VLOOKUP(A:A,'ITEM LIST'!A:C,3,0)</f>
        <v>#N/A</v>
      </c>
      <c r="D12506" s="6">
        <f t="shared" si="196"/>
        <v>0</v>
      </c>
    </row>
    <row r="12507" spans="3:4" ht="15" x14ac:dyDescent="0.25">
      <c r="C12507" s="8" t="e">
        <f>VLOOKUP(A:A,'ITEM LIST'!A:C,3,0)</f>
        <v>#N/A</v>
      </c>
      <c r="D12507" s="6">
        <f t="shared" si="196"/>
        <v>0</v>
      </c>
    </row>
    <row r="12508" spans="3:4" ht="15" x14ac:dyDescent="0.25">
      <c r="C12508" s="8" t="e">
        <f>VLOOKUP(A:A,'ITEM LIST'!A:C,3,0)</f>
        <v>#N/A</v>
      </c>
      <c r="D12508" s="6">
        <f t="shared" si="196"/>
        <v>0</v>
      </c>
    </row>
    <row r="12509" spans="3:4" ht="15" x14ac:dyDescent="0.25">
      <c r="C12509" s="8" t="e">
        <f>VLOOKUP(A:A,'ITEM LIST'!A:C,3,0)</f>
        <v>#N/A</v>
      </c>
      <c r="D12509" s="6">
        <f t="shared" si="196"/>
        <v>0</v>
      </c>
    </row>
    <row r="12510" spans="3:4" ht="15" x14ac:dyDescent="0.25">
      <c r="C12510" s="8" t="e">
        <f>VLOOKUP(A:A,'ITEM LIST'!A:C,3,0)</f>
        <v>#N/A</v>
      </c>
      <c r="D12510" s="6">
        <f t="shared" si="196"/>
        <v>0</v>
      </c>
    </row>
    <row r="12511" spans="3:4" ht="15" x14ac:dyDescent="0.25">
      <c r="C12511" s="8" t="e">
        <f>VLOOKUP(A:A,'ITEM LIST'!A:C,3,0)</f>
        <v>#N/A</v>
      </c>
      <c r="D12511" s="6">
        <f t="shared" si="196"/>
        <v>0</v>
      </c>
    </row>
    <row r="12512" spans="3:4" ht="15" x14ac:dyDescent="0.25">
      <c r="C12512" s="8" t="e">
        <f>VLOOKUP(A:A,'ITEM LIST'!A:C,3,0)</f>
        <v>#N/A</v>
      </c>
      <c r="D12512" s="6">
        <f t="shared" si="196"/>
        <v>0</v>
      </c>
    </row>
    <row r="12513" spans="3:4" ht="15" x14ac:dyDescent="0.25">
      <c r="C12513" s="8" t="e">
        <f>VLOOKUP(A:A,'ITEM LIST'!A:C,3,0)</f>
        <v>#N/A</v>
      </c>
      <c r="D12513" s="6">
        <f t="shared" si="196"/>
        <v>0</v>
      </c>
    </row>
    <row r="12514" spans="3:4" ht="15" x14ac:dyDescent="0.25">
      <c r="C12514" s="8" t="e">
        <f>VLOOKUP(A:A,'ITEM LIST'!A:C,3,0)</f>
        <v>#N/A</v>
      </c>
      <c r="D12514" s="6">
        <f t="shared" si="196"/>
        <v>0</v>
      </c>
    </row>
    <row r="12515" spans="3:4" ht="15" x14ac:dyDescent="0.25">
      <c r="C12515" s="8" t="e">
        <f>VLOOKUP(A:A,'ITEM LIST'!A:C,3,0)</f>
        <v>#N/A</v>
      </c>
      <c r="D12515" s="6">
        <f t="shared" si="196"/>
        <v>0</v>
      </c>
    </row>
    <row r="12516" spans="3:4" ht="15" x14ac:dyDescent="0.25">
      <c r="C12516" s="8" t="e">
        <f>VLOOKUP(A:A,'ITEM LIST'!A:C,3,0)</f>
        <v>#N/A</v>
      </c>
      <c r="D12516" s="6">
        <f t="shared" si="196"/>
        <v>0</v>
      </c>
    </row>
    <row r="12517" spans="3:4" ht="15" x14ac:dyDescent="0.25">
      <c r="C12517" s="8" t="e">
        <f>VLOOKUP(A:A,'ITEM LIST'!A:C,3,0)</f>
        <v>#N/A</v>
      </c>
      <c r="D12517" s="6">
        <f t="shared" si="196"/>
        <v>0</v>
      </c>
    </row>
    <row r="12518" spans="3:4" ht="15" x14ac:dyDescent="0.25">
      <c r="C12518" s="8" t="e">
        <f>VLOOKUP(A:A,'ITEM LIST'!A:C,3,0)</f>
        <v>#N/A</v>
      </c>
      <c r="D12518" s="6">
        <f t="shared" si="196"/>
        <v>0</v>
      </c>
    </row>
    <row r="12519" spans="3:4" ht="15" x14ac:dyDescent="0.25">
      <c r="C12519" s="8" t="e">
        <f>VLOOKUP(A:A,'ITEM LIST'!A:C,3,0)</f>
        <v>#N/A</v>
      </c>
      <c r="D12519" s="6">
        <f t="shared" si="196"/>
        <v>0</v>
      </c>
    </row>
    <row r="12520" spans="3:4" ht="15" x14ac:dyDescent="0.25">
      <c r="C12520" s="8" t="e">
        <f>VLOOKUP(A:A,'ITEM LIST'!A:C,3,0)</f>
        <v>#N/A</v>
      </c>
      <c r="D12520" s="6">
        <f t="shared" si="196"/>
        <v>0</v>
      </c>
    </row>
    <row r="12521" spans="3:4" ht="15" x14ac:dyDescent="0.25">
      <c r="C12521" s="8" t="e">
        <f>VLOOKUP(A:A,'ITEM LIST'!A:C,3,0)</f>
        <v>#N/A</v>
      </c>
      <c r="D12521" s="6">
        <f t="shared" si="196"/>
        <v>0</v>
      </c>
    </row>
    <row r="12522" spans="3:4" ht="15" x14ac:dyDescent="0.25">
      <c r="C12522" s="8" t="e">
        <f>VLOOKUP(A:A,'ITEM LIST'!A:C,3,0)</f>
        <v>#N/A</v>
      </c>
      <c r="D12522" s="6">
        <f t="shared" si="196"/>
        <v>0</v>
      </c>
    </row>
    <row r="12523" spans="3:4" ht="15" x14ac:dyDescent="0.25">
      <c r="C12523" s="8" t="e">
        <f>VLOOKUP(A:A,'ITEM LIST'!A:C,3,0)</f>
        <v>#N/A</v>
      </c>
      <c r="D12523" s="6">
        <f t="shared" si="196"/>
        <v>0</v>
      </c>
    </row>
    <row r="12524" spans="3:4" ht="15" x14ac:dyDescent="0.25">
      <c r="C12524" s="8" t="e">
        <f>VLOOKUP(A:A,'ITEM LIST'!A:C,3,0)</f>
        <v>#N/A</v>
      </c>
      <c r="D12524" s="6">
        <f t="shared" si="196"/>
        <v>0</v>
      </c>
    </row>
    <row r="12525" spans="3:4" ht="15" x14ac:dyDescent="0.25">
      <c r="C12525" s="8" t="e">
        <f>VLOOKUP(A:A,'ITEM LIST'!A:C,3,0)</f>
        <v>#N/A</v>
      </c>
      <c r="D12525" s="6">
        <f t="shared" si="196"/>
        <v>0</v>
      </c>
    </row>
    <row r="12526" spans="3:4" ht="15" x14ac:dyDescent="0.25">
      <c r="C12526" s="8" t="e">
        <f>VLOOKUP(A:A,'ITEM LIST'!A:C,3,0)</f>
        <v>#N/A</v>
      </c>
      <c r="D12526" s="6">
        <f t="shared" si="196"/>
        <v>0</v>
      </c>
    </row>
    <row r="12527" spans="3:4" ht="15" x14ac:dyDescent="0.25">
      <c r="C12527" s="8" t="e">
        <f>VLOOKUP(A:A,'ITEM LIST'!A:C,3,0)</f>
        <v>#N/A</v>
      </c>
      <c r="D12527" s="6">
        <f t="shared" si="196"/>
        <v>0</v>
      </c>
    </row>
    <row r="12528" spans="3:4" ht="15" x14ac:dyDescent="0.25">
      <c r="C12528" s="8" t="e">
        <f>VLOOKUP(A:A,'ITEM LIST'!A:C,3,0)</f>
        <v>#N/A</v>
      </c>
      <c r="D12528" s="6">
        <f t="shared" si="196"/>
        <v>0</v>
      </c>
    </row>
    <row r="12529" spans="3:4" ht="15" x14ac:dyDescent="0.25">
      <c r="C12529" s="8" t="e">
        <f>VLOOKUP(A:A,'ITEM LIST'!A:C,3,0)</f>
        <v>#N/A</v>
      </c>
      <c r="D12529" s="6">
        <f t="shared" si="196"/>
        <v>0</v>
      </c>
    </row>
    <row r="12530" spans="3:4" ht="15" x14ac:dyDescent="0.25">
      <c r="C12530" s="8" t="e">
        <f>VLOOKUP(A:A,'ITEM LIST'!A:C,3,0)</f>
        <v>#N/A</v>
      </c>
      <c r="D12530" s="6">
        <f t="shared" si="196"/>
        <v>0</v>
      </c>
    </row>
    <row r="12531" spans="3:4" ht="15" x14ac:dyDescent="0.25">
      <c r="C12531" s="8" t="e">
        <f>VLOOKUP(A:A,'ITEM LIST'!A:C,3,0)</f>
        <v>#N/A</v>
      </c>
      <c r="D12531" s="6">
        <f t="shared" si="196"/>
        <v>0</v>
      </c>
    </row>
    <row r="12532" spans="3:4" ht="15" x14ac:dyDescent="0.25">
      <c r="C12532" s="8" t="e">
        <f>VLOOKUP(A:A,'ITEM LIST'!A:C,3,0)</f>
        <v>#N/A</v>
      </c>
      <c r="D12532" s="6">
        <f t="shared" si="196"/>
        <v>0</v>
      </c>
    </row>
    <row r="12533" spans="3:4" ht="15" x14ac:dyDescent="0.25">
      <c r="C12533" s="8" t="e">
        <f>VLOOKUP(A:A,'ITEM LIST'!A:C,3,0)</f>
        <v>#N/A</v>
      </c>
      <c r="D12533" s="6">
        <f t="shared" si="196"/>
        <v>0</v>
      </c>
    </row>
    <row r="12534" spans="3:4" ht="15" x14ac:dyDescent="0.25">
      <c r="C12534" s="8" t="e">
        <f>VLOOKUP(A:A,'ITEM LIST'!A:C,3,0)</f>
        <v>#N/A</v>
      </c>
      <c r="D12534" s="6">
        <f t="shared" si="196"/>
        <v>0</v>
      </c>
    </row>
    <row r="12535" spans="3:4" ht="15" x14ac:dyDescent="0.25">
      <c r="C12535" s="8" t="e">
        <f>VLOOKUP(A:A,'ITEM LIST'!A:C,3,0)</f>
        <v>#N/A</v>
      </c>
      <c r="D12535" s="6">
        <f t="shared" si="196"/>
        <v>0</v>
      </c>
    </row>
    <row r="12536" spans="3:4" ht="15" x14ac:dyDescent="0.25">
      <c r="C12536" s="8" t="e">
        <f>VLOOKUP(A:A,'ITEM LIST'!A:C,3,0)</f>
        <v>#N/A</v>
      </c>
      <c r="D12536" s="6">
        <f t="shared" si="196"/>
        <v>0</v>
      </c>
    </row>
    <row r="12537" spans="3:4" ht="15" x14ac:dyDescent="0.25">
      <c r="C12537" s="8" t="e">
        <f>VLOOKUP(A:A,'ITEM LIST'!A:C,3,0)</f>
        <v>#N/A</v>
      </c>
      <c r="D12537" s="6">
        <f t="shared" si="196"/>
        <v>0</v>
      </c>
    </row>
    <row r="12538" spans="3:4" ht="15" x14ac:dyDescent="0.25">
      <c r="C12538" s="8" t="e">
        <f>VLOOKUP(A:A,'ITEM LIST'!A:C,3,0)</f>
        <v>#N/A</v>
      </c>
      <c r="D12538" s="6">
        <f t="shared" si="196"/>
        <v>0</v>
      </c>
    </row>
    <row r="12539" spans="3:4" ht="15" x14ac:dyDescent="0.25">
      <c r="C12539" s="8" t="e">
        <f>VLOOKUP(A:A,'ITEM LIST'!A:C,3,0)</f>
        <v>#N/A</v>
      </c>
      <c r="D12539" s="6">
        <f t="shared" si="196"/>
        <v>0</v>
      </c>
    </row>
    <row r="12540" spans="3:4" ht="15" x14ac:dyDescent="0.25">
      <c r="C12540" s="8" t="e">
        <f>VLOOKUP(A:A,'ITEM LIST'!A:C,3,0)</f>
        <v>#N/A</v>
      </c>
      <c r="D12540" s="6">
        <f t="shared" si="196"/>
        <v>0</v>
      </c>
    </row>
    <row r="12541" spans="3:4" ht="15" x14ac:dyDescent="0.25">
      <c r="C12541" s="8" t="e">
        <f>VLOOKUP(A:A,'ITEM LIST'!A:C,3,0)</f>
        <v>#N/A</v>
      </c>
      <c r="D12541" s="6">
        <f t="shared" si="196"/>
        <v>0</v>
      </c>
    </row>
    <row r="12542" spans="3:4" ht="15" x14ac:dyDescent="0.25">
      <c r="C12542" s="8" t="e">
        <f>VLOOKUP(A:A,'ITEM LIST'!A:C,3,0)</f>
        <v>#N/A</v>
      </c>
      <c r="D12542" s="6">
        <f t="shared" si="196"/>
        <v>0</v>
      </c>
    </row>
    <row r="12543" spans="3:4" ht="15" x14ac:dyDescent="0.25">
      <c r="C12543" s="8" t="e">
        <f>VLOOKUP(A:A,'ITEM LIST'!A:C,3,0)</f>
        <v>#N/A</v>
      </c>
      <c r="D12543" s="6">
        <f t="shared" si="196"/>
        <v>0</v>
      </c>
    </row>
    <row r="12544" spans="3:4" ht="15" x14ac:dyDescent="0.25">
      <c r="C12544" s="8" t="e">
        <f>VLOOKUP(A:A,'ITEM LIST'!A:C,3,0)</f>
        <v>#N/A</v>
      </c>
      <c r="D12544" s="6">
        <f t="shared" si="196"/>
        <v>0</v>
      </c>
    </row>
    <row r="12545" spans="3:4" ht="15" x14ac:dyDescent="0.25">
      <c r="C12545" s="8" t="e">
        <f>VLOOKUP(A:A,'ITEM LIST'!A:C,3,0)</f>
        <v>#N/A</v>
      </c>
      <c r="D12545" s="6">
        <f t="shared" si="196"/>
        <v>0</v>
      </c>
    </row>
    <row r="12546" spans="3:4" ht="15" x14ac:dyDescent="0.25">
      <c r="C12546" s="8" t="e">
        <f>VLOOKUP(A:A,'ITEM LIST'!A:C,3,0)</f>
        <v>#N/A</v>
      </c>
      <c r="D12546" s="6">
        <f t="shared" si="196"/>
        <v>0</v>
      </c>
    </row>
    <row r="12547" spans="3:4" ht="15" x14ac:dyDescent="0.25">
      <c r="C12547" s="8" t="e">
        <f>VLOOKUP(A:A,'ITEM LIST'!A:C,3,0)</f>
        <v>#N/A</v>
      </c>
      <c r="D12547" s="6">
        <f t="shared" si="196"/>
        <v>0</v>
      </c>
    </row>
    <row r="12548" spans="3:4" ht="15" x14ac:dyDescent="0.25">
      <c r="C12548" s="8" t="e">
        <f>VLOOKUP(A:A,'ITEM LIST'!A:C,3,0)</f>
        <v>#N/A</v>
      </c>
      <c r="D12548" s="6">
        <f t="shared" si="196"/>
        <v>0</v>
      </c>
    </row>
    <row r="12549" spans="3:4" ht="15" x14ac:dyDescent="0.25">
      <c r="C12549" s="8" t="e">
        <f>VLOOKUP(A:A,'ITEM LIST'!A:C,3,0)</f>
        <v>#N/A</v>
      </c>
      <c r="D12549" s="6">
        <f t="shared" si="196"/>
        <v>0</v>
      </c>
    </row>
    <row r="12550" spans="3:4" ht="15" x14ac:dyDescent="0.25">
      <c r="C12550" s="8" t="e">
        <f>VLOOKUP(A:A,'ITEM LIST'!A:C,3,0)</f>
        <v>#N/A</v>
      </c>
      <c r="D12550" s="6">
        <f t="shared" ref="D12550:D12613" si="197">B12550</f>
        <v>0</v>
      </c>
    </row>
    <row r="12551" spans="3:4" ht="15" x14ac:dyDescent="0.25">
      <c r="C12551" s="8" t="e">
        <f>VLOOKUP(A:A,'ITEM LIST'!A:C,3,0)</f>
        <v>#N/A</v>
      </c>
      <c r="D12551" s="6">
        <f t="shared" si="197"/>
        <v>0</v>
      </c>
    </row>
    <row r="12552" spans="3:4" ht="15" x14ac:dyDescent="0.25">
      <c r="C12552" s="8" t="e">
        <f>VLOOKUP(A:A,'ITEM LIST'!A:C,3,0)</f>
        <v>#N/A</v>
      </c>
      <c r="D12552" s="6">
        <f t="shared" si="197"/>
        <v>0</v>
      </c>
    </row>
    <row r="12553" spans="3:4" ht="15" x14ac:dyDescent="0.25">
      <c r="C12553" s="8" t="e">
        <f>VLOOKUP(A:A,'ITEM LIST'!A:C,3,0)</f>
        <v>#N/A</v>
      </c>
      <c r="D12553" s="6">
        <f t="shared" si="197"/>
        <v>0</v>
      </c>
    </row>
    <row r="12554" spans="3:4" ht="15" x14ac:dyDescent="0.25">
      <c r="C12554" s="8" t="e">
        <f>VLOOKUP(A:A,'ITEM LIST'!A:C,3,0)</f>
        <v>#N/A</v>
      </c>
      <c r="D12554" s="6">
        <f t="shared" si="197"/>
        <v>0</v>
      </c>
    </row>
    <row r="12555" spans="3:4" ht="15" x14ac:dyDescent="0.25">
      <c r="C12555" s="8" t="e">
        <f>VLOOKUP(A:A,'ITEM LIST'!A:C,3,0)</f>
        <v>#N/A</v>
      </c>
      <c r="D12555" s="6">
        <f t="shared" si="197"/>
        <v>0</v>
      </c>
    </row>
    <row r="12556" spans="3:4" ht="15" x14ac:dyDescent="0.25">
      <c r="C12556" s="8" t="e">
        <f>VLOOKUP(A:A,'ITEM LIST'!A:C,3,0)</f>
        <v>#N/A</v>
      </c>
      <c r="D12556" s="6">
        <f t="shared" si="197"/>
        <v>0</v>
      </c>
    </row>
    <row r="12557" spans="3:4" ht="15" x14ac:dyDescent="0.25">
      <c r="C12557" s="8" t="e">
        <f>VLOOKUP(A:A,'ITEM LIST'!A:C,3,0)</f>
        <v>#N/A</v>
      </c>
      <c r="D12557" s="6">
        <f t="shared" si="197"/>
        <v>0</v>
      </c>
    </row>
    <row r="12558" spans="3:4" ht="15" x14ac:dyDescent="0.25">
      <c r="C12558" s="8" t="e">
        <f>VLOOKUP(A:A,'ITEM LIST'!A:C,3,0)</f>
        <v>#N/A</v>
      </c>
      <c r="D12558" s="6">
        <f t="shared" si="197"/>
        <v>0</v>
      </c>
    </row>
    <row r="12559" spans="3:4" ht="15" x14ac:dyDescent="0.25">
      <c r="C12559" s="8" t="e">
        <f>VLOOKUP(A:A,'ITEM LIST'!A:C,3,0)</f>
        <v>#N/A</v>
      </c>
      <c r="D12559" s="6">
        <f t="shared" si="197"/>
        <v>0</v>
      </c>
    </row>
    <row r="12560" spans="3:4" ht="15" x14ac:dyDescent="0.25">
      <c r="C12560" s="8" t="e">
        <f>VLOOKUP(A:A,'ITEM LIST'!A:C,3,0)</f>
        <v>#N/A</v>
      </c>
      <c r="D12560" s="6">
        <f t="shared" si="197"/>
        <v>0</v>
      </c>
    </row>
    <row r="12561" spans="3:4" ht="15" x14ac:dyDescent="0.25">
      <c r="C12561" s="8" t="e">
        <f>VLOOKUP(A:A,'ITEM LIST'!A:C,3,0)</f>
        <v>#N/A</v>
      </c>
      <c r="D12561" s="6">
        <f t="shared" si="197"/>
        <v>0</v>
      </c>
    </row>
    <row r="12562" spans="3:4" ht="15" x14ac:dyDescent="0.25">
      <c r="C12562" s="8" t="e">
        <f>VLOOKUP(A:A,'ITEM LIST'!A:C,3,0)</f>
        <v>#N/A</v>
      </c>
      <c r="D12562" s="6">
        <f t="shared" si="197"/>
        <v>0</v>
      </c>
    </row>
    <row r="12563" spans="3:4" ht="15" x14ac:dyDescent="0.25">
      <c r="C12563" s="8" t="e">
        <f>VLOOKUP(A:A,'ITEM LIST'!A:C,3,0)</f>
        <v>#N/A</v>
      </c>
      <c r="D12563" s="6">
        <f t="shared" si="197"/>
        <v>0</v>
      </c>
    </row>
    <row r="12564" spans="3:4" ht="15" x14ac:dyDescent="0.25">
      <c r="C12564" s="8" t="e">
        <f>VLOOKUP(A:A,'ITEM LIST'!A:C,3,0)</f>
        <v>#N/A</v>
      </c>
      <c r="D12564" s="6">
        <f t="shared" si="197"/>
        <v>0</v>
      </c>
    </row>
    <row r="12565" spans="3:4" ht="15" x14ac:dyDescent="0.25">
      <c r="C12565" s="8" t="e">
        <f>VLOOKUP(A:A,'ITEM LIST'!A:C,3,0)</f>
        <v>#N/A</v>
      </c>
      <c r="D12565" s="6">
        <f t="shared" si="197"/>
        <v>0</v>
      </c>
    </row>
    <row r="12566" spans="3:4" ht="15" x14ac:dyDescent="0.25">
      <c r="C12566" s="8" t="e">
        <f>VLOOKUP(A:A,'ITEM LIST'!A:C,3,0)</f>
        <v>#N/A</v>
      </c>
      <c r="D12566" s="6">
        <f t="shared" si="197"/>
        <v>0</v>
      </c>
    </row>
    <row r="12567" spans="3:4" ht="15" x14ac:dyDescent="0.25">
      <c r="C12567" s="8" t="e">
        <f>VLOOKUP(A:A,'ITEM LIST'!A:C,3,0)</f>
        <v>#N/A</v>
      </c>
      <c r="D12567" s="6">
        <f t="shared" si="197"/>
        <v>0</v>
      </c>
    </row>
    <row r="12568" spans="3:4" ht="15" x14ac:dyDescent="0.25">
      <c r="C12568" s="8" t="e">
        <f>VLOOKUP(A:A,'ITEM LIST'!A:C,3,0)</f>
        <v>#N/A</v>
      </c>
      <c r="D12568" s="6">
        <f t="shared" si="197"/>
        <v>0</v>
      </c>
    </row>
    <row r="12569" spans="3:4" ht="15" x14ac:dyDescent="0.25">
      <c r="C12569" s="8" t="e">
        <f>VLOOKUP(A:A,'ITEM LIST'!A:C,3,0)</f>
        <v>#N/A</v>
      </c>
      <c r="D12569" s="6">
        <f t="shared" si="197"/>
        <v>0</v>
      </c>
    </row>
    <row r="12570" spans="3:4" ht="15" x14ac:dyDescent="0.25">
      <c r="C12570" s="8" t="e">
        <f>VLOOKUP(A:A,'ITEM LIST'!A:C,3,0)</f>
        <v>#N/A</v>
      </c>
      <c r="D12570" s="6">
        <f t="shared" si="197"/>
        <v>0</v>
      </c>
    </row>
    <row r="12571" spans="3:4" ht="15" x14ac:dyDescent="0.25">
      <c r="C12571" s="8" t="e">
        <f>VLOOKUP(A:A,'ITEM LIST'!A:C,3,0)</f>
        <v>#N/A</v>
      </c>
      <c r="D12571" s="6">
        <f t="shared" si="197"/>
        <v>0</v>
      </c>
    </row>
    <row r="12572" spans="3:4" ht="15" x14ac:dyDescent="0.25">
      <c r="C12572" s="8" t="e">
        <f>VLOOKUP(A:A,'ITEM LIST'!A:C,3,0)</f>
        <v>#N/A</v>
      </c>
      <c r="D12572" s="6">
        <f t="shared" si="197"/>
        <v>0</v>
      </c>
    </row>
    <row r="12573" spans="3:4" ht="15" x14ac:dyDescent="0.25">
      <c r="C12573" s="8" t="e">
        <f>VLOOKUP(A:A,'ITEM LIST'!A:C,3,0)</f>
        <v>#N/A</v>
      </c>
      <c r="D12573" s="6">
        <f t="shared" si="197"/>
        <v>0</v>
      </c>
    </row>
    <row r="12574" spans="3:4" ht="15" x14ac:dyDescent="0.25">
      <c r="C12574" s="8" t="e">
        <f>VLOOKUP(A:A,'ITEM LIST'!A:C,3,0)</f>
        <v>#N/A</v>
      </c>
      <c r="D12574" s="6">
        <f t="shared" si="197"/>
        <v>0</v>
      </c>
    </row>
    <row r="12575" spans="3:4" ht="15" x14ac:dyDescent="0.25">
      <c r="C12575" s="8" t="e">
        <f>VLOOKUP(A:A,'ITEM LIST'!A:C,3,0)</f>
        <v>#N/A</v>
      </c>
      <c r="D12575" s="6">
        <f t="shared" si="197"/>
        <v>0</v>
      </c>
    </row>
    <row r="12576" spans="3:4" ht="15" x14ac:dyDescent="0.25">
      <c r="C12576" s="8" t="e">
        <f>VLOOKUP(A:A,'ITEM LIST'!A:C,3,0)</f>
        <v>#N/A</v>
      </c>
      <c r="D12576" s="6">
        <f t="shared" si="197"/>
        <v>0</v>
      </c>
    </row>
    <row r="12577" spans="3:4" ht="15" x14ac:dyDescent="0.25">
      <c r="C12577" s="8" t="e">
        <f>VLOOKUP(A:A,'ITEM LIST'!A:C,3,0)</f>
        <v>#N/A</v>
      </c>
      <c r="D12577" s="6">
        <f t="shared" si="197"/>
        <v>0</v>
      </c>
    </row>
    <row r="12578" spans="3:4" ht="15" x14ac:dyDescent="0.25">
      <c r="C12578" s="8" t="e">
        <f>VLOOKUP(A:A,'ITEM LIST'!A:C,3,0)</f>
        <v>#N/A</v>
      </c>
      <c r="D12578" s="6">
        <f t="shared" si="197"/>
        <v>0</v>
      </c>
    </row>
    <row r="12579" spans="3:4" ht="15" x14ac:dyDescent="0.25">
      <c r="C12579" s="8" t="e">
        <f>VLOOKUP(A:A,'ITEM LIST'!A:C,3,0)</f>
        <v>#N/A</v>
      </c>
      <c r="D12579" s="6">
        <f t="shared" si="197"/>
        <v>0</v>
      </c>
    </row>
    <row r="12580" spans="3:4" ht="15" x14ac:dyDescent="0.25">
      <c r="C12580" s="8" t="e">
        <f>VLOOKUP(A:A,'ITEM LIST'!A:C,3,0)</f>
        <v>#N/A</v>
      </c>
      <c r="D12580" s="6">
        <f t="shared" si="197"/>
        <v>0</v>
      </c>
    </row>
    <row r="12581" spans="3:4" ht="15" x14ac:dyDescent="0.25">
      <c r="C12581" s="8" t="e">
        <f>VLOOKUP(A:A,'ITEM LIST'!A:C,3,0)</f>
        <v>#N/A</v>
      </c>
      <c r="D12581" s="6">
        <f t="shared" si="197"/>
        <v>0</v>
      </c>
    </row>
    <row r="12582" spans="3:4" ht="15" x14ac:dyDescent="0.25">
      <c r="C12582" s="8" t="e">
        <f>VLOOKUP(A:A,'ITEM LIST'!A:C,3,0)</f>
        <v>#N/A</v>
      </c>
      <c r="D12582" s="6">
        <f t="shared" si="197"/>
        <v>0</v>
      </c>
    </row>
    <row r="12583" spans="3:4" ht="15" x14ac:dyDescent="0.25">
      <c r="C12583" s="8" t="e">
        <f>VLOOKUP(A:A,'ITEM LIST'!A:C,3,0)</f>
        <v>#N/A</v>
      </c>
      <c r="D12583" s="6">
        <f t="shared" si="197"/>
        <v>0</v>
      </c>
    </row>
    <row r="12584" spans="3:4" ht="15" x14ac:dyDescent="0.25">
      <c r="C12584" s="8" t="e">
        <f>VLOOKUP(A:A,'ITEM LIST'!A:C,3,0)</f>
        <v>#N/A</v>
      </c>
      <c r="D12584" s="6">
        <f t="shared" si="197"/>
        <v>0</v>
      </c>
    </row>
    <row r="12585" spans="3:4" ht="15" x14ac:dyDescent="0.25">
      <c r="C12585" s="8" t="e">
        <f>VLOOKUP(A:A,'ITEM LIST'!A:C,3,0)</f>
        <v>#N/A</v>
      </c>
      <c r="D12585" s="6">
        <f t="shared" si="197"/>
        <v>0</v>
      </c>
    </row>
    <row r="12586" spans="3:4" ht="15" x14ac:dyDescent="0.25">
      <c r="C12586" s="8" t="e">
        <f>VLOOKUP(A:A,'ITEM LIST'!A:C,3,0)</f>
        <v>#N/A</v>
      </c>
      <c r="D12586" s="6">
        <f t="shared" si="197"/>
        <v>0</v>
      </c>
    </row>
    <row r="12587" spans="3:4" ht="15" x14ac:dyDescent="0.25">
      <c r="C12587" s="8" t="e">
        <f>VLOOKUP(A:A,'ITEM LIST'!A:C,3,0)</f>
        <v>#N/A</v>
      </c>
      <c r="D12587" s="6">
        <f t="shared" si="197"/>
        <v>0</v>
      </c>
    </row>
    <row r="12588" spans="3:4" ht="15" x14ac:dyDescent="0.25">
      <c r="C12588" s="8" t="e">
        <f>VLOOKUP(A:A,'ITEM LIST'!A:C,3,0)</f>
        <v>#N/A</v>
      </c>
      <c r="D12588" s="6">
        <f t="shared" si="197"/>
        <v>0</v>
      </c>
    </row>
    <row r="12589" spans="3:4" ht="15" x14ac:dyDescent="0.25">
      <c r="C12589" s="8" t="e">
        <f>VLOOKUP(A:A,'ITEM LIST'!A:C,3,0)</f>
        <v>#N/A</v>
      </c>
      <c r="D12589" s="6">
        <f t="shared" si="197"/>
        <v>0</v>
      </c>
    </row>
    <row r="12590" spans="3:4" ht="15" x14ac:dyDescent="0.25">
      <c r="C12590" s="8" t="e">
        <f>VLOOKUP(A:A,'ITEM LIST'!A:C,3,0)</f>
        <v>#N/A</v>
      </c>
      <c r="D12590" s="6">
        <f t="shared" si="197"/>
        <v>0</v>
      </c>
    </row>
    <row r="12591" spans="3:4" ht="15" x14ac:dyDescent="0.25">
      <c r="C12591" s="8" t="e">
        <f>VLOOKUP(A:A,'ITEM LIST'!A:C,3,0)</f>
        <v>#N/A</v>
      </c>
      <c r="D12591" s="6">
        <f t="shared" si="197"/>
        <v>0</v>
      </c>
    </row>
    <row r="12592" spans="3:4" ht="15" x14ac:dyDescent="0.25">
      <c r="C12592" s="8" t="e">
        <f>VLOOKUP(A:A,'ITEM LIST'!A:C,3,0)</f>
        <v>#N/A</v>
      </c>
      <c r="D12592" s="6">
        <f t="shared" si="197"/>
        <v>0</v>
      </c>
    </row>
    <row r="12593" spans="3:4" ht="15" x14ac:dyDescent="0.25">
      <c r="C12593" s="8" t="e">
        <f>VLOOKUP(A:A,'ITEM LIST'!A:C,3,0)</f>
        <v>#N/A</v>
      </c>
      <c r="D12593" s="6">
        <f t="shared" si="197"/>
        <v>0</v>
      </c>
    </row>
    <row r="12594" spans="3:4" ht="15" x14ac:dyDescent="0.25">
      <c r="C12594" s="8" t="e">
        <f>VLOOKUP(A:A,'ITEM LIST'!A:C,3,0)</f>
        <v>#N/A</v>
      </c>
      <c r="D12594" s="6">
        <f t="shared" si="197"/>
        <v>0</v>
      </c>
    </row>
    <row r="12595" spans="3:4" ht="15" x14ac:dyDescent="0.25">
      <c r="C12595" s="8" t="e">
        <f>VLOOKUP(A:A,'ITEM LIST'!A:C,3,0)</f>
        <v>#N/A</v>
      </c>
      <c r="D12595" s="6">
        <f t="shared" si="197"/>
        <v>0</v>
      </c>
    </row>
    <row r="12596" spans="3:4" ht="15" x14ac:dyDescent="0.25">
      <c r="C12596" s="8" t="e">
        <f>VLOOKUP(A:A,'ITEM LIST'!A:C,3,0)</f>
        <v>#N/A</v>
      </c>
      <c r="D12596" s="6">
        <f t="shared" si="197"/>
        <v>0</v>
      </c>
    </row>
    <row r="12597" spans="3:4" ht="15" x14ac:dyDescent="0.25">
      <c r="C12597" s="8" t="e">
        <f>VLOOKUP(A:A,'ITEM LIST'!A:C,3,0)</f>
        <v>#N/A</v>
      </c>
      <c r="D12597" s="6">
        <f t="shared" si="197"/>
        <v>0</v>
      </c>
    </row>
    <row r="12598" spans="3:4" ht="15" x14ac:dyDescent="0.25">
      <c r="C12598" s="8" t="e">
        <f>VLOOKUP(A:A,'ITEM LIST'!A:C,3,0)</f>
        <v>#N/A</v>
      </c>
      <c r="D12598" s="6">
        <f t="shared" si="197"/>
        <v>0</v>
      </c>
    </row>
    <row r="12599" spans="3:4" ht="15" x14ac:dyDescent="0.25">
      <c r="C12599" s="8" t="e">
        <f>VLOOKUP(A:A,'ITEM LIST'!A:C,3,0)</f>
        <v>#N/A</v>
      </c>
      <c r="D12599" s="6">
        <f t="shared" si="197"/>
        <v>0</v>
      </c>
    </row>
    <row r="12600" spans="3:4" ht="15" x14ac:dyDescent="0.25">
      <c r="C12600" s="8" t="e">
        <f>VLOOKUP(A:A,'ITEM LIST'!A:C,3,0)</f>
        <v>#N/A</v>
      </c>
      <c r="D12600" s="6">
        <f t="shared" si="197"/>
        <v>0</v>
      </c>
    </row>
    <row r="12601" spans="3:4" ht="15" x14ac:dyDescent="0.25">
      <c r="C12601" s="8" t="e">
        <f>VLOOKUP(A:A,'ITEM LIST'!A:C,3,0)</f>
        <v>#N/A</v>
      </c>
      <c r="D12601" s="6">
        <f t="shared" si="197"/>
        <v>0</v>
      </c>
    </row>
    <row r="12602" spans="3:4" ht="15" x14ac:dyDescent="0.25">
      <c r="C12602" s="8" t="e">
        <f>VLOOKUP(A:A,'ITEM LIST'!A:C,3,0)</f>
        <v>#N/A</v>
      </c>
      <c r="D12602" s="6">
        <f t="shared" si="197"/>
        <v>0</v>
      </c>
    </row>
    <row r="12603" spans="3:4" ht="15" x14ac:dyDescent="0.25">
      <c r="C12603" s="8" t="e">
        <f>VLOOKUP(A:A,'ITEM LIST'!A:C,3,0)</f>
        <v>#N/A</v>
      </c>
      <c r="D12603" s="6">
        <f t="shared" si="197"/>
        <v>0</v>
      </c>
    </row>
    <row r="12604" spans="3:4" ht="15" x14ac:dyDescent="0.25">
      <c r="C12604" s="8" t="e">
        <f>VLOOKUP(A:A,'ITEM LIST'!A:C,3,0)</f>
        <v>#N/A</v>
      </c>
      <c r="D12604" s="6">
        <f t="shared" si="197"/>
        <v>0</v>
      </c>
    </row>
    <row r="12605" spans="3:4" ht="15" x14ac:dyDescent="0.25">
      <c r="C12605" s="8" t="e">
        <f>VLOOKUP(A:A,'ITEM LIST'!A:C,3,0)</f>
        <v>#N/A</v>
      </c>
      <c r="D12605" s="6">
        <f t="shared" si="197"/>
        <v>0</v>
      </c>
    </row>
    <row r="12606" spans="3:4" ht="15" x14ac:dyDescent="0.25">
      <c r="C12606" s="8" t="e">
        <f>VLOOKUP(A:A,'ITEM LIST'!A:C,3,0)</f>
        <v>#N/A</v>
      </c>
      <c r="D12606" s="6">
        <f t="shared" si="197"/>
        <v>0</v>
      </c>
    </row>
    <row r="12607" spans="3:4" ht="15" x14ac:dyDescent="0.25">
      <c r="C12607" s="8" t="e">
        <f>VLOOKUP(A:A,'ITEM LIST'!A:C,3,0)</f>
        <v>#N/A</v>
      </c>
      <c r="D12607" s="6">
        <f t="shared" si="197"/>
        <v>0</v>
      </c>
    </row>
    <row r="12608" spans="3:4" ht="15" x14ac:dyDescent="0.25">
      <c r="C12608" s="8" t="e">
        <f>VLOOKUP(A:A,'ITEM LIST'!A:C,3,0)</f>
        <v>#N/A</v>
      </c>
      <c r="D12608" s="6">
        <f t="shared" si="197"/>
        <v>0</v>
      </c>
    </row>
    <row r="12609" spans="3:4" ht="15" x14ac:dyDescent="0.25">
      <c r="C12609" s="8" t="e">
        <f>VLOOKUP(A:A,'ITEM LIST'!A:C,3,0)</f>
        <v>#N/A</v>
      </c>
      <c r="D12609" s="6">
        <f t="shared" si="197"/>
        <v>0</v>
      </c>
    </row>
    <row r="12610" spans="3:4" ht="15" x14ac:dyDescent="0.25">
      <c r="C12610" s="8" t="e">
        <f>VLOOKUP(A:A,'ITEM LIST'!A:C,3,0)</f>
        <v>#N/A</v>
      </c>
      <c r="D12610" s="6">
        <f t="shared" si="197"/>
        <v>0</v>
      </c>
    </row>
    <row r="12611" spans="3:4" ht="15" x14ac:dyDescent="0.25">
      <c r="C12611" s="8" t="e">
        <f>VLOOKUP(A:A,'ITEM LIST'!A:C,3,0)</f>
        <v>#N/A</v>
      </c>
      <c r="D12611" s="6">
        <f t="shared" si="197"/>
        <v>0</v>
      </c>
    </row>
    <row r="12612" spans="3:4" ht="15" x14ac:dyDescent="0.25">
      <c r="C12612" s="8" t="e">
        <f>VLOOKUP(A:A,'ITEM LIST'!A:C,3,0)</f>
        <v>#N/A</v>
      </c>
      <c r="D12612" s="6">
        <f t="shared" si="197"/>
        <v>0</v>
      </c>
    </row>
    <row r="12613" spans="3:4" ht="15" x14ac:dyDescent="0.25">
      <c r="C12613" s="8" t="e">
        <f>VLOOKUP(A:A,'ITEM LIST'!A:C,3,0)</f>
        <v>#N/A</v>
      </c>
      <c r="D12613" s="6">
        <f t="shared" si="197"/>
        <v>0</v>
      </c>
    </row>
    <row r="12614" spans="3:4" ht="15" x14ac:dyDescent="0.25">
      <c r="C12614" s="8" t="e">
        <f>VLOOKUP(A:A,'ITEM LIST'!A:C,3,0)</f>
        <v>#N/A</v>
      </c>
      <c r="D12614" s="6">
        <f t="shared" ref="D12614:D12677" si="198">B12614</f>
        <v>0</v>
      </c>
    </row>
    <row r="12615" spans="3:4" ht="15" x14ac:dyDescent="0.25">
      <c r="C12615" s="8" t="e">
        <f>VLOOKUP(A:A,'ITEM LIST'!A:C,3,0)</f>
        <v>#N/A</v>
      </c>
      <c r="D12615" s="6">
        <f t="shared" si="198"/>
        <v>0</v>
      </c>
    </row>
    <row r="12616" spans="3:4" ht="15" x14ac:dyDescent="0.25">
      <c r="C12616" s="8" t="e">
        <f>VLOOKUP(A:A,'ITEM LIST'!A:C,3,0)</f>
        <v>#N/A</v>
      </c>
      <c r="D12616" s="6">
        <f t="shared" si="198"/>
        <v>0</v>
      </c>
    </row>
    <row r="12617" spans="3:4" ht="15" x14ac:dyDescent="0.25">
      <c r="C12617" s="8" t="e">
        <f>VLOOKUP(A:A,'ITEM LIST'!A:C,3,0)</f>
        <v>#N/A</v>
      </c>
      <c r="D12617" s="6">
        <f t="shared" si="198"/>
        <v>0</v>
      </c>
    </row>
    <row r="12618" spans="3:4" ht="15" x14ac:dyDescent="0.25">
      <c r="C12618" s="8" t="e">
        <f>VLOOKUP(A:A,'ITEM LIST'!A:C,3,0)</f>
        <v>#N/A</v>
      </c>
      <c r="D12618" s="6">
        <f t="shared" si="198"/>
        <v>0</v>
      </c>
    </row>
    <row r="12619" spans="3:4" ht="15" x14ac:dyDescent="0.25">
      <c r="C12619" s="8" t="e">
        <f>VLOOKUP(A:A,'ITEM LIST'!A:C,3,0)</f>
        <v>#N/A</v>
      </c>
      <c r="D12619" s="6">
        <f t="shared" si="198"/>
        <v>0</v>
      </c>
    </row>
    <row r="12620" spans="3:4" ht="15" x14ac:dyDescent="0.25">
      <c r="C12620" s="8" t="e">
        <f>VLOOKUP(A:A,'ITEM LIST'!A:C,3,0)</f>
        <v>#N/A</v>
      </c>
      <c r="D12620" s="6">
        <f t="shared" si="198"/>
        <v>0</v>
      </c>
    </row>
    <row r="12621" spans="3:4" ht="15" x14ac:dyDescent="0.25">
      <c r="C12621" s="8" t="e">
        <f>VLOOKUP(A:A,'ITEM LIST'!A:C,3,0)</f>
        <v>#N/A</v>
      </c>
      <c r="D12621" s="6">
        <f t="shared" si="198"/>
        <v>0</v>
      </c>
    </row>
    <row r="12622" spans="3:4" ht="15" x14ac:dyDescent="0.25">
      <c r="C12622" s="8" t="e">
        <f>VLOOKUP(A:A,'ITEM LIST'!A:C,3,0)</f>
        <v>#N/A</v>
      </c>
      <c r="D12622" s="6">
        <f t="shared" si="198"/>
        <v>0</v>
      </c>
    </row>
    <row r="12623" spans="3:4" ht="15" x14ac:dyDescent="0.25">
      <c r="C12623" s="8" t="e">
        <f>VLOOKUP(A:A,'ITEM LIST'!A:C,3,0)</f>
        <v>#N/A</v>
      </c>
      <c r="D12623" s="6">
        <f t="shared" si="198"/>
        <v>0</v>
      </c>
    </row>
    <row r="12624" spans="3:4" ht="15" x14ac:dyDescent="0.25">
      <c r="C12624" s="8" t="e">
        <f>VLOOKUP(A:A,'ITEM LIST'!A:C,3,0)</f>
        <v>#N/A</v>
      </c>
      <c r="D12624" s="6">
        <f t="shared" si="198"/>
        <v>0</v>
      </c>
    </row>
    <row r="12625" spans="3:4" ht="15" x14ac:dyDescent="0.25">
      <c r="C12625" s="8" t="e">
        <f>VLOOKUP(A:A,'ITEM LIST'!A:C,3,0)</f>
        <v>#N/A</v>
      </c>
      <c r="D12625" s="6">
        <f t="shared" si="198"/>
        <v>0</v>
      </c>
    </row>
    <row r="12626" spans="3:4" ht="15" x14ac:dyDescent="0.25">
      <c r="C12626" s="8" t="e">
        <f>VLOOKUP(A:A,'ITEM LIST'!A:C,3,0)</f>
        <v>#N/A</v>
      </c>
      <c r="D12626" s="6">
        <f t="shared" si="198"/>
        <v>0</v>
      </c>
    </row>
    <row r="12627" spans="3:4" ht="15" x14ac:dyDescent="0.25">
      <c r="C12627" s="8" t="e">
        <f>VLOOKUP(A:A,'ITEM LIST'!A:C,3,0)</f>
        <v>#N/A</v>
      </c>
      <c r="D12627" s="6">
        <f t="shared" si="198"/>
        <v>0</v>
      </c>
    </row>
    <row r="12628" spans="3:4" ht="15" x14ac:dyDescent="0.25">
      <c r="C12628" s="8" t="e">
        <f>VLOOKUP(A:A,'ITEM LIST'!A:C,3,0)</f>
        <v>#N/A</v>
      </c>
      <c r="D12628" s="6">
        <f t="shared" si="198"/>
        <v>0</v>
      </c>
    </row>
    <row r="12629" spans="3:4" ht="15" x14ac:dyDescent="0.25">
      <c r="C12629" s="8" t="e">
        <f>VLOOKUP(A:A,'ITEM LIST'!A:C,3,0)</f>
        <v>#N/A</v>
      </c>
      <c r="D12629" s="6">
        <f t="shared" si="198"/>
        <v>0</v>
      </c>
    </row>
    <row r="12630" spans="3:4" ht="15" x14ac:dyDescent="0.25">
      <c r="C12630" s="8" t="e">
        <f>VLOOKUP(A:A,'ITEM LIST'!A:C,3,0)</f>
        <v>#N/A</v>
      </c>
      <c r="D12630" s="6">
        <f t="shared" si="198"/>
        <v>0</v>
      </c>
    </row>
    <row r="12631" spans="3:4" ht="15" x14ac:dyDescent="0.25">
      <c r="C12631" s="8" t="e">
        <f>VLOOKUP(A:A,'ITEM LIST'!A:C,3,0)</f>
        <v>#N/A</v>
      </c>
      <c r="D12631" s="6">
        <f t="shared" si="198"/>
        <v>0</v>
      </c>
    </row>
    <row r="12632" spans="3:4" ht="15" x14ac:dyDescent="0.25">
      <c r="C12632" s="8" t="e">
        <f>VLOOKUP(A:A,'ITEM LIST'!A:C,3,0)</f>
        <v>#N/A</v>
      </c>
      <c r="D12632" s="6">
        <f t="shared" si="198"/>
        <v>0</v>
      </c>
    </row>
    <row r="12633" spans="3:4" ht="15" x14ac:dyDescent="0.25">
      <c r="C12633" s="8" t="e">
        <f>VLOOKUP(A:A,'ITEM LIST'!A:C,3,0)</f>
        <v>#N/A</v>
      </c>
      <c r="D12633" s="6">
        <f t="shared" si="198"/>
        <v>0</v>
      </c>
    </row>
    <row r="12634" spans="3:4" ht="15" x14ac:dyDescent="0.25">
      <c r="C12634" s="8" t="e">
        <f>VLOOKUP(A:A,'ITEM LIST'!A:C,3,0)</f>
        <v>#N/A</v>
      </c>
      <c r="D12634" s="6">
        <f t="shared" si="198"/>
        <v>0</v>
      </c>
    </row>
    <row r="12635" spans="3:4" ht="15" x14ac:dyDescent="0.25">
      <c r="C12635" s="8" t="e">
        <f>VLOOKUP(A:A,'ITEM LIST'!A:C,3,0)</f>
        <v>#N/A</v>
      </c>
      <c r="D12635" s="6">
        <f t="shared" si="198"/>
        <v>0</v>
      </c>
    </row>
    <row r="12636" spans="3:4" ht="15" x14ac:dyDescent="0.25">
      <c r="C12636" s="8" t="e">
        <f>VLOOKUP(A:A,'ITEM LIST'!A:C,3,0)</f>
        <v>#N/A</v>
      </c>
      <c r="D12636" s="6">
        <f t="shared" si="198"/>
        <v>0</v>
      </c>
    </row>
    <row r="12637" spans="3:4" ht="15" x14ac:dyDescent="0.25">
      <c r="C12637" s="8" t="e">
        <f>VLOOKUP(A:A,'ITEM LIST'!A:C,3,0)</f>
        <v>#N/A</v>
      </c>
      <c r="D12637" s="6">
        <f t="shared" si="198"/>
        <v>0</v>
      </c>
    </row>
    <row r="12638" spans="3:4" ht="15" x14ac:dyDescent="0.25">
      <c r="C12638" s="8" t="e">
        <f>VLOOKUP(A:A,'ITEM LIST'!A:C,3,0)</f>
        <v>#N/A</v>
      </c>
      <c r="D12638" s="6">
        <f t="shared" si="198"/>
        <v>0</v>
      </c>
    </row>
    <row r="12639" spans="3:4" ht="15" x14ac:dyDescent="0.25">
      <c r="C12639" s="8" t="e">
        <f>VLOOKUP(A:A,'ITEM LIST'!A:C,3,0)</f>
        <v>#N/A</v>
      </c>
      <c r="D12639" s="6">
        <f t="shared" si="198"/>
        <v>0</v>
      </c>
    </row>
    <row r="12640" spans="3:4" ht="15" x14ac:dyDescent="0.25">
      <c r="C12640" s="8" t="e">
        <f>VLOOKUP(A:A,'ITEM LIST'!A:C,3,0)</f>
        <v>#N/A</v>
      </c>
      <c r="D12640" s="6">
        <f t="shared" si="198"/>
        <v>0</v>
      </c>
    </row>
    <row r="12641" spans="3:4" ht="15" x14ac:dyDescent="0.25">
      <c r="C12641" s="8" t="e">
        <f>VLOOKUP(A:A,'ITEM LIST'!A:C,3,0)</f>
        <v>#N/A</v>
      </c>
      <c r="D12641" s="6">
        <f t="shared" si="198"/>
        <v>0</v>
      </c>
    </row>
    <row r="12642" spans="3:4" ht="15" x14ac:dyDescent="0.25">
      <c r="C12642" s="8" t="e">
        <f>VLOOKUP(A:A,'ITEM LIST'!A:C,3,0)</f>
        <v>#N/A</v>
      </c>
      <c r="D12642" s="6">
        <f t="shared" si="198"/>
        <v>0</v>
      </c>
    </row>
    <row r="12643" spans="3:4" ht="15" x14ac:dyDescent="0.25">
      <c r="C12643" s="8" t="e">
        <f>VLOOKUP(A:A,'ITEM LIST'!A:C,3,0)</f>
        <v>#N/A</v>
      </c>
      <c r="D12643" s="6">
        <f t="shared" si="198"/>
        <v>0</v>
      </c>
    </row>
    <row r="12644" spans="3:4" ht="15" x14ac:dyDescent="0.25">
      <c r="C12644" s="8" t="e">
        <f>VLOOKUP(A:A,'ITEM LIST'!A:C,3,0)</f>
        <v>#N/A</v>
      </c>
      <c r="D12644" s="6">
        <f t="shared" si="198"/>
        <v>0</v>
      </c>
    </row>
    <row r="12645" spans="3:4" ht="15" x14ac:dyDescent="0.25">
      <c r="C12645" s="8" t="e">
        <f>VLOOKUP(A:A,'ITEM LIST'!A:C,3,0)</f>
        <v>#N/A</v>
      </c>
      <c r="D12645" s="6">
        <f t="shared" si="198"/>
        <v>0</v>
      </c>
    </row>
    <row r="12646" spans="3:4" ht="15" x14ac:dyDescent="0.25">
      <c r="C12646" s="8" t="e">
        <f>VLOOKUP(A:A,'ITEM LIST'!A:C,3,0)</f>
        <v>#N/A</v>
      </c>
      <c r="D12646" s="6">
        <f t="shared" si="198"/>
        <v>0</v>
      </c>
    </row>
    <row r="12647" spans="3:4" ht="15" x14ac:dyDescent="0.25">
      <c r="C12647" s="8" t="e">
        <f>VLOOKUP(A:A,'ITEM LIST'!A:C,3,0)</f>
        <v>#N/A</v>
      </c>
      <c r="D12647" s="6">
        <f t="shared" si="198"/>
        <v>0</v>
      </c>
    </row>
    <row r="12648" spans="3:4" ht="15" x14ac:dyDescent="0.25">
      <c r="C12648" s="8" t="e">
        <f>VLOOKUP(A:A,'ITEM LIST'!A:C,3,0)</f>
        <v>#N/A</v>
      </c>
      <c r="D12648" s="6">
        <f t="shared" si="198"/>
        <v>0</v>
      </c>
    </row>
    <row r="12649" spans="3:4" ht="15" x14ac:dyDescent="0.25">
      <c r="C12649" s="8" t="e">
        <f>VLOOKUP(A:A,'ITEM LIST'!A:C,3,0)</f>
        <v>#N/A</v>
      </c>
      <c r="D12649" s="6">
        <f t="shared" si="198"/>
        <v>0</v>
      </c>
    </row>
    <row r="12650" spans="3:4" ht="15" x14ac:dyDescent="0.25">
      <c r="C12650" s="8" t="e">
        <f>VLOOKUP(A:A,'ITEM LIST'!A:C,3,0)</f>
        <v>#N/A</v>
      </c>
      <c r="D12650" s="6">
        <f t="shared" si="198"/>
        <v>0</v>
      </c>
    </row>
    <row r="12651" spans="3:4" ht="15" x14ac:dyDescent="0.25">
      <c r="C12651" s="8" t="e">
        <f>VLOOKUP(A:A,'ITEM LIST'!A:C,3,0)</f>
        <v>#N/A</v>
      </c>
      <c r="D12651" s="6">
        <f t="shared" si="198"/>
        <v>0</v>
      </c>
    </row>
    <row r="12652" spans="3:4" ht="15" x14ac:dyDescent="0.25">
      <c r="C12652" s="8" t="e">
        <f>VLOOKUP(A:A,'ITEM LIST'!A:C,3,0)</f>
        <v>#N/A</v>
      </c>
      <c r="D12652" s="6">
        <f t="shared" si="198"/>
        <v>0</v>
      </c>
    </row>
    <row r="12653" spans="3:4" ht="15" x14ac:dyDescent="0.25">
      <c r="C12653" s="8" t="e">
        <f>VLOOKUP(A:A,'ITEM LIST'!A:C,3,0)</f>
        <v>#N/A</v>
      </c>
      <c r="D12653" s="6">
        <f t="shared" si="198"/>
        <v>0</v>
      </c>
    </row>
    <row r="12654" spans="3:4" ht="15" x14ac:dyDescent="0.25">
      <c r="C12654" s="8" t="e">
        <f>VLOOKUP(A:A,'ITEM LIST'!A:C,3,0)</f>
        <v>#N/A</v>
      </c>
      <c r="D12654" s="6">
        <f t="shared" si="198"/>
        <v>0</v>
      </c>
    </row>
    <row r="12655" spans="3:4" ht="15" x14ac:dyDescent="0.25">
      <c r="C12655" s="8" t="e">
        <f>VLOOKUP(A:A,'ITEM LIST'!A:C,3,0)</f>
        <v>#N/A</v>
      </c>
      <c r="D12655" s="6">
        <f t="shared" si="198"/>
        <v>0</v>
      </c>
    </row>
    <row r="12656" spans="3:4" ht="15" x14ac:dyDescent="0.25">
      <c r="C12656" s="8" t="e">
        <f>VLOOKUP(A:A,'ITEM LIST'!A:C,3,0)</f>
        <v>#N/A</v>
      </c>
      <c r="D12656" s="6">
        <f t="shared" si="198"/>
        <v>0</v>
      </c>
    </row>
    <row r="12657" spans="3:4" ht="15" x14ac:dyDescent="0.25">
      <c r="C12657" s="8" t="e">
        <f>VLOOKUP(A:A,'ITEM LIST'!A:C,3,0)</f>
        <v>#N/A</v>
      </c>
      <c r="D12657" s="6">
        <f t="shared" si="198"/>
        <v>0</v>
      </c>
    </row>
    <row r="12658" spans="3:4" ht="15" x14ac:dyDescent="0.25">
      <c r="C12658" s="8" t="e">
        <f>VLOOKUP(A:A,'ITEM LIST'!A:C,3,0)</f>
        <v>#N/A</v>
      </c>
      <c r="D12658" s="6">
        <f t="shared" si="198"/>
        <v>0</v>
      </c>
    </row>
    <row r="12659" spans="3:4" ht="15" x14ac:dyDescent="0.25">
      <c r="C12659" s="8" t="e">
        <f>VLOOKUP(A:A,'ITEM LIST'!A:C,3,0)</f>
        <v>#N/A</v>
      </c>
      <c r="D12659" s="6">
        <f t="shared" si="198"/>
        <v>0</v>
      </c>
    </row>
    <row r="12660" spans="3:4" ht="15" x14ac:dyDescent="0.25">
      <c r="C12660" s="8" t="e">
        <f>VLOOKUP(A:A,'ITEM LIST'!A:C,3,0)</f>
        <v>#N/A</v>
      </c>
      <c r="D12660" s="6">
        <f t="shared" si="198"/>
        <v>0</v>
      </c>
    </row>
    <row r="12661" spans="3:4" ht="15" x14ac:dyDescent="0.25">
      <c r="C12661" s="8" t="e">
        <f>VLOOKUP(A:A,'ITEM LIST'!A:C,3,0)</f>
        <v>#N/A</v>
      </c>
      <c r="D12661" s="6">
        <f t="shared" si="198"/>
        <v>0</v>
      </c>
    </row>
    <row r="12662" spans="3:4" ht="15" x14ac:dyDescent="0.25">
      <c r="C12662" s="8" t="e">
        <f>VLOOKUP(A:A,'ITEM LIST'!A:C,3,0)</f>
        <v>#N/A</v>
      </c>
      <c r="D12662" s="6">
        <f t="shared" si="198"/>
        <v>0</v>
      </c>
    </row>
    <row r="12663" spans="3:4" ht="15" x14ac:dyDescent="0.25">
      <c r="C12663" s="8" t="e">
        <f>VLOOKUP(A:A,'ITEM LIST'!A:C,3,0)</f>
        <v>#N/A</v>
      </c>
      <c r="D12663" s="6">
        <f t="shared" si="198"/>
        <v>0</v>
      </c>
    </row>
    <row r="12664" spans="3:4" ht="15" x14ac:dyDescent="0.25">
      <c r="C12664" s="8" t="e">
        <f>VLOOKUP(A:A,'ITEM LIST'!A:C,3,0)</f>
        <v>#N/A</v>
      </c>
      <c r="D12664" s="6">
        <f t="shared" si="198"/>
        <v>0</v>
      </c>
    </row>
    <row r="12665" spans="3:4" ht="15" x14ac:dyDescent="0.25">
      <c r="C12665" s="8" t="e">
        <f>VLOOKUP(A:A,'ITEM LIST'!A:C,3,0)</f>
        <v>#N/A</v>
      </c>
      <c r="D12665" s="6">
        <f t="shared" si="198"/>
        <v>0</v>
      </c>
    </row>
    <row r="12666" spans="3:4" ht="15" x14ac:dyDescent="0.25">
      <c r="C12666" s="8" t="e">
        <f>VLOOKUP(A:A,'ITEM LIST'!A:C,3,0)</f>
        <v>#N/A</v>
      </c>
      <c r="D12666" s="6">
        <f t="shared" si="198"/>
        <v>0</v>
      </c>
    </row>
    <row r="12667" spans="3:4" ht="15" x14ac:dyDescent="0.25">
      <c r="C12667" s="8" t="e">
        <f>VLOOKUP(A:A,'ITEM LIST'!A:C,3,0)</f>
        <v>#N/A</v>
      </c>
      <c r="D12667" s="6">
        <f t="shared" si="198"/>
        <v>0</v>
      </c>
    </row>
    <row r="12668" spans="3:4" ht="15" x14ac:dyDescent="0.25">
      <c r="C12668" s="8" t="e">
        <f>VLOOKUP(A:A,'ITEM LIST'!A:C,3,0)</f>
        <v>#N/A</v>
      </c>
      <c r="D12668" s="6">
        <f t="shared" si="198"/>
        <v>0</v>
      </c>
    </row>
    <row r="12669" spans="3:4" ht="15" x14ac:dyDescent="0.25">
      <c r="C12669" s="8" t="e">
        <f>VLOOKUP(A:A,'ITEM LIST'!A:C,3,0)</f>
        <v>#N/A</v>
      </c>
      <c r="D12669" s="6">
        <f t="shared" si="198"/>
        <v>0</v>
      </c>
    </row>
    <row r="12670" spans="3:4" ht="15" x14ac:dyDescent="0.25">
      <c r="C12670" s="8" t="e">
        <f>VLOOKUP(A:A,'ITEM LIST'!A:C,3,0)</f>
        <v>#N/A</v>
      </c>
      <c r="D12670" s="6">
        <f t="shared" si="198"/>
        <v>0</v>
      </c>
    </row>
    <row r="12671" spans="3:4" ht="15" x14ac:dyDescent="0.25">
      <c r="C12671" s="8" t="e">
        <f>VLOOKUP(A:A,'ITEM LIST'!A:C,3,0)</f>
        <v>#N/A</v>
      </c>
      <c r="D12671" s="6">
        <f t="shared" si="198"/>
        <v>0</v>
      </c>
    </row>
    <row r="12672" spans="3:4" ht="15" x14ac:dyDescent="0.25">
      <c r="C12672" s="8" t="e">
        <f>VLOOKUP(A:A,'ITEM LIST'!A:C,3,0)</f>
        <v>#N/A</v>
      </c>
      <c r="D12672" s="6">
        <f t="shared" si="198"/>
        <v>0</v>
      </c>
    </row>
    <row r="12673" spans="3:4" ht="15" x14ac:dyDescent="0.25">
      <c r="C12673" s="8" t="e">
        <f>VLOOKUP(A:A,'ITEM LIST'!A:C,3,0)</f>
        <v>#N/A</v>
      </c>
      <c r="D12673" s="6">
        <f t="shared" si="198"/>
        <v>0</v>
      </c>
    </row>
    <row r="12674" spans="3:4" ht="15" x14ac:dyDescent="0.25">
      <c r="C12674" s="8" t="e">
        <f>VLOOKUP(A:A,'ITEM LIST'!A:C,3,0)</f>
        <v>#N/A</v>
      </c>
      <c r="D12674" s="6">
        <f t="shared" si="198"/>
        <v>0</v>
      </c>
    </row>
    <row r="12675" spans="3:4" ht="15" x14ac:dyDescent="0.25">
      <c r="C12675" s="8" t="e">
        <f>VLOOKUP(A:A,'ITEM LIST'!A:C,3,0)</f>
        <v>#N/A</v>
      </c>
      <c r="D12675" s="6">
        <f t="shared" si="198"/>
        <v>0</v>
      </c>
    </row>
    <row r="12676" spans="3:4" ht="15" x14ac:dyDescent="0.25">
      <c r="C12676" s="8" t="e">
        <f>VLOOKUP(A:A,'ITEM LIST'!A:C,3,0)</f>
        <v>#N/A</v>
      </c>
      <c r="D12676" s="6">
        <f t="shared" si="198"/>
        <v>0</v>
      </c>
    </row>
    <row r="12677" spans="3:4" ht="15" x14ac:dyDescent="0.25">
      <c r="C12677" s="8" t="e">
        <f>VLOOKUP(A:A,'ITEM LIST'!A:C,3,0)</f>
        <v>#N/A</v>
      </c>
      <c r="D12677" s="6">
        <f t="shared" si="198"/>
        <v>0</v>
      </c>
    </row>
    <row r="12678" spans="3:4" ht="15" x14ac:dyDescent="0.25">
      <c r="C12678" s="8" t="e">
        <f>VLOOKUP(A:A,'ITEM LIST'!A:C,3,0)</f>
        <v>#N/A</v>
      </c>
      <c r="D12678" s="6">
        <f t="shared" ref="D12678:D12741" si="199">B12678</f>
        <v>0</v>
      </c>
    </row>
    <row r="12679" spans="3:4" ht="15" x14ac:dyDescent="0.25">
      <c r="C12679" s="8" t="e">
        <f>VLOOKUP(A:A,'ITEM LIST'!A:C,3,0)</f>
        <v>#N/A</v>
      </c>
      <c r="D12679" s="6">
        <f t="shared" si="199"/>
        <v>0</v>
      </c>
    </row>
    <row r="12680" spans="3:4" ht="15" x14ac:dyDescent="0.25">
      <c r="C12680" s="8" t="e">
        <f>VLOOKUP(A:A,'ITEM LIST'!A:C,3,0)</f>
        <v>#N/A</v>
      </c>
      <c r="D12680" s="6">
        <f t="shared" si="199"/>
        <v>0</v>
      </c>
    </row>
    <row r="12681" spans="3:4" ht="15" x14ac:dyDescent="0.25">
      <c r="C12681" s="8" t="e">
        <f>VLOOKUP(A:A,'ITEM LIST'!A:C,3,0)</f>
        <v>#N/A</v>
      </c>
      <c r="D12681" s="6">
        <f t="shared" si="199"/>
        <v>0</v>
      </c>
    </row>
    <row r="12682" spans="3:4" ht="15" x14ac:dyDescent="0.25">
      <c r="C12682" s="8" t="e">
        <f>VLOOKUP(A:A,'ITEM LIST'!A:C,3,0)</f>
        <v>#N/A</v>
      </c>
      <c r="D12682" s="6">
        <f t="shared" si="199"/>
        <v>0</v>
      </c>
    </row>
    <row r="12683" spans="3:4" ht="15" x14ac:dyDescent="0.25">
      <c r="C12683" s="8" t="e">
        <f>VLOOKUP(A:A,'ITEM LIST'!A:C,3,0)</f>
        <v>#N/A</v>
      </c>
      <c r="D12683" s="6">
        <f t="shared" si="199"/>
        <v>0</v>
      </c>
    </row>
    <row r="12684" spans="3:4" ht="15" x14ac:dyDescent="0.25">
      <c r="C12684" s="8" t="e">
        <f>VLOOKUP(A:A,'ITEM LIST'!A:C,3,0)</f>
        <v>#N/A</v>
      </c>
      <c r="D12684" s="6">
        <f t="shared" si="199"/>
        <v>0</v>
      </c>
    </row>
    <row r="12685" spans="3:4" ht="15" x14ac:dyDescent="0.25">
      <c r="C12685" s="8" t="e">
        <f>VLOOKUP(A:A,'ITEM LIST'!A:C,3,0)</f>
        <v>#N/A</v>
      </c>
      <c r="D12685" s="6">
        <f t="shared" si="199"/>
        <v>0</v>
      </c>
    </row>
    <row r="12686" spans="3:4" ht="15" x14ac:dyDescent="0.25">
      <c r="C12686" s="8" t="e">
        <f>VLOOKUP(A:A,'ITEM LIST'!A:C,3,0)</f>
        <v>#N/A</v>
      </c>
      <c r="D12686" s="6">
        <f t="shared" si="199"/>
        <v>0</v>
      </c>
    </row>
    <row r="12687" spans="3:4" ht="15" x14ac:dyDescent="0.25">
      <c r="C12687" s="8" t="e">
        <f>VLOOKUP(A:A,'ITEM LIST'!A:C,3,0)</f>
        <v>#N/A</v>
      </c>
      <c r="D12687" s="6">
        <f t="shared" si="199"/>
        <v>0</v>
      </c>
    </row>
    <row r="12688" spans="3:4" ht="15" x14ac:dyDescent="0.25">
      <c r="C12688" s="8" t="e">
        <f>VLOOKUP(A:A,'ITEM LIST'!A:C,3,0)</f>
        <v>#N/A</v>
      </c>
      <c r="D12688" s="6">
        <f t="shared" si="199"/>
        <v>0</v>
      </c>
    </row>
    <row r="12689" spans="3:4" ht="15" x14ac:dyDescent="0.25">
      <c r="C12689" s="8" t="e">
        <f>VLOOKUP(A:A,'ITEM LIST'!A:C,3,0)</f>
        <v>#N/A</v>
      </c>
      <c r="D12689" s="6">
        <f t="shared" si="199"/>
        <v>0</v>
      </c>
    </row>
    <row r="12690" spans="3:4" ht="15" x14ac:dyDescent="0.25">
      <c r="C12690" s="8" t="e">
        <f>VLOOKUP(A:A,'ITEM LIST'!A:C,3,0)</f>
        <v>#N/A</v>
      </c>
      <c r="D12690" s="6">
        <f t="shared" si="199"/>
        <v>0</v>
      </c>
    </row>
    <row r="12691" spans="3:4" ht="15" x14ac:dyDescent="0.25">
      <c r="C12691" s="8" t="e">
        <f>VLOOKUP(A:A,'ITEM LIST'!A:C,3,0)</f>
        <v>#N/A</v>
      </c>
      <c r="D12691" s="6">
        <f t="shared" si="199"/>
        <v>0</v>
      </c>
    </row>
    <row r="12692" spans="3:4" ht="15" x14ac:dyDescent="0.25">
      <c r="C12692" s="8" t="e">
        <f>VLOOKUP(A:A,'ITEM LIST'!A:C,3,0)</f>
        <v>#N/A</v>
      </c>
      <c r="D12692" s="6">
        <f t="shared" si="199"/>
        <v>0</v>
      </c>
    </row>
    <row r="12693" spans="3:4" ht="15" x14ac:dyDescent="0.25">
      <c r="C12693" s="8" t="e">
        <f>VLOOKUP(A:A,'ITEM LIST'!A:C,3,0)</f>
        <v>#N/A</v>
      </c>
      <c r="D12693" s="6">
        <f t="shared" si="199"/>
        <v>0</v>
      </c>
    </row>
    <row r="12694" spans="3:4" ht="15" x14ac:dyDescent="0.25">
      <c r="C12694" s="8" t="e">
        <f>VLOOKUP(A:A,'ITEM LIST'!A:C,3,0)</f>
        <v>#N/A</v>
      </c>
      <c r="D12694" s="6">
        <f t="shared" si="199"/>
        <v>0</v>
      </c>
    </row>
    <row r="12695" spans="3:4" ht="15" x14ac:dyDescent="0.25">
      <c r="C12695" s="8" t="e">
        <f>VLOOKUP(A:A,'ITEM LIST'!A:C,3,0)</f>
        <v>#N/A</v>
      </c>
      <c r="D12695" s="6">
        <f t="shared" si="199"/>
        <v>0</v>
      </c>
    </row>
    <row r="12696" spans="3:4" ht="15" x14ac:dyDescent="0.25">
      <c r="C12696" s="8" t="e">
        <f>VLOOKUP(A:A,'ITEM LIST'!A:C,3,0)</f>
        <v>#N/A</v>
      </c>
      <c r="D12696" s="6">
        <f t="shared" si="199"/>
        <v>0</v>
      </c>
    </row>
    <row r="12697" spans="3:4" ht="15" x14ac:dyDescent="0.25">
      <c r="C12697" s="8" t="e">
        <f>VLOOKUP(A:A,'ITEM LIST'!A:C,3,0)</f>
        <v>#N/A</v>
      </c>
      <c r="D12697" s="6">
        <f t="shared" si="199"/>
        <v>0</v>
      </c>
    </row>
    <row r="12698" spans="3:4" ht="15" x14ac:dyDescent="0.25">
      <c r="C12698" s="8" t="e">
        <f>VLOOKUP(A:A,'ITEM LIST'!A:C,3,0)</f>
        <v>#N/A</v>
      </c>
      <c r="D12698" s="6">
        <f t="shared" si="199"/>
        <v>0</v>
      </c>
    </row>
    <row r="12699" spans="3:4" ht="15" x14ac:dyDescent="0.25">
      <c r="C12699" s="8" t="e">
        <f>VLOOKUP(A:A,'ITEM LIST'!A:C,3,0)</f>
        <v>#N/A</v>
      </c>
      <c r="D12699" s="6">
        <f t="shared" si="199"/>
        <v>0</v>
      </c>
    </row>
    <row r="12700" spans="3:4" ht="15" x14ac:dyDescent="0.25">
      <c r="C12700" s="8" t="e">
        <f>VLOOKUP(A:A,'ITEM LIST'!A:C,3,0)</f>
        <v>#N/A</v>
      </c>
      <c r="D12700" s="6">
        <f t="shared" si="199"/>
        <v>0</v>
      </c>
    </row>
    <row r="12701" spans="3:4" ht="15" x14ac:dyDescent="0.25">
      <c r="C12701" s="8" t="e">
        <f>VLOOKUP(A:A,'ITEM LIST'!A:C,3,0)</f>
        <v>#N/A</v>
      </c>
      <c r="D12701" s="6">
        <f t="shared" si="199"/>
        <v>0</v>
      </c>
    </row>
    <row r="12702" spans="3:4" ht="15" x14ac:dyDescent="0.25">
      <c r="C12702" s="8" t="e">
        <f>VLOOKUP(A:A,'ITEM LIST'!A:C,3,0)</f>
        <v>#N/A</v>
      </c>
      <c r="D12702" s="6">
        <f t="shared" si="199"/>
        <v>0</v>
      </c>
    </row>
    <row r="12703" spans="3:4" ht="15" x14ac:dyDescent="0.25">
      <c r="C12703" s="8" t="e">
        <f>VLOOKUP(A:A,'ITEM LIST'!A:C,3,0)</f>
        <v>#N/A</v>
      </c>
      <c r="D12703" s="6">
        <f t="shared" si="199"/>
        <v>0</v>
      </c>
    </row>
    <row r="12704" spans="3:4" ht="15" x14ac:dyDescent="0.25">
      <c r="C12704" s="8" t="e">
        <f>VLOOKUP(A:A,'ITEM LIST'!A:C,3,0)</f>
        <v>#N/A</v>
      </c>
      <c r="D12704" s="6">
        <f t="shared" si="199"/>
        <v>0</v>
      </c>
    </row>
    <row r="12705" spans="3:4" ht="15" x14ac:dyDescent="0.25">
      <c r="C12705" s="8" t="e">
        <f>VLOOKUP(A:A,'ITEM LIST'!A:C,3,0)</f>
        <v>#N/A</v>
      </c>
      <c r="D12705" s="6">
        <f t="shared" si="199"/>
        <v>0</v>
      </c>
    </row>
    <row r="12706" spans="3:4" ht="15" x14ac:dyDescent="0.25">
      <c r="C12706" s="8" t="e">
        <f>VLOOKUP(A:A,'ITEM LIST'!A:C,3,0)</f>
        <v>#N/A</v>
      </c>
      <c r="D12706" s="6">
        <f t="shared" si="199"/>
        <v>0</v>
      </c>
    </row>
    <row r="12707" spans="3:4" ht="15" x14ac:dyDescent="0.25">
      <c r="C12707" s="8" t="e">
        <f>VLOOKUP(A:A,'ITEM LIST'!A:C,3,0)</f>
        <v>#N/A</v>
      </c>
      <c r="D12707" s="6">
        <f t="shared" si="199"/>
        <v>0</v>
      </c>
    </row>
    <row r="12708" spans="3:4" ht="15" x14ac:dyDescent="0.25">
      <c r="C12708" s="8" t="e">
        <f>VLOOKUP(A:A,'ITEM LIST'!A:C,3,0)</f>
        <v>#N/A</v>
      </c>
      <c r="D12708" s="6">
        <f t="shared" si="199"/>
        <v>0</v>
      </c>
    </row>
    <row r="12709" spans="3:4" ht="15" x14ac:dyDescent="0.25">
      <c r="C12709" s="8" t="e">
        <f>VLOOKUP(A:A,'ITEM LIST'!A:C,3,0)</f>
        <v>#N/A</v>
      </c>
      <c r="D12709" s="6">
        <f t="shared" si="199"/>
        <v>0</v>
      </c>
    </row>
    <row r="12710" spans="3:4" ht="15" x14ac:dyDescent="0.25">
      <c r="C12710" s="8" t="e">
        <f>VLOOKUP(A:A,'ITEM LIST'!A:C,3,0)</f>
        <v>#N/A</v>
      </c>
      <c r="D12710" s="6">
        <f t="shared" si="199"/>
        <v>0</v>
      </c>
    </row>
    <row r="12711" spans="3:4" ht="15" x14ac:dyDescent="0.25">
      <c r="C12711" s="8" t="e">
        <f>VLOOKUP(A:A,'ITEM LIST'!A:C,3,0)</f>
        <v>#N/A</v>
      </c>
      <c r="D12711" s="6">
        <f t="shared" si="199"/>
        <v>0</v>
      </c>
    </row>
    <row r="12712" spans="3:4" ht="15" x14ac:dyDescent="0.25">
      <c r="C12712" s="8" t="e">
        <f>VLOOKUP(A:A,'ITEM LIST'!A:C,3,0)</f>
        <v>#N/A</v>
      </c>
      <c r="D12712" s="6">
        <f t="shared" si="199"/>
        <v>0</v>
      </c>
    </row>
    <row r="12713" spans="3:4" ht="15" x14ac:dyDescent="0.25">
      <c r="C12713" s="8" t="e">
        <f>VLOOKUP(A:A,'ITEM LIST'!A:C,3,0)</f>
        <v>#N/A</v>
      </c>
      <c r="D12713" s="6">
        <f t="shared" si="199"/>
        <v>0</v>
      </c>
    </row>
    <row r="12714" spans="3:4" ht="15" x14ac:dyDescent="0.25">
      <c r="C12714" s="8" t="e">
        <f>VLOOKUP(A:A,'ITEM LIST'!A:C,3,0)</f>
        <v>#N/A</v>
      </c>
      <c r="D12714" s="6">
        <f t="shared" si="199"/>
        <v>0</v>
      </c>
    </row>
    <row r="12715" spans="3:4" ht="15" x14ac:dyDescent="0.25">
      <c r="C12715" s="8" t="e">
        <f>VLOOKUP(A:A,'ITEM LIST'!A:C,3,0)</f>
        <v>#N/A</v>
      </c>
      <c r="D12715" s="6">
        <f t="shared" si="199"/>
        <v>0</v>
      </c>
    </row>
    <row r="12716" spans="3:4" ht="15" x14ac:dyDescent="0.25">
      <c r="C12716" s="8" t="e">
        <f>VLOOKUP(A:A,'ITEM LIST'!A:C,3,0)</f>
        <v>#N/A</v>
      </c>
      <c r="D12716" s="6">
        <f t="shared" si="199"/>
        <v>0</v>
      </c>
    </row>
    <row r="12717" spans="3:4" ht="15" x14ac:dyDescent="0.25">
      <c r="C12717" s="8" t="e">
        <f>VLOOKUP(A:A,'ITEM LIST'!A:C,3,0)</f>
        <v>#N/A</v>
      </c>
      <c r="D12717" s="6">
        <f t="shared" si="199"/>
        <v>0</v>
      </c>
    </row>
    <row r="12718" spans="3:4" ht="15" x14ac:dyDescent="0.25">
      <c r="C12718" s="8" t="e">
        <f>VLOOKUP(A:A,'ITEM LIST'!A:C,3,0)</f>
        <v>#N/A</v>
      </c>
      <c r="D12718" s="6">
        <f t="shared" si="199"/>
        <v>0</v>
      </c>
    </row>
    <row r="12719" spans="3:4" ht="15" x14ac:dyDescent="0.25">
      <c r="C12719" s="8" t="e">
        <f>VLOOKUP(A:A,'ITEM LIST'!A:C,3,0)</f>
        <v>#N/A</v>
      </c>
      <c r="D12719" s="6">
        <f t="shared" si="199"/>
        <v>0</v>
      </c>
    </row>
    <row r="12720" spans="3:4" ht="15" x14ac:dyDescent="0.25">
      <c r="C12720" s="8" t="e">
        <f>VLOOKUP(A:A,'ITEM LIST'!A:C,3,0)</f>
        <v>#N/A</v>
      </c>
      <c r="D12720" s="6">
        <f t="shared" si="199"/>
        <v>0</v>
      </c>
    </row>
    <row r="12721" spans="3:4" ht="15" x14ac:dyDescent="0.25">
      <c r="C12721" s="8" t="e">
        <f>VLOOKUP(A:A,'ITEM LIST'!A:C,3,0)</f>
        <v>#N/A</v>
      </c>
      <c r="D12721" s="6">
        <f t="shared" si="199"/>
        <v>0</v>
      </c>
    </row>
    <row r="12722" spans="3:4" ht="15" x14ac:dyDescent="0.25">
      <c r="C12722" s="8" t="e">
        <f>VLOOKUP(A:A,'ITEM LIST'!A:C,3,0)</f>
        <v>#N/A</v>
      </c>
      <c r="D12722" s="6">
        <f t="shared" si="199"/>
        <v>0</v>
      </c>
    </row>
    <row r="12723" spans="3:4" ht="15" x14ac:dyDescent="0.25">
      <c r="C12723" s="8" t="e">
        <f>VLOOKUP(A:A,'ITEM LIST'!A:C,3,0)</f>
        <v>#N/A</v>
      </c>
      <c r="D12723" s="6">
        <f t="shared" si="199"/>
        <v>0</v>
      </c>
    </row>
    <row r="12724" spans="3:4" ht="15" x14ac:dyDescent="0.25">
      <c r="C12724" s="8" t="e">
        <f>VLOOKUP(A:A,'ITEM LIST'!A:C,3,0)</f>
        <v>#N/A</v>
      </c>
      <c r="D12724" s="6">
        <f t="shared" si="199"/>
        <v>0</v>
      </c>
    </row>
    <row r="12725" spans="3:4" ht="15" x14ac:dyDescent="0.25">
      <c r="C12725" s="8" t="e">
        <f>VLOOKUP(A:A,'ITEM LIST'!A:C,3,0)</f>
        <v>#N/A</v>
      </c>
      <c r="D12725" s="6">
        <f t="shared" si="199"/>
        <v>0</v>
      </c>
    </row>
    <row r="12726" spans="3:4" ht="15" x14ac:dyDescent="0.25">
      <c r="C12726" s="8" t="e">
        <f>VLOOKUP(A:A,'ITEM LIST'!A:C,3,0)</f>
        <v>#N/A</v>
      </c>
      <c r="D12726" s="6">
        <f t="shared" si="199"/>
        <v>0</v>
      </c>
    </row>
    <row r="12727" spans="3:4" ht="15" x14ac:dyDescent="0.25">
      <c r="C12727" s="8" t="e">
        <f>VLOOKUP(A:A,'ITEM LIST'!A:C,3,0)</f>
        <v>#N/A</v>
      </c>
      <c r="D12727" s="6">
        <f t="shared" si="199"/>
        <v>0</v>
      </c>
    </row>
    <row r="12728" spans="3:4" ht="15" x14ac:dyDescent="0.25">
      <c r="C12728" s="8" t="e">
        <f>VLOOKUP(A:A,'ITEM LIST'!A:C,3,0)</f>
        <v>#N/A</v>
      </c>
      <c r="D12728" s="6">
        <f t="shared" si="199"/>
        <v>0</v>
      </c>
    </row>
    <row r="12729" spans="3:4" ht="15" x14ac:dyDescent="0.25">
      <c r="C12729" s="8" t="e">
        <f>VLOOKUP(A:A,'ITEM LIST'!A:C,3,0)</f>
        <v>#N/A</v>
      </c>
      <c r="D12729" s="6">
        <f t="shared" si="199"/>
        <v>0</v>
      </c>
    </row>
    <row r="12730" spans="3:4" ht="15" x14ac:dyDescent="0.25">
      <c r="C12730" s="8" t="e">
        <f>VLOOKUP(A:A,'ITEM LIST'!A:C,3,0)</f>
        <v>#N/A</v>
      </c>
      <c r="D12730" s="6">
        <f t="shared" si="199"/>
        <v>0</v>
      </c>
    </row>
    <row r="12731" spans="3:4" ht="15" x14ac:dyDescent="0.25">
      <c r="C12731" s="8" t="e">
        <f>VLOOKUP(A:A,'ITEM LIST'!A:C,3,0)</f>
        <v>#N/A</v>
      </c>
      <c r="D12731" s="6">
        <f t="shared" si="199"/>
        <v>0</v>
      </c>
    </row>
    <row r="12732" spans="3:4" ht="15" x14ac:dyDescent="0.25">
      <c r="C12732" s="8" t="e">
        <f>VLOOKUP(A:A,'ITEM LIST'!A:C,3,0)</f>
        <v>#N/A</v>
      </c>
      <c r="D12732" s="6">
        <f t="shared" si="199"/>
        <v>0</v>
      </c>
    </row>
    <row r="12733" spans="3:4" ht="15" x14ac:dyDescent="0.25">
      <c r="C12733" s="8" t="e">
        <f>VLOOKUP(A:A,'ITEM LIST'!A:C,3,0)</f>
        <v>#N/A</v>
      </c>
      <c r="D12733" s="6">
        <f t="shared" si="199"/>
        <v>0</v>
      </c>
    </row>
    <row r="12734" spans="3:4" ht="15" x14ac:dyDescent="0.25">
      <c r="C12734" s="8" t="e">
        <f>VLOOKUP(A:A,'ITEM LIST'!A:C,3,0)</f>
        <v>#N/A</v>
      </c>
      <c r="D12734" s="6">
        <f t="shared" si="199"/>
        <v>0</v>
      </c>
    </row>
    <row r="12735" spans="3:4" ht="15" x14ac:dyDescent="0.25">
      <c r="C12735" s="8" t="e">
        <f>VLOOKUP(A:A,'ITEM LIST'!A:C,3,0)</f>
        <v>#N/A</v>
      </c>
      <c r="D12735" s="6">
        <f t="shared" si="199"/>
        <v>0</v>
      </c>
    </row>
    <row r="12736" spans="3:4" ht="15" x14ac:dyDescent="0.25">
      <c r="C12736" s="8" t="e">
        <f>VLOOKUP(A:A,'ITEM LIST'!A:C,3,0)</f>
        <v>#N/A</v>
      </c>
      <c r="D12736" s="6">
        <f t="shared" si="199"/>
        <v>0</v>
      </c>
    </row>
    <row r="12737" spans="3:4" ht="15" x14ac:dyDescent="0.25">
      <c r="C12737" s="8" t="e">
        <f>VLOOKUP(A:A,'ITEM LIST'!A:C,3,0)</f>
        <v>#N/A</v>
      </c>
      <c r="D12737" s="6">
        <f t="shared" si="199"/>
        <v>0</v>
      </c>
    </row>
    <row r="12738" spans="3:4" ht="15" x14ac:dyDescent="0.25">
      <c r="C12738" s="8" t="e">
        <f>VLOOKUP(A:A,'ITEM LIST'!A:C,3,0)</f>
        <v>#N/A</v>
      </c>
      <c r="D12738" s="6">
        <f t="shared" si="199"/>
        <v>0</v>
      </c>
    </row>
    <row r="12739" spans="3:4" ht="15" x14ac:dyDescent="0.25">
      <c r="C12739" s="8" t="e">
        <f>VLOOKUP(A:A,'ITEM LIST'!A:C,3,0)</f>
        <v>#N/A</v>
      </c>
      <c r="D12739" s="6">
        <f t="shared" si="199"/>
        <v>0</v>
      </c>
    </row>
    <row r="12740" spans="3:4" ht="15" x14ac:dyDescent="0.25">
      <c r="C12740" s="8" t="e">
        <f>VLOOKUP(A:A,'ITEM LIST'!A:C,3,0)</f>
        <v>#N/A</v>
      </c>
      <c r="D12740" s="6">
        <f t="shared" si="199"/>
        <v>0</v>
      </c>
    </row>
    <row r="12741" spans="3:4" ht="15" x14ac:dyDescent="0.25">
      <c r="C12741" s="8" t="e">
        <f>VLOOKUP(A:A,'ITEM LIST'!A:C,3,0)</f>
        <v>#N/A</v>
      </c>
      <c r="D12741" s="6">
        <f t="shared" si="199"/>
        <v>0</v>
      </c>
    </row>
    <row r="12742" spans="3:4" ht="15" x14ac:dyDescent="0.25">
      <c r="C12742" s="8" t="e">
        <f>VLOOKUP(A:A,'ITEM LIST'!A:C,3,0)</f>
        <v>#N/A</v>
      </c>
      <c r="D12742" s="6">
        <f t="shared" ref="D12742:D12805" si="200">B12742</f>
        <v>0</v>
      </c>
    </row>
    <row r="12743" spans="3:4" ht="15" x14ac:dyDescent="0.25">
      <c r="C12743" s="8" t="e">
        <f>VLOOKUP(A:A,'ITEM LIST'!A:C,3,0)</f>
        <v>#N/A</v>
      </c>
      <c r="D12743" s="6">
        <f t="shared" si="200"/>
        <v>0</v>
      </c>
    </row>
    <row r="12744" spans="3:4" ht="15" x14ac:dyDescent="0.25">
      <c r="C12744" s="8" t="e">
        <f>VLOOKUP(A:A,'ITEM LIST'!A:C,3,0)</f>
        <v>#N/A</v>
      </c>
      <c r="D12744" s="6">
        <f t="shared" si="200"/>
        <v>0</v>
      </c>
    </row>
    <row r="12745" spans="3:4" ht="15" x14ac:dyDescent="0.25">
      <c r="C12745" s="8" t="e">
        <f>VLOOKUP(A:A,'ITEM LIST'!A:C,3,0)</f>
        <v>#N/A</v>
      </c>
      <c r="D12745" s="6">
        <f t="shared" si="200"/>
        <v>0</v>
      </c>
    </row>
    <row r="12746" spans="3:4" ht="15" x14ac:dyDescent="0.25">
      <c r="C12746" s="8" t="e">
        <f>VLOOKUP(A:A,'ITEM LIST'!A:C,3,0)</f>
        <v>#N/A</v>
      </c>
      <c r="D12746" s="6">
        <f t="shared" si="200"/>
        <v>0</v>
      </c>
    </row>
    <row r="12747" spans="3:4" ht="15" x14ac:dyDescent="0.25">
      <c r="C12747" s="8" t="e">
        <f>VLOOKUP(A:A,'ITEM LIST'!A:C,3,0)</f>
        <v>#N/A</v>
      </c>
      <c r="D12747" s="6">
        <f t="shared" si="200"/>
        <v>0</v>
      </c>
    </row>
    <row r="12748" spans="3:4" ht="15" x14ac:dyDescent="0.25">
      <c r="C12748" s="8" t="e">
        <f>VLOOKUP(A:A,'ITEM LIST'!A:C,3,0)</f>
        <v>#N/A</v>
      </c>
      <c r="D12748" s="6">
        <f t="shared" si="200"/>
        <v>0</v>
      </c>
    </row>
    <row r="12749" spans="3:4" ht="15" x14ac:dyDescent="0.25">
      <c r="C12749" s="8" t="e">
        <f>VLOOKUP(A:A,'ITEM LIST'!A:C,3,0)</f>
        <v>#N/A</v>
      </c>
      <c r="D12749" s="6">
        <f t="shared" si="200"/>
        <v>0</v>
      </c>
    </row>
    <row r="12750" spans="3:4" ht="15" x14ac:dyDescent="0.25">
      <c r="C12750" s="8" t="e">
        <f>VLOOKUP(A:A,'ITEM LIST'!A:C,3,0)</f>
        <v>#N/A</v>
      </c>
      <c r="D12750" s="6">
        <f t="shared" si="200"/>
        <v>0</v>
      </c>
    </row>
    <row r="12751" spans="3:4" ht="15" x14ac:dyDescent="0.25">
      <c r="C12751" s="8" t="e">
        <f>VLOOKUP(A:A,'ITEM LIST'!A:C,3,0)</f>
        <v>#N/A</v>
      </c>
      <c r="D12751" s="6">
        <f t="shared" si="200"/>
        <v>0</v>
      </c>
    </row>
    <row r="12752" spans="3:4" ht="15" x14ac:dyDescent="0.25">
      <c r="C12752" s="8" t="e">
        <f>VLOOKUP(A:A,'ITEM LIST'!A:C,3,0)</f>
        <v>#N/A</v>
      </c>
      <c r="D12752" s="6">
        <f t="shared" si="200"/>
        <v>0</v>
      </c>
    </row>
    <row r="12753" spans="3:4" ht="15" x14ac:dyDescent="0.25">
      <c r="C12753" s="8" t="e">
        <f>VLOOKUP(A:A,'ITEM LIST'!A:C,3,0)</f>
        <v>#N/A</v>
      </c>
      <c r="D12753" s="6">
        <f t="shared" si="200"/>
        <v>0</v>
      </c>
    </row>
    <row r="12754" spans="3:4" ht="15" x14ac:dyDescent="0.25">
      <c r="C12754" s="8" t="e">
        <f>VLOOKUP(A:A,'ITEM LIST'!A:C,3,0)</f>
        <v>#N/A</v>
      </c>
      <c r="D12754" s="6">
        <f t="shared" si="200"/>
        <v>0</v>
      </c>
    </row>
    <row r="12755" spans="3:4" ht="15" x14ac:dyDescent="0.25">
      <c r="C12755" s="8" t="e">
        <f>VLOOKUP(A:A,'ITEM LIST'!A:C,3,0)</f>
        <v>#N/A</v>
      </c>
      <c r="D12755" s="6">
        <f t="shared" si="200"/>
        <v>0</v>
      </c>
    </row>
    <row r="12756" spans="3:4" ht="15" x14ac:dyDescent="0.25">
      <c r="C12756" s="8" t="e">
        <f>VLOOKUP(A:A,'ITEM LIST'!A:C,3,0)</f>
        <v>#N/A</v>
      </c>
      <c r="D12756" s="6">
        <f t="shared" si="200"/>
        <v>0</v>
      </c>
    </row>
    <row r="12757" spans="3:4" ht="15" x14ac:dyDescent="0.25">
      <c r="C12757" s="8" t="e">
        <f>VLOOKUP(A:A,'ITEM LIST'!A:C,3,0)</f>
        <v>#N/A</v>
      </c>
      <c r="D12757" s="6">
        <f t="shared" si="200"/>
        <v>0</v>
      </c>
    </row>
    <row r="12758" spans="3:4" ht="15" x14ac:dyDescent="0.25">
      <c r="C12758" s="8" t="e">
        <f>VLOOKUP(A:A,'ITEM LIST'!A:C,3,0)</f>
        <v>#N/A</v>
      </c>
      <c r="D12758" s="6">
        <f t="shared" si="200"/>
        <v>0</v>
      </c>
    </row>
    <row r="12759" spans="3:4" ht="15" x14ac:dyDescent="0.25">
      <c r="C12759" s="8" t="e">
        <f>VLOOKUP(A:A,'ITEM LIST'!A:C,3,0)</f>
        <v>#N/A</v>
      </c>
      <c r="D12759" s="6">
        <f t="shared" si="200"/>
        <v>0</v>
      </c>
    </row>
    <row r="12760" spans="3:4" ht="15" x14ac:dyDescent="0.25">
      <c r="C12760" s="8" t="e">
        <f>VLOOKUP(A:A,'ITEM LIST'!A:C,3,0)</f>
        <v>#N/A</v>
      </c>
      <c r="D12760" s="6">
        <f t="shared" si="200"/>
        <v>0</v>
      </c>
    </row>
    <row r="12761" spans="3:4" ht="15" x14ac:dyDescent="0.25">
      <c r="C12761" s="8" t="e">
        <f>VLOOKUP(A:A,'ITEM LIST'!A:C,3,0)</f>
        <v>#N/A</v>
      </c>
      <c r="D12761" s="6">
        <f t="shared" si="200"/>
        <v>0</v>
      </c>
    </row>
    <row r="12762" spans="3:4" ht="15" x14ac:dyDescent="0.25">
      <c r="C12762" s="8" t="e">
        <f>VLOOKUP(A:A,'ITEM LIST'!A:C,3,0)</f>
        <v>#N/A</v>
      </c>
      <c r="D12762" s="6">
        <f t="shared" si="200"/>
        <v>0</v>
      </c>
    </row>
    <row r="12763" spans="3:4" ht="15" x14ac:dyDescent="0.25">
      <c r="C12763" s="8" t="e">
        <f>VLOOKUP(A:A,'ITEM LIST'!A:C,3,0)</f>
        <v>#N/A</v>
      </c>
      <c r="D12763" s="6">
        <f t="shared" si="200"/>
        <v>0</v>
      </c>
    </row>
    <row r="12764" spans="3:4" ht="15" x14ac:dyDescent="0.25">
      <c r="C12764" s="8" t="e">
        <f>VLOOKUP(A:A,'ITEM LIST'!A:C,3,0)</f>
        <v>#N/A</v>
      </c>
      <c r="D12764" s="6">
        <f t="shared" si="200"/>
        <v>0</v>
      </c>
    </row>
    <row r="12765" spans="3:4" ht="15" x14ac:dyDescent="0.25">
      <c r="C12765" s="8" t="e">
        <f>VLOOKUP(A:A,'ITEM LIST'!A:C,3,0)</f>
        <v>#N/A</v>
      </c>
      <c r="D12765" s="6">
        <f t="shared" si="200"/>
        <v>0</v>
      </c>
    </row>
    <row r="12766" spans="3:4" ht="15" x14ac:dyDescent="0.25">
      <c r="C12766" s="8" t="e">
        <f>VLOOKUP(A:A,'ITEM LIST'!A:C,3,0)</f>
        <v>#N/A</v>
      </c>
      <c r="D12766" s="6">
        <f t="shared" si="200"/>
        <v>0</v>
      </c>
    </row>
    <row r="12767" spans="3:4" ht="15" x14ac:dyDescent="0.25">
      <c r="C12767" s="8" t="e">
        <f>VLOOKUP(A:A,'ITEM LIST'!A:C,3,0)</f>
        <v>#N/A</v>
      </c>
      <c r="D12767" s="6">
        <f t="shared" si="200"/>
        <v>0</v>
      </c>
    </row>
    <row r="12768" spans="3:4" ht="15" x14ac:dyDescent="0.25">
      <c r="C12768" s="8" t="e">
        <f>VLOOKUP(A:A,'ITEM LIST'!A:C,3,0)</f>
        <v>#N/A</v>
      </c>
      <c r="D12768" s="6">
        <f t="shared" si="200"/>
        <v>0</v>
      </c>
    </row>
    <row r="12769" spans="3:4" ht="15" x14ac:dyDescent="0.25">
      <c r="C12769" s="8" t="e">
        <f>VLOOKUP(A:A,'ITEM LIST'!A:C,3,0)</f>
        <v>#N/A</v>
      </c>
      <c r="D12769" s="6">
        <f t="shared" si="200"/>
        <v>0</v>
      </c>
    </row>
    <row r="12770" spans="3:4" ht="15" x14ac:dyDescent="0.25">
      <c r="C12770" s="8" t="e">
        <f>VLOOKUP(A:A,'ITEM LIST'!A:C,3,0)</f>
        <v>#N/A</v>
      </c>
      <c r="D12770" s="6">
        <f t="shared" si="200"/>
        <v>0</v>
      </c>
    </row>
    <row r="12771" spans="3:4" ht="15" x14ac:dyDescent="0.25">
      <c r="C12771" s="8" t="e">
        <f>VLOOKUP(A:A,'ITEM LIST'!A:C,3,0)</f>
        <v>#N/A</v>
      </c>
      <c r="D12771" s="6">
        <f t="shared" si="200"/>
        <v>0</v>
      </c>
    </row>
    <row r="12772" spans="3:4" ht="15" x14ac:dyDescent="0.25">
      <c r="C12772" s="8" t="e">
        <f>VLOOKUP(A:A,'ITEM LIST'!A:C,3,0)</f>
        <v>#N/A</v>
      </c>
      <c r="D12772" s="6">
        <f t="shared" si="200"/>
        <v>0</v>
      </c>
    </row>
    <row r="12773" spans="3:4" ht="15" x14ac:dyDescent="0.25">
      <c r="C12773" s="8" t="e">
        <f>VLOOKUP(A:A,'ITEM LIST'!A:C,3,0)</f>
        <v>#N/A</v>
      </c>
      <c r="D12773" s="6">
        <f t="shared" si="200"/>
        <v>0</v>
      </c>
    </row>
    <row r="12774" spans="3:4" ht="15" x14ac:dyDescent="0.25">
      <c r="C12774" s="8" t="e">
        <f>VLOOKUP(A:A,'ITEM LIST'!A:C,3,0)</f>
        <v>#N/A</v>
      </c>
      <c r="D12774" s="6">
        <f t="shared" si="200"/>
        <v>0</v>
      </c>
    </row>
    <row r="12775" spans="3:4" ht="15" x14ac:dyDescent="0.25">
      <c r="C12775" s="8" t="e">
        <f>VLOOKUP(A:A,'ITEM LIST'!A:C,3,0)</f>
        <v>#N/A</v>
      </c>
      <c r="D12775" s="6">
        <f t="shared" si="200"/>
        <v>0</v>
      </c>
    </row>
    <row r="12776" spans="3:4" ht="15" x14ac:dyDescent="0.25">
      <c r="C12776" s="8" t="e">
        <f>VLOOKUP(A:A,'ITEM LIST'!A:C,3,0)</f>
        <v>#N/A</v>
      </c>
      <c r="D12776" s="6">
        <f t="shared" si="200"/>
        <v>0</v>
      </c>
    </row>
    <row r="12777" spans="3:4" ht="15" x14ac:dyDescent="0.25">
      <c r="C12777" s="8" t="e">
        <f>VLOOKUP(A:A,'ITEM LIST'!A:C,3,0)</f>
        <v>#N/A</v>
      </c>
      <c r="D12777" s="6">
        <f t="shared" si="200"/>
        <v>0</v>
      </c>
    </row>
    <row r="12778" spans="3:4" ht="15" x14ac:dyDescent="0.25">
      <c r="C12778" s="8" t="e">
        <f>VLOOKUP(A:A,'ITEM LIST'!A:C,3,0)</f>
        <v>#N/A</v>
      </c>
      <c r="D12778" s="6">
        <f t="shared" si="200"/>
        <v>0</v>
      </c>
    </row>
    <row r="12779" spans="3:4" ht="15" x14ac:dyDescent="0.25">
      <c r="C12779" s="8" t="e">
        <f>VLOOKUP(A:A,'ITEM LIST'!A:C,3,0)</f>
        <v>#N/A</v>
      </c>
      <c r="D12779" s="6">
        <f t="shared" si="200"/>
        <v>0</v>
      </c>
    </row>
    <row r="12780" spans="3:4" ht="15" x14ac:dyDescent="0.25">
      <c r="C12780" s="8" t="e">
        <f>VLOOKUP(A:A,'ITEM LIST'!A:C,3,0)</f>
        <v>#N/A</v>
      </c>
      <c r="D12780" s="6">
        <f t="shared" si="200"/>
        <v>0</v>
      </c>
    </row>
    <row r="12781" spans="3:4" ht="15" x14ac:dyDescent="0.25">
      <c r="C12781" s="8" t="e">
        <f>VLOOKUP(A:A,'ITEM LIST'!A:C,3,0)</f>
        <v>#N/A</v>
      </c>
      <c r="D12781" s="6">
        <f t="shared" si="200"/>
        <v>0</v>
      </c>
    </row>
    <row r="12782" spans="3:4" ht="15" x14ac:dyDescent="0.25">
      <c r="C12782" s="8" t="e">
        <f>VLOOKUP(A:A,'ITEM LIST'!A:C,3,0)</f>
        <v>#N/A</v>
      </c>
      <c r="D12782" s="6">
        <f t="shared" si="200"/>
        <v>0</v>
      </c>
    </row>
    <row r="12783" spans="3:4" ht="15" x14ac:dyDescent="0.25">
      <c r="C12783" s="8" t="e">
        <f>VLOOKUP(A:A,'ITEM LIST'!A:C,3,0)</f>
        <v>#N/A</v>
      </c>
      <c r="D12783" s="6">
        <f t="shared" si="200"/>
        <v>0</v>
      </c>
    </row>
    <row r="12784" spans="3:4" ht="15" x14ac:dyDescent="0.25">
      <c r="C12784" s="8" t="e">
        <f>VLOOKUP(A:A,'ITEM LIST'!A:C,3,0)</f>
        <v>#N/A</v>
      </c>
      <c r="D12784" s="6">
        <f t="shared" si="200"/>
        <v>0</v>
      </c>
    </row>
    <row r="12785" spans="3:4" ht="15" x14ac:dyDescent="0.25">
      <c r="C12785" s="8" t="e">
        <f>VLOOKUP(A:A,'ITEM LIST'!A:C,3,0)</f>
        <v>#N/A</v>
      </c>
      <c r="D12785" s="6">
        <f t="shared" si="200"/>
        <v>0</v>
      </c>
    </row>
    <row r="12786" spans="3:4" ht="15" x14ac:dyDescent="0.25">
      <c r="C12786" s="8" t="e">
        <f>VLOOKUP(A:A,'ITEM LIST'!A:C,3,0)</f>
        <v>#N/A</v>
      </c>
      <c r="D12786" s="6">
        <f t="shared" si="200"/>
        <v>0</v>
      </c>
    </row>
    <row r="12787" spans="3:4" ht="15" x14ac:dyDescent="0.25">
      <c r="C12787" s="8" t="e">
        <f>VLOOKUP(A:A,'ITEM LIST'!A:C,3,0)</f>
        <v>#N/A</v>
      </c>
      <c r="D12787" s="6">
        <f t="shared" si="200"/>
        <v>0</v>
      </c>
    </row>
    <row r="12788" spans="3:4" ht="15" x14ac:dyDescent="0.25">
      <c r="C12788" s="8" t="e">
        <f>VLOOKUP(A:A,'ITEM LIST'!A:C,3,0)</f>
        <v>#N/A</v>
      </c>
      <c r="D12788" s="6">
        <f t="shared" si="200"/>
        <v>0</v>
      </c>
    </row>
    <row r="12789" spans="3:4" ht="15" x14ac:dyDescent="0.25">
      <c r="C12789" s="8" t="e">
        <f>VLOOKUP(A:A,'ITEM LIST'!A:C,3,0)</f>
        <v>#N/A</v>
      </c>
      <c r="D12789" s="6">
        <f t="shared" si="200"/>
        <v>0</v>
      </c>
    </row>
    <row r="12790" spans="3:4" ht="15" x14ac:dyDescent="0.25">
      <c r="C12790" s="8" t="e">
        <f>VLOOKUP(A:A,'ITEM LIST'!A:C,3,0)</f>
        <v>#N/A</v>
      </c>
      <c r="D12790" s="6">
        <f t="shared" si="200"/>
        <v>0</v>
      </c>
    </row>
    <row r="12791" spans="3:4" ht="15" x14ac:dyDescent="0.25">
      <c r="C12791" s="8" t="e">
        <f>VLOOKUP(A:A,'ITEM LIST'!A:C,3,0)</f>
        <v>#N/A</v>
      </c>
      <c r="D12791" s="6">
        <f t="shared" si="200"/>
        <v>0</v>
      </c>
    </row>
    <row r="12792" spans="3:4" ht="15" x14ac:dyDescent="0.25">
      <c r="C12792" s="8" t="e">
        <f>VLOOKUP(A:A,'ITEM LIST'!A:C,3,0)</f>
        <v>#N/A</v>
      </c>
      <c r="D12792" s="6">
        <f t="shared" si="200"/>
        <v>0</v>
      </c>
    </row>
    <row r="12793" spans="3:4" ht="15" x14ac:dyDescent="0.25">
      <c r="C12793" s="8" t="e">
        <f>VLOOKUP(A:A,'ITEM LIST'!A:C,3,0)</f>
        <v>#N/A</v>
      </c>
      <c r="D12793" s="6">
        <f t="shared" si="200"/>
        <v>0</v>
      </c>
    </row>
    <row r="12794" spans="3:4" ht="15" x14ac:dyDescent="0.25">
      <c r="C12794" s="8" t="e">
        <f>VLOOKUP(A:A,'ITEM LIST'!A:C,3,0)</f>
        <v>#N/A</v>
      </c>
      <c r="D12794" s="6">
        <f t="shared" si="200"/>
        <v>0</v>
      </c>
    </row>
    <row r="12795" spans="3:4" ht="15" x14ac:dyDescent="0.25">
      <c r="C12795" s="8" t="e">
        <f>VLOOKUP(A:A,'ITEM LIST'!A:C,3,0)</f>
        <v>#N/A</v>
      </c>
      <c r="D12795" s="6">
        <f t="shared" si="200"/>
        <v>0</v>
      </c>
    </row>
    <row r="12796" spans="3:4" ht="15" x14ac:dyDescent="0.25">
      <c r="C12796" s="8" t="e">
        <f>VLOOKUP(A:A,'ITEM LIST'!A:C,3,0)</f>
        <v>#N/A</v>
      </c>
      <c r="D12796" s="6">
        <f t="shared" si="200"/>
        <v>0</v>
      </c>
    </row>
    <row r="12797" spans="3:4" ht="15" x14ac:dyDescent="0.25">
      <c r="C12797" s="8" t="e">
        <f>VLOOKUP(A:A,'ITEM LIST'!A:C,3,0)</f>
        <v>#N/A</v>
      </c>
      <c r="D12797" s="6">
        <f t="shared" si="200"/>
        <v>0</v>
      </c>
    </row>
    <row r="12798" spans="3:4" ht="15" x14ac:dyDescent="0.25">
      <c r="C12798" s="8" t="e">
        <f>VLOOKUP(A:A,'ITEM LIST'!A:C,3,0)</f>
        <v>#N/A</v>
      </c>
      <c r="D12798" s="6">
        <f t="shared" si="200"/>
        <v>0</v>
      </c>
    </row>
    <row r="12799" spans="3:4" ht="15" x14ac:dyDescent="0.25">
      <c r="C12799" s="8" t="e">
        <f>VLOOKUP(A:A,'ITEM LIST'!A:C,3,0)</f>
        <v>#N/A</v>
      </c>
      <c r="D12799" s="6">
        <f t="shared" si="200"/>
        <v>0</v>
      </c>
    </row>
    <row r="12800" spans="3:4" ht="15" x14ac:dyDescent="0.25">
      <c r="C12800" s="8" t="e">
        <f>VLOOKUP(A:A,'ITEM LIST'!A:C,3,0)</f>
        <v>#N/A</v>
      </c>
      <c r="D12800" s="6">
        <f t="shared" si="200"/>
        <v>0</v>
      </c>
    </row>
    <row r="12801" spans="3:4" ht="15" x14ac:dyDescent="0.25">
      <c r="C12801" s="8" t="e">
        <f>VLOOKUP(A:A,'ITEM LIST'!A:C,3,0)</f>
        <v>#N/A</v>
      </c>
      <c r="D12801" s="6">
        <f t="shared" si="200"/>
        <v>0</v>
      </c>
    </row>
    <row r="12802" spans="3:4" ht="15" x14ac:dyDescent="0.25">
      <c r="C12802" s="8" t="e">
        <f>VLOOKUP(A:A,'ITEM LIST'!A:C,3,0)</f>
        <v>#N/A</v>
      </c>
      <c r="D12802" s="6">
        <f t="shared" si="200"/>
        <v>0</v>
      </c>
    </row>
    <row r="12803" spans="3:4" ht="15" x14ac:dyDescent="0.25">
      <c r="C12803" s="8" t="e">
        <f>VLOOKUP(A:A,'ITEM LIST'!A:C,3,0)</f>
        <v>#N/A</v>
      </c>
      <c r="D12803" s="6">
        <f t="shared" si="200"/>
        <v>0</v>
      </c>
    </row>
    <row r="12804" spans="3:4" ht="15" x14ac:dyDescent="0.25">
      <c r="C12804" s="8" t="e">
        <f>VLOOKUP(A:A,'ITEM LIST'!A:C,3,0)</f>
        <v>#N/A</v>
      </c>
      <c r="D12804" s="6">
        <f t="shared" si="200"/>
        <v>0</v>
      </c>
    </row>
    <row r="12805" spans="3:4" ht="15" x14ac:dyDescent="0.25">
      <c r="C12805" s="8" t="e">
        <f>VLOOKUP(A:A,'ITEM LIST'!A:C,3,0)</f>
        <v>#N/A</v>
      </c>
      <c r="D12805" s="6">
        <f t="shared" si="200"/>
        <v>0</v>
      </c>
    </row>
    <row r="12806" spans="3:4" ht="15" x14ac:dyDescent="0.25">
      <c r="C12806" s="8" t="e">
        <f>VLOOKUP(A:A,'ITEM LIST'!A:C,3,0)</f>
        <v>#N/A</v>
      </c>
      <c r="D12806" s="6">
        <f t="shared" ref="D12806:D12869" si="201">B12806</f>
        <v>0</v>
      </c>
    </row>
    <row r="12807" spans="3:4" ht="15" x14ac:dyDescent="0.25">
      <c r="C12807" s="8" t="e">
        <f>VLOOKUP(A:A,'ITEM LIST'!A:C,3,0)</f>
        <v>#N/A</v>
      </c>
      <c r="D12807" s="6">
        <f t="shared" si="201"/>
        <v>0</v>
      </c>
    </row>
    <row r="12808" spans="3:4" ht="15" x14ac:dyDescent="0.25">
      <c r="C12808" s="8" t="e">
        <f>VLOOKUP(A:A,'ITEM LIST'!A:C,3,0)</f>
        <v>#N/A</v>
      </c>
      <c r="D12808" s="6">
        <f t="shared" si="201"/>
        <v>0</v>
      </c>
    </row>
    <row r="12809" spans="3:4" ht="15" x14ac:dyDescent="0.25">
      <c r="C12809" s="8" t="e">
        <f>VLOOKUP(A:A,'ITEM LIST'!A:C,3,0)</f>
        <v>#N/A</v>
      </c>
      <c r="D12809" s="6">
        <f t="shared" si="201"/>
        <v>0</v>
      </c>
    </row>
    <row r="12810" spans="3:4" ht="15" x14ac:dyDescent="0.25">
      <c r="C12810" s="8" t="e">
        <f>VLOOKUP(A:A,'ITEM LIST'!A:C,3,0)</f>
        <v>#N/A</v>
      </c>
      <c r="D12810" s="6">
        <f t="shared" si="201"/>
        <v>0</v>
      </c>
    </row>
    <row r="12811" spans="3:4" ht="15" x14ac:dyDescent="0.25">
      <c r="C12811" s="8" t="e">
        <f>VLOOKUP(A:A,'ITEM LIST'!A:C,3,0)</f>
        <v>#N/A</v>
      </c>
      <c r="D12811" s="6">
        <f t="shared" si="201"/>
        <v>0</v>
      </c>
    </row>
    <row r="12812" spans="3:4" ht="15" x14ac:dyDescent="0.25">
      <c r="C12812" s="8" t="e">
        <f>VLOOKUP(A:A,'ITEM LIST'!A:C,3,0)</f>
        <v>#N/A</v>
      </c>
      <c r="D12812" s="6">
        <f t="shared" si="201"/>
        <v>0</v>
      </c>
    </row>
    <row r="12813" spans="3:4" ht="15" x14ac:dyDescent="0.25">
      <c r="C12813" s="8" t="e">
        <f>VLOOKUP(A:A,'ITEM LIST'!A:C,3,0)</f>
        <v>#N/A</v>
      </c>
      <c r="D12813" s="6">
        <f t="shared" si="201"/>
        <v>0</v>
      </c>
    </row>
    <row r="12814" spans="3:4" ht="15" x14ac:dyDescent="0.25">
      <c r="C12814" s="8" t="e">
        <f>VLOOKUP(A:A,'ITEM LIST'!A:C,3,0)</f>
        <v>#N/A</v>
      </c>
      <c r="D12814" s="6">
        <f t="shared" si="201"/>
        <v>0</v>
      </c>
    </row>
    <row r="12815" spans="3:4" ht="15" x14ac:dyDescent="0.25">
      <c r="C12815" s="8" t="e">
        <f>VLOOKUP(A:A,'ITEM LIST'!A:C,3,0)</f>
        <v>#N/A</v>
      </c>
      <c r="D12815" s="6">
        <f t="shared" si="201"/>
        <v>0</v>
      </c>
    </row>
    <row r="12816" spans="3:4" ht="15" x14ac:dyDescent="0.25">
      <c r="C12816" s="8" t="e">
        <f>VLOOKUP(A:A,'ITEM LIST'!A:C,3,0)</f>
        <v>#N/A</v>
      </c>
      <c r="D12816" s="6">
        <f t="shared" si="201"/>
        <v>0</v>
      </c>
    </row>
    <row r="12817" spans="3:4" ht="15" x14ac:dyDescent="0.25">
      <c r="C12817" s="8" t="e">
        <f>VLOOKUP(A:A,'ITEM LIST'!A:C,3,0)</f>
        <v>#N/A</v>
      </c>
      <c r="D12817" s="6">
        <f t="shared" si="201"/>
        <v>0</v>
      </c>
    </row>
    <row r="12818" spans="3:4" ht="15" x14ac:dyDescent="0.25">
      <c r="C12818" s="8" t="e">
        <f>VLOOKUP(A:A,'ITEM LIST'!A:C,3,0)</f>
        <v>#N/A</v>
      </c>
      <c r="D12818" s="6">
        <f t="shared" si="201"/>
        <v>0</v>
      </c>
    </row>
    <row r="12819" spans="3:4" ht="15" x14ac:dyDescent="0.25">
      <c r="C12819" s="8" t="e">
        <f>VLOOKUP(A:A,'ITEM LIST'!A:C,3,0)</f>
        <v>#N/A</v>
      </c>
      <c r="D12819" s="6">
        <f t="shared" si="201"/>
        <v>0</v>
      </c>
    </row>
    <row r="12820" spans="3:4" ht="15" x14ac:dyDescent="0.25">
      <c r="C12820" s="8" t="e">
        <f>VLOOKUP(A:A,'ITEM LIST'!A:C,3,0)</f>
        <v>#N/A</v>
      </c>
      <c r="D12820" s="6">
        <f t="shared" si="201"/>
        <v>0</v>
      </c>
    </row>
    <row r="12821" spans="3:4" ht="15" x14ac:dyDescent="0.25">
      <c r="C12821" s="8" t="e">
        <f>VLOOKUP(A:A,'ITEM LIST'!A:C,3,0)</f>
        <v>#N/A</v>
      </c>
      <c r="D12821" s="6">
        <f t="shared" si="201"/>
        <v>0</v>
      </c>
    </row>
    <row r="12822" spans="3:4" ht="15" x14ac:dyDescent="0.25">
      <c r="C12822" s="8" t="e">
        <f>VLOOKUP(A:A,'ITEM LIST'!A:C,3,0)</f>
        <v>#N/A</v>
      </c>
      <c r="D12822" s="6">
        <f t="shared" si="201"/>
        <v>0</v>
      </c>
    </row>
    <row r="12823" spans="3:4" ht="15" x14ac:dyDescent="0.25">
      <c r="C12823" s="8" t="e">
        <f>VLOOKUP(A:A,'ITEM LIST'!A:C,3,0)</f>
        <v>#N/A</v>
      </c>
      <c r="D12823" s="6">
        <f t="shared" si="201"/>
        <v>0</v>
      </c>
    </row>
    <row r="12824" spans="3:4" ht="15" x14ac:dyDescent="0.25">
      <c r="C12824" s="8" t="e">
        <f>VLOOKUP(A:A,'ITEM LIST'!A:C,3,0)</f>
        <v>#N/A</v>
      </c>
      <c r="D12824" s="6">
        <f t="shared" si="201"/>
        <v>0</v>
      </c>
    </row>
    <row r="12825" spans="3:4" ht="15" x14ac:dyDescent="0.25">
      <c r="C12825" s="8" t="e">
        <f>VLOOKUP(A:A,'ITEM LIST'!A:C,3,0)</f>
        <v>#N/A</v>
      </c>
      <c r="D12825" s="6">
        <f t="shared" si="201"/>
        <v>0</v>
      </c>
    </row>
    <row r="12826" spans="3:4" ht="15" x14ac:dyDescent="0.25">
      <c r="C12826" s="8" t="e">
        <f>VLOOKUP(A:A,'ITEM LIST'!A:C,3,0)</f>
        <v>#N/A</v>
      </c>
      <c r="D12826" s="6">
        <f t="shared" si="201"/>
        <v>0</v>
      </c>
    </row>
    <row r="12827" spans="3:4" ht="15" x14ac:dyDescent="0.25">
      <c r="C12827" s="8" t="e">
        <f>VLOOKUP(A:A,'ITEM LIST'!A:C,3,0)</f>
        <v>#N/A</v>
      </c>
      <c r="D12827" s="6">
        <f t="shared" si="201"/>
        <v>0</v>
      </c>
    </row>
    <row r="12828" spans="3:4" ht="15" x14ac:dyDescent="0.25">
      <c r="C12828" s="8" t="e">
        <f>VLOOKUP(A:A,'ITEM LIST'!A:C,3,0)</f>
        <v>#N/A</v>
      </c>
      <c r="D12828" s="6">
        <f t="shared" si="201"/>
        <v>0</v>
      </c>
    </row>
    <row r="12829" spans="3:4" ht="15" x14ac:dyDescent="0.25">
      <c r="C12829" s="8" t="e">
        <f>VLOOKUP(A:A,'ITEM LIST'!A:C,3,0)</f>
        <v>#N/A</v>
      </c>
      <c r="D12829" s="6">
        <f t="shared" si="201"/>
        <v>0</v>
      </c>
    </row>
    <row r="12830" spans="3:4" ht="15" x14ac:dyDescent="0.25">
      <c r="C12830" s="8" t="e">
        <f>VLOOKUP(A:A,'ITEM LIST'!A:C,3,0)</f>
        <v>#N/A</v>
      </c>
      <c r="D12830" s="6">
        <f t="shared" si="201"/>
        <v>0</v>
      </c>
    </row>
    <row r="12831" spans="3:4" ht="15" x14ac:dyDescent="0.25">
      <c r="C12831" s="8" t="e">
        <f>VLOOKUP(A:A,'ITEM LIST'!A:C,3,0)</f>
        <v>#N/A</v>
      </c>
      <c r="D12831" s="6">
        <f t="shared" si="201"/>
        <v>0</v>
      </c>
    </row>
    <row r="12832" spans="3:4" ht="15" x14ac:dyDescent="0.25">
      <c r="C12832" s="8" t="e">
        <f>VLOOKUP(A:A,'ITEM LIST'!A:C,3,0)</f>
        <v>#N/A</v>
      </c>
      <c r="D12832" s="6">
        <f t="shared" si="201"/>
        <v>0</v>
      </c>
    </row>
    <row r="12833" spans="3:4" ht="15" x14ac:dyDescent="0.25">
      <c r="C12833" s="8" t="e">
        <f>VLOOKUP(A:A,'ITEM LIST'!A:C,3,0)</f>
        <v>#N/A</v>
      </c>
      <c r="D12833" s="6">
        <f t="shared" si="201"/>
        <v>0</v>
      </c>
    </row>
    <row r="12834" spans="3:4" ht="15" x14ac:dyDescent="0.25">
      <c r="C12834" s="8" t="e">
        <f>VLOOKUP(A:A,'ITEM LIST'!A:C,3,0)</f>
        <v>#N/A</v>
      </c>
      <c r="D12834" s="6">
        <f t="shared" si="201"/>
        <v>0</v>
      </c>
    </row>
    <row r="12835" spans="3:4" ht="15" x14ac:dyDescent="0.25">
      <c r="C12835" s="8" t="e">
        <f>VLOOKUP(A:A,'ITEM LIST'!A:C,3,0)</f>
        <v>#N/A</v>
      </c>
      <c r="D12835" s="6">
        <f t="shared" si="201"/>
        <v>0</v>
      </c>
    </row>
    <row r="12836" spans="3:4" ht="15" x14ac:dyDescent="0.25">
      <c r="C12836" s="8" t="e">
        <f>VLOOKUP(A:A,'ITEM LIST'!A:C,3,0)</f>
        <v>#N/A</v>
      </c>
      <c r="D12836" s="6">
        <f t="shared" si="201"/>
        <v>0</v>
      </c>
    </row>
    <row r="12837" spans="3:4" ht="15" x14ac:dyDescent="0.25">
      <c r="C12837" s="8" t="e">
        <f>VLOOKUP(A:A,'ITEM LIST'!A:C,3,0)</f>
        <v>#N/A</v>
      </c>
      <c r="D12837" s="6">
        <f t="shared" si="201"/>
        <v>0</v>
      </c>
    </row>
    <row r="12838" spans="3:4" ht="15" x14ac:dyDescent="0.25">
      <c r="C12838" s="8" t="e">
        <f>VLOOKUP(A:A,'ITEM LIST'!A:C,3,0)</f>
        <v>#N/A</v>
      </c>
      <c r="D12838" s="6">
        <f t="shared" si="201"/>
        <v>0</v>
      </c>
    </row>
    <row r="12839" spans="3:4" ht="15" x14ac:dyDescent="0.25">
      <c r="C12839" s="8" t="e">
        <f>VLOOKUP(A:A,'ITEM LIST'!A:C,3,0)</f>
        <v>#N/A</v>
      </c>
      <c r="D12839" s="6">
        <f t="shared" si="201"/>
        <v>0</v>
      </c>
    </row>
    <row r="12840" spans="3:4" ht="15" x14ac:dyDescent="0.25">
      <c r="C12840" s="8" t="e">
        <f>VLOOKUP(A:A,'ITEM LIST'!A:C,3,0)</f>
        <v>#N/A</v>
      </c>
      <c r="D12840" s="6">
        <f t="shared" si="201"/>
        <v>0</v>
      </c>
    </row>
    <row r="12841" spans="3:4" ht="15" x14ac:dyDescent="0.25">
      <c r="C12841" s="8" t="e">
        <f>VLOOKUP(A:A,'ITEM LIST'!A:C,3,0)</f>
        <v>#N/A</v>
      </c>
      <c r="D12841" s="6">
        <f t="shared" si="201"/>
        <v>0</v>
      </c>
    </row>
    <row r="12842" spans="3:4" ht="15" x14ac:dyDescent="0.25">
      <c r="C12842" s="8" t="e">
        <f>VLOOKUP(A:A,'ITEM LIST'!A:C,3,0)</f>
        <v>#N/A</v>
      </c>
      <c r="D12842" s="6">
        <f t="shared" si="201"/>
        <v>0</v>
      </c>
    </row>
    <row r="12843" spans="3:4" ht="15" x14ac:dyDescent="0.25">
      <c r="C12843" s="8" t="e">
        <f>VLOOKUP(A:A,'ITEM LIST'!A:C,3,0)</f>
        <v>#N/A</v>
      </c>
      <c r="D12843" s="6">
        <f t="shared" si="201"/>
        <v>0</v>
      </c>
    </row>
    <row r="12844" spans="3:4" ht="15" x14ac:dyDescent="0.25">
      <c r="C12844" s="8" t="e">
        <f>VLOOKUP(A:A,'ITEM LIST'!A:C,3,0)</f>
        <v>#N/A</v>
      </c>
      <c r="D12844" s="6">
        <f t="shared" si="201"/>
        <v>0</v>
      </c>
    </row>
    <row r="12845" spans="3:4" ht="15" x14ac:dyDescent="0.25">
      <c r="C12845" s="8" t="e">
        <f>VLOOKUP(A:A,'ITEM LIST'!A:C,3,0)</f>
        <v>#N/A</v>
      </c>
      <c r="D12845" s="6">
        <f t="shared" si="201"/>
        <v>0</v>
      </c>
    </row>
    <row r="12846" spans="3:4" ht="15" x14ac:dyDescent="0.25">
      <c r="C12846" s="8" t="e">
        <f>VLOOKUP(A:A,'ITEM LIST'!A:C,3,0)</f>
        <v>#N/A</v>
      </c>
      <c r="D12846" s="6">
        <f t="shared" si="201"/>
        <v>0</v>
      </c>
    </row>
    <row r="12847" spans="3:4" ht="15" x14ac:dyDescent="0.25">
      <c r="C12847" s="8" t="e">
        <f>VLOOKUP(A:A,'ITEM LIST'!A:C,3,0)</f>
        <v>#N/A</v>
      </c>
      <c r="D12847" s="6">
        <f t="shared" si="201"/>
        <v>0</v>
      </c>
    </row>
    <row r="12848" spans="3:4" ht="15" x14ac:dyDescent="0.25">
      <c r="C12848" s="8" t="e">
        <f>VLOOKUP(A:A,'ITEM LIST'!A:C,3,0)</f>
        <v>#N/A</v>
      </c>
      <c r="D12848" s="6">
        <f t="shared" si="201"/>
        <v>0</v>
      </c>
    </row>
    <row r="12849" spans="3:4" ht="15" x14ac:dyDescent="0.25">
      <c r="C12849" s="8" t="e">
        <f>VLOOKUP(A:A,'ITEM LIST'!A:C,3,0)</f>
        <v>#N/A</v>
      </c>
      <c r="D12849" s="6">
        <f t="shared" si="201"/>
        <v>0</v>
      </c>
    </row>
    <row r="12850" spans="3:4" ht="15" x14ac:dyDescent="0.25">
      <c r="C12850" s="8" t="e">
        <f>VLOOKUP(A:A,'ITEM LIST'!A:C,3,0)</f>
        <v>#N/A</v>
      </c>
      <c r="D12850" s="6">
        <f t="shared" si="201"/>
        <v>0</v>
      </c>
    </row>
    <row r="12851" spans="3:4" ht="15" x14ac:dyDescent="0.25">
      <c r="C12851" s="8" t="e">
        <f>VLOOKUP(A:A,'ITEM LIST'!A:C,3,0)</f>
        <v>#N/A</v>
      </c>
      <c r="D12851" s="6">
        <f t="shared" si="201"/>
        <v>0</v>
      </c>
    </row>
    <row r="12852" spans="3:4" ht="15" x14ac:dyDescent="0.25">
      <c r="C12852" s="8" t="e">
        <f>VLOOKUP(A:A,'ITEM LIST'!A:C,3,0)</f>
        <v>#N/A</v>
      </c>
      <c r="D12852" s="6">
        <f t="shared" si="201"/>
        <v>0</v>
      </c>
    </row>
    <row r="12853" spans="3:4" ht="15" x14ac:dyDescent="0.25">
      <c r="C12853" s="8" t="e">
        <f>VLOOKUP(A:A,'ITEM LIST'!A:C,3,0)</f>
        <v>#N/A</v>
      </c>
      <c r="D12853" s="6">
        <f t="shared" si="201"/>
        <v>0</v>
      </c>
    </row>
    <row r="12854" spans="3:4" ht="15" x14ac:dyDescent="0.25">
      <c r="C12854" s="8" t="e">
        <f>VLOOKUP(A:A,'ITEM LIST'!A:C,3,0)</f>
        <v>#N/A</v>
      </c>
      <c r="D12854" s="6">
        <f t="shared" si="201"/>
        <v>0</v>
      </c>
    </row>
    <row r="12855" spans="3:4" ht="15" x14ac:dyDescent="0.25">
      <c r="C12855" s="8" t="e">
        <f>VLOOKUP(A:A,'ITEM LIST'!A:C,3,0)</f>
        <v>#N/A</v>
      </c>
      <c r="D12855" s="6">
        <f t="shared" si="201"/>
        <v>0</v>
      </c>
    </row>
    <row r="12856" spans="3:4" ht="15" x14ac:dyDescent="0.25">
      <c r="C12856" s="8" t="e">
        <f>VLOOKUP(A:A,'ITEM LIST'!A:C,3,0)</f>
        <v>#N/A</v>
      </c>
      <c r="D12856" s="6">
        <f t="shared" si="201"/>
        <v>0</v>
      </c>
    </row>
    <row r="12857" spans="3:4" ht="15" x14ac:dyDescent="0.25">
      <c r="C12857" s="8" t="e">
        <f>VLOOKUP(A:A,'ITEM LIST'!A:C,3,0)</f>
        <v>#N/A</v>
      </c>
      <c r="D12857" s="6">
        <f t="shared" si="201"/>
        <v>0</v>
      </c>
    </row>
    <row r="12858" spans="3:4" ht="15" x14ac:dyDescent="0.25">
      <c r="C12858" s="8" t="e">
        <f>VLOOKUP(A:A,'ITEM LIST'!A:C,3,0)</f>
        <v>#N/A</v>
      </c>
      <c r="D12858" s="6">
        <f t="shared" si="201"/>
        <v>0</v>
      </c>
    </row>
    <row r="12859" spans="3:4" ht="15" x14ac:dyDescent="0.25">
      <c r="C12859" s="8" t="e">
        <f>VLOOKUP(A:A,'ITEM LIST'!A:C,3,0)</f>
        <v>#N/A</v>
      </c>
      <c r="D12859" s="6">
        <f t="shared" si="201"/>
        <v>0</v>
      </c>
    </row>
    <row r="12860" spans="3:4" ht="15" x14ac:dyDescent="0.25">
      <c r="C12860" s="8" t="e">
        <f>VLOOKUP(A:A,'ITEM LIST'!A:C,3,0)</f>
        <v>#N/A</v>
      </c>
      <c r="D12860" s="6">
        <f t="shared" si="201"/>
        <v>0</v>
      </c>
    </row>
    <row r="12861" spans="3:4" ht="15" x14ac:dyDescent="0.25">
      <c r="C12861" s="8" t="e">
        <f>VLOOKUP(A:A,'ITEM LIST'!A:C,3,0)</f>
        <v>#N/A</v>
      </c>
      <c r="D12861" s="6">
        <f t="shared" si="201"/>
        <v>0</v>
      </c>
    </row>
    <row r="12862" spans="3:4" ht="15" x14ac:dyDescent="0.25">
      <c r="C12862" s="8" t="e">
        <f>VLOOKUP(A:A,'ITEM LIST'!A:C,3,0)</f>
        <v>#N/A</v>
      </c>
      <c r="D12862" s="6">
        <f t="shared" si="201"/>
        <v>0</v>
      </c>
    </row>
    <row r="12863" spans="3:4" ht="15" x14ac:dyDescent="0.25">
      <c r="C12863" s="8" t="e">
        <f>VLOOKUP(A:A,'ITEM LIST'!A:C,3,0)</f>
        <v>#N/A</v>
      </c>
      <c r="D12863" s="6">
        <f t="shared" si="201"/>
        <v>0</v>
      </c>
    </row>
    <row r="12864" spans="3:4" ht="15" x14ac:dyDescent="0.25">
      <c r="C12864" s="8" t="e">
        <f>VLOOKUP(A:A,'ITEM LIST'!A:C,3,0)</f>
        <v>#N/A</v>
      </c>
      <c r="D12864" s="6">
        <f t="shared" si="201"/>
        <v>0</v>
      </c>
    </row>
    <row r="12865" spans="3:4" ht="15" x14ac:dyDescent="0.25">
      <c r="C12865" s="8" t="e">
        <f>VLOOKUP(A:A,'ITEM LIST'!A:C,3,0)</f>
        <v>#N/A</v>
      </c>
      <c r="D12865" s="6">
        <f t="shared" si="201"/>
        <v>0</v>
      </c>
    </row>
    <row r="12866" spans="3:4" ht="15" x14ac:dyDescent="0.25">
      <c r="C12866" s="8" t="e">
        <f>VLOOKUP(A:A,'ITEM LIST'!A:C,3,0)</f>
        <v>#N/A</v>
      </c>
      <c r="D12866" s="6">
        <f t="shared" si="201"/>
        <v>0</v>
      </c>
    </row>
    <row r="12867" spans="3:4" ht="15" x14ac:dyDescent="0.25">
      <c r="C12867" s="8" t="e">
        <f>VLOOKUP(A:A,'ITEM LIST'!A:C,3,0)</f>
        <v>#N/A</v>
      </c>
      <c r="D12867" s="6">
        <f t="shared" si="201"/>
        <v>0</v>
      </c>
    </row>
    <row r="12868" spans="3:4" ht="15" x14ac:dyDescent="0.25">
      <c r="C12868" s="8" t="e">
        <f>VLOOKUP(A:A,'ITEM LIST'!A:C,3,0)</f>
        <v>#N/A</v>
      </c>
      <c r="D12868" s="6">
        <f t="shared" si="201"/>
        <v>0</v>
      </c>
    </row>
    <row r="12869" spans="3:4" ht="15" x14ac:dyDescent="0.25">
      <c r="C12869" s="8" t="e">
        <f>VLOOKUP(A:A,'ITEM LIST'!A:C,3,0)</f>
        <v>#N/A</v>
      </c>
      <c r="D12869" s="6">
        <f t="shared" si="201"/>
        <v>0</v>
      </c>
    </row>
    <row r="12870" spans="3:4" ht="15" x14ac:dyDescent="0.25">
      <c r="C12870" s="8" t="e">
        <f>VLOOKUP(A:A,'ITEM LIST'!A:C,3,0)</f>
        <v>#N/A</v>
      </c>
      <c r="D12870" s="6">
        <f t="shared" ref="D12870:D12933" si="202">B12870</f>
        <v>0</v>
      </c>
    </row>
    <row r="12871" spans="3:4" ht="15" x14ac:dyDescent="0.25">
      <c r="C12871" s="8" t="e">
        <f>VLOOKUP(A:A,'ITEM LIST'!A:C,3,0)</f>
        <v>#N/A</v>
      </c>
      <c r="D12871" s="6">
        <f t="shared" si="202"/>
        <v>0</v>
      </c>
    </row>
    <row r="12872" spans="3:4" ht="15" x14ac:dyDescent="0.25">
      <c r="C12872" s="8" t="e">
        <f>VLOOKUP(A:A,'ITEM LIST'!A:C,3,0)</f>
        <v>#N/A</v>
      </c>
      <c r="D12872" s="6">
        <f t="shared" si="202"/>
        <v>0</v>
      </c>
    </row>
    <row r="12873" spans="3:4" ht="15" x14ac:dyDescent="0.25">
      <c r="C12873" s="8" t="e">
        <f>VLOOKUP(A:A,'ITEM LIST'!A:C,3,0)</f>
        <v>#N/A</v>
      </c>
      <c r="D12873" s="6">
        <f t="shared" si="202"/>
        <v>0</v>
      </c>
    </row>
    <row r="12874" spans="3:4" ht="15" x14ac:dyDescent="0.25">
      <c r="C12874" s="8" t="e">
        <f>VLOOKUP(A:A,'ITEM LIST'!A:C,3,0)</f>
        <v>#N/A</v>
      </c>
      <c r="D12874" s="6">
        <f t="shared" si="202"/>
        <v>0</v>
      </c>
    </row>
    <row r="12875" spans="3:4" ht="15" x14ac:dyDescent="0.25">
      <c r="C12875" s="8" t="e">
        <f>VLOOKUP(A:A,'ITEM LIST'!A:C,3,0)</f>
        <v>#N/A</v>
      </c>
      <c r="D12875" s="6">
        <f t="shared" si="202"/>
        <v>0</v>
      </c>
    </row>
    <row r="12876" spans="3:4" ht="15" x14ac:dyDescent="0.25">
      <c r="C12876" s="8" t="e">
        <f>VLOOKUP(A:A,'ITEM LIST'!A:C,3,0)</f>
        <v>#N/A</v>
      </c>
      <c r="D12876" s="6">
        <f t="shared" si="202"/>
        <v>0</v>
      </c>
    </row>
    <row r="12877" spans="3:4" ht="15" x14ac:dyDescent="0.25">
      <c r="C12877" s="8" t="e">
        <f>VLOOKUP(A:A,'ITEM LIST'!A:C,3,0)</f>
        <v>#N/A</v>
      </c>
      <c r="D12877" s="6">
        <f t="shared" si="202"/>
        <v>0</v>
      </c>
    </row>
    <row r="12878" spans="3:4" ht="15" x14ac:dyDescent="0.25">
      <c r="C12878" s="8" t="e">
        <f>VLOOKUP(A:A,'ITEM LIST'!A:C,3,0)</f>
        <v>#N/A</v>
      </c>
      <c r="D12878" s="6">
        <f t="shared" si="202"/>
        <v>0</v>
      </c>
    </row>
    <row r="12879" spans="3:4" ht="15" x14ac:dyDescent="0.25">
      <c r="C12879" s="8" t="e">
        <f>VLOOKUP(A:A,'ITEM LIST'!A:C,3,0)</f>
        <v>#N/A</v>
      </c>
      <c r="D12879" s="6">
        <f t="shared" si="202"/>
        <v>0</v>
      </c>
    </row>
    <row r="12880" spans="3:4" ht="15" x14ac:dyDescent="0.25">
      <c r="C12880" s="8" t="e">
        <f>VLOOKUP(A:A,'ITEM LIST'!A:C,3,0)</f>
        <v>#N/A</v>
      </c>
      <c r="D12880" s="6">
        <f t="shared" si="202"/>
        <v>0</v>
      </c>
    </row>
    <row r="12881" spans="3:4" ht="15" x14ac:dyDescent="0.25">
      <c r="C12881" s="8" t="e">
        <f>VLOOKUP(A:A,'ITEM LIST'!A:C,3,0)</f>
        <v>#N/A</v>
      </c>
      <c r="D12881" s="6">
        <f t="shared" si="202"/>
        <v>0</v>
      </c>
    </row>
    <row r="12882" spans="3:4" ht="15" x14ac:dyDescent="0.25">
      <c r="C12882" s="8" t="e">
        <f>VLOOKUP(A:A,'ITEM LIST'!A:C,3,0)</f>
        <v>#N/A</v>
      </c>
      <c r="D12882" s="6">
        <f t="shared" si="202"/>
        <v>0</v>
      </c>
    </row>
    <row r="12883" spans="3:4" ht="15" x14ac:dyDescent="0.25">
      <c r="C12883" s="8" t="e">
        <f>VLOOKUP(A:A,'ITEM LIST'!A:C,3,0)</f>
        <v>#N/A</v>
      </c>
      <c r="D12883" s="6">
        <f t="shared" si="202"/>
        <v>0</v>
      </c>
    </row>
    <row r="12884" spans="3:4" ht="15" x14ac:dyDescent="0.25">
      <c r="C12884" s="8" t="e">
        <f>VLOOKUP(A:A,'ITEM LIST'!A:C,3,0)</f>
        <v>#N/A</v>
      </c>
      <c r="D12884" s="6">
        <f t="shared" si="202"/>
        <v>0</v>
      </c>
    </row>
    <row r="12885" spans="3:4" ht="15" x14ac:dyDescent="0.25">
      <c r="C12885" s="8" t="e">
        <f>VLOOKUP(A:A,'ITEM LIST'!A:C,3,0)</f>
        <v>#N/A</v>
      </c>
      <c r="D12885" s="6">
        <f t="shared" si="202"/>
        <v>0</v>
      </c>
    </row>
    <row r="12886" spans="3:4" ht="15" x14ac:dyDescent="0.25">
      <c r="C12886" s="8" t="e">
        <f>VLOOKUP(A:A,'ITEM LIST'!A:C,3,0)</f>
        <v>#N/A</v>
      </c>
      <c r="D12886" s="6">
        <f t="shared" si="202"/>
        <v>0</v>
      </c>
    </row>
    <row r="12887" spans="3:4" ht="15" x14ac:dyDescent="0.25">
      <c r="C12887" s="8" t="e">
        <f>VLOOKUP(A:A,'ITEM LIST'!A:C,3,0)</f>
        <v>#N/A</v>
      </c>
      <c r="D12887" s="6">
        <f t="shared" si="202"/>
        <v>0</v>
      </c>
    </row>
    <row r="12888" spans="3:4" ht="15" x14ac:dyDescent="0.25">
      <c r="C12888" s="8" t="e">
        <f>VLOOKUP(A:A,'ITEM LIST'!A:C,3,0)</f>
        <v>#N/A</v>
      </c>
      <c r="D12888" s="6">
        <f t="shared" si="202"/>
        <v>0</v>
      </c>
    </row>
    <row r="12889" spans="3:4" ht="15" x14ac:dyDescent="0.25">
      <c r="C12889" s="8" t="e">
        <f>VLOOKUP(A:A,'ITEM LIST'!A:C,3,0)</f>
        <v>#N/A</v>
      </c>
      <c r="D12889" s="6">
        <f t="shared" si="202"/>
        <v>0</v>
      </c>
    </row>
    <row r="12890" spans="3:4" ht="15" x14ac:dyDescent="0.25">
      <c r="C12890" s="8" t="e">
        <f>VLOOKUP(A:A,'ITEM LIST'!A:C,3,0)</f>
        <v>#N/A</v>
      </c>
      <c r="D12890" s="6">
        <f t="shared" si="202"/>
        <v>0</v>
      </c>
    </row>
    <row r="12891" spans="3:4" ht="15" x14ac:dyDescent="0.25">
      <c r="C12891" s="8" t="e">
        <f>VLOOKUP(A:A,'ITEM LIST'!A:C,3,0)</f>
        <v>#N/A</v>
      </c>
      <c r="D12891" s="6">
        <f t="shared" si="202"/>
        <v>0</v>
      </c>
    </row>
    <row r="12892" spans="3:4" ht="15" x14ac:dyDescent="0.25">
      <c r="C12892" s="8" t="e">
        <f>VLOOKUP(A:A,'ITEM LIST'!A:C,3,0)</f>
        <v>#N/A</v>
      </c>
      <c r="D12892" s="6">
        <f t="shared" si="202"/>
        <v>0</v>
      </c>
    </row>
    <row r="12893" spans="3:4" ht="15" x14ac:dyDescent="0.25">
      <c r="C12893" s="8" t="e">
        <f>VLOOKUP(A:A,'ITEM LIST'!A:C,3,0)</f>
        <v>#N/A</v>
      </c>
      <c r="D12893" s="6">
        <f t="shared" si="202"/>
        <v>0</v>
      </c>
    </row>
    <row r="12894" spans="3:4" ht="15" x14ac:dyDescent="0.25">
      <c r="C12894" s="8" t="e">
        <f>VLOOKUP(A:A,'ITEM LIST'!A:C,3,0)</f>
        <v>#N/A</v>
      </c>
      <c r="D12894" s="6">
        <f t="shared" si="202"/>
        <v>0</v>
      </c>
    </row>
    <row r="12895" spans="3:4" ht="15" x14ac:dyDescent="0.25">
      <c r="C12895" s="8" t="e">
        <f>VLOOKUP(A:A,'ITEM LIST'!A:C,3,0)</f>
        <v>#N/A</v>
      </c>
      <c r="D12895" s="6">
        <f t="shared" si="202"/>
        <v>0</v>
      </c>
    </row>
    <row r="12896" spans="3:4" ht="15" x14ac:dyDescent="0.25">
      <c r="C12896" s="8" t="e">
        <f>VLOOKUP(A:A,'ITEM LIST'!A:C,3,0)</f>
        <v>#N/A</v>
      </c>
      <c r="D12896" s="6">
        <f t="shared" si="202"/>
        <v>0</v>
      </c>
    </row>
    <row r="12897" spans="3:4" ht="15" x14ac:dyDescent="0.25">
      <c r="C12897" s="8" t="e">
        <f>VLOOKUP(A:A,'ITEM LIST'!A:C,3,0)</f>
        <v>#N/A</v>
      </c>
      <c r="D12897" s="6">
        <f t="shared" si="202"/>
        <v>0</v>
      </c>
    </row>
    <row r="12898" spans="3:4" ht="15" x14ac:dyDescent="0.25">
      <c r="C12898" s="8" t="e">
        <f>VLOOKUP(A:A,'ITEM LIST'!A:C,3,0)</f>
        <v>#N/A</v>
      </c>
      <c r="D12898" s="6">
        <f t="shared" si="202"/>
        <v>0</v>
      </c>
    </row>
    <row r="12899" spans="3:4" ht="15" x14ac:dyDescent="0.25">
      <c r="C12899" s="8" t="e">
        <f>VLOOKUP(A:A,'ITEM LIST'!A:C,3,0)</f>
        <v>#N/A</v>
      </c>
      <c r="D12899" s="6">
        <f t="shared" si="202"/>
        <v>0</v>
      </c>
    </row>
    <row r="12900" spans="3:4" ht="15" x14ac:dyDescent="0.25">
      <c r="C12900" s="8" t="e">
        <f>VLOOKUP(A:A,'ITEM LIST'!A:C,3,0)</f>
        <v>#N/A</v>
      </c>
      <c r="D12900" s="6">
        <f t="shared" si="202"/>
        <v>0</v>
      </c>
    </row>
    <row r="12901" spans="3:4" ht="15" x14ac:dyDescent="0.25">
      <c r="C12901" s="8" t="e">
        <f>VLOOKUP(A:A,'ITEM LIST'!A:C,3,0)</f>
        <v>#N/A</v>
      </c>
      <c r="D12901" s="6">
        <f t="shared" si="202"/>
        <v>0</v>
      </c>
    </row>
    <row r="12902" spans="3:4" ht="15" x14ac:dyDescent="0.25">
      <c r="C12902" s="8" t="e">
        <f>VLOOKUP(A:A,'ITEM LIST'!A:C,3,0)</f>
        <v>#N/A</v>
      </c>
      <c r="D12902" s="6">
        <f t="shared" si="202"/>
        <v>0</v>
      </c>
    </row>
    <row r="12903" spans="3:4" ht="15" x14ac:dyDescent="0.25">
      <c r="C12903" s="8" t="e">
        <f>VLOOKUP(A:A,'ITEM LIST'!A:C,3,0)</f>
        <v>#N/A</v>
      </c>
      <c r="D12903" s="6">
        <f t="shared" si="202"/>
        <v>0</v>
      </c>
    </row>
    <row r="12904" spans="3:4" ht="15" x14ac:dyDescent="0.25">
      <c r="C12904" s="8" t="e">
        <f>VLOOKUP(A:A,'ITEM LIST'!A:C,3,0)</f>
        <v>#N/A</v>
      </c>
      <c r="D12904" s="6">
        <f t="shared" si="202"/>
        <v>0</v>
      </c>
    </row>
    <row r="12905" spans="3:4" ht="15" x14ac:dyDescent="0.25">
      <c r="C12905" s="8" t="e">
        <f>VLOOKUP(A:A,'ITEM LIST'!A:C,3,0)</f>
        <v>#N/A</v>
      </c>
      <c r="D12905" s="6">
        <f t="shared" si="202"/>
        <v>0</v>
      </c>
    </row>
    <row r="12906" spans="3:4" ht="15" x14ac:dyDescent="0.25">
      <c r="C12906" s="8" t="e">
        <f>VLOOKUP(A:A,'ITEM LIST'!A:C,3,0)</f>
        <v>#N/A</v>
      </c>
      <c r="D12906" s="6">
        <f t="shared" si="202"/>
        <v>0</v>
      </c>
    </row>
    <row r="12907" spans="3:4" ht="15" x14ac:dyDescent="0.25">
      <c r="C12907" s="8" t="e">
        <f>VLOOKUP(A:A,'ITEM LIST'!A:C,3,0)</f>
        <v>#N/A</v>
      </c>
      <c r="D12907" s="6">
        <f t="shared" si="202"/>
        <v>0</v>
      </c>
    </row>
    <row r="12908" spans="3:4" ht="15" x14ac:dyDescent="0.25">
      <c r="C12908" s="8" t="e">
        <f>VLOOKUP(A:A,'ITEM LIST'!A:C,3,0)</f>
        <v>#N/A</v>
      </c>
      <c r="D12908" s="6">
        <f t="shared" si="202"/>
        <v>0</v>
      </c>
    </row>
    <row r="12909" spans="3:4" ht="15" x14ac:dyDescent="0.25">
      <c r="C12909" s="8" t="e">
        <f>VLOOKUP(A:A,'ITEM LIST'!A:C,3,0)</f>
        <v>#N/A</v>
      </c>
      <c r="D12909" s="6">
        <f t="shared" si="202"/>
        <v>0</v>
      </c>
    </row>
    <row r="12910" spans="3:4" ht="15" x14ac:dyDescent="0.25">
      <c r="C12910" s="8" t="e">
        <f>VLOOKUP(A:A,'ITEM LIST'!A:C,3,0)</f>
        <v>#N/A</v>
      </c>
      <c r="D12910" s="6">
        <f t="shared" si="202"/>
        <v>0</v>
      </c>
    </row>
    <row r="12911" spans="3:4" ht="15" x14ac:dyDescent="0.25">
      <c r="C12911" s="8" t="e">
        <f>VLOOKUP(A:A,'ITEM LIST'!A:C,3,0)</f>
        <v>#N/A</v>
      </c>
      <c r="D12911" s="6">
        <f t="shared" si="202"/>
        <v>0</v>
      </c>
    </row>
    <row r="12912" spans="3:4" ht="15" x14ac:dyDescent="0.25">
      <c r="C12912" s="8" t="e">
        <f>VLOOKUP(A:A,'ITEM LIST'!A:C,3,0)</f>
        <v>#N/A</v>
      </c>
      <c r="D12912" s="6">
        <f t="shared" si="202"/>
        <v>0</v>
      </c>
    </row>
    <row r="12913" spans="3:4" ht="15" x14ac:dyDescent="0.25">
      <c r="C12913" s="8" t="e">
        <f>VLOOKUP(A:A,'ITEM LIST'!A:C,3,0)</f>
        <v>#N/A</v>
      </c>
      <c r="D12913" s="6">
        <f t="shared" si="202"/>
        <v>0</v>
      </c>
    </row>
    <row r="12914" spans="3:4" ht="15" x14ac:dyDescent="0.25">
      <c r="C12914" s="8" t="e">
        <f>VLOOKUP(A:A,'ITEM LIST'!A:C,3,0)</f>
        <v>#N/A</v>
      </c>
      <c r="D12914" s="6">
        <f t="shared" si="202"/>
        <v>0</v>
      </c>
    </row>
    <row r="12915" spans="3:4" ht="15" x14ac:dyDescent="0.25">
      <c r="C12915" s="8" t="e">
        <f>VLOOKUP(A:A,'ITEM LIST'!A:C,3,0)</f>
        <v>#N/A</v>
      </c>
      <c r="D12915" s="6">
        <f t="shared" si="202"/>
        <v>0</v>
      </c>
    </row>
    <row r="12916" spans="3:4" ht="15" x14ac:dyDescent="0.25">
      <c r="C12916" s="8" t="e">
        <f>VLOOKUP(A:A,'ITEM LIST'!A:C,3,0)</f>
        <v>#N/A</v>
      </c>
      <c r="D12916" s="6">
        <f t="shared" si="202"/>
        <v>0</v>
      </c>
    </row>
    <row r="12917" spans="3:4" ht="15" x14ac:dyDescent="0.25">
      <c r="C12917" s="8" t="e">
        <f>VLOOKUP(A:A,'ITEM LIST'!A:C,3,0)</f>
        <v>#N/A</v>
      </c>
      <c r="D12917" s="6">
        <f t="shared" si="202"/>
        <v>0</v>
      </c>
    </row>
    <row r="12918" spans="3:4" ht="15" x14ac:dyDescent="0.25">
      <c r="C12918" s="8" t="e">
        <f>VLOOKUP(A:A,'ITEM LIST'!A:C,3,0)</f>
        <v>#N/A</v>
      </c>
      <c r="D12918" s="6">
        <f t="shared" si="202"/>
        <v>0</v>
      </c>
    </row>
    <row r="12919" spans="3:4" ht="15" x14ac:dyDescent="0.25">
      <c r="C12919" s="8" t="e">
        <f>VLOOKUP(A:A,'ITEM LIST'!A:C,3,0)</f>
        <v>#N/A</v>
      </c>
      <c r="D12919" s="6">
        <f t="shared" si="202"/>
        <v>0</v>
      </c>
    </row>
    <row r="12920" spans="3:4" ht="15" x14ac:dyDescent="0.25">
      <c r="C12920" s="8" t="e">
        <f>VLOOKUP(A:A,'ITEM LIST'!A:C,3,0)</f>
        <v>#N/A</v>
      </c>
      <c r="D12920" s="6">
        <f t="shared" si="202"/>
        <v>0</v>
      </c>
    </row>
    <row r="12921" spans="3:4" ht="15" x14ac:dyDescent="0.25">
      <c r="C12921" s="8" t="e">
        <f>VLOOKUP(A:A,'ITEM LIST'!A:C,3,0)</f>
        <v>#N/A</v>
      </c>
      <c r="D12921" s="6">
        <f t="shared" si="202"/>
        <v>0</v>
      </c>
    </row>
    <row r="12922" spans="3:4" ht="15" x14ac:dyDescent="0.25">
      <c r="C12922" s="8" t="e">
        <f>VLOOKUP(A:A,'ITEM LIST'!A:C,3,0)</f>
        <v>#N/A</v>
      </c>
      <c r="D12922" s="6">
        <f t="shared" si="202"/>
        <v>0</v>
      </c>
    </row>
    <row r="12923" spans="3:4" ht="15" x14ac:dyDescent="0.25">
      <c r="C12923" s="8" t="e">
        <f>VLOOKUP(A:A,'ITEM LIST'!A:C,3,0)</f>
        <v>#N/A</v>
      </c>
      <c r="D12923" s="6">
        <f t="shared" si="202"/>
        <v>0</v>
      </c>
    </row>
    <row r="12924" spans="3:4" ht="15" x14ac:dyDescent="0.25">
      <c r="C12924" s="8" t="e">
        <f>VLOOKUP(A:A,'ITEM LIST'!A:C,3,0)</f>
        <v>#N/A</v>
      </c>
      <c r="D12924" s="6">
        <f t="shared" si="202"/>
        <v>0</v>
      </c>
    </row>
    <row r="12925" spans="3:4" ht="15" x14ac:dyDescent="0.25">
      <c r="C12925" s="8" t="e">
        <f>VLOOKUP(A:A,'ITEM LIST'!A:C,3,0)</f>
        <v>#N/A</v>
      </c>
      <c r="D12925" s="6">
        <f t="shared" si="202"/>
        <v>0</v>
      </c>
    </row>
    <row r="12926" spans="3:4" ht="15" x14ac:dyDescent="0.25">
      <c r="C12926" s="8" t="e">
        <f>VLOOKUP(A:A,'ITEM LIST'!A:C,3,0)</f>
        <v>#N/A</v>
      </c>
      <c r="D12926" s="6">
        <f t="shared" si="202"/>
        <v>0</v>
      </c>
    </row>
    <row r="12927" spans="3:4" ht="15" x14ac:dyDescent="0.25">
      <c r="C12927" s="8" t="e">
        <f>VLOOKUP(A:A,'ITEM LIST'!A:C,3,0)</f>
        <v>#N/A</v>
      </c>
      <c r="D12927" s="6">
        <f t="shared" si="202"/>
        <v>0</v>
      </c>
    </row>
    <row r="12928" spans="3:4" ht="15" x14ac:dyDescent="0.25">
      <c r="C12928" s="8" t="e">
        <f>VLOOKUP(A:A,'ITEM LIST'!A:C,3,0)</f>
        <v>#N/A</v>
      </c>
      <c r="D12928" s="6">
        <f t="shared" si="202"/>
        <v>0</v>
      </c>
    </row>
    <row r="12929" spans="3:4" ht="15" x14ac:dyDescent="0.25">
      <c r="C12929" s="8" t="e">
        <f>VLOOKUP(A:A,'ITEM LIST'!A:C,3,0)</f>
        <v>#N/A</v>
      </c>
      <c r="D12929" s="6">
        <f t="shared" si="202"/>
        <v>0</v>
      </c>
    </row>
    <row r="12930" spans="3:4" ht="15" x14ac:dyDescent="0.25">
      <c r="C12930" s="8" t="e">
        <f>VLOOKUP(A:A,'ITEM LIST'!A:C,3,0)</f>
        <v>#N/A</v>
      </c>
      <c r="D12930" s="6">
        <f t="shared" si="202"/>
        <v>0</v>
      </c>
    </row>
    <row r="12931" spans="3:4" ht="15" x14ac:dyDescent="0.25">
      <c r="C12931" s="8" t="e">
        <f>VLOOKUP(A:A,'ITEM LIST'!A:C,3,0)</f>
        <v>#N/A</v>
      </c>
      <c r="D12931" s="6">
        <f t="shared" si="202"/>
        <v>0</v>
      </c>
    </row>
    <row r="12932" spans="3:4" ht="15" x14ac:dyDescent="0.25">
      <c r="C12932" s="8" t="e">
        <f>VLOOKUP(A:A,'ITEM LIST'!A:C,3,0)</f>
        <v>#N/A</v>
      </c>
      <c r="D12932" s="6">
        <f t="shared" si="202"/>
        <v>0</v>
      </c>
    </row>
    <row r="12933" spans="3:4" ht="15" x14ac:dyDescent="0.25">
      <c r="C12933" s="8" t="e">
        <f>VLOOKUP(A:A,'ITEM LIST'!A:C,3,0)</f>
        <v>#N/A</v>
      </c>
      <c r="D12933" s="6">
        <f t="shared" si="202"/>
        <v>0</v>
      </c>
    </row>
    <row r="12934" spans="3:4" ht="15" x14ac:dyDescent="0.25">
      <c r="C12934" s="8" t="e">
        <f>VLOOKUP(A:A,'ITEM LIST'!A:C,3,0)</f>
        <v>#N/A</v>
      </c>
      <c r="D12934" s="6">
        <f t="shared" ref="D12934:D12997" si="203">B12934</f>
        <v>0</v>
      </c>
    </row>
    <row r="12935" spans="3:4" ht="15" x14ac:dyDescent="0.25">
      <c r="C12935" s="8" t="e">
        <f>VLOOKUP(A:A,'ITEM LIST'!A:C,3,0)</f>
        <v>#N/A</v>
      </c>
      <c r="D12935" s="6">
        <f t="shared" si="203"/>
        <v>0</v>
      </c>
    </row>
    <row r="12936" spans="3:4" ht="15" x14ac:dyDescent="0.25">
      <c r="C12936" s="8" t="e">
        <f>VLOOKUP(A:A,'ITEM LIST'!A:C,3,0)</f>
        <v>#N/A</v>
      </c>
      <c r="D12936" s="6">
        <f t="shared" si="203"/>
        <v>0</v>
      </c>
    </row>
    <row r="12937" spans="3:4" ht="15" x14ac:dyDescent="0.25">
      <c r="C12937" s="8" t="e">
        <f>VLOOKUP(A:A,'ITEM LIST'!A:C,3,0)</f>
        <v>#N/A</v>
      </c>
      <c r="D12937" s="6">
        <f t="shared" si="203"/>
        <v>0</v>
      </c>
    </row>
    <row r="12938" spans="3:4" ht="15" x14ac:dyDescent="0.25">
      <c r="C12938" s="8" t="e">
        <f>VLOOKUP(A:A,'ITEM LIST'!A:C,3,0)</f>
        <v>#N/A</v>
      </c>
      <c r="D12938" s="6">
        <f t="shared" si="203"/>
        <v>0</v>
      </c>
    </row>
    <row r="12939" spans="3:4" ht="15" x14ac:dyDescent="0.25">
      <c r="C12939" s="8" t="e">
        <f>VLOOKUP(A:A,'ITEM LIST'!A:C,3,0)</f>
        <v>#N/A</v>
      </c>
      <c r="D12939" s="6">
        <f t="shared" si="203"/>
        <v>0</v>
      </c>
    </row>
    <row r="12940" spans="3:4" ht="15" x14ac:dyDescent="0.25">
      <c r="C12940" s="8" t="e">
        <f>VLOOKUP(A:A,'ITEM LIST'!A:C,3,0)</f>
        <v>#N/A</v>
      </c>
      <c r="D12940" s="6">
        <f t="shared" si="203"/>
        <v>0</v>
      </c>
    </row>
    <row r="12941" spans="3:4" ht="15" x14ac:dyDescent="0.25">
      <c r="C12941" s="8" t="e">
        <f>VLOOKUP(A:A,'ITEM LIST'!A:C,3,0)</f>
        <v>#N/A</v>
      </c>
      <c r="D12941" s="6">
        <f t="shared" si="203"/>
        <v>0</v>
      </c>
    </row>
    <row r="12942" spans="3:4" ht="15" x14ac:dyDescent="0.25">
      <c r="C12942" s="8" t="e">
        <f>VLOOKUP(A:A,'ITEM LIST'!A:C,3,0)</f>
        <v>#N/A</v>
      </c>
      <c r="D12942" s="6">
        <f t="shared" si="203"/>
        <v>0</v>
      </c>
    </row>
    <row r="12943" spans="3:4" ht="15" x14ac:dyDescent="0.25">
      <c r="C12943" s="8" t="e">
        <f>VLOOKUP(A:A,'ITEM LIST'!A:C,3,0)</f>
        <v>#N/A</v>
      </c>
      <c r="D12943" s="6">
        <f t="shared" si="203"/>
        <v>0</v>
      </c>
    </row>
    <row r="12944" spans="3:4" ht="15" x14ac:dyDescent="0.25">
      <c r="C12944" s="8" t="e">
        <f>VLOOKUP(A:A,'ITEM LIST'!A:C,3,0)</f>
        <v>#N/A</v>
      </c>
      <c r="D12944" s="6">
        <f t="shared" si="203"/>
        <v>0</v>
      </c>
    </row>
    <row r="12945" spans="3:4" ht="15" x14ac:dyDescent="0.25">
      <c r="C12945" s="8" t="e">
        <f>VLOOKUP(A:A,'ITEM LIST'!A:C,3,0)</f>
        <v>#N/A</v>
      </c>
      <c r="D12945" s="6">
        <f t="shared" si="203"/>
        <v>0</v>
      </c>
    </row>
    <row r="12946" spans="3:4" ht="15" x14ac:dyDescent="0.25">
      <c r="C12946" s="8" t="e">
        <f>VLOOKUP(A:A,'ITEM LIST'!A:C,3,0)</f>
        <v>#N/A</v>
      </c>
      <c r="D12946" s="6">
        <f t="shared" si="203"/>
        <v>0</v>
      </c>
    </row>
    <row r="12947" spans="3:4" ht="15" x14ac:dyDescent="0.25">
      <c r="C12947" s="8" t="e">
        <f>VLOOKUP(A:A,'ITEM LIST'!A:C,3,0)</f>
        <v>#N/A</v>
      </c>
      <c r="D12947" s="6">
        <f t="shared" si="203"/>
        <v>0</v>
      </c>
    </row>
    <row r="12948" spans="3:4" ht="15" x14ac:dyDescent="0.25">
      <c r="C12948" s="8" t="e">
        <f>VLOOKUP(A:A,'ITEM LIST'!A:C,3,0)</f>
        <v>#N/A</v>
      </c>
      <c r="D12948" s="6">
        <f t="shared" si="203"/>
        <v>0</v>
      </c>
    </row>
    <row r="12949" spans="3:4" ht="15" x14ac:dyDescent="0.25">
      <c r="C12949" s="8" t="e">
        <f>VLOOKUP(A:A,'ITEM LIST'!A:C,3,0)</f>
        <v>#N/A</v>
      </c>
      <c r="D12949" s="6">
        <f t="shared" si="203"/>
        <v>0</v>
      </c>
    </row>
    <row r="12950" spans="3:4" ht="15" x14ac:dyDescent="0.25">
      <c r="C12950" s="8" t="e">
        <f>VLOOKUP(A:A,'ITEM LIST'!A:C,3,0)</f>
        <v>#N/A</v>
      </c>
      <c r="D12950" s="6">
        <f t="shared" si="203"/>
        <v>0</v>
      </c>
    </row>
    <row r="12951" spans="3:4" ht="15" x14ac:dyDescent="0.25">
      <c r="C12951" s="8" t="e">
        <f>VLOOKUP(A:A,'ITEM LIST'!A:C,3,0)</f>
        <v>#N/A</v>
      </c>
      <c r="D12951" s="6">
        <f t="shared" si="203"/>
        <v>0</v>
      </c>
    </row>
    <row r="12952" spans="3:4" ht="15" x14ac:dyDescent="0.25">
      <c r="C12952" s="8" t="e">
        <f>VLOOKUP(A:A,'ITEM LIST'!A:C,3,0)</f>
        <v>#N/A</v>
      </c>
      <c r="D12952" s="6">
        <f t="shared" si="203"/>
        <v>0</v>
      </c>
    </row>
    <row r="12953" spans="3:4" ht="15" x14ac:dyDescent="0.25">
      <c r="C12953" s="8" t="e">
        <f>VLOOKUP(A:A,'ITEM LIST'!A:C,3,0)</f>
        <v>#N/A</v>
      </c>
      <c r="D12953" s="6">
        <f t="shared" si="203"/>
        <v>0</v>
      </c>
    </row>
    <row r="12954" spans="3:4" ht="15" x14ac:dyDescent="0.25">
      <c r="C12954" s="8" t="e">
        <f>VLOOKUP(A:A,'ITEM LIST'!A:C,3,0)</f>
        <v>#N/A</v>
      </c>
      <c r="D12954" s="6">
        <f t="shared" si="203"/>
        <v>0</v>
      </c>
    </row>
    <row r="12955" spans="3:4" ht="15" x14ac:dyDescent="0.25">
      <c r="C12955" s="8" t="e">
        <f>VLOOKUP(A:A,'ITEM LIST'!A:C,3,0)</f>
        <v>#N/A</v>
      </c>
      <c r="D12955" s="6">
        <f t="shared" si="203"/>
        <v>0</v>
      </c>
    </row>
    <row r="12956" spans="3:4" ht="15" x14ac:dyDescent="0.25">
      <c r="C12956" s="8" t="e">
        <f>VLOOKUP(A:A,'ITEM LIST'!A:C,3,0)</f>
        <v>#N/A</v>
      </c>
      <c r="D12956" s="6">
        <f t="shared" si="203"/>
        <v>0</v>
      </c>
    </row>
    <row r="12957" spans="3:4" ht="15" x14ac:dyDescent="0.25">
      <c r="C12957" s="8" t="e">
        <f>VLOOKUP(A:A,'ITEM LIST'!A:C,3,0)</f>
        <v>#N/A</v>
      </c>
      <c r="D12957" s="6">
        <f t="shared" si="203"/>
        <v>0</v>
      </c>
    </row>
    <row r="12958" spans="3:4" ht="15" x14ac:dyDescent="0.25">
      <c r="C12958" s="8" t="e">
        <f>VLOOKUP(A:A,'ITEM LIST'!A:C,3,0)</f>
        <v>#N/A</v>
      </c>
      <c r="D12958" s="6">
        <f t="shared" si="203"/>
        <v>0</v>
      </c>
    </row>
    <row r="12959" spans="3:4" ht="15" x14ac:dyDescent="0.25">
      <c r="C12959" s="8" t="e">
        <f>VLOOKUP(A:A,'ITEM LIST'!A:C,3,0)</f>
        <v>#N/A</v>
      </c>
      <c r="D12959" s="6">
        <f t="shared" si="203"/>
        <v>0</v>
      </c>
    </row>
    <row r="12960" spans="3:4" ht="15" x14ac:dyDescent="0.25">
      <c r="C12960" s="8" t="e">
        <f>VLOOKUP(A:A,'ITEM LIST'!A:C,3,0)</f>
        <v>#N/A</v>
      </c>
      <c r="D12960" s="6">
        <f t="shared" si="203"/>
        <v>0</v>
      </c>
    </row>
    <row r="12961" spans="3:4" ht="15" x14ac:dyDescent="0.25">
      <c r="C12961" s="8" t="e">
        <f>VLOOKUP(A:A,'ITEM LIST'!A:C,3,0)</f>
        <v>#N/A</v>
      </c>
      <c r="D12961" s="6">
        <f t="shared" si="203"/>
        <v>0</v>
      </c>
    </row>
    <row r="12962" spans="3:4" ht="15" x14ac:dyDescent="0.25">
      <c r="C12962" s="8" t="e">
        <f>VLOOKUP(A:A,'ITEM LIST'!A:C,3,0)</f>
        <v>#N/A</v>
      </c>
      <c r="D12962" s="6">
        <f t="shared" si="203"/>
        <v>0</v>
      </c>
    </row>
    <row r="12963" spans="3:4" ht="15" x14ac:dyDescent="0.25">
      <c r="C12963" s="8" t="e">
        <f>VLOOKUP(A:A,'ITEM LIST'!A:C,3,0)</f>
        <v>#N/A</v>
      </c>
      <c r="D12963" s="6">
        <f t="shared" si="203"/>
        <v>0</v>
      </c>
    </row>
    <row r="12964" spans="3:4" ht="15" x14ac:dyDescent="0.25">
      <c r="C12964" s="8" t="e">
        <f>VLOOKUP(A:A,'ITEM LIST'!A:C,3,0)</f>
        <v>#N/A</v>
      </c>
      <c r="D12964" s="6">
        <f t="shared" si="203"/>
        <v>0</v>
      </c>
    </row>
    <row r="12965" spans="3:4" ht="15" x14ac:dyDescent="0.25">
      <c r="C12965" s="8" t="e">
        <f>VLOOKUP(A:A,'ITEM LIST'!A:C,3,0)</f>
        <v>#N/A</v>
      </c>
      <c r="D12965" s="6">
        <f t="shared" si="203"/>
        <v>0</v>
      </c>
    </row>
    <row r="12966" spans="3:4" ht="15" x14ac:dyDescent="0.25">
      <c r="C12966" s="8" t="e">
        <f>VLOOKUP(A:A,'ITEM LIST'!A:C,3,0)</f>
        <v>#N/A</v>
      </c>
      <c r="D12966" s="6">
        <f t="shared" si="203"/>
        <v>0</v>
      </c>
    </row>
    <row r="12967" spans="3:4" ht="15" x14ac:dyDescent="0.25">
      <c r="C12967" s="8" t="e">
        <f>VLOOKUP(A:A,'ITEM LIST'!A:C,3,0)</f>
        <v>#N/A</v>
      </c>
      <c r="D12967" s="6">
        <f t="shared" si="203"/>
        <v>0</v>
      </c>
    </row>
    <row r="12968" spans="3:4" ht="15" x14ac:dyDescent="0.25">
      <c r="C12968" s="8" t="e">
        <f>VLOOKUP(A:A,'ITEM LIST'!A:C,3,0)</f>
        <v>#N/A</v>
      </c>
      <c r="D12968" s="6">
        <f t="shared" si="203"/>
        <v>0</v>
      </c>
    </row>
    <row r="12969" spans="3:4" ht="15" x14ac:dyDescent="0.25">
      <c r="C12969" s="8" t="e">
        <f>VLOOKUP(A:A,'ITEM LIST'!A:C,3,0)</f>
        <v>#N/A</v>
      </c>
      <c r="D12969" s="6">
        <f t="shared" si="203"/>
        <v>0</v>
      </c>
    </row>
    <row r="12970" spans="3:4" ht="15" x14ac:dyDescent="0.25">
      <c r="C12970" s="8" t="e">
        <f>VLOOKUP(A:A,'ITEM LIST'!A:C,3,0)</f>
        <v>#N/A</v>
      </c>
      <c r="D12970" s="6">
        <f t="shared" si="203"/>
        <v>0</v>
      </c>
    </row>
    <row r="12971" spans="3:4" ht="15" x14ac:dyDescent="0.25">
      <c r="C12971" s="8" t="e">
        <f>VLOOKUP(A:A,'ITEM LIST'!A:C,3,0)</f>
        <v>#N/A</v>
      </c>
      <c r="D12971" s="6">
        <f t="shared" si="203"/>
        <v>0</v>
      </c>
    </row>
    <row r="12972" spans="3:4" ht="15" x14ac:dyDescent="0.25">
      <c r="C12972" s="8" t="e">
        <f>VLOOKUP(A:A,'ITEM LIST'!A:C,3,0)</f>
        <v>#N/A</v>
      </c>
      <c r="D12972" s="6">
        <f t="shared" si="203"/>
        <v>0</v>
      </c>
    </row>
    <row r="12973" spans="3:4" ht="15" x14ac:dyDescent="0.25">
      <c r="C12973" s="8" t="e">
        <f>VLOOKUP(A:A,'ITEM LIST'!A:C,3,0)</f>
        <v>#N/A</v>
      </c>
      <c r="D12973" s="6">
        <f t="shared" si="203"/>
        <v>0</v>
      </c>
    </row>
    <row r="12974" spans="3:4" ht="15" x14ac:dyDescent="0.25">
      <c r="C12974" s="8" t="e">
        <f>VLOOKUP(A:A,'ITEM LIST'!A:C,3,0)</f>
        <v>#N/A</v>
      </c>
      <c r="D12974" s="6">
        <f t="shared" si="203"/>
        <v>0</v>
      </c>
    </row>
    <row r="12975" spans="3:4" ht="15" x14ac:dyDescent="0.25">
      <c r="C12975" s="8" t="e">
        <f>VLOOKUP(A:A,'ITEM LIST'!A:C,3,0)</f>
        <v>#N/A</v>
      </c>
      <c r="D12975" s="6">
        <f t="shared" si="203"/>
        <v>0</v>
      </c>
    </row>
    <row r="12976" spans="3:4" ht="15" x14ac:dyDescent="0.25">
      <c r="C12976" s="8" t="e">
        <f>VLOOKUP(A:A,'ITEM LIST'!A:C,3,0)</f>
        <v>#N/A</v>
      </c>
      <c r="D12976" s="6">
        <f t="shared" si="203"/>
        <v>0</v>
      </c>
    </row>
    <row r="12977" spans="3:4" ht="15" x14ac:dyDescent="0.25">
      <c r="C12977" s="8" t="e">
        <f>VLOOKUP(A:A,'ITEM LIST'!A:C,3,0)</f>
        <v>#N/A</v>
      </c>
      <c r="D12977" s="6">
        <f t="shared" si="203"/>
        <v>0</v>
      </c>
    </row>
    <row r="12978" spans="3:4" ht="15" x14ac:dyDescent="0.25">
      <c r="C12978" s="8" t="e">
        <f>VLOOKUP(A:A,'ITEM LIST'!A:C,3,0)</f>
        <v>#N/A</v>
      </c>
      <c r="D12978" s="6">
        <f t="shared" si="203"/>
        <v>0</v>
      </c>
    </row>
    <row r="12979" spans="3:4" ht="15" x14ac:dyDescent="0.25">
      <c r="C12979" s="8" t="e">
        <f>VLOOKUP(A:A,'ITEM LIST'!A:C,3,0)</f>
        <v>#N/A</v>
      </c>
      <c r="D12979" s="6">
        <f t="shared" si="203"/>
        <v>0</v>
      </c>
    </row>
    <row r="12980" spans="3:4" ht="15" x14ac:dyDescent="0.25">
      <c r="C12980" s="8" t="e">
        <f>VLOOKUP(A:A,'ITEM LIST'!A:C,3,0)</f>
        <v>#N/A</v>
      </c>
      <c r="D12980" s="6">
        <f t="shared" si="203"/>
        <v>0</v>
      </c>
    </row>
    <row r="12981" spans="3:4" ht="15" x14ac:dyDescent="0.25">
      <c r="C12981" s="8" t="e">
        <f>VLOOKUP(A:A,'ITEM LIST'!A:C,3,0)</f>
        <v>#N/A</v>
      </c>
      <c r="D12981" s="6">
        <f t="shared" si="203"/>
        <v>0</v>
      </c>
    </row>
    <row r="12982" spans="3:4" ht="15" x14ac:dyDescent="0.25">
      <c r="C12982" s="8" t="e">
        <f>VLOOKUP(A:A,'ITEM LIST'!A:C,3,0)</f>
        <v>#N/A</v>
      </c>
      <c r="D12982" s="6">
        <f t="shared" si="203"/>
        <v>0</v>
      </c>
    </row>
    <row r="12983" spans="3:4" ht="15" x14ac:dyDescent="0.25">
      <c r="C12983" s="8" t="e">
        <f>VLOOKUP(A:A,'ITEM LIST'!A:C,3,0)</f>
        <v>#N/A</v>
      </c>
      <c r="D12983" s="6">
        <f t="shared" si="203"/>
        <v>0</v>
      </c>
    </row>
    <row r="12984" spans="3:4" ht="15" x14ac:dyDescent="0.25">
      <c r="C12984" s="8" t="e">
        <f>VLOOKUP(A:A,'ITEM LIST'!A:C,3,0)</f>
        <v>#N/A</v>
      </c>
      <c r="D12984" s="6">
        <f t="shared" si="203"/>
        <v>0</v>
      </c>
    </row>
    <row r="12985" spans="3:4" ht="15" x14ac:dyDescent="0.25">
      <c r="C12985" s="8" t="e">
        <f>VLOOKUP(A:A,'ITEM LIST'!A:C,3,0)</f>
        <v>#N/A</v>
      </c>
      <c r="D12985" s="6">
        <f t="shared" si="203"/>
        <v>0</v>
      </c>
    </row>
    <row r="12986" spans="3:4" ht="15" x14ac:dyDescent="0.25">
      <c r="C12986" s="8" t="e">
        <f>VLOOKUP(A:A,'ITEM LIST'!A:C,3,0)</f>
        <v>#N/A</v>
      </c>
      <c r="D12986" s="6">
        <f t="shared" si="203"/>
        <v>0</v>
      </c>
    </row>
    <row r="12987" spans="3:4" ht="15" x14ac:dyDescent="0.25">
      <c r="C12987" s="8" t="e">
        <f>VLOOKUP(A:A,'ITEM LIST'!A:C,3,0)</f>
        <v>#N/A</v>
      </c>
      <c r="D12987" s="6">
        <f t="shared" si="203"/>
        <v>0</v>
      </c>
    </row>
    <row r="12988" spans="3:4" ht="15" x14ac:dyDescent="0.25">
      <c r="C12988" s="8" t="e">
        <f>VLOOKUP(A:A,'ITEM LIST'!A:C,3,0)</f>
        <v>#N/A</v>
      </c>
      <c r="D12988" s="6">
        <f t="shared" si="203"/>
        <v>0</v>
      </c>
    </row>
    <row r="12989" spans="3:4" ht="15" x14ac:dyDescent="0.25">
      <c r="C12989" s="8" t="e">
        <f>VLOOKUP(A:A,'ITEM LIST'!A:C,3,0)</f>
        <v>#N/A</v>
      </c>
      <c r="D12989" s="6">
        <f t="shared" si="203"/>
        <v>0</v>
      </c>
    </row>
    <row r="12990" spans="3:4" ht="15" x14ac:dyDescent="0.25">
      <c r="C12990" s="8" t="e">
        <f>VLOOKUP(A:A,'ITEM LIST'!A:C,3,0)</f>
        <v>#N/A</v>
      </c>
      <c r="D12990" s="6">
        <f t="shared" si="203"/>
        <v>0</v>
      </c>
    </row>
    <row r="12991" spans="3:4" ht="15" x14ac:dyDescent="0.25">
      <c r="C12991" s="8" t="e">
        <f>VLOOKUP(A:A,'ITEM LIST'!A:C,3,0)</f>
        <v>#N/A</v>
      </c>
      <c r="D12991" s="6">
        <f t="shared" si="203"/>
        <v>0</v>
      </c>
    </row>
    <row r="12992" spans="3:4" ht="15" x14ac:dyDescent="0.25">
      <c r="C12992" s="8" t="e">
        <f>VLOOKUP(A:A,'ITEM LIST'!A:C,3,0)</f>
        <v>#N/A</v>
      </c>
      <c r="D12992" s="6">
        <f t="shared" si="203"/>
        <v>0</v>
      </c>
    </row>
    <row r="12993" spans="3:4" ht="15" x14ac:dyDescent="0.25">
      <c r="C12993" s="8" t="e">
        <f>VLOOKUP(A:A,'ITEM LIST'!A:C,3,0)</f>
        <v>#N/A</v>
      </c>
      <c r="D12993" s="6">
        <f t="shared" si="203"/>
        <v>0</v>
      </c>
    </row>
    <row r="12994" spans="3:4" ht="15" x14ac:dyDescent="0.25">
      <c r="C12994" s="8" t="e">
        <f>VLOOKUP(A:A,'ITEM LIST'!A:C,3,0)</f>
        <v>#N/A</v>
      </c>
      <c r="D12994" s="6">
        <f t="shared" si="203"/>
        <v>0</v>
      </c>
    </row>
    <row r="12995" spans="3:4" ht="15" x14ac:dyDescent="0.25">
      <c r="C12995" s="8" t="e">
        <f>VLOOKUP(A:A,'ITEM LIST'!A:C,3,0)</f>
        <v>#N/A</v>
      </c>
      <c r="D12995" s="6">
        <f t="shared" si="203"/>
        <v>0</v>
      </c>
    </row>
    <row r="12996" spans="3:4" ht="15" x14ac:dyDescent="0.25">
      <c r="C12996" s="8" t="e">
        <f>VLOOKUP(A:A,'ITEM LIST'!A:C,3,0)</f>
        <v>#N/A</v>
      </c>
      <c r="D12996" s="6">
        <f t="shared" si="203"/>
        <v>0</v>
      </c>
    </row>
    <row r="12997" spans="3:4" ht="15" x14ac:dyDescent="0.25">
      <c r="C12997" s="8" t="e">
        <f>VLOOKUP(A:A,'ITEM LIST'!A:C,3,0)</f>
        <v>#N/A</v>
      </c>
      <c r="D12997" s="6">
        <f t="shared" si="203"/>
        <v>0</v>
      </c>
    </row>
    <row r="12998" spans="3:4" ht="15" x14ac:dyDescent="0.25">
      <c r="C12998" s="8" t="e">
        <f>VLOOKUP(A:A,'ITEM LIST'!A:C,3,0)</f>
        <v>#N/A</v>
      </c>
      <c r="D12998" s="6">
        <f t="shared" ref="D12998:D13061" si="204">B12998</f>
        <v>0</v>
      </c>
    </row>
    <row r="12999" spans="3:4" ht="15" x14ac:dyDescent="0.25">
      <c r="C12999" s="8" t="e">
        <f>VLOOKUP(A:A,'ITEM LIST'!A:C,3,0)</f>
        <v>#N/A</v>
      </c>
      <c r="D12999" s="6">
        <f t="shared" si="204"/>
        <v>0</v>
      </c>
    </row>
    <row r="13000" spans="3:4" ht="15" x14ac:dyDescent="0.25">
      <c r="C13000" s="8" t="e">
        <f>VLOOKUP(A:A,'ITEM LIST'!A:C,3,0)</f>
        <v>#N/A</v>
      </c>
      <c r="D13000" s="6">
        <f t="shared" si="204"/>
        <v>0</v>
      </c>
    </row>
    <row r="13001" spans="3:4" ht="15" x14ac:dyDescent="0.25">
      <c r="C13001" s="8" t="e">
        <f>VLOOKUP(A:A,'ITEM LIST'!A:C,3,0)</f>
        <v>#N/A</v>
      </c>
      <c r="D13001" s="6">
        <f t="shared" si="204"/>
        <v>0</v>
      </c>
    </row>
    <row r="13002" spans="3:4" ht="15" x14ac:dyDescent="0.25">
      <c r="C13002" s="8" t="e">
        <f>VLOOKUP(A:A,'ITEM LIST'!A:C,3,0)</f>
        <v>#N/A</v>
      </c>
      <c r="D13002" s="6">
        <f t="shared" si="204"/>
        <v>0</v>
      </c>
    </row>
    <row r="13003" spans="3:4" ht="15" x14ac:dyDescent="0.25">
      <c r="C13003" s="8" t="e">
        <f>VLOOKUP(A:A,'ITEM LIST'!A:C,3,0)</f>
        <v>#N/A</v>
      </c>
      <c r="D13003" s="6">
        <f t="shared" si="204"/>
        <v>0</v>
      </c>
    </row>
    <row r="13004" spans="3:4" ht="15" x14ac:dyDescent="0.25">
      <c r="C13004" s="8" t="e">
        <f>VLOOKUP(A:A,'ITEM LIST'!A:C,3,0)</f>
        <v>#N/A</v>
      </c>
      <c r="D13004" s="6">
        <f t="shared" si="204"/>
        <v>0</v>
      </c>
    </row>
    <row r="13005" spans="3:4" ht="15" x14ac:dyDescent="0.25">
      <c r="C13005" s="8" t="e">
        <f>VLOOKUP(A:A,'ITEM LIST'!A:C,3,0)</f>
        <v>#N/A</v>
      </c>
      <c r="D13005" s="6">
        <f t="shared" si="204"/>
        <v>0</v>
      </c>
    </row>
    <row r="13006" spans="3:4" ht="15" x14ac:dyDescent="0.25">
      <c r="C13006" s="8" t="e">
        <f>VLOOKUP(A:A,'ITEM LIST'!A:C,3,0)</f>
        <v>#N/A</v>
      </c>
      <c r="D13006" s="6">
        <f t="shared" si="204"/>
        <v>0</v>
      </c>
    </row>
    <row r="13007" spans="3:4" ht="15" x14ac:dyDescent="0.25">
      <c r="C13007" s="8" t="e">
        <f>VLOOKUP(A:A,'ITEM LIST'!A:C,3,0)</f>
        <v>#N/A</v>
      </c>
      <c r="D13007" s="6">
        <f t="shared" si="204"/>
        <v>0</v>
      </c>
    </row>
    <row r="13008" spans="3:4" ht="15" x14ac:dyDescent="0.25">
      <c r="C13008" s="8" t="e">
        <f>VLOOKUP(A:A,'ITEM LIST'!A:C,3,0)</f>
        <v>#N/A</v>
      </c>
      <c r="D13008" s="6">
        <f t="shared" si="204"/>
        <v>0</v>
      </c>
    </row>
    <row r="13009" spans="3:4" ht="15" x14ac:dyDescent="0.25">
      <c r="C13009" s="8" t="e">
        <f>VLOOKUP(A:A,'ITEM LIST'!A:C,3,0)</f>
        <v>#N/A</v>
      </c>
      <c r="D13009" s="6">
        <f t="shared" si="204"/>
        <v>0</v>
      </c>
    </row>
    <row r="13010" spans="3:4" ht="15" x14ac:dyDescent="0.25">
      <c r="C13010" s="8" t="e">
        <f>VLOOKUP(A:A,'ITEM LIST'!A:C,3,0)</f>
        <v>#N/A</v>
      </c>
      <c r="D13010" s="6">
        <f t="shared" si="204"/>
        <v>0</v>
      </c>
    </row>
    <row r="13011" spans="3:4" ht="15" x14ac:dyDescent="0.25">
      <c r="C13011" s="8" t="e">
        <f>VLOOKUP(A:A,'ITEM LIST'!A:C,3,0)</f>
        <v>#N/A</v>
      </c>
      <c r="D13011" s="6">
        <f t="shared" si="204"/>
        <v>0</v>
      </c>
    </row>
    <row r="13012" spans="3:4" ht="15" x14ac:dyDescent="0.25">
      <c r="C13012" s="8" t="e">
        <f>VLOOKUP(A:A,'ITEM LIST'!A:C,3,0)</f>
        <v>#N/A</v>
      </c>
      <c r="D13012" s="6">
        <f t="shared" si="204"/>
        <v>0</v>
      </c>
    </row>
    <row r="13013" spans="3:4" ht="15" x14ac:dyDescent="0.25">
      <c r="C13013" s="8" t="e">
        <f>VLOOKUP(A:A,'ITEM LIST'!A:C,3,0)</f>
        <v>#N/A</v>
      </c>
      <c r="D13013" s="6">
        <f t="shared" si="204"/>
        <v>0</v>
      </c>
    </row>
    <row r="13014" spans="3:4" ht="15" x14ac:dyDescent="0.25">
      <c r="C13014" s="8" t="e">
        <f>VLOOKUP(A:A,'ITEM LIST'!A:C,3,0)</f>
        <v>#N/A</v>
      </c>
      <c r="D13014" s="6">
        <f t="shared" si="204"/>
        <v>0</v>
      </c>
    </row>
    <row r="13015" spans="3:4" ht="15" x14ac:dyDescent="0.25">
      <c r="C13015" s="8" t="e">
        <f>VLOOKUP(A:A,'ITEM LIST'!A:C,3,0)</f>
        <v>#N/A</v>
      </c>
      <c r="D13015" s="6">
        <f t="shared" si="204"/>
        <v>0</v>
      </c>
    </row>
    <row r="13016" spans="3:4" ht="15" x14ac:dyDescent="0.25">
      <c r="C13016" s="8" t="e">
        <f>VLOOKUP(A:A,'ITEM LIST'!A:C,3,0)</f>
        <v>#N/A</v>
      </c>
      <c r="D13016" s="6">
        <f t="shared" si="204"/>
        <v>0</v>
      </c>
    </row>
    <row r="13017" spans="3:4" ht="15" x14ac:dyDescent="0.25">
      <c r="C13017" s="8" t="e">
        <f>VLOOKUP(A:A,'ITEM LIST'!A:C,3,0)</f>
        <v>#N/A</v>
      </c>
      <c r="D13017" s="6">
        <f t="shared" si="204"/>
        <v>0</v>
      </c>
    </row>
    <row r="13018" spans="3:4" ht="15" x14ac:dyDescent="0.25">
      <c r="C13018" s="8" t="e">
        <f>VLOOKUP(A:A,'ITEM LIST'!A:C,3,0)</f>
        <v>#N/A</v>
      </c>
      <c r="D13018" s="6">
        <f t="shared" si="204"/>
        <v>0</v>
      </c>
    </row>
    <row r="13019" spans="3:4" ht="15" x14ac:dyDescent="0.25">
      <c r="C13019" s="8" t="e">
        <f>VLOOKUP(A:A,'ITEM LIST'!A:C,3,0)</f>
        <v>#N/A</v>
      </c>
      <c r="D13019" s="6">
        <f t="shared" si="204"/>
        <v>0</v>
      </c>
    </row>
    <row r="13020" spans="3:4" ht="15" x14ac:dyDescent="0.25">
      <c r="C13020" s="8" t="e">
        <f>VLOOKUP(A:A,'ITEM LIST'!A:C,3,0)</f>
        <v>#N/A</v>
      </c>
      <c r="D13020" s="6">
        <f t="shared" si="204"/>
        <v>0</v>
      </c>
    </row>
    <row r="13021" spans="3:4" ht="15" x14ac:dyDescent="0.25">
      <c r="C13021" s="8" t="e">
        <f>VLOOKUP(A:A,'ITEM LIST'!A:C,3,0)</f>
        <v>#N/A</v>
      </c>
      <c r="D13021" s="6">
        <f t="shared" si="204"/>
        <v>0</v>
      </c>
    </row>
    <row r="13022" spans="3:4" ht="15" x14ac:dyDescent="0.25">
      <c r="C13022" s="8" t="e">
        <f>VLOOKUP(A:A,'ITEM LIST'!A:C,3,0)</f>
        <v>#N/A</v>
      </c>
      <c r="D13022" s="6">
        <f t="shared" si="204"/>
        <v>0</v>
      </c>
    </row>
    <row r="13023" spans="3:4" ht="15" x14ac:dyDescent="0.25">
      <c r="C13023" s="8" t="e">
        <f>VLOOKUP(A:A,'ITEM LIST'!A:C,3,0)</f>
        <v>#N/A</v>
      </c>
      <c r="D13023" s="6">
        <f t="shared" si="204"/>
        <v>0</v>
      </c>
    </row>
    <row r="13024" spans="3:4" ht="15" x14ac:dyDescent="0.25">
      <c r="C13024" s="8" t="e">
        <f>VLOOKUP(A:A,'ITEM LIST'!A:C,3,0)</f>
        <v>#N/A</v>
      </c>
      <c r="D13024" s="6">
        <f t="shared" si="204"/>
        <v>0</v>
      </c>
    </row>
    <row r="13025" spans="3:4" ht="15" x14ac:dyDescent="0.25">
      <c r="C13025" s="8" t="e">
        <f>VLOOKUP(A:A,'ITEM LIST'!A:C,3,0)</f>
        <v>#N/A</v>
      </c>
      <c r="D13025" s="6">
        <f t="shared" si="204"/>
        <v>0</v>
      </c>
    </row>
    <row r="13026" spans="3:4" ht="15" x14ac:dyDescent="0.25">
      <c r="C13026" s="8" t="e">
        <f>VLOOKUP(A:A,'ITEM LIST'!A:C,3,0)</f>
        <v>#N/A</v>
      </c>
      <c r="D13026" s="6">
        <f t="shared" si="204"/>
        <v>0</v>
      </c>
    </row>
    <row r="13027" spans="3:4" ht="15" x14ac:dyDescent="0.25">
      <c r="C13027" s="8" t="e">
        <f>VLOOKUP(A:A,'ITEM LIST'!A:C,3,0)</f>
        <v>#N/A</v>
      </c>
      <c r="D13027" s="6">
        <f t="shared" si="204"/>
        <v>0</v>
      </c>
    </row>
    <row r="13028" spans="3:4" ht="15" x14ac:dyDescent="0.25">
      <c r="C13028" s="8" t="e">
        <f>VLOOKUP(A:A,'ITEM LIST'!A:C,3,0)</f>
        <v>#N/A</v>
      </c>
      <c r="D13028" s="6">
        <f t="shared" si="204"/>
        <v>0</v>
      </c>
    </row>
    <row r="13029" spans="3:4" ht="15" x14ac:dyDescent="0.25">
      <c r="C13029" s="8" t="e">
        <f>VLOOKUP(A:A,'ITEM LIST'!A:C,3,0)</f>
        <v>#N/A</v>
      </c>
      <c r="D13029" s="6">
        <f t="shared" si="204"/>
        <v>0</v>
      </c>
    </row>
    <row r="13030" spans="3:4" ht="15" x14ac:dyDescent="0.25">
      <c r="C13030" s="8" t="e">
        <f>VLOOKUP(A:A,'ITEM LIST'!A:C,3,0)</f>
        <v>#N/A</v>
      </c>
      <c r="D13030" s="6">
        <f t="shared" si="204"/>
        <v>0</v>
      </c>
    </row>
    <row r="13031" spans="3:4" ht="15" x14ac:dyDescent="0.25">
      <c r="C13031" s="8" t="e">
        <f>VLOOKUP(A:A,'ITEM LIST'!A:C,3,0)</f>
        <v>#N/A</v>
      </c>
      <c r="D13031" s="6">
        <f t="shared" si="204"/>
        <v>0</v>
      </c>
    </row>
    <row r="13032" spans="3:4" ht="15" x14ac:dyDescent="0.25">
      <c r="C13032" s="8" t="e">
        <f>VLOOKUP(A:A,'ITEM LIST'!A:C,3,0)</f>
        <v>#N/A</v>
      </c>
      <c r="D13032" s="6">
        <f t="shared" si="204"/>
        <v>0</v>
      </c>
    </row>
    <row r="13033" spans="3:4" ht="15" x14ac:dyDescent="0.25">
      <c r="C13033" s="8" t="e">
        <f>VLOOKUP(A:A,'ITEM LIST'!A:C,3,0)</f>
        <v>#N/A</v>
      </c>
      <c r="D13033" s="6">
        <f t="shared" si="204"/>
        <v>0</v>
      </c>
    </row>
    <row r="13034" spans="3:4" ht="15" x14ac:dyDescent="0.25">
      <c r="C13034" s="8" t="e">
        <f>VLOOKUP(A:A,'ITEM LIST'!A:C,3,0)</f>
        <v>#N/A</v>
      </c>
      <c r="D13034" s="6">
        <f t="shared" si="204"/>
        <v>0</v>
      </c>
    </row>
    <row r="13035" spans="3:4" ht="15" x14ac:dyDescent="0.25">
      <c r="C13035" s="8" t="e">
        <f>VLOOKUP(A:A,'ITEM LIST'!A:C,3,0)</f>
        <v>#N/A</v>
      </c>
      <c r="D13035" s="6">
        <f t="shared" si="204"/>
        <v>0</v>
      </c>
    </row>
    <row r="13036" spans="3:4" ht="15" x14ac:dyDescent="0.25">
      <c r="C13036" s="8" t="e">
        <f>VLOOKUP(A:A,'ITEM LIST'!A:C,3,0)</f>
        <v>#N/A</v>
      </c>
      <c r="D13036" s="6">
        <f t="shared" si="204"/>
        <v>0</v>
      </c>
    </row>
    <row r="13037" spans="3:4" ht="15" x14ac:dyDescent="0.25">
      <c r="C13037" s="8" t="e">
        <f>VLOOKUP(A:A,'ITEM LIST'!A:C,3,0)</f>
        <v>#N/A</v>
      </c>
      <c r="D13037" s="6">
        <f t="shared" si="204"/>
        <v>0</v>
      </c>
    </row>
    <row r="13038" spans="3:4" ht="15" x14ac:dyDescent="0.25">
      <c r="C13038" s="8" t="e">
        <f>VLOOKUP(A:A,'ITEM LIST'!A:C,3,0)</f>
        <v>#N/A</v>
      </c>
      <c r="D13038" s="6">
        <f t="shared" si="204"/>
        <v>0</v>
      </c>
    </row>
    <row r="13039" spans="3:4" ht="15" x14ac:dyDescent="0.25">
      <c r="C13039" s="8" t="e">
        <f>VLOOKUP(A:A,'ITEM LIST'!A:C,3,0)</f>
        <v>#N/A</v>
      </c>
      <c r="D13039" s="6">
        <f t="shared" si="204"/>
        <v>0</v>
      </c>
    </row>
    <row r="13040" spans="3:4" ht="15" x14ac:dyDescent="0.25">
      <c r="C13040" s="8" t="e">
        <f>VLOOKUP(A:A,'ITEM LIST'!A:C,3,0)</f>
        <v>#N/A</v>
      </c>
      <c r="D13040" s="6">
        <f t="shared" si="204"/>
        <v>0</v>
      </c>
    </row>
    <row r="13041" spans="3:4" ht="15" x14ac:dyDescent="0.25">
      <c r="C13041" s="8" t="e">
        <f>VLOOKUP(A:A,'ITEM LIST'!A:C,3,0)</f>
        <v>#N/A</v>
      </c>
      <c r="D13041" s="6">
        <f t="shared" si="204"/>
        <v>0</v>
      </c>
    </row>
    <row r="13042" spans="3:4" ht="15" x14ac:dyDescent="0.25">
      <c r="C13042" s="8" t="e">
        <f>VLOOKUP(A:A,'ITEM LIST'!A:C,3,0)</f>
        <v>#N/A</v>
      </c>
      <c r="D13042" s="6">
        <f t="shared" si="204"/>
        <v>0</v>
      </c>
    </row>
    <row r="13043" spans="3:4" ht="15" x14ac:dyDescent="0.25">
      <c r="C13043" s="8" t="e">
        <f>VLOOKUP(A:A,'ITEM LIST'!A:C,3,0)</f>
        <v>#N/A</v>
      </c>
      <c r="D13043" s="6">
        <f t="shared" si="204"/>
        <v>0</v>
      </c>
    </row>
    <row r="13044" spans="3:4" ht="15" x14ac:dyDescent="0.25">
      <c r="C13044" s="8" t="e">
        <f>VLOOKUP(A:A,'ITEM LIST'!A:C,3,0)</f>
        <v>#N/A</v>
      </c>
      <c r="D13044" s="6">
        <f t="shared" si="204"/>
        <v>0</v>
      </c>
    </row>
    <row r="13045" spans="3:4" ht="15" x14ac:dyDescent="0.25">
      <c r="C13045" s="8" t="e">
        <f>VLOOKUP(A:A,'ITEM LIST'!A:C,3,0)</f>
        <v>#N/A</v>
      </c>
      <c r="D13045" s="6">
        <f t="shared" si="204"/>
        <v>0</v>
      </c>
    </row>
    <row r="13046" spans="3:4" ht="15" x14ac:dyDescent="0.25">
      <c r="C13046" s="8" t="e">
        <f>VLOOKUP(A:A,'ITEM LIST'!A:C,3,0)</f>
        <v>#N/A</v>
      </c>
      <c r="D13046" s="6">
        <f t="shared" si="204"/>
        <v>0</v>
      </c>
    </row>
    <row r="13047" spans="3:4" ht="15" x14ac:dyDescent="0.25">
      <c r="C13047" s="8" t="e">
        <f>VLOOKUP(A:A,'ITEM LIST'!A:C,3,0)</f>
        <v>#N/A</v>
      </c>
      <c r="D13047" s="6">
        <f t="shared" si="204"/>
        <v>0</v>
      </c>
    </row>
    <row r="13048" spans="3:4" ht="15" x14ac:dyDescent="0.25">
      <c r="C13048" s="8" t="e">
        <f>VLOOKUP(A:A,'ITEM LIST'!A:C,3,0)</f>
        <v>#N/A</v>
      </c>
      <c r="D13048" s="6">
        <f t="shared" si="204"/>
        <v>0</v>
      </c>
    </row>
    <row r="13049" spans="3:4" ht="15" x14ac:dyDescent="0.25">
      <c r="C13049" s="8" t="e">
        <f>VLOOKUP(A:A,'ITEM LIST'!A:C,3,0)</f>
        <v>#N/A</v>
      </c>
      <c r="D13049" s="6">
        <f t="shared" si="204"/>
        <v>0</v>
      </c>
    </row>
    <row r="13050" spans="3:4" ht="15" x14ac:dyDescent="0.25">
      <c r="C13050" s="8" t="e">
        <f>VLOOKUP(A:A,'ITEM LIST'!A:C,3,0)</f>
        <v>#N/A</v>
      </c>
      <c r="D13050" s="6">
        <f t="shared" si="204"/>
        <v>0</v>
      </c>
    </row>
    <row r="13051" spans="3:4" ht="15" x14ac:dyDescent="0.25">
      <c r="C13051" s="8" t="e">
        <f>VLOOKUP(A:A,'ITEM LIST'!A:C,3,0)</f>
        <v>#N/A</v>
      </c>
      <c r="D13051" s="6">
        <f t="shared" si="204"/>
        <v>0</v>
      </c>
    </row>
    <row r="13052" spans="3:4" ht="15" x14ac:dyDescent="0.25">
      <c r="C13052" s="8" t="e">
        <f>VLOOKUP(A:A,'ITEM LIST'!A:C,3,0)</f>
        <v>#N/A</v>
      </c>
      <c r="D13052" s="6">
        <f t="shared" si="204"/>
        <v>0</v>
      </c>
    </row>
    <row r="13053" spans="3:4" ht="15" x14ac:dyDescent="0.25">
      <c r="C13053" s="8" t="e">
        <f>VLOOKUP(A:A,'ITEM LIST'!A:C,3,0)</f>
        <v>#N/A</v>
      </c>
      <c r="D13053" s="6">
        <f t="shared" si="204"/>
        <v>0</v>
      </c>
    </row>
    <row r="13054" spans="3:4" ht="15" x14ac:dyDescent="0.25">
      <c r="C13054" s="8" t="e">
        <f>VLOOKUP(A:A,'ITEM LIST'!A:C,3,0)</f>
        <v>#N/A</v>
      </c>
      <c r="D13054" s="6">
        <f t="shared" si="204"/>
        <v>0</v>
      </c>
    </row>
    <row r="13055" spans="3:4" ht="15" x14ac:dyDescent="0.25">
      <c r="C13055" s="8" t="e">
        <f>VLOOKUP(A:A,'ITEM LIST'!A:C,3,0)</f>
        <v>#N/A</v>
      </c>
      <c r="D13055" s="6">
        <f t="shared" si="204"/>
        <v>0</v>
      </c>
    </row>
    <row r="13056" spans="3:4" ht="15" x14ac:dyDescent="0.25">
      <c r="C13056" s="8" t="e">
        <f>VLOOKUP(A:A,'ITEM LIST'!A:C,3,0)</f>
        <v>#N/A</v>
      </c>
      <c r="D13056" s="6">
        <f t="shared" si="204"/>
        <v>0</v>
      </c>
    </row>
    <row r="13057" spans="3:4" ht="15" x14ac:dyDescent="0.25">
      <c r="C13057" s="8" t="e">
        <f>VLOOKUP(A:A,'ITEM LIST'!A:C,3,0)</f>
        <v>#N/A</v>
      </c>
      <c r="D13057" s="6">
        <f t="shared" si="204"/>
        <v>0</v>
      </c>
    </row>
    <row r="13058" spans="3:4" ht="15" x14ac:dyDescent="0.25">
      <c r="C13058" s="8" t="e">
        <f>VLOOKUP(A:A,'ITEM LIST'!A:C,3,0)</f>
        <v>#N/A</v>
      </c>
      <c r="D13058" s="6">
        <f t="shared" si="204"/>
        <v>0</v>
      </c>
    </row>
    <row r="13059" spans="3:4" ht="15" x14ac:dyDescent="0.25">
      <c r="C13059" s="8" t="e">
        <f>VLOOKUP(A:A,'ITEM LIST'!A:C,3,0)</f>
        <v>#N/A</v>
      </c>
      <c r="D13059" s="6">
        <f t="shared" si="204"/>
        <v>0</v>
      </c>
    </row>
    <row r="13060" spans="3:4" ht="15" x14ac:dyDescent="0.25">
      <c r="C13060" s="8" t="e">
        <f>VLOOKUP(A:A,'ITEM LIST'!A:C,3,0)</f>
        <v>#N/A</v>
      </c>
      <c r="D13060" s="6">
        <f t="shared" si="204"/>
        <v>0</v>
      </c>
    </row>
    <row r="13061" spans="3:4" ht="15" x14ac:dyDescent="0.25">
      <c r="C13061" s="8" t="e">
        <f>VLOOKUP(A:A,'ITEM LIST'!A:C,3,0)</f>
        <v>#N/A</v>
      </c>
      <c r="D13061" s="6">
        <f t="shared" si="204"/>
        <v>0</v>
      </c>
    </row>
    <row r="13062" spans="3:4" ht="15" x14ac:dyDescent="0.25">
      <c r="C13062" s="8" t="e">
        <f>VLOOKUP(A:A,'ITEM LIST'!A:C,3,0)</f>
        <v>#N/A</v>
      </c>
      <c r="D13062" s="6">
        <f t="shared" ref="D13062:D13125" si="205">B13062</f>
        <v>0</v>
      </c>
    </row>
    <row r="13063" spans="3:4" ht="15" x14ac:dyDescent="0.25">
      <c r="C13063" s="8" t="e">
        <f>VLOOKUP(A:A,'ITEM LIST'!A:C,3,0)</f>
        <v>#N/A</v>
      </c>
      <c r="D13063" s="6">
        <f t="shared" si="205"/>
        <v>0</v>
      </c>
    </row>
    <row r="13064" spans="3:4" ht="15" x14ac:dyDescent="0.25">
      <c r="C13064" s="8" t="e">
        <f>VLOOKUP(A:A,'ITEM LIST'!A:C,3,0)</f>
        <v>#N/A</v>
      </c>
      <c r="D13064" s="6">
        <f t="shared" si="205"/>
        <v>0</v>
      </c>
    </row>
    <row r="13065" spans="3:4" ht="15" x14ac:dyDescent="0.25">
      <c r="C13065" s="8" t="e">
        <f>VLOOKUP(A:A,'ITEM LIST'!A:C,3,0)</f>
        <v>#N/A</v>
      </c>
      <c r="D13065" s="6">
        <f t="shared" si="205"/>
        <v>0</v>
      </c>
    </row>
    <row r="13066" spans="3:4" ht="15" x14ac:dyDescent="0.25">
      <c r="C13066" s="8" t="e">
        <f>VLOOKUP(A:A,'ITEM LIST'!A:C,3,0)</f>
        <v>#N/A</v>
      </c>
      <c r="D13066" s="6">
        <f t="shared" si="205"/>
        <v>0</v>
      </c>
    </row>
    <row r="13067" spans="3:4" ht="15" x14ac:dyDescent="0.25">
      <c r="C13067" s="8" t="e">
        <f>VLOOKUP(A:A,'ITEM LIST'!A:C,3,0)</f>
        <v>#N/A</v>
      </c>
      <c r="D13067" s="6">
        <f t="shared" si="205"/>
        <v>0</v>
      </c>
    </row>
    <row r="13068" spans="3:4" ht="15" x14ac:dyDescent="0.25">
      <c r="C13068" s="8" t="e">
        <f>VLOOKUP(A:A,'ITEM LIST'!A:C,3,0)</f>
        <v>#N/A</v>
      </c>
      <c r="D13068" s="6">
        <f t="shared" si="205"/>
        <v>0</v>
      </c>
    </row>
    <row r="13069" spans="3:4" ht="15" x14ac:dyDescent="0.25">
      <c r="C13069" s="8" t="e">
        <f>VLOOKUP(A:A,'ITEM LIST'!A:C,3,0)</f>
        <v>#N/A</v>
      </c>
      <c r="D13069" s="6">
        <f t="shared" si="205"/>
        <v>0</v>
      </c>
    </row>
    <row r="13070" spans="3:4" ht="15" x14ac:dyDescent="0.25">
      <c r="C13070" s="8" t="e">
        <f>VLOOKUP(A:A,'ITEM LIST'!A:C,3,0)</f>
        <v>#N/A</v>
      </c>
      <c r="D13070" s="6">
        <f t="shared" si="205"/>
        <v>0</v>
      </c>
    </row>
    <row r="13071" spans="3:4" ht="15" x14ac:dyDescent="0.25">
      <c r="C13071" s="8" t="e">
        <f>VLOOKUP(A:A,'ITEM LIST'!A:C,3,0)</f>
        <v>#N/A</v>
      </c>
      <c r="D13071" s="6">
        <f t="shared" si="205"/>
        <v>0</v>
      </c>
    </row>
    <row r="13072" spans="3:4" ht="15" x14ac:dyDescent="0.25">
      <c r="C13072" s="8" t="e">
        <f>VLOOKUP(A:A,'ITEM LIST'!A:C,3,0)</f>
        <v>#N/A</v>
      </c>
      <c r="D13072" s="6">
        <f t="shared" si="205"/>
        <v>0</v>
      </c>
    </row>
    <row r="13073" spans="3:4" ht="15" x14ac:dyDescent="0.25">
      <c r="C13073" s="8" t="e">
        <f>VLOOKUP(A:A,'ITEM LIST'!A:C,3,0)</f>
        <v>#N/A</v>
      </c>
      <c r="D13073" s="6">
        <f t="shared" si="205"/>
        <v>0</v>
      </c>
    </row>
    <row r="13074" spans="3:4" ht="15" x14ac:dyDescent="0.25">
      <c r="C13074" s="8" t="e">
        <f>VLOOKUP(A:A,'ITEM LIST'!A:C,3,0)</f>
        <v>#N/A</v>
      </c>
      <c r="D13074" s="6">
        <f t="shared" si="205"/>
        <v>0</v>
      </c>
    </row>
    <row r="13075" spans="3:4" ht="15" x14ac:dyDescent="0.25">
      <c r="C13075" s="8" t="e">
        <f>VLOOKUP(A:A,'ITEM LIST'!A:C,3,0)</f>
        <v>#N/A</v>
      </c>
      <c r="D13075" s="6">
        <f t="shared" si="205"/>
        <v>0</v>
      </c>
    </row>
    <row r="13076" spans="3:4" ht="15" x14ac:dyDescent="0.25">
      <c r="C13076" s="8" t="e">
        <f>VLOOKUP(A:A,'ITEM LIST'!A:C,3,0)</f>
        <v>#N/A</v>
      </c>
      <c r="D13076" s="6">
        <f t="shared" si="205"/>
        <v>0</v>
      </c>
    </row>
    <row r="13077" spans="3:4" ht="15" x14ac:dyDescent="0.25">
      <c r="C13077" s="8" t="e">
        <f>VLOOKUP(A:A,'ITEM LIST'!A:C,3,0)</f>
        <v>#N/A</v>
      </c>
      <c r="D13077" s="6">
        <f t="shared" si="205"/>
        <v>0</v>
      </c>
    </row>
    <row r="13078" spans="3:4" ht="15" x14ac:dyDescent="0.25">
      <c r="C13078" s="8" t="e">
        <f>VLOOKUP(A:A,'ITEM LIST'!A:C,3,0)</f>
        <v>#N/A</v>
      </c>
      <c r="D13078" s="6">
        <f t="shared" si="205"/>
        <v>0</v>
      </c>
    </row>
    <row r="13079" spans="3:4" ht="15" x14ac:dyDescent="0.25">
      <c r="C13079" s="8" t="e">
        <f>VLOOKUP(A:A,'ITEM LIST'!A:C,3,0)</f>
        <v>#N/A</v>
      </c>
      <c r="D13079" s="6">
        <f t="shared" si="205"/>
        <v>0</v>
      </c>
    </row>
    <row r="13080" spans="3:4" ht="15" x14ac:dyDescent="0.25">
      <c r="C13080" s="8" t="e">
        <f>VLOOKUP(A:A,'ITEM LIST'!A:C,3,0)</f>
        <v>#N/A</v>
      </c>
      <c r="D13080" s="6">
        <f t="shared" si="205"/>
        <v>0</v>
      </c>
    </row>
    <row r="13081" spans="3:4" ht="15" x14ac:dyDescent="0.25">
      <c r="C13081" s="8" t="e">
        <f>VLOOKUP(A:A,'ITEM LIST'!A:C,3,0)</f>
        <v>#N/A</v>
      </c>
      <c r="D13081" s="6">
        <f t="shared" si="205"/>
        <v>0</v>
      </c>
    </row>
    <row r="13082" spans="3:4" ht="15" x14ac:dyDescent="0.25">
      <c r="C13082" s="8" t="e">
        <f>VLOOKUP(A:A,'ITEM LIST'!A:C,3,0)</f>
        <v>#N/A</v>
      </c>
      <c r="D13082" s="6">
        <f t="shared" si="205"/>
        <v>0</v>
      </c>
    </row>
    <row r="13083" spans="3:4" ht="15" x14ac:dyDescent="0.25">
      <c r="C13083" s="8" t="e">
        <f>VLOOKUP(A:A,'ITEM LIST'!A:C,3,0)</f>
        <v>#N/A</v>
      </c>
      <c r="D13083" s="6">
        <f t="shared" si="205"/>
        <v>0</v>
      </c>
    </row>
    <row r="13084" spans="3:4" ht="15" x14ac:dyDescent="0.25">
      <c r="C13084" s="8" t="e">
        <f>VLOOKUP(A:A,'ITEM LIST'!A:C,3,0)</f>
        <v>#N/A</v>
      </c>
      <c r="D13084" s="6">
        <f t="shared" si="205"/>
        <v>0</v>
      </c>
    </row>
    <row r="13085" spans="3:4" ht="15" x14ac:dyDescent="0.25">
      <c r="C13085" s="8" t="e">
        <f>VLOOKUP(A:A,'ITEM LIST'!A:C,3,0)</f>
        <v>#N/A</v>
      </c>
      <c r="D13085" s="6">
        <f t="shared" si="205"/>
        <v>0</v>
      </c>
    </row>
    <row r="13086" spans="3:4" ht="15" x14ac:dyDescent="0.25">
      <c r="C13086" s="8" t="e">
        <f>VLOOKUP(A:A,'ITEM LIST'!A:C,3,0)</f>
        <v>#N/A</v>
      </c>
      <c r="D13086" s="6">
        <f t="shared" si="205"/>
        <v>0</v>
      </c>
    </row>
    <row r="13087" spans="3:4" ht="15" x14ac:dyDescent="0.25">
      <c r="C13087" s="8" t="e">
        <f>VLOOKUP(A:A,'ITEM LIST'!A:C,3,0)</f>
        <v>#N/A</v>
      </c>
      <c r="D13087" s="6">
        <f t="shared" si="205"/>
        <v>0</v>
      </c>
    </row>
    <row r="13088" spans="3:4" ht="15" x14ac:dyDescent="0.25">
      <c r="C13088" s="8" t="e">
        <f>VLOOKUP(A:A,'ITEM LIST'!A:C,3,0)</f>
        <v>#N/A</v>
      </c>
      <c r="D13088" s="6">
        <f t="shared" si="205"/>
        <v>0</v>
      </c>
    </row>
    <row r="13089" spans="3:4" ht="15" x14ac:dyDescent="0.25">
      <c r="C13089" s="8" t="e">
        <f>VLOOKUP(A:A,'ITEM LIST'!A:C,3,0)</f>
        <v>#N/A</v>
      </c>
      <c r="D13089" s="6">
        <f t="shared" si="205"/>
        <v>0</v>
      </c>
    </row>
    <row r="13090" spans="3:4" ht="15" x14ac:dyDescent="0.25">
      <c r="C13090" s="8" t="e">
        <f>VLOOKUP(A:A,'ITEM LIST'!A:C,3,0)</f>
        <v>#N/A</v>
      </c>
      <c r="D13090" s="6">
        <f t="shared" si="205"/>
        <v>0</v>
      </c>
    </row>
    <row r="13091" spans="3:4" ht="15" x14ac:dyDescent="0.25">
      <c r="C13091" s="8" t="e">
        <f>VLOOKUP(A:A,'ITEM LIST'!A:C,3,0)</f>
        <v>#N/A</v>
      </c>
      <c r="D13091" s="6">
        <f t="shared" si="205"/>
        <v>0</v>
      </c>
    </row>
    <row r="13092" spans="3:4" ht="15" x14ac:dyDescent="0.25">
      <c r="C13092" s="8" t="e">
        <f>VLOOKUP(A:A,'ITEM LIST'!A:C,3,0)</f>
        <v>#N/A</v>
      </c>
      <c r="D13092" s="6">
        <f t="shared" si="205"/>
        <v>0</v>
      </c>
    </row>
    <row r="13093" spans="3:4" ht="15" x14ac:dyDescent="0.25">
      <c r="C13093" s="8" t="e">
        <f>VLOOKUP(A:A,'ITEM LIST'!A:C,3,0)</f>
        <v>#N/A</v>
      </c>
      <c r="D13093" s="6">
        <f t="shared" si="205"/>
        <v>0</v>
      </c>
    </row>
    <row r="13094" spans="3:4" ht="15" x14ac:dyDescent="0.25">
      <c r="C13094" s="8" t="e">
        <f>VLOOKUP(A:A,'ITEM LIST'!A:C,3,0)</f>
        <v>#N/A</v>
      </c>
      <c r="D13094" s="6">
        <f t="shared" si="205"/>
        <v>0</v>
      </c>
    </row>
    <row r="13095" spans="3:4" ht="15" x14ac:dyDescent="0.25">
      <c r="C13095" s="8" t="e">
        <f>VLOOKUP(A:A,'ITEM LIST'!A:C,3,0)</f>
        <v>#N/A</v>
      </c>
      <c r="D13095" s="6">
        <f t="shared" si="205"/>
        <v>0</v>
      </c>
    </row>
    <row r="13096" spans="3:4" ht="15" x14ac:dyDescent="0.25">
      <c r="C13096" s="8" t="e">
        <f>VLOOKUP(A:A,'ITEM LIST'!A:C,3,0)</f>
        <v>#N/A</v>
      </c>
      <c r="D13096" s="6">
        <f t="shared" si="205"/>
        <v>0</v>
      </c>
    </row>
    <row r="13097" spans="3:4" ht="15" x14ac:dyDescent="0.25">
      <c r="C13097" s="8" t="e">
        <f>VLOOKUP(A:A,'ITEM LIST'!A:C,3,0)</f>
        <v>#N/A</v>
      </c>
      <c r="D13097" s="6">
        <f t="shared" si="205"/>
        <v>0</v>
      </c>
    </row>
    <row r="13098" spans="3:4" ht="15" x14ac:dyDescent="0.25">
      <c r="C13098" s="8" t="e">
        <f>VLOOKUP(A:A,'ITEM LIST'!A:C,3,0)</f>
        <v>#N/A</v>
      </c>
      <c r="D13098" s="6">
        <f t="shared" si="205"/>
        <v>0</v>
      </c>
    </row>
    <row r="13099" spans="3:4" ht="15" x14ac:dyDescent="0.25">
      <c r="C13099" s="8" t="e">
        <f>VLOOKUP(A:A,'ITEM LIST'!A:C,3,0)</f>
        <v>#N/A</v>
      </c>
      <c r="D13099" s="6">
        <f t="shared" si="205"/>
        <v>0</v>
      </c>
    </row>
    <row r="13100" spans="3:4" ht="15" x14ac:dyDescent="0.25">
      <c r="C13100" s="8" t="e">
        <f>VLOOKUP(A:A,'ITEM LIST'!A:C,3,0)</f>
        <v>#N/A</v>
      </c>
      <c r="D13100" s="6">
        <f t="shared" si="205"/>
        <v>0</v>
      </c>
    </row>
    <row r="13101" spans="3:4" ht="15" x14ac:dyDescent="0.25">
      <c r="C13101" s="8" t="e">
        <f>VLOOKUP(A:A,'ITEM LIST'!A:C,3,0)</f>
        <v>#N/A</v>
      </c>
      <c r="D13101" s="6">
        <f t="shared" si="205"/>
        <v>0</v>
      </c>
    </row>
    <row r="13102" spans="3:4" ht="15" x14ac:dyDescent="0.25">
      <c r="C13102" s="8" t="e">
        <f>VLOOKUP(A:A,'ITEM LIST'!A:C,3,0)</f>
        <v>#N/A</v>
      </c>
      <c r="D13102" s="6">
        <f t="shared" si="205"/>
        <v>0</v>
      </c>
    </row>
    <row r="13103" spans="3:4" ht="15" x14ac:dyDescent="0.25">
      <c r="C13103" s="8" t="e">
        <f>VLOOKUP(A:A,'ITEM LIST'!A:C,3,0)</f>
        <v>#N/A</v>
      </c>
      <c r="D13103" s="6">
        <f t="shared" si="205"/>
        <v>0</v>
      </c>
    </row>
    <row r="13104" spans="3:4" ht="15" x14ac:dyDescent="0.25">
      <c r="C13104" s="8" t="e">
        <f>VLOOKUP(A:A,'ITEM LIST'!A:C,3,0)</f>
        <v>#N/A</v>
      </c>
      <c r="D13104" s="6">
        <f t="shared" si="205"/>
        <v>0</v>
      </c>
    </row>
    <row r="13105" spans="3:4" ht="15" x14ac:dyDescent="0.25">
      <c r="C13105" s="8" t="e">
        <f>VLOOKUP(A:A,'ITEM LIST'!A:C,3,0)</f>
        <v>#N/A</v>
      </c>
      <c r="D13105" s="6">
        <f t="shared" si="205"/>
        <v>0</v>
      </c>
    </row>
    <row r="13106" spans="3:4" ht="15" x14ac:dyDescent="0.25">
      <c r="C13106" s="8" t="e">
        <f>VLOOKUP(A:A,'ITEM LIST'!A:C,3,0)</f>
        <v>#N/A</v>
      </c>
      <c r="D13106" s="6">
        <f t="shared" si="205"/>
        <v>0</v>
      </c>
    </row>
    <row r="13107" spans="3:4" ht="15" x14ac:dyDescent="0.25">
      <c r="C13107" s="8" t="e">
        <f>VLOOKUP(A:A,'ITEM LIST'!A:C,3,0)</f>
        <v>#N/A</v>
      </c>
      <c r="D13107" s="6">
        <f t="shared" si="205"/>
        <v>0</v>
      </c>
    </row>
    <row r="13108" spans="3:4" ht="15" x14ac:dyDescent="0.25">
      <c r="C13108" s="8" t="e">
        <f>VLOOKUP(A:A,'ITEM LIST'!A:C,3,0)</f>
        <v>#N/A</v>
      </c>
      <c r="D13108" s="6">
        <f t="shared" si="205"/>
        <v>0</v>
      </c>
    </row>
    <row r="13109" spans="3:4" ht="15" x14ac:dyDescent="0.25">
      <c r="C13109" s="8" t="e">
        <f>VLOOKUP(A:A,'ITEM LIST'!A:C,3,0)</f>
        <v>#N/A</v>
      </c>
      <c r="D13109" s="6">
        <f t="shared" si="205"/>
        <v>0</v>
      </c>
    </row>
    <row r="13110" spans="3:4" ht="15" x14ac:dyDescent="0.25">
      <c r="C13110" s="8" t="e">
        <f>VLOOKUP(A:A,'ITEM LIST'!A:C,3,0)</f>
        <v>#N/A</v>
      </c>
      <c r="D13110" s="6">
        <f t="shared" si="205"/>
        <v>0</v>
      </c>
    </row>
    <row r="13111" spans="3:4" ht="15" x14ac:dyDescent="0.25">
      <c r="C13111" s="8" t="e">
        <f>VLOOKUP(A:A,'ITEM LIST'!A:C,3,0)</f>
        <v>#N/A</v>
      </c>
      <c r="D13111" s="6">
        <f t="shared" si="205"/>
        <v>0</v>
      </c>
    </row>
    <row r="13112" spans="3:4" ht="15" x14ac:dyDescent="0.25">
      <c r="C13112" s="8" t="e">
        <f>VLOOKUP(A:A,'ITEM LIST'!A:C,3,0)</f>
        <v>#N/A</v>
      </c>
      <c r="D13112" s="6">
        <f t="shared" si="205"/>
        <v>0</v>
      </c>
    </row>
    <row r="13113" spans="3:4" ht="15" x14ac:dyDescent="0.25">
      <c r="C13113" s="8" t="e">
        <f>VLOOKUP(A:A,'ITEM LIST'!A:C,3,0)</f>
        <v>#N/A</v>
      </c>
      <c r="D13113" s="6">
        <f t="shared" si="205"/>
        <v>0</v>
      </c>
    </row>
    <row r="13114" spans="3:4" ht="15" x14ac:dyDescent="0.25">
      <c r="C13114" s="8" t="e">
        <f>VLOOKUP(A:A,'ITEM LIST'!A:C,3,0)</f>
        <v>#N/A</v>
      </c>
      <c r="D13114" s="6">
        <f t="shared" si="205"/>
        <v>0</v>
      </c>
    </row>
    <row r="13115" spans="3:4" ht="15" x14ac:dyDescent="0.25">
      <c r="C13115" s="8" t="e">
        <f>VLOOKUP(A:A,'ITEM LIST'!A:C,3,0)</f>
        <v>#N/A</v>
      </c>
      <c r="D13115" s="6">
        <f t="shared" si="205"/>
        <v>0</v>
      </c>
    </row>
    <row r="13116" spans="3:4" ht="15" x14ac:dyDescent="0.25">
      <c r="C13116" s="8" t="e">
        <f>VLOOKUP(A:A,'ITEM LIST'!A:C,3,0)</f>
        <v>#N/A</v>
      </c>
      <c r="D13116" s="6">
        <f t="shared" si="205"/>
        <v>0</v>
      </c>
    </row>
    <row r="13117" spans="3:4" ht="15" x14ac:dyDescent="0.25">
      <c r="C13117" s="8" t="e">
        <f>VLOOKUP(A:A,'ITEM LIST'!A:C,3,0)</f>
        <v>#N/A</v>
      </c>
      <c r="D13117" s="6">
        <f t="shared" si="205"/>
        <v>0</v>
      </c>
    </row>
    <row r="13118" spans="3:4" ht="15" x14ac:dyDescent="0.25">
      <c r="C13118" s="8" t="e">
        <f>VLOOKUP(A:A,'ITEM LIST'!A:C,3,0)</f>
        <v>#N/A</v>
      </c>
      <c r="D13118" s="6">
        <f t="shared" si="205"/>
        <v>0</v>
      </c>
    </row>
    <row r="13119" spans="3:4" ht="15" x14ac:dyDescent="0.25">
      <c r="C13119" s="8" t="e">
        <f>VLOOKUP(A:A,'ITEM LIST'!A:C,3,0)</f>
        <v>#N/A</v>
      </c>
      <c r="D13119" s="6">
        <f t="shared" si="205"/>
        <v>0</v>
      </c>
    </row>
    <row r="13120" spans="3:4" ht="15" x14ac:dyDescent="0.25">
      <c r="C13120" s="8" t="e">
        <f>VLOOKUP(A:A,'ITEM LIST'!A:C,3,0)</f>
        <v>#N/A</v>
      </c>
      <c r="D13120" s="6">
        <f t="shared" si="205"/>
        <v>0</v>
      </c>
    </row>
    <row r="13121" spans="3:4" ht="15" x14ac:dyDescent="0.25">
      <c r="C13121" s="8" t="e">
        <f>VLOOKUP(A:A,'ITEM LIST'!A:C,3,0)</f>
        <v>#N/A</v>
      </c>
      <c r="D13121" s="6">
        <f t="shared" si="205"/>
        <v>0</v>
      </c>
    </row>
    <row r="13122" spans="3:4" ht="15" x14ac:dyDescent="0.25">
      <c r="C13122" s="8" t="e">
        <f>VLOOKUP(A:A,'ITEM LIST'!A:C,3,0)</f>
        <v>#N/A</v>
      </c>
      <c r="D13122" s="6">
        <f t="shared" si="205"/>
        <v>0</v>
      </c>
    </row>
    <row r="13123" spans="3:4" ht="15" x14ac:dyDescent="0.25">
      <c r="C13123" s="8" t="e">
        <f>VLOOKUP(A:A,'ITEM LIST'!A:C,3,0)</f>
        <v>#N/A</v>
      </c>
      <c r="D13123" s="6">
        <f t="shared" si="205"/>
        <v>0</v>
      </c>
    </row>
    <row r="13124" spans="3:4" ht="15" x14ac:dyDescent="0.25">
      <c r="C13124" s="8" t="e">
        <f>VLOOKUP(A:A,'ITEM LIST'!A:C,3,0)</f>
        <v>#N/A</v>
      </c>
      <c r="D13124" s="6">
        <f t="shared" si="205"/>
        <v>0</v>
      </c>
    </row>
    <row r="13125" spans="3:4" ht="15" x14ac:dyDescent="0.25">
      <c r="C13125" s="8" t="e">
        <f>VLOOKUP(A:A,'ITEM LIST'!A:C,3,0)</f>
        <v>#N/A</v>
      </c>
      <c r="D13125" s="6">
        <f t="shared" si="205"/>
        <v>0</v>
      </c>
    </row>
    <row r="13126" spans="3:4" ht="15" x14ac:dyDescent="0.25">
      <c r="C13126" s="8" t="e">
        <f>VLOOKUP(A:A,'ITEM LIST'!A:C,3,0)</f>
        <v>#N/A</v>
      </c>
      <c r="D13126" s="6">
        <f t="shared" ref="D13126:D13189" si="206">B13126</f>
        <v>0</v>
      </c>
    </row>
    <row r="13127" spans="3:4" ht="15" x14ac:dyDescent="0.25">
      <c r="C13127" s="8" t="e">
        <f>VLOOKUP(A:A,'ITEM LIST'!A:C,3,0)</f>
        <v>#N/A</v>
      </c>
      <c r="D13127" s="6">
        <f t="shared" si="206"/>
        <v>0</v>
      </c>
    </row>
    <row r="13128" spans="3:4" ht="15" x14ac:dyDescent="0.25">
      <c r="C13128" s="8" t="e">
        <f>VLOOKUP(A:A,'ITEM LIST'!A:C,3,0)</f>
        <v>#N/A</v>
      </c>
      <c r="D13128" s="6">
        <f t="shared" si="206"/>
        <v>0</v>
      </c>
    </row>
    <row r="13129" spans="3:4" ht="15" x14ac:dyDescent="0.25">
      <c r="C13129" s="8" t="e">
        <f>VLOOKUP(A:A,'ITEM LIST'!A:C,3,0)</f>
        <v>#N/A</v>
      </c>
      <c r="D13129" s="6">
        <f t="shared" si="206"/>
        <v>0</v>
      </c>
    </row>
    <row r="13130" spans="3:4" ht="15" x14ac:dyDescent="0.25">
      <c r="C13130" s="8" t="e">
        <f>VLOOKUP(A:A,'ITEM LIST'!A:C,3,0)</f>
        <v>#N/A</v>
      </c>
      <c r="D13130" s="6">
        <f t="shared" si="206"/>
        <v>0</v>
      </c>
    </row>
    <row r="13131" spans="3:4" ht="15" x14ac:dyDescent="0.25">
      <c r="C13131" s="8" t="e">
        <f>VLOOKUP(A:A,'ITEM LIST'!A:C,3,0)</f>
        <v>#N/A</v>
      </c>
      <c r="D13131" s="6">
        <f t="shared" si="206"/>
        <v>0</v>
      </c>
    </row>
    <row r="13132" spans="3:4" ht="15" x14ac:dyDescent="0.25">
      <c r="C13132" s="8" t="e">
        <f>VLOOKUP(A:A,'ITEM LIST'!A:C,3,0)</f>
        <v>#N/A</v>
      </c>
      <c r="D13132" s="6">
        <f t="shared" si="206"/>
        <v>0</v>
      </c>
    </row>
    <row r="13133" spans="3:4" ht="15" x14ac:dyDescent="0.25">
      <c r="C13133" s="8" t="e">
        <f>VLOOKUP(A:A,'ITEM LIST'!A:C,3,0)</f>
        <v>#N/A</v>
      </c>
      <c r="D13133" s="6">
        <f t="shared" si="206"/>
        <v>0</v>
      </c>
    </row>
    <row r="13134" spans="3:4" ht="15" x14ac:dyDescent="0.25">
      <c r="C13134" s="8" t="e">
        <f>VLOOKUP(A:A,'ITEM LIST'!A:C,3,0)</f>
        <v>#N/A</v>
      </c>
      <c r="D13134" s="6">
        <f t="shared" si="206"/>
        <v>0</v>
      </c>
    </row>
    <row r="13135" spans="3:4" ht="15" x14ac:dyDescent="0.25">
      <c r="C13135" s="8" t="e">
        <f>VLOOKUP(A:A,'ITEM LIST'!A:C,3,0)</f>
        <v>#N/A</v>
      </c>
      <c r="D13135" s="6">
        <f t="shared" si="206"/>
        <v>0</v>
      </c>
    </row>
    <row r="13136" spans="3:4" ht="15" x14ac:dyDescent="0.25">
      <c r="C13136" s="8" t="e">
        <f>VLOOKUP(A:A,'ITEM LIST'!A:C,3,0)</f>
        <v>#N/A</v>
      </c>
      <c r="D13136" s="6">
        <f t="shared" si="206"/>
        <v>0</v>
      </c>
    </row>
    <row r="13137" spans="3:4" ht="15" x14ac:dyDescent="0.25">
      <c r="C13137" s="8" t="e">
        <f>VLOOKUP(A:A,'ITEM LIST'!A:C,3,0)</f>
        <v>#N/A</v>
      </c>
      <c r="D13137" s="6">
        <f t="shared" si="206"/>
        <v>0</v>
      </c>
    </row>
    <row r="13138" spans="3:4" ht="15" x14ac:dyDescent="0.25">
      <c r="C13138" s="8" t="e">
        <f>VLOOKUP(A:A,'ITEM LIST'!A:C,3,0)</f>
        <v>#N/A</v>
      </c>
      <c r="D13138" s="6">
        <f t="shared" si="206"/>
        <v>0</v>
      </c>
    </row>
    <row r="13139" spans="3:4" ht="15" x14ac:dyDescent="0.25">
      <c r="C13139" s="8" t="e">
        <f>VLOOKUP(A:A,'ITEM LIST'!A:C,3,0)</f>
        <v>#N/A</v>
      </c>
      <c r="D13139" s="6">
        <f t="shared" si="206"/>
        <v>0</v>
      </c>
    </row>
    <row r="13140" spans="3:4" ht="15" x14ac:dyDescent="0.25">
      <c r="C13140" s="8" t="e">
        <f>VLOOKUP(A:A,'ITEM LIST'!A:C,3,0)</f>
        <v>#N/A</v>
      </c>
      <c r="D13140" s="6">
        <f t="shared" si="206"/>
        <v>0</v>
      </c>
    </row>
    <row r="13141" spans="3:4" ht="15" x14ac:dyDescent="0.25">
      <c r="C13141" s="8" t="e">
        <f>VLOOKUP(A:A,'ITEM LIST'!A:C,3,0)</f>
        <v>#N/A</v>
      </c>
      <c r="D13141" s="6">
        <f t="shared" si="206"/>
        <v>0</v>
      </c>
    </row>
    <row r="13142" spans="3:4" ht="15" x14ac:dyDescent="0.25">
      <c r="C13142" s="8" t="e">
        <f>VLOOKUP(A:A,'ITEM LIST'!A:C,3,0)</f>
        <v>#N/A</v>
      </c>
      <c r="D13142" s="6">
        <f t="shared" si="206"/>
        <v>0</v>
      </c>
    </row>
    <row r="13143" spans="3:4" ht="15" x14ac:dyDescent="0.25">
      <c r="C13143" s="8" t="e">
        <f>VLOOKUP(A:A,'ITEM LIST'!A:C,3,0)</f>
        <v>#N/A</v>
      </c>
      <c r="D13143" s="6">
        <f t="shared" si="206"/>
        <v>0</v>
      </c>
    </row>
    <row r="13144" spans="3:4" ht="15" x14ac:dyDescent="0.25">
      <c r="C13144" s="8" t="e">
        <f>VLOOKUP(A:A,'ITEM LIST'!A:C,3,0)</f>
        <v>#N/A</v>
      </c>
      <c r="D13144" s="6">
        <f t="shared" si="206"/>
        <v>0</v>
      </c>
    </row>
    <row r="13145" spans="3:4" ht="15" x14ac:dyDescent="0.25">
      <c r="C13145" s="8" t="e">
        <f>VLOOKUP(A:A,'ITEM LIST'!A:C,3,0)</f>
        <v>#N/A</v>
      </c>
      <c r="D13145" s="6">
        <f t="shared" si="206"/>
        <v>0</v>
      </c>
    </row>
    <row r="13146" spans="3:4" ht="15" x14ac:dyDescent="0.25">
      <c r="C13146" s="8" t="e">
        <f>VLOOKUP(A:A,'ITEM LIST'!A:C,3,0)</f>
        <v>#N/A</v>
      </c>
      <c r="D13146" s="6">
        <f t="shared" si="206"/>
        <v>0</v>
      </c>
    </row>
    <row r="13147" spans="3:4" ht="15" x14ac:dyDescent="0.25">
      <c r="C13147" s="8" t="e">
        <f>VLOOKUP(A:A,'ITEM LIST'!A:C,3,0)</f>
        <v>#N/A</v>
      </c>
      <c r="D13147" s="6">
        <f t="shared" si="206"/>
        <v>0</v>
      </c>
    </row>
    <row r="13148" spans="3:4" ht="15" x14ac:dyDescent="0.25">
      <c r="C13148" s="8" t="e">
        <f>VLOOKUP(A:A,'ITEM LIST'!A:C,3,0)</f>
        <v>#N/A</v>
      </c>
      <c r="D13148" s="6">
        <f t="shared" si="206"/>
        <v>0</v>
      </c>
    </row>
    <row r="13149" spans="3:4" ht="15" x14ac:dyDescent="0.25">
      <c r="C13149" s="8" t="e">
        <f>VLOOKUP(A:A,'ITEM LIST'!A:C,3,0)</f>
        <v>#N/A</v>
      </c>
      <c r="D13149" s="6">
        <f t="shared" si="206"/>
        <v>0</v>
      </c>
    </row>
    <row r="13150" spans="3:4" ht="15" x14ac:dyDescent="0.25">
      <c r="C13150" s="8" t="e">
        <f>VLOOKUP(A:A,'ITEM LIST'!A:C,3,0)</f>
        <v>#N/A</v>
      </c>
      <c r="D13150" s="6">
        <f t="shared" si="206"/>
        <v>0</v>
      </c>
    </row>
    <row r="13151" spans="3:4" ht="15" x14ac:dyDescent="0.25">
      <c r="C13151" s="8" t="e">
        <f>VLOOKUP(A:A,'ITEM LIST'!A:C,3,0)</f>
        <v>#N/A</v>
      </c>
      <c r="D13151" s="6">
        <f t="shared" si="206"/>
        <v>0</v>
      </c>
    </row>
    <row r="13152" spans="3:4" ht="15" x14ac:dyDescent="0.25">
      <c r="C13152" s="8" t="e">
        <f>VLOOKUP(A:A,'ITEM LIST'!A:C,3,0)</f>
        <v>#N/A</v>
      </c>
      <c r="D13152" s="6">
        <f t="shared" si="206"/>
        <v>0</v>
      </c>
    </row>
    <row r="13153" spans="3:4" ht="15" x14ac:dyDescent="0.25">
      <c r="C13153" s="8" t="e">
        <f>VLOOKUP(A:A,'ITEM LIST'!A:C,3,0)</f>
        <v>#N/A</v>
      </c>
      <c r="D13153" s="6">
        <f t="shared" si="206"/>
        <v>0</v>
      </c>
    </row>
    <row r="13154" spans="3:4" ht="15" x14ac:dyDescent="0.25">
      <c r="C13154" s="8" t="e">
        <f>VLOOKUP(A:A,'ITEM LIST'!A:C,3,0)</f>
        <v>#N/A</v>
      </c>
      <c r="D13154" s="6">
        <f t="shared" si="206"/>
        <v>0</v>
      </c>
    </row>
    <row r="13155" spans="3:4" ht="15" x14ac:dyDescent="0.25">
      <c r="C13155" s="8" t="e">
        <f>VLOOKUP(A:A,'ITEM LIST'!A:C,3,0)</f>
        <v>#N/A</v>
      </c>
      <c r="D13155" s="6">
        <f t="shared" si="206"/>
        <v>0</v>
      </c>
    </row>
    <row r="13156" spans="3:4" ht="15" x14ac:dyDescent="0.25">
      <c r="C13156" s="8" t="e">
        <f>VLOOKUP(A:A,'ITEM LIST'!A:C,3,0)</f>
        <v>#N/A</v>
      </c>
      <c r="D13156" s="6">
        <f t="shared" si="206"/>
        <v>0</v>
      </c>
    </row>
    <row r="13157" spans="3:4" ht="15" x14ac:dyDescent="0.25">
      <c r="C13157" s="8" t="e">
        <f>VLOOKUP(A:A,'ITEM LIST'!A:C,3,0)</f>
        <v>#N/A</v>
      </c>
      <c r="D13157" s="6">
        <f t="shared" si="206"/>
        <v>0</v>
      </c>
    </row>
    <row r="13158" spans="3:4" ht="15" x14ac:dyDescent="0.25">
      <c r="C13158" s="8" t="e">
        <f>VLOOKUP(A:A,'ITEM LIST'!A:C,3,0)</f>
        <v>#N/A</v>
      </c>
      <c r="D13158" s="6">
        <f t="shared" si="206"/>
        <v>0</v>
      </c>
    </row>
    <row r="13159" spans="3:4" ht="15" x14ac:dyDescent="0.25">
      <c r="C13159" s="8" t="e">
        <f>VLOOKUP(A:A,'ITEM LIST'!A:C,3,0)</f>
        <v>#N/A</v>
      </c>
      <c r="D13159" s="6">
        <f t="shared" si="206"/>
        <v>0</v>
      </c>
    </row>
    <row r="13160" spans="3:4" ht="15" x14ac:dyDescent="0.25">
      <c r="C13160" s="8" t="e">
        <f>VLOOKUP(A:A,'ITEM LIST'!A:C,3,0)</f>
        <v>#N/A</v>
      </c>
      <c r="D13160" s="6">
        <f t="shared" si="206"/>
        <v>0</v>
      </c>
    </row>
    <row r="13161" spans="3:4" ht="15" x14ac:dyDescent="0.25">
      <c r="C13161" s="8" t="e">
        <f>VLOOKUP(A:A,'ITEM LIST'!A:C,3,0)</f>
        <v>#N/A</v>
      </c>
      <c r="D13161" s="6">
        <f t="shared" si="206"/>
        <v>0</v>
      </c>
    </row>
    <row r="13162" spans="3:4" ht="15" x14ac:dyDescent="0.25">
      <c r="C13162" s="8" t="e">
        <f>VLOOKUP(A:A,'ITEM LIST'!A:C,3,0)</f>
        <v>#N/A</v>
      </c>
      <c r="D13162" s="6">
        <f t="shared" si="206"/>
        <v>0</v>
      </c>
    </row>
    <row r="13163" spans="3:4" ht="15" x14ac:dyDescent="0.25">
      <c r="C13163" s="8" t="e">
        <f>VLOOKUP(A:A,'ITEM LIST'!A:C,3,0)</f>
        <v>#N/A</v>
      </c>
      <c r="D13163" s="6">
        <f t="shared" si="206"/>
        <v>0</v>
      </c>
    </row>
    <row r="13164" spans="3:4" ht="15" x14ac:dyDescent="0.25">
      <c r="C13164" s="8" t="e">
        <f>VLOOKUP(A:A,'ITEM LIST'!A:C,3,0)</f>
        <v>#N/A</v>
      </c>
      <c r="D13164" s="6">
        <f t="shared" si="206"/>
        <v>0</v>
      </c>
    </row>
    <row r="13165" spans="3:4" ht="15" x14ac:dyDescent="0.25">
      <c r="C13165" s="8" t="e">
        <f>VLOOKUP(A:A,'ITEM LIST'!A:C,3,0)</f>
        <v>#N/A</v>
      </c>
      <c r="D13165" s="6">
        <f t="shared" si="206"/>
        <v>0</v>
      </c>
    </row>
    <row r="13166" spans="3:4" ht="15" x14ac:dyDescent="0.25">
      <c r="C13166" s="8" t="e">
        <f>VLOOKUP(A:A,'ITEM LIST'!A:C,3,0)</f>
        <v>#N/A</v>
      </c>
      <c r="D13166" s="6">
        <f t="shared" si="206"/>
        <v>0</v>
      </c>
    </row>
    <row r="13167" spans="3:4" ht="15" x14ac:dyDescent="0.25">
      <c r="C13167" s="8" t="e">
        <f>VLOOKUP(A:A,'ITEM LIST'!A:C,3,0)</f>
        <v>#N/A</v>
      </c>
      <c r="D13167" s="6">
        <f t="shared" si="206"/>
        <v>0</v>
      </c>
    </row>
    <row r="13168" spans="3:4" ht="15" x14ac:dyDescent="0.25">
      <c r="C13168" s="8" t="e">
        <f>VLOOKUP(A:A,'ITEM LIST'!A:C,3,0)</f>
        <v>#N/A</v>
      </c>
      <c r="D13168" s="6">
        <f t="shared" si="206"/>
        <v>0</v>
      </c>
    </row>
    <row r="13169" spans="3:4" ht="15" x14ac:dyDescent="0.25">
      <c r="C13169" s="8" t="e">
        <f>VLOOKUP(A:A,'ITEM LIST'!A:C,3,0)</f>
        <v>#N/A</v>
      </c>
      <c r="D13169" s="6">
        <f t="shared" si="206"/>
        <v>0</v>
      </c>
    </row>
    <row r="13170" spans="3:4" ht="15" x14ac:dyDescent="0.25">
      <c r="C13170" s="8" t="e">
        <f>VLOOKUP(A:A,'ITEM LIST'!A:C,3,0)</f>
        <v>#N/A</v>
      </c>
      <c r="D13170" s="6">
        <f t="shared" si="206"/>
        <v>0</v>
      </c>
    </row>
    <row r="13171" spans="3:4" ht="15" x14ac:dyDescent="0.25">
      <c r="C13171" s="8" t="e">
        <f>VLOOKUP(A:A,'ITEM LIST'!A:C,3,0)</f>
        <v>#N/A</v>
      </c>
      <c r="D13171" s="6">
        <f t="shared" si="206"/>
        <v>0</v>
      </c>
    </row>
    <row r="13172" spans="3:4" ht="15" x14ac:dyDescent="0.25">
      <c r="C13172" s="8" t="e">
        <f>VLOOKUP(A:A,'ITEM LIST'!A:C,3,0)</f>
        <v>#N/A</v>
      </c>
      <c r="D13172" s="6">
        <f t="shared" si="206"/>
        <v>0</v>
      </c>
    </row>
    <row r="13173" spans="3:4" ht="15" x14ac:dyDescent="0.25">
      <c r="C13173" s="8" t="e">
        <f>VLOOKUP(A:A,'ITEM LIST'!A:C,3,0)</f>
        <v>#N/A</v>
      </c>
      <c r="D13173" s="6">
        <f t="shared" si="206"/>
        <v>0</v>
      </c>
    </row>
    <row r="13174" spans="3:4" ht="15" x14ac:dyDescent="0.25">
      <c r="C13174" s="8" t="e">
        <f>VLOOKUP(A:A,'ITEM LIST'!A:C,3,0)</f>
        <v>#N/A</v>
      </c>
      <c r="D13174" s="6">
        <f t="shared" si="206"/>
        <v>0</v>
      </c>
    </row>
    <row r="13175" spans="3:4" ht="15" x14ac:dyDescent="0.25">
      <c r="C13175" s="8" t="e">
        <f>VLOOKUP(A:A,'ITEM LIST'!A:C,3,0)</f>
        <v>#N/A</v>
      </c>
      <c r="D13175" s="6">
        <f t="shared" si="206"/>
        <v>0</v>
      </c>
    </row>
    <row r="13176" spans="3:4" ht="15" x14ac:dyDescent="0.25">
      <c r="C13176" s="8" t="e">
        <f>VLOOKUP(A:A,'ITEM LIST'!A:C,3,0)</f>
        <v>#N/A</v>
      </c>
      <c r="D13176" s="6">
        <f t="shared" si="206"/>
        <v>0</v>
      </c>
    </row>
    <row r="13177" spans="3:4" ht="15" x14ac:dyDescent="0.25">
      <c r="C13177" s="8" t="e">
        <f>VLOOKUP(A:A,'ITEM LIST'!A:C,3,0)</f>
        <v>#N/A</v>
      </c>
      <c r="D13177" s="6">
        <f t="shared" si="206"/>
        <v>0</v>
      </c>
    </row>
    <row r="13178" spans="3:4" ht="15" x14ac:dyDescent="0.25">
      <c r="C13178" s="8" t="e">
        <f>VLOOKUP(A:A,'ITEM LIST'!A:C,3,0)</f>
        <v>#N/A</v>
      </c>
      <c r="D13178" s="6">
        <f t="shared" si="206"/>
        <v>0</v>
      </c>
    </row>
    <row r="13179" spans="3:4" ht="15" x14ac:dyDescent="0.25">
      <c r="C13179" s="8" t="e">
        <f>VLOOKUP(A:A,'ITEM LIST'!A:C,3,0)</f>
        <v>#N/A</v>
      </c>
      <c r="D13179" s="6">
        <f t="shared" si="206"/>
        <v>0</v>
      </c>
    </row>
    <row r="13180" spans="3:4" ht="15" x14ac:dyDescent="0.25">
      <c r="C13180" s="8" t="e">
        <f>VLOOKUP(A:A,'ITEM LIST'!A:C,3,0)</f>
        <v>#N/A</v>
      </c>
      <c r="D13180" s="6">
        <f t="shared" si="206"/>
        <v>0</v>
      </c>
    </row>
    <row r="13181" spans="3:4" ht="15" x14ac:dyDescent="0.25">
      <c r="C13181" s="8" t="e">
        <f>VLOOKUP(A:A,'ITEM LIST'!A:C,3,0)</f>
        <v>#N/A</v>
      </c>
      <c r="D13181" s="6">
        <f t="shared" si="206"/>
        <v>0</v>
      </c>
    </row>
    <row r="13182" spans="3:4" ht="15" x14ac:dyDescent="0.25">
      <c r="C13182" s="8" t="e">
        <f>VLOOKUP(A:A,'ITEM LIST'!A:C,3,0)</f>
        <v>#N/A</v>
      </c>
      <c r="D13182" s="6">
        <f t="shared" si="206"/>
        <v>0</v>
      </c>
    </row>
    <row r="13183" spans="3:4" ht="15" x14ac:dyDescent="0.25">
      <c r="C13183" s="8" t="e">
        <f>VLOOKUP(A:A,'ITEM LIST'!A:C,3,0)</f>
        <v>#N/A</v>
      </c>
      <c r="D13183" s="6">
        <f t="shared" si="206"/>
        <v>0</v>
      </c>
    </row>
    <row r="13184" spans="3:4" ht="15" x14ac:dyDescent="0.25">
      <c r="C13184" s="8" t="e">
        <f>VLOOKUP(A:A,'ITEM LIST'!A:C,3,0)</f>
        <v>#N/A</v>
      </c>
      <c r="D13184" s="6">
        <f t="shared" si="206"/>
        <v>0</v>
      </c>
    </row>
    <row r="13185" spans="3:4" ht="15" x14ac:dyDescent="0.25">
      <c r="C13185" s="8" t="e">
        <f>VLOOKUP(A:A,'ITEM LIST'!A:C,3,0)</f>
        <v>#N/A</v>
      </c>
      <c r="D13185" s="6">
        <f t="shared" si="206"/>
        <v>0</v>
      </c>
    </row>
    <row r="13186" spans="3:4" ht="15" x14ac:dyDescent="0.25">
      <c r="C13186" s="8" t="e">
        <f>VLOOKUP(A:A,'ITEM LIST'!A:C,3,0)</f>
        <v>#N/A</v>
      </c>
      <c r="D13186" s="6">
        <f t="shared" si="206"/>
        <v>0</v>
      </c>
    </row>
    <row r="13187" spans="3:4" ht="15" x14ac:dyDescent="0.25">
      <c r="C13187" s="8" t="e">
        <f>VLOOKUP(A:A,'ITEM LIST'!A:C,3,0)</f>
        <v>#N/A</v>
      </c>
      <c r="D13187" s="6">
        <f t="shared" si="206"/>
        <v>0</v>
      </c>
    </row>
    <row r="13188" spans="3:4" ht="15" x14ac:dyDescent="0.25">
      <c r="C13188" s="8" t="e">
        <f>VLOOKUP(A:A,'ITEM LIST'!A:C,3,0)</f>
        <v>#N/A</v>
      </c>
      <c r="D13188" s="6">
        <f t="shared" si="206"/>
        <v>0</v>
      </c>
    </row>
    <row r="13189" spans="3:4" ht="15" x14ac:dyDescent="0.25">
      <c r="C13189" s="8" t="e">
        <f>VLOOKUP(A:A,'ITEM LIST'!A:C,3,0)</f>
        <v>#N/A</v>
      </c>
      <c r="D13189" s="6">
        <f t="shared" si="206"/>
        <v>0</v>
      </c>
    </row>
    <row r="13190" spans="3:4" ht="15" x14ac:dyDescent="0.25">
      <c r="C13190" s="8" t="e">
        <f>VLOOKUP(A:A,'ITEM LIST'!A:C,3,0)</f>
        <v>#N/A</v>
      </c>
      <c r="D13190" s="6">
        <f t="shared" ref="D13190:D13253" si="207">B13190</f>
        <v>0</v>
      </c>
    </row>
    <row r="13191" spans="3:4" ht="15" x14ac:dyDescent="0.25">
      <c r="C13191" s="8" t="e">
        <f>VLOOKUP(A:A,'ITEM LIST'!A:C,3,0)</f>
        <v>#N/A</v>
      </c>
      <c r="D13191" s="6">
        <f t="shared" si="207"/>
        <v>0</v>
      </c>
    </row>
    <row r="13192" spans="3:4" ht="15" x14ac:dyDescent="0.25">
      <c r="C13192" s="8" t="e">
        <f>VLOOKUP(A:A,'ITEM LIST'!A:C,3,0)</f>
        <v>#N/A</v>
      </c>
      <c r="D13192" s="6">
        <f t="shared" si="207"/>
        <v>0</v>
      </c>
    </row>
    <row r="13193" spans="3:4" ht="15" x14ac:dyDescent="0.25">
      <c r="C13193" s="8" t="e">
        <f>VLOOKUP(A:A,'ITEM LIST'!A:C,3,0)</f>
        <v>#N/A</v>
      </c>
      <c r="D13193" s="6">
        <f t="shared" si="207"/>
        <v>0</v>
      </c>
    </row>
    <row r="13194" spans="3:4" ht="15" x14ac:dyDescent="0.25">
      <c r="C13194" s="8" t="e">
        <f>VLOOKUP(A:A,'ITEM LIST'!A:C,3,0)</f>
        <v>#N/A</v>
      </c>
      <c r="D13194" s="6">
        <f t="shared" si="207"/>
        <v>0</v>
      </c>
    </row>
    <row r="13195" spans="3:4" ht="15" x14ac:dyDescent="0.25">
      <c r="C13195" s="8" t="e">
        <f>VLOOKUP(A:A,'ITEM LIST'!A:C,3,0)</f>
        <v>#N/A</v>
      </c>
      <c r="D13195" s="6">
        <f t="shared" si="207"/>
        <v>0</v>
      </c>
    </row>
    <row r="13196" spans="3:4" ht="15" x14ac:dyDescent="0.25">
      <c r="C13196" s="8" t="e">
        <f>VLOOKUP(A:A,'ITEM LIST'!A:C,3,0)</f>
        <v>#N/A</v>
      </c>
      <c r="D13196" s="6">
        <f t="shared" si="207"/>
        <v>0</v>
      </c>
    </row>
    <row r="13197" spans="3:4" ht="15" x14ac:dyDescent="0.25">
      <c r="C13197" s="8" t="e">
        <f>VLOOKUP(A:A,'ITEM LIST'!A:C,3,0)</f>
        <v>#N/A</v>
      </c>
      <c r="D13197" s="6">
        <f t="shared" si="207"/>
        <v>0</v>
      </c>
    </row>
    <row r="13198" spans="3:4" ht="15" x14ac:dyDescent="0.25">
      <c r="C13198" s="8" t="e">
        <f>VLOOKUP(A:A,'ITEM LIST'!A:C,3,0)</f>
        <v>#N/A</v>
      </c>
      <c r="D13198" s="6">
        <f t="shared" si="207"/>
        <v>0</v>
      </c>
    </row>
    <row r="13199" spans="3:4" ht="15" x14ac:dyDescent="0.25">
      <c r="C13199" s="8" t="e">
        <f>VLOOKUP(A:A,'ITEM LIST'!A:C,3,0)</f>
        <v>#N/A</v>
      </c>
      <c r="D13199" s="6">
        <f t="shared" si="207"/>
        <v>0</v>
      </c>
    </row>
    <row r="13200" spans="3:4" ht="15" x14ac:dyDescent="0.25">
      <c r="C13200" s="8" t="e">
        <f>VLOOKUP(A:A,'ITEM LIST'!A:C,3,0)</f>
        <v>#N/A</v>
      </c>
      <c r="D13200" s="6">
        <f t="shared" si="207"/>
        <v>0</v>
      </c>
    </row>
    <row r="13201" spans="3:4" ht="15" x14ac:dyDescent="0.25">
      <c r="C13201" s="8" t="e">
        <f>VLOOKUP(A:A,'ITEM LIST'!A:C,3,0)</f>
        <v>#N/A</v>
      </c>
      <c r="D13201" s="6">
        <f t="shared" si="207"/>
        <v>0</v>
      </c>
    </row>
    <row r="13202" spans="3:4" ht="15" x14ac:dyDescent="0.25">
      <c r="C13202" s="8" t="e">
        <f>VLOOKUP(A:A,'ITEM LIST'!A:C,3,0)</f>
        <v>#N/A</v>
      </c>
      <c r="D13202" s="6">
        <f t="shared" si="207"/>
        <v>0</v>
      </c>
    </row>
    <row r="13203" spans="3:4" ht="15" x14ac:dyDescent="0.25">
      <c r="C13203" s="8" t="e">
        <f>VLOOKUP(A:A,'ITEM LIST'!A:C,3,0)</f>
        <v>#N/A</v>
      </c>
      <c r="D13203" s="6">
        <f t="shared" si="207"/>
        <v>0</v>
      </c>
    </row>
    <row r="13204" spans="3:4" ht="15" x14ac:dyDescent="0.25">
      <c r="C13204" s="8" t="e">
        <f>VLOOKUP(A:A,'ITEM LIST'!A:C,3,0)</f>
        <v>#N/A</v>
      </c>
      <c r="D13204" s="6">
        <f t="shared" si="207"/>
        <v>0</v>
      </c>
    </row>
    <row r="13205" spans="3:4" ht="15" x14ac:dyDescent="0.25">
      <c r="C13205" s="8" t="e">
        <f>VLOOKUP(A:A,'ITEM LIST'!A:C,3,0)</f>
        <v>#N/A</v>
      </c>
      <c r="D13205" s="6">
        <f t="shared" si="207"/>
        <v>0</v>
      </c>
    </row>
    <row r="13206" spans="3:4" ht="15" x14ac:dyDescent="0.25">
      <c r="C13206" s="8" t="e">
        <f>VLOOKUP(A:A,'ITEM LIST'!A:C,3,0)</f>
        <v>#N/A</v>
      </c>
      <c r="D13206" s="6">
        <f t="shared" si="207"/>
        <v>0</v>
      </c>
    </row>
    <row r="13207" spans="3:4" ht="15" x14ac:dyDescent="0.25">
      <c r="C13207" s="8" t="e">
        <f>VLOOKUP(A:A,'ITEM LIST'!A:C,3,0)</f>
        <v>#N/A</v>
      </c>
      <c r="D13207" s="6">
        <f t="shared" si="207"/>
        <v>0</v>
      </c>
    </row>
    <row r="13208" spans="3:4" ht="15" x14ac:dyDescent="0.25">
      <c r="C13208" s="8" t="e">
        <f>VLOOKUP(A:A,'ITEM LIST'!A:C,3,0)</f>
        <v>#N/A</v>
      </c>
      <c r="D13208" s="6">
        <f t="shared" si="207"/>
        <v>0</v>
      </c>
    </row>
    <row r="13209" spans="3:4" ht="15" x14ac:dyDescent="0.25">
      <c r="C13209" s="8" t="e">
        <f>VLOOKUP(A:A,'ITEM LIST'!A:C,3,0)</f>
        <v>#N/A</v>
      </c>
      <c r="D13209" s="6">
        <f t="shared" si="207"/>
        <v>0</v>
      </c>
    </row>
    <row r="13210" spans="3:4" ht="15" x14ac:dyDescent="0.25">
      <c r="C13210" s="8" t="e">
        <f>VLOOKUP(A:A,'ITEM LIST'!A:C,3,0)</f>
        <v>#N/A</v>
      </c>
      <c r="D13210" s="6">
        <f t="shared" si="207"/>
        <v>0</v>
      </c>
    </row>
    <row r="13211" spans="3:4" ht="15" x14ac:dyDescent="0.25">
      <c r="C13211" s="8" t="e">
        <f>VLOOKUP(A:A,'ITEM LIST'!A:C,3,0)</f>
        <v>#N/A</v>
      </c>
      <c r="D13211" s="6">
        <f t="shared" si="207"/>
        <v>0</v>
      </c>
    </row>
    <row r="13212" spans="3:4" ht="15" x14ac:dyDescent="0.25">
      <c r="C13212" s="8" t="e">
        <f>VLOOKUP(A:A,'ITEM LIST'!A:C,3,0)</f>
        <v>#N/A</v>
      </c>
      <c r="D13212" s="6">
        <f t="shared" si="207"/>
        <v>0</v>
      </c>
    </row>
    <row r="13213" spans="3:4" ht="15" x14ac:dyDescent="0.25">
      <c r="C13213" s="8" t="e">
        <f>VLOOKUP(A:A,'ITEM LIST'!A:C,3,0)</f>
        <v>#N/A</v>
      </c>
      <c r="D13213" s="6">
        <f t="shared" si="207"/>
        <v>0</v>
      </c>
    </row>
    <row r="13214" spans="3:4" ht="15" x14ac:dyDescent="0.25">
      <c r="C13214" s="8" t="e">
        <f>VLOOKUP(A:A,'ITEM LIST'!A:C,3,0)</f>
        <v>#N/A</v>
      </c>
      <c r="D13214" s="6">
        <f t="shared" si="207"/>
        <v>0</v>
      </c>
    </row>
    <row r="13215" spans="3:4" ht="15" x14ac:dyDescent="0.25">
      <c r="C13215" s="8" t="e">
        <f>VLOOKUP(A:A,'ITEM LIST'!A:C,3,0)</f>
        <v>#N/A</v>
      </c>
      <c r="D13215" s="6">
        <f t="shared" si="207"/>
        <v>0</v>
      </c>
    </row>
    <row r="13216" spans="3:4" ht="15" x14ac:dyDescent="0.25">
      <c r="C13216" s="8" t="e">
        <f>VLOOKUP(A:A,'ITEM LIST'!A:C,3,0)</f>
        <v>#N/A</v>
      </c>
      <c r="D13216" s="6">
        <f t="shared" si="207"/>
        <v>0</v>
      </c>
    </row>
    <row r="13217" spans="3:4" ht="15" x14ac:dyDescent="0.25">
      <c r="C13217" s="8" t="e">
        <f>VLOOKUP(A:A,'ITEM LIST'!A:C,3,0)</f>
        <v>#N/A</v>
      </c>
      <c r="D13217" s="6">
        <f t="shared" si="207"/>
        <v>0</v>
      </c>
    </row>
    <row r="13218" spans="3:4" ht="15" x14ac:dyDescent="0.25">
      <c r="C13218" s="8" t="e">
        <f>VLOOKUP(A:A,'ITEM LIST'!A:C,3,0)</f>
        <v>#N/A</v>
      </c>
      <c r="D13218" s="6">
        <f t="shared" si="207"/>
        <v>0</v>
      </c>
    </row>
    <row r="13219" spans="3:4" ht="15" x14ac:dyDescent="0.25">
      <c r="C13219" s="8" t="e">
        <f>VLOOKUP(A:A,'ITEM LIST'!A:C,3,0)</f>
        <v>#N/A</v>
      </c>
      <c r="D13219" s="6">
        <f t="shared" si="207"/>
        <v>0</v>
      </c>
    </row>
    <row r="13220" spans="3:4" ht="15" x14ac:dyDescent="0.25">
      <c r="C13220" s="8" t="e">
        <f>VLOOKUP(A:A,'ITEM LIST'!A:C,3,0)</f>
        <v>#N/A</v>
      </c>
      <c r="D13220" s="6">
        <f t="shared" si="207"/>
        <v>0</v>
      </c>
    </row>
    <row r="13221" spans="3:4" ht="15" x14ac:dyDescent="0.25">
      <c r="C13221" s="8" t="e">
        <f>VLOOKUP(A:A,'ITEM LIST'!A:C,3,0)</f>
        <v>#N/A</v>
      </c>
      <c r="D13221" s="6">
        <f t="shared" si="207"/>
        <v>0</v>
      </c>
    </row>
    <row r="13222" spans="3:4" ht="15" x14ac:dyDescent="0.25">
      <c r="C13222" s="8" t="e">
        <f>VLOOKUP(A:A,'ITEM LIST'!A:C,3,0)</f>
        <v>#N/A</v>
      </c>
      <c r="D13222" s="6">
        <f t="shared" si="207"/>
        <v>0</v>
      </c>
    </row>
    <row r="13223" spans="3:4" ht="15" x14ac:dyDescent="0.25">
      <c r="C13223" s="8" t="e">
        <f>VLOOKUP(A:A,'ITEM LIST'!A:C,3,0)</f>
        <v>#N/A</v>
      </c>
      <c r="D13223" s="6">
        <f t="shared" si="207"/>
        <v>0</v>
      </c>
    </row>
    <row r="13224" spans="3:4" ht="15" x14ac:dyDescent="0.25">
      <c r="C13224" s="8" t="e">
        <f>VLOOKUP(A:A,'ITEM LIST'!A:C,3,0)</f>
        <v>#N/A</v>
      </c>
      <c r="D13224" s="6">
        <f t="shared" si="207"/>
        <v>0</v>
      </c>
    </row>
    <row r="13225" spans="3:4" ht="15" x14ac:dyDescent="0.25">
      <c r="C13225" s="8" t="e">
        <f>VLOOKUP(A:A,'ITEM LIST'!A:C,3,0)</f>
        <v>#N/A</v>
      </c>
      <c r="D13225" s="6">
        <f t="shared" si="207"/>
        <v>0</v>
      </c>
    </row>
    <row r="13226" spans="3:4" ht="15" x14ac:dyDescent="0.25">
      <c r="C13226" s="8" t="e">
        <f>VLOOKUP(A:A,'ITEM LIST'!A:C,3,0)</f>
        <v>#N/A</v>
      </c>
      <c r="D13226" s="6">
        <f t="shared" si="207"/>
        <v>0</v>
      </c>
    </row>
    <row r="13227" spans="3:4" ht="15" x14ac:dyDescent="0.25">
      <c r="C13227" s="8" t="e">
        <f>VLOOKUP(A:A,'ITEM LIST'!A:C,3,0)</f>
        <v>#N/A</v>
      </c>
      <c r="D13227" s="6">
        <f t="shared" si="207"/>
        <v>0</v>
      </c>
    </row>
    <row r="13228" spans="3:4" ht="15" x14ac:dyDescent="0.25">
      <c r="C13228" s="8" t="e">
        <f>VLOOKUP(A:A,'ITEM LIST'!A:C,3,0)</f>
        <v>#N/A</v>
      </c>
      <c r="D13228" s="6">
        <f t="shared" si="207"/>
        <v>0</v>
      </c>
    </row>
    <row r="13229" spans="3:4" ht="15" x14ac:dyDescent="0.25">
      <c r="C13229" s="8" t="e">
        <f>VLOOKUP(A:A,'ITEM LIST'!A:C,3,0)</f>
        <v>#N/A</v>
      </c>
      <c r="D13229" s="6">
        <f t="shared" si="207"/>
        <v>0</v>
      </c>
    </row>
    <row r="13230" spans="3:4" ht="15" x14ac:dyDescent="0.25">
      <c r="C13230" s="8" t="e">
        <f>VLOOKUP(A:A,'ITEM LIST'!A:C,3,0)</f>
        <v>#N/A</v>
      </c>
      <c r="D13230" s="6">
        <f t="shared" si="207"/>
        <v>0</v>
      </c>
    </row>
    <row r="13231" spans="3:4" ht="15" x14ac:dyDescent="0.25">
      <c r="C13231" s="8" t="e">
        <f>VLOOKUP(A:A,'ITEM LIST'!A:C,3,0)</f>
        <v>#N/A</v>
      </c>
      <c r="D13231" s="6">
        <f t="shared" si="207"/>
        <v>0</v>
      </c>
    </row>
    <row r="13232" spans="3:4" ht="15" x14ac:dyDescent="0.25">
      <c r="C13232" s="8" t="e">
        <f>VLOOKUP(A:A,'ITEM LIST'!A:C,3,0)</f>
        <v>#N/A</v>
      </c>
      <c r="D13232" s="6">
        <f t="shared" si="207"/>
        <v>0</v>
      </c>
    </row>
    <row r="13233" spans="3:4" ht="15" x14ac:dyDescent="0.25">
      <c r="C13233" s="8" t="e">
        <f>VLOOKUP(A:A,'ITEM LIST'!A:C,3,0)</f>
        <v>#N/A</v>
      </c>
      <c r="D13233" s="6">
        <f t="shared" si="207"/>
        <v>0</v>
      </c>
    </row>
    <row r="13234" spans="3:4" ht="15" x14ac:dyDescent="0.25">
      <c r="C13234" s="8" t="e">
        <f>VLOOKUP(A:A,'ITEM LIST'!A:C,3,0)</f>
        <v>#N/A</v>
      </c>
      <c r="D13234" s="6">
        <f t="shared" si="207"/>
        <v>0</v>
      </c>
    </row>
    <row r="13235" spans="3:4" ht="15" x14ac:dyDescent="0.25">
      <c r="C13235" s="8" t="e">
        <f>VLOOKUP(A:A,'ITEM LIST'!A:C,3,0)</f>
        <v>#N/A</v>
      </c>
      <c r="D13235" s="6">
        <f t="shared" si="207"/>
        <v>0</v>
      </c>
    </row>
    <row r="13236" spans="3:4" ht="15" x14ac:dyDescent="0.25">
      <c r="C13236" s="8" t="e">
        <f>VLOOKUP(A:A,'ITEM LIST'!A:C,3,0)</f>
        <v>#N/A</v>
      </c>
      <c r="D13236" s="6">
        <f t="shared" si="207"/>
        <v>0</v>
      </c>
    </row>
    <row r="13237" spans="3:4" ht="15" x14ac:dyDescent="0.25">
      <c r="C13237" s="8" t="e">
        <f>VLOOKUP(A:A,'ITEM LIST'!A:C,3,0)</f>
        <v>#N/A</v>
      </c>
      <c r="D13237" s="6">
        <f t="shared" si="207"/>
        <v>0</v>
      </c>
    </row>
    <row r="13238" spans="3:4" ht="15" x14ac:dyDescent="0.25">
      <c r="C13238" s="8" t="e">
        <f>VLOOKUP(A:A,'ITEM LIST'!A:C,3,0)</f>
        <v>#N/A</v>
      </c>
      <c r="D13238" s="6">
        <f t="shared" si="207"/>
        <v>0</v>
      </c>
    </row>
    <row r="13239" spans="3:4" ht="15" x14ac:dyDescent="0.25">
      <c r="C13239" s="8" t="e">
        <f>VLOOKUP(A:A,'ITEM LIST'!A:C,3,0)</f>
        <v>#N/A</v>
      </c>
      <c r="D13239" s="6">
        <f t="shared" si="207"/>
        <v>0</v>
      </c>
    </row>
    <row r="13240" spans="3:4" ht="15" x14ac:dyDescent="0.25">
      <c r="C13240" s="8" t="e">
        <f>VLOOKUP(A:A,'ITEM LIST'!A:C,3,0)</f>
        <v>#N/A</v>
      </c>
      <c r="D13240" s="6">
        <f t="shared" si="207"/>
        <v>0</v>
      </c>
    </row>
    <row r="13241" spans="3:4" ht="15" x14ac:dyDescent="0.25">
      <c r="C13241" s="8" t="e">
        <f>VLOOKUP(A:A,'ITEM LIST'!A:C,3,0)</f>
        <v>#N/A</v>
      </c>
      <c r="D13241" s="6">
        <f t="shared" si="207"/>
        <v>0</v>
      </c>
    </row>
    <row r="13242" spans="3:4" ht="15" x14ac:dyDescent="0.25">
      <c r="C13242" s="8" t="e">
        <f>VLOOKUP(A:A,'ITEM LIST'!A:C,3,0)</f>
        <v>#N/A</v>
      </c>
      <c r="D13242" s="6">
        <f t="shared" si="207"/>
        <v>0</v>
      </c>
    </row>
    <row r="13243" spans="3:4" ht="15" x14ac:dyDescent="0.25">
      <c r="C13243" s="8" t="e">
        <f>VLOOKUP(A:A,'ITEM LIST'!A:C,3,0)</f>
        <v>#N/A</v>
      </c>
      <c r="D13243" s="6">
        <f t="shared" si="207"/>
        <v>0</v>
      </c>
    </row>
    <row r="13244" spans="3:4" ht="15" x14ac:dyDescent="0.25">
      <c r="C13244" s="8" t="e">
        <f>VLOOKUP(A:A,'ITEM LIST'!A:C,3,0)</f>
        <v>#N/A</v>
      </c>
      <c r="D13244" s="6">
        <f t="shared" si="207"/>
        <v>0</v>
      </c>
    </row>
    <row r="13245" spans="3:4" ht="15" x14ac:dyDescent="0.25">
      <c r="C13245" s="8" t="e">
        <f>VLOOKUP(A:A,'ITEM LIST'!A:C,3,0)</f>
        <v>#N/A</v>
      </c>
      <c r="D13245" s="6">
        <f t="shared" si="207"/>
        <v>0</v>
      </c>
    </row>
    <row r="13246" spans="3:4" ht="15" x14ac:dyDescent="0.25">
      <c r="C13246" s="8" t="e">
        <f>VLOOKUP(A:A,'ITEM LIST'!A:C,3,0)</f>
        <v>#N/A</v>
      </c>
      <c r="D13246" s="6">
        <f t="shared" si="207"/>
        <v>0</v>
      </c>
    </row>
    <row r="13247" spans="3:4" ht="15" x14ac:dyDescent="0.25">
      <c r="C13247" s="8" t="e">
        <f>VLOOKUP(A:A,'ITEM LIST'!A:C,3,0)</f>
        <v>#N/A</v>
      </c>
      <c r="D13247" s="6">
        <f t="shared" si="207"/>
        <v>0</v>
      </c>
    </row>
    <row r="13248" spans="3:4" ht="15" x14ac:dyDescent="0.25">
      <c r="C13248" s="8" t="e">
        <f>VLOOKUP(A:A,'ITEM LIST'!A:C,3,0)</f>
        <v>#N/A</v>
      </c>
      <c r="D13248" s="6">
        <f t="shared" si="207"/>
        <v>0</v>
      </c>
    </row>
    <row r="13249" spans="3:4" ht="15" x14ac:dyDescent="0.25">
      <c r="C13249" s="8" t="e">
        <f>VLOOKUP(A:A,'ITEM LIST'!A:C,3,0)</f>
        <v>#N/A</v>
      </c>
      <c r="D13249" s="6">
        <f t="shared" si="207"/>
        <v>0</v>
      </c>
    </row>
    <row r="13250" spans="3:4" ht="15" x14ac:dyDescent="0.25">
      <c r="C13250" s="8" t="e">
        <f>VLOOKUP(A:A,'ITEM LIST'!A:C,3,0)</f>
        <v>#N/A</v>
      </c>
      <c r="D13250" s="6">
        <f t="shared" si="207"/>
        <v>0</v>
      </c>
    </row>
    <row r="13251" spans="3:4" ht="15" x14ac:dyDescent="0.25">
      <c r="C13251" s="8" t="e">
        <f>VLOOKUP(A:A,'ITEM LIST'!A:C,3,0)</f>
        <v>#N/A</v>
      </c>
      <c r="D13251" s="6">
        <f t="shared" si="207"/>
        <v>0</v>
      </c>
    </row>
    <row r="13252" spans="3:4" ht="15" x14ac:dyDescent="0.25">
      <c r="C13252" s="8" t="e">
        <f>VLOOKUP(A:A,'ITEM LIST'!A:C,3,0)</f>
        <v>#N/A</v>
      </c>
      <c r="D13252" s="6">
        <f t="shared" si="207"/>
        <v>0</v>
      </c>
    </row>
    <row r="13253" spans="3:4" ht="15" x14ac:dyDescent="0.25">
      <c r="C13253" s="8" t="e">
        <f>VLOOKUP(A:A,'ITEM LIST'!A:C,3,0)</f>
        <v>#N/A</v>
      </c>
      <c r="D13253" s="6">
        <f t="shared" si="207"/>
        <v>0</v>
      </c>
    </row>
    <row r="13254" spans="3:4" ht="15" x14ac:dyDescent="0.25">
      <c r="C13254" s="8" t="e">
        <f>VLOOKUP(A:A,'ITEM LIST'!A:C,3,0)</f>
        <v>#N/A</v>
      </c>
      <c r="D13254" s="6">
        <f t="shared" ref="D13254:D13317" si="208">B13254</f>
        <v>0</v>
      </c>
    </row>
    <row r="13255" spans="3:4" ht="15" x14ac:dyDescent="0.25">
      <c r="C13255" s="8" t="e">
        <f>VLOOKUP(A:A,'ITEM LIST'!A:C,3,0)</f>
        <v>#N/A</v>
      </c>
      <c r="D13255" s="6">
        <f t="shared" si="208"/>
        <v>0</v>
      </c>
    </row>
    <row r="13256" spans="3:4" ht="15" x14ac:dyDescent="0.25">
      <c r="C13256" s="8" t="e">
        <f>VLOOKUP(A:A,'ITEM LIST'!A:C,3,0)</f>
        <v>#N/A</v>
      </c>
      <c r="D13256" s="6">
        <f t="shared" si="208"/>
        <v>0</v>
      </c>
    </row>
    <row r="13257" spans="3:4" ht="15" x14ac:dyDescent="0.25">
      <c r="C13257" s="8" t="e">
        <f>VLOOKUP(A:A,'ITEM LIST'!A:C,3,0)</f>
        <v>#N/A</v>
      </c>
      <c r="D13257" s="6">
        <f t="shared" si="208"/>
        <v>0</v>
      </c>
    </row>
    <row r="13258" spans="3:4" ht="15" x14ac:dyDescent="0.25">
      <c r="C13258" s="8" t="e">
        <f>VLOOKUP(A:A,'ITEM LIST'!A:C,3,0)</f>
        <v>#N/A</v>
      </c>
      <c r="D13258" s="6">
        <f t="shared" si="208"/>
        <v>0</v>
      </c>
    </row>
    <row r="13259" spans="3:4" ht="15" x14ac:dyDescent="0.25">
      <c r="C13259" s="8" t="e">
        <f>VLOOKUP(A:A,'ITEM LIST'!A:C,3,0)</f>
        <v>#N/A</v>
      </c>
      <c r="D13259" s="6">
        <f t="shared" si="208"/>
        <v>0</v>
      </c>
    </row>
    <row r="13260" spans="3:4" ht="15" x14ac:dyDescent="0.25">
      <c r="C13260" s="8" t="e">
        <f>VLOOKUP(A:A,'ITEM LIST'!A:C,3,0)</f>
        <v>#N/A</v>
      </c>
      <c r="D13260" s="6">
        <f t="shared" si="208"/>
        <v>0</v>
      </c>
    </row>
    <row r="13261" spans="3:4" ht="15" x14ac:dyDescent="0.25">
      <c r="C13261" s="8" t="e">
        <f>VLOOKUP(A:A,'ITEM LIST'!A:C,3,0)</f>
        <v>#N/A</v>
      </c>
      <c r="D13261" s="6">
        <f t="shared" si="208"/>
        <v>0</v>
      </c>
    </row>
    <row r="13262" spans="3:4" ht="15" x14ac:dyDescent="0.25">
      <c r="C13262" s="8" t="e">
        <f>VLOOKUP(A:A,'ITEM LIST'!A:C,3,0)</f>
        <v>#N/A</v>
      </c>
      <c r="D13262" s="6">
        <f t="shared" si="208"/>
        <v>0</v>
      </c>
    </row>
    <row r="13263" spans="3:4" ht="15" x14ac:dyDescent="0.25">
      <c r="C13263" s="8" t="e">
        <f>VLOOKUP(A:A,'ITEM LIST'!A:C,3,0)</f>
        <v>#N/A</v>
      </c>
      <c r="D13263" s="6">
        <f t="shared" si="208"/>
        <v>0</v>
      </c>
    </row>
    <row r="13264" spans="3:4" ht="15" x14ac:dyDescent="0.25">
      <c r="C13264" s="8" t="e">
        <f>VLOOKUP(A:A,'ITEM LIST'!A:C,3,0)</f>
        <v>#N/A</v>
      </c>
      <c r="D13264" s="6">
        <f t="shared" si="208"/>
        <v>0</v>
      </c>
    </row>
    <row r="13265" spans="3:4" ht="15" x14ac:dyDescent="0.25">
      <c r="C13265" s="8" t="e">
        <f>VLOOKUP(A:A,'ITEM LIST'!A:C,3,0)</f>
        <v>#N/A</v>
      </c>
      <c r="D13265" s="6">
        <f t="shared" si="208"/>
        <v>0</v>
      </c>
    </row>
    <row r="13266" spans="3:4" ht="15" x14ac:dyDescent="0.25">
      <c r="C13266" s="8" t="e">
        <f>VLOOKUP(A:A,'ITEM LIST'!A:C,3,0)</f>
        <v>#N/A</v>
      </c>
      <c r="D13266" s="6">
        <f t="shared" si="208"/>
        <v>0</v>
      </c>
    </row>
    <row r="13267" spans="3:4" ht="15" x14ac:dyDescent="0.25">
      <c r="C13267" s="8" t="e">
        <f>VLOOKUP(A:A,'ITEM LIST'!A:C,3,0)</f>
        <v>#N/A</v>
      </c>
      <c r="D13267" s="6">
        <f t="shared" si="208"/>
        <v>0</v>
      </c>
    </row>
    <row r="13268" spans="3:4" ht="15" x14ac:dyDescent="0.25">
      <c r="C13268" s="8" t="e">
        <f>VLOOKUP(A:A,'ITEM LIST'!A:C,3,0)</f>
        <v>#N/A</v>
      </c>
      <c r="D13268" s="6">
        <f t="shared" si="208"/>
        <v>0</v>
      </c>
    </row>
    <row r="13269" spans="3:4" ht="15" x14ac:dyDescent="0.25">
      <c r="C13269" s="8" t="e">
        <f>VLOOKUP(A:A,'ITEM LIST'!A:C,3,0)</f>
        <v>#N/A</v>
      </c>
      <c r="D13269" s="6">
        <f t="shared" si="208"/>
        <v>0</v>
      </c>
    </row>
    <row r="13270" spans="3:4" ht="15" x14ac:dyDescent="0.25">
      <c r="C13270" s="8" t="e">
        <f>VLOOKUP(A:A,'ITEM LIST'!A:C,3,0)</f>
        <v>#N/A</v>
      </c>
      <c r="D13270" s="6">
        <f t="shared" si="208"/>
        <v>0</v>
      </c>
    </row>
    <row r="13271" spans="3:4" ht="15" x14ac:dyDescent="0.25">
      <c r="C13271" s="8" t="e">
        <f>VLOOKUP(A:A,'ITEM LIST'!A:C,3,0)</f>
        <v>#N/A</v>
      </c>
      <c r="D13271" s="6">
        <f t="shared" si="208"/>
        <v>0</v>
      </c>
    </row>
    <row r="13272" spans="3:4" ht="15" x14ac:dyDescent="0.25">
      <c r="C13272" s="8" t="e">
        <f>VLOOKUP(A:A,'ITEM LIST'!A:C,3,0)</f>
        <v>#N/A</v>
      </c>
      <c r="D13272" s="6">
        <f t="shared" si="208"/>
        <v>0</v>
      </c>
    </row>
    <row r="13273" spans="3:4" ht="15" x14ac:dyDescent="0.25">
      <c r="C13273" s="8" t="e">
        <f>VLOOKUP(A:A,'ITEM LIST'!A:C,3,0)</f>
        <v>#N/A</v>
      </c>
      <c r="D13273" s="6">
        <f t="shared" si="208"/>
        <v>0</v>
      </c>
    </row>
    <row r="13274" spans="3:4" ht="15" x14ac:dyDescent="0.25">
      <c r="C13274" s="8" t="e">
        <f>VLOOKUP(A:A,'ITEM LIST'!A:C,3,0)</f>
        <v>#N/A</v>
      </c>
      <c r="D13274" s="6">
        <f t="shared" si="208"/>
        <v>0</v>
      </c>
    </row>
    <row r="13275" spans="3:4" ht="15" x14ac:dyDescent="0.25">
      <c r="C13275" s="8" t="e">
        <f>VLOOKUP(A:A,'ITEM LIST'!A:C,3,0)</f>
        <v>#N/A</v>
      </c>
      <c r="D13275" s="6">
        <f t="shared" si="208"/>
        <v>0</v>
      </c>
    </row>
    <row r="13276" spans="3:4" ht="15" x14ac:dyDescent="0.25">
      <c r="C13276" s="8" t="e">
        <f>VLOOKUP(A:A,'ITEM LIST'!A:C,3,0)</f>
        <v>#N/A</v>
      </c>
      <c r="D13276" s="6">
        <f t="shared" si="208"/>
        <v>0</v>
      </c>
    </row>
    <row r="13277" spans="3:4" ht="15" x14ac:dyDescent="0.25">
      <c r="C13277" s="8" t="e">
        <f>VLOOKUP(A:A,'ITEM LIST'!A:C,3,0)</f>
        <v>#N/A</v>
      </c>
      <c r="D13277" s="6">
        <f t="shared" si="208"/>
        <v>0</v>
      </c>
    </row>
    <row r="13278" spans="3:4" ht="15" x14ac:dyDescent="0.25">
      <c r="C13278" s="8" t="e">
        <f>VLOOKUP(A:A,'ITEM LIST'!A:C,3,0)</f>
        <v>#N/A</v>
      </c>
      <c r="D13278" s="6">
        <f t="shared" si="208"/>
        <v>0</v>
      </c>
    </row>
    <row r="13279" spans="3:4" ht="15" x14ac:dyDescent="0.25">
      <c r="C13279" s="8" t="e">
        <f>VLOOKUP(A:A,'ITEM LIST'!A:C,3,0)</f>
        <v>#N/A</v>
      </c>
      <c r="D13279" s="6">
        <f t="shared" si="208"/>
        <v>0</v>
      </c>
    </row>
    <row r="13280" spans="3:4" ht="15" x14ac:dyDescent="0.25">
      <c r="C13280" s="8" t="e">
        <f>VLOOKUP(A:A,'ITEM LIST'!A:C,3,0)</f>
        <v>#N/A</v>
      </c>
      <c r="D13280" s="6">
        <f t="shared" si="208"/>
        <v>0</v>
      </c>
    </row>
    <row r="13281" spans="3:4" ht="15" x14ac:dyDescent="0.25">
      <c r="C13281" s="8" t="e">
        <f>VLOOKUP(A:A,'ITEM LIST'!A:C,3,0)</f>
        <v>#N/A</v>
      </c>
      <c r="D13281" s="6">
        <f t="shared" si="208"/>
        <v>0</v>
      </c>
    </row>
    <row r="13282" spans="3:4" ht="15" x14ac:dyDescent="0.25">
      <c r="C13282" s="8" t="e">
        <f>VLOOKUP(A:A,'ITEM LIST'!A:C,3,0)</f>
        <v>#N/A</v>
      </c>
      <c r="D13282" s="6">
        <f t="shared" si="208"/>
        <v>0</v>
      </c>
    </row>
    <row r="13283" spans="3:4" ht="15" x14ac:dyDescent="0.25">
      <c r="C13283" s="8" t="e">
        <f>VLOOKUP(A:A,'ITEM LIST'!A:C,3,0)</f>
        <v>#N/A</v>
      </c>
      <c r="D13283" s="6">
        <f t="shared" si="208"/>
        <v>0</v>
      </c>
    </row>
    <row r="13284" spans="3:4" ht="15" x14ac:dyDescent="0.25">
      <c r="C13284" s="8" t="e">
        <f>VLOOKUP(A:A,'ITEM LIST'!A:C,3,0)</f>
        <v>#N/A</v>
      </c>
      <c r="D13284" s="6">
        <f t="shared" si="208"/>
        <v>0</v>
      </c>
    </row>
    <row r="13285" spans="3:4" ht="15" x14ac:dyDescent="0.25">
      <c r="C13285" s="8" t="e">
        <f>VLOOKUP(A:A,'ITEM LIST'!A:C,3,0)</f>
        <v>#N/A</v>
      </c>
      <c r="D13285" s="6">
        <f t="shared" si="208"/>
        <v>0</v>
      </c>
    </row>
    <row r="13286" spans="3:4" ht="15" x14ac:dyDescent="0.25">
      <c r="C13286" s="8" t="e">
        <f>VLOOKUP(A:A,'ITEM LIST'!A:C,3,0)</f>
        <v>#N/A</v>
      </c>
      <c r="D13286" s="6">
        <f t="shared" si="208"/>
        <v>0</v>
      </c>
    </row>
    <row r="13287" spans="3:4" ht="15" x14ac:dyDescent="0.25">
      <c r="C13287" s="8" t="e">
        <f>VLOOKUP(A:A,'ITEM LIST'!A:C,3,0)</f>
        <v>#N/A</v>
      </c>
      <c r="D13287" s="6">
        <f t="shared" si="208"/>
        <v>0</v>
      </c>
    </row>
    <row r="13288" spans="3:4" ht="15" x14ac:dyDescent="0.25">
      <c r="C13288" s="8" t="e">
        <f>VLOOKUP(A:A,'ITEM LIST'!A:C,3,0)</f>
        <v>#N/A</v>
      </c>
      <c r="D13288" s="6">
        <f t="shared" si="208"/>
        <v>0</v>
      </c>
    </row>
    <row r="13289" spans="3:4" ht="15" x14ac:dyDescent="0.25">
      <c r="C13289" s="8" t="e">
        <f>VLOOKUP(A:A,'ITEM LIST'!A:C,3,0)</f>
        <v>#N/A</v>
      </c>
      <c r="D13289" s="6">
        <f t="shared" si="208"/>
        <v>0</v>
      </c>
    </row>
    <row r="13290" spans="3:4" ht="15" x14ac:dyDescent="0.25">
      <c r="C13290" s="8" t="e">
        <f>VLOOKUP(A:A,'ITEM LIST'!A:C,3,0)</f>
        <v>#N/A</v>
      </c>
      <c r="D13290" s="6">
        <f t="shared" si="208"/>
        <v>0</v>
      </c>
    </row>
    <row r="13291" spans="3:4" ht="15" x14ac:dyDescent="0.25">
      <c r="C13291" s="8" t="e">
        <f>VLOOKUP(A:A,'ITEM LIST'!A:C,3,0)</f>
        <v>#N/A</v>
      </c>
      <c r="D13291" s="6">
        <f t="shared" si="208"/>
        <v>0</v>
      </c>
    </row>
    <row r="13292" spans="3:4" ht="15" x14ac:dyDescent="0.25">
      <c r="C13292" s="8" t="e">
        <f>VLOOKUP(A:A,'ITEM LIST'!A:C,3,0)</f>
        <v>#N/A</v>
      </c>
      <c r="D13292" s="6">
        <f t="shared" si="208"/>
        <v>0</v>
      </c>
    </row>
    <row r="13293" spans="3:4" ht="15" x14ac:dyDescent="0.25">
      <c r="C13293" s="8" t="e">
        <f>VLOOKUP(A:A,'ITEM LIST'!A:C,3,0)</f>
        <v>#N/A</v>
      </c>
      <c r="D13293" s="6">
        <f t="shared" si="208"/>
        <v>0</v>
      </c>
    </row>
    <row r="13294" spans="3:4" ht="15" x14ac:dyDescent="0.25">
      <c r="C13294" s="8" t="e">
        <f>VLOOKUP(A:A,'ITEM LIST'!A:C,3,0)</f>
        <v>#N/A</v>
      </c>
      <c r="D13294" s="6">
        <f t="shared" si="208"/>
        <v>0</v>
      </c>
    </row>
    <row r="13295" spans="3:4" ht="15" x14ac:dyDescent="0.25">
      <c r="C13295" s="8" t="e">
        <f>VLOOKUP(A:A,'ITEM LIST'!A:C,3,0)</f>
        <v>#N/A</v>
      </c>
      <c r="D13295" s="6">
        <f t="shared" si="208"/>
        <v>0</v>
      </c>
    </row>
    <row r="13296" spans="3:4" ht="15" x14ac:dyDescent="0.25">
      <c r="C13296" s="8" t="e">
        <f>VLOOKUP(A:A,'ITEM LIST'!A:C,3,0)</f>
        <v>#N/A</v>
      </c>
      <c r="D13296" s="6">
        <f t="shared" si="208"/>
        <v>0</v>
      </c>
    </row>
    <row r="13297" spans="3:4" ht="15" x14ac:dyDescent="0.25">
      <c r="C13297" s="8" t="e">
        <f>VLOOKUP(A:A,'ITEM LIST'!A:C,3,0)</f>
        <v>#N/A</v>
      </c>
      <c r="D13297" s="6">
        <f t="shared" si="208"/>
        <v>0</v>
      </c>
    </row>
    <row r="13298" spans="3:4" ht="15" x14ac:dyDescent="0.25">
      <c r="C13298" s="8" t="e">
        <f>VLOOKUP(A:A,'ITEM LIST'!A:C,3,0)</f>
        <v>#N/A</v>
      </c>
      <c r="D13298" s="6">
        <f t="shared" si="208"/>
        <v>0</v>
      </c>
    </row>
    <row r="13299" spans="3:4" ht="15" x14ac:dyDescent="0.25">
      <c r="C13299" s="8" t="e">
        <f>VLOOKUP(A:A,'ITEM LIST'!A:C,3,0)</f>
        <v>#N/A</v>
      </c>
      <c r="D13299" s="6">
        <f t="shared" si="208"/>
        <v>0</v>
      </c>
    </row>
    <row r="13300" spans="3:4" ht="15" x14ac:dyDescent="0.25">
      <c r="C13300" s="8" t="e">
        <f>VLOOKUP(A:A,'ITEM LIST'!A:C,3,0)</f>
        <v>#N/A</v>
      </c>
      <c r="D13300" s="6">
        <f t="shared" si="208"/>
        <v>0</v>
      </c>
    </row>
    <row r="13301" spans="3:4" ht="15" x14ac:dyDescent="0.25">
      <c r="C13301" s="8" t="e">
        <f>VLOOKUP(A:A,'ITEM LIST'!A:C,3,0)</f>
        <v>#N/A</v>
      </c>
      <c r="D13301" s="6">
        <f t="shared" si="208"/>
        <v>0</v>
      </c>
    </row>
    <row r="13302" spans="3:4" ht="15" x14ac:dyDescent="0.25">
      <c r="C13302" s="8" t="e">
        <f>VLOOKUP(A:A,'ITEM LIST'!A:C,3,0)</f>
        <v>#N/A</v>
      </c>
      <c r="D13302" s="6">
        <f t="shared" si="208"/>
        <v>0</v>
      </c>
    </row>
    <row r="13303" spans="3:4" ht="15" x14ac:dyDescent="0.25">
      <c r="C13303" s="8" t="e">
        <f>VLOOKUP(A:A,'ITEM LIST'!A:C,3,0)</f>
        <v>#N/A</v>
      </c>
      <c r="D13303" s="6">
        <f t="shared" si="208"/>
        <v>0</v>
      </c>
    </row>
    <row r="13304" spans="3:4" ht="15" x14ac:dyDescent="0.25">
      <c r="C13304" s="8" t="e">
        <f>VLOOKUP(A:A,'ITEM LIST'!A:C,3,0)</f>
        <v>#N/A</v>
      </c>
      <c r="D13304" s="6">
        <f t="shared" si="208"/>
        <v>0</v>
      </c>
    </row>
    <row r="13305" spans="3:4" ht="15" x14ac:dyDescent="0.25">
      <c r="C13305" s="8" t="e">
        <f>VLOOKUP(A:A,'ITEM LIST'!A:C,3,0)</f>
        <v>#N/A</v>
      </c>
      <c r="D13305" s="6">
        <f t="shared" si="208"/>
        <v>0</v>
      </c>
    </row>
    <row r="13306" spans="3:4" ht="15" x14ac:dyDescent="0.25">
      <c r="C13306" s="8" t="e">
        <f>VLOOKUP(A:A,'ITEM LIST'!A:C,3,0)</f>
        <v>#N/A</v>
      </c>
      <c r="D13306" s="6">
        <f t="shared" si="208"/>
        <v>0</v>
      </c>
    </row>
    <row r="13307" spans="3:4" ht="15" x14ac:dyDescent="0.25">
      <c r="C13307" s="8" t="e">
        <f>VLOOKUP(A:A,'ITEM LIST'!A:C,3,0)</f>
        <v>#N/A</v>
      </c>
      <c r="D13307" s="6">
        <f t="shared" si="208"/>
        <v>0</v>
      </c>
    </row>
    <row r="13308" spans="3:4" ht="15" x14ac:dyDescent="0.25">
      <c r="C13308" s="8" t="e">
        <f>VLOOKUP(A:A,'ITEM LIST'!A:C,3,0)</f>
        <v>#N/A</v>
      </c>
      <c r="D13308" s="6">
        <f t="shared" si="208"/>
        <v>0</v>
      </c>
    </row>
    <row r="13309" spans="3:4" ht="15" x14ac:dyDescent="0.25">
      <c r="C13309" s="8" t="e">
        <f>VLOOKUP(A:A,'ITEM LIST'!A:C,3,0)</f>
        <v>#N/A</v>
      </c>
      <c r="D13309" s="6">
        <f t="shared" si="208"/>
        <v>0</v>
      </c>
    </row>
    <row r="13310" spans="3:4" ht="15" x14ac:dyDescent="0.25">
      <c r="C13310" s="8" t="e">
        <f>VLOOKUP(A:A,'ITEM LIST'!A:C,3,0)</f>
        <v>#N/A</v>
      </c>
      <c r="D13310" s="6">
        <f t="shared" si="208"/>
        <v>0</v>
      </c>
    </row>
    <row r="13311" spans="3:4" ht="15" x14ac:dyDescent="0.25">
      <c r="C13311" s="8" t="e">
        <f>VLOOKUP(A:A,'ITEM LIST'!A:C,3,0)</f>
        <v>#N/A</v>
      </c>
      <c r="D13311" s="6">
        <f t="shared" si="208"/>
        <v>0</v>
      </c>
    </row>
    <row r="13312" spans="3:4" ht="15" x14ac:dyDescent="0.25">
      <c r="C13312" s="8" t="e">
        <f>VLOOKUP(A:A,'ITEM LIST'!A:C,3,0)</f>
        <v>#N/A</v>
      </c>
      <c r="D13312" s="6">
        <f t="shared" si="208"/>
        <v>0</v>
      </c>
    </row>
    <row r="13313" spans="3:4" ht="15" x14ac:dyDescent="0.25">
      <c r="C13313" s="8" t="e">
        <f>VLOOKUP(A:A,'ITEM LIST'!A:C,3,0)</f>
        <v>#N/A</v>
      </c>
      <c r="D13313" s="6">
        <f t="shared" si="208"/>
        <v>0</v>
      </c>
    </row>
    <row r="13314" spans="3:4" ht="15" x14ac:dyDescent="0.25">
      <c r="C13314" s="8" t="e">
        <f>VLOOKUP(A:A,'ITEM LIST'!A:C,3,0)</f>
        <v>#N/A</v>
      </c>
      <c r="D13314" s="6">
        <f t="shared" si="208"/>
        <v>0</v>
      </c>
    </row>
    <row r="13315" spans="3:4" ht="15" x14ac:dyDescent="0.25">
      <c r="C13315" s="8" t="e">
        <f>VLOOKUP(A:A,'ITEM LIST'!A:C,3,0)</f>
        <v>#N/A</v>
      </c>
      <c r="D13315" s="6">
        <f t="shared" si="208"/>
        <v>0</v>
      </c>
    </row>
    <row r="13316" spans="3:4" ht="15" x14ac:dyDescent="0.25">
      <c r="C13316" s="8" t="e">
        <f>VLOOKUP(A:A,'ITEM LIST'!A:C,3,0)</f>
        <v>#N/A</v>
      </c>
      <c r="D13316" s="6">
        <f t="shared" si="208"/>
        <v>0</v>
      </c>
    </row>
    <row r="13317" spans="3:4" ht="15" x14ac:dyDescent="0.25">
      <c r="C13317" s="8" t="e">
        <f>VLOOKUP(A:A,'ITEM LIST'!A:C,3,0)</f>
        <v>#N/A</v>
      </c>
      <c r="D13317" s="6">
        <f t="shared" si="208"/>
        <v>0</v>
      </c>
    </row>
    <row r="13318" spans="3:4" ht="15" x14ac:dyDescent="0.25">
      <c r="C13318" s="8" t="e">
        <f>VLOOKUP(A:A,'ITEM LIST'!A:C,3,0)</f>
        <v>#N/A</v>
      </c>
      <c r="D13318" s="6">
        <f t="shared" ref="D13318:D13381" si="209">B13318</f>
        <v>0</v>
      </c>
    </row>
    <row r="13319" spans="3:4" ht="15" x14ac:dyDescent="0.25">
      <c r="C13319" s="8" t="e">
        <f>VLOOKUP(A:A,'ITEM LIST'!A:C,3,0)</f>
        <v>#N/A</v>
      </c>
      <c r="D13319" s="6">
        <f t="shared" si="209"/>
        <v>0</v>
      </c>
    </row>
    <row r="13320" spans="3:4" ht="15" x14ac:dyDescent="0.25">
      <c r="C13320" s="8" t="e">
        <f>VLOOKUP(A:A,'ITEM LIST'!A:C,3,0)</f>
        <v>#N/A</v>
      </c>
      <c r="D13320" s="6">
        <f t="shared" si="209"/>
        <v>0</v>
      </c>
    </row>
    <row r="13321" spans="3:4" ht="15" x14ac:dyDescent="0.25">
      <c r="C13321" s="8" t="e">
        <f>VLOOKUP(A:A,'ITEM LIST'!A:C,3,0)</f>
        <v>#N/A</v>
      </c>
      <c r="D13321" s="6">
        <f t="shared" si="209"/>
        <v>0</v>
      </c>
    </row>
    <row r="13322" spans="3:4" ht="15" x14ac:dyDescent="0.25">
      <c r="C13322" s="8" t="e">
        <f>VLOOKUP(A:A,'ITEM LIST'!A:C,3,0)</f>
        <v>#N/A</v>
      </c>
      <c r="D13322" s="6">
        <f t="shared" si="209"/>
        <v>0</v>
      </c>
    </row>
    <row r="13323" spans="3:4" ht="15" x14ac:dyDescent="0.25">
      <c r="C13323" s="8" t="e">
        <f>VLOOKUP(A:A,'ITEM LIST'!A:C,3,0)</f>
        <v>#N/A</v>
      </c>
      <c r="D13323" s="6">
        <f t="shared" si="209"/>
        <v>0</v>
      </c>
    </row>
    <row r="13324" spans="3:4" ht="15" x14ac:dyDescent="0.25">
      <c r="C13324" s="8" t="e">
        <f>VLOOKUP(A:A,'ITEM LIST'!A:C,3,0)</f>
        <v>#N/A</v>
      </c>
      <c r="D13324" s="6">
        <f t="shared" si="209"/>
        <v>0</v>
      </c>
    </row>
    <row r="13325" spans="3:4" ht="15" x14ac:dyDescent="0.25">
      <c r="C13325" s="8" t="e">
        <f>VLOOKUP(A:A,'ITEM LIST'!A:C,3,0)</f>
        <v>#N/A</v>
      </c>
      <c r="D13325" s="6">
        <f t="shared" si="209"/>
        <v>0</v>
      </c>
    </row>
    <row r="13326" spans="3:4" ht="15" x14ac:dyDescent="0.25">
      <c r="C13326" s="8" t="e">
        <f>VLOOKUP(A:A,'ITEM LIST'!A:C,3,0)</f>
        <v>#N/A</v>
      </c>
      <c r="D13326" s="6">
        <f t="shared" si="209"/>
        <v>0</v>
      </c>
    </row>
    <row r="13327" spans="3:4" ht="15" x14ac:dyDescent="0.25">
      <c r="C13327" s="8" t="e">
        <f>VLOOKUP(A:A,'ITEM LIST'!A:C,3,0)</f>
        <v>#N/A</v>
      </c>
      <c r="D13327" s="6">
        <f t="shared" si="209"/>
        <v>0</v>
      </c>
    </row>
    <row r="13328" spans="3:4" ht="15" x14ac:dyDescent="0.25">
      <c r="C13328" s="8" t="e">
        <f>VLOOKUP(A:A,'ITEM LIST'!A:C,3,0)</f>
        <v>#N/A</v>
      </c>
      <c r="D13328" s="6">
        <f t="shared" si="209"/>
        <v>0</v>
      </c>
    </row>
    <row r="13329" spans="3:4" ht="15" x14ac:dyDescent="0.25">
      <c r="C13329" s="8" t="e">
        <f>VLOOKUP(A:A,'ITEM LIST'!A:C,3,0)</f>
        <v>#N/A</v>
      </c>
      <c r="D13329" s="6">
        <f t="shared" si="209"/>
        <v>0</v>
      </c>
    </row>
    <row r="13330" spans="3:4" ht="15" x14ac:dyDescent="0.25">
      <c r="C13330" s="8" t="e">
        <f>VLOOKUP(A:A,'ITEM LIST'!A:C,3,0)</f>
        <v>#N/A</v>
      </c>
      <c r="D13330" s="6">
        <f t="shared" si="209"/>
        <v>0</v>
      </c>
    </row>
    <row r="13331" spans="3:4" ht="15" x14ac:dyDescent="0.25">
      <c r="C13331" s="8" t="e">
        <f>VLOOKUP(A:A,'ITEM LIST'!A:C,3,0)</f>
        <v>#N/A</v>
      </c>
      <c r="D13331" s="6">
        <f t="shared" si="209"/>
        <v>0</v>
      </c>
    </row>
    <row r="13332" spans="3:4" ht="15" x14ac:dyDescent="0.25">
      <c r="C13332" s="8" t="e">
        <f>VLOOKUP(A:A,'ITEM LIST'!A:C,3,0)</f>
        <v>#N/A</v>
      </c>
      <c r="D13332" s="6">
        <f t="shared" si="209"/>
        <v>0</v>
      </c>
    </row>
    <row r="13333" spans="3:4" ht="15" x14ac:dyDescent="0.25">
      <c r="C13333" s="8" t="e">
        <f>VLOOKUP(A:A,'ITEM LIST'!A:C,3,0)</f>
        <v>#N/A</v>
      </c>
      <c r="D13333" s="6">
        <f t="shared" si="209"/>
        <v>0</v>
      </c>
    </row>
    <row r="13334" spans="3:4" ht="15" x14ac:dyDescent="0.25">
      <c r="C13334" s="8" t="e">
        <f>VLOOKUP(A:A,'ITEM LIST'!A:C,3,0)</f>
        <v>#N/A</v>
      </c>
      <c r="D13334" s="6">
        <f t="shared" si="209"/>
        <v>0</v>
      </c>
    </row>
    <row r="13335" spans="3:4" ht="15" x14ac:dyDescent="0.25">
      <c r="C13335" s="8" t="e">
        <f>VLOOKUP(A:A,'ITEM LIST'!A:C,3,0)</f>
        <v>#N/A</v>
      </c>
      <c r="D13335" s="6">
        <f t="shared" si="209"/>
        <v>0</v>
      </c>
    </row>
    <row r="13336" spans="3:4" ht="15" x14ac:dyDescent="0.25">
      <c r="C13336" s="8" t="e">
        <f>VLOOKUP(A:A,'ITEM LIST'!A:C,3,0)</f>
        <v>#N/A</v>
      </c>
      <c r="D13336" s="6">
        <f t="shared" si="209"/>
        <v>0</v>
      </c>
    </row>
    <row r="13337" spans="3:4" ht="15" x14ac:dyDescent="0.25">
      <c r="C13337" s="8" t="e">
        <f>VLOOKUP(A:A,'ITEM LIST'!A:C,3,0)</f>
        <v>#N/A</v>
      </c>
      <c r="D13337" s="6">
        <f t="shared" si="209"/>
        <v>0</v>
      </c>
    </row>
    <row r="13338" spans="3:4" ht="15" x14ac:dyDescent="0.25">
      <c r="C13338" s="8" t="e">
        <f>VLOOKUP(A:A,'ITEM LIST'!A:C,3,0)</f>
        <v>#N/A</v>
      </c>
      <c r="D13338" s="6">
        <f t="shared" si="209"/>
        <v>0</v>
      </c>
    </row>
    <row r="13339" spans="3:4" ht="15" x14ac:dyDescent="0.25">
      <c r="C13339" s="8" t="e">
        <f>VLOOKUP(A:A,'ITEM LIST'!A:C,3,0)</f>
        <v>#N/A</v>
      </c>
      <c r="D13339" s="6">
        <f t="shared" si="209"/>
        <v>0</v>
      </c>
    </row>
    <row r="13340" spans="3:4" ht="15" x14ac:dyDescent="0.25">
      <c r="C13340" s="8" t="e">
        <f>VLOOKUP(A:A,'ITEM LIST'!A:C,3,0)</f>
        <v>#N/A</v>
      </c>
      <c r="D13340" s="6">
        <f t="shared" si="209"/>
        <v>0</v>
      </c>
    </row>
    <row r="13341" spans="3:4" ht="15" x14ac:dyDescent="0.25">
      <c r="C13341" s="8" t="e">
        <f>VLOOKUP(A:A,'ITEM LIST'!A:C,3,0)</f>
        <v>#N/A</v>
      </c>
      <c r="D13341" s="6">
        <f t="shared" si="209"/>
        <v>0</v>
      </c>
    </row>
    <row r="13342" spans="3:4" ht="15" x14ac:dyDescent="0.25">
      <c r="C13342" s="8" t="e">
        <f>VLOOKUP(A:A,'ITEM LIST'!A:C,3,0)</f>
        <v>#N/A</v>
      </c>
      <c r="D13342" s="6">
        <f t="shared" si="209"/>
        <v>0</v>
      </c>
    </row>
    <row r="13343" spans="3:4" ht="15" x14ac:dyDescent="0.25">
      <c r="C13343" s="8" t="e">
        <f>VLOOKUP(A:A,'ITEM LIST'!A:C,3,0)</f>
        <v>#N/A</v>
      </c>
      <c r="D13343" s="6">
        <f t="shared" si="209"/>
        <v>0</v>
      </c>
    </row>
    <row r="13344" spans="3:4" ht="15" x14ac:dyDescent="0.25">
      <c r="C13344" s="8" t="e">
        <f>VLOOKUP(A:A,'ITEM LIST'!A:C,3,0)</f>
        <v>#N/A</v>
      </c>
      <c r="D13344" s="6">
        <f t="shared" si="209"/>
        <v>0</v>
      </c>
    </row>
    <row r="13345" spans="3:4" ht="15" x14ac:dyDescent="0.25">
      <c r="C13345" s="8" t="e">
        <f>VLOOKUP(A:A,'ITEM LIST'!A:C,3,0)</f>
        <v>#N/A</v>
      </c>
      <c r="D13345" s="6">
        <f t="shared" si="209"/>
        <v>0</v>
      </c>
    </row>
    <row r="13346" spans="3:4" ht="15" x14ac:dyDescent="0.25">
      <c r="C13346" s="8" t="e">
        <f>VLOOKUP(A:A,'ITEM LIST'!A:C,3,0)</f>
        <v>#N/A</v>
      </c>
      <c r="D13346" s="6">
        <f t="shared" si="209"/>
        <v>0</v>
      </c>
    </row>
    <row r="13347" spans="3:4" ht="15" x14ac:dyDescent="0.25">
      <c r="C13347" s="8" t="e">
        <f>VLOOKUP(A:A,'ITEM LIST'!A:C,3,0)</f>
        <v>#N/A</v>
      </c>
      <c r="D13347" s="6">
        <f t="shared" si="209"/>
        <v>0</v>
      </c>
    </row>
    <row r="13348" spans="3:4" ht="15" x14ac:dyDescent="0.25">
      <c r="C13348" s="8" t="e">
        <f>VLOOKUP(A:A,'ITEM LIST'!A:C,3,0)</f>
        <v>#N/A</v>
      </c>
      <c r="D13348" s="6">
        <f t="shared" si="209"/>
        <v>0</v>
      </c>
    </row>
    <row r="13349" spans="3:4" ht="15" x14ac:dyDescent="0.25">
      <c r="C13349" s="8" t="e">
        <f>VLOOKUP(A:A,'ITEM LIST'!A:C,3,0)</f>
        <v>#N/A</v>
      </c>
      <c r="D13349" s="6">
        <f t="shared" si="209"/>
        <v>0</v>
      </c>
    </row>
    <row r="13350" spans="3:4" ht="15" x14ac:dyDescent="0.25">
      <c r="C13350" s="8" t="e">
        <f>VLOOKUP(A:A,'ITEM LIST'!A:C,3,0)</f>
        <v>#N/A</v>
      </c>
      <c r="D13350" s="6">
        <f t="shared" si="209"/>
        <v>0</v>
      </c>
    </row>
    <row r="13351" spans="3:4" ht="15" x14ac:dyDescent="0.25">
      <c r="C13351" s="8" t="e">
        <f>VLOOKUP(A:A,'ITEM LIST'!A:C,3,0)</f>
        <v>#N/A</v>
      </c>
      <c r="D13351" s="6">
        <f t="shared" si="209"/>
        <v>0</v>
      </c>
    </row>
    <row r="13352" spans="3:4" ht="15" x14ac:dyDescent="0.25">
      <c r="C13352" s="8" t="e">
        <f>VLOOKUP(A:A,'ITEM LIST'!A:C,3,0)</f>
        <v>#N/A</v>
      </c>
      <c r="D13352" s="6">
        <f t="shared" si="209"/>
        <v>0</v>
      </c>
    </row>
    <row r="13353" spans="3:4" ht="15" x14ac:dyDescent="0.25">
      <c r="C13353" s="8" t="e">
        <f>VLOOKUP(A:A,'ITEM LIST'!A:C,3,0)</f>
        <v>#N/A</v>
      </c>
      <c r="D13353" s="6">
        <f t="shared" si="209"/>
        <v>0</v>
      </c>
    </row>
    <row r="13354" spans="3:4" ht="15" x14ac:dyDescent="0.25">
      <c r="C13354" s="8" t="e">
        <f>VLOOKUP(A:A,'ITEM LIST'!A:C,3,0)</f>
        <v>#N/A</v>
      </c>
      <c r="D13354" s="6">
        <f t="shared" si="209"/>
        <v>0</v>
      </c>
    </row>
    <row r="13355" spans="3:4" ht="15" x14ac:dyDescent="0.25">
      <c r="C13355" s="8" t="e">
        <f>VLOOKUP(A:A,'ITEM LIST'!A:C,3,0)</f>
        <v>#N/A</v>
      </c>
      <c r="D13355" s="6">
        <f t="shared" si="209"/>
        <v>0</v>
      </c>
    </row>
    <row r="13356" spans="3:4" ht="15" x14ac:dyDescent="0.25">
      <c r="C13356" s="8" t="e">
        <f>VLOOKUP(A:A,'ITEM LIST'!A:C,3,0)</f>
        <v>#N/A</v>
      </c>
      <c r="D13356" s="6">
        <f t="shared" si="209"/>
        <v>0</v>
      </c>
    </row>
    <row r="13357" spans="3:4" ht="15" x14ac:dyDescent="0.25">
      <c r="C13357" s="8" t="e">
        <f>VLOOKUP(A:A,'ITEM LIST'!A:C,3,0)</f>
        <v>#N/A</v>
      </c>
      <c r="D13357" s="6">
        <f t="shared" si="209"/>
        <v>0</v>
      </c>
    </row>
    <row r="13358" spans="3:4" ht="15" x14ac:dyDescent="0.25">
      <c r="C13358" s="8" t="e">
        <f>VLOOKUP(A:A,'ITEM LIST'!A:C,3,0)</f>
        <v>#N/A</v>
      </c>
      <c r="D13358" s="6">
        <f t="shared" si="209"/>
        <v>0</v>
      </c>
    </row>
    <row r="13359" spans="3:4" ht="15" x14ac:dyDescent="0.25">
      <c r="C13359" s="8" t="e">
        <f>VLOOKUP(A:A,'ITEM LIST'!A:C,3,0)</f>
        <v>#N/A</v>
      </c>
      <c r="D13359" s="6">
        <f t="shared" si="209"/>
        <v>0</v>
      </c>
    </row>
    <row r="13360" spans="3:4" ht="15" x14ac:dyDescent="0.25">
      <c r="C13360" s="8" t="e">
        <f>VLOOKUP(A:A,'ITEM LIST'!A:C,3,0)</f>
        <v>#N/A</v>
      </c>
      <c r="D13360" s="6">
        <f t="shared" si="209"/>
        <v>0</v>
      </c>
    </row>
    <row r="13361" spans="3:4" ht="15" x14ac:dyDescent="0.25">
      <c r="C13361" s="8" t="e">
        <f>VLOOKUP(A:A,'ITEM LIST'!A:C,3,0)</f>
        <v>#N/A</v>
      </c>
      <c r="D13361" s="6">
        <f t="shared" si="209"/>
        <v>0</v>
      </c>
    </row>
    <row r="13362" spans="3:4" ht="15" x14ac:dyDescent="0.25">
      <c r="C13362" s="8" t="e">
        <f>VLOOKUP(A:A,'ITEM LIST'!A:C,3,0)</f>
        <v>#N/A</v>
      </c>
      <c r="D13362" s="6">
        <f t="shared" si="209"/>
        <v>0</v>
      </c>
    </row>
    <row r="13363" spans="3:4" ht="15" x14ac:dyDescent="0.25">
      <c r="C13363" s="8" t="e">
        <f>VLOOKUP(A:A,'ITEM LIST'!A:C,3,0)</f>
        <v>#N/A</v>
      </c>
      <c r="D13363" s="6">
        <f t="shared" si="209"/>
        <v>0</v>
      </c>
    </row>
    <row r="13364" spans="3:4" ht="15" x14ac:dyDescent="0.25">
      <c r="C13364" s="8" t="e">
        <f>VLOOKUP(A:A,'ITEM LIST'!A:C,3,0)</f>
        <v>#N/A</v>
      </c>
      <c r="D13364" s="6">
        <f t="shared" si="209"/>
        <v>0</v>
      </c>
    </row>
    <row r="13365" spans="3:4" ht="15" x14ac:dyDescent="0.25">
      <c r="C13365" s="8" t="e">
        <f>VLOOKUP(A:A,'ITEM LIST'!A:C,3,0)</f>
        <v>#N/A</v>
      </c>
      <c r="D13365" s="6">
        <f t="shared" si="209"/>
        <v>0</v>
      </c>
    </row>
    <row r="13366" spans="3:4" ht="15" x14ac:dyDescent="0.25">
      <c r="C13366" s="8" t="e">
        <f>VLOOKUP(A:A,'ITEM LIST'!A:C,3,0)</f>
        <v>#N/A</v>
      </c>
      <c r="D13366" s="6">
        <f t="shared" si="209"/>
        <v>0</v>
      </c>
    </row>
    <row r="13367" spans="3:4" ht="15" x14ac:dyDescent="0.25">
      <c r="C13367" s="8" t="e">
        <f>VLOOKUP(A:A,'ITEM LIST'!A:C,3,0)</f>
        <v>#N/A</v>
      </c>
      <c r="D13367" s="6">
        <f t="shared" si="209"/>
        <v>0</v>
      </c>
    </row>
    <row r="13368" spans="3:4" ht="15" x14ac:dyDescent="0.25">
      <c r="C13368" s="8" t="e">
        <f>VLOOKUP(A:A,'ITEM LIST'!A:C,3,0)</f>
        <v>#N/A</v>
      </c>
      <c r="D13368" s="6">
        <f t="shared" si="209"/>
        <v>0</v>
      </c>
    </row>
    <row r="13369" spans="3:4" ht="15" x14ac:dyDescent="0.25">
      <c r="C13369" s="8" t="e">
        <f>VLOOKUP(A:A,'ITEM LIST'!A:C,3,0)</f>
        <v>#N/A</v>
      </c>
      <c r="D13369" s="6">
        <f t="shared" si="209"/>
        <v>0</v>
      </c>
    </row>
    <row r="13370" spans="3:4" ht="15" x14ac:dyDescent="0.25">
      <c r="C13370" s="8" t="e">
        <f>VLOOKUP(A:A,'ITEM LIST'!A:C,3,0)</f>
        <v>#N/A</v>
      </c>
      <c r="D13370" s="6">
        <f t="shared" si="209"/>
        <v>0</v>
      </c>
    </row>
    <row r="13371" spans="3:4" ht="15" x14ac:dyDescent="0.25">
      <c r="C13371" s="8" t="e">
        <f>VLOOKUP(A:A,'ITEM LIST'!A:C,3,0)</f>
        <v>#N/A</v>
      </c>
      <c r="D13371" s="6">
        <f t="shared" si="209"/>
        <v>0</v>
      </c>
    </row>
    <row r="13372" spans="3:4" ht="15" x14ac:dyDescent="0.25">
      <c r="C13372" s="8" t="e">
        <f>VLOOKUP(A:A,'ITEM LIST'!A:C,3,0)</f>
        <v>#N/A</v>
      </c>
      <c r="D13372" s="6">
        <f t="shared" si="209"/>
        <v>0</v>
      </c>
    </row>
    <row r="13373" spans="3:4" ht="15" x14ac:dyDescent="0.25">
      <c r="C13373" s="8" t="e">
        <f>VLOOKUP(A:A,'ITEM LIST'!A:C,3,0)</f>
        <v>#N/A</v>
      </c>
      <c r="D13373" s="6">
        <f t="shared" si="209"/>
        <v>0</v>
      </c>
    </row>
    <row r="13374" spans="3:4" ht="15" x14ac:dyDescent="0.25">
      <c r="C13374" s="8" t="e">
        <f>VLOOKUP(A:A,'ITEM LIST'!A:C,3,0)</f>
        <v>#N/A</v>
      </c>
      <c r="D13374" s="6">
        <f t="shared" si="209"/>
        <v>0</v>
      </c>
    </row>
    <row r="13375" spans="3:4" ht="15" x14ac:dyDescent="0.25">
      <c r="C13375" s="8" t="e">
        <f>VLOOKUP(A:A,'ITEM LIST'!A:C,3,0)</f>
        <v>#N/A</v>
      </c>
      <c r="D13375" s="6">
        <f t="shared" si="209"/>
        <v>0</v>
      </c>
    </row>
    <row r="13376" spans="3:4" ht="15" x14ac:dyDescent="0.25">
      <c r="C13376" s="8" t="e">
        <f>VLOOKUP(A:A,'ITEM LIST'!A:C,3,0)</f>
        <v>#N/A</v>
      </c>
      <c r="D13376" s="6">
        <f t="shared" si="209"/>
        <v>0</v>
      </c>
    </row>
    <row r="13377" spans="3:4" ht="15" x14ac:dyDescent="0.25">
      <c r="C13377" s="8" t="e">
        <f>VLOOKUP(A:A,'ITEM LIST'!A:C,3,0)</f>
        <v>#N/A</v>
      </c>
      <c r="D13377" s="6">
        <f t="shared" si="209"/>
        <v>0</v>
      </c>
    </row>
    <row r="13378" spans="3:4" ht="15" x14ac:dyDescent="0.25">
      <c r="C13378" s="8" t="e">
        <f>VLOOKUP(A:A,'ITEM LIST'!A:C,3,0)</f>
        <v>#N/A</v>
      </c>
      <c r="D13378" s="6">
        <f t="shared" si="209"/>
        <v>0</v>
      </c>
    </row>
    <row r="13379" spans="3:4" ht="15" x14ac:dyDescent="0.25">
      <c r="C13379" s="8" t="e">
        <f>VLOOKUP(A:A,'ITEM LIST'!A:C,3,0)</f>
        <v>#N/A</v>
      </c>
      <c r="D13379" s="6">
        <f t="shared" si="209"/>
        <v>0</v>
      </c>
    </row>
    <row r="13380" spans="3:4" ht="15" x14ac:dyDescent="0.25">
      <c r="C13380" s="8" t="e">
        <f>VLOOKUP(A:A,'ITEM LIST'!A:C,3,0)</f>
        <v>#N/A</v>
      </c>
      <c r="D13380" s="6">
        <f t="shared" si="209"/>
        <v>0</v>
      </c>
    </row>
    <row r="13381" spans="3:4" ht="15" x14ac:dyDescent="0.25">
      <c r="C13381" s="8" t="e">
        <f>VLOOKUP(A:A,'ITEM LIST'!A:C,3,0)</f>
        <v>#N/A</v>
      </c>
      <c r="D13381" s="6">
        <f t="shared" si="209"/>
        <v>0</v>
      </c>
    </row>
    <row r="13382" spans="3:4" ht="15" x14ac:dyDescent="0.25">
      <c r="C13382" s="8" t="e">
        <f>VLOOKUP(A:A,'ITEM LIST'!A:C,3,0)</f>
        <v>#N/A</v>
      </c>
      <c r="D13382" s="6">
        <f t="shared" ref="D13382:D13445" si="210">B13382</f>
        <v>0</v>
      </c>
    </row>
    <row r="13383" spans="3:4" ht="15" x14ac:dyDescent="0.25">
      <c r="C13383" s="8" t="e">
        <f>VLOOKUP(A:A,'ITEM LIST'!A:C,3,0)</f>
        <v>#N/A</v>
      </c>
      <c r="D13383" s="6">
        <f t="shared" si="210"/>
        <v>0</v>
      </c>
    </row>
    <row r="13384" spans="3:4" ht="15" x14ac:dyDescent="0.25">
      <c r="C13384" s="8" t="e">
        <f>VLOOKUP(A:A,'ITEM LIST'!A:C,3,0)</f>
        <v>#N/A</v>
      </c>
      <c r="D13384" s="6">
        <f t="shared" si="210"/>
        <v>0</v>
      </c>
    </row>
    <row r="13385" spans="3:4" ht="15" x14ac:dyDescent="0.25">
      <c r="C13385" s="8" t="e">
        <f>VLOOKUP(A:A,'ITEM LIST'!A:C,3,0)</f>
        <v>#N/A</v>
      </c>
      <c r="D13385" s="6">
        <f t="shared" si="210"/>
        <v>0</v>
      </c>
    </row>
    <row r="13386" spans="3:4" ht="15" x14ac:dyDescent="0.25">
      <c r="C13386" s="8" t="e">
        <f>VLOOKUP(A:A,'ITEM LIST'!A:C,3,0)</f>
        <v>#N/A</v>
      </c>
      <c r="D13386" s="6">
        <f t="shared" si="210"/>
        <v>0</v>
      </c>
    </row>
    <row r="13387" spans="3:4" ht="15" x14ac:dyDescent="0.25">
      <c r="C13387" s="8" t="e">
        <f>VLOOKUP(A:A,'ITEM LIST'!A:C,3,0)</f>
        <v>#N/A</v>
      </c>
      <c r="D13387" s="6">
        <f t="shared" si="210"/>
        <v>0</v>
      </c>
    </row>
    <row r="13388" spans="3:4" ht="15" x14ac:dyDescent="0.25">
      <c r="C13388" s="8" t="e">
        <f>VLOOKUP(A:A,'ITEM LIST'!A:C,3,0)</f>
        <v>#N/A</v>
      </c>
      <c r="D13388" s="6">
        <f t="shared" si="210"/>
        <v>0</v>
      </c>
    </row>
    <row r="13389" spans="3:4" ht="15" x14ac:dyDescent="0.25">
      <c r="C13389" s="8" t="e">
        <f>VLOOKUP(A:A,'ITEM LIST'!A:C,3,0)</f>
        <v>#N/A</v>
      </c>
      <c r="D13389" s="6">
        <f t="shared" si="210"/>
        <v>0</v>
      </c>
    </row>
    <row r="13390" spans="3:4" ht="15" x14ac:dyDescent="0.25">
      <c r="C13390" s="8" t="e">
        <f>VLOOKUP(A:A,'ITEM LIST'!A:C,3,0)</f>
        <v>#N/A</v>
      </c>
      <c r="D13390" s="6">
        <f t="shared" si="210"/>
        <v>0</v>
      </c>
    </row>
    <row r="13391" spans="3:4" ht="15" x14ac:dyDescent="0.25">
      <c r="C13391" s="8" t="e">
        <f>VLOOKUP(A:A,'ITEM LIST'!A:C,3,0)</f>
        <v>#N/A</v>
      </c>
      <c r="D13391" s="6">
        <f t="shared" si="210"/>
        <v>0</v>
      </c>
    </row>
    <row r="13392" spans="3:4" ht="15" x14ac:dyDescent="0.25">
      <c r="C13392" s="8" t="e">
        <f>VLOOKUP(A:A,'ITEM LIST'!A:C,3,0)</f>
        <v>#N/A</v>
      </c>
      <c r="D13392" s="6">
        <f t="shared" si="210"/>
        <v>0</v>
      </c>
    </row>
    <row r="13393" spans="3:4" ht="15" x14ac:dyDescent="0.25">
      <c r="C13393" s="8" t="e">
        <f>VLOOKUP(A:A,'ITEM LIST'!A:C,3,0)</f>
        <v>#N/A</v>
      </c>
      <c r="D13393" s="6">
        <f t="shared" si="210"/>
        <v>0</v>
      </c>
    </row>
    <row r="13394" spans="3:4" ht="15" x14ac:dyDescent="0.25">
      <c r="C13394" s="8" t="e">
        <f>VLOOKUP(A:A,'ITEM LIST'!A:C,3,0)</f>
        <v>#N/A</v>
      </c>
      <c r="D13394" s="6">
        <f t="shared" si="210"/>
        <v>0</v>
      </c>
    </row>
    <row r="13395" spans="3:4" ht="15" x14ac:dyDescent="0.25">
      <c r="C13395" s="8" t="e">
        <f>VLOOKUP(A:A,'ITEM LIST'!A:C,3,0)</f>
        <v>#N/A</v>
      </c>
      <c r="D13395" s="6">
        <f t="shared" si="210"/>
        <v>0</v>
      </c>
    </row>
    <row r="13396" spans="3:4" ht="15" x14ac:dyDescent="0.25">
      <c r="C13396" s="8" t="e">
        <f>VLOOKUP(A:A,'ITEM LIST'!A:C,3,0)</f>
        <v>#N/A</v>
      </c>
      <c r="D13396" s="6">
        <f t="shared" si="210"/>
        <v>0</v>
      </c>
    </row>
    <row r="13397" spans="3:4" ht="15" x14ac:dyDescent="0.25">
      <c r="C13397" s="8" t="e">
        <f>VLOOKUP(A:A,'ITEM LIST'!A:C,3,0)</f>
        <v>#N/A</v>
      </c>
      <c r="D13397" s="6">
        <f t="shared" si="210"/>
        <v>0</v>
      </c>
    </row>
    <row r="13398" spans="3:4" ht="15" x14ac:dyDescent="0.25">
      <c r="C13398" s="8" t="e">
        <f>VLOOKUP(A:A,'ITEM LIST'!A:C,3,0)</f>
        <v>#N/A</v>
      </c>
      <c r="D13398" s="6">
        <f t="shared" si="210"/>
        <v>0</v>
      </c>
    </row>
    <row r="13399" spans="3:4" ht="15" x14ac:dyDescent="0.25">
      <c r="C13399" s="8" t="e">
        <f>VLOOKUP(A:A,'ITEM LIST'!A:C,3,0)</f>
        <v>#N/A</v>
      </c>
      <c r="D13399" s="6">
        <f t="shared" si="210"/>
        <v>0</v>
      </c>
    </row>
    <row r="13400" spans="3:4" ht="15" x14ac:dyDescent="0.25">
      <c r="C13400" s="8" t="e">
        <f>VLOOKUP(A:A,'ITEM LIST'!A:C,3,0)</f>
        <v>#N/A</v>
      </c>
      <c r="D13400" s="6">
        <f t="shared" si="210"/>
        <v>0</v>
      </c>
    </row>
    <row r="13401" spans="3:4" ht="15" x14ac:dyDescent="0.25">
      <c r="C13401" s="8" t="e">
        <f>VLOOKUP(A:A,'ITEM LIST'!A:C,3,0)</f>
        <v>#N/A</v>
      </c>
      <c r="D13401" s="6">
        <f t="shared" si="210"/>
        <v>0</v>
      </c>
    </row>
    <row r="13402" spans="3:4" ht="15" x14ac:dyDescent="0.25">
      <c r="C13402" s="8" t="e">
        <f>VLOOKUP(A:A,'ITEM LIST'!A:C,3,0)</f>
        <v>#N/A</v>
      </c>
      <c r="D13402" s="6">
        <f t="shared" si="210"/>
        <v>0</v>
      </c>
    </row>
    <row r="13403" spans="3:4" ht="15" x14ac:dyDescent="0.25">
      <c r="C13403" s="8" t="e">
        <f>VLOOKUP(A:A,'ITEM LIST'!A:C,3,0)</f>
        <v>#N/A</v>
      </c>
      <c r="D13403" s="6">
        <f t="shared" si="210"/>
        <v>0</v>
      </c>
    </row>
    <row r="13404" spans="3:4" ht="15" x14ac:dyDescent="0.25">
      <c r="C13404" s="8" t="e">
        <f>VLOOKUP(A:A,'ITEM LIST'!A:C,3,0)</f>
        <v>#N/A</v>
      </c>
      <c r="D13404" s="6">
        <f t="shared" si="210"/>
        <v>0</v>
      </c>
    </row>
    <row r="13405" spans="3:4" ht="15" x14ac:dyDescent="0.25">
      <c r="C13405" s="8" t="e">
        <f>VLOOKUP(A:A,'ITEM LIST'!A:C,3,0)</f>
        <v>#N/A</v>
      </c>
      <c r="D13405" s="6">
        <f t="shared" si="210"/>
        <v>0</v>
      </c>
    </row>
    <row r="13406" spans="3:4" ht="15" x14ac:dyDescent="0.25">
      <c r="C13406" s="8" t="e">
        <f>VLOOKUP(A:A,'ITEM LIST'!A:C,3,0)</f>
        <v>#N/A</v>
      </c>
      <c r="D13406" s="6">
        <f t="shared" si="210"/>
        <v>0</v>
      </c>
    </row>
    <row r="13407" spans="3:4" ht="15" x14ac:dyDescent="0.25">
      <c r="C13407" s="8" t="e">
        <f>VLOOKUP(A:A,'ITEM LIST'!A:C,3,0)</f>
        <v>#N/A</v>
      </c>
      <c r="D13407" s="6">
        <f t="shared" si="210"/>
        <v>0</v>
      </c>
    </row>
    <row r="13408" spans="3:4" ht="15" x14ac:dyDescent="0.25">
      <c r="C13408" s="8" t="e">
        <f>VLOOKUP(A:A,'ITEM LIST'!A:C,3,0)</f>
        <v>#N/A</v>
      </c>
      <c r="D13408" s="6">
        <f t="shared" si="210"/>
        <v>0</v>
      </c>
    </row>
    <row r="13409" spans="3:4" ht="15" x14ac:dyDescent="0.25">
      <c r="C13409" s="8" t="e">
        <f>VLOOKUP(A:A,'ITEM LIST'!A:C,3,0)</f>
        <v>#N/A</v>
      </c>
      <c r="D13409" s="6">
        <f t="shared" si="210"/>
        <v>0</v>
      </c>
    </row>
    <row r="13410" spans="3:4" ht="15" x14ac:dyDescent="0.25">
      <c r="C13410" s="8" t="e">
        <f>VLOOKUP(A:A,'ITEM LIST'!A:C,3,0)</f>
        <v>#N/A</v>
      </c>
      <c r="D13410" s="6">
        <f t="shared" si="210"/>
        <v>0</v>
      </c>
    </row>
    <row r="13411" spans="3:4" ht="15" x14ac:dyDescent="0.25">
      <c r="C13411" s="8" t="e">
        <f>VLOOKUP(A:A,'ITEM LIST'!A:C,3,0)</f>
        <v>#N/A</v>
      </c>
      <c r="D13411" s="6">
        <f t="shared" si="210"/>
        <v>0</v>
      </c>
    </row>
    <row r="13412" spans="3:4" ht="15" x14ac:dyDescent="0.25">
      <c r="C13412" s="8" t="e">
        <f>VLOOKUP(A:A,'ITEM LIST'!A:C,3,0)</f>
        <v>#N/A</v>
      </c>
      <c r="D13412" s="6">
        <f t="shared" si="210"/>
        <v>0</v>
      </c>
    </row>
    <row r="13413" spans="3:4" ht="15" x14ac:dyDescent="0.25">
      <c r="C13413" s="8" t="e">
        <f>VLOOKUP(A:A,'ITEM LIST'!A:C,3,0)</f>
        <v>#N/A</v>
      </c>
      <c r="D13413" s="6">
        <f t="shared" si="210"/>
        <v>0</v>
      </c>
    </row>
    <row r="13414" spans="3:4" ht="15" x14ac:dyDescent="0.25">
      <c r="C13414" s="8" t="e">
        <f>VLOOKUP(A:A,'ITEM LIST'!A:C,3,0)</f>
        <v>#N/A</v>
      </c>
      <c r="D13414" s="6">
        <f t="shared" si="210"/>
        <v>0</v>
      </c>
    </row>
    <row r="13415" spans="3:4" ht="15" x14ac:dyDescent="0.25">
      <c r="C13415" s="8" t="e">
        <f>VLOOKUP(A:A,'ITEM LIST'!A:C,3,0)</f>
        <v>#N/A</v>
      </c>
      <c r="D13415" s="6">
        <f t="shared" si="210"/>
        <v>0</v>
      </c>
    </row>
    <row r="13416" spans="3:4" ht="15" x14ac:dyDescent="0.25">
      <c r="C13416" s="8" t="e">
        <f>VLOOKUP(A:A,'ITEM LIST'!A:C,3,0)</f>
        <v>#N/A</v>
      </c>
      <c r="D13416" s="6">
        <f t="shared" si="210"/>
        <v>0</v>
      </c>
    </row>
    <row r="13417" spans="3:4" ht="15" x14ac:dyDescent="0.25">
      <c r="C13417" s="8" t="e">
        <f>VLOOKUP(A:A,'ITEM LIST'!A:C,3,0)</f>
        <v>#N/A</v>
      </c>
      <c r="D13417" s="6">
        <f t="shared" si="210"/>
        <v>0</v>
      </c>
    </row>
    <row r="13418" spans="3:4" ht="15" x14ac:dyDescent="0.25">
      <c r="C13418" s="8" t="e">
        <f>VLOOKUP(A:A,'ITEM LIST'!A:C,3,0)</f>
        <v>#N/A</v>
      </c>
      <c r="D13418" s="6">
        <f t="shared" si="210"/>
        <v>0</v>
      </c>
    </row>
    <row r="13419" spans="3:4" ht="15" x14ac:dyDescent="0.25">
      <c r="C13419" s="8" t="e">
        <f>VLOOKUP(A:A,'ITEM LIST'!A:C,3,0)</f>
        <v>#N/A</v>
      </c>
      <c r="D13419" s="6">
        <f t="shared" si="210"/>
        <v>0</v>
      </c>
    </row>
    <row r="13420" spans="3:4" ht="15" x14ac:dyDescent="0.25">
      <c r="C13420" s="8" t="e">
        <f>VLOOKUP(A:A,'ITEM LIST'!A:C,3,0)</f>
        <v>#N/A</v>
      </c>
      <c r="D13420" s="6">
        <f t="shared" si="210"/>
        <v>0</v>
      </c>
    </row>
    <row r="13421" spans="3:4" ht="15" x14ac:dyDescent="0.25">
      <c r="C13421" s="8" t="e">
        <f>VLOOKUP(A:A,'ITEM LIST'!A:C,3,0)</f>
        <v>#N/A</v>
      </c>
      <c r="D13421" s="6">
        <f t="shared" si="210"/>
        <v>0</v>
      </c>
    </row>
    <row r="13422" spans="3:4" ht="15" x14ac:dyDescent="0.25">
      <c r="C13422" s="8" t="e">
        <f>VLOOKUP(A:A,'ITEM LIST'!A:C,3,0)</f>
        <v>#N/A</v>
      </c>
      <c r="D13422" s="6">
        <f t="shared" si="210"/>
        <v>0</v>
      </c>
    </row>
    <row r="13423" spans="3:4" ht="15" x14ac:dyDescent="0.25">
      <c r="C13423" s="8" t="e">
        <f>VLOOKUP(A:A,'ITEM LIST'!A:C,3,0)</f>
        <v>#N/A</v>
      </c>
      <c r="D13423" s="6">
        <f t="shared" si="210"/>
        <v>0</v>
      </c>
    </row>
    <row r="13424" spans="3:4" ht="15" x14ac:dyDescent="0.25">
      <c r="C13424" s="8" t="e">
        <f>VLOOKUP(A:A,'ITEM LIST'!A:C,3,0)</f>
        <v>#N/A</v>
      </c>
      <c r="D13424" s="6">
        <f t="shared" si="210"/>
        <v>0</v>
      </c>
    </row>
    <row r="13425" spans="3:4" ht="15" x14ac:dyDescent="0.25">
      <c r="C13425" s="8" t="e">
        <f>VLOOKUP(A:A,'ITEM LIST'!A:C,3,0)</f>
        <v>#N/A</v>
      </c>
      <c r="D13425" s="6">
        <f t="shared" si="210"/>
        <v>0</v>
      </c>
    </row>
    <row r="13426" spans="3:4" ht="15" x14ac:dyDescent="0.25">
      <c r="C13426" s="8" t="e">
        <f>VLOOKUP(A:A,'ITEM LIST'!A:C,3,0)</f>
        <v>#N/A</v>
      </c>
      <c r="D13426" s="6">
        <f t="shared" si="210"/>
        <v>0</v>
      </c>
    </row>
    <row r="13427" spans="3:4" ht="15" x14ac:dyDescent="0.25">
      <c r="C13427" s="8" t="e">
        <f>VLOOKUP(A:A,'ITEM LIST'!A:C,3,0)</f>
        <v>#N/A</v>
      </c>
      <c r="D13427" s="6">
        <f t="shared" si="210"/>
        <v>0</v>
      </c>
    </row>
    <row r="13428" spans="3:4" ht="15" x14ac:dyDescent="0.25">
      <c r="C13428" s="8" t="e">
        <f>VLOOKUP(A:A,'ITEM LIST'!A:C,3,0)</f>
        <v>#N/A</v>
      </c>
      <c r="D13428" s="6">
        <f t="shared" si="210"/>
        <v>0</v>
      </c>
    </row>
    <row r="13429" spans="3:4" ht="15" x14ac:dyDescent="0.25">
      <c r="C13429" s="8" t="e">
        <f>VLOOKUP(A:A,'ITEM LIST'!A:C,3,0)</f>
        <v>#N/A</v>
      </c>
      <c r="D13429" s="6">
        <f t="shared" si="210"/>
        <v>0</v>
      </c>
    </row>
    <row r="13430" spans="3:4" ht="15" x14ac:dyDescent="0.25">
      <c r="C13430" s="8" t="e">
        <f>VLOOKUP(A:A,'ITEM LIST'!A:C,3,0)</f>
        <v>#N/A</v>
      </c>
      <c r="D13430" s="6">
        <f t="shared" si="210"/>
        <v>0</v>
      </c>
    </row>
    <row r="13431" spans="3:4" ht="15" x14ac:dyDescent="0.25">
      <c r="C13431" s="8" t="e">
        <f>VLOOKUP(A:A,'ITEM LIST'!A:C,3,0)</f>
        <v>#N/A</v>
      </c>
      <c r="D13431" s="6">
        <f t="shared" si="210"/>
        <v>0</v>
      </c>
    </row>
    <row r="13432" spans="3:4" ht="15" x14ac:dyDescent="0.25">
      <c r="C13432" s="8" t="e">
        <f>VLOOKUP(A:A,'ITEM LIST'!A:C,3,0)</f>
        <v>#N/A</v>
      </c>
      <c r="D13432" s="6">
        <f t="shared" si="210"/>
        <v>0</v>
      </c>
    </row>
    <row r="13433" spans="3:4" ht="15" x14ac:dyDescent="0.25">
      <c r="C13433" s="8" t="e">
        <f>VLOOKUP(A:A,'ITEM LIST'!A:C,3,0)</f>
        <v>#N/A</v>
      </c>
      <c r="D13433" s="6">
        <f t="shared" si="210"/>
        <v>0</v>
      </c>
    </row>
    <row r="13434" spans="3:4" ht="15" x14ac:dyDescent="0.25">
      <c r="C13434" s="8" t="e">
        <f>VLOOKUP(A:A,'ITEM LIST'!A:C,3,0)</f>
        <v>#N/A</v>
      </c>
      <c r="D13434" s="6">
        <f t="shared" si="210"/>
        <v>0</v>
      </c>
    </row>
    <row r="13435" spans="3:4" ht="15" x14ac:dyDescent="0.25">
      <c r="C13435" s="8" t="e">
        <f>VLOOKUP(A:A,'ITEM LIST'!A:C,3,0)</f>
        <v>#N/A</v>
      </c>
      <c r="D13435" s="6">
        <f t="shared" si="210"/>
        <v>0</v>
      </c>
    </row>
    <row r="13436" spans="3:4" ht="15" x14ac:dyDescent="0.25">
      <c r="C13436" s="8" t="e">
        <f>VLOOKUP(A:A,'ITEM LIST'!A:C,3,0)</f>
        <v>#N/A</v>
      </c>
      <c r="D13436" s="6">
        <f t="shared" si="210"/>
        <v>0</v>
      </c>
    </row>
    <row r="13437" spans="3:4" ht="15" x14ac:dyDescent="0.25">
      <c r="C13437" s="8" t="e">
        <f>VLOOKUP(A:A,'ITEM LIST'!A:C,3,0)</f>
        <v>#N/A</v>
      </c>
      <c r="D13437" s="6">
        <f t="shared" si="210"/>
        <v>0</v>
      </c>
    </row>
    <row r="13438" spans="3:4" ht="15" x14ac:dyDescent="0.25">
      <c r="C13438" s="8" t="e">
        <f>VLOOKUP(A:A,'ITEM LIST'!A:C,3,0)</f>
        <v>#N/A</v>
      </c>
      <c r="D13438" s="6">
        <f t="shared" si="210"/>
        <v>0</v>
      </c>
    </row>
    <row r="13439" spans="3:4" ht="15" x14ac:dyDescent="0.25">
      <c r="C13439" s="8" t="e">
        <f>VLOOKUP(A:A,'ITEM LIST'!A:C,3,0)</f>
        <v>#N/A</v>
      </c>
      <c r="D13439" s="6">
        <f t="shared" si="210"/>
        <v>0</v>
      </c>
    </row>
    <row r="13440" spans="3:4" ht="15" x14ac:dyDescent="0.25">
      <c r="C13440" s="8" t="e">
        <f>VLOOKUP(A:A,'ITEM LIST'!A:C,3,0)</f>
        <v>#N/A</v>
      </c>
      <c r="D13440" s="6">
        <f t="shared" si="210"/>
        <v>0</v>
      </c>
    </row>
    <row r="13441" spans="3:4" ht="15" x14ac:dyDescent="0.25">
      <c r="C13441" s="8" t="e">
        <f>VLOOKUP(A:A,'ITEM LIST'!A:C,3,0)</f>
        <v>#N/A</v>
      </c>
      <c r="D13441" s="6">
        <f t="shared" si="210"/>
        <v>0</v>
      </c>
    </row>
    <row r="13442" spans="3:4" ht="15" x14ac:dyDescent="0.25">
      <c r="C13442" s="8" t="e">
        <f>VLOOKUP(A:A,'ITEM LIST'!A:C,3,0)</f>
        <v>#N/A</v>
      </c>
      <c r="D13442" s="6">
        <f t="shared" si="210"/>
        <v>0</v>
      </c>
    </row>
    <row r="13443" spans="3:4" ht="15" x14ac:dyDescent="0.25">
      <c r="C13443" s="8" t="e">
        <f>VLOOKUP(A:A,'ITEM LIST'!A:C,3,0)</f>
        <v>#N/A</v>
      </c>
      <c r="D13443" s="6">
        <f t="shared" si="210"/>
        <v>0</v>
      </c>
    </row>
    <row r="13444" spans="3:4" ht="15" x14ac:dyDescent="0.25">
      <c r="C13444" s="8" t="e">
        <f>VLOOKUP(A:A,'ITEM LIST'!A:C,3,0)</f>
        <v>#N/A</v>
      </c>
      <c r="D13444" s="6">
        <f t="shared" si="210"/>
        <v>0</v>
      </c>
    </row>
    <row r="13445" spans="3:4" ht="15" x14ac:dyDescent="0.25">
      <c r="C13445" s="8" t="e">
        <f>VLOOKUP(A:A,'ITEM LIST'!A:C,3,0)</f>
        <v>#N/A</v>
      </c>
      <c r="D13445" s="6">
        <f t="shared" si="210"/>
        <v>0</v>
      </c>
    </row>
    <row r="13446" spans="3:4" ht="15" x14ac:dyDescent="0.25">
      <c r="C13446" s="8" t="e">
        <f>VLOOKUP(A:A,'ITEM LIST'!A:C,3,0)</f>
        <v>#N/A</v>
      </c>
      <c r="D13446" s="6">
        <f t="shared" ref="D13446:D13509" si="211">B13446</f>
        <v>0</v>
      </c>
    </row>
    <row r="13447" spans="3:4" ht="15" x14ac:dyDescent="0.25">
      <c r="C13447" s="8" t="e">
        <f>VLOOKUP(A:A,'ITEM LIST'!A:C,3,0)</f>
        <v>#N/A</v>
      </c>
      <c r="D13447" s="6">
        <f t="shared" si="211"/>
        <v>0</v>
      </c>
    </row>
    <row r="13448" spans="3:4" ht="15" x14ac:dyDescent="0.25">
      <c r="C13448" s="8" t="e">
        <f>VLOOKUP(A:A,'ITEM LIST'!A:C,3,0)</f>
        <v>#N/A</v>
      </c>
      <c r="D13448" s="6">
        <f t="shared" si="211"/>
        <v>0</v>
      </c>
    </row>
    <row r="13449" spans="3:4" ht="15" x14ac:dyDescent="0.25">
      <c r="C13449" s="8" t="e">
        <f>VLOOKUP(A:A,'ITEM LIST'!A:C,3,0)</f>
        <v>#N/A</v>
      </c>
      <c r="D13449" s="6">
        <f t="shared" si="211"/>
        <v>0</v>
      </c>
    </row>
    <row r="13450" spans="3:4" ht="15" x14ac:dyDescent="0.25">
      <c r="C13450" s="8" t="e">
        <f>VLOOKUP(A:A,'ITEM LIST'!A:C,3,0)</f>
        <v>#N/A</v>
      </c>
      <c r="D13450" s="6">
        <f t="shared" si="211"/>
        <v>0</v>
      </c>
    </row>
    <row r="13451" spans="3:4" ht="15" x14ac:dyDescent="0.25">
      <c r="C13451" s="8" t="e">
        <f>VLOOKUP(A:A,'ITEM LIST'!A:C,3,0)</f>
        <v>#N/A</v>
      </c>
      <c r="D13451" s="6">
        <f t="shared" si="211"/>
        <v>0</v>
      </c>
    </row>
    <row r="13452" spans="3:4" ht="15" x14ac:dyDescent="0.25">
      <c r="C13452" s="8" t="e">
        <f>VLOOKUP(A:A,'ITEM LIST'!A:C,3,0)</f>
        <v>#N/A</v>
      </c>
      <c r="D13452" s="6">
        <f t="shared" si="211"/>
        <v>0</v>
      </c>
    </row>
    <row r="13453" spans="3:4" ht="15" x14ac:dyDescent="0.25">
      <c r="C13453" s="8" t="e">
        <f>VLOOKUP(A:A,'ITEM LIST'!A:C,3,0)</f>
        <v>#N/A</v>
      </c>
      <c r="D13453" s="6">
        <f t="shared" si="211"/>
        <v>0</v>
      </c>
    </row>
    <row r="13454" spans="3:4" ht="15" x14ac:dyDescent="0.25">
      <c r="C13454" s="8" t="e">
        <f>VLOOKUP(A:A,'ITEM LIST'!A:C,3,0)</f>
        <v>#N/A</v>
      </c>
      <c r="D13454" s="6">
        <f t="shared" si="211"/>
        <v>0</v>
      </c>
    </row>
    <row r="13455" spans="3:4" ht="15" x14ac:dyDescent="0.25">
      <c r="C13455" s="8" t="e">
        <f>VLOOKUP(A:A,'ITEM LIST'!A:C,3,0)</f>
        <v>#N/A</v>
      </c>
      <c r="D13455" s="6">
        <f t="shared" si="211"/>
        <v>0</v>
      </c>
    </row>
    <row r="13456" spans="3:4" ht="15" x14ac:dyDescent="0.25">
      <c r="C13456" s="8" t="e">
        <f>VLOOKUP(A:A,'ITEM LIST'!A:C,3,0)</f>
        <v>#N/A</v>
      </c>
      <c r="D13456" s="6">
        <f t="shared" si="211"/>
        <v>0</v>
      </c>
    </row>
    <row r="13457" spans="3:4" ht="15" x14ac:dyDescent="0.25">
      <c r="C13457" s="8" t="e">
        <f>VLOOKUP(A:A,'ITEM LIST'!A:C,3,0)</f>
        <v>#N/A</v>
      </c>
      <c r="D13457" s="6">
        <f t="shared" si="211"/>
        <v>0</v>
      </c>
    </row>
    <row r="13458" spans="3:4" ht="15" x14ac:dyDescent="0.25">
      <c r="C13458" s="8" t="e">
        <f>VLOOKUP(A:A,'ITEM LIST'!A:C,3,0)</f>
        <v>#N/A</v>
      </c>
      <c r="D13458" s="6">
        <f t="shared" si="211"/>
        <v>0</v>
      </c>
    </row>
    <row r="13459" spans="3:4" ht="15" x14ac:dyDescent="0.25">
      <c r="C13459" s="8" t="e">
        <f>VLOOKUP(A:A,'ITEM LIST'!A:C,3,0)</f>
        <v>#N/A</v>
      </c>
      <c r="D13459" s="6">
        <f t="shared" si="211"/>
        <v>0</v>
      </c>
    </row>
    <row r="13460" spans="3:4" ht="15" x14ac:dyDescent="0.25">
      <c r="C13460" s="8" t="e">
        <f>VLOOKUP(A:A,'ITEM LIST'!A:C,3,0)</f>
        <v>#N/A</v>
      </c>
      <c r="D13460" s="6">
        <f t="shared" si="211"/>
        <v>0</v>
      </c>
    </row>
    <row r="13461" spans="3:4" ht="15" x14ac:dyDescent="0.25">
      <c r="C13461" s="8" t="e">
        <f>VLOOKUP(A:A,'ITEM LIST'!A:C,3,0)</f>
        <v>#N/A</v>
      </c>
      <c r="D13461" s="6">
        <f t="shared" si="211"/>
        <v>0</v>
      </c>
    </row>
    <row r="13462" spans="3:4" ht="15" x14ac:dyDescent="0.25">
      <c r="C13462" s="8" t="e">
        <f>VLOOKUP(A:A,'ITEM LIST'!A:C,3,0)</f>
        <v>#N/A</v>
      </c>
      <c r="D13462" s="6">
        <f t="shared" si="211"/>
        <v>0</v>
      </c>
    </row>
    <row r="13463" spans="3:4" ht="15" x14ac:dyDescent="0.25">
      <c r="C13463" s="8" t="e">
        <f>VLOOKUP(A:A,'ITEM LIST'!A:C,3,0)</f>
        <v>#N/A</v>
      </c>
      <c r="D13463" s="6">
        <f t="shared" si="211"/>
        <v>0</v>
      </c>
    </row>
    <row r="13464" spans="3:4" ht="15" x14ac:dyDescent="0.25">
      <c r="C13464" s="8" t="e">
        <f>VLOOKUP(A:A,'ITEM LIST'!A:C,3,0)</f>
        <v>#N/A</v>
      </c>
      <c r="D13464" s="6">
        <f t="shared" si="211"/>
        <v>0</v>
      </c>
    </row>
    <row r="13465" spans="3:4" ht="15" x14ac:dyDescent="0.25">
      <c r="C13465" s="8" t="e">
        <f>VLOOKUP(A:A,'ITEM LIST'!A:C,3,0)</f>
        <v>#N/A</v>
      </c>
      <c r="D13465" s="6">
        <f t="shared" si="211"/>
        <v>0</v>
      </c>
    </row>
    <row r="13466" spans="3:4" ht="15" x14ac:dyDescent="0.25">
      <c r="C13466" s="8" t="e">
        <f>VLOOKUP(A:A,'ITEM LIST'!A:C,3,0)</f>
        <v>#N/A</v>
      </c>
      <c r="D13466" s="6">
        <f t="shared" si="211"/>
        <v>0</v>
      </c>
    </row>
    <row r="13467" spans="3:4" ht="15" x14ac:dyDescent="0.25">
      <c r="C13467" s="8" t="e">
        <f>VLOOKUP(A:A,'ITEM LIST'!A:C,3,0)</f>
        <v>#N/A</v>
      </c>
      <c r="D13467" s="6">
        <f t="shared" si="211"/>
        <v>0</v>
      </c>
    </row>
    <row r="13468" spans="3:4" ht="15" x14ac:dyDescent="0.25">
      <c r="C13468" s="8" t="e">
        <f>VLOOKUP(A:A,'ITEM LIST'!A:C,3,0)</f>
        <v>#N/A</v>
      </c>
      <c r="D13468" s="6">
        <f t="shared" si="211"/>
        <v>0</v>
      </c>
    </row>
    <row r="13469" spans="3:4" ht="15" x14ac:dyDescent="0.25">
      <c r="C13469" s="8" t="e">
        <f>VLOOKUP(A:A,'ITEM LIST'!A:C,3,0)</f>
        <v>#N/A</v>
      </c>
      <c r="D13469" s="6">
        <f t="shared" si="211"/>
        <v>0</v>
      </c>
    </row>
    <row r="13470" spans="3:4" ht="15" x14ac:dyDescent="0.25">
      <c r="C13470" s="8" t="e">
        <f>VLOOKUP(A:A,'ITEM LIST'!A:C,3,0)</f>
        <v>#N/A</v>
      </c>
      <c r="D13470" s="6">
        <f t="shared" si="211"/>
        <v>0</v>
      </c>
    </row>
    <row r="13471" spans="3:4" ht="15" x14ac:dyDescent="0.25">
      <c r="C13471" s="8" t="e">
        <f>VLOOKUP(A:A,'ITEM LIST'!A:C,3,0)</f>
        <v>#N/A</v>
      </c>
      <c r="D13471" s="6">
        <f t="shared" si="211"/>
        <v>0</v>
      </c>
    </row>
    <row r="13472" spans="3:4" ht="15" x14ac:dyDescent="0.25">
      <c r="C13472" s="8" t="e">
        <f>VLOOKUP(A:A,'ITEM LIST'!A:C,3,0)</f>
        <v>#N/A</v>
      </c>
      <c r="D13472" s="6">
        <f t="shared" si="211"/>
        <v>0</v>
      </c>
    </row>
    <row r="13473" spans="3:4" ht="15" x14ac:dyDescent="0.25">
      <c r="C13473" s="8" t="e">
        <f>VLOOKUP(A:A,'ITEM LIST'!A:C,3,0)</f>
        <v>#N/A</v>
      </c>
      <c r="D13473" s="6">
        <f t="shared" si="211"/>
        <v>0</v>
      </c>
    </row>
    <row r="13474" spans="3:4" ht="15" x14ac:dyDescent="0.25">
      <c r="C13474" s="8" t="e">
        <f>VLOOKUP(A:A,'ITEM LIST'!A:C,3,0)</f>
        <v>#N/A</v>
      </c>
      <c r="D13474" s="6">
        <f t="shared" si="211"/>
        <v>0</v>
      </c>
    </row>
    <row r="13475" spans="3:4" ht="15" x14ac:dyDescent="0.25">
      <c r="C13475" s="8" t="e">
        <f>VLOOKUP(A:A,'ITEM LIST'!A:C,3,0)</f>
        <v>#N/A</v>
      </c>
      <c r="D13475" s="6">
        <f t="shared" si="211"/>
        <v>0</v>
      </c>
    </row>
    <row r="13476" spans="3:4" ht="15" x14ac:dyDescent="0.25">
      <c r="C13476" s="8" t="e">
        <f>VLOOKUP(A:A,'ITEM LIST'!A:C,3,0)</f>
        <v>#N/A</v>
      </c>
      <c r="D13476" s="6">
        <f t="shared" si="211"/>
        <v>0</v>
      </c>
    </row>
    <row r="13477" spans="3:4" ht="15" x14ac:dyDescent="0.25">
      <c r="C13477" s="8" t="e">
        <f>VLOOKUP(A:A,'ITEM LIST'!A:C,3,0)</f>
        <v>#N/A</v>
      </c>
      <c r="D13477" s="6">
        <f t="shared" si="211"/>
        <v>0</v>
      </c>
    </row>
    <row r="13478" spans="3:4" ht="15" x14ac:dyDescent="0.25">
      <c r="C13478" s="8" t="e">
        <f>VLOOKUP(A:A,'ITEM LIST'!A:C,3,0)</f>
        <v>#N/A</v>
      </c>
      <c r="D13478" s="6">
        <f t="shared" si="211"/>
        <v>0</v>
      </c>
    </row>
    <row r="13479" spans="3:4" ht="15" x14ac:dyDescent="0.25">
      <c r="C13479" s="8" t="e">
        <f>VLOOKUP(A:A,'ITEM LIST'!A:C,3,0)</f>
        <v>#N/A</v>
      </c>
      <c r="D13479" s="6">
        <f t="shared" si="211"/>
        <v>0</v>
      </c>
    </row>
    <row r="13480" spans="3:4" ht="15" x14ac:dyDescent="0.25">
      <c r="C13480" s="8" t="e">
        <f>VLOOKUP(A:A,'ITEM LIST'!A:C,3,0)</f>
        <v>#N/A</v>
      </c>
      <c r="D13480" s="6">
        <f t="shared" si="211"/>
        <v>0</v>
      </c>
    </row>
    <row r="13481" spans="3:4" ht="15" x14ac:dyDescent="0.25">
      <c r="C13481" s="8" t="e">
        <f>VLOOKUP(A:A,'ITEM LIST'!A:C,3,0)</f>
        <v>#N/A</v>
      </c>
      <c r="D13481" s="6">
        <f t="shared" si="211"/>
        <v>0</v>
      </c>
    </row>
    <row r="13482" spans="3:4" ht="15" x14ac:dyDescent="0.25">
      <c r="C13482" s="8" t="e">
        <f>VLOOKUP(A:A,'ITEM LIST'!A:C,3,0)</f>
        <v>#N/A</v>
      </c>
      <c r="D13482" s="6">
        <f t="shared" si="211"/>
        <v>0</v>
      </c>
    </row>
    <row r="13483" spans="3:4" ht="15" x14ac:dyDescent="0.25">
      <c r="C13483" s="8" t="e">
        <f>VLOOKUP(A:A,'ITEM LIST'!A:C,3,0)</f>
        <v>#N/A</v>
      </c>
      <c r="D13483" s="6">
        <f t="shared" si="211"/>
        <v>0</v>
      </c>
    </row>
    <row r="13484" spans="3:4" ht="15" x14ac:dyDescent="0.25">
      <c r="C13484" s="8" t="e">
        <f>VLOOKUP(A:A,'ITEM LIST'!A:C,3,0)</f>
        <v>#N/A</v>
      </c>
      <c r="D13484" s="6">
        <f t="shared" si="211"/>
        <v>0</v>
      </c>
    </row>
    <row r="13485" spans="3:4" ht="15" x14ac:dyDescent="0.25">
      <c r="C13485" s="8" t="e">
        <f>VLOOKUP(A:A,'ITEM LIST'!A:C,3,0)</f>
        <v>#N/A</v>
      </c>
      <c r="D13485" s="6">
        <f t="shared" si="211"/>
        <v>0</v>
      </c>
    </row>
    <row r="13486" spans="3:4" ht="15" x14ac:dyDescent="0.25">
      <c r="C13486" s="8" t="e">
        <f>VLOOKUP(A:A,'ITEM LIST'!A:C,3,0)</f>
        <v>#N/A</v>
      </c>
      <c r="D13486" s="6">
        <f t="shared" si="211"/>
        <v>0</v>
      </c>
    </row>
    <row r="13487" spans="3:4" ht="15" x14ac:dyDescent="0.25">
      <c r="C13487" s="8" t="e">
        <f>VLOOKUP(A:A,'ITEM LIST'!A:C,3,0)</f>
        <v>#N/A</v>
      </c>
      <c r="D13487" s="6">
        <f t="shared" si="211"/>
        <v>0</v>
      </c>
    </row>
    <row r="13488" spans="3:4" ht="15" x14ac:dyDescent="0.25">
      <c r="C13488" s="8" t="e">
        <f>VLOOKUP(A:A,'ITEM LIST'!A:C,3,0)</f>
        <v>#N/A</v>
      </c>
      <c r="D13488" s="6">
        <f t="shared" si="211"/>
        <v>0</v>
      </c>
    </row>
    <row r="13489" spans="3:4" ht="15" x14ac:dyDescent="0.25">
      <c r="C13489" s="8" t="e">
        <f>VLOOKUP(A:A,'ITEM LIST'!A:C,3,0)</f>
        <v>#N/A</v>
      </c>
      <c r="D13489" s="6">
        <f t="shared" si="211"/>
        <v>0</v>
      </c>
    </row>
    <row r="13490" spans="3:4" ht="15" x14ac:dyDescent="0.25">
      <c r="C13490" s="8" t="e">
        <f>VLOOKUP(A:A,'ITEM LIST'!A:C,3,0)</f>
        <v>#N/A</v>
      </c>
      <c r="D13490" s="6">
        <f t="shared" si="211"/>
        <v>0</v>
      </c>
    </row>
    <row r="13491" spans="3:4" ht="15" x14ac:dyDescent="0.25">
      <c r="C13491" s="8" t="e">
        <f>VLOOKUP(A:A,'ITEM LIST'!A:C,3,0)</f>
        <v>#N/A</v>
      </c>
      <c r="D13491" s="6">
        <f t="shared" si="211"/>
        <v>0</v>
      </c>
    </row>
    <row r="13492" spans="3:4" ht="15" x14ac:dyDescent="0.25">
      <c r="C13492" s="8" t="e">
        <f>VLOOKUP(A:A,'ITEM LIST'!A:C,3,0)</f>
        <v>#N/A</v>
      </c>
      <c r="D13492" s="6">
        <f t="shared" si="211"/>
        <v>0</v>
      </c>
    </row>
    <row r="13493" spans="3:4" ht="15" x14ac:dyDescent="0.25">
      <c r="C13493" s="8" t="e">
        <f>VLOOKUP(A:A,'ITEM LIST'!A:C,3,0)</f>
        <v>#N/A</v>
      </c>
      <c r="D13493" s="6">
        <f t="shared" si="211"/>
        <v>0</v>
      </c>
    </row>
    <row r="13494" spans="3:4" ht="15" x14ac:dyDescent="0.25">
      <c r="C13494" s="8" t="e">
        <f>VLOOKUP(A:A,'ITEM LIST'!A:C,3,0)</f>
        <v>#N/A</v>
      </c>
      <c r="D13494" s="6">
        <f t="shared" si="211"/>
        <v>0</v>
      </c>
    </row>
    <row r="13495" spans="3:4" ht="15" x14ac:dyDescent="0.25">
      <c r="C13495" s="8" t="e">
        <f>VLOOKUP(A:A,'ITEM LIST'!A:C,3,0)</f>
        <v>#N/A</v>
      </c>
      <c r="D13495" s="6">
        <f t="shared" si="211"/>
        <v>0</v>
      </c>
    </row>
    <row r="13496" spans="3:4" ht="15" x14ac:dyDescent="0.25">
      <c r="C13496" s="8" t="e">
        <f>VLOOKUP(A:A,'ITEM LIST'!A:C,3,0)</f>
        <v>#N/A</v>
      </c>
      <c r="D13496" s="6">
        <f t="shared" si="211"/>
        <v>0</v>
      </c>
    </row>
    <row r="13497" spans="3:4" ht="15" x14ac:dyDescent="0.25">
      <c r="C13497" s="8" t="e">
        <f>VLOOKUP(A:A,'ITEM LIST'!A:C,3,0)</f>
        <v>#N/A</v>
      </c>
      <c r="D13497" s="6">
        <f t="shared" si="211"/>
        <v>0</v>
      </c>
    </row>
    <row r="13498" spans="3:4" ht="15" x14ac:dyDescent="0.25">
      <c r="C13498" s="8" t="e">
        <f>VLOOKUP(A:A,'ITEM LIST'!A:C,3,0)</f>
        <v>#N/A</v>
      </c>
      <c r="D13498" s="6">
        <f t="shared" si="211"/>
        <v>0</v>
      </c>
    </row>
    <row r="13499" spans="3:4" ht="15" x14ac:dyDescent="0.25">
      <c r="C13499" s="8" t="e">
        <f>VLOOKUP(A:A,'ITEM LIST'!A:C,3,0)</f>
        <v>#N/A</v>
      </c>
      <c r="D13499" s="6">
        <f t="shared" si="211"/>
        <v>0</v>
      </c>
    </row>
    <row r="13500" spans="3:4" ht="15" x14ac:dyDescent="0.25">
      <c r="C13500" s="8" t="e">
        <f>VLOOKUP(A:A,'ITEM LIST'!A:C,3,0)</f>
        <v>#N/A</v>
      </c>
      <c r="D13500" s="6">
        <f t="shared" si="211"/>
        <v>0</v>
      </c>
    </row>
    <row r="13501" spans="3:4" ht="15" x14ac:dyDescent="0.25">
      <c r="C13501" s="8" t="e">
        <f>VLOOKUP(A:A,'ITEM LIST'!A:C,3,0)</f>
        <v>#N/A</v>
      </c>
      <c r="D13501" s="6">
        <f t="shared" si="211"/>
        <v>0</v>
      </c>
    </row>
    <row r="13502" spans="3:4" ht="15" x14ac:dyDescent="0.25">
      <c r="C13502" s="8" t="e">
        <f>VLOOKUP(A:A,'ITEM LIST'!A:C,3,0)</f>
        <v>#N/A</v>
      </c>
      <c r="D13502" s="6">
        <f t="shared" si="211"/>
        <v>0</v>
      </c>
    </row>
    <row r="13503" spans="3:4" ht="15" x14ac:dyDescent="0.25">
      <c r="C13503" s="8" t="e">
        <f>VLOOKUP(A:A,'ITEM LIST'!A:C,3,0)</f>
        <v>#N/A</v>
      </c>
      <c r="D13503" s="6">
        <f t="shared" si="211"/>
        <v>0</v>
      </c>
    </row>
    <row r="13504" spans="3:4" ht="15" x14ac:dyDescent="0.25">
      <c r="C13504" s="8" t="e">
        <f>VLOOKUP(A:A,'ITEM LIST'!A:C,3,0)</f>
        <v>#N/A</v>
      </c>
      <c r="D13504" s="6">
        <f t="shared" si="211"/>
        <v>0</v>
      </c>
    </row>
    <row r="13505" spans="3:4" ht="15" x14ac:dyDescent="0.25">
      <c r="C13505" s="8" t="e">
        <f>VLOOKUP(A:A,'ITEM LIST'!A:C,3,0)</f>
        <v>#N/A</v>
      </c>
      <c r="D13505" s="6">
        <f t="shared" si="211"/>
        <v>0</v>
      </c>
    </row>
    <row r="13506" spans="3:4" ht="15" x14ac:dyDescent="0.25">
      <c r="C13506" s="8" t="e">
        <f>VLOOKUP(A:A,'ITEM LIST'!A:C,3,0)</f>
        <v>#N/A</v>
      </c>
      <c r="D13506" s="6">
        <f t="shared" si="211"/>
        <v>0</v>
      </c>
    </row>
    <row r="13507" spans="3:4" ht="15" x14ac:dyDescent="0.25">
      <c r="C13507" s="8" t="e">
        <f>VLOOKUP(A:A,'ITEM LIST'!A:C,3,0)</f>
        <v>#N/A</v>
      </c>
      <c r="D13507" s="6">
        <f t="shared" si="211"/>
        <v>0</v>
      </c>
    </row>
    <row r="13508" spans="3:4" ht="15" x14ac:dyDescent="0.25">
      <c r="C13508" s="8" t="e">
        <f>VLOOKUP(A:A,'ITEM LIST'!A:C,3,0)</f>
        <v>#N/A</v>
      </c>
      <c r="D13508" s="6">
        <f t="shared" si="211"/>
        <v>0</v>
      </c>
    </row>
    <row r="13509" spans="3:4" ht="15" x14ac:dyDescent="0.25">
      <c r="C13509" s="8" t="e">
        <f>VLOOKUP(A:A,'ITEM LIST'!A:C,3,0)</f>
        <v>#N/A</v>
      </c>
      <c r="D13509" s="6">
        <f t="shared" si="211"/>
        <v>0</v>
      </c>
    </row>
    <row r="13510" spans="3:4" ht="15" x14ac:dyDescent="0.25">
      <c r="C13510" s="8" t="e">
        <f>VLOOKUP(A:A,'ITEM LIST'!A:C,3,0)</f>
        <v>#N/A</v>
      </c>
      <c r="D13510" s="6">
        <f t="shared" ref="D13510:D13573" si="212">B13510</f>
        <v>0</v>
      </c>
    </row>
    <row r="13511" spans="3:4" ht="15" x14ac:dyDescent="0.25">
      <c r="C13511" s="8" t="e">
        <f>VLOOKUP(A:A,'ITEM LIST'!A:C,3,0)</f>
        <v>#N/A</v>
      </c>
      <c r="D13511" s="6">
        <f t="shared" si="212"/>
        <v>0</v>
      </c>
    </row>
    <row r="13512" spans="3:4" ht="15" x14ac:dyDescent="0.25">
      <c r="C13512" s="8" t="e">
        <f>VLOOKUP(A:A,'ITEM LIST'!A:C,3,0)</f>
        <v>#N/A</v>
      </c>
      <c r="D13512" s="6">
        <f t="shared" si="212"/>
        <v>0</v>
      </c>
    </row>
    <row r="13513" spans="3:4" ht="15" x14ac:dyDescent="0.25">
      <c r="C13513" s="8" t="e">
        <f>VLOOKUP(A:A,'ITEM LIST'!A:C,3,0)</f>
        <v>#N/A</v>
      </c>
      <c r="D13513" s="6">
        <f t="shared" si="212"/>
        <v>0</v>
      </c>
    </row>
    <row r="13514" spans="3:4" ht="15" x14ac:dyDescent="0.25">
      <c r="C13514" s="8" t="e">
        <f>VLOOKUP(A:A,'ITEM LIST'!A:C,3,0)</f>
        <v>#N/A</v>
      </c>
      <c r="D13514" s="6">
        <f t="shared" si="212"/>
        <v>0</v>
      </c>
    </row>
    <row r="13515" spans="3:4" ht="15" x14ac:dyDescent="0.25">
      <c r="C13515" s="8" t="e">
        <f>VLOOKUP(A:A,'ITEM LIST'!A:C,3,0)</f>
        <v>#N/A</v>
      </c>
      <c r="D13515" s="6">
        <f t="shared" si="212"/>
        <v>0</v>
      </c>
    </row>
    <row r="13516" spans="3:4" ht="15" x14ac:dyDescent="0.25">
      <c r="C13516" s="8" t="e">
        <f>VLOOKUP(A:A,'ITEM LIST'!A:C,3,0)</f>
        <v>#N/A</v>
      </c>
      <c r="D13516" s="6">
        <f t="shared" si="212"/>
        <v>0</v>
      </c>
    </row>
    <row r="13517" spans="3:4" ht="15" x14ac:dyDescent="0.25">
      <c r="C13517" s="8" t="e">
        <f>VLOOKUP(A:A,'ITEM LIST'!A:C,3,0)</f>
        <v>#N/A</v>
      </c>
      <c r="D13517" s="6">
        <f t="shared" si="212"/>
        <v>0</v>
      </c>
    </row>
    <row r="13518" spans="3:4" ht="15" x14ac:dyDescent="0.25">
      <c r="C13518" s="8" t="e">
        <f>VLOOKUP(A:A,'ITEM LIST'!A:C,3,0)</f>
        <v>#N/A</v>
      </c>
      <c r="D13518" s="6">
        <f t="shared" si="212"/>
        <v>0</v>
      </c>
    </row>
    <row r="13519" spans="3:4" ht="15" x14ac:dyDescent="0.25">
      <c r="C13519" s="8" t="e">
        <f>VLOOKUP(A:A,'ITEM LIST'!A:C,3,0)</f>
        <v>#N/A</v>
      </c>
      <c r="D13519" s="6">
        <f t="shared" si="212"/>
        <v>0</v>
      </c>
    </row>
    <row r="13520" spans="3:4" ht="15" x14ac:dyDescent="0.25">
      <c r="C13520" s="8" t="e">
        <f>VLOOKUP(A:A,'ITEM LIST'!A:C,3,0)</f>
        <v>#N/A</v>
      </c>
      <c r="D13520" s="6">
        <f t="shared" si="212"/>
        <v>0</v>
      </c>
    </row>
    <row r="13521" spans="3:4" ht="15" x14ac:dyDescent="0.25">
      <c r="C13521" s="8" t="e">
        <f>VLOOKUP(A:A,'ITEM LIST'!A:C,3,0)</f>
        <v>#N/A</v>
      </c>
      <c r="D13521" s="6">
        <f t="shared" si="212"/>
        <v>0</v>
      </c>
    </row>
    <row r="13522" spans="3:4" ht="15" x14ac:dyDescent="0.25">
      <c r="C13522" s="8" t="e">
        <f>VLOOKUP(A:A,'ITEM LIST'!A:C,3,0)</f>
        <v>#N/A</v>
      </c>
      <c r="D13522" s="6">
        <f t="shared" si="212"/>
        <v>0</v>
      </c>
    </row>
    <row r="13523" spans="3:4" ht="15" x14ac:dyDescent="0.25">
      <c r="C13523" s="8" t="e">
        <f>VLOOKUP(A:A,'ITEM LIST'!A:C,3,0)</f>
        <v>#N/A</v>
      </c>
      <c r="D13523" s="6">
        <f t="shared" si="212"/>
        <v>0</v>
      </c>
    </row>
    <row r="13524" spans="3:4" ht="15" x14ac:dyDescent="0.25">
      <c r="C13524" s="8" t="e">
        <f>VLOOKUP(A:A,'ITEM LIST'!A:C,3,0)</f>
        <v>#N/A</v>
      </c>
      <c r="D13524" s="6">
        <f t="shared" si="212"/>
        <v>0</v>
      </c>
    </row>
    <row r="13525" spans="3:4" ht="15" x14ac:dyDescent="0.25">
      <c r="C13525" s="8" t="e">
        <f>VLOOKUP(A:A,'ITEM LIST'!A:C,3,0)</f>
        <v>#N/A</v>
      </c>
      <c r="D13525" s="6">
        <f t="shared" si="212"/>
        <v>0</v>
      </c>
    </row>
    <row r="13526" spans="3:4" ht="15" x14ac:dyDescent="0.25">
      <c r="C13526" s="8" t="e">
        <f>VLOOKUP(A:A,'ITEM LIST'!A:C,3,0)</f>
        <v>#N/A</v>
      </c>
      <c r="D13526" s="6">
        <f t="shared" si="212"/>
        <v>0</v>
      </c>
    </row>
    <row r="13527" spans="3:4" ht="15" x14ac:dyDescent="0.25">
      <c r="C13527" s="8" t="e">
        <f>VLOOKUP(A:A,'ITEM LIST'!A:C,3,0)</f>
        <v>#N/A</v>
      </c>
      <c r="D13527" s="6">
        <f t="shared" si="212"/>
        <v>0</v>
      </c>
    </row>
    <row r="13528" spans="3:4" ht="15" x14ac:dyDescent="0.25">
      <c r="C13528" s="8" t="e">
        <f>VLOOKUP(A:A,'ITEM LIST'!A:C,3,0)</f>
        <v>#N/A</v>
      </c>
      <c r="D13528" s="6">
        <f t="shared" si="212"/>
        <v>0</v>
      </c>
    </row>
    <row r="13529" spans="3:4" ht="15" x14ac:dyDescent="0.25">
      <c r="C13529" s="8" t="e">
        <f>VLOOKUP(A:A,'ITEM LIST'!A:C,3,0)</f>
        <v>#N/A</v>
      </c>
      <c r="D13529" s="6">
        <f t="shared" si="212"/>
        <v>0</v>
      </c>
    </row>
    <row r="13530" spans="3:4" ht="15" x14ac:dyDescent="0.25">
      <c r="C13530" s="8" t="e">
        <f>VLOOKUP(A:A,'ITEM LIST'!A:C,3,0)</f>
        <v>#N/A</v>
      </c>
      <c r="D13530" s="6">
        <f t="shared" si="212"/>
        <v>0</v>
      </c>
    </row>
    <row r="13531" spans="3:4" ht="15" x14ac:dyDescent="0.25">
      <c r="C13531" s="8" t="e">
        <f>VLOOKUP(A:A,'ITEM LIST'!A:C,3,0)</f>
        <v>#N/A</v>
      </c>
      <c r="D13531" s="6">
        <f t="shared" si="212"/>
        <v>0</v>
      </c>
    </row>
    <row r="13532" spans="3:4" ht="15" x14ac:dyDescent="0.25">
      <c r="C13532" s="8" t="e">
        <f>VLOOKUP(A:A,'ITEM LIST'!A:C,3,0)</f>
        <v>#N/A</v>
      </c>
      <c r="D13532" s="6">
        <f t="shared" si="212"/>
        <v>0</v>
      </c>
    </row>
    <row r="13533" spans="3:4" ht="15" x14ac:dyDescent="0.25">
      <c r="C13533" s="8" t="e">
        <f>VLOOKUP(A:A,'ITEM LIST'!A:C,3,0)</f>
        <v>#N/A</v>
      </c>
      <c r="D13533" s="6">
        <f t="shared" si="212"/>
        <v>0</v>
      </c>
    </row>
    <row r="13534" spans="3:4" ht="15" x14ac:dyDescent="0.25">
      <c r="C13534" s="8" t="e">
        <f>VLOOKUP(A:A,'ITEM LIST'!A:C,3,0)</f>
        <v>#N/A</v>
      </c>
      <c r="D13534" s="6">
        <f t="shared" si="212"/>
        <v>0</v>
      </c>
    </row>
    <row r="13535" spans="3:4" ht="15" x14ac:dyDescent="0.25">
      <c r="C13535" s="8" t="e">
        <f>VLOOKUP(A:A,'ITEM LIST'!A:C,3,0)</f>
        <v>#N/A</v>
      </c>
      <c r="D13535" s="6">
        <f t="shared" si="212"/>
        <v>0</v>
      </c>
    </row>
    <row r="13536" spans="3:4" ht="15" x14ac:dyDescent="0.25">
      <c r="C13536" s="8" t="e">
        <f>VLOOKUP(A:A,'ITEM LIST'!A:C,3,0)</f>
        <v>#N/A</v>
      </c>
      <c r="D13536" s="6">
        <f t="shared" si="212"/>
        <v>0</v>
      </c>
    </row>
    <row r="13537" spans="3:4" ht="15" x14ac:dyDescent="0.25">
      <c r="C13537" s="8" t="e">
        <f>VLOOKUP(A:A,'ITEM LIST'!A:C,3,0)</f>
        <v>#N/A</v>
      </c>
      <c r="D13537" s="6">
        <f t="shared" si="212"/>
        <v>0</v>
      </c>
    </row>
    <row r="13538" spans="3:4" ht="15" x14ac:dyDescent="0.25">
      <c r="C13538" s="8" t="e">
        <f>VLOOKUP(A:A,'ITEM LIST'!A:C,3,0)</f>
        <v>#N/A</v>
      </c>
      <c r="D13538" s="6">
        <f t="shared" si="212"/>
        <v>0</v>
      </c>
    </row>
    <row r="13539" spans="3:4" ht="15" x14ac:dyDescent="0.25">
      <c r="C13539" s="8" t="e">
        <f>VLOOKUP(A:A,'ITEM LIST'!A:C,3,0)</f>
        <v>#N/A</v>
      </c>
      <c r="D13539" s="6">
        <f t="shared" si="212"/>
        <v>0</v>
      </c>
    </row>
    <row r="13540" spans="3:4" ht="15" x14ac:dyDescent="0.25">
      <c r="C13540" s="8" t="e">
        <f>VLOOKUP(A:A,'ITEM LIST'!A:C,3,0)</f>
        <v>#N/A</v>
      </c>
      <c r="D13540" s="6">
        <f t="shared" si="212"/>
        <v>0</v>
      </c>
    </row>
    <row r="13541" spans="3:4" ht="15" x14ac:dyDescent="0.25">
      <c r="C13541" s="8" t="e">
        <f>VLOOKUP(A:A,'ITEM LIST'!A:C,3,0)</f>
        <v>#N/A</v>
      </c>
      <c r="D13541" s="6">
        <f t="shared" si="212"/>
        <v>0</v>
      </c>
    </row>
    <row r="13542" spans="3:4" ht="15" x14ac:dyDescent="0.25">
      <c r="C13542" s="8" t="e">
        <f>VLOOKUP(A:A,'ITEM LIST'!A:C,3,0)</f>
        <v>#N/A</v>
      </c>
      <c r="D13542" s="6">
        <f t="shared" si="212"/>
        <v>0</v>
      </c>
    </row>
    <row r="13543" spans="3:4" ht="15" x14ac:dyDescent="0.25">
      <c r="C13543" s="8" t="e">
        <f>VLOOKUP(A:A,'ITEM LIST'!A:C,3,0)</f>
        <v>#N/A</v>
      </c>
      <c r="D13543" s="6">
        <f t="shared" si="212"/>
        <v>0</v>
      </c>
    </row>
    <row r="13544" spans="3:4" ht="15" x14ac:dyDescent="0.25">
      <c r="C13544" s="8" t="e">
        <f>VLOOKUP(A:A,'ITEM LIST'!A:C,3,0)</f>
        <v>#N/A</v>
      </c>
      <c r="D13544" s="6">
        <f t="shared" si="212"/>
        <v>0</v>
      </c>
    </row>
    <row r="13545" spans="3:4" ht="15" x14ac:dyDescent="0.25">
      <c r="C13545" s="8" t="e">
        <f>VLOOKUP(A:A,'ITEM LIST'!A:C,3,0)</f>
        <v>#N/A</v>
      </c>
      <c r="D13545" s="6">
        <f t="shared" si="212"/>
        <v>0</v>
      </c>
    </row>
    <row r="13546" spans="3:4" ht="15" x14ac:dyDescent="0.25">
      <c r="C13546" s="8" t="e">
        <f>VLOOKUP(A:A,'ITEM LIST'!A:C,3,0)</f>
        <v>#N/A</v>
      </c>
      <c r="D13546" s="6">
        <f t="shared" si="212"/>
        <v>0</v>
      </c>
    </row>
    <row r="13547" spans="3:4" ht="15" x14ac:dyDescent="0.25">
      <c r="C13547" s="8" t="e">
        <f>VLOOKUP(A:A,'ITEM LIST'!A:C,3,0)</f>
        <v>#N/A</v>
      </c>
      <c r="D13547" s="6">
        <f t="shared" si="212"/>
        <v>0</v>
      </c>
    </row>
    <row r="13548" spans="3:4" ht="15" x14ac:dyDescent="0.25">
      <c r="C13548" s="8" t="e">
        <f>VLOOKUP(A:A,'ITEM LIST'!A:C,3,0)</f>
        <v>#N/A</v>
      </c>
      <c r="D13548" s="6">
        <f t="shared" si="212"/>
        <v>0</v>
      </c>
    </row>
    <row r="13549" spans="3:4" ht="15" x14ac:dyDescent="0.25">
      <c r="C13549" s="8" t="e">
        <f>VLOOKUP(A:A,'ITEM LIST'!A:C,3,0)</f>
        <v>#N/A</v>
      </c>
      <c r="D13549" s="6">
        <f t="shared" si="212"/>
        <v>0</v>
      </c>
    </row>
    <row r="13550" spans="3:4" ht="15" x14ac:dyDescent="0.25">
      <c r="C13550" s="8" t="e">
        <f>VLOOKUP(A:A,'ITEM LIST'!A:C,3,0)</f>
        <v>#N/A</v>
      </c>
      <c r="D13550" s="6">
        <f t="shared" si="212"/>
        <v>0</v>
      </c>
    </row>
    <row r="13551" spans="3:4" ht="15" x14ac:dyDescent="0.25">
      <c r="C13551" s="8" t="e">
        <f>VLOOKUP(A:A,'ITEM LIST'!A:C,3,0)</f>
        <v>#N/A</v>
      </c>
      <c r="D13551" s="6">
        <f t="shared" si="212"/>
        <v>0</v>
      </c>
    </row>
    <row r="13552" spans="3:4" ht="15" x14ac:dyDescent="0.25">
      <c r="C13552" s="8" t="e">
        <f>VLOOKUP(A:A,'ITEM LIST'!A:C,3,0)</f>
        <v>#N/A</v>
      </c>
      <c r="D13552" s="6">
        <f t="shared" si="212"/>
        <v>0</v>
      </c>
    </row>
    <row r="13553" spans="3:4" ht="15" x14ac:dyDescent="0.25">
      <c r="C13553" s="8" t="e">
        <f>VLOOKUP(A:A,'ITEM LIST'!A:C,3,0)</f>
        <v>#N/A</v>
      </c>
      <c r="D13553" s="6">
        <f t="shared" si="212"/>
        <v>0</v>
      </c>
    </row>
    <row r="13554" spans="3:4" ht="15" x14ac:dyDescent="0.25">
      <c r="C13554" s="8" t="e">
        <f>VLOOKUP(A:A,'ITEM LIST'!A:C,3,0)</f>
        <v>#N/A</v>
      </c>
      <c r="D13554" s="6">
        <f t="shared" si="212"/>
        <v>0</v>
      </c>
    </row>
    <row r="13555" spans="3:4" ht="15" x14ac:dyDescent="0.25">
      <c r="C13555" s="8" t="e">
        <f>VLOOKUP(A:A,'ITEM LIST'!A:C,3,0)</f>
        <v>#N/A</v>
      </c>
      <c r="D13555" s="6">
        <f t="shared" si="212"/>
        <v>0</v>
      </c>
    </row>
    <row r="13556" spans="3:4" ht="15" x14ac:dyDescent="0.25">
      <c r="C13556" s="8" t="e">
        <f>VLOOKUP(A:A,'ITEM LIST'!A:C,3,0)</f>
        <v>#N/A</v>
      </c>
      <c r="D13556" s="6">
        <f t="shared" si="212"/>
        <v>0</v>
      </c>
    </row>
    <row r="13557" spans="3:4" ht="15" x14ac:dyDescent="0.25">
      <c r="C13557" s="8" t="e">
        <f>VLOOKUP(A:A,'ITEM LIST'!A:C,3,0)</f>
        <v>#N/A</v>
      </c>
      <c r="D13557" s="6">
        <f t="shared" si="212"/>
        <v>0</v>
      </c>
    </row>
    <row r="13558" spans="3:4" ht="15" x14ac:dyDescent="0.25">
      <c r="C13558" s="8" t="e">
        <f>VLOOKUP(A:A,'ITEM LIST'!A:C,3,0)</f>
        <v>#N/A</v>
      </c>
      <c r="D13558" s="6">
        <f t="shared" si="212"/>
        <v>0</v>
      </c>
    </row>
    <row r="13559" spans="3:4" ht="15" x14ac:dyDescent="0.25">
      <c r="C13559" s="8" t="e">
        <f>VLOOKUP(A:A,'ITEM LIST'!A:C,3,0)</f>
        <v>#N/A</v>
      </c>
      <c r="D13559" s="6">
        <f t="shared" si="212"/>
        <v>0</v>
      </c>
    </row>
    <row r="13560" spans="3:4" ht="15" x14ac:dyDescent="0.25">
      <c r="C13560" s="8" t="e">
        <f>VLOOKUP(A:A,'ITEM LIST'!A:C,3,0)</f>
        <v>#N/A</v>
      </c>
      <c r="D13560" s="6">
        <f t="shared" si="212"/>
        <v>0</v>
      </c>
    </row>
    <row r="13561" spans="3:4" ht="15" x14ac:dyDescent="0.25">
      <c r="C13561" s="8" t="e">
        <f>VLOOKUP(A:A,'ITEM LIST'!A:C,3,0)</f>
        <v>#N/A</v>
      </c>
      <c r="D13561" s="6">
        <f t="shared" si="212"/>
        <v>0</v>
      </c>
    </row>
    <row r="13562" spans="3:4" ht="15" x14ac:dyDescent="0.25">
      <c r="C13562" s="8" t="e">
        <f>VLOOKUP(A:A,'ITEM LIST'!A:C,3,0)</f>
        <v>#N/A</v>
      </c>
      <c r="D13562" s="6">
        <f t="shared" si="212"/>
        <v>0</v>
      </c>
    </row>
    <row r="13563" spans="3:4" ht="15" x14ac:dyDescent="0.25">
      <c r="C13563" s="8" t="e">
        <f>VLOOKUP(A:A,'ITEM LIST'!A:C,3,0)</f>
        <v>#N/A</v>
      </c>
      <c r="D13563" s="6">
        <f t="shared" si="212"/>
        <v>0</v>
      </c>
    </row>
    <row r="13564" spans="3:4" ht="15" x14ac:dyDescent="0.25">
      <c r="C13564" s="8" t="e">
        <f>VLOOKUP(A:A,'ITEM LIST'!A:C,3,0)</f>
        <v>#N/A</v>
      </c>
      <c r="D13564" s="6">
        <f t="shared" si="212"/>
        <v>0</v>
      </c>
    </row>
    <row r="13565" spans="3:4" ht="15" x14ac:dyDescent="0.25">
      <c r="C13565" s="8" t="e">
        <f>VLOOKUP(A:A,'ITEM LIST'!A:C,3,0)</f>
        <v>#N/A</v>
      </c>
      <c r="D13565" s="6">
        <f t="shared" si="212"/>
        <v>0</v>
      </c>
    </row>
    <row r="13566" spans="3:4" ht="15" x14ac:dyDescent="0.25">
      <c r="C13566" s="8" t="e">
        <f>VLOOKUP(A:A,'ITEM LIST'!A:C,3,0)</f>
        <v>#N/A</v>
      </c>
      <c r="D13566" s="6">
        <f t="shared" si="212"/>
        <v>0</v>
      </c>
    </row>
    <row r="13567" spans="3:4" ht="15" x14ac:dyDescent="0.25">
      <c r="C13567" s="8" t="e">
        <f>VLOOKUP(A:A,'ITEM LIST'!A:C,3,0)</f>
        <v>#N/A</v>
      </c>
      <c r="D13567" s="6">
        <f t="shared" si="212"/>
        <v>0</v>
      </c>
    </row>
    <row r="13568" spans="3:4" ht="15" x14ac:dyDescent="0.25">
      <c r="C13568" s="8" t="e">
        <f>VLOOKUP(A:A,'ITEM LIST'!A:C,3,0)</f>
        <v>#N/A</v>
      </c>
      <c r="D13568" s="6">
        <f t="shared" si="212"/>
        <v>0</v>
      </c>
    </row>
    <row r="13569" spans="3:4" ht="15" x14ac:dyDescent="0.25">
      <c r="C13569" s="8" t="e">
        <f>VLOOKUP(A:A,'ITEM LIST'!A:C,3,0)</f>
        <v>#N/A</v>
      </c>
      <c r="D13569" s="6">
        <f t="shared" si="212"/>
        <v>0</v>
      </c>
    </row>
    <row r="13570" spans="3:4" ht="15" x14ac:dyDescent="0.25">
      <c r="C13570" s="8" t="e">
        <f>VLOOKUP(A:A,'ITEM LIST'!A:C,3,0)</f>
        <v>#N/A</v>
      </c>
      <c r="D13570" s="6">
        <f t="shared" si="212"/>
        <v>0</v>
      </c>
    </row>
    <row r="13571" spans="3:4" ht="15" x14ac:dyDescent="0.25">
      <c r="C13571" s="8" t="e">
        <f>VLOOKUP(A:A,'ITEM LIST'!A:C,3,0)</f>
        <v>#N/A</v>
      </c>
      <c r="D13571" s="6">
        <f t="shared" si="212"/>
        <v>0</v>
      </c>
    </row>
    <row r="13572" spans="3:4" ht="15" x14ac:dyDescent="0.25">
      <c r="C13572" s="8" t="e">
        <f>VLOOKUP(A:A,'ITEM LIST'!A:C,3,0)</f>
        <v>#N/A</v>
      </c>
      <c r="D13572" s="6">
        <f t="shared" si="212"/>
        <v>0</v>
      </c>
    </row>
    <row r="13573" spans="3:4" ht="15" x14ac:dyDescent="0.25">
      <c r="C13573" s="8" t="e">
        <f>VLOOKUP(A:A,'ITEM LIST'!A:C,3,0)</f>
        <v>#N/A</v>
      </c>
      <c r="D13573" s="6">
        <f t="shared" si="212"/>
        <v>0</v>
      </c>
    </row>
    <row r="13574" spans="3:4" ht="15" x14ac:dyDescent="0.25">
      <c r="C13574" s="8" t="e">
        <f>VLOOKUP(A:A,'ITEM LIST'!A:C,3,0)</f>
        <v>#N/A</v>
      </c>
      <c r="D13574" s="6">
        <f t="shared" ref="D13574:D13637" si="213">B13574</f>
        <v>0</v>
      </c>
    </row>
    <row r="13575" spans="3:4" ht="15" x14ac:dyDescent="0.25">
      <c r="C13575" s="8" t="e">
        <f>VLOOKUP(A:A,'ITEM LIST'!A:C,3,0)</f>
        <v>#N/A</v>
      </c>
      <c r="D13575" s="6">
        <f t="shared" si="213"/>
        <v>0</v>
      </c>
    </row>
    <row r="13576" spans="3:4" ht="15" x14ac:dyDescent="0.25">
      <c r="C13576" s="8" t="e">
        <f>VLOOKUP(A:A,'ITEM LIST'!A:C,3,0)</f>
        <v>#N/A</v>
      </c>
      <c r="D13576" s="6">
        <f t="shared" si="213"/>
        <v>0</v>
      </c>
    </row>
    <row r="13577" spans="3:4" ht="15" x14ac:dyDescent="0.25">
      <c r="C13577" s="8" t="e">
        <f>VLOOKUP(A:A,'ITEM LIST'!A:C,3,0)</f>
        <v>#N/A</v>
      </c>
      <c r="D13577" s="6">
        <f t="shared" si="213"/>
        <v>0</v>
      </c>
    </row>
    <row r="13578" spans="3:4" ht="15" x14ac:dyDescent="0.25">
      <c r="C13578" s="8" t="e">
        <f>VLOOKUP(A:A,'ITEM LIST'!A:C,3,0)</f>
        <v>#N/A</v>
      </c>
      <c r="D13578" s="6">
        <f t="shared" si="213"/>
        <v>0</v>
      </c>
    </row>
    <row r="13579" spans="3:4" ht="15" x14ac:dyDescent="0.25">
      <c r="C13579" s="8" t="e">
        <f>VLOOKUP(A:A,'ITEM LIST'!A:C,3,0)</f>
        <v>#N/A</v>
      </c>
      <c r="D13579" s="6">
        <f t="shared" si="213"/>
        <v>0</v>
      </c>
    </row>
    <row r="13580" spans="3:4" ht="15" x14ac:dyDescent="0.25">
      <c r="C13580" s="8" t="e">
        <f>VLOOKUP(A:A,'ITEM LIST'!A:C,3,0)</f>
        <v>#N/A</v>
      </c>
      <c r="D13580" s="6">
        <f t="shared" si="213"/>
        <v>0</v>
      </c>
    </row>
    <row r="13581" spans="3:4" ht="15" x14ac:dyDescent="0.25">
      <c r="C13581" s="8" t="e">
        <f>VLOOKUP(A:A,'ITEM LIST'!A:C,3,0)</f>
        <v>#N/A</v>
      </c>
      <c r="D13581" s="6">
        <f t="shared" si="213"/>
        <v>0</v>
      </c>
    </row>
    <row r="13582" spans="3:4" ht="15" x14ac:dyDescent="0.25">
      <c r="C13582" s="8" t="e">
        <f>VLOOKUP(A:A,'ITEM LIST'!A:C,3,0)</f>
        <v>#N/A</v>
      </c>
      <c r="D13582" s="6">
        <f t="shared" si="213"/>
        <v>0</v>
      </c>
    </row>
    <row r="13583" spans="3:4" ht="15" x14ac:dyDescent="0.25">
      <c r="C13583" s="8" t="e">
        <f>VLOOKUP(A:A,'ITEM LIST'!A:C,3,0)</f>
        <v>#N/A</v>
      </c>
      <c r="D13583" s="6">
        <f t="shared" si="213"/>
        <v>0</v>
      </c>
    </row>
    <row r="13584" spans="3:4" ht="15" x14ac:dyDescent="0.25">
      <c r="C13584" s="8" t="e">
        <f>VLOOKUP(A:A,'ITEM LIST'!A:C,3,0)</f>
        <v>#N/A</v>
      </c>
      <c r="D13584" s="6">
        <f t="shared" si="213"/>
        <v>0</v>
      </c>
    </row>
    <row r="13585" spans="3:4" ht="15" x14ac:dyDescent="0.25">
      <c r="C13585" s="8" t="e">
        <f>VLOOKUP(A:A,'ITEM LIST'!A:C,3,0)</f>
        <v>#N/A</v>
      </c>
      <c r="D13585" s="6">
        <f t="shared" si="213"/>
        <v>0</v>
      </c>
    </row>
    <row r="13586" spans="3:4" ht="15" x14ac:dyDescent="0.25">
      <c r="C13586" s="8" t="e">
        <f>VLOOKUP(A:A,'ITEM LIST'!A:C,3,0)</f>
        <v>#N/A</v>
      </c>
      <c r="D13586" s="6">
        <f t="shared" si="213"/>
        <v>0</v>
      </c>
    </row>
    <row r="13587" spans="3:4" ht="15" x14ac:dyDescent="0.25">
      <c r="C13587" s="8" t="e">
        <f>VLOOKUP(A:A,'ITEM LIST'!A:C,3,0)</f>
        <v>#N/A</v>
      </c>
      <c r="D13587" s="6">
        <f t="shared" si="213"/>
        <v>0</v>
      </c>
    </row>
    <row r="13588" spans="3:4" ht="15" x14ac:dyDescent="0.25">
      <c r="C13588" s="8" t="e">
        <f>VLOOKUP(A:A,'ITEM LIST'!A:C,3,0)</f>
        <v>#N/A</v>
      </c>
      <c r="D13588" s="6">
        <f t="shared" si="213"/>
        <v>0</v>
      </c>
    </row>
    <row r="13589" spans="3:4" ht="15" x14ac:dyDescent="0.25">
      <c r="C13589" s="8" t="e">
        <f>VLOOKUP(A:A,'ITEM LIST'!A:C,3,0)</f>
        <v>#N/A</v>
      </c>
      <c r="D13589" s="6">
        <f t="shared" si="213"/>
        <v>0</v>
      </c>
    </row>
    <row r="13590" spans="3:4" ht="15" x14ac:dyDescent="0.25">
      <c r="C13590" s="8" t="e">
        <f>VLOOKUP(A:A,'ITEM LIST'!A:C,3,0)</f>
        <v>#N/A</v>
      </c>
      <c r="D13590" s="6">
        <f t="shared" si="213"/>
        <v>0</v>
      </c>
    </row>
    <row r="13591" spans="3:4" ht="15" x14ac:dyDescent="0.25">
      <c r="C13591" s="8" t="e">
        <f>VLOOKUP(A:A,'ITEM LIST'!A:C,3,0)</f>
        <v>#N/A</v>
      </c>
      <c r="D13591" s="6">
        <f t="shared" si="213"/>
        <v>0</v>
      </c>
    </row>
    <row r="13592" spans="3:4" ht="15" x14ac:dyDescent="0.25">
      <c r="C13592" s="8" t="e">
        <f>VLOOKUP(A:A,'ITEM LIST'!A:C,3,0)</f>
        <v>#N/A</v>
      </c>
      <c r="D13592" s="6">
        <f t="shared" si="213"/>
        <v>0</v>
      </c>
    </row>
    <row r="13593" spans="3:4" ht="15" x14ac:dyDescent="0.25">
      <c r="C13593" s="8" t="e">
        <f>VLOOKUP(A:A,'ITEM LIST'!A:C,3,0)</f>
        <v>#N/A</v>
      </c>
      <c r="D13593" s="6">
        <f t="shared" si="213"/>
        <v>0</v>
      </c>
    </row>
    <row r="13594" spans="3:4" ht="15" x14ac:dyDescent="0.25">
      <c r="C13594" s="8" t="e">
        <f>VLOOKUP(A:A,'ITEM LIST'!A:C,3,0)</f>
        <v>#N/A</v>
      </c>
      <c r="D13594" s="6">
        <f t="shared" si="213"/>
        <v>0</v>
      </c>
    </row>
    <row r="13595" spans="3:4" ht="15" x14ac:dyDescent="0.25">
      <c r="C13595" s="8" t="e">
        <f>VLOOKUP(A:A,'ITEM LIST'!A:C,3,0)</f>
        <v>#N/A</v>
      </c>
      <c r="D13595" s="6">
        <f t="shared" si="213"/>
        <v>0</v>
      </c>
    </row>
    <row r="13596" spans="3:4" ht="15" x14ac:dyDescent="0.25">
      <c r="C13596" s="8" t="e">
        <f>VLOOKUP(A:A,'ITEM LIST'!A:C,3,0)</f>
        <v>#N/A</v>
      </c>
      <c r="D13596" s="6">
        <f t="shared" si="213"/>
        <v>0</v>
      </c>
    </row>
    <row r="13597" spans="3:4" ht="15" x14ac:dyDescent="0.25">
      <c r="C13597" s="8" t="e">
        <f>VLOOKUP(A:A,'ITEM LIST'!A:C,3,0)</f>
        <v>#N/A</v>
      </c>
      <c r="D13597" s="6">
        <f t="shared" si="213"/>
        <v>0</v>
      </c>
    </row>
    <row r="13598" spans="3:4" ht="15" x14ac:dyDescent="0.25">
      <c r="C13598" s="8" t="e">
        <f>VLOOKUP(A:A,'ITEM LIST'!A:C,3,0)</f>
        <v>#N/A</v>
      </c>
      <c r="D13598" s="6">
        <f t="shared" si="213"/>
        <v>0</v>
      </c>
    </row>
    <row r="13599" spans="3:4" ht="15" x14ac:dyDescent="0.25">
      <c r="C13599" s="8" t="e">
        <f>VLOOKUP(A:A,'ITEM LIST'!A:C,3,0)</f>
        <v>#N/A</v>
      </c>
      <c r="D13599" s="6">
        <f t="shared" si="213"/>
        <v>0</v>
      </c>
    </row>
    <row r="13600" spans="3:4" ht="15" x14ac:dyDescent="0.25">
      <c r="C13600" s="8" t="e">
        <f>VLOOKUP(A:A,'ITEM LIST'!A:C,3,0)</f>
        <v>#N/A</v>
      </c>
      <c r="D13600" s="6">
        <f t="shared" si="213"/>
        <v>0</v>
      </c>
    </row>
    <row r="13601" spans="3:4" ht="15" x14ac:dyDescent="0.25">
      <c r="C13601" s="8" t="e">
        <f>VLOOKUP(A:A,'ITEM LIST'!A:C,3,0)</f>
        <v>#N/A</v>
      </c>
      <c r="D13601" s="6">
        <f t="shared" si="213"/>
        <v>0</v>
      </c>
    </row>
    <row r="13602" spans="3:4" ht="15" x14ac:dyDescent="0.25">
      <c r="C13602" s="8" t="e">
        <f>VLOOKUP(A:A,'ITEM LIST'!A:C,3,0)</f>
        <v>#N/A</v>
      </c>
      <c r="D13602" s="6">
        <f t="shared" si="213"/>
        <v>0</v>
      </c>
    </row>
    <row r="13603" spans="3:4" ht="15" x14ac:dyDescent="0.25">
      <c r="C13603" s="8" t="e">
        <f>VLOOKUP(A:A,'ITEM LIST'!A:C,3,0)</f>
        <v>#N/A</v>
      </c>
      <c r="D13603" s="6">
        <f t="shared" si="213"/>
        <v>0</v>
      </c>
    </row>
    <row r="13604" spans="3:4" ht="15" x14ac:dyDescent="0.25">
      <c r="C13604" s="8" t="e">
        <f>VLOOKUP(A:A,'ITEM LIST'!A:C,3,0)</f>
        <v>#N/A</v>
      </c>
      <c r="D13604" s="6">
        <f t="shared" si="213"/>
        <v>0</v>
      </c>
    </row>
    <row r="13605" spans="3:4" ht="15" x14ac:dyDescent="0.25">
      <c r="C13605" s="8" t="e">
        <f>VLOOKUP(A:A,'ITEM LIST'!A:C,3,0)</f>
        <v>#N/A</v>
      </c>
      <c r="D13605" s="6">
        <f t="shared" si="213"/>
        <v>0</v>
      </c>
    </row>
    <row r="13606" spans="3:4" ht="15" x14ac:dyDescent="0.25">
      <c r="C13606" s="8" t="e">
        <f>VLOOKUP(A:A,'ITEM LIST'!A:C,3,0)</f>
        <v>#N/A</v>
      </c>
      <c r="D13606" s="6">
        <f t="shared" si="213"/>
        <v>0</v>
      </c>
    </row>
    <row r="13607" spans="3:4" ht="15" x14ac:dyDescent="0.25">
      <c r="C13607" s="8" t="e">
        <f>VLOOKUP(A:A,'ITEM LIST'!A:C,3,0)</f>
        <v>#N/A</v>
      </c>
      <c r="D13607" s="6">
        <f t="shared" si="213"/>
        <v>0</v>
      </c>
    </row>
    <row r="13608" spans="3:4" ht="15" x14ac:dyDescent="0.25">
      <c r="C13608" s="8" t="e">
        <f>VLOOKUP(A:A,'ITEM LIST'!A:C,3,0)</f>
        <v>#N/A</v>
      </c>
      <c r="D13608" s="6">
        <f t="shared" si="213"/>
        <v>0</v>
      </c>
    </row>
    <row r="13609" spans="3:4" ht="15" x14ac:dyDescent="0.25">
      <c r="C13609" s="8" t="e">
        <f>VLOOKUP(A:A,'ITEM LIST'!A:C,3,0)</f>
        <v>#N/A</v>
      </c>
      <c r="D13609" s="6">
        <f t="shared" si="213"/>
        <v>0</v>
      </c>
    </row>
    <row r="13610" spans="3:4" ht="15" x14ac:dyDescent="0.25">
      <c r="C13610" s="8" t="e">
        <f>VLOOKUP(A:A,'ITEM LIST'!A:C,3,0)</f>
        <v>#N/A</v>
      </c>
      <c r="D13610" s="6">
        <f t="shared" si="213"/>
        <v>0</v>
      </c>
    </row>
    <row r="13611" spans="3:4" ht="15" x14ac:dyDescent="0.25">
      <c r="C13611" s="8" t="e">
        <f>VLOOKUP(A:A,'ITEM LIST'!A:C,3,0)</f>
        <v>#N/A</v>
      </c>
      <c r="D13611" s="6">
        <f t="shared" si="213"/>
        <v>0</v>
      </c>
    </row>
    <row r="13612" spans="3:4" ht="15" x14ac:dyDescent="0.25">
      <c r="C13612" s="8" t="e">
        <f>VLOOKUP(A:A,'ITEM LIST'!A:C,3,0)</f>
        <v>#N/A</v>
      </c>
      <c r="D13612" s="6">
        <f t="shared" si="213"/>
        <v>0</v>
      </c>
    </row>
    <row r="13613" spans="3:4" ht="15" x14ac:dyDescent="0.25">
      <c r="C13613" s="8" t="e">
        <f>VLOOKUP(A:A,'ITEM LIST'!A:C,3,0)</f>
        <v>#N/A</v>
      </c>
      <c r="D13613" s="6">
        <f t="shared" si="213"/>
        <v>0</v>
      </c>
    </row>
    <row r="13614" spans="3:4" ht="15" x14ac:dyDescent="0.25">
      <c r="C13614" s="8" t="e">
        <f>VLOOKUP(A:A,'ITEM LIST'!A:C,3,0)</f>
        <v>#N/A</v>
      </c>
      <c r="D13614" s="6">
        <f t="shared" si="213"/>
        <v>0</v>
      </c>
    </row>
    <row r="13615" spans="3:4" ht="15" x14ac:dyDescent="0.25">
      <c r="C13615" s="8" t="e">
        <f>VLOOKUP(A:A,'ITEM LIST'!A:C,3,0)</f>
        <v>#N/A</v>
      </c>
      <c r="D13615" s="6">
        <f t="shared" si="213"/>
        <v>0</v>
      </c>
    </row>
    <row r="13616" spans="3:4" ht="15" x14ac:dyDescent="0.25">
      <c r="C13616" s="8" t="e">
        <f>VLOOKUP(A:A,'ITEM LIST'!A:C,3,0)</f>
        <v>#N/A</v>
      </c>
      <c r="D13616" s="6">
        <f t="shared" si="213"/>
        <v>0</v>
      </c>
    </row>
    <row r="13617" spans="3:4" ht="15" x14ac:dyDescent="0.25">
      <c r="C13617" s="8" t="e">
        <f>VLOOKUP(A:A,'ITEM LIST'!A:C,3,0)</f>
        <v>#N/A</v>
      </c>
      <c r="D13617" s="6">
        <f t="shared" si="213"/>
        <v>0</v>
      </c>
    </row>
    <row r="13618" spans="3:4" ht="15" x14ac:dyDescent="0.25">
      <c r="C13618" s="8" t="e">
        <f>VLOOKUP(A:A,'ITEM LIST'!A:C,3,0)</f>
        <v>#N/A</v>
      </c>
      <c r="D13618" s="6">
        <f t="shared" si="213"/>
        <v>0</v>
      </c>
    </row>
    <row r="13619" spans="3:4" ht="15" x14ac:dyDescent="0.25">
      <c r="C13619" s="8" t="e">
        <f>VLOOKUP(A:A,'ITEM LIST'!A:C,3,0)</f>
        <v>#N/A</v>
      </c>
      <c r="D13619" s="6">
        <f t="shared" si="213"/>
        <v>0</v>
      </c>
    </row>
    <row r="13620" spans="3:4" ht="15" x14ac:dyDescent="0.25">
      <c r="C13620" s="8" t="e">
        <f>VLOOKUP(A:A,'ITEM LIST'!A:C,3,0)</f>
        <v>#N/A</v>
      </c>
      <c r="D13620" s="6">
        <f t="shared" si="213"/>
        <v>0</v>
      </c>
    </row>
    <row r="13621" spans="3:4" ht="15" x14ac:dyDescent="0.25">
      <c r="C13621" s="8" t="e">
        <f>VLOOKUP(A:A,'ITEM LIST'!A:C,3,0)</f>
        <v>#N/A</v>
      </c>
      <c r="D13621" s="6">
        <f t="shared" si="213"/>
        <v>0</v>
      </c>
    </row>
    <row r="13622" spans="3:4" ht="15" x14ac:dyDescent="0.25">
      <c r="C13622" s="8" t="e">
        <f>VLOOKUP(A:A,'ITEM LIST'!A:C,3,0)</f>
        <v>#N/A</v>
      </c>
      <c r="D13622" s="6">
        <f t="shared" si="213"/>
        <v>0</v>
      </c>
    </row>
    <row r="13623" spans="3:4" ht="15" x14ac:dyDescent="0.25">
      <c r="C13623" s="8" t="e">
        <f>VLOOKUP(A:A,'ITEM LIST'!A:C,3,0)</f>
        <v>#N/A</v>
      </c>
      <c r="D13623" s="6">
        <f t="shared" si="213"/>
        <v>0</v>
      </c>
    </row>
    <row r="13624" spans="3:4" ht="15" x14ac:dyDescent="0.25">
      <c r="C13624" s="8" t="e">
        <f>VLOOKUP(A:A,'ITEM LIST'!A:C,3,0)</f>
        <v>#N/A</v>
      </c>
      <c r="D13624" s="6">
        <f t="shared" si="213"/>
        <v>0</v>
      </c>
    </row>
    <row r="13625" spans="3:4" ht="15" x14ac:dyDescent="0.25">
      <c r="C13625" s="8" t="e">
        <f>VLOOKUP(A:A,'ITEM LIST'!A:C,3,0)</f>
        <v>#N/A</v>
      </c>
      <c r="D13625" s="6">
        <f t="shared" si="213"/>
        <v>0</v>
      </c>
    </row>
    <row r="13626" spans="3:4" ht="15" x14ac:dyDescent="0.25">
      <c r="C13626" s="8" t="e">
        <f>VLOOKUP(A:A,'ITEM LIST'!A:C,3,0)</f>
        <v>#N/A</v>
      </c>
      <c r="D13626" s="6">
        <f t="shared" si="213"/>
        <v>0</v>
      </c>
    </row>
    <row r="13627" spans="3:4" ht="15" x14ac:dyDescent="0.25">
      <c r="C13627" s="8" t="e">
        <f>VLOOKUP(A:A,'ITEM LIST'!A:C,3,0)</f>
        <v>#N/A</v>
      </c>
      <c r="D13627" s="6">
        <f t="shared" si="213"/>
        <v>0</v>
      </c>
    </row>
    <row r="13628" spans="3:4" ht="15" x14ac:dyDescent="0.25">
      <c r="C13628" s="8" t="e">
        <f>VLOOKUP(A:A,'ITEM LIST'!A:C,3,0)</f>
        <v>#N/A</v>
      </c>
      <c r="D13628" s="6">
        <f t="shared" si="213"/>
        <v>0</v>
      </c>
    </row>
    <row r="13629" spans="3:4" ht="15" x14ac:dyDescent="0.25">
      <c r="C13629" s="8" t="e">
        <f>VLOOKUP(A:A,'ITEM LIST'!A:C,3,0)</f>
        <v>#N/A</v>
      </c>
      <c r="D13629" s="6">
        <f t="shared" si="213"/>
        <v>0</v>
      </c>
    </row>
    <row r="13630" spans="3:4" ht="15" x14ac:dyDescent="0.25">
      <c r="C13630" s="8" t="e">
        <f>VLOOKUP(A:A,'ITEM LIST'!A:C,3,0)</f>
        <v>#N/A</v>
      </c>
      <c r="D13630" s="6">
        <f t="shared" si="213"/>
        <v>0</v>
      </c>
    </row>
    <row r="13631" spans="3:4" ht="15" x14ac:dyDescent="0.25">
      <c r="C13631" s="8" t="e">
        <f>VLOOKUP(A:A,'ITEM LIST'!A:C,3,0)</f>
        <v>#N/A</v>
      </c>
      <c r="D13631" s="6">
        <f t="shared" si="213"/>
        <v>0</v>
      </c>
    </row>
    <row r="13632" spans="3:4" ht="15" x14ac:dyDescent="0.25">
      <c r="C13632" s="8" t="e">
        <f>VLOOKUP(A:A,'ITEM LIST'!A:C,3,0)</f>
        <v>#N/A</v>
      </c>
      <c r="D13632" s="6">
        <f t="shared" si="213"/>
        <v>0</v>
      </c>
    </row>
    <row r="13633" spans="3:4" ht="15" x14ac:dyDescent="0.25">
      <c r="C13633" s="8" t="e">
        <f>VLOOKUP(A:A,'ITEM LIST'!A:C,3,0)</f>
        <v>#N/A</v>
      </c>
      <c r="D13633" s="6">
        <f t="shared" si="213"/>
        <v>0</v>
      </c>
    </row>
    <row r="13634" spans="3:4" ht="15" x14ac:dyDescent="0.25">
      <c r="C13634" s="8" t="e">
        <f>VLOOKUP(A:A,'ITEM LIST'!A:C,3,0)</f>
        <v>#N/A</v>
      </c>
      <c r="D13634" s="6">
        <f t="shared" si="213"/>
        <v>0</v>
      </c>
    </row>
    <row r="13635" spans="3:4" ht="15" x14ac:dyDescent="0.25">
      <c r="C13635" s="8" t="e">
        <f>VLOOKUP(A:A,'ITEM LIST'!A:C,3,0)</f>
        <v>#N/A</v>
      </c>
      <c r="D13635" s="6">
        <f t="shared" si="213"/>
        <v>0</v>
      </c>
    </row>
    <row r="13636" spans="3:4" ht="15" x14ac:dyDescent="0.25">
      <c r="C13636" s="8" t="e">
        <f>VLOOKUP(A:A,'ITEM LIST'!A:C,3,0)</f>
        <v>#N/A</v>
      </c>
      <c r="D13636" s="6">
        <f t="shared" si="213"/>
        <v>0</v>
      </c>
    </row>
    <row r="13637" spans="3:4" ht="15" x14ac:dyDescent="0.25">
      <c r="C13637" s="8" t="e">
        <f>VLOOKUP(A:A,'ITEM LIST'!A:C,3,0)</f>
        <v>#N/A</v>
      </c>
      <c r="D13637" s="6">
        <f t="shared" si="213"/>
        <v>0</v>
      </c>
    </row>
    <row r="13638" spans="3:4" ht="15" x14ac:dyDescent="0.25">
      <c r="C13638" s="8" t="e">
        <f>VLOOKUP(A:A,'ITEM LIST'!A:C,3,0)</f>
        <v>#N/A</v>
      </c>
      <c r="D13638" s="6">
        <f t="shared" ref="D13638:D13701" si="214">B13638</f>
        <v>0</v>
      </c>
    </row>
    <row r="13639" spans="3:4" ht="15" x14ac:dyDescent="0.25">
      <c r="C13639" s="8" t="e">
        <f>VLOOKUP(A:A,'ITEM LIST'!A:C,3,0)</f>
        <v>#N/A</v>
      </c>
      <c r="D13639" s="6">
        <f t="shared" si="214"/>
        <v>0</v>
      </c>
    </row>
    <row r="13640" spans="3:4" ht="15" x14ac:dyDescent="0.25">
      <c r="C13640" s="8" t="e">
        <f>VLOOKUP(A:A,'ITEM LIST'!A:C,3,0)</f>
        <v>#N/A</v>
      </c>
      <c r="D13640" s="6">
        <f t="shared" si="214"/>
        <v>0</v>
      </c>
    </row>
    <row r="13641" spans="3:4" ht="15" x14ac:dyDescent="0.25">
      <c r="C13641" s="8" t="e">
        <f>VLOOKUP(A:A,'ITEM LIST'!A:C,3,0)</f>
        <v>#N/A</v>
      </c>
      <c r="D13641" s="6">
        <f t="shared" si="214"/>
        <v>0</v>
      </c>
    </row>
    <row r="13642" spans="3:4" ht="15" x14ac:dyDescent="0.25">
      <c r="C13642" s="8" t="e">
        <f>VLOOKUP(A:A,'ITEM LIST'!A:C,3,0)</f>
        <v>#N/A</v>
      </c>
      <c r="D13642" s="6">
        <f t="shared" si="214"/>
        <v>0</v>
      </c>
    </row>
    <row r="13643" spans="3:4" ht="15" x14ac:dyDescent="0.25">
      <c r="C13643" s="8" t="e">
        <f>VLOOKUP(A:A,'ITEM LIST'!A:C,3,0)</f>
        <v>#N/A</v>
      </c>
      <c r="D13643" s="6">
        <f t="shared" si="214"/>
        <v>0</v>
      </c>
    </row>
    <row r="13644" spans="3:4" ht="15" x14ac:dyDescent="0.25">
      <c r="C13644" s="8" t="e">
        <f>VLOOKUP(A:A,'ITEM LIST'!A:C,3,0)</f>
        <v>#N/A</v>
      </c>
      <c r="D13644" s="6">
        <f t="shared" si="214"/>
        <v>0</v>
      </c>
    </row>
    <row r="13645" spans="3:4" ht="15" x14ac:dyDescent="0.25">
      <c r="C13645" s="8" t="e">
        <f>VLOOKUP(A:A,'ITEM LIST'!A:C,3,0)</f>
        <v>#N/A</v>
      </c>
      <c r="D13645" s="6">
        <f t="shared" si="214"/>
        <v>0</v>
      </c>
    </row>
    <row r="13646" spans="3:4" ht="15" x14ac:dyDescent="0.25">
      <c r="C13646" s="8" t="e">
        <f>VLOOKUP(A:A,'ITEM LIST'!A:C,3,0)</f>
        <v>#N/A</v>
      </c>
      <c r="D13646" s="6">
        <f t="shared" si="214"/>
        <v>0</v>
      </c>
    </row>
    <row r="13647" spans="3:4" ht="15" x14ac:dyDescent="0.25">
      <c r="C13647" s="8" t="e">
        <f>VLOOKUP(A:A,'ITEM LIST'!A:C,3,0)</f>
        <v>#N/A</v>
      </c>
      <c r="D13647" s="6">
        <f t="shared" si="214"/>
        <v>0</v>
      </c>
    </row>
    <row r="13648" spans="3:4" ht="15" x14ac:dyDescent="0.25">
      <c r="C13648" s="8" t="e">
        <f>VLOOKUP(A:A,'ITEM LIST'!A:C,3,0)</f>
        <v>#N/A</v>
      </c>
      <c r="D13648" s="6">
        <f t="shared" si="214"/>
        <v>0</v>
      </c>
    </row>
    <row r="13649" spans="3:4" ht="15" x14ac:dyDescent="0.25">
      <c r="C13649" s="8" t="e">
        <f>VLOOKUP(A:A,'ITEM LIST'!A:C,3,0)</f>
        <v>#N/A</v>
      </c>
      <c r="D13649" s="6">
        <f t="shared" si="214"/>
        <v>0</v>
      </c>
    </row>
    <row r="13650" spans="3:4" ht="15" x14ac:dyDescent="0.25">
      <c r="C13650" s="8" t="e">
        <f>VLOOKUP(A:A,'ITEM LIST'!A:C,3,0)</f>
        <v>#N/A</v>
      </c>
      <c r="D13650" s="6">
        <f t="shared" si="214"/>
        <v>0</v>
      </c>
    </row>
    <row r="13651" spans="3:4" ht="15" x14ac:dyDescent="0.25">
      <c r="C13651" s="8" t="e">
        <f>VLOOKUP(A:A,'ITEM LIST'!A:C,3,0)</f>
        <v>#N/A</v>
      </c>
      <c r="D13651" s="6">
        <f t="shared" si="214"/>
        <v>0</v>
      </c>
    </row>
    <row r="13652" spans="3:4" ht="15" x14ac:dyDescent="0.25">
      <c r="C13652" s="8" t="e">
        <f>VLOOKUP(A:A,'ITEM LIST'!A:C,3,0)</f>
        <v>#N/A</v>
      </c>
      <c r="D13652" s="6">
        <f t="shared" si="214"/>
        <v>0</v>
      </c>
    </row>
    <row r="13653" spans="3:4" ht="15" x14ac:dyDescent="0.25">
      <c r="C13653" s="8" t="e">
        <f>VLOOKUP(A:A,'ITEM LIST'!A:C,3,0)</f>
        <v>#N/A</v>
      </c>
      <c r="D13653" s="6">
        <f t="shared" si="214"/>
        <v>0</v>
      </c>
    </row>
    <row r="13654" spans="3:4" ht="15" x14ac:dyDescent="0.25">
      <c r="C13654" s="8" t="e">
        <f>VLOOKUP(A:A,'ITEM LIST'!A:C,3,0)</f>
        <v>#N/A</v>
      </c>
      <c r="D13654" s="6">
        <f t="shared" si="214"/>
        <v>0</v>
      </c>
    </row>
    <row r="13655" spans="3:4" ht="15" x14ac:dyDescent="0.25">
      <c r="C13655" s="8" t="e">
        <f>VLOOKUP(A:A,'ITEM LIST'!A:C,3,0)</f>
        <v>#N/A</v>
      </c>
      <c r="D13655" s="6">
        <f t="shared" si="214"/>
        <v>0</v>
      </c>
    </row>
    <row r="13656" spans="3:4" ht="15" x14ac:dyDescent="0.25">
      <c r="C13656" s="8" t="e">
        <f>VLOOKUP(A:A,'ITEM LIST'!A:C,3,0)</f>
        <v>#N/A</v>
      </c>
      <c r="D13656" s="6">
        <f t="shared" si="214"/>
        <v>0</v>
      </c>
    </row>
    <row r="13657" spans="3:4" ht="15" x14ac:dyDescent="0.25">
      <c r="C13657" s="8" t="e">
        <f>VLOOKUP(A:A,'ITEM LIST'!A:C,3,0)</f>
        <v>#N/A</v>
      </c>
      <c r="D13657" s="6">
        <f t="shared" si="214"/>
        <v>0</v>
      </c>
    </row>
    <row r="13658" spans="3:4" ht="15" x14ac:dyDescent="0.25">
      <c r="C13658" s="8" t="e">
        <f>VLOOKUP(A:A,'ITEM LIST'!A:C,3,0)</f>
        <v>#N/A</v>
      </c>
      <c r="D13658" s="6">
        <f t="shared" si="214"/>
        <v>0</v>
      </c>
    </row>
    <row r="13659" spans="3:4" ht="15" x14ac:dyDescent="0.25">
      <c r="C13659" s="8" t="e">
        <f>VLOOKUP(A:A,'ITEM LIST'!A:C,3,0)</f>
        <v>#N/A</v>
      </c>
      <c r="D13659" s="6">
        <f t="shared" si="214"/>
        <v>0</v>
      </c>
    </row>
    <row r="13660" spans="3:4" ht="15" x14ac:dyDescent="0.25">
      <c r="C13660" s="8" t="e">
        <f>VLOOKUP(A:A,'ITEM LIST'!A:C,3,0)</f>
        <v>#N/A</v>
      </c>
      <c r="D13660" s="6">
        <f t="shared" si="214"/>
        <v>0</v>
      </c>
    </row>
    <row r="13661" spans="3:4" ht="15" x14ac:dyDescent="0.25">
      <c r="C13661" s="8" t="e">
        <f>VLOOKUP(A:A,'ITEM LIST'!A:C,3,0)</f>
        <v>#N/A</v>
      </c>
      <c r="D13661" s="6">
        <f t="shared" si="214"/>
        <v>0</v>
      </c>
    </row>
    <row r="13662" spans="3:4" ht="15" x14ac:dyDescent="0.25">
      <c r="C13662" s="8" t="e">
        <f>VLOOKUP(A:A,'ITEM LIST'!A:C,3,0)</f>
        <v>#N/A</v>
      </c>
      <c r="D13662" s="6">
        <f t="shared" si="214"/>
        <v>0</v>
      </c>
    </row>
    <row r="13663" spans="3:4" ht="15" x14ac:dyDescent="0.25">
      <c r="C13663" s="8" t="e">
        <f>VLOOKUP(A:A,'ITEM LIST'!A:C,3,0)</f>
        <v>#N/A</v>
      </c>
      <c r="D13663" s="6">
        <f t="shared" si="214"/>
        <v>0</v>
      </c>
    </row>
    <row r="13664" spans="3:4" ht="15" x14ac:dyDescent="0.25">
      <c r="C13664" s="8" t="e">
        <f>VLOOKUP(A:A,'ITEM LIST'!A:C,3,0)</f>
        <v>#N/A</v>
      </c>
      <c r="D13664" s="6">
        <f t="shared" si="214"/>
        <v>0</v>
      </c>
    </row>
    <row r="13665" spans="3:4" ht="15" x14ac:dyDescent="0.25">
      <c r="C13665" s="8" t="e">
        <f>VLOOKUP(A:A,'ITEM LIST'!A:C,3,0)</f>
        <v>#N/A</v>
      </c>
      <c r="D13665" s="6">
        <f t="shared" si="214"/>
        <v>0</v>
      </c>
    </row>
    <row r="13666" spans="3:4" ht="15" x14ac:dyDescent="0.25">
      <c r="C13666" s="8" t="e">
        <f>VLOOKUP(A:A,'ITEM LIST'!A:C,3,0)</f>
        <v>#N/A</v>
      </c>
      <c r="D13666" s="6">
        <f t="shared" si="214"/>
        <v>0</v>
      </c>
    </row>
    <row r="13667" spans="3:4" ht="15" x14ac:dyDescent="0.25">
      <c r="C13667" s="8" t="e">
        <f>VLOOKUP(A:A,'ITEM LIST'!A:C,3,0)</f>
        <v>#N/A</v>
      </c>
      <c r="D13667" s="6">
        <f t="shared" si="214"/>
        <v>0</v>
      </c>
    </row>
    <row r="13668" spans="3:4" ht="15" x14ac:dyDescent="0.25">
      <c r="C13668" s="8" t="e">
        <f>VLOOKUP(A:A,'ITEM LIST'!A:C,3,0)</f>
        <v>#N/A</v>
      </c>
      <c r="D13668" s="6">
        <f t="shared" si="214"/>
        <v>0</v>
      </c>
    </row>
    <row r="13669" spans="3:4" ht="15" x14ac:dyDescent="0.25">
      <c r="C13669" s="8" t="e">
        <f>VLOOKUP(A:A,'ITEM LIST'!A:C,3,0)</f>
        <v>#N/A</v>
      </c>
      <c r="D13669" s="6">
        <f t="shared" si="214"/>
        <v>0</v>
      </c>
    </row>
    <row r="13670" spans="3:4" ht="15" x14ac:dyDescent="0.25">
      <c r="C13670" s="8" t="e">
        <f>VLOOKUP(A:A,'ITEM LIST'!A:C,3,0)</f>
        <v>#N/A</v>
      </c>
      <c r="D13670" s="6">
        <f t="shared" si="214"/>
        <v>0</v>
      </c>
    </row>
    <row r="13671" spans="3:4" ht="15" x14ac:dyDescent="0.25">
      <c r="C13671" s="8" t="e">
        <f>VLOOKUP(A:A,'ITEM LIST'!A:C,3,0)</f>
        <v>#N/A</v>
      </c>
      <c r="D13671" s="6">
        <f t="shared" si="214"/>
        <v>0</v>
      </c>
    </row>
    <row r="13672" spans="3:4" ht="15" x14ac:dyDescent="0.25">
      <c r="C13672" s="8" t="e">
        <f>VLOOKUP(A:A,'ITEM LIST'!A:C,3,0)</f>
        <v>#N/A</v>
      </c>
      <c r="D13672" s="6">
        <f t="shared" si="214"/>
        <v>0</v>
      </c>
    </row>
    <row r="13673" spans="3:4" ht="15" x14ac:dyDescent="0.25">
      <c r="C13673" s="8" t="e">
        <f>VLOOKUP(A:A,'ITEM LIST'!A:C,3,0)</f>
        <v>#N/A</v>
      </c>
      <c r="D13673" s="6">
        <f t="shared" si="214"/>
        <v>0</v>
      </c>
    </row>
    <row r="13674" spans="3:4" ht="15" x14ac:dyDescent="0.25">
      <c r="C13674" s="8" t="e">
        <f>VLOOKUP(A:A,'ITEM LIST'!A:C,3,0)</f>
        <v>#N/A</v>
      </c>
      <c r="D13674" s="6">
        <f t="shared" si="214"/>
        <v>0</v>
      </c>
    </row>
    <row r="13675" spans="3:4" ht="15" x14ac:dyDescent="0.25">
      <c r="C13675" s="8" t="e">
        <f>VLOOKUP(A:A,'ITEM LIST'!A:C,3,0)</f>
        <v>#N/A</v>
      </c>
      <c r="D13675" s="6">
        <f t="shared" si="214"/>
        <v>0</v>
      </c>
    </row>
    <row r="13676" spans="3:4" ht="15" x14ac:dyDescent="0.25">
      <c r="C13676" s="8" t="e">
        <f>VLOOKUP(A:A,'ITEM LIST'!A:C,3,0)</f>
        <v>#N/A</v>
      </c>
      <c r="D13676" s="6">
        <f t="shared" si="214"/>
        <v>0</v>
      </c>
    </row>
    <row r="13677" spans="3:4" ht="15" x14ac:dyDescent="0.25">
      <c r="C13677" s="8" t="e">
        <f>VLOOKUP(A:A,'ITEM LIST'!A:C,3,0)</f>
        <v>#N/A</v>
      </c>
      <c r="D13677" s="6">
        <f t="shared" si="214"/>
        <v>0</v>
      </c>
    </row>
    <row r="13678" spans="3:4" ht="15" x14ac:dyDescent="0.25">
      <c r="C13678" s="8" t="e">
        <f>VLOOKUP(A:A,'ITEM LIST'!A:C,3,0)</f>
        <v>#N/A</v>
      </c>
      <c r="D13678" s="6">
        <f t="shared" si="214"/>
        <v>0</v>
      </c>
    </row>
    <row r="13679" spans="3:4" ht="15" x14ac:dyDescent="0.25">
      <c r="C13679" s="8" t="e">
        <f>VLOOKUP(A:A,'ITEM LIST'!A:C,3,0)</f>
        <v>#N/A</v>
      </c>
      <c r="D13679" s="6">
        <f t="shared" si="214"/>
        <v>0</v>
      </c>
    </row>
    <row r="13680" spans="3:4" ht="15" x14ac:dyDescent="0.25">
      <c r="C13680" s="8" t="e">
        <f>VLOOKUP(A:A,'ITEM LIST'!A:C,3,0)</f>
        <v>#N/A</v>
      </c>
      <c r="D13680" s="6">
        <f t="shared" si="214"/>
        <v>0</v>
      </c>
    </row>
    <row r="13681" spans="3:4" ht="15" x14ac:dyDescent="0.25">
      <c r="C13681" s="8" t="e">
        <f>VLOOKUP(A:A,'ITEM LIST'!A:C,3,0)</f>
        <v>#N/A</v>
      </c>
      <c r="D13681" s="6">
        <f t="shared" si="214"/>
        <v>0</v>
      </c>
    </row>
    <row r="13682" spans="3:4" ht="15" x14ac:dyDescent="0.25">
      <c r="C13682" s="8" t="e">
        <f>VLOOKUP(A:A,'ITEM LIST'!A:C,3,0)</f>
        <v>#N/A</v>
      </c>
      <c r="D13682" s="6">
        <f t="shared" si="214"/>
        <v>0</v>
      </c>
    </row>
    <row r="13683" spans="3:4" ht="15" x14ac:dyDescent="0.25">
      <c r="C13683" s="8" t="e">
        <f>VLOOKUP(A:A,'ITEM LIST'!A:C,3,0)</f>
        <v>#N/A</v>
      </c>
      <c r="D13683" s="6">
        <f t="shared" si="214"/>
        <v>0</v>
      </c>
    </row>
    <row r="13684" spans="3:4" ht="15" x14ac:dyDescent="0.25">
      <c r="C13684" s="8" t="e">
        <f>VLOOKUP(A:A,'ITEM LIST'!A:C,3,0)</f>
        <v>#N/A</v>
      </c>
      <c r="D13684" s="6">
        <f t="shared" si="214"/>
        <v>0</v>
      </c>
    </row>
    <row r="13685" spans="3:4" ht="15" x14ac:dyDescent="0.25">
      <c r="C13685" s="8" t="e">
        <f>VLOOKUP(A:A,'ITEM LIST'!A:C,3,0)</f>
        <v>#N/A</v>
      </c>
      <c r="D13685" s="6">
        <f t="shared" si="214"/>
        <v>0</v>
      </c>
    </row>
    <row r="13686" spans="3:4" ht="15" x14ac:dyDescent="0.25">
      <c r="C13686" s="8" t="e">
        <f>VLOOKUP(A:A,'ITEM LIST'!A:C,3,0)</f>
        <v>#N/A</v>
      </c>
      <c r="D13686" s="6">
        <f t="shared" si="214"/>
        <v>0</v>
      </c>
    </row>
    <row r="13687" spans="3:4" ht="15" x14ac:dyDescent="0.25">
      <c r="C13687" s="8" t="e">
        <f>VLOOKUP(A:A,'ITEM LIST'!A:C,3,0)</f>
        <v>#N/A</v>
      </c>
      <c r="D13687" s="6">
        <f t="shared" si="214"/>
        <v>0</v>
      </c>
    </row>
    <row r="13688" spans="3:4" ht="15" x14ac:dyDescent="0.25">
      <c r="C13688" s="8" t="e">
        <f>VLOOKUP(A:A,'ITEM LIST'!A:C,3,0)</f>
        <v>#N/A</v>
      </c>
      <c r="D13688" s="6">
        <f t="shared" si="214"/>
        <v>0</v>
      </c>
    </row>
    <row r="13689" spans="3:4" ht="15" x14ac:dyDescent="0.25">
      <c r="C13689" s="8" t="e">
        <f>VLOOKUP(A:A,'ITEM LIST'!A:C,3,0)</f>
        <v>#N/A</v>
      </c>
      <c r="D13689" s="6">
        <f t="shared" si="214"/>
        <v>0</v>
      </c>
    </row>
    <row r="13690" spans="3:4" ht="15" x14ac:dyDescent="0.25">
      <c r="C13690" s="8" t="e">
        <f>VLOOKUP(A:A,'ITEM LIST'!A:C,3,0)</f>
        <v>#N/A</v>
      </c>
      <c r="D13690" s="6">
        <f t="shared" si="214"/>
        <v>0</v>
      </c>
    </row>
    <row r="13691" spans="3:4" ht="15" x14ac:dyDescent="0.25">
      <c r="C13691" s="8" t="e">
        <f>VLOOKUP(A:A,'ITEM LIST'!A:C,3,0)</f>
        <v>#N/A</v>
      </c>
      <c r="D13691" s="6">
        <f t="shared" si="214"/>
        <v>0</v>
      </c>
    </row>
    <row r="13692" spans="3:4" ht="15" x14ac:dyDescent="0.25">
      <c r="C13692" s="8" t="e">
        <f>VLOOKUP(A:A,'ITEM LIST'!A:C,3,0)</f>
        <v>#N/A</v>
      </c>
      <c r="D13692" s="6">
        <f t="shared" si="214"/>
        <v>0</v>
      </c>
    </row>
    <row r="13693" spans="3:4" ht="15" x14ac:dyDescent="0.25">
      <c r="C13693" s="8" t="e">
        <f>VLOOKUP(A:A,'ITEM LIST'!A:C,3,0)</f>
        <v>#N/A</v>
      </c>
      <c r="D13693" s="6">
        <f t="shared" si="214"/>
        <v>0</v>
      </c>
    </row>
    <row r="13694" spans="3:4" ht="15" x14ac:dyDescent="0.25">
      <c r="C13694" s="8" t="e">
        <f>VLOOKUP(A:A,'ITEM LIST'!A:C,3,0)</f>
        <v>#N/A</v>
      </c>
      <c r="D13694" s="6">
        <f t="shared" si="214"/>
        <v>0</v>
      </c>
    </row>
    <row r="13695" spans="3:4" ht="15" x14ac:dyDescent="0.25">
      <c r="C13695" s="8" t="e">
        <f>VLOOKUP(A:A,'ITEM LIST'!A:C,3,0)</f>
        <v>#N/A</v>
      </c>
      <c r="D13695" s="6">
        <f t="shared" si="214"/>
        <v>0</v>
      </c>
    </row>
    <row r="13696" spans="3:4" ht="15" x14ac:dyDescent="0.25">
      <c r="C13696" s="8" t="e">
        <f>VLOOKUP(A:A,'ITEM LIST'!A:C,3,0)</f>
        <v>#N/A</v>
      </c>
      <c r="D13696" s="6">
        <f t="shared" si="214"/>
        <v>0</v>
      </c>
    </row>
    <row r="13697" spans="3:4" ht="15" x14ac:dyDescent="0.25">
      <c r="C13697" s="8" t="e">
        <f>VLOOKUP(A:A,'ITEM LIST'!A:C,3,0)</f>
        <v>#N/A</v>
      </c>
      <c r="D13697" s="6">
        <f t="shared" si="214"/>
        <v>0</v>
      </c>
    </row>
    <row r="13698" spans="3:4" ht="15" x14ac:dyDescent="0.25">
      <c r="C13698" s="8" t="e">
        <f>VLOOKUP(A:A,'ITEM LIST'!A:C,3,0)</f>
        <v>#N/A</v>
      </c>
      <c r="D13698" s="6">
        <f t="shared" si="214"/>
        <v>0</v>
      </c>
    </row>
    <row r="13699" spans="3:4" ht="15" x14ac:dyDescent="0.25">
      <c r="C13699" s="8" t="e">
        <f>VLOOKUP(A:A,'ITEM LIST'!A:C,3,0)</f>
        <v>#N/A</v>
      </c>
      <c r="D13699" s="6">
        <f t="shared" si="214"/>
        <v>0</v>
      </c>
    </row>
    <row r="13700" spans="3:4" ht="15" x14ac:dyDescent="0.25">
      <c r="C13700" s="8" t="e">
        <f>VLOOKUP(A:A,'ITEM LIST'!A:C,3,0)</f>
        <v>#N/A</v>
      </c>
      <c r="D13700" s="6">
        <f t="shared" si="214"/>
        <v>0</v>
      </c>
    </row>
    <row r="13701" spans="3:4" ht="15" x14ac:dyDescent="0.25">
      <c r="C13701" s="8" t="e">
        <f>VLOOKUP(A:A,'ITEM LIST'!A:C,3,0)</f>
        <v>#N/A</v>
      </c>
      <c r="D13701" s="6">
        <f t="shared" si="214"/>
        <v>0</v>
      </c>
    </row>
    <row r="13702" spans="3:4" ht="15" x14ac:dyDescent="0.25">
      <c r="C13702" s="8" t="e">
        <f>VLOOKUP(A:A,'ITEM LIST'!A:C,3,0)</f>
        <v>#N/A</v>
      </c>
      <c r="D13702" s="6">
        <f t="shared" ref="D13702:D13765" si="215">B13702</f>
        <v>0</v>
      </c>
    </row>
    <row r="13703" spans="3:4" ht="15" x14ac:dyDescent="0.25">
      <c r="C13703" s="8" t="e">
        <f>VLOOKUP(A:A,'ITEM LIST'!A:C,3,0)</f>
        <v>#N/A</v>
      </c>
      <c r="D13703" s="6">
        <f t="shared" si="215"/>
        <v>0</v>
      </c>
    </row>
    <row r="13704" spans="3:4" ht="15" x14ac:dyDescent="0.25">
      <c r="C13704" s="8" t="e">
        <f>VLOOKUP(A:A,'ITEM LIST'!A:C,3,0)</f>
        <v>#N/A</v>
      </c>
      <c r="D13704" s="6">
        <f t="shared" si="215"/>
        <v>0</v>
      </c>
    </row>
    <row r="13705" spans="3:4" ht="15" x14ac:dyDescent="0.25">
      <c r="C13705" s="8" t="e">
        <f>VLOOKUP(A:A,'ITEM LIST'!A:C,3,0)</f>
        <v>#N/A</v>
      </c>
      <c r="D13705" s="6">
        <f t="shared" si="215"/>
        <v>0</v>
      </c>
    </row>
    <row r="13706" spans="3:4" ht="15" x14ac:dyDescent="0.25">
      <c r="C13706" s="8" t="e">
        <f>VLOOKUP(A:A,'ITEM LIST'!A:C,3,0)</f>
        <v>#N/A</v>
      </c>
      <c r="D13706" s="6">
        <f t="shared" si="215"/>
        <v>0</v>
      </c>
    </row>
    <row r="13707" spans="3:4" ht="15" x14ac:dyDescent="0.25">
      <c r="C13707" s="8" t="e">
        <f>VLOOKUP(A:A,'ITEM LIST'!A:C,3,0)</f>
        <v>#N/A</v>
      </c>
      <c r="D13707" s="6">
        <f t="shared" si="215"/>
        <v>0</v>
      </c>
    </row>
    <row r="13708" spans="3:4" ht="15" x14ac:dyDescent="0.25">
      <c r="C13708" s="8" t="e">
        <f>VLOOKUP(A:A,'ITEM LIST'!A:C,3,0)</f>
        <v>#N/A</v>
      </c>
      <c r="D13708" s="6">
        <f t="shared" si="215"/>
        <v>0</v>
      </c>
    </row>
    <row r="13709" spans="3:4" ht="15" x14ac:dyDescent="0.25">
      <c r="C13709" s="8" t="e">
        <f>VLOOKUP(A:A,'ITEM LIST'!A:C,3,0)</f>
        <v>#N/A</v>
      </c>
      <c r="D13709" s="6">
        <f t="shared" si="215"/>
        <v>0</v>
      </c>
    </row>
    <row r="13710" spans="3:4" ht="15" x14ac:dyDescent="0.25">
      <c r="C13710" s="8" t="e">
        <f>VLOOKUP(A:A,'ITEM LIST'!A:C,3,0)</f>
        <v>#N/A</v>
      </c>
      <c r="D13710" s="6">
        <f t="shared" si="215"/>
        <v>0</v>
      </c>
    </row>
    <row r="13711" spans="3:4" ht="15" x14ac:dyDescent="0.25">
      <c r="C13711" s="8" t="e">
        <f>VLOOKUP(A:A,'ITEM LIST'!A:C,3,0)</f>
        <v>#N/A</v>
      </c>
      <c r="D13711" s="6">
        <f t="shared" si="215"/>
        <v>0</v>
      </c>
    </row>
    <row r="13712" spans="3:4" ht="15" x14ac:dyDescent="0.25">
      <c r="C13712" s="8" t="e">
        <f>VLOOKUP(A:A,'ITEM LIST'!A:C,3,0)</f>
        <v>#N/A</v>
      </c>
      <c r="D13712" s="6">
        <f t="shared" si="215"/>
        <v>0</v>
      </c>
    </row>
    <row r="13713" spans="3:4" ht="15" x14ac:dyDescent="0.25">
      <c r="C13713" s="8" t="e">
        <f>VLOOKUP(A:A,'ITEM LIST'!A:C,3,0)</f>
        <v>#N/A</v>
      </c>
      <c r="D13713" s="6">
        <f t="shared" si="215"/>
        <v>0</v>
      </c>
    </row>
    <row r="13714" spans="3:4" ht="15" x14ac:dyDescent="0.25">
      <c r="C13714" s="8" t="e">
        <f>VLOOKUP(A:A,'ITEM LIST'!A:C,3,0)</f>
        <v>#N/A</v>
      </c>
      <c r="D13714" s="6">
        <f t="shared" si="215"/>
        <v>0</v>
      </c>
    </row>
    <row r="13715" spans="3:4" ht="15" x14ac:dyDescent="0.25">
      <c r="C13715" s="8" t="e">
        <f>VLOOKUP(A:A,'ITEM LIST'!A:C,3,0)</f>
        <v>#N/A</v>
      </c>
      <c r="D13715" s="6">
        <f t="shared" si="215"/>
        <v>0</v>
      </c>
    </row>
    <row r="13716" spans="3:4" ht="15" x14ac:dyDescent="0.25">
      <c r="C13716" s="8" t="e">
        <f>VLOOKUP(A:A,'ITEM LIST'!A:C,3,0)</f>
        <v>#N/A</v>
      </c>
      <c r="D13716" s="6">
        <f t="shared" si="215"/>
        <v>0</v>
      </c>
    </row>
    <row r="13717" spans="3:4" ht="15" x14ac:dyDescent="0.25">
      <c r="C13717" s="8" t="e">
        <f>VLOOKUP(A:A,'ITEM LIST'!A:C,3,0)</f>
        <v>#N/A</v>
      </c>
      <c r="D13717" s="6">
        <f t="shared" si="215"/>
        <v>0</v>
      </c>
    </row>
    <row r="13718" spans="3:4" ht="15" x14ac:dyDescent="0.25">
      <c r="C13718" s="8" t="e">
        <f>VLOOKUP(A:A,'ITEM LIST'!A:C,3,0)</f>
        <v>#N/A</v>
      </c>
      <c r="D13718" s="6">
        <f t="shared" si="215"/>
        <v>0</v>
      </c>
    </row>
    <row r="13719" spans="3:4" ht="15" x14ac:dyDescent="0.25">
      <c r="C13719" s="8" t="e">
        <f>VLOOKUP(A:A,'ITEM LIST'!A:C,3,0)</f>
        <v>#N/A</v>
      </c>
      <c r="D13719" s="6">
        <f t="shared" si="215"/>
        <v>0</v>
      </c>
    </row>
    <row r="13720" spans="3:4" ht="15" x14ac:dyDescent="0.25">
      <c r="C13720" s="8" t="e">
        <f>VLOOKUP(A:A,'ITEM LIST'!A:C,3,0)</f>
        <v>#N/A</v>
      </c>
      <c r="D13720" s="6">
        <f t="shared" si="215"/>
        <v>0</v>
      </c>
    </row>
    <row r="13721" spans="3:4" ht="15" x14ac:dyDescent="0.25">
      <c r="C13721" s="8" t="e">
        <f>VLOOKUP(A:A,'ITEM LIST'!A:C,3,0)</f>
        <v>#N/A</v>
      </c>
      <c r="D13721" s="6">
        <f t="shared" si="215"/>
        <v>0</v>
      </c>
    </row>
    <row r="13722" spans="3:4" ht="15" x14ac:dyDescent="0.25">
      <c r="C13722" s="8" t="e">
        <f>VLOOKUP(A:A,'ITEM LIST'!A:C,3,0)</f>
        <v>#N/A</v>
      </c>
      <c r="D13722" s="6">
        <f t="shared" si="215"/>
        <v>0</v>
      </c>
    </row>
    <row r="13723" spans="3:4" ht="15" x14ac:dyDescent="0.25">
      <c r="C13723" s="8" t="e">
        <f>VLOOKUP(A:A,'ITEM LIST'!A:C,3,0)</f>
        <v>#N/A</v>
      </c>
      <c r="D13723" s="6">
        <f t="shared" si="215"/>
        <v>0</v>
      </c>
    </row>
    <row r="13724" spans="3:4" ht="15" x14ac:dyDescent="0.25">
      <c r="C13724" s="8" t="e">
        <f>VLOOKUP(A:A,'ITEM LIST'!A:C,3,0)</f>
        <v>#N/A</v>
      </c>
      <c r="D13724" s="6">
        <f t="shared" si="215"/>
        <v>0</v>
      </c>
    </row>
    <row r="13725" spans="3:4" ht="15" x14ac:dyDescent="0.25">
      <c r="C13725" s="8" t="e">
        <f>VLOOKUP(A:A,'ITEM LIST'!A:C,3,0)</f>
        <v>#N/A</v>
      </c>
      <c r="D13725" s="6">
        <f t="shared" si="215"/>
        <v>0</v>
      </c>
    </row>
    <row r="13726" spans="3:4" ht="15" x14ac:dyDescent="0.25">
      <c r="C13726" s="8" t="e">
        <f>VLOOKUP(A:A,'ITEM LIST'!A:C,3,0)</f>
        <v>#N/A</v>
      </c>
      <c r="D13726" s="6">
        <f t="shared" si="215"/>
        <v>0</v>
      </c>
    </row>
    <row r="13727" spans="3:4" ht="15" x14ac:dyDescent="0.25">
      <c r="C13727" s="8" t="e">
        <f>VLOOKUP(A:A,'ITEM LIST'!A:C,3,0)</f>
        <v>#N/A</v>
      </c>
      <c r="D13727" s="6">
        <f t="shared" si="215"/>
        <v>0</v>
      </c>
    </row>
    <row r="13728" spans="3:4" ht="15" x14ac:dyDescent="0.25">
      <c r="C13728" s="8" t="e">
        <f>VLOOKUP(A:A,'ITEM LIST'!A:C,3,0)</f>
        <v>#N/A</v>
      </c>
      <c r="D13728" s="6">
        <f t="shared" si="215"/>
        <v>0</v>
      </c>
    </row>
    <row r="13729" spans="3:4" ht="15" x14ac:dyDescent="0.25">
      <c r="C13729" s="8" t="e">
        <f>VLOOKUP(A:A,'ITEM LIST'!A:C,3,0)</f>
        <v>#N/A</v>
      </c>
      <c r="D13729" s="6">
        <f t="shared" si="215"/>
        <v>0</v>
      </c>
    </row>
    <row r="13730" spans="3:4" ht="15" x14ac:dyDescent="0.25">
      <c r="C13730" s="8" t="e">
        <f>VLOOKUP(A:A,'ITEM LIST'!A:C,3,0)</f>
        <v>#N/A</v>
      </c>
      <c r="D13730" s="6">
        <f t="shared" si="215"/>
        <v>0</v>
      </c>
    </row>
    <row r="13731" spans="3:4" ht="15" x14ac:dyDescent="0.25">
      <c r="C13731" s="8" t="e">
        <f>VLOOKUP(A:A,'ITEM LIST'!A:C,3,0)</f>
        <v>#N/A</v>
      </c>
      <c r="D13731" s="6">
        <f t="shared" si="215"/>
        <v>0</v>
      </c>
    </row>
    <row r="13732" spans="3:4" ht="15" x14ac:dyDescent="0.25">
      <c r="C13732" s="8" t="e">
        <f>VLOOKUP(A:A,'ITEM LIST'!A:C,3,0)</f>
        <v>#N/A</v>
      </c>
      <c r="D13732" s="6">
        <f t="shared" si="215"/>
        <v>0</v>
      </c>
    </row>
    <row r="13733" spans="3:4" ht="15" x14ac:dyDescent="0.25">
      <c r="C13733" s="8" t="e">
        <f>VLOOKUP(A:A,'ITEM LIST'!A:C,3,0)</f>
        <v>#N/A</v>
      </c>
      <c r="D13733" s="6">
        <f t="shared" si="215"/>
        <v>0</v>
      </c>
    </row>
    <row r="13734" spans="3:4" ht="15" x14ac:dyDescent="0.25">
      <c r="C13734" s="8" t="e">
        <f>VLOOKUP(A:A,'ITEM LIST'!A:C,3,0)</f>
        <v>#N/A</v>
      </c>
      <c r="D13734" s="6">
        <f t="shared" si="215"/>
        <v>0</v>
      </c>
    </row>
    <row r="13735" spans="3:4" ht="15" x14ac:dyDescent="0.25">
      <c r="C13735" s="8" t="e">
        <f>VLOOKUP(A:A,'ITEM LIST'!A:C,3,0)</f>
        <v>#N/A</v>
      </c>
      <c r="D13735" s="6">
        <f t="shared" si="215"/>
        <v>0</v>
      </c>
    </row>
    <row r="13736" spans="3:4" ht="15" x14ac:dyDescent="0.25">
      <c r="C13736" s="8" t="e">
        <f>VLOOKUP(A:A,'ITEM LIST'!A:C,3,0)</f>
        <v>#N/A</v>
      </c>
      <c r="D13736" s="6">
        <f t="shared" si="215"/>
        <v>0</v>
      </c>
    </row>
    <row r="13737" spans="3:4" ht="15" x14ac:dyDescent="0.25">
      <c r="C13737" s="8" t="e">
        <f>VLOOKUP(A:A,'ITEM LIST'!A:C,3,0)</f>
        <v>#N/A</v>
      </c>
      <c r="D13737" s="6">
        <f t="shared" si="215"/>
        <v>0</v>
      </c>
    </row>
    <row r="13738" spans="3:4" ht="15" x14ac:dyDescent="0.25">
      <c r="C13738" s="8" t="e">
        <f>VLOOKUP(A:A,'ITEM LIST'!A:C,3,0)</f>
        <v>#N/A</v>
      </c>
      <c r="D13738" s="6">
        <f t="shared" si="215"/>
        <v>0</v>
      </c>
    </row>
    <row r="13739" spans="3:4" ht="15" x14ac:dyDescent="0.25">
      <c r="C13739" s="8" t="e">
        <f>VLOOKUP(A:A,'ITEM LIST'!A:C,3,0)</f>
        <v>#N/A</v>
      </c>
      <c r="D13739" s="6">
        <f t="shared" si="215"/>
        <v>0</v>
      </c>
    </row>
    <row r="13740" spans="3:4" ht="15" x14ac:dyDescent="0.25">
      <c r="C13740" s="8" t="e">
        <f>VLOOKUP(A:A,'ITEM LIST'!A:C,3,0)</f>
        <v>#N/A</v>
      </c>
      <c r="D13740" s="6">
        <f t="shared" si="215"/>
        <v>0</v>
      </c>
    </row>
    <row r="13741" spans="3:4" ht="15" x14ac:dyDescent="0.25">
      <c r="C13741" s="8" t="e">
        <f>VLOOKUP(A:A,'ITEM LIST'!A:C,3,0)</f>
        <v>#N/A</v>
      </c>
      <c r="D13741" s="6">
        <f t="shared" si="215"/>
        <v>0</v>
      </c>
    </row>
    <row r="13742" spans="3:4" ht="15" x14ac:dyDescent="0.25">
      <c r="C13742" s="8" t="e">
        <f>VLOOKUP(A:A,'ITEM LIST'!A:C,3,0)</f>
        <v>#N/A</v>
      </c>
      <c r="D13742" s="6">
        <f t="shared" si="215"/>
        <v>0</v>
      </c>
    </row>
    <row r="13743" spans="3:4" ht="15" x14ac:dyDescent="0.25">
      <c r="C13743" s="8" t="e">
        <f>VLOOKUP(A:A,'ITEM LIST'!A:C,3,0)</f>
        <v>#N/A</v>
      </c>
      <c r="D13743" s="6">
        <f t="shared" si="215"/>
        <v>0</v>
      </c>
    </row>
    <row r="13744" spans="3:4" ht="15" x14ac:dyDescent="0.25">
      <c r="C13744" s="8" t="e">
        <f>VLOOKUP(A:A,'ITEM LIST'!A:C,3,0)</f>
        <v>#N/A</v>
      </c>
      <c r="D13744" s="6">
        <f t="shared" si="215"/>
        <v>0</v>
      </c>
    </row>
    <row r="13745" spans="3:4" ht="15" x14ac:dyDescent="0.25">
      <c r="C13745" s="8" t="e">
        <f>VLOOKUP(A:A,'ITEM LIST'!A:C,3,0)</f>
        <v>#N/A</v>
      </c>
      <c r="D13745" s="6">
        <f t="shared" si="215"/>
        <v>0</v>
      </c>
    </row>
    <row r="13746" spans="3:4" ht="15" x14ac:dyDescent="0.25">
      <c r="C13746" s="8" t="e">
        <f>VLOOKUP(A:A,'ITEM LIST'!A:C,3,0)</f>
        <v>#N/A</v>
      </c>
      <c r="D13746" s="6">
        <f t="shared" si="215"/>
        <v>0</v>
      </c>
    </row>
    <row r="13747" spans="3:4" ht="15" x14ac:dyDescent="0.25">
      <c r="C13747" s="8" t="e">
        <f>VLOOKUP(A:A,'ITEM LIST'!A:C,3,0)</f>
        <v>#N/A</v>
      </c>
      <c r="D13747" s="6">
        <f t="shared" si="215"/>
        <v>0</v>
      </c>
    </row>
    <row r="13748" spans="3:4" ht="15" x14ac:dyDescent="0.25">
      <c r="C13748" s="8" t="e">
        <f>VLOOKUP(A:A,'ITEM LIST'!A:C,3,0)</f>
        <v>#N/A</v>
      </c>
      <c r="D13748" s="6">
        <f t="shared" si="215"/>
        <v>0</v>
      </c>
    </row>
    <row r="13749" spans="3:4" ht="15" x14ac:dyDescent="0.25">
      <c r="C13749" s="8" t="e">
        <f>VLOOKUP(A:A,'ITEM LIST'!A:C,3,0)</f>
        <v>#N/A</v>
      </c>
      <c r="D13749" s="6">
        <f t="shared" si="215"/>
        <v>0</v>
      </c>
    </row>
    <row r="13750" spans="3:4" ht="15" x14ac:dyDescent="0.25">
      <c r="C13750" s="8" t="e">
        <f>VLOOKUP(A:A,'ITEM LIST'!A:C,3,0)</f>
        <v>#N/A</v>
      </c>
      <c r="D13750" s="6">
        <f t="shared" si="215"/>
        <v>0</v>
      </c>
    </row>
    <row r="13751" spans="3:4" ht="15" x14ac:dyDescent="0.25">
      <c r="C13751" s="8" t="e">
        <f>VLOOKUP(A:A,'ITEM LIST'!A:C,3,0)</f>
        <v>#N/A</v>
      </c>
      <c r="D13751" s="6">
        <f t="shared" si="215"/>
        <v>0</v>
      </c>
    </row>
    <row r="13752" spans="3:4" ht="15" x14ac:dyDescent="0.25">
      <c r="C13752" s="8" t="e">
        <f>VLOOKUP(A:A,'ITEM LIST'!A:C,3,0)</f>
        <v>#N/A</v>
      </c>
      <c r="D13752" s="6">
        <f t="shared" si="215"/>
        <v>0</v>
      </c>
    </row>
    <row r="13753" spans="3:4" ht="15" x14ac:dyDescent="0.25">
      <c r="C13753" s="8" t="e">
        <f>VLOOKUP(A:A,'ITEM LIST'!A:C,3,0)</f>
        <v>#N/A</v>
      </c>
      <c r="D13753" s="6">
        <f t="shared" si="215"/>
        <v>0</v>
      </c>
    </row>
    <row r="13754" spans="3:4" ht="15" x14ac:dyDescent="0.25">
      <c r="C13754" s="8" t="e">
        <f>VLOOKUP(A:A,'ITEM LIST'!A:C,3,0)</f>
        <v>#N/A</v>
      </c>
      <c r="D13754" s="6">
        <f t="shared" si="215"/>
        <v>0</v>
      </c>
    </row>
    <row r="13755" spans="3:4" ht="15" x14ac:dyDescent="0.25">
      <c r="C13755" s="8" t="e">
        <f>VLOOKUP(A:A,'ITEM LIST'!A:C,3,0)</f>
        <v>#N/A</v>
      </c>
      <c r="D13755" s="6">
        <f t="shared" si="215"/>
        <v>0</v>
      </c>
    </row>
    <row r="13756" spans="3:4" ht="15" x14ac:dyDescent="0.25">
      <c r="C13756" s="8" t="e">
        <f>VLOOKUP(A:A,'ITEM LIST'!A:C,3,0)</f>
        <v>#N/A</v>
      </c>
      <c r="D13756" s="6">
        <f t="shared" si="215"/>
        <v>0</v>
      </c>
    </row>
    <row r="13757" spans="3:4" ht="15" x14ac:dyDescent="0.25">
      <c r="C13757" s="8" t="e">
        <f>VLOOKUP(A:A,'ITEM LIST'!A:C,3,0)</f>
        <v>#N/A</v>
      </c>
      <c r="D13757" s="6">
        <f t="shared" si="215"/>
        <v>0</v>
      </c>
    </row>
    <row r="13758" spans="3:4" ht="15" x14ac:dyDescent="0.25">
      <c r="C13758" s="8" t="e">
        <f>VLOOKUP(A:A,'ITEM LIST'!A:C,3,0)</f>
        <v>#N/A</v>
      </c>
      <c r="D13758" s="6">
        <f t="shared" si="215"/>
        <v>0</v>
      </c>
    </row>
    <row r="13759" spans="3:4" ht="15" x14ac:dyDescent="0.25">
      <c r="C13759" s="8" t="e">
        <f>VLOOKUP(A:A,'ITEM LIST'!A:C,3,0)</f>
        <v>#N/A</v>
      </c>
      <c r="D13759" s="6">
        <f t="shared" si="215"/>
        <v>0</v>
      </c>
    </row>
    <row r="13760" spans="3:4" ht="15" x14ac:dyDescent="0.25">
      <c r="C13760" s="8" t="e">
        <f>VLOOKUP(A:A,'ITEM LIST'!A:C,3,0)</f>
        <v>#N/A</v>
      </c>
      <c r="D13760" s="6">
        <f t="shared" si="215"/>
        <v>0</v>
      </c>
    </row>
    <row r="13761" spans="3:4" ht="15" x14ac:dyDescent="0.25">
      <c r="C13761" s="8" t="e">
        <f>VLOOKUP(A:A,'ITEM LIST'!A:C,3,0)</f>
        <v>#N/A</v>
      </c>
      <c r="D13761" s="6">
        <f t="shared" si="215"/>
        <v>0</v>
      </c>
    </row>
    <row r="13762" spans="3:4" ht="15" x14ac:dyDescent="0.25">
      <c r="C13762" s="8" t="e">
        <f>VLOOKUP(A:A,'ITEM LIST'!A:C,3,0)</f>
        <v>#N/A</v>
      </c>
      <c r="D13762" s="6">
        <f t="shared" si="215"/>
        <v>0</v>
      </c>
    </row>
    <row r="13763" spans="3:4" ht="15" x14ac:dyDescent="0.25">
      <c r="C13763" s="8" t="e">
        <f>VLOOKUP(A:A,'ITEM LIST'!A:C,3,0)</f>
        <v>#N/A</v>
      </c>
      <c r="D13763" s="6">
        <f t="shared" si="215"/>
        <v>0</v>
      </c>
    </row>
    <row r="13764" spans="3:4" ht="15" x14ac:dyDescent="0.25">
      <c r="C13764" s="8" t="e">
        <f>VLOOKUP(A:A,'ITEM LIST'!A:C,3,0)</f>
        <v>#N/A</v>
      </c>
      <c r="D13764" s="6">
        <f t="shared" si="215"/>
        <v>0</v>
      </c>
    </row>
    <row r="13765" spans="3:4" ht="15" x14ac:dyDescent="0.25">
      <c r="C13765" s="8" t="e">
        <f>VLOOKUP(A:A,'ITEM LIST'!A:C,3,0)</f>
        <v>#N/A</v>
      </c>
      <c r="D13765" s="6">
        <f t="shared" si="215"/>
        <v>0</v>
      </c>
    </row>
    <row r="13766" spans="3:4" ht="15" x14ac:dyDescent="0.25">
      <c r="C13766" s="8" t="e">
        <f>VLOOKUP(A:A,'ITEM LIST'!A:C,3,0)</f>
        <v>#N/A</v>
      </c>
      <c r="D13766" s="6">
        <f t="shared" ref="D13766:D13829" si="216">B13766</f>
        <v>0</v>
      </c>
    </row>
    <row r="13767" spans="3:4" ht="15" x14ac:dyDescent="0.25">
      <c r="C13767" s="8" t="e">
        <f>VLOOKUP(A:A,'ITEM LIST'!A:C,3,0)</f>
        <v>#N/A</v>
      </c>
      <c r="D13767" s="6">
        <f t="shared" si="216"/>
        <v>0</v>
      </c>
    </row>
    <row r="13768" spans="3:4" ht="15" x14ac:dyDescent="0.25">
      <c r="C13768" s="8" t="e">
        <f>VLOOKUP(A:A,'ITEM LIST'!A:C,3,0)</f>
        <v>#N/A</v>
      </c>
      <c r="D13768" s="6">
        <f t="shared" si="216"/>
        <v>0</v>
      </c>
    </row>
    <row r="13769" spans="3:4" ht="15" x14ac:dyDescent="0.25">
      <c r="C13769" s="8" t="e">
        <f>VLOOKUP(A:A,'ITEM LIST'!A:C,3,0)</f>
        <v>#N/A</v>
      </c>
      <c r="D13769" s="6">
        <f t="shared" si="216"/>
        <v>0</v>
      </c>
    </row>
    <row r="13770" spans="3:4" ht="15" x14ac:dyDescent="0.25">
      <c r="C13770" s="8" t="e">
        <f>VLOOKUP(A:A,'ITEM LIST'!A:C,3,0)</f>
        <v>#N/A</v>
      </c>
      <c r="D13770" s="6">
        <f t="shared" si="216"/>
        <v>0</v>
      </c>
    </row>
    <row r="13771" spans="3:4" ht="15" x14ac:dyDescent="0.25">
      <c r="C13771" s="8" t="e">
        <f>VLOOKUP(A:A,'ITEM LIST'!A:C,3,0)</f>
        <v>#N/A</v>
      </c>
      <c r="D13771" s="6">
        <f t="shared" si="216"/>
        <v>0</v>
      </c>
    </row>
    <row r="13772" spans="3:4" ht="15" x14ac:dyDescent="0.25">
      <c r="C13772" s="8" t="e">
        <f>VLOOKUP(A:A,'ITEM LIST'!A:C,3,0)</f>
        <v>#N/A</v>
      </c>
      <c r="D13772" s="6">
        <f t="shared" si="216"/>
        <v>0</v>
      </c>
    </row>
    <row r="13773" spans="3:4" ht="15" x14ac:dyDescent="0.25">
      <c r="C13773" s="8" t="e">
        <f>VLOOKUP(A:A,'ITEM LIST'!A:C,3,0)</f>
        <v>#N/A</v>
      </c>
      <c r="D13773" s="6">
        <f t="shared" si="216"/>
        <v>0</v>
      </c>
    </row>
    <row r="13774" spans="3:4" ht="15" x14ac:dyDescent="0.25">
      <c r="C13774" s="8" t="e">
        <f>VLOOKUP(A:A,'ITEM LIST'!A:C,3,0)</f>
        <v>#N/A</v>
      </c>
      <c r="D13774" s="6">
        <f t="shared" si="216"/>
        <v>0</v>
      </c>
    </row>
    <row r="13775" spans="3:4" ht="15" x14ac:dyDescent="0.25">
      <c r="C13775" s="8" t="e">
        <f>VLOOKUP(A:A,'ITEM LIST'!A:C,3,0)</f>
        <v>#N/A</v>
      </c>
      <c r="D13775" s="6">
        <f t="shared" si="216"/>
        <v>0</v>
      </c>
    </row>
    <row r="13776" spans="3:4" ht="15" x14ac:dyDescent="0.25">
      <c r="C13776" s="8" t="e">
        <f>VLOOKUP(A:A,'ITEM LIST'!A:C,3,0)</f>
        <v>#N/A</v>
      </c>
      <c r="D13776" s="6">
        <f t="shared" si="216"/>
        <v>0</v>
      </c>
    </row>
    <row r="13777" spans="3:4" ht="15" x14ac:dyDescent="0.25">
      <c r="C13777" s="8" t="e">
        <f>VLOOKUP(A:A,'ITEM LIST'!A:C,3,0)</f>
        <v>#N/A</v>
      </c>
      <c r="D13777" s="6">
        <f t="shared" si="216"/>
        <v>0</v>
      </c>
    </row>
    <row r="13778" spans="3:4" ht="15" x14ac:dyDescent="0.25">
      <c r="C13778" s="8" t="e">
        <f>VLOOKUP(A:A,'ITEM LIST'!A:C,3,0)</f>
        <v>#N/A</v>
      </c>
      <c r="D13778" s="6">
        <f t="shared" si="216"/>
        <v>0</v>
      </c>
    </row>
    <row r="13779" spans="3:4" ht="15" x14ac:dyDescent="0.25">
      <c r="C13779" s="8" t="e">
        <f>VLOOKUP(A:A,'ITEM LIST'!A:C,3,0)</f>
        <v>#N/A</v>
      </c>
      <c r="D13779" s="6">
        <f t="shared" si="216"/>
        <v>0</v>
      </c>
    </row>
    <row r="13780" spans="3:4" ht="15" x14ac:dyDescent="0.25">
      <c r="C13780" s="8" t="e">
        <f>VLOOKUP(A:A,'ITEM LIST'!A:C,3,0)</f>
        <v>#N/A</v>
      </c>
      <c r="D13780" s="6">
        <f t="shared" si="216"/>
        <v>0</v>
      </c>
    </row>
    <row r="13781" spans="3:4" ht="15" x14ac:dyDescent="0.25">
      <c r="C13781" s="8" t="e">
        <f>VLOOKUP(A:A,'ITEM LIST'!A:C,3,0)</f>
        <v>#N/A</v>
      </c>
      <c r="D13781" s="6">
        <f t="shared" si="216"/>
        <v>0</v>
      </c>
    </row>
    <row r="13782" spans="3:4" ht="15" x14ac:dyDescent="0.25">
      <c r="C13782" s="8" t="e">
        <f>VLOOKUP(A:A,'ITEM LIST'!A:C,3,0)</f>
        <v>#N/A</v>
      </c>
      <c r="D13782" s="6">
        <f t="shared" si="216"/>
        <v>0</v>
      </c>
    </row>
    <row r="13783" spans="3:4" ht="15" x14ac:dyDescent="0.25">
      <c r="C13783" s="8" t="e">
        <f>VLOOKUP(A:A,'ITEM LIST'!A:C,3,0)</f>
        <v>#N/A</v>
      </c>
      <c r="D13783" s="6">
        <f t="shared" si="216"/>
        <v>0</v>
      </c>
    </row>
    <row r="13784" spans="3:4" ht="15" x14ac:dyDescent="0.25">
      <c r="C13784" s="8" t="e">
        <f>VLOOKUP(A:A,'ITEM LIST'!A:C,3,0)</f>
        <v>#N/A</v>
      </c>
      <c r="D13784" s="6">
        <f t="shared" si="216"/>
        <v>0</v>
      </c>
    </row>
    <row r="13785" spans="3:4" ht="15" x14ac:dyDescent="0.25">
      <c r="C13785" s="8" t="e">
        <f>VLOOKUP(A:A,'ITEM LIST'!A:C,3,0)</f>
        <v>#N/A</v>
      </c>
      <c r="D13785" s="6">
        <f t="shared" si="216"/>
        <v>0</v>
      </c>
    </row>
    <row r="13786" spans="3:4" ht="15" x14ac:dyDescent="0.25">
      <c r="C13786" s="8" t="e">
        <f>VLOOKUP(A:A,'ITEM LIST'!A:C,3,0)</f>
        <v>#N/A</v>
      </c>
      <c r="D13786" s="6">
        <f t="shared" si="216"/>
        <v>0</v>
      </c>
    </row>
    <row r="13787" spans="3:4" ht="15" x14ac:dyDescent="0.25">
      <c r="C13787" s="8" t="e">
        <f>VLOOKUP(A:A,'ITEM LIST'!A:C,3,0)</f>
        <v>#N/A</v>
      </c>
      <c r="D13787" s="6">
        <f t="shared" si="216"/>
        <v>0</v>
      </c>
    </row>
    <row r="13788" spans="3:4" ht="15" x14ac:dyDescent="0.25">
      <c r="C13788" s="8" t="e">
        <f>VLOOKUP(A:A,'ITEM LIST'!A:C,3,0)</f>
        <v>#N/A</v>
      </c>
      <c r="D13788" s="6">
        <f t="shared" si="216"/>
        <v>0</v>
      </c>
    </row>
    <row r="13789" spans="3:4" ht="15" x14ac:dyDescent="0.25">
      <c r="C13789" s="8" t="e">
        <f>VLOOKUP(A:A,'ITEM LIST'!A:C,3,0)</f>
        <v>#N/A</v>
      </c>
      <c r="D13789" s="6">
        <f t="shared" si="216"/>
        <v>0</v>
      </c>
    </row>
    <row r="13790" spans="3:4" ht="15" x14ac:dyDescent="0.25">
      <c r="C13790" s="8" t="e">
        <f>VLOOKUP(A:A,'ITEM LIST'!A:C,3,0)</f>
        <v>#N/A</v>
      </c>
      <c r="D13790" s="6">
        <f t="shared" si="216"/>
        <v>0</v>
      </c>
    </row>
    <row r="13791" spans="3:4" ht="15" x14ac:dyDescent="0.25">
      <c r="C13791" s="8" t="e">
        <f>VLOOKUP(A:A,'ITEM LIST'!A:C,3,0)</f>
        <v>#N/A</v>
      </c>
      <c r="D13791" s="6">
        <f t="shared" si="216"/>
        <v>0</v>
      </c>
    </row>
    <row r="13792" spans="3:4" ht="15" x14ac:dyDescent="0.25">
      <c r="C13792" s="8" t="e">
        <f>VLOOKUP(A:A,'ITEM LIST'!A:C,3,0)</f>
        <v>#N/A</v>
      </c>
      <c r="D13792" s="6">
        <f t="shared" si="216"/>
        <v>0</v>
      </c>
    </row>
    <row r="13793" spans="3:4" ht="15" x14ac:dyDescent="0.25">
      <c r="C13793" s="8" t="e">
        <f>VLOOKUP(A:A,'ITEM LIST'!A:C,3,0)</f>
        <v>#N/A</v>
      </c>
      <c r="D13793" s="6">
        <f t="shared" si="216"/>
        <v>0</v>
      </c>
    </row>
    <row r="13794" spans="3:4" ht="15" x14ac:dyDescent="0.25">
      <c r="C13794" s="8" t="e">
        <f>VLOOKUP(A:A,'ITEM LIST'!A:C,3,0)</f>
        <v>#N/A</v>
      </c>
      <c r="D13794" s="6">
        <f t="shared" si="216"/>
        <v>0</v>
      </c>
    </row>
    <row r="13795" spans="3:4" ht="15" x14ac:dyDescent="0.25">
      <c r="C13795" s="8" t="e">
        <f>VLOOKUP(A:A,'ITEM LIST'!A:C,3,0)</f>
        <v>#N/A</v>
      </c>
      <c r="D13795" s="6">
        <f t="shared" si="216"/>
        <v>0</v>
      </c>
    </row>
    <row r="13796" spans="3:4" ht="15" x14ac:dyDescent="0.25">
      <c r="C13796" s="8" t="e">
        <f>VLOOKUP(A:A,'ITEM LIST'!A:C,3,0)</f>
        <v>#N/A</v>
      </c>
      <c r="D13796" s="6">
        <f t="shared" si="216"/>
        <v>0</v>
      </c>
    </row>
    <row r="13797" spans="3:4" ht="15" x14ac:dyDescent="0.25">
      <c r="C13797" s="8" t="e">
        <f>VLOOKUP(A:A,'ITEM LIST'!A:C,3,0)</f>
        <v>#N/A</v>
      </c>
      <c r="D13797" s="6">
        <f t="shared" si="216"/>
        <v>0</v>
      </c>
    </row>
    <row r="13798" spans="3:4" ht="15" x14ac:dyDescent="0.25">
      <c r="C13798" s="8" t="e">
        <f>VLOOKUP(A:A,'ITEM LIST'!A:C,3,0)</f>
        <v>#N/A</v>
      </c>
      <c r="D13798" s="6">
        <f t="shared" si="216"/>
        <v>0</v>
      </c>
    </row>
    <row r="13799" spans="3:4" ht="15" x14ac:dyDescent="0.25">
      <c r="C13799" s="8" t="e">
        <f>VLOOKUP(A:A,'ITEM LIST'!A:C,3,0)</f>
        <v>#N/A</v>
      </c>
      <c r="D13799" s="6">
        <f t="shared" si="216"/>
        <v>0</v>
      </c>
    </row>
    <row r="13800" spans="3:4" ht="15" x14ac:dyDescent="0.25">
      <c r="C13800" s="8" t="e">
        <f>VLOOKUP(A:A,'ITEM LIST'!A:C,3,0)</f>
        <v>#N/A</v>
      </c>
      <c r="D13800" s="6">
        <f t="shared" si="216"/>
        <v>0</v>
      </c>
    </row>
    <row r="13801" spans="3:4" ht="15" x14ac:dyDescent="0.25">
      <c r="C13801" s="8" t="e">
        <f>VLOOKUP(A:A,'ITEM LIST'!A:C,3,0)</f>
        <v>#N/A</v>
      </c>
      <c r="D13801" s="6">
        <f t="shared" si="216"/>
        <v>0</v>
      </c>
    </row>
    <row r="13802" spans="3:4" ht="15" x14ac:dyDescent="0.25">
      <c r="C13802" s="8" t="e">
        <f>VLOOKUP(A:A,'ITEM LIST'!A:C,3,0)</f>
        <v>#N/A</v>
      </c>
      <c r="D13802" s="6">
        <f t="shared" si="216"/>
        <v>0</v>
      </c>
    </row>
    <row r="13803" spans="3:4" ht="15" x14ac:dyDescent="0.25">
      <c r="C13803" s="8" t="e">
        <f>VLOOKUP(A:A,'ITEM LIST'!A:C,3,0)</f>
        <v>#N/A</v>
      </c>
      <c r="D13803" s="6">
        <f t="shared" si="216"/>
        <v>0</v>
      </c>
    </row>
    <row r="13804" spans="3:4" ht="15" x14ac:dyDescent="0.25">
      <c r="C13804" s="8" t="e">
        <f>VLOOKUP(A:A,'ITEM LIST'!A:C,3,0)</f>
        <v>#N/A</v>
      </c>
      <c r="D13804" s="6">
        <f t="shared" si="216"/>
        <v>0</v>
      </c>
    </row>
    <row r="13805" spans="3:4" ht="15" x14ac:dyDescent="0.25">
      <c r="C13805" s="8" t="e">
        <f>VLOOKUP(A:A,'ITEM LIST'!A:C,3,0)</f>
        <v>#N/A</v>
      </c>
      <c r="D13805" s="6">
        <f t="shared" si="216"/>
        <v>0</v>
      </c>
    </row>
    <row r="13806" spans="3:4" ht="15" x14ac:dyDescent="0.25">
      <c r="C13806" s="8" t="e">
        <f>VLOOKUP(A:A,'ITEM LIST'!A:C,3,0)</f>
        <v>#N/A</v>
      </c>
      <c r="D13806" s="6">
        <f t="shared" si="216"/>
        <v>0</v>
      </c>
    </row>
    <row r="13807" spans="3:4" ht="15" x14ac:dyDescent="0.25">
      <c r="C13807" s="8" t="e">
        <f>VLOOKUP(A:A,'ITEM LIST'!A:C,3,0)</f>
        <v>#N/A</v>
      </c>
      <c r="D13807" s="6">
        <f t="shared" si="216"/>
        <v>0</v>
      </c>
    </row>
    <row r="13808" spans="3:4" ht="15" x14ac:dyDescent="0.25">
      <c r="C13808" s="8" t="e">
        <f>VLOOKUP(A:A,'ITEM LIST'!A:C,3,0)</f>
        <v>#N/A</v>
      </c>
      <c r="D13808" s="6">
        <f t="shared" si="216"/>
        <v>0</v>
      </c>
    </row>
    <row r="13809" spans="3:4" ht="15" x14ac:dyDescent="0.25">
      <c r="C13809" s="8" t="e">
        <f>VLOOKUP(A:A,'ITEM LIST'!A:C,3,0)</f>
        <v>#N/A</v>
      </c>
      <c r="D13809" s="6">
        <f t="shared" si="216"/>
        <v>0</v>
      </c>
    </row>
    <row r="13810" spans="3:4" ht="15" x14ac:dyDescent="0.25">
      <c r="C13810" s="8" t="e">
        <f>VLOOKUP(A:A,'ITEM LIST'!A:C,3,0)</f>
        <v>#N/A</v>
      </c>
      <c r="D13810" s="6">
        <f t="shared" si="216"/>
        <v>0</v>
      </c>
    </row>
    <row r="13811" spans="3:4" ht="15" x14ac:dyDescent="0.25">
      <c r="C13811" s="8" t="e">
        <f>VLOOKUP(A:A,'ITEM LIST'!A:C,3,0)</f>
        <v>#N/A</v>
      </c>
      <c r="D13811" s="6">
        <f t="shared" si="216"/>
        <v>0</v>
      </c>
    </row>
    <row r="13812" spans="3:4" ht="15" x14ac:dyDescent="0.25">
      <c r="C13812" s="8" t="e">
        <f>VLOOKUP(A:A,'ITEM LIST'!A:C,3,0)</f>
        <v>#N/A</v>
      </c>
      <c r="D13812" s="6">
        <f t="shared" si="216"/>
        <v>0</v>
      </c>
    </row>
    <row r="13813" spans="3:4" ht="15" x14ac:dyDescent="0.25">
      <c r="C13813" s="8" t="e">
        <f>VLOOKUP(A:A,'ITEM LIST'!A:C,3,0)</f>
        <v>#N/A</v>
      </c>
      <c r="D13813" s="6">
        <f t="shared" si="216"/>
        <v>0</v>
      </c>
    </row>
    <row r="13814" spans="3:4" ht="15" x14ac:dyDescent="0.25">
      <c r="C13814" s="8" t="e">
        <f>VLOOKUP(A:A,'ITEM LIST'!A:C,3,0)</f>
        <v>#N/A</v>
      </c>
      <c r="D13814" s="6">
        <f t="shared" si="216"/>
        <v>0</v>
      </c>
    </row>
    <row r="13815" spans="3:4" ht="15" x14ac:dyDescent="0.25">
      <c r="C13815" s="8" t="e">
        <f>VLOOKUP(A:A,'ITEM LIST'!A:C,3,0)</f>
        <v>#N/A</v>
      </c>
      <c r="D13815" s="6">
        <f t="shared" si="216"/>
        <v>0</v>
      </c>
    </row>
    <row r="13816" spans="3:4" ht="15" x14ac:dyDescent="0.25">
      <c r="C13816" s="8" t="e">
        <f>VLOOKUP(A:A,'ITEM LIST'!A:C,3,0)</f>
        <v>#N/A</v>
      </c>
      <c r="D13816" s="6">
        <f t="shared" si="216"/>
        <v>0</v>
      </c>
    </row>
    <row r="13817" spans="3:4" ht="15" x14ac:dyDescent="0.25">
      <c r="C13817" s="8" t="e">
        <f>VLOOKUP(A:A,'ITEM LIST'!A:C,3,0)</f>
        <v>#N/A</v>
      </c>
      <c r="D13817" s="6">
        <f t="shared" si="216"/>
        <v>0</v>
      </c>
    </row>
    <row r="13818" spans="3:4" ht="15" x14ac:dyDescent="0.25">
      <c r="C13818" s="8" t="e">
        <f>VLOOKUP(A:A,'ITEM LIST'!A:C,3,0)</f>
        <v>#N/A</v>
      </c>
      <c r="D13818" s="6">
        <f t="shared" si="216"/>
        <v>0</v>
      </c>
    </row>
    <row r="13819" spans="3:4" ht="15" x14ac:dyDescent="0.25">
      <c r="C13819" s="8" t="e">
        <f>VLOOKUP(A:A,'ITEM LIST'!A:C,3,0)</f>
        <v>#N/A</v>
      </c>
      <c r="D13819" s="6">
        <f t="shared" si="216"/>
        <v>0</v>
      </c>
    </row>
    <row r="13820" spans="3:4" ht="15" x14ac:dyDescent="0.25">
      <c r="C13820" s="8" t="e">
        <f>VLOOKUP(A:A,'ITEM LIST'!A:C,3,0)</f>
        <v>#N/A</v>
      </c>
      <c r="D13820" s="6">
        <f t="shared" si="216"/>
        <v>0</v>
      </c>
    </row>
    <row r="13821" spans="3:4" ht="15" x14ac:dyDescent="0.25">
      <c r="C13821" s="8" t="e">
        <f>VLOOKUP(A:A,'ITEM LIST'!A:C,3,0)</f>
        <v>#N/A</v>
      </c>
      <c r="D13821" s="6">
        <f t="shared" si="216"/>
        <v>0</v>
      </c>
    </row>
    <row r="13822" spans="3:4" ht="15" x14ac:dyDescent="0.25">
      <c r="C13822" s="8" t="e">
        <f>VLOOKUP(A:A,'ITEM LIST'!A:C,3,0)</f>
        <v>#N/A</v>
      </c>
      <c r="D13822" s="6">
        <f t="shared" si="216"/>
        <v>0</v>
      </c>
    </row>
    <row r="13823" spans="3:4" ht="15" x14ac:dyDescent="0.25">
      <c r="C13823" s="8" t="e">
        <f>VLOOKUP(A:A,'ITEM LIST'!A:C,3,0)</f>
        <v>#N/A</v>
      </c>
      <c r="D13823" s="6">
        <f t="shared" si="216"/>
        <v>0</v>
      </c>
    </row>
    <row r="13824" spans="3:4" ht="15" x14ac:dyDescent="0.25">
      <c r="C13824" s="8" t="e">
        <f>VLOOKUP(A:A,'ITEM LIST'!A:C,3,0)</f>
        <v>#N/A</v>
      </c>
      <c r="D13824" s="6">
        <f t="shared" si="216"/>
        <v>0</v>
      </c>
    </row>
    <row r="13825" spans="3:4" ht="15" x14ac:dyDescent="0.25">
      <c r="C13825" s="8" t="e">
        <f>VLOOKUP(A:A,'ITEM LIST'!A:C,3,0)</f>
        <v>#N/A</v>
      </c>
      <c r="D13825" s="6">
        <f t="shared" si="216"/>
        <v>0</v>
      </c>
    </row>
    <row r="13826" spans="3:4" ht="15" x14ac:dyDescent="0.25">
      <c r="C13826" s="8" t="e">
        <f>VLOOKUP(A:A,'ITEM LIST'!A:C,3,0)</f>
        <v>#N/A</v>
      </c>
      <c r="D13826" s="6">
        <f t="shared" si="216"/>
        <v>0</v>
      </c>
    </row>
    <row r="13827" spans="3:4" ht="15" x14ac:dyDescent="0.25">
      <c r="C13827" s="8" t="e">
        <f>VLOOKUP(A:A,'ITEM LIST'!A:C,3,0)</f>
        <v>#N/A</v>
      </c>
      <c r="D13827" s="6">
        <f t="shared" si="216"/>
        <v>0</v>
      </c>
    </row>
    <row r="13828" spans="3:4" ht="15" x14ac:dyDescent="0.25">
      <c r="C13828" s="8" t="e">
        <f>VLOOKUP(A:A,'ITEM LIST'!A:C,3,0)</f>
        <v>#N/A</v>
      </c>
      <c r="D13828" s="6">
        <f t="shared" si="216"/>
        <v>0</v>
      </c>
    </row>
    <row r="13829" spans="3:4" ht="15" x14ac:dyDescent="0.25">
      <c r="C13829" s="8" t="e">
        <f>VLOOKUP(A:A,'ITEM LIST'!A:C,3,0)</f>
        <v>#N/A</v>
      </c>
      <c r="D13829" s="6">
        <f t="shared" si="216"/>
        <v>0</v>
      </c>
    </row>
    <row r="13830" spans="3:4" ht="15" x14ac:dyDescent="0.25">
      <c r="C13830" s="8" t="e">
        <f>VLOOKUP(A:A,'ITEM LIST'!A:C,3,0)</f>
        <v>#N/A</v>
      </c>
      <c r="D13830" s="6">
        <f t="shared" ref="D13830:D13893" si="217">B13830</f>
        <v>0</v>
      </c>
    </row>
    <row r="13831" spans="3:4" ht="15" x14ac:dyDescent="0.25">
      <c r="C13831" s="8" t="e">
        <f>VLOOKUP(A:A,'ITEM LIST'!A:C,3,0)</f>
        <v>#N/A</v>
      </c>
      <c r="D13831" s="6">
        <f t="shared" si="217"/>
        <v>0</v>
      </c>
    </row>
    <row r="13832" spans="3:4" ht="15" x14ac:dyDescent="0.25">
      <c r="C13832" s="8" t="e">
        <f>VLOOKUP(A:A,'ITEM LIST'!A:C,3,0)</f>
        <v>#N/A</v>
      </c>
      <c r="D13832" s="6">
        <f t="shared" si="217"/>
        <v>0</v>
      </c>
    </row>
    <row r="13833" spans="3:4" ht="15" x14ac:dyDescent="0.25">
      <c r="C13833" s="8" t="e">
        <f>VLOOKUP(A:A,'ITEM LIST'!A:C,3,0)</f>
        <v>#N/A</v>
      </c>
      <c r="D13833" s="6">
        <f t="shared" si="217"/>
        <v>0</v>
      </c>
    </row>
    <row r="13834" spans="3:4" ht="15" x14ac:dyDescent="0.25">
      <c r="C13834" s="8" t="e">
        <f>VLOOKUP(A:A,'ITEM LIST'!A:C,3,0)</f>
        <v>#N/A</v>
      </c>
      <c r="D13834" s="6">
        <f t="shared" si="217"/>
        <v>0</v>
      </c>
    </row>
    <row r="13835" spans="3:4" ht="15" x14ac:dyDescent="0.25">
      <c r="C13835" s="8" t="e">
        <f>VLOOKUP(A:A,'ITEM LIST'!A:C,3,0)</f>
        <v>#N/A</v>
      </c>
      <c r="D13835" s="6">
        <f t="shared" si="217"/>
        <v>0</v>
      </c>
    </row>
    <row r="13836" spans="3:4" ht="15" x14ac:dyDescent="0.25">
      <c r="C13836" s="8" t="e">
        <f>VLOOKUP(A:A,'ITEM LIST'!A:C,3,0)</f>
        <v>#N/A</v>
      </c>
      <c r="D13836" s="6">
        <f t="shared" si="217"/>
        <v>0</v>
      </c>
    </row>
    <row r="13837" spans="3:4" ht="15" x14ac:dyDescent="0.25">
      <c r="C13837" s="8" t="e">
        <f>VLOOKUP(A:A,'ITEM LIST'!A:C,3,0)</f>
        <v>#N/A</v>
      </c>
      <c r="D13837" s="6">
        <f t="shared" si="217"/>
        <v>0</v>
      </c>
    </row>
    <row r="13838" spans="3:4" ht="15" x14ac:dyDescent="0.25">
      <c r="C13838" s="8" t="e">
        <f>VLOOKUP(A:A,'ITEM LIST'!A:C,3,0)</f>
        <v>#N/A</v>
      </c>
      <c r="D13838" s="6">
        <f t="shared" si="217"/>
        <v>0</v>
      </c>
    </row>
    <row r="13839" spans="3:4" ht="15" x14ac:dyDescent="0.25">
      <c r="C13839" s="8" t="e">
        <f>VLOOKUP(A:A,'ITEM LIST'!A:C,3,0)</f>
        <v>#N/A</v>
      </c>
      <c r="D13839" s="6">
        <f t="shared" si="217"/>
        <v>0</v>
      </c>
    </row>
    <row r="13840" spans="3:4" ht="15" x14ac:dyDescent="0.25">
      <c r="C13840" s="8" t="e">
        <f>VLOOKUP(A:A,'ITEM LIST'!A:C,3,0)</f>
        <v>#N/A</v>
      </c>
      <c r="D13840" s="6">
        <f t="shared" si="217"/>
        <v>0</v>
      </c>
    </row>
    <row r="13841" spans="3:4" ht="15" x14ac:dyDescent="0.25">
      <c r="C13841" s="8" t="e">
        <f>VLOOKUP(A:A,'ITEM LIST'!A:C,3,0)</f>
        <v>#N/A</v>
      </c>
      <c r="D13841" s="6">
        <f t="shared" si="217"/>
        <v>0</v>
      </c>
    </row>
    <row r="13842" spans="3:4" ht="15" x14ac:dyDescent="0.25">
      <c r="C13842" s="8" t="e">
        <f>VLOOKUP(A:A,'ITEM LIST'!A:C,3,0)</f>
        <v>#N/A</v>
      </c>
      <c r="D13842" s="6">
        <f t="shared" si="217"/>
        <v>0</v>
      </c>
    </row>
    <row r="13843" spans="3:4" ht="15" x14ac:dyDescent="0.25">
      <c r="C13843" s="8" t="e">
        <f>VLOOKUP(A:A,'ITEM LIST'!A:C,3,0)</f>
        <v>#N/A</v>
      </c>
      <c r="D13843" s="6">
        <f t="shared" si="217"/>
        <v>0</v>
      </c>
    </row>
    <row r="13844" spans="3:4" ht="15" x14ac:dyDescent="0.25">
      <c r="C13844" s="8" t="e">
        <f>VLOOKUP(A:A,'ITEM LIST'!A:C,3,0)</f>
        <v>#N/A</v>
      </c>
      <c r="D13844" s="6">
        <f t="shared" si="217"/>
        <v>0</v>
      </c>
    </row>
    <row r="13845" spans="3:4" ht="15" x14ac:dyDescent="0.25">
      <c r="C13845" s="8" t="e">
        <f>VLOOKUP(A:A,'ITEM LIST'!A:C,3,0)</f>
        <v>#N/A</v>
      </c>
      <c r="D13845" s="6">
        <f t="shared" si="217"/>
        <v>0</v>
      </c>
    </row>
    <row r="13846" spans="3:4" ht="15" x14ac:dyDescent="0.25">
      <c r="C13846" s="8" t="e">
        <f>VLOOKUP(A:A,'ITEM LIST'!A:C,3,0)</f>
        <v>#N/A</v>
      </c>
      <c r="D13846" s="6">
        <f t="shared" si="217"/>
        <v>0</v>
      </c>
    </row>
    <row r="13847" spans="3:4" ht="15" x14ac:dyDescent="0.25">
      <c r="C13847" s="8" t="e">
        <f>VLOOKUP(A:A,'ITEM LIST'!A:C,3,0)</f>
        <v>#N/A</v>
      </c>
      <c r="D13847" s="6">
        <f t="shared" si="217"/>
        <v>0</v>
      </c>
    </row>
    <row r="13848" spans="3:4" ht="15" x14ac:dyDescent="0.25">
      <c r="C13848" s="8" t="e">
        <f>VLOOKUP(A:A,'ITEM LIST'!A:C,3,0)</f>
        <v>#N/A</v>
      </c>
      <c r="D13848" s="6">
        <f t="shared" si="217"/>
        <v>0</v>
      </c>
    </row>
    <row r="13849" spans="3:4" ht="15" x14ac:dyDescent="0.25">
      <c r="C13849" s="8" t="e">
        <f>VLOOKUP(A:A,'ITEM LIST'!A:C,3,0)</f>
        <v>#N/A</v>
      </c>
      <c r="D13849" s="6">
        <f t="shared" si="217"/>
        <v>0</v>
      </c>
    </row>
    <row r="13850" spans="3:4" ht="15" x14ac:dyDescent="0.25">
      <c r="C13850" s="8" t="e">
        <f>VLOOKUP(A:A,'ITEM LIST'!A:C,3,0)</f>
        <v>#N/A</v>
      </c>
      <c r="D13850" s="6">
        <f t="shared" si="217"/>
        <v>0</v>
      </c>
    </row>
    <row r="13851" spans="3:4" ht="15" x14ac:dyDescent="0.25">
      <c r="C13851" s="8" t="e">
        <f>VLOOKUP(A:A,'ITEM LIST'!A:C,3,0)</f>
        <v>#N/A</v>
      </c>
      <c r="D13851" s="6">
        <f t="shared" si="217"/>
        <v>0</v>
      </c>
    </row>
    <row r="13852" spans="3:4" ht="15" x14ac:dyDescent="0.25">
      <c r="C13852" s="8" t="e">
        <f>VLOOKUP(A:A,'ITEM LIST'!A:C,3,0)</f>
        <v>#N/A</v>
      </c>
      <c r="D13852" s="6">
        <f t="shared" si="217"/>
        <v>0</v>
      </c>
    </row>
    <row r="13853" spans="3:4" ht="15" x14ac:dyDescent="0.25">
      <c r="C13853" s="8" t="e">
        <f>VLOOKUP(A:A,'ITEM LIST'!A:C,3,0)</f>
        <v>#N/A</v>
      </c>
      <c r="D13853" s="6">
        <f t="shared" si="217"/>
        <v>0</v>
      </c>
    </row>
    <row r="13854" spans="3:4" ht="15" x14ac:dyDescent="0.25">
      <c r="C13854" s="8" t="e">
        <f>VLOOKUP(A:A,'ITEM LIST'!A:C,3,0)</f>
        <v>#N/A</v>
      </c>
      <c r="D13854" s="6">
        <f t="shared" si="217"/>
        <v>0</v>
      </c>
    </row>
    <row r="13855" spans="3:4" ht="15" x14ac:dyDescent="0.25">
      <c r="C13855" s="8" t="e">
        <f>VLOOKUP(A:A,'ITEM LIST'!A:C,3,0)</f>
        <v>#N/A</v>
      </c>
      <c r="D13855" s="6">
        <f t="shared" si="217"/>
        <v>0</v>
      </c>
    </row>
    <row r="13856" spans="3:4" ht="15" x14ac:dyDescent="0.25">
      <c r="C13856" s="8" t="e">
        <f>VLOOKUP(A:A,'ITEM LIST'!A:C,3,0)</f>
        <v>#N/A</v>
      </c>
      <c r="D13856" s="6">
        <f t="shared" si="217"/>
        <v>0</v>
      </c>
    </row>
    <row r="13857" spans="3:4" ht="15" x14ac:dyDescent="0.25">
      <c r="C13857" s="8" t="e">
        <f>VLOOKUP(A:A,'ITEM LIST'!A:C,3,0)</f>
        <v>#N/A</v>
      </c>
      <c r="D13857" s="6">
        <f t="shared" si="217"/>
        <v>0</v>
      </c>
    </row>
    <row r="13858" spans="3:4" ht="15" x14ac:dyDescent="0.25">
      <c r="C13858" s="8" t="e">
        <f>VLOOKUP(A:A,'ITEM LIST'!A:C,3,0)</f>
        <v>#N/A</v>
      </c>
      <c r="D13858" s="6">
        <f t="shared" si="217"/>
        <v>0</v>
      </c>
    </row>
    <row r="13859" spans="3:4" ht="15" x14ac:dyDescent="0.25">
      <c r="C13859" s="8" t="e">
        <f>VLOOKUP(A:A,'ITEM LIST'!A:C,3,0)</f>
        <v>#N/A</v>
      </c>
      <c r="D13859" s="6">
        <f t="shared" si="217"/>
        <v>0</v>
      </c>
    </row>
    <row r="13860" spans="3:4" ht="15" x14ac:dyDescent="0.25">
      <c r="C13860" s="8" t="e">
        <f>VLOOKUP(A:A,'ITEM LIST'!A:C,3,0)</f>
        <v>#N/A</v>
      </c>
      <c r="D13860" s="6">
        <f t="shared" si="217"/>
        <v>0</v>
      </c>
    </row>
    <row r="13861" spans="3:4" ht="15" x14ac:dyDescent="0.25">
      <c r="C13861" s="8" t="e">
        <f>VLOOKUP(A:A,'ITEM LIST'!A:C,3,0)</f>
        <v>#N/A</v>
      </c>
      <c r="D13861" s="6">
        <f t="shared" si="217"/>
        <v>0</v>
      </c>
    </row>
    <row r="13862" spans="3:4" ht="15" x14ac:dyDescent="0.25">
      <c r="C13862" s="8" t="e">
        <f>VLOOKUP(A:A,'ITEM LIST'!A:C,3,0)</f>
        <v>#N/A</v>
      </c>
      <c r="D13862" s="6">
        <f t="shared" si="217"/>
        <v>0</v>
      </c>
    </row>
    <row r="13863" spans="3:4" ht="15" x14ac:dyDescent="0.25">
      <c r="C13863" s="8" t="e">
        <f>VLOOKUP(A:A,'ITEM LIST'!A:C,3,0)</f>
        <v>#N/A</v>
      </c>
      <c r="D13863" s="6">
        <f t="shared" si="217"/>
        <v>0</v>
      </c>
    </row>
    <row r="13864" spans="3:4" ht="15" x14ac:dyDescent="0.25">
      <c r="C13864" s="8" t="e">
        <f>VLOOKUP(A:A,'ITEM LIST'!A:C,3,0)</f>
        <v>#N/A</v>
      </c>
      <c r="D13864" s="6">
        <f t="shared" si="217"/>
        <v>0</v>
      </c>
    </row>
    <row r="13865" spans="3:4" ht="15" x14ac:dyDescent="0.25">
      <c r="C13865" s="8" t="e">
        <f>VLOOKUP(A:A,'ITEM LIST'!A:C,3,0)</f>
        <v>#N/A</v>
      </c>
      <c r="D13865" s="6">
        <f t="shared" si="217"/>
        <v>0</v>
      </c>
    </row>
    <row r="13866" spans="3:4" ht="15" x14ac:dyDescent="0.25">
      <c r="C13866" s="8" t="e">
        <f>VLOOKUP(A:A,'ITEM LIST'!A:C,3,0)</f>
        <v>#N/A</v>
      </c>
      <c r="D13866" s="6">
        <f t="shared" si="217"/>
        <v>0</v>
      </c>
    </row>
    <row r="13867" spans="3:4" ht="15" x14ac:dyDescent="0.25">
      <c r="C13867" s="8" t="e">
        <f>VLOOKUP(A:A,'ITEM LIST'!A:C,3,0)</f>
        <v>#N/A</v>
      </c>
      <c r="D13867" s="6">
        <f t="shared" si="217"/>
        <v>0</v>
      </c>
    </row>
    <row r="13868" spans="3:4" ht="15" x14ac:dyDescent="0.25">
      <c r="C13868" s="8" t="e">
        <f>VLOOKUP(A:A,'ITEM LIST'!A:C,3,0)</f>
        <v>#N/A</v>
      </c>
      <c r="D13868" s="6">
        <f t="shared" si="217"/>
        <v>0</v>
      </c>
    </row>
    <row r="13869" spans="3:4" ht="15" x14ac:dyDescent="0.25">
      <c r="C13869" s="8" t="e">
        <f>VLOOKUP(A:A,'ITEM LIST'!A:C,3,0)</f>
        <v>#N/A</v>
      </c>
      <c r="D13869" s="6">
        <f t="shared" si="217"/>
        <v>0</v>
      </c>
    </row>
    <row r="13870" spans="3:4" ht="15" x14ac:dyDescent="0.25">
      <c r="C13870" s="8" t="e">
        <f>VLOOKUP(A:A,'ITEM LIST'!A:C,3,0)</f>
        <v>#N/A</v>
      </c>
      <c r="D13870" s="6">
        <f t="shared" si="217"/>
        <v>0</v>
      </c>
    </row>
    <row r="13871" spans="3:4" ht="15" x14ac:dyDescent="0.25">
      <c r="C13871" s="8" t="e">
        <f>VLOOKUP(A:A,'ITEM LIST'!A:C,3,0)</f>
        <v>#N/A</v>
      </c>
      <c r="D13871" s="6">
        <f t="shared" si="217"/>
        <v>0</v>
      </c>
    </row>
    <row r="13872" spans="3:4" ht="15" x14ac:dyDescent="0.25">
      <c r="C13872" s="8" t="e">
        <f>VLOOKUP(A:A,'ITEM LIST'!A:C,3,0)</f>
        <v>#N/A</v>
      </c>
      <c r="D13872" s="6">
        <f t="shared" si="217"/>
        <v>0</v>
      </c>
    </row>
    <row r="13873" spans="3:4" ht="15" x14ac:dyDescent="0.25">
      <c r="C13873" s="8" t="e">
        <f>VLOOKUP(A:A,'ITEM LIST'!A:C,3,0)</f>
        <v>#N/A</v>
      </c>
      <c r="D13873" s="6">
        <f t="shared" si="217"/>
        <v>0</v>
      </c>
    </row>
    <row r="13874" spans="3:4" ht="15" x14ac:dyDescent="0.25">
      <c r="C13874" s="8" t="e">
        <f>VLOOKUP(A:A,'ITEM LIST'!A:C,3,0)</f>
        <v>#N/A</v>
      </c>
      <c r="D13874" s="6">
        <f t="shared" si="217"/>
        <v>0</v>
      </c>
    </row>
    <row r="13875" spans="3:4" ht="15" x14ac:dyDescent="0.25">
      <c r="C13875" s="8" t="e">
        <f>VLOOKUP(A:A,'ITEM LIST'!A:C,3,0)</f>
        <v>#N/A</v>
      </c>
      <c r="D13875" s="6">
        <f t="shared" si="217"/>
        <v>0</v>
      </c>
    </row>
    <row r="13876" spans="3:4" ht="15" x14ac:dyDescent="0.25">
      <c r="C13876" s="8" t="e">
        <f>VLOOKUP(A:A,'ITEM LIST'!A:C,3,0)</f>
        <v>#N/A</v>
      </c>
      <c r="D13876" s="6">
        <f t="shared" si="217"/>
        <v>0</v>
      </c>
    </row>
    <row r="13877" spans="3:4" ht="15" x14ac:dyDescent="0.25">
      <c r="C13877" s="8" t="e">
        <f>VLOOKUP(A:A,'ITEM LIST'!A:C,3,0)</f>
        <v>#N/A</v>
      </c>
      <c r="D13877" s="6">
        <f t="shared" si="217"/>
        <v>0</v>
      </c>
    </row>
    <row r="13878" spans="3:4" ht="15" x14ac:dyDescent="0.25">
      <c r="C13878" s="8" t="e">
        <f>VLOOKUP(A:A,'ITEM LIST'!A:C,3,0)</f>
        <v>#N/A</v>
      </c>
      <c r="D13878" s="6">
        <f t="shared" si="217"/>
        <v>0</v>
      </c>
    </row>
    <row r="13879" spans="3:4" ht="15" x14ac:dyDescent="0.25">
      <c r="C13879" s="8" t="e">
        <f>VLOOKUP(A:A,'ITEM LIST'!A:C,3,0)</f>
        <v>#N/A</v>
      </c>
      <c r="D13879" s="6">
        <f t="shared" si="217"/>
        <v>0</v>
      </c>
    </row>
    <row r="13880" spans="3:4" ht="15" x14ac:dyDescent="0.25">
      <c r="C13880" s="8" t="e">
        <f>VLOOKUP(A:A,'ITEM LIST'!A:C,3,0)</f>
        <v>#N/A</v>
      </c>
      <c r="D13880" s="6">
        <f t="shared" si="217"/>
        <v>0</v>
      </c>
    </row>
    <row r="13881" spans="3:4" ht="15" x14ac:dyDescent="0.25">
      <c r="C13881" s="8" t="e">
        <f>VLOOKUP(A:A,'ITEM LIST'!A:C,3,0)</f>
        <v>#N/A</v>
      </c>
      <c r="D13881" s="6">
        <f t="shared" si="217"/>
        <v>0</v>
      </c>
    </row>
    <row r="13882" spans="3:4" ht="15" x14ac:dyDescent="0.25">
      <c r="C13882" s="8" t="e">
        <f>VLOOKUP(A:A,'ITEM LIST'!A:C,3,0)</f>
        <v>#N/A</v>
      </c>
      <c r="D13882" s="6">
        <f t="shared" si="217"/>
        <v>0</v>
      </c>
    </row>
    <row r="13883" spans="3:4" ht="15" x14ac:dyDescent="0.25">
      <c r="C13883" s="8" t="e">
        <f>VLOOKUP(A:A,'ITEM LIST'!A:C,3,0)</f>
        <v>#N/A</v>
      </c>
      <c r="D13883" s="6">
        <f t="shared" si="217"/>
        <v>0</v>
      </c>
    </row>
    <row r="13884" spans="3:4" ht="15" x14ac:dyDescent="0.25">
      <c r="C13884" s="8" t="e">
        <f>VLOOKUP(A:A,'ITEM LIST'!A:C,3,0)</f>
        <v>#N/A</v>
      </c>
      <c r="D13884" s="6">
        <f t="shared" si="217"/>
        <v>0</v>
      </c>
    </row>
    <row r="13885" spans="3:4" ht="15" x14ac:dyDescent="0.25">
      <c r="C13885" s="8" t="e">
        <f>VLOOKUP(A:A,'ITEM LIST'!A:C,3,0)</f>
        <v>#N/A</v>
      </c>
      <c r="D13885" s="6">
        <f t="shared" si="217"/>
        <v>0</v>
      </c>
    </row>
    <row r="13886" spans="3:4" ht="15" x14ac:dyDescent="0.25">
      <c r="C13886" s="8" t="e">
        <f>VLOOKUP(A:A,'ITEM LIST'!A:C,3,0)</f>
        <v>#N/A</v>
      </c>
      <c r="D13886" s="6">
        <f t="shared" si="217"/>
        <v>0</v>
      </c>
    </row>
    <row r="13887" spans="3:4" ht="15" x14ac:dyDescent="0.25">
      <c r="C13887" s="8" t="e">
        <f>VLOOKUP(A:A,'ITEM LIST'!A:C,3,0)</f>
        <v>#N/A</v>
      </c>
      <c r="D13887" s="6">
        <f t="shared" si="217"/>
        <v>0</v>
      </c>
    </row>
    <row r="13888" spans="3:4" ht="15" x14ac:dyDescent="0.25">
      <c r="C13888" s="8" t="e">
        <f>VLOOKUP(A:A,'ITEM LIST'!A:C,3,0)</f>
        <v>#N/A</v>
      </c>
      <c r="D13888" s="6">
        <f t="shared" si="217"/>
        <v>0</v>
      </c>
    </row>
    <row r="13889" spans="3:4" ht="15" x14ac:dyDescent="0.25">
      <c r="C13889" s="8" t="e">
        <f>VLOOKUP(A:A,'ITEM LIST'!A:C,3,0)</f>
        <v>#N/A</v>
      </c>
      <c r="D13889" s="6">
        <f t="shared" si="217"/>
        <v>0</v>
      </c>
    </row>
    <row r="13890" spans="3:4" ht="15" x14ac:dyDescent="0.25">
      <c r="C13890" s="8" t="e">
        <f>VLOOKUP(A:A,'ITEM LIST'!A:C,3,0)</f>
        <v>#N/A</v>
      </c>
      <c r="D13890" s="6">
        <f t="shared" si="217"/>
        <v>0</v>
      </c>
    </row>
    <row r="13891" spans="3:4" ht="15" x14ac:dyDescent="0.25">
      <c r="C13891" s="8" t="e">
        <f>VLOOKUP(A:A,'ITEM LIST'!A:C,3,0)</f>
        <v>#N/A</v>
      </c>
      <c r="D13891" s="6">
        <f t="shared" si="217"/>
        <v>0</v>
      </c>
    </row>
    <row r="13892" spans="3:4" ht="15" x14ac:dyDescent="0.25">
      <c r="C13892" s="8" t="e">
        <f>VLOOKUP(A:A,'ITEM LIST'!A:C,3,0)</f>
        <v>#N/A</v>
      </c>
      <c r="D13892" s="6">
        <f t="shared" si="217"/>
        <v>0</v>
      </c>
    </row>
    <row r="13893" spans="3:4" ht="15" x14ac:dyDescent="0.25">
      <c r="C13893" s="8" t="e">
        <f>VLOOKUP(A:A,'ITEM LIST'!A:C,3,0)</f>
        <v>#N/A</v>
      </c>
      <c r="D13893" s="6">
        <f t="shared" si="217"/>
        <v>0</v>
      </c>
    </row>
    <row r="13894" spans="3:4" ht="15" x14ac:dyDescent="0.25">
      <c r="C13894" s="8" t="e">
        <f>VLOOKUP(A:A,'ITEM LIST'!A:C,3,0)</f>
        <v>#N/A</v>
      </c>
      <c r="D13894" s="6">
        <f t="shared" ref="D13894:D13957" si="218">B13894</f>
        <v>0</v>
      </c>
    </row>
    <row r="13895" spans="3:4" ht="15" x14ac:dyDescent="0.25">
      <c r="C13895" s="8" t="e">
        <f>VLOOKUP(A:A,'ITEM LIST'!A:C,3,0)</f>
        <v>#N/A</v>
      </c>
      <c r="D13895" s="6">
        <f t="shared" si="218"/>
        <v>0</v>
      </c>
    </row>
    <row r="13896" spans="3:4" ht="15" x14ac:dyDescent="0.25">
      <c r="C13896" s="8" t="e">
        <f>VLOOKUP(A:A,'ITEM LIST'!A:C,3,0)</f>
        <v>#N/A</v>
      </c>
      <c r="D13896" s="6">
        <f t="shared" si="218"/>
        <v>0</v>
      </c>
    </row>
    <row r="13897" spans="3:4" ht="15" x14ac:dyDescent="0.25">
      <c r="C13897" s="8" t="e">
        <f>VLOOKUP(A:A,'ITEM LIST'!A:C,3,0)</f>
        <v>#N/A</v>
      </c>
      <c r="D13897" s="6">
        <f t="shared" si="218"/>
        <v>0</v>
      </c>
    </row>
    <row r="13898" spans="3:4" ht="15" x14ac:dyDescent="0.25">
      <c r="C13898" s="8" t="e">
        <f>VLOOKUP(A:A,'ITEM LIST'!A:C,3,0)</f>
        <v>#N/A</v>
      </c>
      <c r="D13898" s="6">
        <f t="shared" si="218"/>
        <v>0</v>
      </c>
    </row>
    <row r="13899" spans="3:4" ht="15" x14ac:dyDescent="0.25">
      <c r="C13899" s="8" t="e">
        <f>VLOOKUP(A:A,'ITEM LIST'!A:C,3,0)</f>
        <v>#N/A</v>
      </c>
      <c r="D13899" s="6">
        <f t="shared" si="218"/>
        <v>0</v>
      </c>
    </row>
    <row r="13900" spans="3:4" ht="15" x14ac:dyDescent="0.25">
      <c r="C13900" s="8" t="e">
        <f>VLOOKUP(A:A,'ITEM LIST'!A:C,3,0)</f>
        <v>#N/A</v>
      </c>
      <c r="D13900" s="6">
        <f t="shared" si="218"/>
        <v>0</v>
      </c>
    </row>
    <row r="13901" spans="3:4" ht="15" x14ac:dyDescent="0.25">
      <c r="C13901" s="8" t="e">
        <f>VLOOKUP(A:A,'ITEM LIST'!A:C,3,0)</f>
        <v>#N/A</v>
      </c>
      <c r="D13901" s="6">
        <f t="shared" si="218"/>
        <v>0</v>
      </c>
    </row>
    <row r="13902" spans="3:4" ht="15" x14ac:dyDescent="0.25">
      <c r="C13902" s="8" t="e">
        <f>VLOOKUP(A:A,'ITEM LIST'!A:C,3,0)</f>
        <v>#N/A</v>
      </c>
      <c r="D13902" s="6">
        <f t="shared" si="218"/>
        <v>0</v>
      </c>
    </row>
    <row r="13903" spans="3:4" ht="15" x14ac:dyDescent="0.25">
      <c r="C13903" s="8" t="e">
        <f>VLOOKUP(A:A,'ITEM LIST'!A:C,3,0)</f>
        <v>#N/A</v>
      </c>
      <c r="D13903" s="6">
        <f t="shared" si="218"/>
        <v>0</v>
      </c>
    </row>
    <row r="13904" spans="3:4" ht="15" x14ac:dyDescent="0.25">
      <c r="C13904" s="8" t="e">
        <f>VLOOKUP(A:A,'ITEM LIST'!A:C,3,0)</f>
        <v>#N/A</v>
      </c>
      <c r="D13904" s="6">
        <f t="shared" si="218"/>
        <v>0</v>
      </c>
    </row>
    <row r="13905" spans="3:4" ht="15" x14ac:dyDescent="0.25">
      <c r="C13905" s="8" t="e">
        <f>VLOOKUP(A:A,'ITEM LIST'!A:C,3,0)</f>
        <v>#N/A</v>
      </c>
      <c r="D13905" s="6">
        <f t="shared" si="218"/>
        <v>0</v>
      </c>
    </row>
    <row r="13906" spans="3:4" ht="15" x14ac:dyDescent="0.25">
      <c r="C13906" s="8" t="e">
        <f>VLOOKUP(A:A,'ITEM LIST'!A:C,3,0)</f>
        <v>#N/A</v>
      </c>
      <c r="D13906" s="6">
        <f t="shared" si="218"/>
        <v>0</v>
      </c>
    </row>
    <row r="13907" spans="3:4" ht="15" x14ac:dyDescent="0.25">
      <c r="C13907" s="8" t="e">
        <f>VLOOKUP(A:A,'ITEM LIST'!A:C,3,0)</f>
        <v>#N/A</v>
      </c>
      <c r="D13907" s="6">
        <f t="shared" si="218"/>
        <v>0</v>
      </c>
    </row>
    <row r="13908" spans="3:4" ht="15" x14ac:dyDescent="0.25">
      <c r="C13908" s="8" t="e">
        <f>VLOOKUP(A:A,'ITEM LIST'!A:C,3,0)</f>
        <v>#N/A</v>
      </c>
      <c r="D13908" s="6">
        <f t="shared" si="218"/>
        <v>0</v>
      </c>
    </row>
    <row r="13909" spans="3:4" ht="15" x14ac:dyDescent="0.25">
      <c r="C13909" s="8" t="e">
        <f>VLOOKUP(A:A,'ITEM LIST'!A:C,3,0)</f>
        <v>#N/A</v>
      </c>
      <c r="D13909" s="6">
        <f t="shared" si="218"/>
        <v>0</v>
      </c>
    </row>
    <row r="13910" spans="3:4" ht="15" x14ac:dyDescent="0.25">
      <c r="C13910" s="8" t="e">
        <f>VLOOKUP(A:A,'ITEM LIST'!A:C,3,0)</f>
        <v>#N/A</v>
      </c>
      <c r="D13910" s="6">
        <f t="shared" si="218"/>
        <v>0</v>
      </c>
    </row>
    <row r="13911" spans="3:4" ht="15" x14ac:dyDescent="0.25">
      <c r="C13911" s="8" t="e">
        <f>VLOOKUP(A:A,'ITEM LIST'!A:C,3,0)</f>
        <v>#N/A</v>
      </c>
      <c r="D13911" s="6">
        <f t="shared" si="218"/>
        <v>0</v>
      </c>
    </row>
    <row r="13912" spans="3:4" ht="15" x14ac:dyDescent="0.25">
      <c r="C13912" s="8" t="e">
        <f>VLOOKUP(A:A,'ITEM LIST'!A:C,3,0)</f>
        <v>#N/A</v>
      </c>
      <c r="D13912" s="6">
        <f t="shared" si="218"/>
        <v>0</v>
      </c>
    </row>
    <row r="13913" spans="3:4" ht="15" x14ac:dyDescent="0.25">
      <c r="C13913" s="8" t="e">
        <f>VLOOKUP(A:A,'ITEM LIST'!A:C,3,0)</f>
        <v>#N/A</v>
      </c>
      <c r="D13913" s="6">
        <f t="shared" si="218"/>
        <v>0</v>
      </c>
    </row>
    <row r="13914" spans="3:4" ht="15" x14ac:dyDescent="0.25">
      <c r="C13914" s="8" t="e">
        <f>VLOOKUP(A:A,'ITEM LIST'!A:C,3,0)</f>
        <v>#N/A</v>
      </c>
      <c r="D13914" s="6">
        <f t="shared" si="218"/>
        <v>0</v>
      </c>
    </row>
    <row r="13915" spans="3:4" ht="15" x14ac:dyDescent="0.25">
      <c r="C13915" s="8" t="e">
        <f>VLOOKUP(A:A,'ITEM LIST'!A:C,3,0)</f>
        <v>#N/A</v>
      </c>
      <c r="D13915" s="6">
        <f t="shared" si="218"/>
        <v>0</v>
      </c>
    </row>
    <row r="13916" spans="3:4" ht="15" x14ac:dyDescent="0.25">
      <c r="C13916" s="8" t="e">
        <f>VLOOKUP(A:A,'ITEM LIST'!A:C,3,0)</f>
        <v>#N/A</v>
      </c>
      <c r="D13916" s="6">
        <f t="shared" si="218"/>
        <v>0</v>
      </c>
    </row>
    <row r="13917" spans="3:4" ht="15" x14ac:dyDescent="0.25">
      <c r="C13917" s="8" t="e">
        <f>VLOOKUP(A:A,'ITEM LIST'!A:C,3,0)</f>
        <v>#N/A</v>
      </c>
      <c r="D13917" s="6">
        <f t="shared" si="218"/>
        <v>0</v>
      </c>
    </row>
    <row r="13918" spans="3:4" ht="15" x14ac:dyDescent="0.25">
      <c r="C13918" s="8" t="e">
        <f>VLOOKUP(A:A,'ITEM LIST'!A:C,3,0)</f>
        <v>#N/A</v>
      </c>
      <c r="D13918" s="6">
        <f t="shared" si="218"/>
        <v>0</v>
      </c>
    </row>
    <row r="13919" spans="3:4" ht="15" x14ac:dyDescent="0.25">
      <c r="C13919" s="8" t="e">
        <f>VLOOKUP(A:A,'ITEM LIST'!A:C,3,0)</f>
        <v>#N/A</v>
      </c>
      <c r="D13919" s="6">
        <f t="shared" si="218"/>
        <v>0</v>
      </c>
    </row>
    <row r="13920" spans="3:4" ht="15" x14ac:dyDescent="0.25">
      <c r="C13920" s="8" t="e">
        <f>VLOOKUP(A:A,'ITEM LIST'!A:C,3,0)</f>
        <v>#N/A</v>
      </c>
      <c r="D13920" s="6">
        <f t="shared" si="218"/>
        <v>0</v>
      </c>
    </row>
    <row r="13921" spans="3:4" ht="15" x14ac:dyDescent="0.25">
      <c r="C13921" s="8" t="e">
        <f>VLOOKUP(A:A,'ITEM LIST'!A:C,3,0)</f>
        <v>#N/A</v>
      </c>
      <c r="D13921" s="6">
        <f t="shared" si="218"/>
        <v>0</v>
      </c>
    </row>
    <row r="13922" spans="3:4" ht="15" x14ac:dyDescent="0.25">
      <c r="C13922" s="8" t="e">
        <f>VLOOKUP(A:A,'ITEM LIST'!A:C,3,0)</f>
        <v>#N/A</v>
      </c>
      <c r="D13922" s="6">
        <f t="shared" si="218"/>
        <v>0</v>
      </c>
    </row>
    <row r="13923" spans="3:4" ht="15" x14ac:dyDescent="0.25">
      <c r="C13923" s="8" t="e">
        <f>VLOOKUP(A:A,'ITEM LIST'!A:C,3,0)</f>
        <v>#N/A</v>
      </c>
      <c r="D13923" s="6">
        <f t="shared" si="218"/>
        <v>0</v>
      </c>
    </row>
    <row r="13924" spans="3:4" ht="15" x14ac:dyDescent="0.25">
      <c r="C13924" s="8" t="e">
        <f>VLOOKUP(A:A,'ITEM LIST'!A:C,3,0)</f>
        <v>#N/A</v>
      </c>
      <c r="D13924" s="6">
        <f t="shared" si="218"/>
        <v>0</v>
      </c>
    </row>
    <row r="13925" spans="3:4" ht="15" x14ac:dyDescent="0.25">
      <c r="C13925" s="8" t="e">
        <f>VLOOKUP(A:A,'ITEM LIST'!A:C,3,0)</f>
        <v>#N/A</v>
      </c>
      <c r="D13925" s="6">
        <f t="shared" si="218"/>
        <v>0</v>
      </c>
    </row>
    <row r="13926" spans="3:4" ht="15" x14ac:dyDescent="0.25">
      <c r="C13926" s="8" t="e">
        <f>VLOOKUP(A:A,'ITEM LIST'!A:C,3,0)</f>
        <v>#N/A</v>
      </c>
      <c r="D13926" s="6">
        <f t="shared" si="218"/>
        <v>0</v>
      </c>
    </row>
    <row r="13927" spans="3:4" ht="15" x14ac:dyDescent="0.25">
      <c r="C13927" s="8" t="e">
        <f>VLOOKUP(A:A,'ITEM LIST'!A:C,3,0)</f>
        <v>#N/A</v>
      </c>
      <c r="D13927" s="6">
        <f t="shared" si="218"/>
        <v>0</v>
      </c>
    </row>
    <row r="13928" spans="3:4" ht="15" x14ac:dyDescent="0.25">
      <c r="C13928" s="8" t="e">
        <f>VLOOKUP(A:A,'ITEM LIST'!A:C,3,0)</f>
        <v>#N/A</v>
      </c>
      <c r="D13928" s="6">
        <f t="shared" si="218"/>
        <v>0</v>
      </c>
    </row>
    <row r="13929" spans="3:4" ht="15" x14ac:dyDescent="0.25">
      <c r="C13929" s="8" t="e">
        <f>VLOOKUP(A:A,'ITEM LIST'!A:C,3,0)</f>
        <v>#N/A</v>
      </c>
      <c r="D13929" s="6">
        <f t="shared" si="218"/>
        <v>0</v>
      </c>
    </row>
    <row r="13930" spans="3:4" ht="15" x14ac:dyDescent="0.25">
      <c r="C13930" s="8" t="e">
        <f>VLOOKUP(A:A,'ITEM LIST'!A:C,3,0)</f>
        <v>#N/A</v>
      </c>
      <c r="D13930" s="6">
        <f t="shared" si="218"/>
        <v>0</v>
      </c>
    </row>
    <row r="13931" spans="3:4" ht="15" x14ac:dyDescent="0.25">
      <c r="C13931" s="8" t="e">
        <f>VLOOKUP(A:A,'ITEM LIST'!A:C,3,0)</f>
        <v>#N/A</v>
      </c>
      <c r="D13931" s="6">
        <f t="shared" si="218"/>
        <v>0</v>
      </c>
    </row>
    <row r="13932" spans="3:4" ht="15" x14ac:dyDescent="0.25">
      <c r="C13932" s="8" t="e">
        <f>VLOOKUP(A:A,'ITEM LIST'!A:C,3,0)</f>
        <v>#N/A</v>
      </c>
      <c r="D13932" s="6">
        <f t="shared" si="218"/>
        <v>0</v>
      </c>
    </row>
    <row r="13933" spans="3:4" ht="15" x14ac:dyDescent="0.25">
      <c r="C13933" s="8" t="e">
        <f>VLOOKUP(A:A,'ITEM LIST'!A:C,3,0)</f>
        <v>#N/A</v>
      </c>
      <c r="D13933" s="6">
        <f t="shared" si="218"/>
        <v>0</v>
      </c>
    </row>
    <row r="13934" spans="3:4" ht="15" x14ac:dyDescent="0.25">
      <c r="C13934" s="8" t="e">
        <f>VLOOKUP(A:A,'ITEM LIST'!A:C,3,0)</f>
        <v>#N/A</v>
      </c>
      <c r="D13934" s="6">
        <f t="shared" si="218"/>
        <v>0</v>
      </c>
    </row>
    <row r="13935" spans="3:4" ht="15" x14ac:dyDescent="0.25">
      <c r="C13935" s="8" t="e">
        <f>VLOOKUP(A:A,'ITEM LIST'!A:C,3,0)</f>
        <v>#N/A</v>
      </c>
      <c r="D13935" s="6">
        <f t="shared" si="218"/>
        <v>0</v>
      </c>
    </row>
    <row r="13936" spans="3:4" ht="15" x14ac:dyDescent="0.25">
      <c r="C13936" s="8" t="e">
        <f>VLOOKUP(A:A,'ITEM LIST'!A:C,3,0)</f>
        <v>#N/A</v>
      </c>
      <c r="D13936" s="6">
        <f t="shared" si="218"/>
        <v>0</v>
      </c>
    </row>
    <row r="13937" spans="3:4" ht="15" x14ac:dyDescent="0.25">
      <c r="C13937" s="8" t="e">
        <f>VLOOKUP(A:A,'ITEM LIST'!A:C,3,0)</f>
        <v>#N/A</v>
      </c>
      <c r="D13937" s="6">
        <f t="shared" si="218"/>
        <v>0</v>
      </c>
    </row>
    <row r="13938" spans="3:4" ht="15" x14ac:dyDescent="0.25">
      <c r="C13938" s="8" t="e">
        <f>VLOOKUP(A:A,'ITEM LIST'!A:C,3,0)</f>
        <v>#N/A</v>
      </c>
      <c r="D13938" s="6">
        <f t="shared" si="218"/>
        <v>0</v>
      </c>
    </row>
    <row r="13939" spans="3:4" ht="15" x14ac:dyDescent="0.25">
      <c r="C13939" s="8" t="e">
        <f>VLOOKUP(A:A,'ITEM LIST'!A:C,3,0)</f>
        <v>#N/A</v>
      </c>
      <c r="D13939" s="6">
        <f t="shared" si="218"/>
        <v>0</v>
      </c>
    </row>
    <row r="13940" spans="3:4" ht="15" x14ac:dyDescent="0.25">
      <c r="C13940" s="8" t="e">
        <f>VLOOKUP(A:A,'ITEM LIST'!A:C,3,0)</f>
        <v>#N/A</v>
      </c>
      <c r="D13940" s="6">
        <f t="shared" si="218"/>
        <v>0</v>
      </c>
    </row>
    <row r="13941" spans="3:4" ht="15" x14ac:dyDescent="0.25">
      <c r="C13941" s="8" t="e">
        <f>VLOOKUP(A:A,'ITEM LIST'!A:C,3,0)</f>
        <v>#N/A</v>
      </c>
      <c r="D13941" s="6">
        <f t="shared" si="218"/>
        <v>0</v>
      </c>
    </row>
    <row r="13942" spans="3:4" ht="15" x14ac:dyDescent="0.25">
      <c r="C13942" s="8" t="e">
        <f>VLOOKUP(A:A,'ITEM LIST'!A:C,3,0)</f>
        <v>#N/A</v>
      </c>
      <c r="D13942" s="6">
        <f t="shared" si="218"/>
        <v>0</v>
      </c>
    </row>
    <row r="13943" spans="3:4" ht="15" x14ac:dyDescent="0.25">
      <c r="C13943" s="8" t="e">
        <f>VLOOKUP(A:A,'ITEM LIST'!A:C,3,0)</f>
        <v>#N/A</v>
      </c>
      <c r="D13943" s="6">
        <f t="shared" si="218"/>
        <v>0</v>
      </c>
    </row>
    <row r="13944" spans="3:4" ht="15" x14ac:dyDescent="0.25">
      <c r="C13944" s="8" t="e">
        <f>VLOOKUP(A:A,'ITEM LIST'!A:C,3,0)</f>
        <v>#N/A</v>
      </c>
      <c r="D13944" s="6">
        <f t="shared" si="218"/>
        <v>0</v>
      </c>
    </row>
    <row r="13945" spans="3:4" ht="15" x14ac:dyDescent="0.25">
      <c r="C13945" s="8" t="e">
        <f>VLOOKUP(A:A,'ITEM LIST'!A:C,3,0)</f>
        <v>#N/A</v>
      </c>
      <c r="D13945" s="6">
        <f t="shared" si="218"/>
        <v>0</v>
      </c>
    </row>
    <row r="13946" spans="3:4" ht="15" x14ac:dyDescent="0.25">
      <c r="C13946" s="8" t="e">
        <f>VLOOKUP(A:A,'ITEM LIST'!A:C,3,0)</f>
        <v>#N/A</v>
      </c>
      <c r="D13946" s="6">
        <f t="shared" si="218"/>
        <v>0</v>
      </c>
    </row>
    <row r="13947" spans="3:4" ht="15" x14ac:dyDescent="0.25">
      <c r="C13947" s="8" t="e">
        <f>VLOOKUP(A:A,'ITEM LIST'!A:C,3,0)</f>
        <v>#N/A</v>
      </c>
      <c r="D13947" s="6">
        <f t="shared" si="218"/>
        <v>0</v>
      </c>
    </row>
    <row r="13948" spans="3:4" ht="15" x14ac:dyDescent="0.25">
      <c r="C13948" s="8" t="e">
        <f>VLOOKUP(A:A,'ITEM LIST'!A:C,3,0)</f>
        <v>#N/A</v>
      </c>
      <c r="D13948" s="6">
        <f t="shared" si="218"/>
        <v>0</v>
      </c>
    </row>
    <row r="13949" spans="3:4" ht="15" x14ac:dyDescent="0.25">
      <c r="C13949" s="8" t="e">
        <f>VLOOKUP(A:A,'ITEM LIST'!A:C,3,0)</f>
        <v>#N/A</v>
      </c>
      <c r="D13949" s="6">
        <f t="shared" si="218"/>
        <v>0</v>
      </c>
    </row>
    <row r="13950" spans="3:4" ht="15" x14ac:dyDescent="0.25">
      <c r="C13950" s="8" t="e">
        <f>VLOOKUP(A:A,'ITEM LIST'!A:C,3,0)</f>
        <v>#N/A</v>
      </c>
      <c r="D13950" s="6">
        <f t="shared" si="218"/>
        <v>0</v>
      </c>
    </row>
    <row r="13951" spans="3:4" ht="15" x14ac:dyDescent="0.25">
      <c r="C13951" s="8" t="e">
        <f>VLOOKUP(A:A,'ITEM LIST'!A:C,3,0)</f>
        <v>#N/A</v>
      </c>
      <c r="D13951" s="6">
        <f t="shared" si="218"/>
        <v>0</v>
      </c>
    </row>
    <row r="13952" spans="3:4" ht="15" x14ac:dyDescent="0.25">
      <c r="C13952" s="8" t="e">
        <f>VLOOKUP(A:A,'ITEM LIST'!A:C,3,0)</f>
        <v>#N/A</v>
      </c>
      <c r="D13952" s="6">
        <f t="shared" si="218"/>
        <v>0</v>
      </c>
    </row>
    <row r="13953" spans="3:4" ht="15" x14ac:dyDescent="0.25">
      <c r="C13953" s="8" t="e">
        <f>VLOOKUP(A:A,'ITEM LIST'!A:C,3,0)</f>
        <v>#N/A</v>
      </c>
      <c r="D13953" s="6">
        <f t="shared" si="218"/>
        <v>0</v>
      </c>
    </row>
    <row r="13954" spans="3:4" ht="15" x14ac:dyDescent="0.25">
      <c r="C13954" s="8" t="e">
        <f>VLOOKUP(A:A,'ITEM LIST'!A:C,3,0)</f>
        <v>#N/A</v>
      </c>
      <c r="D13954" s="6">
        <f t="shared" si="218"/>
        <v>0</v>
      </c>
    </row>
    <row r="13955" spans="3:4" ht="15" x14ac:dyDescent="0.25">
      <c r="C13955" s="8" t="e">
        <f>VLOOKUP(A:A,'ITEM LIST'!A:C,3,0)</f>
        <v>#N/A</v>
      </c>
      <c r="D13955" s="6">
        <f t="shared" si="218"/>
        <v>0</v>
      </c>
    </row>
    <row r="13956" spans="3:4" ht="15" x14ac:dyDescent="0.25">
      <c r="C13956" s="8" t="e">
        <f>VLOOKUP(A:A,'ITEM LIST'!A:C,3,0)</f>
        <v>#N/A</v>
      </c>
      <c r="D13956" s="6">
        <f t="shared" si="218"/>
        <v>0</v>
      </c>
    </row>
    <row r="13957" spans="3:4" ht="15" x14ac:dyDescent="0.25">
      <c r="C13957" s="8" t="e">
        <f>VLOOKUP(A:A,'ITEM LIST'!A:C,3,0)</f>
        <v>#N/A</v>
      </c>
      <c r="D13957" s="6">
        <f t="shared" si="218"/>
        <v>0</v>
      </c>
    </row>
    <row r="13958" spans="3:4" ht="15" x14ac:dyDescent="0.25">
      <c r="C13958" s="8" t="e">
        <f>VLOOKUP(A:A,'ITEM LIST'!A:C,3,0)</f>
        <v>#N/A</v>
      </c>
      <c r="D13958" s="6">
        <f t="shared" ref="D13958:D14021" si="219">B13958</f>
        <v>0</v>
      </c>
    </row>
    <row r="13959" spans="3:4" ht="15" x14ac:dyDescent="0.25">
      <c r="C13959" s="8" t="e">
        <f>VLOOKUP(A:A,'ITEM LIST'!A:C,3,0)</f>
        <v>#N/A</v>
      </c>
      <c r="D13959" s="6">
        <f t="shared" si="219"/>
        <v>0</v>
      </c>
    </row>
    <row r="13960" spans="3:4" ht="15" x14ac:dyDescent="0.25">
      <c r="C13960" s="8" t="e">
        <f>VLOOKUP(A:A,'ITEM LIST'!A:C,3,0)</f>
        <v>#N/A</v>
      </c>
      <c r="D13960" s="6">
        <f t="shared" si="219"/>
        <v>0</v>
      </c>
    </row>
    <row r="13961" spans="3:4" ht="15" x14ac:dyDescent="0.25">
      <c r="C13961" s="8" t="e">
        <f>VLOOKUP(A:A,'ITEM LIST'!A:C,3,0)</f>
        <v>#N/A</v>
      </c>
      <c r="D13961" s="6">
        <f t="shared" si="219"/>
        <v>0</v>
      </c>
    </row>
    <row r="13962" spans="3:4" ht="15" x14ac:dyDescent="0.25">
      <c r="C13962" s="8" t="e">
        <f>VLOOKUP(A:A,'ITEM LIST'!A:C,3,0)</f>
        <v>#N/A</v>
      </c>
      <c r="D13962" s="6">
        <f t="shared" si="219"/>
        <v>0</v>
      </c>
    </row>
    <row r="13963" spans="3:4" ht="15" x14ac:dyDescent="0.25">
      <c r="C13963" s="8" t="e">
        <f>VLOOKUP(A:A,'ITEM LIST'!A:C,3,0)</f>
        <v>#N/A</v>
      </c>
      <c r="D13963" s="6">
        <f t="shared" si="219"/>
        <v>0</v>
      </c>
    </row>
    <row r="13964" spans="3:4" ht="15" x14ac:dyDescent="0.25">
      <c r="C13964" s="8" t="e">
        <f>VLOOKUP(A:A,'ITEM LIST'!A:C,3,0)</f>
        <v>#N/A</v>
      </c>
      <c r="D13964" s="6">
        <f t="shared" si="219"/>
        <v>0</v>
      </c>
    </row>
    <row r="13965" spans="3:4" ht="15" x14ac:dyDescent="0.25">
      <c r="C13965" s="8" t="e">
        <f>VLOOKUP(A:A,'ITEM LIST'!A:C,3,0)</f>
        <v>#N/A</v>
      </c>
      <c r="D13965" s="6">
        <f t="shared" si="219"/>
        <v>0</v>
      </c>
    </row>
    <row r="13966" spans="3:4" ht="15" x14ac:dyDescent="0.25">
      <c r="C13966" s="8" t="e">
        <f>VLOOKUP(A:A,'ITEM LIST'!A:C,3,0)</f>
        <v>#N/A</v>
      </c>
      <c r="D13966" s="6">
        <f t="shared" si="219"/>
        <v>0</v>
      </c>
    </row>
    <row r="13967" spans="3:4" ht="15" x14ac:dyDescent="0.25">
      <c r="C13967" s="8" t="e">
        <f>VLOOKUP(A:A,'ITEM LIST'!A:C,3,0)</f>
        <v>#N/A</v>
      </c>
      <c r="D13967" s="6">
        <f t="shared" si="219"/>
        <v>0</v>
      </c>
    </row>
    <row r="13968" spans="3:4" ht="15" x14ac:dyDescent="0.25">
      <c r="C13968" s="8" t="e">
        <f>VLOOKUP(A:A,'ITEM LIST'!A:C,3,0)</f>
        <v>#N/A</v>
      </c>
      <c r="D13968" s="6">
        <f t="shared" si="219"/>
        <v>0</v>
      </c>
    </row>
    <row r="13969" spans="3:4" ht="15" x14ac:dyDescent="0.25">
      <c r="C13969" s="8" t="e">
        <f>VLOOKUP(A:A,'ITEM LIST'!A:C,3,0)</f>
        <v>#N/A</v>
      </c>
      <c r="D13969" s="6">
        <f t="shared" si="219"/>
        <v>0</v>
      </c>
    </row>
    <row r="13970" spans="3:4" ht="15" x14ac:dyDescent="0.25">
      <c r="C13970" s="8" t="e">
        <f>VLOOKUP(A:A,'ITEM LIST'!A:C,3,0)</f>
        <v>#N/A</v>
      </c>
      <c r="D13970" s="6">
        <f t="shared" si="219"/>
        <v>0</v>
      </c>
    </row>
    <row r="13971" spans="3:4" ht="15" x14ac:dyDescent="0.25">
      <c r="C13971" s="8" t="e">
        <f>VLOOKUP(A:A,'ITEM LIST'!A:C,3,0)</f>
        <v>#N/A</v>
      </c>
      <c r="D13971" s="6">
        <f t="shared" si="219"/>
        <v>0</v>
      </c>
    </row>
    <row r="13972" spans="3:4" ht="15" x14ac:dyDescent="0.25">
      <c r="C13972" s="8" t="e">
        <f>VLOOKUP(A:A,'ITEM LIST'!A:C,3,0)</f>
        <v>#N/A</v>
      </c>
      <c r="D13972" s="6">
        <f t="shared" si="219"/>
        <v>0</v>
      </c>
    </row>
    <row r="13973" spans="3:4" ht="15" x14ac:dyDescent="0.25">
      <c r="C13973" s="8" t="e">
        <f>VLOOKUP(A:A,'ITEM LIST'!A:C,3,0)</f>
        <v>#N/A</v>
      </c>
      <c r="D13973" s="6">
        <f t="shared" si="219"/>
        <v>0</v>
      </c>
    </row>
    <row r="13974" spans="3:4" ht="15" x14ac:dyDescent="0.25">
      <c r="C13974" s="8" t="e">
        <f>VLOOKUP(A:A,'ITEM LIST'!A:C,3,0)</f>
        <v>#N/A</v>
      </c>
      <c r="D13974" s="6">
        <f t="shared" si="219"/>
        <v>0</v>
      </c>
    </row>
    <row r="13975" spans="3:4" ht="15" x14ac:dyDescent="0.25">
      <c r="C13975" s="8" t="e">
        <f>VLOOKUP(A:A,'ITEM LIST'!A:C,3,0)</f>
        <v>#N/A</v>
      </c>
      <c r="D13975" s="6">
        <f t="shared" si="219"/>
        <v>0</v>
      </c>
    </row>
    <row r="13976" spans="3:4" ht="15" x14ac:dyDescent="0.25">
      <c r="C13976" s="8" t="e">
        <f>VLOOKUP(A:A,'ITEM LIST'!A:C,3,0)</f>
        <v>#N/A</v>
      </c>
      <c r="D13976" s="6">
        <f t="shared" si="219"/>
        <v>0</v>
      </c>
    </row>
    <row r="13977" spans="3:4" ht="15" x14ac:dyDescent="0.25">
      <c r="C13977" s="8" t="e">
        <f>VLOOKUP(A:A,'ITEM LIST'!A:C,3,0)</f>
        <v>#N/A</v>
      </c>
      <c r="D13977" s="6">
        <f t="shared" si="219"/>
        <v>0</v>
      </c>
    </row>
    <row r="13978" spans="3:4" ht="15" x14ac:dyDescent="0.25">
      <c r="C13978" s="8" t="e">
        <f>VLOOKUP(A:A,'ITEM LIST'!A:C,3,0)</f>
        <v>#N/A</v>
      </c>
      <c r="D13978" s="6">
        <f t="shared" si="219"/>
        <v>0</v>
      </c>
    </row>
    <row r="13979" spans="3:4" ht="15" x14ac:dyDescent="0.25">
      <c r="C13979" s="8" t="e">
        <f>VLOOKUP(A:A,'ITEM LIST'!A:C,3,0)</f>
        <v>#N/A</v>
      </c>
      <c r="D13979" s="6">
        <f t="shared" si="219"/>
        <v>0</v>
      </c>
    </row>
    <row r="13980" spans="3:4" ht="15" x14ac:dyDescent="0.25">
      <c r="C13980" s="8" t="e">
        <f>VLOOKUP(A:A,'ITEM LIST'!A:C,3,0)</f>
        <v>#N/A</v>
      </c>
      <c r="D13980" s="6">
        <f t="shared" si="219"/>
        <v>0</v>
      </c>
    </row>
    <row r="13981" spans="3:4" ht="15" x14ac:dyDescent="0.25">
      <c r="C13981" s="8" t="e">
        <f>VLOOKUP(A:A,'ITEM LIST'!A:C,3,0)</f>
        <v>#N/A</v>
      </c>
      <c r="D13981" s="6">
        <f t="shared" si="219"/>
        <v>0</v>
      </c>
    </row>
    <row r="13982" spans="3:4" ht="15" x14ac:dyDescent="0.25">
      <c r="C13982" s="8" t="e">
        <f>VLOOKUP(A:A,'ITEM LIST'!A:C,3,0)</f>
        <v>#N/A</v>
      </c>
      <c r="D13982" s="6">
        <f t="shared" si="219"/>
        <v>0</v>
      </c>
    </row>
    <row r="13983" spans="3:4" ht="15" x14ac:dyDescent="0.25">
      <c r="C13983" s="8" t="e">
        <f>VLOOKUP(A:A,'ITEM LIST'!A:C,3,0)</f>
        <v>#N/A</v>
      </c>
      <c r="D13983" s="6">
        <f t="shared" si="219"/>
        <v>0</v>
      </c>
    </row>
    <row r="13984" spans="3:4" ht="15" x14ac:dyDescent="0.25">
      <c r="C13984" s="8" t="e">
        <f>VLOOKUP(A:A,'ITEM LIST'!A:C,3,0)</f>
        <v>#N/A</v>
      </c>
      <c r="D13984" s="6">
        <f t="shared" si="219"/>
        <v>0</v>
      </c>
    </row>
    <row r="13985" spans="3:4" ht="15" x14ac:dyDescent="0.25">
      <c r="C13985" s="8" t="e">
        <f>VLOOKUP(A:A,'ITEM LIST'!A:C,3,0)</f>
        <v>#N/A</v>
      </c>
      <c r="D13985" s="6">
        <f t="shared" si="219"/>
        <v>0</v>
      </c>
    </row>
    <row r="13986" spans="3:4" ht="15" x14ac:dyDescent="0.25">
      <c r="C13986" s="8" t="e">
        <f>VLOOKUP(A:A,'ITEM LIST'!A:C,3,0)</f>
        <v>#N/A</v>
      </c>
      <c r="D13986" s="6">
        <f t="shared" si="219"/>
        <v>0</v>
      </c>
    </row>
    <row r="13987" spans="3:4" ht="15" x14ac:dyDescent="0.25">
      <c r="C13987" s="8" t="e">
        <f>VLOOKUP(A:A,'ITEM LIST'!A:C,3,0)</f>
        <v>#N/A</v>
      </c>
      <c r="D13987" s="6">
        <f t="shared" si="219"/>
        <v>0</v>
      </c>
    </row>
    <row r="13988" spans="3:4" ht="15" x14ac:dyDescent="0.25">
      <c r="C13988" s="8" t="e">
        <f>VLOOKUP(A:A,'ITEM LIST'!A:C,3,0)</f>
        <v>#N/A</v>
      </c>
      <c r="D13988" s="6">
        <f t="shared" si="219"/>
        <v>0</v>
      </c>
    </row>
    <row r="13989" spans="3:4" ht="15" x14ac:dyDescent="0.25">
      <c r="C13989" s="8" t="e">
        <f>VLOOKUP(A:A,'ITEM LIST'!A:C,3,0)</f>
        <v>#N/A</v>
      </c>
      <c r="D13989" s="6">
        <f t="shared" si="219"/>
        <v>0</v>
      </c>
    </row>
    <row r="13990" spans="3:4" ht="15" x14ac:dyDescent="0.25">
      <c r="C13990" s="8" t="e">
        <f>VLOOKUP(A:A,'ITEM LIST'!A:C,3,0)</f>
        <v>#N/A</v>
      </c>
      <c r="D13990" s="6">
        <f t="shared" si="219"/>
        <v>0</v>
      </c>
    </row>
    <row r="13991" spans="3:4" ht="15" x14ac:dyDescent="0.25">
      <c r="C13991" s="8" t="e">
        <f>VLOOKUP(A:A,'ITEM LIST'!A:C,3,0)</f>
        <v>#N/A</v>
      </c>
      <c r="D13991" s="6">
        <f t="shared" si="219"/>
        <v>0</v>
      </c>
    </row>
    <row r="13992" spans="3:4" ht="15" x14ac:dyDescent="0.25">
      <c r="C13992" s="8" t="e">
        <f>VLOOKUP(A:A,'ITEM LIST'!A:C,3,0)</f>
        <v>#N/A</v>
      </c>
      <c r="D13992" s="6">
        <f t="shared" si="219"/>
        <v>0</v>
      </c>
    </row>
    <row r="13993" spans="3:4" ht="15" x14ac:dyDescent="0.25">
      <c r="C13993" s="8" t="e">
        <f>VLOOKUP(A:A,'ITEM LIST'!A:C,3,0)</f>
        <v>#N/A</v>
      </c>
      <c r="D13993" s="6">
        <f t="shared" si="219"/>
        <v>0</v>
      </c>
    </row>
    <row r="13994" spans="3:4" ht="15" x14ac:dyDescent="0.25">
      <c r="C13994" s="8" t="e">
        <f>VLOOKUP(A:A,'ITEM LIST'!A:C,3,0)</f>
        <v>#N/A</v>
      </c>
      <c r="D13994" s="6">
        <f t="shared" si="219"/>
        <v>0</v>
      </c>
    </row>
    <row r="13995" spans="3:4" ht="15" x14ac:dyDescent="0.25">
      <c r="C13995" s="8" t="e">
        <f>VLOOKUP(A:A,'ITEM LIST'!A:C,3,0)</f>
        <v>#N/A</v>
      </c>
      <c r="D13995" s="6">
        <f t="shared" si="219"/>
        <v>0</v>
      </c>
    </row>
    <row r="13996" spans="3:4" ht="15" x14ac:dyDescent="0.25">
      <c r="C13996" s="8" t="e">
        <f>VLOOKUP(A:A,'ITEM LIST'!A:C,3,0)</f>
        <v>#N/A</v>
      </c>
      <c r="D13996" s="6">
        <f t="shared" si="219"/>
        <v>0</v>
      </c>
    </row>
    <row r="13997" spans="3:4" ht="15" x14ac:dyDescent="0.25">
      <c r="C13997" s="8" t="e">
        <f>VLOOKUP(A:A,'ITEM LIST'!A:C,3,0)</f>
        <v>#N/A</v>
      </c>
      <c r="D13997" s="6">
        <f t="shared" si="219"/>
        <v>0</v>
      </c>
    </row>
    <row r="13998" spans="3:4" ht="15" x14ac:dyDescent="0.25">
      <c r="C13998" s="8" t="e">
        <f>VLOOKUP(A:A,'ITEM LIST'!A:C,3,0)</f>
        <v>#N/A</v>
      </c>
      <c r="D13998" s="6">
        <f t="shared" si="219"/>
        <v>0</v>
      </c>
    </row>
    <row r="13999" spans="3:4" ht="15" x14ac:dyDescent="0.25">
      <c r="C13999" s="8" t="e">
        <f>VLOOKUP(A:A,'ITEM LIST'!A:C,3,0)</f>
        <v>#N/A</v>
      </c>
      <c r="D13999" s="6">
        <f t="shared" si="219"/>
        <v>0</v>
      </c>
    </row>
    <row r="14000" spans="3:4" ht="15" x14ac:dyDescent="0.25">
      <c r="C14000" s="8" t="e">
        <f>VLOOKUP(A:A,'ITEM LIST'!A:C,3,0)</f>
        <v>#N/A</v>
      </c>
      <c r="D14000" s="6">
        <f t="shared" si="219"/>
        <v>0</v>
      </c>
    </row>
    <row r="14001" spans="3:4" ht="15" x14ac:dyDescent="0.25">
      <c r="C14001" s="8" t="e">
        <f>VLOOKUP(A:A,'ITEM LIST'!A:C,3,0)</f>
        <v>#N/A</v>
      </c>
      <c r="D14001" s="6">
        <f t="shared" si="219"/>
        <v>0</v>
      </c>
    </row>
    <row r="14002" spans="3:4" ht="15" x14ac:dyDescent="0.25">
      <c r="C14002" s="8" t="e">
        <f>VLOOKUP(A:A,'ITEM LIST'!A:C,3,0)</f>
        <v>#N/A</v>
      </c>
      <c r="D14002" s="6">
        <f t="shared" si="219"/>
        <v>0</v>
      </c>
    </row>
    <row r="14003" spans="3:4" ht="15" x14ac:dyDescent="0.25">
      <c r="C14003" s="8" t="e">
        <f>VLOOKUP(A:A,'ITEM LIST'!A:C,3,0)</f>
        <v>#N/A</v>
      </c>
      <c r="D14003" s="6">
        <f t="shared" si="219"/>
        <v>0</v>
      </c>
    </row>
    <row r="14004" spans="3:4" ht="15" x14ac:dyDescent="0.25">
      <c r="C14004" s="8" t="e">
        <f>VLOOKUP(A:A,'ITEM LIST'!A:C,3,0)</f>
        <v>#N/A</v>
      </c>
      <c r="D14004" s="6">
        <f t="shared" si="219"/>
        <v>0</v>
      </c>
    </row>
    <row r="14005" spans="3:4" ht="15" x14ac:dyDescent="0.25">
      <c r="C14005" s="8" t="e">
        <f>VLOOKUP(A:A,'ITEM LIST'!A:C,3,0)</f>
        <v>#N/A</v>
      </c>
      <c r="D14005" s="6">
        <f t="shared" si="219"/>
        <v>0</v>
      </c>
    </row>
    <row r="14006" spans="3:4" ht="15" x14ac:dyDescent="0.25">
      <c r="C14006" s="8" t="e">
        <f>VLOOKUP(A:A,'ITEM LIST'!A:C,3,0)</f>
        <v>#N/A</v>
      </c>
      <c r="D14006" s="6">
        <f t="shared" si="219"/>
        <v>0</v>
      </c>
    </row>
    <row r="14007" spans="3:4" ht="15" x14ac:dyDescent="0.25">
      <c r="C14007" s="8" t="e">
        <f>VLOOKUP(A:A,'ITEM LIST'!A:C,3,0)</f>
        <v>#N/A</v>
      </c>
      <c r="D14007" s="6">
        <f t="shared" si="219"/>
        <v>0</v>
      </c>
    </row>
    <row r="14008" spans="3:4" ht="15" x14ac:dyDescent="0.25">
      <c r="C14008" s="8" t="e">
        <f>VLOOKUP(A:A,'ITEM LIST'!A:C,3,0)</f>
        <v>#N/A</v>
      </c>
      <c r="D14008" s="6">
        <f t="shared" si="219"/>
        <v>0</v>
      </c>
    </row>
    <row r="14009" spans="3:4" ht="15" x14ac:dyDescent="0.25">
      <c r="C14009" s="8" t="e">
        <f>VLOOKUP(A:A,'ITEM LIST'!A:C,3,0)</f>
        <v>#N/A</v>
      </c>
      <c r="D14009" s="6">
        <f t="shared" si="219"/>
        <v>0</v>
      </c>
    </row>
    <row r="14010" spans="3:4" ht="15" x14ac:dyDescent="0.25">
      <c r="C14010" s="8" t="e">
        <f>VLOOKUP(A:A,'ITEM LIST'!A:C,3,0)</f>
        <v>#N/A</v>
      </c>
      <c r="D14010" s="6">
        <f t="shared" si="219"/>
        <v>0</v>
      </c>
    </row>
    <row r="14011" spans="3:4" ht="15" x14ac:dyDescent="0.25">
      <c r="C14011" s="8" t="e">
        <f>VLOOKUP(A:A,'ITEM LIST'!A:C,3,0)</f>
        <v>#N/A</v>
      </c>
      <c r="D14011" s="6">
        <f t="shared" si="219"/>
        <v>0</v>
      </c>
    </row>
    <row r="14012" spans="3:4" ht="15" x14ac:dyDescent="0.25">
      <c r="C14012" s="8" t="e">
        <f>VLOOKUP(A:A,'ITEM LIST'!A:C,3,0)</f>
        <v>#N/A</v>
      </c>
      <c r="D14012" s="6">
        <f t="shared" si="219"/>
        <v>0</v>
      </c>
    </row>
    <row r="14013" spans="3:4" ht="15" x14ac:dyDescent="0.25">
      <c r="C14013" s="8" t="e">
        <f>VLOOKUP(A:A,'ITEM LIST'!A:C,3,0)</f>
        <v>#N/A</v>
      </c>
      <c r="D14013" s="6">
        <f t="shared" si="219"/>
        <v>0</v>
      </c>
    </row>
    <row r="14014" spans="3:4" ht="15" x14ac:dyDescent="0.25">
      <c r="C14014" s="8" t="e">
        <f>VLOOKUP(A:A,'ITEM LIST'!A:C,3,0)</f>
        <v>#N/A</v>
      </c>
      <c r="D14014" s="6">
        <f t="shared" si="219"/>
        <v>0</v>
      </c>
    </row>
    <row r="14015" spans="3:4" ht="15" x14ac:dyDescent="0.25">
      <c r="C14015" s="8" t="e">
        <f>VLOOKUP(A:A,'ITEM LIST'!A:C,3,0)</f>
        <v>#N/A</v>
      </c>
      <c r="D14015" s="6">
        <f t="shared" si="219"/>
        <v>0</v>
      </c>
    </row>
    <row r="14016" spans="3:4" ht="15" x14ac:dyDescent="0.25">
      <c r="C14016" s="8" t="e">
        <f>VLOOKUP(A:A,'ITEM LIST'!A:C,3,0)</f>
        <v>#N/A</v>
      </c>
      <c r="D14016" s="6">
        <f t="shared" si="219"/>
        <v>0</v>
      </c>
    </row>
    <row r="14017" spans="3:4" ht="15" x14ac:dyDescent="0.25">
      <c r="C14017" s="8" t="e">
        <f>VLOOKUP(A:A,'ITEM LIST'!A:C,3,0)</f>
        <v>#N/A</v>
      </c>
      <c r="D14017" s="6">
        <f t="shared" si="219"/>
        <v>0</v>
      </c>
    </row>
    <row r="14018" spans="3:4" ht="15" x14ac:dyDescent="0.25">
      <c r="C14018" s="8" t="e">
        <f>VLOOKUP(A:A,'ITEM LIST'!A:C,3,0)</f>
        <v>#N/A</v>
      </c>
      <c r="D14018" s="6">
        <f t="shared" si="219"/>
        <v>0</v>
      </c>
    </row>
    <row r="14019" spans="3:4" ht="15" x14ac:dyDescent="0.25">
      <c r="C14019" s="8" t="e">
        <f>VLOOKUP(A:A,'ITEM LIST'!A:C,3,0)</f>
        <v>#N/A</v>
      </c>
      <c r="D14019" s="6">
        <f t="shared" si="219"/>
        <v>0</v>
      </c>
    </row>
    <row r="14020" spans="3:4" ht="15" x14ac:dyDescent="0.25">
      <c r="C14020" s="8" t="e">
        <f>VLOOKUP(A:A,'ITEM LIST'!A:C,3,0)</f>
        <v>#N/A</v>
      </c>
      <c r="D14020" s="6">
        <f t="shared" si="219"/>
        <v>0</v>
      </c>
    </row>
    <row r="14021" spans="3:4" ht="15" x14ac:dyDescent="0.25">
      <c r="C14021" s="8" t="e">
        <f>VLOOKUP(A:A,'ITEM LIST'!A:C,3,0)</f>
        <v>#N/A</v>
      </c>
      <c r="D14021" s="6">
        <f t="shared" si="219"/>
        <v>0</v>
      </c>
    </row>
    <row r="14022" spans="3:4" ht="15" x14ac:dyDescent="0.25">
      <c r="C14022" s="8" t="e">
        <f>VLOOKUP(A:A,'ITEM LIST'!A:C,3,0)</f>
        <v>#N/A</v>
      </c>
      <c r="D14022" s="6">
        <f t="shared" ref="D14022:D14085" si="220">B14022</f>
        <v>0</v>
      </c>
    </row>
    <row r="14023" spans="3:4" ht="15" x14ac:dyDescent="0.25">
      <c r="C14023" s="8" t="e">
        <f>VLOOKUP(A:A,'ITEM LIST'!A:C,3,0)</f>
        <v>#N/A</v>
      </c>
      <c r="D14023" s="6">
        <f t="shared" si="220"/>
        <v>0</v>
      </c>
    </row>
    <row r="14024" spans="3:4" ht="15" x14ac:dyDescent="0.25">
      <c r="C14024" s="8" t="e">
        <f>VLOOKUP(A:A,'ITEM LIST'!A:C,3,0)</f>
        <v>#N/A</v>
      </c>
      <c r="D14024" s="6">
        <f t="shared" si="220"/>
        <v>0</v>
      </c>
    </row>
    <row r="14025" spans="3:4" ht="15" x14ac:dyDescent="0.25">
      <c r="C14025" s="8" t="e">
        <f>VLOOKUP(A:A,'ITEM LIST'!A:C,3,0)</f>
        <v>#N/A</v>
      </c>
      <c r="D14025" s="6">
        <f t="shared" si="220"/>
        <v>0</v>
      </c>
    </row>
    <row r="14026" spans="3:4" ht="15" x14ac:dyDescent="0.25">
      <c r="C14026" s="8" t="e">
        <f>VLOOKUP(A:A,'ITEM LIST'!A:C,3,0)</f>
        <v>#N/A</v>
      </c>
      <c r="D14026" s="6">
        <f t="shared" si="220"/>
        <v>0</v>
      </c>
    </row>
    <row r="14027" spans="3:4" ht="15" x14ac:dyDescent="0.25">
      <c r="C14027" s="8" t="e">
        <f>VLOOKUP(A:A,'ITEM LIST'!A:C,3,0)</f>
        <v>#N/A</v>
      </c>
      <c r="D14027" s="6">
        <f t="shared" si="220"/>
        <v>0</v>
      </c>
    </row>
    <row r="14028" spans="3:4" ht="15" x14ac:dyDescent="0.25">
      <c r="C14028" s="8" t="e">
        <f>VLOOKUP(A:A,'ITEM LIST'!A:C,3,0)</f>
        <v>#N/A</v>
      </c>
      <c r="D14028" s="6">
        <f t="shared" si="220"/>
        <v>0</v>
      </c>
    </row>
    <row r="14029" spans="3:4" ht="15" x14ac:dyDescent="0.25">
      <c r="C14029" s="8" t="e">
        <f>VLOOKUP(A:A,'ITEM LIST'!A:C,3,0)</f>
        <v>#N/A</v>
      </c>
      <c r="D14029" s="6">
        <f t="shared" si="220"/>
        <v>0</v>
      </c>
    </row>
    <row r="14030" spans="3:4" ht="15" x14ac:dyDescent="0.25">
      <c r="C14030" s="8" t="e">
        <f>VLOOKUP(A:A,'ITEM LIST'!A:C,3,0)</f>
        <v>#N/A</v>
      </c>
      <c r="D14030" s="6">
        <f t="shared" si="220"/>
        <v>0</v>
      </c>
    </row>
    <row r="14031" spans="3:4" ht="15" x14ac:dyDescent="0.25">
      <c r="C14031" s="8" t="e">
        <f>VLOOKUP(A:A,'ITEM LIST'!A:C,3,0)</f>
        <v>#N/A</v>
      </c>
      <c r="D14031" s="6">
        <f t="shared" si="220"/>
        <v>0</v>
      </c>
    </row>
    <row r="14032" spans="3:4" ht="15" x14ac:dyDescent="0.25">
      <c r="C14032" s="8" t="e">
        <f>VLOOKUP(A:A,'ITEM LIST'!A:C,3,0)</f>
        <v>#N/A</v>
      </c>
      <c r="D14032" s="6">
        <f t="shared" si="220"/>
        <v>0</v>
      </c>
    </row>
    <row r="14033" spans="3:4" ht="15" x14ac:dyDescent="0.25">
      <c r="C14033" s="8" t="e">
        <f>VLOOKUP(A:A,'ITEM LIST'!A:C,3,0)</f>
        <v>#N/A</v>
      </c>
      <c r="D14033" s="6">
        <f t="shared" si="220"/>
        <v>0</v>
      </c>
    </row>
    <row r="14034" spans="3:4" ht="15" x14ac:dyDescent="0.25">
      <c r="C14034" s="8" t="e">
        <f>VLOOKUP(A:A,'ITEM LIST'!A:C,3,0)</f>
        <v>#N/A</v>
      </c>
      <c r="D14034" s="6">
        <f t="shared" si="220"/>
        <v>0</v>
      </c>
    </row>
    <row r="14035" spans="3:4" ht="15" x14ac:dyDescent="0.25">
      <c r="C14035" s="8" t="e">
        <f>VLOOKUP(A:A,'ITEM LIST'!A:C,3,0)</f>
        <v>#N/A</v>
      </c>
      <c r="D14035" s="6">
        <f t="shared" si="220"/>
        <v>0</v>
      </c>
    </row>
    <row r="14036" spans="3:4" ht="15" x14ac:dyDescent="0.25">
      <c r="C14036" s="8" t="e">
        <f>VLOOKUP(A:A,'ITEM LIST'!A:C,3,0)</f>
        <v>#N/A</v>
      </c>
      <c r="D14036" s="6">
        <f t="shared" si="220"/>
        <v>0</v>
      </c>
    </row>
    <row r="14037" spans="3:4" ht="15" x14ac:dyDescent="0.25">
      <c r="C14037" s="8" t="e">
        <f>VLOOKUP(A:A,'ITEM LIST'!A:C,3,0)</f>
        <v>#N/A</v>
      </c>
      <c r="D14037" s="6">
        <f t="shared" si="220"/>
        <v>0</v>
      </c>
    </row>
    <row r="14038" spans="3:4" ht="15" x14ac:dyDescent="0.25">
      <c r="C14038" s="8" t="e">
        <f>VLOOKUP(A:A,'ITEM LIST'!A:C,3,0)</f>
        <v>#N/A</v>
      </c>
      <c r="D14038" s="6">
        <f t="shared" si="220"/>
        <v>0</v>
      </c>
    </row>
    <row r="14039" spans="3:4" ht="15" x14ac:dyDescent="0.25">
      <c r="C14039" s="8" t="e">
        <f>VLOOKUP(A:A,'ITEM LIST'!A:C,3,0)</f>
        <v>#N/A</v>
      </c>
      <c r="D14039" s="6">
        <f t="shared" si="220"/>
        <v>0</v>
      </c>
    </row>
    <row r="14040" spans="3:4" ht="15" x14ac:dyDescent="0.25">
      <c r="C14040" s="8" t="e">
        <f>VLOOKUP(A:A,'ITEM LIST'!A:C,3,0)</f>
        <v>#N/A</v>
      </c>
      <c r="D14040" s="6">
        <f t="shared" si="220"/>
        <v>0</v>
      </c>
    </row>
    <row r="14041" spans="3:4" ht="15" x14ac:dyDescent="0.25">
      <c r="C14041" s="8" t="e">
        <f>VLOOKUP(A:A,'ITEM LIST'!A:C,3,0)</f>
        <v>#N/A</v>
      </c>
      <c r="D14041" s="6">
        <f t="shared" si="220"/>
        <v>0</v>
      </c>
    </row>
    <row r="14042" spans="3:4" ht="15" x14ac:dyDescent="0.25">
      <c r="C14042" s="8" t="e">
        <f>VLOOKUP(A:A,'ITEM LIST'!A:C,3,0)</f>
        <v>#N/A</v>
      </c>
      <c r="D14042" s="6">
        <f t="shared" si="220"/>
        <v>0</v>
      </c>
    </row>
    <row r="14043" spans="3:4" ht="15" x14ac:dyDescent="0.25">
      <c r="C14043" s="8" t="e">
        <f>VLOOKUP(A:A,'ITEM LIST'!A:C,3,0)</f>
        <v>#N/A</v>
      </c>
      <c r="D14043" s="6">
        <f t="shared" si="220"/>
        <v>0</v>
      </c>
    </row>
    <row r="14044" spans="3:4" ht="15" x14ac:dyDescent="0.25">
      <c r="C14044" s="8" t="e">
        <f>VLOOKUP(A:A,'ITEM LIST'!A:C,3,0)</f>
        <v>#N/A</v>
      </c>
      <c r="D14044" s="6">
        <f t="shared" si="220"/>
        <v>0</v>
      </c>
    </row>
    <row r="14045" spans="3:4" ht="15" x14ac:dyDescent="0.25">
      <c r="C14045" s="8" t="e">
        <f>VLOOKUP(A:A,'ITEM LIST'!A:C,3,0)</f>
        <v>#N/A</v>
      </c>
      <c r="D14045" s="6">
        <f t="shared" si="220"/>
        <v>0</v>
      </c>
    </row>
    <row r="14046" spans="3:4" ht="15" x14ac:dyDescent="0.25">
      <c r="C14046" s="8" t="e">
        <f>VLOOKUP(A:A,'ITEM LIST'!A:C,3,0)</f>
        <v>#N/A</v>
      </c>
      <c r="D14046" s="6">
        <f t="shared" si="220"/>
        <v>0</v>
      </c>
    </row>
    <row r="14047" spans="3:4" ht="15" x14ac:dyDescent="0.25">
      <c r="C14047" s="8" t="e">
        <f>VLOOKUP(A:A,'ITEM LIST'!A:C,3,0)</f>
        <v>#N/A</v>
      </c>
      <c r="D14047" s="6">
        <f t="shared" si="220"/>
        <v>0</v>
      </c>
    </row>
    <row r="14048" spans="3:4" ht="15" x14ac:dyDescent="0.25">
      <c r="C14048" s="8" t="e">
        <f>VLOOKUP(A:A,'ITEM LIST'!A:C,3,0)</f>
        <v>#N/A</v>
      </c>
      <c r="D14048" s="6">
        <f t="shared" si="220"/>
        <v>0</v>
      </c>
    </row>
    <row r="14049" spans="3:4" ht="15" x14ac:dyDescent="0.25">
      <c r="C14049" s="8" t="e">
        <f>VLOOKUP(A:A,'ITEM LIST'!A:C,3,0)</f>
        <v>#N/A</v>
      </c>
      <c r="D14049" s="6">
        <f t="shared" si="220"/>
        <v>0</v>
      </c>
    </row>
    <row r="14050" spans="3:4" ht="15" x14ac:dyDescent="0.25">
      <c r="C14050" s="8" t="e">
        <f>VLOOKUP(A:A,'ITEM LIST'!A:C,3,0)</f>
        <v>#N/A</v>
      </c>
      <c r="D14050" s="6">
        <f t="shared" si="220"/>
        <v>0</v>
      </c>
    </row>
    <row r="14051" spans="3:4" ht="15" x14ac:dyDescent="0.25">
      <c r="C14051" s="8" t="e">
        <f>VLOOKUP(A:A,'ITEM LIST'!A:C,3,0)</f>
        <v>#N/A</v>
      </c>
      <c r="D14051" s="6">
        <f t="shared" si="220"/>
        <v>0</v>
      </c>
    </row>
    <row r="14052" spans="3:4" ht="15" x14ac:dyDescent="0.25">
      <c r="C14052" s="8" t="e">
        <f>VLOOKUP(A:A,'ITEM LIST'!A:C,3,0)</f>
        <v>#N/A</v>
      </c>
      <c r="D14052" s="6">
        <f t="shared" si="220"/>
        <v>0</v>
      </c>
    </row>
    <row r="14053" spans="3:4" ht="15" x14ac:dyDescent="0.25">
      <c r="C14053" s="8" t="e">
        <f>VLOOKUP(A:A,'ITEM LIST'!A:C,3,0)</f>
        <v>#N/A</v>
      </c>
      <c r="D14053" s="6">
        <f t="shared" si="220"/>
        <v>0</v>
      </c>
    </row>
    <row r="14054" spans="3:4" ht="15" x14ac:dyDescent="0.25">
      <c r="C14054" s="8" t="e">
        <f>VLOOKUP(A:A,'ITEM LIST'!A:C,3,0)</f>
        <v>#N/A</v>
      </c>
      <c r="D14054" s="6">
        <f t="shared" si="220"/>
        <v>0</v>
      </c>
    </row>
    <row r="14055" spans="3:4" ht="15" x14ac:dyDescent="0.25">
      <c r="C14055" s="8" t="e">
        <f>VLOOKUP(A:A,'ITEM LIST'!A:C,3,0)</f>
        <v>#N/A</v>
      </c>
      <c r="D14055" s="6">
        <f t="shared" si="220"/>
        <v>0</v>
      </c>
    </row>
    <row r="14056" spans="3:4" ht="15" x14ac:dyDescent="0.25">
      <c r="C14056" s="8" t="e">
        <f>VLOOKUP(A:A,'ITEM LIST'!A:C,3,0)</f>
        <v>#N/A</v>
      </c>
      <c r="D14056" s="6">
        <f t="shared" si="220"/>
        <v>0</v>
      </c>
    </row>
    <row r="14057" spans="3:4" ht="15" x14ac:dyDescent="0.25">
      <c r="C14057" s="8" t="e">
        <f>VLOOKUP(A:A,'ITEM LIST'!A:C,3,0)</f>
        <v>#N/A</v>
      </c>
      <c r="D14057" s="6">
        <f t="shared" si="220"/>
        <v>0</v>
      </c>
    </row>
    <row r="14058" spans="3:4" ht="15" x14ac:dyDescent="0.25">
      <c r="C14058" s="8" t="e">
        <f>VLOOKUP(A:A,'ITEM LIST'!A:C,3,0)</f>
        <v>#N/A</v>
      </c>
      <c r="D14058" s="6">
        <f t="shared" si="220"/>
        <v>0</v>
      </c>
    </row>
    <row r="14059" spans="3:4" ht="15" x14ac:dyDescent="0.25">
      <c r="C14059" s="8" t="e">
        <f>VLOOKUP(A:A,'ITEM LIST'!A:C,3,0)</f>
        <v>#N/A</v>
      </c>
      <c r="D14059" s="6">
        <f t="shared" si="220"/>
        <v>0</v>
      </c>
    </row>
    <row r="14060" spans="3:4" ht="15" x14ac:dyDescent="0.25">
      <c r="C14060" s="8" t="e">
        <f>VLOOKUP(A:A,'ITEM LIST'!A:C,3,0)</f>
        <v>#N/A</v>
      </c>
      <c r="D14060" s="6">
        <f t="shared" si="220"/>
        <v>0</v>
      </c>
    </row>
    <row r="14061" spans="3:4" ht="15" x14ac:dyDescent="0.25">
      <c r="C14061" s="8" t="e">
        <f>VLOOKUP(A:A,'ITEM LIST'!A:C,3,0)</f>
        <v>#N/A</v>
      </c>
      <c r="D14061" s="6">
        <f t="shared" si="220"/>
        <v>0</v>
      </c>
    </row>
    <row r="14062" spans="3:4" ht="15" x14ac:dyDescent="0.25">
      <c r="C14062" s="8" t="e">
        <f>VLOOKUP(A:A,'ITEM LIST'!A:C,3,0)</f>
        <v>#N/A</v>
      </c>
      <c r="D14062" s="6">
        <f t="shared" si="220"/>
        <v>0</v>
      </c>
    </row>
    <row r="14063" spans="3:4" ht="15" x14ac:dyDescent="0.25">
      <c r="C14063" s="8" t="e">
        <f>VLOOKUP(A:A,'ITEM LIST'!A:C,3,0)</f>
        <v>#N/A</v>
      </c>
      <c r="D14063" s="6">
        <f t="shared" si="220"/>
        <v>0</v>
      </c>
    </row>
    <row r="14064" spans="3:4" ht="15" x14ac:dyDescent="0.25">
      <c r="C14064" s="8" t="e">
        <f>VLOOKUP(A:A,'ITEM LIST'!A:C,3,0)</f>
        <v>#N/A</v>
      </c>
      <c r="D14064" s="6">
        <f t="shared" si="220"/>
        <v>0</v>
      </c>
    </row>
    <row r="14065" spans="3:4" ht="15" x14ac:dyDescent="0.25">
      <c r="C14065" s="8" t="e">
        <f>VLOOKUP(A:A,'ITEM LIST'!A:C,3,0)</f>
        <v>#N/A</v>
      </c>
      <c r="D14065" s="6">
        <f t="shared" si="220"/>
        <v>0</v>
      </c>
    </row>
    <row r="14066" spans="3:4" ht="15" x14ac:dyDescent="0.25">
      <c r="C14066" s="8" t="e">
        <f>VLOOKUP(A:A,'ITEM LIST'!A:C,3,0)</f>
        <v>#N/A</v>
      </c>
      <c r="D14066" s="6">
        <f t="shared" si="220"/>
        <v>0</v>
      </c>
    </row>
    <row r="14067" spans="3:4" ht="15" x14ac:dyDescent="0.25">
      <c r="C14067" s="8" t="e">
        <f>VLOOKUP(A:A,'ITEM LIST'!A:C,3,0)</f>
        <v>#N/A</v>
      </c>
      <c r="D14067" s="6">
        <f t="shared" si="220"/>
        <v>0</v>
      </c>
    </row>
    <row r="14068" spans="3:4" ht="15" x14ac:dyDescent="0.25">
      <c r="C14068" s="8" t="e">
        <f>VLOOKUP(A:A,'ITEM LIST'!A:C,3,0)</f>
        <v>#N/A</v>
      </c>
      <c r="D14068" s="6">
        <f t="shared" si="220"/>
        <v>0</v>
      </c>
    </row>
    <row r="14069" spans="3:4" ht="15" x14ac:dyDescent="0.25">
      <c r="C14069" s="8" t="e">
        <f>VLOOKUP(A:A,'ITEM LIST'!A:C,3,0)</f>
        <v>#N/A</v>
      </c>
      <c r="D14069" s="6">
        <f t="shared" si="220"/>
        <v>0</v>
      </c>
    </row>
    <row r="14070" spans="3:4" ht="15" x14ac:dyDescent="0.25">
      <c r="C14070" s="8" t="e">
        <f>VLOOKUP(A:A,'ITEM LIST'!A:C,3,0)</f>
        <v>#N/A</v>
      </c>
      <c r="D14070" s="6">
        <f t="shared" si="220"/>
        <v>0</v>
      </c>
    </row>
    <row r="14071" spans="3:4" ht="15" x14ac:dyDescent="0.25">
      <c r="C14071" s="8" t="e">
        <f>VLOOKUP(A:A,'ITEM LIST'!A:C,3,0)</f>
        <v>#N/A</v>
      </c>
      <c r="D14071" s="6">
        <f t="shared" si="220"/>
        <v>0</v>
      </c>
    </row>
    <row r="14072" spans="3:4" ht="15" x14ac:dyDescent="0.25">
      <c r="C14072" s="8" t="e">
        <f>VLOOKUP(A:A,'ITEM LIST'!A:C,3,0)</f>
        <v>#N/A</v>
      </c>
      <c r="D14072" s="6">
        <f t="shared" si="220"/>
        <v>0</v>
      </c>
    </row>
    <row r="14073" spans="3:4" ht="15" x14ac:dyDescent="0.25">
      <c r="C14073" s="8" t="e">
        <f>VLOOKUP(A:A,'ITEM LIST'!A:C,3,0)</f>
        <v>#N/A</v>
      </c>
      <c r="D14073" s="6">
        <f t="shared" si="220"/>
        <v>0</v>
      </c>
    </row>
    <row r="14074" spans="3:4" ht="15" x14ac:dyDescent="0.25">
      <c r="C14074" s="8" t="e">
        <f>VLOOKUP(A:A,'ITEM LIST'!A:C,3,0)</f>
        <v>#N/A</v>
      </c>
      <c r="D14074" s="6">
        <f t="shared" si="220"/>
        <v>0</v>
      </c>
    </row>
    <row r="14075" spans="3:4" ht="15" x14ac:dyDescent="0.25">
      <c r="C14075" s="8" t="e">
        <f>VLOOKUP(A:A,'ITEM LIST'!A:C,3,0)</f>
        <v>#N/A</v>
      </c>
      <c r="D14075" s="6">
        <f t="shared" si="220"/>
        <v>0</v>
      </c>
    </row>
    <row r="14076" spans="3:4" ht="15" x14ac:dyDescent="0.25">
      <c r="C14076" s="8" t="e">
        <f>VLOOKUP(A:A,'ITEM LIST'!A:C,3,0)</f>
        <v>#N/A</v>
      </c>
      <c r="D14076" s="6">
        <f t="shared" si="220"/>
        <v>0</v>
      </c>
    </row>
    <row r="14077" spans="3:4" ht="15" x14ac:dyDescent="0.25">
      <c r="C14077" s="8" t="e">
        <f>VLOOKUP(A:A,'ITEM LIST'!A:C,3,0)</f>
        <v>#N/A</v>
      </c>
      <c r="D14077" s="6">
        <f t="shared" si="220"/>
        <v>0</v>
      </c>
    </row>
    <row r="14078" spans="3:4" ht="15" x14ac:dyDescent="0.25">
      <c r="C14078" s="8" t="e">
        <f>VLOOKUP(A:A,'ITEM LIST'!A:C,3,0)</f>
        <v>#N/A</v>
      </c>
      <c r="D14078" s="6">
        <f t="shared" si="220"/>
        <v>0</v>
      </c>
    </row>
    <row r="14079" spans="3:4" ht="15" x14ac:dyDescent="0.25">
      <c r="C14079" s="8" t="e">
        <f>VLOOKUP(A:A,'ITEM LIST'!A:C,3,0)</f>
        <v>#N/A</v>
      </c>
      <c r="D14079" s="6">
        <f t="shared" si="220"/>
        <v>0</v>
      </c>
    </row>
    <row r="14080" spans="3:4" ht="15" x14ac:dyDescent="0.25">
      <c r="C14080" s="8" t="e">
        <f>VLOOKUP(A:A,'ITEM LIST'!A:C,3,0)</f>
        <v>#N/A</v>
      </c>
      <c r="D14080" s="6">
        <f t="shared" si="220"/>
        <v>0</v>
      </c>
    </row>
    <row r="14081" spans="3:4" ht="15" x14ac:dyDescent="0.25">
      <c r="C14081" s="8" t="e">
        <f>VLOOKUP(A:A,'ITEM LIST'!A:C,3,0)</f>
        <v>#N/A</v>
      </c>
      <c r="D14081" s="6">
        <f t="shared" si="220"/>
        <v>0</v>
      </c>
    </row>
    <row r="14082" spans="3:4" ht="15" x14ac:dyDescent="0.25">
      <c r="C14082" s="8" t="e">
        <f>VLOOKUP(A:A,'ITEM LIST'!A:C,3,0)</f>
        <v>#N/A</v>
      </c>
      <c r="D14082" s="6">
        <f t="shared" si="220"/>
        <v>0</v>
      </c>
    </row>
    <row r="14083" spans="3:4" ht="15" x14ac:dyDescent="0.25">
      <c r="C14083" s="8" t="e">
        <f>VLOOKUP(A:A,'ITEM LIST'!A:C,3,0)</f>
        <v>#N/A</v>
      </c>
      <c r="D14083" s="6">
        <f t="shared" si="220"/>
        <v>0</v>
      </c>
    </row>
    <row r="14084" spans="3:4" ht="15" x14ac:dyDescent="0.25">
      <c r="C14084" s="8" t="e">
        <f>VLOOKUP(A:A,'ITEM LIST'!A:C,3,0)</f>
        <v>#N/A</v>
      </c>
      <c r="D14084" s="6">
        <f t="shared" si="220"/>
        <v>0</v>
      </c>
    </row>
    <row r="14085" spans="3:4" ht="15" x14ac:dyDescent="0.25">
      <c r="C14085" s="8" t="e">
        <f>VLOOKUP(A:A,'ITEM LIST'!A:C,3,0)</f>
        <v>#N/A</v>
      </c>
      <c r="D14085" s="6">
        <f t="shared" si="220"/>
        <v>0</v>
      </c>
    </row>
    <row r="14086" spans="3:4" ht="15" x14ac:dyDescent="0.25">
      <c r="C14086" s="8" t="e">
        <f>VLOOKUP(A:A,'ITEM LIST'!A:C,3,0)</f>
        <v>#N/A</v>
      </c>
      <c r="D14086" s="6">
        <f t="shared" ref="D14086:D14149" si="221">B14086</f>
        <v>0</v>
      </c>
    </row>
    <row r="14087" spans="3:4" ht="15" x14ac:dyDescent="0.25">
      <c r="C14087" s="8" t="e">
        <f>VLOOKUP(A:A,'ITEM LIST'!A:C,3,0)</f>
        <v>#N/A</v>
      </c>
      <c r="D14087" s="6">
        <f t="shared" si="221"/>
        <v>0</v>
      </c>
    </row>
    <row r="14088" spans="3:4" ht="15" x14ac:dyDescent="0.25">
      <c r="C14088" s="8" t="e">
        <f>VLOOKUP(A:A,'ITEM LIST'!A:C,3,0)</f>
        <v>#N/A</v>
      </c>
      <c r="D14088" s="6">
        <f t="shared" si="221"/>
        <v>0</v>
      </c>
    </row>
    <row r="14089" spans="3:4" ht="15" x14ac:dyDescent="0.25">
      <c r="C14089" s="8" t="e">
        <f>VLOOKUP(A:A,'ITEM LIST'!A:C,3,0)</f>
        <v>#N/A</v>
      </c>
      <c r="D14089" s="6">
        <f t="shared" si="221"/>
        <v>0</v>
      </c>
    </row>
    <row r="14090" spans="3:4" ht="15" x14ac:dyDescent="0.25">
      <c r="C14090" s="8" t="e">
        <f>VLOOKUP(A:A,'ITEM LIST'!A:C,3,0)</f>
        <v>#N/A</v>
      </c>
      <c r="D14090" s="6">
        <f t="shared" si="221"/>
        <v>0</v>
      </c>
    </row>
    <row r="14091" spans="3:4" ht="15" x14ac:dyDescent="0.25">
      <c r="C14091" s="8" t="e">
        <f>VLOOKUP(A:A,'ITEM LIST'!A:C,3,0)</f>
        <v>#N/A</v>
      </c>
      <c r="D14091" s="6">
        <f t="shared" si="221"/>
        <v>0</v>
      </c>
    </row>
    <row r="14092" spans="3:4" ht="15" x14ac:dyDescent="0.25">
      <c r="C14092" s="8" t="e">
        <f>VLOOKUP(A:A,'ITEM LIST'!A:C,3,0)</f>
        <v>#N/A</v>
      </c>
      <c r="D14092" s="6">
        <f t="shared" si="221"/>
        <v>0</v>
      </c>
    </row>
    <row r="14093" spans="3:4" ht="15" x14ac:dyDescent="0.25">
      <c r="C14093" s="8" t="e">
        <f>VLOOKUP(A:A,'ITEM LIST'!A:C,3,0)</f>
        <v>#N/A</v>
      </c>
      <c r="D14093" s="6">
        <f t="shared" si="221"/>
        <v>0</v>
      </c>
    </row>
    <row r="14094" spans="3:4" ht="15" x14ac:dyDescent="0.25">
      <c r="C14094" s="8" t="e">
        <f>VLOOKUP(A:A,'ITEM LIST'!A:C,3,0)</f>
        <v>#N/A</v>
      </c>
      <c r="D14094" s="6">
        <f t="shared" si="221"/>
        <v>0</v>
      </c>
    </row>
    <row r="14095" spans="3:4" ht="15" x14ac:dyDescent="0.25">
      <c r="C14095" s="8" t="e">
        <f>VLOOKUP(A:A,'ITEM LIST'!A:C,3,0)</f>
        <v>#N/A</v>
      </c>
      <c r="D14095" s="6">
        <f t="shared" si="221"/>
        <v>0</v>
      </c>
    </row>
    <row r="14096" spans="3:4" ht="15" x14ac:dyDescent="0.25">
      <c r="C14096" s="8" t="e">
        <f>VLOOKUP(A:A,'ITEM LIST'!A:C,3,0)</f>
        <v>#N/A</v>
      </c>
      <c r="D14096" s="6">
        <f t="shared" si="221"/>
        <v>0</v>
      </c>
    </row>
    <row r="14097" spans="3:4" ht="15" x14ac:dyDescent="0.25">
      <c r="C14097" s="8" t="e">
        <f>VLOOKUP(A:A,'ITEM LIST'!A:C,3,0)</f>
        <v>#N/A</v>
      </c>
      <c r="D14097" s="6">
        <f t="shared" si="221"/>
        <v>0</v>
      </c>
    </row>
    <row r="14098" spans="3:4" ht="15" x14ac:dyDescent="0.25">
      <c r="C14098" s="8" t="e">
        <f>VLOOKUP(A:A,'ITEM LIST'!A:C,3,0)</f>
        <v>#N/A</v>
      </c>
      <c r="D14098" s="6">
        <f t="shared" si="221"/>
        <v>0</v>
      </c>
    </row>
    <row r="14099" spans="3:4" ht="15" x14ac:dyDescent="0.25">
      <c r="C14099" s="8" t="e">
        <f>VLOOKUP(A:A,'ITEM LIST'!A:C,3,0)</f>
        <v>#N/A</v>
      </c>
      <c r="D14099" s="6">
        <f t="shared" si="221"/>
        <v>0</v>
      </c>
    </row>
    <row r="14100" spans="3:4" ht="15" x14ac:dyDescent="0.25">
      <c r="C14100" s="8" t="e">
        <f>VLOOKUP(A:A,'ITEM LIST'!A:C,3,0)</f>
        <v>#N/A</v>
      </c>
      <c r="D14100" s="6">
        <f t="shared" si="221"/>
        <v>0</v>
      </c>
    </row>
    <row r="14101" spans="3:4" ht="15" x14ac:dyDescent="0.25">
      <c r="C14101" s="8" t="e">
        <f>VLOOKUP(A:A,'ITEM LIST'!A:C,3,0)</f>
        <v>#N/A</v>
      </c>
      <c r="D14101" s="6">
        <f t="shared" si="221"/>
        <v>0</v>
      </c>
    </row>
    <row r="14102" spans="3:4" ht="15" x14ac:dyDescent="0.25">
      <c r="C14102" s="8" t="e">
        <f>VLOOKUP(A:A,'ITEM LIST'!A:C,3,0)</f>
        <v>#N/A</v>
      </c>
      <c r="D14102" s="6">
        <f t="shared" si="221"/>
        <v>0</v>
      </c>
    </row>
    <row r="14103" spans="3:4" ht="15" x14ac:dyDescent="0.25">
      <c r="C14103" s="8" t="e">
        <f>VLOOKUP(A:A,'ITEM LIST'!A:C,3,0)</f>
        <v>#N/A</v>
      </c>
      <c r="D14103" s="6">
        <f t="shared" si="221"/>
        <v>0</v>
      </c>
    </row>
    <row r="14104" spans="3:4" ht="15" x14ac:dyDescent="0.25">
      <c r="C14104" s="8" t="e">
        <f>VLOOKUP(A:A,'ITEM LIST'!A:C,3,0)</f>
        <v>#N/A</v>
      </c>
      <c r="D14104" s="6">
        <f t="shared" si="221"/>
        <v>0</v>
      </c>
    </row>
    <row r="14105" spans="3:4" ht="15" x14ac:dyDescent="0.25">
      <c r="C14105" s="8" t="e">
        <f>VLOOKUP(A:A,'ITEM LIST'!A:C,3,0)</f>
        <v>#N/A</v>
      </c>
      <c r="D14105" s="6">
        <f t="shared" si="221"/>
        <v>0</v>
      </c>
    </row>
    <row r="14106" spans="3:4" ht="15" x14ac:dyDescent="0.25">
      <c r="C14106" s="8" t="e">
        <f>VLOOKUP(A:A,'ITEM LIST'!A:C,3,0)</f>
        <v>#N/A</v>
      </c>
      <c r="D14106" s="6">
        <f t="shared" si="221"/>
        <v>0</v>
      </c>
    </row>
    <row r="14107" spans="3:4" ht="15" x14ac:dyDescent="0.25">
      <c r="C14107" s="8" t="e">
        <f>VLOOKUP(A:A,'ITEM LIST'!A:C,3,0)</f>
        <v>#N/A</v>
      </c>
      <c r="D14107" s="6">
        <f t="shared" si="221"/>
        <v>0</v>
      </c>
    </row>
    <row r="14108" spans="3:4" ht="15" x14ac:dyDescent="0.25">
      <c r="C14108" s="8" t="e">
        <f>VLOOKUP(A:A,'ITEM LIST'!A:C,3,0)</f>
        <v>#N/A</v>
      </c>
      <c r="D14108" s="6">
        <f t="shared" si="221"/>
        <v>0</v>
      </c>
    </row>
    <row r="14109" spans="3:4" ht="15" x14ac:dyDescent="0.25">
      <c r="C14109" s="8" t="e">
        <f>VLOOKUP(A:A,'ITEM LIST'!A:C,3,0)</f>
        <v>#N/A</v>
      </c>
      <c r="D14109" s="6">
        <f t="shared" si="221"/>
        <v>0</v>
      </c>
    </row>
    <row r="14110" spans="3:4" ht="15" x14ac:dyDescent="0.25">
      <c r="C14110" s="8" t="e">
        <f>VLOOKUP(A:A,'ITEM LIST'!A:C,3,0)</f>
        <v>#N/A</v>
      </c>
      <c r="D14110" s="6">
        <f t="shared" si="221"/>
        <v>0</v>
      </c>
    </row>
    <row r="14111" spans="3:4" ht="15" x14ac:dyDescent="0.25">
      <c r="C14111" s="8" t="e">
        <f>VLOOKUP(A:A,'ITEM LIST'!A:C,3,0)</f>
        <v>#N/A</v>
      </c>
      <c r="D14111" s="6">
        <f t="shared" si="221"/>
        <v>0</v>
      </c>
    </row>
    <row r="14112" spans="3:4" ht="15" x14ac:dyDescent="0.25">
      <c r="C14112" s="8" t="e">
        <f>VLOOKUP(A:A,'ITEM LIST'!A:C,3,0)</f>
        <v>#N/A</v>
      </c>
      <c r="D14112" s="6">
        <f t="shared" si="221"/>
        <v>0</v>
      </c>
    </row>
    <row r="14113" spans="3:4" ht="15" x14ac:dyDescent="0.25">
      <c r="C14113" s="8" t="e">
        <f>VLOOKUP(A:A,'ITEM LIST'!A:C,3,0)</f>
        <v>#N/A</v>
      </c>
      <c r="D14113" s="6">
        <f t="shared" si="221"/>
        <v>0</v>
      </c>
    </row>
    <row r="14114" spans="3:4" ht="15" x14ac:dyDescent="0.25">
      <c r="C14114" s="8" t="e">
        <f>VLOOKUP(A:A,'ITEM LIST'!A:C,3,0)</f>
        <v>#N/A</v>
      </c>
      <c r="D14114" s="6">
        <f t="shared" si="221"/>
        <v>0</v>
      </c>
    </row>
    <row r="14115" spans="3:4" ht="15" x14ac:dyDescent="0.25">
      <c r="C14115" s="8" t="e">
        <f>VLOOKUP(A:A,'ITEM LIST'!A:C,3,0)</f>
        <v>#N/A</v>
      </c>
      <c r="D14115" s="6">
        <f t="shared" si="221"/>
        <v>0</v>
      </c>
    </row>
    <row r="14116" spans="3:4" ht="15" x14ac:dyDescent="0.25">
      <c r="C14116" s="8" t="e">
        <f>VLOOKUP(A:A,'ITEM LIST'!A:C,3,0)</f>
        <v>#N/A</v>
      </c>
      <c r="D14116" s="6">
        <f t="shared" si="221"/>
        <v>0</v>
      </c>
    </row>
    <row r="14117" spans="3:4" ht="15" x14ac:dyDescent="0.25">
      <c r="C14117" s="8" t="e">
        <f>VLOOKUP(A:A,'ITEM LIST'!A:C,3,0)</f>
        <v>#N/A</v>
      </c>
      <c r="D14117" s="6">
        <f t="shared" si="221"/>
        <v>0</v>
      </c>
    </row>
    <row r="14118" spans="3:4" ht="15" x14ac:dyDescent="0.25">
      <c r="C14118" s="8" t="e">
        <f>VLOOKUP(A:A,'ITEM LIST'!A:C,3,0)</f>
        <v>#N/A</v>
      </c>
      <c r="D14118" s="6">
        <f t="shared" si="221"/>
        <v>0</v>
      </c>
    </row>
    <row r="14119" spans="3:4" ht="15" x14ac:dyDescent="0.25">
      <c r="C14119" s="8" t="e">
        <f>VLOOKUP(A:A,'ITEM LIST'!A:C,3,0)</f>
        <v>#N/A</v>
      </c>
      <c r="D14119" s="6">
        <f t="shared" si="221"/>
        <v>0</v>
      </c>
    </row>
    <row r="14120" spans="3:4" ht="15" x14ac:dyDescent="0.25">
      <c r="C14120" s="8" t="e">
        <f>VLOOKUP(A:A,'ITEM LIST'!A:C,3,0)</f>
        <v>#N/A</v>
      </c>
      <c r="D14120" s="6">
        <f t="shared" si="221"/>
        <v>0</v>
      </c>
    </row>
    <row r="14121" spans="3:4" ht="15" x14ac:dyDescent="0.25">
      <c r="C14121" s="8" t="e">
        <f>VLOOKUP(A:A,'ITEM LIST'!A:C,3,0)</f>
        <v>#N/A</v>
      </c>
      <c r="D14121" s="6">
        <f t="shared" si="221"/>
        <v>0</v>
      </c>
    </row>
    <row r="14122" spans="3:4" ht="15" x14ac:dyDescent="0.25">
      <c r="C14122" s="8" t="e">
        <f>VLOOKUP(A:A,'ITEM LIST'!A:C,3,0)</f>
        <v>#N/A</v>
      </c>
      <c r="D14122" s="6">
        <f t="shared" si="221"/>
        <v>0</v>
      </c>
    </row>
    <row r="14123" spans="3:4" ht="15" x14ac:dyDescent="0.25">
      <c r="C14123" s="8" t="e">
        <f>VLOOKUP(A:A,'ITEM LIST'!A:C,3,0)</f>
        <v>#N/A</v>
      </c>
      <c r="D14123" s="6">
        <f t="shared" si="221"/>
        <v>0</v>
      </c>
    </row>
    <row r="14124" spans="3:4" ht="15" x14ac:dyDescent="0.25">
      <c r="C14124" s="8" t="e">
        <f>VLOOKUP(A:A,'ITEM LIST'!A:C,3,0)</f>
        <v>#N/A</v>
      </c>
      <c r="D14124" s="6">
        <f t="shared" si="221"/>
        <v>0</v>
      </c>
    </row>
    <row r="14125" spans="3:4" ht="15" x14ac:dyDescent="0.25">
      <c r="C14125" s="8" t="e">
        <f>VLOOKUP(A:A,'ITEM LIST'!A:C,3,0)</f>
        <v>#N/A</v>
      </c>
      <c r="D14125" s="6">
        <f t="shared" si="221"/>
        <v>0</v>
      </c>
    </row>
    <row r="14126" spans="3:4" ht="15" x14ac:dyDescent="0.25">
      <c r="C14126" s="8" t="e">
        <f>VLOOKUP(A:A,'ITEM LIST'!A:C,3,0)</f>
        <v>#N/A</v>
      </c>
      <c r="D14126" s="6">
        <f t="shared" si="221"/>
        <v>0</v>
      </c>
    </row>
    <row r="14127" spans="3:4" ht="15" x14ac:dyDescent="0.25">
      <c r="C14127" s="8" t="e">
        <f>VLOOKUP(A:A,'ITEM LIST'!A:C,3,0)</f>
        <v>#N/A</v>
      </c>
      <c r="D14127" s="6">
        <f t="shared" si="221"/>
        <v>0</v>
      </c>
    </row>
    <row r="14128" spans="3:4" ht="15" x14ac:dyDescent="0.25">
      <c r="C14128" s="8" t="e">
        <f>VLOOKUP(A:A,'ITEM LIST'!A:C,3,0)</f>
        <v>#N/A</v>
      </c>
      <c r="D14128" s="6">
        <f t="shared" si="221"/>
        <v>0</v>
      </c>
    </row>
    <row r="14129" spans="3:4" ht="15" x14ac:dyDescent="0.25">
      <c r="C14129" s="8" t="e">
        <f>VLOOKUP(A:A,'ITEM LIST'!A:C,3,0)</f>
        <v>#N/A</v>
      </c>
      <c r="D14129" s="6">
        <f t="shared" si="221"/>
        <v>0</v>
      </c>
    </row>
    <row r="14130" spans="3:4" ht="15" x14ac:dyDescent="0.25">
      <c r="C14130" s="8" t="e">
        <f>VLOOKUP(A:A,'ITEM LIST'!A:C,3,0)</f>
        <v>#N/A</v>
      </c>
      <c r="D14130" s="6">
        <f t="shared" si="221"/>
        <v>0</v>
      </c>
    </row>
    <row r="14131" spans="3:4" ht="15" x14ac:dyDescent="0.25">
      <c r="C14131" s="8" t="e">
        <f>VLOOKUP(A:A,'ITEM LIST'!A:C,3,0)</f>
        <v>#N/A</v>
      </c>
      <c r="D14131" s="6">
        <f t="shared" si="221"/>
        <v>0</v>
      </c>
    </row>
    <row r="14132" spans="3:4" ht="15" x14ac:dyDescent="0.25">
      <c r="C14132" s="8" t="e">
        <f>VLOOKUP(A:A,'ITEM LIST'!A:C,3,0)</f>
        <v>#N/A</v>
      </c>
      <c r="D14132" s="6">
        <f t="shared" si="221"/>
        <v>0</v>
      </c>
    </row>
    <row r="14133" spans="3:4" ht="15" x14ac:dyDescent="0.25">
      <c r="C14133" s="8" t="e">
        <f>VLOOKUP(A:A,'ITEM LIST'!A:C,3,0)</f>
        <v>#N/A</v>
      </c>
      <c r="D14133" s="6">
        <f t="shared" si="221"/>
        <v>0</v>
      </c>
    </row>
    <row r="14134" spans="3:4" ht="15" x14ac:dyDescent="0.25">
      <c r="C14134" s="8" t="e">
        <f>VLOOKUP(A:A,'ITEM LIST'!A:C,3,0)</f>
        <v>#N/A</v>
      </c>
      <c r="D14134" s="6">
        <f t="shared" si="221"/>
        <v>0</v>
      </c>
    </row>
    <row r="14135" spans="3:4" ht="15" x14ac:dyDescent="0.25">
      <c r="C14135" s="8" t="e">
        <f>VLOOKUP(A:A,'ITEM LIST'!A:C,3,0)</f>
        <v>#N/A</v>
      </c>
      <c r="D14135" s="6">
        <f t="shared" si="221"/>
        <v>0</v>
      </c>
    </row>
    <row r="14136" spans="3:4" ht="15" x14ac:dyDescent="0.25">
      <c r="C14136" s="8" t="e">
        <f>VLOOKUP(A:A,'ITEM LIST'!A:C,3,0)</f>
        <v>#N/A</v>
      </c>
      <c r="D14136" s="6">
        <f t="shared" si="221"/>
        <v>0</v>
      </c>
    </row>
    <row r="14137" spans="3:4" ht="15" x14ac:dyDescent="0.25">
      <c r="C14137" s="8" t="e">
        <f>VLOOKUP(A:A,'ITEM LIST'!A:C,3,0)</f>
        <v>#N/A</v>
      </c>
      <c r="D14137" s="6">
        <f t="shared" si="221"/>
        <v>0</v>
      </c>
    </row>
    <row r="14138" spans="3:4" ht="15" x14ac:dyDescent="0.25">
      <c r="C14138" s="8" t="e">
        <f>VLOOKUP(A:A,'ITEM LIST'!A:C,3,0)</f>
        <v>#N/A</v>
      </c>
      <c r="D14138" s="6">
        <f t="shared" si="221"/>
        <v>0</v>
      </c>
    </row>
    <row r="14139" spans="3:4" ht="15" x14ac:dyDescent="0.25">
      <c r="C14139" s="8" t="e">
        <f>VLOOKUP(A:A,'ITEM LIST'!A:C,3,0)</f>
        <v>#N/A</v>
      </c>
      <c r="D14139" s="6">
        <f t="shared" si="221"/>
        <v>0</v>
      </c>
    </row>
    <row r="14140" spans="3:4" ht="15" x14ac:dyDescent="0.25">
      <c r="C14140" s="8" t="e">
        <f>VLOOKUP(A:A,'ITEM LIST'!A:C,3,0)</f>
        <v>#N/A</v>
      </c>
      <c r="D14140" s="6">
        <f t="shared" si="221"/>
        <v>0</v>
      </c>
    </row>
    <row r="14141" spans="3:4" ht="15" x14ac:dyDescent="0.25">
      <c r="C14141" s="8" t="e">
        <f>VLOOKUP(A:A,'ITEM LIST'!A:C,3,0)</f>
        <v>#N/A</v>
      </c>
      <c r="D14141" s="6">
        <f t="shared" si="221"/>
        <v>0</v>
      </c>
    </row>
    <row r="14142" spans="3:4" ht="15" x14ac:dyDescent="0.25">
      <c r="C14142" s="8" t="e">
        <f>VLOOKUP(A:A,'ITEM LIST'!A:C,3,0)</f>
        <v>#N/A</v>
      </c>
      <c r="D14142" s="6">
        <f t="shared" si="221"/>
        <v>0</v>
      </c>
    </row>
    <row r="14143" spans="3:4" ht="15" x14ac:dyDescent="0.25">
      <c r="C14143" s="8" t="e">
        <f>VLOOKUP(A:A,'ITEM LIST'!A:C,3,0)</f>
        <v>#N/A</v>
      </c>
      <c r="D14143" s="6">
        <f t="shared" si="221"/>
        <v>0</v>
      </c>
    </row>
    <row r="14144" spans="3:4" ht="15" x14ac:dyDescent="0.25">
      <c r="C14144" s="8" t="e">
        <f>VLOOKUP(A:A,'ITEM LIST'!A:C,3,0)</f>
        <v>#N/A</v>
      </c>
      <c r="D14144" s="6">
        <f t="shared" si="221"/>
        <v>0</v>
      </c>
    </row>
    <row r="14145" spans="3:4" ht="15" x14ac:dyDescent="0.25">
      <c r="C14145" s="8" t="e">
        <f>VLOOKUP(A:A,'ITEM LIST'!A:C,3,0)</f>
        <v>#N/A</v>
      </c>
      <c r="D14145" s="6">
        <f t="shared" si="221"/>
        <v>0</v>
      </c>
    </row>
    <row r="14146" spans="3:4" ht="15" x14ac:dyDescent="0.25">
      <c r="C14146" s="8" t="e">
        <f>VLOOKUP(A:A,'ITEM LIST'!A:C,3,0)</f>
        <v>#N/A</v>
      </c>
      <c r="D14146" s="6">
        <f t="shared" si="221"/>
        <v>0</v>
      </c>
    </row>
    <row r="14147" spans="3:4" ht="15" x14ac:dyDescent="0.25">
      <c r="C14147" s="8" t="e">
        <f>VLOOKUP(A:A,'ITEM LIST'!A:C,3,0)</f>
        <v>#N/A</v>
      </c>
      <c r="D14147" s="6">
        <f t="shared" si="221"/>
        <v>0</v>
      </c>
    </row>
    <row r="14148" spans="3:4" ht="15" x14ac:dyDescent="0.25">
      <c r="C14148" s="8" t="e">
        <f>VLOOKUP(A:A,'ITEM LIST'!A:C,3,0)</f>
        <v>#N/A</v>
      </c>
      <c r="D14148" s="6">
        <f t="shared" si="221"/>
        <v>0</v>
      </c>
    </row>
    <row r="14149" spans="3:4" ht="15" x14ac:dyDescent="0.25">
      <c r="C14149" s="8" t="e">
        <f>VLOOKUP(A:A,'ITEM LIST'!A:C,3,0)</f>
        <v>#N/A</v>
      </c>
      <c r="D14149" s="6">
        <f t="shared" si="221"/>
        <v>0</v>
      </c>
    </row>
    <row r="14150" spans="3:4" ht="15" x14ac:dyDescent="0.25">
      <c r="C14150" s="8" t="e">
        <f>VLOOKUP(A:A,'ITEM LIST'!A:C,3,0)</f>
        <v>#N/A</v>
      </c>
      <c r="D14150" s="6">
        <f t="shared" ref="D14150:D14213" si="222">B14150</f>
        <v>0</v>
      </c>
    </row>
    <row r="14151" spans="3:4" ht="15" x14ac:dyDescent="0.25">
      <c r="C14151" s="8" t="e">
        <f>VLOOKUP(A:A,'ITEM LIST'!A:C,3,0)</f>
        <v>#N/A</v>
      </c>
      <c r="D14151" s="6">
        <f t="shared" si="222"/>
        <v>0</v>
      </c>
    </row>
    <row r="14152" spans="3:4" ht="15" x14ac:dyDescent="0.25">
      <c r="C14152" s="8" t="e">
        <f>VLOOKUP(A:A,'ITEM LIST'!A:C,3,0)</f>
        <v>#N/A</v>
      </c>
      <c r="D14152" s="6">
        <f t="shared" si="222"/>
        <v>0</v>
      </c>
    </row>
    <row r="14153" spans="3:4" ht="15" x14ac:dyDescent="0.25">
      <c r="C14153" s="8" t="e">
        <f>VLOOKUP(A:A,'ITEM LIST'!A:C,3,0)</f>
        <v>#N/A</v>
      </c>
      <c r="D14153" s="6">
        <f t="shared" si="222"/>
        <v>0</v>
      </c>
    </row>
    <row r="14154" spans="3:4" ht="15" x14ac:dyDescent="0.25">
      <c r="C14154" s="8" t="e">
        <f>VLOOKUP(A:A,'ITEM LIST'!A:C,3,0)</f>
        <v>#N/A</v>
      </c>
      <c r="D14154" s="6">
        <f t="shared" si="222"/>
        <v>0</v>
      </c>
    </row>
    <row r="14155" spans="3:4" ht="15" x14ac:dyDescent="0.25">
      <c r="C14155" s="8" t="e">
        <f>VLOOKUP(A:A,'ITEM LIST'!A:C,3,0)</f>
        <v>#N/A</v>
      </c>
      <c r="D14155" s="6">
        <f t="shared" si="222"/>
        <v>0</v>
      </c>
    </row>
    <row r="14156" spans="3:4" ht="15" x14ac:dyDescent="0.25">
      <c r="C14156" s="8" t="e">
        <f>VLOOKUP(A:A,'ITEM LIST'!A:C,3,0)</f>
        <v>#N/A</v>
      </c>
      <c r="D14156" s="6">
        <f t="shared" si="222"/>
        <v>0</v>
      </c>
    </row>
    <row r="14157" spans="3:4" ht="15" x14ac:dyDescent="0.25">
      <c r="C14157" s="8" t="e">
        <f>VLOOKUP(A:A,'ITEM LIST'!A:C,3,0)</f>
        <v>#N/A</v>
      </c>
      <c r="D14157" s="6">
        <f t="shared" si="222"/>
        <v>0</v>
      </c>
    </row>
    <row r="14158" spans="3:4" ht="15" x14ac:dyDescent="0.25">
      <c r="C14158" s="8" t="e">
        <f>VLOOKUP(A:A,'ITEM LIST'!A:C,3,0)</f>
        <v>#N/A</v>
      </c>
      <c r="D14158" s="6">
        <f t="shared" si="222"/>
        <v>0</v>
      </c>
    </row>
    <row r="14159" spans="3:4" ht="15" x14ac:dyDescent="0.25">
      <c r="C14159" s="8" t="e">
        <f>VLOOKUP(A:A,'ITEM LIST'!A:C,3,0)</f>
        <v>#N/A</v>
      </c>
      <c r="D14159" s="6">
        <f t="shared" si="222"/>
        <v>0</v>
      </c>
    </row>
    <row r="14160" spans="3:4" ht="15" x14ac:dyDescent="0.25">
      <c r="C14160" s="8" t="e">
        <f>VLOOKUP(A:A,'ITEM LIST'!A:C,3,0)</f>
        <v>#N/A</v>
      </c>
      <c r="D14160" s="6">
        <f t="shared" si="222"/>
        <v>0</v>
      </c>
    </row>
    <row r="14161" spans="3:4" ht="15" x14ac:dyDescent="0.25">
      <c r="C14161" s="8" t="e">
        <f>VLOOKUP(A:A,'ITEM LIST'!A:C,3,0)</f>
        <v>#N/A</v>
      </c>
      <c r="D14161" s="6">
        <f t="shared" si="222"/>
        <v>0</v>
      </c>
    </row>
    <row r="14162" spans="3:4" ht="15" x14ac:dyDescent="0.25">
      <c r="C14162" s="8" t="e">
        <f>VLOOKUP(A:A,'ITEM LIST'!A:C,3,0)</f>
        <v>#N/A</v>
      </c>
      <c r="D14162" s="6">
        <f t="shared" si="222"/>
        <v>0</v>
      </c>
    </row>
    <row r="14163" spans="3:4" ht="15" x14ac:dyDescent="0.25">
      <c r="C14163" s="8" t="e">
        <f>VLOOKUP(A:A,'ITEM LIST'!A:C,3,0)</f>
        <v>#N/A</v>
      </c>
      <c r="D14163" s="6">
        <f t="shared" si="222"/>
        <v>0</v>
      </c>
    </row>
    <row r="14164" spans="3:4" ht="15" x14ac:dyDescent="0.25">
      <c r="C14164" s="8" t="e">
        <f>VLOOKUP(A:A,'ITEM LIST'!A:C,3,0)</f>
        <v>#N/A</v>
      </c>
      <c r="D14164" s="6">
        <f t="shared" si="222"/>
        <v>0</v>
      </c>
    </row>
    <row r="14165" spans="3:4" ht="15" x14ac:dyDescent="0.25">
      <c r="C14165" s="8" t="e">
        <f>VLOOKUP(A:A,'ITEM LIST'!A:C,3,0)</f>
        <v>#N/A</v>
      </c>
      <c r="D14165" s="6">
        <f t="shared" si="222"/>
        <v>0</v>
      </c>
    </row>
    <row r="14166" spans="3:4" ht="15" x14ac:dyDescent="0.25">
      <c r="C14166" s="8" t="e">
        <f>VLOOKUP(A:A,'ITEM LIST'!A:C,3,0)</f>
        <v>#N/A</v>
      </c>
      <c r="D14166" s="6">
        <f t="shared" si="222"/>
        <v>0</v>
      </c>
    </row>
    <row r="14167" spans="3:4" ht="15" x14ac:dyDescent="0.25">
      <c r="C14167" s="8" t="e">
        <f>VLOOKUP(A:A,'ITEM LIST'!A:C,3,0)</f>
        <v>#N/A</v>
      </c>
      <c r="D14167" s="6">
        <f t="shared" si="222"/>
        <v>0</v>
      </c>
    </row>
    <row r="14168" spans="3:4" ht="15" x14ac:dyDescent="0.25">
      <c r="C14168" s="8" t="e">
        <f>VLOOKUP(A:A,'ITEM LIST'!A:C,3,0)</f>
        <v>#N/A</v>
      </c>
      <c r="D14168" s="6">
        <f t="shared" si="222"/>
        <v>0</v>
      </c>
    </row>
    <row r="14169" spans="3:4" ht="15" x14ac:dyDescent="0.25">
      <c r="C14169" s="8" t="e">
        <f>VLOOKUP(A:A,'ITEM LIST'!A:C,3,0)</f>
        <v>#N/A</v>
      </c>
      <c r="D14169" s="6">
        <f t="shared" si="222"/>
        <v>0</v>
      </c>
    </row>
    <row r="14170" spans="3:4" ht="15" x14ac:dyDescent="0.25">
      <c r="C14170" s="8" t="e">
        <f>VLOOKUP(A:A,'ITEM LIST'!A:C,3,0)</f>
        <v>#N/A</v>
      </c>
      <c r="D14170" s="6">
        <f t="shared" si="222"/>
        <v>0</v>
      </c>
    </row>
    <row r="14171" spans="3:4" ht="15" x14ac:dyDescent="0.25">
      <c r="C14171" s="8" t="e">
        <f>VLOOKUP(A:A,'ITEM LIST'!A:C,3,0)</f>
        <v>#N/A</v>
      </c>
      <c r="D14171" s="6">
        <f t="shared" si="222"/>
        <v>0</v>
      </c>
    </row>
    <row r="14172" spans="3:4" ht="15" x14ac:dyDescent="0.25">
      <c r="C14172" s="8" t="e">
        <f>VLOOKUP(A:A,'ITEM LIST'!A:C,3,0)</f>
        <v>#N/A</v>
      </c>
      <c r="D14172" s="6">
        <f t="shared" si="222"/>
        <v>0</v>
      </c>
    </row>
    <row r="14173" spans="3:4" ht="15" x14ac:dyDescent="0.25">
      <c r="C14173" s="8" t="e">
        <f>VLOOKUP(A:A,'ITEM LIST'!A:C,3,0)</f>
        <v>#N/A</v>
      </c>
      <c r="D14173" s="6">
        <f t="shared" si="222"/>
        <v>0</v>
      </c>
    </row>
    <row r="14174" spans="3:4" ht="15" x14ac:dyDescent="0.25">
      <c r="C14174" s="8" t="e">
        <f>VLOOKUP(A:A,'ITEM LIST'!A:C,3,0)</f>
        <v>#N/A</v>
      </c>
      <c r="D14174" s="6">
        <f t="shared" si="222"/>
        <v>0</v>
      </c>
    </row>
    <row r="14175" spans="3:4" ht="15" x14ac:dyDescent="0.25">
      <c r="C14175" s="8" t="e">
        <f>VLOOKUP(A:A,'ITEM LIST'!A:C,3,0)</f>
        <v>#N/A</v>
      </c>
      <c r="D14175" s="6">
        <f t="shared" si="222"/>
        <v>0</v>
      </c>
    </row>
    <row r="14176" spans="3:4" ht="15" x14ac:dyDescent="0.25">
      <c r="C14176" s="8" t="e">
        <f>VLOOKUP(A:A,'ITEM LIST'!A:C,3,0)</f>
        <v>#N/A</v>
      </c>
      <c r="D14176" s="6">
        <f t="shared" si="222"/>
        <v>0</v>
      </c>
    </row>
    <row r="14177" spans="3:4" ht="15" x14ac:dyDescent="0.25">
      <c r="C14177" s="8" t="e">
        <f>VLOOKUP(A:A,'ITEM LIST'!A:C,3,0)</f>
        <v>#N/A</v>
      </c>
      <c r="D14177" s="6">
        <f t="shared" si="222"/>
        <v>0</v>
      </c>
    </row>
    <row r="14178" spans="3:4" ht="15" x14ac:dyDescent="0.25">
      <c r="C14178" s="8" t="e">
        <f>VLOOKUP(A:A,'ITEM LIST'!A:C,3,0)</f>
        <v>#N/A</v>
      </c>
      <c r="D14178" s="6">
        <f t="shared" si="222"/>
        <v>0</v>
      </c>
    </row>
    <row r="14179" spans="3:4" ht="15" x14ac:dyDescent="0.25">
      <c r="C14179" s="8" t="e">
        <f>VLOOKUP(A:A,'ITEM LIST'!A:C,3,0)</f>
        <v>#N/A</v>
      </c>
      <c r="D14179" s="6">
        <f t="shared" si="222"/>
        <v>0</v>
      </c>
    </row>
    <row r="14180" spans="3:4" ht="15" x14ac:dyDescent="0.25">
      <c r="C14180" s="8" t="e">
        <f>VLOOKUP(A:A,'ITEM LIST'!A:C,3,0)</f>
        <v>#N/A</v>
      </c>
      <c r="D14180" s="6">
        <f t="shared" si="222"/>
        <v>0</v>
      </c>
    </row>
    <row r="14181" spans="3:4" ht="15" x14ac:dyDescent="0.25">
      <c r="C14181" s="8" t="e">
        <f>VLOOKUP(A:A,'ITEM LIST'!A:C,3,0)</f>
        <v>#N/A</v>
      </c>
      <c r="D14181" s="6">
        <f t="shared" si="222"/>
        <v>0</v>
      </c>
    </row>
    <row r="14182" spans="3:4" ht="15" x14ac:dyDescent="0.25">
      <c r="C14182" s="8" t="e">
        <f>VLOOKUP(A:A,'ITEM LIST'!A:C,3,0)</f>
        <v>#N/A</v>
      </c>
      <c r="D14182" s="6">
        <f t="shared" si="222"/>
        <v>0</v>
      </c>
    </row>
    <row r="14183" spans="3:4" ht="15" x14ac:dyDescent="0.25">
      <c r="C14183" s="8" t="e">
        <f>VLOOKUP(A:A,'ITEM LIST'!A:C,3,0)</f>
        <v>#N/A</v>
      </c>
      <c r="D14183" s="6">
        <f t="shared" si="222"/>
        <v>0</v>
      </c>
    </row>
    <row r="14184" spans="3:4" ht="15" x14ac:dyDescent="0.25">
      <c r="C14184" s="8" t="e">
        <f>VLOOKUP(A:A,'ITEM LIST'!A:C,3,0)</f>
        <v>#N/A</v>
      </c>
      <c r="D14184" s="6">
        <f t="shared" si="222"/>
        <v>0</v>
      </c>
    </row>
    <row r="14185" spans="3:4" ht="15" x14ac:dyDescent="0.25">
      <c r="C14185" s="8" t="e">
        <f>VLOOKUP(A:A,'ITEM LIST'!A:C,3,0)</f>
        <v>#N/A</v>
      </c>
      <c r="D14185" s="6">
        <f t="shared" si="222"/>
        <v>0</v>
      </c>
    </row>
    <row r="14186" spans="3:4" ht="15" x14ac:dyDescent="0.25">
      <c r="C14186" s="8" t="e">
        <f>VLOOKUP(A:A,'ITEM LIST'!A:C,3,0)</f>
        <v>#N/A</v>
      </c>
      <c r="D14186" s="6">
        <f t="shared" si="222"/>
        <v>0</v>
      </c>
    </row>
    <row r="14187" spans="3:4" ht="15" x14ac:dyDescent="0.25">
      <c r="C14187" s="8" t="e">
        <f>VLOOKUP(A:A,'ITEM LIST'!A:C,3,0)</f>
        <v>#N/A</v>
      </c>
      <c r="D14187" s="6">
        <f t="shared" si="222"/>
        <v>0</v>
      </c>
    </row>
    <row r="14188" spans="3:4" ht="15" x14ac:dyDescent="0.25">
      <c r="C14188" s="8" t="e">
        <f>VLOOKUP(A:A,'ITEM LIST'!A:C,3,0)</f>
        <v>#N/A</v>
      </c>
      <c r="D14188" s="6">
        <f t="shared" si="222"/>
        <v>0</v>
      </c>
    </row>
    <row r="14189" spans="3:4" ht="15" x14ac:dyDescent="0.25">
      <c r="C14189" s="8" t="e">
        <f>VLOOKUP(A:A,'ITEM LIST'!A:C,3,0)</f>
        <v>#N/A</v>
      </c>
      <c r="D14189" s="6">
        <f t="shared" si="222"/>
        <v>0</v>
      </c>
    </row>
    <row r="14190" spans="3:4" ht="15" x14ac:dyDescent="0.25">
      <c r="C14190" s="8" t="e">
        <f>VLOOKUP(A:A,'ITEM LIST'!A:C,3,0)</f>
        <v>#N/A</v>
      </c>
      <c r="D14190" s="6">
        <f t="shared" si="222"/>
        <v>0</v>
      </c>
    </row>
    <row r="14191" spans="3:4" ht="15" x14ac:dyDescent="0.25">
      <c r="C14191" s="8" t="e">
        <f>VLOOKUP(A:A,'ITEM LIST'!A:C,3,0)</f>
        <v>#N/A</v>
      </c>
      <c r="D14191" s="6">
        <f t="shared" si="222"/>
        <v>0</v>
      </c>
    </row>
    <row r="14192" spans="3:4" ht="15" x14ac:dyDescent="0.25">
      <c r="C14192" s="8" t="e">
        <f>VLOOKUP(A:A,'ITEM LIST'!A:C,3,0)</f>
        <v>#N/A</v>
      </c>
      <c r="D14192" s="6">
        <f t="shared" si="222"/>
        <v>0</v>
      </c>
    </row>
    <row r="14193" spans="3:4" ht="15" x14ac:dyDescent="0.25">
      <c r="C14193" s="8" t="e">
        <f>VLOOKUP(A:A,'ITEM LIST'!A:C,3,0)</f>
        <v>#N/A</v>
      </c>
      <c r="D14193" s="6">
        <f t="shared" si="222"/>
        <v>0</v>
      </c>
    </row>
    <row r="14194" spans="3:4" ht="15" x14ac:dyDescent="0.25">
      <c r="C14194" s="8" t="e">
        <f>VLOOKUP(A:A,'ITEM LIST'!A:C,3,0)</f>
        <v>#N/A</v>
      </c>
      <c r="D14194" s="6">
        <f t="shared" si="222"/>
        <v>0</v>
      </c>
    </row>
    <row r="14195" spans="3:4" ht="15" x14ac:dyDescent="0.25">
      <c r="C14195" s="8" t="e">
        <f>VLOOKUP(A:A,'ITEM LIST'!A:C,3,0)</f>
        <v>#N/A</v>
      </c>
      <c r="D14195" s="6">
        <f t="shared" si="222"/>
        <v>0</v>
      </c>
    </row>
    <row r="14196" spans="3:4" ht="15" x14ac:dyDescent="0.25">
      <c r="C14196" s="8" t="e">
        <f>VLOOKUP(A:A,'ITEM LIST'!A:C,3,0)</f>
        <v>#N/A</v>
      </c>
      <c r="D14196" s="6">
        <f t="shared" si="222"/>
        <v>0</v>
      </c>
    </row>
    <row r="14197" spans="3:4" ht="15" x14ac:dyDescent="0.25">
      <c r="C14197" s="8" t="e">
        <f>VLOOKUP(A:A,'ITEM LIST'!A:C,3,0)</f>
        <v>#N/A</v>
      </c>
      <c r="D14197" s="6">
        <f t="shared" si="222"/>
        <v>0</v>
      </c>
    </row>
    <row r="14198" spans="3:4" ht="15" x14ac:dyDescent="0.25">
      <c r="C14198" s="8" t="e">
        <f>VLOOKUP(A:A,'ITEM LIST'!A:C,3,0)</f>
        <v>#N/A</v>
      </c>
      <c r="D14198" s="6">
        <f t="shared" si="222"/>
        <v>0</v>
      </c>
    </row>
    <row r="14199" spans="3:4" ht="15" x14ac:dyDescent="0.25">
      <c r="C14199" s="8" t="e">
        <f>VLOOKUP(A:A,'ITEM LIST'!A:C,3,0)</f>
        <v>#N/A</v>
      </c>
      <c r="D14199" s="6">
        <f t="shared" si="222"/>
        <v>0</v>
      </c>
    </row>
    <row r="14200" spans="3:4" ht="15" x14ac:dyDescent="0.25">
      <c r="C14200" s="8" t="e">
        <f>VLOOKUP(A:A,'ITEM LIST'!A:C,3,0)</f>
        <v>#N/A</v>
      </c>
      <c r="D14200" s="6">
        <f t="shared" si="222"/>
        <v>0</v>
      </c>
    </row>
    <row r="14201" spans="3:4" ht="15" x14ac:dyDescent="0.25">
      <c r="C14201" s="8" t="e">
        <f>VLOOKUP(A:A,'ITEM LIST'!A:C,3,0)</f>
        <v>#N/A</v>
      </c>
      <c r="D14201" s="6">
        <f t="shared" si="222"/>
        <v>0</v>
      </c>
    </row>
    <row r="14202" spans="3:4" ht="15" x14ac:dyDescent="0.25">
      <c r="C14202" s="8" t="e">
        <f>VLOOKUP(A:A,'ITEM LIST'!A:C,3,0)</f>
        <v>#N/A</v>
      </c>
      <c r="D14202" s="6">
        <f t="shared" si="222"/>
        <v>0</v>
      </c>
    </row>
    <row r="14203" spans="3:4" ht="15" x14ac:dyDescent="0.25">
      <c r="C14203" s="8" t="e">
        <f>VLOOKUP(A:A,'ITEM LIST'!A:C,3,0)</f>
        <v>#N/A</v>
      </c>
      <c r="D14203" s="6">
        <f t="shared" si="222"/>
        <v>0</v>
      </c>
    </row>
    <row r="14204" spans="3:4" ht="15" x14ac:dyDescent="0.25">
      <c r="C14204" s="8" t="e">
        <f>VLOOKUP(A:A,'ITEM LIST'!A:C,3,0)</f>
        <v>#N/A</v>
      </c>
      <c r="D14204" s="6">
        <f t="shared" si="222"/>
        <v>0</v>
      </c>
    </row>
    <row r="14205" spans="3:4" ht="15" x14ac:dyDescent="0.25">
      <c r="C14205" s="8" t="e">
        <f>VLOOKUP(A:A,'ITEM LIST'!A:C,3,0)</f>
        <v>#N/A</v>
      </c>
      <c r="D14205" s="6">
        <f t="shared" si="222"/>
        <v>0</v>
      </c>
    </row>
    <row r="14206" spans="3:4" ht="15" x14ac:dyDescent="0.25">
      <c r="C14206" s="8" t="e">
        <f>VLOOKUP(A:A,'ITEM LIST'!A:C,3,0)</f>
        <v>#N/A</v>
      </c>
      <c r="D14206" s="6">
        <f t="shared" si="222"/>
        <v>0</v>
      </c>
    </row>
    <row r="14207" spans="3:4" ht="15" x14ac:dyDescent="0.25">
      <c r="C14207" s="8" t="e">
        <f>VLOOKUP(A:A,'ITEM LIST'!A:C,3,0)</f>
        <v>#N/A</v>
      </c>
      <c r="D14207" s="6">
        <f t="shared" si="222"/>
        <v>0</v>
      </c>
    </row>
    <row r="14208" spans="3:4" ht="15" x14ac:dyDescent="0.25">
      <c r="C14208" s="8" t="e">
        <f>VLOOKUP(A:A,'ITEM LIST'!A:C,3,0)</f>
        <v>#N/A</v>
      </c>
      <c r="D14208" s="6">
        <f t="shared" si="222"/>
        <v>0</v>
      </c>
    </row>
    <row r="14209" spans="3:4" ht="15" x14ac:dyDescent="0.25">
      <c r="C14209" s="8" t="e">
        <f>VLOOKUP(A:A,'ITEM LIST'!A:C,3,0)</f>
        <v>#N/A</v>
      </c>
      <c r="D14209" s="6">
        <f t="shared" si="222"/>
        <v>0</v>
      </c>
    </row>
    <row r="14210" spans="3:4" ht="15" x14ac:dyDescent="0.25">
      <c r="C14210" s="8" t="e">
        <f>VLOOKUP(A:A,'ITEM LIST'!A:C,3,0)</f>
        <v>#N/A</v>
      </c>
      <c r="D14210" s="6">
        <f t="shared" si="222"/>
        <v>0</v>
      </c>
    </row>
    <row r="14211" spans="3:4" ht="15" x14ac:dyDescent="0.25">
      <c r="C14211" s="8" t="e">
        <f>VLOOKUP(A:A,'ITEM LIST'!A:C,3,0)</f>
        <v>#N/A</v>
      </c>
      <c r="D14211" s="6">
        <f t="shared" si="222"/>
        <v>0</v>
      </c>
    </row>
    <row r="14212" spans="3:4" ht="15" x14ac:dyDescent="0.25">
      <c r="C14212" s="8" t="e">
        <f>VLOOKUP(A:A,'ITEM LIST'!A:C,3,0)</f>
        <v>#N/A</v>
      </c>
      <c r="D14212" s="6">
        <f t="shared" si="222"/>
        <v>0</v>
      </c>
    </row>
    <row r="14213" spans="3:4" ht="15" x14ac:dyDescent="0.25">
      <c r="C14213" s="8" t="e">
        <f>VLOOKUP(A:A,'ITEM LIST'!A:C,3,0)</f>
        <v>#N/A</v>
      </c>
      <c r="D14213" s="6">
        <f t="shared" si="222"/>
        <v>0</v>
      </c>
    </row>
    <row r="14214" spans="3:4" ht="15" x14ac:dyDescent="0.25">
      <c r="C14214" s="8" t="e">
        <f>VLOOKUP(A:A,'ITEM LIST'!A:C,3,0)</f>
        <v>#N/A</v>
      </c>
      <c r="D14214" s="6">
        <f t="shared" ref="D14214:D14277" si="223">B14214</f>
        <v>0</v>
      </c>
    </row>
    <row r="14215" spans="3:4" ht="15" x14ac:dyDescent="0.25">
      <c r="C14215" s="8" t="e">
        <f>VLOOKUP(A:A,'ITEM LIST'!A:C,3,0)</f>
        <v>#N/A</v>
      </c>
      <c r="D14215" s="6">
        <f t="shared" si="223"/>
        <v>0</v>
      </c>
    </row>
    <row r="14216" spans="3:4" ht="15" x14ac:dyDescent="0.25">
      <c r="C14216" s="8" t="e">
        <f>VLOOKUP(A:A,'ITEM LIST'!A:C,3,0)</f>
        <v>#N/A</v>
      </c>
      <c r="D14216" s="6">
        <f t="shared" si="223"/>
        <v>0</v>
      </c>
    </row>
    <row r="14217" spans="3:4" ht="15" x14ac:dyDescent="0.25">
      <c r="C14217" s="8" t="e">
        <f>VLOOKUP(A:A,'ITEM LIST'!A:C,3,0)</f>
        <v>#N/A</v>
      </c>
      <c r="D14217" s="6">
        <f t="shared" si="223"/>
        <v>0</v>
      </c>
    </row>
    <row r="14218" spans="3:4" ht="15" x14ac:dyDescent="0.25">
      <c r="C14218" s="8" t="e">
        <f>VLOOKUP(A:A,'ITEM LIST'!A:C,3,0)</f>
        <v>#N/A</v>
      </c>
      <c r="D14218" s="6">
        <f t="shared" si="223"/>
        <v>0</v>
      </c>
    </row>
    <row r="14219" spans="3:4" ht="15" x14ac:dyDescent="0.25">
      <c r="C14219" s="8" t="e">
        <f>VLOOKUP(A:A,'ITEM LIST'!A:C,3,0)</f>
        <v>#N/A</v>
      </c>
      <c r="D14219" s="6">
        <f t="shared" si="223"/>
        <v>0</v>
      </c>
    </row>
    <row r="14220" spans="3:4" ht="15" x14ac:dyDescent="0.25">
      <c r="C14220" s="8" t="e">
        <f>VLOOKUP(A:A,'ITEM LIST'!A:C,3,0)</f>
        <v>#N/A</v>
      </c>
      <c r="D14220" s="6">
        <f t="shared" si="223"/>
        <v>0</v>
      </c>
    </row>
    <row r="14221" spans="3:4" ht="15" x14ac:dyDescent="0.25">
      <c r="C14221" s="8" t="e">
        <f>VLOOKUP(A:A,'ITEM LIST'!A:C,3,0)</f>
        <v>#N/A</v>
      </c>
      <c r="D14221" s="6">
        <f t="shared" si="223"/>
        <v>0</v>
      </c>
    </row>
    <row r="14222" spans="3:4" ht="15" x14ac:dyDescent="0.25">
      <c r="C14222" s="8" t="e">
        <f>VLOOKUP(A:A,'ITEM LIST'!A:C,3,0)</f>
        <v>#N/A</v>
      </c>
      <c r="D14222" s="6">
        <f t="shared" si="223"/>
        <v>0</v>
      </c>
    </row>
    <row r="14223" spans="3:4" ht="15" x14ac:dyDescent="0.25">
      <c r="C14223" s="8" t="e">
        <f>VLOOKUP(A:A,'ITEM LIST'!A:C,3,0)</f>
        <v>#N/A</v>
      </c>
      <c r="D14223" s="6">
        <f t="shared" si="223"/>
        <v>0</v>
      </c>
    </row>
    <row r="14224" spans="3:4" ht="15" x14ac:dyDescent="0.25">
      <c r="C14224" s="8" t="e">
        <f>VLOOKUP(A:A,'ITEM LIST'!A:C,3,0)</f>
        <v>#N/A</v>
      </c>
      <c r="D14224" s="6">
        <f t="shared" si="223"/>
        <v>0</v>
      </c>
    </row>
    <row r="14225" spans="3:4" ht="15" x14ac:dyDescent="0.25">
      <c r="C14225" s="8" t="e">
        <f>VLOOKUP(A:A,'ITEM LIST'!A:C,3,0)</f>
        <v>#N/A</v>
      </c>
      <c r="D14225" s="6">
        <f t="shared" si="223"/>
        <v>0</v>
      </c>
    </row>
    <row r="14226" spans="3:4" ht="15" x14ac:dyDescent="0.25">
      <c r="C14226" s="8" t="e">
        <f>VLOOKUP(A:A,'ITEM LIST'!A:C,3,0)</f>
        <v>#N/A</v>
      </c>
      <c r="D14226" s="6">
        <f t="shared" si="223"/>
        <v>0</v>
      </c>
    </row>
    <row r="14227" spans="3:4" ht="15" x14ac:dyDescent="0.25">
      <c r="C14227" s="8" t="e">
        <f>VLOOKUP(A:A,'ITEM LIST'!A:C,3,0)</f>
        <v>#N/A</v>
      </c>
      <c r="D14227" s="6">
        <f t="shared" si="223"/>
        <v>0</v>
      </c>
    </row>
    <row r="14228" spans="3:4" ht="15" x14ac:dyDescent="0.25">
      <c r="C14228" s="8" t="e">
        <f>VLOOKUP(A:A,'ITEM LIST'!A:C,3,0)</f>
        <v>#N/A</v>
      </c>
      <c r="D14228" s="6">
        <f t="shared" si="223"/>
        <v>0</v>
      </c>
    </row>
    <row r="14229" spans="3:4" ht="15" x14ac:dyDescent="0.25">
      <c r="C14229" s="8" t="e">
        <f>VLOOKUP(A:A,'ITEM LIST'!A:C,3,0)</f>
        <v>#N/A</v>
      </c>
      <c r="D14229" s="6">
        <f t="shared" si="223"/>
        <v>0</v>
      </c>
    </row>
    <row r="14230" spans="3:4" ht="15" x14ac:dyDescent="0.25">
      <c r="C14230" s="8" t="e">
        <f>VLOOKUP(A:A,'ITEM LIST'!A:C,3,0)</f>
        <v>#N/A</v>
      </c>
      <c r="D14230" s="6">
        <f t="shared" si="223"/>
        <v>0</v>
      </c>
    </row>
    <row r="14231" spans="3:4" ht="15" x14ac:dyDescent="0.25">
      <c r="C14231" s="8" t="e">
        <f>VLOOKUP(A:A,'ITEM LIST'!A:C,3,0)</f>
        <v>#N/A</v>
      </c>
      <c r="D14231" s="6">
        <f t="shared" si="223"/>
        <v>0</v>
      </c>
    </row>
    <row r="14232" spans="3:4" ht="15" x14ac:dyDescent="0.25">
      <c r="C14232" s="8" t="e">
        <f>VLOOKUP(A:A,'ITEM LIST'!A:C,3,0)</f>
        <v>#N/A</v>
      </c>
      <c r="D14232" s="6">
        <f t="shared" si="223"/>
        <v>0</v>
      </c>
    </row>
    <row r="14233" spans="3:4" ht="15" x14ac:dyDescent="0.25">
      <c r="C14233" s="8" t="e">
        <f>VLOOKUP(A:A,'ITEM LIST'!A:C,3,0)</f>
        <v>#N/A</v>
      </c>
      <c r="D14233" s="6">
        <f t="shared" si="223"/>
        <v>0</v>
      </c>
    </row>
    <row r="14234" spans="3:4" ht="15" x14ac:dyDescent="0.25">
      <c r="C14234" s="8" t="e">
        <f>VLOOKUP(A:A,'ITEM LIST'!A:C,3,0)</f>
        <v>#N/A</v>
      </c>
      <c r="D14234" s="6">
        <f t="shared" si="223"/>
        <v>0</v>
      </c>
    </row>
    <row r="14235" spans="3:4" ht="15" x14ac:dyDescent="0.25">
      <c r="C14235" s="8" t="e">
        <f>VLOOKUP(A:A,'ITEM LIST'!A:C,3,0)</f>
        <v>#N/A</v>
      </c>
      <c r="D14235" s="6">
        <f t="shared" si="223"/>
        <v>0</v>
      </c>
    </row>
    <row r="14236" spans="3:4" ht="15" x14ac:dyDescent="0.25">
      <c r="C14236" s="8" t="e">
        <f>VLOOKUP(A:A,'ITEM LIST'!A:C,3,0)</f>
        <v>#N/A</v>
      </c>
      <c r="D14236" s="6">
        <f t="shared" si="223"/>
        <v>0</v>
      </c>
    </row>
    <row r="14237" spans="3:4" ht="15" x14ac:dyDescent="0.25">
      <c r="C14237" s="8" t="e">
        <f>VLOOKUP(A:A,'ITEM LIST'!A:C,3,0)</f>
        <v>#N/A</v>
      </c>
      <c r="D14237" s="6">
        <f t="shared" si="223"/>
        <v>0</v>
      </c>
    </row>
    <row r="14238" spans="3:4" ht="15" x14ac:dyDescent="0.25">
      <c r="C14238" s="8" t="e">
        <f>VLOOKUP(A:A,'ITEM LIST'!A:C,3,0)</f>
        <v>#N/A</v>
      </c>
      <c r="D14238" s="6">
        <f t="shared" si="223"/>
        <v>0</v>
      </c>
    </row>
    <row r="14239" spans="3:4" ht="15" x14ac:dyDescent="0.25">
      <c r="C14239" s="8" t="e">
        <f>VLOOKUP(A:A,'ITEM LIST'!A:C,3,0)</f>
        <v>#N/A</v>
      </c>
      <c r="D14239" s="6">
        <f t="shared" si="223"/>
        <v>0</v>
      </c>
    </row>
    <row r="14240" spans="3:4" ht="15" x14ac:dyDescent="0.25">
      <c r="C14240" s="8" t="e">
        <f>VLOOKUP(A:A,'ITEM LIST'!A:C,3,0)</f>
        <v>#N/A</v>
      </c>
      <c r="D14240" s="6">
        <f t="shared" si="223"/>
        <v>0</v>
      </c>
    </row>
    <row r="14241" spans="3:4" ht="15" x14ac:dyDescent="0.25">
      <c r="C14241" s="8" t="e">
        <f>VLOOKUP(A:A,'ITEM LIST'!A:C,3,0)</f>
        <v>#N/A</v>
      </c>
      <c r="D14241" s="6">
        <f t="shared" si="223"/>
        <v>0</v>
      </c>
    </row>
    <row r="14242" spans="3:4" ht="15" x14ac:dyDescent="0.25">
      <c r="C14242" s="8" t="e">
        <f>VLOOKUP(A:A,'ITEM LIST'!A:C,3,0)</f>
        <v>#N/A</v>
      </c>
      <c r="D14242" s="6">
        <f t="shared" si="223"/>
        <v>0</v>
      </c>
    </row>
    <row r="14243" spans="3:4" ht="15" x14ac:dyDescent="0.25">
      <c r="C14243" s="8" t="e">
        <f>VLOOKUP(A:A,'ITEM LIST'!A:C,3,0)</f>
        <v>#N/A</v>
      </c>
      <c r="D14243" s="6">
        <f t="shared" si="223"/>
        <v>0</v>
      </c>
    </row>
    <row r="14244" spans="3:4" ht="15" x14ac:dyDescent="0.25">
      <c r="C14244" s="8" t="e">
        <f>VLOOKUP(A:A,'ITEM LIST'!A:C,3,0)</f>
        <v>#N/A</v>
      </c>
      <c r="D14244" s="6">
        <f t="shared" si="223"/>
        <v>0</v>
      </c>
    </row>
    <row r="14245" spans="3:4" ht="15" x14ac:dyDescent="0.25">
      <c r="C14245" s="8" t="e">
        <f>VLOOKUP(A:A,'ITEM LIST'!A:C,3,0)</f>
        <v>#N/A</v>
      </c>
      <c r="D14245" s="6">
        <f t="shared" si="223"/>
        <v>0</v>
      </c>
    </row>
    <row r="14246" spans="3:4" ht="15" x14ac:dyDescent="0.25">
      <c r="C14246" s="8" t="e">
        <f>VLOOKUP(A:A,'ITEM LIST'!A:C,3,0)</f>
        <v>#N/A</v>
      </c>
      <c r="D14246" s="6">
        <f t="shared" si="223"/>
        <v>0</v>
      </c>
    </row>
    <row r="14247" spans="3:4" ht="15" x14ac:dyDescent="0.25">
      <c r="C14247" s="8" t="e">
        <f>VLOOKUP(A:A,'ITEM LIST'!A:C,3,0)</f>
        <v>#N/A</v>
      </c>
      <c r="D14247" s="6">
        <f t="shared" si="223"/>
        <v>0</v>
      </c>
    </row>
    <row r="14248" spans="3:4" ht="15" x14ac:dyDescent="0.25">
      <c r="C14248" s="8" t="e">
        <f>VLOOKUP(A:A,'ITEM LIST'!A:C,3,0)</f>
        <v>#N/A</v>
      </c>
      <c r="D14248" s="6">
        <f t="shared" si="223"/>
        <v>0</v>
      </c>
    </row>
    <row r="14249" spans="3:4" ht="15" x14ac:dyDescent="0.25">
      <c r="C14249" s="8" t="e">
        <f>VLOOKUP(A:A,'ITEM LIST'!A:C,3,0)</f>
        <v>#N/A</v>
      </c>
      <c r="D14249" s="6">
        <f t="shared" si="223"/>
        <v>0</v>
      </c>
    </row>
    <row r="14250" spans="3:4" ht="15" x14ac:dyDescent="0.25">
      <c r="C14250" s="8" t="e">
        <f>VLOOKUP(A:A,'ITEM LIST'!A:C,3,0)</f>
        <v>#N/A</v>
      </c>
      <c r="D14250" s="6">
        <f t="shared" si="223"/>
        <v>0</v>
      </c>
    </row>
    <row r="14251" spans="3:4" ht="15" x14ac:dyDescent="0.25">
      <c r="C14251" s="8" t="e">
        <f>VLOOKUP(A:A,'ITEM LIST'!A:C,3,0)</f>
        <v>#N/A</v>
      </c>
      <c r="D14251" s="6">
        <f t="shared" si="223"/>
        <v>0</v>
      </c>
    </row>
    <row r="14252" spans="3:4" ht="15" x14ac:dyDescent="0.25">
      <c r="C14252" s="8" t="e">
        <f>VLOOKUP(A:A,'ITEM LIST'!A:C,3,0)</f>
        <v>#N/A</v>
      </c>
      <c r="D14252" s="6">
        <f t="shared" si="223"/>
        <v>0</v>
      </c>
    </row>
    <row r="14253" spans="3:4" ht="15" x14ac:dyDescent="0.25">
      <c r="C14253" s="8" t="e">
        <f>VLOOKUP(A:A,'ITEM LIST'!A:C,3,0)</f>
        <v>#N/A</v>
      </c>
      <c r="D14253" s="6">
        <f t="shared" si="223"/>
        <v>0</v>
      </c>
    </row>
    <row r="14254" spans="3:4" ht="15" x14ac:dyDescent="0.25">
      <c r="C14254" s="8" t="e">
        <f>VLOOKUP(A:A,'ITEM LIST'!A:C,3,0)</f>
        <v>#N/A</v>
      </c>
      <c r="D14254" s="6">
        <f t="shared" si="223"/>
        <v>0</v>
      </c>
    </row>
    <row r="14255" spans="3:4" ht="15" x14ac:dyDescent="0.25">
      <c r="C14255" s="8" t="e">
        <f>VLOOKUP(A:A,'ITEM LIST'!A:C,3,0)</f>
        <v>#N/A</v>
      </c>
      <c r="D14255" s="6">
        <f t="shared" si="223"/>
        <v>0</v>
      </c>
    </row>
    <row r="14256" spans="3:4" ht="15" x14ac:dyDescent="0.25">
      <c r="C14256" s="8" t="e">
        <f>VLOOKUP(A:A,'ITEM LIST'!A:C,3,0)</f>
        <v>#N/A</v>
      </c>
      <c r="D14256" s="6">
        <f t="shared" si="223"/>
        <v>0</v>
      </c>
    </row>
    <row r="14257" spans="3:4" ht="15" x14ac:dyDescent="0.25">
      <c r="C14257" s="8" t="e">
        <f>VLOOKUP(A:A,'ITEM LIST'!A:C,3,0)</f>
        <v>#N/A</v>
      </c>
      <c r="D14257" s="6">
        <f t="shared" si="223"/>
        <v>0</v>
      </c>
    </row>
    <row r="14258" spans="3:4" ht="15" x14ac:dyDescent="0.25">
      <c r="C14258" s="8" t="e">
        <f>VLOOKUP(A:A,'ITEM LIST'!A:C,3,0)</f>
        <v>#N/A</v>
      </c>
      <c r="D14258" s="6">
        <f t="shared" si="223"/>
        <v>0</v>
      </c>
    </row>
    <row r="14259" spans="3:4" ht="15" x14ac:dyDescent="0.25">
      <c r="C14259" s="8" t="e">
        <f>VLOOKUP(A:A,'ITEM LIST'!A:C,3,0)</f>
        <v>#N/A</v>
      </c>
      <c r="D14259" s="6">
        <f t="shared" si="223"/>
        <v>0</v>
      </c>
    </row>
    <row r="14260" spans="3:4" ht="15" x14ac:dyDescent="0.25">
      <c r="C14260" s="8" t="e">
        <f>VLOOKUP(A:A,'ITEM LIST'!A:C,3,0)</f>
        <v>#N/A</v>
      </c>
      <c r="D14260" s="6">
        <f t="shared" si="223"/>
        <v>0</v>
      </c>
    </row>
    <row r="14261" spans="3:4" ht="15" x14ac:dyDescent="0.25">
      <c r="C14261" s="8" t="e">
        <f>VLOOKUP(A:A,'ITEM LIST'!A:C,3,0)</f>
        <v>#N/A</v>
      </c>
      <c r="D14261" s="6">
        <f t="shared" si="223"/>
        <v>0</v>
      </c>
    </row>
    <row r="14262" spans="3:4" ht="15" x14ac:dyDescent="0.25">
      <c r="C14262" s="8" t="e">
        <f>VLOOKUP(A:A,'ITEM LIST'!A:C,3,0)</f>
        <v>#N/A</v>
      </c>
      <c r="D14262" s="6">
        <f t="shared" si="223"/>
        <v>0</v>
      </c>
    </row>
    <row r="14263" spans="3:4" ht="15" x14ac:dyDescent="0.25">
      <c r="C14263" s="8" t="e">
        <f>VLOOKUP(A:A,'ITEM LIST'!A:C,3,0)</f>
        <v>#N/A</v>
      </c>
      <c r="D14263" s="6">
        <f t="shared" si="223"/>
        <v>0</v>
      </c>
    </row>
    <row r="14264" spans="3:4" ht="15" x14ac:dyDescent="0.25">
      <c r="C14264" s="8" t="e">
        <f>VLOOKUP(A:A,'ITEM LIST'!A:C,3,0)</f>
        <v>#N/A</v>
      </c>
      <c r="D14264" s="6">
        <f t="shared" si="223"/>
        <v>0</v>
      </c>
    </row>
    <row r="14265" spans="3:4" ht="15" x14ac:dyDescent="0.25">
      <c r="C14265" s="8" t="e">
        <f>VLOOKUP(A:A,'ITEM LIST'!A:C,3,0)</f>
        <v>#N/A</v>
      </c>
      <c r="D14265" s="6">
        <f t="shared" si="223"/>
        <v>0</v>
      </c>
    </row>
    <row r="14266" spans="3:4" ht="15" x14ac:dyDescent="0.25">
      <c r="C14266" s="8" t="e">
        <f>VLOOKUP(A:A,'ITEM LIST'!A:C,3,0)</f>
        <v>#N/A</v>
      </c>
      <c r="D14266" s="6">
        <f t="shared" si="223"/>
        <v>0</v>
      </c>
    </row>
    <row r="14267" spans="3:4" ht="15" x14ac:dyDescent="0.25">
      <c r="C14267" s="8" t="e">
        <f>VLOOKUP(A:A,'ITEM LIST'!A:C,3,0)</f>
        <v>#N/A</v>
      </c>
      <c r="D14267" s="6">
        <f t="shared" si="223"/>
        <v>0</v>
      </c>
    </row>
    <row r="14268" spans="3:4" ht="15" x14ac:dyDescent="0.25">
      <c r="C14268" s="8" t="e">
        <f>VLOOKUP(A:A,'ITEM LIST'!A:C,3,0)</f>
        <v>#N/A</v>
      </c>
      <c r="D14268" s="6">
        <f t="shared" si="223"/>
        <v>0</v>
      </c>
    </row>
    <row r="14269" spans="3:4" ht="15" x14ac:dyDescent="0.25">
      <c r="C14269" s="8" t="e">
        <f>VLOOKUP(A:A,'ITEM LIST'!A:C,3,0)</f>
        <v>#N/A</v>
      </c>
      <c r="D14269" s="6">
        <f t="shared" si="223"/>
        <v>0</v>
      </c>
    </row>
    <row r="14270" spans="3:4" ht="15" x14ac:dyDescent="0.25">
      <c r="C14270" s="8" t="e">
        <f>VLOOKUP(A:A,'ITEM LIST'!A:C,3,0)</f>
        <v>#N/A</v>
      </c>
      <c r="D14270" s="6">
        <f t="shared" si="223"/>
        <v>0</v>
      </c>
    </row>
    <row r="14271" spans="3:4" ht="15" x14ac:dyDescent="0.25">
      <c r="C14271" s="8" t="e">
        <f>VLOOKUP(A:A,'ITEM LIST'!A:C,3,0)</f>
        <v>#N/A</v>
      </c>
      <c r="D14271" s="6">
        <f t="shared" si="223"/>
        <v>0</v>
      </c>
    </row>
    <row r="14272" spans="3:4" ht="15" x14ac:dyDescent="0.25">
      <c r="C14272" s="8" t="e">
        <f>VLOOKUP(A:A,'ITEM LIST'!A:C,3,0)</f>
        <v>#N/A</v>
      </c>
      <c r="D14272" s="6">
        <f t="shared" si="223"/>
        <v>0</v>
      </c>
    </row>
    <row r="14273" spans="3:4" ht="15" x14ac:dyDescent="0.25">
      <c r="C14273" s="8" t="e">
        <f>VLOOKUP(A:A,'ITEM LIST'!A:C,3,0)</f>
        <v>#N/A</v>
      </c>
      <c r="D14273" s="6">
        <f t="shared" si="223"/>
        <v>0</v>
      </c>
    </row>
    <row r="14274" spans="3:4" ht="15" x14ac:dyDescent="0.25">
      <c r="C14274" s="8" t="e">
        <f>VLOOKUP(A:A,'ITEM LIST'!A:C,3,0)</f>
        <v>#N/A</v>
      </c>
      <c r="D14274" s="6">
        <f t="shared" si="223"/>
        <v>0</v>
      </c>
    </row>
    <row r="14275" spans="3:4" ht="15" x14ac:dyDescent="0.25">
      <c r="C14275" s="8" t="e">
        <f>VLOOKUP(A:A,'ITEM LIST'!A:C,3,0)</f>
        <v>#N/A</v>
      </c>
      <c r="D14275" s="6">
        <f t="shared" si="223"/>
        <v>0</v>
      </c>
    </row>
    <row r="14276" spans="3:4" ht="15" x14ac:dyDescent="0.25">
      <c r="C14276" s="8" t="e">
        <f>VLOOKUP(A:A,'ITEM LIST'!A:C,3,0)</f>
        <v>#N/A</v>
      </c>
      <c r="D14276" s="6">
        <f t="shared" si="223"/>
        <v>0</v>
      </c>
    </row>
    <row r="14277" spans="3:4" ht="15" x14ac:dyDescent="0.25">
      <c r="C14277" s="8" t="e">
        <f>VLOOKUP(A:A,'ITEM LIST'!A:C,3,0)</f>
        <v>#N/A</v>
      </c>
      <c r="D14277" s="6">
        <f t="shared" si="223"/>
        <v>0</v>
      </c>
    </row>
    <row r="14278" spans="3:4" ht="15" x14ac:dyDescent="0.25">
      <c r="C14278" s="8" t="e">
        <f>VLOOKUP(A:A,'ITEM LIST'!A:C,3,0)</f>
        <v>#N/A</v>
      </c>
      <c r="D14278" s="6">
        <f t="shared" ref="D14278:D14341" si="224">B14278</f>
        <v>0</v>
      </c>
    </row>
    <row r="14279" spans="3:4" ht="15" x14ac:dyDescent="0.25">
      <c r="C14279" s="8" t="e">
        <f>VLOOKUP(A:A,'ITEM LIST'!A:C,3,0)</f>
        <v>#N/A</v>
      </c>
      <c r="D14279" s="6">
        <f t="shared" si="224"/>
        <v>0</v>
      </c>
    </row>
    <row r="14280" spans="3:4" ht="15" x14ac:dyDescent="0.25">
      <c r="C14280" s="8" t="e">
        <f>VLOOKUP(A:A,'ITEM LIST'!A:C,3,0)</f>
        <v>#N/A</v>
      </c>
      <c r="D14280" s="6">
        <f t="shared" si="224"/>
        <v>0</v>
      </c>
    </row>
    <row r="14281" spans="3:4" ht="15" x14ac:dyDescent="0.25">
      <c r="C14281" s="8" t="e">
        <f>VLOOKUP(A:A,'ITEM LIST'!A:C,3,0)</f>
        <v>#N/A</v>
      </c>
      <c r="D14281" s="6">
        <f t="shared" si="224"/>
        <v>0</v>
      </c>
    </row>
    <row r="14282" spans="3:4" ht="15" x14ac:dyDescent="0.25">
      <c r="C14282" s="8" t="e">
        <f>VLOOKUP(A:A,'ITEM LIST'!A:C,3,0)</f>
        <v>#N/A</v>
      </c>
      <c r="D14282" s="6">
        <f t="shared" si="224"/>
        <v>0</v>
      </c>
    </row>
    <row r="14283" spans="3:4" ht="15" x14ac:dyDescent="0.25">
      <c r="C14283" s="8" t="e">
        <f>VLOOKUP(A:A,'ITEM LIST'!A:C,3,0)</f>
        <v>#N/A</v>
      </c>
      <c r="D14283" s="6">
        <f t="shared" si="224"/>
        <v>0</v>
      </c>
    </row>
    <row r="14284" spans="3:4" ht="15" x14ac:dyDescent="0.25">
      <c r="C14284" s="8" t="e">
        <f>VLOOKUP(A:A,'ITEM LIST'!A:C,3,0)</f>
        <v>#N/A</v>
      </c>
      <c r="D14284" s="6">
        <f t="shared" si="224"/>
        <v>0</v>
      </c>
    </row>
    <row r="14285" spans="3:4" ht="15" x14ac:dyDescent="0.25">
      <c r="C14285" s="8" t="e">
        <f>VLOOKUP(A:A,'ITEM LIST'!A:C,3,0)</f>
        <v>#N/A</v>
      </c>
      <c r="D14285" s="6">
        <f t="shared" si="224"/>
        <v>0</v>
      </c>
    </row>
    <row r="14286" spans="3:4" ht="15" x14ac:dyDescent="0.25">
      <c r="C14286" s="8" t="e">
        <f>VLOOKUP(A:A,'ITEM LIST'!A:C,3,0)</f>
        <v>#N/A</v>
      </c>
      <c r="D14286" s="6">
        <f t="shared" si="224"/>
        <v>0</v>
      </c>
    </row>
    <row r="14287" spans="3:4" ht="15" x14ac:dyDescent="0.25">
      <c r="C14287" s="8" t="e">
        <f>VLOOKUP(A:A,'ITEM LIST'!A:C,3,0)</f>
        <v>#N/A</v>
      </c>
      <c r="D14287" s="6">
        <f t="shared" si="224"/>
        <v>0</v>
      </c>
    </row>
    <row r="14288" spans="3:4" ht="15" x14ac:dyDescent="0.25">
      <c r="C14288" s="8" t="e">
        <f>VLOOKUP(A:A,'ITEM LIST'!A:C,3,0)</f>
        <v>#N/A</v>
      </c>
      <c r="D14288" s="6">
        <f t="shared" si="224"/>
        <v>0</v>
      </c>
    </row>
    <row r="14289" spans="3:4" ht="15" x14ac:dyDescent="0.25">
      <c r="C14289" s="8" t="e">
        <f>VLOOKUP(A:A,'ITEM LIST'!A:C,3,0)</f>
        <v>#N/A</v>
      </c>
      <c r="D14289" s="6">
        <f t="shared" si="224"/>
        <v>0</v>
      </c>
    </row>
    <row r="14290" spans="3:4" ht="15" x14ac:dyDescent="0.25">
      <c r="C14290" s="8" t="e">
        <f>VLOOKUP(A:A,'ITEM LIST'!A:C,3,0)</f>
        <v>#N/A</v>
      </c>
      <c r="D14290" s="6">
        <f t="shared" si="224"/>
        <v>0</v>
      </c>
    </row>
    <row r="14291" spans="3:4" ht="15" x14ac:dyDescent="0.25">
      <c r="C14291" s="8" t="e">
        <f>VLOOKUP(A:A,'ITEM LIST'!A:C,3,0)</f>
        <v>#N/A</v>
      </c>
      <c r="D14291" s="6">
        <f t="shared" si="224"/>
        <v>0</v>
      </c>
    </row>
    <row r="14292" spans="3:4" ht="15" x14ac:dyDescent="0.25">
      <c r="C14292" s="8" t="e">
        <f>VLOOKUP(A:A,'ITEM LIST'!A:C,3,0)</f>
        <v>#N/A</v>
      </c>
      <c r="D14292" s="6">
        <f t="shared" si="224"/>
        <v>0</v>
      </c>
    </row>
    <row r="14293" spans="3:4" ht="15" x14ac:dyDescent="0.25">
      <c r="C14293" s="8" t="e">
        <f>VLOOKUP(A:A,'ITEM LIST'!A:C,3,0)</f>
        <v>#N/A</v>
      </c>
      <c r="D14293" s="6">
        <f t="shared" si="224"/>
        <v>0</v>
      </c>
    </row>
    <row r="14294" spans="3:4" ht="15" x14ac:dyDescent="0.25">
      <c r="C14294" s="8" t="e">
        <f>VLOOKUP(A:A,'ITEM LIST'!A:C,3,0)</f>
        <v>#N/A</v>
      </c>
      <c r="D14294" s="6">
        <f t="shared" si="224"/>
        <v>0</v>
      </c>
    </row>
    <row r="14295" spans="3:4" ht="15" x14ac:dyDescent="0.25">
      <c r="C14295" s="8" t="e">
        <f>VLOOKUP(A:A,'ITEM LIST'!A:C,3,0)</f>
        <v>#N/A</v>
      </c>
      <c r="D14295" s="6">
        <f t="shared" si="224"/>
        <v>0</v>
      </c>
    </row>
    <row r="14296" spans="3:4" ht="15" x14ac:dyDescent="0.25">
      <c r="C14296" s="8" t="e">
        <f>VLOOKUP(A:A,'ITEM LIST'!A:C,3,0)</f>
        <v>#N/A</v>
      </c>
      <c r="D14296" s="6">
        <f t="shared" si="224"/>
        <v>0</v>
      </c>
    </row>
    <row r="14297" spans="3:4" ht="15" x14ac:dyDescent="0.25">
      <c r="C14297" s="8" t="e">
        <f>VLOOKUP(A:A,'ITEM LIST'!A:C,3,0)</f>
        <v>#N/A</v>
      </c>
      <c r="D14297" s="6">
        <f t="shared" si="224"/>
        <v>0</v>
      </c>
    </row>
    <row r="14298" spans="3:4" ht="15" x14ac:dyDescent="0.25">
      <c r="C14298" s="8" t="e">
        <f>VLOOKUP(A:A,'ITEM LIST'!A:C,3,0)</f>
        <v>#N/A</v>
      </c>
      <c r="D14298" s="6">
        <f t="shared" si="224"/>
        <v>0</v>
      </c>
    </row>
    <row r="14299" spans="3:4" ht="15" x14ac:dyDescent="0.25">
      <c r="C14299" s="8" t="e">
        <f>VLOOKUP(A:A,'ITEM LIST'!A:C,3,0)</f>
        <v>#N/A</v>
      </c>
      <c r="D14299" s="6">
        <f t="shared" si="224"/>
        <v>0</v>
      </c>
    </row>
    <row r="14300" spans="3:4" ht="15" x14ac:dyDescent="0.25">
      <c r="C14300" s="8" t="e">
        <f>VLOOKUP(A:A,'ITEM LIST'!A:C,3,0)</f>
        <v>#N/A</v>
      </c>
      <c r="D14300" s="6">
        <f t="shared" si="224"/>
        <v>0</v>
      </c>
    </row>
    <row r="14301" spans="3:4" ht="15" x14ac:dyDescent="0.25">
      <c r="C14301" s="8" t="e">
        <f>VLOOKUP(A:A,'ITEM LIST'!A:C,3,0)</f>
        <v>#N/A</v>
      </c>
      <c r="D14301" s="6">
        <f t="shared" si="224"/>
        <v>0</v>
      </c>
    </row>
    <row r="14302" spans="3:4" ht="15" x14ac:dyDescent="0.25">
      <c r="C14302" s="8" t="e">
        <f>VLOOKUP(A:A,'ITEM LIST'!A:C,3,0)</f>
        <v>#N/A</v>
      </c>
      <c r="D14302" s="6">
        <f t="shared" si="224"/>
        <v>0</v>
      </c>
    </row>
    <row r="14303" spans="3:4" ht="15" x14ac:dyDescent="0.25">
      <c r="C14303" s="8" t="e">
        <f>VLOOKUP(A:A,'ITEM LIST'!A:C,3,0)</f>
        <v>#N/A</v>
      </c>
      <c r="D14303" s="6">
        <f t="shared" si="224"/>
        <v>0</v>
      </c>
    </row>
    <row r="14304" spans="3:4" ht="15" x14ac:dyDescent="0.25">
      <c r="C14304" s="8" t="e">
        <f>VLOOKUP(A:A,'ITEM LIST'!A:C,3,0)</f>
        <v>#N/A</v>
      </c>
      <c r="D14304" s="6">
        <f t="shared" si="224"/>
        <v>0</v>
      </c>
    </row>
    <row r="14305" spans="3:4" ht="15" x14ac:dyDescent="0.25">
      <c r="C14305" s="8" t="e">
        <f>VLOOKUP(A:A,'ITEM LIST'!A:C,3,0)</f>
        <v>#N/A</v>
      </c>
      <c r="D14305" s="6">
        <f t="shared" si="224"/>
        <v>0</v>
      </c>
    </row>
    <row r="14306" spans="3:4" ht="15" x14ac:dyDescent="0.25">
      <c r="C14306" s="8" t="e">
        <f>VLOOKUP(A:A,'ITEM LIST'!A:C,3,0)</f>
        <v>#N/A</v>
      </c>
      <c r="D14306" s="6">
        <f t="shared" si="224"/>
        <v>0</v>
      </c>
    </row>
    <row r="14307" spans="3:4" ht="15" x14ac:dyDescent="0.25">
      <c r="C14307" s="8" t="e">
        <f>VLOOKUP(A:A,'ITEM LIST'!A:C,3,0)</f>
        <v>#N/A</v>
      </c>
      <c r="D14307" s="6">
        <f t="shared" si="224"/>
        <v>0</v>
      </c>
    </row>
    <row r="14308" spans="3:4" ht="15" x14ac:dyDescent="0.25">
      <c r="C14308" s="8" t="e">
        <f>VLOOKUP(A:A,'ITEM LIST'!A:C,3,0)</f>
        <v>#N/A</v>
      </c>
      <c r="D14308" s="6">
        <f t="shared" si="224"/>
        <v>0</v>
      </c>
    </row>
    <row r="14309" spans="3:4" ht="15" x14ac:dyDescent="0.25">
      <c r="C14309" s="8" t="e">
        <f>VLOOKUP(A:A,'ITEM LIST'!A:C,3,0)</f>
        <v>#N/A</v>
      </c>
      <c r="D14309" s="6">
        <f t="shared" si="224"/>
        <v>0</v>
      </c>
    </row>
    <row r="14310" spans="3:4" ht="15" x14ac:dyDescent="0.25">
      <c r="C14310" s="8" t="e">
        <f>VLOOKUP(A:A,'ITEM LIST'!A:C,3,0)</f>
        <v>#N/A</v>
      </c>
      <c r="D14310" s="6">
        <f t="shared" si="224"/>
        <v>0</v>
      </c>
    </row>
    <row r="14311" spans="3:4" ht="15" x14ac:dyDescent="0.25">
      <c r="C14311" s="8" t="e">
        <f>VLOOKUP(A:A,'ITEM LIST'!A:C,3,0)</f>
        <v>#N/A</v>
      </c>
      <c r="D14311" s="6">
        <f t="shared" si="224"/>
        <v>0</v>
      </c>
    </row>
    <row r="14312" spans="3:4" ht="15" x14ac:dyDescent="0.25">
      <c r="C14312" s="8" t="e">
        <f>VLOOKUP(A:A,'ITEM LIST'!A:C,3,0)</f>
        <v>#N/A</v>
      </c>
      <c r="D14312" s="6">
        <f t="shared" si="224"/>
        <v>0</v>
      </c>
    </row>
    <row r="14313" spans="3:4" ht="15" x14ac:dyDescent="0.25">
      <c r="C14313" s="8" t="e">
        <f>VLOOKUP(A:A,'ITEM LIST'!A:C,3,0)</f>
        <v>#N/A</v>
      </c>
      <c r="D14313" s="6">
        <f t="shared" si="224"/>
        <v>0</v>
      </c>
    </row>
    <row r="14314" spans="3:4" ht="15" x14ac:dyDescent="0.25">
      <c r="C14314" s="8" t="e">
        <f>VLOOKUP(A:A,'ITEM LIST'!A:C,3,0)</f>
        <v>#N/A</v>
      </c>
      <c r="D14314" s="6">
        <f t="shared" si="224"/>
        <v>0</v>
      </c>
    </row>
    <row r="14315" spans="3:4" ht="15" x14ac:dyDescent="0.25">
      <c r="C14315" s="8" t="e">
        <f>VLOOKUP(A:A,'ITEM LIST'!A:C,3,0)</f>
        <v>#N/A</v>
      </c>
      <c r="D14315" s="6">
        <f t="shared" si="224"/>
        <v>0</v>
      </c>
    </row>
    <row r="14316" spans="3:4" ht="15" x14ac:dyDescent="0.25">
      <c r="C14316" s="8" t="e">
        <f>VLOOKUP(A:A,'ITEM LIST'!A:C,3,0)</f>
        <v>#N/A</v>
      </c>
      <c r="D14316" s="6">
        <f t="shared" si="224"/>
        <v>0</v>
      </c>
    </row>
    <row r="14317" spans="3:4" ht="15" x14ac:dyDescent="0.25">
      <c r="C14317" s="8" t="e">
        <f>VLOOKUP(A:A,'ITEM LIST'!A:C,3,0)</f>
        <v>#N/A</v>
      </c>
      <c r="D14317" s="6">
        <f t="shared" si="224"/>
        <v>0</v>
      </c>
    </row>
    <row r="14318" spans="3:4" ht="15" x14ac:dyDescent="0.25">
      <c r="C14318" s="8" t="e">
        <f>VLOOKUP(A:A,'ITEM LIST'!A:C,3,0)</f>
        <v>#N/A</v>
      </c>
      <c r="D14318" s="6">
        <f t="shared" si="224"/>
        <v>0</v>
      </c>
    </row>
    <row r="14319" spans="3:4" ht="15" x14ac:dyDescent="0.25">
      <c r="C14319" s="8" t="e">
        <f>VLOOKUP(A:A,'ITEM LIST'!A:C,3,0)</f>
        <v>#N/A</v>
      </c>
      <c r="D14319" s="6">
        <f t="shared" si="224"/>
        <v>0</v>
      </c>
    </row>
    <row r="14320" spans="3:4" ht="15" x14ac:dyDescent="0.25">
      <c r="C14320" s="8" t="e">
        <f>VLOOKUP(A:A,'ITEM LIST'!A:C,3,0)</f>
        <v>#N/A</v>
      </c>
      <c r="D14320" s="6">
        <f t="shared" si="224"/>
        <v>0</v>
      </c>
    </row>
    <row r="14321" spans="3:4" ht="15" x14ac:dyDescent="0.25">
      <c r="C14321" s="8" t="e">
        <f>VLOOKUP(A:A,'ITEM LIST'!A:C,3,0)</f>
        <v>#N/A</v>
      </c>
      <c r="D14321" s="6">
        <f t="shared" si="224"/>
        <v>0</v>
      </c>
    </row>
    <row r="14322" spans="3:4" ht="15" x14ac:dyDescent="0.25">
      <c r="C14322" s="8" t="e">
        <f>VLOOKUP(A:A,'ITEM LIST'!A:C,3,0)</f>
        <v>#N/A</v>
      </c>
      <c r="D14322" s="6">
        <f t="shared" si="224"/>
        <v>0</v>
      </c>
    </row>
    <row r="14323" spans="3:4" ht="15" x14ac:dyDescent="0.25">
      <c r="C14323" s="8" t="e">
        <f>VLOOKUP(A:A,'ITEM LIST'!A:C,3,0)</f>
        <v>#N/A</v>
      </c>
      <c r="D14323" s="6">
        <f t="shared" si="224"/>
        <v>0</v>
      </c>
    </row>
    <row r="14324" spans="3:4" ht="15" x14ac:dyDescent="0.25">
      <c r="C14324" s="8" t="e">
        <f>VLOOKUP(A:A,'ITEM LIST'!A:C,3,0)</f>
        <v>#N/A</v>
      </c>
      <c r="D14324" s="6">
        <f t="shared" si="224"/>
        <v>0</v>
      </c>
    </row>
    <row r="14325" spans="3:4" ht="15" x14ac:dyDescent="0.25">
      <c r="C14325" s="8" t="e">
        <f>VLOOKUP(A:A,'ITEM LIST'!A:C,3,0)</f>
        <v>#N/A</v>
      </c>
      <c r="D14325" s="6">
        <f t="shared" si="224"/>
        <v>0</v>
      </c>
    </row>
    <row r="14326" spans="3:4" ht="15" x14ac:dyDescent="0.25">
      <c r="C14326" s="8" t="e">
        <f>VLOOKUP(A:A,'ITEM LIST'!A:C,3,0)</f>
        <v>#N/A</v>
      </c>
      <c r="D14326" s="6">
        <f t="shared" si="224"/>
        <v>0</v>
      </c>
    </row>
    <row r="14327" spans="3:4" ht="15" x14ac:dyDescent="0.25">
      <c r="C14327" s="8" t="e">
        <f>VLOOKUP(A:A,'ITEM LIST'!A:C,3,0)</f>
        <v>#N/A</v>
      </c>
      <c r="D14327" s="6">
        <f t="shared" si="224"/>
        <v>0</v>
      </c>
    </row>
    <row r="14328" spans="3:4" ht="15" x14ac:dyDescent="0.25">
      <c r="C14328" s="8" t="e">
        <f>VLOOKUP(A:A,'ITEM LIST'!A:C,3,0)</f>
        <v>#N/A</v>
      </c>
      <c r="D14328" s="6">
        <f t="shared" si="224"/>
        <v>0</v>
      </c>
    </row>
    <row r="14329" spans="3:4" ht="15" x14ac:dyDescent="0.25">
      <c r="C14329" s="8" t="e">
        <f>VLOOKUP(A:A,'ITEM LIST'!A:C,3,0)</f>
        <v>#N/A</v>
      </c>
      <c r="D14329" s="6">
        <f t="shared" si="224"/>
        <v>0</v>
      </c>
    </row>
    <row r="14330" spans="3:4" ht="15" x14ac:dyDescent="0.25">
      <c r="C14330" s="8" t="e">
        <f>VLOOKUP(A:A,'ITEM LIST'!A:C,3,0)</f>
        <v>#N/A</v>
      </c>
      <c r="D14330" s="6">
        <f t="shared" si="224"/>
        <v>0</v>
      </c>
    </row>
    <row r="14331" spans="3:4" ht="15" x14ac:dyDescent="0.25">
      <c r="C14331" s="8" t="e">
        <f>VLOOKUP(A:A,'ITEM LIST'!A:C,3,0)</f>
        <v>#N/A</v>
      </c>
      <c r="D14331" s="6">
        <f t="shared" si="224"/>
        <v>0</v>
      </c>
    </row>
    <row r="14332" spans="3:4" ht="15" x14ac:dyDescent="0.25">
      <c r="C14332" s="8" t="e">
        <f>VLOOKUP(A:A,'ITEM LIST'!A:C,3,0)</f>
        <v>#N/A</v>
      </c>
      <c r="D14332" s="6">
        <f t="shared" si="224"/>
        <v>0</v>
      </c>
    </row>
    <row r="14333" spans="3:4" ht="15" x14ac:dyDescent="0.25">
      <c r="C14333" s="8" t="e">
        <f>VLOOKUP(A:A,'ITEM LIST'!A:C,3,0)</f>
        <v>#N/A</v>
      </c>
      <c r="D14333" s="6">
        <f t="shared" si="224"/>
        <v>0</v>
      </c>
    </row>
    <row r="14334" spans="3:4" ht="15" x14ac:dyDescent="0.25">
      <c r="C14334" s="8" t="e">
        <f>VLOOKUP(A:A,'ITEM LIST'!A:C,3,0)</f>
        <v>#N/A</v>
      </c>
      <c r="D14334" s="6">
        <f t="shared" si="224"/>
        <v>0</v>
      </c>
    </row>
    <row r="14335" spans="3:4" ht="15" x14ac:dyDescent="0.25">
      <c r="C14335" s="8" t="e">
        <f>VLOOKUP(A:A,'ITEM LIST'!A:C,3,0)</f>
        <v>#N/A</v>
      </c>
      <c r="D14335" s="6">
        <f t="shared" si="224"/>
        <v>0</v>
      </c>
    </row>
    <row r="14336" spans="3:4" ht="15" x14ac:dyDescent="0.25">
      <c r="C14336" s="8" t="e">
        <f>VLOOKUP(A:A,'ITEM LIST'!A:C,3,0)</f>
        <v>#N/A</v>
      </c>
      <c r="D14336" s="6">
        <f t="shared" si="224"/>
        <v>0</v>
      </c>
    </row>
    <row r="14337" spans="3:4" ht="15" x14ac:dyDescent="0.25">
      <c r="C14337" s="8" t="e">
        <f>VLOOKUP(A:A,'ITEM LIST'!A:C,3,0)</f>
        <v>#N/A</v>
      </c>
      <c r="D14337" s="6">
        <f t="shared" si="224"/>
        <v>0</v>
      </c>
    </row>
    <row r="14338" spans="3:4" ht="15" x14ac:dyDescent="0.25">
      <c r="C14338" s="8" t="e">
        <f>VLOOKUP(A:A,'ITEM LIST'!A:C,3,0)</f>
        <v>#N/A</v>
      </c>
      <c r="D14338" s="6">
        <f t="shared" si="224"/>
        <v>0</v>
      </c>
    </row>
    <row r="14339" spans="3:4" ht="15" x14ac:dyDescent="0.25">
      <c r="C14339" s="8" t="e">
        <f>VLOOKUP(A:A,'ITEM LIST'!A:C,3,0)</f>
        <v>#N/A</v>
      </c>
      <c r="D14339" s="6">
        <f t="shared" si="224"/>
        <v>0</v>
      </c>
    </row>
    <row r="14340" spans="3:4" ht="15" x14ac:dyDescent="0.25">
      <c r="C14340" s="8" t="e">
        <f>VLOOKUP(A:A,'ITEM LIST'!A:C,3,0)</f>
        <v>#N/A</v>
      </c>
      <c r="D14340" s="6">
        <f t="shared" si="224"/>
        <v>0</v>
      </c>
    </row>
    <row r="14341" spans="3:4" ht="15" x14ac:dyDescent="0.25">
      <c r="C14341" s="8" t="e">
        <f>VLOOKUP(A:A,'ITEM LIST'!A:C,3,0)</f>
        <v>#N/A</v>
      </c>
      <c r="D14341" s="6">
        <f t="shared" si="224"/>
        <v>0</v>
      </c>
    </row>
    <row r="14342" spans="3:4" ht="15" x14ac:dyDescent="0.25">
      <c r="C14342" s="8" t="e">
        <f>VLOOKUP(A:A,'ITEM LIST'!A:C,3,0)</f>
        <v>#N/A</v>
      </c>
      <c r="D14342" s="6">
        <f t="shared" ref="D14342:D14405" si="225">B14342</f>
        <v>0</v>
      </c>
    </row>
    <row r="14343" spans="3:4" ht="15" x14ac:dyDescent="0.25">
      <c r="C14343" s="8" t="e">
        <f>VLOOKUP(A:A,'ITEM LIST'!A:C,3,0)</f>
        <v>#N/A</v>
      </c>
      <c r="D14343" s="6">
        <f t="shared" si="225"/>
        <v>0</v>
      </c>
    </row>
    <row r="14344" spans="3:4" ht="15" x14ac:dyDescent="0.25">
      <c r="C14344" s="8" t="e">
        <f>VLOOKUP(A:A,'ITEM LIST'!A:C,3,0)</f>
        <v>#N/A</v>
      </c>
      <c r="D14344" s="6">
        <f t="shared" si="225"/>
        <v>0</v>
      </c>
    </row>
    <row r="14345" spans="3:4" ht="15" x14ac:dyDescent="0.25">
      <c r="C14345" s="8" t="e">
        <f>VLOOKUP(A:A,'ITEM LIST'!A:C,3,0)</f>
        <v>#N/A</v>
      </c>
      <c r="D14345" s="6">
        <f t="shared" si="225"/>
        <v>0</v>
      </c>
    </row>
    <row r="14346" spans="3:4" ht="15" x14ac:dyDescent="0.25">
      <c r="C14346" s="8" t="e">
        <f>VLOOKUP(A:A,'ITEM LIST'!A:C,3,0)</f>
        <v>#N/A</v>
      </c>
      <c r="D14346" s="6">
        <f t="shared" si="225"/>
        <v>0</v>
      </c>
    </row>
    <row r="14347" spans="3:4" ht="15" x14ac:dyDescent="0.25">
      <c r="C14347" s="8" t="e">
        <f>VLOOKUP(A:A,'ITEM LIST'!A:C,3,0)</f>
        <v>#N/A</v>
      </c>
      <c r="D14347" s="6">
        <f t="shared" si="225"/>
        <v>0</v>
      </c>
    </row>
    <row r="14348" spans="3:4" ht="15" x14ac:dyDescent="0.25">
      <c r="C14348" s="8" t="e">
        <f>VLOOKUP(A:A,'ITEM LIST'!A:C,3,0)</f>
        <v>#N/A</v>
      </c>
      <c r="D14348" s="6">
        <f t="shared" si="225"/>
        <v>0</v>
      </c>
    </row>
    <row r="14349" spans="3:4" ht="15" x14ac:dyDescent="0.25">
      <c r="C14349" s="8" t="e">
        <f>VLOOKUP(A:A,'ITEM LIST'!A:C,3,0)</f>
        <v>#N/A</v>
      </c>
      <c r="D14349" s="6">
        <f t="shared" si="225"/>
        <v>0</v>
      </c>
    </row>
    <row r="14350" spans="3:4" ht="15" x14ac:dyDescent="0.25">
      <c r="C14350" s="8" t="e">
        <f>VLOOKUP(A:A,'ITEM LIST'!A:C,3,0)</f>
        <v>#N/A</v>
      </c>
      <c r="D14350" s="6">
        <f t="shared" si="225"/>
        <v>0</v>
      </c>
    </row>
    <row r="14351" spans="3:4" ht="15" x14ac:dyDescent="0.25">
      <c r="C14351" s="8" t="e">
        <f>VLOOKUP(A:A,'ITEM LIST'!A:C,3,0)</f>
        <v>#N/A</v>
      </c>
      <c r="D14351" s="6">
        <f t="shared" si="225"/>
        <v>0</v>
      </c>
    </row>
    <row r="14352" spans="3:4" ht="15" x14ac:dyDescent="0.25">
      <c r="C14352" s="8" t="e">
        <f>VLOOKUP(A:A,'ITEM LIST'!A:C,3,0)</f>
        <v>#N/A</v>
      </c>
      <c r="D14352" s="6">
        <f t="shared" si="225"/>
        <v>0</v>
      </c>
    </row>
    <row r="14353" spans="3:4" ht="15" x14ac:dyDescent="0.25">
      <c r="C14353" s="8" t="e">
        <f>VLOOKUP(A:A,'ITEM LIST'!A:C,3,0)</f>
        <v>#N/A</v>
      </c>
      <c r="D14353" s="6">
        <f t="shared" si="225"/>
        <v>0</v>
      </c>
    </row>
    <row r="14354" spans="3:4" ht="15" x14ac:dyDescent="0.25">
      <c r="C14354" s="8" t="e">
        <f>VLOOKUP(A:A,'ITEM LIST'!A:C,3,0)</f>
        <v>#N/A</v>
      </c>
      <c r="D14354" s="6">
        <f t="shared" si="225"/>
        <v>0</v>
      </c>
    </row>
    <row r="14355" spans="3:4" ht="15" x14ac:dyDescent="0.25">
      <c r="C14355" s="8" t="e">
        <f>VLOOKUP(A:A,'ITEM LIST'!A:C,3,0)</f>
        <v>#N/A</v>
      </c>
      <c r="D14355" s="6">
        <f t="shared" si="225"/>
        <v>0</v>
      </c>
    </row>
    <row r="14356" spans="3:4" ht="15" x14ac:dyDescent="0.25">
      <c r="C14356" s="8" t="e">
        <f>VLOOKUP(A:A,'ITEM LIST'!A:C,3,0)</f>
        <v>#N/A</v>
      </c>
      <c r="D14356" s="6">
        <f t="shared" si="225"/>
        <v>0</v>
      </c>
    </row>
    <row r="14357" spans="3:4" ht="15" x14ac:dyDescent="0.25">
      <c r="C14357" s="8" t="e">
        <f>VLOOKUP(A:A,'ITEM LIST'!A:C,3,0)</f>
        <v>#N/A</v>
      </c>
      <c r="D14357" s="6">
        <f t="shared" si="225"/>
        <v>0</v>
      </c>
    </row>
    <row r="14358" spans="3:4" ht="15" x14ac:dyDescent="0.25">
      <c r="C14358" s="8" t="e">
        <f>VLOOKUP(A:A,'ITEM LIST'!A:C,3,0)</f>
        <v>#N/A</v>
      </c>
      <c r="D14358" s="6">
        <f t="shared" si="225"/>
        <v>0</v>
      </c>
    </row>
    <row r="14359" spans="3:4" ht="15" x14ac:dyDescent="0.25">
      <c r="C14359" s="8" t="e">
        <f>VLOOKUP(A:A,'ITEM LIST'!A:C,3,0)</f>
        <v>#N/A</v>
      </c>
      <c r="D14359" s="6">
        <f t="shared" si="225"/>
        <v>0</v>
      </c>
    </row>
    <row r="14360" spans="3:4" ht="15" x14ac:dyDescent="0.25">
      <c r="C14360" s="8" t="e">
        <f>VLOOKUP(A:A,'ITEM LIST'!A:C,3,0)</f>
        <v>#N/A</v>
      </c>
      <c r="D14360" s="6">
        <f t="shared" si="225"/>
        <v>0</v>
      </c>
    </row>
    <row r="14361" spans="3:4" ht="15" x14ac:dyDescent="0.25">
      <c r="C14361" s="8" t="e">
        <f>VLOOKUP(A:A,'ITEM LIST'!A:C,3,0)</f>
        <v>#N/A</v>
      </c>
      <c r="D14361" s="6">
        <f t="shared" si="225"/>
        <v>0</v>
      </c>
    </row>
    <row r="14362" spans="3:4" ht="15" x14ac:dyDescent="0.25">
      <c r="C14362" s="8" t="e">
        <f>VLOOKUP(A:A,'ITEM LIST'!A:C,3,0)</f>
        <v>#N/A</v>
      </c>
      <c r="D14362" s="6">
        <f t="shared" si="225"/>
        <v>0</v>
      </c>
    </row>
    <row r="14363" spans="3:4" ht="15" x14ac:dyDescent="0.25">
      <c r="C14363" s="8" t="e">
        <f>VLOOKUP(A:A,'ITEM LIST'!A:C,3,0)</f>
        <v>#N/A</v>
      </c>
      <c r="D14363" s="6">
        <f t="shared" si="225"/>
        <v>0</v>
      </c>
    </row>
    <row r="14364" spans="3:4" ht="15" x14ac:dyDescent="0.25">
      <c r="C14364" s="8" t="e">
        <f>VLOOKUP(A:A,'ITEM LIST'!A:C,3,0)</f>
        <v>#N/A</v>
      </c>
      <c r="D14364" s="6">
        <f t="shared" si="225"/>
        <v>0</v>
      </c>
    </row>
    <row r="14365" spans="3:4" ht="15" x14ac:dyDescent="0.25">
      <c r="C14365" s="8" t="e">
        <f>VLOOKUP(A:A,'ITEM LIST'!A:C,3,0)</f>
        <v>#N/A</v>
      </c>
      <c r="D14365" s="6">
        <f t="shared" si="225"/>
        <v>0</v>
      </c>
    </row>
    <row r="14366" spans="3:4" ht="15" x14ac:dyDescent="0.25">
      <c r="C14366" s="8" t="e">
        <f>VLOOKUP(A:A,'ITEM LIST'!A:C,3,0)</f>
        <v>#N/A</v>
      </c>
      <c r="D14366" s="6">
        <f t="shared" si="225"/>
        <v>0</v>
      </c>
    </row>
    <row r="14367" spans="3:4" ht="15" x14ac:dyDescent="0.25">
      <c r="C14367" s="8" t="e">
        <f>VLOOKUP(A:A,'ITEM LIST'!A:C,3,0)</f>
        <v>#N/A</v>
      </c>
      <c r="D14367" s="6">
        <f t="shared" si="225"/>
        <v>0</v>
      </c>
    </row>
    <row r="14368" spans="3:4" ht="15" x14ac:dyDescent="0.25">
      <c r="C14368" s="8" t="e">
        <f>VLOOKUP(A:A,'ITEM LIST'!A:C,3,0)</f>
        <v>#N/A</v>
      </c>
      <c r="D14368" s="6">
        <f t="shared" si="225"/>
        <v>0</v>
      </c>
    </row>
    <row r="14369" spans="3:4" ht="15" x14ac:dyDescent="0.25">
      <c r="C14369" s="8" t="e">
        <f>VLOOKUP(A:A,'ITEM LIST'!A:C,3,0)</f>
        <v>#N/A</v>
      </c>
      <c r="D14369" s="6">
        <f t="shared" si="225"/>
        <v>0</v>
      </c>
    </row>
    <row r="14370" spans="3:4" ht="15" x14ac:dyDescent="0.25">
      <c r="C14370" s="8" t="e">
        <f>VLOOKUP(A:A,'ITEM LIST'!A:C,3,0)</f>
        <v>#N/A</v>
      </c>
      <c r="D14370" s="6">
        <f t="shared" si="225"/>
        <v>0</v>
      </c>
    </row>
    <row r="14371" spans="3:4" ht="15" x14ac:dyDescent="0.25">
      <c r="C14371" s="8" t="e">
        <f>VLOOKUP(A:A,'ITEM LIST'!A:C,3,0)</f>
        <v>#N/A</v>
      </c>
      <c r="D14371" s="6">
        <f t="shared" si="225"/>
        <v>0</v>
      </c>
    </row>
    <row r="14372" spans="3:4" ht="15" x14ac:dyDescent="0.25">
      <c r="C14372" s="8" t="e">
        <f>VLOOKUP(A:A,'ITEM LIST'!A:C,3,0)</f>
        <v>#N/A</v>
      </c>
      <c r="D14372" s="6">
        <f t="shared" si="225"/>
        <v>0</v>
      </c>
    </row>
    <row r="14373" spans="3:4" ht="15" x14ac:dyDescent="0.25">
      <c r="C14373" s="8" t="e">
        <f>VLOOKUP(A:A,'ITEM LIST'!A:C,3,0)</f>
        <v>#N/A</v>
      </c>
      <c r="D14373" s="6">
        <f t="shared" si="225"/>
        <v>0</v>
      </c>
    </row>
    <row r="14374" spans="3:4" ht="15" x14ac:dyDescent="0.25">
      <c r="C14374" s="8" t="e">
        <f>VLOOKUP(A:A,'ITEM LIST'!A:C,3,0)</f>
        <v>#N/A</v>
      </c>
      <c r="D14374" s="6">
        <f t="shared" si="225"/>
        <v>0</v>
      </c>
    </row>
    <row r="14375" spans="3:4" ht="15" x14ac:dyDescent="0.25">
      <c r="C14375" s="8" t="e">
        <f>VLOOKUP(A:A,'ITEM LIST'!A:C,3,0)</f>
        <v>#N/A</v>
      </c>
      <c r="D14375" s="6">
        <f t="shared" si="225"/>
        <v>0</v>
      </c>
    </row>
    <row r="14376" spans="3:4" ht="15" x14ac:dyDescent="0.25">
      <c r="C14376" s="8" t="e">
        <f>VLOOKUP(A:A,'ITEM LIST'!A:C,3,0)</f>
        <v>#N/A</v>
      </c>
      <c r="D14376" s="6">
        <f t="shared" si="225"/>
        <v>0</v>
      </c>
    </row>
    <row r="14377" spans="3:4" ht="15" x14ac:dyDescent="0.25">
      <c r="C14377" s="8" t="e">
        <f>VLOOKUP(A:A,'ITEM LIST'!A:C,3,0)</f>
        <v>#N/A</v>
      </c>
      <c r="D14377" s="6">
        <f t="shared" si="225"/>
        <v>0</v>
      </c>
    </row>
    <row r="14378" spans="3:4" ht="15" x14ac:dyDescent="0.25">
      <c r="C14378" s="8" t="e">
        <f>VLOOKUP(A:A,'ITEM LIST'!A:C,3,0)</f>
        <v>#N/A</v>
      </c>
      <c r="D14378" s="6">
        <f t="shared" si="225"/>
        <v>0</v>
      </c>
    </row>
    <row r="14379" spans="3:4" ht="15" x14ac:dyDescent="0.25">
      <c r="C14379" s="8" t="e">
        <f>VLOOKUP(A:A,'ITEM LIST'!A:C,3,0)</f>
        <v>#N/A</v>
      </c>
      <c r="D14379" s="6">
        <f t="shared" si="225"/>
        <v>0</v>
      </c>
    </row>
    <row r="14380" spans="3:4" ht="15" x14ac:dyDescent="0.25">
      <c r="C14380" s="8" t="e">
        <f>VLOOKUP(A:A,'ITEM LIST'!A:C,3,0)</f>
        <v>#N/A</v>
      </c>
      <c r="D14380" s="6">
        <f t="shared" si="225"/>
        <v>0</v>
      </c>
    </row>
    <row r="14381" spans="3:4" ht="15" x14ac:dyDescent="0.25">
      <c r="C14381" s="8" t="e">
        <f>VLOOKUP(A:A,'ITEM LIST'!A:C,3,0)</f>
        <v>#N/A</v>
      </c>
      <c r="D14381" s="6">
        <f t="shared" si="225"/>
        <v>0</v>
      </c>
    </row>
    <row r="14382" spans="3:4" ht="15" x14ac:dyDescent="0.25">
      <c r="C14382" s="8" t="e">
        <f>VLOOKUP(A:A,'ITEM LIST'!A:C,3,0)</f>
        <v>#N/A</v>
      </c>
      <c r="D14382" s="6">
        <f t="shared" si="225"/>
        <v>0</v>
      </c>
    </row>
    <row r="14383" spans="3:4" ht="15" x14ac:dyDescent="0.25">
      <c r="C14383" s="8" t="e">
        <f>VLOOKUP(A:A,'ITEM LIST'!A:C,3,0)</f>
        <v>#N/A</v>
      </c>
      <c r="D14383" s="6">
        <f t="shared" si="225"/>
        <v>0</v>
      </c>
    </row>
    <row r="14384" spans="3:4" ht="15" x14ac:dyDescent="0.25">
      <c r="C14384" s="8" t="e">
        <f>VLOOKUP(A:A,'ITEM LIST'!A:C,3,0)</f>
        <v>#N/A</v>
      </c>
      <c r="D14384" s="6">
        <f t="shared" si="225"/>
        <v>0</v>
      </c>
    </row>
    <row r="14385" spans="3:4" ht="15" x14ac:dyDescent="0.25">
      <c r="C14385" s="8" t="e">
        <f>VLOOKUP(A:A,'ITEM LIST'!A:C,3,0)</f>
        <v>#N/A</v>
      </c>
      <c r="D14385" s="6">
        <f t="shared" si="225"/>
        <v>0</v>
      </c>
    </row>
    <row r="14386" spans="3:4" ht="15" x14ac:dyDescent="0.25">
      <c r="C14386" s="8" t="e">
        <f>VLOOKUP(A:A,'ITEM LIST'!A:C,3,0)</f>
        <v>#N/A</v>
      </c>
      <c r="D14386" s="6">
        <f t="shared" si="225"/>
        <v>0</v>
      </c>
    </row>
    <row r="14387" spans="3:4" ht="15" x14ac:dyDescent="0.25">
      <c r="C14387" s="8" t="e">
        <f>VLOOKUP(A:A,'ITEM LIST'!A:C,3,0)</f>
        <v>#N/A</v>
      </c>
      <c r="D14387" s="6">
        <f t="shared" si="225"/>
        <v>0</v>
      </c>
    </row>
    <row r="14388" spans="3:4" ht="15" x14ac:dyDescent="0.25">
      <c r="C14388" s="8" t="e">
        <f>VLOOKUP(A:A,'ITEM LIST'!A:C,3,0)</f>
        <v>#N/A</v>
      </c>
      <c r="D14388" s="6">
        <f t="shared" si="225"/>
        <v>0</v>
      </c>
    </row>
    <row r="14389" spans="3:4" ht="15" x14ac:dyDescent="0.25">
      <c r="C14389" s="8" t="e">
        <f>VLOOKUP(A:A,'ITEM LIST'!A:C,3,0)</f>
        <v>#N/A</v>
      </c>
      <c r="D14389" s="6">
        <f t="shared" si="225"/>
        <v>0</v>
      </c>
    </row>
    <row r="14390" spans="3:4" ht="15" x14ac:dyDescent="0.25">
      <c r="C14390" s="8" t="e">
        <f>VLOOKUP(A:A,'ITEM LIST'!A:C,3,0)</f>
        <v>#N/A</v>
      </c>
      <c r="D14390" s="6">
        <f t="shared" si="225"/>
        <v>0</v>
      </c>
    </row>
    <row r="14391" spans="3:4" ht="15" x14ac:dyDescent="0.25">
      <c r="C14391" s="8" t="e">
        <f>VLOOKUP(A:A,'ITEM LIST'!A:C,3,0)</f>
        <v>#N/A</v>
      </c>
      <c r="D14391" s="6">
        <f t="shared" si="225"/>
        <v>0</v>
      </c>
    </row>
    <row r="14392" spans="3:4" ht="15" x14ac:dyDescent="0.25">
      <c r="C14392" s="8" t="e">
        <f>VLOOKUP(A:A,'ITEM LIST'!A:C,3,0)</f>
        <v>#N/A</v>
      </c>
      <c r="D14392" s="6">
        <f t="shared" si="225"/>
        <v>0</v>
      </c>
    </row>
    <row r="14393" spans="3:4" ht="15" x14ac:dyDescent="0.25">
      <c r="C14393" s="8" t="e">
        <f>VLOOKUP(A:A,'ITEM LIST'!A:C,3,0)</f>
        <v>#N/A</v>
      </c>
      <c r="D14393" s="6">
        <f t="shared" si="225"/>
        <v>0</v>
      </c>
    </row>
    <row r="14394" spans="3:4" ht="15" x14ac:dyDescent="0.25">
      <c r="C14394" s="8" t="e">
        <f>VLOOKUP(A:A,'ITEM LIST'!A:C,3,0)</f>
        <v>#N/A</v>
      </c>
      <c r="D14394" s="6">
        <f t="shared" si="225"/>
        <v>0</v>
      </c>
    </row>
    <row r="14395" spans="3:4" ht="15" x14ac:dyDescent="0.25">
      <c r="C14395" s="8" t="e">
        <f>VLOOKUP(A:A,'ITEM LIST'!A:C,3,0)</f>
        <v>#N/A</v>
      </c>
      <c r="D14395" s="6">
        <f t="shared" si="225"/>
        <v>0</v>
      </c>
    </row>
    <row r="14396" spans="3:4" ht="15" x14ac:dyDescent="0.25">
      <c r="C14396" s="8" t="e">
        <f>VLOOKUP(A:A,'ITEM LIST'!A:C,3,0)</f>
        <v>#N/A</v>
      </c>
      <c r="D14396" s="6">
        <f t="shared" si="225"/>
        <v>0</v>
      </c>
    </row>
    <row r="14397" spans="3:4" ht="15" x14ac:dyDescent="0.25">
      <c r="C14397" s="8" t="e">
        <f>VLOOKUP(A:A,'ITEM LIST'!A:C,3,0)</f>
        <v>#N/A</v>
      </c>
      <c r="D14397" s="6">
        <f t="shared" si="225"/>
        <v>0</v>
      </c>
    </row>
    <row r="14398" spans="3:4" ht="15" x14ac:dyDescent="0.25">
      <c r="C14398" s="8" t="e">
        <f>VLOOKUP(A:A,'ITEM LIST'!A:C,3,0)</f>
        <v>#N/A</v>
      </c>
      <c r="D14398" s="6">
        <f t="shared" si="225"/>
        <v>0</v>
      </c>
    </row>
    <row r="14399" spans="3:4" ht="15" x14ac:dyDescent="0.25">
      <c r="C14399" s="8" t="e">
        <f>VLOOKUP(A:A,'ITEM LIST'!A:C,3,0)</f>
        <v>#N/A</v>
      </c>
      <c r="D14399" s="6">
        <f t="shared" si="225"/>
        <v>0</v>
      </c>
    </row>
    <row r="14400" spans="3:4" ht="15" x14ac:dyDescent="0.25">
      <c r="C14400" s="8" t="e">
        <f>VLOOKUP(A:A,'ITEM LIST'!A:C,3,0)</f>
        <v>#N/A</v>
      </c>
      <c r="D14400" s="6">
        <f t="shared" si="225"/>
        <v>0</v>
      </c>
    </row>
    <row r="14401" spans="3:4" ht="15" x14ac:dyDescent="0.25">
      <c r="C14401" s="8" t="e">
        <f>VLOOKUP(A:A,'ITEM LIST'!A:C,3,0)</f>
        <v>#N/A</v>
      </c>
      <c r="D14401" s="6">
        <f t="shared" si="225"/>
        <v>0</v>
      </c>
    </row>
    <row r="14402" spans="3:4" ht="15" x14ac:dyDescent="0.25">
      <c r="C14402" s="8" t="e">
        <f>VLOOKUP(A:A,'ITEM LIST'!A:C,3,0)</f>
        <v>#N/A</v>
      </c>
      <c r="D14402" s="6">
        <f t="shared" si="225"/>
        <v>0</v>
      </c>
    </row>
    <row r="14403" spans="3:4" ht="15" x14ac:dyDescent="0.25">
      <c r="C14403" s="8" t="e">
        <f>VLOOKUP(A:A,'ITEM LIST'!A:C,3,0)</f>
        <v>#N/A</v>
      </c>
      <c r="D14403" s="6">
        <f t="shared" si="225"/>
        <v>0</v>
      </c>
    </row>
    <row r="14404" spans="3:4" ht="15" x14ac:dyDescent="0.25">
      <c r="C14404" s="8" t="e">
        <f>VLOOKUP(A:A,'ITEM LIST'!A:C,3,0)</f>
        <v>#N/A</v>
      </c>
      <c r="D14404" s="6">
        <f t="shared" si="225"/>
        <v>0</v>
      </c>
    </row>
    <row r="14405" spans="3:4" ht="15" x14ac:dyDescent="0.25">
      <c r="C14405" s="8" t="e">
        <f>VLOOKUP(A:A,'ITEM LIST'!A:C,3,0)</f>
        <v>#N/A</v>
      </c>
      <c r="D14405" s="6">
        <f t="shared" si="225"/>
        <v>0</v>
      </c>
    </row>
    <row r="14406" spans="3:4" ht="15" x14ac:dyDescent="0.25">
      <c r="C14406" s="8" t="e">
        <f>VLOOKUP(A:A,'ITEM LIST'!A:C,3,0)</f>
        <v>#N/A</v>
      </c>
      <c r="D14406" s="6">
        <f t="shared" ref="D14406:D14469" si="226">B14406</f>
        <v>0</v>
      </c>
    </row>
    <row r="14407" spans="3:4" ht="15" x14ac:dyDescent="0.25">
      <c r="C14407" s="8" t="e">
        <f>VLOOKUP(A:A,'ITEM LIST'!A:C,3,0)</f>
        <v>#N/A</v>
      </c>
      <c r="D14407" s="6">
        <f t="shared" si="226"/>
        <v>0</v>
      </c>
    </row>
    <row r="14408" spans="3:4" ht="15" x14ac:dyDescent="0.25">
      <c r="C14408" s="8" t="e">
        <f>VLOOKUP(A:A,'ITEM LIST'!A:C,3,0)</f>
        <v>#N/A</v>
      </c>
      <c r="D14408" s="6">
        <f t="shared" si="226"/>
        <v>0</v>
      </c>
    </row>
    <row r="14409" spans="3:4" ht="15" x14ac:dyDescent="0.25">
      <c r="C14409" s="8" t="e">
        <f>VLOOKUP(A:A,'ITEM LIST'!A:C,3,0)</f>
        <v>#N/A</v>
      </c>
      <c r="D14409" s="6">
        <f t="shared" si="226"/>
        <v>0</v>
      </c>
    </row>
    <row r="14410" spans="3:4" ht="15" x14ac:dyDescent="0.25">
      <c r="C14410" s="8" t="e">
        <f>VLOOKUP(A:A,'ITEM LIST'!A:C,3,0)</f>
        <v>#N/A</v>
      </c>
      <c r="D14410" s="6">
        <f t="shared" si="226"/>
        <v>0</v>
      </c>
    </row>
    <row r="14411" spans="3:4" ht="15" x14ac:dyDescent="0.25">
      <c r="C14411" s="8" t="e">
        <f>VLOOKUP(A:A,'ITEM LIST'!A:C,3,0)</f>
        <v>#N/A</v>
      </c>
      <c r="D14411" s="6">
        <f t="shared" si="226"/>
        <v>0</v>
      </c>
    </row>
    <row r="14412" spans="3:4" ht="15" x14ac:dyDescent="0.25">
      <c r="C14412" s="8" t="e">
        <f>VLOOKUP(A:A,'ITEM LIST'!A:C,3,0)</f>
        <v>#N/A</v>
      </c>
      <c r="D14412" s="6">
        <f t="shared" si="226"/>
        <v>0</v>
      </c>
    </row>
    <row r="14413" spans="3:4" ht="15" x14ac:dyDescent="0.25">
      <c r="C14413" s="8" t="e">
        <f>VLOOKUP(A:A,'ITEM LIST'!A:C,3,0)</f>
        <v>#N/A</v>
      </c>
      <c r="D14413" s="6">
        <f t="shared" si="226"/>
        <v>0</v>
      </c>
    </row>
    <row r="14414" spans="3:4" ht="15" x14ac:dyDescent="0.25">
      <c r="C14414" s="8" t="e">
        <f>VLOOKUP(A:A,'ITEM LIST'!A:C,3,0)</f>
        <v>#N/A</v>
      </c>
      <c r="D14414" s="6">
        <f t="shared" si="226"/>
        <v>0</v>
      </c>
    </row>
    <row r="14415" spans="3:4" ht="15" x14ac:dyDescent="0.25">
      <c r="C14415" s="8" t="e">
        <f>VLOOKUP(A:A,'ITEM LIST'!A:C,3,0)</f>
        <v>#N/A</v>
      </c>
      <c r="D14415" s="6">
        <f t="shared" si="226"/>
        <v>0</v>
      </c>
    </row>
    <row r="14416" spans="3:4" ht="15" x14ac:dyDescent="0.25">
      <c r="C14416" s="8" t="e">
        <f>VLOOKUP(A:A,'ITEM LIST'!A:C,3,0)</f>
        <v>#N/A</v>
      </c>
      <c r="D14416" s="6">
        <f t="shared" si="226"/>
        <v>0</v>
      </c>
    </row>
    <row r="14417" spans="3:4" ht="15" x14ac:dyDescent="0.25">
      <c r="C14417" s="8" t="e">
        <f>VLOOKUP(A:A,'ITEM LIST'!A:C,3,0)</f>
        <v>#N/A</v>
      </c>
      <c r="D14417" s="6">
        <f t="shared" si="226"/>
        <v>0</v>
      </c>
    </row>
    <row r="14418" spans="3:4" ht="15" x14ac:dyDescent="0.25">
      <c r="C14418" s="8" t="e">
        <f>VLOOKUP(A:A,'ITEM LIST'!A:C,3,0)</f>
        <v>#N/A</v>
      </c>
      <c r="D14418" s="6">
        <f t="shared" si="226"/>
        <v>0</v>
      </c>
    </row>
    <row r="14419" spans="3:4" ht="15" x14ac:dyDescent="0.25">
      <c r="C14419" s="8" t="e">
        <f>VLOOKUP(A:A,'ITEM LIST'!A:C,3,0)</f>
        <v>#N/A</v>
      </c>
      <c r="D14419" s="6">
        <f t="shared" si="226"/>
        <v>0</v>
      </c>
    </row>
    <row r="14420" spans="3:4" ht="15" x14ac:dyDescent="0.25">
      <c r="C14420" s="8" t="e">
        <f>VLOOKUP(A:A,'ITEM LIST'!A:C,3,0)</f>
        <v>#N/A</v>
      </c>
      <c r="D14420" s="6">
        <f t="shared" si="226"/>
        <v>0</v>
      </c>
    </row>
    <row r="14421" spans="3:4" ht="15" x14ac:dyDescent="0.25">
      <c r="C14421" s="8" t="e">
        <f>VLOOKUP(A:A,'ITEM LIST'!A:C,3,0)</f>
        <v>#N/A</v>
      </c>
      <c r="D14421" s="6">
        <f t="shared" si="226"/>
        <v>0</v>
      </c>
    </row>
    <row r="14422" spans="3:4" ht="15" x14ac:dyDescent="0.25">
      <c r="C14422" s="8" t="e">
        <f>VLOOKUP(A:A,'ITEM LIST'!A:C,3,0)</f>
        <v>#N/A</v>
      </c>
      <c r="D14422" s="6">
        <f t="shared" si="226"/>
        <v>0</v>
      </c>
    </row>
    <row r="14423" spans="3:4" ht="15" x14ac:dyDescent="0.25">
      <c r="C14423" s="8" t="e">
        <f>VLOOKUP(A:A,'ITEM LIST'!A:C,3,0)</f>
        <v>#N/A</v>
      </c>
      <c r="D14423" s="6">
        <f t="shared" si="226"/>
        <v>0</v>
      </c>
    </row>
    <row r="14424" spans="3:4" ht="15" x14ac:dyDescent="0.25">
      <c r="C14424" s="8" t="e">
        <f>VLOOKUP(A:A,'ITEM LIST'!A:C,3,0)</f>
        <v>#N/A</v>
      </c>
      <c r="D14424" s="6">
        <f t="shared" si="226"/>
        <v>0</v>
      </c>
    </row>
    <row r="14425" spans="3:4" ht="15" x14ac:dyDescent="0.25">
      <c r="C14425" s="8" t="e">
        <f>VLOOKUP(A:A,'ITEM LIST'!A:C,3,0)</f>
        <v>#N/A</v>
      </c>
      <c r="D14425" s="6">
        <f t="shared" si="226"/>
        <v>0</v>
      </c>
    </row>
    <row r="14426" spans="3:4" ht="15" x14ac:dyDescent="0.25">
      <c r="C14426" s="8" t="e">
        <f>VLOOKUP(A:A,'ITEM LIST'!A:C,3,0)</f>
        <v>#N/A</v>
      </c>
      <c r="D14426" s="6">
        <f t="shared" si="226"/>
        <v>0</v>
      </c>
    </row>
    <row r="14427" spans="3:4" ht="15" x14ac:dyDescent="0.25">
      <c r="C14427" s="8" t="e">
        <f>VLOOKUP(A:A,'ITEM LIST'!A:C,3,0)</f>
        <v>#N/A</v>
      </c>
      <c r="D14427" s="6">
        <f t="shared" si="226"/>
        <v>0</v>
      </c>
    </row>
    <row r="14428" spans="3:4" ht="15" x14ac:dyDescent="0.25">
      <c r="C14428" s="8" t="e">
        <f>VLOOKUP(A:A,'ITEM LIST'!A:C,3,0)</f>
        <v>#N/A</v>
      </c>
      <c r="D14428" s="6">
        <f t="shared" si="226"/>
        <v>0</v>
      </c>
    </row>
    <row r="14429" spans="3:4" ht="15" x14ac:dyDescent="0.25">
      <c r="C14429" s="8" t="e">
        <f>VLOOKUP(A:A,'ITEM LIST'!A:C,3,0)</f>
        <v>#N/A</v>
      </c>
      <c r="D14429" s="6">
        <f t="shared" si="226"/>
        <v>0</v>
      </c>
    </row>
    <row r="14430" spans="3:4" ht="15" x14ac:dyDescent="0.25">
      <c r="C14430" s="8" t="e">
        <f>VLOOKUP(A:A,'ITEM LIST'!A:C,3,0)</f>
        <v>#N/A</v>
      </c>
      <c r="D14430" s="6">
        <f t="shared" si="226"/>
        <v>0</v>
      </c>
    </row>
    <row r="14431" spans="3:4" ht="15" x14ac:dyDescent="0.25">
      <c r="C14431" s="8" t="e">
        <f>VLOOKUP(A:A,'ITEM LIST'!A:C,3,0)</f>
        <v>#N/A</v>
      </c>
      <c r="D14431" s="6">
        <f t="shared" si="226"/>
        <v>0</v>
      </c>
    </row>
    <row r="14432" spans="3:4" ht="15" x14ac:dyDescent="0.25">
      <c r="C14432" s="8" t="e">
        <f>VLOOKUP(A:A,'ITEM LIST'!A:C,3,0)</f>
        <v>#N/A</v>
      </c>
      <c r="D14432" s="6">
        <f t="shared" si="226"/>
        <v>0</v>
      </c>
    </row>
    <row r="14433" spans="3:4" ht="15" x14ac:dyDescent="0.25">
      <c r="C14433" s="8" t="e">
        <f>VLOOKUP(A:A,'ITEM LIST'!A:C,3,0)</f>
        <v>#N/A</v>
      </c>
      <c r="D14433" s="6">
        <f t="shared" si="226"/>
        <v>0</v>
      </c>
    </row>
    <row r="14434" spans="3:4" ht="15" x14ac:dyDescent="0.25">
      <c r="C14434" s="8" t="e">
        <f>VLOOKUP(A:A,'ITEM LIST'!A:C,3,0)</f>
        <v>#N/A</v>
      </c>
      <c r="D14434" s="6">
        <f t="shared" si="226"/>
        <v>0</v>
      </c>
    </row>
    <row r="14435" spans="3:4" ht="15" x14ac:dyDescent="0.25">
      <c r="C14435" s="8" t="e">
        <f>VLOOKUP(A:A,'ITEM LIST'!A:C,3,0)</f>
        <v>#N/A</v>
      </c>
      <c r="D14435" s="6">
        <f t="shared" si="226"/>
        <v>0</v>
      </c>
    </row>
    <row r="14436" spans="3:4" ht="15" x14ac:dyDescent="0.25">
      <c r="C14436" s="8" t="e">
        <f>VLOOKUP(A:A,'ITEM LIST'!A:C,3,0)</f>
        <v>#N/A</v>
      </c>
      <c r="D14436" s="6">
        <f t="shared" si="226"/>
        <v>0</v>
      </c>
    </row>
    <row r="14437" spans="3:4" ht="15" x14ac:dyDescent="0.25">
      <c r="C14437" s="8" t="e">
        <f>VLOOKUP(A:A,'ITEM LIST'!A:C,3,0)</f>
        <v>#N/A</v>
      </c>
      <c r="D14437" s="6">
        <f t="shared" si="226"/>
        <v>0</v>
      </c>
    </row>
    <row r="14438" spans="3:4" ht="15" x14ac:dyDescent="0.25">
      <c r="C14438" s="8" t="e">
        <f>VLOOKUP(A:A,'ITEM LIST'!A:C,3,0)</f>
        <v>#N/A</v>
      </c>
      <c r="D14438" s="6">
        <f t="shared" si="226"/>
        <v>0</v>
      </c>
    </row>
    <row r="14439" spans="3:4" ht="15" x14ac:dyDescent="0.25">
      <c r="C14439" s="8" t="e">
        <f>VLOOKUP(A:A,'ITEM LIST'!A:C,3,0)</f>
        <v>#N/A</v>
      </c>
      <c r="D14439" s="6">
        <f t="shared" si="226"/>
        <v>0</v>
      </c>
    </row>
    <row r="14440" spans="3:4" ht="15" x14ac:dyDescent="0.25">
      <c r="C14440" s="8" t="e">
        <f>VLOOKUP(A:A,'ITEM LIST'!A:C,3,0)</f>
        <v>#N/A</v>
      </c>
      <c r="D14440" s="6">
        <f t="shared" si="226"/>
        <v>0</v>
      </c>
    </row>
    <row r="14441" spans="3:4" ht="15" x14ac:dyDescent="0.25">
      <c r="C14441" s="8" t="e">
        <f>VLOOKUP(A:A,'ITEM LIST'!A:C,3,0)</f>
        <v>#N/A</v>
      </c>
      <c r="D14441" s="6">
        <f t="shared" si="226"/>
        <v>0</v>
      </c>
    </row>
    <row r="14442" spans="3:4" ht="15" x14ac:dyDescent="0.25">
      <c r="C14442" s="8" t="e">
        <f>VLOOKUP(A:A,'ITEM LIST'!A:C,3,0)</f>
        <v>#N/A</v>
      </c>
      <c r="D14442" s="6">
        <f t="shared" si="226"/>
        <v>0</v>
      </c>
    </row>
    <row r="14443" spans="3:4" ht="15" x14ac:dyDescent="0.25">
      <c r="C14443" s="8" t="e">
        <f>VLOOKUP(A:A,'ITEM LIST'!A:C,3,0)</f>
        <v>#N/A</v>
      </c>
      <c r="D14443" s="6">
        <f t="shared" si="226"/>
        <v>0</v>
      </c>
    </row>
    <row r="14444" spans="3:4" ht="15" x14ac:dyDescent="0.25">
      <c r="C14444" s="8" t="e">
        <f>VLOOKUP(A:A,'ITEM LIST'!A:C,3,0)</f>
        <v>#N/A</v>
      </c>
      <c r="D14444" s="6">
        <f t="shared" si="226"/>
        <v>0</v>
      </c>
    </row>
    <row r="14445" spans="3:4" ht="15" x14ac:dyDescent="0.25">
      <c r="C14445" s="8" t="e">
        <f>VLOOKUP(A:A,'ITEM LIST'!A:C,3,0)</f>
        <v>#N/A</v>
      </c>
      <c r="D14445" s="6">
        <f t="shared" si="226"/>
        <v>0</v>
      </c>
    </row>
    <row r="14446" spans="3:4" ht="15" x14ac:dyDescent="0.25">
      <c r="C14446" s="8" t="e">
        <f>VLOOKUP(A:A,'ITEM LIST'!A:C,3,0)</f>
        <v>#N/A</v>
      </c>
      <c r="D14446" s="6">
        <f t="shared" si="226"/>
        <v>0</v>
      </c>
    </row>
    <row r="14447" spans="3:4" ht="15" x14ac:dyDescent="0.25">
      <c r="C14447" s="8" t="e">
        <f>VLOOKUP(A:A,'ITEM LIST'!A:C,3,0)</f>
        <v>#N/A</v>
      </c>
      <c r="D14447" s="6">
        <f t="shared" si="226"/>
        <v>0</v>
      </c>
    </row>
    <row r="14448" spans="3:4" ht="15" x14ac:dyDescent="0.25">
      <c r="C14448" s="8" t="e">
        <f>VLOOKUP(A:A,'ITEM LIST'!A:C,3,0)</f>
        <v>#N/A</v>
      </c>
      <c r="D14448" s="6">
        <f t="shared" si="226"/>
        <v>0</v>
      </c>
    </row>
    <row r="14449" spans="3:4" ht="15" x14ac:dyDescent="0.25">
      <c r="C14449" s="8" t="e">
        <f>VLOOKUP(A:A,'ITEM LIST'!A:C,3,0)</f>
        <v>#N/A</v>
      </c>
      <c r="D14449" s="6">
        <f t="shared" si="226"/>
        <v>0</v>
      </c>
    </row>
    <row r="14450" spans="3:4" ht="15" x14ac:dyDescent="0.25">
      <c r="C14450" s="8" t="e">
        <f>VLOOKUP(A:A,'ITEM LIST'!A:C,3,0)</f>
        <v>#N/A</v>
      </c>
      <c r="D14450" s="6">
        <f t="shared" si="226"/>
        <v>0</v>
      </c>
    </row>
    <row r="14451" spans="3:4" ht="15" x14ac:dyDescent="0.25">
      <c r="C14451" s="8" t="e">
        <f>VLOOKUP(A:A,'ITEM LIST'!A:C,3,0)</f>
        <v>#N/A</v>
      </c>
      <c r="D14451" s="6">
        <f t="shared" si="226"/>
        <v>0</v>
      </c>
    </row>
    <row r="14452" spans="3:4" ht="15" x14ac:dyDescent="0.25">
      <c r="C14452" s="8" t="e">
        <f>VLOOKUP(A:A,'ITEM LIST'!A:C,3,0)</f>
        <v>#N/A</v>
      </c>
      <c r="D14452" s="6">
        <f t="shared" si="226"/>
        <v>0</v>
      </c>
    </row>
    <row r="14453" spans="3:4" ht="15" x14ac:dyDescent="0.25">
      <c r="C14453" s="8" t="e">
        <f>VLOOKUP(A:A,'ITEM LIST'!A:C,3,0)</f>
        <v>#N/A</v>
      </c>
      <c r="D14453" s="6">
        <f t="shared" si="226"/>
        <v>0</v>
      </c>
    </row>
    <row r="14454" spans="3:4" ht="15" x14ac:dyDescent="0.25">
      <c r="C14454" s="8" t="e">
        <f>VLOOKUP(A:A,'ITEM LIST'!A:C,3,0)</f>
        <v>#N/A</v>
      </c>
      <c r="D14454" s="6">
        <f t="shared" si="226"/>
        <v>0</v>
      </c>
    </row>
    <row r="14455" spans="3:4" ht="15" x14ac:dyDescent="0.25">
      <c r="C14455" s="8" t="e">
        <f>VLOOKUP(A:A,'ITEM LIST'!A:C,3,0)</f>
        <v>#N/A</v>
      </c>
      <c r="D14455" s="6">
        <f t="shared" si="226"/>
        <v>0</v>
      </c>
    </row>
    <row r="14456" spans="3:4" ht="15" x14ac:dyDescent="0.25">
      <c r="C14456" s="8" t="e">
        <f>VLOOKUP(A:A,'ITEM LIST'!A:C,3,0)</f>
        <v>#N/A</v>
      </c>
      <c r="D14456" s="6">
        <f t="shared" si="226"/>
        <v>0</v>
      </c>
    </row>
    <row r="14457" spans="3:4" ht="15" x14ac:dyDescent="0.25">
      <c r="C14457" s="8" t="e">
        <f>VLOOKUP(A:A,'ITEM LIST'!A:C,3,0)</f>
        <v>#N/A</v>
      </c>
      <c r="D14457" s="6">
        <f t="shared" si="226"/>
        <v>0</v>
      </c>
    </row>
    <row r="14458" spans="3:4" ht="15" x14ac:dyDescent="0.25">
      <c r="C14458" s="8" t="e">
        <f>VLOOKUP(A:A,'ITEM LIST'!A:C,3,0)</f>
        <v>#N/A</v>
      </c>
      <c r="D14458" s="6">
        <f t="shared" si="226"/>
        <v>0</v>
      </c>
    </row>
    <row r="14459" spans="3:4" ht="15" x14ac:dyDescent="0.25">
      <c r="C14459" s="8" t="e">
        <f>VLOOKUP(A:A,'ITEM LIST'!A:C,3,0)</f>
        <v>#N/A</v>
      </c>
      <c r="D14459" s="6">
        <f t="shared" si="226"/>
        <v>0</v>
      </c>
    </row>
    <row r="14460" spans="3:4" ht="15" x14ac:dyDescent="0.25">
      <c r="C14460" s="8" t="e">
        <f>VLOOKUP(A:A,'ITEM LIST'!A:C,3,0)</f>
        <v>#N/A</v>
      </c>
      <c r="D14460" s="6">
        <f t="shared" si="226"/>
        <v>0</v>
      </c>
    </row>
    <row r="14461" spans="3:4" ht="15" x14ac:dyDescent="0.25">
      <c r="C14461" s="8" t="e">
        <f>VLOOKUP(A:A,'ITEM LIST'!A:C,3,0)</f>
        <v>#N/A</v>
      </c>
      <c r="D14461" s="6">
        <f t="shared" si="226"/>
        <v>0</v>
      </c>
    </row>
    <row r="14462" spans="3:4" ht="15" x14ac:dyDescent="0.25">
      <c r="C14462" s="8" t="e">
        <f>VLOOKUP(A:A,'ITEM LIST'!A:C,3,0)</f>
        <v>#N/A</v>
      </c>
      <c r="D14462" s="6">
        <f t="shared" si="226"/>
        <v>0</v>
      </c>
    </row>
    <row r="14463" spans="3:4" ht="15" x14ac:dyDescent="0.25">
      <c r="C14463" s="8" t="e">
        <f>VLOOKUP(A:A,'ITEM LIST'!A:C,3,0)</f>
        <v>#N/A</v>
      </c>
      <c r="D14463" s="6">
        <f t="shared" si="226"/>
        <v>0</v>
      </c>
    </row>
    <row r="14464" spans="3:4" ht="15" x14ac:dyDescent="0.25">
      <c r="C14464" s="8" t="e">
        <f>VLOOKUP(A:A,'ITEM LIST'!A:C,3,0)</f>
        <v>#N/A</v>
      </c>
      <c r="D14464" s="6">
        <f t="shared" si="226"/>
        <v>0</v>
      </c>
    </row>
    <row r="14465" spans="3:4" ht="15" x14ac:dyDescent="0.25">
      <c r="C14465" s="8" t="e">
        <f>VLOOKUP(A:A,'ITEM LIST'!A:C,3,0)</f>
        <v>#N/A</v>
      </c>
      <c r="D14465" s="6">
        <f t="shared" si="226"/>
        <v>0</v>
      </c>
    </row>
    <row r="14466" spans="3:4" ht="15" x14ac:dyDescent="0.25">
      <c r="C14466" s="8" t="e">
        <f>VLOOKUP(A:A,'ITEM LIST'!A:C,3,0)</f>
        <v>#N/A</v>
      </c>
      <c r="D14466" s="6">
        <f t="shared" si="226"/>
        <v>0</v>
      </c>
    </row>
    <row r="14467" spans="3:4" ht="15" x14ac:dyDescent="0.25">
      <c r="C14467" s="8" t="e">
        <f>VLOOKUP(A:A,'ITEM LIST'!A:C,3,0)</f>
        <v>#N/A</v>
      </c>
      <c r="D14467" s="6">
        <f t="shared" si="226"/>
        <v>0</v>
      </c>
    </row>
    <row r="14468" spans="3:4" ht="15" x14ac:dyDescent="0.25">
      <c r="C14468" s="8" t="e">
        <f>VLOOKUP(A:A,'ITEM LIST'!A:C,3,0)</f>
        <v>#N/A</v>
      </c>
      <c r="D14468" s="6">
        <f t="shared" si="226"/>
        <v>0</v>
      </c>
    </row>
    <row r="14469" spans="3:4" ht="15" x14ac:dyDescent="0.25">
      <c r="C14469" s="8" t="e">
        <f>VLOOKUP(A:A,'ITEM LIST'!A:C,3,0)</f>
        <v>#N/A</v>
      </c>
      <c r="D14469" s="6">
        <f t="shared" si="226"/>
        <v>0</v>
      </c>
    </row>
    <row r="14470" spans="3:4" ht="15" x14ac:dyDescent="0.25">
      <c r="C14470" s="8" t="e">
        <f>VLOOKUP(A:A,'ITEM LIST'!A:C,3,0)</f>
        <v>#N/A</v>
      </c>
      <c r="D14470" s="6">
        <f t="shared" ref="D14470:D14533" si="227">B14470</f>
        <v>0</v>
      </c>
    </row>
    <row r="14471" spans="3:4" ht="15" x14ac:dyDescent="0.25">
      <c r="C14471" s="8" t="e">
        <f>VLOOKUP(A:A,'ITEM LIST'!A:C,3,0)</f>
        <v>#N/A</v>
      </c>
      <c r="D14471" s="6">
        <f t="shared" si="227"/>
        <v>0</v>
      </c>
    </row>
    <row r="14472" spans="3:4" ht="15" x14ac:dyDescent="0.25">
      <c r="C14472" s="8" t="e">
        <f>VLOOKUP(A:A,'ITEM LIST'!A:C,3,0)</f>
        <v>#N/A</v>
      </c>
      <c r="D14472" s="6">
        <f t="shared" si="227"/>
        <v>0</v>
      </c>
    </row>
    <row r="14473" spans="3:4" ht="15" x14ac:dyDescent="0.25">
      <c r="C14473" s="8" t="e">
        <f>VLOOKUP(A:A,'ITEM LIST'!A:C,3,0)</f>
        <v>#N/A</v>
      </c>
      <c r="D14473" s="6">
        <f t="shared" si="227"/>
        <v>0</v>
      </c>
    </row>
    <row r="14474" spans="3:4" ht="15" x14ac:dyDescent="0.25">
      <c r="C14474" s="8" t="e">
        <f>VLOOKUP(A:A,'ITEM LIST'!A:C,3,0)</f>
        <v>#N/A</v>
      </c>
      <c r="D14474" s="6">
        <f t="shared" si="227"/>
        <v>0</v>
      </c>
    </row>
    <row r="14475" spans="3:4" ht="15" x14ac:dyDescent="0.25">
      <c r="C14475" s="8" t="e">
        <f>VLOOKUP(A:A,'ITEM LIST'!A:C,3,0)</f>
        <v>#N/A</v>
      </c>
      <c r="D14475" s="6">
        <f t="shared" si="227"/>
        <v>0</v>
      </c>
    </row>
    <row r="14476" spans="3:4" ht="15" x14ac:dyDescent="0.25">
      <c r="C14476" s="8" t="e">
        <f>VLOOKUP(A:A,'ITEM LIST'!A:C,3,0)</f>
        <v>#N/A</v>
      </c>
      <c r="D14476" s="6">
        <f t="shared" si="227"/>
        <v>0</v>
      </c>
    </row>
    <row r="14477" spans="3:4" ht="15" x14ac:dyDescent="0.25">
      <c r="C14477" s="8" t="e">
        <f>VLOOKUP(A:A,'ITEM LIST'!A:C,3,0)</f>
        <v>#N/A</v>
      </c>
      <c r="D14477" s="6">
        <f t="shared" si="227"/>
        <v>0</v>
      </c>
    </row>
    <row r="14478" spans="3:4" ht="15" x14ac:dyDescent="0.25">
      <c r="C14478" s="8" t="e">
        <f>VLOOKUP(A:A,'ITEM LIST'!A:C,3,0)</f>
        <v>#N/A</v>
      </c>
      <c r="D14478" s="6">
        <f t="shared" si="227"/>
        <v>0</v>
      </c>
    </row>
    <row r="14479" spans="3:4" ht="15" x14ac:dyDescent="0.25">
      <c r="C14479" s="8" t="e">
        <f>VLOOKUP(A:A,'ITEM LIST'!A:C,3,0)</f>
        <v>#N/A</v>
      </c>
      <c r="D14479" s="6">
        <f t="shared" si="227"/>
        <v>0</v>
      </c>
    </row>
    <row r="14480" spans="3:4" ht="15" x14ac:dyDescent="0.25">
      <c r="C14480" s="8" t="e">
        <f>VLOOKUP(A:A,'ITEM LIST'!A:C,3,0)</f>
        <v>#N/A</v>
      </c>
      <c r="D14480" s="6">
        <f t="shared" si="227"/>
        <v>0</v>
      </c>
    </row>
    <row r="14481" spans="3:4" ht="15" x14ac:dyDescent="0.25">
      <c r="C14481" s="8" t="e">
        <f>VLOOKUP(A:A,'ITEM LIST'!A:C,3,0)</f>
        <v>#N/A</v>
      </c>
      <c r="D14481" s="6">
        <f t="shared" si="227"/>
        <v>0</v>
      </c>
    </row>
    <row r="14482" spans="3:4" ht="15" x14ac:dyDescent="0.25">
      <c r="C14482" s="8" t="e">
        <f>VLOOKUP(A:A,'ITEM LIST'!A:C,3,0)</f>
        <v>#N/A</v>
      </c>
      <c r="D14482" s="6">
        <f t="shared" si="227"/>
        <v>0</v>
      </c>
    </row>
    <row r="14483" spans="3:4" ht="15" x14ac:dyDescent="0.25">
      <c r="C14483" s="8" t="e">
        <f>VLOOKUP(A:A,'ITEM LIST'!A:C,3,0)</f>
        <v>#N/A</v>
      </c>
      <c r="D14483" s="6">
        <f t="shared" si="227"/>
        <v>0</v>
      </c>
    </row>
    <row r="14484" spans="3:4" ht="15" x14ac:dyDescent="0.25">
      <c r="C14484" s="8" t="e">
        <f>VLOOKUP(A:A,'ITEM LIST'!A:C,3,0)</f>
        <v>#N/A</v>
      </c>
      <c r="D14484" s="6">
        <f t="shared" si="227"/>
        <v>0</v>
      </c>
    </row>
    <row r="14485" spans="3:4" ht="15" x14ac:dyDescent="0.25">
      <c r="C14485" s="8" t="e">
        <f>VLOOKUP(A:A,'ITEM LIST'!A:C,3,0)</f>
        <v>#N/A</v>
      </c>
      <c r="D14485" s="6">
        <f t="shared" si="227"/>
        <v>0</v>
      </c>
    </row>
    <row r="14486" spans="3:4" ht="15" x14ac:dyDescent="0.25">
      <c r="C14486" s="8" t="e">
        <f>VLOOKUP(A:A,'ITEM LIST'!A:C,3,0)</f>
        <v>#N/A</v>
      </c>
      <c r="D14486" s="6">
        <f t="shared" si="227"/>
        <v>0</v>
      </c>
    </row>
    <row r="14487" spans="3:4" ht="15" x14ac:dyDescent="0.25">
      <c r="C14487" s="8" t="e">
        <f>VLOOKUP(A:A,'ITEM LIST'!A:C,3,0)</f>
        <v>#N/A</v>
      </c>
      <c r="D14487" s="6">
        <f t="shared" si="227"/>
        <v>0</v>
      </c>
    </row>
    <row r="14488" spans="3:4" ht="15" x14ac:dyDescent="0.25">
      <c r="C14488" s="8" t="e">
        <f>VLOOKUP(A:A,'ITEM LIST'!A:C,3,0)</f>
        <v>#N/A</v>
      </c>
      <c r="D14488" s="6">
        <f t="shared" si="227"/>
        <v>0</v>
      </c>
    </row>
    <row r="14489" spans="3:4" ht="15" x14ac:dyDescent="0.25">
      <c r="C14489" s="8" t="e">
        <f>VLOOKUP(A:A,'ITEM LIST'!A:C,3,0)</f>
        <v>#N/A</v>
      </c>
      <c r="D14489" s="6">
        <f t="shared" si="227"/>
        <v>0</v>
      </c>
    </row>
    <row r="14490" spans="3:4" ht="15" x14ac:dyDescent="0.25">
      <c r="C14490" s="8" t="e">
        <f>VLOOKUP(A:A,'ITEM LIST'!A:C,3,0)</f>
        <v>#N/A</v>
      </c>
      <c r="D14490" s="6">
        <f t="shared" si="227"/>
        <v>0</v>
      </c>
    </row>
    <row r="14491" spans="3:4" ht="15" x14ac:dyDescent="0.25">
      <c r="C14491" s="8" t="e">
        <f>VLOOKUP(A:A,'ITEM LIST'!A:C,3,0)</f>
        <v>#N/A</v>
      </c>
      <c r="D14491" s="6">
        <f t="shared" si="227"/>
        <v>0</v>
      </c>
    </row>
    <row r="14492" spans="3:4" ht="15" x14ac:dyDescent="0.25">
      <c r="C14492" s="8" t="e">
        <f>VLOOKUP(A:A,'ITEM LIST'!A:C,3,0)</f>
        <v>#N/A</v>
      </c>
      <c r="D14492" s="6">
        <f t="shared" si="227"/>
        <v>0</v>
      </c>
    </row>
    <row r="14493" spans="3:4" ht="15" x14ac:dyDescent="0.25">
      <c r="C14493" s="8" t="e">
        <f>VLOOKUP(A:A,'ITEM LIST'!A:C,3,0)</f>
        <v>#N/A</v>
      </c>
      <c r="D14493" s="6">
        <f t="shared" si="227"/>
        <v>0</v>
      </c>
    </row>
    <row r="14494" spans="3:4" ht="15" x14ac:dyDescent="0.25">
      <c r="C14494" s="8" t="e">
        <f>VLOOKUP(A:A,'ITEM LIST'!A:C,3,0)</f>
        <v>#N/A</v>
      </c>
      <c r="D14494" s="6">
        <f t="shared" si="227"/>
        <v>0</v>
      </c>
    </row>
    <row r="14495" spans="3:4" ht="15" x14ac:dyDescent="0.25">
      <c r="C14495" s="8" t="e">
        <f>VLOOKUP(A:A,'ITEM LIST'!A:C,3,0)</f>
        <v>#N/A</v>
      </c>
      <c r="D14495" s="6">
        <f t="shared" si="227"/>
        <v>0</v>
      </c>
    </row>
    <row r="14496" spans="3:4" ht="15" x14ac:dyDescent="0.25">
      <c r="C14496" s="8" t="e">
        <f>VLOOKUP(A:A,'ITEM LIST'!A:C,3,0)</f>
        <v>#N/A</v>
      </c>
      <c r="D14496" s="6">
        <f t="shared" si="227"/>
        <v>0</v>
      </c>
    </row>
    <row r="14497" spans="3:4" ht="15" x14ac:dyDescent="0.25">
      <c r="C14497" s="8" t="e">
        <f>VLOOKUP(A:A,'ITEM LIST'!A:C,3,0)</f>
        <v>#N/A</v>
      </c>
      <c r="D14497" s="6">
        <f t="shared" si="227"/>
        <v>0</v>
      </c>
    </row>
    <row r="14498" spans="3:4" ht="15" x14ac:dyDescent="0.25">
      <c r="C14498" s="8" t="e">
        <f>VLOOKUP(A:A,'ITEM LIST'!A:C,3,0)</f>
        <v>#N/A</v>
      </c>
      <c r="D14498" s="6">
        <f t="shared" si="227"/>
        <v>0</v>
      </c>
    </row>
    <row r="14499" spans="3:4" ht="15" x14ac:dyDescent="0.25">
      <c r="C14499" s="8" t="e">
        <f>VLOOKUP(A:A,'ITEM LIST'!A:C,3,0)</f>
        <v>#N/A</v>
      </c>
      <c r="D14499" s="6">
        <f t="shared" si="227"/>
        <v>0</v>
      </c>
    </row>
    <row r="14500" spans="3:4" ht="15" x14ac:dyDescent="0.25">
      <c r="C14500" s="8" t="e">
        <f>VLOOKUP(A:A,'ITEM LIST'!A:C,3,0)</f>
        <v>#N/A</v>
      </c>
      <c r="D14500" s="6">
        <f t="shared" si="227"/>
        <v>0</v>
      </c>
    </row>
    <row r="14501" spans="3:4" ht="15" x14ac:dyDescent="0.25">
      <c r="C14501" s="8" t="e">
        <f>VLOOKUP(A:A,'ITEM LIST'!A:C,3,0)</f>
        <v>#N/A</v>
      </c>
      <c r="D14501" s="6">
        <f t="shared" si="227"/>
        <v>0</v>
      </c>
    </row>
    <row r="14502" spans="3:4" ht="15" x14ac:dyDescent="0.25">
      <c r="C14502" s="8" t="e">
        <f>VLOOKUP(A:A,'ITEM LIST'!A:C,3,0)</f>
        <v>#N/A</v>
      </c>
      <c r="D14502" s="6">
        <f t="shared" si="227"/>
        <v>0</v>
      </c>
    </row>
    <row r="14503" spans="3:4" ht="15" x14ac:dyDescent="0.25">
      <c r="C14503" s="8" t="e">
        <f>VLOOKUP(A:A,'ITEM LIST'!A:C,3,0)</f>
        <v>#N/A</v>
      </c>
      <c r="D14503" s="6">
        <f t="shared" si="227"/>
        <v>0</v>
      </c>
    </row>
    <row r="14504" spans="3:4" ht="15" x14ac:dyDescent="0.25">
      <c r="C14504" s="8" t="e">
        <f>VLOOKUP(A:A,'ITEM LIST'!A:C,3,0)</f>
        <v>#N/A</v>
      </c>
      <c r="D14504" s="6">
        <f t="shared" si="227"/>
        <v>0</v>
      </c>
    </row>
    <row r="14505" spans="3:4" ht="15" x14ac:dyDescent="0.25">
      <c r="C14505" s="8" t="e">
        <f>VLOOKUP(A:A,'ITEM LIST'!A:C,3,0)</f>
        <v>#N/A</v>
      </c>
      <c r="D14505" s="6">
        <f t="shared" si="227"/>
        <v>0</v>
      </c>
    </row>
    <row r="14506" spans="3:4" ht="15" x14ac:dyDescent="0.25">
      <c r="C14506" s="8" t="e">
        <f>VLOOKUP(A:A,'ITEM LIST'!A:C,3,0)</f>
        <v>#N/A</v>
      </c>
      <c r="D14506" s="6">
        <f t="shared" si="227"/>
        <v>0</v>
      </c>
    </row>
    <row r="14507" spans="3:4" ht="15" x14ac:dyDescent="0.25">
      <c r="C14507" s="8" t="e">
        <f>VLOOKUP(A:A,'ITEM LIST'!A:C,3,0)</f>
        <v>#N/A</v>
      </c>
      <c r="D14507" s="6">
        <f t="shared" si="227"/>
        <v>0</v>
      </c>
    </row>
    <row r="14508" spans="3:4" ht="15" x14ac:dyDescent="0.25">
      <c r="C14508" s="8" t="e">
        <f>VLOOKUP(A:A,'ITEM LIST'!A:C,3,0)</f>
        <v>#N/A</v>
      </c>
      <c r="D14508" s="6">
        <f t="shared" si="227"/>
        <v>0</v>
      </c>
    </row>
    <row r="14509" spans="3:4" ht="15" x14ac:dyDescent="0.25">
      <c r="C14509" s="8" t="e">
        <f>VLOOKUP(A:A,'ITEM LIST'!A:C,3,0)</f>
        <v>#N/A</v>
      </c>
      <c r="D14509" s="6">
        <f t="shared" si="227"/>
        <v>0</v>
      </c>
    </row>
    <row r="14510" spans="3:4" ht="15" x14ac:dyDescent="0.25">
      <c r="C14510" s="8" t="e">
        <f>VLOOKUP(A:A,'ITEM LIST'!A:C,3,0)</f>
        <v>#N/A</v>
      </c>
      <c r="D14510" s="6">
        <f t="shared" si="227"/>
        <v>0</v>
      </c>
    </row>
    <row r="14511" spans="3:4" ht="15" x14ac:dyDescent="0.25">
      <c r="C14511" s="8" t="e">
        <f>VLOOKUP(A:A,'ITEM LIST'!A:C,3,0)</f>
        <v>#N/A</v>
      </c>
      <c r="D14511" s="6">
        <f t="shared" si="227"/>
        <v>0</v>
      </c>
    </row>
    <row r="14512" spans="3:4" ht="15" x14ac:dyDescent="0.25">
      <c r="C14512" s="8" t="e">
        <f>VLOOKUP(A:A,'ITEM LIST'!A:C,3,0)</f>
        <v>#N/A</v>
      </c>
      <c r="D14512" s="6">
        <f t="shared" si="227"/>
        <v>0</v>
      </c>
    </row>
    <row r="14513" spans="3:4" ht="15" x14ac:dyDescent="0.25">
      <c r="C14513" s="8" t="e">
        <f>VLOOKUP(A:A,'ITEM LIST'!A:C,3,0)</f>
        <v>#N/A</v>
      </c>
      <c r="D14513" s="6">
        <f t="shared" si="227"/>
        <v>0</v>
      </c>
    </row>
    <row r="14514" spans="3:4" ht="15" x14ac:dyDescent="0.25">
      <c r="C14514" s="8" t="e">
        <f>VLOOKUP(A:A,'ITEM LIST'!A:C,3,0)</f>
        <v>#N/A</v>
      </c>
      <c r="D14514" s="6">
        <f t="shared" si="227"/>
        <v>0</v>
      </c>
    </row>
    <row r="14515" spans="3:4" ht="15" x14ac:dyDescent="0.25">
      <c r="C14515" s="8" t="e">
        <f>VLOOKUP(A:A,'ITEM LIST'!A:C,3,0)</f>
        <v>#N/A</v>
      </c>
      <c r="D14515" s="6">
        <f t="shared" si="227"/>
        <v>0</v>
      </c>
    </row>
    <row r="14516" spans="3:4" ht="15" x14ac:dyDescent="0.25">
      <c r="C14516" s="8" t="e">
        <f>VLOOKUP(A:A,'ITEM LIST'!A:C,3,0)</f>
        <v>#N/A</v>
      </c>
      <c r="D14516" s="6">
        <f t="shared" si="227"/>
        <v>0</v>
      </c>
    </row>
    <row r="14517" spans="3:4" ht="15" x14ac:dyDescent="0.25">
      <c r="C14517" s="8" t="e">
        <f>VLOOKUP(A:A,'ITEM LIST'!A:C,3,0)</f>
        <v>#N/A</v>
      </c>
      <c r="D14517" s="6">
        <f t="shared" si="227"/>
        <v>0</v>
      </c>
    </row>
    <row r="14518" spans="3:4" ht="15" x14ac:dyDescent="0.25">
      <c r="C14518" s="8" t="e">
        <f>VLOOKUP(A:A,'ITEM LIST'!A:C,3,0)</f>
        <v>#N/A</v>
      </c>
      <c r="D14518" s="6">
        <f t="shared" si="227"/>
        <v>0</v>
      </c>
    </row>
    <row r="14519" spans="3:4" ht="15" x14ac:dyDescent="0.25">
      <c r="C14519" s="8" t="e">
        <f>VLOOKUP(A:A,'ITEM LIST'!A:C,3,0)</f>
        <v>#N/A</v>
      </c>
      <c r="D14519" s="6">
        <f t="shared" si="227"/>
        <v>0</v>
      </c>
    </row>
    <row r="14520" spans="3:4" ht="15" x14ac:dyDescent="0.25">
      <c r="C14520" s="8" t="e">
        <f>VLOOKUP(A:A,'ITEM LIST'!A:C,3,0)</f>
        <v>#N/A</v>
      </c>
      <c r="D14520" s="6">
        <f t="shared" si="227"/>
        <v>0</v>
      </c>
    </row>
    <row r="14521" spans="3:4" ht="15" x14ac:dyDescent="0.25">
      <c r="C14521" s="8" t="e">
        <f>VLOOKUP(A:A,'ITEM LIST'!A:C,3,0)</f>
        <v>#N/A</v>
      </c>
      <c r="D14521" s="6">
        <f t="shared" si="227"/>
        <v>0</v>
      </c>
    </row>
    <row r="14522" spans="3:4" ht="15" x14ac:dyDescent="0.25">
      <c r="C14522" s="8" t="e">
        <f>VLOOKUP(A:A,'ITEM LIST'!A:C,3,0)</f>
        <v>#N/A</v>
      </c>
      <c r="D14522" s="6">
        <f t="shared" si="227"/>
        <v>0</v>
      </c>
    </row>
    <row r="14523" spans="3:4" ht="15" x14ac:dyDescent="0.25">
      <c r="C14523" s="8" t="e">
        <f>VLOOKUP(A:A,'ITEM LIST'!A:C,3,0)</f>
        <v>#N/A</v>
      </c>
      <c r="D14523" s="6">
        <f t="shared" si="227"/>
        <v>0</v>
      </c>
    </row>
    <row r="14524" spans="3:4" ht="15" x14ac:dyDescent="0.25">
      <c r="C14524" s="8" t="e">
        <f>VLOOKUP(A:A,'ITEM LIST'!A:C,3,0)</f>
        <v>#N/A</v>
      </c>
      <c r="D14524" s="6">
        <f t="shared" si="227"/>
        <v>0</v>
      </c>
    </row>
    <row r="14525" spans="3:4" ht="15" x14ac:dyDescent="0.25">
      <c r="C14525" s="8" t="e">
        <f>VLOOKUP(A:A,'ITEM LIST'!A:C,3,0)</f>
        <v>#N/A</v>
      </c>
      <c r="D14525" s="6">
        <f t="shared" si="227"/>
        <v>0</v>
      </c>
    </row>
    <row r="14526" spans="3:4" ht="15" x14ac:dyDescent="0.25">
      <c r="C14526" s="8" t="e">
        <f>VLOOKUP(A:A,'ITEM LIST'!A:C,3,0)</f>
        <v>#N/A</v>
      </c>
      <c r="D14526" s="6">
        <f t="shared" si="227"/>
        <v>0</v>
      </c>
    </row>
    <row r="14527" spans="3:4" ht="15" x14ac:dyDescent="0.25">
      <c r="C14527" s="8" t="e">
        <f>VLOOKUP(A:A,'ITEM LIST'!A:C,3,0)</f>
        <v>#N/A</v>
      </c>
      <c r="D14527" s="6">
        <f t="shared" si="227"/>
        <v>0</v>
      </c>
    </row>
    <row r="14528" spans="3:4" ht="15" x14ac:dyDescent="0.25">
      <c r="C14528" s="8" t="e">
        <f>VLOOKUP(A:A,'ITEM LIST'!A:C,3,0)</f>
        <v>#N/A</v>
      </c>
      <c r="D14528" s="6">
        <f t="shared" si="227"/>
        <v>0</v>
      </c>
    </row>
    <row r="14529" spans="3:4" ht="15" x14ac:dyDescent="0.25">
      <c r="C14529" s="8" t="e">
        <f>VLOOKUP(A:A,'ITEM LIST'!A:C,3,0)</f>
        <v>#N/A</v>
      </c>
      <c r="D14529" s="6">
        <f t="shared" si="227"/>
        <v>0</v>
      </c>
    </row>
    <row r="14530" spans="3:4" ht="15" x14ac:dyDescent="0.25">
      <c r="C14530" s="8" t="e">
        <f>VLOOKUP(A:A,'ITEM LIST'!A:C,3,0)</f>
        <v>#N/A</v>
      </c>
      <c r="D14530" s="6">
        <f t="shared" si="227"/>
        <v>0</v>
      </c>
    </row>
    <row r="14531" spans="3:4" ht="15" x14ac:dyDescent="0.25">
      <c r="C14531" s="8" t="e">
        <f>VLOOKUP(A:A,'ITEM LIST'!A:C,3,0)</f>
        <v>#N/A</v>
      </c>
      <c r="D14531" s="6">
        <f t="shared" si="227"/>
        <v>0</v>
      </c>
    </row>
    <row r="14532" spans="3:4" ht="15" x14ac:dyDescent="0.25">
      <c r="C14532" s="8" t="e">
        <f>VLOOKUP(A:A,'ITEM LIST'!A:C,3,0)</f>
        <v>#N/A</v>
      </c>
      <c r="D14532" s="6">
        <f t="shared" si="227"/>
        <v>0</v>
      </c>
    </row>
    <row r="14533" spans="3:4" ht="15" x14ac:dyDescent="0.25">
      <c r="C14533" s="8" t="e">
        <f>VLOOKUP(A:A,'ITEM LIST'!A:C,3,0)</f>
        <v>#N/A</v>
      </c>
      <c r="D14533" s="6">
        <f t="shared" si="227"/>
        <v>0</v>
      </c>
    </row>
    <row r="14534" spans="3:4" ht="15" x14ac:dyDescent="0.25">
      <c r="C14534" s="8" t="e">
        <f>VLOOKUP(A:A,'ITEM LIST'!A:C,3,0)</f>
        <v>#N/A</v>
      </c>
      <c r="D14534" s="6">
        <f t="shared" ref="D14534:D14597" si="228">B14534</f>
        <v>0</v>
      </c>
    </row>
    <row r="14535" spans="3:4" ht="15" x14ac:dyDescent="0.25">
      <c r="C14535" s="8" t="e">
        <f>VLOOKUP(A:A,'ITEM LIST'!A:C,3,0)</f>
        <v>#N/A</v>
      </c>
      <c r="D14535" s="6">
        <f t="shared" si="228"/>
        <v>0</v>
      </c>
    </row>
    <row r="14536" spans="3:4" ht="15" x14ac:dyDescent="0.25">
      <c r="C14536" s="8" t="e">
        <f>VLOOKUP(A:A,'ITEM LIST'!A:C,3,0)</f>
        <v>#N/A</v>
      </c>
      <c r="D14536" s="6">
        <f t="shared" si="228"/>
        <v>0</v>
      </c>
    </row>
    <row r="14537" spans="3:4" ht="15" x14ac:dyDescent="0.25">
      <c r="C14537" s="8" t="e">
        <f>VLOOKUP(A:A,'ITEM LIST'!A:C,3,0)</f>
        <v>#N/A</v>
      </c>
      <c r="D14537" s="6">
        <f t="shared" si="228"/>
        <v>0</v>
      </c>
    </row>
    <row r="14538" spans="3:4" ht="15" x14ac:dyDescent="0.25">
      <c r="C14538" s="8" t="e">
        <f>VLOOKUP(A:A,'ITEM LIST'!A:C,3,0)</f>
        <v>#N/A</v>
      </c>
      <c r="D14538" s="6">
        <f t="shared" si="228"/>
        <v>0</v>
      </c>
    </row>
    <row r="14539" spans="3:4" ht="15" x14ac:dyDescent="0.25">
      <c r="C14539" s="8" t="e">
        <f>VLOOKUP(A:A,'ITEM LIST'!A:C,3,0)</f>
        <v>#N/A</v>
      </c>
      <c r="D14539" s="6">
        <f t="shared" si="228"/>
        <v>0</v>
      </c>
    </row>
    <row r="14540" spans="3:4" ht="15" x14ac:dyDescent="0.25">
      <c r="C14540" s="8" t="e">
        <f>VLOOKUP(A:A,'ITEM LIST'!A:C,3,0)</f>
        <v>#N/A</v>
      </c>
      <c r="D14540" s="6">
        <f t="shared" si="228"/>
        <v>0</v>
      </c>
    </row>
    <row r="14541" spans="3:4" ht="15" x14ac:dyDescent="0.25">
      <c r="C14541" s="8" t="e">
        <f>VLOOKUP(A:A,'ITEM LIST'!A:C,3,0)</f>
        <v>#N/A</v>
      </c>
      <c r="D14541" s="6">
        <f t="shared" si="228"/>
        <v>0</v>
      </c>
    </row>
    <row r="14542" spans="3:4" ht="15" x14ac:dyDescent="0.25">
      <c r="C14542" s="8" t="e">
        <f>VLOOKUP(A:A,'ITEM LIST'!A:C,3,0)</f>
        <v>#N/A</v>
      </c>
      <c r="D14542" s="6">
        <f t="shared" si="228"/>
        <v>0</v>
      </c>
    </row>
    <row r="14543" spans="3:4" ht="15" x14ac:dyDescent="0.25">
      <c r="C14543" s="8" t="e">
        <f>VLOOKUP(A:A,'ITEM LIST'!A:C,3,0)</f>
        <v>#N/A</v>
      </c>
      <c r="D14543" s="6">
        <f t="shared" si="228"/>
        <v>0</v>
      </c>
    </row>
    <row r="14544" spans="3:4" ht="15" x14ac:dyDescent="0.25">
      <c r="C14544" s="8" t="e">
        <f>VLOOKUP(A:A,'ITEM LIST'!A:C,3,0)</f>
        <v>#N/A</v>
      </c>
      <c r="D14544" s="6">
        <f t="shared" si="228"/>
        <v>0</v>
      </c>
    </row>
    <row r="14545" spans="3:4" ht="15" x14ac:dyDescent="0.25">
      <c r="C14545" s="8" t="e">
        <f>VLOOKUP(A:A,'ITEM LIST'!A:C,3,0)</f>
        <v>#N/A</v>
      </c>
      <c r="D14545" s="6">
        <f t="shared" si="228"/>
        <v>0</v>
      </c>
    </row>
    <row r="14546" spans="3:4" ht="15" x14ac:dyDescent="0.25">
      <c r="C14546" s="8" t="e">
        <f>VLOOKUP(A:A,'ITEM LIST'!A:C,3,0)</f>
        <v>#N/A</v>
      </c>
      <c r="D14546" s="6">
        <f t="shared" si="228"/>
        <v>0</v>
      </c>
    </row>
    <row r="14547" spans="3:4" ht="15" x14ac:dyDescent="0.25">
      <c r="C14547" s="8" t="e">
        <f>VLOOKUP(A:A,'ITEM LIST'!A:C,3,0)</f>
        <v>#N/A</v>
      </c>
      <c r="D14547" s="6">
        <f t="shared" si="228"/>
        <v>0</v>
      </c>
    </row>
    <row r="14548" spans="3:4" ht="15" x14ac:dyDescent="0.25">
      <c r="C14548" s="8" t="e">
        <f>VLOOKUP(A:A,'ITEM LIST'!A:C,3,0)</f>
        <v>#N/A</v>
      </c>
      <c r="D14548" s="6">
        <f t="shared" si="228"/>
        <v>0</v>
      </c>
    </row>
    <row r="14549" spans="3:4" ht="15" x14ac:dyDescent="0.25">
      <c r="C14549" s="8" t="e">
        <f>VLOOKUP(A:A,'ITEM LIST'!A:C,3,0)</f>
        <v>#N/A</v>
      </c>
      <c r="D14549" s="6">
        <f t="shared" si="228"/>
        <v>0</v>
      </c>
    </row>
    <row r="14550" spans="3:4" ht="15" x14ac:dyDescent="0.25">
      <c r="C14550" s="8" t="e">
        <f>VLOOKUP(A:A,'ITEM LIST'!A:C,3,0)</f>
        <v>#N/A</v>
      </c>
      <c r="D14550" s="6">
        <f t="shared" si="228"/>
        <v>0</v>
      </c>
    </row>
    <row r="14551" spans="3:4" ht="15" x14ac:dyDescent="0.25">
      <c r="C14551" s="8" t="e">
        <f>VLOOKUP(A:A,'ITEM LIST'!A:C,3,0)</f>
        <v>#N/A</v>
      </c>
      <c r="D14551" s="6">
        <f t="shared" si="228"/>
        <v>0</v>
      </c>
    </row>
    <row r="14552" spans="3:4" ht="15" x14ac:dyDescent="0.25">
      <c r="C14552" s="8" t="e">
        <f>VLOOKUP(A:A,'ITEM LIST'!A:C,3,0)</f>
        <v>#N/A</v>
      </c>
      <c r="D14552" s="6">
        <f t="shared" si="228"/>
        <v>0</v>
      </c>
    </row>
    <row r="14553" spans="3:4" ht="15" x14ac:dyDescent="0.25">
      <c r="C14553" s="8" t="e">
        <f>VLOOKUP(A:A,'ITEM LIST'!A:C,3,0)</f>
        <v>#N/A</v>
      </c>
      <c r="D14553" s="6">
        <f t="shared" si="228"/>
        <v>0</v>
      </c>
    </row>
    <row r="14554" spans="3:4" ht="15" x14ac:dyDescent="0.25">
      <c r="C14554" s="8" t="e">
        <f>VLOOKUP(A:A,'ITEM LIST'!A:C,3,0)</f>
        <v>#N/A</v>
      </c>
      <c r="D14554" s="6">
        <f t="shared" si="228"/>
        <v>0</v>
      </c>
    </row>
    <row r="14555" spans="3:4" ht="15" x14ac:dyDescent="0.25">
      <c r="C14555" s="8" t="e">
        <f>VLOOKUP(A:A,'ITEM LIST'!A:C,3,0)</f>
        <v>#N/A</v>
      </c>
      <c r="D14555" s="6">
        <f t="shared" si="228"/>
        <v>0</v>
      </c>
    </row>
    <row r="14556" spans="3:4" ht="15" x14ac:dyDescent="0.25">
      <c r="C14556" s="8" t="e">
        <f>VLOOKUP(A:A,'ITEM LIST'!A:C,3,0)</f>
        <v>#N/A</v>
      </c>
      <c r="D14556" s="6">
        <f t="shared" si="228"/>
        <v>0</v>
      </c>
    </row>
    <row r="14557" spans="3:4" ht="15" x14ac:dyDescent="0.25">
      <c r="C14557" s="8" t="e">
        <f>VLOOKUP(A:A,'ITEM LIST'!A:C,3,0)</f>
        <v>#N/A</v>
      </c>
      <c r="D14557" s="6">
        <f t="shared" si="228"/>
        <v>0</v>
      </c>
    </row>
    <row r="14558" spans="3:4" ht="15" x14ac:dyDescent="0.25">
      <c r="C14558" s="8" t="e">
        <f>VLOOKUP(A:A,'ITEM LIST'!A:C,3,0)</f>
        <v>#N/A</v>
      </c>
      <c r="D14558" s="6">
        <f t="shared" si="228"/>
        <v>0</v>
      </c>
    </row>
    <row r="14559" spans="3:4" ht="15" x14ac:dyDescent="0.25">
      <c r="C14559" s="8" t="e">
        <f>VLOOKUP(A:A,'ITEM LIST'!A:C,3,0)</f>
        <v>#N/A</v>
      </c>
      <c r="D14559" s="6">
        <f t="shared" si="228"/>
        <v>0</v>
      </c>
    </row>
    <row r="14560" spans="3:4" ht="15" x14ac:dyDescent="0.25">
      <c r="C14560" s="8" t="e">
        <f>VLOOKUP(A:A,'ITEM LIST'!A:C,3,0)</f>
        <v>#N/A</v>
      </c>
      <c r="D14560" s="6">
        <f t="shared" si="228"/>
        <v>0</v>
      </c>
    </row>
    <row r="14561" spans="3:4" ht="15" x14ac:dyDescent="0.25">
      <c r="C14561" s="8" t="e">
        <f>VLOOKUP(A:A,'ITEM LIST'!A:C,3,0)</f>
        <v>#N/A</v>
      </c>
      <c r="D14561" s="6">
        <f t="shared" si="228"/>
        <v>0</v>
      </c>
    </row>
    <row r="14562" spans="3:4" ht="15" x14ac:dyDescent="0.25">
      <c r="C14562" s="8" t="e">
        <f>VLOOKUP(A:A,'ITEM LIST'!A:C,3,0)</f>
        <v>#N/A</v>
      </c>
      <c r="D14562" s="6">
        <f t="shared" si="228"/>
        <v>0</v>
      </c>
    </row>
    <row r="14563" spans="3:4" ht="15" x14ac:dyDescent="0.25">
      <c r="C14563" s="8" t="e">
        <f>VLOOKUP(A:A,'ITEM LIST'!A:C,3,0)</f>
        <v>#N/A</v>
      </c>
      <c r="D14563" s="6">
        <f t="shared" si="228"/>
        <v>0</v>
      </c>
    </row>
    <row r="14564" spans="3:4" ht="15" x14ac:dyDescent="0.25">
      <c r="C14564" s="8" t="e">
        <f>VLOOKUP(A:A,'ITEM LIST'!A:C,3,0)</f>
        <v>#N/A</v>
      </c>
      <c r="D14564" s="6">
        <f t="shared" si="228"/>
        <v>0</v>
      </c>
    </row>
    <row r="14565" spans="3:4" ht="15" x14ac:dyDescent="0.25">
      <c r="C14565" s="8" t="e">
        <f>VLOOKUP(A:A,'ITEM LIST'!A:C,3,0)</f>
        <v>#N/A</v>
      </c>
      <c r="D14565" s="6">
        <f t="shared" si="228"/>
        <v>0</v>
      </c>
    </row>
    <row r="14566" spans="3:4" ht="15" x14ac:dyDescent="0.25">
      <c r="C14566" s="8" t="e">
        <f>VLOOKUP(A:A,'ITEM LIST'!A:C,3,0)</f>
        <v>#N/A</v>
      </c>
      <c r="D14566" s="6">
        <f t="shared" si="228"/>
        <v>0</v>
      </c>
    </row>
    <row r="14567" spans="3:4" ht="15" x14ac:dyDescent="0.25">
      <c r="C14567" s="8" t="e">
        <f>VLOOKUP(A:A,'ITEM LIST'!A:C,3,0)</f>
        <v>#N/A</v>
      </c>
      <c r="D14567" s="6">
        <f t="shared" si="228"/>
        <v>0</v>
      </c>
    </row>
    <row r="14568" spans="3:4" ht="15" x14ac:dyDescent="0.25">
      <c r="C14568" s="8" t="e">
        <f>VLOOKUP(A:A,'ITEM LIST'!A:C,3,0)</f>
        <v>#N/A</v>
      </c>
      <c r="D14568" s="6">
        <f t="shared" si="228"/>
        <v>0</v>
      </c>
    </row>
    <row r="14569" spans="3:4" ht="15" x14ac:dyDescent="0.25">
      <c r="C14569" s="8" t="e">
        <f>VLOOKUP(A:A,'ITEM LIST'!A:C,3,0)</f>
        <v>#N/A</v>
      </c>
      <c r="D14569" s="6">
        <f t="shared" si="228"/>
        <v>0</v>
      </c>
    </row>
    <row r="14570" spans="3:4" ht="15" x14ac:dyDescent="0.25">
      <c r="C14570" s="8" t="e">
        <f>VLOOKUP(A:A,'ITEM LIST'!A:C,3,0)</f>
        <v>#N/A</v>
      </c>
      <c r="D14570" s="6">
        <f t="shared" si="228"/>
        <v>0</v>
      </c>
    </row>
    <row r="14571" spans="3:4" ht="15" x14ac:dyDescent="0.25">
      <c r="C14571" s="8" t="e">
        <f>VLOOKUP(A:A,'ITEM LIST'!A:C,3,0)</f>
        <v>#N/A</v>
      </c>
      <c r="D14571" s="6">
        <f t="shared" si="228"/>
        <v>0</v>
      </c>
    </row>
    <row r="14572" spans="3:4" ht="15" x14ac:dyDescent="0.25">
      <c r="C14572" s="8" t="e">
        <f>VLOOKUP(A:A,'ITEM LIST'!A:C,3,0)</f>
        <v>#N/A</v>
      </c>
      <c r="D14572" s="6">
        <f t="shared" si="228"/>
        <v>0</v>
      </c>
    </row>
    <row r="14573" spans="3:4" ht="15" x14ac:dyDescent="0.25">
      <c r="C14573" s="8" t="e">
        <f>VLOOKUP(A:A,'ITEM LIST'!A:C,3,0)</f>
        <v>#N/A</v>
      </c>
      <c r="D14573" s="6">
        <f t="shared" si="228"/>
        <v>0</v>
      </c>
    </row>
    <row r="14574" spans="3:4" ht="15" x14ac:dyDescent="0.25">
      <c r="C14574" s="8" t="e">
        <f>VLOOKUP(A:A,'ITEM LIST'!A:C,3,0)</f>
        <v>#N/A</v>
      </c>
      <c r="D14574" s="6">
        <f t="shared" si="228"/>
        <v>0</v>
      </c>
    </row>
    <row r="14575" spans="3:4" ht="15" x14ac:dyDescent="0.25">
      <c r="C14575" s="8" t="e">
        <f>VLOOKUP(A:A,'ITEM LIST'!A:C,3,0)</f>
        <v>#N/A</v>
      </c>
      <c r="D14575" s="6">
        <f t="shared" si="228"/>
        <v>0</v>
      </c>
    </row>
    <row r="14576" spans="3:4" ht="15" x14ac:dyDescent="0.25">
      <c r="C14576" s="8" t="e">
        <f>VLOOKUP(A:A,'ITEM LIST'!A:C,3,0)</f>
        <v>#N/A</v>
      </c>
      <c r="D14576" s="6">
        <f t="shared" si="228"/>
        <v>0</v>
      </c>
    </row>
    <row r="14577" spans="3:4" ht="15" x14ac:dyDescent="0.25">
      <c r="C14577" s="8" t="e">
        <f>VLOOKUP(A:A,'ITEM LIST'!A:C,3,0)</f>
        <v>#N/A</v>
      </c>
      <c r="D14577" s="6">
        <f t="shared" si="228"/>
        <v>0</v>
      </c>
    </row>
    <row r="14578" spans="3:4" ht="15" x14ac:dyDescent="0.25">
      <c r="C14578" s="8" t="e">
        <f>VLOOKUP(A:A,'ITEM LIST'!A:C,3,0)</f>
        <v>#N/A</v>
      </c>
      <c r="D14578" s="6">
        <f t="shared" si="228"/>
        <v>0</v>
      </c>
    </row>
    <row r="14579" spans="3:4" ht="15" x14ac:dyDescent="0.25">
      <c r="C14579" s="8" t="e">
        <f>VLOOKUP(A:A,'ITEM LIST'!A:C,3,0)</f>
        <v>#N/A</v>
      </c>
      <c r="D14579" s="6">
        <f t="shared" si="228"/>
        <v>0</v>
      </c>
    </row>
    <row r="14580" spans="3:4" ht="15" x14ac:dyDescent="0.25">
      <c r="C14580" s="8" t="e">
        <f>VLOOKUP(A:A,'ITEM LIST'!A:C,3,0)</f>
        <v>#N/A</v>
      </c>
      <c r="D14580" s="6">
        <f t="shared" si="228"/>
        <v>0</v>
      </c>
    </row>
    <row r="14581" spans="3:4" ht="15" x14ac:dyDescent="0.25">
      <c r="C14581" s="8" t="e">
        <f>VLOOKUP(A:A,'ITEM LIST'!A:C,3,0)</f>
        <v>#N/A</v>
      </c>
      <c r="D14581" s="6">
        <f t="shared" si="228"/>
        <v>0</v>
      </c>
    </row>
    <row r="14582" spans="3:4" ht="15" x14ac:dyDescent="0.25">
      <c r="C14582" s="8" t="e">
        <f>VLOOKUP(A:A,'ITEM LIST'!A:C,3,0)</f>
        <v>#N/A</v>
      </c>
      <c r="D14582" s="6">
        <f t="shared" si="228"/>
        <v>0</v>
      </c>
    </row>
    <row r="14583" spans="3:4" ht="15" x14ac:dyDescent="0.25">
      <c r="C14583" s="8" t="e">
        <f>VLOOKUP(A:A,'ITEM LIST'!A:C,3,0)</f>
        <v>#N/A</v>
      </c>
      <c r="D14583" s="6">
        <f t="shared" si="228"/>
        <v>0</v>
      </c>
    </row>
    <row r="14584" spans="3:4" ht="15" x14ac:dyDescent="0.25">
      <c r="C14584" s="8" t="e">
        <f>VLOOKUP(A:A,'ITEM LIST'!A:C,3,0)</f>
        <v>#N/A</v>
      </c>
      <c r="D14584" s="6">
        <f t="shared" si="228"/>
        <v>0</v>
      </c>
    </row>
    <row r="14585" spans="3:4" ht="15" x14ac:dyDescent="0.25">
      <c r="C14585" s="8" t="e">
        <f>VLOOKUP(A:A,'ITEM LIST'!A:C,3,0)</f>
        <v>#N/A</v>
      </c>
      <c r="D14585" s="6">
        <f t="shared" si="228"/>
        <v>0</v>
      </c>
    </row>
    <row r="14586" spans="3:4" ht="15" x14ac:dyDescent="0.25">
      <c r="C14586" s="8" t="e">
        <f>VLOOKUP(A:A,'ITEM LIST'!A:C,3,0)</f>
        <v>#N/A</v>
      </c>
      <c r="D14586" s="6">
        <f t="shared" si="228"/>
        <v>0</v>
      </c>
    </row>
    <row r="14587" spans="3:4" ht="15" x14ac:dyDescent="0.25">
      <c r="C14587" s="8" t="e">
        <f>VLOOKUP(A:A,'ITEM LIST'!A:C,3,0)</f>
        <v>#N/A</v>
      </c>
      <c r="D14587" s="6">
        <f t="shared" si="228"/>
        <v>0</v>
      </c>
    </row>
    <row r="14588" spans="3:4" ht="15" x14ac:dyDescent="0.25">
      <c r="C14588" s="8" t="e">
        <f>VLOOKUP(A:A,'ITEM LIST'!A:C,3,0)</f>
        <v>#N/A</v>
      </c>
      <c r="D14588" s="6">
        <f t="shared" si="228"/>
        <v>0</v>
      </c>
    </row>
    <row r="14589" spans="3:4" ht="15" x14ac:dyDescent="0.25">
      <c r="C14589" s="8" t="e">
        <f>VLOOKUP(A:A,'ITEM LIST'!A:C,3,0)</f>
        <v>#N/A</v>
      </c>
      <c r="D14589" s="6">
        <f t="shared" si="228"/>
        <v>0</v>
      </c>
    </row>
    <row r="14590" spans="3:4" ht="15" x14ac:dyDescent="0.25">
      <c r="C14590" s="8" t="e">
        <f>VLOOKUP(A:A,'ITEM LIST'!A:C,3,0)</f>
        <v>#N/A</v>
      </c>
      <c r="D14590" s="6">
        <f t="shared" si="228"/>
        <v>0</v>
      </c>
    </row>
    <row r="14591" spans="3:4" ht="15" x14ac:dyDescent="0.25">
      <c r="C14591" s="8" t="e">
        <f>VLOOKUP(A:A,'ITEM LIST'!A:C,3,0)</f>
        <v>#N/A</v>
      </c>
      <c r="D14591" s="6">
        <f t="shared" si="228"/>
        <v>0</v>
      </c>
    </row>
    <row r="14592" spans="3:4" ht="15" x14ac:dyDescent="0.25">
      <c r="C14592" s="8" t="e">
        <f>VLOOKUP(A:A,'ITEM LIST'!A:C,3,0)</f>
        <v>#N/A</v>
      </c>
      <c r="D14592" s="6">
        <f t="shared" si="228"/>
        <v>0</v>
      </c>
    </row>
    <row r="14593" spans="3:4" ht="15" x14ac:dyDescent="0.25">
      <c r="C14593" s="8" t="e">
        <f>VLOOKUP(A:A,'ITEM LIST'!A:C,3,0)</f>
        <v>#N/A</v>
      </c>
      <c r="D14593" s="6">
        <f t="shared" si="228"/>
        <v>0</v>
      </c>
    </row>
    <row r="14594" spans="3:4" ht="15" x14ac:dyDescent="0.25">
      <c r="C14594" s="8" t="e">
        <f>VLOOKUP(A:A,'ITEM LIST'!A:C,3,0)</f>
        <v>#N/A</v>
      </c>
      <c r="D14594" s="6">
        <f t="shared" si="228"/>
        <v>0</v>
      </c>
    </row>
    <row r="14595" spans="3:4" ht="15" x14ac:dyDescent="0.25">
      <c r="C14595" s="8" t="e">
        <f>VLOOKUP(A:A,'ITEM LIST'!A:C,3,0)</f>
        <v>#N/A</v>
      </c>
      <c r="D14595" s="6">
        <f t="shared" si="228"/>
        <v>0</v>
      </c>
    </row>
    <row r="14596" spans="3:4" ht="15" x14ac:dyDescent="0.25">
      <c r="C14596" s="8" t="e">
        <f>VLOOKUP(A:A,'ITEM LIST'!A:C,3,0)</f>
        <v>#N/A</v>
      </c>
      <c r="D14596" s="6">
        <f t="shared" si="228"/>
        <v>0</v>
      </c>
    </row>
    <row r="14597" spans="3:4" ht="15" x14ac:dyDescent="0.25">
      <c r="C14597" s="8" t="e">
        <f>VLOOKUP(A:A,'ITEM LIST'!A:C,3,0)</f>
        <v>#N/A</v>
      </c>
      <c r="D14597" s="6">
        <f t="shared" si="228"/>
        <v>0</v>
      </c>
    </row>
    <row r="14598" spans="3:4" ht="15" x14ac:dyDescent="0.25">
      <c r="C14598" s="8" t="e">
        <f>VLOOKUP(A:A,'ITEM LIST'!A:C,3,0)</f>
        <v>#N/A</v>
      </c>
      <c r="D14598" s="6">
        <f t="shared" ref="D14598:D14661" si="229">B14598</f>
        <v>0</v>
      </c>
    </row>
    <row r="14599" spans="3:4" ht="15" x14ac:dyDescent="0.25">
      <c r="C14599" s="8" t="e">
        <f>VLOOKUP(A:A,'ITEM LIST'!A:C,3,0)</f>
        <v>#N/A</v>
      </c>
      <c r="D14599" s="6">
        <f t="shared" si="229"/>
        <v>0</v>
      </c>
    </row>
    <row r="14600" spans="3:4" ht="15" x14ac:dyDescent="0.25">
      <c r="C14600" s="8" t="e">
        <f>VLOOKUP(A:A,'ITEM LIST'!A:C,3,0)</f>
        <v>#N/A</v>
      </c>
      <c r="D14600" s="6">
        <f t="shared" si="229"/>
        <v>0</v>
      </c>
    </row>
    <row r="14601" spans="3:4" ht="15" x14ac:dyDescent="0.25">
      <c r="C14601" s="8" t="e">
        <f>VLOOKUP(A:A,'ITEM LIST'!A:C,3,0)</f>
        <v>#N/A</v>
      </c>
      <c r="D14601" s="6">
        <f t="shared" si="229"/>
        <v>0</v>
      </c>
    </row>
    <row r="14602" spans="3:4" ht="15" x14ac:dyDescent="0.25">
      <c r="C14602" s="8" t="e">
        <f>VLOOKUP(A:A,'ITEM LIST'!A:C,3,0)</f>
        <v>#N/A</v>
      </c>
      <c r="D14602" s="6">
        <f t="shared" si="229"/>
        <v>0</v>
      </c>
    </row>
    <row r="14603" spans="3:4" ht="15" x14ac:dyDescent="0.25">
      <c r="C14603" s="8" t="e">
        <f>VLOOKUP(A:A,'ITEM LIST'!A:C,3,0)</f>
        <v>#N/A</v>
      </c>
      <c r="D14603" s="6">
        <f t="shared" si="229"/>
        <v>0</v>
      </c>
    </row>
    <row r="14604" spans="3:4" ht="15" x14ac:dyDescent="0.25">
      <c r="C14604" s="8" t="e">
        <f>VLOOKUP(A:A,'ITEM LIST'!A:C,3,0)</f>
        <v>#N/A</v>
      </c>
      <c r="D14604" s="6">
        <f t="shared" si="229"/>
        <v>0</v>
      </c>
    </row>
    <row r="14605" spans="3:4" ht="15" x14ac:dyDescent="0.25">
      <c r="C14605" s="8" t="e">
        <f>VLOOKUP(A:A,'ITEM LIST'!A:C,3,0)</f>
        <v>#N/A</v>
      </c>
      <c r="D14605" s="6">
        <f t="shared" si="229"/>
        <v>0</v>
      </c>
    </row>
    <row r="14606" spans="3:4" ht="15" x14ac:dyDescent="0.25">
      <c r="C14606" s="8" t="e">
        <f>VLOOKUP(A:A,'ITEM LIST'!A:C,3,0)</f>
        <v>#N/A</v>
      </c>
      <c r="D14606" s="6">
        <f t="shared" si="229"/>
        <v>0</v>
      </c>
    </row>
    <row r="14607" spans="3:4" ht="15" x14ac:dyDescent="0.25">
      <c r="C14607" s="8" t="e">
        <f>VLOOKUP(A:A,'ITEM LIST'!A:C,3,0)</f>
        <v>#N/A</v>
      </c>
      <c r="D14607" s="6">
        <f t="shared" si="229"/>
        <v>0</v>
      </c>
    </row>
    <row r="14608" spans="3:4" ht="15" x14ac:dyDescent="0.25">
      <c r="C14608" s="8" t="e">
        <f>VLOOKUP(A:A,'ITEM LIST'!A:C,3,0)</f>
        <v>#N/A</v>
      </c>
      <c r="D14608" s="6">
        <f t="shared" si="229"/>
        <v>0</v>
      </c>
    </row>
    <row r="14609" spans="3:4" ht="15" x14ac:dyDescent="0.25">
      <c r="C14609" s="8" t="e">
        <f>VLOOKUP(A:A,'ITEM LIST'!A:C,3,0)</f>
        <v>#N/A</v>
      </c>
      <c r="D14609" s="6">
        <f t="shared" si="229"/>
        <v>0</v>
      </c>
    </row>
    <row r="14610" spans="3:4" ht="15" x14ac:dyDescent="0.25">
      <c r="C14610" s="8" t="e">
        <f>VLOOKUP(A:A,'ITEM LIST'!A:C,3,0)</f>
        <v>#N/A</v>
      </c>
      <c r="D14610" s="6">
        <f t="shared" si="229"/>
        <v>0</v>
      </c>
    </row>
    <row r="14611" spans="3:4" ht="15" x14ac:dyDescent="0.25">
      <c r="C14611" s="8" t="e">
        <f>VLOOKUP(A:A,'ITEM LIST'!A:C,3,0)</f>
        <v>#N/A</v>
      </c>
      <c r="D14611" s="6">
        <f t="shared" si="229"/>
        <v>0</v>
      </c>
    </row>
    <row r="14612" spans="3:4" ht="15" x14ac:dyDescent="0.25">
      <c r="C14612" s="8" t="e">
        <f>VLOOKUP(A:A,'ITEM LIST'!A:C,3,0)</f>
        <v>#N/A</v>
      </c>
      <c r="D14612" s="6">
        <f t="shared" si="229"/>
        <v>0</v>
      </c>
    </row>
    <row r="14613" spans="3:4" ht="15" x14ac:dyDescent="0.25">
      <c r="C14613" s="8" t="e">
        <f>VLOOKUP(A:A,'ITEM LIST'!A:C,3,0)</f>
        <v>#N/A</v>
      </c>
      <c r="D14613" s="6">
        <f t="shared" si="229"/>
        <v>0</v>
      </c>
    </row>
    <row r="14614" spans="3:4" ht="15" x14ac:dyDescent="0.25">
      <c r="C14614" s="8" t="e">
        <f>VLOOKUP(A:A,'ITEM LIST'!A:C,3,0)</f>
        <v>#N/A</v>
      </c>
      <c r="D14614" s="6">
        <f t="shared" si="229"/>
        <v>0</v>
      </c>
    </row>
    <row r="14615" spans="3:4" ht="15" x14ac:dyDescent="0.25">
      <c r="C14615" s="8" t="e">
        <f>VLOOKUP(A:A,'ITEM LIST'!A:C,3,0)</f>
        <v>#N/A</v>
      </c>
      <c r="D14615" s="6">
        <f t="shared" si="229"/>
        <v>0</v>
      </c>
    </row>
    <row r="14616" spans="3:4" ht="15" x14ac:dyDescent="0.25">
      <c r="C14616" s="8" t="e">
        <f>VLOOKUP(A:A,'ITEM LIST'!A:C,3,0)</f>
        <v>#N/A</v>
      </c>
      <c r="D14616" s="6">
        <f t="shared" si="229"/>
        <v>0</v>
      </c>
    </row>
    <row r="14617" spans="3:4" ht="15" x14ac:dyDescent="0.25">
      <c r="C14617" s="8" t="e">
        <f>VLOOKUP(A:A,'ITEM LIST'!A:C,3,0)</f>
        <v>#N/A</v>
      </c>
      <c r="D14617" s="6">
        <f t="shared" si="229"/>
        <v>0</v>
      </c>
    </row>
    <row r="14618" spans="3:4" ht="15" x14ac:dyDescent="0.25">
      <c r="C14618" s="8" t="e">
        <f>VLOOKUP(A:A,'ITEM LIST'!A:C,3,0)</f>
        <v>#N/A</v>
      </c>
      <c r="D14618" s="6">
        <f t="shared" si="229"/>
        <v>0</v>
      </c>
    </row>
    <row r="14619" spans="3:4" ht="15" x14ac:dyDescent="0.25">
      <c r="C14619" s="8" t="e">
        <f>VLOOKUP(A:A,'ITEM LIST'!A:C,3,0)</f>
        <v>#N/A</v>
      </c>
      <c r="D14619" s="6">
        <f t="shared" si="229"/>
        <v>0</v>
      </c>
    </row>
    <row r="14620" spans="3:4" ht="15" x14ac:dyDescent="0.25">
      <c r="C14620" s="8" t="e">
        <f>VLOOKUP(A:A,'ITEM LIST'!A:C,3,0)</f>
        <v>#N/A</v>
      </c>
      <c r="D14620" s="6">
        <f t="shared" si="229"/>
        <v>0</v>
      </c>
    </row>
    <row r="14621" spans="3:4" ht="15" x14ac:dyDescent="0.25">
      <c r="C14621" s="8" t="e">
        <f>VLOOKUP(A:A,'ITEM LIST'!A:C,3,0)</f>
        <v>#N/A</v>
      </c>
      <c r="D14621" s="6">
        <f t="shared" si="229"/>
        <v>0</v>
      </c>
    </row>
    <row r="14622" spans="3:4" ht="15" x14ac:dyDescent="0.25">
      <c r="C14622" s="8" t="e">
        <f>VLOOKUP(A:A,'ITEM LIST'!A:C,3,0)</f>
        <v>#N/A</v>
      </c>
      <c r="D14622" s="6">
        <f t="shared" si="229"/>
        <v>0</v>
      </c>
    </row>
    <row r="14623" spans="3:4" ht="15" x14ac:dyDescent="0.25">
      <c r="C14623" s="8" t="e">
        <f>VLOOKUP(A:A,'ITEM LIST'!A:C,3,0)</f>
        <v>#N/A</v>
      </c>
      <c r="D14623" s="6">
        <f t="shared" si="229"/>
        <v>0</v>
      </c>
    </row>
    <row r="14624" spans="3:4" ht="15" x14ac:dyDescent="0.25">
      <c r="C14624" s="8" t="e">
        <f>VLOOKUP(A:A,'ITEM LIST'!A:C,3,0)</f>
        <v>#N/A</v>
      </c>
      <c r="D14624" s="6">
        <f t="shared" si="229"/>
        <v>0</v>
      </c>
    </row>
    <row r="14625" spans="3:4" ht="15" x14ac:dyDescent="0.25">
      <c r="C14625" s="8" t="e">
        <f>VLOOKUP(A:A,'ITEM LIST'!A:C,3,0)</f>
        <v>#N/A</v>
      </c>
      <c r="D14625" s="6">
        <f t="shared" si="229"/>
        <v>0</v>
      </c>
    </row>
    <row r="14626" spans="3:4" ht="15" x14ac:dyDescent="0.25">
      <c r="C14626" s="8" t="e">
        <f>VLOOKUP(A:A,'ITEM LIST'!A:C,3,0)</f>
        <v>#N/A</v>
      </c>
      <c r="D14626" s="6">
        <f t="shared" si="229"/>
        <v>0</v>
      </c>
    </row>
    <row r="14627" spans="3:4" ht="15" x14ac:dyDescent="0.25">
      <c r="C14627" s="8" t="e">
        <f>VLOOKUP(A:A,'ITEM LIST'!A:C,3,0)</f>
        <v>#N/A</v>
      </c>
      <c r="D14627" s="6">
        <f t="shared" si="229"/>
        <v>0</v>
      </c>
    </row>
    <row r="14628" spans="3:4" ht="15" x14ac:dyDescent="0.25">
      <c r="C14628" s="8" t="e">
        <f>VLOOKUP(A:A,'ITEM LIST'!A:C,3,0)</f>
        <v>#N/A</v>
      </c>
      <c r="D14628" s="6">
        <f t="shared" si="229"/>
        <v>0</v>
      </c>
    </row>
    <row r="14629" spans="3:4" ht="15" x14ac:dyDescent="0.25">
      <c r="C14629" s="8" t="e">
        <f>VLOOKUP(A:A,'ITEM LIST'!A:C,3,0)</f>
        <v>#N/A</v>
      </c>
      <c r="D14629" s="6">
        <f t="shared" si="229"/>
        <v>0</v>
      </c>
    </row>
    <row r="14630" spans="3:4" ht="15" x14ac:dyDescent="0.25">
      <c r="C14630" s="8" t="e">
        <f>VLOOKUP(A:A,'ITEM LIST'!A:C,3,0)</f>
        <v>#N/A</v>
      </c>
      <c r="D14630" s="6">
        <f t="shared" si="229"/>
        <v>0</v>
      </c>
    </row>
    <row r="14631" spans="3:4" ht="15" x14ac:dyDescent="0.25">
      <c r="C14631" s="8" t="e">
        <f>VLOOKUP(A:A,'ITEM LIST'!A:C,3,0)</f>
        <v>#N/A</v>
      </c>
      <c r="D14631" s="6">
        <f t="shared" si="229"/>
        <v>0</v>
      </c>
    </row>
    <row r="14632" spans="3:4" ht="15" x14ac:dyDescent="0.25">
      <c r="C14632" s="8" t="e">
        <f>VLOOKUP(A:A,'ITEM LIST'!A:C,3,0)</f>
        <v>#N/A</v>
      </c>
      <c r="D14632" s="6">
        <f t="shared" si="229"/>
        <v>0</v>
      </c>
    </row>
    <row r="14633" spans="3:4" ht="15" x14ac:dyDescent="0.25">
      <c r="C14633" s="8" t="e">
        <f>VLOOKUP(A:A,'ITEM LIST'!A:C,3,0)</f>
        <v>#N/A</v>
      </c>
      <c r="D14633" s="6">
        <f t="shared" si="229"/>
        <v>0</v>
      </c>
    </row>
    <row r="14634" spans="3:4" ht="15" x14ac:dyDescent="0.25">
      <c r="C14634" s="8" t="e">
        <f>VLOOKUP(A:A,'ITEM LIST'!A:C,3,0)</f>
        <v>#N/A</v>
      </c>
      <c r="D14634" s="6">
        <f t="shared" si="229"/>
        <v>0</v>
      </c>
    </row>
    <row r="14635" spans="3:4" ht="15" x14ac:dyDescent="0.25">
      <c r="C14635" s="8" t="e">
        <f>VLOOKUP(A:A,'ITEM LIST'!A:C,3,0)</f>
        <v>#N/A</v>
      </c>
      <c r="D14635" s="6">
        <f t="shared" si="229"/>
        <v>0</v>
      </c>
    </row>
    <row r="14636" spans="3:4" ht="15" x14ac:dyDescent="0.25">
      <c r="C14636" s="8" t="e">
        <f>VLOOKUP(A:A,'ITEM LIST'!A:C,3,0)</f>
        <v>#N/A</v>
      </c>
      <c r="D14636" s="6">
        <f t="shared" si="229"/>
        <v>0</v>
      </c>
    </row>
    <row r="14637" spans="3:4" ht="15" x14ac:dyDescent="0.25">
      <c r="C14637" s="8" t="e">
        <f>VLOOKUP(A:A,'ITEM LIST'!A:C,3,0)</f>
        <v>#N/A</v>
      </c>
      <c r="D14637" s="6">
        <f t="shared" si="229"/>
        <v>0</v>
      </c>
    </row>
    <row r="14638" spans="3:4" ht="15" x14ac:dyDescent="0.25">
      <c r="C14638" s="8" t="e">
        <f>VLOOKUP(A:A,'ITEM LIST'!A:C,3,0)</f>
        <v>#N/A</v>
      </c>
      <c r="D14638" s="6">
        <f t="shared" si="229"/>
        <v>0</v>
      </c>
    </row>
    <row r="14639" spans="3:4" ht="15" x14ac:dyDescent="0.25">
      <c r="C14639" s="8" t="e">
        <f>VLOOKUP(A:A,'ITEM LIST'!A:C,3,0)</f>
        <v>#N/A</v>
      </c>
      <c r="D14639" s="6">
        <f t="shared" si="229"/>
        <v>0</v>
      </c>
    </row>
    <row r="14640" spans="3:4" ht="15" x14ac:dyDescent="0.25">
      <c r="C14640" s="8" t="e">
        <f>VLOOKUP(A:A,'ITEM LIST'!A:C,3,0)</f>
        <v>#N/A</v>
      </c>
      <c r="D14640" s="6">
        <f t="shared" si="229"/>
        <v>0</v>
      </c>
    </row>
    <row r="14641" spans="3:4" ht="15" x14ac:dyDescent="0.25">
      <c r="C14641" s="8" t="e">
        <f>VLOOKUP(A:A,'ITEM LIST'!A:C,3,0)</f>
        <v>#N/A</v>
      </c>
      <c r="D14641" s="6">
        <f t="shared" si="229"/>
        <v>0</v>
      </c>
    </row>
    <row r="14642" spans="3:4" ht="15" x14ac:dyDescent="0.25">
      <c r="C14642" s="8" t="e">
        <f>VLOOKUP(A:A,'ITEM LIST'!A:C,3,0)</f>
        <v>#N/A</v>
      </c>
      <c r="D14642" s="6">
        <f t="shared" si="229"/>
        <v>0</v>
      </c>
    </row>
    <row r="14643" spans="3:4" ht="15" x14ac:dyDescent="0.25">
      <c r="C14643" s="8" t="e">
        <f>VLOOKUP(A:A,'ITEM LIST'!A:C,3,0)</f>
        <v>#N/A</v>
      </c>
      <c r="D14643" s="6">
        <f t="shared" si="229"/>
        <v>0</v>
      </c>
    </row>
    <row r="14644" spans="3:4" ht="15" x14ac:dyDescent="0.25">
      <c r="C14644" s="8" t="e">
        <f>VLOOKUP(A:A,'ITEM LIST'!A:C,3,0)</f>
        <v>#N/A</v>
      </c>
      <c r="D14644" s="6">
        <f t="shared" si="229"/>
        <v>0</v>
      </c>
    </row>
    <row r="14645" spans="3:4" ht="15" x14ac:dyDescent="0.25">
      <c r="C14645" s="8" t="e">
        <f>VLOOKUP(A:A,'ITEM LIST'!A:C,3,0)</f>
        <v>#N/A</v>
      </c>
      <c r="D14645" s="6">
        <f t="shared" si="229"/>
        <v>0</v>
      </c>
    </row>
    <row r="14646" spans="3:4" ht="15" x14ac:dyDescent="0.25">
      <c r="C14646" s="8" t="e">
        <f>VLOOKUP(A:A,'ITEM LIST'!A:C,3,0)</f>
        <v>#N/A</v>
      </c>
      <c r="D14646" s="6">
        <f t="shared" si="229"/>
        <v>0</v>
      </c>
    </row>
    <row r="14647" spans="3:4" ht="15" x14ac:dyDescent="0.25">
      <c r="C14647" s="8" t="e">
        <f>VLOOKUP(A:A,'ITEM LIST'!A:C,3,0)</f>
        <v>#N/A</v>
      </c>
      <c r="D14647" s="6">
        <f t="shared" si="229"/>
        <v>0</v>
      </c>
    </row>
    <row r="14648" spans="3:4" ht="15" x14ac:dyDescent="0.25">
      <c r="C14648" s="8" t="e">
        <f>VLOOKUP(A:A,'ITEM LIST'!A:C,3,0)</f>
        <v>#N/A</v>
      </c>
      <c r="D14648" s="6">
        <f t="shared" si="229"/>
        <v>0</v>
      </c>
    </row>
    <row r="14649" spans="3:4" ht="15" x14ac:dyDescent="0.25">
      <c r="C14649" s="8" t="e">
        <f>VLOOKUP(A:A,'ITEM LIST'!A:C,3,0)</f>
        <v>#N/A</v>
      </c>
      <c r="D14649" s="6">
        <f t="shared" si="229"/>
        <v>0</v>
      </c>
    </row>
    <row r="14650" spans="3:4" ht="15" x14ac:dyDescent="0.25">
      <c r="C14650" s="8" t="e">
        <f>VLOOKUP(A:A,'ITEM LIST'!A:C,3,0)</f>
        <v>#N/A</v>
      </c>
      <c r="D14650" s="6">
        <f t="shared" si="229"/>
        <v>0</v>
      </c>
    </row>
    <row r="14651" spans="3:4" ht="15" x14ac:dyDescent="0.25">
      <c r="C14651" s="8" t="e">
        <f>VLOOKUP(A:A,'ITEM LIST'!A:C,3,0)</f>
        <v>#N/A</v>
      </c>
      <c r="D14651" s="6">
        <f t="shared" si="229"/>
        <v>0</v>
      </c>
    </row>
    <row r="14652" spans="3:4" ht="15" x14ac:dyDescent="0.25">
      <c r="C14652" s="8" t="e">
        <f>VLOOKUP(A:A,'ITEM LIST'!A:C,3,0)</f>
        <v>#N/A</v>
      </c>
      <c r="D14652" s="6">
        <f t="shared" si="229"/>
        <v>0</v>
      </c>
    </row>
    <row r="14653" spans="3:4" ht="15" x14ac:dyDescent="0.25">
      <c r="C14653" s="8" t="e">
        <f>VLOOKUP(A:A,'ITEM LIST'!A:C,3,0)</f>
        <v>#N/A</v>
      </c>
      <c r="D14653" s="6">
        <f t="shared" si="229"/>
        <v>0</v>
      </c>
    </row>
    <row r="14654" spans="3:4" ht="15" x14ac:dyDescent="0.25">
      <c r="C14654" s="8" t="e">
        <f>VLOOKUP(A:A,'ITEM LIST'!A:C,3,0)</f>
        <v>#N/A</v>
      </c>
      <c r="D14654" s="6">
        <f t="shared" si="229"/>
        <v>0</v>
      </c>
    </row>
    <row r="14655" spans="3:4" ht="15" x14ac:dyDescent="0.25">
      <c r="C14655" s="8" t="e">
        <f>VLOOKUP(A:A,'ITEM LIST'!A:C,3,0)</f>
        <v>#N/A</v>
      </c>
      <c r="D14655" s="6">
        <f t="shared" si="229"/>
        <v>0</v>
      </c>
    </row>
    <row r="14656" spans="3:4" ht="15" x14ac:dyDescent="0.25">
      <c r="C14656" s="8" t="e">
        <f>VLOOKUP(A:A,'ITEM LIST'!A:C,3,0)</f>
        <v>#N/A</v>
      </c>
      <c r="D14656" s="6">
        <f t="shared" si="229"/>
        <v>0</v>
      </c>
    </row>
    <row r="14657" spans="3:4" ht="15" x14ac:dyDescent="0.25">
      <c r="C14657" s="8" t="e">
        <f>VLOOKUP(A:A,'ITEM LIST'!A:C,3,0)</f>
        <v>#N/A</v>
      </c>
      <c r="D14657" s="6">
        <f t="shared" si="229"/>
        <v>0</v>
      </c>
    </row>
    <row r="14658" spans="3:4" ht="15" x14ac:dyDescent="0.25">
      <c r="C14658" s="8" t="e">
        <f>VLOOKUP(A:A,'ITEM LIST'!A:C,3,0)</f>
        <v>#N/A</v>
      </c>
      <c r="D14658" s="6">
        <f t="shared" si="229"/>
        <v>0</v>
      </c>
    </row>
    <row r="14659" spans="3:4" ht="15" x14ac:dyDescent="0.25">
      <c r="C14659" s="8" t="e">
        <f>VLOOKUP(A:A,'ITEM LIST'!A:C,3,0)</f>
        <v>#N/A</v>
      </c>
      <c r="D14659" s="6">
        <f t="shared" si="229"/>
        <v>0</v>
      </c>
    </row>
    <row r="14660" spans="3:4" ht="15" x14ac:dyDescent="0.25">
      <c r="C14660" s="8" t="e">
        <f>VLOOKUP(A:A,'ITEM LIST'!A:C,3,0)</f>
        <v>#N/A</v>
      </c>
      <c r="D14660" s="6">
        <f t="shared" si="229"/>
        <v>0</v>
      </c>
    </row>
    <row r="14661" spans="3:4" ht="15" x14ac:dyDescent="0.25">
      <c r="C14661" s="8" t="e">
        <f>VLOOKUP(A:A,'ITEM LIST'!A:C,3,0)</f>
        <v>#N/A</v>
      </c>
      <c r="D14661" s="6">
        <f t="shared" si="229"/>
        <v>0</v>
      </c>
    </row>
    <row r="14662" spans="3:4" ht="15" x14ac:dyDescent="0.25">
      <c r="C14662" s="8" t="e">
        <f>VLOOKUP(A:A,'ITEM LIST'!A:C,3,0)</f>
        <v>#N/A</v>
      </c>
      <c r="D14662" s="6">
        <f t="shared" ref="D14662:D14725" si="230">B14662</f>
        <v>0</v>
      </c>
    </row>
    <row r="14663" spans="3:4" ht="15" x14ac:dyDescent="0.25">
      <c r="C14663" s="8" t="e">
        <f>VLOOKUP(A:A,'ITEM LIST'!A:C,3,0)</f>
        <v>#N/A</v>
      </c>
      <c r="D14663" s="6">
        <f t="shared" si="230"/>
        <v>0</v>
      </c>
    </row>
    <row r="14664" spans="3:4" ht="15" x14ac:dyDescent="0.25">
      <c r="C14664" s="8" t="e">
        <f>VLOOKUP(A:A,'ITEM LIST'!A:C,3,0)</f>
        <v>#N/A</v>
      </c>
      <c r="D14664" s="6">
        <f t="shared" si="230"/>
        <v>0</v>
      </c>
    </row>
    <row r="14665" spans="3:4" ht="15" x14ac:dyDescent="0.25">
      <c r="C14665" s="8" t="e">
        <f>VLOOKUP(A:A,'ITEM LIST'!A:C,3,0)</f>
        <v>#N/A</v>
      </c>
      <c r="D14665" s="6">
        <f t="shared" si="230"/>
        <v>0</v>
      </c>
    </row>
    <row r="14666" spans="3:4" ht="15" x14ac:dyDescent="0.25">
      <c r="C14666" s="8" t="e">
        <f>VLOOKUP(A:A,'ITEM LIST'!A:C,3,0)</f>
        <v>#N/A</v>
      </c>
      <c r="D14666" s="6">
        <f t="shared" si="230"/>
        <v>0</v>
      </c>
    </row>
    <row r="14667" spans="3:4" ht="15" x14ac:dyDescent="0.25">
      <c r="C14667" s="8" t="e">
        <f>VLOOKUP(A:A,'ITEM LIST'!A:C,3,0)</f>
        <v>#N/A</v>
      </c>
      <c r="D14667" s="6">
        <f t="shared" si="230"/>
        <v>0</v>
      </c>
    </row>
    <row r="14668" spans="3:4" ht="15" x14ac:dyDescent="0.25">
      <c r="C14668" s="8" t="e">
        <f>VLOOKUP(A:A,'ITEM LIST'!A:C,3,0)</f>
        <v>#N/A</v>
      </c>
      <c r="D14668" s="6">
        <f t="shared" si="230"/>
        <v>0</v>
      </c>
    </row>
    <row r="14669" spans="3:4" ht="15" x14ac:dyDescent="0.25">
      <c r="C14669" s="8" t="e">
        <f>VLOOKUP(A:A,'ITEM LIST'!A:C,3,0)</f>
        <v>#N/A</v>
      </c>
      <c r="D14669" s="6">
        <f t="shared" si="230"/>
        <v>0</v>
      </c>
    </row>
    <row r="14670" spans="3:4" ht="15" x14ac:dyDescent="0.25">
      <c r="C14670" s="8" t="e">
        <f>VLOOKUP(A:A,'ITEM LIST'!A:C,3,0)</f>
        <v>#N/A</v>
      </c>
      <c r="D14670" s="6">
        <f t="shared" si="230"/>
        <v>0</v>
      </c>
    </row>
    <row r="14671" spans="3:4" ht="15" x14ac:dyDescent="0.25">
      <c r="C14671" s="8" t="e">
        <f>VLOOKUP(A:A,'ITEM LIST'!A:C,3,0)</f>
        <v>#N/A</v>
      </c>
      <c r="D14671" s="6">
        <f t="shared" si="230"/>
        <v>0</v>
      </c>
    </row>
    <row r="14672" spans="3:4" ht="15" x14ac:dyDescent="0.25">
      <c r="C14672" s="8" t="e">
        <f>VLOOKUP(A:A,'ITEM LIST'!A:C,3,0)</f>
        <v>#N/A</v>
      </c>
      <c r="D14672" s="6">
        <f t="shared" si="230"/>
        <v>0</v>
      </c>
    </row>
    <row r="14673" spans="3:4" ht="15" x14ac:dyDescent="0.25">
      <c r="C14673" s="8" t="e">
        <f>VLOOKUP(A:A,'ITEM LIST'!A:C,3,0)</f>
        <v>#N/A</v>
      </c>
      <c r="D14673" s="6">
        <f t="shared" si="230"/>
        <v>0</v>
      </c>
    </row>
    <row r="14674" spans="3:4" ht="15" x14ac:dyDescent="0.25">
      <c r="C14674" s="8" t="e">
        <f>VLOOKUP(A:A,'ITEM LIST'!A:C,3,0)</f>
        <v>#N/A</v>
      </c>
      <c r="D14674" s="6">
        <f t="shared" si="230"/>
        <v>0</v>
      </c>
    </row>
    <row r="14675" spans="3:4" ht="15" x14ac:dyDescent="0.25">
      <c r="C14675" s="8" t="e">
        <f>VLOOKUP(A:A,'ITEM LIST'!A:C,3,0)</f>
        <v>#N/A</v>
      </c>
      <c r="D14675" s="6">
        <f t="shared" si="230"/>
        <v>0</v>
      </c>
    </row>
    <row r="14676" spans="3:4" ht="15" x14ac:dyDescent="0.25">
      <c r="C14676" s="8" t="e">
        <f>VLOOKUP(A:A,'ITEM LIST'!A:C,3,0)</f>
        <v>#N/A</v>
      </c>
      <c r="D14676" s="6">
        <f t="shared" si="230"/>
        <v>0</v>
      </c>
    </row>
    <row r="14677" spans="3:4" ht="15" x14ac:dyDescent="0.25">
      <c r="C14677" s="8" t="e">
        <f>VLOOKUP(A:A,'ITEM LIST'!A:C,3,0)</f>
        <v>#N/A</v>
      </c>
      <c r="D14677" s="6">
        <f t="shared" si="230"/>
        <v>0</v>
      </c>
    </row>
    <row r="14678" spans="3:4" ht="15" x14ac:dyDescent="0.25">
      <c r="C14678" s="8" t="e">
        <f>VLOOKUP(A:A,'ITEM LIST'!A:C,3,0)</f>
        <v>#N/A</v>
      </c>
      <c r="D14678" s="6">
        <f t="shared" si="230"/>
        <v>0</v>
      </c>
    </row>
    <row r="14679" spans="3:4" ht="15" x14ac:dyDescent="0.25">
      <c r="C14679" s="8" t="e">
        <f>VLOOKUP(A:A,'ITEM LIST'!A:C,3,0)</f>
        <v>#N/A</v>
      </c>
      <c r="D14679" s="6">
        <f t="shared" si="230"/>
        <v>0</v>
      </c>
    </row>
    <row r="14680" spans="3:4" ht="15" x14ac:dyDescent="0.25">
      <c r="C14680" s="8" t="e">
        <f>VLOOKUP(A:A,'ITEM LIST'!A:C,3,0)</f>
        <v>#N/A</v>
      </c>
      <c r="D14680" s="6">
        <f t="shared" si="230"/>
        <v>0</v>
      </c>
    </row>
    <row r="14681" spans="3:4" ht="15" x14ac:dyDescent="0.25">
      <c r="C14681" s="8" t="e">
        <f>VLOOKUP(A:A,'ITEM LIST'!A:C,3,0)</f>
        <v>#N/A</v>
      </c>
      <c r="D14681" s="6">
        <f t="shared" si="230"/>
        <v>0</v>
      </c>
    </row>
    <row r="14682" spans="3:4" ht="15" x14ac:dyDescent="0.25">
      <c r="C14682" s="8" t="e">
        <f>VLOOKUP(A:A,'ITEM LIST'!A:C,3,0)</f>
        <v>#N/A</v>
      </c>
      <c r="D14682" s="6">
        <f t="shared" si="230"/>
        <v>0</v>
      </c>
    </row>
    <row r="14683" spans="3:4" ht="15" x14ac:dyDescent="0.25">
      <c r="C14683" s="8" t="e">
        <f>VLOOKUP(A:A,'ITEM LIST'!A:C,3,0)</f>
        <v>#N/A</v>
      </c>
      <c r="D14683" s="6">
        <f t="shared" si="230"/>
        <v>0</v>
      </c>
    </row>
    <row r="14684" spans="3:4" ht="15" x14ac:dyDescent="0.25">
      <c r="C14684" s="8" t="e">
        <f>VLOOKUP(A:A,'ITEM LIST'!A:C,3,0)</f>
        <v>#N/A</v>
      </c>
      <c r="D14684" s="6">
        <f t="shared" si="230"/>
        <v>0</v>
      </c>
    </row>
    <row r="14685" spans="3:4" ht="15" x14ac:dyDescent="0.25">
      <c r="C14685" s="8" t="e">
        <f>VLOOKUP(A:A,'ITEM LIST'!A:C,3,0)</f>
        <v>#N/A</v>
      </c>
      <c r="D14685" s="6">
        <f t="shared" si="230"/>
        <v>0</v>
      </c>
    </row>
    <row r="14686" spans="3:4" ht="15" x14ac:dyDescent="0.25">
      <c r="C14686" s="8" t="e">
        <f>VLOOKUP(A:A,'ITEM LIST'!A:C,3,0)</f>
        <v>#N/A</v>
      </c>
      <c r="D14686" s="6">
        <f t="shared" si="230"/>
        <v>0</v>
      </c>
    </row>
    <row r="14687" spans="3:4" ht="15" x14ac:dyDescent="0.25">
      <c r="C14687" s="8" t="e">
        <f>VLOOKUP(A:A,'ITEM LIST'!A:C,3,0)</f>
        <v>#N/A</v>
      </c>
      <c r="D14687" s="6">
        <f t="shared" si="230"/>
        <v>0</v>
      </c>
    </row>
    <row r="14688" spans="3:4" ht="15" x14ac:dyDescent="0.25">
      <c r="C14688" s="8" t="e">
        <f>VLOOKUP(A:A,'ITEM LIST'!A:C,3,0)</f>
        <v>#N/A</v>
      </c>
      <c r="D14688" s="6">
        <f t="shared" si="230"/>
        <v>0</v>
      </c>
    </row>
    <row r="14689" spans="3:4" ht="15" x14ac:dyDescent="0.25">
      <c r="C14689" s="8" t="e">
        <f>VLOOKUP(A:A,'ITEM LIST'!A:C,3,0)</f>
        <v>#N/A</v>
      </c>
      <c r="D14689" s="6">
        <f t="shared" si="230"/>
        <v>0</v>
      </c>
    </row>
    <row r="14690" spans="3:4" ht="15" x14ac:dyDescent="0.25">
      <c r="C14690" s="8" t="e">
        <f>VLOOKUP(A:A,'ITEM LIST'!A:C,3,0)</f>
        <v>#N/A</v>
      </c>
      <c r="D14690" s="6">
        <f t="shared" si="230"/>
        <v>0</v>
      </c>
    </row>
    <row r="14691" spans="3:4" ht="15" x14ac:dyDescent="0.25">
      <c r="C14691" s="8" t="e">
        <f>VLOOKUP(A:A,'ITEM LIST'!A:C,3,0)</f>
        <v>#N/A</v>
      </c>
      <c r="D14691" s="6">
        <f t="shared" si="230"/>
        <v>0</v>
      </c>
    </row>
    <row r="14692" spans="3:4" ht="15" x14ac:dyDescent="0.25">
      <c r="C14692" s="8" t="e">
        <f>VLOOKUP(A:A,'ITEM LIST'!A:C,3,0)</f>
        <v>#N/A</v>
      </c>
      <c r="D14692" s="6">
        <f t="shared" si="230"/>
        <v>0</v>
      </c>
    </row>
    <row r="14693" spans="3:4" ht="15" x14ac:dyDescent="0.25">
      <c r="C14693" s="8" t="e">
        <f>VLOOKUP(A:A,'ITEM LIST'!A:C,3,0)</f>
        <v>#N/A</v>
      </c>
      <c r="D14693" s="6">
        <f t="shared" si="230"/>
        <v>0</v>
      </c>
    </row>
    <row r="14694" spans="3:4" ht="15" x14ac:dyDescent="0.25">
      <c r="C14694" s="8" t="e">
        <f>VLOOKUP(A:A,'ITEM LIST'!A:C,3,0)</f>
        <v>#N/A</v>
      </c>
      <c r="D14694" s="6">
        <f t="shared" si="230"/>
        <v>0</v>
      </c>
    </row>
    <row r="14695" spans="3:4" ht="15" x14ac:dyDescent="0.25">
      <c r="C14695" s="8" t="e">
        <f>VLOOKUP(A:A,'ITEM LIST'!A:C,3,0)</f>
        <v>#N/A</v>
      </c>
      <c r="D14695" s="6">
        <f t="shared" si="230"/>
        <v>0</v>
      </c>
    </row>
    <row r="14696" spans="3:4" ht="15" x14ac:dyDescent="0.25">
      <c r="C14696" s="8" t="e">
        <f>VLOOKUP(A:A,'ITEM LIST'!A:C,3,0)</f>
        <v>#N/A</v>
      </c>
      <c r="D14696" s="6">
        <f t="shared" si="230"/>
        <v>0</v>
      </c>
    </row>
    <row r="14697" spans="3:4" ht="15" x14ac:dyDescent="0.25">
      <c r="C14697" s="8" t="e">
        <f>VLOOKUP(A:A,'ITEM LIST'!A:C,3,0)</f>
        <v>#N/A</v>
      </c>
      <c r="D14697" s="6">
        <f t="shared" si="230"/>
        <v>0</v>
      </c>
    </row>
    <row r="14698" spans="3:4" ht="15" x14ac:dyDescent="0.25">
      <c r="C14698" s="8" t="e">
        <f>VLOOKUP(A:A,'ITEM LIST'!A:C,3,0)</f>
        <v>#N/A</v>
      </c>
      <c r="D14698" s="6">
        <f t="shared" si="230"/>
        <v>0</v>
      </c>
    </row>
    <row r="14699" spans="3:4" ht="15" x14ac:dyDescent="0.25">
      <c r="C14699" s="8" t="e">
        <f>VLOOKUP(A:A,'ITEM LIST'!A:C,3,0)</f>
        <v>#N/A</v>
      </c>
      <c r="D14699" s="6">
        <f t="shared" si="230"/>
        <v>0</v>
      </c>
    </row>
    <row r="14700" spans="3:4" ht="15" x14ac:dyDescent="0.25">
      <c r="C14700" s="8" t="e">
        <f>VLOOKUP(A:A,'ITEM LIST'!A:C,3,0)</f>
        <v>#N/A</v>
      </c>
      <c r="D14700" s="6">
        <f t="shared" si="230"/>
        <v>0</v>
      </c>
    </row>
    <row r="14701" spans="3:4" ht="15" x14ac:dyDescent="0.25">
      <c r="C14701" s="8" t="e">
        <f>VLOOKUP(A:A,'ITEM LIST'!A:C,3,0)</f>
        <v>#N/A</v>
      </c>
      <c r="D14701" s="6">
        <f t="shared" si="230"/>
        <v>0</v>
      </c>
    </row>
    <row r="14702" spans="3:4" ht="15" x14ac:dyDescent="0.25">
      <c r="C14702" s="8" t="e">
        <f>VLOOKUP(A:A,'ITEM LIST'!A:C,3,0)</f>
        <v>#N/A</v>
      </c>
      <c r="D14702" s="6">
        <f t="shared" si="230"/>
        <v>0</v>
      </c>
    </row>
    <row r="14703" spans="3:4" ht="15" x14ac:dyDescent="0.25">
      <c r="C14703" s="8" t="e">
        <f>VLOOKUP(A:A,'ITEM LIST'!A:C,3,0)</f>
        <v>#N/A</v>
      </c>
      <c r="D14703" s="6">
        <f t="shared" si="230"/>
        <v>0</v>
      </c>
    </row>
    <row r="14704" spans="3:4" ht="15" x14ac:dyDescent="0.25">
      <c r="C14704" s="8" t="e">
        <f>VLOOKUP(A:A,'ITEM LIST'!A:C,3,0)</f>
        <v>#N/A</v>
      </c>
      <c r="D14704" s="6">
        <f t="shared" si="230"/>
        <v>0</v>
      </c>
    </row>
    <row r="14705" spans="3:4" ht="15" x14ac:dyDescent="0.25">
      <c r="C14705" s="8" t="e">
        <f>VLOOKUP(A:A,'ITEM LIST'!A:C,3,0)</f>
        <v>#N/A</v>
      </c>
      <c r="D14705" s="6">
        <f t="shared" si="230"/>
        <v>0</v>
      </c>
    </row>
    <row r="14706" spans="3:4" ht="15" x14ac:dyDescent="0.25">
      <c r="C14706" s="8" t="e">
        <f>VLOOKUP(A:A,'ITEM LIST'!A:C,3,0)</f>
        <v>#N/A</v>
      </c>
      <c r="D14706" s="6">
        <f t="shared" si="230"/>
        <v>0</v>
      </c>
    </row>
    <row r="14707" spans="3:4" ht="15" x14ac:dyDescent="0.25">
      <c r="C14707" s="8" t="e">
        <f>VLOOKUP(A:A,'ITEM LIST'!A:C,3,0)</f>
        <v>#N/A</v>
      </c>
      <c r="D14707" s="6">
        <f t="shared" si="230"/>
        <v>0</v>
      </c>
    </row>
    <row r="14708" spans="3:4" ht="15" x14ac:dyDescent="0.25">
      <c r="C14708" s="8" t="e">
        <f>VLOOKUP(A:A,'ITEM LIST'!A:C,3,0)</f>
        <v>#N/A</v>
      </c>
      <c r="D14708" s="6">
        <f t="shared" si="230"/>
        <v>0</v>
      </c>
    </row>
    <row r="14709" spans="3:4" ht="15" x14ac:dyDescent="0.25">
      <c r="C14709" s="8" t="e">
        <f>VLOOKUP(A:A,'ITEM LIST'!A:C,3,0)</f>
        <v>#N/A</v>
      </c>
      <c r="D14709" s="6">
        <f t="shared" si="230"/>
        <v>0</v>
      </c>
    </row>
    <row r="14710" spans="3:4" ht="15" x14ac:dyDescent="0.25">
      <c r="C14710" s="8" t="e">
        <f>VLOOKUP(A:A,'ITEM LIST'!A:C,3,0)</f>
        <v>#N/A</v>
      </c>
      <c r="D14710" s="6">
        <f t="shared" si="230"/>
        <v>0</v>
      </c>
    </row>
    <row r="14711" spans="3:4" ht="15" x14ac:dyDescent="0.25">
      <c r="C14711" s="8" t="e">
        <f>VLOOKUP(A:A,'ITEM LIST'!A:C,3,0)</f>
        <v>#N/A</v>
      </c>
      <c r="D14711" s="6">
        <f t="shared" si="230"/>
        <v>0</v>
      </c>
    </row>
    <row r="14712" spans="3:4" ht="15" x14ac:dyDescent="0.25">
      <c r="C14712" s="8" t="e">
        <f>VLOOKUP(A:A,'ITEM LIST'!A:C,3,0)</f>
        <v>#N/A</v>
      </c>
      <c r="D14712" s="6">
        <f t="shared" si="230"/>
        <v>0</v>
      </c>
    </row>
    <row r="14713" spans="3:4" ht="15" x14ac:dyDescent="0.25">
      <c r="C14713" s="8" t="e">
        <f>VLOOKUP(A:A,'ITEM LIST'!A:C,3,0)</f>
        <v>#N/A</v>
      </c>
      <c r="D14713" s="6">
        <f t="shared" si="230"/>
        <v>0</v>
      </c>
    </row>
    <row r="14714" spans="3:4" ht="15" x14ac:dyDescent="0.25">
      <c r="C14714" s="8" t="e">
        <f>VLOOKUP(A:A,'ITEM LIST'!A:C,3,0)</f>
        <v>#N/A</v>
      </c>
      <c r="D14714" s="6">
        <f t="shared" si="230"/>
        <v>0</v>
      </c>
    </row>
    <row r="14715" spans="3:4" ht="15" x14ac:dyDescent="0.25">
      <c r="C14715" s="8" t="e">
        <f>VLOOKUP(A:A,'ITEM LIST'!A:C,3,0)</f>
        <v>#N/A</v>
      </c>
      <c r="D14715" s="6">
        <f t="shared" si="230"/>
        <v>0</v>
      </c>
    </row>
    <row r="14716" spans="3:4" ht="15" x14ac:dyDescent="0.25">
      <c r="C14716" s="8" t="e">
        <f>VLOOKUP(A:A,'ITEM LIST'!A:C,3,0)</f>
        <v>#N/A</v>
      </c>
      <c r="D14716" s="6">
        <f t="shared" si="230"/>
        <v>0</v>
      </c>
    </row>
    <row r="14717" spans="3:4" ht="15" x14ac:dyDescent="0.25">
      <c r="C14717" s="8" t="e">
        <f>VLOOKUP(A:A,'ITEM LIST'!A:C,3,0)</f>
        <v>#N/A</v>
      </c>
      <c r="D14717" s="6">
        <f t="shared" si="230"/>
        <v>0</v>
      </c>
    </row>
    <row r="14718" spans="3:4" ht="15" x14ac:dyDescent="0.25">
      <c r="C14718" s="8" t="e">
        <f>VLOOKUP(A:A,'ITEM LIST'!A:C,3,0)</f>
        <v>#N/A</v>
      </c>
      <c r="D14718" s="6">
        <f t="shared" si="230"/>
        <v>0</v>
      </c>
    </row>
    <row r="14719" spans="3:4" ht="15" x14ac:dyDescent="0.25">
      <c r="C14719" s="8" t="e">
        <f>VLOOKUP(A:A,'ITEM LIST'!A:C,3,0)</f>
        <v>#N/A</v>
      </c>
      <c r="D14719" s="6">
        <f t="shared" si="230"/>
        <v>0</v>
      </c>
    </row>
    <row r="14720" spans="3:4" ht="15" x14ac:dyDescent="0.25">
      <c r="C14720" s="8" t="e">
        <f>VLOOKUP(A:A,'ITEM LIST'!A:C,3,0)</f>
        <v>#N/A</v>
      </c>
      <c r="D14720" s="6">
        <f t="shared" si="230"/>
        <v>0</v>
      </c>
    </row>
    <row r="14721" spans="3:4" ht="15" x14ac:dyDescent="0.25">
      <c r="C14721" s="8" t="e">
        <f>VLOOKUP(A:A,'ITEM LIST'!A:C,3,0)</f>
        <v>#N/A</v>
      </c>
      <c r="D14721" s="6">
        <f t="shared" si="230"/>
        <v>0</v>
      </c>
    </row>
    <row r="14722" spans="3:4" ht="15" x14ac:dyDescent="0.25">
      <c r="C14722" s="8" t="e">
        <f>VLOOKUP(A:A,'ITEM LIST'!A:C,3,0)</f>
        <v>#N/A</v>
      </c>
      <c r="D14722" s="6">
        <f t="shared" si="230"/>
        <v>0</v>
      </c>
    </row>
    <row r="14723" spans="3:4" ht="15" x14ac:dyDescent="0.25">
      <c r="C14723" s="8" t="e">
        <f>VLOOKUP(A:A,'ITEM LIST'!A:C,3,0)</f>
        <v>#N/A</v>
      </c>
      <c r="D14723" s="6">
        <f t="shared" si="230"/>
        <v>0</v>
      </c>
    </row>
    <row r="14724" spans="3:4" ht="15" x14ac:dyDescent="0.25">
      <c r="C14724" s="8" t="e">
        <f>VLOOKUP(A:A,'ITEM LIST'!A:C,3,0)</f>
        <v>#N/A</v>
      </c>
      <c r="D14724" s="6">
        <f t="shared" si="230"/>
        <v>0</v>
      </c>
    </row>
    <row r="14725" spans="3:4" ht="15" x14ac:dyDescent="0.25">
      <c r="C14725" s="8" t="e">
        <f>VLOOKUP(A:A,'ITEM LIST'!A:C,3,0)</f>
        <v>#N/A</v>
      </c>
      <c r="D14725" s="6">
        <f t="shared" si="230"/>
        <v>0</v>
      </c>
    </row>
    <row r="14726" spans="3:4" ht="15" x14ac:dyDescent="0.25">
      <c r="C14726" s="8" t="e">
        <f>VLOOKUP(A:A,'ITEM LIST'!A:C,3,0)</f>
        <v>#N/A</v>
      </c>
      <c r="D14726" s="6">
        <f t="shared" ref="D14726:D14789" si="231">B14726</f>
        <v>0</v>
      </c>
    </row>
    <row r="14727" spans="3:4" ht="15" x14ac:dyDescent="0.25">
      <c r="C14727" s="8" t="e">
        <f>VLOOKUP(A:A,'ITEM LIST'!A:C,3,0)</f>
        <v>#N/A</v>
      </c>
      <c r="D14727" s="6">
        <f t="shared" si="231"/>
        <v>0</v>
      </c>
    </row>
    <row r="14728" spans="3:4" ht="15" x14ac:dyDescent="0.25">
      <c r="C14728" s="8" t="e">
        <f>VLOOKUP(A:A,'ITEM LIST'!A:C,3,0)</f>
        <v>#N/A</v>
      </c>
      <c r="D14728" s="6">
        <f t="shared" si="231"/>
        <v>0</v>
      </c>
    </row>
    <row r="14729" spans="3:4" ht="15" x14ac:dyDescent="0.25">
      <c r="C14729" s="8" t="e">
        <f>VLOOKUP(A:A,'ITEM LIST'!A:C,3,0)</f>
        <v>#N/A</v>
      </c>
      <c r="D14729" s="6">
        <f t="shared" si="231"/>
        <v>0</v>
      </c>
    </row>
    <row r="14730" spans="3:4" ht="15" x14ac:dyDescent="0.25">
      <c r="C14730" s="8" t="e">
        <f>VLOOKUP(A:A,'ITEM LIST'!A:C,3,0)</f>
        <v>#N/A</v>
      </c>
      <c r="D14730" s="6">
        <f t="shared" si="231"/>
        <v>0</v>
      </c>
    </row>
    <row r="14731" spans="3:4" ht="15" x14ac:dyDescent="0.25">
      <c r="C14731" s="8" t="e">
        <f>VLOOKUP(A:A,'ITEM LIST'!A:C,3,0)</f>
        <v>#N/A</v>
      </c>
      <c r="D14731" s="6">
        <f t="shared" si="231"/>
        <v>0</v>
      </c>
    </row>
    <row r="14732" spans="3:4" ht="15" x14ac:dyDescent="0.25">
      <c r="C14732" s="8" t="e">
        <f>VLOOKUP(A:A,'ITEM LIST'!A:C,3,0)</f>
        <v>#N/A</v>
      </c>
      <c r="D14732" s="6">
        <f t="shared" si="231"/>
        <v>0</v>
      </c>
    </row>
    <row r="14733" spans="3:4" ht="15" x14ac:dyDescent="0.25">
      <c r="C14733" s="8" t="e">
        <f>VLOOKUP(A:A,'ITEM LIST'!A:C,3,0)</f>
        <v>#N/A</v>
      </c>
      <c r="D14733" s="6">
        <f t="shared" si="231"/>
        <v>0</v>
      </c>
    </row>
    <row r="14734" spans="3:4" ht="15" x14ac:dyDescent="0.25">
      <c r="C14734" s="8" t="e">
        <f>VLOOKUP(A:A,'ITEM LIST'!A:C,3,0)</f>
        <v>#N/A</v>
      </c>
      <c r="D14734" s="6">
        <f t="shared" si="231"/>
        <v>0</v>
      </c>
    </row>
    <row r="14735" spans="3:4" ht="15" x14ac:dyDescent="0.25">
      <c r="C14735" s="8" t="e">
        <f>VLOOKUP(A:A,'ITEM LIST'!A:C,3,0)</f>
        <v>#N/A</v>
      </c>
      <c r="D14735" s="6">
        <f t="shared" si="231"/>
        <v>0</v>
      </c>
    </row>
    <row r="14736" spans="3:4" ht="15" x14ac:dyDescent="0.25">
      <c r="C14736" s="8" t="e">
        <f>VLOOKUP(A:A,'ITEM LIST'!A:C,3,0)</f>
        <v>#N/A</v>
      </c>
      <c r="D14736" s="6">
        <f t="shared" si="231"/>
        <v>0</v>
      </c>
    </row>
    <row r="14737" spans="3:4" ht="15" x14ac:dyDescent="0.25">
      <c r="C14737" s="8" t="e">
        <f>VLOOKUP(A:A,'ITEM LIST'!A:C,3,0)</f>
        <v>#N/A</v>
      </c>
      <c r="D14737" s="6">
        <f t="shared" si="231"/>
        <v>0</v>
      </c>
    </row>
    <row r="14738" spans="3:4" ht="15" x14ac:dyDescent="0.25">
      <c r="C14738" s="8" t="e">
        <f>VLOOKUP(A:A,'ITEM LIST'!A:C,3,0)</f>
        <v>#N/A</v>
      </c>
      <c r="D14738" s="6">
        <f t="shared" si="231"/>
        <v>0</v>
      </c>
    </row>
    <row r="14739" spans="3:4" ht="15" x14ac:dyDescent="0.25">
      <c r="C14739" s="8" t="e">
        <f>VLOOKUP(A:A,'ITEM LIST'!A:C,3,0)</f>
        <v>#N/A</v>
      </c>
      <c r="D14739" s="6">
        <f t="shared" si="231"/>
        <v>0</v>
      </c>
    </row>
    <row r="14740" spans="3:4" ht="15" x14ac:dyDescent="0.25">
      <c r="C14740" s="8" t="e">
        <f>VLOOKUP(A:A,'ITEM LIST'!A:C,3,0)</f>
        <v>#N/A</v>
      </c>
      <c r="D14740" s="6">
        <f t="shared" si="231"/>
        <v>0</v>
      </c>
    </row>
    <row r="14741" spans="3:4" ht="15" x14ac:dyDescent="0.25">
      <c r="C14741" s="8" t="e">
        <f>VLOOKUP(A:A,'ITEM LIST'!A:C,3,0)</f>
        <v>#N/A</v>
      </c>
      <c r="D14741" s="6">
        <f t="shared" si="231"/>
        <v>0</v>
      </c>
    </row>
    <row r="14742" spans="3:4" ht="15" x14ac:dyDescent="0.25">
      <c r="C14742" s="8" t="e">
        <f>VLOOKUP(A:A,'ITEM LIST'!A:C,3,0)</f>
        <v>#N/A</v>
      </c>
      <c r="D14742" s="6">
        <f t="shared" si="231"/>
        <v>0</v>
      </c>
    </row>
    <row r="14743" spans="3:4" ht="15" x14ac:dyDescent="0.25">
      <c r="C14743" s="8" t="e">
        <f>VLOOKUP(A:A,'ITEM LIST'!A:C,3,0)</f>
        <v>#N/A</v>
      </c>
      <c r="D14743" s="6">
        <f t="shared" si="231"/>
        <v>0</v>
      </c>
    </row>
    <row r="14744" spans="3:4" ht="15" x14ac:dyDescent="0.25">
      <c r="C14744" s="8" t="e">
        <f>VLOOKUP(A:A,'ITEM LIST'!A:C,3,0)</f>
        <v>#N/A</v>
      </c>
      <c r="D14744" s="6">
        <f t="shared" si="231"/>
        <v>0</v>
      </c>
    </row>
    <row r="14745" spans="3:4" ht="15" x14ac:dyDescent="0.25">
      <c r="C14745" s="8" t="e">
        <f>VLOOKUP(A:A,'ITEM LIST'!A:C,3,0)</f>
        <v>#N/A</v>
      </c>
      <c r="D14745" s="6">
        <f t="shared" si="231"/>
        <v>0</v>
      </c>
    </row>
    <row r="14746" spans="3:4" ht="15" x14ac:dyDescent="0.25">
      <c r="C14746" s="8" t="e">
        <f>VLOOKUP(A:A,'ITEM LIST'!A:C,3,0)</f>
        <v>#N/A</v>
      </c>
      <c r="D14746" s="6">
        <f t="shared" si="231"/>
        <v>0</v>
      </c>
    </row>
    <row r="14747" spans="3:4" ht="15" x14ac:dyDescent="0.25">
      <c r="C14747" s="8" t="e">
        <f>VLOOKUP(A:A,'ITEM LIST'!A:C,3,0)</f>
        <v>#N/A</v>
      </c>
      <c r="D14747" s="6">
        <f t="shared" si="231"/>
        <v>0</v>
      </c>
    </row>
    <row r="14748" spans="3:4" ht="15" x14ac:dyDescent="0.25">
      <c r="C14748" s="8" t="e">
        <f>VLOOKUP(A:A,'ITEM LIST'!A:C,3,0)</f>
        <v>#N/A</v>
      </c>
      <c r="D14748" s="6">
        <f t="shared" si="231"/>
        <v>0</v>
      </c>
    </row>
    <row r="14749" spans="3:4" ht="15" x14ac:dyDescent="0.25">
      <c r="C14749" s="8" t="e">
        <f>VLOOKUP(A:A,'ITEM LIST'!A:C,3,0)</f>
        <v>#N/A</v>
      </c>
      <c r="D14749" s="6">
        <f t="shared" si="231"/>
        <v>0</v>
      </c>
    </row>
    <row r="14750" spans="3:4" ht="15" x14ac:dyDescent="0.25">
      <c r="C14750" s="8" t="e">
        <f>VLOOKUP(A:A,'ITEM LIST'!A:C,3,0)</f>
        <v>#N/A</v>
      </c>
      <c r="D14750" s="6">
        <f t="shared" si="231"/>
        <v>0</v>
      </c>
    </row>
    <row r="14751" spans="3:4" ht="15" x14ac:dyDescent="0.25">
      <c r="C14751" s="8" t="e">
        <f>VLOOKUP(A:A,'ITEM LIST'!A:C,3,0)</f>
        <v>#N/A</v>
      </c>
      <c r="D14751" s="6">
        <f t="shared" si="231"/>
        <v>0</v>
      </c>
    </row>
    <row r="14752" spans="3:4" ht="15" x14ac:dyDescent="0.25">
      <c r="C14752" s="8" t="e">
        <f>VLOOKUP(A:A,'ITEM LIST'!A:C,3,0)</f>
        <v>#N/A</v>
      </c>
      <c r="D14752" s="6">
        <f t="shared" si="231"/>
        <v>0</v>
      </c>
    </row>
    <row r="14753" spans="3:4" ht="15" x14ac:dyDescent="0.25">
      <c r="C14753" s="8" t="e">
        <f>VLOOKUP(A:A,'ITEM LIST'!A:C,3,0)</f>
        <v>#N/A</v>
      </c>
      <c r="D14753" s="6">
        <f t="shared" si="231"/>
        <v>0</v>
      </c>
    </row>
    <row r="14754" spans="3:4" ht="15" x14ac:dyDescent="0.25">
      <c r="C14754" s="8" t="e">
        <f>VLOOKUP(A:A,'ITEM LIST'!A:C,3,0)</f>
        <v>#N/A</v>
      </c>
      <c r="D14754" s="6">
        <f t="shared" si="231"/>
        <v>0</v>
      </c>
    </row>
    <row r="14755" spans="3:4" ht="15" x14ac:dyDescent="0.25">
      <c r="C14755" s="8" t="e">
        <f>VLOOKUP(A:A,'ITEM LIST'!A:C,3,0)</f>
        <v>#N/A</v>
      </c>
      <c r="D14755" s="6">
        <f t="shared" si="231"/>
        <v>0</v>
      </c>
    </row>
    <row r="14756" spans="3:4" ht="15" x14ac:dyDescent="0.25">
      <c r="C14756" s="8" t="e">
        <f>VLOOKUP(A:A,'ITEM LIST'!A:C,3,0)</f>
        <v>#N/A</v>
      </c>
      <c r="D14756" s="6">
        <f t="shared" si="231"/>
        <v>0</v>
      </c>
    </row>
    <row r="14757" spans="3:4" ht="15" x14ac:dyDescent="0.25">
      <c r="C14757" s="8" t="e">
        <f>VLOOKUP(A:A,'ITEM LIST'!A:C,3,0)</f>
        <v>#N/A</v>
      </c>
      <c r="D14757" s="6">
        <f t="shared" si="231"/>
        <v>0</v>
      </c>
    </row>
    <row r="14758" spans="3:4" ht="15" x14ac:dyDescent="0.25">
      <c r="C14758" s="8" t="e">
        <f>VLOOKUP(A:A,'ITEM LIST'!A:C,3,0)</f>
        <v>#N/A</v>
      </c>
      <c r="D14758" s="6">
        <f t="shared" si="231"/>
        <v>0</v>
      </c>
    </row>
    <row r="14759" spans="3:4" ht="15" x14ac:dyDescent="0.25">
      <c r="C14759" s="8" t="e">
        <f>VLOOKUP(A:A,'ITEM LIST'!A:C,3,0)</f>
        <v>#N/A</v>
      </c>
      <c r="D14759" s="6">
        <f t="shared" si="231"/>
        <v>0</v>
      </c>
    </row>
    <row r="14760" spans="3:4" ht="15" x14ac:dyDescent="0.25">
      <c r="C14760" s="8" t="e">
        <f>VLOOKUP(A:A,'ITEM LIST'!A:C,3,0)</f>
        <v>#N/A</v>
      </c>
      <c r="D14760" s="6">
        <f t="shared" si="231"/>
        <v>0</v>
      </c>
    </row>
    <row r="14761" spans="3:4" ht="15" x14ac:dyDescent="0.25">
      <c r="C14761" s="8" t="e">
        <f>VLOOKUP(A:A,'ITEM LIST'!A:C,3,0)</f>
        <v>#N/A</v>
      </c>
      <c r="D14761" s="6">
        <f t="shared" si="231"/>
        <v>0</v>
      </c>
    </row>
    <row r="14762" spans="3:4" ht="15" x14ac:dyDescent="0.25">
      <c r="C14762" s="8" t="e">
        <f>VLOOKUP(A:A,'ITEM LIST'!A:C,3,0)</f>
        <v>#N/A</v>
      </c>
      <c r="D14762" s="6">
        <f t="shared" si="231"/>
        <v>0</v>
      </c>
    </row>
    <row r="14763" spans="3:4" ht="15" x14ac:dyDescent="0.25">
      <c r="C14763" s="8" t="e">
        <f>VLOOKUP(A:A,'ITEM LIST'!A:C,3,0)</f>
        <v>#N/A</v>
      </c>
      <c r="D14763" s="6">
        <f t="shared" si="231"/>
        <v>0</v>
      </c>
    </row>
    <row r="14764" spans="3:4" ht="15" x14ac:dyDescent="0.25">
      <c r="C14764" s="8" t="e">
        <f>VLOOKUP(A:A,'ITEM LIST'!A:C,3,0)</f>
        <v>#N/A</v>
      </c>
      <c r="D14764" s="6">
        <f t="shared" si="231"/>
        <v>0</v>
      </c>
    </row>
    <row r="14765" spans="3:4" ht="15" x14ac:dyDescent="0.25">
      <c r="C14765" s="8" t="e">
        <f>VLOOKUP(A:A,'ITEM LIST'!A:C,3,0)</f>
        <v>#N/A</v>
      </c>
      <c r="D14765" s="6">
        <f t="shared" si="231"/>
        <v>0</v>
      </c>
    </row>
    <row r="14766" spans="3:4" ht="15" x14ac:dyDescent="0.25">
      <c r="C14766" s="8" t="e">
        <f>VLOOKUP(A:A,'ITEM LIST'!A:C,3,0)</f>
        <v>#N/A</v>
      </c>
      <c r="D14766" s="6">
        <f t="shared" si="231"/>
        <v>0</v>
      </c>
    </row>
    <row r="14767" spans="3:4" ht="15" x14ac:dyDescent="0.25">
      <c r="C14767" s="8" t="e">
        <f>VLOOKUP(A:A,'ITEM LIST'!A:C,3,0)</f>
        <v>#N/A</v>
      </c>
      <c r="D14767" s="6">
        <f t="shared" si="231"/>
        <v>0</v>
      </c>
    </row>
    <row r="14768" spans="3:4" ht="15" x14ac:dyDescent="0.25">
      <c r="C14768" s="8" t="e">
        <f>VLOOKUP(A:A,'ITEM LIST'!A:C,3,0)</f>
        <v>#N/A</v>
      </c>
      <c r="D14768" s="6">
        <f t="shared" si="231"/>
        <v>0</v>
      </c>
    </row>
    <row r="14769" spans="3:4" ht="15" x14ac:dyDescent="0.25">
      <c r="C14769" s="8" t="e">
        <f>VLOOKUP(A:A,'ITEM LIST'!A:C,3,0)</f>
        <v>#N/A</v>
      </c>
      <c r="D14769" s="6">
        <f t="shared" si="231"/>
        <v>0</v>
      </c>
    </row>
    <row r="14770" spans="3:4" ht="15" x14ac:dyDescent="0.25">
      <c r="C14770" s="8" t="e">
        <f>VLOOKUP(A:A,'ITEM LIST'!A:C,3,0)</f>
        <v>#N/A</v>
      </c>
      <c r="D14770" s="6">
        <f t="shared" si="231"/>
        <v>0</v>
      </c>
    </row>
    <row r="14771" spans="3:4" ht="15" x14ac:dyDescent="0.25">
      <c r="C14771" s="8" t="e">
        <f>VLOOKUP(A:A,'ITEM LIST'!A:C,3,0)</f>
        <v>#N/A</v>
      </c>
      <c r="D14771" s="6">
        <f t="shared" si="231"/>
        <v>0</v>
      </c>
    </row>
    <row r="14772" spans="3:4" ht="15" x14ac:dyDescent="0.25">
      <c r="C14772" s="8" t="e">
        <f>VLOOKUP(A:A,'ITEM LIST'!A:C,3,0)</f>
        <v>#N/A</v>
      </c>
      <c r="D14772" s="6">
        <f t="shared" si="231"/>
        <v>0</v>
      </c>
    </row>
    <row r="14773" spans="3:4" ht="15" x14ac:dyDescent="0.25">
      <c r="C14773" s="8" t="e">
        <f>VLOOKUP(A:A,'ITEM LIST'!A:C,3,0)</f>
        <v>#N/A</v>
      </c>
      <c r="D14773" s="6">
        <f t="shared" si="231"/>
        <v>0</v>
      </c>
    </row>
    <row r="14774" spans="3:4" ht="15" x14ac:dyDescent="0.25">
      <c r="C14774" s="8" t="e">
        <f>VLOOKUP(A:A,'ITEM LIST'!A:C,3,0)</f>
        <v>#N/A</v>
      </c>
      <c r="D14774" s="6">
        <f t="shared" si="231"/>
        <v>0</v>
      </c>
    </row>
    <row r="14775" spans="3:4" ht="15" x14ac:dyDescent="0.25">
      <c r="C14775" s="8" t="e">
        <f>VLOOKUP(A:A,'ITEM LIST'!A:C,3,0)</f>
        <v>#N/A</v>
      </c>
      <c r="D14775" s="6">
        <f t="shared" si="231"/>
        <v>0</v>
      </c>
    </row>
    <row r="14776" spans="3:4" ht="15" x14ac:dyDescent="0.25">
      <c r="C14776" s="8" t="e">
        <f>VLOOKUP(A:A,'ITEM LIST'!A:C,3,0)</f>
        <v>#N/A</v>
      </c>
      <c r="D14776" s="6">
        <f t="shared" si="231"/>
        <v>0</v>
      </c>
    </row>
    <row r="14777" spans="3:4" ht="15" x14ac:dyDescent="0.25">
      <c r="C14777" s="8" t="e">
        <f>VLOOKUP(A:A,'ITEM LIST'!A:C,3,0)</f>
        <v>#N/A</v>
      </c>
      <c r="D14777" s="6">
        <f t="shared" si="231"/>
        <v>0</v>
      </c>
    </row>
    <row r="14778" spans="3:4" ht="15" x14ac:dyDescent="0.25">
      <c r="C14778" s="8" t="e">
        <f>VLOOKUP(A:A,'ITEM LIST'!A:C,3,0)</f>
        <v>#N/A</v>
      </c>
      <c r="D14778" s="6">
        <f t="shared" si="231"/>
        <v>0</v>
      </c>
    </row>
    <row r="14779" spans="3:4" ht="15" x14ac:dyDescent="0.25">
      <c r="C14779" s="8" t="e">
        <f>VLOOKUP(A:A,'ITEM LIST'!A:C,3,0)</f>
        <v>#N/A</v>
      </c>
      <c r="D14779" s="6">
        <f t="shared" si="231"/>
        <v>0</v>
      </c>
    </row>
    <row r="14780" spans="3:4" ht="15" x14ac:dyDescent="0.25">
      <c r="C14780" s="8" t="e">
        <f>VLOOKUP(A:A,'ITEM LIST'!A:C,3,0)</f>
        <v>#N/A</v>
      </c>
      <c r="D14780" s="6">
        <f t="shared" si="231"/>
        <v>0</v>
      </c>
    </row>
    <row r="14781" spans="3:4" ht="15" x14ac:dyDescent="0.25">
      <c r="C14781" s="8" t="e">
        <f>VLOOKUP(A:A,'ITEM LIST'!A:C,3,0)</f>
        <v>#N/A</v>
      </c>
      <c r="D14781" s="6">
        <f t="shared" si="231"/>
        <v>0</v>
      </c>
    </row>
    <row r="14782" spans="3:4" ht="15" x14ac:dyDescent="0.25">
      <c r="C14782" s="8" t="e">
        <f>VLOOKUP(A:A,'ITEM LIST'!A:C,3,0)</f>
        <v>#N/A</v>
      </c>
      <c r="D14782" s="6">
        <f t="shared" si="231"/>
        <v>0</v>
      </c>
    </row>
    <row r="14783" spans="3:4" ht="15" x14ac:dyDescent="0.25">
      <c r="C14783" s="8" t="e">
        <f>VLOOKUP(A:A,'ITEM LIST'!A:C,3,0)</f>
        <v>#N/A</v>
      </c>
      <c r="D14783" s="6">
        <f t="shared" si="231"/>
        <v>0</v>
      </c>
    </row>
    <row r="14784" spans="3:4" ht="15" x14ac:dyDescent="0.25">
      <c r="C14784" s="8" t="e">
        <f>VLOOKUP(A:A,'ITEM LIST'!A:C,3,0)</f>
        <v>#N/A</v>
      </c>
      <c r="D14784" s="6">
        <f t="shared" si="231"/>
        <v>0</v>
      </c>
    </row>
    <row r="14785" spans="3:4" ht="15" x14ac:dyDescent="0.25">
      <c r="C14785" s="8" t="e">
        <f>VLOOKUP(A:A,'ITEM LIST'!A:C,3,0)</f>
        <v>#N/A</v>
      </c>
      <c r="D14785" s="6">
        <f t="shared" si="231"/>
        <v>0</v>
      </c>
    </row>
    <row r="14786" spans="3:4" ht="15" x14ac:dyDescent="0.25">
      <c r="C14786" s="8" t="e">
        <f>VLOOKUP(A:A,'ITEM LIST'!A:C,3,0)</f>
        <v>#N/A</v>
      </c>
      <c r="D14786" s="6">
        <f t="shared" si="231"/>
        <v>0</v>
      </c>
    </row>
    <row r="14787" spans="3:4" ht="15" x14ac:dyDescent="0.25">
      <c r="C14787" s="8" t="e">
        <f>VLOOKUP(A:A,'ITEM LIST'!A:C,3,0)</f>
        <v>#N/A</v>
      </c>
      <c r="D14787" s="6">
        <f t="shared" si="231"/>
        <v>0</v>
      </c>
    </row>
    <row r="14788" spans="3:4" ht="15" x14ac:dyDescent="0.25">
      <c r="C14788" s="8" t="e">
        <f>VLOOKUP(A:A,'ITEM LIST'!A:C,3,0)</f>
        <v>#N/A</v>
      </c>
      <c r="D14788" s="6">
        <f t="shared" si="231"/>
        <v>0</v>
      </c>
    </row>
    <row r="14789" spans="3:4" ht="15" x14ac:dyDescent="0.25">
      <c r="C14789" s="8" t="e">
        <f>VLOOKUP(A:A,'ITEM LIST'!A:C,3,0)</f>
        <v>#N/A</v>
      </c>
      <c r="D14789" s="6">
        <f t="shared" si="231"/>
        <v>0</v>
      </c>
    </row>
    <row r="14790" spans="3:4" ht="15" x14ac:dyDescent="0.25">
      <c r="C14790" s="8" t="e">
        <f>VLOOKUP(A:A,'ITEM LIST'!A:C,3,0)</f>
        <v>#N/A</v>
      </c>
      <c r="D14790" s="6">
        <f t="shared" ref="D14790:D14853" si="232">B14790</f>
        <v>0</v>
      </c>
    </row>
    <row r="14791" spans="3:4" ht="15" x14ac:dyDescent="0.25">
      <c r="C14791" s="8" t="e">
        <f>VLOOKUP(A:A,'ITEM LIST'!A:C,3,0)</f>
        <v>#N/A</v>
      </c>
      <c r="D14791" s="6">
        <f t="shared" si="232"/>
        <v>0</v>
      </c>
    </row>
    <row r="14792" spans="3:4" ht="15" x14ac:dyDescent="0.25">
      <c r="C14792" s="8" t="e">
        <f>VLOOKUP(A:A,'ITEM LIST'!A:C,3,0)</f>
        <v>#N/A</v>
      </c>
      <c r="D14792" s="6">
        <f t="shared" si="232"/>
        <v>0</v>
      </c>
    </row>
    <row r="14793" spans="3:4" ht="15" x14ac:dyDescent="0.25">
      <c r="C14793" s="8" t="e">
        <f>VLOOKUP(A:A,'ITEM LIST'!A:C,3,0)</f>
        <v>#N/A</v>
      </c>
      <c r="D14793" s="6">
        <f t="shared" si="232"/>
        <v>0</v>
      </c>
    </row>
    <row r="14794" spans="3:4" ht="15" x14ac:dyDescent="0.25">
      <c r="C14794" s="8" t="e">
        <f>VLOOKUP(A:A,'ITEM LIST'!A:C,3,0)</f>
        <v>#N/A</v>
      </c>
      <c r="D14794" s="6">
        <f t="shared" si="232"/>
        <v>0</v>
      </c>
    </row>
    <row r="14795" spans="3:4" ht="15" x14ac:dyDescent="0.25">
      <c r="C14795" s="8" t="e">
        <f>VLOOKUP(A:A,'ITEM LIST'!A:C,3,0)</f>
        <v>#N/A</v>
      </c>
      <c r="D14795" s="6">
        <f t="shared" si="232"/>
        <v>0</v>
      </c>
    </row>
    <row r="14796" spans="3:4" ht="15" x14ac:dyDescent="0.25">
      <c r="C14796" s="8" t="e">
        <f>VLOOKUP(A:A,'ITEM LIST'!A:C,3,0)</f>
        <v>#N/A</v>
      </c>
      <c r="D14796" s="6">
        <f t="shared" si="232"/>
        <v>0</v>
      </c>
    </row>
    <row r="14797" spans="3:4" ht="15" x14ac:dyDescent="0.25">
      <c r="C14797" s="8" t="e">
        <f>VLOOKUP(A:A,'ITEM LIST'!A:C,3,0)</f>
        <v>#N/A</v>
      </c>
      <c r="D14797" s="6">
        <f t="shared" si="232"/>
        <v>0</v>
      </c>
    </row>
    <row r="14798" spans="3:4" ht="15" x14ac:dyDescent="0.25">
      <c r="C14798" s="8" t="e">
        <f>VLOOKUP(A:A,'ITEM LIST'!A:C,3,0)</f>
        <v>#N/A</v>
      </c>
      <c r="D14798" s="6">
        <f t="shared" si="232"/>
        <v>0</v>
      </c>
    </row>
    <row r="14799" spans="3:4" ht="15" x14ac:dyDescent="0.25">
      <c r="C14799" s="8" t="e">
        <f>VLOOKUP(A:A,'ITEM LIST'!A:C,3,0)</f>
        <v>#N/A</v>
      </c>
      <c r="D14799" s="6">
        <f t="shared" si="232"/>
        <v>0</v>
      </c>
    </row>
    <row r="14800" spans="3:4" ht="15" x14ac:dyDescent="0.25">
      <c r="C14800" s="8" t="e">
        <f>VLOOKUP(A:A,'ITEM LIST'!A:C,3,0)</f>
        <v>#N/A</v>
      </c>
      <c r="D14800" s="6">
        <f t="shared" si="232"/>
        <v>0</v>
      </c>
    </row>
    <row r="14801" spans="3:4" ht="15" x14ac:dyDescent="0.25">
      <c r="C14801" s="8" t="e">
        <f>VLOOKUP(A:A,'ITEM LIST'!A:C,3,0)</f>
        <v>#N/A</v>
      </c>
      <c r="D14801" s="6">
        <f t="shared" si="232"/>
        <v>0</v>
      </c>
    </row>
    <row r="14802" spans="3:4" ht="15" x14ac:dyDescent="0.25">
      <c r="C14802" s="8" t="e">
        <f>VLOOKUP(A:A,'ITEM LIST'!A:C,3,0)</f>
        <v>#N/A</v>
      </c>
      <c r="D14802" s="6">
        <f t="shared" si="232"/>
        <v>0</v>
      </c>
    </row>
    <row r="14803" spans="3:4" ht="15" x14ac:dyDescent="0.25">
      <c r="C14803" s="8" t="e">
        <f>VLOOKUP(A:A,'ITEM LIST'!A:C,3,0)</f>
        <v>#N/A</v>
      </c>
      <c r="D14803" s="6">
        <f t="shared" si="232"/>
        <v>0</v>
      </c>
    </row>
    <row r="14804" spans="3:4" ht="15" x14ac:dyDescent="0.25">
      <c r="C14804" s="8" t="e">
        <f>VLOOKUP(A:A,'ITEM LIST'!A:C,3,0)</f>
        <v>#N/A</v>
      </c>
      <c r="D14804" s="6">
        <f t="shared" si="232"/>
        <v>0</v>
      </c>
    </row>
    <row r="14805" spans="3:4" ht="15" x14ac:dyDescent="0.25">
      <c r="C14805" s="8" t="e">
        <f>VLOOKUP(A:A,'ITEM LIST'!A:C,3,0)</f>
        <v>#N/A</v>
      </c>
      <c r="D14805" s="6">
        <f t="shared" si="232"/>
        <v>0</v>
      </c>
    </row>
    <row r="14806" spans="3:4" ht="15" x14ac:dyDescent="0.25">
      <c r="C14806" s="8" t="e">
        <f>VLOOKUP(A:A,'ITEM LIST'!A:C,3,0)</f>
        <v>#N/A</v>
      </c>
      <c r="D14806" s="6">
        <f t="shared" si="232"/>
        <v>0</v>
      </c>
    </row>
    <row r="14807" spans="3:4" ht="15" x14ac:dyDescent="0.25">
      <c r="C14807" s="8" t="e">
        <f>VLOOKUP(A:A,'ITEM LIST'!A:C,3,0)</f>
        <v>#N/A</v>
      </c>
      <c r="D14807" s="6">
        <f t="shared" si="232"/>
        <v>0</v>
      </c>
    </row>
    <row r="14808" spans="3:4" ht="15" x14ac:dyDescent="0.25">
      <c r="C14808" s="8" t="e">
        <f>VLOOKUP(A:A,'ITEM LIST'!A:C,3,0)</f>
        <v>#N/A</v>
      </c>
      <c r="D14808" s="6">
        <f t="shared" si="232"/>
        <v>0</v>
      </c>
    </row>
    <row r="14809" spans="3:4" ht="15" x14ac:dyDescent="0.25">
      <c r="C14809" s="8" t="e">
        <f>VLOOKUP(A:A,'ITEM LIST'!A:C,3,0)</f>
        <v>#N/A</v>
      </c>
      <c r="D14809" s="6">
        <f t="shared" si="232"/>
        <v>0</v>
      </c>
    </row>
    <row r="14810" spans="3:4" ht="15" x14ac:dyDescent="0.25">
      <c r="C14810" s="8" t="e">
        <f>VLOOKUP(A:A,'ITEM LIST'!A:C,3,0)</f>
        <v>#N/A</v>
      </c>
      <c r="D14810" s="6">
        <f t="shared" si="232"/>
        <v>0</v>
      </c>
    </row>
    <row r="14811" spans="3:4" ht="15" x14ac:dyDescent="0.25">
      <c r="C14811" s="8" t="e">
        <f>VLOOKUP(A:A,'ITEM LIST'!A:C,3,0)</f>
        <v>#N/A</v>
      </c>
      <c r="D14811" s="6">
        <f t="shared" si="232"/>
        <v>0</v>
      </c>
    </row>
    <row r="14812" spans="3:4" ht="15" x14ac:dyDescent="0.25">
      <c r="C14812" s="8" t="e">
        <f>VLOOKUP(A:A,'ITEM LIST'!A:C,3,0)</f>
        <v>#N/A</v>
      </c>
      <c r="D14812" s="6">
        <f t="shared" si="232"/>
        <v>0</v>
      </c>
    </row>
    <row r="14813" spans="3:4" ht="15" x14ac:dyDescent="0.25">
      <c r="C14813" s="8" t="e">
        <f>VLOOKUP(A:A,'ITEM LIST'!A:C,3,0)</f>
        <v>#N/A</v>
      </c>
      <c r="D14813" s="6">
        <f t="shared" si="232"/>
        <v>0</v>
      </c>
    </row>
    <row r="14814" spans="3:4" ht="15" x14ac:dyDescent="0.25">
      <c r="C14814" s="8" t="e">
        <f>VLOOKUP(A:A,'ITEM LIST'!A:C,3,0)</f>
        <v>#N/A</v>
      </c>
      <c r="D14814" s="6">
        <f t="shared" si="232"/>
        <v>0</v>
      </c>
    </row>
    <row r="14815" spans="3:4" ht="15" x14ac:dyDescent="0.25">
      <c r="C14815" s="8" t="e">
        <f>VLOOKUP(A:A,'ITEM LIST'!A:C,3,0)</f>
        <v>#N/A</v>
      </c>
      <c r="D14815" s="6">
        <f t="shared" si="232"/>
        <v>0</v>
      </c>
    </row>
    <row r="14816" spans="3:4" ht="15" x14ac:dyDescent="0.25">
      <c r="C14816" s="8" t="e">
        <f>VLOOKUP(A:A,'ITEM LIST'!A:C,3,0)</f>
        <v>#N/A</v>
      </c>
      <c r="D14816" s="6">
        <f t="shared" si="232"/>
        <v>0</v>
      </c>
    </row>
    <row r="14817" spans="3:4" ht="15" x14ac:dyDescent="0.25">
      <c r="C14817" s="8" t="e">
        <f>VLOOKUP(A:A,'ITEM LIST'!A:C,3,0)</f>
        <v>#N/A</v>
      </c>
      <c r="D14817" s="6">
        <f t="shared" si="232"/>
        <v>0</v>
      </c>
    </row>
    <row r="14818" spans="3:4" ht="15" x14ac:dyDescent="0.25">
      <c r="C14818" s="8" t="e">
        <f>VLOOKUP(A:A,'ITEM LIST'!A:C,3,0)</f>
        <v>#N/A</v>
      </c>
      <c r="D14818" s="6">
        <f t="shared" si="232"/>
        <v>0</v>
      </c>
    </row>
    <row r="14819" spans="3:4" ht="15" x14ac:dyDescent="0.25">
      <c r="C14819" s="8" t="e">
        <f>VLOOKUP(A:A,'ITEM LIST'!A:C,3,0)</f>
        <v>#N/A</v>
      </c>
      <c r="D14819" s="6">
        <f t="shared" si="232"/>
        <v>0</v>
      </c>
    </row>
    <row r="14820" spans="3:4" ht="15" x14ac:dyDescent="0.25">
      <c r="C14820" s="8" t="e">
        <f>VLOOKUP(A:A,'ITEM LIST'!A:C,3,0)</f>
        <v>#N/A</v>
      </c>
      <c r="D14820" s="6">
        <f t="shared" si="232"/>
        <v>0</v>
      </c>
    </row>
    <row r="14821" spans="3:4" ht="15" x14ac:dyDescent="0.25">
      <c r="C14821" s="8" t="e">
        <f>VLOOKUP(A:A,'ITEM LIST'!A:C,3,0)</f>
        <v>#N/A</v>
      </c>
      <c r="D14821" s="6">
        <f t="shared" si="232"/>
        <v>0</v>
      </c>
    </row>
    <row r="14822" spans="3:4" ht="15" x14ac:dyDescent="0.25">
      <c r="C14822" s="8" t="e">
        <f>VLOOKUP(A:A,'ITEM LIST'!A:C,3,0)</f>
        <v>#N/A</v>
      </c>
      <c r="D14822" s="6">
        <f t="shared" si="232"/>
        <v>0</v>
      </c>
    </row>
    <row r="14823" spans="3:4" ht="15" x14ac:dyDescent="0.25">
      <c r="C14823" s="8" t="e">
        <f>VLOOKUP(A:A,'ITEM LIST'!A:C,3,0)</f>
        <v>#N/A</v>
      </c>
      <c r="D14823" s="6">
        <f t="shared" si="232"/>
        <v>0</v>
      </c>
    </row>
    <row r="14824" spans="3:4" ht="15" x14ac:dyDescent="0.25">
      <c r="C14824" s="8" t="e">
        <f>VLOOKUP(A:A,'ITEM LIST'!A:C,3,0)</f>
        <v>#N/A</v>
      </c>
      <c r="D14824" s="6">
        <f t="shared" si="232"/>
        <v>0</v>
      </c>
    </row>
    <row r="14825" spans="3:4" ht="15" x14ac:dyDescent="0.25">
      <c r="C14825" s="8" t="e">
        <f>VLOOKUP(A:A,'ITEM LIST'!A:C,3,0)</f>
        <v>#N/A</v>
      </c>
      <c r="D14825" s="6">
        <f t="shared" si="232"/>
        <v>0</v>
      </c>
    </row>
    <row r="14826" spans="3:4" ht="15" x14ac:dyDescent="0.25">
      <c r="C14826" s="8" t="e">
        <f>VLOOKUP(A:A,'ITEM LIST'!A:C,3,0)</f>
        <v>#N/A</v>
      </c>
      <c r="D14826" s="6">
        <f t="shared" si="232"/>
        <v>0</v>
      </c>
    </row>
    <row r="14827" spans="3:4" ht="15" x14ac:dyDescent="0.25">
      <c r="C14827" s="8" t="e">
        <f>VLOOKUP(A:A,'ITEM LIST'!A:C,3,0)</f>
        <v>#N/A</v>
      </c>
      <c r="D14827" s="6">
        <f t="shared" si="232"/>
        <v>0</v>
      </c>
    </row>
    <row r="14828" spans="3:4" ht="15" x14ac:dyDescent="0.25">
      <c r="C14828" s="8" t="e">
        <f>VLOOKUP(A:A,'ITEM LIST'!A:C,3,0)</f>
        <v>#N/A</v>
      </c>
      <c r="D14828" s="6">
        <f t="shared" si="232"/>
        <v>0</v>
      </c>
    </row>
    <row r="14829" spans="3:4" ht="15" x14ac:dyDescent="0.25">
      <c r="C14829" s="8" t="e">
        <f>VLOOKUP(A:A,'ITEM LIST'!A:C,3,0)</f>
        <v>#N/A</v>
      </c>
      <c r="D14829" s="6">
        <f t="shared" si="232"/>
        <v>0</v>
      </c>
    </row>
    <row r="14830" spans="3:4" ht="15" x14ac:dyDescent="0.25">
      <c r="C14830" s="8" t="e">
        <f>VLOOKUP(A:A,'ITEM LIST'!A:C,3,0)</f>
        <v>#N/A</v>
      </c>
      <c r="D14830" s="6">
        <f t="shared" si="232"/>
        <v>0</v>
      </c>
    </row>
    <row r="14831" spans="3:4" ht="15" x14ac:dyDescent="0.25">
      <c r="C14831" s="8" t="e">
        <f>VLOOKUP(A:A,'ITEM LIST'!A:C,3,0)</f>
        <v>#N/A</v>
      </c>
      <c r="D14831" s="6">
        <f t="shared" si="232"/>
        <v>0</v>
      </c>
    </row>
    <row r="14832" spans="3:4" ht="15" x14ac:dyDescent="0.25">
      <c r="C14832" s="8" t="e">
        <f>VLOOKUP(A:A,'ITEM LIST'!A:C,3,0)</f>
        <v>#N/A</v>
      </c>
      <c r="D14832" s="6">
        <f t="shared" si="232"/>
        <v>0</v>
      </c>
    </row>
    <row r="14833" spans="3:4" ht="15" x14ac:dyDescent="0.25">
      <c r="C14833" s="8" t="e">
        <f>VLOOKUP(A:A,'ITEM LIST'!A:C,3,0)</f>
        <v>#N/A</v>
      </c>
      <c r="D14833" s="6">
        <f t="shared" si="232"/>
        <v>0</v>
      </c>
    </row>
    <row r="14834" spans="3:4" ht="15" x14ac:dyDescent="0.25">
      <c r="C14834" s="8" t="e">
        <f>VLOOKUP(A:A,'ITEM LIST'!A:C,3,0)</f>
        <v>#N/A</v>
      </c>
      <c r="D14834" s="6">
        <f t="shared" si="232"/>
        <v>0</v>
      </c>
    </row>
    <row r="14835" spans="3:4" ht="15" x14ac:dyDescent="0.25">
      <c r="C14835" s="8" t="e">
        <f>VLOOKUP(A:A,'ITEM LIST'!A:C,3,0)</f>
        <v>#N/A</v>
      </c>
      <c r="D14835" s="6">
        <f t="shared" si="232"/>
        <v>0</v>
      </c>
    </row>
    <row r="14836" spans="3:4" ht="15" x14ac:dyDescent="0.25">
      <c r="C14836" s="8" t="e">
        <f>VLOOKUP(A:A,'ITEM LIST'!A:C,3,0)</f>
        <v>#N/A</v>
      </c>
      <c r="D14836" s="6">
        <f t="shared" si="232"/>
        <v>0</v>
      </c>
    </row>
    <row r="14837" spans="3:4" ht="15" x14ac:dyDescent="0.25">
      <c r="C14837" s="8" t="e">
        <f>VLOOKUP(A:A,'ITEM LIST'!A:C,3,0)</f>
        <v>#N/A</v>
      </c>
      <c r="D14837" s="6">
        <f t="shared" si="232"/>
        <v>0</v>
      </c>
    </row>
    <row r="14838" spans="3:4" ht="15" x14ac:dyDescent="0.25">
      <c r="C14838" s="8" t="e">
        <f>VLOOKUP(A:A,'ITEM LIST'!A:C,3,0)</f>
        <v>#N/A</v>
      </c>
      <c r="D14838" s="6">
        <f t="shared" si="232"/>
        <v>0</v>
      </c>
    </row>
    <row r="14839" spans="3:4" ht="15" x14ac:dyDescent="0.25">
      <c r="C14839" s="8" t="e">
        <f>VLOOKUP(A:A,'ITEM LIST'!A:C,3,0)</f>
        <v>#N/A</v>
      </c>
      <c r="D14839" s="6">
        <f t="shared" si="232"/>
        <v>0</v>
      </c>
    </row>
    <row r="14840" spans="3:4" ht="15" x14ac:dyDescent="0.25">
      <c r="C14840" s="8" t="e">
        <f>VLOOKUP(A:A,'ITEM LIST'!A:C,3,0)</f>
        <v>#N/A</v>
      </c>
      <c r="D14840" s="6">
        <f t="shared" si="232"/>
        <v>0</v>
      </c>
    </row>
    <row r="14841" spans="3:4" ht="15" x14ac:dyDescent="0.25">
      <c r="C14841" s="8" t="e">
        <f>VLOOKUP(A:A,'ITEM LIST'!A:C,3,0)</f>
        <v>#N/A</v>
      </c>
      <c r="D14841" s="6">
        <f t="shared" si="232"/>
        <v>0</v>
      </c>
    </row>
    <row r="14842" spans="3:4" ht="15" x14ac:dyDescent="0.25">
      <c r="C14842" s="8" t="e">
        <f>VLOOKUP(A:A,'ITEM LIST'!A:C,3,0)</f>
        <v>#N/A</v>
      </c>
      <c r="D14842" s="6">
        <f t="shared" si="232"/>
        <v>0</v>
      </c>
    </row>
    <row r="14843" spans="3:4" ht="15" x14ac:dyDescent="0.25">
      <c r="C14843" s="8" t="e">
        <f>VLOOKUP(A:A,'ITEM LIST'!A:C,3,0)</f>
        <v>#N/A</v>
      </c>
      <c r="D14843" s="6">
        <f t="shared" si="232"/>
        <v>0</v>
      </c>
    </row>
    <row r="14844" spans="3:4" ht="15" x14ac:dyDescent="0.25">
      <c r="C14844" s="8" t="e">
        <f>VLOOKUP(A:A,'ITEM LIST'!A:C,3,0)</f>
        <v>#N/A</v>
      </c>
      <c r="D14844" s="6">
        <f t="shared" si="232"/>
        <v>0</v>
      </c>
    </row>
    <row r="14845" spans="3:4" ht="15" x14ac:dyDescent="0.25">
      <c r="C14845" s="8" t="e">
        <f>VLOOKUP(A:A,'ITEM LIST'!A:C,3,0)</f>
        <v>#N/A</v>
      </c>
      <c r="D14845" s="6">
        <f t="shared" si="232"/>
        <v>0</v>
      </c>
    </row>
    <row r="14846" spans="3:4" ht="15" x14ac:dyDescent="0.25">
      <c r="C14846" s="8" t="e">
        <f>VLOOKUP(A:A,'ITEM LIST'!A:C,3,0)</f>
        <v>#N/A</v>
      </c>
      <c r="D14846" s="6">
        <f t="shared" si="232"/>
        <v>0</v>
      </c>
    </row>
    <row r="14847" spans="3:4" ht="15" x14ac:dyDescent="0.25">
      <c r="C14847" s="8" t="e">
        <f>VLOOKUP(A:A,'ITEM LIST'!A:C,3,0)</f>
        <v>#N/A</v>
      </c>
      <c r="D14847" s="6">
        <f t="shared" si="232"/>
        <v>0</v>
      </c>
    </row>
    <row r="14848" spans="3:4" ht="15" x14ac:dyDescent="0.25">
      <c r="C14848" s="8" t="e">
        <f>VLOOKUP(A:A,'ITEM LIST'!A:C,3,0)</f>
        <v>#N/A</v>
      </c>
      <c r="D14848" s="6">
        <f t="shared" si="232"/>
        <v>0</v>
      </c>
    </row>
    <row r="14849" spans="3:4" ht="15" x14ac:dyDescent="0.25">
      <c r="C14849" s="8" t="e">
        <f>VLOOKUP(A:A,'ITEM LIST'!A:C,3,0)</f>
        <v>#N/A</v>
      </c>
      <c r="D14849" s="6">
        <f t="shared" si="232"/>
        <v>0</v>
      </c>
    </row>
    <row r="14850" spans="3:4" ht="15" x14ac:dyDescent="0.25">
      <c r="C14850" s="8" t="e">
        <f>VLOOKUP(A:A,'ITEM LIST'!A:C,3,0)</f>
        <v>#N/A</v>
      </c>
      <c r="D14850" s="6">
        <f t="shared" si="232"/>
        <v>0</v>
      </c>
    </row>
    <row r="14851" spans="3:4" ht="15" x14ac:dyDescent="0.25">
      <c r="C14851" s="8" t="e">
        <f>VLOOKUP(A:A,'ITEM LIST'!A:C,3,0)</f>
        <v>#N/A</v>
      </c>
      <c r="D14851" s="6">
        <f t="shared" si="232"/>
        <v>0</v>
      </c>
    </row>
    <row r="14852" spans="3:4" ht="15" x14ac:dyDescent="0.25">
      <c r="C14852" s="8" t="e">
        <f>VLOOKUP(A:A,'ITEM LIST'!A:C,3,0)</f>
        <v>#N/A</v>
      </c>
      <c r="D14852" s="6">
        <f t="shared" si="232"/>
        <v>0</v>
      </c>
    </row>
    <row r="14853" spans="3:4" ht="15" x14ac:dyDescent="0.25">
      <c r="C14853" s="8" t="e">
        <f>VLOOKUP(A:A,'ITEM LIST'!A:C,3,0)</f>
        <v>#N/A</v>
      </c>
      <c r="D14853" s="6">
        <f t="shared" si="232"/>
        <v>0</v>
      </c>
    </row>
    <row r="14854" spans="3:4" ht="15" x14ac:dyDescent="0.25">
      <c r="C14854" s="8" t="e">
        <f>VLOOKUP(A:A,'ITEM LIST'!A:C,3,0)</f>
        <v>#N/A</v>
      </c>
      <c r="D14854" s="6">
        <f t="shared" ref="D14854:D14917" si="233">B14854</f>
        <v>0</v>
      </c>
    </row>
    <row r="14855" spans="3:4" ht="15" x14ac:dyDescent="0.25">
      <c r="C14855" s="8" t="e">
        <f>VLOOKUP(A:A,'ITEM LIST'!A:C,3,0)</f>
        <v>#N/A</v>
      </c>
      <c r="D14855" s="6">
        <f t="shared" si="233"/>
        <v>0</v>
      </c>
    </row>
    <row r="14856" spans="3:4" ht="15" x14ac:dyDescent="0.25">
      <c r="C14856" s="8" t="e">
        <f>VLOOKUP(A:A,'ITEM LIST'!A:C,3,0)</f>
        <v>#N/A</v>
      </c>
      <c r="D14856" s="6">
        <f t="shared" si="233"/>
        <v>0</v>
      </c>
    </row>
    <row r="14857" spans="3:4" ht="15" x14ac:dyDescent="0.25">
      <c r="C14857" s="8" t="e">
        <f>VLOOKUP(A:A,'ITEM LIST'!A:C,3,0)</f>
        <v>#N/A</v>
      </c>
      <c r="D14857" s="6">
        <f t="shared" si="233"/>
        <v>0</v>
      </c>
    </row>
    <row r="14858" spans="3:4" ht="15" x14ac:dyDescent="0.25">
      <c r="C14858" s="8" t="e">
        <f>VLOOKUP(A:A,'ITEM LIST'!A:C,3,0)</f>
        <v>#N/A</v>
      </c>
      <c r="D14858" s="6">
        <f t="shared" si="233"/>
        <v>0</v>
      </c>
    </row>
    <row r="14859" spans="3:4" ht="15" x14ac:dyDescent="0.25">
      <c r="C14859" s="8" t="e">
        <f>VLOOKUP(A:A,'ITEM LIST'!A:C,3,0)</f>
        <v>#N/A</v>
      </c>
      <c r="D14859" s="6">
        <f t="shared" si="233"/>
        <v>0</v>
      </c>
    </row>
    <row r="14860" spans="3:4" ht="15" x14ac:dyDescent="0.25">
      <c r="C14860" s="8" t="e">
        <f>VLOOKUP(A:A,'ITEM LIST'!A:C,3,0)</f>
        <v>#N/A</v>
      </c>
      <c r="D14860" s="6">
        <f t="shared" si="233"/>
        <v>0</v>
      </c>
    </row>
    <row r="14861" spans="3:4" ht="15" x14ac:dyDescent="0.25">
      <c r="C14861" s="8" t="e">
        <f>VLOOKUP(A:A,'ITEM LIST'!A:C,3,0)</f>
        <v>#N/A</v>
      </c>
      <c r="D14861" s="6">
        <f t="shared" si="233"/>
        <v>0</v>
      </c>
    </row>
    <row r="14862" spans="3:4" ht="15" x14ac:dyDescent="0.25">
      <c r="C14862" s="8" t="e">
        <f>VLOOKUP(A:A,'ITEM LIST'!A:C,3,0)</f>
        <v>#N/A</v>
      </c>
      <c r="D14862" s="6">
        <f t="shared" si="233"/>
        <v>0</v>
      </c>
    </row>
    <row r="14863" spans="3:4" ht="15" x14ac:dyDescent="0.25">
      <c r="C14863" s="8" t="e">
        <f>VLOOKUP(A:A,'ITEM LIST'!A:C,3,0)</f>
        <v>#N/A</v>
      </c>
      <c r="D14863" s="6">
        <f t="shared" si="233"/>
        <v>0</v>
      </c>
    </row>
    <row r="14864" spans="3:4" ht="15" x14ac:dyDescent="0.25">
      <c r="C14864" s="8" t="e">
        <f>VLOOKUP(A:A,'ITEM LIST'!A:C,3,0)</f>
        <v>#N/A</v>
      </c>
      <c r="D14864" s="6">
        <f t="shared" si="233"/>
        <v>0</v>
      </c>
    </row>
    <row r="14865" spans="3:4" ht="15" x14ac:dyDescent="0.25">
      <c r="C14865" s="8" t="e">
        <f>VLOOKUP(A:A,'ITEM LIST'!A:C,3,0)</f>
        <v>#N/A</v>
      </c>
      <c r="D14865" s="6">
        <f t="shared" si="233"/>
        <v>0</v>
      </c>
    </row>
    <row r="14866" spans="3:4" ht="15" x14ac:dyDescent="0.25">
      <c r="C14866" s="8" t="e">
        <f>VLOOKUP(A:A,'ITEM LIST'!A:C,3,0)</f>
        <v>#N/A</v>
      </c>
      <c r="D14866" s="6">
        <f t="shared" si="233"/>
        <v>0</v>
      </c>
    </row>
    <row r="14867" spans="3:4" ht="15" x14ac:dyDescent="0.25">
      <c r="C14867" s="8" t="e">
        <f>VLOOKUP(A:A,'ITEM LIST'!A:C,3,0)</f>
        <v>#N/A</v>
      </c>
      <c r="D14867" s="6">
        <f t="shared" si="233"/>
        <v>0</v>
      </c>
    </row>
    <row r="14868" spans="3:4" ht="15" x14ac:dyDescent="0.25">
      <c r="C14868" s="8" t="e">
        <f>VLOOKUP(A:A,'ITEM LIST'!A:C,3,0)</f>
        <v>#N/A</v>
      </c>
      <c r="D14868" s="6">
        <f t="shared" si="233"/>
        <v>0</v>
      </c>
    </row>
    <row r="14869" spans="3:4" ht="15" x14ac:dyDescent="0.25">
      <c r="C14869" s="8" t="e">
        <f>VLOOKUP(A:A,'ITEM LIST'!A:C,3,0)</f>
        <v>#N/A</v>
      </c>
      <c r="D14869" s="6">
        <f t="shared" si="233"/>
        <v>0</v>
      </c>
    </row>
    <row r="14870" spans="3:4" ht="15" x14ac:dyDescent="0.25">
      <c r="C14870" s="8" t="e">
        <f>VLOOKUP(A:A,'ITEM LIST'!A:C,3,0)</f>
        <v>#N/A</v>
      </c>
      <c r="D14870" s="6">
        <f t="shared" si="233"/>
        <v>0</v>
      </c>
    </row>
    <row r="14871" spans="3:4" ht="15" x14ac:dyDescent="0.25">
      <c r="C14871" s="8" t="e">
        <f>VLOOKUP(A:A,'ITEM LIST'!A:C,3,0)</f>
        <v>#N/A</v>
      </c>
      <c r="D14871" s="6">
        <f t="shared" si="233"/>
        <v>0</v>
      </c>
    </row>
    <row r="14872" spans="3:4" ht="15" x14ac:dyDescent="0.25">
      <c r="C14872" s="8" t="e">
        <f>VLOOKUP(A:A,'ITEM LIST'!A:C,3,0)</f>
        <v>#N/A</v>
      </c>
      <c r="D14872" s="6">
        <f t="shared" si="233"/>
        <v>0</v>
      </c>
    </row>
    <row r="14873" spans="3:4" ht="15" x14ac:dyDescent="0.25">
      <c r="C14873" s="8" t="e">
        <f>VLOOKUP(A:A,'ITEM LIST'!A:C,3,0)</f>
        <v>#N/A</v>
      </c>
      <c r="D14873" s="6">
        <f t="shared" si="233"/>
        <v>0</v>
      </c>
    </row>
    <row r="14874" spans="3:4" ht="15" x14ac:dyDescent="0.25">
      <c r="C14874" s="8" t="e">
        <f>VLOOKUP(A:A,'ITEM LIST'!A:C,3,0)</f>
        <v>#N/A</v>
      </c>
      <c r="D14874" s="6">
        <f t="shared" si="233"/>
        <v>0</v>
      </c>
    </row>
    <row r="14875" spans="3:4" ht="15" x14ac:dyDescent="0.25">
      <c r="C14875" s="8" t="e">
        <f>VLOOKUP(A:A,'ITEM LIST'!A:C,3,0)</f>
        <v>#N/A</v>
      </c>
      <c r="D14875" s="6">
        <f t="shared" si="233"/>
        <v>0</v>
      </c>
    </row>
    <row r="14876" spans="3:4" ht="15" x14ac:dyDescent="0.25">
      <c r="C14876" s="8" t="e">
        <f>VLOOKUP(A:A,'ITEM LIST'!A:C,3,0)</f>
        <v>#N/A</v>
      </c>
      <c r="D14876" s="6">
        <f t="shared" si="233"/>
        <v>0</v>
      </c>
    </row>
    <row r="14877" spans="3:4" ht="15" x14ac:dyDescent="0.25">
      <c r="C14877" s="8" t="e">
        <f>VLOOKUP(A:A,'ITEM LIST'!A:C,3,0)</f>
        <v>#N/A</v>
      </c>
      <c r="D14877" s="6">
        <f t="shared" si="233"/>
        <v>0</v>
      </c>
    </row>
    <row r="14878" spans="3:4" ht="15" x14ac:dyDescent="0.25">
      <c r="C14878" s="8" t="e">
        <f>VLOOKUP(A:A,'ITEM LIST'!A:C,3,0)</f>
        <v>#N/A</v>
      </c>
      <c r="D14878" s="6">
        <f t="shared" si="233"/>
        <v>0</v>
      </c>
    </row>
    <row r="14879" spans="3:4" ht="15" x14ac:dyDescent="0.25">
      <c r="C14879" s="8" t="e">
        <f>VLOOKUP(A:A,'ITEM LIST'!A:C,3,0)</f>
        <v>#N/A</v>
      </c>
      <c r="D14879" s="6">
        <f t="shared" si="233"/>
        <v>0</v>
      </c>
    </row>
    <row r="14880" spans="3:4" ht="15" x14ac:dyDescent="0.25">
      <c r="C14880" s="8" t="e">
        <f>VLOOKUP(A:A,'ITEM LIST'!A:C,3,0)</f>
        <v>#N/A</v>
      </c>
      <c r="D14880" s="6">
        <f t="shared" si="233"/>
        <v>0</v>
      </c>
    </row>
    <row r="14881" spans="3:4" ht="15" x14ac:dyDescent="0.25">
      <c r="C14881" s="8" t="e">
        <f>VLOOKUP(A:A,'ITEM LIST'!A:C,3,0)</f>
        <v>#N/A</v>
      </c>
      <c r="D14881" s="6">
        <f t="shared" si="233"/>
        <v>0</v>
      </c>
    </row>
    <row r="14882" spans="3:4" ht="15" x14ac:dyDescent="0.25">
      <c r="C14882" s="8" t="e">
        <f>VLOOKUP(A:A,'ITEM LIST'!A:C,3,0)</f>
        <v>#N/A</v>
      </c>
      <c r="D14882" s="6">
        <f t="shared" si="233"/>
        <v>0</v>
      </c>
    </row>
    <row r="14883" spans="3:4" ht="15" x14ac:dyDescent="0.25">
      <c r="C14883" s="8" t="e">
        <f>VLOOKUP(A:A,'ITEM LIST'!A:C,3,0)</f>
        <v>#N/A</v>
      </c>
      <c r="D14883" s="6">
        <f t="shared" si="233"/>
        <v>0</v>
      </c>
    </row>
    <row r="14884" spans="3:4" ht="15" x14ac:dyDescent="0.25">
      <c r="C14884" s="8" t="e">
        <f>VLOOKUP(A:A,'ITEM LIST'!A:C,3,0)</f>
        <v>#N/A</v>
      </c>
      <c r="D14884" s="6">
        <f t="shared" si="233"/>
        <v>0</v>
      </c>
    </row>
    <row r="14885" spans="3:4" ht="15" x14ac:dyDescent="0.25">
      <c r="C14885" s="8" t="e">
        <f>VLOOKUP(A:A,'ITEM LIST'!A:C,3,0)</f>
        <v>#N/A</v>
      </c>
      <c r="D14885" s="6">
        <f t="shared" si="233"/>
        <v>0</v>
      </c>
    </row>
    <row r="14886" spans="3:4" ht="15" x14ac:dyDescent="0.25">
      <c r="C14886" s="8" t="e">
        <f>VLOOKUP(A:A,'ITEM LIST'!A:C,3,0)</f>
        <v>#N/A</v>
      </c>
      <c r="D14886" s="6">
        <f t="shared" si="233"/>
        <v>0</v>
      </c>
    </row>
    <row r="14887" spans="3:4" ht="15" x14ac:dyDescent="0.25">
      <c r="C14887" s="8" t="e">
        <f>VLOOKUP(A:A,'ITEM LIST'!A:C,3,0)</f>
        <v>#N/A</v>
      </c>
      <c r="D14887" s="6">
        <f t="shared" si="233"/>
        <v>0</v>
      </c>
    </row>
    <row r="14888" spans="3:4" ht="15" x14ac:dyDescent="0.25">
      <c r="C14888" s="8" t="e">
        <f>VLOOKUP(A:A,'ITEM LIST'!A:C,3,0)</f>
        <v>#N/A</v>
      </c>
      <c r="D14888" s="6">
        <f t="shared" si="233"/>
        <v>0</v>
      </c>
    </row>
    <row r="14889" spans="3:4" ht="15" x14ac:dyDescent="0.25">
      <c r="C14889" s="8" t="e">
        <f>VLOOKUP(A:A,'ITEM LIST'!A:C,3,0)</f>
        <v>#N/A</v>
      </c>
      <c r="D14889" s="6">
        <f t="shared" si="233"/>
        <v>0</v>
      </c>
    </row>
    <row r="14890" spans="3:4" ht="15" x14ac:dyDescent="0.25">
      <c r="C14890" s="8" t="e">
        <f>VLOOKUP(A:A,'ITEM LIST'!A:C,3,0)</f>
        <v>#N/A</v>
      </c>
      <c r="D14890" s="6">
        <f t="shared" si="233"/>
        <v>0</v>
      </c>
    </row>
    <row r="14891" spans="3:4" ht="15" x14ac:dyDescent="0.25">
      <c r="C14891" s="8" t="e">
        <f>VLOOKUP(A:A,'ITEM LIST'!A:C,3,0)</f>
        <v>#N/A</v>
      </c>
      <c r="D14891" s="6">
        <f t="shared" si="233"/>
        <v>0</v>
      </c>
    </row>
    <row r="14892" spans="3:4" ht="15" x14ac:dyDescent="0.25">
      <c r="C14892" s="8" t="e">
        <f>VLOOKUP(A:A,'ITEM LIST'!A:C,3,0)</f>
        <v>#N/A</v>
      </c>
      <c r="D14892" s="6">
        <f t="shared" si="233"/>
        <v>0</v>
      </c>
    </row>
    <row r="14893" spans="3:4" ht="15" x14ac:dyDescent="0.25">
      <c r="C14893" s="8" t="e">
        <f>VLOOKUP(A:A,'ITEM LIST'!A:C,3,0)</f>
        <v>#N/A</v>
      </c>
      <c r="D14893" s="6">
        <f t="shared" si="233"/>
        <v>0</v>
      </c>
    </row>
    <row r="14894" spans="3:4" ht="15" x14ac:dyDescent="0.25">
      <c r="C14894" s="8" t="e">
        <f>VLOOKUP(A:A,'ITEM LIST'!A:C,3,0)</f>
        <v>#N/A</v>
      </c>
      <c r="D14894" s="6">
        <f t="shared" si="233"/>
        <v>0</v>
      </c>
    </row>
    <row r="14895" spans="3:4" ht="15" x14ac:dyDescent="0.25">
      <c r="C14895" s="8" t="e">
        <f>VLOOKUP(A:A,'ITEM LIST'!A:C,3,0)</f>
        <v>#N/A</v>
      </c>
      <c r="D14895" s="6">
        <f t="shared" si="233"/>
        <v>0</v>
      </c>
    </row>
    <row r="14896" spans="3:4" ht="15" x14ac:dyDescent="0.25">
      <c r="C14896" s="8" t="e">
        <f>VLOOKUP(A:A,'ITEM LIST'!A:C,3,0)</f>
        <v>#N/A</v>
      </c>
      <c r="D14896" s="6">
        <f t="shared" si="233"/>
        <v>0</v>
      </c>
    </row>
    <row r="14897" spans="3:4" ht="15" x14ac:dyDescent="0.25">
      <c r="C14897" s="8" t="e">
        <f>VLOOKUP(A:A,'ITEM LIST'!A:C,3,0)</f>
        <v>#N/A</v>
      </c>
      <c r="D14897" s="6">
        <f t="shared" si="233"/>
        <v>0</v>
      </c>
    </row>
    <row r="14898" spans="3:4" ht="15" x14ac:dyDescent="0.25">
      <c r="C14898" s="8" t="e">
        <f>VLOOKUP(A:A,'ITEM LIST'!A:C,3,0)</f>
        <v>#N/A</v>
      </c>
      <c r="D14898" s="6">
        <f t="shared" si="233"/>
        <v>0</v>
      </c>
    </row>
    <row r="14899" spans="3:4" ht="15" x14ac:dyDescent="0.25">
      <c r="C14899" s="8" t="e">
        <f>VLOOKUP(A:A,'ITEM LIST'!A:C,3,0)</f>
        <v>#N/A</v>
      </c>
      <c r="D14899" s="6">
        <f t="shared" si="233"/>
        <v>0</v>
      </c>
    </row>
    <row r="14900" spans="3:4" ht="15" x14ac:dyDescent="0.25">
      <c r="C14900" s="8" t="e">
        <f>VLOOKUP(A:A,'ITEM LIST'!A:C,3,0)</f>
        <v>#N/A</v>
      </c>
      <c r="D14900" s="6">
        <f t="shared" si="233"/>
        <v>0</v>
      </c>
    </row>
    <row r="14901" spans="3:4" ht="15" x14ac:dyDescent="0.25">
      <c r="C14901" s="8" t="e">
        <f>VLOOKUP(A:A,'ITEM LIST'!A:C,3,0)</f>
        <v>#N/A</v>
      </c>
      <c r="D14901" s="6">
        <f t="shared" si="233"/>
        <v>0</v>
      </c>
    </row>
    <row r="14902" spans="3:4" ht="15" x14ac:dyDescent="0.25">
      <c r="C14902" s="8" t="e">
        <f>VLOOKUP(A:A,'ITEM LIST'!A:C,3,0)</f>
        <v>#N/A</v>
      </c>
      <c r="D14902" s="6">
        <f t="shared" si="233"/>
        <v>0</v>
      </c>
    </row>
    <row r="14903" spans="3:4" ht="15" x14ac:dyDescent="0.25">
      <c r="C14903" s="8" t="e">
        <f>VLOOKUP(A:A,'ITEM LIST'!A:C,3,0)</f>
        <v>#N/A</v>
      </c>
      <c r="D14903" s="6">
        <f t="shared" si="233"/>
        <v>0</v>
      </c>
    </row>
    <row r="14904" spans="3:4" ht="15" x14ac:dyDescent="0.25">
      <c r="C14904" s="8" t="e">
        <f>VLOOKUP(A:A,'ITEM LIST'!A:C,3,0)</f>
        <v>#N/A</v>
      </c>
      <c r="D14904" s="6">
        <f t="shared" si="233"/>
        <v>0</v>
      </c>
    </row>
    <row r="14905" spans="3:4" ht="15" x14ac:dyDescent="0.25">
      <c r="C14905" s="8" t="e">
        <f>VLOOKUP(A:A,'ITEM LIST'!A:C,3,0)</f>
        <v>#N/A</v>
      </c>
      <c r="D14905" s="6">
        <f t="shared" si="233"/>
        <v>0</v>
      </c>
    </row>
    <row r="14906" spans="3:4" ht="15" x14ac:dyDescent="0.25">
      <c r="C14906" s="8" t="e">
        <f>VLOOKUP(A:A,'ITEM LIST'!A:C,3,0)</f>
        <v>#N/A</v>
      </c>
      <c r="D14906" s="6">
        <f t="shared" si="233"/>
        <v>0</v>
      </c>
    </row>
    <row r="14907" spans="3:4" ht="15" x14ac:dyDescent="0.25">
      <c r="C14907" s="8" t="e">
        <f>VLOOKUP(A:A,'ITEM LIST'!A:C,3,0)</f>
        <v>#N/A</v>
      </c>
      <c r="D14907" s="6">
        <f t="shared" si="233"/>
        <v>0</v>
      </c>
    </row>
    <row r="14908" spans="3:4" ht="15" x14ac:dyDescent="0.25">
      <c r="C14908" s="8" t="e">
        <f>VLOOKUP(A:A,'ITEM LIST'!A:C,3,0)</f>
        <v>#N/A</v>
      </c>
      <c r="D14908" s="6">
        <f t="shared" si="233"/>
        <v>0</v>
      </c>
    </row>
    <row r="14909" spans="3:4" ht="15" x14ac:dyDescent="0.25">
      <c r="C14909" s="8" t="e">
        <f>VLOOKUP(A:A,'ITEM LIST'!A:C,3,0)</f>
        <v>#N/A</v>
      </c>
      <c r="D14909" s="6">
        <f t="shared" si="233"/>
        <v>0</v>
      </c>
    </row>
    <row r="14910" spans="3:4" ht="15" x14ac:dyDescent="0.25">
      <c r="C14910" s="8" t="e">
        <f>VLOOKUP(A:A,'ITEM LIST'!A:C,3,0)</f>
        <v>#N/A</v>
      </c>
      <c r="D14910" s="6">
        <f t="shared" si="233"/>
        <v>0</v>
      </c>
    </row>
    <row r="14911" spans="3:4" ht="15" x14ac:dyDescent="0.25">
      <c r="C14911" s="8" t="e">
        <f>VLOOKUP(A:A,'ITEM LIST'!A:C,3,0)</f>
        <v>#N/A</v>
      </c>
      <c r="D14911" s="6">
        <f t="shared" si="233"/>
        <v>0</v>
      </c>
    </row>
    <row r="14912" spans="3:4" ht="15" x14ac:dyDescent="0.25">
      <c r="C14912" s="8" t="e">
        <f>VLOOKUP(A:A,'ITEM LIST'!A:C,3,0)</f>
        <v>#N/A</v>
      </c>
      <c r="D14912" s="6">
        <f t="shared" si="233"/>
        <v>0</v>
      </c>
    </row>
    <row r="14913" spans="3:4" ht="15" x14ac:dyDescent="0.25">
      <c r="C14913" s="8" t="e">
        <f>VLOOKUP(A:A,'ITEM LIST'!A:C,3,0)</f>
        <v>#N/A</v>
      </c>
      <c r="D14913" s="6">
        <f t="shared" si="233"/>
        <v>0</v>
      </c>
    </row>
    <row r="14914" spans="3:4" ht="15" x14ac:dyDescent="0.25">
      <c r="C14914" s="8" t="e">
        <f>VLOOKUP(A:A,'ITEM LIST'!A:C,3,0)</f>
        <v>#N/A</v>
      </c>
      <c r="D14914" s="6">
        <f t="shared" si="233"/>
        <v>0</v>
      </c>
    </row>
    <row r="14915" spans="3:4" ht="15" x14ac:dyDescent="0.25">
      <c r="C14915" s="8" t="e">
        <f>VLOOKUP(A:A,'ITEM LIST'!A:C,3,0)</f>
        <v>#N/A</v>
      </c>
      <c r="D14915" s="6">
        <f t="shared" si="233"/>
        <v>0</v>
      </c>
    </row>
    <row r="14916" spans="3:4" ht="15" x14ac:dyDescent="0.25">
      <c r="C14916" s="8" t="e">
        <f>VLOOKUP(A:A,'ITEM LIST'!A:C,3,0)</f>
        <v>#N/A</v>
      </c>
      <c r="D14916" s="6">
        <f t="shared" si="233"/>
        <v>0</v>
      </c>
    </row>
    <row r="14917" spans="3:4" ht="15" x14ac:dyDescent="0.25">
      <c r="C14917" s="8" t="e">
        <f>VLOOKUP(A:A,'ITEM LIST'!A:C,3,0)</f>
        <v>#N/A</v>
      </c>
      <c r="D14917" s="6">
        <f t="shared" si="233"/>
        <v>0</v>
      </c>
    </row>
    <row r="14918" spans="3:4" ht="15" x14ac:dyDescent="0.25">
      <c r="C14918" s="8" t="e">
        <f>VLOOKUP(A:A,'ITEM LIST'!A:C,3,0)</f>
        <v>#N/A</v>
      </c>
      <c r="D14918" s="6">
        <f t="shared" ref="D14918:D14981" si="234">B14918</f>
        <v>0</v>
      </c>
    </row>
    <row r="14919" spans="3:4" ht="15" x14ac:dyDescent="0.25">
      <c r="C14919" s="8" t="e">
        <f>VLOOKUP(A:A,'ITEM LIST'!A:C,3,0)</f>
        <v>#N/A</v>
      </c>
      <c r="D14919" s="6">
        <f t="shared" si="234"/>
        <v>0</v>
      </c>
    </row>
    <row r="14920" spans="3:4" ht="15" x14ac:dyDescent="0.25">
      <c r="C14920" s="8" t="e">
        <f>VLOOKUP(A:A,'ITEM LIST'!A:C,3,0)</f>
        <v>#N/A</v>
      </c>
      <c r="D14920" s="6">
        <f t="shared" si="234"/>
        <v>0</v>
      </c>
    </row>
    <row r="14921" spans="3:4" ht="15" x14ac:dyDescent="0.25">
      <c r="C14921" s="8" t="e">
        <f>VLOOKUP(A:A,'ITEM LIST'!A:C,3,0)</f>
        <v>#N/A</v>
      </c>
      <c r="D14921" s="6">
        <f t="shared" si="234"/>
        <v>0</v>
      </c>
    </row>
    <row r="14922" spans="3:4" ht="15" x14ac:dyDescent="0.25">
      <c r="C14922" s="8" t="e">
        <f>VLOOKUP(A:A,'ITEM LIST'!A:C,3,0)</f>
        <v>#N/A</v>
      </c>
      <c r="D14922" s="6">
        <f t="shared" si="234"/>
        <v>0</v>
      </c>
    </row>
    <row r="14923" spans="3:4" ht="15" x14ac:dyDescent="0.25">
      <c r="C14923" s="8" t="e">
        <f>VLOOKUP(A:A,'ITEM LIST'!A:C,3,0)</f>
        <v>#N/A</v>
      </c>
      <c r="D14923" s="6">
        <f t="shared" si="234"/>
        <v>0</v>
      </c>
    </row>
    <row r="14924" spans="3:4" ht="15" x14ac:dyDescent="0.25">
      <c r="C14924" s="8" t="e">
        <f>VLOOKUP(A:A,'ITEM LIST'!A:C,3,0)</f>
        <v>#N/A</v>
      </c>
      <c r="D14924" s="6">
        <f t="shared" si="234"/>
        <v>0</v>
      </c>
    </row>
    <row r="14925" spans="3:4" ht="15" x14ac:dyDescent="0.25">
      <c r="C14925" s="8" t="e">
        <f>VLOOKUP(A:A,'ITEM LIST'!A:C,3,0)</f>
        <v>#N/A</v>
      </c>
      <c r="D14925" s="6">
        <f t="shared" si="234"/>
        <v>0</v>
      </c>
    </row>
    <row r="14926" spans="3:4" ht="15" x14ac:dyDescent="0.25">
      <c r="C14926" s="8" t="e">
        <f>VLOOKUP(A:A,'ITEM LIST'!A:C,3,0)</f>
        <v>#N/A</v>
      </c>
      <c r="D14926" s="6">
        <f t="shared" si="234"/>
        <v>0</v>
      </c>
    </row>
    <row r="14927" spans="3:4" ht="15" x14ac:dyDescent="0.25">
      <c r="C14927" s="8" t="e">
        <f>VLOOKUP(A:A,'ITEM LIST'!A:C,3,0)</f>
        <v>#N/A</v>
      </c>
      <c r="D14927" s="6">
        <f t="shared" si="234"/>
        <v>0</v>
      </c>
    </row>
    <row r="14928" spans="3:4" ht="15" x14ac:dyDescent="0.25">
      <c r="C14928" s="8" t="e">
        <f>VLOOKUP(A:A,'ITEM LIST'!A:C,3,0)</f>
        <v>#N/A</v>
      </c>
      <c r="D14928" s="6">
        <f t="shared" si="234"/>
        <v>0</v>
      </c>
    </row>
    <row r="14929" spans="3:4" ht="15" x14ac:dyDescent="0.25">
      <c r="C14929" s="8" t="e">
        <f>VLOOKUP(A:A,'ITEM LIST'!A:C,3,0)</f>
        <v>#N/A</v>
      </c>
      <c r="D14929" s="6">
        <f t="shared" si="234"/>
        <v>0</v>
      </c>
    </row>
    <row r="14930" spans="3:4" ht="15" x14ac:dyDescent="0.25">
      <c r="C14930" s="8" t="e">
        <f>VLOOKUP(A:A,'ITEM LIST'!A:C,3,0)</f>
        <v>#N/A</v>
      </c>
      <c r="D14930" s="6">
        <f t="shared" si="234"/>
        <v>0</v>
      </c>
    </row>
    <row r="14931" spans="3:4" ht="15" x14ac:dyDescent="0.25">
      <c r="C14931" s="8" t="e">
        <f>VLOOKUP(A:A,'ITEM LIST'!A:C,3,0)</f>
        <v>#N/A</v>
      </c>
      <c r="D14931" s="6">
        <f t="shared" si="234"/>
        <v>0</v>
      </c>
    </row>
    <row r="14932" spans="3:4" ht="15" x14ac:dyDescent="0.25">
      <c r="C14932" s="8" t="e">
        <f>VLOOKUP(A:A,'ITEM LIST'!A:C,3,0)</f>
        <v>#N/A</v>
      </c>
      <c r="D14932" s="6">
        <f t="shared" si="234"/>
        <v>0</v>
      </c>
    </row>
    <row r="14933" spans="3:4" ht="15" x14ac:dyDescent="0.25">
      <c r="C14933" s="8" t="e">
        <f>VLOOKUP(A:A,'ITEM LIST'!A:C,3,0)</f>
        <v>#N/A</v>
      </c>
      <c r="D14933" s="6">
        <f t="shared" si="234"/>
        <v>0</v>
      </c>
    </row>
    <row r="14934" spans="3:4" ht="15" x14ac:dyDescent="0.25">
      <c r="C14934" s="8" t="e">
        <f>VLOOKUP(A:A,'ITEM LIST'!A:C,3,0)</f>
        <v>#N/A</v>
      </c>
      <c r="D14934" s="6">
        <f t="shared" si="234"/>
        <v>0</v>
      </c>
    </row>
    <row r="14935" spans="3:4" ht="15" x14ac:dyDescent="0.25">
      <c r="C14935" s="8" t="e">
        <f>VLOOKUP(A:A,'ITEM LIST'!A:C,3,0)</f>
        <v>#N/A</v>
      </c>
      <c r="D14935" s="6">
        <f t="shared" si="234"/>
        <v>0</v>
      </c>
    </row>
    <row r="14936" spans="3:4" ht="15" x14ac:dyDescent="0.25">
      <c r="C14936" s="8" t="e">
        <f>VLOOKUP(A:A,'ITEM LIST'!A:C,3,0)</f>
        <v>#N/A</v>
      </c>
      <c r="D14936" s="6">
        <f t="shared" si="234"/>
        <v>0</v>
      </c>
    </row>
    <row r="14937" spans="3:4" ht="15" x14ac:dyDescent="0.25">
      <c r="C14937" s="8" t="e">
        <f>VLOOKUP(A:A,'ITEM LIST'!A:C,3,0)</f>
        <v>#N/A</v>
      </c>
      <c r="D14937" s="6">
        <f t="shared" si="234"/>
        <v>0</v>
      </c>
    </row>
    <row r="14938" spans="3:4" ht="15" x14ac:dyDescent="0.25">
      <c r="C14938" s="8" t="e">
        <f>VLOOKUP(A:A,'ITEM LIST'!A:C,3,0)</f>
        <v>#N/A</v>
      </c>
      <c r="D14938" s="6">
        <f t="shared" si="234"/>
        <v>0</v>
      </c>
    </row>
    <row r="14939" spans="3:4" ht="15" x14ac:dyDescent="0.25">
      <c r="C14939" s="8" t="e">
        <f>VLOOKUP(A:A,'ITEM LIST'!A:C,3,0)</f>
        <v>#N/A</v>
      </c>
      <c r="D14939" s="6">
        <f t="shared" si="234"/>
        <v>0</v>
      </c>
    </row>
    <row r="14940" spans="3:4" ht="15" x14ac:dyDescent="0.25">
      <c r="C14940" s="8" t="e">
        <f>VLOOKUP(A:A,'ITEM LIST'!A:C,3,0)</f>
        <v>#N/A</v>
      </c>
      <c r="D14940" s="6">
        <f t="shared" si="234"/>
        <v>0</v>
      </c>
    </row>
    <row r="14941" spans="3:4" ht="15" x14ac:dyDescent="0.25">
      <c r="C14941" s="8" t="e">
        <f>VLOOKUP(A:A,'ITEM LIST'!A:C,3,0)</f>
        <v>#N/A</v>
      </c>
      <c r="D14941" s="6">
        <f t="shared" si="234"/>
        <v>0</v>
      </c>
    </row>
    <row r="14942" spans="3:4" ht="15" x14ac:dyDescent="0.25">
      <c r="C14942" s="8" t="e">
        <f>VLOOKUP(A:A,'ITEM LIST'!A:C,3,0)</f>
        <v>#N/A</v>
      </c>
      <c r="D14942" s="6">
        <f t="shared" si="234"/>
        <v>0</v>
      </c>
    </row>
    <row r="14943" spans="3:4" ht="15" x14ac:dyDescent="0.25">
      <c r="C14943" s="8" t="e">
        <f>VLOOKUP(A:A,'ITEM LIST'!A:C,3,0)</f>
        <v>#N/A</v>
      </c>
      <c r="D14943" s="6">
        <f t="shared" si="234"/>
        <v>0</v>
      </c>
    </row>
    <row r="14944" spans="3:4" ht="15" x14ac:dyDescent="0.25">
      <c r="C14944" s="8" t="e">
        <f>VLOOKUP(A:A,'ITEM LIST'!A:C,3,0)</f>
        <v>#N/A</v>
      </c>
      <c r="D14944" s="6">
        <f t="shared" si="234"/>
        <v>0</v>
      </c>
    </row>
    <row r="14945" spans="3:4" ht="15" x14ac:dyDescent="0.25">
      <c r="C14945" s="8" t="e">
        <f>VLOOKUP(A:A,'ITEM LIST'!A:C,3,0)</f>
        <v>#N/A</v>
      </c>
      <c r="D14945" s="6">
        <f t="shared" si="234"/>
        <v>0</v>
      </c>
    </row>
    <row r="14946" spans="3:4" ht="15" x14ac:dyDescent="0.25">
      <c r="C14946" s="8" t="e">
        <f>VLOOKUP(A:A,'ITEM LIST'!A:C,3,0)</f>
        <v>#N/A</v>
      </c>
      <c r="D14946" s="6">
        <f t="shared" si="234"/>
        <v>0</v>
      </c>
    </row>
    <row r="14947" spans="3:4" ht="15" x14ac:dyDescent="0.25">
      <c r="C14947" s="8" t="e">
        <f>VLOOKUP(A:A,'ITEM LIST'!A:C,3,0)</f>
        <v>#N/A</v>
      </c>
      <c r="D14947" s="6">
        <f t="shared" si="234"/>
        <v>0</v>
      </c>
    </row>
    <row r="14948" spans="3:4" ht="15" x14ac:dyDescent="0.25">
      <c r="C14948" s="8" t="e">
        <f>VLOOKUP(A:A,'ITEM LIST'!A:C,3,0)</f>
        <v>#N/A</v>
      </c>
      <c r="D14948" s="6">
        <f t="shared" si="234"/>
        <v>0</v>
      </c>
    </row>
    <row r="14949" spans="3:4" ht="15" x14ac:dyDescent="0.25">
      <c r="C14949" s="8" t="e">
        <f>VLOOKUP(A:A,'ITEM LIST'!A:C,3,0)</f>
        <v>#N/A</v>
      </c>
      <c r="D14949" s="6">
        <f t="shared" si="234"/>
        <v>0</v>
      </c>
    </row>
    <row r="14950" spans="3:4" ht="15" x14ac:dyDescent="0.25">
      <c r="C14950" s="8" t="e">
        <f>VLOOKUP(A:A,'ITEM LIST'!A:C,3,0)</f>
        <v>#N/A</v>
      </c>
      <c r="D14950" s="6">
        <f t="shared" si="234"/>
        <v>0</v>
      </c>
    </row>
    <row r="14951" spans="3:4" ht="15" x14ac:dyDescent="0.25">
      <c r="C14951" s="8" t="e">
        <f>VLOOKUP(A:A,'ITEM LIST'!A:C,3,0)</f>
        <v>#N/A</v>
      </c>
      <c r="D14951" s="6">
        <f t="shared" si="234"/>
        <v>0</v>
      </c>
    </row>
    <row r="14952" spans="3:4" ht="15" x14ac:dyDescent="0.25">
      <c r="C14952" s="8" t="e">
        <f>VLOOKUP(A:A,'ITEM LIST'!A:C,3,0)</f>
        <v>#N/A</v>
      </c>
      <c r="D14952" s="6">
        <f t="shared" si="234"/>
        <v>0</v>
      </c>
    </row>
    <row r="14953" spans="3:4" ht="15" x14ac:dyDescent="0.25">
      <c r="C14953" s="8" t="e">
        <f>VLOOKUP(A:A,'ITEM LIST'!A:C,3,0)</f>
        <v>#N/A</v>
      </c>
      <c r="D14953" s="6">
        <f t="shared" si="234"/>
        <v>0</v>
      </c>
    </row>
    <row r="14954" spans="3:4" ht="15" x14ac:dyDescent="0.25">
      <c r="C14954" s="8" t="e">
        <f>VLOOKUP(A:A,'ITEM LIST'!A:C,3,0)</f>
        <v>#N/A</v>
      </c>
      <c r="D14954" s="6">
        <f t="shared" si="234"/>
        <v>0</v>
      </c>
    </row>
    <row r="14955" spans="3:4" ht="15" x14ac:dyDescent="0.25">
      <c r="C14955" s="8" t="e">
        <f>VLOOKUP(A:A,'ITEM LIST'!A:C,3,0)</f>
        <v>#N/A</v>
      </c>
      <c r="D14955" s="6">
        <f t="shared" si="234"/>
        <v>0</v>
      </c>
    </row>
    <row r="14956" spans="3:4" ht="15" x14ac:dyDescent="0.25">
      <c r="C14956" s="8" t="e">
        <f>VLOOKUP(A:A,'ITEM LIST'!A:C,3,0)</f>
        <v>#N/A</v>
      </c>
      <c r="D14956" s="6">
        <f t="shared" si="234"/>
        <v>0</v>
      </c>
    </row>
    <row r="14957" spans="3:4" ht="15" x14ac:dyDescent="0.25">
      <c r="C14957" s="8" t="e">
        <f>VLOOKUP(A:A,'ITEM LIST'!A:C,3,0)</f>
        <v>#N/A</v>
      </c>
      <c r="D14957" s="6">
        <f t="shared" si="234"/>
        <v>0</v>
      </c>
    </row>
    <row r="14958" spans="3:4" ht="15" x14ac:dyDescent="0.25">
      <c r="C14958" s="8" t="e">
        <f>VLOOKUP(A:A,'ITEM LIST'!A:C,3,0)</f>
        <v>#N/A</v>
      </c>
      <c r="D14958" s="6">
        <f t="shared" si="234"/>
        <v>0</v>
      </c>
    </row>
    <row r="14959" spans="3:4" ht="15" x14ac:dyDescent="0.25">
      <c r="C14959" s="8" t="e">
        <f>VLOOKUP(A:A,'ITEM LIST'!A:C,3,0)</f>
        <v>#N/A</v>
      </c>
      <c r="D14959" s="6">
        <f t="shared" si="234"/>
        <v>0</v>
      </c>
    </row>
    <row r="14960" spans="3:4" ht="15" x14ac:dyDescent="0.25">
      <c r="C14960" s="8" t="e">
        <f>VLOOKUP(A:A,'ITEM LIST'!A:C,3,0)</f>
        <v>#N/A</v>
      </c>
      <c r="D14960" s="6">
        <f t="shared" si="234"/>
        <v>0</v>
      </c>
    </row>
    <row r="14961" spans="3:4" ht="15" x14ac:dyDescent="0.25">
      <c r="C14961" s="8" t="e">
        <f>VLOOKUP(A:A,'ITEM LIST'!A:C,3,0)</f>
        <v>#N/A</v>
      </c>
      <c r="D14961" s="6">
        <f t="shared" si="234"/>
        <v>0</v>
      </c>
    </row>
    <row r="14962" spans="3:4" ht="15" x14ac:dyDescent="0.25">
      <c r="C14962" s="8" t="e">
        <f>VLOOKUP(A:A,'ITEM LIST'!A:C,3,0)</f>
        <v>#N/A</v>
      </c>
      <c r="D14962" s="6">
        <f t="shared" si="234"/>
        <v>0</v>
      </c>
    </row>
    <row r="14963" spans="3:4" ht="15" x14ac:dyDescent="0.25">
      <c r="C14963" s="8" t="e">
        <f>VLOOKUP(A:A,'ITEM LIST'!A:C,3,0)</f>
        <v>#N/A</v>
      </c>
      <c r="D14963" s="6">
        <f t="shared" si="234"/>
        <v>0</v>
      </c>
    </row>
    <row r="14964" spans="3:4" ht="15" x14ac:dyDescent="0.25">
      <c r="C14964" s="8" t="e">
        <f>VLOOKUP(A:A,'ITEM LIST'!A:C,3,0)</f>
        <v>#N/A</v>
      </c>
      <c r="D14964" s="6">
        <f t="shared" si="234"/>
        <v>0</v>
      </c>
    </row>
    <row r="14965" spans="3:4" ht="15" x14ac:dyDescent="0.25">
      <c r="C14965" s="8" t="e">
        <f>VLOOKUP(A:A,'ITEM LIST'!A:C,3,0)</f>
        <v>#N/A</v>
      </c>
      <c r="D14965" s="6">
        <f t="shared" si="234"/>
        <v>0</v>
      </c>
    </row>
    <row r="14966" spans="3:4" ht="15" x14ac:dyDescent="0.25">
      <c r="C14966" s="8" t="e">
        <f>VLOOKUP(A:A,'ITEM LIST'!A:C,3,0)</f>
        <v>#N/A</v>
      </c>
      <c r="D14966" s="6">
        <f t="shared" si="234"/>
        <v>0</v>
      </c>
    </row>
    <row r="14967" spans="3:4" ht="15" x14ac:dyDescent="0.25">
      <c r="C14967" s="8" t="e">
        <f>VLOOKUP(A:A,'ITEM LIST'!A:C,3,0)</f>
        <v>#N/A</v>
      </c>
      <c r="D14967" s="6">
        <f t="shared" si="234"/>
        <v>0</v>
      </c>
    </row>
    <row r="14968" spans="3:4" ht="15" x14ac:dyDescent="0.25">
      <c r="C14968" s="8" t="e">
        <f>VLOOKUP(A:A,'ITEM LIST'!A:C,3,0)</f>
        <v>#N/A</v>
      </c>
      <c r="D14968" s="6">
        <f t="shared" si="234"/>
        <v>0</v>
      </c>
    </row>
    <row r="14969" spans="3:4" ht="15" x14ac:dyDescent="0.25">
      <c r="C14969" s="8" t="e">
        <f>VLOOKUP(A:A,'ITEM LIST'!A:C,3,0)</f>
        <v>#N/A</v>
      </c>
      <c r="D14969" s="6">
        <f t="shared" si="234"/>
        <v>0</v>
      </c>
    </row>
    <row r="14970" spans="3:4" ht="15" x14ac:dyDescent="0.25">
      <c r="C14970" s="8" t="e">
        <f>VLOOKUP(A:A,'ITEM LIST'!A:C,3,0)</f>
        <v>#N/A</v>
      </c>
      <c r="D14970" s="6">
        <f t="shared" si="234"/>
        <v>0</v>
      </c>
    </row>
    <row r="14971" spans="3:4" ht="15" x14ac:dyDescent="0.25">
      <c r="C14971" s="8" t="e">
        <f>VLOOKUP(A:A,'ITEM LIST'!A:C,3,0)</f>
        <v>#N/A</v>
      </c>
      <c r="D14971" s="6">
        <f t="shared" si="234"/>
        <v>0</v>
      </c>
    </row>
    <row r="14972" spans="3:4" ht="15" x14ac:dyDescent="0.25">
      <c r="C14972" s="8" t="e">
        <f>VLOOKUP(A:A,'ITEM LIST'!A:C,3,0)</f>
        <v>#N/A</v>
      </c>
      <c r="D14972" s="6">
        <f t="shared" si="234"/>
        <v>0</v>
      </c>
    </row>
    <row r="14973" spans="3:4" ht="15" x14ac:dyDescent="0.25">
      <c r="C14973" s="8" t="e">
        <f>VLOOKUP(A:A,'ITEM LIST'!A:C,3,0)</f>
        <v>#N/A</v>
      </c>
      <c r="D14973" s="6">
        <f t="shared" si="234"/>
        <v>0</v>
      </c>
    </row>
    <row r="14974" spans="3:4" ht="15" x14ac:dyDescent="0.25">
      <c r="C14974" s="8" t="e">
        <f>VLOOKUP(A:A,'ITEM LIST'!A:C,3,0)</f>
        <v>#N/A</v>
      </c>
      <c r="D14974" s="6">
        <f t="shared" si="234"/>
        <v>0</v>
      </c>
    </row>
    <row r="14975" spans="3:4" ht="15" x14ac:dyDescent="0.25">
      <c r="C14975" s="8" t="e">
        <f>VLOOKUP(A:A,'ITEM LIST'!A:C,3,0)</f>
        <v>#N/A</v>
      </c>
      <c r="D14975" s="6">
        <f t="shared" si="234"/>
        <v>0</v>
      </c>
    </row>
    <row r="14976" spans="3:4" ht="15" x14ac:dyDescent="0.25">
      <c r="C14976" s="8" t="e">
        <f>VLOOKUP(A:A,'ITEM LIST'!A:C,3,0)</f>
        <v>#N/A</v>
      </c>
      <c r="D14976" s="6">
        <f t="shared" si="234"/>
        <v>0</v>
      </c>
    </row>
    <row r="14977" spans="3:4" ht="15" x14ac:dyDescent="0.25">
      <c r="C14977" s="8" t="e">
        <f>VLOOKUP(A:A,'ITEM LIST'!A:C,3,0)</f>
        <v>#N/A</v>
      </c>
      <c r="D14977" s="6">
        <f t="shared" si="234"/>
        <v>0</v>
      </c>
    </row>
    <row r="14978" spans="3:4" ht="15" x14ac:dyDescent="0.25">
      <c r="C14978" s="8" t="e">
        <f>VLOOKUP(A:A,'ITEM LIST'!A:C,3,0)</f>
        <v>#N/A</v>
      </c>
      <c r="D14978" s="6">
        <f t="shared" si="234"/>
        <v>0</v>
      </c>
    </row>
    <row r="14979" spans="3:4" ht="15" x14ac:dyDescent="0.25">
      <c r="C14979" s="8" t="e">
        <f>VLOOKUP(A:A,'ITEM LIST'!A:C,3,0)</f>
        <v>#N/A</v>
      </c>
      <c r="D14979" s="6">
        <f t="shared" si="234"/>
        <v>0</v>
      </c>
    </row>
    <row r="14980" spans="3:4" ht="15" x14ac:dyDescent="0.25">
      <c r="C14980" s="8" t="e">
        <f>VLOOKUP(A:A,'ITEM LIST'!A:C,3,0)</f>
        <v>#N/A</v>
      </c>
      <c r="D14980" s="6">
        <f t="shared" si="234"/>
        <v>0</v>
      </c>
    </row>
    <row r="14981" spans="3:4" ht="15" x14ac:dyDescent="0.25">
      <c r="C14981" s="8" t="e">
        <f>VLOOKUP(A:A,'ITEM LIST'!A:C,3,0)</f>
        <v>#N/A</v>
      </c>
      <c r="D14981" s="6">
        <f t="shared" si="234"/>
        <v>0</v>
      </c>
    </row>
    <row r="14982" spans="3:4" ht="15" x14ac:dyDescent="0.25">
      <c r="C14982" s="8" t="e">
        <f>VLOOKUP(A:A,'ITEM LIST'!A:C,3,0)</f>
        <v>#N/A</v>
      </c>
      <c r="D14982" s="6">
        <f t="shared" ref="D14982:D15045" si="235">B14982</f>
        <v>0</v>
      </c>
    </row>
    <row r="14983" spans="3:4" ht="15" x14ac:dyDescent="0.25">
      <c r="C14983" s="8" t="e">
        <f>VLOOKUP(A:A,'ITEM LIST'!A:C,3,0)</f>
        <v>#N/A</v>
      </c>
      <c r="D14983" s="6">
        <f t="shared" si="235"/>
        <v>0</v>
      </c>
    </row>
    <row r="14984" spans="3:4" ht="15" x14ac:dyDescent="0.25">
      <c r="C14984" s="8" t="e">
        <f>VLOOKUP(A:A,'ITEM LIST'!A:C,3,0)</f>
        <v>#N/A</v>
      </c>
      <c r="D14984" s="6">
        <f t="shared" si="235"/>
        <v>0</v>
      </c>
    </row>
    <row r="14985" spans="3:4" ht="15" x14ac:dyDescent="0.25">
      <c r="C14985" s="8" t="e">
        <f>VLOOKUP(A:A,'ITEM LIST'!A:C,3,0)</f>
        <v>#N/A</v>
      </c>
      <c r="D14985" s="6">
        <f t="shared" si="235"/>
        <v>0</v>
      </c>
    </row>
    <row r="14986" spans="3:4" ht="15" x14ac:dyDescent="0.25">
      <c r="C14986" s="8" t="e">
        <f>VLOOKUP(A:A,'ITEM LIST'!A:C,3,0)</f>
        <v>#N/A</v>
      </c>
      <c r="D14986" s="6">
        <f t="shared" si="235"/>
        <v>0</v>
      </c>
    </row>
    <row r="14987" spans="3:4" ht="15" x14ac:dyDescent="0.25">
      <c r="C14987" s="8" t="e">
        <f>VLOOKUP(A:A,'ITEM LIST'!A:C,3,0)</f>
        <v>#N/A</v>
      </c>
      <c r="D14987" s="6">
        <f t="shared" si="235"/>
        <v>0</v>
      </c>
    </row>
    <row r="14988" spans="3:4" ht="15" x14ac:dyDescent="0.25">
      <c r="C14988" s="8" t="e">
        <f>VLOOKUP(A:A,'ITEM LIST'!A:C,3,0)</f>
        <v>#N/A</v>
      </c>
      <c r="D14988" s="6">
        <f t="shared" si="235"/>
        <v>0</v>
      </c>
    </row>
    <row r="14989" spans="3:4" ht="15" x14ac:dyDescent="0.25">
      <c r="C14989" s="8" t="e">
        <f>VLOOKUP(A:A,'ITEM LIST'!A:C,3,0)</f>
        <v>#N/A</v>
      </c>
      <c r="D14989" s="6">
        <f t="shared" si="235"/>
        <v>0</v>
      </c>
    </row>
    <row r="14990" spans="3:4" ht="15" x14ac:dyDescent="0.25">
      <c r="C14990" s="8" t="e">
        <f>VLOOKUP(A:A,'ITEM LIST'!A:C,3,0)</f>
        <v>#N/A</v>
      </c>
      <c r="D14990" s="6">
        <f t="shared" si="235"/>
        <v>0</v>
      </c>
    </row>
    <row r="14991" spans="3:4" ht="15" x14ac:dyDescent="0.25">
      <c r="C14991" s="8" t="e">
        <f>VLOOKUP(A:A,'ITEM LIST'!A:C,3,0)</f>
        <v>#N/A</v>
      </c>
      <c r="D14991" s="6">
        <f t="shared" si="235"/>
        <v>0</v>
      </c>
    </row>
    <row r="14992" spans="3:4" ht="15" x14ac:dyDescent="0.25">
      <c r="C14992" s="8" t="e">
        <f>VLOOKUP(A:A,'ITEM LIST'!A:C,3,0)</f>
        <v>#N/A</v>
      </c>
      <c r="D14992" s="6">
        <f t="shared" si="235"/>
        <v>0</v>
      </c>
    </row>
    <row r="14993" spans="3:4" ht="15" x14ac:dyDescent="0.25">
      <c r="C14993" s="8" t="e">
        <f>VLOOKUP(A:A,'ITEM LIST'!A:C,3,0)</f>
        <v>#N/A</v>
      </c>
      <c r="D14993" s="6">
        <f t="shared" si="235"/>
        <v>0</v>
      </c>
    </row>
    <row r="14994" spans="3:4" ht="15" x14ac:dyDescent="0.25">
      <c r="C14994" s="8" t="e">
        <f>VLOOKUP(A:A,'ITEM LIST'!A:C,3,0)</f>
        <v>#N/A</v>
      </c>
      <c r="D14994" s="6">
        <f t="shared" si="235"/>
        <v>0</v>
      </c>
    </row>
    <row r="14995" spans="3:4" ht="15" x14ac:dyDescent="0.25">
      <c r="C14995" s="8" t="e">
        <f>VLOOKUP(A:A,'ITEM LIST'!A:C,3,0)</f>
        <v>#N/A</v>
      </c>
      <c r="D14995" s="6">
        <f t="shared" si="235"/>
        <v>0</v>
      </c>
    </row>
    <row r="14996" spans="3:4" ht="15" x14ac:dyDescent="0.25">
      <c r="C14996" s="8" t="e">
        <f>VLOOKUP(A:A,'ITEM LIST'!A:C,3,0)</f>
        <v>#N/A</v>
      </c>
      <c r="D14996" s="6">
        <f t="shared" si="235"/>
        <v>0</v>
      </c>
    </row>
    <row r="14997" spans="3:4" ht="15" x14ac:dyDescent="0.25">
      <c r="C14997" s="8" t="e">
        <f>VLOOKUP(A:A,'ITEM LIST'!A:C,3,0)</f>
        <v>#N/A</v>
      </c>
      <c r="D14997" s="6">
        <f t="shared" si="235"/>
        <v>0</v>
      </c>
    </row>
    <row r="14998" spans="3:4" ht="15" x14ac:dyDescent="0.25">
      <c r="C14998" s="8" t="e">
        <f>VLOOKUP(A:A,'ITEM LIST'!A:C,3,0)</f>
        <v>#N/A</v>
      </c>
      <c r="D14998" s="6">
        <f t="shared" si="235"/>
        <v>0</v>
      </c>
    </row>
    <row r="14999" spans="3:4" ht="15" x14ac:dyDescent="0.25">
      <c r="C14999" s="8" t="e">
        <f>VLOOKUP(A:A,'ITEM LIST'!A:C,3,0)</f>
        <v>#N/A</v>
      </c>
      <c r="D14999" s="6">
        <f t="shared" si="235"/>
        <v>0</v>
      </c>
    </row>
    <row r="15000" spans="3:4" ht="15" x14ac:dyDescent="0.25">
      <c r="C15000" s="8" t="e">
        <f>VLOOKUP(A:A,'ITEM LIST'!A:C,3,0)</f>
        <v>#N/A</v>
      </c>
      <c r="D15000" s="6">
        <f t="shared" si="235"/>
        <v>0</v>
      </c>
    </row>
    <row r="15001" spans="3:4" ht="15" x14ac:dyDescent="0.25">
      <c r="C15001" s="8" t="e">
        <f>VLOOKUP(A:A,'ITEM LIST'!A:C,3,0)</f>
        <v>#N/A</v>
      </c>
      <c r="D15001" s="6">
        <f t="shared" si="235"/>
        <v>0</v>
      </c>
    </row>
    <row r="15002" spans="3:4" ht="15" x14ac:dyDescent="0.25">
      <c r="C15002" s="8" t="e">
        <f>VLOOKUP(A:A,'ITEM LIST'!A:C,3,0)</f>
        <v>#N/A</v>
      </c>
      <c r="D15002" s="6">
        <f t="shared" si="235"/>
        <v>0</v>
      </c>
    </row>
    <row r="15003" spans="3:4" ht="15" x14ac:dyDescent="0.25">
      <c r="C15003" s="8" t="e">
        <f>VLOOKUP(A:A,'ITEM LIST'!A:C,3,0)</f>
        <v>#N/A</v>
      </c>
      <c r="D15003" s="6">
        <f t="shared" si="235"/>
        <v>0</v>
      </c>
    </row>
    <row r="15004" spans="3:4" ht="15" x14ac:dyDescent="0.25">
      <c r="C15004" s="8" t="e">
        <f>VLOOKUP(A:A,'ITEM LIST'!A:C,3,0)</f>
        <v>#N/A</v>
      </c>
      <c r="D15004" s="6">
        <f t="shared" si="235"/>
        <v>0</v>
      </c>
    </row>
    <row r="15005" spans="3:4" ht="15" x14ac:dyDescent="0.25">
      <c r="C15005" s="8" t="e">
        <f>VLOOKUP(A:A,'ITEM LIST'!A:C,3,0)</f>
        <v>#N/A</v>
      </c>
      <c r="D15005" s="6">
        <f t="shared" si="235"/>
        <v>0</v>
      </c>
    </row>
    <row r="15006" spans="3:4" ht="15" x14ac:dyDescent="0.25">
      <c r="C15006" s="8" t="e">
        <f>VLOOKUP(A:A,'ITEM LIST'!A:C,3,0)</f>
        <v>#N/A</v>
      </c>
      <c r="D15006" s="6">
        <f t="shared" si="235"/>
        <v>0</v>
      </c>
    </row>
    <row r="15007" spans="3:4" ht="15" x14ac:dyDescent="0.25">
      <c r="C15007" s="8" t="e">
        <f>VLOOKUP(A:A,'ITEM LIST'!A:C,3,0)</f>
        <v>#N/A</v>
      </c>
      <c r="D15007" s="6">
        <f t="shared" si="235"/>
        <v>0</v>
      </c>
    </row>
    <row r="15008" spans="3:4" ht="15" x14ac:dyDescent="0.25">
      <c r="C15008" s="8" t="e">
        <f>VLOOKUP(A:A,'ITEM LIST'!A:C,3,0)</f>
        <v>#N/A</v>
      </c>
      <c r="D15008" s="6">
        <f t="shared" si="235"/>
        <v>0</v>
      </c>
    </row>
    <row r="15009" spans="3:4" ht="15" x14ac:dyDescent="0.25">
      <c r="C15009" s="8" t="e">
        <f>VLOOKUP(A:A,'ITEM LIST'!A:C,3,0)</f>
        <v>#N/A</v>
      </c>
      <c r="D15009" s="6">
        <f t="shared" si="235"/>
        <v>0</v>
      </c>
    </row>
    <row r="15010" spans="3:4" ht="15" x14ac:dyDescent="0.25">
      <c r="C15010" s="8" t="e">
        <f>VLOOKUP(A:A,'ITEM LIST'!A:C,3,0)</f>
        <v>#N/A</v>
      </c>
      <c r="D15010" s="6">
        <f t="shared" si="235"/>
        <v>0</v>
      </c>
    </row>
    <row r="15011" spans="3:4" ht="15" x14ac:dyDescent="0.25">
      <c r="C15011" s="8" t="e">
        <f>VLOOKUP(A:A,'ITEM LIST'!A:C,3,0)</f>
        <v>#N/A</v>
      </c>
      <c r="D15011" s="6">
        <f t="shared" si="235"/>
        <v>0</v>
      </c>
    </row>
    <row r="15012" spans="3:4" ht="15" x14ac:dyDescent="0.25">
      <c r="C15012" s="8" t="e">
        <f>VLOOKUP(A:A,'ITEM LIST'!A:C,3,0)</f>
        <v>#N/A</v>
      </c>
      <c r="D15012" s="6">
        <f t="shared" si="235"/>
        <v>0</v>
      </c>
    </row>
    <row r="15013" spans="3:4" ht="15" x14ac:dyDescent="0.25">
      <c r="C15013" s="8" t="e">
        <f>VLOOKUP(A:A,'ITEM LIST'!A:C,3,0)</f>
        <v>#N/A</v>
      </c>
      <c r="D15013" s="6">
        <f t="shared" si="235"/>
        <v>0</v>
      </c>
    </row>
    <row r="15014" spans="3:4" ht="15" x14ac:dyDescent="0.25">
      <c r="C15014" s="8" t="e">
        <f>VLOOKUP(A:A,'ITEM LIST'!A:C,3,0)</f>
        <v>#N/A</v>
      </c>
      <c r="D15014" s="6">
        <f t="shared" si="235"/>
        <v>0</v>
      </c>
    </row>
    <row r="15015" spans="3:4" ht="15" x14ac:dyDescent="0.25">
      <c r="C15015" s="8" t="e">
        <f>VLOOKUP(A:A,'ITEM LIST'!A:C,3,0)</f>
        <v>#N/A</v>
      </c>
      <c r="D15015" s="6">
        <f t="shared" si="235"/>
        <v>0</v>
      </c>
    </row>
    <row r="15016" spans="3:4" ht="15" x14ac:dyDescent="0.25">
      <c r="C15016" s="8" t="e">
        <f>VLOOKUP(A:A,'ITEM LIST'!A:C,3,0)</f>
        <v>#N/A</v>
      </c>
      <c r="D15016" s="6">
        <f t="shared" si="235"/>
        <v>0</v>
      </c>
    </row>
    <row r="15017" spans="3:4" ht="15" x14ac:dyDescent="0.25">
      <c r="C15017" s="8" t="e">
        <f>VLOOKUP(A:A,'ITEM LIST'!A:C,3,0)</f>
        <v>#N/A</v>
      </c>
      <c r="D15017" s="6">
        <f t="shared" si="235"/>
        <v>0</v>
      </c>
    </row>
    <row r="15018" spans="3:4" ht="15" x14ac:dyDescent="0.25">
      <c r="C15018" s="8" t="e">
        <f>VLOOKUP(A:A,'ITEM LIST'!A:C,3,0)</f>
        <v>#N/A</v>
      </c>
      <c r="D15018" s="6">
        <f t="shared" si="235"/>
        <v>0</v>
      </c>
    </row>
    <row r="15019" spans="3:4" ht="15" x14ac:dyDescent="0.25">
      <c r="C15019" s="8" t="e">
        <f>VLOOKUP(A:A,'ITEM LIST'!A:C,3,0)</f>
        <v>#N/A</v>
      </c>
      <c r="D15019" s="6">
        <f t="shared" si="235"/>
        <v>0</v>
      </c>
    </row>
    <row r="15020" spans="3:4" ht="15" x14ac:dyDescent="0.25">
      <c r="C15020" s="8" t="e">
        <f>VLOOKUP(A:A,'ITEM LIST'!A:C,3,0)</f>
        <v>#N/A</v>
      </c>
      <c r="D15020" s="6">
        <f t="shared" si="235"/>
        <v>0</v>
      </c>
    </row>
    <row r="15021" spans="3:4" ht="15" x14ac:dyDescent="0.25">
      <c r="C15021" s="8" t="e">
        <f>VLOOKUP(A:A,'ITEM LIST'!A:C,3,0)</f>
        <v>#N/A</v>
      </c>
      <c r="D15021" s="6">
        <f t="shared" si="235"/>
        <v>0</v>
      </c>
    </row>
    <row r="15022" spans="3:4" ht="15" x14ac:dyDescent="0.25">
      <c r="C15022" s="8" t="e">
        <f>VLOOKUP(A:A,'ITEM LIST'!A:C,3,0)</f>
        <v>#N/A</v>
      </c>
      <c r="D15022" s="6">
        <f t="shared" si="235"/>
        <v>0</v>
      </c>
    </row>
    <row r="15023" spans="3:4" ht="15" x14ac:dyDescent="0.25">
      <c r="C15023" s="8" t="e">
        <f>VLOOKUP(A:A,'ITEM LIST'!A:C,3,0)</f>
        <v>#N/A</v>
      </c>
      <c r="D15023" s="6">
        <f t="shared" si="235"/>
        <v>0</v>
      </c>
    </row>
    <row r="15024" spans="3:4" ht="15" x14ac:dyDescent="0.25">
      <c r="C15024" s="8" t="e">
        <f>VLOOKUP(A:A,'ITEM LIST'!A:C,3,0)</f>
        <v>#N/A</v>
      </c>
      <c r="D15024" s="6">
        <f t="shared" si="235"/>
        <v>0</v>
      </c>
    </row>
    <row r="15025" spans="3:4" ht="15" x14ac:dyDescent="0.25">
      <c r="C15025" s="8" t="e">
        <f>VLOOKUP(A:A,'ITEM LIST'!A:C,3,0)</f>
        <v>#N/A</v>
      </c>
      <c r="D15025" s="6">
        <f t="shared" si="235"/>
        <v>0</v>
      </c>
    </row>
    <row r="15026" spans="3:4" ht="15" x14ac:dyDescent="0.25">
      <c r="C15026" s="8" t="e">
        <f>VLOOKUP(A:A,'ITEM LIST'!A:C,3,0)</f>
        <v>#N/A</v>
      </c>
      <c r="D15026" s="6">
        <f t="shared" si="235"/>
        <v>0</v>
      </c>
    </row>
    <row r="15027" spans="3:4" ht="15" x14ac:dyDescent="0.25">
      <c r="C15027" s="8" t="e">
        <f>VLOOKUP(A:A,'ITEM LIST'!A:C,3,0)</f>
        <v>#N/A</v>
      </c>
      <c r="D15027" s="6">
        <f t="shared" si="235"/>
        <v>0</v>
      </c>
    </row>
    <row r="15028" spans="3:4" ht="15" x14ac:dyDescent="0.25">
      <c r="C15028" s="8" t="e">
        <f>VLOOKUP(A:A,'ITEM LIST'!A:C,3,0)</f>
        <v>#N/A</v>
      </c>
      <c r="D15028" s="6">
        <f t="shared" si="235"/>
        <v>0</v>
      </c>
    </row>
    <row r="15029" spans="3:4" ht="15" x14ac:dyDescent="0.25">
      <c r="C15029" s="8" t="e">
        <f>VLOOKUP(A:A,'ITEM LIST'!A:C,3,0)</f>
        <v>#N/A</v>
      </c>
      <c r="D15029" s="6">
        <f t="shared" si="235"/>
        <v>0</v>
      </c>
    </row>
    <row r="15030" spans="3:4" ht="15" x14ac:dyDescent="0.25">
      <c r="C15030" s="8" t="e">
        <f>VLOOKUP(A:A,'ITEM LIST'!A:C,3,0)</f>
        <v>#N/A</v>
      </c>
      <c r="D15030" s="6">
        <f t="shared" si="235"/>
        <v>0</v>
      </c>
    </row>
    <row r="15031" spans="3:4" ht="15" x14ac:dyDescent="0.25">
      <c r="C15031" s="8" t="e">
        <f>VLOOKUP(A:A,'ITEM LIST'!A:C,3,0)</f>
        <v>#N/A</v>
      </c>
      <c r="D15031" s="6">
        <f t="shared" si="235"/>
        <v>0</v>
      </c>
    </row>
    <row r="15032" spans="3:4" ht="15" x14ac:dyDescent="0.25">
      <c r="C15032" s="8" t="e">
        <f>VLOOKUP(A:A,'ITEM LIST'!A:C,3,0)</f>
        <v>#N/A</v>
      </c>
      <c r="D15032" s="6">
        <f t="shared" si="235"/>
        <v>0</v>
      </c>
    </row>
    <row r="15033" spans="3:4" ht="15" x14ac:dyDescent="0.25">
      <c r="C15033" s="8" t="e">
        <f>VLOOKUP(A:A,'ITEM LIST'!A:C,3,0)</f>
        <v>#N/A</v>
      </c>
      <c r="D15033" s="6">
        <f t="shared" si="235"/>
        <v>0</v>
      </c>
    </row>
    <row r="15034" spans="3:4" ht="15" x14ac:dyDescent="0.25">
      <c r="C15034" s="8" t="e">
        <f>VLOOKUP(A:A,'ITEM LIST'!A:C,3,0)</f>
        <v>#N/A</v>
      </c>
      <c r="D15034" s="6">
        <f t="shared" si="235"/>
        <v>0</v>
      </c>
    </row>
    <row r="15035" spans="3:4" ht="15" x14ac:dyDescent="0.25">
      <c r="C15035" s="8" t="e">
        <f>VLOOKUP(A:A,'ITEM LIST'!A:C,3,0)</f>
        <v>#N/A</v>
      </c>
      <c r="D15035" s="6">
        <f t="shared" si="235"/>
        <v>0</v>
      </c>
    </row>
    <row r="15036" spans="3:4" ht="15" x14ac:dyDescent="0.25">
      <c r="C15036" s="8" t="e">
        <f>VLOOKUP(A:A,'ITEM LIST'!A:C,3,0)</f>
        <v>#N/A</v>
      </c>
      <c r="D15036" s="6">
        <f t="shared" si="235"/>
        <v>0</v>
      </c>
    </row>
    <row r="15037" spans="3:4" ht="15" x14ac:dyDescent="0.25">
      <c r="C15037" s="8" t="e">
        <f>VLOOKUP(A:A,'ITEM LIST'!A:C,3,0)</f>
        <v>#N/A</v>
      </c>
      <c r="D15037" s="6">
        <f t="shared" si="235"/>
        <v>0</v>
      </c>
    </row>
    <row r="15038" spans="3:4" ht="15" x14ac:dyDescent="0.25">
      <c r="C15038" s="8" t="e">
        <f>VLOOKUP(A:A,'ITEM LIST'!A:C,3,0)</f>
        <v>#N/A</v>
      </c>
      <c r="D15038" s="6">
        <f t="shared" si="235"/>
        <v>0</v>
      </c>
    </row>
    <row r="15039" spans="3:4" ht="15" x14ac:dyDescent="0.25">
      <c r="C15039" s="8" t="e">
        <f>VLOOKUP(A:A,'ITEM LIST'!A:C,3,0)</f>
        <v>#N/A</v>
      </c>
      <c r="D15039" s="6">
        <f t="shared" si="235"/>
        <v>0</v>
      </c>
    </row>
    <row r="15040" spans="3:4" ht="15" x14ac:dyDescent="0.25">
      <c r="C15040" s="8" t="e">
        <f>VLOOKUP(A:A,'ITEM LIST'!A:C,3,0)</f>
        <v>#N/A</v>
      </c>
      <c r="D15040" s="6">
        <f t="shared" si="235"/>
        <v>0</v>
      </c>
    </row>
    <row r="15041" spans="3:4" ht="15" x14ac:dyDescent="0.25">
      <c r="C15041" s="8" t="e">
        <f>VLOOKUP(A:A,'ITEM LIST'!A:C,3,0)</f>
        <v>#N/A</v>
      </c>
      <c r="D15041" s="6">
        <f t="shared" si="235"/>
        <v>0</v>
      </c>
    </row>
    <row r="15042" spans="3:4" ht="15" x14ac:dyDescent="0.25">
      <c r="C15042" s="8" t="e">
        <f>VLOOKUP(A:A,'ITEM LIST'!A:C,3,0)</f>
        <v>#N/A</v>
      </c>
      <c r="D15042" s="6">
        <f t="shared" si="235"/>
        <v>0</v>
      </c>
    </row>
    <row r="15043" spans="3:4" ht="15" x14ac:dyDescent="0.25">
      <c r="C15043" s="8" t="e">
        <f>VLOOKUP(A:A,'ITEM LIST'!A:C,3,0)</f>
        <v>#N/A</v>
      </c>
      <c r="D15043" s="6">
        <f t="shared" si="235"/>
        <v>0</v>
      </c>
    </row>
    <row r="15044" spans="3:4" ht="15" x14ac:dyDescent="0.25">
      <c r="C15044" s="8" t="e">
        <f>VLOOKUP(A:A,'ITEM LIST'!A:C,3,0)</f>
        <v>#N/A</v>
      </c>
      <c r="D15044" s="6">
        <f t="shared" si="235"/>
        <v>0</v>
      </c>
    </row>
    <row r="15045" spans="3:4" ht="15" x14ac:dyDescent="0.25">
      <c r="C15045" s="8" t="e">
        <f>VLOOKUP(A:A,'ITEM LIST'!A:C,3,0)</f>
        <v>#N/A</v>
      </c>
      <c r="D15045" s="6">
        <f t="shared" si="235"/>
        <v>0</v>
      </c>
    </row>
    <row r="15046" spans="3:4" ht="15" x14ac:dyDescent="0.25">
      <c r="C15046" s="8" t="e">
        <f>VLOOKUP(A:A,'ITEM LIST'!A:C,3,0)</f>
        <v>#N/A</v>
      </c>
      <c r="D15046" s="6">
        <f t="shared" ref="D15046:D15109" si="236">B15046</f>
        <v>0</v>
      </c>
    </row>
    <row r="15047" spans="3:4" ht="15" x14ac:dyDescent="0.25">
      <c r="C15047" s="8" t="e">
        <f>VLOOKUP(A:A,'ITEM LIST'!A:C,3,0)</f>
        <v>#N/A</v>
      </c>
      <c r="D15047" s="6">
        <f t="shared" si="236"/>
        <v>0</v>
      </c>
    </row>
    <row r="15048" spans="3:4" ht="15" x14ac:dyDescent="0.25">
      <c r="C15048" s="8" t="e">
        <f>VLOOKUP(A:A,'ITEM LIST'!A:C,3,0)</f>
        <v>#N/A</v>
      </c>
      <c r="D15048" s="6">
        <f t="shared" si="236"/>
        <v>0</v>
      </c>
    </row>
    <row r="15049" spans="3:4" ht="15" x14ac:dyDescent="0.25">
      <c r="C15049" s="8" t="e">
        <f>VLOOKUP(A:A,'ITEM LIST'!A:C,3,0)</f>
        <v>#N/A</v>
      </c>
      <c r="D15049" s="6">
        <f t="shared" si="236"/>
        <v>0</v>
      </c>
    </row>
    <row r="15050" spans="3:4" ht="15" x14ac:dyDescent="0.25">
      <c r="C15050" s="8" t="e">
        <f>VLOOKUP(A:A,'ITEM LIST'!A:C,3,0)</f>
        <v>#N/A</v>
      </c>
      <c r="D15050" s="6">
        <f t="shared" si="236"/>
        <v>0</v>
      </c>
    </row>
    <row r="15051" spans="3:4" ht="15" x14ac:dyDescent="0.25">
      <c r="C15051" s="8" t="e">
        <f>VLOOKUP(A:A,'ITEM LIST'!A:C,3,0)</f>
        <v>#N/A</v>
      </c>
      <c r="D15051" s="6">
        <f t="shared" si="236"/>
        <v>0</v>
      </c>
    </row>
    <row r="15052" spans="3:4" ht="15" x14ac:dyDescent="0.25">
      <c r="C15052" s="8" t="e">
        <f>VLOOKUP(A:A,'ITEM LIST'!A:C,3,0)</f>
        <v>#N/A</v>
      </c>
      <c r="D15052" s="6">
        <f t="shared" si="236"/>
        <v>0</v>
      </c>
    </row>
    <row r="15053" spans="3:4" ht="15" x14ac:dyDescent="0.25">
      <c r="C15053" s="8" t="e">
        <f>VLOOKUP(A:A,'ITEM LIST'!A:C,3,0)</f>
        <v>#N/A</v>
      </c>
      <c r="D15053" s="6">
        <f t="shared" si="236"/>
        <v>0</v>
      </c>
    </row>
    <row r="15054" spans="3:4" ht="15" x14ac:dyDescent="0.25">
      <c r="C15054" s="8" t="e">
        <f>VLOOKUP(A:A,'ITEM LIST'!A:C,3,0)</f>
        <v>#N/A</v>
      </c>
      <c r="D15054" s="6">
        <f t="shared" si="236"/>
        <v>0</v>
      </c>
    </row>
    <row r="15055" spans="3:4" ht="15" x14ac:dyDescent="0.25">
      <c r="C15055" s="8" t="e">
        <f>VLOOKUP(A:A,'ITEM LIST'!A:C,3,0)</f>
        <v>#N/A</v>
      </c>
      <c r="D15055" s="6">
        <f t="shared" si="236"/>
        <v>0</v>
      </c>
    </row>
    <row r="15056" spans="3:4" ht="15" x14ac:dyDescent="0.25">
      <c r="C15056" s="8" t="e">
        <f>VLOOKUP(A:A,'ITEM LIST'!A:C,3,0)</f>
        <v>#N/A</v>
      </c>
      <c r="D15056" s="6">
        <f t="shared" si="236"/>
        <v>0</v>
      </c>
    </row>
    <row r="15057" spans="3:4" ht="15" x14ac:dyDescent="0.25">
      <c r="C15057" s="8" t="e">
        <f>VLOOKUP(A:A,'ITEM LIST'!A:C,3,0)</f>
        <v>#N/A</v>
      </c>
      <c r="D15057" s="6">
        <f t="shared" si="236"/>
        <v>0</v>
      </c>
    </row>
    <row r="15058" spans="3:4" ht="15" x14ac:dyDescent="0.25">
      <c r="C15058" s="8" t="e">
        <f>VLOOKUP(A:A,'ITEM LIST'!A:C,3,0)</f>
        <v>#N/A</v>
      </c>
      <c r="D15058" s="6">
        <f t="shared" si="236"/>
        <v>0</v>
      </c>
    </row>
    <row r="15059" spans="3:4" ht="15" x14ac:dyDescent="0.25">
      <c r="C15059" s="8" t="e">
        <f>VLOOKUP(A:A,'ITEM LIST'!A:C,3,0)</f>
        <v>#N/A</v>
      </c>
      <c r="D15059" s="6">
        <f t="shared" si="236"/>
        <v>0</v>
      </c>
    </row>
    <row r="15060" spans="3:4" ht="15" x14ac:dyDescent="0.25">
      <c r="C15060" s="8" t="e">
        <f>VLOOKUP(A:A,'ITEM LIST'!A:C,3,0)</f>
        <v>#N/A</v>
      </c>
      <c r="D15060" s="6">
        <f t="shared" si="236"/>
        <v>0</v>
      </c>
    </row>
    <row r="15061" spans="3:4" ht="15" x14ac:dyDescent="0.25">
      <c r="C15061" s="8" t="e">
        <f>VLOOKUP(A:A,'ITEM LIST'!A:C,3,0)</f>
        <v>#N/A</v>
      </c>
      <c r="D15061" s="6">
        <f t="shared" si="236"/>
        <v>0</v>
      </c>
    </row>
    <row r="15062" spans="3:4" ht="15" x14ac:dyDescent="0.25">
      <c r="C15062" s="8" t="e">
        <f>VLOOKUP(A:A,'ITEM LIST'!A:C,3,0)</f>
        <v>#N/A</v>
      </c>
      <c r="D15062" s="6">
        <f t="shared" si="236"/>
        <v>0</v>
      </c>
    </row>
    <row r="15063" spans="3:4" ht="15" x14ac:dyDescent="0.25">
      <c r="C15063" s="8" t="e">
        <f>VLOOKUP(A:A,'ITEM LIST'!A:C,3,0)</f>
        <v>#N/A</v>
      </c>
      <c r="D15063" s="6">
        <f t="shared" si="236"/>
        <v>0</v>
      </c>
    </row>
    <row r="15064" spans="3:4" ht="15" x14ac:dyDescent="0.25">
      <c r="C15064" s="8" t="e">
        <f>VLOOKUP(A:A,'ITEM LIST'!A:C,3,0)</f>
        <v>#N/A</v>
      </c>
      <c r="D15064" s="6">
        <f t="shared" si="236"/>
        <v>0</v>
      </c>
    </row>
    <row r="15065" spans="3:4" ht="15" x14ac:dyDescent="0.25">
      <c r="C15065" s="8" t="e">
        <f>VLOOKUP(A:A,'ITEM LIST'!A:C,3,0)</f>
        <v>#N/A</v>
      </c>
      <c r="D15065" s="6">
        <f t="shared" si="236"/>
        <v>0</v>
      </c>
    </row>
    <row r="15066" spans="3:4" ht="15" x14ac:dyDescent="0.25">
      <c r="C15066" s="8" t="e">
        <f>VLOOKUP(A:A,'ITEM LIST'!A:C,3,0)</f>
        <v>#N/A</v>
      </c>
      <c r="D15066" s="6">
        <f t="shared" si="236"/>
        <v>0</v>
      </c>
    </row>
    <row r="15067" spans="3:4" ht="15" x14ac:dyDescent="0.25">
      <c r="C15067" s="8" t="e">
        <f>VLOOKUP(A:A,'ITEM LIST'!A:C,3,0)</f>
        <v>#N/A</v>
      </c>
      <c r="D15067" s="6">
        <f t="shared" si="236"/>
        <v>0</v>
      </c>
    </row>
    <row r="15068" spans="3:4" ht="15" x14ac:dyDescent="0.25">
      <c r="C15068" s="8" t="e">
        <f>VLOOKUP(A:A,'ITEM LIST'!A:C,3,0)</f>
        <v>#N/A</v>
      </c>
      <c r="D15068" s="6">
        <f t="shared" si="236"/>
        <v>0</v>
      </c>
    </row>
    <row r="15069" spans="3:4" ht="15" x14ac:dyDescent="0.25">
      <c r="C15069" s="8" t="e">
        <f>VLOOKUP(A:A,'ITEM LIST'!A:C,3,0)</f>
        <v>#N/A</v>
      </c>
      <c r="D15069" s="6">
        <f t="shared" si="236"/>
        <v>0</v>
      </c>
    </row>
    <row r="15070" spans="3:4" ht="15" x14ac:dyDescent="0.25">
      <c r="C15070" s="8" t="e">
        <f>VLOOKUP(A:A,'ITEM LIST'!A:C,3,0)</f>
        <v>#N/A</v>
      </c>
      <c r="D15070" s="6">
        <f t="shared" si="236"/>
        <v>0</v>
      </c>
    </row>
    <row r="15071" spans="3:4" ht="15" x14ac:dyDescent="0.25">
      <c r="C15071" s="8" t="e">
        <f>VLOOKUP(A:A,'ITEM LIST'!A:C,3,0)</f>
        <v>#N/A</v>
      </c>
      <c r="D15071" s="6">
        <f t="shared" si="236"/>
        <v>0</v>
      </c>
    </row>
    <row r="15072" spans="3:4" ht="15" x14ac:dyDescent="0.25">
      <c r="C15072" s="8" t="e">
        <f>VLOOKUP(A:A,'ITEM LIST'!A:C,3,0)</f>
        <v>#N/A</v>
      </c>
      <c r="D15072" s="6">
        <f t="shared" si="236"/>
        <v>0</v>
      </c>
    </row>
    <row r="15073" spans="3:4" ht="15" x14ac:dyDescent="0.25">
      <c r="C15073" s="8" t="e">
        <f>VLOOKUP(A:A,'ITEM LIST'!A:C,3,0)</f>
        <v>#N/A</v>
      </c>
      <c r="D15073" s="6">
        <f t="shared" si="236"/>
        <v>0</v>
      </c>
    </row>
    <row r="15074" spans="3:4" ht="15" x14ac:dyDescent="0.25">
      <c r="C15074" s="8" t="e">
        <f>VLOOKUP(A:A,'ITEM LIST'!A:C,3,0)</f>
        <v>#N/A</v>
      </c>
      <c r="D15074" s="6">
        <f t="shared" si="236"/>
        <v>0</v>
      </c>
    </row>
    <row r="15075" spans="3:4" ht="15" x14ac:dyDescent="0.25">
      <c r="C15075" s="8" t="e">
        <f>VLOOKUP(A:A,'ITEM LIST'!A:C,3,0)</f>
        <v>#N/A</v>
      </c>
      <c r="D15075" s="6">
        <f t="shared" si="236"/>
        <v>0</v>
      </c>
    </row>
    <row r="15076" spans="3:4" ht="15" x14ac:dyDescent="0.25">
      <c r="C15076" s="8" t="e">
        <f>VLOOKUP(A:A,'ITEM LIST'!A:C,3,0)</f>
        <v>#N/A</v>
      </c>
      <c r="D15076" s="6">
        <f t="shared" si="236"/>
        <v>0</v>
      </c>
    </row>
    <row r="15077" spans="3:4" ht="15" x14ac:dyDescent="0.25">
      <c r="C15077" s="8" t="e">
        <f>VLOOKUP(A:A,'ITEM LIST'!A:C,3,0)</f>
        <v>#N/A</v>
      </c>
      <c r="D15077" s="6">
        <f t="shared" si="236"/>
        <v>0</v>
      </c>
    </row>
    <row r="15078" spans="3:4" ht="15" x14ac:dyDescent="0.25">
      <c r="C15078" s="8" t="e">
        <f>VLOOKUP(A:A,'ITEM LIST'!A:C,3,0)</f>
        <v>#N/A</v>
      </c>
      <c r="D15078" s="6">
        <f t="shared" si="236"/>
        <v>0</v>
      </c>
    </row>
    <row r="15079" spans="3:4" ht="15" x14ac:dyDescent="0.25">
      <c r="C15079" s="8" t="e">
        <f>VLOOKUP(A:A,'ITEM LIST'!A:C,3,0)</f>
        <v>#N/A</v>
      </c>
      <c r="D15079" s="6">
        <f t="shared" si="236"/>
        <v>0</v>
      </c>
    </row>
    <row r="15080" spans="3:4" ht="15" x14ac:dyDescent="0.25">
      <c r="C15080" s="8" t="e">
        <f>VLOOKUP(A:A,'ITEM LIST'!A:C,3,0)</f>
        <v>#N/A</v>
      </c>
      <c r="D15080" s="6">
        <f t="shared" si="236"/>
        <v>0</v>
      </c>
    </row>
    <row r="15081" spans="3:4" ht="15" x14ac:dyDescent="0.25">
      <c r="C15081" s="8" t="e">
        <f>VLOOKUP(A:A,'ITEM LIST'!A:C,3,0)</f>
        <v>#N/A</v>
      </c>
      <c r="D15081" s="6">
        <f t="shared" si="236"/>
        <v>0</v>
      </c>
    </row>
    <row r="15082" spans="3:4" ht="15" x14ac:dyDescent="0.25">
      <c r="C15082" s="8" t="e">
        <f>VLOOKUP(A:A,'ITEM LIST'!A:C,3,0)</f>
        <v>#N/A</v>
      </c>
      <c r="D15082" s="6">
        <f t="shared" si="236"/>
        <v>0</v>
      </c>
    </row>
    <row r="15083" spans="3:4" ht="15" x14ac:dyDescent="0.25">
      <c r="C15083" s="8" t="e">
        <f>VLOOKUP(A:A,'ITEM LIST'!A:C,3,0)</f>
        <v>#N/A</v>
      </c>
      <c r="D15083" s="6">
        <f t="shared" si="236"/>
        <v>0</v>
      </c>
    </row>
    <row r="15084" spans="3:4" ht="15" x14ac:dyDescent="0.25">
      <c r="C15084" s="8" t="e">
        <f>VLOOKUP(A:A,'ITEM LIST'!A:C,3,0)</f>
        <v>#N/A</v>
      </c>
      <c r="D15084" s="6">
        <f t="shared" si="236"/>
        <v>0</v>
      </c>
    </row>
    <row r="15085" spans="3:4" ht="15" x14ac:dyDescent="0.25">
      <c r="C15085" s="8" t="e">
        <f>VLOOKUP(A:A,'ITEM LIST'!A:C,3,0)</f>
        <v>#N/A</v>
      </c>
      <c r="D15085" s="6">
        <f t="shared" si="236"/>
        <v>0</v>
      </c>
    </row>
    <row r="15086" spans="3:4" ht="15" x14ac:dyDescent="0.25">
      <c r="C15086" s="8" t="e">
        <f>VLOOKUP(A:A,'ITEM LIST'!A:C,3,0)</f>
        <v>#N/A</v>
      </c>
      <c r="D15086" s="6">
        <f t="shared" si="236"/>
        <v>0</v>
      </c>
    </row>
    <row r="15087" spans="3:4" ht="15" x14ac:dyDescent="0.25">
      <c r="C15087" s="8" t="e">
        <f>VLOOKUP(A:A,'ITEM LIST'!A:C,3,0)</f>
        <v>#N/A</v>
      </c>
      <c r="D15087" s="6">
        <f t="shared" si="236"/>
        <v>0</v>
      </c>
    </row>
    <row r="15088" spans="3:4" ht="15" x14ac:dyDescent="0.25">
      <c r="C15088" s="8" t="e">
        <f>VLOOKUP(A:A,'ITEM LIST'!A:C,3,0)</f>
        <v>#N/A</v>
      </c>
      <c r="D15088" s="6">
        <f t="shared" si="236"/>
        <v>0</v>
      </c>
    </row>
    <row r="15089" spans="3:4" ht="15" x14ac:dyDescent="0.25">
      <c r="C15089" s="8" t="e">
        <f>VLOOKUP(A:A,'ITEM LIST'!A:C,3,0)</f>
        <v>#N/A</v>
      </c>
      <c r="D15089" s="6">
        <f t="shared" si="236"/>
        <v>0</v>
      </c>
    </row>
    <row r="15090" spans="3:4" ht="15" x14ac:dyDescent="0.25">
      <c r="C15090" s="8" t="e">
        <f>VLOOKUP(A:A,'ITEM LIST'!A:C,3,0)</f>
        <v>#N/A</v>
      </c>
      <c r="D15090" s="6">
        <f t="shared" si="236"/>
        <v>0</v>
      </c>
    </row>
    <row r="15091" spans="3:4" ht="15" x14ac:dyDescent="0.25">
      <c r="C15091" s="8" t="e">
        <f>VLOOKUP(A:A,'ITEM LIST'!A:C,3,0)</f>
        <v>#N/A</v>
      </c>
      <c r="D15091" s="6">
        <f t="shared" si="236"/>
        <v>0</v>
      </c>
    </row>
    <row r="15092" spans="3:4" ht="15" x14ac:dyDescent="0.25">
      <c r="C15092" s="8" t="e">
        <f>VLOOKUP(A:A,'ITEM LIST'!A:C,3,0)</f>
        <v>#N/A</v>
      </c>
      <c r="D15092" s="6">
        <f t="shared" si="236"/>
        <v>0</v>
      </c>
    </row>
    <row r="15093" spans="3:4" ht="15" x14ac:dyDescent="0.25">
      <c r="C15093" s="8" t="e">
        <f>VLOOKUP(A:A,'ITEM LIST'!A:C,3,0)</f>
        <v>#N/A</v>
      </c>
      <c r="D15093" s="6">
        <f t="shared" si="236"/>
        <v>0</v>
      </c>
    </row>
    <row r="15094" spans="3:4" ht="15" x14ac:dyDescent="0.25">
      <c r="C15094" s="8" t="e">
        <f>VLOOKUP(A:A,'ITEM LIST'!A:C,3,0)</f>
        <v>#N/A</v>
      </c>
      <c r="D15094" s="6">
        <f t="shared" si="236"/>
        <v>0</v>
      </c>
    </row>
    <row r="15095" spans="3:4" ht="15" x14ac:dyDescent="0.25">
      <c r="C15095" s="8" t="e">
        <f>VLOOKUP(A:A,'ITEM LIST'!A:C,3,0)</f>
        <v>#N/A</v>
      </c>
      <c r="D15095" s="6">
        <f t="shared" si="236"/>
        <v>0</v>
      </c>
    </row>
    <row r="15096" spans="3:4" ht="15" x14ac:dyDescent="0.25">
      <c r="C15096" s="8" t="e">
        <f>VLOOKUP(A:A,'ITEM LIST'!A:C,3,0)</f>
        <v>#N/A</v>
      </c>
      <c r="D15096" s="6">
        <f t="shared" si="236"/>
        <v>0</v>
      </c>
    </row>
    <row r="15097" spans="3:4" ht="15" x14ac:dyDescent="0.25">
      <c r="C15097" s="8" t="e">
        <f>VLOOKUP(A:A,'ITEM LIST'!A:C,3,0)</f>
        <v>#N/A</v>
      </c>
      <c r="D15097" s="6">
        <f t="shared" si="236"/>
        <v>0</v>
      </c>
    </row>
    <row r="15098" spans="3:4" ht="15" x14ac:dyDescent="0.25">
      <c r="C15098" s="8" t="e">
        <f>VLOOKUP(A:A,'ITEM LIST'!A:C,3,0)</f>
        <v>#N/A</v>
      </c>
      <c r="D15098" s="6">
        <f t="shared" si="236"/>
        <v>0</v>
      </c>
    </row>
    <row r="15099" spans="3:4" ht="15" x14ac:dyDescent="0.25">
      <c r="C15099" s="8" t="e">
        <f>VLOOKUP(A:A,'ITEM LIST'!A:C,3,0)</f>
        <v>#N/A</v>
      </c>
      <c r="D15099" s="6">
        <f t="shared" si="236"/>
        <v>0</v>
      </c>
    </row>
    <row r="15100" spans="3:4" ht="15" x14ac:dyDescent="0.25">
      <c r="C15100" s="8" t="e">
        <f>VLOOKUP(A:A,'ITEM LIST'!A:C,3,0)</f>
        <v>#N/A</v>
      </c>
      <c r="D15100" s="6">
        <f t="shared" si="236"/>
        <v>0</v>
      </c>
    </row>
    <row r="15101" spans="3:4" ht="15" x14ac:dyDescent="0.25">
      <c r="C15101" s="8" t="e">
        <f>VLOOKUP(A:A,'ITEM LIST'!A:C,3,0)</f>
        <v>#N/A</v>
      </c>
      <c r="D15101" s="6">
        <f t="shared" si="236"/>
        <v>0</v>
      </c>
    </row>
    <row r="15102" spans="3:4" ht="15" x14ac:dyDescent="0.25">
      <c r="C15102" s="8" t="e">
        <f>VLOOKUP(A:A,'ITEM LIST'!A:C,3,0)</f>
        <v>#N/A</v>
      </c>
      <c r="D15102" s="6">
        <f t="shared" si="236"/>
        <v>0</v>
      </c>
    </row>
    <row r="15103" spans="3:4" ht="15" x14ac:dyDescent="0.25">
      <c r="C15103" s="8" t="e">
        <f>VLOOKUP(A:A,'ITEM LIST'!A:C,3,0)</f>
        <v>#N/A</v>
      </c>
      <c r="D15103" s="6">
        <f t="shared" si="236"/>
        <v>0</v>
      </c>
    </row>
    <row r="15104" spans="3:4" ht="15" x14ac:dyDescent="0.25">
      <c r="C15104" s="8" t="e">
        <f>VLOOKUP(A:A,'ITEM LIST'!A:C,3,0)</f>
        <v>#N/A</v>
      </c>
      <c r="D15104" s="6">
        <f t="shared" si="236"/>
        <v>0</v>
      </c>
    </row>
    <row r="15105" spans="3:4" ht="15" x14ac:dyDescent="0.25">
      <c r="C15105" s="8" t="e">
        <f>VLOOKUP(A:A,'ITEM LIST'!A:C,3,0)</f>
        <v>#N/A</v>
      </c>
      <c r="D15105" s="6">
        <f t="shared" si="236"/>
        <v>0</v>
      </c>
    </row>
    <row r="15106" spans="3:4" ht="15" x14ac:dyDescent="0.25">
      <c r="C15106" s="8" t="e">
        <f>VLOOKUP(A:A,'ITEM LIST'!A:C,3,0)</f>
        <v>#N/A</v>
      </c>
      <c r="D15106" s="6">
        <f t="shared" si="236"/>
        <v>0</v>
      </c>
    </row>
    <row r="15107" spans="3:4" ht="15" x14ac:dyDescent="0.25">
      <c r="C15107" s="8" t="e">
        <f>VLOOKUP(A:A,'ITEM LIST'!A:C,3,0)</f>
        <v>#N/A</v>
      </c>
      <c r="D15107" s="6">
        <f t="shared" si="236"/>
        <v>0</v>
      </c>
    </row>
    <row r="15108" spans="3:4" ht="15" x14ac:dyDescent="0.25">
      <c r="C15108" s="8" t="e">
        <f>VLOOKUP(A:A,'ITEM LIST'!A:C,3,0)</f>
        <v>#N/A</v>
      </c>
      <c r="D15108" s="6">
        <f t="shared" si="236"/>
        <v>0</v>
      </c>
    </row>
    <row r="15109" spans="3:4" ht="15" x14ac:dyDescent="0.25">
      <c r="C15109" s="8" t="e">
        <f>VLOOKUP(A:A,'ITEM LIST'!A:C,3,0)</f>
        <v>#N/A</v>
      </c>
      <c r="D15109" s="6">
        <f t="shared" si="236"/>
        <v>0</v>
      </c>
    </row>
    <row r="15110" spans="3:4" ht="15" x14ac:dyDescent="0.25">
      <c r="C15110" s="8" t="e">
        <f>VLOOKUP(A:A,'ITEM LIST'!A:C,3,0)</f>
        <v>#N/A</v>
      </c>
      <c r="D15110" s="6">
        <f t="shared" ref="D15110:D15173" si="237">B15110</f>
        <v>0</v>
      </c>
    </row>
    <row r="15111" spans="3:4" ht="15" x14ac:dyDescent="0.25">
      <c r="C15111" s="8" t="e">
        <f>VLOOKUP(A:A,'ITEM LIST'!A:C,3,0)</f>
        <v>#N/A</v>
      </c>
      <c r="D15111" s="6">
        <f t="shared" si="237"/>
        <v>0</v>
      </c>
    </row>
    <row r="15112" spans="3:4" ht="15" x14ac:dyDescent="0.25">
      <c r="C15112" s="8" t="e">
        <f>VLOOKUP(A:A,'ITEM LIST'!A:C,3,0)</f>
        <v>#N/A</v>
      </c>
      <c r="D15112" s="6">
        <f t="shared" si="237"/>
        <v>0</v>
      </c>
    </row>
    <row r="15113" spans="3:4" ht="15" x14ac:dyDescent="0.25">
      <c r="C15113" s="8" t="e">
        <f>VLOOKUP(A:A,'ITEM LIST'!A:C,3,0)</f>
        <v>#N/A</v>
      </c>
      <c r="D15113" s="6">
        <f t="shared" si="237"/>
        <v>0</v>
      </c>
    </row>
    <row r="15114" spans="3:4" ht="15" x14ac:dyDescent="0.25">
      <c r="C15114" s="8" t="e">
        <f>VLOOKUP(A:A,'ITEM LIST'!A:C,3,0)</f>
        <v>#N/A</v>
      </c>
      <c r="D15114" s="6">
        <f t="shared" si="237"/>
        <v>0</v>
      </c>
    </row>
    <row r="15115" spans="3:4" ht="15" x14ac:dyDescent="0.25">
      <c r="C15115" s="8" t="e">
        <f>VLOOKUP(A:A,'ITEM LIST'!A:C,3,0)</f>
        <v>#N/A</v>
      </c>
      <c r="D15115" s="6">
        <f t="shared" si="237"/>
        <v>0</v>
      </c>
    </row>
    <row r="15116" spans="3:4" ht="15" x14ac:dyDescent="0.25">
      <c r="C15116" s="8" t="e">
        <f>VLOOKUP(A:A,'ITEM LIST'!A:C,3,0)</f>
        <v>#N/A</v>
      </c>
      <c r="D15116" s="6">
        <f t="shared" si="237"/>
        <v>0</v>
      </c>
    </row>
    <row r="15117" spans="3:4" ht="15" x14ac:dyDescent="0.25">
      <c r="C15117" s="8" t="e">
        <f>VLOOKUP(A:A,'ITEM LIST'!A:C,3,0)</f>
        <v>#N/A</v>
      </c>
      <c r="D15117" s="6">
        <f t="shared" si="237"/>
        <v>0</v>
      </c>
    </row>
    <row r="15118" spans="3:4" ht="15" x14ac:dyDescent="0.25">
      <c r="C15118" s="8" t="e">
        <f>VLOOKUP(A:A,'ITEM LIST'!A:C,3,0)</f>
        <v>#N/A</v>
      </c>
      <c r="D15118" s="6">
        <f t="shared" si="237"/>
        <v>0</v>
      </c>
    </row>
    <row r="15119" spans="3:4" ht="15" x14ac:dyDescent="0.25">
      <c r="C15119" s="8" t="e">
        <f>VLOOKUP(A:A,'ITEM LIST'!A:C,3,0)</f>
        <v>#N/A</v>
      </c>
      <c r="D15119" s="6">
        <f t="shared" si="237"/>
        <v>0</v>
      </c>
    </row>
    <row r="15120" spans="3:4" ht="15" x14ac:dyDescent="0.25">
      <c r="C15120" s="8" t="e">
        <f>VLOOKUP(A:A,'ITEM LIST'!A:C,3,0)</f>
        <v>#N/A</v>
      </c>
      <c r="D15120" s="6">
        <f t="shared" si="237"/>
        <v>0</v>
      </c>
    </row>
    <row r="15121" spans="3:4" ht="15" x14ac:dyDescent="0.25">
      <c r="C15121" s="8" t="e">
        <f>VLOOKUP(A:A,'ITEM LIST'!A:C,3,0)</f>
        <v>#N/A</v>
      </c>
      <c r="D15121" s="6">
        <f t="shared" si="237"/>
        <v>0</v>
      </c>
    </row>
    <row r="15122" spans="3:4" ht="15" x14ac:dyDescent="0.25">
      <c r="C15122" s="8" t="e">
        <f>VLOOKUP(A:A,'ITEM LIST'!A:C,3,0)</f>
        <v>#N/A</v>
      </c>
      <c r="D15122" s="6">
        <f t="shared" si="237"/>
        <v>0</v>
      </c>
    </row>
    <row r="15123" spans="3:4" ht="15" x14ac:dyDescent="0.25">
      <c r="C15123" s="8" t="e">
        <f>VLOOKUP(A:A,'ITEM LIST'!A:C,3,0)</f>
        <v>#N/A</v>
      </c>
      <c r="D15123" s="6">
        <f t="shared" si="237"/>
        <v>0</v>
      </c>
    </row>
    <row r="15124" spans="3:4" ht="15" x14ac:dyDescent="0.25">
      <c r="C15124" s="8" t="e">
        <f>VLOOKUP(A:A,'ITEM LIST'!A:C,3,0)</f>
        <v>#N/A</v>
      </c>
      <c r="D15124" s="6">
        <f t="shared" si="237"/>
        <v>0</v>
      </c>
    </row>
    <row r="15125" spans="3:4" ht="15" x14ac:dyDescent="0.25">
      <c r="C15125" s="8" t="e">
        <f>VLOOKUP(A:A,'ITEM LIST'!A:C,3,0)</f>
        <v>#N/A</v>
      </c>
      <c r="D15125" s="6">
        <f t="shared" si="237"/>
        <v>0</v>
      </c>
    </row>
    <row r="15126" spans="3:4" ht="15" x14ac:dyDescent="0.25">
      <c r="C15126" s="8" t="e">
        <f>VLOOKUP(A:A,'ITEM LIST'!A:C,3,0)</f>
        <v>#N/A</v>
      </c>
      <c r="D15126" s="6">
        <f t="shared" si="237"/>
        <v>0</v>
      </c>
    </row>
    <row r="15127" spans="3:4" ht="15" x14ac:dyDescent="0.25">
      <c r="C15127" s="8" t="e">
        <f>VLOOKUP(A:A,'ITEM LIST'!A:C,3,0)</f>
        <v>#N/A</v>
      </c>
      <c r="D15127" s="6">
        <f t="shared" si="237"/>
        <v>0</v>
      </c>
    </row>
    <row r="15128" spans="3:4" ht="15" x14ac:dyDescent="0.25">
      <c r="C15128" s="8" t="e">
        <f>VLOOKUP(A:A,'ITEM LIST'!A:C,3,0)</f>
        <v>#N/A</v>
      </c>
      <c r="D15128" s="6">
        <f t="shared" si="237"/>
        <v>0</v>
      </c>
    </row>
    <row r="15129" spans="3:4" ht="15" x14ac:dyDescent="0.25">
      <c r="C15129" s="8" t="e">
        <f>VLOOKUP(A:A,'ITEM LIST'!A:C,3,0)</f>
        <v>#N/A</v>
      </c>
      <c r="D15129" s="6">
        <f t="shared" si="237"/>
        <v>0</v>
      </c>
    </row>
    <row r="15130" spans="3:4" ht="15" x14ac:dyDescent="0.25">
      <c r="C15130" s="8" t="e">
        <f>VLOOKUP(A:A,'ITEM LIST'!A:C,3,0)</f>
        <v>#N/A</v>
      </c>
      <c r="D15130" s="6">
        <f t="shared" si="237"/>
        <v>0</v>
      </c>
    </row>
    <row r="15131" spans="3:4" ht="15" x14ac:dyDescent="0.25">
      <c r="C15131" s="8" t="e">
        <f>VLOOKUP(A:A,'ITEM LIST'!A:C,3,0)</f>
        <v>#N/A</v>
      </c>
      <c r="D15131" s="6">
        <f t="shared" si="237"/>
        <v>0</v>
      </c>
    </row>
    <row r="15132" spans="3:4" ht="15" x14ac:dyDescent="0.25">
      <c r="C15132" s="8" t="e">
        <f>VLOOKUP(A:A,'ITEM LIST'!A:C,3,0)</f>
        <v>#N/A</v>
      </c>
      <c r="D15132" s="6">
        <f t="shared" si="237"/>
        <v>0</v>
      </c>
    </row>
    <row r="15133" spans="3:4" ht="15" x14ac:dyDescent="0.25">
      <c r="C15133" s="8" t="e">
        <f>VLOOKUP(A:A,'ITEM LIST'!A:C,3,0)</f>
        <v>#N/A</v>
      </c>
      <c r="D15133" s="6">
        <f t="shared" si="237"/>
        <v>0</v>
      </c>
    </row>
    <row r="15134" spans="3:4" ht="15" x14ac:dyDescent="0.25">
      <c r="C15134" s="8" t="e">
        <f>VLOOKUP(A:A,'ITEM LIST'!A:C,3,0)</f>
        <v>#N/A</v>
      </c>
      <c r="D15134" s="6">
        <f t="shared" si="237"/>
        <v>0</v>
      </c>
    </row>
    <row r="15135" spans="3:4" ht="15" x14ac:dyDescent="0.25">
      <c r="C15135" s="8" t="e">
        <f>VLOOKUP(A:A,'ITEM LIST'!A:C,3,0)</f>
        <v>#N/A</v>
      </c>
      <c r="D15135" s="6">
        <f t="shared" si="237"/>
        <v>0</v>
      </c>
    </row>
    <row r="15136" spans="3:4" ht="15" x14ac:dyDescent="0.25">
      <c r="C15136" s="8" t="e">
        <f>VLOOKUP(A:A,'ITEM LIST'!A:C,3,0)</f>
        <v>#N/A</v>
      </c>
      <c r="D15136" s="6">
        <f t="shared" si="237"/>
        <v>0</v>
      </c>
    </row>
    <row r="15137" spans="3:4" ht="15" x14ac:dyDescent="0.25">
      <c r="C15137" s="8" t="e">
        <f>VLOOKUP(A:A,'ITEM LIST'!A:C,3,0)</f>
        <v>#N/A</v>
      </c>
      <c r="D15137" s="6">
        <f t="shared" si="237"/>
        <v>0</v>
      </c>
    </row>
    <row r="15138" spans="3:4" ht="15" x14ac:dyDescent="0.25">
      <c r="C15138" s="8" t="e">
        <f>VLOOKUP(A:A,'ITEM LIST'!A:C,3,0)</f>
        <v>#N/A</v>
      </c>
      <c r="D15138" s="6">
        <f t="shared" si="237"/>
        <v>0</v>
      </c>
    </row>
    <row r="15139" spans="3:4" ht="15" x14ac:dyDescent="0.25">
      <c r="C15139" s="8" t="e">
        <f>VLOOKUP(A:A,'ITEM LIST'!A:C,3,0)</f>
        <v>#N/A</v>
      </c>
      <c r="D15139" s="6">
        <f t="shared" si="237"/>
        <v>0</v>
      </c>
    </row>
    <row r="15140" spans="3:4" ht="15" x14ac:dyDescent="0.25">
      <c r="C15140" s="8" t="e">
        <f>VLOOKUP(A:A,'ITEM LIST'!A:C,3,0)</f>
        <v>#N/A</v>
      </c>
      <c r="D15140" s="6">
        <f t="shared" si="237"/>
        <v>0</v>
      </c>
    </row>
    <row r="15141" spans="3:4" ht="15" x14ac:dyDescent="0.25">
      <c r="C15141" s="8" t="e">
        <f>VLOOKUP(A:A,'ITEM LIST'!A:C,3,0)</f>
        <v>#N/A</v>
      </c>
      <c r="D15141" s="6">
        <f t="shared" si="237"/>
        <v>0</v>
      </c>
    </row>
    <row r="15142" spans="3:4" ht="15" x14ac:dyDescent="0.25">
      <c r="C15142" s="8" t="e">
        <f>VLOOKUP(A:A,'ITEM LIST'!A:C,3,0)</f>
        <v>#N/A</v>
      </c>
      <c r="D15142" s="6">
        <f t="shared" si="237"/>
        <v>0</v>
      </c>
    </row>
    <row r="15143" spans="3:4" ht="15" x14ac:dyDescent="0.25">
      <c r="C15143" s="8" t="e">
        <f>VLOOKUP(A:A,'ITEM LIST'!A:C,3,0)</f>
        <v>#N/A</v>
      </c>
      <c r="D15143" s="6">
        <f t="shared" si="237"/>
        <v>0</v>
      </c>
    </row>
    <row r="15144" spans="3:4" ht="15" x14ac:dyDescent="0.25">
      <c r="C15144" s="8" t="e">
        <f>VLOOKUP(A:A,'ITEM LIST'!A:C,3,0)</f>
        <v>#N/A</v>
      </c>
      <c r="D15144" s="6">
        <f t="shared" si="237"/>
        <v>0</v>
      </c>
    </row>
    <row r="15145" spans="3:4" ht="15" x14ac:dyDescent="0.25">
      <c r="C15145" s="8" t="e">
        <f>VLOOKUP(A:A,'ITEM LIST'!A:C,3,0)</f>
        <v>#N/A</v>
      </c>
      <c r="D15145" s="6">
        <f t="shared" si="237"/>
        <v>0</v>
      </c>
    </row>
    <row r="15146" spans="3:4" ht="15" x14ac:dyDescent="0.25">
      <c r="C15146" s="8" t="e">
        <f>VLOOKUP(A:A,'ITEM LIST'!A:C,3,0)</f>
        <v>#N/A</v>
      </c>
      <c r="D15146" s="6">
        <f t="shared" si="237"/>
        <v>0</v>
      </c>
    </row>
    <row r="15147" spans="3:4" ht="15" x14ac:dyDescent="0.25">
      <c r="C15147" s="8" t="e">
        <f>VLOOKUP(A:A,'ITEM LIST'!A:C,3,0)</f>
        <v>#N/A</v>
      </c>
      <c r="D15147" s="6">
        <f t="shared" si="237"/>
        <v>0</v>
      </c>
    </row>
    <row r="15148" spans="3:4" ht="15" x14ac:dyDescent="0.25">
      <c r="C15148" s="8" t="e">
        <f>VLOOKUP(A:A,'ITEM LIST'!A:C,3,0)</f>
        <v>#N/A</v>
      </c>
      <c r="D15148" s="6">
        <f t="shared" si="237"/>
        <v>0</v>
      </c>
    </row>
    <row r="15149" spans="3:4" ht="15" x14ac:dyDescent="0.25">
      <c r="C15149" s="8" t="e">
        <f>VLOOKUP(A:A,'ITEM LIST'!A:C,3,0)</f>
        <v>#N/A</v>
      </c>
      <c r="D15149" s="6">
        <f t="shared" si="237"/>
        <v>0</v>
      </c>
    </row>
    <row r="15150" spans="3:4" ht="15" x14ac:dyDescent="0.25">
      <c r="C15150" s="8" t="e">
        <f>VLOOKUP(A:A,'ITEM LIST'!A:C,3,0)</f>
        <v>#N/A</v>
      </c>
      <c r="D15150" s="6">
        <f t="shared" si="237"/>
        <v>0</v>
      </c>
    </row>
    <row r="15151" spans="3:4" ht="15" x14ac:dyDescent="0.25">
      <c r="C15151" s="8" t="e">
        <f>VLOOKUP(A:A,'ITEM LIST'!A:C,3,0)</f>
        <v>#N/A</v>
      </c>
      <c r="D15151" s="6">
        <f t="shared" si="237"/>
        <v>0</v>
      </c>
    </row>
    <row r="15152" spans="3:4" ht="15" x14ac:dyDescent="0.25">
      <c r="C15152" s="8" t="e">
        <f>VLOOKUP(A:A,'ITEM LIST'!A:C,3,0)</f>
        <v>#N/A</v>
      </c>
      <c r="D15152" s="6">
        <f t="shared" si="237"/>
        <v>0</v>
      </c>
    </row>
    <row r="15153" spans="3:4" ht="15" x14ac:dyDescent="0.25">
      <c r="C15153" s="8" t="e">
        <f>VLOOKUP(A:A,'ITEM LIST'!A:C,3,0)</f>
        <v>#N/A</v>
      </c>
      <c r="D15153" s="6">
        <f t="shared" si="237"/>
        <v>0</v>
      </c>
    </row>
    <row r="15154" spans="3:4" ht="15" x14ac:dyDescent="0.25">
      <c r="C15154" s="8" t="e">
        <f>VLOOKUP(A:A,'ITEM LIST'!A:C,3,0)</f>
        <v>#N/A</v>
      </c>
      <c r="D15154" s="6">
        <f t="shared" si="237"/>
        <v>0</v>
      </c>
    </row>
    <row r="15155" spans="3:4" ht="15" x14ac:dyDescent="0.25">
      <c r="C15155" s="8" t="e">
        <f>VLOOKUP(A:A,'ITEM LIST'!A:C,3,0)</f>
        <v>#N/A</v>
      </c>
      <c r="D15155" s="6">
        <f t="shared" si="237"/>
        <v>0</v>
      </c>
    </row>
    <row r="15156" spans="3:4" ht="15" x14ac:dyDescent="0.25">
      <c r="C15156" s="8" t="e">
        <f>VLOOKUP(A:A,'ITEM LIST'!A:C,3,0)</f>
        <v>#N/A</v>
      </c>
      <c r="D15156" s="6">
        <f t="shared" si="237"/>
        <v>0</v>
      </c>
    </row>
    <row r="15157" spans="3:4" ht="15" x14ac:dyDescent="0.25">
      <c r="C15157" s="8" t="e">
        <f>VLOOKUP(A:A,'ITEM LIST'!A:C,3,0)</f>
        <v>#N/A</v>
      </c>
      <c r="D15157" s="6">
        <f t="shared" si="237"/>
        <v>0</v>
      </c>
    </row>
    <row r="15158" spans="3:4" ht="15" x14ac:dyDescent="0.25">
      <c r="C15158" s="8" t="e">
        <f>VLOOKUP(A:A,'ITEM LIST'!A:C,3,0)</f>
        <v>#N/A</v>
      </c>
      <c r="D15158" s="6">
        <f t="shared" si="237"/>
        <v>0</v>
      </c>
    </row>
    <row r="15159" spans="3:4" ht="15" x14ac:dyDescent="0.25">
      <c r="C15159" s="8" t="e">
        <f>VLOOKUP(A:A,'ITEM LIST'!A:C,3,0)</f>
        <v>#N/A</v>
      </c>
      <c r="D15159" s="6">
        <f t="shared" si="237"/>
        <v>0</v>
      </c>
    </row>
    <row r="15160" spans="3:4" ht="15" x14ac:dyDescent="0.25">
      <c r="C15160" s="8" t="e">
        <f>VLOOKUP(A:A,'ITEM LIST'!A:C,3,0)</f>
        <v>#N/A</v>
      </c>
      <c r="D15160" s="6">
        <f t="shared" si="237"/>
        <v>0</v>
      </c>
    </row>
    <row r="15161" spans="3:4" ht="15" x14ac:dyDescent="0.25">
      <c r="C15161" s="8" t="e">
        <f>VLOOKUP(A:A,'ITEM LIST'!A:C,3,0)</f>
        <v>#N/A</v>
      </c>
      <c r="D15161" s="6">
        <f t="shared" si="237"/>
        <v>0</v>
      </c>
    </row>
    <row r="15162" spans="3:4" ht="15" x14ac:dyDescent="0.25">
      <c r="C15162" s="8" t="e">
        <f>VLOOKUP(A:A,'ITEM LIST'!A:C,3,0)</f>
        <v>#N/A</v>
      </c>
      <c r="D15162" s="6">
        <f t="shared" si="237"/>
        <v>0</v>
      </c>
    </row>
    <row r="15163" spans="3:4" ht="15" x14ac:dyDescent="0.25">
      <c r="C15163" s="8" t="e">
        <f>VLOOKUP(A:A,'ITEM LIST'!A:C,3,0)</f>
        <v>#N/A</v>
      </c>
      <c r="D15163" s="6">
        <f t="shared" si="237"/>
        <v>0</v>
      </c>
    </row>
    <row r="15164" spans="3:4" ht="15" x14ac:dyDescent="0.25">
      <c r="C15164" s="8" t="e">
        <f>VLOOKUP(A:A,'ITEM LIST'!A:C,3,0)</f>
        <v>#N/A</v>
      </c>
      <c r="D15164" s="6">
        <f t="shared" si="237"/>
        <v>0</v>
      </c>
    </row>
    <row r="15165" spans="3:4" ht="15" x14ac:dyDescent="0.25">
      <c r="C15165" s="8" t="e">
        <f>VLOOKUP(A:A,'ITEM LIST'!A:C,3,0)</f>
        <v>#N/A</v>
      </c>
      <c r="D15165" s="6">
        <f t="shared" si="237"/>
        <v>0</v>
      </c>
    </row>
    <row r="15166" spans="3:4" ht="15" x14ac:dyDescent="0.25">
      <c r="C15166" s="8" t="e">
        <f>VLOOKUP(A:A,'ITEM LIST'!A:C,3,0)</f>
        <v>#N/A</v>
      </c>
      <c r="D15166" s="6">
        <f t="shared" si="237"/>
        <v>0</v>
      </c>
    </row>
    <row r="15167" spans="3:4" ht="15" x14ac:dyDescent="0.25">
      <c r="C15167" s="8" t="e">
        <f>VLOOKUP(A:A,'ITEM LIST'!A:C,3,0)</f>
        <v>#N/A</v>
      </c>
      <c r="D15167" s="6">
        <f t="shared" si="237"/>
        <v>0</v>
      </c>
    </row>
    <row r="15168" spans="3:4" ht="15" x14ac:dyDescent="0.25">
      <c r="C15168" s="8" t="e">
        <f>VLOOKUP(A:A,'ITEM LIST'!A:C,3,0)</f>
        <v>#N/A</v>
      </c>
      <c r="D15168" s="6">
        <f t="shared" si="237"/>
        <v>0</v>
      </c>
    </row>
    <row r="15169" spans="3:4" ht="15" x14ac:dyDescent="0.25">
      <c r="C15169" s="8" t="e">
        <f>VLOOKUP(A:A,'ITEM LIST'!A:C,3,0)</f>
        <v>#N/A</v>
      </c>
      <c r="D15169" s="6">
        <f t="shared" si="237"/>
        <v>0</v>
      </c>
    </row>
    <row r="15170" spans="3:4" ht="15" x14ac:dyDescent="0.25">
      <c r="C15170" s="8" t="e">
        <f>VLOOKUP(A:A,'ITEM LIST'!A:C,3,0)</f>
        <v>#N/A</v>
      </c>
      <c r="D15170" s="6">
        <f t="shared" si="237"/>
        <v>0</v>
      </c>
    </row>
    <row r="15171" spans="3:4" ht="15" x14ac:dyDescent="0.25">
      <c r="C15171" s="8" t="e">
        <f>VLOOKUP(A:A,'ITEM LIST'!A:C,3,0)</f>
        <v>#N/A</v>
      </c>
      <c r="D15171" s="6">
        <f t="shared" si="237"/>
        <v>0</v>
      </c>
    </row>
    <row r="15172" spans="3:4" ht="15" x14ac:dyDescent="0.25">
      <c r="C15172" s="8" t="e">
        <f>VLOOKUP(A:A,'ITEM LIST'!A:C,3,0)</f>
        <v>#N/A</v>
      </c>
      <c r="D15172" s="6">
        <f t="shared" si="237"/>
        <v>0</v>
      </c>
    </row>
    <row r="15173" spans="3:4" ht="15" x14ac:dyDescent="0.25">
      <c r="C15173" s="8" t="e">
        <f>VLOOKUP(A:A,'ITEM LIST'!A:C,3,0)</f>
        <v>#N/A</v>
      </c>
      <c r="D15173" s="6">
        <f t="shared" si="237"/>
        <v>0</v>
      </c>
    </row>
    <row r="15174" spans="3:4" ht="15" x14ac:dyDescent="0.25">
      <c r="C15174" s="8" t="e">
        <f>VLOOKUP(A:A,'ITEM LIST'!A:C,3,0)</f>
        <v>#N/A</v>
      </c>
      <c r="D15174" s="6">
        <f t="shared" ref="D15174:D15237" si="238">B15174</f>
        <v>0</v>
      </c>
    </row>
    <row r="15175" spans="3:4" ht="15" x14ac:dyDescent="0.25">
      <c r="C15175" s="8" t="e">
        <f>VLOOKUP(A:A,'ITEM LIST'!A:C,3,0)</f>
        <v>#N/A</v>
      </c>
      <c r="D15175" s="6">
        <f t="shared" si="238"/>
        <v>0</v>
      </c>
    </row>
    <row r="15176" spans="3:4" ht="15" x14ac:dyDescent="0.25">
      <c r="C15176" s="8" t="e">
        <f>VLOOKUP(A:A,'ITEM LIST'!A:C,3,0)</f>
        <v>#N/A</v>
      </c>
      <c r="D15176" s="6">
        <f t="shared" si="238"/>
        <v>0</v>
      </c>
    </row>
    <row r="15177" spans="3:4" ht="15" x14ac:dyDescent="0.25">
      <c r="C15177" s="8" t="e">
        <f>VLOOKUP(A:A,'ITEM LIST'!A:C,3,0)</f>
        <v>#N/A</v>
      </c>
      <c r="D15177" s="6">
        <f t="shared" si="238"/>
        <v>0</v>
      </c>
    </row>
    <row r="15178" spans="3:4" ht="15" x14ac:dyDescent="0.25">
      <c r="C15178" s="8" t="e">
        <f>VLOOKUP(A:A,'ITEM LIST'!A:C,3,0)</f>
        <v>#N/A</v>
      </c>
      <c r="D15178" s="6">
        <f t="shared" si="238"/>
        <v>0</v>
      </c>
    </row>
    <row r="15179" spans="3:4" ht="15" x14ac:dyDescent="0.25">
      <c r="C15179" s="8" t="e">
        <f>VLOOKUP(A:A,'ITEM LIST'!A:C,3,0)</f>
        <v>#N/A</v>
      </c>
      <c r="D15179" s="6">
        <f t="shared" si="238"/>
        <v>0</v>
      </c>
    </row>
    <row r="15180" spans="3:4" ht="15" x14ac:dyDescent="0.25">
      <c r="C15180" s="8" t="e">
        <f>VLOOKUP(A:A,'ITEM LIST'!A:C,3,0)</f>
        <v>#N/A</v>
      </c>
      <c r="D15180" s="6">
        <f t="shared" si="238"/>
        <v>0</v>
      </c>
    </row>
    <row r="15181" spans="3:4" ht="15" x14ac:dyDescent="0.25">
      <c r="C15181" s="8" t="e">
        <f>VLOOKUP(A:A,'ITEM LIST'!A:C,3,0)</f>
        <v>#N/A</v>
      </c>
      <c r="D15181" s="6">
        <f t="shared" si="238"/>
        <v>0</v>
      </c>
    </row>
    <row r="15182" spans="3:4" ht="15" x14ac:dyDescent="0.25">
      <c r="C15182" s="8" t="e">
        <f>VLOOKUP(A:A,'ITEM LIST'!A:C,3,0)</f>
        <v>#N/A</v>
      </c>
      <c r="D15182" s="6">
        <f t="shared" si="238"/>
        <v>0</v>
      </c>
    </row>
    <row r="15183" spans="3:4" ht="15" x14ac:dyDescent="0.25">
      <c r="C15183" s="8" t="e">
        <f>VLOOKUP(A:A,'ITEM LIST'!A:C,3,0)</f>
        <v>#N/A</v>
      </c>
      <c r="D15183" s="6">
        <f t="shared" si="238"/>
        <v>0</v>
      </c>
    </row>
    <row r="15184" spans="3:4" ht="15" x14ac:dyDescent="0.25">
      <c r="C15184" s="8" t="e">
        <f>VLOOKUP(A:A,'ITEM LIST'!A:C,3,0)</f>
        <v>#N/A</v>
      </c>
      <c r="D15184" s="6">
        <f t="shared" si="238"/>
        <v>0</v>
      </c>
    </row>
    <row r="15185" spans="3:4" ht="15" x14ac:dyDescent="0.25">
      <c r="C15185" s="8" t="e">
        <f>VLOOKUP(A:A,'ITEM LIST'!A:C,3,0)</f>
        <v>#N/A</v>
      </c>
      <c r="D15185" s="6">
        <f t="shared" si="238"/>
        <v>0</v>
      </c>
    </row>
    <row r="15186" spans="3:4" ht="15" x14ac:dyDescent="0.25">
      <c r="C15186" s="8" t="e">
        <f>VLOOKUP(A:A,'ITEM LIST'!A:C,3,0)</f>
        <v>#N/A</v>
      </c>
      <c r="D15186" s="6">
        <f t="shared" si="238"/>
        <v>0</v>
      </c>
    </row>
    <row r="15187" spans="3:4" ht="15" x14ac:dyDescent="0.25">
      <c r="C15187" s="8" t="e">
        <f>VLOOKUP(A:A,'ITEM LIST'!A:C,3,0)</f>
        <v>#N/A</v>
      </c>
      <c r="D15187" s="6">
        <f t="shared" si="238"/>
        <v>0</v>
      </c>
    </row>
    <row r="15188" spans="3:4" ht="15" x14ac:dyDescent="0.25">
      <c r="C15188" s="8" t="e">
        <f>VLOOKUP(A:A,'ITEM LIST'!A:C,3,0)</f>
        <v>#N/A</v>
      </c>
      <c r="D15188" s="6">
        <f t="shared" si="238"/>
        <v>0</v>
      </c>
    </row>
    <row r="15189" spans="3:4" ht="15" x14ac:dyDescent="0.25">
      <c r="C15189" s="8" t="e">
        <f>VLOOKUP(A:A,'ITEM LIST'!A:C,3,0)</f>
        <v>#N/A</v>
      </c>
      <c r="D15189" s="6">
        <f t="shared" si="238"/>
        <v>0</v>
      </c>
    </row>
    <row r="15190" spans="3:4" ht="15" x14ac:dyDescent="0.25">
      <c r="C15190" s="8" t="e">
        <f>VLOOKUP(A:A,'ITEM LIST'!A:C,3,0)</f>
        <v>#N/A</v>
      </c>
      <c r="D15190" s="6">
        <f t="shared" si="238"/>
        <v>0</v>
      </c>
    </row>
    <row r="15191" spans="3:4" ht="15" x14ac:dyDescent="0.25">
      <c r="C15191" s="8" t="e">
        <f>VLOOKUP(A:A,'ITEM LIST'!A:C,3,0)</f>
        <v>#N/A</v>
      </c>
      <c r="D15191" s="6">
        <f t="shared" si="238"/>
        <v>0</v>
      </c>
    </row>
    <row r="15192" spans="3:4" ht="15" x14ac:dyDescent="0.25">
      <c r="C15192" s="8" t="e">
        <f>VLOOKUP(A:A,'ITEM LIST'!A:C,3,0)</f>
        <v>#N/A</v>
      </c>
      <c r="D15192" s="6">
        <f t="shared" si="238"/>
        <v>0</v>
      </c>
    </row>
    <row r="15193" spans="3:4" ht="15" x14ac:dyDescent="0.25">
      <c r="C15193" s="8" t="e">
        <f>VLOOKUP(A:A,'ITEM LIST'!A:C,3,0)</f>
        <v>#N/A</v>
      </c>
      <c r="D15193" s="6">
        <f t="shared" si="238"/>
        <v>0</v>
      </c>
    </row>
    <row r="15194" spans="3:4" ht="15" x14ac:dyDescent="0.25">
      <c r="C15194" s="8" t="e">
        <f>VLOOKUP(A:A,'ITEM LIST'!A:C,3,0)</f>
        <v>#N/A</v>
      </c>
      <c r="D15194" s="6">
        <f t="shared" si="238"/>
        <v>0</v>
      </c>
    </row>
    <row r="15195" spans="3:4" ht="15" x14ac:dyDescent="0.25">
      <c r="C15195" s="8" t="e">
        <f>VLOOKUP(A:A,'ITEM LIST'!A:C,3,0)</f>
        <v>#N/A</v>
      </c>
      <c r="D15195" s="6">
        <f t="shared" si="238"/>
        <v>0</v>
      </c>
    </row>
    <row r="15196" spans="3:4" ht="15" x14ac:dyDescent="0.25">
      <c r="C15196" s="8" t="e">
        <f>VLOOKUP(A:A,'ITEM LIST'!A:C,3,0)</f>
        <v>#N/A</v>
      </c>
      <c r="D15196" s="6">
        <f t="shared" si="238"/>
        <v>0</v>
      </c>
    </row>
    <row r="15197" spans="3:4" ht="15" x14ac:dyDescent="0.25">
      <c r="C15197" s="8" t="e">
        <f>VLOOKUP(A:A,'ITEM LIST'!A:C,3,0)</f>
        <v>#N/A</v>
      </c>
      <c r="D15197" s="6">
        <f t="shared" si="238"/>
        <v>0</v>
      </c>
    </row>
    <row r="15198" spans="3:4" ht="15" x14ac:dyDescent="0.25">
      <c r="C15198" s="8" t="e">
        <f>VLOOKUP(A:A,'ITEM LIST'!A:C,3,0)</f>
        <v>#N/A</v>
      </c>
      <c r="D15198" s="6">
        <f t="shared" si="238"/>
        <v>0</v>
      </c>
    </row>
    <row r="15199" spans="3:4" ht="15" x14ac:dyDescent="0.25">
      <c r="C15199" s="8" t="e">
        <f>VLOOKUP(A:A,'ITEM LIST'!A:C,3,0)</f>
        <v>#N/A</v>
      </c>
      <c r="D15199" s="6">
        <f t="shared" si="238"/>
        <v>0</v>
      </c>
    </row>
    <row r="15200" spans="3:4" ht="15" x14ac:dyDescent="0.25">
      <c r="C15200" s="8" t="e">
        <f>VLOOKUP(A:A,'ITEM LIST'!A:C,3,0)</f>
        <v>#N/A</v>
      </c>
      <c r="D15200" s="6">
        <f t="shared" si="238"/>
        <v>0</v>
      </c>
    </row>
    <row r="15201" spans="3:4" ht="15" x14ac:dyDescent="0.25">
      <c r="C15201" s="8" t="e">
        <f>VLOOKUP(A:A,'ITEM LIST'!A:C,3,0)</f>
        <v>#N/A</v>
      </c>
      <c r="D15201" s="6">
        <f t="shared" si="238"/>
        <v>0</v>
      </c>
    </row>
    <row r="15202" spans="3:4" ht="15" x14ac:dyDescent="0.25">
      <c r="C15202" s="8" t="e">
        <f>VLOOKUP(A:A,'ITEM LIST'!A:C,3,0)</f>
        <v>#N/A</v>
      </c>
      <c r="D15202" s="6">
        <f t="shared" si="238"/>
        <v>0</v>
      </c>
    </row>
    <row r="15203" spans="3:4" ht="15" x14ac:dyDescent="0.25">
      <c r="C15203" s="8" t="e">
        <f>VLOOKUP(A:A,'ITEM LIST'!A:C,3,0)</f>
        <v>#N/A</v>
      </c>
      <c r="D15203" s="6">
        <f t="shared" si="238"/>
        <v>0</v>
      </c>
    </row>
    <row r="15204" spans="3:4" ht="15" x14ac:dyDescent="0.25">
      <c r="C15204" s="8" t="e">
        <f>VLOOKUP(A:A,'ITEM LIST'!A:C,3,0)</f>
        <v>#N/A</v>
      </c>
      <c r="D15204" s="6">
        <f t="shared" si="238"/>
        <v>0</v>
      </c>
    </row>
    <row r="15205" spans="3:4" ht="15" x14ac:dyDescent="0.25">
      <c r="C15205" s="8" t="e">
        <f>VLOOKUP(A:A,'ITEM LIST'!A:C,3,0)</f>
        <v>#N/A</v>
      </c>
      <c r="D15205" s="6">
        <f t="shared" si="238"/>
        <v>0</v>
      </c>
    </row>
    <row r="15206" spans="3:4" ht="15" x14ac:dyDescent="0.25">
      <c r="C15206" s="8" t="e">
        <f>VLOOKUP(A:A,'ITEM LIST'!A:C,3,0)</f>
        <v>#N/A</v>
      </c>
      <c r="D15206" s="6">
        <f t="shared" si="238"/>
        <v>0</v>
      </c>
    </row>
    <row r="15207" spans="3:4" ht="15" x14ac:dyDescent="0.25">
      <c r="C15207" s="8" t="e">
        <f>VLOOKUP(A:A,'ITEM LIST'!A:C,3,0)</f>
        <v>#N/A</v>
      </c>
      <c r="D15207" s="6">
        <f t="shared" si="238"/>
        <v>0</v>
      </c>
    </row>
    <row r="15208" spans="3:4" ht="15" x14ac:dyDescent="0.25">
      <c r="C15208" s="8" t="e">
        <f>VLOOKUP(A:A,'ITEM LIST'!A:C,3,0)</f>
        <v>#N/A</v>
      </c>
      <c r="D15208" s="6">
        <f t="shared" si="238"/>
        <v>0</v>
      </c>
    </row>
    <row r="15209" spans="3:4" ht="15" x14ac:dyDescent="0.25">
      <c r="C15209" s="8" t="e">
        <f>VLOOKUP(A:A,'ITEM LIST'!A:C,3,0)</f>
        <v>#N/A</v>
      </c>
      <c r="D15209" s="6">
        <f t="shared" si="238"/>
        <v>0</v>
      </c>
    </row>
    <row r="15210" spans="3:4" ht="15" x14ac:dyDescent="0.25">
      <c r="C15210" s="8" t="e">
        <f>VLOOKUP(A:A,'ITEM LIST'!A:C,3,0)</f>
        <v>#N/A</v>
      </c>
      <c r="D15210" s="6">
        <f t="shared" si="238"/>
        <v>0</v>
      </c>
    </row>
    <row r="15211" spans="3:4" ht="15" x14ac:dyDescent="0.25">
      <c r="C15211" s="8" t="e">
        <f>VLOOKUP(A:A,'ITEM LIST'!A:C,3,0)</f>
        <v>#N/A</v>
      </c>
      <c r="D15211" s="6">
        <f t="shared" si="238"/>
        <v>0</v>
      </c>
    </row>
    <row r="15212" spans="3:4" ht="15" x14ac:dyDescent="0.25">
      <c r="C15212" s="8" t="e">
        <f>VLOOKUP(A:A,'ITEM LIST'!A:C,3,0)</f>
        <v>#N/A</v>
      </c>
      <c r="D15212" s="6">
        <f t="shared" si="238"/>
        <v>0</v>
      </c>
    </row>
    <row r="15213" spans="3:4" ht="15" x14ac:dyDescent="0.25">
      <c r="C15213" s="8" t="e">
        <f>VLOOKUP(A:A,'ITEM LIST'!A:C,3,0)</f>
        <v>#N/A</v>
      </c>
      <c r="D15213" s="6">
        <f t="shared" si="238"/>
        <v>0</v>
      </c>
    </row>
    <row r="15214" spans="3:4" ht="15" x14ac:dyDescent="0.25">
      <c r="C15214" s="8" t="e">
        <f>VLOOKUP(A:A,'ITEM LIST'!A:C,3,0)</f>
        <v>#N/A</v>
      </c>
      <c r="D15214" s="6">
        <f t="shared" si="238"/>
        <v>0</v>
      </c>
    </row>
    <row r="15215" spans="3:4" ht="15" x14ac:dyDescent="0.25">
      <c r="C15215" s="8" t="e">
        <f>VLOOKUP(A:A,'ITEM LIST'!A:C,3,0)</f>
        <v>#N/A</v>
      </c>
      <c r="D15215" s="6">
        <f t="shared" si="238"/>
        <v>0</v>
      </c>
    </row>
    <row r="15216" spans="3:4" ht="15" x14ac:dyDescent="0.25">
      <c r="C15216" s="8" t="e">
        <f>VLOOKUP(A:A,'ITEM LIST'!A:C,3,0)</f>
        <v>#N/A</v>
      </c>
      <c r="D15216" s="6">
        <f t="shared" si="238"/>
        <v>0</v>
      </c>
    </row>
    <row r="15217" spans="3:4" ht="15" x14ac:dyDescent="0.25">
      <c r="C15217" s="8" t="e">
        <f>VLOOKUP(A:A,'ITEM LIST'!A:C,3,0)</f>
        <v>#N/A</v>
      </c>
      <c r="D15217" s="6">
        <f t="shared" si="238"/>
        <v>0</v>
      </c>
    </row>
    <row r="15218" spans="3:4" ht="15" x14ac:dyDescent="0.25">
      <c r="C15218" s="8" t="e">
        <f>VLOOKUP(A:A,'ITEM LIST'!A:C,3,0)</f>
        <v>#N/A</v>
      </c>
      <c r="D15218" s="6">
        <f t="shared" si="238"/>
        <v>0</v>
      </c>
    </row>
    <row r="15219" spans="3:4" ht="15" x14ac:dyDescent="0.25">
      <c r="C15219" s="8" t="e">
        <f>VLOOKUP(A:A,'ITEM LIST'!A:C,3,0)</f>
        <v>#N/A</v>
      </c>
      <c r="D15219" s="6">
        <f t="shared" si="238"/>
        <v>0</v>
      </c>
    </row>
    <row r="15220" spans="3:4" ht="15" x14ac:dyDescent="0.25">
      <c r="C15220" s="8" t="e">
        <f>VLOOKUP(A:A,'ITEM LIST'!A:C,3,0)</f>
        <v>#N/A</v>
      </c>
      <c r="D15220" s="6">
        <f t="shared" si="238"/>
        <v>0</v>
      </c>
    </row>
    <row r="15221" spans="3:4" ht="15" x14ac:dyDescent="0.25">
      <c r="C15221" s="8" t="e">
        <f>VLOOKUP(A:A,'ITEM LIST'!A:C,3,0)</f>
        <v>#N/A</v>
      </c>
      <c r="D15221" s="6">
        <f t="shared" si="238"/>
        <v>0</v>
      </c>
    </row>
    <row r="15222" spans="3:4" ht="15" x14ac:dyDescent="0.25">
      <c r="C15222" s="8" t="e">
        <f>VLOOKUP(A:A,'ITEM LIST'!A:C,3,0)</f>
        <v>#N/A</v>
      </c>
      <c r="D15222" s="6">
        <f t="shared" si="238"/>
        <v>0</v>
      </c>
    </row>
    <row r="15223" spans="3:4" ht="15" x14ac:dyDescent="0.25">
      <c r="C15223" s="8" t="e">
        <f>VLOOKUP(A:A,'ITEM LIST'!A:C,3,0)</f>
        <v>#N/A</v>
      </c>
      <c r="D15223" s="6">
        <f t="shared" si="238"/>
        <v>0</v>
      </c>
    </row>
    <row r="15224" spans="3:4" ht="15" x14ac:dyDescent="0.25">
      <c r="C15224" s="8" t="e">
        <f>VLOOKUP(A:A,'ITEM LIST'!A:C,3,0)</f>
        <v>#N/A</v>
      </c>
      <c r="D15224" s="6">
        <f t="shared" si="238"/>
        <v>0</v>
      </c>
    </row>
    <row r="15225" spans="3:4" ht="15" x14ac:dyDescent="0.25">
      <c r="C15225" s="8" t="e">
        <f>VLOOKUP(A:A,'ITEM LIST'!A:C,3,0)</f>
        <v>#N/A</v>
      </c>
      <c r="D15225" s="6">
        <f t="shared" si="238"/>
        <v>0</v>
      </c>
    </row>
    <row r="15226" spans="3:4" ht="15" x14ac:dyDescent="0.25">
      <c r="C15226" s="8" t="e">
        <f>VLOOKUP(A:A,'ITEM LIST'!A:C,3,0)</f>
        <v>#N/A</v>
      </c>
      <c r="D15226" s="6">
        <f t="shared" si="238"/>
        <v>0</v>
      </c>
    </row>
    <row r="15227" spans="3:4" ht="15" x14ac:dyDescent="0.25">
      <c r="C15227" s="8" t="e">
        <f>VLOOKUP(A:A,'ITEM LIST'!A:C,3,0)</f>
        <v>#N/A</v>
      </c>
      <c r="D15227" s="6">
        <f t="shared" si="238"/>
        <v>0</v>
      </c>
    </row>
    <row r="15228" spans="3:4" ht="15" x14ac:dyDescent="0.25">
      <c r="C15228" s="8" t="e">
        <f>VLOOKUP(A:A,'ITEM LIST'!A:C,3,0)</f>
        <v>#N/A</v>
      </c>
      <c r="D15228" s="6">
        <f t="shared" si="238"/>
        <v>0</v>
      </c>
    </row>
    <row r="15229" spans="3:4" ht="15" x14ac:dyDescent="0.25">
      <c r="C15229" s="8" t="e">
        <f>VLOOKUP(A:A,'ITEM LIST'!A:C,3,0)</f>
        <v>#N/A</v>
      </c>
      <c r="D15229" s="6">
        <f t="shared" si="238"/>
        <v>0</v>
      </c>
    </row>
    <row r="15230" spans="3:4" ht="15" x14ac:dyDescent="0.25">
      <c r="C15230" s="8" t="e">
        <f>VLOOKUP(A:A,'ITEM LIST'!A:C,3,0)</f>
        <v>#N/A</v>
      </c>
      <c r="D15230" s="6">
        <f t="shared" si="238"/>
        <v>0</v>
      </c>
    </row>
    <row r="15231" spans="3:4" ht="15" x14ac:dyDescent="0.25">
      <c r="C15231" s="8" t="e">
        <f>VLOOKUP(A:A,'ITEM LIST'!A:C,3,0)</f>
        <v>#N/A</v>
      </c>
      <c r="D15231" s="6">
        <f t="shared" si="238"/>
        <v>0</v>
      </c>
    </row>
    <row r="15232" spans="3:4" ht="15" x14ac:dyDescent="0.25">
      <c r="C15232" s="8" t="e">
        <f>VLOOKUP(A:A,'ITEM LIST'!A:C,3,0)</f>
        <v>#N/A</v>
      </c>
      <c r="D15232" s="6">
        <f t="shared" si="238"/>
        <v>0</v>
      </c>
    </row>
    <row r="15233" spans="3:4" ht="15" x14ac:dyDescent="0.25">
      <c r="C15233" s="8" t="e">
        <f>VLOOKUP(A:A,'ITEM LIST'!A:C,3,0)</f>
        <v>#N/A</v>
      </c>
      <c r="D15233" s="6">
        <f t="shared" si="238"/>
        <v>0</v>
      </c>
    </row>
    <row r="15234" spans="3:4" ht="15" x14ac:dyDescent="0.25">
      <c r="C15234" s="8" t="e">
        <f>VLOOKUP(A:A,'ITEM LIST'!A:C,3,0)</f>
        <v>#N/A</v>
      </c>
      <c r="D15234" s="6">
        <f t="shared" si="238"/>
        <v>0</v>
      </c>
    </row>
    <row r="15235" spans="3:4" ht="15" x14ac:dyDescent="0.25">
      <c r="C15235" s="8" t="e">
        <f>VLOOKUP(A:A,'ITEM LIST'!A:C,3,0)</f>
        <v>#N/A</v>
      </c>
      <c r="D15235" s="6">
        <f t="shared" si="238"/>
        <v>0</v>
      </c>
    </row>
    <row r="15236" spans="3:4" ht="15" x14ac:dyDescent="0.25">
      <c r="C15236" s="8" t="e">
        <f>VLOOKUP(A:A,'ITEM LIST'!A:C,3,0)</f>
        <v>#N/A</v>
      </c>
      <c r="D15236" s="6">
        <f t="shared" si="238"/>
        <v>0</v>
      </c>
    </row>
    <row r="15237" spans="3:4" ht="15" x14ac:dyDescent="0.25">
      <c r="C15237" s="8" t="e">
        <f>VLOOKUP(A:A,'ITEM LIST'!A:C,3,0)</f>
        <v>#N/A</v>
      </c>
      <c r="D15237" s="6">
        <f t="shared" si="238"/>
        <v>0</v>
      </c>
    </row>
    <row r="15238" spans="3:4" ht="15" x14ac:dyDescent="0.25">
      <c r="C15238" s="8" t="e">
        <f>VLOOKUP(A:A,'ITEM LIST'!A:C,3,0)</f>
        <v>#N/A</v>
      </c>
      <c r="D15238" s="6">
        <f t="shared" ref="D15238:D15301" si="239">B15238</f>
        <v>0</v>
      </c>
    </row>
    <row r="15239" spans="3:4" ht="15" x14ac:dyDescent="0.25">
      <c r="C15239" s="8" t="e">
        <f>VLOOKUP(A:A,'ITEM LIST'!A:C,3,0)</f>
        <v>#N/A</v>
      </c>
      <c r="D15239" s="6">
        <f t="shared" si="239"/>
        <v>0</v>
      </c>
    </row>
    <row r="15240" spans="3:4" ht="15" x14ac:dyDescent="0.25">
      <c r="C15240" s="8" t="e">
        <f>VLOOKUP(A:A,'ITEM LIST'!A:C,3,0)</f>
        <v>#N/A</v>
      </c>
      <c r="D15240" s="6">
        <f t="shared" si="239"/>
        <v>0</v>
      </c>
    </row>
    <row r="15241" spans="3:4" ht="15" x14ac:dyDescent="0.25">
      <c r="C15241" s="8" t="e">
        <f>VLOOKUP(A:A,'ITEM LIST'!A:C,3,0)</f>
        <v>#N/A</v>
      </c>
      <c r="D15241" s="6">
        <f t="shared" si="239"/>
        <v>0</v>
      </c>
    </row>
    <row r="15242" spans="3:4" ht="15" x14ac:dyDescent="0.25">
      <c r="C15242" s="8" t="e">
        <f>VLOOKUP(A:A,'ITEM LIST'!A:C,3,0)</f>
        <v>#N/A</v>
      </c>
      <c r="D15242" s="6">
        <f t="shared" si="239"/>
        <v>0</v>
      </c>
    </row>
    <row r="15243" spans="3:4" ht="15" x14ac:dyDescent="0.25">
      <c r="C15243" s="8" t="e">
        <f>VLOOKUP(A:A,'ITEM LIST'!A:C,3,0)</f>
        <v>#N/A</v>
      </c>
      <c r="D15243" s="6">
        <f t="shared" si="239"/>
        <v>0</v>
      </c>
    </row>
    <row r="15244" spans="3:4" ht="15" x14ac:dyDescent="0.25">
      <c r="C15244" s="8" t="e">
        <f>VLOOKUP(A:A,'ITEM LIST'!A:C,3,0)</f>
        <v>#N/A</v>
      </c>
      <c r="D15244" s="6">
        <f t="shared" si="239"/>
        <v>0</v>
      </c>
    </row>
    <row r="15245" spans="3:4" ht="15" x14ac:dyDescent="0.25">
      <c r="C15245" s="8" t="e">
        <f>VLOOKUP(A:A,'ITEM LIST'!A:C,3,0)</f>
        <v>#N/A</v>
      </c>
      <c r="D15245" s="6">
        <f t="shared" si="239"/>
        <v>0</v>
      </c>
    </row>
    <row r="15246" spans="3:4" ht="15" x14ac:dyDescent="0.25">
      <c r="C15246" s="8" t="e">
        <f>VLOOKUP(A:A,'ITEM LIST'!A:C,3,0)</f>
        <v>#N/A</v>
      </c>
      <c r="D15246" s="6">
        <f t="shared" si="239"/>
        <v>0</v>
      </c>
    </row>
    <row r="15247" spans="3:4" ht="15" x14ac:dyDescent="0.25">
      <c r="C15247" s="8" t="e">
        <f>VLOOKUP(A:A,'ITEM LIST'!A:C,3,0)</f>
        <v>#N/A</v>
      </c>
      <c r="D15247" s="6">
        <f t="shared" si="239"/>
        <v>0</v>
      </c>
    </row>
    <row r="15248" spans="3:4" ht="15" x14ac:dyDescent="0.25">
      <c r="C15248" s="8" t="e">
        <f>VLOOKUP(A:A,'ITEM LIST'!A:C,3,0)</f>
        <v>#N/A</v>
      </c>
      <c r="D15248" s="6">
        <f t="shared" si="239"/>
        <v>0</v>
      </c>
    </row>
    <row r="15249" spans="3:4" ht="15" x14ac:dyDescent="0.25">
      <c r="C15249" s="8" t="e">
        <f>VLOOKUP(A:A,'ITEM LIST'!A:C,3,0)</f>
        <v>#N/A</v>
      </c>
      <c r="D15249" s="6">
        <f t="shared" si="239"/>
        <v>0</v>
      </c>
    </row>
    <row r="15250" spans="3:4" ht="15" x14ac:dyDescent="0.25">
      <c r="C15250" s="8" t="e">
        <f>VLOOKUP(A:A,'ITEM LIST'!A:C,3,0)</f>
        <v>#N/A</v>
      </c>
      <c r="D15250" s="6">
        <f t="shared" si="239"/>
        <v>0</v>
      </c>
    </row>
    <row r="15251" spans="3:4" ht="15" x14ac:dyDescent="0.25">
      <c r="C15251" s="8" t="e">
        <f>VLOOKUP(A:A,'ITEM LIST'!A:C,3,0)</f>
        <v>#N/A</v>
      </c>
      <c r="D15251" s="6">
        <f t="shared" si="239"/>
        <v>0</v>
      </c>
    </row>
    <row r="15252" spans="3:4" ht="15" x14ac:dyDescent="0.25">
      <c r="C15252" s="8" t="e">
        <f>VLOOKUP(A:A,'ITEM LIST'!A:C,3,0)</f>
        <v>#N/A</v>
      </c>
      <c r="D15252" s="6">
        <f t="shared" si="239"/>
        <v>0</v>
      </c>
    </row>
    <row r="15253" spans="3:4" ht="15" x14ac:dyDescent="0.25">
      <c r="C15253" s="8" t="e">
        <f>VLOOKUP(A:A,'ITEM LIST'!A:C,3,0)</f>
        <v>#N/A</v>
      </c>
      <c r="D15253" s="6">
        <f t="shared" si="239"/>
        <v>0</v>
      </c>
    </row>
    <row r="15254" spans="3:4" ht="15" x14ac:dyDescent="0.25">
      <c r="C15254" s="8" t="e">
        <f>VLOOKUP(A:A,'ITEM LIST'!A:C,3,0)</f>
        <v>#N/A</v>
      </c>
      <c r="D15254" s="6">
        <f t="shared" si="239"/>
        <v>0</v>
      </c>
    </row>
    <row r="15255" spans="3:4" ht="15" x14ac:dyDescent="0.25">
      <c r="C15255" s="8" t="e">
        <f>VLOOKUP(A:A,'ITEM LIST'!A:C,3,0)</f>
        <v>#N/A</v>
      </c>
      <c r="D15255" s="6">
        <f t="shared" si="239"/>
        <v>0</v>
      </c>
    </row>
    <row r="15256" spans="3:4" ht="15" x14ac:dyDescent="0.25">
      <c r="C15256" s="8" t="e">
        <f>VLOOKUP(A:A,'ITEM LIST'!A:C,3,0)</f>
        <v>#N/A</v>
      </c>
      <c r="D15256" s="6">
        <f t="shared" si="239"/>
        <v>0</v>
      </c>
    </row>
    <row r="15257" spans="3:4" ht="15" x14ac:dyDescent="0.25">
      <c r="C15257" s="8" t="e">
        <f>VLOOKUP(A:A,'ITEM LIST'!A:C,3,0)</f>
        <v>#N/A</v>
      </c>
      <c r="D15257" s="6">
        <f t="shared" si="239"/>
        <v>0</v>
      </c>
    </row>
    <row r="15258" spans="3:4" ht="15" x14ac:dyDescent="0.25">
      <c r="C15258" s="8" t="e">
        <f>VLOOKUP(A:A,'ITEM LIST'!A:C,3,0)</f>
        <v>#N/A</v>
      </c>
      <c r="D15258" s="6">
        <f t="shared" si="239"/>
        <v>0</v>
      </c>
    </row>
    <row r="15259" spans="3:4" ht="15" x14ac:dyDescent="0.25">
      <c r="C15259" s="8" t="e">
        <f>VLOOKUP(A:A,'ITEM LIST'!A:C,3,0)</f>
        <v>#N/A</v>
      </c>
      <c r="D15259" s="6">
        <f t="shared" si="239"/>
        <v>0</v>
      </c>
    </row>
    <row r="15260" spans="3:4" ht="15" x14ac:dyDescent="0.25">
      <c r="C15260" s="8" t="e">
        <f>VLOOKUP(A:A,'ITEM LIST'!A:C,3,0)</f>
        <v>#N/A</v>
      </c>
      <c r="D15260" s="6">
        <f t="shared" si="239"/>
        <v>0</v>
      </c>
    </row>
    <row r="15261" spans="3:4" ht="15" x14ac:dyDescent="0.25">
      <c r="C15261" s="8" t="e">
        <f>VLOOKUP(A:A,'ITEM LIST'!A:C,3,0)</f>
        <v>#N/A</v>
      </c>
      <c r="D15261" s="6">
        <f t="shared" si="239"/>
        <v>0</v>
      </c>
    </row>
    <row r="15262" spans="3:4" ht="15" x14ac:dyDescent="0.25">
      <c r="C15262" s="8" t="e">
        <f>VLOOKUP(A:A,'ITEM LIST'!A:C,3,0)</f>
        <v>#N/A</v>
      </c>
      <c r="D15262" s="6">
        <f t="shared" si="239"/>
        <v>0</v>
      </c>
    </row>
    <row r="15263" spans="3:4" ht="15" x14ac:dyDescent="0.25">
      <c r="C15263" s="8" t="e">
        <f>VLOOKUP(A:A,'ITEM LIST'!A:C,3,0)</f>
        <v>#N/A</v>
      </c>
      <c r="D15263" s="6">
        <f t="shared" si="239"/>
        <v>0</v>
      </c>
    </row>
    <row r="15264" spans="3:4" ht="15" x14ac:dyDescent="0.25">
      <c r="C15264" s="8" t="e">
        <f>VLOOKUP(A:A,'ITEM LIST'!A:C,3,0)</f>
        <v>#N/A</v>
      </c>
      <c r="D15264" s="6">
        <f t="shared" si="239"/>
        <v>0</v>
      </c>
    </row>
    <row r="15265" spans="3:4" ht="15" x14ac:dyDescent="0.25">
      <c r="C15265" s="8" t="e">
        <f>VLOOKUP(A:A,'ITEM LIST'!A:C,3,0)</f>
        <v>#N/A</v>
      </c>
      <c r="D15265" s="6">
        <f t="shared" si="239"/>
        <v>0</v>
      </c>
    </row>
    <row r="15266" spans="3:4" ht="15" x14ac:dyDescent="0.25">
      <c r="C15266" s="8" t="e">
        <f>VLOOKUP(A:A,'ITEM LIST'!A:C,3,0)</f>
        <v>#N/A</v>
      </c>
      <c r="D15266" s="6">
        <f t="shared" si="239"/>
        <v>0</v>
      </c>
    </row>
    <row r="15267" spans="3:4" ht="15" x14ac:dyDescent="0.25">
      <c r="C15267" s="8" t="e">
        <f>VLOOKUP(A:A,'ITEM LIST'!A:C,3,0)</f>
        <v>#N/A</v>
      </c>
      <c r="D15267" s="6">
        <f t="shared" si="239"/>
        <v>0</v>
      </c>
    </row>
    <row r="15268" spans="3:4" ht="15" x14ac:dyDescent="0.25">
      <c r="C15268" s="8" t="e">
        <f>VLOOKUP(A:A,'ITEM LIST'!A:C,3,0)</f>
        <v>#N/A</v>
      </c>
      <c r="D15268" s="6">
        <f t="shared" si="239"/>
        <v>0</v>
      </c>
    </row>
    <row r="15269" spans="3:4" ht="15" x14ac:dyDescent="0.25">
      <c r="C15269" s="8" t="e">
        <f>VLOOKUP(A:A,'ITEM LIST'!A:C,3,0)</f>
        <v>#N/A</v>
      </c>
      <c r="D15269" s="6">
        <f t="shared" si="239"/>
        <v>0</v>
      </c>
    </row>
    <row r="15270" spans="3:4" ht="15" x14ac:dyDescent="0.25">
      <c r="C15270" s="8" t="e">
        <f>VLOOKUP(A:A,'ITEM LIST'!A:C,3,0)</f>
        <v>#N/A</v>
      </c>
      <c r="D15270" s="6">
        <f t="shared" si="239"/>
        <v>0</v>
      </c>
    </row>
    <row r="15271" spans="3:4" ht="15" x14ac:dyDescent="0.25">
      <c r="C15271" s="8" t="e">
        <f>VLOOKUP(A:A,'ITEM LIST'!A:C,3,0)</f>
        <v>#N/A</v>
      </c>
      <c r="D15271" s="6">
        <f t="shared" si="239"/>
        <v>0</v>
      </c>
    </row>
    <row r="15272" spans="3:4" ht="15" x14ac:dyDescent="0.25">
      <c r="C15272" s="8" t="e">
        <f>VLOOKUP(A:A,'ITEM LIST'!A:C,3,0)</f>
        <v>#N/A</v>
      </c>
      <c r="D15272" s="6">
        <f t="shared" si="239"/>
        <v>0</v>
      </c>
    </row>
    <row r="15273" spans="3:4" ht="15" x14ac:dyDescent="0.25">
      <c r="C15273" s="8" t="e">
        <f>VLOOKUP(A:A,'ITEM LIST'!A:C,3,0)</f>
        <v>#N/A</v>
      </c>
      <c r="D15273" s="6">
        <f t="shared" si="239"/>
        <v>0</v>
      </c>
    </row>
    <row r="15274" spans="3:4" ht="15" x14ac:dyDescent="0.25">
      <c r="C15274" s="8" t="e">
        <f>VLOOKUP(A:A,'ITEM LIST'!A:C,3,0)</f>
        <v>#N/A</v>
      </c>
      <c r="D15274" s="6">
        <f t="shared" si="239"/>
        <v>0</v>
      </c>
    </row>
    <row r="15275" spans="3:4" ht="15" x14ac:dyDescent="0.25">
      <c r="C15275" s="8" t="e">
        <f>VLOOKUP(A:A,'ITEM LIST'!A:C,3,0)</f>
        <v>#N/A</v>
      </c>
      <c r="D15275" s="6">
        <f t="shared" si="239"/>
        <v>0</v>
      </c>
    </row>
    <row r="15276" spans="3:4" ht="15" x14ac:dyDescent="0.25">
      <c r="C15276" s="8" t="e">
        <f>VLOOKUP(A:A,'ITEM LIST'!A:C,3,0)</f>
        <v>#N/A</v>
      </c>
      <c r="D15276" s="6">
        <f t="shared" si="239"/>
        <v>0</v>
      </c>
    </row>
    <row r="15277" spans="3:4" ht="15" x14ac:dyDescent="0.25">
      <c r="C15277" s="8" t="e">
        <f>VLOOKUP(A:A,'ITEM LIST'!A:C,3,0)</f>
        <v>#N/A</v>
      </c>
      <c r="D15277" s="6">
        <f t="shared" si="239"/>
        <v>0</v>
      </c>
    </row>
    <row r="15278" spans="3:4" ht="15" x14ac:dyDescent="0.25">
      <c r="C15278" s="8" t="e">
        <f>VLOOKUP(A:A,'ITEM LIST'!A:C,3,0)</f>
        <v>#N/A</v>
      </c>
      <c r="D15278" s="6">
        <f t="shared" si="239"/>
        <v>0</v>
      </c>
    </row>
    <row r="15279" spans="3:4" ht="15" x14ac:dyDescent="0.25">
      <c r="C15279" s="8" t="e">
        <f>VLOOKUP(A:A,'ITEM LIST'!A:C,3,0)</f>
        <v>#N/A</v>
      </c>
      <c r="D15279" s="6">
        <f t="shared" si="239"/>
        <v>0</v>
      </c>
    </row>
    <row r="15280" spans="3:4" ht="15" x14ac:dyDescent="0.25">
      <c r="C15280" s="8" t="e">
        <f>VLOOKUP(A:A,'ITEM LIST'!A:C,3,0)</f>
        <v>#N/A</v>
      </c>
      <c r="D15280" s="6">
        <f t="shared" si="239"/>
        <v>0</v>
      </c>
    </row>
    <row r="15281" spans="3:4" ht="15" x14ac:dyDescent="0.25">
      <c r="C15281" s="8" t="e">
        <f>VLOOKUP(A:A,'ITEM LIST'!A:C,3,0)</f>
        <v>#N/A</v>
      </c>
      <c r="D15281" s="6">
        <f t="shared" si="239"/>
        <v>0</v>
      </c>
    </row>
    <row r="15282" spans="3:4" ht="15" x14ac:dyDescent="0.25">
      <c r="C15282" s="8" t="e">
        <f>VLOOKUP(A:A,'ITEM LIST'!A:C,3,0)</f>
        <v>#N/A</v>
      </c>
      <c r="D15282" s="6">
        <f t="shared" si="239"/>
        <v>0</v>
      </c>
    </row>
    <row r="15283" spans="3:4" ht="15" x14ac:dyDescent="0.25">
      <c r="C15283" s="8" t="e">
        <f>VLOOKUP(A:A,'ITEM LIST'!A:C,3,0)</f>
        <v>#N/A</v>
      </c>
      <c r="D15283" s="6">
        <f t="shared" si="239"/>
        <v>0</v>
      </c>
    </row>
    <row r="15284" spans="3:4" ht="15" x14ac:dyDescent="0.25">
      <c r="C15284" s="8" t="e">
        <f>VLOOKUP(A:A,'ITEM LIST'!A:C,3,0)</f>
        <v>#N/A</v>
      </c>
      <c r="D15284" s="6">
        <f t="shared" si="239"/>
        <v>0</v>
      </c>
    </row>
    <row r="15285" spans="3:4" ht="15" x14ac:dyDescent="0.25">
      <c r="C15285" s="8" t="e">
        <f>VLOOKUP(A:A,'ITEM LIST'!A:C,3,0)</f>
        <v>#N/A</v>
      </c>
      <c r="D15285" s="6">
        <f t="shared" si="239"/>
        <v>0</v>
      </c>
    </row>
    <row r="15286" spans="3:4" ht="15" x14ac:dyDescent="0.25">
      <c r="C15286" s="8" t="e">
        <f>VLOOKUP(A:A,'ITEM LIST'!A:C,3,0)</f>
        <v>#N/A</v>
      </c>
      <c r="D15286" s="6">
        <f t="shared" si="239"/>
        <v>0</v>
      </c>
    </row>
    <row r="15287" spans="3:4" ht="15" x14ac:dyDescent="0.25">
      <c r="C15287" s="8" t="e">
        <f>VLOOKUP(A:A,'ITEM LIST'!A:C,3,0)</f>
        <v>#N/A</v>
      </c>
      <c r="D15287" s="6">
        <f t="shared" si="239"/>
        <v>0</v>
      </c>
    </row>
    <row r="15288" spans="3:4" ht="15" x14ac:dyDescent="0.25">
      <c r="C15288" s="8" t="e">
        <f>VLOOKUP(A:A,'ITEM LIST'!A:C,3,0)</f>
        <v>#N/A</v>
      </c>
      <c r="D15288" s="6">
        <f t="shared" si="239"/>
        <v>0</v>
      </c>
    </row>
    <row r="15289" spans="3:4" ht="15" x14ac:dyDescent="0.25">
      <c r="C15289" s="8" t="e">
        <f>VLOOKUP(A:A,'ITEM LIST'!A:C,3,0)</f>
        <v>#N/A</v>
      </c>
      <c r="D15289" s="6">
        <f t="shared" si="239"/>
        <v>0</v>
      </c>
    </row>
    <row r="15290" spans="3:4" ht="15" x14ac:dyDescent="0.25">
      <c r="C15290" s="8" t="e">
        <f>VLOOKUP(A:A,'ITEM LIST'!A:C,3,0)</f>
        <v>#N/A</v>
      </c>
      <c r="D15290" s="6">
        <f t="shared" si="239"/>
        <v>0</v>
      </c>
    </row>
    <row r="15291" spans="3:4" ht="15" x14ac:dyDescent="0.25">
      <c r="C15291" s="8" t="e">
        <f>VLOOKUP(A:A,'ITEM LIST'!A:C,3,0)</f>
        <v>#N/A</v>
      </c>
      <c r="D15291" s="6">
        <f t="shared" si="239"/>
        <v>0</v>
      </c>
    </row>
    <row r="15292" spans="3:4" ht="15" x14ac:dyDescent="0.25">
      <c r="C15292" s="8" t="e">
        <f>VLOOKUP(A:A,'ITEM LIST'!A:C,3,0)</f>
        <v>#N/A</v>
      </c>
      <c r="D15292" s="6">
        <f t="shared" si="239"/>
        <v>0</v>
      </c>
    </row>
    <row r="15293" spans="3:4" ht="15" x14ac:dyDescent="0.25">
      <c r="C15293" s="8" t="e">
        <f>VLOOKUP(A:A,'ITEM LIST'!A:C,3,0)</f>
        <v>#N/A</v>
      </c>
      <c r="D15293" s="6">
        <f t="shared" si="239"/>
        <v>0</v>
      </c>
    </row>
    <row r="15294" spans="3:4" ht="15" x14ac:dyDescent="0.25">
      <c r="C15294" s="8" t="e">
        <f>VLOOKUP(A:A,'ITEM LIST'!A:C,3,0)</f>
        <v>#N/A</v>
      </c>
      <c r="D15294" s="6">
        <f t="shared" si="239"/>
        <v>0</v>
      </c>
    </row>
    <row r="15295" spans="3:4" ht="15" x14ac:dyDescent="0.25">
      <c r="C15295" s="8" t="e">
        <f>VLOOKUP(A:A,'ITEM LIST'!A:C,3,0)</f>
        <v>#N/A</v>
      </c>
      <c r="D15295" s="6">
        <f t="shared" si="239"/>
        <v>0</v>
      </c>
    </row>
    <row r="15296" spans="3:4" ht="15" x14ac:dyDescent="0.25">
      <c r="C15296" s="8" t="e">
        <f>VLOOKUP(A:A,'ITEM LIST'!A:C,3,0)</f>
        <v>#N/A</v>
      </c>
      <c r="D15296" s="6">
        <f t="shared" si="239"/>
        <v>0</v>
      </c>
    </row>
    <row r="15297" spans="3:4" ht="15" x14ac:dyDescent="0.25">
      <c r="C15297" s="8" t="e">
        <f>VLOOKUP(A:A,'ITEM LIST'!A:C,3,0)</f>
        <v>#N/A</v>
      </c>
      <c r="D15297" s="6">
        <f t="shared" si="239"/>
        <v>0</v>
      </c>
    </row>
    <row r="15298" spans="3:4" ht="15" x14ac:dyDescent="0.25">
      <c r="C15298" s="8" t="e">
        <f>VLOOKUP(A:A,'ITEM LIST'!A:C,3,0)</f>
        <v>#N/A</v>
      </c>
      <c r="D15298" s="6">
        <f t="shared" si="239"/>
        <v>0</v>
      </c>
    </row>
    <row r="15299" spans="3:4" ht="15" x14ac:dyDescent="0.25">
      <c r="C15299" s="8" t="e">
        <f>VLOOKUP(A:A,'ITEM LIST'!A:C,3,0)</f>
        <v>#N/A</v>
      </c>
      <c r="D15299" s="6">
        <f t="shared" si="239"/>
        <v>0</v>
      </c>
    </row>
    <row r="15300" spans="3:4" ht="15" x14ac:dyDescent="0.25">
      <c r="C15300" s="8" t="e">
        <f>VLOOKUP(A:A,'ITEM LIST'!A:C,3,0)</f>
        <v>#N/A</v>
      </c>
      <c r="D15300" s="6">
        <f t="shared" si="239"/>
        <v>0</v>
      </c>
    </row>
    <row r="15301" spans="3:4" ht="15" x14ac:dyDescent="0.25">
      <c r="C15301" s="8" t="e">
        <f>VLOOKUP(A:A,'ITEM LIST'!A:C,3,0)</f>
        <v>#N/A</v>
      </c>
      <c r="D15301" s="6">
        <f t="shared" si="239"/>
        <v>0</v>
      </c>
    </row>
    <row r="15302" spans="3:4" ht="15" x14ac:dyDescent="0.25">
      <c r="C15302" s="8" t="e">
        <f>VLOOKUP(A:A,'ITEM LIST'!A:C,3,0)</f>
        <v>#N/A</v>
      </c>
      <c r="D15302" s="6">
        <f t="shared" ref="D15302:D15365" si="240">B15302</f>
        <v>0</v>
      </c>
    </row>
    <row r="15303" spans="3:4" ht="15" x14ac:dyDescent="0.25">
      <c r="C15303" s="8" t="e">
        <f>VLOOKUP(A:A,'ITEM LIST'!A:C,3,0)</f>
        <v>#N/A</v>
      </c>
      <c r="D15303" s="6">
        <f t="shared" si="240"/>
        <v>0</v>
      </c>
    </row>
    <row r="15304" spans="3:4" ht="15" x14ac:dyDescent="0.25">
      <c r="C15304" s="8" t="e">
        <f>VLOOKUP(A:A,'ITEM LIST'!A:C,3,0)</f>
        <v>#N/A</v>
      </c>
      <c r="D15304" s="6">
        <f t="shared" si="240"/>
        <v>0</v>
      </c>
    </row>
    <row r="15305" spans="3:4" ht="15" x14ac:dyDescent="0.25">
      <c r="C15305" s="8" t="e">
        <f>VLOOKUP(A:A,'ITEM LIST'!A:C,3,0)</f>
        <v>#N/A</v>
      </c>
      <c r="D15305" s="6">
        <f t="shared" si="240"/>
        <v>0</v>
      </c>
    </row>
    <row r="15306" spans="3:4" ht="15" x14ac:dyDescent="0.25">
      <c r="C15306" s="8" t="e">
        <f>VLOOKUP(A:A,'ITEM LIST'!A:C,3,0)</f>
        <v>#N/A</v>
      </c>
      <c r="D15306" s="6">
        <f t="shared" si="240"/>
        <v>0</v>
      </c>
    </row>
    <row r="15307" spans="3:4" ht="15" x14ac:dyDescent="0.25">
      <c r="C15307" s="8" t="e">
        <f>VLOOKUP(A:A,'ITEM LIST'!A:C,3,0)</f>
        <v>#N/A</v>
      </c>
      <c r="D15307" s="6">
        <f t="shared" si="240"/>
        <v>0</v>
      </c>
    </row>
    <row r="15308" spans="3:4" ht="15" x14ac:dyDescent="0.25">
      <c r="C15308" s="8" t="e">
        <f>VLOOKUP(A:A,'ITEM LIST'!A:C,3,0)</f>
        <v>#N/A</v>
      </c>
      <c r="D15308" s="6">
        <f t="shared" si="240"/>
        <v>0</v>
      </c>
    </row>
    <row r="15309" spans="3:4" ht="15" x14ac:dyDescent="0.25">
      <c r="C15309" s="8" t="e">
        <f>VLOOKUP(A:A,'ITEM LIST'!A:C,3,0)</f>
        <v>#N/A</v>
      </c>
      <c r="D15309" s="6">
        <f t="shared" si="240"/>
        <v>0</v>
      </c>
    </row>
    <row r="15310" spans="3:4" ht="15" x14ac:dyDescent="0.25">
      <c r="C15310" s="8" t="e">
        <f>VLOOKUP(A:A,'ITEM LIST'!A:C,3,0)</f>
        <v>#N/A</v>
      </c>
      <c r="D15310" s="6">
        <f t="shared" si="240"/>
        <v>0</v>
      </c>
    </row>
    <row r="15311" spans="3:4" ht="15" x14ac:dyDescent="0.25">
      <c r="C15311" s="8" t="e">
        <f>VLOOKUP(A:A,'ITEM LIST'!A:C,3,0)</f>
        <v>#N/A</v>
      </c>
      <c r="D15311" s="6">
        <f t="shared" si="240"/>
        <v>0</v>
      </c>
    </row>
    <row r="15312" spans="3:4" ht="15" x14ac:dyDescent="0.25">
      <c r="C15312" s="8" t="e">
        <f>VLOOKUP(A:A,'ITEM LIST'!A:C,3,0)</f>
        <v>#N/A</v>
      </c>
      <c r="D15312" s="6">
        <f t="shared" si="240"/>
        <v>0</v>
      </c>
    </row>
    <row r="15313" spans="3:4" ht="15" x14ac:dyDescent="0.25">
      <c r="C15313" s="8" t="e">
        <f>VLOOKUP(A:A,'ITEM LIST'!A:C,3,0)</f>
        <v>#N/A</v>
      </c>
      <c r="D15313" s="6">
        <f t="shared" si="240"/>
        <v>0</v>
      </c>
    </row>
    <row r="15314" spans="3:4" ht="15" x14ac:dyDescent="0.25">
      <c r="C15314" s="8" t="e">
        <f>VLOOKUP(A:A,'ITEM LIST'!A:C,3,0)</f>
        <v>#N/A</v>
      </c>
      <c r="D15314" s="6">
        <f t="shared" si="240"/>
        <v>0</v>
      </c>
    </row>
    <row r="15315" spans="3:4" ht="15" x14ac:dyDescent="0.25">
      <c r="C15315" s="8" t="e">
        <f>VLOOKUP(A:A,'ITEM LIST'!A:C,3,0)</f>
        <v>#N/A</v>
      </c>
      <c r="D15315" s="6">
        <f t="shared" si="240"/>
        <v>0</v>
      </c>
    </row>
    <row r="15316" spans="3:4" ht="15" x14ac:dyDescent="0.25">
      <c r="C15316" s="8" t="e">
        <f>VLOOKUP(A:A,'ITEM LIST'!A:C,3,0)</f>
        <v>#N/A</v>
      </c>
      <c r="D15316" s="6">
        <f t="shared" si="240"/>
        <v>0</v>
      </c>
    </row>
    <row r="15317" spans="3:4" ht="15" x14ac:dyDescent="0.25">
      <c r="C15317" s="8" t="e">
        <f>VLOOKUP(A:A,'ITEM LIST'!A:C,3,0)</f>
        <v>#N/A</v>
      </c>
      <c r="D15317" s="6">
        <f t="shared" si="240"/>
        <v>0</v>
      </c>
    </row>
    <row r="15318" spans="3:4" ht="15" x14ac:dyDescent="0.25">
      <c r="C15318" s="8" t="e">
        <f>VLOOKUP(A:A,'ITEM LIST'!A:C,3,0)</f>
        <v>#N/A</v>
      </c>
      <c r="D15318" s="6">
        <f t="shared" si="240"/>
        <v>0</v>
      </c>
    </row>
    <row r="15319" spans="3:4" ht="15" x14ac:dyDescent="0.25">
      <c r="C15319" s="8" t="e">
        <f>VLOOKUP(A:A,'ITEM LIST'!A:C,3,0)</f>
        <v>#N/A</v>
      </c>
      <c r="D15319" s="6">
        <f t="shared" si="240"/>
        <v>0</v>
      </c>
    </row>
    <row r="15320" spans="3:4" ht="15" x14ac:dyDescent="0.25">
      <c r="C15320" s="8" t="e">
        <f>VLOOKUP(A:A,'ITEM LIST'!A:C,3,0)</f>
        <v>#N/A</v>
      </c>
      <c r="D15320" s="6">
        <f t="shared" si="240"/>
        <v>0</v>
      </c>
    </row>
    <row r="15321" spans="3:4" ht="15" x14ac:dyDescent="0.25">
      <c r="C15321" s="8" t="e">
        <f>VLOOKUP(A:A,'ITEM LIST'!A:C,3,0)</f>
        <v>#N/A</v>
      </c>
      <c r="D15321" s="6">
        <f t="shared" si="240"/>
        <v>0</v>
      </c>
    </row>
    <row r="15322" spans="3:4" ht="15" x14ac:dyDescent="0.25">
      <c r="C15322" s="8" t="e">
        <f>VLOOKUP(A:A,'ITEM LIST'!A:C,3,0)</f>
        <v>#N/A</v>
      </c>
      <c r="D15322" s="6">
        <f t="shared" si="240"/>
        <v>0</v>
      </c>
    </row>
    <row r="15323" spans="3:4" ht="15" x14ac:dyDescent="0.25">
      <c r="C15323" s="8" t="e">
        <f>VLOOKUP(A:A,'ITEM LIST'!A:C,3,0)</f>
        <v>#N/A</v>
      </c>
      <c r="D15323" s="6">
        <f t="shared" si="240"/>
        <v>0</v>
      </c>
    </row>
    <row r="15324" spans="3:4" ht="15" x14ac:dyDescent="0.25">
      <c r="C15324" s="8" t="e">
        <f>VLOOKUP(A:A,'ITEM LIST'!A:C,3,0)</f>
        <v>#N/A</v>
      </c>
      <c r="D15324" s="6">
        <f t="shared" si="240"/>
        <v>0</v>
      </c>
    </row>
    <row r="15325" spans="3:4" ht="15" x14ac:dyDescent="0.25">
      <c r="C15325" s="8" t="e">
        <f>VLOOKUP(A:A,'ITEM LIST'!A:C,3,0)</f>
        <v>#N/A</v>
      </c>
      <c r="D15325" s="6">
        <f t="shared" si="240"/>
        <v>0</v>
      </c>
    </row>
    <row r="15326" spans="3:4" ht="15" x14ac:dyDescent="0.25">
      <c r="C15326" s="8" t="e">
        <f>VLOOKUP(A:A,'ITEM LIST'!A:C,3,0)</f>
        <v>#N/A</v>
      </c>
      <c r="D15326" s="6">
        <f t="shared" si="240"/>
        <v>0</v>
      </c>
    </row>
    <row r="15327" spans="3:4" ht="15" x14ac:dyDescent="0.25">
      <c r="C15327" s="8" t="e">
        <f>VLOOKUP(A:A,'ITEM LIST'!A:C,3,0)</f>
        <v>#N/A</v>
      </c>
      <c r="D15327" s="6">
        <f t="shared" si="240"/>
        <v>0</v>
      </c>
    </row>
    <row r="15328" spans="3:4" ht="15" x14ac:dyDescent="0.25">
      <c r="C15328" s="8" t="e">
        <f>VLOOKUP(A:A,'ITEM LIST'!A:C,3,0)</f>
        <v>#N/A</v>
      </c>
      <c r="D15328" s="6">
        <f t="shared" si="240"/>
        <v>0</v>
      </c>
    </row>
    <row r="15329" spans="3:4" ht="15" x14ac:dyDescent="0.25">
      <c r="C15329" s="8" t="e">
        <f>VLOOKUP(A:A,'ITEM LIST'!A:C,3,0)</f>
        <v>#N/A</v>
      </c>
      <c r="D15329" s="6">
        <f t="shared" si="240"/>
        <v>0</v>
      </c>
    </row>
    <row r="15330" spans="3:4" ht="15" x14ac:dyDescent="0.25">
      <c r="C15330" s="8" t="e">
        <f>VLOOKUP(A:A,'ITEM LIST'!A:C,3,0)</f>
        <v>#N/A</v>
      </c>
      <c r="D15330" s="6">
        <f t="shared" si="240"/>
        <v>0</v>
      </c>
    </row>
    <row r="15331" spans="3:4" ht="15" x14ac:dyDescent="0.25">
      <c r="C15331" s="8" t="e">
        <f>VLOOKUP(A:A,'ITEM LIST'!A:C,3,0)</f>
        <v>#N/A</v>
      </c>
      <c r="D15331" s="6">
        <f t="shared" si="240"/>
        <v>0</v>
      </c>
    </row>
    <row r="15332" spans="3:4" ht="15" x14ac:dyDescent="0.25">
      <c r="C15332" s="8" t="e">
        <f>VLOOKUP(A:A,'ITEM LIST'!A:C,3,0)</f>
        <v>#N/A</v>
      </c>
      <c r="D15332" s="6">
        <f t="shared" si="240"/>
        <v>0</v>
      </c>
    </row>
    <row r="15333" spans="3:4" ht="15" x14ac:dyDescent="0.25">
      <c r="C15333" s="8" t="e">
        <f>VLOOKUP(A:A,'ITEM LIST'!A:C,3,0)</f>
        <v>#N/A</v>
      </c>
      <c r="D15333" s="6">
        <f t="shared" si="240"/>
        <v>0</v>
      </c>
    </row>
    <row r="15334" spans="3:4" ht="15" x14ac:dyDescent="0.25">
      <c r="C15334" s="8" t="e">
        <f>VLOOKUP(A:A,'ITEM LIST'!A:C,3,0)</f>
        <v>#N/A</v>
      </c>
      <c r="D15334" s="6">
        <f t="shared" si="240"/>
        <v>0</v>
      </c>
    </row>
    <row r="15335" spans="3:4" ht="15" x14ac:dyDescent="0.25">
      <c r="C15335" s="8" t="e">
        <f>VLOOKUP(A:A,'ITEM LIST'!A:C,3,0)</f>
        <v>#N/A</v>
      </c>
      <c r="D15335" s="6">
        <f t="shared" si="240"/>
        <v>0</v>
      </c>
    </row>
    <row r="15336" spans="3:4" ht="15" x14ac:dyDescent="0.25">
      <c r="C15336" s="8" t="e">
        <f>VLOOKUP(A:A,'ITEM LIST'!A:C,3,0)</f>
        <v>#N/A</v>
      </c>
      <c r="D15336" s="6">
        <f t="shared" si="240"/>
        <v>0</v>
      </c>
    </row>
    <row r="15337" spans="3:4" ht="15" x14ac:dyDescent="0.25">
      <c r="C15337" s="8" t="e">
        <f>VLOOKUP(A:A,'ITEM LIST'!A:C,3,0)</f>
        <v>#N/A</v>
      </c>
      <c r="D15337" s="6">
        <f t="shared" si="240"/>
        <v>0</v>
      </c>
    </row>
    <row r="15338" spans="3:4" ht="15" x14ac:dyDescent="0.25">
      <c r="C15338" s="8" t="e">
        <f>VLOOKUP(A:A,'ITEM LIST'!A:C,3,0)</f>
        <v>#N/A</v>
      </c>
      <c r="D15338" s="6">
        <f t="shared" si="240"/>
        <v>0</v>
      </c>
    </row>
    <row r="15339" spans="3:4" ht="15" x14ac:dyDescent="0.25">
      <c r="C15339" s="8" t="e">
        <f>VLOOKUP(A:A,'ITEM LIST'!A:C,3,0)</f>
        <v>#N/A</v>
      </c>
      <c r="D15339" s="6">
        <f t="shared" si="240"/>
        <v>0</v>
      </c>
    </row>
    <row r="15340" spans="3:4" ht="15" x14ac:dyDescent="0.25">
      <c r="C15340" s="8" t="e">
        <f>VLOOKUP(A:A,'ITEM LIST'!A:C,3,0)</f>
        <v>#N/A</v>
      </c>
      <c r="D15340" s="6">
        <f t="shared" si="240"/>
        <v>0</v>
      </c>
    </row>
    <row r="15341" spans="3:4" ht="15" x14ac:dyDescent="0.25">
      <c r="C15341" s="8" t="e">
        <f>VLOOKUP(A:A,'ITEM LIST'!A:C,3,0)</f>
        <v>#N/A</v>
      </c>
      <c r="D15341" s="6">
        <f t="shared" si="240"/>
        <v>0</v>
      </c>
    </row>
    <row r="15342" spans="3:4" ht="15" x14ac:dyDescent="0.25">
      <c r="C15342" s="8" t="e">
        <f>VLOOKUP(A:A,'ITEM LIST'!A:C,3,0)</f>
        <v>#N/A</v>
      </c>
      <c r="D15342" s="6">
        <f t="shared" si="240"/>
        <v>0</v>
      </c>
    </row>
    <row r="15343" spans="3:4" ht="15" x14ac:dyDescent="0.25">
      <c r="C15343" s="8" t="e">
        <f>VLOOKUP(A:A,'ITEM LIST'!A:C,3,0)</f>
        <v>#N/A</v>
      </c>
      <c r="D15343" s="6">
        <f t="shared" si="240"/>
        <v>0</v>
      </c>
    </row>
    <row r="15344" spans="3:4" ht="15" x14ac:dyDescent="0.25">
      <c r="C15344" s="8" t="e">
        <f>VLOOKUP(A:A,'ITEM LIST'!A:C,3,0)</f>
        <v>#N/A</v>
      </c>
      <c r="D15344" s="6">
        <f t="shared" si="240"/>
        <v>0</v>
      </c>
    </row>
    <row r="15345" spans="3:4" ht="15" x14ac:dyDescent="0.25">
      <c r="C15345" s="8" t="e">
        <f>VLOOKUP(A:A,'ITEM LIST'!A:C,3,0)</f>
        <v>#N/A</v>
      </c>
      <c r="D15345" s="6">
        <f t="shared" si="240"/>
        <v>0</v>
      </c>
    </row>
    <row r="15346" spans="3:4" ht="15" x14ac:dyDescent="0.25">
      <c r="C15346" s="8" t="e">
        <f>VLOOKUP(A:A,'ITEM LIST'!A:C,3,0)</f>
        <v>#N/A</v>
      </c>
      <c r="D15346" s="6">
        <f t="shared" si="240"/>
        <v>0</v>
      </c>
    </row>
    <row r="15347" spans="3:4" ht="15" x14ac:dyDescent="0.25">
      <c r="C15347" s="8" t="e">
        <f>VLOOKUP(A:A,'ITEM LIST'!A:C,3,0)</f>
        <v>#N/A</v>
      </c>
      <c r="D15347" s="6">
        <f t="shared" si="240"/>
        <v>0</v>
      </c>
    </row>
    <row r="15348" spans="3:4" ht="15" x14ac:dyDescent="0.25">
      <c r="C15348" s="8" t="e">
        <f>VLOOKUP(A:A,'ITEM LIST'!A:C,3,0)</f>
        <v>#N/A</v>
      </c>
      <c r="D15348" s="6">
        <f t="shared" si="240"/>
        <v>0</v>
      </c>
    </row>
    <row r="15349" spans="3:4" ht="15" x14ac:dyDescent="0.25">
      <c r="C15349" s="8" t="e">
        <f>VLOOKUP(A:A,'ITEM LIST'!A:C,3,0)</f>
        <v>#N/A</v>
      </c>
      <c r="D15349" s="6">
        <f t="shared" si="240"/>
        <v>0</v>
      </c>
    </row>
    <row r="15350" spans="3:4" ht="15" x14ac:dyDescent="0.25">
      <c r="C15350" s="8" t="e">
        <f>VLOOKUP(A:A,'ITEM LIST'!A:C,3,0)</f>
        <v>#N/A</v>
      </c>
      <c r="D15350" s="6">
        <f t="shared" si="240"/>
        <v>0</v>
      </c>
    </row>
    <row r="15351" spans="3:4" ht="15" x14ac:dyDescent="0.25">
      <c r="C15351" s="8" t="e">
        <f>VLOOKUP(A:A,'ITEM LIST'!A:C,3,0)</f>
        <v>#N/A</v>
      </c>
      <c r="D15351" s="6">
        <f t="shared" si="240"/>
        <v>0</v>
      </c>
    </row>
    <row r="15352" spans="3:4" ht="15" x14ac:dyDescent="0.25">
      <c r="C15352" s="8" t="e">
        <f>VLOOKUP(A:A,'ITEM LIST'!A:C,3,0)</f>
        <v>#N/A</v>
      </c>
      <c r="D15352" s="6">
        <f t="shared" si="240"/>
        <v>0</v>
      </c>
    </row>
    <row r="15353" spans="3:4" ht="15" x14ac:dyDescent="0.25">
      <c r="C15353" s="8" t="e">
        <f>VLOOKUP(A:A,'ITEM LIST'!A:C,3,0)</f>
        <v>#N/A</v>
      </c>
      <c r="D15353" s="6">
        <f t="shared" si="240"/>
        <v>0</v>
      </c>
    </row>
    <row r="15354" spans="3:4" ht="15" x14ac:dyDescent="0.25">
      <c r="C15354" s="8" t="e">
        <f>VLOOKUP(A:A,'ITEM LIST'!A:C,3,0)</f>
        <v>#N/A</v>
      </c>
      <c r="D15354" s="6">
        <f t="shared" si="240"/>
        <v>0</v>
      </c>
    </row>
    <row r="15355" spans="3:4" ht="15" x14ac:dyDescent="0.25">
      <c r="C15355" s="8" t="e">
        <f>VLOOKUP(A:A,'ITEM LIST'!A:C,3,0)</f>
        <v>#N/A</v>
      </c>
      <c r="D15355" s="6">
        <f t="shared" si="240"/>
        <v>0</v>
      </c>
    </row>
    <row r="15356" spans="3:4" ht="15" x14ac:dyDescent="0.25">
      <c r="C15356" s="8" t="e">
        <f>VLOOKUP(A:A,'ITEM LIST'!A:C,3,0)</f>
        <v>#N/A</v>
      </c>
      <c r="D15356" s="6">
        <f t="shared" si="240"/>
        <v>0</v>
      </c>
    </row>
    <row r="15357" spans="3:4" ht="15" x14ac:dyDescent="0.25">
      <c r="C15357" s="8" t="e">
        <f>VLOOKUP(A:A,'ITEM LIST'!A:C,3,0)</f>
        <v>#N/A</v>
      </c>
      <c r="D15357" s="6">
        <f t="shared" si="240"/>
        <v>0</v>
      </c>
    </row>
    <row r="15358" spans="3:4" ht="15" x14ac:dyDescent="0.25">
      <c r="C15358" s="8" t="e">
        <f>VLOOKUP(A:A,'ITEM LIST'!A:C,3,0)</f>
        <v>#N/A</v>
      </c>
      <c r="D15358" s="6">
        <f t="shared" si="240"/>
        <v>0</v>
      </c>
    </row>
    <row r="15359" spans="3:4" ht="15" x14ac:dyDescent="0.25">
      <c r="C15359" s="8" t="e">
        <f>VLOOKUP(A:A,'ITEM LIST'!A:C,3,0)</f>
        <v>#N/A</v>
      </c>
      <c r="D15359" s="6">
        <f t="shared" si="240"/>
        <v>0</v>
      </c>
    </row>
    <row r="15360" spans="3:4" ht="15" x14ac:dyDescent="0.25">
      <c r="C15360" s="8" t="e">
        <f>VLOOKUP(A:A,'ITEM LIST'!A:C,3,0)</f>
        <v>#N/A</v>
      </c>
      <c r="D15360" s="6">
        <f t="shared" si="240"/>
        <v>0</v>
      </c>
    </row>
    <row r="15361" spans="3:4" ht="15" x14ac:dyDescent="0.25">
      <c r="C15361" s="8" t="e">
        <f>VLOOKUP(A:A,'ITEM LIST'!A:C,3,0)</f>
        <v>#N/A</v>
      </c>
      <c r="D15361" s="6">
        <f t="shared" si="240"/>
        <v>0</v>
      </c>
    </row>
    <row r="15362" spans="3:4" ht="15" x14ac:dyDescent="0.25">
      <c r="C15362" s="8" t="e">
        <f>VLOOKUP(A:A,'ITEM LIST'!A:C,3,0)</f>
        <v>#N/A</v>
      </c>
      <c r="D15362" s="6">
        <f t="shared" si="240"/>
        <v>0</v>
      </c>
    </row>
    <row r="15363" spans="3:4" ht="15" x14ac:dyDescent="0.25">
      <c r="C15363" s="8" t="e">
        <f>VLOOKUP(A:A,'ITEM LIST'!A:C,3,0)</f>
        <v>#N/A</v>
      </c>
      <c r="D15363" s="6">
        <f t="shared" si="240"/>
        <v>0</v>
      </c>
    </row>
    <row r="15364" spans="3:4" ht="15" x14ac:dyDescent="0.25">
      <c r="C15364" s="8" t="e">
        <f>VLOOKUP(A:A,'ITEM LIST'!A:C,3,0)</f>
        <v>#N/A</v>
      </c>
      <c r="D15364" s="6">
        <f t="shared" si="240"/>
        <v>0</v>
      </c>
    </row>
    <row r="15365" spans="3:4" ht="15" x14ac:dyDescent="0.25">
      <c r="C15365" s="8" t="e">
        <f>VLOOKUP(A:A,'ITEM LIST'!A:C,3,0)</f>
        <v>#N/A</v>
      </c>
      <c r="D15365" s="6">
        <f t="shared" si="240"/>
        <v>0</v>
      </c>
    </row>
    <row r="15366" spans="3:4" ht="15" x14ac:dyDescent="0.25">
      <c r="C15366" s="8" t="e">
        <f>VLOOKUP(A:A,'ITEM LIST'!A:C,3,0)</f>
        <v>#N/A</v>
      </c>
      <c r="D15366" s="6">
        <f t="shared" ref="D15366:D15429" si="241">B15366</f>
        <v>0</v>
      </c>
    </row>
    <row r="15367" spans="3:4" ht="15" x14ac:dyDescent="0.25">
      <c r="C15367" s="8" t="e">
        <f>VLOOKUP(A:A,'ITEM LIST'!A:C,3,0)</f>
        <v>#N/A</v>
      </c>
      <c r="D15367" s="6">
        <f t="shared" si="241"/>
        <v>0</v>
      </c>
    </row>
    <row r="15368" spans="3:4" ht="15" x14ac:dyDescent="0.25">
      <c r="C15368" s="8" t="e">
        <f>VLOOKUP(A:A,'ITEM LIST'!A:C,3,0)</f>
        <v>#N/A</v>
      </c>
      <c r="D15368" s="6">
        <f t="shared" si="241"/>
        <v>0</v>
      </c>
    </row>
    <row r="15369" spans="3:4" ht="15" x14ac:dyDescent="0.25">
      <c r="C15369" s="8" t="e">
        <f>VLOOKUP(A:A,'ITEM LIST'!A:C,3,0)</f>
        <v>#N/A</v>
      </c>
      <c r="D15369" s="6">
        <f t="shared" si="241"/>
        <v>0</v>
      </c>
    </row>
    <row r="15370" spans="3:4" ht="15" x14ac:dyDescent="0.25">
      <c r="C15370" s="8" t="e">
        <f>VLOOKUP(A:A,'ITEM LIST'!A:C,3,0)</f>
        <v>#N/A</v>
      </c>
      <c r="D15370" s="6">
        <f t="shared" si="241"/>
        <v>0</v>
      </c>
    </row>
    <row r="15371" spans="3:4" ht="15" x14ac:dyDescent="0.25">
      <c r="C15371" s="8" t="e">
        <f>VLOOKUP(A:A,'ITEM LIST'!A:C,3,0)</f>
        <v>#N/A</v>
      </c>
      <c r="D15371" s="6">
        <f t="shared" si="241"/>
        <v>0</v>
      </c>
    </row>
    <row r="15372" spans="3:4" ht="15" x14ac:dyDescent="0.25">
      <c r="C15372" s="8" t="e">
        <f>VLOOKUP(A:A,'ITEM LIST'!A:C,3,0)</f>
        <v>#N/A</v>
      </c>
      <c r="D15372" s="6">
        <f t="shared" si="241"/>
        <v>0</v>
      </c>
    </row>
    <row r="15373" spans="3:4" ht="15" x14ac:dyDescent="0.25">
      <c r="C15373" s="8" t="e">
        <f>VLOOKUP(A:A,'ITEM LIST'!A:C,3,0)</f>
        <v>#N/A</v>
      </c>
      <c r="D15373" s="6">
        <f t="shared" si="241"/>
        <v>0</v>
      </c>
    </row>
    <row r="15374" spans="3:4" ht="15" x14ac:dyDescent="0.25">
      <c r="C15374" s="8" t="e">
        <f>VLOOKUP(A:A,'ITEM LIST'!A:C,3,0)</f>
        <v>#N/A</v>
      </c>
      <c r="D15374" s="6">
        <f t="shared" si="241"/>
        <v>0</v>
      </c>
    </row>
    <row r="15375" spans="3:4" ht="15" x14ac:dyDescent="0.25">
      <c r="C15375" s="8" t="e">
        <f>VLOOKUP(A:A,'ITEM LIST'!A:C,3,0)</f>
        <v>#N/A</v>
      </c>
      <c r="D15375" s="6">
        <f t="shared" si="241"/>
        <v>0</v>
      </c>
    </row>
    <row r="15376" spans="3:4" ht="15" x14ac:dyDescent="0.25">
      <c r="C15376" s="8" t="e">
        <f>VLOOKUP(A:A,'ITEM LIST'!A:C,3,0)</f>
        <v>#N/A</v>
      </c>
      <c r="D15376" s="6">
        <f t="shared" si="241"/>
        <v>0</v>
      </c>
    </row>
    <row r="15377" spans="3:4" ht="15" x14ac:dyDescent="0.25">
      <c r="C15377" s="8" t="e">
        <f>VLOOKUP(A:A,'ITEM LIST'!A:C,3,0)</f>
        <v>#N/A</v>
      </c>
      <c r="D15377" s="6">
        <f t="shared" si="241"/>
        <v>0</v>
      </c>
    </row>
    <row r="15378" spans="3:4" ht="15" x14ac:dyDescent="0.25">
      <c r="C15378" s="8" t="e">
        <f>VLOOKUP(A:A,'ITEM LIST'!A:C,3,0)</f>
        <v>#N/A</v>
      </c>
      <c r="D15378" s="6">
        <f t="shared" si="241"/>
        <v>0</v>
      </c>
    </row>
    <row r="15379" spans="3:4" ht="15" x14ac:dyDescent="0.25">
      <c r="C15379" s="8" t="e">
        <f>VLOOKUP(A:A,'ITEM LIST'!A:C,3,0)</f>
        <v>#N/A</v>
      </c>
      <c r="D15379" s="6">
        <f t="shared" si="241"/>
        <v>0</v>
      </c>
    </row>
    <row r="15380" spans="3:4" ht="15" x14ac:dyDescent="0.25">
      <c r="C15380" s="8" t="e">
        <f>VLOOKUP(A:A,'ITEM LIST'!A:C,3,0)</f>
        <v>#N/A</v>
      </c>
      <c r="D15380" s="6">
        <f t="shared" si="241"/>
        <v>0</v>
      </c>
    </row>
    <row r="15381" spans="3:4" ht="15" x14ac:dyDescent="0.25">
      <c r="C15381" s="8" t="e">
        <f>VLOOKUP(A:A,'ITEM LIST'!A:C,3,0)</f>
        <v>#N/A</v>
      </c>
      <c r="D15381" s="6">
        <f t="shared" si="241"/>
        <v>0</v>
      </c>
    </row>
    <row r="15382" spans="3:4" ht="15" x14ac:dyDescent="0.25">
      <c r="C15382" s="8" t="e">
        <f>VLOOKUP(A:A,'ITEM LIST'!A:C,3,0)</f>
        <v>#N/A</v>
      </c>
      <c r="D15382" s="6">
        <f t="shared" si="241"/>
        <v>0</v>
      </c>
    </row>
    <row r="15383" spans="3:4" ht="15" x14ac:dyDescent="0.25">
      <c r="C15383" s="8" t="e">
        <f>VLOOKUP(A:A,'ITEM LIST'!A:C,3,0)</f>
        <v>#N/A</v>
      </c>
      <c r="D15383" s="6">
        <f t="shared" si="241"/>
        <v>0</v>
      </c>
    </row>
    <row r="15384" spans="3:4" ht="15" x14ac:dyDescent="0.25">
      <c r="C15384" s="8" t="e">
        <f>VLOOKUP(A:A,'ITEM LIST'!A:C,3,0)</f>
        <v>#N/A</v>
      </c>
      <c r="D15384" s="6">
        <f t="shared" si="241"/>
        <v>0</v>
      </c>
    </row>
    <row r="15385" spans="3:4" ht="15" x14ac:dyDescent="0.25">
      <c r="C15385" s="8" t="e">
        <f>VLOOKUP(A:A,'ITEM LIST'!A:C,3,0)</f>
        <v>#N/A</v>
      </c>
      <c r="D15385" s="6">
        <f t="shared" si="241"/>
        <v>0</v>
      </c>
    </row>
    <row r="15386" spans="3:4" ht="15" x14ac:dyDescent="0.25">
      <c r="C15386" s="8" t="e">
        <f>VLOOKUP(A:A,'ITEM LIST'!A:C,3,0)</f>
        <v>#N/A</v>
      </c>
      <c r="D15386" s="6">
        <f t="shared" si="241"/>
        <v>0</v>
      </c>
    </row>
    <row r="15387" spans="3:4" ht="15" x14ac:dyDescent="0.25">
      <c r="C15387" s="8" t="e">
        <f>VLOOKUP(A:A,'ITEM LIST'!A:C,3,0)</f>
        <v>#N/A</v>
      </c>
      <c r="D15387" s="6">
        <f t="shared" si="241"/>
        <v>0</v>
      </c>
    </row>
    <row r="15388" spans="3:4" ht="15" x14ac:dyDescent="0.25">
      <c r="C15388" s="8" t="e">
        <f>VLOOKUP(A:A,'ITEM LIST'!A:C,3,0)</f>
        <v>#N/A</v>
      </c>
      <c r="D15388" s="6">
        <f t="shared" si="241"/>
        <v>0</v>
      </c>
    </row>
    <row r="15389" spans="3:4" ht="15" x14ac:dyDescent="0.25">
      <c r="C15389" s="8" t="e">
        <f>VLOOKUP(A:A,'ITEM LIST'!A:C,3,0)</f>
        <v>#N/A</v>
      </c>
      <c r="D15389" s="6">
        <f t="shared" si="241"/>
        <v>0</v>
      </c>
    </row>
    <row r="15390" spans="3:4" ht="15" x14ac:dyDescent="0.25">
      <c r="C15390" s="8" t="e">
        <f>VLOOKUP(A:A,'ITEM LIST'!A:C,3,0)</f>
        <v>#N/A</v>
      </c>
      <c r="D15390" s="6">
        <f t="shared" si="241"/>
        <v>0</v>
      </c>
    </row>
    <row r="15391" spans="3:4" ht="15" x14ac:dyDescent="0.25">
      <c r="C15391" s="8" t="e">
        <f>VLOOKUP(A:A,'ITEM LIST'!A:C,3,0)</f>
        <v>#N/A</v>
      </c>
      <c r="D15391" s="6">
        <f t="shared" si="241"/>
        <v>0</v>
      </c>
    </row>
    <row r="15392" spans="3:4" ht="15" x14ac:dyDescent="0.25">
      <c r="C15392" s="8" t="e">
        <f>VLOOKUP(A:A,'ITEM LIST'!A:C,3,0)</f>
        <v>#N/A</v>
      </c>
      <c r="D15392" s="6">
        <f t="shared" si="241"/>
        <v>0</v>
      </c>
    </row>
    <row r="15393" spans="3:4" ht="15" x14ac:dyDescent="0.25">
      <c r="C15393" s="8" t="e">
        <f>VLOOKUP(A:A,'ITEM LIST'!A:C,3,0)</f>
        <v>#N/A</v>
      </c>
      <c r="D15393" s="6">
        <f t="shared" si="241"/>
        <v>0</v>
      </c>
    </row>
    <row r="15394" spans="3:4" ht="15" x14ac:dyDescent="0.25">
      <c r="C15394" s="8" t="e">
        <f>VLOOKUP(A:A,'ITEM LIST'!A:C,3,0)</f>
        <v>#N/A</v>
      </c>
      <c r="D15394" s="6">
        <f t="shared" si="241"/>
        <v>0</v>
      </c>
    </row>
    <row r="15395" spans="3:4" ht="15" x14ac:dyDescent="0.25">
      <c r="C15395" s="8" t="e">
        <f>VLOOKUP(A:A,'ITEM LIST'!A:C,3,0)</f>
        <v>#N/A</v>
      </c>
      <c r="D15395" s="6">
        <f t="shared" si="241"/>
        <v>0</v>
      </c>
    </row>
    <row r="15396" spans="3:4" ht="15" x14ac:dyDescent="0.25">
      <c r="C15396" s="8" t="e">
        <f>VLOOKUP(A:A,'ITEM LIST'!A:C,3,0)</f>
        <v>#N/A</v>
      </c>
      <c r="D15396" s="6">
        <f t="shared" si="241"/>
        <v>0</v>
      </c>
    </row>
    <row r="15397" spans="3:4" ht="15" x14ac:dyDescent="0.25">
      <c r="C15397" s="8" t="e">
        <f>VLOOKUP(A:A,'ITEM LIST'!A:C,3,0)</f>
        <v>#N/A</v>
      </c>
      <c r="D15397" s="6">
        <f t="shared" si="241"/>
        <v>0</v>
      </c>
    </row>
    <row r="15398" spans="3:4" ht="15" x14ac:dyDescent="0.25">
      <c r="C15398" s="8" t="e">
        <f>VLOOKUP(A:A,'ITEM LIST'!A:C,3,0)</f>
        <v>#N/A</v>
      </c>
      <c r="D15398" s="6">
        <f t="shared" si="241"/>
        <v>0</v>
      </c>
    </row>
    <row r="15399" spans="3:4" ht="15" x14ac:dyDescent="0.25">
      <c r="C15399" s="8" t="e">
        <f>VLOOKUP(A:A,'ITEM LIST'!A:C,3,0)</f>
        <v>#N/A</v>
      </c>
      <c r="D15399" s="6">
        <f t="shared" si="241"/>
        <v>0</v>
      </c>
    </row>
    <row r="15400" spans="3:4" ht="15" x14ac:dyDescent="0.25">
      <c r="C15400" s="8" t="e">
        <f>VLOOKUP(A:A,'ITEM LIST'!A:C,3,0)</f>
        <v>#N/A</v>
      </c>
      <c r="D15400" s="6">
        <f t="shared" si="241"/>
        <v>0</v>
      </c>
    </row>
    <row r="15401" spans="3:4" ht="15" x14ac:dyDescent="0.25">
      <c r="C15401" s="8" t="e">
        <f>VLOOKUP(A:A,'ITEM LIST'!A:C,3,0)</f>
        <v>#N/A</v>
      </c>
      <c r="D15401" s="6">
        <f t="shared" si="241"/>
        <v>0</v>
      </c>
    </row>
    <row r="15402" spans="3:4" ht="15" x14ac:dyDescent="0.25">
      <c r="C15402" s="8" t="e">
        <f>VLOOKUP(A:A,'ITEM LIST'!A:C,3,0)</f>
        <v>#N/A</v>
      </c>
      <c r="D15402" s="6">
        <f t="shared" si="241"/>
        <v>0</v>
      </c>
    </row>
    <row r="15403" spans="3:4" ht="15" x14ac:dyDescent="0.25">
      <c r="C15403" s="8" t="e">
        <f>VLOOKUP(A:A,'ITEM LIST'!A:C,3,0)</f>
        <v>#N/A</v>
      </c>
      <c r="D15403" s="6">
        <f t="shared" si="241"/>
        <v>0</v>
      </c>
    </row>
    <row r="15404" spans="3:4" ht="15" x14ac:dyDescent="0.25">
      <c r="C15404" s="8" t="e">
        <f>VLOOKUP(A:A,'ITEM LIST'!A:C,3,0)</f>
        <v>#N/A</v>
      </c>
      <c r="D15404" s="6">
        <f t="shared" si="241"/>
        <v>0</v>
      </c>
    </row>
    <row r="15405" spans="3:4" ht="15" x14ac:dyDescent="0.25">
      <c r="C15405" s="8" t="e">
        <f>VLOOKUP(A:A,'ITEM LIST'!A:C,3,0)</f>
        <v>#N/A</v>
      </c>
      <c r="D15405" s="6">
        <f t="shared" si="241"/>
        <v>0</v>
      </c>
    </row>
    <row r="15406" spans="3:4" ht="15" x14ac:dyDescent="0.25">
      <c r="C15406" s="8" t="e">
        <f>VLOOKUP(A:A,'ITEM LIST'!A:C,3,0)</f>
        <v>#N/A</v>
      </c>
      <c r="D15406" s="6">
        <f t="shared" si="241"/>
        <v>0</v>
      </c>
    </row>
    <row r="15407" spans="3:4" ht="15" x14ac:dyDescent="0.25">
      <c r="C15407" s="8" t="e">
        <f>VLOOKUP(A:A,'ITEM LIST'!A:C,3,0)</f>
        <v>#N/A</v>
      </c>
      <c r="D15407" s="6">
        <f t="shared" si="241"/>
        <v>0</v>
      </c>
    </row>
    <row r="15408" spans="3:4" ht="15" x14ac:dyDescent="0.25">
      <c r="C15408" s="8" t="e">
        <f>VLOOKUP(A:A,'ITEM LIST'!A:C,3,0)</f>
        <v>#N/A</v>
      </c>
      <c r="D15408" s="6">
        <f t="shared" si="241"/>
        <v>0</v>
      </c>
    </row>
    <row r="15409" spans="3:4" ht="15" x14ac:dyDescent="0.25">
      <c r="C15409" s="8" t="e">
        <f>VLOOKUP(A:A,'ITEM LIST'!A:C,3,0)</f>
        <v>#N/A</v>
      </c>
      <c r="D15409" s="6">
        <f t="shared" si="241"/>
        <v>0</v>
      </c>
    </row>
    <row r="15410" spans="3:4" ht="15" x14ac:dyDescent="0.25">
      <c r="C15410" s="8" t="e">
        <f>VLOOKUP(A:A,'ITEM LIST'!A:C,3,0)</f>
        <v>#N/A</v>
      </c>
      <c r="D15410" s="6">
        <f t="shared" si="241"/>
        <v>0</v>
      </c>
    </row>
    <row r="15411" spans="3:4" ht="15" x14ac:dyDescent="0.25">
      <c r="C15411" s="8" t="e">
        <f>VLOOKUP(A:A,'ITEM LIST'!A:C,3,0)</f>
        <v>#N/A</v>
      </c>
      <c r="D15411" s="6">
        <f t="shared" si="241"/>
        <v>0</v>
      </c>
    </row>
    <row r="15412" spans="3:4" ht="15" x14ac:dyDescent="0.25">
      <c r="C15412" s="8" t="e">
        <f>VLOOKUP(A:A,'ITEM LIST'!A:C,3,0)</f>
        <v>#N/A</v>
      </c>
      <c r="D15412" s="6">
        <f t="shared" si="241"/>
        <v>0</v>
      </c>
    </row>
    <row r="15413" spans="3:4" ht="15" x14ac:dyDescent="0.25">
      <c r="C15413" s="8" t="e">
        <f>VLOOKUP(A:A,'ITEM LIST'!A:C,3,0)</f>
        <v>#N/A</v>
      </c>
      <c r="D15413" s="6">
        <f t="shared" si="241"/>
        <v>0</v>
      </c>
    </row>
    <row r="15414" spans="3:4" ht="15" x14ac:dyDescent="0.25">
      <c r="C15414" s="8" t="e">
        <f>VLOOKUP(A:A,'ITEM LIST'!A:C,3,0)</f>
        <v>#N/A</v>
      </c>
      <c r="D15414" s="6">
        <f t="shared" si="241"/>
        <v>0</v>
      </c>
    </row>
    <row r="15415" spans="3:4" ht="15" x14ac:dyDescent="0.25">
      <c r="C15415" s="8" t="e">
        <f>VLOOKUP(A:A,'ITEM LIST'!A:C,3,0)</f>
        <v>#N/A</v>
      </c>
      <c r="D15415" s="6">
        <f t="shared" si="241"/>
        <v>0</v>
      </c>
    </row>
    <row r="15416" spans="3:4" ht="15" x14ac:dyDescent="0.25">
      <c r="C15416" s="8" t="e">
        <f>VLOOKUP(A:A,'ITEM LIST'!A:C,3,0)</f>
        <v>#N/A</v>
      </c>
      <c r="D15416" s="6">
        <f t="shared" si="241"/>
        <v>0</v>
      </c>
    </row>
    <row r="15417" spans="3:4" ht="15" x14ac:dyDescent="0.25">
      <c r="C15417" s="8" t="e">
        <f>VLOOKUP(A:A,'ITEM LIST'!A:C,3,0)</f>
        <v>#N/A</v>
      </c>
      <c r="D15417" s="6">
        <f t="shared" si="241"/>
        <v>0</v>
      </c>
    </row>
    <row r="15418" spans="3:4" ht="15" x14ac:dyDescent="0.25">
      <c r="C15418" s="8" t="e">
        <f>VLOOKUP(A:A,'ITEM LIST'!A:C,3,0)</f>
        <v>#N/A</v>
      </c>
      <c r="D15418" s="6">
        <f t="shared" si="241"/>
        <v>0</v>
      </c>
    </row>
    <row r="15419" spans="3:4" ht="15" x14ac:dyDescent="0.25">
      <c r="C15419" s="8" t="e">
        <f>VLOOKUP(A:A,'ITEM LIST'!A:C,3,0)</f>
        <v>#N/A</v>
      </c>
      <c r="D15419" s="6">
        <f t="shared" si="241"/>
        <v>0</v>
      </c>
    </row>
    <row r="15420" spans="3:4" ht="15" x14ac:dyDescent="0.25">
      <c r="C15420" s="8" t="e">
        <f>VLOOKUP(A:A,'ITEM LIST'!A:C,3,0)</f>
        <v>#N/A</v>
      </c>
      <c r="D15420" s="6">
        <f t="shared" si="241"/>
        <v>0</v>
      </c>
    </row>
    <row r="15421" spans="3:4" ht="15" x14ac:dyDescent="0.25">
      <c r="C15421" s="8" t="e">
        <f>VLOOKUP(A:A,'ITEM LIST'!A:C,3,0)</f>
        <v>#N/A</v>
      </c>
      <c r="D15421" s="6">
        <f t="shared" si="241"/>
        <v>0</v>
      </c>
    </row>
    <row r="15422" spans="3:4" ht="15" x14ac:dyDescent="0.25">
      <c r="C15422" s="8" t="e">
        <f>VLOOKUP(A:A,'ITEM LIST'!A:C,3,0)</f>
        <v>#N/A</v>
      </c>
      <c r="D15422" s="6">
        <f t="shared" si="241"/>
        <v>0</v>
      </c>
    </row>
    <row r="15423" spans="3:4" ht="15" x14ac:dyDescent="0.25">
      <c r="C15423" s="8" t="e">
        <f>VLOOKUP(A:A,'ITEM LIST'!A:C,3,0)</f>
        <v>#N/A</v>
      </c>
      <c r="D15423" s="6">
        <f t="shared" si="241"/>
        <v>0</v>
      </c>
    </row>
    <row r="15424" spans="3:4" ht="15" x14ac:dyDescent="0.25">
      <c r="C15424" s="8" t="e">
        <f>VLOOKUP(A:A,'ITEM LIST'!A:C,3,0)</f>
        <v>#N/A</v>
      </c>
      <c r="D15424" s="6">
        <f t="shared" si="241"/>
        <v>0</v>
      </c>
    </row>
    <row r="15425" spans="3:4" ht="15" x14ac:dyDescent="0.25">
      <c r="C15425" s="8" t="e">
        <f>VLOOKUP(A:A,'ITEM LIST'!A:C,3,0)</f>
        <v>#N/A</v>
      </c>
      <c r="D15425" s="6">
        <f t="shared" si="241"/>
        <v>0</v>
      </c>
    </row>
    <row r="15426" spans="3:4" ht="15" x14ac:dyDescent="0.25">
      <c r="C15426" s="8" t="e">
        <f>VLOOKUP(A:A,'ITEM LIST'!A:C,3,0)</f>
        <v>#N/A</v>
      </c>
      <c r="D15426" s="6">
        <f t="shared" si="241"/>
        <v>0</v>
      </c>
    </row>
    <row r="15427" spans="3:4" ht="15" x14ac:dyDescent="0.25">
      <c r="C15427" s="8" t="e">
        <f>VLOOKUP(A:A,'ITEM LIST'!A:C,3,0)</f>
        <v>#N/A</v>
      </c>
      <c r="D15427" s="6">
        <f t="shared" si="241"/>
        <v>0</v>
      </c>
    </row>
    <row r="15428" spans="3:4" ht="15" x14ac:dyDescent="0.25">
      <c r="C15428" s="8" t="e">
        <f>VLOOKUP(A:A,'ITEM LIST'!A:C,3,0)</f>
        <v>#N/A</v>
      </c>
      <c r="D15428" s="6">
        <f t="shared" si="241"/>
        <v>0</v>
      </c>
    </row>
    <row r="15429" spans="3:4" ht="15" x14ac:dyDescent="0.25">
      <c r="C15429" s="8" t="e">
        <f>VLOOKUP(A:A,'ITEM LIST'!A:C,3,0)</f>
        <v>#N/A</v>
      </c>
      <c r="D15429" s="6">
        <f t="shared" si="241"/>
        <v>0</v>
      </c>
    </row>
    <row r="15430" spans="3:4" ht="15" x14ac:dyDescent="0.25">
      <c r="C15430" s="8" t="e">
        <f>VLOOKUP(A:A,'ITEM LIST'!A:C,3,0)</f>
        <v>#N/A</v>
      </c>
      <c r="D15430" s="6">
        <f t="shared" ref="D15430:D15493" si="242">B15430</f>
        <v>0</v>
      </c>
    </row>
    <row r="15431" spans="3:4" ht="15" x14ac:dyDescent="0.25">
      <c r="C15431" s="8" t="e">
        <f>VLOOKUP(A:A,'ITEM LIST'!A:C,3,0)</f>
        <v>#N/A</v>
      </c>
      <c r="D15431" s="6">
        <f t="shared" si="242"/>
        <v>0</v>
      </c>
    </row>
    <row r="15432" spans="3:4" ht="15" x14ac:dyDescent="0.25">
      <c r="C15432" s="8" t="e">
        <f>VLOOKUP(A:A,'ITEM LIST'!A:C,3,0)</f>
        <v>#N/A</v>
      </c>
      <c r="D15432" s="6">
        <f t="shared" si="242"/>
        <v>0</v>
      </c>
    </row>
    <row r="15433" spans="3:4" ht="15" x14ac:dyDescent="0.25">
      <c r="C15433" s="8" t="e">
        <f>VLOOKUP(A:A,'ITEM LIST'!A:C,3,0)</f>
        <v>#N/A</v>
      </c>
      <c r="D15433" s="6">
        <f t="shared" si="242"/>
        <v>0</v>
      </c>
    </row>
    <row r="15434" spans="3:4" ht="15" x14ac:dyDescent="0.25">
      <c r="C15434" s="8" t="e">
        <f>VLOOKUP(A:A,'ITEM LIST'!A:C,3,0)</f>
        <v>#N/A</v>
      </c>
      <c r="D15434" s="6">
        <f t="shared" si="242"/>
        <v>0</v>
      </c>
    </row>
    <row r="15435" spans="3:4" ht="15" x14ac:dyDescent="0.25">
      <c r="C15435" s="8" t="e">
        <f>VLOOKUP(A:A,'ITEM LIST'!A:C,3,0)</f>
        <v>#N/A</v>
      </c>
      <c r="D15435" s="6">
        <f t="shared" si="242"/>
        <v>0</v>
      </c>
    </row>
    <row r="15436" spans="3:4" ht="15" x14ac:dyDescent="0.25">
      <c r="C15436" s="8" t="e">
        <f>VLOOKUP(A:A,'ITEM LIST'!A:C,3,0)</f>
        <v>#N/A</v>
      </c>
      <c r="D15436" s="6">
        <f t="shared" si="242"/>
        <v>0</v>
      </c>
    </row>
    <row r="15437" spans="3:4" ht="15" x14ac:dyDescent="0.25">
      <c r="C15437" s="8" t="e">
        <f>VLOOKUP(A:A,'ITEM LIST'!A:C,3,0)</f>
        <v>#N/A</v>
      </c>
      <c r="D15437" s="6">
        <f t="shared" si="242"/>
        <v>0</v>
      </c>
    </row>
    <row r="15438" spans="3:4" ht="15" x14ac:dyDescent="0.25">
      <c r="C15438" s="8" t="e">
        <f>VLOOKUP(A:A,'ITEM LIST'!A:C,3,0)</f>
        <v>#N/A</v>
      </c>
      <c r="D15438" s="6">
        <f t="shared" si="242"/>
        <v>0</v>
      </c>
    </row>
    <row r="15439" spans="3:4" ht="15" x14ac:dyDescent="0.25">
      <c r="C15439" s="8" t="e">
        <f>VLOOKUP(A:A,'ITEM LIST'!A:C,3,0)</f>
        <v>#N/A</v>
      </c>
      <c r="D15439" s="6">
        <f t="shared" si="242"/>
        <v>0</v>
      </c>
    </row>
    <row r="15440" spans="3:4" ht="15" x14ac:dyDescent="0.25">
      <c r="C15440" s="8" t="e">
        <f>VLOOKUP(A:A,'ITEM LIST'!A:C,3,0)</f>
        <v>#N/A</v>
      </c>
      <c r="D15440" s="6">
        <f t="shared" si="242"/>
        <v>0</v>
      </c>
    </row>
    <row r="15441" spans="3:4" ht="15" x14ac:dyDescent="0.25">
      <c r="C15441" s="8" t="e">
        <f>VLOOKUP(A:A,'ITEM LIST'!A:C,3,0)</f>
        <v>#N/A</v>
      </c>
      <c r="D15441" s="6">
        <f t="shared" si="242"/>
        <v>0</v>
      </c>
    </row>
    <row r="15442" spans="3:4" ht="15" x14ac:dyDescent="0.25">
      <c r="C15442" s="8" t="e">
        <f>VLOOKUP(A:A,'ITEM LIST'!A:C,3,0)</f>
        <v>#N/A</v>
      </c>
      <c r="D15442" s="6">
        <f t="shared" si="242"/>
        <v>0</v>
      </c>
    </row>
    <row r="15443" spans="3:4" ht="15" x14ac:dyDescent="0.25">
      <c r="C15443" s="8" t="e">
        <f>VLOOKUP(A:A,'ITEM LIST'!A:C,3,0)</f>
        <v>#N/A</v>
      </c>
      <c r="D15443" s="6">
        <f t="shared" si="242"/>
        <v>0</v>
      </c>
    </row>
    <row r="15444" spans="3:4" ht="15" x14ac:dyDescent="0.25">
      <c r="C15444" s="8" t="e">
        <f>VLOOKUP(A:A,'ITEM LIST'!A:C,3,0)</f>
        <v>#N/A</v>
      </c>
      <c r="D15444" s="6">
        <f t="shared" si="242"/>
        <v>0</v>
      </c>
    </row>
    <row r="15445" spans="3:4" ht="15" x14ac:dyDescent="0.25">
      <c r="C15445" s="8" t="e">
        <f>VLOOKUP(A:A,'ITEM LIST'!A:C,3,0)</f>
        <v>#N/A</v>
      </c>
      <c r="D15445" s="6">
        <f t="shared" si="242"/>
        <v>0</v>
      </c>
    </row>
    <row r="15446" spans="3:4" ht="15" x14ac:dyDescent="0.25">
      <c r="C15446" s="8" t="e">
        <f>VLOOKUP(A:A,'ITEM LIST'!A:C,3,0)</f>
        <v>#N/A</v>
      </c>
      <c r="D15446" s="6">
        <f t="shared" si="242"/>
        <v>0</v>
      </c>
    </row>
    <row r="15447" spans="3:4" ht="15" x14ac:dyDescent="0.25">
      <c r="C15447" s="8" t="e">
        <f>VLOOKUP(A:A,'ITEM LIST'!A:C,3,0)</f>
        <v>#N/A</v>
      </c>
      <c r="D15447" s="6">
        <f t="shared" si="242"/>
        <v>0</v>
      </c>
    </row>
    <row r="15448" spans="3:4" ht="15" x14ac:dyDescent="0.25">
      <c r="C15448" s="8" t="e">
        <f>VLOOKUP(A:A,'ITEM LIST'!A:C,3,0)</f>
        <v>#N/A</v>
      </c>
      <c r="D15448" s="6">
        <f t="shared" si="242"/>
        <v>0</v>
      </c>
    </row>
    <row r="15449" spans="3:4" ht="15" x14ac:dyDescent="0.25">
      <c r="C15449" s="8" t="e">
        <f>VLOOKUP(A:A,'ITEM LIST'!A:C,3,0)</f>
        <v>#N/A</v>
      </c>
      <c r="D15449" s="6">
        <f t="shared" si="242"/>
        <v>0</v>
      </c>
    </row>
    <row r="15450" spans="3:4" ht="15" x14ac:dyDescent="0.25">
      <c r="C15450" s="8" t="e">
        <f>VLOOKUP(A:A,'ITEM LIST'!A:C,3,0)</f>
        <v>#N/A</v>
      </c>
      <c r="D15450" s="6">
        <f t="shared" si="242"/>
        <v>0</v>
      </c>
    </row>
    <row r="15451" spans="3:4" ht="15" x14ac:dyDescent="0.25">
      <c r="C15451" s="8" t="e">
        <f>VLOOKUP(A:A,'ITEM LIST'!A:C,3,0)</f>
        <v>#N/A</v>
      </c>
      <c r="D15451" s="6">
        <f t="shared" si="242"/>
        <v>0</v>
      </c>
    </row>
    <row r="15452" spans="3:4" ht="15" x14ac:dyDescent="0.25">
      <c r="C15452" s="8" t="e">
        <f>VLOOKUP(A:A,'ITEM LIST'!A:C,3,0)</f>
        <v>#N/A</v>
      </c>
      <c r="D15452" s="6">
        <f t="shared" si="242"/>
        <v>0</v>
      </c>
    </row>
    <row r="15453" spans="3:4" ht="15" x14ac:dyDescent="0.25">
      <c r="C15453" s="8" t="e">
        <f>VLOOKUP(A:A,'ITEM LIST'!A:C,3,0)</f>
        <v>#N/A</v>
      </c>
      <c r="D15453" s="6">
        <f t="shared" si="242"/>
        <v>0</v>
      </c>
    </row>
    <row r="15454" spans="3:4" ht="15" x14ac:dyDescent="0.25">
      <c r="C15454" s="8" t="e">
        <f>VLOOKUP(A:A,'ITEM LIST'!A:C,3,0)</f>
        <v>#N/A</v>
      </c>
      <c r="D15454" s="6">
        <f t="shared" si="242"/>
        <v>0</v>
      </c>
    </row>
    <row r="15455" spans="3:4" ht="15" x14ac:dyDescent="0.25">
      <c r="C15455" s="8" t="e">
        <f>VLOOKUP(A:A,'ITEM LIST'!A:C,3,0)</f>
        <v>#N/A</v>
      </c>
      <c r="D15455" s="6">
        <f t="shared" si="242"/>
        <v>0</v>
      </c>
    </row>
    <row r="15456" spans="3:4" ht="15" x14ac:dyDescent="0.25">
      <c r="C15456" s="8" t="e">
        <f>VLOOKUP(A:A,'ITEM LIST'!A:C,3,0)</f>
        <v>#N/A</v>
      </c>
      <c r="D15456" s="6">
        <f t="shared" si="242"/>
        <v>0</v>
      </c>
    </row>
    <row r="15457" spans="3:4" ht="15" x14ac:dyDescent="0.25">
      <c r="C15457" s="8" t="e">
        <f>VLOOKUP(A:A,'ITEM LIST'!A:C,3,0)</f>
        <v>#N/A</v>
      </c>
      <c r="D15457" s="6">
        <f t="shared" si="242"/>
        <v>0</v>
      </c>
    </row>
    <row r="15458" spans="3:4" ht="15" x14ac:dyDescent="0.25">
      <c r="C15458" s="8" t="e">
        <f>VLOOKUP(A:A,'ITEM LIST'!A:C,3,0)</f>
        <v>#N/A</v>
      </c>
      <c r="D15458" s="6">
        <f t="shared" si="242"/>
        <v>0</v>
      </c>
    </row>
    <row r="15459" spans="3:4" ht="15" x14ac:dyDescent="0.25">
      <c r="C15459" s="8" t="e">
        <f>VLOOKUP(A:A,'ITEM LIST'!A:C,3,0)</f>
        <v>#N/A</v>
      </c>
      <c r="D15459" s="6">
        <f t="shared" si="242"/>
        <v>0</v>
      </c>
    </row>
    <row r="15460" spans="3:4" ht="15" x14ac:dyDescent="0.25">
      <c r="C15460" s="8" t="e">
        <f>VLOOKUP(A:A,'ITEM LIST'!A:C,3,0)</f>
        <v>#N/A</v>
      </c>
      <c r="D15460" s="6">
        <f t="shared" si="242"/>
        <v>0</v>
      </c>
    </row>
    <row r="15461" spans="3:4" ht="15" x14ac:dyDescent="0.25">
      <c r="C15461" s="8" t="e">
        <f>VLOOKUP(A:A,'ITEM LIST'!A:C,3,0)</f>
        <v>#N/A</v>
      </c>
      <c r="D15461" s="6">
        <f t="shared" si="242"/>
        <v>0</v>
      </c>
    </row>
    <row r="15462" spans="3:4" ht="15" x14ac:dyDescent="0.25">
      <c r="C15462" s="8" t="e">
        <f>VLOOKUP(A:A,'ITEM LIST'!A:C,3,0)</f>
        <v>#N/A</v>
      </c>
      <c r="D15462" s="6">
        <f t="shared" si="242"/>
        <v>0</v>
      </c>
    </row>
    <row r="15463" spans="3:4" ht="15" x14ac:dyDescent="0.25">
      <c r="C15463" s="8" t="e">
        <f>VLOOKUP(A:A,'ITEM LIST'!A:C,3,0)</f>
        <v>#N/A</v>
      </c>
      <c r="D15463" s="6">
        <f t="shared" si="242"/>
        <v>0</v>
      </c>
    </row>
    <row r="15464" spans="3:4" ht="15" x14ac:dyDescent="0.25">
      <c r="C15464" s="8" t="e">
        <f>VLOOKUP(A:A,'ITEM LIST'!A:C,3,0)</f>
        <v>#N/A</v>
      </c>
      <c r="D15464" s="6">
        <f t="shared" si="242"/>
        <v>0</v>
      </c>
    </row>
    <row r="15465" spans="3:4" ht="15" x14ac:dyDescent="0.25">
      <c r="C15465" s="8" t="e">
        <f>VLOOKUP(A:A,'ITEM LIST'!A:C,3,0)</f>
        <v>#N/A</v>
      </c>
      <c r="D15465" s="6">
        <f t="shared" si="242"/>
        <v>0</v>
      </c>
    </row>
    <row r="15466" spans="3:4" ht="15" x14ac:dyDescent="0.25">
      <c r="C15466" s="8" t="e">
        <f>VLOOKUP(A:A,'ITEM LIST'!A:C,3,0)</f>
        <v>#N/A</v>
      </c>
      <c r="D15466" s="6">
        <f t="shared" si="242"/>
        <v>0</v>
      </c>
    </row>
    <row r="15467" spans="3:4" ht="15" x14ac:dyDescent="0.25">
      <c r="C15467" s="8" t="e">
        <f>VLOOKUP(A:A,'ITEM LIST'!A:C,3,0)</f>
        <v>#N/A</v>
      </c>
      <c r="D15467" s="6">
        <f t="shared" si="242"/>
        <v>0</v>
      </c>
    </row>
    <row r="15468" spans="3:4" ht="15" x14ac:dyDescent="0.25">
      <c r="C15468" s="8" t="e">
        <f>VLOOKUP(A:A,'ITEM LIST'!A:C,3,0)</f>
        <v>#N/A</v>
      </c>
      <c r="D15468" s="6">
        <f t="shared" si="242"/>
        <v>0</v>
      </c>
    </row>
    <row r="15469" spans="3:4" ht="15" x14ac:dyDescent="0.25">
      <c r="C15469" s="8" t="e">
        <f>VLOOKUP(A:A,'ITEM LIST'!A:C,3,0)</f>
        <v>#N/A</v>
      </c>
      <c r="D15469" s="6">
        <f t="shared" si="242"/>
        <v>0</v>
      </c>
    </row>
    <row r="15470" spans="3:4" ht="15" x14ac:dyDescent="0.25">
      <c r="C15470" s="8" t="e">
        <f>VLOOKUP(A:A,'ITEM LIST'!A:C,3,0)</f>
        <v>#N/A</v>
      </c>
      <c r="D15470" s="6">
        <f t="shared" si="242"/>
        <v>0</v>
      </c>
    </row>
    <row r="15471" spans="3:4" ht="15" x14ac:dyDescent="0.25">
      <c r="C15471" s="8" t="e">
        <f>VLOOKUP(A:A,'ITEM LIST'!A:C,3,0)</f>
        <v>#N/A</v>
      </c>
      <c r="D15471" s="6">
        <f t="shared" si="242"/>
        <v>0</v>
      </c>
    </row>
    <row r="15472" spans="3:4" ht="15" x14ac:dyDescent="0.25">
      <c r="C15472" s="8" t="e">
        <f>VLOOKUP(A:A,'ITEM LIST'!A:C,3,0)</f>
        <v>#N/A</v>
      </c>
      <c r="D15472" s="6">
        <f t="shared" si="242"/>
        <v>0</v>
      </c>
    </row>
    <row r="15473" spans="3:4" ht="15" x14ac:dyDescent="0.25">
      <c r="C15473" s="8" t="e">
        <f>VLOOKUP(A:A,'ITEM LIST'!A:C,3,0)</f>
        <v>#N/A</v>
      </c>
      <c r="D15473" s="6">
        <f t="shared" si="242"/>
        <v>0</v>
      </c>
    </row>
    <row r="15474" spans="3:4" ht="15" x14ac:dyDescent="0.25">
      <c r="C15474" s="8" t="e">
        <f>VLOOKUP(A:A,'ITEM LIST'!A:C,3,0)</f>
        <v>#N/A</v>
      </c>
      <c r="D15474" s="6">
        <f t="shared" si="242"/>
        <v>0</v>
      </c>
    </row>
    <row r="15475" spans="3:4" ht="15" x14ac:dyDescent="0.25">
      <c r="C15475" s="8" t="e">
        <f>VLOOKUP(A:A,'ITEM LIST'!A:C,3,0)</f>
        <v>#N/A</v>
      </c>
      <c r="D15475" s="6">
        <f t="shared" si="242"/>
        <v>0</v>
      </c>
    </row>
    <row r="15476" spans="3:4" ht="15" x14ac:dyDescent="0.25">
      <c r="C15476" s="8" t="e">
        <f>VLOOKUP(A:A,'ITEM LIST'!A:C,3,0)</f>
        <v>#N/A</v>
      </c>
      <c r="D15476" s="6">
        <f t="shared" si="242"/>
        <v>0</v>
      </c>
    </row>
    <row r="15477" spans="3:4" ht="15" x14ac:dyDescent="0.25">
      <c r="C15477" s="8" t="e">
        <f>VLOOKUP(A:A,'ITEM LIST'!A:C,3,0)</f>
        <v>#N/A</v>
      </c>
      <c r="D15477" s="6">
        <f t="shared" si="242"/>
        <v>0</v>
      </c>
    </row>
    <row r="15478" spans="3:4" ht="15" x14ac:dyDescent="0.25">
      <c r="C15478" s="8" t="e">
        <f>VLOOKUP(A:A,'ITEM LIST'!A:C,3,0)</f>
        <v>#N/A</v>
      </c>
      <c r="D15478" s="6">
        <f t="shared" si="242"/>
        <v>0</v>
      </c>
    </row>
    <row r="15479" spans="3:4" ht="15" x14ac:dyDescent="0.25">
      <c r="C15479" s="8" t="e">
        <f>VLOOKUP(A:A,'ITEM LIST'!A:C,3,0)</f>
        <v>#N/A</v>
      </c>
      <c r="D15479" s="6">
        <f t="shared" si="242"/>
        <v>0</v>
      </c>
    </row>
    <row r="15480" spans="3:4" ht="15" x14ac:dyDescent="0.25">
      <c r="C15480" s="8" t="e">
        <f>VLOOKUP(A:A,'ITEM LIST'!A:C,3,0)</f>
        <v>#N/A</v>
      </c>
      <c r="D15480" s="6">
        <f t="shared" si="242"/>
        <v>0</v>
      </c>
    </row>
    <row r="15481" spans="3:4" ht="15" x14ac:dyDescent="0.25">
      <c r="C15481" s="8" t="e">
        <f>VLOOKUP(A:A,'ITEM LIST'!A:C,3,0)</f>
        <v>#N/A</v>
      </c>
      <c r="D15481" s="6">
        <f t="shared" si="242"/>
        <v>0</v>
      </c>
    </row>
    <row r="15482" spans="3:4" ht="15" x14ac:dyDescent="0.25">
      <c r="C15482" s="8" t="e">
        <f>VLOOKUP(A:A,'ITEM LIST'!A:C,3,0)</f>
        <v>#N/A</v>
      </c>
      <c r="D15482" s="6">
        <f t="shared" si="242"/>
        <v>0</v>
      </c>
    </row>
    <row r="15483" spans="3:4" ht="15" x14ac:dyDescent="0.25">
      <c r="C15483" s="8" t="e">
        <f>VLOOKUP(A:A,'ITEM LIST'!A:C,3,0)</f>
        <v>#N/A</v>
      </c>
      <c r="D15483" s="6">
        <f t="shared" si="242"/>
        <v>0</v>
      </c>
    </row>
    <row r="15484" spans="3:4" ht="15" x14ac:dyDescent="0.25">
      <c r="C15484" s="8" t="e">
        <f>VLOOKUP(A:A,'ITEM LIST'!A:C,3,0)</f>
        <v>#N/A</v>
      </c>
      <c r="D15484" s="6">
        <f t="shared" si="242"/>
        <v>0</v>
      </c>
    </row>
    <row r="15485" spans="3:4" ht="15" x14ac:dyDescent="0.25">
      <c r="C15485" s="8" t="e">
        <f>VLOOKUP(A:A,'ITEM LIST'!A:C,3,0)</f>
        <v>#N/A</v>
      </c>
      <c r="D15485" s="6">
        <f t="shared" si="242"/>
        <v>0</v>
      </c>
    </row>
    <row r="15486" spans="3:4" ht="15" x14ac:dyDescent="0.25">
      <c r="C15486" s="8" t="e">
        <f>VLOOKUP(A:A,'ITEM LIST'!A:C,3,0)</f>
        <v>#N/A</v>
      </c>
      <c r="D15486" s="6">
        <f t="shared" si="242"/>
        <v>0</v>
      </c>
    </row>
    <row r="15487" spans="3:4" ht="15" x14ac:dyDescent="0.25">
      <c r="C15487" s="8" t="e">
        <f>VLOOKUP(A:A,'ITEM LIST'!A:C,3,0)</f>
        <v>#N/A</v>
      </c>
      <c r="D15487" s="6">
        <f t="shared" si="242"/>
        <v>0</v>
      </c>
    </row>
    <row r="15488" spans="3:4" ht="15" x14ac:dyDescent="0.25">
      <c r="C15488" s="8" t="e">
        <f>VLOOKUP(A:A,'ITEM LIST'!A:C,3,0)</f>
        <v>#N/A</v>
      </c>
      <c r="D15488" s="6">
        <f t="shared" si="242"/>
        <v>0</v>
      </c>
    </row>
    <row r="15489" spans="3:4" ht="15" x14ac:dyDescent="0.25">
      <c r="C15489" s="8" t="e">
        <f>VLOOKUP(A:A,'ITEM LIST'!A:C,3,0)</f>
        <v>#N/A</v>
      </c>
      <c r="D15489" s="6">
        <f t="shared" si="242"/>
        <v>0</v>
      </c>
    </row>
    <row r="15490" spans="3:4" ht="15" x14ac:dyDescent="0.25">
      <c r="C15490" s="8" t="e">
        <f>VLOOKUP(A:A,'ITEM LIST'!A:C,3,0)</f>
        <v>#N/A</v>
      </c>
      <c r="D15490" s="6">
        <f t="shared" si="242"/>
        <v>0</v>
      </c>
    </row>
    <row r="15491" spans="3:4" ht="15" x14ac:dyDescent="0.25">
      <c r="C15491" s="8" t="e">
        <f>VLOOKUP(A:A,'ITEM LIST'!A:C,3,0)</f>
        <v>#N/A</v>
      </c>
      <c r="D15491" s="6">
        <f t="shared" si="242"/>
        <v>0</v>
      </c>
    </row>
    <row r="15492" spans="3:4" ht="15" x14ac:dyDescent="0.25">
      <c r="C15492" s="8" t="e">
        <f>VLOOKUP(A:A,'ITEM LIST'!A:C,3,0)</f>
        <v>#N/A</v>
      </c>
      <c r="D15492" s="6">
        <f t="shared" si="242"/>
        <v>0</v>
      </c>
    </row>
    <row r="15493" spans="3:4" ht="15" x14ac:dyDescent="0.25">
      <c r="C15493" s="8" t="e">
        <f>VLOOKUP(A:A,'ITEM LIST'!A:C,3,0)</f>
        <v>#N/A</v>
      </c>
      <c r="D15493" s="6">
        <f t="shared" si="242"/>
        <v>0</v>
      </c>
    </row>
    <row r="15494" spans="3:4" ht="15" x14ac:dyDescent="0.25">
      <c r="C15494" s="8" t="e">
        <f>VLOOKUP(A:A,'ITEM LIST'!A:C,3,0)</f>
        <v>#N/A</v>
      </c>
      <c r="D15494" s="6">
        <f t="shared" ref="D15494:D15557" si="243">B15494</f>
        <v>0</v>
      </c>
    </row>
    <row r="15495" spans="3:4" ht="15" x14ac:dyDescent="0.25">
      <c r="C15495" s="8" t="e">
        <f>VLOOKUP(A:A,'ITEM LIST'!A:C,3,0)</f>
        <v>#N/A</v>
      </c>
      <c r="D15495" s="6">
        <f t="shared" si="243"/>
        <v>0</v>
      </c>
    </row>
    <row r="15496" spans="3:4" ht="15" x14ac:dyDescent="0.25">
      <c r="C15496" s="8" t="e">
        <f>VLOOKUP(A:A,'ITEM LIST'!A:C,3,0)</f>
        <v>#N/A</v>
      </c>
      <c r="D15496" s="6">
        <f t="shared" si="243"/>
        <v>0</v>
      </c>
    </row>
    <row r="15497" spans="3:4" ht="15" x14ac:dyDescent="0.25">
      <c r="C15497" s="8" t="e">
        <f>VLOOKUP(A:A,'ITEM LIST'!A:C,3,0)</f>
        <v>#N/A</v>
      </c>
      <c r="D15497" s="6">
        <f t="shared" si="243"/>
        <v>0</v>
      </c>
    </row>
    <row r="15498" spans="3:4" ht="15" x14ac:dyDescent="0.25">
      <c r="C15498" s="8" t="e">
        <f>VLOOKUP(A:A,'ITEM LIST'!A:C,3,0)</f>
        <v>#N/A</v>
      </c>
      <c r="D15498" s="6">
        <f t="shared" si="243"/>
        <v>0</v>
      </c>
    </row>
    <row r="15499" spans="3:4" ht="15" x14ac:dyDescent="0.25">
      <c r="C15499" s="8" t="e">
        <f>VLOOKUP(A:A,'ITEM LIST'!A:C,3,0)</f>
        <v>#N/A</v>
      </c>
      <c r="D15499" s="6">
        <f t="shared" si="243"/>
        <v>0</v>
      </c>
    </row>
    <row r="15500" spans="3:4" ht="15" x14ac:dyDescent="0.25">
      <c r="C15500" s="8" t="e">
        <f>VLOOKUP(A:A,'ITEM LIST'!A:C,3,0)</f>
        <v>#N/A</v>
      </c>
      <c r="D15500" s="6">
        <f t="shared" si="243"/>
        <v>0</v>
      </c>
    </row>
    <row r="15501" spans="3:4" ht="15" x14ac:dyDescent="0.25">
      <c r="C15501" s="8" t="e">
        <f>VLOOKUP(A:A,'ITEM LIST'!A:C,3,0)</f>
        <v>#N/A</v>
      </c>
      <c r="D15501" s="6">
        <f t="shared" si="243"/>
        <v>0</v>
      </c>
    </row>
    <row r="15502" spans="3:4" ht="15" x14ac:dyDescent="0.25">
      <c r="C15502" s="8" t="e">
        <f>VLOOKUP(A:A,'ITEM LIST'!A:C,3,0)</f>
        <v>#N/A</v>
      </c>
      <c r="D15502" s="6">
        <f t="shared" si="243"/>
        <v>0</v>
      </c>
    </row>
    <row r="15503" spans="3:4" ht="15" x14ac:dyDescent="0.25">
      <c r="C15503" s="8" t="e">
        <f>VLOOKUP(A:A,'ITEM LIST'!A:C,3,0)</f>
        <v>#N/A</v>
      </c>
      <c r="D15503" s="6">
        <f t="shared" si="243"/>
        <v>0</v>
      </c>
    </row>
    <row r="15504" spans="3:4" ht="15" x14ac:dyDescent="0.25">
      <c r="C15504" s="8" t="e">
        <f>VLOOKUP(A:A,'ITEM LIST'!A:C,3,0)</f>
        <v>#N/A</v>
      </c>
      <c r="D15504" s="6">
        <f t="shared" si="243"/>
        <v>0</v>
      </c>
    </row>
    <row r="15505" spans="3:4" ht="15" x14ac:dyDescent="0.25">
      <c r="C15505" s="8" t="e">
        <f>VLOOKUP(A:A,'ITEM LIST'!A:C,3,0)</f>
        <v>#N/A</v>
      </c>
      <c r="D15505" s="6">
        <f t="shared" si="243"/>
        <v>0</v>
      </c>
    </row>
    <row r="15506" spans="3:4" ht="15" x14ac:dyDescent="0.25">
      <c r="C15506" s="8" t="e">
        <f>VLOOKUP(A:A,'ITEM LIST'!A:C,3,0)</f>
        <v>#N/A</v>
      </c>
      <c r="D15506" s="6">
        <f t="shared" si="243"/>
        <v>0</v>
      </c>
    </row>
    <row r="15507" spans="3:4" ht="15" x14ac:dyDescent="0.25">
      <c r="C15507" s="8" t="e">
        <f>VLOOKUP(A:A,'ITEM LIST'!A:C,3,0)</f>
        <v>#N/A</v>
      </c>
      <c r="D15507" s="6">
        <f t="shared" si="243"/>
        <v>0</v>
      </c>
    </row>
    <row r="15508" spans="3:4" ht="15" x14ac:dyDescent="0.25">
      <c r="C15508" s="8" t="e">
        <f>VLOOKUP(A:A,'ITEM LIST'!A:C,3,0)</f>
        <v>#N/A</v>
      </c>
      <c r="D15508" s="6">
        <f t="shared" si="243"/>
        <v>0</v>
      </c>
    </row>
    <row r="15509" spans="3:4" ht="15" x14ac:dyDescent="0.25">
      <c r="C15509" s="8" t="e">
        <f>VLOOKUP(A:A,'ITEM LIST'!A:C,3,0)</f>
        <v>#N/A</v>
      </c>
      <c r="D15509" s="6">
        <f t="shared" si="243"/>
        <v>0</v>
      </c>
    </row>
    <row r="15510" spans="3:4" ht="15" x14ac:dyDescent="0.25">
      <c r="C15510" s="8" t="e">
        <f>VLOOKUP(A:A,'ITEM LIST'!A:C,3,0)</f>
        <v>#N/A</v>
      </c>
      <c r="D15510" s="6">
        <f t="shared" si="243"/>
        <v>0</v>
      </c>
    </row>
    <row r="15511" spans="3:4" ht="15" x14ac:dyDescent="0.25">
      <c r="C15511" s="8" t="e">
        <f>VLOOKUP(A:A,'ITEM LIST'!A:C,3,0)</f>
        <v>#N/A</v>
      </c>
      <c r="D15511" s="6">
        <f t="shared" si="243"/>
        <v>0</v>
      </c>
    </row>
    <row r="15512" spans="3:4" ht="15" x14ac:dyDescent="0.25">
      <c r="C15512" s="8" t="e">
        <f>VLOOKUP(A:A,'ITEM LIST'!A:C,3,0)</f>
        <v>#N/A</v>
      </c>
      <c r="D15512" s="6">
        <f t="shared" si="243"/>
        <v>0</v>
      </c>
    </row>
    <row r="15513" spans="3:4" ht="15" x14ac:dyDescent="0.25">
      <c r="C15513" s="8" t="e">
        <f>VLOOKUP(A:A,'ITEM LIST'!A:C,3,0)</f>
        <v>#N/A</v>
      </c>
      <c r="D15513" s="6">
        <f t="shared" si="243"/>
        <v>0</v>
      </c>
    </row>
    <row r="15514" spans="3:4" ht="15" x14ac:dyDescent="0.25">
      <c r="C15514" s="8" t="e">
        <f>VLOOKUP(A:A,'ITEM LIST'!A:C,3,0)</f>
        <v>#N/A</v>
      </c>
      <c r="D15514" s="6">
        <f t="shared" si="243"/>
        <v>0</v>
      </c>
    </row>
    <row r="15515" spans="3:4" ht="15" x14ac:dyDescent="0.25">
      <c r="C15515" s="8" t="e">
        <f>VLOOKUP(A:A,'ITEM LIST'!A:C,3,0)</f>
        <v>#N/A</v>
      </c>
      <c r="D15515" s="6">
        <f t="shared" si="243"/>
        <v>0</v>
      </c>
    </row>
    <row r="15516" spans="3:4" ht="15" x14ac:dyDescent="0.25">
      <c r="C15516" s="8" t="e">
        <f>VLOOKUP(A:A,'ITEM LIST'!A:C,3,0)</f>
        <v>#N/A</v>
      </c>
      <c r="D15516" s="6">
        <f t="shared" si="243"/>
        <v>0</v>
      </c>
    </row>
    <row r="15517" spans="3:4" ht="15" x14ac:dyDescent="0.25">
      <c r="C15517" s="8" t="e">
        <f>VLOOKUP(A:A,'ITEM LIST'!A:C,3,0)</f>
        <v>#N/A</v>
      </c>
      <c r="D15517" s="6">
        <f t="shared" si="243"/>
        <v>0</v>
      </c>
    </row>
    <row r="15518" spans="3:4" ht="15" x14ac:dyDescent="0.25">
      <c r="C15518" s="8" t="e">
        <f>VLOOKUP(A:A,'ITEM LIST'!A:C,3,0)</f>
        <v>#N/A</v>
      </c>
      <c r="D15518" s="6">
        <f t="shared" si="243"/>
        <v>0</v>
      </c>
    </row>
    <row r="15519" spans="3:4" ht="15" x14ac:dyDescent="0.25">
      <c r="C15519" s="8" t="e">
        <f>VLOOKUP(A:A,'ITEM LIST'!A:C,3,0)</f>
        <v>#N/A</v>
      </c>
      <c r="D15519" s="6">
        <f t="shared" si="243"/>
        <v>0</v>
      </c>
    </row>
    <row r="15520" spans="3:4" ht="15" x14ac:dyDescent="0.25">
      <c r="C15520" s="8" t="e">
        <f>VLOOKUP(A:A,'ITEM LIST'!A:C,3,0)</f>
        <v>#N/A</v>
      </c>
      <c r="D15520" s="6">
        <f t="shared" si="243"/>
        <v>0</v>
      </c>
    </row>
    <row r="15521" spans="3:4" ht="15" x14ac:dyDescent="0.25">
      <c r="C15521" s="8" t="e">
        <f>VLOOKUP(A:A,'ITEM LIST'!A:C,3,0)</f>
        <v>#N/A</v>
      </c>
      <c r="D15521" s="6">
        <f t="shared" si="243"/>
        <v>0</v>
      </c>
    </row>
    <row r="15522" spans="3:4" ht="15" x14ac:dyDescent="0.25">
      <c r="C15522" s="8" t="e">
        <f>VLOOKUP(A:A,'ITEM LIST'!A:C,3,0)</f>
        <v>#N/A</v>
      </c>
      <c r="D15522" s="6">
        <f t="shared" si="243"/>
        <v>0</v>
      </c>
    </row>
    <row r="15523" spans="3:4" ht="15" x14ac:dyDescent="0.25">
      <c r="C15523" s="8" t="e">
        <f>VLOOKUP(A:A,'ITEM LIST'!A:C,3,0)</f>
        <v>#N/A</v>
      </c>
      <c r="D15523" s="6">
        <f t="shared" si="243"/>
        <v>0</v>
      </c>
    </row>
    <row r="15524" spans="3:4" ht="15" x14ac:dyDescent="0.25">
      <c r="C15524" s="8" t="e">
        <f>VLOOKUP(A:A,'ITEM LIST'!A:C,3,0)</f>
        <v>#N/A</v>
      </c>
      <c r="D15524" s="6">
        <f t="shared" si="243"/>
        <v>0</v>
      </c>
    </row>
    <row r="15525" spans="3:4" ht="15" x14ac:dyDescent="0.25">
      <c r="C15525" s="8" t="e">
        <f>VLOOKUP(A:A,'ITEM LIST'!A:C,3,0)</f>
        <v>#N/A</v>
      </c>
      <c r="D15525" s="6">
        <f t="shared" si="243"/>
        <v>0</v>
      </c>
    </row>
    <row r="15526" spans="3:4" ht="15" x14ac:dyDescent="0.25">
      <c r="C15526" s="8" t="e">
        <f>VLOOKUP(A:A,'ITEM LIST'!A:C,3,0)</f>
        <v>#N/A</v>
      </c>
      <c r="D15526" s="6">
        <f t="shared" si="243"/>
        <v>0</v>
      </c>
    </row>
    <row r="15527" spans="3:4" ht="15" x14ac:dyDescent="0.25">
      <c r="C15527" s="8" t="e">
        <f>VLOOKUP(A:A,'ITEM LIST'!A:C,3,0)</f>
        <v>#N/A</v>
      </c>
      <c r="D15527" s="6">
        <f t="shared" si="243"/>
        <v>0</v>
      </c>
    </row>
    <row r="15528" spans="3:4" ht="15" x14ac:dyDescent="0.25">
      <c r="C15528" s="8" t="e">
        <f>VLOOKUP(A:A,'ITEM LIST'!A:C,3,0)</f>
        <v>#N/A</v>
      </c>
      <c r="D15528" s="6">
        <f t="shared" si="243"/>
        <v>0</v>
      </c>
    </row>
    <row r="15529" spans="3:4" ht="15" x14ac:dyDescent="0.25">
      <c r="C15529" s="8" t="e">
        <f>VLOOKUP(A:A,'ITEM LIST'!A:C,3,0)</f>
        <v>#N/A</v>
      </c>
      <c r="D15529" s="6">
        <f t="shared" si="243"/>
        <v>0</v>
      </c>
    </row>
    <row r="15530" spans="3:4" ht="15" x14ac:dyDescent="0.25">
      <c r="C15530" s="8" t="e">
        <f>VLOOKUP(A:A,'ITEM LIST'!A:C,3,0)</f>
        <v>#N/A</v>
      </c>
      <c r="D15530" s="6">
        <f t="shared" si="243"/>
        <v>0</v>
      </c>
    </row>
    <row r="15531" spans="3:4" ht="15" x14ac:dyDescent="0.25">
      <c r="C15531" s="8" t="e">
        <f>VLOOKUP(A:A,'ITEM LIST'!A:C,3,0)</f>
        <v>#N/A</v>
      </c>
      <c r="D15531" s="6">
        <f t="shared" si="243"/>
        <v>0</v>
      </c>
    </row>
    <row r="15532" spans="3:4" ht="15" x14ac:dyDescent="0.25">
      <c r="C15532" s="8" t="e">
        <f>VLOOKUP(A:A,'ITEM LIST'!A:C,3,0)</f>
        <v>#N/A</v>
      </c>
      <c r="D15532" s="6">
        <f t="shared" si="243"/>
        <v>0</v>
      </c>
    </row>
    <row r="15533" spans="3:4" ht="15" x14ac:dyDescent="0.25">
      <c r="C15533" s="8" t="e">
        <f>VLOOKUP(A:A,'ITEM LIST'!A:C,3,0)</f>
        <v>#N/A</v>
      </c>
      <c r="D15533" s="6">
        <f t="shared" si="243"/>
        <v>0</v>
      </c>
    </row>
    <row r="15534" spans="3:4" ht="15" x14ac:dyDescent="0.25">
      <c r="C15534" s="8" t="e">
        <f>VLOOKUP(A:A,'ITEM LIST'!A:C,3,0)</f>
        <v>#N/A</v>
      </c>
      <c r="D15534" s="6">
        <f t="shared" si="243"/>
        <v>0</v>
      </c>
    </row>
    <row r="15535" spans="3:4" ht="15" x14ac:dyDescent="0.25">
      <c r="C15535" s="8" t="e">
        <f>VLOOKUP(A:A,'ITEM LIST'!A:C,3,0)</f>
        <v>#N/A</v>
      </c>
      <c r="D15535" s="6">
        <f t="shared" si="243"/>
        <v>0</v>
      </c>
    </row>
    <row r="15536" spans="3:4" ht="15" x14ac:dyDescent="0.25">
      <c r="C15536" s="8" t="e">
        <f>VLOOKUP(A:A,'ITEM LIST'!A:C,3,0)</f>
        <v>#N/A</v>
      </c>
      <c r="D15536" s="6">
        <f t="shared" si="243"/>
        <v>0</v>
      </c>
    </row>
    <row r="15537" spans="3:4" ht="15" x14ac:dyDescent="0.25">
      <c r="C15537" s="8" t="e">
        <f>VLOOKUP(A:A,'ITEM LIST'!A:C,3,0)</f>
        <v>#N/A</v>
      </c>
      <c r="D15537" s="6">
        <f t="shared" si="243"/>
        <v>0</v>
      </c>
    </row>
    <row r="15538" spans="3:4" ht="15" x14ac:dyDescent="0.25">
      <c r="C15538" s="8" t="e">
        <f>VLOOKUP(A:A,'ITEM LIST'!A:C,3,0)</f>
        <v>#N/A</v>
      </c>
      <c r="D15538" s="6">
        <f t="shared" si="243"/>
        <v>0</v>
      </c>
    </row>
    <row r="15539" spans="3:4" ht="15" x14ac:dyDescent="0.25">
      <c r="C15539" s="8" t="e">
        <f>VLOOKUP(A:A,'ITEM LIST'!A:C,3,0)</f>
        <v>#N/A</v>
      </c>
      <c r="D15539" s="6">
        <f t="shared" si="243"/>
        <v>0</v>
      </c>
    </row>
    <row r="15540" spans="3:4" ht="15" x14ac:dyDescent="0.25">
      <c r="C15540" s="8" t="e">
        <f>VLOOKUP(A:A,'ITEM LIST'!A:C,3,0)</f>
        <v>#N/A</v>
      </c>
      <c r="D15540" s="6">
        <f t="shared" si="243"/>
        <v>0</v>
      </c>
    </row>
    <row r="15541" spans="3:4" ht="15" x14ac:dyDescent="0.25">
      <c r="C15541" s="8" t="e">
        <f>VLOOKUP(A:A,'ITEM LIST'!A:C,3,0)</f>
        <v>#N/A</v>
      </c>
      <c r="D15541" s="6">
        <f t="shared" si="243"/>
        <v>0</v>
      </c>
    </row>
    <row r="15542" spans="3:4" ht="15" x14ac:dyDescent="0.25">
      <c r="C15542" s="8" t="e">
        <f>VLOOKUP(A:A,'ITEM LIST'!A:C,3,0)</f>
        <v>#N/A</v>
      </c>
      <c r="D15542" s="6">
        <f t="shared" si="243"/>
        <v>0</v>
      </c>
    </row>
    <row r="15543" spans="3:4" ht="15" x14ac:dyDescent="0.25">
      <c r="C15543" s="8" t="e">
        <f>VLOOKUP(A:A,'ITEM LIST'!A:C,3,0)</f>
        <v>#N/A</v>
      </c>
      <c r="D15543" s="6">
        <f t="shared" si="243"/>
        <v>0</v>
      </c>
    </row>
    <row r="15544" spans="3:4" ht="15" x14ac:dyDescent="0.25">
      <c r="C15544" s="8" t="e">
        <f>VLOOKUP(A:A,'ITEM LIST'!A:C,3,0)</f>
        <v>#N/A</v>
      </c>
      <c r="D15544" s="6">
        <f t="shared" si="243"/>
        <v>0</v>
      </c>
    </row>
    <row r="15545" spans="3:4" ht="15" x14ac:dyDescent="0.25">
      <c r="C15545" s="8" t="e">
        <f>VLOOKUP(A:A,'ITEM LIST'!A:C,3,0)</f>
        <v>#N/A</v>
      </c>
      <c r="D15545" s="6">
        <f t="shared" si="243"/>
        <v>0</v>
      </c>
    </row>
    <row r="15546" spans="3:4" ht="15" x14ac:dyDescent="0.25">
      <c r="C15546" s="8" t="e">
        <f>VLOOKUP(A:A,'ITEM LIST'!A:C,3,0)</f>
        <v>#N/A</v>
      </c>
      <c r="D15546" s="6">
        <f t="shared" si="243"/>
        <v>0</v>
      </c>
    </row>
    <row r="15547" spans="3:4" ht="15" x14ac:dyDescent="0.25">
      <c r="C15547" s="8" t="e">
        <f>VLOOKUP(A:A,'ITEM LIST'!A:C,3,0)</f>
        <v>#N/A</v>
      </c>
      <c r="D15547" s="6">
        <f t="shared" si="243"/>
        <v>0</v>
      </c>
    </row>
    <row r="15548" spans="3:4" ht="15" x14ac:dyDescent="0.25">
      <c r="C15548" s="8" t="e">
        <f>VLOOKUP(A:A,'ITEM LIST'!A:C,3,0)</f>
        <v>#N/A</v>
      </c>
      <c r="D15548" s="6">
        <f t="shared" si="243"/>
        <v>0</v>
      </c>
    </row>
    <row r="15549" spans="3:4" ht="15" x14ac:dyDescent="0.25">
      <c r="C15549" s="8" t="e">
        <f>VLOOKUP(A:A,'ITEM LIST'!A:C,3,0)</f>
        <v>#N/A</v>
      </c>
      <c r="D15549" s="6">
        <f t="shared" si="243"/>
        <v>0</v>
      </c>
    </row>
    <row r="15550" spans="3:4" ht="15" x14ac:dyDescent="0.25">
      <c r="C15550" s="8" t="e">
        <f>VLOOKUP(A:A,'ITEM LIST'!A:C,3,0)</f>
        <v>#N/A</v>
      </c>
      <c r="D15550" s="6">
        <f t="shared" si="243"/>
        <v>0</v>
      </c>
    </row>
    <row r="15551" spans="3:4" ht="15" x14ac:dyDescent="0.25">
      <c r="C15551" s="8" t="e">
        <f>VLOOKUP(A:A,'ITEM LIST'!A:C,3,0)</f>
        <v>#N/A</v>
      </c>
      <c r="D15551" s="6">
        <f t="shared" si="243"/>
        <v>0</v>
      </c>
    </row>
    <row r="15552" spans="3:4" ht="15" x14ac:dyDescent="0.25">
      <c r="C15552" s="8" t="e">
        <f>VLOOKUP(A:A,'ITEM LIST'!A:C,3,0)</f>
        <v>#N/A</v>
      </c>
      <c r="D15552" s="6">
        <f t="shared" si="243"/>
        <v>0</v>
      </c>
    </row>
    <row r="15553" spans="3:4" ht="15" x14ac:dyDescent="0.25">
      <c r="C15553" s="8" t="e">
        <f>VLOOKUP(A:A,'ITEM LIST'!A:C,3,0)</f>
        <v>#N/A</v>
      </c>
      <c r="D15553" s="6">
        <f t="shared" si="243"/>
        <v>0</v>
      </c>
    </row>
    <row r="15554" spans="3:4" ht="15" x14ac:dyDescent="0.25">
      <c r="C15554" s="8" t="e">
        <f>VLOOKUP(A:A,'ITEM LIST'!A:C,3,0)</f>
        <v>#N/A</v>
      </c>
      <c r="D15554" s="6">
        <f t="shared" si="243"/>
        <v>0</v>
      </c>
    </row>
    <row r="15555" spans="3:4" ht="15" x14ac:dyDescent="0.25">
      <c r="C15555" s="8" t="e">
        <f>VLOOKUP(A:A,'ITEM LIST'!A:C,3,0)</f>
        <v>#N/A</v>
      </c>
      <c r="D15555" s="6">
        <f t="shared" si="243"/>
        <v>0</v>
      </c>
    </row>
    <row r="15556" spans="3:4" ht="15" x14ac:dyDescent="0.25">
      <c r="C15556" s="8" t="e">
        <f>VLOOKUP(A:A,'ITEM LIST'!A:C,3,0)</f>
        <v>#N/A</v>
      </c>
      <c r="D15556" s="6">
        <f t="shared" si="243"/>
        <v>0</v>
      </c>
    </row>
    <row r="15557" spans="3:4" ht="15" x14ac:dyDescent="0.25">
      <c r="C15557" s="8" t="e">
        <f>VLOOKUP(A:A,'ITEM LIST'!A:C,3,0)</f>
        <v>#N/A</v>
      </c>
      <c r="D15557" s="6">
        <f t="shared" si="243"/>
        <v>0</v>
      </c>
    </row>
    <row r="15558" spans="3:4" ht="15" x14ac:dyDescent="0.25">
      <c r="C15558" s="8" t="e">
        <f>VLOOKUP(A:A,'ITEM LIST'!A:C,3,0)</f>
        <v>#N/A</v>
      </c>
      <c r="D15558" s="6">
        <f t="shared" ref="D15558:D15621" si="244">B15558</f>
        <v>0</v>
      </c>
    </row>
    <row r="15559" spans="3:4" ht="15" x14ac:dyDescent="0.25">
      <c r="C15559" s="8" t="e">
        <f>VLOOKUP(A:A,'ITEM LIST'!A:C,3,0)</f>
        <v>#N/A</v>
      </c>
      <c r="D15559" s="6">
        <f t="shared" si="244"/>
        <v>0</v>
      </c>
    </row>
    <row r="15560" spans="3:4" ht="15" x14ac:dyDescent="0.25">
      <c r="C15560" s="8" t="e">
        <f>VLOOKUP(A:A,'ITEM LIST'!A:C,3,0)</f>
        <v>#N/A</v>
      </c>
      <c r="D15560" s="6">
        <f t="shared" si="244"/>
        <v>0</v>
      </c>
    </row>
    <row r="15561" spans="3:4" ht="15" x14ac:dyDescent="0.25">
      <c r="C15561" s="8" t="e">
        <f>VLOOKUP(A:A,'ITEM LIST'!A:C,3,0)</f>
        <v>#N/A</v>
      </c>
      <c r="D15561" s="6">
        <f t="shared" si="244"/>
        <v>0</v>
      </c>
    </row>
    <row r="15562" spans="3:4" ht="15" x14ac:dyDescent="0.25">
      <c r="C15562" s="8" t="e">
        <f>VLOOKUP(A:A,'ITEM LIST'!A:C,3,0)</f>
        <v>#N/A</v>
      </c>
      <c r="D15562" s="6">
        <f t="shared" si="244"/>
        <v>0</v>
      </c>
    </row>
    <row r="15563" spans="3:4" ht="15" x14ac:dyDescent="0.25">
      <c r="C15563" s="8" t="e">
        <f>VLOOKUP(A:A,'ITEM LIST'!A:C,3,0)</f>
        <v>#N/A</v>
      </c>
      <c r="D15563" s="6">
        <f t="shared" si="244"/>
        <v>0</v>
      </c>
    </row>
    <row r="15564" spans="3:4" ht="15" x14ac:dyDescent="0.25">
      <c r="C15564" s="8" t="e">
        <f>VLOOKUP(A:A,'ITEM LIST'!A:C,3,0)</f>
        <v>#N/A</v>
      </c>
      <c r="D15564" s="6">
        <f t="shared" si="244"/>
        <v>0</v>
      </c>
    </row>
    <row r="15565" spans="3:4" ht="15" x14ac:dyDescent="0.25">
      <c r="C15565" s="8" t="e">
        <f>VLOOKUP(A:A,'ITEM LIST'!A:C,3,0)</f>
        <v>#N/A</v>
      </c>
      <c r="D15565" s="6">
        <f t="shared" si="244"/>
        <v>0</v>
      </c>
    </row>
    <row r="15566" spans="3:4" ht="15" x14ac:dyDescent="0.25">
      <c r="C15566" s="8" t="e">
        <f>VLOOKUP(A:A,'ITEM LIST'!A:C,3,0)</f>
        <v>#N/A</v>
      </c>
      <c r="D15566" s="6">
        <f t="shared" si="244"/>
        <v>0</v>
      </c>
    </row>
    <row r="15567" spans="3:4" ht="15" x14ac:dyDescent="0.25">
      <c r="C15567" s="8" t="e">
        <f>VLOOKUP(A:A,'ITEM LIST'!A:C,3,0)</f>
        <v>#N/A</v>
      </c>
      <c r="D15567" s="6">
        <f t="shared" si="244"/>
        <v>0</v>
      </c>
    </row>
    <row r="15568" spans="3:4" ht="15" x14ac:dyDescent="0.25">
      <c r="C15568" s="8" t="e">
        <f>VLOOKUP(A:A,'ITEM LIST'!A:C,3,0)</f>
        <v>#N/A</v>
      </c>
      <c r="D15568" s="6">
        <f t="shared" si="244"/>
        <v>0</v>
      </c>
    </row>
    <row r="15569" spans="3:4" ht="15" x14ac:dyDescent="0.25">
      <c r="C15569" s="8" t="e">
        <f>VLOOKUP(A:A,'ITEM LIST'!A:C,3,0)</f>
        <v>#N/A</v>
      </c>
      <c r="D15569" s="6">
        <f t="shared" si="244"/>
        <v>0</v>
      </c>
    </row>
    <row r="15570" spans="3:4" ht="15" x14ac:dyDescent="0.25">
      <c r="C15570" s="8" t="e">
        <f>VLOOKUP(A:A,'ITEM LIST'!A:C,3,0)</f>
        <v>#N/A</v>
      </c>
      <c r="D15570" s="6">
        <f t="shared" si="244"/>
        <v>0</v>
      </c>
    </row>
    <row r="15571" spans="3:4" ht="15" x14ac:dyDescent="0.25">
      <c r="C15571" s="8" t="e">
        <f>VLOOKUP(A:A,'ITEM LIST'!A:C,3,0)</f>
        <v>#N/A</v>
      </c>
      <c r="D15571" s="6">
        <f t="shared" si="244"/>
        <v>0</v>
      </c>
    </row>
    <row r="15572" spans="3:4" ht="15" x14ac:dyDescent="0.25">
      <c r="C15572" s="8" t="e">
        <f>VLOOKUP(A:A,'ITEM LIST'!A:C,3,0)</f>
        <v>#N/A</v>
      </c>
      <c r="D15572" s="6">
        <f t="shared" si="244"/>
        <v>0</v>
      </c>
    </row>
    <row r="15573" spans="3:4" ht="15" x14ac:dyDescent="0.25">
      <c r="C15573" s="8" t="e">
        <f>VLOOKUP(A:A,'ITEM LIST'!A:C,3,0)</f>
        <v>#N/A</v>
      </c>
      <c r="D15573" s="6">
        <f t="shared" si="244"/>
        <v>0</v>
      </c>
    </row>
    <row r="15574" spans="3:4" ht="15" x14ac:dyDescent="0.25">
      <c r="C15574" s="8" t="e">
        <f>VLOOKUP(A:A,'ITEM LIST'!A:C,3,0)</f>
        <v>#N/A</v>
      </c>
      <c r="D15574" s="6">
        <f t="shared" si="244"/>
        <v>0</v>
      </c>
    </row>
    <row r="15575" spans="3:4" ht="15" x14ac:dyDescent="0.25">
      <c r="C15575" s="8" t="e">
        <f>VLOOKUP(A:A,'ITEM LIST'!A:C,3,0)</f>
        <v>#N/A</v>
      </c>
      <c r="D15575" s="6">
        <f t="shared" si="244"/>
        <v>0</v>
      </c>
    </row>
    <row r="15576" spans="3:4" ht="15" x14ac:dyDescent="0.25">
      <c r="C15576" s="8" t="e">
        <f>VLOOKUP(A:A,'ITEM LIST'!A:C,3,0)</f>
        <v>#N/A</v>
      </c>
      <c r="D15576" s="6">
        <f t="shared" si="244"/>
        <v>0</v>
      </c>
    </row>
    <row r="15577" spans="3:4" ht="15" x14ac:dyDescent="0.25">
      <c r="C15577" s="8" t="e">
        <f>VLOOKUP(A:A,'ITEM LIST'!A:C,3,0)</f>
        <v>#N/A</v>
      </c>
      <c r="D15577" s="6">
        <f t="shared" si="244"/>
        <v>0</v>
      </c>
    </row>
    <row r="15578" spans="3:4" ht="15" x14ac:dyDescent="0.25">
      <c r="C15578" s="8" t="e">
        <f>VLOOKUP(A:A,'ITEM LIST'!A:C,3,0)</f>
        <v>#N/A</v>
      </c>
      <c r="D15578" s="6">
        <f t="shared" si="244"/>
        <v>0</v>
      </c>
    </row>
    <row r="15579" spans="3:4" ht="15" x14ac:dyDescent="0.25">
      <c r="C15579" s="8" t="e">
        <f>VLOOKUP(A:A,'ITEM LIST'!A:C,3,0)</f>
        <v>#N/A</v>
      </c>
      <c r="D15579" s="6">
        <f t="shared" si="244"/>
        <v>0</v>
      </c>
    </row>
    <row r="15580" spans="3:4" ht="15" x14ac:dyDescent="0.25">
      <c r="C15580" s="8" t="e">
        <f>VLOOKUP(A:A,'ITEM LIST'!A:C,3,0)</f>
        <v>#N/A</v>
      </c>
      <c r="D15580" s="6">
        <f t="shared" si="244"/>
        <v>0</v>
      </c>
    </row>
    <row r="15581" spans="3:4" ht="15" x14ac:dyDescent="0.25">
      <c r="C15581" s="8" t="e">
        <f>VLOOKUP(A:A,'ITEM LIST'!A:C,3,0)</f>
        <v>#N/A</v>
      </c>
      <c r="D15581" s="6">
        <f t="shared" si="244"/>
        <v>0</v>
      </c>
    </row>
    <row r="15582" spans="3:4" ht="15" x14ac:dyDescent="0.25">
      <c r="C15582" s="8" t="e">
        <f>VLOOKUP(A:A,'ITEM LIST'!A:C,3,0)</f>
        <v>#N/A</v>
      </c>
      <c r="D15582" s="6">
        <f t="shared" si="244"/>
        <v>0</v>
      </c>
    </row>
    <row r="15583" spans="3:4" ht="15" x14ac:dyDescent="0.25">
      <c r="C15583" s="8" t="e">
        <f>VLOOKUP(A:A,'ITEM LIST'!A:C,3,0)</f>
        <v>#N/A</v>
      </c>
      <c r="D15583" s="6">
        <f t="shared" si="244"/>
        <v>0</v>
      </c>
    </row>
    <row r="15584" spans="3:4" ht="15" x14ac:dyDescent="0.25">
      <c r="C15584" s="8" t="e">
        <f>VLOOKUP(A:A,'ITEM LIST'!A:C,3,0)</f>
        <v>#N/A</v>
      </c>
      <c r="D15584" s="6">
        <f t="shared" si="244"/>
        <v>0</v>
      </c>
    </row>
    <row r="15585" spans="3:4" ht="15" x14ac:dyDescent="0.25">
      <c r="C15585" s="8" t="e">
        <f>VLOOKUP(A:A,'ITEM LIST'!A:C,3,0)</f>
        <v>#N/A</v>
      </c>
      <c r="D15585" s="6">
        <f t="shared" si="244"/>
        <v>0</v>
      </c>
    </row>
    <row r="15586" spans="3:4" ht="15" x14ac:dyDescent="0.25">
      <c r="C15586" s="8" t="e">
        <f>VLOOKUP(A:A,'ITEM LIST'!A:C,3,0)</f>
        <v>#N/A</v>
      </c>
      <c r="D15586" s="6">
        <f t="shared" si="244"/>
        <v>0</v>
      </c>
    </row>
    <row r="15587" spans="3:4" ht="15" x14ac:dyDescent="0.25">
      <c r="C15587" s="8" t="e">
        <f>VLOOKUP(A:A,'ITEM LIST'!A:C,3,0)</f>
        <v>#N/A</v>
      </c>
      <c r="D15587" s="6">
        <f t="shared" si="244"/>
        <v>0</v>
      </c>
    </row>
    <row r="15588" spans="3:4" ht="15" x14ac:dyDescent="0.25">
      <c r="C15588" s="8" t="e">
        <f>VLOOKUP(A:A,'ITEM LIST'!A:C,3,0)</f>
        <v>#N/A</v>
      </c>
      <c r="D15588" s="6">
        <f t="shared" si="244"/>
        <v>0</v>
      </c>
    </row>
    <row r="15589" spans="3:4" ht="15" x14ac:dyDescent="0.25">
      <c r="C15589" s="8" t="e">
        <f>VLOOKUP(A:A,'ITEM LIST'!A:C,3,0)</f>
        <v>#N/A</v>
      </c>
      <c r="D15589" s="6">
        <f t="shared" si="244"/>
        <v>0</v>
      </c>
    </row>
    <row r="15590" spans="3:4" ht="15" x14ac:dyDescent="0.25">
      <c r="C15590" s="8" t="e">
        <f>VLOOKUP(A:A,'ITEM LIST'!A:C,3,0)</f>
        <v>#N/A</v>
      </c>
      <c r="D15590" s="6">
        <f t="shared" si="244"/>
        <v>0</v>
      </c>
    </row>
    <row r="15591" spans="3:4" ht="15" x14ac:dyDescent="0.25">
      <c r="C15591" s="8" t="e">
        <f>VLOOKUP(A:A,'ITEM LIST'!A:C,3,0)</f>
        <v>#N/A</v>
      </c>
      <c r="D15591" s="6">
        <f t="shared" si="244"/>
        <v>0</v>
      </c>
    </row>
    <row r="15592" spans="3:4" ht="15" x14ac:dyDescent="0.25">
      <c r="C15592" s="8" t="e">
        <f>VLOOKUP(A:A,'ITEM LIST'!A:C,3,0)</f>
        <v>#N/A</v>
      </c>
      <c r="D15592" s="6">
        <f t="shared" si="244"/>
        <v>0</v>
      </c>
    </row>
    <row r="15593" spans="3:4" ht="15" x14ac:dyDescent="0.25">
      <c r="C15593" s="8" t="e">
        <f>VLOOKUP(A:A,'ITEM LIST'!A:C,3,0)</f>
        <v>#N/A</v>
      </c>
      <c r="D15593" s="6">
        <f t="shared" si="244"/>
        <v>0</v>
      </c>
    </row>
    <row r="15594" spans="3:4" ht="15" x14ac:dyDescent="0.25">
      <c r="C15594" s="8" t="e">
        <f>VLOOKUP(A:A,'ITEM LIST'!A:C,3,0)</f>
        <v>#N/A</v>
      </c>
      <c r="D15594" s="6">
        <f t="shared" si="244"/>
        <v>0</v>
      </c>
    </row>
    <row r="15595" spans="3:4" ht="15" x14ac:dyDescent="0.25">
      <c r="C15595" s="8" t="e">
        <f>VLOOKUP(A:A,'ITEM LIST'!A:C,3,0)</f>
        <v>#N/A</v>
      </c>
      <c r="D15595" s="6">
        <f t="shared" si="244"/>
        <v>0</v>
      </c>
    </row>
    <row r="15596" spans="3:4" ht="15" x14ac:dyDescent="0.25">
      <c r="C15596" s="8" t="e">
        <f>VLOOKUP(A:A,'ITEM LIST'!A:C,3,0)</f>
        <v>#N/A</v>
      </c>
      <c r="D15596" s="6">
        <f t="shared" si="244"/>
        <v>0</v>
      </c>
    </row>
    <row r="15597" spans="3:4" ht="15" x14ac:dyDescent="0.25">
      <c r="C15597" s="8" t="e">
        <f>VLOOKUP(A:A,'ITEM LIST'!A:C,3,0)</f>
        <v>#N/A</v>
      </c>
      <c r="D15597" s="6">
        <f t="shared" si="244"/>
        <v>0</v>
      </c>
    </row>
    <row r="15598" spans="3:4" ht="15" x14ac:dyDescent="0.25">
      <c r="C15598" s="8" t="e">
        <f>VLOOKUP(A:A,'ITEM LIST'!A:C,3,0)</f>
        <v>#N/A</v>
      </c>
      <c r="D15598" s="6">
        <f t="shared" si="244"/>
        <v>0</v>
      </c>
    </row>
    <row r="15599" spans="3:4" ht="15" x14ac:dyDescent="0.25">
      <c r="C15599" s="8" t="e">
        <f>VLOOKUP(A:A,'ITEM LIST'!A:C,3,0)</f>
        <v>#N/A</v>
      </c>
      <c r="D15599" s="6">
        <f t="shared" si="244"/>
        <v>0</v>
      </c>
    </row>
    <row r="15600" spans="3:4" ht="15" x14ac:dyDescent="0.25">
      <c r="C15600" s="8" t="e">
        <f>VLOOKUP(A:A,'ITEM LIST'!A:C,3,0)</f>
        <v>#N/A</v>
      </c>
      <c r="D15600" s="6">
        <f t="shared" si="244"/>
        <v>0</v>
      </c>
    </row>
    <row r="15601" spans="3:4" ht="15" x14ac:dyDescent="0.25">
      <c r="C15601" s="8" t="e">
        <f>VLOOKUP(A:A,'ITEM LIST'!A:C,3,0)</f>
        <v>#N/A</v>
      </c>
      <c r="D15601" s="6">
        <f t="shared" si="244"/>
        <v>0</v>
      </c>
    </row>
    <row r="15602" spans="3:4" ht="15" x14ac:dyDescent="0.25">
      <c r="C15602" s="8" t="e">
        <f>VLOOKUP(A:A,'ITEM LIST'!A:C,3,0)</f>
        <v>#N/A</v>
      </c>
      <c r="D15602" s="6">
        <f t="shared" si="244"/>
        <v>0</v>
      </c>
    </row>
    <row r="15603" spans="3:4" ht="15" x14ac:dyDescent="0.25">
      <c r="C15603" s="8" t="e">
        <f>VLOOKUP(A:A,'ITEM LIST'!A:C,3,0)</f>
        <v>#N/A</v>
      </c>
      <c r="D15603" s="6">
        <f t="shared" si="244"/>
        <v>0</v>
      </c>
    </row>
    <row r="15604" spans="3:4" ht="15" x14ac:dyDescent="0.25">
      <c r="C15604" s="8" t="e">
        <f>VLOOKUP(A:A,'ITEM LIST'!A:C,3,0)</f>
        <v>#N/A</v>
      </c>
      <c r="D15604" s="6">
        <f t="shared" si="244"/>
        <v>0</v>
      </c>
    </row>
    <row r="15605" spans="3:4" ht="15" x14ac:dyDescent="0.25">
      <c r="C15605" s="8" t="e">
        <f>VLOOKUP(A:A,'ITEM LIST'!A:C,3,0)</f>
        <v>#N/A</v>
      </c>
      <c r="D15605" s="6">
        <f t="shared" si="244"/>
        <v>0</v>
      </c>
    </row>
    <row r="15606" spans="3:4" ht="15" x14ac:dyDescent="0.25">
      <c r="C15606" s="8" t="e">
        <f>VLOOKUP(A:A,'ITEM LIST'!A:C,3,0)</f>
        <v>#N/A</v>
      </c>
      <c r="D15606" s="6">
        <f t="shared" si="244"/>
        <v>0</v>
      </c>
    </row>
    <row r="15607" spans="3:4" ht="15" x14ac:dyDescent="0.25">
      <c r="C15607" s="8" t="e">
        <f>VLOOKUP(A:A,'ITEM LIST'!A:C,3,0)</f>
        <v>#N/A</v>
      </c>
      <c r="D15607" s="6">
        <f t="shared" si="244"/>
        <v>0</v>
      </c>
    </row>
    <row r="15608" spans="3:4" ht="15" x14ac:dyDescent="0.25">
      <c r="C15608" s="8" t="e">
        <f>VLOOKUP(A:A,'ITEM LIST'!A:C,3,0)</f>
        <v>#N/A</v>
      </c>
      <c r="D15608" s="6">
        <f t="shared" si="244"/>
        <v>0</v>
      </c>
    </row>
    <row r="15609" spans="3:4" ht="15" x14ac:dyDescent="0.25">
      <c r="C15609" s="8" t="e">
        <f>VLOOKUP(A:A,'ITEM LIST'!A:C,3,0)</f>
        <v>#N/A</v>
      </c>
      <c r="D15609" s="6">
        <f t="shared" si="244"/>
        <v>0</v>
      </c>
    </row>
    <row r="15610" spans="3:4" ht="15" x14ac:dyDescent="0.25">
      <c r="C15610" s="8" t="e">
        <f>VLOOKUP(A:A,'ITEM LIST'!A:C,3,0)</f>
        <v>#N/A</v>
      </c>
      <c r="D15610" s="6">
        <f t="shared" si="244"/>
        <v>0</v>
      </c>
    </row>
    <row r="15611" spans="3:4" ht="15" x14ac:dyDescent="0.25">
      <c r="C15611" s="8" t="e">
        <f>VLOOKUP(A:A,'ITEM LIST'!A:C,3,0)</f>
        <v>#N/A</v>
      </c>
      <c r="D15611" s="6">
        <f t="shared" si="244"/>
        <v>0</v>
      </c>
    </row>
    <row r="15612" spans="3:4" ht="15" x14ac:dyDescent="0.25">
      <c r="C15612" s="8" t="e">
        <f>VLOOKUP(A:A,'ITEM LIST'!A:C,3,0)</f>
        <v>#N/A</v>
      </c>
      <c r="D15612" s="6">
        <f t="shared" si="244"/>
        <v>0</v>
      </c>
    </row>
    <row r="15613" spans="3:4" ht="15" x14ac:dyDescent="0.25">
      <c r="C15613" s="8" t="e">
        <f>VLOOKUP(A:A,'ITEM LIST'!A:C,3,0)</f>
        <v>#N/A</v>
      </c>
      <c r="D15613" s="6">
        <f t="shared" si="244"/>
        <v>0</v>
      </c>
    </row>
    <row r="15614" spans="3:4" ht="15" x14ac:dyDescent="0.25">
      <c r="C15614" s="8" t="e">
        <f>VLOOKUP(A:A,'ITEM LIST'!A:C,3,0)</f>
        <v>#N/A</v>
      </c>
      <c r="D15614" s="6">
        <f t="shared" si="244"/>
        <v>0</v>
      </c>
    </row>
    <row r="15615" spans="3:4" ht="15" x14ac:dyDescent="0.25">
      <c r="C15615" s="8" t="e">
        <f>VLOOKUP(A:A,'ITEM LIST'!A:C,3,0)</f>
        <v>#N/A</v>
      </c>
      <c r="D15615" s="6">
        <f t="shared" si="244"/>
        <v>0</v>
      </c>
    </row>
    <row r="15616" spans="3:4" ht="15" x14ac:dyDescent="0.25">
      <c r="C15616" s="8" t="e">
        <f>VLOOKUP(A:A,'ITEM LIST'!A:C,3,0)</f>
        <v>#N/A</v>
      </c>
      <c r="D15616" s="6">
        <f t="shared" si="244"/>
        <v>0</v>
      </c>
    </row>
    <row r="15617" spans="3:4" ht="15" x14ac:dyDescent="0.25">
      <c r="C15617" s="8" t="e">
        <f>VLOOKUP(A:A,'ITEM LIST'!A:C,3,0)</f>
        <v>#N/A</v>
      </c>
      <c r="D15617" s="6">
        <f t="shared" si="244"/>
        <v>0</v>
      </c>
    </row>
    <row r="15618" spans="3:4" ht="15" x14ac:dyDescent="0.25">
      <c r="C15618" s="8" t="e">
        <f>VLOOKUP(A:A,'ITEM LIST'!A:C,3,0)</f>
        <v>#N/A</v>
      </c>
      <c r="D15618" s="6">
        <f t="shared" si="244"/>
        <v>0</v>
      </c>
    </row>
    <row r="15619" spans="3:4" ht="15" x14ac:dyDescent="0.25">
      <c r="C15619" s="8" t="e">
        <f>VLOOKUP(A:A,'ITEM LIST'!A:C,3,0)</f>
        <v>#N/A</v>
      </c>
      <c r="D15619" s="6">
        <f t="shared" si="244"/>
        <v>0</v>
      </c>
    </row>
    <row r="15620" spans="3:4" ht="15" x14ac:dyDescent="0.25">
      <c r="C15620" s="8" t="e">
        <f>VLOOKUP(A:A,'ITEM LIST'!A:C,3,0)</f>
        <v>#N/A</v>
      </c>
      <c r="D15620" s="6">
        <f t="shared" si="244"/>
        <v>0</v>
      </c>
    </row>
    <row r="15621" spans="3:4" ht="15" x14ac:dyDescent="0.25">
      <c r="C15621" s="8" t="e">
        <f>VLOOKUP(A:A,'ITEM LIST'!A:C,3,0)</f>
        <v>#N/A</v>
      </c>
      <c r="D15621" s="6">
        <f t="shared" si="244"/>
        <v>0</v>
      </c>
    </row>
    <row r="15622" spans="3:4" ht="15" x14ac:dyDescent="0.25">
      <c r="C15622" s="8" t="e">
        <f>VLOOKUP(A:A,'ITEM LIST'!A:C,3,0)</f>
        <v>#N/A</v>
      </c>
      <c r="D15622" s="6">
        <f t="shared" ref="D15622:D15685" si="245">B15622</f>
        <v>0</v>
      </c>
    </row>
    <row r="15623" spans="3:4" ht="15" x14ac:dyDescent="0.25">
      <c r="C15623" s="8" t="e">
        <f>VLOOKUP(A:A,'ITEM LIST'!A:C,3,0)</f>
        <v>#N/A</v>
      </c>
      <c r="D15623" s="6">
        <f t="shared" si="245"/>
        <v>0</v>
      </c>
    </row>
    <row r="15624" spans="3:4" ht="15" x14ac:dyDescent="0.25">
      <c r="C15624" s="8" t="e">
        <f>VLOOKUP(A:A,'ITEM LIST'!A:C,3,0)</f>
        <v>#N/A</v>
      </c>
      <c r="D15624" s="6">
        <f t="shared" si="245"/>
        <v>0</v>
      </c>
    </row>
    <row r="15625" spans="3:4" ht="15" x14ac:dyDescent="0.25">
      <c r="C15625" s="8" t="e">
        <f>VLOOKUP(A:A,'ITEM LIST'!A:C,3,0)</f>
        <v>#N/A</v>
      </c>
      <c r="D15625" s="6">
        <f t="shared" si="245"/>
        <v>0</v>
      </c>
    </row>
    <row r="15626" spans="3:4" ht="15" x14ac:dyDescent="0.25">
      <c r="C15626" s="8" t="e">
        <f>VLOOKUP(A:A,'ITEM LIST'!A:C,3,0)</f>
        <v>#N/A</v>
      </c>
      <c r="D15626" s="6">
        <f t="shared" si="245"/>
        <v>0</v>
      </c>
    </row>
    <row r="15627" spans="3:4" ht="15" x14ac:dyDescent="0.25">
      <c r="C15627" s="8" t="e">
        <f>VLOOKUP(A:A,'ITEM LIST'!A:C,3,0)</f>
        <v>#N/A</v>
      </c>
      <c r="D15627" s="6">
        <f t="shared" si="245"/>
        <v>0</v>
      </c>
    </row>
    <row r="15628" spans="3:4" ht="15" x14ac:dyDescent="0.25">
      <c r="C15628" s="8" t="e">
        <f>VLOOKUP(A:A,'ITEM LIST'!A:C,3,0)</f>
        <v>#N/A</v>
      </c>
      <c r="D15628" s="6">
        <f t="shared" si="245"/>
        <v>0</v>
      </c>
    </row>
    <row r="15629" spans="3:4" ht="15" x14ac:dyDescent="0.25">
      <c r="C15629" s="8" t="e">
        <f>VLOOKUP(A:A,'ITEM LIST'!A:C,3,0)</f>
        <v>#N/A</v>
      </c>
      <c r="D15629" s="6">
        <f t="shared" si="245"/>
        <v>0</v>
      </c>
    </row>
    <row r="15630" spans="3:4" ht="15" x14ac:dyDescent="0.25">
      <c r="C15630" s="8" t="e">
        <f>VLOOKUP(A:A,'ITEM LIST'!A:C,3,0)</f>
        <v>#N/A</v>
      </c>
      <c r="D15630" s="6">
        <f t="shared" si="245"/>
        <v>0</v>
      </c>
    </row>
    <row r="15631" spans="3:4" ht="15" x14ac:dyDescent="0.25">
      <c r="C15631" s="8" t="e">
        <f>VLOOKUP(A:A,'ITEM LIST'!A:C,3,0)</f>
        <v>#N/A</v>
      </c>
      <c r="D15631" s="6">
        <f t="shared" si="245"/>
        <v>0</v>
      </c>
    </row>
    <row r="15632" spans="3:4" ht="15" x14ac:dyDescent="0.25">
      <c r="C15632" s="8" t="e">
        <f>VLOOKUP(A:A,'ITEM LIST'!A:C,3,0)</f>
        <v>#N/A</v>
      </c>
      <c r="D15632" s="6">
        <f t="shared" si="245"/>
        <v>0</v>
      </c>
    </row>
    <row r="15633" spans="3:4" ht="15" x14ac:dyDescent="0.25">
      <c r="C15633" s="8" t="e">
        <f>VLOOKUP(A:A,'ITEM LIST'!A:C,3,0)</f>
        <v>#N/A</v>
      </c>
      <c r="D15633" s="6">
        <f t="shared" si="245"/>
        <v>0</v>
      </c>
    </row>
    <row r="15634" spans="3:4" ht="15" x14ac:dyDescent="0.25">
      <c r="C15634" s="8" t="e">
        <f>VLOOKUP(A:A,'ITEM LIST'!A:C,3,0)</f>
        <v>#N/A</v>
      </c>
      <c r="D15634" s="6">
        <f t="shared" si="245"/>
        <v>0</v>
      </c>
    </row>
    <row r="15635" spans="3:4" ht="15" x14ac:dyDescent="0.25">
      <c r="C15635" s="8" t="e">
        <f>VLOOKUP(A:A,'ITEM LIST'!A:C,3,0)</f>
        <v>#N/A</v>
      </c>
      <c r="D15635" s="6">
        <f t="shared" si="245"/>
        <v>0</v>
      </c>
    </row>
    <row r="15636" spans="3:4" ht="15" x14ac:dyDescent="0.25">
      <c r="C15636" s="8" t="e">
        <f>VLOOKUP(A:A,'ITEM LIST'!A:C,3,0)</f>
        <v>#N/A</v>
      </c>
      <c r="D15636" s="6">
        <f t="shared" si="245"/>
        <v>0</v>
      </c>
    </row>
    <row r="15637" spans="3:4" ht="15" x14ac:dyDescent="0.25">
      <c r="C15637" s="8" t="e">
        <f>VLOOKUP(A:A,'ITEM LIST'!A:C,3,0)</f>
        <v>#N/A</v>
      </c>
      <c r="D15637" s="6">
        <f t="shared" si="245"/>
        <v>0</v>
      </c>
    </row>
    <row r="15638" spans="3:4" ht="15" x14ac:dyDescent="0.25">
      <c r="C15638" s="8" t="e">
        <f>VLOOKUP(A:A,'ITEM LIST'!A:C,3,0)</f>
        <v>#N/A</v>
      </c>
      <c r="D15638" s="6">
        <f t="shared" si="245"/>
        <v>0</v>
      </c>
    </row>
    <row r="15639" spans="3:4" ht="15" x14ac:dyDescent="0.25">
      <c r="C15639" s="8" t="e">
        <f>VLOOKUP(A:A,'ITEM LIST'!A:C,3,0)</f>
        <v>#N/A</v>
      </c>
      <c r="D15639" s="6">
        <f t="shared" si="245"/>
        <v>0</v>
      </c>
    </row>
    <row r="15640" spans="3:4" ht="15" x14ac:dyDescent="0.25">
      <c r="C15640" s="8" t="e">
        <f>VLOOKUP(A:A,'ITEM LIST'!A:C,3,0)</f>
        <v>#N/A</v>
      </c>
      <c r="D15640" s="6">
        <f t="shared" si="245"/>
        <v>0</v>
      </c>
    </row>
    <row r="15641" spans="3:4" ht="15" x14ac:dyDescent="0.25">
      <c r="C15641" s="8" t="e">
        <f>VLOOKUP(A:A,'ITEM LIST'!A:C,3,0)</f>
        <v>#N/A</v>
      </c>
      <c r="D15641" s="6">
        <f t="shared" si="245"/>
        <v>0</v>
      </c>
    </row>
    <row r="15642" spans="3:4" ht="15" x14ac:dyDescent="0.25">
      <c r="C15642" s="8" t="e">
        <f>VLOOKUP(A:A,'ITEM LIST'!A:C,3,0)</f>
        <v>#N/A</v>
      </c>
      <c r="D15642" s="6">
        <f t="shared" si="245"/>
        <v>0</v>
      </c>
    </row>
    <row r="15643" spans="3:4" ht="15" x14ac:dyDescent="0.25">
      <c r="C15643" s="8" t="e">
        <f>VLOOKUP(A:A,'ITEM LIST'!A:C,3,0)</f>
        <v>#N/A</v>
      </c>
      <c r="D15643" s="6">
        <f t="shared" si="245"/>
        <v>0</v>
      </c>
    </row>
    <row r="15644" spans="3:4" ht="15" x14ac:dyDescent="0.25">
      <c r="C15644" s="8" t="e">
        <f>VLOOKUP(A:A,'ITEM LIST'!A:C,3,0)</f>
        <v>#N/A</v>
      </c>
      <c r="D15644" s="6">
        <f t="shared" si="245"/>
        <v>0</v>
      </c>
    </row>
    <row r="15645" spans="3:4" ht="15" x14ac:dyDescent="0.25">
      <c r="C15645" s="8" t="e">
        <f>VLOOKUP(A:A,'ITEM LIST'!A:C,3,0)</f>
        <v>#N/A</v>
      </c>
      <c r="D15645" s="6">
        <f t="shared" si="245"/>
        <v>0</v>
      </c>
    </row>
    <row r="15646" spans="3:4" ht="15" x14ac:dyDescent="0.25">
      <c r="C15646" s="8" t="e">
        <f>VLOOKUP(A:A,'ITEM LIST'!A:C,3,0)</f>
        <v>#N/A</v>
      </c>
      <c r="D15646" s="6">
        <f t="shared" si="245"/>
        <v>0</v>
      </c>
    </row>
    <row r="15647" spans="3:4" ht="15" x14ac:dyDescent="0.25">
      <c r="C15647" s="8" t="e">
        <f>VLOOKUP(A:A,'ITEM LIST'!A:C,3,0)</f>
        <v>#N/A</v>
      </c>
      <c r="D15647" s="6">
        <f t="shared" si="245"/>
        <v>0</v>
      </c>
    </row>
    <row r="15648" spans="3:4" ht="15" x14ac:dyDescent="0.25">
      <c r="C15648" s="8" t="e">
        <f>VLOOKUP(A:A,'ITEM LIST'!A:C,3,0)</f>
        <v>#N/A</v>
      </c>
      <c r="D15648" s="6">
        <f t="shared" si="245"/>
        <v>0</v>
      </c>
    </row>
    <row r="15649" spans="3:4" ht="15" x14ac:dyDescent="0.25">
      <c r="C15649" s="8" t="e">
        <f>VLOOKUP(A:A,'ITEM LIST'!A:C,3,0)</f>
        <v>#N/A</v>
      </c>
      <c r="D15649" s="6">
        <f t="shared" si="245"/>
        <v>0</v>
      </c>
    </row>
    <row r="15650" spans="3:4" ht="15" x14ac:dyDescent="0.25">
      <c r="C15650" s="8" t="e">
        <f>VLOOKUP(A:A,'ITEM LIST'!A:C,3,0)</f>
        <v>#N/A</v>
      </c>
      <c r="D15650" s="6">
        <f t="shared" si="245"/>
        <v>0</v>
      </c>
    </row>
    <row r="15651" spans="3:4" ht="15" x14ac:dyDescent="0.25">
      <c r="C15651" s="8" t="e">
        <f>VLOOKUP(A:A,'ITEM LIST'!A:C,3,0)</f>
        <v>#N/A</v>
      </c>
      <c r="D15651" s="6">
        <f t="shared" si="245"/>
        <v>0</v>
      </c>
    </row>
    <row r="15652" spans="3:4" ht="15" x14ac:dyDescent="0.25">
      <c r="C15652" s="8" t="e">
        <f>VLOOKUP(A:A,'ITEM LIST'!A:C,3,0)</f>
        <v>#N/A</v>
      </c>
      <c r="D15652" s="6">
        <f t="shared" si="245"/>
        <v>0</v>
      </c>
    </row>
    <row r="15653" spans="3:4" ht="15" x14ac:dyDescent="0.25">
      <c r="C15653" s="8" t="e">
        <f>VLOOKUP(A:A,'ITEM LIST'!A:C,3,0)</f>
        <v>#N/A</v>
      </c>
      <c r="D15653" s="6">
        <f t="shared" si="245"/>
        <v>0</v>
      </c>
    </row>
    <row r="15654" spans="3:4" ht="15" x14ac:dyDescent="0.25">
      <c r="C15654" s="8" t="e">
        <f>VLOOKUP(A:A,'ITEM LIST'!A:C,3,0)</f>
        <v>#N/A</v>
      </c>
      <c r="D15654" s="6">
        <f t="shared" si="245"/>
        <v>0</v>
      </c>
    </row>
    <row r="15655" spans="3:4" ht="15" x14ac:dyDescent="0.25">
      <c r="C15655" s="8" t="e">
        <f>VLOOKUP(A:A,'ITEM LIST'!A:C,3,0)</f>
        <v>#N/A</v>
      </c>
      <c r="D15655" s="6">
        <f t="shared" si="245"/>
        <v>0</v>
      </c>
    </row>
    <row r="15656" spans="3:4" ht="15" x14ac:dyDescent="0.25">
      <c r="C15656" s="8" t="e">
        <f>VLOOKUP(A:A,'ITEM LIST'!A:C,3,0)</f>
        <v>#N/A</v>
      </c>
      <c r="D15656" s="6">
        <f t="shared" si="245"/>
        <v>0</v>
      </c>
    </row>
    <row r="15657" spans="3:4" ht="15" x14ac:dyDescent="0.25">
      <c r="C15657" s="8" t="e">
        <f>VLOOKUP(A:A,'ITEM LIST'!A:C,3,0)</f>
        <v>#N/A</v>
      </c>
      <c r="D15657" s="6">
        <f t="shared" si="245"/>
        <v>0</v>
      </c>
    </row>
    <row r="15658" spans="3:4" ht="15" x14ac:dyDescent="0.25">
      <c r="C15658" s="8" t="e">
        <f>VLOOKUP(A:A,'ITEM LIST'!A:C,3,0)</f>
        <v>#N/A</v>
      </c>
      <c r="D15658" s="6">
        <f t="shared" si="245"/>
        <v>0</v>
      </c>
    </row>
    <row r="15659" spans="3:4" ht="15" x14ac:dyDescent="0.25">
      <c r="C15659" s="8" t="e">
        <f>VLOOKUP(A:A,'ITEM LIST'!A:C,3,0)</f>
        <v>#N/A</v>
      </c>
      <c r="D15659" s="6">
        <f t="shared" si="245"/>
        <v>0</v>
      </c>
    </row>
    <row r="15660" spans="3:4" ht="15" x14ac:dyDescent="0.25">
      <c r="C15660" s="8" t="e">
        <f>VLOOKUP(A:A,'ITEM LIST'!A:C,3,0)</f>
        <v>#N/A</v>
      </c>
      <c r="D15660" s="6">
        <f t="shared" si="245"/>
        <v>0</v>
      </c>
    </row>
    <row r="15661" spans="3:4" ht="15" x14ac:dyDescent="0.25">
      <c r="C15661" s="8" t="e">
        <f>VLOOKUP(A:A,'ITEM LIST'!A:C,3,0)</f>
        <v>#N/A</v>
      </c>
      <c r="D15661" s="6">
        <f t="shared" si="245"/>
        <v>0</v>
      </c>
    </row>
    <row r="15662" spans="3:4" ht="15" x14ac:dyDescent="0.25">
      <c r="C15662" s="8" t="e">
        <f>VLOOKUP(A:A,'ITEM LIST'!A:C,3,0)</f>
        <v>#N/A</v>
      </c>
      <c r="D15662" s="6">
        <f t="shared" si="245"/>
        <v>0</v>
      </c>
    </row>
    <row r="15663" spans="3:4" ht="15" x14ac:dyDescent="0.25">
      <c r="C15663" s="8" t="e">
        <f>VLOOKUP(A:A,'ITEM LIST'!A:C,3,0)</f>
        <v>#N/A</v>
      </c>
      <c r="D15663" s="6">
        <f t="shared" si="245"/>
        <v>0</v>
      </c>
    </row>
    <row r="15664" spans="3:4" ht="15" x14ac:dyDescent="0.25">
      <c r="C15664" s="8" t="e">
        <f>VLOOKUP(A:A,'ITEM LIST'!A:C,3,0)</f>
        <v>#N/A</v>
      </c>
      <c r="D15664" s="6">
        <f t="shared" si="245"/>
        <v>0</v>
      </c>
    </row>
    <row r="15665" spans="3:4" ht="15" x14ac:dyDescent="0.25">
      <c r="C15665" s="8" t="e">
        <f>VLOOKUP(A:A,'ITEM LIST'!A:C,3,0)</f>
        <v>#N/A</v>
      </c>
      <c r="D15665" s="6">
        <f t="shared" si="245"/>
        <v>0</v>
      </c>
    </row>
    <row r="15666" spans="3:4" ht="15" x14ac:dyDescent="0.25">
      <c r="C15666" s="8" t="e">
        <f>VLOOKUP(A:A,'ITEM LIST'!A:C,3,0)</f>
        <v>#N/A</v>
      </c>
      <c r="D15666" s="6">
        <f t="shared" si="245"/>
        <v>0</v>
      </c>
    </row>
    <row r="15667" spans="3:4" ht="15" x14ac:dyDescent="0.25">
      <c r="C15667" s="8" t="e">
        <f>VLOOKUP(A:A,'ITEM LIST'!A:C,3,0)</f>
        <v>#N/A</v>
      </c>
      <c r="D15667" s="6">
        <f t="shared" si="245"/>
        <v>0</v>
      </c>
    </row>
    <row r="15668" spans="3:4" ht="15" x14ac:dyDescent="0.25">
      <c r="C15668" s="8" t="e">
        <f>VLOOKUP(A:A,'ITEM LIST'!A:C,3,0)</f>
        <v>#N/A</v>
      </c>
      <c r="D15668" s="6">
        <f t="shared" si="245"/>
        <v>0</v>
      </c>
    </row>
    <row r="15669" spans="3:4" ht="15" x14ac:dyDescent="0.25">
      <c r="C15669" s="8" t="e">
        <f>VLOOKUP(A:A,'ITEM LIST'!A:C,3,0)</f>
        <v>#N/A</v>
      </c>
      <c r="D15669" s="6">
        <f t="shared" si="245"/>
        <v>0</v>
      </c>
    </row>
    <row r="15670" spans="3:4" ht="15" x14ac:dyDescent="0.25">
      <c r="C15670" s="8" t="e">
        <f>VLOOKUP(A:A,'ITEM LIST'!A:C,3,0)</f>
        <v>#N/A</v>
      </c>
      <c r="D15670" s="6">
        <f t="shared" si="245"/>
        <v>0</v>
      </c>
    </row>
    <row r="15671" spans="3:4" ht="15" x14ac:dyDescent="0.25">
      <c r="C15671" s="8" t="e">
        <f>VLOOKUP(A:A,'ITEM LIST'!A:C,3,0)</f>
        <v>#N/A</v>
      </c>
      <c r="D15671" s="6">
        <f t="shared" si="245"/>
        <v>0</v>
      </c>
    </row>
    <row r="15672" spans="3:4" ht="15" x14ac:dyDescent="0.25">
      <c r="C15672" s="8" t="e">
        <f>VLOOKUP(A:A,'ITEM LIST'!A:C,3,0)</f>
        <v>#N/A</v>
      </c>
      <c r="D15672" s="6">
        <f t="shared" si="245"/>
        <v>0</v>
      </c>
    </row>
    <row r="15673" spans="3:4" ht="15" x14ac:dyDescent="0.25">
      <c r="C15673" s="8" t="e">
        <f>VLOOKUP(A:A,'ITEM LIST'!A:C,3,0)</f>
        <v>#N/A</v>
      </c>
      <c r="D15673" s="6">
        <f t="shared" si="245"/>
        <v>0</v>
      </c>
    </row>
    <row r="15674" spans="3:4" ht="15" x14ac:dyDescent="0.25">
      <c r="C15674" s="8" t="e">
        <f>VLOOKUP(A:A,'ITEM LIST'!A:C,3,0)</f>
        <v>#N/A</v>
      </c>
      <c r="D15674" s="6">
        <f t="shared" si="245"/>
        <v>0</v>
      </c>
    </row>
    <row r="15675" spans="3:4" ht="15" x14ac:dyDescent="0.25">
      <c r="C15675" s="8" t="e">
        <f>VLOOKUP(A:A,'ITEM LIST'!A:C,3,0)</f>
        <v>#N/A</v>
      </c>
      <c r="D15675" s="6">
        <f t="shared" si="245"/>
        <v>0</v>
      </c>
    </row>
    <row r="15676" spans="3:4" ht="15" x14ac:dyDescent="0.25">
      <c r="C15676" s="8" t="e">
        <f>VLOOKUP(A:A,'ITEM LIST'!A:C,3,0)</f>
        <v>#N/A</v>
      </c>
      <c r="D15676" s="6">
        <f t="shared" si="245"/>
        <v>0</v>
      </c>
    </row>
    <row r="15677" spans="3:4" ht="15" x14ac:dyDescent="0.25">
      <c r="C15677" s="8" t="e">
        <f>VLOOKUP(A:A,'ITEM LIST'!A:C,3,0)</f>
        <v>#N/A</v>
      </c>
      <c r="D15677" s="6">
        <f t="shared" si="245"/>
        <v>0</v>
      </c>
    </row>
    <row r="15678" spans="3:4" ht="15" x14ac:dyDescent="0.25">
      <c r="C15678" s="8" t="e">
        <f>VLOOKUP(A:A,'ITEM LIST'!A:C,3,0)</f>
        <v>#N/A</v>
      </c>
      <c r="D15678" s="6">
        <f t="shared" si="245"/>
        <v>0</v>
      </c>
    </row>
    <row r="15679" spans="3:4" ht="15" x14ac:dyDescent="0.25">
      <c r="C15679" s="8" t="e">
        <f>VLOOKUP(A:A,'ITEM LIST'!A:C,3,0)</f>
        <v>#N/A</v>
      </c>
      <c r="D15679" s="6">
        <f t="shared" si="245"/>
        <v>0</v>
      </c>
    </row>
    <row r="15680" spans="3:4" ht="15" x14ac:dyDescent="0.25">
      <c r="C15680" s="8" t="e">
        <f>VLOOKUP(A:A,'ITEM LIST'!A:C,3,0)</f>
        <v>#N/A</v>
      </c>
      <c r="D15680" s="6">
        <f t="shared" si="245"/>
        <v>0</v>
      </c>
    </row>
    <row r="15681" spans="3:4" ht="15" x14ac:dyDescent="0.25">
      <c r="C15681" s="8" t="e">
        <f>VLOOKUP(A:A,'ITEM LIST'!A:C,3,0)</f>
        <v>#N/A</v>
      </c>
      <c r="D15681" s="6">
        <f t="shared" si="245"/>
        <v>0</v>
      </c>
    </row>
    <row r="15682" spans="3:4" ht="15" x14ac:dyDescent="0.25">
      <c r="C15682" s="8" t="e">
        <f>VLOOKUP(A:A,'ITEM LIST'!A:C,3,0)</f>
        <v>#N/A</v>
      </c>
      <c r="D15682" s="6">
        <f t="shared" si="245"/>
        <v>0</v>
      </c>
    </row>
    <row r="15683" spans="3:4" ht="15" x14ac:dyDescent="0.25">
      <c r="C15683" s="8" t="e">
        <f>VLOOKUP(A:A,'ITEM LIST'!A:C,3,0)</f>
        <v>#N/A</v>
      </c>
      <c r="D15683" s="6">
        <f t="shared" si="245"/>
        <v>0</v>
      </c>
    </row>
    <row r="15684" spans="3:4" ht="15" x14ac:dyDescent="0.25">
      <c r="C15684" s="8" t="e">
        <f>VLOOKUP(A:A,'ITEM LIST'!A:C,3,0)</f>
        <v>#N/A</v>
      </c>
      <c r="D15684" s="6">
        <f t="shared" si="245"/>
        <v>0</v>
      </c>
    </row>
    <row r="15685" spans="3:4" ht="15" x14ac:dyDescent="0.25">
      <c r="C15685" s="8" t="e">
        <f>VLOOKUP(A:A,'ITEM LIST'!A:C,3,0)</f>
        <v>#N/A</v>
      </c>
      <c r="D15685" s="6">
        <f t="shared" si="245"/>
        <v>0</v>
      </c>
    </row>
    <row r="15686" spans="3:4" ht="15" x14ac:dyDescent="0.25">
      <c r="C15686" s="8" t="e">
        <f>VLOOKUP(A:A,'ITEM LIST'!A:C,3,0)</f>
        <v>#N/A</v>
      </c>
      <c r="D15686" s="6">
        <f t="shared" ref="D15686:D15749" si="246">B15686</f>
        <v>0</v>
      </c>
    </row>
    <row r="15687" spans="3:4" ht="15" x14ac:dyDescent="0.25">
      <c r="C15687" s="8" t="e">
        <f>VLOOKUP(A:A,'ITEM LIST'!A:C,3,0)</f>
        <v>#N/A</v>
      </c>
      <c r="D15687" s="6">
        <f t="shared" si="246"/>
        <v>0</v>
      </c>
    </row>
    <row r="15688" spans="3:4" ht="15" x14ac:dyDescent="0.25">
      <c r="C15688" s="8" t="e">
        <f>VLOOKUP(A:A,'ITEM LIST'!A:C,3,0)</f>
        <v>#N/A</v>
      </c>
      <c r="D15688" s="6">
        <f t="shared" si="246"/>
        <v>0</v>
      </c>
    </row>
    <row r="15689" spans="3:4" ht="15" x14ac:dyDescent="0.25">
      <c r="C15689" s="8" t="e">
        <f>VLOOKUP(A:A,'ITEM LIST'!A:C,3,0)</f>
        <v>#N/A</v>
      </c>
      <c r="D15689" s="6">
        <f t="shared" si="246"/>
        <v>0</v>
      </c>
    </row>
    <row r="15690" spans="3:4" ht="15" x14ac:dyDescent="0.25">
      <c r="C15690" s="8" t="e">
        <f>VLOOKUP(A:A,'ITEM LIST'!A:C,3,0)</f>
        <v>#N/A</v>
      </c>
      <c r="D15690" s="6">
        <f t="shared" si="246"/>
        <v>0</v>
      </c>
    </row>
    <row r="15691" spans="3:4" ht="15" x14ac:dyDescent="0.25">
      <c r="C15691" s="8" t="e">
        <f>VLOOKUP(A:A,'ITEM LIST'!A:C,3,0)</f>
        <v>#N/A</v>
      </c>
      <c r="D15691" s="6">
        <f t="shared" si="246"/>
        <v>0</v>
      </c>
    </row>
    <row r="15692" spans="3:4" ht="15" x14ac:dyDescent="0.25">
      <c r="C15692" s="8" t="e">
        <f>VLOOKUP(A:A,'ITEM LIST'!A:C,3,0)</f>
        <v>#N/A</v>
      </c>
      <c r="D15692" s="6">
        <f t="shared" si="246"/>
        <v>0</v>
      </c>
    </row>
    <row r="15693" spans="3:4" ht="15" x14ac:dyDescent="0.25">
      <c r="C15693" s="8" t="e">
        <f>VLOOKUP(A:A,'ITEM LIST'!A:C,3,0)</f>
        <v>#N/A</v>
      </c>
      <c r="D15693" s="6">
        <f t="shared" si="246"/>
        <v>0</v>
      </c>
    </row>
    <row r="15694" spans="3:4" ht="15" x14ac:dyDescent="0.25">
      <c r="C15694" s="8" t="e">
        <f>VLOOKUP(A:A,'ITEM LIST'!A:C,3,0)</f>
        <v>#N/A</v>
      </c>
      <c r="D15694" s="6">
        <f t="shared" si="246"/>
        <v>0</v>
      </c>
    </row>
    <row r="15695" spans="3:4" ht="15" x14ac:dyDescent="0.25">
      <c r="C15695" s="8" t="e">
        <f>VLOOKUP(A:A,'ITEM LIST'!A:C,3,0)</f>
        <v>#N/A</v>
      </c>
      <c r="D15695" s="6">
        <f t="shared" si="246"/>
        <v>0</v>
      </c>
    </row>
    <row r="15696" spans="3:4" ht="15" x14ac:dyDescent="0.25">
      <c r="C15696" s="8" t="e">
        <f>VLOOKUP(A:A,'ITEM LIST'!A:C,3,0)</f>
        <v>#N/A</v>
      </c>
      <c r="D15696" s="6">
        <f t="shared" si="246"/>
        <v>0</v>
      </c>
    </row>
    <row r="15697" spans="3:4" ht="15" x14ac:dyDescent="0.25">
      <c r="C15697" s="8" t="e">
        <f>VLOOKUP(A:A,'ITEM LIST'!A:C,3,0)</f>
        <v>#N/A</v>
      </c>
      <c r="D15697" s="6">
        <f t="shared" si="246"/>
        <v>0</v>
      </c>
    </row>
    <row r="15698" spans="3:4" ht="15" x14ac:dyDescent="0.25">
      <c r="C15698" s="8" t="e">
        <f>VLOOKUP(A:A,'ITEM LIST'!A:C,3,0)</f>
        <v>#N/A</v>
      </c>
      <c r="D15698" s="6">
        <f t="shared" si="246"/>
        <v>0</v>
      </c>
    </row>
    <row r="15699" spans="3:4" ht="15" x14ac:dyDescent="0.25">
      <c r="C15699" s="8" t="e">
        <f>VLOOKUP(A:A,'ITEM LIST'!A:C,3,0)</f>
        <v>#N/A</v>
      </c>
      <c r="D15699" s="6">
        <f t="shared" si="246"/>
        <v>0</v>
      </c>
    </row>
    <row r="15700" spans="3:4" ht="15" x14ac:dyDescent="0.25">
      <c r="C15700" s="8" t="e">
        <f>VLOOKUP(A:A,'ITEM LIST'!A:C,3,0)</f>
        <v>#N/A</v>
      </c>
      <c r="D15700" s="6">
        <f t="shared" si="246"/>
        <v>0</v>
      </c>
    </row>
    <row r="15701" spans="3:4" ht="15" x14ac:dyDescent="0.25">
      <c r="C15701" s="8" t="e">
        <f>VLOOKUP(A:A,'ITEM LIST'!A:C,3,0)</f>
        <v>#N/A</v>
      </c>
      <c r="D15701" s="6">
        <f t="shared" si="246"/>
        <v>0</v>
      </c>
    </row>
    <row r="15702" spans="3:4" ht="15" x14ac:dyDescent="0.25">
      <c r="C15702" s="8" t="e">
        <f>VLOOKUP(A:A,'ITEM LIST'!A:C,3,0)</f>
        <v>#N/A</v>
      </c>
      <c r="D15702" s="6">
        <f t="shared" si="246"/>
        <v>0</v>
      </c>
    </row>
    <row r="15703" spans="3:4" ht="15" x14ac:dyDescent="0.25">
      <c r="C15703" s="8" t="e">
        <f>VLOOKUP(A:A,'ITEM LIST'!A:C,3,0)</f>
        <v>#N/A</v>
      </c>
      <c r="D15703" s="6">
        <f t="shared" si="246"/>
        <v>0</v>
      </c>
    </row>
    <row r="15704" spans="3:4" ht="15" x14ac:dyDescent="0.25">
      <c r="C15704" s="8" t="e">
        <f>VLOOKUP(A:A,'ITEM LIST'!A:C,3,0)</f>
        <v>#N/A</v>
      </c>
      <c r="D15704" s="6">
        <f t="shared" si="246"/>
        <v>0</v>
      </c>
    </row>
    <row r="15705" spans="3:4" ht="15" x14ac:dyDescent="0.25">
      <c r="C15705" s="8" t="e">
        <f>VLOOKUP(A:A,'ITEM LIST'!A:C,3,0)</f>
        <v>#N/A</v>
      </c>
      <c r="D15705" s="6">
        <f t="shared" si="246"/>
        <v>0</v>
      </c>
    </row>
    <row r="15706" spans="3:4" ht="15" x14ac:dyDescent="0.25">
      <c r="C15706" s="8" t="e">
        <f>VLOOKUP(A:A,'ITEM LIST'!A:C,3,0)</f>
        <v>#N/A</v>
      </c>
      <c r="D15706" s="6">
        <f t="shared" si="246"/>
        <v>0</v>
      </c>
    </row>
    <row r="15707" spans="3:4" ht="15" x14ac:dyDescent="0.25">
      <c r="C15707" s="8" t="e">
        <f>VLOOKUP(A:A,'ITEM LIST'!A:C,3,0)</f>
        <v>#N/A</v>
      </c>
      <c r="D15707" s="6">
        <f t="shared" si="246"/>
        <v>0</v>
      </c>
    </row>
    <row r="15708" spans="3:4" ht="15" x14ac:dyDescent="0.25">
      <c r="C15708" s="8" t="e">
        <f>VLOOKUP(A:A,'ITEM LIST'!A:C,3,0)</f>
        <v>#N/A</v>
      </c>
      <c r="D15708" s="6">
        <f t="shared" si="246"/>
        <v>0</v>
      </c>
    </row>
    <row r="15709" spans="3:4" ht="15" x14ac:dyDescent="0.25">
      <c r="C15709" s="8" t="e">
        <f>VLOOKUP(A:A,'ITEM LIST'!A:C,3,0)</f>
        <v>#N/A</v>
      </c>
      <c r="D15709" s="6">
        <f t="shared" si="246"/>
        <v>0</v>
      </c>
    </row>
    <row r="15710" spans="3:4" ht="15" x14ac:dyDescent="0.25">
      <c r="C15710" s="8" t="e">
        <f>VLOOKUP(A:A,'ITEM LIST'!A:C,3,0)</f>
        <v>#N/A</v>
      </c>
      <c r="D15710" s="6">
        <f t="shared" si="246"/>
        <v>0</v>
      </c>
    </row>
    <row r="15711" spans="3:4" ht="15" x14ac:dyDescent="0.25">
      <c r="C15711" s="8" t="e">
        <f>VLOOKUP(A:A,'ITEM LIST'!A:C,3,0)</f>
        <v>#N/A</v>
      </c>
      <c r="D15711" s="6">
        <f t="shared" si="246"/>
        <v>0</v>
      </c>
    </row>
    <row r="15712" spans="3:4" ht="15" x14ac:dyDescent="0.25">
      <c r="C15712" s="8" t="e">
        <f>VLOOKUP(A:A,'ITEM LIST'!A:C,3,0)</f>
        <v>#N/A</v>
      </c>
      <c r="D15712" s="6">
        <f t="shared" si="246"/>
        <v>0</v>
      </c>
    </row>
    <row r="15713" spans="3:4" ht="15" x14ac:dyDescent="0.25">
      <c r="C15713" s="8" t="e">
        <f>VLOOKUP(A:A,'ITEM LIST'!A:C,3,0)</f>
        <v>#N/A</v>
      </c>
      <c r="D15713" s="6">
        <f t="shared" si="246"/>
        <v>0</v>
      </c>
    </row>
    <row r="15714" spans="3:4" ht="15" x14ac:dyDescent="0.25">
      <c r="C15714" s="8" t="e">
        <f>VLOOKUP(A:A,'ITEM LIST'!A:C,3,0)</f>
        <v>#N/A</v>
      </c>
      <c r="D15714" s="6">
        <f t="shared" si="246"/>
        <v>0</v>
      </c>
    </row>
    <row r="15715" spans="3:4" ht="15" x14ac:dyDescent="0.25">
      <c r="C15715" s="8" t="e">
        <f>VLOOKUP(A:A,'ITEM LIST'!A:C,3,0)</f>
        <v>#N/A</v>
      </c>
      <c r="D15715" s="6">
        <f t="shared" si="246"/>
        <v>0</v>
      </c>
    </row>
    <row r="15716" spans="3:4" ht="15" x14ac:dyDescent="0.25">
      <c r="C15716" s="8" t="e">
        <f>VLOOKUP(A:A,'ITEM LIST'!A:C,3,0)</f>
        <v>#N/A</v>
      </c>
      <c r="D15716" s="6">
        <f t="shared" si="246"/>
        <v>0</v>
      </c>
    </row>
    <row r="15717" spans="3:4" ht="15" x14ac:dyDescent="0.25">
      <c r="C15717" s="8" t="e">
        <f>VLOOKUP(A:A,'ITEM LIST'!A:C,3,0)</f>
        <v>#N/A</v>
      </c>
      <c r="D15717" s="6">
        <f t="shared" si="246"/>
        <v>0</v>
      </c>
    </row>
    <row r="15718" spans="3:4" ht="15" x14ac:dyDescent="0.25">
      <c r="C15718" s="8" t="e">
        <f>VLOOKUP(A:A,'ITEM LIST'!A:C,3,0)</f>
        <v>#N/A</v>
      </c>
      <c r="D15718" s="6">
        <f t="shared" si="246"/>
        <v>0</v>
      </c>
    </row>
    <row r="15719" spans="3:4" ht="15" x14ac:dyDescent="0.25">
      <c r="C15719" s="8" t="e">
        <f>VLOOKUP(A:A,'ITEM LIST'!A:C,3,0)</f>
        <v>#N/A</v>
      </c>
      <c r="D15719" s="6">
        <f t="shared" si="246"/>
        <v>0</v>
      </c>
    </row>
    <row r="15720" spans="3:4" ht="15" x14ac:dyDescent="0.25">
      <c r="C15720" s="8" t="e">
        <f>VLOOKUP(A:A,'ITEM LIST'!A:C,3,0)</f>
        <v>#N/A</v>
      </c>
      <c r="D15720" s="6">
        <f t="shared" si="246"/>
        <v>0</v>
      </c>
    </row>
    <row r="15721" spans="3:4" ht="15" x14ac:dyDescent="0.25">
      <c r="C15721" s="8" t="e">
        <f>VLOOKUP(A:A,'ITEM LIST'!A:C,3,0)</f>
        <v>#N/A</v>
      </c>
      <c r="D15721" s="6">
        <f t="shared" si="246"/>
        <v>0</v>
      </c>
    </row>
    <row r="15722" spans="3:4" ht="15" x14ac:dyDescent="0.25">
      <c r="C15722" s="8" t="e">
        <f>VLOOKUP(A:A,'ITEM LIST'!A:C,3,0)</f>
        <v>#N/A</v>
      </c>
      <c r="D15722" s="6">
        <f t="shared" si="246"/>
        <v>0</v>
      </c>
    </row>
    <row r="15723" spans="3:4" ht="15" x14ac:dyDescent="0.25">
      <c r="C15723" s="8" t="e">
        <f>VLOOKUP(A:A,'ITEM LIST'!A:C,3,0)</f>
        <v>#N/A</v>
      </c>
      <c r="D15723" s="6">
        <f t="shared" si="246"/>
        <v>0</v>
      </c>
    </row>
    <row r="15724" spans="3:4" ht="15" x14ac:dyDescent="0.25">
      <c r="C15724" s="8" t="e">
        <f>VLOOKUP(A:A,'ITEM LIST'!A:C,3,0)</f>
        <v>#N/A</v>
      </c>
      <c r="D15724" s="6">
        <f t="shared" si="246"/>
        <v>0</v>
      </c>
    </row>
    <row r="15725" spans="3:4" ht="15" x14ac:dyDescent="0.25">
      <c r="C15725" s="8" t="e">
        <f>VLOOKUP(A:A,'ITEM LIST'!A:C,3,0)</f>
        <v>#N/A</v>
      </c>
      <c r="D15725" s="6">
        <f t="shared" si="246"/>
        <v>0</v>
      </c>
    </row>
    <row r="15726" spans="3:4" ht="15" x14ac:dyDescent="0.25">
      <c r="C15726" s="8" t="e">
        <f>VLOOKUP(A:A,'ITEM LIST'!A:C,3,0)</f>
        <v>#N/A</v>
      </c>
      <c r="D15726" s="6">
        <f t="shared" si="246"/>
        <v>0</v>
      </c>
    </row>
    <row r="15727" spans="3:4" ht="15" x14ac:dyDescent="0.25">
      <c r="C15727" s="8" t="e">
        <f>VLOOKUP(A:A,'ITEM LIST'!A:C,3,0)</f>
        <v>#N/A</v>
      </c>
      <c r="D15727" s="6">
        <f t="shared" si="246"/>
        <v>0</v>
      </c>
    </row>
    <row r="15728" spans="3:4" ht="15" x14ac:dyDescent="0.25">
      <c r="C15728" s="8" t="e">
        <f>VLOOKUP(A:A,'ITEM LIST'!A:C,3,0)</f>
        <v>#N/A</v>
      </c>
      <c r="D15728" s="6">
        <f t="shared" si="246"/>
        <v>0</v>
      </c>
    </row>
    <row r="15729" spans="3:4" ht="15" x14ac:dyDescent="0.25">
      <c r="C15729" s="8" t="e">
        <f>VLOOKUP(A:A,'ITEM LIST'!A:C,3,0)</f>
        <v>#N/A</v>
      </c>
      <c r="D15729" s="6">
        <f t="shared" si="246"/>
        <v>0</v>
      </c>
    </row>
    <row r="15730" spans="3:4" ht="15" x14ac:dyDescent="0.25">
      <c r="C15730" s="8" t="e">
        <f>VLOOKUP(A:A,'ITEM LIST'!A:C,3,0)</f>
        <v>#N/A</v>
      </c>
      <c r="D15730" s="6">
        <f t="shared" si="246"/>
        <v>0</v>
      </c>
    </row>
    <row r="15731" spans="3:4" ht="15" x14ac:dyDescent="0.25">
      <c r="C15731" s="8" t="e">
        <f>VLOOKUP(A:A,'ITEM LIST'!A:C,3,0)</f>
        <v>#N/A</v>
      </c>
      <c r="D15731" s="6">
        <f t="shared" si="246"/>
        <v>0</v>
      </c>
    </row>
    <row r="15732" spans="3:4" ht="15" x14ac:dyDescent="0.25">
      <c r="C15732" s="8" t="e">
        <f>VLOOKUP(A:A,'ITEM LIST'!A:C,3,0)</f>
        <v>#N/A</v>
      </c>
      <c r="D15732" s="6">
        <f t="shared" si="246"/>
        <v>0</v>
      </c>
    </row>
    <row r="15733" spans="3:4" ht="15" x14ac:dyDescent="0.25">
      <c r="C15733" s="8" t="e">
        <f>VLOOKUP(A:A,'ITEM LIST'!A:C,3,0)</f>
        <v>#N/A</v>
      </c>
      <c r="D15733" s="6">
        <f t="shared" si="246"/>
        <v>0</v>
      </c>
    </row>
    <row r="15734" spans="3:4" ht="15" x14ac:dyDescent="0.25">
      <c r="C15734" s="8" t="e">
        <f>VLOOKUP(A:A,'ITEM LIST'!A:C,3,0)</f>
        <v>#N/A</v>
      </c>
      <c r="D15734" s="6">
        <f t="shared" si="246"/>
        <v>0</v>
      </c>
    </row>
    <row r="15735" spans="3:4" ht="15" x14ac:dyDescent="0.25">
      <c r="C15735" s="8" t="e">
        <f>VLOOKUP(A:A,'ITEM LIST'!A:C,3,0)</f>
        <v>#N/A</v>
      </c>
      <c r="D15735" s="6">
        <f t="shared" si="246"/>
        <v>0</v>
      </c>
    </row>
    <row r="15736" spans="3:4" ht="15" x14ac:dyDescent="0.25">
      <c r="C15736" s="8" t="e">
        <f>VLOOKUP(A:A,'ITEM LIST'!A:C,3,0)</f>
        <v>#N/A</v>
      </c>
      <c r="D15736" s="6">
        <f t="shared" si="246"/>
        <v>0</v>
      </c>
    </row>
    <row r="15737" spans="3:4" ht="15" x14ac:dyDescent="0.25">
      <c r="C15737" s="8" t="e">
        <f>VLOOKUP(A:A,'ITEM LIST'!A:C,3,0)</f>
        <v>#N/A</v>
      </c>
      <c r="D15737" s="6">
        <f t="shared" si="246"/>
        <v>0</v>
      </c>
    </row>
    <row r="15738" spans="3:4" ht="15" x14ac:dyDescent="0.25">
      <c r="C15738" s="8" t="e">
        <f>VLOOKUP(A:A,'ITEM LIST'!A:C,3,0)</f>
        <v>#N/A</v>
      </c>
      <c r="D15738" s="6">
        <f t="shared" si="246"/>
        <v>0</v>
      </c>
    </row>
    <row r="15739" spans="3:4" ht="15" x14ac:dyDescent="0.25">
      <c r="C15739" s="8" t="e">
        <f>VLOOKUP(A:A,'ITEM LIST'!A:C,3,0)</f>
        <v>#N/A</v>
      </c>
      <c r="D15739" s="6">
        <f t="shared" si="246"/>
        <v>0</v>
      </c>
    </row>
    <row r="15740" spans="3:4" ht="15" x14ac:dyDescent="0.25">
      <c r="C15740" s="8" t="e">
        <f>VLOOKUP(A:A,'ITEM LIST'!A:C,3,0)</f>
        <v>#N/A</v>
      </c>
      <c r="D15740" s="6">
        <f t="shared" si="246"/>
        <v>0</v>
      </c>
    </row>
    <row r="15741" spans="3:4" ht="15" x14ac:dyDescent="0.25">
      <c r="C15741" s="8" t="e">
        <f>VLOOKUP(A:A,'ITEM LIST'!A:C,3,0)</f>
        <v>#N/A</v>
      </c>
      <c r="D15741" s="6">
        <f t="shared" si="246"/>
        <v>0</v>
      </c>
    </row>
    <row r="15742" spans="3:4" ht="15" x14ac:dyDescent="0.25">
      <c r="C15742" s="8" t="e">
        <f>VLOOKUP(A:A,'ITEM LIST'!A:C,3,0)</f>
        <v>#N/A</v>
      </c>
      <c r="D15742" s="6">
        <f t="shared" si="246"/>
        <v>0</v>
      </c>
    </row>
    <row r="15743" spans="3:4" ht="15" x14ac:dyDescent="0.25">
      <c r="C15743" s="8" t="e">
        <f>VLOOKUP(A:A,'ITEM LIST'!A:C,3,0)</f>
        <v>#N/A</v>
      </c>
      <c r="D15743" s="6">
        <f t="shared" si="246"/>
        <v>0</v>
      </c>
    </row>
    <row r="15744" spans="3:4" ht="15" x14ac:dyDescent="0.25">
      <c r="C15744" s="8" t="e">
        <f>VLOOKUP(A:A,'ITEM LIST'!A:C,3,0)</f>
        <v>#N/A</v>
      </c>
      <c r="D15744" s="6">
        <f t="shared" si="246"/>
        <v>0</v>
      </c>
    </row>
    <row r="15745" spans="3:4" ht="15" x14ac:dyDescent="0.25">
      <c r="C15745" s="8" t="e">
        <f>VLOOKUP(A:A,'ITEM LIST'!A:C,3,0)</f>
        <v>#N/A</v>
      </c>
      <c r="D15745" s="6">
        <f t="shared" si="246"/>
        <v>0</v>
      </c>
    </row>
    <row r="15746" spans="3:4" ht="15" x14ac:dyDescent="0.25">
      <c r="C15746" s="8" t="e">
        <f>VLOOKUP(A:A,'ITEM LIST'!A:C,3,0)</f>
        <v>#N/A</v>
      </c>
      <c r="D15746" s="6">
        <f t="shared" si="246"/>
        <v>0</v>
      </c>
    </row>
    <row r="15747" spans="3:4" ht="15" x14ac:dyDescent="0.25">
      <c r="C15747" s="8" t="e">
        <f>VLOOKUP(A:A,'ITEM LIST'!A:C,3,0)</f>
        <v>#N/A</v>
      </c>
      <c r="D15747" s="6">
        <f t="shared" si="246"/>
        <v>0</v>
      </c>
    </row>
    <row r="15748" spans="3:4" ht="15" x14ac:dyDescent="0.25">
      <c r="C15748" s="8" t="e">
        <f>VLOOKUP(A:A,'ITEM LIST'!A:C,3,0)</f>
        <v>#N/A</v>
      </c>
      <c r="D15748" s="6">
        <f t="shared" si="246"/>
        <v>0</v>
      </c>
    </row>
    <row r="15749" spans="3:4" ht="15" x14ac:dyDescent="0.25">
      <c r="C15749" s="8" t="e">
        <f>VLOOKUP(A:A,'ITEM LIST'!A:C,3,0)</f>
        <v>#N/A</v>
      </c>
      <c r="D15749" s="6">
        <f t="shared" si="246"/>
        <v>0</v>
      </c>
    </row>
    <row r="15750" spans="3:4" ht="15" x14ac:dyDescent="0.25">
      <c r="C15750" s="8" t="e">
        <f>VLOOKUP(A:A,'ITEM LIST'!A:C,3,0)</f>
        <v>#N/A</v>
      </c>
      <c r="D15750" s="6">
        <f t="shared" ref="D15750:D15813" si="247">B15750</f>
        <v>0</v>
      </c>
    </row>
    <row r="15751" spans="3:4" ht="15" x14ac:dyDescent="0.25">
      <c r="C15751" s="8" t="e">
        <f>VLOOKUP(A:A,'ITEM LIST'!A:C,3,0)</f>
        <v>#N/A</v>
      </c>
      <c r="D15751" s="6">
        <f t="shared" si="247"/>
        <v>0</v>
      </c>
    </row>
    <row r="15752" spans="3:4" ht="15" x14ac:dyDescent="0.25">
      <c r="C15752" s="8" t="e">
        <f>VLOOKUP(A:A,'ITEM LIST'!A:C,3,0)</f>
        <v>#N/A</v>
      </c>
      <c r="D15752" s="6">
        <f t="shared" si="247"/>
        <v>0</v>
      </c>
    </row>
    <row r="15753" spans="3:4" ht="15" x14ac:dyDescent="0.25">
      <c r="C15753" s="8" t="e">
        <f>VLOOKUP(A:A,'ITEM LIST'!A:C,3,0)</f>
        <v>#N/A</v>
      </c>
      <c r="D15753" s="6">
        <f t="shared" si="247"/>
        <v>0</v>
      </c>
    </row>
    <row r="15754" spans="3:4" ht="15" x14ac:dyDescent="0.25">
      <c r="C15754" s="8" t="e">
        <f>VLOOKUP(A:A,'ITEM LIST'!A:C,3,0)</f>
        <v>#N/A</v>
      </c>
      <c r="D15754" s="6">
        <f t="shared" si="247"/>
        <v>0</v>
      </c>
    </row>
    <row r="15755" spans="3:4" ht="15" x14ac:dyDescent="0.25">
      <c r="C15755" s="8" t="e">
        <f>VLOOKUP(A:A,'ITEM LIST'!A:C,3,0)</f>
        <v>#N/A</v>
      </c>
      <c r="D15755" s="6">
        <f t="shared" si="247"/>
        <v>0</v>
      </c>
    </row>
    <row r="15756" spans="3:4" ht="15" x14ac:dyDescent="0.25">
      <c r="C15756" s="8" t="e">
        <f>VLOOKUP(A:A,'ITEM LIST'!A:C,3,0)</f>
        <v>#N/A</v>
      </c>
      <c r="D15756" s="6">
        <f t="shared" si="247"/>
        <v>0</v>
      </c>
    </row>
    <row r="15757" spans="3:4" ht="15" x14ac:dyDescent="0.25">
      <c r="C15757" s="8" t="e">
        <f>VLOOKUP(A:A,'ITEM LIST'!A:C,3,0)</f>
        <v>#N/A</v>
      </c>
      <c r="D15757" s="6">
        <f t="shared" si="247"/>
        <v>0</v>
      </c>
    </row>
    <row r="15758" spans="3:4" ht="15" x14ac:dyDescent="0.25">
      <c r="C15758" s="8" t="e">
        <f>VLOOKUP(A:A,'ITEM LIST'!A:C,3,0)</f>
        <v>#N/A</v>
      </c>
      <c r="D15758" s="6">
        <f t="shared" si="247"/>
        <v>0</v>
      </c>
    </row>
    <row r="15759" spans="3:4" ht="15" x14ac:dyDescent="0.25">
      <c r="C15759" s="8" t="e">
        <f>VLOOKUP(A:A,'ITEM LIST'!A:C,3,0)</f>
        <v>#N/A</v>
      </c>
      <c r="D15759" s="6">
        <f t="shared" si="247"/>
        <v>0</v>
      </c>
    </row>
    <row r="15760" spans="3:4" ht="15" x14ac:dyDescent="0.25">
      <c r="C15760" s="8" t="e">
        <f>VLOOKUP(A:A,'ITEM LIST'!A:C,3,0)</f>
        <v>#N/A</v>
      </c>
      <c r="D15760" s="6">
        <f t="shared" si="247"/>
        <v>0</v>
      </c>
    </row>
    <row r="15761" spans="3:4" ht="15" x14ac:dyDescent="0.25">
      <c r="C15761" s="8" t="e">
        <f>VLOOKUP(A:A,'ITEM LIST'!A:C,3,0)</f>
        <v>#N/A</v>
      </c>
      <c r="D15761" s="6">
        <f t="shared" si="247"/>
        <v>0</v>
      </c>
    </row>
    <row r="15762" spans="3:4" ht="15" x14ac:dyDescent="0.25">
      <c r="C15762" s="8" t="e">
        <f>VLOOKUP(A:A,'ITEM LIST'!A:C,3,0)</f>
        <v>#N/A</v>
      </c>
      <c r="D15762" s="6">
        <f t="shared" si="247"/>
        <v>0</v>
      </c>
    </row>
    <row r="15763" spans="3:4" ht="15" x14ac:dyDescent="0.25">
      <c r="C15763" s="8" t="e">
        <f>VLOOKUP(A:A,'ITEM LIST'!A:C,3,0)</f>
        <v>#N/A</v>
      </c>
      <c r="D15763" s="6">
        <f t="shared" si="247"/>
        <v>0</v>
      </c>
    </row>
    <row r="15764" spans="3:4" ht="15" x14ac:dyDescent="0.25">
      <c r="C15764" s="8" t="e">
        <f>VLOOKUP(A:A,'ITEM LIST'!A:C,3,0)</f>
        <v>#N/A</v>
      </c>
      <c r="D15764" s="6">
        <f t="shared" si="247"/>
        <v>0</v>
      </c>
    </row>
    <row r="15765" spans="3:4" ht="15" x14ac:dyDescent="0.25">
      <c r="C15765" s="8" t="e">
        <f>VLOOKUP(A:A,'ITEM LIST'!A:C,3,0)</f>
        <v>#N/A</v>
      </c>
      <c r="D15765" s="6">
        <f t="shared" si="247"/>
        <v>0</v>
      </c>
    </row>
    <row r="15766" spans="3:4" ht="15" x14ac:dyDescent="0.25">
      <c r="C15766" s="8" t="e">
        <f>VLOOKUP(A:A,'ITEM LIST'!A:C,3,0)</f>
        <v>#N/A</v>
      </c>
      <c r="D15766" s="6">
        <f t="shared" si="247"/>
        <v>0</v>
      </c>
    </row>
    <row r="15767" spans="3:4" ht="15" x14ac:dyDescent="0.25">
      <c r="C15767" s="8" t="e">
        <f>VLOOKUP(A:A,'ITEM LIST'!A:C,3,0)</f>
        <v>#N/A</v>
      </c>
      <c r="D15767" s="6">
        <f t="shared" si="247"/>
        <v>0</v>
      </c>
    </row>
    <row r="15768" spans="3:4" ht="15" x14ac:dyDescent="0.25">
      <c r="C15768" s="8" t="e">
        <f>VLOOKUP(A:A,'ITEM LIST'!A:C,3,0)</f>
        <v>#N/A</v>
      </c>
      <c r="D15768" s="6">
        <f t="shared" si="247"/>
        <v>0</v>
      </c>
    </row>
    <row r="15769" spans="3:4" ht="15" x14ac:dyDescent="0.25">
      <c r="C15769" s="8" t="e">
        <f>VLOOKUP(A:A,'ITEM LIST'!A:C,3,0)</f>
        <v>#N/A</v>
      </c>
      <c r="D15769" s="6">
        <f t="shared" si="247"/>
        <v>0</v>
      </c>
    </row>
    <row r="15770" spans="3:4" ht="15" x14ac:dyDescent="0.25">
      <c r="C15770" s="8" t="e">
        <f>VLOOKUP(A:A,'ITEM LIST'!A:C,3,0)</f>
        <v>#N/A</v>
      </c>
      <c r="D15770" s="6">
        <f t="shared" si="247"/>
        <v>0</v>
      </c>
    </row>
    <row r="15771" spans="3:4" ht="15" x14ac:dyDescent="0.25">
      <c r="C15771" s="8" t="e">
        <f>VLOOKUP(A:A,'ITEM LIST'!A:C,3,0)</f>
        <v>#N/A</v>
      </c>
      <c r="D15771" s="6">
        <f t="shared" si="247"/>
        <v>0</v>
      </c>
    </row>
    <row r="15772" spans="3:4" ht="15" x14ac:dyDescent="0.25">
      <c r="C15772" s="8" t="e">
        <f>VLOOKUP(A:A,'ITEM LIST'!A:C,3,0)</f>
        <v>#N/A</v>
      </c>
      <c r="D15772" s="6">
        <f t="shared" si="247"/>
        <v>0</v>
      </c>
    </row>
    <row r="15773" spans="3:4" ht="15" x14ac:dyDescent="0.25">
      <c r="C15773" s="8" t="e">
        <f>VLOOKUP(A:A,'ITEM LIST'!A:C,3,0)</f>
        <v>#N/A</v>
      </c>
      <c r="D15773" s="6">
        <f t="shared" si="247"/>
        <v>0</v>
      </c>
    </row>
    <row r="15774" spans="3:4" ht="15" x14ac:dyDescent="0.25">
      <c r="C15774" s="8" t="e">
        <f>VLOOKUP(A:A,'ITEM LIST'!A:C,3,0)</f>
        <v>#N/A</v>
      </c>
      <c r="D15774" s="6">
        <f t="shared" si="247"/>
        <v>0</v>
      </c>
    </row>
    <row r="15775" spans="3:4" ht="15" x14ac:dyDescent="0.25">
      <c r="C15775" s="8" t="e">
        <f>VLOOKUP(A:A,'ITEM LIST'!A:C,3,0)</f>
        <v>#N/A</v>
      </c>
      <c r="D15775" s="6">
        <f t="shared" si="247"/>
        <v>0</v>
      </c>
    </row>
    <row r="15776" spans="3:4" ht="15" x14ac:dyDescent="0.25">
      <c r="C15776" s="8" t="e">
        <f>VLOOKUP(A:A,'ITEM LIST'!A:C,3,0)</f>
        <v>#N/A</v>
      </c>
      <c r="D15776" s="6">
        <f t="shared" si="247"/>
        <v>0</v>
      </c>
    </row>
    <row r="15777" spans="3:4" ht="15" x14ac:dyDescent="0.25">
      <c r="C15777" s="8" t="e">
        <f>VLOOKUP(A:A,'ITEM LIST'!A:C,3,0)</f>
        <v>#N/A</v>
      </c>
      <c r="D15777" s="6">
        <f t="shared" si="247"/>
        <v>0</v>
      </c>
    </row>
    <row r="15778" spans="3:4" ht="15" x14ac:dyDescent="0.25">
      <c r="C15778" s="8" t="e">
        <f>VLOOKUP(A:A,'ITEM LIST'!A:C,3,0)</f>
        <v>#N/A</v>
      </c>
      <c r="D15778" s="6">
        <f t="shared" si="247"/>
        <v>0</v>
      </c>
    </row>
    <row r="15779" spans="3:4" ht="15" x14ac:dyDescent="0.25">
      <c r="C15779" s="8" t="e">
        <f>VLOOKUP(A:A,'ITEM LIST'!A:C,3,0)</f>
        <v>#N/A</v>
      </c>
      <c r="D15779" s="6">
        <f t="shared" si="247"/>
        <v>0</v>
      </c>
    </row>
    <row r="15780" spans="3:4" ht="15" x14ac:dyDescent="0.25">
      <c r="C15780" s="8" t="e">
        <f>VLOOKUP(A:A,'ITEM LIST'!A:C,3,0)</f>
        <v>#N/A</v>
      </c>
      <c r="D15780" s="6">
        <f t="shared" si="247"/>
        <v>0</v>
      </c>
    </row>
    <row r="15781" spans="3:4" ht="15" x14ac:dyDescent="0.25">
      <c r="C15781" s="8" t="e">
        <f>VLOOKUP(A:A,'ITEM LIST'!A:C,3,0)</f>
        <v>#N/A</v>
      </c>
      <c r="D15781" s="6">
        <f t="shared" si="247"/>
        <v>0</v>
      </c>
    </row>
    <row r="15782" spans="3:4" ht="15" x14ac:dyDescent="0.25">
      <c r="C15782" s="8" t="e">
        <f>VLOOKUP(A:A,'ITEM LIST'!A:C,3,0)</f>
        <v>#N/A</v>
      </c>
      <c r="D15782" s="6">
        <f t="shared" si="247"/>
        <v>0</v>
      </c>
    </row>
    <row r="15783" spans="3:4" ht="15" x14ac:dyDescent="0.25">
      <c r="C15783" s="8" t="e">
        <f>VLOOKUP(A:A,'ITEM LIST'!A:C,3,0)</f>
        <v>#N/A</v>
      </c>
      <c r="D15783" s="6">
        <f t="shared" si="247"/>
        <v>0</v>
      </c>
    </row>
    <row r="15784" spans="3:4" ht="15" x14ac:dyDescent="0.25">
      <c r="C15784" s="8" t="e">
        <f>VLOOKUP(A:A,'ITEM LIST'!A:C,3,0)</f>
        <v>#N/A</v>
      </c>
      <c r="D15784" s="6">
        <f t="shared" si="247"/>
        <v>0</v>
      </c>
    </row>
    <row r="15785" spans="3:4" ht="15" x14ac:dyDescent="0.25">
      <c r="C15785" s="8" t="e">
        <f>VLOOKUP(A:A,'ITEM LIST'!A:C,3,0)</f>
        <v>#N/A</v>
      </c>
      <c r="D15785" s="6">
        <f t="shared" si="247"/>
        <v>0</v>
      </c>
    </row>
    <row r="15786" spans="3:4" ht="15" x14ac:dyDescent="0.25">
      <c r="C15786" s="8" t="e">
        <f>VLOOKUP(A:A,'ITEM LIST'!A:C,3,0)</f>
        <v>#N/A</v>
      </c>
      <c r="D15786" s="6">
        <f t="shared" si="247"/>
        <v>0</v>
      </c>
    </row>
    <row r="15787" spans="3:4" ht="15" x14ac:dyDescent="0.25">
      <c r="C15787" s="8" t="e">
        <f>VLOOKUP(A:A,'ITEM LIST'!A:C,3,0)</f>
        <v>#N/A</v>
      </c>
      <c r="D15787" s="6">
        <f t="shared" si="247"/>
        <v>0</v>
      </c>
    </row>
    <row r="15788" spans="3:4" ht="15" x14ac:dyDescent="0.25">
      <c r="C15788" s="8" t="e">
        <f>VLOOKUP(A:A,'ITEM LIST'!A:C,3,0)</f>
        <v>#N/A</v>
      </c>
      <c r="D15788" s="6">
        <f t="shared" si="247"/>
        <v>0</v>
      </c>
    </row>
    <row r="15789" spans="3:4" ht="15" x14ac:dyDescent="0.25">
      <c r="C15789" s="8" t="e">
        <f>VLOOKUP(A:A,'ITEM LIST'!A:C,3,0)</f>
        <v>#N/A</v>
      </c>
      <c r="D15789" s="6">
        <f t="shared" si="247"/>
        <v>0</v>
      </c>
    </row>
    <row r="15790" spans="3:4" ht="15" x14ac:dyDescent="0.25">
      <c r="C15790" s="8" t="e">
        <f>VLOOKUP(A:A,'ITEM LIST'!A:C,3,0)</f>
        <v>#N/A</v>
      </c>
      <c r="D15790" s="6">
        <f t="shared" si="247"/>
        <v>0</v>
      </c>
    </row>
    <row r="15791" spans="3:4" ht="15" x14ac:dyDescent="0.25">
      <c r="C15791" s="8" t="e">
        <f>VLOOKUP(A:A,'ITEM LIST'!A:C,3,0)</f>
        <v>#N/A</v>
      </c>
      <c r="D15791" s="6">
        <f t="shared" si="247"/>
        <v>0</v>
      </c>
    </row>
    <row r="15792" spans="3:4" ht="15" x14ac:dyDescent="0.25">
      <c r="C15792" s="8" t="e">
        <f>VLOOKUP(A:A,'ITEM LIST'!A:C,3,0)</f>
        <v>#N/A</v>
      </c>
      <c r="D15792" s="6">
        <f t="shared" si="247"/>
        <v>0</v>
      </c>
    </row>
    <row r="15793" spans="3:4" ht="15" x14ac:dyDescent="0.25">
      <c r="C15793" s="8" t="e">
        <f>VLOOKUP(A:A,'ITEM LIST'!A:C,3,0)</f>
        <v>#N/A</v>
      </c>
      <c r="D15793" s="6">
        <f t="shared" si="247"/>
        <v>0</v>
      </c>
    </row>
    <row r="15794" spans="3:4" ht="15" x14ac:dyDescent="0.25">
      <c r="C15794" s="8" t="e">
        <f>VLOOKUP(A:A,'ITEM LIST'!A:C,3,0)</f>
        <v>#N/A</v>
      </c>
      <c r="D15794" s="6">
        <f t="shared" si="247"/>
        <v>0</v>
      </c>
    </row>
    <row r="15795" spans="3:4" ht="15" x14ac:dyDescent="0.25">
      <c r="C15795" s="8" t="e">
        <f>VLOOKUP(A:A,'ITEM LIST'!A:C,3,0)</f>
        <v>#N/A</v>
      </c>
      <c r="D15795" s="6">
        <f t="shared" si="247"/>
        <v>0</v>
      </c>
    </row>
    <row r="15796" spans="3:4" ht="15" x14ac:dyDescent="0.25">
      <c r="C15796" s="8" t="e">
        <f>VLOOKUP(A:A,'ITEM LIST'!A:C,3,0)</f>
        <v>#N/A</v>
      </c>
      <c r="D15796" s="6">
        <f t="shared" si="247"/>
        <v>0</v>
      </c>
    </row>
    <row r="15797" spans="3:4" ht="15" x14ac:dyDescent="0.25">
      <c r="C15797" s="8" t="e">
        <f>VLOOKUP(A:A,'ITEM LIST'!A:C,3,0)</f>
        <v>#N/A</v>
      </c>
      <c r="D15797" s="6">
        <f t="shared" si="247"/>
        <v>0</v>
      </c>
    </row>
    <row r="15798" spans="3:4" ht="15" x14ac:dyDescent="0.25">
      <c r="C15798" s="8" t="e">
        <f>VLOOKUP(A:A,'ITEM LIST'!A:C,3,0)</f>
        <v>#N/A</v>
      </c>
      <c r="D15798" s="6">
        <f t="shared" si="247"/>
        <v>0</v>
      </c>
    </row>
    <row r="15799" spans="3:4" ht="15" x14ac:dyDescent="0.25">
      <c r="C15799" s="8" t="e">
        <f>VLOOKUP(A:A,'ITEM LIST'!A:C,3,0)</f>
        <v>#N/A</v>
      </c>
      <c r="D15799" s="6">
        <f t="shared" si="247"/>
        <v>0</v>
      </c>
    </row>
    <row r="15800" spans="3:4" ht="15" x14ac:dyDescent="0.25">
      <c r="C15800" s="8" t="e">
        <f>VLOOKUP(A:A,'ITEM LIST'!A:C,3,0)</f>
        <v>#N/A</v>
      </c>
      <c r="D15800" s="6">
        <f t="shared" si="247"/>
        <v>0</v>
      </c>
    </row>
    <row r="15801" spans="3:4" ht="15" x14ac:dyDescent="0.25">
      <c r="C15801" s="8" t="e">
        <f>VLOOKUP(A:A,'ITEM LIST'!A:C,3,0)</f>
        <v>#N/A</v>
      </c>
      <c r="D15801" s="6">
        <f t="shared" si="247"/>
        <v>0</v>
      </c>
    </row>
    <row r="15802" spans="3:4" ht="15" x14ac:dyDescent="0.25">
      <c r="C15802" s="8" t="e">
        <f>VLOOKUP(A:A,'ITEM LIST'!A:C,3,0)</f>
        <v>#N/A</v>
      </c>
      <c r="D15802" s="6">
        <f t="shared" si="247"/>
        <v>0</v>
      </c>
    </row>
    <row r="15803" spans="3:4" ht="15" x14ac:dyDescent="0.25">
      <c r="C15803" s="8" t="e">
        <f>VLOOKUP(A:A,'ITEM LIST'!A:C,3,0)</f>
        <v>#N/A</v>
      </c>
      <c r="D15803" s="6">
        <f t="shared" si="247"/>
        <v>0</v>
      </c>
    </row>
    <row r="15804" spans="3:4" ht="15" x14ac:dyDescent="0.25">
      <c r="C15804" s="8" t="e">
        <f>VLOOKUP(A:A,'ITEM LIST'!A:C,3,0)</f>
        <v>#N/A</v>
      </c>
      <c r="D15804" s="6">
        <f t="shared" si="247"/>
        <v>0</v>
      </c>
    </row>
    <row r="15805" spans="3:4" ht="15" x14ac:dyDescent="0.25">
      <c r="C15805" s="8" t="e">
        <f>VLOOKUP(A:A,'ITEM LIST'!A:C,3,0)</f>
        <v>#N/A</v>
      </c>
      <c r="D15805" s="6">
        <f t="shared" si="247"/>
        <v>0</v>
      </c>
    </row>
    <row r="15806" spans="3:4" ht="15" x14ac:dyDescent="0.25">
      <c r="C15806" s="8" t="e">
        <f>VLOOKUP(A:A,'ITEM LIST'!A:C,3,0)</f>
        <v>#N/A</v>
      </c>
      <c r="D15806" s="6">
        <f t="shared" si="247"/>
        <v>0</v>
      </c>
    </row>
    <row r="15807" spans="3:4" ht="15" x14ac:dyDescent="0.25">
      <c r="C15807" s="8" t="e">
        <f>VLOOKUP(A:A,'ITEM LIST'!A:C,3,0)</f>
        <v>#N/A</v>
      </c>
      <c r="D15807" s="6">
        <f t="shared" si="247"/>
        <v>0</v>
      </c>
    </row>
    <row r="15808" spans="3:4" ht="15" x14ac:dyDescent="0.25">
      <c r="C15808" s="8" t="e">
        <f>VLOOKUP(A:A,'ITEM LIST'!A:C,3,0)</f>
        <v>#N/A</v>
      </c>
      <c r="D15808" s="6">
        <f t="shared" si="247"/>
        <v>0</v>
      </c>
    </row>
    <row r="15809" spans="3:4" ht="15" x14ac:dyDescent="0.25">
      <c r="C15809" s="8" t="e">
        <f>VLOOKUP(A:A,'ITEM LIST'!A:C,3,0)</f>
        <v>#N/A</v>
      </c>
      <c r="D15809" s="6">
        <f t="shared" si="247"/>
        <v>0</v>
      </c>
    </row>
    <row r="15810" spans="3:4" ht="15" x14ac:dyDescent="0.25">
      <c r="C15810" s="8" t="e">
        <f>VLOOKUP(A:A,'ITEM LIST'!A:C,3,0)</f>
        <v>#N/A</v>
      </c>
      <c r="D15810" s="6">
        <f t="shared" si="247"/>
        <v>0</v>
      </c>
    </row>
    <row r="15811" spans="3:4" ht="15" x14ac:dyDescent="0.25">
      <c r="C15811" s="8" t="e">
        <f>VLOOKUP(A:A,'ITEM LIST'!A:C,3,0)</f>
        <v>#N/A</v>
      </c>
      <c r="D15811" s="6">
        <f t="shared" si="247"/>
        <v>0</v>
      </c>
    </row>
    <row r="15812" spans="3:4" ht="15" x14ac:dyDescent="0.25">
      <c r="C15812" s="8" t="e">
        <f>VLOOKUP(A:A,'ITEM LIST'!A:C,3,0)</f>
        <v>#N/A</v>
      </c>
      <c r="D15812" s="6">
        <f t="shared" si="247"/>
        <v>0</v>
      </c>
    </row>
    <row r="15813" spans="3:4" ht="15" x14ac:dyDescent="0.25">
      <c r="C15813" s="8" t="e">
        <f>VLOOKUP(A:A,'ITEM LIST'!A:C,3,0)</f>
        <v>#N/A</v>
      </c>
      <c r="D15813" s="6">
        <f t="shared" si="247"/>
        <v>0</v>
      </c>
    </row>
    <row r="15814" spans="3:4" ht="15" x14ac:dyDescent="0.25">
      <c r="C15814" s="8" t="e">
        <f>VLOOKUP(A:A,'ITEM LIST'!A:C,3,0)</f>
        <v>#N/A</v>
      </c>
      <c r="D15814" s="6">
        <f t="shared" ref="D15814:D15877" si="248">B15814</f>
        <v>0</v>
      </c>
    </row>
    <row r="15815" spans="3:4" ht="15" x14ac:dyDescent="0.25">
      <c r="C15815" s="8" t="e">
        <f>VLOOKUP(A:A,'ITEM LIST'!A:C,3,0)</f>
        <v>#N/A</v>
      </c>
      <c r="D15815" s="6">
        <f t="shared" si="248"/>
        <v>0</v>
      </c>
    </row>
    <row r="15816" spans="3:4" ht="15" x14ac:dyDescent="0.25">
      <c r="C15816" s="8" t="e">
        <f>VLOOKUP(A:A,'ITEM LIST'!A:C,3,0)</f>
        <v>#N/A</v>
      </c>
      <c r="D15816" s="6">
        <f t="shared" si="248"/>
        <v>0</v>
      </c>
    </row>
    <row r="15817" spans="3:4" ht="15" x14ac:dyDescent="0.25">
      <c r="C15817" s="8" t="e">
        <f>VLOOKUP(A:A,'ITEM LIST'!A:C,3,0)</f>
        <v>#N/A</v>
      </c>
      <c r="D15817" s="6">
        <f t="shared" si="248"/>
        <v>0</v>
      </c>
    </row>
    <row r="15818" spans="3:4" ht="15" x14ac:dyDescent="0.25">
      <c r="C15818" s="8" t="e">
        <f>VLOOKUP(A:A,'ITEM LIST'!A:C,3,0)</f>
        <v>#N/A</v>
      </c>
      <c r="D15818" s="6">
        <f t="shared" si="248"/>
        <v>0</v>
      </c>
    </row>
    <row r="15819" spans="3:4" ht="15" x14ac:dyDescent="0.25">
      <c r="C15819" s="8" t="e">
        <f>VLOOKUP(A:A,'ITEM LIST'!A:C,3,0)</f>
        <v>#N/A</v>
      </c>
      <c r="D15819" s="6">
        <f t="shared" si="248"/>
        <v>0</v>
      </c>
    </row>
    <row r="15820" spans="3:4" ht="15" x14ac:dyDescent="0.25">
      <c r="C15820" s="8" t="e">
        <f>VLOOKUP(A:A,'ITEM LIST'!A:C,3,0)</f>
        <v>#N/A</v>
      </c>
      <c r="D15820" s="6">
        <f t="shared" si="248"/>
        <v>0</v>
      </c>
    </row>
    <row r="15821" spans="3:4" ht="15" x14ac:dyDescent="0.25">
      <c r="C15821" s="8" t="e">
        <f>VLOOKUP(A:A,'ITEM LIST'!A:C,3,0)</f>
        <v>#N/A</v>
      </c>
      <c r="D15821" s="6">
        <f t="shared" si="248"/>
        <v>0</v>
      </c>
    </row>
    <row r="15822" spans="3:4" ht="15" x14ac:dyDescent="0.25">
      <c r="C15822" s="8" t="e">
        <f>VLOOKUP(A:A,'ITEM LIST'!A:C,3,0)</f>
        <v>#N/A</v>
      </c>
      <c r="D15822" s="6">
        <f t="shared" si="248"/>
        <v>0</v>
      </c>
    </row>
    <row r="15823" spans="3:4" ht="15" x14ac:dyDescent="0.25">
      <c r="C15823" s="8" t="e">
        <f>VLOOKUP(A:A,'ITEM LIST'!A:C,3,0)</f>
        <v>#N/A</v>
      </c>
      <c r="D15823" s="6">
        <f t="shared" si="248"/>
        <v>0</v>
      </c>
    </row>
    <row r="15824" spans="3:4" ht="15" x14ac:dyDescent="0.25">
      <c r="C15824" s="8" t="e">
        <f>VLOOKUP(A:A,'ITEM LIST'!A:C,3,0)</f>
        <v>#N/A</v>
      </c>
      <c r="D15824" s="6">
        <f t="shared" si="248"/>
        <v>0</v>
      </c>
    </row>
    <row r="15825" spans="3:4" ht="15" x14ac:dyDescent="0.25">
      <c r="C15825" s="8" t="e">
        <f>VLOOKUP(A:A,'ITEM LIST'!A:C,3,0)</f>
        <v>#N/A</v>
      </c>
      <c r="D15825" s="6">
        <f t="shared" si="248"/>
        <v>0</v>
      </c>
    </row>
    <row r="15826" spans="3:4" ht="15" x14ac:dyDescent="0.25">
      <c r="C15826" s="8" t="e">
        <f>VLOOKUP(A:A,'ITEM LIST'!A:C,3,0)</f>
        <v>#N/A</v>
      </c>
      <c r="D15826" s="6">
        <f t="shared" si="248"/>
        <v>0</v>
      </c>
    </row>
    <row r="15827" spans="3:4" ht="15" x14ac:dyDescent="0.25">
      <c r="C15827" s="8" t="e">
        <f>VLOOKUP(A:A,'ITEM LIST'!A:C,3,0)</f>
        <v>#N/A</v>
      </c>
      <c r="D15827" s="6">
        <f t="shared" si="248"/>
        <v>0</v>
      </c>
    </row>
    <row r="15828" spans="3:4" ht="15" x14ac:dyDescent="0.25">
      <c r="C15828" s="8" t="e">
        <f>VLOOKUP(A:A,'ITEM LIST'!A:C,3,0)</f>
        <v>#N/A</v>
      </c>
      <c r="D15828" s="6">
        <f t="shared" si="248"/>
        <v>0</v>
      </c>
    </row>
    <row r="15829" spans="3:4" ht="15" x14ac:dyDescent="0.25">
      <c r="C15829" s="8" t="e">
        <f>VLOOKUP(A:A,'ITEM LIST'!A:C,3,0)</f>
        <v>#N/A</v>
      </c>
      <c r="D15829" s="6">
        <f t="shared" si="248"/>
        <v>0</v>
      </c>
    </row>
    <row r="15830" spans="3:4" ht="15" x14ac:dyDescent="0.25">
      <c r="C15830" s="8" t="e">
        <f>VLOOKUP(A:A,'ITEM LIST'!A:C,3,0)</f>
        <v>#N/A</v>
      </c>
      <c r="D15830" s="6">
        <f t="shared" si="248"/>
        <v>0</v>
      </c>
    </row>
    <row r="15831" spans="3:4" ht="15" x14ac:dyDescent="0.25">
      <c r="C15831" s="8" t="e">
        <f>VLOOKUP(A:A,'ITEM LIST'!A:C,3,0)</f>
        <v>#N/A</v>
      </c>
      <c r="D15831" s="6">
        <f t="shared" si="248"/>
        <v>0</v>
      </c>
    </row>
    <row r="15832" spans="3:4" ht="15" x14ac:dyDescent="0.25">
      <c r="C15832" s="8" t="e">
        <f>VLOOKUP(A:A,'ITEM LIST'!A:C,3,0)</f>
        <v>#N/A</v>
      </c>
      <c r="D15832" s="6">
        <f t="shared" si="248"/>
        <v>0</v>
      </c>
    </row>
    <row r="15833" spans="3:4" ht="15" x14ac:dyDescent="0.25">
      <c r="C15833" s="8" t="e">
        <f>VLOOKUP(A:A,'ITEM LIST'!A:C,3,0)</f>
        <v>#N/A</v>
      </c>
      <c r="D15833" s="6">
        <f t="shared" si="248"/>
        <v>0</v>
      </c>
    </row>
    <row r="15834" spans="3:4" ht="15" x14ac:dyDescent="0.25">
      <c r="C15834" s="8" t="e">
        <f>VLOOKUP(A:A,'ITEM LIST'!A:C,3,0)</f>
        <v>#N/A</v>
      </c>
      <c r="D15834" s="6">
        <f t="shared" si="248"/>
        <v>0</v>
      </c>
    </row>
    <row r="15835" spans="3:4" ht="15" x14ac:dyDescent="0.25">
      <c r="C15835" s="8" t="e">
        <f>VLOOKUP(A:A,'ITEM LIST'!A:C,3,0)</f>
        <v>#N/A</v>
      </c>
      <c r="D15835" s="6">
        <f t="shared" si="248"/>
        <v>0</v>
      </c>
    </row>
    <row r="15836" spans="3:4" ht="15" x14ac:dyDescent="0.25">
      <c r="C15836" s="8" t="e">
        <f>VLOOKUP(A:A,'ITEM LIST'!A:C,3,0)</f>
        <v>#N/A</v>
      </c>
      <c r="D15836" s="6">
        <f t="shared" si="248"/>
        <v>0</v>
      </c>
    </row>
    <row r="15837" spans="3:4" ht="15" x14ac:dyDescent="0.25">
      <c r="C15837" s="8" t="e">
        <f>VLOOKUP(A:A,'ITEM LIST'!A:C,3,0)</f>
        <v>#N/A</v>
      </c>
      <c r="D15837" s="6">
        <f t="shared" si="248"/>
        <v>0</v>
      </c>
    </row>
    <row r="15838" spans="3:4" ht="15" x14ac:dyDescent="0.25">
      <c r="C15838" s="8" t="e">
        <f>VLOOKUP(A:A,'ITEM LIST'!A:C,3,0)</f>
        <v>#N/A</v>
      </c>
      <c r="D15838" s="6">
        <f t="shared" si="248"/>
        <v>0</v>
      </c>
    </row>
    <row r="15839" spans="3:4" ht="15" x14ac:dyDescent="0.25">
      <c r="C15839" s="8" t="e">
        <f>VLOOKUP(A:A,'ITEM LIST'!A:C,3,0)</f>
        <v>#N/A</v>
      </c>
      <c r="D15839" s="6">
        <f t="shared" si="248"/>
        <v>0</v>
      </c>
    </row>
    <row r="15840" spans="3:4" ht="15" x14ac:dyDescent="0.25">
      <c r="C15840" s="8" t="e">
        <f>VLOOKUP(A:A,'ITEM LIST'!A:C,3,0)</f>
        <v>#N/A</v>
      </c>
      <c r="D15840" s="6">
        <f t="shared" si="248"/>
        <v>0</v>
      </c>
    </row>
    <row r="15841" spans="3:4" ht="15" x14ac:dyDescent="0.25">
      <c r="C15841" s="8" t="e">
        <f>VLOOKUP(A:A,'ITEM LIST'!A:C,3,0)</f>
        <v>#N/A</v>
      </c>
      <c r="D15841" s="6">
        <f t="shared" si="248"/>
        <v>0</v>
      </c>
    </row>
    <row r="15842" spans="3:4" ht="15" x14ac:dyDescent="0.25">
      <c r="C15842" s="8" t="e">
        <f>VLOOKUP(A:A,'ITEM LIST'!A:C,3,0)</f>
        <v>#N/A</v>
      </c>
      <c r="D15842" s="6">
        <f t="shared" si="248"/>
        <v>0</v>
      </c>
    </row>
    <row r="15843" spans="3:4" ht="15" x14ac:dyDescent="0.25">
      <c r="C15843" s="8" t="e">
        <f>VLOOKUP(A:A,'ITEM LIST'!A:C,3,0)</f>
        <v>#N/A</v>
      </c>
      <c r="D15843" s="6">
        <f t="shared" si="248"/>
        <v>0</v>
      </c>
    </row>
    <row r="15844" spans="3:4" ht="15" x14ac:dyDescent="0.25">
      <c r="C15844" s="8" t="e">
        <f>VLOOKUP(A:A,'ITEM LIST'!A:C,3,0)</f>
        <v>#N/A</v>
      </c>
      <c r="D15844" s="6">
        <f t="shared" si="248"/>
        <v>0</v>
      </c>
    </row>
    <row r="15845" spans="3:4" ht="15" x14ac:dyDescent="0.25">
      <c r="C15845" s="8" t="e">
        <f>VLOOKUP(A:A,'ITEM LIST'!A:C,3,0)</f>
        <v>#N/A</v>
      </c>
      <c r="D15845" s="6">
        <f t="shared" si="248"/>
        <v>0</v>
      </c>
    </row>
    <row r="15846" spans="3:4" ht="15" x14ac:dyDescent="0.25">
      <c r="C15846" s="8" t="e">
        <f>VLOOKUP(A:A,'ITEM LIST'!A:C,3,0)</f>
        <v>#N/A</v>
      </c>
      <c r="D15846" s="6">
        <f t="shared" si="248"/>
        <v>0</v>
      </c>
    </row>
    <row r="15847" spans="3:4" ht="15" x14ac:dyDescent="0.25">
      <c r="C15847" s="8" t="e">
        <f>VLOOKUP(A:A,'ITEM LIST'!A:C,3,0)</f>
        <v>#N/A</v>
      </c>
      <c r="D15847" s="6">
        <f t="shared" si="248"/>
        <v>0</v>
      </c>
    </row>
    <row r="15848" spans="3:4" ht="15" x14ac:dyDescent="0.25">
      <c r="C15848" s="8" t="e">
        <f>VLOOKUP(A:A,'ITEM LIST'!A:C,3,0)</f>
        <v>#N/A</v>
      </c>
      <c r="D15848" s="6">
        <f t="shared" si="248"/>
        <v>0</v>
      </c>
    </row>
    <row r="15849" spans="3:4" ht="15" x14ac:dyDescent="0.25">
      <c r="C15849" s="8" t="e">
        <f>VLOOKUP(A:A,'ITEM LIST'!A:C,3,0)</f>
        <v>#N/A</v>
      </c>
      <c r="D15849" s="6">
        <f t="shared" si="248"/>
        <v>0</v>
      </c>
    </row>
    <row r="15850" spans="3:4" ht="15" x14ac:dyDescent="0.25">
      <c r="C15850" s="8" t="e">
        <f>VLOOKUP(A:A,'ITEM LIST'!A:C,3,0)</f>
        <v>#N/A</v>
      </c>
      <c r="D15850" s="6">
        <f t="shared" si="248"/>
        <v>0</v>
      </c>
    </row>
    <row r="15851" spans="3:4" ht="15" x14ac:dyDescent="0.25">
      <c r="C15851" s="8" t="e">
        <f>VLOOKUP(A:A,'ITEM LIST'!A:C,3,0)</f>
        <v>#N/A</v>
      </c>
      <c r="D15851" s="6">
        <f t="shared" si="248"/>
        <v>0</v>
      </c>
    </row>
    <row r="15852" spans="3:4" ht="15" x14ac:dyDescent="0.25">
      <c r="C15852" s="8" t="e">
        <f>VLOOKUP(A:A,'ITEM LIST'!A:C,3,0)</f>
        <v>#N/A</v>
      </c>
      <c r="D15852" s="6">
        <f t="shared" si="248"/>
        <v>0</v>
      </c>
    </row>
    <row r="15853" spans="3:4" ht="15" x14ac:dyDescent="0.25">
      <c r="C15853" s="8" t="e">
        <f>VLOOKUP(A:A,'ITEM LIST'!A:C,3,0)</f>
        <v>#N/A</v>
      </c>
      <c r="D15853" s="6">
        <f t="shared" si="248"/>
        <v>0</v>
      </c>
    </row>
    <row r="15854" spans="3:4" ht="15" x14ac:dyDescent="0.25">
      <c r="C15854" s="8" t="e">
        <f>VLOOKUP(A:A,'ITEM LIST'!A:C,3,0)</f>
        <v>#N/A</v>
      </c>
      <c r="D15854" s="6">
        <f t="shared" si="248"/>
        <v>0</v>
      </c>
    </row>
    <row r="15855" spans="3:4" ht="15" x14ac:dyDescent="0.25">
      <c r="C15855" s="8" t="e">
        <f>VLOOKUP(A:A,'ITEM LIST'!A:C,3,0)</f>
        <v>#N/A</v>
      </c>
      <c r="D15855" s="6">
        <f t="shared" si="248"/>
        <v>0</v>
      </c>
    </row>
    <row r="15856" spans="3:4" ht="15" x14ac:dyDescent="0.25">
      <c r="C15856" s="8" t="e">
        <f>VLOOKUP(A:A,'ITEM LIST'!A:C,3,0)</f>
        <v>#N/A</v>
      </c>
      <c r="D15856" s="6">
        <f t="shared" si="248"/>
        <v>0</v>
      </c>
    </row>
    <row r="15857" spans="3:4" ht="15" x14ac:dyDescent="0.25">
      <c r="C15857" s="8" t="e">
        <f>VLOOKUP(A:A,'ITEM LIST'!A:C,3,0)</f>
        <v>#N/A</v>
      </c>
      <c r="D15857" s="6">
        <f t="shared" si="248"/>
        <v>0</v>
      </c>
    </row>
    <row r="15858" spans="3:4" ht="15" x14ac:dyDescent="0.25">
      <c r="C15858" s="8" t="e">
        <f>VLOOKUP(A:A,'ITEM LIST'!A:C,3,0)</f>
        <v>#N/A</v>
      </c>
      <c r="D15858" s="6">
        <f t="shared" si="248"/>
        <v>0</v>
      </c>
    </row>
    <row r="15859" spans="3:4" ht="15" x14ac:dyDescent="0.25">
      <c r="C15859" s="8" t="e">
        <f>VLOOKUP(A:A,'ITEM LIST'!A:C,3,0)</f>
        <v>#N/A</v>
      </c>
      <c r="D15859" s="6">
        <f t="shared" si="248"/>
        <v>0</v>
      </c>
    </row>
    <row r="15860" spans="3:4" ht="15" x14ac:dyDescent="0.25">
      <c r="C15860" s="8" t="e">
        <f>VLOOKUP(A:A,'ITEM LIST'!A:C,3,0)</f>
        <v>#N/A</v>
      </c>
      <c r="D15860" s="6">
        <f t="shared" si="248"/>
        <v>0</v>
      </c>
    </row>
    <row r="15861" spans="3:4" ht="15" x14ac:dyDescent="0.25">
      <c r="C15861" s="8" t="e">
        <f>VLOOKUP(A:A,'ITEM LIST'!A:C,3,0)</f>
        <v>#N/A</v>
      </c>
      <c r="D15861" s="6">
        <f t="shared" si="248"/>
        <v>0</v>
      </c>
    </row>
    <row r="15862" spans="3:4" ht="15" x14ac:dyDescent="0.25">
      <c r="C15862" s="8" t="e">
        <f>VLOOKUP(A:A,'ITEM LIST'!A:C,3,0)</f>
        <v>#N/A</v>
      </c>
      <c r="D15862" s="6">
        <f t="shared" si="248"/>
        <v>0</v>
      </c>
    </row>
    <row r="15863" spans="3:4" ht="15" x14ac:dyDescent="0.25">
      <c r="C15863" s="8" t="e">
        <f>VLOOKUP(A:A,'ITEM LIST'!A:C,3,0)</f>
        <v>#N/A</v>
      </c>
      <c r="D15863" s="6">
        <f t="shared" si="248"/>
        <v>0</v>
      </c>
    </row>
    <row r="15864" spans="3:4" ht="15" x14ac:dyDescent="0.25">
      <c r="C15864" s="8" t="e">
        <f>VLOOKUP(A:A,'ITEM LIST'!A:C,3,0)</f>
        <v>#N/A</v>
      </c>
      <c r="D15864" s="6">
        <f t="shared" si="248"/>
        <v>0</v>
      </c>
    </row>
    <row r="15865" spans="3:4" ht="15" x14ac:dyDescent="0.25">
      <c r="C15865" s="8" t="e">
        <f>VLOOKUP(A:A,'ITEM LIST'!A:C,3,0)</f>
        <v>#N/A</v>
      </c>
      <c r="D15865" s="6">
        <f t="shared" si="248"/>
        <v>0</v>
      </c>
    </row>
    <row r="15866" spans="3:4" ht="15" x14ac:dyDescent="0.25">
      <c r="C15866" s="8" t="e">
        <f>VLOOKUP(A:A,'ITEM LIST'!A:C,3,0)</f>
        <v>#N/A</v>
      </c>
      <c r="D15866" s="6">
        <f t="shared" si="248"/>
        <v>0</v>
      </c>
    </row>
    <row r="15867" spans="3:4" ht="15" x14ac:dyDescent="0.25">
      <c r="C15867" s="8" t="e">
        <f>VLOOKUP(A:A,'ITEM LIST'!A:C,3,0)</f>
        <v>#N/A</v>
      </c>
      <c r="D15867" s="6">
        <f t="shared" si="248"/>
        <v>0</v>
      </c>
    </row>
    <row r="15868" spans="3:4" ht="15" x14ac:dyDescent="0.25">
      <c r="C15868" s="8" t="e">
        <f>VLOOKUP(A:A,'ITEM LIST'!A:C,3,0)</f>
        <v>#N/A</v>
      </c>
      <c r="D15868" s="6">
        <f t="shared" si="248"/>
        <v>0</v>
      </c>
    </row>
    <row r="15869" spans="3:4" ht="15" x14ac:dyDescent="0.25">
      <c r="C15869" s="8" t="e">
        <f>VLOOKUP(A:A,'ITEM LIST'!A:C,3,0)</f>
        <v>#N/A</v>
      </c>
      <c r="D15869" s="6">
        <f t="shared" si="248"/>
        <v>0</v>
      </c>
    </row>
    <row r="15870" spans="3:4" ht="15" x14ac:dyDescent="0.25">
      <c r="C15870" s="8" t="e">
        <f>VLOOKUP(A:A,'ITEM LIST'!A:C,3,0)</f>
        <v>#N/A</v>
      </c>
      <c r="D15870" s="6">
        <f t="shared" si="248"/>
        <v>0</v>
      </c>
    </row>
    <row r="15871" spans="3:4" ht="15" x14ac:dyDescent="0.25">
      <c r="C15871" s="8" t="e">
        <f>VLOOKUP(A:A,'ITEM LIST'!A:C,3,0)</f>
        <v>#N/A</v>
      </c>
      <c r="D15871" s="6">
        <f t="shared" si="248"/>
        <v>0</v>
      </c>
    </row>
    <row r="15872" spans="3:4" ht="15" x14ac:dyDescent="0.25">
      <c r="C15872" s="8" t="e">
        <f>VLOOKUP(A:A,'ITEM LIST'!A:C,3,0)</f>
        <v>#N/A</v>
      </c>
      <c r="D15872" s="6">
        <f t="shared" si="248"/>
        <v>0</v>
      </c>
    </row>
    <row r="15873" spans="3:4" ht="15" x14ac:dyDescent="0.25">
      <c r="C15873" s="8" t="e">
        <f>VLOOKUP(A:A,'ITEM LIST'!A:C,3,0)</f>
        <v>#N/A</v>
      </c>
      <c r="D15873" s="6">
        <f t="shared" si="248"/>
        <v>0</v>
      </c>
    </row>
    <row r="15874" spans="3:4" ht="15" x14ac:dyDescent="0.25">
      <c r="C15874" s="8" t="e">
        <f>VLOOKUP(A:A,'ITEM LIST'!A:C,3,0)</f>
        <v>#N/A</v>
      </c>
      <c r="D15874" s="6">
        <f t="shared" si="248"/>
        <v>0</v>
      </c>
    </row>
    <row r="15875" spans="3:4" ht="15" x14ac:dyDescent="0.25">
      <c r="C15875" s="8" t="e">
        <f>VLOOKUP(A:A,'ITEM LIST'!A:C,3,0)</f>
        <v>#N/A</v>
      </c>
      <c r="D15875" s="6">
        <f t="shared" si="248"/>
        <v>0</v>
      </c>
    </row>
    <row r="15876" spans="3:4" ht="15" x14ac:dyDescent="0.25">
      <c r="C15876" s="8" t="e">
        <f>VLOOKUP(A:A,'ITEM LIST'!A:C,3,0)</f>
        <v>#N/A</v>
      </c>
      <c r="D15876" s="6">
        <f t="shared" si="248"/>
        <v>0</v>
      </c>
    </row>
    <row r="15877" spans="3:4" ht="15" x14ac:dyDescent="0.25">
      <c r="C15877" s="8" t="e">
        <f>VLOOKUP(A:A,'ITEM LIST'!A:C,3,0)</f>
        <v>#N/A</v>
      </c>
      <c r="D15877" s="6">
        <f t="shared" si="248"/>
        <v>0</v>
      </c>
    </row>
    <row r="15878" spans="3:4" ht="15" x14ac:dyDescent="0.25">
      <c r="C15878" s="8" t="e">
        <f>VLOOKUP(A:A,'ITEM LIST'!A:C,3,0)</f>
        <v>#N/A</v>
      </c>
      <c r="D15878" s="6">
        <f t="shared" ref="D15878:D15941" si="249">B15878</f>
        <v>0</v>
      </c>
    </row>
    <row r="15879" spans="3:4" ht="15" x14ac:dyDescent="0.25">
      <c r="C15879" s="8" t="e">
        <f>VLOOKUP(A:A,'ITEM LIST'!A:C,3,0)</f>
        <v>#N/A</v>
      </c>
      <c r="D15879" s="6">
        <f t="shared" si="249"/>
        <v>0</v>
      </c>
    </row>
    <row r="15880" spans="3:4" ht="15" x14ac:dyDescent="0.25">
      <c r="C15880" s="8" t="e">
        <f>VLOOKUP(A:A,'ITEM LIST'!A:C,3,0)</f>
        <v>#N/A</v>
      </c>
      <c r="D15880" s="6">
        <f t="shared" si="249"/>
        <v>0</v>
      </c>
    </row>
    <row r="15881" spans="3:4" ht="15" x14ac:dyDescent="0.25">
      <c r="C15881" s="8" t="e">
        <f>VLOOKUP(A:A,'ITEM LIST'!A:C,3,0)</f>
        <v>#N/A</v>
      </c>
      <c r="D15881" s="6">
        <f t="shared" si="249"/>
        <v>0</v>
      </c>
    </row>
    <row r="15882" spans="3:4" ht="15" x14ac:dyDescent="0.25">
      <c r="C15882" s="8" t="e">
        <f>VLOOKUP(A:A,'ITEM LIST'!A:C,3,0)</f>
        <v>#N/A</v>
      </c>
      <c r="D15882" s="6">
        <f t="shared" si="249"/>
        <v>0</v>
      </c>
    </row>
    <row r="15883" spans="3:4" ht="15" x14ac:dyDescent="0.25">
      <c r="C15883" s="8" t="e">
        <f>VLOOKUP(A:A,'ITEM LIST'!A:C,3,0)</f>
        <v>#N/A</v>
      </c>
      <c r="D15883" s="6">
        <f t="shared" si="249"/>
        <v>0</v>
      </c>
    </row>
    <row r="15884" spans="3:4" ht="15" x14ac:dyDescent="0.25">
      <c r="C15884" s="8" t="e">
        <f>VLOOKUP(A:A,'ITEM LIST'!A:C,3,0)</f>
        <v>#N/A</v>
      </c>
      <c r="D15884" s="6">
        <f t="shared" si="249"/>
        <v>0</v>
      </c>
    </row>
    <row r="15885" spans="3:4" ht="15" x14ac:dyDescent="0.25">
      <c r="C15885" s="8" t="e">
        <f>VLOOKUP(A:A,'ITEM LIST'!A:C,3,0)</f>
        <v>#N/A</v>
      </c>
      <c r="D15885" s="6">
        <f t="shared" si="249"/>
        <v>0</v>
      </c>
    </row>
    <row r="15886" spans="3:4" ht="15" x14ac:dyDescent="0.25">
      <c r="C15886" s="8" t="e">
        <f>VLOOKUP(A:A,'ITEM LIST'!A:C,3,0)</f>
        <v>#N/A</v>
      </c>
      <c r="D15886" s="6">
        <f t="shared" si="249"/>
        <v>0</v>
      </c>
    </row>
    <row r="15887" spans="3:4" ht="15" x14ac:dyDescent="0.25">
      <c r="C15887" s="8" t="e">
        <f>VLOOKUP(A:A,'ITEM LIST'!A:C,3,0)</f>
        <v>#N/A</v>
      </c>
      <c r="D15887" s="6">
        <f t="shared" si="249"/>
        <v>0</v>
      </c>
    </row>
    <row r="15888" spans="3:4" ht="15" x14ac:dyDescent="0.25">
      <c r="C15888" s="8" t="e">
        <f>VLOOKUP(A:A,'ITEM LIST'!A:C,3,0)</f>
        <v>#N/A</v>
      </c>
      <c r="D15888" s="6">
        <f t="shared" si="249"/>
        <v>0</v>
      </c>
    </row>
    <row r="15889" spans="3:4" ht="15" x14ac:dyDescent="0.25">
      <c r="C15889" s="8" t="e">
        <f>VLOOKUP(A:A,'ITEM LIST'!A:C,3,0)</f>
        <v>#N/A</v>
      </c>
      <c r="D15889" s="6">
        <f t="shared" si="249"/>
        <v>0</v>
      </c>
    </row>
    <row r="15890" spans="3:4" ht="15" x14ac:dyDescent="0.25">
      <c r="C15890" s="8" t="e">
        <f>VLOOKUP(A:A,'ITEM LIST'!A:C,3,0)</f>
        <v>#N/A</v>
      </c>
      <c r="D15890" s="6">
        <f t="shared" si="249"/>
        <v>0</v>
      </c>
    </row>
    <row r="15891" spans="3:4" ht="15" x14ac:dyDescent="0.25">
      <c r="C15891" s="8" t="e">
        <f>VLOOKUP(A:A,'ITEM LIST'!A:C,3,0)</f>
        <v>#N/A</v>
      </c>
      <c r="D15891" s="6">
        <f t="shared" si="249"/>
        <v>0</v>
      </c>
    </row>
    <row r="15892" spans="3:4" ht="15" x14ac:dyDescent="0.25">
      <c r="C15892" s="8" t="e">
        <f>VLOOKUP(A:A,'ITEM LIST'!A:C,3,0)</f>
        <v>#N/A</v>
      </c>
      <c r="D15892" s="6">
        <f t="shared" si="249"/>
        <v>0</v>
      </c>
    </row>
    <row r="15893" spans="3:4" ht="15" x14ac:dyDescent="0.25">
      <c r="C15893" s="8" t="e">
        <f>VLOOKUP(A:A,'ITEM LIST'!A:C,3,0)</f>
        <v>#N/A</v>
      </c>
      <c r="D15893" s="6">
        <f t="shared" si="249"/>
        <v>0</v>
      </c>
    </row>
    <row r="15894" spans="3:4" ht="15" x14ac:dyDescent="0.25">
      <c r="C15894" s="8" t="e">
        <f>VLOOKUP(A:A,'ITEM LIST'!A:C,3,0)</f>
        <v>#N/A</v>
      </c>
      <c r="D15894" s="6">
        <f t="shared" si="249"/>
        <v>0</v>
      </c>
    </row>
    <row r="15895" spans="3:4" ht="15" x14ac:dyDescent="0.25">
      <c r="C15895" s="8" t="e">
        <f>VLOOKUP(A:A,'ITEM LIST'!A:C,3,0)</f>
        <v>#N/A</v>
      </c>
      <c r="D15895" s="6">
        <f t="shared" si="249"/>
        <v>0</v>
      </c>
    </row>
    <row r="15896" spans="3:4" ht="15" x14ac:dyDescent="0.25">
      <c r="C15896" s="8" t="e">
        <f>VLOOKUP(A:A,'ITEM LIST'!A:C,3,0)</f>
        <v>#N/A</v>
      </c>
      <c r="D15896" s="6">
        <f t="shared" si="249"/>
        <v>0</v>
      </c>
    </row>
    <row r="15897" spans="3:4" ht="15" x14ac:dyDescent="0.25">
      <c r="C15897" s="8" t="e">
        <f>VLOOKUP(A:A,'ITEM LIST'!A:C,3,0)</f>
        <v>#N/A</v>
      </c>
      <c r="D15897" s="6">
        <f t="shared" si="249"/>
        <v>0</v>
      </c>
    </row>
    <row r="15898" spans="3:4" ht="15" x14ac:dyDescent="0.25">
      <c r="C15898" s="8" t="e">
        <f>VLOOKUP(A:A,'ITEM LIST'!A:C,3,0)</f>
        <v>#N/A</v>
      </c>
      <c r="D15898" s="6">
        <f t="shared" si="249"/>
        <v>0</v>
      </c>
    </row>
    <row r="15899" spans="3:4" ht="15" x14ac:dyDescent="0.25">
      <c r="C15899" s="8" t="e">
        <f>VLOOKUP(A:A,'ITEM LIST'!A:C,3,0)</f>
        <v>#N/A</v>
      </c>
      <c r="D15899" s="6">
        <f t="shared" si="249"/>
        <v>0</v>
      </c>
    </row>
    <row r="15900" spans="3:4" ht="15" x14ac:dyDescent="0.25">
      <c r="C15900" s="8" t="e">
        <f>VLOOKUP(A:A,'ITEM LIST'!A:C,3,0)</f>
        <v>#N/A</v>
      </c>
      <c r="D15900" s="6">
        <f t="shared" si="249"/>
        <v>0</v>
      </c>
    </row>
    <row r="15901" spans="3:4" ht="15" x14ac:dyDescent="0.25">
      <c r="C15901" s="8" t="e">
        <f>VLOOKUP(A:A,'ITEM LIST'!A:C,3,0)</f>
        <v>#N/A</v>
      </c>
      <c r="D15901" s="6">
        <f t="shared" si="249"/>
        <v>0</v>
      </c>
    </row>
    <row r="15902" spans="3:4" ht="15" x14ac:dyDescent="0.25">
      <c r="C15902" s="8" t="e">
        <f>VLOOKUP(A:A,'ITEM LIST'!A:C,3,0)</f>
        <v>#N/A</v>
      </c>
      <c r="D15902" s="6">
        <f t="shared" si="249"/>
        <v>0</v>
      </c>
    </row>
    <row r="15903" spans="3:4" ht="15" x14ac:dyDescent="0.25">
      <c r="C15903" s="8" t="e">
        <f>VLOOKUP(A:A,'ITEM LIST'!A:C,3,0)</f>
        <v>#N/A</v>
      </c>
      <c r="D15903" s="6">
        <f t="shared" si="249"/>
        <v>0</v>
      </c>
    </row>
    <row r="15904" spans="3:4" ht="15" x14ac:dyDescent="0.25">
      <c r="C15904" s="8" t="e">
        <f>VLOOKUP(A:A,'ITEM LIST'!A:C,3,0)</f>
        <v>#N/A</v>
      </c>
      <c r="D15904" s="6">
        <f t="shared" si="249"/>
        <v>0</v>
      </c>
    </row>
    <row r="15905" spans="3:4" ht="15" x14ac:dyDescent="0.25">
      <c r="C15905" s="8" t="e">
        <f>VLOOKUP(A:A,'ITEM LIST'!A:C,3,0)</f>
        <v>#N/A</v>
      </c>
      <c r="D15905" s="6">
        <f t="shared" si="249"/>
        <v>0</v>
      </c>
    </row>
    <row r="15906" spans="3:4" ht="15" x14ac:dyDescent="0.25">
      <c r="C15906" s="8" t="e">
        <f>VLOOKUP(A:A,'ITEM LIST'!A:C,3,0)</f>
        <v>#N/A</v>
      </c>
      <c r="D15906" s="6">
        <f t="shared" si="249"/>
        <v>0</v>
      </c>
    </row>
    <row r="15907" spans="3:4" ht="15" x14ac:dyDescent="0.25">
      <c r="C15907" s="8" t="e">
        <f>VLOOKUP(A:A,'ITEM LIST'!A:C,3,0)</f>
        <v>#N/A</v>
      </c>
      <c r="D15907" s="6">
        <f t="shared" si="249"/>
        <v>0</v>
      </c>
    </row>
    <row r="15908" spans="3:4" ht="15" x14ac:dyDescent="0.25">
      <c r="C15908" s="8" t="e">
        <f>VLOOKUP(A:A,'ITEM LIST'!A:C,3,0)</f>
        <v>#N/A</v>
      </c>
      <c r="D15908" s="6">
        <f t="shared" si="249"/>
        <v>0</v>
      </c>
    </row>
    <row r="15909" spans="3:4" ht="15" x14ac:dyDescent="0.25">
      <c r="C15909" s="8" t="e">
        <f>VLOOKUP(A:A,'ITEM LIST'!A:C,3,0)</f>
        <v>#N/A</v>
      </c>
      <c r="D15909" s="6">
        <f t="shared" si="249"/>
        <v>0</v>
      </c>
    </row>
    <row r="15910" spans="3:4" ht="15" x14ac:dyDescent="0.25">
      <c r="C15910" s="8" t="e">
        <f>VLOOKUP(A:A,'ITEM LIST'!A:C,3,0)</f>
        <v>#N/A</v>
      </c>
      <c r="D15910" s="6">
        <f t="shared" si="249"/>
        <v>0</v>
      </c>
    </row>
    <row r="15911" spans="3:4" ht="15" x14ac:dyDescent="0.25">
      <c r="C15911" s="8" t="e">
        <f>VLOOKUP(A:A,'ITEM LIST'!A:C,3,0)</f>
        <v>#N/A</v>
      </c>
      <c r="D15911" s="6">
        <f t="shared" si="249"/>
        <v>0</v>
      </c>
    </row>
    <row r="15912" spans="3:4" ht="15" x14ac:dyDescent="0.25">
      <c r="C15912" s="8" t="e">
        <f>VLOOKUP(A:A,'ITEM LIST'!A:C,3,0)</f>
        <v>#N/A</v>
      </c>
      <c r="D15912" s="6">
        <f t="shared" si="249"/>
        <v>0</v>
      </c>
    </row>
    <row r="15913" spans="3:4" ht="15" x14ac:dyDescent="0.25">
      <c r="C15913" s="8" t="e">
        <f>VLOOKUP(A:A,'ITEM LIST'!A:C,3,0)</f>
        <v>#N/A</v>
      </c>
      <c r="D15913" s="6">
        <f t="shared" si="249"/>
        <v>0</v>
      </c>
    </row>
    <row r="15914" spans="3:4" ht="15" x14ac:dyDescent="0.25">
      <c r="C15914" s="8" t="e">
        <f>VLOOKUP(A:A,'ITEM LIST'!A:C,3,0)</f>
        <v>#N/A</v>
      </c>
      <c r="D15914" s="6">
        <f t="shared" si="249"/>
        <v>0</v>
      </c>
    </row>
    <row r="15915" spans="3:4" ht="15" x14ac:dyDescent="0.25">
      <c r="C15915" s="8" t="e">
        <f>VLOOKUP(A:A,'ITEM LIST'!A:C,3,0)</f>
        <v>#N/A</v>
      </c>
      <c r="D15915" s="6">
        <f t="shared" si="249"/>
        <v>0</v>
      </c>
    </row>
    <row r="15916" spans="3:4" ht="15" x14ac:dyDescent="0.25">
      <c r="C15916" s="8" t="e">
        <f>VLOOKUP(A:A,'ITEM LIST'!A:C,3,0)</f>
        <v>#N/A</v>
      </c>
      <c r="D15916" s="6">
        <f t="shared" si="249"/>
        <v>0</v>
      </c>
    </row>
    <row r="15917" spans="3:4" ht="15" x14ac:dyDescent="0.25">
      <c r="C15917" s="8" t="e">
        <f>VLOOKUP(A:A,'ITEM LIST'!A:C,3,0)</f>
        <v>#N/A</v>
      </c>
      <c r="D15917" s="6">
        <f t="shared" si="249"/>
        <v>0</v>
      </c>
    </row>
    <row r="15918" spans="3:4" ht="15" x14ac:dyDescent="0.25">
      <c r="C15918" s="8" t="e">
        <f>VLOOKUP(A:A,'ITEM LIST'!A:C,3,0)</f>
        <v>#N/A</v>
      </c>
      <c r="D15918" s="6">
        <f t="shared" si="249"/>
        <v>0</v>
      </c>
    </row>
    <row r="15919" spans="3:4" ht="15" x14ac:dyDescent="0.25">
      <c r="C15919" s="8" t="e">
        <f>VLOOKUP(A:A,'ITEM LIST'!A:C,3,0)</f>
        <v>#N/A</v>
      </c>
      <c r="D15919" s="6">
        <f t="shared" si="249"/>
        <v>0</v>
      </c>
    </row>
    <row r="15920" spans="3:4" ht="15" x14ac:dyDescent="0.25">
      <c r="C15920" s="8" t="e">
        <f>VLOOKUP(A:A,'ITEM LIST'!A:C,3,0)</f>
        <v>#N/A</v>
      </c>
      <c r="D15920" s="6">
        <f t="shared" si="249"/>
        <v>0</v>
      </c>
    </row>
    <row r="15921" spans="3:4" ht="15" x14ac:dyDescent="0.25">
      <c r="C15921" s="8" t="e">
        <f>VLOOKUP(A:A,'ITEM LIST'!A:C,3,0)</f>
        <v>#N/A</v>
      </c>
      <c r="D15921" s="6">
        <f t="shared" si="249"/>
        <v>0</v>
      </c>
    </row>
    <row r="15922" spans="3:4" ht="15" x14ac:dyDescent="0.25">
      <c r="C15922" s="8" t="e">
        <f>VLOOKUP(A:A,'ITEM LIST'!A:C,3,0)</f>
        <v>#N/A</v>
      </c>
      <c r="D15922" s="6">
        <f t="shared" si="249"/>
        <v>0</v>
      </c>
    </row>
    <row r="15923" spans="3:4" ht="15" x14ac:dyDescent="0.25">
      <c r="C15923" s="8" t="e">
        <f>VLOOKUP(A:A,'ITEM LIST'!A:C,3,0)</f>
        <v>#N/A</v>
      </c>
      <c r="D15923" s="6">
        <f t="shared" si="249"/>
        <v>0</v>
      </c>
    </row>
    <row r="15924" spans="3:4" ht="15" x14ac:dyDescent="0.25">
      <c r="C15924" s="8" t="e">
        <f>VLOOKUP(A:A,'ITEM LIST'!A:C,3,0)</f>
        <v>#N/A</v>
      </c>
      <c r="D15924" s="6">
        <f t="shared" si="249"/>
        <v>0</v>
      </c>
    </row>
    <row r="15925" spans="3:4" ht="15" x14ac:dyDescent="0.25">
      <c r="C15925" s="8" t="e">
        <f>VLOOKUP(A:A,'ITEM LIST'!A:C,3,0)</f>
        <v>#N/A</v>
      </c>
      <c r="D15925" s="6">
        <f t="shared" si="249"/>
        <v>0</v>
      </c>
    </row>
    <row r="15926" spans="3:4" ht="15" x14ac:dyDescent="0.25">
      <c r="C15926" s="8" t="e">
        <f>VLOOKUP(A:A,'ITEM LIST'!A:C,3,0)</f>
        <v>#N/A</v>
      </c>
      <c r="D15926" s="6">
        <f t="shared" si="249"/>
        <v>0</v>
      </c>
    </row>
    <row r="15927" spans="3:4" ht="15" x14ac:dyDescent="0.25">
      <c r="C15927" s="8" t="e">
        <f>VLOOKUP(A:A,'ITEM LIST'!A:C,3,0)</f>
        <v>#N/A</v>
      </c>
      <c r="D15927" s="6">
        <f t="shared" si="249"/>
        <v>0</v>
      </c>
    </row>
    <row r="15928" spans="3:4" ht="15" x14ac:dyDescent="0.25">
      <c r="C15928" s="8" t="e">
        <f>VLOOKUP(A:A,'ITEM LIST'!A:C,3,0)</f>
        <v>#N/A</v>
      </c>
      <c r="D15928" s="6">
        <f t="shared" si="249"/>
        <v>0</v>
      </c>
    </row>
    <row r="15929" spans="3:4" ht="15" x14ac:dyDescent="0.25">
      <c r="C15929" s="8" t="e">
        <f>VLOOKUP(A:A,'ITEM LIST'!A:C,3,0)</f>
        <v>#N/A</v>
      </c>
      <c r="D15929" s="6">
        <f t="shared" si="249"/>
        <v>0</v>
      </c>
    </row>
    <row r="15930" spans="3:4" ht="15" x14ac:dyDescent="0.25">
      <c r="C15930" s="8" t="e">
        <f>VLOOKUP(A:A,'ITEM LIST'!A:C,3,0)</f>
        <v>#N/A</v>
      </c>
      <c r="D15930" s="6">
        <f t="shared" si="249"/>
        <v>0</v>
      </c>
    </row>
    <row r="15931" spans="3:4" ht="15" x14ac:dyDescent="0.25">
      <c r="C15931" s="8" t="e">
        <f>VLOOKUP(A:A,'ITEM LIST'!A:C,3,0)</f>
        <v>#N/A</v>
      </c>
      <c r="D15931" s="6">
        <f t="shared" si="249"/>
        <v>0</v>
      </c>
    </row>
    <row r="15932" spans="3:4" ht="15" x14ac:dyDescent="0.25">
      <c r="C15932" s="8" t="e">
        <f>VLOOKUP(A:A,'ITEM LIST'!A:C,3,0)</f>
        <v>#N/A</v>
      </c>
      <c r="D15932" s="6">
        <f t="shared" si="249"/>
        <v>0</v>
      </c>
    </row>
    <row r="15933" spans="3:4" ht="15" x14ac:dyDescent="0.25">
      <c r="C15933" s="8" t="e">
        <f>VLOOKUP(A:A,'ITEM LIST'!A:C,3,0)</f>
        <v>#N/A</v>
      </c>
      <c r="D15933" s="6">
        <f t="shared" si="249"/>
        <v>0</v>
      </c>
    </row>
    <row r="15934" spans="3:4" ht="15" x14ac:dyDescent="0.25">
      <c r="C15934" s="8" t="e">
        <f>VLOOKUP(A:A,'ITEM LIST'!A:C,3,0)</f>
        <v>#N/A</v>
      </c>
      <c r="D15934" s="6">
        <f t="shared" si="249"/>
        <v>0</v>
      </c>
    </row>
    <row r="15935" spans="3:4" ht="15" x14ac:dyDescent="0.25">
      <c r="C15935" s="8" t="e">
        <f>VLOOKUP(A:A,'ITEM LIST'!A:C,3,0)</f>
        <v>#N/A</v>
      </c>
      <c r="D15935" s="6">
        <f t="shared" si="249"/>
        <v>0</v>
      </c>
    </row>
    <row r="15936" spans="3:4" ht="15" x14ac:dyDescent="0.25">
      <c r="C15936" s="8" t="e">
        <f>VLOOKUP(A:A,'ITEM LIST'!A:C,3,0)</f>
        <v>#N/A</v>
      </c>
      <c r="D15936" s="6">
        <f t="shared" si="249"/>
        <v>0</v>
      </c>
    </row>
    <row r="15937" spans="3:4" ht="15" x14ac:dyDescent="0.25">
      <c r="C15937" s="8" t="e">
        <f>VLOOKUP(A:A,'ITEM LIST'!A:C,3,0)</f>
        <v>#N/A</v>
      </c>
      <c r="D15937" s="6">
        <f t="shared" si="249"/>
        <v>0</v>
      </c>
    </row>
    <row r="15938" spans="3:4" ht="15" x14ac:dyDescent="0.25">
      <c r="C15938" s="8" t="e">
        <f>VLOOKUP(A:A,'ITEM LIST'!A:C,3,0)</f>
        <v>#N/A</v>
      </c>
      <c r="D15938" s="6">
        <f t="shared" si="249"/>
        <v>0</v>
      </c>
    </row>
    <row r="15939" spans="3:4" ht="15" x14ac:dyDescent="0.25">
      <c r="C15939" s="8" t="e">
        <f>VLOOKUP(A:A,'ITEM LIST'!A:C,3,0)</f>
        <v>#N/A</v>
      </c>
      <c r="D15939" s="6">
        <f t="shared" si="249"/>
        <v>0</v>
      </c>
    </row>
    <row r="15940" spans="3:4" ht="15" x14ac:dyDescent="0.25">
      <c r="C15940" s="8" t="e">
        <f>VLOOKUP(A:A,'ITEM LIST'!A:C,3,0)</f>
        <v>#N/A</v>
      </c>
      <c r="D15940" s="6">
        <f t="shared" si="249"/>
        <v>0</v>
      </c>
    </row>
    <row r="15941" spans="3:4" ht="15" x14ac:dyDescent="0.25">
      <c r="C15941" s="8" t="e">
        <f>VLOOKUP(A:A,'ITEM LIST'!A:C,3,0)</f>
        <v>#N/A</v>
      </c>
      <c r="D15941" s="6">
        <f t="shared" si="249"/>
        <v>0</v>
      </c>
    </row>
    <row r="15942" spans="3:4" ht="15" x14ac:dyDescent="0.25">
      <c r="C15942" s="8" t="e">
        <f>VLOOKUP(A:A,'ITEM LIST'!A:C,3,0)</f>
        <v>#N/A</v>
      </c>
      <c r="D15942" s="6">
        <f t="shared" ref="D15942:D16005" si="250">B15942</f>
        <v>0</v>
      </c>
    </row>
    <row r="15943" spans="3:4" ht="15" x14ac:dyDescent="0.25">
      <c r="C15943" s="8" t="e">
        <f>VLOOKUP(A:A,'ITEM LIST'!A:C,3,0)</f>
        <v>#N/A</v>
      </c>
      <c r="D15943" s="6">
        <f t="shared" si="250"/>
        <v>0</v>
      </c>
    </row>
    <row r="15944" spans="3:4" ht="15" x14ac:dyDescent="0.25">
      <c r="C15944" s="8" t="e">
        <f>VLOOKUP(A:A,'ITEM LIST'!A:C,3,0)</f>
        <v>#N/A</v>
      </c>
      <c r="D15944" s="6">
        <f t="shared" si="250"/>
        <v>0</v>
      </c>
    </row>
    <row r="15945" spans="3:4" ht="15" x14ac:dyDescent="0.25">
      <c r="C15945" s="8" t="e">
        <f>VLOOKUP(A:A,'ITEM LIST'!A:C,3,0)</f>
        <v>#N/A</v>
      </c>
      <c r="D15945" s="6">
        <f t="shared" si="250"/>
        <v>0</v>
      </c>
    </row>
    <row r="15946" spans="3:4" ht="15" x14ac:dyDescent="0.25">
      <c r="C15946" s="8" t="e">
        <f>VLOOKUP(A:A,'ITEM LIST'!A:C,3,0)</f>
        <v>#N/A</v>
      </c>
      <c r="D15946" s="6">
        <f t="shared" si="250"/>
        <v>0</v>
      </c>
    </row>
    <row r="15947" spans="3:4" ht="15" x14ac:dyDescent="0.25">
      <c r="C15947" s="8" t="e">
        <f>VLOOKUP(A:A,'ITEM LIST'!A:C,3,0)</f>
        <v>#N/A</v>
      </c>
      <c r="D15947" s="6">
        <f t="shared" si="250"/>
        <v>0</v>
      </c>
    </row>
    <row r="15948" spans="3:4" ht="15" x14ac:dyDescent="0.25">
      <c r="C15948" s="8" t="e">
        <f>VLOOKUP(A:A,'ITEM LIST'!A:C,3,0)</f>
        <v>#N/A</v>
      </c>
      <c r="D15948" s="6">
        <f t="shared" si="250"/>
        <v>0</v>
      </c>
    </row>
    <row r="15949" spans="3:4" ht="15" x14ac:dyDescent="0.25">
      <c r="C15949" s="8" t="e">
        <f>VLOOKUP(A:A,'ITEM LIST'!A:C,3,0)</f>
        <v>#N/A</v>
      </c>
      <c r="D15949" s="6">
        <f t="shared" si="250"/>
        <v>0</v>
      </c>
    </row>
    <row r="15950" spans="3:4" ht="15" x14ac:dyDescent="0.25">
      <c r="C15950" s="8" t="e">
        <f>VLOOKUP(A:A,'ITEM LIST'!A:C,3,0)</f>
        <v>#N/A</v>
      </c>
      <c r="D15950" s="6">
        <f t="shared" si="250"/>
        <v>0</v>
      </c>
    </row>
    <row r="15951" spans="3:4" ht="15" x14ac:dyDescent="0.25">
      <c r="C15951" s="8" t="e">
        <f>VLOOKUP(A:A,'ITEM LIST'!A:C,3,0)</f>
        <v>#N/A</v>
      </c>
      <c r="D15951" s="6">
        <f t="shared" si="250"/>
        <v>0</v>
      </c>
    </row>
    <row r="15952" spans="3:4" ht="15" x14ac:dyDescent="0.25">
      <c r="C15952" s="8" t="e">
        <f>VLOOKUP(A:A,'ITEM LIST'!A:C,3,0)</f>
        <v>#N/A</v>
      </c>
      <c r="D15952" s="6">
        <f t="shared" si="250"/>
        <v>0</v>
      </c>
    </row>
    <row r="15953" spans="3:4" ht="15" x14ac:dyDescent="0.25">
      <c r="C15953" s="8" t="e">
        <f>VLOOKUP(A:A,'ITEM LIST'!A:C,3,0)</f>
        <v>#N/A</v>
      </c>
      <c r="D15953" s="6">
        <f t="shared" si="250"/>
        <v>0</v>
      </c>
    </row>
    <row r="15954" spans="3:4" ht="15" x14ac:dyDescent="0.25">
      <c r="C15954" s="8" t="e">
        <f>VLOOKUP(A:A,'ITEM LIST'!A:C,3,0)</f>
        <v>#N/A</v>
      </c>
      <c r="D15954" s="6">
        <f t="shared" si="250"/>
        <v>0</v>
      </c>
    </row>
    <row r="15955" spans="3:4" ht="15" x14ac:dyDescent="0.25">
      <c r="C15955" s="8" t="e">
        <f>VLOOKUP(A:A,'ITEM LIST'!A:C,3,0)</f>
        <v>#N/A</v>
      </c>
      <c r="D15955" s="6">
        <f t="shared" si="250"/>
        <v>0</v>
      </c>
    </row>
    <row r="15956" spans="3:4" ht="15" x14ac:dyDescent="0.25">
      <c r="C15956" s="8" t="e">
        <f>VLOOKUP(A:A,'ITEM LIST'!A:C,3,0)</f>
        <v>#N/A</v>
      </c>
      <c r="D15956" s="6">
        <f t="shared" si="250"/>
        <v>0</v>
      </c>
    </row>
    <row r="15957" spans="3:4" ht="15" x14ac:dyDescent="0.25">
      <c r="C15957" s="8" t="e">
        <f>VLOOKUP(A:A,'ITEM LIST'!A:C,3,0)</f>
        <v>#N/A</v>
      </c>
      <c r="D15957" s="6">
        <f t="shared" si="250"/>
        <v>0</v>
      </c>
    </row>
    <row r="15958" spans="3:4" ht="15" x14ac:dyDescent="0.25">
      <c r="C15958" s="8" t="e">
        <f>VLOOKUP(A:A,'ITEM LIST'!A:C,3,0)</f>
        <v>#N/A</v>
      </c>
      <c r="D15958" s="6">
        <f t="shared" si="250"/>
        <v>0</v>
      </c>
    </row>
    <row r="15959" spans="3:4" ht="15" x14ac:dyDescent="0.25">
      <c r="C15959" s="8" t="e">
        <f>VLOOKUP(A:A,'ITEM LIST'!A:C,3,0)</f>
        <v>#N/A</v>
      </c>
      <c r="D15959" s="6">
        <f t="shared" si="250"/>
        <v>0</v>
      </c>
    </row>
    <row r="15960" spans="3:4" ht="15" x14ac:dyDescent="0.25">
      <c r="C15960" s="8" t="e">
        <f>VLOOKUP(A:A,'ITEM LIST'!A:C,3,0)</f>
        <v>#N/A</v>
      </c>
      <c r="D15960" s="6">
        <f t="shared" si="250"/>
        <v>0</v>
      </c>
    </row>
    <row r="15961" spans="3:4" ht="15" x14ac:dyDescent="0.25">
      <c r="C15961" s="8" t="e">
        <f>VLOOKUP(A:A,'ITEM LIST'!A:C,3,0)</f>
        <v>#N/A</v>
      </c>
      <c r="D15961" s="6">
        <f t="shared" si="250"/>
        <v>0</v>
      </c>
    </row>
    <row r="15962" spans="3:4" ht="15" x14ac:dyDescent="0.25">
      <c r="C15962" s="8" t="e">
        <f>VLOOKUP(A:A,'ITEM LIST'!A:C,3,0)</f>
        <v>#N/A</v>
      </c>
      <c r="D15962" s="6">
        <f t="shared" si="250"/>
        <v>0</v>
      </c>
    </row>
    <row r="15963" spans="3:4" ht="15" x14ac:dyDescent="0.25">
      <c r="C15963" s="8" t="e">
        <f>VLOOKUP(A:A,'ITEM LIST'!A:C,3,0)</f>
        <v>#N/A</v>
      </c>
      <c r="D15963" s="6">
        <f t="shared" si="250"/>
        <v>0</v>
      </c>
    </row>
    <row r="15964" spans="3:4" ht="15" x14ac:dyDescent="0.25">
      <c r="C15964" s="8" t="e">
        <f>VLOOKUP(A:A,'ITEM LIST'!A:C,3,0)</f>
        <v>#N/A</v>
      </c>
      <c r="D15964" s="6">
        <f t="shared" si="250"/>
        <v>0</v>
      </c>
    </row>
    <row r="15965" spans="3:4" ht="15" x14ac:dyDescent="0.25">
      <c r="C15965" s="8" t="e">
        <f>VLOOKUP(A:A,'ITEM LIST'!A:C,3,0)</f>
        <v>#N/A</v>
      </c>
      <c r="D15965" s="6">
        <f t="shared" si="250"/>
        <v>0</v>
      </c>
    </row>
    <row r="15966" spans="3:4" ht="15" x14ac:dyDescent="0.25">
      <c r="C15966" s="8" t="e">
        <f>VLOOKUP(A:A,'ITEM LIST'!A:C,3,0)</f>
        <v>#N/A</v>
      </c>
      <c r="D15966" s="6">
        <f t="shared" si="250"/>
        <v>0</v>
      </c>
    </row>
    <row r="15967" spans="3:4" ht="15" x14ac:dyDescent="0.25">
      <c r="C15967" s="8" t="e">
        <f>VLOOKUP(A:A,'ITEM LIST'!A:C,3,0)</f>
        <v>#N/A</v>
      </c>
      <c r="D15967" s="6">
        <f t="shared" si="250"/>
        <v>0</v>
      </c>
    </row>
    <row r="15968" spans="3:4" ht="15" x14ac:dyDescent="0.25">
      <c r="C15968" s="8" t="e">
        <f>VLOOKUP(A:A,'ITEM LIST'!A:C,3,0)</f>
        <v>#N/A</v>
      </c>
      <c r="D15968" s="6">
        <f t="shared" si="250"/>
        <v>0</v>
      </c>
    </row>
    <row r="15969" spans="3:4" ht="15" x14ac:dyDescent="0.25">
      <c r="C15969" s="8" t="e">
        <f>VLOOKUP(A:A,'ITEM LIST'!A:C,3,0)</f>
        <v>#N/A</v>
      </c>
      <c r="D15969" s="6">
        <f t="shared" si="250"/>
        <v>0</v>
      </c>
    </row>
    <row r="15970" spans="3:4" ht="15" x14ac:dyDescent="0.25">
      <c r="C15970" s="8" t="e">
        <f>VLOOKUP(A:A,'ITEM LIST'!A:C,3,0)</f>
        <v>#N/A</v>
      </c>
      <c r="D15970" s="6">
        <f t="shared" si="250"/>
        <v>0</v>
      </c>
    </row>
    <row r="15971" spans="3:4" ht="15" x14ac:dyDescent="0.25">
      <c r="C15971" s="8" t="e">
        <f>VLOOKUP(A:A,'ITEM LIST'!A:C,3,0)</f>
        <v>#N/A</v>
      </c>
      <c r="D15971" s="6">
        <f t="shared" si="250"/>
        <v>0</v>
      </c>
    </row>
    <row r="15972" spans="3:4" ht="15" x14ac:dyDescent="0.25">
      <c r="C15972" s="8" t="e">
        <f>VLOOKUP(A:A,'ITEM LIST'!A:C,3,0)</f>
        <v>#N/A</v>
      </c>
      <c r="D15972" s="6">
        <f t="shared" si="250"/>
        <v>0</v>
      </c>
    </row>
    <row r="15973" spans="3:4" ht="15" x14ac:dyDescent="0.25">
      <c r="C15973" s="8" t="e">
        <f>VLOOKUP(A:A,'ITEM LIST'!A:C,3,0)</f>
        <v>#N/A</v>
      </c>
      <c r="D15973" s="6">
        <f t="shared" si="250"/>
        <v>0</v>
      </c>
    </row>
    <row r="15974" spans="3:4" ht="15" x14ac:dyDescent="0.25">
      <c r="C15974" s="8" t="e">
        <f>VLOOKUP(A:A,'ITEM LIST'!A:C,3,0)</f>
        <v>#N/A</v>
      </c>
      <c r="D15974" s="6">
        <f t="shared" si="250"/>
        <v>0</v>
      </c>
    </row>
    <row r="15975" spans="3:4" ht="15" x14ac:dyDescent="0.25">
      <c r="C15975" s="8" t="e">
        <f>VLOOKUP(A:A,'ITEM LIST'!A:C,3,0)</f>
        <v>#N/A</v>
      </c>
      <c r="D15975" s="6">
        <f t="shared" si="250"/>
        <v>0</v>
      </c>
    </row>
    <row r="15976" spans="3:4" ht="15" x14ac:dyDescent="0.25">
      <c r="C15976" s="8" t="e">
        <f>VLOOKUP(A:A,'ITEM LIST'!A:C,3,0)</f>
        <v>#N/A</v>
      </c>
      <c r="D15976" s="6">
        <f t="shared" si="250"/>
        <v>0</v>
      </c>
    </row>
    <row r="15977" spans="3:4" ht="15" x14ac:dyDescent="0.25">
      <c r="C15977" s="8" t="e">
        <f>VLOOKUP(A:A,'ITEM LIST'!A:C,3,0)</f>
        <v>#N/A</v>
      </c>
      <c r="D15977" s="6">
        <f t="shared" si="250"/>
        <v>0</v>
      </c>
    </row>
    <row r="15978" spans="3:4" ht="15" x14ac:dyDescent="0.25">
      <c r="C15978" s="8" t="e">
        <f>VLOOKUP(A:A,'ITEM LIST'!A:C,3,0)</f>
        <v>#N/A</v>
      </c>
      <c r="D15978" s="6">
        <f t="shared" si="250"/>
        <v>0</v>
      </c>
    </row>
    <row r="15979" spans="3:4" ht="15" x14ac:dyDescent="0.25">
      <c r="C15979" s="8" t="e">
        <f>VLOOKUP(A:A,'ITEM LIST'!A:C,3,0)</f>
        <v>#N/A</v>
      </c>
      <c r="D15979" s="6">
        <f t="shared" si="250"/>
        <v>0</v>
      </c>
    </row>
    <row r="15980" spans="3:4" ht="15" x14ac:dyDescent="0.25">
      <c r="C15980" s="8" t="e">
        <f>VLOOKUP(A:A,'ITEM LIST'!A:C,3,0)</f>
        <v>#N/A</v>
      </c>
      <c r="D15980" s="6">
        <f t="shared" si="250"/>
        <v>0</v>
      </c>
    </row>
    <row r="15981" spans="3:4" ht="15" x14ac:dyDescent="0.25">
      <c r="C15981" s="8" t="e">
        <f>VLOOKUP(A:A,'ITEM LIST'!A:C,3,0)</f>
        <v>#N/A</v>
      </c>
      <c r="D15981" s="6">
        <f t="shared" si="250"/>
        <v>0</v>
      </c>
    </row>
    <row r="15982" spans="3:4" ht="15" x14ac:dyDescent="0.25">
      <c r="C15982" s="8" t="e">
        <f>VLOOKUP(A:A,'ITEM LIST'!A:C,3,0)</f>
        <v>#N/A</v>
      </c>
      <c r="D15982" s="6">
        <f t="shared" si="250"/>
        <v>0</v>
      </c>
    </row>
    <row r="15983" spans="3:4" ht="15" x14ac:dyDescent="0.25">
      <c r="C15983" s="8" t="e">
        <f>VLOOKUP(A:A,'ITEM LIST'!A:C,3,0)</f>
        <v>#N/A</v>
      </c>
      <c r="D15983" s="6">
        <f t="shared" si="250"/>
        <v>0</v>
      </c>
    </row>
    <row r="15984" spans="3:4" ht="15" x14ac:dyDescent="0.25">
      <c r="C15984" s="8" t="e">
        <f>VLOOKUP(A:A,'ITEM LIST'!A:C,3,0)</f>
        <v>#N/A</v>
      </c>
      <c r="D15984" s="6">
        <f t="shared" si="250"/>
        <v>0</v>
      </c>
    </row>
    <row r="15985" spans="3:4" ht="15" x14ac:dyDescent="0.25">
      <c r="C15985" s="8" t="e">
        <f>VLOOKUP(A:A,'ITEM LIST'!A:C,3,0)</f>
        <v>#N/A</v>
      </c>
      <c r="D15985" s="6">
        <f t="shared" si="250"/>
        <v>0</v>
      </c>
    </row>
    <row r="15986" spans="3:4" ht="15" x14ac:dyDescent="0.25">
      <c r="C15986" s="8" t="e">
        <f>VLOOKUP(A:A,'ITEM LIST'!A:C,3,0)</f>
        <v>#N/A</v>
      </c>
      <c r="D15986" s="6">
        <f t="shared" si="250"/>
        <v>0</v>
      </c>
    </row>
    <row r="15987" spans="3:4" ht="15" x14ac:dyDescent="0.25">
      <c r="C15987" s="8" t="e">
        <f>VLOOKUP(A:A,'ITEM LIST'!A:C,3,0)</f>
        <v>#N/A</v>
      </c>
      <c r="D15987" s="6">
        <f t="shared" si="250"/>
        <v>0</v>
      </c>
    </row>
    <row r="15988" spans="3:4" ht="15" x14ac:dyDescent="0.25">
      <c r="C15988" s="8" t="e">
        <f>VLOOKUP(A:A,'ITEM LIST'!A:C,3,0)</f>
        <v>#N/A</v>
      </c>
      <c r="D15988" s="6">
        <f t="shared" si="250"/>
        <v>0</v>
      </c>
    </row>
    <row r="15989" spans="3:4" ht="15" x14ac:dyDescent="0.25">
      <c r="C15989" s="8" t="e">
        <f>VLOOKUP(A:A,'ITEM LIST'!A:C,3,0)</f>
        <v>#N/A</v>
      </c>
      <c r="D15989" s="6">
        <f t="shared" si="250"/>
        <v>0</v>
      </c>
    </row>
    <row r="15990" spans="3:4" ht="15" x14ac:dyDescent="0.25">
      <c r="C15990" s="8" t="e">
        <f>VLOOKUP(A:A,'ITEM LIST'!A:C,3,0)</f>
        <v>#N/A</v>
      </c>
      <c r="D15990" s="6">
        <f t="shared" si="250"/>
        <v>0</v>
      </c>
    </row>
    <row r="15991" spans="3:4" ht="15" x14ac:dyDescent="0.25">
      <c r="C15991" s="8" t="e">
        <f>VLOOKUP(A:A,'ITEM LIST'!A:C,3,0)</f>
        <v>#N/A</v>
      </c>
      <c r="D15991" s="6">
        <f t="shared" si="250"/>
        <v>0</v>
      </c>
    </row>
    <row r="15992" spans="3:4" ht="15" x14ac:dyDescent="0.25">
      <c r="C15992" s="8" t="e">
        <f>VLOOKUP(A:A,'ITEM LIST'!A:C,3,0)</f>
        <v>#N/A</v>
      </c>
      <c r="D15992" s="6">
        <f t="shared" si="250"/>
        <v>0</v>
      </c>
    </row>
    <row r="15993" spans="3:4" ht="15" x14ac:dyDescent="0.25">
      <c r="C15993" s="8" t="e">
        <f>VLOOKUP(A:A,'ITEM LIST'!A:C,3,0)</f>
        <v>#N/A</v>
      </c>
      <c r="D15993" s="6">
        <f t="shared" si="250"/>
        <v>0</v>
      </c>
    </row>
    <row r="15994" spans="3:4" ht="15" x14ac:dyDescent="0.25">
      <c r="C15994" s="8" t="e">
        <f>VLOOKUP(A:A,'ITEM LIST'!A:C,3,0)</f>
        <v>#N/A</v>
      </c>
      <c r="D15994" s="6">
        <f t="shared" si="250"/>
        <v>0</v>
      </c>
    </row>
    <row r="15995" spans="3:4" ht="15" x14ac:dyDescent="0.25">
      <c r="C15995" s="8" t="e">
        <f>VLOOKUP(A:A,'ITEM LIST'!A:C,3,0)</f>
        <v>#N/A</v>
      </c>
      <c r="D15995" s="6">
        <f t="shared" si="250"/>
        <v>0</v>
      </c>
    </row>
    <row r="15996" spans="3:4" ht="15" x14ac:dyDescent="0.25">
      <c r="C15996" s="8" t="e">
        <f>VLOOKUP(A:A,'ITEM LIST'!A:C,3,0)</f>
        <v>#N/A</v>
      </c>
      <c r="D15996" s="6">
        <f t="shared" si="250"/>
        <v>0</v>
      </c>
    </row>
    <row r="15997" spans="3:4" ht="15" x14ac:dyDescent="0.25">
      <c r="C15997" s="8" t="e">
        <f>VLOOKUP(A:A,'ITEM LIST'!A:C,3,0)</f>
        <v>#N/A</v>
      </c>
      <c r="D15997" s="6">
        <f t="shared" si="250"/>
        <v>0</v>
      </c>
    </row>
    <row r="15998" spans="3:4" ht="15" x14ac:dyDescent="0.25">
      <c r="C15998" s="8" t="e">
        <f>VLOOKUP(A:A,'ITEM LIST'!A:C,3,0)</f>
        <v>#N/A</v>
      </c>
      <c r="D15998" s="6">
        <f t="shared" si="250"/>
        <v>0</v>
      </c>
    </row>
    <row r="15999" spans="3:4" ht="15" x14ac:dyDescent="0.25">
      <c r="C15999" s="8" t="e">
        <f>VLOOKUP(A:A,'ITEM LIST'!A:C,3,0)</f>
        <v>#N/A</v>
      </c>
      <c r="D15999" s="6">
        <f t="shared" si="250"/>
        <v>0</v>
      </c>
    </row>
    <row r="16000" spans="3:4" ht="15" x14ac:dyDescent="0.25">
      <c r="C16000" s="8" t="e">
        <f>VLOOKUP(A:A,'ITEM LIST'!A:C,3,0)</f>
        <v>#N/A</v>
      </c>
      <c r="D16000" s="6">
        <f t="shared" si="250"/>
        <v>0</v>
      </c>
    </row>
    <row r="16001" spans="3:4" ht="15" x14ac:dyDescent="0.25">
      <c r="C16001" s="8" t="e">
        <f>VLOOKUP(A:A,'ITEM LIST'!A:C,3,0)</f>
        <v>#N/A</v>
      </c>
      <c r="D16001" s="6">
        <f t="shared" si="250"/>
        <v>0</v>
      </c>
    </row>
    <row r="16002" spans="3:4" ht="15" x14ac:dyDescent="0.25">
      <c r="C16002" s="8" t="e">
        <f>VLOOKUP(A:A,'ITEM LIST'!A:C,3,0)</f>
        <v>#N/A</v>
      </c>
      <c r="D16002" s="6">
        <f t="shared" si="250"/>
        <v>0</v>
      </c>
    </row>
    <row r="16003" spans="3:4" ht="15" x14ac:dyDescent="0.25">
      <c r="C16003" s="8" t="e">
        <f>VLOOKUP(A:A,'ITEM LIST'!A:C,3,0)</f>
        <v>#N/A</v>
      </c>
      <c r="D16003" s="6">
        <f t="shared" si="250"/>
        <v>0</v>
      </c>
    </row>
    <row r="16004" spans="3:4" ht="15" x14ac:dyDescent="0.25">
      <c r="C16004" s="8" t="e">
        <f>VLOOKUP(A:A,'ITEM LIST'!A:C,3,0)</f>
        <v>#N/A</v>
      </c>
      <c r="D16004" s="6">
        <f t="shared" si="250"/>
        <v>0</v>
      </c>
    </row>
    <row r="16005" spans="3:4" ht="15" x14ac:dyDescent="0.25">
      <c r="C16005" s="8" t="e">
        <f>VLOOKUP(A:A,'ITEM LIST'!A:C,3,0)</f>
        <v>#N/A</v>
      </c>
      <c r="D16005" s="6">
        <f t="shared" si="250"/>
        <v>0</v>
      </c>
    </row>
    <row r="16006" spans="3:4" ht="15" x14ac:dyDescent="0.25">
      <c r="C16006" s="8" t="e">
        <f>VLOOKUP(A:A,'ITEM LIST'!A:C,3,0)</f>
        <v>#N/A</v>
      </c>
      <c r="D16006" s="6">
        <f t="shared" ref="D16006:D16069" si="251">B16006</f>
        <v>0</v>
      </c>
    </row>
    <row r="16007" spans="3:4" ht="15" x14ac:dyDescent="0.25">
      <c r="C16007" s="8" t="e">
        <f>VLOOKUP(A:A,'ITEM LIST'!A:C,3,0)</f>
        <v>#N/A</v>
      </c>
      <c r="D16007" s="6">
        <f t="shared" si="251"/>
        <v>0</v>
      </c>
    </row>
    <row r="16008" spans="3:4" ht="15" x14ac:dyDescent="0.25">
      <c r="C16008" s="8" t="e">
        <f>VLOOKUP(A:A,'ITEM LIST'!A:C,3,0)</f>
        <v>#N/A</v>
      </c>
      <c r="D16008" s="6">
        <f t="shared" si="251"/>
        <v>0</v>
      </c>
    </row>
    <row r="16009" spans="3:4" ht="15" x14ac:dyDescent="0.25">
      <c r="C16009" s="8" t="e">
        <f>VLOOKUP(A:A,'ITEM LIST'!A:C,3,0)</f>
        <v>#N/A</v>
      </c>
      <c r="D16009" s="6">
        <f t="shared" si="251"/>
        <v>0</v>
      </c>
    </row>
    <row r="16010" spans="3:4" ht="15" x14ac:dyDescent="0.25">
      <c r="C16010" s="8" t="e">
        <f>VLOOKUP(A:A,'ITEM LIST'!A:C,3,0)</f>
        <v>#N/A</v>
      </c>
      <c r="D16010" s="6">
        <f t="shared" si="251"/>
        <v>0</v>
      </c>
    </row>
    <row r="16011" spans="3:4" ht="15" x14ac:dyDescent="0.25">
      <c r="C16011" s="8" t="e">
        <f>VLOOKUP(A:A,'ITEM LIST'!A:C,3,0)</f>
        <v>#N/A</v>
      </c>
      <c r="D16011" s="6">
        <f t="shared" si="251"/>
        <v>0</v>
      </c>
    </row>
    <row r="16012" spans="3:4" ht="15" x14ac:dyDescent="0.25">
      <c r="C16012" s="8" t="e">
        <f>VLOOKUP(A:A,'ITEM LIST'!A:C,3,0)</f>
        <v>#N/A</v>
      </c>
      <c r="D16012" s="6">
        <f t="shared" si="251"/>
        <v>0</v>
      </c>
    </row>
    <row r="16013" spans="3:4" ht="15" x14ac:dyDescent="0.25">
      <c r="C16013" s="8" t="e">
        <f>VLOOKUP(A:A,'ITEM LIST'!A:C,3,0)</f>
        <v>#N/A</v>
      </c>
      <c r="D16013" s="6">
        <f t="shared" si="251"/>
        <v>0</v>
      </c>
    </row>
    <row r="16014" spans="3:4" ht="15" x14ac:dyDescent="0.25">
      <c r="C16014" s="8" t="e">
        <f>VLOOKUP(A:A,'ITEM LIST'!A:C,3,0)</f>
        <v>#N/A</v>
      </c>
      <c r="D16014" s="6">
        <f t="shared" si="251"/>
        <v>0</v>
      </c>
    </row>
    <row r="16015" spans="3:4" ht="15" x14ac:dyDescent="0.25">
      <c r="C16015" s="8" t="e">
        <f>VLOOKUP(A:A,'ITEM LIST'!A:C,3,0)</f>
        <v>#N/A</v>
      </c>
      <c r="D16015" s="6">
        <f t="shared" si="251"/>
        <v>0</v>
      </c>
    </row>
    <row r="16016" spans="3:4" ht="15" x14ac:dyDescent="0.25">
      <c r="C16016" s="8" t="e">
        <f>VLOOKUP(A:A,'ITEM LIST'!A:C,3,0)</f>
        <v>#N/A</v>
      </c>
      <c r="D16016" s="6">
        <f t="shared" si="251"/>
        <v>0</v>
      </c>
    </row>
    <row r="16017" spans="3:4" ht="15" x14ac:dyDescent="0.25">
      <c r="C16017" s="8" t="e">
        <f>VLOOKUP(A:A,'ITEM LIST'!A:C,3,0)</f>
        <v>#N/A</v>
      </c>
      <c r="D16017" s="6">
        <f t="shared" si="251"/>
        <v>0</v>
      </c>
    </row>
    <row r="16018" spans="3:4" ht="15" x14ac:dyDescent="0.25">
      <c r="C16018" s="8" t="e">
        <f>VLOOKUP(A:A,'ITEM LIST'!A:C,3,0)</f>
        <v>#N/A</v>
      </c>
      <c r="D16018" s="6">
        <f t="shared" si="251"/>
        <v>0</v>
      </c>
    </row>
    <row r="16019" spans="3:4" ht="15" x14ac:dyDescent="0.25">
      <c r="C16019" s="8" t="e">
        <f>VLOOKUP(A:A,'ITEM LIST'!A:C,3,0)</f>
        <v>#N/A</v>
      </c>
      <c r="D16019" s="6">
        <f t="shared" si="251"/>
        <v>0</v>
      </c>
    </row>
    <row r="16020" spans="3:4" ht="15" x14ac:dyDescent="0.25">
      <c r="C16020" s="8" t="e">
        <f>VLOOKUP(A:A,'ITEM LIST'!A:C,3,0)</f>
        <v>#N/A</v>
      </c>
      <c r="D16020" s="6">
        <f t="shared" si="251"/>
        <v>0</v>
      </c>
    </row>
    <row r="16021" spans="3:4" ht="15" x14ac:dyDescent="0.25">
      <c r="C16021" s="8" t="e">
        <f>VLOOKUP(A:A,'ITEM LIST'!A:C,3,0)</f>
        <v>#N/A</v>
      </c>
      <c r="D16021" s="6">
        <f t="shared" si="251"/>
        <v>0</v>
      </c>
    </row>
    <row r="16022" spans="3:4" ht="15" x14ac:dyDescent="0.25">
      <c r="C16022" s="8" t="e">
        <f>VLOOKUP(A:A,'ITEM LIST'!A:C,3,0)</f>
        <v>#N/A</v>
      </c>
      <c r="D16022" s="6">
        <f t="shared" si="251"/>
        <v>0</v>
      </c>
    </row>
    <row r="16023" spans="3:4" ht="15" x14ac:dyDescent="0.25">
      <c r="C16023" s="8" t="e">
        <f>VLOOKUP(A:A,'ITEM LIST'!A:C,3,0)</f>
        <v>#N/A</v>
      </c>
      <c r="D16023" s="6">
        <f t="shared" si="251"/>
        <v>0</v>
      </c>
    </row>
    <row r="16024" spans="3:4" ht="15" x14ac:dyDescent="0.25">
      <c r="C16024" s="8" t="e">
        <f>VLOOKUP(A:A,'ITEM LIST'!A:C,3,0)</f>
        <v>#N/A</v>
      </c>
      <c r="D16024" s="6">
        <f t="shared" si="251"/>
        <v>0</v>
      </c>
    </row>
    <row r="16025" spans="3:4" ht="15" x14ac:dyDescent="0.25">
      <c r="C16025" s="8" t="e">
        <f>VLOOKUP(A:A,'ITEM LIST'!A:C,3,0)</f>
        <v>#N/A</v>
      </c>
      <c r="D16025" s="6">
        <f t="shared" si="251"/>
        <v>0</v>
      </c>
    </row>
    <row r="16026" spans="3:4" ht="15" x14ac:dyDescent="0.25">
      <c r="C16026" s="8" t="e">
        <f>VLOOKUP(A:A,'ITEM LIST'!A:C,3,0)</f>
        <v>#N/A</v>
      </c>
      <c r="D16026" s="6">
        <f t="shared" si="251"/>
        <v>0</v>
      </c>
    </row>
    <row r="16027" spans="3:4" ht="15" x14ac:dyDescent="0.25">
      <c r="C16027" s="8" t="e">
        <f>VLOOKUP(A:A,'ITEM LIST'!A:C,3,0)</f>
        <v>#N/A</v>
      </c>
      <c r="D16027" s="6">
        <f t="shared" si="251"/>
        <v>0</v>
      </c>
    </row>
    <row r="16028" spans="3:4" ht="15" x14ac:dyDescent="0.25">
      <c r="C16028" s="8" t="e">
        <f>VLOOKUP(A:A,'ITEM LIST'!A:C,3,0)</f>
        <v>#N/A</v>
      </c>
      <c r="D16028" s="6">
        <f t="shared" si="251"/>
        <v>0</v>
      </c>
    </row>
    <row r="16029" spans="3:4" ht="15" x14ac:dyDescent="0.25">
      <c r="C16029" s="8" t="e">
        <f>VLOOKUP(A:A,'ITEM LIST'!A:C,3,0)</f>
        <v>#N/A</v>
      </c>
      <c r="D16029" s="6">
        <f t="shared" si="251"/>
        <v>0</v>
      </c>
    </row>
    <row r="16030" spans="3:4" ht="15" x14ac:dyDescent="0.25">
      <c r="C16030" s="8" t="e">
        <f>VLOOKUP(A:A,'ITEM LIST'!A:C,3,0)</f>
        <v>#N/A</v>
      </c>
      <c r="D16030" s="6">
        <f t="shared" si="251"/>
        <v>0</v>
      </c>
    </row>
    <row r="16031" spans="3:4" ht="15" x14ac:dyDescent="0.25">
      <c r="C16031" s="8" t="e">
        <f>VLOOKUP(A:A,'ITEM LIST'!A:C,3,0)</f>
        <v>#N/A</v>
      </c>
      <c r="D16031" s="6">
        <f t="shared" si="251"/>
        <v>0</v>
      </c>
    </row>
    <row r="16032" spans="3:4" ht="15" x14ac:dyDescent="0.25">
      <c r="C16032" s="8" t="e">
        <f>VLOOKUP(A:A,'ITEM LIST'!A:C,3,0)</f>
        <v>#N/A</v>
      </c>
      <c r="D16032" s="6">
        <f t="shared" si="251"/>
        <v>0</v>
      </c>
    </row>
    <row r="16033" spans="3:4" ht="15" x14ac:dyDescent="0.25">
      <c r="C16033" s="8" t="e">
        <f>VLOOKUP(A:A,'ITEM LIST'!A:C,3,0)</f>
        <v>#N/A</v>
      </c>
      <c r="D16033" s="6">
        <f t="shared" si="251"/>
        <v>0</v>
      </c>
    </row>
    <row r="16034" spans="3:4" ht="15" x14ac:dyDescent="0.25">
      <c r="C16034" s="8" t="e">
        <f>VLOOKUP(A:A,'ITEM LIST'!A:C,3,0)</f>
        <v>#N/A</v>
      </c>
      <c r="D16034" s="6">
        <f t="shared" si="251"/>
        <v>0</v>
      </c>
    </row>
    <row r="16035" spans="3:4" ht="15" x14ac:dyDescent="0.25">
      <c r="C16035" s="8" t="e">
        <f>VLOOKUP(A:A,'ITEM LIST'!A:C,3,0)</f>
        <v>#N/A</v>
      </c>
      <c r="D16035" s="6">
        <f t="shared" si="251"/>
        <v>0</v>
      </c>
    </row>
    <row r="16036" spans="3:4" ht="15" x14ac:dyDescent="0.25">
      <c r="C16036" s="8" t="e">
        <f>VLOOKUP(A:A,'ITEM LIST'!A:C,3,0)</f>
        <v>#N/A</v>
      </c>
      <c r="D16036" s="6">
        <f t="shared" si="251"/>
        <v>0</v>
      </c>
    </row>
    <row r="16037" spans="3:4" ht="15" x14ac:dyDescent="0.25">
      <c r="C16037" s="8" t="e">
        <f>VLOOKUP(A:A,'ITEM LIST'!A:C,3,0)</f>
        <v>#N/A</v>
      </c>
      <c r="D16037" s="6">
        <f t="shared" si="251"/>
        <v>0</v>
      </c>
    </row>
    <row r="16038" spans="3:4" ht="15" x14ac:dyDescent="0.25">
      <c r="C16038" s="8" t="e">
        <f>VLOOKUP(A:A,'ITEM LIST'!A:C,3,0)</f>
        <v>#N/A</v>
      </c>
      <c r="D16038" s="6">
        <f t="shared" si="251"/>
        <v>0</v>
      </c>
    </row>
    <row r="16039" spans="3:4" ht="15" x14ac:dyDescent="0.25">
      <c r="C16039" s="8" t="e">
        <f>VLOOKUP(A:A,'ITEM LIST'!A:C,3,0)</f>
        <v>#N/A</v>
      </c>
      <c r="D16039" s="6">
        <f t="shared" si="251"/>
        <v>0</v>
      </c>
    </row>
    <row r="16040" spans="3:4" ht="15" x14ac:dyDescent="0.25">
      <c r="C16040" s="8" t="e">
        <f>VLOOKUP(A:A,'ITEM LIST'!A:C,3,0)</f>
        <v>#N/A</v>
      </c>
      <c r="D16040" s="6">
        <f t="shared" si="251"/>
        <v>0</v>
      </c>
    </row>
    <row r="16041" spans="3:4" ht="15" x14ac:dyDescent="0.25">
      <c r="C16041" s="8" t="e">
        <f>VLOOKUP(A:A,'ITEM LIST'!A:C,3,0)</f>
        <v>#N/A</v>
      </c>
      <c r="D16041" s="6">
        <f t="shared" si="251"/>
        <v>0</v>
      </c>
    </row>
    <row r="16042" spans="3:4" ht="15" x14ac:dyDescent="0.25">
      <c r="C16042" s="8" t="e">
        <f>VLOOKUP(A:A,'ITEM LIST'!A:C,3,0)</f>
        <v>#N/A</v>
      </c>
      <c r="D16042" s="6">
        <f t="shared" si="251"/>
        <v>0</v>
      </c>
    </row>
    <row r="16043" spans="3:4" ht="15" x14ac:dyDescent="0.25">
      <c r="C16043" s="8" t="e">
        <f>VLOOKUP(A:A,'ITEM LIST'!A:C,3,0)</f>
        <v>#N/A</v>
      </c>
      <c r="D16043" s="6">
        <f t="shared" si="251"/>
        <v>0</v>
      </c>
    </row>
    <row r="16044" spans="3:4" ht="15" x14ac:dyDescent="0.25">
      <c r="C16044" s="8" t="e">
        <f>VLOOKUP(A:A,'ITEM LIST'!A:C,3,0)</f>
        <v>#N/A</v>
      </c>
      <c r="D16044" s="6">
        <f t="shared" si="251"/>
        <v>0</v>
      </c>
    </row>
    <row r="16045" spans="3:4" ht="15" x14ac:dyDescent="0.25">
      <c r="C16045" s="8" t="e">
        <f>VLOOKUP(A:A,'ITEM LIST'!A:C,3,0)</f>
        <v>#N/A</v>
      </c>
      <c r="D16045" s="6">
        <f t="shared" si="251"/>
        <v>0</v>
      </c>
    </row>
    <row r="16046" spans="3:4" ht="15" x14ac:dyDescent="0.25">
      <c r="C16046" s="8" t="e">
        <f>VLOOKUP(A:A,'ITEM LIST'!A:C,3,0)</f>
        <v>#N/A</v>
      </c>
      <c r="D16046" s="6">
        <f t="shared" si="251"/>
        <v>0</v>
      </c>
    </row>
    <row r="16047" spans="3:4" ht="15" x14ac:dyDescent="0.25">
      <c r="C16047" s="8" t="e">
        <f>VLOOKUP(A:A,'ITEM LIST'!A:C,3,0)</f>
        <v>#N/A</v>
      </c>
      <c r="D16047" s="6">
        <f t="shared" si="251"/>
        <v>0</v>
      </c>
    </row>
    <row r="16048" spans="3:4" ht="15" x14ac:dyDescent="0.25">
      <c r="C16048" s="8" t="e">
        <f>VLOOKUP(A:A,'ITEM LIST'!A:C,3,0)</f>
        <v>#N/A</v>
      </c>
      <c r="D16048" s="6">
        <f t="shared" si="251"/>
        <v>0</v>
      </c>
    </row>
    <row r="16049" spans="3:4" ht="15" x14ac:dyDescent="0.25">
      <c r="C16049" s="8" t="e">
        <f>VLOOKUP(A:A,'ITEM LIST'!A:C,3,0)</f>
        <v>#N/A</v>
      </c>
      <c r="D16049" s="6">
        <f t="shared" si="251"/>
        <v>0</v>
      </c>
    </row>
    <row r="16050" spans="3:4" ht="15" x14ac:dyDescent="0.25">
      <c r="C16050" s="8" t="e">
        <f>VLOOKUP(A:A,'ITEM LIST'!A:C,3,0)</f>
        <v>#N/A</v>
      </c>
      <c r="D16050" s="6">
        <f t="shared" si="251"/>
        <v>0</v>
      </c>
    </row>
    <row r="16051" spans="3:4" ht="15" x14ac:dyDescent="0.25">
      <c r="C16051" s="8" t="e">
        <f>VLOOKUP(A:A,'ITEM LIST'!A:C,3,0)</f>
        <v>#N/A</v>
      </c>
      <c r="D16051" s="6">
        <f t="shared" si="251"/>
        <v>0</v>
      </c>
    </row>
    <row r="16052" spans="3:4" ht="15" x14ac:dyDescent="0.25">
      <c r="C16052" s="8" t="e">
        <f>VLOOKUP(A:A,'ITEM LIST'!A:C,3,0)</f>
        <v>#N/A</v>
      </c>
      <c r="D16052" s="6">
        <f t="shared" si="251"/>
        <v>0</v>
      </c>
    </row>
    <row r="16053" spans="3:4" ht="15" x14ac:dyDescent="0.25">
      <c r="C16053" s="8" t="e">
        <f>VLOOKUP(A:A,'ITEM LIST'!A:C,3,0)</f>
        <v>#N/A</v>
      </c>
      <c r="D16053" s="6">
        <f t="shared" si="251"/>
        <v>0</v>
      </c>
    </row>
    <row r="16054" spans="3:4" ht="15" x14ac:dyDescent="0.25">
      <c r="C16054" s="8" t="e">
        <f>VLOOKUP(A:A,'ITEM LIST'!A:C,3,0)</f>
        <v>#N/A</v>
      </c>
      <c r="D16054" s="6">
        <f t="shared" si="251"/>
        <v>0</v>
      </c>
    </row>
    <row r="16055" spans="3:4" ht="15" x14ac:dyDescent="0.25">
      <c r="C16055" s="8" t="e">
        <f>VLOOKUP(A:A,'ITEM LIST'!A:C,3,0)</f>
        <v>#N/A</v>
      </c>
      <c r="D16055" s="6">
        <f t="shared" si="251"/>
        <v>0</v>
      </c>
    </row>
    <row r="16056" spans="3:4" ht="15" x14ac:dyDescent="0.25">
      <c r="C16056" s="8" t="e">
        <f>VLOOKUP(A:A,'ITEM LIST'!A:C,3,0)</f>
        <v>#N/A</v>
      </c>
      <c r="D16056" s="6">
        <f t="shared" si="251"/>
        <v>0</v>
      </c>
    </row>
    <row r="16057" spans="3:4" ht="15" x14ac:dyDescent="0.25">
      <c r="C16057" s="8" t="e">
        <f>VLOOKUP(A:A,'ITEM LIST'!A:C,3,0)</f>
        <v>#N/A</v>
      </c>
      <c r="D16057" s="6">
        <f t="shared" si="251"/>
        <v>0</v>
      </c>
    </row>
    <row r="16058" spans="3:4" ht="15" x14ac:dyDescent="0.25">
      <c r="C16058" s="8" t="e">
        <f>VLOOKUP(A:A,'ITEM LIST'!A:C,3,0)</f>
        <v>#N/A</v>
      </c>
      <c r="D16058" s="6">
        <f t="shared" si="251"/>
        <v>0</v>
      </c>
    </row>
    <row r="16059" spans="3:4" ht="15" x14ac:dyDescent="0.25">
      <c r="C16059" s="8" t="e">
        <f>VLOOKUP(A:A,'ITEM LIST'!A:C,3,0)</f>
        <v>#N/A</v>
      </c>
      <c r="D16059" s="6">
        <f t="shared" si="251"/>
        <v>0</v>
      </c>
    </row>
    <row r="16060" spans="3:4" ht="15" x14ac:dyDescent="0.25">
      <c r="C16060" s="8" t="e">
        <f>VLOOKUP(A:A,'ITEM LIST'!A:C,3,0)</f>
        <v>#N/A</v>
      </c>
      <c r="D16060" s="6">
        <f t="shared" si="251"/>
        <v>0</v>
      </c>
    </row>
    <row r="16061" spans="3:4" ht="15" x14ac:dyDescent="0.25">
      <c r="C16061" s="8" t="e">
        <f>VLOOKUP(A:A,'ITEM LIST'!A:C,3,0)</f>
        <v>#N/A</v>
      </c>
      <c r="D16061" s="6">
        <f t="shared" si="251"/>
        <v>0</v>
      </c>
    </row>
    <row r="16062" spans="3:4" ht="15" x14ac:dyDescent="0.25">
      <c r="C16062" s="8" t="e">
        <f>VLOOKUP(A:A,'ITEM LIST'!A:C,3,0)</f>
        <v>#N/A</v>
      </c>
      <c r="D16062" s="6">
        <f t="shared" si="251"/>
        <v>0</v>
      </c>
    </row>
    <row r="16063" spans="3:4" ht="15" x14ac:dyDescent="0.25">
      <c r="C16063" s="8" t="e">
        <f>VLOOKUP(A:A,'ITEM LIST'!A:C,3,0)</f>
        <v>#N/A</v>
      </c>
      <c r="D16063" s="6">
        <f t="shared" si="251"/>
        <v>0</v>
      </c>
    </row>
    <row r="16064" spans="3:4" ht="15" x14ac:dyDescent="0.25">
      <c r="C16064" s="8" t="e">
        <f>VLOOKUP(A:A,'ITEM LIST'!A:C,3,0)</f>
        <v>#N/A</v>
      </c>
      <c r="D16064" s="6">
        <f t="shared" si="251"/>
        <v>0</v>
      </c>
    </row>
    <row r="16065" spans="3:4" ht="15" x14ac:dyDescent="0.25">
      <c r="C16065" s="8" t="e">
        <f>VLOOKUP(A:A,'ITEM LIST'!A:C,3,0)</f>
        <v>#N/A</v>
      </c>
      <c r="D16065" s="6">
        <f t="shared" si="251"/>
        <v>0</v>
      </c>
    </row>
    <row r="16066" spans="3:4" ht="15" x14ac:dyDescent="0.25">
      <c r="C16066" s="8" t="e">
        <f>VLOOKUP(A:A,'ITEM LIST'!A:C,3,0)</f>
        <v>#N/A</v>
      </c>
      <c r="D16066" s="6">
        <f t="shared" si="251"/>
        <v>0</v>
      </c>
    </row>
    <row r="16067" spans="3:4" ht="15" x14ac:dyDescent="0.25">
      <c r="C16067" s="8" t="e">
        <f>VLOOKUP(A:A,'ITEM LIST'!A:C,3,0)</f>
        <v>#N/A</v>
      </c>
      <c r="D16067" s="6">
        <f t="shared" si="251"/>
        <v>0</v>
      </c>
    </row>
    <row r="16068" spans="3:4" ht="15" x14ac:dyDescent="0.25">
      <c r="C16068" s="8" t="e">
        <f>VLOOKUP(A:A,'ITEM LIST'!A:C,3,0)</f>
        <v>#N/A</v>
      </c>
      <c r="D16068" s="6">
        <f t="shared" si="251"/>
        <v>0</v>
      </c>
    </row>
    <row r="16069" spans="3:4" ht="15" x14ac:dyDescent="0.25">
      <c r="C16069" s="8" t="e">
        <f>VLOOKUP(A:A,'ITEM LIST'!A:C,3,0)</f>
        <v>#N/A</v>
      </c>
      <c r="D16069" s="6">
        <f t="shared" si="251"/>
        <v>0</v>
      </c>
    </row>
    <row r="16070" spans="3:4" ht="15" x14ac:dyDescent="0.25">
      <c r="C16070" s="8" t="e">
        <f>VLOOKUP(A:A,'ITEM LIST'!A:C,3,0)</f>
        <v>#N/A</v>
      </c>
      <c r="D16070" s="6">
        <f t="shared" ref="D16070:D16133" si="252">B16070</f>
        <v>0</v>
      </c>
    </row>
    <row r="16071" spans="3:4" ht="15" x14ac:dyDescent="0.25">
      <c r="C16071" s="8" t="e">
        <f>VLOOKUP(A:A,'ITEM LIST'!A:C,3,0)</f>
        <v>#N/A</v>
      </c>
      <c r="D16071" s="6">
        <f t="shared" si="252"/>
        <v>0</v>
      </c>
    </row>
    <row r="16072" spans="3:4" ht="15" x14ac:dyDescent="0.25">
      <c r="C16072" s="8" t="e">
        <f>VLOOKUP(A:A,'ITEM LIST'!A:C,3,0)</f>
        <v>#N/A</v>
      </c>
      <c r="D16072" s="6">
        <f t="shared" si="252"/>
        <v>0</v>
      </c>
    </row>
    <row r="16073" spans="3:4" ht="15" x14ac:dyDescent="0.25">
      <c r="C16073" s="8" t="e">
        <f>VLOOKUP(A:A,'ITEM LIST'!A:C,3,0)</f>
        <v>#N/A</v>
      </c>
      <c r="D16073" s="6">
        <f t="shared" si="252"/>
        <v>0</v>
      </c>
    </row>
    <row r="16074" spans="3:4" ht="15" x14ac:dyDescent="0.25">
      <c r="C16074" s="8" t="e">
        <f>VLOOKUP(A:A,'ITEM LIST'!A:C,3,0)</f>
        <v>#N/A</v>
      </c>
      <c r="D16074" s="6">
        <f t="shared" si="252"/>
        <v>0</v>
      </c>
    </row>
    <row r="16075" spans="3:4" ht="15" x14ac:dyDescent="0.25">
      <c r="C16075" s="8" t="e">
        <f>VLOOKUP(A:A,'ITEM LIST'!A:C,3,0)</f>
        <v>#N/A</v>
      </c>
      <c r="D16075" s="6">
        <f t="shared" si="252"/>
        <v>0</v>
      </c>
    </row>
    <row r="16076" spans="3:4" ht="15" x14ac:dyDescent="0.25">
      <c r="C16076" s="8" t="e">
        <f>VLOOKUP(A:A,'ITEM LIST'!A:C,3,0)</f>
        <v>#N/A</v>
      </c>
      <c r="D16076" s="6">
        <f t="shared" si="252"/>
        <v>0</v>
      </c>
    </row>
    <row r="16077" spans="3:4" ht="15" x14ac:dyDescent="0.25">
      <c r="C16077" s="8" t="e">
        <f>VLOOKUP(A:A,'ITEM LIST'!A:C,3,0)</f>
        <v>#N/A</v>
      </c>
      <c r="D16077" s="6">
        <f t="shared" si="252"/>
        <v>0</v>
      </c>
    </row>
    <row r="16078" spans="3:4" ht="15" x14ac:dyDescent="0.25">
      <c r="C16078" s="8" t="e">
        <f>VLOOKUP(A:A,'ITEM LIST'!A:C,3,0)</f>
        <v>#N/A</v>
      </c>
      <c r="D16078" s="6">
        <f t="shared" si="252"/>
        <v>0</v>
      </c>
    </row>
    <row r="16079" spans="3:4" ht="15" x14ac:dyDescent="0.25">
      <c r="C16079" s="8" t="e">
        <f>VLOOKUP(A:A,'ITEM LIST'!A:C,3,0)</f>
        <v>#N/A</v>
      </c>
      <c r="D16079" s="6">
        <f t="shared" si="252"/>
        <v>0</v>
      </c>
    </row>
    <row r="16080" spans="3:4" ht="15" x14ac:dyDescent="0.25">
      <c r="C16080" s="8" t="e">
        <f>VLOOKUP(A:A,'ITEM LIST'!A:C,3,0)</f>
        <v>#N/A</v>
      </c>
      <c r="D16080" s="6">
        <f t="shared" si="252"/>
        <v>0</v>
      </c>
    </row>
    <row r="16081" spans="3:4" ht="15" x14ac:dyDescent="0.25">
      <c r="C16081" s="8" t="e">
        <f>VLOOKUP(A:A,'ITEM LIST'!A:C,3,0)</f>
        <v>#N/A</v>
      </c>
      <c r="D16081" s="6">
        <f t="shared" si="252"/>
        <v>0</v>
      </c>
    </row>
    <row r="16082" spans="3:4" ht="15" x14ac:dyDescent="0.25">
      <c r="C16082" s="8" t="e">
        <f>VLOOKUP(A:A,'ITEM LIST'!A:C,3,0)</f>
        <v>#N/A</v>
      </c>
      <c r="D16082" s="6">
        <f t="shared" si="252"/>
        <v>0</v>
      </c>
    </row>
    <row r="16083" spans="3:4" ht="15" x14ac:dyDescent="0.25">
      <c r="C16083" s="8" t="e">
        <f>VLOOKUP(A:A,'ITEM LIST'!A:C,3,0)</f>
        <v>#N/A</v>
      </c>
      <c r="D16083" s="6">
        <f t="shared" si="252"/>
        <v>0</v>
      </c>
    </row>
    <row r="16084" spans="3:4" ht="15" x14ac:dyDescent="0.25">
      <c r="C16084" s="8" t="e">
        <f>VLOOKUP(A:A,'ITEM LIST'!A:C,3,0)</f>
        <v>#N/A</v>
      </c>
      <c r="D16084" s="6">
        <f t="shared" si="252"/>
        <v>0</v>
      </c>
    </row>
    <row r="16085" spans="3:4" ht="15" x14ac:dyDescent="0.25">
      <c r="C16085" s="8" t="e">
        <f>VLOOKUP(A:A,'ITEM LIST'!A:C,3,0)</f>
        <v>#N/A</v>
      </c>
      <c r="D16085" s="6">
        <f t="shared" si="252"/>
        <v>0</v>
      </c>
    </row>
    <row r="16086" spans="3:4" ht="15" x14ac:dyDescent="0.25">
      <c r="C16086" s="8" t="e">
        <f>VLOOKUP(A:A,'ITEM LIST'!A:C,3,0)</f>
        <v>#N/A</v>
      </c>
      <c r="D16086" s="6">
        <f t="shared" si="252"/>
        <v>0</v>
      </c>
    </row>
    <row r="16087" spans="3:4" ht="15" x14ac:dyDescent="0.25">
      <c r="C16087" s="8" t="e">
        <f>VLOOKUP(A:A,'ITEM LIST'!A:C,3,0)</f>
        <v>#N/A</v>
      </c>
      <c r="D16087" s="6">
        <f t="shared" si="252"/>
        <v>0</v>
      </c>
    </row>
    <row r="16088" spans="3:4" ht="15" x14ac:dyDescent="0.25">
      <c r="C16088" s="8" t="e">
        <f>VLOOKUP(A:A,'ITEM LIST'!A:C,3,0)</f>
        <v>#N/A</v>
      </c>
      <c r="D16088" s="6">
        <f t="shared" si="252"/>
        <v>0</v>
      </c>
    </row>
    <row r="16089" spans="3:4" ht="15" x14ac:dyDescent="0.25">
      <c r="C16089" s="8" t="e">
        <f>VLOOKUP(A:A,'ITEM LIST'!A:C,3,0)</f>
        <v>#N/A</v>
      </c>
      <c r="D16089" s="6">
        <f t="shared" si="252"/>
        <v>0</v>
      </c>
    </row>
    <row r="16090" spans="3:4" ht="15" x14ac:dyDescent="0.25">
      <c r="C16090" s="8" t="e">
        <f>VLOOKUP(A:A,'ITEM LIST'!A:C,3,0)</f>
        <v>#N/A</v>
      </c>
      <c r="D16090" s="6">
        <f t="shared" si="252"/>
        <v>0</v>
      </c>
    </row>
    <row r="16091" spans="3:4" ht="15" x14ac:dyDescent="0.25">
      <c r="C16091" s="8" t="e">
        <f>VLOOKUP(A:A,'ITEM LIST'!A:C,3,0)</f>
        <v>#N/A</v>
      </c>
      <c r="D16091" s="6">
        <f t="shared" si="252"/>
        <v>0</v>
      </c>
    </row>
    <row r="16092" spans="3:4" ht="15" x14ac:dyDescent="0.25">
      <c r="C16092" s="8" t="e">
        <f>VLOOKUP(A:A,'ITEM LIST'!A:C,3,0)</f>
        <v>#N/A</v>
      </c>
      <c r="D16092" s="6">
        <f t="shared" si="252"/>
        <v>0</v>
      </c>
    </row>
    <row r="16093" spans="3:4" ht="15" x14ac:dyDescent="0.25">
      <c r="C16093" s="8" t="e">
        <f>VLOOKUP(A:A,'ITEM LIST'!A:C,3,0)</f>
        <v>#N/A</v>
      </c>
      <c r="D16093" s="6">
        <f t="shared" si="252"/>
        <v>0</v>
      </c>
    </row>
    <row r="16094" spans="3:4" ht="15" x14ac:dyDescent="0.25">
      <c r="C16094" s="8" t="e">
        <f>VLOOKUP(A:A,'ITEM LIST'!A:C,3,0)</f>
        <v>#N/A</v>
      </c>
      <c r="D16094" s="6">
        <f t="shared" si="252"/>
        <v>0</v>
      </c>
    </row>
    <row r="16095" spans="3:4" ht="15" x14ac:dyDescent="0.25">
      <c r="C16095" s="8" t="e">
        <f>VLOOKUP(A:A,'ITEM LIST'!A:C,3,0)</f>
        <v>#N/A</v>
      </c>
      <c r="D16095" s="6">
        <f t="shared" si="252"/>
        <v>0</v>
      </c>
    </row>
    <row r="16096" spans="3:4" ht="15" x14ac:dyDescent="0.25">
      <c r="C16096" s="8" t="e">
        <f>VLOOKUP(A:A,'ITEM LIST'!A:C,3,0)</f>
        <v>#N/A</v>
      </c>
      <c r="D16096" s="6">
        <f t="shared" si="252"/>
        <v>0</v>
      </c>
    </row>
    <row r="16097" spans="3:4" ht="15" x14ac:dyDescent="0.25">
      <c r="C16097" s="8" t="e">
        <f>VLOOKUP(A:A,'ITEM LIST'!A:C,3,0)</f>
        <v>#N/A</v>
      </c>
      <c r="D16097" s="6">
        <f t="shared" si="252"/>
        <v>0</v>
      </c>
    </row>
    <row r="16098" spans="3:4" ht="15" x14ac:dyDescent="0.25">
      <c r="C16098" s="8" t="e">
        <f>VLOOKUP(A:A,'ITEM LIST'!A:C,3,0)</f>
        <v>#N/A</v>
      </c>
      <c r="D16098" s="6">
        <f t="shared" si="252"/>
        <v>0</v>
      </c>
    </row>
    <row r="16099" spans="3:4" ht="15" x14ac:dyDescent="0.25">
      <c r="C16099" s="8" t="e">
        <f>VLOOKUP(A:A,'ITEM LIST'!A:C,3,0)</f>
        <v>#N/A</v>
      </c>
      <c r="D16099" s="6">
        <f t="shared" si="252"/>
        <v>0</v>
      </c>
    </row>
    <row r="16100" spans="3:4" ht="15" x14ac:dyDescent="0.25">
      <c r="C16100" s="8" t="e">
        <f>VLOOKUP(A:A,'ITEM LIST'!A:C,3,0)</f>
        <v>#N/A</v>
      </c>
      <c r="D16100" s="6">
        <f t="shared" si="252"/>
        <v>0</v>
      </c>
    </row>
    <row r="16101" spans="3:4" ht="15" x14ac:dyDescent="0.25">
      <c r="C16101" s="8" t="e">
        <f>VLOOKUP(A:A,'ITEM LIST'!A:C,3,0)</f>
        <v>#N/A</v>
      </c>
      <c r="D16101" s="6">
        <f t="shared" si="252"/>
        <v>0</v>
      </c>
    </row>
    <row r="16102" spans="3:4" ht="15" x14ac:dyDescent="0.25">
      <c r="C16102" s="8" t="e">
        <f>VLOOKUP(A:A,'ITEM LIST'!A:C,3,0)</f>
        <v>#N/A</v>
      </c>
      <c r="D16102" s="6">
        <f t="shared" si="252"/>
        <v>0</v>
      </c>
    </row>
    <row r="16103" spans="3:4" ht="15" x14ac:dyDescent="0.25">
      <c r="C16103" s="8" t="e">
        <f>VLOOKUP(A:A,'ITEM LIST'!A:C,3,0)</f>
        <v>#N/A</v>
      </c>
      <c r="D16103" s="6">
        <f t="shared" si="252"/>
        <v>0</v>
      </c>
    </row>
    <row r="16104" spans="3:4" ht="15" x14ac:dyDescent="0.25">
      <c r="C16104" s="8" t="e">
        <f>VLOOKUP(A:A,'ITEM LIST'!A:C,3,0)</f>
        <v>#N/A</v>
      </c>
      <c r="D16104" s="6">
        <f t="shared" si="252"/>
        <v>0</v>
      </c>
    </row>
    <row r="16105" spans="3:4" ht="15" x14ac:dyDescent="0.25">
      <c r="C16105" s="8" t="e">
        <f>VLOOKUP(A:A,'ITEM LIST'!A:C,3,0)</f>
        <v>#N/A</v>
      </c>
      <c r="D16105" s="6">
        <f t="shared" si="252"/>
        <v>0</v>
      </c>
    </row>
    <row r="16106" spans="3:4" ht="15" x14ac:dyDescent="0.25">
      <c r="C16106" s="8" t="e">
        <f>VLOOKUP(A:A,'ITEM LIST'!A:C,3,0)</f>
        <v>#N/A</v>
      </c>
      <c r="D16106" s="6">
        <f t="shared" si="252"/>
        <v>0</v>
      </c>
    </row>
    <row r="16107" spans="3:4" ht="15" x14ac:dyDescent="0.25">
      <c r="C16107" s="8" t="e">
        <f>VLOOKUP(A:A,'ITEM LIST'!A:C,3,0)</f>
        <v>#N/A</v>
      </c>
      <c r="D16107" s="6">
        <f t="shared" si="252"/>
        <v>0</v>
      </c>
    </row>
    <row r="16108" spans="3:4" ht="15" x14ac:dyDescent="0.25">
      <c r="C16108" s="8" t="e">
        <f>VLOOKUP(A:A,'ITEM LIST'!A:C,3,0)</f>
        <v>#N/A</v>
      </c>
      <c r="D16108" s="6">
        <f t="shared" si="252"/>
        <v>0</v>
      </c>
    </row>
    <row r="16109" spans="3:4" ht="15" x14ac:dyDescent="0.25">
      <c r="C16109" s="8" t="e">
        <f>VLOOKUP(A:A,'ITEM LIST'!A:C,3,0)</f>
        <v>#N/A</v>
      </c>
      <c r="D16109" s="6">
        <f t="shared" si="252"/>
        <v>0</v>
      </c>
    </row>
    <row r="16110" spans="3:4" ht="15" x14ac:dyDescent="0.25">
      <c r="C16110" s="8" t="e">
        <f>VLOOKUP(A:A,'ITEM LIST'!A:C,3,0)</f>
        <v>#N/A</v>
      </c>
      <c r="D16110" s="6">
        <f t="shared" si="252"/>
        <v>0</v>
      </c>
    </row>
    <row r="16111" spans="3:4" ht="15" x14ac:dyDescent="0.25">
      <c r="C16111" s="8" t="e">
        <f>VLOOKUP(A:A,'ITEM LIST'!A:C,3,0)</f>
        <v>#N/A</v>
      </c>
      <c r="D16111" s="6">
        <f t="shared" si="252"/>
        <v>0</v>
      </c>
    </row>
    <row r="16112" spans="3:4" ht="15" x14ac:dyDescent="0.25">
      <c r="C16112" s="8" t="e">
        <f>VLOOKUP(A:A,'ITEM LIST'!A:C,3,0)</f>
        <v>#N/A</v>
      </c>
      <c r="D16112" s="6">
        <f t="shared" si="252"/>
        <v>0</v>
      </c>
    </row>
    <row r="16113" spans="3:4" ht="15" x14ac:dyDescent="0.25">
      <c r="C16113" s="8" t="e">
        <f>VLOOKUP(A:A,'ITEM LIST'!A:C,3,0)</f>
        <v>#N/A</v>
      </c>
      <c r="D16113" s="6">
        <f t="shared" si="252"/>
        <v>0</v>
      </c>
    </row>
    <row r="16114" spans="3:4" ht="15" x14ac:dyDescent="0.25">
      <c r="C16114" s="8" t="e">
        <f>VLOOKUP(A:A,'ITEM LIST'!A:C,3,0)</f>
        <v>#N/A</v>
      </c>
      <c r="D16114" s="6">
        <f t="shared" si="252"/>
        <v>0</v>
      </c>
    </row>
    <row r="16115" spans="3:4" ht="15" x14ac:dyDescent="0.25">
      <c r="C16115" s="8" t="e">
        <f>VLOOKUP(A:A,'ITEM LIST'!A:C,3,0)</f>
        <v>#N/A</v>
      </c>
      <c r="D16115" s="6">
        <f t="shared" si="252"/>
        <v>0</v>
      </c>
    </row>
    <row r="16116" spans="3:4" ht="15" x14ac:dyDescent="0.25">
      <c r="C16116" s="8" t="e">
        <f>VLOOKUP(A:A,'ITEM LIST'!A:C,3,0)</f>
        <v>#N/A</v>
      </c>
      <c r="D16116" s="6">
        <f t="shared" si="252"/>
        <v>0</v>
      </c>
    </row>
    <row r="16117" spans="3:4" ht="15" x14ac:dyDescent="0.25">
      <c r="C16117" s="8" t="e">
        <f>VLOOKUP(A:A,'ITEM LIST'!A:C,3,0)</f>
        <v>#N/A</v>
      </c>
      <c r="D16117" s="6">
        <f t="shared" si="252"/>
        <v>0</v>
      </c>
    </row>
    <row r="16118" spans="3:4" ht="15" x14ac:dyDescent="0.25">
      <c r="C16118" s="8" t="e">
        <f>VLOOKUP(A:A,'ITEM LIST'!A:C,3,0)</f>
        <v>#N/A</v>
      </c>
      <c r="D16118" s="6">
        <f t="shared" si="252"/>
        <v>0</v>
      </c>
    </row>
    <row r="16119" spans="3:4" ht="15" x14ac:dyDescent="0.25">
      <c r="C16119" s="8" t="e">
        <f>VLOOKUP(A:A,'ITEM LIST'!A:C,3,0)</f>
        <v>#N/A</v>
      </c>
      <c r="D16119" s="6">
        <f t="shared" si="252"/>
        <v>0</v>
      </c>
    </row>
    <row r="16120" spans="3:4" ht="15" x14ac:dyDescent="0.25">
      <c r="C16120" s="8" t="e">
        <f>VLOOKUP(A:A,'ITEM LIST'!A:C,3,0)</f>
        <v>#N/A</v>
      </c>
      <c r="D16120" s="6">
        <f t="shared" si="252"/>
        <v>0</v>
      </c>
    </row>
    <row r="16121" spans="3:4" ht="15" x14ac:dyDescent="0.25">
      <c r="C16121" s="8" t="e">
        <f>VLOOKUP(A:A,'ITEM LIST'!A:C,3,0)</f>
        <v>#N/A</v>
      </c>
      <c r="D16121" s="6">
        <f t="shared" si="252"/>
        <v>0</v>
      </c>
    </row>
    <row r="16122" spans="3:4" ht="15" x14ac:dyDescent="0.25">
      <c r="C16122" s="8" t="e">
        <f>VLOOKUP(A:A,'ITEM LIST'!A:C,3,0)</f>
        <v>#N/A</v>
      </c>
      <c r="D16122" s="6">
        <f t="shared" si="252"/>
        <v>0</v>
      </c>
    </row>
    <row r="16123" spans="3:4" ht="15" x14ac:dyDescent="0.25">
      <c r="C16123" s="8" t="e">
        <f>VLOOKUP(A:A,'ITEM LIST'!A:C,3,0)</f>
        <v>#N/A</v>
      </c>
      <c r="D16123" s="6">
        <f t="shared" si="252"/>
        <v>0</v>
      </c>
    </row>
    <row r="16124" spans="3:4" ht="15" x14ac:dyDescent="0.25">
      <c r="C16124" s="8" t="e">
        <f>VLOOKUP(A:A,'ITEM LIST'!A:C,3,0)</f>
        <v>#N/A</v>
      </c>
      <c r="D16124" s="6">
        <f t="shared" si="252"/>
        <v>0</v>
      </c>
    </row>
    <row r="16125" spans="3:4" ht="15" x14ac:dyDescent="0.25">
      <c r="C16125" s="8" t="e">
        <f>VLOOKUP(A:A,'ITEM LIST'!A:C,3,0)</f>
        <v>#N/A</v>
      </c>
      <c r="D16125" s="6">
        <f t="shared" si="252"/>
        <v>0</v>
      </c>
    </row>
    <row r="16126" spans="3:4" ht="15" x14ac:dyDescent="0.25">
      <c r="C16126" s="8" t="e">
        <f>VLOOKUP(A:A,'ITEM LIST'!A:C,3,0)</f>
        <v>#N/A</v>
      </c>
      <c r="D16126" s="6">
        <f t="shared" si="252"/>
        <v>0</v>
      </c>
    </row>
    <row r="16127" spans="3:4" ht="15" x14ac:dyDescent="0.25">
      <c r="C16127" s="8" t="e">
        <f>VLOOKUP(A:A,'ITEM LIST'!A:C,3,0)</f>
        <v>#N/A</v>
      </c>
      <c r="D16127" s="6">
        <f t="shared" si="252"/>
        <v>0</v>
      </c>
    </row>
    <row r="16128" spans="3:4" ht="15" x14ac:dyDescent="0.25">
      <c r="C16128" s="8" t="e">
        <f>VLOOKUP(A:A,'ITEM LIST'!A:C,3,0)</f>
        <v>#N/A</v>
      </c>
      <c r="D16128" s="6">
        <f t="shared" si="252"/>
        <v>0</v>
      </c>
    </row>
    <row r="16129" spans="3:4" ht="15" x14ac:dyDescent="0.25">
      <c r="C16129" s="8" t="e">
        <f>VLOOKUP(A:A,'ITEM LIST'!A:C,3,0)</f>
        <v>#N/A</v>
      </c>
      <c r="D16129" s="6">
        <f t="shared" si="252"/>
        <v>0</v>
      </c>
    </row>
    <row r="16130" spans="3:4" ht="15" x14ac:dyDescent="0.25">
      <c r="C16130" s="8" t="e">
        <f>VLOOKUP(A:A,'ITEM LIST'!A:C,3,0)</f>
        <v>#N/A</v>
      </c>
      <c r="D16130" s="6">
        <f t="shared" si="252"/>
        <v>0</v>
      </c>
    </row>
    <row r="16131" spans="3:4" ht="15" x14ac:dyDescent="0.25">
      <c r="C16131" s="8" t="e">
        <f>VLOOKUP(A:A,'ITEM LIST'!A:C,3,0)</f>
        <v>#N/A</v>
      </c>
      <c r="D16131" s="6">
        <f t="shared" si="252"/>
        <v>0</v>
      </c>
    </row>
    <row r="16132" spans="3:4" ht="15" x14ac:dyDescent="0.25">
      <c r="C16132" s="8" t="e">
        <f>VLOOKUP(A:A,'ITEM LIST'!A:C,3,0)</f>
        <v>#N/A</v>
      </c>
      <c r="D16132" s="6">
        <f t="shared" si="252"/>
        <v>0</v>
      </c>
    </row>
    <row r="16133" spans="3:4" ht="15" x14ac:dyDescent="0.25">
      <c r="C16133" s="8" t="e">
        <f>VLOOKUP(A:A,'ITEM LIST'!A:C,3,0)</f>
        <v>#N/A</v>
      </c>
      <c r="D16133" s="6">
        <f t="shared" si="252"/>
        <v>0</v>
      </c>
    </row>
    <row r="16134" spans="3:4" ht="15" x14ac:dyDescent="0.25">
      <c r="C16134" s="8" t="e">
        <f>VLOOKUP(A:A,'ITEM LIST'!A:C,3,0)</f>
        <v>#N/A</v>
      </c>
      <c r="D16134" s="6">
        <f t="shared" ref="D16134:D16197" si="253">B16134</f>
        <v>0</v>
      </c>
    </row>
    <row r="16135" spans="3:4" ht="15" x14ac:dyDescent="0.25">
      <c r="C16135" s="8" t="e">
        <f>VLOOKUP(A:A,'ITEM LIST'!A:C,3,0)</f>
        <v>#N/A</v>
      </c>
      <c r="D16135" s="6">
        <f t="shared" si="253"/>
        <v>0</v>
      </c>
    </row>
    <row r="16136" spans="3:4" ht="15" x14ac:dyDescent="0.25">
      <c r="C16136" s="8" t="e">
        <f>VLOOKUP(A:A,'ITEM LIST'!A:C,3,0)</f>
        <v>#N/A</v>
      </c>
      <c r="D16136" s="6">
        <f t="shared" si="253"/>
        <v>0</v>
      </c>
    </row>
    <row r="16137" spans="3:4" ht="15" x14ac:dyDescent="0.25">
      <c r="C16137" s="8" t="e">
        <f>VLOOKUP(A:A,'ITEM LIST'!A:C,3,0)</f>
        <v>#N/A</v>
      </c>
      <c r="D16137" s="6">
        <f t="shared" si="253"/>
        <v>0</v>
      </c>
    </row>
    <row r="16138" spans="3:4" ht="15" x14ac:dyDescent="0.25">
      <c r="C16138" s="8" t="e">
        <f>VLOOKUP(A:A,'ITEM LIST'!A:C,3,0)</f>
        <v>#N/A</v>
      </c>
      <c r="D16138" s="6">
        <f t="shared" si="253"/>
        <v>0</v>
      </c>
    </row>
    <row r="16139" spans="3:4" ht="15" x14ac:dyDescent="0.25">
      <c r="C16139" s="8" t="e">
        <f>VLOOKUP(A:A,'ITEM LIST'!A:C,3,0)</f>
        <v>#N/A</v>
      </c>
      <c r="D16139" s="6">
        <f t="shared" si="253"/>
        <v>0</v>
      </c>
    </row>
    <row r="16140" spans="3:4" ht="15" x14ac:dyDescent="0.25">
      <c r="C16140" s="8" t="e">
        <f>VLOOKUP(A:A,'ITEM LIST'!A:C,3,0)</f>
        <v>#N/A</v>
      </c>
      <c r="D16140" s="6">
        <f t="shared" si="253"/>
        <v>0</v>
      </c>
    </row>
    <row r="16141" spans="3:4" ht="15" x14ac:dyDescent="0.25">
      <c r="C16141" s="8" t="e">
        <f>VLOOKUP(A:A,'ITEM LIST'!A:C,3,0)</f>
        <v>#N/A</v>
      </c>
      <c r="D16141" s="6">
        <f t="shared" si="253"/>
        <v>0</v>
      </c>
    </row>
    <row r="16142" spans="3:4" ht="15" x14ac:dyDescent="0.25">
      <c r="C16142" s="8" t="e">
        <f>VLOOKUP(A:A,'ITEM LIST'!A:C,3,0)</f>
        <v>#N/A</v>
      </c>
      <c r="D16142" s="6">
        <f t="shared" si="253"/>
        <v>0</v>
      </c>
    </row>
    <row r="16143" spans="3:4" ht="15" x14ac:dyDescent="0.25">
      <c r="C16143" s="8" t="e">
        <f>VLOOKUP(A:A,'ITEM LIST'!A:C,3,0)</f>
        <v>#N/A</v>
      </c>
      <c r="D16143" s="6">
        <f t="shared" si="253"/>
        <v>0</v>
      </c>
    </row>
    <row r="16144" spans="3:4" ht="15" x14ac:dyDescent="0.25">
      <c r="C16144" s="8" t="e">
        <f>VLOOKUP(A:A,'ITEM LIST'!A:C,3,0)</f>
        <v>#N/A</v>
      </c>
      <c r="D16144" s="6">
        <f t="shared" si="253"/>
        <v>0</v>
      </c>
    </row>
    <row r="16145" spans="3:4" ht="15" x14ac:dyDescent="0.25">
      <c r="C16145" s="8" t="e">
        <f>VLOOKUP(A:A,'ITEM LIST'!A:C,3,0)</f>
        <v>#N/A</v>
      </c>
      <c r="D16145" s="6">
        <f t="shared" si="253"/>
        <v>0</v>
      </c>
    </row>
    <row r="16146" spans="3:4" ht="15" x14ac:dyDescent="0.25">
      <c r="C16146" s="8" t="e">
        <f>VLOOKUP(A:A,'ITEM LIST'!A:C,3,0)</f>
        <v>#N/A</v>
      </c>
      <c r="D16146" s="6">
        <f t="shared" si="253"/>
        <v>0</v>
      </c>
    </row>
    <row r="16147" spans="3:4" ht="15" x14ac:dyDescent="0.25">
      <c r="C16147" s="8" t="e">
        <f>VLOOKUP(A:A,'ITEM LIST'!A:C,3,0)</f>
        <v>#N/A</v>
      </c>
      <c r="D16147" s="6">
        <f t="shared" si="253"/>
        <v>0</v>
      </c>
    </row>
    <row r="16148" spans="3:4" ht="15" x14ac:dyDescent="0.25">
      <c r="C16148" s="8" t="e">
        <f>VLOOKUP(A:A,'ITEM LIST'!A:C,3,0)</f>
        <v>#N/A</v>
      </c>
      <c r="D16148" s="6">
        <f t="shared" si="253"/>
        <v>0</v>
      </c>
    </row>
    <row r="16149" spans="3:4" ht="15" x14ac:dyDescent="0.25">
      <c r="C16149" s="8" t="e">
        <f>VLOOKUP(A:A,'ITEM LIST'!A:C,3,0)</f>
        <v>#N/A</v>
      </c>
      <c r="D16149" s="6">
        <f t="shared" si="253"/>
        <v>0</v>
      </c>
    </row>
    <row r="16150" spans="3:4" ht="15" x14ac:dyDescent="0.25">
      <c r="C16150" s="8" t="e">
        <f>VLOOKUP(A:A,'ITEM LIST'!A:C,3,0)</f>
        <v>#N/A</v>
      </c>
      <c r="D16150" s="6">
        <f t="shared" si="253"/>
        <v>0</v>
      </c>
    </row>
    <row r="16151" spans="3:4" ht="15" x14ac:dyDescent="0.25">
      <c r="C16151" s="8" t="e">
        <f>VLOOKUP(A:A,'ITEM LIST'!A:C,3,0)</f>
        <v>#N/A</v>
      </c>
      <c r="D16151" s="6">
        <f t="shared" si="253"/>
        <v>0</v>
      </c>
    </row>
    <row r="16152" spans="3:4" ht="15" x14ac:dyDescent="0.25">
      <c r="C16152" s="8" t="e">
        <f>VLOOKUP(A:A,'ITEM LIST'!A:C,3,0)</f>
        <v>#N/A</v>
      </c>
      <c r="D16152" s="6">
        <f t="shared" si="253"/>
        <v>0</v>
      </c>
    </row>
    <row r="16153" spans="3:4" ht="15" x14ac:dyDescent="0.25">
      <c r="C16153" s="8" t="e">
        <f>VLOOKUP(A:A,'ITEM LIST'!A:C,3,0)</f>
        <v>#N/A</v>
      </c>
      <c r="D16153" s="6">
        <f t="shared" si="253"/>
        <v>0</v>
      </c>
    </row>
    <row r="16154" spans="3:4" ht="15" x14ac:dyDescent="0.25">
      <c r="C16154" s="8" t="e">
        <f>VLOOKUP(A:A,'ITEM LIST'!A:C,3,0)</f>
        <v>#N/A</v>
      </c>
      <c r="D16154" s="6">
        <f t="shared" si="253"/>
        <v>0</v>
      </c>
    </row>
    <row r="16155" spans="3:4" ht="15" x14ac:dyDescent="0.25">
      <c r="C16155" s="8" t="e">
        <f>VLOOKUP(A:A,'ITEM LIST'!A:C,3,0)</f>
        <v>#N/A</v>
      </c>
      <c r="D16155" s="6">
        <f t="shared" si="253"/>
        <v>0</v>
      </c>
    </row>
    <row r="16156" spans="3:4" ht="15" x14ac:dyDescent="0.25">
      <c r="C16156" s="8" t="e">
        <f>VLOOKUP(A:A,'ITEM LIST'!A:C,3,0)</f>
        <v>#N/A</v>
      </c>
      <c r="D16156" s="6">
        <f t="shared" si="253"/>
        <v>0</v>
      </c>
    </row>
    <row r="16157" spans="3:4" ht="15" x14ac:dyDescent="0.25">
      <c r="C16157" s="8" t="e">
        <f>VLOOKUP(A:A,'ITEM LIST'!A:C,3,0)</f>
        <v>#N/A</v>
      </c>
      <c r="D16157" s="6">
        <f t="shared" si="253"/>
        <v>0</v>
      </c>
    </row>
    <row r="16158" spans="3:4" ht="15" x14ac:dyDescent="0.25">
      <c r="C16158" s="8" t="e">
        <f>VLOOKUP(A:A,'ITEM LIST'!A:C,3,0)</f>
        <v>#N/A</v>
      </c>
      <c r="D16158" s="6">
        <f t="shared" si="253"/>
        <v>0</v>
      </c>
    </row>
    <row r="16159" spans="3:4" ht="15" x14ac:dyDescent="0.25">
      <c r="C16159" s="8" t="e">
        <f>VLOOKUP(A:A,'ITEM LIST'!A:C,3,0)</f>
        <v>#N/A</v>
      </c>
      <c r="D16159" s="6">
        <f t="shared" si="253"/>
        <v>0</v>
      </c>
    </row>
    <row r="16160" spans="3:4" ht="15" x14ac:dyDescent="0.25">
      <c r="C16160" s="8" t="e">
        <f>VLOOKUP(A:A,'ITEM LIST'!A:C,3,0)</f>
        <v>#N/A</v>
      </c>
      <c r="D16160" s="6">
        <f t="shared" si="253"/>
        <v>0</v>
      </c>
    </row>
    <row r="16161" spans="3:4" ht="15" x14ac:dyDescent="0.25">
      <c r="C16161" s="8" t="e">
        <f>VLOOKUP(A:A,'ITEM LIST'!A:C,3,0)</f>
        <v>#N/A</v>
      </c>
      <c r="D16161" s="6">
        <f t="shared" si="253"/>
        <v>0</v>
      </c>
    </row>
    <row r="16162" spans="3:4" ht="15" x14ac:dyDescent="0.25">
      <c r="C16162" s="8" t="e">
        <f>VLOOKUP(A:A,'ITEM LIST'!A:C,3,0)</f>
        <v>#N/A</v>
      </c>
      <c r="D16162" s="6">
        <f t="shared" si="253"/>
        <v>0</v>
      </c>
    </row>
    <row r="16163" spans="3:4" ht="15" x14ac:dyDescent="0.25">
      <c r="C16163" s="8" t="e">
        <f>VLOOKUP(A:A,'ITEM LIST'!A:C,3,0)</f>
        <v>#N/A</v>
      </c>
      <c r="D16163" s="6">
        <f t="shared" si="253"/>
        <v>0</v>
      </c>
    </row>
    <row r="16164" spans="3:4" ht="15" x14ac:dyDescent="0.25">
      <c r="C16164" s="8" t="e">
        <f>VLOOKUP(A:A,'ITEM LIST'!A:C,3,0)</f>
        <v>#N/A</v>
      </c>
      <c r="D16164" s="6">
        <f t="shared" si="253"/>
        <v>0</v>
      </c>
    </row>
    <row r="16165" spans="3:4" ht="15" x14ac:dyDescent="0.25">
      <c r="C16165" s="8" t="e">
        <f>VLOOKUP(A:A,'ITEM LIST'!A:C,3,0)</f>
        <v>#N/A</v>
      </c>
      <c r="D16165" s="6">
        <f t="shared" si="253"/>
        <v>0</v>
      </c>
    </row>
    <row r="16166" spans="3:4" ht="15" x14ac:dyDescent="0.25">
      <c r="C16166" s="8" t="e">
        <f>VLOOKUP(A:A,'ITEM LIST'!A:C,3,0)</f>
        <v>#N/A</v>
      </c>
      <c r="D16166" s="6">
        <f t="shared" si="253"/>
        <v>0</v>
      </c>
    </row>
    <row r="16167" spans="3:4" ht="15" x14ac:dyDescent="0.25">
      <c r="C16167" s="8" t="e">
        <f>VLOOKUP(A:A,'ITEM LIST'!A:C,3,0)</f>
        <v>#N/A</v>
      </c>
      <c r="D16167" s="6">
        <f t="shared" si="253"/>
        <v>0</v>
      </c>
    </row>
    <row r="16168" spans="3:4" ht="15" x14ac:dyDescent="0.25">
      <c r="C16168" s="8" t="e">
        <f>VLOOKUP(A:A,'ITEM LIST'!A:C,3,0)</f>
        <v>#N/A</v>
      </c>
      <c r="D16168" s="6">
        <f t="shared" si="253"/>
        <v>0</v>
      </c>
    </row>
    <row r="16169" spans="3:4" ht="15" x14ac:dyDescent="0.25">
      <c r="C16169" s="8" t="e">
        <f>VLOOKUP(A:A,'ITEM LIST'!A:C,3,0)</f>
        <v>#N/A</v>
      </c>
      <c r="D16169" s="6">
        <f t="shared" si="253"/>
        <v>0</v>
      </c>
    </row>
    <row r="16170" spans="3:4" ht="15" x14ac:dyDescent="0.25">
      <c r="C16170" s="8" t="e">
        <f>VLOOKUP(A:A,'ITEM LIST'!A:C,3,0)</f>
        <v>#N/A</v>
      </c>
      <c r="D16170" s="6">
        <f t="shared" si="253"/>
        <v>0</v>
      </c>
    </row>
    <row r="16171" spans="3:4" ht="15" x14ac:dyDescent="0.25">
      <c r="C16171" s="8" t="e">
        <f>VLOOKUP(A:A,'ITEM LIST'!A:C,3,0)</f>
        <v>#N/A</v>
      </c>
      <c r="D16171" s="6">
        <f t="shared" si="253"/>
        <v>0</v>
      </c>
    </row>
    <row r="16172" spans="3:4" ht="15" x14ac:dyDescent="0.25">
      <c r="C16172" s="8" t="e">
        <f>VLOOKUP(A:A,'ITEM LIST'!A:C,3,0)</f>
        <v>#N/A</v>
      </c>
      <c r="D16172" s="6">
        <f t="shared" si="253"/>
        <v>0</v>
      </c>
    </row>
    <row r="16173" spans="3:4" ht="15" x14ac:dyDescent="0.25">
      <c r="C16173" s="8" t="e">
        <f>VLOOKUP(A:A,'ITEM LIST'!A:C,3,0)</f>
        <v>#N/A</v>
      </c>
      <c r="D16173" s="6">
        <f t="shared" si="253"/>
        <v>0</v>
      </c>
    </row>
    <row r="16174" spans="3:4" ht="15" x14ac:dyDescent="0.25">
      <c r="C16174" s="8" t="e">
        <f>VLOOKUP(A:A,'ITEM LIST'!A:C,3,0)</f>
        <v>#N/A</v>
      </c>
      <c r="D16174" s="6">
        <f t="shared" si="253"/>
        <v>0</v>
      </c>
    </row>
    <row r="16175" spans="3:4" ht="15" x14ac:dyDescent="0.25">
      <c r="C16175" s="8" t="e">
        <f>VLOOKUP(A:A,'ITEM LIST'!A:C,3,0)</f>
        <v>#N/A</v>
      </c>
      <c r="D16175" s="6">
        <f t="shared" si="253"/>
        <v>0</v>
      </c>
    </row>
    <row r="16176" spans="3:4" ht="15" x14ac:dyDescent="0.25">
      <c r="C16176" s="8" t="e">
        <f>VLOOKUP(A:A,'ITEM LIST'!A:C,3,0)</f>
        <v>#N/A</v>
      </c>
      <c r="D16176" s="6">
        <f t="shared" si="253"/>
        <v>0</v>
      </c>
    </row>
    <row r="16177" spans="3:4" ht="15" x14ac:dyDescent="0.25">
      <c r="C16177" s="8" t="e">
        <f>VLOOKUP(A:A,'ITEM LIST'!A:C,3,0)</f>
        <v>#N/A</v>
      </c>
      <c r="D16177" s="6">
        <f t="shared" si="253"/>
        <v>0</v>
      </c>
    </row>
    <row r="16178" spans="3:4" ht="15" x14ac:dyDescent="0.25">
      <c r="C16178" s="8" t="e">
        <f>VLOOKUP(A:A,'ITEM LIST'!A:C,3,0)</f>
        <v>#N/A</v>
      </c>
      <c r="D16178" s="6">
        <f t="shared" si="253"/>
        <v>0</v>
      </c>
    </row>
    <row r="16179" spans="3:4" ht="15" x14ac:dyDescent="0.25">
      <c r="C16179" s="8" t="e">
        <f>VLOOKUP(A:A,'ITEM LIST'!A:C,3,0)</f>
        <v>#N/A</v>
      </c>
      <c r="D16179" s="6">
        <f t="shared" si="253"/>
        <v>0</v>
      </c>
    </row>
    <row r="16180" spans="3:4" ht="15" x14ac:dyDescent="0.25">
      <c r="C16180" s="8" t="e">
        <f>VLOOKUP(A:A,'ITEM LIST'!A:C,3,0)</f>
        <v>#N/A</v>
      </c>
      <c r="D16180" s="6">
        <f t="shared" si="253"/>
        <v>0</v>
      </c>
    </row>
    <row r="16181" spans="3:4" ht="15" x14ac:dyDescent="0.25">
      <c r="C16181" s="8" t="e">
        <f>VLOOKUP(A:A,'ITEM LIST'!A:C,3,0)</f>
        <v>#N/A</v>
      </c>
      <c r="D16181" s="6">
        <f t="shared" si="253"/>
        <v>0</v>
      </c>
    </row>
    <row r="16182" spans="3:4" ht="15" x14ac:dyDescent="0.25">
      <c r="C16182" s="8" t="e">
        <f>VLOOKUP(A:A,'ITEM LIST'!A:C,3,0)</f>
        <v>#N/A</v>
      </c>
      <c r="D16182" s="6">
        <f t="shared" si="253"/>
        <v>0</v>
      </c>
    </row>
    <row r="16183" spans="3:4" ht="15" x14ac:dyDescent="0.25">
      <c r="C16183" s="8" t="e">
        <f>VLOOKUP(A:A,'ITEM LIST'!A:C,3,0)</f>
        <v>#N/A</v>
      </c>
      <c r="D16183" s="6">
        <f t="shared" si="253"/>
        <v>0</v>
      </c>
    </row>
    <row r="16184" spans="3:4" ht="15" x14ac:dyDescent="0.25">
      <c r="C16184" s="8" t="e">
        <f>VLOOKUP(A:A,'ITEM LIST'!A:C,3,0)</f>
        <v>#N/A</v>
      </c>
      <c r="D16184" s="6">
        <f t="shared" si="253"/>
        <v>0</v>
      </c>
    </row>
    <row r="16185" spans="3:4" ht="15" x14ac:dyDescent="0.25">
      <c r="C16185" s="8" t="e">
        <f>VLOOKUP(A:A,'ITEM LIST'!A:C,3,0)</f>
        <v>#N/A</v>
      </c>
      <c r="D16185" s="6">
        <f t="shared" si="253"/>
        <v>0</v>
      </c>
    </row>
    <row r="16186" spans="3:4" ht="15" x14ac:dyDescent="0.25">
      <c r="C16186" s="8" t="e">
        <f>VLOOKUP(A:A,'ITEM LIST'!A:C,3,0)</f>
        <v>#N/A</v>
      </c>
      <c r="D16186" s="6">
        <f t="shared" si="253"/>
        <v>0</v>
      </c>
    </row>
    <row r="16187" spans="3:4" ht="15" x14ac:dyDescent="0.25">
      <c r="C16187" s="8" t="e">
        <f>VLOOKUP(A:A,'ITEM LIST'!A:C,3,0)</f>
        <v>#N/A</v>
      </c>
      <c r="D16187" s="6">
        <f t="shared" si="253"/>
        <v>0</v>
      </c>
    </row>
    <row r="16188" spans="3:4" ht="15" x14ac:dyDescent="0.25">
      <c r="C16188" s="8" t="e">
        <f>VLOOKUP(A:A,'ITEM LIST'!A:C,3,0)</f>
        <v>#N/A</v>
      </c>
      <c r="D16188" s="6">
        <f t="shared" si="253"/>
        <v>0</v>
      </c>
    </row>
    <row r="16189" spans="3:4" ht="15" x14ac:dyDescent="0.25">
      <c r="C16189" s="8" t="e">
        <f>VLOOKUP(A:A,'ITEM LIST'!A:C,3,0)</f>
        <v>#N/A</v>
      </c>
      <c r="D16189" s="6">
        <f t="shared" si="253"/>
        <v>0</v>
      </c>
    </row>
    <row r="16190" spans="3:4" ht="15" x14ac:dyDescent="0.25">
      <c r="C16190" s="8" t="e">
        <f>VLOOKUP(A:A,'ITEM LIST'!A:C,3,0)</f>
        <v>#N/A</v>
      </c>
      <c r="D16190" s="6">
        <f t="shared" si="253"/>
        <v>0</v>
      </c>
    </row>
    <row r="16191" spans="3:4" ht="15" x14ac:dyDescent="0.25">
      <c r="C16191" s="8" t="e">
        <f>VLOOKUP(A:A,'ITEM LIST'!A:C,3,0)</f>
        <v>#N/A</v>
      </c>
      <c r="D16191" s="6">
        <f t="shared" si="253"/>
        <v>0</v>
      </c>
    </row>
    <row r="16192" spans="3:4" ht="15" x14ac:dyDescent="0.25">
      <c r="C16192" s="8" t="e">
        <f>VLOOKUP(A:A,'ITEM LIST'!A:C,3,0)</f>
        <v>#N/A</v>
      </c>
      <c r="D16192" s="6">
        <f t="shared" si="253"/>
        <v>0</v>
      </c>
    </row>
    <row r="16193" spans="3:4" ht="15" x14ac:dyDescent="0.25">
      <c r="C16193" s="8" t="e">
        <f>VLOOKUP(A:A,'ITEM LIST'!A:C,3,0)</f>
        <v>#N/A</v>
      </c>
      <c r="D16193" s="6">
        <f t="shared" si="253"/>
        <v>0</v>
      </c>
    </row>
    <row r="16194" spans="3:4" ht="15" x14ac:dyDescent="0.25">
      <c r="C16194" s="8" t="e">
        <f>VLOOKUP(A:A,'ITEM LIST'!A:C,3,0)</f>
        <v>#N/A</v>
      </c>
      <c r="D16194" s="6">
        <f t="shared" si="253"/>
        <v>0</v>
      </c>
    </row>
    <row r="16195" spans="3:4" ht="15" x14ac:dyDescent="0.25">
      <c r="C16195" s="8" t="e">
        <f>VLOOKUP(A:A,'ITEM LIST'!A:C,3,0)</f>
        <v>#N/A</v>
      </c>
      <c r="D16195" s="6">
        <f t="shared" si="253"/>
        <v>0</v>
      </c>
    </row>
    <row r="16196" spans="3:4" ht="15" x14ac:dyDescent="0.25">
      <c r="C16196" s="8" t="e">
        <f>VLOOKUP(A:A,'ITEM LIST'!A:C,3,0)</f>
        <v>#N/A</v>
      </c>
      <c r="D16196" s="6">
        <f t="shared" si="253"/>
        <v>0</v>
      </c>
    </row>
    <row r="16197" spans="3:4" ht="15" x14ac:dyDescent="0.25">
      <c r="C16197" s="8" t="e">
        <f>VLOOKUP(A:A,'ITEM LIST'!A:C,3,0)</f>
        <v>#N/A</v>
      </c>
      <c r="D16197" s="6">
        <f t="shared" si="253"/>
        <v>0</v>
      </c>
    </row>
    <row r="16198" spans="3:4" ht="15" x14ac:dyDescent="0.25">
      <c r="C16198" s="8" t="e">
        <f>VLOOKUP(A:A,'ITEM LIST'!A:C,3,0)</f>
        <v>#N/A</v>
      </c>
      <c r="D16198" s="6">
        <f t="shared" ref="D16198:D16261" si="254">B16198</f>
        <v>0</v>
      </c>
    </row>
    <row r="16199" spans="3:4" ht="15" x14ac:dyDescent="0.25">
      <c r="C16199" s="8" t="e">
        <f>VLOOKUP(A:A,'ITEM LIST'!A:C,3,0)</f>
        <v>#N/A</v>
      </c>
      <c r="D16199" s="6">
        <f t="shared" si="254"/>
        <v>0</v>
      </c>
    </row>
    <row r="16200" spans="3:4" ht="15" x14ac:dyDescent="0.25">
      <c r="C16200" s="8" t="e">
        <f>VLOOKUP(A:A,'ITEM LIST'!A:C,3,0)</f>
        <v>#N/A</v>
      </c>
      <c r="D16200" s="6">
        <f t="shared" si="254"/>
        <v>0</v>
      </c>
    </row>
    <row r="16201" spans="3:4" ht="15" x14ac:dyDescent="0.25">
      <c r="C16201" s="8" t="e">
        <f>VLOOKUP(A:A,'ITEM LIST'!A:C,3,0)</f>
        <v>#N/A</v>
      </c>
      <c r="D16201" s="6">
        <f t="shared" si="254"/>
        <v>0</v>
      </c>
    </row>
    <row r="16202" spans="3:4" ht="15" x14ac:dyDescent="0.25">
      <c r="C16202" s="8" t="e">
        <f>VLOOKUP(A:A,'ITEM LIST'!A:C,3,0)</f>
        <v>#N/A</v>
      </c>
      <c r="D16202" s="6">
        <f t="shared" si="254"/>
        <v>0</v>
      </c>
    </row>
    <row r="16203" spans="3:4" ht="15" x14ac:dyDescent="0.25">
      <c r="C16203" s="8" t="e">
        <f>VLOOKUP(A:A,'ITEM LIST'!A:C,3,0)</f>
        <v>#N/A</v>
      </c>
      <c r="D16203" s="6">
        <f t="shared" si="254"/>
        <v>0</v>
      </c>
    </row>
    <row r="16204" spans="3:4" ht="15" x14ac:dyDescent="0.25">
      <c r="C16204" s="8" t="e">
        <f>VLOOKUP(A:A,'ITEM LIST'!A:C,3,0)</f>
        <v>#N/A</v>
      </c>
      <c r="D16204" s="6">
        <f t="shared" si="254"/>
        <v>0</v>
      </c>
    </row>
    <row r="16205" spans="3:4" ht="15" x14ac:dyDescent="0.25">
      <c r="C16205" s="8" t="e">
        <f>VLOOKUP(A:A,'ITEM LIST'!A:C,3,0)</f>
        <v>#N/A</v>
      </c>
      <c r="D16205" s="6">
        <f t="shared" si="254"/>
        <v>0</v>
      </c>
    </row>
    <row r="16206" spans="3:4" ht="15" x14ac:dyDescent="0.25">
      <c r="C16206" s="8" t="e">
        <f>VLOOKUP(A:A,'ITEM LIST'!A:C,3,0)</f>
        <v>#N/A</v>
      </c>
      <c r="D16206" s="6">
        <f t="shared" si="254"/>
        <v>0</v>
      </c>
    </row>
    <row r="16207" spans="3:4" ht="15" x14ac:dyDescent="0.25">
      <c r="C16207" s="8" t="e">
        <f>VLOOKUP(A:A,'ITEM LIST'!A:C,3,0)</f>
        <v>#N/A</v>
      </c>
      <c r="D16207" s="6">
        <f t="shared" si="254"/>
        <v>0</v>
      </c>
    </row>
    <row r="16208" spans="3:4" ht="15" x14ac:dyDescent="0.25">
      <c r="C16208" s="8" t="e">
        <f>VLOOKUP(A:A,'ITEM LIST'!A:C,3,0)</f>
        <v>#N/A</v>
      </c>
      <c r="D16208" s="6">
        <f t="shared" si="254"/>
        <v>0</v>
      </c>
    </row>
    <row r="16209" spans="3:4" ht="15" x14ac:dyDescent="0.25">
      <c r="C16209" s="8" t="e">
        <f>VLOOKUP(A:A,'ITEM LIST'!A:C,3,0)</f>
        <v>#N/A</v>
      </c>
      <c r="D16209" s="6">
        <f t="shared" si="254"/>
        <v>0</v>
      </c>
    </row>
    <row r="16210" spans="3:4" ht="15" x14ac:dyDescent="0.25">
      <c r="C16210" s="8" t="e">
        <f>VLOOKUP(A:A,'ITEM LIST'!A:C,3,0)</f>
        <v>#N/A</v>
      </c>
      <c r="D16210" s="6">
        <f t="shared" si="254"/>
        <v>0</v>
      </c>
    </row>
    <row r="16211" spans="3:4" ht="15" x14ac:dyDescent="0.25">
      <c r="C16211" s="8" t="e">
        <f>VLOOKUP(A:A,'ITEM LIST'!A:C,3,0)</f>
        <v>#N/A</v>
      </c>
      <c r="D16211" s="6">
        <f t="shared" si="254"/>
        <v>0</v>
      </c>
    </row>
    <row r="16212" spans="3:4" ht="15" x14ac:dyDescent="0.25">
      <c r="C16212" s="8" t="e">
        <f>VLOOKUP(A:A,'ITEM LIST'!A:C,3,0)</f>
        <v>#N/A</v>
      </c>
      <c r="D16212" s="6">
        <f t="shared" si="254"/>
        <v>0</v>
      </c>
    </row>
    <row r="16213" spans="3:4" ht="15" x14ac:dyDescent="0.25">
      <c r="C16213" s="8" t="e">
        <f>VLOOKUP(A:A,'ITEM LIST'!A:C,3,0)</f>
        <v>#N/A</v>
      </c>
      <c r="D16213" s="6">
        <f t="shared" si="254"/>
        <v>0</v>
      </c>
    </row>
    <row r="16214" spans="3:4" ht="15" x14ac:dyDescent="0.25">
      <c r="C16214" s="8" t="e">
        <f>VLOOKUP(A:A,'ITEM LIST'!A:C,3,0)</f>
        <v>#N/A</v>
      </c>
      <c r="D16214" s="6">
        <f t="shared" si="254"/>
        <v>0</v>
      </c>
    </row>
    <row r="16215" spans="3:4" ht="15" x14ac:dyDescent="0.25">
      <c r="C16215" s="8" t="e">
        <f>VLOOKUP(A:A,'ITEM LIST'!A:C,3,0)</f>
        <v>#N/A</v>
      </c>
      <c r="D16215" s="6">
        <f t="shared" si="254"/>
        <v>0</v>
      </c>
    </row>
    <row r="16216" spans="3:4" ht="15" x14ac:dyDescent="0.25">
      <c r="C16216" s="8" t="e">
        <f>VLOOKUP(A:A,'ITEM LIST'!A:C,3,0)</f>
        <v>#N/A</v>
      </c>
      <c r="D16216" s="6">
        <f t="shared" si="254"/>
        <v>0</v>
      </c>
    </row>
    <row r="16217" spans="3:4" ht="15" x14ac:dyDescent="0.25">
      <c r="C16217" s="8" t="e">
        <f>VLOOKUP(A:A,'ITEM LIST'!A:C,3,0)</f>
        <v>#N/A</v>
      </c>
      <c r="D16217" s="6">
        <f t="shared" si="254"/>
        <v>0</v>
      </c>
    </row>
    <row r="16218" spans="3:4" ht="15" x14ac:dyDescent="0.25">
      <c r="C16218" s="8" t="e">
        <f>VLOOKUP(A:A,'ITEM LIST'!A:C,3,0)</f>
        <v>#N/A</v>
      </c>
      <c r="D16218" s="6">
        <f t="shared" si="254"/>
        <v>0</v>
      </c>
    </row>
    <row r="16219" spans="3:4" ht="15" x14ac:dyDescent="0.25">
      <c r="C16219" s="8" t="e">
        <f>VLOOKUP(A:A,'ITEM LIST'!A:C,3,0)</f>
        <v>#N/A</v>
      </c>
      <c r="D16219" s="6">
        <f t="shared" si="254"/>
        <v>0</v>
      </c>
    </row>
    <row r="16220" spans="3:4" ht="15" x14ac:dyDescent="0.25">
      <c r="C16220" s="8" t="e">
        <f>VLOOKUP(A:A,'ITEM LIST'!A:C,3,0)</f>
        <v>#N/A</v>
      </c>
      <c r="D16220" s="6">
        <f t="shared" si="254"/>
        <v>0</v>
      </c>
    </row>
    <row r="16221" spans="3:4" ht="15" x14ac:dyDescent="0.25">
      <c r="C16221" s="8" t="e">
        <f>VLOOKUP(A:A,'ITEM LIST'!A:C,3,0)</f>
        <v>#N/A</v>
      </c>
      <c r="D16221" s="6">
        <f t="shared" si="254"/>
        <v>0</v>
      </c>
    </row>
    <row r="16222" spans="3:4" ht="15" x14ac:dyDescent="0.25">
      <c r="C16222" s="8" t="e">
        <f>VLOOKUP(A:A,'ITEM LIST'!A:C,3,0)</f>
        <v>#N/A</v>
      </c>
      <c r="D16222" s="6">
        <f t="shared" si="254"/>
        <v>0</v>
      </c>
    </row>
    <row r="16223" spans="3:4" ht="15" x14ac:dyDescent="0.25">
      <c r="C16223" s="8" t="e">
        <f>VLOOKUP(A:A,'ITEM LIST'!A:C,3,0)</f>
        <v>#N/A</v>
      </c>
      <c r="D16223" s="6">
        <f t="shared" si="254"/>
        <v>0</v>
      </c>
    </row>
    <row r="16224" spans="3:4" ht="15" x14ac:dyDescent="0.25">
      <c r="C16224" s="8" t="e">
        <f>VLOOKUP(A:A,'ITEM LIST'!A:C,3,0)</f>
        <v>#N/A</v>
      </c>
      <c r="D16224" s="6">
        <f t="shared" si="254"/>
        <v>0</v>
      </c>
    </row>
    <row r="16225" spans="3:4" ht="15" x14ac:dyDescent="0.25">
      <c r="C16225" s="8" t="e">
        <f>VLOOKUP(A:A,'ITEM LIST'!A:C,3,0)</f>
        <v>#N/A</v>
      </c>
      <c r="D16225" s="6">
        <f t="shared" si="254"/>
        <v>0</v>
      </c>
    </row>
    <row r="16226" spans="3:4" ht="15" x14ac:dyDescent="0.25">
      <c r="C16226" s="8" t="e">
        <f>VLOOKUP(A:A,'ITEM LIST'!A:C,3,0)</f>
        <v>#N/A</v>
      </c>
      <c r="D16226" s="6">
        <f t="shared" si="254"/>
        <v>0</v>
      </c>
    </row>
    <row r="16227" spans="3:4" ht="15" x14ac:dyDescent="0.25">
      <c r="C16227" s="8" t="e">
        <f>VLOOKUP(A:A,'ITEM LIST'!A:C,3,0)</f>
        <v>#N/A</v>
      </c>
      <c r="D16227" s="6">
        <f t="shared" si="254"/>
        <v>0</v>
      </c>
    </row>
    <row r="16228" spans="3:4" ht="15" x14ac:dyDescent="0.25">
      <c r="C16228" s="8" t="e">
        <f>VLOOKUP(A:A,'ITEM LIST'!A:C,3,0)</f>
        <v>#N/A</v>
      </c>
      <c r="D16228" s="6">
        <f t="shared" si="254"/>
        <v>0</v>
      </c>
    </row>
    <row r="16229" spans="3:4" ht="15" x14ac:dyDescent="0.25">
      <c r="C16229" s="8" t="e">
        <f>VLOOKUP(A:A,'ITEM LIST'!A:C,3,0)</f>
        <v>#N/A</v>
      </c>
      <c r="D16229" s="6">
        <f t="shared" si="254"/>
        <v>0</v>
      </c>
    </row>
    <row r="16230" spans="3:4" ht="15" x14ac:dyDescent="0.25">
      <c r="C16230" s="8" t="e">
        <f>VLOOKUP(A:A,'ITEM LIST'!A:C,3,0)</f>
        <v>#N/A</v>
      </c>
      <c r="D16230" s="6">
        <f t="shared" si="254"/>
        <v>0</v>
      </c>
    </row>
    <row r="16231" spans="3:4" ht="15" x14ac:dyDescent="0.25">
      <c r="C16231" s="8" t="e">
        <f>VLOOKUP(A:A,'ITEM LIST'!A:C,3,0)</f>
        <v>#N/A</v>
      </c>
      <c r="D16231" s="6">
        <f t="shared" si="254"/>
        <v>0</v>
      </c>
    </row>
    <row r="16232" spans="3:4" ht="15" x14ac:dyDescent="0.25">
      <c r="C16232" s="8" t="e">
        <f>VLOOKUP(A:A,'ITEM LIST'!A:C,3,0)</f>
        <v>#N/A</v>
      </c>
      <c r="D16232" s="6">
        <f t="shared" si="254"/>
        <v>0</v>
      </c>
    </row>
    <row r="16233" spans="3:4" ht="15" x14ac:dyDescent="0.25">
      <c r="C16233" s="8" t="e">
        <f>VLOOKUP(A:A,'ITEM LIST'!A:C,3,0)</f>
        <v>#N/A</v>
      </c>
      <c r="D16233" s="6">
        <f t="shared" si="254"/>
        <v>0</v>
      </c>
    </row>
    <row r="16234" spans="3:4" ht="15" x14ac:dyDescent="0.25">
      <c r="C16234" s="8" t="e">
        <f>VLOOKUP(A:A,'ITEM LIST'!A:C,3,0)</f>
        <v>#N/A</v>
      </c>
      <c r="D16234" s="6">
        <f t="shared" si="254"/>
        <v>0</v>
      </c>
    </row>
    <row r="16235" spans="3:4" ht="15" x14ac:dyDescent="0.25">
      <c r="C16235" s="8" t="e">
        <f>VLOOKUP(A:A,'ITEM LIST'!A:C,3,0)</f>
        <v>#N/A</v>
      </c>
      <c r="D16235" s="6">
        <f t="shared" si="254"/>
        <v>0</v>
      </c>
    </row>
    <row r="16236" spans="3:4" ht="15" x14ac:dyDescent="0.25">
      <c r="C16236" s="8" t="e">
        <f>VLOOKUP(A:A,'ITEM LIST'!A:C,3,0)</f>
        <v>#N/A</v>
      </c>
      <c r="D16236" s="6">
        <f t="shared" si="254"/>
        <v>0</v>
      </c>
    </row>
    <row r="16237" spans="3:4" ht="15" x14ac:dyDescent="0.25">
      <c r="C16237" s="8" t="e">
        <f>VLOOKUP(A:A,'ITEM LIST'!A:C,3,0)</f>
        <v>#N/A</v>
      </c>
      <c r="D16237" s="6">
        <f t="shared" si="254"/>
        <v>0</v>
      </c>
    </row>
    <row r="16238" spans="3:4" ht="15" x14ac:dyDescent="0.25">
      <c r="C16238" s="8" t="e">
        <f>VLOOKUP(A:A,'ITEM LIST'!A:C,3,0)</f>
        <v>#N/A</v>
      </c>
      <c r="D16238" s="6">
        <f t="shared" si="254"/>
        <v>0</v>
      </c>
    </row>
    <row r="16239" spans="3:4" ht="15" x14ac:dyDescent="0.25">
      <c r="C16239" s="8" t="e">
        <f>VLOOKUP(A:A,'ITEM LIST'!A:C,3,0)</f>
        <v>#N/A</v>
      </c>
      <c r="D16239" s="6">
        <f t="shared" si="254"/>
        <v>0</v>
      </c>
    </row>
    <row r="16240" spans="3:4" ht="15" x14ac:dyDescent="0.25">
      <c r="C16240" s="8" t="e">
        <f>VLOOKUP(A:A,'ITEM LIST'!A:C,3,0)</f>
        <v>#N/A</v>
      </c>
      <c r="D16240" s="6">
        <f t="shared" si="254"/>
        <v>0</v>
      </c>
    </row>
    <row r="16241" spans="3:4" ht="15" x14ac:dyDescent="0.25">
      <c r="C16241" s="8" t="e">
        <f>VLOOKUP(A:A,'ITEM LIST'!A:C,3,0)</f>
        <v>#N/A</v>
      </c>
      <c r="D16241" s="6">
        <f t="shared" si="254"/>
        <v>0</v>
      </c>
    </row>
    <row r="16242" spans="3:4" ht="15" x14ac:dyDescent="0.25">
      <c r="C16242" s="8" t="e">
        <f>VLOOKUP(A:A,'ITEM LIST'!A:C,3,0)</f>
        <v>#N/A</v>
      </c>
      <c r="D16242" s="6">
        <f t="shared" si="254"/>
        <v>0</v>
      </c>
    </row>
    <row r="16243" spans="3:4" ht="15" x14ac:dyDescent="0.25">
      <c r="C16243" s="8" t="e">
        <f>VLOOKUP(A:A,'ITEM LIST'!A:C,3,0)</f>
        <v>#N/A</v>
      </c>
      <c r="D16243" s="6">
        <f t="shared" si="254"/>
        <v>0</v>
      </c>
    </row>
    <row r="16244" spans="3:4" ht="15" x14ac:dyDescent="0.25">
      <c r="C16244" s="8" t="e">
        <f>VLOOKUP(A:A,'ITEM LIST'!A:C,3,0)</f>
        <v>#N/A</v>
      </c>
      <c r="D16244" s="6">
        <f t="shared" si="254"/>
        <v>0</v>
      </c>
    </row>
    <row r="16245" spans="3:4" ht="15" x14ac:dyDescent="0.25">
      <c r="C16245" s="8" t="e">
        <f>VLOOKUP(A:A,'ITEM LIST'!A:C,3,0)</f>
        <v>#N/A</v>
      </c>
      <c r="D16245" s="6">
        <f t="shared" si="254"/>
        <v>0</v>
      </c>
    </row>
    <row r="16246" spans="3:4" ht="15" x14ac:dyDescent="0.25">
      <c r="C16246" s="8" t="e">
        <f>VLOOKUP(A:A,'ITEM LIST'!A:C,3,0)</f>
        <v>#N/A</v>
      </c>
      <c r="D16246" s="6">
        <f t="shared" si="254"/>
        <v>0</v>
      </c>
    </row>
    <row r="16247" spans="3:4" ht="15" x14ac:dyDescent="0.25">
      <c r="C16247" s="8" t="e">
        <f>VLOOKUP(A:A,'ITEM LIST'!A:C,3,0)</f>
        <v>#N/A</v>
      </c>
      <c r="D16247" s="6">
        <f t="shared" si="254"/>
        <v>0</v>
      </c>
    </row>
    <row r="16248" spans="3:4" ht="15" x14ac:dyDescent="0.25">
      <c r="C16248" s="8" t="e">
        <f>VLOOKUP(A:A,'ITEM LIST'!A:C,3,0)</f>
        <v>#N/A</v>
      </c>
      <c r="D16248" s="6">
        <f t="shared" si="254"/>
        <v>0</v>
      </c>
    </row>
    <row r="16249" spans="3:4" ht="15" x14ac:dyDescent="0.25">
      <c r="C16249" s="8" t="e">
        <f>VLOOKUP(A:A,'ITEM LIST'!A:C,3,0)</f>
        <v>#N/A</v>
      </c>
      <c r="D16249" s="6">
        <f t="shared" si="254"/>
        <v>0</v>
      </c>
    </row>
    <row r="16250" spans="3:4" ht="15" x14ac:dyDescent="0.25">
      <c r="C16250" s="8" t="e">
        <f>VLOOKUP(A:A,'ITEM LIST'!A:C,3,0)</f>
        <v>#N/A</v>
      </c>
      <c r="D16250" s="6">
        <f t="shared" si="254"/>
        <v>0</v>
      </c>
    </row>
    <row r="16251" spans="3:4" ht="15" x14ac:dyDescent="0.25">
      <c r="C16251" s="8" t="e">
        <f>VLOOKUP(A:A,'ITEM LIST'!A:C,3,0)</f>
        <v>#N/A</v>
      </c>
      <c r="D16251" s="6">
        <f t="shared" si="254"/>
        <v>0</v>
      </c>
    </row>
    <row r="16252" spans="3:4" ht="15" x14ac:dyDescent="0.25">
      <c r="C16252" s="8" t="e">
        <f>VLOOKUP(A:A,'ITEM LIST'!A:C,3,0)</f>
        <v>#N/A</v>
      </c>
      <c r="D16252" s="6">
        <f t="shared" si="254"/>
        <v>0</v>
      </c>
    </row>
    <row r="16253" spans="3:4" ht="15" x14ac:dyDescent="0.25">
      <c r="C16253" s="8" t="e">
        <f>VLOOKUP(A:A,'ITEM LIST'!A:C,3,0)</f>
        <v>#N/A</v>
      </c>
      <c r="D16253" s="6">
        <f t="shared" si="254"/>
        <v>0</v>
      </c>
    </row>
    <row r="16254" spans="3:4" ht="15" x14ac:dyDescent="0.25">
      <c r="C16254" s="8" t="e">
        <f>VLOOKUP(A:A,'ITEM LIST'!A:C,3,0)</f>
        <v>#N/A</v>
      </c>
      <c r="D16254" s="6">
        <f t="shared" si="254"/>
        <v>0</v>
      </c>
    </row>
    <row r="16255" spans="3:4" ht="15" x14ac:dyDescent="0.25">
      <c r="C16255" s="8" t="e">
        <f>VLOOKUP(A:A,'ITEM LIST'!A:C,3,0)</f>
        <v>#N/A</v>
      </c>
      <c r="D16255" s="6">
        <f t="shared" si="254"/>
        <v>0</v>
      </c>
    </row>
    <row r="16256" spans="3:4" ht="15" x14ac:dyDescent="0.25">
      <c r="C16256" s="8" t="e">
        <f>VLOOKUP(A:A,'ITEM LIST'!A:C,3,0)</f>
        <v>#N/A</v>
      </c>
      <c r="D16256" s="6">
        <f t="shared" si="254"/>
        <v>0</v>
      </c>
    </row>
    <row r="16257" spans="3:4" ht="15" x14ac:dyDescent="0.25">
      <c r="C16257" s="8" t="e">
        <f>VLOOKUP(A:A,'ITEM LIST'!A:C,3,0)</f>
        <v>#N/A</v>
      </c>
      <c r="D16257" s="6">
        <f t="shared" si="254"/>
        <v>0</v>
      </c>
    </row>
    <row r="16258" spans="3:4" ht="15" x14ac:dyDescent="0.25">
      <c r="C16258" s="8" t="e">
        <f>VLOOKUP(A:A,'ITEM LIST'!A:C,3,0)</f>
        <v>#N/A</v>
      </c>
      <c r="D16258" s="6">
        <f t="shared" si="254"/>
        <v>0</v>
      </c>
    </row>
    <row r="16259" spans="3:4" ht="15" x14ac:dyDescent="0.25">
      <c r="C16259" s="8" t="e">
        <f>VLOOKUP(A:A,'ITEM LIST'!A:C,3,0)</f>
        <v>#N/A</v>
      </c>
      <c r="D16259" s="6">
        <f t="shared" si="254"/>
        <v>0</v>
      </c>
    </row>
    <row r="16260" spans="3:4" ht="15" x14ac:dyDescent="0.25">
      <c r="C16260" s="8" t="e">
        <f>VLOOKUP(A:A,'ITEM LIST'!A:C,3,0)</f>
        <v>#N/A</v>
      </c>
      <c r="D16260" s="6">
        <f t="shared" si="254"/>
        <v>0</v>
      </c>
    </row>
    <row r="16261" spans="3:4" ht="15" x14ac:dyDescent="0.25">
      <c r="C16261" s="8" t="e">
        <f>VLOOKUP(A:A,'ITEM LIST'!A:C,3,0)</f>
        <v>#N/A</v>
      </c>
      <c r="D16261" s="6">
        <f t="shared" si="254"/>
        <v>0</v>
      </c>
    </row>
    <row r="16262" spans="3:4" ht="15" x14ac:dyDescent="0.25">
      <c r="C16262" s="8" t="e">
        <f>VLOOKUP(A:A,'ITEM LIST'!A:C,3,0)</f>
        <v>#N/A</v>
      </c>
      <c r="D16262" s="6">
        <f t="shared" ref="D16262:D16325" si="255">B16262</f>
        <v>0</v>
      </c>
    </row>
    <row r="16263" spans="3:4" ht="15" x14ac:dyDescent="0.25">
      <c r="C16263" s="8" t="e">
        <f>VLOOKUP(A:A,'ITEM LIST'!A:C,3,0)</f>
        <v>#N/A</v>
      </c>
      <c r="D16263" s="6">
        <f t="shared" si="255"/>
        <v>0</v>
      </c>
    </row>
    <row r="16264" spans="3:4" ht="15" x14ac:dyDescent="0.25">
      <c r="C16264" s="8" t="e">
        <f>VLOOKUP(A:A,'ITEM LIST'!A:C,3,0)</f>
        <v>#N/A</v>
      </c>
      <c r="D16264" s="6">
        <f t="shared" si="255"/>
        <v>0</v>
      </c>
    </row>
    <row r="16265" spans="3:4" ht="15" x14ac:dyDescent="0.25">
      <c r="C16265" s="8" t="e">
        <f>VLOOKUP(A:A,'ITEM LIST'!A:C,3,0)</f>
        <v>#N/A</v>
      </c>
      <c r="D16265" s="6">
        <f t="shared" si="255"/>
        <v>0</v>
      </c>
    </row>
    <row r="16266" spans="3:4" ht="15" x14ac:dyDescent="0.25">
      <c r="C16266" s="8" t="e">
        <f>VLOOKUP(A:A,'ITEM LIST'!A:C,3,0)</f>
        <v>#N/A</v>
      </c>
      <c r="D16266" s="6">
        <f t="shared" si="255"/>
        <v>0</v>
      </c>
    </row>
    <row r="16267" spans="3:4" ht="15" x14ac:dyDescent="0.25">
      <c r="C16267" s="8" t="e">
        <f>VLOOKUP(A:A,'ITEM LIST'!A:C,3,0)</f>
        <v>#N/A</v>
      </c>
      <c r="D16267" s="6">
        <f t="shared" si="255"/>
        <v>0</v>
      </c>
    </row>
    <row r="16268" spans="3:4" ht="15" x14ac:dyDescent="0.25">
      <c r="C16268" s="8" t="e">
        <f>VLOOKUP(A:A,'ITEM LIST'!A:C,3,0)</f>
        <v>#N/A</v>
      </c>
      <c r="D16268" s="6">
        <f t="shared" si="255"/>
        <v>0</v>
      </c>
    </row>
    <row r="16269" spans="3:4" ht="15" x14ac:dyDescent="0.25">
      <c r="C16269" s="8" t="e">
        <f>VLOOKUP(A:A,'ITEM LIST'!A:C,3,0)</f>
        <v>#N/A</v>
      </c>
      <c r="D16269" s="6">
        <f t="shared" si="255"/>
        <v>0</v>
      </c>
    </row>
    <row r="16270" spans="3:4" ht="15" x14ac:dyDescent="0.25">
      <c r="C16270" s="8" t="e">
        <f>VLOOKUP(A:A,'ITEM LIST'!A:C,3,0)</f>
        <v>#N/A</v>
      </c>
      <c r="D16270" s="6">
        <f t="shared" si="255"/>
        <v>0</v>
      </c>
    </row>
    <row r="16271" spans="3:4" ht="15" x14ac:dyDescent="0.25">
      <c r="C16271" s="8" t="e">
        <f>VLOOKUP(A:A,'ITEM LIST'!A:C,3,0)</f>
        <v>#N/A</v>
      </c>
      <c r="D16271" s="6">
        <f t="shared" si="255"/>
        <v>0</v>
      </c>
    </row>
    <row r="16272" spans="3:4" ht="15" x14ac:dyDescent="0.25">
      <c r="C16272" s="8" t="e">
        <f>VLOOKUP(A:A,'ITEM LIST'!A:C,3,0)</f>
        <v>#N/A</v>
      </c>
      <c r="D16272" s="6">
        <f t="shared" si="255"/>
        <v>0</v>
      </c>
    </row>
    <row r="16273" spans="3:4" ht="15" x14ac:dyDescent="0.25">
      <c r="C16273" s="8" t="e">
        <f>VLOOKUP(A:A,'ITEM LIST'!A:C,3,0)</f>
        <v>#N/A</v>
      </c>
      <c r="D16273" s="6">
        <f t="shared" si="255"/>
        <v>0</v>
      </c>
    </row>
    <row r="16274" spans="3:4" ht="15" x14ac:dyDescent="0.25">
      <c r="C16274" s="8" t="e">
        <f>VLOOKUP(A:A,'ITEM LIST'!A:C,3,0)</f>
        <v>#N/A</v>
      </c>
      <c r="D16274" s="6">
        <f t="shared" si="255"/>
        <v>0</v>
      </c>
    </row>
    <row r="16275" spans="3:4" ht="15" x14ac:dyDescent="0.25">
      <c r="C16275" s="8" t="e">
        <f>VLOOKUP(A:A,'ITEM LIST'!A:C,3,0)</f>
        <v>#N/A</v>
      </c>
      <c r="D16275" s="6">
        <f t="shared" si="255"/>
        <v>0</v>
      </c>
    </row>
    <row r="16276" spans="3:4" ht="15" x14ac:dyDescent="0.25">
      <c r="C16276" s="8" t="e">
        <f>VLOOKUP(A:A,'ITEM LIST'!A:C,3,0)</f>
        <v>#N/A</v>
      </c>
      <c r="D16276" s="6">
        <f t="shared" si="255"/>
        <v>0</v>
      </c>
    </row>
    <row r="16277" spans="3:4" ht="15" x14ac:dyDescent="0.25">
      <c r="C16277" s="8" t="e">
        <f>VLOOKUP(A:A,'ITEM LIST'!A:C,3,0)</f>
        <v>#N/A</v>
      </c>
      <c r="D16277" s="6">
        <f t="shared" si="255"/>
        <v>0</v>
      </c>
    </row>
    <row r="16278" spans="3:4" ht="15" x14ac:dyDescent="0.25">
      <c r="C16278" s="8" t="e">
        <f>VLOOKUP(A:A,'ITEM LIST'!A:C,3,0)</f>
        <v>#N/A</v>
      </c>
      <c r="D16278" s="6">
        <f t="shared" si="255"/>
        <v>0</v>
      </c>
    </row>
    <row r="16279" spans="3:4" ht="15" x14ac:dyDescent="0.25">
      <c r="C16279" s="8" t="e">
        <f>VLOOKUP(A:A,'ITEM LIST'!A:C,3,0)</f>
        <v>#N/A</v>
      </c>
      <c r="D16279" s="6">
        <f t="shared" si="255"/>
        <v>0</v>
      </c>
    </row>
    <row r="16280" spans="3:4" ht="15" x14ac:dyDescent="0.25">
      <c r="C16280" s="8" t="e">
        <f>VLOOKUP(A:A,'ITEM LIST'!A:C,3,0)</f>
        <v>#N/A</v>
      </c>
      <c r="D16280" s="6">
        <f t="shared" si="255"/>
        <v>0</v>
      </c>
    </row>
    <row r="16281" spans="3:4" ht="15" x14ac:dyDescent="0.25">
      <c r="C16281" s="8" t="e">
        <f>VLOOKUP(A:A,'ITEM LIST'!A:C,3,0)</f>
        <v>#N/A</v>
      </c>
      <c r="D16281" s="6">
        <f t="shared" si="255"/>
        <v>0</v>
      </c>
    </row>
    <row r="16282" spans="3:4" ht="15" x14ac:dyDescent="0.25">
      <c r="C16282" s="8" t="e">
        <f>VLOOKUP(A:A,'ITEM LIST'!A:C,3,0)</f>
        <v>#N/A</v>
      </c>
      <c r="D16282" s="6">
        <f t="shared" si="255"/>
        <v>0</v>
      </c>
    </row>
    <row r="16283" spans="3:4" ht="15" x14ac:dyDescent="0.25">
      <c r="C16283" s="8" t="e">
        <f>VLOOKUP(A:A,'ITEM LIST'!A:C,3,0)</f>
        <v>#N/A</v>
      </c>
      <c r="D16283" s="6">
        <f t="shared" si="255"/>
        <v>0</v>
      </c>
    </row>
    <row r="16284" spans="3:4" ht="15" x14ac:dyDescent="0.25">
      <c r="C16284" s="8" t="e">
        <f>VLOOKUP(A:A,'ITEM LIST'!A:C,3,0)</f>
        <v>#N/A</v>
      </c>
      <c r="D16284" s="6">
        <f t="shared" si="255"/>
        <v>0</v>
      </c>
    </row>
    <row r="16285" spans="3:4" ht="15" x14ac:dyDescent="0.25">
      <c r="C16285" s="8" t="e">
        <f>VLOOKUP(A:A,'ITEM LIST'!A:C,3,0)</f>
        <v>#N/A</v>
      </c>
      <c r="D16285" s="6">
        <f t="shared" si="255"/>
        <v>0</v>
      </c>
    </row>
    <row r="16286" spans="3:4" ht="15" x14ac:dyDescent="0.25">
      <c r="C16286" s="8" t="e">
        <f>VLOOKUP(A:A,'ITEM LIST'!A:C,3,0)</f>
        <v>#N/A</v>
      </c>
      <c r="D16286" s="6">
        <f t="shared" si="255"/>
        <v>0</v>
      </c>
    </row>
    <row r="16287" spans="3:4" ht="15" x14ac:dyDescent="0.25">
      <c r="C16287" s="8" t="e">
        <f>VLOOKUP(A:A,'ITEM LIST'!A:C,3,0)</f>
        <v>#N/A</v>
      </c>
      <c r="D16287" s="6">
        <f t="shared" si="255"/>
        <v>0</v>
      </c>
    </row>
    <row r="16288" spans="3:4" ht="15" x14ac:dyDescent="0.25">
      <c r="C16288" s="8" t="e">
        <f>VLOOKUP(A:A,'ITEM LIST'!A:C,3,0)</f>
        <v>#N/A</v>
      </c>
      <c r="D16288" s="6">
        <f t="shared" si="255"/>
        <v>0</v>
      </c>
    </row>
    <row r="16289" spans="3:4" ht="15" x14ac:dyDescent="0.25">
      <c r="C16289" s="8" t="e">
        <f>VLOOKUP(A:A,'ITEM LIST'!A:C,3,0)</f>
        <v>#N/A</v>
      </c>
      <c r="D16289" s="6">
        <f t="shared" si="255"/>
        <v>0</v>
      </c>
    </row>
    <row r="16290" spans="3:4" ht="15" x14ac:dyDescent="0.25">
      <c r="C16290" s="8" t="e">
        <f>VLOOKUP(A:A,'ITEM LIST'!A:C,3,0)</f>
        <v>#N/A</v>
      </c>
      <c r="D16290" s="6">
        <f t="shared" si="255"/>
        <v>0</v>
      </c>
    </row>
    <row r="16291" spans="3:4" ht="15" x14ac:dyDescent="0.25">
      <c r="C16291" s="8" t="e">
        <f>VLOOKUP(A:A,'ITEM LIST'!A:C,3,0)</f>
        <v>#N/A</v>
      </c>
      <c r="D16291" s="6">
        <f t="shared" si="255"/>
        <v>0</v>
      </c>
    </row>
    <row r="16292" spans="3:4" ht="15" x14ac:dyDescent="0.25">
      <c r="C16292" s="8" t="e">
        <f>VLOOKUP(A:A,'ITEM LIST'!A:C,3,0)</f>
        <v>#N/A</v>
      </c>
      <c r="D16292" s="6">
        <f t="shared" si="255"/>
        <v>0</v>
      </c>
    </row>
    <row r="16293" spans="3:4" ht="15" x14ac:dyDescent="0.25">
      <c r="C16293" s="8" t="e">
        <f>VLOOKUP(A:A,'ITEM LIST'!A:C,3,0)</f>
        <v>#N/A</v>
      </c>
      <c r="D16293" s="6">
        <f t="shared" si="255"/>
        <v>0</v>
      </c>
    </row>
    <row r="16294" spans="3:4" ht="15" x14ac:dyDescent="0.25">
      <c r="C16294" s="8" t="e">
        <f>VLOOKUP(A:A,'ITEM LIST'!A:C,3,0)</f>
        <v>#N/A</v>
      </c>
      <c r="D16294" s="6">
        <f t="shared" si="255"/>
        <v>0</v>
      </c>
    </row>
    <row r="16295" spans="3:4" ht="15" x14ac:dyDescent="0.25">
      <c r="C16295" s="8" t="e">
        <f>VLOOKUP(A:A,'ITEM LIST'!A:C,3,0)</f>
        <v>#N/A</v>
      </c>
      <c r="D16295" s="6">
        <f t="shared" si="255"/>
        <v>0</v>
      </c>
    </row>
    <row r="16296" spans="3:4" ht="15" x14ac:dyDescent="0.25">
      <c r="C16296" s="8" t="e">
        <f>VLOOKUP(A:A,'ITEM LIST'!A:C,3,0)</f>
        <v>#N/A</v>
      </c>
      <c r="D16296" s="6">
        <f t="shared" si="255"/>
        <v>0</v>
      </c>
    </row>
    <row r="16297" spans="3:4" ht="15" x14ac:dyDescent="0.25">
      <c r="C16297" s="8" t="e">
        <f>VLOOKUP(A:A,'ITEM LIST'!A:C,3,0)</f>
        <v>#N/A</v>
      </c>
      <c r="D16297" s="6">
        <f t="shared" si="255"/>
        <v>0</v>
      </c>
    </row>
    <row r="16298" spans="3:4" ht="15" x14ac:dyDescent="0.25">
      <c r="C16298" s="8" t="e">
        <f>VLOOKUP(A:A,'ITEM LIST'!A:C,3,0)</f>
        <v>#N/A</v>
      </c>
      <c r="D16298" s="6">
        <f t="shared" si="255"/>
        <v>0</v>
      </c>
    </row>
    <row r="16299" spans="3:4" ht="15" x14ac:dyDescent="0.25">
      <c r="C16299" s="8" t="e">
        <f>VLOOKUP(A:A,'ITEM LIST'!A:C,3,0)</f>
        <v>#N/A</v>
      </c>
      <c r="D16299" s="6">
        <f t="shared" si="255"/>
        <v>0</v>
      </c>
    </row>
    <row r="16300" spans="3:4" ht="15" x14ac:dyDescent="0.25">
      <c r="C16300" s="8" t="e">
        <f>VLOOKUP(A:A,'ITEM LIST'!A:C,3,0)</f>
        <v>#N/A</v>
      </c>
      <c r="D16300" s="6">
        <f t="shared" si="255"/>
        <v>0</v>
      </c>
    </row>
    <row r="16301" spans="3:4" ht="15" x14ac:dyDescent="0.25">
      <c r="C16301" s="8" t="e">
        <f>VLOOKUP(A:A,'ITEM LIST'!A:C,3,0)</f>
        <v>#N/A</v>
      </c>
      <c r="D16301" s="6">
        <f t="shared" si="255"/>
        <v>0</v>
      </c>
    </row>
    <row r="16302" spans="3:4" ht="15" x14ac:dyDescent="0.25">
      <c r="C16302" s="8" t="e">
        <f>VLOOKUP(A:A,'ITEM LIST'!A:C,3,0)</f>
        <v>#N/A</v>
      </c>
      <c r="D16302" s="6">
        <f t="shared" si="255"/>
        <v>0</v>
      </c>
    </row>
    <row r="16303" spans="3:4" ht="15" x14ac:dyDescent="0.25">
      <c r="C16303" s="8" t="e">
        <f>VLOOKUP(A:A,'ITEM LIST'!A:C,3,0)</f>
        <v>#N/A</v>
      </c>
      <c r="D16303" s="6">
        <f t="shared" si="255"/>
        <v>0</v>
      </c>
    </row>
    <row r="16304" spans="3:4" ht="15" x14ac:dyDescent="0.25">
      <c r="C16304" s="8" t="e">
        <f>VLOOKUP(A:A,'ITEM LIST'!A:C,3,0)</f>
        <v>#N/A</v>
      </c>
      <c r="D16304" s="6">
        <f t="shared" si="255"/>
        <v>0</v>
      </c>
    </row>
    <row r="16305" spans="3:4" ht="15" x14ac:dyDescent="0.25">
      <c r="C16305" s="8" t="e">
        <f>VLOOKUP(A:A,'ITEM LIST'!A:C,3,0)</f>
        <v>#N/A</v>
      </c>
      <c r="D16305" s="6">
        <f t="shared" si="255"/>
        <v>0</v>
      </c>
    </row>
    <row r="16306" spans="3:4" ht="15" x14ac:dyDescent="0.25">
      <c r="C16306" s="8" t="e">
        <f>VLOOKUP(A:A,'ITEM LIST'!A:C,3,0)</f>
        <v>#N/A</v>
      </c>
      <c r="D16306" s="6">
        <f t="shared" si="255"/>
        <v>0</v>
      </c>
    </row>
    <row r="16307" spans="3:4" ht="15" x14ac:dyDescent="0.25">
      <c r="C16307" s="8" t="e">
        <f>VLOOKUP(A:A,'ITEM LIST'!A:C,3,0)</f>
        <v>#N/A</v>
      </c>
      <c r="D16307" s="6">
        <f t="shared" si="255"/>
        <v>0</v>
      </c>
    </row>
    <row r="16308" spans="3:4" ht="15" x14ac:dyDescent="0.25">
      <c r="C16308" s="8" t="e">
        <f>VLOOKUP(A:A,'ITEM LIST'!A:C,3,0)</f>
        <v>#N/A</v>
      </c>
      <c r="D16308" s="6">
        <f t="shared" si="255"/>
        <v>0</v>
      </c>
    </row>
    <row r="16309" spans="3:4" ht="15" x14ac:dyDescent="0.25">
      <c r="C16309" s="8" t="e">
        <f>VLOOKUP(A:A,'ITEM LIST'!A:C,3,0)</f>
        <v>#N/A</v>
      </c>
      <c r="D16309" s="6">
        <f t="shared" si="255"/>
        <v>0</v>
      </c>
    </row>
    <row r="16310" spans="3:4" ht="15" x14ac:dyDescent="0.25">
      <c r="C16310" s="8" t="e">
        <f>VLOOKUP(A:A,'ITEM LIST'!A:C,3,0)</f>
        <v>#N/A</v>
      </c>
      <c r="D16310" s="6">
        <f t="shared" si="255"/>
        <v>0</v>
      </c>
    </row>
    <row r="16311" spans="3:4" ht="15" x14ac:dyDescent="0.25">
      <c r="C16311" s="8" t="e">
        <f>VLOOKUP(A:A,'ITEM LIST'!A:C,3,0)</f>
        <v>#N/A</v>
      </c>
      <c r="D16311" s="6">
        <f t="shared" si="255"/>
        <v>0</v>
      </c>
    </row>
    <row r="16312" spans="3:4" ht="15" x14ac:dyDescent="0.25">
      <c r="C16312" s="8" t="e">
        <f>VLOOKUP(A:A,'ITEM LIST'!A:C,3,0)</f>
        <v>#N/A</v>
      </c>
      <c r="D16312" s="6">
        <f t="shared" si="255"/>
        <v>0</v>
      </c>
    </row>
    <row r="16313" spans="3:4" ht="15" x14ac:dyDescent="0.25">
      <c r="C16313" s="8" t="e">
        <f>VLOOKUP(A:A,'ITEM LIST'!A:C,3,0)</f>
        <v>#N/A</v>
      </c>
      <c r="D16313" s="6">
        <f t="shared" si="255"/>
        <v>0</v>
      </c>
    </row>
    <row r="16314" spans="3:4" ht="15" x14ac:dyDescent="0.25">
      <c r="C16314" s="8" t="e">
        <f>VLOOKUP(A:A,'ITEM LIST'!A:C,3,0)</f>
        <v>#N/A</v>
      </c>
      <c r="D16314" s="6">
        <f t="shared" si="255"/>
        <v>0</v>
      </c>
    </row>
    <row r="16315" spans="3:4" ht="15" x14ac:dyDescent="0.25">
      <c r="C16315" s="8" t="e">
        <f>VLOOKUP(A:A,'ITEM LIST'!A:C,3,0)</f>
        <v>#N/A</v>
      </c>
      <c r="D16315" s="6">
        <f t="shared" si="255"/>
        <v>0</v>
      </c>
    </row>
    <row r="16316" spans="3:4" ht="15" x14ac:dyDescent="0.25">
      <c r="C16316" s="8" t="e">
        <f>VLOOKUP(A:A,'ITEM LIST'!A:C,3,0)</f>
        <v>#N/A</v>
      </c>
      <c r="D16316" s="6">
        <f t="shared" si="255"/>
        <v>0</v>
      </c>
    </row>
    <row r="16317" spans="3:4" ht="15" x14ac:dyDescent="0.25">
      <c r="C16317" s="8" t="e">
        <f>VLOOKUP(A:A,'ITEM LIST'!A:C,3,0)</f>
        <v>#N/A</v>
      </c>
      <c r="D16317" s="6">
        <f t="shared" si="255"/>
        <v>0</v>
      </c>
    </row>
    <row r="16318" spans="3:4" ht="15" x14ac:dyDescent="0.25">
      <c r="C16318" s="8" t="e">
        <f>VLOOKUP(A:A,'ITEM LIST'!A:C,3,0)</f>
        <v>#N/A</v>
      </c>
      <c r="D16318" s="6">
        <f t="shared" si="255"/>
        <v>0</v>
      </c>
    </row>
    <row r="16319" spans="3:4" ht="15" x14ac:dyDescent="0.25">
      <c r="C16319" s="8" t="e">
        <f>VLOOKUP(A:A,'ITEM LIST'!A:C,3,0)</f>
        <v>#N/A</v>
      </c>
      <c r="D16319" s="6">
        <f t="shared" si="255"/>
        <v>0</v>
      </c>
    </row>
    <row r="16320" spans="3:4" ht="15" x14ac:dyDescent="0.25">
      <c r="C16320" s="8" t="e">
        <f>VLOOKUP(A:A,'ITEM LIST'!A:C,3,0)</f>
        <v>#N/A</v>
      </c>
      <c r="D16320" s="6">
        <f t="shared" si="255"/>
        <v>0</v>
      </c>
    </row>
    <row r="16321" spans="3:4" ht="15" x14ac:dyDescent="0.25">
      <c r="C16321" s="8" t="e">
        <f>VLOOKUP(A:A,'ITEM LIST'!A:C,3,0)</f>
        <v>#N/A</v>
      </c>
      <c r="D16321" s="6">
        <f t="shared" si="255"/>
        <v>0</v>
      </c>
    </row>
    <row r="16322" spans="3:4" ht="15" x14ac:dyDescent="0.25">
      <c r="C16322" s="8" t="e">
        <f>VLOOKUP(A:A,'ITEM LIST'!A:C,3,0)</f>
        <v>#N/A</v>
      </c>
      <c r="D16322" s="6">
        <f t="shared" si="255"/>
        <v>0</v>
      </c>
    </row>
    <row r="16323" spans="3:4" ht="15" x14ac:dyDescent="0.25">
      <c r="C16323" s="8" t="e">
        <f>VLOOKUP(A:A,'ITEM LIST'!A:C,3,0)</f>
        <v>#N/A</v>
      </c>
      <c r="D16323" s="6">
        <f t="shared" si="255"/>
        <v>0</v>
      </c>
    </row>
    <row r="16324" spans="3:4" ht="15" x14ac:dyDescent="0.25">
      <c r="C16324" s="8" t="e">
        <f>VLOOKUP(A:A,'ITEM LIST'!A:C,3,0)</f>
        <v>#N/A</v>
      </c>
      <c r="D16324" s="6">
        <f t="shared" si="255"/>
        <v>0</v>
      </c>
    </row>
    <row r="16325" spans="3:4" ht="15" x14ac:dyDescent="0.25">
      <c r="C16325" s="8" t="e">
        <f>VLOOKUP(A:A,'ITEM LIST'!A:C,3,0)</f>
        <v>#N/A</v>
      </c>
      <c r="D16325" s="6">
        <f t="shared" si="255"/>
        <v>0</v>
      </c>
    </row>
    <row r="16326" spans="3:4" ht="15" x14ac:dyDescent="0.25">
      <c r="C16326" s="8" t="e">
        <f>VLOOKUP(A:A,'ITEM LIST'!A:C,3,0)</f>
        <v>#N/A</v>
      </c>
      <c r="D16326" s="6">
        <f t="shared" ref="D16326:D16389" si="256">B16326</f>
        <v>0</v>
      </c>
    </row>
    <row r="16327" spans="3:4" ht="15" x14ac:dyDescent="0.25">
      <c r="C16327" s="8" t="e">
        <f>VLOOKUP(A:A,'ITEM LIST'!A:C,3,0)</f>
        <v>#N/A</v>
      </c>
      <c r="D16327" s="6">
        <f t="shared" si="256"/>
        <v>0</v>
      </c>
    </row>
    <row r="16328" spans="3:4" ht="15" x14ac:dyDescent="0.25">
      <c r="C16328" s="8" t="e">
        <f>VLOOKUP(A:A,'ITEM LIST'!A:C,3,0)</f>
        <v>#N/A</v>
      </c>
      <c r="D16328" s="6">
        <f t="shared" si="256"/>
        <v>0</v>
      </c>
    </row>
    <row r="16329" spans="3:4" ht="15" x14ac:dyDescent="0.25">
      <c r="C16329" s="8" t="e">
        <f>VLOOKUP(A:A,'ITEM LIST'!A:C,3,0)</f>
        <v>#N/A</v>
      </c>
      <c r="D16329" s="6">
        <f t="shared" si="256"/>
        <v>0</v>
      </c>
    </row>
    <row r="16330" spans="3:4" ht="15" x14ac:dyDescent="0.25">
      <c r="C16330" s="8" t="e">
        <f>VLOOKUP(A:A,'ITEM LIST'!A:C,3,0)</f>
        <v>#N/A</v>
      </c>
      <c r="D16330" s="6">
        <f t="shared" si="256"/>
        <v>0</v>
      </c>
    </row>
    <row r="16331" spans="3:4" ht="15" x14ac:dyDescent="0.25">
      <c r="C16331" s="8" t="e">
        <f>VLOOKUP(A:A,'ITEM LIST'!A:C,3,0)</f>
        <v>#N/A</v>
      </c>
      <c r="D16331" s="6">
        <f t="shared" si="256"/>
        <v>0</v>
      </c>
    </row>
    <row r="16332" spans="3:4" ht="15" x14ac:dyDescent="0.25">
      <c r="C16332" s="8" t="e">
        <f>VLOOKUP(A:A,'ITEM LIST'!A:C,3,0)</f>
        <v>#N/A</v>
      </c>
      <c r="D16332" s="6">
        <f t="shared" si="256"/>
        <v>0</v>
      </c>
    </row>
    <row r="16333" spans="3:4" ht="15" x14ac:dyDescent="0.25">
      <c r="C16333" s="8" t="e">
        <f>VLOOKUP(A:A,'ITEM LIST'!A:C,3,0)</f>
        <v>#N/A</v>
      </c>
      <c r="D16333" s="6">
        <f t="shared" si="256"/>
        <v>0</v>
      </c>
    </row>
    <row r="16334" spans="3:4" ht="15" x14ac:dyDescent="0.25">
      <c r="C16334" s="8" t="e">
        <f>VLOOKUP(A:A,'ITEM LIST'!A:C,3,0)</f>
        <v>#N/A</v>
      </c>
      <c r="D16334" s="6">
        <f t="shared" si="256"/>
        <v>0</v>
      </c>
    </row>
    <row r="16335" spans="3:4" ht="15" x14ac:dyDescent="0.25">
      <c r="C16335" s="8" t="e">
        <f>VLOOKUP(A:A,'ITEM LIST'!A:C,3,0)</f>
        <v>#N/A</v>
      </c>
      <c r="D16335" s="6">
        <f t="shared" si="256"/>
        <v>0</v>
      </c>
    </row>
    <row r="16336" spans="3:4" ht="15" x14ac:dyDescent="0.25">
      <c r="C16336" s="8" t="e">
        <f>VLOOKUP(A:A,'ITEM LIST'!A:C,3,0)</f>
        <v>#N/A</v>
      </c>
      <c r="D16336" s="6">
        <f t="shared" si="256"/>
        <v>0</v>
      </c>
    </row>
    <row r="16337" spans="3:4" ht="15" x14ac:dyDescent="0.25">
      <c r="C16337" s="8" t="e">
        <f>VLOOKUP(A:A,'ITEM LIST'!A:C,3,0)</f>
        <v>#N/A</v>
      </c>
      <c r="D16337" s="6">
        <f t="shared" si="256"/>
        <v>0</v>
      </c>
    </row>
    <row r="16338" spans="3:4" ht="15" x14ac:dyDescent="0.25">
      <c r="C16338" s="8" t="e">
        <f>VLOOKUP(A:A,'ITEM LIST'!A:C,3,0)</f>
        <v>#N/A</v>
      </c>
      <c r="D16338" s="6">
        <f t="shared" si="256"/>
        <v>0</v>
      </c>
    </row>
    <row r="16339" spans="3:4" ht="15" x14ac:dyDescent="0.25">
      <c r="C16339" s="8" t="e">
        <f>VLOOKUP(A:A,'ITEM LIST'!A:C,3,0)</f>
        <v>#N/A</v>
      </c>
      <c r="D16339" s="6">
        <f t="shared" si="256"/>
        <v>0</v>
      </c>
    </row>
    <row r="16340" spans="3:4" ht="15" x14ac:dyDescent="0.25">
      <c r="C16340" s="8" t="e">
        <f>VLOOKUP(A:A,'ITEM LIST'!A:C,3,0)</f>
        <v>#N/A</v>
      </c>
      <c r="D16340" s="6">
        <f t="shared" si="256"/>
        <v>0</v>
      </c>
    </row>
    <row r="16341" spans="3:4" ht="15" x14ac:dyDescent="0.25">
      <c r="C16341" s="8" t="e">
        <f>VLOOKUP(A:A,'ITEM LIST'!A:C,3,0)</f>
        <v>#N/A</v>
      </c>
      <c r="D16341" s="6">
        <f t="shared" si="256"/>
        <v>0</v>
      </c>
    </row>
    <row r="16342" spans="3:4" ht="15" x14ac:dyDescent="0.25">
      <c r="C16342" s="8" t="e">
        <f>VLOOKUP(A:A,'ITEM LIST'!A:C,3,0)</f>
        <v>#N/A</v>
      </c>
      <c r="D16342" s="6">
        <f t="shared" si="256"/>
        <v>0</v>
      </c>
    </row>
    <row r="16343" spans="3:4" ht="15" x14ac:dyDescent="0.25">
      <c r="C16343" s="8" t="e">
        <f>VLOOKUP(A:A,'ITEM LIST'!A:C,3,0)</f>
        <v>#N/A</v>
      </c>
      <c r="D16343" s="6">
        <f t="shared" si="256"/>
        <v>0</v>
      </c>
    </row>
    <row r="16344" spans="3:4" ht="15" x14ac:dyDescent="0.25">
      <c r="C16344" s="8" t="e">
        <f>VLOOKUP(A:A,'ITEM LIST'!A:C,3,0)</f>
        <v>#N/A</v>
      </c>
      <c r="D16344" s="6">
        <f t="shared" si="256"/>
        <v>0</v>
      </c>
    </row>
    <row r="16345" spans="3:4" ht="15" x14ac:dyDescent="0.25">
      <c r="C16345" s="8" t="e">
        <f>VLOOKUP(A:A,'ITEM LIST'!A:C,3,0)</f>
        <v>#N/A</v>
      </c>
      <c r="D16345" s="6">
        <f t="shared" si="256"/>
        <v>0</v>
      </c>
    </row>
    <row r="16346" spans="3:4" ht="15" x14ac:dyDescent="0.25">
      <c r="C16346" s="8" t="e">
        <f>VLOOKUP(A:A,'ITEM LIST'!A:C,3,0)</f>
        <v>#N/A</v>
      </c>
      <c r="D16346" s="6">
        <f t="shared" si="256"/>
        <v>0</v>
      </c>
    </row>
    <row r="16347" spans="3:4" ht="15" x14ac:dyDescent="0.25">
      <c r="C16347" s="8" t="e">
        <f>VLOOKUP(A:A,'ITEM LIST'!A:C,3,0)</f>
        <v>#N/A</v>
      </c>
      <c r="D16347" s="6">
        <f t="shared" si="256"/>
        <v>0</v>
      </c>
    </row>
    <row r="16348" spans="3:4" ht="15" x14ac:dyDescent="0.25">
      <c r="C16348" s="8" t="e">
        <f>VLOOKUP(A:A,'ITEM LIST'!A:C,3,0)</f>
        <v>#N/A</v>
      </c>
      <c r="D16348" s="6">
        <f t="shared" si="256"/>
        <v>0</v>
      </c>
    </row>
    <row r="16349" spans="3:4" ht="15" x14ac:dyDescent="0.25">
      <c r="C16349" s="8" t="e">
        <f>VLOOKUP(A:A,'ITEM LIST'!A:C,3,0)</f>
        <v>#N/A</v>
      </c>
      <c r="D16349" s="6">
        <f t="shared" si="256"/>
        <v>0</v>
      </c>
    </row>
    <row r="16350" spans="3:4" ht="15" x14ac:dyDescent="0.25">
      <c r="C16350" s="8" t="e">
        <f>VLOOKUP(A:A,'ITEM LIST'!A:C,3,0)</f>
        <v>#N/A</v>
      </c>
      <c r="D16350" s="6">
        <f t="shared" si="256"/>
        <v>0</v>
      </c>
    </row>
    <row r="16351" spans="3:4" ht="15" x14ac:dyDescent="0.25">
      <c r="C16351" s="8" t="e">
        <f>VLOOKUP(A:A,'ITEM LIST'!A:C,3,0)</f>
        <v>#N/A</v>
      </c>
      <c r="D16351" s="6">
        <f t="shared" si="256"/>
        <v>0</v>
      </c>
    </row>
    <row r="16352" spans="3:4" ht="15" x14ac:dyDescent="0.25">
      <c r="C16352" s="8" t="e">
        <f>VLOOKUP(A:A,'ITEM LIST'!A:C,3,0)</f>
        <v>#N/A</v>
      </c>
      <c r="D16352" s="6">
        <f t="shared" si="256"/>
        <v>0</v>
      </c>
    </row>
    <row r="16353" spans="3:4" ht="15" x14ac:dyDescent="0.25">
      <c r="C16353" s="8" t="e">
        <f>VLOOKUP(A:A,'ITEM LIST'!A:C,3,0)</f>
        <v>#N/A</v>
      </c>
      <c r="D16353" s="6">
        <f t="shared" si="256"/>
        <v>0</v>
      </c>
    </row>
    <row r="16354" spans="3:4" ht="15" x14ac:dyDescent="0.25">
      <c r="C16354" s="8" t="e">
        <f>VLOOKUP(A:A,'ITEM LIST'!A:C,3,0)</f>
        <v>#N/A</v>
      </c>
      <c r="D16354" s="6">
        <f t="shared" si="256"/>
        <v>0</v>
      </c>
    </row>
    <row r="16355" spans="3:4" ht="15" x14ac:dyDescent="0.25">
      <c r="C16355" s="8" t="e">
        <f>VLOOKUP(A:A,'ITEM LIST'!A:C,3,0)</f>
        <v>#N/A</v>
      </c>
      <c r="D16355" s="6">
        <f t="shared" si="256"/>
        <v>0</v>
      </c>
    </row>
    <row r="16356" spans="3:4" ht="15" x14ac:dyDescent="0.25">
      <c r="C16356" s="8" t="e">
        <f>VLOOKUP(A:A,'ITEM LIST'!A:C,3,0)</f>
        <v>#N/A</v>
      </c>
      <c r="D16356" s="6">
        <f t="shared" si="256"/>
        <v>0</v>
      </c>
    </row>
    <row r="16357" spans="3:4" ht="15" x14ac:dyDescent="0.25">
      <c r="C16357" s="8" t="e">
        <f>VLOOKUP(A:A,'ITEM LIST'!A:C,3,0)</f>
        <v>#N/A</v>
      </c>
      <c r="D16357" s="6">
        <f t="shared" si="256"/>
        <v>0</v>
      </c>
    </row>
    <row r="16358" spans="3:4" ht="15" x14ac:dyDescent="0.25">
      <c r="C16358" s="8" t="e">
        <f>VLOOKUP(A:A,'ITEM LIST'!A:C,3,0)</f>
        <v>#N/A</v>
      </c>
      <c r="D16358" s="6">
        <f t="shared" si="256"/>
        <v>0</v>
      </c>
    </row>
    <row r="16359" spans="3:4" ht="15" x14ac:dyDescent="0.25">
      <c r="C16359" s="8" t="e">
        <f>VLOOKUP(A:A,'ITEM LIST'!A:C,3,0)</f>
        <v>#N/A</v>
      </c>
      <c r="D16359" s="6">
        <f t="shared" si="256"/>
        <v>0</v>
      </c>
    </row>
    <row r="16360" spans="3:4" ht="15" x14ac:dyDescent="0.25">
      <c r="C16360" s="8" t="e">
        <f>VLOOKUP(A:A,'ITEM LIST'!A:C,3,0)</f>
        <v>#N/A</v>
      </c>
      <c r="D16360" s="6">
        <f t="shared" si="256"/>
        <v>0</v>
      </c>
    </row>
    <row r="16361" spans="3:4" ht="15" x14ac:dyDescent="0.25">
      <c r="C16361" s="8" t="e">
        <f>VLOOKUP(A:A,'ITEM LIST'!A:C,3,0)</f>
        <v>#N/A</v>
      </c>
      <c r="D16361" s="6">
        <f t="shared" si="256"/>
        <v>0</v>
      </c>
    </row>
    <row r="16362" spans="3:4" ht="15" x14ac:dyDescent="0.25">
      <c r="C16362" s="8" t="e">
        <f>VLOOKUP(A:A,'ITEM LIST'!A:C,3,0)</f>
        <v>#N/A</v>
      </c>
      <c r="D16362" s="6">
        <f t="shared" si="256"/>
        <v>0</v>
      </c>
    </row>
    <row r="16363" spans="3:4" ht="15" x14ac:dyDescent="0.25">
      <c r="C16363" s="8" t="e">
        <f>VLOOKUP(A:A,'ITEM LIST'!A:C,3,0)</f>
        <v>#N/A</v>
      </c>
      <c r="D16363" s="6">
        <f t="shared" si="256"/>
        <v>0</v>
      </c>
    </row>
    <row r="16364" spans="3:4" ht="15" x14ac:dyDescent="0.25">
      <c r="C16364" s="8" t="e">
        <f>VLOOKUP(A:A,'ITEM LIST'!A:C,3,0)</f>
        <v>#N/A</v>
      </c>
      <c r="D16364" s="6">
        <f t="shared" si="256"/>
        <v>0</v>
      </c>
    </row>
    <row r="16365" spans="3:4" ht="15" x14ac:dyDescent="0.25">
      <c r="C16365" s="8" t="e">
        <f>VLOOKUP(A:A,'ITEM LIST'!A:C,3,0)</f>
        <v>#N/A</v>
      </c>
      <c r="D16365" s="6">
        <f t="shared" si="256"/>
        <v>0</v>
      </c>
    </row>
    <row r="16366" spans="3:4" ht="15" x14ac:dyDescent="0.25">
      <c r="C16366" s="8" t="e">
        <f>VLOOKUP(A:A,'ITEM LIST'!A:C,3,0)</f>
        <v>#N/A</v>
      </c>
      <c r="D16366" s="6">
        <f t="shared" si="256"/>
        <v>0</v>
      </c>
    </row>
    <row r="16367" spans="3:4" ht="15" x14ac:dyDescent="0.25">
      <c r="C16367" s="8" t="e">
        <f>VLOOKUP(A:A,'ITEM LIST'!A:C,3,0)</f>
        <v>#N/A</v>
      </c>
      <c r="D16367" s="6">
        <f t="shared" si="256"/>
        <v>0</v>
      </c>
    </row>
    <row r="16368" spans="3:4" ht="15" x14ac:dyDescent="0.25">
      <c r="C16368" s="8" t="e">
        <f>VLOOKUP(A:A,'ITEM LIST'!A:C,3,0)</f>
        <v>#N/A</v>
      </c>
      <c r="D16368" s="6">
        <f t="shared" si="256"/>
        <v>0</v>
      </c>
    </row>
    <row r="16369" spans="3:4" ht="15" x14ac:dyDescent="0.25">
      <c r="C16369" s="8" t="e">
        <f>VLOOKUP(A:A,'ITEM LIST'!A:C,3,0)</f>
        <v>#N/A</v>
      </c>
      <c r="D16369" s="6">
        <f t="shared" si="256"/>
        <v>0</v>
      </c>
    </row>
    <row r="16370" spans="3:4" ht="15" x14ac:dyDescent="0.25">
      <c r="C16370" s="8" t="e">
        <f>VLOOKUP(A:A,'ITEM LIST'!A:C,3,0)</f>
        <v>#N/A</v>
      </c>
      <c r="D16370" s="6">
        <f t="shared" si="256"/>
        <v>0</v>
      </c>
    </row>
    <row r="16371" spans="3:4" ht="15" x14ac:dyDescent="0.25">
      <c r="C16371" s="8" t="e">
        <f>VLOOKUP(A:A,'ITEM LIST'!A:C,3,0)</f>
        <v>#N/A</v>
      </c>
      <c r="D16371" s="6">
        <f t="shared" si="256"/>
        <v>0</v>
      </c>
    </row>
    <row r="16372" spans="3:4" ht="15" x14ac:dyDescent="0.25">
      <c r="C16372" s="8" t="e">
        <f>VLOOKUP(A:A,'ITEM LIST'!A:C,3,0)</f>
        <v>#N/A</v>
      </c>
      <c r="D16372" s="6">
        <f t="shared" si="256"/>
        <v>0</v>
      </c>
    </row>
    <row r="16373" spans="3:4" ht="15" x14ac:dyDescent="0.25">
      <c r="C16373" s="8" t="e">
        <f>VLOOKUP(A:A,'ITEM LIST'!A:C,3,0)</f>
        <v>#N/A</v>
      </c>
      <c r="D16373" s="6">
        <f t="shared" si="256"/>
        <v>0</v>
      </c>
    </row>
    <row r="16374" spans="3:4" ht="15" x14ac:dyDescent="0.25">
      <c r="C16374" s="8" t="e">
        <f>VLOOKUP(A:A,'ITEM LIST'!A:C,3,0)</f>
        <v>#N/A</v>
      </c>
      <c r="D16374" s="6">
        <f t="shared" si="256"/>
        <v>0</v>
      </c>
    </row>
    <row r="16375" spans="3:4" ht="15" x14ac:dyDescent="0.25">
      <c r="C16375" s="8" t="e">
        <f>VLOOKUP(A:A,'ITEM LIST'!A:C,3,0)</f>
        <v>#N/A</v>
      </c>
      <c r="D16375" s="6">
        <f t="shared" si="256"/>
        <v>0</v>
      </c>
    </row>
    <row r="16376" spans="3:4" ht="15" x14ac:dyDescent="0.25">
      <c r="C16376" s="8" t="e">
        <f>VLOOKUP(A:A,'ITEM LIST'!A:C,3,0)</f>
        <v>#N/A</v>
      </c>
      <c r="D16376" s="6">
        <f t="shared" si="256"/>
        <v>0</v>
      </c>
    </row>
    <row r="16377" spans="3:4" ht="15" x14ac:dyDescent="0.25">
      <c r="C16377" s="8" t="e">
        <f>VLOOKUP(A:A,'ITEM LIST'!A:C,3,0)</f>
        <v>#N/A</v>
      </c>
      <c r="D16377" s="6">
        <f t="shared" si="256"/>
        <v>0</v>
      </c>
    </row>
    <row r="16378" spans="3:4" ht="15" x14ac:dyDescent="0.25">
      <c r="C16378" s="8" t="e">
        <f>VLOOKUP(A:A,'ITEM LIST'!A:C,3,0)</f>
        <v>#N/A</v>
      </c>
      <c r="D16378" s="6">
        <f t="shared" si="256"/>
        <v>0</v>
      </c>
    </row>
    <row r="16379" spans="3:4" ht="15" x14ac:dyDescent="0.25">
      <c r="C16379" s="8" t="e">
        <f>VLOOKUP(A:A,'ITEM LIST'!A:C,3,0)</f>
        <v>#N/A</v>
      </c>
      <c r="D16379" s="6">
        <f t="shared" si="256"/>
        <v>0</v>
      </c>
    </row>
    <row r="16380" spans="3:4" ht="15" x14ac:dyDescent="0.25">
      <c r="C16380" s="8" t="e">
        <f>VLOOKUP(A:A,'ITEM LIST'!A:C,3,0)</f>
        <v>#N/A</v>
      </c>
      <c r="D16380" s="6">
        <f t="shared" si="256"/>
        <v>0</v>
      </c>
    </row>
    <row r="16381" spans="3:4" ht="15" x14ac:dyDescent="0.25">
      <c r="C16381" s="8" t="e">
        <f>VLOOKUP(A:A,'ITEM LIST'!A:C,3,0)</f>
        <v>#N/A</v>
      </c>
      <c r="D16381" s="6">
        <f t="shared" si="256"/>
        <v>0</v>
      </c>
    </row>
    <row r="16382" spans="3:4" ht="15" x14ac:dyDescent="0.25">
      <c r="C16382" s="8" t="e">
        <f>VLOOKUP(A:A,'ITEM LIST'!A:C,3,0)</f>
        <v>#N/A</v>
      </c>
      <c r="D16382" s="6">
        <f t="shared" si="256"/>
        <v>0</v>
      </c>
    </row>
    <row r="16383" spans="3:4" ht="15" x14ac:dyDescent="0.25">
      <c r="C16383" s="8" t="e">
        <f>VLOOKUP(A:A,'ITEM LIST'!A:C,3,0)</f>
        <v>#N/A</v>
      </c>
      <c r="D16383" s="6">
        <f t="shared" si="256"/>
        <v>0</v>
      </c>
    </row>
    <row r="16384" spans="3:4" ht="15" x14ac:dyDescent="0.25">
      <c r="C16384" s="8" t="e">
        <f>VLOOKUP(A:A,'ITEM LIST'!A:C,3,0)</f>
        <v>#N/A</v>
      </c>
      <c r="D16384" s="6">
        <f t="shared" si="256"/>
        <v>0</v>
      </c>
    </row>
    <row r="16385" spans="3:4" ht="15" x14ac:dyDescent="0.25">
      <c r="C16385" s="8" t="e">
        <f>VLOOKUP(A:A,'ITEM LIST'!A:C,3,0)</f>
        <v>#N/A</v>
      </c>
      <c r="D16385" s="6">
        <f t="shared" si="256"/>
        <v>0</v>
      </c>
    </row>
    <row r="16386" spans="3:4" ht="15" x14ac:dyDescent="0.25">
      <c r="C16386" s="8" t="e">
        <f>VLOOKUP(A:A,'ITEM LIST'!A:C,3,0)</f>
        <v>#N/A</v>
      </c>
      <c r="D16386" s="6">
        <f t="shared" si="256"/>
        <v>0</v>
      </c>
    </row>
    <row r="16387" spans="3:4" ht="15" x14ac:dyDescent="0.25">
      <c r="C16387" s="8" t="e">
        <f>VLOOKUP(A:A,'ITEM LIST'!A:C,3,0)</f>
        <v>#N/A</v>
      </c>
      <c r="D16387" s="6">
        <f t="shared" si="256"/>
        <v>0</v>
      </c>
    </row>
    <row r="16388" spans="3:4" ht="15" x14ac:dyDescent="0.25">
      <c r="C16388" s="8" t="e">
        <f>VLOOKUP(A:A,'ITEM LIST'!A:C,3,0)</f>
        <v>#N/A</v>
      </c>
      <c r="D16388" s="6">
        <f t="shared" si="256"/>
        <v>0</v>
      </c>
    </row>
    <row r="16389" spans="3:4" ht="15" x14ac:dyDescent="0.25">
      <c r="C16389" s="8" t="e">
        <f>VLOOKUP(A:A,'ITEM LIST'!A:C,3,0)</f>
        <v>#N/A</v>
      </c>
      <c r="D16389" s="6">
        <f t="shared" si="256"/>
        <v>0</v>
      </c>
    </row>
    <row r="16390" spans="3:4" ht="15" x14ac:dyDescent="0.25">
      <c r="C16390" s="8" t="e">
        <f>VLOOKUP(A:A,'ITEM LIST'!A:C,3,0)</f>
        <v>#N/A</v>
      </c>
      <c r="D16390" s="6">
        <f t="shared" ref="D16390:D16453" si="257">B16390</f>
        <v>0</v>
      </c>
    </row>
    <row r="16391" spans="3:4" ht="15" x14ac:dyDescent="0.25">
      <c r="C16391" s="8" t="e">
        <f>VLOOKUP(A:A,'ITEM LIST'!A:C,3,0)</f>
        <v>#N/A</v>
      </c>
      <c r="D16391" s="6">
        <f t="shared" si="257"/>
        <v>0</v>
      </c>
    </row>
    <row r="16392" spans="3:4" ht="15" x14ac:dyDescent="0.25">
      <c r="C16392" s="8" t="e">
        <f>VLOOKUP(A:A,'ITEM LIST'!A:C,3,0)</f>
        <v>#N/A</v>
      </c>
      <c r="D16392" s="6">
        <f t="shared" si="257"/>
        <v>0</v>
      </c>
    </row>
    <row r="16393" spans="3:4" ht="15" x14ac:dyDescent="0.25">
      <c r="C16393" s="8" t="e">
        <f>VLOOKUP(A:A,'ITEM LIST'!A:C,3,0)</f>
        <v>#N/A</v>
      </c>
      <c r="D16393" s="6">
        <f t="shared" si="257"/>
        <v>0</v>
      </c>
    </row>
    <row r="16394" spans="3:4" ht="15" x14ac:dyDescent="0.25">
      <c r="C16394" s="8" t="e">
        <f>VLOOKUP(A:A,'ITEM LIST'!A:C,3,0)</f>
        <v>#N/A</v>
      </c>
      <c r="D16394" s="6">
        <f t="shared" si="257"/>
        <v>0</v>
      </c>
    </row>
    <row r="16395" spans="3:4" ht="15" x14ac:dyDescent="0.25">
      <c r="C16395" s="8" t="e">
        <f>VLOOKUP(A:A,'ITEM LIST'!A:C,3,0)</f>
        <v>#N/A</v>
      </c>
      <c r="D16395" s="6">
        <f t="shared" si="257"/>
        <v>0</v>
      </c>
    </row>
    <row r="16396" spans="3:4" ht="15" x14ac:dyDescent="0.25">
      <c r="C16396" s="8" t="e">
        <f>VLOOKUP(A:A,'ITEM LIST'!A:C,3,0)</f>
        <v>#N/A</v>
      </c>
      <c r="D16396" s="6">
        <f t="shared" si="257"/>
        <v>0</v>
      </c>
    </row>
    <row r="16397" spans="3:4" ht="15" x14ac:dyDescent="0.25">
      <c r="C16397" s="8" t="e">
        <f>VLOOKUP(A:A,'ITEM LIST'!A:C,3,0)</f>
        <v>#N/A</v>
      </c>
      <c r="D16397" s="6">
        <f t="shared" si="257"/>
        <v>0</v>
      </c>
    </row>
    <row r="16398" spans="3:4" ht="15" x14ac:dyDescent="0.25">
      <c r="C16398" s="8" t="e">
        <f>VLOOKUP(A:A,'ITEM LIST'!A:C,3,0)</f>
        <v>#N/A</v>
      </c>
      <c r="D16398" s="6">
        <f t="shared" si="257"/>
        <v>0</v>
      </c>
    </row>
    <row r="16399" spans="3:4" ht="15" x14ac:dyDescent="0.25">
      <c r="C16399" s="8" t="e">
        <f>VLOOKUP(A:A,'ITEM LIST'!A:C,3,0)</f>
        <v>#N/A</v>
      </c>
      <c r="D16399" s="6">
        <f t="shared" si="257"/>
        <v>0</v>
      </c>
    </row>
    <row r="16400" spans="3:4" ht="15" x14ac:dyDescent="0.25">
      <c r="C16400" s="8" t="e">
        <f>VLOOKUP(A:A,'ITEM LIST'!A:C,3,0)</f>
        <v>#N/A</v>
      </c>
      <c r="D16400" s="6">
        <f t="shared" si="257"/>
        <v>0</v>
      </c>
    </row>
    <row r="16401" spans="3:4" ht="15" x14ac:dyDescent="0.25">
      <c r="C16401" s="8" t="e">
        <f>VLOOKUP(A:A,'ITEM LIST'!A:C,3,0)</f>
        <v>#N/A</v>
      </c>
      <c r="D16401" s="6">
        <f t="shared" si="257"/>
        <v>0</v>
      </c>
    </row>
    <row r="16402" spans="3:4" ht="15" x14ac:dyDescent="0.25">
      <c r="C16402" s="8" t="e">
        <f>VLOOKUP(A:A,'ITEM LIST'!A:C,3,0)</f>
        <v>#N/A</v>
      </c>
      <c r="D16402" s="6">
        <f t="shared" si="257"/>
        <v>0</v>
      </c>
    </row>
    <row r="16403" spans="3:4" ht="15" x14ac:dyDescent="0.25">
      <c r="C16403" s="8" t="e">
        <f>VLOOKUP(A:A,'ITEM LIST'!A:C,3,0)</f>
        <v>#N/A</v>
      </c>
      <c r="D16403" s="6">
        <f t="shared" si="257"/>
        <v>0</v>
      </c>
    </row>
    <row r="16404" spans="3:4" ht="15" x14ac:dyDescent="0.25">
      <c r="C16404" s="8" t="e">
        <f>VLOOKUP(A:A,'ITEM LIST'!A:C,3,0)</f>
        <v>#N/A</v>
      </c>
      <c r="D16404" s="6">
        <f t="shared" si="257"/>
        <v>0</v>
      </c>
    </row>
    <row r="16405" spans="3:4" ht="15" x14ac:dyDescent="0.25">
      <c r="C16405" s="8" t="e">
        <f>VLOOKUP(A:A,'ITEM LIST'!A:C,3,0)</f>
        <v>#N/A</v>
      </c>
      <c r="D16405" s="6">
        <f t="shared" si="257"/>
        <v>0</v>
      </c>
    </row>
    <row r="16406" spans="3:4" ht="15" x14ac:dyDescent="0.25">
      <c r="C16406" s="8" t="e">
        <f>VLOOKUP(A:A,'ITEM LIST'!A:C,3,0)</f>
        <v>#N/A</v>
      </c>
      <c r="D16406" s="6">
        <f t="shared" si="257"/>
        <v>0</v>
      </c>
    </row>
    <row r="16407" spans="3:4" ht="15" x14ac:dyDescent="0.25">
      <c r="C16407" s="8" t="e">
        <f>VLOOKUP(A:A,'ITEM LIST'!A:C,3,0)</f>
        <v>#N/A</v>
      </c>
      <c r="D16407" s="6">
        <f t="shared" si="257"/>
        <v>0</v>
      </c>
    </row>
    <row r="16408" spans="3:4" ht="15" x14ac:dyDescent="0.25">
      <c r="C16408" s="8" t="e">
        <f>VLOOKUP(A:A,'ITEM LIST'!A:C,3,0)</f>
        <v>#N/A</v>
      </c>
      <c r="D16408" s="6">
        <f t="shared" si="257"/>
        <v>0</v>
      </c>
    </row>
    <row r="16409" spans="3:4" ht="15" x14ac:dyDescent="0.25">
      <c r="C16409" s="8" t="e">
        <f>VLOOKUP(A:A,'ITEM LIST'!A:C,3,0)</f>
        <v>#N/A</v>
      </c>
      <c r="D16409" s="6">
        <f t="shared" si="257"/>
        <v>0</v>
      </c>
    </row>
    <row r="16410" spans="3:4" ht="15" x14ac:dyDescent="0.25">
      <c r="C16410" s="8" t="e">
        <f>VLOOKUP(A:A,'ITEM LIST'!A:C,3,0)</f>
        <v>#N/A</v>
      </c>
      <c r="D16410" s="6">
        <f t="shared" si="257"/>
        <v>0</v>
      </c>
    </row>
    <row r="16411" spans="3:4" ht="15" x14ac:dyDescent="0.25">
      <c r="C16411" s="8" t="e">
        <f>VLOOKUP(A:A,'ITEM LIST'!A:C,3,0)</f>
        <v>#N/A</v>
      </c>
      <c r="D16411" s="6">
        <f t="shared" si="257"/>
        <v>0</v>
      </c>
    </row>
    <row r="16412" spans="3:4" ht="15" x14ac:dyDescent="0.25">
      <c r="C16412" s="8" t="e">
        <f>VLOOKUP(A:A,'ITEM LIST'!A:C,3,0)</f>
        <v>#N/A</v>
      </c>
      <c r="D16412" s="6">
        <f t="shared" si="257"/>
        <v>0</v>
      </c>
    </row>
    <row r="16413" spans="3:4" ht="15" x14ac:dyDescent="0.25">
      <c r="C16413" s="8" t="e">
        <f>VLOOKUP(A:A,'ITEM LIST'!A:C,3,0)</f>
        <v>#N/A</v>
      </c>
      <c r="D16413" s="6">
        <f t="shared" si="257"/>
        <v>0</v>
      </c>
    </row>
    <row r="16414" spans="3:4" ht="15" x14ac:dyDescent="0.25">
      <c r="C16414" s="8" t="e">
        <f>VLOOKUP(A:A,'ITEM LIST'!A:C,3,0)</f>
        <v>#N/A</v>
      </c>
      <c r="D16414" s="6">
        <f t="shared" si="257"/>
        <v>0</v>
      </c>
    </row>
    <row r="16415" spans="3:4" ht="15" x14ac:dyDescent="0.25">
      <c r="C16415" s="8" t="e">
        <f>VLOOKUP(A:A,'ITEM LIST'!A:C,3,0)</f>
        <v>#N/A</v>
      </c>
      <c r="D16415" s="6">
        <f t="shared" si="257"/>
        <v>0</v>
      </c>
    </row>
    <row r="16416" spans="3:4" ht="15" x14ac:dyDescent="0.25">
      <c r="C16416" s="8" t="e">
        <f>VLOOKUP(A:A,'ITEM LIST'!A:C,3,0)</f>
        <v>#N/A</v>
      </c>
      <c r="D16416" s="6">
        <f t="shared" si="257"/>
        <v>0</v>
      </c>
    </row>
    <row r="16417" spans="3:4" ht="15" x14ac:dyDescent="0.25">
      <c r="C16417" s="8" t="e">
        <f>VLOOKUP(A:A,'ITEM LIST'!A:C,3,0)</f>
        <v>#N/A</v>
      </c>
      <c r="D16417" s="6">
        <f t="shared" si="257"/>
        <v>0</v>
      </c>
    </row>
    <row r="16418" spans="3:4" ht="15" x14ac:dyDescent="0.25">
      <c r="C16418" s="8" t="e">
        <f>VLOOKUP(A:A,'ITEM LIST'!A:C,3,0)</f>
        <v>#N/A</v>
      </c>
      <c r="D16418" s="6">
        <f t="shared" si="257"/>
        <v>0</v>
      </c>
    </row>
    <row r="16419" spans="3:4" ht="15" x14ac:dyDescent="0.25">
      <c r="C16419" s="8" t="e">
        <f>VLOOKUP(A:A,'ITEM LIST'!A:C,3,0)</f>
        <v>#N/A</v>
      </c>
      <c r="D16419" s="6">
        <f t="shared" si="257"/>
        <v>0</v>
      </c>
    </row>
    <row r="16420" spans="3:4" ht="15" x14ac:dyDescent="0.25">
      <c r="C16420" s="8" t="e">
        <f>VLOOKUP(A:A,'ITEM LIST'!A:C,3,0)</f>
        <v>#N/A</v>
      </c>
      <c r="D16420" s="6">
        <f t="shared" si="257"/>
        <v>0</v>
      </c>
    </row>
    <row r="16421" spans="3:4" ht="15" x14ac:dyDescent="0.25">
      <c r="C16421" s="8" t="e">
        <f>VLOOKUP(A:A,'ITEM LIST'!A:C,3,0)</f>
        <v>#N/A</v>
      </c>
      <c r="D16421" s="6">
        <f t="shared" si="257"/>
        <v>0</v>
      </c>
    </row>
    <row r="16422" spans="3:4" ht="15" x14ac:dyDescent="0.25">
      <c r="C16422" s="8" t="e">
        <f>VLOOKUP(A:A,'ITEM LIST'!A:C,3,0)</f>
        <v>#N/A</v>
      </c>
      <c r="D16422" s="6">
        <f t="shared" si="257"/>
        <v>0</v>
      </c>
    </row>
    <row r="16423" spans="3:4" ht="15" x14ac:dyDescent="0.25">
      <c r="C16423" s="8" t="e">
        <f>VLOOKUP(A:A,'ITEM LIST'!A:C,3,0)</f>
        <v>#N/A</v>
      </c>
      <c r="D16423" s="6">
        <f t="shared" si="257"/>
        <v>0</v>
      </c>
    </row>
    <row r="16424" spans="3:4" ht="15" x14ac:dyDescent="0.25">
      <c r="C16424" s="8" t="e">
        <f>VLOOKUP(A:A,'ITEM LIST'!A:C,3,0)</f>
        <v>#N/A</v>
      </c>
      <c r="D16424" s="6">
        <f t="shared" si="257"/>
        <v>0</v>
      </c>
    </row>
    <row r="16425" spans="3:4" ht="15" x14ac:dyDescent="0.25">
      <c r="C16425" s="8" t="e">
        <f>VLOOKUP(A:A,'ITEM LIST'!A:C,3,0)</f>
        <v>#N/A</v>
      </c>
      <c r="D16425" s="6">
        <f t="shared" si="257"/>
        <v>0</v>
      </c>
    </row>
    <row r="16426" spans="3:4" ht="15" x14ac:dyDescent="0.25">
      <c r="C16426" s="8" t="e">
        <f>VLOOKUP(A:A,'ITEM LIST'!A:C,3,0)</f>
        <v>#N/A</v>
      </c>
      <c r="D16426" s="6">
        <f t="shared" si="257"/>
        <v>0</v>
      </c>
    </row>
    <row r="16427" spans="3:4" ht="15" x14ac:dyDescent="0.25">
      <c r="C16427" s="8" t="e">
        <f>VLOOKUP(A:A,'ITEM LIST'!A:C,3,0)</f>
        <v>#N/A</v>
      </c>
      <c r="D16427" s="6">
        <f t="shared" si="257"/>
        <v>0</v>
      </c>
    </row>
    <row r="16428" spans="3:4" ht="15" x14ac:dyDescent="0.25">
      <c r="C16428" s="8" t="e">
        <f>VLOOKUP(A:A,'ITEM LIST'!A:C,3,0)</f>
        <v>#N/A</v>
      </c>
      <c r="D16428" s="6">
        <f t="shared" si="257"/>
        <v>0</v>
      </c>
    </row>
    <row r="16429" spans="3:4" ht="15" x14ac:dyDescent="0.25">
      <c r="C16429" s="8" t="e">
        <f>VLOOKUP(A:A,'ITEM LIST'!A:C,3,0)</f>
        <v>#N/A</v>
      </c>
      <c r="D16429" s="6">
        <f t="shared" si="257"/>
        <v>0</v>
      </c>
    </row>
    <row r="16430" spans="3:4" ht="15" x14ac:dyDescent="0.25">
      <c r="C16430" s="8" t="e">
        <f>VLOOKUP(A:A,'ITEM LIST'!A:C,3,0)</f>
        <v>#N/A</v>
      </c>
      <c r="D16430" s="6">
        <f t="shared" si="257"/>
        <v>0</v>
      </c>
    </row>
    <row r="16431" spans="3:4" ht="15" x14ac:dyDescent="0.25">
      <c r="C16431" s="8" t="e">
        <f>VLOOKUP(A:A,'ITEM LIST'!A:C,3,0)</f>
        <v>#N/A</v>
      </c>
      <c r="D16431" s="6">
        <f t="shared" si="257"/>
        <v>0</v>
      </c>
    </row>
    <row r="16432" spans="3:4" ht="15" x14ac:dyDescent="0.25">
      <c r="C16432" s="8" t="e">
        <f>VLOOKUP(A:A,'ITEM LIST'!A:C,3,0)</f>
        <v>#N/A</v>
      </c>
      <c r="D16432" s="6">
        <f t="shared" si="257"/>
        <v>0</v>
      </c>
    </row>
    <row r="16433" spans="3:4" ht="15" x14ac:dyDescent="0.25">
      <c r="C16433" s="8" t="e">
        <f>VLOOKUP(A:A,'ITEM LIST'!A:C,3,0)</f>
        <v>#N/A</v>
      </c>
      <c r="D16433" s="6">
        <f t="shared" si="257"/>
        <v>0</v>
      </c>
    </row>
    <row r="16434" spans="3:4" ht="15" x14ac:dyDescent="0.25">
      <c r="C16434" s="8" t="e">
        <f>VLOOKUP(A:A,'ITEM LIST'!A:C,3,0)</f>
        <v>#N/A</v>
      </c>
      <c r="D16434" s="6">
        <f t="shared" si="257"/>
        <v>0</v>
      </c>
    </row>
    <row r="16435" spans="3:4" ht="15" x14ac:dyDescent="0.25">
      <c r="C16435" s="8" t="e">
        <f>VLOOKUP(A:A,'ITEM LIST'!A:C,3,0)</f>
        <v>#N/A</v>
      </c>
      <c r="D16435" s="6">
        <f t="shared" si="257"/>
        <v>0</v>
      </c>
    </row>
    <row r="16436" spans="3:4" ht="15" x14ac:dyDescent="0.25">
      <c r="C16436" s="8" t="e">
        <f>VLOOKUP(A:A,'ITEM LIST'!A:C,3,0)</f>
        <v>#N/A</v>
      </c>
      <c r="D16436" s="6">
        <f t="shared" si="257"/>
        <v>0</v>
      </c>
    </row>
    <row r="16437" spans="3:4" ht="15" x14ac:dyDescent="0.25">
      <c r="C16437" s="8" t="e">
        <f>VLOOKUP(A:A,'ITEM LIST'!A:C,3,0)</f>
        <v>#N/A</v>
      </c>
      <c r="D16437" s="6">
        <f t="shared" si="257"/>
        <v>0</v>
      </c>
    </row>
    <row r="16438" spans="3:4" ht="15" x14ac:dyDescent="0.25">
      <c r="C16438" s="8" t="e">
        <f>VLOOKUP(A:A,'ITEM LIST'!A:C,3,0)</f>
        <v>#N/A</v>
      </c>
      <c r="D16438" s="6">
        <f t="shared" si="257"/>
        <v>0</v>
      </c>
    </row>
    <row r="16439" spans="3:4" ht="15" x14ac:dyDescent="0.25">
      <c r="C16439" s="8" t="e">
        <f>VLOOKUP(A:A,'ITEM LIST'!A:C,3,0)</f>
        <v>#N/A</v>
      </c>
      <c r="D16439" s="6">
        <f t="shared" si="257"/>
        <v>0</v>
      </c>
    </row>
    <row r="16440" spans="3:4" ht="15" x14ac:dyDescent="0.25">
      <c r="C16440" s="8" t="e">
        <f>VLOOKUP(A:A,'ITEM LIST'!A:C,3,0)</f>
        <v>#N/A</v>
      </c>
      <c r="D16440" s="6">
        <f t="shared" si="257"/>
        <v>0</v>
      </c>
    </row>
    <row r="16441" spans="3:4" ht="15" x14ac:dyDescent="0.25">
      <c r="C16441" s="8" t="e">
        <f>VLOOKUP(A:A,'ITEM LIST'!A:C,3,0)</f>
        <v>#N/A</v>
      </c>
      <c r="D16441" s="6">
        <f t="shared" si="257"/>
        <v>0</v>
      </c>
    </row>
    <row r="16442" spans="3:4" ht="15" x14ac:dyDescent="0.25">
      <c r="C16442" s="8" t="e">
        <f>VLOOKUP(A:A,'ITEM LIST'!A:C,3,0)</f>
        <v>#N/A</v>
      </c>
      <c r="D16442" s="6">
        <f t="shared" si="257"/>
        <v>0</v>
      </c>
    </row>
    <row r="16443" spans="3:4" ht="15" x14ac:dyDescent="0.25">
      <c r="C16443" s="8" t="e">
        <f>VLOOKUP(A:A,'ITEM LIST'!A:C,3,0)</f>
        <v>#N/A</v>
      </c>
      <c r="D16443" s="6">
        <f t="shared" si="257"/>
        <v>0</v>
      </c>
    </row>
    <row r="16444" spans="3:4" ht="15" x14ac:dyDescent="0.25">
      <c r="C16444" s="8" t="e">
        <f>VLOOKUP(A:A,'ITEM LIST'!A:C,3,0)</f>
        <v>#N/A</v>
      </c>
      <c r="D16444" s="6">
        <f t="shared" si="257"/>
        <v>0</v>
      </c>
    </row>
    <row r="16445" spans="3:4" ht="15" x14ac:dyDescent="0.25">
      <c r="C16445" s="8" t="e">
        <f>VLOOKUP(A:A,'ITEM LIST'!A:C,3,0)</f>
        <v>#N/A</v>
      </c>
      <c r="D16445" s="6">
        <f t="shared" si="257"/>
        <v>0</v>
      </c>
    </row>
    <row r="16446" spans="3:4" ht="15" x14ac:dyDescent="0.25">
      <c r="C16446" s="8" t="e">
        <f>VLOOKUP(A:A,'ITEM LIST'!A:C,3,0)</f>
        <v>#N/A</v>
      </c>
      <c r="D16446" s="6">
        <f t="shared" si="257"/>
        <v>0</v>
      </c>
    </row>
    <row r="16447" spans="3:4" ht="15" x14ac:dyDescent="0.25">
      <c r="C16447" s="8" t="e">
        <f>VLOOKUP(A:A,'ITEM LIST'!A:C,3,0)</f>
        <v>#N/A</v>
      </c>
      <c r="D16447" s="6">
        <f t="shared" si="257"/>
        <v>0</v>
      </c>
    </row>
    <row r="16448" spans="3:4" ht="15" x14ac:dyDescent="0.25">
      <c r="C16448" s="8" t="e">
        <f>VLOOKUP(A:A,'ITEM LIST'!A:C,3,0)</f>
        <v>#N/A</v>
      </c>
      <c r="D16448" s="6">
        <f t="shared" si="257"/>
        <v>0</v>
      </c>
    </row>
    <row r="16449" spans="3:4" ht="15" x14ac:dyDescent="0.25">
      <c r="C16449" s="8" t="e">
        <f>VLOOKUP(A:A,'ITEM LIST'!A:C,3,0)</f>
        <v>#N/A</v>
      </c>
      <c r="D16449" s="6">
        <f t="shared" si="257"/>
        <v>0</v>
      </c>
    </row>
    <row r="16450" spans="3:4" ht="15" x14ac:dyDescent="0.25">
      <c r="C16450" s="8" t="e">
        <f>VLOOKUP(A:A,'ITEM LIST'!A:C,3,0)</f>
        <v>#N/A</v>
      </c>
      <c r="D16450" s="6">
        <f t="shared" si="257"/>
        <v>0</v>
      </c>
    </row>
    <row r="16451" spans="3:4" ht="15" x14ac:dyDescent="0.25">
      <c r="C16451" s="8" t="e">
        <f>VLOOKUP(A:A,'ITEM LIST'!A:C,3,0)</f>
        <v>#N/A</v>
      </c>
      <c r="D16451" s="6">
        <f t="shared" si="257"/>
        <v>0</v>
      </c>
    </row>
    <row r="16452" spans="3:4" ht="15" x14ac:dyDescent="0.25">
      <c r="C16452" s="8" t="e">
        <f>VLOOKUP(A:A,'ITEM LIST'!A:C,3,0)</f>
        <v>#N/A</v>
      </c>
      <c r="D16452" s="6">
        <f t="shared" si="257"/>
        <v>0</v>
      </c>
    </row>
    <row r="16453" spans="3:4" ht="15" x14ac:dyDescent="0.25">
      <c r="C16453" s="8" t="e">
        <f>VLOOKUP(A:A,'ITEM LIST'!A:C,3,0)</f>
        <v>#N/A</v>
      </c>
      <c r="D16453" s="6">
        <f t="shared" si="257"/>
        <v>0</v>
      </c>
    </row>
    <row r="16454" spans="3:4" ht="15" x14ac:dyDescent="0.25">
      <c r="C16454" s="8" t="e">
        <f>VLOOKUP(A:A,'ITEM LIST'!A:C,3,0)</f>
        <v>#N/A</v>
      </c>
      <c r="D16454" s="6">
        <f t="shared" ref="D16454:D16517" si="258">B16454</f>
        <v>0</v>
      </c>
    </row>
    <row r="16455" spans="3:4" ht="15" x14ac:dyDescent="0.25">
      <c r="C16455" s="8" t="e">
        <f>VLOOKUP(A:A,'ITEM LIST'!A:C,3,0)</f>
        <v>#N/A</v>
      </c>
      <c r="D16455" s="6">
        <f t="shared" si="258"/>
        <v>0</v>
      </c>
    </row>
    <row r="16456" spans="3:4" ht="15" x14ac:dyDescent="0.25">
      <c r="C16456" s="8" t="e">
        <f>VLOOKUP(A:A,'ITEM LIST'!A:C,3,0)</f>
        <v>#N/A</v>
      </c>
      <c r="D16456" s="6">
        <f t="shared" si="258"/>
        <v>0</v>
      </c>
    </row>
    <row r="16457" spans="3:4" ht="15" x14ac:dyDescent="0.25">
      <c r="C16457" s="8" t="e">
        <f>VLOOKUP(A:A,'ITEM LIST'!A:C,3,0)</f>
        <v>#N/A</v>
      </c>
      <c r="D16457" s="6">
        <f t="shared" si="258"/>
        <v>0</v>
      </c>
    </row>
    <row r="16458" spans="3:4" ht="15" x14ac:dyDescent="0.25">
      <c r="C16458" s="8" t="e">
        <f>VLOOKUP(A:A,'ITEM LIST'!A:C,3,0)</f>
        <v>#N/A</v>
      </c>
      <c r="D16458" s="6">
        <f t="shared" si="258"/>
        <v>0</v>
      </c>
    </row>
    <row r="16459" spans="3:4" ht="15" x14ac:dyDescent="0.25">
      <c r="C16459" s="8" t="e">
        <f>VLOOKUP(A:A,'ITEM LIST'!A:C,3,0)</f>
        <v>#N/A</v>
      </c>
      <c r="D16459" s="6">
        <f t="shared" si="258"/>
        <v>0</v>
      </c>
    </row>
    <row r="16460" spans="3:4" ht="15" x14ac:dyDescent="0.25">
      <c r="C16460" s="8" t="e">
        <f>VLOOKUP(A:A,'ITEM LIST'!A:C,3,0)</f>
        <v>#N/A</v>
      </c>
      <c r="D16460" s="6">
        <f t="shared" si="258"/>
        <v>0</v>
      </c>
    </row>
    <row r="16461" spans="3:4" ht="15" x14ac:dyDescent="0.25">
      <c r="C16461" s="8" t="e">
        <f>VLOOKUP(A:A,'ITEM LIST'!A:C,3,0)</f>
        <v>#N/A</v>
      </c>
      <c r="D16461" s="6">
        <f t="shared" si="258"/>
        <v>0</v>
      </c>
    </row>
    <row r="16462" spans="3:4" ht="15" x14ac:dyDescent="0.25">
      <c r="C16462" s="8" t="e">
        <f>VLOOKUP(A:A,'ITEM LIST'!A:C,3,0)</f>
        <v>#N/A</v>
      </c>
      <c r="D16462" s="6">
        <f t="shared" si="258"/>
        <v>0</v>
      </c>
    </row>
    <row r="16463" spans="3:4" ht="15" x14ac:dyDescent="0.25">
      <c r="C16463" s="8" t="e">
        <f>VLOOKUP(A:A,'ITEM LIST'!A:C,3,0)</f>
        <v>#N/A</v>
      </c>
      <c r="D16463" s="6">
        <f t="shared" si="258"/>
        <v>0</v>
      </c>
    </row>
    <row r="16464" spans="3:4" ht="15" x14ac:dyDescent="0.25">
      <c r="C16464" s="8" t="e">
        <f>VLOOKUP(A:A,'ITEM LIST'!A:C,3,0)</f>
        <v>#N/A</v>
      </c>
      <c r="D16464" s="6">
        <f t="shared" si="258"/>
        <v>0</v>
      </c>
    </row>
    <row r="16465" spans="3:4" ht="15" x14ac:dyDescent="0.25">
      <c r="C16465" s="8" t="e">
        <f>VLOOKUP(A:A,'ITEM LIST'!A:C,3,0)</f>
        <v>#N/A</v>
      </c>
      <c r="D16465" s="6">
        <f t="shared" si="258"/>
        <v>0</v>
      </c>
    </row>
    <row r="16466" spans="3:4" ht="15" x14ac:dyDescent="0.25">
      <c r="C16466" s="8" t="e">
        <f>VLOOKUP(A:A,'ITEM LIST'!A:C,3,0)</f>
        <v>#N/A</v>
      </c>
      <c r="D16466" s="6">
        <f t="shared" si="258"/>
        <v>0</v>
      </c>
    </row>
    <row r="16467" spans="3:4" ht="15" x14ac:dyDescent="0.25">
      <c r="C16467" s="8" t="e">
        <f>VLOOKUP(A:A,'ITEM LIST'!A:C,3,0)</f>
        <v>#N/A</v>
      </c>
      <c r="D16467" s="6">
        <f t="shared" si="258"/>
        <v>0</v>
      </c>
    </row>
    <row r="16468" spans="3:4" ht="15" x14ac:dyDescent="0.25">
      <c r="C16468" s="8" t="e">
        <f>VLOOKUP(A:A,'ITEM LIST'!A:C,3,0)</f>
        <v>#N/A</v>
      </c>
      <c r="D16468" s="6">
        <f t="shared" si="258"/>
        <v>0</v>
      </c>
    </row>
    <row r="16469" spans="3:4" ht="15" x14ac:dyDescent="0.25">
      <c r="C16469" s="8" t="e">
        <f>VLOOKUP(A:A,'ITEM LIST'!A:C,3,0)</f>
        <v>#N/A</v>
      </c>
      <c r="D16469" s="6">
        <f t="shared" si="258"/>
        <v>0</v>
      </c>
    </row>
    <row r="16470" spans="3:4" ht="15" x14ac:dyDescent="0.25">
      <c r="C16470" s="8" t="e">
        <f>VLOOKUP(A:A,'ITEM LIST'!A:C,3,0)</f>
        <v>#N/A</v>
      </c>
      <c r="D16470" s="6">
        <f t="shared" si="258"/>
        <v>0</v>
      </c>
    </row>
    <row r="16471" spans="3:4" ht="15" x14ac:dyDescent="0.25">
      <c r="C16471" s="8" t="e">
        <f>VLOOKUP(A:A,'ITEM LIST'!A:C,3,0)</f>
        <v>#N/A</v>
      </c>
      <c r="D16471" s="6">
        <f t="shared" si="258"/>
        <v>0</v>
      </c>
    </row>
    <row r="16472" spans="3:4" ht="15" x14ac:dyDescent="0.25">
      <c r="C16472" s="8" t="e">
        <f>VLOOKUP(A:A,'ITEM LIST'!A:C,3,0)</f>
        <v>#N/A</v>
      </c>
      <c r="D16472" s="6">
        <f t="shared" si="258"/>
        <v>0</v>
      </c>
    </row>
    <row r="16473" spans="3:4" ht="15" x14ac:dyDescent="0.25">
      <c r="C16473" s="8" t="e">
        <f>VLOOKUP(A:A,'ITEM LIST'!A:C,3,0)</f>
        <v>#N/A</v>
      </c>
      <c r="D16473" s="6">
        <f t="shared" si="258"/>
        <v>0</v>
      </c>
    </row>
    <row r="16474" spans="3:4" ht="15" x14ac:dyDescent="0.25">
      <c r="C16474" s="8" t="e">
        <f>VLOOKUP(A:A,'ITEM LIST'!A:C,3,0)</f>
        <v>#N/A</v>
      </c>
      <c r="D16474" s="6">
        <f t="shared" si="258"/>
        <v>0</v>
      </c>
    </row>
    <row r="16475" spans="3:4" ht="15" x14ac:dyDescent="0.25">
      <c r="C16475" s="8" t="e">
        <f>VLOOKUP(A:A,'ITEM LIST'!A:C,3,0)</f>
        <v>#N/A</v>
      </c>
      <c r="D16475" s="6">
        <f t="shared" si="258"/>
        <v>0</v>
      </c>
    </row>
    <row r="16476" spans="3:4" ht="15" x14ac:dyDescent="0.25">
      <c r="C16476" s="8" t="e">
        <f>VLOOKUP(A:A,'ITEM LIST'!A:C,3,0)</f>
        <v>#N/A</v>
      </c>
      <c r="D16476" s="6">
        <f t="shared" si="258"/>
        <v>0</v>
      </c>
    </row>
    <row r="16477" spans="3:4" ht="15" x14ac:dyDescent="0.25">
      <c r="C16477" s="8" t="e">
        <f>VLOOKUP(A:A,'ITEM LIST'!A:C,3,0)</f>
        <v>#N/A</v>
      </c>
      <c r="D16477" s="6">
        <f t="shared" si="258"/>
        <v>0</v>
      </c>
    </row>
    <row r="16478" spans="3:4" ht="15" x14ac:dyDescent="0.25">
      <c r="C16478" s="8" t="e">
        <f>VLOOKUP(A:A,'ITEM LIST'!A:C,3,0)</f>
        <v>#N/A</v>
      </c>
      <c r="D16478" s="6">
        <f t="shared" si="258"/>
        <v>0</v>
      </c>
    </row>
    <row r="16479" spans="3:4" ht="15" x14ac:dyDescent="0.25">
      <c r="C16479" s="8" t="e">
        <f>VLOOKUP(A:A,'ITEM LIST'!A:C,3,0)</f>
        <v>#N/A</v>
      </c>
      <c r="D16479" s="6">
        <f t="shared" si="258"/>
        <v>0</v>
      </c>
    </row>
    <row r="16480" spans="3:4" ht="15" x14ac:dyDescent="0.25">
      <c r="C16480" s="8" t="e">
        <f>VLOOKUP(A:A,'ITEM LIST'!A:C,3,0)</f>
        <v>#N/A</v>
      </c>
      <c r="D16480" s="6">
        <f t="shared" si="258"/>
        <v>0</v>
      </c>
    </row>
    <row r="16481" spans="3:4" ht="15" x14ac:dyDescent="0.25">
      <c r="C16481" s="8" t="e">
        <f>VLOOKUP(A:A,'ITEM LIST'!A:C,3,0)</f>
        <v>#N/A</v>
      </c>
      <c r="D16481" s="6">
        <f t="shared" si="258"/>
        <v>0</v>
      </c>
    </row>
    <row r="16482" spans="3:4" ht="15" x14ac:dyDescent="0.25">
      <c r="C16482" s="8" t="e">
        <f>VLOOKUP(A:A,'ITEM LIST'!A:C,3,0)</f>
        <v>#N/A</v>
      </c>
      <c r="D16482" s="6">
        <f t="shared" si="258"/>
        <v>0</v>
      </c>
    </row>
    <row r="16483" spans="3:4" ht="15" x14ac:dyDescent="0.25">
      <c r="C16483" s="8" t="e">
        <f>VLOOKUP(A:A,'ITEM LIST'!A:C,3,0)</f>
        <v>#N/A</v>
      </c>
      <c r="D16483" s="6">
        <f t="shared" si="258"/>
        <v>0</v>
      </c>
    </row>
    <row r="16484" spans="3:4" ht="15" x14ac:dyDescent="0.25">
      <c r="C16484" s="8" t="e">
        <f>VLOOKUP(A:A,'ITEM LIST'!A:C,3,0)</f>
        <v>#N/A</v>
      </c>
      <c r="D16484" s="6">
        <f t="shared" si="258"/>
        <v>0</v>
      </c>
    </row>
    <row r="16485" spans="3:4" ht="15" x14ac:dyDescent="0.25">
      <c r="C16485" s="8" t="e">
        <f>VLOOKUP(A:A,'ITEM LIST'!A:C,3,0)</f>
        <v>#N/A</v>
      </c>
      <c r="D16485" s="6">
        <f t="shared" si="258"/>
        <v>0</v>
      </c>
    </row>
    <row r="16486" spans="3:4" ht="15" x14ac:dyDescent="0.25">
      <c r="C16486" s="8" t="e">
        <f>VLOOKUP(A:A,'ITEM LIST'!A:C,3,0)</f>
        <v>#N/A</v>
      </c>
      <c r="D16486" s="6">
        <f t="shared" si="258"/>
        <v>0</v>
      </c>
    </row>
    <row r="16487" spans="3:4" ht="15" x14ac:dyDescent="0.25">
      <c r="C16487" s="8" t="e">
        <f>VLOOKUP(A:A,'ITEM LIST'!A:C,3,0)</f>
        <v>#N/A</v>
      </c>
      <c r="D16487" s="6">
        <f t="shared" si="258"/>
        <v>0</v>
      </c>
    </row>
    <row r="16488" spans="3:4" ht="15" x14ac:dyDescent="0.25">
      <c r="C16488" s="8" t="e">
        <f>VLOOKUP(A:A,'ITEM LIST'!A:C,3,0)</f>
        <v>#N/A</v>
      </c>
      <c r="D16488" s="6">
        <f t="shared" si="258"/>
        <v>0</v>
      </c>
    </row>
    <row r="16489" spans="3:4" ht="15" x14ac:dyDescent="0.25">
      <c r="C16489" s="8" t="e">
        <f>VLOOKUP(A:A,'ITEM LIST'!A:C,3,0)</f>
        <v>#N/A</v>
      </c>
      <c r="D16489" s="6">
        <f t="shared" si="258"/>
        <v>0</v>
      </c>
    </row>
    <row r="16490" spans="3:4" ht="15" x14ac:dyDescent="0.25">
      <c r="C16490" s="8" t="e">
        <f>VLOOKUP(A:A,'ITEM LIST'!A:C,3,0)</f>
        <v>#N/A</v>
      </c>
      <c r="D16490" s="6">
        <f t="shared" si="258"/>
        <v>0</v>
      </c>
    </row>
    <row r="16491" spans="3:4" ht="15" x14ac:dyDescent="0.25">
      <c r="C16491" s="8" t="e">
        <f>VLOOKUP(A:A,'ITEM LIST'!A:C,3,0)</f>
        <v>#N/A</v>
      </c>
      <c r="D16491" s="6">
        <f t="shared" si="258"/>
        <v>0</v>
      </c>
    </row>
    <row r="16492" spans="3:4" ht="15" x14ac:dyDescent="0.25">
      <c r="C16492" s="8" t="e">
        <f>VLOOKUP(A:A,'ITEM LIST'!A:C,3,0)</f>
        <v>#N/A</v>
      </c>
      <c r="D16492" s="6">
        <f t="shared" si="258"/>
        <v>0</v>
      </c>
    </row>
    <row r="16493" spans="3:4" ht="15" x14ac:dyDescent="0.25">
      <c r="C16493" s="8" t="e">
        <f>VLOOKUP(A:A,'ITEM LIST'!A:C,3,0)</f>
        <v>#N/A</v>
      </c>
      <c r="D16493" s="6">
        <f t="shared" si="258"/>
        <v>0</v>
      </c>
    </row>
    <row r="16494" spans="3:4" ht="15" x14ac:dyDescent="0.25">
      <c r="C16494" s="8" t="e">
        <f>VLOOKUP(A:A,'ITEM LIST'!A:C,3,0)</f>
        <v>#N/A</v>
      </c>
      <c r="D16494" s="6">
        <f t="shared" si="258"/>
        <v>0</v>
      </c>
    </row>
    <row r="16495" spans="3:4" ht="15" x14ac:dyDescent="0.25">
      <c r="C16495" s="8" t="e">
        <f>VLOOKUP(A:A,'ITEM LIST'!A:C,3,0)</f>
        <v>#N/A</v>
      </c>
      <c r="D16495" s="6">
        <f t="shared" si="258"/>
        <v>0</v>
      </c>
    </row>
    <row r="16496" spans="3:4" ht="15" x14ac:dyDescent="0.25">
      <c r="C16496" s="8" t="e">
        <f>VLOOKUP(A:A,'ITEM LIST'!A:C,3,0)</f>
        <v>#N/A</v>
      </c>
      <c r="D16496" s="6">
        <f t="shared" si="258"/>
        <v>0</v>
      </c>
    </row>
    <row r="16497" spans="3:4" ht="15" x14ac:dyDescent="0.25">
      <c r="C16497" s="8" t="e">
        <f>VLOOKUP(A:A,'ITEM LIST'!A:C,3,0)</f>
        <v>#N/A</v>
      </c>
      <c r="D16497" s="6">
        <f t="shared" si="258"/>
        <v>0</v>
      </c>
    </row>
    <row r="16498" spans="3:4" ht="15" x14ac:dyDescent="0.25">
      <c r="C16498" s="8" t="e">
        <f>VLOOKUP(A:A,'ITEM LIST'!A:C,3,0)</f>
        <v>#N/A</v>
      </c>
      <c r="D16498" s="6">
        <f t="shared" si="258"/>
        <v>0</v>
      </c>
    </row>
    <row r="16499" spans="3:4" ht="15" x14ac:dyDescent="0.25">
      <c r="C16499" s="8" t="e">
        <f>VLOOKUP(A:A,'ITEM LIST'!A:C,3,0)</f>
        <v>#N/A</v>
      </c>
      <c r="D16499" s="6">
        <f t="shared" si="258"/>
        <v>0</v>
      </c>
    </row>
    <row r="16500" spans="3:4" ht="15" x14ac:dyDescent="0.25">
      <c r="C16500" s="8" t="e">
        <f>VLOOKUP(A:A,'ITEM LIST'!A:C,3,0)</f>
        <v>#N/A</v>
      </c>
      <c r="D16500" s="6">
        <f t="shared" si="258"/>
        <v>0</v>
      </c>
    </row>
    <row r="16501" spans="3:4" ht="15" x14ac:dyDescent="0.25">
      <c r="C16501" s="8" t="e">
        <f>VLOOKUP(A:A,'ITEM LIST'!A:C,3,0)</f>
        <v>#N/A</v>
      </c>
      <c r="D16501" s="6">
        <f t="shared" si="258"/>
        <v>0</v>
      </c>
    </row>
    <row r="16502" spans="3:4" ht="15" x14ac:dyDescent="0.25">
      <c r="C16502" s="8" t="e">
        <f>VLOOKUP(A:A,'ITEM LIST'!A:C,3,0)</f>
        <v>#N/A</v>
      </c>
      <c r="D16502" s="6">
        <f t="shared" si="258"/>
        <v>0</v>
      </c>
    </row>
    <row r="16503" spans="3:4" ht="15" x14ac:dyDescent="0.25">
      <c r="C16503" s="8" t="e">
        <f>VLOOKUP(A:A,'ITEM LIST'!A:C,3,0)</f>
        <v>#N/A</v>
      </c>
      <c r="D16503" s="6">
        <f t="shared" si="258"/>
        <v>0</v>
      </c>
    </row>
    <row r="16504" spans="3:4" ht="15" x14ac:dyDescent="0.25">
      <c r="C16504" s="8" t="e">
        <f>VLOOKUP(A:A,'ITEM LIST'!A:C,3,0)</f>
        <v>#N/A</v>
      </c>
      <c r="D16504" s="6">
        <f t="shared" si="258"/>
        <v>0</v>
      </c>
    </row>
    <row r="16505" spans="3:4" ht="15" x14ac:dyDescent="0.25">
      <c r="C16505" s="8" t="e">
        <f>VLOOKUP(A:A,'ITEM LIST'!A:C,3,0)</f>
        <v>#N/A</v>
      </c>
      <c r="D16505" s="6">
        <f t="shared" si="258"/>
        <v>0</v>
      </c>
    </row>
    <row r="16506" spans="3:4" ht="15" x14ac:dyDescent="0.25">
      <c r="C16506" s="8" t="e">
        <f>VLOOKUP(A:A,'ITEM LIST'!A:C,3,0)</f>
        <v>#N/A</v>
      </c>
      <c r="D16506" s="6">
        <f t="shared" si="258"/>
        <v>0</v>
      </c>
    </row>
    <row r="16507" spans="3:4" ht="15" x14ac:dyDescent="0.25">
      <c r="C16507" s="8" t="e">
        <f>VLOOKUP(A:A,'ITEM LIST'!A:C,3,0)</f>
        <v>#N/A</v>
      </c>
      <c r="D16507" s="6">
        <f t="shared" si="258"/>
        <v>0</v>
      </c>
    </row>
    <row r="16508" spans="3:4" ht="15" x14ac:dyDescent="0.25">
      <c r="C16508" s="8" t="e">
        <f>VLOOKUP(A:A,'ITEM LIST'!A:C,3,0)</f>
        <v>#N/A</v>
      </c>
      <c r="D16508" s="6">
        <f t="shared" si="258"/>
        <v>0</v>
      </c>
    </row>
    <row r="16509" spans="3:4" ht="15" x14ac:dyDescent="0.25">
      <c r="C16509" s="8" t="e">
        <f>VLOOKUP(A:A,'ITEM LIST'!A:C,3,0)</f>
        <v>#N/A</v>
      </c>
      <c r="D16509" s="6">
        <f t="shared" si="258"/>
        <v>0</v>
      </c>
    </row>
    <row r="16510" spans="3:4" ht="15" x14ac:dyDescent="0.25">
      <c r="C16510" s="8" t="e">
        <f>VLOOKUP(A:A,'ITEM LIST'!A:C,3,0)</f>
        <v>#N/A</v>
      </c>
      <c r="D16510" s="6">
        <f t="shared" si="258"/>
        <v>0</v>
      </c>
    </row>
    <row r="16511" spans="3:4" ht="15" x14ac:dyDescent="0.25">
      <c r="C16511" s="8" t="e">
        <f>VLOOKUP(A:A,'ITEM LIST'!A:C,3,0)</f>
        <v>#N/A</v>
      </c>
      <c r="D16511" s="6">
        <f t="shared" si="258"/>
        <v>0</v>
      </c>
    </row>
    <row r="16512" spans="3:4" ht="15" x14ac:dyDescent="0.25">
      <c r="C16512" s="8" t="e">
        <f>VLOOKUP(A:A,'ITEM LIST'!A:C,3,0)</f>
        <v>#N/A</v>
      </c>
      <c r="D16512" s="6">
        <f t="shared" si="258"/>
        <v>0</v>
      </c>
    </row>
    <row r="16513" spans="3:4" ht="15" x14ac:dyDescent="0.25">
      <c r="C16513" s="8" t="e">
        <f>VLOOKUP(A:A,'ITEM LIST'!A:C,3,0)</f>
        <v>#N/A</v>
      </c>
      <c r="D16513" s="6">
        <f t="shared" si="258"/>
        <v>0</v>
      </c>
    </row>
    <row r="16514" spans="3:4" ht="15" x14ac:dyDescent="0.25">
      <c r="C16514" s="8" t="e">
        <f>VLOOKUP(A:A,'ITEM LIST'!A:C,3,0)</f>
        <v>#N/A</v>
      </c>
      <c r="D16514" s="6">
        <f t="shared" si="258"/>
        <v>0</v>
      </c>
    </row>
    <row r="16515" spans="3:4" ht="15" x14ac:dyDescent="0.25">
      <c r="C16515" s="8" t="e">
        <f>VLOOKUP(A:A,'ITEM LIST'!A:C,3,0)</f>
        <v>#N/A</v>
      </c>
      <c r="D16515" s="6">
        <f t="shared" si="258"/>
        <v>0</v>
      </c>
    </row>
    <row r="16516" spans="3:4" ht="15" x14ac:dyDescent="0.25">
      <c r="C16516" s="8" t="e">
        <f>VLOOKUP(A:A,'ITEM LIST'!A:C,3,0)</f>
        <v>#N/A</v>
      </c>
      <c r="D16516" s="6">
        <f t="shared" si="258"/>
        <v>0</v>
      </c>
    </row>
    <row r="16517" spans="3:4" ht="15" x14ac:dyDescent="0.25">
      <c r="C16517" s="8" t="e">
        <f>VLOOKUP(A:A,'ITEM LIST'!A:C,3,0)</f>
        <v>#N/A</v>
      </c>
      <c r="D16517" s="6">
        <f t="shared" si="258"/>
        <v>0</v>
      </c>
    </row>
    <row r="16518" spans="3:4" ht="15" x14ac:dyDescent="0.25">
      <c r="C16518" s="8" t="e">
        <f>VLOOKUP(A:A,'ITEM LIST'!A:C,3,0)</f>
        <v>#N/A</v>
      </c>
      <c r="D16518" s="6">
        <f t="shared" ref="D16518:D16581" si="259">B16518</f>
        <v>0</v>
      </c>
    </row>
    <row r="16519" spans="3:4" ht="15" x14ac:dyDescent="0.25">
      <c r="C16519" s="8" t="e">
        <f>VLOOKUP(A:A,'ITEM LIST'!A:C,3,0)</f>
        <v>#N/A</v>
      </c>
      <c r="D16519" s="6">
        <f t="shared" si="259"/>
        <v>0</v>
      </c>
    </row>
    <row r="16520" spans="3:4" ht="15" x14ac:dyDescent="0.25">
      <c r="C16520" s="8" t="e">
        <f>VLOOKUP(A:A,'ITEM LIST'!A:C,3,0)</f>
        <v>#N/A</v>
      </c>
      <c r="D16520" s="6">
        <f t="shared" si="259"/>
        <v>0</v>
      </c>
    </row>
    <row r="16521" spans="3:4" ht="15" x14ac:dyDescent="0.25">
      <c r="C16521" s="8" t="e">
        <f>VLOOKUP(A:A,'ITEM LIST'!A:C,3,0)</f>
        <v>#N/A</v>
      </c>
      <c r="D16521" s="6">
        <f t="shared" si="259"/>
        <v>0</v>
      </c>
    </row>
    <row r="16522" spans="3:4" ht="15" x14ac:dyDescent="0.25">
      <c r="C16522" s="8" t="e">
        <f>VLOOKUP(A:A,'ITEM LIST'!A:C,3,0)</f>
        <v>#N/A</v>
      </c>
      <c r="D16522" s="6">
        <f t="shared" si="259"/>
        <v>0</v>
      </c>
    </row>
    <row r="16523" spans="3:4" ht="15" x14ac:dyDescent="0.25">
      <c r="C16523" s="8" t="e">
        <f>VLOOKUP(A:A,'ITEM LIST'!A:C,3,0)</f>
        <v>#N/A</v>
      </c>
      <c r="D16523" s="6">
        <f t="shared" si="259"/>
        <v>0</v>
      </c>
    </row>
    <row r="16524" spans="3:4" ht="15" x14ac:dyDescent="0.25">
      <c r="C16524" s="8" t="e">
        <f>VLOOKUP(A:A,'ITEM LIST'!A:C,3,0)</f>
        <v>#N/A</v>
      </c>
      <c r="D16524" s="6">
        <f t="shared" si="259"/>
        <v>0</v>
      </c>
    </row>
    <row r="16525" spans="3:4" ht="15" x14ac:dyDescent="0.25">
      <c r="C16525" s="8" t="e">
        <f>VLOOKUP(A:A,'ITEM LIST'!A:C,3,0)</f>
        <v>#N/A</v>
      </c>
      <c r="D16525" s="6">
        <f t="shared" si="259"/>
        <v>0</v>
      </c>
    </row>
    <row r="16526" spans="3:4" ht="15" x14ac:dyDescent="0.25">
      <c r="C16526" s="8" t="e">
        <f>VLOOKUP(A:A,'ITEM LIST'!A:C,3,0)</f>
        <v>#N/A</v>
      </c>
      <c r="D16526" s="6">
        <f t="shared" si="259"/>
        <v>0</v>
      </c>
    </row>
    <row r="16527" spans="3:4" ht="15" x14ac:dyDescent="0.25">
      <c r="C16527" s="8" t="e">
        <f>VLOOKUP(A:A,'ITEM LIST'!A:C,3,0)</f>
        <v>#N/A</v>
      </c>
      <c r="D16527" s="6">
        <f t="shared" si="259"/>
        <v>0</v>
      </c>
    </row>
    <row r="16528" spans="3:4" ht="15" x14ac:dyDescent="0.25">
      <c r="C16528" s="8" t="e">
        <f>VLOOKUP(A:A,'ITEM LIST'!A:C,3,0)</f>
        <v>#N/A</v>
      </c>
      <c r="D16528" s="6">
        <f t="shared" si="259"/>
        <v>0</v>
      </c>
    </row>
    <row r="16529" spans="3:4" ht="15" x14ac:dyDescent="0.25">
      <c r="C16529" s="8" t="e">
        <f>VLOOKUP(A:A,'ITEM LIST'!A:C,3,0)</f>
        <v>#N/A</v>
      </c>
      <c r="D16529" s="6">
        <f t="shared" si="259"/>
        <v>0</v>
      </c>
    </row>
    <row r="16530" spans="3:4" ht="15" x14ac:dyDescent="0.25">
      <c r="C16530" s="8" t="e">
        <f>VLOOKUP(A:A,'ITEM LIST'!A:C,3,0)</f>
        <v>#N/A</v>
      </c>
      <c r="D16530" s="6">
        <f t="shared" si="259"/>
        <v>0</v>
      </c>
    </row>
    <row r="16531" spans="3:4" ht="15" x14ac:dyDescent="0.25">
      <c r="C16531" s="8" t="e">
        <f>VLOOKUP(A:A,'ITEM LIST'!A:C,3,0)</f>
        <v>#N/A</v>
      </c>
      <c r="D16531" s="6">
        <f t="shared" si="259"/>
        <v>0</v>
      </c>
    </row>
    <row r="16532" spans="3:4" ht="15" x14ac:dyDescent="0.25">
      <c r="C16532" s="8" t="e">
        <f>VLOOKUP(A:A,'ITEM LIST'!A:C,3,0)</f>
        <v>#N/A</v>
      </c>
      <c r="D16532" s="6">
        <f t="shared" si="259"/>
        <v>0</v>
      </c>
    </row>
    <row r="16533" spans="3:4" ht="15" x14ac:dyDescent="0.25">
      <c r="C16533" s="8" t="e">
        <f>VLOOKUP(A:A,'ITEM LIST'!A:C,3,0)</f>
        <v>#N/A</v>
      </c>
      <c r="D16533" s="6">
        <f t="shared" si="259"/>
        <v>0</v>
      </c>
    </row>
    <row r="16534" spans="3:4" ht="15" x14ac:dyDescent="0.25">
      <c r="C16534" s="8" t="e">
        <f>VLOOKUP(A:A,'ITEM LIST'!A:C,3,0)</f>
        <v>#N/A</v>
      </c>
      <c r="D16534" s="6">
        <f t="shared" si="259"/>
        <v>0</v>
      </c>
    </row>
    <row r="16535" spans="3:4" ht="15" x14ac:dyDescent="0.25">
      <c r="C16535" s="8" t="e">
        <f>VLOOKUP(A:A,'ITEM LIST'!A:C,3,0)</f>
        <v>#N/A</v>
      </c>
      <c r="D16535" s="6">
        <f t="shared" si="259"/>
        <v>0</v>
      </c>
    </row>
    <row r="16536" spans="3:4" ht="15" x14ac:dyDescent="0.25">
      <c r="C16536" s="8" t="e">
        <f>VLOOKUP(A:A,'ITEM LIST'!A:C,3,0)</f>
        <v>#N/A</v>
      </c>
      <c r="D16536" s="6">
        <f t="shared" si="259"/>
        <v>0</v>
      </c>
    </row>
    <row r="16537" spans="3:4" ht="15" x14ac:dyDescent="0.25">
      <c r="C16537" s="8" t="e">
        <f>VLOOKUP(A:A,'ITEM LIST'!A:C,3,0)</f>
        <v>#N/A</v>
      </c>
      <c r="D16537" s="6">
        <f t="shared" si="259"/>
        <v>0</v>
      </c>
    </row>
    <row r="16538" spans="3:4" ht="15" x14ac:dyDescent="0.25">
      <c r="C16538" s="8" t="e">
        <f>VLOOKUP(A:A,'ITEM LIST'!A:C,3,0)</f>
        <v>#N/A</v>
      </c>
      <c r="D16538" s="6">
        <f t="shared" si="259"/>
        <v>0</v>
      </c>
    </row>
    <row r="16539" spans="3:4" ht="15" x14ac:dyDescent="0.25">
      <c r="C16539" s="8" t="e">
        <f>VLOOKUP(A:A,'ITEM LIST'!A:C,3,0)</f>
        <v>#N/A</v>
      </c>
      <c r="D16539" s="6">
        <f t="shared" si="259"/>
        <v>0</v>
      </c>
    </row>
    <row r="16540" spans="3:4" ht="15" x14ac:dyDescent="0.25">
      <c r="C16540" s="8" t="e">
        <f>VLOOKUP(A:A,'ITEM LIST'!A:C,3,0)</f>
        <v>#N/A</v>
      </c>
      <c r="D16540" s="6">
        <f t="shared" si="259"/>
        <v>0</v>
      </c>
    </row>
    <row r="16541" spans="3:4" ht="15" x14ac:dyDescent="0.25">
      <c r="C16541" s="8" t="e">
        <f>VLOOKUP(A:A,'ITEM LIST'!A:C,3,0)</f>
        <v>#N/A</v>
      </c>
      <c r="D16541" s="6">
        <f t="shared" si="259"/>
        <v>0</v>
      </c>
    </row>
    <row r="16542" spans="3:4" ht="15" x14ac:dyDescent="0.25">
      <c r="C16542" s="8" t="e">
        <f>VLOOKUP(A:A,'ITEM LIST'!A:C,3,0)</f>
        <v>#N/A</v>
      </c>
      <c r="D16542" s="6">
        <f t="shared" si="259"/>
        <v>0</v>
      </c>
    </row>
    <row r="16543" spans="3:4" ht="15" x14ac:dyDescent="0.25">
      <c r="C16543" s="8" t="e">
        <f>VLOOKUP(A:A,'ITEM LIST'!A:C,3,0)</f>
        <v>#N/A</v>
      </c>
      <c r="D16543" s="6">
        <f t="shared" si="259"/>
        <v>0</v>
      </c>
    </row>
    <row r="16544" spans="3:4" ht="15" x14ac:dyDescent="0.25">
      <c r="C16544" s="8" t="e">
        <f>VLOOKUP(A:A,'ITEM LIST'!A:C,3,0)</f>
        <v>#N/A</v>
      </c>
      <c r="D16544" s="6">
        <f t="shared" si="259"/>
        <v>0</v>
      </c>
    </row>
    <row r="16545" spans="3:4" ht="15" x14ac:dyDescent="0.25">
      <c r="C16545" s="8" t="e">
        <f>VLOOKUP(A:A,'ITEM LIST'!A:C,3,0)</f>
        <v>#N/A</v>
      </c>
      <c r="D16545" s="6">
        <f t="shared" si="259"/>
        <v>0</v>
      </c>
    </row>
    <row r="16546" spans="3:4" ht="15" x14ac:dyDescent="0.25">
      <c r="C16546" s="8" t="e">
        <f>VLOOKUP(A:A,'ITEM LIST'!A:C,3,0)</f>
        <v>#N/A</v>
      </c>
      <c r="D16546" s="6">
        <f t="shared" si="259"/>
        <v>0</v>
      </c>
    </row>
    <row r="16547" spans="3:4" ht="15" x14ac:dyDescent="0.25">
      <c r="C16547" s="8" t="e">
        <f>VLOOKUP(A:A,'ITEM LIST'!A:C,3,0)</f>
        <v>#N/A</v>
      </c>
      <c r="D16547" s="6">
        <f t="shared" si="259"/>
        <v>0</v>
      </c>
    </row>
    <row r="16548" spans="3:4" ht="15" x14ac:dyDescent="0.25">
      <c r="C16548" s="8" t="e">
        <f>VLOOKUP(A:A,'ITEM LIST'!A:C,3,0)</f>
        <v>#N/A</v>
      </c>
      <c r="D16548" s="6">
        <f t="shared" si="259"/>
        <v>0</v>
      </c>
    </row>
    <row r="16549" spans="3:4" ht="15" x14ac:dyDescent="0.25">
      <c r="C16549" s="8" t="e">
        <f>VLOOKUP(A:A,'ITEM LIST'!A:C,3,0)</f>
        <v>#N/A</v>
      </c>
      <c r="D16549" s="6">
        <f t="shared" si="259"/>
        <v>0</v>
      </c>
    </row>
    <row r="16550" spans="3:4" ht="15" x14ac:dyDescent="0.25">
      <c r="C16550" s="8" t="e">
        <f>VLOOKUP(A:A,'ITEM LIST'!A:C,3,0)</f>
        <v>#N/A</v>
      </c>
      <c r="D16550" s="6">
        <f t="shared" si="259"/>
        <v>0</v>
      </c>
    </row>
    <row r="16551" spans="3:4" ht="15" x14ac:dyDescent="0.25">
      <c r="C16551" s="8" t="e">
        <f>VLOOKUP(A:A,'ITEM LIST'!A:C,3,0)</f>
        <v>#N/A</v>
      </c>
      <c r="D16551" s="6">
        <f t="shared" si="259"/>
        <v>0</v>
      </c>
    </row>
    <row r="16552" spans="3:4" ht="15" x14ac:dyDescent="0.25">
      <c r="C16552" s="8" t="e">
        <f>VLOOKUP(A:A,'ITEM LIST'!A:C,3,0)</f>
        <v>#N/A</v>
      </c>
      <c r="D16552" s="6">
        <f t="shared" si="259"/>
        <v>0</v>
      </c>
    </row>
    <row r="16553" spans="3:4" ht="15" x14ac:dyDescent="0.25">
      <c r="C16553" s="8" t="e">
        <f>VLOOKUP(A:A,'ITEM LIST'!A:C,3,0)</f>
        <v>#N/A</v>
      </c>
      <c r="D16553" s="6">
        <f t="shared" si="259"/>
        <v>0</v>
      </c>
    </row>
    <row r="16554" spans="3:4" ht="15" x14ac:dyDescent="0.25">
      <c r="C16554" s="8" t="e">
        <f>VLOOKUP(A:A,'ITEM LIST'!A:C,3,0)</f>
        <v>#N/A</v>
      </c>
      <c r="D16554" s="6">
        <f t="shared" si="259"/>
        <v>0</v>
      </c>
    </row>
    <row r="16555" spans="3:4" ht="15" x14ac:dyDescent="0.25">
      <c r="C16555" s="8" t="e">
        <f>VLOOKUP(A:A,'ITEM LIST'!A:C,3,0)</f>
        <v>#N/A</v>
      </c>
      <c r="D16555" s="6">
        <f t="shared" si="259"/>
        <v>0</v>
      </c>
    </row>
    <row r="16556" spans="3:4" ht="15" x14ac:dyDescent="0.25">
      <c r="C16556" s="8" t="e">
        <f>VLOOKUP(A:A,'ITEM LIST'!A:C,3,0)</f>
        <v>#N/A</v>
      </c>
      <c r="D16556" s="6">
        <f t="shared" si="259"/>
        <v>0</v>
      </c>
    </row>
    <row r="16557" spans="3:4" ht="15" x14ac:dyDescent="0.25">
      <c r="C16557" s="8" t="e">
        <f>VLOOKUP(A:A,'ITEM LIST'!A:C,3,0)</f>
        <v>#N/A</v>
      </c>
      <c r="D16557" s="6">
        <f t="shared" si="259"/>
        <v>0</v>
      </c>
    </row>
    <row r="16558" spans="3:4" ht="15" x14ac:dyDescent="0.25">
      <c r="C16558" s="8" t="e">
        <f>VLOOKUP(A:A,'ITEM LIST'!A:C,3,0)</f>
        <v>#N/A</v>
      </c>
      <c r="D16558" s="6">
        <f t="shared" si="259"/>
        <v>0</v>
      </c>
    </row>
    <row r="16559" spans="3:4" ht="15" x14ac:dyDescent="0.25">
      <c r="C16559" s="8" t="e">
        <f>VLOOKUP(A:A,'ITEM LIST'!A:C,3,0)</f>
        <v>#N/A</v>
      </c>
      <c r="D16559" s="6">
        <f t="shared" si="259"/>
        <v>0</v>
      </c>
    </row>
    <row r="16560" spans="3:4" ht="15" x14ac:dyDescent="0.25">
      <c r="C16560" s="8" t="e">
        <f>VLOOKUP(A:A,'ITEM LIST'!A:C,3,0)</f>
        <v>#N/A</v>
      </c>
      <c r="D16560" s="6">
        <f t="shared" si="259"/>
        <v>0</v>
      </c>
    </row>
    <row r="16561" spans="3:4" ht="15" x14ac:dyDescent="0.25">
      <c r="C16561" s="8" t="e">
        <f>VLOOKUP(A:A,'ITEM LIST'!A:C,3,0)</f>
        <v>#N/A</v>
      </c>
      <c r="D16561" s="6">
        <f t="shared" si="259"/>
        <v>0</v>
      </c>
    </row>
    <row r="16562" spans="3:4" ht="15" x14ac:dyDescent="0.25">
      <c r="C16562" s="8" t="e">
        <f>VLOOKUP(A:A,'ITEM LIST'!A:C,3,0)</f>
        <v>#N/A</v>
      </c>
      <c r="D16562" s="6">
        <f t="shared" si="259"/>
        <v>0</v>
      </c>
    </row>
    <row r="16563" spans="3:4" ht="15" x14ac:dyDescent="0.25">
      <c r="C16563" s="8" t="e">
        <f>VLOOKUP(A:A,'ITEM LIST'!A:C,3,0)</f>
        <v>#N/A</v>
      </c>
      <c r="D16563" s="6">
        <f t="shared" si="259"/>
        <v>0</v>
      </c>
    </row>
    <row r="16564" spans="3:4" ht="15" x14ac:dyDescent="0.25">
      <c r="C16564" s="8" t="e">
        <f>VLOOKUP(A:A,'ITEM LIST'!A:C,3,0)</f>
        <v>#N/A</v>
      </c>
      <c r="D16564" s="6">
        <f t="shared" si="259"/>
        <v>0</v>
      </c>
    </row>
    <row r="16565" spans="3:4" ht="15" x14ac:dyDescent="0.25">
      <c r="C16565" s="8" t="e">
        <f>VLOOKUP(A:A,'ITEM LIST'!A:C,3,0)</f>
        <v>#N/A</v>
      </c>
      <c r="D16565" s="6">
        <f t="shared" si="259"/>
        <v>0</v>
      </c>
    </row>
    <row r="16566" spans="3:4" ht="15" x14ac:dyDescent="0.25">
      <c r="C16566" s="8" t="e">
        <f>VLOOKUP(A:A,'ITEM LIST'!A:C,3,0)</f>
        <v>#N/A</v>
      </c>
      <c r="D16566" s="6">
        <f t="shared" si="259"/>
        <v>0</v>
      </c>
    </row>
    <row r="16567" spans="3:4" ht="15" x14ac:dyDescent="0.25">
      <c r="C16567" s="8" t="e">
        <f>VLOOKUP(A:A,'ITEM LIST'!A:C,3,0)</f>
        <v>#N/A</v>
      </c>
      <c r="D16567" s="6">
        <f t="shared" si="259"/>
        <v>0</v>
      </c>
    </row>
    <row r="16568" spans="3:4" ht="15" x14ac:dyDescent="0.25">
      <c r="C16568" s="8" t="e">
        <f>VLOOKUP(A:A,'ITEM LIST'!A:C,3,0)</f>
        <v>#N/A</v>
      </c>
      <c r="D16568" s="6">
        <f t="shared" si="259"/>
        <v>0</v>
      </c>
    </row>
    <row r="16569" spans="3:4" ht="15" x14ac:dyDescent="0.25">
      <c r="C16569" s="8" t="e">
        <f>VLOOKUP(A:A,'ITEM LIST'!A:C,3,0)</f>
        <v>#N/A</v>
      </c>
      <c r="D16569" s="6">
        <f t="shared" si="259"/>
        <v>0</v>
      </c>
    </row>
    <row r="16570" spans="3:4" ht="15" x14ac:dyDescent="0.25">
      <c r="C16570" s="8" t="e">
        <f>VLOOKUP(A:A,'ITEM LIST'!A:C,3,0)</f>
        <v>#N/A</v>
      </c>
      <c r="D16570" s="6">
        <f t="shared" si="259"/>
        <v>0</v>
      </c>
    </row>
    <row r="16571" spans="3:4" ht="15" x14ac:dyDescent="0.25">
      <c r="C16571" s="8" t="e">
        <f>VLOOKUP(A:A,'ITEM LIST'!A:C,3,0)</f>
        <v>#N/A</v>
      </c>
      <c r="D16571" s="6">
        <f t="shared" si="259"/>
        <v>0</v>
      </c>
    </row>
    <row r="16572" spans="3:4" ht="15" x14ac:dyDescent="0.25">
      <c r="C16572" s="8" t="e">
        <f>VLOOKUP(A:A,'ITEM LIST'!A:C,3,0)</f>
        <v>#N/A</v>
      </c>
      <c r="D16572" s="6">
        <f t="shared" si="259"/>
        <v>0</v>
      </c>
    </row>
    <row r="16573" spans="3:4" ht="15" x14ac:dyDescent="0.25">
      <c r="C16573" s="8" t="e">
        <f>VLOOKUP(A:A,'ITEM LIST'!A:C,3,0)</f>
        <v>#N/A</v>
      </c>
      <c r="D16573" s="6">
        <f t="shared" si="259"/>
        <v>0</v>
      </c>
    </row>
    <row r="16574" spans="3:4" ht="15" x14ac:dyDescent="0.25">
      <c r="C16574" s="8" t="e">
        <f>VLOOKUP(A:A,'ITEM LIST'!A:C,3,0)</f>
        <v>#N/A</v>
      </c>
      <c r="D16574" s="6">
        <f t="shared" si="259"/>
        <v>0</v>
      </c>
    </row>
    <row r="16575" spans="3:4" ht="15" x14ac:dyDescent="0.25">
      <c r="C16575" s="8" t="e">
        <f>VLOOKUP(A:A,'ITEM LIST'!A:C,3,0)</f>
        <v>#N/A</v>
      </c>
      <c r="D16575" s="6">
        <f t="shared" si="259"/>
        <v>0</v>
      </c>
    </row>
    <row r="16576" spans="3:4" ht="15" x14ac:dyDescent="0.25">
      <c r="C16576" s="8" t="e">
        <f>VLOOKUP(A:A,'ITEM LIST'!A:C,3,0)</f>
        <v>#N/A</v>
      </c>
      <c r="D16576" s="6">
        <f t="shared" si="259"/>
        <v>0</v>
      </c>
    </row>
    <row r="16577" spans="3:4" ht="15" x14ac:dyDescent="0.25">
      <c r="C16577" s="8" t="e">
        <f>VLOOKUP(A:A,'ITEM LIST'!A:C,3,0)</f>
        <v>#N/A</v>
      </c>
      <c r="D16577" s="6">
        <f t="shared" si="259"/>
        <v>0</v>
      </c>
    </row>
    <row r="16578" spans="3:4" ht="15" x14ac:dyDescent="0.25">
      <c r="C16578" s="8" t="e">
        <f>VLOOKUP(A:A,'ITEM LIST'!A:C,3,0)</f>
        <v>#N/A</v>
      </c>
      <c r="D16578" s="6">
        <f t="shared" si="259"/>
        <v>0</v>
      </c>
    </row>
    <row r="16579" spans="3:4" ht="15" x14ac:dyDescent="0.25">
      <c r="C16579" s="8" t="e">
        <f>VLOOKUP(A:A,'ITEM LIST'!A:C,3,0)</f>
        <v>#N/A</v>
      </c>
      <c r="D16579" s="6">
        <f t="shared" si="259"/>
        <v>0</v>
      </c>
    </row>
    <row r="16580" spans="3:4" ht="15" x14ac:dyDescent="0.25">
      <c r="C16580" s="8" t="e">
        <f>VLOOKUP(A:A,'ITEM LIST'!A:C,3,0)</f>
        <v>#N/A</v>
      </c>
      <c r="D16580" s="6">
        <f t="shared" si="259"/>
        <v>0</v>
      </c>
    </row>
    <row r="16581" spans="3:4" ht="15" x14ac:dyDescent="0.25">
      <c r="C16581" s="8" t="e">
        <f>VLOOKUP(A:A,'ITEM LIST'!A:C,3,0)</f>
        <v>#N/A</v>
      </c>
      <c r="D16581" s="6">
        <f t="shared" si="259"/>
        <v>0</v>
      </c>
    </row>
    <row r="16582" spans="3:4" ht="15" x14ac:dyDescent="0.25">
      <c r="C16582" s="8" t="e">
        <f>VLOOKUP(A:A,'ITEM LIST'!A:C,3,0)</f>
        <v>#N/A</v>
      </c>
      <c r="D16582" s="6">
        <f t="shared" ref="D16582:D16645" si="260">B16582</f>
        <v>0</v>
      </c>
    </row>
    <row r="16583" spans="3:4" ht="15" x14ac:dyDescent="0.25">
      <c r="C16583" s="8" t="e">
        <f>VLOOKUP(A:A,'ITEM LIST'!A:C,3,0)</f>
        <v>#N/A</v>
      </c>
      <c r="D16583" s="6">
        <f t="shared" si="260"/>
        <v>0</v>
      </c>
    </row>
    <row r="16584" spans="3:4" ht="15" x14ac:dyDescent="0.25">
      <c r="C16584" s="8" t="e">
        <f>VLOOKUP(A:A,'ITEM LIST'!A:C,3,0)</f>
        <v>#N/A</v>
      </c>
      <c r="D16584" s="6">
        <f t="shared" si="260"/>
        <v>0</v>
      </c>
    </row>
    <row r="16585" spans="3:4" ht="15" x14ac:dyDescent="0.25">
      <c r="C16585" s="8" t="e">
        <f>VLOOKUP(A:A,'ITEM LIST'!A:C,3,0)</f>
        <v>#N/A</v>
      </c>
      <c r="D16585" s="6">
        <f t="shared" si="260"/>
        <v>0</v>
      </c>
    </row>
    <row r="16586" spans="3:4" ht="15" x14ac:dyDescent="0.25">
      <c r="C16586" s="8" t="e">
        <f>VLOOKUP(A:A,'ITEM LIST'!A:C,3,0)</f>
        <v>#N/A</v>
      </c>
      <c r="D16586" s="6">
        <f t="shared" si="260"/>
        <v>0</v>
      </c>
    </row>
    <row r="16587" spans="3:4" ht="15" x14ac:dyDescent="0.25">
      <c r="C16587" s="8" t="e">
        <f>VLOOKUP(A:A,'ITEM LIST'!A:C,3,0)</f>
        <v>#N/A</v>
      </c>
      <c r="D16587" s="6">
        <f t="shared" si="260"/>
        <v>0</v>
      </c>
    </row>
    <row r="16588" spans="3:4" ht="15" x14ac:dyDescent="0.25">
      <c r="C16588" s="8" t="e">
        <f>VLOOKUP(A:A,'ITEM LIST'!A:C,3,0)</f>
        <v>#N/A</v>
      </c>
      <c r="D16588" s="6">
        <f t="shared" si="260"/>
        <v>0</v>
      </c>
    </row>
    <row r="16589" spans="3:4" ht="15" x14ac:dyDescent="0.25">
      <c r="C16589" s="8" t="e">
        <f>VLOOKUP(A:A,'ITEM LIST'!A:C,3,0)</f>
        <v>#N/A</v>
      </c>
      <c r="D16589" s="6">
        <f t="shared" si="260"/>
        <v>0</v>
      </c>
    </row>
    <row r="16590" spans="3:4" ht="15" x14ac:dyDescent="0.25">
      <c r="C16590" s="8" t="e">
        <f>VLOOKUP(A:A,'ITEM LIST'!A:C,3,0)</f>
        <v>#N/A</v>
      </c>
      <c r="D16590" s="6">
        <f t="shared" si="260"/>
        <v>0</v>
      </c>
    </row>
    <row r="16591" spans="3:4" ht="15" x14ac:dyDescent="0.25">
      <c r="C16591" s="8" t="e">
        <f>VLOOKUP(A:A,'ITEM LIST'!A:C,3,0)</f>
        <v>#N/A</v>
      </c>
      <c r="D16591" s="6">
        <f t="shared" si="260"/>
        <v>0</v>
      </c>
    </row>
    <row r="16592" spans="3:4" ht="15" x14ac:dyDescent="0.25">
      <c r="C16592" s="8" t="e">
        <f>VLOOKUP(A:A,'ITEM LIST'!A:C,3,0)</f>
        <v>#N/A</v>
      </c>
      <c r="D16592" s="6">
        <f t="shared" si="260"/>
        <v>0</v>
      </c>
    </row>
    <row r="16593" spans="3:4" ht="15" x14ac:dyDescent="0.25">
      <c r="C16593" s="8" t="e">
        <f>VLOOKUP(A:A,'ITEM LIST'!A:C,3,0)</f>
        <v>#N/A</v>
      </c>
      <c r="D16593" s="6">
        <f t="shared" si="260"/>
        <v>0</v>
      </c>
    </row>
    <row r="16594" spans="3:4" ht="15" x14ac:dyDescent="0.25">
      <c r="C16594" s="8" t="e">
        <f>VLOOKUP(A:A,'ITEM LIST'!A:C,3,0)</f>
        <v>#N/A</v>
      </c>
      <c r="D16594" s="6">
        <f t="shared" si="260"/>
        <v>0</v>
      </c>
    </row>
    <row r="16595" spans="3:4" ht="15" x14ac:dyDescent="0.25">
      <c r="C16595" s="8" t="e">
        <f>VLOOKUP(A:A,'ITEM LIST'!A:C,3,0)</f>
        <v>#N/A</v>
      </c>
      <c r="D16595" s="6">
        <f t="shared" si="260"/>
        <v>0</v>
      </c>
    </row>
    <row r="16596" spans="3:4" ht="15" x14ac:dyDescent="0.25">
      <c r="C16596" s="8" t="e">
        <f>VLOOKUP(A:A,'ITEM LIST'!A:C,3,0)</f>
        <v>#N/A</v>
      </c>
      <c r="D16596" s="6">
        <f t="shared" si="260"/>
        <v>0</v>
      </c>
    </row>
    <row r="16597" spans="3:4" ht="15" x14ac:dyDescent="0.25">
      <c r="C16597" s="8" t="e">
        <f>VLOOKUP(A:A,'ITEM LIST'!A:C,3,0)</f>
        <v>#N/A</v>
      </c>
      <c r="D16597" s="6">
        <f t="shared" si="260"/>
        <v>0</v>
      </c>
    </row>
    <row r="16598" spans="3:4" ht="15" x14ac:dyDescent="0.25">
      <c r="C16598" s="8" t="e">
        <f>VLOOKUP(A:A,'ITEM LIST'!A:C,3,0)</f>
        <v>#N/A</v>
      </c>
      <c r="D16598" s="6">
        <f t="shared" si="260"/>
        <v>0</v>
      </c>
    </row>
    <row r="16599" spans="3:4" ht="15" x14ac:dyDescent="0.25">
      <c r="C16599" s="8" t="e">
        <f>VLOOKUP(A:A,'ITEM LIST'!A:C,3,0)</f>
        <v>#N/A</v>
      </c>
      <c r="D16599" s="6">
        <f t="shared" si="260"/>
        <v>0</v>
      </c>
    </row>
    <row r="16600" spans="3:4" ht="15" x14ac:dyDescent="0.25">
      <c r="C16600" s="8" t="e">
        <f>VLOOKUP(A:A,'ITEM LIST'!A:C,3,0)</f>
        <v>#N/A</v>
      </c>
      <c r="D16600" s="6">
        <f t="shared" si="260"/>
        <v>0</v>
      </c>
    </row>
    <row r="16601" spans="3:4" ht="15" x14ac:dyDescent="0.25">
      <c r="C16601" s="8" t="e">
        <f>VLOOKUP(A:A,'ITEM LIST'!A:C,3,0)</f>
        <v>#N/A</v>
      </c>
      <c r="D16601" s="6">
        <f t="shared" si="260"/>
        <v>0</v>
      </c>
    </row>
    <row r="16602" spans="3:4" ht="15" x14ac:dyDescent="0.25">
      <c r="C16602" s="8" t="e">
        <f>VLOOKUP(A:A,'ITEM LIST'!A:C,3,0)</f>
        <v>#N/A</v>
      </c>
      <c r="D16602" s="6">
        <f t="shared" si="260"/>
        <v>0</v>
      </c>
    </row>
    <row r="16603" spans="3:4" ht="15" x14ac:dyDescent="0.25">
      <c r="C16603" s="8" t="e">
        <f>VLOOKUP(A:A,'ITEM LIST'!A:C,3,0)</f>
        <v>#N/A</v>
      </c>
      <c r="D16603" s="6">
        <f t="shared" si="260"/>
        <v>0</v>
      </c>
    </row>
    <row r="16604" spans="3:4" ht="15" x14ac:dyDescent="0.25">
      <c r="C16604" s="8" t="e">
        <f>VLOOKUP(A:A,'ITEM LIST'!A:C,3,0)</f>
        <v>#N/A</v>
      </c>
      <c r="D16604" s="6">
        <f t="shared" si="260"/>
        <v>0</v>
      </c>
    </row>
    <row r="16605" spans="3:4" ht="15" x14ac:dyDescent="0.25">
      <c r="C16605" s="8" t="e">
        <f>VLOOKUP(A:A,'ITEM LIST'!A:C,3,0)</f>
        <v>#N/A</v>
      </c>
      <c r="D16605" s="6">
        <f t="shared" si="260"/>
        <v>0</v>
      </c>
    </row>
    <row r="16606" spans="3:4" ht="15" x14ac:dyDescent="0.25">
      <c r="C16606" s="8" t="e">
        <f>VLOOKUP(A:A,'ITEM LIST'!A:C,3,0)</f>
        <v>#N/A</v>
      </c>
      <c r="D16606" s="6">
        <f t="shared" si="260"/>
        <v>0</v>
      </c>
    </row>
    <row r="16607" spans="3:4" ht="15" x14ac:dyDescent="0.25">
      <c r="C16607" s="8" t="e">
        <f>VLOOKUP(A:A,'ITEM LIST'!A:C,3,0)</f>
        <v>#N/A</v>
      </c>
      <c r="D16607" s="6">
        <f t="shared" si="260"/>
        <v>0</v>
      </c>
    </row>
    <row r="16608" spans="3:4" ht="15" x14ac:dyDescent="0.25">
      <c r="C16608" s="8" t="e">
        <f>VLOOKUP(A:A,'ITEM LIST'!A:C,3,0)</f>
        <v>#N/A</v>
      </c>
      <c r="D16608" s="6">
        <f t="shared" si="260"/>
        <v>0</v>
      </c>
    </row>
    <row r="16609" spans="3:4" ht="15" x14ac:dyDescent="0.25">
      <c r="C16609" s="8" t="e">
        <f>VLOOKUP(A:A,'ITEM LIST'!A:C,3,0)</f>
        <v>#N/A</v>
      </c>
      <c r="D16609" s="6">
        <f t="shared" si="260"/>
        <v>0</v>
      </c>
    </row>
    <row r="16610" spans="3:4" ht="15" x14ac:dyDescent="0.25">
      <c r="C16610" s="8" t="e">
        <f>VLOOKUP(A:A,'ITEM LIST'!A:C,3,0)</f>
        <v>#N/A</v>
      </c>
      <c r="D16610" s="6">
        <f t="shared" si="260"/>
        <v>0</v>
      </c>
    </row>
    <row r="16611" spans="3:4" ht="15" x14ac:dyDescent="0.25">
      <c r="C16611" s="8" t="e">
        <f>VLOOKUP(A:A,'ITEM LIST'!A:C,3,0)</f>
        <v>#N/A</v>
      </c>
      <c r="D16611" s="6">
        <f t="shared" si="260"/>
        <v>0</v>
      </c>
    </row>
    <row r="16612" spans="3:4" ht="15" x14ac:dyDescent="0.25">
      <c r="C16612" s="8" t="e">
        <f>VLOOKUP(A:A,'ITEM LIST'!A:C,3,0)</f>
        <v>#N/A</v>
      </c>
      <c r="D16612" s="6">
        <f t="shared" si="260"/>
        <v>0</v>
      </c>
    </row>
    <row r="16613" spans="3:4" ht="15" x14ac:dyDescent="0.25">
      <c r="C16613" s="8" t="e">
        <f>VLOOKUP(A:A,'ITEM LIST'!A:C,3,0)</f>
        <v>#N/A</v>
      </c>
      <c r="D16613" s="6">
        <f t="shared" si="260"/>
        <v>0</v>
      </c>
    </row>
    <row r="16614" spans="3:4" ht="15" x14ac:dyDescent="0.25">
      <c r="C16614" s="8" t="e">
        <f>VLOOKUP(A:A,'ITEM LIST'!A:C,3,0)</f>
        <v>#N/A</v>
      </c>
      <c r="D16614" s="6">
        <f t="shared" si="260"/>
        <v>0</v>
      </c>
    </row>
    <row r="16615" spans="3:4" ht="15" x14ac:dyDescent="0.25">
      <c r="C16615" s="8" t="e">
        <f>VLOOKUP(A:A,'ITEM LIST'!A:C,3,0)</f>
        <v>#N/A</v>
      </c>
      <c r="D16615" s="6">
        <f t="shared" si="260"/>
        <v>0</v>
      </c>
    </row>
    <row r="16616" spans="3:4" ht="15" x14ac:dyDescent="0.25">
      <c r="C16616" s="8" t="e">
        <f>VLOOKUP(A:A,'ITEM LIST'!A:C,3,0)</f>
        <v>#N/A</v>
      </c>
      <c r="D16616" s="6">
        <f t="shared" si="260"/>
        <v>0</v>
      </c>
    </row>
    <row r="16617" spans="3:4" ht="15" x14ac:dyDescent="0.25">
      <c r="C16617" s="8" t="e">
        <f>VLOOKUP(A:A,'ITEM LIST'!A:C,3,0)</f>
        <v>#N/A</v>
      </c>
      <c r="D16617" s="6">
        <f t="shared" si="260"/>
        <v>0</v>
      </c>
    </row>
    <row r="16618" spans="3:4" ht="15" x14ac:dyDescent="0.25">
      <c r="C16618" s="8" t="e">
        <f>VLOOKUP(A:A,'ITEM LIST'!A:C,3,0)</f>
        <v>#N/A</v>
      </c>
      <c r="D16618" s="6">
        <f t="shared" si="260"/>
        <v>0</v>
      </c>
    </row>
    <row r="16619" spans="3:4" ht="15" x14ac:dyDescent="0.25">
      <c r="C16619" s="8" t="e">
        <f>VLOOKUP(A:A,'ITEM LIST'!A:C,3,0)</f>
        <v>#N/A</v>
      </c>
      <c r="D16619" s="6">
        <f t="shared" si="260"/>
        <v>0</v>
      </c>
    </row>
    <row r="16620" spans="3:4" ht="15" x14ac:dyDescent="0.25">
      <c r="C16620" s="8" t="e">
        <f>VLOOKUP(A:A,'ITEM LIST'!A:C,3,0)</f>
        <v>#N/A</v>
      </c>
      <c r="D16620" s="6">
        <f t="shared" si="260"/>
        <v>0</v>
      </c>
    </row>
    <row r="16621" spans="3:4" ht="15" x14ac:dyDescent="0.25">
      <c r="C16621" s="8" t="e">
        <f>VLOOKUP(A:A,'ITEM LIST'!A:C,3,0)</f>
        <v>#N/A</v>
      </c>
      <c r="D16621" s="6">
        <f t="shared" si="260"/>
        <v>0</v>
      </c>
    </row>
    <row r="16622" spans="3:4" ht="15" x14ac:dyDescent="0.25">
      <c r="C16622" s="8" t="e">
        <f>VLOOKUP(A:A,'ITEM LIST'!A:C,3,0)</f>
        <v>#N/A</v>
      </c>
      <c r="D16622" s="6">
        <f t="shared" si="260"/>
        <v>0</v>
      </c>
    </row>
    <row r="16623" spans="3:4" ht="15" x14ac:dyDescent="0.25">
      <c r="C16623" s="8" t="e">
        <f>VLOOKUP(A:A,'ITEM LIST'!A:C,3,0)</f>
        <v>#N/A</v>
      </c>
      <c r="D16623" s="6">
        <f t="shared" si="260"/>
        <v>0</v>
      </c>
    </row>
    <row r="16624" spans="3:4" ht="15" x14ac:dyDescent="0.25">
      <c r="C16624" s="8" t="e">
        <f>VLOOKUP(A:A,'ITEM LIST'!A:C,3,0)</f>
        <v>#N/A</v>
      </c>
      <c r="D16624" s="6">
        <f t="shared" si="260"/>
        <v>0</v>
      </c>
    </row>
    <row r="16625" spans="3:4" ht="15" x14ac:dyDescent="0.25">
      <c r="C16625" s="8" t="e">
        <f>VLOOKUP(A:A,'ITEM LIST'!A:C,3,0)</f>
        <v>#N/A</v>
      </c>
      <c r="D16625" s="6">
        <f t="shared" si="260"/>
        <v>0</v>
      </c>
    </row>
    <row r="16626" spans="3:4" ht="15" x14ac:dyDescent="0.25">
      <c r="C16626" s="8" t="e">
        <f>VLOOKUP(A:A,'ITEM LIST'!A:C,3,0)</f>
        <v>#N/A</v>
      </c>
      <c r="D16626" s="6">
        <f t="shared" si="260"/>
        <v>0</v>
      </c>
    </row>
    <row r="16627" spans="3:4" ht="15" x14ac:dyDescent="0.25">
      <c r="C16627" s="8" t="e">
        <f>VLOOKUP(A:A,'ITEM LIST'!A:C,3,0)</f>
        <v>#N/A</v>
      </c>
      <c r="D16627" s="6">
        <f t="shared" si="260"/>
        <v>0</v>
      </c>
    </row>
    <row r="16628" spans="3:4" ht="15" x14ac:dyDescent="0.25">
      <c r="C16628" s="8" t="e">
        <f>VLOOKUP(A:A,'ITEM LIST'!A:C,3,0)</f>
        <v>#N/A</v>
      </c>
      <c r="D16628" s="6">
        <f t="shared" si="260"/>
        <v>0</v>
      </c>
    </row>
    <row r="16629" spans="3:4" ht="15" x14ac:dyDescent="0.25">
      <c r="C16629" s="8" t="e">
        <f>VLOOKUP(A:A,'ITEM LIST'!A:C,3,0)</f>
        <v>#N/A</v>
      </c>
      <c r="D16629" s="6">
        <f t="shared" si="260"/>
        <v>0</v>
      </c>
    </row>
    <row r="16630" spans="3:4" ht="15" x14ac:dyDescent="0.25">
      <c r="C16630" s="8" t="e">
        <f>VLOOKUP(A:A,'ITEM LIST'!A:C,3,0)</f>
        <v>#N/A</v>
      </c>
      <c r="D16630" s="6">
        <f t="shared" si="260"/>
        <v>0</v>
      </c>
    </row>
    <row r="16631" spans="3:4" ht="15" x14ac:dyDescent="0.25">
      <c r="C16631" s="8" t="e">
        <f>VLOOKUP(A:A,'ITEM LIST'!A:C,3,0)</f>
        <v>#N/A</v>
      </c>
      <c r="D16631" s="6">
        <f t="shared" si="260"/>
        <v>0</v>
      </c>
    </row>
    <row r="16632" spans="3:4" ht="15" x14ac:dyDescent="0.25">
      <c r="C16632" s="8" t="e">
        <f>VLOOKUP(A:A,'ITEM LIST'!A:C,3,0)</f>
        <v>#N/A</v>
      </c>
      <c r="D16632" s="6">
        <f t="shared" si="260"/>
        <v>0</v>
      </c>
    </row>
    <row r="16633" spans="3:4" ht="15" x14ac:dyDescent="0.25">
      <c r="C16633" s="8" t="e">
        <f>VLOOKUP(A:A,'ITEM LIST'!A:C,3,0)</f>
        <v>#N/A</v>
      </c>
      <c r="D16633" s="6">
        <f t="shared" si="260"/>
        <v>0</v>
      </c>
    </row>
    <row r="16634" spans="3:4" ht="15" x14ac:dyDescent="0.25">
      <c r="C16634" s="8" t="e">
        <f>VLOOKUP(A:A,'ITEM LIST'!A:C,3,0)</f>
        <v>#N/A</v>
      </c>
      <c r="D16634" s="6">
        <f t="shared" si="260"/>
        <v>0</v>
      </c>
    </row>
    <row r="16635" spans="3:4" ht="15" x14ac:dyDescent="0.25">
      <c r="C16635" s="8" t="e">
        <f>VLOOKUP(A:A,'ITEM LIST'!A:C,3,0)</f>
        <v>#N/A</v>
      </c>
      <c r="D16635" s="6">
        <f t="shared" si="260"/>
        <v>0</v>
      </c>
    </row>
    <row r="16636" spans="3:4" ht="15" x14ac:dyDescent="0.25">
      <c r="C16636" s="8" t="e">
        <f>VLOOKUP(A:A,'ITEM LIST'!A:C,3,0)</f>
        <v>#N/A</v>
      </c>
      <c r="D16636" s="6">
        <f t="shared" si="260"/>
        <v>0</v>
      </c>
    </row>
    <row r="16637" spans="3:4" ht="15" x14ac:dyDescent="0.25">
      <c r="C16637" s="8" t="e">
        <f>VLOOKUP(A:A,'ITEM LIST'!A:C,3,0)</f>
        <v>#N/A</v>
      </c>
      <c r="D16637" s="6">
        <f t="shared" si="260"/>
        <v>0</v>
      </c>
    </row>
    <row r="16638" spans="3:4" ht="15" x14ac:dyDescent="0.25">
      <c r="C16638" s="8" t="e">
        <f>VLOOKUP(A:A,'ITEM LIST'!A:C,3,0)</f>
        <v>#N/A</v>
      </c>
      <c r="D16638" s="6">
        <f t="shared" si="260"/>
        <v>0</v>
      </c>
    </row>
    <row r="16639" spans="3:4" ht="15" x14ac:dyDescent="0.25">
      <c r="C16639" s="8" t="e">
        <f>VLOOKUP(A:A,'ITEM LIST'!A:C,3,0)</f>
        <v>#N/A</v>
      </c>
      <c r="D16639" s="6">
        <f t="shared" si="260"/>
        <v>0</v>
      </c>
    </row>
    <row r="16640" spans="3:4" ht="15" x14ac:dyDescent="0.25">
      <c r="C16640" s="8" t="e">
        <f>VLOOKUP(A:A,'ITEM LIST'!A:C,3,0)</f>
        <v>#N/A</v>
      </c>
      <c r="D16640" s="6">
        <f t="shared" si="260"/>
        <v>0</v>
      </c>
    </row>
    <row r="16641" spans="3:4" ht="15" x14ac:dyDescent="0.25">
      <c r="C16641" s="8" t="e">
        <f>VLOOKUP(A:A,'ITEM LIST'!A:C,3,0)</f>
        <v>#N/A</v>
      </c>
      <c r="D16641" s="6">
        <f t="shared" si="260"/>
        <v>0</v>
      </c>
    </row>
    <row r="16642" spans="3:4" ht="15" x14ac:dyDescent="0.25">
      <c r="C16642" s="8" t="e">
        <f>VLOOKUP(A:A,'ITEM LIST'!A:C,3,0)</f>
        <v>#N/A</v>
      </c>
      <c r="D16642" s="6">
        <f t="shared" si="260"/>
        <v>0</v>
      </c>
    </row>
    <row r="16643" spans="3:4" ht="15" x14ac:dyDescent="0.25">
      <c r="C16643" s="8" t="e">
        <f>VLOOKUP(A:A,'ITEM LIST'!A:C,3,0)</f>
        <v>#N/A</v>
      </c>
      <c r="D16643" s="6">
        <f t="shared" si="260"/>
        <v>0</v>
      </c>
    </row>
    <row r="16644" spans="3:4" ht="15" x14ac:dyDescent="0.25">
      <c r="C16644" s="8" t="e">
        <f>VLOOKUP(A:A,'ITEM LIST'!A:C,3,0)</f>
        <v>#N/A</v>
      </c>
      <c r="D16644" s="6">
        <f t="shared" si="260"/>
        <v>0</v>
      </c>
    </row>
    <row r="16645" spans="3:4" ht="15" x14ac:dyDescent="0.25">
      <c r="C16645" s="8" t="e">
        <f>VLOOKUP(A:A,'ITEM LIST'!A:C,3,0)</f>
        <v>#N/A</v>
      </c>
      <c r="D16645" s="6">
        <f t="shared" si="260"/>
        <v>0</v>
      </c>
    </row>
    <row r="16646" spans="3:4" ht="15" x14ac:dyDescent="0.25">
      <c r="C16646" s="8" t="e">
        <f>VLOOKUP(A:A,'ITEM LIST'!A:C,3,0)</f>
        <v>#N/A</v>
      </c>
      <c r="D16646" s="6">
        <f t="shared" ref="D16646:D16709" si="261">B16646</f>
        <v>0</v>
      </c>
    </row>
    <row r="16647" spans="3:4" ht="15" x14ac:dyDescent="0.25">
      <c r="C16647" s="8" t="e">
        <f>VLOOKUP(A:A,'ITEM LIST'!A:C,3,0)</f>
        <v>#N/A</v>
      </c>
      <c r="D16647" s="6">
        <f t="shared" si="261"/>
        <v>0</v>
      </c>
    </row>
    <row r="16648" spans="3:4" ht="15" x14ac:dyDescent="0.25">
      <c r="C16648" s="8" t="e">
        <f>VLOOKUP(A:A,'ITEM LIST'!A:C,3,0)</f>
        <v>#N/A</v>
      </c>
      <c r="D16648" s="6">
        <f t="shared" si="261"/>
        <v>0</v>
      </c>
    </row>
    <row r="16649" spans="3:4" ht="15" x14ac:dyDescent="0.25">
      <c r="C16649" s="8" t="e">
        <f>VLOOKUP(A:A,'ITEM LIST'!A:C,3,0)</f>
        <v>#N/A</v>
      </c>
      <c r="D16649" s="6">
        <f t="shared" si="261"/>
        <v>0</v>
      </c>
    </row>
    <row r="16650" spans="3:4" ht="15" x14ac:dyDescent="0.25">
      <c r="C16650" s="8" t="e">
        <f>VLOOKUP(A:A,'ITEM LIST'!A:C,3,0)</f>
        <v>#N/A</v>
      </c>
      <c r="D16650" s="6">
        <f t="shared" si="261"/>
        <v>0</v>
      </c>
    </row>
    <row r="16651" spans="3:4" ht="15" x14ac:dyDescent="0.25">
      <c r="C16651" s="8" t="e">
        <f>VLOOKUP(A:A,'ITEM LIST'!A:C,3,0)</f>
        <v>#N/A</v>
      </c>
      <c r="D16651" s="6">
        <f t="shared" si="261"/>
        <v>0</v>
      </c>
    </row>
    <row r="16652" spans="3:4" ht="15" x14ac:dyDescent="0.25">
      <c r="C16652" s="8" t="e">
        <f>VLOOKUP(A:A,'ITEM LIST'!A:C,3,0)</f>
        <v>#N/A</v>
      </c>
      <c r="D16652" s="6">
        <f t="shared" si="261"/>
        <v>0</v>
      </c>
    </row>
    <row r="16653" spans="3:4" ht="15" x14ac:dyDescent="0.25">
      <c r="C16653" s="8" t="e">
        <f>VLOOKUP(A:A,'ITEM LIST'!A:C,3,0)</f>
        <v>#N/A</v>
      </c>
      <c r="D16653" s="6">
        <f t="shared" si="261"/>
        <v>0</v>
      </c>
    </row>
    <row r="16654" spans="3:4" ht="15" x14ac:dyDescent="0.25">
      <c r="C16654" s="8" t="e">
        <f>VLOOKUP(A:A,'ITEM LIST'!A:C,3,0)</f>
        <v>#N/A</v>
      </c>
      <c r="D16654" s="6">
        <f t="shared" si="261"/>
        <v>0</v>
      </c>
    </row>
    <row r="16655" spans="3:4" ht="15" x14ac:dyDescent="0.25">
      <c r="C16655" s="8" t="e">
        <f>VLOOKUP(A:A,'ITEM LIST'!A:C,3,0)</f>
        <v>#N/A</v>
      </c>
      <c r="D16655" s="6">
        <f t="shared" si="261"/>
        <v>0</v>
      </c>
    </row>
    <row r="16656" spans="3:4" ht="15" x14ac:dyDescent="0.25">
      <c r="C16656" s="8" t="e">
        <f>VLOOKUP(A:A,'ITEM LIST'!A:C,3,0)</f>
        <v>#N/A</v>
      </c>
      <c r="D16656" s="6">
        <f t="shared" si="261"/>
        <v>0</v>
      </c>
    </row>
    <row r="16657" spans="3:4" ht="15" x14ac:dyDescent="0.25">
      <c r="C16657" s="8" t="e">
        <f>VLOOKUP(A:A,'ITEM LIST'!A:C,3,0)</f>
        <v>#N/A</v>
      </c>
      <c r="D16657" s="6">
        <f t="shared" si="261"/>
        <v>0</v>
      </c>
    </row>
    <row r="16658" spans="3:4" ht="15" x14ac:dyDescent="0.25">
      <c r="C16658" s="8" t="e">
        <f>VLOOKUP(A:A,'ITEM LIST'!A:C,3,0)</f>
        <v>#N/A</v>
      </c>
      <c r="D16658" s="6">
        <f t="shared" si="261"/>
        <v>0</v>
      </c>
    </row>
    <row r="16659" spans="3:4" ht="15" x14ac:dyDescent="0.25">
      <c r="C16659" s="8" t="e">
        <f>VLOOKUP(A:A,'ITEM LIST'!A:C,3,0)</f>
        <v>#N/A</v>
      </c>
      <c r="D16659" s="6">
        <f t="shared" si="261"/>
        <v>0</v>
      </c>
    </row>
    <row r="16660" spans="3:4" ht="15" x14ac:dyDescent="0.25">
      <c r="C16660" s="8" t="e">
        <f>VLOOKUP(A:A,'ITEM LIST'!A:C,3,0)</f>
        <v>#N/A</v>
      </c>
      <c r="D16660" s="6">
        <f t="shared" si="261"/>
        <v>0</v>
      </c>
    </row>
    <row r="16661" spans="3:4" ht="15" x14ac:dyDescent="0.25">
      <c r="C16661" s="8" t="e">
        <f>VLOOKUP(A:A,'ITEM LIST'!A:C,3,0)</f>
        <v>#N/A</v>
      </c>
      <c r="D16661" s="6">
        <f t="shared" si="261"/>
        <v>0</v>
      </c>
    </row>
    <row r="16662" spans="3:4" ht="15" x14ac:dyDescent="0.25">
      <c r="C16662" s="8" t="e">
        <f>VLOOKUP(A:A,'ITEM LIST'!A:C,3,0)</f>
        <v>#N/A</v>
      </c>
      <c r="D16662" s="6">
        <f t="shared" si="261"/>
        <v>0</v>
      </c>
    </row>
    <row r="16663" spans="3:4" ht="15" x14ac:dyDescent="0.25">
      <c r="C16663" s="8" t="e">
        <f>VLOOKUP(A:A,'ITEM LIST'!A:C,3,0)</f>
        <v>#N/A</v>
      </c>
      <c r="D16663" s="6">
        <f t="shared" si="261"/>
        <v>0</v>
      </c>
    </row>
    <row r="16664" spans="3:4" ht="15" x14ac:dyDescent="0.25">
      <c r="C16664" s="8" t="e">
        <f>VLOOKUP(A:A,'ITEM LIST'!A:C,3,0)</f>
        <v>#N/A</v>
      </c>
      <c r="D16664" s="6">
        <f t="shared" si="261"/>
        <v>0</v>
      </c>
    </row>
    <row r="16665" spans="3:4" ht="15" x14ac:dyDescent="0.25">
      <c r="C16665" s="8" t="e">
        <f>VLOOKUP(A:A,'ITEM LIST'!A:C,3,0)</f>
        <v>#N/A</v>
      </c>
      <c r="D16665" s="6">
        <f t="shared" si="261"/>
        <v>0</v>
      </c>
    </row>
    <row r="16666" spans="3:4" ht="15" x14ac:dyDescent="0.25">
      <c r="C16666" s="8" t="e">
        <f>VLOOKUP(A:A,'ITEM LIST'!A:C,3,0)</f>
        <v>#N/A</v>
      </c>
      <c r="D16666" s="6">
        <f t="shared" si="261"/>
        <v>0</v>
      </c>
    </row>
    <row r="16667" spans="3:4" ht="15" x14ac:dyDescent="0.25">
      <c r="C16667" s="8" t="e">
        <f>VLOOKUP(A:A,'ITEM LIST'!A:C,3,0)</f>
        <v>#N/A</v>
      </c>
      <c r="D16667" s="6">
        <f t="shared" si="261"/>
        <v>0</v>
      </c>
    </row>
    <row r="16668" spans="3:4" ht="15" x14ac:dyDescent="0.25">
      <c r="C16668" s="8" t="e">
        <f>VLOOKUP(A:A,'ITEM LIST'!A:C,3,0)</f>
        <v>#N/A</v>
      </c>
      <c r="D16668" s="6">
        <f t="shared" si="261"/>
        <v>0</v>
      </c>
    </row>
    <row r="16669" spans="3:4" ht="15" x14ac:dyDescent="0.25">
      <c r="C16669" s="8" t="e">
        <f>VLOOKUP(A:A,'ITEM LIST'!A:C,3,0)</f>
        <v>#N/A</v>
      </c>
      <c r="D16669" s="6">
        <f t="shared" si="261"/>
        <v>0</v>
      </c>
    </row>
    <row r="16670" spans="3:4" ht="15" x14ac:dyDescent="0.25">
      <c r="C16670" s="8" t="e">
        <f>VLOOKUP(A:A,'ITEM LIST'!A:C,3,0)</f>
        <v>#N/A</v>
      </c>
      <c r="D16670" s="6">
        <f t="shared" si="261"/>
        <v>0</v>
      </c>
    </row>
    <row r="16671" spans="3:4" ht="15" x14ac:dyDescent="0.25">
      <c r="C16671" s="8" t="e">
        <f>VLOOKUP(A:A,'ITEM LIST'!A:C,3,0)</f>
        <v>#N/A</v>
      </c>
      <c r="D16671" s="6">
        <f t="shared" si="261"/>
        <v>0</v>
      </c>
    </row>
    <row r="16672" spans="3:4" ht="15" x14ac:dyDescent="0.25">
      <c r="C16672" s="8" t="e">
        <f>VLOOKUP(A:A,'ITEM LIST'!A:C,3,0)</f>
        <v>#N/A</v>
      </c>
      <c r="D16672" s="6">
        <f t="shared" si="261"/>
        <v>0</v>
      </c>
    </row>
    <row r="16673" spans="3:4" ht="15" x14ac:dyDescent="0.25">
      <c r="C16673" s="8" t="e">
        <f>VLOOKUP(A:A,'ITEM LIST'!A:C,3,0)</f>
        <v>#N/A</v>
      </c>
      <c r="D16673" s="6">
        <f t="shared" si="261"/>
        <v>0</v>
      </c>
    </row>
    <row r="16674" spans="3:4" ht="15" x14ac:dyDescent="0.25">
      <c r="C16674" s="8" t="e">
        <f>VLOOKUP(A:A,'ITEM LIST'!A:C,3,0)</f>
        <v>#N/A</v>
      </c>
      <c r="D16674" s="6">
        <f t="shared" si="261"/>
        <v>0</v>
      </c>
    </row>
    <row r="16675" spans="3:4" ht="15" x14ac:dyDescent="0.25">
      <c r="C16675" s="8" t="e">
        <f>VLOOKUP(A:A,'ITEM LIST'!A:C,3,0)</f>
        <v>#N/A</v>
      </c>
      <c r="D16675" s="6">
        <f t="shared" si="261"/>
        <v>0</v>
      </c>
    </row>
    <row r="16676" spans="3:4" ht="15" x14ac:dyDescent="0.25">
      <c r="C16676" s="8" t="e">
        <f>VLOOKUP(A:A,'ITEM LIST'!A:C,3,0)</f>
        <v>#N/A</v>
      </c>
      <c r="D16676" s="6">
        <f t="shared" si="261"/>
        <v>0</v>
      </c>
    </row>
    <row r="16677" spans="3:4" ht="15" x14ac:dyDescent="0.25">
      <c r="C16677" s="8" t="e">
        <f>VLOOKUP(A:A,'ITEM LIST'!A:C,3,0)</f>
        <v>#N/A</v>
      </c>
      <c r="D16677" s="6">
        <f t="shared" si="261"/>
        <v>0</v>
      </c>
    </row>
    <row r="16678" spans="3:4" ht="15" x14ac:dyDescent="0.25">
      <c r="C16678" s="8" t="e">
        <f>VLOOKUP(A:A,'ITEM LIST'!A:C,3,0)</f>
        <v>#N/A</v>
      </c>
      <c r="D16678" s="6">
        <f t="shared" si="261"/>
        <v>0</v>
      </c>
    </row>
    <row r="16679" spans="3:4" ht="15" x14ac:dyDescent="0.25">
      <c r="C16679" s="8" t="e">
        <f>VLOOKUP(A:A,'ITEM LIST'!A:C,3,0)</f>
        <v>#N/A</v>
      </c>
      <c r="D16679" s="6">
        <f t="shared" si="261"/>
        <v>0</v>
      </c>
    </row>
    <row r="16680" spans="3:4" ht="15" x14ac:dyDescent="0.25">
      <c r="C16680" s="8" t="e">
        <f>VLOOKUP(A:A,'ITEM LIST'!A:C,3,0)</f>
        <v>#N/A</v>
      </c>
      <c r="D16680" s="6">
        <f t="shared" si="261"/>
        <v>0</v>
      </c>
    </row>
    <row r="16681" spans="3:4" ht="15" x14ac:dyDescent="0.25">
      <c r="C16681" s="8" t="e">
        <f>VLOOKUP(A:A,'ITEM LIST'!A:C,3,0)</f>
        <v>#N/A</v>
      </c>
      <c r="D16681" s="6">
        <f t="shared" si="261"/>
        <v>0</v>
      </c>
    </row>
    <row r="16682" spans="3:4" ht="15" x14ac:dyDescent="0.25">
      <c r="C16682" s="8" t="e">
        <f>VLOOKUP(A:A,'ITEM LIST'!A:C,3,0)</f>
        <v>#N/A</v>
      </c>
      <c r="D16682" s="6">
        <f t="shared" si="261"/>
        <v>0</v>
      </c>
    </row>
    <row r="16683" spans="3:4" ht="15" x14ac:dyDescent="0.25">
      <c r="C16683" s="8" t="e">
        <f>VLOOKUP(A:A,'ITEM LIST'!A:C,3,0)</f>
        <v>#N/A</v>
      </c>
      <c r="D16683" s="6">
        <f t="shared" si="261"/>
        <v>0</v>
      </c>
    </row>
    <row r="16684" spans="3:4" ht="15" x14ac:dyDescent="0.25">
      <c r="C16684" s="8" t="e">
        <f>VLOOKUP(A:A,'ITEM LIST'!A:C,3,0)</f>
        <v>#N/A</v>
      </c>
      <c r="D16684" s="6">
        <f t="shared" si="261"/>
        <v>0</v>
      </c>
    </row>
    <row r="16685" spans="3:4" ht="15" x14ac:dyDescent="0.25">
      <c r="C16685" s="8" t="e">
        <f>VLOOKUP(A:A,'ITEM LIST'!A:C,3,0)</f>
        <v>#N/A</v>
      </c>
      <c r="D16685" s="6">
        <f t="shared" si="261"/>
        <v>0</v>
      </c>
    </row>
    <row r="16686" spans="3:4" ht="15" x14ac:dyDescent="0.25">
      <c r="C16686" s="8" t="e">
        <f>VLOOKUP(A:A,'ITEM LIST'!A:C,3,0)</f>
        <v>#N/A</v>
      </c>
      <c r="D16686" s="6">
        <f t="shared" si="261"/>
        <v>0</v>
      </c>
    </row>
    <row r="16687" spans="3:4" ht="15" x14ac:dyDescent="0.25">
      <c r="C16687" s="8" t="e">
        <f>VLOOKUP(A:A,'ITEM LIST'!A:C,3,0)</f>
        <v>#N/A</v>
      </c>
      <c r="D16687" s="6">
        <f t="shared" si="261"/>
        <v>0</v>
      </c>
    </row>
    <row r="16688" spans="3:4" ht="15" x14ac:dyDescent="0.25">
      <c r="C16688" s="8" t="e">
        <f>VLOOKUP(A:A,'ITEM LIST'!A:C,3,0)</f>
        <v>#N/A</v>
      </c>
      <c r="D16688" s="6">
        <f t="shared" si="261"/>
        <v>0</v>
      </c>
    </row>
    <row r="16689" spans="3:4" ht="15" x14ac:dyDescent="0.25">
      <c r="C16689" s="8" t="e">
        <f>VLOOKUP(A:A,'ITEM LIST'!A:C,3,0)</f>
        <v>#N/A</v>
      </c>
      <c r="D16689" s="6">
        <f t="shared" si="261"/>
        <v>0</v>
      </c>
    </row>
    <row r="16690" spans="3:4" ht="15" x14ac:dyDescent="0.25">
      <c r="C16690" s="8" t="e">
        <f>VLOOKUP(A:A,'ITEM LIST'!A:C,3,0)</f>
        <v>#N/A</v>
      </c>
      <c r="D16690" s="6">
        <f t="shared" si="261"/>
        <v>0</v>
      </c>
    </row>
    <row r="16691" spans="3:4" ht="15" x14ac:dyDescent="0.25">
      <c r="C16691" s="8" t="e">
        <f>VLOOKUP(A:A,'ITEM LIST'!A:C,3,0)</f>
        <v>#N/A</v>
      </c>
      <c r="D16691" s="6">
        <f t="shared" si="261"/>
        <v>0</v>
      </c>
    </row>
    <row r="16692" spans="3:4" ht="15" x14ac:dyDescent="0.25">
      <c r="C16692" s="8" t="e">
        <f>VLOOKUP(A:A,'ITEM LIST'!A:C,3,0)</f>
        <v>#N/A</v>
      </c>
      <c r="D16692" s="6">
        <f t="shared" si="261"/>
        <v>0</v>
      </c>
    </row>
    <row r="16693" spans="3:4" ht="15" x14ac:dyDescent="0.25">
      <c r="C16693" s="8" t="e">
        <f>VLOOKUP(A:A,'ITEM LIST'!A:C,3,0)</f>
        <v>#N/A</v>
      </c>
      <c r="D16693" s="6">
        <f t="shared" si="261"/>
        <v>0</v>
      </c>
    </row>
    <row r="16694" spans="3:4" ht="15" x14ac:dyDescent="0.25">
      <c r="C16694" s="8" t="e">
        <f>VLOOKUP(A:A,'ITEM LIST'!A:C,3,0)</f>
        <v>#N/A</v>
      </c>
      <c r="D16694" s="6">
        <f t="shared" si="261"/>
        <v>0</v>
      </c>
    </row>
    <row r="16695" spans="3:4" ht="15" x14ac:dyDescent="0.25">
      <c r="C16695" s="8" t="e">
        <f>VLOOKUP(A:A,'ITEM LIST'!A:C,3,0)</f>
        <v>#N/A</v>
      </c>
      <c r="D16695" s="6">
        <f t="shared" si="261"/>
        <v>0</v>
      </c>
    </row>
    <row r="16696" spans="3:4" ht="15" x14ac:dyDescent="0.25">
      <c r="C16696" s="8" t="e">
        <f>VLOOKUP(A:A,'ITEM LIST'!A:C,3,0)</f>
        <v>#N/A</v>
      </c>
      <c r="D16696" s="6">
        <f t="shared" si="261"/>
        <v>0</v>
      </c>
    </row>
    <row r="16697" spans="3:4" ht="15" x14ac:dyDescent="0.25">
      <c r="C16697" s="8" t="e">
        <f>VLOOKUP(A:A,'ITEM LIST'!A:C,3,0)</f>
        <v>#N/A</v>
      </c>
      <c r="D16697" s="6">
        <f t="shared" si="261"/>
        <v>0</v>
      </c>
    </row>
    <row r="16698" spans="3:4" ht="15" x14ac:dyDescent="0.25">
      <c r="C16698" s="8" t="e">
        <f>VLOOKUP(A:A,'ITEM LIST'!A:C,3,0)</f>
        <v>#N/A</v>
      </c>
      <c r="D16698" s="6">
        <f t="shared" si="261"/>
        <v>0</v>
      </c>
    </row>
    <row r="16699" spans="3:4" ht="15" x14ac:dyDescent="0.25">
      <c r="C16699" s="8" t="e">
        <f>VLOOKUP(A:A,'ITEM LIST'!A:C,3,0)</f>
        <v>#N/A</v>
      </c>
      <c r="D16699" s="6">
        <f t="shared" si="261"/>
        <v>0</v>
      </c>
    </row>
    <row r="16700" spans="3:4" ht="15" x14ac:dyDescent="0.25">
      <c r="C16700" s="8" t="e">
        <f>VLOOKUP(A:A,'ITEM LIST'!A:C,3,0)</f>
        <v>#N/A</v>
      </c>
      <c r="D16700" s="6">
        <f t="shared" si="261"/>
        <v>0</v>
      </c>
    </row>
    <row r="16701" spans="3:4" ht="15" x14ac:dyDescent="0.25">
      <c r="C16701" s="8" t="e">
        <f>VLOOKUP(A:A,'ITEM LIST'!A:C,3,0)</f>
        <v>#N/A</v>
      </c>
      <c r="D16701" s="6">
        <f t="shared" si="261"/>
        <v>0</v>
      </c>
    </row>
    <row r="16702" spans="3:4" ht="15" x14ac:dyDescent="0.25">
      <c r="C16702" s="8" t="e">
        <f>VLOOKUP(A:A,'ITEM LIST'!A:C,3,0)</f>
        <v>#N/A</v>
      </c>
      <c r="D16702" s="6">
        <f t="shared" si="261"/>
        <v>0</v>
      </c>
    </row>
    <row r="16703" spans="3:4" ht="15" x14ac:dyDescent="0.25">
      <c r="C16703" s="8" t="e">
        <f>VLOOKUP(A:A,'ITEM LIST'!A:C,3,0)</f>
        <v>#N/A</v>
      </c>
      <c r="D16703" s="6">
        <f t="shared" si="261"/>
        <v>0</v>
      </c>
    </row>
    <row r="16704" spans="3:4" ht="15" x14ac:dyDescent="0.25">
      <c r="C16704" s="8" t="e">
        <f>VLOOKUP(A:A,'ITEM LIST'!A:C,3,0)</f>
        <v>#N/A</v>
      </c>
      <c r="D16704" s="6">
        <f t="shared" si="261"/>
        <v>0</v>
      </c>
    </row>
    <row r="16705" spans="3:4" ht="15" x14ac:dyDescent="0.25">
      <c r="C16705" s="8" t="e">
        <f>VLOOKUP(A:A,'ITEM LIST'!A:C,3,0)</f>
        <v>#N/A</v>
      </c>
      <c r="D16705" s="6">
        <f t="shared" si="261"/>
        <v>0</v>
      </c>
    </row>
    <row r="16706" spans="3:4" ht="15" x14ac:dyDescent="0.25">
      <c r="C16706" s="8" t="e">
        <f>VLOOKUP(A:A,'ITEM LIST'!A:C,3,0)</f>
        <v>#N/A</v>
      </c>
      <c r="D16706" s="6">
        <f t="shared" si="261"/>
        <v>0</v>
      </c>
    </row>
    <row r="16707" spans="3:4" ht="15" x14ac:dyDescent="0.25">
      <c r="C16707" s="8" t="e">
        <f>VLOOKUP(A:A,'ITEM LIST'!A:C,3,0)</f>
        <v>#N/A</v>
      </c>
      <c r="D16707" s="6">
        <f t="shared" si="261"/>
        <v>0</v>
      </c>
    </row>
    <row r="16708" spans="3:4" ht="15" x14ac:dyDescent="0.25">
      <c r="C16708" s="8" t="e">
        <f>VLOOKUP(A:A,'ITEM LIST'!A:C,3,0)</f>
        <v>#N/A</v>
      </c>
      <c r="D16708" s="6">
        <f t="shared" si="261"/>
        <v>0</v>
      </c>
    </row>
    <row r="16709" spans="3:4" ht="15" x14ac:dyDescent="0.25">
      <c r="C16709" s="8" t="e">
        <f>VLOOKUP(A:A,'ITEM LIST'!A:C,3,0)</f>
        <v>#N/A</v>
      </c>
      <c r="D16709" s="6">
        <f t="shared" si="261"/>
        <v>0</v>
      </c>
    </row>
    <row r="16710" spans="3:4" ht="15" x14ac:dyDescent="0.25">
      <c r="C16710" s="8" t="e">
        <f>VLOOKUP(A:A,'ITEM LIST'!A:C,3,0)</f>
        <v>#N/A</v>
      </c>
      <c r="D16710" s="6">
        <f t="shared" ref="D16710:D16773" si="262">B16710</f>
        <v>0</v>
      </c>
    </row>
    <row r="16711" spans="3:4" ht="15" x14ac:dyDescent="0.25">
      <c r="C16711" s="8" t="e">
        <f>VLOOKUP(A:A,'ITEM LIST'!A:C,3,0)</f>
        <v>#N/A</v>
      </c>
      <c r="D16711" s="6">
        <f t="shared" si="262"/>
        <v>0</v>
      </c>
    </row>
    <row r="16712" spans="3:4" ht="15" x14ac:dyDescent="0.25">
      <c r="C16712" s="8" t="e">
        <f>VLOOKUP(A:A,'ITEM LIST'!A:C,3,0)</f>
        <v>#N/A</v>
      </c>
      <c r="D16712" s="6">
        <f t="shared" si="262"/>
        <v>0</v>
      </c>
    </row>
    <row r="16713" spans="3:4" ht="15" x14ac:dyDescent="0.25">
      <c r="C16713" s="8" t="e">
        <f>VLOOKUP(A:A,'ITEM LIST'!A:C,3,0)</f>
        <v>#N/A</v>
      </c>
      <c r="D16713" s="6">
        <f t="shared" si="262"/>
        <v>0</v>
      </c>
    </row>
    <row r="16714" spans="3:4" ht="15" x14ac:dyDescent="0.25">
      <c r="C16714" s="8" t="e">
        <f>VLOOKUP(A:A,'ITEM LIST'!A:C,3,0)</f>
        <v>#N/A</v>
      </c>
      <c r="D16714" s="6">
        <f t="shared" si="262"/>
        <v>0</v>
      </c>
    </row>
    <row r="16715" spans="3:4" ht="15" x14ac:dyDescent="0.25">
      <c r="C16715" s="8" t="e">
        <f>VLOOKUP(A:A,'ITEM LIST'!A:C,3,0)</f>
        <v>#N/A</v>
      </c>
      <c r="D16715" s="6">
        <f t="shared" si="262"/>
        <v>0</v>
      </c>
    </row>
    <row r="16716" spans="3:4" ht="15" x14ac:dyDescent="0.25">
      <c r="C16716" s="8" t="e">
        <f>VLOOKUP(A:A,'ITEM LIST'!A:C,3,0)</f>
        <v>#N/A</v>
      </c>
      <c r="D16716" s="6">
        <f t="shared" si="262"/>
        <v>0</v>
      </c>
    </row>
    <row r="16717" spans="3:4" ht="15" x14ac:dyDescent="0.25">
      <c r="C16717" s="8" t="e">
        <f>VLOOKUP(A:A,'ITEM LIST'!A:C,3,0)</f>
        <v>#N/A</v>
      </c>
      <c r="D16717" s="6">
        <f t="shared" si="262"/>
        <v>0</v>
      </c>
    </row>
    <row r="16718" spans="3:4" ht="15" x14ac:dyDescent="0.25">
      <c r="C16718" s="8" t="e">
        <f>VLOOKUP(A:A,'ITEM LIST'!A:C,3,0)</f>
        <v>#N/A</v>
      </c>
      <c r="D16718" s="6">
        <f t="shared" si="262"/>
        <v>0</v>
      </c>
    </row>
    <row r="16719" spans="3:4" ht="15" x14ac:dyDescent="0.25">
      <c r="C16719" s="8" t="e">
        <f>VLOOKUP(A:A,'ITEM LIST'!A:C,3,0)</f>
        <v>#N/A</v>
      </c>
      <c r="D16719" s="6">
        <f t="shared" si="262"/>
        <v>0</v>
      </c>
    </row>
    <row r="16720" spans="3:4" ht="15" x14ac:dyDescent="0.25">
      <c r="C16720" s="8" t="e">
        <f>VLOOKUP(A:A,'ITEM LIST'!A:C,3,0)</f>
        <v>#N/A</v>
      </c>
      <c r="D16720" s="6">
        <f t="shared" si="262"/>
        <v>0</v>
      </c>
    </row>
    <row r="16721" spans="3:4" ht="15" x14ac:dyDescent="0.25">
      <c r="C16721" s="8" t="e">
        <f>VLOOKUP(A:A,'ITEM LIST'!A:C,3,0)</f>
        <v>#N/A</v>
      </c>
      <c r="D16721" s="6">
        <f t="shared" si="262"/>
        <v>0</v>
      </c>
    </row>
    <row r="16722" spans="3:4" ht="15" x14ac:dyDescent="0.25">
      <c r="C16722" s="8" t="e">
        <f>VLOOKUP(A:A,'ITEM LIST'!A:C,3,0)</f>
        <v>#N/A</v>
      </c>
      <c r="D16722" s="6">
        <f t="shared" si="262"/>
        <v>0</v>
      </c>
    </row>
    <row r="16723" spans="3:4" ht="15" x14ac:dyDescent="0.25">
      <c r="C16723" s="8" t="e">
        <f>VLOOKUP(A:A,'ITEM LIST'!A:C,3,0)</f>
        <v>#N/A</v>
      </c>
      <c r="D16723" s="6">
        <f t="shared" si="262"/>
        <v>0</v>
      </c>
    </row>
    <row r="16724" spans="3:4" ht="15" x14ac:dyDescent="0.25">
      <c r="C16724" s="8" t="e">
        <f>VLOOKUP(A:A,'ITEM LIST'!A:C,3,0)</f>
        <v>#N/A</v>
      </c>
      <c r="D16724" s="6">
        <f t="shared" si="262"/>
        <v>0</v>
      </c>
    </row>
    <row r="16725" spans="3:4" ht="15" x14ac:dyDescent="0.25">
      <c r="C16725" s="8" t="e">
        <f>VLOOKUP(A:A,'ITEM LIST'!A:C,3,0)</f>
        <v>#N/A</v>
      </c>
      <c r="D16725" s="6">
        <f t="shared" si="262"/>
        <v>0</v>
      </c>
    </row>
    <row r="16726" spans="3:4" ht="15" x14ac:dyDescent="0.25">
      <c r="C16726" s="8" t="e">
        <f>VLOOKUP(A:A,'ITEM LIST'!A:C,3,0)</f>
        <v>#N/A</v>
      </c>
      <c r="D16726" s="6">
        <f t="shared" si="262"/>
        <v>0</v>
      </c>
    </row>
    <row r="16727" spans="3:4" ht="15" x14ac:dyDescent="0.25">
      <c r="C16727" s="8" t="e">
        <f>VLOOKUP(A:A,'ITEM LIST'!A:C,3,0)</f>
        <v>#N/A</v>
      </c>
      <c r="D16727" s="6">
        <f t="shared" si="262"/>
        <v>0</v>
      </c>
    </row>
    <row r="16728" spans="3:4" ht="15" x14ac:dyDescent="0.25">
      <c r="C16728" s="8" t="e">
        <f>VLOOKUP(A:A,'ITEM LIST'!A:C,3,0)</f>
        <v>#N/A</v>
      </c>
      <c r="D16728" s="6">
        <f t="shared" si="262"/>
        <v>0</v>
      </c>
    </row>
    <row r="16729" spans="3:4" ht="15" x14ac:dyDescent="0.25">
      <c r="C16729" s="8" t="e">
        <f>VLOOKUP(A:A,'ITEM LIST'!A:C,3,0)</f>
        <v>#N/A</v>
      </c>
      <c r="D16729" s="6">
        <f t="shared" si="262"/>
        <v>0</v>
      </c>
    </row>
    <row r="16730" spans="3:4" ht="15" x14ac:dyDescent="0.25">
      <c r="C16730" s="8" t="e">
        <f>VLOOKUP(A:A,'ITEM LIST'!A:C,3,0)</f>
        <v>#N/A</v>
      </c>
      <c r="D16730" s="6">
        <f t="shared" si="262"/>
        <v>0</v>
      </c>
    </row>
    <row r="16731" spans="3:4" ht="15" x14ac:dyDescent="0.25">
      <c r="C16731" s="8" t="e">
        <f>VLOOKUP(A:A,'ITEM LIST'!A:C,3,0)</f>
        <v>#N/A</v>
      </c>
      <c r="D16731" s="6">
        <f t="shared" si="262"/>
        <v>0</v>
      </c>
    </row>
    <row r="16732" spans="3:4" ht="15" x14ac:dyDescent="0.25">
      <c r="C16732" s="8" t="e">
        <f>VLOOKUP(A:A,'ITEM LIST'!A:C,3,0)</f>
        <v>#N/A</v>
      </c>
      <c r="D16732" s="6">
        <f t="shared" si="262"/>
        <v>0</v>
      </c>
    </row>
    <row r="16733" spans="3:4" ht="15" x14ac:dyDescent="0.25">
      <c r="C16733" s="8" t="e">
        <f>VLOOKUP(A:A,'ITEM LIST'!A:C,3,0)</f>
        <v>#N/A</v>
      </c>
      <c r="D16733" s="6">
        <f t="shared" si="262"/>
        <v>0</v>
      </c>
    </row>
    <row r="16734" spans="3:4" ht="15" x14ac:dyDescent="0.25">
      <c r="C16734" s="8" t="e">
        <f>VLOOKUP(A:A,'ITEM LIST'!A:C,3,0)</f>
        <v>#N/A</v>
      </c>
      <c r="D16734" s="6">
        <f t="shared" si="262"/>
        <v>0</v>
      </c>
    </row>
    <row r="16735" spans="3:4" ht="15" x14ac:dyDescent="0.25">
      <c r="C16735" s="8" t="e">
        <f>VLOOKUP(A:A,'ITEM LIST'!A:C,3,0)</f>
        <v>#N/A</v>
      </c>
      <c r="D16735" s="6">
        <f t="shared" si="262"/>
        <v>0</v>
      </c>
    </row>
    <row r="16736" spans="3:4" ht="15" x14ac:dyDescent="0.25">
      <c r="C16736" s="8" t="e">
        <f>VLOOKUP(A:A,'ITEM LIST'!A:C,3,0)</f>
        <v>#N/A</v>
      </c>
      <c r="D16736" s="6">
        <f t="shared" si="262"/>
        <v>0</v>
      </c>
    </row>
    <row r="16737" spans="3:4" ht="15" x14ac:dyDescent="0.25">
      <c r="C16737" s="8" t="e">
        <f>VLOOKUP(A:A,'ITEM LIST'!A:C,3,0)</f>
        <v>#N/A</v>
      </c>
      <c r="D16737" s="6">
        <f t="shared" si="262"/>
        <v>0</v>
      </c>
    </row>
    <row r="16738" spans="3:4" ht="15" x14ac:dyDescent="0.25">
      <c r="C16738" s="8" t="e">
        <f>VLOOKUP(A:A,'ITEM LIST'!A:C,3,0)</f>
        <v>#N/A</v>
      </c>
      <c r="D16738" s="6">
        <f t="shared" si="262"/>
        <v>0</v>
      </c>
    </row>
    <row r="16739" spans="3:4" ht="15" x14ac:dyDescent="0.25">
      <c r="C16739" s="8" t="e">
        <f>VLOOKUP(A:A,'ITEM LIST'!A:C,3,0)</f>
        <v>#N/A</v>
      </c>
      <c r="D16739" s="6">
        <f t="shared" si="262"/>
        <v>0</v>
      </c>
    </row>
    <row r="16740" spans="3:4" ht="15" x14ac:dyDescent="0.25">
      <c r="C16740" s="8" t="e">
        <f>VLOOKUP(A:A,'ITEM LIST'!A:C,3,0)</f>
        <v>#N/A</v>
      </c>
      <c r="D16740" s="6">
        <f t="shared" si="262"/>
        <v>0</v>
      </c>
    </row>
    <row r="16741" spans="3:4" ht="15" x14ac:dyDescent="0.25">
      <c r="C16741" s="8" t="e">
        <f>VLOOKUP(A:A,'ITEM LIST'!A:C,3,0)</f>
        <v>#N/A</v>
      </c>
      <c r="D16741" s="6">
        <f t="shared" si="262"/>
        <v>0</v>
      </c>
    </row>
    <row r="16742" spans="3:4" ht="15" x14ac:dyDescent="0.25">
      <c r="C16742" s="8" t="e">
        <f>VLOOKUP(A:A,'ITEM LIST'!A:C,3,0)</f>
        <v>#N/A</v>
      </c>
      <c r="D16742" s="6">
        <f t="shared" si="262"/>
        <v>0</v>
      </c>
    </row>
    <row r="16743" spans="3:4" ht="15" x14ac:dyDescent="0.25">
      <c r="C16743" s="8" t="e">
        <f>VLOOKUP(A:A,'ITEM LIST'!A:C,3,0)</f>
        <v>#N/A</v>
      </c>
      <c r="D16743" s="6">
        <f t="shared" si="262"/>
        <v>0</v>
      </c>
    </row>
    <row r="16744" spans="3:4" ht="15" x14ac:dyDescent="0.25">
      <c r="C16744" s="8" t="e">
        <f>VLOOKUP(A:A,'ITEM LIST'!A:C,3,0)</f>
        <v>#N/A</v>
      </c>
      <c r="D16744" s="6">
        <f t="shared" si="262"/>
        <v>0</v>
      </c>
    </row>
    <row r="16745" spans="3:4" ht="15" x14ac:dyDescent="0.25">
      <c r="C16745" s="8" t="e">
        <f>VLOOKUP(A:A,'ITEM LIST'!A:C,3,0)</f>
        <v>#N/A</v>
      </c>
      <c r="D16745" s="6">
        <f t="shared" si="262"/>
        <v>0</v>
      </c>
    </row>
    <row r="16746" spans="3:4" ht="15" x14ac:dyDescent="0.25">
      <c r="C16746" s="8" t="e">
        <f>VLOOKUP(A:A,'ITEM LIST'!A:C,3,0)</f>
        <v>#N/A</v>
      </c>
      <c r="D16746" s="6">
        <f t="shared" si="262"/>
        <v>0</v>
      </c>
    </row>
    <row r="16747" spans="3:4" ht="15" x14ac:dyDescent="0.25">
      <c r="C16747" s="8" t="e">
        <f>VLOOKUP(A:A,'ITEM LIST'!A:C,3,0)</f>
        <v>#N/A</v>
      </c>
      <c r="D16747" s="6">
        <f t="shared" si="262"/>
        <v>0</v>
      </c>
    </row>
    <row r="16748" spans="3:4" ht="15" x14ac:dyDescent="0.25">
      <c r="C16748" s="8" t="e">
        <f>VLOOKUP(A:A,'ITEM LIST'!A:C,3,0)</f>
        <v>#N/A</v>
      </c>
      <c r="D16748" s="6">
        <f t="shared" si="262"/>
        <v>0</v>
      </c>
    </row>
    <row r="16749" spans="3:4" ht="15" x14ac:dyDescent="0.25">
      <c r="C16749" s="8" t="e">
        <f>VLOOKUP(A:A,'ITEM LIST'!A:C,3,0)</f>
        <v>#N/A</v>
      </c>
      <c r="D16749" s="6">
        <f t="shared" si="262"/>
        <v>0</v>
      </c>
    </row>
    <row r="16750" spans="3:4" ht="15" x14ac:dyDescent="0.25">
      <c r="C16750" s="8" t="e">
        <f>VLOOKUP(A:A,'ITEM LIST'!A:C,3,0)</f>
        <v>#N/A</v>
      </c>
      <c r="D16750" s="6">
        <f t="shared" si="262"/>
        <v>0</v>
      </c>
    </row>
    <row r="16751" spans="3:4" ht="15" x14ac:dyDescent="0.25">
      <c r="C16751" s="8" t="e">
        <f>VLOOKUP(A:A,'ITEM LIST'!A:C,3,0)</f>
        <v>#N/A</v>
      </c>
      <c r="D16751" s="6">
        <f t="shared" si="262"/>
        <v>0</v>
      </c>
    </row>
    <row r="16752" spans="3:4" ht="15" x14ac:dyDescent="0.25">
      <c r="C16752" s="8" t="e">
        <f>VLOOKUP(A:A,'ITEM LIST'!A:C,3,0)</f>
        <v>#N/A</v>
      </c>
      <c r="D16752" s="6">
        <f t="shared" si="262"/>
        <v>0</v>
      </c>
    </row>
    <row r="16753" spans="3:4" ht="15" x14ac:dyDescent="0.25">
      <c r="C16753" s="8" t="e">
        <f>VLOOKUP(A:A,'ITEM LIST'!A:C,3,0)</f>
        <v>#N/A</v>
      </c>
      <c r="D16753" s="6">
        <f t="shared" si="262"/>
        <v>0</v>
      </c>
    </row>
    <row r="16754" spans="3:4" ht="15" x14ac:dyDescent="0.25">
      <c r="C16754" s="8" t="e">
        <f>VLOOKUP(A:A,'ITEM LIST'!A:C,3,0)</f>
        <v>#N/A</v>
      </c>
      <c r="D16754" s="6">
        <f t="shared" si="262"/>
        <v>0</v>
      </c>
    </row>
    <row r="16755" spans="3:4" ht="15" x14ac:dyDescent="0.25">
      <c r="C16755" s="8" t="e">
        <f>VLOOKUP(A:A,'ITEM LIST'!A:C,3,0)</f>
        <v>#N/A</v>
      </c>
      <c r="D16755" s="6">
        <f t="shared" si="262"/>
        <v>0</v>
      </c>
    </row>
    <row r="16756" spans="3:4" ht="15" x14ac:dyDescent="0.25">
      <c r="C16756" s="8" t="e">
        <f>VLOOKUP(A:A,'ITEM LIST'!A:C,3,0)</f>
        <v>#N/A</v>
      </c>
      <c r="D16756" s="6">
        <f t="shared" si="262"/>
        <v>0</v>
      </c>
    </row>
    <row r="16757" spans="3:4" ht="15" x14ac:dyDescent="0.25">
      <c r="C16757" s="8" t="e">
        <f>VLOOKUP(A:A,'ITEM LIST'!A:C,3,0)</f>
        <v>#N/A</v>
      </c>
      <c r="D16757" s="6">
        <f t="shared" si="262"/>
        <v>0</v>
      </c>
    </row>
    <row r="16758" spans="3:4" ht="15" x14ac:dyDescent="0.25">
      <c r="C16758" s="8" t="e">
        <f>VLOOKUP(A:A,'ITEM LIST'!A:C,3,0)</f>
        <v>#N/A</v>
      </c>
      <c r="D16758" s="6">
        <f t="shared" si="262"/>
        <v>0</v>
      </c>
    </row>
    <row r="16759" spans="3:4" ht="15" x14ac:dyDescent="0.25">
      <c r="C16759" s="8" t="e">
        <f>VLOOKUP(A:A,'ITEM LIST'!A:C,3,0)</f>
        <v>#N/A</v>
      </c>
      <c r="D16759" s="6">
        <f t="shared" si="262"/>
        <v>0</v>
      </c>
    </row>
    <row r="16760" spans="3:4" ht="15" x14ac:dyDescent="0.25">
      <c r="C16760" s="8" t="e">
        <f>VLOOKUP(A:A,'ITEM LIST'!A:C,3,0)</f>
        <v>#N/A</v>
      </c>
      <c r="D16760" s="6">
        <f t="shared" si="262"/>
        <v>0</v>
      </c>
    </row>
    <row r="16761" spans="3:4" ht="15" x14ac:dyDescent="0.25">
      <c r="C16761" s="8" t="e">
        <f>VLOOKUP(A:A,'ITEM LIST'!A:C,3,0)</f>
        <v>#N/A</v>
      </c>
      <c r="D16761" s="6">
        <f t="shared" si="262"/>
        <v>0</v>
      </c>
    </row>
    <row r="16762" spans="3:4" ht="15" x14ac:dyDescent="0.25">
      <c r="C16762" s="8" t="e">
        <f>VLOOKUP(A:A,'ITEM LIST'!A:C,3,0)</f>
        <v>#N/A</v>
      </c>
      <c r="D16762" s="6">
        <f t="shared" si="262"/>
        <v>0</v>
      </c>
    </row>
    <row r="16763" spans="3:4" ht="15" x14ac:dyDescent="0.25">
      <c r="C16763" s="8" t="e">
        <f>VLOOKUP(A:A,'ITEM LIST'!A:C,3,0)</f>
        <v>#N/A</v>
      </c>
      <c r="D16763" s="6">
        <f t="shared" si="262"/>
        <v>0</v>
      </c>
    </row>
    <row r="16764" spans="3:4" ht="15" x14ac:dyDescent="0.25">
      <c r="C16764" s="8" t="e">
        <f>VLOOKUP(A:A,'ITEM LIST'!A:C,3,0)</f>
        <v>#N/A</v>
      </c>
      <c r="D16764" s="6">
        <f t="shared" si="262"/>
        <v>0</v>
      </c>
    </row>
    <row r="16765" spans="3:4" ht="15" x14ac:dyDescent="0.25">
      <c r="C16765" s="8" t="e">
        <f>VLOOKUP(A:A,'ITEM LIST'!A:C,3,0)</f>
        <v>#N/A</v>
      </c>
      <c r="D16765" s="6">
        <f t="shared" si="262"/>
        <v>0</v>
      </c>
    </row>
    <row r="16766" spans="3:4" ht="15" x14ac:dyDescent="0.25">
      <c r="C16766" s="8" t="e">
        <f>VLOOKUP(A:A,'ITEM LIST'!A:C,3,0)</f>
        <v>#N/A</v>
      </c>
      <c r="D16766" s="6">
        <f t="shared" si="262"/>
        <v>0</v>
      </c>
    </row>
    <row r="16767" spans="3:4" ht="15" x14ac:dyDescent="0.25">
      <c r="C16767" s="8" t="e">
        <f>VLOOKUP(A:A,'ITEM LIST'!A:C,3,0)</f>
        <v>#N/A</v>
      </c>
      <c r="D16767" s="6">
        <f t="shared" si="262"/>
        <v>0</v>
      </c>
    </row>
    <row r="16768" spans="3:4" ht="15" x14ac:dyDescent="0.25">
      <c r="C16768" s="8" t="e">
        <f>VLOOKUP(A:A,'ITEM LIST'!A:C,3,0)</f>
        <v>#N/A</v>
      </c>
      <c r="D16768" s="6">
        <f t="shared" si="262"/>
        <v>0</v>
      </c>
    </row>
    <row r="16769" spans="3:4" ht="15" x14ac:dyDescent="0.25">
      <c r="C16769" s="8" t="e">
        <f>VLOOKUP(A:A,'ITEM LIST'!A:C,3,0)</f>
        <v>#N/A</v>
      </c>
      <c r="D16769" s="6">
        <f t="shared" si="262"/>
        <v>0</v>
      </c>
    </row>
    <row r="16770" spans="3:4" ht="15" x14ac:dyDescent="0.25">
      <c r="C16770" s="8" t="e">
        <f>VLOOKUP(A:A,'ITEM LIST'!A:C,3,0)</f>
        <v>#N/A</v>
      </c>
      <c r="D16770" s="6">
        <f t="shared" si="262"/>
        <v>0</v>
      </c>
    </row>
    <row r="16771" spans="3:4" ht="15" x14ac:dyDescent="0.25">
      <c r="C16771" s="8" t="e">
        <f>VLOOKUP(A:A,'ITEM LIST'!A:C,3,0)</f>
        <v>#N/A</v>
      </c>
      <c r="D16771" s="6">
        <f t="shared" si="262"/>
        <v>0</v>
      </c>
    </row>
    <row r="16772" spans="3:4" ht="15" x14ac:dyDescent="0.25">
      <c r="C16772" s="8" t="e">
        <f>VLOOKUP(A:A,'ITEM LIST'!A:C,3,0)</f>
        <v>#N/A</v>
      </c>
      <c r="D16772" s="6">
        <f t="shared" si="262"/>
        <v>0</v>
      </c>
    </row>
    <row r="16773" spans="3:4" ht="15" x14ac:dyDescent="0.25">
      <c r="C16773" s="8" t="e">
        <f>VLOOKUP(A:A,'ITEM LIST'!A:C,3,0)</f>
        <v>#N/A</v>
      </c>
      <c r="D16773" s="6">
        <f t="shared" si="262"/>
        <v>0</v>
      </c>
    </row>
    <row r="16774" spans="3:4" ht="15" x14ac:dyDescent="0.25">
      <c r="C16774" s="8" t="e">
        <f>VLOOKUP(A:A,'ITEM LIST'!A:C,3,0)</f>
        <v>#N/A</v>
      </c>
      <c r="D16774" s="6">
        <f t="shared" ref="D16774:D16837" si="263">B16774</f>
        <v>0</v>
      </c>
    </row>
    <row r="16775" spans="3:4" ht="15" x14ac:dyDescent="0.25">
      <c r="C16775" s="8" t="e">
        <f>VLOOKUP(A:A,'ITEM LIST'!A:C,3,0)</f>
        <v>#N/A</v>
      </c>
      <c r="D16775" s="6">
        <f t="shared" si="263"/>
        <v>0</v>
      </c>
    </row>
    <row r="16776" spans="3:4" ht="15" x14ac:dyDescent="0.25">
      <c r="C16776" s="8" t="e">
        <f>VLOOKUP(A:A,'ITEM LIST'!A:C,3,0)</f>
        <v>#N/A</v>
      </c>
      <c r="D16776" s="6">
        <f t="shared" si="263"/>
        <v>0</v>
      </c>
    </row>
    <row r="16777" spans="3:4" ht="15" x14ac:dyDescent="0.25">
      <c r="C16777" s="8" t="e">
        <f>VLOOKUP(A:A,'ITEM LIST'!A:C,3,0)</f>
        <v>#N/A</v>
      </c>
      <c r="D16777" s="6">
        <f t="shared" si="263"/>
        <v>0</v>
      </c>
    </row>
    <row r="16778" spans="3:4" ht="15" x14ac:dyDescent="0.25">
      <c r="C16778" s="8" t="e">
        <f>VLOOKUP(A:A,'ITEM LIST'!A:C,3,0)</f>
        <v>#N/A</v>
      </c>
      <c r="D16778" s="6">
        <f t="shared" si="263"/>
        <v>0</v>
      </c>
    </row>
    <row r="16779" spans="3:4" ht="15" x14ac:dyDescent="0.25">
      <c r="C16779" s="8" t="e">
        <f>VLOOKUP(A:A,'ITEM LIST'!A:C,3,0)</f>
        <v>#N/A</v>
      </c>
      <c r="D16779" s="6">
        <f t="shared" si="263"/>
        <v>0</v>
      </c>
    </row>
    <row r="16780" spans="3:4" ht="15" x14ac:dyDescent="0.25">
      <c r="C16780" s="8" t="e">
        <f>VLOOKUP(A:A,'ITEM LIST'!A:C,3,0)</f>
        <v>#N/A</v>
      </c>
      <c r="D16780" s="6">
        <f t="shared" si="263"/>
        <v>0</v>
      </c>
    </row>
    <row r="16781" spans="3:4" ht="15" x14ac:dyDescent="0.25">
      <c r="C16781" s="8" t="e">
        <f>VLOOKUP(A:A,'ITEM LIST'!A:C,3,0)</f>
        <v>#N/A</v>
      </c>
      <c r="D16781" s="6">
        <f t="shared" si="263"/>
        <v>0</v>
      </c>
    </row>
    <row r="16782" spans="3:4" ht="15" x14ac:dyDescent="0.25">
      <c r="C16782" s="8" t="e">
        <f>VLOOKUP(A:A,'ITEM LIST'!A:C,3,0)</f>
        <v>#N/A</v>
      </c>
      <c r="D16782" s="6">
        <f t="shared" si="263"/>
        <v>0</v>
      </c>
    </row>
    <row r="16783" spans="3:4" ht="15" x14ac:dyDescent="0.25">
      <c r="C16783" s="8" t="e">
        <f>VLOOKUP(A:A,'ITEM LIST'!A:C,3,0)</f>
        <v>#N/A</v>
      </c>
      <c r="D16783" s="6">
        <f t="shared" si="263"/>
        <v>0</v>
      </c>
    </row>
    <row r="16784" spans="3:4" ht="15" x14ac:dyDescent="0.25">
      <c r="C16784" s="8" t="e">
        <f>VLOOKUP(A:A,'ITEM LIST'!A:C,3,0)</f>
        <v>#N/A</v>
      </c>
      <c r="D16784" s="6">
        <f t="shared" si="263"/>
        <v>0</v>
      </c>
    </row>
    <row r="16785" spans="3:4" ht="15" x14ac:dyDescent="0.25">
      <c r="C16785" s="8" t="e">
        <f>VLOOKUP(A:A,'ITEM LIST'!A:C,3,0)</f>
        <v>#N/A</v>
      </c>
      <c r="D16785" s="6">
        <f t="shared" si="263"/>
        <v>0</v>
      </c>
    </row>
    <row r="16786" spans="3:4" ht="15" x14ac:dyDescent="0.25">
      <c r="C16786" s="8" t="e">
        <f>VLOOKUP(A:A,'ITEM LIST'!A:C,3,0)</f>
        <v>#N/A</v>
      </c>
      <c r="D16786" s="6">
        <f t="shared" si="263"/>
        <v>0</v>
      </c>
    </row>
    <row r="16787" spans="3:4" ht="15" x14ac:dyDescent="0.25">
      <c r="C16787" s="8" t="e">
        <f>VLOOKUP(A:A,'ITEM LIST'!A:C,3,0)</f>
        <v>#N/A</v>
      </c>
      <c r="D16787" s="6">
        <f t="shared" si="263"/>
        <v>0</v>
      </c>
    </row>
    <row r="16788" spans="3:4" ht="15" x14ac:dyDescent="0.25">
      <c r="C16788" s="8" t="e">
        <f>VLOOKUP(A:A,'ITEM LIST'!A:C,3,0)</f>
        <v>#N/A</v>
      </c>
      <c r="D16788" s="6">
        <f t="shared" si="263"/>
        <v>0</v>
      </c>
    </row>
    <row r="16789" spans="3:4" ht="15" x14ac:dyDescent="0.25">
      <c r="C16789" s="8" t="e">
        <f>VLOOKUP(A:A,'ITEM LIST'!A:C,3,0)</f>
        <v>#N/A</v>
      </c>
      <c r="D16789" s="6">
        <f t="shared" si="263"/>
        <v>0</v>
      </c>
    </row>
    <row r="16790" spans="3:4" ht="15" x14ac:dyDescent="0.25">
      <c r="C16790" s="8" t="e">
        <f>VLOOKUP(A:A,'ITEM LIST'!A:C,3,0)</f>
        <v>#N/A</v>
      </c>
      <c r="D16790" s="6">
        <f t="shared" si="263"/>
        <v>0</v>
      </c>
    </row>
    <row r="16791" spans="3:4" ht="15" x14ac:dyDescent="0.25">
      <c r="C16791" s="8" t="e">
        <f>VLOOKUP(A:A,'ITEM LIST'!A:C,3,0)</f>
        <v>#N/A</v>
      </c>
      <c r="D16791" s="6">
        <f t="shared" si="263"/>
        <v>0</v>
      </c>
    </row>
    <row r="16792" spans="3:4" ht="15" x14ac:dyDescent="0.25">
      <c r="C16792" s="8" t="e">
        <f>VLOOKUP(A:A,'ITEM LIST'!A:C,3,0)</f>
        <v>#N/A</v>
      </c>
      <c r="D16792" s="6">
        <f t="shared" si="263"/>
        <v>0</v>
      </c>
    </row>
    <row r="16793" spans="3:4" ht="15" x14ac:dyDescent="0.25">
      <c r="C16793" s="8" t="e">
        <f>VLOOKUP(A:A,'ITEM LIST'!A:C,3,0)</f>
        <v>#N/A</v>
      </c>
      <c r="D16793" s="6">
        <f t="shared" si="263"/>
        <v>0</v>
      </c>
    </row>
    <row r="16794" spans="3:4" ht="15" x14ac:dyDescent="0.25">
      <c r="C16794" s="8" t="e">
        <f>VLOOKUP(A:A,'ITEM LIST'!A:C,3,0)</f>
        <v>#N/A</v>
      </c>
      <c r="D16794" s="6">
        <f t="shared" si="263"/>
        <v>0</v>
      </c>
    </row>
    <row r="16795" spans="3:4" ht="15" x14ac:dyDescent="0.25">
      <c r="C16795" s="8" t="e">
        <f>VLOOKUP(A:A,'ITEM LIST'!A:C,3,0)</f>
        <v>#N/A</v>
      </c>
      <c r="D16795" s="6">
        <f t="shared" si="263"/>
        <v>0</v>
      </c>
    </row>
    <row r="16796" spans="3:4" ht="15" x14ac:dyDescent="0.25">
      <c r="C16796" s="8" t="e">
        <f>VLOOKUP(A:A,'ITEM LIST'!A:C,3,0)</f>
        <v>#N/A</v>
      </c>
      <c r="D16796" s="6">
        <f t="shared" si="263"/>
        <v>0</v>
      </c>
    </row>
    <row r="16797" spans="3:4" ht="15" x14ac:dyDescent="0.25">
      <c r="C16797" s="8" t="e">
        <f>VLOOKUP(A:A,'ITEM LIST'!A:C,3,0)</f>
        <v>#N/A</v>
      </c>
      <c r="D16797" s="6">
        <f t="shared" si="263"/>
        <v>0</v>
      </c>
    </row>
    <row r="16798" spans="3:4" ht="15" x14ac:dyDescent="0.25">
      <c r="C16798" s="8" t="e">
        <f>VLOOKUP(A:A,'ITEM LIST'!A:C,3,0)</f>
        <v>#N/A</v>
      </c>
      <c r="D16798" s="6">
        <f t="shared" si="263"/>
        <v>0</v>
      </c>
    </row>
    <row r="16799" spans="3:4" ht="15" x14ac:dyDescent="0.25">
      <c r="C16799" s="8" t="e">
        <f>VLOOKUP(A:A,'ITEM LIST'!A:C,3,0)</f>
        <v>#N/A</v>
      </c>
      <c r="D16799" s="6">
        <f t="shared" si="263"/>
        <v>0</v>
      </c>
    </row>
    <row r="16800" spans="3:4" ht="15" x14ac:dyDescent="0.25">
      <c r="C16800" s="8" t="e">
        <f>VLOOKUP(A:A,'ITEM LIST'!A:C,3,0)</f>
        <v>#N/A</v>
      </c>
      <c r="D16800" s="6">
        <f t="shared" si="263"/>
        <v>0</v>
      </c>
    </row>
    <row r="16801" spans="3:4" ht="15" x14ac:dyDescent="0.25">
      <c r="C16801" s="8" t="e">
        <f>VLOOKUP(A:A,'ITEM LIST'!A:C,3,0)</f>
        <v>#N/A</v>
      </c>
      <c r="D16801" s="6">
        <f t="shared" si="263"/>
        <v>0</v>
      </c>
    </row>
    <row r="16802" spans="3:4" ht="15" x14ac:dyDescent="0.25">
      <c r="C16802" s="8" t="e">
        <f>VLOOKUP(A:A,'ITEM LIST'!A:C,3,0)</f>
        <v>#N/A</v>
      </c>
      <c r="D16802" s="6">
        <f t="shared" si="263"/>
        <v>0</v>
      </c>
    </row>
    <row r="16803" spans="3:4" ht="15" x14ac:dyDescent="0.25">
      <c r="C16803" s="8" t="e">
        <f>VLOOKUP(A:A,'ITEM LIST'!A:C,3,0)</f>
        <v>#N/A</v>
      </c>
      <c r="D16803" s="6">
        <f t="shared" si="263"/>
        <v>0</v>
      </c>
    </row>
    <row r="16804" spans="3:4" ht="15" x14ac:dyDescent="0.25">
      <c r="C16804" s="8" t="e">
        <f>VLOOKUP(A:A,'ITEM LIST'!A:C,3,0)</f>
        <v>#N/A</v>
      </c>
      <c r="D16804" s="6">
        <f t="shared" si="263"/>
        <v>0</v>
      </c>
    </row>
    <row r="16805" spans="3:4" ht="15" x14ac:dyDescent="0.25">
      <c r="C16805" s="8" t="e">
        <f>VLOOKUP(A:A,'ITEM LIST'!A:C,3,0)</f>
        <v>#N/A</v>
      </c>
      <c r="D16805" s="6">
        <f t="shared" si="263"/>
        <v>0</v>
      </c>
    </row>
    <row r="16806" spans="3:4" ht="15" x14ac:dyDescent="0.25">
      <c r="C16806" s="8" t="e">
        <f>VLOOKUP(A:A,'ITEM LIST'!A:C,3,0)</f>
        <v>#N/A</v>
      </c>
      <c r="D16806" s="6">
        <f t="shared" si="263"/>
        <v>0</v>
      </c>
    </row>
    <row r="16807" spans="3:4" ht="15" x14ac:dyDescent="0.25">
      <c r="C16807" s="8" t="e">
        <f>VLOOKUP(A:A,'ITEM LIST'!A:C,3,0)</f>
        <v>#N/A</v>
      </c>
      <c r="D16807" s="6">
        <f t="shared" si="263"/>
        <v>0</v>
      </c>
    </row>
    <row r="16808" spans="3:4" ht="15" x14ac:dyDescent="0.25">
      <c r="C16808" s="8" t="e">
        <f>VLOOKUP(A:A,'ITEM LIST'!A:C,3,0)</f>
        <v>#N/A</v>
      </c>
      <c r="D16808" s="6">
        <f t="shared" si="263"/>
        <v>0</v>
      </c>
    </row>
    <row r="16809" spans="3:4" ht="15" x14ac:dyDescent="0.25">
      <c r="C16809" s="8" t="e">
        <f>VLOOKUP(A:A,'ITEM LIST'!A:C,3,0)</f>
        <v>#N/A</v>
      </c>
      <c r="D16809" s="6">
        <f t="shared" si="263"/>
        <v>0</v>
      </c>
    </row>
    <row r="16810" spans="3:4" ht="15" x14ac:dyDescent="0.25">
      <c r="C16810" s="8" t="e">
        <f>VLOOKUP(A:A,'ITEM LIST'!A:C,3,0)</f>
        <v>#N/A</v>
      </c>
      <c r="D16810" s="6">
        <f t="shared" si="263"/>
        <v>0</v>
      </c>
    </row>
    <row r="16811" spans="3:4" ht="15" x14ac:dyDescent="0.25">
      <c r="C16811" s="8" t="e">
        <f>VLOOKUP(A:A,'ITEM LIST'!A:C,3,0)</f>
        <v>#N/A</v>
      </c>
      <c r="D16811" s="6">
        <f t="shared" si="263"/>
        <v>0</v>
      </c>
    </row>
    <row r="16812" spans="3:4" ht="15" x14ac:dyDescent="0.25">
      <c r="C16812" s="8" t="e">
        <f>VLOOKUP(A:A,'ITEM LIST'!A:C,3,0)</f>
        <v>#N/A</v>
      </c>
      <c r="D16812" s="6">
        <f t="shared" si="263"/>
        <v>0</v>
      </c>
    </row>
    <row r="16813" spans="3:4" ht="15" x14ac:dyDescent="0.25">
      <c r="C16813" s="8" t="e">
        <f>VLOOKUP(A:A,'ITEM LIST'!A:C,3,0)</f>
        <v>#N/A</v>
      </c>
      <c r="D16813" s="6">
        <f t="shared" si="263"/>
        <v>0</v>
      </c>
    </row>
    <row r="16814" spans="3:4" ht="15" x14ac:dyDescent="0.25">
      <c r="C16814" s="8" t="e">
        <f>VLOOKUP(A:A,'ITEM LIST'!A:C,3,0)</f>
        <v>#N/A</v>
      </c>
      <c r="D16814" s="6">
        <f t="shared" si="263"/>
        <v>0</v>
      </c>
    </row>
    <row r="16815" spans="3:4" ht="15" x14ac:dyDescent="0.25">
      <c r="C16815" s="8" t="e">
        <f>VLOOKUP(A:A,'ITEM LIST'!A:C,3,0)</f>
        <v>#N/A</v>
      </c>
      <c r="D16815" s="6">
        <f t="shared" si="263"/>
        <v>0</v>
      </c>
    </row>
    <row r="16816" spans="3:4" ht="15" x14ac:dyDescent="0.25">
      <c r="C16816" s="8" t="e">
        <f>VLOOKUP(A:A,'ITEM LIST'!A:C,3,0)</f>
        <v>#N/A</v>
      </c>
      <c r="D16816" s="6">
        <f t="shared" si="263"/>
        <v>0</v>
      </c>
    </row>
    <row r="16817" spans="3:4" ht="15" x14ac:dyDescent="0.25">
      <c r="C16817" s="8" t="e">
        <f>VLOOKUP(A:A,'ITEM LIST'!A:C,3,0)</f>
        <v>#N/A</v>
      </c>
      <c r="D16817" s="6">
        <f t="shared" si="263"/>
        <v>0</v>
      </c>
    </row>
    <row r="16818" spans="3:4" ht="15" x14ac:dyDescent="0.25">
      <c r="C16818" s="8" t="e">
        <f>VLOOKUP(A:A,'ITEM LIST'!A:C,3,0)</f>
        <v>#N/A</v>
      </c>
      <c r="D16818" s="6">
        <f t="shared" si="263"/>
        <v>0</v>
      </c>
    </row>
    <row r="16819" spans="3:4" ht="15" x14ac:dyDescent="0.25">
      <c r="C16819" s="8" t="e">
        <f>VLOOKUP(A:A,'ITEM LIST'!A:C,3,0)</f>
        <v>#N/A</v>
      </c>
      <c r="D16819" s="6">
        <f t="shared" si="263"/>
        <v>0</v>
      </c>
    </row>
    <row r="16820" spans="3:4" ht="15" x14ac:dyDescent="0.25">
      <c r="C16820" s="8" t="e">
        <f>VLOOKUP(A:A,'ITEM LIST'!A:C,3,0)</f>
        <v>#N/A</v>
      </c>
      <c r="D16820" s="6">
        <f t="shared" si="263"/>
        <v>0</v>
      </c>
    </row>
    <row r="16821" spans="3:4" ht="15" x14ac:dyDescent="0.25">
      <c r="C16821" s="8" t="e">
        <f>VLOOKUP(A:A,'ITEM LIST'!A:C,3,0)</f>
        <v>#N/A</v>
      </c>
      <c r="D16821" s="6">
        <f t="shared" si="263"/>
        <v>0</v>
      </c>
    </row>
    <row r="16822" spans="3:4" ht="15" x14ac:dyDescent="0.25">
      <c r="C16822" s="8" t="e">
        <f>VLOOKUP(A:A,'ITEM LIST'!A:C,3,0)</f>
        <v>#N/A</v>
      </c>
      <c r="D16822" s="6">
        <f t="shared" si="263"/>
        <v>0</v>
      </c>
    </row>
    <row r="16823" spans="3:4" ht="15" x14ac:dyDescent="0.25">
      <c r="C16823" s="8" t="e">
        <f>VLOOKUP(A:A,'ITEM LIST'!A:C,3,0)</f>
        <v>#N/A</v>
      </c>
      <c r="D16823" s="6">
        <f t="shared" si="263"/>
        <v>0</v>
      </c>
    </row>
    <row r="16824" spans="3:4" ht="15" x14ac:dyDescent="0.25">
      <c r="C16824" s="8" t="e">
        <f>VLOOKUP(A:A,'ITEM LIST'!A:C,3,0)</f>
        <v>#N/A</v>
      </c>
      <c r="D16824" s="6">
        <f t="shared" si="263"/>
        <v>0</v>
      </c>
    </row>
    <row r="16825" spans="3:4" ht="15" x14ac:dyDescent="0.25">
      <c r="C16825" s="8" t="e">
        <f>VLOOKUP(A:A,'ITEM LIST'!A:C,3,0)</f>
        <v>#N/A</v>
      </c>
      <c r="D16825" s="6">
        <f t="shared" si="263"/>
        <v>0</v>
      </c>
    </row>
    <row r="16826" spans="3:4" ht="15" x14ac:dyDescent="0.25">
      <c r="C16826" s="8" t="e">
        <f>VLOOKUP(A:A,'ITEM LIST'!A:C,3,0)</f>
        <v>#N/A</v>
      </c>
      <c r="D16826" s="6">
        <f t="shared" si="263"/>
        <v>0</v>
      </c>
    </row>
    <row r="16827" spans="3:4" ht="15" x14ac:dyDescent="0.25">
      <c r="C16827" s="8" t="e">
        <f>VLOOKUP(A:A,'ITEM LIST'!A:C,3,0)</f>
        <v>#N/A</v>
      </c>
      <c r="D16827" s="6">
        <f t="shared" si="263"/>
        <v>0</v>
      </c>
    </row>
    <row r="16828" spans="3:4" ht="15" x14ac:dyDescent="0.25">
      <c r="C16828" s="8" t="e">
        <f>VLOOKUP(A:A,'ITEM LIST'!A:C,3,0)</f>
        <v>#N/A</v>
      </c>
      <c r="D16828" s="6">
        <f t="shared" si="263"/>
        <v>0</v>
      </c>
    </row>
    <row r="16829" spans="3:4" ht="15" x14ac:dyDescent="0.25">
      <c r="C16829" s="8" t="e">
        <f>VLOOKUP(A:A,'ITEM LIST'!A:C,3,0)</f>
        <v>#N/A</v>
      </c>
      <c r="D16829" s="6">
        <f t="shared" si="263"/>
        <v>0</v>
      </c>
    </row>
    <row r="16830" spans="3:4" ht="15" x14ac:dyDescent="0.25">
      <c r="C16830" s="8" t="e">
        <f>VLOOKUP(A:A,'ITEM LIST'!A:C,3,0)</f>
        <v>#N/A</v>
      </c>
      <c r="D16830" s="6">
        <f t="shared" si="263"/>
        <v>0</v>
      </c>
    </row>
    <row r="16831" spans="3:4" ht="15" x14ac:dyDescent="0.25">
      <c r="C16831" s="8" t="e">
        <f>VLOOKUP(A:A,'ITEM LIST'!A:C,3,0)</f>
        <v>#N/A</v>
      </c>
      <c r="D16831" s="6">
        <f t="shared" si="263"/>
        <v>0</v>
      </c>
    </row>
    <row r="16832" spans="3:4" ht="15" x14ac:dyDescent="0.25">
      <c r="C16832" s="8" t="e">
        <f>VLOOKUP(A:A,'ITEM LIST'!A:C,3,0)</f>
        <v>#N/A</v>
      </c>
      <c r="D16832" s="6">
        <f t="shared" si="263"/>
        <v>0</v>
      </c>
    </row>
    <row r="16833" spans="3:4" ht="15" x14ac:dyDescent="0.25">
      <c r="C16833" s="8" t="e">
        <f>VLOOKUP(A:A,'ITEM LIST'!A:C,3,0)</f>
        <v>#N/A</v>
      </c>
      <c r="D16833" s="6">
        <f t="shared" si="263"/>
        <v>0</v>
      </c>
    </row>
    <row r="16834" spans="3:4" ht="15" x14ac:dyDescent="0.25">
      <c r="C16834" s="8" t="e">
        <f>VLOOKUP(A:A,'ITEM LIST'!A:C,3,0)</f>
        <v>#N/A</v>
      </c>
      <c r="D16834" s="6">
        <f t="shared" si="263"/>
        <v>0</v>
      </c>
    </row>
    <row r="16835" spans="3:4" ht="15" x14ac:dyDescent="0.25">
      <c r="C16835" s="8" t="e">
        <f>VLOOKUP(A:A,'ITEM LIST'!A:C,3,0)</f>
        <v>#N/A</v>
      </c>
      <c r="D16835" s="6">
        <f t="shared" si="263"/>
        <v>0</v>
      </c>
    </row>
    <row r="16836" spans="3:4" ht="15" x14ac:dyDescent="0.25">
      <c r="C16836" s="8" t="e">
        <f>VLOOKUP(A:A,'ITEM LIST'!A:C,3,0)</f>
        <v>#N/A</v>
      </c>
      <c r="D16836" s="6">
        <f t="shared" si="263"/>
        <v>0</v>
      </c>
    </row>
    <row r="16837" spans="3:4" ht="15" x14ac:dyDescent="0.25">
      <c r="C16837" s="8" t="e">
        <f>VLOOKUP(A:A,'ITEM LIST'!A:C,3,0)</f>
        <v>#N/A</v>
      </c>
      <c r="D16837" s="6">
        <f t="shared" si="263"/>
        <v>0</v>
      </c>
    </row>
    <row r="16838" spans="3:4" ht="15" x14ac:dyDescent="0.25">
      <c r="C16838" s="8" t="e">
        <f>VLOOKUP(A:A,'ITEM LIST'!A:C,3,0)</f>
        <v>#N/A</v>
      </c>
      <c r="D16838" s="6">
        <f t="shared" ref="D16838:D16901" si="264">B16838</f>
        <v>0</v>
      </c>
    </row>
    <row r="16839" spans="3:4" ht="15" x14ac:dyDescent="0.25">
      <c r="C16839" s="8" t="e">
        <f>VLOOKUP(A:A,'ITEM LIST'!A:C,3,0)</f>
        <v>#N/A</v>
      </c>
      <c r="D16839" s="6">
        <f t="shared" si="264"/>
        <v>0</v>
      </c>
    </row>
    <row r="16840" spans="3:4" ht="15" x14ac:dyDescent="0.25">
      <c r="C16840" s="8" t="e">
        <f>VLOOKUP(A:A,'ITEM LIST'!A:C,3,0)</f>
        <v>#N/A</v>
      </c>
      <c r="D16840" s="6">
        <f t="shared" si="264"/>
        <v>0</v>
      </c>
    </row>
    <row r="16841" spans="3:4" ht="15" x14ac:dyDescent="0.25">
      <c r="C16841" s="8" t="e">
        <f>VLOOKUP(A:A,'ITEM LIST'!A:C,3,0)</f>
        <v>#N/A</v>
      </c>
      <c r="D16841" s="6">
        <f t="shared" si="264"/>
        <v>0</v>
      </c>
    </row>
    <row r="16842" spans="3:4" ht="15" x14ac:dyDescent="0.25">
      <c r="C16842" s="8" t="e">
        <f>VLOOKUP(A:A,'ITEM LIST'!A:C,3,0)</f>
        <v>#N/A</v>
      </c>
      <c r="D16842" s="6">
        <f t="shared" si="264"/>
        <v>0</v>
      </c>
    </row>
    <row r="16843" spans="3:4" ht="15" x14ac:dyDescent="0.25">
      <c r="C16843" s="8" t="e">
        <f>VLOOKUP(A:A,'ITEM LIST'!A:C,3,0)</f>
        <v>#N/A</v>
      </c>
      <c r="D16843" s="6">
        <f t="shared" si="264"/>
        <v>0</v>
      </c>
    </row>
    <row r="16844" spans="3:4" ht="15" x14ac:dyDescent="0.25">
      <c r="C16844" s="8" t="e">
        <f>VLOOKUP(A:A,'ITEM LIST'!A:C,3,0)</f>
        <v>#N/A</v>
      </c>
      <c r="D16844" s="6">
        <f t="shared" si="264"/>
        <v>0</v>
      </c>
    </row>
    <row r="16845" spans="3:4" ht="15" x14ac:dyDescent="0.25">
      <c r="C16845" s="8" t="e">
        <f>VLOOKUP(A:A,'ITEM LIST'!A:C,3,0)</f>
        <v>#N/A</v>
      </c>
      <c r="D16845" s="6">
        <f t="shared" si="264"/>
        <v>0</v>
      </c>
    </row>
    <row r="16846" spans="3:4" ht="15" x14ac:dyDescent="0.25">
      <c r="C16846" s="8" t="e">
        <f>VLOOKUP(A:A,'ITEM LIST'!A:C,3,0)</f>
        <v>#N/A</v>
      </c>
      <c r="D16846" s="6">
        <f t="shared" si="264"/>
        <v>0</v>
      </c>
    </row>
    <row r="16847" spans="3:4" ht="15" x14ac:dyDescent="0.25">
      <c r="C16847" s="8" t="e">
        <f>VLOOKUP(A:A,'ITEM LIST'!A:C,3,0)</f>
        <v>#N/A</v>
      </c>
      <c r="D16847" s="6">
        <f t="shared" si="264"/>
        <v>0</v>
      </c>
    </row>
    <row r="16848" spans="3:4" ht="15" x14ac:dyDescent="0.25">
      <c r="C16848" s="8" t="e">
        <f>VLOOKUP(A:A,'ITEM LIST'!A:C,3,0)</f>
        <v>#N/A</v>
      </c>
      <c r="D16848" s="6">
        <f t="shared" si="264"/>
        <v>0</v>
      </c>
    </row>
    <row r="16849" spans="3:4" ht="15" x14ac:dyDescent="0.25">
      <c r="C16849" s="8" t="e">
        <f>VLOOKUP(A:A,'ITEM LIST'!A:C,3,0)</f>
        <v>#N/A</v>
      </c>
      <c r="D16849" s="6">
        <f t="shared" si="264"/>
        <v>0</v>
      </c>
    </row>
    <row r="16850" spans="3:4" ht="15" x14ac:dyDescent="0.25">
      <c r="C16850" s="8" t="e">
        <f>VLOOKUP(A:A,'ITEM LIST'!A:C,3,0)</f>
        <v>#N/A</v>
      </c>
      <c r="D16850" s="6">
        <f t="shared" si="264"/>
        <v>0</v>
      </c>
    </row>
    <row r="16851" spans="3:4" ht="15" x14ac:dyDescent="0.25">
      <c r="C16851" s="8" t="e">
        <f>VLOOKUP(A:A,'ITEM LIST'!A:C,3,0)</f>
        <v>#N/A</v>
      </c>
      <c r="D16851" s="6">
        <f t="shared" si="264"/>
        <v>0</v>
      </c>
    </row>
    <row r="16852" spans="3:4" ht="15" x14ac:dyDescent="0.25">
      <c r="C16852" s="8" t="e">
        <f>VLOOKUP(A:A,'ITEM LIST'!A:C,3,0)</f>
        <v>#N/A</v>
      </c>
      <c r="D16852" s="6">
        <f t="shared" si="264"/>
        <v>0</v>
      </c>
    </row>
    <row r="16853" spans="3:4" ht="15" x14ac:dyDescent="0.25">
      <c r="C16853" s="8" t="e">
        <f>VLOOKUP(A:A,'ITEM LIST'!A:C,3,0)</f>
        <v>#N/A</v>
      </c>
      <c r="D16853" s="6">
        <f t="shared" si="264"/>
        <v>0</v>
      </c>
    </row>
    <row r="16854" spans="3:4" ht="15" x14ac:dyDescent="0.25">
      <c r="C16854" s="8" t="e">
        <f>VLOOKUP(A:A,'ITEM LIST'!A:C,3,0)</f>
        <v>#N/A</v>
      </c>
      <c r="D16854" s="6">
        <f t="shared" si="264"/>
        <v>0</v>
      </c>
    </row>
    <row r="16855" spans="3:4" ht="15" x14ac:dyDescent="0.25">
      <c r="C16855" s="8" t="e">
        <f>VLOOKUP(A:A,'ITEM LIST'!A:C,3,0)</f>
        <v>#N/A</v>
      </c>
      <c r="D16855" s="6">
        <f t="shared" si="264"/>
        <v>0</v>
      </c>
    </row>
    <row r="16856" spans="3:4" ht="15" x14ac:dyDescent="0.25">
      <c r="C16856" s="8" t="e">
        <f>VLOOKUP(A:A,'ITEM LIST'!A:C,3,0)</f>
        <v>#N/A</v>
      </c>
      <c r="D16856" s="6">
        <f t="shared" si="264"/>
        <v>0</v>
      </c>
    </row>
    <row r="16857" spans="3:4" ht="15" x14ac:dyDescent="0.25">
      <c r="C16857" s="8" t="e">
        <f>VLOOKUP(A:A,'ITEM LIST'!A:C,3,0)</f>
        <v>#N/A</v>
      </c>
      <c r="D16857" s="6">
        <f t="shared" si="264"/>
        <v>0</v>
      </c>
    </row>
    <row r="16858" spans="3:4" ht="15" x14ac:dyDescent="0.25">
      <c r="C16858" s="8" t="e">
        <f>VLOOKUP(A:A,'ITEM LIST'!A:C,3,0)</f>
        <v>#N/A</v>
      </c>
      <c r="D16858" s="6">
        <f t="shared" si="264"/>
        <v>0</v>
      </c>
    </row>
    <row r="16859" spans="3:4" ht="15" x14ac:dyDescent="0.25">
      <c r="C16859" s="8" t="e">
        <f>VLOOKUP(A:A,'ITEM LIST'!A:C,3,0)</f>
        <v>#N/A</v>
      </c>
      <c r="D16859" s="6">
        <f t="shared" si="264"/>
        <v>0</v>
      </c>
    </row>
    <row r="16860" spans="3:4" ht="15" x14ac:dyDescent="0.25">
      <c r="C16860" s="8" t="e">
        <f>VLOOKUP(A:A,'ITEM LIST'!A:C,3,0)</f>
        <v>#N/A</v>
      </c>
      <c r="D16860" s="6">
        <f t="shared" si="264"/>
        <v>0</v>
      </c>
    </row>
    <row r="16861" spans="3:4" ht="15" x14ac:dyDescent="0.25">
      <c r="C16861" s="8" t="e">
        <f>VLOOKUP(A:A,'ITEM LIST'!A:C,3,0)</f>
        <v>#N/A</v>
      </c>
      <c r="D16861" s="6">
        <f t="shared" si="264"/>
        <v>0</v>
      </c>
    </row>
    <row r="16862" spans="3:4" ht="15" x14ac:dyDescent="0.25">
      <c r="C16862" s="8" t="e">
        <f>VLOOKUP(A:A,'ITEM LIST'!A:C,3,0)</f>
        <v>#N/A</v>
      </c>
      <c r="D16862" s="6">
        <f t="shared" si="264"/>
        <v>0</v>
      </c>
    </row>
    <row r="16863" spans="3:4" ht="15" x14ac:dyDescent="0.25">
      <c r="C16863" s="8" t="e">
        <f>VLOOKUP(A:A,'ITEM LIST'!A:C,3,0)</f>
        <v>#N/A</v>
      </c>
      <c r="D16863" s="6">
        <f t="shared" si="264"/>
        <v>0</v>
      </c>
    </row>
    <row r="16864" spans="3:4" ht="15" x14ac:dyDescent="0.25">
      <c r="C16864" s="8" t="e">
        <f>VLOOKUP(A:A,'ITEM LIST'!A:C,3,0)</f>
        <v>#N/A</v>
      </c>
      <c r="D16864" s="6">
        <f t="shared" si="264"/>
        <v>0</v>
      </c>
    </row>
    <row r="16865" spans="3:4" ht="15" x14ac:dyDescent="0.25">
      <c r="C16865" s="8" t="e">
        <f>VLOOKUP(A:A,'ITEM LIST'!A:C,3,0)</f>
        <v>#N/A</v>
      </c>
      <c r="D16865" s="6">
        <f t="shared" si="264"/>
        <v>0</v>
      </c>
    </row>
    <row r="16866" spans="3:4" ht="15" x14ac:dyDescent="0.25">
      <c r="C16866" s="8" t="e">
        <f>VLOOKUP(A:A,'ITEM LIST'!A:C,3,0)</f>
        <v>#N/A</v>
      </c>
      <c r="D16866" s="6">
        <f t="shared" si="264"/>
        <v>0</v>
      </c>
    </row>
    <row r="16867" spans="3:4" ht="15" x14ac:dyDescent="0.25">
      <c r="C16867" s="8" t="e">
        <f>VLOOKUP(A:A,'ITEM LIST'!A:C,3,0)</f>
        <v>#N/A</v>
      </c>
      <c r="D16867" s="6">
        <f t="shared" si="264"/>
        <v>0</v>
      </c>
    </row>
    <row r="16868" spans="3:4" ht="15" x14ac:dyDescent="0.25">
      <c r="C16868" s="8" t="e">
        <f>VLOOKUP(A:A,'ITEM LIST'!A:C,3,0)</f>
        <v>#N/A</v>
      </c>
      <c r="D16868" s="6">
        <f t="shared" si="264"/>
        <v>0</v>
      </c>
    </row>
    <row r="16869" spans="3:4" ht="15" x14ac:dyDescent="0.25">
      <c r="C16869" s="8" t="e">
        <f>VLOOKUP(A:A,'ITEM LIST'!A:C,3,0)</f>
        <v>#N/A</v>
      </c>
      <c r="D16869" s="6">
        <f t="shared" si="264"/>
        <v>0</v>
      </c>
    </row>
    <row r="16870" spans="3:4" ht="15" x14ac:dyDescent="0.25">
      <c r="C16870" s="8" t="e">
        <f>VLOOKUP(A:A,'ITEM LIST'!A:C,3,0)</f>
        <v>#N/A</v>
      </c>
      <c r="D16870" s="6">
        <f t="shared" si="264"/>
        <v>0</v>
      </c>
    </row>
    <row r="16871" spans="3:4" ht="15" x14ac:dyDescent="0.25">
      <c r="C16871" s="8" t="e">
        <f>VLOOKUP(A:A,'ITEM LIST'!A:C,3,0)</f>
        <v>#N/A</v>
      </c>
      <c r="D16871" s="6">
        <f t="shared" si="264"/>
        <v>0</v>
      </c>
    </row>
    <row r="16872" spans="3:4" ht="15" x14ac:dyDescent="0.25">
      <c r="C16872" s="8" t="e">
        <f>VLOOKUP(A:A,'ITEM LIST'!A:C,3,0)</f>
        <v>#N/A</v>
      </c>
      <c r="D16872" s="6">
        <f t="shared" si="264"/>
        <v>0</v>
      </c>
    </row>
    <row r="16873" spans="3:4" ht="15" x14ac:dyDescent="0.25">
      <c r="C16873" s="8" t="e">
        <f>VLOOKUP(A:A,'ITEM LIST'!A:C,3,0)</f>
        <v>#N/A</v>
      </c>
      <c r="D16873" s="6">
        <f t="shared" si="264"/>
        <v>0</v>
      </c>
    </row>
    <row r="16874" spans="3:4" ht="15" x14ac:dyDescent="0.25">
      <c r="C16874" s="8" t="e">
        <f>VLOOKUP(A:A,'ITEM LIST'!A:C,3,0)</f>
        <v>#N/A</v>
      </c>
      <c r="D16874" s="6">
        <f t="shared" si="264"/>
        <v>0</v>
      </c>
    </row>
    <row r="16875" spans="3:4" ht="15" x14ac:dyDescent="0.25">
      <c r="C16875" s="8" t="e">
        <f>VLOOKUP(A:A,'ITEM LIST'!A:C,3,0)</f>
        <v>#N/A</v>
      </c>
      <c r="D16875" s="6">
        <f t="shared" si="264"/>
        <v>0</v>
      </c>
    </row>
    <row r="16876" spans="3:4" ht="15" x14ac:dyDescent="0.25">
      <c r="C16876" s="8" t="e">
        <f>VLOOKUP(A:A,'ITEM LIST'!A:C,3,0)</f>
        <v>#N/A</v>
      </c>
      <c r="D16876" s="6">
        <f t="shared" si="264"/>
        <v>0</v>
      </c>
    </row>
    <row r="16877" spans="3:4" ht="15" x14ac:dyDescent="0.25">
      <c r="C16877" s="8" t="e">
        <f>VLOOKUP(A:A,'ITEM LIST'!A:C,3,0)</f>
        <v>#N/A</v>
      </c>
      <c r="D16877" s="6">
        <f t="shared" si="264"/>
        <v>0</v>
      </c>
    </row>
    <row r="16878" spans="3:4" ht="15" x14ac:dyDescent="0.25">
      <c r="C16878" s="8" t="e">
        <f>VLOOKUP(A:A,'ITEM LIST'!A:C,3,0)</f>
        <v>#N/A</v>
      </c>
      <c r="D16878" s="6">
        <f t="shared" si="264"/>
        <v>0</v>
      </c>
    </row>
    <row r="16879" spans="3:4" ht="15" x14ac:dyDescent="0.25">
      <c r="C16879" s="8" t="e">
        <f>VLOOKUP(A:A,'ITEM LIST'!A:C,3,0)</f>
        <v>#N/A</v>
      </c>
      <c r="D16879" s="6">
        <f t="shared" si="264"/>
        <v>0</v>
      </c>
    </row>
    <row r="16880" spans="3:4" ht="15" x14ac:dyDescent="0.25">
      <c r="C16880" s="8" t="e">
        <f>VLOOKUP(A:A,'ITEM LIST'!A:C,3,0)</f>
        <v>#N/A</v>
      </c>
      <c r="D16880" s="6">
        <f t="shared" si="264"/>
        <v>0</v>
      </c>
    </row>
    <row r="16881" spans="3:4" ht="15" x14ac:dyDescent="0.25">
      <c r="C16881" s="8" t="e">
        <f>VLOOKUP(A:A,'ITEM LIST'!A:C,3,0)</f>
        <v>#N/A</v>
      </c>
      <c r="D16881" s="6">
        <f t="shared" si="264"/>
        <v>0</v>
      </c>
    </row>
    <row r="16882" spans="3:4" ht="15" x14ac:dyDescent="0.25">
      <c r="C16882" s="8" t="e">
        <f>VLOOKUP(A:A,'ITEM LIST'!A:C,3,0)</f>
        <v>#N/A</v>
      </c>
      <c r="D16882" s="6">
        <f t="shared" si="264"/>
        <v>0</v>
      </c>
    </row>
    <row r="16883" spans="3:4" ht="15" x14ac:dyDescent="0.25">
      <c r="C16883" s="8" t="e">
        <f>VLOOKUP(A:A,'ITEM LIST'!A:C,3,0)</f>
        <v>#N/A</v>
      </c>
      <c r="D16883" s="6">
        <f t="shared" si="264"/>
        <v>0</v>
      </c>
    </row>
    <row r="16884" spans="3:4" ht="15" x14ac:dyDescent="0.25">
      <c r="C16884" s="8" t="e">
        <f>VLOOKUP(A:A,'ITEM LIST'!A:C,3,0)</f>
        <v>#N/A</v>
      </c>
      <c r="D16884" s="6">
        <f t="shared" si="264"/>
        <v>0</v>
      </c>
    </row>
    <row r="16885" spans="3:4" ht="15" x14ac:dyDescent="0.25">
      <c r="C16885" s="8" t="e">
        <f>VLOOKUP(A:A,'ITEM LIST'!A:C,3,0)</f>
        <v>#N/A</v>
      </c>
      <c r="D16885" s="6">
        <f t="shared" si="264"/>
        <v>0</v>
      </c>
    </row>
    <row r="16886" spans="3:4" ht="15" x14ac:dyDescent="0.25">
      <c r="C16886" s="8" t="e">
        <f>VLOOKUP(A:A,'ITEM LIST'!A:C,3,0)</f>
        <v>#N/A</v>
      </c>
      <c r="D16886" s="6">
        <f t="shared" si="264"/>
        <v>0</v>
      </c>
    </row>
    <row r="16887" spans="3:4" ht="15" x14ac:dyDescent="0.25">
      <c r="C16887" s="8" t="e">
        <f>VLOOKUP(A:A,'ITEM LIST'!A:C,3,0)</f>
        <v>#N/A</v>
      </c>
      <c r="D16887" s="6">
        <f t="shared" si="264"/>
        <v>0</v>
      </c>
    </row>
    <row r="16888" spans="3:4" ht="15" x14ac:dyDescent="0.25">
      <c r="C16888" s="8" t="e">
        <f>VLOOKUP(A:A,'ITEM LIST'!A:C,3,0)</f>
        <v>#N/A</v>
      </c>
      <c r="D16888" s="6">
        <f t="shared" si="264"/>
        <v>0</v>
      </c>
    </row>
    <row r="16889" spans="3:4" ht="15" x14ac:dyDescent="0.25">
      <c r="C16889" s="8" t="e">
        <f>VLOOKUP(A:A,'ITEM LIST'!A:C,3,0)</f>
        <v>#N/A</v>
      </c>
      <c r="D16889" s="6">
        <f t="shared" si="264"/>
        <v>0</v>
      </c>
    </row>
    <row r="16890" spans="3:4" ht="15" x14ac:dyDescent="0.25">
      <c r="C16890" s="8" t="e">
        <f>VLOOKUP(A:A,'ITEM LIST'!A:C,3,0)</f>
        <v>#N/A</v>
      </c>
      <c r="D16890" s="6">
        <f t="shared" si="264"/>
        <v>0</v>
      </c>
    </row>
    <row r="16891" spans="3:4" ht="15" x14ac:dyDescent="0.25">
      <c r="C16891" s="8" t="e">
        <f>VLOOKUP(A:A,'ITEM LIST'!A:C,3,0)</f>
        <v>#N/A</v>
      </c>
      <c r="D16891" s="6">
        <f t="shared" si="264"/>
        <v>0</v>
      </c>
    </row>
    <row r="16892" spans="3:4" ht="15" x14ac:dyDescent="0.25">
      <c r="C16892" s="8" t="e">
        <f>VLOOKUP(A:A,'ITEM LIST'!A:C,3,0)</f>
        <v>#N/A</v>
      </c>
      <c r="D16892" s="6">
        <f t="shared" si="264"/>
        <v>0</v>
      </c>
    </row>
    <row r="16893" spans="3:4" ht="15" x14ac:dyDescent="0.25">
      <c r="C16893" s="8" t="e">
        <f>VLOOKUP(A:A,'ITEM LIST'!A:C,3,0)</f>
        <v>#N/A</v>
      </c>
      <c r="D16893" s="6">
        <f t="shared" si="264"/>
        <v>0</v>
      </c>
    </row>
    <row r="16894" spans="3:4" ht="15" x14ac:dyDescent="0.25">
      <c r="C16894" s="8" t="e">
        <f>VLOOKUP(A:A,'ITEM LIST'!A:C,3,0)</f>
        <v>#N/A</v>
      </c>
      <c r="D16894" s="6">
        <f t="shared" si="264"/>
        <v>0</v>
      </c>
    </row>
    <row r="16895" spans="3:4" ht="15" x14ac:dyDescent="0.25">
      <c r="C16895" s="8" t="e">
        <f>VLOOKUP(A:A,'ITEM LIST'!A:C,3,0)</f>
        <v>#N/A</v>
      </c>
      <c r="D16895" s="6">
        <f t="shared" si="264"/>
        <v>0</v>
      </c>
    </row>
    <row r="16896" spans="3:4" ht="15" x14ac:dyDescent="0.25">
      <c r="C16896" s="8" t="e">
        <f>VLOOKUP(A:A,'ITEM LIST'!A:C,3,0)</f>
        <v>#N/A</v>
      </c>
      <c r="D16896" s="6">
        <f t="shared" si="264"/>
        <v>0</v>
      </c>
    </row>
    <row r="16897" spans="3:4" ht="15" x14ac:dyDescent="0.25">
      <c r="C16897" s="8" t="e">
        <f>VLOOKUP(A:A,'ITEM LIST'!A:C,3,0)</f>
        <v>#N/A</v>
      </c>
      <c r="D16897" s="6">
        <f t="shared" si="264"/>
        <v>0</v>
      </c>
    </row>
    <row r="16898" spans="3:4" ht="15" x14ac:dyDescent="0.25">
      <c r="C16898" s="8" t="e">
        <f>VLOOKUP(A:A,'ITEM LIST'!A:C,3,0)</f>
        <v>#N/A</v>
      </c>
      <c r="D16898" s="6">
        <f t="shared" si="264"/>
        <v>0</v>
      </c>
    </row>
    <row r="16899" spans="3:4" ht="15" x14ac:dyDescent="0.25">
      <c r="C16899" s="8" t="e">
        <f>VLOOKUP(A:A,'ITEM LIST'!A:C,3,0)</f>
        <v>#N/A</v>
      </c>
      <c r="D16899" s="6">
        <f t="shared" si="264"/>
        <v>0</v>
      </c>
    </row>
    <row r="16900" spans="3:4" ht="15" x14ac:dyDescent="0.25">
      <c r="C16900" s="8" t="e">
        <f>VLOOKUP(A:A,'ITEM LIST'!A:C,3,0)</f>
        <v>#N/A</v>
      </c>
      <c r="D16900" s="6">
        <f t="shared" si="264"/>
        <v>0</v>
      </c>
    </row>
    <row r="16901" spans="3:4" ht="15" x14ac:dyDescent="0.25">
      <c r="C16901" s="8" t="e">
        <f>VLOOKUP(A:A,'ITEM LIST'!A:C,3,0)</f>
        <v>#N/A</v>
      </c>
      <c r="D16901" s="6">
        <f t="shared" si="264"/>
        <v>0</v>
      </c>
    </row>
    <row r="16902" spans="3:4" ht="15" x14ac:dyDescent="0.25">
      <c r="C16902" s="8" t="e">
        <f>VLOOKUP(A:A,'ITEM LIST'!A:C,3,0)</f>
        <v>#N/A</v>
      </c>
      <c r="D16902" s="6">
        <f t="shared" ref="D16902:D16965" si="265">B16902</f>
        <v>0</v>
      </c>
    </row>
    <row r="16903" spans="3:4" ht="15" x14ac:dyDescent="0.25">
      <c r="C16903" s="8" t="e">
        <f>VLOOKUP(A:A,'ITEM LIST'!A:C,3,0)</f>
        <v>#N/A</v>
      </c>
      <c r="D16903" s="6">
        <f t="shared" si="265"/>
        <v>0</v>
      </c>
    </row>
    <row r="16904" spans="3:4" ht="15" x14ac:dyDescent="0.25">
      <c r="C16904" s="8" t="e">
        <f>VLOOKUP(A:A,'ITEM LIST'!A:C,3,0)</f>
        <v>#N/A</v>
      </c>
      <c r="D16904" s="6">
        <f t="shared" si="265"/>
        <v>0</v>
      </c>
    </row>
    <row r="16905" spans="3:4" ht="15" x14ac:dyDescent="0.25">
      <c r="C16905" s="8" t="e">
        <f>VLOOKUP(A:A,'ITEM LIST'!A:C,3,0)</f>
        <v>#N/A</v>
      </c>
      <c r="D16905" s="6">
        <f t="shared" si="265"/>
        <v>0</v>
      </c>
    </row>
    <row r="16906" spans="3:4" ht="15" x14ac:dyDescent="0.25">
      <c r="C16906" s="8" t="e">
        <f>VLOOKUP(A:A,'ITEM LIST'!A:C,3,0)</f>
        <v>#N/A</v>
      </c>
      <c r="D16906" s="6">
        <f t="shared" si="265"/>
        <v>0</v>
      </c>
    </row>
    <row r="16907" spans="3:4" ht="15" x14ac:dyDescent="0.25">
      <c r="C16907" s="8" t="e">
        <f>VLOOKUP(A:A,'ITEM LIST'!A:C,3,0)</f>
        <v>#N/A</v>
      </c>
      <c r="D16907" s="6">
        <f t="shared" si="265"/>
        <v>0</v>
      </c>
    </row>
    <row r="16908" spans="3:4" ht="15" x14ac:dyDescent="0.25">
      <c r="C16908" s="8" t="e">
        <f>VLOOKUP(A:A,'ITEM LIST'!A:C,3,0)</f>
        <v>#N/A</v>
      </c>
      <c r="D16908" s="6">
        <f t="shared" si="265"/>
        <v>0</v>
      </c>
    </row>
    <row r="16909" spans="3:4" ht="15" x14ac:dyDescent="0.25">
      <c r="C16909" s="8" t="e">
        <f>VLOOKUP(A:A,'ITEM LIST'!A:C,3,0)</f>
        <v>#N/A</v>
      </c>
      <c r="D16909" s="6">
        <f t="shared" si="265"/>
        <v>0</v>
      </c>
    </row>
    <row r="16910" spans="3:4" ht="15" x14ac:dyDescent="0.25">
      <c r="C16910" s="8" t="e">
        <f>VLOOKUP(A:A,'ITEM LIST'!A:C,3,0)</f>
        <v>#N/A</v>
      </c>
      <c r="D16910" s="6">
        <f t="shared" si="265"/>
        <v>0</v>
      </c>
    </row>
    <row r="16911" spans="3:4" ht="15" x14ac:dyDescent="0.25">
      <c r="C16911" s="8" t="e">
        <f>VLOOKUP(A:A,'ITEM LIST'!A:C,3,0)</f>
        <v>#N/A</v>
      </c>
      <c r="D16911" s="6">
        <f t="shared" si="265"/>
        <v>0</v>
      </c>
    </row>
    <row r="16912" spans="3:4" ht="15" x14ac:dyDescent="0.25">
      <c r="C16912" s="8" t="e">
        <f>VLOOKUP(A:A,'ITEM LIST'!A:C,3,0)</f>
        <v>#N/A</v>
      </c>
      <c r="D16912" s="6">
        <f t="shared" si="265"/>
        <v>0</v>
      </c>
    </row>
    <row r="16913" spans="3:4" ht="15" x14ac:dyDescent="0.25">
      <c r="C16913" s="8" t="e">
        <f>VLOOKUP(A:A,'ITEM LIST'!A:C,3,0)</f>
        <v>#N/A</v>
      </c>
      <c r="D16913" s="6">
        <f t="shared" si="265"/>
        <v>0</v>
      </c>
    </row>
    <row r="16914" spans="3:4" ht="15" x14ac:dyDescent="0.25">
      <c r="C16914" s="8" t="e">
        <f>VLOOKUP(A:A,'ITEM LIST'!A:C,3,0)</f>
        <v>#N/A</v>
      </c>
      <c r="D16914" s="6">
        <f t="shared" si="265"/>
        <v>0</v>
      </c>
    </row>
    <row r="16915" spans="3:4" ht="15" x14ac:dyDescent="0.25">
      <c r="C16915" s="8" t="e">
        <f>VLOOKUP(A:A,'ITEM LIST'!A:C,3,0)</f>
        <v>#N/A</v>
      </c>
      <c r="D16915" s="6">
        <f t="shared" si="265"/>
        <v>0</v>
      </c>
    </row>
    <row r="16916" spans="3:4" ht="15" x14ac:dyDescent="0.25">
      <c r="C16916" s="8" t="e">
        <f>VLOOKUP(A:A,'ITEM LIST'!A:C,3,0)</f>
        <v>#N/A</v>
      </c>
      <c r="D16916" s="6">
        <f t="shared" si="265"/>
        <v>0</v>
      </c>
    </row>
    <row r="16917" spans="3:4" ht="15" x14ac:dyDescent="0.25">
      <c r="C16917" s="8" t="e">
        <f>VLOOKUP(A:A,'ITEM LIST'!A:C,3,0)</f>
        <v>#N/A</v>
      </c>
      <c r="D16917" s="6">
        <f t="shared" si="265"/>
        <v>0</v>
      </c>
    </row>
    <row r="16918" spans="3:4" ht="15" x14ac:dyDescent="0.25">
      <c r="C16918" s="8" t="e">
        <f>VLOOKUP(A:A,'ITEM LIST'!A:C,3,0)</f>
        <v>#N/A</v>
      </c>
      <c r="D16918" s="6">
        <f t="shared" si="265"/>
        <v>0</v>
      </c>
    </row>
    <row r="16919" spans="3:4" ht="15" x14ac:dyDescent="0.25">
      <c r="C16919" s="8" t="e">
        <f>VLOOKUP(A:A,'ITEM LIST'!A:C,3,0)</f>
        <v>#N/A</v>
      </c>
      <c r="D16919" s="6">
        <f t="shared" si="265"/>
        <v>0</v>
      </c>
    </row>
    <row r="16920" spans="3:4" ht="15" x14ac:dyDescent="0.25">
      <c r="C16920" s="8" t="e">
        <f>VLOOKUP(A:A,'ITEM LIST'!A:C,3,0)</f>
        <v>#N/A</v>
      </c>
      <c r="D16920" s="6">
        <f t="shared" si="265"/>
        <v>0</v>
      </c>
    </row>
    <row r="16921" spans="3:4" ht="15" x14ac:dyDescent="0.25">
      <c r="C16921" s="8" t="e">
        <f>VLOOKUP(A:A,'ITEM LIST'!A:C,3,0)</f>
        <v>#N/A</v>
      </c>
      <c r="D16921" s="6">
        <f t="shared" si="265"/>
        <v>0</v>
      </c>
    </row>
    <row r="16922" spans="3:4" ht="15" x14ac:dyDescent="0.25">
      <c r="C16922" s="8" t="e">
        <f>VLOOKUP(A:A,'ITEM LIST'!A:C,3,0)</f>
        <v>#N/A</v>
      </c>
      <c r="D16922" s="6">
        <f t="shared" si="265"/>
        <v>0</v>
      </c>
    </row>
    <row r="16923" spans="3:4" ht="15" x14ac:dyDescent="0.25">
      <c r="C16923" s="8" t="e">
        <f>VLOOKUP(A:A,'ITEM LIST'!A:C,3,0)</f>
        <v>#N/A</v>
      </c>
      <c r="D16923" s="6">
        <f t="shared" si="265"/>
        <v>0</v>
      </c>
    </row>
    <row r="16924" spans="3:4" ht="15" x14ac:dyDescent="0.25">
      <c r="C16924" s="8" t="e">
        <f>VLOOKUP(A:A,'ITEM LIST'!A:C,3,0)</f>
        <v>#N/A</v>
      </c>
      <c r="D16924" s="6">
        <f t="shared" si="265"/>
        <v>0</v>
      </c>
    </row>
    <row r="16925" spans="3:4" ht="15" x14ac:dyDescent="0.25">
      <c r="C16925" s="8" t="e">
        <f>VLOOKUP(A:A,'ITEM LIST'!A:C,3,0)</f>
        <v>#N/A</v>
      </c>
      <c r="D16925" s="6">
        <f t="shared" si="265"/>
        <v>0</v>
      </c>
    </row>
    <row r="16926" spans="3:4" ht="15" x14ac:dyDescent="0.25">
      <c r="C16926" s="8" t="e">
        <f>VLOOKUP(A:A,'ITEM LIST'!A:C,3,0)</f>
        <v>#N/A</v>
      </c>
      <c r="D16926" s="6">
        <f t="shared" si="265"/>
        <v>0</v>
      </c>
    </row>
    <row r="16927" spans="3:4" ht="15" x14ac:dyDescent="0.25">
      <c r="C16927" s="8" t="e">
        <f>VLOOKUP(A:A,'ITEM LIST'!A:C,3,0)</f>
        <v>#N/A</v>
      </c>
      <c r="D16927" s="6">
        <f t="shared" si="265"/>
        <v>0</v>
      </c>
    </row>
    <row r="16928" spans="3:4" ht="15" x14ac:dyDescent="0.25">
      <c r="C16928" s="8" t="e">
        <f>VLOOKUP(A:A,'ITEM LIST'!A:C,3,0)</f>
        <v>#N/A</v>
      </c>
      <c r="D16928" s="6">
        <f t="shared" si="265"/>
        <v>0</v>
      </c>
    </row>
    <row r="16929" spans="3:4" ht="15" x14ac:dyDescent="0.25">
      <c r="C16929" s="8" t="e">
        <f>VLOOKUP(A:A,'ITEM LIST'!A:C,3,0)</f>
        <v>#N/A</v>
      </c>
      <c r="D16929" s="6">
        <f t="shared" si="265"/>
        <v>0</v>
      </c>
    </row>
    <row r="16930" spans="3:4" ht="15" x14ac:dyDescent="0.25">
      <c r="C16930" s="8" t="e">
        <f>VLOOKUP(A:A,'ITEM LIST'!A:C,3,0)</f>
        <v>#N/A</v>
      </c>
      <c r="D16930" s="6">
        <f t="shared" si="265"/>
        <v>0</v>
      </c>
    </row>
    <row r="16931" spans="3:4" ht="15" x14ac:dyDescent="0.25">
      <c r="C16931" s="8" t="e">
        <f>VLOOKUP(A:A,'ITEM LIST'!A:C,3,0)</f>
        <v>#N/A</v>
      </c>
      <c r="D16931" s="6">
        <f t="shared" si="265"/>
        <v>0</v>
      </c>
    </row>
    <row r="16932" spans="3:4" ht="15" x14ac:dyDescent="0.25">
      <c r="C16932" s="8" t="e">
        <f>VLOOKUP(A:A,'ITEM LIST'!A:C,3,0)</f>
        <v>#N/A</v>
      </c>
      <c r="D16932" s="6">
        <f t="shared" si="265"/>
        <v>0</v>
      </c>
    </row>
    <row r="16933" spans="3:4" ht="15" x14ac:dyDescent="0.25">
      <c r="C16933" s="8" t="e">
        <f>VLOOKUP(A:A,'ITEM LIST'!A:C,3,0)</f>
        <v>#N/A</v>
      </c>
      <c r="D16933" s="6">
        <f t="shared" si="265"/>
        <v>0</v>
      </c>
    </row>
    <row r="16934" spans="3:4" ht="15" x14ac:dyDescent="0.25">
      <c r="C16934" s="8" t="e">
        <f>VLOOKUP(A:A,'ITEM LIST'!A:C,3,0)</f>
        <v>#N/A</v>
      </c>
      <c r="D16934" s="6">
        <f t="shared" si="265"/>
        <v>0</v>
      </c>
    </row>
    <row r="16935" spans="3:4" ht="15" x14ac:dyDescent="0.25">
      <c r="C16935" s="8" t="e">
        <f>VLOOKUP(A:A,'ITEM LIST'!A:C,3,0)</f>
        <v>#N/A</v>
      </c>
      <c r="D16935" s="6">
        <f t="shared" si="265"/>
        <v>0</v>
      </c>
    </row>
    <row r="16936" spans="3:4" ht="15" x14ac:dyDescent="0.25">
      <c r="C16936" s="8" t="e">
        <f>VLOOKUP(A:A,'ITEM LIST'!A:C,3,0)</f>
        <v>#N/A</v>
      </c>
      <c r="D16936" s="6">
        <f t="shared" si="265"/>
        <v>0</v>
      </c>
    </row>
    <row r="16937" spans="3:4" ht="15" x14ac:dyDescent="0.25">
      <c r="C16937" s="8" t="e">
        <f>VLOOKUP(A:A,'ITEM LIST'!A:C,3,0)</f>
        <v>#N/A</v>
      </c>
      <c r="D16937" s="6">
        <f t="shared" si="265"/>
        <v>0</v>
      </c>
    </row>
    <row r="16938" spans="3:4" ht="15" x14ac:dyDescent="0.25">
      <c r="C16938" s="8" t="e">
        <f>VLOOKUP(A:A,'ITEM LIST'!A:C,3,0)</f>
        <v>#N/A</v>
      </c>
      <c r="D16938" s="6">
        <f t="shared" si="265"/>
        <v>0</v>
      </c>
    </row>
    <row r="16939" spans="3:4" ht="15" x14ac:dyDescent="0.25">
      <c r="C16939" s="8" t="e">
        <f>VLOOKUP(A:A,'ITEM LIST'!A:C,3,0)</f>
        <v>#N/A</v>
      </c>
      <c r="D16939" s="6">
        <f t="shared" si="265"/>
        <v>0</v>
      </c>
    </row>
    <row r="16940" spans="3:4" ht="15" x14ac:dyDescent="0.25">
      <c r="C16940" s="8" t="e">
        <f>VLOOKUP(A:A,'ITEM LIST'!A:C,3,0)</f>
        <v>#N/A</v>
      </c>
      <c r="D16940" s="6">
        <f t="shared" si="265"/>
        <v>0</v>
      </c>
    </row>
    <row r="16941" spans="3:4" ht="15" x14ac:dyDescent="0.25">
      <c r="C16941" s="8" t="e">
        <f>VLOOKUP(A:A,'ITEM LIST'!A:C,3,0)</f>
        <v>#N/A</v>
      </c>
      <c r="D16941" s="6">
        <f t="shared" si="265"/>
        <v>0</v>
      </c>
    </row>
    <row r="16942" spans="3:4" ht="15" x14ac:dyDescent="0.25">
      <c r="C16942" s="8" t="e">
        <f>VLOOKUP(A:A,'ITEM LIST'!A:C,3,0)</f>
        <v>#N/A</v>
      </c>
      <c r="D16942" s="6">
        <f t="shared" si="265"/>
        <v>0</v>
      </c>
    </row>
    <row r="16943" spans="3:4" ht="15" x14ac:dyDescent="0.25">
      <c r="C16943" s="8" t="e">
        <f>VLOOKUP(A:A,'ITEM LIST'!A:C,3,0)</f>
        <v>#N/A</v>
      </c>
      <c r="D16943" s="6">
        <f t="shared" si="265"/>
        <v>0</v>
      </c>
    </row>
    <row r="16944" spans="3:4" ht="15" x14ac:dyDescent="0.25">
      <c r="C16944" s="8" t="e">
        <f>VLOOKUP(A:A,'ITEM LIST'!A:C,3,0)</f>
        <v>#N/A</v>
      </c>
      <c r="D16944" s="6">
        <f t="shared" si="265"/>
        <v>0</v>
      </c>
    </row>
    <row r="16945" spans="3:4" ht="15" x14ac:dyDescent="0.25">
      <c r="C16945" s="8" t="e">
        <f>VLOOKUP(A:A,'ITEM LIST'!A:C,3,0)</f>
        <v>#N/A</v>
      </c>
      <c r="D16945" s="6">
        <f t="shared" si="265"/>
        <v>0</v>
      </c>
    </row>
    <row r="16946" spans="3:4" ht="15" x14ac:dyDescent="0.25">
      <c r="C16946" s="8" t="e">
        <f>VLOOKUP(A:A,'ITEM LIST'!A:C,3,0)</f>
        <v>#N/A</v>
      </c>
      <c r="D16946" s="6">
        <f t="shared" si="265"/>
        <v>0</v>
      </c>
    </row>
    <row r="16947" spans="3:4" ht="15" x14ac:dyDescent="0.25">
      <c r="C16947" s="8" t="e">
        <f>VLOOKUP(A:A,'ITEM LIST'!A:C,3,0)</f>
        <v>#N/A</v>
      </c>
      <c r="D16947" s="6">
        <f t="shared" si="265"/>
        <v>0</v>
      </c>
    </row>
    <row r="16948" spans="3:4" ht="15" x14ac:dyDescent="0.25">
      <c r="C16948" s="8" t="e">
        <f>VLOOKUP(A:A,'ITEM LIST'!A:C,3,0)</f>
        <v>#N/A</v>
      </c>
      <c r="D16948" s="6">
        <f t="shared" si="265"/>
        <v>0</v>
      </c>
    </row>
    <row r="16949" spans="3:4" ht="15" x14ac:dyDescent="0.25">
      <c r="C16949" s="8" t="e">
        <f>VLOOKUP(A:A,'ITEM LIST'!A:C,3,0)</f>
        <v>#N/A</v>
      </c>
      <c r="D16949" s="6">
        <f t="shared" si="265"/>
        <v>0</v>
      </c>
    </row>
    <row r="16950" spans="3:4" ht="15" x14ac:dyDescent="0.25">
      <c r="C16950" s="8" t="e">
        <f>VLOOKUP(A:A,'ITEM LIST'!A:C,3,0)</f>
        <v>#N/A</v>
      </c>
      <c r="D16950" s="6">
        <f t="shared" si="265"/>
        <v>0</v>
      </c>
    </row>
    <row r="16951" spans="3:4" ht="15" x14ac:dyDescent="0.25">
      <c r="C16951" s="8" t="e">
        <f>VLOOKUP(A:A,'ITEM LIST'!A:C,3,0)</f>
        <v>#N/A</v>
      </c>
      <c r="D16951" s="6">
        <f t="shared" si="265"/>
        <v>0</v>
      </c>
    </row>
    <row r="16952" spans="3:4" ht="15" x14ac:dyDescent="0.25">
      <c r="C16952" s="8" t="e">
        <f>VLOOKUP(A:A,'ITEM LIST'!A:C,3,0)</f>
        <v>#N/A</v>
      </c>
      <c r="D16952" s="6">
        <f t="shared" si="265"/>
        <v>0</v>
      </c>
    </row>
    <row r="16953" spans="3:4" ht="15" x14ac:dyDescent="0.25">
      <c r="C16953" s="8" t="e">
        <f>VLOOKUP(A:A,'ITEM LIST'!A:C,3,0)</f>
        <v>#N/A</v>
      </c>
      <c r="D16953" s="6">
        <f t="shared" si="265"/>
        <v>0</v>
      </c>
    </row>
    <row r="16954" spans="3:4" ht="15" x14ac:dyDescent="0.25">
      <c r="C16954" s="8" t="e">
        <f>VLOOKUP(A:A,'ITEM LIST'!A:C,3,0)</f>
        <v>#N/A</v>
      </c>
      <c r="D16954" s="6">
        <f t="shared" si="265"/>
        <v>0</v>
      </c>
    </row>
    <row r="16955" spans="3:4" ht="15" x14ac:dyDescent="0.25">
      <c r="C16955" s="8" t="e">
        <f>VLOOKUP(A:A,'ITEM LIST'!A:C,3,0)</f>
        <v>#N/A</v>
      </c>
      <c r="D16955" s="6">
        <f t="shared" si="265"/>
        <v>0</v>
      </c>
    </row>
    <row r="16956" spans="3:4" ht="15" x14ac:dyDescent="0.25">
      <c r="C16956" s="8" t="e">
        <f>VLOOKUP(A:A,'ITEM LIST'!A:C,3,0)</f>
        <v>#N/A</v>
      </c>
      <c r="D16956" s="6">
        <f t="shared" si="265"/>
        <v>0</v>
      </c>
    </row>
    <row r="16957" spans="3:4" ht="15" x14ac:dyDescent="0.25">
      <c r="C16957" s="8" t="e">
        <f>VLOOKUP(A:A,'ITEM LIST'!A:C,3,0)</f>
        <v>#N/A</v>
      </c>
      <c r="D16957" s="6">
        <f t="shared" si="265"/>
        <v>0</v>
      </c>
    </row>
    <row r="16958" spans="3:4" ht="15" x14ac:dyDescent="0.25">
      <c r="C16958" s="8" t="e">
        <f>VLOOKUP(A:A,'ITEM LIST'!A:C,3,0)</f>
        <v>#N/A</v>
      </c>
      <c r="D16958" s="6">
        <f t="shared" si="265"/>
        <v>0</v>
      </c>
    </row>
    <row r="16959" spans="3:4" ht="15" x14ac:dyDescent="0.25">
      <c r="C16959" s="8" t="e">
        <f>VLOOKUP(A:A,'ITEM LIST'!A:C,3,0)</f>
        <v>#N/A</v>
      </c>
      <c r="D16959" s="6">
        <f t="shared" si="265"/>
        <v>0</v>
      </c>
    </row>
    <row r="16960" spans="3:4" ht="15" x14ac:dyDescent="0.25">
      <c r="C16960" s="8" t="e">
        <f>VLOOKUP(A:A,'ITEM LIST'!A:C,3,0)</f>
        <v>#N/A</v>
      </c>
      <c r="D16960" s="6">
        <f t="shared" si="265"/>
        <v>0</v>
      </c>
    </row>
    <row r="16961" spans="3:4" ht="15" x14ac:dyDescent="0.25">
      <c r="C16961" s="8" t="e">
        <f>VLOOKUP(A:A,'ITEM LIST'!A:C,3,0)</f>
        <v>#N/A</v>
      </c>
      <c r="D16961" s="6">
        <f t="shared" si="265"/>
        <v>0</v>
      </c>
    </row>
    <row r="16962" spans="3:4" ht="15" x14ac:dyDescent="0.25">
      <c r="C16962" s="8" t="e">
        <f>VLOOKUP(A:A,'ITEM LIST'!A:C,3,0)</f>
        <v>#N/A</v>
      </c>
      <c r="D16962" s="6">
        <f t="shared" si="265"/>
        <v>0</v>
      </c>
    </row>
    <row r="16963" spans="3:4" ht="15" x14ac:dyDescent="0.25">
      <c r="C16963" s="8" t="e">
        <f>VLOOKUP(A:A,'ITEM LIST'!A:C,3,0)</f>
        <v>#N/A</v>
      </c>
      <c r="D16963" s="6">
        <f t="shared" si="265"/>
        <v>0</v>
      </c>
    </row>
    <row r="16964" spans="3:4" ht="15" x14ac:dyDescent="0.25">
      <c r="C16964" s="8" t="e">
        <f>VLOOKUP(A:A,'ITEM LIST'!A:C,3,0)</f>
        <v>#N/A</v>
      </c>
      <c r="D16964" s="6">
        <f t="shared" si="265"/>
        <v>0</v>
      </c>
    </row>
    <row r="16965" spans="3:4" ht="15" x14ac:dyDescent="0.25">
      <c r="C16965" s="8" t="e">
        <f>VLOOKUP(A:A,'ITEM LIST'!A:C,3,0)</f>
        <v>#N/A</v>
      </c>
      <c r="D16965" s="6">
        <f t="shared" si="265"/>
        <v>0</v>
      </c>
    </row>
    <row r="16966" spans="3:4" ht="15" x14ac:dyDescent="0.25">
      <c r="C16966" s="8" t="e">
        <f>VLOOKUP(A:A,'ITEM LIST'!A:C,3,0)</f>
        <v>#N/A</v>
      </c>
      <c r="D16966" s="6">
        <f t="shared" ref="D16966:D17029" si="266">B16966</f>
        <v>0</v>
      </c>
    </row>
    <row r="16967" spans="3:4" ht="15" x14ac:dyDescent="0.25">
      <c r="C16967" s="8" t="e">
        <f>VLOOKUP(A:A,'ITEM LIST'!A:C,3,0)</f>
        <v>#N/A</v>
      </c>
      <c r="D16967" s="6">
        <f t="shared" si="266"/>
        <v>0</v>
      </c>
    </row>
    <row r="16968" spans="3:4" ht="15" x14ac:dyDescent="0.25">
      <c r="C16968" s="8" t="e">
        <f>VLOOKUP(A:A,'ITEM LIST'!A:C,3,0)</f>
        <v>#N/A</v>
      </c>
      <c r="D16968" s="6">
        <f t="shared" si="266"/>
        <v>0</v>
      </c>
    </row>
    <row r="16969" spans="3:4" ht="15" x14ac:dyDescent="0.25">
      <c r="C16969" s="8" t="e">
        <f>VLOOKUP(A:A,'ITEM LIST'!A:C,3,0)</f>
        <v>#N/A</v>
      </c>
      <c r="D16969" s="6">
        <f t="shared" si="266"/>
        <v>0</v>
      </c>
    </row>
    <row r="16970" spans="3:4" ht="15" x14ac:dyDescent="0.25">
      <c r="C16970" s="8" t="e">
        <f>VLOOKUP(A:A,'ITEM LIST'!A:C,3,0)</f>
        <v>#N/A</v>
      </c>
      <c r="D16970" s="6">
        <f t="shared" si="266"/>
        <v>0</v>
      </c>
    </row>
    <row r="16971" spans="3:4" ht="15" x14ac:dyDescent="0.25">
      <c r="C16971" s="8" t="e">
        <f>VLOOKUP(A:A,'ITEM LIST'!A:C,3,0)</f>
        <v>#N/A</v>
      </c>
      <c r="D16971" s="6">
        <f t="shared" si="266"/>
        <v>0</v>
      </c>
    </row>
    <row r="16972" spans="3:4" ht="15" x14ac:dyDescent="0.25">
      <c r="C16972" s="8" t="e">
        <f>VLOOKUP(A:A,'ITEM LIST'!A:C,3,0)</f>
        <v>#N/A</v>
      </c>
      <c r="D16972" s="6">
        <f t="shared" si="266"/>
        <v>0</v>
      </c>
    </row>
    <row r="16973" spans="3:4" ht="15" x14ac:dyDescent="0.25">
      <c r="C16973" s="8" t="e">
        <f>VLOOKUP(A:A,'ITEM LIST'!A:C,3,0)</f>
        <v>#N/A</v>
      </c>
      <c r="D16973" s="6">
        <f t="shared" si="266"/>
        <v>0</v>
      </c>
    </row>
    <row r="16974" spans="3:4" ht="15" x14ac:dyDescent="0.25">
      <c r="C16974" s="8" t="e">
        <f>VLOOKUP(A:A,'ITEM LIST'!A:C,3,0)</f>
        <v>#N/A</v>
      </c>
      <c r="D16974" s="6">
        <f t="shared" si="266"/>
        <v>0</v>
      </c>
    </row>
    <row r="16975" spans="3:4" ht="15" x14ac:dyDescent="0.25">
      <c r="C16975" s="8" t="e">
        <f>VLOOKUP(A:A,'ITEM LIST'!A:C,3,0)</f>
        <v>#N/A</v>
      </c>
      <c r="D16975" s="6">
        <f t="shared" si="266"/>
        <v>0</v>
      </c>
    </row>
    <row r="16976" spans="3:4" ht="15" x14ac:dyDescent="0.25">
      <c r="C16976" s="8" t="e">
        <f>VLOOKUP(A:A,'ITEM LIST'!A:C,3,0)</f>
        <v>#N/A</v>
      </c>
      <c r="D16976" s="6">
        <f t="shared" si="266"/>
        <v>0</v>
      </c>
    </row>
    <row r="16977" spans="3:4" ht="15" x14ac:dyDescent="0.25">
      <c r="C16977" s="8" t="e">
        <f>VLOOKUP(A:A,'ITEM LIST'!A:C,3,0)</f>
        <v>#N/A</v>
      </c>
      <c r="D16977" s="6">
        <f t="shared" si="266"/>
        <v>0</v>
      </c>
    </row>
    <row r="16978" spans="3:4" ht="15" x14ac:dyDescent="0.25">
      <c r="C16978" s="8" t="e">
        <f>VLOOKUP(A:A,'ITEM LIST'!A:C,3,0)</f>
        <v>#N/A</v>
      </c>
      <c r="D16978" s="6">
        <f t="shared" si="266"/>
        <v>0</v>
      </c>
    </row>
    <row r="16979" spans="3:4" ht="15" x14ac:dyDescent="0.25">
      <c r="C16979" s="8" t="e">
        <f>VLOOKUP(A:A,'ITEM LIST'!A:C,3,0)</f>
        <v>#N/A</v>
      </c>
      <c r="D16979" s="6">
        <f t="shared" si="266"/>
        <v>0</v>
      </c>
    </row>
    <row r="16980" spans="3:4" ht="15" x14ac:dyDescent="0.25">
      <c r="C16980" s="8" t="e">
        <f>VLOOKUP(A:A,'ITEM LIST'!A:C,3,0)</f>
        <v>#N/A</v>
      </c>
      <c r="D16980" s="6">
        <f t="shared" si="266"/>
        <v>0</v>
      </c>
    </row>
    <row r="16981" spans="3:4" ht="15" x14ac:dyDescent="0.25">
      <c r="C16981" s="8" t="e">
        <f>VLOOKUP(A:A,'ITEM LIST'!A:C,3,0)</f>
        <v>#N/A</v>
      </c>
      <c r="D16981" s="6">
        <f t="shared" si="266"/>
        <v>0</v>
      </c>
    </row>
    <row r="16982" spans="3:4" ht="15" x14ac:dyDescent="0.25">
      <c r="C16982" s="8" t="e">
        <f>VLOOKUP(A:A,'ITEM LIST'!A:C,3,0)</f>
        <v>#N/A</v>
      </c>
      <c r="D16982" s="6">
        <f t="shared" si="266"/>
        <v>0</v>
      </c>
    </row>
    <row r="16983" spans="3:4" ht="15" x14ac:dyDescent="0.25">
      <c r="C16983" s="8" t="e">
        <f>VLOOKUP(A:A,'ITEM LIST'!A:C,3,0)</f>
        <v>#N/A</v>
      </c>
      <c r="D16983" s="6">
        <f t="shared" si="266"/>
        <v>0</v>
      </c>
    </row>
    <row r="16984" spans="3:4" ht="15" x14ac:dyDescent="0.25">
      <c r="C16984" s="8" t="e">
        <f>VLOOKUP(A:A,'ITEM LIST'!A:C,3,0)</f>
        <v>#N/A</v>
      </c>
      <c r="D16984" s="6">
        <f t="shared" si="266"/>
        <v>0</v>
      </c>
    </row>
    <row r="16985" spans="3:4" ht="15" x14ac:dyDescent="0.25">
      <c r="C16985" s="8" t="e">
        <f>VLOOKUP(A:A,'ITEM LIST'!A:C,3,0)</f>
        <v>#N/A</v>
      </c>
      <c r="D16985" s="6">
        <f t="shared" si="266"/>
        <v>0</v>
      </c>
    </row>
    <row r="16986" spans="3:4" ht="15" x14ac:dyDescent="0.25">
      <c r="C16986" s="8" t="e">
        <f>VLOOKUP(A:A,'ITEM LIST'!A:C,3,0)</f>
        <v>#N/A</v>
      </c>
      <c r="D16986" s="6">
        <f t="shared" si="266"/>
        <v>0</v>
      </c>
    </row>
    <row r="16987" spans="3:4" ht="15" x14ac:dyDescent="0.25">
      <c r="C16987" s="8" t="e">
        <f>VLOOKUP(A:A,'ITEM LIST'!A:C,3,0)</f>
        <v>#N/A</v>
      </c>
      <c r="D16987" s="6">
        <f t="shared" si="266"/>
        <v>0</v>
      </c>
    </row>
    <row r="16988" spans="3:4" ht="15" x14ac:dyDescent="0.25">
      <c r="C16988" s="8" t="e">
        <f>VLOOKUP(A:A,'ITEM LIST'!A:C,3,0)</f>
        <v>#N/A</v>
      </c>
      <c r="D16988" s="6">
        <f t="shared" si="266"/>
        <v>0</v>
      </c>
    </row>
    <row r="16989" spans="3:4" ht="15" x14ac:dyDescent="0.25">
      <c r="C16989" s="8" t="e">
        <f>VLOOKUP(A:A,'ITEM LIST'!A:C,3,0)</f>
        <v>#N/A</v>
      </c>
      <c r="D16989" s="6">
        <f t="shared" si="266"/>
        <v>0</v>
      </c>
    </row>
    <row r="16990" spans="3:4" ht="15" x14ac:dyDescent="0.25">
      <c r="C16990" s="8" t="e">
        <f>VLOOKUP(A:A,'ITEM LIST'!A:C,3,0)</f>
        <v>#N/A</v>
      </c>
      <c r="D16990" s="6">
        <f t="shared" si="266"/>
        <v>0</v>
      </c>
    </row>
    <row r="16991" spans="3:4" ht="15" x14ac:dyDescent="0.25">
      <c r="C16991" s="8" t="e">
        <f>VLOOKUP(A:A,'ITEM LIST'!A:C,3,0)</f>
        <v>#N/A</v>
      </c>
      <c r="D16991" s="6">
        <f t="shared" si="266"/>
        <v>0</v>
      </c>
    </row>
    <row r="16992" spans="3:4" ht="15" x14ac:dyDescent="0.25">
      <c r="C16992" s="8" t="e">
        <f>VLOOKUP(A:A,'ITEM LIST'!A:C,3,0)</f>
        <v>#N/A</v>
      </c>
      <c r="D16992" s="6">
        <f t="shared" si="266"/>
        <v>0</v>
      </c>
    </row>
    <row r="16993" spans="3:4" ht="15" x14ac:dyDescent="0.25">
      <c r="C16993" s="8" t="e">
        <f>VLOOKUP(A:A,'ITEM LIST'!A:C,3,0)</f>
        <v>#N/A</v>
      </c>
      <c r="D16993" s="6">
        <f t="shared" si="266"/>
        <v>0</v>
      </c>
    </row>
    <row r="16994" spans="3:4" ht="15" x14ac:dyDescent="0.25">
      <c r="C16994" s="8" t="e">
        <f>VLOOKUP(A:A,'ITEM LIST'!A:C,3,0)</f>
        <v>#N/A</v>
      </c>
      <c r="D16994" s="6">
        <f t="shared" si="266"/>
        <v>0</v>
      </c>
    </row>
    <row r="16995" spans="3:4" ht="15" x14ac:dyDescent="0.25">
      <c r="C16995" s="8" t="e">
        <f>VLOOKUP(A:A,'ITEM LIST'!A:C,3,0)</f>
        <v>#N/A</v>
      </c>
      <c r="D16995" s="6">
        <f t="shared" si="266"/>
        <v>0</v>
      </c>
    </row>
    <row r="16996" spans="3:4" ht="15" x14ac:dyDescent="0.25">
      <c r="C16996" s="8" t="e">
        <f>VLOOKUP(A:A,'ITEM LIST'!A:C,3,0)</f>
        <v>#N/A</v>
      </c>
      <c r="D16996" s="6">
        <f t="shared" si="266"/>
        <v>0</v>
      </c>
    </row>
    <row r="16997" spans="3:4" ht="15" x14ac:dyDescent="0.25">
      <c r="C16997" s="8" t="e">
        <f>VLOOKUP(A:A,'ITEM LIST'!A:C,3,0)</f>
        <v>#N/A</v>
      </c>
      <c r="D16997" s="6">
        <f t="shared" si="266"/>
        <v>0</v>
      </c>
    </row>
    <row r="16998" spans="3:4" ht="15" x14ac:dyDescent="0.25">
      <c r="C16998" s="8" t="e">
        <f>VLOOKUP(A:A,'ITEM LIST'!A:C,3,0)</f>
        <v>#N/A</v>
      </c>
      <c r="D16998" s="6">
        <f t="shared" si="266"/>
        <v>0</v>
      </c>
    </row>
    <row r="16999" spans="3:4" ht="15" x14ac:dyDescent="0.25">
      <c r="C16999" s="8" t="e">
        <f>VLOOKUP(A:A,'ITEM LIST'!A:C,3,0)</f>
        <v>#N/A</v>
      </c>
      <c r="D16999" s="6">
        <f t="shared" si="266"/>
        <v>0</v>
      </c>
    </row>
    <row r="17000" spans="3:4" ht="15" x14ac:dyDescent="0.25">
      <c r="C17000" s="8" t="e">
        <f>VLOOKUP(A:A,'ITEM LIST'!A:C,3,0)</f>
        <v>#N/A</v>
      </c>
      <c r="D17000" s="6">
        <f t="shared" si="266"/>
        <v>0</v>
      </c>
    </row>
    <row r="17001" spans="3:4" ht="15" x14ac:dyDescent="0.25">
      <c r="C17001" s="8" t="e">
        <f>VLOOKUP(A:A,'ITEM LIST'!A:C,3,0)</f>
        <v>#N/A</v>
      </c>
      <c r="D17001" s="6">
        <f t="shared" si="266"/>
        <v>0</v>
      </c>
    </row>
    <row r="17002" spans="3:4" ht="15" x14ac:dyDescent="0.25">
      <c r="C17002" s="8" t="e">
        <f>VLOOKUP(A:A,'ITEM LIST'!A:C,3,0)</f>
        <v>#N/A</v>
      </c>
      <c r="D17002" s="6">
        <f t="shared" si="266"/>
        <v>0</v>
      </c>
    </row>
    <row r="17003" spans="3:4" ht="15" x14ac:dyDescent="0.25">
      <c r="C17003" s="8" t="e">
        <f>VLOOKUP(A:A,'ITEM LIST'!A:C,3,0)</f>
        <v>#N/A</v>
      </c>
      <c r="D17003" s="6">
        <f t="shared" si="266"/>
        <v>0</v>
      </c>
    </row>
    <row r="17004" spans="3:4" ht="15" x14ac:dyDescent="0.25">
      <c r="C17004" s="8" t="e">
        <f>VLOOKUP(A:A,'ITEM LIST'!A:C,3,0)</f>
        <v>#N/A</v>
      </c>
      <c r="D17004" s="6">
        <f t="shared" si="266"/>
        <v>0</v>
      </c>
    </row>
    <row r="17005" spans="3:4" ht="15" x14ac:dyDescent="0.25">
      <c r="C17005" s="8" t="e">
        <f>VLOOKUP(A:A,'ITEM LIST'!A:C,3,0)</f>
        <v>#N/A</v>
      </c>
      <c r="D17005" s="6">
        <f t="shared" si="266"/>
        <v>0</v>
      </c>
    </row>
    <row r="17006" spans="3:4" ht="15" x14ac:dyDescent="0.25">
      <c r="C17006" s="8" t="e">
        <f>VLOOKUP(A:A,'ITEM LIST'!A:C,3,0)</f>
        <v>#N/A</v>
      </c>
      <c r="D17006" s="6">
        <f t="shared" si="266"/>
        <v>0</v>
      </c>
    </row>
    <row r="17007" spans="3:4" ht="15" x14ac:dyDescent="0.25">
      <c r="C17007" s="8" t="e">
        <f>VLOOKUP(A:A,'ITEM LIST'!A:C,3,0)</f>
        <v>#N/A</v>
      </c>
      <c r="D17007" s="6">
        <f t="shared" si="266"/>
        <v>0</v>
      </c>
    </row>
    <row r="17008" spans="3:4" ht="15" x14ac:dyDescent="0.25">
      <c r="C17008" s="8" t="e">
        <f>VLOOKUP(A:A,'ITEM LIST'!A:C,3,0)</f>
        <v>#N/A</v>
      </c>
      <c r="D17008" s="6">
        <f t="shared" si="266"/>
        <v>0</v>
      </c>
    </row>
    <row r="17009" spans="3:4" ht="15" x14ac:dyDescent="0.25">
      <c r="C17009" s="8" t="e">
        <f>VLOOKUP(A:A,'ITEM LIST'!A:C,3,0)</f>
        <v>#N/A</v>
      </c>
      <c r="D17009" s="6">
        <f t="shared" si="266"/>
        <v>0</v>
      </c>
    </row>
    <row r="17010" spans="3:4" ht="15" x14ac:dyDescent="0.25">
      <c r="C17010" s="8" t="e">
        <f>VLOOKUP(A:A,'ITEM LIST'!A:C,3,0)</f>
        <v>#N/A</v>
      </c>
      <c r="D17010" s="6">
        <f t="shared" si="266"/>
        <v>0</v>
      </c>
    </row>
    <row r="17011" spans="3:4" ht="15" x14ac:dyDescent="0.25">
      <c r="C17011" s="8" t="e">
        <f>VLOOKUP(A:A,'ITEM LIST'!A:C,3,0)</f>
        <v>#N/A</v>
      </c>
      <c r="D17011" s="6">
        <f t="shared" si="266"/>
        <v>0</v>
      </c>
    </row>
    <row r="17012" spans="3:4" ht="15" x14ac:dyDescent="0.25">
      <c r="C17012" s="8" t="e">
        <f>VLOOKUP(A:A,'ITEM LIST'!A:C,3,0)</f>
        <v>#N/A</v>
      </c>
      <c r="D17012" s="6">
        <f t="shared" si="266"/>
        <v>0</v>
      </c>
    </row>
    <row r="17013" spans="3:4" ht="15" x14ac:dyDescent="0.25">
      <c r="C17013" s="8" t="e">
        <f>VLOOKUP(A:A,'ITEM LIST'!A:C,3,0)</f>
        <v>#N/A</v>
      </c>
      <c r="D17013" s="6">
        <f t="shared" si="266"/>
        <v>0</v>
      </c>
    </row>
    <row r="17014" spans="3:4" ht="15" x14ac:dyDescent="0.25">
      <c r="C17014" s="8" t="e">
        <f>VLOOKUP(A:A,'ITEM LIST'!A:C,3,0)</f>
        <v>#N/A</v>
      </c>
      <c r="D17014" s="6">
        <f t="shared" si="266"/>
        <v>0</v>
      </c>
    </row>
    <row r="17015" spans="3:4" ht="15" x14ac:dyDescent="0.25">
      <c r="C17015" s="8" t="e">
        <f>VLOOKUP(A:A,'ITEM LIST'!A:C,3,0)</f>
        <v>#N/A</v>
      </c>
      <c r="D17015" s="6">
        <f t="shared" si="266"/>
        <v>0</v>
      </c>
    </row>
    <row r="17016" spans="3:4" ht="15" x14ac:dyDescent="0.25">
      <c r="C17016" s="8" t="e">
        <f>VLOOKUP(A:A,'ITEM LIST'!A:C,3,0)</f>
        <v>#N/A</v>
      </c>
      <c r="D17016" s="6">
        <f t="shared" si="266"/>
        <v>0</v>
      </c>
    </row>
    <row r="17017" spans="3:4" ht="15" x14ac:dyDescent="0.25">
      <c r="C17017" s="8" t="e">
        <f>VLOOKUP(A:A,'ITEM LIST'!A:C,3,0)</f>
        <v>#N/A</v>
      </c>
      <c r="D17017" s="6">
        <f t="shared" si="266"/>
        <v>0</v>
      </c>
    </row>
    <row r="17018" spans="3:4" ht="15" x14ac:dyDescent="0.25">
      <c r="C17018" s="8" t="e">
        <f>VLOOKUP(A:A,'ITEM LIST'!A:C,3,0)</f>
        <v>#N/A</v>
      </c>
      <c r="D17018" s="6">
        <f t="shared" si="266"/>
        <v>0</v>
      </c>
    </row>
    <row r="17019" spans="3:4" ht="15" x14ac:dyDescent="0.25">
      <c r="C17019" s="8" t="e">
        <f>VLOOKUP(A:A,'ITEM LIST'!A:C,3,0)</f>
        <v>#N/A</v>
      </c>
      <c r="D17019" s="6">
        <f t="shared" si="266"/>
        <v>0</v>
      </c>
    </row>
    <row r="17020" spans="3:4" ht="15" x14ac:dyDescent="0.25">
      <c r="C17020" s="8" t="e">
        <f>VLOOKUP(A:A,'ITEM LIST'!A:C,3,0)</f>
        <v>#N/A</v>
      </c>
      <c r="D17020" s="6">
        <f t="shared" si="266"/>
        <v>0</v>
      </c>
    </row>
    <row r="17021" spans="3:4" ht="15" x14ac:dyDescent="0.25">
      <c r="C17021" s="8" t="e">
        <f>VLOOKUP(A:A,'ITEM LIST'!A:C,3,0)</f>
        <v>#N/A</v>
      </c>
      <c r="D17021" s="6">
        <f t="shared" si="266"/>
        <v>0</v>
      </c>
    </row>
    <row r="17022" spans="3:4" ht="15" x14ac:dyDescent="0.25">
      <c r="C17022" s="8" t="e">
        <f>VLOOKUP(A:A,'ITEM LIST'!A:C,3,0)</f>
        <v>#N/A</v>
      </c>
      <c r="D17022" s="6">
        <f t="shared" si="266"/>
        <v>0</v>
      </c>
    </row>
    <row r="17023" spans="3:4" ht="15" x14ac:dyDescent="0.25">
      <c r="C17023" s="8" t="e">
        <f>VLOOKUP(A:A,'ITEM LIST'!A:C,3,0)</f>
        <v>#N/A</v>
      </c>
      <c r="D17023" s="6">
        <f t="shared" si="266"/>
        <v>0</v>
      </c>
    </row>
    <row r="17024" spans="3:4" ht="15" x14ac:dyDescent="0.25">
      <c r="C17024" s="8" t="e">
        <f>VLOOKUP(A:A,'ITEM LIST'!A:C,3,0)</f>
        <v>#N/A</v>
      </c>
      <c r="D17024" s="6">
        <f t="shared" si="266"/>
        <v>0</v>
      </c>
    </row>
    <row r="17025" spans="3:4" ht="15" x14ac:dyDescent="0.25">
      <c r="C17025" s="8" t="e">
        <f>VLOOKUP(A:A,'ITEM LIST'!A:C,3,0)</f>
        <v>#N/A</v>
      </c>
      <c r="D17025" s="6">
        <f t="shared" si="266"/>
        <v>0</v>
      </c>
    </row>
    <row r="17026" spans="3:4" ht="15" x14ac:dyDescent="0.25">
      <c r="C17026" s="8" t="e">
        <f>VLOOKUP(A:A,'ITEM LIST'!A:C,3,0)</f>
        <v>#N/A</v>
      </c>
      <c r="D17026" s="6">
        <f t="shared" si="266"/>
        <v>0</v>
      </c>
    </row>
    <row r="17027" spans="3:4" ht="15" x14ac:dyDescent="0.25">
      <c r="C17027" s="8" t="e">
        <f>VLOOKUP(A:A,'ITEM LIST'!A:C,3,0)</f>
        <v>#N/A</v>
      </c>
      <c r="D17027" s="6">
        <f t="shared" si="266"/>
        <v>0</v>
      </c>
    </row>
    <row r="17028" spans="3:4" ht="15" x14ac:dyDescent="0.25">
      <c r="C17028" s="8" t="e">
        <f>VLOOKUP(A:A,'ITEM LIST'!A:C,3,0)</f>
        <v>#N/A</v>
      </c>
      <c r="D17028" s="6">
        <f t="shared" si="266"/>
        <v>0</v>
      </c>
    </row>
    <row r="17029" spans="3:4" ht="15" x14ac:dyDescent="0.25">
      <c r="C17029" s="8" t="e">
        <f>VLOOKUP(A:A,'ITEM LIST'!A:C,3,0)</f>
        <v>#N/A</v>
      </c>
      <c r="D17029" s="6">
        <f t="shared" si="266"/>
        <v>0</v>
      </c>
    </row>
    <row r="17030" spans="3:4" ht="15" x14ac:dyDescent="0.25">
      <c r="C17030" s="8" t="e">
        <f>VLOOKUP(A:A,'ITEM LIST'!A:C,3,0)</f>
        <v>#N/A</v>
      </c>
      <c r="D17030" s="6">
        <f t="shared" ref="D17030:D17093" si="267">B17030</f>
        <v>0</v>
      </c>
    </row>
    <row r="17031" spans="3:4" ht="15" x14ac:dyDescent="0.25">
      <c r="C17031" s="8" t="e">
        <f>VLOOKUP(A:A,'ITEM LIST'!A:C,3,0)</f>
        <v>#N/A</v>
      </c>
      <c r="D17031" s="6">
        <f t="shared" si="267"/>
        <v>0</v>
      </c>
    </row>
    <row r="17032" spans="3:4" ht="15" x14ac:dyDescent="0.25">
      <c r="C17032" s="8" t="e">
        <f>VLOOKUP(A:A,'ITEM LIST'!A:C,3,0)</f>
        <v>#N/A</v>
      </c>
      <c r="D17032" s="6">
        <f t="shared" si="267"/>
        <v>0</v>
      </c>
    </row>
    <row r="17033" spans="3:4" ht="15" x14ac:dyDescent="0.25">
      <c r="C17033" s="8" t="e">
        <f>VLOOKUP(A:A,'ITEM LIST'!A:C,3,0)</f>
        <v>#N/A</v>
      </c>
      <c r="D17033" s="6">
        <f t="shared" si="267"/>
        <v>0</v>
      </c>
    </row>
    <row r="17034" spans="3:4" ht="15" x14ac:dyDescent="0.25">
      <c r="C17034" s="8" t="e">
        <f>VLOOKUP(A:A,'ITEM LIST'!A:C,3,0)</f>
        <v>#N/A</v>
      </c>
      <c r="D17034" s="6">
        <f t="shared" si="267"/>
        <v>0</v>
      </c>
    </row>
    <row r="17035" spans="3:4" ht="15" x14ac:dyDescent="0.25">
      <c r="C17035" s="8" t="e">
        <f>VLOOKUP(A:A,'ITEM LIST'!A:C,3,0)</f>
        <v>#N/A</v>
      </c>
      <c r="D17035" s="6">
        <f t="shared" si="267"/>
        <v>0</v>
      </c>
    </row>
    <row r="17036" spans="3:4" ht="15" x14ac:dyDescent="0.25">
      <c r="C17036" s="8" t="e">
        <f>VLOOKUP(A:A,'ITEM LIST'!A:C,3,0)</f>
        <v>#N/A</v>
      </c>
      <c r="D17036" s="6">
        <f t="shared" si="267"/>
        <v>0</v>
      </c>
    </row>
    <row r="17037" spans="3:4" ht="15" x14ac:dyDescent="0.25">
      <c r="C17037" s="8" t="e">
        <f>VLOOKUP(A:A,'ITEM LIST'!A:C,3,0)</f>
        <v>#N/A</v>
      </c>
      <c r="D17037" s="6">
        <f t="shared" si="267"/>
        <v>0</v>
      </c>
    </row>
    <row r="17038" spans="3:4" ht="15" x14ac:dyDescent="0.25">
      <c r="C17038" s="8" t="e">
        <f>VLOOKUP(A:A,'ITEM LIST'!A:C,3,0)</f>
        <v>#N/A</v>
      </c>
      <c r="D17038" s="6">
        <f t="shared" si="267"/>
        <v>0</v>
      </c>
    </row>
    <row r="17039" spans="3:4" ht="15" x14ac:dyDescent="0.25">
      <c r="C17039" s="8" t="e">
        <f>VLOOKUP(A:A,'ITEM LIST'!A:C,3,0)</f>
        <v>#N/A</v>
      </c>
      <c r="D17039" s="6">
        <f t="shared" si="267"/>
        <v>0</v>
      </c>
    </row>
    <row r="17040" spans="3:4" ht="15" x14ac:dyDescent="0.25">
      <c r="C17040" s="8" t="e">
        <f>VLOOKUP(A:A,'ITEM LIST'!A:C,3,0)</f>
        <v>#N/A</v>
      </c>
      <c r="D17040" s="6">
        <f t="shared" si="267"/>
        <v>0</v>
      </c>
    </row>
    <row r="17041" spans="3:4" ht="15" x14ac:dyDescent="0.25">
      <c r="C17041" s="8" t="e">
        <f>VLOOKUP(A:A,'ITEM LIST'!A:C,3,0)</f>
        <v>#N/A</v>
      </c>
      <c r="D17041" s="6">
        <f t="shared" si="267"/>
        <v>0</v>
      </c>
    </row>
    <row r="17042" spans="3:4" ht="15" x14ac:dyDescent="0.25">
      <c r="C17042" s="8" t="e">
        <f>VLOOKUP(A:A,'ITEM LIST'!A:C,3,0)</f>
        <v>#N/A</v>
      </c>
      <c r="D17042" s="6">
        <f t="shared" si="267"/>
        <v>0</v>
      </c>
    </row>
    <row r="17043" spans="3:4" ht="15" x14ac:dyDescent="0.25">
      <c r="C17043" s="8" t="e">
        <f>VLOOKUP(A:A,'ITEM LIST'!A:C,3,0)</f>
        <v>#N/A</v>
      </c>
      <c r="D17043" s="6">
        <f t="shared" si="267"/>
        <v>0</v>
      </c>
    </row>
    <row r="17044" spans="3:4" ht="15" x14ac:dyDescent="0.25">
      <c r="C17044" s="8" t="e">
        <f>VLOOKUP(A:A,'ITEM LIST'!A:C,3,0)</f>
        <v>#N/A</v>
      </c>
      <c r="D17044" s="6">
        <f t="shared" si="267"/>
        <v>0</v>
      </c>
    </row>
    <row r="17045" spans="3:4" ht="15" x14ac:dyDescent="0.25">
      <c r="C17045" s="8" t="e">
        <f>VLOOKUP(A:A,'ITEM LIST'!A:C,3,0)</f>
        <v>#N/A</v>
      </c>
      <c r="D17045" s="6">
        <f t="shared" si="267"/>
        <v>0</v>
      </c>
    </row>
    <row r="17046" spans="3:4" ht="15" x14ac:dyDescent="0.25">
      <c r="C17046" s="8" t="e">
        <f>VLOOKUP(A:A,'ITEM LIST'!A:C,3,0)</f>
        <v>#N/A</v>
      </c>
      <c r="D17046" s="6">
        <f t="shared" si="267"/>
        <v>0</v>
      </c>
    </row>
    <row r="17047" spans="3:4" ht="15" x14ac:dyDescent="0.25">
      <c r="C17047" s="8" t="e">
        <f>VLOOKUP(A:A,'ITEM LIST'!A:C,3,0)</f>
        <v>#N/A</v>
      </c>
      <c r="D17047" s="6">
        <f t="shared" si="267"/>
        <v>0</v>
      </c>
    </row>
    <row r="17048" spans="3:4" ht="15" x14ac:dyDescent="0.25">
      <c r="C17048" s="8" t="e">
        <f>VLOOKUP(A:A,'ITEM LIST'!A:C,3,0)</f>
        <v>#N/A</v>
      </c>
      <c r="D17048" s="6">
        <f t="shared" si="267"/>
        <v>0</v>
      </c>
    </row>
    <row r="17049" spans="3:4" ht="15" x14ac:dyDescent="0.25">
      <c r="C17049" s="8" t="e">
        <f>VLOOKUP(A:A,'ITEM LIST'!A:C,3,0)</f>
        <v>#N/A</v>
      </c>
      <c r="D17049" s="6">
        <f t="shared" si="267"/>
        <v>0</v>
      </c>
    </row>
    <row r="17050" spans="3:4" ht="15" x14ac:dyDescent="0.25">
      <c r="C17050" s="8" t="e">
        <f>VLOOKUP(A:A,'ITEM LIST'!A:C,3,0)</f>
        <v>#N/A</v>
      </c>
      <c r="D17050" s="6">
        <f t="shared" si="267"/>
        <v>0</v>
      </c>
    </row>
    <row r="17051" spans="3:4" ht="15" x14ac:dyDescent="0.25">
      <c r="C17051" s="8" t="e">
        <f>VLOOKUP(A:A,'ITEM LIST'!A:C,3,0)</f>
        <v>#N/A</v>
      </c>
      <c r="D17051" s="6">
        <f t="shared" si="267"/>
        <v>0</v>
      </c>
    </row>
    <row r="17052" spans="3:4" ht="15" x14ac:dyDescent="0.25">
      <c r="C17052" s="8" t="e">
        <f>VLOOKUP(A:A,'ITEM LIST'!A:C,3,0)</f>
        <v>#N/A</v>
      </c>
      <c r="D17052" s="6">
        <f t="shared" si="267"/>
        <v>0</v>
      </c>
    </row>
    <row r="17053" spans="3:4" ht="15" x14ac:dyDescent="0.25">
      <c r="C17053" s="8" t="e">
        <f>VLOOKUP(A:A,'ITEM LIST'!A:C,3,0)</f>
        <v>#N/A</v>
      </c>
      <c r="D17053" s="6">
        <f t="shared" si="267"/>
        <v>0</v>
      </c>
    </row>
    <row r="17054" spans="3:4" ht="15" x14ac:dyDescent="0.25">
      <c r="C17054" s="8" t="e">
        <f>VLOOKUP(A:A,'ITEM LIST'!A:C,3,0)</f>
        <v>#N/A</v>
      </c>
      <c r="D17054" s="6">
        <f t="shared" si="267"/>
        <v>0</v>
      </c>
    </row>
    <row r="17055" spans="3:4" ht="15" x14ac:dyDescent="0.25">
      <c r="C17055" s="8" t="e">
        <f>VLOOKUP(A:A,'ITEM LIST'!A:C,3,0)</f>
        <v>#N/A</v>
      </c>
      <c r="D17055" s="6">
        <f t="shared" si="267"/>
        <v>0</v>
      </c>
    </row>
    <row r="17056" spans="3:4" ht="15" x14ac:dyDescent="0.25">
      <c r="C17056" s="8" t="e">
        <f>VLOOKUP(A:A,'ITEM LIST'!A:C,3,0)</f>
        <v>#N/A</v>
      </c>
      <c r="D17056" s="6">
        <f t="shared" si="267"/>
        <v>0</v>
      </c>
    </row>
    <row r="17057" spans="3:4" ht="15" x14ac:dyDescent="0.25">
      <c r="C17057" s="8" t="e">
        <f>VLOOKUP(A:A,'ITEM LIST'!A:C,3,0)</f>
        <v>#N/A</v>
      </c>
      <c r="D17057" s="6">
        <f t="shared" si="267"/>
        <v>0</v>
      </c>
    </row>
    <row r="17058" spans="3:4" ht="15" x14ac:dyDescent="0.25">
      <c r="C17058" s="8" t="e">
        <f>VLOOKUP(A:A,'ITEM LIST'!A:C,3,0)</f>
        <v>#N/A</v>
      </c>
      <c r="D17058" s="6">
        <f t="shared" si="267"/>
        <v>0</v>
      </c>
    </row>
    <row r="17059" spans="3:4" ht="15" x14ac:dyDescent="0.25">
      <c r="C17059" s="8" t="e">
        <f>VLOOKUP(A:A,'ITEM LIST'!A:C,3,0)</f>
        <v>#N/A</v>
      </c>
      <c r="D17059" s="6">
        <f t="shared" si="267"/>
        <v>0</v>
      </c>
    </row>
    <row r="17060" spans="3:4" ht="15" x14ac:dyDescent="0.25">
      <c r="C17060" s="8" t="e">
        <f>VLOOKUP(A:A,'ITEM LIST'!A:C,3,0)</f>
        <v>#N/A</v>
      </c>
      <c r="D17060" s="6">
        <f t="shared" si="267"/>
        <v>0</v>
      </c>
    </row>
    <row r="17061" spans="3:4" ht="15" x14ac:dyDescent="0.25">
      <c r="C17061" s="8" t="e">
        <f>VLOOKUP(A:A,'ITEM LIST'!A:C,3,0)</f>
        <v>#N/A</v>
      </c>
      <c r="D17061" s="6">
        <f t="shared" si="267"/>
        <v>0</v>
      </c>
    </row>
    <row r="17062" spans="3:4" ht="15" x14ac:dyDescent="0.25">
      <c r="C17062" s="8" t="e">
        <f>VLOOKUP(A:A,'ITEM LIST'!A:C,3,0)</f>
        <v>#N/A</v>
      </c>
      <c r="D17062" s="6">
        <f t="shared" si="267"/>
        <v>0</v>
      </c>
    </row>
    <row r="17063" spans="3:4" ht="15" x14ac:dyDescent="0.25">
      <c r="C17063" s="8" t="e">
        <f>VLOOKUP(A:A,'ITEM LIST'!A:C,3,0)</f>
        <v>#N/A</v>
      </c>
      <c r="D17063" s="6">
        <f t="shared" si="267"/>
        <v>0</v>
      </c>
    </row>
    <row r="17064" spans="3:4" ht="15" x14ac:dyDescent="0.25">
      <c r="C17064" s="8" t="e">
        <f>VLOOKUP(A:A,'ITEM LIST'!A:C,3,0)</f>
        <v>#N/A</v>
      </c>
      <c r="D17064" s="6">
        <f t="shared" si="267"/>
        <v>0</v>
      </c>
    </row>
    <row r="17065" spans="3:4" ht="15" x14ac:dyDescent="0.25">
      <c r="C17065" s="8" t="e">
        <f>VLOOKUP(A:A,'ITEM LIST'!A:C,3,0)</f>
        <v>#N/A</v>
      </c>
      <c r="D17065" s="6">
        <f t="shared" si="267"/>
        <v>0</v>
      </c>
    </row>
    <row r="17066" spans="3:4" ht="15" x14ac:dyDescent="0.25">
      <c r="C17066" s="8" t="e">
        <f>VLOOKUP(A:A,'ITEM LIST'!A:C,3,0)</f>
        <v>#N/A</v>
      </c>
      <c r="D17066" s="6">
        <f t="shared" si="267"/>
        <v>0</v>
      </c>
    </row>
    <row r="17067" spans="3:4" ht="15" x14ac:dyDescent="0.25">
      <c r="C17067" s="8" t="e">
        <f>VLOOKUP(A:A,'ITEM LIST'!A:C,3,0)</f>
        <v>#N/A</v>
      </c>
      <c r="D17067" s="6">
        <f t="shared" si="267"/>
        <v>0</v>
      </c>
    </row>
    <row r="17068" spans="3:4" ht="15" x14ac:dyDescent="0.25">
      <c r="C17068" s="8" t="e">
        <f>VLOOKUP(A:A,'ITEM LIST'!A:C,3,0)</f>
        <v>#N/A</v>
      </c>
      <c r="D17068" s="6">
        <f t="shared" si="267"/>
        <v>0</v>
      </c>
    </row>
    <row r="17069" spans="3:4" ht="15" x14ac:dyDescent="0.25">
      <c r="C17069" s="8" t="e">
        <f>VLOOKUP(A:A,'ITEM LIST'!A:C,3,0)</f>
        <v>#N/A</v>
      </c>
      <c r="D17069" s="6">
        <f t="shared" si="267"/>
        <v>0</v>
      </c>
    </row>
    <row r="17070" spans="3:4" ht="15" x14ac:dyDescent="0.25">
      <c r="C17070" s="8" t="e">
        <f>VLOOKUP(A:A,'ITEM LIST'!A:C,3,0)</f>
        <v>#N/A</v>
      </c>
      <c r="D17070" s="6">
        <f t="shared" si="267"/>
        <v>0</v>
      </c>
    </row>
    <row r="17071" spans="3:4" ht="15" x14ac:dyDescent="0.25">
      <c r="C17071" s="8" t="e">
        <f>VLOOKUP(A:A,'ITEM LIST'!A:C,3,0)</f>
        <v>#N/A</v>
      </c>
      <c r="D17071" s="6">
        <f t="shared" si="267"/>
        <v>0</v>
      </c>
    </row>
    <row r="17072" spans="3:4" ht="15" x14ac:dyDescent="0.25">
      <c r="C17072" s="8" t="e">
        <f>VLOOKUP(A:A,'ITEM LIST'!A:C,3,0)</f>
        <v>#N/A</v>
      </c>
      <c r="D17072" s="6">
        <f t="shared" si="267"/>
        <v>0</v>
      </c>
    </row>
    <row r="17073" spans="3:4" ht="15" x14ac:dyDescent="0.25">
      <c r="C17073" s="8" t="e">
        <f>VLOOKUP(A:A,'ITEM LIST'!A:C,3,0)</f>
        <v>#N/A</v>
      </c>
      <c r="D17073" s="6">
        <f t="shared" si="267"/>
        <v>0</v>
      </c>
    </row>
    <row r="17074" spans="3:4" ht="15" x14ac:dyDescent="0.25">
      <c r="C17074" s="8" t="e">
        <f>VLOOKUP(A:A,'ITEM LIST'!A:C,3,0)</f>
        <v>#N/A</v>
      </c>
      <c r="D17074" s="6">
        <f t="shared" si="267"/>
        <v>0</v>
      </c>
    </row>
    <row r="17075" spans="3:4" ht="15" x14ac:dyDescent="0.25">
      <c r="C17075" s="8" t="e">
        <f>VLOOKUP(A:A,'ITEM LIST'!A:C,3,0)</f>
        <v>#N/A</v>
      </c>
      <c r="D17075" s="6">
        <f t="shared" si="267"/>
        <v>0</v>
      </c>
    </row>
    <row r="17076" spans="3:4" ht="15" x14ac:dyDescent="0.25">
      <c r="C17076" s="8" t="e">
        <f>VLOOKUP(A:A,'ITEM LIST'!A:C,3,0)</f>
        <v>#N/A</v>
      </c>
      <c r="D17076" s="6">
        <f t="shared" si="267"/>
        <v>0</v>
      </c>
    </row>
    <row r="17077" spans="3:4" ht="15" x14ac:dyDescent="0.25">
      <c r="C17077" s="8" t="e">
        <f>VLOOKUP(A:A,'ITEM LIST'!A:C,3,0)</f>
        <v>#N/A</v>
      </c>
      <c r="D17077" s="6">
        <f t="shared" si="267"/>
        <v>0</v>
      </c>
    </row>
    <row r="17078" spans="3:4" ht="15" x14ac:dyDescent="0.25">
      <c r="C17078" s="8" t="e">
        <f>VLOOKUP(A:A,'ITEM LIST'!A:C,3,0)</f>
        <v>#N/A</v>
      </c>
      <c r="D17078" s="6">
        <f t="shared" si="267"/>
        <v>0</v>
      </c>
    </row>
    <row r="17079" spans="3:4" ht="15" x14ac:dyDescent="0.25">
      <c r="C17079" s="8" t="e">
        <f>VLOOKUP(A:A,'ITEM LIST'!A:C,3,0)</f>
        <v>#N/A</v>
      </c>
      <c r="D17079" s="6">
        <f t="shared" si="267"/>
        <v>0</v>
      </c>
    </row>
    <row r="17080" spans="3:4" ht="15" x14ac:dyDescent="0.25">
      <c r="C17080" s="8" t="e">
        <f>VLOOKUP(A:A,'ITEM LIST'!A:C,3,0)</f>
        <v>#N/A</v>
      </c>
      <c r="D17080" s="6">
        <f t="shared" si="267"/>
        <v>0</v>
      </c>
    </row>
    <row r="17081" spans="3:4" ht="15" x14ac:dyDescent="0.25">
      <c r="C17081" s="8" t="e">
        <f>VLOOKUP(A:A,'ITEM LIST'!A:C,3,0)</f>
        <v>#N/A</v>
      </c>
      <c r="D17081" s="6">
        <f t="shared" si="267"/>
        <v>0</v>
      </c>
    </row>
    <row r="17082" spans="3:4" ht="15" x14ac:dyDescent="0.25">
      <c r="C17082" s="8" t="e">
        <f>VLOOKUP(A:A,'ITEM LIST'!A:C,3,0)</f>
        <v>#N/A</v>
      </c>
      <c r="D17082" s="6">
        <f t="shared" si="267"/>
        <v>0</v>
      </c>
    </row>
    <row r="17083" spans="3:4" ht="15" x14ac:dyDescent="0.25">
      <c r="C17083" s="8" t="e">
        <f>VLOOKUP(A:A,'ITEM LIST'!A:C,3,0)</f>
        <v>#N/A</v>
      </c>
      <c r="D17083" s="6">
        <f t="shared" si="267"/>
        <v>0</v>
      </c>
    </row>
    <row r="17084" spans="3:4" ht="15" x14ac:dyDescent="0.25">
      <c r="C17084" s="8" t="e">
        <f>VLOOKUP(A:A,'ITEM LIST'!A:C,3,0)</f>
        <v>#N/A</v>
      </c>
      <c r="D17084" s="6">
        <f t="shared" si="267"/>
        <v>0</v>
      </c>
    </row>
    <row r="17085" spans="3:4" ht="15" x14ac:dyDescent="0.25">
      <c r="C17085" s="8" t="e">
        <f>VLOOKUP(A:A,'ITEM LIST'!A:C,3,0)</f>
        <v>#N/A</v>
      </c>
      <c r="D17085" s="6">
        <f t="shared" si="267"/>
        <v>0</v>
      </c>
    </row>
    <row r="17086" spans="3:4" ht="15" x14ac:dyDescent="0.25">
      <c r="C17086" s="8" t="e">
        <f>VLOOKUP(A:A,'ITEM LIST'!A:C,3,0)</f>
        <v>#N/A</v>
      </c>
      <c r="D17086" s="6">
        <f t="shared" si="267"/>
        <v>0</v>
      </c>
    </row>
    <row r="17087" spans="3:4" ht="15" x14ac:dyDescent="0.25">
      <c r="C17087" s="8" t="e">
        <f>VLOOKUP(A:A,'ITEM LIST'!A:C,3,0)</f>
        <v>#N/A</v>
      </c>
      <c r="D17087" s="6">
        <f t="shared" si="267"/>
        <v>0</v>
      </c>
    </row>
    <row r="17088" spans="3:4" ht="15" x14ac:dyDescent="0.25">
      <c r="C17088" s="8" t="e">
        <f>VLOOKUP(A:A,'ITEM LIST'!A:C,3,0)</f>
        <v>#N/A</v>
      </c>
      <c r="D17088" s="6">
        <f t="shared" si="267"/>
        <v>0</v>
      </c>
    </row>
    <row r="17089" spans="3:4" ht="15" x14ac:dyDescent="0.25">
      <c r="C17089" s="8" t="e">
        <f>VLOOKUP(A:A,'ITEM LIST'!A:C,3,0)</f>
        <v>#N/A</v>
      </c>
      <c r="D17089" s="6">
        <f t="shared" si="267"/>
        <v>0</v>
      </c>
    </row>
    <row r="17090" spans="3:4" ht="15" x14ac:dyDescent="0.25">
      <c r="C17090" s="8" t="e">
        <f>VLOOKUP(A:A,'ITEM LIST'!A:C,3,0)</f>
        <v>#N/A</v>
      </c>
      <c r="D17090" s="6">
        <f t="shared" si="267"/>
        <v>0</v>
      </c>
    </row>
    <row r="17091" spans="3:4" ht="15" x14ac:dyDescent="0.25">
      <c r="C17091" s="8" t="e">
        <f>VLOOKUP(A:A,'ITEM LIST'!A:C,3,0)</f>
        <v>#N/A</v>
      </c>
      <c r="D17091" s="6">
        <f t="shared" si="267"/>
        <v>0</v>
      </c>
    </row>
    <row r="17092" spans="3:4" ht="15" x14ac:dyDescent="0.25">
      <c r="C17092" s="8" t="e">
        <f>VLOOKUP(A:A,'ITEM LIST'!A:C,3,0)</f>
        <v>#N/A</v>
      </c>
      <c r="D17092" s="6">
        <f t="shared" si="267"/>
        <v>0</v>
      </c>
    </row>
    <row r="17093" spans="3:4" ht="15" x14ac:dyDescent="0.25">
      <c r="C17093" s="8" t="e">
        <f>VLOOKUP(A:A,'ITEM LIST'!A:C,3,0)</f>
        <v>#N/A</v>
      </c>
      <c r="D17093" s="6">
        <f t="shared" si="267"/>
        <v>0</v>
      </c>
    </row>
    <row r="17094" spans="3:4" ht="15" x14ac:dyDescent="0.25">
      <c r="C17094" s="8" t="e">
        <f>VLOOKUP(A:A,'ITEM LIST'!A:C,3,0)</f>
        <v>#N/A</v>
      </c>
      <c r="D17094" s="6">
        <f t="shared" ref="D17094:D17157" si="268">B17094</f>
        <v>0</v>
      </c>
    </row>
    <row r="17095" spans="3:4" ht="15" x14ac:dyDescent="0.25">
      <c r="C17095" s="8" t="e">
        <f>VLOOKUP(A:A,'ITEM LIST'!A:C,3,0)</f>
        <v>#N/A</v>
      </c>
      <c r="D17095" s="6">
        <f t="shared" si="268"/>
        <v>0</v>
      </c>
    </row>
    <row r="17096" spans="3:4" ht="15" x14ac:dyDescent="0.25">
      <c r="C17096" s="8" t="e">
        <f>VLOOKUP(A:A,'ITEM LIST'!A:C,3,0)</f>
        <v>#N/A</v>
      </c>
      <c r="D17096" s="6">
        <f t="shared" si="268"/>
        <v>0</v>
      </c>
    </row>
    <row r="17097" spans="3:4" ht="15" x14ac:dyDescent="0.25">
      <c r="C17097" s="8" t="e">
        <f>VLOOKUP(A:A,'ITEM LIST'!A:C,3,0)</f>
        <v>#N/A</v>
      </c>
      <c r="D17097" s="6">
        <f t="shared" si="268"/>
        <v>0</v>
      </c>
    </row>
    <row r="17098" spans="3:4" ht="15" x14ac:dyDescent="0.25">
      <c r="C17098" s="8" t="e">
        <f>VLOOKUP(A:A,'ITEM LIST'!A:C,3,0)</f>
        <v>#N/A</v>
      </c>
      <c r="D17098" s="6">
        <f t="shared" si="268"/>
        <v>0</v>
      </c>
    </row>
    <row r="17099" spans="3:4" ht="15" x14ac:dyDescent="0.25">
      <c r="C17099" s="8" t="e">
        <f>VLOOKUP(A:A,'ITEM LIST'!A:C,3,0)</f>
        <v>#N/A</v>
      </c>
      <c r="D17099" s="6">
        <f t="shared" si="268"/>
        <v>0</v>
      </c>
    </row>
    <row r="17100" spans="3:4" ht="15" x14ac:dyDescent="0.25">
      <c r="C17100" s="8" t="e">
        <f>VLOOKUP(A:A,'ITEM LIST'!A:C,3,0)</f>
        <v>#N/A</v>
      </c>
      <c r="D17100" s="6">
        <f t="shared" si="268"/>
        <v>0</v>
      </c>
    </row>
    <row r="17101" spans="3:4" ht="15" x14ac:dyDescent="0.25">
      <c r="C17101" s="8" t="e">
        <f>VLOOKUP(A:A,'ITEM LIST'!A:C,3,0)</f>
        <v>#N/A</v>
      </c>
      <c r="D17101" s="6">
        <f t="shared" si="268"/>
        <v>0</v>
      </c>
    </row>
    <row r="17102" spans="3:4" ht="15" x14ac:dyDescent="0.25">
      <c r="C17102" s="8" t="e">
        <f>VLOOKUP(A:A,'ITEM LIST'!A:C,3,0)</f>
        <v>#N/A</v>
      </c>
      <c r="D17102" s="6">
        <f t="shared" si="268"/>
        <v>0</v>
      </c>
    </row>
    <row r="17103" spans="3:4" ht="15" x14ac:dyDescent="0.25">
      <c r="C17103" s="8" t="e">
        <f>VLOOKUP(A:A,'ITEM LIST'!A:C,3,0)</f>
        <v>#N/A</v>
      </c>
      <c r="D17103" s="6">
        <f t="shared" si="268"/>
        <v>0</v>
      </c>
    </row>
    <row r="17104" spans="3:4" ht="15" x14ac:dyDescent="0.25">
      <c r="C17104" s="8" t="e">
        <f>VLOOKUP(A:A,'ITEM LIST'!A:C,3,0)</f>
        <v>#N/A</v>
      </c>
      <c r="D17104" s="6">
        <f t="shared" si="268"/>
        <v>0</v>
      </c>
    </row>
    <row r="17105" spans="3:4" ht="15" x14ac:dyDescent="0.25">
      <c r="C17105" s="8" t="e">
        <f>VLOOKUP(A:A,'ITEM LIST'!A:C,3,0)</f>
        <v>#N/A</v>
      </c>
      <c r="D17105" s="6">
        <f t="shared" si="268"/>
        <v>0</v>
      </c>
    </row>
    <row r="17106" spans="3:4" ht="15" x14ac:dyDescent="0.25">
      <c r="C17106" s="8" t="e">
        <f>VLOOKUP(A:A,'ITEM LIST'!A:C,3,0)</f>
        <v>#N/A</v>
      </c>
      <c r="D17106" s="6">
        <f t="shared" si="268"/>
        <v>0</v>
      </c>
    </row>
    <row r="17107" spans="3:4" ht="15" x14ac:dyDescent="0.25">
      <c r="C17107" s="8" t="e">
        <f>VLOOKUP(A:A,'ITEM LIST'!A:C,3,0)</f>
        <v>#N/A</v>
      </c>
      <c r="D17107" s="6">
        <f t="shared" si="268"/>
        <v>0</v>
      </c>
    </row>
    <row r="17108" spans="3:4" ht="15" x14ac:dyDescent="0.25">
      <c r="C17108" s="8" t="e">
        <f>VLOOKUP(A:A,'ITEM LIST'!A:C,3,0)</f>
        <v>#N/A</v>
      </c>
      <c r="D17108" s="6">
        <f t="shared" si="268"/>
        <v>0</v>
      </c>
    </row>
    <row r="17109" spans="3:4" ht="15" x14ac:dyDescent="0.25">
      <c r="C17109" s="8" t="e">
        <f>VLOOKUP(A:A,'ITEM LIST'!A:C,3,0)</f>
        <v>#N/A</v>
      </c>
      <c r="D17109" s="6">
        <f t="shared" si="268"/>
        <v>0</v>
      </c>
    </row>
    <row r="17110" spans="3:4" ht="15" x14ac:dyDescent="0.25">
      <c r="C17110" s="8" t="e">
        <f>VLOOKUP(A:A,'ITEM LIST'!A:C,3,0)</f>
        <v>#N/A</v>
      </c>
      <c r="D17110" s="6">
        <f t="shared" si="268"/>
        <v>0</v>
      </c>
    </row>
    <row r="17111" spans="3:4" ht="15" x14ac:dyDescent="0.25">
      <c r="C17111" s="8" t="e">
        <f>VLOOKUP(A:A,'ITEM LIST'!A:C,3,0)</f>
        <v>#N/A</v>
      </c>
      <c r="D17111" s="6">
        <f t="shared" si="268"/>
        <v>0</v>
      </c>
    </row>
    <row r="17112" spans="3:4" ht="15" x14ac:dyDescent="0.25">
      <c r="C17112" s="8" t="e">
        <f>VLOOKUP(A:A,'ITEM LIST'!A:C,3,0)</f>
        <v>#N/A</v>
      </c>
      <c r="D17112" s="6">
        <f t="shared" si="268"/>
        <v>0</v>
      </c>
    </row>
    <row r="17113" spans="3:4" ht="15" x14ac:dyDescent="0.25">
      <c r="C17113" s="8" t="e">
        <f>VLOOKUP(A:A,'ITEM LIST'!A:C,3,0)</f>
        <v>#N/A</v>
      </c>
      <c r="D17113" s="6">
        <f t="shared" si="268"/>
        <v>0</v>
      </c>
    </row>
    <row r="17114" spans="3:4" ht="15" x14ac:dyDescent="0.25">
      <c r="C17114" s="8" t="e">
        <f>VLOOKUP(A:A,'ITEM LIST'!A:C,3,0)</f>
        <v>#N/A</v>
      </c>
      <c r="D17114" s="6">
        <f t="shared" si="268"/>
        <v>0</v>
      </c>
    </row>
    <row r="17115" spans="3:4" ht="15" x14ac:dyDescent="0.25">
      <c r="C17115" s="8" t="e">
        <f>VLOOKUP(A:A,'ITEM LIST'!A:C,3,0)</f>
        <v>#N/A</v>
      </c>
      <c r="D17115" s="6">
        <f t="shared" si="268"/>
        <v>0</v>
      </c>
    </row>
    <row r="17116" spans="3:4" ht="15" x14ac:dyDescent="0.25">
      <c r="C17116" s="8" t="e">
        <f>VLOOKUP(A:A,'ITEM LIST'!A:C,3,0)</f>
        <v>#N/A</v>
      </c>
      <c r="D17116" s="6">
        <f t="shared" si="268"/>
        <v>0</v>
      </c>
    </row>
    <row r="17117" spans="3:4" ht="15" x14ac:dyDescent="0.25">
      <c r="C17117" s="8" t="e">
        <f>VLOOKUP(A:A,'ITEM LIST'!A:C,3,0)</f>
        <v>#N/A</v>
      </c>
      <c r="D17117" s="6">
        <f t="shared" si="268"/>
        <v>0</v>
      </c>
    </row>
    <row r="17118" spans="3:4" ht="15" x14ac:dyDescent="0.25">
      <c r="C17118" s="8" t="e">
        <f>VLOOKUP(A:A,'ITEM LIST'!A:C,3,0)</f>
        <v>#N/A</v>
      </c>
      <c r="D17118" s="6">
        <f t="shared" si="268"/>
        <v>0</v>
      </c>
    </row>
    <row r="17119" spans="3:4" ht="15" x14ac:dyDescent="0.25">
      <c r="C17119" s="8" t="e">
        <f>VLOOKUP(A:A,'ITEM LIST'!A:C,3,0)</f>
        <v>#N/A</v>
      </c>
      <c r="D17119" s="6">
        <f t="shared" si="268"/>
        <v>0</v>
      </c>
    </row>
    <row r="17120" spans="3:4" ht="15" x14ac:dyDescent="0.25">
      <c r="C17120" s="8" t="e">
        <f>VLOOKUP(A:A,'ITEM LIST'!A:C,3,0)</f>
        <v>#N/A</v>
      </c>
      <c r="D17120" s="6">
        <f t="shared" si="268"/>
        <v>0</v>
      </c>
    </row>
    <row r="17121" spans="3:4" ht="15" x14ac:dyDescent="0.25">
      <c r="C17121" s="8" t="e">
        <f>VLOOKUP(A:A,'ITEM LIST'!A:C,3,0)</f>
        <v>#N/A</v>
      </c>
      <c r="D17121" s="6">
        <f t="shared" si="268"/>
        <v>0</v>
      </c>
    </row>
    <row r="17122" spans="3:4" ht="15" x14ac:dyDescent="0.25">
      <c r="C17122" s="8" t="e">
        <f>VLOOKUP(A:A,'ITEM LIST'!A:C,3,0)</f>
        <v>#N/A</v>
      </c>
      <c r="D17122" s="6">
        <f t="shared" si="268"/>
        <v>0</v>
      </c>
    </row>
    <row r="17123" spans="3:4" ht="15" x14ac:dyDescent="0.25">
      <c r="C17123" s="8" t="e">
        <f>VLOOKUP(A:A,'ITEM LIST'!A:C,3,0)</f>
        <v>#N/A</v>
      </c>
      <c r="D17123" s="6">
        <f t="shared" si="268"/>
        <v>0</v>
      </c>
    </row>
    <row r="17124" spans="3:4" ht="15" x14ac:dyDescent="0.25">
      <c r="C17124" s="8" t="e">
        <f>VLOOKUP(A:A,'ITEM LIST'!A:C,3,0)</f>
        <v>#N/A</v>
      </c>
      <c r="D17124" s="6">
        <f t="shared" si="268"/>
        <v>0</v>
      </c>
    </row>
    <row r="17125" spans="3:4" ht="15" x14ac:dyDescent="0.25">
      <c r="C17125" s="8" t="e">
        <f>VLOOKUP(A:A,'ITEM LIST'!A:C,3,0)</f>
        <v>#N/A</v>
      </c>
      <c r="D17125" s="6">
        <f t="shared" si="268"/>
        <v>0</v>
      </c>
    </row>
    <row r="17126" spans="3:4" ht="15" x14ac:dyDescent="0.25">
      <c r="C17126" s="8" t="e">
        <f>VLOOKUP(A:A,'ITEM LIST'!A:C,3,0)</f>
        <v>#N/A</v>
      </c>
      <c r="D17126" s="6">
        <f t="shared" si="268"/>
        <v>0</v>
      </c>
    </row>
    <row r="17127" spans="3:4" ht="15" x14ac:dyDescent="0.25">
      <c r="C17127" s="8" t="e">
        <f>VLOOKUP(A:A,'ITEM LIST'!A:C,3,0)</f>
        <v>#N/A</v>
      </c>
      <c r="D17127" s="6">
        <f t="shared" si="268"/>
        <v>0</v>
      </c>
    </row>
    <row r="17128" spans="3:4" ht="15" x14ac:dyDescent="0.25">
      <c r="C17128" s="8" t="e">
        <f>VLOOKUP(A:A,'ITEM LIST'!A:C,3,0)</f>
        <v>#N/A</v>
      </c>
      <c r="D17128" s="6">
        <f t="shared" si="268"/>
        <v>0</v>
      </c>
    </row>
    <row r="17129" spans="3:4" ht="15" x14ac:dyDescent="0.25">
      <c r="C17129" s="8" t="e">
        <f>VLOOKUP(A:A,'ITEM LIST'!A:C,3,0)</f>
        <v>#N/A</v>
      </c>
      <c r="D17129" s="6">
        <f t="shared" si="268"/>
        <v>0</v>
      </c>
    </row>
    <row r="17130" spans="3:4" ht="15" x14ac:dyDescent="0.25">
      <c r="C17130" s="8" t="e">
        <f>VLOOKUP(A:A,'ITEM LIST'!A:C,3,0)</f>
        <v>#N/A</v>
      </c>
      <c r="D17130" s="6">
        <f t="shared" si="268"/>
        <v>0</v>
      </c>
    </row>
    <row r="17131" spans="3:4" ht="15" x14ac:dyDescent="0.25">
      <c r="C17131" s="8" t="e">
        <f>VLOOKUP(A:A,'ITEM LIST'!A:C,3,0)</f>
        <v>#N/A</v>
      </c>
      <c r="D17131" s="6">
        <f t="shared" si="268"/>
        <v>0</v>
      </c>
    </row>
    <row r="17132" spans="3:4" ht="15" x14ac:dyDescent="0.25">
      <c r="C17132" s="8" t="e">
        <f>VLOOKUP(A:A,'ITEM LIST'!A:C,3,0)</f>
        <v>#N/A</v>
      </c>
      <c r="D17132" s="6">
        <f t="shared" si="268"/>
        <v>0</v>
      </c>
    </row>
    <row r="17133" spans="3:4" ht="15" x14ac:dyDescent="0.25">
      <c r="C17133" s="8" t="e">
        <f>VLOOKUP(A:A,'ITEM LIST'!A:C,3,0)</f>
        <v>#N/A</v>
      </c>
      <c r="D17133" s="6">
        <f t="shared" si="268"/>
        <v>0</v>
      </c>
    </row>
    <row r="17134" spans="3:4" ht="15" x14ac:dyDescent="0.25">
      <c r="C17134" s="8" t="e">
        <f>VLOOKUP(A:A,'ITEM LIST'!A:C,3,0)</f>
        <v>#N/A</v>
      </c>
      <c r="D17134" s="6">
        <f t="shared" si="268"/>
        <v>0</v>
      </c>
    </row>
    <row r="17135" spans="3:4" ht="15" x14ac:dyDescent="0.25">
      <c r="C17135" s="8" t="e">
        <f>VLOOKUP(A:A,'ITEM LIST'!A:C,3,0)</f>
        <v>#N/A</v>
      </c>
      <c r="D17135" s="6">
        <f t="shared" si="268"/>
        <v>0</v>
      </c>
    </row>
    <row r="17136" spans="3:4" ht="15" x14ac:dyDescent="0.25">
      <c r="C17136" s="8" t="e">
        <f>VLOOKUP(A:A,'ITEM LIST'!A:C,3,0)</f>
        <v>#N/A</v>
      </c>
      <c r="D17136" s="6">
        <f t="shared" si="268"/>
        <v>0</v>
      </c>
    </row>
    <row r="17137" spans="3:4" ht="15" x14ac:dyDescent="0.25">
      <c r="C17137" s="8" t="e">
        <f>VLOOKUP(A:A,'ITEM LIST'!A:C,3,0)</f>
        <v>#N/A</v>
      </c>
      <c r="D17137" s="6">
        <f t="shared" si="268"/>
        <v>0</v>
      </c>
    </row>
    <row r="17138" spans="3:4" ht="15" x14ac:dyDescent="0.25">
      <c r="C17138" s="8" t="e">
        <f>VLOOKUP(A:A,'ITEM LIST'!A:C,3,0)</f>
        <v>#N/A</v>
      </c>
      <c r="D17138" s="6">
        <f t="shared" si="268"/>
        <v>0</v>
      </c>
    </row>
    <row r="17139" spans="3:4" ht="15" x14ac:dyDescent="0.25">
      <c r="C17139" s="8" t="e">
        <f>VLOOKUP(A:A,'ITEM LIST'!A:C,3,0)</f>
        <v>#N/A</v>
      </c>
      <c r="D17139" s="6">
        <f t="shared" si="268"/>
        <v>0</v>
      </c>
    </row>
    <row r="17140" spans="3:4" ht="15" x14ac:dyDescent="0.25">
      <c r="C17140" s="8" t="e">
        <f>VLOOKUP(A:A,'ITEM LIST'!A:C,3,0)</f>
        <v>#N/A</v>
      </c>
      <c r="D17140" s="6">
        <f t="shared" si="268"/>
        <v>0</v>
      </c>
    </row>
    <row r="17141" spans="3:4" ht="15" x14ac:dyDescent="0.25">
      <c r="C17141" s="8" t="e">
        <f>VLOOKUP(A:A,'ITEM LIST'!A:C,3,0)</f>
        <v>#N/A</v>
      </c>
      <c r="D17141" s="6">
        <f t="shared" si="268"/>
        <v>0</v>
      </c>
    </row>
    <row r="17142" spans="3:4" ht="15" x14ac:dyDescent="0.25">
      <c r="C17142" s="8" t="e">
        <f>VLOOKUP(A:A,'ITEM LIST'!A:C,3,0)</f>
        <v>#N/A</v>
      </c>
      <c r="D17142" s="6">
        <f t="shared" si="268"/>
        <v>0</v>
      </c>
    </row>
    <row r="17143" spans="3:4" ht="15" x14ac:dyDescent="0.25">
      <c r="C17143" s="8" t="e">
        <f>VLOOKUP(A:A,'ITEM LIST'!A:C,3,0)</f>
        <v>#N/A</v>
      </c>
      <c r="D17143" s="6">
        <f t="shared" si="268"/>
        <v>0</v>
      </c>
    </row>
    <row r="17144" spans="3:4" ht="15" x14ac:dyDescent="0.25">
      <c r="C17144" s="8" t="e">
        <f>VLOOKUP(A:A,'ITEM LIST'!A:C,3,0)</f>
        <v>#N/A</v>
      </c>
      <c r="D17144" s="6">
        <f t="shared" si="268"/>
        <v>0</v>
      </c>
    </row>
    <row r="17145" spans="3:4" ht="15" x14ac:dyDescent="0.25">
      <c r="C17145" s="8" t="e">
        <f>VLOOKUP(A:A,'ITEM LIST'!A:C,3,0)</f>
        <v>#N/A</v>
      </c>
      <c r="D17145" s="6">
        <f t="shared" si="268"/>
        <v>0</v>
      </c>
    </row>
    <row r="17146" spans="3:4" ht="15" x14ac:dyDescent="0.25">
      <c r="C17146" s="8" t="e">
        <f>VLOOKUP(A:A,'ITEM LIST'!A:C,3,0)</f>
        <v>#N/A</v>
      </c>
      <c r="D17146" s="6">
        <f t="shared" si="268"/>
        <v>0</v>
      </c>
    </row>
    <row r="17147" spans="3:4" ht="15" x14ac:dyDescent="0.25">
      <c r="C17147" s="8" t="e">
        <f>VLOOKUP(A:A,'ITEM LIST'!A:C,3,0)</f>
        <v>#N/A</v>
      </c>
      <c r="D17147" s="6">
        <f t="shared" si="268"/>
        <v>0</v>
      </c>
    </row>
    <row r="17148" spans="3:4" ht="15" x14ac:dyDescent="0.25">
      <c r="C17148" s="8" t="e">
        <f>VLOOKUP(A:A,'ITEM LIST'!A:C,3,0)</f>
        <v>#N/A</v>
      </c>
      <c r="D17148" s="6">
        <f t="shared" si="268"/>
        <v>0</v>
      </c>
    </row>
    <row r="17149" spans="3:4" ht="15" x14ac:dyDescent="0.25">
      <c r="C17149" s="8" t="e">
        <f>VLOOKUP(A:A,'ITEM LIST'!A:C,3,0)</f>
        <v>#N/A</v>
      </c>
      <c r="D17149" s="6">
        <f t="shared" si="268"/>
        <v>0</v>
      </c>
    </row>
    <row r="17150" spans="3:4" ht="15" x14ac:dyDescent="0.25">
      <c r="C17150" s="8" t="e">
        <f>VLOOKUP(A:A,'ITEM LIST'!A:C,3,0)</f>
        <v>#N/A</v>
      </c>
      <c r="D17150" s="6">
        <f t="shared" si="268"/>
        <v>0</v>
      </c>
    </row>
    <row r="17151" spans="3:4" ht="15" x14ac:dyDescent="0.25">
      <c r="C17151" s="8" t="e">
        <f>VLOOKUP(A:A,'ITEM LIST'!A:C,3,0)</f>
        <v>#N/A</v>
      </c>
      <c r="D17151" s="6">
        <f t="shared" si="268"/>
        <v>0</v>
      </c>
    </row>
    <row r="17152" spans="3:4" ht="15" x14ac:dyDescent="0.25">
      <c r="C17152" s="8" t="e">
        <f>VLOOKUP(A:A,'ITEM LIST'!A:C,3,0)</f>
        <v>#N/A</v>
      </c>
      <c r="D17152" s="6">
        <f t="shared" si="268"/>
        <v>0</v>
      </c>
    </row>
    <row r="17153" spans="3:4" ht="15" x14ac:dyDescent="0.25">
      <c r="C17153" s="8" t="e">
        <f>VLOOKUP(A:A,'ITEM LIST'!A:C,3,0)</f>
        <v>#N/A</v>
      </c>
      <c r="D17153" s="6">
        <f t="shared" si="268"/>
        <v>0</v>
      </c>
    </row>
    <row r="17154" spans="3:4" ht="15" x14ac:dyDescent="0.25">
      <c r="C17154" s="8" t="e">
        <f>VLOOKUP(A:A,'ITEM LIST'!A:C,3,0)</f>
        <v>#N/A</v>
      </c>
      <c r="D17154" s="6">
        <f t="shared" si="268"/>
        <v>0</v>
      </c>
    </row>
    <row r="17155" spans="3:4" ht="15" x14ac:dyDescent="0.25">
      <c r="C17155" s="8" t="e">
        <f>VLOOKUP(A:A,'ITEM LIST'!A:C,3,0)</f>
        <v>#N/A</v>
      </c>
      <c r="D17155" s="6">
        <f t="shared" si="268"/>
        <v>0</v>
      </c>
    </row>
    <row r="17156" spans="3:4" ht="15" x14ac:dyDescent="0.25">
      <c r="C17156" s="8" t="e">
        <f>VLOOKUP(A:A,'ITEM LIST'!A:C,3,0)</f>
        <v>#N/A</v>
      </c>
      <c r="D17156" s="6">
        <f t="shared" si="268"/>
        <v>0</v>
      </c>
    </row>
    <row r="17157" spans="3:4" ht="15" x14ac:dyDescent="0.25">
      <c r="C17157" s="8" t="e">
        <f>VLOOKUP(A:A,'ITEM LIST'!A:C,3,0)</f>
        <v>#N/A</v>
      </c>
      <c r="D17157" s="6">
        <f t="shared" si="268"/>
        <v>0</v>
      </c>
    </row>
    <row r="17158" spans="3:4" ht="15" x14ac:dyDescent="0.25">
      <c r="C17158" s="8" t="e">
        <f>VLOOKUP(A:A,'ITEM LIST'!A:C,3,0)</f>
        <v>#N/A</v>
      </c>
      <c r="D17158" s="6">
        <f t="shared" ref="D17158:D17221" si="269">B17158</f>
        <v>0</v>
      </c>
    </row>
    <row r="17159" spans="3:4" ht="15" x14ac:dyDescent="0.25">
      <c r="C17159" s="8" t="e">
        <f>VLOOKUP(A:A,'ITEM LIST'!A:C,3,0)</f>
        <v>#N/A</v>
      </c>
      <c r="D17159" s="6">
        <f t="shared" si="269"/>
        <v>0</v>
      </c>
    </row>
    <row r="17160" spans="3:4" ht="15" x14ac:dyDescent="0.25">
      <c r="C17160" s="8" t="e">
        <f>VLOOKUP(A:A,'ITEM LIST'!A:C,3,0)</f>
        <v>#N/A</v>
      </c>
      <c r="D17160" s="6">
        <f t="shared" si="269"/>
        <v>0</v>
      </c>
    </row>
    <row r="17161" spans="3:4" ht="15" x14ac:dyDescent="0.25">
      <c r="C17161" s="8" t="e">
        <f>VLOOKUP(A:A,'ITEM LIST'!A:C,3,0)</f>
        <v>#N/A</v>
      </c>
      <c r="D17161" s="6">
        <f t="shared" si="269"/>
        <v>0</v>
      </c>
    </row>
    <row r="17162" spans="3:4" ht="15" x14ac:dyDescent="0.25">
      <c r="C17162" s="8" t="e">
        <f>VLOOKUP(A:A,'ITEM LIST'!A:C,3,0)</f>
        <v>#N/A</v>
      </c>
      <c r="D17162" s="6">
        <f t="shared" si="269"/>
        <v>0</v>
      </c>
    </row>
    <row r="17163" spans="3:4" ht="15" x14ac:dyDescent="0.25">
      <c r="C17163" s="8" t="e">
        <f>VLOOKUP(A:A,'ITEM LIST'!A:C,3,0)</f>
        <v>#N/A</v>
      </c>
      <c r="D17163" s="6">
        <f t="shared" si="269"/>
        <v>0</v>
      </c>
    </row>
    <row r="17164" spans="3:4" ht="15" x14ac:dyDescent="0.25">
      <c r="C17164" s="8" t="e">
        <f>VLOOKUP(A:A,'ITEM LIST'!A:C,3,0)</f>
        <v>#N/A</v>
      </c>
      <c r="D17164" s="6">
        <f t="shared" si="269"/>
        <v>0</v>
      </c>
    </row>
    <row r="17165" spans="3:4" ht="15" x14ac:dyDescent="0.25">
      <c r="C17165" s="8" t="e">
        <f>VLOOKUP(A:A,'ITEM LIST'!A:C,3,0)</f>
        <v>#N/A</v>
      </c>
      <c r="D17165" s="6">
        <f t="shared" si="269"/>
        <v>0</v>
      </c>
    </row>
    <row r="17166" spans="3:4" ht="15" x14ac:dyDescent="0.25">
      <c r="C17166" s="8" t="e">
        <f>VLOOKUP(A:A,'ITEM LIST'!A:C,3,0)</f>
        <v>#N/A</v>
      </c>
      <c r="D17166" s="6">
        <f t="shared" si="269"/>
        <v>0</v>
      </c>
    </row>
    <row r="17167" spans="3:4" ht="15" x14ac:dyDescent="0.25">
      <c r="C17167" s="8" t="e">
        <f>VLOOKUP(A:A,'ITEM LIST'!A:C,3,0)</f>
        <v>#N/A</v>
      </c>
      <c r="D17167" s="6">
        <f t="shared" si="269"/>
        <v>0</v>
      </c>
    </row>
    <row r="17168" spans="3:4" ht="15" x14ac:dyDescent="0.25">
      <c r="C17168" s="8" t="e">
        <f>VLOOKUP(A:A,'ITEM LIST'!A:C,3,0)</f>
        <v>#N/A</v>
      </c>
      <c r="D17168" s="6">
        <f t="shared" si="269"/>
        <v>0</v>
      </c>
    </row>
    <row r="17169" spans="3:4" ht="15" x14ac:dyDescent="0.25">
      <c r="C17169" s="8" t="e">
        <f>VLOOKUP(A:A,'ITEM LIST'!A:C,3,0)</f>
        <v>#N/A</v>
      </c>
      <c r="D17169" s="6">
        <f t="shared" si="269"/>
        <v>0</v>
      </c>
    </row>
    <row r="17170" spans="3:4" ht="15" x14ac:dyDescent="0.25">
      <c r="C17170" s="8" t="e">
        <f>VLOOKUP(A:A,'ITEM LIST'!A:C,3,0)</f>
        <v>#N/A</v>
      </c>
      <c r="D17170" s="6">
        <f t="shared" si="269"/>
        <v>0</v>
      </c>
    </row>
    <row r="17171" spans="3:4" ht="15" x14ac:dyDescent="0.25">
      <c r="C17171" s="8" t="e">
        <f>VLOOKUP(A:A,'ITEM LIST'!A:C,3,0)</f>
        <v>#N/A</v>
      </c>
      <c r="D17171" s="6">
        <f t="shared" si="269"/>
        <v>0</v>
      </c>
    </row>
    <row r="17172" spans="3:4" ht="15" x14ac:dyDescent="0.25">
      <c r="C17172" s="8" t="e">
        <f>VLOOKUP(A:A,'ITEM LIST'!A:C,3,0)</f>
        <v>#N/A</v>
      </c>
      <c r="D17172" s="6">
        <f t="shared" si="269"/>
        <v>0</v>
      </c>
    </row>
    <row r="17173" spans="3:4" ht="15" x14ac:dyDescent="0.25">
      <c r="C17173" s="8" t="e">
        <f>VLOOKUP(A:A,'ITEM LIST'!A:C,3,0)</f>
        <v>#N/A</v>
      </c>
      <c r="D17173" s="6">
        <f t="shared" si="269"/>
        <v>0</v>
      </c>
    </row>
    <row r="17174" spans="3:4" ht="15" x14ac:dyDescent="0.25">
      <c r="C17174" s="8" t="e">
        <f>VLOOKUP(A:A,'ITEM LIST'!A:C,3,0)</f>
        <v>#N/A</v>
      </c>
      <c r="D17174" s="6">
        <f t="shared" si="269"/>
        <v>0</v>
      </c>
    </row>
    <row r="17175" spans="3:4" ht="15" x14ac:dyDescent="0.25">
      <c r="C17175" s="8" t="e">
        <f>VLOOKUP(A:A,'ITEM LIST'!A:C,3,0)</f>
        <v>#N/A</v>
      </c>
      <c r="D17175" s="6">
        <f t="shared" si="269"/>
        <v>0</v>
      </c>
    </row>
    <row r="17176" spans="3:4" ht="15" x14ac:dyDescent="0.25">
      <c r="C17176" s="8" t="e">
        <f>VLOOKUP(A:A,'ITEM LIST'!A:C,3,0)</f>
        <v>#N/A</v>
      </c>
      <c r="D17176" s="6">
        <f t="shared" si="269"/>
        <v>0</v>
      </c>
    </row>
    <row r="17177" spans="3:4" ht="15" x14ac:dyDescent="0.25">
      <c r="C17177" s="8" t="e">
        <f>VLOOKUP(A:A,'ITEM LIST'!A:C,3,0)</f>
        <v>#N/A</v>
      </c>
      <c r="D17177" s="6">
        <f t="shared" si="269"/>
        <v>0</v>
      </c>
    </row>
    <row r="17178" spans="3:4" ht="15" x14ac:dyDescent="0.25">
      <c r="C17178" s="8" t="e">
        <f>VLOOKUP(A:A,'ITEM LIST'!A:C,3,0)</f>
        <v>#N/A</v>
      </c>
      <c r="D17178" s="6">
        <f t="shared" si="269"/>
        <v>0</v>
      </c>
    </row>
    <row r="17179" spans="3:4" ht="15" x14ac:dyDescent="0.25">
      <c r="C17179" s="8" t="e">
        <f>VLOOKUP(A:A,'ITEM LIST'!A:C,3,0)</f>
        <v>#N/A</v>
      </c>
      <c r="D17179" s="6">
        <f t="shared" si="269"/>
        <v>0</v>
      </c>
    </row>
    <row r="17180" spans="3:4" ht="15" x14ac:dyDescent="0.25">
      <c r="C17180" s="8" t="e">
        <f>VLOOKUP(A:A,'ITEM LIST'!A:C,3,0)</f>
        <v>#N/A</v>
      </c>
      <c r="D17180" s="6">
        <f t="shared" si="269"/>
        <v>0</v>
      </c>
    </row>
    <row r="17181" spans="3:4" ht="15" x14ac:dyDescent="0.25">
      <c r="C17181" s="8" t="e">
        <f>VLOOKUP(A:A,'ITEM LIST'!A:C,3,0)</f>
        <v>#N/A</v>
      </c>
      <c r="D17181" s="6">
        <f t="shared" si="269"/>
        <v>0</v>
      </c>
    </row>
    <row r="17182" spans="3:4" ht="15" x14ac:dyDescent="0.25">
      <c r="C17182" s="8" t="e">
        <f>VLOOKUP(A:A,'ITEM LIST'!A:C,3,0)</f>
        <v>#N/A</v>
      </c>
      <c r="D17182" s="6">
        <f t="shared" si="269"/>
        <v>0</v>
      </c>
    </row>
    <row r="17183" spans="3:4" ht="15" x14ac:dyDescent="0.25">
      <c r="C17183" s="8" t="e">
        <f>VLOOKUP(A:A,'ITEM LIST'!A:C,3,0)</f>
        <v>#N/A</v>
      </c>
      <c r="D17183" s="6">
        <f t="shared" si="269"/>
        <v>0</v>
      </c>
    </row>
    <row r="17184" spans="3:4" ht="15" x14ac:dyDescent="0.25">
      <c r="C17184" s="8" t="e">
        <f>VLOOKUP(A:A,'ITEM LIST'!A:C,3,0)</f>
        <v>#N/A</v>
      </c>
      <c r="D17184" s="6">
        <f t="shared" si="269"/>
        <v>0</v>
      </c>
    </row>
    <row r="17185" spans="3:4" ht="15" x14ac:dyDescent="0.25">
      <c r="C17185" s="8" t="e">
        <f>VLOOKUP(A:A,'ITEM LIST'!A:C,3,0)</f>
        <v>#N/A</v>
      </c>
      <c r="D17185" s="6">
        <f t="shared" si="269"/>
        <v>0</v>
      </c>
    </row>
    <row r="17186" spans="3:4" ht="15" x14ac:dyDescent="0.25">
      <c r="C17186" s="8" t="e">
        <f>VLOOKUP(A:A,'ITEM LIST'!A:C,3,0)</f>
        <v>#N/A</v>
      </c>
      <c r="D17186" s="6">
        <f t="shared" si="269"/>
        <v>0</v>
      </c>
    </row>
    <row r="17187" spans="3:4" ht="15" x14ac:dyDescent="0.25">
      <c r="C17187" s="8" t="e">
        <f>VLOOKUP(A:A,'ITEM LIST'!A:C,3,0)</f>
        <v>#N/A</v>
      </c>
      <c r="D17187" s="6">
        <f t="shared" si="269"/>
        <v>0</v>
      </c>
    </row>
    <row r="17188" spans="3:4" ht="15" x14ac:dyDescent="0.25">
      <c r="C17188" s="8" t="e">
        <f>VLOOKUP(A:A,'ITEM LIST'!A:C,3,0)</f>
        <v>#N/A</v>
      </c>
      <c r="D17188" s="6">
        <f t="shared" si="269"/>
        <v>0</v>
      </c>
    </row>
    <row r="17189" spans="3:4" ht="15" x14ac:dyDescent="0.25">
      <c r="C17189" s="8" t="e">
        <f>VLOOKUP(A:A,'ITEM LIST'!A:C,3,0)</f>
        <v>#N/A</v>
      </c>
      <c r="D17189" s="6">
        <f t="shared" si="269"/>
        <v>0</v>
      </c>
    </row>
    <row r="17190" spans="3:4" ht="15" x14ac:dyDescent="0.25">
      <c r="C17190" s="8" t="e">
        <f>VLOOKUP(A:A,'ITEM LIST'!A:C,3,0)</f>
        <v>#N/A</v>
      </c>
      <c r="D17190" s="6">
        <f t="shared" si="269"/>
        <v>0</v>
      </c>
    </row>
    <row r="17191" spans="3:4" ht="15" x14ac:dyDescent="0.25">
      <c r="C17191" s="8" t="e">
        <f>VLOOKUP(A:A,'ITEM LIST'!A:C,3,0)</f>
        <v>#N/A</v>
      </c>
      <c r="D17191" s="6">
        <f t="shared" si="269"/>
        <v>0</v>
      </c>
    </row>
    <row r="17192" spans="3:4" ht="15" x14ac:dyDescent="0.25">
      <c r="C17192" s="8" t="e">
        <f>VLOOKUP(A:A,'ITEM LIST'!A:C,3,0)</f>
        <v>#N/A</v>
      </c>
      <c r="D17192" s="6">
        <f t="shared" si="269"/>
        <v>0</v>
      </c>
    </row>
    <row r="17193" spans="3:4" ht="15" x14ac:dyDescent="0.25">
      <c r="C17193" s="8" t="e">
        <f>VLOOKUP(A:A,'ITEM LIST'!A:C,3,0)</f>
        <v>#N/A</v>
      </c>
      <c r="D17193" s="6">
        <f t="shared" si="269"/>
        <v>0</v>
      </c>
    </row>
    <row r="17194" spans="3:4" ht="15" x14ac:dyDescent="0.25">
      <c r="C17194" s="8" t="e">
        <f>VLOOKUP(A:A,'ITEM LIST'!A:C,3,0)</f>
        <v>#N/A</v>
      </c>
      <c r="D17194" s="6">
        <f t="shared" si="269"/>
        <v>0</v>
      </c>
    </row>
    <row r="17195" spans="3:4" ht="15" x14ac:dyDescent="0.25">
      <c r="C17195" s="8" t="e">
        <f>VLOOKUP(A:A,'ITEM LIST'!A:C,3,0)</f>
        <v>#N/A</v>
      </c>
      <c r="D17195" s="6">
        <f t="shared" si="269"/>
        <v>0</v>
      </c>
    </row>
    <row r="17196" spans="3:4" ht="15" x14ac:dyDescent="0.25">
      <c r="C17196" s="8" t="e">
        <f>VLOOKUP(A:A,'ITEM LIST'!A:C,3,0)</f>
        <v>#N/A</v>
      </c>
      <c r="D17196" s="6">
        <f t="shared" si="269"/>
        <v>0</v>
      </c>
    </row>
    <row r="17197" spans="3:4" ht="15" x14ac:dyDescent="0.25">
      <c r="C17197" s="8" t="e">
        <f>VLOOKUP(A:A,'ITEM LIST'!A:C,3,0)</f>
        <v>#N/A</v>
      </c>
      <c r="D17197" s="6">
        <f t="shared" si="269"/>
        <v>0</v>
      </c>
    </row>
    <row r="17198" spans="3:4" ht="15" x14ac:dyDescent="0.25">
      <c r="C17198" s="8" t="e">
        <f>VLOOKUP(A:A,'ITEM LIST'!A:C,3,0)</f>
        <v>#N/A</v>
      </c>
      <c r="D17198" s="6">
        <f t="shared" si="269"/>
        <v>0</v>
      </c>
    </row>
    <row r="17199" spans="3:4" ht="15" x14ac:dyDescent="0.25">
      <c r="C17199" s="8" t="e">
        <f>VLOOKUP(A:A,'ITEM LIST'!A:C,3,0)</f>
        <v>#N/A</v>
      </c>
      <c r="D17199" s="6">
        <f t="shared" si="269"/>
        <v>0</v>
      </c>
    </row>
    <row r="17200" spans="3:4" ht="15" x14ac:dyDescent="0.25">
      <c r="C17200" s="8" t="e">
        <f>VLOOKUP(A:A,'ITEM LIST'!A:C,3,0)</f>
        <v>#N/A</v>
      </c>
      <c r="D17200" s="6">
        <f t="shared" si="269"/>
        <v>0</v>
      </c>
    </row>
    <row r="17201" spans="3:4" ht="15" x14ac:dyDescent="0.25">
      <c r="C17201" s="8" t="e">
        <f>VLOOKUP(A:A,'ITEM LIST'!A:C,3,0)</f>
        <v>#N/A</v>
      </c>
      <c r="D17201" s="6">
        <f t="shared" si="269"/>
        <v>0</v>
      </c>
    </row>
    <row r="17202" spans="3:4" ht="15" x14ac:dyDescent="0.25">
      <c r="C17202" s="8" t="e">
        <f>VLOOKUP(A:A,'ITEM LIST'!A:C,3,0)</f>
        <v>#N/A</v>
      </c>
      <c r="D17202" s="6">
        <f t="shared" si="269"/>
        <v>0</v>
      </c>
    </row>
    <row r="17203" spans="3:4" ht="15" x14ac:dyDescent="0.25">
      <c r="C17203" s="8" t="e">
        <f>VLOOKUP(A:A,'ITEM LIST'!A:C,3,0)</f>
        <v>#N/A</v>
      </c>
      <c r="D17203" s="6">
        <f t="shared" si="269"/>
        <v>0</v>
      </c>
    </row>
    <row r="17204" spans="3:4" ht="15" x14ac:dyDescent="0.25">
      <c r="C17204" s="8" t="e">
        <f>VLOOKUP(A:A,'ITEM LIST'!A:C,3,0)</f>
        <v>#N/A</v>
      </c>
      <c r="D17204" s="6">
        <f t="shared" si="269"/>
        <v>0</v>
      </c>
    </row>
    <row r="17205" spans="3:4" ht="15" x14ac:dyDescent="0.25">
      <c r="C17205" s="8" t="e">
        <f>VLOOKUP(A:A,'ITEM LIST'!A:C,3,0)</f>
        <v>#N/A</v>
      </c>
      <c r="D17205" s="6">
        <f t="shared" si="269"/>
        <v>0</v>
      </c>
    </row>
    <row r="17206" spans="3:4" ht="15" x14ac:dyDescent="0.25">
      <c r="C17206" s="8" t="e">
        <f>VLOOKUP(A:A,'ITEM LIST'!A:C,3,0)</f>
        <v>#N/A</v>
      </c>
      <c r="D17206" s="6">
        <f t="shared" si="269"/>
        <v>0</v>
      </c>
    </row>
    <row r="17207" spans="3:4" ht="15" x14ac:dyDescent="0.25">
      <c r="C17207" s="8" t="e">
        <f>VLOOKUP(A:A,'ITEM LIST'!A:C,3,0)</f>
        <v>#N/A</v>
      </c>
      <c r="D17207" s="6">
        <f t="shared" si="269"/>
        <v>0</v>
      </c>
    </row>
    <row r="17208" spans="3:4" ht="15" x14ac:dyDescent="0.25">
      <c r="C17208" s="8" t="e">
        <f>VLOOKUP(A:A,'ITEM LIST'!A:C,3,0)</f>
        <v>#N/A</v>
      </c>
      <c r="D17208" s="6">
        <f t="shared" si="269"/>
        <v>0</v>
      </c>
    </row>
    <row r="17209" spans="3:4" ht="15" x14ac:dyDescent="0.25">
      <c r="C17209" s="8" t="e">
        <f>VLOOKUP(A:A,'ITEM LIST'!A:C,3,0)</f>
        <v>#N/A</v>
      </c>
      <c r="D17209" s="6">
        <f t="shared" si="269"/>
        <v>0</v>
      </c>
    </row>
    <row r="17210" spans="3:4" ht="15" x14ac:dyDescent="0.25">
      <c r="C17210" s="8" t="e">
        <f>VLOOKUP(A:A,'ITEM LIST'!A:C,3,0)</f>
        <v>#N/A</v>
      </c>
      <c r="D17210" s="6">
        <f t="shared" si="269"/>
        <v>0</v>
      </c>
    </row>
    <row r="17211" spans="3:4" ht="15" x14ac:dyDescent="0.25">
      <c r="C17211" s="8" t="e">
        <f>VLOOKUP(A:A,'ITEM LIST'!A:C,3,0)</f>
        <v>#N/A</v>
      </c>
      <c r="D17211" s="6">
        <f t="shared" si="269"/>
        <v>0</v>
      </c>
    </row>
    <row r="17212" spans="3:4" ht="15" x14ac:dyDescent="0.25">
      <c r="C17212" s="8" t="e">
        <f>VLOOKUP(A:A,'ITEM LIST'!A:C,3,0)</f>
        <v>#N/A</v>
      </c>
      <c r="D17212" s="6">
        <f t="shared" si="269"/>
        <v>0</v>
      </c>
    </row>
    <row r="17213" spans="3:4" ht="15" x14ac:dyDescent="0.25">
      <c r="C17213" s="8" t="e">
        <f>VLOOKUP(A:A,'ITEM LIST'!A:C,3,0)</f>
        <v>#N/A</v>
      </c>
      <c r="D17213" s="6">
        <f t="shared" si="269"/>
        <v>0</v>
      </c>
    </row>
    <row r="17214" spans="3:4" ht="15" x14ac:dyDescent="0.25">
      <c r="C17214" s="8" t="e">
        <f>VLOOKUP(A:A,'ITEM LIST'!A:C,3,0)</f>
        <v>#N/A</v>
      </c>
      <c r="D17214" s="6">
        <f t="shared" si="269"/>
        <v>0</v>
      </c>
    </row>
    <row r="17215" spans="3:4" ht="15" x14ac:dyDescent="0.25">
      <c r="C17215" s="8" t="e">
        <f>VLOOKUP(A:A,'ITEM LIST'!A:C,3,0)</f>
        <v>#N/A</v>
      </c>
      <c r="D17215" s="6">
        <f t="shared" si="269"/>
        <v>0</v>
      </c>
    </row>
    <row r="17216" spans="3:4" ht="15" x14ac:dyDescent="0.25">
      <c r="C17216" s="8" t="e">
        <f>VLOOKUP(A:A,'ITEM LIST'!A:C,3,0)</f>
        <v>#N/A</v>
      </c>
      <c r="D17216" s="6">
        <f t="shared" si="269"/>
        <v>0</v>
      </c>
    </row>
    <row r="17217" spans="3:4" ht="15" x14ac:dyDescent="0.25">
      <c r="C17217" s="8" t="e">
        <f>VLOOKUP(A:A,'ITEM LIST'!A:C,3,0)</f>
        <v>#N/A</v>
      </c>
      <c r="D17217" s="6">
        <f t="shared" si="269"/>
        <v>0</v>
      </c>
    </row>
    <row r="17218" spans="3:4" ht="15" x14ac:dyDescent="0.25">
      <c r="C17218" s="8" t="e">
        <f>VLOOKUP(A:A,'ITEM LIST'!A:C,3,0)</f>
        <v>#N/A</v>
      </c>
      <c r="D17218" s="6">
        <f t="shared" si="269"/>
        <v>0</v>
      </c>
    </row>
    <row r="17219" spans="3:4" ht="15" x14ac:dyDescent="0.25">
      <c r="C17219" s="8" t="e">
        <f>VLOOKUP(A:A,'ITEM LIST'!A:C,3,0)</f>
        <v>#N/A</v>
      </c>
      <c r="D17219" s="6">
        <f t="shared" si="269"/>
        <v>0</v>
      </c>
    </row>
    <row r="17220" spans="3:4" ht="15" x14ac:dyDescent="0.25">
      <c r="C17220" s="8" t="e">
        <f>VLOOKUP(A:A,'ITEM LIST'!A:C,3,0)</f>
        <v>#N/A</v>
      </c>
      <c r="D17220" s="6">
        <f t="shared" si="269"/>
        <v>0</v>
      </c>
    </row>
    <row r="17221" spans="3:4" ht="15" x14ac:dyDescent="0.25">
      <c r="C17221" s="8" t="e">
        <f>VLOOKUP(A:A,'ITEM LIST'!A:C,3,0)</f>
        <v>#N/A</v>
      </c>
      <c r="D17221" s="6">
        <f t="shared" si="269"/>
        <v>0</v>
      </c>
    </row>
    <row r="17222" spans="3:4" ht="15" x14ac:dyDescent="0.25">
      <c r="C17222" s="8" t="e">
        <f>VLOOKUP(A:A,'ITEM LIST'!A:C,3,0)</f>
        <v>#N/A</v>
      </c>
      <c r="D17222" s="6">
        <f t="shared" ref="D17222:D17285" si="270">B17222</f>
        <v>0</v>
      </c>
    </row>
    <row r="17223" spans="3:4" ht="15" x14ac:dyDescent="0.25">
      <c r="C17223" s="8" t="e">
        <f>VLOOKUP(A:A,'ITEM LIST'!A:C,3,0)</f>
        <v>#N/A</v>
      </c>
      <c r="D17223" s="6">
        <f t="shared" si="270"/>
        <v>0</v>
      </c>
    </row>
    <row r="17224" spans="3:4" ht="15" x14ac:dyDescent="0.25">
      <c r="C17224" s="8" t="e">
        <f>VLOOKUP(A:A,'ITEM LIST'!A:C,3,0)</f>
        <v>#N/A</v>
      </c>
      <c r="D17224" s="6">
        <f t="shared" si="270"/>
        <v>0</v>
      </c>
    </row>
    <row r="17225" spans="3:4" ht="15" x14ac:dyDescent="0.25">
      <c r="C17225" s="8" t="e">
        <f>VLOOKUP(A:A,'ITEM LIST'!A:C,3,0)</f>
        <v>#N/A</v>
      </c>
      <c r="D17225" s="6">
        <f t="shared" si="270"/>
        <v>0</v>
      </c>
    </row>
    <row r="17226" spans="3:4" ht="15" x14ac:dyDescent="0.25">
      <c r="C17226" s="8" t="e">
        <f>VLOOKUP(A:A,'ITEM LIST'!A:C,3,0)</f>
        <v>#N/A</v>
      </c>
      <c r="D17226" s="6">
        <f t="shared" si="270"/>
        <v>0</v>
      </c>
    </row>
    <row r="17227" spans="3:4" ht="15" x14ac:dyDescent="0.25">
      <c r="C17227" s="8" t="e">
        <f>VLOOKUP(A:A,'ITEM LIST'!A:C,3,0)</f>
        <v>#N/A</v>
      </c>
      <c r="D17227" s="6">
        <f t="shared" si="270"/>
        <v>0</v>
      </c>
    </row>
    <row r="17228" spans="3:4" ht="15" x14ac:dyDescent="0.25">
      <c r="C17228" s="8" t="e">
        <f>VLOOKUP(A:A,'ITEM LIST'!A:C,3,0)</f>
        <v>#N/A</v>
      </c>
      <c r="D17228" s="6">
        <f t="shared" si="270"/>
        <v>0</v>
      </c>
    </row>
    <row r="17229" spans="3:4" ht="15" x14ac:dyDescent="0.25">
      <c r="C17229" s="8" t="e">
        <f>VLOOKUP(A:A,'ITEM LIST'!A:C,3,0)</f>
        <v>#N/A</v>
      </c>
      <c r="D17229" s="6">
        <f t="shared" si="270"/>
        <v>0</v>
      </c>
    </row>
    <row r="17230" spans="3:4" ht="15" x14ac:dyDescent="0.25">
      <c r="C17230" s="8" t="e">
        <f>VLOOKUP(A:A,'ITEM LIST'!A:C,3,0)</f>
        <v>#N/A</v>
      </c>
      <c r="D17230" s="6">
        <f t="shared" si="270"/>
        <v>0</v>
      </c>
    </row>
    <row r="17231" spans="3:4" ht="15" x14ac:dyDescent="0.25">
      <c r="C17231" s="8" t="e">
        <f>VLOOKUP(A:A,'ITEM LIST'!A:C,3,0)</f>
        <v>#N/A</v>
      </c>
      <c r="D17231" s="6">
        <f t="shared" si="270"/>
        <v>0</v>
      </c>
    </row>
    <row r="17232" spans="3:4" ht="15" x14ac:dyDescent="0.25">
      <c r="C17232" s="8" t="e">
        <f>VLOOKUP(A:A,'ITEM LIST'!A:C,3,0)</f>
        <v>#N/A</v>
      </c>
      <c r="D17232" s="6">
        <f t="shared" si="270"/>
        <v>0</v>
      </c>
    </row>
    <row r="17233" spans="3:4" ht="15" x14ac:dyDescent="0.25">
      <c r="C17233" s="8" t="e">
        <f>VLOOKUP(A:A,'ITEM LIST'!A:C,3,0)</f>
        <v>#N/A</v>
      </c>
      <c r="D17233" s="6">
        <f t="shared" si="270"/>
        <v>0</v>
      </c>
    </row>
    <row r="17234" spans="3:4" ht="15" x14ac:dyDescent="0.25">
      <c r="C17234" s="8" t="e">
        <f>VLOOKUP(A:A,'ITEM LIST'!A:C,3,0)</f>
        <v>#N/A</v>
      </c>
      <c r="D17234" s="6">
        <f t="shared" si="270"/>
        <v>0</v>
      </c>
    </row>
    <row r="17235" spans="3:4" ht="15" x14ac:dyDescent="0.25">
      <c r="C17235" s="8" t="e">
        <f>VLOOKUP(A:A,'ITEM LIST'!A:C,3,0)</f>
        <v>#N/A</v>
      </c>
      <c r="D17235" s="6">
        <f t="shared" si="270"/>
        <v>0</v>
      </c>
    </row>
    <row r="17236" spans="3:4" ht="15" x14ac:dyDescent="0.25">
      <c r="C17236" s="8" t="e">
        <f>VLOOKUP(A:A,'ITEM LIST'!A:C,3,0)</f>
        <v>#N/A</v>
      </c>
      <c r="D17236" s="6">
        <f t="shared" si="270"/>
        <v>0</v>
      </c>
    </row>
    <row r="17237" spans="3:4" ht="15" x14ac:dyDescent="0.25">
      <c r="C17237" s="8" t="e">
        <f>VLOOKUP(A:A,'ITEM LIST'!A:C,3,0)</f>
        <v>#N/A</v>
      </c>
      <c r="D17237" s="6">
        <f t="shared" si="270"/>
        <v>0</v>
      </c>
    </row>
    <row r="17238" spans="3:4" ht="15" x14ac:dyDescent="0.25">
      <c r="C17238" s="8" t="e">
        <f>VLOOKUP(A:A,'ITEM LIST'!A:C,3,0)</f>
        <v>#N/A</v>
      </c>
      <c r="D17238" s="6">
        <f t="shared" si="270"/>
        <v>0</v>
      </c>
    </row>
    <row r="17239" spans="3:4" ht="15" x14ac:dyDescent="0.25">
      <c r="C17239" s="8" t="e">
        <f>VLOOKUP(A:A,'ITEM LIST'!A:C,3,0)</f>
        <v>#N/A</v>
      </c>
      <c r="D17239" s="6">
        <f t="shared" si="270"/>
        <v>0</v>
      </c>
    </row>
    <row r="17240" spans="3:4" ht="15" x14ac:dyDescent="0.25">
      <c r="C17240" s="8" t="e">
        <f>VLOOKUP(A:A,'ITEM LIST'!A:C,3,0)</f>
        <v>#N/A</v>
      </c>
      <c r="D17240" s="6">
        <f t="shared" si="270"/>
        <v>0</v>
      </c>
    </row>
    <row r="17241" spans="3:4" ht="15" x14ac:dyDescent="0.25">
      <c r="C17241" s="8" t="e">
        <f>VLOOKUP(A:A,'ITEM LIST'!A:C,3,0)</f>
        <v>#N/A</v>
      </c>
      <c r="D17241" s="6">
        <f t="shared" si="270"/>
        <v>0</v>
      </c>
    </row>
    <row r="17242" spans="3:4" ht="15" x14ac:dyDescent="0.25">
      <c r="C17242" s="8" t="e">
        <f>VLOOKUP(A:A,'ITEM LIST'!A:C,3,0)</f>
        <v>#N/A</v>
      </c>
      <c r="D17242" s="6">
        <f t="shared" si="270"/>
        <v>0</v>
      </c>
    </row>
    <row r="17243" spans="3:4" ht="15" x14ac:dyDescent="0.25">
      <c r="C17243" s="8" t="e">
        <f>VLOOKUP(A:A,'ITEM LIST'!A:C,3,0)</f>
        <v>#N/A</v>
      </c>
      <c r="D17243" s="6">
        <f t="shared" si="270"/>
        <v>0</v>
      </c>
    </row>
    <row r="17244" spans="3:4" ht="15" x14ac:dyDescent="0.25">
      <c r="C17244" s="8" t="e">
        <f>VLOOKUP(A:A,'ITEM LIST'!A:C,3,0)</f>
        <v>#N/A</v>
      </c>
      <c r="D17244" s="6">
        <f t="shared" si="270"/>
        <v>0</v>
      </c>
    </row>
    <row r="17245" spans="3:4" ht="15" x14ac:dyDescent="0.25">
      <c r="C17245" s="8" t="e">
        <f>VLOOKUP(A:A,'ITEM LIST'!A:C,3,0)</f>
        <v>#N/A</v>
      </c>
      <c r="D17245" s="6">
        <f t="shared" si="270"/>
        <v>0</v>
      </c>
    </row>
    <row r="17246" spans="3:4" ht="15" x14ac:dyDescent="0.25">
      <c r="C17246" s="8" t="e">
        <f>VLOOKUP(A:A,'ITEM LIST'!A:C,3,0)</f>
        <v>#N/A</v>
      </c>
      <c r="D17246" s="6">
        <f t="shared" si="270"/>
        <v>0</v>
      </c>
    </row>
    <row r="17247" spans="3:4" ht="15" x14ac:dyDescent="0.25">
      <c r="C17247" s="8" t="e">
        <f>VLOOKUP(A:A,'ITEM LIST'!A:C,3,0)</f>
        <v>#N/A</v>
      </c>
      <c r="D17247" s="6">
        <f t="shared" si="270"/>
        <v>0</v>
      </c>
    </row>
    <row r="17248" spans="3:4" ht="15" x14ac:dyDescent="0.25">
      <c r="C17248" s="8" t="e">
        <f>VLOOKUP(A:A,'ITEM LIST'!A:C,3,0)</f>
        <v>#N/A</v>
      </c>
      <c r="D17248" s="6">
        <f t="shared" si="270"/>
        <v>0</v>
      </c>
    </row>
    <row r="17249" spans="3:4" ht="15" x14ac:dyDescent="0.25">
      <c r="C17249" s="8" t="e">
        <f>VLOOKUP(A:A,'ITEM LIST'!A:C,3,0)</f>
        <v>#N/A</v>
      </c>
      <c r="D17249" s="6">
        <f t="shared" si="270"/>
        <v>0</v>
      </c>
    </row>
    <row r="17250" spans="3:4" ht="15" x14ac:dyDescent="0.25">
      <c r="C17250" s="8" t="e">
        <f>VLOOKUP(A:A,'ITEM LIST'!A:C,3,0)</f>
        <v>#N/A</v>
      </c>
      <c r="D17250" s="6">
        <f t="shared" si="270"/>
        <v>0</v>
      </c>
    </row>
    <row r="17251" spans="3:4" ht="15" x14ac:dyDescent="0.25">
      <c r="C17251" s="8" t="e">
        <f>VLOOKUP(A:A,'ITEM LIST'!A:C,3,0)</f>
        <v>#N/A</v>
      </c>
      <c r="D17251" s="6">
        <f t="shared" si="270"/>
        <v>0</v>
      </c>
    </row>
    <row r="17252" spans="3:4" ht="15" x14ac:dyDescent="0.25">
      <c r="C17252" s="8" t="e">
        <f>VLOOKUP(A:A,'ITEM LIST'!A:C,3,0)</f>
        <v>#N/A</v>
      </c>
      <c r="D17252" s="6">
        <f t="shared" si="270"/>
        <v>0</v>
      </c>
    </row>
    <row r="17253" spans="3:4" ht="15" x14ac:dyDescent="0.25">
      <c r="C17253" s="8" t="e">
        <f>VLOOKUP(A:A,'ITEM LIST'!A:C,3,0)</f>
        <v>#N/A</v>
      </c>
      <c r="D17253" s="6">
        <f t="shared" si="270"/>
        <v>0</v>
      </c>
    </row>
    <row r="17254" spans="3:4" ht="15" x14ac:dyDescent="0.25">
      <c r="C17254" s="8" t="e">
        <f>VLOOKUP(A:A,'ITEM LIST'!A:C,3,0)</f>
        <v>#N/A</v>
      </c>
      <c r="D17254" s="6">
        <f t="shared" si="270"/>
        <v>0</v>
      </c>
    </row>
    <row r="17255" spans="3:4" ht="15" x14ac:dyDescent="0.25">
      <c r="C17255" s="8" t="e">
        <f>VLOOKUP(A:A,'ITEM LIST'!A:C,3,0)</f>
        <v>#N/A</v>
      </c>
      <c r="D17255" s="6">
        <f t="shared" si="270"/>
        <v>0</v>
      </c>
    </row>
    <row r="17256" spans="3:4" ht="15" x14ac:dyDescent="0.25">
      <c r="C17256" s="8" t="e">
        <f>VLOOKUP(A:A,'ITEM LIST'!A:C,3,0)</f>
        <v>#N/A</v>
      </c>
      <c r="D17256" s="6">
        <f t="shared" si="270"/>
        <v>0</v>
      </c>
    </row>
    <row r="17257" spans="3:4" ht="15" x14ac:dyDescent="0.25">
      <c r="C17257" s="8" t="e">
        <f>VLOOKUP(A:A,'ITEM LIST'!A:C,3,0)</f>
        <v>#N/A</v>
      </c>
      <c r="D17257" s="6">
        <f t="shared" si="270"/>
        <v>0</v>
      </c>
    </row>
    <row r="17258" spans="3:4" ht="15" x14ac:dyDescent="0.25">
      <c r="C17258" s="8" t="e">
        <f>VLOOKUP(A:A,'ITEM LIST'!A:C,3,0)</f>
        <v>#N/A</v>
      </c>
      <c r="D17258" s="6">
        <f t="shared" si="270"/>
        <v>0</v>
      </c>
    </row>
    <row r="17259" spans="3:4" ht="15" x14ac:dyDescent="0.25">
      <c r="C17259" s="8" t="e">
        <f>VLOOKUP(A:A,'ITEM LIST'!A:C,3,0)</f>
        <v>#N/A</v>
      </c>
      <c r="D17259" s="6">
        <f t="shared" si="270"/>
        <v>0</v>
      </c>
    </row>
    <row r="17260" spans="3:4" ht="15" x14ac:dyDescent="0.25">
      <c r="C17260" s="8" t="e">
        <f>VLOOKUP(A:A,'ITEM LIST'!A:C,3,0)</f>
        <v>#N/A</v>
      </c>
      <c r="D17260" s="6">
        <f t="shared" si="270"/>
        <v>0</v>
      </c>
    </row>
    <row r="17261" spans="3:4" ht="15" x14ac:dyDescent="0.25">
      <c r="C17261" s="8" t="e">
        <f>VLOOKUP(A:A,'ITEM LIST'!A:C,3,0)</f>
        <v>#N/A</v>
      </c>
      <c r="D17261" s="6">
        <f t="shared" si="270"/>
        <v>0</v>
      </c>
    </row>
    <row r="17262" spans="3:4" ht="15" x14ac:dyDescent="0.25">
      <c r="C17262" s="8" t="e">
        <f>VLOOKUP(A:A,'ITEM LIST'!A:C,3,0)</f>
        <v>#N/A</v>
      </c>
      <c r="D17262" s="6">
        <f t="shared" si="270"/>
        <v>0</v>
      </c>
    </row>
    <row r="17263" spans="3:4" ht="15" x14ac:dyDescent="0.25">
      <c r="C17263" s="8" t="e">
        <f>VLOOKUP(A:A,'ITEM LIST'!A:C,3,0)</f>
        <v>#N/A</v>
      </c>
      <c r="D17263" s="6">
        <f t="shared" si="270"/>
        <v>0</v>
      </c>
    </row>
    <row r="17264" spans="3:4" ht="15" x14ac:dyDescent="0.25">
      <c r="C17264" s="8" t="e">
        <f>VLOOKUP(A:A,'ITEM LIST'!A:C,3,0)</f>
        <v>#N/A</v>
      </c>
      <c r="D17264" s="6">
        <f t="shared" si="270"/>
        <v>0</v>
      </c>
    </row>
    <row r="17265" spans="3:4" ht="15" x14ac:dyDescent="0.25">
      <c r="C17265" s="8" t="e">
        <f>VLOOKUP(A:A,'ITEM LIST'!A:C,3,0)</f>
        <v>#N/A</v>
      </c>
      <c r="D17265" s="6">
        <f t="shared" si="270"/>
        <v>0</v>
      </c>
    </row>
    <row r="17266" spans="3:4" ht="15" x14ac:dyDescent="0.25">
      <c r="C17266" s="8" t="e">
        <f>VLOOKUP(A:A,'ITEM LIST'!A:C,3,0)</f>
        <v>#N/A</v>
      </c>
      <c r="D17266" s="6">
        <f t="shared" si="270"/>
        <v>0</v>
      </c>
    </row>
    <row r="17267" spans="3:4" ht="15" x14ac:dyDescent="0.25">
      <c r="C17267" s="8" t="e">
        <f>VLOOKUP(A:A,'ITEM LIST'!A:C,3,0)</f>
        <v>#N/A</v>
      </c>
      <c r="D17267" s="6">
        <f t="shared" si="270"/>
        <v>0</v>
      </c>
    </row>
    <row r="17268" spans="3:4" ht="15" x14ac:dyDescent="0.25">
      <c r="C17268" s="8" t="e">
        <f>VLOOKUP(A:A,'ITEM LIST'!A:C,3,0)</f>
        <v>#N/A</v>
      </c>
      <c r="D17268" s="6">
        <f t="shared" si="270"/>
        <v>0</v>
      </c>
    </row>
    <row r="17269" spans="3:4" ht="15" x14ac:dyDescent="0.25">
      <c r="C17269" s="8" t="e">
        <f>VLOOKUP(A:A,'ITEM LIST'!A:C,3,0)</f>
        <v>#N/A</v>
      </c>
      <c r="D17269" s="6">
        <f t="shared" si="270"/>
        <v>0</v>
      </c>
    </row>
    <row r="17270" spans="3:4" ht="15" x14ac:dyDescent="0.25">
      <c r="C17270" s="8" t="e">
        <f>VLOOKUP(A:A,'ITEM LIST'!A:C,3,0)</f>
        <v>#N/A</v>
      </c>
      <c r="D17270" s="6">
        <f t="shared" si="270"/>
        <v>0</v>
      </c>
    </row>
    <row r="17271" spans="3:4" ht="15" x14ac:dyDescent="0.25">
      <c r="C17271" s="8" t="e">
        <f>VLOOKUP(A:A,'ITEM LIST'!A:C,3,0)</f>
        <v>#N/A</v>
      </c>
      <c r="D17271" s="6">
        <f t="shared" si="270"/>
        <v>0</v>
      </c>
    </row>
    <row r="17272" spans="3:4" ht="15" x14ac:dyDescent="0.25">
      <c r="C17272" s="8" t="e">
        <f>VLOOKUP(A:A,'ITEM LIST'!A:C,3,0)</f>
        <v>#N/A</v>
      </c>
      <c r="D17272" s="6">
        <f t="shared" si="270"/>
        <v>0</v>
      </c>
    </row>
    <row r="17273" spans="3:4" ht="15" x14ac:dyDescent="0.25">
      <c r="C17273" s="8" t="e">
        <f>VLOOKUP(A:A,'ITEM LIST'!A:C,3,0)</f>
        <v>#N/A</v>
      </c>
      <c r="D17273" s="6">
        <f t="shared" si="270"/>
        <v>0</v>
      </c>
    </row>
    <row r="17274" spans="3:4" ht="15" x14ac:dyDescent="0.25">
      <c r="C17274" s="8" t="e">
        <f>VLOOKUP(A:A,'ITEM LIST'!A:C,3,0)</f>
        <v>#N/A</v>
      </c>
      <c r="D17274" s="6">
        <f t="shared" si="270"/>
        <v>0</v>
      </c>
    </row>
    <row r="17275" spans="3:4" ht="15" x14ac:dyDescent="0.25">
      <c r="C17275" s="8" t="e">
        <f>VLOOKUP(A:A,'ITEM LIST'!A:C,3,0)</f>
        <v>#N/A</v>
      </c>
      <c r="D17275" s="6">
        <f t="shared" si="270"/>
        <v>0</v>
      </c>
    </row>
    <row r="17276" spans="3:4" ht="15" x14ac:dyDescent="0.25">
      <c r="C17276" s="8" t="e">
        <f>VLOOKUP(A:A,'ITEM LIST'!A:C,3,0)</f>
        <v>#N/A</v>
      </c>
      <c r="D17276" s="6">
        <f t="shared" si="270"/>
        <v>0</v>
      </c>
    </row>
    <row r="17277" spans="3:4" ht="15" x14ac:dyDescent="0.25">
      <c r="C17277" s="8" t="e">
        <f>VLOOKUP(A:A,'ITEM LIST'!A:C,3,0)</f>
        <v>#N/A</v>
      </c>
      <c r="D17277" s="6">
        <f t="shared" si="270"/>
        <v>0</v>
      </c>
    </row>
    <row r="17278" spans="3:4" ht="15" x14ac:dyDescent="0.25">
      <c r="C17278" s="8" t="e">
        <f>VLOOKUP(A:A,'ITEM LIST'!A:C,3,0)</f>
        <v>#N/A</v>
      </c>
      <c r="D17278" s="6">
        <f t="shared" si="270"/>
        <v>0</v>
      </c>
    </row>
    <row r="17279" spans="3:4" ht="15" x14ac:dyDescent="0.25">
      <c r="C17279" s="8" t="e">
        <f>VLOOKUP(A:A,'ITEM LIST'!A:C,3,0)</f>
        <v>#N/A</v>
      </c>
      <c r="D17279" s="6">
        <f t="shared" si="270"/>
        <v>0</v>
      </c>
    </row>
    <row r="17280" spans="3:4" ht="15" x14ac:dyDescent="0.25">
      <c r="C17280" s="8" t="e">
        <f>VLOOKUP(A:A,'ITEM LIST'!A:C,3,0)</f>
        <v>#N/A</v>
      </c>
      <c r="D17280" s="6">
        <f t="shared" si="270"/>
        <v>0</v>
      </c>
    </row>
    <row r="17281" spans="3:4" ht="15" x14ac:dyDescent="0.25">
      <c r="C17281" s="8" t="e">
        <f>VLOOKUP(A:A,'ITEM LIST'!A:C,3,0)</f>
        <v>#N/A</v>
      </c>
      <c r="D17281" s="6">
        <f t="shared" si="270"/>
        <v>0</v>
      </c>
    </row>
    <row r="17282" spans="3:4" ht="15" x14ac:dyDescent="0.25">
      <c r="C17282" s="8" t="e">
        <f>VLOOKUP(A:A,'ITEM LIST'!A:C,3,0)</f>
        <v>#N/A</v>
      </c>
      <c r="D17282" s="6">
        <f t="shared" si="270"/>
        <v>0</v>
      </c>
    </row>
    <row r="17283" spans="3:4" ht="15" x14ac:dyDescent="0.25">
      <c r="C17283" s="8" t="e">
        <f>VLOOKUP(A:A,'ITEM LIST'!A:C,3,0)</f>
        <v>#N/A</v>
      </c>
      <c r="D17283" s="6">
        <f t="shared" si="270"/>
        <v>0</v>
      </c>
    </row>
    <row r="17284" spans="3:4" ht="15" x14ac:dyDescent="0.25">
      <c r="C17284" s="8" t="e">
        <f>VLOOKUP(A:A,'ITEM LIST'!A:C,3,0)</f>
        <v>#N/A</v>
      </c>
      <c r="D17284" s="6">
        <f t="shared" si="270"/>
        <v>0</v>
      </c>
    </row>
    <row r="17285" spans="3:4" ht="15" x14ac:dyDescent="0.25">
      <c r="C17285" s="8" t="e">
        <f>VLOOKUP(A:A,'ITEM LIST'!A:C,3,0)</f>
        <v>#N/A</v>
      </c>
      <c r="D17285" s="6">
        <f t="shared" si="270"/>
        <v>0</v>
      </c>
    </row>
    <row r="17286" spans="3:4" ht="15" x14ac:dyDescent="0.25">
      <c r="C17286" s="8" t="e">
        <f>VLOOKUP(A:A,'ITEM LIST'!A:C,3,0)</f>
        <v>#N/A</v>
      </c>
      <c r="D17286" s="6">
        <f t="shared" ref="D17286:D17349" si="271">B17286</f>
        <v>0</v>
      </c>
    </row>
    <row r="17287" spans="3:4" ht="15" x14ac:dyDescent="0.25">
      <c r="C17287" s="8" t="e">
        <f>VLOOKUP(A:A,'ITEM LIST'!A:C,3,0)</f>
        <v>#N/A</v>
      </c>
      <c r="D17287" s="6">
        <f t="shared" si="271"/>
        <v>0</v>
      </c>
    </row>
    <row r="17288" spans="3:4" ht="15" x14ac:dyDescent="0.25">
      <c r="C17288" s="8" t="e">
        <f>VLOOKUP(A:A,'ITEM LIST'!A:C,3,0)</f>
        <v>#N/A</v>
      </c>
      <c r="D17288" s="6">
        <f t="shared" si="271"/>
        <v>0</v>
      </c>
    </row>
    <row r="17289" spans="3:4" ht="15" x14ac:dyDescent="0.25">
      <c r="C17289" s="8" t="e">
        <f>VLOOKUP(A:A,'ITEM LIST'!A:C,3,0)</f>
        <v>#N/A</v>
      </c>
      <c r="D17289" s="6">
        <f t="shared" si="271"/>
        <v>0</v>
      </c>
    </row>
    <row r="17290" spans="3:4" ht="15" x14ac:dyDescent="0.25">
      <c r="C17290" s="8" t="e">
        <f>VLOOKUP(A:A,'ITEM LIST'!A:C,3,0)</f>
        <v>#N/A</v>
      </c>
      <c r="D17290" s="6">
        <f t="shared" si="271"/>
        <v>0</v>
      </c>
    </row>
    <row r="17291" spans="3:4" ht="15" x14ac:dyDescent="0.25">
      <c r="C17291" s="8" t="e">
        <f>VLOOKUP(A:A,'ITEM LIST'!A:C,3,0)</f>
        <v>#N/A</v>
      </c>
      <c r="D17291" s="6">
        <f t="shared" si="271"/>
        <v>0</v>
      </c>
    </row>
    <row r="17292" spans="3:4" ht="15" x14ac:dyDescent="0.25">
      <c r="C17292" s="8" t="e">
        <f>VLOOKUP(A:A,'ITEM LIST'!A:C,3,0)</f>
        <v>#N/A</v>
      </c>
      <c r="D17292" s="6">
        <f t="shared" si="271"/>
        <v>0</v>
      </c>
    </row>
    <row r="17293" spans="3:4" ht="15" x14ac:dyDescent="0.25">
      <c r="C17293" s="8" t="e">
        <f>VLOOKUP(A:A,'ITEM LIST'!A:C,3,0)</f>
        <v>#N/A</v>
      </c>
      <c r="D17293" s="6">
        <f t="shared" si="271"/>
        <v>0</v>
      </c>
    </row>
    <row r="17294" spans="3:4" ht="15" x14ac:dyDescent="0.25">
      <c r="C17294" s="8" t="e">
        <f>VLOOKUP(A:A,'ITEM LIST'!A:C,3,0)</f>
        <v>#N/A</v>
      </c>
      <c r="D17294" s="6">
        <f t="shared" si="271"/>
        <v>0</v>
      </c>
    </row>
    <row r="17295" spans="3:4" ht="15" x14ac:dyDescent="0.25">
      <c r="C17295" s="8" t="e">
        <f>VLOOKUP(A:A,'ITEM LIST'!A:C,3,0)</f>
        <v>#N/A</v>
      </c>
      <c r="D17295" s="6">
        <f t="shared" si="271"/>
        <v>0</v>
      </c>
    </row>
    <row r="17296" spans="3:4" ht="15" x14ac:dyDescent="0.25">
      <c r="C17296" s="8" t="e">
        <f>VLOOKUP(A:A,'ITEM LIST'!A:C,3,0)</f>
        <v>#N/A</v>
      </c>
      <c r="D17296" s="6">
        <f t="shared" si="271"/>
        <v>0</v>
      </c>
    </row>
    <row r="17297" spans="3:4" ht="15" x14ac:dyDescent="0.25">
      <c r="C17297" s="8" t="e">
        <f>VLOOKUP(A:A,'ITEM LIST'!A:C,3,0)</f>
        <v>#N/A</v>
      </c>
      <c r="D17297" s="6">
        <f t="shared" si="271"/>
        <v>0</v>
      </c>
    </row>
    <row r="17298" spans="3:4" ht="15" x14ac:dyDescent="0.25">
      <c r="C17298" s="8" t="e">
        <f>VLOOKUP(A:A,'ITEM LIST'!A:C,3,0)</f>
        <v>#N/A</v>
      </c>
      <c r="D17298" s="6">
        <f t="shared" si="271"/>
        <v>0</v>
      </c>
    </row>
    <row r="17299" spans="3:4" ht="15" x14ac:dyDescent="0.25">
      <c r="C17299" s="8" t="e">
        <f>VLOOKUP(A:A,'ITEM LIST'!A:C,3,0)</f>
        <v>#N/A</v>
      </c>
      <c r="D17299" s="6">
        <f t="shared" si="271"/>
        <v>0</v>
      </c>
    </row>
    <row r="17300" spans="3:4" ht="15" x14ac:dyDescent="0.25">
      <c r="C17300" s="8" t="e">
        <f>VLOOKUP(A:A,'ITEM LIST'!A:C,3,0)</f>
        <v>#N/A</v>
      </c>
      <c r="D17300" s="6">
        <f t="shared" si="271"/>
        <v>0</v>
      </c>
    </row>
    <row r="17301" spans="3:4" ht="15" x14ac:dyDescent="0.25">
      <c r="C17301" s="8" t="e">
        <f>VLOOKUP(A:A,'ITEM LIST'!A:C,3,0)</f>
        <v>#N/A</v>
      </c>
      <c r="D17301" s="6">
        <f t="shared" si="271"/>
        <v>0</v>
      </c>
    </row>
    <row r="17302" spans="3:4" ht="15" x14ac:dyDescent="0.25">
      <c r="C17302" s="8" t="e">
        <f>VLOOKUP(A:A,'ITEM LIST'!A:C,3,0)</f>
        <v>#N/A</v>
      </c>
      <c r="D17302" s="6">
        <f t="shared" si="271"/>
        <v>0</v>
      </c>
    </row>
    <row r="17303" spans="3:4" ht="15" x14ac:dyDescent="0.25">
      <c r="C17303" s="8" t="e">
        <f>VLOOKUP(A:A,'ITEM LIST'!A:C,3,0)</f>
        <v>#N/A</v>
      </c>
      <c r="D17303" s="6">
        <f t="shared" si="271"/>
        <v>0</v>
      </c>
    </row>
    <row r="17304" spans="3:4" ht="15" x14ac:dyDescent="0.25">
      <c r="C17304" s="8" t="e">
        <f>VLOOKUP(A:A,'ITEM LIST'!A:C,3,0)</f>
        <v>#N/A</v>
      </c>
      <c r="D17304" s="6">
        <f t="shared" si="271"/>
        <v>0</v>
      </c>
    </row>
    <row r="17305" spans="3:4" ht="15" x14ac:dyDescent="0.25">
      <c r="C17305" s="8" t="e">
        <f>VLOOKUP(A:A,'ITEM LIST'!A:C,3,0)</f>
        <v>#N/A</v>
      </c>
      <c r="D17305" s="6">
        <f t="shared" si="271"/>
        <v>0</v>
      </c>
    </row>
    <row r="17306" spans="3:4" ht="15" x14ac:dyDescent="0.25">
      <c r="C17306" s="8" t="e">
        <f>VLOOKUP(A:A,'ITEM LIST'!A:C,3,0)</f>
        <v>#N/A</v>
      </c>
      <c r="D17306" s="6">
        <f t="shared" si="271"/>
        <v>0</v>
      </c>
    </row>
    <row r="17307" spans="3:4" ht="15" x14ac:dyDescent="0.25">
      <c r="C17307" s="8" t="e">
        <f>VLOOKUP(A:A,'ITEM LIST'!A:C,3,0)</f>
        <v>#N/A</v>
      </c>
      <c r="D17307" s="6">
        <f t="shared" si="271"/>
        <v>0</v>
      </c>
    </row>
    <row r="17308" spans="3:4" ht="15" x14ac:dyDescent="0.25">
      <c r="C17308" s="8" t="e">
        <f>VLOOKUP(A:A,'ITEM LIST'!A:C,3,0)</f>
        <v>#N/A</v>
      </c>
      <c r="D17308" s="6">
        <f t="shared" si="271"/>
        <v>0</v>
      </c>
    </row>
    <row r="17309" spans="3:4" ht="15" x14ac:dyDescent="0.25">
      <c r="C17309" s="8" t="e">
        <f>VLOOKUP(A:A,'ITEM LIST'!A:C,3,0)</f>
        <v>#N/A</v>
      </c>
      <c r="D17309" s="6">
        <f t="shared" si="271"/>
        <v>0</v>
      </c>
    </row>
    <row r="17310" spans="3:4" ht="15" x14ac:dyDescent="0.25">
      <c r="C17310" s="8" t="e">
        <f>VLOOKUP(A:A,'ITEM LIST'!A:C,3,0)</f>
        <v>#N/A</v>
      </c>
      <c r="D17310" s="6">
        <f t="shared" si="271"/>
        <v>0</v>
      </c>
    </row>
    <row r="17311" spans="3:4" ht="15" x14ac:dyDescent="0.25">
      <c r="C17311" s="8" t="e">
        <f>VLOOKUP(A:A,'ITEM LIST'!A:C,3,0)</f>
        <v>#N/A</v>
      </c>
      <c r="D17311" s="6">
        <f t="shared" si="271"/>
        <v>0</v>
      </c>
    </row>
    <row r="17312" spans="3:4" ht="15" x14ac:dyDescent="0.25">
      <c r="C17312" s="8" t="e">
        <f>VLOOKUP(A:A,'ITEM LIST'!A:C,3,0)</f>
        <v>#N/A</v>
      </c>
      <c r="D17312" s="6">
        <f t="shared" si="271"/>
        <v>0</v>
      </c>
    </row>
    <row r="17313" spans="3:4" ht="15" x14ac:dyDescent="0.25">
      <c r="C17313" s="8" t="e">
        <f>VLOOKUP(A:A,'ITEM LIST'!A:C,3,0)</f>
        <v>#N/A</v>
      </c>
      <c r="D17313" s="6">
        <f t="shared" si="271"/>
        <v>0</v>
      </c>
    </row>
    <row r="17314" spans="3:4" ht="15" x14ac:dyDescent="0.25">
      <c r="C17314" s="8" t="e">
        <f>VLOOKUP(A:A,'ITEM LIST'!A:C,3,0)</f>
        <v>#N/A</v>
      </c>
      <c r="D17314" s="6">
        <f t="shared" si="271"/>
        <v>0</v>
      </c>
    </row>
    <row r="17315" spans="3:4" ht="15" x14ac:dyDescent="0.25">
      <c r="C17315" s="8" t="e">
        <f>VLOOKUP(A:A,'ITEM LIST'!A:C,3,0)</f>
        <v>#N/A</v>
      </c>
      <c r="D17315" s="6">
        <f t="shared" si="271"/>
        <v>0</v>
      </c>
    </row>
    <row r="17316" spans="3:4" ht="15" x14ac:dyDescent="0.25">
      <c r="C17316" s="8" t="e">
        <f>VLOOKUP(A:A,'ITEM LIST'!A:C,3,0)</f>
        <v>#N/A</v>
      </c>
      <c r="D17316" s="6">
        <f t="shared" si="271"/>
        <v>0</v>
      </c>
    </row>
    <row r="17317" spans="3:4" ht="15" x14ac:dyDescent="0.25">
      <c r="C17317" s="8" t="e">
        <f>VLOOKUP(A:A,'ITEM LIST'!A:C,3,0)</f>
        <v>#N/A</v>
      </c>
      <c r="D17317" s="6">
        <f t="shared" si="271"/>
        <v>0</v>
      </c>
    </row>
    <row r="17318" spans="3:4" ht="15" x14ac:dyDescent="0.25">
      <c r="C17318" s="8" t="e">
        <f>VLOOKUP(A:A,'ITEM LIST'!A:C,3,0)</f>
        <v>#N/A</v>
      </c>
      <c r="D17318" s="6">
        <f t="shared" si="271"/>
        <v>0</v>
      </c>
    </row>
    <row r="17319" spans="3:4" ht="15" x14ac:dyDescent="0.25">
      <c r="C17319" s="8" t="e">
        <f>VLOOKUP(A:A,'ITEM LIST'!A:C,3,0)</f>
        <v>#N/A</v>
      </c>
      <c r="D17319" s="6">
        <f t="shared" si="271"/>
        <v>0</v>
      </c>
    </row>
    <row r="17320" spans="3:4" ht="15" x14ac:dyDescent="0.25">
      <c r="C17320" s="8" t="e">
        <f>VLOOKUP(A:A,'ITEM LIST'!A:C,3,0)</f>
        <v>#N/A</v>
      </c>
      <c r="D17320" s="6">
        <f t="shared" si="271"/>
        <v>0</v>
      </c>
    </row>
    <row r="17321" spans="3:4" ht="15" x14ac:dyDescent="0.25">
      <c r="C17321" s="8" t="e">
        <f>VLOOKUP(A:A,'ITEM LIST'!A:C,3,0)</f>
        <v>#N/A</v>
      </c>
      <c r="D17321" s="6">
        <f t="shared" si="271"/>
        <v>0</v>
      </c>
    </row>
    <row r="17322" spans="3:4" ht="15" x14ac:dyDescent="0.25">
      <c r="C17322" s="8" t="e">
        <f>VLOOKUP(A:A,'ITEM LIST'!A:C,3,0)</f>
        <v>#N/A</v>
      </c>
      <c r="D17322" s="6">
        <f t="shared" si="271"/>
        <v>0</v>
      </c>
    </row>
    <row r="17323" spans="3:4" ht="15" x14ac:dyDescent="0.25">
      <c r="C17323" s="8" t="e">
        <f>VLOOKUP(A:A,'ITEM LIST'!A:C,3,0)</f>
        <v>#N/A</v>
      </c>
      <c r="D17323" s="6">
        <f t="shared" si="271"/>
        <v>0</v>
      </c>
    </row>
    <row r="17324" spans="3:4" ht="15" x14ac:dyDescent="0.25">
      <c r="C17324" s="8" t="e">
        <f>VLOOKUP(A:A,'ITEM LIST'!A:C,3,0)</f>
        <v>#N/A</v>
      </c>
      <c r="D17324" s="6">
        <f t="shared" si="271"/>
        <v>0</v>
      </c>
    </row>
    <row r="17325" spans="3:4" ht="15" x14ac:dyDescent="0.25">
      <c r="C17325" s="8" t="e">
        <f>VLOOKUP(A:A,'ITEM LIST'!A:C,3,0)</f>
        <v>#N/A</v>
      </c>
      <c r="D17325" s="6">
        <f t="shared" si="271"/>
        <v>0</v>
      </c>
    </row>
    <row r="17326" spans="3:4" ht="15" x14ac:dyDescent="0.25">
      <c r="C17326" s="8" t="e">
        <f>VLOOKUP(A:A,'ITEM LIST'!A:C,3,0)</f>
        <v>#N/A</v>
      </c>
      <c r="D17326" s="6">
        <f t="shared" si="271"/>
        <v>0</v>
      </c>
    </row>
    <row r="17327" spans="3:4" ht="15" x14ac:dyDescent="0.25">
      <c r="C17327" s="8" t="e">
        <f>VLOOKUP(A:A,'ITEM LIST'!A:C,3,0)</f>
        <v>#N/A</v>
      </c>
      <c r="D17327" s="6">
        <f t="shared" si="271"/>
        <v>0</v>
      </c>
    </row>
    <row r="17328" spans="3:4" ht="15" x14ac:dyDescent="0.25">
      <c r="C17328" s="8" t="e">
        <f>VLOOKUP(A:A,'ITEM LIST'!A:C,3,0)</f>
        <v>#N/A</v>
      </c>
      <c r="D17328" s="6">
        <f t="shared" si="271"/>
        <v>0</v>
      </c>
    </row>
    <row r="17329" spans="3:4" ht="15" x14ac:dyDescent="0.25">
      <c r="C17329" s="8" t="e">
        <f>VLOOKUP(A:A,'ITEM LIST'!A:C,3,0)</f>
        <v>#N/A</v>
      </c>
      <c r="D17329" s="6">
        <f t="shared" si="271"/>
        <v>0</v>
      </c>
    </row>
    <row r="17330" spans="3:4" ht="15" x14ac:dyDescent="0.25">
      <c r="C17330" s="8" t="e">
        <f>VLOOKUP(A:A,'ITEM LIST'!A:C,3,0)</f>
        <v>#N/A</v>
      </c>
      <c r="D17330" s="6">
        <f t="shared" si="271"/>
        <v>0</v>
      </c>
    </row>
    <row r="17331" spans="3:4" ht="15" x14ac:dyDescent="0.25">
      <c r="C17331" s="8" t="e">
        <f>VLOOKUP(A:A,'ITEM LIST'!A:C,3,0)</f>
        <v>#N/A</v>
      </c>
      <c r="D17331" s="6">
        <f t="shared" si="271"/>
        <v>0</v>
      </c>
    </row>
    <row r="17332" spans="3:4" ht="15" x14ac:dyDescent="0.25">
      <c r="C17332" s="8" t="e">
        <f>VLOOKUP(A:A,'ITEM LIST'!A:C,3,0)</f>
        <v>#N/A</v>
      </c>
      <c r="D17332" s="6">
        <f t="shared" si="271"/>
        <v>0</v>
      </c>
    </row>
    <row r="17333" spans="3:4" ht="15" x14ac:dyDescent="0.25">
      <c r="C17333" s="8" t="e">
        <f>VLOOKUP(A:A,'ITEM LIST'!A:C,3,0)</f>
        <v>#N/A</v>
      </c>
      <c r="D17333" s="6">
        <f t="shared" si="271"/>
        <v>0</v>
      </c>
    </row>
    <row r="17334" spans="3:4" ht="15" x14ac:dyDescent="0.25">
      <c r="C17334" s="8" t="e">
        <f>VLOOKUP(A:A,'ITEM LIST'!A:C,3,0)</f>
        <v>#N/A</v>
      </c>
      <c r="D17334" s="6">
        <f t="shared" si="271"/>
        <v>0</v>
      </c>
    </row>
    <row r="17335" spans="3:4" ht="15" x14ac:dyDescent="0.25">
      <c r="C17335" s="8" t="e">
        <f>VLOOKUP(A:A,'ITEM LIST'!A:C,3,0)</f>
        <v>#N/A</v>
      </c>
      <c r="D17335" s="6">
        <f t="shared" si="271"/>
        <v>0</v>
      </c>
    </row>
    <row r="17336" spans="3:4" ht="15" x14ac:dyDescent="0.25">
      <c r="C17336" s="8" t="e">
        <f>VLOOKUP(A:A,'ITEM LIST'!A:C,3,0)</f>
        <v>#N/A</v>
      </c>
      <c r="D17336" s="6">
        <f t="shared" si="271"/>
        <v>0</v>
      </c>
    </row>
    <row r="17337" spans="3:4" ht="15" x14ac:dyDescent="0.25">
      <c r="C17337" s="8" t="e">
        <f>VLOOKUP(A:A,'ITEM LIST'!A:C,3,0)</f>
        <v>#N/A</v>
      </c>
      <c r="D17337" s="6">
        <f t="shared" si="271"/>
        <v>0</v>
      </c>
    </row>
    <row r="17338" spans="3:4" ht="15" x14ac:dyDescent="0.25">
      <c r="C17338" s="8" t="e">
        <f>VLOOKUP(A:A,'ITEM LIST'!A:C,3,0)</f>
        <v>#N/A</v>
      </c>
      <c r="D17338" s="6">
        <f t="shared" si="271"/>
        <v>0</v>
      </c>
    </row>
    <row r="17339" spans="3:4" ht="15" x14ac:dyDescent="0.25">
      <c r="C17339" s="8" t="e">
        <f>VLOOKUP(A:A,'ITEM LIST'!A:C,3,0)</f>
        <v>#N/A</v>
      </c>
      <c r="D17339" s="6">
        <f t="shared" si="271"/>
        <v>0</v>
      </c>
    </row>
    <row r="17340" spans="3:4" ht="15" x14ac:dyDescent="0.25">
      <c r="C17340" s="8" t="e">
        <f>VLOOKUP(A:A,'ITEM LIST'!A:C,3,0)</f>
        <v>#N/A</v>
      </c>
      <c r="D17340" s="6">
        <f t="shared" si="271"/>
        <v>0</v>
      </c>
    </row>
    <row r="17341" spans="3:4" ht="15" x14ac:dyDescent="0.25">
      <c r="C17341" s="8" t="e">
        <f>VLOOKUP(A:A,'ITEM LIST'!A:C,3,0)</f>
        <v>#N/A</v>
      </c>
      <c r="D17341" s="6">
        <f t="shared" si="271"/>
        <v>0</v>
      </c>
    </row>
    <row r="17342" spans="3:4" ht="15" x14ac:dyDescent="0.25">
      <c r="C17342" s="8" t="e">
        <f>VLOOKUP(A:A,'ITEM LIST'!A:C,3,0)</f>
        <v>#N/A</v>
      </c>
      <c r="D17342" s="6">
        <f t="shared" si="271"/>
        <v>0</v>
      </c>
    </row>
    <row r="17343" spans="3:4" ht="15" x14ac:dyDescent="0.25">
      <c r="C17343" s="8" t="e">
        <f>VLOOKUP(A:A,'ITEM LIST'!A:C,3,0)</f>
        <v>#N/A</v>
      </c>
      <c r="D17343" s="6">
        <f t="shared" si="271"/>
        <v>0</v>
      </c>
    </row>
    <row r="17344" spans="3:4" ht="15" x14ac:dyDescent="0.25">
      <c r="C17344" s="8" t="e">
        <f>VLOOKUP(A:A,'ITEM LIST'!A:C,3,0)</f>
        <v>#N/A</v>
      </c>
      <c r="D17344" s="6">
        <f t="shared" si="271"/>
        <v>0</v>
      </c>
    </row>
    <row r="17345" spans="3:4" ht="15" x14ac:dyDescent="0.25">
      <c r="C17345" s="8" t="e">
        <f>VLOOKUP(A:A,'ITEM LIST'!A:C,3,0)</f>
        <v>#N/A</v>
      </c>
      <c r="D17345" s="6">
        <f t="shared" si="271"/>
        <v>0</v>
      </c>
    </row>
    <row r="17346" spans="3:4" ht="15" x14ac:dyDescent="0.25">
      <c r="C17346" s="8" t="e">
        <f>VLOOKUP(A:A,'ITEM LIST'!A:C,3,0)</f>
        <v>#N/A</v>
      </c>
      <c r="D17346" s="6">
        <f t="shared" si="271"/>
        <v>0</v>
      </c>
    </row>
    <row r="17347" spans="3:4" ht="15" x14ac:dyDescent="0.25">
      <c r="C17347" s="8" t="e">
        <f>VLOOKUP(A:A,'ITEM LIST'!A:C,3,0)</f>
        <v>#N/A</v>
      </c>
      <c r="D17347" s="6">
        <f t="shared" si="271"/>
        <v>0</v>
      </c>
    </row>
    <row r="17348" spans="3:4" ht="15" x14ac:dyDescent="0.25">
      <c r="C17348" s="8" t="e">
        <f>VLOOKUP(A:A,'ITEM LIST'!A:C,3,0)</f>
        <v>#N/A</v>
      </c>
      <c r="D17348" s="6">
        <f t="shared" si="271"/>
        <v>0</v>
      </c>
    </row>
    <row r="17349" spans="3:4" ht="15" x14ac:dyDescent="0.25">
      <c r="C17349" s="8" t="e">
        <f>VLOOKUP(A:A,'ITEM LIST'!A:C,3,0)</f>
        <v>#N/A</v>
      </c>
      <c r="D17349" s="6">
        <f t="shared" si="271"/>
        <v>0</v>
      </c>
    </row>
    <row r="17350" spans="3:4" ht="15" x14ac:dyDescent="0.25">
      <c r="C17350" s="8" t="e">
        <f>VLOOKUP(A:A,'ITEM LIST'!A:C,3,0)</f>
        <v>#N/A</v>
      </c>
      <c r="D17350" s="6">
        <f t="shared" ref="D17350:D17413" si="272">B17350</f>
        <v>0</v>
      </c>
    </row>
    <row r="17351" spans="3:4" ht="15" x14ac:dyDescent="0.25">
      <c r="C17351" s="8" t="e">
        <f>VLOOKUP(A:A,'ITEM LIST'!A:C,3,0)</f>
        <v>#N/A</v>
      </c>
      <c r="D17351" s="6">
        <f t="shared" si="272"/>
        <v>0</v>
      </c>
    </row>
    <row r="17352" spans="3:4" ht="15" x14ac:dyDescent="0.25">
      <c r="C17352" s="8" t="e">
        <f>VLOOKUP(A:A,'ITEM LIST'!A:C,3,0)</f>
        <v>#N/A</v>
      </c>
      <c r="D17352" s="6">
        <f t="shared" si="272"/>
        <v>0</v>
      </c>
    </row>
    <row r="17353" spans="3:4" ht="15" x14ac:dyDescent="0.25">
      <c r="C17353" s="8" t="e">
        <f>VLOOKUP(A:A,'ITEM LIST'!A:C,3,0)</f>
        <v>#N/A</v>
      </c>
      <c r="D17353" s="6">
        <f t="shared" si="272"/>
        <v>0</v>
      </c>
    </row>
    <row r="17354" spans="3:4" ht="15" x14ac:dyDescent="0.25">
      <c r="C17354" s="8" t="e">
        <f>VLOOKUP(A:A,'ITEM LIST'!A:C,3,0)</f>
        <v>#N/A</v>
      </c>
      <c r="D17354" s="6">
        <f t="shared" si="272"/>
        <v>0</v>
      </c>
    </row>
    <row r="17355" spans="3:4" ht="15" x14ac:dyDescent="0.25">
      <c r="C17355" s="8" t="e">
        <f>VLOOKUP(A:A,'ITEM LIST'!A:C,3,0)</f>
        <v>#N/A</v>
      </c>
      <c r="D17355" s="6">
        <f t="shared" si="272"/>
        <v>0</v>
      </c>
    </row>
    <row r="17356" spans="3:4" ht="15" x14ac:dyDescent="0.25">
      <c r="C17356" s="8" t="e">
        <f>VLOOKUP(A:A,'ITEM LIST'!A:C,3,0)</f>
        <v>#N/A</v>
      </c>
      <c r="D17356" s="6">
        <f t="shared" si="272"/>
        <v>0</v>
      </c>
    </row>
    <row r="17357" spans="3:4" ht="15" x14ac:dyDescent="0.25">
      <c r="C17357" s="8" t="e">
        <f>VLOOKUP(A:A,'ITEM LIST'!A:C,3,0)</f>
        <v>#N/A</v>
      </c>
      <c r="D17357" s="6">
        <f t="shared" si="272"/>
        <v>0</v>
      </c>
    </row>
    <row r="17358" spans="3:4" ht="15" x14ac:dyDescent="0.25">
      <c r="C17358" s="8" t="e">
        <f>VLOOKUP(A:A,'ITEM LIST'!A:C,3,0)</f>
        <v>#N/A</v>
      </c>
      <c r="D17358" s="6">
        <f t="shared" si="272"/>
        <v>0</v>
      </c>
    </row>
    <row r="17359" spans="3:4" ht="15" x14ac:dyDescent="0.25">
      <c r="C17359" s="8" t="e">
        <f>VLOOKUP(A:A,'ITEM LIST'!A:C,3,0)</f>
        <v>#N/A</v>
      </c>
      <c r="D17359" s="6">
        <f t="shared" si="272"/>
        <v>0</v>
      </c>
    </row>
    <row r="17360" spans="3:4" ht="15" x14ac:dyDescent="0.25">
      <c r="C17360" s="8" t="e">
        <f>VLOOKUP(A:A,'ITEM LIST'!A:C,3,0)</f>
        <v>#N/A</v>
      </c>
      <c r="D17360" s="6">
        <f t="shared" si="272"/>
        <v>0</v>
      </c>
    </row>
    <row r="17361" spans="3:4" ht="15" x14ac:dyDescent="0.25">
      <c r="C17361" s="8" t="e">
        <f>VLOOKUP(A:A,'ITEM LIST'!A:C,3,0)</f>
        <v>#N/A</v>
      </c>
      <c r="D17361" s="6">
        <f t="shared" si="272"/>
        <v>0</v>
      </c>
    </row>
    <row r="17362" spans="3:4" ht="15" x14ac:dyDescent="0.25">
      <c r="C17362" s="8" t="e">
        <f>VLOOKUP(A:A,'ITEM LIST'!A:C,3,0)</f>
        <v>#N/A</v>
      </c>
      <c r="D17362" s="6">
        <f t="shared" si="272"/>
        <v>0</v>
      </c>
    </row>
    <row r="17363" spans="3:4" ht="15" x14ac:dyDescent="0.25">
      <c r="C17363" s="8" t="e">
        <f>VLOOKUP(A:A,'ITEM LIST'!A:C,3,0)</f>
        <v>#N/A</v>
      </c>
      <c r="D17363" s="6">
        <f t="shared" si="272"/>
        <v>0</v>
      </c>
    </row>
    <row r="17364" spans="3:4" ht="15" x14ac:dyDescent="0.25">
      <c r="C17364" s="8" t="e">
        <f>VLOOKUP(A:A,'ITEM LIST'!A:C,3,0)</f>
        <v>#N/A</v>
      </c>
      <c r="D17364" s="6">
        <f t="shared" si="272"/>
        <v>0</v>
      </c>
    </row>
    <row r="17365" spans="3:4" ht="15" x14ac:dyDescent="0.25">
      <c r="C17365" s="8" t="e">
        <f>VLOOKUP(A:A,'ITEM LIST'!A:C,3,0)</f>
        <v>#N/A</v>
      </c>
      <c r="D17365" s="6">
        <f t="shared" si="272"/>
        <v>0</v>
      </c>
    </row>
    <row r="17366" spans="3:4" ht="15" x14ac:dyDescent="0.25">
      <c r="C17366" s="8" t="e">
        <f>VLOOKUP(A:A,'ITEM LIST'!A:C,3,0)</f>
        <v>#N/A</v>
      </c>
      <c r="D17366" s="6">
        <f t="shared" si="272"/>
        <v>0</v>
      </c>
    </row>
    <row r="17367" spans="3:4" ht="15" x14ac:dyDescent="0.25">
      <c r="C17367" s="8" t="e">
        <f>VLOOKUP(A:A,'ITEM LIST'!A:C,3,0)</f>
        <v>#N/A</v>
      </c>
      <c r="D17367" s="6">
        <f t="shared" si="272"/>
        <v>0</v>
      </c>
    </row>
    <row r="17368" spans="3:4" ht="15" x14ac:dyDescent="0.25">
      <c r="C17368" s="8" t="e">
        <f>VLOOKUP(A:A,'ITEM LIST'!A:C,3,0)</f>
        <v>#N/A</v>
      </c>
      <c r="D17368" s="6">
        <f t="shared" si="272"/>
        <v>0</v>
      </c>
    </row>
    <row r="17369" spans="3:4" ht="15" x14ac:dyDescent="0.25">
      <c r="C17369" s="8" t="e">
        <f>VLOOKUP(A:A,'ITEM LIST'!A:C,3,0)</f>
        <v>#N/A</v>
      </c>
      <c r="D17369" s="6">
        <f t="shared" si="272"/>
        <v>0</v>
      </c>
    </row>
    <row r="17370" spans="3:4" ht="15" x14ac:dyDescent="0.25">
      <c r="C17370" s="8" t="e">
        <f>VLOOKUP(A:A,'ITEM LIST'!A:C,3,0)</f>
        <v>#N/A</v>
      </c>
      <c r="D17370" s="6">
        <f t="shared" si="272"/>
        <v>0</v>
      </c>
    </row>
    <row r="17371" spans="3:4" ht="15" x14ac:dyDescent="0.25">
      <c r="C17371" s="8" t="e">
        <f>VLOOKUP(A:A,'ITEM LIST'!A:C,3,0)</f>
        <v>#N/A</v>
      </c>
      <c r="D17371" s="6">
        <f t="shared" si="272"/>
        <v>0</v>
      </c>
    </row>
    <row r="17372" spans="3:4" ht="15" x14ac:dyDescent="0.25">
      <c r="C17372" s="8" t="e">
        <f>VLOOKUP(A:A,'ITEM LIST'!A:C,3,0)</f>
        <v>#N/A</v>
      </c>
      <c r="D17372" s="6">
        <f t="shared" si="272"/>
        <v>0</v>
      </c>
    </row>
    <row r="17373" spans="3:4" ht="15" x14ac:dyDescent="0.25">
      <c r="C17373" s="8" t="e">
        <f>VLOOKUP(A:A,'ITEM LIST'!A:C,3,0)</f>
        <v>#N/A</v>
      </c>
      <c r="D17373" s="6">
        <f t="shared" si="272"/>
        <v>0</v>
      </c>
    </row>
    <row r="17374" spans="3:4" ht="15" x14ac:dyDescent="0.25">
      <c r="C17374" s="8" t="e">
        <f>VLOOKUP(A:A,'ITEM LIST'!A:C,3,0)</f>
        <v>#N/A</v>
      </c>
      <c r="D17374" s="6">
        <f t="shared" si="272"/>
        <v>0</v>
      </c>
    </row>
    <row r="17375" spans="3:4" ht="15" x14ac:dyDescent="0.25">
      <c r="C17375" s="8" t="e">
        <f>VLOOKUP(A:A,'ITEM LIST'!A:C,3,0)</f>
        <v>#N/A</v>
      </c>
      <c r="D17375" s="6">
        <f t="shared" si="272"/>
        <v>0</v>
      </c>
    </row>
    <row r="17376" spans="3:4" ht="15" x14ac:dyDescent="0.25">
      <c r="C17376" s="8" t="e">
        <f>VLOOKUP(A:A,'ITEM LIST'!A:C,3,0)</f>
        <v>#N/A</v>
      </c>
      <c r="D17376" s="6">
        <f t="shared" si="272"/>
        <v>0</v>
      </c>
    </row>
    <row r="17377" spans="3:4" ht="15" x14ac:dyDescent="0.25">
      <c r="C17377" s="8" t="e">
        <f>VLOOKUP(A:A,'ITEM LIST'!A:C,3,0)</f>
        <v>#N/A</v>
      </c>
      <c r="D17377" s="6">
        <f t="shared" si="272"/>
        <v>0</v>
      </c>
    </row>
    <row r="17378" spans="3:4" ht="15" x14ac:dyDescent="0.25">
      <c r="C17378" s="8" t="e">
        <f>VLOOKUP(A:A,'ITEM LIST'!A:C,3,0)</f>
        <v>#N/A</v>
      </c>
      <c r="D17378" s="6">
        <f t="shared" si="272"/>
        <v>0</v>
      </c>
    </row>
    <row r="17379" spans="3:4" ht="15" x14ac:dyDescent="0.25">
      <c r="C17379" s="8" t="e">
        <f>VLOOKUP(A:A,'ITEM LIST'!A:C,3,0)</f>
        <v>#N/A</v>
      </c>
      <c r="D17379" s="6">
        <f t="shared" si="272"/>
        <v>0</v>
      </c>
    </row>
    <row r="17380" spans="3:4" ht="15" x14ac:dyDescent="0.25">
      <c r="C17380" s="8" t="e">
        <f>VLOOKUP(A:A,'ITEM LIST'!A:C,3,0)</f>
        <v>#N/A</v>
      </c>
      <c r="D17380" s="6">
        <f t="shared" si="272"/>
        <v>0</v>
      </c>
    </row>
    <row r="17381" spans="3:4" ht="15" x14ac:dyDescent="0.25">
      <c r="C17381" s="8" t="e">
        <f>VLOOKUP(A:A,'ITEM LIST'!A:C,3,0)</f>
        <v>#N/A</v>
      </c>
      <c r="D17381" s="6">
        <f t="shared" si="272"/>
        <v>0</v>
      </c>
    </row>
    <row r="17382" spans="3:4" ht="15" x14ac:dyDescent="0.25">
      <c r="C17382" s="8" t="e">
        <f>VLOOKUP(A:A,'ITEM LIST'!A:C,3,0)</f>
        <v>#N/A</v>
      </c>
      <c r="D17382" s="6">
        <f t="shared" si="272"/>
        <v>0</v>
      </c>
    </row>
    <row r="17383" spans="3:4" ht="15" x14ac:dyDescent="0.25">
      <c r="C17383" s="8" t="e">
        <f>VLOOKUP(A:A,'ITEM LIST'!A:C,3,0)</f>
        <v>#N/A</v>
      </c>
      <c r="D17383" s="6">
        <f t="shared" si="272"/>
        <v>0</v>
      </c>
    </row>
    <row r="17384" spans="3:4" ht="15" x14ac:dyDescent="0.25">
      <c r="C17384" s="8" t="e">
        <f>VLOOKUP(A:A,'ITEM LIST'!A:C,3,0)</f>
        <v>#N/A</v>
      </c>
      <c r="D17384" s="6">
        <f t="shared" si="272"/>
        <v>0</v>
      </c>
    </row>
    <row r="17385" spans="3:4" ht="15" x14ac:dyDescent="0.25">
      <c r="C17385" s="8" t="e">
        <f>VLOOKUP(A:A,'ITEM LIST'!A:C,3,0)</f>
        <v>#N/A</v>
      </c>
      <c r="D17385" s="6">
        <f t="shared" si="272"/>
        <v>0</v>
      </c>
    </row>
    <row r="17386" spans="3:4" ht="15" x14ac:dyDescent="0.25">
      <c r="C17386" s="8" t="e">
        <f>VLOOKUP(A:A,'ITEM LIST'!A:C,3,0)</f>
        <v>#N/A</v>
      </c>
      <c r="D17386" s="6">
        <f t="shared" si="272"/>
        <v>0</v>
      </c>
    </row>
    <row r="17387" spans="3:4" ht="15" x14ac:dyDescent="0.25">
      <c r="C17387" s="8" t="e">
        <f>VLOOKUP(A:A,'ITEM LIST'!A:C,3,0)</f>
        <v>#N/A</v>
      </c>
      <c r="D17387" s="6">
        <f t="shared" si="272"/>
        <v>0</v>
      </c>
    </row>
    <row r="17388" spans="3:4" ht="15" x14ac:dyDescent="0.25">
      <c r="C17388" s="8" t="e">
        <f>VLOOKUP(A:A,'ITEM LIST'!A:C,3,0)</f>
        <v>#N/A</v>
      </c>
      <c r="D17388" s="6">
        <f t="shared" si="272"/>
        <v>0</v>
      </c>
    </row>
    <row r="17389" spans="3:4" ht="15" x14ac:dyDescent="0.25">
      <c r="C17389" s="8" t="e">
        <f>VLOOKUP(A:A,'ITEM LIST'!A:C,3,0)</f>
        <v>#N/A</v>
      </c>
      <c r="D17389" s="6">
        <f t="shared" si="272"/>
        <v>0</v>
      </c>
    </row>
    <row r="17390" spans="3:4" ht="15" x14ac:dyDescent="0.25">
      <c r="C17390" s="8" t="e">
        <f>VLOOKUP(A:A,'ITEM LIST'!A:C,3,0)</f>
        <v>#N/A</v>
      </c>
      <c r="D17390" s="6">
        <f t="shared" si="272"/>
        <v>0</v>
      </c>
    </row>
    <row r="17391" spans="3:4" ht="15" x14ac:dyDescent="0.25">
      <c r="C17391" s="8" t="e">
        <f>VLOOKUP(A:A,'ITEM LIST'!A:C,3,0)</f>
        <v>#N/A</v>
      </c>
      <c r="D17391" s="6">
        <f t="shared" si="272"/>
        <v>0</v>
      </c>
    </row>
    <row r="17392" spans="3:4" ht="15" x14ac:dyDescent="0.25">
      <c r="C17392" s="8" t="e">
        <f>VLOOKUP(A:A,'ITEM LIST'!A:C,3,0)</f>
        <v>#N/A</v>
      </c>
      <c r="D17392" s="6">
        <f t="shared" si="272"/>
        <v>0</v>
      </c>
    </row>
    <row r="17393" spans="3:4" ht="15" x14ac:dyDescent="0.25">
      <c r="C17393" s="8" t="e">
        <f>VLOOKUP(A:A,'ITEM LIST'!A:C,3,0)</f>
        <v>#N/A</v>
      </c>
      <c r="D17393" s="6">
        <f t="shared" si="272"/>
        <v>0</v>
      </c>
    </row>
    <row r="17394" spans="3:4" ht="15" x14ac:dyDescent="0.25">
      <c r="C17394" s="8" t="e">
        <f>VLOOKUP(A:A,'ITEM LIST'!A:C,3,0)</f>
        <v>#N/A</v>
      </c>
      <c r="D17394" s="6">
        <f t="shared" si="272"/>
        <v>0</v>
      </c>
    </row>
    <row r="17395" spans="3:4" ht="15" x14ac:dyDescent="0.25">
      <c r="C17395" s="8" t="e">
        <f>VLOOKUP(A:A,'ITEM LIST'!A:C,3,0)</f>
        <v>#N/A</v>
      </c>
      <c r="D17395" s="6">
        <f t="shared" si="272"/>
        <v>0</v>
      </c>
    </row>
    <row r="17396" spans="3:4" ht="15" x14ac:dyDescent="0.25">
      <c r="C17396" s="8" t="e">
        <f>VLOOKUP(A:A,'ITEM LIST'!A:C,3,0)</f>
        <v>#N/A</v>
      </c>
      <c r="D17396" s="6">
        <f t="shared" si="272"/>
        <v>0</v>
      </c>
    </row>
    <row r="17397" spans="3:4" ht="15" x14ac:dyDescent="0.25">
      <c r="C17397" s="8" t="e">
        <f>VLOOKUP(A:A,'ITEM LIST'!A:C,3,0)</f>
        <v>#N/A</v>
      </c>
      <c r="D17397" s="6">
        <f t="shared" si="272"/>
        <v>0</v>
      </c>
    </row>
    <row r="17398" spans="3:4" ht="15" x14ac:dyDescent="0.25">
      <c r="C17398" s="8" t="e">
        <f>VLOOKUP(A:A,'ITEM LIST'!A:C,3,0)</f>
        <v>#N/A</v>
      </c>
      <c r="D17398" s="6">
        <f t="shared" si="272"/>
        <v>0</v>
      </c>
    </row>
    <row r="17399" spans="3:4" ht="15" x14ac:dyDescent="0.25">
      <c r="C17399" s="8" t="e">
        <f>VLOOKUP(A:A,'ITEM LIST'!A:C,3,0)</f>
        <v>#N/A</v>
      </c>
      <c r="D17399" s="6">
        <f t="shared" si="272"/>
        <v>0</v>
      </c>
    </row>
    <row r="17400" spans="3:4" ht="15" x14ac:dyDescent="0.25">
      <c r="C17400" s="8" t="e">
        <f>VLOOKUP(A:A,'ITEM LIST'!A:C,3,0)</f>
        <v>#N/A</v>
      </c>
      <c r="D17400" s="6">
        <f t="shared" si="272"/>
        <v>0</v>
      </c>
    </row>
    <row r="17401" spans="3:4" ht="15" x14ac:dyDescent="0.25">
      <c r="C17401" s="8" t="e">
        <f>VLOOKUP(A:A,'ITEM LIST'!A:C,3,0)</f>
        <v>#N/A</v>
      </c>
      <c r="D17401" s="6">
        <f t="shared" si="272"/>
        <v>0</v>
      </c>
    </row>
    <row r="17402" spans="3:4" ht="15" x14ac:dyDescent="0.25">
      <c r="C17402" s="8" t="e">
        <f>VLOOKUP(A:A,'ITEM LIST'!A:C,3,0)</f>
        <v>#N/A</v>
      </c>
      <c r="D17402" s="6">
        <f t="shared" si="272"/>
        <v>0</v>
      </c>
    </row>
    <row r="17403" spans="3:4" ht="15" x14ac:dyDescent="0.25">
      <c r="C17403" s="8" t="e">
        <f>VLOOKUP(A:A,'ITEM LIST'!A:C,3,0)</f>
        <v>#N/A</v>
      </c>
      <c r="D17403" s="6">
        <f t="shared" si="272"/>
        <v>0</v>
      </c>
    </row>
    <row r="17404" spans="3:4" ht="15" x14ac:dyDescent="0.25">
      <c r="C17404" s="8" t="e">
        <f>VLOOKUP(A:A,'ITEM LIST'!A:C,3,0)</f>
        <v>#N/A</v>
      </c>
      <c r="D17404" s="6">
        <f t="shared" si="272"/>
        <v>0</v>
      </c>
    </row>
    <row r="17405" spans="3:4" ht="15" x14ac:dyDescent="0.25">
      <c r="C17405" s="8" t="e">
        <f>VLOOKUP(A:A,'ITEM LIST'!A:C,3,0)</f>
        <v>#N/A</v>
      </c>
      <c r="D17405" s="6">
        <f t="shared" si="272"/>
        <v>0</v>
      </c>
    </row>
    <row r="17406" spans="3:4" ht="15" x14ac:dyDescent="0.25">
      <c r="C17406" s="8" t="e">
        <f>VLOOKUP(A:A,'ITEM LIST'!A:C,3,0)</f>
        <v>#N/A</v>
      </c>
      <c r="D17406" s="6">
        <f t="shared" si="272"/>
        <v>0</v>
      </c>
    </row>
    <row r="17407" spans="3:4" ht="15" x14ac:dyDescent="0.25">
      <c r="C17407" s="8" t="e">
        <f>VLOOKUP(A:A,'ITEM LIST'!A:C,3,0)</f>
        <v>#N/A</v>
      </c>
      <c r="D17407" s="6">
        <f t="shared" si="272"/>
        <v>0</v>
      </c>
    </row>
    <row r="17408" spans="3:4" ht="15" x14ac:dyDescent="0.25">
      <c r="C17408" s="8" t="e">
        <f>VLOOKUP(A:A,'ITEM LIST'!A:C,3,0)</f>
        <v>#N/A</v>
      </c>
      <c r="D17408" s="6">
        <f t="shared" si="272"/>
        <v>0</v>
      </c>
    </row>
    <row r="17409" spans="3:4" ht="15" x14ac:dyDescent="0.25">
      <c r="C17409" s="8" t="e">
        <f>VLOOKUP(A:A,'ITEM LIST'!A:C,3,0)</f>
        <v>#N/A</v>
      </c>
      <c r="D17409" s="6">
        <f t="shared" si="272"/>
        <v>0</v>
      </c>
    </row>
    <row r="17410" spans="3:4" ht="15" x14ac:dyDescent="0.25">
      <c r="C17410" s="8" t="e">
        <f>VLOOKUP(A:A,'ITEM LIST'!A:C,3,0)</f>
        <v>#N/A</v>
      </c>
      <c r="D17410" s="6">
        <f t="shared" si="272"/>
        <v>0</v>
      </c>
    </row>
    <row r="17411" spans="3:4" ht="15" x14ac:dyDescent="0.25">
      <c r="C17411" s="8" t="e">
        <f>VLOOKUP(A:A,'ITEM LIST'!A:C,3,0)</f>
        <v>#N/A</v>
      </c>
      <c r="D17411" s="6">
        <f t="shared" si="272"/>
        <v>0</v>
      </c>
    </row>
    <row r="17412" spans="3:4" ht="15" x14ac:dyDescent="0.25">
      <c r="C17412" s="8" t="e">
        <f>VLOOKUP(A:A,'ITEM LIST'!A:C,3,0)</f>
        <v>#N/A</v>
      </c>
      <c r="D17412" s="6">
        <f t="shared" si="272"/>
        <v>0</v>
      </c>
    </row>
    <row r="17413" spans="3:4" ht="15" x14ac:dyDescent="0.25">
      <c r="C17413" s="8" t="e">
        <f>VLOOKUP(A:A,'ITEM LIST'!A:C,3,0)</f>
        <v>#N/A</v>
      </c>
      <c r="D17413" s="6">
        <f t="shared" si="272"/>
        <v>0</v>
      </c>
    </row>
    <row r="17414" spans="3:4" ht="15" x14ac:dyDescent="0.25">
      <c r="C17414" s="8" t="e">
        <f>VLOOKUP(A:A,'ITEM LIST'!A:C,3,0)</f>
        <v>#N/A</v>
      </c>
      <c r="D17414" s="6">
        <f t="shared" ref="D17414:D17477" si="273">B17414</f>
        <v>0</v>
      </c>
    </row>
    <row r="17415" spans="3:4" ht="15" x14ac:dyDescent="0.25">
      <c r="C17415" s="8" t="e">
        <f>VLOOKUP(A:A,'ITEM LIST'!A:C,3,0)</f>
        <v>#N/A</v>
      </c>
      <c r="D17415" s="6">
        <f t="shared" si="273"/>
        <v>0</v>
      </c>
    </row>
    <row r="17416" spans="3:4" ht="15" x14ac:dyDescent="0.25">
      <c r="C17416" s="8" t="e">
        <f>VLOOKUP(A:A,'ITEM LIST'!A:C,3,0)</f>
        <v>#N/A</v>
      </c>
      <c r="D17416" s="6">
        <f t="shared" si="273"/>
        <v>0</v>
      </c>
    </row>
    <row r="17417" spans="3:4" ht="15" x14ac:dyDescent="0.25">
      <c r="C17417" s="8" t="e">
        <f>VLOOKUP(A:A,'ITEM LIST'!A:C,3,0)</f>
        <v>#N/A</v>
      </c>
      <c r="D17417" s="6">
        <f t="shared" si="273"/>
        <v>0</v>
      </c>
    </row>
    <row r="17418" spans="3:4" ht="15" x14ac:dyDescent="0.25">
      <c r="C17418" s="8" t="e">
        <f>VLOOKUP(A:A,'ITEM LIST'!A:C,3,0)</f>
        <v>#N/A</v>
      </c>
      <c r="D17418" s="6">
        <f t="shared" si="273"/>
        <v>0</v>
      </c>
    </row>
    <row r="17419" spans="3:4" ht="15" x14ac:dyDescent="0.25">
      <c r="C17419" s="8" t="e">
        <f>VLOOKUP(A:A,'ITEM LIST'!A:C,3,0)</f>
        <v>#N/A</v>
      </c>
      <c r="D17419" s="6">
        <f t="shared" si="273"/>
        <v>0</v>
      </c>
    </row>
    <row r="17420" spans="3:4" ht="15" x14ac:dyDescent="0.25">
      <c r="C17420" s="8" t="e">
        <f>VLOOKUP(A:A,'ITEM LIST'!A:C,3,0)</f>
        <v>#N/A</v>
      </c>
      <c r="D17420" s="6">
        <f t="shared" si="273"/>
        <v>0</v>
      </c>
    </row>
    <row r="17421" spans="3:4" ht="15" x14ac:dyDescent="0.25">
      <c r="C17421" s="8" t="e">
        <f>VLOOKUP(A:A,'ITEM LIST'!A:C,3,0)</f>
        <v>#N/A</v>
      </c>
      <c r="D17421" s="6">
        <f t="shared" si="273"/>
        <v>0</v>
      </c>
    </row>
    <row r="17422" spans="3:4" ht="15" x14ac:dyDescent="0.25">
      <c r="C17422" s="8" t="e">
        <f>VLOOKUP(A:A,'ITEM LIST'!A:C,3,0)</f>
        <v>#N/A</v>
      </c>
      <c r="D17422" s="6">
        <f t="shared" si="273"/>
        <v>0</v>
      </c>
    </row>
    <row r="17423" spans="3:4" ht="15" x14ac:dyDescent="0.25">
      <c r="C17423" s="8" t="e">
        <f>VLOOKUP(A:A,'ITEM LIST'!A:C,3,0)</f>
        <v>#N/A</v>
      </c>
      <c r="D17423" s="6">
        <f t="shared" si="273"/>
        <v>0</v>
      </c>
    </row>
    <row r="17424" spans="3:4" ht="15" x14ac:dyDescent="0.25">
      <c r="C17424" s="8" t="e">
        <f>VLOOKUP(A:A,'ITEM LIST'!A:C,3,0)</f>
        <v>#N/A</v>
      </c>
      <c r="D17424" s="6">
        <f t="shared" si="273"/>
        <v>0</v>
      </c>
    </row>
    <row r="17425" spans="3:4" ht="15" x14ac:dyDescent="0.25">
      <c r="C17425" s="8" t="e">
        <f>VLOOKUP(A:A,'ITEM LIST'!A:C,3,0)</f>
        <v>#N/A</v>
      </c>
      <c r="D17425" s="6">
        <f t="shared" si="273"/>
        <v>0</v>
      </c>
    </row>
    <row r="17426" spans="3:4" ht="15" x14ac:dyDescent="0.25">
      <c r="C17426" s="8" t="e">
        <f>VLOOKUP(A:A,'ITEM LIST'!A:C,3,0)</f>
        <v>#N/A</v>
      </c>
      <c r="D17426" s="6">
        <f t="shared" si="273"/>
        <v>0</v>
      </c>
    </row>
    <row r="17427" spans="3:4" ht="15" x14ac:dyDescent="0.25">
      <c r="C17427" s="8" t="e">
        <f>VLOOKUP(A:A,'ITEM LIST'!A:C,3,0)</f>
        <v>#N/A</v>
      </c>
      <c r="D17427" s="6">
        <f t="shared" si="273"/>
        <v>0</v>
      </c>
    </row>
    <row r="17428" spans="3:4" ht="15" x14ac:dyDescent="0.25">
      <c r="C17428" s="8" t="e">
        <f>VLOOKUP(A:A,'ITEM LIST'!A:C,3,0)</f>
        <v>#N/A</v>
      </c>
      <c r="D17428" s="6">
        <f t="shared" si="273"/>
        <v>0</v>
      </c>
    </row>
    <row r="17429" spans="3:4" ht="15" x14ac:dyDescent="0.25">
      <c r="C17429" s="8" t="e">
        <f>VLOOKUP(A:A,'ITEM LIST'!A:C,3,0)</f>
        <v>#N/A</v>
      </c>
      <c r="D17429" s="6">
        <f t="shared" si="273"/>
        <v>0</v>
      </c>
    </row>
    <row r="17430" spans="3:4" ht="15" x14ac:dyDescent="0.25">
      <c r="C17430" s="8" t="e">
        <f>VLOOKUP(A:A,'ITEM LIST'!A:C,3,0)</f>
        <v>#N/A</v>
      </c>
      <c r="D17430" s="6">
        <f t="shared" si="273"/>
        <v>0</v>
      </c>
    </row>
    <row r="17431" spans="3:4" ht="15" x14ac:dyDescent="0.25">
      <c r="C17431" s="8" t="e">
        <f>VLOOKUP(A:A,'ITEM LIST'!A:C,3,0)</f>
        <v>#N/A</v>
      </c>
      <c r="D17431" s="6">
        <f t="shared" si="273"/>
        <v>0</v>
      </c>
    </row>
    <row r="17432" spans="3:4" ht="15" x14ac:dyDescent="0.25">
      <c r="C17432" s="8" t="e">
        <f>VLOOKUP(A:A,'ITEM LIST'!A:C,3,0)</f>
        <v>#N/A</v>
      </c>
      <c r="D17432" s="6">
        <f t="shared" si="273"/>
        <v>0</v>
      </c>
    </row>
    <row r="17433" spans="3:4" ht="15" x14ac:dyDescent="0.25">
      <c r="C17433" s="8" t="e">
        <f>VLOOKUP(A:A,'ITEM LIST'!A:C,3,0)</f>
        <v>#N/A</v>
      </c>
      <c r="D17433" s="6">
        <f t="shared" si="273"/>
        <v>0</v>
      </c>
    </row>
    <row r="17434" spans="3:4" ht="15" x14ac:dyDescent="0.25">
      <c r="C17434" s="8" t="e">
        <f>VLOOKUP(A:A,'ITEM LIST'!A:C,3,0)</f>
        <v>#N/A</v>
      </c>
      <c r="D17434" s="6">
        <f t="shared" si="273"/>
        <v>0</v>
      </c>
    </row>
    <row r="17435" spans="3:4" ht="15" x14ac:dyDescent="0.25">
      <c r="C17435" s="8" t="e">
        <f>VLOOKUP(A:A,'ITEM LIST'!A:C,3,0)</f>
        <v>#N/A</v>
      </c>
      <c r="D17435" s="6">
        <f t="shared" si="273"/>
        <v>0</v>
      </c>
    </row>
    <row r="17436" spans="3:4" ht="15" x14ac:dyDescent="0.25">
      <c r="C17436" s="8" t="e">
        <f>VLOOKUP(A:A,'ITEM LIST'!A:C,3,0)</f>
        <v>#N/A</v>
      </c>
      <c r="D17436" s="6">
        <f t="shared" si="273"/>
        <v>0</v>
      </c>
    </row>
    <row r="17437" spans="3:4" ht="15" x14ac:dyDescent="0.25">
      <c r="C17437" s="8" t="e">
        <f>VLOOKUP(A:A,'ITEM LIST'!A:C,3,0)</f>
        <v>#N/A</v>
      </c>
      <c r="D17437" s="6">
        <f t="shared" si="273"/>
        <v>0</v>
      </c>
    </row>
    <row r="17438" spans="3:4" ht="15" x14ac:dyDescent="0.25">
      <c r="C17438" s="8" t="e">
        <f>VLOOKUP(A:A,'ITEM LIST'!A:C,3,0)</f>
        <v>#N/A</v>
      </c>
      <c r="D17438" s="6">
        <f t="shared" si="273"/>
        <v>0</v>
      </c>
    </row>
    <row r="17439" spans="3:4" ht="15" x14ac:dyDescent="0.25">
      <c r="C17439" s="8" t="e">
        <f>VLOOKUP(A:A,'ITEM LIST'!A:C,3,0)</f>
        <v>#N/A</v>
      </c>
      <c r="D17439" s="6">
        <f t="shared" si="273"/>
        <v>0</v>
      </c>
    </row>
    <row r="17440" spans="3:4" ht="15" x14ac:dyDescent="0.25">
      <c r="C17440" s="8" t="e">
        <f>VLOOKUP(A:A,'ITEM LIST'!A:C,3,0)</f>
        <v>#N/A</v>
      </c>
      <c r="D17440" s="6">
        <f t="shared" si="273"/>
        <v>0</v>
      </c>
    </row>
    <row r="17441" spans="3:4" ht="15" x14ac:dyDescent="0.25">
      <c r="C17441" s="8" t="e">
        <f>VLOOKUP(A:A,'ITEM LIST'!A:C,3,0)</f>
        <v>#N/A</v>
      </c>
      <c r="D17441" s="6">
        <f t="shared" si="273"/>
        <v>0</v>
      </c>
    </row>
    <row r="17442" spans="3:4" ht="15" x14ac:dyDescent="0.25">
      <c r="C17442" s="8" t="e">
        <f>VLOOKUP(A:A,'ITEM LIST'!A:C,3,0)</f>
        <v>#N/A</v>
      </c>
      <c r="D17442" s="6">
        <f t="shared" si="273"/>
        <v>0</v>
      </c>
    </row>
    <row r="17443" spans="3:4" ht="15" x14ac:dyDescent="0.25">
      <c r="C17443" s="8" t="e">
        <f>VLOOKUP(A:A,'ITEM LIST'!A:C,3,0)</f>
        <v>#N/A</v>
      </c>
      <c r="D17443" s="6">
        <f t="shared" si="273"/>
        <v>0</v>
      </c>
    </row>
    <row r="17444" spans="3:4" ht="15" x14ac:dyDescent="0.25">
      <c r="C17444" s="8" t="e">
        <f>VLOOKUP(A:A,'ITEM LIST'!A:C,3,0)</f>
        <v>#N/A</v>
      </c>
      <c r="D17444" s="6">
        <f t="shared" si="273"/>
        <v>0</v>
      </c>
    </row>
    <row r="17445" spans="3:4" ht="15" x14ac:dyDescent="0.25">
      <c r="C17445" s="8" t="e">
        <f>VLOOKUP(A:A,'ITEM LIST'!A:C,3,0)</f>
        <v>#N/A</v>
      </c>
      <c r="D17445" s="6">
        <f t="shared" si="273"/>
        <v>0</v>
      </c>
    </row>
    <row r="17446" spans="3:4" ht="15" x14ac:dyDescent="0.25">
      <c r="C17446" s="8" t="e">
        <f>VLOOKUP(A:A,'ITEM LIST'!A:C,3,0)</f>
        <v>#N/A</v>
      </c>
      <c r="D17446" s="6">
        <f t="shared" si="273"/>
        <v>0</v>
      </c>
    </row>
    <row r="17447" spans="3:4" ht="15" x14ac:dyDescent="0.25">
      <c r="C17447" s="8" t="e">
        <f>VLOOKUP(A:A,'ITEM LIST'!A:C,3,0)</f>
        <v>#N/A</v>
      </c>
      <c r="D17447" s="6">
        <f t="shared" si="273"/>
        <v>0</v>
      </c>
    </row>
    <row r="17448" spans="3:4" ht="15" x14ac:dyDescent="0.25">
      <c r="C17448" s="8" t="e">
        <f>VLOOKUP(A:A,'ITEM LIST'!A:C,3,0)</f>
        <v>#N/A</v>
      </c>
      <c r="D17448" s="6">
        <f t="shared" si="273"/>
        <v>0</v>
      </c>
    </row>
    <row r="17449" spans="3:4" ht="15" x14ac:dyDescent="0.25">
      <c r="C17449" s="8" t="e">
        <f>VLOOKUP(A:A,'ITEM LIST'!A:C,3,0)</f>
        <v>#N/A</v>
      </c>
      <c r="D17449" s="6">
        <f t="shared" si="273"/>
        <v>0</v>
      </c>
    </row>
    <row r="17450" spans="3:4" ht="15" x14ac:dyDescent="0.25">
      <c r="C17450" s="8" t="e">
        <f>VLOOKUP(A:A,'ITEM LIST'!A:C,3,0)</f>
        <v>#N/A</v>
      </c>
      <c r="D17450" s="6">
        <f t="shared" si="273"/>
        <v>0</v>
      </c>
    </row>
    <row r="17451" spans="3:4" ht="15" x14ac:dyDescent="0.25">
      <c r="C17451" s="8" t="e">
        <f>VLOOKUP(A:A,'ITEM LIST'!A:C,3,0)</f>
        <v>#N/A</v>
      </c>
      <c r="D17451" s="6">
        <f t="shared" si="273"/>
        <v>0</v>
      </c>
    </row>
    <row r="17452" spans="3:4" ht="15" x14ac:dyDescent="0.25">
      <c r="C17452" s="8" t="e">
        <f>VLOOKUP(A:A,'ITEM LIST'!A:C,3,0)</f>
        <v>#N/A</v>
      </c>
      <c r="D17452" s="6">
        <f t="shared" si="273"/>
        <v>0</v>
      </c>
    </row>
    <row r="17453" spans="3:4" ht="15" x14ac:dyDescent="0.25">
      <c r="C17453" s="8" t="e">
        <f>VLOOKUP(A:A,'ITEM LIST'!A:C,3,0)</f>
        <v>#N/A</v>
      </c>
      <c r="D17453" s="6">
        <f t="shared" si="273"/>
        <v>0</v>
      </c>
    </row>
    <row r="17454" spans="3:4" ht="15" x14ac:dyDescent="0.25">
      <c r="C17454" s="8" t="e">
        <f>VLOOKUP(A:A,'ITEM LIST'!A:C,3,0)</f>
        <v>#N/A</v>
      </c>
      <c r="D17454" s="6">
        <f t="shared" si="273"/>
        <v>0</v>
      </c>
    </row>
    <row r="17455" spans="3:4" ht="15" x14ac:dyDescent="0.25">
      <c r="C17455" s="8" t="e">
        <f>VLOOKUP(A:A,'ITEM LIST'!A:C,3,0)</f>
        <v>#N/A</v>
      </c>
      <c r="D17455" s="6">
        <f t="shared" si="273"/>
        <v>0</v>
      </c>
    </row>
    <row r="17456" spans="3:4" ht="15" x14ac:dyDescent="0.25">
      <c r="C17456" s="8" t="e">
        <f>VLOOKUP(A:A,'ITEM LIST'!A:C,3,0)</f>
        <v>#N/A</v>
      </c>
      <c r="D17456" s="6">
        <f t="shared" si="273"/>
        <v>0</v>
      </c>
    </row>
    <row r="17457" spans="3:4" ht="15" x14ac:dyDescent="0.25">
      <c r="C17457" s="8" t="e">
        <f>VLOOKUP(A:A,'ITEM LIST'!A:C,3,0)</f>
        <v>#N/A</v>
      </c>
      <c r="D17457" s="6">
        <f t="shared" si="273"/>
        <v>0</v>
      </c>
    </row>
    <row r="17458" spans="3:4" ht="15" x14ac:dyDescent="0.25">
      <c r="C17458" s="8" t="e">
        <f>VLOOKUP(A:A,'ITEM LIST'!A:C,3,0)</f>
        <v>#N/A</v>
      </c>
      <c r="D17458" s="6">
        <f t="shared" si="273"/>
        <v>0</v>
      </c>
    </row>
    <row r="17459" spans="3:4" ht="15" x14ac:dyDescent="0.25">
      <c r="C17459" s="8" t="e">
        <f>VLOOKUP(A:A,'ITEM LIST'!A:C,3,0)</f>
        <v>#N/A</v>
      </c>
      <c r="D17459" s="6">
        <f t="shared" si="273"/>
        <v>0</v>
      </c>
    </row>
    <row r="17460" spans="3:4" ht="15" x14ac:dyDescent="0.25">
      <c r="C17460" s="8" t="e">
        <f>VLOOKUP(A:A,'ITEM LIST'!A:C,3,0)</f>
        <v>#N/A</v>
      </c>
      <c r="D17460" s="6">
        <f t="shared" si="273"/>
        <v>0</v>
      </c>
    </row>
    <row r="17461" spans="3:4" ht="15" x14ac:dyDescent="0.25">
      <c r="C17461" s="8" t="e">
        <f>VLOOKUP(A:A,'ITEM LIST'!A:C,3,0)</f>
        <v>#N/A</v>
      </c>
      <c r="D17461" s="6">
        <f t="shared" si="273"/>
        <v>0</v>
      </c>
    </row>
    <row r="17462" spans="3:4" ht="15" x14ac:dyDescent="0.25">
      <c r="C17462" s="8" t="e">
        <f>VLOOKUP(A:A,'ITEM LIST'!A:C,3,0)</f>
        <v>#N/A</v>
      </c>
      <c r="D17462" s="6">
        <f t="shared" si="273"/>
        <v>0</v>
      </c>
    </row>
    <row r="17463" spans="3:4" ht="15" x14ac:dyDescent="0.25">
      <c r="C17463" s="8" t="e">
        <f>VLOOKUP(A:A,'ITEM LIST'!A:C,3,0)</f>
        <v>#N/A</v>
      </c>
      <c r="D17463" s="6">
        <f t="shared" si="273"/>
        <v>0</v>
      </c>
    </row>
    <row r="17464" spans="3:4" ht="15" x14ac:dyDescent="0.25">
      <c r="C17464" s="8" t="e">
        <f>VLOOKUP(A:A,'ITEM LIST'!A:C,3,0)</f>
        <v>#N/A</v>
      </c>
      <c r="D17464" s="6">
        <f t="shared" si="273"/>
        <v>0</v>
      </c>
    </row>
    <row r="17465" spans="3:4" ht="15" x14ac:dyDescent="0.25">
      <c r="C17465" s="8" t="e">
        <f>VLOOKUP(A:A,'ITEM LIST'!A:C,3,0)</f>
        <v>#N/A</v>
      </c>
      <c r="D17465" s="6">
        <f t="shared" si="273"/>
        <v>0</v>
      </c>
    </row>
    <row r="17466" spans="3:4" ht="15" x14ac:dyDescent="0.25">
      <c r="C17466" s="8" t="e">
        <f>VLOOKUP(A:A,'ITEM LIST'!A:C,3,0)</f>
        <v>#N/A</v>
      </c>
      <c r="D17466" s="6">
        <f t="shared" si="273"/>
        <v>0</v>
      </c>
    </row>
    <row r="17467" spans="3:4" ht="15" x14ac:dyDescent="0.25">
      <c r="C17467" s="8" t="e">
        <f>VLOOKUP(A:A,'ITEM LIST'!A:C,3,0)</f>
        <v>#N/A</v>
      </c>
      <c r="D17467" s="6">
        <f t="shared" si="273"/>
        <v>0</v>
      </c>
    </row>
    <row r="17468" spans="3:4" ht="15" x14ac:dyDescent="0.25">
      <c r="C17468" s="8" t="e">
        <f>VLOOKUP(A:A,'ITEM LIST'!A:C,3,0)</f>
        <v>#N/A</v>
      </c>
      <c r="D17468" s="6">
        <f t="shared" si="273"/>
        <v>0</v>
      </c>
    </row>
    <row r="17469" spans="3:4" ht="15" x14ac:dyDescent="0.25">
      <c r="C17469" s="8" t="e">
        <f>VLOOKUP(A:A,'ITEM LIST'!A:C,3,0)</f>
        <v>#N/A</v>
      </c>
      <c r="D17469" s="6">
        <f t="shared" si="273"/>
        <v>0</v>
      </c>
    </row>
    <row r="17470" spans="3:4" ht="15" x14ac:dyDescent="0.25">
      <c r="C17470" s="8" t="e">
        <f>VLOOKUP(A:A,'ITEM LIST'!A:C,3,0)</f>
        <v>#N/A</v>
      </c>
      <c r="D17470" s="6">
        <f t="shared" si="273"/>
        <v>0</v>
      </c>
    </row>
    <row r="17471" spans="3:4" ht="15" x14ac:dyDescent="0.25">
      <c r="C17471" s="8" t="e">
        <f>VLOOKUP(A:A,'ITEM LIST'!A:C,3,0)</f>
        <v>#N/A</v>
      </c>
      <c r="D17471" s="6">
        <f t="shared" si="273"/>
        <v>0</v>
      </c>
    </row>
    <row r="17472" spans="3:4" ht="15" x14ac:dyDescent="0.25">
      <c r="C17472" s="8" t="e">
        <f>VLOOKUP(A:A,'ITEM LIST'!A:C,3,0)</f>
        <v>#N/A</v>
      </c>
      <c r="D17472" s="6">
        <f t="shared" si="273"/>
        <v>0</v>
      </c>
    </row>
    <row r="17473" spans="3:4" ht="15" x14ac:dyDescent="0.25">
      <c r="C17473" s="8" t="e">
        <f>VLOOKUP(A:A,'ITEM LIST'!A:C,3,0)</f>
        <v>#N/A</v>
      </c>
      <c r="D17473" s="6">
        <f t="shared" si="273"/>
        <v>0</v>
      </c>
    </row>
    <row r="17474" spans="3:4" ht="15" x14ac:dyDescent="0.25">
      <c r="C17474" s="8" t="e">
        <f>VLOOKUP(A:A,'ITEM LIST'!A:C,3,0)</f>
        <v>#N/A</v>
      </c>
      <c r="D17474" s="6">
        <f t="shared" si="273"/>
        <v>0</v>
      </c>
    </row>
    <row r="17475" spans="3:4" ht="15" x14ac:dyDescent="0.25">
      <c r="C17475" s="8" t="e">
        <f>VLOOKUP(A:A,'ITEM LIST'!A:C,3,0)</f>
        <v>#N/A</v>
      </c>
      <c r="D17475" s="6">
        <f t="shared" si="273"/>
        <v>0</v>
      </c>
    </row>
    <row r="17476" spans="3:4" ht="15" x14ac:dyDescent="0.25">
      <c r="C17476" s="8" t="e">
        <f>VLOOKUP(A:A,'ITEM LIST'!A:C,3,0)</f>
        <v>#N/A</v>
      </c>
      <c r="D17476" s="6">
        <f t="shared" si="273"/>
        <v>0</v>
      </c>
    </row>
    <row r="17477" spans="3:4" ht="15" x14ac:dyDescent="0.25">
      <c r="C17477" s="8" t="e">
        <f>VLOOKUP(A:A,'ITEM LIST'!A:C,3,0)</f>
        <v>#N/A</v>
      </c>
      <c r="D17477" s="6">
        <f t="shared" si="273"/>
        <v>0</v>
      </c>
    </row>
    <row r="17478" spans="3:4" ht="15" x14ac:dyDescent="0.25">
      <c r="C17478" s="8" t="e">
        <f>VLOOKUP(A:A,'ITEM LIST'!A:C,3,0)</f>
        <v>#N/A</v>
      </c>
      <c r="D17478" s="6">
        <f t="shared" ref="D17478:D17541" si="274">B17478</f>
        <v>0</v>
      </c>
    </row>
    <row r="17479" spans="3:4" ht="15" x14ac:dyDescent="0.25">
      <c r="C17479" s="8" t="e">
        <f>VLOOKUP(A:A,'ITEM LIST'!A:C,3,0)</f>
        <v>#N/A</v>
      </c>
      <c r="D17479" s="6">
        <f t="shared" si="274"/>
        <v>0</v>
      </c>
    </row>
    <row r="17480" spans="3:4" ht="15" x14ac:dyDescent="0.25">
      <c r="C17480" s="8" t="e">
        <f>VLOOKUP(A:A,'ITEM LIST'!A:C,3,0)</f>
        <v>#N/A</v>
      </c>
      <c r="D17480" s="6">
        <f t="shared" si="274"/>
        <v>0</v>
      </c>
    </row>
    <row r="17481" spans="3:4" ht="15" x14ac:dyDescent="0.25">
      <c r="C17481" s="8" t="e">
        <f>VLOOKUP(A:A,'ITEM LIST'!A:C,3,0)</f>
        <v>#N/A</v>
      </c>
      <c r="D17481" s="6">
        <f t="shared" si="274"/>
        <v>0</v>
      </c>
    </row>
    <row r="17482" spans="3:4" ht="15" x14ac:dyDescent="0.25">
      <c r="C17482" s="8" t="e">
        <f>VLOOKUP(A:A,'ITEM LIST'!A:C,3,0)</f>
        <v>#N/A</v>
      </c>
      <c r="D17482" s="6">
        <f t="shared" si="274"/>
        <v>0</v>
      </c>
    </row>
    <row r="17483" spans="3:4" ht="15" x14ac:dyDescent="0.25">
      <c r="C17483" s="8" t="e">
        <f>VLOOKUP(A:A,'ITEM LIST'!A:C,3,0)</f>
        <v>#N/A</v>
      </c>
      <c r="D17483" s="6">
        <f t="shared" si="274"/>
        <v>0</v>
      </c>
    </row>
    <row r="17484" spans="3:4" ht="15" x14ac:dyDescent="0.25">
      <c r="C17484" s="8" t="e">
        <f>VLOOKUP(A:A,'ITEM LIST'!A:C,3,0)</f>
        <v>#N/A</v>
      </c>
      <c r="D17484" s="6">
        <f t="shared" si="274"/>
        <v>0</v>
      </c>
    </row>
    <row r="17485" spans="3:4" ht="15" x14ac:dyDescent="0.25">
      <c r="C17485" s="8" t="e">
        <f>VLOOKUP(A:A,'ITEM LIST'!A:C,3,0)</f>
        <v>#N/A</v>
      </c>
      <c r="D17485" s="6">
        <f t="shared" si="274"/>
        <v>0</v>
      </c>
    </row>
    <row r="17486" spans="3:4" ht="15" x14ac:dyDescent="0.25">
      <c r="C17486" s="8" t="e">
        <f>VLOOKUP(A:A,'ITEM LIST'!A:C,3,0)</f>
        <v>#N/A</v>
      </c>
      <c r="D17486" s="6">
        <f t="shared" si="274"/>
        <v>0</v>
      </c>
    </row>
    <row r="17487" spans="3:4" ht="15" x14ac:dyDescent="0.25">
      <c r="C17487" s="8" t="e">
        <f>VLOOKUP(A:A,'ITEM LIST'!A:C,3,0)</f>
        <v>#N/A</v>
      </c>
      <c r="D17487" s="6">
        <f t="shared" si="274"/>
        <v>0</v>
      </c>
    </row>
    <row r="17488" spans="3:4" ht="15" x14ac:dyDescent="0.25">
      <c r="C17488" s="8" t="e">
        <f>VLOOKUP(A:A,'ITEM LIST'!A:C,3,0)</f>
        <v>#N/A</v>
      </c>
      <c r="D17488" s="6">
        <f t="shared" si="274"/>
        <v>0</v>
      </c>
    </row>
    <row r="17489" spans="3:4" ht="15" x14ac:dyDescent="0.25">
      <c r="C17489" s="8" t="e">
        <f>VLOOKUP(A:A,'ITEM LIST'!A:C,3,0)</f>
        <v>#N/A</v>
      </c>
      <c r="D17489" s="6">
        <f t="shared" si="274"/>
        <v>0</v>
      </c>
    </row>
    <row r="17490" spans="3:4" ht="15" x14ac:dyDescent="0.25">
      <c r="C17490" s="8" t="e">
        <f>VLOOKUP(A:A,'ITEM LIST'!A:C,3,0)</f>
        <v>#N/A</v>
      </c>
      <c r="D17490" s="6">
        <f t="shared" si="274"/>
        <v>0</v>
      </c>
    </row>
    <row r="17491" spans="3:4" ht="15" x14ac:dyDescent="0.25">
      <c r="C17491" s="8" t="e">
        <f>VLOOKUP(A:A,'ITEM LIST'!A:C,3,0)</f>
        <v>#N/A</v>
      </c>
      <c r="D17491" s="6">
        <f t="shared" si="274"/>
        <v>0</v>
      </c>
    </row>
    <row r="17492" spans="3:4" ht="15" x14ac:dyDescent="0.25">
      <c r="C17492" s="8" t="e">
        <f>VLOOKUP(A:A,'ITEM LIST'!A:C,3,0)</f>
        <v>#N/A</v>
      </c>
      <c r="D17492" s="6">
        <f t="shared" si="274"/>
        <v>0</v>
      </c>
    </row>
    <row r="17493" spans="3:4" ht="15" x14ac:dyDescent="0.25">
      <c r="C17493" s="8" t="e">
        <f>VLOOKUP(A:A,'ITEM LIST'!A:C,3,0)</f>
        <v>#N/A</v>
      </c>
      <c r="D17493" s="6">
        <f t="shared" si="274"/>
        <v>0</v>
      </c>
    </row>
    <row r="17494" spans="3:4" ht="15" x14ac:dyDescent="0.25">
      <c r="C17494" s="8" t="e">
        <f>VLOOKUP(A:A,'ITEM LIST'!A:C,3,0)</f>
        <v>#N/A</v>
      </c>
      <c r="D17494" s="6">
        <f t="shared" si="274"/>
        <v>0</v>
      </c>
    </row>
    <row r="17495" spans="3:4" ht="15" x14ac:dyDescent="0.25">
      <c r="C17495" s="8" t="e">
        <f>VLOOKUP(A:A,'ITEM LIST'!A:C,3,0)</f>
        <v>#N/A</v>
      </c>
      <c r="D17495" s="6">
        <f t="shared" si="274"/>
        <v>0</v>
      </c>
    </row>
    <row r="17496" spans="3:4" ht="15" x14ac:dyDescent="0.25">
      <c r="C17496" s="8" t="e">
        <f>VLOOKUP(A:A,'ITEM LIST'!A:C,3,0)</f>
        <v>#N/A</v>
      </c>
      <c r="D17496" s="6">
        <f t="shared" si="274"/>
        <v>0</v>
      </c>
    </row>
    <row r="17497" spans="3:4" ht="15" x14ac:dyDescent="0.25">
      <c r="C17497" s="8" t="e">
        <f>VLOOKUP(A:A,'ITEM LIST'!A:C,3,0)</f>
        <v>#N/A</v>
      </c>
      <c r="D17497" s="6">
        <f t="shared" si="274"/>
        <v>0</v>
      </c>
    </row>
    <row r="17498" spans="3:4" ht="15" x14ac:dyDescent="0.25">
      <c r="C17498" s="8" t="e">
        <f>VLOOKUP(A:A,'ITEM LIST'!A:C,3,0)</f>
        <v>#N/A</v>
      </c>
      <c r="D17498" s="6">
        <f t="shared" si="274"/>
        <v>0</v>
      </c>
    </row>
    <row r="17499" spans="3:4" ht="15" x14ac:dyDescent="0.25">
      <c r="C17499" s="8" t="e">
        <f>VLOOKUP(A:A,'ITEM LIST'!A:C,3,0)</f>
        <v>#N/A</v>
      </c>
      <c r="D17499" s="6">
        <f t="shared" si="274"/>
        <v>0</v>
      </c>
    </row>
    <row r="17500" spans="3:4" ht="15" x14ac:dyDescent="0.25">
      <c r="C17500" s="8" t="e">
        <f>VLOOKUP(A:A,'ITEM LIST'!A:C,3,0)</f>
        <v>#N/A</v>
      </c>
      <c r="D17500" s="6">
        <f t="shared" si="274"/>
        <v>0</v>
      </c>
    </row>
    <row r="17501" spans="3:4" ht="15" x14ac:dyDescent="0.25">
      <c r="C17501" s="8" t="e">
        <f>VLOOKUP(A:A,'ITEM LIST'!A:C,3,0)</f>
        <v>#N/A</v>
      </c>
      <c r="D17501" s="6">
        <f t="shared" si="274"/>
        <v>0</v>
      </c>
    </row>
    <row r="17502" spans="3:4" ht="15" x14ac:dyDescent="0.25">
      <c r="C17502" s="8" t="e">
        <f>VLOOKUP(A:A,'ITEM LIST'!A:C,3,0)</f>
        <v>#N/A</v>
      </c>
      <c r="D17502" s="6">
        <f t="shared" si="274"/>
        <v>0</v>
      </c>
    </row>
    <row r="17503" spans="3:4" ht="15" x14ac:dyDescent="0.25">
      <c r="C17503" s="8" t="e">
        <f>VLOOKUP(A:A,'ITEM LIST'!A:C,3,0)</f>
        <v>#N/A</v>
      </c>
      <c r="D17503" s="6">
        <f t="shared" si="274"/>
        <v>0</v>
      </c>
    </row>
    <row r="17504" spans="3:4" ht="15" x14ac:dyDescent="0.25">
      <c r="C17504" s="8" t="e">
        <f>VLOOKUP(A:A,'ITEM LIST'!A:C,3,0)</f>
        <v>#N/A</v>
      </c>
      <c r="D17504" s="6">
        <f t="shared" si="274"/>
        <v>0</v>
      </c>
    </row>
    <row r="17505" spans="3:4" ht="15" x14ac:dyDescent="0.25">
      <c r="C17505" s="8" t="e">
        <f>VLOOKUP(A:A,'ITEM LIST'!A:C,3,0)</f>
        <v>#N/A</v>
      </c>
      <c r="D17505" s="6">
        <f t="shared" si="274"/>
        <v>0</v>
      </c>
    </row>
    <row r="17506" spans="3:4" ht="15" x14ac:dyDescent="0.25">
      <c r="C17506" s="8" t="e">
        <f>VLOOKUP(A:A,'ITEM LIST'!A:C,3,0)</f>
        <v>#N/A</v>
      </c>
      <c r="D17506" s="6">
        <f t="shared" si="274"/>
        <v>0</v>
      </c>
    </row>
    <row r="17507" spans="3:4" ht="15" x14ac:dyDescent="0.25">
      <c r="C17507" s="8" t="e">
        <f>VLOOKUP(A:A,'ITEM LIST'!A:C,3,0)</f>
        <v>#N/A</v>
      </c>
      <c r="D17507" s="6">
        <f t="shared" si="274"/>
        <v>0</v>
      </c>
    </row>
    <row r="17508" spans="3:4" ht="15" x14ac:dyDescent="0.25">
      <c r="C17508" s="8" t="e">
        <f>VLOOKUP(A:A,'ITEM LIST'!A:C,3,0)</f>
        <v>#N/A</v>
      </c>
      <c r="D17508" s="6">
        <f t="shared" si="274"/>
        <v>0</v>
      </c>
    </row>
    <row r="17509" spans="3:4" ht="15" x14ac:dyDescent="0.25">
      <c r="C17509" s="8" t="e">
        <f>VLOOKUP(A:A,'ITEM LIST'!A:C,3,0)</f>
        <v>#N/A</v>
      </c>
      <c r="D17509" s="6">
        <f t="shared" si="274"/>
        <v>0</v>
      </c>
    </row>
    <row r="17510" spans="3:4" ht="15" x14ac:dyDescent="0.25">
      <c r="C17510" s="8" t="e">
        <f>VLOOKUP(A:A,'ITEM LIST'!A:C,3,0)</f>
        <v>#N/A</v>
      </c>
      <c r="D17510" s="6">
        <f t="shared" si="274"/>
        <v>0</v>
      </c>
    </row>
    <row r="17511" spans="3:4" ht="15" x14ac:dyDescent="0.25">
      <c r="C17511" s="8" t="e">
        <f>VLOOKUP(A:A,'ITEM LIST'!A:C,3,0)</f>
        <v>#N/A</v>
      </c>
      <c r="D17511" s="6">
        <f t="shared" si="274"/>
        <v>0</v>
      </c>
    </row>
    <row r="17512" spans="3:4" ht="15" x14ac:dyDescent="0.25">
      <c r="C17512" s="8" t="e">
        <f>VLOOKUP(A:A,'ITEM LIST'!A:C,3,0)</f>
        <v>#N/A</v>
      </c>
      <c r="D17512" s="6">
        <f t="shared" si="274"/>
        <v>0</v>
      </c>
    </row>
    <row r="17513" spans="3:4" ht="15" x14ac:dyDescent="0.25">
      <c r="C17513" s="8" t="e">
        <f>VLOOKUP(A:A,'ITEM LIST'!A:C,3,0)</f>
        <v>#N/A</v>
      </c>
      <c r="D17513" s="6">
        <f t="shared" si="274"/>
        <v>0</v>
      </c>
    </row>
    <row r="17514" spans="3:4" ht="15" x14ac:dyDescent="0.25">
      <c r="C17514" s="8" t="e">
        <f>VLOOKUP(A:A,'ITEM LIST'!A:C,3,0)</f>
        <v>#N/A</v>
      </c>
      <c r="D17514" s="6">
        <f t="shared" si="274"/>
        <v>0</v>
      </c>
    </row>
    <row r="17515" spans="3:4" ht="15" x14ac:dyDescent="0.25">
      <c r="C17515" s="8" t="e">
        <f>VLOOKUP(A:A,'ITEM LIST'!A:C,3,0)</f>
        <v>#N/A</v>
      </c>
      <c r="D17515" s="6">
        <f t="shared" si="274"/>
        <v>0</v>
      </c>
    </row>
    <row r="17516" spans="3:4" ht="15" x14ac:dyDescent="0.25">
      <c r="C17516" s="8" t="e">
        <f>VLOOKUP(A:A,'ITEM LIST'!A:C,3,0)</f>
        <v>#N/A</v>
      </c>
      <c r="D17516" s="6">
        <f t="shared" si="274"/>
        <v>0</v>
      </c>
    </row>
    <row r="17517" spans="3:4" ht="15" x14ac:dyDescent="0.25">
      <c r="C17517" s="8" t="e">
        <f>VLOOKUP(A:A,'ITEM LIST'!A:C,3,0)</f>
        <v>#N/A</v>
      </c>
      <c r="D17517" s="6">
        <f t="shared" si="274"/>
        <v>0</v>
      </c>
    </row>
    <row r="17518" spans="3:4" ht="15" x14ac:dyDescent="0.25">
      <c r="C17518" s="8" t="e">
        <f>VLOOKUP(A:A,'ITEM LIST'!A:C,3,0)</f>
        <v>#N/A</v>
      </c>
      <c r="D17518" s="6">
        <f t="shared" si="274"/>
        <v>0</v>
      </c>
    </row>
    <row r="17519" spans="3:4" ht="15" x14ac:dyDescent="0.25">
      <c r="C17519" s="8" t="e">
        <f>VLOOKUP(A:A,'ITEM LIST'!A:C,3,0)</f>
        <v>#N/A</v>
      </c>
      <c r="D17519" s="6">
        <f t="shared" si="274"/>
        <v>0</v>
      </c>
    </row>
    <row r="17520" spans="3:4" ht="15" x14ac:dyDescent="0.25">
      <c r="C17520" s="8" t="e">
        <f>VLOOKUP(A:A,'ITEM LIST'!A:C,3,0)</f>
        <v>#N/A</v>
      </c>
      <c r="D17520" s="6">
        <f t="shared" si="274"/>
        <v>0</v>
      </c>
    </row>
    <row r="17521" spans="3:4" ht="15" x14ac:dyDescent="0.25">
      <c r="C17521" s="8" t="e">
        <f>VLOOKUP(A:A,'ITEM LIST'!A:C,3,0)</f>
        <v>#N/A</v>
      </c>
      <c r="D17521" s="6">
        <f t="shared" si="274"/>
        <v>0</v>
      </c>
    </row>
    <row r="17522" spans="3:4" ht="15" x14ac:dyDescent="0.25">
      <c r="C17522" s="8" t="e">
        <f>VLOOKUP(A:A,'ITEM LIST'!A:C,3,0)</f>
        <v>#N/A</v>
      </c>
      <c r="D17522" s="6">
        <f t="shared" si="274"/>
        <v>0</v>
      </c>
    </row>
    <row r="17523" spans="3:4" ht="15" x14ac:dyDescent="0.25">
      <c r="C17523" s="8" t="e">
        <f>VLOOKUP(A:A,'ITEM LIST'!A:C,3,0)</f>
        <v>#N/A</v>
      </c>
      <c r="D17523" s="6">
        <f t="shared" si="274"/>
        <v>0</v>
      </c>
    </row>
    <row r="17524" spans="3:4" ht="15" x14ac:dyDescent="0.25">
      <c r="C17524" s="8" t="e">
        <f>VLOOKUP(A:A,'ITEM LIST'!A:C,3,0)</f>
        <v>#N/A</v>
      </c>
      <c r="D17524" s="6">
        <f t="shared" si="274"/>
        <v>0</v>
      </c>
    </row>
    <row r="17525" spans="3:4" ht="15" x14ac:dyDescent="0.25">
      <c r="C17525" s="8" t="e">
        <f>VLOOKUP(A:A,'ITEM LIST'!A:C,3,0)</f>
        <v>#N/A</v>
      </c>
      <c r="D17525" s="6">
        <f t="shared" si="274"/>
        <v>0</v>
      </c>
    </row>
    <row r="17526" spans="3:4" ht="15" x14ac:dyDescent="0.25">
      <c r="C17526" s="8" t="e">
        <f>VLOOKUP(A:A,'ITEM LIST'!A:C,3,0)</f>
        <v>#N/A</v>
      </c>
      <c r="D17526" s="6">
        <f t="shared" si="274"/>
        <v>0</v>
      </c>
    </row>
    <row r="17527" spans="3:4" ht="15" x14ac:dyDescent="0.25">
      <c r="C17527" s="8" t="e">
        <f>VLOOKUP(A:A,'ITEM LIST'!A:C,3,0)</f>
        <v>#N/A</v>
      </c>
      <c r="D17527" s="6">
        <f t="shared" si="274"/>
        <v>0</v>
      </c>
    </row>
    <row r="17528" spans="3:4" ht="15" x14ac:dyDescent="0.25">
      <c r="C17528" s="8" t="e">
        <f>VLOOKUP(A:A,'ITEM LIST'!A:C,3,0)</f>
        <v>#N/A</v>
      </c>
      <c r="D17528" s="6">
        <f t="shared" si="274"/>
        <v>0</v>
      </c>
    </row>
    <row r="17529" spans="3:4" ht="15" x14ac:dyDescent="0.25">
      <c r="C17529" s="8" t="e">
        <f>VLOOKUP(A:A,'ITEM LIST'!A:C,3,0)</f>
        <v>#N/A</v>
      </c>
      <c r="D17529" s="6">
        <f t="shared" si="274"/>
        <v>0</v>
      </c>
    </row>
    <row r="17530" spans="3:4" ht="15" x14ac:dyDescent="0.25">
      <c r="C17530" s="8" t="e">
        <f>VLOOKUP(A:A,'ITEM LIST'!A:C,3,0)</f>
        <v>#N/A</v>
      </c>
      <c r="D17530" s="6">
        <f t="shared" si="274"/>
        <v>0</v>
      </c>
    </row>
    <row r="17531" spans="3:4" ht="15" x14ac:dyDescent="0.25">
      <c r="C17531" s="8" t="e">
        <f>VLOOKUP(A:A,'ITEM LIST'!A:C,3,0)</f>
        <v>#N/A</v>
      </c>
      <c r="D17531" s="6">
        <f t="shared" si="274"/>
        <v>0</v>
      </c>
    </row>
    <row r="17532" spans="3:4" ht="15" x14ac:dyDescent="0.25">
      <c r="C17532" s="8" t="e">
        <f>VLOOKUP(A:A,'ITEM LIST'!A:C,3,0)</f>
        <v>#N/A</v>
      </c>
      <c r="D17532" s="6">
        <f t="shared" si="274"/>
        <v>0</v>
      </c>
    </row>
    <row r="17533" spans="3:4" ht="15" x14ac:dyDescent="0.25">
      <c r="C17533" s="8" t="e">
        <f>VLOOKUP(A:A,'ITEM LIST'!A:C,3,0)</f>
        <v>#N/A</v>
      </c>
      <c r="D17533" s="6">
        <f t="shared" si="274"/>
        <v>0</v>
      </c>
    </row>
    <row r="17534" spans="3:4" ht="15" x14ac:dyDescent="0.25">
      <c r="C17534" s="8" t="e">
        <f>VLOOKUP(A:A,'ITEM LIST'!A:C,3,0)</f>
        <v>#N/A</v>
      </c>
      <c r="D17534" s="6">
        <f t="shared" si="274"/>
        <v>0</v>
      </c>
    </row>
    <row r="17535" spans="3:4" ht="15" x14ac:dyDescent="0.25">
      <c r="C17535" s="8" t="e">
        <f>VLOOKUP(A:A,'ITEM LIST'!A:C,3,0)</f>
        <v>#N/A</v>
      </c>
      <c r="D17535" s="6">
        <f t="shared" si="274"/>
        <v>0</v>
      </c>
    </row>
    <row r="17536" spans="3:4" ht="15" x14ac:dyDescent="0.25">
      <c r="C17536" s="8" t="e">
        <f>VLOOKUP(A:A,'ITEM LIST'!A:C,3,0)</f>
        <v>#N/A</v>
      </c>
      <c r="D17536" s="6">
        <f t="shared" si="274"/>
        <v>0</v>
      </c>
    </row>
    <row r="17537" spans="3:4" ht="15" x14ac:dyDescent="0.25">
      <c r="C17537" s="8" t="e">
        <f>VLOOKUP(A:A,'ITEM LIST'!A:C,3,0)</f>
        <v>#N/A</v>
      </c>
      <c r="D17537" s="6">
        <f t="shared" si="274"/>
        <v>0</v>
      </c>
    </row>
    <row r="17538" spans="3:4" ht="15" x14ac:dyDescent="0.25">
      <c r="C17538" s="8" t="e">
        <f>VLOOKUP(A:A,'ITEM LIST'!A:C,3,0)</f>
        <v>#N/A</v>
      </c>
      <c r="D17538" s="6">
        <f t="shared" si="274"/>
        <v>0</v>
      </c>
    </row>
    <row r="17539" spans="3:4" ht="15" x14ac:dyDescent="0.25">
      <c r="C17539" s="8" t="e">
        <f>VLOOKUP(A:A,'ITEM LIST'!A:C,3,0)</f>
        <v>#N/A</v>
      </c>
      <c r="D17539" s="6">
        <f t="shared" si="274"/>
        <v>0</v>
      </c>
    </row>
    <row r="17540" spans="3:4" ht="15" x14ac:dyDescent="0.25">
      <c r="C17540" s="8" t="e">
        <f>VLOOKUP(A:A,'ITEM LIST'!A:C,3,0)</f>
        <v>#N/A</v>
      </c>
      <c r="D17540" s="6">
        <f t="shared" si="274"/>
        <v>0</v>
      </c>
    </row>
    <row r="17541" spans="3:4" ht="15" x14ac:dyDescent="0.25">
      <c r="C17541" s="8" t="e">
        <f>VLOOKUP(A:A,'ITEM LIST'!A:C,3,0)</f>
        <v>#N/A</v>
      </c>
      <c r="D17541" s="6">
        <f t="shared" si="274"/>
        <v>0</v>
      </c>
    </row>
    <row r="17542" spans="3:4" ht="15" x14ac:dyDescent="0.25">
      <c r="C17542" s="8" t="e">
        <f>VLOOKUP(A:A,'ITEM LIST'!A:C,3,0)</f>
        <v>#N/A</v>
      </c>
      <c r="D17542" s="6">
        <f t="shared" ref="D17542:D17605" si="275">B17542</f>
        <v>0</v>
      </c>
    </row>
    <row r="17543" spans="3:4" ht="15" x14ac:dyDescent="0.25">
      <c r="C17543" s="8" t="e">
        <f>VLOOKUP(A:A,'ITEM LIST'!A:C,3,0)</f>
        <v>#N/A</v>
      </c>
      <c r="D17543" s="6">
        <f t="shared" si="275"/>
        <v>0</v>
      </c>
    </row>
    <row r="17544" spans="3:4" ht="15" x14ac:dyDescent="0.25">
      <c r="C17544" s="8" t="e">
        <f>VLOOKUP(A:A,'ITEM LIST'!A:C,3,0)</f>
        <v>#N/A</v>
      </c>
      <c r="D17544" s="6">
        <f t="shared" si="275"/>
        <v>0</v>
      </c>
    </row>
    <row r="17545" spans="3:4" ht="15" x14ac:dyDescent="0.25">
      <c r="C17545" s="8" t="e">
        <f>VLOOKUP(A:A,'ITEM LIST'!A:C,3,0)</f>
        <v>#N/A</v>
      </c>
      <c r="D17545" s="6">
        <f t="shared" si="275"/>
        <v>0</v>
      </c>
    </row>
    <row r="17546" spans="3:4" ht="15" x14ac:dyDescent="0.25">
      <c r="C17546" s="8" t="e">
        <f>VLOOKUP(A:A,'ITEM LIST'!A:C,3,0)</f>
        <v>#N/A</v>
      </c>
      <c r="D17546" s="6">
        <f t="shared" si="275"/>
        <v>0</v>
      </c>
    </row>
    <row r="17547" spans="3:4" ht="15" x14ac:dyDescent="0.25">
      <c r="C17547" s="8" t="e">
        <f>VLOOKUP(A:A,'ITEM LIST'!A:C,3,0)</f>
        <v>#N/A</v>
      </c>
      <c r="D17547" s="6">
        <f t="shared" si="275"/>
        <v>0</v>
      </c>
    </row>
    <row r="17548" spans="3:4" ht="15" x14ac:dyDescent="0.25">
      <c r="C17548" s="8" t="e">
        <f>VLOOKUP(A:A,'ITEM LIST'!A:C,3,0)</f>
        <v>#N/A</v>
      </c>
      <c r="D17548" s="6">
        <f t="shared" si="275"/>
        <v>0</v>
      </c>
    </row>
    <row r="17549" spans="3:4" ht="15" x14ac:dyDescent="0.25">
      <c r="C17549" s="8" t="e">
        <f>VLOOKUP(A:A,'ITEM LIST'!A:C,3,0)</f>
        <v>#N/A</v>
      </c>
      <c r="D17549" s="6">
        <f t="shared" si="275"/>
        <v>0</v>
      </c>
    </row>
    <row r="17550" spans="3:4" ht="15" x14ac:dyDescent="0.25">
      <c r="C17550" s="8" t="e">
        <f>VLOOKUP(A:A,'ITEM LIST'!A:C,3,0)</f>
        <v>#N/A</v>
      </c>
      <c r="D17550" s="6">
        <f t="shared" si="275"/>
        <v>0</v>
      </c>
    </row>
    <row r="17551" spans="3:4" ht="15" x14ac:dyDescent="0.25">
      <c r="C17551" s="8" t="e">
        <f>VLOOKUP(A:A,'ITEM LIST'!A:C,3,0)</f>
        <v>#N/A</v>
      </c>
      <c r="D17551" s="6">
        <f t="shared" si="275"/>
        <v>0</v>
      </c>
    </row>
    <row r="17552" spans="3:4" ht="15" x14ac:dyDescent="0.25">
      <c r="C17552" s="8" t="e">
        <f>VLOOKUP(A:A,'ITEM LIST'!A:C,3,0)</f>
        <v>#N/A</v>
      </c>
      <c r="D17552" s="6">
        <f t="shared" si="275"/>
        <v>0</v>
      </c>
    </row>
    <row r="17553" spans="3:4" ht="15" x14ac:dyDescent="0.25">
      <c r="C17553" s="8" t="e">
        <f>VLOOKUP(A:A,'ITEM LIST'!A:C,3,0)</f>
        <v>#N/A</v>
      </c>
      <c r="D17553" s="6">
        <f t="shared" si="275"/>
        <v>0</v>
      </c>
    </row>
    <row r="17554" spans="3:4" ht="15" x14ac:dyDescent="0.25">
      <c r="C17554" s="8" t="e">
        <f>VLOOKUP(A:A,'ITEM LIST'!A:C,3,0)</f>
        <v>#N/A</v>
      </c>
      <c r="D17554" s="6">
        <f t="shared" si="275"/>
        <v>0</v>
      </c>
    </row>
    <row r="17555" spans="3:4" ht="15" x14ac:dyDescent="0.25">
      <c r="C17555" s="8" t="e">
        <f>VLOOKUP(A:A,'ITEM LIST'!A:C,3,0)</f>
        <v>#N/A</v>
      </c>
      <c r="D17555" s="6">
        <f t="shared" si="275"/>
        <v>0</v>
      </c>
    </row>
    <row r="17556" spans="3:4" ht="15" x14ac:dyDescent="0.25">
      <c r="C17556" s="8" t="e">
        <f>VLOOKUP(A:A,'ITEM LIST'!A:C,3,0)</f>
        <v>#N/A</v>
      </c>
      <c r="D17556" s="6">
        <f t="shared" si="275"/>
        <v>0</v>
      </c>
    </row>
    <row r="17557" spans="3:4" ht="15" x14ac:dyDescent="0.25">
      <c r="C17557" s="8" t="e">
        <f>VLOOKUP(A:A,'ITEM LIST'!A:C,3,0)</f>
        <v>#N/A</v>
      </c>
      <c r="D17557" s="6">
        <f t="shared" si="275"/>
        <v>0</v>
      </c>
    </row>
    <row r="17558" spans="3:4" ht="15" x14ac:dyDescent="0.25">
      <c r="C17558" s="8" t="e">
        <f>VLOOKUP(A:A,'ITEM LIST'!A:C,3,0)</f>
        <v>#N/A</v>
      </c>
      <c r="D17558" s="6">
        <f t="shared" si="275"/>
        <v>0</v>
      </c>
    </row>
    <row r="17559" spans="3:4" ht="15" x14ac:dyDescent="0.25">
      <c r="C17559" s="8" t="e">
        <f>VLOOKUP(A:A,'ITEM LIST'!A:C,3,0)</f>
        <v>#N/A</v>
      </c>
      <c r="D17559" s="6">
        <f t="shared" si="275"/>
        <v>0</v>
      </c>
    </row>
    <row r="17560" spans="3:4" ht="15" x14ac:dyDescent="0.25">
      <c r="C17560" s="8" t="e">
        <f>VLOOKUP(A:A,'ITEM LIST'!A:C,3,0)</f>
        <v>#N/A</v>
      </c>
      <c r="D17560" s="6">
        <f t="shared" si="275"/>
        <v>0</v>
      </c>
    </row>
    <row r="17561" spans="3:4" ht="15" x14ac:dyDescent="0.25">
      <c r="C17561" s="8" t="e">
        <f>VLOOKUP(A:A,'ITEM LIST'!A:C,3,0)</f>
        <v>#N/A</v>
      </c>
      <c r="D17561" s="6">
        <f t="shared" si="275"/>
        <v>0</v>
      </c>
    </row>
    <row r="17562" spans="3:4" ht="15" x14ac:dyDescent="0.25">
      <c r="C17562" s="8" t="e">
        <f>VLOOKUP(A:A,'ITEM LIST'!A:C,3,0)</f>
        <v>#N/A</v>
      </c>
      <c r="D17562" s="6">
        <f t="shared" si="275"/>
        <v>0</v>
      </c>
    </row>
    <row r="17563" spans="3:4" ht="15" x14ac:dyDescent="0.25">
      <c r="C17563" s="8" t="e">
        <f>VLOOKUP(A:A,'ITEM LIST'!A:C,3,0)</f>
        <v>#N/A</v>
      </c>
      <c r="D17563" s="6">
        <f t="shared" si="275"/>
        <v>0</v>
      </c>
    </row>
    <row r="17564" spans="3:4" ht="15" x14ac:dyDescent="0.25">
      <c r="C17564" s="8" t="e">
        <f>VLOOKUP(A:A,'ITEM LIST'!A:C,3,0)</f>
        <v>#N/A</v>
      </c>
      <c r="D17564" s="6">
        <f t="shared" si="275"/>
        <v>0</v>
      </c>
    </row>
    <row r="17565" spans="3:4" ht="15" x14ac:dyDescent="0.25">
      <c r="C17565" s="8" t="e">
        <f>VLOOKUP(A:A,'ITEM LIST'!A:C,3,0)</f>
        <v>#N/A</v>
      </c>
      <c r="D17565" s="6">
        <f t="shared" si="275"/>
        <v>0</v>
      </c>
    </row>
    <row r="17566" spans="3:4" ht="15" x14ac:dyDescent="0.25">
      <c r="C17566" s="8" t="e">
        <f>VLOOKUP(A:A,'ITEM LIST'!A:C,3,0)</f>
        <v>#N/A</v>
      </c>
      <c r="D17566" s="6">
        <f t="shared" si="275"/>
        <v>0</v>
      </c>
    </row>
    <row r="17567" spans="3:4" ht="15" x14ac:dyDescent="0.25">
      <c r="C17567" s="8" t="e">
        <f>VLOOKUP(A:A,'ITEM LIST'!A:C,3,0)</f>
        <v>#N/A</v>
      </c>
      <c r="D17567" s="6">
        <f t="shared" si="275"/>
        <v>0</v>
      </c>
    </row>
    <row r="17568" spans="3:4" ht="15" x14ac:dyDescent="0.25">
      <c r="C17568" s="8" t="e">
        <f>VLOOKUP(A:A,'ITEM LIST'!A:C,3,0)</f>
        <v>#N/A</v>
      </c>
      <c r="D17568" s="6">
        <f t="shared" si="275"/>
        <v>0</v>
      </c>
    </row>
    <row r="17569" spans="3:4" ht="15" x14ac:dyDescent="0.25">
      <c r="C17569" s="8" t="e">
        <f>VLOOKUP(A:A,'ITEM LIST'!A:C,3,0)</f>
        <v>#N/A</v>
      </c>
      <c r="D17569" s="6">
        <f t="shared" si="275"/>
        <v>0</v>
      </c>
    </row>
    <row r="17570" spans="3:4" ht="15" x14ac:dyDescent="0.25">
      <c r="C17570" s="8" t="e">
        <f>VLOOKUP(A:A,'ITEM LIST'!A:C,3,0)</f>
        <v>#N/A</v>
      </c>
      <c r="D17570" s="6">
        <f t="shared" si="275"/>
        <v>0</v>
      </c>
    </row>
    <row r="17571" spans="3:4" ht="15" x14ac:dyDescent="0.25">
      <c r="C17571" s="8" t="e">
        <f>VLOOKUP(A:A,'ITEM LIST'!A:C,3,0)</f>
        <v>#N/A</v>
      </c>
      <c r="D17571" s="6">
        <f t="shared" si="275"/>
        <v>0</v>
      </c>
    </row>
    <row r="17572" spans="3:4" ht="15" x14ac:dyDescent="0.25">
      <c r="C17572" s="8" t="e">
        <f>VLOOKUP(A:A,'ITEM LIST'!A:C,3,0)</f>
        <v>#N/A</v>
      </c>
      <c r="D17572" s="6">
        <f t="shared" si="275"/>
        <v>0</v>
      </c>
    </row>
    <row r="17573" spans="3:4" ht="15" x14ac:dyDescent="0.25">
      <c r="C17573" s="8" t="e">
        <f>VLOOKUP(A:A,'ITEM LIST'!A:C,3,0)</f>
        <v>#N/A</v>
      </c>
      <c r="D17573" s="6">
        <f t="shared" si="275"/>
        <v>0</v>
      </c>
    </row>
    <row r="17574" spans="3:4" ht="15" x14ac:dyDescent="0.25">
      <c r="C17574" s="8" t="e">
        <f>VLOOKUP(A:A,'ITEM LIST'!A:C,3,0)</f>
        <v>#N/A</v>
      </c>
      <c r="D17574" s="6">
        <f t="shared" si="275"/>
        <v>0</v>
      </c>
    </row>
    <row r="17575" spans="3:4" ht="15" x14ac:dyDescent="0.25">
      <c r="C17575" s="8" t="e">
        <f>VLOOKUP(A:A,'ITEM LIST'!A:C,3,0)</f>
        <v>#N/A</v>
      </c>
      <c r="D17575" s="6">
        <f t="shared" si="275"/>
        <v>0</v>
      </c>
    </row>
    <row r="17576" spans="3:4" ht="15" x14ac:dyDescent="0.25">
      <c r="C17576" s="8" t="e">
        <f>VLOOKUP(A:A,'ITEM LIST'!A:C,3,0)</f>
        <v>#N/A</v>
      </c>
      <c r="D17576" s="6">
        <f t="shared" si="275"/>
        <v>0</v>
      </c>
    </row>
    <row r="17577" spans="3:4" ht="15" x14ac:dyDescent="0.25">
      <c r="C17577" s="8" t="e">
        <f>VLOOKUP(A:A,'ITEM LIST'!A:C,3,0)</f>
        <v>#N/A</v>
      </c>
      <c r="D17577" s="6">
        <f t="shared" si="275"/>
        <v>0</v>
      </c>
    </row>
    <row r="17578" spans="3:4" ht="15" x14ac:dyDescent="0.25">
      <c r="C17578" s="8" t="e">
        <f>VLOOKUP(A:A,'ITEM LIST'!A:C,3,0)</f>
        <v>#N/A</v>
      </c>
      <c r="D17578" s="6">
        <f t="shared" si="275"/>
        <v>0</v>
      </c>
    </row>
    <row r="17579" spans="3:4" ht="15" x14ac:dyDescent="0.25">
      <c r="C17579" s="8" t="e">
        <f>VLOOKUP(A:A,'ITEM LIST'!A:C,3,0)</f>
        <v>#N/A</v>
      </c>
      <c r="D17579" s="6">
        <f t="shared" si="275"/>
        <v>0</v>
      </c>
    </row>
    <row r="17580" spans="3:4" ht="15" x14ac:dyDescent="0.25">
      <c r="C17580" s="8" t="e">
        <f>VLOOKUP(A:A,'ITEM LIST'!A:C,3,0)</f>
        <v>#N/A</v>
      </c>
      <c r="D17580" s="6">
        <f t="shared" si="275"/>
        <v>0</v>
      </c>
    </row>
    <row r="17581" spans="3:4" ht="15" x14ac:dyDescent="0.25">
      <c r="C17581" s="8" t="e">
        <f>VLOOKUP(A:A,'ITEM LIST'!A:C,3,0)</f>
        <v>#N/A</v>
      </c>
      <c r="D17581" s="6">
        <f t="shared" si="275"/>
        <v>0</v>
      </c>
    </row>
    <row r="17582" spans="3:4" ht="15" x14ac:dyDescent="0.25">
      <c r="C17582" s="8" t="e">
        <f>VLOOKUP(A:A,'ITEM LIST'!A:C,3,0)</f>
        <v>#N/A</v>
      </c>
      <c r="D17582" s="6">
        <f t="shared" si="275"/>
        <v>0</v>
      </c>
    </row>
    <row r="17583" spans="3:4" ht="15" x14ac:dyDescent="0.25">
      <c r="C17583" s="8" t="e">
        <f>VLOOKUP(A:A,'ITEM LIST'!A:C,3,0)</f>
        <v>#N/A</v>
      </c>
      <c r="D17583" s="6">
        <f t="shared" si="275"/>
        <v>0</v>
      </c>
    </row>
    <row r="17584" spans="3:4" ht="15" x14ac:dyDescent="0.25">
      <c r="C17584" s="8" t="e">
        <f>VLOOKUP(A:A,'ITEM LIST'!A:C,3,0)</f>
        <v>#N/A</v>
      </c>
      <c r="D17584" s="6">
        <f t="shared" si="275"/>
        <v>0</v>
      </c>
    </row>
    <row r="17585" spans="3:4" ht="15" x14ac:dyDescent="0.25">
      <c r="C17585" s="8" t="e">
        <f>VLOOKUP(A:A,'ITEM LIST'!A:C,3,0)</f>
        <v>#N/A</v>
      </c>
      <c r="D17585" s="6">
        <f t="shared" si="275"/>
        <v>0</v>
      </c>
    </row>
    <row r="17586" spans="3:4" ht="15" x14ac:dyDescent="0.25">
      <c r="C17586" s="8" t="e">
        <f>VLOOKUP(A:A,'ITEM LIST'!A:C,3,0)</f>
        <v>#N/A</v>
      </c>
      <c r="D17586" s="6">
        <f t="shared" si="275"/>
        <v>0</v>
      </c>
    </row>
    <row r="17587" spans="3:4" ht="15" x14ac:dyDescent="0.25">
      <c r="C17587" s="8" t="e">
        <f>VLOOKUP(A:A,'ITEM LIST'!A:C,3,0)</f>
        <v>#N/A</v>
      </c>
      <c r="D17587" s="6">
        <f t="shared" si="275"/>
        <v>0</v>
      </c>
    </row>
    <row r="17588" spans="3:4" ht="15" x14ac:dyDescent="0.25">
      <c r="C17588" s="8" t="e">
        <f>VLOOKUP(A:A,'ITEM LIST'!A:C,3,0)</f>
        <v>#N/A</v>
      </c>
      <c r="D17588" s="6">
        <f t="shared" si="275"/>
        <v>0</v>
      </c>
    </row>
    <row r="17589" spans="3:4" ht="15" x14ac:dyDescent="0.25">
      <c r="C17589" s="8" t="e">
        <f>VLOOKUP(A:A,'ITEM LIST'!A:C,3,0)</f>
        <v>#N/A</v>
      </c>
      <c r="D17589" s="6">
        <f t="shared" si="275"/>
        <v>0</v>
      </c>
    </row>
    <row r="17590" spans="3:4" ht="15" x14ac:dyDescent="0.25">
      <c r="C17590" s="8" t="e">
        <f>VLOOKUP(A:A,'ITEM LIST'!A:C,3,0)</f>
        <v>#N/A</v>
      </c>
      <c r="D17590" s="6">
        <f t="shared" si="275"/>
        <v>0</v>
      </c>
    </row>
    <row r="17591" spans="3:4" ht="15" x14ac:dyDescent="0.25">
      <c r="C17591" s="8" t="e">
        <f>VLOOKUP(A:A,'ITEM LIST'!A:C,3,0)</f>
        <v>#N/A</v>
      </c>
      <c r="D17591" s="6">
        <f t="shared" si="275"/>
        <v>0</v>
      </c>
    </row>
    <row r="17592" spans="3:4" ht="15" x14ac:dyDescent="0.25">
      <c r="C17592" s="8" t="e">
        <f>VLOOKUP(A:A,'ITEM LIST'!A:C,3,0)</f>
        <v>#N/A</v>
      </c>
      <c r="D17592" s="6">
        <f t="shared" si="275"/>
        <v>0</v>
      </c>
    </row>
    <row r="17593" spans="3:4" ht="15" x14ac:dyDescent="0.25">
      <c r="C17593" s="8" t="e">
        <f>VLOOKUP(A:A,'ITEM LIST'!A:C,3,0)</f>
        <v>#N/A</v>
      </c>
      <c r="D17593" s="6">
        <f t="shared" si="275"/>
        <v>0</v>
      </c>
    </row>
    <row r="17594" spans="3:4" ht="15" x14ac:dyDescent="0.25">
      <c r="C17594" s="8" t="e">
        <f>VLOOKUP(A:A,'ITEM LIST'!A:C,3,0)</f>
        <v>#N/A</v>
      </c>
      <c r="D17594" s="6">
        <f t="shared" si="275"/>
        <v>0</v>
      </c>
    </row>
    <row r="17595" spans="3:4" ht="15" x14ac:dyDescent="0.25">
      <c r="C17595" s="8" t="e">
        <f>VLOOKUP(A:A,'ITEM LIST'!A:C,3,0)</f>
        <v>#N/A</v>
      </c>
      <c r="D17595" s="6">
        <f t="shared" si="275"/>
        <v>0</v>
      </c>
    </row>
    <row r="17596" spans="3:4" ht="15" x14ac:dyDescent="0.25">
      <c r="C17596" s="8" t="e">
        <f>VLOOKUP(A:A,'ITEM LIST'!A:C,3,0)</f>
        <v>#N/A</v>
      </c>
      <c r="D17596" s="6">
        <f t="shared" si="275"/>
        <v>0</v>
      </c>
    </row>
    <row r="17597" spans="3:4" ht="15" x14ac:dyDescent="0.25">
      <c r="C17597" s="8" t="e">
        <f>VLOOKUP(A:A,'ITEM LIST'!A:C,3,0)</f>
        <v>#N/A</v>
      </c>
      <c r="D17597" s="6">
        <f t="shared" si="275"/>
        <v>0</v>
      </c>
    </row>
    <row r="17598" spans="3:4" ht="15" x14ac:dyDescent="0.25">
      <c r="C17598" s="8" t="e">
        <f>VLOOKUP(A:A,'ITEM LIST'!A:C,3,0)</f>
        <v>#N/A</v>
      </c>
      <c r="D17598" s="6">
        <f t="shared" si="275"/>
        <v>0</v>
      </c>
    </row>
    <row r="17599" spans="3:4" ht="15" x14ac:dyDescent="0.25">
      <c r="C17599" s="8" t="e">
        <f>VLOOKUP(A:A,'ITEM LIST'!A:C,3,0)</f>
        <v>#N/A</v>
      </c>
      <c r="D17599" s="6">
        <f t="shared" si="275"/>
        <v>0</v>
      </c>
    </row>
    <row r="17600" spans="3:4" ht="15" x14ac:dyDescent="0.25">
      <c r="C17600" s="8" t="e">
        <f>VLOOKUP(A:A,'ITEM LIST'!A:C,3,0)</f>
        <v>#N/A</v>
      </c>
      <c r="D17600" s="6">
        <f t="shared" si="275"/>
        <v>0</v>
      </c>
    </row>
    <row r="17601" spans="3:4" ht="15" x14ac:dyDescent="0.25">
      <c r="C17601" s="8" t="e">
        <f>VLOOKUP(A:A,'ITEM LIST'!A:C,3,0)</f>
        <v>#N/A</v>
      </c>
      <c r="D17601" s="6">
        <f t="shared" si="275"/>
        <v>0</v>
      </c>
    </row>
    <row r="17602" spans="3:4" ht="15" x14ac:dyDescent="0.25">
      <c r="C17602" s="8" t="e">
        <f>VLOOKUP(A:A,'ITEM LIST'!A:C,3,0)</f>
        <v>#N/A</v>
      </c>
      <c r="D17602" s="6">
        <f t="shared" si="275"/>
        <v>0</v>
      </c>
    </row>
    <row r="17603" spans="3:4" ht="15" x14ac:dyDescent="0.25">
      <c r="C17603" s="8" t="e">
        <f>VLOOKUP(A:A,'ITEM LIST'!A:C,3,0)</f>
        <v>#N/A</v>
      </c>
      <c r="D17603" s="6">
        <f t="shared" si="275"/>
        <v>0</v>
      </c>
    </row>
    <row r="17604" spans="3:4" ht="15" x14ac:dyDescent="0.25">
      <c r="C17604" s="8" t="e">
        <f>VLOOKUP(A:A,'ITEM LIST'!A:C,3,0)</f>
        <v>#N/A</v>
      </c>
      <c r="D17604" s="6">
        <f t="shared" si="275"/>
        <v>0</v>
      </c>
    </row>
    <row r="17605" spans="3:4" ht="15" x14ac:dyDescent="0.25">
      <c r="C17605" s="8" t="e">
        <f>VLOOKUP(A:A,'ITEM LIST'!A:C,3,0)</f>
        <v>#N/A</v>
      </c>
      <c r="D17605" s="6">
        <f t="shared" si="275"/>
        <v>0</v>
      </c>
    </row>
    <row r="17606" spans="3:4" ht="15" x14ac:dyDescent="0.25">
      <c r="C17606" s="8" t="e">
        <f>VLOOKUP(A:A,'ITEM LIST'!A:C,3,0)</f>
        <v>#N/A</v>
      </c>
      <c r="D17606" s="6">
        <f t="shared" ref="D17606:D17669" si="276">B17606</f>
        <v>0</v>
      </c>
    </row>
    <row r="17607" spans="3:4" ht="15" x14ac:dyDescent="0.25">
      <c r="C17607" s="8" t="e">
        <f>VLOOKUP(A:A,'ITEM LIST'!A:C,3,0)</f>
        <v>#N/A</v>
      </c>
      <c r="D17607" s="6">
        <f t="shared" si="276"/>
        <v>0</v>
      </c>
    </row>
    <row r="17608" spans="3:4" ht="15" x14ac:dyDescent="0.25">
      <c r="C17608" s="8" t="e">
        <f>VLOOKUP(A:A,'ITEM LIST'!A:C,3,0)</f>
        <v>#N/A</v>
      </c>
      <c r="D17608" s="6">
        <f t="shared" si="276"/>
        <v>0</v>
      </c>
    </row>
    <row r="17609" spans="3:4" ht="15" x14ac:dyDescent="0.25">
      <c r="C17609" s="8" t="e">
        <f>VLOOKUP(A:A,'ITEM LIST'!A:C,3,0)</f>
        <v>#N/A</v>
      </c>
      <c r="D17609" s="6">
        <f t="shared" si="276"/>
        <v>0</v>
      </c>
    </row>
    <row r="17610" spans="3:4" ht="15" x14ac:dyDescent="0.25">
      <c r="C17610" s="8" t="e">
        <f>VLOOKUP(A:A,'ITEM LIST'!A:C,3,0)</f>
        <v>#N/A</v>
      </c>
      <c r="D17610" s="6">
        <f t="shared" si="276"/>
        <v>0</v>
      </c>
    </row>
    <row r="17611" spans="3:4" ht="15" x14ac:dyDescent="0.25">
      <c r="C17611" s="8" t="e">
        <f>VLOOKUP(A:A,'ITEM LIST'!A:C,3,0)</f>
        <v>#N/A</v>
      </c>
      <c r="D17611" s="6">
        <f t="shared" si="276"/>
        <v>0</v>
      </c>
    </row>
    <row r="17612" spans="3:4" ht="15" x14ac:dyDescent="0.25">
      <c r="C17612" s="8" t="e">
        <f>VLOOKUP(A:A,'ITEM LIST'!A:C,3,0)</f>
        <v>#N/A</v>
      </c>
      <c r="D17612" s="6">
        <f t="shared" si="276"/>
        <v>0</v>
      </c>
    </row>
    <row r="17613" spans="3:4" ht="15" x14ac:dyDescent="0.25">
      <c r="C17613" s="8" t="e">
        <f>VLOOKUP(A:A,'ITEM LIST'!A:C,3,0)</f>
        <v>#N/A</v>
      </c>
      <c r="D17613" s="6">
        <f t="shared" si="276"/>
        <v>0</v>
      </c>
    </row>
    <row r="17614" spans="3:4" ht="15" x14ac:dyDescent="0.25">
      <c r="C17614" s="8" t="e">
        <f>VLOOKUP(A:A,'ITEM LIST'!A:C,3,0)</f>
        <v>#N/A</v>
      </c>
      <c r="D17614" s="6">
        <f t="shared" si="276"/>
        <v>0</v>
      </c>
    </row>
    <row r="17615" spans="3:4" ht="15" x14ac:dyDescent="0.25">
      <c r="C17615" s="8" t="e">
        <f>VLOOKUP(A:A,'ITEM LIST'!A:C,3,0)</f>
        <v>#N/A</v>
      </c>
      <c r="D17615" s="6">
        <f t="shared" si="276"/>
        <v>0</v>
      </c>
    </row>
    <row r="17616" spans="3:4" ht="15" x14ac:dyDescent="0.25">
      <c r="C17616" s="8" t="e">
        <f>VLOOKUP(A:A,'ITEM LIST'!A:C,3,0)</f>
        <v>#N/A</v>
      </c>
      <c r="D17616" s="6">
        <f t="shared" si="276"/>
        <v>0</v>
      </c>
    </row>
    <row r="17617" spans="3:4" ht="15" x14ac:dyDescent="0.25">
      <c r="C17617" s="8" t="e">
        <f>VLOOKUP(A:A,'ITEM LIST'!A:C,3,0)</f>
        <v>#N/A</v>
      </c>
      <c r="D17617" s="6">
        <f t="shared" si="276"/>
        <v>0</v>
      </c>
    </row>
    <row r="17618" spans="3:4" ht="15" x14ac:dyDescent="0.25">
      <c r="C17618" s="8" t="e">
        <f>VLOOKUP(A:A,'ITEM LIST'!A:C,3,0)</f>
        <v>#N/A</v>
      </c>
      <c r="D17618" s="6">
        <f t="shared" si="276"/>
        <v>0</v>
      </c>
    </row>
    <row r="17619" spans="3:4" ht="15" x14ac:dyDescent="0.25">
      <c r="C17619" s="8" t="e">
        <f>VLOOKUP(A:A,'ITEM LIST'!A:C,3,0)</f>
        <v>#N/A</v>
      </c>
      <c r="D17619" s="6">
        <f t="shared" si="276"/>
        <v>0</v>
      </c>
    </row>
    <row r="17620" spans="3:4" ht="15" x14ac:dyDescent="0.25">
      <c r="C17620" s="8" t="e">
        <f>VLOOKUP(A:A,'ITEM LIST'!A:C,3,0)</f>
        <v>#N/A</v>
      </c>
      <c r="D17620" s="6">
        <f t="shared" si="276"/>
        <v>0</v>
      </c>
    </row>
    <row r="17621" spans="3:4" ht="15" x14ac:dyDescent="0.25">
      <c r="C17621" s="8" t="e">
        <f>VLOOKUP(A:A,'ITEM LIST'!A:C,3,0)</f>
        <v>#N/A</v>
      </c>
      <c r="D17621" s="6">
        <f t="shared" si="276"/>
        <v>0</v>
      </c>
    </row>
    <row r="17622" spans="3:4" ht="15" x14ac:dyDescent="0.25">
      <c r="C17622" s="8" t="e">
        <f>VLOOKUP(A:A,'ITEM LIST'!A:C,3,0)</f>
        <v>#N/A</v>
      </c>
      <c r="D17622" s="6">
        <f t="shared" si="276"/>
        <v>0</v>
      </c>
    </row>
    <row r="17623" spans="3:4" ht="15" x14ac:dyDescent="0.25">
      <c r="C17623" s="8" t="e">
        <f>VLOOKUP(A:A,'ITEM LIST'!A:C,3,0)</f>
        <v>#N/A</v>
      </c>
      <c r="D17623" s="6">
        <f t="shared" si="276"/>
        <v>0</v>
      </c>
    </row>
    <row r="17624" spans="3:4" ht="15" x14ac:dyDescent="0.25">
      <c r="C17624" s="8" t="e">
        <f>VLOOKUP(A:A,'ITEM LIST'!A:C,3,0)</f>
        <v>#N/A</v>
      </c>
      <c r="D17624" s="6">
        <f t="shared" si="276"/>
        <v>0</v>
      </c>
    </row>
    <row r="17625" spans="3:4" ht="15" x14ac:dyDescent="0.25">
      <c r="C17625" s="8" t="e">
        <f>VLOOKUP(A:A,'ITEM LIST'!A:C,3,0)</f>
        <v>#N/A</v>
      </c>
      <c r="D17625" s="6">
        <f t="shared" si="276"/>
        <v>0</v>
      </c>
    </row>
    <row r="17626" spans="3:4" ht="15" x14ac:dyDescent="0.25">
      <c r="C17626" s="8" t="e">
        <f>VLOOKUP(A:A,'ITEM LIST'!A:C,3,0)</f>
        <v>#N/A</v>
      </c>
      <c r="D17626" s="6">
        <f t="shared" si="276"/>
        <v>0</v>
      </c>
    </row>
    <row r="17627" spans="3:4" ht="15" x14ac:dyDescent="0.25">
      <c r="C17627" s="8" t="e">
        <f>VLOOKUP(A:A,'ITEM LIST'!A:C,3,0)</f>
        <v>#N/A</v>
      </c>
      <c r="D17627" s="6">
        <f t="shared" si="276"/>
        <v>0</v>
      </c>
    </row>
    <row r="17628" spans="3:4" ht="15" x14ac:dyDescent="0.25">
      <c r="C17628" s="8" t="e">
        <f>VLOOKUP(A:A,'ITEM LIST'!A:C,3,0)</f>
        <v>#N/A</v>
      </c>
      <c r="D17628" s="6">
        <f t="shared" si="276"/>
        <v>0</v>
      </c>
    </row>
    <row r="17629" spans="3:4" ht="15" x14ac:dyDescent="0.25">
      <c r="C17629" s="8" t="e">
        <f>VLOOKUP(A:A,'ITEM LIST'!A:C,3,0)</f>
        <v>#N/A</v>
      </c>
      <c r="D17629" s="6">
        <f t="shared" si="276"/>
        <v>0</v>
      </c>
    </row>
    <row r="17630" spans="3:4" ht="15" x14ac:dyDescent="0.25">
      <c r="C17630" s="8" t="e">
        <f>VLOOKUP(A:A,'ITEM LIST'!A:C,3,0)</f>
        <v>#N/A</v>
      </c>
      <c r="D17630" s="6">
        <f t="shared" si="276"/>
        <v>0</v>
      </c>
    </row>
    <row r="17631" spans="3:4" ht="15" x14ac:dyDescent="0.25">
      <c r="C17631" s="8" t="e">
        <f>VLOOKUP(A:A,'ITEM LIST'!A:C,3,0)</f>
        <v>#N/A</v>
      </c>
      <c r="D17631" s="6">
        <f t="shared" si="276"/>
        <v>0</v>
      </c>
    </row>
    <row r="17632" spans="3:4" ht="15" x14ac:dyDescent="0.25">
      <c r="C17632" s="8" t="e">
        <f>VLOOKUP(A:A,'ITEM LIST'!A:C,3,0)</f>
        <v>#N/A</v>
      </c>
      <c r="D17632" s="6">
        <f t="shared" si="276"/>
        <v>0</v>
      </c>
    </row>
    <row r="17633" spans="3:4" ht="15" x14ac:dyDescent="0.25">
      <c r="C17633" s="8" t="e">
        <f>VLOOKUP(A:A,'ITEM LIST'!A:C,3,0)</f>
        <v>#N/A</v>
      </c>
      <c r="D17633" s="6">
        <f t="shared" si="276"/>
        <v>0</v>
      </c>
    </row>
    <row r="17634" spans="3:4" ht="15" x14ac:dyDescent="0.25">
      <c r="C17634" s="8" t="e">
        <f>VLOOKUP(A:A,'ITEM LIST'!A:C,3,0)</f>
        <v>#N/A</v>
      </c>
      <c r="D17634" s="6">
        <f t="shared" si="276"/>
        <v>0</v>
      </c>
    </row>
    <row r="17635" spans="3:4" ht="15" x14ac:dyDescent="0.25">
      <c r="C17635" s="8" t="e">
        <f>VLOOKUP(A:A,'ITEM LIST'!A:C,3,0)</f>
        <v>#N/A</v>
      </c>
      <c r="D17635" s="6">
        <f t="shared" si="276"/>
        <v>0</v>
      </c>
    </row>
    <row r="17636" spans="3:4" ht="15" x14ac:dyDescent="0.25">
      <c r="C17636" s="8" t="e">
        <f>VLOOKUP(A:A,'ITEM LIST'!A:C,3,0)</f>
        <v>#N/A</v>
      </c>
      <c r="D17636" s="6">
        <f t="shared" si="276"/>
        <v>0</v>
      </c>
    </row>
    <row r="17637" spans="3:4" ht="15" x14ac:dyDescent="0.25">
      <c r="C17637" s="8" t="e">
        <f>VLOOKUP(A:A,'ITEM LIST'!A:C,3,0)</f>
        <v>#N/A</v>
      </c>
      <c r="D17637" s="6">
        <f t="shared" si="276"/>
        <v>0</v>
      </c>
    </row>
    <row r="17638" spans="3:4" ht="15" x14ac:dyDescent="0.25">
      <c r="C17638" s="8" t="e">
        <f>VLOOKUP(A:A,'ITEM LIST'!A:C,3,0)</f>
        <v>#N/A</v>
      </c>
      <c r="D17638" s="6">
        <f t="shared" si="276"/>
        <v>0</v>
      </c>
    </row>
    <row r="17639" spans="3:4" ht="15" x14ac:dyDescent="0.25">
      <c r="C17639" s="8" t="e">
        <f>VLOOKUP(A:A,'ITEM LIST'!A:C,3,0)</f>
        <v>#N/A</v>
      </c>
      <c r="D17639" s="6">
        <f t="shared" si="276"/>
        <v>0</v>
      </c>
    </row>
    <row r="17640" spans="3:4" ht="15" x14ac:dyDescent="0.25">
      <c r="C17640" s="8" t="e">
        <f>VLOOKUP(A:A,'ITEM LIST'!A:C,3,0)</f>
        <v>#N/A</v>
      </c>
      <c r="D17640" s="6">
        <f t="shared" si="276"/>
        <v>0</v>
      </c>
    </row>
    <row r="17641" spans="3:4" ht="15" x14ac:dyDescent="0.25">
      <c r="C17641" s="8" t="e">
        <f>VLOOKUP(A:A,'ITEM LIST'!A:C,3,0)</f>
        <v>#N/A</v>
      </c>
      <c r="D17641" s="6">
        <f t="shared" si="276"/>
        <v>0</v>
      </c>
    </row>
    <row r="17642" spans="3:4" ht="15" x14ac:dyDescent="0.25">
      <c r="C17642" s="8" t="e">
        <f>VLOOKUP(A:A,'ITEM LIST'!A:C,3,0)</f>
        <v>#N/A</v>
      </c>
      <c r="D17642" s="6">
        <f t="shared" si="276"/>
        <v>0</v>
      </c>
    </row>
    <row r="17643" spans="3:4" ht="15" x14ac:dyDescent="0.25">
      <c r="C17643" s="8" t="e">
        <f>VLOOKUP(A:A,'ITEM LIST'!A:C,3,0)</f>
        <v>#N/A</v>
      </c>
      <c r="D17643" s="6">
        <f t="shared" si="276"/>
        <v>0</v>
      </c>
    </row>
    <row r="17644" spans="3:4" ht="15" x14ac:dyDescent="0.25">
      <c r="C17644" s="8" t="e">
        <f>VLOOKUP(A:A,'ITEM LIST'!A:C,3,0)</f>
        <v>#N/A</v>
      </c>
      <c r="D17644" s="6">
        <f t="shared" si="276"/>
        <v>0</v>
      </c>
    </row>
    <row r="17645" spans="3:4" ht="15" x14ac:dyDescent="0.25">
      <c r="C17645" s="8" t="e">
        <f>VLOOKUP(A:A,'ITEM LIST'!A:C,3,0)</f>
        <v>#N/A</v>
      </c>
      <c r="D17645" s="6">
        <f t="shared" si="276"/>
        <v>0</v>
      </c>
    </row>
    <row r="17646" spans="3:4" ht="15" x14ac:dyDescent="0.25">
      <c r="C17646" s="8" t="e">
        <f>VLOOKUP(A:A,'ITEM LIST'!A:C,3,0)</f>
        <v>#N/A</v>
      </c>
      <c r="D17646" s="6">
        <f t="shared" si="276"/>
        <v>0</v>
      </c>
    </row>
    <row r="17647" spans="3:4" ht="15" x14ac:dyDescent="0.25">
      <c r="C17647" s="8" t="e">
        <f>VLOOKUP(A:A,'ITEM LIST'!A:C,3,0)</f>
        <v>#N/A</v>
      </c>
      <c r="D17647" s="6">
        <f t="shared" si="276"/>
        <v>0</v>
      </c>
    </row>
    <row r="17648" spans="3:4" ht="15" x14ac:dyDescent="0.25">
      <c r="C17648" s="8" t="e">
        <f>VLOOKUP(A:A,'ITEM LIST'!A:C,3,0)</f>
        <v>#N/A</v>
      </c>
      <c r="D17648" s="6">
        <f t="shared" si="276"/>
        <v>0</v>
      </c>
    </row>
    <row r="17649" spans="3:4" ht="15" x14ac:dyDescent="0.25">
      <c r="C17649" s="8" t="e">
        <f>VLOOKUP(A:A,'ITEM LIST'!A:C,3,0)</f>
        <v>#N/A</v>
      </c>
      <c r="D17649" s="6">
        <f t="shared" si="276"/>
        <v>0</v>
      </c>
    </row>
    <row r="17650" spans="3:4" ht="15" x14ac:dyDescent="0.25">
      <c r="C17650" s="8" t="e">
        <f>VLOOKUP(A:A,'ITEM LIST'!A:C,3,0)</f>
        <v>#N/A</v>
      </c>
      <c r="D17650" s="6">
        <f t="shared" si="276"/>
        <v>0</v>
      </c>
    </row>
    <row r="17651" spans="3:4" ht="15" x14ac:dyDescent="0.25">
      <c r="C17651" s="8" t="e">
        <f>VLOOKUP(A:A,'ITEM LIST'!A:C,3,0)</f>
        <v>#N/A</v>
      </c>
      <c r="D17651" s="6">
        <f t="shared" si="276"/>
        <v>0</v>
      </c>
    </row>
    <row r="17652" spans="3:4" ht="15" x14ac:dyDescent="0.25">
      <c r="C17652" s="8" t="e">
        <f>VLOOKUP(A:A,'ITEM LIST'!A:C,3,0)</f>
        <v>#N/A</v>
      </c>
      <c r="D17652" s="6">
        <f t="shared" si="276"/>
        <v>0</v>
      </c>
    </row>
    <row r="17653" spans="3:4" ht="15" x14ac:dyDescent="0.25">
      <c r="C17653" s="8" t="e">
        <f>VLOOKUP(A:A,'ITEM LIST'!A:C,3,0)</f>
        <v>#N/A</v>
      </c>
      <c r="D17653" s="6">
        <f t="shared" si="276"/>
        <v>0</v>
      </c>
    </row>
    <row r="17654" spans="3:4" ht="15" x14ac:dyDescent="0.25">
      <c r="C17654" s="8" t="e">
        <f>VLOOKUP(A:A,'ITEM LIST'!A:C,3,0)</f>
        <v>#N/A</v>
      </c>
      <c r="D17654" s="6">
        <f t="shared" si="276"/>
        <v>0</v>
      </c>
    </row>
    <row r="17655" spans="3:4" ht="15" x14ac:dyDescent="0.25">
      <c r="C17655" s="8" t="e">
        <f>VLOOKUP(A:A,'ITEM LIST'!A:C,3,0)</f>
        <v>#N/A</v>
      </c>
      <c r="D17655" s="6">
        <f t="shared" si="276"/>
        <v>0</v>
      </c>
    </row>
    <row r="17656" spans="3:4" ht="15" x14ac:dyDescent="0.25">
      <c r="C17656" s="8" t="e">
        <f>VLOOKUP(A:A,'ITEM LIST'!A:C,3,0)</f>
        <v>#N/A</v>
      </c>
      <c r="D17656" s="6">
        <f t="shared" si="276"/>
        <v>0</v>
      </c>
    </row>
    <row r="17657" spans="3:4" ht="15" x14ac:dyDescent="0.25">
      <c r="C17657" s="8" t="e">
        <f>VLOOKUP(A:A,'ITEM LIST'!A:C,3,0)</f>
        <v>#N/A</v>
      </c>
      <c r="D17657" s="6">
        <f t="shared" si="276"/>
        <v>0</v>
      </c>
    </row>
    <row r="17658" spans="3:4" ht="15" x14ac:dyDescent="0.25">
      <c r="C17658" s="8" t="e">
        <f>VLOOKUP(A:A,'ITEM LIST'!A:C,3,0)</f>
        <v>#N/A</v>
      </c>
      <c r="D17658" s="6">
        <f t="shared" si="276"/>
        <v>0</v>
      </c>
    </row>
    <row r="17659" spans="3:4" ht="15" x14ac:dyDescent="0.25">
      <c r="C17659" s="8" t="e">
        <f>VLOOKUP(A:A,'ITEM LIST'!A:C,3,0)</f>
        <v>#N/A</v>
      </c>
      <c r="D17659" s="6">
        <f t="shared" si="276"/>
        <v>0</v>
      </c>
    </row>
    <row r="17660" spans="3:4" ht="15" x14ac:dyDescent="0.25">
      <c r="C17660" s="8" t="e">
        <f>VLOOKUP(A:A,'ITEM LIST'!A:C,3,0)</f>
        <v>#N/A</v>
      </c>
      <c r="D17660" s="6">
        <f t="shared" si="276"/>
        <v>0</v>
      </c>
    </row>
    <row r="17661" spans="3:4" ht="15" x14ac:dyDescent="0.25">
      <c r="C17661" s="8" t="e">
        <f>VLOOKUP(A:A,'ITEM LIST'!A:C,3,0)</f>
        <v>#N/A</v>
      </c>
      <c r="D17661" s="6">
        <f t="shared" si="276"/>
        <v>0</v>
      </c>
    </row>
    <row r="17662" spans="3:4" ht="15" x14ac:dyDescent="0.25">
      <c r="C17662" s="8" t="e">
        <f>VLOOKUP(A:A,'ITEM LIST'!A:C,3,0)</f>
        <v>#N/A</v>
      </c>
      <c r="D17662" s="6">
        <f t="shared" si="276"/>
        <v>0</v>
      </c>
    </row>
    <row r="17663" spans="3:4" ht="15" x14ac:dyDescent="0.25">
      <c r="C17663" s="8" t="e">
        <f>VLOOKUP(A:A,'ITEM LIST'!A:C,3,0)</f>
        <v>#N/A</v>
      </c>
      <c r="D17663" s="6">
        <f t="shared" si="276"/>
        <v>0</v>
      </c>
    </row>
    <row r="17664" spans="3:4" ht="15" x14ac:dyDescent="0.25">
      <c r="C17664" s="8" t="e">
        <f>VLOOKUP(A:A,'ITEM LIST'!A:C,3,0)</f>
        <v>#N/A</v>
      </c>
      <c r="D17664" s="6">
        <f t="shared" si="276"/>
        <v>0</v>
      </c>
    </row>
    <row r="17665" spans="3:4" ht="15" x14ac:dyDescent="0.25">
      <c r="C17665" s="8" t="e">
        <f>VLOOKUP(A:A,'ITEM LIST'!A:C,3,0)</f>
        <v>#N/A</v>
      </c>
      <c r="D17665" s="6">
        <f t="shared" si="276"/>
        <v>0</v>
      </c>
    </row>
    <row r="17666" spans="3:4" ht="15" x14ac:dyDescent="0.25">
      <c r="C17666" s="8" t="e">
        <f>VLOOKUP(A:A,'ITEM LIST'!A:C,3,0)</f>
        <v>#N/A</v>
      </c>
      <c r="D17666" s="6">
        <f t="shared" si="276"/>
        <v>0</v>
      </c>
    </row>
    <row r="17667" spans="3:4" ht="15" x14ac:dyDescent="0.25">
      <c r="C17667" s="8" t="e">
        <f>VLOOKUP(A:A,'ITEM LIST'!A:C,3,0)</f>
        <v>#N/A</v>
      </c>
      <c r="D17667" s="6">
        <f t="shared" si="276"/>
        <v>0</v>
      </c>
    </row>
    <row r="17668" spans="3:4" ht="15" x14ac:dyDescent="0.25">
      <c r="C17668" s="8" t="e">
        <f>VLOOKUP(A:A,'ITEM LIST'!A:C,3,0)</f>
        <v>#N/A</v>
      </c>
      <c r="D17668" s="6">
        <f t="shared" si="276"/>
        <v>0</v>
      </c>
    </row>
    <row r="17669" spans="3:4" ht="15" x14ac:dyDescent="0.25">
      <c r="C17669" s="8" t="e">
        <f>VLOOKUP(A:A,'ITEM LIST'!A:C,3,0)</f>
        <v>#N/A</v>
      </c>
      <c r="D17669" s="6">
        <f t="shared" si="276"/>
        <v>0</v>
      </c>
    </row>
    <row r="17670" spans="3:4" ht="15" x14ac:dyDescent="0.25">
      <c r="C17670" s="8" t="e">
        <f>VLOOKUP(A:A,'ITEM LIST'!A:C,3,0)</f>
        <v>#N/A</v>
      </c>
      <c r="D17670" s="6">
        <f t="shared" ref="D17670:D17733" si="277">B17670</f>
        <v>0</v>
      </c>
    </row>
    <row r="17671" spans="3:4" ht="15" x14ac:dyDescent="0.25">
      <c r="C17671" s="8" t="e">
        <f>VLOOKUP(A:A,'ITEM LIST'!A:C,3,0)</f>
        <v>#N/A</v>
      </c>
      <c r="D17671" s="6">
        <f t="shared" si="277"/>
        <v>0</v>
      </c>
    </row>
    <row r="17672" spans="3:4" ht="15" x14ac:dyDescent="0.25">
      <c r="C17672" s="8" t="e">
        <f>VLOOKUP(A:A,'ITEM LIST'!A:C,3,0)</f>
        <v>#N/A</v>
      </c>
      <c r="D17672" s="6">
        <f t="shared" si="277"/>
        <v>0</v>
      </c>
    </row>
    <row r="17673" spans="3:4" ht="15" x14ac:dyDescent="0.25">
      <c r="C17673" s="8" t="e">
        <f>VLOOKUP(A:A,'ITEM LIST'!A:C,3,0)</f>
        <v>#N/A</v>
      </c>
      <c r="D17673" s="6">
        <f t="shared" si="277"/>
        <v>0</v>
      </c>
    </row>
    <row r="17674" spans="3:4" ht="15" x14ac:dyDescent="0.25">
      <c r="C17674" s="8" t="e">
        <f>VLOOKUP(A:A,'ITEM LIST'!A:C,3,0)</f>
        <v>#N/A</v>
      </c>
      <c r="D17674" s="6">
        <f t="shared" si="277"/>
        <v>0</v>
      </c>
    </row>
    <row r="17675" spans="3:4" ht="15" x14ac:dyDescent="0.25">
      <c r="C17675" s="8" t="e">
        <f>VLOOKUP(A:A,'ITEM LIST'!A:C,3,0)</f>
        <v>#N/A</v>
      </c>
      <c r="D17675" s="6">
        <f t="shared" si="277"/>
        <v>0</v>
      </c>
    </row>
    <row r="17676" spans="3:4" ht="15" x14ac:dyDescent="0.25">
      <c r="C17676" s="8" t="e">
        <f>VLOOKUP(A:A,'ITEM LIST'!A:C,3,0)</f>
        <v>#N/A</v>
      </c>
      <c r="D17676" s="6">
        <f t="shared" si="277"/>
        <v>0</v>
      </c>
    </row>
    <row r="17677" spans="3:4" ht="15" x14ac:dyDescent="0.25">
      <c r="C17677" s="8" t="e">
        <f>VLOOKUP(A:A,'ITEM LIST'!A:C,3,0)</f>
        <v>#N/A</v>
      </c>
      <c r="D17677" s="6">
        <f t="shared" si="277"/>
        <v>0</v>
      </c>
    </row>
    <row r="17678" spans="3:4" ht="15" x14ac:dyDescent="0.25">
      <c r="C17678" s="8" t="e">
        <f>VLOOKUP(A:A,'ITEM LIST'!A:C,3,0)</f>
        <v>#N/A</v>
      </c>
      <c r="D17678" s="6">
        <f t="shared" si="277"/>
        <v>0</v>
      </c>
    </row>
    <row r="17679" spans="3:4" ht="15" x14ac:dyDescent="0.25">
      <c r="C17679" s="8" t="e">
        <f>VLOOKUP(A:A,'ITEM LIST'!A:C,3,0)</f>
        <v>#N/A</v>
      </c>
      <c r="D17679" s="6">
        <f t="shared" si="277"/>
        <v>0</v>
      </c>
    </row>
    <row r="17680" spans="3:4" ht="15" x14ac:dyDescent="0.25">
      <c r="C17680" s="8" t="e">
        <f>VLOOKUP(A:A,'ITEM LIST'!A:C,3,0)</f>
        <v>#N/A</v>
      </c>
      <c r="D17680" s="6">
        <f t="shared" si="277"/>
        <v>0</v>
      </c>
    </row>
    <row r="17681" spans="3:4" ht="15" x14ac:dyDescent="0.25">
      <c r="C17681" s="8" t="e">
        <f>VLOOKUP(A:A,'ITEM LIST'!A:C,3,0)</f>
        <v>#N/A</v>
      </c>
      <c r="D17681" s="6">
        <f t="shared" si="277"/>
        <v>0</v>
      </c>
    </row>
    <row r="17682" spans="3:4" ht="15" x14ac:dyDescent="0.25">
      <c r="C17682" s="8" t="e">
        <f>VLOOKUP(A:A,'ITEM LIST'!A:C,3,0)</f>
        <v>#N/A</v>
      </c>
      <c r="D17682" s="6">
        <f t="shared" si="277"/>
        <v>0</v>
      </c>
    </row>
    <row r="17683" spans="3:4" ht="15" x14ac:dyDescent="0.25">
      <c r="C17683" s="8" t="e">
        <f>VLOOKUP(A:A,'ITEM LIST'!A:C,3,0)</f>
        <v>#N/A</v>
      </c>
      <c r="D17683" s="6">
        <f t="shared" si="277"/>
        <v>0</v>
      </c>
    </row>
    <row r="17684" spans="3:4" ht="15" x14ac:dyDescent="0.25">
      <c r="C17684" s="8" t="e">
        <f>VLOOKUP(A:A,'ITEM LIST'!A:C,3,0)</f>
        <v>#N/A</v>
      </c>
      <c r="D17684" s="6">
        <f t="shared" si="277"/>
        <v>0</v>
      </c>
    </row>
    <row r="17685" spans="3:4" ht="15" x14ac:dyDescent="0.25">
      <c r="C17685" s="8" t="e">
        <f>VLOOKUP(A:A,'ITEM LIST'!A:C,3,0)</f>
        <v>#N/A</v>
      </c>
      <c r="D17685" s="6">
        <f t="shared" si="277"/>
        <v>0</v>
      </c>
    </row>
    <row r="17686" spans="3:4" ht="15" x14ac:dyDescent="0.25">
      <c r="C17686" s="8" t="e">
        <f>VLOOKUP(A:A,'ITEM LIST'!A:C,3,0)</f>
        <v>#N/A</v>
      </c>
      <c r="D17686" s="6">
        <f t="shared" si="277"/>
        <v>0</v>
      </c>
    </row>
    <row r="17687" spans="3:4" ht="15" x14ac:dyDescent="0.25">
      <c r="C17687" s="8" t="e">
        <f>VLOOKUP(A:A,'ITEM LIST'!A:C,3,0)</f>
        <v>#N/A</v>
      </c>
      <c r="D17687" s="6">
        <f t="shared" si="277"/>
        <v>0</v>
      </c>
    </row>
    <row r="17688" spans="3:4" ht="15" x14ac:dyDescent="0.25">
      <c r="C17688" s="8" t="e">
        <f>VLOOKUP(A:A,'ITEM LIST'!A:C,3,0)</f>
        <v>#N/A</v>
      </c>
      <c r="D17688" s="6">
        <f t="shared" si="277"/>
        <v>0</v>
      </c>
    </row>
    <row r="17689" spans="3:4" ht="15" x14ac:dyDescent="0.25">
      <c r="C17689" s="8" t="e">
        <f>VLOOKUP(A:A,'ITEM LIST'!A:C,3,0)</f>
        <v>#N/A</v>
      </c>
      <c r="D17689" s="6">
        <f t="shared" si="277"/>
        <v>0</v>
      </c>
    </row>
    <row r="17690" spans="3:4" ht="15" x14ac:dyDescent="0.25">
      <c r="C17690" s="8" t="e">
        <f>VLOOKUP(A:A,'ITEM LIST'!A:C,3,0)</f>
        <v>#N/A</v>
      </c>
      <c r="D17690" s="6">
        <f t="shared" si="277"/>
        <v>0</v>
      </c>
    </row>
    <row r="17691" spans="3:4" ht="15" x14ac:dyDescent="0.25">
      <c r="C17691" s="8" t="e">
        <f>VLOOKUP(A:A,'ITEM LIST'!A:C,3,0)</f>
        <v>#N/A</v>
      </c>
      <c r="D17691" s="6">
        <f t="shared" si="277"/>
        <v>0</v>
      </c>
    </row>
    <row r="17692" spans="3:4" ht="15" x14ac:dyDescent="0.25">
      <c r="C17692" s="8" t="e">
        <f>VLOOKUP(A:A,'ITEM LIST'!A:C,3,0)</f>
        <v>#N/A</v>
      </c>
      <c r="D17692" s="6">
        <f t="shared" si="277"/>
        <v>0</v>
      </c>
    </row>
    <row r="17693" spans="3:4" ht="15" x14ac:dyDescent="0.25">
      <c r="C17693" s="8" t="e">
        <f>VLOOKUP(A:A,'ITEM LIST'!A:C,3,0)</f>
        <v>#N/A</v>
      </c>
      <c r="D17693" s="6">
        <f t="shared" si="277"/>
        <v>0</v>
      </c>
    </row>
    <row r="17694" spans="3:4" ht="15" x14ac:dyDescent="0.25">
      <c r="C17694" s="8" t="e">
        <f>VLOOKUP(A:A,'ITEM LIST'!A:C,3,0)</f>
        <v>#N/A</v>
      </c>
      <c r="D17694" s="6">
        <f t="shared" si="277"/>
        <v>0</v>
      </c>
    </row>
    <row r="17695" spans="3:4" ht="15" x14ac:dyDescent="0.25">
      <c r="C17695" s="8" t="e">
        <f>VLOOKUP(A:A,'ITEM LIST'!A:C,3,0)</f>
        <v>#N/A</v>
      </c>
      <c r="D17695" s="6">
        <f t="shared" si="277"/>
        <v>0</v>
      </c>
    </row>
    <row r="17696" spans="3:4" ht="15" x14ac:dyDescent="0.25">
      <c r="C17696" s="8" t="e">
        <f>VLOOKUP(A:A,'ITEM LIST'!A:C,3,0)</f>
        <v>#N/A</v>
      </c>
      <c r="D17696" s="6">
        <f t="shared" si="277"/>
        <v>0</v>
      </c>
    </row>
    <row r="17697" spans="3:4" ht="15" x14ac:dyDescent="0.25">
      <c r="C17697" s="8" t="e">
        <f>VLOOKUP(A:A,'ITEM LIST'!A:C,3,0)</f>
        <v>#N/A</v>
      </c>
      <c r="D17697" s="6">
        <f t="shared" si="277"/>
        <v>0</v>
      </c>
    </row>
    <row r="17698" spans="3:4" ht="15" x14ac:dyDescent="0.25">
      <c r="C17698" s="8" t="e">
        <f>VLOOKUP(A:A,'ITEM LIST'!A:C,3,0)</f>
        <v>#N/A</v>
      </c>
      <c r="D17698" s="6">
        <f t="shared" si="277"/>
        <v>0</v>
      </c>
    </row>
    <row r="17699" spans="3:4" ht="15" x14ac:dyDescent="0.25">
      <c r="C17699" s="8" t="e">
        <f>VLOOKUP(A:A,'ITEM LIST'!A:C,3,0)</f>
        <v>#N/A</v>
      </c>
      <c r="D17699" s="6">
        <f t="shared" si="277"/>
        <v>0</v>
      </c>
    </row>
    <row r="17700" spans="3:4" ht="15" x14ac:dyDescent="0.25">
      <c r="C17700" s="8" t="e">
        <f>VLOOKUP(A:A,'ITEM LIST'!A:C,3,0)</f>
        <v>#N/A</v>
      </c>
      <c r="D17700" s="6">
        <f t="shared" si="277"/>
        <v>0</v>
      </c>
    </row>
    <row r="17701" spans="3:4" ht="15" x14ac:dyDescent="0.25">
      <c r="C17701" s="8" t="e">
        <f>VLOOKUP(A:A,'ITEM LIST'!A:C,3,0)</f>
        <v>#N/A</v>
      </c>
      <c r="D17701" s="6">
        <f t="shared" si="277"/>
        <v>0</v>
      </c>
    </row>
    <row r="17702" spans="3:4" ht="15" x14ac:dyDescent="0.25">
      <c r="C17702" s="8" t="e">
        <f>VLOOKUP(A:A,'ITEM LIST'!A:C,3,0)</f>
        <v>#N/A</v>
      </c>
      <c r="D17702" s="6">
        <f t="shared" si="277"/>
        <v>0</v>
      </c>
    </row>
    <row r="17703" spans="3:4" ht="15" x14ac:dyDescent="0.25">
      <c r="C17703" s="8" t="e">
        <f>VLOOKUP(A:A,'ITEM LIST'!A:C,3,0)</f>
        <v>#N/A</v>
      </c>
      <c r="D17703" s="6">
        <f t="shared" si="277"/>
        <v>0</v>
      </c>
    </row>
    <row r="17704" spans="3:4" ht="15" x14ac:dyDescent="0.25">
      <c r="C17704" s="8" t="e">
        <f>VLOOKUP(A:A,'ITEM LIST'!A:C,3,0)</f>
        <v>#N/A</v>
      </c>
      <c r="D17704" s="6">
        <f t="shared" si="277"/>
        <v>0</v>
      </c>
    </row>
    <row r="17705" spans="3:4" ht="15" x14ac:dyDescent="0.25">
      <c r="C17705" s="8" t="e">
        <f>VLOOKUP(A:A,'ITEM LIST'!A:C,3,0)</f>
        <v>#N/A</v>
      </c>
      <c r="D17705" s="6">
        <f t="shared" si="277"/>
        <v>0</v>
      </c>
    </row>
    <row r="17706" spans="3:4" ht="15" x14ac:dyDescent="0.25">
      <c r="C17706" s="8" t="e">
        <f>VLOOKUP(A:A,'ITEM LIST'!A:C,3,0)</f>
        <v>#N/A</v>
      </c>
      <c r="D17706" s="6">
        <f t="shared" si="277"/>
        <v>0</v>
      </c>
    </row>
    <row r="17707" spans="3:4" ht="15" x14ac:dyDescent="0.25">
      <c r="C17707" s="8" t="e">
        <f>VLOOKUP(A:A,'ITEM LIST'!A:C,3,0)</f>
        <v>#N/A</v>
      </c>
      <c r="D17707" s="6">
        <f t="shared" si="277"/>
        <v>0</v>
      </c>
    </row>
    <row r="17708" spans="3:4" ht="15" x14ac:dyDescent="0.25">
      <c r="C17708" s="8" t="e">
        <f>VLOOKUP(A:A,'ITEM LIST'!A:C,3,0)</f>
        <v>#N/A</v>
      </c>
      <c r="D17708" s="6">
        <f t="shared" si="277"/>
        <v>0</v>
      </c>
    </row>
    <row r="17709" spans="3:4" ht="15" x14ac:dyDescent="0.25">
      <c r="C17709" s="8" t="e">
        <f>VLOOKUP(A:A,'ITEM LIST'!A:C,3,0)</f>
        <v>#N/A</v>
      </c>
      <c r="D17709" s="6">
        <f t="shared" si="277"/>
        <v>0</v>
      </c>
    </row>
    <row r="17710" spans="3:4" ht="15" x14ac:dyDescent="0.25">
      <c r="C17710" s="8" t="e">
        <f>VLOOKUP(A:A,'ITEM LIST'!A:C,3,0)</f>
        <v>#N/A</v>
      </c>
      <c r="D17710" s="6">
        <f t="shared" si="277"/>
        <v>0</v>
      </c>
    </row>
    <row r="17711" spans="3:4" ht="15" x14ac:dyDescent="0.25">
      <c r="C17711" s="8" t="e">
        <f>VLOOKUP(A:A,'ITEM LIST'!A:C,3,0)</f>
        <v>#N/A</v>
      </c>
      <c r="D17711" s="6">
        <f t="shared" si="277"/>
        <v>0</v>
      </c>
    </row>
    <row r="17712" spans="3:4" ht="15" x14ac:dyDescent="0.25">
      <c r="C17712" s="8" t="e">
        <f>VLOOKUP(A:A,'ITEM LIST'!A:C,3,0)</f>
        <v>#N/A</v>
      </c>
      <c r="D17712" s="6">
        <f t="shared" si="277"/>
        <v>0</v>
      </c>
    </row>
    <row r="17713" spans="3:4" ht="15" x14ac:dyDescent="0.25">
      <c r="C17713" s="8" t="e">
        <f>VLOOKUP(A:A,'ITEM LIST'!A:C,3,0)</f>
        <v>#N/A</v>
      </c>
      <c r="D17713" s="6">
        <f t="shared" si="277"/>
        <v>0</v>
      </c>
    </row>
    <row r="17714" spans="3:4" ht="15" x14ac:dyDescent="0.25">
      <c r="C17714" s="8" t="e">
        <f>VLOOKUP(A:A,'ITEM LIST'!A:C,3,0)</f>
        <v>#N/A</v>
      </c>
      <c r="D17714" s="6">
        <f t="shared" si="277"/>
        <v>0</v>
      </c>
    </row>
    <row r="17715" spans="3:4" ht="15" x14ac:dyDescent="0.25">
      <c r="C17715" s="8" t="e">
        <f>VLOOKUP(A:A,'ITEM LIST'!A:C,3,0)</f>
        <v>#N/A</v>
      </c>
      <c r="D17715" s="6">
        <f t="shared" si="277"/>
        <v>0</v>
      </c>
    </row>
    <row r="17716" spans="3:4" ht="15" x14ac:dyDescent="0.25">
      <c r="C17716" s="8" t="e">
        <f>VLOOKUP(A:A,'ITEM LIST'!A:C,3,0)</f>
        <v>#N/A</v>
      </c>
      <c r="D17716" s="6">
        <f t="shared" si="277"/>
        <v>0</v>
      </c>
    </row>
    <row r="17717" spans="3:4" ht="15" x14ac:dyDescent="0.25">
      <c r="C17717" s="8" t="e">
        <f>VLOOKUP(A:A,'ITEM LIST'!A:C,3,0)</f>
        <v>#N/A</v>
      </c>
      <c r="D17717" s="6">
        <f t="shared" si="277"/>
        <v>0</v>
      </c>
    </row>
    <row r="17718" spans="3:4" ht="15" x14ac:dyDescent="0.25">
      <c r="C17718" s="8" t="e">
        <f>VLOOKUP(A:A,'ITEM LIST'!A:C,3,0)</f>
        <v>#N/A</v>
      </c>
      <c r="D17718" s="6">
        <f t="shared" si="277"/>
        <v>0</v>
      </c>
    </row>
    <row r="17719" spans="3:4" ht="15" x14ac:dyDescent="0.25">
      <c r="C17719" s="8" t="e">
        <f>VLOOKUP(A:A,'ITEM LIST'!A:C,3,0)</f>
        <v>#N/A</v>
      </c>
      <c r="D17719" s="6">
        <f t="shared" si="277"/>
        <v>0</v>
      </c>
    </row>
    <row r="17720" spans="3:4" ht="15" x14ac:dyDescent="0.25">
      <c r="C17720" s="8" t="e">
        <f>VLOOKUP(A:A,'ITEM LIST'!A:C,3,0)</f>
        <v>#N/A</v>
      </c>
      <c r="D17720" s="6">
        <f t="shared" si="277"/>
        <v>0</v>
      </c>
    </row>
    <row r="17721" spans="3:4" ht="15" x14ac:dyDescent="0.25">
      <c r="C17721" s="8" t="e">
        <f>VLOOKUP(A:A,'ITEM LIST'!A:C,3,0)</f>
        <v>#N/A</v>
      </c>
      <c r="D17721" s="6">
        <f t="shared" si="277"/>
        <v>0</v>
      </c>
    </row>
    <row r="17722" spans="3:4" ht="15" x14ac:dyDescent="0.25">
      <c r="C17722" s="8" t="e">
        <f>VLOOKUP(A:A,'ITEM LIST'!A:C,3,0)</f>
        <v>#N/A</v>
      </c>
      <c r="D17722" s="6">
        <f t="shared" si="277"/>
        <v>0</v>
      </c>
    </row>
    <row r="17723" spans="3:4" ht="15" x14ac:dyDescent="0.25">
      <c r="C17723" s="8" t="e">
        <f>VLOOKUP(A:A,'ITEM LIST'!A:C,3,0)</f>
        <v>#N/A</v>
      </c>
      <c r="D17723" s="6">
        <f t="shared" si="277"/>
        <v>0</v>
      </c>
    </row>
    <row r="17724" spans="3:4" ht="15" x14ac:dyDescent="0.25">
      <c r="C17724" s="8" t="e">
        <f>VLOOKUP(A:A,'ITEM LIST'!A:C,3,0)</f>
        <v>#N/A</v>
      </c>
      <c r="D17724" s="6">
        <f t="shared" si="277"/>
        <v>0</v>
      </c>
    </row>
    <row r="17725" spans="3:4" ht="15" x14ac:dyDescent="0.25">
      <c r="C17725" s="8" t="e">
        <f>VLOOKUP(A:A,'ITEM LIST'!A:C,3,0)</f>
        <v>#N/A</v>
      </c>
      <c r="D17725" s="6">
        <f t="shared" si="277"/>
        <v>0</v>
      </c>
    </row>
    <row r="17726" spans="3:4" ht="15" x14ac:dyDescent="0.25">
      <c r="C17726" s="8" t="e">
        <f>VLOOKUP(A:A,'ITEM LIST'!A:C,3,0)</f>
        <v>#N/A</v>
      </c>
      <c r="D17726" s="6">
        <f t="shared" si="277"/>
        <v>0</v>
      </c>
    </row>
    <row r="17727" spans="3:4" ht="15" x14ac:dyDescent="0.25">
      <c r="C17727" s="8" t="e">
        <f>VLOOKUP(A:A,'ITEM LIST'!A:C,3,0)</f>
        <v>#N/A</v>
      </c>
      <c r="D17727" s="6">
        <f t="shared" si="277"/>
        <v>0</v>
      </c>
    </row>
    <row r="17728" spans="3:4" ht="15" x14ac:dyDescent="0.25">
      <c r="C17728" s="8" t="e">
        <f>VLOOKUP(A:A,'ITEM LIST'!A:C,3,0)</f>
        <v>#N/A</v>
      </c>
      <c r="D17728" s="6">
        <f t="shared" si="277"/>
        <v>0</v>
      </c>
    </row>
    <row r="17729" spans="3:4" ht="15" x14ac:dyDescent="0.25">
      <c r="C17729" s="8" t="e">
        <f>VLOOKUP(A:A,'ITEM LIST'!A:C,3,0)</f>
        <v>#N/A</v>
      </c>
      <c r="D17729" s="6">
        <f t="shared" si="277"/>
        <v>0</v>
      </c>
    </row>
    <row r="17730" spans="3:4" ht="15" x14ac:dyDescent="0.25">
      <c r="C17730" s="8" t="e">
        <f>VLOOKUP(A:A,'ITEM LIST'!A:C,3,0)</f>
        <v>#N/A</v>
      </c>
      <c r="D17730" s="6">
        <f t="shared" si="277"/>
        <v>0</v>
      </c>
    </row>
    <row r="17731" spans="3:4" ht="15" x14ac:dyDescent="0.25">
      <c r="C17731" s="8" t="e">
        <f>VLOOKUP(A:A,'ITEM LIST'!A:C,3,0)</f>
        <v>#N/A</v>
      </c>
      <c r="D17731" s="6">
        <f t="shared" si="277"/>
        <v>0</v>
      </c>
    </row>
    <row r="17732" spans="3:4" ht="15" x14ac:dyDescent="0.25">
      <c r="C17732" s="8" t="e">
        <f>VLOOKUP(A:A,'ITEM LIST'!A:C,3,0)</f>
        <v>#N/A</v>
      </c>
      <c r="D17732" s="6">
        <f t="shared" si="277"/>
        <v>0</v>
      </c>
    </row>
    <row r="17733" spans="3:4" ht="15" x14ac:dyDescent="0.25">
      <c r="C17733" s="8" t="e">
        <f>VLOOKUP(A:A,'ITEM LIST'!A:C,3,0)</f>
        <v>#N/A</v>
      </c>
      <c r="D17733" s="6">
        <f t="shared" si="277"/>
        <v>0</v>
      </c>
    </row>
    <row r="17734" spans="3:4" ht="15" x14ac:dyDescent="0.25">
      <c r="C17734" s="8" t="e">
        <f>VLOOKUP(A:A,'ITEM LIST'!A:C,3,0)</f>
        <v>#N/A</v>
      </c>
      <c r="D17734" s="6">
        <f t="shared" ref="D17734:D17797" si="278">B17734</f>
        <v>0</v>
      </c>
    </row>
    <row r="17735" spans="3:4" ht="15" x14ac:dyDescent="0.25">
      <c r="C17735" s="8" t="e">
        <f>VLOOKUP(A:A,'ITEM LIST'!A:C,3,0)</f>
        <v>#N/A</v>
      </c>
      <c r="D17735" s="6">
        <f t="shared" si="278"/>
        <v>0</v>
      </c>
    </row>
    <row r="17736" spans="3:4" ht="15" x14ac:dyDescent="0.25">
      <c r="C17736" s="8" t="e">
        <f>VLOOKUP(A:A,'ITEM LIST'!A:C,3,0)</f>
        <v>#N/A</v>
      </c>
      <c r="D17736" s="6">
        <f t="shared" si="278"/>
        <v>0</v>
      </c>
    </row>
    <row r="17737" spans="3:4" ht="15" x14ac:dyDescent="0.25">
      <c r="C17737" s="8" t="e">
        <f>VLOOKUP(A:A,'ITEM LIST'!A:C,3,0)</f>
        <v>#N/A</v>
      </c>
      <c r="D17737" s="6">
        <f t="shared" si="278"/>
        <v>0</v>
      </c>
    </row>
    <row r="17738" spans="3:4" ht="15" x14ac:dyDescent="0.25">
      <c r="C17738" s="8" t="e">
        <f>VLOOKUP(A:A,'ITEM LIST'!A:C,3,0)</f>
        <v>#N/A</v>
      </c>
      <c r="D17738" s="6">
        <f t="shared" si="278"/>
        <v>0</v>
      </c>
    </row>
    <row r="17739" spans="3:4" ht="15" x14ac:dyDescent="0.25">
      <c r="C17739" s="8" t="e">
        <f>VLOOKUP(A:A,'ITEM LIST'!A:C,3,0)</f>
        <v>#N/A</v>
      </c>
      <c r="D17739" s="6">
        <f t="shared" si="278"/>
        <v>0</v>
      </c>
    </row>
    <row r="17740" spans="3:4" ht="15" x14ac:dyDescent="0.25">
      <c r="C17740" s="8" t="e">
        <f>VLOOKUP(A:A,'ITEM LIST'!A:C,3,0)</f>
        <v>#N/A</v>
      </c>
      <c r="D17740" s="6">
        <f t="shared" si="278"/>
        <v>0</v>
      </c>
    </row>
    <row r="17741" spans="3:4" ht="15" x14ac:dyDescent="0.25">
      <c r="C17741" s="8" t="e">
        <f>VLOOKUP(A:A,'ITEM LIST'!A:C,3,0)</f>
        <v>#N/A</v>
      </c>
      <c r="D17741" s="6">
        <f t="shared" si="278"/>
        <v>0</v>
      </c>
    </row>
    <row r="17742" spans="3:4" ht="15" x14ac:dyDescent="0.25">
      <c r="C17742" s="8" t="e">
        <f>VLOOKUP(A:A,'ITEM LIST'!A:C,3,0)</f>
        <v>#N/A</v>
      </c>
      <c r="D17742" s="6">
        <f t="shared" si="278"/>
        <v>0</v>
      </c>
    </row>
    <row r="17743" spans="3:4" ht="15" x14ac:dyDescent="0.25">
      <c r="C17743" s="8" t="e">
        <f>VLOOKUP(A:A,'ITEM LIST'!A:C,3,0)</f>
        <v>#N/A</v>
      </c>
      <c r="D17743" s="6">
        <f t="shared" si="278"/>
        <v>0</v>
      </c>
    </row>
    <row r="17744" spans="3:4" ht="15" x14ac:dyDescent="0.25">
      <c r="C17744" s="8" t="e">
        <f>VLOOKUP(A:A,'ITEM LIST'!A:C,3,0)</f>
        <v>#N/A</v>
      </c>
      <c r="D17744" s="6">
        <f t="shared" si="278"/>
        <v>0</v>
      </c>
    </row>
    <row r="17745" spans="3:4" ht="15" x14ac:dyDescent="0.25">
      <c r="C17745" s="8" t="e">
        <f>VLOOKUP(A:A,'ITEM LIST'!A:C,3,0)</f>
        <v>#N/A</v>
      </c>
      <c r="D17745" s="6">
        <f t="shared" si="278"/>
        <v>0</v>
      </c>
    </row>
    <row r="17746" spans="3:4" ht="15" x14ac:dyDescent="0.25">
      <c r="C17746" s="8" t="e">
        <f>VLOOKUP(A:A,'ITEM LIST'!A:C,3,0)</f>
        <v>#N/A</v>
      </c>
      <c r="D17746" s="6">
        <f t="shared" si="278"/>
        <v>0</v>
      </c>
    </row>
    <row r="17747" spans="3:4" ht="15" x14ac:dyDescent="0.25">
      <c r="C17747" s="8" t="e">
        <f>VLOOKUP(A:A,'ITEM LIST'!A:C,3,0)</f>
        <v>#N/A</v>
      </c>
      <c r="D17747" s="6">
        <f t="shared" si="278"/>
        <v>0</v>
      </c>
    </row>
    <row r="17748" spans="3:4" ht="15" x14ac:dyDescent="0.25">
      <c r="C17748" s="8" t="e">
        <f>VLOOKUP(A:A,'ITEM LIST'!A:C,3,0)</f>
        <v>#N/A</v>
      </c>
      <c r="D17748" s="6">
        <f t="shared" si="278"/>
        <v>0</v>
      </c>
    </row>
    <row r="17749" spans="3:4" ht="15" x14ac:dyDescent="0.25">
      <c r="C17749" s="8" t="e">
        <f>VLOOKUP(A:A,'ITEM LIST'!A:C,3,0)</f>
        <v>#N/A</v>
      </c>
      <c r="D17749" s="6">
        <f t="shared" si="278"/>
        <v>0</v>
      </c>
    </row>
    <row r="17750" spans="3:4" ht="15" x14ac:dyDescent="0.25">
      <c r="C17750" s="8" t="e">
        <f>VLOOKUP(A:A,'ITEM LIST'!A:C,3,0)</f>
        <v>#N/A</v>
      </c>
      <c r="D17750" s="6">
        <f t="shared" si="278"/>
        <v>0</v>
      </c>
    </row>
    <row r="17751" spans="3:4" ht="15" x14ac:dyDescent="0.25">
      <c r="C17751" s="8" t="e">
        <f>VLOOKUP(A:A,'ITEM LIST'!A:C,3,0)</f>
        <v>#N/A</v>
      </c>
      <c r="D17751" s="6">
        <f t="shared" si="278"/>
        <v>0</v>
      </c>
    </row>
    <row r="17752" spans="3:4" ht="15" x14ac:dyDescent="0.25">
      <c r="C17752" s="8" t="e">
        <f>VLOOKUP(A:A,'ITEM LIST'!A:C,3,0)</f>
        <v>#N/A</v>
      </c>
      <c r="D17752" s="6">
        <f t="shared" si="278"/>
        <v>0</v>
      </c>
    </row>
    <row r="17753" spans="3:4" ht="15" x14ac:dyDescent="0.25">
      <c r="C17753" s="8" t="e">
        <f>VLOOKUP(A:A,'ITEM LIST'!A:C,3,0)</f>
        <v>#N/A</v>
      </c>
      <c r="D17753" s="6">
        <f t="shared" si="278"/>
        <v>0</v>
      </c>
    </row>
    <row r="17754" spans="3:4" ht="15" x14ac:dyDescent="0.25">
      <c r="C17754" s="8" t="e">
        <f>VLOOKUP(A:A,'ITEM LIST'!A:C,3,0)</f>
        <v>#N/A</v>
      </c>
      <c r="D17754" s="6">
        <f t="shared" si="278"/>
        <v>0</v>
      </c>
    </row>
    <row r="17755" spans="3:4" ht="15" x14ac:dyDescent="0.25">
      <c r="C17755" s="8" t="e">
        <f>VLOOKUP(A:A,'ITEM LIST'!A:C,3,0)</f>
        <v>#N/A</v>
      </c>
      <c r="D17755" s="6">
        <f t="shared" si="278"/>
        <v>0</v>
      </c>
    </row>
    <row r="17756" spans="3:4" ht="15" x14ac:dyDescent="0.25">
      <c r="C17756" s="8" t="e">
        <f>VLOOKUP(A:A,'ITEM LIST'!A:C,3,0)</f>
        <v>#N/A</v>
      </c>
      <c r="D17756" s="6">
        <f t="shared" si="278"/>
        <v>0</v>
      </c>
    </row>
    <row r="17757" spans="3:4" ht="15" x14ac:dyDescent="0.25">
      <c r="C17757" s="8" t="e">
        <f>VLOOKUP(A:A,'ITEM LIST'!A:C,3,0)</f>
        <v>#N/A</v>
      </c>
      <c r="D17757" s="6">
        <f t="shared" si="278"/>
        <v>0</v>
      </c>
    </row>
    <row r="17758" spans="3:4" ht="15" x14ac:dyDescent="0.25">
      <c r="C17758" s="8" t="e">
        <f>VLOOKUP(A:A,'ITEM LIST'!A:C,3,0)</f>
        <v>#N/A</v>
      </c>
      <c r="D17758" s="6">
        <f t="shared" si="278"/>
        <v>0</v>
      </c>
    </row>
    <row r="17759" spans="3:4" ht="15" x14ac:dyDescent="0.25">
      <c r="C17759" s="8" t="e">
        <f>VLOOKUP(A:A,'ITEM LIST'!A:C,3,0)</f>
        <v>#N/A</v>
      </c>
      <c r="D17759" s="6">
        <f t="shared" si="278"/>
        <v>0</v>
      </c>
    </row>
    <row r="17760" spans="3:4" ht="15" x14ac:dyDescent="0.25">
      <c r="C17760" s="8" t="e">
        <f>VLOOKUP(A:A,'ITEM LIST'!A:C,3,0)</f>
        <v>#N/A</v>
      </c>
      <c r="D17760" s="6">
        <f t="shared" si="278"/>
        <v>0</v>
      </c>
    </row>
    <row r="17761" spans="3:4" ht="15" x14ac:dyDescent="0.25">
      <c r="C17761" s="8" t="e">
        <f>VLOOKUP(A:A,'ITEM LIST'!A:C,3,0)</f>
        <v>#N/A</v>
      </c>
      <c r="D17761" s="6">
        <f t="shared" si="278"/>
        <v>0</v>
      </c>
    </row>
    <row r="17762" spans="3:4" ht="15" x14ac:dyDescent="0.25">
      <c r="C17762" s="8" t="e">
        <f>VLOOKUP(A:A,'ITEM LIST'!A:C,3,0)</f>
        <v>#N/A</v>
      </c>
      <c r="D17762" s="6">
        <f t="shared" si="278"/>
        <v>0</v>
      </c>
    </row>
    <row r="17763" spans="3:4" ht="15" x14ac:dyDescent="0.25">
      <c r="C17763" s="8" t="e">
        <f>VLOOKUP(A:A,'ITEM LIST'!A:C,3,0)</f>
        <v>#N/A</v>
      </c>
      <c r="D17763" s="6">
        <f t="shared" si="278"/>
        <v>0</v>
      </c>
    </row>
    <row r="17764" spans="3:4" ht="15" x14ac:dyDescent="0.25">
      <c r="C17764" s="8" t="e">
        <f>VLOOKUP(A:A,'ITEM LIST'!A:C,3,0)</f>
        <v>#N/A</v>
      </c>
      <c r="D17764" s="6">
        <f t="shared" si="278"/>
        <v>0</v>
      </c>
    </row>
    <row r="17765" spans="3:4" ht="15" x14ac:dyDescent="0.25">
      <c r="C17765" s="8" t="e">
        <f>VLOOKUP(A:A,'ITEM LIST'!A:C,3,0)</f>
        <v>#N/A</v>
      </c>
      <c r="D17765" s="6">
        <f t="shared" si="278"/>
        <v>0</v>
      </c>
    </row>
    <row r="17766" spans="3:4" ht="15" x14ac:dyDescent="0.25">
      <c r="C17766" s="8" t="e">
        <f>VLOOKUP(A:A,'ITEM LIST'!A:C,3,0)</f>
        <v>#N/A</v>
      </c>
      <c r="D17766" s="6">
        <f t="shared" si="278"/>
        <v>0</v>
      </c>
    </row>
    <row r="17767" spans="3:4" ht="15" x14ac:dyDescent="0.25">
      <c r="C17767" s="8" t="e">
        <f>VLOOKUP(A:A,'ITEM LIST'!A:C,3,0)</f>
        <v>#N/A</v>
      </c>
      <c r="D17767" s="6">
        <f t="shared" si="278"/>
        <v>0</v>
      </c>
    </row>
    <row r="17768" spans="3:4" ht="15" x14ac:dyDescent="0.25">
      <c r="C17768" s="8" t="e">
        <f>VLOOKUP(A:A,'ITEM LIST'!A:C,3,0)</f>
        <v>#N/A</v>
      </c>
      <c r="D17768" s="6">
        <f t="shared" si="278"/>
        <v>0</v>
      </c>
    </row>
    <row r="17769" spans="3:4" ht="15" x14ac:dyDescent="0.25">
      <c r="C17769" s="8" t="e">
        <f>VLOOKUP(A:A,'ITEM LIST'!A:C,3,0)</f>
        <v>#N/A</v>
      </c>
      <c r="D17769" s="6">
        <f t="shared" si="278"/>
        <v>0</v>
      </c>
    </row>
    <row r="17770" spans="3:4" ht="15" x14ac:dyDescent="0.25">
      <c r="C17770" s="8" t="e">
        <f>VLOOKUP(A:A,'ITEM LIST'!A:C,3,0)</f>
        <v>#N/A</v>
      </c>
      <c r="D17770" s="6">
        <f t="shared" si="278"/>
        <v>0</v>
      </c>
    </row>
    <row r="17771" spans="3:4" ht="15" x14ac:dyDescent="0.25">
      <c r="C17771" s="8" t="e">
        <f>VLOOKUP(A:A,'ITEM LIST'!A:C,3,0)</f>
        <v>#N/A</v>
      </c>
      <c r="D17771" s="6">
        <f t="shared" si="278"/>
        <v>0</v>
      </c>
    </row>
    <row r="17772" spans="3:4" ht="15" x14ac:dyDescent="0.25">
      <c r="C17772" s="8" t="e">
        <f>VLOOKUP(A:A,'ITEM LIST'!A:C,3,0)</f>
        <v>#N/A</v>
      </c>
      <c r="D17772" s="6">
        <f t="shared" si="278"/>
        <v>0</v>
      </c>
    </row>
    <row r="17773" spans="3:4" ht="15" x14ac:dyDescent="0.25">
      <c r="C17773" s="8" t="e">
        <f>VLOOKUP(A:A,'ITEM LIST'!A:C,3,0)</f>
        <v>#N/A</v>
      </c>
      <c r="D17773" s="6">
        <f t="shared" si="278"/>
        <v>0</v>
      </c>
    </row>
    <row r="17774" spans="3:4" ht="15" x14ac:dyDescent="0.25">
      <c r="C17774" s="8" t="e">
        <f>VLOOKUP(A:A,'ITEM LIST'!A:C,3,0)</f>
        <v>#N/A</v>
      </c>
      <c r="D17774" s="6">
        <f t="shared" si="278"/>
        <v>0</v>
      </c>
    </row>
    <row r="17775" spans="3:4" ht="15" x14ac:dyDescent="0.25">
      <c r="C17775" s="8" t="e">
        <f>VLOOKUP(A:A,'ITEM LIST'!A:C,3,0)</f>
        <v>#N/A</v>
      </c>
      <c r="D17775" s="6">
        <f t="shared" si="278"/>
        <v>0</v>
      </c>
    </row>
    <row r="17776" spans="3:4" ht="15" x14ac:dyDescent="0.25">
      <c r="C17776" s="8" t="e">
        <f>VLOOKUP(A:A,'ITEM LIST'!A:C,3,0)</f>
        <v>#N/A</v>
      </c>
      <c r="D17776" s="6">
        <f t="shared" si="278"/>
        <v>0</v>
      </c>
    </row>
    <row r="17777" spans="3:4" ht="15" x14ac:dyDescent="0.25">
      <c r="C17777" s="8" t="e">
        <f>VLOOKUP(A:A,'ITEM LIST'!A:C,3,0)</f>
        <v>#N/A</v>
      </c>
      <c r="D17777" s="6">
        <f t="shared" si="278"/>
        <v>0</v>
      </c>
    </row>
    <row r="17778" spans="3:4" ht="15" x14ac:dyDescent="0.25">
      <c r="C17778" s="8" t="e">
        <f>VLOOKUP(A:A,'ITEM LIST'!A:C,3,0)</f>
        <v>#N/A</v>
      </c>
      <c r="D17778" s="6">
        <f t="shared" si="278"/>
        <v>0</v>
      </c>
    </row>
    <row r="17779" spans="3:4" ht="15" x14ac:dyDescent="0.25">
      <c r="C17779" s="8" t="e">
        <f>VLOOKUP(A:A,'ITEM LIST'!A:C,3,0)</f>
        <v>#N/A</v>
      </c>
      <c r="D17779" s="6">
        <f t="shared" si="278"/>
        <v>0</v>
      </c>
    </row>
    <row r="17780" spans="3:4" ht="15" x14ac:dyDescent="0.25">
      <c r="C17780" s="8" t="e">
        <f>VLOOKUP(A:A,'ITEM LIST'!A:C,3,0)</f>
        <v>#N/A</v>
      </c>
      <c r="D17780" s="6">
        <f t="shared" si="278"/>
        <v>0</v>
      </c>
    </row>
    <row r="17781" spans="3:4" ht="15" x14ac:dyDescent="0.25">
      <c r="C17781" s="8" t="e">
        <f>VLOOKUP(A:A,'ITEM LIST'!A:C,3,0)</f>
        <v>#N/A</v>
      </c>
      <c r="D17781" s="6">
        <f t="shared" si="278"/>
        <v>0</v>
      </c>
    </row>
    <row r="17782" spans="3:4" ht="15" x14ac:dyDescent="0.25">
      <c r="C17782" s="8" t="e">
        <f>VLOOKUP(A:A,'ITEM LIST'!A:C,3,0)</f>
        <v>#N/A</v>
      </c>
      <c r="D17782" s="6">
        <f t="shared" si="278"/>
        <v>0</v>
      </c>
    </row>
    <row r="17783" spans="3:4" ht="15" x14ac:dyDescent="0.25">
      <c r="C17783" s="8" t="e">
        <f>VLOOKUP(A:A,'ITEM LIST'!A:C,3,0)</f>
        <v>#N/A</v>
      </c>
      <c r="D17783" s="6">
        <f t="shared" si="278"/>
        <v>0</v>
      </c>
    </row>
    <row r="17784" spans="3:4" ht="15" x14ac:dyDescent="0.25">
      <c r="C17784" s="8" t="e">
        <f>VLOOKUP(A:A,'ITEM LIST'!A:C,3,0)</f>
        <v>#N/A</v>
      </c>
      <c r="D17784" s="6">
        <f t="shared" si="278"/>
        <v>0</v>
      </c>
    </row>
    <row r="17785" spans="3:4" ht="15" x14ac:dyDescent="0.25">
      <c r="C17785" s="8" t="e">
        <f>VLOOKUP(A:A,'ITEM LIST'!A:C,3,0)</f>
        <v>#N/A</v>
      </c>
      <c r="D17785" s="6">
        <f t="shared" si="278"/>
        <v>0</v>
      </c>
    </row>
    <row r="17786" spans="3:4" ht="15" x14ac:dyDescent="0.25">
      <c r="C17786" s="8" t="e">
        <f>VLOOKUP(A:A,'ITEM LIST'!A:C,3,0)</f>
        <v>#N/A</v>
      </c>
      <c r="D17786" s="6">
        <f t="shared" si="278"/>
        <v>0</v>
      </c>
    </row>
    <row r="17787" spans="3:4" ht="15" x14ac:dyDescent="0.25">
      <c r="C17787" s="8" t="e">
        <f>VLOOKUP(A:A,'ITEM LIST'!A:C,3,0)</f>
        <v>#N/A</v>
      </c>
      <c r="D17787" s="6">
        <f t="shared" si="278"/>
        <v>0</v>
      </c>
    </row>
    <row r="17788" spans="3:4" ht="15" x14ac:dyDescent="0.25">
      <c r="C17788" s="8" t="e">
        <f>VLOOKUP(A:A,'ITEM LIST'!A:C,3,0)</f>
        <v>#N/A</v>
      </c>
      <c r="D17788" s="6">
        <f t="shared" si="278"/>
        <v>0</v>
      </c>
    </row>
    <row r="17789" spans="3:4" ht="15" x14ac:dyDescent="0.25">
      <c r="C17789" s="8" t="e">
        <f>VLOOKUP(A:A,'ITEM LIST'!A:C,3,0)</f>
        <v>#N/A</v>
      </c>
      <c r="D17789" s="6">
        <f t="shared" si="278"/>
        <v>0</v>
      </c>
    </row>
    <row r="17790" spans="3:4" ht="15" x14ac:dyDescent="0.25">
      <c r="C17790" s="8" t="e">
        <f>VLOOKUP(A:A,'ITEM LIST'!A:C,3,0)</f>
        <v>#N/A</v>
      </c>
      <c r="D17790" s="6">
        <f t="shared" si="278"/>
        <v>0</v>
      </c>
    </row>
    <row r="17791" spans="3:4" ht="15" x14ac:dyDescent="0.25">
      <c r="C17791" s="8" t="e">
        <f>VLOOKUP(A:A,'ITEM LIST'!A:C,3,0)</f>
        <v>#N/A</v>
      </c>
      <c r="D17791" s="6">
        <f t="shared" si="278"/>
        <v>0</v>
      </c>
    </row>
    <row r="17792" spans="3:4" ht="15" x14ac:dyDescent="0.25">
      <c r="C17792" s="8" t="e">
        <f>VLOOKUP(A:A,'ITEM LIST'!A:C,3,0)</f>
        <v>#N/A</v>
      </c>
      <c r="D17792" s="6">
        <f t="shared" si="278"/>
        <v>0</v>
      </c>
    </row>
    <row r="17793" spans="3:4" ht="15" x14ac:dyDescent="0.25">
      <c r="C17793" s="8" t="e">
        <f>VLOOKUP(A:A,'ITEM LIST'!A:C,3,0)</f>
        <v>#N/A</v>
      </c>
      <c r="D17793" s="6">
        <f t="shared" si="278"/>
        <v>0</v>
      </c>
    </row>
    <row r="17794" spans="3:4" ht="15" x14ac:dyDescent="0.25">
      <c r="C17794" s="8" t="e">
        <f>VLOOKUP(A:A,'ITEM LIST'!A:C,3,0)</f>
        <v>#N/A</v>
      </c>
      <c r="D17794" s="6">
        <f t="shared" si="278"/>
        <v>0</v>
      </c>
    </row>
    <row r="17795" spans="3:4" ht="15" x14ac:dyDescent="0.25">
      <c r="C17795" s="8" t="e">
        <f>VLOOKUP(A:A,'ITEM LIST'!A:C,3,0)</f>
        <v>#N/A</v>
      </c>
      <c r="D17795" s="6">
        <f t="shared" si="278"/>
        <v>0</v>
      </c>
    </row>
    <row r="17796" spans="3:4" ht="15" x14ac:dyDescent="0.25">
      <c r="C17796" s="8" t="e">
        <f>VLOOKUP(A:A,'ITEM LIST'!A:C,3,0)</f>
        <v>#N/A</v>
      </c>
      <c r="D17796" s="6">
        <f t="shared" si="278"/>
        <v>0</v>
      </c>
    </row>
    <row r="17797" spans="3:4" ht="15" x14ac:dyDescent="0.25">
      <c r="C17797" s="8" t="e">
        <f>VLOOKUP(A:A,'ITEM LIST'!A:C,3,0)</f>
        <v>#N/A</v>
      </c>
      <c r="D17797" s="6">
        <f t="shared" si="278"/>
        <v>0</v>
      </c>
    </row>
    <row r="17798" spans="3:4" ht="15" x14ac:dyDescent="0.25">
      <c r="C17798" s="8" t="e">
        <f>VLOOKUP(A:A,'ITEM LIST'!A:C,3,0)</f>
        <v>#N/A</v>
      </c>
      <c r="D17798" s="6">
        <f t="shared" ref="D17798:D17861" si="279">B17798</f>
        <v>0</v>
      </c>
    </row>
    <row r="17799" spans="3:4" ht="15" x14ac:dyDescent="0.25">
      <c r="C17799" s="8" t="e">
        <f>VLOOKUP(A:A,'ITEM LIST'!A:C,3,0)</f>
        <v>#N/A</v>
      </c>
      <c r="D17799" s="6">
        <f t="shared" si="279"/>
        <v>0</v>
      </c>
    </row>
    <row r="17800" spans="3:4" ht="15" x14ac:dyDescent="0.25">
      <c r="C17800" s="8" t="e">
        <f>VLOOKUP(A:A,'ITEM LIST'!A:C,3,0)</f>
        <v>#N/A</v>
      </c>
      <c r="D17800" s="6">
        <f t="shared" si="279"/>
        <v>0</v>
      </c>
    </row>
    <row r="17801" spans="3:4" ht="15" x14ac:dyDescent="0.25">
      <c r="C17801" s="8" t="e">
        <f>VLOOKUP(A:A,'ITEM LIST'!A:C,3,0)</f>
        <v>#N/A</v>
      </c>
      <c r="D17801" s="6">
        <f t="shared" si="279"/>
        <v>0</v>
      </c>
    </row>
    <row r="17802" spans="3:4" ht="15" x14ac:dyDescent="0.25">
      <c r="C17802" s="8" t="e">
        <f>VLOOKUP(A:A,'ITEM LIST'!A:C,3,0)</f>
        <v>#N/A</v>
      </c>
      <c r="D17802" s="6">
        <f t="shared" si="279"/>
        <v>0</v>
      </c>
    </row>
    <row r="17803" spans="3:4" ht="15" x14ac:dyDescent="0.25">
      <c r="C17803" s="8" t="e">
        <f>VLOOKUP(A:A,'ITEM LIST'!A:C,3,0)</f>
        <v>#N/A</v>
      </c>
      <c r="D17803" s="6">
        <f t="shared" si="279"/>
        <v>0</v>
      </c>
    </row>
    <row r="17804" spans="3:4" ht="15" x14ac:dyDescent="0.25">
      <c r="C17804" s="8" t="e">
        <f>VLOOKUP(A:A,'ITEM LIST'!A:C,3,0)</f>
        <v>#N/A</v>
      </c>
      <c r="D17804" s="6">
        <f t="shared" si="279"/>
        <v>0</v>
      </c>
    </row>
    <row r="17805" spans="3:4" ht="15" x14ac:dyDescent="0.25">
      <c r="C17805" s="8" t="e">
        <f>VLOOKUP(A:A,'ITEM LIST'!A:C,3,0)</f>
        <v>#N/A</v>
      </c>
      <c r="D17805" s="6">
        <f t="shared" si="279"/>
        <v>0</v>
      </c>
    </row>
    <row r="17806" spans="3:4" ht="15" x14ac:dyDescent="0.25">
      <c r="C17806" s="8" t="e">
        <f>VLOOKUP(A:A,'ITEM LIST'!A:C,3,0)</f>
        <v>#N/A</v>
      </c>
      <c r="D17806" s="6">
        <f t="shared" si="279"/>
        <v>0</v>
      </c>
    </row>
    <row r="17807" spans="3:4" ht="15" x14ac:dyDescent="0.25">
      <c r="C17807" s="8" t="e">
        <f>VLOOKUP(A:A,'ITEM LIST'!A:C,3,0)</f>
        <v>#N/A</v>
      </c>
      <c r="D17807" s="6">
        <f t="shared" si="279"/>
        <v>0</v>
      </c>
    </row>
    <row r="17808" spans="3:4" ht="15" x14ac:dyDescent="0.25">
      <c r="C17808" s="8" t="e">
        <f>VLOOKUP(A:A,'ITEM LIST'!A:C,3,0)</f>
        <v>#N/A</v>
      </c>
      <c r="D17808" s="6">
        <f t="shared" si="279"/>
        <v>0</v>
      </c>
    </row>
    <row r="17809" spans="3:4" ht="15" x14ac:dyDescent="0.25">
      <c r="C17809" s="8" t="e">
        <f>VLOOKUP(A:A,'ITEM LIST'!A:C,3,0)</f>
        <v>#N/A</v>
      </c>
      <c r="D17809" s="6">
        <f t="shared" si="279"/>
        <v>0</v>
      </c>
    </row>
    <row r="17810" spans="3:4" ht="15" x14ac:dyDescent="0.25">
      <c r="C17810" s="8" t="e">
        <f>VLOOKUP(A:A,'ITEM LIST'!A:C,3,0)</f>
        <v>#N/A</v>
      </c>
      <c r="D17810" s="6">
        <f t="shared" si="279"/>
        <v>0</v>
      </c>
    </row>
    <row r="17811" spans="3:4" ht="15" x14ac:dyDescent="0.25">
      <c r="C17811" s="8" t="e">
        <f>VLOOKUP(A:A,'ITEM LIST'!A:C,3,0)</f>
        <v>#N/A</v>
      </c>
      <c r="D17811" s="6">
        <f t="shared" si="279"/>
        <v>0</v>
      </c>
    </row>
    <row r="17812" spans="3:4" ht="15" x14ac:dyDescent="0.25">
      <c r="C17812" s="8" t="e">
        <f>VLOOKUP(A:A,'ITEM LIST'!A:C,3,0)</f>
        <v>#N/A</v>
      </c>
      <c r="D17812" s="6">
        <f t="shared" si="279"/>
        <v>0</v>
      </c>
    </row>
    <row r="17813" spans="3:4" ht="15" x14ac:dyDescent="0.25">
      <c r="C17813" s="8" t="e">
        <f>VLOOKUP(A:A,'ITEM LIST'!A:C,3,0)</f>
        <v>#N/A</v>
      </c>
      <c r="D17813" s="6">
        <f t="shared" si="279"/>
        <v>0</v>
      </c>
    </row>
    <row r="17814" spans="3:4" ht="15" x14ac:dyDescent="0.25">
      <c r="C17814" s="8" t="e">
        <f>VLOOKUP(A:A,'ITEM LIST'!A:C,3,0)</f>
        <v>#N/A</v>
      </c>
      <c r="D17814" s="6">
        <f t="shared" si="279"/>
        <v>0</v>
      </c>
    </row>
    <row r="17815" spans="3:4" ht="15" x14ac:dyDescent="0.25">
      <c r="C17815" s="8" t="e">
        <f>VLOOKUP(A:A,'ITEM LIST'!A:C,3,0)</f>
        <v>#N/A</v>
      </c>
      <c r="D17815" s="6">
        <f t="shared" si="279"/>
        <v>0</v>
      </c>
    </row>
    <row r="17816" spans="3:4" ht="15" x14ac:dyDescent="0.25">
      <c r="C17816" s="8" t="e">
        <f>VLOOKUP(A:A,'ITEM LIST'!A:C,3,0)</f>
        <v>#N/A</v>
      </c>
      <c r="D17816" s="6">
        <f t="shared" si="279"/>
        <v>0</v>
      </c>
    </row>
    <row r="17817" spans="3:4" ht="15" x14ac:dyDescent="0.25">
      <c r="C17817" s="8" t="e">
        <f>VLOOKUP(A:A,'ITEM LIST'!A:C,3,0)</f>
        <v>#N/A</v>
      </c>
      <c r="D17817" s="6">
        <f t="shared" si="279"/>
        <v>0</v>
      </c>
    </row>
    <row r="17818" spans="3:4" ht="15" x14ac:dyDescent="0.25">
      <c r="C17818" s="8" t="e">
        <f>VLOOKUP(A:A,'ITEM LIST'!A:C,3,0)</f>
        <v>#N/A</v>
      </c>
      <c r="D17818" s="6">
        <f t="shared" si="279"/>
        <v>0</v>
      </c>
    </row>
    <row r="17819" spans="3:4" ht="15" x14ac:dyDescent="0.25">
      <c r="C17819" s="8" t="e">
        <f>VLOOKUP(A:A,'ITEM LIST'!A:C,3,0)</f>
        <v>#N/A</v>
      </c>
      <c r="D17819" s="6">
        <f t="shared" si="279"/>
        <v>0</v>
      </c>
    </row>
    <row r="17820" spans="3:4" ht="15" x14ac:dyDescent="0.25">
      <c r="C17820" s="8" t="e">
        <f>VLOOKUP(A:A,'ITEM LIST'!A:C,3,0)</f>
        <v>#N/A</v>
      </c>
      <c r="D17820" s="6">
        <f t="shared" si="279"/>
        <v>0</v>
      </c>
    </row>
    <row r="17821" spans="3:4" ht="15" x14ac:dyDescent="0.25">
      <c r="C17821" s="8" t="e">
        <f>VLOOKUP(A:A,'ITEM LIST'!A:C,3,0)</f>
        <v>#N/A</v>
      </c>
      <c r="D17821" s="6">
        <f t="shared" si="279"/>
        <v>0</v>
      </c>
    </row>
    <row r="17822" spans="3:4" ht="15" x14ac:dyDescent="0.25">
      <c r="C17822" s="8" t="e">
        <f>VLOOKUP(A:A,'ITEM LIST'!A:C,3,0)</f>
        <v>#N/A</v>
      </c>
      <c r="D17822" s="6">
        <f t="shared" si="279"/>
        <v>0</v>
      </c>
    </row>
    <row r="17823" spans="3:4" ht="15" x14ac:dyDescent="0.25">
      <c r="C17823" s="8" t="e">
        <f>VLOOKUP(A:A,'ITEM LIST'!A:C,3,0)</f>
        <v>#N/A</v>
      </c>
      <c r="D17823" s="6">
        <f t="shared" si="279"/>
        <v>0</v>
      </c>
    </row>
    <row r="17824" spans="3:4" ht="15" x14ac:dyDescent="0.25">
      <c r="C17824" s="8" t="e">
        <f>VLOOKUP(A:A,'ITEM LIST'!A:C,3,0)</f>
        <v>#N/A</v>
      </c>
      <c r="D17824" s="6">
        <f t="shared" si="279"/>
        <v>0</v>
      </c>
    </row>
    <row r="17825" spans="3:4" ht="15" x14ac:dyDescent="0.25">
      <c r="C17825" s="8" t="e">
        <f>VLOOKUP(A:A,'ITEM LIST'!A:C,3,0)</f>
        <v>#N/A</v>
      </c>
      <c r="D17825" s="6">
        <f t="shared" si="279"/>
        <v>0</v>
      </c>
    </row>
    <row r="17826" spans="3:4" ht="15" x14ac:dyDescent="0.25">
      <c r="C17826" s="8" t="e">
        <f>VLOOKUP(A:A,'ITEM LIST'!A:C,3,0)</f>
        <v>#N/A</v>
      </c>
      <c r="D17826" s="6">
        <f t="shared" si="279"/>
        <v>0</v>
      </c>
    </row>
    <row r="17827" spans="3:4" ht="15" x14ac:dyDescent="0.25">
      <c r="C17827" s="8" t="e">
        <f>VLOOKUP(A:A,'ITEM LIST'!A:C,3,0)</f>
        <v>#N/A</v>
      </c>
      <c r="D17827" s="6">
        <f t="shared" si="279"/>
        <v>0</v>
      </c>
    </row>
    <row r="17828" spans="3:4" ht="15" x14ac:dyDescent="0.25">
      <c r="C17828" s="8" t="e">
        <f>VLOOKUP(A:A,'ITEM LIST'!A:C,3,0)</f>
        <v>#N/A</v>
      </c>
      <c r="D17828" s="6">
        <f t="shared" si="279"/>
        <v>0</v>
      </c>
    </row>
    <row r="17829" spans="3:4" ht="15" x14ac:dyDescent="0.25">
      <c r="C17829" s="8" t="e">
        <f>VLOOKUP(A:A,'ITEM LIST'!A:C,3,0)</f>
        <v>#N/A</v>
      </c>
      <c r="D17829" s="6">
        <f t="shared" si="279"/>
        <v>0</v>
      </c>
    </row>
    <row r="17830" spans="3:4" ht="15" x14ac:dyDescent="0.25">
      <c r="C17830" s="8" t="e">
        <f>VLOOKUP(A:A,'ITEM LIST'!A:C,3,0)</f>
        <v>#N/A</v>
      </c>
      <c r="D17830" s="6">
        <f t="shared" si="279"/>
        <v>0</v>
      </c>
    </row>
    <row r="17831" spans="3:4" ht="15" x14ac:dyDescent="0.25">
      <c r="C17831" s="8" t="e">
        <f>VLOOKUP(A:A,'ITEM LIST'!A:C,3,0)</f>
        <v>#N/A</v>
      </c>
      <c r="D17831" s="6">
        <f t="shared" si="279"/>
        <v>0</v>
      </c>
    </row>
    <row r="17832" spans="3:4" ht="15" x14ac:dyDescent="0.25">
      <c r="C17832" s="8" t="e">
        <f>VLOOKUP(A:A,'ITEM LIST'!A:C,3,0)</f>
        <v>#N/A</v>
      </c>
      <c r="D17832" s="6">
        <f t="shared" si="279"/>
        <v>0</v>
      </c>
    </row>
    <row r="17833" spans="3:4" ht="15" x14ac:dyDescent="0.25">
      <c r="C17833" s="8" t="e">
        <f>VLOOKUP(A:A,'ITEM LIST'!A:C,3,0)</f>
        <v>#N/A</v>
      </c>
      <c r="D17833" s="6">
        <f t="shared" si="279"/>
        <v>0</v>
      </c>
    </row>
    <row r="17834" spans="3:4" ht="15" x14ac:dyDescent="0.25">
      <c r="C17834" s="8" t="e">
        <f>VLOOKUP(A:A,'ITEM LIST'!A:C,3,0)</f>
        <v>#N/A</v>
      </c>
      <c r="D17834" s="6">
        <f t="shared" si="279"/>
        <v>0</v>
      </c>
    </row>
    <row r="17835" spans="3:4" ht="15" x14ac:dyDescent="0.25">
      <c r="C17835" s="8" t="e">
        <f>VLOOKUP(A:A,'ITEM LIST'!A:C,3,0)</f>
        <v>#N/A</v>
      </c>
      <c r="D17835" s="6">
        <f t="shared" si="279"/>
        <v>0</v>
      </c>
    </row>
    <row r="17836" spans="3:4" ht="15" x14ac:dyDescent="0.25">
      <c r="C17836" s="8" t="e">
        <f>VLOOKUP(A:A,'ITEM LIST'!A:C,3,0)</f>
        <v>#N/A</v>
      </c>
      <c r="D17836" s="6">
        <f t="shared" si="279"/>
        <v>0</v>
      </c>
    </row>
    <row r="17837" spans="3:4" ht="15" x14ac:dyDescent="0.25">
      <c r="C17837" s="8" t="e">
        <f>VLOOKUP(A:A,'ITEM LIST'!A:C,3,0)</f>
        <v>#N/A</v>
      </c>
      <c r="D17837" s="6">
        <f t="shared" si="279"/>
        <v>0</v>
      </c>
    </row>
    <row r="17838" spans="3:4" ht="15" x14ac:dyDescent="0.25">
      <c r="C17838" s="8" t="e">
        <f>VLOOKUP(A:A,'ITEM LIST'!A:C,3,0)</f>
        <v>#N/A</v>
      </c>
      <c r="D17838" s="6">
        <f t="shared" si="279"/>
        <v>0</v>
      </c>
    </row>
    <row r="17839" spans="3:4" ht="15" x14ac:dyDescent="0.25">
      <c r="C17839" s="8" t="e">
        <f>VLOOKUP(A:A,'ITEM LIST'!A:C,3,0)</f>
        <v>#N/A</v>
      </c>
      <c r="D17839" s="6">
        <f t="shared" si="279"/>
        <v>0</v>
      </c>
    </row>
    <row r="17840" spans="3:4" ht="15" x14ac:dyDescent="0.25">
      <c r="C17840" s="8" t="e">
        <f>VLOOKUP(A:A,'ITEM LIST'!A:C,3,0)</f>
        <v>#N/A</v>
      </c>
      <c r="D17840" s="6">
        <f t="shared" si="279"/>
        <v>0</v>
      </c>
    </row>
    <row r="17841" spans="3:4" ht="15" x14ac:dyDescent="0.25">
      <c r="C17841" s="8" t="e">
        <f>VLOOKUP(A:A,'ITEM LIST'!A:C,3,0)</f>
        <v>#N/A</v>
      </c>
      <c r="D17841" s="6">
        <f t="shared" si="279"/>
        <v>0</v>
      </c>
    </row>
    <row r="17842" spans="3:4" ht="15" x14ac:dyDescent="0.25">
      <c r="C17842" s="8" t="e">
        <f>VLOOKUP(A:A,'ITEM LIST'!A:C,3,0)</f>
        <v>#N/A</v>
      </c>
      <c r="D17842" s="6">
        <f t="shared" si="279"/>
        <v>0</v>
      </c>
    </row>
    <row r="17843" spans="3:4" ht="15" x14ac:dyDescent="0.25">
      <c r="C17843" s="8" t="e">
        <f>VLOOKUP(A:A,'ITEM LIST'!A:C,3,0)</f>
        <v>#N/A</v>
      </c>
      <c r="D17843" s="6">
        <f t="shared" si="279"/>
        <v>0</v>
      </c>
    </row>
    <row r="17844" spans="3:4" ht="15" x14ac:dyDescent="0.25">
      <c r="C17844" s="8" t="e">
        <f>VLOOKUP(A:A,'ITEM LIST'!A:C,3,0)</f>
        <v>#N/A</v>
      </c>
      <c r="D17844" s="6">
        <f t="shared" si="279"/>
        <v>0</v>
      </c>
    </row>
    <row r="17845" spans="3:4" ht="15" x14ac:dyDescent="0.25">
      <c r="C17845" s="8" t="e">
        <f>VLOOKUP(A:A,'ITEM LIST'!A:C,3,0)</f>
        <v>#N/A</v>
      </c>
      <c r="D17845" s="6">
        <f t="shared" si="279"/>
        <v>0</v>
      </c>
    </row>
    <row r="17846" spans="3:4" ht="15" x14ac:dyDescent="0.25">
      <c r="C17846" s="8" t="e">
        <f>VLOOKUP(A:A,'ITEM LIST'!A:C,3,0)</f>
        <v>#N/A</v>
      </c>
      <c r="D17846" s="6">
        <f t="shared" si="279"/>
        <v>0</v>
      </c>
    </row>
    <row r="17847" spans="3:4" ht="15" x14ac:dyDescent="0.25">
      <c r="C17847" s="8" t="e">
        <f>VLOOKUP(A:A,'ITEM LIST'!A:C,3,0)</f>
        <v>#N/A</v>
      </c>
      <c r="D17847" s="6">
        <f t="shared" si="279"/>
        <v>0</v>
      </c>
    </row>
    <row r="17848" spans="3:4" ht="15" x14ac:dyDescent="0.25">
      <c r="C17848" s="8" t="e">
        <f>VLOOKUP(A:A,'ITEM LIST'!A:C,3,0)</f>
        <v>#N/A</v>
      </c>
      <c r="D17848" s="6">
        <f t="shared" si="279"/>
        <v>0</v>
      </c>
    </row>
    <row r="17849" spans="3:4" ht="15" x14ac:dyDescent="0.25">
      <c r="C17849" s="8" t="e">
        <f>VLOOKUP(A:A,'ITEM LIST'!A:C,3,0)</f>
        <v>#N/A</v>
      </c>
      <c r="D17849" s="6">
        <f t="shared" si="279"/>
        <v>0</v>
      </c>
    </row>
    <row r="17850" spans="3:4" ht="15" x14ac:dyDescent="0.25">
      <c r="C17850" s="8" t="e">
        <f>VLOOKUP(A:A,'ITEM LIST'!A:C,3,0)</f>
        <v>#N/A</v>
      </c>
      <c r="D17850" s="6">
        <f t="shared" si="279"/>
        <v>0</v>
      </c>
    </row>
    <row r="17851" spans="3:4" ht="15" x14ac:dyDescent="0.25">
      <c r="C17851" s="8" t="e">
        <f>VLOOKUP(A:A,'ITEM LIST'!A:C,3,0)</f>
        <v>#N/A</v>
      </c>
      <c r="D17851" s="6">
        <f t="shared" si="279"/>
        <v>0</v>
      </c>
    </row>
    <row r="17852" spans="3:4" ht="15" x14ac:dyDescent="0.25">
      <c r="C17852" s="8" t="e">
        <f>VLOOKUP(A:A,'ITEM LIST'!A:C,3,0)</f>
        <v>#N/A</v>
      </c>
      <c r="D17852" s="6">
        <f t="shared" si="279"/>
        <v>0</v>
      </c>
    </row>
    <row r="17853" spans="3:4" ht="15" x14ac:dyDescent="0.25">
      <c r="C17853" s="8" t="e">
        <f>VLOOKUP(A:A,'ITEM LIST'!A:C,3,0)</f>
        <v>#N/A</v>
      </c>
      <c r="D17853" s="6">
        <f t="shared" si="279"/>
        <v>0</v>
      </c>
    </row>
    <row r="17854" spans="3:4" ht="15" x14ac:dyDescent="0.25">
      <c r="C17854" s="8" t="e">
        <f>VLOOKUP(A:A,'ITEM LIST'!A:C,3,0)</f>
        <v>#N/A</v>
      </c>
      <c r="D17854" s="6">
        <f t="shared" si="279"/>
        <v>0</v>
      </c>
    </row>
    <row r="17855" spans="3:4" ht="15" x14ac:dyDescent="0.25">
      <c r="C17855" s="8" t="e">
        <f>VLOOKUP(A:A,'ITEM LIST'!A:C,3,0)</f>
        <v>#N/A</v>
      </c>
      <c r="D17855" s="6">
        <f t="shared" si="279"/>
        <v>0</v>
      </c>
    </row>
    <row r="17856" spans="3:4" ht="15" x14ac:dyDescent="0.25">
      <c r="C17856" s="8" t="e">
        <f>VLOOKUP(A:A,'ITEM LIST'!A:C,3,0)</f>
        <v>#N/A</v>
      </c>
      <c r="D17856" s="6">
        <f t="shared" si="279"/>
        <v>0</v>
      </c>
    </row>
    <row r="17857" spans="3:4" ht="15" x14ac:dyDescent="0.25">
      <c r="C17857" s="8" t="e">
        <f>VLOOKUP(A:A,'ITEM LIST'!A:C,3,0)</f>
        <v>#N/A</v>
      </c>
      <c r="D17857" s="6">
        <f t="shared" si="279"/>
        <v>0</v>
      </c>
    </row>
    <row r="17858" spans="3:4" ht="15" x14ac:dyDescent="0.25">
      <c r="C17858" s="8" t="e">
        <f>VLOOKUP(A:A,'ITEM LIST'!A:C,3,0)</f>
        <v>#N/A</v>
      </c>
      <c r="D17858" s="6">
        <f t="shared" si="279"/>
        <v>0</v>
      </c>
    </row>
    <row r="17859" spans="3:4" ht="15" x14ac:dyDescent="0.25">
      <c r="C17859" s="8" t="e">
        <f>VLOOKUP(A:A,'ITEM LIST'!A:C,3,0)</f>
        <v>#N/A</v>
      </c>
      <c r="D17859" s="6">
        <f t="shared" si="279"/>
        <v>0</v>
      </c>
    </row>
    <row r="17860" spans="3:4" ht="15" x14ac:dyDescent="0.25">
      <c r="C17860" s="8" t="e">
        <f>VLOOKUP(A:A,'ITEM LIST'!A:C,3,0)</f>
        <v>#N/A</v>
      </c>
      <c r="D17860" s="6">
        <f t="shared" si="279"/>
        <v>0</v>
      </c>
    </row>
    <row r="17861" spans="3:4" ht="15" x14ac:dyDescent="0.25">
      <c r="C17861" s="8" t="e">
        <f>VLOOKUP(A:A,'ITEM LIST'!A:C,3,0)</f>
        <v>#N/A</v>
      </c>
      <c r="D17861" s="6">
        <f t="shared" si="279"/>
        <v>0</v>
      </c>
    </row>
    <row r="17862" spans="3:4" ht="15" x14ac:dyDescent="0.25">
      <c r="C17862" s="8" t="e">
        <f>VLOOKUP(A:A,'ITEM LIST'!A:C,3,0)</f>
        <v>#N/A</v>
      </c>
      <c r="D17862" s="6">
        <f t="shared" ref="D17862:D17925" si="280">B17862</f>
        <v>0</v>
      </c>
    </row>
    <row r="17863" spans="3:4" ht="15" x14ac:dyDescent="0.25">
      <c r="C17863" s="8" t="e">
        <f>VLOOKUP(A:A,'ITEM LIST'!A:C,3,0)</f>
        <v>#N/A</v>
      </c>
      <c r="D17863" s="6">
        <f t="shared" si="280"/>
        <v>0</v>
      </c>
    </row>
    <row r="17864" spans="3:4" ht="15" x14ac:dyDescent="0.25">
      <c r="C17864" s="8" t="e">
        <f>VLOOKUP(A:A,'ITEM LIST'!A:C,3,0)</f>
        <v>#N/A</v>
      </c>
      <c r="D17864" s="6">
        <f t="shared" si="280"/>
        <v>0</v>
      </c>
    </row>
    <row r="17865" spans="3:4" ht="15" x14ac:dyDescent="0.25">
      <c r="C17865" s="8" t="e">
        <f>VLOOKUP(A:A,'ITEM LIST'!A:C,3,0)</f>
        <v>#N/A</v>
      </c>
      <c r="D17865" s="6">
        <f t="shared" si="280"/>
        <v>0</v>
      </c>
    </row>
    <row r="17866" spans="3:4" ht="15" x14ac:dyDescent="0.25">
      <c r="C17866" s="8" t="e">
        <f>VLOOKUP(A:A,'ITEM LIST'!A:C,3,0)</f>
        <v>#N/A</v>
      </c>
      <c r="D17866" s="6">
        <f t="shared" si="280"/>
        <v>0</v>
      </c>
    </row>
    <row r="17867" spans="3:4" ht="15" x14ac:dyDescent="0.25">
      <c r="C17867" s="8" t="e">
        <f>VLOOKUP(A:A,'ITEM LIST'!A:C,3,0)</f>
        <v>#N/A</v>
      </c>
      <c r="D17867" s="6">
        <f t="shared" si="280"/>
        <v>0</v>
      </c>
    </row>
    <row r="17868" spans="3:4" ht="15" x14ac:dyDescent="0.25">
      <c r="C17868" s="8" t="e">
        <f>VLOOKUP(A:A,'ITEM LIST'!A:C,3,0)</f>
        <v>#N/A</v>
      </c>
      <c r="D17868" s="6">
        <f t="shared" si="280"/>
        <v>0</v>
      </c>
    </row>
    <row r="17869" spans="3:4" ht="15" x14ac:dyDescent="0.25">
      <c r="C17869" s="8" t="e">
        <f>VLOOKUP(A:A,'ITEM LIST'!A:C,3,0)</f>
        <v>#N/A</v>
      </c>
      <c r="D17869" s="6">
        <f t="shared" si="280"/>
        <v>0</v>
      </c>
    </row>
    <row r="17870" spans="3:4" ht="15" x14ac:dyDescent="0.25">
      <c r="C17870" s="8" t="e">
        <f>VLOOKUP(A:A,'ITEM LIST'!A:C,3,0)</f>
        <v>#N/A</v>
      </c>
      <c r="D17870" s="6">
        <f t="shared" si="280"/>
        <v>0</v>
      </c>
    </row>
    <row r="17871" spans="3:4" ht="15" x14ac:dyDescent="0.25">
      <c r="C17871" s="8" t="e">
        <f>VLOOKUP(A:A,'ITEM LIST'!A:C,3,0)</f>
        <v>#N/A</v>
      </c>
      <c r="D17871" s="6">
        <f t="shared" si="280"/>
        <v>0</v>
      </c>
    </row>
    <row r="17872" spans="3:4" ht="15" x14ac:dyDescent="0.25">
      <c r="C17872" s="8" t="e">
        <f>VLOOKUP(A:A,'ITEM LIST'!A:C,3,0)</f>
        <v>#N/A</v>
      </c>
      <c r="D17872" s="6">
        <f t="shared" si="280"/>
        <v>0</v>
      </c>
    </row>
    <row r="17873" spans="3:4" ht="15" x14ac:dyDescent="0.25">
      <c r="C17873" s="8" t="e">
        <f>VLOOKUP(A:A,'ITEM LIST'!A:C,3,0)</f>
        <v>#N/A</v>
      </c>
      <c r="D17873" s="6">
        <f t="shared" si="280"/>
        <v>0</v>
      </c>
    </row>
    <row r="17874" spans="3:4" ht="15" x14ac:dyDescent="0.25">
      <c r="C17874" s="8" t="e">
        <f>VLOOKUP(A:A,'ITEM LIST'!A:C,3,0)</f>
        <v>#N/A</v>
      </c>
      <c r="D17874" s="6">
        <f t="shared" si="280"/>
        <v>0</v>
      </c>
    </row>
    <row r="17875" spans="3:4" ht="15" x14ac:dyDescent="0.25">
      <c r="C17875" s="8" t="e">
        <f>VLOOKUP(A:A,'ITEM LIST'!A:C,3,0)</f>
        <v>#N/A</v>
      </c>
      <c r="D17875" s="6">
        <f t="shared" si="280"/>
        <v>0</v>
      </c>
    </row>
    <row r="17876" spans="3:4" ht="15" x14ac:dyDescent="0.25">
      <c r="C17876" s="8" t="e">
        <f>VLOOKUP(A:A,'ITEM LIST'!A:C,3,0)</f>
        <v>#N/A</v>
      </c>
      <c r="D17876" s="6">
        <f t="shared" si="280"/>
        <v>0</v>
      </c>
    </row>
    <row r="17877" spans="3:4" ht="15" x14ac:dyDescent="0.25">
      <c r="C17877" s="8" t="e">
        <f>VLOOKUP(A:A,'ITEM LIST'!A:C,3,0)</f>
        <v>#N/A</v>
      </c>
      <c r="D17877" s="6">
        <f t="shared" si="280"/>
        <v>0</v>
      </c>
    </row>
    <row r="17878" spans="3:4" ht="15" x14ac:dyDescent="0.25">
      <c r="C17878" s="8" t="e">
        <f>VLOOKUP(A:A,'ITEM LIST'!A:C,3,0)</f>
        <v>#N/A</v>
      </c>
      <c r="D17878" s="6">
        <f t="shared" si="280"/>
        <v>0</v>
      </c>
    </row>
    <row r="17879" spans="3:4" ht="15" x14ac:dyDescent="0.25">
      <c r="C17879" s="8" t="e">
        <f>VLOOKUP(A:A,'ITEM LIST'!A:C,3,0)</f>
        <v>#N/A</v>
      </c>
      <c r="D17879" s="6">
        <f t="shared" si="280"/>
        <v>0</v>
      </c>
    </row>
    <row r="17880" spans="3:4" ht="15" x14ac:dyDescent="0.25">
      <c r="C17880" s="8" t="e">
        <f>VLOOKUP(A:A,'ITEM LIST'!A:C,3,0)</f>
        <v>#N/A</v>
      </c>
      <c r="D17880" s="6">
        <f t="shared" si="280"/>
        <v>0</v>
      </c>
    </row>
    <row r="17881" spans="3:4" ht="15" x14ac:dyDescent="0.25">
      <c r="C17881" s="8" t="e">
        <f>VLOOKUP(A:A,'ITEM LIST'!A:C,3,0)</f>
        <v>#N/A</v>
      </c>
      <c r="D17881" s="6">
        <f t="shared" si="280"/>
        <v>0</v>
      </c>
    </row>
    <row r="17882" spans="3:4" ht="15" x14ac:dyDescent="0.25">
      <c r="C17882" s="8" t="e">
        <f>VLOOKUP(A:A,'ITEM LIST'!A:C,3,0)</f>
        <v>#N/A</v>
      </c>
      <c r="D17882" s="6">
        <f t="shared" si="280"/>
        <v>0</v>
      </c>
    </row>
    <row r="17883" spans="3:4" ht="15" x14ac:dyDescent="0.25">
      <c r="C17883" s="8" t="e">
        <f>VLOOKUP(A:A,'ITEM LIST'!A:C,3,0)</f>
        <v>#N/A</v>
      </c>
      <c r="D17883" s="6">
        <f t="shared" si="280"/>
        <v>0</v>
      </c>
    </row>
    <row r="17884" spans="3:4" ht="15" x14ac:dyDescent="0.25">
      <c r="C17884" s="8" t="e">
        <f>VLOOKUP(A:A,'ITEM LIST'!A:C,3,0)</f>
        <v>#N/A</v>
      </c>
      <c r="D17884" s="6">
        <f t="shared" si="280"/>
        <v>0</v>
      </c>
    </row>
    <row r="17885" spans="3:4" ht="15" x14ac:dyDescent="0.25">
      <c r="C17885" s="8" t="e">
        <f>VLOOKUP(A:A,'ITEM LIST'!A:C,3,0)</f>
        <v>#N/A</v>
      </c>
      <c r="D17885" s="6">
        <f t="shared" si="280"/>
        <v>0</v>
      </c>
    </row>
    <row r="17886" spans="3:4" ht="15" x14ac:dyDescent="0.25">
      <c r="C17886" s="8" t="e">
        <f>VLOOKUP(A:A,'ITEM LIST'!A:C,3,0)</f>
        <v>#N/A</v>
      </c>
      <c r="D17886" s="6">
        <f t="shared" si="280"/>
        <v>0</v>
      </c>
    </row>
    <row r="17887" spans="3:4" ht="15" x14ac:dyDescent="0.25">
      <c r="C17887" s="8" t="e">
        <f>VLOOKUP(A:A,'ITEM LIST'!A:C,3,0)</f>
        <v>#N/A</v>
      </c>
      <c r="D17887" s="6">
        <f t="shared" si="280"/>
        <v>0</v>
      </c>
    </row>
    <row r="17888" spans="3:4" ht="15" x14ac:dyDescent="0.25">
      <c r="C17888" s="8" t="e">
        <f>VLOOKUP(A:A,'ITEM LIST'!A:C,3,0)</f>
        <v>#N/A</v>
      </c>
      <c r="D17888" s="6">
        <f t="shared" si="280"/>
        <v>0</v>
      </c>
    </row>
    <row r="17889" spans="3:4" ht="15" x14ac:dyDescent="0.25">
      <c r="C17889" s="8" t="e">
        <f>VLOOKUP(A:A,'ITEM LIST'!A:C,3,0)</f>
        <v>#N/A</v>
      </c>
      <c r="D17889" s="6">
        <f t="shared" si="280"/>
        <v>0</v>
      </c>
    </row>
    <row r="17890" spans="3:4" ht="15" x14ac:dyDescent="0.25">
      <c r="C17890" s="8" t="e">
        <f>VLOOKUP(A:A,'ITEM LIST'!A:C,3,0)</f>
        <v>#N/A</v>
      </c>
      <c r="D17890" s="6">
        <f t="shared" si="280"/>
        <v>0</v>
      </c>
    </row>
    <row r="17891" spans="3:4" ht="15" x14ac:dyDescent="0.25">
      <c r="C17891" s="8" t="e">
        <f>VLOOKUP(A:A,'ITEM LIST'!A:C,3,0)</f>
        <v>#N/A</v>
      </c>
      <c r="D17891" s="6">
        <f t="shared" si="280"/>
        <v>0</v>
      </c>
    </row>
    <row r="17892" spans="3:4" ht="15" x14ac:dyDescent="0.25">
      <c r="C17892" s="8" t="e">
        <f>VLOOKUP(A:A,'ITEM LIST'!A:C,3,0)</f>
        <v>#N/A</v>
      </c>
      <c r="D17892" s="6">
        <f t="shared" si="280"/>
        <v>0</v>
      </c>
    </row>
    <row r="17893" spans="3:4" ht="15" x14ac:dyDescent="0.25">
      <c r="C17893" s="8" t="e">
        <f>VLOOKUP(A:A,'ITEM LIST'!A:C,3,0)</f>
        <v>#N/A</v>
      </c>
      <c r="D17893" s="6">
        <f t="shared" si="280"/>
        <v>0</v>
      </c>
    </row>
    <row r="17894" spans="3:4" ht="15" x14ac:dyDescent="0.25">
      <c r="C17894" s="8" t="e">
        <f>VLOOKUP(A:A,'ITEM LIST'!A:C,3,0)</f>
        <v>#N/A</v>
      </c>
      <c r="D17894" s="6">
        <f t="shared" si="280"/>
        <v>0</v>
      </c>
    </row>
    <row r="17895" spans="3:4" ht="15" x14ac:dyDescent="0.25">
      <c r="C17895" s="8" t="e">
        <f>VLOOKUP(A:A,'ITEM LIST'!A:C,3,0)</f>
        <v>#N/A</v>
      </c>
      <c r="D17895" s="6">
        <f t="shared" si="280"/>
        <v>0</v>
      </c>
    </row>
    <row r="17896" spans="3:4" ht="15" x14ac:dyDescent="0.25">
      <c r="C17896" s="8" t="e">
        <f>VLOOKUP(A:A,'ITEM LIST'!A:C,3,0)</f>
        <v>#N/A</v>
      </c>
      <c r="D17896" s="6">
        <f t="shared" si="280"/>
        <v>0</v>
      </c>
    </row>
    <row r="17897" spans="3:4" ht="15" x14ac:dyDescent="0.25">
      <c r="C17897" s="8" t="e">
        <f>VLOOKUP(A:A,'ITEM LIST'!A:C,3,0)</f>
        <v>#N/A</v>
      </c>
      <c r="D17897" s="6">
        <f t="shared" si="280"/>
        <v>0</v>
      </c>
    </row>
    <row r="17898" spans="3:4" ht="15" x14ac:dyDescent="0.25">
      <c r="C17898" s="8" t="e">
        <f>VLOOKUP(A:A,'ITEM LIST'!A:C,3,0)</f>
        <v>#N/A</v>
      </c>
      <c r="D17898" s="6">
        <f t="shared" si="280"/>
        <v>0</v>
      </c>
    </row>
    <row r="17899" spans="3:4" ht="15" x14ac:dyDescent="0.25">
      <c r="C17899" s="8" t="e">
        <f>VLOOKUP(A:A,'ITEM LIST'!A:C,3,0)</f>
        <v>#N/A</v>
      </c>
      <c r="D17899" s="6">
        <f t="shared" si="280"/>
        <v>0</v>
      </c>
    </row>
    <row r="17900" spans="3:4" ht="15" x14ac:dyDescent="0.25">
      <c r="C17900" s="8" t="e">
        <f>VLOOKUP(A:A,'ITEM LIST'!A:C,3,0)</f>
        <v>#N/A</v>
      </c>
      <c r="D17900" s="6">
        <f t="shared" si="280"/>
        <v>0</v>
      </c>
    </row>
    <row r="17901" spans="3:4" ht="15" x14ac:dyDescent="0.25">
      <c r="C17901" s="8" t="e">
        <f>VLOOKUP(A:A,'ITEM LIST'!A:C,3,0)</f>
        <v>#N/A</v>
      </c>
      <c r="D17901" s="6">
        <f t="shared" si="280"/>
        <v>0</v>
      </c>
    </row>
    <row r="17902" spans="3:4" ht="15" x14ac:dyDescent="0.25">
      <c r="C17902" s="8" t="e">
        <f>VLOOKUP(A:A,'ITEM LIST'!A:C,3,0)</f>
        <v>#N/A</v>
      </c>
      <c r="D17902" s="6">
        <f t="shared" si="280"/>
        <v>0</v>
      </c>
    </row>
    <row r="17903" spans="3:4" ht="15" x14ac:dyDescent="0.25">
      <c r="C17903" s="8" t="e">
        <f>VLOOKUP(A:A,'ITEM LIST'!A:C,3,0)</f>
        <v>#N/A</v>
      </c>
      <c r="D17903" s="6">
        <f t="shared" si="280"/>
        <v>0</v>
      </c>
    </row>
    <row r="17904" spans="3:4" ht="15" x14ac:dyDescent="0.25">
      <c r="C17904" s="8" t="e">
        <f>VLOOKUP(A:A,'ITEM LIST'!A:C,3,0)</f>
        <v>#N/A</v>
      </c>
      <c r="D17904" s="6">
        <f t="shared" si="280"/>
        <v>0</v>
      </c>
    </row>
    <row r="17905" spans="3:4" ht="15" x14ac:dyDescent="0.25">
      <c r="C17905" s="8" t="e">
        <f>VLOOKUP(A:A,'ITEM LIST'!A:C,3,0)</f>
        <v>#N/A</v>
      </c>
      <c r="D17905" s="6">
        <f t="shared" si="280"/>
        <v>0</v>
      </c>
    </row>
    <row r="17906" spans="3:4" ht="15" x14ac:dyDescent="0.25">
      <c r="C17906" s="8" t="e">
        <f>VLOOKUP(A:A,'ITEM LIST'!A:C,3,0)</f>
        <v>#N/A</v>
      </c>
      <c r="D17906" s="6">
        <f t="shared" si="280"/>
        <v>0</v>
      </c>
    </row>
    <row r="17907" spans="3:4" ht="15" x14ac:dyDescent="0.25">
      <c r="C17907" s="8" t="e">
        <f>VLOOKUP(A:A,'ITEM LIST'!A:C,3,0)</f>
        <v>#N/A</v>
      </c>
      <c r="D17907" s="6">
        <f t="shared" si="280"/>
        <v>0</v>
      </c>
    </row>
    <row r="17908" spans="3:4" ht="15" x14ac:dyDescent="0.25">
      <c r="C17908" s="8" t="e">
        <f>VLOOKUP(A:A,'ITEM LIST'!A:C,3,0)</f>
        <v>#N/A</v>
      </c>
      <c r="D17908" s="6">
        <f t="shared" si="280"/>
        <v>0</v>
      </c>
    </row>
    <row r="17909" spans="3:4" ht="15" x14ac:dyDescent="0.25">
      <c r="C17909" s="8" t="e">
        <f>VLOOKUP(A:A,'ITEM LIST'!A:C,3,0)</f>
        <v>#N/A</v>
      </c>
      <c r="D17909" s="6">
        <f t="shared" si="280"/>
        <v>0</v>
      </c>
    </row>
    <row r="17910" spans="3:4" ht="15" x14ac:dyDescent="0.25">
      <c r="C17910" s="8" t="e">
        <f>VLOOKUP(A:A,'ITEM LIST'!A:C,3,0)</f>
        <v>#N/A</v>
      </c>
      <c r="D17910" s="6">
        <f t="shared" si="280"/>
        <v>0</v>
      </c>
    </row>
    <row r="17911" spans="3:4" ht="15" x14ac:dyDescent="0.25">
      <c r="C17911" s="8" t="e">
        <f>VLOOKUP(A:A,'ITEM LIST'!A:C,3,0)</f>
        <v>#N/A</v>
      </c>
      <c r="D17911" s="6">
        <f t="shared" si="280"/>
        <v>0</v>
      </c>
    </row>
    <row r="17912" spans="3:4" ht="15" x14ac:dyDescent="0.25">
      <c r="C17912" s="8" t="e">
        <f>VLOOKUP(A:A,'ITEM LIST'!A:C,3,0)</f>
        <v>#N/A</v>
      </c>
      <c r="D17912" s="6">
        <f t="shared" si="280"/>
        <v>0</v>
      </c>
    </row>
    <row r="17913" spans="3:4" ht="15" x14ac:dyDescent="0.25">
      <c r="C17913" s="8" t="e">
        <f>VLOOKUP(A:A,'ITEM LIST'!A:C,3,0)</f>
        <v>#N/A</v>
      </c>
      <c r="D17913" s="6">
        <f t="shared" si="280"/>
        <v>0</v>
      </c>
    </row>
    <row r="17914" spans="3:4" ht="15" x14ac:dyDescent="0.25">
      <c r="C17914" s="8" t="e">
        <f>VLOOKUP(A:A,'ITEM LIST'!A:C,3,0)</f>
        <v>#N/A</v>
      </c>
      <c r="D17914" s="6">
        <f t="shared" si="280"/>
        <v>0</v>
      </c>
    </row>
    <row r="17915" spans="3:4" ht="15" x14ac:dyDescent="0.25">
      <c r="C17915" s="8" t="e">
        <f>VLOOKUP(A:A,'ITEM LIST'!A:C,3,0)</f>
        <v>#N/A</v>
      </c>
      <c r="D17915" s="6">
        <f t="shared" si="280"/>
        <v>0</v>
      </c>
    </row>
    <row r="17916" spans="3:4" ht="15" x14ac:dyDescent="0.25">
      <c r="C17916" s="8" t="e">
        <f>VLOOKUP(A:A,'ITEM LIST'!A:C,3,0)</f>
        <v>#N/A</v>
      </c>
      <c r="D17916" s="6">
        <f t="shared" si="280"/>
        <v>0</v>
      </c>
    </row>
    <row r="17917" spans="3:4" ht="15" x14ac:dyDescent="0.25">
      <c r="C17917" s="8" t="e">
        <f>VLOOKUP(A:A,'ITEM LIST'!A:C,3,0)</f>
        <v>#N/A</v>
      </c>
      <c r="D17917" s="6">
        <f t="shared" si="280"/>
        <v>0</v>
      </c>
    </row>
    <row r="17918" spans="3:4" ht="15" x14ac:dyDescent="0.25">
      <c r="C17918" s="8" t="e">
        <f>VLOOKUP(A:A,'ITEM LIST'!A:C,3,0)</f>
        <v>#N/A</v>
      </c>
      <c r="D17918" s="6">
        <f t="shared" si="280"/>
        <v>0</v>
      </c>
    </row>
    <row r="17919" spans="3:4" ht="15" x14ac:dyDescent="0.25">
      <c r="C17919" s="8" t="e">
        <f>VLOOKUP(A:A,'ITEM LIST'!A:C,3,0)</f>
        <v>#N/A</v>
      </c>
      <c r="D17919" s="6">
        <f t="shared" si="280"/>
        <v>0</v>
      </c>
    </row>
    <row r="17920" spans="3:4" ht="15" x14ac:dyDescent="0.25">
      <c r="C17920" s="8" t="e">
        <f>VLOOKUP(A:A,'ITEM LIST'!A:C,3,0)</f>
        <v>#N/A</v>
      </c>
      <c r="D17920" s="6">
        <f t="shared" si="280"/>
        <v>0</v>
      </c>
    </row>
    <row r="17921" spans="3:4" ht="15" x14ac:dyDescent="0.25">
      <c r="C17921" s="8" t="e">
        <f>VLOOKUP(A:A,'ITEM LIST'!A:C,3,0)</f>
        <v>#N/A</v>
      </c>
      <c r="D17921" s="6">
        <f t="shared" si="280"/>
        <v>0</v>
      </c>
    </row>
    <row r="17922" spans="3:4" ht="15" x14ac:dyDescent="0.25">
      <c r="C17922" s="8" t="e">
        <f>VLOOKUP(A:A,'ITEM LIST'!A:C,3,0)</f>
        <v>#N/A</v>
      </c>
      <c r="D17922" s="6">
        <f t="shared" si="280"/>
        <v>0</v>
      </c>
    </row>
    <row r="17923" spans="3:4" ht="15" x14ac:dyDescent="0.25">
      <c r="C17923" s="8" t="e">
        <f>VLOOKUP(A:A,'ITEM LIST'!A:C,3,0)</f>
        <v>#N/A</v>
      </c>
      <c r="D17923" s="6">
        <f t="shared" si="280"/>
        <v>0</v>
      </c>
    </row>
    <row r="17924" spans="3:4" ht="15" x14ac:dyDescent="0.25">
      <c r="C17924" s="8" t="e">
        <f>VLOOKUP(A:A,'ITEM LIST'!A:C,3,0)</f>
        <v>#N/A</v>
      </c>
      <c r="D17924" s="6">
        <f t="shared" si="280"/>
        <v>0</v>
      </c>
    </row>
    <row r="17925" spans="3:4" ht="15" x14ac:dyDescent="0.25">
      <c r="C17925" s="8" t="e">
        <f>VLOOKUP(A:A,'ITEM LIST'!A:C,3,0)</f>
        <v>#N/A</v>
      </c>
      <c r="D17925" s="6">
        <f t="shared" si="280"/>
        <v>0</v>
      </c>
    </row>
    <row r="17926" spans="3:4" ht="15" x14ac:dyDescent="0.25">
      <c r="C17926" s="8" t="e">
        <f>VLOOKUP(A:A,'ITEM LIST'!A:C,3,0)</f>
        <v>#N/A</v>
      </c>
      <c r="D17926" s="6">
        <f t="shared" ref="D17926:D17989" si="281">B17926</f>
        <v>0</v>
      </c>
    </row>
    <row r="17927" spans="3:4" ht="15" x14ac:dyDescent="0.25">
      <c r="C17927" s="8" t="e">
        <f>VLOOKUP(A:A,'ITEM LIST'!A:C,3,0)</f>
        <v>#N/A</v>
      </c>
      <c r="D17927" s="6">
        <f t="shared" si="281"/>
        <v>0</v>
      </c>
    </row>
    <row r="17928" spans="3:4" ht="15" x14ac:dyDescent="0.25">
      <c r="C17928" s="8" t="e">
        <f>VLOOKUP(A:A,'ITEM LIST'!A:C,3,0)</f>
        <v>#N/A</v>
      </c>
      <c r="D17928" s="6">
        <f t="shared" si="281"/>
        <v>0</v>
      </c>
    </row>
    <row r="17929" spans="3:4" ht="15" x14ac:dyDescent="0.25">
      <c r="C17929" s="8" t="e">
        <f>VLOOKUP(A:A,'ITEM LIST'!A:C,3,0)</f>
        <v>#N/A</v>
      </c>
      <c r="D17929" s="6">
        <f t="shared" si="281"/>
        <v>0</v>
      </c>
    </row>
    <row r="17930" spans="3:4" ht="15" x14ac:dyDescent="0.25">
      <c r="C17930" s="8" t="e">
        <f>VLOOKUP(A:A,'ITEM LIST'!A:C,3,0)</f>
        <v>#N/A</v>
      </c>
      <c r="D17930" s="6">
        <f t="shared" si="281"/>
        <v>0</v>
      </c>
    </row>
    <row r="17931" spans="3:4" ht="15" x14ac:dyDescent="0.25">
      <c r="C17931" s="8" t="e">
        <f>VLOOKUP(A:A,'ITEM LIST'!A:C,3,0)</f>
        <v>#N/A</v>
      </c>
      <c r="D17931" s="6">
        <f t="shared" si="281"/>
        <v>0</v>
      </c>
    </row>
    <row r="17932" spans="3:4" ht="15" x14ac:dyDescent="0.25">
      <c r="C17932" s="8" t="e">
        <f>VLOOKUP(A:A,'ITEM LIST'!A:C,3,0)</f>
        <v>#N/A</v>
      </c>
      <c r="D17932" s="6">
        <f t="shared" si="281"/>
        <v>0</v>
      </c>
    </row>
    <row r="17933" spans="3:4" ht="15" x14ac:dyDescent="0.25">
      <c r="C17933" s="8" t="e">
        <f>VLOOKUP(A:A,'ITEM LIST'!A:C,3,0)</f>
        <v>#N/A</v>
      </c>
      <c r="D17933" s="6">
        <f t="shared" si="281"/>
        <v>0</v>
      </c>
    </row>
    <row r="17934" spans="3:4" ht="15" x14ac:dyDescent="0.25">
      <c r="C17934" s="8" t="e">
        <f>VLOOKUP(A:A,'ITEM LIST'!A:C,3,0)</f>
        <v>#N/A</v>
      </c>
      <c r="D17934" s="6">
        <f t="shared" si="281"/>
        <v>0</v>
      </c>
    </row>
    <row r="17935" spans="3:4" ht="15" x14ac:dyDescent="0.25">
      <c r="C17935" s="8" t="e">
        <f>VLOOKUP(A:A,'ITEM LIST'!A:C,3,0)</f>
        <v>#N/A</v>
      </c>
      <c r="D17935" s="6">
        <f t="shared" si="281"/>
        <v>0</v>
      </c>
    </row>
    <row r="17936" spans="3:4" ht="15" x14ac:dyDescent="0.25">
      <c r="C17936" s="8" t="e">
        <f>VLOOKUP(A:A,'ITEM LIST'!A:C,3,0)</f>
        <v>#N/A</v>
      </c>
      <c r="D17936" s="6">
        <f t="shared" si="281"/>
        <v>0</v>
      </c>
    </row>
    <row r="17937" spans="3:4" ht="15" x14ac:dyDescent="0.25">
      <c r="C17937" s="8" t="e">
        <f>VLOOKUP(A:A,'ITEM LIST'!A:C,3,0)</f>
        <v>#N/A</v>
      </c>
      <c r="D17937" s="6">
        <f t="shared" si="281"/>
        <v>0</v>
      </c>
    </row>
    <row r="17938" spans="3:4" ht="15" x14ac:dyDescent="0.25">
      <c r="C17938" s="8" t="e">
        <f>VLOOKUP(A:A,'ITEM LIST'!A:C,3,0)</f>
        <v>#N/A</v>
      </c>
      <c r="D17938" s="6">
        <f t="shared" si="281"/>
        <v>0</v>
      </c>
    </row>
    <row r="17939" spans="3:4" ht="15" x14ac:dyDescent="0.25">
      <c r="C17939" s="8" t="e">
        <f>VLOOKUP(A:A,'ITEM LIST'!A:C,3,0)</f>
        <v>#N/A</v>
      </c>
      <c r="D17939" s="6">
        <f t="shared" si="281"/>
        <v>0</v>
      </c>
    </row>
    <row r="17940" spans="3:4" ht="15" x14ac:dyDescent="0.25">
      <c r="C17940" s="8" t="e">
        <f>VLOOKUP(A:A,'ITEM LIST'!A:C,3,0)</f>
        <v>#N/A</v>
      </c>
      <c r="D17940" s="6">
        <f t="shared" si="281"/>
        <v>0</v>
      </c>
    </row>
    <row r="17941" spans="3:4" ht="15" x14ac:dyDescent="0.25">
      <c r="C17941" s="8" t="e">
        <f>VLOOKUP(A:A,'ITEM LIST'!A:C,3,0)</f>
        <v>#N/A</v>
      </c>
      <c r="D17941" s="6">
        <f t="shared" si="281"/>
        <v>0</v>
      </c>
    </row>
    <row r="17942" spans="3:4" ht="15" x14ac:dyDescent="0.25">
      <c r="C17942" s="8" t="e">
        <f>VLOOKUP(A:A,'ITEM LIST'!A:C,3,0)</f>
        <v>#N/A</v>
      </c>
      <c r="D17942" s="6">
        <f t="shared" si="281"/>
        <v>0</v>
      </c>
    </row>
    <row r="17943" spans="3:4" ht="15" x14ac:dyDescent="0.25">
      <c r="C17943" s="8" t="e">
        <f>VLOOKUP(A:A,'ITEM LIST'!A:C,3,0)</f>
        <v>#N/A</v>
      </c>
      <c r="D17943" s="6">
        <f t="shared" si="281"/>
        <v>0</v>
      </c>
    </row>
    <row r="17944" spans="3:4" ht="15" x14ac:dyDescent="0.25">
      <c r="C17944" s="8" t="e">
        <f>VLOOKUP(A:A,'ITEM LIST'!A:C,3,0)</f>
        <v>#N/A</v>
      </c>
      <c r="D17944" s="6">
        <f t="shared" si="281"/>
        <v>0</v>
      </c>
    </row>
    <row r="17945" spans="3:4" ht="15" x14ac:dyDescent="0.25">
      <c r="C17945" s="8" t="e">
        <f>VLOOKUP(A:A,'ITEM LIST'!A:C,3,0)</f>
        <v>#N/A</v>
      </c>
      <c r="D17945" s="6">
        <f t="shared" si="281"/>
        <v>0</v>
      </c>
    </row>
    <row r="17946" spans="3:4" ht="15" x14ac:dyDescent="0.25">
      <c r="C17946" s="8" t="e">
        <f>VLOOKUP(A:A,'ITEM LIST'!A:C,3,0)</f>
        <v>#N/A</v>
      </c>
      <c r="D17946" s="6">
        <f t="shared" si="281"/>
        <v>0</v>
      </c>
    </row>
    <row r="17947" spans="3:4" ht="15" x14ac:dyDescent="0.25">
      <c r="C17947" s="8" t="e">
        <f>VLOOKUP(A:A,'ITEM LIST'!A:C,3,0)</f>
        <v>#N/A</v>
      </c>
      <c r="D17947" s="6">
        <f t="shared" si="281"/>
        <v>0</v>
      </c>
    </row>
    <row r="17948" spans="3:4" ht="15" x14ac:dyDescent="0.25">
      <c r="C17948" s="8" t="e">
        <f>VLOOKUP(A:A,'ITEM LIST'!A:C,3,0)</f>
        <v>#N/A</v>
      </c>
      <c r="D17948" s="6">
        <f t="shared" si="281"/>
        <v>0</v>
      </c>
    </row>
    <row r="17949" spans="3:4" ht="15" x14ac:dyDescent="0.25">
      <c r="C17949" s="8" t="e">
        <f>VLOOKUP(A:A,'ITEM LIST'!A:C,3,0)</f>
        <v>#N/A</v>
      </c>
      <c r="D17949" s="6">
        <f t="shared" si="281"/>
        <v>0</v>
      </c>
    </row>
    <row r="17950" spans="3:4" ht="15" x14ac:dyDescent="0.25">
      <c r="C17950" s="8" t="e">
        <f>VLOOKUP(A:A,'ITEM LIST'!A:C,3,0)</f>
        <v>#N/A</v>
      </c>
      <c r="D17950" s="6">
        <f t="shared" si="281"/>
        <v>0</v>
      </c>
    </row>
    <row r="17951" spans="3:4" ht="15" x14ac:dyDescent="0.25">
      <c r="C17951" s="8" t="e">
        <f>VLOOKUP(A:A,'ITEM LIST'!A:C,3,0)</f>
        <v>#N/A</v>
      </c>
      <c r="D17951" s="6">
        <f t="shared" si="281"/>
        <v>0</v>
      </c>
    </row>
    <row r="17952" spans="3:4" ht="15" x14ac:dyDescent="0.25">
      <c r="C17952" s="8" t="e">
        <f>VLOOKUP(A:A,'ITEM LIST'!A:C,3,0)</f>
        <v>#N/A</v>
      </c>
      <c r="D17952" s="6">
        <f t="shared" si="281"/>
        <v>0</v>
      </c>
    </row>
    <row r="17953" spans="3:4" ht="15" x14ac:dyDescent="0.25">
      <c r="C17953" s="8" t="e">
        <f>VLOOKUP(A:A,'ITEM LIST'!A:C,3,0)</f>
        <v>#N/A</v>
      </c>
      <c r="D17953" s="6">
        <f t="shared" si="281"/>
        <v>0</v>
      </c>
    </row>
    <row r="17954" spans="3:4" ht="15" x14ac:dyDescent="0.25">
      <c r="C17954" s="8" t="e">
        <f>VLOOKUP(A:A,'ITEM LIST'!A:C,3,0)</f>
        <v>#N/A</v>
      </c>
      <c r="D17954" s="6">
        <f t="shared" si="281"/>
        <v>0</v>
      </c>
    </row>
    <row r="17955" spans="3:4" ht="15" x14ac:dyDescent="0.25">
      <c r="C17955" s="8" t="e">
        <f>VLOOKUP(A:A,'ITEM LIST'!A:C,3,0)</f>
        <v>#N/A</v>
      </c>
      <c r="D17955" s="6">
        <f t="shared" si="281"/>
        <v>0</v>
      </c>
    </row>
    <row r="17956" spans="3:4" ht="15" x14ac:dyDescent="0.25">
      <c r="C17956" s="8" t="e">
        <f>VLOOKUP(A:A,'ITEM LIST'!A:C,3,0)</f>
        <v>#N/A</v>
      </c>
      <c r="D17956" s="6">
        <f t="shared" si="281"/>
        <v>0</v>
      </c>
    </row>
    <row r="17957" spans="3:4" ht="15" x14ac:dyDescent="0.25">
      <c r="C17957" s="8" t="e">
        <f>VLOOKUP(A:A,'ITEM LIST'!A:C,3,0)</f>
        <v>#N/A</v>
      </c>
      <c r="D17957" s="6">
        <f t="shared" si="281"/>
        <v>0</v>
      </c>
    </row>
    <row r="17958" spans="3:4" ht="15" x14ac:dyDescent="0.25">
      <c r="C17958" s="8" t="e">
        <f>VLOOKUP(A:A,'ITEM LIST'!A:C,3,0)</f>
        <v>#N/A</v>
      </c>
      <c r="D17958" s="6">
        <f t="shared" si="281"/>
        <v>0</v>
      </c>
    </row>
    <row r="17959" spans="3:4" ht="15" x14ac:dyDescent="0.25">
      <c r="C17959" s="8" t="e">
        <f>VLOOKUP(A:A,'ITEM LIST'!A:C,3,0)</f>
        <v>#N/A</v>
      </c>
      <c r="D17959" s="6">
        <f t="shared" si="281"/>
        <v>0</v>
      </c>
    </row>
    <row r="17960" spans="3:4" ht="15" x14ac:dyDescent="0.25">
      <c r="C17960" s="8" t="e">
        <f>VLOOKUP(A:A,'ITEM LIST'!A:C,3,0)</f>
        <v>#N/A</v>
      </c>
      <c r="D17960" s="6">
        <f t="shared" si="281"/>
        <v>0</v>
      </c>
    </row>
    <row r="17961" spans="3:4" ht="15" x14ac:dyDescent="0.25">
      <c r="C17961" s="8" t="e">
        <f>VLOOKUP(A:A,'ITEM LIST'!A:C,3,0)</f>
        <v>#N/A</v>
      </c>
      <c r="D17961" s="6">
        <f t="shared" si="281"/>
        <v>0</v>
      </c>
    </row>
    <row r="17962" spans="3:4" ht="15" x14ac:dyDescent="0.25">
      <c r="C17962" s="8" t="e">
        <f>VLOOKUP(A:A,'ITEM LIST'!A:C,3,0)</f>
        <v>#N/A</v>
      </c>
      <c r="D17962" s="6">
        <f t="shared" si="281"/>
        <v>0</v>
      </c>
    </row>
    <row r="17963" spans="3:4" ht="15" x14ac:dyDescent="0.25">
      <c r="C17963" s="8" t="e">
        <f>VLOOKUP(A:A,'ITEM LIST'!A:C,3,0)</f>
        <v>#N/A</v>
      </c>
      <c r="D17963" s="6">
        <f t="shared" si="281"/>
        <v>0</v>
      </c>
    </row>
    <row r="17964" spans="3:4" ht="15" x14ac:dyDescent="0.25">
      <c r="C17964" s="8" t="e">
        <f>VLOOKUP(A:A,'ITEM LIST'!A:C,3,0)</f>
        <v>#N/A</v>
      </c>
      <c r="D17964" s="6">
        <f t="shared" si="281"/>
        <v>0</v>
      </c>
    </row>
    <row r="17965" spans="3:4" ht="15" x14ac:dyDescent="0.25">
      <c r="C17965" s="8" t="e">
        <f>VLOOKUP(A:A,'ITEM LIST'!A:C,3,0)</f>
        <v>#N/A</v>
      </c>
      <c r="D17965" s="6">
        <f t="shared" si="281"/>
        <v>0</v>
      </c>
    </row>
    <row r="17966" spans="3:4" ht="15" x14ac:dyDescent="0.25">
      <c r="C17966" s="8" t="e">
        <f>VLOOKUP(A:A,'ITEM LIST'!A:C,3,0)</f>
        <v>#N/A</v>
      </c>
      <c r="D17966" s="6">
        <f t="shared" si="281"/>
        <v>0</v>
      </c>
    </row>
    <row r="17967" spans="3:4" ht="15" x14ac:dyDescent="0.25">
      <c r="C17967" s="8" t="e">
        <f>VLOOKUP(A:A,'ITEM LIST'!A:C,3,0)</f>
        <v>#N/A</v>
      </c>
      <c r="D17967" s="6">
        <f t="shared" si="281"/>
        <v>0</v>
      </c>
    </row>
    <row r="17968" spans="3:4" ht="15" x14ac:dyDescent="0.25">
      <c r="C17968" s="8" t="e">
        <f>VLOOKUP(A:A,'ITEM LIST'!A:C,3,0)</f>
        <v>#N/A</v>
      </c>
      <c r="D17968" s="6">
        <f t="shared" si="281"/>
        <v>0</v>
      </c>
    </row>
    <row r="17969" spans="3:4" ht="15" x14ac:dyDescent="0.25">
      <c r="C17969" s="8" t="e">
        <f>VLOOKUP(A:A,'ITEM LIST'!A:C,3,0)</f>
        <v>#N/A</v>
      </c>
      <c r="D17969" s="6">
        <f t="shared" si="281"/>
        <v>0</v>
      </c>
    </row>
    <row r="17970" spans="3:4" ht="15" x14ac:dyDescent="0.25">
      <c r="C17970" s="8" t="e">
        <f>VLOOKUP(A:A,'ITEM LIST'!A:C,3,0)</f>
        <v>#N/A</v>
      </c>
      <c r="D17970" s="6">
        <f t="shared" si="281"/>
        <v>0</v>
      </c>
    </row>
    <row r="17971" spans="3:4" ht="15" x14ac:dyDescent="0.25">
      <c r="C17971" s="8" t="e">
        <f>VLOOKUP(A:A,'ITEM LIST'!A:C,3,0)</f>
        <v>#N/A</v>
      </c>
      <c r="D17971" s="6">
        <f t="shared" si="281"/>
        <v>0</v>
      </c>
    </row>
    <row r="17972" spans="3:4" ht="15" x14ac:dyDescent="0.25">
      <c r="C17972" s="8" t="e">
        <f>VLOOKUP(A:A,'ITEM LIST'!A:C,3,0)</f>
        <v>#N/A</v>
      </c>
      <c r="D17972" s="6">
        <f t="shared" si="281"/>
        <v>0</v>
      </c>
    </row>
    <row r="17973" spans="3:4" ht="15" x14ac:dyDescent="0.25">
      <c r="C17973" s="8" t="e">
        <f>VLOOKUP(A:A,'ITEM LIST'!A:C,3,0)</f>
        <v>#N/A</v>
      </c>
      <c r="D17973" s="6">
        <f t="shared" si="281"/>
        <v>0</v>
      </c>
    </row>
    <row r="17974" spans="3:4" ht="15" x14ac:dyDescent="0.25">
      <c r="C17974" s="8" t="e">
        <f>VLOOKUP(A:A,'ITEM LIST'!A:C,3,0)</f>
        <v>#N/A</v>
      </c>
      <c r="D17974" s="6">
        <f t="shared" si="281"/>
        <v>0</v>
      </c>
    </row>
    <row r="17975" spans="3:4" ht="15" x14ac:dyDescent="0.25">
      <c r="C17975" s="8" t="e">
        <f>VLOOKUP(A:A,'ITEM LIST'!A:C,3,0)</f>
        <v>#N/A</v>
      </c>
      <c r="D17975" s="6">
        <f t="shared" si="281"/>
        <v>0</v>
      </c>
    </row>
    <row r="17976" spans="3:4" ht="15" x14ac:dyDescent="0.25">
      <c r="C17976" s="8" t="e">
        <f>VLOOKUP(A:A,'ITEM LIST'!A:C,3,0)</f>
        <v>#N/A</v>
      </c>
      <c r="D17976" s="6">
        <f t="shared" si="281"/>
        <v>0</v>
      </c>
    </row>
    <row r="17977" spans="3:4" ht="15" x14ac:dyDescent="0.25">
      <c r="C17977" s="8" t="e">
        <f>VLOOKUP(A:A,'ITEM LIST'!A:C,3,0)</f>
        <v>#N/A</v>
      </c>
      <c r="D17977" s="6">
        <f t="shared" si="281"/>
        <v>0</v>
      </c>
    </row>
    <row r="17978" spans="3:4" ht="15" x14ac:dyDescent="0.25">
      <c r="C17978" s="8" t="e">
        <f>VLOOKUP(A:A,'ITEM LIST'!A:C,3,0)</f>
        <v>#N/A</v>
      </c>
      <c r="D17978" s="6">
        <f t="shared" si="281"/>
        <v>0</v>
      </c>
    </row>
    <row r="17979" spans="3:4" ht="15" x14ac:dyDescent="0.25">
      <c r="C17979" s="8" t="e">
        <f>VLOOKUP(A:A,'ITEM LIST'!A:C,3,0)</f>
        <v>#N/A</v>
      </c>
      <c r="D17979" s="6">
        <f t="shared" si="281"/>
        <v>0</v>
      </c>
    </row>
    <row r="17980" spans="3:4" ht="15" x14ac:dyDescent="0.25">
      <c r="C17980" s="8" t="e">
        <f>VLOOKUP(A:A,'ITEM LIST'!A:C,3,0)</f>
        <v>#N/A</v>
      </c>
      <c r="D17980" s="6">
        <f t="shared" si="281"/>
        <v>0</v>
      </c>
    </row>
    <row r="17981" spans="3:4" ht="15" x14ac:dyDescent="0.25">
      <c r="C17981" s="8" t="e">
        <f>VLOOKUP(A:A,'ITEM LIST'!A:C,3,0)</f>
        <v>#N/A</v>
      </c>
      <c r="D17981" s="6">
        <f t="shared" si="281"/>
        <v>0</v>
      </c>
    </row>
    <row r="17982" spans="3:4" ht="15" x14ac:dyDescent="0.25">
      <c r="C17982" s="8" t="e">
        <f>VLOOKUP(A:A,'ITEM LIST'!A:C,3,0)</f>
        <v>#N/A</v>
      </c>
      <c r="D17982" s="6">
        <f t="shared" si="281"/>
        <v>0</v>
      </c>
    </row>
    <row r="17983" spans="3:4" ht="15" x14ac:dyDescent="0.25">
      <c r="C17983" s="8" t="e">
        <f>VLOOKUP(A:A,'ITEM LIST'!A:C,3,0)</f>
        <v>#N/A</v>
      </c>
      <c r="D17983" s="6">
        <f t="shared" si="281"/>
        <v>0</v>
      </c>
    </row>
    <row r="17984" spans="3:4" ht="15" x14ac:dyDescent="0.25">
      <c r="C17984" s="8" t="e">
        <f>VLOOKUP(A:A,'ITEM LIST'!A:C,3,0)</f>
        <v>#N/A</v>
      </c>
      <c r="D17984" s="6">
        <f t="shared" si="281"/>
        <v>0</v>
      </c>
    </row>
    <row r="17985" spans="3:4" ht="15" x14ac:dyDescent="0.25">
      <c r="C17985" s="8" t="e">
        <f>VLOOKUP(A:A,'ITEM LIST'!A:C,3,0)</f>
        <v>#N/A</v>
      </c>
      <c r="D17985" s="6">
        <f t="shared" si="281"/>
        <v>0</v>
      </c>
    </row>
    <row r="17986" spans="3:4" ht="15" x14ac:dyDescent="0.25">
      <c r="C17986" s="8" t="e">
        <f>VLOOKUP(A:A,'ITEM LIST'!A:C,3,0)</f>
        <v>#N/A</v>
      </c>
      <c r="D17986" s="6">
        <f t="shared" si="281"/>
        <v>0</v>
      </c>
    </row>
    <row r="17987" spans="3:4" ht="15" x14ac:dyDescent="0.25">
      <c r="C17987" s="8" t="e">
        <f>VLOOKUP(A:A,'ITEM LIST'!A:C,3,0)</f>
        <v>#N/A</v>
      </c>
      <c r="D17987" s="6">
        <f t="shared" si="281"/>
        <v>0</v>
      </c>
    </row>
    <row r="17988" spans="3:4" ht="15" x14ac:dyDescent="0.25">
      <c r="C17988" s="8" t="e">
        <f>VLOOKUP(A:A,'ITEM LIST'!A:C,3,0)</f>
        <v>#N/A</v>
      </c>
      <c r="D17988" s="6">
        <f t="shared" si="281"/>
        <v>0</v>
      </c>
    </row>
    <row r="17989" spans="3:4" ht="15" x14ac:dyDescent="0.25">
      <c r="C17989" s="8" t="e">
        <f>VLOOKUP(A:A,'ITEM LIST'!A:C,3,0)</f>
        <v>#N/A</v>
      </c>
      <c r="D17989" s="6">
        <f t="shared" si="281"/>
        <v>0</v>
      </c>
    </row>
    <row r="17990" spans="3:4" ht="15" x14ac:dyDescent="0.25">
      <c r="C17990" s="8" t="e">
        <f>VLOOKUP(A:A,'ITEM LIST'!A:C,3,0)</f>
        <v>#N/A</v>
      </c>
      <c r="D17990" s="6">
        <f t="shared" ref="D17990:D18053" si="282">B17990</f>
        <v>0</v>
      </c>
    </row>
    <row r="17991" spans="3:4" ht="15" x14ac:dyDescent="0.25">
      <c r="C17991" s="8" t="e">
        <f>VLOOKUP(A:A,'ITEM LIST'!A:C,3,0)</f>
        <v>#N/A</v>
      </c>
      <c r="D17991" s="6">
        <f t="shared" si="282"/>
        <v>0</v>
      </c>
    </row>
    <row r="17992" spans="3:4" ht="15" x14ac:dyDescent="0.25">
      <c r="C17992" s="8" t="e">
        <f>VLOOKUP(A:A,'ITEM LIST'!A:C,3,0)</f>
        <v>#N/A</v>
      </c>
      <c r="D17992" s="6">
        <f t="shared" si="282"/>
        <v>0</v>
      </c>
    </row>
    <row r="17993" spans="3:4" ht="15" x14ac:dyDescent="0.25">
      <c r="C17993" s="8" t="e">
        <f>VLOOKUP(A:A,'ITEM LIST'!A:C,3,0)</f>
        <v>#N/A</v>
      </c>
      <c r="D17993" s="6">
        <f t="shared" si="282"/>
        <v>0</v>
      </c>
    </row>
    <row r="17994" spans="3:4" ht="15" x14ac:dyDescent="0.25">
      <c r="C17994" s="8" t="e">
        <f>VLOOKUP(A:A,'ITEM LIST'!A:C,3,0)</f>
        <v>#N/A</v>
      </c>
      <c r="D17994" s="6">
        <f t="shared" si="282"/>
        <v>0</v>
      </c>
    </row>
    <row r="17995" spans="3:4" ht="15" x14ac:dyDescent="0.25">
      <c r="C17995" s="8" t="e">
        <f>VLOOKUP(A:A,'ITEM LIST'!A:C,3,0)</f>
        <v>#N/A</v>
      </c>
      <c r="D17995" s="6">
        <f t="shared" si="282"/>
        <v>0</v>
      </c>
    </row>
    <row r="17996" spans="3:4" ht="15" x14ac:dyDescent="0.25">
      <c r="C17996" s="8" t="e">
        <f>VLOOKUP(A:A,'ITEM LIST'!A:C,3,0)</f>
        <v>#N/A</v>
      </c>
      <c r="D17996" s="6">
        <f t="shared" si="282"/>
        <v>0</v>
      </c>
    </row>
    <row r="17997" spans="3:4" ht="15" x14ac:dyDescent="0.25">
      <c r="C17997" s="8" t="e">
        <f>VLOOKUP(A:A,'ITEM LIST'!A:C,3,0)</f>
        <v>#N/A</v>
      </c>
      <c r="D17997" s="6">
        <f t="shared" si="282"/>
        <v>0</v>
      </c>
    </row>
    <row r="17998" spans="3:4" ht="15" x14ac:dyDescent="0.25">
      <c r="C17998" s="8" t="e">
        <f>VLOOKUP(A:A,'ITEM LIST'!A:C,3,0)</f>
        <v>#N/A</v>
      </c>
      <c r="D17998" s="6">
        <f t="shared" si="282"/>
        <v>0</v>
      </c>
    </row>
    <row r="17999" spans="3:4" ht="15" x14ac:dyDescent="0.25">
      <c r="C17999" s="8" t="e">
        <f>VLOOKUP(A:A,'ITEM LIST'!A:C,3,0)</f>
        <v>#N/A</v>
      </c>
      <c r="D17999" s="6">
        <f t="shared" si="282"/>
        <v>0</v>
      </c>
    </row>
    <row r="18000" spans="3:4" ht="15" x14ac:dyDescent="0.25">
      <c r="C18000" s="8" t="e">
        <f>VLOOKUP(A:A,'ITEM LIST'!A:C,3,0)</f>
        <v>#N/A</v>
      </c>
      <c r="D18000" s="6">
        <f t="shared" si="282"/>
        <v>0</v>
      </c>
    </row>
    <row r="18001" spans="3:4" ht="15" x14ac:dyDescent="0.25">
      <c r="C18001" s="8" t="e">
        <f>VLOOKUP(A:A,'ITEM LIST'!A:C,3,0)</f>
        <v>#N/A</v>
      </c>
      <c r="D18001" s="6">
        <f t="shared" si="282"/>
        <v>0</v>
      </c>
    </row>
    <row r="18002" spans="3:4" ht="15" x14ac:dyDescent="0.25">
      <c r="C18002" s="8" t="e">
        <f>VLOOKUP(A:A,'ITEM LIST'!A:C,3,0)</f>
        <v>#N/A</v>
      </c>
      <c r="D18002" s="6">
        <f t="shared" si="282"/>
        <v>0</v>
      </c>
    </row>
    <row r="18003" spans="3:4" ht="15" x14ac:dyDescent="0.25">
      <c r="C18003" s="8" t="e">
        <f>VLOOKUP(A:A,'ITEM LIST'!A:C,3,0)</f>
        <v>#N/A</v>
      </c>
      <c r="D18003" s="6">
        <f t="shared" si="282"/>
        <v>0</v>
      </c>
    </row>
    <row r="18004" spans="3:4" ht="15" x14ac:dyDescent="0.25">
      <c r="C18004" s="8" t="e">
        <f>VLOOKUP(A:A,'ITEM LIST'!A:C,3,0)</f>
        <v>#N/A</v>
      </c>
      <c r="D18004" s="6">
        <f t="shared" si="282"/>
        <v>0</v>
      </c>
    </row>
    <row r="18005" spans="3:4" ht="15" x14ac:dyDescent="0.25">
      <c r="C18005" s="8" t="e">
        <f>VLOOKUP(A:A,'ITEM LIST'!A:C,3,0)</f>
        <v>#N/A</v>
      </c>
      <c r="D18005" s="6">
        <f t="shared" si="282"/>
        <v>0</v>
      </c>
    </row>
    <row r="18006" spans="3:4" ht="15" x14ac:dyDescent="0.25">
      <c r="C18006" s="8" t="e">
        <f>VLOOKUP(A:A,'ITEM LIST'!A:C,3,0)</f>
        <v>#N/A</v>
      </c>
      <c r="D18006" s="6">
        <f t="shared" si="282"/>
        <v>0</v>
      </c>
    </row>
    <row r="18007" spans="3:4" ht="15" x14ac:dyDescent="0.25">
      <c r="C18007" s="8" t="e">
        <f>VLOOKUP(A:A,'ITEM LIST'!A:C,3,0)</f>
        <v>#N/A</v>
      </c>
      <c r="D18007" s="6">
        <f t="shared" si="282"/>
        <v>0</v>
      </c>
    </row>
    <row r="18008" spans="3:4" ht="15" x14ac:dyDescent="0.25">
      <c r="C18008" s="8" t="e">
        <f>VLOOKUP(A:A,'ITEM LIST'!A:C,3,0)</f>
        <v>#N/A</v>
      </c>
      <c r="D18008" s="6">
        <f t="shared" si="282"/>
        <v>0</v>
      </c>
    </row>
    <row r="18009" spans="3:4" ht="15" x14ac:dyDescent="0.25">
      <c r="C18009" s="8" t="e">
        <f>VLOOKUP(A:A,'ITEM LIST'!A:C,3,0)</f>
        <v>#N/A</v>
      </c>
      <c r="D18009" s="6">
        <f t="shared" si="282"/>
        <v>0</v>
      </c>
    </row>
    <row r="18010" spans="3:4" ht="15" x14ac:dyDescent="0.25">
      <c r="C18010" s="8" t="e">
        <f>VLOOKUP(A:A,'ITEM LIST'!A:C,3,0)</f>
        <v>#N/A</v>
      </c>
      <c r="D18010" s="6">
        <f t="shared" si="282"/>
        <v>0</v>
      </c>
    </row>
    <row r="18011" spans="3:4" ht="15" x14ac:dyDescent="0.25">
      <c r="C18011" s="8" t="e">
        <f>VLOOKUP(A:A,'ITEM LIST'!A:C,3,0)</f>
        <v>#N/A</v>
      </c>
      <c r="D18011" s="6">
        <f t="shared" si="282"/>
        <v>0</v>
      </c>
    </row>
    <row r="18012" spans="3:4" ht="15" x14ac:dyDescent="0.25">
      <c r="C18012" s="8" t="e">
        <f>VLOOKUP(A:A,'ITEM LIST'!A:C,3,0)</f>
        <v>#N/A</v>
      </c>
      <c r="D18012" s="6">
        <f t="shared" si="282"/>
        <v>0</v>
      </c>
    </row>
    <row r="18013" spans="3:4" ht="15" x14ac:dyDescent="0.25">
      <c r="C18013" s="8" t="e">
        <f>VLOOKUP(A:A,'ITEM LIST'!A:C,3,0)</f>
        <v>#N/A</v>
      </c>
      <c r="D18013" s="6">
        <f t="shared" si="282"/>
        <v>0</v>
      </c>
    </row>
    <row r="18014" spans="3:4" ht="15" x14ac:dyDescent="0.25">
      <c r="C18014" s="8" t="e">
        <f>VLOOKUP(A:A,'ITEM LIST'!A:C,3,0)</f>
        <v>#N/A</v>
      </c>
      <c r="D18014" s="6">
        <f t="shared" si="282"/>
        <v>0</v>
      </c>
    </row>
    <row r="18015" spans="3:4" ht="15" x14ac:dyDescent="0.25">
      <c r="C18015" s="8" t="e">
        <f>VLOOKUP(A:A,'ITEM LIST'!A:C,3,0)</f>
        <v>#N/A</v>
      </c>
      <c r="D18015" s="6">
        <f t="shared" si="282"/>
        <v>0</v>
      </c>
    </row>
    <row r="18016" spans="3:4" ht="15" x14ac:dyDescent="0.25">
      <c r="C18016" s="8" t="e">
        <f>VLOOKUP(A:A,'ITEM LIST'!A:C,3,0)</f>
        <v>#N/A</v>
      </c>
      <c r="D18016" s="6">
        <f t="shared" si="282"/>
        <v>0</v>
      </c>
    </row>
    <row r="18017" spans="3:4" ht="15" x14ac:dyDescent="0.25">
      <c r="C18017" s="8" t="e">
        <f>VLOOKUP(A:A,'ITEM LIST'!A:C,3,0)</f>
        <v>#N/A</v>
      </c>
      <c r="D18017" s="6">
        <f t="shared" si="282"/>
        <v>0</v>
      </c>
    </row>
    <row r="18018" spans="3:4" ht="15" x14ac:dyDescent="0.25">
      <c r="C18018" s="8" t="e">
        <f>VLOOKUP(A:A,'ITEM LIST'!A:C,3,0)</f>
        <v>#N/A</v>
      </c>
      <c r="D18018" s="6">
        <f t="shared" si="282"/>
        <v>0</v>
      </c>
    </row>
    <row r="18019" spans="3:4" ht="15" x14ac:dyDescent="0.25">
      <c r="C18019" s="8" t="e">
        <f>VLOOKUP(A:A,'ITEM LIST'!A:C,3,0)</f>
        <v>#N/A</v>
      </c>
      <c r="D18019" s="6">
        <f t="shared" si="282"/>
        <v>0</v>
      </c>
    </row>
    <row r="18020" spans="3:4" ht="15" x14ac:dyDescent="0.25">
      <c r="C18020" s="8" t="e">
        <f>VLOOKUP(A:A,'ITEM LIST'!A:C,3,0)</f>
        <v>#N/A</v>
      </c>
      <c r="D18020" s="6">
        <f t="shared" si="282"/>
        <v>0</v>
      </c>
    </row>
    <row r="18021" spans="3:4" ht="15" x14ac:dyDescent="0.25">
      <c r="C18021" s="8" t="e">
        <f>VLOOKUP(A:A,'ITEM LIST'!A:C,3,0)</f>
        <v>#N/A</v>
      </c>
      <c r="D18021" s="6">
        <f t="shared" si="282"/>
        <v>0</v>
      </c>
    </row>
    <row r="18022" spans="3:4" ht="15" x14ac:dyDescent="0.25">
      <c r="C18022" s="8" t="e">
        <f>VLOOKUP(A:A,'ITEM LIST'!A:C,3,0)</f>
        <v>#N/A</v>
      </c>
      <c r="D18022" s="6">
        <f t="shared" si="282"/>
        <v>0</v>
      </c>
    </row>
    <row r="18023" spans="3:4" ht="15" x14ac:dyDescent="0.25">
      <c r="C18023" s="8" t="e">
        <f>VLOOKUP(A:A,'ITEM LIST'!A:C,3,0)</f>
        <v>#N/A</v>
      </c>
      <c r="D18023" s="6">
        <f t="shared" si="282"/>
        <v>0</v>
      </c>
    </row>
    <row r="18024" spans="3:4" ht="15" x14ac:dyDescent="0.25">
      <c r="C18024" s="8" t="e">
        <f>VLOOKUP(A:A,'ITEM LIST'!A:C,3,0)</f>
        <v>#N/A</v>
      </c>
      <c r="D18024" s="6">
        <f t="shared" si="282"/>
        <v>0</v>
      </c>
    </row>
    <row r="18025" spans="3:4" ht="15" x14ac:dyDescent="0.25">
      <c r="C18025" s="8" t="e">
        <f>VLOOKUP(A:A,'ITEM LIST'!A:C,3,0)</f>
        <v>#N/A</v>
      </c>
      <c r="D18025" s="6">
        <f t="shared" si="282"/>
        <v>0</v>
      </c>
    </row>
    <row r="18026" spans="3:4" ht="15" x14ac:dyDescent="0.25">
      <c r="C18026" s="8" t="e">
        <f>VLOOKUP(A:A,'ITEM LIST'!A:C,3,0)</f>
        <v>#N/A</v>
      </c>
      <c r="D18026" s="6">
        <f t="shared" si="282"/>
        <v>0</v>
      </c>
    </row>
    <row r="18027" spans="3:4" ht="15" x14ac:dyDescent="0.25">
      <c r="C18027" s="8" t="e">
        <f>VLOOKUP(A:A,'ITEM LIST'!A:C,3,0)</f>
        <v>#N/A</v>
      </c>
      <c r="D18027" s="6">
        <f t="shared" si="282"/>
        <v>0</v>
      </c>
    </row>
    <row r="18028" spans="3:4" ht="15" x14ac:dyDescent="0.25">
      <c r="C18028" s="8" t="e">
        <f>VLOOKUP(A:A,'ITEM LIST'!A:C,3,0)</f>
        <v>#N/A</v>
      </c>
      <c r="D18028" s="6">
        <f t="shared" si="282"/>
        <v>0</v>
      </c>
    </row>
    <row r="18029" spans="3:4" ht="15" x14ac:dyDescent="0.25">
      <c r="C18029" s="8" t="e">
        <f>VLOOKUP(A:A,'ITEM LIST'!A:C,3,0)</f>
        <v>#N/A</v>
      </c>
      <c r="D18029" s="6">
        <f t="shared" si="282"/>
        <v>0</v>
      </c>
    </row>
    <row r="18030" spans="3:4" ht="15" x14ac:dyDescent="0.25">
      <c r="C18030" s="8" t="e">
        <f>VLOOKUP(A:A,'ITEM LIST'!A:C,3,0)</f>
        <v>#N/A</v>
      </c>
      <c r="D18030" s="6">
        <f t="shared" si="282"/>
        <v>0</v>
      </c>
    </row>
    <row r="18031" spans="3:4" ht="15" x14ac:dyDescent="0.25">
      <c r="C18031" s="8" t="e">
        <f>VLOOKUP(A:A,'ITEM LIST'!A:C,3,0)</f>
        <v>#N/A</v>
      </c>
      <c r="D18031" s="6">
        <f t="shared" si="282"/>
        <v>0</v>
      </c>
    </row>
    <row r="18032" spans="3:4" ht="15" x14ac:dyDescent="0.25">
      <c r="C18032" s="8" t="e">
        <f>VLOOKUP(A:A,'ITEM LIST'!A:C,3,0)</f>
        <v>#N/A</v>
      </c>
      <c r="D18032" s="6">
        <f t="shared" si="282"/>
        <v>0</v>
      </c>
    </row>
    <row r="18033" spans="3:4" ht="15" x14ac:dyDescent="0.25">
      <c r="C18033" s="8" t="e">
        <f>VLOOKUP(A:A,'ITEM LIST'!A:C,3,0)</f>
        <v>#N/A</v>
      </c>
      <c r="D18033" s="6">
        <f t="shared" si="282"/>
        <v>0</v>
      </c>
    </row>
    <row r="18034" spans="3:4" ht="15" x14ac:dyDescent="0.25">
      <c r="C18034" s="8" t="e">
        <f>VLOOKUP(A:A,'ITEM LIST'!A:C,3,0)</f>
        <v>#N/A</v>
      </c>
      <c r="D18034" s="6">
        <f t="shared" si="282"/>
        <v>0</v>
      </c>
    </row>
    <row r="18035" spans="3:4" ht="15" x14ac:dyDescent="0.25">
      <c r="C18035" s="8" t="e">
        <f>VLOOKUP(A:A,'ITEM LIST'!A:C,3,0)</f>
        <v>#N/A</v>
      </c>
      <c r="D18035" s="6">
        <f t="shared" si="282"/>
        <v>0</v>
      </c>
    </row>
    <row r="18036" spans="3:4" ht="15" x14ac:dyDescent="0.25">
      <c r="C18036" s="8" t="e">
        <f>VLOOKUP(A:A,'ITEM LIST'!A:C,3,0)</f>
        <v>#N/A</v>
      </c>
      <c r="D18036" s="6">
        <f t="shared" si="282"/>
        <v>0</v>
      </c>
    </row>
    <row r="18037" spans="3:4" ht="15" x14ac:dyDescent="0.25">
      <c r="C18037" s="8" t="e">
        <f>VLOOKUP(A:A,'ITEM LIST'!A:C,3,0)</f>
        <v>#N/A</v>
      </c>
      <c r="D18037" s="6">
        <f t="shared" si="282"/>
        <v>0</v>
      </c>
    </row>
    <row r="18038" spans="3:4" ht="15" x14ac:dyDescent="0.25">
      <c r="C18038" s="8" t="e">
        <f>VLOOKUP(A:A,'ITEM LIST'!A:C,3,0)</f>
        <v>#N/A</v>
      </c>
      <c r="D18038" s="6">
        <f t="shared" si="282"/>
        <v>0</v>
      </c>
    </row>
    <row r="18039" spans="3:4" ht="15" x14ac:dyDescent="0.25">
      <c r="C18039" s="8" t="e">
        <f>VLOOKUP(A:A,'ITEM LIST'!A:C,3,0)</f>
        <v>#N/A</v>
      </c>
      <c r="D18039" s="6">
        <f t="shared" si="282"/>
        <v>0</v>
      </c>
    </row>
    <row r="18040" spans="3:4" ht="15" x14ac:dyDescent="0.25">
      <c r="C18040" s="8" t="e">
        <f>VLOOKUP(A:A,'ITEM LIST'!A:C,3,0)</f>
        <v>#N/A</v>
      </c>
      <c r="D18040" s="6">
        <f t="shared" si="282"/>
        <v>0</v>
      </c>
    </row>
    <row r="18041" spans="3:4" ht="15" x14ac:dyDescent="0.25">
      <c r="C18041" s="8" t="e">
        <f>VLOOKUP(A:A,'ITEM LIST'!A:C,3,0)</f>
        <v>#N/A</v>
      </c>
      <c r="D18041" s="6">
        <f t="shared" si="282"/>
        <v>0</v>
      </c>
    </row>
    <row r="18042" spans="3:4" ht="15" x14ac:dyDescent="0.25">
      <c r="C18042" s="8" t="e">
        <f>VLOOKUP(A:A,'ITEM LIST'!A:C,3,0)</f>
        <v>#N/A</v>
      </c>
      <c r="D18042" s="6">
        <f t="shared" si="282"/>
        <v>0</v>
      </c>
    </row>
    <row r="18043" spans="3:4" ht="15" x14ac:dyDescent="0.25">
      <c r="C18043" s="8" t="e">
        <f>VLOOKUP(A:A,'ITEM LIST'!A:C,3,0)</f>
        <v>#N/A</v>
      </c>
      <c r="D18043" s="6">
        <f t="shared" si="282"/>
        <v>0</v>
      </c>
    </row>
    <row r="18044" spans="3:4" ht="15" x14ac:dyDescent="0.25">
      <c r="C18044" s="8" t="e">
        <f>VLOOKUP(A:A,'ITEM LIST'!A:C,3,0)</f>
        <v>#N/A</v>
      </c>
      <c r="D18044" s="6">
        <f t="shared" si="282"/>
        <v>0</v>
      </c>
    </row>
    <row r="18045" spans="3:4" ht="15" x14ac:dyDescent="0.25">
      <c r="C18045" s="8" t="e">
        <f>VLOOKUP(A:A,'ITEM LIST'!A:C,3,0)</f>
        <v>#N/A</v>
      </c>
      <c r="D18045" s="6">
        <f t="shared" si="282"/>
        <v>0</v>
      </c>
    </row>
    <row r="18046" spans="3:4" ht="15" x14ac:dyDescent="0.25">
      <c r="C18046" s="8" t="e">
        <f>VLOOKUP(A:A,'ITEM LIST'!A:C,3,0)</f>
        <v>#N/A</v>
      </c>
      <c r="D18046" s="6">
        <f t="shared" si="282"/>
        <v>0</v>
      </c>
    </row>
    <row r="18047" spans="3:4" ht="15" x14ac:dyDescent="0.25">
      <c r="C18047" s="8" t="e">
        <f>VLOOKUP(A:A,'ITEM LIST'!A:C,3,0)</f>
        <v>#N/A</v>
      </c>
      <c r="D18047" s="6">
        <f t="shared" si="282"/>
        <v>0</v>
      </c>
    </row>
    <row r="18048" spans="3:4" ht="15" x14ac:dyDescent="0.25">
      <c r="C18048" s="8" t="e">
        <f>VLOOKUP(A:A,'ITEM LIST'!A:C,3,0)</f>
        <v>#N/A</v>
      </c>
      <c r="D18048" s="6">
        <f t="shared" si="282"/>
        <v>0</v>
      </c>
    </row>
    <row r="18049" spans="3:4" ht="15" x14ac:dyDescent="0.25">
      <c r="C18049" s="8" t="e">
        <f>VLOOKUP(A:A,'ITEM LIST'!A:C,3,0)</f>
        <v>#N/A</v>
      </c>
      <c r="D18049" s="6">
        <f t="shared" si="282"/>
        <v>0</v>
      </c>
    </row>
    <row r="18050" spans="3:4" ht="15" x14ac:dyDescent="0.25">
      <c r="C18050" s="8" t="e">
        <f>VLOOKUP(A:A,'ITEM LIST'!A:C,3,0)</f>
        <v>#N/A</v>
      </c>
      <c r="D18050" s="6">
        <f t="shared" si="282"/>
        <v>0</v>
      </c>
    </row>
    <row r="18051" spans="3:4" ht="15" x14ac:dyDescent="0.25">
      <c r="C18051" s="8" t="e">
        <f>VLOOKUP(A:A,'ITEM LIST'!A:C,3,0)</f>
        <v>#N/A</v>
      </c>
      <c r="D18051" s="6">
        <f t="shared" si="282"/>
        <v>0</v>
      </c>
    </row>
    <row r="18052" spans="3:4" ht="15" x14ac:dyDescent="0.25">
      <c r="C18052" s="8" t="e">
        <f>VLOOKUP(A:A,'ITEM LIST'!A:C,3,0)</f>
        <v>#N/A</v>
      </c>
      <c r="D18052" s="6">
        <f t="shared" si="282"/>
        <v>0</v>
      </c>
    </row>
    <row r="18053" spans="3:4" ht="15" x14ac:dyDescent="0.25">
      <c r="C18053" s="8" t="e">
        <f>VLOOKUP(A:A,'ITEM LIST'!A:C,3,0)</f>
        <v>#N/A</v>
      </c>
      <c r="D18053" s="6">
        <f t="shared" si="282"/>
        <v>0</v>
      </c>
    </row>
    <row r="18054" spans="3:4" ht="15" x14ac:dyDescent="0.25">
      <c r="C18054" s="8" t="e">
        <f>VLOOKUP(A:A,'ITEM LIST'!A:C,3,0)</f>
        <v>#N/A</v>
      </c>
      <c r="D18054" s="6">
        <f t="shared" ref="D18054:D18117" si="283">B18054</f>
        <v>0</v>
      </c>
    </row>
    <row r="18055" spans="3:4" ht="15" x14ac:dyDescent="0.25">
      <c r="C18055" s="8" t="e">
        <f>VLOOKUP(A:A,'ITEM LIST'!A:C,3,0)</f>
        <v>#N/A</v>
      </c>
      <c r="D18055" s="6">
        <f t="shared" si="283"/>
        <v>0</v>
      </c>
    </row>
    <row r="18056" spans="3:4" ht="15" x14ac:dyDescent="0.25">
      <c r="C18056" s="8" t="e">
        <f>VLOOKUP(A:A,'ITEM LIST'!A:C,3,0)</f>
        <v>#N/A</v>
      </c>
      <c r="D18056" s="6">
        <f t="shared" si="283"/>
        <v>0</v>
      </c>
    </row>
    <row r="18057" spans="3:4" ht="15" x14ac:dyDescent="0.25">
      <c r="C18057" s="8" t="e">
        <f>VLOOKUP(A:A,'ITEM LIST'!A:C,3,0)</f>
        <v>#N/A</v>
      </c>
      <c r="D18057" s="6">
        <f t="shared" si="283"/>
        <v>0</v>
      </c>
    </row>
    <row r="18058" spans="3:4" ht="15" x14ac:dyDescent="0.25">
      <c r="C18058" s="8" t="e">
        <f>VLOOKUP(A:A,'ITEM LIST'!A:C,3,0)</f>
        <v>#N/A</v>
      </c>
      <c r="D18058" s="6">
        <f t="shared" si="283"/>
        <v>0</v>
      </c>
    </row>
    <row r="18059" spans="3:4" ht="15" x14ac:dyDescent="0.25">
      <c r="C18059" s="8" t="e">
        <f>VLOOKUP(A:A,'ITEM LIST'!A:C,3,0)</f>
        <v>#N/A</v>
      </c>
      <c r="D18059" s="6">
        <f t="shared" si="283"/>
        <v>0</v>
      </c>
    </row>
    <row r="18060" spans="3:4" ht="15" x14ac:dyDescent="0.25">
      <c r="C18060" s="8" t="e">
        <f>VLOOKUP(A:A,'ITEM LIST'!A:C,3,0)</f>
        <v>#N/A</v>
      </c>
      <c r="D18060" s="6">
        <f t="shared" si="283"/>
        <v>0</v>
      </c>
    </row>
    <row r="18061" spans="3:4" ht="15" x14ac:dyDescent="0.25">
      <c r="C18061" s="8" t="e">
        <f>VLOOKUP(A:A,'ITEM LIST'!A:C,3,0)</f>
        <v>#N/A</v>
      </c>
      <c r="D18061" s="6">
        <f t="shared" si="283"/>
        <v>0</v>
      </c>
    </row>
    <row r="18062" spans="3:4" ht="15" x14ac:dyDescent="0.25">
      <c r="C18062" s="8" t="e">
        <f>VLOOKUP(A:A,'ITEM LIST'!A:C,3,0)</f>
        <v>#N/A</v>
      </c>
      <c r="D18062" s="6">
        <f t="shared" si="283"/>
        <v>0</v>
      </c>
    </row>
    <row r="18063" spans="3:4" ht="15" x14ac:dyDescent="0.25">
      <c r="C18063" s="8" t="e">
        <f>VLOOKUP(A:A,'ITEM LIST'!A:C,3,0)</f>
        <v>#N/A</v>
      </c>
      <c r="D18063" s="6">
        <f t="shared" si="283"/>
        <v>0</v>
      </c>
    </row>
    <row r="18064" spans="3:4" ht="15" x14ac:dyDescent="0.25">
      <c r="C18064" s="8" t="e">
        <f>VLOOKUP(A:A,'ITEM LIST'!A:C,3,0)</f>
        <v>#N/A</v>
      </c>
      <c r="D18064" s="6">
        <f t="shared" si="283"/>
        <v>0</v>
      </c>
    </row>
    <row r="18065" spans="3:4" ht="15" x14ac:dyDescent="0.25">
      <c r="C18065" s="8" t="e">
        <f>VLOOKUP(A:A,'ITEM LIST'!A:C,3,0)</f>
        <v>#N/A</v>
      </c>
      <c r="D18065" s="6">
        <f t="shared" si="283"/>
        <v>0</v>
      </c>
    </row>
    <row r="18066" spans="3:4" ht="15" x14ac:dyDescent="0.25">
      <c r="C18066" s="8" t="e">
        <f>VLOOKUP(A:A,'ITEM LIST'!A:C,3,0)</f>
        <v>#N/A</v>
      </c>
      <c r="D18066" s="6">
        <f t="shared" si="283"/>
        <v>0</v>
      </c>
    </row>
    <row r="18067" spans="3:4" ht="15" x14ac:dyDescent="0.25">
      <c r="C18067" s="8" t="e">
        <f>VLOOKUP(A:A,'ITEM LIST'!A:C,3,0)</f>
        <v>#N/A</v>
      </c>
      <c r="D18067" s="6">
        <f t="shared" si="283"/>
        <v>0</v>
      </c>
    </row>
    <row r="18068" spans="3:4" ht="15" x14ac:dyDescent="0.25">
      <c r="C18068" s="8" t="e">
        <f>VLOOKUP(A:A,'ITEM LIST'!A:C,3,0)</f>
        <v>#N/A</v>
      </c>
      <c r="D18068" s="6">
        <f t="shared" si="283"/>
        <v>0</v>
      </c>
    </row>
    <row r="18069" spans="3:4" ht="15" x14ac:dyDescent="0.25">
      <c r="C18069" s="8" t="e">
        <f>VLOOKUP(A:A,'ITEM LIST'!A:C,3,0)</f>
        <v>#N/A</v>
      </c>
      <c r="D18069" s="6">
        <f t="shared" si="283"/>
        <v>0</v>
      </c>
    </row>
    <row r="18070" spans="3:4" ht="15" x14ac:dyDescent="0.25">
      <c r="C18070" s="8" t="e">
        <f>VLOOKUP(A:A,'ITEM LIST'!A:C,3,0)</f>
        <v>#N/A</v>
      </c>
      <c r="D18070" s="6">
        <f t="shared" si="283"/>
        <v>0</v>
      </c>
    </row>
    <row r="18071" spans="3:4" ht="15" x14ac:dyDescent="0.25">
      <c r="C18071" s="8" t="e">
        <f>VLOOKUP(A:A,'ITEM LIST'!A:C,3,0)</f>
        <v>#N/A</v>
      </c>
      <c r="D18071" s="6">
        <f t="shared" si="283"/>
        <v>0</v>
      </c>
    </row>
    <row r="18072" spans="3:4" ht="15" x14ac:dyDescent="0.25">
      <c r="C18072" s="8" t="e">
        <f>VLOOKUP(A:A,'ITEM LIST'!A:C,3,0)</f>
        <v>#N/A</v>
      </c>
      <c r="D18072" s="6">
        <f t="shared" si="283"/>
        <v>0</v>
      </c>
    </row>
    <row r="18073" spans="3:4" ht="15" x14ac:dyDescent="0.25">
      <c r="C18073" s="8" t="e">
        <f>VLOOKUP(A:A,'ITEM LIST'!A:C,3,0)</f>
        <v>#N/A</v>
      </c>
      <c r="D18073" s="6">
        <f t="shared" si="283"/>
        <v>0</v>
      </c>
    </row>
    <row r="18074" spans="3:4" ht="15" x14ac:dyDescent="0.25">
      <c r="C18074" s="8" t="e">
        <f>VLOOKUP(A:A,'ITEM LIST'!A:C,3,0)</f>
        <v>#N/A</v>
      </c>
      <c r="D18074" s="6">
        <f t="shared" si="283"/>
        <v>0</v>
      </c>
    </row>
    <row r="18075" spans="3:4" ht="15" x14ac:dyDescent="0.25">
      <c r="C18075" s="8" t="e">
        <f>VLOOKUP(A:A,'ITEM LIST'!A:C,3,0)</f>
        <v>#N/A</v>
      </c>
      <c r="D18075" s="6">
        <f t="shared" si="283"/>
        <v>0</v>
      </c>
    </row>
    <row r="18076" spans="3:4" ht="15" x14ac:dyDescent="0.25">
      <c r="C18076" s="8" t="e">
        <f>VLOOKUP(A:A,'ITEM LIST'!A:C,3,0)</f>
        <v>#N/A</v>
      </c>
      <c r="D18076" s="6">
        <f t="shared" si="283"/>
        <v>0</v>
      </c>
    </row>
    <row r="18077" spans="3:4" ht="15" x14ac:dyDescent="0.25">
      <c r="C18077" s="8" t="e">
        <f>VLOOKUP(A:A,'ITEM LIST'!A:C,3,0)</f>
        <v>#N/A</v>
      </c>
      <c r="D18077" s="6">
        <f t="shared" si="283"/>
        <v>0</v>
      </c>
    </row>
    <row r="18078" spans="3:4" ht="15" x14ac:dyDescent="0.25">
      <c r="C18078" s="8" t="e">
        <f>VLOOKUP(A:A,'ITEM LIST'!A:C,3,0)</f>
        <v>#N/A</v>
      </c>
      <c r="D18078" s="6">
        <f t="shared" si="283"/>
        <v>0</v>
      </c>
    </row>
    <row r="18079" spans="3:4" ht="15" x14ac:dyDescent="0.25">
      <c r="C18079" s="8" t="e">
        <f>VLOOKUP(A:A,'ITEM LIST'!A:C,3,0)</f>
        <v>#N/A</v>
      </c>
      <c r="D18079" s="6">
        <f t="shared" si="283"/>
        <v>0</v>
      </c>
    </row>
    <row r="18080" spans="3:4" ht="15" x14ac:dyDescent="0.25">
      <c r="C18080" s="8" t="e">
        <f>VLOOKUP(A:A,'ITEM LIST'!A:C,3,0)</f>
        <v>#N/A</v>
      </c>
      <c r="D18080" s="6">
        <f t="shared" si="283"/>
        <v>0</v>
      </c>
    </row>
    <row r="18081" spans="3:4" ht="15" x14ac:dyDescent="0.25">
      <c r="C18081" s="8" t="e">
        <f>VLOOKUP(A:A,'ITEM LIST'!A:C,3,0)</f>
        <v>#N/A</v>
      </c>
      <c r="D18081" s="6">
        <f t="shared" si="283"/>
        <v>0</v>
      </c>
    </row>
    <row r="18082" spans="3:4" ht="15" x14ac:dyDescent="0.25">
      <c r="C18082" s="8" t="e">
        <f>VLOOKUP(A:A,'ITEM LIST'!A:C,3,0)</f>
        <v>#N/A</v>
      </c>
      <c r="D18082" s="6">
        <f t="shared" si="283"/>
        <v>0</v>
      </c>
    </row>
    <row r="18083" spans="3:4" ht="15" x14ac:dyDescent="0.25">
      <c r="C18083" s="8" t="e">
        <f>VLOOKUP(A:A,'ITEM LIST'!A:C,3,0)</f>
        <v>#N/A</v>
      </c>
      <c r="D18083" s="6">
        <f t="shared" si="283"/>
        <v>0</v>
      </c>
    </row>
    <row r="18084" spans="3:4" ht="15" x14ac:dyDescent="0.25">
      <c r="C18084" s="8" t="e">
        <f>VLOOKUP(A:A,'ITEM LIST'!A:C,3,0)</f>
        <v>#N/A</v>
      </c>
      <c r="D18084" s="6">
        <f t="shared" si="283"/>
        <v>0</v>
      </c>
    </row>
    <row r="18085" spans="3:4" ht="15" x14ac:dyDescent="0.25">
      <c r="C18085" s="8" t="e">
        <f>VLOOKUP(A:A,'ITEM LIST'!A:C,3,0)</f>
        <v>#N/A</v>
      </c>
      <c r="D18085" s="6">
        <f t="shared" si="283"/>
        <v>0</v>
      </c>
    </row>
    <row r="18086" spans="3:4" ht="15" x14ac:dyDescent="0.25">
      <c r="C18086" s="8" t="e">
        <f>VLOOKUP(A:A,'ITEM LIST'!A:C,3,0)</f>
        <v>#N/A</v>
      </c>
      <c r="D18086" s="6">
        <f t="shared" si="283"/>
        <v>0</v>
      </c>
    </row>
    <row r="18087" spans="3:4" ht="15" x14ac:dyDescent="0.25">
      <c r="C18087" s="8" t="e">
        <f>VLOOKUP(A:A,'ITEM LIST'!A:C,3,0)</f>
        <v>#N/A</v>
      </c>
      <c r="D18087" s="6">
        <f t="shared" si="283"/>
        <v>0</v>
      </c>
    </row>
    <row r="18088" spans="3:4" ht="15" x14ac:dyDescent="0.25">
      <c r="C18088" s="8" t="e">
        <f>VLOOKUP(A:A,'ITEM LIST'!A:C,3,0)</f>
        <v>#N/A</v>
      </c>
      <c r="D18088" s="6">
        <f t="shared" si="283"/>
        <v>0</v>
      </c>
    </row>
    <row r="18089" spans="3:4" ht="15" x14ac:dyDescent="0.25">
      <c r="C18089" s="8" t="e">
        <f>VLOOKUP(A:A,'ITEM LIST'!A:C,3,0)</f>
        <v>#N/A</v>
      </c>
      <c r="D18089" s="6">
        <f t="shared" si="283"/>
        <v>0</v>
      </c>
    </row>
    <row r="18090" spans="3:4" ht="15" x14ac:dyDescent="0.25">
      <c r="C18090" s="8" t="e">
        <f>VLOOKUP(A:A,'ITEM LIST'!A:C,3,0)</f>
        <v>#N/A</v>
      </c>
      <c r="D18090" s="6">
        <f t="shared" si="283"/>
        <v>0</v>
      </c>
    </row>
    <row r="18091" spans="3:4" ht="15" x14ac:dyDescent="0.25">
      <c r="C18091" s="8" t="e">
        <f>VLOOKUP(A:A,'ITEM LIST'!A:C,3,0)</f>
        <v>#N/A</v>
      </c>
      <c r="D18091" s="6">
        <f t="shared" si="283"/>
        <v>0</v>
      </c>
    </row>
    <row r="18092" spans="3:4" ht="15" x14ac:dyDescent="0.25">
      <c r="C18092" s="8" t="e">
        <f>VLOOKUP(A:A,'ITEM LIST'!A:C,3,0)</f>
        <v>#N/A</v>
      </c>
      <c r="D18092" s="6">
        <f t="shared" si="283"/>
        <v>0</v>
      </c>
    </row>
    <row r="18093" spans="3:4" ht="15" x14ac:dyDescent="0.25">
      <c r="C18093" s="8" t="e">
        <f>VLOOKUP(A:A,'ITEM LIST'!A:C,3,0)</f>
        <v>#N/A</v>
      </c>
      <c r="D18093" s="6">
        <f t="shared" si="283"/>
        <v>0</v>
      </c>
    </row>
    <row r="18094" spans="3:4" ht="15" x14ac:dyDescent="0.25">
      <c r="C18094" s="8" t="e">
        <f>VLOOKUP(A:A,'ITEM LIST'!A:C,3,0)</f>
        <v>#N/A</v>
      </c>
      <c r="D18094" s="6">
        <f t="shared" si="283"/>
        <v>0</v>
      </c>
    </row>
    <row r="18095" spans="3:4" ht="15" x14ac:dyDescent="0.25">
      <c r="C18095" s="8" t="e">
        <f>VLOOKUP(A:A,'ITEM LIST'!A:C,3,0)</f>
        <v>#N/A</v>
      </c>
      <c r="D18095" s="6">
        <f t="shared" si="283"/>
        <v>0</v>
      </c>
    </row>
    <row r="18096" spans="3:4" ht="15" x14ac:dyDescent="0.25">
      <c r="C18096" s="8" t="e">
        <f>VLOOKUP(A:A,'ITEM LIST'!A:C,3,0)</f>
        <v>#N/A</v>
      </c>
      <c r="D18096" s="6">
        <f t="shared" si="283"/>
        <v>0</v>
      </c>
    </row>
    <row r="18097" spans="3:4" ht="15" x14ac:dyDescent="0.25">
      <c r="C18097" s="8" t="e">
        <f>VLOOKUP(A:A,'ITEM LIST'!A:C,3,0)</f>
        <v>#N/A</v>
      </c>
      <c r="D18097" s="6">
        <f t="shared" si="283"/>
        <v>0</v>
      </c>
    </row>
    <row r="18098" spans="3:4" ht="15" x14ac:dyDescent="0.25">
      <c r="C18098" s="8" t="e">
        <f>VLOOKUP(A:A,'ITEM LIST'!A:C,3,0)</f>
        <v>#N/A</v>
      </c>
      <c r="D18098" s="6">
        <f t="shared" si="283"/>
        <v>0</v>
      </c>
    </row>
    <row r="18099" spans="3:4" ht="15" x14ac:dyDescent="0.25">
      <c r="C18099" s="8" t="e">
        <f>VLOOKUP(A:A,'ITEM LIST'!A:C,3,0)</f>
        <v>#N/A</v>
      </c>
      <c r="D18099" s="6">
        <f t="shared" si="283"/>
        <v>0</v>
      </c>
    </row>
    <row r="18100" spans="3:4" ht="15" x14ac:dyDescent="0.25">
      <c r="C18100" s="8" t="e">
        <f>VLOOKUP(A:A,'ITEM LIST'!A:C,3,0)</f>
        <v>#N/A</v>
      </c>
      <c r="D18100" s="6">
        <f t="shared" si="283"/>
        <v>0</v>
      </c>
    </row>
    <row r="18101" spans="3:4" ht="15" x14ac:dyDescent="0.25">
      <c r="C18101" s="8" t="e">
        <f>VLOOKUP(A:A,'ITEM LIST'!A:C,3,0)</f>
        <v>#N/A</v>
      </c>
      <c r="D18101" s="6">
        <f t="shared" si="283"/>
        <v>0</v>
      </c>
    </row>
    <row r="18102" spans="3:4" ht="15" x14ac:dyDescent="0.25">
      <c r="C18102" s="8" t="e">
        <f>VLOOKUP(A:A,'ITEM LIST'!A:C,3,0)</f>
        <v>#N/A</v>
      </c>
      <c r="D18102" s="6">
        <f t="shared" si="283"/>
        <v>0</v>
      </c>
    </row>
    <row r="18103" spans="3:4" ht="15" x14ac:dyDescent="0.25">
      <c r="C18103" s="8" t="e">
        <f>VLOOKUP(A:A,'ITEM LIST'!A:C,3,0)</f>
        <v>#N/A</v>
      </c>
      <c r="D18103" s="6">
        <f t="shared" si="283"/>
        <v>0</v>
      </c>
    </row>
    <row r="18104" spans="3:4" ht="15" x14ac:dyDescent="0.25">
      <c r="C18104" s="8" t="e">
        <f>VLOOKUP(A:A,'ITEM LIST'!A:C,3,0)</f>
        <v>#N/A</v>
      </c>
      <c r="D18104" s="6">
        <f t="shared" si="283"/>
        <v>0</v>
      </c>
    </row>
    <row r="18105" spans="3:4" ht="15" x14ac:dyDescent="0.25">
      <c r="C18105" s="8" t="e">
        <f>VLOOKUP(A:A,'ITEM LIST'!A:C,3,0)</f>
        <v>#N/A</v>
      </c>
      <c r="D18105" s="6">
        <f t="shared" si="283"/>
        <v>0</v>
      </c>
    </row>
    <row r="18106" spans="3:4" ht="15" x14ac:dyDescent="0.25">
      <c r="C18106" s="8" t="e">
        <f>VLOOKUP(A:A,'ITEM LIST'!A:C,3,0)</f>
        <v>#N/A</v>
      </c>
      <c r="D18106" s="6">
        <f t="shared" si="283"/>
        <v>0</v>
      </c>
    </row>
    <row r="18107" spans="3:4" ht="15" x14ac:dyDescent="0.25">
      <c r="C18107" s="8" t="e">
        <f>VLOOKUP(A:A,'ITEM LIST'!A:C,3,0)</f>
        <v>#N/A</v>
      </c>
      <c r="D18107" s="6">
        <f t="shared" si="283"/>
        <v>0</v>
      </c>
    </row>
    <row r="18108" spans="3:4" ht="15" x14ac:dyDescent="0.25">
      <c r="C18108" s="8" t="e">
        <f>VLOOKUP(A:A,'ITEM LIST'!A:C,3,0)</f>
        <v>#N/A</v>
      </c>
      <c r="D18108" s="6">
        <f t="shared" si="283"/>
        <v>0</v>
      </c>
    </row>
    <row r="18109" spans="3:4" ht="15" x14ac:dyDescent="0.25">
      <c r="C18109" s="8" t="e">
        <f>VLOOKUP(A:A,'ITEM LIST'!A:C,3,0)</f>
        <v>#N/A</v>
      </c>
      <c r="D18109" s="6">
        <f t="shared" si="283"/>
        <v>0</v>
      </c>
    </row>
    <row r="18110" spans="3:4" ht="15" x14ac:dyDescent="0.25">
      <c r="C18110" s="8" t="e">
        <f>VLOOKUP(A:A,'ITEM LIST'!A:C,3,0)</f>
        <v>#N/A</v>
      </c>
      <c r="D18110" s="6">
        <f t="shared" si="283"/>
        <v>0</v>
      </c>
    </row>
    <row r="18111" spans="3:4" ht="15" x14ac:dyDescent="0.25">
      <c r="C18111" s="8" t="e">
        <f>VLOOKUP(A:A,'ITEM LIST'!A:C,3,0)</f>
        <v>#N/A</v>
      </c>
      <c r="D18111" s="6">
        <f t="shared" si="283"/>
        <v>0</v>
      </c>
    </row>
    <row r="18112" spans="3:4" ht="15" x14ac:dyDescent="0.25">
      <c r="C18112" s="8" t="e">
        <f>VLOOKUP(A:A,'ITEM LIST'!A:C,3,0)</f>
        <v>#N/A</v>
      </c>
      <c r="D18112" s="6">
        <f t="shared" si="283"/>
        <v>0</v>
      </c>
    </row>
    <row r="18113" spans="3:4" ht="15" x14ac:dyDescent="0.25">
      <c r="C18113" s="8" t="e">
        <f>VLOOKUP(A:A,'ITEM LIST'!A:C,3,0)</f>
        <v>#N/A</v>
      </c>
      <c r="D18113" s="6">
        <f t="shared" si="283"/>
        <v>0</v>
      </c>
    </row>
    <row r="18114" spans="3:4" ht="15" x14ac:dyDescent="0.25">
      <c r="C18114" s="8" t="e">
        <f>VLOOKUP(A:A,'ITEM LIST'!A:C,3,0)</f>
        <v>#N/A</v>
      </c>
      <c r="D18114" s="6">
        <f t="shared" si="283"/>
        <v>0</v>
      </c>
    </row>
    <row r="18115" spans="3:4" ht="15" x14ac:dyDescent="0.25">
      <c r="C18115" s="8" t="e">
        <f>VLOOKUP(A:A,'ITEM LIST'!A:C,3,0)</f>
        <v>#N/A</v>
      </c>
      <c r="D18115" s="6">
        <f t="shared" si="283"/>
        <v>0</v>
      </c>
    </row>
    <row r="18116" spans="3:4" ht="15" x14ac:dyDescent="0.25">
      <c r="C18116" s="8" t="e">
        <f>VLOOKUP(A:A,'ITEM LIST'!A:C,3,0)</f>
        <v>#N/A</v>
      </c>
      <c r="D18116" s="6">
        <f t="shared" si="283"/>
        <v>0</v>
      </c>
    </row>
    <row r="18117" spans="3:4" ht="15" x14ac:dyDescent="0.25">
      <c r="C18117" s="8" t="e">
        <f>VLOOKUP(A:A,'ITEM LIST'!A:C,3,0)</f>
        <v>#N/A</v>
      </c>
      <c r="D18117" s="6">
        <f t="shared" si="283"/>
        <v>0</v>
      </c>
    </row>
    <row r="18118" spans="3:4" ht="15" x14ac:dyDescent="0.25">
      <c r="C18118" s="8" t="e">
        <f>VLOOKUP(A:A,'ITEM LIST'!A:C,3,0)</f>
        <v>#N/A</v>
      </c>
      <c r="D18118" s="6">
        <f t="shared" ref="D18118:D18181" si="284">B18118</f>
        <v>0</v>
      </c>
    </row>
    <row r="18119" spans="3:4" ht="15" x14ac:dyDescent="0.25">
      <c r="C18119" s="8" t="e">
        <f>VLOOKUP(A:A,'ITEM LIST'!A:C,3,0)</f>
        <v>#N/A</v>
      </c>
      <c r="D18119" s="6">
        <f t="shared" si="284"/>
        <v>0</v>
      </c>
    </row>
    <row r="18120" spans="3:4" ht="15" x14ac:dyDescent="0.25">
      <c r="C18120" s="8" t="e">
        <f>VLOOKUP(A:A,'ITEM LIST'!A:C,3,0)</f>
        <v>#N/A</v>
      </c>
      <c r="D18120" s="6">
        <f t="shared" si="284"/>
        <v>0</v>
      </c>
    </row>
    <row r="18121" spans="3:4" ht="15" x14ac:dyDescent="0.25">
      <c r="C18121" s="8" t="e">
        <f>VLOOKUP(A:A,'ITEM LIST'!A:C,3,0)</f>
        <v>#N/A</v>
      </c>
      <c r="D18121" s="6">
        <f t="shared" si="284"/>
        <v>0</v>
      </c>
    </row>
    <row r="18122" spans="3:4" ht="15" x14ac:dyDescent="0.25">
      <c r="C18122" s="8" t="e">
        <f>VLOOKUP(A:A,'ITEM LIST'!A:C,3,0)</f>
        <v>#N/A</v>
      </c>
      <c r="D18122" s="6">
        <f t="shared" si="284"/>
        <v>0</v>
      </c>
    </row>
    <row r="18123" spans="3:4" ht="15" x14ac:dyDescent="0.25">
      <c r="C18123" s="8" t="e">
        <f>VLOOKUP(A:A,'ITEM LIST'!A:C,3,0)</f>
        <v>#N/A</v>
      </c>
      <c r="D18123" s="6">
        <f t="shared" si="284"/>
        <v>0</v>
      </c>
    </row>
    <row r="18124" spans="3:4" ht="15" x14ac:dyDescent="0.25">
      <c r="C18124" s="8" t="e">
        <f>VLOOKUP(A:A,'ITEM LIST'!A:C,3,0)</f>
        <v>#N/A</v>
      </c>
      <c r="D18124" s="6">
        <f t="shared" si="284"/>
        <v>0</v>
      </c>
    </row>
    <row r="18125" spans="3:4" ht="15" x14ac:dyDescent="0.25">
      <c r="C18125" s="8" t="e">
        <f>VLOOKUP(A:A,'ITEM LIST'!A:C,3,0)</f>
        <v>#N/A</v>
      </c>
      <c r="D18125" s="6">
        <f t="shared" si="284"/>
        <v>0</v>
      </c>
    </row>
    <row r="18126" spans="3:4" ht="15" x14ac:dyDescent="0.25">
      <c r="C18126" s="8" t="e">
        <f>VLOOKUP(A:A,'ITEM LIST'!A:C,3,0)</f>
        <v>#N/A</v>
      </c>
      <c r="D18126" s="6">
        <f t="shared" si="284"/>
        <v>0</v>
      </c>
    </row>
    <row r="18127" spans="3:4" ht="15" x14ac:dyDescent="0.25">
      <c r="C18127" s="8" t="e">
        <f>VLOOKUP(A:A,'ITEM LIST'!A:C,3,0)</f>
        <v>#N/A</v>
      </c>
      <c r="D18127" s="6">
        <f t="shared" si="284"/>
        <v>0</v>
      </c>
    </row>
    <row r="18128" spans="3:4" ht="15" x14ac:dyDescent="0.25">
      <c r="C18128" s="8" t="e">
        <f>VLOOKUP(A:A,'ITEM LIST'!A:C,3,0)</f>
        <v>#N/A</v>
      </c>
      <c r="D18128" s="6">
        <f t="shared" si="284"/>
        <v>0</v>
      </c>
    </row>
    <row r="18129" spans="3:4" ht="15" x14ac:dyDescent="0.25">
      <c r="C18129" s="8" t="e">
        <f>VLOOKUP(A:A,'ITEM LIST'!A:C,3,0)</f>
        <v>#N/A</v>
      </c>
      <c r="D18129" s="6">
        <f t="shared" si="284"/>
        <v>0</v>
      </c>
    </row>
    <row r="18130" spans="3:4" ht="15" x14ac:dyDescent="0.25">
      <c r="C18130" s="8" t="e">
        <f>VLOOKUP(A:A,'ITEM LIST'!A:C,3,0)</f>
        <v>#N/A</v>
      </c>
      <c r="D18130" s="6">
        <f t="shared" si="284"/>
        <v>0</v>
      </c>
    </row>
    <row r="18131" spans="3:4" ht="15" x14ac:dyDescent="0.25">
      <c r="C18131" s="8" t="e">
        <f>VLOOKUP(A:A,'ITEM LIST'!A:C,3,0)</f>
        <v>#N/A</v>
      </c>
      <c r="D18131" s="6">
        <f t="shared" si="284"/>
        <v>0</v>
      </c>
    </row>
    <row r="18132" spans="3:4" ht="15" x14ac:dyDescent="0.25">
      <c r="C18132" s="8" t="e">
        <f>VLOOKUP(A:A,'ITEM LIST'!A:C,3,0)</f>
        <v>#N/A</v>
      </c>
      <c r="D18132" s="6">
        <f t="shared" si="284"/>
        <v>0</v>
      </c>
    </row>
    <row r="18133" spans="3:4" ht="15" x14ac:dyDescent="0.25">
      <c r="C18133" s="8" t="e">
        <f>VLOOKUP(A:A,'ITEM LIST'!A:C,3,0)</f>
        <v>#N/A</v>
      </c>
      <c r="D18133" s="6">
        <f t="shared" si="284"/>
        <v>0</v>
      </c>
    </row>
    <row r="18134" spans="3:4" ht="15" x14ac:dyDescent="0.25">
      <c r="C18134" s="8" t="e">
        <f>VLOOKUP(A:A,'ITEM LIST'!A:C,3,0)</f>
        <v>#N/A</v>
      </c>
      <c r="D18134" s="6">
        <f t="shared" si="284"/>
        <v>0</v>
      </c>
    </row>
    <row r="18135" spans="3:4" ht="15" x14ac:dyDescent="0.25">
      <c r="C18135" s="8" t="e">
        <f>VLOOKUP(A:A,'ITEM LIST'!A:C,3,0)</f>
        <v>#N/A</v>
      </c>
      <c r="D18135" s="6">
        <f t="shared" si="284"/>
        <v>0</v>
      </c>
    </row>
    <row r="18136" spans="3:4" ht="15" x14ac:dyDescent="0.25">
      <c r="C18136" s="8" t="e">
        <f>VLOOKUP(A:A,'ITEM LIST'!A:C,3,0)</f>
        <v>#N/A</v>
      </c>
      <c r="D18136" s="6">
        <f t="shared" si="284"/>
        <v>0</v>
      </c>
    </row>
    <row r="18137" spans="3:4" ht="15" x14ac:dyDescent="0.25">
      <c r="C18137" s="8" t="e">
        <f>VLOOKUP(A:A,'ITEM LIST'!A:C,3,0)</f>
        <v>#N/A</v>
      </c>
      <c r="D18137" s="6">
        <f t="shared" si="284"/>
        <v>0</v>
      </c>
    </row>
    <row r="18138" spans="3:4" ht="15" x14ac:dyDescent="0.25">
      <c r="C18138" s="8" t="e">
        <f>VLOOKUP(A:A,'ITEM LIST'!A:C,3,0)</f>
        <v>#N/A</v>
      </c>
      <c r="D18138" s="6">
        <f t="shared" si="284"/>
        <v>0</v>
      </c>
    </row>
    <row r="18139" spans="3:4" ht="15" x14ac:dyDescent="0.25">
      <c r="C18139" s="8" t="e">
        <f>VLOOKUP(A:A,'ITEM LIST'!A:C,3,0)</f>
        <v>#N/A</v>
      </c>
      <c r="D18139" s="6">
        <f t="shared" si="284"/>
        <v>0</v>
      </c>
    </row>
    <row r="18140" spans="3:4" ht="15" x14ac:dyDescent="0.25">
      <c r="C18140" s="8" t="e">
        <f>VLOOKUP(A:A,'ITEM LIST'!A:C,3,0)</f>
        <v>#N/A</v>
      </c>
      <c r="D18140" s="6">
        <f t="shared" si="284"/>
        <v>0</v>
      </c>
    </row>
    <row r="18141" spans="3:4" ht="15" x14ac:dyDescent="0.25">
      <c r="C18141" s="8" t="e">
        <f>VLOOKUP(A:A,'ITEM LIST'!A:C,3,0)</f>
        <v>#N/A</v>
      </c>
      <c r="D18141" s="6">
        <f t="shared" si="284"/>
        <v>0</v>
      </c>
    </row>
    <row r="18142" spans="3:4" ht="15" x14ac:dyDescent="0.25">
      <c r="C18142" s="8" t="e">
        <f>VLOOKUP(A:A,'ITEM LIST'!A:C,3,0)</f>
        <v>#N/A</v>
      </c>
      <c r="D18142" s="6">
        <f t="shared" si="284"/>
        <v>0</v>
      </c>
    </row>
    <row r="18143" spans="3:4" ht="15" x14ac:dyDescent="0.25">
      <c r="C18143" s="8" t="e">
        <f>VLOOKUP(A:A,'ITEM LIST'!A:C,3,0)</f>
        <v>#N/A</v>
      </c>
      <c r="D18143" s="6">
        <f t="shared" si="284"/>
        <v>0</v>
      </c>
    </row>
    <row r="18144" spans="3:4" ht="15" x14ac:dyDescent="0.25">
      <c r="C18144" s="8" t="e">
        <f>VLOOKUP(A:A,'ITEM LIST'!A:C,3,0)</f>
        <v>#N/A</v>
      </c>
      <c r="D18144" s="6">
        <f t="shared" si="284"/>
        <v>0</v>
      </c>
    </row>
    <row r="18145" spans="3:4" ht="15" x14ac:dyDescent="0.25">
      <c r="C18145" s="8" t="e">
        <f>VLOOKUP(A:A,'ITEM LIST'!A:C,3,0)</f>
        <v>#N/A</v>
      </c>
      <c r="D18145" s="6">
        <f t="shared" si="284"/>
        <v>0</v>
      </c>
    </row>
    <row r="18146" spans="3:4" ht="15" x14ac:dyDescent="0.25">
      <c r="C18146" s="8" t="e">
        <f>VLOOKUP(A:A,'ITEM LIST'!A:C,3,0)</f>
        <v>#N/A</v>
      </c>
      <c r="D18146" s="6">
        <f t="shared" si="284"/>
        <v>0</v>
      </c>
    </row>
    <row r="18147" spans="3:4" ht="15" x14ac:dyDescent="0.25">
      <c r="C18147" s="8" t="e">
        <f>VLOOKUP(A:A,'ITEM LIST'!A:C,3,0)</f>
        <v>#N/A</v>
      </c>
      <c r="D18147" s="6">
        <f t="shared" si="284"/>
        <v>0</v>
      </c>
    </row>
    <row r="18148" spans="3:4" ht="15" x14ac:dyDescent="0.25">
      <c r="C18148" s="8" t="e">
        <f>VLOOKUP(A:A,'ITEM LIST'!A:C,3,0)</f>
        <v>#N/A</v>
      </c>
      <c r="D18148" s="6">
        <f t="shared" si="284"/>
        <v>0</v>
      </c>
    </row>
    <row r="18149" spans="3:4" ht="15" x14ac:dyDescent="0.25">
      <c r="C18149" s="8" t="e">
        <f>VLOOKUP(A:A,'ITEM LIST'!A:C,3,0)</f>
        <v>#N/A</v>
      </c>
      <c r="D18149" s="6">
        <f t="shared" si="284"/>
        <v>0</v>
      </c>
    </row>
    <row r="18150" spans="3:4" ht="15" x14ac:dyDescent="0.25">
      <c r="C18150" s="8" t="e">
        <f>VLOOKUP(A:A,'ITEM LIST'!A:C,3,0)</f>
        <v>#N/A</v>
      </c>
      <c r="D18150" s="6">
        <f t="shared" si="284"/>
        <v>0</v>
      </c>
    </row>
    <row r="18151" spans="3:4" ht="15" x14ac:dyDescent="0.25">
      <c r="C18151" s="8" t="e">
        <f>VLOOKUP(A:A,'ITEM LIST'!A:C,3,0)</f>
        <v>#N/A</v>
      </c>
      <c r="D18151" s="6">
        <f t="shared" si="284"/>
        <v>0</v>
      </c>
    </row>
    <row r="18152" spans="3:4" ht="15" x14ac:dyDescent="0.25">
      <c r="C18152" s="8" t="e">
        <f>VLOOKUP(A:A,'ITEM LIST'!A:C,3,0)</f>
        <v>#N/A</v>
      </c>
      <c r="D18152" s="6">
        <f t="shared" si="284"/>
        <v>0</v>
      </c>
    </row>
    <row r="18153" spans="3:4" ht="15" x14ac:dyDescent="0.25">
      <c r="C18153" s="8" t="e">
        <f>VLOOKUP(A:A,'ITEM LIST'!A:C,3,0)</f>
        <v>#N/A</v>
      </c>
      <c r="D18153" s="6">
        <f t="shared" si="284"/>
        <v>0</v>
      </c>
    </row>
    <row r="18154" spans="3:4" ht="15" x14ac:dyDescent="0.25">
      <c r="C18154" s="8" t="e">
        <f>VLOOKUP(A:A,'ITEM LIST'!A:C,3,0)</f>
        <v>#N/A</v>
      </c>
      <c r="D18154" s="6">
        <f t="shared" si="284"/>
        <v>0</v>
      </c>
    </row>
    <row r="18155" spans="3:4" ht="15" x14ac:dyDescent="0.25">
      <c r="C18155" s="8" t="e">
        <f>VLOOKUP(A:A,'ITEM LIST'!A:C,3,0)</f>
        <v>#N/A</v>
      </c>
      <c r="D18155" s="6">
        <f t="shared" si="284"/>
        <v>0</v>
      </c>
    </row>
    <row r="18156" spans="3:4" ht="15" x14ac:dyDescent="0.25">
      <c r="C18156" s="8" t="e">
        <f>VLOOKUP(A:A,'ITEM LIST'!A:C,3,0)</f>
        <v>#N/A</v>
      </c>
      <c r="D18156" s="6">
        <f t="shared" si="284"/>
        <v>0</v>
      </c>
    </row>
    <row r="18157" spans="3:4" ht="15" x14ac:dyDescent="0.25">
      <c r="C18157" s="8" t="e">
        <f>VLOOKUP(A:A,'ITEM LIST'!A:C,3,0)</f>
        <v>#N/A</v>
      </c>
      <c r="D18157" s="6">
        <f t="shared" si="284"/>
        <v>0</v>
      </c>
    </row>
    <row r="18158" spans="3:4" ht="15" x14ac:dyDescent="0.25">
      <c r="C18158" s="8" t="e">
        <f>VLOOKUP(A:A,'ITEM LIST'!A:C,3,0)</f>
        <v>#N/A</v>
      </c>
      <c r="D18158" s="6">
        <f t="shared" si="284"/>
        <v>0</v>
      </c>
    </row>
    <row r="18159" spans="3:4" ht="15" x14ac:dyDescent="0.25">
      <c r="C18159" s="8" t="e">
        <f>VLOOKUP(A:A,'ITEM LIST'!A:C,3,0)</f>
        <v>#N/A</v>
      </c>
      <c r="D18159" s="6">
        <f t="shared" si="284"/>
        <v>0</v>
      </c>
    </row>
    <row r="18160" spans="3:4" ht="15" x14ac:dyDescent="0.25">
      <c r="C18160" s="8" t="e">
        <f>VLOOKUP(A:A,'ITEM LIST'!A:C,3,0)</f>
        <v>#N/A</v>
      </c>
      <c r="D18160" s="6">
        <f t="shared" si="284"/>
        <v>0</v>
      </c>
    </row>
    <row r="18161" spans="3:4" ht="15" x14ac:dyDescent="0.25">
      <c r="C18161" s="8" t="e">
        <f>VLOOKUP(A:A,'ITEM LIST'!A:C,3,0)</f>
        <v>#N/A</v>
      </c>
      <c r="D18161" s="6">
        <f t="shared" si="284"/>
        <v>0</v>
      </c>
    </row>
    <row r="18162" spans="3:4" ht="15" x14ac:dyDescent="0.25">
      <c r="C18162" s="8" t="e">
        <f>VLOOKUP(A:A,'ITEM LIST'!A:C,3,0)</f>
        <v>#N/A</v>
      </c>
      <c r="D18162" s="6">
        <f t="shared" si="284"/>
        <v>0</v>
      </c>
    </row>
    <row r="18163" spans="3:4" ht="15" x14ac:dyDescent="0.25">
      <c r="C18163" s="8" t="e">
        <f>VLOOKUP(A:A,'ITEM LIST'!A:C,3,0)</f>
        <v>#N/A</v>
      </c>
      <c r="D18163" s="6">
        <f t="shared" si="284"/>
        <v>0</v>
      </c>
    </row>
    <row r="18164" spans="3:4" ht="15" x14ac:dyDescent="0.25">
      <c r="C18164" s="8" t="e">
        <f>VLOOKUP(A:A,'ITEM LIST'!A:C,3,0)</f>
        <v>#N/A</v>
      </c>
      <c r="D18164" s="6">
        <f t="shared" si="284"/>
        <v>0</v>
      </c>
    </row>
    <row r="18165" spans="3:4" ht="15" x14ac:dyDescent="0.25">
      <c r="C18165" s="8" t="e">
        <f>VLOOKUP(A:A,'ITEM LIST'!A:C,3,0)</f>
        <v>#N/A</v>
      </c>
      <c r="D18165" s="6">
        <f t="shared" si="284"/>
        <v>0</v>
      </c>
    </row>
    <row r="18166" spans="3:4" ht="15" x14ac:dyDescent="0.25">
      <c r="C18166" s="8" t="e">
        <f>VLOOKUP(A:A,'ITEM LIST'!A:C,3,0)</f>
        <v>#N/A</v>
      </c>
      <c r="D18166" s="6">
        <f t="shared" si="284"/>
        <v>0</v>
      </c>
    </row>
    <row r="18167" spans="3:4" ht="15" x14ac:dyDescent="0.25">
      <c r="C18167" s="8" t="e">
        <f>VLOOKUP(A:A,'ITEM LIST'!A:C,3,0)</f>
        <v>#N/A</v>
      </c>
      <c r="D18167" s="6">
        <f t="shared" si="284"/>
        <v>0</v>
      </c>
    </row>
    <row r="18168" spans="3:4" ht="15" x14ac:dyDescent="0.25">
      <c r="C18168" s="8" t="e">
        <f>VLOOKUP(A:A,'ITEM LIST'!A:C,3,0)</f>
        <v>#N/A</v>
      </c>
      <c r="D18168" s="6">
        <f t="shared" si="284"/>
        <v>0</v>
      </c>
    </row>
    <row r="18169" spans="3:4" ht="15" x14ac:dyDescent="0.25">
      <c r="C18169" s="8" t="e">
        <f>VLOOKUP(A:A,'ITEM LIST'!A:C,3,0)</f>
        <v>#N/A</v>
      </c>
      <c r="D18169" s="6">
        <f t="shared" si="284"/>
        <v>0</v>
      </c>
    </row>
    <row r="18170" spans="3:4" ht="15" x14ac:dyDescent="0.25">
      <c r="C18170" s="8" t="e">
        <f>VLOOKUP(A:A,'ITEM LIST'!A:C,3,0)</f>
        <v>#N/A</v>
      </c>
      <c r="D18170" s="6">
        <f t="shared" si="284"/>
        <v>0</v>
      </c>
    </row>
    <row r="18171" spans="3:4" ht="15" x14ac:dyDescent="0.25">
      <c r="C18171" s="8" t="e">
        <f>VLOOKUP(A:A,'ITEM LIST'!A:C,3,0)</f>
        <v>#N/A</v>
      </c>
      <c r="D18171" s="6">
        <f t="shared" si="284"/>
        <v>0</v>
      </c>
    </row>
    <row r="18172" spans="3:4" ht="15" x14ac:dyDescent="0.25">
      <c r="C18172" s="8" t="e">
        <f>VLOOKUP(A:A,'ITEM LIST'!A:C,3,0)</f>
        <v>#N/A</v>
      </c>
      <c r="D18172" s="6">
        <f t="shared" si="284"/>
        <v>0</v>
      </c>
    </row>
    <row r="18173" spans="3:4" ht="15" x14ac:dyDescent="0.25">
      <c r="C18173" s="8" t="e">
        <f>VLOOKUP(A:A,'ITEM LIST'!A:C,3,0)</f>
        <v>#N/A</v>
      </c>
      <c r="D18173" s="6">
        <f t="shared" si="284"/>
        <v>0</v>
      </c>
    </row>
    <row r="18174" spans="3:4" ht="15" x14ac:dyDescent="0.25">
      <c r="C18174" s="8" t="e">
        <f>VLOOKUP(A:A,'ITEM LIST'!A:C,3,0)</f>
        <v>#N/A</v>
      </c>
      <c r="D18174" s="6">
        <f t="shared" si="284"/>
        <v>0</v>
      </c>
    </row>
    <row r="18175" spans="3:4" ht="15" x14ac:dyDescent="0.25">
      <c r="C18175" s="8" t="e">
        <f>VLOOKUP(A:A,'ITEM LIST'!A:C,3,0)</f>
        <v>#N/A</v>
      </c>
      <c r="D18175" s="6">
        <f t="shared" si="284"/>
        <v>0</v>
      </c>
    </row>
    <row r="18176" spans="3:4" ht="15" x14ac:dyDescent="0.25">
      <c r="C18176" s="8" t="e">
        <f>VLOOKUP(A:A,'ITEM LIST'!A:C,3,0)</f>
        <v>#N/A</v>
      </c>
      <c r="D18176" s="6">
        <f t="shared" si="284"/>
        <v>0</v>
      </c>
    </row>
    <row r="18177" spans="3:4" ht="15" x14ac:dyDescent="0.25">
      <c r="C18177" s="8" t="e">
        <f>VLOOKUP(A:A,'ITEM LIST'!A:C,3,0)</f>
        <v>#N/A</v>
      </c>
      <c r="D18177" s="6">
        <f t="shared" si="284"/>
        <v>0</v>
      </c>
    </row>
    <row r="18178" spans="3:4" ht="15" x14ac:dyDescent="0.25">
      <c r="C18178" s="8" t="e">
        <f>VLOOKUP(A:A,'ITEM LIST'!A:C,3,0)</f>
        <v>#N/A</v>
      </c>
      <c r="D18178" s="6">
        <f t="shared" si="284"/>
        <v>0</v>
      </c>
    </row>
    <row r="18179" spans="3:4" ht="15" x14ac:dyDescent="0.25">
      <c r="C18179" s="8" t="e">
        <f>VLOOKUP(A:A,'ITEM LIST'!A:C,3,0)</f>
        <v>#N/A</v>
      </c>
      <c r="D18179" s="6">
        <f t="shared" si="284"/>
        <v>0</v>
      </c>
    </row>
    <row r="18180" spans="3:4" ht="15" x14ac:dyDescent="0.25">
      <c r="C18180" s="8" t="e">
        <f>VLOOKUP(A:A,'ITEM LIST'!A:C,3,0)</f>
        <v>#N/A</v>
      </c>
      <c r="D18180" s="6">
        <f t="shared" si="284"/>
        <v>0</v>
      </c>
    </row>
    <row r="18181" spans="3:4" ht="15" x14ac:dyDescent="0.25">
      <c r="C18181" s="8" t="e">
        <f>VLOOKUP(A:A,'ITEM LIST'!A:C,3,0)</f>
        <v>#N/A</v>
      </c>
      <c r="D18181" s="6">
        <f t="shared" si="284"/>
        <v>0</v>
      </c>
    </row>
    <row r="18182" spans="3:4" ht="15" x14ac:dyDescent="0.25">
      <c r="C18182" s="8" t="e">
        <f>VLOOKUP(A:A,'ITEM LIST'!A:C,3,0)</f>
        <v>#N/A</v>
      </c>
      <c r="D18182" s="6">
        <f t="shared" ref="D18182:D18245" si="285">B18182</f>
        <v>0</v>
      </c>
    </row>
    <row r="18183" spans="3:4" ht="15" x14ac:dyDescent="0.25">
      <c r="C18183" s="8" t="e">
        <f>VLOOKUP(A:A,'ITEM LIST'!A:C,3,0)</f>
        <v>#N/A</v>
      </c>
      <c r="D18183" s="6">
        <f t="shared" si="285"/>
        <v>0</v>
      </c>
    </row>
    <row r="18184" spans="3:4" ht="15" x14ac:dyDescent="0.25">
      <c r="C18184" s="8" t="e">
        <f>VLOOKUP(A:A,'ITEM LIST'!A:C,3,0)</f>
        <v>#N/A</v>
      </c>
      <c r="D18184" s="6">
        <f t="shared" si="285"/>
        <v>0</v>
      </c>
    </row>
    <row r="18185" spans="3:4" ht="15" x14ac:dyDescent="0.25">
      <c r="C18185" s="8" t="e">
        <f>VLOOKUP(A:A,'ITEM LIST'!A:C,3,0)</f>
        <v>#N/A</v>
      </c>
      <c r="D18185" s="6">
        <f t="shared" si="285"/>
        <v>0</v>
      </c>
    </row>
    <row r="18186" spans="3:4" ht="15" x14ac:dyDescent="0.25">
      <c r="C18186" s="8" t="e">
        <f>VLOOKUP(A:A,'ITEM LIST'!A:C,3,0)</f>
        <v>#N/A</v>
      </c>
      <c r="D18186" s="6">
        <f t="shared" si="285"/>
        <v>0</v>
      </c>
    </row>
    <row r="18187" spans="3:4" ht="15" x14ac:dyDescent="0.25">
      <c r="C18187" s="8" t="e">
        <f>VLOOKUP(A:A,'ITEM LIST'!A:C,3,0)</f>
        <v>#N/A</v>
      </c>
      <c r="D18187" s="6">
        <f t="shared" si="285"/>
        <v>0</v>
      </c>
    </row>
    <row r="18188" spans="3:4" ht="15" x14ac:dyDescent="0.25">
      <c r="C18188" s="8" t="e">
        <f>VLOOKUP(A:A,'ITEM LIST'!A:C,3,0)</f>
        <v>#N/A</v>
      </c>
      <c r="D18188" s="6">
        <f t="shared" si="285"/>
        <v>0</v>
      </c>
    </row>
    <row r="18189" spans="3:4" ht="15" x14ac:dyDescent="0.25">
      <c r="C18189" s="8" t="e">
        <f>VLOOKUP(A:A,'ITEM LIST'!A:C,3,0)</f>
        <v>#N/A</v>
      </c>
      <c r="D18189" s="6">
        <f t="shared" si="285"/>
        <v>0</v>
      </c>
    </row>
    <row r="18190" spans="3:4" ht="15" x14ac:dyDescent="0.25">
      <c r="C18190" s="8" t="e">
        <f>VLOOKUP(A:A,'ITEM LIST'!A:C,3,0)</f>
        <v>#N/A</v>
      </c>
      <c r="D18190" s="6">
        <f t="shared" si="285"/>
        <v>0</v>
      </c>
    </row>
    <row r="18191" spans="3:4" ht="15" x14ac:dyDescent="0.25">
      <c r="C18191" s="8" t="e">
        <f>VLOOKUP(A:A,'ITEM LIST'!A:C,3,0)</f>
        <v>#N/A</v>
      </c>
      <c r="D18191" s="6">
        <f t="shared" si="285"/>
        <v>0</v>
      </c>
    </row>
    <row r="18192" spans="3:4" ht="15" x14ac:dyDescent="0.25">
      <c r="C18192" s="8" t="e">
        <f>VLOOKUP(A:A,'ITEM LIST'!A:C,3,0)</f>
        <v>#N/A</v>
      </c>
      <c r="D18192" s="6">
        <f t="shared" si="285"/>
        <v>0</v>
      </c>
    </row>
    <row r="18193" spans="3:4" ht="15" x14ac:dyDescent="0.25">
      <c r="C18193" s="8" t="e">
        <f>VLOOKUP(A:A,'ITEM LIST'!A:C,3,0)</f>
        <v>#N/A</v>
      </c>
      <c r="D18193" s="6">
        <f t="shared" si="285"/>
        <v>0</v>
      </c>
    </row>
    <row r="18194" spans="3:4" ht="15" x14ac:dyDescent="0.25">
      <c r="C18194" s="8" t="e">
        <f>VLOOKUP(A:A,'ITEM LIST'!A:C,3,0)</f>
        <v>#N/A</v>
      </c>
      <c r="D18194" s="6">
        <f t="shared" si="285"/>
        <v>0</v>
      </c>
    </row>
    <row r="18195" spans="3:4" ht="15" x14ac:dyDescent="0.25">
      <c r="C18195" s="8" t="e">
        <f>VLOOKUP(A:A,'ITEM LIST'!A:C,3,0)</f>
        <v>#N/A</v>
      </c>
      <c r="D18195" s="6">
        <f t="shared" si="285"/>
        <v>0</v>
      </c>
    </row>
    <row r="18196" spans="3:4" ht="15" x14ac:dyDescent="0.25">
      <c r="C18196" s="8" t="e">
        <f>VLOOKUP(A:A,'ITEM LIST'!A:C,3,0)</f>
        <v>#N/A</v>
      </c>
      <c r="D18196" s="6">
        <f t="shared" si="285"/>
        <v>0</v>
      </c>
    </row>
    <row r="18197" spans="3:4" ht="15" x14ac:dyDescent="0.25">
      <c r="C18197" s="8" t="e">
        <f>VLOOKUP(A:A,'ITEM LIST'!A:C,3,0)</f>
        <v>#N/A</v>
      </c>
      <c r="D18197" s="6">
        <f t="shared" si="285"/>
        <v>0</v>
      </c>
    </row>
    <row r="18198" spans="3:4" ht="15" x14ac:dyDescent="0.25">
      <c r="C18198" s="8" t="e">
        <f>VLOOKUP(A:A,'ITEM LIST'!A:C,3,0)</f>
        <v>#N/A</v>
      </c>
      <c r="D18198" s="6">
        <f t="shared" si="285"/>
        <v>0</v>
      </c>
    </row>
    <row r="18199" spans="3:4" ht="15" x14ac:dyDescent="0.25">
      <c r="C18199" s="8" t="e">
        <f>VLOOKUP(A:A,'ITEM LIST'!A:C,3,0)</f>
        <v>#N/A</v>
      </c>
      <c r="D18199" s="6">
        <f t="shared" si="285"/>
        <v>0</v>
      </c>
    </row>
    <row r="18200" spans="3:4" ht="15" x14ac:dyDescent="0.25">
      <c r="C18200" s="8" t="e">
        <f>VLOOKUP(A:A,'ITEM LIST'!A:C,3,0)</f>
        <v>#N/A</v>
      </c>
      <c r="D18200" s="6">
        <f t="shared" si="285"/>
        <v>0</v>
      </c>
    </row>
    <row r="18201" spans="3:4" ht="15" x14ac:dyDescent="0.25">
      <c r="C18201" s="8" t="e">
        <f>VLOOKUP(A:A,'ITEM LIST'!A:C,3,0)</f>
        <v>#N/A</v>
      </c>
      <c r="D18201" s="6">
        <f t="shared" si="285"/>
        <v>0</v>
      </c>
    </row>
    <row r="18202" spans="3:4" ht="15" x14ac:dyDescent="0.25">
      <c r="C18202" s="8" t="e">
        <f>VLOOKUP(A:A,'ITEM LIST'!A:C,3,0)</f>
        <v>#N/A</v>
      </c>
      <c r="D18202" s="6">
        <f t="shared" si="285"/>
        <v>0</v>
      </c>
    </row>
    <row r="18203" spans="3:4" ht="15" x14ac:dyDescent="0.25">
      <c r="C18203" s="8" t="e">
        <f>VLOOKUP(A:A,'ITEM LIST'!A:C,3,0)</f>
        <v>#N/A</v>
      </c>
      <c r="D18203" s="6">
        <f t="shared" si="285"/>
        <v>0</v>
      </c>
    </row>
    <row r="18204" spans="3:4" ht="15" x14ac:dyDescent="0.25">
      <c r="C18204" s="8" t="e">
        <f>VLOOKUP(A:A,'ITEM LIST'!A:C,3,0)</f>
        <v>#N/A</v>
      </c>
      <c r="D18204" s="6">
        <f t="shared" si="285"/>
        <v>0</v>
      </c>
    </row>
    <row r="18205" spans="3:4" ht="15" x14ac:dyDescent="0.25">
      <c r="C18205" s="8" t="e">
        <f>VLOOKUP(A:A,'ITEM LIST'!A:C,3,0)</f>
        <v>#N/A</v>
      </c>
      <c r="D18205" s="6">
        <f t="shared" si="285"/>
        <v>0</v>
      </c>
    </row>
    <row r="18206" spans="3:4" ht="15" x14ac:dyDescent="0.25">
      <c r="C18206" s="8" t="e">
        <f>VLOOKUP(A:A,'ITEM LIST'!A:C,3,0)</f>
        <v>#N/A</v>
      </c>
      <c r="D18206" s="6">
        <f t="shared" si="285"/>
        <v>0</v>
      </c>
    </row>
    <row r="18207" spans="3:4" ht="15" x14ac:dyDescent="0.25">
      <c r="C18207" s="8" t="e">
        <f>VLOOKUP(A:A,'ITEM LIST'!A:C,3,0)</f>
        <v>#N/A</v>
      </c>
      <c r="D18207" s="6">
        <f t="shared" si="285"/>
        <v>0</v>
      </c>
    </row>
    <row r="18208" spans="3:4" ht="15" x14ac:dyDescent="0.25">
      <c r="C18208" s="8" t="e">
        <f>VLOOKUP(A:A,'ITEM LIST'!A:C,3,0)</f>
        <v>#N/A</v>
      </c>
      <c r="D18208" s="6">
        <f t="shared" si="285"/>
        <v>0</v>
      </c>
    </row>
    <row r="18209" spans="3:4" ht="15" x14ac:dyDescent="0.25">
      <c r="C18209" s="8" t="e">
        <f>VLOOKUP(A:A,'ITEM LIST'!A:C,3,0)</f>
        <v>#N/A</v>
      </c>
      <c r="D18209" s="6">
        <f t="shared" si="285"/>
        <v>0</v>
      </c>
    </row>
    <row r="18210" spans="3:4" ht="15" x14ac:dyDescent="0.25">
      <c r="C18210" s="8" t="e">
        <f>VLOOKUP(A:A,'ITEM LIST'!A:C,3,0)</f>
        <v>#N/A</v>
      </c>
      <c r="D18210" s="6">
        <f t="shared" si="285"/>
        <v>0</v>
      </c>
    </row>
    <row r="18211" spans="3:4" ht="15" x14ac:dyDescent="0.25">
      <c r="C18211" s="8" t="e">
        <f>VLOOKUP(A:A,'ITEM LIST'!A:C,3,0)</f>
        <v>#N/A</v>
      </c>
      <c r="D18211" s="6">
        <f t="shared" si="285"/>
        <v>0</v>
      </c>
    </row>
    <row r="18212" spans="3:4" ht="15" x14ac:dyDescent="0.25">
      <c r="C18212" s="8" t="e">
        <f>VLOOKUP(A:A,'ITEM LIST'!A:C,3,0)</f>
        <v>#N/A</v>
      </c>
      <c r="D18212" s="6">
        <f t="shared" si="285"/>
        <v>0</v>
      </c>
    </row>
    <row r="18213" spans="3:4" ht="15" x14ac:dyDescent="0.25">
      <c r="C18213" s="8" t="e">
        <f>VLOOKUP(A:A,'ITEM LIST'!A:C,3,0)</f>
        <v>#N/A</v>
      </c>
      <c r="D18213" s="6">
        <f t="shared" si="285"/>
        <v>0</v>
      </c>
    </row>
    <row r="18214" spans="3:4" ht="15" x14ac:dyDescent="0.25">
      <c r="C18214" s="8" t="e">
        <f>VLOOKUP(A:A,'ITEM LIST'!A:C,3,0)</f>
        <v>#N/A</v>
      </c>
      <c r="D18214" s="6">
        <f t="shared" si="285"/>
        <v>0</v>
      </c>
    </row>
    <row r="18215" spans="3:4" ht="15" x14ac:dyDescent="0.25">
      <c r="C18215" s="8" t="e">
        <f>VLOOKUP(A:A,'ITEM LIST'!A:C,3,0)</f>
        <v>#N/A</v>
      </c>
      <c r="D18215" s="6">
        <f t="shared" si="285"/>
        <v>0</v>
      </c>
    </row>
    <row r="18216" spans="3:4" ht="15" x14ac:dyDescent="0.25">
      <c r="C18216" s="8" t="e">
        <f>VLOOKUP(A:A,'ITEM LIST'!A:C,3,0)</f>
        <v>#N/A</v>
      </c>
      <c r="D18216" s="6">
        <f t="shared" si="285"/>
        <v>0</v>
      </c>
    </row>
    <row r="18217" spans="3:4" ht="15" x14ac:dyDescent="0.25">
      <c r="C18217" s="8" t="e">
        <f>VLOOKUP(A:A,'ITEM LIST'!A:C,3,0)</f>
        <v>#N/A</v>
      </c>
      <c r="D18217" s="6">
        <f t="shared" si="285"/>
        <v>0</v>
      </c>
    </row>
    <row r="18218" spans="3:4" ht="15" x14ac:dyDescent="0.25">
      <c r="C18218" s="8" t="e">
        <f>VLOOKUP(A:A,'ITEM LIST'!A:C,3,0)</f>
        <v>#N/A</v>
      </c>
      <c r="D18218" s="6">
        <f t="shared" si="285"/>
        <v>0</v>
      </c>
    </row>
    <row r="18219" spans="3:4" ht="15" x14ac:dyDescent="0.25">
      <c r="C18219" s="8" t="e">
        <f>VLOOKUP(A:A,'ITEM LIST'!A:C,3,0)</f>
        <v>#N/A</v>
      </c>
      <c r="D18219" s="6">
        <f t="shared" si="285"/>
        <v>0</v>
      </c>
    </row>
    <row r="18220" spans="3:4" ht="15" x14ac:dyDescent="0.25">
      <c r="C18220" s="8" t="e">
        <f>VLOOKUP(A:A,'ITEM LIST'!A:C,3,0)</f>
        <v>#N/A</v>
      </c>
      <c r="D18220" s="6">
        <f t="shared" si="285"/>
        <v>0</v>
      </c>
    </row>
    <row r="18221" spans="3:4" ht="15" x14ac:dyDescent="0.25">
      <c r="C18221" s="8" t="e">
        <f>VLOOKUP(A:A,'ITEM LIST'!A:C,3,0)</f>
        <v>#N/A</v>
      </c>
      <c r="D18221" s="6">
        <f t="shared" si="285"/>
        <v>0</v>
      </c>
    </row>
    <row r="18222" spans="3:4" ht="15" x14ac:dyDescent="0.25">
      <c r="C18222" s="8" t="e">
        <f>VLOOKUP(A:A,'ITEM LIST'!A:C,3,0)</f>
        <v>#N/A</v>
      </c>
      <c r="D18222" s="6">
        <f t="shared" si="285"/>
        <v>0</v>
      </c>
    </row>
    <row r="18223" spans="3:4" ht="15" x14ac:dyDescent="0.25">
      <c r="C18223" s="8" t="e">
        <f>VLOOKUP(A:A,'ITEM LIST'!A:C,3,0)</f>
        <v>#N/A</v>
      </c>
      <c r="D18223" s="6">
        <f t="shared" si="285"/>
        <v>0</v>
      </c>
    </row>
    <row r="18224" spans="3:4" ht="15" x14ac:dyDescent="0.25">
      <c r="C18224" s="8" t="e">
        <f>VLOOKUP(A:A,'ITEM LIST'!A:C,3,0)</f>
        <v>#N/A</v>
      </c>
      <c r="D18224" s="6">
        <f t="shared" si="285"/>
        <v>0</v>
      </c>
    </row>
    <row r="18225" spans="3:4" ht="15" x14ac:dyDescent="0.25">
      <c r="C18225" s="8" t="e">
        <f>VLOOKUP(A:A,'ITEM LIST'!A:C,3,0)</f>
        <v>#N/A</v>
      </c>
      <c r="D18225" s="6">
        <f t="shared" si="285"/>
        <v>0</v>
      </c>
    </row>
    <row r="18226" spans="3:4" ht="15" x14ac:dyDescent="0.25">
      <c r="C18226" s="8" t="e">
        <f>VLOOKUP(A:A,'ITEM LIST'!A:C,3,0)</f>
        <v>#N/A</v>
      </c>
      <c r="D18226" s="6">
        <f t="shared" si="285"/>
        <v>0</v>
      </c>
    </row>
    <row r="18227" spans="3:4" ht="15" x14ac:dyDescent="0.25">
      <c r="C18227" s="8" t="e">
        <f>VLOOKUP(A:A,'ITEM LIST'!A:C,3,0)</f>
        <v>#N/A</v>
      </c>
      <c r="D18227" s="6">
        <f t="shared" si="285"/>
        <v>0</v>
      </c>
    </row>
    <row r="18228" spans="3:4" ht="15" x14ac:dyDescent="0.25">
      <c r="C18228" s="8" t="e">
        <f>VLOOKUP(A:A,'ITEM LIST'!A:C,3,0)</f>
        <v>#N/A</v>
      </c>
      <c r="D18228" s="6">
        <f t="shared" si="285"/>
        <v>0</v>
      </c>
    </row>
    <row r="18229" spans="3:4" ht="15" x14ac:dyDescent="0.25">
      <c r="C18229" s="8" t="e">
        <f>VLOOKUP(A:A,'ITEM LIST'!A:C,3,0)</f>
        <v>#N/A</v>
      </c>
      <c r="D18229" s="6">
        <f t="shared" si="285"/>
        <v>0</v>
      </c>
    </row>
    <row r="18230" spans="3:4" ht="15" x14ac:dyDescent="0.25">
      <c r="C18230" s="8" t="e">
        <f>VLOOKUP(A:A,'ITEM LIST'!A:C,3,0)</f>
        <v>#N/A</v>
      </c>
      <c r="D18230" s="6">
        <f t="shared" si="285"/>
        <v>0</v>
      </c>
    </row>
    <row r="18231" spans="3:4" ht="15" x14ac:dyDescent="0.25">
      <c r="C18231" s="8" t="e">
        <f>VLOOKUP(A:A,'ITEM LIST'!A:C,3,0)</f>
        <v>#N/A</v>
      </c>
      <c r="D18231" s="6">
        <f t="shared" si="285"/>
        <v>0</v>
      </c>
    </row>
    <row r="18232" spans="3:4" ht="15" x14ac:dyDescent="0.25">
      <c r="C18232" s="8" t="e">
        <f>VLOOKUP(A:A,'ITEM LIST'!A:C,3,0)</f>
        <v>#N/A</v>
      </c>
      <c r="D18232" s="6">
        <f t="shared" si="285"/>
        <v>0</v>
      </c>
    </row>
    <row r="18233" spans="3:4" ht="15" x14ac:dyDescent="0.25">
      <c r="C18233" s="8" t="e">
        <f>VLOOKUP(A:A,'ITEM LIST'!A:C,3,0)</f>
        <v>#N/A</v>
      </c>
      <c r="D18233" s="6">
        <f t="shared" si="285"/>
        <v>0</v>
      </c>
    </row>
    <row r="18234" spans="3:4" ht="15" x14ac:dyDescent="0.25">
      <c r="C18234" s="8" t="e">
        <f>VLOOKUP(A:A,'ITEM LIST'!A:C,3,0)</f>
        <v>#N/A</v>
      </c>
      <c r="D18234" s="6">
        <f t="shared" si="285"/>
        <v>0</v>
      </c>
    </row>
    <row r="18235" spans="3:4" ht="15" x14ac:dyDescent="0.25">
      <c r="C18235" s="8" t="e">
        <f>VLOOKUP(A:A,'ITEM LIST'!A:C,3,0)</f>
        <v>#N/A</v>
      </c>
      <c r="D18235" s="6">
        <f t="shared" si="285"/>
        <v>0</v>
      </c>
    </row>
    <row r="18236" spans="3:4" ht="15" x14ac:dyDescent="0.25">
      <c r="C18236" s="8" t="e">
        <f>VLOOKUP(A:A,'ITEM LIST'!A:C,3,0)</f>
        <v>#N/A</v>
      </c>
      <c r="D18236" s="6">
        <f t="shared" si="285"/>
        <v>0</v>
      </c>
    </row>
    <row r="18237" spans="3:4" ht="15" x14ac:dyDescent="0.25">
      <c r="C18237" s="8" t="e">
        <f>VLOOKUP(A:A,'ITEM LIST'!A:C,3,0)</f>
        <v>#N/A</v>
      </c>
      <c r="D18237" s="6">
        <f t="shared" si="285"/>
        <v>0</v>
      </c>
    </row>
    <row r="18238" spans="3:4" ht="15" x14ac:dyDescent="0.25">
      <c r="C18238" s="8" t="e">
        <f>VLOOKUP(A:A,'ITEM LIST'!A:C,3,0)</f>
        <v>#N/A</v>
      </c>
      <c r="D18238" s="6">
        <f t="shared" si="285"/>
        <v>0</v>
      </c>
    </row>
    <row r="18239" spans="3:4" ht="15" x14ac:dyDescent="0.25">
      <c r="C18239" s="8" t="e">
        <f>VLOOKUP(A:A,'ITEM LIST'!A:C,3,0)</f>
        <v>#N/A</v>
      </c>
      <c r="D18239" s="6">
        <f t="shared" si="285"/>
        <v>0</v>
      </c>
    </row>
    <row r="18240" spans="3:4" ht="15" x14ac:dyDescent="0.25">
      <c r="C18240" s="8" t="e">
        <f>VLOOKUP(A:A,'ITEM LIST'!A:C,3,0)</f>
        <v>#N/A</v>
      </c>
      <c r="D18240" s="6">
        <f t="shared" si="285"/>
        <v>0</v>
      </c>
    </row>
    <row r="18241" spans="3:4" ht="15" x14ac:dyDescent="0.25">
      <c r="C18241" s="8" t="e">
        <f>VLOOKUP(A:A,'ITEM LIST'!A:C,3,0)</f>
        <v>#N/A</v>
      </c>
      <c r="D18241" s="6">
        <f t="shared" si="285"/>
        <v>0</v>
      </c>
    </row>
    <row r="18242" spans="3:4" ht="15" x14ac:dyDescent="0.25">
      <c r="C18242" s="8" t="e">
        <f>VLOOKUP(A:A,'ITEM LIST'!A:C,3,0)</f>
        <v>#N/A</v>
      </c>
      <c r="D18242" s="6">
        <f t="shared" si="285"/>
        <v>0</v>
      </c>
    </row>
    <row r="18243" spans="3:4" ht="15" x14ac:dyDescent="0.25">
      <c r="C18243" s="8" t="e">
        <f>VLOOKUP(A:A,'ITEM LIST'!A:C,3,0)</f>
        <v>#N/A</v>
      </c>
      <c r="D18243" s="6">
        <f t="shared" si="285"/>
        <v>0</v>
      </c>
    </row>
    <row r="18244" spans="3:4" ht="15" x14ac:dyDescent="0.25">
      <c r="C18244" s="8" t="e">
        <f>VLOOKUP(A:A,'ITEM LIST'!A:C,3,0)</f>
        <v>#N/A</v>
      </c>
      <c r="D18244" s="6">
        <f t="shared" si="285"/>
        <v>0</v>
      </c>
    </row>
    <row r="18245" spans="3:4" ht="15" x14ac:dyDescent="0.25">
      <c r="C18245" s="8" t="e">
        <f>VLOOKUP(A:A,'ITEM LIST'!A:C,3,0)</f>
        <v>#N/A</v>
      </c>
      <c r="D18245" s="6">
        <f t="shared" si="285"/>
        <v>0</v>
      </c>
    </row>
    <row r="18246" spans="3:4" ht="15" x14ac:dyDescent="0.25">
      <c r="C18246" s="8" t="e">
        <f>VLOOKUP(A:A,'ITEM LIST'!A:C,3,0)</f>
        <v>#N/A</v>
      </c>
      <c r="D18246" s="6">
        <f t="shared" ref="D18246:D18309" si="286">B18246</f>
        <v>0</v>
      </c>
    </row>
    <row r="18247" spans="3:4" ht="15" x14ac:dyDescent="0.25">
      <c r="C18247" s="8" t="e">
        <f>VLOOKUP(A:A,'ITEM LIST'!A:C,3,0)</f>
        <v>#N/A</v>
      </c>
      <c r="D18247" s="6">
        <f t="shared" si="286"/>
        <v>0</v>
      </c>
    </row>
    <row r="18248" spans="3:4" ht="15" x14ac:dyDescent="0.25">
      <c r="C18248" s="8" t="e">
        <f>VLOOKUP(A:A,'ITEM LIST'!A:C,3,0)</f>
        <v>#N/A</v>
      </c>
      <c r="D18248" s="6">
        <f t="shared" si="286"/>
        <v>0</v>
      </c>
    </row>
    <row r="18249" spans="3:4" ht="15" x14ac:dyDescent="0.25">
      <c r="C18249" s="8" t="e">
        <f>VLOOKUP(A:A,'ITEM LIST'!A:C,3,0)</f>
        <v>#N/A</v>
      </c>
      <c r="D18249" s="6">
        <f t="shared" si="286"/>
        <v>0</v>
      </c>
    </row>
    <row r="18250" spans="3:4" ht="15" x14ac:dyDescent="0.25">
      <c r="C18250" s="8" t="e">
        <f>VLOOKUP(A:A,'ITEM LIST'!A:C,3,0)</f>
        <v>#N/A</v>
      </c>
      <c r="D18250" s="6">
        <f t="shared" si="286"/>
        <v>0</v>
      </c>
    </row>
    <row r="18251" spans="3:4" ht="15" x14ac:dyDescent="0.25">
      <c r="C18251" s="8" t="e">
        <f>VLOOKUP(A:A,'ITEM LIST'!A:C,3,0)</f>
        <v>#N/A</v>
      </c>
      <c r="D18251" s="6">
        <f t="shared" si="286"/>
        <v>0</v>
      </c>
    </row>
    <row r="18252" spans="3:4" ht="15" x14ac:dyDescent="0.25">
      <c r="C18252" s="8" t="e">
        <f>VLOOKUP(A:A,'ITEM LIST'!A:C,3,0)</f>
        <v>#N/A</v>
      </c>
      <c r="D18252" s="6">
        <f t="shared" si="286"/>
        <v>0</v>
      </c>
    </row>
    <row r="18253" spans="3:4" ht="15" x14ac:dyDescent="0.25">
      <c r="C18253" s="8" t="e">
        <f>VLOOKUP(A:A,'ITEM LIST'!A:C,3,0)</f>
        <v>#N/A</v>
      </c>
      <c r="D18253" s="6">
        <f t="shared" si="286"/>
        <v>0</v>
      </c>
    </row>
    <row r="18254" spans="3:4" ht="15" x14ac:dyDescent="0.25">
      <c r="C18254" s="8" t="e">
        <f>VLOOKUP(A:A,'ITEM LIST'!A:C,3,0)</f>
        <v>#N/A</v>
      </c>
      <c r="D18254" s="6">
        <f t="shared" si="286"/>
        <v>0</v>
      </c>
    </row>
    <row r="18255" spans="3:4" ht="15" x14ac:dyDescent="0.25">
      <c r="C18255" s="8" t="e">
        <f>VLOOKUP(A:A,'ITEM LIST'!A:C,3,0)</f>
        <v>#N/A</v>
      </c>
      <c r="D18255" s="6">
        <f t="shared" si="286"/>
        <v>0</v>
      </c>
    </row>
    <row r="18256" spans="3:4" ht="15" x14ac:dyDescent="0.25">
      <c r="C18256" s="8" t="e">
        <f>VLOOKUP(A:A,'ITEM LIST'!A:C,3,0)</f>
        <v>#N/A</v>
      </c>
      <c r="D18256" s="6">
        <f t="shared" si="286"/>
        <v>0</v>
      </c>
    </row>
    <row r="18257" spans="3:4" ht="15" x14ac:dyDescent="0.25">
      <c r="C18257" s="8" t="e">
        <f>VLOOKUP(A:A,'ITEM LIST'!A:C,3,0)</f>
        <v>#N/A</v>
      </c>
      <c r="D18257" s="6">
        <f t="shared" si="286"/>
        <v>0</v>
      </c>
    </row>
    <row r="18258" spans="3:4" ht="15" x14ac:dyDescent="0.25">
      <c r="C18258" s="8" t="e">
        <f>VLOOKUP(A:A,'ITEM LIST'!A:C,3,0)</f>
        <v>#N/A</v>
      </c>
      <c r="D18258" s="6">
        <f t="shared" si="286"/>
        <v>0</v>
      </c>
    </row>
    <row r="18259" spans="3:4" ht="15" x14ac:dyDescent="0.25">
      <c r="C18259" s="8" t="e">
        <f>VLOOKUP(A:A,'ITEM LIST'!A:C,3,0)</f>
        <v>#N/A</v>
      </c>
      <c r="D18259" s="6">
        <f t="shared" si="286"/>
        <v>0</v>
      </c>
    </row>
    <row r="18260" spans="3:4" ht="15" x14ac:dyDescent="0.25">
      <c r="C18260" s="8" t="e">
        <f>VLOOKUP(A:A,'ITEM LIST'!A:C,3,0)</f>
        <v>#N/A</v>
      </c>
      <c r="D18260" s="6">
        <f t="shared" si="286"/>
        <v>0</v>
      </c>
    </row>
    <row r="18261" spans="3:4" ht="15" x14ac:dyDescent="0.25">
      <c r="C18261" s="8" t="e">
        <f>VLOOKUP(A:A,'ITEM LIST'!A:C,3,0)</f>
        <v>#N/A</v>
      </c>
      <c r="D18261" s="6">
        <f t="shared" si="286"/>
        <v>0</v>
      </c>
    </row>
    <row r="18262" spans="3:4" ht="15" x14ac:dyDescent="0.25">
      <c r="C18262" s="8" t="e">
        <f>VLOOKUP(A:A,'ITEM LIST'!A:C,3,0)</f>
        <v>#N/A</v>
      </c>
      <c r="D18262" s="6">
        <f t="shared" si="286"/>
        <v>0</v>
      </c>
    </row>
    <row r="18263" spans="3:4" ht="15" x14ac:dyDescent="0.25">
      <c r="C18263" s="8" t="e">
        <f>VLOOKUP(A:A,'ITEM LIST'!A:C,3,0)</f>
        <v>#N/A</v>
      </c>
      <c r="D18263" s="6">
        <f t="shared" si="286"/>
        <v>0</v>
      </c>
    </row>
    <row r="18264" spans="3:4" ht="15" x14ac:dyDescent="0.25">
      <c r="C18264" s="8" t="e">
        <f>VLOOKUP(A:A,'ITEM LIST'!A:C,3,0)</f>
        <v>#N/A</v>
      </c>
      <c r="D18264" s="6">
        <f t="shared" si="286"/>
        <v>0</v>
      </c>
    </row>
    <row r="18265" spans="3:4" ht="15" x14ac:dyDescent="0.25">
      <c r="C18265" s="8" t="e">
        <f>VLOOKUP(A:A,'ITEM LIST'!A:C,3,0)</f>
        <v>#N/A</v>
      </c>
      <c r="D18265" s="6">
        <f t="shared" si="286"/>
        <v>0</v>
      </c>
    </row>
    <row r="18266" spans="3:4" ht="15" x14ac:dyDescent="0.25">
      <c r="C18266" s="8" t="e">
        <f>VLOOKUP(A:A,'ITEM LIST'!A:C,3,0)</f>
        <v>#N/A</v>
      </c>
      <c r="D18266" s="6">
        <f t="shared" si="286"/>
        <v>0</v>
      </c>
    </row>
    <row r="18267" spans="3:4" ht="15" x14ac:dyDescent="0.25">
      <c r="C18267" s="8" t="e">
        <f>VLOOKUP(A:A,'ITEM LIST'!A:C,3,0)</f>
        <v>#N/A</v>
      </c>
      <c r="D18267" s="6">
        <f t="shared" si="286"/>
        <v>0</v>
      </c>
    </row>
    <row r="18268" spans="3:4" ht="15" x14ac:dyDescent="0.25">
      <c r="C18268" s="8" t="e">
        <f>VLOOKUP(A:A,'ITEM LIST'!A:C,3,0)</f>
        <v>#N/A</v>
      </c>
      <c r="D18268" s="6">
        <f t="shared" si="286"/>
        <v>0</v>
      </c>
    </row>
    <row r="18269" spans="3:4" ht="15" x14ac:dyDescent="0.25">
      <c r="C18269" s="8" t="e">
        <f>VLOOKUP(A:A,'ITEM LIST'!A:C,3,0)</f>
        <v>#N/A</v>
      </c>
      <c r="D18269" s="6">
        <f t="shared" si="286"/>
        <v>0</v>
      </c>
    </row>
    <row r="18270" spans="3:4" ht="15" x14ac:dyDescent="0.25">
      <c r="C18270" s="8" t="e">
        <f>VLOOKUP(A:A,'ITEM LIST'!A:C,3,0)</f>
        <v>#N/A</v>
      </c>
      <c r="D18270" s="6">
        <f t="shared" si="286"/>
        <v>0</v>
      </c>
    </row>
    <row r="18271" spans="3:4" ht="15" x14ac:dyDescent="0.25">
      <c r="C18271" s="8" t="e">
        <f>VLOOKUP(A:A,'ITEM LIST'!A:C,3,0)</f>
        <v>#N/A</v>
      </c>
      <c r="D18271" s="6">
        <f t="shared" si="286"/>
        <v>0</v>
      </c>
    </row>
    <row r="18272" spans="3:4" ht="15" x14ac:dyDescent="0.25">
      <c r="C18272" s="8" t="e">
        <f>VLOOKUP(A:A,'ITEM LIST'!A:C,3,0)</f>
        <v>#N/A</v>
      </c>
      <c r="D18272" s="6">
        <f t="shared" si="286"/>
        <v>0</v>
      </c>
    </row>
    <row r="18273" spans="3:4" ht="15" x14ac:dyDescent="0.25">
      <c r="C18273" s="8" t="e">
        <f>VLOOKUP(A:A,'ITEM LIST'!A:C,3,0)</f>
        <v>#N/A</v>
      </c>
      <c r="D18273" s="6">
        <f t="shared" si="286"/>
        <v>0</v>
      </c>
    </row>
    <row r="18274" spans="3:4" ht="15" x14ac:dyDescent="0.25">
      <c r="C18274" s="8" t="e">
        <f>VLOOKUP(A:A,'ITEM LIST'!A:C,3,0)</f>
        <v>#N/A</v>
      </c>
      <c r="D18274" s="6">
        <f t="shared" si="286"/>
        <v>0</v>
      </c>
    </row>
    <row r="18275" spans="3:4" ht="15" x14ac:dyDescent="0.25">
      <c r="C18275" s="8" t="e">
        <f>VLOOKUP(A:A,'ITEM LIST'!A:C,3,0)</f>
        <v>#N/A</v>
      </c>
      <c r="D18275" s="6">
        <f t="shared" si="286"/>
        <v>0</v>
      </c>
    </row>
    <row r="18276" spans="3:4" ht="15" x14ac:dyDescent="0.25">
      <c r="C18276" s="8" t="e">
        <f>VLOOKUP(A:A,'ITEM LIST'!A:C,3,0)</f>
        <v>#N/A</v>
      </c>
      <c r="D18276" s="6">
        <f t="shared" si="286"/>
        <v>0</v>
      </c>
    </row>
    <row r="18277" spans="3:4" ht="15" x14ac:dyDescent="0.25">
      <c r="C18277" s="8" t="e">
        <f>VLOOKUP(A:A,'ITEM LIST'!A:C,3,0)</f>
        <v>#N/A</v>
      </c>
      <c r="D18277" s="6">
        <f t="shared" si="286"/>
        <v>0</v>
      </c>
    </row>
    <row r="18278" spans="3:4" ht="15" x14ac:dyDescent="0.25">
      <c r="C18278" s="8" t="e">
        <f>VLOOKUP(A:A,'ITEM LIST'!A:C,3,0)</f>
        <v>#N/A</v>
      </c>
      <c r="D18278" s="6">
        <f t="shared" si="286"/>
        <v>0</v>
      </c>
    </row>
    <row r="18279" spans="3:4" ht="15" x14ac:dyDescent="0.25">
      <c r="C18279" s="8" t="e">
        <f>VLOOKUP(A:A,'ITEM LIST'!A:C,3,0)</f>
        <v>#N/A</v>
      </c>
      <c r="D18279" s="6">
        <f t="shared" si="286"/>
        <v>0</v>
      </c>
    </row>
    <row r="18280" spans="3:4" ht="15" x14ac:dyDescent="0.25">
      <c r="C18280" s="8" t="e">
        <f>VLOOKUP(A:A,'ITEM LIST'!A:C,3,0)</f>
        <v>#N/A</v>
      </c>
      <c r="D18280" s="6">
        <f t="shared" si="286"/>
        <v>0</v>
      </c>
    </row>
    <row r="18281" spans="3:4" ht="15" x14ac:dyDescent="0.25">
      <c r="C18281" s="8" t="e">
        <f>VLOOKUP(A:A,'ITEM LIST'!A:C,3,0)</f>
        <v>#N/A</v>
      </c>
      <c r="D18281" s="6">
        <f t="shared" si="286"/>
        <v>0</v>
      </c>
    </row>
    <row r="18282" spans="3:4" ht="15" x14ac:dyDescent="0.25">
      <c r="C18282" s="8" t="e">
        <f>VLOOKUP(A:A,'ITEM LIST'!A:C,3,0)</f>
        <v>#N/A</v>
      </c>
      <c r="D18282" s="6">
        <f t="shared" si="286"/>
        <v>0</v>
      </c>
    </row>
    <row r="18283" spans="3:4" ht="15" x14ac:dyDescent="0.25">
      <c r="C18283" s="8" t="e">
        <f>VLOOKUP(A:A,'ITEM LIST'!A:C,3,0)</f>
        <v>#N/A</v>
      </c>
      <c r="D18283" s="6">
        <f t="shared" si="286"/>
        <v>0</v>
      </c>
    </row>
    <row r="18284" spans="3:4" ht="15" x14ac:dyDescent="0.25">
      <c r="C18284" s="8" t="e">
        <f>VLOOKUP(A:A,'ITEM LIST'!A:C,3,0)</f>
        <v>#N/A</v>
      </c>
      <c r="D18284" s="6">
        <f t="shared" si="286"/>
        <v>0</v>
      </c>
    </row>
    <row r="18285" spans="3:4" ht="15" x14ac:dyDescent="0.25">
      <c r="C18285" s="8" t="e">
        <f>VLOOKUP(A:A,'ITEM LIST'!A:C,3,0)</f>
        <v>#N/A</v>
      </c>
      <c r="D18285" s="6">
        <f t="shared" si="286"/>
        <v>0</v>
      </c>
    </row>
    <row r="18286" spans="3:4" ht="15" x14ac:dyDescent="0.25">
      <c r="C18286" s="8" t="e">
        <f>VLOOKUP(A:A,'ITEM LIST'!A:C,3,0)</f>
        <v>#N/A</v>
      </c>
      <c r="D18286" s="6">
        <f t="shared" si="286"/>
        <v>0</v>
      </c>
    </row>
    <row r="18287" spans="3:4" ht="15" x14ac:dyDescent="0.25">
      <c r="C18287" s="8" t="e">
        <f>VLOOKUP(A:A,'ITEM LIST'!A:C,3,0)</f>
        <v>#N/A</v>
      </c>
      <c r="D18287" s="6">
        <f t="shared" si="286"/>
        <v>0</v>
      </c>
    </row>
    <row r="18288" spans="3:4" ht="15" x14ac:dyDescent="0.25">
      <c r="C18288" s="8" t="e">
        <f>VLOOKUP(A:A,'ITEM LIST'!A:C,3,0)</f>
        <v>#N/A</v>
      </c>
      <c r="D18288" s="6">
        <f t="shared" si="286"/>
        <v>0</v>
      </c>
    </row>
    <row r="18289" spans="3:4" ht="15" x14ac:dyDescent="0.25">
      <c r="C18289" s="8" t="e">
        <f>VLOOKUP(A:A,'ITEM LIST'!A:C,3,0)</f>
        <v>#N/A</v>
      </c>
      <c r="D18289" s="6">
        <f t="shared" si="286"/>
        <v>0</v>
      </c>
    </row>
    <row r="18290" spans="3:4" ht="15" x14ac:dyDescent="0.25">
      <c r="C18290" s="8" t="e">
        <f>VLOOKUP(A:A,'ITEM LIST'!A:C,3,0)</f>
        <v>#N/A</v>
      </c>
      <c r="D18290" s="6">
        <f t="shared" si="286"/>
        <v>0</v>
      </c>
    </row>
    <row r="18291" spans="3:4" ht="15" x14ac:dyDescent="0.25">
      <c r="C18291" s="8" t="e">
        <f>VLOOKUP(A:A,'ITEM LIST'!A:C,3,0)</f>
        <v>#N/A</v>
      </c>
      <c r="D18291" s="6">
        <f t="shared" si="286"/>
        <v>0</v>
      </c>
    </row>
    <row r="18292" spans="3:4" ht="15" x14ac:dyDescent="0.25">
      <c r="C18292" s="8" t="e">
        <f>VLOOKUP(A:A,'ITEM LIST'!A:C,3,0)</f>
        <v>#N/A</v>
      </c>
      <c r="D18292" s="6">
        <f t="shared" si="286"/>
        <v>0</v>
      </c>
    </row>
    <row r="18293" spans="3:4" ht="15" x14ac:dyDescent="0.25">
      <c r="C18293" s="8" t="e">
        <f>VLOOKUP(A:A,'ITEM LIST'!A:C,3,0)</f>
        <v>#N/A</v>
      </c>
      <c r="D18293" s="6">
        <f t="shared" si="286"/>
        <v>0</v>
      </c>
    </row>
    <row r="18294" spans="3:4" ht="15" x14ac:dyDescent="0.25">
      <c r="C18294" s="8" t="e">
        <f>VLOOKUP(A:A,'ITEM LIST'!A:C,3,0)</f>
        <v>#N/A</v>
      </c>
      <c r="D18294" s="6">
        <f t="shared" si="286"/>
        <v>0</v>
      </c>
    </row>
    <row r="18295" spans="3:4" ht="15" x14ac:dyDescent="0.25">
      <c r="C18295" s="8" t="e">
        <f>VLOOKUP(A:A,'ITEM LIST'!A:C,3,0)</f>
        <v>#N/A</v>
      </c>
      <c r="D18295" s="6">
        <f t="shared" si="286"/>
        <v>0</v>
      </c>
    </row>
    <row r="18296" spans="3:4" ht="15" x14ac:dyDescent="0.25">
      <c r="C18296" s="8" t="e">
        <f>VLOOKUP(A:A,'ITEM LIST'!A:C,3,0)</f>
        <v>#N/A</v>
      </c>
      <c r="D18296" s="6">
        <f t="shared" si="286"/>
        <v>0</v>
      </c>
    </row>
    <row r="18297" spans="3:4" ht="15" x14ac:dyDescent="0.25">
      <c r="C18297" s="8" t="e">
        <f>VLOOKUP(A:A,'ITEM LIST'!A:C,3,0)</f>
        <v>#N/A</v>
      </c>
      <c r="D18297" s="6">
        <f t="shared" si="286"/>
        <v>0</v>
      </c>
    </row>
    <row r="18298" spans="3:4" ht="15" x14ac:dyDescent="0.25">
      <c r="C18298" s="8" t="e">
        <f>VLOOKUP(A:A,'ITEM LIST'!A:C,3,0)</f>
        <v>#N/A</v>
      </c>
      <c r="D18298" s="6">
        <f t="shared" si="286"/>
        <v>0</v>
      </c>
    </row>
    <row r="18299" spans="3:4" ht="15" x14ac:dyDescent="0.25">
      <c r="C18299" s="8" t="e">
        <f>VLOOKUP(A:A,'ITEM LIST'!A:C,3,0)</f>
        <v>#N/A</v>
      </c>
      <c r="D18299" s="6">
        <f t="shared" si="286"/>
        <v>0</v>
      </c>
    </row>
    <row r="18300" spans="3:4" ht="15" x14ac:dyDescent="0.25">
      <c r="C18300" s="8" t="e">
        <f>VLOOKUP(A:A,'ITEM LIST'!A:C,3,0)</f>
        <v>#N/A</v>
      </c>
      <c r="D18300" s="6">
        <f t="shared" si="286"/>
        <v>0</v>
      </c>
    </row>
    <row r="18301" spans="3:4" ht="15" x14ac:dyDescent="0.25">
      <c r="C18301" s="8" t="e">
        <f>VLOOKUP(A:A,'ITEM LIST'!A:C,3,0)</f>
        <v>#N/A</v>
      </c>
      <c r="D18301" s="6">
        <f t="shared" si="286"/>
        <v>0</v>
      </c>
    </row>
    <row r="18302" spans="3:4" ht="15" x14ac:dyDescent="0.25">
      <c r="C18302" s="8" t="e">
        <f>VLOOKUP(A:A,'ITEM LIST'!A:C,3,0)</f>
        <v>#N/A</v>
      </c>
      <c r="D18302" s="6">
        <f t="shared" si="286"/>
        <v>0</v>
      </c>
    </row>
    <row r="18303" spans="3:4" ht="15" x14ac:dyDescent="0.25">
      <c r="C18303" s="8" t="e">
        <f>VLOOKUP(A:A,'ITEM LIST'!A:C,3,0)</f>
        <v>#N/A</v>
      </c>
      <c r="D18303" s="6">
        <f t="shared" si="286"/>
        <v>0</v>
      </c>
    </row>
    <row r="18304" spans="3:4" ht="15" x14ac:dyDescent="0.25">
      <c r="C18304" s="8" t="e">
        <f>VLOOKUP(A:A,'ITEM LIST'!A:C,3,0)</f>
        <v>#N/A</v>
      </c>
      <c r="D18304" s="6">
        <f t="shared" si="286"/>
        <v>0</v>
      </c>
    </row>
    <row r="18305" spans="3:4" ht="15" x14ac:dyDescent="0.25">
      <c r="C18305" s="8" t="e">
        <f>VLOOKUP(A:A,'ITEM LIST'!A:C,3,0)</f>
        <v>#N/A</v>
      </c>
      <c r="D18305" s="6">
        <f t="shared" si="286"/>
        <v>0</v>
      </c>
    </row>
    <row r="18306" spans="3:4" ht="15" x14ac:dyDescent="0.25">
      <c r="C18306" s="8" t="e">
        <f>VLOOKUP(A:A,'ITEM LIST'!A:C,3,0)</f>
        <v>#N/A</v>
      </c>
      <c r="D18306" s="6">
        <f t="shared" si="286"/>
        <v>0</v>
      </c>
    </row>
    <row r="18307" spans="3:4" ht="15" x14ac:dyDescent="0.25">
      <c r="C18307" s="8" t="e">
        <f>VLOOKUP(A:A,'ITEM LIST'!A:C,3,0)</f>
        <v>#N/A</v>
      </c>
      <c r="D18307" s="6">
        <f t="shared" si="286"/>
        <v>0</v>
      </c>
    </row>
    <row r="18308" spans="3:4" ht="15" x14ac:dyDescent="0.25">
      <c r="C18308" s="8" t="e">
        <f>VLOOKUP(A:A,'ITEM LIST'!A:C,3,0)</f>
        <v>#N/A</v>
      </c>
      <c r="D18308" s="6">
        <f t="shared" si="286"/>
        <v>0</v>
      </c>
    </row>
    <row r="18309" spans="3:4" ht="15" x14ac:dyDescent="0.25">
      <c r="C18309" s="8" t="e">
        <f>VLOOKUP(A:A,'ITEM LIST'!A:C,3,0)</f>
        <v>#N/A</v>
      </c>
      <c r="D18309" s="6">
        <f t="shared" si="286"/>
        <v>0</v>
      </c>
    </row>
    <row r="18310" spans="3:4" ht="15" x14ac:dyDescent="0.25">
      <c r="C18310" s="8" t="e">
        <f>VLOOKUP(A:A,'ITEM LIST'!A:C,3,0)</f>
        <v>#N/A</v>
      </c>
      <c r="D18310" s="6">
        <f t="shared" ref="D18310:D18373" si="287">B18310</f>
        <v>0</v>
      </c>
    </row>
    <row r="18311" spans="3:4" ht="15" x14ac:dyDescent="0.25">
      <c r="C18311" s="8" t="e">
        <f>VLOOKUP(A:A,'ITEM LIST'!A:C,3,0)</f>
        <v>#N/A</v>
      </c>
      <c r="D18311" s="6">
        <f t="shared" si="287"/>
        <v>0</v>
      </c>
    </row>
    <row r="18312" spans="3:4" ht="15" x14ac:dyDescent="0.25">
      <c r="C18312" s="8" t="e">
        <f>VLOOKUP(A:A,'ITEM LIST'!A:C,3,0)</f>
        <v>#N/A</v>
      </c>
      <c r="D18312" s="6">
        <f t="shared" si="287"/>
        <v>0</v>
      </c>
    </row>
    <row r="18313" spans="3:4" ht="15" x14ac:dyDescent="0.25">
      <c r="C18313" s="8" t="e">
        <f>VLOOKUP(A:A,'ITEM LIST'!A:C,3,0)</f>
        <v>#N/A</v>
      </c>
      <c r="D18313" s="6">
        <f t="shared" si="287"/>
        <v>0</v>
      </c>
    </row>
    <row r="18314" spans="3:4" ht="15" x14ac:dyDescent="0.25">
      <c r="C18314" s="8" t="e">
        <f>VLOOKUP(A:A,'ITEM LIST'!A:C,3,0)</f>
        <v>#N/A</v>
      </c>
      <c r="D18314" s="6">
        <f t="shared" si="287"/>
        <v>0</v>
      </c>
    </row>
    <row r="18315" spans="3:4" ht="15" x14ac:dyDescent="0.25">
      <c r="C18315" s="8" t="e">
        <f>VLOOKUP(A:A,'ITEM LIST'!A:C,3,0)</f>
        <v>#N/A</v>
      </c>
      <c r="D18315" s="6">
        <f t="shared" si="287"/>
        <v>0</v>
      </c>
    </row>
    <row r="18316" spans="3:4" ht="15" x14ac:dyDescent="0.25">
      <c r="C18316" s="8" t="e">
        <f>VLOOKUP(A:A,'ITEM LIST'!A:C,3,0)</f>
        <v>#N/A</v>
      </c>
      <c r="D18316" s="6">
        <f t="shared" si="287"/>
        <v>0</v>
      </c>
    </row>
    <row r="18317" spans="3:4" ht="15" x14ac:dyDescent="0.25">
      <c r="C18317" s="8" t="e">
        <f>VLOOKUP(A:A,'ITEM LIST'!A:C,3,0)</f>
        <v>#N/A</v>
      </c>
      <c r="D18317" s="6">
        <f t="shared" si="287"/>
        <v>0</v>
      </c>
    </row>
    <row r="18318" spans="3:4" ht="15" x14ac:dyDescent="0.25">
      <c r="C18318" s="8" t="e">
        <f>VLOOKUP(A:A,'ITEM LIST'!A:C,3,0)</f>
        <v>#N/A</v>
      </c>
      <c r="D18318" s="6">
        <f t="shared" si="287"/>
        <v>0</v>
      </c>
    </row>
    <row r="18319" spans="3:4" ht="15" x14ac:dyDescent="0.25">
      <c r="C18319" s="8" t="e">
        <f>VLOOKUP(A:A,'ITEM LIST'!A:C,3,0)</f>
        <v>#N/A</v>
      </c>
      <c r="D18319" s="6">
        <f t="shared" si="287"/>
        <v>0</v>
      </c>
    </row>
    <row r="18320" spans="3:4" ht="15" x14ac:dyDescent="0.25">
      <c r="C18320" s="8" t="e">
        <f>VLOOKUP(A:A,'ITEM LIST'!A:C,3,0)</f>
        <v>#N/A</v>
      </c>
      <c r="D18320" s="6">
        <f t="shared" si="287"/>
        <v>0</v>
      </c>
    </row>
    <row r="18321" spans="3:4" ht="15" x14ac:dyDescent="0.25">
      <c r="C18321" s="8" t="e">
        <f>VLOOKUP(A:A,'ITEM LIST'!A:C,3,0)</f>
        <v>#N/A</v>
      </c>
      <c r="D18321" s="6">
        <f t="shared" si="287"/>
        <v>0</v>
      </c>
    </row>
    <row r="18322" spans="3:4" ht="15" x14ac:dyDescent="0.25">
      <c r="C18322" s="8" t="e">
        <f>VLOOKUP(A:A,'ITEM LIST'!A:C,3,0)</f>
        <v>#N/A</v>
      </c>
      <c r="D18322" s="6">
        <f t="shared" si="287"/>
        <v>0</v>
      </c>
    </row>
    <row r="18323" spans="3:4" ht="15" x14ac:dyDescent="0.25">
      <c r="C18323" s="8" t="e">
        <f>VLOOKUP(A:A,'ITEM LIST'!A:C,3,0)</f>
        <v>#N/A</v>
      </c>
      <c r="D18323" s="6">
        <f t="shared" si="287"/>
        <v>0</v>
      </c>
    </row>
    <row r="18324" spans="3:4" ht="15" x14ac:dyDescent="0.25">
      <c r="C18324" s="8" t="e">
        <f>VLOOKUP(A:A,'ITEM LIST'!A:C,3,0)</f>
        <v>#N/A</v>
      </c>
      <c r="D18324" s="6">
        <f t="shared" si="287"/>
        <v>0</v>
      </c>
    </row>
    <row r="18325" spans="3:4" ht="15" x14ac:dyDescent="0.25">
      <c r="C18325" s="8" t="e">
        <f>VLOOKUP(A:A,'ITEM LIST'!A:C,3,0)</f>
        <v>#N/A</v>
      </c>
      <c r="D18325" s="6">
        <f t="shared" si="287"/>
        <v>0</v>
      </c>
    </row>
    <row r="18326" spans="3:4" ht="15" x14ac:dyDescent="0.25">
      <c r="C18326" s="8" t="e">
        <f>VLOOKUP(A:A,'ITEM LIST'!A:C,3,0)</f>
        <v>#N/A</v>
      </c>
      <c r="D18326" s="6">
        <f t="shared" si="287"/>
        <v>0</v>
      </c>
    </row>
    <row r="18327" spans="3:4" ht="15" x14ac:dyDescent="0.25">
      <c r="C18327" s="8" t="e">
        <f>VLOOKUP(A:A,'ITEM LIST'!A:C,3,0)</f>
        <v>#N/A</v>
      </c>
      <c r="D18327" s="6">
        <f t="shared" si="287"/>
        <v>0</v>
      </c>
    </row>
    <row r="18328" spans="3:4" ht="15" x14ac:dyDescent="0.25">
      <c r="C18328" s="8" t="e">
        <f>VLOOKUP(A:A,'ITEM LIST'!A:C,3,0)</f>
        <v>#N/A</v>
      </c>
      <c r="D18328" s="6">
        <f t="shared" si="287"/>
        <v>0</v>
      </c>
    </row>
    <row r="18329" spans="3:4" ht="15" x14ac:dyDescent="0.25">
      <c r="C18329" s="8" t="e">
        <f>VLOOKUP(A:A,'ITEM LIST'!A:C,3,0)</f>
        <v>#N/A</v>
      </c>
      <c r="D18329" s="6">
        <f t="shared" si="287"/>
        <v>0</v>
      </c>
    </row>
    <row r="18330" spans="3:4" ht="15" x14ac:dyDescent="0.25">
      <c r="C18330" s="8" t="e">
        <f>VLOOKUP(A:A,'ITEM LIST'!A:C,3,0)</f>
        <v>#N/A</v>
      </c>
      <c r="D18330" s="6">
        <f t="shared" si="287"/>
        <v>0</v>
      </c>
    </row>
    <row r="18331" spans="3:4" ht="15" x14ac:dyDescent="0.25">
      <c r="C18331" s="8" t="e">
        <f>VLOOKUP(A:A,'ITEM LIST'!A:C,3,0)</f>
        <v>#N/A</v>
      </c>
      <c r="D18331" s="6">
        <f t="shared" si="287"/>
        <v>0</v>
      </c>
    </row>
    <row r="18332" spans="3:4" ht="15" x14ac:dyDescent="0.25">
      <c r="C18332" s="8" t="e">
        <f>VLOOKUP(A:A,'ITEM LIST'!A:C,3,0)</f>
        <v>#N/A</v>
      </c>
      <c r="D18332" s="6">
        <f t="shared" si="287"/>
        <v>0</v>
      </c>
    </row>
    <row r="18333" spans="3:4" ht="15" x14ac:dyDescent="0.25">
      <c r="C18333" s="8" t="e">
        <f>VLOOKUP(A:A,'ITEM LIST'!A:C,3,0)</f>
        <v>#N/A</v>
      </c>
      <c r="D18333" s="6">
        <f t="shared" si="287"/>
        <v>0</v>
      </c>
    </row>
    <row r="18334" spans="3:4" ht="15" x14ac:dyDescent="0.25">
      <c r="C18334" s="8" t="e">
        <f>VLOOKUP(A:A,'ITEM LIST'!A:C,3,0)</f>
        <v>#N/A</v>
      </c>
      <c r="D18334" s="6">
        <f t="shared" si="287"/>
        <v>0</v>
      </c>
    </row>
    <row r="18335" spans="3:4" ht="15" x14ac:dyDescent="0.25">
      <c r="C18335" s="8" t="e">
        <f>VLOOKUP(A:A,'ITEM LIST'!A:C,3,0)</f>
        <v>#N/A</v>
      </c>
      <c r="D18335" s="6">
        <f t="shared" si="287"/>
        <v>0</v>
      </c>
    </row>
    <row r="18336" spans="3:4" ht="15" x14ac:dyDescent="0.25">
      <c r="C18336" s="8" t="e">
        <f>VLOOKUP(A:A,'ITEM LIST'!A:C,3,0)</f>
        <v>#N/A</v>
      </c>
      <c r="D18336" s="6">
        <f t="shared" si="287"/>
        <v>0</v>
      </c>
    </row>
    <row r="18337" spans="3:4" ht="15" x14ac:dyDescent="0.25">
      <c r="C18337" s="8" t="e">
        <f>VLOOKUP(A:A,'ITEM LIST'!A:C,3,0)</f>
        <v>#N/A</v>
      </c>
      <c r="D18337" s="6">
        <f t="shared" si="287"/>
        <v>0</v>
      </c>
    </row>
    <row r="18338" spans="3:4" ht="15" x14ac:dyDescent="0.25">
      <c r="C18338" s="8" t="e">
        <f>VLOOKUP(A:A,'ITEM LIST'!A:C,3,0)</f>
        <v>#N/A</v>
      </c>
      <c r="D18338" s="6">
        <f t="shared" si="287"/>
        <v>0</v>
      </c>
    </row>
    <row r="18339" spans="3:4" ht="15" x14ac:dyDescent="0.25">
      <c r="C18339" s="8" t="e">
        <f>VLOOKUP(A:A,'ITEM LIST'!A:C,3,0)</f>
        <v>#N/A</v>
      </c>
      <c r="D18339" s="6">
        <f t="shared" si="287"/>
        <v>0</v>
      </c>
    </row>
    <row r="18340" spans="3:4" ht="15" x14ac:dyDescent="0.25">
      <c r="C18340" s="8" t="e">
        <f>VLOOKUP(A:A,'ITEM LIST'!A:C,3,0)</f>
        <v>#N/A</v>
      </c>
      <c r="D18340" s="6">
        <f t="shared" si="287"/>
        <v>0</v>
      </c>
    </row>
    <row r="18341" spans="3:4" ht="15" x14ac:dyDescent="0.25">
      <c r="C18341" s="8" t="e">
        <f>VLOOKUP(A:A,'ITEM LIST'!A:C,3,0)</f>
        <v>#N/A</v>
      </c>
      <c r="D18341" s="6">
        <f t="shared" si="287"/>
        <v>0</v>
      </c>
    </row>
    <row r="18342" spans="3:4" ht="15" x14ac:dyDescent="0.25">
      <c r="C18342" s="8" t="e">
        <f>VLOOKUP(A:A,'ITEM LIST'!A:C,3,0)</f>
        <v>#N/A</v>
      </c>
      <c r="D18342" s="6">
        <f t="shared" si="287"/>
        <v>0</v>
      </c>
    </row>
    <row r="18343" spans="3:4" ht="15" x14ac:dyDescent="0.25">
      <c r="C18343" s="8" t="e">
        <f>VLOOKUP(A:A,'ITEM LIST'!A:C,3,0)</f>
        <v>#N/A</v>
      </c>
      <c r="D18343" s="6">
        <f t="shared" si="287"/>
        <v>0</v>
      </c>
    </row>
    <row r="18344" spans="3:4" ht="15" x14ac:dyDescent="0.25">
      <c r="C18344" s="8" t="e">
        <f>VLOOKUP(A:A,'ITEM LIST'!A:C,3,0)</f>
        <v>#N/A</v>
      </c>
      <c r="D18344" s="6">
        <f t="shared" si="287"/>
        <v>0</v>
      </c>
    </row>
    <row r="18345" spans="3:4" ht="15" x14ac:dyDescent="0.25">
      <c r="C18345" s="8" t="e">
        <f>VLOOKUP(A:A,'ITEM LIST'!A:C,3,0)</f>
        <v>#N/A</v>
      </c>
      <c r="D18345" s="6">
        <f t="shared" si="287"/>
        <v>0</v>
      </c>
    </row>
    <row r="18346" spans="3:4" ht="15" x14ac:dyDescent="0.25">
      <c r="C18346" s="8" t="e">
        <f>VLOOKUP(A:A,'ITEM LIST'!A:C,3,0)</f>
        <v>#N/A</v>
      </c>
      <c r="D18346" s="6">
        <f t="shared" si="287"/>
        <v>0</v>
      </c>
    </row>
    <row r="18347" spans="3:4" ht="15" x14ac:dyDescent="0.25">
      <c r="C18347" s="8" t="e">
        <f>VLOOKUP(A:A,'ITEM LIST'!A:C,3,0)</f>
        <v>#N/A</v>
      </c>
      <c r="D18347" s="6">
        <f t="shared" si="287"/>
        <v>0</v>
      </c>
    </row>
    <row r="18348" spans="3:4" ht="15" x14ac:dyDescent="0.25">
      <c r="C18348" s="8" t="e">
        <f>VLOOKUP(A:A,'ITEM LIST'!A:C,3,0)</f>
        <v>#N/A</v>
      </c>
      <c r="D18348" s="6">
        <f t="shared" si="287"/>
        <v>0</v>
      </c>
    </row>
    <row r="18349" spans="3:4" ht="15" x14ac:dyDescent="0.25">
      <c r="C18349" s="8" t="e">
        <f>VLOOKUP(A:A,'ITEM LIST'!A:C,3,0)</f>
        <v>#N/A</v>
      </c>
      <c r="D18349" s="6">
        <f t="shared" si="287"/>
        <v>0</v>
      </c>
    </row>
    <row r="18350" spans="3:4" ht="15" x14ac:dyDescent="0.25">
      <c r="C18350" s="8" t="e">
        <f>VLOOKUP(A:A,'ITEM LIST'!A:C,3,0)</f>
        <v>#N/A</v>
      </c>
      <c r="D18350" s="6">
        <f t="shared" si="287"/>
        <v>0</v>
      </c>
    </row>
    <row r="18351" spans="3:4" ht="15" x14ac:dyDescent="0.25">
      <c r="C18351" s="8" t="e">
        <f>VLOOKUP(A:A,'ITEM LIST'!A:C,3,0)</f>
        <v>#N/A</v>
      </c>
      <c r="D18351" s="6">
        <f t="shared" si="287"/>
        <v>0</v>
      </c>
    </row>
    <row r="18352" spans="3:4" ht="15" x14ac:dyDescent="0.25">
      <c r="C18352" s="8" t="e">
        <f>VLOOKUP(A:A,'ITEM LIST'!A:C,3,0)</f>
        <v>#N/A</v>
      </c>
      <c r="D18352" s="6">
        <f t="shared" si="287"/>
        <v>0</v>
      </c>
    </row>
    <row r="18353" spans="3:4" ht="15" x14ac:dyDescent="0.25">
      <c r="C18353" s="8" t="e">
        <f>VLOOKUP(A:A,'ITEM LIST'!A:C,3,0)</f>
        <v>#N/A</v>
      </c>
      <c r="D18353" s="6">
        <f t="shared" si="287"/>
        <v>0</v>
      </c>
    </row>
    <row r="18354" spans="3:4" ht="15" x14ac:dyDescent="0.25">
      <c r="C18354" s="8" t="e">
        <f>VLOOKUP(A:A,'ITEM LIST'!A:C,3,0)</f>
        <v>#N/A</v>
      </c>
      <c r="D18354" s="6">
        <f t="shared" si="287"/>
        <v>0</v>
      </c>
    </row>
    <row r="18355" spans="3:4" ht="15" x14ac:dyDescent="0.25">
      <c r="C18355" s="8" t="e">
        <f>VLOOKUP(A:A,'ITEM LIST'!A:C,3,0)</f>
        <v>#N/A</v>
      </c>
      <c r="D18355" s="6">
        <f t="shared" si="287"/>
        <v>0</v>
      </c>
    </row>
    <row r="18356" spans="3:4" ht="15" x14ac:dyDescent="0.25">
      <c r="C18356" s="8" t="e">
        <f>VLOOKUP(A:A,'ITEM LIST'!A:C,3,0)</f>
        <v>#N/A</v>
      </c>
      <c r="D18356" s="6">
        <f t="shared" si="287"/>
        <v>0</v>
      </c>
    </row>
    <row r="18357" spans="3:4" ht="15" x14ac:dyDescent="0.25">
      <c r="C18357" s="8" t="e">
        <f>VLOOKUP(A:A,'ITEM LIST'!A:C,3,0)</f>
        <v>#N/A</v>
      </c>
      <c r="D18357" s="6">
        <f t="shared" si="287"/>
        <v>0</v>
      </c>
    </row>
    <row r="18358" spans="3:4" ht="15" x14ac:dyDescent="0.25">
      <c r="C18358" s="8" t="e">
        <f>VLOOKUP(A:A,'ITEM LIST'!A:C,3,0)</f>
        <v>#N/A</v>
      </c>
      <c r="D18358" s="6">
        <f t="shared" si="287"/>
        <v>0</v>
      </c>
    </row>
    <row r="18359" spans="3:4" ht="15" x14ac:dyDescent="0.25">
      <c r="C18359" s="8" t="e">
        <f>VLOOKUP(A:A,'ITEM LIST'!A:C,3,0)</f>
        <v>#N/A</v>
      </c>
      <c r="D18359" s="6">
        <f t="shared" si="287"/>
        <v>0</v>
      </c>
    </row>
    <row r="18360" spans="3:4" ht="15" x14ac:dyDescent="0.25">
      <c r="C18360" s="8" t="e">
        <f>VLOOKUP(A:A,'ITEM LIST'!A:C,3,0)</f>
        <v>#N/A</v>
      </c>
      <c r="D18360" s="6">
        <f t="shared" si="287"/>
        <v>0</v>
      </c>
    </row>
    <row r="18361" spans="3:4" ht="15" x14ac:dyDescent="0.25">
      <c r="C18361" s="8" t="e">
        <f>VLOOKUP(A:A,'ITEM LIST'!A:C,3,0)</f>
        <v>#N/A</v>
      </c>
      <c r="D18361" s="6">
        <f t="shared" si="287"/>
        <v>0</v>
      </c>
    </row>
    <row r="18362" spans="3:4" ht="15" x14ac:dyDescent="0.25">
      <c r="C18362" s="8" t="e">
        <f>VLOOKUP(A:A,'ITEM LIST'!A:C,3,0)</f>
        <v>#N/A</v>
      </c>
      <c r="D18362" s="6">
        <f t="shared" si="287"/>
        <v>0</v>
      </c>
    </row>
    <row r="18363" spans="3:4" ht="15" x14ac:dyDescent="0.25">
      <c r="C18363" s="8" t="e">
        <f>VLOOKUP(A:A,'ITEM LIST'!A:C,3,0)</f>
        <v>#N/A</v>
      </c>
      <c r="D18363" s="6">
        <f t="shared" si="287"/>
        <v>0</v>
      </c>
    </row>
    <row r="18364" spans="3:4" ht="15" x14ac:dyDescent="0.25">
      <c r="C18364" s="8" t="e">
        <f>VLOOKUP(A:A,'ITEM LIST'!A:C,3,0)</f>
        <v>#N/A</v>
      </c>
      <c r="D18364" s="6">
        <f t="shared" si="287"/>
        <v>0</v>
      </c>
    </row>
    <row r="18365" spans="3:4" ht="15" x14ac:dyDescent="0.25">
      <c r="C18365" s="8" t="e">
        <f>VLOOKUP(A:A,'ITEM LIST'!A:C,3,0)</f>
        <v>#N/A</v>
      </c>
      <c r="D18365" s="6">
        <f t="shared" si="287"/>
        <v>0</v>
      </c>
    </row>
    <row r="18366" spans="3:4" ht="15" x14ac:dyDescent="0.25">
      <c r="C18366" s="8" t="e">
        <f>VLOOKUP(A:A,'ITEM LIST'!A:C,3,0)</f>
        <v>#N/A</v>
      </c>
      <c r="D18366" s="6">
        <f t="shared" si="287"/>
        <v>0</v>
      </c>
    </row>
    <row r="18367" spans="3:4" ht="15" x14ac:dyDescent="0.25">
      <c r="C18367" s="8" t="e">
        <f>VLOOKUP(A:A,'ITEM LIST'!A:C,3,0)</f>
        <v>#N/A</v>
      </c>
      <c r="D18367" s="6">
        <f t="shared" si="287"/>
        <v>0</v>
      </c>
    </row>
    <row r="18368" spans="3:4" ht="15" x14ac:dyDescent="0.25">
      <c r="C18368" s="8" t="e">
        <f>VLOOKUP(A:A,'ITEM LIST'!A:C,3,0)</f>
        <v>#N/A</v>
      </c>
      <c r="D18368" s="6">
        <f t="shared" si="287"/>
        <v>0</v>
      </c>
    </row>
    <row r="18369" spans="3:4" ht="15" x14ac:dyDescent="0.25">
      <c r="C18369" s="8" t="e">
        <f>VLOOKUP(A:A,'ITEM LIST'!A:C,3,0)</f>
        <v>#N/A</v>
      </c>
      <c r="D18369" s="6">
        <f t="shared" si="287"/>
        <v>0</v>
      </c>
    </row>
    <row r="18370" spans="3:4" ht="15" x14ac:dyDescent="0.25">
      <c r="C18370" s="8" t="e">
        <f>VLOOKUP(A:A,'ITEM LIST'!A:C,3,0)</f>
        <v>#N/A</v>
      </c>
      <c r="D18370" s="6">
        <f t="shared" si="287"/>
        <v>0</v>
      </c>
    </row>
    <row r="18371" spans="3:4" ht="15" x14ac:dyDescent="0.25">
      <c r="C18371" s="8" t="e">
        <f>VLOOKUP(A:A,'ITEM LIST'!A:C,3,0)</f>
        <v>#N/A</v>
      </c>
      <c r="D18371" s="6">
        <f t="shared" si="287"/>
        <v>0</v>
      </c>
    </row>
    <row r="18372" spans="3:4" ht="15" x14ac:dyDescent="0.25">
      <c r="C18372" s="8" t="e">
        <f>VLOOKUP(A:A,'ITEM LIST'!A:C,3,0)</f>
        <v>#N/A</v>
      </c>
      <c r="D18372" s="6">
        <f t="shared" si="287"/>
        <v>0</v>
      </c>
    </row>
    <row r="18373" spans="3:4" ht="15" x14ac:dyDescent="0.25">
      <c r="C18373" s="8" t="e">
        <f>VLOOKUP(A:A,'ITEM LIST'!A:C,3,0)</f>
        <v>#N/A</v>
      </c>
      <c r="D18373" s="6">
        <f t="shared" si="287"/>
        <v>0</v>
      </c>
    </row>
    <row r="18374" spans="3:4" ht="15" x14ac:dyDescent="0.25">
      <c r="C18374" s="8" t="e">
        <f>VLOOKUP(A:A,'ITEM LIST'!A:C,3,0)</f>
        <v>#N/A</v>
      </c>
      <c r="D18374" s="6">
        <f t="shared" ref="D18374:D18437" si="288">B18374</f>
        <v>0</v>
      </c>
    </row>
    <row r="18375" spans="3:4" ht="15" x14ac:dyDescent="0.25">
      <c r="C18375" s="8" t="e">
        <f>VLOOKUP(A:A,'ITEM LIST'!A:C,3,0)</f>
        <v>#N/A</v>
      </c>
      <c r="D18375" s="6">
        <f t="shared" si="288"/>
        <v>0</v>
      </c>
    </row>
    <row r="18376" spans="3:4" ht="15" x14ac:dyDescent="0.25">
      <c r="C18376" s="8" t="e">
        <f>VLOOKUP(A:A,'ITEM LIST'!A:C,3,0)</f>
        <v>#N/A</v>
      </c>
      <c r="D18376" s="6">
        <f t="shared" si="288"/>
        <v>0</v>
      </c>
    </row>
    <row r="18377" spans="3:4" ht="15" x14ac:dyDescent="0.25">
      <c r="C18377" s="8" t="e">
        <f>VLOOKUP(A:A,'ITEM LIST'!A:C,3,0)</f>
        <v>#N/A</v>
      </c>
      <c r="D18377" s="6">
        <f t="shared" si="288"/>
        <v>0</v>
      </c>
    </row>
    <row r="18378" spans="3:4" ht="15" x14ac:dyDescent="0.25">
      <c r="C18378" s="8" t="e">
        <f>VLOOKUP(A:A,'ITEM LIST'!A:C,3,0)</f>
        <v>#N/A</v>
      </c>
      <c r="D18378" s="6">
        <f t="shared" si="288"/>
        <v>0</v>
      </c>
    </row>
    <row r="18379" spans="3:4" ht="15" x14ac:dyDescent="0.25">
      <c r="C18379" s="8" t="e">
        <f>VLOOKUP(A:A,'ITEM LIST'!A:C,3,0)</f>
        <v>#N/A</v>
      </c>
      <c r="D18379" s="6">
        <f t="shared" si="288"/>
        <v>0</v>
      </c>
    </row>
    <row r="18380" spans="3:4" ht="15" x14ac:dyDescent="0.25">
      <c r="C18380" s="8" t="e">
        <f>VLOOKUP(A:A,'ITEM LIST'!A:C,3,0)</f>
        <v>#N/A</v>
      </c>
      <c r="D18380" s="6">
        <f t="shared" si="288"/>
        <v>0</v>
      </c>
    </row>
    <row r="18381" spans="3:4" ht="15" x14ac:dyDescent="0.25">
      <c r="C18381" s="8" t="e">
        <f>VLOOKUP(A:A,'ITEM LIST'!A:C,3,0)</f>
        <v>#N/A</v>
      </c>
      <c r="D18381" s="6">
        <f t="shared" si="288"/>
        <v>0</v>
      </c>
    </row>
    <row r="18382" spans="3:4" ht="15" x14ac:dyDescent="0.25">
      <c r="C18382" s="8" t="e">
        <f>VLOOKUP(A:A,'ITEM LIST'!A:C,3,0)</f>
        <v>#N/A</v>
      </c>
      <c r="D18382" s="6">
        <f t="shared" si="288"/>
        <v>0</v>
      </c>
    </row>
    <row r="18383" spans="3:4" ht="15" x14ac:dyDescent="0.25">
      <c r="C18383" s="8" t="e">
        <f>VLOOKUP(A:A,'ITEM LIST'!A:C,3,0)</f>
        <v>#N/A</v>
      </c>
      <c r="D18383" s="6">
        <f t="shared" si="288"/>
        <v>0</v>
      </c>
    </row>
    <row r="18384" spans="3:4" ht="15" x14ac:dyDescent="0.25">
      <c r="C18384" s="8" t="e">
        <f>VLOOKUP(A:A,'ITEM LIST'!A:C,3,0)</f>
        <v>#N/A</v>
      </c>
      <c r="D18384" s="6">
        <f t="shared" si="288"/>
        <v>0</v>
      </c>
    </row>
    <row r="18385" spans="3:4" ht="15" x14ac:dyDescent="0.25">
      <c r="C18385" s="8" t="e">
        <f>VLOOKUP(A:A,'ITEM LIST'!A:C,3,0)</f>
        <v>#N/A</v>
      </c>
      <c r="D18385" s="6">
        <f t="shared" si="288"/>
        <v>0</v>
      </c>
    </row>
    <row r="18386" spans="3:4" ht="15" x14ac:dyDescent="0.25">
      <c r="C18386" s="8" t="e">
        <f>VLOOKUP(A:A,'ITEM LIST'!A:C,3,0)</f>
        <v>#N/A</v>
      </c>
      <c r="D18386" s="6">
        <f t="shared" si="288"/>
        <v>0</v>
      </c>
    </row>
    <row r="18387" spans="3:4" ht="15" x14ac:dyDescent="0.25">
      <c r="C18387" s="8" t="e">
        <f>VLOOKUP(A:A,'ITEM LIST'!A:C,3,0)</f>
        <v>#N/A</v>
      </c>
      <c r="D18387" s="6">
        <f t="shared" si="288"/>
        <v>0</v>
      </c>
    </row>
    <row r="18388" spans="3:4" ht="15" x14ac:dyDescent="0.25">
      <c r="C18388" s="8" t="e">
        <f>VLOOKUP(A:A,'ITEM LIST'!A:C,3,0)</f>
        <v>#N/A</v>
      </c>
      <c r="D18388" s="6">
        <f t="shared" si="288"/>
        <v>0</v>
      </c>
    </row>
    <row r="18389" spans="3:4" ht="15" x14ac:dyDescent="0.25">
      <c r="C18389" s="8" t="e">
        <f>VLOOKUP(A:A,'ITEM LIST'!A:C,3,0)</f>
        <v>#N/A</v>
      </c>
      <c r="D18389" s="6">
        <f t="shared" si="288"/>
        <v>0</v>
      </c>
    </row>
    <row r="18390" spans="3:4" ht="15" x14ac:dyDescent="0.25">
      <c r="C18390" s="8" t="e">
        <f>VLOOKUP(A:A,'ITEM LIST'!A:C,3,0)</f>
        <v>#N/A</v>
      </c>
      <c r="D18390" s="6">
        <f t="shared" si="288"/>
        <v>0</v>
      </c>
    </row>
    <row r="18391" spans="3:4" ht="15" x14ac:dyDescent="0.25">
      <c r="C18391" s="8" t="e">
        <f>VLOOKUP(A:A,'ITEM LIST'!A:C,3,0)</f>
        <v>#N/A</v>
      </c>
      <c r="D18391" s="6">
        <f t="shared" si="288"/>
        <v>0</v>
      </c>
    </row>
    <row r="18392" spans="3:4" ht="15" x14ac:dyDescent="0.25">
      <c r="C18392" s="8" t="e">
        <f>VLOOKUP(A:A,'ITEM LIST'!A:C,3,0)</f>
        <v>#N/A</v>
      </c>
      <c r="D18392" s="6">
        <f t="shared" si="288"/>
        <v>0</v>
      </c>
    </row>
    <row r="18393" spans="3:4" ht="15" x14ac:dyDescent="0.25">
      <c r="C18393" s="8" t="e">
        <f>VLOOKUP(A:A,'ITEM LIST'!A:C,3,0)</f>
        <v>#N/A</v>
      </c>
      <c r="D18393" s="6">
        <f t="shared" si="288"/>
        <v>0</v>
      </c>
    </row>
    <row r="18394" spans="3:4" ht="15" x14ac:dyDescent="0.25">
      <c r="C18394" s="8" t="e">
        <f>VLOOKUP(A:A,'ITEM LIST'!A:C,3,0)</f>
        <v>#N/A</v>
      </c>
      <c r="D18394" s="6">
        <f t="shared" si="288"/>
        <v>0</v>
      </c>
    </row>
    <row r="18395" spans="3:4" ht="15" x14ac:dyDescent="0.25">
      <c r="C18395" s="8" t="e">
        <f>VLOOKUP(A:A,'ITEM LIST'!A:C,3,0)</f>
        <v>#N/A</v>
      </c>
      <c r="D18395" s="6">
        <f t="shared" si="288"/>
        <v>0</v>
      </c>
    </row>
    <row r="18396" spans="3:4" ht="15" x14ac:dyDescent="0.25">
      <c r="C18396" s="8" t="e">
        <f>VLOOKUP(A:A,'ITEM LIST'!A:C,3,0)</f>
        <v>#N/A</v>
      </c>
      <c r="D18396" s="6">
        <f t="shared" si="288"/>
        <v>0</v>
      </c>
    </row>
    <row r="18397" spans="3:4" ht="15" x14ac:dyDescent="0.25">
      <c r="C18397" s="8" t="e">
        <f>VLOOKUP(A:A,'ITEM LIST'!A:C,3,0)</f>
        <v>#N/A</v>
      </c>
      <c r="D18397" s="6">
        <f t="shared" si="288"/>
        <v>0</v>
      </c>
    </row>
    <row r="18398" spans="3:4" ht="15" x14ac:dyDescent="0.25">
      <c r="C18398" s="8" t="e">
        <f>VLOOKUP(A:A,'ITEM LIST'!A:C,3,0)</f>
        <v>#N/A</v>
      </c>
      <c r="D18398" s="6">
        <f t="shared" si="288"/>
        <v>0</v>
      </c>
    </row>
    <row r="18399" spans="3:4" ht="15" x14ac:dyDescent="0.25">
      <c r="C18399" s="8" t="e">
        <f>VLOOKUP(A:A,'ITEM LIST'!A:C,3,0)</f>
        <v>#N/A</v>
      </c>
      <c r="D18399" s="6">
        <f t="shared" si="288"/>
        <v>0</v>
      </c>
    </row>
    <row r="18400" spans="3:4" ht="15" x14ac:dyDescent="0.25">
      <c r="C18400" s="8" t="e">
        <f>VLOOKUP(A:A,'ITEM LIST'!A:C,3,0)</f>
        <v>#N/A</v>
      </c>
      <c r="D18400" s="6">
        <f t="shared" si="288"/>
        <v>0</v>
      </c>
    </row>
    <row r="18401" spans="3:4" ht="15" x14ac:dyDescent="0.25">
      <c r="C18401" s="8" t="e">
        <f>VLOOKUP(A:A,'ITEM LIST'!A:C,3,0)</f>
        <v>#N/A</v>
      </c>
      <c r="D18401" s="6">
        <f t="shared" si="288"/>
        <v>0</v>
      </c>
    </row>
    <row r="18402" spans="3:4" ht="15" x14ac:dyDescent="0.25">
      <c r="C18402" s="8" t="e">
        <f>VLOOKUP(A:A,'ITEM LIST'!A:C,3,0)</f>
        <v>#N/A</v>
      </c>
      <c r="D18402" s="6">
        <f t="shared" si="288"/>
        <v>0</v>
      </c>
    </row>
    <row r="18403" spans="3:4" ht="15" x14ac:dyDescent="0.25">
      <c r="C18403" s="8" t="e">
        <f>VLOOKUP(A:A,'ITEM LIST'!A:C,3,0)</f>
        <v>#N/A</v>
      </c>
      <c r="D18403" s="6">
        <f t="shared" si="288"/>
        <v>0</v>
      </c>
    </row>
    <row r="18404" spans="3:4" ht="15" x14ac:dyDescent="0.25">
      <c r="C18404" s="8" t="e">
        <f>VLOOKUP(A:A,'ITEM LIST'!A:C,3,0)</f>
        <v>#N/A</v>
      </c>
      <c r="D18404" s="6">
        <f t="shared" si="288"/>
        <v>0</v>
      </c>
    </row>
    <row r="18405" spans="3:4" ht="15" x14ac:dyDescent="0.25">
      <c r="C18405" s="8" t="e">
        <f>VLOOKUP(A:A,'ITEM LIST'!A:C,3,0)</f>
        <v>#N/A</v>
      </c>
      <c r="D18405" s="6">
        <f t="shared" si="288"/>
        <v>0</v>
      </c>
    </row>
    <row r="18406" spans="3:4" ht="15" x14ac:dyDescent="0.25">
      <c r="C18406" s="8" t="e">
        <f>VLOOKUP(A:A,'ITEM LIST'!A:C,3,0)</f>
        <v>#N/A</v>
      </c>
      <c r="D18406" s="6">
        <f t="shared" si="288"/>
        <v>0</v>
      </c>
    </row>
    <row r="18407" spans="3:4" ht="15" x14ac:dyDescent="0.25">
      <c r="C18407" s="8" t="e">
        <f>VLOOKUP(A:A,'ITEM LIST'!A:C,3,0)</f>
        <v>#N/A</v>
      </c>
      <c r="D18407" s="6">
        <f t="shared" si="288"/>
        <v>0</v>
      </c>
    </row>
    <row r="18408" spans="3:4" ht="15" x14ac:dyDescent="0.25">
      <c r="C18408" s="8" t="e">
        <f>VLOOKUP(A:A,'ITEM LIST'!A:C,3,0)</f>
        <v>#N/A</v>
      </c>
      <c r="D18408" s="6">
        <f t="shared" si="288"/>
        <v>0</v>
      </c>
    </row>
    <row r="18409" spans="3:4" ht="15" x14ac:dyDescent="0.25">
      <c r="C18409" s="8" t="e">
        <f>VLOOKUP(A:A,'ITEM LIST'!A:C,3,0)</f>
        <v>#N/A</v>
      </c>
      <c r="D18409" s="6">
        <f t="shared" si="288"/>
        <v>0</v>
      </c>
    </row>
    <row r="18410" spans="3:4" ht="15" x14ac:dyDescent="0.25">
      <c r="C18410" s="8" t="e">
        <f>VLOOKUP(A:A,'ITEM LIST'!A:C,3,0)</f>
        <v>#N/A</v>
      </c>
      <c r="D18410" s="6">
        <f t="shared" si="288"/>
        <v>0</v>
      </c>
    </row>
    <row r="18411" spans="3:4" ht="15" x14ac:dyDescent="0.25">
      <c r="C18411" s="8" t="e">
        <f>VLOOKUP(A:A,'ITEM LIST'!A:C,3,0)</f>
        <v>#N/A</v>
      </c>
      <c r="D18411" s="6">
        <f t="shared" si="288"/>
        <v>0</v>
      </c>
    </row>
    <row r="18412" spans="3:4" ht="15" x14ac:dyDescent="0.25">
      <c r="C18412" s="8" t="e">
        <f>VLOOKUP(A:A,'ITEM LIST'!A:C,3,0)</f>
        <v>#N/A</v>
      </c>
      <c r="D18412" s="6">
        <f t="shared" si="288"/>
        <v>0</v>
      </c>
    </row>
    <row r="18413" spans="3:4" ht="15" x14ac:dyDescent="0.25">
      <c r="C18413" s="8" t="e">
        <f>VLOOKUP(A:A,'ITEM LIST'!A:C,3,0)</f>
        <v>#N/A</v>
      </c>
      <c r="D18413" s="6">
        <f t="shared" si="288"/>
        <v>0</v>
      </c>
    </row>
    <row r="18414" spans="3:4" ht="15" x14ac:dyDescent="0.25">
      <c r="C18414" s="8" t="e">
        <f>VLOOKUP(A:A,'ITEM LIST'!A:C,3,0)</f>
        <v>#N/A</v>
      </c>
      <c r="D18414" s="6">
        <f t="shared" si="288"/>
        <v>0</v>
      </c>
    </row>
    <row r="18415" spans="3:4" ht="15" x14ac:dyDescent="0.25">
      <c r="C18415" s="8" t="e">
        <f>VLOOKUP(A:A,'ITEM LIST'!A:C,3,0)</f>
        <v>#N/A</v>
      </c>
      <c r="D18415" s="6">
        <f t="shared" si="288"/>
        <v>0</v>
      </c>
    </row>
    <row r="18416" spans="3:4" ht="15" x14ac:dyDescent="0.25">
      <c r="C18416" s="8" t="e">
        <f>VLOOKUP(A:A,'ITEM LIST'!A:C,3,0)</f>
        <v>#N/A</v>
      </c>
      <c r="D18416" s="6">
        <f t="shared" si="288"/>
        <v>0</v>
      </c>
    </row>
    <row r="18417" spans="3:4" ht="15" x14ac:dyDescent="0.25">
      <c r="C18417" s="8" t="e">
        <f>VLOOKUP(A:A,'ITEM LIST'!A:C,3,0)</f>
        <v>#N/A</v>
      </c>
      <c r="D18417" s="6">
        <f t="shared" si="288"/>
        <v>0</v>
      </c>
    </row>
    <row r="18418" spans="3:4" ht="15" x14ac:dyDescent="0.25">
      <c r="C18418" s="8" t="e">
        <f>VLOOKUP(A:A,'ITEM LIST'!A:C,3,0)</f>
        <v>#N/A</v>
      </c>
      <c r="D18418" s="6">
        <f t="shared" si="288"/>
        <v>0</v>
      </c>
    </row>
    <row r="18419" spans="3:4" ht="15" x14ac:dyDescent="0.25">
      <c r="C18419" s="8" t="e">
        <f>VLOOKUP(A:A,'ITEM LIST'!A:C,3,0)</f>
        <v>#N/A</v>
      </c>
      <c r="D18419" s="6">
        <f t="shared" si="288"/>
        <v>0</v>
      </c>
    </row>
    <row r="18420" spans="3:4" ht="15" x14ac:dyDescent="0.25">
      <c r="C18420" s="8" t="e">
        <f>VLOOKUP(A:A,'ITEM LIST'!A:C,3,0)</f>
        <v>#N/A</v>
      </c>
      <c r="D18420" s="6">
        <f t="shared" si="288"/>
        <v>0</v>
      </c>
    </row>
    <row r="18421" spans="3:4" ht="15" x14ac:dyDescent="0.25">
      <c r="C18421" s="8" t="e">
        <f>VLOOKUP(A:A,'ITEM LIST'!A:C,3,0)</f>
        <v>#N/A</v>
      </c>
      <c r="D18421" s="6">
        <f t="shared" si="288"/>
        <v>0</v>
      </c>
    </row>
    <row r="18422" spans="3:4" ht="15" x14ac:dyDescent="0.25">
      <c r="C18422" s="8" t="e">
        <f>VLOOKUP(A:A,'ITEM LIST'!A:C,3,0)</f>
        <v>#N/A</v>
      </c>
      <c r="D18422" s="6">
        <f t="shared" si="288"/>
        <v>0</v>
      </c>
    </row>
    <row r="18423" spans="3:4" ht="15" x14ac:dyDescent="0.25">
      <c r="C18423" s="8" t="e">
        <f>VLOOKUP(A:A,'ITEM LIST'!A:C,3,0)</f>
        <v>#N/A</v>
      </c>
      <c r="D18423" s="6">
        <f t="shared" si="288"/>
        <v>0</v>
      </c>
    </row>
    <row r="18424" spans="3:4" ht="15" x14ac:dyDescent="0.25">
      <c r="C18424" s="8" t="e">
        <f>VLOOKUP(A:A,'ITEM LIST'!A:C,3,0)</f>
        <v>#N/A</v>
      </c>
      <c r="D18424" s="6">
        <f t="shared" si="288"/>
        <v>0</v>
      </c>
    </row>
    <row r="18425" spans="3:4" ht="15" x14ac:dyDescent="0.25">
      <c r="C18425" s="8" t="e">
        <f>VLOOKUP(A:A,'ITEM LIST'!A:C,3,0)</f>
        <v>#N/A</v>
      </c>
      <c r="D18425" s="6">
        <f t="shared" si="288"/>
        <v>0</v>
      </c>
    </row>
    <row r="18426" spans="3:4" ht="15" x14ac:dyDescent="0.25">
      <c r="C18426" s="8" t="e">
        <f>VLOOKUP(A:A,'ITEM LIST'!A:C,3,0)</f>
        <v>#N/A</v>
      </c>
      <c r="D18426" s="6">
        <f t="shared" si="288"/>
        <v>0</v>
      </c>
    </row>
    <row r="18427" spans="3:4" ht="15" x14ac:dyDescent="0.25">
      <c r="C18427" s="8" t="e">
        <f>VLOOKUP(A:A,'ITEM LIST'!A:C,3,0)</f>
        <v>#N/A</v>
      </c>
      <c r="D18427" s="6">
        <f t="shared" si="288"/>
        <v>0</v>
      </c>
    </row>
    <row r="18428" spans="3:4" ht="15" x14ac:dyDescent="0.25">
      <c r="C18428" s="8" t="e">
        <f>VLOOKUP(A:A,'ITEM LIST'!A:C,3,0)</f>
        <v>#N/A</v>
      </c>
      <c r="D18428" s="6">
        <f t="shared" si="288"/>
        <v>0</v>
      </c>
    </row>
    <row r="18429" spans="3:4" ht="15" x14ac:dyDescent="0.25">
      <c r="C18429" s="8" t="e">
        <f>VLOOKUP(A:A,'ITEM LIST'!A:C,3,0)</f>
        <v>#N/A</v>
      </c>
      <c r="D18429" s="6">
        <f t="shared" si="288"/>
        <v>0</v>
      </c>
    </row>
    <row r="18430" spans="3:4" ht="15" x14ac:dyDescent="0.25">
      <c r="C18430" s="8" t="e">
        <f>VLOOKUP(A:A,'ITEM LIST'!A:C,3,0)</f>
        <v>#N/A</v>
      </c>
      <c r="D18430" s="6">
        <f t="shared" si="288"/>
        <v>0</v>
      </c>
    </row>
    <row r="18431" spans="3:4" ht="15" x14ac:dyDescent="0.25">
      <c r="C18431" s="8" t="e">
        <f>VLOOKUP(A:A,'ITEM LIST'!A:C,3,0)</f>
        <v>#N/A</v>
      </c>
      <c r="D18431" s="6">
        <f t="shared" si="288"/>
        <v>0</v>
      </c>
    </row>
    <row r="18432" spans="3:4" ht="15" x14ac:dyDescent="0.25">
      <c r="C18432" s="8" t="e">
        <f>VLOOKUP(A:A,'ITEM LIST'!A:C,3,0)</f>
        <v>#N/A</v>
      </c>
      <c r="D18432" s="6">
        <f t="shared" si="288"/>
        <v>0</v>
      </c>
    </row>
    <row r="18433" spans="3:4" ht="15" x14ac:dyDescent="0.25">
      <c r="C18433" s="8" t="e">
        <f>VLOOKUP(A:A,'ITEM LIST'!A:C,3,0)</f>
        <v>#N/A</v>
      </c>
      <c r="D18433" s="6">
        <f t="shared" si="288"/>
        <v>0</v>
      </c>
    </row>
    <row r="18434" spans="3:4" ht="15" x14ac:dyDescent="0.25">
      <c r="C18434" s="8" t="e">
        <f>VLOOKUP(A:A,'ITEM LIST'!A:C,3,0)</f>
        <v>#N/A</v>
      </c>
      <c r="D18434" s="6">
        <f t="shared" si="288"/>
        <v>0</v>
      </c>
    </row>
    <row r="18435" spans="3:4" ht="15" x14ac:dyDescent="0.25">
      <c r="C18435" s="8" t="e">
        <f>VLOOKUP(A:A,'ITEM LIST'!A:C,3,0)</f>
        <v>#N/A</v>
      </c>
      <c r="D18435" s="6">
        <f t="shared" si="288"/>
        <v>0</v>
      </c>
    </row>
    <row r="18436" spans="3:4" ht="15" x14ac:dyDescent="0.25">
      <c r="C18436" s="8" t="e">
        <f>VLOOKUP(A:A,'ITEM LIST'!A:C,3,0)</f>
        <v>#N/A</v>
      </c>
      <c r="D18436" s="6">
        <f t="shared" si="288"/>
        <v>0</v>
      </c>
    </row>
    <row r="18437" spans="3:4" ht="15" x14ac:dyDescent="0.25">
      <c r="C18437" s="8" t="e">
        <f>VLOOKUP(A:A,'ITEM LIST'!A:C,3,0)</f>
        <v>#N/A</v>
      </c>
      <c r="D18437" s="6">
        <f t="shared" si="288"/>
        <v>0</v>
      </c>
    </row>
    <row r="18438" spans="3:4" ht="15" x14ac:dyDescent="0.25">
      <c r="C18438" s="8" t="e">
        <f>VLOOKUP(A:A,'ITEM LIST'!A:C,3,0)</f>
        <v>#N/A</v>
      </c>
      <c r="D18438" s="6">
        <f t="shared" ref="D18438:D18501" si="289">B18438</f>
        <v>0</v>
      </c>
    </row>
    <row r="18439" spans="3:4" ht="15" x14ac:dyDescent="0.25">
      <c r="C18439" s="8" t="e">
        <f>VLOOKUP(A:A,'ITEM LIST'!A:C,3,0)</f>
        <v>#N/A</v>
      </c>
      <c r="D18439" s="6">
        <f t="shared" si="289"/>
        <v>0</v>
      </c>
    </row>
    <row r="18440" spans="3:4" ht="15" x14ac:dyDescent="0.25">
      <c r="C18440" s="8" t="e">
        <f>VLOOKUP(A:A,'ITEM LIST'!A:C,3,0)</f>
        <v>#N/A</v>
      </c>
      <c r="D18440" s="6">
        <f t="shared" si="289"/>
        <v>0</v>
      </c>
    </row>
    <row r="18441" spans="3:4" ht="15" x14ac:dyDescent="0.25">
      <c r="C18441" s="8" t="e">
        <f>VLOOKUP(A:A,'ITEM LIST'!A:C,3,0)</f>
        <v>#N/A</v>
      </c>
      <c r="D18441" s="6">
        <f t="shared" si="289"/>
        <v>0</v>
      </c>
    </row>
    <row r="18442" spans="3:4" ht="15" x14ac:dyDescent="0.25">
      <c r="C18442" s="8" t="e">
        <f>VLOOKUP(A:A,'ITEM LIST'!A:C,3,0)</f>
        <v>#N/A</v>
      </c>
      <c r="D18442" s="6">
        <f t="shared" si="289"/>
        <v>0</v>
      </c>
    </row>
    <row r="18443" spans="3:4" ht="15" x14ac:dyDescent="0.25">
      <c r="C18443" s="8" t="e">
        <f>VLOOKUP(A:A,'ITEM LIST'!A:C,3,0)</f>
        <v>#N/A</v>
      </c>
      <c r="D18443" s="6">
        <f t="shared" si="289"/>
        <v>0</v>
      </c>
    </row>
    <row r="18444" spans="3:4" ht="15" x14ac:dyDescent="0.25">
      <c r="C18444" s="8" t="e">
        <f>VLOOKUP(A:A,'ITEM LIST'!A:C,3,0)</f>
        <v>#N/A</v>
      </c>
      <c r="D18444" s="6">
        <f t="shared" si="289"/>
        <v>0</v>
      </c>
    </row>
    <row r="18445" spans="3:4" ht="15" x14ac:dyDescent="0.25">
      <c r="C18445" s="8" t="e">
        <f>VLOOKUP(A:A,'ITEM LIST'!A:C,3,0)</f>
        <v>#N/A</v>
      </c>
      <c r="D18445" s="6">
        <f t="shared" si="289"/>
        <v>0</v>
      </c>
    </row>
    <row r="18446" spans="3:4" ht="15" x14ac:dyDescent="0.25">
      <c r="C18446" s="8" t="e">
        <f>VLOOKUP(A:A,'ITEM LIST'!A:C,3,0)</f>
        <v>#N/A</v>
      </c>
      <c r="D18446" s="6">
        <f t="shared" si="289"/>
        <v>0</v>
      </c>
    </row>
    <row r="18447" spans="3:4" ht="15" x14ac:dyDescent="0.25">
      <c r="C18447" s="8" t="e">
        <f>VLOOKUP(A:A,'ITEM LIST'!A:C,3,0)</f>
        <v>#N/A</v>
      </c>
      <c r="D18447" s="6">
        <f t="shared" si="289"/>
        <v>0</v>
      </c>
    </row>
    <row r="18448" spans="3:4" ht="15" x14ac:dyDescent="0.25">
      <c r="C18448" s="8" t="e">
        <f>VLOOKUP(A:A,'ITEM LIST'!A:C,3,0)</f>
        <v>#N/A</v>
      </c>
      <c r="D18448" s="6">
        <f t="shared" si="289"/>
        <v>0</v>
      </c>
    </row>
    <row r="18449" spans="3:4" ht="15" x14ac:dyDescent="0.25">
      <c r="C18449" s="8" t="e">
        <f>VLOOKUP(A:A,'ITEM LIST'!A:C,3,0)</f>
        <v>#N/A</v>
      </c>
      <c r="D18449" s="6">
        <f t="shared" si="289"/>
        <v>0</v>
      </c>
    </row>
    <row r="18450" spans="3:4" ht="15" x14ac:dyDescent="0.25">
      <c r="C18450" s="8" t="e">
        <f>VLOOKUP(A:A,'ITEM LIST'!A:C,3,0)</f>
        <v>#N/A</v>
      </c>
      <c r="D18450" s="6">
        <f t="shared" si="289"/>
        <v>0</v>
      </c>
    </row>
    <row r="18451" spans="3:4" ht="15" x14ac:dyDescent="0.25">
      <c r="C18451" s="8" t="e">
        <f>VLOOKUP(A:A,'ITEM LIST'!A:C,3,0)</f>
        <v>#N/A</v>
      </c>
      <c r="D18451" s="6">
        <f t="shared" si="289"/>
        <v>0</v>
      </c>
    </row>
    <row r="18452" spans="3:4" ht="15" x14ac:dyDescent="0.25">
      <c r="C18452" s="8" t="e">
        <f>VLOOKUP(A:A,'ITEM LIST'!A:C,3,0)</f>
        <v>#N/A</v>
      </c>
      <c r="D18452" s="6">
        <f t="shared" si="289"/>
        <v>0</v>
      </c>
    </row>
    <row r="18453" spans="3:4" ht="15" x14ac:dyDescent="0.25">
      <c r="C18453" s="8" t="e">
        <f>VLOOKUP(A:A,'ITEM LIST'!A:C,3,0)</f>
        <v>#N/A</v>
      </c>
      <c r="D18453" s="6">
        <f t="shared" si="289"/>
        <v>0</v>
      </c>
    </row>
    <row r="18454" spans="3:4" ht="15" x14ac:dyDescent="0.25">
      <c r="C18454" s="8" t="e">
        <f>VLOOKUP(A:A,'ITEM LIST'!A:C,3,0)</f>
        <v>#N/A</v>
      </c>
      <c r="D18454" s="6">
        <f t="shared" si="289"/>
        <v>0</v>
      </c>
    </row>
    <row r="18455" spans="3:4" ht="15" x14ac:dyDescent="0.25">
      <c r="C18455" s="8" t="e">
        <f>VLOOKUP(A:A,'ITEM LIST'!A:C,3,0)</f>
        <v>#N/A</v>
      </c>
      <c r="D18455" s="6">
        <f t="shared" si="289"/>
        <v>0</v>
      </c>
    </row>
    <row r="18456" spans="3:4" ht="15" x14ac:dyDescent="0.25">
      <c r="C18456" s="8" t="e">
        <f>VLOOKUP(A:A,'ITEM LIST'!A:C,3,0)</f>
        <v>#N/A</v>
      </c>
      <c r="D18456" s="6">
        <f t="shared" si="289"/>
        <v>0</v>
      </c>
    </row>
    <row r="18457" spans="3:4" ht="15" x14ac:dyDescent="0.25">
      <c r="C18457" s="8" t="e">
        <f>VLOOKUP(A:A,'ITEM LIST'!A:C,3,0)</f>
        <v>#N/A</v>
      </c>
      <c r="D18457" s="6">
        <f t="shared" si="289"/>
        <v>0</v>
      </c>
    </row>
    <row r="18458" spans="3:4" ht="15" x14ac:dyDescent="0.25">
      <c r="C18458" s="8" t="e">
        <f>VLOOKUP(A:A,'ITEM LIST'!A:C,3,0)</f>
        <v>#N/A</v>
      </c>
      <c r="D18458" s="6">
        <f t="shared" si="289"/>
        <v>0</v>
      </c>
    </row>
    <row r="18459" spans="3:4" ht="15" x14ac:dyDescent="0.25">
      <c r="C18459" s="8" t="e">
        <f>VLOOKUP(A:A,'ITEM LIST'!A:C,3,0)</f>
        <v>#N/A</v>
      </c>
      <c r="D18459" s="6">
        <f t="shared" si="289"/>
        <v>0</v>
      </c>
    </row>
    <row r="18460" spans="3:4" ht="15" x14ac:dyDescent="0.25">
      <c r="C18460" s="8" t="e">
        <f>VLOOKUP(A:A,'ITEM LIST'!A:C,3,0)</f>
        <v>#N/A</v>
      </c>
      <c r="D18460" s="6">
        <f t="shared" si="289"/>
        <v>0</v>
      </c>
    </row>
    <row r="18461" spans="3:4" ht="15" x14ac:dyDescent="0.25">
      <c r="C18461" s="8" t="e">
        <f>VLOOKUP(A:A,'ITEM LIST'!A:C,3,0)</f>
        <v>#N/A</v>
      </c>
      <c r="D18461" s="6">
        <f t="shared" si="289"/>
        <v>0</v>
      </c>
    </row>
    <row r="18462" spans="3:4" ht="15" x14ac:dyDescent="0.25">
      <c r="C18462" s="8" t="e">
        <f>VLOOKUP(A:A,'ITEM LIST'!A:C,3,0)</f>
        <v>#N/A</v>
      </c>
      <c r="D18462" s="6">
        <f t="shared" si="289"/>
        <v>0</v>
      </c>
    </row>
    <row r="18463" spans="3:4" ht="15" x14ac:dyDescent="0.25">
      <c r="C18463" s="8" t="e">
        <f>VLOOKUP(A:A,'ITEM LIST'!A:C,3,0)</f>
        <v>#N/A</v>
      </c>
      <c r="D18463" s="6">
        <f t="shared" si="289"/>
        <v>0</v>
      </c>
    </row>
    <row r="18464" spans="3:4" ht="15" x14ac:dyDescent="0.25">
      <c r="C18464" s="8" t="e">
        <f>VLOOKUP(A:A,'ITEM LIST'!A:C,3,0)</f>
        <v>#N/A</v>
      </c>
      <c r="D18464" s="6">
        <f t="shared" si="289"/>
        <v>0</v>
      </c>
    </row>
    <row r="18465" spans="3:4" ht="15" x14ac:dyDescent="0.25">
      <c r="C18465" s="8" t="e">
        <f>VLOOKUP(A:A,'ITEM LIST'!A:C,3,0)</f>
        <v>#N/A</v>
      </c>
      <c r="D18465" s="6">
        <f t="shared" si="289"/>
        <v>0</v>
      </c>
    </row>
    <row r="18466" spans="3:4" ht="15" x14ac:dyDescent="0.25">
      <c r="C18466" s="8" t="e">
        <f>VLOOKUP(A:A,'ITEM LIST'!A:C,3,0)</f>
        <v>#N/A</v>
      </c>
      <c r="D18466" s="6">
        <f t="shared" si="289"/>
        <v>0</v>
      </c>
    </row>
    <row r="18467" spans="3:4" ht="15" x14ac:dyDescent="0.25">
      <c r="C18467" s="8" t="e">
        <f>VLOOKUP(A:A,'ITEM LIST'!A:C,3,0)</f>
        <v>#N/A</v>
      </c>
      <c r="D18467" s="6">
        <f t="shared" si="289"/>
        <v>0</v>
      </c>
    </row>
    <row r="18468" spans="3:4" ht="15" x14ac:dyDescent="0.25">
      <c r="C18468" s="8" t="e">
        <f>VLOOKUP(A:A,'ITEM LIST'!A:C,3,0)</f>
        <v>#N/A</v>
      </c>
      <c r="D18468" s="6">
        <f t="shared" si="289"/>
        <v>0</v>
      </c>
    </row>
    <row r="18469" spans="3:4" ht="15" x14ac:dyDescent="0.25">
      <c r="C18469" s="8" t="e">
        <f>VLOOKUP(A:A,'ITEM LIST'!A:C,3,0)</f>
        <v>#N/A</v>
      </c>
      <c r="D18469" s="6">
        <f t="shared" si="289"/>
        <v>0</v>
      </c>
    </row>
    <row r="18470" spans="3:4" ht="15" x14ac:dyDescent="0.25">
      <c r="C18470" s="8" t="e">
        <f>VLOOKUP(A:A,'ITEM LIST'!A:C,3,0)</f>
        <v>#N/A</v>
      </c>
      <c r="D18470" s="6">
        <f t="shared" si="289"/>
        <v>0</v>
      </c>
    </row>
    <row r="18471" spans="3:4" ht="15" x14ac:dyDescent="0.25">
      <c r="C18471" s="8" t="e">
        <f>VLOOKUP(A:A,'ITEM LIST'!A:C,3,0)</f>
        <v>#N/A</v>
      </c>
      <c r="D18471" s="6">
        <f t="shared" si="289"/>
        <v>0</v>
      </c>
    </row>
    <row r="18472" spans="3:4" ht="15" x14ac:dyDescent="0.25">
      <c r="C18472" s="8" t="e">
        <f>VLOOKUP(A:A,'ITEM LIST'!A:C,3,0)</f>
        <v>#N/A</v>
      </c>
      <c r="D18472" s="6">
        <f t="shared" si="289"/>
        <v>0</v>
      </c>
    </row>
    <row r="18473" spans="3:4" ht="15" x14ac:dyDescent="0.25">
      <c r="C18473" s="8" t="e">
        <f>VLOOKUP(A:A,'ITEM LIST'!A:C,3,0)</f>
        <v>#N/A</v>
      </c>
      <c r="D18473" s="6">
        <f t="shared" si="289"/>
        <v>0</v>
      </c>
    </row>
    <row r="18474" spans="3:4" ht="15" x14ac:dyDescent="0.25">
      <c r="C18474" s="8" t="e">
        <f>VLOOKUP(A:A,'ITEM LIST'!A:C,3,0)</f>
        <v>#N/A</v>
      </c>
      <c r="D18474" s="6">
        <f t="shared" si="289"/>
        <v>0</v>
      </c>
    </row>
    <row r="18475" spans="3:4" ht="15" x14ac:dyDescent="0.25">
      <c r="C18475" s="8" t="e">
        <f>VLOOKUP(A:A,'ITEM LIST'!A:C,3,0)</f>
        <v>#N/A</v>
      </c>
      <c r="D18475" s="6">
        <f t="shared" si="289"/>
        <v>0</v>
      </c>
    </row>
    <row r="18476" spans="3:4" ht="15" x14ac:dyDescent="0.25">
      <c r="C18476" s="8" t="e">
        <f>VLOOKUP(A:A,'ITEM LIST'!A:C,3,0)</f>
        <v>#N/A</v>
      </c>
      <c r="D18476" s="6">
        <f t="shared" si="289"/>
        <v>0</v>
      </c>
    </row>
    <row r="18477" spans="3:4" ht="15" x14ac:dyDescent="0.25">
      <c r="C18477" s="8" t="e">
        <f>VLOOKUP(A:A,'ITEM LIST'!A:C,3,0)</f>
        <v>#N/A</v>
      </c>
      <c r="D18477" s="6">
        <f t="shared" si="289"/>
        <v>0</v>
      </c>
    </row>
    <row r="18478" spans="3:4" ht="15" x14ac:dyDescent="0.25">
      <c r="C18478" s="8" t="e">
        <f>VLOOKUP(A:A,'ITEM LIST'!A:C,3,0)</f>
        <v>#N/A</v>
      </c>
      <c r="D18478" s="6">
        <f t="shared" si="289"/>
        <v>0</v>
      </c>
    </row>
    <row r="18479" spans="3:4" ht="15" x14ac:dyDescent="0.25">
      <c r="C18479" s="8" t="e">
        <f>VLOOKUP(A:A,'ITEM LIST'!A:C,3,0)</f>
        <v>#N/A</v>
      </c>
      <c r="D18479" s="6">
        <f t="shared" si="289"/>
        <v>0</v>
      </c>
    </row>
    <row r="18480" spans="3:4" ht="15" x14ac:dyDescent="0.25">
      <c r="C18480" s="8" t="e">
        <f>VLOOKUP(A:A,'ITEM LIST'!A:C,3,0)</f>
        <v>#N/A</v>
      </c>
      <c r="D18480" s="6">
        <f t="shared" si="289"/>
        <v>0</v>
      </c>
    </row>
    <row r="18481" spans="3:4" ht="15" x14ac:dyDescent="0.25">
      <c r="C18481" s="8" t="e">
        <f>VLOOKUP(A:A,'ITEM LIST'!A:C,3,0)</f>
        <v>#N/A</v>
      </c>
      <c r="D18481" s="6">
        <f t="shared" si="289"/>
        <v>0</v>
      </c>
    </row>
    <row r="18482" spans="3:4" ht="15" x14ac:dyDescent="0.25">
      <c r="C18482" s="8" t="e">
        <f>VLOOKUP(A:A,'ITEM LIST'!A:C,3,0)</f>
        <v>#N/A</v>
      </c>
      <c r="D18482" s="6">
        <f t="shared" si="289"/>
        <v>0</v>
      </c>
    </row>
    <row r="18483" spans="3:4" ht="15" x14ac:dyDescent="0.25">
      <c r="C18483" s="8" t="e">
        <f>VLOOKUP(A:A,'ITEM LIST'!A:C,3,0)</f>
        <v>#N/A</v>
      </c>
      <c r="D18483" s="6">
        <f t="shared" si="289"/>
        <v>0</v>
      </c>
    </row>
    <row r="18484" spans="3:4" ht="15" x14ac:dyDescent="0.25">
      <c r="C18484" s="8" t="e">
        <f>VLOOKUP(A:A,'ITEM LIST'!A:C,3,0)</f>
        <v>#N/A</v>
      </c>
      <c r="D18484" s="6">
        <f t="shared" si="289"/>
        <v>0</v>
      </c>
    </row>
    <row r="18485" spans="3:4" ht="15" x14ac:dyDescent="0.25">
      <c r="C18485" s="8" t="e">
        <f>VLOOKUP(A:A,'ITEM LIST'!A:C,3,0)</f>
        <v>#N/A</v>
      </c>
      <c r="D18485" s="6">
        <f t="shared" si="289"/>
        <v>0</v>
      </c>
    </row>
    <row r="18486" spans="3:4" ht="15" x14ac:dyDescent="0.25">
      <c r="C18486" s="8" t="e">
        <f>VLOOKUP(A:A,'ITEM LIST'!A:C,3,0)</f>
        <v>#N/A</v>
      </c>
      <c r="D18486" s="6">
        <f t="shared" si="289"/>
        <v>0</v>
      </c>
    </row>
    <row r="18487" spans="3:4" ht="15" x14ac:dyDescent="0.25">
      <c r="C18487" s="8" t="e">
        <f>VLOOKUP(A:A,'ITEM LIST'!A:C,3,0)</f>
        <v>#N/A</v>
      </c>
      <c r="D18487" s="6">
        <f t="shared" si="289"/>
        <v>0</v>
      </c>
    </row>
    <row r="18488" spans="3:4" ht="15" x14ac:dyDescent="0.25">
      <c r="C18488" s="8" t="e">
        <f>VLOOKUP(A:A,'ITEM LIST'!A:C,3,0)</f>
        <v>#N/A</v>
      </c>
      <c r="D18488" s="6">
        <f t="shared" si="289"/>
        <v>0</v>
      </c>
    </row>
    <row r="18489" spans="3:4" ht="15" x14ac:dyDescent="0.25">
      <c r="C18489" s="8" t="e">
        <f>VLOOKUP(A:A,'ITEM LIST'!A:C,3,0)</f>
        <v>#N/A</v>
      </c>
      <c r="D18489" s="6">
        <f t="shared" si="289"/>
        <v>0</v>
      </c>
    </row>
    <row r="18490" spans="3:4" ht="15" x14ac:dyDescent="0.25">
      <c r="C18490" s="8" t="e">
        <f>VLOOKUP(A:A,'ITEM LIST'!A:C,3,0)</f>
        <v>#N/A</v>
      </c>
      <c r="D18490" s="6">
        <f t="shared" si="289"/>
        <v>0</v>
      </c>
    </row>
    <row r="18491" spans="3:4" ht="15" x14ac:dyDescent="0.25">
      <c r="C18491" s="8" t="e">
        <f>VLOOKUP(A:A,'ITEM LIST'!A:C,3,0)</f>
        <v>#N/A</v>
      </c>
      <c r="D18491" s="6">
        <f t="shared" si="289"/>
        <v>0</v>
      </c>
    </row>
    <row r="18492" spans="3:4" ht="15" x14ac:dyDescent="0.25">
      <c r="C18492" s="8" t="e">
        <f>VLOOKUP(A:A,'ITEM LIST'!A:C,3,0)</f>
        <v>#N/A</v>
      </c>
      <c r="D18492" s="6">
        <f t="shared" si="289"/>
        <v>0</v>
      </c>
    </row>
    <row r="18493" spans="3:4" ht="15" x14ac:dyDescent="0.25">
      <c r="C18493" s="8" t="e">
        <f>VLOOKUP(A:A,'ITEM LIST'!A:C,3,0)</f>
        <v>#N/A</v>
      </c>
      <c r="D18493" s="6">
        <f t="shared" si="289"/>
        <v>0</v>
      </c>
    </row>
    <row r="18494" spans="3:4" ht="15" x14ac:dyDescent="0.25">
      <c r="C18494" s="8" t="e">
        <f>VLOOKUP(A:A,'ITEM LIST'!A:C,3,0)</f>
        <v>#N/A</v>
      </c>
      <c r="D18494" s="6">
        <f t="shared" si="289"/>
        <v>0</v>
      </c>
    </row>
    <row r="18495" spans="3:4" ht="15" x14ac:dyDescent="0.25">
      <c r="C18495" s="8" t="e">
        <f>VLOOKUP(A:A,'ITEM LIST'!A:C,3,0)</f>
        <v>#N/A</v>
      </c>
      <c r="D18495" s="6">
        <f t="shared" si="289"/>
        <v>0</v>
      </c>
    </row>
    <row r="18496" spans="3:4" ht="15" x14ac:dyDescent="0.25">
      <c r="C18496" s="8" t="e">
        <f>VLOOKUP(A:A,'ITEM LIST'!A:C,3,0)</f>
        <v>#N/A</v>
      </c>
      <c r="D18496" s="6">
        <f t="shared" si="289"/>
        <v>0</v>
      </c>
    </row>
    <row r="18497" spans="3:4" ht="15" x14ac:dyDescent="0.25">
      <c r="C18497" s="8" t="e">
        <f>VLOOKUP(A:A,'ITEM LIST'!A:C,3,0)</f>
        <v>#N/A</v>
      </c>
      <c r="D18497" s="6">
        <f t="shared" si="289"/>
        <v>0</v>
      </c>
    </row>
    <row r="18498" spans="3:4" ht="15" x14ac:dyDescent="0.25">
      <c r="C18498" s="8" t="e">
        <f>VLOOKUP(A:A,'ITEM LIST'!A:C,3,0)</f>
        <v>#N/A</v>
      </c>
      <c r="D18498" s="6">
        <f t="shared" si="289"/>
        <v>0</v>
      </c>
    </row>
    <row r="18499" spans="3:4" ht="15" x14ac:dyDescent="0.25">
      <c r="C18499" s="8" t="e">
        <f>VLOOKUP(A:A,'ITEM LIST'!A:C,3,0)</f>
        <v>#N/A</v>
      </c>
      <c r="D18499" s="6">
        <f t="shared" si="289"/>
        <v>0</v>
      </c>
    </row>
    <row r="18500" spans="3:4" ht="15" x14ac:dyDescent="0.25">
      <c r="C18500" s="8" t="e">
        <f>VLOOKUP(A:A,'ITEM LIST'!A:C,3,0)</f>
        <v>#N/A</v>
      </c>
      <c r="D18500" s="6">
        <f t="shared" si="289"/>
        <v>0</v>
      </c>
    </row>
    <row r="18501" spans="3:4" ht="15" x14ac:dyDescent="0.25">
      <c r="C18501" s="8" t="e">
        <f>VLOOKUP(A:A,'ITEM LIST'!A:C,3,0)</f>
        <v>#N/A</v>
      </c>
      <c r="D18501" s="6">
        <f t="shared" si="289"/>
        <v>0</v>
      </c>
    </row>
    <row r="18502" spans="3:4" ht="15" x14ac:dyDescent="0.25">
      <c r="C18502" s="8" t="e">
        <f>VLOOKUP(A:A,'ITEM LIST'!A:C,3,0)</f>
        <v>#N/A</v>
      </c>
      <c r="D18502" s="6">
        <f t="shared" ref="D18502:D18565" si="290">B18502</f>
        <v>0</v>
      </c>
    </row>
    <row r="18503" spans="3:4" ht="15" x14ac:dyDescent="0.25">
      <c r="C18503" s="8" t="e">
        <f>VLOOKUP(A:A,'ITEM LIST'!A:C,3,0)</f>
        <v>#N/A</v>
      </c>
      <c r="D18503" s="6">
        <f t="shared" si="290"/>
        <v>0</v>
      </c>
    </row>
    <row r="18504" spans="3:4" ht="15" x14ac:dyDescent="0.25">
      <c r="C18504" s="8" t="e">
        <f>VLOOKUP(A:A,'ITEM LIST'!A:C,3,0)</f>
        <v>#N/A</v>
      </c>
      <c r="D18504" s="6">
        <f t="shared" si="290"/>
        <v>0</v>
      </c>
    </row>
    <row r="18505" spans="3:4" ht="15" x14ac:dyDescent="0.25">
      <c r="C18505" s="8" t="e">
        <f>VLOOKUP(A:A,'ITEM LIST'!A:C,3,0)</f>
        <v>#N/A</v>
      </c>
      <c r="D18505" s="6">
        <f t="shared" si="290"/>
        <v>0</v>
      </c>
    </row>
    <row r="18506" spans="3:4" ht="15" x14ac:dyDescent="0.25">
      <c r="C18506" s="8" t="e">
        <f>VLOOKUP(A:A,'ITEM LIST'!A:C,3,0)</f>
        <v>#N/A</v>
      </c>
      <c r="D18506" s="6">
        <f t="shared" si="290"/>
        <v>0</v>
      </c>
    </row>
    <row r="18507" spans="3:4" ht="15" x14ac:dyDescent="0.25">
      <c r="C18507" s="8" t="e">
        <f>VLOOKUP(A:A,'ITEM LIST'!A:C,3,0)</f>
        <v>#N/A</v>
      </c>
      <c r="D18507" s="6">
        <f t="shared" si="290"/>
        <v>0</v>
      </c>
    </row>
    <row r="18508" spans="3:4" ht="15" x14ac:dyDescent="0.25">
      <c r="C18508" s="8" t="e">
        <f>VLOOKUP(A:A,'ITEM LIST'!A:C,3,0)</f>
        <v>#N/A</v>
      </c>
      <c r="D18508" s="6">
        <f t="shared" si="290"/>
        <v>0</v>
      </c>
    </row>
    <row r="18509" spans="3:4" ht="15" x14ac:dyDescent="0.25">
      <c r="C18509" s="8" t="e">
        <f>VLOOKUP(A:A,'ITEM LIST'!A:C,3,0)</f>
        <v>#N/A</v>
      </c>
      <c r="D18509" s="6">
        <f t="shared" si="290"/>
        <v>0</v>
      </c>
    </row>
    <row r="18510" spans="3:4" ht="15" x14ac:dyDescent="0.25">
      <c r="C18510" s="8" t="e">
        <f>VLOOKUP(A:A,'ITEM LIST'!A:C,3,0)</f>
        <v>#N/A</v>
      </c>
      <c r="D18510" s="6">
        <f t="shared" si="290"/>
        <v>0</v>
      </c>
    </row>
    <row r="18511" spans="3:4" ht="15" x14ac:dyDescent="0.25">
      <c r="C18511" s="8" t="e">
        <f>VLOOKUP(A:A,'ITEM LIST'!A:C,3,0)</f>
        <v>#N/A</v>
      </c>
      <c r="D18511" s="6">
        <f t="shared" si="290"/>
        <v>0</v>
      </c>
    </row>
    <row r="18512" spans="3:4" ht="15" x14ac:dyDescent="0.25">
      <c r="C18512" s="8" t="e">
        <f>VLOOKUP(A:A,'ITEM LIST'!A:C,3,0)</f>
        <v>#N/A</v>
      </c>
      <c r="D18512" s="6">
        <f t="shared" si="290"/>
        <v>0</v>
      </c>
    </row>
    <row r="18513" spans="3:4" ht="15" x14ac:dyDescent="0.25">
      <c r="C18513" s="8" t="e">
        <f>VLOOKUP(A:A,'ITEM LIST'!A:C,3,0)</f>
        <v>#N/A</v>
      </c>
      <c r="D18513" s="6">
        <f t="shared" si="290"/>
        <v>0</v>
      </c>
    </row>
    <row r="18514" spans="3:4" ht="15" x14ac:dyDescent="0.25">
      <c r="C18514" s="8" t="e">
        <f>VLOOKUP(A:A,'ITEM LIST'!A:C,3,0)</f>
        <v>#N/A</v>
      </c>
      <c r="D18514" s="6">
        <f t="shared" si="290"/>
        <v>0</v>
      </c>
    </row>
    <row r="18515" spans="3:4" ht="15" x14ac:dyDescent="0.25">
      <c r="C18515" s="8" t="e">
        <f>VLOOKUP(A:A,'ITEM LIST'!A:C,3,0)</f>
        <v>#N/A</v>
      </c>
      <c r="D18515" s="6">
        <f t="shared" si="290"/>
        <v>0</v>
      </c>
    </row>
    <row r="18516" spans="3:4" ht="15" x14ac:dyDescent="0.25">
      <c r="C18516" s="8" t="e">
        <f>VLOOKUP(A:A,'ITEM LIST'!A:C,3,0)</f>
        <v>#N/A</v>
      </c>
      <c r="D18516" s="6">
        <f t="shared" si="290"/>
        <v>0</v>
      </c>
    </row>
    <row r="18517" spans="3:4" ht="15" x14ac:dyDescent="0.25">
      <c r="C18517" s="8" t="e">
        <f>VLOOKUP(A:A,'ITEM LIST'!A:C,3,0)</f>
        <v>#N/A</v>
      </c>
      <c r="D18517" s="6">
        <f t="shared" si="290"/>
        <v>0</v>
      </c>
    </row>
    <row r="18518" spans="3:4" ht="15" x14ac:dyDescent="0.25">
      <c r="C18518" s="8" t="e">
        <f>VLOOKUP(A:A,'ITEM LIST'!A:C,3,0)</f>
        <v>#N/A</v>
      </c>
      <c r="D18518" s="6">
        <f t="shared" si="290"/>
        <v>0</v>
      </c>
    </row>
    <row r="18519" spans="3:4" ht="15" x14ac:dyDescent="0.25">
      <c r="C18519" s="8" t="e">
        <f>VLOOKUP(A:A,'ITEM LIST'!A:C,3,0)</f>
        <v>#N/A</v>
      </c>
      <c r="D18519" s="6">
        <f t="shared" si="290"/>
        <v>0</v>
      </c>
    </row>
    <row r="18520" spans="3:4" ht="15" x14ac:dyDescent="0.25">
      <c r="C18520" s="8" t="e">
        <f>VLOOKUP(A:A,'ITEM LIST'!A:C,3,0)</f>
        <v>#N/A</v>
      </c>
      <c r="D18520" s="6">
        <f t="shared" si="290"/>
        <v>0</v>
      </c>
    </row>
    <row r="18521" spans="3:4" ht="15" x14ac:dyDescent="0.25">
      <c r="C18521" s="8" t="e">
        <f>VLOOKUP(A:A,'ITEM LIST'!A:C,3,0)</f>
        <v>#N/A</v>
      </c>
      <c r="D18521" s="6">
        <f t="shared" si="290"/>
        <v>0</v>
      </c>
    </row>
    <row r="18522" spans="3:4" ht="15" x14ac:dyDescent="0.25">
      <c r="C18522" s="8" t="e">
        <f>VLOOKUP(A:A,'ITEM LIST'!A:C,3,0)</f>
        <v>#N/A</v>
      </c>
      <c r="D18522" s="6">
        <f t="shared" si="290"/>
        <v>0</v>
      </c>
    </row>
    <row r="18523" spans="3:4" ht="15" x14ac:dyDescent="0.25">
      <c r="C18523" s="8" t="e">
        <f>VLOOKUP(A:A,'ITEM LIST'!A:C,3,0)</f>
        <v>#N/A</v>
      </c>
      <c r="D18523" s="6">
        <f t="shared" si="290"/>
        <v>0</v>
      </c>
    </row>
    <row r="18524" spans="3:4" ht="15" x14ac:dyDescent="0.25">
      <c r="C18524" s="8" t="e">
        <f>VLOOKUP(A:A,'ITEM LIST'!A:C,3,0)</f>
        <v>#N/A</v>
      </c>
      <c r="D18524" s="6">
        <f t="shared" si="290"/>
        <v>0</v>
      </c>
    </row>
    <row r="18525" spans="3:4" ht="15" x14ac:dyDescent="0.25">
      <c r="C18525" s="8" t="e">
        <f>VLOOKUP(A:A,'ITEM LIST'!A:C,3,0)</f>
        <v>#N/A</v>
      </c>
      <c r="D18525" s="6">
        <f t="shared" si="290"/>
        <v>0</v>
      </c>
    </row>
    <row r="18526" spans="3:4" ht="15" x14ac:dyDescent="0.25">
      <c r="C18526" s="8" t="e">
        <f>VLOOKUP(A:A,'ITEM LIST'!A:C,3,0)</f>
        <v>#N/A</v>
      </c>
      <c r="D18526" s="6">
        <f t="shared" si="290"/>
        <v>0</v>
      </c>
    </row>
    <row r="18527" spans="3:4" ht="15" x14ac:dyDescent="0.25">
      <c r="C18527" s="8" t="e">
        <f>VLOOKUP(A:A,'ITEM LIST'!A:C,3,0)</f>
        <v>#N/A</v>
      </c>
      <c r="D18527" s="6">
        <f t="shared" si="290"/>
        <v>0</v>
      </c>
    </row>
    <row r="18528" spans="3:4" ht="15" x14ac:dyDescent="0.25">
      <c r="C18528" s="8" t="e">
        <f>VLOOKUP(A:A,'ITEM LIST'!A:C,3,0)</f>
        <v>#N/A</v>
      </c>
      <c r="D18528" s="6">
        <f t="shared" si="290"/>
        <v>0</v>
      </c>
    </row>
    <row r="18529" spans="3:4" ht="15" x14ac:dyDescent="0.25">
      <c r="C18529" s="8" t="e">
        <f>VLOOKUP(A:A,'ITEM LIST'!A:C,3,0)</f>
        <v>#N/A</v>
      </c>
      <c r="D18529" s="6">
        <f t="shared" si="290"/>
        <v>0</v>
      </c>
    </row>
    <row r="18530" spans="3:4" ht="15" x14ac:dyDescent="0.25">
      <c r="C18530" s="8" t="e">
        <f>VLOOKUP(A:A,'ITEM LIST'!A:C,3,0)</f>
        <v>#N/A</v>
      </c>
      <c r="D18530" s="6">
        <f t="shared" si="290"/>
        <v>0</v>
      </c>
    </row>
    <row r="18531" spans="3:4" ht="15" x14ac:dyDescent="0.25">
      <c r="C18531" s="8" t="e">
        <f>VLOOKUP(A:A,'ITEM LIST'!A:C,3,0)</f>
        <v>#N/A</v>
      </c>
      <c r="D18531" s="6">
        <f t="shared" si="290"/>
        <v>0</v>
      </c>
    </row>
    <row r="18532" spans="3:4" ht="15" x14ac:dyDescent="0.25">
      <c r="C18532" s="8" t="e">
        <f>VLOOKUP(A:A,'ITEM LIST'!A:C,3,0)</f>
        <v>#N/A</v>
      </c>
      <c r="D18532" s="6">
        <f t="shared" si="290"/>
        <v>0</v>
      </c>
    </row>
    <row r="18533" spans="3:4" ht="15" x14ac:dyDescent="0.25">
      <c r="C18533" s="8" t="e">
        <f>VLOOKUP(A:A,'ITEM LIST'!A:C,3,0)</f>
        <v>#N/A</v>
      </c>
      <c r="D18533" s="6">
        <f t="shared" si="290"/>
        <v>0</v>
      </c>
    </row>
    <row r="18534" spans="3:4" ht="15" x14ac:dyDescent="0.25">
      <c r="C18534" s="8" t="e">
        <f>VLOOKUP(A:A,'ITEM LIST'!A:C,3,0)</f>
        <v>#N/A</v>
      </c>
      <c r="D18534" s="6">
        <f t="shared" si="290"/>
        <v>0</v>
      </c>
    </row>
    <row r="18535" spans="3:4" ht="15" x14ac:dyDescent="0.25">
      <c r="C18535" s="8" t="e">
        <f>VLOOKUP(A:A,'ITEM LIST'!A:C,3,0)</f>
        <v>#N/A</v>
      </c>
      <c r="D18535" s="6">
        <f t="shared" si="290"/>
        <v>0</v>
      </c>
    </row>
    <row r="18536" spans="3:4" ht="15" x14ac:dyDescent="0.25">
      <c r="C18536" s="8" t="e">
        <f>VLOOKUP(A:A,'ITEM LIST'!A:C,3,0)</f>
        <v>#N/A</v>
      </c>
      <c r="D18536" s="6">
        <f t="shared" si="290"/>
        <v>0</v>
      </c>
    </row>
    <row r="18537" spans="3:4" ht="15" x14ac:dyDescent="0.25">
      <c r="C18537" s="8" t="e">
        <f>VLOOKUP(A:A,'ITEM LIST'!A:C,3,0)</f>
        <v>#N/A</v>
      </c>
      <c r="D18537" s="6">
        <f t="shared" si="290"/>
        <v>0</v>
      </c>
    </row>
    <row r="18538" spans="3:4" ht="15" x14ac:dyDescent="0.25">
      <c r="C18538" s="8" t="e">
        <f>VLOOKUP(A:A,'ITEM LIST'!A:C,3,0)</f>
        <v>#N/A</v>
      </c>
      <c r="D18538" s="6">
        <f t="shared" si="290"/>
        <v>0</v>
      </c>
    </row>
    <row r="18539" spans="3:4" ht="15" x14ac:dyDescent="0.25">
      <c r="C18539" s="8" t="e">
        <f>VLOOKUP(A:A,'ITEM LIST'!A:C,3,0)</f>
        <v>#N/A</v>
      </c>
      <c r="D18539" s="6">
        <f t="shared" si="290"/>
        <v>0</v>
      </c>
    </row>
    <row r="18540" spans="3:4" ht="15" x14ac:dyDescent="0.25">
      <c r="C18540" s="8" t="e">
        <f>VLOOKUP(A:A,'ITEM LIST'!A:C,3,0)</f>
        <v>#N/A</v>
      </c>
      <c r="D18540" s="6">
        <f t="shared" si="290"/>
        <v>0</v>
      </c>
    </row>
    <row r="18541" spans="3:4" ht="15" x14ac:dyDescent="0.25">
      <c r="C18541" s="8" t="e">
        <f>VLOOKUP(A:A,'ITEM LIST'!A:C,3,0)</f>
        <v>#N/A</v>
      </c>
      <c r="D18541" s="6">
        <f t="shared" si="290"/>
        <v>0</v>
      </c>
    </row>
    <row r="18542" spans="3:4" ht="15" x14ac:dyDescent="0.25">
      <c r="C18542" s="8" t="e">
        <f>VLOOKUP(A:A,'ITEM LIST'!A:C,3,0)</f>
        <v>#N/A</v>
      </c>
      <c r="D18542" s="6">
        <f t="shared" si="290"/>
        <v>0</v>
      </c>
    </row>
    <row r="18543" spans="3:4" ht="15" x14ac:dyDescent="0.25">
      <c r="C18543" s="8" t="e">
        <f>VLOOKUP(A:A,'ITEM LIST'!A:C,3,0)</f>
        <v>#N/A</v>
      </c>
      <c r="D18543" s="6">
        <f t="shared" si="290"/>
        <v>0</v>
      </c>
    </row>
    <row r="18544" spans="3:4" ht="15" x14ac:dyDescent="0.25">
      <c r="C18544" s="8" t="e">
        <f>VLOOKUP(A:A,'ITEM LIST'!A:C,3,0)</f>
        <v>#N/A</v>
      </c>
      <c r="D18544" s="6">
        <f t="shared" si="290"/>
        <v>0</v>
      </c>
    </row>
    <row r="18545" spans="3:4" ht="15" x14ac:dyDescent="0.25">
      <c r="C18545" s="8" t="e">
        <f>VLOOKUP(A:A,'ITEM LIST'!A:C,3,0)</f>
        <v>#N/A</v>
      </c>
      <c r="D18545" s="6">
        <f t="shared" si="290"/>
        <v>0</v>
      </c>
    </row>
    <row r="18546" spans="3:4" ht="15" x14ac:dyDescent="0.25">
      <c r="C18546" s="8" t="e">
        <f>VLOOKUP(A:A,'ITEM LIST'!A:C,3,0)</f>
        <v>#N/A</v>
      </c>
      <c r="D18546" s="6">
        <f t="shared" si="290"/>
        <v>0</v>
      </c>
    </row>
    <row r="18547" spans="3:4" ht="15" x14ac:dyDescent="0.25">
      <c r="C18547" s="8" t="e">
        <f>VLOOKUP(A:A,'ITEM LIST'!A:C,3,0)</f>
        <v>#N/A</v>
      </c>
      <c r="D18547" s="6">
        <f t="shared" si="290"/>
        <v>0</v>
      </c>
    </row>
    <row r="18548" spans="3:4" ht="15" x14ac:dyDescent="0.25">
      <c r="C18548" s="8" t="e">
        <f>VLOOKUP(A:A,'ITEM LIST'!A:C,3,0)</f>
        <v>#N/A</v>
      </c>
      <c r="D18548" s="6">
        <f t="shared" si="290"/>
        <v>0</v>
      </c>
    </row>
    <row r="18549" spans="3:4" ht="15" x14ac:dyDescent="0.25">
      <c r="C18549" s="8" t="e">
        <f>VLOOKUP(A:A,'ITEM LIST'!A:C,3,0)</f>
        <v>#N/A</v>
      </c>
      <c r="D18549" s="6">
        <f t="shared" si="290"/>
        <v>0</v>
      </c>
    </row>
    <row r="18550" spans="3:4" ht="15" x14ac:dyDescent="0.25">
      <c r="C18550" s="8" t="e">
        <f>VLOOKUP(A:A,'ITEM LIST'!A:C,3,0)</f>
        <v>#N/A</v>
      </c>
      <c r="D18550" s="6">
        <f t="shared" si="290"/>
        <v>0</v>
      </c>
    </row>
    <row r="18551" spans="3:4" ht="15" x14ac:dyDescent="0.25">
      <c r="C18551" s="8" t="e">
        <f>VLOOKUP(A:A,'ITEM LIST'!A:C,3,0)</f>
        <v>#N/A</v>
      </c>
      <c r="D18551" s="6">
        <f t="shared" si="290"/>
        <v>0</v>
      </c>
    </row>
    <row r="18552" spans="3:4" ht="15" x14ac:dyDescent="0.25">
      <c r="C18552" s="8" t="e">
        <f>VLOOKUP(A:A,'ITEM LIST'!A:C,3,0)</f>
        <v>#N/A</v>
      </c>
      <c r="D18552" s="6">
        <f t="shared" si="290"/>
        <v>0</v>
      </c>
    </row>
    <row r="18553" spans="3:4" ht="15" x14ac:dyDescent="0.25">
      <c r="C18553" s="8" t="e">
        <f>VLOOKUP(A:A,'ITEM LIST'!A:C,3,0)</f>
        <v>#N/A</v>
      </c>
      <c r="D18553" s="6">
        <f t="shared" si="290"/>
        <v>0</v>
      </c>
    </row>
    <row r="18554" spans="3:4" ht="15" x14ac:dyDescent="0.25">
      <c r="C18554" s="8" t="e">
        <f>VLOOKUP(A:A,'ITEM LIST'!A:C,3,0)</f>
        <v>#N/A</v>
      </c>
      <c r="D18554" s="6">
        <f t="shared" si="290"/>
        <v>0</v>
      </c>
    </row>
    <row r="18555" spans="3:4" ht="15" x14ac:dyDescent="0.25">
      <c r="C18555" s="8" t="e">
        <f>VLOOKUP(A:A,'ITEM LIST'!A:C,3,0)</f>
        <v>#N/A</v>
      </c>
      <c r="D18555" s="6">
        <f t="shared" si="290"/>
        <v>0</v>
      </c>
    </row>
    <row r="18556" spans="3:4" ht="15" x14ac:dyDescent="0.25">
      <c r="C18556" s="8" t="e">
        <f>VLOOKUP(A:A,'ITEM LIST'!A:C,3,0)</f>
        <v>#N/A</v>
      </c>
      <c r="D18556" s="6">
        <f t="shared" si="290"/>
        <v>0</v>
      </c>
    </row>
    <row r="18557" spans="3:4" ht="15" x14ac:dyDescent="0.25">
      <c r="C18557" s="8" t="e">
        <f>VLOOKUP(A:A,'ITEM LIST'!A:C,3,0)</f>
        <v>#N/A</v>
      </c>
      <c r="D18557" s="6">
        <f t="shared" si="290"/>
        <v>0</v>
      </c>
    </row>
    <row r="18558" spans="3:4" ht="15" x14ac:dyDescent="0.25">
      <c r="C18558" s="8" t="e">
        <f>VLOOKUP(A:A,'ITEM LIST'!A:C,3,0)</f>
        <v>#N/A</v>
      </c>
      <c r="D18558" s="6">
        <f t="shared" si="290"/>
        <v>0</v>
      </c>
    </row>
    <row r="18559" spans="3:4" ht="15" x14ac:dyDescent="0.25">
      <c r="C18559" s="8" t="e">
        <f>VLOOKUP(A:A,'ITEM LIST'!A:C,3,0)</f>
        <v>#N/A</v>
      </c>
      <c r="D18559" s="6">
        <f t="shared" si="290"/>
        <v>0</v>
      </c>
    </row>
    <row r="18560" spans="3:4" ht="15" x14ac:dyDescent="0.25">
      <c r="C18560" s="8" t="e">
        <f>VLOOKUP(A:A,'ITEM LIST'!A:C,3,0)</f>
        <v>#N/A</v>
      </c>
      <c r="D18560" s="6">
        <f t="shared" si="290"/>
        <v>0</v>
      </c>
    </row>
    <row r="18561" spans="3:4" ht="15" x14ac:dyDescent="0.25">
      <c r="C18561" s="8" t="e">
        <f>VLOOKUP(A:A,'ITEM LIST'!A:C,3,0)</f>
        <v>#N/A</v>
      </c>
      <c r="D18561" s="6">
        <f t="shared" si="290"/>
        <v>0</v>
      </c>
    </row>
    <row r="18562" spans="3:4" ht="15" x14ac:dyDescent="0.25">
      <c r="C18562" s="8" t="e">
        <f>VLOOKUP(A:A,'ITEM LIST'!A:C,3,0)</f>
        <v>#N/A</v>
      </c>
      <c r="D18562" s="6">
        <f t="shared" si="290"/>
        <v>0</v>
      </c>
    </row>
    <row r="18563" spans="3:4" ht="15" x14ac:dyDescent="0.25">
      <c r="C18563" s="8" t="e">
        <f>VLOOKUP(A:A,'ITEM LIST'!A:C,3,0)</f>
        <v>#N/A</v>
      </c>
      <c r="D18563" s="6">
        <f t="shared" si="290"/>
        <v>0</v>
      </c>
    </row>
    <row r="18564" spans="3:4" ht="15" x14ac:dyDescent="0.25">
      <c r="C18564" s="8" t="e">
        <f>VLOOKUP(A:A,'ITEM LIST'!A:C,3,0)</f>
        <v>#N/A</v>
      </c>
      <c r="D18564" s="6">
        <f t="shared" si="290"/>
        <v>0</v>
      </c>
    </row>
    <row r="18565" spans="3:4" ht="15" x14ac:dyDescent="0.25">
      <c r="C18565" s="8" t="e">
        <f>VLOOKUP(A:A,'ITEM LIST'!A:C,3,0)</f>
        <v>#N/A</v>
      </c>
      <c r="D18565" s="6">
        <f t="shared" si="290"/>
        <v>0</v>
      </c>
    </row>
    <row r="18566" spans="3:4" ht="15" x14ac:dyDescent="0.25">
      <c r="C18566" s="8" t="e">
        <f>VLOOKUP(A:A,'ITEM LIST'!A:C,3,0)</f>
        <v>#N/A</v>
      </c>
      <c r="D18566" s="6">
        <f t="shared" ref="D18566:D18629" si="291">B18566</f>
        <v>0</v>
      </c>
    </row>
    <row r="18567" spans="3:4" ht="15" x14ac:dyDescent="0.25">
      <c r="C18567" s="8" t="e">
        <f>VLOOKUP(A:A,'ITEM LIST'!A:C,3,0)</f>
        <v>#N/A</v>
      </c>
      <c r="D18567" s="6">
        <f t="shared" si="291"/>
        <v>0</v>
      </c>
    </row>
    <row r="18568" spans="3:4" ht="15" x14ac:dyDescent="0.25">
      <c r="C18568" s="8" t="e">
        <f>VLOOKUP(A:A,'ITEM LIST'!A:C,3,0)</f>
        <v>#N/A</v>
      </c>
      <c r="D18568" s="6">
        <f t="shared" si="291"/>
        <v>0</v>
      </c>
    </row>
    <row r="18569" spans="3:4" ht="15" x14ac:dyDescent="0.25">
      <c r="C18569" s="8" t="e">
        <f>VLOOKUP(A:A,'ITEM LIST'!A:C,3,0)</f>
        <v>#N/A</v>
      </c>
      <c r="D18569" s="6">
        <f t="shared" si="291"/>
        <v>0</v>
      </c>
    </row>
    <row r="18570" spans="3:4" ht="15" x14ac:dyDescent="0.25">
      <c r="C18570" s="8" t="e">
        <f>VLOOKUP(A:A,'ITEM LIST'!A:C,3,0)</f>
        <v>#N/A</v>
      </c>
      <c r="D18570" s="6">
        <f t="shared" si="291"/>
        <v>0</v>
      </c>
    </row>
    <row r="18571" spans="3:4" ht="15" x14ac:dyDescent="0.25">
      <c r="C18571" s="8" t="e">
        <f>VLOOKUP(A:A,'ITEM LIST'!A:C,3,0)</f>
        <v>#N/A</v>
      </c>
      <c r="D18571" s="6">
        <f t="shared" si="291"/>
        <v>0</v>
      </c>
    </row>
    <row r="18572" spans="3:4" ht="15" x14ac:dyDescent="0.25">
      <c r="C18572" s="8" t="e">
        <f>VLOOKUP(A:A,'ITEM LIST'!A:C,3,0)</f>
        <v>#N/A</v>
      </c>
      <c r="D18572" s="6">
        <f t="shared" si="291"/>
        <v>0</v>
      </c>
    </row>
    <row r="18573" spans="3:4" ht="15" x14ac:dyDescent="0.25">
      <c r="C18573" s="8" t="e">
        <f>VLOOKUP(A:A,'ITEM LIST'!A:C,3,0)</f>
        <v>#N/A</v>
      </c>
      <c r="D18573" s="6">
        <f t="shared" si="291"/>
        <v>0</v>
      </c>
    </row>
    <row r="18574" spans="3:4" ht="15" x14ac:dyDescent="0.25">
      <c r="C18574" s="8" t="e">
        <f>VLOOKUP(A:A,'ITEM LIST'!A:C,3,0)</f>
        <v>#N/A</v>
      </c>
      <c r="D18574" s="6">
        <f t="shared" si="291"/>
        <v>0</v>
      </c>
    </row>
    <row r="18575" spans="3:4" ht="15" x14ac:dyDescent="0.25">
      <c r="C18575" s="8" t="e">
        <f>VLOOKUP(A:A,'ITEM LIST'!A:C,3,0)</f>
        <v>#N/A</v>
      </c>
      <c r="D18575" s="6">
        <f t="shared" si="291"/>
        <v>0</v>
      </c>
    </row>
    <row r="18576" spans="3:4" ht="15" x14ac:dyDescent="0.25">
      <c r="C18576" s="8" t="e">
        <f>VLOOKUP(A:A,'ITEM LIST'!A:C,3,0)</f>
        <v>#N/A</v>
      </c>
      <c r="D18576" s="6">
        <f t="shared" si="291"/>
        <v>0</v>
      </c>
    </row>
    <row r="18577" spans="3:4" ht="15" x14ac:dyDescent="0.25">
      <c r="C18577" s="8" t="e">
        <f>VLOOKUP(A:A,'ITEM LIST'!A:C,3,0)</f>
        <v>#N/A</v>
      </c>
      <c r="D18577" s="6">
        <f t="shared" si="291"/>
        <v>0</v>
      </c>
    </row>
    <row r="18578" spans="3:4" ht="15" x14ac:dyDescent="0.25">
      <c r="C18578" s="8" t="e">
        <f>VLOOKUP(A:A,'ITEM LIST'!A:C,3,0)</f>
        <v>#N/A</v>
      </c>
      <c r="D18578" s="6">
        <f t="shared" si="291"/>
        <v>0</v>
      </c>
    </row>
    <row r="18579" spans="3:4" ht="15" x14ac:dyDescent="0.25">
      <c r="C18579" s="8" t="e">
        <f>VLOOKUP(A:A,'ITEM LIST'!A:C,3,0)</f>
        <v>#N/A</v>
      </c>
      <c r="D18579" s="6">
        <f t="shared" si="291"/>
        <v>0</v>
      </c>
    </row>
    <row r="18580" spans="3:4" ht="15" x14ac:dyDescent="0.25">
      <c r="C18580" s="8" t="e">
        <f>VLOOKUP(A:A,'ITEM LIST'!A:C,3,0)</f>
        <v>#N/A</v>
      </c>
      <c r="D18580" s="6">
        <f t="shared" si="291"/>
        <v>0</v>
      </c>
    </row>
    <row r="18581" spans="3:4" ht="15" x14ac:dyDescent="0.25">
      <c r="C18581" s="8" t="e">
        <f>VLOOKUP(A:A,'ITEM LIST'!A:C,3,0)</f>
        <v>#N/A</v>
      </c>
      <c r="D18581" s="6">
        <f t="shared" si="291"/>
        <v>0</v>
      </c>
    </row>
    <row r="18582" spans="3:4" ht="15" x14ac:dyDescent="0.25">
      <c r="C18582" s="8" t="e">
        <f>VLOOKUP(A:A,'ITEM LIST'!A:C,3,0)</f>
        <v>#N/A</v>
      </c>
      <c r="D18582" s="6">
        <f t="shared" si="291"/>
        <v>0</v>
      </c>
    </row>
    <row r="18583" spans="3:4" ht="15" x14ac:dyDescent="0.25">
      <c r="C18583" s="8" t="e">
        <f>VLOOKUP(A:A,'ITEM LIST'!A:C,3,0)</f>
        <v>#N/A</v>
      </c>
      <c r="D18583" s="6">
        <f t="shared" si="291"/>
        <v>0</v>
      </c>
    </row>
    <row r="18584" spans="3:4" ht="15" x14ac:dyDescent="0.25">
      <c r="C18584" s="8" t="e">
        <f>VLOOKUP(A:A,'ITEM LIST'!A:C,3,0)</f>
        <v>#N/A</v>
      </c>
      <c r="D18584" s="6">
        <f t="shared" si="291"/>
        <v>0</v>
      </c>
    </row>
    <row r="18585" spans="3:4" ht="15" x14ac:dyDescent="0.25">
      <c r="C18585" s="8" t="e">
        <f>VLOOKUP(A:A,'ITEM LIST'!A:C,3,0)</f>
        <v>#N/A</v>
      </c>
      <c r="D18585" s="6">
        <f t="shared" si="291"/>
        <v>0</v>
      </c>
    </row>
    <row r="18586" spans="3:4" ht="15" x14ac:dyDescent="0.25">
      <c r="C18586" s="8" t="e">
        <f>VLOOKUP(A:A,'ITEM LIST'!A:C,3,0)</f>
        <v>#N/A</v>
      </c>
      <c r="D18586" s="6">
        <f t="shared" si="291"/>
        <v>0</v>
      </c>
    </row>
    <row r="18587" spans="3:4" ht="15" x14ac:dyDescent="0.25">
      <c r="C18587" s="8" t="e">
        <f>VLOOKUP(A:A,'ITEM LIST'!A:C,3,0)</f>
        <v>#N/A</v>
      </c>
      <c r="D18587" s="6">
        <f t="shared" si="291"/>
        <v>0</v>
      </c>
    </row>
    <row r="18588" spans="3:4" ht="15" x14ac:dyDescent="0.25">
      <c r="C18588" s="8" t="e">
        <f>VLOOKUP(A:A,'ITEM LIST'!A:C,3,0)</f>
        <v>#N/A</v>
      </c>
      <c r="D18588" s="6">
        <f t="shared" si="291"/>
        <v>0</v>
      </c>
    </row>
    <row r="18589" spans="3:4" ht="15" x14ac:dyDescent="0.25">
      <c r="C18589" s="8" t="e">
        <f>VLOOKUP(A:A,'ITEM LIST'!A:C,3,0)</f>
        <v>#N/A</v>
      </c>
      <c r="D18589" s="6">
        <f t="shared" si="291"/>
        <v>0</v>
      </c>
    </row>
    <row r="18590" spans="3:4" ht="15" x14ac:dyDescent="0.25">
      <c r="C18590" s="8" t="e">
        <f>VLOOKUP(A:A,'ITEM LIST'!A:C,3,0)</f>
        <v>#N/A</v>
      </c>
      <c r="D18590" s="6">
        <f t="shared" si="291"/>
        <v>0</v>
      </c>
    </row>
    <row r="18591" spans="3:4" ht="15" x14ac:dyDescent="0.25">
      <c r="C18591" s="8" t="e">
        <f>VLOOKUP(A:A,'ITEM LIST'!A:C,3,0)</f>
        <v>#N/A</v>
      </c>
      <c r="D18591" s="6">
        <f t="shared" si="291"/>
        <v>0</v>
      </c>
    </row>
    <row r="18592" spans="3:4" ht="15" x14ac:dyDescent="0.25">
      <c r="C18592" s="8" t="e">
        <f>VLOOKUP(A:A,'ITEM LIST'!A:C,3,0)</f>
        <v>#N/A</v>
      </c>
      <c r="D18592" s="6">
        <f t="shared" si="291"/>
        <v>0</v>
      </c>
    </row>
    <row r="18593" spans="3:4" ht="15" x14ac:dyDescent="0.25">
      <c r="C18593" s="8" t="e">
        <f>VLOOKUP(A:A,'ITEM LIST'!A:C,3,0)</f>
        <v>#N/A</v>
      </c>
      <c r="D18593" s="6">
        <f t="shared" si="291"/>
        <v>0</v>
      </c>
    </row>
    <row r="18594" spans="3:4" ht="15" x14ac:dyDescent="0.25">
      <c r="C18594" s="8" t="e">
        <f>VLOOKUP(A:A,'ITEM LIST'!A:C,3,0)</f>
        <v>#N/A</v>
      </c>
      <c r="D18594" s="6">
        <f t="shared" si="291"/>
        <v>0</v>
      </c>
    </row>
    <row r="18595" spans="3:4" ht="15" x14ac:dyDescent="0.25">
      <c r="C18595" s="8" t="e">
        <f>VLOOKUP(A:A,'ITEM LIST'!A:C,3,0)</f>
        <v>#N/A</v>
      </c>
      <c r="D18595" s="6">
        <f t="shared" si="291"/>
        <v>0</v>
      </c>
    </row>
    <row r="18596" spans="3:4" ht="15" x14ac:dyDescent="0.25">
      <c r="C18596" s="8" t="e">
        <f>VLOOKUP(A:A,'ITEM LIST'!A:C,3,0)</f>
        <v>#N/A</v>
      </c>
      <c r="D18596" s="6">
        <f t="shared" si="291"/>
        <v>0</v>
      </c>
    </row>
    <row r="18597" spans="3:4" ht="15" x14ac:dyDescent="0.25">
      <c r="C18597" s="8" t="e">
        <f>VLOOKUP(A:A,'ITEM LIST'!A:C,3,0)</f>
        <v>#N/A</v>
      </c>
      <c r="D18597" s="6">
        <f t="shared" si="291"/>
        <v>0</v>
      </c>
    </row>
    <row r="18598" spans="3:4" ht="15" x14ac:dyDescent="0.25">
      <c r="C18598" s="8" t="e">
        <f>VLOOKUP(A:A,'ITEM LIST'!A:C,3,0)</f>
        <v>#N/A</v>
      </c>
      <c r="D18598" s="6">
        <f t="shared" si="291"/>
        <v>0</v>
      </c>
    </row>
    <row r="18599" spans="3:4" ht="15" x14ac:dyDescent="0.25">
      <c r="C18599" s="8" t="e">
        <f>VLOOKUP(A:A,'ITEM LIST'!A:C,3,0)</f>
        <v>#N/A</v>
      </c>
      <c r="D18599" s="6">
        <f t="shared" si="291"/>
        <v>0</v>
      </c>
    </row>
    <row r="18600" spans="3:4" ht="15" x14ac:dyDescent="0.25">
      <c r="C18600" s="8" t="e">
        <f>VLOOKUP(A:A,'ITEM LIST'!A:C,3,0)</f>
        <v>#N/A</v>
      </c>
      <c r="D18600" s="6">
        <f t="shared" si="291"/>
        <v>0</v>
      </c>
    </row>
    <row r="18601" spans="3:4" ht="15" x14ac:dyDescent="0.25">
      <c r="C18601" s="8" t="e">
        <f>VLOOKUP(A:A,'ITEM LIST'!A:C,3,0)</f>
        <v>#N/A</v>
      </c>
      <c r="D18601" s="6">
        <f t="shared" si="291"/>
        <v>0</v>
      </c>
    </row>
    <row r="18602" spans="3:4" ht="15" x14ac:dyDescent="0.25">
      <c r="C18602" s="8" t="e">
        <f>VLOOKUP(A:A,'ITEM LIST'!A:C,3,0)</f>
        <v>#N/A</v>
      </c>
      <c r="D18602" s="6">
        <f t="shared" si="291"/>
        <v>0</v>
      </c>
    </row>
    <row r="18603" spans="3:4" ht="15" x14ac:dyDescent="0.25">
      <c r="C18603" s="8" t="e">
        <f>VLOOKUP(A:A,'ITEM LIST'!A:C,3,0)</f>
        <v>#N/A</v>
      </c>
      <c r="D18603" s="6">
        <f t="shared" si="291"/>
        <v>0</v>
      </c>
    </row>
    <row r="18604" spans="3:4" ht="15" x14ac:dyDescent="0.25">
      <c r="C18604" s="8" t="e">
        <f>VLOOKUP(A:A,'ITEM LIST'!A:C,3,0)</f>
        <v>#N/A</v>
      </c>
      <c r="D18604" s="6">
        <f t="shared" si="291"/>
        <v>0</v>
      </c>
    </row>
    <row r="18605" spans="3:4" ht="15" x14ac:dyDescent="0.25">
      <c r="C18605" s="8" t="e">
        <f>VLOOKUP(A:A,'ITEM LIST'!A:C,3,0)</f>
        <v>#N/A</v>
      </c>
      <c r="D18605" s="6">
        <f t="shared" si="291"/>
        <v>0</v>
      </c>
    </row>
    <row r="18606" spans="3:4" ht="15" x14ac:dyDescent="0.25">
      <c r="C18606" s="8" t="e">
        <f>VLOOKUP(A:A,'ITEM LIST'!A:C,3,0)</f>
        <v>#N/A</v>
      </c>
      <c r="D18606" s="6">
        <f t="shared" si="291"/>
        <v>0</v>
      </c>
    </row>
    <row r="18607" spans="3:4" ht="15" x14ac:dyDescent="0.25">
      <c r="C18607" s="8" t="e">
        <f>VLOOKUP(A:A,'ITEM LIST'!A:C,3,0)</f>
        <v>#N/A</v>
      </c>
      <c r="D18607" s="6">
        <f t="shared" si="291"/>
        <v>0</v>
      </c>
    </row>
    <row r="18608" spans="3:4" ht="15" x14ac:dyDescent="0.25">
      <c r="C18608" s="8" t="e">
        <f>VLOOKUP(A:A,'ITEM LIST'!A:C,3,0)</f>
        <v>#N/A</v>
      </c>
      <c r="D18608" s="6">
        <f t="shared" si="291"/>
        <v>0</v>
      </c>
    </row>
    <row r="18609" spans="3:4" ht="15" x14ac:dyDescent="0.25">
      <c r="C18609" s="8" t="e">
        <f>VLOOKUP(A:A,'ITEM LIST'!A:C,3,0)</f>
        <v>#N/A</v>
      </c>
      <c r="D18609" s="6">
        <f t="shared" si="291"/>
        <v>0</v>
      </c>
    </row>
    <row r="18610" spans="3:4" ht="15" x14ac:dyDescent="0.25">
      <c r="C18610" s="8" t="e">
        <f>VLOOKUP(A:A,'ITEM LIST'!A:C,3,0)</f>
        <v>#N/A</v>
      </c>
      <c r="D18610" s="6">
        <f t="shared" si="291"/>
        <v>0</v>
      </c>
    </row>
    <row r="18611" spans="3:4" ht="15" x14ac:dyDescent="0.25">
      <c r="C18611" s="8" t="e">
        <f>VLOOKUP(A:A,'ITEM LIST'!A:C,3,0)</f>
        <v>#N/A</v>
      </c>
      <c r="D18611" s="6">
        <f t="shared" si="291"/>
        <v>0</v>
      </c>
    </row>
    <row r="18612" spans="3:4" ht="15" x14ac:dyDescent="0.25">
      <c r="C18612" s="8" t="e">
        <f>VLOOKUP(A:A,'ITEM LIST'!A:C,3,0)</f>
        <v>#N/A</v>
      </c>
      <c r="D18612" s="6">
        <f t="shared" si="291"/>
        <v>0</v>
      </c>
    </row>
    <row r="18613" spans="3:4" ht="15" x14ac:dyDescent="0.25">
      <c r="C18613" s="8" t="e">
        <f>VLOOKUP(A:A,'ITEM LIST'!A:C,3,0)</f>
        <v>#N/A</v>
      </c>
      <c r="D18613" s="6">
        <f t="shared" si="291"/>
        <v>0</v>
      </c>
    </row>
    <row r="18614" spans="3:4" ht="15" x14ac:dyDescent="0.25">
      <c r="C18614" s="8" t="e">
        <f>VLOOKUP(A:A,'ITEM LIST'!A:C,3,0)</f>
        <v>#N/A</v>
      </c>
      <c r="D18614" s="6">
        <f t="shared" si="291"/>
        <v>0</v>
      </c>
    </row>
    <row r="18615" spans="3:4" ht="15" x14ac:dyDescent="0.25">
      <c r="C18615" s="8" t="e">
        <f>VLOOKUP(A:A,'ITEM LIST'!A:C,3,0)</f>
        <v>#N/A</v>
      </c>
      <c r="D18615" s="6">
        <f t="shared" si="291"/>
        <v>0</v>
      </c>
    </row>
    <row r="18616" spans="3:4" ht="15" x14ac:dyDescent="0.25">
      <c r="C18616" s="8" t="e">
        <f>VLOOKUP(A:A,'ITEM LIST'!A:C,3,0)</f>
        <v>#N/A</v>
      </c>
      <c r="D18616" s="6">
        <f t="shared" si="291"/>
        <v>0</v>
      </c>
    </row>
    <row r="18617" spans="3:4" ht="15" x14ac:dyDescent="0.25">
      <c r="C18617" s="8" t="e">
        <f>VLOOKUP(A:A,'ITEM LIST'!A:C,3,0)</f>
        <v>#N/A</v>
      </c>
      <c r="D18617" s="6">
        <f t="shared" si="291"/>
        <v>0</v>
      </c>
    </row>
    <row r="18618" spans="3:4" ht="15" x14ac:dyDescent="0.25">
      <c r="C18618" s="8" t="e">
        <f>VLOOKUP(A:A,'ITEM LIST'!A:C,3,0)</f>
        <v>#N/A</v>
      </c>
      <c r="D18618" s="6">
        <f t="shared" si="291"/>
        <v>0</v>
      </c>
    </row>
    <row r="18619" spans="3:4" ht="15" x14ac:dyDescent="0.25">
      <c r="C18619" s="8" t="e">
        <f>VLOOKUP(A:A,'ITEM LIST'!A:C,3,0)</f>
        <v>#N/A</v>
      </c>
      <c r="D18619" s="6">
        <f t="shared" si="291"/>
        <v>0</v>
      </c>
    </row>
    <row r="18620" spans="3:4" ht="15" x14ac:dyDescent="0.25">
      <c r="C18620" s="8" t="e">
        <f>VLOOKUP(A:A,'ITEM LIST'!A:C,3,0)</f>
        <v>#N/A</v>
      </c>
      <c r="D18620" s="6">
        <f t="shared" si="291"/>
        <v>0</v>
      </c>
    </row>
    <row r="18621" spans="3:4" ht="15" x14ac:dyDescent="0.25">
      <c r="C18621" s="8" t="e">
        <f>VLOOKUP(A:A,'ITEM LIST'!A:C,3,0)</f>
        <v>#N/A</v>
      </c>
      <c r="D18621" s="6">
        <f t="shared" si="291"/>
        <v>0</v>
      </c>
    </row>
    <row r="18622" spans="3:4" ht="15" x14ac:dyDescent="0.25">
      <c r="C18622" s="8" t="e">
        <f>VLOOKUP(A:A,'ITEM LIST'!A:C,3,0)</f>
        <v>#N/A</v>
      </c>
      <c r="D18622" s="6">
        <f t="shared" si="291"/>
        <v>0</v>
      </c>
    </row>
    <row r="18623" spans="3:4" ht="15" x14ac:dyDescent="0.25">
      <c r="C18623" s="8" t="e">
        <f>VLOOKUP(A:A,'ITEM LIST'!A:C,3,0)</f>
        <v>#N/A</v>
      </c>
      <c r="D18623" s="6">
        <f t="shared" si="291"/>
        <v>0</v>
      </c>
    </row>
    <row r="18624" spans="3:4" ht="15" x14ac:dyDescent="0.25">
      <c r="C18624" s="8" t="e">
        <f>VLOOKUP(A:A,'ITEM LIST'!A:C,3,0)</f>
        <v>#N/A</v>
      </c>
      <c r="D18624" s="6">
        <f t="shared" si="291"/>
        <v>0</v>
      </c>
    </row>
    <row r="18625" spans="3:4" ht="15" x14ac:dyDescent="0.25">
      <c r="C18625" s="8" t="e">
        <f>VLOOKUP(A:A,'ITEM LIST'!A:C,3,0)</f>
        <v>#N/A</v>
      </c>
      <c r="D18625" s="6">
        <f t="shared" si="291"/>
        <v>0</v>
      </c>
    </row>
    <row r="18626" spans="3:4" ht="15" x14ac:dyDescent="0.25">
      <c r="C18626" s="8" t="e">
        <f>VLOOKUP(A:A,'ITEM LIST'!A:C,3,0)</f>
        <v>#N/A</v>
      </c>
      <c r="D18626" s="6">
        <f t="shared" si="291"/>
        <v>0</v>
      </c>
    </row>
    <row r="18627" spans="3:4" ht="15" x14ac:dyDescent="0.25">
      <c r="C18627" s="8" t="e">
        <f>VLOOKUP(A:A,'ITEM LIST'!A:C,3,0)</f>
        <v>#N/A</v>
      </c>
      <c r="D18627" s="6">
        <f t="shared" si="291"/>
        <v>0</v>
      </c>
    </row>
    <row r="18628" spans="3:4" ht="15" x14ac:dyDescent="0.25">
      <c r="C18628" s="8" t="e">
        <f>VLOOKUP(A:A,'ITEM LIST'!A:C,3,0)</f>
        <v>#N/A</v>
      </c>
      <c r="D18628" s="6">
        <f t="shared" si="291"/>
        <v>0</v>
      </c>
    </row>
    <row r="18629" spans="3:4" ht="15" x14ac:dyDescent="0.25">
      <c r="C18629" s="8" t="e">
        <f>VLOOKUP(A:A,'ITEM LIST'!A:C,3,0)</f>
        <v>#N/A</v>
      </c>
      <c r="D18629" s="6">
        <f t="shared" si="291"/>
        <v>0</v>
      </c>
    </row>
    <row r="18630" spans="3:4" ht="15" x14ac:dyDescent="0.25">
      <c r="C18630" s="8" t="e">
        <f>VLOOKUP(A:A,'ITEM LIST'!A:C,3,0)</f>
        <v>#N/A</v>
      </c>
      <c r="D18630" s="6">
        <f t="shared" ref="D18630:D18693" si="292">B18630</f>
        <v>0</v>
      </c>
    </row>
    <row r="18631" spans="3:4" ht="15" x14ac:dyDescent="0.25">
      <c r="C18631" s="8" t="e">
        <f>VLOOKUP(A:A,'ITEM LIST'!A:C,3,0)</f>
        <v>#N/A</v>
      </c>
      <c r="D18631" s="6">
        <f t="shared" si="292"/>
        <v>0</v>
      </c>
    </row>
    <row r="18632" spans="3:4" ht="15" x14ac:dyDescent="0.25">
      <c r="C18632" s="8" t="e">
        <f>VLOOKUP(A:A,'ITEM LIST'!A:C,3,0)</f>
        <v>#N/A</v>
      </c>
      <c r="D18632" s="6">
        <f t="shared" si="292"/>
        <v>0</v>
      </c>
    </row>
    <row r="18633" spans="3:4" ht="15" x14ac:dyDescent="0.25">
      <c r="C18633" s="8" t="e">
        <f>VLOOKUP(A:A,'ITEM LIST'!A:C,3,0)</f>
        <v>#N/A</v>
      </c>
      <c r="D18633" s="6">
        <f t="shared" si="292"/>
        <v>0</v>
      </c>
    </row>
    <row r="18634" spans="3:4" ht="15" x14ac:dyDescent="0.25">
      <c r="C18634" s="8" t="e">
        <f>VLOOKUP(A:A,'ITEM LIST'!A:C,3,0)</f>
        <v>#N/A</v>
      </c>
      <c r="D18634" s="6">
        <f t="shared" si="292"/>
        <v>0</v>
      </c>
    </row>
    <row r="18635" spans="3:4" ht="15" x14ac:dyDescent="0.25">
      <c r="C18635" s="8" t="e">
        <f>VLOOKUP(A:A,'ITEM LIST'!A:C,3,0)</f>
        <v>#N/A</v>
      </c>
      <c r="D18635" s="6">
        <f t="shared" si="292"/>
        <v>0</v>
      </c>
    </row>
    <row r="18636" spans="3:4" ht="15" x14ac:dyDescent="0.25">
      <c r="C18636" s="8" t="e">
        <f>VLOOKUP(A:A,'ITEM LIST'!A:C,3,0)</f>
        <v>#N/A</v>
      </c>
      <c r="D18636" s="6">
        <f t="shared" si="292"/>
        <v>0</v>
      </c>
    </row>
    <row r="18637" spans="3:4" ht="15" x14ac:dyDescent="0.25">
      <c r="C18637" s="8" t="e">
        <f>VLOOKUP(A:A,'ITEM LIST'!A:C,3,0)</f>
        <v>#N/A</v>
      </c>
      <c r="D18637" s="6">
        <f t="shared" si="292"/>
        <v>0</v>
      </c>
    </row>
    <row r="18638" spans="3:4" ht="15" x14ac:dyDescent="0.25">
      <c r="C18638" s="8" t="e">
        <f>VLOOKUP(A:A,'ITEM LIST'!A:C,3,0)</f>
        <v>#N/A</v>
      </c>
      <c r="D18638" s="6">
        <f t="shared" si="292"/>
        <v>0</v>
      </c>
    </row>
    <row r="18639" spans="3:4" ht="15" x14ac:dyDescent="0.25">
      <c r="C18639" s="8" t="e">
        <f>VLOOKUP(A:A,'ITEM LIST'!A:C,3,0)</f>
        <v>#N/A</v>
      </c>
      <c r="D18639" s="6">
        <f t="shared" si="292"/>
        <v>0</v>
      </c>
    </row>
    <row r="18640" spans="3:4" ht="15" x14ac:dyDescent="0.25">
      <c r="C18640" s="8" t="e">
        <f>VLOOKUP(A:A,'ITEM LIST'!A:C,3,0)</f>
        <v>#N/A</v>
      </c>
      <c r="D18640" s="6">
        <f t="shared" si="292"/>
        <v>0</v>
      </c>
    </row>
    <row r="18641" spans="3:4" ht="15" x14ac:dyDescent="0.25">
      <c r="C18641" s="8" t="e">
        <f>VLOOKUP(A:A,'ITEM LIST'!A:C,3,0)</f>
        <v>#N/A</v>
      </c>
      <c r="D18641" s="6">
        <f t="shared" si="292"/>
        <v>0</v>
      </c>
    </row>
    <row r="18642" spans="3:4" ht="15" x14ac:dyDescent="0.25">
      <c r="C18642" s="8" t="e">
        <f>VLOOKUP(A:A,'ITEM LIST'!A:C,3,0)</f>
        <v>#N/A</v>
      </c>
      <c r="D18642" s="6">
        <f t="shared" si="292"/>
        <v>0</v>
      </c>
    </row>
    <row r="18643" spans="3:4" ht="15" x14ac:dyDescent="0.25">
      <c r="C18643" s="8" t="e">
        <f>VLOOKUP(A:A,'ITEM LIST'!A:C,3,0)</f>
        <v>#N/A</v>
      </c>
      <c r="D18643" s="6">
        <f t="shared" si="292"/>
        <v>0</v>
      </c>
    </row>
    <row r="18644" spans="3:4" ht="15" x14ac:dyDescent="0.25">
      <c r="C18644" s="8" t="e">
        <f>VLOOKUP(A:A,'ITEM LIST'!A:C,3,0)</f>
        <v>#N/A</v>
      </c>
      <c r="D18644" s="6">
        <f t="shared" si="292"/>
        <v>0</v>
      </c>
    </row>
    <row r="18645" spans="3:4" ht="15" x14ac:dyDescent="0.25">
      <c r="C18645" s="8" t="e">
        <f>VLOOKUP(A:A,'ITEM LIST'!A:C,3,0)</f>
        <v>#N/A</v>
      </c>
      <c r="D18645" s="6">
        <f t="shared" si="292"/>
        <v>0</v>
      </c>
    </row>
    <row r="18646" spans="3:4" ht="15" x14ac:dyDescent="0.25">
      <c r="C18646" s="8" t="e">
        <f>VLOOKUP(A:A,'ITEM LIST'!A:C,3,0)</f>
        <v>#N/A</v>
      </c>
      <c r="D18646" s="6">
        <f t="shared" si="292"/>
        <v>0</v>
      </c>
    </row>
    <row r="18647" spans="3:4" ht="15" x14ac:dyDescent="0.25">
      <c r="C18647" s="8" t="e">
        <f>VLOOKUP(A:A,'ITEM LIST'!A:C,3,0)</f>
        <v>#N/A</v>
      </c>
      <c r="D18647" s="6">
        <f t="shared" si="292"/>
        <v>0</v>
      </c>
    </row>
    <row r="18648" spans="3:4" ht="15" x14ac:dyDescent="0.25">
      <c r="C18648" s="8" t="e">
        <f>VLOOKUP(A:A,'ITEM LIST'!A:C,3,0)</f>
        <v>#N/A</v>
      </c>
      <c r="D18648" s="6">
        <f t="shared" si="292"/>
        <v>0</v>
      </c>
    </row>
    <row r="18649" spans="3:4" ht="15" x14ac:dyDescent="0.25">
      <c r="C18649" s="8" t="e">
        <f>VLOOKUP(A:A,'ITEM LIST'!A:C,3,0)</f>
        <v>#N/A</v>
      </c>
      <c r="D18649" s="6">
        <f t="shared" si="292"/>
        <v>0</v>
      </c>
    </row>
    <row r="18650" spans="3:4" ht="15" x14ac:dyDescent="0.25">
      <c r="C18650" s="8" t="e">
        <f>VLOOKUP(A:A,'ITEM LIST'!A:C,3,0)</f>
        <v>#N/A</v>
      </c>
      <c r="D18650" s="6">
        <f t="shared" si="292"/>
        <v>0</v>
      </c>
    </row>
    <row r="18651" spans="3:4" ht="15" x14ac:dyDescent="0.25">
      <c r="C18651" s="8" t="e">
        <f>VLOOKUP(A:A,'ITEM LIST'!A:C,3,0)</f>
        <v>#N/A</v>
      </c>
      <c r="D18651" s="6">
        <f t="shared" si="292"/>
        <v>0</v>
      </c>
    </row>
    <row r="18652" spans="3:4" ht="15" x14ac:dyDescent="0.25">
      <c r="C18652" s="8" t="e">
        <f>VLOOKUP(A:A,'ITEM LIST'!A:C,3,0)</f>
        <v>#N/A</v>
      </c>
      <c r="D18652" s="6">
        <f t="shared" si="292"/>
        <v>0</v>
      </c>
    </row>
    <row r="18653" spans="3:4" ht="15" x14ac:dyDescent="0.25">
      <c r="C18653" s="8" t="e">
        <f>VLOOKUP(A:A,'ITEM LIST'!A:C,3,0)</f>
        <v>#N/A</v>
      </c>
      <c r="D18653" s="6">
        <f t="shared" si="292"/>
        <v>0</v>
      </c>
    </row>
    <row r="18654" spans="3:4" ht="15" x14ac:dyDescent="0.25">
      <c r="C18654" s="8" t="e">
        <f>VLOOKUP(A:A,'ITEM LIST'!A:C,3,0)</f>
        <v>#N/A</v>
      </c>
      <c r="D18654" s="6">
        <f t="shared" si="292"/>
        <v>0</v>
      </c>
    </row>
    <row r="18655" spans="3:4" ht="15" x14ac:dyDescent="0.25">
      <c r="C18655" s="8" t="e">
        <f>VLOOKUP(A:A,'ITEM LIST'!A:C,3,0)</f>
        <v>#N/A</v>
      </c>
      <c r="D18655" s="6">
        <f t="shared" si="292"/>
        <v>0</v>
      </c>
    </row>
    <row r="18656" spans="3:4" ht="15" x14ac:dyDescent="0.25">
      <c r="C18656" s="8" t="e">
        <f>VLOOKUP(A:A,'ITEM LIST'!A:C,3,0)</f>
        <v>#N/A</v>
      </c>
      <c r="D18656" s="6">
        <f t="shared" si="292"/>
        <v>0</v>
      </c>
    </row>
    <row r="18657" spans="3:4" ht="15" x14ac:dyDescent="0.25">
      <c r="C18657" s="8" t="e">
        <f>VLOOKUP(A:A,'ITEM LIST'!A:C,3,0)</f>
        <v>#N/A</v>
      </c>
      <c r="D18657" s="6">
        <f t="shared" si="292"/>
        <v>0</v>
      </c>
    </row>
    <row r="18658" spans="3:4" ht="15" x14ac:dyDescent="0.25">
      <c r="C18658" s="8" t="e">
        <f>VLOOKUP(A:A,'ITEM LIST'!A:C,3,0)</f>
        <v>#N/A</v>
      </c>
      <c r="D18658" s="6">
        <f t="shared" si="292"/>
        <v>0</v>
      </c>
    </row>
    <row r="18659" spans="3:4" ht="15" x14ac:dyDescent="0.25">
      <c r="C18659" s="8" t="e">
        <f>VLOOKUP(A:A,'ITEM LIST'!A:C,3,0)</f>
        <v>#N/A</v>
      </c>
      <c r="D18659" s="6">
        <f t="shared" si="292"/>
        <v>0</v>
      </c>
    </row>
    <row r="18660" spans="3:4" ht="15" x14ac:dyDescent="0.25">
      <c r="C18660" s="8" t="e">
        <f>VLOOKUP(A:A,'ITEM LIST'!A:C,3,0)</f>
        <v>#N/A</v>
      </c>
      <c r="D18660" s="6">
        <f t="shared" si="292"/>
        <v>0</v>
      </c>
    </row>
    <row r="18661" spans="3:4" ht="15" x14ac:dyDescent="0.25">
      <c r="C18661" s="8" t="e">
        <f>VLOOKUP(A:A,'ITEM LIST'!A:C,3,0)</f>
        <v>#N/A</v>
      </c>
      <c r="D18661" s="6">
        <f t="shared" si="292"/>
        <v>0</v>
      </c>
    </row>
    <row r="18662" spans="3:4" ht="15" x14ac:dyDescent="0.25">
      <c r="C18662" s="8" t="e">
        <f>VLOOKUP(A:A,'ITEM LIST'!A:C,3,0)</f>
        <v>#N/A</v>
      </c>
      <c r="D18662" s="6">
        <f t="shared" si="292"/>
        <v>0</v>
      </c>
    </row>
    <row r="18663" spans="3:4" ht="15" x14ac:dyDescent="0.25">
      <c r="C18663" s="8" t="e">
        <f>VLOOKUP(A:A,'ITEM LIST'!A:C,3,0)</f>
        <v>#N/A</v>
      </c>
      <c r="D18663" s="6">
        <f t="shared" si="292"/>
        <v>0</v>
      </c>
    </row>
    <row r="18664" spans="3:4" ht="15" x14ac:dyDescent="0.25">
      <c r="C18664" s="8" t="e">
        <f>VLOOKUP(A:A,'ITEM LIST'!A:C,3,0)</f>
        <v>#N/A</v>
      </c>
      <c r="D18664" s="6">
        <f t="shared" si="292"/>
        <v>0</v>
      </c>
    </row>
    <row r="18665" spans="3:4" ht="15" x14ac:dyDescent="0.25">
      <c r="C18665" s="8" t="e">
        <f>VLOOKUP(A:A,'ITEM LIST'!A:C,3,0)</f>
        <v>#N/A</v>
      </c>
      <c r="D18665" s="6">
        <f t="shared" si="292"/>
        <v>0</v>
      </c>
    </row>
    <row r="18666" spans="3:4" ht="15" x14ac:dyDescent="0.25">
      <c r="C18666" s="8" t="e">
        <f>VLOOKUP(A:A,'ITEM LIST'!A:C,3,0)</f>
        <v>#N/A</v>
      </c>
      <c r="D18666" s="6">
        <f t="shared" si="292"/>
        <v>0</v>
      </c>
    </row>
    <row r="18667" spans="3:4" ht="15" x14ac:dyDescent="0.25">
      <c r="C18667" s="8" t="e">
        <f>VLOOKUP(A:A,'ITEM LIST'!A:C,3,0)</f>
        <v>#N/A</v>
      </c>
      <c r="D18667" s="6">
        <f t="shared" si="292"/>
        <v>0</v>
      </c>
    </row>
    <row r="18668" spans="3:4" ht="15" x14ac:dyDescent="0.25">
      <c r="C18668" s="8" t="e">
        <f>VLOOKUP(A:A,'ITEM LIST'!A:C,3,0)</f>
        <v>#N/A</v>
      </c>
      <c r="D18668" s="6">
        <f t="shared" si="292"/>
        <v>0</v>
      </c>
    </row>
    <row r="18669" spans="3:4" ht="15" x14ac:dyDescent="0.25">
      <c r="C18669" s="8" t="e">
        <f>VLOOKUP(A:A,'ITEM LIST'!A:C,3,0)</f>
        <v>#N/A</v>
      </c>
      <c r="D18669" s="6">
        <f t="shared" si="292"/>
        <v>0</v>
      </c>
    </row>
    <row r="18670" spans="3:4" ht="15" x14ac:dyDescent="0.25">
      <c r="C18670" s="8" t="e">
        <f>VLOOKUP(A:A,'ITEM LIST'!A:C,3,0)</f>
        <v>#N/A</v>
      </c>
      <c r="D18670" s="6">
        <f t="shared" si="292"/>
        <v>0</v>
      </c>
    </row>
    <row r="18671" spans="3:4" ht="15" x14ac:dyDescent="0.25">
      <c r="C18671" s="8" t="e">
        <f>VLOOKUP(A:A,'ITEM LIST'!A:C,3,0)</f>
        <v>#N/A</v>
      </c>
      <c r="D18671" s="6">
        <f t="shared" si="292"/>
        <v>0</v>
      </c>
    </row>
    <row r="18672" spans="3:4" ht="15" x14ac:dyDescent="0.25">
      <c r="C18672" s="8" t="e">
        <f>VLOOKUP(A:A,'ITEM LIST'!A:C,3,0)</f>
        <v>#N/A</v>
      </c>
      <c r="D18672" s="6">
        <f t="shared" si="292"/>
        <v>0</v>
      </c>
    </row>
    <row r="18673" spans="3:4" ht="15" x14ac:dyDescent="0.25">
      <c r="C18673" s="8" t="e">
        <f>VLOOKUP(A:A,'ITEM LIST'!A:C,3,0)</f>
        <v>#N/A</v>
      </c>
      <c r="D18673" s="6">
        <f t="shared" si="292"/>
        <v>0</v>
      </c>
    </row>
    <row r="18674" spans="3:4" ht="15" x14ac:dyDescent="0.25">
      <c r="C18674" s="8" t="e">
        <f>VLOOKUP(A:A,'ITEM LIST'!A:C,3,0)</f>
        <v>#N/A</v>
      </c>
      <c r="D18674" s="6">
        <f t="shared" si="292"/>
        <v>0</v>
      </c>
    </row>
    <row r="18675" spans="3:4" ht="15" x14ac:dyDescent="0.25">
      <c r="C18675" s="8" t="e">
        <f>VLOOKUP(A:A,'ITEM LIST'!A:C,3,0)</f>
        <v>#N/A</v>
      </c>
      <c r="D18675" s="6">
        <f t="shared" si="292"/>
        <v>0</v>
      </c>
    </row>
    <row r="18676" spans="3:4" ht="15" x14ac:dyDescent="0.25">
      <c r="C18676" s="8" t="e">
        <f>VLOOKUP(A:A,'ITEM LIST'!A:C,3,0)</f>
        <v>#N/A</v>
      </c>
      <c r="D18676" s="6">
        <f t="shared" si="292"/>
        <v>0</v>
      </c>
    </row>
    <row r="18677" spans="3:4" ht="15" x14ac:dyDescent="0.25">
      <c r="C18677" s="8" t="e">
        <f>VLOOKUP(A:A,'ITEM LIST'!A:C,3,0)</f>
        <v>#N/A</v>
      </c>
      <c r="D18677" s="6">
        <f t="shared" si="292"/>
        <v>0</v>
      </c>
    </row>
    <row r="18678" spans="3:4" ht="15" x14ac:dyDescent="0.25">
      <c r="C18678" s="8" t="e">
        <f>VLOOKUP(A:A,'ITEM LIST'!A:C,3,0)</f>
        <v>#N/A</v>
      </c>
      <c r="D18678" s="6">
        <f t="shared" si="292"/>
        <v>0</v>
      </c>
    </row>
    <row r="18679" spans="3:4" ht="15" x14ac:dyDescent="0.25">
      <c r="C18679" s="8" t="e">
        <f>VLOOKUP(A:A,'ITEM LIST'!A:C,3,0)</f>
        <v>#N/A</v>
      </c>
      <c r="D18679" s="6">
        <f t="shared" si="292"/>
        <v>0</v>
      </c>
    </row>
    <row r="18680" spans="3:4" ht="15" x14ac:dyDescent="0.25">
      <c r="C18680" s="8" t="e">
        <f>VLOOKUP(A:A,'ITEM LIST'!A:C,3,0)</f>
        <v>#N/A</v>
      </c>
      <c r="D18680" s="6">
        <f t="shared" si="292"/>
        <v>0</v>
      </c>
    </row>
    <row r="18681" spans="3:4" ht="15" x14ac:dyDescent="0.25">
      <c r="C18681" s="8" t="e">
        <f>VLOOKUP(A:A,'ITEM LIST'!A:C,3,0)</f>
        <v>#N/A</v>
      </c>
      <c r="D18681" s="6">
        <f t="shared" si="292"/>
        <v>0</v>
      </c>
    </row>
    <row r="18682" spans="3:4" ht="15" x14ac:dyDescent="0.25">
      <c r="C18682" s="8" t="e">
        <f>VLOOKUP(A:A,'ITEM LIST'!A:C,3,0)</f>
        <v>#N/A</v>
      </c>
      <c r="D18682" s="6">
        <f t="shared" si="292"/>
        <v>0</v>
      </c>
    </row>
    <row r="18683" spans="3:4" ht="15" x14ac:dyDescent="0.25">
      <c r="C18683" s="8" t="e">
        <f>VLOOKUP(A:A,'ITEM LIST'!A:C,3,0)</f>
        <v>#N/A</v>
      </c>
      <c r="D18683" s="6">
        <f t="shared" si="292"/>
        <v>0</v>
      </c>
    </row>
    <row r="18684" spans="3:4" ht="15" x14ac:dyDescent="0.25">
      <c r="C18684" s="8" t="e">
        <f>VLOOKUP(A:A,'ITEM LIST'!A:C,3,0)</f>
        <v>#N/A</v>
      </c>
      <c r="D18684" s="6">
        <f t="shared" si="292"/>
        <v>0</v>
      </c>
    </row>
    <row r="18685" spans="3:4" ht="15" x14ac:dyDescent="0.25">
      <c r="C18685" s="8" t="e">
        <f>VLOOKUP(A:A,'ITEM LIST'!A:C,3,0)</f>
        <v>#N/A</v>
      </c>
      <c r="D18685" s="6">
        <f t="shared" si="292"/>
        <v>0</v>
      </c>
    </row>
    <row r="18686" spans="3:4" ht="15" x14ac:dyDescent="0.25">
      <c r="C18686" s="8" t="e">
        <f>VLOOKUP(A:A,'ITEM LIST'!A:C,3,0)</f>
        <v>#N/A</v>
      </c>
      <c r="D18686" s="6">
        <f t="shared" si="292"/>
        <v>0</v>
      </c>
    </row>
    <row r="18687" spans="3:4" ht="15" x14ac:dyDescent="0.25">
      <c r="C18687" s="8" t="e">
        <f>VLOOKUP(A:A,'ITEM LIST'!A:C,3,0)</f>
        <v>#N/A</v>
      </c>
      <c r="D18687" s="6">
        <f t="shared" si="292"/>
        <v>0</v>
      </c>
    </row>
    <row r="18688" spans="3:4" ht="15" x14ac:dyDescent="0.25">
      <c r="C18688" s="8" t="e">
        <f>VLOOKUP(A:A,'ITEM LIST'!A:C,3,0)</f>
        <v>#N/A</v>
      </c>
      <c r="D18688" s="6">
        <f t="shared" si="292"/>
        <v>0</v>
      </c>
    </row>
    <row r="18689" spans="3:4" ht="15" x14ac:dyDescent="0.25">
      <c r="C18689" s="8" t="e">
        <f>VLOOKUP(A:A,'ITEM LIST'!A:C,3,0)</f>
        <v>#N/A</v>
      </c>
      <c r="D18689" s="6">
        <f t="shared" si="292"/>
        <v>0</v>
      </c>
    </row>
    <row r="18690" spans="3:4" ht="15" x14ac:dyDescent="0.25">
      <c r="C18690" s="8" t="e">
        <f>VLOOKUP(A:A,'ITEM LIST'!A:C,3,0)</f>
        <v>#N/A</v>
      </c>
      <c r="D18690" s="6">
        <f t="shared" si="292"/>
        <v>0</v>
      </c>
    </row>
    <row r="18691" spans="3:4" ht="15" x14ac:dyDescent="0.25">
      <c r="C18691" s="8" t="e">
        <f>VLOOKUP(A:A,'ITEM LIST'!A:C,3,0)</f>
        <v>#N/A</v>
      </c>
      <c r="D18691" s="6">
        <f t="shared" si="292"/>
        <v>0</v>
      </c>
    </row>
    <row r="18692" spans="3:4" ht="15" x14ac:dyDescent="0.25">
      <c r="C18692" s="8" t="e">
        <f>VLOOKUP(A:A,'ITEM LIST'!A:C,3,0)</f>
        <v>#N/A</v>
      </c>
      <c r="D18692" s="6">
        <f t="shared" si="292"/>
        <v>0</v>
      </c>
    </row>
    <row r="18693" spans="3:4" ht="15" x14ac:dyDescent="0.25">
      <c r="C18693" s="8" t="e">
        <f>VLOOKUP(A:A,'ITEM LIST'!A:C,3,0)</f>
        <v>#N/A</v>
      </c>
      <c r="D18693" s="6">
        <f t="shared" si="292"/>
        <v>0</v>
      </c>
    </row>
    <row r="18694" spans="3:4" ht="15" x14ac:dyDescent="0.25">
      <c r="C18694" s="8" t="e">
        <f>VLOOKUP(A:A,'ITEM LIST'!A:C,3,0)</f>
        <v>#N/A</v>
      </c>
      <c r="D18694" s="6">
        <f t="shared" ref="D18694:D18757" si="293">B18694</f>
        <v>0</v>
      </c>
    </row>
    <row r="18695" spans="3:4" ht="15" x14ac:dyDescent="0.25">
      <c r="C18695" s="8" t="e">
        <f>VLOOKUP(A:A,'ITEM LIST'!A:C,3,0)</f>
        <v>#N/A</v>
      </c>
      <c r="D18695" s="6">
        <f t="shared" si="293"/>
        <v>0</v>
      </c>
    </row>
    <row r="18696" spans="3:4" ht="15" x14ac:dyDescent="0.25">
      <c r="C18696" s="8" t="e">
        <f>VLOOKUP(A:A,'ITEM LIST'!A:C,3,0)</f>
        <v>#N/A</v>
      </c>
      <c r="D18696" s="6">
        <f t="shared" si="293"/>
        <v>0</v>
      </c>
    </row>
    <row r="18697" spans="3:4" ht="15" x14ac:dyDescent="0.25">
      <c r="C18697" s="8" t="e">
        <f>VLOOKUP(A:A,'ITEM LIST'!A:C,3,0)</f>
        <v>#N/A</v>
      </c>
      <c r="D18697" s="6">
        <f t="shared" si="293"/>
        <v>0</v>
      </c>
    </row>
    <row r="18698" spans="3:4" ht="15" x14ac:dyDescent="0.25">
      <c r="C18698" s="8" t="e">
        <f>VLOOKUP(A:A,'ITEM LIST'!A:C,3,0)</f>
        <v>#N/A</v>
      </c>
      <c r="D18698" s="6">
        <f t="shared" si="293"/>
        <v>0</v>
      </c>
    </row>
    <row r="18699" spans="3:4" ht="15" x14ac:dyDescent="0.25">
      <c r="C18699" s="8" t="e">
        <f>VLOOKUP(A:A,'ITEM LIST'!A:C,3,0)</f>
        <v>#N/A</v>
      </c>
      <c r="D18699" s="6">
        <f t="shared" si="293"/>
        <v>0</v>
      </c>
    </row>
    <row r="18700" spans="3:4" ht="15" x14ac:dyDescent="0.25">
      <c r="C18700" s="8" t="e">
        <f>VLOOKUP(A:A,'ITEM LIST'!A:C,3,0)</f>
        <v>#N/A</v>
      </c>
      <c r="D18700" s="6">
        <f t="shared" si="293"/>
        <v>0</v>
      </c>
    </row>
    <row r="18701" spans="3:4" ht="15" x14ac:dyDescent="0.25">
      <c r="C18701" s="8" t="e">
        <f>VLOOKUP(A:A,'ITEM LIST'!A:C,3,0)</f>
        <v>#N/A</v>
      </c>
      <c r="D18701" s="6">
        <f t="shared" si="293"/>
        <v>0</v>
      </c>
    </row>
    <row r="18702" spans="3:4" ht="15" x14ac:dyDescent="0.25">
      <c r="C18702" s="8" t="e">
        <f>VLOOKUP(A:A,'ITEM LIST'!A:C,3,0)</f>
        <v>#N/A</v>
      </c>
      <c r="D18702" s="6">
        <f t="shared" si="293"/>
        <v>0</v>
      </c>
    </row>
    <row r="18703" spans="3:4" ht="15" x14ac:dyDescent="0.25">
      <c r="C18703" s="8" t="e">
        <f>VLOOKUP(A:A,'ITEM LIST'!A:C,3,0)</f>
        <v>#N/A</v>
      </c>
      <c r="D18703" s="6">
        <f t="shared" si="293"/>
        <v>0</v>
      </c>
    </row>
    <row r="18704" spans="3:4" ht="15" x14ac:dyDescent="0.25">
      <c r="C18704" s="8" t="e">
        <f>VLOOKUP(A:A,'ITEM LIST'!A:C,3,0)</f>
        <v>#N/A</v>
      </c>
      <c r="D18704" s="6">
        <f t="shared" si="293"/>
        <v>0</v>
      </c>
    </row>
    <row r="18705" spans="3:4" ht="15" x14ac:dyDescent="0.25">
      <c r="C18705" s="8" t="e">
        <f>VLOOKUP(A:A,'ITEM LIST'!A:C,3,0)</f>
        <v>#N/A</v>
      </c>
      <c r="D18705" s="6">
        <f t="shared" si="293"/>
        <v>0</v>
      </c>
    </row>
    <row r="18706" spans="3:4" ht="15" x14ac:dyDescent="0.25">
      <c r="C18706" s="8" t="e">
        <f>VLOOKUP(A:A,'ITEM LIST'!A:C,3,0)</f>
        <v>#N/A</v>
      </c>
      <c r="D18706" s="6">
        <f t="shared" si="293"/>
        <v>0</v>
      </c>
    </row>
    <row r="18707" spans="3:4" ht="15" x14ac:dyDescent="0.25">
      <c r="C18707" s="8" t="e">
        <f>VLOOKUP(A:A,'ITEM LIST'!A:C,3,0)</f>
        <v>#N/A</v>
      </c>
      <c r="D18707" s="6">
        <f t="shared" si="293"/>
        <v>0</v>
      </c>
    </row>
    <row r="18708" spans="3:4" ht="15" x14ac:dyDescent="0.25">
      <c r="C18708" s="8" t="e">
        <f>VLOOKUP(A:A,'ITEM LIST'!A:C,3,0)</f>
        <v>#N/A</v>
      </c>
      <c r="D18708" s="6">
        <f t="shared" si="293"/>
        <v>0</v>
      </c>
    </row>
    <row r="18709" spans="3:4" ht="15" x14ac:dyDescent="0.25">
      <c r="C18709" s="8" t="e">
        <f>VLOOKUP(A:A,'ITEM LIST'!A:C,3,0)</f>
        <v>#N/A</v>
      </c>
      <c r="D18709" s="6">
        <f t="shared" si="293"/>
        <v>0</v>
      </c>
    </row>
    <row r="18710" spans="3:4" ht="15" x14ac:dyDescent="0.25">
      <c r="C18710" s="8" t="e">
        <f>VLOOKUP(A:A,'ITEM LIST'!A:C,3,0)</f>
        <v>#N/A</v>
      </c>
      <c r="D18710" s="6">
        <f t="shared" si="293"/>
        <v>0</v>
      </c>
    </row>
    <row r="18711" spans="3:4" ht="15" x14ac:dyDescent="0.25">
      <c r="C18711" s="8" t="e">
        <f>VLOOKUP(A:A,'ITEM LIST'!A:C,3,0)</f>
        <v>#N/A</v>
      </c>
      <c r="D18711" s="6">
        <f t="shared" si="293"/>
        <v>0</v>
      </c>
    </row>
    <row r="18712" spans="3:4" ht="15" x14ac:dyDescent="0.25">
      <c r="C18712" s="8" t="e">
        <f>VLOOKUP(A:A,'ITEM LIST'!A:C,3,0)</f>
        <v>#N/A</v>
      </c>
      <c r="D18712" s="6">
        <f t="shared" si="293"/>
        <v>0</v>
      </c>
    </row>
    <row r="18713" spans="3:4" ht="15" x14ac:dyDescent="0.25">
      <c r="C18713" s="8" t="e">
        <f>VLOOKUP(A:A,'ITEM LIST'!A:C,3,0)</f>
        <v>#N/A</v>
      </c>
      <c r="D18713" s="6">
        <f t="shared" si="293"/>
        <v>0</v>
      </c>
    </row>
    <row r="18714" spans="3:4" ht="15" x14ac:dyDescent="0.25">
      <c r="C18714" s="8" t="e">
        <f>VLOOKUP(A:A,'ITEM LIST'!A:C,3,0)</f>
        <v>#N/A</v>
      </c>
      <c r="D18714" s="6">
        <f t="shared" si="293"/>
        <v>0</v>
      </c>
    </row>
    <row r="18715" spans="3:4" ht="15" x14ac:dyDescent="0.25">
      <c r="C18715" s="8" t="e">
        <f>VLOOKUP(A:A,'ITEM LIST'!A:C,3,0)</f>
        <v>#N/A</v>
      </c>
      <c r="D18715" s="6">
        <f t="shared" si="293"/>
        <v>0</v>
      </c>
    </row>
    <row r="18716" spans="3:4" ht="15" x14ac:dyDescent="0.25">
      <c r="C18716" s="8" t="e">
        <f>VLOOKUP(A:A,'ITEM LIST'!A:C,3,0)</f>
        <v>#N/A</v>
      </c>
      <c r="D18716" s="6">
        <f t="shared" si="293"/>
        <v>0</v>
      </c>
    </row>
    <row r="18717" spans="3:4" ht="15" x14ac:dyDescent="0.25">
      <c r="C18717" s="8" t="e">
        <f>VLOOKUP(A:A,'ITEM LIST'!A:C,3,0)</f>
        <v>#N/A</v>
      </c>
      <c r="D18717" s="6">
        <f t="shared" si="293"/>
        <v>0</v>
      </c>
    </row>
    <row r="18718" spans="3:4" ht="15" x14ac:dyDescent="0.25">
      <c r="C18718" s="8" t="e">
        <f>VLOOKUP(A:A,'ITEM LIST'!A:C,3,0)</f>
        <v>#N/A</v>
      </c>
      <c r="D18718" s="6">
        <f t="shared" si="293"/>
        <v>0</v>
      </c>
    </row>
    <row r="18719" spans="3:4" ht="15" x14ac:dyDescent="0.25">
      <c r="C18719" s="8" t="e">
        <f>VLOOKUP(A:A,'ITEM LIST'!A:C,3,0)</f>
        <v>#N/A</v>
      </c>
      <c r="D18719" s="6">
        <f t="shared" si="293"/>
        <v>0</v>
      </c>
    </row>
    <row r="18720" spans="3:4" ht="15" x14ac:dyDescent="0.25">
      <c r="C18720" s="8" t="e">
        <f>VLOOKUP(A:A,'ITEM LIST'!A:C,3,0)</f>
        <v>#N/A</v>
      </c>
      <c r="D18720" s="6">
        <f t="shared" si="293"/>
        <v>0</v>
      </c>
    </row>
    <row r="18721" spans="3:4" ht="15" x14ac:dyDescent="0.25">
      <c r="C18721" s="8" t="e">
        <f>VLOOKUP(A:A,'ITEM LIST'!A:C,3,0)</f>
        <v>#N/A</v>
      </c>
      <c r="D18721" s="6">
        <f t="shared" si="293"/>
        <v>0</v>
      </c>
    </row>
    <row r="18722" spans="3:4" ht="15" x14ac:dyDescent="0.25">
      <c r="C18722" s="8" t="e">
        <f>VLOOKUP(A:A,'ITEM LIST'!A:C,3,0)</f>
        <v>#N/A</v>
      </c>
      <c r="D18722" s="6">
        <f t="shared" si="293"/>
        <v>0</v>
      </c>
    </row>
    <row r="18723" spans="3:4" ht="15" x14ac:dyDescent="0.25">
      <c r="C18723" s="8" t="e">
        <f>VLOOKUP(A:A,'ITEM LIST'!A:C,3,0)</f>
        <v>#N/A</v>
      </c>
      <c r="D18723" s="6">
        <f t="shared" si="293"/>
        <v>0</v>
      </c>
    </row>
    <row r="18724" spans="3:4" ht="15" x14ac:dyDescent="0.25">
      <c r="C18724" s="8" t="e">
        <f>VLOOKUP(A:A,'ITEM LIST'!A:C,3,0)</f>
        <v>#N/A</v>
      </c>
      <c r="D18724" s="6">
        <f t="shared" si="293"/>
        <v>0</v>
      </c>
    </row>
    <row r="18725" spans="3:4" ht="15" x14ac:dyDescent="0.25">
      <c r="C18725" s="8" t="e">
        <f>VLOOKUP(A:A,'ITEM LIST'!A:C,3,0)</f>
        <v>#N/A</v>
      </c>
      <c r="D18725" s="6">
        <f t="shared" si="293"/>
        <v>0</v>
      </c>
    </row>
    <row r="18726" spans="3:4" ht="15" x14ac:dyDescent="0.25">
      <c r="C18726" s="8" t="e">
        <f>VLOOKUP(A:A,'ITEM LIST'!A:C,3,0)</f>
        <v>#N/A</v>
      </c>
      <c r="D18726" s="6">
        <f t="shared" si="293"/>
        <v>0</v>
      </c>
    </row>
    <row r="18727" spans="3:4" ht="15" x14ac:dyDescent="0.25">
      <c r="C18727" s="8" t="e">
        <f>VLOOKUP(A:A,'ITEM LIST'!A:C,3,0)</f>
        <v>#N/A</v>
      </c>
      <c r="D18727" s="6">
        <f t="shared" si="293"/>
        <v>0</v>
      </c>
    </row>
    <row r="18728" spans="3:4" ht="15" x14ac:dyDescent="0.25">
      <c r="C18728" s="8" t="e">
        <f>VLOOKUP(A:A,'ITEM LIST'!A:C,3,0)</f>
        <v>#N/A</v>
      </c>
      <c r="D18728" s="6">
        <f t="shared" si="293"/>
        <v>0</v>
      </c>
    </row>
    <row r="18729" spans="3:4" ht="15" x14ac:dyDescent="0.25">
      <c r="C18729" s="8" t="e">
        <f>VLOOKUP(A:A,'ITEM LIST'!A:C,3,0)</f>
        <v>#N/A</v>
      </c>
      <c r="D18729" s="6">
        <f t="shared" si="293"/>
        <v>0</v>
      </c>
    </row>
    <row r="18730" spans="3:4" ht="15" x14ac:dyDescent="0.25">
      <c r="C18730" s="8" t="e">
        <f>VLOOKUP(A:A,'ITEM LIST'!A:C,3,0)</f>
        <v>#N/A</v>
      </c>
      <c r="D18730" s="6">
        <f t="shared" si="293"/>
        <v>0</v>
      </c>
    </row>
    <row r="18731" spans="3:4" ht="15" x14ac:dyDescent="0.25">
      <c r="C18731" s="8" t="e">
        <f>VLOOKUP(A:A,'ITEM LIST'!A:C,3,0)</f>
        <v>#N/A</v>
      </c>
      <c r="D18731" s="6">
        <f t="shared" si="293"/>
        <v>0</v>
      </c>
    </row>
    <row r="18732" spans="3:4" ht="15" x14ac:dyDescent="0.25">
      <c r="C18732" s="8" t="e">
        <f>VLOOKUP(A:A,'ITEM LIST'!A:C,3,0)</f>
        <v>#N/A</v>
      </c>
      <c r="D18732" s="6">
        <f t="shared" si="293"/>
        <v>0</v>
      </c>
    </row>
    <row r="18733" spans="3:4" ht="15" x14ac:dyDescent="0.25">
      <c r="C18733" s="8" t="e">
        <f>VLOOKUP(A:A,'ITEM LIST'!A:C,3,0)</f>
        <v>#N/A</v>
      </c>
      <c r="D18733" s="6">
        <f t="shared" si="293"/>
        <v>0</v>
      </c>
    </row>
    <row r="18734" spans="3:4" ht="15" x14ac:dyDescent="0.25">
      <c r="C18734" s="8" t="e">
        <f>VLOOKUP(A:A,'ITEM LIST'!A:C,3,0)</f>
        <v>#N/A</v>
      </c>
      <c r="D18734" s="6">
        <f t="shared" si="293"/>
        <v>0</v>
      </c>
    </row>
    <row r="18735" spans="3:4" ht="15" x14ac:dyDescent="0.25">
      <c r="C18735" s="8" t="e">
        <f>VLOOKUP(A:A,'ITEM LIST'!A:C,3,0)</f>
        <v>#N/A</v>
      </c>
      <c r="D18735" s="6">
        <f t="shared" si="293"/>
        <v>0</v>
      </c>
    </row>
    <row r="18736" spans="3:4" ht="15" x14ac:dyDescent="0.25">
      <c r="C18736" s="8" t="e">
        <f>VLOOKUP(A:A,'ITEM LIST'!A:C,3,0)</f>
        <v>#N/A</v>
      </c>
      <c r="D18736" s="6">
        <f t="shared" si="293"/>
        <v>0</v>
      </c>
    </row>
    <row r="18737" spans="3:4" ht="15" x14ac:dyDescent="0.25">
      <c r="C18737" s="8" t="e">
        <f>VLOOKUP(A:A,'ITEM LIST'!A:C,3,0)</f>
        <v>#N/A</v>
      </c>
      <c r="D18737" s="6">
        <f t="shared" si="293"/>
        <v>0</v>
      </c>
    </row>
    <row r="18738" spans="3:4" ht="15" x14ac:dyDescent="0.25">
      <c r="C18738" s="8" t="e">
        <f>VLOOKUP(A:A,'ITEM LIST'!A:C,3,0)</f>
        <v>#N/A</v>
      </c>
      <c r="D18738" s="6">
        <f t="shared" si="293"/>
        <v>0</v>
      </c>
    </row>
    <row r="18739" spans="3:4" ht="15" x14ac:dyDescent="0.25">
      <c r="C18739" s="8" t="e">
        <f>VLOOKUP(A:A,'ITEM LIST'!A:C,3,0)</f>
        <v>#N/A</v>
      </c>
      <c r="D18739" s="6">
        <f t="shared" si="293"/>
        <v>0</v>
      </c>
    </row>
    <row r="18740" spans="3:4" ht="15" x14ac:dyDescent="0.25">
      <c r="C18740" s="8" t="e">
        <f>VLOOKUP(A:A,'ITEM LIST'!A:C,3,0)</f>
        <v>#N/A</v>
      </c>
      <c r="D18740" s="6">
        <f t="shared" si="293"/>
        <v>0</v>
      </c>
    </row>
    <row r="18741" spans="3:4" ht="15" x14ac:dyDescent="0.25">
      <c r="C18741" s="8" t="e">
        <f>VLOOKUP(A:A,'ITEM LIST'!A:C,3,0)</f>
        <v>#N/A</v>
      </c>
      <c r="D18741" s="6">
        <f t="shared" si="293"/>
        <v>0</v>
      </c>
    </row>
    <row r="18742" spans="3:4" ht="15" x14ac:dyDescent="0.25">
      <c r="C18742" s="8" t="e">
        <f>VLOOKUP(A:A,'ITEM LIST'!A:C,3,0)</f>
        <v>#N/A</v>
      </c>
      <c r="D18742" s="6">
        <f t="shared" si="293"/>
        <v>0</v>
      </c>
    </row>
    <row r="18743" spans="3:4" ht="15" x14ac:dyDescent="0.25">
      <c r="C18743" s="8" t="e">
        <f>VLOOKUP(A:A,'ITEM LIST'!A:C,3,0)</f>
        <v>#N/A</v>
      </c>
      <c r="D18743" s="6">
        <f t="shared" si="293"/>
        <v>0</v>
      </c>
    </row>
    <row r="18744" spans="3:4" ht="15" x14ac:dyDescent="0.25">
      <c r="C18744" s="8" t="e">
        <f>VLOOKUP(A:A,'ITEM LIST'!A:C,3,0)</f>
        <v>#N/A</v>
      </c>
      <c r="D18744" s="6">
        <f t="shared" si="293"/>
        <v>0</v>
      </c>
    </row>
    <row r="18745" spans="3:4" ht="15" x14ac:dyDescent="0.25">
      <c r="C18745" s="8" t="e">
        <f>VLOOKUP(A:A,'ITEM LIST'!A:C,3,0)</f>
        <v>#N/A</v>
      </c>
      <c r="D18745" s="6">
        <f t="shared" si="293"/>
        <v>0</v>
      </c>
    </row>
    <row r="18746" spans="3:4" ht="15" x14ac:dyDescent="0.25">
      <c r="C18746" s="8" t="e">
        <f>VLOOKUP(A:A,'ITEM LIST'!A:C,3,0)</f>
        <v>#N/A</v>
      </c>
      <c r="D18746" s="6">
        <f t="shared" si="293"/>
        <v>0</v>
      </c>
    </row>
    <row r="18747" spans="3:4" ht="15" x14ac:dyDescent="0.25">
      <c r="C18747" s="8" t="e">
        <f>VLOOKUP(A:A,'ITEM LIST'!A:C,3,0)</f>
        <v>#N/A</v>
      </c>
      <c r="D18747" s="6">
        <f t="shared" si="293"/>
        <v>0</v>
      </c>
    </row>
    <row r="18748" spans="3:4" ht="15" x14ac:dyDescent="0.25">
      <c r="C18748" s="8" t="e">
        <f>VLOOKUP(A:A,'ITEM LIST'!A:C,3,0)</f>
        <v>#N/A</v>
      </c>
      <c r="D18748" s="6">
        <f t="shared" si="293"/>
        <v>0</v>
      </c>
    </row>
    <row r="18749" spans="3:4" ht="15" x14ac:dyDescent="0.25">
      <c r="C18749" s="8" t="e">
        <f>VLOOKUP(A:A,'ITEM LIST'!A:C,3,0)</f>
        <v>#N/A</v>
      </c>
      <c r="D18749" s="6">
        <f t="shared" si="293"/>
        <v>0</v>
      </c>
    </row>
    <row r="18750" spans="3:4" ht="15" x14ac:dyDescent="0.25">
      <c r="C18750" s="8" t="e">
        <f>VLOOKUP(A:A,'ITEM LIST'!A:C,3,0)</f>
        <v>#N/A</v>
      </c>
      <c r="D18750" s="6">
        <f t="shared" si="293"/>
        <v>0</v>
      </c>
    </row>
    <row r="18751" spans="3:4" ht="15" x14ac:dyDescent="0.25">
      <c r="C18751" s="8" t="e">
        <f>VLOOKUP(A:A,'ITEM LIST'!A:C,3,0)</f>
        <v>#N/A</v>
      </c>
      <c r="D18751" s="6">
        <f t="shared" si="293"/>
        <v>0</v>
      </c>
    </row>
    <row r="18752" spans="3:4" ht="15" x14ac:dyDescent="0.25">
      <c r="C18752" s="8" t="e">
        <f>VLOOKUP(A:A,'ITEM LIST'!A:C,3,0)</f>
        <v>#N/A</v>
      </c>
      <c r="D18752" s="6">
        <f t="shared" si="293"/>
        <v>0</v>
      </c>
    </row>
    <row r="18753" spans="3:4" ht="15" x14ac:dyDescent="0.25">
      <c r="C18753" s="8" t="e">
        <f>VLOOKUP(A:A,'ITEM LIST'!A:C,3,0)</f>
        <v>#N/A</v>
      </c>
      <c r="D18753" s="6">
        <f t="shared" si="293"/>
        <v>0</v>
      </c>
    </row>
    <row r="18754" spans="3:4" ht="15" x14ac:dyDescent="0.25">
      <c r="C18754" s="8" t="e">
        <f>VLOOKUP(A:A,'ITEM LIST'!A:C,3,0)</f>
        <v>#N/A</v>
      </c>
      <c r="D18754" s="6">
        <f t="shared" si="293"/>
        <v>0</v>
      </c>
    </row>
    <row r="18755" spans="3:4" ht="15" x14ac:dyDescent="0.25">
      <c r="C18755" s="8" t="e">
        <f>VLOOKUP(A:A,'ITEM LIST'!A:C,3,0)</f>
        <v>#N/A</v>
      </c>
      <c r="D18755" s="6">
        <f t="shared" si="293"/>
        <v>0</v>
      </c>
    </row>
    <row r="18756" spans="3:4" ht="15" x14ac:dyDescent="0.25">
      <c r="C18756" s="8" t="e">
        <f>VLOOKUP(A:A,'ITEM LIST'!A:C,3,0)</f>
        <v>#N/A</v>
      </c>
      <c r="D18756" s="6">
        <f t="shared" si="293"/>
        <v>0</v>
      </c>
    </row>
    <row r="18757" spans="3:4" ht="15" x14ac:dyDescent="0.25">
      <c r="C18757" s="8" t="e">
        <f>VLOOKUP(A:A,'ITEM LIST'!A:C,3,0)</f>
        <v>#N/A</v>
      </c>
      <c r="D18757" s="6">
        <f t="shared" si="293"/>
        <v>0</v>
      </c>
    </row>
    <row r="18758" spans="3:4" ht="15" x14ac:dyDescent="0.25">
      <c r="C18758" s="8" t="e">
        <f>VLOOKUP(A:A,'ITEM LIST'!A:C,3,0)</f>
        <v>#N/A</v>
      </c>
      <c r="D18758" s="6">
        <f t="shared" ref="D18758:D18821" si="294">B18758</f>
        <v>0</v>
      </c>
    </row>
    <row r="18759" spans="3:4" ht="15" x14ac:dyDescent="0.25">
      <c r="C18759" s="8" t="e">
        <f>VLOOKUP(A:A,'ITEM LIST'!A:C,3,0)</f>
        <v>#N/A</v>
      </c>
      <c r="D18759" s="6">
        <f t="shared" si="294"/>
        <v>0</v>
      </c>
    </row>
    <row r="18760" spans="3:4" ht="15" x14ac:dyDescent="0.25">
      <c r="C18760" s="8" t="e">
        <f>VLOOKUP(A:A,'ITEM LIST'!A:C,3,0)</f>
        <v>#N/A</v>
      </c>
      <c r="D18760" s="6">
        <f t="shared" si="294"/>
        <v>0</v>
      </c>
    </row>
    <row r="18761" spans="3:4" ht="15" x14ac:dyDescent="0.25">
      <c r="C18761" s="8" t="e">
        <f>VLOOKUP(A:A,'ITEM LIST'!A:C,3,0)</f>
        <v>#N/A</v>
      </c>
      <c r="D18761" s="6">
        <f t="shared" si="294"/>
        <v>0</v>
      </c>
    </row>
    <row r="18762" spans="3:4" ht="15" x14ac:dyDescent="0.25">
      <c r="C18762" s="8" t="e">
        <f>VLOOKUP(A:A,'ITEM LIST'!A:C,3,0)</f>
        <v>#N/A</v>
      </c>
      <c r="D18762" s="6">
        <f t="shared" si="294"/>
        <v>0</v>
      </c>
    </row>
    <row r="18763" spans="3:4" ht="15" x14ac:dyDescent="0.25">
      <c r="C18763" s="8" t="e">
        <f>VLOOKUP(A:A,'ITEM LIST'!A:C,3,0)</f>
        <v>#N/A</v>
      </c>
      <c r="D18763" s="6">
        <f t="shared" si="294"/>
        <v>0</v>
      </c>
    </row>
    <row r="18764" spans="3:4" ht="15" x14ac:dyDescent="0.25">
      <c r="C18764" s="8" t="e">
        <f>VLOOKUP(A:A,'ITEM LIST'!A:C,3,0)</f>
        <v>#N/A</v>
      </c>
      <c r="D18764" s="6">
        <f t="shared" si="294"/>
        <v>0</v>
      </c>
    </row>
    <row r="18765" spans="3:4" ht="15" x14ac:dyDescent="0.25">
      <c r="C18765" s="8" t="e">
        <f>VLOOKUP(A:A,'ITEM LIST'!A:C,3,0)</f>
        <v>#N/A</v>
      </c>
      <c r="D18765" s="6">
        <f t="shared" si="294"/>
        <v>0</v>
      </c>
    </row>
    <row r="18766" spans="3:4" ht="15" x14ac:dyDescent="0.25">
      <c r="C18766" s="8" t="e">
        <f>VLOOKUP(A:A,'ITEM LIST'!A:C,3,0)</f>
        <v>#N/A</v>
      </c>
      <c r="D18766" s="6">
        <f t="shared" si="294"/>
        <v>0</v>
      </c>
    </row>
    <row r="18767" spans="3:4" ht="15" x14ac:dyDescent="0.25">
      <c r="C18767" s="8" t="e">
        <f>VLOOKUP(A:A,'ITEM LIST'!A:C,3,0)</f>
        <v>#N/A</v>
      </c>
      <c r="D18767" s="6">
        <f t="shared" si="294"/>
        <v>0</v>
      </c>
    </row>
    <row r="18768" spans="3:4" ht="15" x14ac:dyDescent="0.25">
      <c r="C18768" s="8" t="e">
        <f>VLOOKUP(A:A,'ITEM LIST'!A:C,3,0)</f>
        <v>#N/A</v>
      </c>
      <c r="D18768" s="6">
        <f t="shared" si="294"/>
        <v>0</v>
      </c>
    </row>
    <row r="18769" spans="3:4" ht="15" x14ac:dyDescent="0.25">
      <c r="C18769" s="8" t="e">
        <f>VLOOKUP(A:A,'ITEM LIST'!A:C,3,0)</f>
        <v>#N/A</v>
      </c>
      <c r="D18769" s="6">
        <f t="shared" si="294"/>
        <v>0</v>
      </c>
    </row>
    <row r="18770" spans="3:4" ht="15" x14ac:dyDescent="0.25">
      <c r="C18770" s="8" t="e">
        <f>VLOOKUP(A:A,'ITEM LIST'!A:C,3,0)</f>
        <v>#N/A</v>
      </c>
      <c r="D18770" s="6">
        <f t="shared" si="294"/>
        <v>0</v>
      </c>
    </row>
    <row r="18771" spans="3:4" ht="15" x14ac:dyDescent="0.25">
      <c r="C18771" s="8" t="e">
        <f>VLOOKUP(A:A,'ITEM LIST'!A:C,3,0)</f>
        <v>#N/A</v>
      </c>
      <c r="D18771" s="6">
        <f t="shared" si="294"/>
        <v>0</v>
      </c>
    </row>
    <row r="18772" spans="3:4" ht="15" x14ac:dyDescent="0.25">
      <c r="C18772" s="8" t="e">
        <f>VLOOKUP(A:A,'ITEM LIST'!A:C,3,0)</f>
        <v>#N/A</v>
      </c>
      <c r="D18772" s="6">
        <f t="shared" si="294"/>
        <v>0</v>
      </c>
    </row>
    <row r="18773" spans="3:4" ht="15" x14ac:dyDescent="0.25">
      <c r="C18773" s="8" t="e">
        <f>VLOOKUP(A:A,'ITEM LIST'!A:C,3,0)</f>
        <v>#N/A</v>
      </c>
      <c r="D18773" s="6">
        <f t="shared" si="294"/>
        <v>0</v>
      </c>
    </row>
    <row r="18774" spans="3:4" ht="15" x14ac:dyDescent="0.25">
      <c r="C18774" s="8" t="e">
        <f>VLOOKUP(A:A,'ITEM LIST'!A:C,3,0)</f>
        <v>#N/A</v>
      </c>
      <c r="D18774" s="6">
        <f t="shared" si="294"/>
        <v>0</v>
      </c>
    </row>
    <row r="18775" spans="3:4" ht="15" x14ac:dyDescent="0.25">
      <c r="C18775" s="8" t="e">
        <f>VLOOKUP(A:A,'ITEM LIST'!A:C,3,0)</f>
        <v>#N/A</v>
      </c>
      <c r="D18775" s="6">
        <f t="shared" si="294"/>
        <v>0</v>
      </c>
    </row>
    <row r="18776" spans="3:4" ht="15" x14ac:dyDescent="0.25">
      <c r="C18776" s="8" t="e">
        <f>VLOOKUP(A:A,'ITEM LIST'!A:C,3,0)</f>
        <v>#N/A</v>
      </c>
      <c r="D18776" s="6">
        <f t="shared" si="294"/>
        <v>0</v>
      </c>
    </row>
    <row r="18777" spans="3:4" ht="15" x14ac:dyDescent="0.25">
      <c r="C18777" s="8" t="e">
        <f>VLOOKUP(A:A,'ITEM LIST'!A:C,3,0)</f>
        <v>#N/A</v>
      </c>
      <c r="D18777" s="6">
        <f t="shared" si="294"/>
        <v>0</v>
      </c>
    </row>
    <row r="18778" spans="3:4" ht="15" x14ac:dyDescent="0.25">
      <c r="C18778" s="8" t="e">
        <f>VLOOKUP(A:A,'ITEM LIST'!A:C,3,0)</f>
        <v>#N/A</v>
      </c>
      <c r="D18778" s="6">
        <f t="shared" si="294"/>
        <v>0</v>
      </c>
    </row>
    <row r="18779" spans="3:4" ht="15" x14ac:dyDescent="0.25">
      <c r="C18779" s="8" t="e">
        <f>VLOOKUP(A:A,'ITEM LIST'!A:C,3,0)</f>
        <v>#N/A</v>
      </c>
      <c r="D18779" s="6">
        <f t="shared" si="294"/>
        <v>0</v>
      </c>
    </row>
    <row r="18780" spans="3:4" ht="15" x14ac:dyDescent="0.25">
      <c r="C18780" s="8" t="e">
        <f>VLOOKUP(A:A,'ITEM LIST'!A:C,3,0)</f>
        <v>#N/A</v>
      </c>
      <c r="D18780" s="6">
        <f t="shared" si="294"/>
        <v>0</v>
      </c>
    </row>
    <row r="18781" spans="3:4" ht="15" x14ac:dyDescent="0.25">
      <c r="C18781" s="8" t="e">
        <f>VLOOKUP(A:A,'ITEM LIST'!A:C,3,0)</f>
        <v>#N/A</v>
      </c>
      <c r="D18781" s="6">
        <f t="shared" si="294"/>
        <v>0</v>
      </c>
    </row>
    <row r="18782" spans="3:4" ht="15" x14ac:dyDescent="0.25">
      <c r="C18782" s="8" t="e">
        <f>VLOOKUP(A:A,'ITEM LIST'!A:C,3,0)</f>
        <v>#N/A</v>
      </c>
      <c r="D18782" s="6">
        <f t="shared" si="294"/>
        <v>0</v>
      </c>
    </row>
    <row r="18783" spans="3:4" ht="15" x14ac:dyDescent="0.25">
      <c r="C18783" s="8" t="e">
        <f>VLOOKUP(A:A,'ITEM LIST'!A:C,3,0)</f>
        <v>#N/A</v>
      </c>
      <c r="D18783" s="6">
        <f t="shared" si="294"/>
        <v>0</v>
      </c>
    </row>
    <row r="18784" spans="3:4" ht="15" x14ac:dyDescent="0.25">
      <c r="C18784" s="8" t="e">
        <f>VLOOKUP(A:A,'ITEM LIST'!A:C,3,0)</f>
        <v>#N/A</v>
      </c>
      <c r="D18784" s="6">
        <f t="shared" si="294"/>
        <v>0</v>
      </c>
    </row>
    <row r="18785" spans="3:4" ht="15" x14ac:dyDescent="0.25">
      <c r="C18785" s="8" t="e">
        <f>VLOOKUP(A:A,'ITEM LIST'!A:C,3,0)</f>
        <v>#N/A</v>
      </c>
      <c r="D18785" s="6">
        <f t="shared" si="294"/>
        <v>0</v>
      </c>
    </row>
    <row r="18786" spans="3:4" ht="15" x14ac:dyDescent="0.25">
      <c r="C18786" s="8" t="e">
        <f>VLOOKUP(A:A,'ITEM LIST'!A:C,3,0)</f>
        <v>#N/A</v>
      </c>
      <c r="D18786" s="6">
        <f t="shared" si="294"/>
        <v>0</v>
      </c>
    </row>
    <row r="18787" spans="3:4" ht="15" x14ac:dyDescent="0.25">
      <c r="C18787" s="8" t="e">
        <f>VLOOKUP(A:A,'ITEM LIST'!A:C,3,0)</f>
        <v>#N/A</v>
      </c>
      <c r="D18787" s="6">
        <f t="shared" si="294"/>
        <v>0</v>
      </c>
    </row>
    <row r="18788" spans="3:4" ht="15" x14ac:dyDescent="0.25">
      <c r="C18788" s="8" t="e">
        <f>VLOOKUP(A:A,'ITEM LIST'!A:C,3,0)</f>
        <v>#N/A</v>
      </c>
      <c r="D18788" s="6">
        <f t="shared" si="294"/>
        <v>0</v>
      </c>
    </row>
    <row r="18789" spans="3:4" ht="15" x14ac:dyDescent="0.25">
      <c r="C18789" s="8" t="e">
        <f>VLOOKUP(A:A,'ITEM LIST'!A:C,3,0)</f>
        <v>#N/A</v>
      </c>
      <c r="D18789" s="6">
        <f t="shared" si="294"/>
        <v>0</v>
      </c>
    </row>
    <row r="18790" spans="3:4" ht="15" x14ac:dyDescent="0.25">
      <c r="C18790" s="8" t="e">
        <f>VLOOKUP(A:A,'ITEM LIST'!A:C,3,0)</f>
        <v>#N/A</v>
      </c>
      <c r="D18790" s="6">
        <f t="shared" si="294"/>
        <v>0</v>
      </c>
    </row>
    <row r="18791" spans="3:4" ht="15" x14ac:dyDescent="0.25">
      <c r="C18791" s="8" t="e">
        <f>VLOOKUP(A:A,'ITEM LIST'!A:C,3,0)</f>
        <v>#N/A</v>
      </c>
      <c r="D18791" s="6">
        <f t="shared" si="294"/>
        <v>0</v>
      </c>
    </row>
    <row r="18792" spans="3:4" ht="15" x14ac:dyDescent="0.25">
      <c r="C18792" s="8" t="e">
        <f>VLOOKUP(A:A,'ITEM LIST'!A:C,3,0)</f>
        <v>#N/A</v>
      </c>
      <c r="D18792" s="6">
        <f t="shared" si="294"/>
        <v>0</v>
      </c>
    </row>
    <row r="18793" spans="3:4" ht="15" x14ac:dyDescent="0.25">
      <c r="C18793" s="8" t="e">
        <f>VLOOKUP(A:A,'ITEM LIST'!A:C,3,0)</f>
        <v>#N/A</v>
      </c>
      <c r="D18793" s="6">
        <f t="shared" si="294"/>
        <v>0</v>
      </c>
    </row>
    <row r="18794" spans="3:4" ht="15" x14ac:dyDescent="0.25">
      <c r="C18794" s="8" t="e">
        <f>VLOOKUP(A:A,'ITEM LIST'!A:C,3,0)</f>
        <v>#N/A</v>
      </c>
      <c r="D18794" s="6">
        <f t="shared" si="294"/>
        <v>0</v>
      </c>
    </row>
    <row r="18795" spans="3:4" ht="15" x14ac:dyDescent="0.25">
      <c r="C18795" s="8" t="e">
        <f>VLOOKUP(A:A,'ITEM LIST'!A:C,3,0)</f>
        <v>#N/A</v>
      </c>
      <c r="D18795" s="6">
        <f t="shared" si="294"/>
        <v>0</v>
      </c>
    </row>
    <row r="18796" spans="3:4" ht="15" x14ac:dyDescent="0.25">
      <c r="C18796" s="8" t="e">
        <f>VLOOKUP(A:A,'ITEM LIST'!A:C,3,0)</f>
        <v>#N/A</v>
      </c>
      <c r="D18796" s="6">
        <f t="shared" si="294"/>
        <v>0</v>
      </c>
    </row>
    <row r="18797" spans="3:4" ht="15" x14ac:dyDescent="0.25">
      <c r="C18797" s="8" t="e">
        <f>VLOOKUP(A:A,'ITEM LIST'!A:C,3,0)</f>
        <v>#N/A</v>
      </c>
      <c r="D18797" s="6">
        <f t="shared" si="294"/>
        <v>0</v>
      </c>
    </row>
    <row r="18798" spans="3:4" ht="15" x14ac:dyDescent="0.25">
      <c r="C18798" s="8" t="e">
        <f>VLOOKUP(A:A,'ITEM LIST'!A:C,3,0)</f>
        <v>#N/A</v>
      </c>
      <c r="D18798" s="6">
        <f t="shared" si="294"/>
        <v>0</v>
      </c>
    </row>
    <row r="18799" spans="3:4" ht="15" x14ac:dyDescent="0.25">
      <c r="C18799" s="8" t="e">
        <f>VLOOKUP(A:A,'ITEM LIST'!A:C,3,0)</f>
        <v>#N/A</v>
      </c>
      <c r="D18799" s="6">
        <f t="shared" si="294"/>
        <v>0</v>
      </c>
    </row>
    <row r="18800" spans="3:4" ht="15" x14ac:dyDescent="0.25">
      <c r="C18800" s="8" t="e">
        <f>VLOOKUP(A:A,'ITEM LIST'!A:C,3,0)</f>
        <v>#N/A</v>
      </c>
      <c r="D18800" s="6">
        <f t="shared" si="294"/>
        <v>0</v>
      </c>
    </row>
    <row r="18801" spans="3:4" ht="15" x14ac:dyDescent="0.25">
      <c r="C18801" s="8" t="e">
        <f>VLOOKUP(A:A,'ITEM LIST'!A:C,3,0)</f>
        <v>#N/A</v>
      </c>
      <c r="D18801" s="6">
        <f t="shared" si="294"/>
        <v>0</v>
      </c>
    </row>
    <row r="18802" spans="3:4" ht="15" x14ac:dyDescent="0.25">
      <c r="C18802" s="8" t="e">
        <f>VLOOKUP(A:A,'ITEM LIST'!A:C,3,0)</f>
        <v>#N/A</v>
      </c>
      <c r="D18802" s="6">
        <f t="shared" si="294"/>
        <v>0</v>
      </c>
    </row>
    <row r="18803" spans="3:4" ht="15" x14ac:dyDescent="0.25">
      <c r="C18803" s="8" t="e">
        <f>VLOOKUP(A:A,'ITEM LIST'!A:C,3,0)</f>
        <v>#N/A</v>
      </c>
      <c r="D18803" s="6">
        <f t="shared" si="294"/>
        <v>0</v>
      </c>
    </row>
    <row r="18804" spans="3:4" ht="15" x14ac:dyDescent="0.25">
      <c r="C18804" s="8" t="e">
        <f>VLOOKUP(A:A,'ITEM LIST'!A:C,3,0)</f>
        <v>#N/A</v>
      </c>
      <c r="D18804" s="6">
        <f t="shared" si="294"/>
        <v>0</v>
      </c>
    </row>
    <row r="18805" spans="3:4" ht="15" x14ac:dyDescent="0.25">
      <c r="C18805" s="8" t="e">
        <f>VLOOKUP(A:A,'ITEM LIST'!A:C,3,0)</f>
        <v>#N/A</v>
      </c>
      <c r="D18805" s="6">
        <f t="shared" si="294"/>
        <v>0</v>
      </c>
    </row>
    <row r="18806" spans="3:4" ht="15" x14ac:dyDescent="0.25">
      <c r="C18806" s="8" t="e">
        <f>VLOOKUP(A:A,'ITEM LIST'!A:C,3,0)</f>
        <v>#N/A</v>
      </c>
      <c r="D18806" s="6">
        <f t="shared" si="294"/>
        <v>0</v>
      </c>
    </row>
    <row r="18807" spans="3:4" ht="15" x14ac:dyDescent="0.25">
      <c r="C18807" s="8" t="e">
        <f>VLOOKUP(A:A,'ITEM LIST'!A:C,3,0)</f>
        <v>#N/A</v>
      </c>
      <c r="D18807" s="6">
        <f t="shared" si="294"/>
        <v>0</v>
      </c>
    </row>
    <row r="18808" spans="3:4" ht="15" x14ac:dyDescent="0.25">
      <c r="C18808" s="8" t="e">
        <f>VLOOKUP(A:A,'ITEM LIST'!A:C,3,0)</f>
        <v>#N/A</v>
      </c>
      <c r="D18808" s="6">
        <f t="shared" si="294"/>
        <v>0</v>
      </c>
    </row>
    <row r="18809" spans="3:4" ht="15" x14ac:dyDescent="0.25">
      <c r="C18809" s="8" t="e">
        <f>VLOOKUP(A:A,'ITEM LIST'!A:C,3,0)</f>
        <v>#N/A</v>
      </c>
      <c r="D18809" s="6">
        <f t="shared" si="294"/>
        <v>0</v>
      </c>
    </row>
    <row r="18810" spans="3:4" ht="15" x14ac:dyDescent="0.25">
      <c r="C18810" s="8" t="e">
        <f>VLOOKUP(A:A,'ITEM LIST'!A:C,3,0)</f>
        <v>#N/A</v>
      </c>
      <c r="D18810" s="6">
        <f t="shared" si="294"/>
        <v>0</v>
      </c>
    </row>
    <row r="18811" spans="3:4" ht="15" x14ac:dyDescent="0.25">
      <c r="C18811" s="8" t="e">
        <f>VLOOKUP(A:A,'ITEM LIST'!A:C,3,0)</f>
        <v>#N/A</v>
      </c>
      <c r="D18811" s="6">
        <f t="shared" si="294"/>
        <v>0</v>
      </c>
    </row>
    <row r="18812" spans="3:4" ht="15" x14ac:dyDescent="0.25">
      <c r="C18812" s="8" t="e">
        <f>VLOOKUP(A:A,'ITEM LIST'!A:C,3,0)</f>
        <v>#N/A</v>
      </c>
      <c r="D18812" s="6">
        <f t="shared" si="294"/>
        <v>0</v>
      </c>
    </row>
    <row r="18813" spans="3:4" ht="15" x14ac:dyDescent="0.25">
      <c r="C18813" s="8" t="e">
        <f>VLOOKUP(A:A,'ITEM LIST'!A:C,3,0)</f>
        <v>#N/A</v>
      </c>
      <c r="D18813" s="6">
        <f t="shared" si="294"/>
        <v>0</v>
      </c>
    </row>
    <row r="18814" spans="3:4" ht="15" x14ac:dyDescent="0.25">
      <c r="C18814" s="8" t="e">
        <f>VLOOKUP(A:A,'ITEM LIST'!A:C,3,0)</f>
        <v>#N/A</v>
      </c>
      <c r="D18814" s="6">
        <f t="shared" si="294"/>
        <v>0</v>
      </c>
    </row>
    <row r="18815" spans="3:4" ht="15" x14ac:dyDescent="0.25">
      <c r="C18815" s="8" t="e">
        <f>VLOOKUP(A:A,'ITEM LIST'!A:C,3,0)</f>
        <v>#N/A</v>
      </c>
      <c r="D18815" s="6">
        <f t="shared" si="294"/>
        <v>0</v>
      </c>
    </row>
    <row r="18816" spans="3:4" ht="15" x14ac:dyDescent="0.25">
      <c r="C18816" s="8" t="e">
        <f>VLOOKUP(A:A,'ITEM LIST'!A:C,3,0)</f>
        <v>#N/A</v>
      </c>
      <c r="D18816" s="6">
        <f t="shared" si="294"/>
        <v>0</v>
      </c>
    </row>
    <row r="18817" spans="3:4" ht="15" x14ac:dyDescent="0.25">
      <c r="C18817" s="8" t="e">
        <f>VLOOKUP(A:A,'ITEM LIST'!A:C,3,0)</f>
        <v>#N/A</v>
      </c>
      <c r="D18817" s="6">
        <f t="shared" si="294"/>
        <v>0</v>
      </c>
    </row>
    <row r="18818" spans="3:4" ht="15" x14ac:dyDescent="0.25">
      <c r="C18818" s="8" t="e">
        <f>VLOOKUP(A:A,'ITEM LIST'!A:C,3,0)</f>
        <v>#N/A</v>
      </c>
      <c r="D18818" s="6">
        <f t="shared" si="294"/>
        <v>0</v>
      </c>
    </row>
    <row r="18819" spans="3:4" ht="15" x14ac:dyDescent="0.25">
      <c r="C18819" s="8" t="e">
        <f>VLOOKUP(A:A,'ITEM LIST'!A:C,3,0)</f>
        <v>#N/A</v>
      </c>
      <c r="D18819" s="6">
        <f t="shared" si="294"/>
        <v>0</v>
      </c>
    </row>
    <row r="18820" spans="3:4" ht="15" x14ac:dyDescent="0.25">
      <c r="C18820" s="8" t="e">
        <f>VLOOKUP(A:A,'ITEM LIST'!A:C,3,0)</f>
        <v>#N/A</v>
      </c>
      <c r="D18820" s="6">
        <f t="shared" si="294"/>
        <v>0</v>
      </c>
    </row>
    <row r="18821" spans="3:4" ht="15" x14ac:dyDescent="0.25">
      <c r="C18821" s="8" t="e">
        <f>VLOOKUP(A:A,'ITEM LIST'!A:C,3,0)</f>
        <v>#N/A</v>
      </c>
      <c r="D18821" s="6">
        <f t="shared" si="294"/>
        <v>0</v>
      </c>
    </row>
    <row r="18822" spans="3:4" ht="15" x14ac:dyDescent="0.25">
      <c r="C18822" s="8" t="e">
        <f>VLOOKUP(A:A,'ITEM LIST'!A:C,3,0)</f>
        <v>#N/A</v>
      </c>
      <c r="D18822" s="6">
        <f t="shared" ref="D18822:D18885" si="295">B18822</f>
        <v>0</v>
      </c>
    </row>
    <row r="18823" spans="3:4" ht="15" x14ac:dyDescent="0.25">
      <c r="C18823" s="8" t="e">
        <f>VLOOKUP(A:A,'ITEM LIST'!A:C,3,0)</f>
        <v>#N/A</v>
      </c>
      <c r="D18823" s="6">
        <f t="shared" si="295"/>
        <v>0</v>
      </c>
    </row>
    <row r="18824" spans="3:4" ht="15" x14ac:dyDescent="0.25">
      <c r="C18824" s="8" t="e">
        <f>VLOOKUP(A:A,'ITEM LIST'!A:C,3,0)</f>
        <v>#N/A</v>
      </c>
      <c r="D18824" s="6">
        <f t="shared" si="295"/>
        <v>0</v>
      </c>
    </row>
    <row r="18825" spans="3:4" ht="15" x14ac:dyDescent="0.25">
      <c r="C18825" s="8" t="e">
        <f>VLOOKUP(A:A,'ITEM LIST'!A:C,3,0)</f>
        <v>#N/A</v>
      </c>
      <c r="D18825" s="6">
        <f t="shared" si="295"/>
        <v>0</v>
      </c>
    </row>
    <row r="18826" spans="3:4" ht="15" x14ac:dyDescent="0.25">
      <c r="C18826" s="8" t="e">
        <f>VLOOKUP(A:A,'ITEM LIST'!A:C,3,0)</f>
        <v>#N/A</v>
      </c>
      <c r="D18826" s="6">
        <f t="shared" si="295"/>
        <v>0</v>
      </c>
    </row>
    <row r="18827" spans="3:4" ht="15" x14ac:dyDescent="0.25">
      <c r="C18827" s="8" t="e">
        <f>VLOOKUP(A:A,'ITEM LIST'!A:C,3,0)</f>
        <v>#N/A</v>
      </c>
      <c r="D18827" s="6">
        <f t="shared" si="295"/>
        <v>0</v>
      </c>
    </row>
    <row r="18828" spans="3:4" ht="15" x14ac:dyDescent="0.25">
      <c r="C18828" s="8" t="e">
        <f>VLOOKUP(A:A,'ITEM LIST'!A:C,3,0)</f>
        <v>#N/A</v>
      </c>
      <c r="D18828" s="6">
        <f t="shared" si="295"/>
        <v>0</v>
      </c>
    </row>
    <row r="18829" spans="3:4" ht="15" x14ac:dyDescent="0.25">
      <c r="C18829" s="8" t="e">
        <f>VLOOKUP(A:A,'ITEM LIST'!A:C,3,0)</f>
        <v>#N/A</v>
      </c>
      <c r="D18829" s="6">
        <f t="shared" si="295"/>
        <v>0</v>
      </c>
    </row>
    <row r="18830" spans="3:4" ht="15" x14ac:dyDescent="0.25">
      <c r="C18830" s="8" t="e">
        <f>VLOOKUP(A:A,'ITEM LIST'!A:C,3,0)</f>
        <v>#N/A</v>
      </c>
      <c r="D18830" s="6">
        <f t="shared" si="295"/>
        <v>0</v>
      </c>
    </row>
    <row r="18831" spans="3:4" ht="15" x14ac:dyDescent="0.25">
      <c r="C18831" s="8" t="e">
        <f>VLOOKUP(A:A,'ITEM LIST'!A:C,3,0)</f>
        <v>#N/A</v>
      </c>
      <c r="D18831" s="6">
        <f t="shared" si="295"/>
        <v>0</v>
      </c>
    </row>
    <row r="18832" spans="3:4" ht="15" x14ac:dyDescent="0.25">
      <c r="C18832" s="8" t="e">
        <f>VLOOKUP(A:A,'ITEM LIST'!A:C,3,0)</f>
        <v>#N/A</v>
      </c>
      <c r="D18832" s="6">
        <f t="shared" si="295"/>
        <v>0</v>
      </c>
    </row>
    <row r="18833" spans="3:4" ht="15" x14ac:dyDescent="0.25">
      <c r="C18833" s="8" t="e">
        <f>VLOOKUP(A:A,'ITEM LIST'!A:C,3,0)</f>
        <v>#N/A</v>
      </c>
      <c r="D18833" s="6">
        <f t="shared" si="295"/>
        <v>0</v>
      </c>
    </row>
    <row r="18834" spans="3:4" ht="15" x14ac:dyDescent="0.25">
      <c r="C18834" s="8" t="e">
        <f>VLOOKUP(A:A,'ITEM LIST'!A:C,3,0)</f>
        <v>#N/A</v>
      </c>
      <c r="D18834" s="6">
        <f t="shared" si="295"/>
        <v>0</v>
      </c>
    </row>
    <row r="18835" spans="3:4" ht="15" x14ac:dyDescent="0.25">
      <c r="C18835" s="8" t="e">
        <f>VLOOKUP(A:A,'ITEM LIST'!A:C,3,0)</f>
        <v>#N/A</v>
      </c>
      <c r="D18835" s="6">
        <f t="shared" si="295"/>
        <v>0</v>
      </c>
    </row>
    <row r="18836" spans="3:4" ht="15" x14ac:dyDescent="0.25">
      <c r="C18836" s="8" t="e">
        <f>VLOOKUP(A:A,'ITEM LIST'!A:C,3,0)</f>
        <v>#N/A</v>
      </c>
      <c r="D18836" s="6">
        <f t="shared" si="295"/>
        <v>0</v>
      </c>
    </row>
    <row r="18837" spans="3:4" ht="15" x14ac:dyDescent="0.25">
      <c r="C18837" s="8" t="e">
        <f>VLOOKUP(A:A,'ITEM LIST'!A:C,3,0)</f>
        <v>#N/A</v>
      </c>
      <c r="D18837" s="6">
        <f t="shared" si="295"/>
        <v>0</v>
      </c>
    </row>
    <row r="18838" spans="3:4" ht="15" x14ac:dyDescent="0.25">
      <c r="C18838" s="8" t="e">
        <f>VLOOKUP(A:A,'ITEM LIST'!A:C,3,0)</f>
        <v>#N/A</v>
      </c>
      <c r="D18838" s="6">
        <f t="shared" si="295"/>
        <v>0</v>
      </c>
    </row>
    <row r="18839" spans="3:4" ht="15" x14ac:dyDescent="0.25">
      <c r="C18839" s="8" t="e">
        <f>VLOOKUP(A:A,'ITEM LIST'!A:C,3,0)</f>
        <v>#N/A</v>
      </c>
      <c r="D18839" s="6">
        <f t="shared" si="295"/>
        <v>0</v>
      </c>
    </row>
    <row r="18840" spans="3:4" ht="15" x14ac:dyDescent="0.25">
      <c r="C18840" s="8" t="e">
        <f>VLOOKUP(A:A,'ITEM LIST'!A:C,3,0)</f>
        <v>#N/A</v>
      </c>
      <c r="D18840" s="6">
        <f t="shared" si="295"/>
        <v>0</v>
      </c>
    </row>
    <row r="18841" spans="3:4" ht="15" x14ac:dyDescent="0.25">
      <c r="C18841" s="8" t="e">
        <f>VLOOKUP(A:A,'ITEM LIST'!A:C,3,0)</f>
        <v>#N/A</v>
      </c>
      <c r="D18841" s="6">
        <f t="shared" si="295"/>
        <v>0</v>
      </c>
    </row>
    <row r="18842" spans="3:4" ht="15" x14ac:dyDescent="0.25">
      <c r="C18842" s="8" t="e">
        <f>VLOOKUP(A:A,'ITEM LIST'!A:C,3,0)</f>
        <v>#N/A</v>
      </c>
      <c r="D18842" s="6">
        <f t="shared" si="295"/>
        <v>0</v>
      </c>
    </row>
    <row r="18843" spans="3:4" ht="15" x14ac:dyDescent="0.25">
      <c r="C18843" s="8" t="e">
        <f>VLOOKUP(A:A,'ITEM LIST'!A:C,3,0)</f>
        <v>#N/A</v>
      </c>
      <c r="D18843" s="6">
        <f t="shared" si="295"/>
        <v>0</v>
      </c>
    </row>
    <row r="18844" spans="3:4" ht="15" x14ac:dyDescent="0.25">
      <c r="C18844" s="8" t="e">
        <f>VLOOKUP(A:A,'ITEM LIST'!A:C,3,0)</f>
        <v>#N/A</v>
      </c>
      <c r="D18844" s="6">
        <f t="shared" si="295"/>
        <v>0</v>
      </c>
    </row>
    <row r="18845" spans="3:4" ht="15" x14ac:dyDescent="0.25">
      <c r="C18845" s="8" t="e">
        <f>VLOOKUP(A:A,'ITEM LIST'!A:C,3,0)</f>
        <v>#N/A</v>
      </c>
      <c r="D18845" s="6">
        <f t="shared" si="295"/>
        <v>0</v>
      </c>
    </row>
    <row r="18846" spans="3:4" ht="15" x14ac:dyDescent="0.25">
      <c r="C18846" s="8" t="e">
        <f>VLOOKUP(A:A,'ITEM LIST'!A:C,3,0)</f>
        <v>#N/A</v>
      </c>
      <c r="D18846" s="6">
        <f t="shared" si="295"/>
        <v>0</v>
      </c>
    </row>
    <row r="18847" spans="3:4" ht="15" x14ac:dyDescent="0.25">
      <c r="C18847" s="8" t="e">
        <f>VLOOKUP(A:A,'ITEM LIST'!A:C,3,0)</f>
        <v>#N/A</v>
      </c>
      <c r="D18847" s="6">
        <f t="shared" si="295"/>
        <v>0</v>
      </c>
    </row>
    <row r="18848" spans="3:4" ht="15" x14ac:dyDescent="0.25">
      <c r="C18848" s="8" t="e">
        <f>VLOOKUP(A:A,'ITEM LIST'!A:C,3,0)</f>
        <v>#N/A</v>
      </c>
      <c r="D18848" s="6">
        <f t="shared" si="295"/>
        <v>0</v>
      </c>
    </row>
    <row r="18849" spans="3:4" ht="15" x14ac:dyDescent="0.25">
      <c r="C18849" s="8" t="e">
        <f>VLOOKUP(A:A,'ITEM LIST'!A:C,3,0)</f>
        <v>#N/A</v>
      </c>
      <c r="D18849" s="6">
        <f t="shared" si="295"/>
        <v>0</v>
      </c>
    </row>
    <row r="18850" spans="3:4" ht="15" x14ac:dyDescent="0.25">
      <c r="C18850" s="8" t="e">
        <f>VLOOKUP(A:A,'ITEM LIST'!A:C,3,0)</f>
        <v>#N/A</v>
      </c>
      <c r="D18850" s="6">
        <f t="shared" si="295"/>
        <v>0</v>
      </c>
    </row>
    <row r="18851" spans="3:4" ht="15" x14ac:dyDescent="0.25">
      <c r="C18851" s="8" t="e">
        <f>VLOOKUP(A:A,'ITEM LIST'!A:C,3,0)</f>
        <v>#N/A</v>
      </c>
      <c r="D18851" s="6">
        <f t="shared" si="295"/>
        <v>0</v>
      </c>
    </row>
    <row r="18852" spans="3:4" ht="15" x14ac:dyDescent="0.25">
      <c r="C18852" s="8" t="e">
        <f>VLOOKUP(A:A,'ITEM LIST'!A:C,3,0)</f>
        <v>#N/A</v>
      </c>
      <c r="D18852" s="6">
        <f t="shared" si="295"/>
        <v>0</v>
      </c>
    </row>
    <row r="18853" spans="3:4" ht="15" x14ac:dyDescent="0.25">
      <c r="C18853" s="8" t="e">
        <f>VLOOKUP(A:A,'ITEM LIST'!A:C,3,0)</f>
        <v>#N/A</v>
      </c>
      <c r="D18853" s="6">
        <f t="shared" si="295"/>
        <v>0</v>
      </c>
    </row>
    <row r="18854" spans="3:4" ht="15" x14ac:dyDescent="0.25">
      <c r="C18854" s="8" t="e">
        <f>VLOOKUP(A:A,'ITEM LIST'!A:C,3,0)</f>
        <v>#N/A</v>
      </c>
      <c r="D18854" s="6">
        <f t="shared" si="295"/>
        <v>0</v>
      </c>
    </row>
    <row r="18855" spans="3:4" ht="15" x14ac:dyDescent="0.25">
      <c r="C18855" s="8" t="e">
        <f>VLOOKUP(A:A,'ITEM LIST'!A:C,3,0)</f>
        <v>#N/A</v>
      </c>
      <c r="D18855" s="6">
        <f t="shared" si="295"/>
        <v>0</v>
      </c>
    </row>
    <row r="18856" spans="3:4" ht="15" x14ac:dyDescent="0.25">
      <c r="C18856" s="8" t="e">
        <f>VLOOKUP(A:A,'ITEM LIST'!A:C,3,0)</f>
        <v>#N/A</v>
      </c>
      <c r="D18856" s="6">
        <f t="shared" si="295"/>
        <v>0</v>
      </c>
    </row>
    <row r="18857" spans="3:4" ht="15" x14ac:dyDescent="0.25">
      <c r="C18857" s="8" t="e">
        <f>VLOOKUP(A:A,'ITEM LIST'!A:C,3,0)</f>
        <v>#N/A</v>
      </c>
      <c r="D18857" s="6">
        <f t="shared" si="295"/>
        <v>0</v>
      </c>
    </row>
    <row r="18858" spans="3:4" ht="15" x14ac:dyDescent="0.25">
      <c r="C18858" s="8" t="e">
        <f>VLOOKUP(A:A,'ITEM LIST'!A:C,3,0)</f>
        <v>#N/A</v>
      </c>
      <c r="D18858" s="6">
        <f t="shared" si="295"/>
        <v>0</v>
      </c>
    </row>
    <row r="18859" spans="3:4" ht="15" x14ac:dyDescent="0.25">
      <c r="C18859" s="8" t="e">
        <f>VLOOKUP(A:A,'ITEM LIST'!A:C,3,0)</f>
        <v>#N/A</v>
      </c>
      <c r="D18859" s="6">
        <f t="shared" si="295"/>
        <v>0</v>
      </c>
    </row>
    <row r="18860" spans="3:4" ht="15" x14ac:dyDescent="0.25">
      <c r="C18860" s="8" t="e">
        <f>VLOOKUP(A:A,'ITEM LIST'!A:C,3,0)</f>
        <v>#N/A</v>
      </c>
      <c r="D18860" s="6">
        <f t="shared" si="295"/>
        <v>0</v>
      </c>
    </row>
    <row r="18861" spans="3:4" ht="15" x14ac:dyDescent="0.25">
      <c r="C18861" s="8" t="e">
        <f>VLOOKUP(A:A,'ITEM LIST'!A:C,3,0)</f>
        <v>#N/A</v>
      </c>
      <c r="D18861" s="6">
        <f t="shared" si="295"/>
        <v>0</v>
      </c>
    </row>
    <row r="18862" spans="3:4" ht="15" x14ac:dyDescent="0.25">
      <c r="C18862" s="8" t="e">
        <f>VLOOKUP(A:A,'ITEM LIST'!A:C,3,0)</f>
        <v>#N/A</v>
      </c>
      <c r="D18862" s="6">
        <f t="shared" si="295"/>
        <v>0</v>
      </c>
    </row>
    <row r="18863" spans="3:4" ht="15" x14ac:dyDescent="0.25">
      <c r="C18863" s="8" t="e">
        <f>VLOOKUP(A:A,'ITEM LIST'!A:C,3,0)</f>
        <v>#N/A</v>
      </c>
      <c r="D18863" s="6">
        <f t="shared" si="295"/>
        <v>0</v>
      </c>
    </row>
    <row r="18864" spans="3:4" ht="15" x14ac:dyDescent="0.25">
      <c r="C18864" s="8" t="e">
        <f>VLOOKUP(A:A,'ITEM LIST'!A:C,3,0)</f>
        <v>#N/A</v>
      </c>
      <c r="D18864" s="6">
        <f t="shared" si="295"/>
        <v>0</v>
      </c>
    </row>
    <row r="18865" spans="3:4" ht="15" x14ac:dyDescent="0.25">
      <c r="C18865" s="8" t="e">
        <f>VLOOKUP(A:A,'ITEM LIST'!A:C,3,0)</f>
        <v>#N/A</v>
      </c>
      <c r="D18865" s="6">
        <f t="shared" si="295"/>
        <v>0</v>
      </c>
    </row>
    <row r="18866" spans="3:4" ht="15" x14ac:dyDescent="0.25">
      <c r="C18866" s="8" t="e">
        <f>VLOOKUP(A:A,'ITEM LIST'!A:C,3,0)</f>
        <v>#N/A</v>
      </c>
      <c r="D18866" s="6">
        <f t="shared" si="295"/>
        <v>0</v>
      </c>
    </row>
    <row r="18867" spans="3:4" ht="15" x14ac:dyDescent="0.25">
      <c r="C18867" s="8" t="e">
        <f>VLOOKUP(A:A,'ITEM LIST'!A:C,3,0)</f>
        <v>#N/A</v>
      </c>
      <c r="D18867" s="6">
        <f t="shared" si="295"/>
        <v>0</v>
      </c>
    </row>
    <row r="18868" spans="3:4" ht="15" x14ac:dyDescent="0.25">
      <c r="C18868" s="8" t="e">
        <f>VLOOKUP(A:A,'ITEM LIST'!A:C,3,0)</f>
        <v>#N/A</v>
      </c>
      <c r="D18868" s="6">
        <f t="shared" si="295"/>
        <v>0</v>
      </c>
    </row>
    <row r="18869" spans="3:4" ht="15" x14ac:dyDescent="0.25">
      <c r="C18869" s="8" t="e">
        <f>VLOOKUP(A:A,'ITEM LIST'!A:C,3,0)</f>
        <v>#N/A</v>
      </c>
      <c r="D18869" s="6">
        <f t="shared" si="295"/>
        <v>0</v>
      </c>
    </row>
    <row r="18870" spans="3:4" ht="15" x14ac:dyDescent="0.25">
      <c r="C18870" s="8" t="e">
        <f>VLOOKUP(A:A,'ITEM LIST'!A:C,3,0)</f>
        <v>#N/A</v>
      </c>
      <c r="D18870" s="6">
        <f t="shared" si="295"/>
        <v>0</v>
      </c>
    </row>
    <row r="18871" spans="3:4" ht="15" x14ac:dyDescent="0.25">
      <c r="C18871" s="8" t="e">
        <f>VLOOKUP(A:A,'ITEM LIST'!A:C,3,0)</f>
        <v>#N/A</v>
      </c>
      <c r="D18871" s="6">
        <f t="shared" si="295"/>
        <v>0</v>
      </c>
    </row>
    <row r="18872" spans="3:4" ht="15" x14ac:dyDescent="0.25">
      <c r="C18872" s="8" t="e">
        <f>VLOOKUP(A:A,'ITEM LIST'!A:C,3,0)</f>
        <v>#N/A</v>
      </c>
      <c r="D18872" s="6">
        <f t="shared" si="295"/>
        <v>0</v>
      </c>
    </row>
    <row r="18873" spans="3:4" ht="15" x14ac:dyDescent="0.25">
      <c r="C18873" s="8" t="e">
        <f>VLOOKUP(A:A,'ITEM LIST'!A:C,3,0)</f>
        <v>#N/A</v>
      </c>
      <c r="D18873" s="6">
        <f t="shared" si="295"/>
        <v>0</v>
      </c>
    </row>
    <row r="18874" spans="3:4" ht="15" x14ac:dyDescent="0.25">
      <c r="C18874" s="8" t="e">
        <f>VLOOKUP(A:A,'ITEM LIST'!A:C,3,0)</f>
        <v>#N/A</v>
      </c>
      <c r="D18874" s="6">
        <f t="shared" si="295"/>
        <v>0</v>
      </c>
    </row>
    <row r="18875" spans="3:4" ht="15" x14ac:dyDescent="0.25">
      <c r="C18875" s="8" t="e">
        <f>VLOOKUP(A:A,'ITEM LIST'!A:C,3,0)</f>
        <v>#N/A</v>
      </c>
      <c r="D18875" s="6">
        <f t="shared" si="295"/>
        <v>0</v>
      </c>
    </row>
    <row r="18876" spans="3:4" ht="15" x14ac:dyDescent="0.25">
      <c r="C18876" s="8" t="e">
        <f>VLOOKUP(A:A,'ITEM LIST'!A:C,3,0)</f>
        <v>#N/A</v>
      </c>
      <c r="D18876" s="6">
        <f t="shared" si="295"/>
        <v>0</v>
      </c>
    </row>
    <row r="18877" spans="3:4" ht="15" x14ac:dyDescent="0.25">
      <c r="C18877" s="8" t="e">
        <f>VLOOKUP(A:A,'ITEM LIST'!A:C,3,0)</f>
        <v>#N/A</v>
      </c>
      <c r="D18877" s="6">
        <f t="shared" si="295"/>
        <v>0</v>
      </c>
    </row>
    <row r="18878" spans="3:4" ht="15" x14ac:dyDescent="0.25">
      <c r="C18878" s="8" t="e">
        <f>VLOOKUP(A:A,'ITEM LIST'!A:C,3,0)</f>
        <v>#N/A</v>
      </c>
      <c r="D18878" s="6">
        <f t="shared" si="295"/>
        <v>0</v>
      </c>
    </row>
    <row r="18879" spans="3:4" ht="15" x14ac:dyDescent="0.25">
      <c r="C18879" s="8" t="e">
        <f>VLOOKUP(A:A,'ITEM LIST'!A:C,3,0)</f>
        <v>#N/A</v>
      </c>
      <c r="D18879" s="6">
        <f t="shared" si="295"/>
        <v>0</v>
      </c>
    </row>
    <row r="18880" spans="3:4" ht="15" x14ac:dyDescent="0.25">
      <c r="C18880" s="8" t="e">
        <f>VLOOKUP(A:A,'ITEM LIST'!A:C,3,0)</f>
        <v>#N/A</v>
      </c>
      <c r="D18880" s="6">
        <f t="shared" si="295"/>
        <v>0</v>
      </c>
    </row>
    <row r="18881" spans="3:4" ht="15" x14ac:dyDescent="0.25">
      <c r="C18881" s="8" t="e">
        <f>VLOOKUP(A:A,'ITEM LIST'!A:C,3,0)</f>
        <v>#N/A</v>
      </c>
      <c r="D18881" s="6">
        <f t="shared" si="295"/>
        <v>0</v>
      </c>
    </row>
    <row r="18882" spans="3:4" ht="15" x14ac:dyDescent="0.25">
      <c r="C18882" s="8" t="e">
        <f>VLOOKUP(A:A,'ITEM LIST'!A:C,3,0)</f>
        <v>#N/A</v>
      </c>
      <c r="D18882" s="6">
        <f t="shared" si="295"/>
        <v>0</v>
      </c>
    </row>
    <row r="18883" spans="3:4" ht="15" x14ac:dyDescent="0.25">
      <c r="C18883" s="8" t="e">
        <f>VLOOKUP(A:A,'ITEM LIST'!A:C,3,0)</f>
        <v>#N/A</v>
      </c>
      <c r="D18883" s="6">
        <f t="shared" si="295"/>
        <v>0</v>
      </c>
    </row>
    <row r="18884" spans="3:4" ht="15" x14ac:dyDescent="0.25">
      <c r="C18884" s="8" t="e">
        <f>VLOOKUP(A:A,'ITEM LIST'!A:C,3,0)</f>
        <v>#N/A</v>
      </c>
      <c r="D18884" s="6">
        <f t="shared" si="295"/>
        <v>0</v>
      </c>
    </row>
    <row r="18885" spans="3:4" ht="15" x14ac:dyDescent="0.25">
      <c r="C18885" s="8" t="e">
        <f>VLOOKUP(A:A,'ITEM LIST'!A:C,3,0)</f>
        <v>#N/A</v>
      </c>
      <c r="D18885" s="6">
        <f t="shared" si="295"/>
        <v>0</v>
      </c>
    </row>
    <row r="18886" spans="3:4" ht="15" x14ac:dyDescent="0.25">
      <c r="C18886" s="8" t="e">
        <f>VLOOKUP(A:A,'ITEM LIST'!A:C,3,0)</f>
        <v>#N/A</v>
      </c>
      <c r="D18886" s="6">
        <f t="shared" ref="D18886:D18949" si="296">B18886</f>
        <v>0</v>
      </c>
    </row>
    <row r="18887" spans="3:4" ht="15" x14ac:dyDescent="0.25">
      <c r="C18887" s="8" t="e">
        <f>VLOOKUP(A:A,'ITEM LIST'!A:C,3,0)</f>
        <v>#N/A</v>
      </c>
      <c r="D18887" s="6">
        <f t="shared" si="296"/>
        <v>0</v>
      </c>
    </row>
    <row r="18888" spans="3:4" ht="15" x14ac:dyDescent="0.25">
      <c r="C18888" s="8" t="e">
        <f>VLOOKUP(A:A,'ITEM LIST'!A:C,3,0)</f>
        <v>#N/A</v>
      </c>
      <c r="D18888" s="6">
        <f t="shared" si="296"/>
        <v>0</v>
      </c>
    </row>
    <row r="18889" spans="3:4" ht="15" x14ac:dyDescent="0.25">
      <c r="C18889" s="8" t="e">
        <f>VLOOKUP(A:A,'ITEM LIST'!A:C,3,0)</f>
        <v>#N/A</v>
      </c>
      <c r="D18889" s="6">
        <f t="shared" si="296"/>
        <v>0</v>
      </c>
    </row>
    <row r="18890" spans="3:4" ht="15" x14ac:dyDescent="0.25">
      <c r="C18890" s="8" t="e">
        <f>VLOOKUP(A:A,'ITEM LIST'!A:C,3,0)</f>
        <v>#N/A</v>
      </c>
      <c r="D18890" s="6">
        <f t="shared" si="296"/>
        <v>0</v>
      </c>
    </row>
    <row r="18891" spans="3:4" ht="15" x14ac:dyDescent="0.25">
      <c r="C18891" s="8" t="e">
        <f>VLOOKUP(A:A,'ITEM LIST'!A:C,3,0)</f>
        <v>#N/A</v>
      </c>
      <c r="D18891" s="6">
        <f t="shared" si="296"/>
        <v>0</v>
      </c>
    </row>
    <row r="18892" spans="3:4" ht="15" x14ac:dyDescent="0.25">
      <c r="C18892" s="8" t="e">
        <f>VLOOKUP(A:A,'ITEM LIST'!A:C,3,0)</f>
        <v>#N/A</v>
      </c>
      <c r="D18892" s="6">
        <f t="shared" si="296"/>
        <v>0</v>
      </c>
    </row>
    <row r="18893" spans="3:4" ht="15" x14ac:dyDescent="0.25">
      <c r="C18893" s="8" t="e">
        <f>VLOOKUP(A:A,'ITEM LIST'!A:C,3,0)</f>
        <v>#N/A</v>
      </c>
      <c r="D18893" s="6">
        <f t="shared" si="296"/>
        <v>0</v>
      </c>
    </row>
    <row r="18894" spans="3:4" ht="15" x14ac:dyDescent="0.25">
      <c r="C18894" s="8" t="e">
        <f>VLOOKUP(A:A,'ITEM LIST'!A:C,3,0)</f>
        <v>#N/A</v>
      </c>
      <c r="D18894" s="6">
        <f t="shared" si="296"/>
        <v>0</v>
      </c>
    </row>
    <row r="18895" spans="3:4" ht="15" x14ac:dyDescent="0.25">
      <c r="C18895" s="8" t="e">
        <f>VLOOKUP(A:A,'ITEM LIST'!A:C,3,0)</f>
        <v>#N/A</v>
      </c>
      <c r="D18895" s="6">
        <f t="shared" si="296"/>
        <v>0</v>
      </c>
    </row>
    <row r="18896" spans="3:4" ht="15" x14ac:dyDescent="0.25">
      <c r="C18896" s="8" t="e">
        <f>VLOOKUP(A:A,'ITEM LIST'!A:C,3,0)</f>
        <v>#N/A</v>
      </c>
      <c r="D18896" s="6">
        <f t="shared" si="296"/>
        <v>0</v>
      </c>
    </row>
    <row r="18897" spans="3:4" ht="15" x14ac:dyDescent="0.25">
      <c r="C18897" s="8" t="e">
        <f>VLOOKUP(A:A,'ITEM LIST'!A:C,3,0)</f>
        <v>#N/A</v>
      </c>
      <c r="D18897" s="6">
        <f t="shared" si="296"/>
        <v>0</v>
      </c>
    </row>
    <row r="18898" spans="3:4" ht="15" x14ac:dyDescent="0.25">
      <c r="C18898" s="8" t="e">
        <f>VLOOKUP(A:A,'ITEM LIST'!A:C,3,0)</f>
        <v>#N/A</v>
      </c>
      <c r="D18898" s="6">
        <f t="shared" si="296"/>
        <v>0</v>
      </c>
    </row>
    <row r="18899" spans="3:4" ht="15" x14ac:dyDescent="0.25">
      <c r="C18899" s="8" t="e">
        <f>VLOOKUP(A:A,'ITEM LIST'!A:C,3,0)</f>
        <v>#N/A</v>
      </c>
      <c r="D18899" s="6">
        <f t="shared" si="296"/>
        <v>0</v>
      </c>
    </row>
    <row r="18900" spans="3:4" ht="15" x14ac:dyDescent="0.25">
      <c r="C18900" s="8" t="e">
        <f>VLOOKUP(A:A,'ITEM LIST'!A:C,3,0)</f>
        <v>#N/A</v>
      </c>
      <c r="D18900" s="6">
        <f t="shared" si="296"/>
        <v>0</v>
      </c>
    </row>
    <row r="18901" spans="3:4" ht="15" x14ac:dyDescent="0.25">
      <c r="C18901" s="8" t="e">
        <f>VLOOKUP(A:A,'ITEM LIST'!A:C,3,0)</f>
        <v>#N/A</v>
      </c>
      <c r="D18901" s="6">
        <f t="shared" si="296"/>
        <v>0</v>
      </c>
    </row>
    <row r="18902" spans="3:4" ht="15" x14ac:dyDescent="0.25">
      <c r="C18902" s="8" t="e">
        <f>VLOOKUP(A:A,'ITEM LIST'!A:C,3,0)</f>
        <v>#N/A</v>
      </c>
      <c r="D18902" s="6">
        <f t="shared" si="296"/>
        <v>0</v>
      </c>
    </row>
    <row r="18903" spans="3:4" ht="15" x14ac:dyDescent="0.25">
      <c r="C18903" s="8" t="e">
        <f>VLOOKUP(A:A,'ITEM LIST'!A:C,3,0)</f>
        <v>#N/A</v>
      </c>
      <c r="D18903" s="6">
        <f t="shared" si="296"/>
        <v>0</v>
      </c>
    </row>
    <row r="18904" spans="3:4" ht="15" x14ac:dyDescent="0.25">
      <c r="C18904" s="8" t="e">
        <f>VLOOKUP(A:A,'ITEM LIST'!A:C,3,0)</f>
        <v>#N/A</v>
      </c>
      <c r="D18904" s="6">
        <f t="shared" si="296"/>
        <v>0</v>
      </c>
    </row>
    <row r="18905" spans="3:4" ht="15" x14ac:dyDescent="0.25">
      <c r="C18905" s="8" t="e">
        <f>VLOOKUP(A:A,'ITEM LIST'!A:C,3,0)</f>
        <v>#N/A</v>
      </c>
      <c r="D18905" s="6">
        <f t="shared" si="296"/>
        <v>0</v>
      </c>
    </row>
    <row r="18906" spans="3:4" ht="15" x14ac:dyDescent="0.25">
      <c r="C18906" s="8" t="e">
        <f>VLOOKUP(A:A,'ITEM LIST'!A:C,3,0)</f>
        <v>#N/A</v>
      </c>
      <c r="D18906" s="6">
        <f t="shared" si="296"/>
        <v>0</v>
      </c>
    </row>
    <row r="18907" spans="3:4" ht="15" x14ac:dyDescent="0.25">
      <c r="C18907" s="8" t="e">
        <f>VLOOKUP(A:A,'ITEM LIST'!A:C,3,0)</f>
        <v>#N/A</v>
      </c>
      <c r="D18907" s="6">
        <f t="shared" si="296"/>
        <v>0</v>
      </c>
    </row>
    <row r="18908" spans="3:4" ht="15" x14ac:dyDescent="0.25">
      <c r="C18908" s="8" t="e">
        <f>VLOOKUP(A:A,'ITEM LIST'!A:C,3,0)</f>
        <v>#N/A</v>
      </c>
      <c r="D18908" s="6">
        <f t="shared" si="296"/>
        <v>0</v>
      </c>
    </row>
    <row r="18909" spans="3:4" ht="15" x14ac:dyDescent="0.25">
      <c r="C18909" s="8" t="e">
        <f>VLOOKUP(A:A,'ITEM LIST'!A:C,3,0)</f>
        <v>#N/A</v>
      </c>
      <c r="D18909" s="6">
        <f t="shared" si="296"/>
        <v>0</v>
      </c>
    </row>
    <row r="18910" spans="3:4" ht="15" x14ac:dyDescent="0.25">
      <c r="C18910" s="8" t="e">
        <f>VLOOKUP(A:A,'ITEM LIST'!A:C,3,0)</f>
        <v>#N/A</v>
      </c>
      <c r="D18910" s="6">
        <f t="shared" si="296"/>
        <v>0</v>
      </c>
    </row>
    <row r="18911" spans="3:4" ht="15" x14ac:dyDescent="0.25">
      <c r="C18911" s="8" t="e">
        <f>VLOOKUP(A:A,'ITEM LIST'!A:C,3,0)</f>
        <v>#N/A</v>
      </c>
      <c r="D18911" s="6">
        <f t="shared" si="296"/>
        <v>0</v>
      </c>
    </row>
    <row r="18912" spans="3:4" ht="15" x14ac:dyDescent="0.25">
      <c r="C18912" s="8" t="e">
        <f>VLOOKUP(A:A,'ITEM LIST'!A:C,3,0)</f>
        <v>#N/A</v>
      </c>
      <c r="D18912" s="6">
        <f t="shared" si="296"/>
        <v>0</v>
      </c>
    </row>
    <row r="18913" spans="3:4" ht="15" x14ac:dyDescent="0.25">
      <c r="C18913" s="8" t="e">
        <f>VLOOKUP(A:A,'ITEM LIST'!A:C,3,0)</f>
        <v>#N/A</v>
      </c>
      <c r="D18913" s="6">
        <f t="shared" si="296"/>
        <v>0</v>
      </c>
    </row>
    <row r="18914" spans="3:4" ht="15" x14ac:dyDescent="0.25">
      <c r="C18914" s="8" t="e">
        <f>VLOOKUP(A:A,'ITEM LIST'!A:C,3,0)</f>
        <v>#N/A</v>
      </c>
      <c r="D18914" s="6">
        <f t="shared" si="296"/>
        <v>0</v>
      </c>
    </row>
    <row r="18915" spans="3:4" ht="15" x14ac:dyDescent="0.25">
      <c r="C18915" s="8" t="e">
        <f>VLOOKUP(A:A,'ITEM LIST'!A:C,3,0)</f>
        <v>#N/A</v>
      </c>
      <c r="D18915" s="6">
        <f t="shared" si="296"/>
        <v>0</v>
      </c>
    </row>
    <row r="18916" spans="3:4" ht="15" x14ac:dyDescent="0.25">
      <c r="C18916" s="8" t="e">
        <f>VLOOKUP(A:A,'ITEM LIST'!A:C,3,0)</f>
        <v>#N/A</v>
      </c>
      <c r="D18916" s="6">
        <f t="shared" si="296"/>
        <v>0</v>
      </c>
    </row>
    <row r="18917" spans="3:4" ht="15" x14ac:dyDescent="0.25">
      <c r="C18917" s="8" t="e">
        <f>VLOOKUP(A:A,'ITEM LIST'!A:C,3,0)</f>
        <v>#N/A</v>
      </c>
      <c r="D18917" s="6">
        <f t="shared" si="296"/>
        <v>0</v>
      </c>
    </row>
    <row r="18918" spans="3:4" ht="15" x14ac:dyDescent="0.25">
      <c r="C18918" s="8" t="e">
        <f>VLOOKUP(A:A,'ITEM LIST'!A:C,3,0)</f>
        <v>#N/A</v>
      </c>
      <c r="D18918" s="6">
        <f t="shared" si="296"/>
        <v>0</v>
      </c>
    </row>
    <row r="18919" spans="3:4" ht="15" x14ac:dyDescent="0.25">
      <c r="C18919" s="8" t="e">
        <f>VLOOKUP(A:A,'ITEM LIST'!A:C,3,0)</f>
        <v>#N/A</v>
      </c>
      <c r="D18919" s="6">
        <f t="shared" si="296"/>
        <v>0</v>
      </c>
    </row>
    <row r="18920" spans="3:4" ht="15" x14ac:dyDescent="0.25">
      <c r="C18920" s="8" t="e">
        <f>VLOOKUP(A:A,'ITEM LIST'!A:C,3,0)</f>
        <v>#N/A</v>
      </c>
      <c r="D18920" s="6">
        <f t="shared" si="296"/>
        <v>0</v>
      </c>
    </row>
    <row r="18921" spans="3:4" ht="15" x14ac:dyDescent="0.25">
      <c r="C18921" s="8" t="e">
        <f>VLOOKUP(A:A,'ITEM LIST'!A:C,3,0)</f>
        <v>#N/A</v>
      </c>
      <c r="D18921" s="6">
        <f t="shared" si="296"/>
        <v>0</v>
      </c>
    </row>
    <row r="18922" spans="3:4" ht="15" x14ac:dyDescent="0.25">
      <c r="C18922" s="8" t="e">
        <f>VLOOKUP(A:A,'ITEM LIST'!A:C,3,0)</f>
        <v>#N/A</v>
      </c>
      <c r="D18922" s="6">
        <f t="shared" si="296"/>
        <v>0</v>
      </c>
    </row>
    <row r="18923" spans="3:4" ht="15" x14ac:dyDescent="0.25">
      <c r="C18923" s="8" t="e">
        <f>VLOOKUP(A:A,'ITEM LIST'!A:C,3,0)</f>
        <v>#N/A</v>
      </c>
      <c r="D18923" s="6">
        <f t="shared" si="296"/>
        <v>0</v>
      </c>
    </row>
    <row r="18924" spans="3:4" ht="15" x14ac:dyDescent="0.25">
      <c r="C18924" s="8" t="e">
        <f>VLOOKUP(A:A,'ITEM LIST'!A:C,3,0)</f>
        <v>#N/A</v>
      </c>
      <c r="D18924" s="6">
        <f t="shared" si="296"/>
        <v>0</v>
      </c>
    </row>
    <row r="18925" spans="3:4" ht="15" x14ac:dyDescent="0.25">
      <c r="C18925" s="8" t="e">
        <f>VLOOKUP(A:A,'ITEM LIST'!A:C,3,0)</f>
        <v>#N/A</v>
      </c>
      <c r="D18925" s="6">
        <f t="shared" si="296"/>
        <v>0</v>
      </c>
    </row>
    <row r="18926" spans="3:4" ht="15" x14ac:dyDescent="0.25">
      <c r="C18926" s="8" t="e">
        <f>VLOOKUP(A:A,'ITEM LIST'!A:C,3,0)</f>
        <v>#N/A</v>
      </c>
      <c r="D18926" s="6">
        <f t="shared" si="296"/>
        <v>0</v>
      </c>
    </row>
    <row r="18927" spans="3:4" ht="15" x14ac:dyDescent="0.25">
      <c r="C18927" s="8" t="e">
        <f>VLOOKUP(A:A,'ITEM LIST'!A:C,3,0)</f>
        <v>#N/A</v>
      </c>
      <c r="D18927" s="6">
        <f t="shared" si="296"/>
        <v>0</v>
      </c>
    </row>
    <row r="18928" spans="3:4" ht="15" x14ac:dyDescent="0.25">
      <c r="C18928" s="8" t="e">
        <f>VLOOKUP(A:A,'ITEM LIST'!A:C,3,0)</f>
        <v>#N/A</v>
      </c>
      <c r="D18928" s="6">
        <f t="shared" si="296"/>
        <v>0</v>
      </c>
    </row>
    <row r="18929" spans="3:4" ht="15" x14ac:dyDescent="0.25">
      <c r="C18929" s="8" t="e">
        <f>VLOOKUP(A:A,'ITEM LIST'!A:C,3,0)</f>
        <v>#N/A</v>
      </c>
      <c r="D18929" s="6">
        <f t="shared" si="296"/>
        <v>0</v>
      </c>
    </row>
    <row r="18930" spans="3:4" ht="15" x14ac:dyDescent="0.25">
      <c r="C18930" s="8" t="e">
        <f>VLOOKUP(A:A,'ITEM LIST'!A:C,3,0)</f>
        <v>#N/A</v>
      </c>
      <c r="D18930" s="6">
        <f t="shared" si="296"/>
        <v>0</v>
      </c>
    </row>
    <row r="18931" spans="3:4" ht="15" x14ac:dyDescent="0.25">
      <c r="C18931" s="8" t="e">
        <f>VLOOKUP(A:A,'ITEM LIST'!A:C,3,0)</f>
        <v>#N/A</v>
      </c>
      <c r="D18931" s="6">
        <f t="shared" si="296"/>
        <v>0</v>
      </c>
    </row>
    <row r="18932" spans="3:4" ht="15" x14ac:dyDescent="0.25">
      <c r="C18932" s="8" t="e">
        <f>VLOOKUP(A:A,'ITEM LIST'!A:C,3,0)</f>
        <v>#N/A</v>
      </c>
      <c r="D18932" s="6">
        <f t="shared" si="296"/>
        <v>0</v>
      </c>
    </row>
    <row r="18933" spans="3:4" ht="15" x14ac:dyDescent="0.25">
      <c r="C18933" s="8" t="e">
        <f>VLOOKUP(A:A,'ITEM LIST'!A:C,3,0)</f>
        <v>#N/A</v>
      </c>
      <c r="D18933" s="6">
        <f t="shared" si="296"/>
        <v>0</v>
      </c>
    </row>
    <row r="18934" spans="3:4" ht="15" x14ac:dyDescent="0.25">
      <c r="C18934" s="8" t="e">
        <f>VLOOKUP(A:A,'ITEM LIST'!A:C,3,0)</f>
        <v>#N/A</v>
      </c>
      <c r="D18934" s="6">
        <f t="shared" si="296"/>
        <v>0</v>
      </c>
    </row>
    <row r="18935" spans="3:4" ht="15" x14ac:dyDescent="0.25">
      <c r="C18935" s="8" t="e">
        <f>VLOOKUP(A:A,'ITEM LIST'!A:C,3,0)</f>
        <v>#N/A</v>
      </c>
      <c r="D18935" s="6">
        <f t="shared" si="296"/>
        <v>0</v>
      </c>
    </row>
    <row r="18936" spans="3:4" ht="15" x14ac:dyDescent="0.25">
      <c r="C18936" s="8" t="e">
        <f>VLOOKUP(A:A,'ITEM LIST'!A:C,3,0)</f>
        <v>#N/A</v>
      </c>
      <c r="D18936" s="6">
        <f t="shared" si="296"/>
        <v>0</v>
      </c>
    </row>
    <row r="18937" spans="3:4" ht="15" x14ac:dyDescent="0.25">
      <c r="C18937" s="8" t="e">
        <f>VLOOKUP(A:A,'ITEM LIST'!A:C,3,0)</f>
        <v>#N/A</v>
      </c>
      <c r="D18937" s="6">
        <f t="shared" si="296"/>
        <v>0</v>
      </c>
    </row>
    <row r="18938" spans="3:4" ht="15" x14ac:dyDescent="0.25">
      <c r="C18938" s="8" t="e">
        <f>VLOOKUP(A:A,'ITEM LIST'!A:C,3,0)</f>
        <v>#N/A</v>
      </c>
      <c r="D18938" s="6">
        <f t="shared" si="296"/>
        <v>0</v>
      </c>
    </row>
    <row r="18939" spans="3:4" ht="15" x14ac:dyDescent="0.25">
      <c r="C18939" s="8" t="e">
        <f>VLOOKUP(A:A,'ITEM LIST'!A:C,3,0)</f>
        <v>#N/A</v>
      </c>
      <c r="D18939" s="6">
        <f t="shared" si="296"/>
        <v>0</v>
      </c>
    </row>
    <row r="18940" spans="3:4" ht="15" x14ac:dyDescent="0.25">
      <c r="C18940" s="8" t="e">
        <f>VLOOKUP(A:A,'ITEM LIST'!A:C,3,0)</f>
        <v>#N/A</v>
      </c>
      <c r="D18940" s="6">
        <f t="shared" si="296"/>
        <v>0</v>
      </c>
    </row>
    <row r="18941" spans="3:4" ht="15" x14ac:dyDescent="0.25">
      <c r="C18941" s="8" t="e">
        <f>VLOOKUP(A:A,'ITEM LIST'!A:C,3,0)</f>
        <v>#N/A</v>
      </c>
      <c r="D18941" s="6">
        <f t="shared" si="296"/>
        <v>0</v>
      </c>
    </row>
    <row r="18942" spans="3:4" ht="15" x14ac:dyDescent="0.25">
      <c r="C18942" s="8" t="e">
        <f>VLOOKUP(A:A,'ITEM LIST'!A:C,3,0)</f>
        <v>#N/A</v>
      </c>
      <c r="D18942" s="6">
        <f t="shared" si="296"/>
        <v>0</v>
      </c>
    </row>
    <row r="18943" spans="3:4" ht="15" x14ac:dyDescent="0.25">
      <c r="C18943" s="8" t="e">
        <f>VLOOKUP(A:A,'ITEM LIST'!A:C,3,0)</f>
        <v>#N/A</v>
      </c>
      <c r="D18943" s="6">
        <f t="shared" si="296"/>
        <v>0</v>
      </c>
    </row>
    <row r="18944" spans="3:4" ht="15" x14ac:dyDescent="0.25">
      <c r="C18944" s="8" t="e">
        <f>VLOOKUP(A:A,'ITEM LIST'!A:C,3,0)</f>
        <v>#N/A</v>
      </c>
      <c r="D18944" s="6">
        <f t="shared" si="296"/>
        <v>0</v>
      </c>
    </row>
    <row r="18945" spans="3:4" ht="15" x14ac:dyDescent="0.25">
      <c r="C18945" s="8" t="e">
        <f>VLOOKUP(A:A,'ITEM LIST'!A:C,3,0)</f>
        <v>#N/A</v>
      </c>
      <c r="D18945" s="6">
        <f t="shared" si="296"/>
        <v>0</v>
      </c>
    </row>
    <row r="18946" spans="3:4" ht="15" x14ac:dyDescent="0.25">
      <c r="C18946" s="8" t="e">
        <f>VLOOKUP(A:A,'ITEM LIST'!A:C,3,0)</f>
        <v>#N/A</v>
      </c>
      <c r="D18946" s="6">
        <f t="shared" si="296"/>
        <v>0</v>
      </c>
    </row>
    <row r="18947" spans="3:4" ht="15" x14ac:dyDescent="0.25">
      <c r="C18947" s="8" t="e">
        <f>VLOOKUP(A:A,'ITEM LIST'!A:C,3,0)</f>
        <v>#N/A</v>
      </c>
      <c r="D18947" s="6">
        <f t="shared" si="296"/>
        <v>0</v>
      </c>
    </row>
    <row r="18948" spans="3:4" ht="15" x14ac:dyDescent="0.25">
      <c r="C18948" s="8" t="e">
        <f>VLOOKUP(A:A,'ITEM LIST'!A:C,3,0)</f>
        <v>#N/A</v>
      </c>
      <c r="D18948" s="6">
        <f t="shared" si="296"/>
        <v>0</v>
      </c>
    </row>
    <row r="18949" spans="3:4" ht="15" x14ac:dyDescent="0.25">
      <c r="C18949" s="8" t="e">
        <f>VLOOKUP(A:A,'ITEM LIST'!A:C,3,0)</f>
        <v>#N/A</v>
      </c>
      <c r="D18949" s="6">
        <f t="shared" si="296"/>
        <v>0</v>
      </c>
    </row>
    <row r="18950" spans="3:4" ht="15" x14ac:dyDescent="0.25">
      <c r="C18950" s="8" t="e">
        <f>VLOOKUP(A:A,'ITEM LIST'!A:C,3,0)</f>
        <v>#N/A</v>
      </c>
      <c r="D18950" s="6">
        <f t="shared" ref="D18950:D19013" si="297">B18950</f>
        <v>0</v>
      </c>
    </row>
    <row r="18951" spans="3:4" ht="15" x14ac:dyDescent="0.25">
      <c r="C18951" s="8" t="e">
        <f>VLOOKUP(A:A,'ITEM LIST'!A:C,3,0)</f>
        <v>#N/A</v>
      </c>
      <c r="D18951" s="6">
        <f t="shared" si="297"/>
        <v>0</v>
      </c>
    </row>
    <row r="18952" spans="3:4" ht="15" x14ac:dyDescent="0.25">
      <c r="C18952" s="8" t="e">
        <f>VLOOKUP(A:A,'ITEM LIST'!A:C,3,0)</f>
        <v>#N/A</v>
      </c>
      <c r="D18952" s="6">
        <f t="shared" si="297"/>
        <v>0</v>
      </c>
    </row>
    <row r="18953" spans="3:4" ht="15" x14ac:dyDescent="0.25">
      <c r="C18953" s="8" t="e">
        <f>VLOOKUP(A:A,'ITEM LIST'!A:C,3,0)</f>
        <v>#N/A</v>
      </c>
      <c r="D18953" s="6">
        <f t="shared" si="297"/>
        <v>0</v>
      </c>
    </row>
    <row r="18954" spans="3:4" ht="15" x14ac:dyDescent="0.25">
      <c r="C18954" s="8" t="e">
        <f>VLOOKUP(A:A,'ITEM LIST'!A:C,3,0)</f>
        <v>#N/A</v>
      </c>
      <c r="D18954" s="6">
        <f t="shared" si="297"/>
        <v>0</v>
      </c>
    </row>
    <row r="18955" spans="3:4" ht="15" x14ac:dyDescent="0.25">
      <c r="C18955" s="8" t="e">
        <f>VLOOKUP(A:A,'ITEM LIST'!A:C,3,0)</f>
        <v>#N/A</v>
      </c>
      <c r="D18955" s="6">
        <f t="shared" si="297"/>
        <v>0</v>
      </c>
    </row>
    <row r="18956" spans="3:4" ht="15" x14ac:dyDescent="0.25">
      <c r="C18956" s="8" t="e">
        <f>VLOOKUP(A:A,'ITEM LIST'!A:C,3,0)</f>
        <v>#N/A</v>
      </c>
      <c r="D18956" s="6">
        <f t="shared" si="297"/>
        <v>0</v>
      </c>
    </row>
    <row r="18957" spans="3:4" ht="15" x14ac:dyDescent="0.25">
      <c r="C18957" s="8" t="e">
        <f>VLOOKUP(A:A,'ITEM LIST'!A:C,3,0)</f>
        <v>#N/A</v>
      </c>
      <c r="D18957" s="6">
        <f t="shared" si="297"/>
        <v>0</v>
      </c>
    </row>
    <row r="18958" spans="3:4" ht="15" x14ac:dyDescent="0.25">
      <c r="C18958" s="8" t="e">
        <f>VLOOKUP(A:A,'ITEM LIST'!A:C,3,0)</f>
        <v>#N/A</v>
      </c>
      <c r="D18958" s="6">
        <f t="shared" si="297"/>
        <v>0</v>
      </c>
    </row>
    <row r="18959" spans="3:4" ht="15" x14ac:dyDescent="0.25">
      <c r="C18959" s="8" t="e">
        <f>VLOOKUP(A:A,'ITEM LIST'!A:C,3,0)</f>
        <v>#N/A</v>
      </c>
      <c r="D18959" s="6">
        <f t="shared" si="297"/>
        <v>0</v>
      </c>
    </row>
    <row r="18960" spans="3:4" ht="15" x14ac:dyDescent="0.25">
      <c r="C18960" s="8" t="e">
        <f>VLOOKUP(A:A,'ITEM LIST'!A:C,3,0)</f>
        <v>#N/A</v>
      </c>
      <c r="D18960" s="6">
        <f t="shared" si="297"/>
        <v>0</v>
      </c>
    </row>
    <row r="18961" spans="3:4" ht="15" x14ac:dyDescent="0.25">
      <c r="C18961" s="8" t="e">
        <f>VLOOKUP(A:A,'ITEM LIST'!A:C,3,0)</f>
        <v>#N/A</v>
      </c>
      <c r="D18961" s="6">
        <f t="shared" si="297"/>
        <v>0</v>
      </c>
    </row>
    <row r="18962" spans="3:4" ht="15" x14ac:dyDescent="0.25">
      <c r="C18962" s="8" t="e">
        <f>VLOOKUP(A:A,'ITEM LIST'!A:C,3,0)</f>
        <v>#N/A</v>
      </c>
      <c r="D18962" s="6">
        <f t="shared" si="297"/>
        <v>0</v>
      </c>
    </row>
    <row r="18963" spans="3:4" ht="15" x14ac:dyDescent="0.25">
      <c r="C18963" s="8" t="e">
        <f>VLOOKUP(A:A,'ITEM LIST'!A:C,3,0)</f>
        <v>#N/A</v>
      </c>
      <c r="D18963" s="6">
        <f t="shared" si="297"/>
        <v>0</v>
      </c>
    </row>
    <row r="18964" spans="3:4" ht="15" x14ac:dyDescent="0.25">
      <c r="C18964" s="8" t="e">
        <f>VLOOKUP(A:A,'ITEM LIST'!A:C,3,0)</f>
        <v>#N/A</v>
      </c>
      <c r="D18964" s="6">
        <f t="shared" si="297"/>
        <v>0</v>
      </c>
    </row>
    <row r="18965" spans="3:4" ht="15" x14ac:dyDescent="0.25">
      <c r="C18965" s="8" t="e">
        <f>VLOOKUP(A:A,'ITEM LIST'!A:C,3,0)</f>
        <v>#N/A</v>
      </c>
      <c r="D18965" s="6">
        <f t="shared" si="297"/>
        <v>0</v>
      </c>
    </row>
    <row r="18966" spans="3:4" ht="15" x14ac:dyDescent="0.25">
      <c r="C18966" s="8" t="e">
        <f>VLOOKUP(A:A,'ITEM LIST'!A:C,3,0)</f>
        <v>#N/A</v>
      </c>
      <c r="D18966" s="6">
        <f t="shared" si="297"/>
        <v>0</v>
      </c>
    </row>
    <row r="18967" spans="3:4" ht="15" x14ac:dyDescent="0.25">
      <c r="C18967" s="8" t="e">
        <f>VLOOKUP(A:A,'ITEM LIST'!A:C,3,0)</f>
        <v>#N/A</v>
      </c>
      <c r="D18967" s="6">
        <f t="shared" si="297"/>
        <v>0</v>
      </c>
    </row>
    <row r="18968" spans="3:4" ht="15" x14ac:dyDescent="0.25">
      <c r="C18968" s="8" t="e">
        <f>VLOOKUP(A:A,'ITEM LIST'!A:C,3,0)</f>
        <v>#N/A</v>
      </c>
      <c r="D18968" s="6">
        <f t="shared" si="297"/>
        <v>0</v>
      </c>
    </row>
    <row r="18969" spans="3:4" ht="15" x14ac:dyDescent="0.25">
      <c r="C18969" s="8" t="e">
        <f>VLOOKUP(A:A,'ITEM LIST'!A:C,3,0)</f>
        <v>#N/A</v>
      </c>
      <c r="D18969" s="6">
        <f t="shared" si="297"/>
        <v>0</v>
      </c>
    </row>
    <row r="18970" spans="3:4" ht="15" x14ac:dyDescent="0.25">
      <c r="C18970" s="8" t="e">
        <f>VLOOKUP(A:A,'ITEM LIST'!A:C,3,0)</f>
        <v>#N/A</v>
      </c>
      <c r="D18970" s="6">
        <f t="shared" si="297"/>
        <v>0</v>
      </c>
    </row>
    <row r="18971" spans="3:4" ht="15" x14ac:dyDescent="0.25">
      <c r="C18971" s="8" t="e">
        <f>VLOOKUP(A:A,'ITEM LIST'!A:C,3,0)</f>
        <v>#N/A</v>
      </c>
      <c r="D18971" s="6">
        <f t="shared" si="297"/>
        <v>0</v>
      </c>
    </row>
    <row r="18972" spans="3:4" ht="15" x14ac:dyDescent="0.25">
      <c r="C18972" s="8" t="e">
        <f>VLOOKUP(A:A,'ITEM LIST'!A:C,3,0)</f>
        <v>#N/A</v>
      </c>
      <c r="D18972" s="6">
        <f t="shared" si="297"/>
        <v>0</v>
      </c>
    </row>
    <row r="18973" spans="3:4" ht="15" x14ac:dyDescent="0.25">
      <c r="C18973" s="8" t="e">
        <f>VLOOKUP(A:A,'ITEM LIST'!A:C,3,0)</f>
        <v>#N/A</v>
      </c>
      <c r="D18973" s="6">
        <f t="shared" si="297"/>
        <v>0</v>
      </c>
    </row>
    <row r="18974" spans="3:4" ht="15" x14ac:dyDescent="0.25">
      <c r="C18974" s="8" t="e">
        <f>VLOOKUP(A:A,'ITEM LIST'!A:C,3,0)</f>
        <v>#N/A</v>
      </c>
      <c r="D18974" s="6">
        <f t="shared" si="297"/>
        <v>0</v>
      </c>
    </row>
    <row r="18975" spans="3:4" ht="15" x14ac:dyDescent="0.25">
      <c r="C18975" s="8" t="e">
        <f>VLOOKUP(A:A,'ITEM LIST'!A:C,3,0)</f>
        <v>#N/A</v>
      </c>
      <c r="D18975" s="6">
        <f t="shared" si="297"/>
        <v>0</v>
      </c>
    </row>
    <row r="18976" spans="3:4" ht="15" x14ac:dyDescent="0.25">
      <c r="C18976" s="8" t="e">
        <f>VLOOKUP(A:A,'ITEM LIST'!A:C,3,0)</f>
        <v>#N/A</v>
      </c>
      <c r="D18976" s="6">
        <f t="shared" si="297"/>
        <v>0</v>
      </c>
    </row>
    <row r="18977" spans="3:4" ht="15" x14ac:dyDescent="0.25">
      <c r="C18977" s="8" t="e">
        <f>VLOOKUP(A:A,'ITEM LIST'!A:C,3,0)</f>
        <v>#N/A</v>
      </c>
      <c r="D18977" s="6">
        <f t="shared" si="297"/>
        <v>0</v>
      </c>
    </row>
    <row r="18978" spans="3:4" ht="15" x14ac:dyDescent="0.25">
      <c r="C18978" s="8" t="e">
        <f>VLOOKUP(A:A,'ITEM LIST'!A:C,3,0)</f>
        <v>#N/A</v>
      </c>
      <c r="D18978" s="6">
        <f t="shared" si="297"/>
        <v>0</v>
      </c>
    </row>
    <row r="18979" spans="3:4" ht="15" x14ac:dyDescent="0.25">
      <c r="C18979" s="8" t="e">
        <f>VLOOKUP(A:A,'ITEM LIST'!A:C,3,0)</f>
        <v>#N/A</v>
      </c>
      <c r="D18979" s="6">
        <f t="shared" si="297"/>
        <v>0</v>
      </c>
    </row>
    <row r="18980" spans="3:4" ht="15" x14ac:dyDescent="0.25">
      <c r="C18980" s="8" t="e">
        <f>VLOOKUP(A:A,'ITEM LIST'!A:C,3,0)</f>
        <v>#N/A</v>
      </c>
      <c r="D18980" s="6">
        <f t="shared" si="297"/>
        <v>0</v>
      </c>
    </row>
    <row r="18981" spans="3:4" ht="15" x14ac:dyDescent="0.25">
      <c r="C18981" s="8" t="e">
        <f>VLOOKUP(A:A,'ITEM LIST'!A:C,3,0)</f>
        <v>#N/A</v>
      </c>
      <c r="D18981" s="6">
        <f t="shared" si="297"/>
        <v>0</v>
      </c>
    </row>
    <row r="18982" spans="3:4" ht="15" x14ac:dyDescent="0.25">
      <c r="C18982" s="8" t="e">
        <f>VLOOKUP(A:A,'ITEM LIST'!A:C,3,0)</f>
        <v>#N/A</v>
      </c>
      <c r="D18982" s="6">
        <f t="shared" si="297"/>
        <v>0</v>
      </c>
    </row>
    <row r="18983" spans="3:4" ht="15" x14ac:dyDescent="0.25">
      <c r="C18983" s="8" t="e">
        <f>VLOOKUP(A:A,'ITEM LIST'!A:C,3,0)</f>
        <v>#N/A</v>
      </c>
      <c r="D18983" s="6">
        <f t="shared" si="297"/>
        <v>0</v>
      </c>
    </row>
    <row r="18984" spans="3:4" ht="15" x14ac:dyDescent="0.25">
      <c r="C18984" s="8" t="e">
        <f>VLOOKUP(A:A,'ITEM LIST'!A:C,3,0)</f>
        <v>#N/A</v>
      </c>
      <c r="D18984" s="6">
        <f t="shared" si="297"/>
        <v>0</v>
      </c>
    </row>
    <row r="18985" spans="3:4" ht="15" x14ac:dyDescent="0.25">
      <c r="C18985" s="8" t="e">
        <f>VLOOKUP(A:A,'ITEM LIST'!A:C,3,0)</f>
        <v>#N/A</v>
      </c>
      <c r="D18985" s="6">
        <f t="shared" si="297"/>
        <v>0</v>
      </c>
    </row>
    <row r="18986" spans="3:4" ht="15" x14ac:dyDescent="0.25">
      <c r="C18986" s="8" t="e">
        <f>VLOOKUP(A:A,'ITEM LIST'!A:C,3,0)</f>
        <v>#N/A</v>
      </c>
      <c r="D18986" s="6">
        <f t="shared" si="297"/>
        <v>0</v>
      </c>
    </row>
    <row r="18987" spans="3:4" ht="15" x14ac:dyDescent="0.25">
      <c r="C18987" s="8" t="e">
        <f>VLOOKUP(A:A,'ITEM LIST'!A:C,3,0)</f>
        <v>#N/A</v>
      </c>
      <c r="D18987" s="6">
        <f t="shared" si="297"/>
        <v>0</v>
      </c>
    </row>
    <row r="18988" spans="3:4" ht="15" x14ac:dyDescent="0.25">
      <c r="C18988" s="8" t="e">
        <f>VLOOKUP(A:A,'ITEM LIST'!A:C,3,0)</f>
        <v>#N/A</v>
      </c>
      <c r="D18988" s="6">
        <f t="shared" si="297"/>
        <v>0</v>
      </c>
    </row>
    <row r="18989" spans="3:4" ht="15" x14ac:dyDescent="0.25">
      <c r="C18989" s="8" t="e">
        <f>VLOOKUP(A:A,'ITEM LIST'!A:C,3,0)</f>
        <v>#N/A</v>
      </c>
      <c r="D18989" s="6">
        <f t="shared" si="297"/>
        <v>0</v>
      </c>
    </row>
    <row r="18990" spans="3:4" ht="15" x14ac:dyDescent="0.25">
      <c r="C18990" s="8" t="e">
        <f>VLOOKUP(A:A,'ITEM LIST'!A:C,3,0)</f>
        <v>#N/A</v>
      </c>
      <c r="D18990" s="6">
        <f t="shared" si="297"/>
        <v>0</v>
      </c>
    </row>
    <row r="18991" spans="3:4" ht="15" x14ac:dyDescent="0.25">
      <c r="C18991" s="8" t="e">
        <f>VLOOKUP(A:A,'ITEM LIST'!A:C,3,0)</f>
        <v>#N/A</v>
      </c>
      <c r="D18991" s="6">
        <f t="shared" si="297"/>
        <v>0</v>
      </c>
    </row>
    <row r="18992" spans="3:4" ht="15" x14ac:dyDescent="0.25">
      <c r="C18992" s="8" t="e">
        <f>VLOOKUP(A:A,'ITEM LIST'!A:C,3,0)</f>
        <v>#N/A</v>
      </c>
      <c r="D18992" s="6">
        <f t="shared" si="297"/>
        <v>0</v>
      </c>
    </row>
    <row r="18993" spans="3:4" ht="15" x14ac:dyDescent="0.25">
      <c r="C18993" s="8" t="e">
        <f>VLOOKUP(A:A,'ITEM LIST'!A:C,3,0)</f>
        <v>#N/A</v>
      </c>
      <c r="D18993" s="6">
        <f t="shared" si="297"/>
        <v>0</v>
      </c>
    </row>
    <row r="18994" spans="3:4" ht="15" x14ac:dyDescent="0.25">
      <c r="C18994" s="8" t="e">
        <f>VLOOKUP(A:A,'ITEM LIST'!A:C,3,0)</f>
        <v>#N/A</v>
      </c>
      <c r="D18994" s="6">
        <f t="shared" si="297"/>
        <v>0</v>
      </c>
    </row>
    <row r="18995" spans="3:4" ht="15" x14ac:dyDescent="0.25">
      <c r="C18995" s="8" t="e">
        <f>VLOOKUP(A:A,'ITEM LIST'!A:C,3,0)</f>
        <v>#N/A</v>
      </c>
      <c r="D18995" s="6">
        <f t="shared" si="297"/>
        <v>0</v>
      </c>
    </row>
    <row r="18996" spans="3:4" ht="15" x14ac:dyDescent="0.25">
      <c r="C18996" s="8" t="e">
        <f>VLOOKUP(A:A,'ITEM LIST'!A:C,3,0)</f>
        <v>#N/A</v>
      </c>
      <c r="D18996" s="6">
        <f t="shared" si="297"/>
        <v>0</v>
      </c>
    </row>
    <row r="18997" spans="3:4" ht="15" x14ac:dyDescent="0.25">
      <c r="C18997" s="8" t="e">
        <f>VLOOKUP(A:A,'ITEM LIST'!A:C,3,0)</f>
        <v>#N/A</v>
      </c>
      <c r="D18997" s="6">
        <f t="shared" si="297"/>
        <v>0</v>
      </c>
    </row>
    <row r="18998" spans="3:4" ht="15" x14ac:dyDescent="0.25">
      <c r="C18998" s="8" t="e">
        <f>VLOOKUP(A:A,'ITEM LIST'!A:C,3,0)</f>
        <v>#N/A</v>
      </c>
      <c r="D18998" s="6">
        <f t="shared" si="297"/>
        <v>0</v>
      </c>
    </row>
    <row r="18999" spans="3:4" ht="15" x14ac:dyDescent="0.25">
      <c r="C18999" s="8" t="e">
        <f>VLOOKUP(A:A,'ITEM LIST'!A:C,3,0)</f>
        <v>#N/A</v>
      </c>
      <c r="D18999" s="6">
        <f t="shared" si="297"/>
        <v>0</v>
      </c>
    </row>
    <row r="19000" spans="3:4" ht="15" x14ac:dyDescent="0.25">
      <c r="C19000" s="8" t="e">
        <f>VLOOKUP(A:A,'ITEM LIST'!A:C,3,0)</f>
        <v>#N/A</v>
      </c>
      <c r="D19000" s="6">
        <f t="shared" si="297"/>
        <v>0</v>
      </c>
    </row>
    <row r="19001" spans="3:4" ht="15" x14ac:dyDescent="0.25">
      <c r="C19001" s="8" t="e">
        <f>VLOOKUP(A:A,'ITEM LIST'!A:C,3,0)</f>
        <v>#N/A</v>
      </c>
      <c r="D19001" s="6">
        <f t="shared" si="297"/>
        <v>0</v>
      </c>
    </row>
    <row r="19002" spans="3:4" ht="15" x14ac:dyDescent="0.25">
      <c r="C19002" s="8" t="e">
        <f>VLOOKUP(A:A,'ITEM LIST'!A:C,3,0)</f>
        <v>#N/A</v>
      </c>
      <c r="D19002" s="6">
        <f t="shared" si="297"/>
        <v>0</v>
      </c>
    </row>
    <row r="19003" spans="3:4" ht="15" x14ac:dyDescent="0.25">
      <c r="C19003" s="8" t="e">
        <f>VLOOKUP(A:A,'ITEM LIST'!A:C,3,0)</f>
        <v>#N/A</v>
      </c>
      <c r="D19003" s="6">
        <f t="shared" si="297"/>
        <v>0</v>
      </c>
    </row>
    <row r="19004" spans="3:4" ht="15" x14ac:dyDescent="0.25">
      <c r="C19004" s="8" t="e">
        <f>VLOOKUP(A:A,'ITEM LIST'!A:C,3,0)</f>
        <v>#N/A</v>
      </c>
      <c r="D19004" s="6">
        <f t="shared" si="297"/>
        <v>0</v>
      </c>
    </row>
    <row r="19005" spans="3:4" ht="15" x14ac:dyDescent="0.25">
      <c r="C19005" s="8" t="e">
        <f>VLOOKUP(A:A,'ITEM LIST'!A:C,3,0)</f>
        <v>#N/A</v>
      </c>
      <c r="D19005" s="6">
        <f t="shared" si="297"/>
        <v>0</v>
      </c>
    </row>
    <row r="19006" spans="3:4" ht="15" x14ac:dyDescent="0.25">
      <c r="C19006" s="8" t="e">
        <f>VLOOKUP(A:A,'ITEM LIST'!A:C,3,0)</f>
        <v>#N/A</v>
      </c>
      <c r="D19006" s="6">
        <f t="shared" si="297"/>
        <v>0</v>
      </c>
    </row>
    <row r="19007" spans="3:4" ht="15" x14ac:dyDescent="0.25">
      <c r="C19007" s="8" t="e">
        <f>VLOOKUP(A:A,'ITEM LIST'!A:C,3,0)</f>
        <v>#N/A</v>
      </c>
      <c r="D19007" s="6">
        <f t="shared" si="297"/>
        <v>0</v>
      </c>
    </row>
    <row r="19008" spans="3:4" ht="15" x14ac:dyDescent="0.25">
      <c r="C19008" s="8" t="e">
        <f>VLOOKUP(A:A,'ITEM LIST'!A:C,3,0)</f>
        <v>#N/A</v>
      </c>
      <c r="D19008" s="6">
        <f t="shared" si="297"/>
        <v>0</v>
      </c>
    </row>
    <row r="19009" spans="3:4" ht="15" x14ac:dyDescent="0.25">
      <c r="C19009" s="8" t="e">
        <f>VLOOKUP(A:A,'ITEM LIST'!A:C,3,0)</f>
        <v>#N/A</v>
      </c>
      <c r="D19009" s="6">
        <f t="shared" si="297"/>
        <v>0</v>
      </c>
    </row>
    <row r="19010" spans="3:4" ht="15" x14ac:dyDescent="0.25">
      <c r="C19010" s="8" t="e">
        <f>VLOOKUP(A:A,'ITEM LIST'!A:C,3,0)</f>
        <v>#N/A</v>
      </c>
      <c r="D19010" s="6">
        <f t="shared" si="297"/>
        <v>0</v>
      </c>
    </row>
    <row r="19011" spans="3:4" ht="15" x14ac:dyDescent="0.25">
      <c r="C19011" s="8" t="e">
        <f>VLOOKUP(A:A,'ITEM LIST'!A:C,3,0)</f>
        <v>#N/A</v>
      </c>
      <c r="D19011" s="6">
        <f t="shared" si="297"/>
        <v>0</v>
      </c>
    </row>
    <row r="19012" spans="3:4" ht="15" x14ac:dyDescent="0.25">
      <c r="C19012" s="8" t="e">
        <f>VLOOKUP(A:A,'ITEM LIST'!A:C,3,0)</f>
        <v>#N/A</v>
      </c>
      <c r="D19012" s="6">
        <f t="shared" si="297"/>
        <v>0</v>
      </c>
    </row>
    <row r="19013" spans="3:4" ht="15" x14ac:dyDescent="0.25">
      <c r="C19013" s="8" t="e">
        <f>VLOOKUP(A:A,'ITEM LIST'!A:C,3,0)</f>
        <v>#N/A</v>
      </c>
      <c r="D19013" s="6">
        <f t="shared" si="297"/>
        <v>0</v>
      </c>
    </row>
    <row r="19014" spans="3:4" ht="15" x14ac:dyDescent="0.25">
      <c r="C19014" s="8" t="e">
        <f>VLOOKUP(A:A,'ITEM LIST'!A:C,3,0)</f>
        <v>#N/A</v>
      </c>
      <c r="D19014" s="6">
        <f t="shared" ref="D19014:D19077" si="298">B19014</f>
        <v>0</v>
      </c>
    </row>
    <row r="19015" spans="3:4" ht="15" x14ac:dyDescent="0.25">
      <c r="C19015" s="8" t="e">
        <f>VLOOKUP(A:A,'ITEM LIST'!A:C,3,0)</f>
        <v>#N/A</v>
      </c>
      <c r="D19015" s="6">
        <f t="shared" si="298"/>
        <v>0</v>
      </c>
    </row>
    <row r="19016" spans="3:4" ht="15" x14ac:dyDescent="0.25">
      <c r="C19016" s="8" t="e">
        <f>VLOOKUP(A:A,'ITEM LIST'!A:C,3,0)</f>
        <v>#N/A</v>
      </c>
      <c r="D19016" s="6">
        <f t="shared" si="298"/>
        <v>0</v>
      </c>
    </row>
    <row r="19017" spans="3:4" ht="15" x14ac:dyDescent="0.25">
      <c r="C19017" s="8" t="e">
        <f>VLOOKUP(A:A,'ITEM LIST'!A:C,3,0)</f>
        <v>#N/A</v>
      </c>
      <c r="D19017" s="6">
        <f t="shared" si="298"/>
        <v>0</v>
      </c>
    </row>
    <row r="19018" spans="3:4" ht="15" x14ac:dyDescent="0.25">
      <c r="C19018" s="8" t="e">
        <f>VLOOKUP(A:A,'ITEM LIST'!A:C,3,0)</f>
        <v>#N/A</v>
      </c>
      <c r="D19018" s="6">
        <f t="shared" si="298"/>
        <v>0</v>
      </c>
    </row>
    <row r="19019" spans="3:4" ht="15" x14ac:dyDescent="0.25">
      <c r="C19019" s="8" t="e">
        <f>VLOOKUP(A:A,'ITEM LIST'!A:C,3,0)</f>
        <v>#N/A</v>
      </c>
      <c r="D19019" s="6">
        <f t="shared" si="298"/>
        <v>0</v>
      </c>
    </row>
    <row r="19020" spans="3:4" ht="15" x14ac:dyDescent="0.25">
      <c r="C19020" s="8" t="e">
        <f>VLOOKUP(A:A,'ITEM LIST'!A:C,3,0)</f>
        <v>#N/A</v>
      </c>
      <c r="D19020" s="6">
        <f t="shared" si="298"/>
        <v>0</v>
      </c>
    </row>
    <row r="19021" spans="3:4" ht="15" x14ac:dyDescent="0.25">
      <c r="C19021" s="8" t="e">
        <f>VLOOKUP(A:A,'ITEM LIST'!A:C,3,0)</f>
        <v>#N/A</v>
      </c>
      <c r="D19021" s="6">
        <f t="shared" si="298"/>
        <v>0</v>
      </c>
    </row>
    <row r="19022" spans="3:4" ht="15" x14ac:dyDescent="0.25">
      <c r="C19022" s="8" t="e">
        <f>VLOOKUP(A:A,'ITEM LIST'!A:C,3,0)</f>
        <v>#N/A</v>
      </c>
      <c r="D19022" s="6">
        <f t="shared" si="298"/>
        <v>0</v>
      </c>
    </row>
    <row r="19023" spans="3:4" ht="15" x14ac:dyDescent="0.25">
      <c r="C19023" s="8" t="e">
        <f>VLOOKUP(A:A,'ITEM LIST'!A:C,3,0)</f>
        <v>#N/A</v>
      </c>
      <c r="D19023" s="6">
        <f t="shared" si="298"/>
        <v>0</v>
      </c>
    </row>
    <row r="19024" spans="3:4" ht="15" x14ac:dyDescent="0.25">
      <c r="C19024" s="8" t="e">
        <f>VLOOKUP(A:A,'ITEM LIST'!A:C,3,0)</f>
        <v>#N/A</v>
      </c>
      <c r="D19024" s="6">
        <f t="shared" si="298"/>
        <v>0</v>
      </c>
    </row>
    <row r="19025" spans="3:4" ht="15" x14ac:dyDescent="0.25">
      <c r="C19025" s="8" t="e">
        <f>VLOOKUP(A:A,'ITEM LIST'!A:C,3,0)</f>
        <v>#N/A</v>
      </c>
      <c r="D19025" s="6">
        <f t="shared" si="298"/>
        <v>0</v>
      </c>
    </row>
    <row r="19026" spans="3:4" ht="15" x14ac:dyDescent="0.25">
      <c r="C19026" s="8" t="e">
        <f>VLOOKUP(A:A,'ITEM LIST'!A:C,3,0)</f>
        <v>#N/A</v>
      </c>
      <c r="D19026" s="6">
        <f t="shared" si="298"/>
        <v>0</v>
      </c>
    </row>
    <row r="19027" spans="3:4" ht="15" x14ac:dyDescent="0.25">
      <c r="C19027" s="8" t="e">
        <f>VLOOKUP(A:A,'ITEM LIST'!A:C,3,0)</f>
        <v>#N/A</v>
      </c>
      <c r="D19027" s="6">
        <f t="shared" si="298"/>
        <v>0</v>
      </c>
    </row>
    <row r="19028" spans="3:4" ht="15" x14ac:dyDescent="0.25">
      <c r="C19028" s="8" t="e">
        <f>VLOOKUP(A:A,'ITEM LIST'!A:C,3,0)</f>
        <v>#N/A</v>
      </c>
      <c r="D19028" s="6">
        <f t="shared" si="298"/>
        <v>0</v>
      </c>
    </row>
    <row r="19029" spans="3:4" ht="15" x14ac:dyDescent="0.25">
      <c r="C19029" s="8" t="e">
        <f>VLOOKUP(A:A,'ITEM LIST'!A:C,3,0)</f>
        <v>#N/A</v>
      </c>
      <c r="D19029" s="6">
        <f t="shared" si="298"/>
        <v>0</v>
      </c>
    </row>
    <row r="19030" spans="3:4" ht="15" x14ac:dyDescent="0.25">
      <c r="C19030" s="8" t="e">
        <f>VLOOKUP(A:A,'ITEM LIST'!A:C,3,0)</f>
        <v>#N/A</v>
      </c>
      <c r="D19030" s="6">
        <f t="shared" si="298"/>
        <v>0</v>
      </c>
    </row>
    <row r="19031" spans="3:4" ht="15" x14ac:dyDescent="0.25">
      <c r="C19031" s="8" t="e">
        <f>VLOOKUP(A:A,'ITEM LIST'!A:C,3,0)</f>
        <v>#N/A</v>
      </c>
      <c r="D19031" s="6">
        <f t="shared" si="298"/>
        <v>0</v>
      </c>
    </row>
    <row r="19032" spans="3:4" ht="15" x14ac:dyDescent="0.25">
      <c r="C19032" s="8" t="e">
        <f>VLOOKUP(A:A,'ITEM LIST'!A:C,3,0)</f>
        <v>#N/A</v>
      </c>
      <c r="D19032" s="6">
        <f t="shared" si="298"/>
        <v>0</v>
      </c>
    </row>
    <row r="19033" spans="3:4" ht="15" x14ac:dyDescent="0.25">
      <c r="C19033" s="8" t="e">
        <f>VLOOKUP(A:A,'ITEM LIST'!A:C,3,0)</f>
        <v>#N/A</v>
      </c>
      <c r="D19033" s="6">
        <f t="shared" si="298"/>
        <v>0</v>
      </c>
    </row>
    <row r="19034" spans="3:4" ht="15" x14ac:dyDescent="0.25">
      <c r="C19034" s="8" t="e">
        <f>VLOOKUP(A:A,'ITEM LIST'!A:C,3,0)</f>
        <v>#N/A</v>
      </c>
      <c r="D19034" s="6">
        <f t="shared" si="298"/>
        <v>0</v>
      </c>
    </row>
    <row r="19035" spans="3:4" ht="15" x14ac:dyDescent="0.25">
      <c r="C19035" s="8" t="e">
        <f>VLOOKUP(A:A,'ITEM LIST'!A:C,3,0)</f>
        <v>#N/A</v>
      </c>
      <c r="D19035" s="6">
        <f t="shared" si="298"/>
        <v>0</v>
      </c>
    </row>
    <row r="19036" spans="3:4" ht="15" x14ac:dyDescent="0.25">
      <c r="C19036" s="8" t="e">
        <f>VLOOKUP(A:A,'ITEM LIST'!A:C,3,0)</f>
        <v>#N/A</v>
      </c>
      <c r="D19036" s="6">
        <f t="shared" si="298"/>
        <v>0</v>
      </c>
    </row>
    <row r="19037" spans="3:4" ht="15" x14ac:dyDescent="0.25">
      <c r="C19037" s="8" t="e">
        <f>VLOOKUP(A:A,'ITEM LIST'!A:C,3,0)</f>
        <v>#N/A</v>
      </c>
      <c r="D19037" s="6">
        <f t="shared" si="298"/>
        <v>0</v>
      </c>
    </row>
    <row r="19038" spans="3:4" ht="15" x14ac:dyDescent="0.25">
      <c r="C19038" s="8" t="e">
        <f>VLOOKUP(A:A,'ITEM LIST'!A:C,3,0)</f>
        <v>#N/A</v>
      </c>
      <c r="D19038" s="6">
        <f t="shared" si="298"/>
        <v>0</v>
      </c>
    </row>
    <row r="19039" spans="3:4" ht="15" x14ac:dyDescent="0.25">
      <c r="C19039" s="8" t="e">
        <f>VLOOKUP(A:A,'ITEM LIST'!A:C,3,0)</f>
        <v>#N/A</v>
      </c>
      <c r="D19039" s="6">
        <f t="shared" si="298"/>
        <v>0</v>
      </c>
    </row>
    <row r="19040" spans="3:4" ht="15" x14ac:dyDescent="0.25">
      <c r="C19040" s="8" t="e">
        <f>VLOOKUP(A:A,'ITEM LIST'!A:C,3,0)</f>
        <v>#N/A</v>
      </c>
      <c r="D19040" s="6">
        <f t="shared" si="298"/>
        <v>0</v>
      </c>
    </row>
    <row r="19041" spans="3:4" ht="15" x14ac:dyDescent="0.25">
      <c r="C19041" s="8" t="e">
        <f>VLOOKUP(A:A,'ITEM LIST'!A:C,3,0)</f>
        <v>#N/A</v>
      </c>
      <c r="D19041" s="6">
        <f t="shared" si="298"/>
        <v>0</v>
      </c>
    </row>
    <row r="19042" spans="3:4" ht="15" x14ac:dyDescent="0.25">
      <c r="C19042" s="8" t="e">
        <f>VLOOKUP(A:A,'ITEM LIST'!A:C,3,0)</f>
        <v>#N/A</v>
      </c>
      <c r="D19042" s="6">
        <f t="shared" si="298"/>
        <v>0</v>
      </c>
    </row>
    <row r="19043" spans="3:4" ht="15" x14ac:dyDescent="0.25">
      <c r="C19043" s="8" t="e">
        <f>VLOOKUP(A:A,'ITEM LIST'!A:C,3,0)</f>
        <v>#N/A</v>
      </c>
      <c r="D19043" s="6">
        <f t="shared" si="298"/>
        <v>0</v>
      </c>
    </row>
    <row r="19044" spans="3:4" ht="15" x14ac:dyDescent="0.25">
      <c r="C19044" s="8" t="e">
        <f>VLOOKUP(A:A,'ITEM LIST'!A:C,3,0)</f>
        <v>#N/A</v>
      </c>
      <c r="D19044" s="6">
        <f t="shared" si="298"/>
        <v>0</v>
      </c>
    </row>
    <row r="19045" spans="3:4" ht="15" x14ac:dyDescent="0.25">
      <c r="C19045" s="8" t="e">
        <f>VLOOKUP(A:A,'ITEM LIST'!A:C,3,0)</f>
        <v>#N/A</v>
      </c>
      <c r="D19045" s="6">
        <f t="shared" si="298"/>
        <v>0</v>
      </c>
    </row>
    <row r="19046" spans="3:4" ht="15" x14ac:dyDescent="0.25">
      <c r="C19046" s="8" t="e">
        <f>VLOOKUP(A:A,'ITEM LIST'!A:C,3,0)</f>
        <v>#N/A</v>
      </c>
      <c r="D19046" s="6">
        <f t="shared" si="298"/>
        <v>0</v>
      </c>
    </row>
    <row r="19047" spans="3:4" ht="15" x14ac:dyDescent="0.25">
      <c r="C19047" s="8" t="e">
        <f>VLOOKUP(A:A,'ITEM LIST'!A:C,3,0)</f>
        <v>#N/A</v>
      </c>
      <c r="D19047" s="6">
        <f t="shared" si="298"/>
        <v>0</v>
      </c>
    </row>
    <row r="19048" spans="3:4" ht="15" x14ac:dyDescent="0.25">
      <c r="C19048" s="8" t="e">
        <f>VLOOKUP(A:A,'ITEM LIST'!A:C,3,0)</f>
        <v>#N/A</v>
      </c>
      <c r="D19048" s="6">
        <f t="shared" si="298"/>
        <v>0</v>
      </c>
    </row>
    <row r="19049" spans="3:4" ht="15" x14ac:dyDescent="0.25">
      <c r="C19049" s="8" t="e">
        <f>VLOOKUP(A:A,'ITEM LIST'!A:C,3,0)</f>
        <v>#N/A</v>
      </c>
      <c r="D19049" s="6">
        <f t="shared" si="298"/>
        <v>0</v>
      </c>
    </row>
    <row r="19050" spans="3:4" ht="15" x14ac:dyDescent="0.25">
      <c r="C19050" s="8" t="e">
        <f>VLOOKUP(A:A,'ITEM LIST'!A:C,3,0)</f>
        <v>#N/A</v>
      </c>
      <c r="D19050" s="6">
        <f t="shared" si="298"/>
        <v>0</v>
      </c>
    </row>
    <row r="19051" spans="3:4" ht="15" x14ac:dyDescent="0.25">
      <c r="C19051" s="8" t="e">
        <f>VLOOKUP(A:A,'ITEM LIST'!A:C,3,0)</f>
        <v>#N/A</v>
      </c>
      <c r="D19051" s="6">
        <f t="shared" si="298"/>
        <v>0</v>
      </c>
    </row>
    <row r="19052" spans="3:4" ht="15" x14ac:dyDescent="0.25">
      <c r="C19052" s="8" t="e">
        <f>VLOOKUP(A:A,'ITEM LIST'!A:C,3,0)</f>
        <v>#N/A</v>
      </c>
      <c r="D19052" s="6">
        <f t="shared" si="298"/>
        <v>0</v>
      </c>
    </row>
    <row r="19053" spans="3:4" ht="15" x14ac:dyDescent="0.25">
      <c r="C19053" s="8" t="e">
        <f>VLOOKUP(A:A,'ITEM LIST'!A:C,3,0)</f>
        <v>#N/A</v>
      </c>
      <c r="D19053" s="6">
        <f t="shared" si="298"/>
        <v>0</v>
      </c>
    </row>
    <row r="19054" spans="3:4" ht="15" x14ac:dyDescent="0.25">
      <c r="C19054" s="8" t="e">
        <f>VLOOKUP(A:A,'ITEM LIST'!A:C,3,0)</f>
        <v>#N/A</v>
      </c>
      <c r="D19054" s="6">
        <f t="shared" si="298"/>
        <v>0</v>
      </c>
    </row>
    <row r="19055" spans="3:4" ht="15" x14ac:dyDescent="0.25">
      <c r="C19055" s="8" t="e">
        <f>VLOOKUP(A:A,'ITEM LIST'!A:C,3,0)</f>
        <v>#N/A</v>
      </c>
      <c r="D19055" s="6">
        <f t="shared" si="298"/>
        <v>0</v>
      </c>
    </row>
    <row r="19056" spans="3:4" ht="15" x14ac:dyDescent="0.25">
      <c r="C19056" s="8" t="e">
        <f>VLOOKUP(A:A,'ITEM LIST'!A:C,3,0)</f>
        <v>#N/A</v>
      </c>
      <c r="D19056" s="6">
        <f t="shared" si="298"/>
        <v>0</v>
      </c>
    </row>
    <row r="19057" spans="3:4" ht="15" x14ac:dyDescent="0.25">
      <c r="C19057" s="8" t="e">
        <f>VLOOKUP(A:A,'ITEM LIST'!A:C,3,0)</f>
        <v>#N/A</v>
      </c>
      <c r="D19057" s="6">
        <f t="shared" si="298"/>
        <v>0</v>
      </c>
    </row>
    <row r="19058" spans="3:4" ht="15" x14ac:dyDescent="0.25">
      <c r="C19058" s="8" t="e">
        <f>VLOOKUP(A:A,'ITEM LIST'!A:C,3,0)</f>
        <v>#N/A</v>
      </c>
      <c r="D19058" s="6">
        <f t="shared" si="298"/>
        <v>0</v>
      </c>
    </row>
    <row r="19059" spans="3:4" ht="15" x14ac:dyDescent="0.25">
      <c r="C19059" s="8" t="e">
        <f>VLOOKUP(A:A,'ITEM LIST'!A:C,3,0)</f>
        <v>#N/A</v>
      </c>
      <c r="D19059" s="6">
        <f t="shared" si="298"/>
        <v>0</v>
      </c>
    </row>
    <row r="19060" spans="3:4" ht="15" x14ac:dyDescent="0.25">
      <c r="C19060" s="8" t="e">
        <f>VLOOKUP(A:A,'ITEM LIST'!A:C,3,0)</f>
        <v>#N/A</v>
      </c>
      <c r="D19060" s="6">
        <f t="shared" si="298"/>
        <v>0</v>
      </c>
    </row>
    <row r="19061" spans="3:4" ht="15" x14ac:dyDescent="0.25">
      <c r="C19061" s="8" t="e">
        <f>VLOOKUP(A:A,'ITEM LIST'!A:C,3,0)</f>
        <v>#N/A</v>
      </c>
      <c r="D19061" s="6">
        <f t="shared" si="298"/>
        <v>0</v>
      </c>
    </row>
    <row r="19062" spans="3:4" ht="15" x14ac:dyDescent="0.25">
      <c r="C19062" s="8" t="e">
        <f>VLOOKUP(A:A,'ITEM LIST'!A:C,3,0)</f>
        <v>#N/A</v>
      </c>
      <c r="D19062" s="6">
        <f t="shared" si="298"/>
        <v>0</v>
      </c>
    </row>
    <row r="19063" spans="3:4" ht="15" x14ac:dyDescent="0.25">
      <c r="C19063" s="8" t="e">
        <f>VLOOKUP(A:A,'ITEM LIST'!A:C,3,0)</f>
        <v>#N/A</v>
      </c>
      <c r="D19063" s="6">
        <f t="shared" si="298"/>
        <v>0</v>
      </c>
    </row>
    <row r="19064" spans="3:4" ht="15" x14ac:dyDescent="0.25">
      <c r="C19064" s="8" t="e">
        <f>VLOOKUP(A:A,'ITEM LIST'!A:C,3,0)</f>
        <v>#N/A</v>
      </c>
      <c r="D19064" s="6">
        <f t="shared" si="298"/>
        <v>0</v>
      </c>
    </row>
    <row r="19065" spans="3:4" ht="15" x14ac:dyDescent="0.25">
      <c r="C19065" s="8" t="e">
        <f>VLOOKUP(A:A,'ITEM LIST'!A:C,3,0)</f>
        <v>#N/A</v>
      </c>
      <c r="D19065" s="6">
        <f t="shared" si="298"/>
        <v>0</v>
      </c>
    </row>
    <row r="19066" spans="3:4" ht="15" x14ac:dyDescent="0.25">
      <c r="C19066" s="8" t="e">
        <f>VLOOKUP(A:A,'ITEM LIST'!A:C,3,0)</f>
        <v>#N/A</v>
      </c>
      <c r="D19066" s="6">
        <f t="shared" si="298"/>
        <v>0</v>
      </c>
    </row>
    <row r="19067" spans="3:4" ht="15" x14ac:dyDescent="0.25">
      <c r="C19067" s="8" t="e">
        <f>VLOOKUP(A:A,'ITEM LIST'!A:C,3,0)</f>
        <v>#N/A</v>
      </c>
      <c r="D19067" s="6">
        <f t="shared" si="298"/>
        <v>0</v>
      </c>
    </row>
    <row r="19068" spans="3:4" ht="15" x14ac:dyDescent="0.25">
      <c r="C19068" s="8" t="e">
        <f>VLOOKUP(A:A,'ITEM LIST'!A:C,3,0)</f>
        <v>#N/A</v>
      </c>
      <c r="D19068" s="6">
        <f t="shared" si="298"/>
        <v>0</v>
      </c>
    </row>
    <row r="19069" spans="3:4" ht="15" x14ac:dyDescent="0.25">
      <c r="C19069" s="8" t="e">
        <f>VLOOKUP(A:A,'ITEM LIST'!A:C,3,0)</f>
        <v>#N/A</v>
      </c>
      <c r="D19069" s="6">
        <f t="shared" si="298"/>
        <v>0</v>
      </c>
    </row>
    <row r="19070" spans="3:4" ht="15" x14ac:dyDescent="0.25">
      <c r="C19070" s="8" t="e">
        <f>VLOOKUP(A:A,'ITEM LIST'!A:C,3,0)</f>
        <v>#N/A</v>
      </c>
      <c r="D19070" s="6">
        <f t="shared" si="298"/>
        <v>0</v>
      </c>
    </row>
    <row r="19071" spans="3:4" ht="15" x14ac:dyDescent="0.25">
      <c r="C19071" s="8" t="e">
        <f>VLOOKUP(A:A,'ITEM LIST'!A:C,3,0)</f>
        <v>#N/A</v>
      </c>
      <c r="D19071" s="6">
        <f t="shared" si="298"/>
        <v>0</v>
      </c>
    </row>
    <row r="19072" spans="3:4" ht="15" x14ac:dyDescent="0.25">
      <c r="C19072" s="8" t="e">
        <f>VLOOKUP(A:A,'ITEM LIST'!A:C,3,0)</f>
        <v>#N/A</v>
      </c>
      <c r="D19072" s="6">
        <f t="shared" si="298"/>
        <v>0</v>
      </c>
    </row>
    <row r="19073" spans="3:4" ht="15" x14ac:dyDescent="0.25">
      <c r="C19073" s="8" t="e">
        <f>VLOOKUP(A:A,'ITEM LIST'!A:C,3,0)</f>
        <v>#N/A</v>
      </c>
      <c r="D19073" s="6">
        <f t="shared" si="298"/>
        <v>0</v>
      </c>
    </row>
    <row r="19074" spans="3:4" ht="15" x14ac:dyDescent="0.25">
      <c r="C19074" s="8" t="e">
        <f>VLOOKUP(A:A,'ITEM LIST'!A:C,3,0)</f>
        <v>#N/A</v>
      </c>
      <c r="D19074" s="6">
        <f t="shared" si="298"/>
        <v>0</v>
      </c>
    </row>
    <row r="19075" spans="3:4" ht="15" x14ac:dyDescent="0.25">
      <c r="C19075" s="8" t="e">
        <f>VLOOKUP(A:A,'ITEM LIST'!A:C,3,0)</f>
        <v>#N/A</v>
      </c>
      <c r="D19075" s="6">
        <f t="shared" si="298"/>
        <v>0</v>
      </c>
    </row>
    <row r="19076" spans="3:4" ht="15" x14ac:dyDescent="0.25">
      <c r="C19076" s="8" t="e">
        <f>VLOOKUP(A:A,'ITEM LIST'!A:C,3,0)</f>
        <v>#N/A</v>
      </c>
      <c r="D19076" s="6">
        <f t="shared" si="298"/>
        <v>0</v>
      </c>
    </row>
    <row r="19077" spans="3:4" ht="15" x14ac:dyDescent="0.25">
      <c r="C19077" s="8" t="e">
        <f>VLOOKUP(A:A,'ITEM LIST'!A:C,3,0)</f>
        <v>#N/A</v>
      </c>
      <c r="D19077" s="6">
        <f t="shared" si="298"/>
        <v>0</v>
      </c>
    </row>
    <row r="19078" spans="3:4" ht="15" x14ac:dyDescent="0.25">
      <c r="C19078" s="8" t="e">
        <f>VLOOKUP(A:A,'ITEM LIST'!A:C,3,0)</f>
        <v>#N/A</v>
      </c>
      <c r="D19078" s="6">
        <f t="shared" ref="D19078:D19141" si="299">B19078</f>
        <v>0</v>
      </c>
    </row>
    <row r="19079" spans="3:4" ht="15" x14ac:dyDescent="0.25">
      <c r="C19079" s="8" t="e">
        <f>VLOOKUP(A:A,'ITEM LIST'!A:C,3,0)</f>
        <v>#N/A</v>
      </c>
      <c r="D19079" s="6">
        <f t="shared" si="299"/>
        <v>0</v>
      </c>
    </row>
    <row r="19080" spans="3:4" ht="15" x14ac:dyDescent="0.25">
      <c r="C19080" s="8" t="e">
        <f>VLOOKUP(A:A,'ITEM LIST'!A:C,3,0)</f>
        <v>#N/A</v>
      </c>
      <c r="D19080" s="6">
        <f t="shared" si="299"/>
        <v>0</v>
      </c>
    </row>
    <row r="19081" spans="3:4" ht="15" x14ac:dyDescent="0.25">
      <c r="C19081" s="8" t="e">
        <f>VLOOKUP(A:A,'ITEM LIST'!A:C,3,0)</f>
        <v>#N/A</v>
      </c>
      <c r="D19081" s="6">
        <f t="shared" si="299"/>
        <v>0</v>
      </c>
    </row>
    <row r="19082" spans="3:4" ht="15" x14ac:dyDescent="0.25">
      <c r="C19082" s="8" t="e">
        <f>VLOOKUP(A:A,'ITEM LIST'!A:C,3,0)</f>
        <v>#N/A</v>
      </c>
      <c r="D19082" s="6">
        <f t="shared" si="299"/>
        <v>0</v>
      </c>
    </row>
    <row r="19083" spans="3:4" ht="15" x14ac:dyDescent="0.25">
      <c r="C19083" s="8" t="e">
        <f>VLOOKUP(A:A,'ITEM LIST'!A:C,3,0)</f>
        <v>#N/A</v>
      </c>
      <c r="D19083" s="6">
        <f t="shared" si="299"/>
        <v>0</v>
      </c>
    </row>
    <row r="19084" spans="3:4" ht="15" x14ac:dyDescent="0.25">
      <c r="C19084" s="8" t="e">
        <f>VLOOKUP(A:A,'ITEM LIST'!A:C,3,0)</f>
        <v>#N/A</v>
      </c>
      <c r="D19084" s="6">
        <f t="shared" si="299"/>
        <v>0</v>
      </c>
    </row>
    <row r="19085" spans="3:4" ht="15" x14ac:dyDescent="0.25">
      <c r="C19085" s="8" t="e">
        <f>VLOOKUP(A:A,'ITEM LIST'!A:C,3,0)</f>
        <v>#N/A</v>
      </c>
      <c r="D19085" s="6">
        <f t="shared" si="299"/>
        <v>0</v>
      </c>
    </row>
    <row r="19086" spans="3:4" ht="15" x14ac:dyDescent="0.25">
      <c r="C19086" s="8" t="e">
        <f>VLOOKUP(A:A,'ITEM LIST'!A:C,3,0)</f>
        <v>#N/A</v>
      </c>
      <c r="D19086" s="6">
        <f t="shared" si="299"/>
        <v>0</v>
      </c>
    </row>
    <row r="19087" spans="3:4" ht="15" x14ac:dyDescent="0.25">
      <c r="C19087" s="8" t="e">
        <f>VLOOKUP(A:A,'ITEM LIST'!A:C,3,0)</f>
        <v>#N/A</v>
      </c>
      <c r="D19087" s="6">
        <f t="shared" si="299"/>
        <v>0</v>
      </c>
    </row>
    <row r="19088" spans="3:4" ht="15" x14ac:dyDescent="0.25">
      <c r="C19088" s="8" t="e">
        <f>VLOOKUP(A:A,'ITEM LIST'!A:C,3,0)</f>
        <v>#N/A</v>
      </c>
      <c r="D19088" s="6">
        <f t="shared" si="299"/>
        <v>0</v>
      </c>
    </row>
    <row r="19089" spans="3:4" ht="15" x14ac:dyDescent="0.25">
      <c r="C19089" s="8" t="e">
        <f>VLOOKUP(A:A,'ITEM LIST'!A:C,3,0)</f>
        <v>#N/A</v>
      </c>
      <c r="D19089" s="6">
        <f t="shared" si="299"/>
        <v>0</v>
      </c>
    </row>
    <row r="19090" spans="3:4" ht="15" x14ac:dyDescent="0.25">
      <c r="C19090" s="8" t="e">
        <f>VLOOKUP(A:A,'ITEM LIST'!A:C,3,0)</f>
        <v>#N/A</v>
      </c>
      <c r="D19090" s="6">
        <f t="shared" si="299"/>
        <v>0</v>
      </c>
    </row>
    <row r="19091" spans="3:4" ht="15" x14ac:dyDescent="0.25">
      <c r="C19091" s="8" t="e">
        <f>VLOOKUP(A:A,'ITEM LIST'!A:C,3,0)</f>
        <v>#N/A</v>
      </c>
      <c r="D19091" s="6">
        <f t="shared" si="299"/>
        <v>0</v>
      </c>
    </row>
    <row r="19092" spans="3:4" ht="15" x14ac:dyDescent="0.25">
      <c r="C19092" s="8" t="e">
        <f>VLOOKUP(A:A,'ITEM LIST'!A:C,3,0)</f>
        <v>#N/A</v>
      </c>
      <c r="D19092" s="6">
        <f t="shared" si="299"/>
        <v>0</v>
      </c>
    </row>
    <row r="19093" spans="3:4" ht="15" x14ac:dyDescent="0.25">
      <c r="C19093" s="8" t="e">
        <f>VLOOKUP(A:A,'ITEM LIST'!A:C,3,0)</f>
        <v>#N/A</v>
      </c>
      <c r="D19093" s="6">
        <f t="shared" si="299"/>
        <v>0</v>
      </c>
    </row>
    <row r="19094" spans="3:4" ht="15" x14ac:dyDescent="0.25">
      <c r="C19094" s="8" t="e">
        <f>VLOOKUP(A:A,'ITEM LIST'!A:C,3,0)</f>
        <v>#N/A</v>
      </c>
      <c r="D19094" s="6">
        <f t="shared" si="299"/>
        <v>0</v>
      </c>
    </row>
    <row r="19095" spans="3:4" ht="15" x14ac:dyDescent="0.25">
      <c r="C19095" s="8" t="e">
        <f>VLOOKUP(A:A,'ITEM LIST'!A:C,3,0)</f>
        <v>#N/A</v>
      </c>
      <c r="D19095" s="6">
        <f t="shared" si="299"/>
        <v>0</v>
      </c>
    </row>
    <row r="19096" spans="3:4" ht="15" x14ac:dyDescent="0.25">
      <c r="C19096" s="8" t="e">
        <f>VLOOKUP(A:A,'ITEM LIST'!A:C,3,0)</f>
        <v>#N/A</v>
      </c>
      <c r="D19096" s="6">
        <f t="shared" si="299"/>
        <v>0</v>
      </c>
    </row>
    <row r="19097" spans="3:4" ht="15" x14ac:dyDescent="0.25">
      <c r="C19097" s="8" t="e">
        <f>VLOOKUP(A:A,'ITEM LIST'!A:C,3,0)</f>
        <v>#N/A</v>
      </c>
      <c r="D19097" s="6">
        <f t="shared" si="299"/>
        <v>0</v>
      </c>
    </row>
    <row r="19098" spans="3:4" ht="15" x14ac:dyDescent="0.25">
      <c r="C19098" s="8" t="e">
        <f>VLOOKUP(A:A,'ITEM LIST'!A:C,3,0)</f>
        <v>#N/A</v>
      </c>
      <c r="D19098" s="6">
        <f t="shared" si="299"/>
        <v>0</v>
      </c>
    </row>
    <row r="19099" spans="3:4" ht="15" x14ac:dyDescent="0.25">
      <c r="C19099" s="8" t="e">
        <f>VLOOKUP(A:A,'ITEM LIST'!A:C,3,0)</f>
        <v>#N/A</v>
      </c>
      <c r="D19099" s="6">
        <f t="shared" si="299"/>
        <v>0</v>
      </c>
    </row>
    <row r="19100" spans="3:4" ht="15" x14ac:dyDescent="0.25">
      <c r="C19100" s="8" t="e">
        <f>VLOOKUP(A:A,'ITEM LIST'!A:C,3,0)</f>
        <v>#N/A</v>
      </c>
      <c r="D19100" s="6">
        <f t="shared" si="299"/>
        <v>0</v>
      </c>
    </row>
    <row r="19101" spans="3:4" ht="15" x14ac:dyDescent="0.25">
      <c r="C19101" s="8" t="e">
        <f>VLOOKUP(A:A,'ITEM LIST'!A:C,3,0)</f>
        <v>#N/A</v>
      </c>
      <c r="D19101" s="6">
        <f t="shared" si="299"/>
        <v>0</v>
      </c>
    </row>
    <row r="19102" spans="3:4" ht="15" x14ac:dyDescent="0.25">
      <c r="C19102" s="8" t="e">
        <f>VLOOKUP(A:A,'ITEM LIST'!A:C,3,0)</f>
        <v>#N/A</v>
      </c>
      <c r="D19102" s="6">
        <f t="shared" si="299"/>
        <v>0</v>
      </c>
    </row>
    <row r="19103" spans="3:4" ht="15" x14ac:dyDescent="0.25">
      <c r="C19103" s="8" t="e">
        <f>VLOOKUP(A:A,'ITEM LIST'!A:C,3,0)</f>
        <v>#N/A</v>
      </c>
      <c r="D19103" s="6">
        <f t="shared" si="299"/>
        <v>0</v>
      </c>
    </row>
    <row r="19104" spans="3:4" ht="15" x14ac:dyDescent="0.25">
      <c r="C19104" s="8" t="e">
        <f>VLOOKUP(A:A,'ITEM LIST'!A:C,3,0)</f>
        <v>#N/A</v>
      </c>
      <c r="D19104" s="6">
        <f t="shared" si="299"/>
        <v>0</v>
      </c>
    </row>
    <row r="19105" spans="3:4" ht="15" x14ac:dyDescent="0.25">
      <c r="C19105" s="8" t="e">
        <f>VLOOKUP(A:A,'ITEM LIST'!A:C,3,0)</f>
        <v>#N/A</v>
      </c>
      <c r="D19105" s="6">
        <f t="shared" si="299"/>
        <v>0</v>
      </c>
    </row>
    <row r="19106" spans="3:4" ht="15" x14ac:dyDescent="0.25">
      <c r="C19106" s="8" t="e">
        <f>VLOOKUP(A:A,'ITEM LIST'!A:C,3,0)</f>
        <v>#N/A</v>
      </c>
      <c r="D19106" s="6">
        <f t="shared" si="299"/>
        <v>0</v>
      </c>
    </row>
    <row r="19107" spans="3:4" ht="15" x14ac:dyDescent="0.25">
      <c r="C19107" s="8" t="e">
        <f>VLOOKUP(A:A,'ITEM LIST'!A:C,3,0)</f>
        <v>#N/A</v>
      </c>
      <c r="D19107" s="6">
        <f t="shared" si="299"/>
        <v>0</v>
      </c>
    </row>
    <row r="19108" spans="3:4" ht="15" x14ac:dyDescent="0.25">
      <c r="C19108" s="8" t="e">
        <f>VLOOKUP(A:A,'ITEM LIST'!A:C,3,0)</f>
        <v>#N/A</v>
      </c>
      <c r="D19108" s="6">
        <f t="shared" si="299"/>
        <v>0</v>
      </c>
    </row>
    <row r="19109" spans="3:4" ht="15" x14ac:dyDescent="0.25">
      <c r="C19109" s="8" t="e">
        <f>VLOOKUP(A:A,'ITEM LIST'!A:C,3,0)</f>
        <v>#N/A</v>
      </c>
      <c r="D19109" s="6">
        <f t="shared" si="299"/>
        <v>0</v>
      </c>
    </row>
    <row r="19110" spans="3:4" ht="15" x14ac:dyDescent="0.25">
      <c r="C19110" s="8" t="e">
        <f>VLOOKUP(A:A,'ITEM LIST'!A:C,3,0)</f>
        <v>#N/A</v>
      </c>
      <c r="D19110" s="6">
        <f t="shared" si="299"/>
        <v>0</v>
      </c>
    </row>
    <row r="19111" spans="3:4" ht="15" x14ac:dyDescent="0.25">
      <c r="C19111" s="8" t="e">
        <f>VLOOKUP(A:A,'ITEM LIST'!A:C,3,0)</f>
        <v>#N/A</v>
      </c>
      <c r="D19111" s="6">
        <f t="shared" si="299"/>
        <v>0</v>
      </c>
    </row>
    <row r="19112" spans="3:4" ht="15" x14ac:dyDescent="0.25">
      <c r="C19112" s="8" t="e">
        <f>VLOOKUP(A:A,'ITEM LIST'!A:C,3,0)</f>
        <v>#N/A</v>
      </c>
      <c r="D19112" s="6">
        <f t="shared" si="299"/>
        <v>0</v>
      </c>
    </row>
    <row r="19113" spans="3:4" ht="15" x14ac:dyDescent="0.25">
      <c r="C19113" s="8" t="e">
        <f>VLOOKUP(A:A,'ITEM LIST'!A:C,3,0)</f>
        <v>#N/A</v>
      </c>
      <c r="D19113" s="6">
        <f t="shared" si="299"/>
        <v>0</v>
      </c>
    </row>
    <row r="19114" spans="3:4" ht="15" x14ac:dyDescent="0.25">
      <c r="C19114" s="8" t="e">
        <f>VLOOKUP(A:A,'ITEM LIST'!A:C,3,0)</f>
        <v>#N/A</v>
      </c>
      <c r="D19114" s="6">
        <f t="shared" si="299"/>
        <v>0</v>
      </c>
    </row>
    <row r="19115" spans="3:4" ht="15" x14ac:dyDescent="0.25">
      <c r="C19115" s="8" t="e">
        <f>VLOOKUP(A:A,'ITEM LIST'!A:C,3,0)</f>
        <v>#N/A</v>
      </c>
      <c r="D19115" s="6">
        <f t="shared" si="299"/>
        <v>0</v>
      </c>
    </row>
    <row r="19116" spans="3:4" ht="15" x14ac:dyDescent="0.25">
      <c r="C19116" s="8" t="e">
        <f>VLOOKUP(A:A,'ITEM LIST'!A:C,3,0)</f>
        <v>#N/A</v>
      </c>
      <c r="D19116" s="6">
        <f t="shared" si="299"/>
        <v>0</v>
      </c>
    </row>
    <row r="19117" spans="3:4" ht="15" x14ac:dyDescent="0.25">
      <c r="C19117" s="8" t="e">
        <f>VLOOKUP(A:A,'ITEM LIST'!A:C,3,0)</f>
        <v>#N/A</v>
      </c>
      <c r="D19117" s="6">
        <f t="shared" si="299"/>
        <v>0</v>
      </c>
    </row>
    <row r="19118" spans="3:4" ht="15" x14ac:dyDescent="0.25">
      <c r="C19118" s="8" t="e">
        <f>VLOOKUP(A:A,'ITEM LIST'!A:C,3,0)</f>
        <v>#N/A</v>
      </c>
      <c r="D19118" s="6">
        <f t="shared" si="299"/>
        <v>0</v>
      </c>
    </row>
    <row r="19119" spans="3:4" ht="15" x14ac:dyDescent="0.25">
      <c r="C19119" s="8" t="e">
        <f>VLOOKUP(A:A,'ITEM LIST'!A:C,3,0)</f>
        <v>#N/A</v>
      </c>
      <c r="D19119" s="6">
        <f t="shared" si="299"/>
        <v>0</v>
      </c>
    </row>
    <row r="19120" spans="3:4" ht="15" x14ac:dyDescent="0.25">
      <c r="C19120" s="8" t="e">
        <f>VLOOKUP(A:A,'ITEM LIST'!A:C,3,0)</f>
        <v>#N/A</v>
      </c>
      <c r="D19120" s="6">
        <f t="shared" si="299"/>
        <v>0</v>
      </c>
    </row>
    <row r="19121" spans="3:4" ht="15" x14ac:dyDescent="0.25">
      <c r="C19121" s="8" t="e">
        <f>VLOOKUP(A:A,'ITEM LIST'!A:C,3,0)</f>
        <v>#N/A</v>
      </c>
      <c r="D19121" s="6">
        <f t="shared" si="299"/>
        <v>0</v>
      </c>
    </row>
    <row r="19122" spans="3:4" ht="15" x14ac:dyDescent="0.25">
      <c r="C19122" s="8" t="e">
        <f>VLOOKUP(A:A,'ITEM LIST'!A:C,3,0)</f>
        <v>#N/A</v>
      </c>
      <c r="D19122" s="6">
        <f t="shared" si="299"/>
        <v>0</v>
      </c>
    </row>
    <row r="19123" spans="3:4" ht="15" x14ac:dyDescent="0.25">
      <c r="C19123" s="8" t="e">
        <f>VLOOKUP(A:A,'ITEM LIST'!A:C,3,0)</f>
        <v>#N/A</v>
      </c>
      <c r="D19123" s="6">
        <f t="shared" si="299"/>
        <v>0</v>
      </c>
    </row>
    <row r="19124" spans="3:4" ht="15" x14ac:dyDescent="0.25">
      <c r="C19124" s="8" t="e">
        <f>VLOOKUP(A:A,'ITEM LIST'!A:C,3,0)</f>
        <v>#N/A</v>
      </c>
      <c r="D19124" s="6">
        <f t="shared" si="299"/>
        <v>0</v>
      </c>
    </row>
    <row r="19125" spans="3:4" ht="15" x14ac:dyDescent="0.25">
      <c r="C19125" s="8" t="e">
        <f>VLOOKUP(A:A,'ITEM LIST'!A:C,3,0)</f>
        <v>#N/A</v>
      </c>
      <c r="D19125" s="6">
        <f t="shared" si="299"/>
        <v>0</v>
      </c>
    </row>
    <row r="19126" spans="3:4" ht="15" x14ac:dyDescent="0.25">
      <c r="C19126" s="8" t="e">
        <f>VLOOKUP(A:A,'ITEM LIST'!A:C,3,0)</f>
        <v>#N/A</v>
      </c>
      <c r="D19126" s="6">
        <f t="shared" si="299"/>
        <v>0</v>
      </c>
    </row>
    <row r="19127" spans="3:4" ht="15" x14ac:dyDescent="0.25">
      <c r="C19127" s="8" t="e">
        <f>VLOOKUP(A:A,'ITEM LIST'!A:C,3,0)</f>
        <v>#N/A</v>
      </c>
      <c r="D19127" s="6">
        <f t="shared" si="299"/>
        <v>0</v>
      </c>
    </row>
    <row r="19128" spans="3:4" ht="15" x14ac:dyDescent="0.25">
      <c r="C19128" s="8" t="e">
        <f>VLOOKUP(A:A,'ITEM LIST'!A:C,3,0)</f>
        <v>#N/A</v>
      </c>
      <c r="D19128" s="6">
        <f t="shared" si="299"/>
        <v>0</v>
      </c>
    </row>
    <row r="19129" spans="3:4" ht="15" x14ac:dyDescent="0.25">
      <c r="C19129" s="8" t="e">
        <f>VLOOKUP(A:A,'ITEM LIST'!A:C,3,0)</f>
        <v>#N/A</v>
      </c>
      <c r="D19129" s="6">
        <f t="shared" si="299"/>
        <v>0</v>
      </c>
    </row>
    <row r="19130" spans="3:4" ht="15" x14ac:dyDescent="0.25">
      <c r="C19130" s="8" t="e">
        <f>VLOOKUP(A:A,'ITEM LIST'!A:C,3,0)</f>
        <v>#N/A</v>
      </c>
      <c r="D19130" s="6">
        <f t="shared" si="299"/>
        <v>0</v>
      </c>
    </row>
    <row r="19131" spans="3:4" ht="15" x14ac:dyDescent="0.25">
      <c r="C19131" s="8" t="e">
        <f>VLOOKUP(A:A,'ITEM LIST'!A:C,3,0)</f>
        <v>#N/A</v>
      </c>
      <c r="D19131" s="6">
        <f t="shared" si="299"/>
        <v>0</v>
      </c>
    </row>
    <row r="19132" spans="3:4" ht="15" x14ac:dyDescent="0.25">
      <c r="C19132" s="8" t="e">
        <f>VLOOKUP(A:A,'ITEM LIST'!A:C,3,0)</f>
        <v>#N/A</v>
      </c>
      <c r="D19132" s="6">
        <f t="shared" si="299"/>
        <v>0</v>
      </c>
    </row>
    <row r="19133" spans="3:4" ht="15" x14ac:dyDescent="0.25">
      <c r="C19133" s="8" t="e">
        <f>VLOOKUP(A:A,'ITEM LIST'!A:C,3,0)</f>
        <v>#N/A</v>
      </c>
      <c r="D19133" s="6">
        <f t="shared" si="299"/>
        <v>0</v>
      </c>
    </row>
    <row r="19134" spans="3:4" ht="15" x14ac:dyDescent="0.25">
      <c r="C19134" s="8" t="e">
        <f>VLOOKUP(A:A,'ITEM LIST'!A:C,3,0)</f>
        <v>#N/A</v>
      </c>
      <c r="D19134" s="6">
        <f t="shared" si="299"/>
        <v>0</v>
      </c>
    </row>
    <row r="19135" spans="3:4" ht="15" x14ac:dyDescent="0.25">
      <c r="C19135" s="8" t="e">
        <f>VLOOKUP(A:A,'ITEM LIST'!A:C,3,0)</f>
        <v>#N/A</v>
      </c>
      <c r="D19135" s="6">
        <f t="shared" si="299"/>
        <v>0</v>
      </c>
    </row>
    <row r="19136" spans="3:4" ht="15" x14ac:dyDescent="0.25">
      <c r="C19136" s="8" t="e">
        <f>VLOOKUP(A:A,'ITEM LIST'!A:C,3,0)</f>
        <v>#N/A</v>
      </c>
      <c r="D19136" s="6">
        <f t="shared" si="299"/>
        <v>0</v>
      </c>
    </row>
    <row r="19137" spans="3:4" ht="15" x14ac:dyDescent="0.25">
      <c r="C19137" s="8" t="e">
        <f>VLOOKUP(A:A,'ITEM LIST'!A:C,3,0)</f>
        <v>#N/A</v>
      </c>
      <c r="D19137" s="6">
        <f t="shared" si="299"/>
        <v>0</v>
      </c>
    </row>
    <row r="19138" spans="3:4" ht="15" x14ac:dyDescent="0.25">
      <c r="C19138" s="8" t="e">
        <f>VLOOKUP(A:A,'ITEM LIST'!A:C,3,0)</f>
        <v>#N/A</v>
      </c>
      <c r="D19138" s="6">
        <f t="shared" si="299"/>
        <v>0</v>
      </c>
    </row>
    <row r="19139" spans="3:4" ht="15" x14ac:dyDescent="0.25">
      <c r="C19139" s="8" t="e">
        <f>VLOOKUP(A:A,'ITEM LIST'!A:C,3,0)</f>
        <v>#N/A</v>
      </c>
      <c r="D19139" s="6">
        <f t="shared" si="299"/>
        <v>0</v>
      </c>
    </row>
    <row r="19140" spans="3:4" ht="15" x14ac:dyDescent="0.25">
      <c r="C19140" s="8" t="e">
        <f>VLOOKUP(A:A,'ITEM LIST'!A:C,3,0)</f>
        <v>#N/A</v>
      </c>
      <c r="D19140" s="6">
        <f t="shared" si="299"/>
        <v>0</v>
      </c>
    </row>
    <row r="19141" spans="3:4" ht="15" x14ac:dyDescent="0.25">
      <c r="C19141" s="8" t="e">
        <f>VLOOKUP(A:A,'ITEM LIST'!A:C,3,0)</f>
        <v>#N/A</v>
      </c>
      <c r="D19141" s="6">
        <f t="shared" si="299"/>
        <v>0</v>
      </c>
    </row>
    <row r="19142" spans="3:4" ht="15" x14ac:dyDescent="0.25">
      <c r="C19142" s="8" t="e">
        <f>VLOOKUP(A:A,'ITEM LIST'!A:C,3,0)</f>
        <v>#N/A</v>
      </c>
      <c r="D19142" s="6">
        <f t="shared" ref="D19142:D19205" si="300">B19142</f>
        <v>0</v>
      </c>
    </row>
    <row r="19143" spans="3:4" ht="15" x14ac:dyDescent="0.25">
      <c r="C19143" s="8" t="e">
        <f>VLOOKUP(A:A,'ITEM LIST'!A:C,3,0)</f>
        <v>#N/A</v>
      </c>
      <c r="D19143" s="6">
        <f t="shared" si="300"/>
        <v>0</v>
      </c>
    </row>
    <row r="19144" spans="3:4" ht="15" x14ac:dyDescent="0.25">
      <c r="C19144" s="8" t="e">
        <f>VLOOKUP(A:A,'ITEM LIST'!A:C,3,0)</f>
        <v>#N/A</v>
      </c>
      <c r="D19144" s="6">
        <f t="shared" si="300"/>
        <v>0</v>
      </c>
    </row>
    <row r="19145" spans="3:4" ht="15" x14ac:dyDescent="0.25">
      <c r="C19145" s="8" t="e">
        <f>VLOOKUP(A:A,'ITEM LIST'!A:C,3,0)</f>
        <v>#N/A</v>
      </c>
      <c r="D19145" s="6">
        <f t="shared" si="300"/>
        <v>0</v>
      </c>
    </row>
    <row r="19146" spans="3:4" ht="15" x14ac:dyDescent="0.25">
      <c r="C19146" s="8" t="e">
        <f>VLOOKUP(A:A,'ITEM LIST'!A:C,3,0)</f>
        <v>#N/A</v>
      </c>
      <c r="D19146" s="6">
        <f t="shared" si="300"/>
        <v>0</v>
      </c>
    </row>
    <row r="19147" spans="3:4" ht="15" x14ac:dyDescent="0.25">
      <c r="C19147" s="8" t="e">
        <f>VLOOKUP(A:A,'ITEM LIST'!A:C,3,0)</f>
        <v>#N/A</v>
      </c>
      <c r="D19147" s="6">
        <f t="shared" si="300"/>
        <v>0</v>
      </c>
    </row>
    <row r="19148" spans="3:4" ht="15" x14ac:dyDescent="0.25">
      <c r="C19148" s="8" t="e">
        <f>VLOOKUP(A:A,'ITEM LIST'!A:C,3,0)</f>
        <v>#N/A</v>
      </c>
      <c r="D19148" s="6">
        <f t="shared" si="300"/>
        <v>0</v>
      </c>
    </row>
    <row r="19149" spans="3:4" ht="15" x14ac:dyDescent="0.25">
      <c r="C19149" s="8" t="e">
        <f>VLOOKUP(A:A,'ITEM LIST'!A:C,3,0)</f>
        <v>#N/A</v>
      </c>
      <c r="D19149" s="6">
        <f t="shared" si="300"/>
        <v>0</v>
      </c>
    </row>
    <row r="19150" spans="3:4" ht="15" x14ac:dyDescent="0.25">
      <c r="C19150" s="8" t="e">
        <f>VLOOKUP(A:A,'ITEM LIST'!A:C,3,0)</f>
        <v>#N/A</v>
      </c>
      <c r="D19150" s="6">
        <f t="shared" si="300"/>
        <v>0</v>
      </c>
    </row>
    <row r="19151" spans="3:4" ht="15" x14ac:dyDescent="0.25">
      <c r="C19151" s="8" t="e">
        <f>VLOOKUP(A:A,'ITEM LIST'!A:C,3,0)</f>
        <v>#N/A</v>
      </c>
      <c r="D19151" s="6">
        <f t="shared" si="300"/>
        <v>0</v>
      </c>
    </row>
    <row r="19152" spans="3:4" ht="15" x14ac:dyDescent="0.25">
      <c r="C19152" s="8" t="e">
        <f>VLOOKUP(A:A,'ITEM LIST'!A:C,3,0)</f>
        <v>#N/A</v>
      </c>
      <c r="D19152" s="6">
        <f t="shared" si="300"/>
        <v>0</v>
      </c>
    </row>
    <row r="19153" spans="3:4" ht="15" x14ac:dyDescent="0.25">
      <c r="C19153" s="8" t="e">
        <f>VLOOKUP(A:A,'ITEM LIST'!A:C,3,0)</f>
        <v>#N/A</v>
      </c>
      <c r="D19153" s="6">
        <f t="shared" si="300"/>
        <v>0</v>
      </c>
    </row>
    <row r="19154" spans="3:4" ht="15" x14ac:dyDescent="0.25">
      <c r="C19154" s="8" t="e">
        <f>VLOOKUP(A:A,'ITEM LIST'!A:C,3,0)</f>
        <v>#N/A</v>
      </c>
      <c r="D19154" s="6">
        <f t="shared" si="300"/>
        <v>0</v>
      </c>
    </row>
    <row r="19155" spans="3:4" ht="15" x14ac:dyDescent="0.25">
      <c r="C19155" s="8" t="e">
        <f>VLOOKUP(A:A,'ITEM LIST'!A:C,3,0)</f>
        <v>#N/A</v>
      </c>
      <c r="D19155" s="6">
        <f t="shared" si="300"/>
        <v>0</v>
      </c>
    </row>
    <row r="19156" spans="3:4" ht="15" x14ac:dyDescent="0.25">
      <c r="C19156" s="8" t="e">
        <f>VLOOKUP(A:A,'ITEM LIST'!A:C,3,0)</f>
        <v>#N/A</v>
      </c>
      <c r="D19156" s="6">
        <f t="shared" si="300"/>
        <v>0</v>
      </c>
    </row>
    <row r="19157" spans="3:4" ht="15" x14ac:dyDescent="0.25">
      <c r="C19157" s="8" t="e">
        <f>VLOOKUP(A:A,'ITEM LIST'!A:C,3,0)</f>
        <v>#N/A</v>
      </c>
      <c r="D19157" s="6">
        <f t="shared" si="300"/>
        <v>0</v>
      </c>
    </row>
    <row r="19158" spans="3:4" ht="15" x14ac:dyDescent="0.25">
      <c r="C19158" s="8" t="e">
        <f>VLOOKUP(A:A,'ITEM LIST'!A:C,3,0)</f>
        <v>#N/A</v>
      </c>
      <c r="D19158" s="6">
        <f t="shared" si="300"/>
        <v>0</v>
      </c>
    </row>
    <row r="19159" spans="3:4" ht="15" x14ac:dyDescent="0.25">
      <c r="C19159" s="8" t="e">
        <f>VLOOKUP(A:A,'ITEM LIST'!A:C,3,0)</f>
        <v>#N/A</v>
      </c>
      <c r="D19159" s="6">
        <f t="shared" si="300"/>
        <v>0</v>
      </c>
    </row>
    <row r="19160" spans="3:4" ht="15" x14ac:dyDescent="0.25">
      <c r="C19160" s="8" t="e">
        <f>VLOOKUP(A:A,'ITEM LIST'!A:C,3,0)</f>
        <v>#N/A</v>
      </c>
      <c r="D19160" s="6">
        <f t="shared" si="300"/>
        <v>0</v>
      </c>
    </row>
    <row r="19161" spans="3:4" ht="15" x14ac:dyDescent="0.25">
      <c r="C19161" s="8" t="e">
        <f>VLOOKUP(A:A,'ITEM LIST'!A:C,3,0)</f>
        <v>#N/A</v>
      </c>
      <c r="D19161" s="6">
        <f t="shared" si="300"/>
        <v>0</v>
      </c>
    </row>
    <row r="19162" spans="3:4" ht="15" x14ac:dyDescent="0.25">
      <c r="C19162" s="8" t="e">
        <f>VLOOKUP(A:A,'ITEM LIST'!A:C,3,0)</f>
        <v>#N/A</v>
      </c>
      <c r="D19162" s="6">
        <f t="shared" si="300"/>
        <v>0</v>
      </c>
    </row>
    <row r="19163" spans="3:4" ht="15" x14ac:dyDescent="0.25">
      <c r="C19163" s="8" t="e">
        <f>VLOOKUP(A:A,'ITEM LIST'!A:C,3,0)</f>
        <v>#N/A</v>
      </c>
      <c r="D19163" s="6">
        <f t="shared" si="300"/>
        <v>0</v>
      </c>
    </row>
    <row r="19164" spans="3:4" ht="15" x14ac:dyDescent="0.25">
      <c r="C19164" s="8" t="e">
        <f>VLOOKUP(A:A,'ITEM LIST'!A:C,3,0)</f>
        <v>#N/A</v>
      </c>
      <c r="D19164" s="6">
        <f t="shared" si="300"/>
        <v>0</v>
      </c>
    </row>
    <row r="19165" spans="3:4" ht="15" x14ac:dyDescent="0.25">
      <c r="C19165" s="8" t="e">
        <f>VLOOKUP(A:A,'ITEM LIST'!A:C,3,0)</f>
        <v>#N/A</v>
      </c>
      <c r="D19165" s="6">
        <f t="shared" si="300"/>
        <v>0</v>
      </c>
    </row>
    <row r="19166" spans="3:4" ht="15" x14ac:dyDescent="0.25">
      <c r="C19166" s="8" t="e">
        <f>VLOOKUP(A:A,'ITEM LIST'!A:C,3,0)</f>
        <v>#N/A</v>
      </c>
      <c r="D19166" s="6">
        <f t="shared" si="300"/>
        <v>0</v>
      </c>
    </row>
    <row r="19167" spans="3:4" ht="15" x14ac:dyDescent="0.25">
      <c r="C19167" s="8" t="e">
        <f>VLOOKUP(A:A,'ITEM LIST'!A:C,3,0)</f>
        <v>#N/A</v>
      </c>
      <c r="D19167" s="6">
        <f t="shared" si="300"/>
        <v>0</v>
      </c>
    </row>
    <row r="19168" spans="3:4" ht="15" x14ac:dyDescent="0.25">
      <c r="C19168" s="8" t="e">
        <f>VLOOKUP(A:A,'ITEM LIST'!A:C,3,0)</f>
        <v>#N/A</v>
      </c>
      <c r="D19168" s="6">
        <f t="shared" si="300"/>
        <v>0</v>
      </c>
    </row>
    <row r="19169" spans="3:4" ht="15" x14ac:dyDescent="0.25">
      <c r="C19169" s="8" t="e">
        <f>VLOOKUP(A:A,'ITEM LIST'!A:C,3,0)</f>
        <v>#N/A</v>
      </c>
      <c r="D19169" s="6">
        <f t="shared" si="300"/>
        <v>0</v>
      </c>
    </row>
    <row r="19170" spans="3:4" ht="15" x14ac:dyDescent="0.25">
      <c r="C19170" s="8" t="e">
        <f>VLOOKUP(A:A,'ITEM LIST'!A:C,3,0)</f>
        <v>#N/A</v>
      </c>
      <c r="D19170" s="6">
        <f t="shared" si="300"/>
        <v>0</v>
      </c>
    </row>
    <row r="19171" spans="3:4" ht="15" x14ac:dyDescent="0.25">
      <c r="C19171" s="8" t="e">
        <f>VLOOKUP(A:A,'ITEM LIST'!A:C,3,0)</f>
        <v>#N/A</v>
      </c>
      <c r="D19171" s="6">
        <f t="shared" si="300"/>
        <v>0</v>
      </c>
    </row>
    <row r="19172" spans="3:4" ht="15" x14ac:dyDescent="0.25">
      <c r="C19172" s="8" t="e">
        <f>VLOOKUP(A:A,'ITEM LIST'!A:C,3,0)</f>
        <v>#N/A</v>
      </c>
      <c r="D19172" s="6">
        <f t="shared" si="300"/>
        <v>0</v>
      </c>
    </row>
    <row r="19173" spans="3:4" ht="15" x14ac:dyDescent="0.25">
      <c r="C19173" s="8" t="e">
        <f>VLOOKUP(A:A,'ITEM LIST'!A:C,3,0)</f>
        <v>#N/A</v>
      </c>
      <c r="D19173" s="6">
        <f t="shared" si="300"/>
        <v>0</v>
      </c>
    </row>
    <row r="19174" spans="3:4" ht="15" x14ac:dyDescent="0.25">
      <c r="C19174" s="8" t="e">
        <f>VLOOKUP(A:A,'ITEM LIST'!A:C,3,0)</f>
        <v>#N/A</v>
      </c>
      <c r="D19174" s="6">
        <f t="shared" si="300"/>
        <v>0</v>
      </c>
    </row>
    <row r="19175" spans="3:4" ht="15" x14ac:dyDescent="0.25">
      <c r="C19175" s="8" t="e">
        <f>VLOOKUP(A:A,'ITEM LIST'!A:C,3,0)</f>
        <v>#N/A</v>
      </c>
      <c r="D19175" s="6">
        <f t="shared" si="300"/>
        <v>0</v>
      </c>
    </row>
    <row r="19176" spans="3:4" ht="15" x14ac:dyDescent="0.25">
      <c r="C19176" s="8" t="e">
        <f>VLOOKUP(A:A,'ITEM LIST'!A:C,3,0)</f>
        <v>#N/A</v>
      </c>
      <c r="D19176" s="6">
        <f t="shared" si="300"/>
        <v>0</v>
      </c>
    </row>
    <row r="19177" spans="3:4" ht="15" x14ac:dyDescent="0.25">
      <c r="C19177" s="8" t="e">
        <f>VLOOKUP(A:A,'ITEM LIST'!A:C,3,0)</f>
        <v>#N/A</v>
      </c>
      <c r="D19177" s="6">
        <f t="shared" si="300"/>
        <v>0</v>
      </c>
    </row>
    <row r="19178" spans="3:4" ht="15" x14ac:dyDescent="0.25">
      <c r="C19178" s="8" t="e">
        <f>VLOOKUP(A:A,'ITEM LIST'!A:C,3,0)</f>
        <v>#N/A</v>
      </c>
      <c r="D19178" s="6">
        <f t="shared" si="300"/>
        <v>0</v>
      </c>
    </row>
    <row r="19179" spans="3:4" ht="15" x14ac:dyDescent="0.25">
      <c r="C19179" s="8" t="e">
        <f>VLOOKUP(A:A,'ITEM LIST'!A:C,3,0)</f>
        <v>#N/A</v>
      </c>
      <c r="D19179" s="6">
        <f t="shared" si="300"/>
        <v>0</v>
      </c>
    </row>
    <row r="19180" spans="3:4" ht="15" x14ac:dyDescent="0.25">
      <c r="C19180" s="8" t="e">
        <f>VLOOKUP(A:A,'ITEM LIST'!A:C,3,0)</f>
        <v>#N/A</v>
      </c>
      <c r="D19180" s="6">
        <f t="shared" si="300"/>
        <v>0</v>
      </c>
    </row>
    <row r="19181" spans="3:4" ht="15" x14ac:dyDescent="0.25">
      <c r="C19181" s="8" t="e">
        <f>VLOOKUP(A:A,'ITEM LIST'!A:C,3,0)</f>
        <v>#N/A</v>
      </c>
      <c r="D19181" s="6">
        <f t="shared" si="300"/>
        <v>0</v>
      </c>
    </row>
    <row r="19182" spans="3:4" ht="15" x14ac:dyDescent="0.25">
      <c r="C19182" s="8" t="e">
        <f>VLOOKUP(A:A,'ITEM LIST'!A:C,3,0)</f>
        <v>#N/A</v>
      </c>
      <c r="D19182" s="6">
        <f t="shared" si="300"/>
        <v>0</v>
      </c>
    </row>
    <row r="19183" spans="3:4" ht="15" x14ac:dyDescent="0.25">
      <c r="C19183" s="8" t="e">
        <f>VLOOKUP(A:A,'ITEM LIST'!A:C,3,0)</f>
        <v>#N/A</v>
      </c>
      <c r="D19183" s="6">
        <f t="shared" si="300"/>
        <v>0</v>
      </c>
    </row>
    <row r="19184" spans="3:4" ht="15" x14ac:dyDescent="0.25">
      <c r="C19184" s="8" t="e">
        <f>VLOOKUP(A:A,'ITEM LIST'!A:C,3,0)</f>
        <v>#N/A</v>
      </c>
      <c r="D19184" s="6">
        <f t="shared" si="300"/>
        <v>0</v>
      </c>
    </row>
    <row r="19185" spans="3:4" ht="15" x14ac:dyDescent="0.25">
      <c r="C19185" s="8" t="e">
        <f>VLOOKUP(A:A,'ITEM LIST'!A:C,3,0)</f>
        <v>#N/A</v>
      </c>
      <c r="D19185" s="6">
        <f t="shared" si="300"/>
        <v>0</v>
      </c>
    </row>
    <row r="19186" spans="3:4" ht="15" x14ac:dyDescent="0.25">
      <c r="C19186" s="8" t="e">
        <f>VLOOKUP(A:A,'ITEM LIST'!A:C,3,0)</f>
        <v>#N/A</v>
      </c>
      <c r="D19186" s="6">
        <f t="shared" si="300"/>
        <v>0</v>
      </c>
    </row>
    <row r="19187" spans="3:4" ht="15" x14ac:dyDescent="0.25">
      <c r="C19187" s="8" t="e">
        <f>VLOOKUP(A:A,'ITEM LIST'!A:C,3,0)</f>
        <v>#N/A</v>
      </c>
      <c r="D19187" s="6">
        <f t="shared" si="300"/>
        <v>0</v>
      </c>
    </row>
    <row r="19188" spans="3:4" ht="15" x14ac:dyDescent="0.25">
      <c r="C19188" s="8" t="e">
        <f>VLOOKUP(A:A,'ITEM LIST'!A:C,3,0)</f>
        <v>#N/A</v>
      </c>
      <c r="D19188" s="6">
        <f t="shared" si="300"/>
        <v>0</v>
      </c>
    </row>
    <row r="19189" spans="3:4" ht="15" x14ac:dyDescent="0.25">
      <c r="C19189" s="8" t="e">
        <f>VLOOKUP(A:A,'ITEM LIST'!A:C,3,0)</f>
        <v>#N/A</v>
      </c>
      <c r="D19189" s="6">
        <f t="shared" si="300"/>
        <v>0</v>
      </c>
    </row>
    <row r="19190" spans="3:4" ht="15" x14ac:dyDescent="0.25">
      <c r="C19190" s="8" t="e">
        <f>VLOOKUP(A:A,'ITEM LIST'!A:C,3,0)</f>
        <v>#N/A</v>
      </c>
      <c r="D19190" s="6">
        <f t="shared" si="300"/>
        <v>0</v>
      </c>
    </row>
    <row r="19191" spans="3:4" ht="15" x14ac:dyDescent="0.25">
      <c r="C19191" s="8" t="e">
        <f>VLOOKUP(A:A,'ITEM LIST'!A:C,3,0)</f>
        <v>#N/A</v>
      </c>
      <c r="D19191" s="6">
        <f t="shared" si="300"/>
        <v>0</v>
      </c>
    </row>
    <row r="19192" spans="3:4" ht="15" x14ac:dyDescent="0.25">
      <c r="C19192" s="8" t="e">
        <f>VLOOKUP(A:A,'ITEM LIST'!A:C,3,0)</f>
        <v>#N/A</v>
      </c>
      <c r="D19192" s="6">
        <f t="shared" si="300"/>
        <v>0</v>
      </c>
    </row>
    <row r="19193" spans="3:4" ht="15" x14ac:dyDescent="0.25">
      <c r="C19193" s="8" t="e">
        <f>VLOOKUP(A:A,'ITEM LIST'!A:C,3,0)</f>
        <v>#N/A</v>
      </c>
      <c r="D19193" s="6">
        <f t="shared" si="300"/>
        <v>0</v>
      </c>
    </row>
    <row r="19194" spans="3:4" ht="15" x14ac:dyDescent="0.25">
      <c r="C19194" s="8" t="e">
        <f>VLOOKUP(A:A,'ITEM LIST'!A:C,3,0)</f>
        <v>#N/A</v>
      </c>
      <c r="D19194" s="6">
        <f t="shared" si="300"/>
        <v>0</v>
      </c>
    </row>
    <row r="19195" spans="3:4" ht="15" x14ac:dyDescent="0.25">
      <c r="C19195" s="8" t="e">
        <f>VLOOKUP(A:A,'ITEM LIST'!A:C,3,0)</f>
        <v>#N/A</v>
      </c>
      <c r="D19195" s="6">
        <f t="shared" si="300"/>
        <v>0</v>
      </c>
    </row>
    <row r="19196" spans="3:4" ht="15" x14ac:dyDescent="0.25">
      <c r="C19196" s="8" t="e">
        <f>VLOOKUP(A:A,'ITEM LIST'!A:C,3,0)</f>
        <v>#N/A</v>
      </c>
      <c r="D19196" s="6">
        <f t="shared" si="300"/>
        <v>0</v>
      </c>
    </row>
    <row r="19197" spans="3:4" ht="15" x14ac:dyDescent="0.25">
      <c r="C19197" s="8" t="e">
        <f>VLOOKUP(A:A,'ITEM LIST'!A:C,3,0)</f>
        <v>#N/A</v>
      </c>
      <c r="D19197" s="6">
        <f t="shared" si="300"/>
        <v>0</v>
      </c>
    </row>
    <row r="19198" spans="3:4" ht="15" x14ac:dyDescent="0.25">
      <c r="C19198" s="8" t="e">
        <f>VLOOKUP(A:A,'ITEM LIST'!A:C,3,0)</f>
        <v>#N/A</v>
      </c>
      <c r="D19198" s="6">
        <f t="shared" si="300"/>
        <v>0</v>
      </c>
    </row>
    <row r="19199" spans="3:4" ht="15" x14ac:dyDescent="0.25">
      <c r="C19199" s="8" t="e">
        <f>VLOOKUP(A:A,'ITEM LIST'!A:C,3,0)</f>
        <v>#N/A</v>
      </c>
      <c r="D19199" s="6">
        <f t="shared" si="300"/>
        <v>0</v>
      </c>
    </row>
    <row r="19200" spans="3:4" ht="15" x14ac:dyDescent="0.25">
      <c r="C19200" s="8" t="e">
        <f>VLOOKUP(A:A,'ITEM LIST'!A:C,3,0)</f>
        <v>#N/A</v>
      </c>
      <c r="D19200" s="6">
        <f t="shared" si="300"/>
        <v>0</v>
      </c>
    </row>
    <row r="19201" spans="3:4" ht="15" x14ac:dyDescent="0.25">
      <c r="C19201" s="8" t="e">
        <f>VLOOKUP(A:A,'ITEM LIST'!A:C,3,0)</f>
        <v>#N/A</v>
      </c>
      <c r="D19201" s="6">
        <f t="shared" si="300"/>
        <v>0</v>
      </c>
    </row>
    <row r="19202" spans="3:4" ht="15" x14ac:dyDescent="0.25">
      <c r="C19202" s="8" t="e">
        <f>VLOOKUP(A:A,'ITEM LIST'!A:C,3,0)</f>
        <v>#N/A</v>
      </c>
      <c r="D19202" s="6">
        <f t="shared" si="300"/>
        <v>0</v>
      </c>
    </row>
    <row r="19203" spans="3:4" ht="15" x14ac:dyDescent="0.25">
      <c r="C19203" s="8" t="e">
        <f>VLOOKUP(A:A,'ITEM LIST'!A:C,3,0)</f>
        <v>#N/A</v>
      </c>
      <c r="D19203" s="6">
        <f t="shared" si="300"/>
        <v>0</v>
      </c>
    </row>
    <row r="19204" spans="3:4" ht="15" x14ac:dyDescent="0.25">
      <c r="C19204" s="8" t="e">
        <f>VLOOKUP(A:A,'ITEM LIST'!A:C,3,0)</f>
        <v>#N/A</v>
      </c>
      <c r="D19204" s="6">
        <f t="shared" si="300"/>
        <v>0</v>
      </c>
    </row>
    <row r="19205" spans="3:4" ht="15" x14ac:dyDescent="0.25">
      <c r="C19205" s="8" t="e">
        <f>VLOOKUP(A:A,'ITEM LIST'!A:C,3,0)</f>
        <v>#N/A</v>
      </c>
      <c r="D19205" s="6">
        <f t="shared" si="300"/>
        <v>0</v>
      </c>
    </row>
    <row r="19206" spans="3:4" ht="15" x14ac:dyDescent="0.25">
      <c r="C19206" s="8" t="e">
        <f>VLOOKUP(A:A,'ITEM LIST'!A:C,3,0)</f>
        <v>#N/A</v>
      </c>
      <c r="D19206" s="6">
        <f t="shared" ref="D19206:D19269" si="301">B19206</f>
        <v>0</v>
      </c>
    </row>
    <row r="19207" spans="3:4" ht="15" x14ac:dyDescent="0.25">
      <c r="C19207" s="8" t="e">
        <f>VLOOKUP(A:A,'ITEM LIST'!A:C,3,0)</f>
        <v>#N/A</v>
      </c>
      <c r="D19207" s="6">
        <f t="shared" si="301"/>
        <v>0</v>
      </c>
    </row>
    <row r="19208" spans="3:4" ht="15" x14ac:dyDescent="0.25">
      <c r="C19208" s="8" t="e">
        <f>VLOOKUP(A:A,'ITEM LIST'!A:C,3,0)</f>
        <v>#N/A</v>
      </c>
      <c r="D19208" s="6">
        <f t="shared" si="301"/>
        <v>0</v>
      </c>
    </row>
    <row r="19209" spans="3:4" ht="15" x14ac:dyDescent="0.25">
      <c r="C19209" s="8" t="e">
        <f>VLOOKUP(A:A,'ITEM LIST'!A:C,3,0)</f>
        <v>#N/A</v>
      </c>
      <c r="D19209" s="6">
        <f t="shared" si="301"/>
        <v>0</v>
      </c>
    </row>
    <row r="19210" spans="3:4" ht="15" x14ac:dyDescent="0.25">
      <c r="C19210" s="8" t="e">
        <f>VLOOKUP(A:A,'ITEM LIST'!A:C,3,0)</f>
        <v>#N/A</v>
      </c>
      <c r="D19210" s="6">
        <f t="shared" si="301"/>
        <v>0</v>
      </c>
    </row>
    <row r="19211" spans="3:4" ht="15" x14ac:dyDescent="0.25">
      <c r="C19211" s="8" t="e">
        <f>VLOOKUP(A:A,'ITEM LIST'!A:C,3,0)</f>
        <v>#N/A</v>
      </c>
      <c r="D19211" s="6">
        <f t="shared" si="301"/>
        <v>0</v>
      </c>
    </row>
    <row r="19212" spans="3:4" ht="15" x14ac:dyDescent="0.25">
      <c r="C19212" s="8" t="e">
        <f>VLOOKUP(A:A,'ITEM LIST'!A:C,3,0)</f>
        <v>#N/A</v>
      </c>
      <c r="D19212" s="6">
        <f t="shared" si="301"/>
        <v>0</v>
      </c>
    </row>
    <row r="19213" spans="3:4" ht="15" x14ac:dyDescent="0.25">
      <c r="C19213" s="8" t="e">
        <f>VLOOKUP(A:A,'ITEM LIST'!A:C,3,0)</f>
        <v>#N/A</v>
      </c>
      <c r="D19213" s="6">
        <f t="shared" si="301"/>
        <v>0</v>
      </c>
    </row>
    <row r="19214" spans="3:4" ht="15" x14ac:dyDescent="0.25">
      <c r="C19214" s="8" t="e">
        <f>VLOOKUP(A:A,'ITEM LIST'!A:C,3,0)</f>
        <v>#N/A</v>
      </c>
      <c r="D19214" s="6">
        <f t="shared" si="301"/>
        <v>0</v>
      </c>
    </row>
    <row r="19215" spans="3:4" ht="15" x14ac:dyDescent="0.25">
      <c r="C19215" s="8" t="e">
        <f>VLOOKUP(A:A,'ITEM LIST'!A:C,3,0)</f>
        <v>#N/A</v>
      </c>
      <c r="D19215" s="6">
        <f t="shared" si="301"/>
        <v>0</v>
      </c>
    </row>
    <row r="19216" spans="3:4" ht="15" x14ac:dyDescent="0.25">
      <c r="C19216" s="8" t="e">
        <f>VLOOKUP(A:A,'ITEM LIST'!A:C,3,0)</f>
        <v>#N/A</v>
      </c>
      <c r="D19216" s="6">
        <f t="shared" si="301"/>
        <v>0</v>
      </c>
    </row>
    <row r="19217" spans="3:4" ht="15" x14ac:dyDescent="0.25">
      <c r="C19217" s="8" t="e">
        <f>VLOOKUP(A:A,'ITEM LIST'!A:C,3,0)</f>
        <v>#N/A</v>
      </c>
      <c r="D19217" s="6">
        <f t="shared" si="301"/>
        <v>0</v>
      </c>
    </row>
    <row r="19218" spans="3:4" ht="15" x14ac:dyDescent="0.25">
      <c r="C19218" s="8" t="e">
        <f>VLOOKUP(A:A,'ITEM LIST'!A:C,3,0)</f>
        <v>#N/A</v>
      </c>
      <c r="D19218" s="6">
        <f t="shared" si="301"/>
        <v>0</v>
      </c>
    </row>
    <row r="19219" spans="3:4" ht="15" x14ac:dyDescent="0.25">
      <c r="C19219" s="8" t="e">
        <f>VLOOKUP(A:A,'ITEM LIST'!A:C,3,0)</f>
        <v>#N/A</v>
      </c>
      <c r="D19219" s="6">
        <f t="shared" si="301"/>
        <v>0</v>
      </c>
    </row>
    <row r="19220" spans="3:4" ht="15" x14ac:dyDescent="0.25">
      <c r="C19220" s="8" t="e">
        <f>VLOOKUP(A:A,'ITEM LIST'!A:C,3,0)</f>
        <v>#N/A</v>
      </c>
      <c r="D19220" s="6">
        <f t="shared" si="301"/>
        <v>0</v>
      </c>
    </row>
    <row r="19221" spans="3:4" ht="15" x14ac:dyDescent="0.25">
      <c r="C19221" s="8" t="e">
        <f>VLOOKUP(A:A,'ITEM LIST'!A:C,3,0)</f>
        <v>#N/A</v>
      </c>
      <c r="D19221" s="6">
        <f t="shared" si="301"/>
        <v>0</v>
      </c>
    </row>
    <row r="19222" spans="3:4" ht="15" x14ac:dyDescent="0.25">
      <c r="C19222" s="8" t="e">
        <f>VLOOKUP(A:A,'ITEM LIST'!A:C,3,0)</f>
        <v>#N/A</v>
      </c>
      <c r="D19222" s="6">
        <f t="shared" si="301"/>
        <v>0</v>
      </c>
    </row>
    <row r="19223" spans="3:4" ht="15" x14ac:dyDescent="0.25">
      <c r="C19223" s="8" t="e">
        <f>VLOOKUP(A:A,'ITEM LIST'!A:C,3,0)</f>
        <v>#N/A</v>
      </c>
      <c r="D19223" s="6">
        <f t="shared" si="301"/>
        <v>0</v>
      </c>
    </row>
    <row r="19224" spans="3:4" ht="15" x14ac:dyDescent="0.25">
      <c r="C19224" s="8" t="e">
        <f>VLOOKUP(A:A,'ITEM LIST'!A:C,3,0)</f>
        <v>#N/A</v>
      </c>
      <c r="D19224" s="6">
        <f t="shared" si="301"/>
        <v>0</v>
      </c>
    </row>
    <row r="19225" spans="3:4" ht="15" x14ac:dyDescent="0.25">
      <c r="C19225" s="8" t="e">
        <f>VLOOKUP(A:A,'ITEM LIST'!A:C,3,0)</f>
        <v>#N/A</v>
      </c>
      <c r="D19225" s="6">
        <f t="shared" si="301"/>
        <v>0</v>
      </c>
    </row>
    <row r="19226" spans="3:4" ht="15" x14ac:dyDescent="0.25">
      <c r="C19226" s="8" t="e">
        <f>VLOOKUP(A:A,'ITEM LIST'!A:C,3,0)</f>
        <v>#N/A</v>
      </c>
      <c r="D19226" s="6">
        <f t="shared" si="301"/>
        <v>0</v>
      </c>
    </row>
    <row r="19227" spans="3:4" ht="15" x14ac:dyDescent="0.25">
      <c r="C19227" s="8" t="e">
        <f>VLOOKUP(A:A,'ITEM LIST'!A:C,3,0)</f>
        <v>#N/A</v>
      </c>
      <c r="D19227" s="6">
        <f t="shared" si="301"/>
        <v>0</v>
      </c>
    </row>
    <row r="19228" spans="3:4" ht="15" x14ac:dyDescent="0.25">
      <c r="C19228" s="8" t="e">
        <f>VLOOKUP(A:A,'ITEM LIST'!A:C,3,0)</f>
        <v>#N/A</v>
      </c>
      <c r="D19228" s="6">
        <f t="shared" si="301"/>
        <v>0</v>
      </c>
    </row>
    <row r="19229" spans="3:4" ht="15" x14ac:dyDescent="0.25">
      <c r="C19229" s="8" t="e">
        <f>VLOOKUP(A:A,'ITEM LIST'!A:C,3,0)</f>
        <v>#N/A</v>
      </c>
      <c r="D19229" s="6">
        <f t="shared" si="301"/>
        <v>0</v>
      </c>
    </row>
    <row r="19230" spans="3:4" ht="15" x14ac:dyDescent="0.25">
      <c r="C19230" s="8" t="e">
        <f>VLOOKUP(A:A,'ITEM LIST'!A:C,3,0)</f>
        <v>#N/A</v>
      </c>
      <c r="D19230" s="6">
        <f t="shared" si="301"/>
        <v>0</v>
      </c>
    </row>
    <row r="19231" spans="3:4" ht="15" x14ac:dyDescent="0.25">
      <c r="C19231" s="8" t="e">
        <f>VLOOKUP(A:A,'ITEM LIST'!A:C,3,0)</f>
        <v>#N/A</v>
      </c>
      <c r="D19231" s="6">
        <f t="shared" si="301"/>
        <v>0</v>
      </c>
    </row>
    <row r="19232" spans="3:4" ht="15" x14ac:dyDescent="0.25">
      <c r="C19232" s="8" t="e">
        <f>VLOOKUP(A:A,'ITEM LIST'!A:C,3,0)</f>
        <v>#N/A</v>
      </c>
      <c r="D19232" s="6">
        <f t="shared" si="301"/>
        <v>0</v>
      </c>
    </row>
    <row r="19233" spans="3:4" ht="15" x14ac:dyDescent="0.25">
      <c r="C19233" s="8" t="e">
        <f>VLOOKUP(A:A,'ITEM LIST'!A:C,3,0)</f>
        <v>#N/A</v>
      </c>
      <c r="D19233" s="6">
        <f t="shared" si="301"/>
        <v>0</v>
      </c>
    </row>
    <row r="19234" spans="3:4" ht="15" x14ac:dyDescent="0.25">
      <c r="C19234" s="8" t="e">
        <f>VLOOKUP(A:A,'ITEM LIST'!A:C,3,0)</f>
        <v>#N/A</v>
      </c>
      <c r="D19234" s="6">
        <f t="shared" si="301"/>
        <v>0</v>
      </c>
    </row>
    <row r="19235" spans="3:4" ht="15" x14ac:dyDescent="0.25">
      <c r="C19235" s="8" t="e">
        <f>VLOOKUP(A:A,'ITEM LIST'!A:C,3,0)</f>
        <v>#N/A</v>
      </c>
      <c r="D19235" s="6">
        <f t="shared" si="301"/>
        <v>0</v>
      </c>
    </row>
    <row r="19236" spans="3:4" ht="15" x14ac:dyDescent="0.25">
      <c r="C19236" s="8" t="e">
        <f>VLOOKUP(A:A,'ITEM LIST'!A:C,3,0)</f>
        <v>#N/A</v>
      </c>
      <c r="D19236" s="6">
        <f t="shared" si="301"/>
        <v>0</v>
      </c>
    </row>
    <row r="19237" spans="3:4" ht="15" x14ac:dyDescent="0.25">
      <c r="C19237" s="8" t="e">
        <f>VLOOKUP(A:A,'ITEM LIST'!A:C,3,0)</f>
        <v>#N/A</v>
      </c>
      <c r="D19237" s="6">
        <f t="shared" si="301"/>
        <v>0</v>
      </c>
    </row>
    <row r="19238" spans="3:4" ht="15" x14ac:dyDescent="0.25">
      <c r="C19238" s="8" t="e">
        <f>VLOOKUP(A:A,'ITEM LIST'!A:C,3,0)</f>
        <v>#N/A</v>
      </c>
      <c r="D19238" s="6">
        <f t="shared" si="301"/>
        <v>0</v>
      </c>
    </row>
    <row r="19239" spans="3:4" ht="15" x14ac:dyDescent="0.25">
      <c r="C19239" s="8" t="e">
        <f>VLOOKUP(A:A,'ITEM LIST'!A:C,3,0)</f>
        <v>#N/A</v>
      </c>
      <c r="D19239" s="6">
        <f t="shared" si="301"/>
        <v>0</v>
      </c>
    </row>
    <row r="19240" spans="3:4" ht="15" x14ac:dyDescent="0.25">
      <c r="C19240" s="8" t="e">
        <f>VLOOKUP(A:A,'ITEM LIST'!A:C,3,0)</f>
        <v>#N/A</v>
      </c>
      <c r="D19240" s="6">
        <f t="shared" si="301"/>
        <v>0</v>
      </c>
    </row>
    <row r="19241" spans="3:4" ht="15" x14ac:dyDescent="0.25">
      <c r="C19241" s="8" t="e">
        <f>VLOOKUP(A:A,'ITEM LIST'!A:C,3,0)</f>
        <v>#N/A</v>
      </c>
      <c r="D19241" s="6">
        <f t="shared" si="301"/>
        <v>0</v>
      </c>
    </row>
    <row r="19242" spans="3:4" ht="15" x14ac:dyDescent="0.25">
      <c r="C19242" s="8" t="e">
        <f>VLOOKUP(A:A,'ITEM LIST'!A:C,3,0)</f>
        <v>#N/A</v>
      </c>
      <c r="D19242" s="6">
        <f t="shared" si="301"/>
        <v>0</v>
      </c>
    </row>
    <row r="19243" spans="3:4" ht="15" x14ac:dyDescent="0.25">
      <c r="C19243" s="8" t="e">
        <f>VLOOKUP(A:A,'ITEM LIST'!A:C,3,0)</f>
        <v>#N/A</v>
      </c>
      <c r="D19243" s="6">
        <f t="shared" si="301"/>
        <v>0</v>
      </c>
    </row>
    <row r="19244" spans="3:4" ht="15" x14ac:dyDescent="0.25">
      <c r="C19244" s="8" t="e">
        <f>VLOOKUP(A:A,'ITEM LIST'!A:C,3,0)</f>
        <v>#N/A</v>
      </c>
      <c r="D19244" s="6">
        <f t="shared" si="301"/>
        <v>0</v>
      </c>
    </row>
    <row r="19245" spans="3:4" ht="15" x14ac:dyDescent="0.25">
      <c r="C19245" s="8" t="e">
        <f>VLOOKUP(A:A,'ITEM LIST'!A:C,3,0)</f>
        <v>#N/A</v>
      </c>
      <c r="D19245" s="6">
        <f t="shared" si="301"/>
        <v>0</v>
      </c>
    </row>
    <row r="19246" spans="3:4" ht="15" x14ac:dyDescent="0.25">
      <c r="C19246" s="8" t="e">
        <f>VLOOKUP(A:A,'ITEM LIST'!A:C,3,0)</f>
        <v>#N/A</v>
      </c>
      <c r="D19246" s="6">
        <f t="shared" si="301"/>
        <v>0</v>
      </c>
    </row>
    <row r="19247" spans="3:4" ht="15" x14ac:dyDescent="0.25">
      <c r="C19247" s="8" t="e">
        <f>VLOOKUP(A:A,'ITEM LIST'!A:C,3,0)</f>
        <v>#N/A</v>
      </c>
      <c r="D19247" s="6">
        <f t="shared" si="301"/>
        <v>0</v>
      </c>
    </row>
    <row r="19248" spans="3:4" ht="15" x14ac:dyDescent="0.25">
      <c r="C19248" s="8" t="e">
        <f>VLOOKUP(A:A,'ITEM LIST'!A:C,3,0)</f>
        <v>#N/A</v>
      </c>
      <c r="D19248" s="6">
        <f t="shared" si="301"/>
        <v>0</v>
      </c>
    </row>
    <row r="19249" spans="3:4" ht="15" x14ac:dyDescent="0.25">
      <c r="C19249" s="8" t="e">
        <f>VLOOKUP(A:A,'ITEM LIST'!A:C,3,0)</f>
        <v>#N/A</v>
      </c>
      <c r="D19249" s="6">
        <f t="shared" si="301"/>
        <v>0</v>
      </c>
    </row>
    <row r="19250" spans="3:4" ht="15" x14ac:dyDescent="0.25">
      <c r="C19250" s="8" t="e">
        <f>VLOOKUP(A:A,'ITEM LIST'!A:C,3,0)</f>
        <v>#N/A</v>
      </c>
      <c r="D19250" s="6">
        <f t="shared" si="301"/>
        <v>0</v>
      </c>
    </row>
    <row r="19251" spans="3:4" ht="15" x14ac:dyDescent="0.25">
      <c r="C19251" s="8" t="e">
        <f>VLOOKUP(A:A,'ITEM LIST'!A:C,3,0)</f>
        <v>#N/A</v>
      </c>
      <c r="D19251" s="6">
        <f t="shared" si="301"/>
        <v>0</v>
      </c>
    </row>
    <row r="19252" spans="3:4" ht="15" x14ac:dyDescent="0.25">
      <c r="C19252" s="8" t="e">
        <f>VLOOKUP(A:A,'ITEM LIST'!A:C,3,0)</f>
        <v>#N/A</v>
      </c>
      <c r="D19252" s="6">
        <f t="shared" si="301"/>
        <v>0</v>
      </c>
    </row>
    <row r="19253" spans="3:4" ht="15" x14ac:dyDescent="0.25">
      <c r="C19253" s="8" t="e">
        <f>VLOOKUP(A:A,'ITEM LIST'!A:C,3,0)</f>
        <v>#N/A</v>
      </c>
      <c r="D19253" s="6">
        <f t="shared" si="301"/>
        <v>0</v>
      </c>
    </row>
    <row r="19254" spans="3:4" ht="15" x14ac:dyDescent="0.25">
      <c r="C19254" s="8" t="e">
        <f>VLOOKUP(A:A,'ITEM LIST'!A:C,3,0)</f>
        <v>#N/A</v>
      </c>
      <c r="D19254" s="6">
        <f t="shared" si="301"/>
        <v>0</v>
      </c>
    </row>
    <row r="19255" spans="3:4" ht="15" x14ac:dyDescent="0.25">
      <c r="C19255" s="8" t="e">
        <f>VLOOKUP(A:A,'ITEM LIST'!A:C,3,0)</f>
        <v>#N/A</v>
      </c>
      <c r="D19255" s="6">
        <f t="shared" si="301"/>
        <v>0</v>
      </c>
    </row>
    <row r="19256" spans="3:4" ht="15" x14ac:dyDescent="0.25">
      <c r="C19256" s="8" t="e">
        <f>VLOOKUP(A:A,'ITEM LIST'!A:C,3,0)</f>
        <v>#N/A</v>
      </c>
      <c r="D19256" s="6">
        <f t="shared" si="301"/>
        <v>0</v>
      </c>
    </row>
    <row r="19257" spans="3:4" ht="15" x14ac:dyDescent="0.25">
      <c r="C19257" s="8" t="e">
        <f>VLOOKUP(A:A,'ITEM LIST'!A:C,3,0)</f>
        <v>#N/A</v>
      </c>
      <c r="D19257" s="6">
        <f t="shared" si="301"/>
        <v>0</v>
      </c>
    </row>
    <row r="19258" spans="3:4" ht="15" x14ac:dyDescent="0.25">
      <c r="C19258" s="8" t="e">
        <f>VLOOKUP(A:A,'ITEM LIST'!A:C,3,0)</f>
        <v>#N/A</v>
      </c>
      <c r="D19258" s="6">
        <f t="shared" si="301"/>
        <v>0</v>
      </c>
    </row>
    <row r="19259" spans="3:4" ht="15" x14ac:dyDescent="0.25">
      <c r="C19259" s="8" t="e">
        <f>VLOOKUP(A:A,'ITEM LIST'!A:C,3,0)</f>
        <v>#N/A</v>
      </c>
      <c r="D19259" s="6">
        <f t="shared" si="301"/>
        <v>0</v>
      </c>
    </row>
    <row r="19260" spans="3:4" ht="15" x14ac:dyDescent="0.25">
      <c r="C19260" s="8" t="e">
        <f>VLOOKUP(A:A,'ITEM LIST'!A:C,3,0)</f>
        <v>#N/A</v>
      </c>
      <c r="D19260" s="6">
        <f t="shared" si="301"/>
        <v>0</v>
      </c>
    </row>
    <row r="19261" spans="3:4" ht="15" x14ac:dyDescent="0.25">
      <c r="C19261" s="8" t="e">
        <f>VLOOKUP(A:A,'ITEM LIST'!A:C,3,0)</f>
        <v>#N/A</v>
      </c>
      <c r="D19261" s="6">
        <f t="shared" si="301"/>
        <v>0</v>
      </c>
    </row>
    <row r="19262" spans="3:4" ht="15" x14ac:dyDescent="0.25">
      <c r="C19262" s="8" t="e">
        <f>VLOOKUP(A:A,'ITEM LIST'!A:C,3,0)</f>
        <v>#N/A</v>
      </c>
      <c r="D19262" s="6">
        <f t="shared" si="301"/>
        <v>0</v>
      </c>
    </row>
    <row r="19263" spans="3:4" ht="15" x14ac:dyDescent="0.25">
      <c r="C19263" s="8" t="e">
        <f>VLOOKUP(A:A,'ITEM LIST'!A:C,3,0)</f>
        <v>#N/A</v>
      </c>
      <c r="D19263" s="6">
        <f t="shared" si="301"/>
        <v>0</v>
      </c>
    </row>
    <row r="19264" spans="3:4" ht="15" x14ac:dyDescent="0.25">
      <c r="C19264" s="8" t="e">
        <f>VLOOKUP(A:A,'ITEM LIST'!A:C,3,0)</f>
        <v>#N/A</v>
      </c>
      <c r="D19264" s="6">
        <f t="shared" si="301"/>
        <v>0</v>
      </c>
    </row>
    <row r="19265" spans="3:4" ht="15" x14ac:dyDescent="0.25">
      <c r="C19265" s="8" t="e">
        <f>VLOOKUP(A:A,'ITEM LIST'!A:C,3,0)</f>
        <v>#N/A</v>
      </c>
      <c r="D19265" s="6">
        <f t="shared" si="301"/>
        <v>0</v>
      </c>
    </row>
    <row r="19266" spans="3:4" ht="15" x14ac:dyDescent="0.25">
      <c r="C19266" s="8" t="e">
        <f>VLOOKUP(A:A,'ITEM LIST'!A:C,3,0)</f>
        <v>#N/A</v>
      </c>
      <c r="D19266" s="6">
        <f t="shared" si="301"/>
        <v>0</v>
      </c>
    </row>
    <row r="19267" spans="3:4" ht="15" x14ac:dyDescent="0.25">
      <c r="C19267" s="8" t="e">
        <f>VLOOKUP(A:A,'ITEM LIST'!A:C,3,0)</f>
        <v>#N/A</v>
      </c>
      <c r="D19267" s="6">
        <f t="shared" si="301"/>
        <v>0</v>
      </c>
    </row>
    <row r="19268" spans="3:4" ht="15" x14ac:dyDescent="0.25">
      <c r="C19268" s="8" t="e">
        <f>VLOOKUP(A:A,'ITEM LIST'!A:C,3,0)</f>
        <v>#N/A</v>
      </c>
      <c r="D19268" s="6">
        <f t="shared" si="301"/>
        <v>0</v>
      </c>
    </row>
    <row r="19269" spans="3:4" ht="15" x14ac:dyDescent="0.25">
      <c r="C19269" s="8" t="e">
        <f>VLOOKUP(A:A,'ITEM LIST'!A:C,3,0)</f>
        <v>#N/A</v>
      </c>
      <c r="D19269" s="6">
        <f t="shared" si="301"/>
        <v>0</v>
      </c>
    </row>
    <row r="19270" spans="3:4" ht="15" x14ac:dyDescent="0.25">
      <c r="C19270" s="8" t="e">
        <f>VLOOKUP(A:A,'ITEM LIST'!A:C,3,0)</f>
        <v>#N/A</v>
      </c>
      <c r="D19270" s="6">
        <f t="shared" ref="D19270:D19333" si="302">B19270</f>
        <v>0</v>
      </c>
    </row>
    <row r="19271" spans="3:4" ht="15" x14ac:dyDescent="0.25">
      <c r="C19271" s="8" t="e">
        <f>VLOOKUP(A:A,'ITEM LIST'!A:C,3,0)</f>
        <v>#N/A</v>
      </c>
      <c r="D19271" s="6">
        <f t="shared" si="302"/>
        <v>0</v>
      </c>
    </row>
    <row r="19272" spans="3:4" ht="15" x14ac:dyDescent="0.25">
      <c r="C19272" s="8" t="e">
        <f>VLOOKUP(A:A,'ITEM LIST'!A:C,3,0)</f>
        <v>#N/A</v>
      </c>
      <c r="D19272" s="6">
        <f t="shared" si="302"/>
        <v>0</v>
      </c>
    </row>
    <row r="19273" spans="3:4" ht="15" x14ac:dyDescent="0.25">
      <c r="C19273" s="8" t="e">
        <f>VLOOKUP(A:A,'ITEM LIST'!A:C,3,0)</f>
        <v>#N/A</v>
      </c>
      <c r="D19273" s="6">
        <f t="shared" si="302"/>
        <v>0</v>
      </c>
    </row>
    <row r="19274" spans="3:4" ht="15" x14ac:dyDescent="0.25">
      <c r="C19274" s="8" t="e">
        <f>VLOOKUP(A:A,'ITEM LIST'!A:C,3,0)</f>
        <v>#N/A</v>
      </c>
      <c r="D19274" s="6">
        <f t="shared" si="302"/>
        <v>0</v>
      </c>
    </row>
    <row r="19275" spans="3:4" ht="15" x14ac:dyDescent="0.25">
      <c r="C19275" s="8" t="e">
        <f>VLOOKUP(A:A,'ITEM LIST'!A:C,3,0)</f>
        <v>#N/A</v>
      </c>
      <c r="D19275" s="6">
        <f t="shared" si="302"/>
        <v>0</v>
      </c>
    </row>
    <row r="19276" spans="3:4" ht="15" x14ac:dyDescent="0.25">
      <c r="C19276" s="8" t="e">
        <f>VLOOKUP(A:A,'ITEM LIST'!A:C,3,0)</f>
        <v>#N/A</v>
      </c>
      <c r="D19276" s="6">
        <f t="shared" si="302"/>
        <v>0</v>
      </c>
    </row>
    <row r="19277" spans="3:4" ht="15" x14ac:dyDescent="0.25">
      <c r="C19277" s="8" t="e">
        <f>VLOOKUP(A:A,'ITEM LIST'!A:C,3,0)</f>
        <v>#N/A</v>
      </c>
      <c r="D19277" s="6">
        <f t="shared" si="302"/>
        <v>0</v>
      </c>
    </row>
    <row r="19278" spans="3:4" ht="15" x14ac:dyDescent="0.25">
      <c r="C19278" s="8" t="e">
        <f>VLOOKUP(A:A,'ITEM LIST'!A:C,3,0)</f>
        <v>#N/A</v>
      </c>
      <c r="D19278" s="6">
        <f t="shared" si="302"/>
        <v>0</v>
      </c>
    </row>
    <row r="19279" spans="3:4" ht="15" x14ac:dyDescent="0.25">
      <c r="C19279" s="8" t="e">
        <f>VLOOKUP(A:A,'ITEM LIST'!A:C,3,0)</f>
        <v>#N/A</v>
      </c>
      <c r="D19279" s="6">
        <f t="shared" si="302"/>
        <v>0</v>
      </c>
    </row>
    <row r="19280" spans="3:4" ht="15" x14ac:dyDescent="0.25">
      <c r="C19280" s="8" t="e">
        <f>VLOOKUP(A:A,'ITEM LIST'!A:C,3,0)</f>
        <v>#N/A</v>
      </c>
      <c r="D19280" s="6">
        <f t="shared" si="302"/>
        <v>0</v>
      </c>
    </row>
    <row r="19281" spans="3:4" ht="15" x14ac:dyDescent="0.25">
      <c r="C19281" s="8" t="e">
        <f>VLOOKUP(A:A,'ITEM LIST'!A:C,3,0)</f>
        <v>#N/A</v>
      </c>
      <c r="D19281" s="6">
        <f t="shared" si="302"/>
        <v>0</v>
      </c>
    </row>
    <row r="19282" spans="3:4" ht="15" x14ac:dyDescent="0.25">
      <c r="C19282" s="8" t="e">
        <f>VLOOKUP(A:A,'ITEM LIST'!A:C,3,0)</f>
        <v>#N/A</v>
      </c>
      <c r="D19282" s="6">
        <f t="shared" si="302"/>
        <v>0</v>
      </c>
    </row>
    <row r="19283" spans="3:4" ht="15" x14ac:dyDescent="0.25">
      <c r="C19283" s="8" t="e">
        <f>VLOOKUP(A:A,'ITEM LIST'!A:C,3,0)</f>
        <v>#N/A</v>
      </c>
      <c r="D19283" s="6">
        <f t="shared" si="302"/>
        <v>0</v>
      </c>
    </row>
    <row r="19284" spans="3:4" ht="15" x14ac:dyDescent="0.25">
      <c r="C19284" s="8" t="e">
        <f>VLOOKUP(A:A,'ITEM LIST'!A:C,3,0)</f>
        <v>#N/A</v>
      </c>
      <c r="D19284" s="6">
        <f t="shared" si="302"/>
        <v>0</v>
      </c>
    </row>
    <row r="19285" spans="3:4" ht="15" x14ac:dyDescent="0.25">
      <c r="C19285" s="8" t="e">
        <f>VLOOKUP(A:A,'ITEM LIST'!A:C,3,0)</f>
        <v>#N/A</v>
      </c>
      <c r="D19285" s="6">
        <f t="shared" si="302"/>
        <v>0</v>
      </c>
    </row>
    <row r="19286" spans="3:4" ht="15" x14ac:dyDescent="0.25">
      <c r="C19286" s="8" t="e">
        <f>VLOOKUP(A:A,'ITEM LIST'!A:C,3,0)</f>
        <v>#N/A</v>
      </c>
      <c r="D19286" s="6">
        <f t="shared" si="302"/>
        <v>0</v>
      </c>
    </row>
    <row r="19287" spans="3:4" ht="15" x14ac:dyDescent="0.25">
      <c r="C19287" s="8" t="e">
        <f>VLOOKUP(A:A,'ITEM LIST'!A:C,3,0)</f>
        <v>#N/A</v>
      </c>
      <c r="D19287" s="6">
        <f t="shared" si="302"/>
        <v>0</v>
      </c>
    </row>
    <row r="19288" spans="3:4" ht="15" x14ac:dyDescent="0.25">
      <c r="C19288" s="8" t="e">
        <f>VLOOKUP(A:A,'ITEM LIST'!A:C,3,0)</f>
        <v>#N/A</v>
      </c>
      <c r="D19288" s="6">
        <f t="shared" si="302"/>
        <v>0</v>
      </c>
    </row>
    <row r="19289" spans="3:4" ht="15" x14ac:dyDescent="0.25">
      <c r="C19289" s="8" t="e">
        <f>VLOOKUP(A:A,'ITEM LIST'!A:C,3,0)</f>
        <v>#N/A</v>
      </c>
      <c r="D19289" s="6">
        <f t="shared" si="302"/>
        <v>0</v>
      </c>
    </row>
    <row r="19290" spans="3:4" ht="15" x14ac:dyDescent="0.25">
      <c r="C19290" s="8" t="e">
        <f>VLOOKUP(A:A,'ITEM LIST'!A:C,3,0)</f>
        <v>#N/A</v>
      </c>
      <c r="D19290" s="6">
        <f t="shared" si="302"/>
        <v>0</v>
      </c>
    </row>
    <row r="19291" spans="3:4" ht="15" x14ac:dyDescent="0.25">
      <c r="C19291" s="8" t="e">
        <f>VLOOKUP(A:A,'ITEM LIST'!A:C,3,0)</f>
        <v>#N/A</v>
      </c>
      <c r="D19291" s="6">
        <f t="shared" si="302"/>
        <v>0</v>
      </c>
    </row>
    <row r="19292" spans="3:4" ht="15" x14ac:dyDescent="0.25">
      <c r="C19292" s="8" t="e">
        <f>VLOOKUP(A:A,'ITEM LIST'!A:C,3,0)</f>
        <v>#N/A</v>
      </c>
      <c r="D19292" s="6">
        <f t="shared" si="302"/>
        <v>0</v>
      </c>
    </row>
    <row r="19293" spans="3:4" ht="15" x14ac:dyDescent="0.25">
      <c r="C19293" s="8" t="e">
        <f>VLOOKUP(A:A,'ITEM LIST'!A:C,3,0)</f>
        <v>#N/A</v>
      </c>
      <c r="D19293" s="6">
        <f t="shared" si="302"/>
        <v>0</v>
      </c>
    </row>
    <row r="19294" spans="3:4" ht="15" x14ac:dyDescent="0.25">
      <c r="C19294" s="8" t="e">
        <f>VLOOKUP(A:A,'ITEM LIST'!A:C,3,0)</f>
        <v>#N/A</v>
      </c>
      <c r="D19294" s="6">
        <f t="shared" si="302"/>
        <v>0</v>
      </c>
    </row>
    <row r="19295" spans="3:4" ht="15" x14ac:dyDescent="0.25">
      <c r="C19295" s="8" t="e">
        <f>VLOOKUP(A:A,'ITEM LIST'!A:C,3,0)</f>
        <v>#N/A</v>
      </c>
      <c r="D19295" s="6">
        <f t="shared" si="302"/>
        <v>0</v>
      </c>
    </row>
    <row r="19296" spans="3:4" ht="15" x14ac:dyDescent="0.25">
      <c r="C19296" s="8" t="e">
        <f>VLOOKUP(A:A,'ITEM LIST'!A:C,3,0)</f>
        <v>#N/A</v>
      </c>
      <c r="D19296" s="6">
        <f t="shared" si="302"/>
        <v>0</v>
      </c>
    </row>
    <row r="19297" spans="3:4" ht="15" x14ac:dyDescent="0.25">
      <c r="C19297" s="8" t="e">
        <f>VLOOKUP(A:A,'ITEM LIST'!A:C,3,0)</f>
        <v>#N/A</v>
      </c>
      <c r="D19297" s="6">
        <f t="shared" si="302"/>
        <v>0</v>
      </c>
    </row>
    <row r="19298" spans="3:4" ht="15" x14ac:dyDescent="0.25">
      <c r="C19298" s="8" t="e">
        <f>VLOOKUP(A:A,'ITEM LIST'!A:C,3,0)</f>
        <v>#N/A</v>
      </c>
      <c r="D19298" s="6">
        <f t="shared" si="302"/>
        <v>0</v>
      </c>
    </row>
    <row r="19299" spans="3:4" ht="15" x14ac:dyDescent="0.25">
      <c r="C19299" s="8" t="e">
        <f>VLOOKUP(A:A,'ITEM LIST'!A:C,3,0)</f>
        <v>#N/A</v>
      </c>
      <c r="D19299" s="6">
        <f t="shared" si="302"/>
        <v>0</v>
      </c>
    </row>
    <row r="19300" spans="3:4" ht="15" x14ac:dyDescent="0.25">
      <c r="C19300" s="8" t="e">
        <f>VLOOKUP(A:A,'ITEM LIST'!A:C,3,0)</f>
        <v>#N/A</v>
      </c>
      <c r="D19300" s="6">
        <f t="shared" si="302"/>
        <v>0</v>
      </c>
    </row>
    <row r="19301" spans="3:4" ht="15" x14ac:dyDescent="0.25">
      <c r="C19301" s="8" t="e">
        <f>VLOOKUP(A:A,'ITEM LIST'!A:C,3,0)</f>
        <v>#N/A</v>
      </c>
      <c r="D19301" s="6">
        <f t="shared" si="302"/>
        <v>0</v>
      </c>
    </row>
    <row r="19302" spans="3:4" ht="15" x14ac:dyDescent="0.25">
      <c r="C19302" s="8" t="e">
        <f>VLOOKUP(A:A,'ITEM LIST'!A:C,3,0)</f>
        <v>#N/A</v>
      </c>
      <c r="D19302" s="6">
        <f t="shared" si="302"/>
        <v>0</v>
      </c>
    </row>
    <row r="19303" spans="3:4" ht="15" x14ac:dyDescent="0.25">
      <c r="C19303" s="8" t="e">
        <f>VLOOKUP(A:A,'ITEM LIST'!A:C,3,0)</f>
        <v>#N/A</v>
      </c>
      <c r="D19303" s="6">
        <f t="shared" si="302"/>
        <v>0</v>
      </c>
    </row>
    <row r="19304" spans="3:4" ht="15" x14ac:dyDescent="0.25">
      <c r="C19304" s="8" t="e">
        <f>VLOOKUP(A:A,'ITEM LIST'!A:C,3,0)</f>
        <v>#N/A</v>
      </c>
      <c r="D19304" s="6">
        <f t="shared" si="302"/>
        <v>0</v>
      </c>
    </row>
    <row r="19305" spans="3:4" ht="15" x14ac:dyDescent="0.25">
      <c r="C19305" s="8" t="e">
        <f>VLOOKUP(A:A,'ITEM LIST'!A:C,3,0)</f>
        <v>#N/A</v>
      </c>
      <c r="D19305" s="6">
        <f t="shared" si="302"/>
        <v>0</v>
      </c>
    </row>
    <row r="19306" spans="3:4" ht="15" x14ac:dyDescent="0.25">
      <c r="C19306" s="8" t="e">
        <f>VLOOKUP(A:A,'ITEM LIST'!A:C,3,0)</f>
        <v>#N/A</v>
      </c>
      <c r="D19306" s="6">
        <f t="shared" si="302"/>
        <v>0</v>
      </c>
    </row>
    <row r="19307" spans="3:4" ht="15" x14ac:dyDescent="0.25">
      <c r="C19307" s="8" t="e">
        <f>VLOOKUP(A:A,'ITEM LIST'!A:C,3,0)</f>
        <v>#N/A</v>
      </c>
      <c r="D19307" s="6">
        <f t="shared" si="302"/>
        <v>0</v>
      </c>
    </row>
    <row r="19308" spans="3:4" ht="15" x14ac:dyDescent="0.25">
      <c r="C19308" s="8" t="e">
        <f>VLOOKUP(A:A,'ITEM LIST'!A:C,3,0)</f>
        <v>#N/A</v>
      </c>
      <c r="D19308" s="6">
        <f t="shared" si="302"/>
        <v>0</v>
      </c>
    </row>
    <row r="19309" spans="3:4" ht="15" x14ac:dyDescent="0.25">
      <c r="C19309" s="8" t="e">
        <f>VLOOKUP(A:A,'ITEM LIST'!A:C,3,0)</f>
        <v>#N/A</v>
      </c>
      <c r="D19309" s="6">
        <f t="shared" si="302"/>
        <v>0</v>
      </c>
    </row>
    <row r="19310" spans="3:4" ht="15" x14ac:dyDescent="0.25">
      <c r="C19310" s="8" t="e">
        <f>VLOOKUP(A:A,'ITEM LIST'!A:C,3,0)</f>
        <v>#N/A</v>
      </c>
      <c r="D19310" s="6">
        <f t="shared" si="302"/>
        <v>0</v>
      </c>
    </row>
    <row r="19311" spans="3:4" ht="15" x14ac:dyDescent="0.25">
      <c r="C19311" s="8" t="e">
        <f>VLOOKUP(A:A,'ITEM LIST'!A:C,3,0)</f>
        <v>#N/A</v>
      </c>
      <c r="D19311" s="6">
        <f t="shared" si="302"/>
        <v>0</v>
      </c>
    </row>
    <row r="19312" spans="3:4" ht="15" x14ac:dyDescent="0.25">
      <c r="C19312" s="8" t="e">
        <f>VLOOKUP(A:A,'ITEM LIST'!A:C,3,0)</f>
        <v>#N/A</v>
      </c>
      <c r="D19312" s="6">
        <f t="shared" si="302"/>
        <v>0</v>
      </c>
    </row>
    <row r="19313" spans="3:4" ht="15" x14ac:dyDescent="0.25">
      <c r="C19313" s="8" t="e">
        <f>VLOOKUP(A:A,'ITEM LIST'!A:C,3,0)</f>
        <v>#N/A</v>
      </c>
      <c r="D19313" s="6">
        <f t="shared" si="302"/>
        <v>0</v>
      </c>
    </row>
    <row r="19314" spans="3:4" ht="15" x14ac:dyDescent="0.25">
      <c r="C19314" s="8" t="e">
        <f>VLOOKUP(A:A,'ITEM LIST'!A:C,3,0)</f>
        <v>#N/A</v>
      </c>
      <c r="D19314" s="6">
        <f t="shared" si="302"/>
        <v>0</v>
      </c>
    </row>
    <row r="19315" spans="3:4" ht="15" x14ac:dyDescent="0.25">
      <c r="C19315" s="8" t="e">
        <f>VLOOKUP(A:A,'ITEM LIST'!A:C,3,0)</f>
        <v>#N/A</v>
      </c>
      <c r="D19315" s="6">
        <f t="shared" si="302"/>
        <v>0</v>
      </c>
    </row>
    <row r="19316" spans="3:4" ht="15" x14ac:dyDescent="0.25">
      <c r="C19316" s="8" t="e">
        <f>VLOOKUP(A:A,'ITEM LIST'!A:C,3,0)</f>
        <v>#N/A</v>
      </c>
      <c r="D19316" s="6">
        <f t="shared" si="302"/>
        <v>0</v>
      </c>
    </row>
    <row r="19317" spans="3:4" ht="15" x14ac:dyDescent="0.25">
      <c r="C19317" s="8" t="e">
        <f>VLOOKUP(A:A,'ITEM LIST'!A:C,3,0)</f>
        <v>#N/A</v>
      </c>
      <c r="D19317" s="6">
        <f t="shared" si="302"/>
        <v>0</v>
      </c>
    </row>
    <row r="19318" spans="3:4" ht="15" x14ac:dyDescent="0.25">
      <c r="C19318" s="8" t="e">
        <f>VLOOKUP(A:A,'ITEM LIST'!A:C,3,0)</f>
        <v>#N/A</v>
      </c>
      <c r="D19318" s="6">
        <f t="shared" si="302"/>
        <v>0</v>
      </c>
    </row>
    <row r="19319" spans="3:4" ht="15" x14ac:dyDescent="0.25">
      <c r="C19319" s="8" t="e">
        <f>VLOOKUP(A:A,'ITEM LIST'!A:C,3,0)</f>
        <v>#N/A</v>
      </c>
      <c r="D19319" s="6">
        <f t="shared" si="302"/>
        <v>0</v>
      </c>
    </row>
    <row r="19320" spans="3:4" ht="15" x14ac:dyDescent="0.25">
      <c r="C19320" s="8" t="e">
        <f>VLOOKUP(A:A,'ITEM LIST'!A:C,3,0)</f>
        <v>#N/A</v>
      </c>
      <c r="D19320" s="6">
        <f t="shared" si="302"/>
        <v>0</v>
      </c>
    </row>
    <row r="19321" spans="3:4" ht="15" x14ac:dyDescent="0.25">
      <c r="C19321" s="8" t="e">
        <f>VLOOKUP(A:A,'ITEM LIST'!A:C,3,0)</f>
        <v>#N/A</v>
      </c>
      <c r="D19321" s="6">
        <f t="shared" si="302"/>
        <v>0</v>
      </c>
    </row>
    <row r="19322" spans="3:4" ht="15" x14ac:dyDescent="0.25">
      <c r="C19322" s="8" t="e">
        <f>VLOOKUP(A:A,'ITEM LIST'!A:C,3,0)</f>
        <v>#N/A</v>
      </c>
      <c r="D19322" s="6">
        <f t="shared" si="302"/>
        <v>0</v>
      </c>
    </row>
    <row r="19323" spans="3:4" ht="15" x14ac:dyDescent="0.25">
      <c r="C19323" s="8" t="e">
        <f>VLOOKUP(A:A,'ITEM LIST'!A:C,3,0)</f>
        <v>#N/A</v>
      </c>
      <c r="D19323" s="6">
        <f t="shared" si="302"/>
        <v>0</v>
      </c>
    </row>
    <row r="19324" spans="3:4" ht="15" x14ac:dyDescent="0.25">
      <c r="C19324" s="8" t="e">
        <f>VLOOKUP(A:A,'ITEM LIST'!A:C,3,0)</f>
        <v>#N/A</v>
      </c>
      <c r="D19324" s="6">
        <f t="shared" si="302"/>
        <v>0</v>
      </c>
    </row>
    <row r="19325" spans="3:4" ht="15" x14ac:dyDescent="0.25">
      <c r="C19325" s="8" t="e">
        <f>VLOOKUP(A:A,'ITEM LIST'!A:C,3,0)</f>
        <v>#N/A</v>
      </c>
      <c r="D19325" s="6">
        <f t="shared" si="302"/>
        <v>0</v>
      </c>
    </row>
    <row r="19326" spans="3:4" ht="15" x14ac:dyDescent="0.25">
      <c r="C19326" s="8" t="e">
        <f>VLOOKUP(A:A,'ITEM LIST'!A:C,3,0)</f>
        <v>#N/A</v>
      </c>
      <c r="D19326" s="6">
        <f t="shared" si="302"/>
        <v>0</v>
      </c>
    </row>
    <row r="19327" spans="3:4" ht="15" x14ac:dyDescent="0.25">
      <c r="C19327" s="8" t="e">
        <f>VLOOKUP(A:A,'ITEM LIST'!A:C,3,0)</f>
        <v>#N/A</v>
      </c>
      <c r="D19327" s="6">
        <f t="shared" si="302"/>
        <v>0</v>
      </c>
    </row>
    <row r="19328" spans="3:4" ht="15" x14ac:dyDescent="0.25">
      <c r="C19328" s="8" t="e">
        <f>VLOOKUP(A:A,'ITEM LIST'!A:C,3,0)</f>
        <v>#N/A</v>
      </c>
      <c r="D19328" s="6">
        <f t="shared" si="302"/>
        <v>0</v>
      </c>
    </row>
    <row r="19329" spans="3:4" ht="15" x14ac:dyDescent="0.25">
      <c r="C19329" s="8" t="e">
        <f>VLOOKUP(A:A,'ITEM LIST'!A:C,3,0)</f>
        <v>#N/A</v>
      </c>
      <c r="D19329" s="6">
        <f t="shared" si="302"/>
        <v>0</v>
      </c>
    </row>
    <row r="19330" spans="3:4" ht="15" x14ac:dyDescent="0.25">
      <c r="C19330" s="8" t="e">
        <f>VLOOKUP(A:A,'ITEM LIST'!A:C,3,0)</f>
        <v>#N/A</v>
      </c>
      <c r="D19330" s="6">
        <f t="shared" si="302"/>
        <v>0</v>
      </c>
    </row>
    <row r="19331" spans="3:4" ht="15" x14ac:dyDescent="0.25">
      <c r="C19331" s="8" t="e">
        <f>VLOOKUP(A:A,'ITEM LIST'!A:C,3,0)</f>
        <v>#N/A</v>
      </c>
      <c r="D19331" s="6">
        <f t="shared" si="302"/>
        <v>0</v>
      </c>
    </row>
    <row r="19332" spans="3:4" ht="15" x14ac:dyDescent="0.25">
      <c r="C19332" s="8" t="e">
        <f>VLOOKUP(A:A,'ITEM LIST'!A:C,3,0)</f>
        <v>#N/A</v>
      </c>
      <c r="D19332" s="6">
        <f t="shared" si="302"/>
        <v>0</v>
      </c>
    </row>
    <row r="19333" spans="3:4" ht="15" x14ac:dyDescent="0.25">
      <c r="C19333" s="8" t="e">
        <f>VLOOKUP(A:A,'ITEM LIST'!A:C,3,0)</f>
        <v>#N/A</v>
      </c>
      <c r="D19333" s="6">
        <f t="shared" si="302"/>
        <v>0</v>
      </c>
    </row>
    <row r="19334" spans="3:4" ht="15" x14ac:dyDescent="0.25">
      <c r="C19334" s="8" t="e">
        <f>VLOOKUP(A:A,'ITEM LIST'!A:C,3,0)</f>
        <v>#N/A</v>
      </c>
      <c r="D19334" s="6">
        <f t="shared" ref="D19334:D19397" si="303">B19334</f>
        <v>0</v>
      </c>
    </row>
    <row r="19335" spans="3:4" ht="15" x14ac:dyDescent="0.25">
      <c r="C19335" s="8" t="e">
        <f>VLOOKUP(A:A,'ITEM LIST'!A:C,3,0)</f>
        <v>#N/A</v>
      </c>
      <c r="D19335" s="6">
        <f t="shared" si="303"/>
        <v>0</v>
      </c>
    </row>
    <row r="19336" spans="3:4" ht="15" x14ac:dyDescent="0.25">
      <c r="C19336" s="8" t="e">
        <f>VLOOKUP(A:A,'ITEM LIST'!A:C,3,0)</f>
        <v>#N/A</v>
      </c>
      <c r="D19336" s="6">
        <f t="shared" si="303"/>
        <v>0</v>
      </c>
    </row>
    <row r="19337" spans="3:4" ht="15" x14ac:dyDescent="0.25">
      <c r="C19337" s="8" t="e">
        <f>VLOOKUP(A:A,'ITEM LIST'!A:C,3,0)</f>
        <v>#N/A</v>
      </c>
      <c r="D19337" s="6">
        <f t="shared" si="303"/>
        <v>0</v>
      </c>
    </row>
    <row r="19338" spans="3:4" ht="15" x14ac:dyDescent="0.25">
      <c r="C19338" s="8" t="e">
        <f>VLOOKUP(A:A,'ITEM LIST'!A:C,3,0)</f>
        <v>#N/A</v>
      </c>
      <c r="D19338" s="6">
        <f t="shared" si="303"/>
        <v>0</v>
      </c>
    </row>
    <row r="19339" spans="3:4" ht="15" x14ac:dyDescent="0.25">
      <c r="C19339" s="8" t="e">
        <f>VLOOKUP(A:A,'ITEM LIST'!A:C,3,0)</f>
        <v>#N/A</v>
      </c>
      <c r="D19339" s="6">
        <f t="shared" si="303"/>
        <v>0</v>
      </c>
    </row>
    <row r="19340" spans="3:4" ht="15" x14ac:dyDescent="0.25">
      <c r="C19340" s="8" t="e">
        <f>VLOOKUP(A:A,'ITEM LIST'!A:C,3,0)</f>
        <v>#N/A</v>
      </c>
      <c r="D19340" s="6">
        <f t="shared" si="303"/>
        <v>0</v>
      </c>
    </row>
    <row r="19341" spans="3:4" ht="15" x14ac:dyDescent="0.25">
      <c r="C19341" s="8" t="e">
        <f>VLOOKUP(A:A,'ITEM LIST'!A:C,3,0)</f>
        <v>#N/A</v>
      </c>
      <c r="D19341" s="6">
        <f t="shared" si="303"/>
        <v>0</v>
      </c>
    </row>
    <row r="19342" spans="3:4" ht="15" x14ac:dyDescent="0.25">
      <c r="C19342" s="8" t="e">
        <f>VLOOKUP(A:A,'ITEM LIST'!A:C,3,0)</f>
        <v>#N/A</v>
      </c>
      <c r="D19342" s="6">
        <f t="shared" si="303"/>
        <v>0</v>
      </c>
    </row>
    <row r="19343" spans="3:4" ht="15" x14ac:dyDescent="0.25">
      <c r="C19343" s="8" t="e">
        <f>VLOOKUP(A:A,'ITEM LIST'!A:C,3,0)</f>
        <v>#N/A</v>
      </c>
      <c r="D19343" s="6">
        <f t="shared" si="303"/>
        <v>0</v>
      </c>
    </row>
    <row r="19344" spans="3:4" ht="15" x14ac:dyDescent="0.25">
      <c r="C19344" s="8" t="e">
        <f>VLOOKUP(A:A,'ITEM LIST'!A:C,3,0)</f>
        <v>#N/A</v>
      </c>
      <c r="D19344" s="6">
        <f t="shared" si="303"/>
        <v>0</v>
      </c>
    </row>
    <row r="19345" spans="3:4" ht="15" x14ac:dyDescent="0.25">
      <c r="C19345" s="8" t="e">
        <f>VLOOKUP(A:A,'ITEM LIST'!A:C,3,0)</f>
        <v>#N/A</v>
      </c>
      <c r="D19345" s="6">
        <f t="shared" si="303"/>
        <v>0</v>
      </c>
    </row>
    <row r="19346" spans="3:4" ht="15" x14ac:dyDescent="0.25">
      <c r="C19346" s="8" t="e">
        <f>VLOOKUP(A:A,'ITEM LIST'!A:C,3,0)</f>
        <v>#N/A</v>
      </c>
      <c r="D19346" s="6">
        <f t="shared" si="303"/>
        <v>0</v>
      </c>
    </row>
    <row r="19347" spans="3:4" ht="15" x14ac:dyDescent="0.25">
      <c r="C19347" s="8" t="e">
        <f>VLOOKUP(A:A,'ITEM LIST'!A:C,3,0)</f>
        <v>#N/A</v>
      </c>
      <c r="D19347" s="6">
        <f t="shared" si="303"/>
        <v>0</v>
      </c>
    </row>
    <row r="19348" spans="3:4" ht="15" x14ac:dyDescent="0.25">
      <c r="C19348" s="8" t="e">
        <f>VLOOKUP(A:A,'ITEM LIST'!A:C,3,0)</f>
        <v>#N/A</v>
      </c>
      <c r="D19348" s="6">
        <f t="shared" si="303"/>
        <v>0</v>
      </c>
    </row>
    <row r="19349" spans="3:4" ht="15" x14ac:dyDescent="0.25">
      <c r="C19349" s="8" t="e">
        <f>VLOOKUP(A:A,'ITEM LIST'!A:C,3,0)</f>
        <v>#N/A</v>
      </c>
      <c r="D19349" s="6">
        <f t="shared" si="303"/>
        <v>0</v>
      </c>
    </row>
    <row r="19350" spans="3:4" ht="15" x14ac:dyDescent="0.25">
      <c r="C19350" s="8" t="e">
        <f>VLOOKUP(A:A,'ITEM LIST'!A:C,3,0)</f>
        <v>#N/A</v>
      </c>
      <c r="D19350" s="6">
        <f t="shared" si="303"/>
        <v>0</v>
      </c>
    </row>
    <row r="19351" spans="3:4" ht="15" x14ac:dyDescent="0.25">
      <c r="C19351" s="8" t="e">
        <f>VLOOKUP(A:A,'ITEM LIST'!A:C,3,0)</f>
        <v>#N/A</v>
      </c>
      <c r="D19351" s="6">
        <f t="shared" si="303"/>
        <v>0</v>
      </c>
    </row>
    <row r="19352" spans="3:4" ht="15" x14ac:dyDescent="0.25">
      <c r="C19352" s="8" t="e">
        <f>VLOOKUP(A:A,'ITEM LIST'!A:C,3,0)</f>
        <v>#N/A</v>
      </c>
      <c r="D19352" s="6">
        <f t="shared" si="303"/>
        <v>0</v>
      </c>
    </row>
    <row r="19353" spans="3:4" ht="15" x14ac:dyDescent="0.25">
      <c r="C19353" s="8" t="e">
        <f>VLOOKUP(A:A,'ITEM LIST'!A:C,3,0)</f>
        <v>#N/A</v>
      </c>
      <c r="D19353" s="6">
        <f t="shared" si="303"/>
        <v>0</v>
      </c>
    </row>
    <row r="19354" spans="3:4" ht="15" x14ac:dyDescent="0.25">
      <c r="C19354" s="8" t="e">
        <f>VLOOKUP(A:A,'ITEM LIST'!A:C,3,0)</f>
        <v>#N/A</v>
      </c>
      <c r="D19354" s="6">
        <f t="shared" si="303"/>
        <v>0</v>
      </c>
    </row>
    <row r="19355" spans="3:4" ht="15" x14ac:dyDescent="0.25">
      <c r="C19355" s="8" t="e">
        <f>VLOOKUP(A:A,'ITEM LIST'!A:C,3,0)</f>
        <v>#N/A</v>
      </c>
      <c r="D19355" s="6">
        <f t="shared" si="303"/>
        <v>0</v>
      </c>
    </row>
    <row r="19356" spans="3:4" ht="15" x14ac:dyDescent="0.25">
      <c r="C19356" s="8" t="e">
        <f>VLOOKUP(A:A,'ITEM LIST'!A:C,3,0)</f>
        <v>#N/A</v>
      </c>
      <c r="D19356" s="6">
        <f t="shared" si="303"/>
        <v>0</v>
      </c>
    </row>
    <row r="19357" spans="3:4" ht="15" x14ac:dyDescent="0.25">
      <c r="C19357" s="8" t="e">
        <f>VLOOKUP(A:A,'ITEM LIST'!A:C,3,0)</f>
        <v>#N/A</v>
      </c>
      <c r="D19357" s="6">
        <f t="shared" si="303"/>
        <v>0</v>
      </c>
    </row>
    <row r="19358" spans="3:4" ht="15" x14ac:dyDescent="0.25">
      <c r="C19358" s="8" t="e">
        <f>VLOOKUP(A:A,'ITEM LIST'!A:C,3,0)</f>
        <v>#N/A</v>
      </c>
      <c r="D19358" s="6">
        <f t="shared" si="303"/>
        <v>0</v>
      </c>
    </row>
    <row r="19359" spans="3:4" ht="15" x14ac:dyDescent="0.25">
      <c r="C19359" s="8" t="e">
        <f>VLOOKUP(A:A,'ITEM LIST'!A:C,3,0)</f>
        <v>#N/A</v>
      </c>
      <c r="D19359" s="6">
        <f t="shared" si="303"/>
        <v>0</v>
      </c>
    </row>
    <row r="19360" spans="3:4" ht="15" x14ac:dyDescent="0.25">
      <c r="C19360" s="8" t="e">
        <f>VLOOKUP(A:A,'ITEM LIST'!A:C,3,0)</f>
        <v>#N/A</v>
      </c>
      <c r="D19360" s="6">
        <f t="shared" si="303"/>
        <v>0</v>
      </c>
    </row>
    <row r="19361" spans="3:4" ht="15" x14ac:dyDescent="0.25">
      <c r="C19361" s="8" t="e">
        <f>VLOOKUP(A:A,'ITEM LIST'!A:C,3,0)</f>
        <v>#N/A</v>
      </c>
      <c r="D19361" s="6">
        <f t="shared" si="303"/>
        <v>0</v>
      </c>
    </row>
    <row r="19362" spans="3:4" ht="15" x14ac:dyDescent="0.25">
      <c r="C19362" s="8" t="e">
        <f>VLOOKUP(A:A,'ITEM LIST'!A:C,3,0)</f>
        <v>#N/A</v>
      </c>
      <c r="D19362" s="6">
        <f t="shared" si="303"/>
        <v>0</v>
      </c>
    </row>
    <row r="19363" spans="3:4" ht="15" x14ac:dyDescent="0.25">
      <c r="C19363" s="8" t="e">
        <f>VLOOKUP(A:A,'ITEM LIST'!A:C,3,0)</f>
        <v>#N/A</v>
      </c>
      <c r="D19363" s="6">
        <f t="shared" si="303"/>
        <v>0</v>
      </c>
    </row>
    <row r="19364" spans="3:4" ht="15" x14ac:dyDescent="0.25">
      <c r="C19364" s="8" t="e">
        <f>VLOOKUP(A:A,'ITEM LIST'!A:C,3,0)</f>
        <v>#N/A</v>
      </c>
      <c r="D19364" s="6">
        <f t="shared" si="303"/>
        <v>0</v>
      </c>
    </row>
    <row r="19365" spans="3:4" ht="15" x14ac:dyDescent="0.25">
      <c r="C19365" s="8" t="e">
        <f>VLOOKUP(A:A,'ITEM LIST'!A:C,3,0)</f>
        <v>#N/A</v>
      </c>
      <c r="D19365" s="6">
        <f t="shared" si="303"/>
        <v>0</v>
      </c>
    </row>
    <row r="19366" spans="3:4" ht="15" x14ac:dyDescent="0.25">
      <c r="C19366" s="8" t="e">
        <f>VLOOKUP(A:A,'ITEM LIST'!A:C,3,0)</f>
        <v>#N/A</v>
      </c>
      <c r="D19366" s="6">
        <f t="shared" si="303"/>
        <v>0</v>
      </c>
    </row>
    <row r="19367" spans="3:4" ht="15" x14ac:dyDescent="0.25">
      <c r="C19367" s="8" t="e">
        <f>VLOOKUP(A:A,'ITEM LIST'!A:C,3,0)</f>
        <v>#N/A</v>
      </c>
      <c r="D19367" s="6">
        <f t="shared" si="303"/>
        <v>0</v>
      </c>
    </row>
    <row r="19368" spans="3:4" ht="15" x14ac:dyDescent="0.25">
      <c r="C19368" s="8" t="e">
        <f>VLOOKUP(A:A,'ITEM LIST'!A:C,3,0)</f>
        <v>#N/A</v>
      </c>
      <c r="D19368" s="6">
        <f t="shared" si="303"/>
        <v>0</v>
      </c>
    </row>
    <row r="19369" spans="3:4" ht="15" x14ac:dyDescent="0.25">
      <c r="C19369" s="8" t="e">
        <f>VLOOKUP(A:A,'ITEM LIST'!A:C,3,0)</f>
        <v>#N/A</v>
      </c>
      <c r="D19369" s="6">
        <f t="shared" si="303"/>
        <v>0</v>
      </c>
    </row>
    <row r="19370" spans="3:4" ht="15" x14ac:dyDescent="0.25">
      <c r="C19370" s="8" t="e">
        <f>VLOOKUP(A:A,'ITEM LIST'!A:C,3,0)</f>
        <v>#N/A</v>
      </c>
      <c r="D19370" s="6">
        <f t="shared" si="303"/>
        <v>0</v>
      </c>
    </row>
    <row r="19371" spans="3:4" ht="15" x14ac:dyDescent="0.25">
      <c r="C19371" s="8" t="e">
        <f>VLOOKUP(A:A,'ITEM LIST'!A:C,3,0)</f>
        <v>#N/A</v>
      </c>
      <c r="D19371" s="6">
        <f t="shared" si="303"/>
        <v>0</v>
      </c>
    </row>
    <row r="19372" spans="3:4" ht="15" x14ac:dyDescent="0.25">
      <c r="C19372" s="8" t="e">
        <f>VLOOKUP(A:A,'ITEM LIST'!A:C,3,0)</f>
        <v>#N/A</v>
      </c>
      <c r="D19372" s="6">
        <f t="shared" si="303"/>
        <v>0</v>
      </c>
    </row>
    <row r="19373" spans="3:4" ht="15" x14ac:dyDescent="0.25">
      <c r="C19373" s="8" t="e">
        <f>VLOOKUP(A:A,'ITEM LIST'!A:C,3,0)</f>
        <v>#N/A</v>
      </c>
      <c r="D19373" s="6">
        <f t="shared" si="303"/>
        <v>0</v>
      </c>
    </row>
    <row r="19374" spans="3:4" ht="15" x14ac:dyDescent="0.25">
      <c r="C19374" s="8" t="e">
        <f>VLOOKUP(A:A,'ITEM LIST'!A:C,3,0)</f>
        <v>#N/A</v>
      </c>
      <c r="D19374" s="6">
        <f t="shared" si="303"/>
        <v>0</v>
      </c>
    </row>
    <row r="19375" spans="3:4" ht="15" x14ac:dyDescent="0.25">
      <c r="C19375" s="8" t="e">
        <f>VLOOKUP(A:A,'ITEM LIST'!A:C,3,0)</f>
        <v>#N/A</v>
      </c>
      <c r="D19375" s="6">
        <f t="shared" si="303"/>
        <v>0</v>
      </c>
    </row>
    <row r="19376" spans="3:4" ht="15" x14ac:dyDescent="0.25">
      <c r="C19376" s="8" t="e">
        <f>VLOOKUP(A:A,'ITEM LIST'!A:C,3,0)</f>
        <v>#N/A</v>
      </c>
      <c r="D19376" s="6">
        <f t="shared" si="303"/>
        <v>0</v>
      </c>
    </row>
    <row r="19377" spans="3:4" ht="15" x14ac:dyDescent="0.25">
      <c r="C19377" s="8" t="e">
        <f>VLOOKUP(A:A,'ITEM LIST'!A:C,3,0)</f>
        <v>#N/A</v>
      </c>
      <c r="D19377" s="6">
        <f t="shared" si="303"/>
        <v>0</v>
      </c>
    </row>
    <row r="19378" spans="3:4" ht="15" x14ac:dyDescent="0.25">
      <c r="C19378" s="8" t="e">
        <f>VLOOKUP(A:A,'ITEM LIST'!A:C,3,0)</f>
        <v>#N/A</v>
      </c>
      <c r="D19378" s="6">
        <f t="shared" si="303"/>
        <v>0</v>
      </c>
    </row>
    <row r="19379" spans="3:4" ht="15" x14ac:dyDescent="0.25">
      <c r="C19379" s="8" t="e">
        <f>VLOOKUP(A:A,'ITEM LIST'!A:C,3,0)</f>
        <v>#N/A</v>
      </c>
      <c r="D19379" s="6">
        <f t="shared" si="303"/>
        <v>0</v>
      </c>
    </row>
    <row r="19380" spans="3:4" ht="15" x14ac:dyDescent="0.25">
      <c r="C19380" s="8" t="e">
        <f>VLOOKUP(A:A,'ITEM LIST'!A:C,3,0)</f>
        <v>#N/A</v>
      </c>
      <c r="D19380" s="6">
        <f t="shared" si="303"/>
        <v>0</v>
      </c>
    </row>
    <row r="19381" spans="3:4" ht="15" x14ac:dyDescent="0.25">
      <c r="C19381" s="8" t="e">
        <f>VLOOKUP(A:A,'ITEM LIST'!A:C,3,0)</f>
        <v>#N/A</v>
      </c>
      <c r="D19381" s="6">
        <f t="shared" si="303"/>
        <v>0</v>
      </c>
    </row>
    <row r="19382" spans="3:4" ht="15" x14ac:dyDescent="0.25">
      <c r="C19382" s="8" t="e">
        <f>VLOOKUP(A:A,'ITEM LIST'!A:C,3,0)</f>
        <v>#N/A</v>
      </c>
      <c r="D19382" s="6">
        <f t="shared" si="303"/>
        <v>0</v>
      </c>
    </row>
    <row r="19383" spans="3:4" ht="15" x14ac:dyDescent="0.25">
      <c r="C19383" s="8" t="e">
        <f>VLOOKUP(A:A,'ITEM LIST'!A:C,3,0)</f>
        <v>#N/A</v>
      </c>
      <c r="D19383" s="6">
        <f t="shared" si="303"/>
        <v>0</v>
      </c>
    </row>
    <row r="19384" spans="3:4" ht="15" x14ac:dyDescent="0.25">
      <c r="C19384" s="8" t="e">
        <f>VLOOKUP(A:A,'ITEM LIST'!A:C,3,0)</f>
        <v>#N/A</v>
      </c>
      <c r="D19384" s="6">
        <f t="shared" si="303"/>
        <v>0</v>
      </c>
    </row>
    <row r="19385" spans="3:4" ht="15" x14ac:dyDescent="0.25">
      <c r="C19385" s="8" t="e">
        <f>VLOOKUP(A:A,'ITEM LIST'!A:C,3,0)</f>
        <v>#N/A</v>
      </c>
      <c r="D19385" s="6">
        <f t="shared" si="303"/>
        <v>0</v>
      </c>
    </row>
    <row r="19386" spans="3:4" ht="15" x14ac:dyDescent="0.25">
      <c r="C19386" s="8" t="e">
        <f>VLOOKUP(A:A,'ITEM LIST'!A:C,3,0)</f>
        <v>#N/A</v>
      </c>
      <c r="D19386" s="6">
        <f t="shared" si="303"/>
        <v>0</v>
      </c>
    </row>
    <row r="19387" spans="3:4" ht="15" x14ac:dyDescent="0.25">
      <c r="C19387" s="8" t="e">
        <f>VLOOKUP(A:A,'ITEM LIST'!A:C,3,0)</f>
        <v>#N/A</v>
      </c>
      <c r="D19387" s="6">
        <f t="shared" si="303"/>
        <v>0</v>
      </c>
    </row>
    <row r="19388" spans="3:4" ht="15" x14ac:dyDescent="0.25">
      <c r="C19388" s="8" t="e">
        <f>VLOOKUP(A:A,'ITEM LIST'!A:C,3,0)</f>
        <v>#N/A</v>
      </c>
      <c r="D19388" s="6">
        <f t="shared" si="303"/>
        <v>0</v>
      </c>
    </row>
    <row r="19389" spans="3:4" ht="15" x14ac:dyDescent="0.25">
      <c r="C19389" s="8" t="e">
        <f>VLOOKUP(A:A,'ITEM LIST'!A:C,3,0)</f>
        <v>#N/A</v>
      </c>
      <c r="D19389" s="6">
        <f t="shared" si="303"/>
        <v>0</v>
      </c>
    </row>
    <row r="19390" spans="3:4" ht="15" x14ac:dyDescent="0.25">
      <c r="C19390" s="8" t="e">
        <f>VLOOKUP(A:A,'ITEM LIST'!A:C,3,0)</f>
        <v>#N/A</v>
      </c>
      <c r="D19390" s="6">
        <f t="shared" si="303"/>
        <v>0</v>
      </c>
    </row>
    <row r="19391" spans="3:4" ht="15" x14ac:dyDescent="0.25">
      <c r="C19391" s="8" t="e">
        <f>VLOOKUP(A:A,'ITEM LIST'!A:C,3,0)</f>
        <v>#N/A</v>
      </c>
      <c r="D19391" s="6">
        <f t="shared" si="303"/>
        <v>0</v>
      </c>
    </row>
    <row r="19392" spans="3:4" ht="15" x14ac:dyDescent="0.25">
      <c r="C19392" s="8" t="e">
        <f>VLOOKUP(A:A,'ITEM LIST'!A:C,3,0)</f>
        <v>#N/A</v>
      </c>
      <c r="D19392" s="6">
        <f t="shared" si="303"/>
        <v>0</v>
      </c>
    </row>
    <row r="19393" spans="3:4" ht="15" x14ac:dyDescent="0.25">
      <c r="C19393" s="8" t="e">
        <f>VLOOKUP(A:A,'ITEM LIST'!A:C,3,0)</f>
        <v>#N/A</v>
      </c>
      <c r="D19393" s="6">
        <f t="shared" si="303"/>
        <v>0</v>
      </c>
    </row>
    <row r="19394" spans="3:4" ht="15" x14ac:dyDescent="0.25">
      <c r="C19394" s="8" t="e">
        <f>VLOOKUP(A:A,'ITEM LIST'!A:C,3,0)</f>
        <v>#N/A</v>
      </c>
      <c r="D19394" s="6">
        <f t="shared" si="303"/>
        <v>0</v>
      </c>
    </row>
    <row r="19395" spans="3:4" ht="15" x14ac:dyDescent="0.25">
      <c r="C19395" s="8" t="e">
        <f>VLOOKUP(A:A,'ITEM LIST'!A:C,3,0)</f>
        <v>#N/A</v>
      </c>
      <c r="D19395" s="6">
        <f t="shared" si="303"/>
        <v>0</v>
      </c>
    </row>
    <row r="19396" spans="3:4" ht="15" x14ac:dyDescent="0.25">
      <c r="C19396" s="8" t="e">
        <f>VLOOKUP(A:A,'ITEM LIST'!A:C,3,0)</f>
        <v>#N/A</v>
      </c>
      <c r="D19396" s="6">
        <f t="shared" si="303"/>
        <v>0</v>
      </c>
    </row>
    <row r="19397" spans="3:4" ht="15" x14ac:dyDescent="0.25">
      <c r="C19397" s="8" t="e">
        <f>VLOOKUP(A:A,'ITEM LIST'!A:C,3,0)</f>
        <v>#N/A</v>
      </c>
      <c r="D19397" s="6">
        <f t="shared" si="303"/>
        <v>0</v>
      </c>
    </row>
    <row r="19398" spans="3:4" ht="15" x14ac:dyDescent="0.25">
      <c r="C19398" s="8" t="e">
        <f>VLOOKUP(A:A,'ITEM LIST'!A:C,3,0)</f>
        <v>#N/A</v>
      </c>
      <c r="D19398" s="6">
        <f t="shared" ref="D19398:D19461" si="304">B19398</f>
        <v>0</v>
      </c>
    </row>
    <row r="19399" spans="3:4" ht="15" x14ac:dyDescent="0.25">
      <c r="C19399" s="8" t="e">
        <f>VLOOKUP(A:A,'ITEM LIST'!A:C,3,0)</f>
        <v>#N/A</v>
      </c>
      <c r="D19399" s="6">
        <f t="shared" si="304"/>
        <v>0</v>
      </c>
    </row>
    <row r="19400" spans="3:4" ht="15" x14ac:dyDescent="0.25">
      <c r="C19400" s="8" t="e">
        <f>VLOOKUP(A:A,'ITEM LIST'!A:C,3,0)</f>
        <v>#N/A</v>
      </c>
      <c r="D19400" s="6">
        <f t="shared" si="304"/>
        <v>0</v>
      </c>
    </row>
    <row r="19401" spans="3:4" ht="15" x14ac:dyDescent="0.25">
      <c r="C19401" s="8" t="e">
        <f>VLOOKUP(A:A,'ITEM LIST'!A:C,3,0)</f>
        <v>#N/A</v>
      </c>
      <c r="D19401" s="6">
        <f t="shared" si="304"/>
        <v>0</v>
      </c>
    </row>
    <row r="19402" spans="3:4" ht="15" x14ac:dyDescent="0.25">
      <c r="C19402" s="8" t="e">
        <f>VLOOKUP(A:A,'ITEM LIST'!A:C,3,0)</f>
        <v>#N/A</v>
      </c>
      <c r="D19402" s="6">
        <f t="shared" si="304"/>
        <v>0</v>
      </c>
    </row>
    <row r="19403" spans="3:4" ht="15" x14ac:dyDescent="0.25">
      <c r="C19403" s="8" t="e">
        <f>VLOOKUP(A:A,'ITEM LIST'!A:C,3,0)</f>
        <v>#N/A</v>
      </c>
      <c r="D19403" s="6">
        <f t="shared" si="304"/>
        <v>0</v>
      </c>
    </row>
    <row r="19404" spans="3:4" ht="15" x14ac:dyDescent="0.25">
      <c r="C19404" s="8" t="e">
        <f>VLOOKUP(A:A,'ITEM LIST'!A:C,3,0)</f>
        <v>#N/A</v>
      </c>
      <c r="D19404" s="6">
        <f t="shared" si="304"/>
        <v>0</v>
      </c>
    </row>
    <row r="19405" spans="3:4" ht="15" x14ac:dyDescent="0.25">
      <c r="C19405" s="8" t="e">
        <f>VLOOKUP(A:A,'ITEM LIST'!A:C,3,0)</f>
        <v>#N/A</v>
      </c>
      <c r="D19405" s="6">
        <f t="shared" si="304"/>
        <v>0</v>
      </c>
    </row>
    <row r="19406" spans="3:4" ht="15" x14ac:dyDescent="0.25">
      <c r="C19406" s="8" t="e">
        <f>VLOOKUP(A:A,'ITEM LIST'!A:C,3,0)</f>
        <v>#N/A</v>
      </c>
      <c r="D19406" s="6">
        <f t="shared" si="304"/>
        <v>0</v>
      </c>
    </row>
    <row r="19407" spans="3:4" ht="15" x14ac:dyDescent="0.25">
      <c r="C19407" s="8" t="e">
        <f>VLOOKUP(A:A,'ITEM LIST'!A:C,3,0)</f>
        <v>#N/A</v>
      </c>
      <c r="D19407" s="6">
        <f t="shared" si="304"/>
        <v>0</v>
      </c>
    </row>
    <row r="19408" spans="3:4" ht="15" x14ac:dyDescent="0.25">
      <c r="C19408" s="8" t="e">
        <f>VLOOKUP(A:A,'ITEM LIST'!A:C,3,0)</f>
        <v>#N/A</v>
      </c>
      <c r="D19408" s="6">
        <f t="shared" si="304"/>
        <v>0</v>
      </c>
    </row>
    <row r="19409" spans="3:4" ht="15" x14ac:dyDescent="0.25">
      <c r="C19409" s="8" t="e">
        <f>VLOOKUP(A:A,'ITEM LIST'!A:C,3,0)</f>
        <v>#N/A</v>
      </c>
      <c r="D19409" s="6">
        <f t="shared" si="304"/>
        <v>0</v>
      </c>
    </row>
    <row r="19410" spans="3:4" ht="15" x14ac:dyDescent="0.25">
      <c r="C19410" s="8" t="e">
        <f>VLOOKUP(A:A,'ITEM LIST'!A:C,3,0)</f>
        <v>#N/A</v>
      </c>
      <c r="D19410" s="6">
        <f t="shared" si="304"/>
        <v>0</v>
      </c>
    </row>
    <row r="19411" spans="3:4" ht="15" x14ac:dyDescent="0.25">
      <c r="C19411" s="8" t="e">
        <f>VLOOKUP(A:A,'ITEM LIST'!A:C,3,0)</f>
        <v>#N/A</v>
      </c>
      <c r="D19411" s="6">
        <f t="shared" si="304"/>
        <v>0</v>
      </c>
    </row>
    <row r="19412" spans="3:4" ht="15" x14ac:dyDescent="0.25">
      <c r="C19412" s="8" t="e">
        <f>VLOOKUP(A:A,'ITEM LIST'!A:C,3,0)</f>
        <v>#N/A</v>
      </c>
      <c r="D19412" s="6">
        <f t="shared" si="304"/>
        <v>0</v>
      </c>
    </row>
    <row r="19413" spans="3:4" ht="15" x14ac:dyDescent="0.25">
      <c r="C19413" s="8" t="e">
        <f>VLOOKUP(A:A,'ITEM LIST'!A:C,3,0)</f>
        <v>#N/A</v>
      </c>
      <c r="D19413" s="6">
        <f t="shared" si="304"/>
        <v>0</v>
      </c>
    </row>
    <row r="19414" spans="3:4" ht="15" x14ac:dyDescent="0.25">
      <c r="C19414" s="8" t="e">
        <f>VLOOKUP(A:A,'ITEM LIST'!A:C,3,0)</f>
        <v>#N/A</v>
      </c>
      <c r="D19414" s="6">
        <f t="shared" si="304"/>
        <v>0</v>
      </c>
    </row>
    <row r="19415" spans="3:4" ht="15" x14ac:dyDescent="0.25">
      <c r="C19415" s="8" t="e">
        <f>VLOOKUP(A:A,'ITEM LIST'!A:C,3,0)</f>
        <v>#N/A</v>
      </c>
      <c r="D19415" s="6">
        <f t="shared" si="304"/>
        <v>0</v>
      </c>
    </row>
    <row r="19416" spans="3:4" ht="15" x14ac:dyDescent="0.25">
      <c r="C19416" s="8" t="e">
        <f>VLOOKUP(A:A,'ITEM LIST'!A:C,3,0)</f>
        <v>#N/A</v>
      </c>
      <c r="D19416" s="6">
        <f t="shared" si="304"/>
        <v>0</v>
      </c>
    </row>
    <row r="19417" spans="3:4" ht="15" x14ac:dyDescent="0.25">
      <c r="C19417" s="8" t="e">
        <f>VLOOKUP(A:A,'ITEM LIST'!A:C,3,0)</f>
        <v>#N/A</v>
      </c>
      <c r="D19417" s="6">
        <f t="shared" si="304"/>
        <v>0</v>
      </c>
    </row>
    <row r="19418" spans="3:4" ht="15" x14ac:dyDescent="0.25">
      <c r="C19418" s="8" t="e">
        <f>VLOOKUP(A:A,'ITEM LIST'!A:C,3,0)</f>
        <v>#N/A</v>
      </c>
      <c r="D19418" s="6">
        <f t="shared" si="304"/>
        <v>0</v>
      </c>
    </row>
    <row r="19419" spans="3:4" ht="15" x14ac:dyDescent="0.25">
      <c r="C19419" s="8" t="e">
        <f>VLOOKUP(A:A,'ITEM LIST'!A:C,3,0)</f>
        <v>#N/A</v>
      </c>
      <c r="D19419" s="6">
        <f t="shared" si="304"/>
        <v>0</v>
      </c>
    </row>
    <row r="19420" spans="3:4" ht="15" x14ac:dyDescent="0.25">
      <c r="C19420" s="8" t="e">
        <f>VLOOKUP(A:A,'ITEM LIST'!A:C,3,0)</f>
        <v>#N/A</v>
      </c>
      <c r="D19420" s="6">
        <f t="shared" si="304"/>
        <v>0</v>
      </c>
    </row>
    <row r="19421" spans="3:4" ht="15" x14ac:dyDescent="0.25">
      <c r="C19421" s="8" t="e">
        <f>VLOOKUP(A:A,'ITEM LIST'!A:C,3,0)</f>
        <v>#N/A</v>
      </c>
      <c r="D19421" s="6">
        <f t="shared" si="304"/>
        <v>0</v>
      </c>
    </row>
    <row r="19422" spans="3:4" ht="15" x14ac:dyDescent="0.25">
      <c r="C19422" s="8" t="e">
        <f>VLOOKUP(A:A,'ITEM LIST'!A:C,3,0)</f>
        <v>#N/A</v>
      </c>
      <c r="D19422" s="6">
        <f t="shared" si="304"/>
        <v>0</v>
      </c>
    </row>
    <row r="19423" spans="3:4" ht="15" x14ac:dyDescent="0.25">
      <c r="C19423" s="8" t="e">
        <f>VLOOKUP(A:A,'ITEM LIST'!A:C,3,0)</f>
        <v>#N/A</v>
      </c>
      <c r="D19423" s="6">
        <f t="shared" si="304"/>
        <v>0</v>
      </c>
    </row>
    <row r="19424" spans="3:4" ht="15" x14ac:dyDescent="0.25">
      <c r="C19424" s="8" t="e">
        <f>VLOOKUP(A:A,'ITEM LIST'!A:C,3,0)</f>
        <v>#N/A</v>
      </c>
      <c r="D19424" s="6">
        <f t="shared" si="304"/>
        <v>0</v>
      </c>
    </row>
    <row r="19425" spans="3:4" ht="15" x14ac:dyDescent="0.25">
      <c r="C19425" s="8" t="e">
        <f>VLOOKUP(A:A,'ITEM LIST'!A:C,3,0)</f>
        <v>#N/A</v>
      </c>
      <c r="D19425" s="6">
        <f t="shared" si="304"/>
        <v>0</v>
      </c>
    </row>
    <row r="19426" spans="3:4" ht="15" x14ac:dyDescent="0.25">
      <c r="C19426" s="8" t="e">
        <f>VLOOKUP(A:A,'ITEM LIST'!A:C,3,0)</f>
        <v>#N/A</v>
      </c>
      <c r="D19426" s="6">
        <f t="shared" si="304"/>
        <v>0</v>
      </c>
    </row>
    <row r="19427" spans="3:4" ht="15" x14ac:dyDescent="0.25">
      <c r="C19427" s="8" t="e">
        <f>VLOOKUP(A:A,'ITEM LIST'!A:C,3,0)</f>
        <v>#N/A</v>
      </c>
      <c r="D19427" s="6">
        <f t="shared" si="304"/>
        <v>0</v>
      </c>
    </row>
    <row r="19428" spans="3:4" ht="15" x14ac:dyDescent="0.25">
      <c r="C19428" s="8" t="e">
        <f>VLOOKUP(A:A,'ITEM LIST'!A:C,3,0)</f>
        <v>#N/A</v>
      </c>
      <c r="D19428" s="6">
        <f t="shared" si="304"/>
        <v>0</v>
      </c>
    </row>
    <row r="19429" spans="3:4" ht="15" x14ac:dyDescent="0.25">
      <c r="C19429" s="8" t="e">
        <f>VLOOKUP(A:A,'ITEM LIST'!A:C,3,0)</f>
        <v>#N/A</v>
      </c>
      <c r="D19429" s="6">
        <f t="shared" si="304"/>
        <v>0</v>
      </c>
    </row>
    <row r="19430" spans="3:4" ht="15" x14ac:dyDescent="0.25">
      <c r="C19430" s="8" t="e">
        <f>VLOOKUP(A:A,'ITEM LIST'!A:C,3,0)</f>
        <v>#N/A</v>
      </c>
      <c r="D19430" s="6">
        <f t="shared" si="304"/>
        <v>0</v>
      </c>
    </row>
    <row r="19431" spans="3:4" ht="15" x14ac:dyDescent="0.25">
      <c r="C19431" s="8" t="e">
        <f>VLOOKUP(A:A,'ITEM LIST'!A:C,3,0)</f>
        <v>#N/A</v>
      </c>
      <c r="D19431" s="6">
        <f t="shared" si="304"/>
        <v>0</v>
      </c>
    </row>
    <row r="19432" spans="3:4" ht="15" x14ac:dyDescent="0.25">
      <c r="C19432" s="8" t="e">
        <f>VLOOKUP(A:A,'ITEM LIST'!A:C,3,0)</f>
        <v>#N/A</v>
      </c>
      <c r="D19432" s="6">
        <f t="shared" si="304"/>
        <v>0</v>
      </c>
    </row>
    <row r="19433" spans="3:4" ht="15" x14ac:dyDescent="0.25">
      <c r="C19433" s="8" t="e">
        <f>VLOOKUP(A:A,'ITEM LIST'!A:C,3,0)</f>
        <v>#N/A</v>
      </c>
      <c r="D19433" s="6">
        <f t="shared" si="304"/>
        <v>0</v>
      </c>
    </row>
    <row r="19434" spans="3:4" ht="15" x14ac:dyDescent="0.25">
      <c r="C19434" s="8" t="e">
        <f>VLOOKUP(A:A,'ITEM LIST'!A:C,3,0)</f>
        <v>#N/A</v>
      </c>
      <c r="D19434" s="6">
        <f t="shared" si="304"/>
        <v>0</v>
      </c>
    </row>
    <row r="19435" spans="3:4" ht="15" x14ac:dyDescent="0.25">
      <c r="C19435" s="8" t="e">
        <f>VLOOKUP(A:A,'ITEM LIST'!A:C,3,0)</f>
        <v>#N/A</v>
      </c>
      <c r="D19435" s="6">
        <f t="shared" si="304"/>
        <v>0</v>
      </c>
    </row>
    <row r="19436" spans="3:4" ht="15" x14ac:dyDescent="0.25">
      <c r="C19436" s="8" t="e">
        <f>VLOOKUP(A:A,'ITEM LIST'!A:C,3,0)</f>
        <v>#N/A</v>
      </c>
      <c r="D19436" s="6">
        <f t="shared" si="304"/>
        <v>0</v>
      </c>
    </row>
    <row r="19437" spans="3:4" ht="15" x14ac:dyDescent="0.25">
      <c r="C19437" s="8" t="e">
        <f>VLOOKUP(A:A,'ITEM LIST'!A:C,3,0)</f>
        <v>#N/A</v>
      </c>
      <c r="D19437" s="6">
        <f t="shared" si="304"/>
        <v>0</v>
      </c>
    </row>
    <row r="19438" spans="3:4" ht="15" x14ac:dyDescent="0.25">
      <c r="C19438" s="8" t="e">
        <f>VLOOKUP(A:A,'ITEM LIST'!A:C,3,0)</f>
        <v>#N/A</v>
      </c>
      <c r="D19438" s="6">
        <f t="shared" si="304"/>
        <v>0</v>
      </c>
    </row>
    <row r="19439" spans="3:4" ht="15" x14ac:dyDescent="0.25">
      <c r="C19439" s="8" t="e">
        <f>VLOOKUP(A:A,'ITEM LIST'!A:C,3,0)</f>
        <v>#N/A</v>
      </c>
      <c r="D19439" s="6">
        <f t="shared" si="304"/>
        <v>0</v>
      </c>
    </row>
    <row r="19440" spans="3:4" ht="15" x14ac:dyDescent="0.25">
      <c r="C19440" s="8" t="e">
        <f>VLOOKUP(A:A,'ITEM LIST'!A:C,3,0)</f>
        <v>#N/A</v>
      </c>
      <c r="D19440" s="6">
        <f t="shared" si="304"/>
        <v>0</v>
      </c>
    </row>
    <row r="19441" spans="3:4" ht="15" x14ac:dyDescent="0.25">
      <c r="C19441" s="8" t="e">
        <f>VLOOKUP(A:A,'ITEM LIST'!A:C,3,0)</f>
        <v>#N/A</v>
      </c>
      <c r="D19441" s="6">
        <f t="shared" si="304"/>
        <v>0</v>
      </c>
    </row>
    <row r="19442" spans="3:4" ht="15" x14ac:dyDescent="0.25">
      <c r="C19442" s="8" t="e">
        <f>VLOOKUP(A:A,'ITEM LIST'!A:C,3,0)</f>
        <v>#N/A</v>
      </c>
      <c r="D19442" s="6">
        <f t="shared" si="304"/>
        <v>0</v>
      </c>
    </row>
    <row r="19443" spans="3:4" ht="15" x14ac:dyDescent="0.25">
      <c r="C19443" s="8" t="e">
        <f>VLOOKUP(A:A,'ITEM LIST'!A:C,3,0)</f>
        <v>#N/A</v>
      </c>
      <c r="D19443" s="6">
        <f t="shared" si="304"/>
        <v>0</v>
      </c>
    </row>
    <row r="19444" spans="3:4" ht="15" x14ac:dyDescent="0.25">
      <c r="C19444" s="8" t="e">
        <f>VLOOKUP(A:A,'ITEM LIST'!A:C,3,0)</f>
        <v>#N/A</v>
      </c>
      <c r="D19444" s="6">
        <f t="shared" si="304"/>
        <v>0</v>
      </c>
    </row>
    <row r="19445" spans="3:4" ht="15" x14ac:dyDescent="0.25">
      <c r="C19445" s="8" t="e">
        <f>VLOOKUP(A:A,'ITEM LIST'!A:C,3,0)</f>
        <v>#N/A</v>
      </c>
      <c r="D19445" s="6">
        <f t="shared" si="304"/>
        <v>0</v>
      </c>
    </row>
    <row r="19446" spans="3:4" ht="15" x14ac:dyDescent="0.25">
      <c r="C19446" s="8" t="e">
        <f>VLOOKUP(A:A,'ITEM LIST'!A:C,3,0)</f>
        <v>#N/A</v>
      </c>
      <c r="D19446" s="6">
        <f t="shared" si="304"/>
        <v>0</v>
      </c>
    </row>
    <row r="19447" spans="3:4" ht="15" x14ac:dyDescent="0.25">
      <c r="C19447" s="8" t="e">
        <f>VLOOKUP(A:A,'ITEM LIST'!A:C,3,0)</f>
        <v>#N/A</v>
      </c>
      <c r="D19447" s="6">
        <f t="shared" si="304"/>
        <v>0</v>
      </c>
    </row>
    <row r="19448" spans="3:4" ht="15" x14ac:dyDescent="0.25">
      <c r="C19448" s="8" t="e">
        <f>VLOOKUP(A:A,'ITEM LIST'!A:C,3,0)</f>
        <v>#N/A</v>
      </c>
      <c r="D19448" s="6">
        <f t="shared" si="304"/>
        <v>0</v>
      </c>
    </row>
    <row r="19449" spans="3:4" ht="15" x14ac:dyDescent="0.25">
      <c r="C19449" s="8" t="e">
        <f>VLOOKUP(A:A,'ITEM LIST'!A:C,3,0)</f>
        <v>#N/A</v>
      </c>
      <c r="D19449" s="6">
        <f t="shared" si="304"/>
        <v>0</v>
      </c>
    </row>
    <row r="19450" spans="3:4" ht="15" x14ac:dyDescent="0.25">
      <c r="C19450" s="8" t="e">
        <f>VLOOKUP(A:A,'ITEM LIST'!A:C,3,0)</f>
        <v>#N/A</v>
      </c>
      <c r="D19450" s="6">
        <f t="shared" si="304"/>
        <v>0</v>
      </c>
    </row>
    <row r="19451" spans="3:4" ht="15" x14ac:dyDescent="0.25">
      <c r="C19451" s="8" t="e">
        <f>VLOOKUP(A:A,'ITEM LIST'!A:C,3,0)</f>
        <v>#N/A</v>
      </c>
      <c r="D19451" s="6">
        <f t="shared" si="304"/>
        <v>0</v>
      </c>
    </row>
    <row r="19452" spans="3:4" ht="15" x14ac:dyDescent="0.25">
      <c r="C19452" s="8" t="e">
        <f>VLOOKUP(A:A,'ITEM LIST'!A:C,3,0)</f>
        <v>#N/A</v>
      </c>
      <c r="D19452" s="6">
        <f t="shared" si="304"/>
        <v>0</v>
      </c>
    </row>
    <row r="19453" spans="3:4" ht="15" x14ac:dyDescent="0.25">
      <c r="C19453" s="8" t="e">
        <f>VLOOKUP(A:A,'ITEM LIST'!A:C,3,0)</f>
        <v>#N/A</v>
      </c>
      <c r="D19453" s="6">
        <f t="shared" si="304"/>
        <v>0</v>
      </c>
    </row>
    <row r="19454" spans="3:4" ht="15" x14ac:dyDescent="0.25">
      <c r="C19454" s="8" t="e">
        <f>VLOOKUP(A:A,'ITEM LIST'!A:C,3,0)</f>
        <v>#N/A</v>
      </c>
      <c r="D19454" s="6">
        <f t="shared" si="304"/>
        <v>0</v>
      </c>
    </row>
    <row r="19455" spans="3:4" ht="15" x14ac:dyDescent="0.25">
      <c r="C19455" s="8" t="e">
        <f>VLOOKUP(A:A,'ITEM LIST'!A:C,3,0)</f>
        <v>#N/A</v>
      </c>
      <c r="D19455" s="6">
        <f t="shared" si="304"/>
        <v>0</v>
      </c>
    </row>
    <row r="19456" spans="3:4" ht="15" x14ac:dyDescent="0.25">
      <c r="C19456" s="8" t="e">
        <f>VLOOKUP(A:A,'ITEM LIST'!A:C,3,0)</f>
        <v>#N/A</v>
      </c>
      <c r="D19456" s="6">
        <f t="shared" si="304"/>
        <v>0</v>
      </c>
    </row>
    <row r="19457" spans="3:4" ht="15" x14ac:dyDescent="0.25">
      <c r="C19457" s="8" t="e">
        <f>VLOOKUP(A:A,'ITEM LIST'!A:C,3,0)</f>
        <v>#N/A</v>
      </c>
      <c r="D19457" s="6">
        <f t="shared" si="304"/>
        <v>0</v>
      </c>
    </row>
    <row r="19458" spans="3:4" ht="15" x14ac:dyDescent="0.25">
      <c r="C19458" s="8" t="e">
        <f>VLOOKUP(A:A,'ITEM LIST'!A:C,3,0)</f>
        <v>#N/A</v>
      </c>
      <c r="D19458" s="6">
        <f t="shared" si="304"/>
        <v>0</v>
      </c>
    </row>
    <row r="19459" spans="3:4" ht="15" x14ac:dyDescent="0.25">
      <c r="C19459" s="8" t="e">
        <f>VLOOKUP(A:A,'ITEM LIST'!A:C,3,0)</f>
        <v>#N/A</v>
      </c>
      <c r="D19459" s="6">
        <f t="shared" si="304"/>
        <v>0</v>
      </c>
    </row>
    <row r="19460" spans="3:4" ht="15" x14ac:dyDescent="0.25">
      <c r="C19460" s="8" t="e">
        <f>VLOOKUP(A:A,'ITEM LIST'!A:C,3,0)</f>
        <v>#N/A</v>
      </c>
      <c r="D19460" s="6">
        <f t="shared" si="304"/>
        <v>0</v>
      </c>
    </row>
    <row r="19461" spans="3:4" ht="15" x14ac:dyDescent="0.25">
      <c r="C19461" s="8" t="e">
        <f>VLOOKUP(A:A,'ITEM LIST'!A:C,3,0)</f>
        <v>#N/A</v>
      </c>
      <c r="D19461" s="6">
        <f t="shared" si="304"/>
        <v>0</v>
      </c>
    </row>
    <row r="19462" spans="3:4" ht="15" x14ac:dyDescent="0.25">
      <c r="C19462" s="8" t="e">
        <f>VLOOKUP(A:A,'ITEM LIST'!A:C,3,0)</f>
        <v>#N/A</v>
      </c>
      <c r="D19462" s="6">
        <f t="shared" ref="D19462:D19525" si="305">B19462</f>
        <v>0</v>
      </c>
    </row>
    <row r="19463" spans="3:4" ht="15" x14ac:dyDescent="0.25">
      <c r="C19463" s="8" t="e">
        <f>VLOOKUP(A:A,'ITEM LIST'!A:C,3,0)</f>
        <v>#N/A</v>
      </c>
      <c r="D19463" s="6">
        <f t="shared" si="305"/>
        <v>0</v>
      </c>
    </row>
    <row r="19464" spans="3:4" ht="15" x14ac:dyDescent="0.25">
      <c r="C19464" s="8" t="e">
        <f>VLOOKUP(A:A,'ITEM LIST'!A:C,3,0)</f>
        <v>#N/A</v>
      </c>
      <c r="D19464" s="6">
        <f t="shared" si="305"/>
        <v>0</v>
      </c>
    </row>
    <row r="19465" spans="3:4" ht="15" x14ac:dyDescent="0.25">
      <c r="C19465" s="8" t="e">
        <f>VLOOKUP(A:A,'ITEM LIST'!A:C,3,0)</f>
        <v>#N/A</v>
      </c>
      <c r="D19465" s="6">
        <f t="shared" si="305"/>
        <v>0</v>
      </c>
    </row>
    <row r="19466" spans="3:4" ht="15" x14ac:dyDescent="0.25">
      <c r="C19466" s="8" t="e">
        <f>VLOOKUP(A:A,'ITEM LIST'!A:C,3,0)</f>
        <v>#N/A</v>
      </c>
      <c r="D19466" s="6">
        <f t="shared" si="305"/>
        <v>0</v>
      </c>
    </row>
    <row r="19467" spans="3:4" ht="15" x14ac:dyDescent="0.25">
      <c r="C19467" s="8" t="e">
        <f>VLOOKUP(A:A,'ITEM LIST'!A:C,3,0)</f>
        <v>#N/A</v>
      </c>
      <c r="D19467" s="6">
        <f t="shared" si="305"/>
        <v>0</v>
      </c>
    </row>
    <row r="19468" spans="3:4" ht="15" x14ac:dyDescent="0.25">
      <c r="C19468" s="8" t="e">
        <f>VLOOKUP(A:A,'ITEM LIST'!A:C,3,0)</f>
        <v>#N/A</v>
      </c>
      <c r="D19468" s="6">
        <f t="shared" si="305"/>
        <v>0</v>
      </c>
    </row>
    <row r="19469" spans="3:4" ht="15" x14ac:dyDescent="0.25">
      <c r="C19469" s="8" t="e">
        <f>VLOOKUP(A:A,'ITEM LIST'!A:C,3,0)</f>
        <v>#N/A</v>
      </c>
      <c r="D19469" s="6">
        <f t="shared" si="305"/>
        <v>0</v>
      </c>
    </row>
    <row r="19470" spans="3:4" ht="15" x14ac:dyDescent="0.25">
      <c r="C19470" s="8" t="e">
        <f>VLOOKUP(A:A,'ITEM LIST'!A:C,3,0)</f>
        <v>#N/A</v>
      </c>
      <c r="D19470" s="6">
        <f t="shared" si="305"/>
        <v>0</v>
      </c>
    </row>
    <row r="19471" spans="3:4" ht="15" x14ac:dyDescent="0.25">
      <c r="C19471" s="8" t="e">
        <f>VLOOKUP(A:A,'ITEM LIST'!A:C,3,0)</f>
        <v>#N/A</v>
      </c>
      <c r="D19471" s="6">
        <f t="shared" si="305"/>
        <v>0</v>
      </c>
    </row>
    <row r="19472" spans="3:4" ht="15" x14ac:dyDescent="0.25">
      <c r="C19472" s="8" t="e">
        <f>VLOOKUP(A:A,'ITEM LIST'!A:C,3,0)</f>
        <v>#N/A</v>
      </c>
      <c r="D19472" s="6">
        <f t="shared" si="305"/>
        <v>0</v>
      </c>
    </row>
    <row r="19473" spans="3:4" ht="15" x14ac:dyDescent="0.25">
      <c r="C19473" s="8" t="e">
        <f>VLOOKUP(A:A,'ITEM LIST'!A:C,3,0)</f>
        <v>#N/A</v>
      </c>
      <c r="D19473" s="6">
        <f t="shared" si="305"/>
        <v>0</v>
      </c>
    </row>
    <row r="19474" spans="3:4" ht="15" x14ac:dyDescent="0.25">
      <c r="C19474" s="8" t="e">
        <f>VLOOKUP(A:A,'ITEM LIST'!A:C,3,0)</f>
        <v>#N/A</v>
      </c>
      <c r="D19474" s="6">
        <f t="shared" si="305"/>
        <v>0</v>
      </c>
    </row>
    <row r="19475" spans="3:4" ht="15" x14ac:dyDescent="0.25">
      <c r="C19475" s="8" t="e">
        <f>VLOOKUP(A:A,'ITEM LIST'!A:C,3,0)</f>
        <v>#N/A</v>
      </c>
      <c r="D19475" s="6">
        <f t="shared" si="305"/>
        <v>0</v>
      </c>
    </row>
    <row r="19476" spans="3:4" ht="15" x14ac:dyDescent="0.25">
      <c r="C19476" s="8" t="e">
        <f>VLOOKUP(A:A,'ITEM LIST'!A:C,3,0)</f>
        <v>#N/A</v>
      </c>
      <c r="D19476" s="6">
        <f t="shared" si="305"/>
        <v>0</v>
      </c>
    </row>
    <row r="19477" spans="3:4" ht="15" x14ac:dyDescent="0.25">
      <c r="C19477" s="8" t="e">
        <f>VLOOKUP(A:A,'ITEM LIST'!A:C,3,0)</f>
        <v>#N/A</v>
      </c>
      <c r="D19477" s="6">
        <f t="shared" si="305"/>
        <v>0</v>
      </c>
    </row>
    <row r="19478" spans="3:4" ht="15" x14ac:dyDescent="0.25">
      <c r="C19478" s="8" t="e">
        <f>VLOOKUP(A:A,'ITEM LIST'!A:C,3,0)</f>
        <v>#N/A</v>
      </c>
      <c r="D19478" s="6">
        <f t="shared" si="305"/>
        <v>0</v>
      </c>
    </row>
    <row r="19479" spans="3:4" ht="15" x14ac:dyDescent="0.25">
      <c r="C19479" s="8" t="e">
        <f>VLOOKUP(A:A,'ITEM LIST'!A:C,3,0)</f>
        <v>#N/A</v>
      </c>
      <c r="D19479" s="6">
        <f t="shared" si="305"/>
        <v>0</v>
      </c>
    </row>
    <row r="19480" spans="3:4" ht="15" x14ac:dyDescent="0.25">
      <c r="C19480" s="8" t="e">
        <f>VLOOKUP(A:A,'ITEM LIST'!A:C,3,0)</f>
        <v>#N/A</v>
      </c>
      <c r="D19480" s="6">
        <f t="shared" si="305"/>
        <v>0</v>
      </c>
    </row>
    <row r="19481" spans="3:4" ht="15" x14ac:dyDescent="0.25">
      <c r="C19481" s="8" t="e">
        <f>VLOOKUP(A:A,'ITEM LIST'!A:C,3,0)</f>
        <v>#N/A</v>
      </c>
      <c r="D19481" s="6">
        <f t="shared" si="305"/>
        <v>0</v>
      </c>
    </row>
    <row r="19482" spans="3:4" ht="15" x14ac:dyDescent="0.25">
      <c r="C19482" s="8" t="e">
        <f>VLOOKUP(A:A,'ITEM LIST'!A:C,3,0)</f>
        <v>#N/A</v>
      </c>
      <c r="D19482" s="6">
        <f t="shared" si="305"/>
        <v>0</v>
      </c>
    </row>
    <row r="19483" spans="3:4" ht="15" x14ac:dyDescent="0.25">
      <c r="C19483" s="8" t="e">
        <f>VLOOKUP(A:A,'ITEM LIST'!A:C,3,0)</f>
        <v>#N/A</v>
      </c>
      <c r="D19483" s="6">
        <f t="shared" si="305"/>
        <v>0</v>
      </c>
    </row>
    <row r="19484" spans="3:4" ht="15" x14ac:dyDescent="0.25">
      <c r="C19484" s="8" t="e">
        <f>VLOOKUP(A:A,'ITEM LIST'!A:C,3,0)</f>
        <v>#N/A</v>
      </c>
      <c r="D19484" s="6">
        <f t="shared" si="305"/>
        <v>0</v>
      </c>
    </row>
    <row r="19485" spans="3:4" ht="15" x14ac:dyDescent="0.25">
      <c r="C19485" s="8" t="e">
        <f>VLOOKUP(A:A,'ITEM LIST'!A:C,3,0)</f>
        <v>#N/A</v>
      </c>
      <c r="D19485" s="6">
        <f t="shared" si="305"/>
        <v>0</v>
      </c>
    </row>
    <row r="19486" spans="3:4" ht="15" x14ac:dyDescent="0.25">
      <c r="C19486" s="8" t="e">
        <f>VLOOKUP(A:A,'ITEM LIST'!A:C,3,0)</f>
        <v>#N/A</v>
      </c>
      <c r="D19486" s="6">
        <f t="shared" si="305"/>
        <v>0</v>
      </c>
    </row>
    <row r="19487" spans="3:4" ht="15" x14ac:dyDescent="0.25">
      <c r="C19487" s="8" t="e">
        <f>VLOOKUP(A:A,'ITEM LIST'!A:C,3,0)</f>
        <v>#N/A</v>
      </c>
      <c r="D19487" s="6">
        <f t="shared" si="305"/>
        <v>0</v>
      </c>
    </row>
    <row r="19488" spans="3:4" ht="15" x14ac:dyDescent="0.25">
      <c r="C19488" s="8" t="e">
        <f>VLOOKUP(A:A,'ITEM LIST'!A:C,3,0)</f>
        <v>#N/A</v>
      </c>
      <c r="D19488" s="6">
        <f t="shared" si="305"/>
        <v>0</v>
      </c>
    </row>
    <row r="19489" spans="3:4" ht="15" x14ac:dyDescent="0.25">
      <c r="C19489" s="8" t="e">
        <f>VLOOKUP(A:A,'ITEM LIST'!A:C,3,0)</f>
        <v>#N/A</v>
      </c>
      <c r="D19489" s="6">
        <f t="shared" si="305"/>
        <v>0</v>
      </c>
    </row>
    <row r="19490" spans="3:4" ht="15" x14ac:dyDescent="0.25">
      <c r="C19490" s="8" t="e">
        <f>VLOOKUP(A:A,'ITEM LIST'!A:C,3,0)</f>
        <v>#N/A</v>
      </c>
      <c r="D19490" s="6">
        <f t="shared" si="305"/>
        <v>0</v>
      </c>
    </row>
    <row r="19491" spans="3:4" ht="15" x14ac:dyDescent="0.25">
      <c r="C19491" s="8" t="e">
        <f>VLOOKUP(A:A,'ITEM LIST'!A:C,3,0)</f>
        <v>#N/A</v>
      </c>
      <c r="D19491" s="6">
        <f t="shared" si="305"/>
        <v>0</v>
      </c>
    </row>
    <row r="19492" spans="3:4" ht="15" x14ac:dyDescent="0.25">
      <c r="C19492" s="8" t="e">
        <f>VLOOKUP(A:A,'ITEM LIST'!A:C,3,0)</f>
        <v>#N/A</v>
      </c>
      <c r="D19492" s="6">
        <f t="shared" si="305"/>
        <v>0</v>
      </c>
    </row>
    <row r="19493" spans="3:4" ht="15" x14ac:dyDescent="0.25">
      <c r="C19493" s="8" t="e">
        <f>VLOOKUP(A:A,'ITEM LIST'!A:C,3,0)</f>
        <v>#N/A</v>
      </c>
      <c r="D19493" s="6">
        <f t="shared" si="305"/>
        <v>0</v>
      </c>
    </row>
    <row r="19494" spans="3:4" ht="15" x14ac:dyDescent="0.25">
      <c r="C19494" s="8" t="e">
        <f>VLOOKUP(A:A,'ITEM LIST'!A:C,3,0)</f>
        <v>#N/A</v>
      </c>
      <c r="D19494" s="6">
        <f t="shared" si="305"/>
        <v>0</v>
      </c>
    </row>
    <row r="19495" spans="3:4" ht="15" x14ac:dyDescent="0.25">
      <c r="C19495" s="8" t="e">
        <f>VLOOKUP(A:A,'ITEM LIST'!A:C,3,0)</f>
        <v>#N/A</v>
      </c>
      <c r="D19495" s="6">
        <f t="shared" si="305"/>
        <v>0</v>
      </c>
    </row>
    <row r="19496" spans="3:4" ht="15" x14ac:dyDescent="0.25">
      <c r="C19496" s="8" t="e">
        <f>VLOOKUP(A:A,'ITEM LIST'!A:C,3,0)</f>
        <v>#N/A</v>
      </c>
      <c r="D19496" s="6">
        <f t="shared" si="305"/>
        <v>0</v>
      </c>
    </row>
    <row r="19497" spans="3:4" ht="15" x14ac:dyDescent="0.25">
      <c r="C19497" s="8" t="e">
        <f>VLOOKUP(A:A,'ITEM LIST'!A:C,3,0)</f>
        <v>#N/A</v>
      </c>
      <c r="D19497" s="6">
        <f t="shared" si="305"/>
        <v>0</v>
      </c>
    </row>
    <row r="19498" spans="3:4" ht="15" x14ac:dyDescent="0.25">
      <c r="C19498" s="8" t="e">
        <f>VLOOKUP(A:A,'ITEM LIST'!A:C,3,0)</f>
        <v>#N/A</v>
      </c>
      <c r="D19498" s="6">
        <f t="shared" si="305"/>
        <v>0</v>
      </c>
    </row>
    <row r="19499" spans="3:4" ht="15" x14ac:dyDescent="0.25">
      <c r="C19499" s="8" t="e">
        <f>VLOOKUP(A:A,'ITEM LIST'!A:C,3,0)</f>
        <v>#N/A</v>
      </c>
      <c r="D19499" s="6">
        <f t="shared" si="305"/>
        <v>0</v>
      </c>
    </row>
    <row r="19500" spans="3:4" ht="15" x14ac:dyDescent="0.25">
      <c r="C19500" s="8" t="e">
        <f>VLOOKUP(A:A,'ITEM LIST'!A:C,3,0)</f>
        <v>#N/A</v>
      </c>
      <c r="D19500" s="6">
        <f t="shared" si="305"/>
        <v>0</v>
      </c>
    </row>
    <row r="19501" spans="3:4" ht="15" x14ac:dyDescent="0.25">
      <c r="C19501" s="8" t="e">
        <f>VLOOKUP(A:A,'ITEM LIST'!A:C,3,0)</f>
        <v>#N/A</v>
      </c>
      <c r="D19501" s="6">
        <f t="shared" si="305"/>
        <v>0</v>
      </c>
    </row>
    <row r="19502" spans="3:4" ht="15" x14ac:dyDescent="0.25">
      <c r="C19502" s="8" t="e">
        <f>VLOOKUP(A:A,'ITEM LIST'!A:C,3,0)</f>
        <v>#N/A</v>
      </c>
      <c r="D19502" s="6">
        <f t="shared" si="305"/>
        <v>0</v>
      </c>
    </row>
    <row r="19503" spans="3:4" ht="15" x14ac:dyDescent="0.25">
      <c r="C19503" s="8" t="e">
        <f>VLOOKUP(A:A,'ITEM LIST'!A:C,3,0)</f>
        <v>#N/A</v>
      </c>
      <c r="D19503" s="6">
        <f t="shared" si="305"/>
        <v>0</v>
      </c>
    </row>
    <row r="19504" spans="3:4" ht="15" x14ac:dyDescent="0.25">
      <c r="C19504" s="8" t="e">
        <f>VLOOKUP(A:A,'ITEM LIST'!A:C,3,0)</f>
        <v>#N/A</v>
      </c>
      <c r="D19504" s="6">
        <f t="shared" si="305"/>
        <v>0</v>
      </c>
    </row>
    <row r="19505" spans="3:4" ht="15" x14ac:dyDescent="0.25">
      <c r="C19505" s="8" t="e">
        <f>VLOOKUP(A:A,'ITEM LIST'!A:C,3,0)</f>
        <v>#N/A</v>
      </c>
      <c r="D19505" s="6">
        <f t="shared" si="305"/>
        <v>0</v>
      </c>
    </row>
    <row r="19506" spans="3:4" ht="15" x14ac:dyDescent="0.25">
      <c r="C19506" s="8" t="e">
        <f>VLOOKUP(A:A,'ITEM LIST'!A:C,3,0)</f>
        <v>#N/A</v>
      </c>
      <c r="D19506" s="6">
        <f t="shared" si="305"/>
        <v>0</v>
      </c>
    </row>
    <row r="19507" spans="3:4" ht="15" x14ac:dyDescent="0.25">
      <c r="C19507" s="8" t="e">
        <f>VLOOKUP(A:A,'ITEM LIST'!A:C,3,0)</f>
        <v>#N/A</v>
      </c>
      <c r="D19507" s="6">
        <f t="shared" si="305"/>
        <v>0</v>
      </c>
    </row>
    <row r="19508" spans="3:4" ht="15" x14ac:dyDescent="0.25">
      <c r="C19508" s="8" t="e">
        <f>VLOOKUP(A:A,'ITEM LIST'!A:C,3,0)</f>
        <v>#N/A</v>
      </c>
      <c r="D19508" s="6">
        <f t="shared" si="305"/>
        <v>0</v>
      </c>
    </row>
    <row r="19509" spans="3:4" ht="15" x14ac:dyDescent="0.25">
      <c r="C19509" s="8" t="e">
        <f>VLOOKUP(A:A,'ITEM LIST'!A:C,3,0)</f>
        <v>#N/A</v>
      </c>
      <c r="D19509" s="6">
        <f t="shared" si="305"/>
        <v>0</v>
      </c>
    </row>
    <row r="19510" spans="3:4" ht="15" x14ac:dyDescent="0.25">
      <c r="C19510" s="8" t="e">
        <f>VLOOKUP(A:A,'ITEM LIST'!A:C,3,0)</f>
        <v>#N/A</v>
      </c>
      <c r="D19510" s="6">
        <f t="shared" si="305"/>
        <v>0</v>
      </c>
    </row>
    <row r="19511" spans="3:4" ht="15" x14ac:dyDescent="0.25">
      <c r="C19511" s="8" t="e">
        <f>VLOOKUP(A:A,'ITEM LIST'!A:C,3,0)</f>
        <v>#N/A</v>
      </c>
      <c r="D19511" s="6">
        <f t="shared" si="305"/>
        <v>0</v>
      </c>
    </row>
    <row r="19512" spans="3:4" ht="15" x14ac:dyDescent="0.25">
      <c r="C19512" s="8" t="e">
        <f>VLOOKUP(A:A,'ITEM LIST'!A:C,3,0)</f>
        <v>#N/A</v>
      </c>
      <c r="D19512" s="6">
        <f t="shared" si="305"/>
        <v>0</v>
      </c>
    </row>
    <row r="19513" spans="3:4" ht="15" x14ac:dyDescent="0.25">
      <c r="C19513" s="8" t="e">
        <f>VLOOKUP(A:A,'ITEM LIST'!A:C,3,0)</f>
        <v>#N/A</v>
      </c>
      <c r="D19513" s="6">
        <f t="shared" si="305"/>
        <v>0</v>
      </c>
    </row>
    <row r="19514" spans="3:4" ht="15" x14ac:dyDescent="0.25">
      <c r="C19514" s="8" t="e">
        <f>VLOOKUP(A:A,'ITEM LIST'!A:C,3,0)</f>
        <v>#N/A</v>
      </c>
      <c r="D19514" s="6">
        <f t="shared" si="305"/>
        <v>0</v>
      </c>
    </row>
    <row r="19515" spans="3:4" ht="15" x14ac:dyDescent="0.25">
      <c r="C19515" s="8" t="e">
        <f>VLOOKUP(A:A,'ITEM LIST'!A:C,3,0)</f>
        <v>#N/A</v>
      </c>
      <c r="D19515" s="6">
        <f t="shared" si="305"/>
        <v>0</v>
      </c>
    </row>
    <row r="19516" spans="3:4" ht="15" x14ac:dyDescent="0.25">
      <c r="C19516" s="8" t="e">
        <f>VLOOKUP(A:A,'ITEM LIST'!A:C,3,0)</f>
        <v>#N/A</v>
      </c>
      <c r="D19516" s="6">
        <f t="shared" si="305"/>
        <v>0</v>
      </c>
    </row>
    <row r="19517" spans="3:4" ht="15" x14ac:dyDescent="0.25">
      <c r="C19517" s="8" t="e">
        <f>VLOOKUP(A:A,'ITEM LIST'!A:C,3,0)</f>
        <v>#N/A</v>
      </c>
      <c r="D19517" s="6">
        <f t="shared" si="305"/>
        <v>0</v>
      </c>
    </row>
    <row r="19518" spans="3:4" ht="15" x14ac:dyDescent="0.25">
      <c r="C19518" s="8" t="e">
        <f>VLOOKUP(A:A,'ITEM LIST'!A:C,3,0)</f>
        <v>#N/A</v>
      </c>
      <c r="D19518" s="6">
        <f t="shared" si="305"/>
        <v>0</v>
      </c>
    </row>
    <row r="19519" spans="3:4" ht="15" x14ac:dyDescent="0.25">
      <c r="C19519" s="8" t="e">
        <f>VLOOKUP(A:A,'ITEM LIST'!A:C,3,0)</f>
        <v>#N/A</v>
      </c>
      <c r="D19519" s="6">
        <f t="shared" si="305"/>
        <v>0</v>
      </c>
    </row>
    <row r="19520" spans="3:4" ht="15" x14ac:dyDescent="0.25">
      <c r="C19520" s="8" t="e">
        <f>VLOOKUP(A:A,'ITEM LIST'!A:C,3,0)</f>
        <v>#N/A</v>
      </c>
      <c r="D19520" s="6">
        <f t="shared" si="305"/>
        <v>0</v>
      </c>
    </row>
    <row r="19521" spans="3:4" ht="15" x14ac:dyDescent="0.25">
      <c r="C19521" s="8" t="e">
        <f>VLOOKUP(A:A,'ITEM LIST'!A:C,3,0)</f>
        <v>#N/A</v>
      </c>
      <c r="D19521" s="6">
        <f t="shared" si="305"/>
        <v>0</v>
      </c>
    </row>
    <row r="19522" spans="3:4" ht="15" x14ac:dyDescent="0.25">
      <c r="C19522" s="8" t="e">
        <f>VLOOKUP(A:A,'ITEM LIST'!A:C,3,0)</f>
        <v>#N/A</v>
      </c>
      <c r="D19522" s="6">
        <f t="shared" si="305"/>
        <v>0</v>
      </c>
    </row>
    <row r="19523" spans="3:4" ht="15" x14ac:dyDescent="0.25">
      <c r="C19523" s="8" t="e">
        <f>VLOOKUP(A:A,'ITEM LIST'!A:C,3,0)</f>
        <v>#N/A</v>
      </c>
      <c r="D19523" s="6">
        <f t="shared" si="305"/>
        <v>0</v>
      </c>
    </row>
    <row r="19524" spans="3:4" ht="15" x14ac:dyDescent="0.25">
      <c r="C19524" s="8" t="e">
        <f>VLOOKUP(A:A,'ITEM LIST'!A:C,3,0)</f>
        <v>#N/A</v>
      </c>
      <c r="D19524" s="6">
        <f t="shared" si="305"/>
        <v>0</v>
      </c>
    </row>
    <row r="19525" spans="3:4" ht="15" x14ac:dyDescent="0.25">
      <c r="C19525" s="8" t="e">
        <f>VLOOKUP(A:A,'ITEM LIST'!A:C,3,0)</f>
        <v>#N/A</v>
      </c>
      <c r="D19525" s="6">
        <f t="shared" si="305"/>
        <v>0</v>
      </c>
    </row>
    <row r="19526" spans="3:4" ht="15" x14ac:dyDescent="0.25">
      <c r="C19526" s="8" t="e">
        <f>VLOOKUP(A:A,'ITEM LIST'!A:C,3,0)</f>
        <v>#N/A</v>
      </c>
      <c r="D19526" s="6">
        <f t="shared" ref="D19526:D19589" si="306">B19526</f>
        <v>0</v>
      </c>
    </row>
    <row r="19527" spans="3:4" ht="15" x14ac:dyDescent="0.25">
      <c r="C19527" s="8" t="e">
        <f>VLOOKUP(A:A,'ITEM LIST'!A:C,3,0)</f>
        <v>#N/A</v>
      </c>
      <c r="D19527" s="6">
        <f t="shared" si="306"/>
        <v>0</v>
      </c>
    </row>
    <row r="19528" spans="3:4" ht="15" x14ac:dyDescent="0.25">
      <c r="C19528" s="8" t="e">
        <f>VLOOKUP(A:A,'ITEM LIST'!A:C,3,0)</f>
        <v>#N/A</v>
      </c>
      <c r="D19528" s="6">
        <f t="shared" si="306"/>
        <v>0</v>
      </c>
    </row>
    <row r="19529" spans="3:4" ht="15" x14ac:dyDescent="0.25">
      <c r="C19529" s="8" t="e">
        <f>VLOOKUP(A:A,'ITEM LIST'!A:C,3,0)</f>
        <v>#N/A</v>
      </c>
      <c r="D19529" s="6">
        <f t="shared" si="306"/>
        <v>0</v>
      </c>
    </row>
    <row r="19530" spans="3:4" ht="15" x14ac:dyDescent="0.25">
      <c r="C19530" s="8" t="e">
        <f>VLOOKUP(A:A,'ITEM LIST'!A:C,3,0)</f>
        <v>#N/A</v>
      </c>
      <c r="D19530" s="6">
        <f t="shared" si="306"/>
        <v>0</v>
      </c>
    </row>
    <row r="19531" spans="3:4" ht="15" x14ac:dyDescent="0.25">
      <c r="C19531" s="8" t="e">
        <f>VLOOKUP(A:A,'ITEM LIST'!A:C,3,0)</f>
        <v>#N/A</v>
      </c>
      <c r="D19531" s="6">
        <f t="shared" si="306"/>
        <v>0</v>
      </c>
    </row>
    <row r="19532" spans="3:4" ht="15" x14ac:dyDescent="0.25">
      <c r="C19532" s="8" t="e">
        <f>VLOOKUP(A:A,'ITEM LIST'!A:C,3,0)</f>
        <v>#N/A</v>
      </c>
      <c r="D19532" s="6">
        <f t="shared" si="306"/>
        <v>0</v>
      </c>
    </row>
    <row r="19533" spans="3:4" ht="15" x14ac:dyDescent="0.25">
      <c r="C19533" s="8" t="e">
        <f>VLOOKUP(A:A,'ITEM LIST'!A:C,3,0)</f>
        <v>#N/A</v>
      </c>
      <c r="D19533" s="6">
        <f t="shared" si="306"/>
        <v>0</v>
      </c>
    </row>
    <row r="19534" spans="3:4" ht="15" x14ac:dyDescent="0.25">
      <c r="C19534" s="8" t="e">
        <f>VLOOKUP(A:A,'ITEM LIST'!A:C,3,0)</f>
        <v>#N/A</v>
      </c>
      <c r="D19534" s="6">
        <f t="shared" si="306"/>
        <v>0</v>
      </c>
    </row>
    <row r="19535" spans="3:4" ht="15" x14ac:dyDescent="0.25">
      <c r="C19535" s="8" t="e">
        <f>VLOOKUP(A:A,'ITEM LIST'!A:C,3,0)</f>
        <v>#N/A</v>
      </c>
      <c r="D19535" s="6">
        <f t="shared" si="306"/>
        <v>0</v>
      </c>
    </row>
    <row r="19536" spans="3:4" ht="15" x14ac:dyDescent="0.25">
      <c r="C19536" s="8" t="e">
        <f>VLOOKUP(A:A,'ITEM LIST'!A:C,3,0)</f>
        <v>#N/A</v>
      </c>
      <c r="D19536" s="6">
        <f t="shared" si="306"/>
        <v>0</v>
      </c>
    </row>
    <row r="19537" spans="3:4" ht="15" x14ac:dyDescent="0.25">
      <c r="C19537" s="8" t="e">
        <f>VLOOKUP(A:A,'ITEM LIST'!A:C,3,0)</f>
        <v>#N/A</v>
      </c>
      <c r="D19537" s="6">
        <f t="shared" si="306"/>
        <v>0</v>
      </c>
    </row>
    <row r="19538" spans="3:4" ht="15" x14ac:dyDescent="0.25">
      <c r="C19538" s="8" t="e">
        <f>VLOOKUP(A:A,'ITEM LIST'!A:C,3,0)</f>
        <v>#N/A</v>
      </c>
      <c r="D19538" s="6">
        <f t="shared" si="306"/>
        <v>0</v>
      </c>
    </row>
    <row r="19539" spans="3:4" ht="15" x14ac:dyDescent="0.25">
      <c r="C19539" s="8" t="e">
        <f>VLOOKUP(A:A,'ITEM LIST'!A:C,3,0)</f>
        <v>#N/A</v>
      </c>
      <c r="D19539" s="6">
        <f t="shared" si="306"/>
        <v>0</v>
      </c>
    </row>
    <row r="19540" spans="3:4" ht="15" x14ac:dyDescent="0.25">
      <c r="C19540" s="8" t="e">
        <f>VLOOKUP(A:A,'ITEM LIST'!A:C,3,0)</f>
        <v>#N/A</v>
      </c>
      <c r="D19540" s="6">
        <f t="shared" si="306"/>
        <v>0</v>
      </c>
    </row>
    <row r="19541" spans="3:4" ht="15" x14ac:dyDescent="0.25">
      <c r="C19541" s="8" t="e">
        <f>VLOOKUP(A:A,'ITEM LIST'!A:C,3,0)</f>
        <v>#N/A</v>
      </c>
      <c r="D19541" s="6">
        <f t="shared" si="306"/>
        <v>0</v>
      </c>
    </row>
    <row r="19542" spans="3:4" ht="15" x14ac:dyDescent="0.25">
      <c r="C19542" s="8" t="e">
        <f>VLOOKUP(A:A,'ITEM LIST'!A:C,3,0)</f>
        <v>#N/A</v>
      </c>
      <c r="D19542" s="6">
        <f t="shared" si="306"/>
        <v>0</v>
      </c>
    </row>
    <row r="19543" spans="3:4" ht="15" x14ac:dyDescent="0.25">
      <c r="C19543" s="8" t="e">
        <f>VLOOKUP(A:A,'ITEM LIST'!A:C,3,0)</f>
        <v>#N/A</v>
      </c>
      <c r="D19543" s="6">
        <f t="shared" si="306"/>
        <v>0</v>
      </c>
    </row>
    <row r="19544" spans="3:4" ht="15" x14ac:dyDescent="0.25">
      <c r="C19544" s="8" t="e">
        <f>VLOOKUP(A:A,'ITEM LIST'!A:C,3,0)</f>
        <v>#N/A</v>
      </c>
      <c r="D19544" s="6">
        <f t="shared" si="306"/>
        <v>0</v>
      </c>
    </row>
    <row r="19545" spans="3:4" ht="15" x14ac:dyDescent="0.25">
      <c r="C19545" s="8" t="e">
        <f>VLOOKUP(A:A,'ITEM LIST'!A:C,3,0)</f>
        <v>#N/A</v>
      </c>
      <c r="D19545" s="6">
        <f t="shared" si="306"/>
        <v>0</v>
      </c>
    </row>
    <row r="19546" spans="3:4" ht="15" x14ac:dyDescent="0.25">
      <c r="C19546" s="8" t="e">
        <f>VLOOKUP(A:A,'ITEM LIST'!A:C,3,0)</f>
        <v>#N/A</v>
      </c>
      <c r="D19546" s="6">
        <f t="shared" si="306"/>
        <v>0</v>
      </c>
    </row>
    <row r="19547" spans="3:4" ht="15" x14ac:dyDescent="0.25">
      <c r="C19547" s="8" t="e">
        <f>VLOOKUP(A:A,'ITEM LIST'!A:C,3,0)</f>
        <v>#N/A</v>
      </c>
      <c r="D19547" s="6">
        <f t="shared" si="306"/>
        <v>0</v>
      </c>
    </row>
    <row r="19548" spans="3:4" ht="15" x14ac:dyDescent="0.25">
      <c r="C19548" s="8" t="e">
        <f>VLOOKUP(A:A,'ITEM LIST'!A:C,3,0)</f>
        <v>#N/A</v>
      </c>
      <c r="D19548" s="6">
        <f t="shared" si="306"/>
        <v>0</v>
      </c>
    </row>
    <row r="19549" spans="3:4" ht="15" x14ac:dyDescent="0.25">
      <c r="C19549" s="8" t="e">
        <f>VLOOKUP(A:A,'ITEM LIST'!A:C,3,0)</f>
        <v>#N/A</v>
      </c>
      <c r="D19549" s="6">
        <f t="shared" si="306"/>
        <v>0</v>
      </c>
    </row>
    <row r="19550" spans="3:4" ht="15" x14ac:dyDescent="0.25">
      <c r="C19550" s="8" t="e">
        <f>VLOOKUP(A:A,'ITEM LIST'!A:C,3,0)</f>
        <v>#N/A</v>
      </c>
      <c r="D19550" s="6">
        <f t="shared" si="306"/>
        <v>0</v>
      </c>
    </row>
    <row r="19551" spans="3:4" ht="15" x14ac:dyDescent="0.25">
      <c r="C19551" s="8" t="e">
        <f>VLOOKUP(A:A,'ITEM LIST'!A:C,3,0)</f>
        <v>#N/A</v>
      </c>
      <c r="D19551" s="6">
        <f t="shared" si="306"/>
        <v>0</v>
      </c>
    </row>
    <row r="19552" spans="3:4" ht="15" x14ac:dyDescent="0.25">
      <c r="C19552" s="8" t="e">
        <f>VLOOKUP(A:A,'ITEM LIST'!A:C,3,0)</f>
        <v>#N/A</v>
      </c>
      <c r="D19552" s="6">
        <f t="shared" si="306"/>
        <v>0</v>
      </c>
    </row>
    <row r="19553" spans="3:4" ht="15" x14ac:dyDescent="0.25">
      <c r="C19553" s="8" t="e">
        <f>VLOOKUP(A:A,'ITEM LIST'!A:C,3,0)</f>
        <v>#N/A</v>
      </c>
      <c r="D19553" s="6">
        <f t="shared" si="306"/>
        <v>0</v>
      </c>
    </row>
    <row r="19554" spans="3:4" ht="15" x14ac:dyDescent="0.25">
      <c r="C19554" s="8" t="e">
        <f>VLOOKUP(A:A,'ITEM LIST'!A:C,3,0)</f>
        <v>#N/A</v>
      </c>
      <c r="D19554" s="6">
        <f t="shared" si="306"/>
        <v>0</v>
      </c>
    </row>
    <row r="19555" spans="3:4" ht="15" x14ac:dyDescent="0.25">
      <c r="C19555" s="8" t="e">
        <f>VLOOKUP(A:A,'ITEM LIST'!A:C,3,0)</f>
        <v>#N/A</v>
      </c>
      <c r="D19555" s="6">
        <f t="shared" si="306"/>
        <v>0</v>
      </c>
    </row>
    <row r="19556" spans="3:4" ht="15" x14ac:dyDescent="0.25">
      <c r="C19556" s="8" t="e">
        <f>VLOOKUP(A:A,'ITEM LIST'!A:C,3,0)</f>
        <v>#N/A</v>
      </c>
      <c r="D19556" s="6">
        <f t="shared" si="306"/>
        <v>0</v>
      </c>
    </row>
    <row r="19557" spans="3:4" ht="15" x14ac:dyDescent="0.25">
      <c r="C19557" s="8" t="e">
        <f>VLOOKUP(A:A,'ITEM LIST'!A:C,3,0)</f>
        <v>#N/A</v>
      </c>
      <c r="D19557" s="6">
        <f t="shared" si="306"/>
        <v>0</v>
      </c>
    </row>
    <row r="19558" spans="3:4" ht="15" x14ac:dyDescent="0.25">
      <c r="C19558" s="8" t="e">
        <f>VLOOKUP(A:A,'ITEM LIST'!A:C,3,0)</f>
        <v>#N/A</v>
      </c>
      <c r="D19558" s="6">
        <f t="shared" si="306"/>
        <v>0</v>
      </c>
    </row>
    <row r="19559" spans="3:4" ht="15" x14ac:dyDescent="0.25">
      <c r="C19559" s="8" t="e">
        <f>VLOOKUP(A:A,'ITEM LIST'!A:C,3,0)</f>
        <v>#N/A</v>
      </c>
      <c r="D19559" s="6">
        <f t="shared" si="306"/>
        <v>0</v>
      </c>
    </row>
    <row r="19560" spans="3:4" ht="15" x14ac:dyDescent="0.25">
      <c r="C19560" s="8" t="e">
        <f>VLOOKUP(A:A,'ITEM LIST'!A:C,3,0)</f>
        <v>#N/A</v>
      </c>
      <c r="D19560" s="6">
        <f t="shared" si="306"/>
        <v>0</v>
      </c>
    </row>
    <row r="19561" spans="3:4" ht="15" x14ac:dyDescent="0.25">
      <c r="C19561" s="8" t="e">
        <f>VLOOKUP(A:A,'ITEM LIST'!A:C,3,0)</f>
        <v>#N/A</v>
      </c>
      <c r="D19561" s="6">
        <f t="shared" si="306"/>
        <v>0</v>
      </c>
    </row>
    <row r="19562" spans="3:4" ht="15" x14ac:dyDescent="0.25">
      <c r="C19562" s="8" t="e">
        <f>VLOOKUP(A:A,'ITEM LIST'!A:C,3,0)</f>
        <v>#N/A</v>
      </c>
      <c r="D19562" s="6">
        <f t="shared" si="306"/>
        <v>0</v>
      </c>
    </row>
    <row r="19563" spans="3:4" ht="15" x14ac:dyDescent="0.25">
      <c r="C19563" s="8" t="e">
        <f>VLOOKUP(A:A,'ITEM LIST'!A:C,3,0)</f>
        <v>#N/A</v>
      </c>
      <c r="D19563" s="6">
        <f t="shared" si="306"/>
        <v>0</v>
      </c>
    </row>
    <row r="19564" spans="3:4" ht="15" x14ac:dyDescent="0.25">
      <c r="C19564" s="8" t="e">
        <f>VLOOKUP(A:A,'ITEM LIST'!A:C,3,0)</f>
        <v>#N/A</v>
      </c>
      <c r="D19564" s="6">
        <f t="shared" si="306"/>
        <v>0</v>
      </c>
    </row>
    <row r="19565" spans="3:4" ht="15" x14ac:dyDescent="0.25">
      <c r="C19565" s="8" t="e">
        <f>VLOOKUP(A:A,'ITEM LIST'!A:C,3,0)</f>
        <v>#N/A</v>
      </c>
      <c r="D19565" s="6">
        <f t="shared" si="306"/>
        <v>0</v>
      </c>
    </row>
    <row r="19566" spans="3:4" ht="15" x14ac:dyDescent="0.25">
      <c r="C19566" s="8" t="e">
        <f>VLOOKUP(A:A,'ITEM LIST'!A:C,3,0)</f>
        <v>#N/A</v>
      </c>
      <c r="D19566" s="6">
        <f t="shared" si="306"/>
        <v>0</v>
      </c>
    </row>
    <row r="19567" spans="3:4" ht="15" x14ac:dyDescent="0.25">
      <c r="C19567" s="8" t="e">
        <f>VLOOKUP(A:A,'ITEM LIST'!A:C,3,0)</f>
        <v>#N/A</v>
      </c>
      <c r="D19567" s="6">
        <f t="shared" si="306"/>
        <v>0</v>
      </c>
    </row>
    <row r="19568" spans="3:4" ht="15" x14ac:dyDescent="0.25">
      <c r="C19568" s="8" t="e">
        <f>VLOOKUP(A:A,'ITEM LIST'!A:C,3,0)</f>
        <v>#N/A</v>
      </c>
      <c r="D19568" s="6">
        <f t="shared" si="306"/>
        <v>0</v>
      </c>
    </row>
    <row r="19569" spans="3:4" ht="15" x14ac:dyDescent="0.25">
      <c r="C19569" s="8" t="e">
        <f>VLOOKUP(A:A,'ITEM LIST'!A:C,3,0)</f>
        <v>#N/A</v>
      </c>
      <c r="D19569" s="6">
        <f t="shared" si="306"/>
        <v>0</v>
      </c>
    </row>
    <row r="19570" spans="3:4" ht="15" x14ac:dyDescent="0.25">
      <c r="C19570" s="8" t="e">
        <f>VLOOKUP(A:A,'ITEM LIST'!A:C,3,0)</f>
        <v>#N/A</v>
      </c>
      <c r="D19570" s="6">
        <f t="shared" si="306"/>
        <v>0</v>
      </c>
    </row>
    <row r="19571" spans="3:4" ht="15" x14ac:dyDescent="0.25">
      <c r="C19571" s="8" t="e">
        <f>VLOOKUP(A:A,'ITEM LIST'!A:C,3,0)</f>
        <v>#N/A</v>
      </c>
      <c r="D19571" s="6">
        <f t="shared" si="306"/>
        <v>0</v>
      </c>
    </row>
    <row r="19572" spans="3:4" ht="15" x14ac:dyDescent="0.25">
      <c r="C19572" s="8" t="e">
        <f>VLOOKUP(A:A,'ITEM LIST'!A:C,3,0)</f>
        <v>#N/A</v>
      </c>
      <c r="D19572" s="6">
        <f t="shared" si="306"/>
        <v>0</v>
      </c>
    </row>
    <row r="19573" spans="3:4" ht="15" x14ac:dyDescent="0.25">
      <c r="C19573" s="8" t="e">
        <f>VLOOKUP(A:A,'ITEM LIST'!A:C,3,0)</f>
        <v>#N/A</v>
      </c>
      <c r="D19573" s="6">
        <f t="shared" si="306"/>
        <v>0</v>
      </c>
    </row>
    <row r="19574" spans="3:4" ht="15" x14ac:dyDescent="0.25">
      <c r="C19574" s="8" t="e">
        <f>VLOOKUP(A:A,'ITEM LIST'!A:C,3,0)</f>
        <v>#N/A</v>
      </c>
      <c r="D19574" s="6">
        <f t="shared" si="306"/>
        <v>0</v>
      </c>
    </row>
    <row r="19575" spans="3:4" ht="15" x14ac:dyDescent="0.25">
      <c r="C19575" s="8" t="e">
        <f>VLOOKUP(A:A,'ITEM LIST'!A:C,3,0)</f>
        <v>#N/A</v>
      </c>
      <c r="D19575" s="6">
        <f t="shared" si="306"/>
        <v>0</v>
      </c>
    </row>
    <row r="19576" spans="3:4" ht="15" x14ac:dyDescent="0.25">
      <c r="C19576" s="8" t="e">
        <f>VLOOKUP(A:A,'ITEM LIST'!A:C,3,0)</f>
        <v>#N/A</v>
      </c>
      <c r="D19576" s="6">
        <f t="shared" si="306"/>
        <v>0</v>
      </c>
    </row>
    <row r="19577" spans="3:4" ht="15" x14ac:dyDescent="0.25">
      <c r="C19577" s="8" t="e">
        <f>VLOOKUP(A:A,'ITEM LIST'!A:C,3,0)</f>
        <v>#N/A</v>
      </c>
      <c r="D19577" s="6">
        <f t="shared" si="306"/>
        <v>0</v>
      </c>
    </row>
    <row r="19578" spans="3:4" ht="15" x14ac:dyDescent="0.25">
      <c r="C19578" s="8" t="e">
        <f>VLOOKUP(A:A,'ITEM LIST'!A:C,3,0)</f>
        <v>#N/A</v>
      </c>
      <c r="D19578" s="6">
        <f t="shared" si="306"/>
        <v>0</v>
      </c>
    </row>
    <row r="19579" spans="3:4" ht="15" x14ac:dyDescent="0.25">
      <c r="C19579" s="8" t="e">
        <f>VLOOKUP(A:A,'ITEM LIST'!A:C,3,0)</f>
        <v>#N/A</v>
      </c>
      <c r="D19579" s="6">
        <f t="shared" si="306"/>
        <v>0</v>
      </c>
    </row>
    <row r="19580" spans="3:4" ht="15" x14ac:dyDescent="0.25">
      <c r="C19580" s="8" t="e">
        <f>VLOOKUP(A:A,'ITEM LIST'!A:C,3,0)</f>
        <v>#N/A</v>
      </c>
      <c r="D19580" s="6">
        <f t="shared" si="306"/>
        <v>0</v>
      </c>
    </row>
    <row r="19581" spans="3:4" ht="15" x14ac:dyDescent="0.25">
      <c r="C19581" s="8" t="e">
        <f>VLOOKUP(A:A,'ITEM LIST'!A:C,3,0)</f>
        <v>#N/A</v>
      </c>
      <c r="D19581" s="6">
        <f t="shared" si="306"/>
        <v>0</v>
      </c>
    </row>
    <row r="19582" spans="3:4" ht="15" x14ac:dyDescent="0.25">
      <c r="C19582" s="8" t="e">
        <f>VLOOKUP(A:A,'ITEM LIST'!A:C,3,0)</f>
        <v>#N/A</v>
      </c>
      <c r="D19582" s="6">
        <f t="shared" si="306"/>
        <v>0</v>
      </c>
    </row>
    <row r="19583" spans="3:4" ht="15" x14ac:dyDescent="0.25">
      <c r="C19583" s="8" t="e">
        <f>VLOOKUP(A:A,'ITEM LIST'!A:C,3,0)</f>
        <v>#N/A</v>
      </c>
      <c r="D19583" s="6">
        <f t="shared" si="306"/>
        <v>0</v>
      </c>
    </row>
    <row r="19584" spans="3:4" ht="15" x14ac:dyDescent="0.25">
      <c r="C19584" s="8" t="e">
        <f>VLOOKUP(A:A,'ITEM LIST'!A:C,3,0)</f>
        <v>#N/A</v>
      </c>
      <c r="D19584" s="6">
        <f t="shared" si="306"/>
        <v>0</v>
      </c>
    </row>
    <row r="19585" spans="3:4" ht="15" x14ac:dyDescent="0.25">
      <c r="C19585" s="8" t="e">
        <f>VLOOKUP(A:A,'ITEM LIST'!A:C,3,0)</f>
        <v>#N/A</v>
      </c>
      <c r="D19585" s="6">
        <f t="shared" si="306"/>
        <v>0</v>
      </c>
    </row>
    <row r="19586" spans="3:4" ht="15" x14ac:dyDescent="0.25">
      <c r="C19586" s="8" t="e">
        <f>VLOOKUP(A:A,'ITEM LIST'!A:C,3,0)</f>
        <v>#N/A</v>
      </c>
      <c r="D19586" s="6">
        <f t="shared" si="306"/>
        <v>0</v>
      </c>
    </row>
    <row r="19587" spans="3:4" ht="15" x14ac:dyDescent="0.25">
      <c r="C19587" s="8" t="e">
        <f>VLOOKUP(A:A,'ITEM LIST'!A:C,3,0)</f>
        <v>#N/A</v>
      </c>
      <c r="D19587" s="6">
        <f t="shared" si="306"/>
        <v>0</v>
      </c>
    </row>
    <row r="19588" spans="3:4" ht="15" x14ac:dyDescent="0.25">
      <c r="C19588" s="8" t="e">
        <f>VLOOKUP(A:A,'ITEM LIST'!A:C,3,0)</f>
        <v>#N/A</v>
      </c>
      <c r="D19588" s="6">
        <f t="shared" si="306"/>
        <v>0</v>
      </c>
    </row>
    <row r="19589" spans="3:4" ht="15" x14ac:dyDescent="0.25">
      <c r="C19589" s="8" t="e">
        <f>VLOOKUP(A:A,'ITEM LIST'!A:C,3,0)</f>
        <v>#N/A</v>
      </c>
      <c r="D19589" s="6">
        <f t="shared" si="306"/>
        <v>0</v>
      </c>
    </row>
    <row r="19590" spans="3:4" ht="15" x14ac:dyDescent="0.25">
      <c r="C19590" s="8" t="e">
        <f>VLOOKUP(A:A,'ITEM LIST'!A:C,3,0)</f>
        <v>#N/A</v>
      </c>
      <c r="D19590" s="6">
        <f t="shared" ref="D19590:D19604" si="307">B19590</f>
        <v>0</v>
      </c>
    </row>
    <row r="19591" spans="3:4" ht="15" x14ac:dyDescent="0.25">
      <c r="C19591" s="8" t="e">
        <f>VLOOKUP(A:A,'ITEM LIST'!A:C,3,0)</f>
        <v>#N/A</v>
      </c>
      <c r="D19591" s="6">
        <f t="shared" si="307"/>
        <v>0</v>
      </c>
    </row>
    <row r="19592" spans="3:4" ht="15" x14ac:dyDescent="0.25">
      <c r="C19592" s="8" t="e">
        <f>VLOOKUP(A:A,'ITEM LIST'!A:C,3,0)</f>
        <v>#N/A</v>
      </c>
      <c r="D19592" s="6">
        <f t="shared" si="307"/>
        <v>0</v>
      </c>
    </row>
    <row r="19593" spans="3:4" ht="15" x14ac:dyDescent="0.25">
      <c r="C19593" s="8" t="e">
        <f>VLOOKUP(A:A,'ITEM LIST'!A:C,3,0)</f>
        <v>#N/A</v>
      </c>
      <c r="D19593" s="6">
        <f t="shared" si="307"/>
        <v>0</v>
      </c>
    </row>
    <row r="19594" spans="3:4" ht="15" x14ac:dyDescent="0.25">
      <c r="C19594" s="8" t="e">
        <f>VLOOKUP(A:A,'ITEM LIST'!A:C,3,0)</f>
        <v>#N/A</v>
      </c>
      <c r="D19594" s="6">
        <f t="shared" si="307"/>
        <v>0</v>
      </c>
    </row>
    <row r="19595" spans="3:4" ht="15" x14ac:dyDescent="0.25">
      <c r="C19595" s="8" t="e">
        <f>VLOOKUP(A:A,'ITEM LIST'!A:C,3,0)</f>
        <v>#N/A</v>
      </c>
      <c r="D19595" s="6">
        <f t="shared" si="307"/>
        <v>0</v>
      </c>
    </row>
    <row r="19596" spans="3:4" ht="15" x14ac:dyDescent="0.25">
      <c r="C19596" s="8" t="e">
        <f>VLOOKUP(A:A,'ITEM LIST'!A:C,3,0)</f>
        <v>#N/A</v>
      </c>
      <c r="D19596" s="6">
        <f t="shared" si="307"/>
        <v>0</v>
      </c>
    </row>
    <row r="19597" spans="3:4" ht="15" x14ac:dyDescent="0.25">
      <c r="C19597" s="8" t="e">
        <f>VLOOKUP(A:A,'ITEM LIST'!A:C,3,0)</f>
        <v>#N/A</v>
      </c>
      <c r="D19597" s="6">
        <f t="shared" si="307"/>
        <v>0</v>
      </c>
    </row>
    <row r="19598" spans="3:4" ht="15" x14ac:dyDescent="0.25">
      <c r="C19598" s="8" t="e">
        <f>VLOOKUP(A:A,'ITEM LIST'!A:C,3,0)</f>
        <v>#N/A</v>
      </c>
      <c r="D19598" s="6">
        <f t="shared" si="307"/>
        <v>0</v>
      </c>
    </row>
    <row r="19599" spans="3:4" ht="15" x14ac:dyDescent="0.25">
      <c r="C19599" s="8" t="e">
        <f>VLOOKUP(A:A,'ITEM LIST'!A:C,3,0)</f>
        <v>#N/A</v>
      </c>
      <c r="D19599" s="6">
        <f t="shared" si="307"/>
        <v>0</v>
      </c>
    </row>
    <row r="19600" spans="3:4" ht="15" x14ac:dyDescent="0.25">
      <c r="C19600" s="8" t="e">
        <f>VLOOKUP(A:A,'ITEM LIST'!A:C,3,0)</f>
        <v>#N/A</v>
      </c>
      <c r="D19600" s="6">
        <f t="shared" si="307"/>
        <v>0</v>
      </c>
    </row>
    <row r="19601" spans="3:4" ht="15" x14ac:dyDescent="0.25">
      <c r="C19601" s="8" t="e">
        <f>VLOOKUP(A:A,'ITEM LIST'!A:C,3,0)</f>
        <v>#N/A</v>
      </c>
      <c r="D19601" s="6">
        <f t="shared" si="307"/>
        <v>0</v>
      </c>
    </row>
    <row r="19602" spans="3:4" ht="15" x14ac:dyDescent="0.25">
      <c r="C19602" s="8" t="e">
        <f>VLOOKUP(A:A,'ITEM LIST'!A:C,3,0)</f>
        <v>#N/A</v>
      </c>
      <c r="D19602" s="6">
        <f t="shared" si="307"/>
        <v>0</v>
      </c>
    </row>
    <row r="19603" spans="3:4" ht="15" x14ac:dyDescent="0.25">
      <c r="C19603" s="8" t="e">
        <f>VLOOKUP(A:A,'ITEM LIST'!A:C,3,0)</f>
        <v>#N/A</v>
      </c>
      <c r="D19603" s="6">
        <f t="shared" si="307"/>
        <v>0</v>
      </c>
    </row>
    <row r="19604" spans="3:4" ht="15" x14ac:dyDescent="0.25">
      <c r="C19604" s="8" t="e">
        <f>VLOOKUP(A:A,'ITEM LIST'!A:C,3,0)</f>
        <v>#N/A</v>
      </c>
      <c r="D19604" s="6">
        <f t="shared" si="307"/>
        <v>0</v>
      </c>
    </row>
    <row r="19605" spans="3:4" x14ac:dyDescent="0.2">
      <c r="C19605" s="8" t="e">
        <f>VLOOKUP(A:A,'ITEM LIST'!A:C,3,0)</f>
        <v>#N/A</v>
      </c>
    </row>
    <row r="19606" spans="3:4" x14ac:dyDescent="0.2">
      <c r="C19606" s="8" t="e">
        <f>VLOOKUP(A:A,'ITEM LIST'!A:C,3,0)</f>
        <v>#N/A</v>
      </c>
    </row>
    <row r="19607" spans="3:4" x14ac:dyDescent="0.2">
      <c r="C19607" s="8" t="e">
        <f>VLOOKUP(A:A,'ITEM LIST'!A:C,3,0)</f>
        <v>#N/A</v>
      </c>
    </row>
    <row r="19608" spans="3:4" x14ac:dyDescent="0.2">
      <c r="C19608" s="8" t="e">
        <f>VLOOKUP(A:A,'ITEM LIST'!A:C,3,0)</f>
        <v>#N/A</v>
      </c>
    </row>
    <row r="19609" spans="3:4" x14ac:dyDescent="0.2">
      <c r="C19609" s="8" t="e">
        <f>VLOOKUP(A:A,'ITEM LIST'!A:C,3,0)</f>
        <v>#N/A</v>
      </c>
    </row>
    <row r="19610" spans="3:4" x14ac:dyDescent="0.2">
      <c r="C19610" s="8" t="e">
        <f>VLOOKUP(A:A,'ITEM LIST'!A:C,3,0)</f>
        <v>#N/A</v>
      </c>
    </row>
    <row r="19611" spans="3:4" x14ac:dyDescent="0.2">
      <c r="C19611" s="8" t="e">
        <f>VLOOKUP(A:A,'ITEM LIST'!A:C,3,0)</f>
        <v>#N/A</v>
      </c>
    </row>
    <row r="19612" spans="3:4" x14ac:dyDescent="0.2">
      <c r="C19612" s="8" t="e">
        <f>VLOOKUP(A:A,'ITEM LIST'!A:C,3,0)</f>
        <v>#N/A</v>
      </c>
    </row>
    <row r="19613" spans="3:4" x14ac:dyDescent="0.2">
      <c r="C19613" s="8" t="e">
        <f>VLOOKUP(A:A,'ITEM LIST'!A:C,3,0)</f>
        <v>#N/A</v>
      </c>
    </row>
    <row r="19614" spans="3:4" x14ac:dyDescent="0.2">
      <c r="C19614" s="8" t="e">
        <f>VLOOKUP(A:A,'ITEM LIST'!A:C,3,0)</f>
        <v>#N/A</v>
      </c>
    </row>
    <row r="19615" spans="3:4" x14ac:dyDescent="0.2">
      <c r="C19615" s="8" t="e">
        <f>VLOOKUP(A:A,'ITEM LIST'!A:C,3,0)</f>
        <v>#N/A</v>
      </c>
    </row>
    <row r="19616" spans="3:4" x14ac:dyDescent="0.2">
      <c r="C19616" s="8" t="e">
        <f>VLOOKUP(A:A,'ITEM LIST'!A:C,3,0)</f>
        <v>#N/A</v>
      </c>
    </row>
    <row r="19617" spans="3:3" x14ac:dyDescent="0.2">
      <c r="C19617" s="8" t="e">
        <f>VLOOKUP(A:A,'ITEM LIST'!A:C,3,0)</f>
        <v>#N/A</v>
      </c>
    </row>
    <row r="19618" spans="3:3" x14ac:dyDescent="0.2">
      <c r="C19618" s="8" t="e">
        <f>VLOOKUP(A:A,'ITEM LIST'!A:C,3,0)</f>
        <v>#N/A</v>
      </c>
    </row>
    <row r="19619" spans="3:3" x14ac:dyDescent="0.2">
      <c r="C19619" s="8" t="e">
        <f>VLOOKUP(A:A,'ITEM LIST'!A:C,3,0)</f>
        <v>#N/A</v>
      </c>
    </row>
    <row r="19620" spans="3:3" x14ac:dyDescent="0.2">
      <c r="C19620" s="8" t="e">
        <f>VLOOKUP(A:A,'ITEM LIST'!A:C,3,0)</f>
        <v>#N/A</v>
      </c>
    </row>
    <row r="19621" spans="3:3" x14ac:dyDescent="0.2">
      <c r="C19621" s="8" t="e">
        <f>VLOOKUP(A:A,'ITEM LIST'!A:C,3,0)</f>
        <v>#N/A</v>
      </c>
    </row>
    <row r="19622" spans="3:3" x14ac:dyDescent="0.2">
      <c r="C19622" s="8" t="e">
        <f>VLOOKUP(A:A,'ITEM LIST'!A:C,3,0)</f>
        <v>#N/A</v>
      </c>
    </row>
    <row r="19623" spans="3:3" x14ac:dyDescent="0.2">
      <c r="C19623" s="8" t="e">
        <f>VLOOKUP(A:A,'ITEM LIST'!A:C,3,0)</f>
        <v>#N/A</v>
      </c>
    </row>
    <row r="19624" spans="3:3" x14ac:dyDescent="0.2">
      <c r="C19624" s="8" t="e">
        <f>VLOOKUP(A:A,'ITEM LIST'!A:C,3,0)</f>
        <v>#N/A</v>
      </c>
    </row>
    <row r="19625" spans="3:3" x14ac:dyDescent="0.2">
      <c r="C19625" s="8" t="e">
        <f>VLOOKUP(A:A,'ITEM LIST'!A:C,3,0)</f>
        <v>#N/A</v>
      </c>
    </row>
    <row r="19626" spans="3:3" x14ac:dyDescent="0.2">
      <c r="C19626" s="8" t="e">
        <f>VLOOKUP(A:A,'ITEM LIST'!A:C,3,0)</f>
        <v>#N/A</v>
      </c>
    </row>
    <row r="19627" spans="3:3" x14ac:dyDescent="0.2">
      <c r="C19627" s="8" t="e">
        <f>VLOOKUP(A:A,'ITEM LIST'!A:C,3,0)</f>
        <v>#N/A</v>
      </c>
    </row>
    <row r="19628" spans="3:3" x14ac:dyDescent="0.2">
      <c r="C19628" s="8" t="e">
        <f>VLOOKUP(A:A,'ITEM LIST'!A:C,3,0)</f>
        <v>#N/A</v>
      </c>
    </row>
    <row r="19629" spans="3:3" x14ac:dyDescent="0.2">
      <c r="C19629" s="8" t="e">
        <f>VLOOKUP(A:A,'ITEM LIST'!A:C,3,0)</f>
        <v>#N/A</v>
      </c>
    </row>
    <row r="19630" spans="3:3" x14ac:dyDescent="0.2">
      <c r="C19630" s="8" t="e">
        <f>VLOOKUP(A:A,'ITEM LIST'!A:C,3,0)</f>
        <v>#N/A</v>
      </c>
    </row>
    <row r="19631" spans="3:3" x14ac:dyDescent="0.2">
      <c r="C19631" s="8" t="e">
        <f>VLOOKUP(A:A,'ITEM LIST'!A:C,3,0)</f>
        <v>#N/A</v>
      </c>
    </row>
    <row r="19632" spans="3:3" x14ac:dyDescent="0.2">
      <c r="C19632" s="8" t="e">
        <f>VLOOKUP(A:A,'ITEM LIST'!A:C,3,0)</f>
        <v>#N/A</v>
      </c>
    </row>
    <row r="19633" spans="3:3" x14ac:dyDescent="0.2">
      <c r="C19633" s="8" t="e">
        <f>VLOOKUP(A:A,'ITEM LIST'!A:C,3,0)</f>
        <v>#N/A</v>
      </c>
    </row>
    <row r="19634" spans="3:3" x14ac:dyDescent="0.2">
      <c r="C19634" s="8" t="e">
        <f>VLOOKUP(A:A,'ITEM LIST'!A:C,3,0)</f>
        <v>#N/A</v>
      </c>
    </row>
    <row r="19635" spans="3:3" x14ac:dyDescent="0.2">
      <c r="C19635" s="8" t="e">
        <f>VLOOKUP(A:A,'ITEM LIST'!A:C,3,0)</f>
        <v>#N/A</v>
      </c>
    </row>
    <row r="19636" spans="3:3" x14ac:dyDescent="0.2">
      <c r="C19636" s="8" t="e">
        <f>VLOOKUP(A:A,'ITEM LIST'!A:C,3,0)</f>
        <v>#N/A</v>
      </c>
    </row>
    <row r="19637" spans="3:3" x14ac:dyDescent="0.2">
      <c r="C19637" s="8" t="e">
        <f>VLOOKUP(A:A,'ITEM LIST'!A:C,3,0)</f>
        <v>#N/A</v>
      </c>
    </row>
    <row r="19638" spans="3:3" x14ac:dyDescent="0.2">
      <c r="C19638" s="8" t="e">
        <f>VLOOKUP(A:A,'ITEM LIST'!A:C,3,0)</f>
        <v>#N/A</v>
      </c>
    </row>
    <row r="19639" spans="3:3" x14ac:dyDescent="0.2">
      <c r="C19639" s="8" t="e">
        <f>VLOOKUP(A:A,'ITEM LIST'!A:C,3,0)</f>
        <v>#N/A</v>
      </c>
    </row>
    <row r="19640" spans="3:3" x14ac:dyDescent="0.2">
      <c r="C19640" s="8" t="e">
        <f>VLOOKUP(A:A,'ITEM LIST'!A:C,3,0)</f>
        <v>#N/A</v>
      </c>
    </row>
    <row r="19641" spans="3:3" x14ac:dyDescent="0.2">
      <c r="C19641" s="8" t="e">
        <f>VLOOKUP(A:A,'ITEM LIST'!A:C,3,0)</f>
        <v>#N/A</v>
      </c>
    </row>
    <row r="19642" spans="3:3" x14ac:dyDescent="0.2">
      <c r="C19642" s="8" t="e">
        <f>VLOOKUP(A:A,'ITEM LIST'!A:C,3,0)</f>
        <v>#N/A</v>
      </c>
    </row>
    <row r="19643" spans="3:3" x14ac:dyDescent="0.2">
      <c r="C19643" s="8" t="e">
        <f>VLOOKUP(A:A,'ITEM LIST'!A:C,3,0)</f>
        <v>#N/A</v>
      </c>
    </row>
    <row r="19644" spans="3:3" x14ac:dyDescent="0.2">
      <c r="C19644" s="8" t="e">
        <f>VLOOKUP(A:A,'ITEM LIST'!A:C,3,0)</f>
        <v>#N/A</v>
      </c>
    </row>
    <row r="19645" spans="3:3" x14ac:dyDescent="0.2">
      <c r="C19645" s="8" t="e">
        <f>VLOOKUP(A:A,'ITEM LIST'!A:C,3,0)</f>
        <v>#N/A</v>
      </c>
    </row>
    <row r="19646" spans="3:3" x14ac:dyDescent="0.2">
      <c r="C19646" s="8" t="e">
        <f>VLOOKUP(A:A,'ITEM LIST'!A:C,3,0)</f>
        <v>#N/A</v>
      </c>
    </row>
    <row r="19647" spans="3:3" x14ac:dyDescent="0.2">
      <c r="C19647" s="8" t="e">
        <f>VLOOKUP(A:A,'ITEM LIST'!A:C,3,0)</f>
        <v>#N/A</v>
      </c>
    </row>
    <row r="19648" spans="3:3" x14ac:dyDescent="0.2">
      <c r="C19648" s="8" t="e">
        <f>VLOOKUP(A:A,'ITEM LIST'!A:C,3,0)</f>
        <v>#N/A</v>
      </c>
    </row>
    <row r="19649" spans="3:3" x14ac:dyDescent="0.2">
      <c r="C19649" s="8" t="e">
        <f>VLOOKUP(A:A,'ITEM LIST'!A:C,3,0)</f>
        <v>#N/A</v>
      </c>
    </row>
    <row r="19650" spans="3:3" x14ac:dyDescent="0.2">
      <c r="C19650" s="8" t="e">
        <f>VLOOKUP(A:A,'ITEM LIST'!A:C,3,0)</f>
        <v>#N/A</v>
      </c>
    </row>
    <row r="19651" spans="3:3" x14ac:dyDescent="0.2">
      <c r="C19651" s="8" t="e">
        <f>VLOOKUP(A:A,'ITEM LIST'!A:C,3,0)</f>
        <v>#N/A</v>
      </c>
    </row>
    <row r="19652" spans="3:3" x14ac:dyDescent="0.2">
      <c r="C19652" s="8" t="e">
        <f>VLOOKUP(A:A,'ITEM LIST'!A:C,3,0)</f>
        <v>#N/A</v>
      </c>
    </row>
    <row r="19653" spans="3:3" x14ac:dyDescent="0.2">
      <c r="C19653" s="8" t="e">
        <f>VLOOKUP(A:A,'ITEM LIST'!A:C,3,0)</f>
        <v>#N/A</v>
      </c>
    </row>
    <row r="19654" spans="3:3" x14ac:dyDescent="0.2">
      <c r="C19654" s="8" t="e">
        <f>VLOOKUP(A:A,'ITEM LIST'!A:C,3,0)</f>
        <v>#N/A</v>
      </c>
    </row>
    <row r="19655" spans="3:3" x14ac:dyDescent="0.2">
      <c r="C19655" s="8" t="e">
        <f>VLOOKUP(A:A,'ITEM LIST'!A:C,3,0)</f>
        <v>#N/A</v>
      </c>
    </row>
    <row r="19656" spans="3:3" x14ac:dyDescent="0.2">
      <c r="C19656" s="8" t="e">
        <f>VLOOKUP(A:A,'ITEM LIST'!A:C,3,0)</f>
        <v>#N/A</v>
      </c>
    </row>
    <row r="19657" spans="3:3" x14ac:dyDescent="0.2">
      <c r="C19657" s="8" t="e">
        <f>VLOOKUP(A:A,'ITEM LIST'!A:C,3,0)</f>
        <v>#N/A</v>
      </c>
    </row>
    <row r="19658" spans="3:3" x14ac:dyDescent="0.2">
      <c r="C19658" s="8" t="e">
        <f>VLOOKUP(A:A,'ITEM LIST'!A:C,3,0)</f>
        <v>#N/A</v>
      </c>
    </row>
    <row r="19659" spans="3:3" x14ac:dyDescent="0.2">
      <c r="C19659" s="8" t="e">
        <f>VLOOKUP(A:A,'ITEM LIST'!A:C,3,0)</f>
        <v>#N/A</v>
      </c>
    </row>
    <row r="19660" spans="3:3" x14ac:dyDescent="0.2">
      <c r="C19660" s="8" t="e">
        <f>VLOOKUP(A:A,'ITEM LIST'!A:C,3,0)</f>
        <v>#N/A</v>
      </c>
    </row>
    <row r="19661" spans="3:3" x14ac:dyDescent="0.2">
      <c r="C19661" s="8" t="e">
        <f>VLOOKUP(A:A,'ITEM LIST'!A:C,3,0)</f>
        <v>#N/A</v>
      </c>
    </row>
    <row r="19662" spans="3:3" x14ac:dyDescent="0.2">
      <c r="C19662" s="8" t="e">
        <f>VLOOKUP(A:A,'ITEM LIST'!A:C,3,0)</f>
        <v>#N/A</v>
      </c>
    </row>
    <row r="19663" spans="3:3" x14ac:dyDescent="0.2">
      <c r="C19663" s="8" t="e">
        <f>VLOOKUP(A:A,'ITEM LIST'!A:C,3,0)</f>
        <v>#N/A</v>
      </c>
    </row>
    <row r="19664" spans="3:3" x14ac:dyDescent="0.2">
      <c r="C19664" s="8" t="e">
        <f>VLOOKUP(A:A,'ITEM LIST'!A:C,3,0)</f>
        <v>#N/A</v>
      </c>
    </row>
    <row r="19665" spans="3:3" x14ac:dyDescent="0.2">
      <c r="C19665" s="8" t="e">
        <f>VLOOKUP(A:A,'ITEM LIST'!A:C,3,0)</f>
        <v>#N/A</v>
      </c>
    </row>
    <row r="19666" spans="3:3" x14ac:dyDescent="0.2">
      <c r="C19666" s="8" t="e">
        <f>VLOOKUP(A:A,'ITEM LIST'!A:C,3,0)</f>
        <v>#N/A</v>
      </c>
    </row>
    <row r="19667" spans="3:3" x14ac:dyDescent="0.2">
      <c r="C19667" s="8" t="e">
        <f>VLOOKUP(A:A,'ITEM LIST'!A:C,3,0)</f>
        <v>#N/A</v>
      </c>
    </row>
    <row r="19668" spans="3:3" x14ac:dyDescent="0.2">
      <c r="C19668" s="8" t="e">
        <f>VLOOKUP(A:A,'ITEM LIST'!A:C,3,0)</f>
        <v>#N/A</v>
      </c>
    </row>
    <row r="19669" spans="3:3" x14ac:dyDescent="0.2">
      <c r="C19669" s="8" t="e">
        <f>VLOOKUP(A:A,'ITEM LIST'!A:C,3,0)</f>
        <v>#N/A</v>
      </c>
    </row>
    <row r="19670" spans="3:3" x14ac:dyDescent="0.2">
      <c r="C19670" s="8" t="e">
        <f>VLOOKUP(A:A,'ITEM LIST'!A:C,3,0)</f>
        <v>#N/A</v>
      </c>
    </row>
    <row r="19671" spans="3:3" x14ac:dyDescent="0.2">
      <c r="C19671" s="8" t="e">
        <f>VLOOKUP(A:A,'ITEM LIST'!A:C,3,0)</f>
        <v>#N/A</v>
      </c>
    </row>
    <row r="19672" spans="3:3" x14ac:dyDescent="0.2">
      <c r="C19672" s="8" t="e">
        <f>VLOOKUP(A:A,'ITEM LIST'!A:C,3,0)</f>
        <v>#N/A</v>
      </c>
    </row>
    <row r="19673" spans="3:3" x14ac:dyDescent="0.2">
      <c r="C19673" s="8" t="e">
        <f>VLOOKUP(A:A,'ITEM LIST'!A:C,3,0)</f>
        <v>#N/A</v>
      </c>
    </row>
    <row r="19674" spans="3:3" x14ac:dyDescent="0.2">
      <c r="C19674" s="8" t="e">
        <f>VLOOKUP(A:A,'ITEM LIST'!A:C,3,0)</f>
        <v>#N/A</v>
      </c>
    </row>
    <row r="19675" spans="3:3" x14ac:dyDescent="0.2">
      <c r="C19675" s="8" t="e">
        <f>VLOOKUP(A:A,'ITEM LIST'!A:C,3,0)</f>
        <v>#N/A</v>
      </c>
    </row>
    <row r="19676" spans="3:3" x14ac:dyDescent="0.2">
      <c r="C19676" s="8" t="e">
        <f>VLOOKUP(A:A,'ITEM LIST'!A:C,3,0)</f>
        <v>#N/A</v>
      </c>
    </row>
    <row r="19677" spans="3:3" x14ac:dyDescent="0.2">
      <c r="C19677" s="8" t="e">
        <f>VLOOKUP(A:A,'ITEM LIST'!A:C,3,0)</f>
        <v>#N/A</v>
      </c>
    </row>
    <row r="19678" spans="3:3" x14ac:dyDescent="0.2">
      <c r="C19678" s="8" t="e">
        <f>VLOOKUP(A:A,'ITEM LIST'!A:C,3,0)</f>
        <v>#N/A</v>
      </c>
    </row>
    <row r="19679" spans="3:3" x14ac:dyDescent="0.2">
      <c r="C19679" s="8" t="e">
        <f>VLOOKUP(A:A,'ITEM LIST'!A:C,3,0)</f>
        <v>#N/A</v>
      </c>
    </row>
    <row r="19680" spans="3:3" x14ac:dyDescent="0.2">
      <c r="C19680" s="8" t="e">
        <f>VLOOKUP(A:A,'ITEM LIST'!A:C,3,0)</f>
        <v>#N/A</v>
      </c>
    </row>
    <row r="19681" spans="3:3" x14ac:dyDescent="0.2">
      <c r="C19681" s="8" t="e">
        <f>VLOOKUP(A:A,'ITEM LIST'!A:C,3,0)</f>
        <v>#N/A</v>
      </c>
    </row>
    <row r="19682" spans="3:3" x14ac:dyDescent="0.2">
      <c r="C19682" s="8" t="e">
        <f>VLOOKUP(A:A,'ITEM LIST'!A:C,3,0)</f>
        <v>#N/A</v>
      </c>
    </row>
    <row r="19683" spans="3:3" x14ac:dyDescent="0.2">
      <c r="C19683" s="8" t="e">
        <f>VLOOKUP(A:A,'ITEM LIST'!A:C,3,0)</f>
        <v>#N/A</v>
      </c>
    </row>
    <row r="19684" spans="3:3" x14ac:dyDescent="0.2">
      <c r="C19684" s="8" t="e">
        <f>VLOOKUP(A:A,'ITEM LIST'!A:C,3,0)</f>
        <v>#N/A</v>
      </c>
    </row>
    <row r="19685" spans="3:3" x14ac:dyDescent="0.2">
      <c r="C19685" s="8" t="e">
        <f>VLOOKUP(A:A,'ITEM LIST'!A:C,3,0)</f>
        <v>#N/A</v>
      </c>
    </row>
    <row r="19686" spans="3:3" x14ac:dyDescent="0.2">
      <c r="C19686" s="8" t="e">
        <f>VLOOKUP(A:A,'ITEM LIST'!A:C,3,0)</f>
        <v>#N/A</v>
      </c>
    </row>
    <row r="19687" spans="3:3" x14ac:dyDescent="0.2">
      <c r="C19687" s="8" t="e">
        <f>VLOOKUP(A:A,'ITEM LIST'!A:C,3,0)</f>
        <v>#N/A</v>
      </c>
    </row>
    <row r="19688" spans="3:3" x14ac:dyDescent="0.2">
      <c r="C19688" s="8" t="e">
        <f>VLOOKUP(A:A,'ITEM LIST'!A:C,3,0)</f>
        <v>#N/A</v>
      </c>
    </row>
    <row r="19689" spans="3:3" x14ac:dyDescent="0.2">
      <c r="C19689" s="8" t="e">
        <f>VLOOKUP(A:A,'ITEM LIST'!A:C,3,0)</f>
        <v>#N/A</v>
      </c>
    </row>
    <row r="19690" spans="3:3" x14ac:dyDescent="0.2">
      <c r="C19690" s="8" t="e">
        <f>VLOOKUP(A:A,'ITEM LIST'!A:C,3,0)</f>
        <v>#N/A</v>
      </c>
    </row>
    <row r="19691" spans="3:3" x14ac:dyDescent="0.2">
      <c r="C19691" s="8" t="e">
        <f>VLOOKUP(A:A,'ITEM LIST'!A:C,3,0)</f>
        <v>#N/A</v>
      </c>
    </row>
    <row r="19692" spans="3:3" x14ac:dyDescent="0.2">
      <c r="C19692" s="8" t="e">
        <f>VLOOKUP(A:A,'ITEM LIST'!A:C,3,0)</f>
        <v>#N/A</v>
      </c>
    </row>
    <row r="19693" spans="3:3" x14ac:dyDescent="0.2">
      <c r="C19693" s="8" t="e">
        <f>VLOOKUP(A:A,'ITEM LIST'!A:C,3,0)</f>
        <v>#N/A</v>
      </c>
    </row>
    <row r="19694" spans="3:3" x14ac:dyDescent="0.2">
      <c r="C19694" s="8" t="e">
        <f>VLOOKUP(A:A,'ITEM LIST'!A:C,3,0)</f>
        <v>#N/A</v>
      </c>
    </row>
    <row r="19695" spans="3:3" x14ac:dyDescent="0.2">
      <c r="C19695" s="8" t="e">
        <f>VLOOKUP(A:A,'ITEM LIST'!A:C,3,0)</f>
        <v>#N/A</v>
      </c>
    </row>
    <row r="19696" spans="3:3" x14ac:dyDescent="0.2">
      <c r="C19696" s="8" t="e">
        <f>VLOOKUP(A:A,'ITEM LIST'!A:C,3,0)</f>
        <v>#N/A</v>
      </c>
    </row>
    <row r="19697" spans="3:3" x14ac:dyDescent="0.2">
      <c r="C19697" s="8" t="e">
        <f>VLOOKUP(A:A,'ITEM LIST'!A:C,3,0)</f>
        <v>#N/A</v>
      </c>
    </row>
    <row r="19698" spans="3:3" x14ac:dyDescent="0.2">
      <c r="C19698" s="8" t="e">
        <f>VLOOKUP(A:A,'ITEM LIST'!A:C,3,0)</f>
        <v>#N/A</v>
      </c>
    </row>
    <row r="19699" spans="3:3" x14ac:dyDescent="0.2">
      <c r="C19699" s="8" t="e">
        <f>VLOOKUP(A:A,'ITEM LIST'!A:C,3,0)</f>
        <v>#N/A</v>
      </c>
    </row>
    <row r="19700" spans="3:3" x14ac:dyDescent="0.2">
      <c r="C19700" s="8" t="e">
        <f>VLOOKUP(A:A,'ITEM LIST'!A:C,3,0)</f>
        <v>#N/A</v>
      </c>
    </row>
    <row r="19701" spans="3:3" x14ac:dyDescent="0.2">
      <c r="C19701" s="8" t="e">
        <f>VLOOKUP(A:A,'ITEM LIST'!A:C,3,0)</f>
        <v>#N/A</v>
      </c>
    </row>
    <row r="19702" spans="3:3" x14ac:dyDescent="0.2">
      <c r="C19702" s="8" t="e">
        <f>VLOOKUP(A:A,'ITEM LIST'!A:C,3,0)</f>
        <v>#N/A</v>
      </c>
    </row>
    <row r="19703" spans="3:3" x14ac:dyDescent="0.2">
      <c r="C19703" s="8" t="e">
        <f>VLOOKUP(A:A,'ITEM LIST'!A:C,3,0)</f>
        <v>#N/A</v>
      </c>
    </row>
    <row r="19704" spans="3:3" x14ac:dyDescent="0.2">
      <c r="C19704" s="8" t="e">
        <f>VLOOKUP(A:A,'ITEM LIST'!A:C,3,0)</f>
        <v>#N/A</v>
      </c>
    </row>
    <row r="19705" spans="3:3" x14ac:dyDescent="0.2">
      <c r="C19705" s="8" t="e">
        <f>VLOOKUP(A:A,'ITEM LIST'!A:C,3,0)</f>
        <v>#N/A</v>
      </c>
    </row>
    <row r="19706" spans="3:3" x14ac:dyDescent="0.2">
      <c r="C19706" s="8" t="e">
        <f>VLOOKUP(A:A,'ITEM LIST'!A:C,3,0)</f>
        <v>#N/A</v>
      </c>
    </row>
    <row r="19707" spans="3:3" x14ac:dyDescent="0.2">
      <c r="C19707" s="8" t="e">
        <f>VLOOKUP(A:A,'ITEM LIST'!A:C,3,0)</f>
        <v>#N/A</v>
      </c>
    </row>
    <row r="19708" spans="3:3" x14ac:dyDescent="0.2">
      <c r="C19708" s="8" t="e">
        <f>VLOOKUP(A:A,'ITEM LIST'!A:C,3,0)</f>
        <v>#N/A</v>
      </c>
    </row>
    <row r="19709" spans="3:3" x14ac:dyDescent="0.2">
      <c r="C19709" s="8" t="e">
        <f>VLOOKUP(A:A,'ITEM LIST'!A:C,3,0)</f>
        <v>#N/A</v>
      </c>
    </row>
    <row r="19710" spans="3:3" x14ac:dyDescent="0.2">
      <c r="C19710" s="8" t="e">
        <f>VLOOKUP(A:A,'ITEM LIST'!A:C,3,0)</f>
        <v>#N/A</v>
      </c>
    </row>
    <row r="19711" spans="3:3" x14ac:dyDescent="0.2">
      <c r="C19711" s="8" t="e">
        <f>VLOOKUP(A:A,'ITEM LIST'!A:C,3,0)</f>
        <v>#N/A</v>
      </c>
    </row>
    <row r="19712" spans="3:3" x14ac:dyDescent="0.2">
      <c r="C19712" s="8" t="e">
        <f>VLOOKUP(A:A,'ITEM LIST'!A:C,3,0)</f>
        <v>#N/A</v>
      </c>
    </row>
    <row r="19713" spans="3:3" x14ac:dyDescent="0.2">
      <c r="C19713" s="8" t="e">
        <f>VLOOKUP(A:A,'ITEM LIST'!A:C,3,0)</f>
        <v>#N/A</v>
      </c>
    </row>
    <row r="19714" spans="3:3" x14ac:dyDescent="0.2">
      <c r="C19714" s="8" t="e">
        <f>VLOOKUP(A:A,'ITEM LIST'!A:C,3,0)</f>
        <v>#N/A</v>
      </c>
    </row>
    <row r="19715" spans="3:3" x14ac:dyDescent="0.2">
      <c r="C19715" s="8" t="e">
        <f>VLOOKUP(A:A,'ITEM LIST'!A:C,3,0)</f>
        <v>#N/A</v>
      </c>
    </row>
    <row r="19716" spans="3:3" x14ac:dyDescent="0.2">
      <c r="C19716" s="8" t="e">
        <f>VLOOKUP(A:A,'ITEM LIST'!A:C,3,0)</f>
        <v>#N/A</v>
      </c>
    </row>
    <row r="19717" spans="3:3" x14ac:dyDescent="0.2">
      <c r="C19717" s="8" t="e">
        <f>VLOOKUP(A:A,'ITEM LIST'!A:C,3,0)</f>
        <v>#N/A</v>
      </c>
    </row>
    <row r="19718" spans="3:3" x14ac:dyDescent="0.2">
      <c r="C19718" s="8" t="e">
        <f>VLOOKUP(A:A,'ITEM LIST'!A:C,3,0)</f>
        <v>#N/A</v>
      </c>
    </row>
    <row r="19719" spans="3:3" x14ac:dyDescent="0.2">
      <c r="C19719" s="8" t="e">
        <f>VLOOKUP(A:A,'ITEM LIST'!A:C,3,0)</f>
        <v>#N/A</v>
      </c>
    </row>
    <row r="19720" spans="3:3" x14ac:dyDescent="0.2">
      <c r="C19720" s="8" t="e">
        <f>VLOOKUP(A:A,'ITEM LIST'!A:C,3,0)</f>
        <v>#N/A</v>
      </c>
    </row>
    <row r="19721" spans="3:3" x14ac:dyDescent="0.2">
      <c r="C19721" s="8" t="e">
        <f>VLOOKUP(A:A,'ITEM LIST'!A:C,3,0)</f>
        <v>#N/A</v>
      </c>
    </row>
    <row r="19722" spans="3:3" x14ac:dyDescent="0.2">
      <c r="C19722" s="8" t="e">
        <f>VLOOKUP(A:A,'ITEM LIST'!A:C,3,0)</f>
        <v>#N/A</v>
      </c>
    </row>
    <row r="19723" spans="3:3" x14ac:dyDescent="0.2">
      <c r="C19723" s="8" t="e">
        <f>VLOOKUP(A:A,'ITEM LIST'!A:C,3,0)</f>
        <v>#N/A</v>
      </c>
    </row>
    <row r="19724" spans="3:3" x14ac:dyDescent="0.2">
      <c r="C19724" s="8" t="e">
        <f>VLOOKUP(A:A,'ITEM LIST'!A:C,3,0)</f>
        <v>#N/A</v>
      </c>
    </row>
    <row r="19725" spans="3:3" x14ac:dyDescent="0.2">
      <c r="C19725" s="8" t="e">
        <f>VLOOKUP(A:A,'ITEM LIST'!A:C,3,0)</f>
        <v>#N/A</v>
      </c>
    </row>
    <row r="19726" spans="3:3" x14ac:dyDescent="0.2">
      <c r="C19726" s="8" t="e">
        <f>VLOOKUP(A:A,'ITEM LIST'!A:C,3,0)</f>
        <v>#N/A</v>
      </c>
    </row>
    <row r="19727" spans="3:3" x14ac:dyDescent="0.2">
      <c r="C19727" s="8" t="e">
        <f>VLOOKUP(A:A,'ITEM LIST'!A:C,3,0)</f>
        <v>#N/A</v>
      </c>
    </row>
    <row r="19728" spans="3:3" x14ac:dyDescent="0.2">
      <c r="C19728" s="8" t="e">
        <f>VLOOKUP(A:A,'ITEM LIST'!A:C,3,0)</f>
        <v>#N/A</v>
      </c>
    </row>
    <row r="19729" spans="3:3" x14ac:dyDescent="0.2">
      <c r="C19729" s="8" t="e">
        <f>VLOOKUP(A:A,'ITEM LIST'!A:C,3,0)</f>
        <v>#N/A</v>
      </c>
    </row>
    <row r="19730" spans="3:3" x14ac:dyDescent="0.2">
      <c r="C19730" s="8" t="e">
        <f>VLOOKUP(A:A,'ITEM LIST'!A:C,3,0)</f>
        <v>#N/A</v>
      </c>
    </row>
    <row r="19731" spans="3:3" x14ac:dyDescent="0.2">
      <c r="C19731" s="8" t="e">
        <f>VLOOKUP(A:A,'ITEM LIST'!A:C,3,0)</f>
        <v>#N/A</v>
      </c>
    </row>
    <row r="19732" spans="3:3" x14ac:dyDescent="0.2">
      <c r="C19732" s="8" t="e">
        <f>VLOOKUP(A:A,'ITEM LIST'!A:C,3,0)</f>
        <v>#N/A</v>
      </c>
    </row>
    <row r="19733" spans="3:3" x14ac:dyDescent="0.2">
      <c r="C19733" s="8" t="e">
        <f>VLOOKUP(A:A,'ITEM LIST'!A:C,3,0)</f>
        <v>#N/A</v>
      </c>
    </row>
    <row r="19734" spans="3:3" x14ac:dyDescent="0.2">
      <c r="C19734" s="8" t="e">
        <f>VLOOKUP(A:A,'ITEM LIST'!A:C,3,0)</f>
        <v>#N/A</v>
      </c>
    </row>
    <row r="19735" spans="3:3" x14ac:dyDescent="0.2">
      <c r="C19735" s="8" t="e">
        <f>VLOOKUP(A:A,'ITEM LIST'!A:C,3,0)</f>
        <v>#N/A</v>
      </c>
    </row>
    <row r="19736" spans="3:3" x14ac:dyDescent="0.2">
      <c r="C19736" s="8" t="e">
        <f>VLOOKUP(A:A,'ITEM LIST'!A:C,3,0)</f>
        <v>#N/A</v>
      </c>
    </row>
    <row r="19737" spans="3:3" x14ac:dyDescent="0.2">
      <c r="C19737" s="8" t="e">
        <f>VLOOKUP(A:A,'ITEM LIST'!A:C,3,0)</f>
        <v>#N/A</v>
      </c>
    </row>
    <row r="19738" spans="3:3" x14ac:dyDescent="0.2">
      <c r="C19738" s="8" t="e">
        <f>VLOOKUP(A:A,'ITEM LIST'!A:C,3,0)</f>
        <v>#N/A</v>
      </c>
    </row>
    <row r="19739" spans="3:3" x14ac:dyDescent="0.2">
      <c r="C19739" s="8" t="e">
        <f>VLOOKUP(A:A,'ITEM LIST'!A:C,3,0)</f>
        <v>#N/A</v>
      </c>
    </row>
    <row r="19740" spans="3:3" x14ac:dyDescent="0.2">
      <c r="C19740" s="8" t="e">
        <f>VLOOKUP(A:A,'ITEM LIST'!A:C,3,0)</f>
        <v>#N/A</v>
      </c>
    </row>
    <row r="19741" spans="3:3" x14ac:dyDescent="0.2">
      <c r="C19741" s="8" t="e">
        <f>VLOOKUP(A:A,'ITEM LIST'!A:C,3,0)</f>
        <v>#N/A</v>
      </c>
    </row>
    <row r="19742" spans="3:3" x14ac:dyDescent="0.2">
      <c r="C19742" s="8" t="e">
        <f>VLOOKUP(A:A,'ITEM LIST'!A:C,3,0)</f>
        <v>#N/A</v>
      </c>
    </row>
    <row r="19743" spans="3:3" x14ac:dyDescent="0.2">
      <c r="C19743" s="8" t="e">
        <f>VLOOKUP(A:A,'ITEM LIST'!A:C,3,0)</f>
        <v>#N/A</v>
      </c>
    </row>
    <row r="19744" spans="3:3" x14ac:dyDescent="0.2">
      <c r="C19744" s="8" t="e">
        <f>VLOOKUP(A:A,'ITEM LIST'!A:C,3,0)</f>
        <v>#N/A</v>
      </c>
    </row>
    <row r="19745" spans="3:3" x14ac:dyDescent="0.2">
      <c r="C19745" s="8" t="e">
        <f>VLOOKUP(A:A,'ITEM LIST'!A:C,3,0)</f>
        <v>#N/A</v>
      </c>
    </row>
    <row r="19746" spans="3:3" x14ac:dyDescent="0.2">
      <c r="C19746" s="8" t="e">
        <f>VLOOKUP(A:A,'ITEM LIST'!A:C,3,0)</f>
        <v>#N/A</v>
      </c>
    </row>
    <row r="19747" spans="3:3" x14ac:dyDescent="0.2">
      <c r="C19747" s="8" t="e">
        <f>VLOOKUP(A:A,'ITEM LIST'!A:C,3,0)</f>
        <v>#N/A</v>
      </c>
    </row>
    <row r="19748" spans="3:3" x14ac:dyDescent="0.2">
      <c r="C19748" s="8" t="e">
        <f>VLOOKUP(A:A,'ITEM LIST'!A:C,3,0)</f>
        <v>#N/A</v>
      </c>
    </row>
    <row r="19749" spans="3:3" x14ac:dyDescent="0.2">
      <c r="C19749" s="8" t="e">
        <f>VLOOKUP(A:A,'ITEM LIST'!A:C,3,0)</f>
        <v>#N/A</v>
      </c>
    </row>
    <row r="19750" spans="3:3" x14ac:dyDescent="0.2">
      <c r="C19750" s="8" t="e">
        <f>VLOOKUP(A:A,'ITEM LIST'!A:C,3,0)</f>
        <v>#N/A</v>
      </c>
    </row>
    <row r="19751" spans="3:3" x14ac:dyDescent="0.2">
      <c r="C19751" s="8" t="e">
        <f>VLOOKUP(A:A,'ITEM LIST'!A:C,3,0)</f>
        <v>#N/A</v>
      </c>
    </row>
    <row r="19752" spans="3:3" x14ac:dyDescent="0.2">
      <c r="C19752" s="8" t="e">
        <f>VLOOKUP(A:A,'ITEM LIST'!A:C,3,0)</f>
        <v>#N/A</v>
      </c>
    </row>
    <row r="19753" spans="3:3" x14ac:dyDescent="0.2">
      <c r="C19753" s="8" t="e">
        <f>VLOOKUP(A:A,'ITEM LIST'!A:C,3,0)</f>
        <v>#N/A</v>
      </c>
    </row>
    <row r="19754" spans="3:3" x14ac:dyDescent="0.2">
      <c r="C19754" s="8" t="e">
        <f>VLOOKUP(A:A,'ITEM LIST'!A:C,3,0)</f>
        <v>#N/A</v>
      </c>
    </row>
    <row r="19755" spans="3:3" x14ac:dyDescent="0.2">
      <c r="C19755" s="8" t="e">
        <f>VLOOKUP(A:A,'ITEM LIST'!A:C,3,0)</f>
        <v>#N/A</v>
      </c>
    </row>
    <row r="19756" spans="3:3" x14ac:dyDescent="0.2">
      <c r="C19756" s="8" t="e">
        <f>VLOOKUP(A:A,'ITEM LIST'!A:C,3,0)</f>
        <v>#N/A</v>
      </c>
    </row>
    <row r="19757" spans="3:3" x14ac:dyDescent="0.2">
      <c r="C19757" s="8" t="e">
        <f>VLOOKUP(A:A,'ITEM LIST'!A:C,3,0)</f>
        <v>#N/A</v>
      </c>
    </row>
    <row r="19758" spans="3:3" x14ac:dyDescent="0.2">
      <c r="C19758" s="8" t="e">
        <f>VLOOKUP(A:A,'ITEM LIST'!A:C,3,0)</f>
        <v>#N/A</v>
      </c>
    </row>
    <row r="19759" spans="3:3" x14ac:dyDescent="0.2">
      <c r="C19759" s="8" t="e">
        <f>VLOOKUP(A:A,'ITEM LIST'!A:C,3,0)</f>
        <v>#N/A</v>
      </c>
    </row>
    <row r="19760" spans="3:3" x14ac:dyDescent="0.2">
      <c r="C19760" s="8" t="e">
        <f>VLOOKUP(A:A,'ITEM LIST'!A:C,3,0)</f>
        <v>#N/A</v>
      </c>
    </row>
    <row r="19761" spans="3:3" x14ac:dyDescent="0.2">
      <c r="C19761" s="8" t="e">
        <f>VLOOKUP(A:A,'ITEM LIST'!A:C,3,0)</f>
        <v>#N/A</v>
      </c>
    </row>
    <row r="19762" spans="3:3" x14ac:dyDescent="0.2">
      <c r="C19762" s="8" t="e">
        <f>VLOOKUP(A:A,'ITEM LIST'!A:C,3,0)</f>
        <v>#N/A</v>
      </c>
    </row>
    <row r="19763" spans="3:3" x14ac:dyDescent="0.2">
      <c r="C19763" s="8" t="e">
        <f>VLOOKUP(A:A,'ITEM LIST'!A:C,3,0)</f>
        <v>#N/A</v>
      </c>
    </row>
    <row r="19764" spans="3:3" x14ac:dyDescent="0.2">
      <c r="C19764" s="8" t="e">
        <f>VLOOKUP(A:A,'ITEM LIST'!A:C,3,0)</f>
        <v>#N/A</v>
      </c>
    </row>
    <row r="19765" spans="3:3" x14ac:dyDescent="0.2">
      <c r="C19765" s="8" t="e">
        <f>VLOOKUP(A:A,'ITEM LIST'!A:C,3,0)</f>
        <v>#N/A</v>
      </c>
    </row>
    <row r="19766" spans="3:3" x14ac:dyDescent="0.2">
      <c r="C19766" s="8" t="e">
        <f>VLOOKUP(A:A,'ITEM LIST'!A:C,3,0)</f>
        <v>#N/A</v>
      </c>
    </row>
    <row r="19767" spans="3:3" x14ac:dyDescent="0.2">
      <c r="C19767" s="8" t="e">
        <f>VLOOKUP(A:A,'ITEM LIST'!A:C,3,0)</f>
        <v>#N/A</v>
      </c>
    </row>
    <row r="19768" spans="3:3" x14ac:dyDescent="0.2">
      <c r="C19768" s="8" t="e">
        <f>VLOOKUP(A:A,'ITEM LIST'!A:C,3,0)</f>
        <v>#N/A</v>
      </c>
    </row>
    <row r="19769" spans="3:3" x14ac:dyDescent="0.2">
      <c r="C19769" s="8" t="e">
        <f>VLOOKUP(A:A,'ITEM LIST'!A:C,3,0)</f>
        <v>#N/A</v>
      </c>
    </row>
    <row r="19770" spans="3:3" x14ac:dyDescent="0.2">
      <c r="C19770" s="8" t="e">
        <f>VLOOKUP(A:A,'ITEM LIST'!A:C,3,0)</f>
        <v>#N/A</v>
      </c>
    </row>
    <row r="19771" spans="3:3" x14ac:dyDescent="0.2">
      <c r="C19771" s="8" t="e">
        <f>VLOOKUP(A:A,'ITEM LIST'!A:C,3,0)</f>
        <v>#N/A</v>
      </c>
    </row>
    <row r="19772" spans="3:3" x14ac:dyDescent="0.2">
      <c r="C19772" s="8" t="e">
        <f>VLOOKUP(A:A,'ITEM LIST'!A:C,3,0)</f>
        <v>#N/A</v>
      </c>
    </row>
    <row r="19773" spans="3:3" x14ac:dyDescent="0.2">
      <c r="C19773" s="8" t="e">
        <f>VLOOKUP(A:A,'ITEM LIST'!A:C,3,0)</f>
        <v>#N/A</v>
      </c>
    </row>
    <row r="19774" spans="3:3" x14ac:dyDescent="0.2">
      <c r="C19774" s="8" t="e">
        <f>VLOOKUP(A:A,'ITEM LIST'!A:C,3,0)</f>
        <v>#N/A</v>
      </c>
    </row>
    <row r="19775" spans="3:3" x14ac:dyDescent="0.2">
      <c r="C19775" s="8" t="e">
        <f>VLOOKUP(A:A,'ITEM LIST'!A:C,3,0)</f>
        <v>#N/A</v>
      </c>
    </row>
    <row r="19776" spans="3:3" x14ac:dyDescent="0.2">
      <c r="C19776" s="8" t="e">
        <f>VLOOKUP(A:A,'ITEM LIST'!A:C,3,0)</f>
        <v>#N/A</v>
      </c>
    </row>
    <row r="19777" spans="3:3" x14ac:dyDescent="0.2">
      <c r="C19777" s="8" t="e">
        <f>VLOOKUP(A:A,'ITEM LIST'!A:C,3,0)</f>
        <v>#N/A</v>
      </c>
    </row>
    <row r="19778" spans="3:3" x14ac:dyDescent="0.2">
      <c r="C19778" s="8" t="e">
        <f>VLOOKUP(A:A,'ITEM LIST'!A:C,3,0)</f>
        <v>#N/A</v>
      </c>
    </row>
    <row r="19779" spans="3:3" x14ac:dyDescent="0.2">
      <c r="C19779" s="8" t="e">
        <f>VLOOKUP(A:A,'ITEM LIST'!A:C,3,0)</f>
        <v>#N/A</v>
      </c>
    </row>
    <row r="19780" spans="3:3" x14ac:dyDescent="0.2">
      <c r="C19780" s="8" t="e">
        <f>VLOOKUP(A:A,'ITEM LIST'!A:C,3,0)</f>
        <v>#N/A</v>
      </c>
    </row>
    <row r="19781" spans="3:3" x14ac:dyDescent="0.2">
      <c r="C19781" s="8" t="e">
        <f>VLOOKUP(A:A,'ITEM LIST'!A:C,3,0)</f>
        <v>#N/A</v>
      </c>
    </row>
    <row r="19782" spans="3:3" x14ac:dyDescent="0.2">
      <c r="C19782" s="8" t="e">
        <f>VLOOKUP(A:A,'ITEM LIST'!A:C,3,0)</f>
        <v>#N/A</v>
      </c>
    </row>
    <row r="19783" spans="3:3" x14ac:dyDescent="0.2">
      <c r="C19783" s="8" t="e">
        <f>VLOOKUP(A:A,'ITEM LIST'!A:C,3,0)</f>
        <v>#N/A</v>
      </c>
    </row>
    <row r="19784" spans="3:3" x14ac:dyDescent="0.2">
      <c r="C19784" s="8" t="e">
        <f>VLOOKUP(A:A,'ITEM LIST'!A:C,3,0)</f>
        <v>#N/A</v>
      </c>
    </row>
    <row r="19785" spans="3:3" x14ac:dyDescent="0.2">
      <c r="C19785" s="8" t="e">
        <f>VLOOKUP(A:A,'ITEM LIST'!A:C,3,0)</f>
        <v>#N/A</v>
      </c>
    </row>
    <row r="19786" spans="3:3" x14ac:dyDescent="0.2">
      <c r="C19786" s="8" t="e">
        <f>VLOOKUP(A:A,'ITEM LIST'!A:C,3,0)</f>
        <v>#N/A</v>
      </c>
    </row>
    <row r="19787" spans="3:3" x14ac:dyDescent="0.2">
      <c r="C19787" s="8" t="e">
        <f>VLOOKUP(A:A,'ITEM LIST'!A:C,3,0)</f>
        <v>#N/A</v>
      </c>
    </row>
    <row r="19788" spans="3:3" x14ac:dyDescent="0.2">
      <c r="C19788" s="8" t="e">
        <f>VLOOKUP(A:A,'ITEM LIST'!A:C,3,0)</f>
        <v>#N/A</v>
      </c>
    </row>
    <row r="19789" spans="3:3" x14ac:dyDescent="0.2">
      <c r="C19789" s="8" t="e">
        <f>VLOOKUP(A:A,'ITEM LIST'!A:C,3,0)</f>
        <v>#N/A</v>
      </c>
    </row>
    <row r="19790" spans="3:3" x14ac:dyDescent="0.2">
      <c r="C19790" s="8" t="e">
        <f>VLOOKUP(A:A,'ITEM LIST'!A:C,3,0)</f>
        <v>#N/A</v>
      </c>
    </row>
    <row r="19791" spans="3:3" x14ac:dyDescent="0.2">
      <c r="C19791" s="8" t="e">
        <f>VLOOKUP(A:A,'ITEM LIST'!A:C,3,0)</f>
        <v>#N/A</v>
      </c>
    </row>
    <row r="19792" spans="3:3" x14ac:dyDescent="0.2">
      <c r="C19792" s="8" t="e">
        <f>VLOOKUP(A:A,'ITEM LIST'!A:C,3,0)</f>
        <v>#N/A</v>
      </c>
    </row>
    <row r="19793" spans="3:3" x14ac:dyDescent="0.2">
      <c r="C19793" s="8" t="e">
        <f>VLOOKUP(A:A,'ITEM LIST'!A:C,3,0)</f>
        <v>#N/A</v>
      </c>
    </row>
    <row r="19794" spans="3:3" x14ac:dyDescent="0.2">
      <c r="C19794" s="8" t="e">
        <f>VLOOKUP(A:A,'ITEM LIST'!A:C,3,0)</f>
        <v>#N/A</v>
      </c>
    </row>
    <row r="19795" spans="3:3" x14ac:dyDescent="0.2">
      <c r="C19795" s="8" t="e">
        <f>VLOOKUP(A:A,'ITEM LIST'!A:C,3,0)</f>
        <v>#N/A</v>
      </c>
    </row>
    <row r="19796" spans="3:3" x14ac:dyDescent="0.2">
      <c r="C19796" s="8" t="e">
        <f>VLOOKUP(A:A,'ITEM LIST'!A:C,3,0)</f>
        <v>#N/A</v>
      </c>
    </row>
    <row r="19797" spans="3:3" x14ac:dyDescent="0.2">
      <c r="C19797" s="8" t="e">
        <f>VLOOKUP(A:A,'ITEM LIST'!A:C,3,0)</f>
        <v>#N/A</v>
      </c>
    </row>
    <row r="19798" spans="3:3" x14ac:dyDescent="0.2">
      <c r="C19798" s="8" t="e">
        <f>VLOOKUP(A:A,'ITEM LIST'!A:C,3,0)</f>
        <v>#N/A</v>
      </c>
    </row>
    <row r="19799" spans="3:3" x14ac:dyDescent="0.2">
      <c r="C19799" s="8" t="e">
        <f>VLOOKUP(A:A,'ITEM LIST'!A:C,3,0)</f>
        <v>#N/A</v>
      </c>
    </row>
    <row r="19800" spans="3:3" x14ac:dyDescent="0.2">
      <c r="C19800" s="8" t="e">
        <f>VLOOKUP(A:A,'ITEM LIST'!A:C,3,0)</f>
        <v>#N/A</v>
      </c>
    </row>
    <row r="19801" spans="3:3" x14ac:dyDescent="0.2">
      <c r="C19801" s="8" t="e">
        <f>VLOOKUP(A:A,'ITEM LIST'!A:C,3,0)</f>
        <v>#N/A</v>
      </c>
    </row>
    <row r="19802" spans="3:3" x14ac:dyDescent="0.2">
      <c r="C19802" s="8" t="e">
        <f>VLOOKUP(A:A,'ITEM LIST'!A:C,3,0)</f>
        <v>#N/A</v>
      </c>
    </row>
    <row r="19803" spans="3:3" x14ac:dyDescent="0.2">
      <c r="C19803" s="8" t="e">
        <f>VLOOKUP(A:A,'ITEM LIST'!A:C,3,0)</f>
        <v>#N/A</v>
      </c>
    </row>
    <row r="19804" spans="3:3" x14ac:dyDescent="0.2">
      <c r="C19804" s="8" t="e">
        <f>VLOOKUP(A:A,'ITEM LIST'!A:C,3,0)</f>
        <v>#N/A</v>
      </c>
    </row>
    <row r="19805" spans="3:3" x14ac:dyDescent="0.2">
      <c r="C19805" s="8" t="e">
        <f>VLOOKUP(A:A,'ITEM LIST'!A:C,3,0)</f>
        <v>#N/A</v>
      </c>
    </row>
    <row r="19806" spans="3:3" x14ac:dyDescent="0.2">
      <c r="C19806" s="8" t="e">
        <f>VLOOKUP(A:A,'ITEM LIST'!A:C,3,0)</f>
        <v>#N/A</v>
      </c>
    </row>
    <row r="19807" spans="3:3" x14ac:dyDescent="0.2">
      <c r="C19807" s="8" t="e">
        <f>VLOOKUP(A:A,'ITEM LIST'!A:C,3,0)</f>
        <v>#N/A</v>
      </c>
    </row>
    <row r="19808" spans="3:3" x14ac:dyDescent="0.2">
      <c r="C19808" s="8" t="e">
        <f>VLOOKUP(A:A,'ITEM LIST'!A:C,3,0)</f>
        <v>#N/A</v>
      </c>
    </row>
    <row r="19809" spans="3:3" x14ac:dyDescent="0.2">
      <c r="C19809" s="8" t="e">
        <f>VLOOKUP(A:A,'ITEM LIST'!A:C,3,0)</f>
        <v>#N/A</v>
      </c>
    </row>
    <row r="19810" spans="3:3" x14ac:dyDescent="0.2">
      <c r="C19810" s="8" t="e">
        <f>VLOOKUP(A:A,'ITEM LIST'!A:C,3,0)</f>
        <v>#N/A</v>
      </c>
    </row>
    <row r="19811" spans="3:3" x14ac:dyDescent="0.2">
      <c r="C19811" s="8" t="e">
        <f>VLOOKUP(A:A,'ITEM LIST'!A:C,3,0)</f>
        <v>#N/A</v>
      </c>
    </row>
    <row r="19812" spans="3:3" x14ac:dyDescent="0.2">
      <c r="C19812" s="8" t="e">
        <f>VLOOKUP(A:A,'ITEM LIST'!A:C,3,0)</f>
        <v>#N/A</v>
      </c>
    </row>
    <row r="19813" spans="3:3" x14ac:dyDescent="0.2">
      <c r="C19813" s="8" t="e">
        <f>VLOOKUP(A:A,'ITEM LIST'!A:C,3,0)</f>
        <v>#N/A</v>
      </c>
    </row>
    <row r="19814" spans="3:3" x14ac:dyDescent="0.2">
      <c r="C19814" s="8" t="e">
        <f>VLOOKUP(A:A,'ITEM LIST'!A:C,3,0)</f>
        <v>#N/A</v>
      </c>
    </row>
    <row r="19815" spans="3:3" x14ac:dyDescent="0.2">
      <c r="C19815" s="8" t="e">
        <f>VLOOKUP(A:A,'ITEM LIST'!A:C,3,0)</f>
        <v>#N/A</v>
      </c>
    </row>
    <row r="19816" spans="3:3" x14ac:dyDescent="0.2">
      <c r="C19816" s="8" t="e">
        <f>VLOOKUP(A:A,'ITEM LIST'!A:C,3,0)</f>
        <v>#N/A</v>
      </c>
    </row>
    <row r="19817" spans="3:3" x14ac:dyDescent="0.2">
      <c r="C19817" s="8" t="e">
        <f>VLOOKUP(A:A,'ITEM LIST'!A:C,3,0)</f>
        <v>#N/A</v>
      </c>
    </row>
    <row r="19818" spans="3:3" x14ac:dyDescent="0.2">
      <c r="C19818" s="8" t="e">
        <f>VLOOKUP(A:A,'ITEM LIST'!A:C,3,0)</f>
        <v>#N/A</v>
      </c>
    </row>
    <row r="19819" spans="3:3" x14ac:dyDescent="0.2">
      <c r="C19819" s="8" t="e">
        <f>VLOOKUP(A:A,'ITEM LIST'!A:C,3,0)</f>
        <v>#N/A</v>
      </c>
    </row>
    <row r="19820" spans="3:3" x14ac:dyDescent="0.2">
      <c r="C19820" s="8" t="e">
        <f>VLOOKUP(A:A,'ITEM LIST'!A:C,3,0)</f>
        <v>#N/A</v>
      </c>
    </row>
    <row r="19821" spans="3:3" x14ac:dyDescent="0.2">
      <c r="C19821" s="8" t="e">
        <f>VLOOKUP(A:A,'ITEM LIST'!A:C,3,0)</f>
        <v>#N/A</v>
      </c>
    </row>
    <row r="19822" spans="3:3" x14ac:dyDescent="0.2">
      <c r="C19822" s="8" t="e">
        <f>VLOOKUP(A:A,'ITEM LIST'!A:C,3,0)</f>
        <v>#N/A</v>
      </c>
    </row>
    <row r="19823" spans="3:3" x14ac:dyDescent="0.2">
      <c r="C19823" s="8" t="e">
        <f>VLOOKUP(A:A,'ITEM LIST'!A:C,3,0)</f>
        <v>#N/A</v>
      </c>
    </row>
    <row r="19824" spans="3:3" x14ac:dyDescent="0.2">
      <c r="C19824" s="8" t="e">
        <f>VLOOKUP(A:A,'ITEM LIST'!A:C,3,0)</f>
        <v>#N/A</v>
      </c>
    </row>
    <row r="19825" spans="3:3" x14ac:dyDescent="0.2">
      <c r="C19825" s="8" t="e">
        <f>VLOOKUP(A:A,'ITEM LIST'!A:C,3,0)</f>
        <v>#N/A</v>
      </c>
    </row>
    <row r="19826" spans="3:3" x14ac:dyDescent="0.2">
      <c r="C19826" s="8" t="e">
        <f>VLOOKUP(A:A,'ITEM LIST'!A:C,3,0)</f>
        <v>#N/A</v>
      </c>
    </row>
    <row r="19827" spans="3:3" x14ac:dyDescent="0.2">
      <c r="C19827" s="8" t="e">
        <f>VLOOKUP(A:A,'ITEM LIST'!A:C,3,0)</f>
        <v>#N/A</v>
      </c>
    </row>
    <row r="19828" spans="3:3" x14ac:dyDescent="0.2">
      <c r="C19828" s="8" t="e">
        <f>VLOOKUP(A:A,'ITEM LIST'!A:C,3,0)</f>
        <v>#N/A</v>
      </c>
    </row>
    <row r="19829" spans="3:3" x14ac:dyDescent="0.2">
      <c r="C19829" s="8" t="e">
        <f>VLOOKUP(A:A,'ITEM LIST'!A:C,3,0)</f>
        <v>#N/A</v>
      </c>
    </row>
    <row r="19830" spans="3:3" x14ac:dyDescent="0.2">
      <c r="C19830" s="8" t="e">
        <f>VLOOKUP(A:A,'ITEM LIST'!A:C,3,0)</f>
        <v>#N/A</v>
      </c>
    </row>
    <row r="19831" spans="3:3" x14ac:dyDescent="0.2">
      <c r="C19831" s="8" t="e">
        <f>VLOOKUP(A:A,'ITEM LIST'!A:C,3,0)</f>
        <v>#N/A</v>
      </c>
    </row>
    <row r="19832" spans="3:3" x14ac:dyDescent="0.2">
      <c r="C19832" s="8" t="e">
        <f>VLOOKUP(A:A,'ITEM LIST'!A:C,3,0)</f>
        <v>#N/A</v>
      </c>
    </row>
    <row r="19833" spans="3:3" x14ac:dyDescent="0.2">
      <c r="C19833" s="8" t="e">
        <f>VLOOKUP(A:A,'ITEM LIST'!A:C,3,0)</f>
        <v>#N/A</v>
      </c>
    </row>
    <row r="19834" spans="3:3" x14ac:dyDescent="0.2">
      <c r="C19834" s="8" t="e">
        <f>VLOOKUP(A:A,'ITEM LIST'!A:C,3,0)</f>
        <v>#N/A</v>
      </c>
    </row>
    <row r="19835" spans="3:3" x14ac:dyDescent="0.2">
      <c r="C19835" s="8" t="e">
        <f>VLOOKUP(A:A,'ITEM LIST'!A:C,3,0)</f>
        <v>#N/A</v>
      </c>
    </row>
    <row r="19836" spans="3:3" x14ac:dyDescent="0.2">
      <c r="C19836" s="8" t="e">
        <f>VLOOKUP(A:A,'ITEM LIST'!A:C,3,0)</f>
        <v>#N/A</v>
      </c>
    </row>
    <row r="19837" spans="3:3" x14ac:dyDescent="0.2">
      <c r="C19837" s="8" t="e">
        <f>VLOOKUP(A:A,'ITEM LIST'!A:C,3,0)</f>
        <v>#N/A</v>
      </c>
    </row>
    <row r="19838" spans="3:3" x14ac:dyDescent="0.2">
      <c r="C19838" s="8" t="e">
        <f>VLOOKUP(A:A,'ITEM LIST'!A:C,3,0)</f>
        <v>#N/A</v>
      </c>
    </row>
    <row r="19839" spans="3:3" x14ac:dyDescent="0.2">
      <c r="C19839" s="8" t="e">
        <f>VLOOKUP(A:A,'ITEM LIST'!A:C,3,0)</f>
        <v>#N/A</v>
      </c>
    </row>
    <row r="19840" spans="3:3" x14ac:dyDescent="0.2">
      <c r="C19840" s="8" t="e">
        <f>VLOOKUP(A:A,'ITEM LIST'!A:C,3,0)</f>
        <v>#N/A</v>
      </c>
    </row>
    <row r="19841" spans="3:3" x14ac:dyDescent="0.2">
      <c r="C19841" s="8" t="e">
        <f>VLOOKUP(A:A,'ITEM LIST'!A:C,3,0)</f>
        <v>#N/A</v>
      </c>
    </row>
    <row r="19842" spans="3:3" x14ac:dyDescent="0.2">
      <c r="C19842" s="8" t="e">
        <f>VLOOKUP(A:A,'ITEM LIST'!A:C,3,0)</f>
        <v>#N/A</v>
      </c>
    </row>
    <row r="19843" spans="3:3" x14ac:dyDescent="0.2">
      <c r="C19843" s="8" t="e">
        <f>VLOOKUP(A:A,'ITEM LIST'!A:C,3,0)</f>
        <v>#N/A</v>
      </c>
    </row>
    <row r="19844" spans="3:3" x14ac:dyDescent="0.2">
      <c r="C19844" s="8" t="e">
        <f>VLOOKUP(A:A,'ITEM LIST'!A:C,3,0)</f>
        <v>#N/A</v>
      </c>
    </row>
    <row r="19845" spans="3:3" x14ac:dyDescent="0.2">
      <c r="C19845" s="8" t="e">
        <f>VLOOKUP(A:A,'ITEM LIST'!A:C,3,0)</f>
        <v>#N/A</v>
      </c>
    </row>
    <row r="19846" spans="3:3" x14ac:dyDescent="0.2">
      <c r="C19846" s="8" t="e">
        <f>VLOOKUP(A:A,'ITEM LIST'!A:C,3,0)</f>
        <v>#N/A</v>
      </c>
    </row>
    <row r="19847" spans="3:3" x14ac:dyDescent="0.2">
      <c r="C19847" s="8" t="e">
        <f>VLOOKUP(A:A,'ITEM LIST'!A:C,3,0)</f>
        <v>#N/A</v>
      </c>
    </row>
    <row r="19848" spans="3:3" x14ac:dyDescent="0.2">
      <c r="C19848" s="8" t="e">
        <f>VLOOKUP(A:A,'ITEM LIST'!A:C,3,0)</f>
        <v>#N/A</v>
      </c>
    </row>
    <row r="19849" spans="3:3" x14ac:dyDescent="0.2">
      <c r="C19849" s="8" t="e">
        <f>VLOOKUP(A:A,'ITEM LIST'!A:C,3,0)</f>
        <v>#N/A</v>
      </c>
    </row>
    <row r="19850" spans="3:3" x14ac:dyDescent="0.2">
      <c r="C19850" s="8" t="e">
        <f>VLOOKUP(A:A,'ITEM LIST'!A:C,3,0)</f>
        <v>#N/A</v>
      </c>
    </row>
    <row r="19851" spans="3:3" x14ac:dyDescent="0.2">
      <c r="C19851" s="8" t="e">
        <f>VLOOKUP(A:A,'ITEM LIST'!A:C,3,0)</f>
        <v>#N/A</v>
      </c>
    </row>
    <row r="19852" spans="3:3" x14ac:dyDescent="0.2">
      <c r="C19852" s="8" t="e">
        <f>VLOOKUP(A:A,'ITEM LIST'!A:C,3,0)</f>
        <v>#N/A</v>
      </c>
    </row>
    <row r="19853" spans="3:3" x14ac:dyDescent="0.2">
      <c r="C19853" s="8" t="e">
        <f>VLOOKUP(A:A,'ITEM LIST'!A:C,3,0)</f>
        <v>#N/A</v>
      </c>
    </row>
    <row r="19854" spans="3:3" x14ac:dyDescent="0.2">
      <c r="C19854" s="8" t="e">
        <f>VLOOKUP(A:A,'ITEM LIST'!A:C,3,0)</f>
        <v>#N/A</v>
      </c>
    </row>
    <row r="19855" spans="3:3" x14ac:dyDescent="0.2">
      <c r="C19855" s="8" t="e">
        <f>VLOOKUP(A:A,'ITEM LIST'!A:C,3,0)</f>
        <v>#N/A</v>
      </c>
    </row>
    <row r="19856" spans="3:3" x14ac:dyDescent="0.2">
      <c r="C19856" s="8" t="e">
        <f>VLOOKUP(A:A,'ITEM LIST'!A:C,3,0)</f>
        <v>#N/A</v>
      </c>
    </row>
    <row r="19857" spans="3:3" x14ac:dyDescent="0.2">
      <c r="C19857" s="8" t="e">
        <f>VLOOKUP(A:A,'ITEM LIST'!A:C,3,0)</f>
        <v>#N/A</v>
      </c>
    </row>
    <row r="19858" spans="3:3" x14ac:dyDescent="0.2">
      <c r="C19858" s="8" t="e">
        <f>VLOOKUP(A:A,'ITEM LIST'!A:C,3,0)</f>
        <v>#N/A</v>
      </c>
    </row>
    <row r="19859" spans="3:3" x14ac:dyDescent="0.2">
      <c r="C19859" s="8" t="e">
        <f>VLOOKUP(A:A,'ITEM LIST'!A:C,3,0)</f>
        <v>#N/A</v>
      </c>
    </row>
    <row r="19860" spans="3:3" x14ac:dyDescent="0.2">
      <c r="C19860" s="8" t="e">
        <f>VLOOKUP(A:A,'ITEM LIST'!A:C,3,0)</f>
        <v>#N/A</v>
      </c>
    </row>
    <row r="19861" spans="3:3" x14ac:dyDescent="0.2">
      <c r="C19861" s="8" t="e">
        <f>VLOOKUP(A:A,'ITEM LIST'!A:C,3,0)</f>
        <v>#N/A</v>
      </c>
    </row>
    <row r="19862" spans="3:3" x14ac:dyDescent="0.2">
      <c r="C19862" s="8" t="e">
        <f>VLOOKUP(A:A,'ITEM LIST'!A:C,3,0)</f>
        <v>#N/A</v>
      </c>
    </row>
    <row r="19863" spans="3:3" x14ac:dyDescent="0.2">
      <c r="C19863" s="8" t="e">
        <f>VLOOKUP(A:A,'ITEM LIST'!A:C,3,0)</f>
        <v>#N/A</v>
      </c>
    </row>
    <row r="19864" spans="3:3" x14ac:dyDescent="0.2">
      <c r="C19864" s="8" t="e">
        <f>VLOOKUP(A:A,'ITEM LIST'!A:C,3,0)</f>
        <v>#N/A</v>
      </c>
    </row>
    <row r="19865" spans="3:3" x14ac:dyDescent="0.2">
      <c r="C19865" s="8" t="e">
        <f>VLOOKUP(A:A,'ITEM LIST'!A:C,3,0)</f>
        <v>#N/A</v>
      </c>
    </row>
    <row r="19866" spans="3:3" x14ac:dyDescent="0.2">
      <c r="C19866" s="8" t="e">
        <f>VLOOKUP(A:A,'ITEM LIST'!A:C,3,0)</f>
        <v>#N/A</v>
      </c>
    </row>
    <row r="19867" spans="3:3" x14ac:dyDescent="0.2">
      <c r="C19867" s="8" t="e">
        <f>VLOOKUP(A:A,'ITEM LIST'!A:C,3,0)</f>
        <v>#N/A</v>
      </c>
    </row>
    <row r="19868" spans="3:3" x14ac:dyDescent="0.2">
      <c r="C19868" s="8" t="e">
        <f>VLOOKUP(A:A,'ITEM LIST'!A:C,3,0)</f>
        <v>#N/A</v>
      </c>
    </row>
    <row r="19869" spans="3:3" x14ac:dyDescent="0.2">
      <c r="C19869" s="8" t="e">
        <f>VLOOKUP(A:A,'ITEM LIST'!A:C,3,0)</f>
        <v>#N/A</v>
      </c>
    </row>
    <row r="19870" spans="3:3" x14ac:dyDescent="0.2">
      <c r="C19870" s="8" t="e">
        <f>VLOOKUP(A:A,'ITEM LIST'!A:C,3,0)</f>
        <v>#N/A</v>
      </c>
    </row>
    <row r="19871" spans="3:3" x14ac:dyDescent="0.2">
      <c r="C19871" s="8" t="e">
        <f>VLOOKUP(A:A,'ITEM LIST'!A:C,3,0)</f>
        <v>#N/A</v>
      </c>
    </row>
    <row r="19872" spans="3:3" x14ac:dyDescent="0.2">
      <c r="C19872" s="8" t="e">
        <f>VLOOKUP(A:A,'ITEM LIST'!A:C,3,0)</f>
        <v>#N/A</v>
      </c>
    </row>
    <row r="19873" spans="3:3" x14ac:dyDescent="0.2">
      <c r="C19873" s="8" t="e">
        <f>VLOOKUP(A:A,'ITEM LIST'!A:C,3,0)</f>
        <v>#N/A</v>
      </c>
    </row>
    <row r="19874" spans="3:3" x14ac:dyDescent="0.2">
      <c r="C19874" s="8" t="e">
        <f>VLOOKUP(A:A,'ITEM LIST'!A:C,3,0)</f>
        <v>#N/A</v>
      </c>
    </row>
    <row r="19875" spans="3:3" x14ac:dyDescent="0.2">
      <c r="C19875" s="8" t="e">
        <f>VLOOKUP(A:A,'ITEM LIST'!A:C,3,0)</f>
        <v>#N/A</v>
      </c>
    </row>
    <row r="19876" spans="3:3" x14ac:dyDescent="0.2">
      <c r="C19876" s="8" t="e">
        <f>VLOOKUP(A:A,'ITEM LIST'!A:C,3,0)</f>
        <v>#N/A</v>
      </c>
    </row>
    <row r="19877" spans="3:3" x14ac:dyDescent="0.2">
      <c r="C19877" s="8" t="e">
        <f>VLOOKUP(A:A,'ITEM LIST'!A:C,3,0)</f>
        <v>#N/A</v>
      </c>
    </row>
    <row r="19878" spans="3:3" x14ac:dyDescent="0.2">
      <c r="C19878" s="8" t="e">
        <f>VLOOKUP(A:A,'ITEM LIST'!A:C,3,0)</f>
        <v>#N/A</v>
      </c>
    </row>
    <row r="19879" spans="3:3" x14ac:dyDescent="0.2">
      <c r="C19879" s="8" t="e">
        <f>VLOOKUP(A:A,'ITEM LIST'!A:C,3,0)</f>
        <v>#N/A</v>
      </c>
    </row>
    <row r="19880" spans="3:3" x14ac:dyDescent="0.2">
      <c r="C19880" s="8" t="e">
        <f>VLOOKUP(A:A,'ITEM LIST'!A:C,3,0)</f>
        <v>#N/A</v>
      </c>
    </row>
    <row r="19881" spans="3:3" x14ac:dyDescent="0.2">
      <c r="C19881" s="8" t="e">
        <f>VLOOKUP(A:A,'ITEM LIST'!A:C,3,0)</f>
        <v>#N/A</v>
      </c>
    </row>
    <row r="19882" spans="3:3" x14ac:dyDescent="0.2">
      <c r="C19882" s="8" t="e">
        <f>VLOOKUP(A:A,'ITEM LIST'!A:C,3,0)</f>
        <v>#N/A</v>
      </c>
    </row>
    <row r="19883" spans="3:3" x14ac:dyDescent="0.2">
      <c r="C19883" s="8" t="e">
        <f>VLOOKUP(A:A,'ITEM LIST'!A:C,3,0)</f>
        <v>#N/A</v>
      </c>
    </row>
    <row r="19884" spans="3:3" x14ac:dyDescent="0.2">
      <c r="C19884" s="8" t="e">
        <f>VLOOKUP(A:A,'ITEM LIST'!A:C,3,0)</f>
        <v>#N/A</v>
      </c>
    </row>
    <row r="19885" spans="3:3" x14ac:dyDescent="0.2">
      <c r="C19885" s="8" t="e">
        <f>VLOOKUP(A:A,'ITEM LIST'!A:C,3,0)</f>
        <v>#N/A</v>
      </c>
    </row>
    <row r="19886" spans="3:3" x14ac:dyDescent="0.2">
      <c r="C19886" s="8" t="e">
        <f>VLOOKUP(A:A,'ITEM LIST'!A:C,3,0)</f>
        <v>#N/A</v>
      </c>
    </row>
    <row r="19887" spans="3:3" x14ac:dyDescent="0.2">
      <c r="C19887" s="8" t="e">
        <f>VLOOKUP(A:A,'ITEM LIST'!A:C,3,0)</f>
        <v>#N/A</v>
      </c>
    </row>
    <row r="19888" spans="3:3" x14ac:dyDescent="0.2">
      <c r="C19888" s="8" t="e">
        <f>VLOOKUP(A:A,'ITEM LIST'!A:C,3,0)</f>
        <v>#N/A</v>
      </c>
    </row>
    <row r="19889" spans="3:3" x14ac:dyDescent="0.2">
      <c r="C19889" s="8" t="e">
        <f>VLOOKUP(A:A,'ITEM LIST'!A:C,3,0)</f>
        <v>#N/A</v>
      </c>
    </row>
    <row r="19890" spans="3:3" x14ac:dyDescent="0.2">
      <c r="C19890" s="8" t="e">
        <f>VLOOKUP(A:A,'ITEM LIST'!A:C,3,0)</f>
        <v>#N/A</v>
      </c>
    </row>
    <row r="19891" spans="3:3" x14ac:dyDescent="0.2">
      <c r="C19891" s="8" t="e">
        <f>VLOOKUP(A:A,'ITEM LIST'!A:C,3,0)</f>
        <v>#N/A</v>
      </c>
    </row>
    <row r="19892" spans="3:3" x14ac:dyDescent="0.2">
      <c r="C19892" s="8" t="e">
        <f>VLOOKUP(A:A,'ITEM LIST'!A:C,3,0)</f>
        <v>#N/A</v>
      </c>
    </row>
    <row r="19893" spans="3:3" x14ac:dyDescent="0.2">
      <c r="C19893" s="8" t="e">
        <f>VLOOKUP(A:A,'ITEM LIST'!A:C,3,0)</f>
        <v>#N/A</v>
      </c>
    </row>
    <row r="19894" spans="3:3" x14ac:dyDescent="0.2">
      <c r="C19894" s="8" t="e">
        <f>VLOOKUP(A:A,'ITEM LIST'!A:C,3,0)</f>
        <v>#N/A</v>
      </c>
    </row>
    <row r="19895" spans="3:3" x14ac:dyDescent="0.2">
      <c r="C19895" s="8" t="e">
        <f>VLOOKUP(A:A,'ITEM LIST'!A:C,3,0)</f>
        <v>#N/A</v>
      </c>
    </row>
    <row r="19896" spans="3:3" x14ac:dyDescent="0.2">
      <c r="C19896" s="8" t="e">
        <f>VLOOKUP(A:A,'ITEM LIST'!A:C,3,0)</f>
        <v>#N/A</v>
      </c>
    </row>
    <row r="19897" spans="3:3" x14ac:dyDescent="0.2">
      <c r="C19897" s="8" t="e">
        <f>VLOOKUP(A:A,'ITEM LIST'!A:C,3,0)</f>
        <v>#N/A</v>
      </c>
    </row>
    <row r="19898" spans="3:3" x14ac:dyDescent="0.2">
      <c r="C19898" s="8" t="e">
        <f>VLOOKUP(A:A,'ITEM LIST'!A:C,3,0)</f>
        <v>#N/A</v>
      </c>
    </row>
    <row r="19899" spans="3:3" x14ac:dyDescent="0.2">
      <c r="C19899" s="8" t="e">
        <f>VLOOKUP(A:A,'ITEM LIST'!A:C,3,0)</f>
        <v>#N/A</v>
      </c>
    </row>
    <row r="19900" spans="3:3" x14ac:dyDescent="0.2">
      <c r="C19900" s="8" t="e">
        <f>VLOOKUP(A:A,'ITEM LIST'!A:C,3,0)</f>
        <v>#N/A</v>
      </c>
    </row>
    <row r="19901" spans="3:3" x14ac:dyDescent="0.2">
      <c r="C19901" s="8" t="e">
        <f>VLOOKUP(A:A,'ITEM LIST'!A:C,3,0)</f>
        <v>#N/A</v>
      </c>
    </row>
    <row r="19902" spans="3:3" x14ac:dyDescent="0.2">
      <c r="C19902" s="8" t="e">
        <f>VLOOKUP(A:A,'ITEM LIST'!A:C,3,0)</f>
        <v>#N/A</v>
      </c>
    </row>
    <row r="19903" spans="3:3" x14ac:dyDescent="0.2">
      <c r="C19903" s="8" t="e">
        <f>VLOOKUP(A:A,'ITEM LIST'!A:C,3,0)</f>
        <v>#N/A</v>
      </c>
    </row>
    <row r="19904" spans="3:3" x14ac:dyDescent="0.2">
      <c r="C19904" s="8" t="e">
        <f>VLOOKUP(A:A,'ITEM LIST'!A:C,3,0)</f>
        <v>#N/A</v>
      </c>
    </row>
    <row r="19905" spans="3:3" x14ac:dyDescent="0.2">
      <c r="C19905" s="8" t="e">
        <f>VLOOKUP(A:A,'ITEM LIST'!A:C,3,0)</f>
        <v>#N/A</v>
      </c>
    </row>
    <row r="19906" spans="3:3" x14ac:dyDescent="0.2">
      <c r="C19906" s="8" t="e">
        <f>VLOOKUP(A:A,'ITEM LIST'!A:C,3,0)</f>
        <v>#N/A</v>
      </c>
    </row>
    <row r="19907" spans="3:3" x14ac:dyDescent="0.2">
      <c r="C19907" s="8" t="e">
        <f>VLOOKUP(A:A,'ITEM LIST'!A:C,3,0)</f>
        <v>#N/A</v>
      </c>
    </row>
    <row r="19908" spans="3:3" x14ac:dyDescent="0.2">
      <c r="C19908" s="8" t="e">
        <f>VLOOKUP(A:A,'ITEM LIST'!A:C,3,0)</f>
        <v>#N/A</v>
      </c>
    </row>
    <row r="19909" spans="3:3" x14ac:dyDescent="0.2">
      <c r="C19909" s="8" t="e">
        <f>VLOOKUP(A:A,'ITEM LIST'!A:C,3,0)</f>
        <v>#N/A</v>
      </c>
    </row>
    <row r="19910" spans="3:3" x14ac:dyDescent="0.2">
      <c r="C19910" s="8" t="e">
        <f>VLOOKUP(A:A,'ITEM LIST'!A:C,3,0)</f>
        <v>#N/A</v>
      </c>
    </row>
    <row r="19911" spans="3:3" x14ac:dyDescent="0.2">
      <c r="C19911" s="8" t="e">
        <f>VLOOKUP(A:A,'ITEM LIST'!A:C,3,0)</f>
        <v>#N/A</v>
      </c>
    </row>
    <row r="19912" spans="3:3" x14ac:dyDescent="0.2">
      <c r="C19912" s="8" t="e">
        <f>VLOOKUP(A:A,'ITEM LIST'!A:C,3,0)</f>
        <v>#N/A</v>
      </c>
    </row>
    <row r="19913" spans="3:3" x14ac:dyDescent="0.2">
      <c r="C19913" s="8" t="e">
        <f>VLOOKUP(A:A,'ITEM LIST'!A:C,3,0)</f>
        <v>#N/A</v>
      </c>
    </row>
    <row r="19914" spans="3:3" x14ac:dyDescent="0.2">
      <c r="C19914" s="8" t="e">
        <f>VLOOKUP(A:A,'ITEM LIST'!A:C,3,0)</f>
        <v>#N/A</v>
      </c>
    </row>
    <row r="19915" spans="3:3" x14ac:dyDescent="0.2">
      <c r="C19915" s="8" t="e">
        <f>VLOOKUP(A:A,'ITEM LIST'!A:C,3,0)</f>
        <v>#N/A</v>
      </c>
    </row>
    <row r="19916" spans="3:3" x14ac:dyDescent="0.2">
      <c r="C19916" s="8" t="e">
        <f>VLOOKUP(A:A,'ITEM LIST'!A:C,3,0)</f>
        <v>#N/A</v>
      </c>
    </row>
    <row r="19917" spans="3:3" x14ac:dyDescent="0.2">
      <c r="C19917" s="8" t="e">
        <f>VLOOKUP(A:A,'ITEM LIST'!A:C,3,0)</f>
        <v>#N/A</v>
      </c>
    </row>
    <row r="19918" spans="3:3" x14ac:dyDescent="0.2">
      <c r="C19918" s="8" t="e">
        <f>VLOOKUP(A:A,'ITEM LIST'!A:C,3,0)</f>
        <v>#N/A</v>
      </c>
    </row>
    <row r="19919" spans="3:3" x14ac:dyDescent="0.2">
      <c r="C19919" s="8" t="e">
        <f>VLOOKUP(A:A,'ITEM LIST'!A:C,3,0)</f>
        <v>#N/A</v>
      </c>
    </row>
    <row r="19920" spans="3:3" x14ac:dyDescent="0.2">
      <c r="C19920" s="8" t="e">
        <f>VLOOKUP(A:A,'ITEM LIST'!A:C,3,0)</f>
        <v>#N/A</v>
      </c>
    </row>
    <row r="19921" spans="3:3" x14ac:dyDescent="0.2">
      <c r="C19921" s="8" t="e">
        <f>VLOOKUP(A:A,'ITEM LIST'!A:C,3,0)</f>
        <v>#N/A</v>
      </c>
    </row>
    <row r="19922" spans="3:3" x14ac:dyDescent="0.2">
      <c r="C19922" s="8" t="e">
        <f>VLOOKUP(A:A,'ITEM LIST'!A:C,3,0)</f>
        <v>#N/A</v>
      </c>
    </row>
    <row r="19923" spans="3:3" x14ac:dyDescent="0.2">
      <c r="C19923" s="8" t="e">
        <f>VLOOKUP(A:A,'ITEM LIST'!A:C,3,0)</f>
        <v>#N/A</v>
      </c>
    </row>
    <row r="19924" spans="3:3" x14ac:dyDescent="0.2">
      <c r="C19924" s="8" t="e">
        <f>VLOOKUP(A:A,'ITEM LIST'!A:C,3,0)</f>
        <v>#N/A</v>
      </c>
    </row>
    <row r="19925" spans="3:3" x14ac:dyDescent="0.2">
      <c r="C19925" s="8" t="e">
        <f>VLOOKUP(A:A,'ITEM LIST'!A:C,3,0)</f>
        <v>#N/A</v>
      </c>
    </row>
    <row r="19926" spans="3:3" x14ac:dyDescent="0.2">
      <c r="C19926" s="8" t="e">
        <f>VLOOKUP(A:A,'ITEM LIST'!A:C,3,0)</f>
        <v>#N/A</v>
      </c>
    </row>
    <row r="19927" spans="3:3" x14ac:dyDescent="0.2">
      <c r="C19927" s="8" t="e">
        <f>VLOOKUP(A:A,'ITEM LIST'!A:C,3,0)</f>
        <v>#N/A</v>
      </c>
    </row>
    <row r="19928" spans="3:3" x14ac:dyDescent="0.2">
      <c r="C19928" s="8" t="e">
        <f>VLOOKUP(A:A,'ITEM LIST'!A:C,3,0)</f>
        <v>#N/A</v>
      </c>
    </row>
    <row r="19929" spans="3:3" x14ac:dyDescent="0.2">
      <c r="C19929" s="8" t="e">
        <f>VLOOKUP(A:A,'ITEM LIST'!A:C,3,0)</f>
        <v>#N/A</v>
      </c>
    </row>
    <row r="19930" spans="3:3" x14ac:dyDescent="0.2">
      <c r="C19930" s="8" t="e">
        <f>VLOOKUP(A:A,'ITEM LIST'!A:C,3,0)</f>
        <v>#N/A</v>
      </c>
    </row>
    <row r="19931" spans="3:3" x14ac:dyDescent="0.2">
      <c r="C19931" s="8" t="e">
        <f>VLOOKUP(A:A,'ITEM LIST'!A:C,3,0)</f>
        <v>#N/A</v>
      </c>
    </row>
    <row r="19932" spans="3:3" x14ac:dyDescent="0.2">
      <c r="C19932" s="8" t="e">
        <f>VLOOKUP(A:A,'ITEM LIST'!A:C,3,0)</f>
        <v>#N/A</v>
      </c>
    </row>
    <row r="19933" spans="3:3" x14ac:dyDescent="0.2">
      <c r="C19933" s="8" t="e">
        <f>VLOOKUP(A:A,'ITEM LIST'!A:C,3,0)</f>
        <v>#N/A</v>
      </c>
    </row>
    <row r="19934" spans="3:3" x14ac:dyDescent="0.2">
      <c r="C19934" s="8" t="e">
        <f>VLOOKUP(A:A,'ITEM LIST'!A:C,3,0)</f>
        <v>#N/A</v>
      </c>
    </row>
    <row r="19935" spans="3:3" x14ac:dyDescent="0.2">
      <c r="C19935" s="8" t="e">
        <f>VLOOKUP(A:A,'ITEM LIST'!A:C,3,0)</f>
        <v>#N/A</v>
      </c>
    </row>
    <row r="19936" spans="3:3" x14ac:dyDescent="0.2">
      <c r="C19936" s="8" t="e">
        <f>VLOOKUP(A:A,'ITEM LIST'!A:C,3,0)</f>
        <v>#N/A</v>
      </c>
    </row>
    <row r="19937" spans="3:3" x14ac:dyDescent="0.2">
      <c r="C19937" s="8" t="e">
        <f>VLOOKUP(A:A,'ITEM LIST'!A:C,3,0)</f>
        <v>#N/A</v>
      </c>
    </row>
    <row r="19938" spans="3:3" x14ac:dyDescent="0.2">
      <c r="C19938" s="8" t="e">
        <f>VLOOKUP(A:A,'ITEM LIST'!A:C,3,0)</f>
        <v>#N/A</v>
      </c>
    </row>
    <row r="19939" spans="3:3" x14ac:dyDescent="0.2">
      <c r="C19939" s="8" t="e">
        <f>VLOOKUP(A:A,'ITEM LIST'!A:C,3,0)</f>
        <v>#N/A</v>
      </c>
    </row>
    <row r="19940" spans="3:3" x14ac:dyDescent="0.2">
      <c r="C19940" s="8" t="e">
        <f>VLOOKUP(A:A,'ITEM LIST'!A:C,3,0)</f>
        <v>#N/A</v>
      </c>
    </row>
    <row r="19941" spans="3:3" x14ac:dyDescent="0.2">
      <c r="C19941" s="8" t="e">
        <f>VLOOKUP(A:A,'ITEM LIST'!A:C,3,0)</f>
        <v>#N/A</v>
      </c>
    </row>
    <row r="19942" spans="3:3" x14ac:dyDescent="0.2">
      <c r="C19942" s="8" t="e">
        <f>VLOOKUP(A:A,'ITEM LIST'!A:C,3,0)</f>
        <v>#N/A</v>
      </c>
    </row>
    <row r="19943" spans="3:3" x14ac:dyDescent="0.2">
      <c r="C19943" s="8" t="e">
        <f>VLOOKUP(A:A,'ITEM LIST'!A:C,3,0)</f>
        <v>#N/A</v>
      </c>
    </row>
    <row r="19944" spans="3:3" x14ac:dyDescent="0.2">
      <c r="C19944" s="8" t="e">
        <f>VLOOKUP(A:A,'ITEM LIST'!A:C,3,0)</f>
        <v>#N/A</v>
      </c>
    </row>
    <row r="19945" spans="3:3" x14ac:dyDescent="0.2">
      <c r="C19945" s="8" t="e">
        <f>VLOOKUP(A:A,'ITEM LIST'!A:C,3,0)</f>
        <v>#N/A</v>
      </c>
    </row>
    <row r="19946" spans="3:3" x14ac:dyDescent="0.2">
      <c r="C19946" s="8" t="e">
        <f>VLOOKUP(A:A,'ITEM LIST'!A:C,3,0)</f>
        <v>#N/A</v>
      </c>
    </row>
    <row r="19947" spans="3:3" x14ac:dyDescent="0.2">
      <c r="C19947" s="8" t="e">
        <f>VLOOKUP(A:A,'ITEM LIST'!A:C,3,0)</f>
        <v>#N/A</v>
      </c>
    </row>
    <row r="19948" spans="3:3" x14ac:dyDescent="0.2">
      <c r="C19948" s="8" t="e">
        <f>VLOOKUP(A:A,'ITEM LIST'!A:C,3,0)</f>
        <v>#N/A</v>
      </c>
    </row>
    <row r="19949" spans="3:3" x14ac:dyDescent="0.2">
      <c r="C19949" s="8" t="e">
        <f>VLOOKUP(A:A,'ITEM LIST'!A:C,3,0)</f>
        <v>#N/A</v>
      </c>
    </row>
    <row r="19950" spans="3:3" x14ac:dyDescent="0.2">
      <c r="C19950" s="8" t="e">
        <f>VLOOKUP(A:A,'ITEM LIST'!A:C,3,0)</f>
        <v>#N/A</v>
      </c>
    </row>
    <row r="19951" spans="3:3" x14ac:dyDescent="0.2">
      <c r="C19951" s="8" t="e">
        <f>VLOOKUP(A:A,'ITEM LIST'!A:C,3,0)</f>
        <v>#N/A</v>
      </c>
    </row>
    <row r="19952" spans="3:3" x14ac:dyDescent="0.2">
      <c r="C19952" s="8" t="e">
        <f>VLOOKUP(A:A,'ITEM LIST'!A:C,3,0)</f>
        <v>#N/A</v>
      </c>
    </row>
    <row r="19953" spans="3:3" x14ac:dyDescent="0.2">
      <c r="C19953" s="8" t="e">
        <f>VLOOKUP(A:A,'ITEM LIST'!A:C,3,0)</f>
        <v>#N/A</v>
      </c>
    </row>
    <row r="19954" spans="3:3" x14ac:dyDescent="0.2">
      <c r="C19954" s="8" t="e">
        <f>VLOOKUP(A:A,'ITEM LIST'!A:C,3,0)</f>
        <v>#N/A</v>
      </c>
    </row>
    <row r="19955" spans="3:3" x14ac:dyDescent="0.2">
      <c r="C19955" s="8" t="e">
        <f>VLOOKUP(A:A,'ITEM LIST'!A:C,3,0)</f>
        <v>#N/A</v>
      </c>
    </row>
    <row r="19956" spans="3:3" x14ac:dyDescent="0.2">
      <c r="C19956" s="8" t="e">
        <f>VLOOKUP(A:A,'ITEM LIST'!A:C,3,0)</f>
        <v>#N/A</v>
      </c>
    </row>
    <row r="19957" spans="3:3" x14ac:dyDescent="0.2">
      <c r="C19957" s="8" t="e">
        <f>VLOOKUP(A:A,'ITEM LIST'!A:C,3,0)</f>
        <v>#N/A</v>
      </c>
    </row>
    <row r="19958" spans="3:3" x14ac:dyDescent="0.2">
      <c r="C19958" s="8" t="e">
        <f>VLOOKUP(A:A,'ITEM LIST'!A:C,3,0)</f>
        <v>#N/A</v>
      </c>
    </row>
    <row r="19959" spans="3:3" x14ac:dyDescent="0.2">
      <c r="C19959" s="8" t="e">
        <f>VLOOKUP(A:A,'ITEM LIST'!A:C,3,0)</f>
        <v>#N/A</v>
      </c>
    </row>
    <row r="19960" spans="3:3" x14ac:dyDescent="0.2">
      <c r="C19960" s="8" t="e">
        <f>VLOOKUP(A:A,'ITEM LIST'!A:C,3,0)</f>
        <v>#N/A</v>
      </c>
    </row>
    <row r="19961" spans="3:3" x14ac:dyDescent="0.2">
      <c r="C19961" s="8" t="e">
        <f>VLOOKUP(A:A,'ITEM LIST'!A:C,3,0)</f>
        <v>#N/A</v>
      </c>
    </row>
    <row r="19962" spans="3:3" x14ac:dyDescent="0.2">
      <c r="C19962" s="8" t="e">
        <f>VLOOKUP(A:A,'ITEM LIST'!A:C,3,0)</f>
        <v>#N/A</v>
      </c>
    </row>
    <row r="19963" spans="3:3" x14ac:dyDescent="0.2">
      <c r="C19963" s="8" t="e">
        <f>VLOOKUP(A:A,'ITEM LIST'!A:C,3,0)</f>
        <v>#N/A</v>
      </c>
    </row>
    <row r="19964" spans="3:3" x14ac:dyDescent="0.2">
      <c r="C19964" s="8" t="e">
        <f>VLOOKUP(A:A,'ITEM LIST'!A:C,3,0)</f>
        <v>#N/A</v>
      </c>
    </row>
    <row r="19965" spans="3:3" x14ac:dyDescent="0.2">
      <c r="C19965" s="8" t="e">
        <f>VLOOKUP(A:A,'ITEM LIST'!A:C,3,0)</f>
        <v>#N/A</v>
      </c>
    </row>
    <row r="19966" spans="3:3" x14ac:dyDescent="0.2">
      <c r="C19966" s="8" t="e">
        <f>VLOOKUP(A:A,'ITEM LIST'!A:C,3,0)</f>
        <v>#N/A</v>
      </c>
    </row>
    <row r="19967" spans="3:3" x14ac:dyDescent="0.2">
      <c r="C19967" s="8" t="e">
        <f>VLOOKUP(A:A,'ITEM LIST'!A:C,3,0)</f>
        <v>#N/A</v>
      </c>
    </row>
    <row r="19968" spans="3:3" x14ac:dyDescent="0.2">
      <c r="C19968" s="8" t="e">
        <f>VLOOKUP(A:A,'ITEM LIST'!A:C,3,0)</f>
        <v>#N/A</v>
      </c>
    </row>
    <row r="19969" spans="3:3" x14ac:dyDescent="0.2">
      <c r="C19969" s="8" t="e">
        <f>VLOOKUP(A:A,'ITEM LIST'!A:C,3,0)</f>
        <v>#N/A</v>
      </c>
    </row>
    <row r="19970" spans="3:3" x14ac:dyDescent="0.2">
      <c r="C19970" s="8" t="e">
        <f>VLOOKUP(A:A,'ITEM LIST'!A:C,3,0)</f>
        <v>#N/A</v>
      </c>
    </row>
    <row r="19971" spans="3:3" x14ac:dyDescent="0.2">
      <c r="C19971" s="8" t="e">
        <f>VLOOKUP(A:A,'ITEM LIST'!A:C,3,0)</f>
        <v>#N/A</v>
      </c>
    </row>
    <row r="19972" spans="3:3" x14ac:dyDescent="0.2">
      <c r="C19972" s="8" t="e">
        <f>VLOOKUP(A:A,'ITEM LIST'!A:C,3,0)</f>
        <v>#N/A</v>
      </c>
    </row>
    <row r="19973" spans="3:3" x14ac:dyDescent="0.2">
      <c r="C19973" s="8" t="e">
        <f>VLOOKUP(A:A,'ITEM LIST'!A:C,3,0)</f>
        <v>#N/A</v>
      </c>
    </row>
    <row r="19974" spans="3:3" x14ac:dyDescent="0.2">
      <c r="C19974" s="8" t="e">
        <f>VLOOKUP(A:A,'ITEM LIST'!A:C,3,0)</f>
        <v>#N/A</v>
      </c>
    </row>
    <row r="19975" spans="3:3" x14ac:dyDescent="0.2">
      <c r="C19975" s="8" t="e">
        <f>VLOOKUP(A:A,'ITEM LIST'!A:C,3,0)</f>
        <v>#N/A</v>
      </c>
    </row>
    <row r="19976" spans="3:3" x14ac:dyDescent="0.2">
      <c r="C19976" s="8" t="e">
        <f>VLOOKUP(A:A,'ITEM LIST'!A:C,3,0)</f>
        <v>#N/A</v>
      </c>
    </row>
    <row r="19977" spans="3:3" x14ac:dyDescent="0.2">
      <c r="C19977" s="8" t="e">
        <f>VLOOKUP(A:A,'ITEM LIST'!A:C,3,0)</f>
        <v>#N/A</v>
      </c>
    </row>
    <row r="19978" spans="3:3" x14ac:dyDescent="0.2">
      <c r="C19978" s="8" t="e">
        <f>VLOOKUP(A:A,'ITEM LIST'!A:C,3,0)</f>
        <v>#N/A</v>
      </c>
    </row>
    <row r="19979" spans="3:3" x14ac:dyDescent="0.2">
      <c r="C19979" s="8" t="e">
        <f>VLOOKUP(A:A,'ITEM LIST'!A:C,3,0)</f>
        <v>#N/A</v>
      </c>
    </row>
    <row r="19980" spans="3:3" x14ac:dyDescent="0.2">
      <c r="C19980" s="8" t="e">
        <f>VLOOKUP(A:A,'ITEM LIST'!A:C,3,0)</f>
        <v>#N/A</v>
      </c>
    </row>
    <row r="19981" spans="3:3" x14ac:dyDescent="0.2">
      <c r="C19981" s="8" t="e">
        <f>VLOOKUP(A:A,'ITEM LIST'!A:C,3,0)</f>
        <v>#N/A</v>
      </c>
    </row>
    <row r="19982" spans="3:3" x14ac:dyDescent="0.2">
      <c r="C19982" s="8" t="e">
        <f>VLOOKUP(A:A,'ITEM LIST'!A:C,3,0)</f>
        <v>#N/A</v>
      </c>
    </row>
    <row r="19983" spans="3:3" x14ac:dyDescent="0.2">
      <c r="C19983" s="8" t="e">
        <f>VLOOKUP(A:A,'ITEM LIST'!A:C,3,0)</f>
        <v>#N/A</v>
      </c>
    </row>
    <row r="19984" spans="3:3" x14ac:dyDescent="0.2">
      <c r="C19984" s="8" t="e">
        <f>VLOOKUP(A:A,'ITEM LIST'!A:C,3,0)</f>
        <v>#N/A</v>
      </c>
    </row>
    <row r="19985" spans="3:3" x14ac:dyDescent="0.2">
      <c r="C19985" s="8" t="e">
        <f>VLOOKUP(A:A,'ITEM LIST'!A:C,3,0)</f>
        <v>#N/A</v>
      </c>
    </row>
    <row r="19986" spans="3:3" x14ac:dyDescent="0.2">
      <c r="C19986" s="8" t="e">
        <f>VLOOKUP(A:A,'ITEM LIST'!A:C,3,0)</f>
        <v>#N/A</v>
      </c>
    </row>
    <row r="19987" spans="3:3" x14ac:dyDescent="0.2">
      <c r="C19987" s="8" t="e">
        <f>VLOOKUP(A:A,'ITEM LIST'!A:C,3,0)</f>
        <v>#N/A</v>
      </c>
    </row>
    <row r="19988" spans="3:3" x14ac:dyDescent="0.2">
      <c r="C19988" s="8" t="e">
        <f>VLOOKUP(A:A,'ITEM LIST'!A:C,3,0)</f>
        <v>#N/A</v>
      </c>
    </row>
    <row r="19989" spans="3:3" x14ac:dyDescent="0.2">
      <c r="C19989" s="8" t="e">
        <f>VLOOKUP(A:A,'ITEM LIST'!A:C,3,0)</f>
        <v>#N/A</v>
      </c>
    </row>
    <row r="19990" spans="3:3" x14ac:dyDescent="0.2">
      <c r="C19990" s="8" t="e">
        <f>VLOOKUP(A:A,'ITEM LIST'!A:C,3,0)</f>
        <v>#N/A</v>
      </c>
    </row>
    <row r="19991" spans="3:3" x14ac:dyDescent="0.2">
      <c r="C19991" s="8" t="e">
        <f>VLOOKUP(A:A,'ITEM LIST'!A:C,3,0)</f>
        <v>#N/A</v>
      </c>
    </row>
    <row r="19992" spans="3:3" x14ac:dyDescent="0.2">
      <c r="C19992" s="8" t="e">
        <f>VLOOKUP(A:A,'ITEM LIST'!A:C,3,0)</f>
        <v>#N/A</v>
      </c>
    </row>
    <row r="19993" spans="3:3" x14ac:dyDescent="0.2">
      <c r="C19993" s="8" t="e">
        <f>VLOOKUP(A:A,'ITEM LIST'!A:C,3,0)</f>
        <v>#N/A</v>
      </c>
    </row>
    <row r="19994" spans="3:3" x14ac:dyDescent="0.2">
      <c r="C19994" s="8" t="e">
        <f>VLOOKUP(A:A,'ITEM LIST'!A:C,3,0)</f>
        <v>#N/A</v>
      </c>
    </row>
    <row r="19995" spans="3:3" x14ac:dyDescent="0.2">
      <c r="C19995" s="8" t="e">
        <f>VLOOKUP(A:A,'ITEM LIST'!A:C,3,0)</f>
        <v>#N/A</v>
      </c>
    </row>
    <row r="19996" spans="3:3" x14ac:dyDescent="0.2">
      <c r="C19996" s="8" t="e">
        <f>VLOOKUP(A:A,'ITEM LIST'!A:C,3,0)</f>
        <v>#N/A</v>
      </c>
    </row>
    <row r="19997" spans="3:3" x14ac:dyDescent="0.2">
      <c r="C19997" s="8" t="e">
        <f>VLOOKUP(A:A,'ITEM LIST'!A:C,3,0)</f>
        <v>#N/A</v>
      </c>
    </row>
    <row r="19998" spans="3:3" x14ac:dyDescent="0.2">
      <c r="C19998" s="8" t="e">
        <f>VLOOKUP(A:A,'ITEM LIST'!A:C,3,0)</f>
        <v>#N/A</v>
      </c>
    </row>
    <row r="19999" spans="3:3" x14ac:dyDescent="0.2">
      <c r="C19999" s="8" t="e">
        <f>VLOOKUP(A:A,'ITEM LIST'!A:C,3,0)</f>
        <v>#N/A</v>
      </c>
    </row>
    <row r="20000" spans="3:3" x14ac:dyDescent="0.2">
      <c r="C20000" s="8" t="e">
        <f>VLOOKUP(A:A,'ITEM LIST'!A:C,3,0)</f>
        <v>#N/A</v>
      </c>
    </row>
    <row r="20001" spans="3:3" x14ac:dyDescent="0.2">
      <c r="C20001" s="8" t="e">
        <f>VLOOKUP(A:A,'ITEM LIST'!A:C,3,0)</f>
        <v>#N/A</v>
      </c>
    </row>
    <row r="20002" spans="3:3" x14ac:dyDescent="0.2">
      <c r="C20002" s="8" t="e">
        <f>VLOOKUP(A:A,'ITEM LIST'!A:C,3,0)</f>
        <v>#N/A</v>
      </c>
    </row>
    <row r="20003" spans="3:3" x14ac:dyDescent="0.2">
      <c r="C20003" s="8" t="e">
        <f>VLOOKUP(A:A,'ITEM LIST'!A:C,3,0)</f>
        <v>#N/A</v>
      </c>
    </row>
    <row r="20004" spans="3:3" x14ac:dyDescent="0.2">
      <c r="C20004" s="8" t="e">
        <f>VLOOKUP(A:A,'ITEM LIST'!A:C,3,0)</f>
        <v>#N/A</v>
      </c>
    </row>
    <row r="20005" spans="3:3" x14ac:dyDescent="0.2">
      <c r="C20005" s="8" t="e">
        <f>VLOOKUP(A:A,'ITEM LIST'!A:C,3,0)</f>
        <v>#N/A</v>
      </c>
    </row>
    <row r="20006" spans="3:3" x14ac:dyDescent="0.2">
      <c r="C20006" s="8" t="e">
        <f>VLOOKUP(A:A,'ITEM LIST'!A:C,3,0)</f>
        <v>#N/A</v>
      </c>
    </row>
    <row r="20007" spans="3:3" x14ac:dyDescent="0.2">
      <c r="C20007" s="8" t="e">
        <f>VLOOKUP(A:A,'ITEM LIST'!A:C,3,0)</f>
        <v>#N/A</v>
      </c>
    </row>
    <row r="20008" spans="3:3" x14ac:dyDescent="0.2">
      <c r="C20008" s="8" t="e">
        <f>VLOOKUP(A:A,'ITEM LIST'!A:C,3,0)</f>
        <v>#N/A</v>
      </c>
    </row>
    <row r="20009" spans="3:3" x14ac:dyDescent="0.2">
      <c r="C20009" s="8" t="e">
        <f>VLOOKUP(A:A,'ITEM LIST'!A:C,3,0)</f>
        <v>#N/A</v>
      </c>
    </row>
    <row r="20010" spans="3:3" x14ac:dyDescent="0.2">
      <c r="C20010" s="8" t="e">
        <f>VLOOKUP(A:A,'ITEM LIST'!A:C,3,0)</f>
        <v>#N/A</v>
      </c>
    </row>
    <row r="20011" spans="3:3" x14ac:dyDescent="0.2">
      <c r="C20011" s="8" t="e">
        <f>VLOOKUP(A:A,'ITEM LIST'!A:C,3,0)</f>
        <v>#N/A</v>
      </c>
    </row>
    <row r="20012" spans="3:3" x14ac:dyDescent="0.2">
      <c r="C20012" s="8" t="e">
        <f>VLOOKUP(A:A,'ITEM LIST'!A:C,3,0)</f>
        <v>#N/A</v>
      </c>
    </row>
    <row r="20013" spans="3:3" x14ac:dyDescent="0.2">
      <c r="C20013" s="8" t="e">
        <f>VLOOKUP(A:A,'ITEM LIST'!A:C,3,0)</f>
        <v>#N/A</v>
      </c>
    </row>
    <row r="20014" spans="3:3" x14ac:dyDescent="0.2">
      <c r="C20014" s="8" t="e">
        <f>VLOOKUP(A:A,'ITEM LIST'!A:C,3,0)</f>
        <v>#N/A</v>
      </c>
    </row>
    <row r="20015" spans="3:3" x14ac:dyDescent="0.2">
      <c r="C20015" s="8" t="e">
        <f>VLOOKUP(A:A,'ITEM LIST'!A:C,3,0)</f>
        <v>#N/A</v>
      </c>
    </row>
    <row r="20016" spans="3:3" x14ac:dyDescent="0.2">
      <c r="C20016" s="8" t="e">
        <f>VLOOKUP(A:A,'ITEM LIST'!A:C,3,0)</f>
        <v>#N/A</v>
      </c>
    </row>
    <row r="20017" spans="3:3" x14ac:dyDescent="0.2">
      <c r="C20017" s="8" t="e">
        <f>VLOOKUP(A:A,'ITEM LIST'!A:C,3,0)</f>
        <v>#N/A</v>
      </c>
    </row>
    <row r="20018" spans="3:3" x14ac:dyDescent="0.2">
      <c r="C20018" s="8" t="e">
        <f>VLOOKUP(A:A,'ITEM LIST'!A:C,3,0)</f>
        <v>#N/A</v>
      </c>
    </row>
    <row r="20019" spans="3:3" x14ac:dyDescent="0.2">
      <c r="C20019" s="8" t="e">
        <f>VLOOKUP(A:A,'ITEM LIST'!A:C,3,0)</f>
        <v>#N/A</v>
      </c>
    </row>
    <row r="20020" spans="3:3" x14ac:dyDescent="0.2">
      <c r="C20020" s="8" t="e">
        <f>VLOOKUP(A:A,'ITEM LIST'!A:C,3,0)</f>
        <v>#N/A</v>
      </c>
    </row>
    <row r="20021" spans="3:3" x14ac:dyDescent="0.2">
      <c r="C20021" s="8" t="e">
        <f>VLOOKUP(A:A,'ITEM LIST'!A:C,3,0)</f>
        <v>#N/A</v>
      </c>
    </row>
    <row r="20022" spans="3:3" x14ac:dyDescent="0.2">
      <c r="C20022" s="8" t="e">
        <f>VLOOKUP(A:A,'ITEM LIST'!A:C,3,0)</f>
        <v>#N/A</v>
      </c>
    </row>
    <row r="20023" spans="3:3" x14ac:dyDescent="0.2">
      <c r="C20023" s="8" t="e">
        <f>VLOOKUP(A:A,'ITEM LIST'!A:C,3,0)</f>
        <v>#N/A</v>
      </c>
    </row>
    <row r="20024" spans="3:3" x14ac:dyDescent="0.2">
      <c r="C20024" s="8" t="e">
        <f>VLOOKUP(A:A,'ITEM LIST'!A:C,3,0)</f>
        <v>#N/A</v>
      </c>
    </row>
    <row r="20025" spans="3:3" x14ac:dyDescent="0.2">
      <c r="C20025" s="8" t="e">
        <f>VLOOKUP(A:A,'ITEM LIST'!A:C,3,0)</f>
        <v>#N/A</v>
      </c>
    </row>
    <row r="20026" spans="3:3" x14ac:dyDescent="0.2">
      <c r="C20026" s="8" t="e">
        <f>VLOOKUP(A:A,'ITEM LIST'!A:C,3,0)</f>
        <v>#N/A</v>
      </c>
    </row>
    <row r="20027" spans="3:3" x14ac:dyDescent="0.2">
      <c r="C20027" s="8" t="e">
        <f>VLOOKUP(A:A,'ITEM LIST'!A:C,3,0)</f>
        <v>#N/A</v>
      </c>
    </row>
    <row r="20028" spans="3:3" x14ac:dyDescent="0.2">
      <c r="C20028" s="8" t="e">
        <f>VLOOKUP(A:A,'ITEM LIST'!A:C,3,0)</f>
        <v>#N/A</v>
      </c>
    </row>
    <row r="20029" spans="3:3" x14ac:dyDescent="0.2">
      <c r="C20029" s="8" t="e">
        <f>VLOOKUP(A:A,'ITEM LIST'!A:C,3,0)</f>
        <v>#N/A</v>
      </c>
    </row>
    <row r="20030" spans="3:3" x14ac:dyDescent="0.2">
      <c r="C20030" s="8" t="e">
        <f>VLOOKUP(A:A,'ITEM LIST'!A:C,3,0)</f>
        <v>#N/A</v>
      </c>
    </row>
    <row r="20031" spans="3:3" x14ac:dyDescent="0.2">
      <c r="C20031" s="8" t="e">
        <f>VLOOKUP(A:A,'ITEM LIST'!A:C,3,0)</f>
        <v>#N/A</v>
      </c>
    </row>
    <row r="20032" spans="3:3" x14ac:dyDescent="0.2">
      <c r="C20032" s="8" t="e">
        <f>VLOOKUP(A:A,'ITEM LIST'!A:C,3,0)</f>
        <v>#N/A</v>
      </c>
    </row>
    <row r="20033" spans="3:3" x14ac:dyDescent="0.2">
      <c r="C20033" s="8" t="e">
        <f>VLOOKUP(A:A,'ITEM LIST'!A:C,3,0)</f>
        <v>#N/A</v>
      </c>
    </row>
    <row r="20034" spans="3:3" x14ac:dyDescent="0.2">
      <c r="C20034" s="8" t="e">
        <f>VLOOKUP(A:A,'ITEM LIST'!A:C,3,0)</f>
        <v>#N/A</v>
      </c>
    </row>
    <row r="20035" spans="3:3" x14ac:dyDescent="0.2">
      <c r="C20035" s="8" t="e">
        <f>VLOOKUP(A:A,'ITEM LIST'!A:C,3,0)</f>
        <v>#N/A</v>
      </c>
    </row>
    <row r="20036" spans="3:3" x14ac:dyDescent="0.2">
      <c r="C20036" s="8" t="e">
        <f>VLOOKUP(A:A,'ITEM LIST'!A:C,3,0)</f>
        <v>#N/A</v>
      </c>
    </row>
    <row r="20037" spans="3:3" x14ac:dyDescent="0.2">
      <c r="C20037" s="8" t="e">
        <f>VLOOKUP(A:A,'ITEM LIST'!A:C,3,0)</f>
        <v>#N/A</v>
      </c>
    </row>
    <row r="20038" spans="3:3" x14ac:dyDescent="0.2">
      <c r="C20038" s="8" t="e">
        <f>VLOOKUP(A:A,'ITEM LIST'!A:C,3,0)</f>
        <v>#N/A</v>
      </c>
    </row>
    <row r="20039" spans="3:3" x14ac:dyDescent="0.2">
      <c r="C20039" s="8" t="e">
        <f>VLOOKUP(A:A,'ITEM LIST'!A:C,3,0)</f>
        <v>#N/A</v>
      </c>
    </row>
    <row r="20040" spans="3:3" x14ac:dyDescent="0.2">
      <c r="C20040" s="8" t="e">
        <f>VLOOKUP(A:A,'ITEM LIST'!A:C,3,0)</f>
        <v>#N/A</v>
      </c>
    </row>
    <row r="20041" spans="3:3" x14ac:dyDescent="0.2">
      <c r="C20041" s="8" t="e">
        <f>VLOOKUP(A:A,'ITEM LIST'!A:C,3,0)</f>
        <v>#N/A</v>
      </c>
    </row>
    <row r="20042" spans="3:3" x14ac:dyDescent="0.2">
      <c r="C20042" s="8" t="e">
        <f>VLOOKUP(A:A,'ITEM LIST'!A:C,3,0)</f>
        <v>#N/A</v>
      </c>
    </row>
    <row r="20043" spans="3:3" x14ac:dyDescent="0.2">
      <c r="C20043" s="8" t="e">
        <f>VLOOKUP(A:A,'ITEM LIST'!A:C,3,0)</f>
        <v>#N/A</v>
      </c>
    </row>
    <row r="20044" spans="3:3" x14ac:dyDescent="0.2">
      <c r="C20044" s="8" t="e">
        <f>VLOOKUP(A:A,'ITEM LIST'!A:C,3,0)</f>
        <v>#N/A</v>
      </c>
    </row>
    <row r="20045" spans="3:3" x14ac:dyDescent="0.2">
      <c r="C20045" s="8" t="e">
        <f>VLOOKUP(A:A,'ITEM LIST'!A:C,3,0)</f>
        <v>#N/A</v>
      </c>
    </row>
    <row r="20046" spans="3:3" x14ac:dyDescent="0.2">
      <c r="C20046" s="8" t="e">
        <f>VLOOKUP(A:A,'ITEM LIST'!A:C,3,0)</f>
        <v>#N/A</v>
      </c>
    </row>
    <row r="20047" spans="3:3" x14ac:dyDescent="0.2">
      <c r="C20047" s="8" t="e">
        <f>VLOOKUP(A:A,'ITEM LIST'!A:C,3,0)</f>
        <v>#N/A</v>
      </c>
    </row>
    <row r="20048" spans="3:3" x14ac:dyDescent="0.2">
      <c r="C20048" s="8" t="e">
        <f>VLOOKUP(A:A,'ITEM LIST'!A:C,3,0)</f>
        <v>#N/A</v>
      </c>
    </row>
    <row r="20049" spans="3:3" x14ac:dyDescent="0.2">
      <c r="C20049" s="8" t="e">
        <f>VLOOKUP(A:A,'ITEM LIST'!A:C,3,0)</f>
        <v>#N/A</v>
      </c>
    </row>
    <row r="20050" spans="3:3" x14ac:dyDescent="0.2">
      <c r="C20050" s="8" t="e">
        <f>VLOOKUP(A:A,'ITEM LIST'!A:C,3,0)</f>
        <v>#N/A</v>
      </c>
    </row>
    <row r="20051" spans="3:3" x14ac:dyDescent="0.2">
      <c r="C20051" s="8" t="e">
        <f>VLOOKUP(A:A,'ITEM LIST'!A:C,3,0)</f>
        <v>#N/A</v>
      </c>
    </row>
    <row r="20052" spans="3:3" x14ac:dyDescent="0.2">
      <c r="C20052" s="8" t="e">
        <f>VLOOKUP(A:A,'ITEM LIST'!A:C,3,0)</f>
        <v>#N/A</v>
      </c>
    </row>
    <row r="20053" spans="3:3" x14ac:dyDescent="0.2">
      <c r="C20053" s="8" t="e">
        <f>VLOOKUP(A:A,'ITEM LIST'!A:C,3,0)</f>
        <v>#N/A</v>
      </c>
    </row>
    <row r="20054" spans="3:3" x14ac:dyDescent="0.2">
      <c r="C20054" s="8" t="e">
        <f>VLOOKUP(A:A,'ITEM LIST'!A:C,3,0)</f>
        <v>#N/A</v>
      </c>
    </row>
    <row r="20055" spans="3:3" x14ac:dyDescent="0.2">
      <c r="C20055" s="8" t="e">
        <f>VLOOKUP(A:A,'ITEM LIST'!A:C,3,0)</f>
        <v>#N/A</v>
      </c>
    </row>
    <row r="20056" spans="3:3" x14ac:dyDescent="0.2">
      <c r="C20056" s="8" t="e">
        <f>VLOOKUP(A:A,'ITEM LIST'!A:C,3,0)</f>
        <v>#N/A</v>
      </c>
    </row>
    <row r="20057" spans="3:3" x14ac:dyDescent="0.2">
      <c r="C20057" s="8" t="e">
        <f>VLOOKUP(A:A,'ITEM LIST'!A:C,3,0)</f>
        <v>#N/A</v>
      </c>
    </row>
    <row r="20058" spans="3:3" x14ac:dyDescent="0.2">
      <c r="C20058" s="8" t="e">
        <f>VLOOKUP(A:A,'ITEM LIST'!A:C,3,0)</f>
        <v>#N/A</v>
      </c>
    </row>
    <row r="20059" spans="3:3" x14ac:dyDescent="0.2">
      <c r="C20059" s="8" t="e">
        <f>VLOOKUP(A:A,'ITEM LIST'!A:C,3,0)</f>
        <v>#N/A</v>
      </c>
    </row>
    <row r="20060" spans="3:3" x14ac:dyDescent="0.2">
      <c r="C20060" s="8" t="e">
        <f>VLOOKUP(A:A,'ITEM LIST'!A:C,3,0)</f>
        <v>#N/A</v>
      </c>
    </row>
    <row r="20061" spans="3:3" x14ac:dyDescent="0.2">
      <c r="C20061" s="8" t="e">
        <f>VLOOKUP(A:A,'ITEM LIST'!A:C,3,0)</f>
        <v>#N/A</v>
      </c>
    </row>
    <row r="20062" spans="3:3" x14ac:dyDescent="0.2">
      <c r="C20062" s="8" t="e">
        <f>VLOOKUP(A:A,'ITEM LIST'!A:C,3,0)</f>
        <v>#N/A</v>
      </c>
    </row>
    <row r="20063" spans="3:3" x14ac:dyDescent="0.2">
      <c r="C20063" s="8" t="e">
        <f>VLOOKUP(A:A,'ITEM LIST'!A:C,3,0)</f>
        <v>#N/A</v>
      </c>
    </row>
    <row r="20064" spans="3:3" x14ac:dyDescent="0.2">
      <c r="C20064" s="8" t="e">
        <f>VLOOKUP(A:A,'ITEM LIST'!A:C,3,0)</f>
        <v>#N/A</v>
      </c>
    </row>
    <row r="20065" spans="3:3" x14ac:dyDescent="0.2">
      <c r="C20065" s="8" t="e">
        <f>VLOOKUP(A:A,'ITEM LIST'!A:C,3,0)</f>
        <v>#N/A</v>
      </c>
    </row>
    <row r="20066" spans="3:3" x14ac:dyDescent="0.2">
      <c r="C20066" s="8" t="e">
        <f>VLOOKUP(A:A,'ITEM LIST'!A:C,3,0)</f>
        <v>#N/A</v>
      </c>
    </row>
    <row r="20067" spans="3:3" x14ac:dyDescent="0.2">
      <c r="C20067" s="8" t="e">
        <f>VLOOKUP(A:A,'ITEM LIST'!A:C,3,0)</f>
        <v>#N/A</v>
      </c>
    </row>
    <row r="20068" spans="3:3" x14ac:dyDescent="0.2">
      <c r="C20068" s="8" t="e">
        <f>VLOOKUP(A:A,'ITEM LIST'!A:C,3,0)</f>
        <v>#N/A</v>
      </c>
    </row>
    <row r="20069" spans="3:3" x14ac:dyDescent="0.2">
      <c r="C20069" s="8" t="e">
        <f>VLOOKUP(A:A,'ITEM LIST'!A:C,3,0)</f>
        <v>#N/A</v>
      </c>
    </row>
    <row r="20070" spans="3:3" x14ac:dyDescent="0.2">
      <c r="C20070" s="8" t="e">
        <f>VLOOKUP(A:A,'ITEM LIST'!A:C,3,0)</f>
        <v>#N/A</v>
      </c>
    </row>
    <row r="20071" spans="3:3" x14ac:dyDescent="0.2">
      <c r="C20071" s="8" t="e">
        <f>VLOOKUP(A:A,'ITEM LIST'!A:C,3,0)</f>
        <v>#N/A</v>
      </c>
    </row>
    <row r="20072" spans="3:3" x14ac:dyDescent="0.2">
      <c r="C20072" s="8" t="e">
        <f>VLOOKUP(A:A,'ITEM LIST'!A:C,3,0)</f>
        <v>#N/A</v>
      </c>
    </row>
    <row r="20073" spans="3:3" x14ac:dyDescent="0.2">
      <c r="C20073" s="8" t="e">
        <f>VLOOKUP(A:A,'ITEM LIST'!A:C,3,0)</f>
        <v>#N/A</v>
      </c>
    </row>
    <row r="20074" spans="3:3" x14ac:dyDescent="0.2">
      <c r="C20074" s="8" t="e">
        <f>VLOOKUP(A:A,'ITEM LIST'!A:C,3,0)</f>
        <v>#N/A</v>
      </c>
    </row>
    <row r="20075" spans="3:3" x14ac:dyDescent="0.2">
      <c r="C20075" s="8" t="e">
        <f>VLOOKUP(A:A,'ITEM LIST'!A:C,3,0)</f>
        <v>#N/A</v>
      </c>
    </row>
    <row r="20076" spans="3:3" x14ac:dyDescent="0.2">
      <c r="C20076" s="8" t="e">
        <f>VLOOKUP(A:A,'ITEM LIST'!A:C,3,0)</f>
        <v>#N/A</v>
      </c>
    </row>
    <row r="20077" spans="3:3" x14ac:dyDescent="0.2">
      <c r="C20077" s="8" t="e">
        <f>VLOOKUP(A:A,'ITEM LIST'!A:C,3,0)</f>
        <v>#N/A</v>
      </c>
    </row>
    <row r="20078" spans="3:3" x14ac:dyDescent="0.2">
      <c r="C20078" s="8" t="e">
        <f>VLOOKUP(A:A,'ITEM LIST'!A:C,3,0)</f>
        <v>#N/A</v>
      </c>
    </row>
    <row r="20079" spans="3:3" x14ac:dyDescent="0.2">
      <c r="C20079" s="8" t="e">
        <f>VLOOKUP(A:A,'ITEM LIST'!A:C,3,0)</f>
        <v>#N/A</v>
      </c>
    </row>
    <row r="20080" spans="3:3" x14ac:dyDescent="0.2">
      <c r="C20080" s="8" t="e">
        <f>VLOOKUP(A:A,'ITEM LIST'!A:C,3,0)</f>
        <v>#N/A</v>
      </c>
    </row>
    <row r="20081" spans="3:3" x14ac:dyDescent="0.2">
      <c r="C20081" s="8" t="e">
        <f>VLOOKUP(A:A,'ITEM LIST'!A:C,3,0)</f>
        <v>#N/A</v>
      </c>
    </row>
    <row r="20082" spans="3:3" x14ac:dyDescent="0.2">
      <c r="C20082" s="8" t="e">
        <f>VLOOKUP(A:A,'ITEM LIST'!A:C,3,0)</f>
        <v>#N/A</v>
      </c>
    </row>
    <row r="20083" spans="3:3" x14ac:dyDescent="0.2">
      <c r="C20083" s="8" t="e">
        <f>VLOOKUP(A:A,'ITEM LIST'!A:C,3,0)</f>
        <v>#N/A</v>
      </c>
    </row>
    <row r="20084" spans="3:3" x14ac:dyDescent="0.2">
      <c r="C20084" s="8" t="e">
        <f>VLOOKUP(A:A,'ITEM LIST'!A:C,3,0)</f>
        <v>#N/A</v>
      </c>
    </row>
    <row r="20085" spans="3:3" x14ac:dyDescent="0.2">
      <c r="C20085" s="8" t="e">
        <f>VLOOKUP(A:A,'ITEM LIST'!A:C,3,0)</f>
        <v>#N/A</v>
      </c>
    </row>
    <row r="20086" spans="3:3" x14ac:dyDescent="0.2">
      <c r="C20086" s="8" t="e">
        <f>VLOOKUP(A:A,'ITEM LIST'!A:C,3,0)</f>
        <v>#N/A</v>
      </c>
    </row>
    <row r="20087" spans="3:3" x14ac:dyDescent="0.2">
      <c r="C20087" s="8" t="e">
        <f>VLOOKUP(A:A,'ITEM LIST'!A:C,3,0)</f>
        <v>#N/A</v>
      </c>
    </row>
    <row r="20088" spans="3:3" x14ac:dyDescent="0.2">
      <c r="C20088" s="8" t="e">
        <f>VLOOKUP(A:A,'ITEM LIST'!A:C,3,0)</f>
        <v>#N/A</v>
      </c>
    </row>
    <row r="20089" spans="3:3" x14ac:dyDescent="0.2">
      <c r="C20089" s="8" t="e">
        <f>VLOOKUP(A:A,'ITEM LIST'!A:C,3,0)</f>
        <v>#N/A</v>
      </c>
    </row>
    <row r="20090" spans="3:3" x14ac:dyDescent="0.2">
      <c r="C20090" s="8" t="e">
        <f>VLOOKUP(A:A,'ITEM LIST'!A:C,3,0)</f>
        <v>#N/A</v>
      </c>
    </row>
    <row r="20091" spans="3:3" x14ac:dyDescent="0.2">
      <c r="C20091" s="8" t="e">
        <f>VLOOKUP(A:A,'ITEM LIST'!A:C,3,0)</f>
        <v>#N/A</v>
      </c>
    </row>
    <row r="20092" spans="3:3" x14ac:dyDescent="0.2">
      <c r="C20092" s="8" t="e">
        <f>VLOOKUP(A:A,'ITEM LIST'!A:C,3,0)</f>
        <v>#N/A</v>
      </c>
    </row>
    <row r="20093" spans="3:3" x14ac:dyDescent="0.2">
      <c r="C20093" s="8" t="e">
        <f>VLOOKUP(A:A,'ITEM LIST'!A:C,3,0)</f>
        <v>#N/A</v>
      </c>
    </row>
    <row r="20094" spans="3:3" x14ac:dyDescent="0.2">
      <c r="C20094" s="8" t="e">
        <f>VLOOKUP(A:A,'ITEM LIST'!A:C,3,0)</f>
        <v>#N/A</v>
      </c>
    </row>
    <row r="20095" spans="3:3" x14ac:dyDescent="0.2">
      <c r="C20095" s="8" t="e">
        <f>VLOOKUP(A:A,'ITEM LIST'!A:C,3,0)</f>
        <v>#N/A</v>
      </c>
    </row>
    <row r="20096" spans="3:3" x14ac:dyDescent="0.2">
      <c r="C20096" s="8" t="e">
        <f>VLOOKUP(A:A,'ITEM LIST'!A:C,3,0)</f>
        <v>#N/A</v>
      </c>
    </row>
    <row r="20097" spans="3:3" x14ac:dyDescent="0.2">
      <c r="C20097" s="8" t="e">
        <f>VLOOKUP(A:A,'ITEM LIST'!A:C,3,0)</f>
        <v>#N/A</v>
      </c>
    </row>
    <row r="20098" spans="3:3" x14ac:dyDescent="0.2">
      <c r="C20098" s="8" t="e">
        <f>VLOOKUP(A:A,'ITEM LIST'!A:C,3,0)</f>
        <v>#N/A</v>
      </c>
    </row>
    <row r="20099" spans="3:3" x14ac:dyDescent="0.2">
      <c r="C20099" s="8" t="e">
        <f>VLOOKUP(A:A,'ITEM LIST'!A:C,3,0)</f>
        <v>#N/A</v>
      </c>
    </row>
    <row r="20100" spans="3:3" x14ac:dyDescent="0.2">
      <c r="C20100" s="8" t="e">
        <f>VLOOKUP(A:A,'ITEM LIST'!A:C,3,0)</f>
        <v>#N/A</v>
      </c>
    </row>
    <row r="20101" spans="3:3" x14ac:dyDescent="0.2">
      <c r="C20101" s="8" t="e">
        <f>VLOOKUP(A:A,'ITEM LIST'!A:C,3,0)</f>
        <v>#N/A</v>
      </c>
    </row>
    <row r="20102" spans="3:3" x14ac:dyDescent="0.2">
      <c r="C20102" s="8" t="e">
        <f>VLOOKUP(A:A,'ITEM LIST'!A:C,3,0)</f>
        <v>#N/A</v>
      </c>
    </row>
    <row r="20103" spans="3:3" x14ac:dyDescent="0.2">
      <c r="C20103" s="8" t="e">
        <f>VLOOKUP(A:A,'ITEM LIST'!A:C,3,0)</f>
        <v>#N/A</v>
      </c>
    </row>
    <row r="20104" spans="3:3" x14ac:dyDescent="0.2">
      <c r="C20104" s="8" t="e">
        <f>VLOOKUP(A:A,'ITEM LIST'!A:C,3,0)</f>
        <v>#N/A</v>
      </c>
    </row>
    <row r="20105" spans="3:3" x14ac:dyDescent="0.2">
      <c r="C20105" s="8" t="e">
        <f>VLOOKUP(A:A,'ITEM LIST'!A:C,3,0)</f>
        <v>#N/A</v>
      </c>
    </row>
    <row r="20106" spans="3:3" x14ac:dyDescent="0.2">
      <c r="C20106" s="8" t="e">
        <f>VLOOKUP(A:A,'ITEM LIST'!A:C,3,0)</f>
        <v>#N/A</v>
      </c>
    </row>
    <row r="20107" spans="3:3" x14ac:dyDescent="0.2">
      <c r="C20107" s="8" t="e">
        <f>VLOOKUP(A:A,'ITEM LIST'!A:C,3,0)</f>
        <v>#N/A</v>
      </c>
    </row>
    <row r="20108" spans="3:3" x14ac:dyDescent="0.2">
      <c r="C20108" s="8" t="e">
        <f>VLOOKUP(A:A,'ITEM LIST'!A:C,3,0)</f>
        <v>#N/A</v>
      </c>
    </row>
    <row r="20109" spans="3:3" x14ac:dyDescent="0.2">
      <c r="C20109" s="8" t="e">
        <f>VLOOKUP(A:A,'ITEM LIST'!A:C,3,0)</f>
        <v>#N/A</v>
      </c>
    </row>
    <row r="20110" spans="3:3" x14ac:dyDescent="0.2">
      <c r="C20110" s="8" t="e">
        <f>VLOOKUP(A:A,'ITEM LIST'!A:C,3,0)</f>
        <v>#N/A</v>
      </c>
    </row>
    <row r="20111" spans="3:3" x14ac:dyDescent="0.2">
      <c r="C20111" s="8" t="e">
        <f>VLOOKUP(A:A,'ITEM LIST'!A:C,3,0)</f>
        <v>#N/A</v>
      </c>
    </row>
    <row r="20112" spans="3:3" x14ac:dyDescent="0.2">
      <c r="C20112" s="8" t="e">
        <f>VLOOKUP(A:A,'ITEM LIST'!A:C,3,0)</f>
        <v>#N/A</v>
      </c>
    </row>
    <row r="20113" spans="3:3" x14ac:dyDescent="0.2">
      <c r="C20113" s="8" t="e">
        <f>VLOOKUP(A:A,'ITEM LIST'!A:C,3,0)</f>
        <v>#N/A</v>
      </c>
    </row>
    <row r="20114" spans="3:3" x14ac:dyDescent="0.2">
      <c r="C20114" s="8" t="e">
        <f>VLOOKUP(A:A,'ITEM LIST'!A:C,3,0)</f>
        <v>#N/A</v>
      </c>
    </row>
    <row r="20115" spans="3:3" x14ac:dyDescent="0.2">
      <c r="C20115" s="8" t="e">
        <f>VLOOKUP(A:A,'ITEM LIST'!A:C,3,0)</f>
        <v>#N/A</v>
      </c>
    </row>
    <row r="20116" spans="3:3" x14ac:dyDescent="0.2">
      <c r="C20116" s="8" t="e">
        <f>VLOOKUP(A:A,'ITEM LIST'!A:C,3,0)</f>
        <v>#N/A</v>
      </c>
    </row>
    <row r="20117" spans="3:3" x14ac:dyDescent="0.2">
      <c r="C20117" s="8" t="e">
        <f>VLOOKUP(A:A,'ITEM LIST'!A:C,3,0)</f>
        <v>#N/A</v>
      </c>
    </row>
    <row r="20118" spans="3:3" x14ac:dyDescent="0.2">
      <c r="C20118" s="8" t="e">
        <f>VLOOKUP(A:A,'ITEM LIST'!A:C,3,0)</f>
        <v>#N/A</v>
      </c>
    </row>
    <row r="20119" spans="3:3" x14ac:dyDescent="0.2">
      <c r="C20119" s="8" t="e">
        <f>VLOOKUP(A:A,'ITEM LIST'!A:C,3,0)</f>
        <v>#N/A</v>
      </c>
    </row>
    <row r="20120" spans="3:3" x14ac:dyDescent="0.2">
      <c r="C20120" s="8" t="e">
        <f>VLOOKUP(A:A,'ITEM LIST'!A:C,3,0)</f>
        <v>#N/A</v>
      </c>
    </row>
    <row r="20121" spans="3:3" x14ac:dyDescent="0.2">
      <c r="C20121" s="8" t="e">
        <f>VLOOKUP(A:A,'ITEM LIST'!A:C,3,0)</f>
        <v>#N/A</v>
      </c>
    </row>
    <row r="20122" spans="3:3" x14ac:dyDescent="0.2">
      <c r="C20122" s="8" t="e">
        <f>VLOOKUP(A:A,'ITEM LIST'!A:C,3,0)</f>
        <v>#N/A</v>
      </c>
    </row>
    <row r="20123" spans="3:3" x14ac:dyDescent="0.2">
      <c r="C20123" s="8" t="e">
        <f>VLOOKUP(A:A,'ITEM LIST'!A:C,3,0)</f>
        <v>#N/A</v>
      </c>
    </row>
    <row r="20124" spans="3:3" x14ac:dyDescent="0.2">
      <c r="C20124" s="8" t="e">
        <f>VLOOKUP(A:A,'ITEM LIST'!A:C,3,0)</f>
        <v>#N/A</v>
      </c>
    </row>
    <row r="20125" spans="3:3" x14ac:dyDescent="0.2">
      <c r="C20125" s="8" t="e">
        <f>VLOOKUP(A:A,'ITEM LIST'!A:C,3,0)</f>
        <v>#N/A</v>
      </c>
    </row>
    <row r="20126" spans="3:3" x14ac:dyDescent="0.2">
      <c r="C20126" s="8" t="e">
        <f>VLOOKUP(A:A,'ITEM LIST'!A:C,3,0)</f>
        <v>#N/A</v>
      </c>
    </row>
    <row r="20127" spans="3:3" x14ac:dyDescent="0.2">
      <c r="C20127" s="8" t="e">
        <f>VLOOKUP(A:A,'ITEM LIST'!A:C,3,0)</f>
        <v>#N/A</v>
      </c>
    </row>
    <row r="20128" spans="3:3" x14ac:dyDescent="0.2">
      <c r="C20128" s="8" t="e">
        <f>VLOOKUP(A:A,'ITEM LIST'!A:C,3,0)</f>
        <v>#N/A</v>
      </c>
    </row>
    <row r="20129" spans="3:3" x14ac:dyDescent="0.2">
      <c r="C20129" s="8" t="e">
        <f>VLOOKUP(A:A,'ITEM LIST'!A:C,3,0)</f>
        <v>#N/A</v>
      </c>
    </row>
    <row r="20130" spans="3:3" x14ac:dyDescent="0.2">
      <c r="C20130" s="8" t="e">
        <f>VLOOKUP(A:A,'ITEM LIST'!A:C,3,0)</f>
        <v>#N/A</v>
      </c>
    </row>
    <row r="20131" spans="3:3" x14ac:dyDescent="0.2">
      <c r="C20131" s="8" t="e">
        <f>VLOOKUP(A:A,'ITEM LIST'!A:C,3,0)</f>
        <v>#N/A</v>
      </c>
    </row>
    <row r="20132" spans="3:3" x14ac:dyDescent="0.2">
      <c r="C20132" s="8" t="e">
        <f>VLOOKUP(A:A,'ITEM LIST'!A:C,3,0)</f>
        <v>#N/A</v>
      </c>
    </row>
    <row r="20133" spans="3:3" x14ac:dyDescent="0.2">
      <c r="C20133" s="8" t="e">
        <f>VLOOKUP(A:A,'ITEM LIST'!A:C,3,0)</f>
        <v>#N/A</v>
      </c>
    </row>
    <row r="20134" spans="3:3" x14ac:dyDescent="0.2">
      <c r="C20134" s="8" t="e">
        <f>VLOOKUP(A:A,'ITEM LIST'!A:C,3,0)</f>
        <v>#N/A</v>
      </c>
    </row>
    <row r="20135" spans="3:3" x14ac:dyDescent="0.2">
      <c r="C20135" s="8" t="e">
        <f>VLOOKUP(A:A,'ITEM LIST'!A:C,3,0)</f>
        <v>#N/A</v>
      </c>
    </row>
    <row r="20136" spans="3:3" x14ac:dyDescent="0.2">
      <c r="C20136" s="8" t="e">
        <f>VLOOKUP(A:A,'ITEM LIST'!A:C,3,0)</f>
        <v>#N/A</v>
      </c>
    </row>
    <row r="20137" spans="3:3" x14ac:dyDescent="0.2">
      <c r="C20137" s="8" t="e">
        <f>VLOOKUP(A:A,'ITEM LIST'!A:C,3,0)</f>
        <v>#N/A</v>
      </c>
    </row>
    <row r="20138" spans="3:3" x14ac:dyDescent="0.2">
      <c r="C20138" s="8" t="e">
        <f>VLOOKUP(A:A,'ITEM LIST'!A:C,3,0)</f>
        <v>#N/A</v>
      </c>
    </row>
    <row r="20139" spans="3:3" x14ac:dyDescent="0.2">
      <c r="C20139" s="8" t="e">
        <f>VLOOKUP(A:A,'ITEM LIST'!A:C,3,0)</f>
        <v>#N/A</v>
      </c>
    </row>
    <row r="20140" spans="3:3" x14ac:dyDescent="0.2">
      <c r="C20140" s="8" t="e">
        <f>VLOOKUP(A:A,'ITEM LIST'!A:C,3,0)</f>
        <v>#N/A</v>
      </c>
    </row>
    <row r="20141" spans="3:3" x14ac:dyDescent="0.2">
      <c r="C20141" s="8" t="e">
        <f>VLOOKUP(A:A,'ITEM LIST'!A:C,3,0)</f>
        <v>#N/A</v>
      </c>
    </row>
    <row r="20142" spans="3:3" x14ac:dyDescent="0.2">
      <c r="C20142" s="8" t="e">
        <f>VLOOKUP(A:A,'ITEM LIST'!A:C,3,0)</f>
        <v>#N/A</v>
      </c>
    </row>
    <row r="20143" spans="3:3" x14ac:dyDescent="0.2">
      <c r="C20143" s="8" t="e">
        <f>VLOOKUP(A:A,'ITEM LIST'!A:C,3,0)</f>
        <v>#N/A</v>
      </c>
    </row>
    <row r="20144" spans="3:3" x14ac:dyDescent="0.2">
      <c r="C20144" s="8" t="e">
        <f>VLOOKUP(A:A,'ITEM LIST'!A:C,3,0)</f>
        <v>#N/A</v>
      </c>
    </row>
    <row r="20145" spans="3:3" x14ac:dyDescent="0.2">
      <c r="C20145" s="8" t="e">
        <f>VLOOKUP(A:A,'ITEM LIST'!A:C,3,0)</f>
        <v>#N/A</v>
      </c>
    </row>
    <row r="20146" spans="3:3" x14ac:dyDescent="0.2">
      <c r="C20146" s="8" t="e">
        <f>VLOOKUP(A:A,'ITEM LIST'!A:C,3,0)</f>
        <v>#N/A</v>
      </c>
    </row>
    <row r="20147" spans="3:3" x14ac:dyDescent="0.2">
      <c r="C20147" s="8" t="e">
        <f>VLOOKUP(A:A,'ITEM LIST'!A:C,3,0)</f>
        <v>#N/A</v>
      </c>
    </row>
    <row r="20148" spans="3:3" x14ac:dyDescent="0.2">
      <c r="C20148" s="8" t="e">
        <f>VLOOKUP(A:A,'ITEM LIST'!A:C,3,0)</f>
        <v>#N/A</v>
      </c>
    </row>
    <row r="20149" spans="3:3" x14ac:dyDescent="0.2">
      <c r="C20149" s="8" t="e">
        <f>VLOOKUP(A:A,'ITEM LIST'!A:C,3,0)</f>
        <v>#N/A</v>
      </c>
    </row>
    <row r="20150" spans="3:3" x14ac:dyDescent="0.2">
      <c r="C20150" s="8" t="e">
        <f>VLOOKUP(A:A,'ITEM LIST'!A:C,3,0)</f>
        <v>#N/A</v>
      </c>
    </row>
    <row r="20151" spans="3:3" x14ac:dyDescent="0.2">
      <c r="C20151" s="8" t="e">
        <f>VLOOKUP(A:A,'ITEM LIST'!A:C,3,0)</f>
        <v>#N/A</v>
      </c>
    </row>
    <row r="20152" spans="3:3" x14ac:dyDescent="0.2">
      <c r="C20152" s="8" t="e">
        <f>VLOOKUP(A:A,'ITEM LIST'!A:C,3,0)</f>
        <v>#N/A</v>
      </c>
    </row>
    <row r="20153" spans="3:3" x14ac:dyDescent="0.2">
      <c r="C20153" s="8" t="e">
        <f>VLOOKUP(A:A,'ITEM LIST'!A:C,3,0)</f>
        <v>#N/A</v>
      </c>
    </row>
    <row r="20154" spans="3:3" x14ac:dyDescent="0.2">
      <c r="C20154" s="8" t="e">
        <f>VLOOKUP(A:A,'ITEM LIST'!A:C,3,0)</f>
        <v>#N/A</v>
      </c>
    </row>
    <row r="20155" spans="3:3" x14ac:dyDescent="0.2">
      <c r="C20155" s="8" t="e">
        <f>VLOOKUP(A:A,'ITEM LIST'!A:C,3,0)</f>
        <v>#N/A</v>
      </c>
    </row>
    <row r="20156" spans="3:3" x14ac:dyDescent="0.2">
      <c r="C20156" s="8" t="e">
        <f>VLOOKUP(A:A,'ITEM LIST'!A:C,3,0)</f>
        <v>#N/A</v>
      </c>
    </row>
    <row r="20157" spans="3:3" x14ac:dyDescent="0.2">
      <c r="C20157" s="8" t="e">
        <f>VLOOKUP(A:A,'ITEM LIST'!A:C,3,0)</f>
        <v>#N/A</v>
      </c>
    </row>
    <row r="20158" spans="3:3" x14ac:dyDescent="0.2">
      <c r="C20158" s="8" t="e">
        <f>VLOOKUP(A:A,'ITEM LIST'!A:C,3,0)</f>
        <v>#N/A</v>
      </c>
    </row>
    <row r="20159" spans="3:3" x14ac:dyDescent="0.2">
      <c r="C20159" s="8" t="e">
        <f>VLOOKUP(A:A,'ITEM LIST'!A:C,3,0)</f>
        <v>#N/A</v>
      </c>
    </row>
    <row r="20160" spans="3:3" x14ac:dyDescent="0.2">
      <c r="C20160" s="8" t="e">
        <f>VLOOKUP(A:A,'ITEM LIST'!A:C,3,0)</f>
        <v>#N/A</v>
      </c>
    </row>
    <row r="20161" spans="3:3" x14ac:dyDescent="0.2">
      <c r="C20161" s="8" t="e">
        <f>VLOOKUP(A:A,'ITEM LIST'!A:C,3,0)</f>
        <v>#N/A</v>
      </c>
    </row>
    <row r="20162" spans="3:3" x14ac:dyDescent="0.2">
      <c r="C20162" s="8" t="e">
        <f>VLOOKUP(A:A,'ITEM LIST'!A:C,3,0)</f>
        <v>#N/A</v>
      </c>
    </row>
    <row r="20163" spans="3:3" x14ac:dyDescent="0.2">
      <c r="C20163" s="8" t="e">
        <f>VLOOKUP(A:A,'ITEM LIST'!A:C,3,0)</f>
        <v>#N/A</v>
      </c>
    </row>
    <row r="20164" spans="3:3" x14ac:dyDescent="0.2">
      <c r="C20164" s="8" t="e">
        <f>VLOOKUP(A:A,'ITEM LIST'!A:C,3,0)</f>
        <v>#N/A</v>
      </c>
    </row>
    <row r="20165" spans="3:3" x14ac:dyDescent="0.2">
      <c r="C20165" s="8" t="e">
        <f>VLOOKUP(A:A,'ITEM LIST'!A:C,3,0)</f>
        <v>#N/A</v>
      </c>
    </row>
    <row r="20166" spans="3:3" x14ac:dyDescent="0.2">
      <c r="C20166" s="8" t="e">
        <f>VLOOKUP(A:A,'ITEM LIST'!A:C,3,0)</f>
        <v>#N/A</v>
      </c>
    </row>
    <row r="20167" spans="3:3" x14ac:dyDescent="0.2">
      <c r="C20167" s="8" t="e">
        <f>VLOOKUP(A:A,'ITEM LIST'!A:C,3,0)</f>
        <v>#N/A</v>
      </c>
    </row>
    <row r="20168" spans="3:3" x14ac:dyDescent="0.2">
      <c r="C20168" s="8" t="e">
        <f>VLOOKUP(A:A,'ITEM LIST'!A:C,3,0)</f>
        <v>#N/A</v>
      </c>
    </row>
    <row r="20169" spans="3:3" x14ac:dyDescent="0.2">
      <c r="C20169" s="8" t="e">
        <f>VLOOKUP(A:A,'ITEM LIST'!A:C,3,0)</f>
        <v>#N/A</v>
      </c>
    </row>
    <row r="20170" spans="3:3" x14ac:dyDescent="0.2">
      <c r="C20170" s="8" t="e">
        <f>VLOOKUP(A:A,'ITEM LIST'!A:C,3,0)</f>
        <v>#N/A</v>
      </c>
    </row>
    <row r="20171" spans="3:3" x14ac:dyDescent="0.2">
      <c r="C20171" s="8" t="e">
        <f>VLOOKUP(A:A,'ITEM LIST'!A:C,3,0)</f>
        <v>#N/A</v>
      </c>
    </row>
    <row r="20172" spans="3:3" x14ac:dyDescent="0.2">
      <c r="C20172" s="8" t="e">
        <f>VLOOKUP(A:A,'ITEM LIST'!A:C,3,0)</f>
        <v>#N/A</v>
      </c>
    </row>
    <row r="20173" spans="3:3" x14ac:dyDescent="0.2">
      <c r="C20173" s="8" t="e">
        <f>VLOOKUP(A:A,'ITEM LIST'!A:C,3,0)</f>
        <v>#N/A</v>
      </c>
    </row>
    <row r="20174" spans="3:3" x14ac:dyDescent="0.2">
      <c r="C20174" s="8" t="e">
        <f>VLOOKUP(A:A,'ITEM LIST'!A:C,3,0)</f>
        <v>#N/A</v>
      </c>
    </row>
    <row r="20175" spans="3:3" x14ac:dyDescent="0.2">
      <c r="C20175" s="8" t="e">
        <f>VLOOKUP(A:A,'ITEM LIST'!A:C,3,0)</f>
        <v>#N/A</v>
      </c>
    </row>
    <row r="20176" spans="3:3" x14ac:dyDescent="0.2">
      <c r="C20176" s="8" t="e">
        <f>VLOOKUP(A:A,'ITEM LIST'!A:C,3,0)</f>
        <v>#N/A</v>
      </c>
    </row>
    <row r="20177" spans="3:3" x14ac:dyDescent="0.2">
      <c r="C20177" s="8" t="e">
        <f>VLOOKUP(A:A,'ITEM LIST'!A:C,3,0)</f>
        <v>#N/A</v>
      </c>
    </row>
    <row r="20178" spans="3:3" x14ac:dyDescent="0.2">
      <c r="C20178" s="8" t="e">
        <f>VLOOKUP(A:A,'ITEM LIST'!A:C,3,0)</f>
        <v>#N/A</v>
      </c>
    </row>
    <row r="20179" spans="3:3" x14ac:dyDescent="0.2">
      <c r="C20179" s="8" t="e">
        <f>VLOOKUP(A:A,'ITEM LIST'!A:C,3,0)</f>
        <v>#N/A</v>
      </c>
    </row>
    <row r="20180" spans="3:3" x14ac:dyDescent="0.2">
      <c r="C20180" s="8" t="e">
        <f>VLOOKUP(A:A,'ITEM LIST'!A:C,3,0)</f>
        <v>#N/A</v>
      </c>
    </row>
    <row r="20181" spans="3:3" x14ac:dyDescent="0.2">
      <c r="C20181" s="8" t="e">
        <f>VLOOKUP(A:A,'ITEM LIST'!A:C,3,0)</f>
        <v>#N/A</v>
      </c>
    </row>
    <row r="20182" spans="3:3" x14ac:dyDescent="0.2">
      <c r="C20182" s="8" t="e">
        <f>VLOOKUP(A:A,'ITEM LIST'!A:C,3,0)</f>
        <v>#N/A</v>
      </c>
    </row>
    <row r="20183" spans="3:3" x14ac:dyDescent="0.2">
      <c r="C20183" s="8" t="e">
        <f>VLOOKUP(A:A,'ITEM LIST'!A:C,3,0)</f>
        <v>#N/A</v>
      </c>
    </row>
    <row r="20184" spans="3:3" x14ac:dyDescent="0.2">
      <c r="C20184" s="8" t="e">
        <f>VLOOKUP(A:A,'ITEM LIST'!A:C,3,0)</f>
        <v>#N/A</v>
      </c>
    </row>
    <row r="20185" spans="3:3" x14ac:dyDescent="0.2">
      <c r="C20185" s="8" t="e">
        <f>VLOOKUP(A:A,'ITEM LIST'!A:C,3,0)</f>
        <v>#N/A</v>
      </c>
    </row>
    <row r="20186" spans="3:3" x14ac:dyDescent="0.2">
      <c r="C20186" s="8" t="e">
        <f>VLOOKUP(A:A,'ITEM LIST'!A:C,3,0)</f>
        <v>#N/A</v>
      </c>
    </row>
    <row r="20187" spans="3:3" x14ac:dyDescent="0.2">
      <c r="C20187" s="8" t="e">
        <f>VLOOKUP(A:A,'ITEM LIST'!A:C,3,0)</f>
        <v>#N/A</v>
      </c>
    </row>
    <row r="20188" spans="3:3" x14ac:dyDescent="0.2">
      <c r="C20188" s="8" t="e">
        <f>VLOOKUP(A:A,'ITEM LIST'!A:C,3,0)</f>
        <v>#N/A</v>
      </c>
    </row>
    <row r="20189" spans="3:3" x14ac:dyDescent="0.2">
      <c r="C20189" s="8" t="e">
        <f>VLOOKUP(A:A,'ITEM LIST'!A:C,3,0)</f>
        <v>#N/A</v>
      </c>
    </row>
    <row r="20190" spans="3:3" x14ac:dyDescent="0.2">
      <c r="C20190" s="8" t="e">
        <f>VLOOKUP(A:A,'ITEM LIST'!A:C,3,0)</f>
        <v>#N/A</v>
      </c>
    </row>
    <row r="20191" spans="3:3" x14ac:dyDescent="0.2">
      <c r="C20191" s="8" t="e">
        <f>VLOOKUP(A:A,'ITEM LIST'!A:C,3,0)</f>
        <v>#N/A</v>
      </c>
    </row>
    <row r="20192" spans="3:3" x14ac:dyDescent="0.2">
      <c r="C20192" s="8" t="e">
        <f>VLOOKUP(A:A,'ITEM LIST'!A:C,3,0)</f>
        <v>#N/A</v>
      </c>
    </row>
    <row r="20193" spans="3:3" x14ac:dyDescent="0.2">
      <c r="C20193" s="8" t="e">
        <f>VLOOKUP(A:A,'ITEM LIST'!A:C,3,0)</f>
        <v>#N/A</v>
      </c>
    </row>
    <row r="20194" spans="3:3" x14ac:dyDescent="0.2">
      <c r="C20194" s="8" t="e">
        <f>VLOOKUP(A:A,'ITEM LIST'!A:C,3,0)</f>
        <v>#N/A</v>
      </c>
    </row>
    <row r="20195" spans="3:3" x14ac:dyDescent="0.2">
      <c r="C20195" s="8" t="e">
        <f>VLOOKUP(A:A,'ITEM LIST'!A:C,3,0)</f>
        <v>#N/A</v>
      </c>
    </row>
    <row r="20196" spans="3:3" x14ac:dyDescent="0.2">
      <c r="C20196" s="8" t="e">
        <f>VLOOKUP(A:A,'ITEM LIST'!A:C,3,0)</f>
        <v>#N/A</v>
      </c>
    </row>
    <row r="20197" spans="3:3" x14ac:dyDescent="0.2">
      <c r="C20197" s="8" t="e">
        <f>VLOOKUP(A:A,'ITEM LIST'!A:C,3,0)</f>
        <v>#N/A</v>
      </c>
    </row>
    <row r="20198" spans="3:3" x14ac:dyDescent="0.2">
      <c r="C20198" s="8" t="e">
        <f>VLOOKUP(A:A,'ITEM LIST'!A:C,3,0)</f>
        <v>#N/A</v>
      </c>
    </row>
    <row r="20199" spans="3:3" x14ac:dyDescent="0.2">
      <c r="C20199" s="8" t="e">
        <f>VLOOKUP(A:A,'ITEM LIST'!A:C,3,0)</f>
        <v>#N/A</v>
      </c>
    </row>
    <row r="20200" spans="3:3" x14ac:dyDescent="0.2">
      <c r="C20200" s="8" t="e">
        <f>VLOOKUP(A:A,'ITEM LIST'!A:C,3,0)</f>
        <v>#N/A</v>
      </c>
    </row>
    <row r="20201" spans="3:3" x14ac:dyDescent="0.2">
      <c r="C20201" s="8" t="e">
        <f>VLOOKUP(A:A,'ITEM LIST'!A:C,3,0)</f>
        <v>#N/A</v>
      </c>
    </row>
    <row r="20202" spans="3:3" x14ac:dyDescent="0.2">
      <c r="C20202" s="8" t="e">
        <f>VLOOKUP(A:A,'ITEM LIST'!A:C,3,0)</f>
        <v>#N/A</v>
      </c>
    </row>
    <row r="20203" spans="3:3" x14ac:dyDescent="0.2">
      <c r="C20203" s="8" t="e">
        <f>VLOOKUP(A:A,'ITEM LIST'!A:C,3,0)</f>
        <v>#N/A</v>
      </c>
    </row>
    <row r="20204" spans="3:3" x14ac:dyDescent="0.2">
      <c r="C20204" s="8" t="e">
        <f>VLOOKUP(A:A,'ITEM LIST'!A:C,3,0)</f>
        <v>#N/A</v>
      </c>
    </row>
    <row r="20205" spans="3:3" x14ac:dyDescent="0.2">
      <c r="C20205" s="8" t="e">
        <f>VLOOKUP(A:A,'ITEM LIST'!A:C,3,0)</f>
        <v>#N/A</v>
      </c>
    </row>
    <row r="20206" spans="3:3" x14ac:dyDescent="0.2">
      <c r="C20206" s="8" t="e">
        <f>VLOOKUP(A:A,'ITEM LIST'!A:C,3,0)</f>
        <v>#N/A</v>
      </c>
    </row>
    <row r="20207" spans="3:3" x14ac:dyDescent="0.2">
      <c r="C20207" s="8" t="e">
        <f>VLOOKUP(A:A,'ITEM LIST'!A:C,3,0)</f>
        <v>#N/A</v>
      </c>
    </row>
    <row r="20208" spans="3:3" x14ac:dyDescent="0.2">
      <c r="C20208" s="8" t="e">
        <f>VLOOKUP(A:A,'ITEM LIST'!A:C,3,0)</f>
        <v>#N/A</v>
      </c>
    </row>
    <row r="20209" spans="3:3" x14ac:dyDescent="0.2">
      <c r="C20209" s="8" t="e">
        <f>VLOOKUP(A:A,'ITEM LIST'!A:C,3,0)</f>
        <v>#N/A</v>
      </c>
    </row>
    <row r="20210" spans="3:3" x14ac:dyDescent="0.2">
      <c r="C20210" s="8" t="e">
        <f>VLOOKUP(A:A,'ITEM LIST'!A:C,3,0)</f>
        <v>#N/A</v>
      </c>
    </row>
    <row r="20211" spans="3:3" x14ac:dyDescent="0.2">
      <c r="C20211" s="8" t="e">
        <f>VLOOKUP(A:A,'ITEM LIST'!A:C,3,0)</f>
        <v>#N/A</v>
      </c>
    </row>
    <row r="20212" spans="3:3" x14ac:dyDescent="0.2">
      <c r="C20212" s="8" t="e">
        <f>VLOOKUP(A:A,'ITEM LIST'!A:C,3,0)</f>
        <v>#N/A</v>
      </c>
    </row>
    <row r="20213" spans="3:3" x14ac:dyDescent="0.2">
      <c r="C20213" s="8" t="e">
        <f>VLOOKUP(A:A,'ITEM LIST'!A:C,3,0)</f>
        <v>#N/A</v>
      </c>
    </row>
    <row r="20214" spans="3:3" x14ac:dyDescent="0.2">
      <c r="C20214" s="8" t="e">
        <f>VLOOKUP(A:A,'ITEM LIST'!A:C,3,0)</f>
        <v>#N/A</v>
      </c>
    </row>
    <row r="20215" spans="3:3" x14ac:dyDescent="0.2">
      <c r="C20215" s="8" t="e">
        <f>VLOOKUP(A:A,'ITEM LIST'!A:C,3,0)</f>
        <v>#N/A</v>
      </c>
    </row>
    <row r="20216" spans="3:3" x14ac:dyDescent="0.2">
      <c r="C20216" s="8" t="e">
        <f>VLOOKUP(A:A,'ITEM LIST'!A:C,3,0)</f>
        <v>#N/A</v>
      </c>
    </row>
    <row r="20217" spans="3:3" x14ac:dyDescent="0.2">
      <c r="C20217" s="8" t="e">
        <f>VLOOKUP(A:A,'ITEM LIST'!A:C,3,0)</f>
        <v>#N/A</v>
      </c>
    </row>
    <row r="20218" spans="3:3" x14ac:dyDescent="0.2">
      <c r="C20218" s="8" t="e">
        <f>VLOOKUP(A:A,'ITEM LIST'!A:C,3,0)</f>
        <v>#N/A</v>
      </c>
    </row>
    <row r="20219" spans="3:3" x14ac:dyDescent="0.2">
      <c r="C20219" s="8" t="e">
        <f>VLOOKUP(A:A,'ITEM LIST'!A:C,3,0)</f>
        <v>#N/A</v>
      </c>
    </row>
    <row r="20220" spans="3:3" x14ac:dyDescent="0.2">
      <c r="C20220" s="8" t="e">
        <f>VLOOKUP(A:A,'ITEM LIST'!A:C,3,0)</f>
        <v>#N/A</v>
      </c>
    </row>
    <row r="20221" spans="3:3" x14ac:dyDescent="0.2">
      <c r="C20221" s="8" t="e">
        <f>VLOOKUP(A:A,'ITEM LIST'!A:C,3,0)</f>
        <v>#N/A</v>
      </c>
    </row>
    <row r="20222" spans="3:3" x14ac:dyDescent="0.2">
      <c r="C20222" s="8" t="e">
        <f>VLOOKUP(A:A,'ITEM LIST'!A:C,3,0)</f>
        <v>#N/A</v>
      </c>
    </row>
    <row r="20223" spans="3:3" x14ac:dyDescent="0.2">
      <c r="C20223" s="8" t="e">
        <f>VLOOKUP(A:A,'ITEM LIST'!A:C,3,0)</f>
        <v>#N/A</v>
      </c>
    </row>
    <row r="20224" spans="3:3" x14ac:dyDescent="0.2">
      <c r="C20224" s="8" t="e">
        <f>VLOOKUP(A:A,'ITEM LIST'!A:C,3,0)</f>
        <v>#N/A</v>
      </c>
    </row>
    <row r="20225" spans="3:3" x14ac:dyDescent="0.2">
      <c r="C20225" s="8" t="e">
        <f>VLOOKUP(A:A,'ITEM LIST'!A:C,3,0)</f>
        <v>#N/A</v>
      </c>
    </row>
    <row r="20226" spans="3:3" x14ac:dyDescent="0.2">
      <c r="C20226" s="8" t="e">
        <f>VLOOKUP(A:A,'ITEM LIST'!A:C,3,0)</f>
        <v>#N/A</v>
      </c>
    </row>
    <row r="20227" spans="3:3" x14ac:dyDescent="0.2">
      <c r="C20227" s="8" t="e">
        <f>VLOOKUP(A:A,'ITEM LIST'!A:C,3,0)</f>
        <v>#N/A</v>
      </c>
    </row>
    <row r="20228" spans="3:3" x14ac:dyDescent="0.2">
      <c r="C20228" s="8" t="e">
        <f>VLOOKUP(A:A,'ITEM LIST'!A:C,3,0)</f>
        <v>#N/A</v>
      </c>
    </row>
    <row r="20229" spans="3:3" x14ac:dyDescent="0.2">
      <c r="C20229" s="8" t="e">
        <f>VLOOKUP(A:A,'ITEM LIST'!A:C,3,0)</f>
        <v>#N/A</v>
      </c>
    </row>
    <row r="20230" spans="3:3" x14ac:dyDescent="0.2">
      <c r="C20230" s="8" t="e">
        <f>VLOOKUP(A:A,'ITEM LIST'!A:C,3,0)</f>
        <v>#N/A</v>
      </c>
    </row>
    <row r="20231" spans="3:3" x14ac:dyDescent="0.2">
      <c r="C20231" s="8" t="e">
        <f>VLOOKUP(A:A,'ITEM LIST'!A:C,3,0)</f>
        <v>#N/A</v>
      </c>
    </row>
    <row r="20232" spans="3:3" x14ac:dyDescent="0.2">
      <c r="C20232" s="8" t="e">
        <f>VLOOKUP(A:A,'ITEM LIST'!A:C,3,0)</f>
        <v>#N/A</v>
      </c>
    </row>
    <row r="20233" spans="3:3" x14ac:dyDescent="0.2">
      <c r="C20233" s="8" t="e">
        <f>VLOOKUP(A:A,'ITEM LIST'!A:C,3,0)</f>
        <v>#N/A</v>
      </c>
    </row>
    <row r="20234" spans="3:3" x14ac:dyDescent="0.2">
      <c r="C20234" s="8" t="e">
        <f>VLOOKUP(A:A,'ITEM LIST'!A:C,3,0)</f>
        <v>#N/A</v>
      </c>
    </row>
    <row r="20235" spans="3:3" x14ac:dyDescent="0.2">
      <c r="C20235" s="8" t="e">
        <f>VLOOKUP(A:A,'ITEM LIST'!A:C,3,0)</f>
        <v>#N/A</v>
      </c>
    </row>
    <row r="20236" spans="3:3" x14ac:dyDescent="0.2">
      <c r="C20236" s="8" t="e">
        <f>VLOOKUP(A:A,'ITEM LIST'!A:C,3,0)</f>
        <v>#N/A</v>
      </c>
    </row>
    <row r="20237" spans="3:3" x14ac:dyDescent="0.2">
      <c r="C20237" s="8" t="e">
        <f>VLOOKUP(A:A,'ITEM LIST'!A:C,3,0)</f>
        <v>#N/A</v>
      </c>
    </row>
    <row r="20238" spans="3:3" x14ac:dyDescent="0.2">
      <c r="C20238" s="8" t="e">
        <f>VLOOKUP(A:A,'ITEM LIST'!A:C,3,0)</f>
        <v>#N/A</v>
      </c>
    </row>
    <row r="20239" spans="3:3" x14ac:dyDescent="0.2">
      <c r="C20239" s="8" t="e">
        <f>VLOOKUP(A:A,'ITEM LIST'!A:C,3,0)</f>
        <v>#N/A</v>
      </c>
    </row>
    <row r="20240" spans="3:3" x14ac:dyDescent="0.2">
      <c r="C20240" s="8" t="e">
        <f>VLOOKUP(A:A,'ITEM LIST'!A:C,3,0)</f>
        <v>#N/A</v>
      </c>
    </row>
    <row r="20241" spans="3:3" x14ac:dyDescent="0.2">
      <c r="C20241" s="8" t="e">
        <f>VLOOKUP(A:A,'ITEM LIST'!A:C,3,0)</f>
        <v>#N/A</v>
      </c>
    </row>
    <row r="20242" spans="3:3" x14ac:dyDescent="0.2">
      <c r="C20242" s="8" t="e">
        <f>VLOOKUP(A:A,'ITEM LIST'!A:C,3,0)</f>
        <v>#N/A</v>
      </c>
    </row>
    <row r="20243" spans="3:3" x14ac:dyDescent="0.2">
      <c r="C20243" s="8" t="e">
        <f>VLOOKUP(A:A,'ITEM LIST'!A:C,3,0)</f>
        <v>#N/A</v>
      </c>
    </row>
    <row r="20244" spans="3:3" x14ac:dyDescent="0.2">
      <c r="C20244" s="8" t="e">
        <f>VLOOKUP(A:A,'ITEM LIST'!A:C,3,0)</f>
        <v>#N/A</v>
      </c>
    </row>
    <row r="20245" spans="3:3" x14ac:dyDescent="0.2">
      <c r="C20245" s="8" t="e">
        <f>VLOOKUP(A:A,'ITEM LIST'!A:C,3,0)</f>
        <v>#N/A</v>
      </c>
    </row>
    <row r="20246" spans="3:3" x14ac:dyDescent="0.2">
      <c r="C20246" s="8" t="e">
        <f>VLOOKUP(A:A,'ITEM LIST'!A:C,3,0)</f>
        <v>#N/A</v>
      </c>
    </row>
    <row r="20247" spans="3:3" x14ac:dyDescent="0.2">
      <c r="C20247" s="8" t="e">
        <f>VLOOKUP(A:A,'ITEM LIST'!A:C,3,0)</f>
        <v>#N/A</v>
      </c>
    </row>
    <row r="20248" spans="3:3" x14ac:dyDescent="0.2">
      <c r="C20248" s="8" t="e">
        <f>VLOOKUP(A:A,'ITEM LIST'!A:C,3,0)</f>
        <v>#N/A</v>
      </c>
    </row>
    <row r="20249" spans="3:3" x14ac:dyDescent="0.2">
      <c r="C20249" s="8" t="e">
        <f>VLOOKUP(A:A,'ITEM LIST'!A:C,3,0)</f>
        <v>#N/A</v>
      </c>
    </row>
    <row r="20250" spans="3:3" x14ac:dyDescent="0.2">
      <c r="C20250" s="8" t="e">
        <f>VLOOKUP(A:A,'ITEM LIST'!A:C,3,0)</f>
        <v>#N/A</v>
      </c>
    </row>
    <row r="20251" spans="3:3" x14ac:dyDescent="0.2">
      <c r="C20251" s="8" t="e">
        <f>VLOOKUP(A:A,'ITEM LIST'!A:C,3,0)</f>
        <v>#N/A</v>
      </c>
    </row>
    <row r="20252" spans="3:3" x14ac:dyDescent="0.2">
      <c r="C20252" s="8" t="e">
        <f>VLOOKUP(A:A,'ITEM LIST'!A:C,3,0)</f>
        <v>#N/A</v>
      </c>
    </row>
    <row r="20253" spans="3:3" x14ac:dyDescent="0.2">
      <c r="C20253" s="8" t="e">
        <f>VLOOKUP(A:A,'ITEM LIST'!A:C,3,0)</f>
        <v>#N/A</v>
      </c>
    </row>
    <row r="20254" spans="3:3" x14ac:dyDescent="0.2">
      <c r="C20254" s="8" t="e">
        <f>VLOOKUP(A:A,'ITEM LIST'!A:C,3,0)</f>
        <v>#N/A</v>
      </c>
    </row>
    <row r="20255" spans="3:3" x14ac:dyDescent="0.2">
      <c r="C20255" s="8" t="e">
        <f>VLOOKUP(A:A,'ITEM LIST'!A:C,3,0)</f>
        <v>#N/A</v>
      </c>
    </row>
    <row r="20256" spans="3:3" x14ac:dyDescent="0.2">
      <c r="C20256" s="8" t="e">
        <f>VLOOKUP(A:A,'ITEM LIST'!A:C,3,0)</f>
        <v>#N/A</v>
      </c>
    </row>
    <row r="20257" spans="3:3" x14ac:dyDescent="0.2">
      <c r="C20257" s="8" t="e">
        <f>VLOOKUP(A:A,'ITEM LIST'!A:C,3,0)</f>
        <v>#N/A</v>
      </c>
    </row>
    <row r="20258" spans="3:3" x14ac:dyDescent="0.2">
      <c r="C20258" s="8" t="e">
        <f>VLOOKUP(A:A,'ITEM LIST'!A:C,3,0)</f>
        <v>#N/A</v>
      </c>
    </row>
    <row r="20259" spans="3:3" x14ac:dyDescent="0.2">
      <c r="C20259" s="8" t="e">
        <f>VLOOKUP(A:A,'ITEM LIST'!A:C,3,0)</f>
        <v>#N/A</v>
      </c>
    </row>
    <row r="20260" spans="3:3" x14ac:dyDescent="0.2">
      <c r="C20260" s="8" t="e">
        <f>VLOOKUP(A:A,'ITEM LIST'!A:C,3,0)</f>
        <v>#N/A</v>
      </c>
    </row>
    <row r="20261" spans="3:3" x14ac:dyDescent="0.2">
      <c r="C20261" s="8" t="e">
        <f>VLOOKUP(A:A,'ITEM LIST'!A:C,3,0)</f>
        <v>#N/A</v>
      </c>
    </row>
    <row r="20262" spans="3:3" x14ac:dyDescent="0.2">
      <c r="C20262" s="8" t="e">
        <f>VLOOKUP(A:A,'ITEM LIST'!A:C,3,0)</f>
        <v>#N/A</v>
      </c>
    </row>
    <row r="20263" spans="3:3" x14ac:dyDescent="0.2">
      <c r="C20263" s="8" t="e">
        <f>VLOOKUP(A:A,'ITEM LIST'!A:C,3,0)</f>
        <v>#N/A</v>
      </c>
    </row>
    <row r="20264" spans="3:3" x14ac:dyDescent="0.2">
      <c r="C20264" s="8" t="e">
        <f>VLOOKUP(A:A,'ITEM LIST'!A:C,3,0)</f>
        <v>#N/A</v>
      </c>
    </row>
    <row r="20265" spans="3:3" x14ac:dyDescent="0.2">
      <c r="C20265" s="8" t="e">
        <f>VLOOKUP(A:A,'ITEM LIST'!A:C,3,0)</f>
        <v>#N/A</v>
      </c>
    </row>
    <row r="20266" spans="3:3" x14ac:dyDescent="0.2">
      <c r="C20266" s="8" t="e">
        <f>VLOOKUP(A:A,'ITEM LIST'!A:C,3,0)</f>
        <v>#N/A</v>
      </c>
    </row>
    <row r="20267" spans="3:3" x14ac:dyDescent="0.2">
      <c r="C20267" s="8" t="e">
        <f>VLOOKUP(A:A,'ITEM LIST'!A:C,3,0)</f>
        <v>#N/A</v>
      </c>
    </row>
    <row r="20268" spans="3:3" x14ac:dyDescent="0.2">
      <c r="C20268" s="8" t="e">
        <f>VLOOKUP(A:A,'ITEM LIST'!A:C,3,0)</f>
        <v>#N/A</v>
      </c>
    </row>
    <row r="20269" spans="3:3" x14ac:dyDescent="0.2">
      <c r="C20269" s="8" t="e">
        <f>VLOOKUP(A:A,'ITEM LIST'!A:C,3,0)</f>
        <v>#N/A</v>
      </c>
    </row>
    <row r="20270" spans="3:3" x14ac:dyDescent="0.2">
      <c r="C20270" s="8" t="e">
        <f>VLOOKUP(A:A,'ITEM LIST'!A:C,3,0)</f>
        <v>#N/A</v>
      </c>
    </row>
    <row r="20271" spans="3:3" x14ac:dyDescent="0.2">
      <c r="C20271" s="8" t="e">
        <f>VLOOKUP(A:A,'ITEM LIST'!A:C,3,0)</f>
        <v>#N/A</v>
      </c>
    </row>
    <row r="20272" spans="3:3" x14ac:dyDescent="0.2">
      <c r="C20272" s="8" t="e">
        <f>VLOOKUP(A:A,'ITEM LIST'!A:C,3,0)</f>
        <v>#N/A</v>
      </c>
    </row>
    <row r="20273" spans="3:3" x14ac:dyDescent="0.2">
      <c r="C20273" s="8" t="e">
        <f>VLOOKUP(A:A,'ITEM LIST'!A:C,3,0)</f>
        <v>#N/A</v>
      </c>
    </row>
    <row r="20274" spans="3:3" x14ac:dyDescent="0.2">
      <c r="C20274" s="8" t="e">
        <f>VLOOKUP(A:A,'ITEM LIST'!A:C,3,0)</f>
        <v>#N/A</v>
      </c>
    </row>
    <row r="20275" spans="3:3" x14ac:dyDescent="0.2">
      <c r="C20275" s="8" t="e">
        <f>VLOOKUP(A:A,'ITEM LIST'!A:C,3,0)</f>
        <v>#N/A</v>
      </c>
    </row>
    <row r="20276" spans="3:3" x14ac:dyDescent="0.2">
      <c r="C20276" s="8" t="e">
        <f>VLOOKUP(A:A,'ITEM LIST'!A:C,3,0)</f>
        <v>#N/A</v>
      </c>
    </row>
    <row r="20277" spans="3:3" x14ac:dyDescent="0.2">
      <c r="C20277" s="8" t="e">
        <f>VLOOKUP(A:A,'ITEM LIST'!A:C,3,0)</f>
        <v>#N/A</v>
      </c>
    </row>
    <row r="20278" spans="3:3" x14ac:dyDescent="0.2">
      <c r="C20278" s="8" t="e">
        <f>VLOOKUP(A:A,'ITEM LIST'!A:C,3,0)</f>
        <v>#N/A</v>
      </c>
    </row>
    <row r="20279" spans="3:3" x14ac:dyDescent="0.2">
      <c r="C20279" s="8" t="e">
        <f>VLOOKUP(A:A,'ITEM LIST'!A:C,3,0)</f>
        <v>#N/A</v>
      </c>
    </row>
    <row r="20280" spans="3:3" x14ac:dyDescent="0.2">
      <c r="C20280" s="8" t="e">
        <f>VLOOKUP(A:A,'ITEM LIST'!A:C,3,0)</f>
        <v>#N/A</v>
      </c>
    </row>
    <row r="20281" spans="3:3" x14ac:dyDescent="0.2">
      <c r="C20281" s="8" t="e">
        <f>VLOOKUP(A:A,'ITEM LIST'!A:C,3,0)</f>
        <v>#N/A</v>
      </c>
    </row>
    <row r="20282" spans="3:3" x14ac:dyDescent="0.2">
      <c r="C20282" s="8" t="e">
        <f>VLOOKUP(A:A,'ITEM LIST'!A:C,3,0)</f>
        <v>#N/A</v>
      </c>
    </row>
    <row r="20283" spans="3:3" x14ac:dyDescent="0.2">
      <c r="C20283" s="8" t="e">
        <f>VLOOKUP(A:A,'ITEM LIST'!A:C,3,0)</f>
        <v>#N/A</v>
      </c>
    </row>
    <row r="20284" spans="3:3" x14ac:dyDescent="0.2">
      <c r="C20284" s="8" t="e">
        <f>VLOOKUP(A:A,'ITEM LIST'!A:C,3,0)</f>
        <v>#N/A</v>
      </c>
    </row>
    <row r="20285" spans="3:3" x14ac:dyDescent="0.2">
      <c r="C20285" s="8" t="e">
        <f>VLOOKUP(A:A,'ITEM LIST'!A:C,3,0)</f>
        <v>#N/A</v>
      </c>
    </row>
    <row r="20286" spans="3:3" x14ac:dyDescent="0.2">
      <c r="C20286" s="8" t="e">
        <f>VLOOKUP(A:A,'ITEM LIST'!A:C,3,0)</f>
        <v>#N/A</v>
      </c>
    </row>
    <row r="20287" spans="3:3" x14ac:dyDescent="0.2">
      <c r="C20287" s="8" t="e">
        <f>VLOOKUP(A:A,'ITEM LIST'!A:C,3,0)</f>
        <v>#N/A</v>
      </c>
    </row>
    <row r="20288" spans="3:3" x14ac:dyDescent="0.2">
      <c r="C20288" s="8" t="e">
        <f>VLOOKUP(A:A,'ITEM LIST'!A:C,3,0)</f>
        <v>#N/A</v>
      </c>
    </row>
    <row r="20289" spans="3:3" x14ac:dyDescent="0.2">
      <c r="C20289" s="8" t="e">
        <f>VLOOKUP(A:A,'ITEM LIST'!A:C,3,0)</f>
        <v>#N/A</v>
      </c>
    </row>
    <row r="20290" spans="3:3" x14ac:dyDescent="0.2">
      <c r="C20290" s="8" t="e">
        <f>VLOOKUP(A:A,'ITEM LIST'!A:C,3,0)</f>
        <v>#N/A</v>
      </c>
    </row>
    <row r="20291" spans="3:3" x14ac:dyDescent="0.2">
      <c r="C20291" s="8" t="e">
        <f>VLOOKUP(A:A,'ITEM LIST'!A:C,3,0)</f>
        <v>#N/A</v>
      </c>
    </row>
    <row r="20292" spans="3:3" x14ac:dyDescent="0.2">
      <c r="C20292" s="8" t="e">
        <f>VLOOKUP(A:A,'ITEM LIST'!A:C,3,0)</f>
        <v>#N/A</v>
      </c>
    </row>
    <row r="20293" spans="3:3" x14ac:dyDescent="0.2">
      <c r="C20293" s="8" t="e">
        <f>VLOOKUP(A:A,'ITEM LIST'!A:C,3,0)</f>
        <v>#N/A</v>
      </c>
    </row>
    <row r="20294" spans="3:3" x14ac:dyDescent="0.2">
      <c r="C20294" s="8" t="e">
        <f>VLOOKUP(A:A,'ITEM LIST'!A:C,3,0)</f>
        <v>#N/A</v>
      </c>
    </row>
    <row r="20295" spans="3:3" x14ac:dyDescent="0.2">
      <c r="C20295" s="8" t="e">
        <f>VLOOKUP(A:A,'ITEM LIST'!A:C,3,0)</f>
        <v>#N/A</v>
      </c>
    </row>
    <row r="20296" spans="3:3" x14ac:dyDescent="0.2">
      <c r="C20296" s="8" t="e">
        <f>VLOOKUP(A:A,'ITEM LIST'!A:C,3,0)</f>
        <v>#N/A</v>
      </c>
    </row>
    <row r="20297" spans="3:3" x14ac:dyDescent="0.2">
      <c r="C20297" s="8" t="e">
        <f>VLOOKUP(A:A,'ITEM LIST'!A:C,3,0)</f>
        <v>#N/A</v>
      </c>
    </row>
    <row r="20298" spans="3:3" x14ac:dyDescent="0.2">
      <c r="C20298" s="8" t="e">
        <f>VLOOKUP(A:A,'ITEM LIST'!A:C,3,0)</f>
        <v>#N/A</v>
      </c>
    </row>
    <row r="20299" spans="3:3" x14ac:dyDescent="0.2">
      <c r="C20299" s="8" t="e">
        <f>VLOOKUP(A:A,'ITEM LIST'!A:C,3,0)</f>
        <v>#N/A</v>
      </c>
    </row>
    <row r="20300" spans="3:3" x14ac:dyDescent="0.2">
      <c r="C20300" s="8" t="e">
        <f>VLOOKUP(A:A,'ITEM LIST'!A:C,3,0)</f>
        <v>#N/A</v>
      </c>
    </row>
    <row r="20301" spans="3:3" x14ac:dyDescent="0.2">
      <c r="C20301" s="8" t="e">
        <f>VLOOKUP(A:A,'ITEM LIST'!A:C,3,0)</f>
        <v>#N/A</v>
      </c>
    </row>
    <row r="20302" spans="3:3" x14ac:dyDescent="0.2">
      <c r="C20302" s="8" t="e">
        <f>VLOOKUP(A:A,'ITEM LIST'!A:C,3,0)</f>
        <v>#N/A</v>
      </c>
    </row>
    <row r="20303" spans="3:3" x14ac:dyDescent="0.2">
      <c r="C20303" s="8" t="e">
        <f>VLOOKUP(A:A,'ITEM LIST'!A:C,3,0)</f>
        <v>#N/A</v>
      </c>
    </row>
    <row r="20304" spans="3:3" x14ac:dyDescent="0.2">
      <c r="C20304" s="8" t="e">
        <f>VLOOKUP(A:A,'ITEM LIST'!A:C,3,0)</f>
        <v>#N/A</v>
      </c>
    </row>
    <row r="20305" spans="3:3" x14ac:dyDescent="0.2">
      <c r="C20305" s="8" t="e">
        <f>VLOOKUP(A:A,'ITEM LIST'!A:C,3,0)</f>
        <v>#N/A</v>
      </c>
    </row>
    <row r="20306" spans="3:3" x14ac:dyDescent="0.2">
      <c r="C20306" s="8" t="e">
        <f>VLOOKUP(A:A,'ITEM LIST'!A:C,3,0)</f>
        <v>#N/A</v>
      </c>
    </row>
    <row r="20307" spans="3:3" x14ac:dyDescent="0.2">
      <c r="C20307" s="8" t="e">
        <f>VLOOKUP(A:A,'ITEM LIST'!A:C,3,0)</f>
        <v>#N/A</v>
      </c>
    </row>
    <row r="20308" spans="3:3" x14ac:dyDescent="0.2">
      <c r="C20308" s="8" t="e">
        <f>VLOOKUP(A:A,'ITEM LIST'!A:C,3,0)</f>
        <v>#N/A</v>
      </c>
    </row>
    <row r="20309" spans="3:3" x14ac:dyDescent="0.2">
      <c r="C20309" s="8" t="e">
        <f>VLOOKUP(A:A,'ITEM LIST'!A:C,3,0)</f>
        <v>#N/A</v>
      </c>
    </row>
    <row r="20310" spans="3:3" x14ac:dyDescent="0.2">
      <c r="C20310" s="8" t="e">
        <f>VLOOKUP(A:A,'ITEM LIST'!A:C,3,0)</f>
        <v>#N/A</v>
      </c>
    </row>
    <row r="20311" spans="3:3" x14ac:dyDescent="0.2">
      <c r="C20311" s="8" t="e">
        <f>VLOOKUP(A:A,'ITEM LIST'!A:C,3,0)</f>
        <v>#N/A</v>
      </c>
    </row>
    <row r="20312" spans="3:3" x14ac:dyDescent="0.2">
      <c r="C20312" s="8" t="e">
        <f>VLOOKUP(A:A,'ITEM LIST'!A:C,3,0)</f>
        <v>#N/A</v>
      </c>
    </row>
    <row r="20313" spans="3:3" x14ac:dyDescent="0.2">
      <c r="C20313" s="8" t="e">
        <f>VLOOKUP(A:A,'ITEM LIST'!A:C,3,0)</f>
        <v>#N/A</v>
      </c>
    </row>
    <row r="20314" spans="3:3" x14ac:dyDescent="0.2">
      <c r="C20314" s="8" t="e">
        <f>VLOOKUP(A:A,'ITEM LIST'!A:C,3,0)</f>
        <v>#N/A</v>
      </c>
    </row>
    <row r="20315" spans="3:3" x14ac:dyDescent="0.2">
      <c r="C20315" s="8" t="e">
        <f>VLOOKUP(A:A,'ITEM LIST'!A:C,3,0)</f>
        <v>#N/A</v>
      </c>
    </row>
    <row r="20316" spans="3:3" x14ac:dyDescent="0.2">
      <c r="C20316" s="8" t="e">
        <f>VLOOKUP(A:A,'ITEM LIST'!A:C,3,0)</f>
        <v>#N/A</v>
      </c>
    </row>
    <row r="20317" spans="3:3" x14ac:dyDescent="0.2">
      <c r="C20317" s="8" t="e">
        <f>VLOOKUP(A:A,'ITEM LIST'!A:C,3,0)</f>
        <v>#N/A</v>
      </c>
    </row>
    <row r="20318" spans="3:3" x14ac:dyDescent="0.2">
      <c r="C20318" s="8" t="e">
        <f>VLOOKUP(A:A,'ITEM LIST'!A:C,3,0)</f>
        <v>#N/A</v>
      </c>
    </row>
    <row r="20319" spans="3:3" x14ac:dyDescent="0.2">
      <c r="C20319" s="8" t="e">
        <f>VLOOKUP(A:A,'ITEM LIST'!A:C,3,0)</f>
        <v>#N/A</v>
      </c>
    </row>
    <row r="20320" spans="3:3" x14ac:dyDescent="0.2">
      <c r="C20320" s="8" t="e">
        <f>VLOOKUP(A:A,'ITEM LIST'!A:C,3,0)</f>
        <v>#N/A</v>
      </c>
    </row>
    <row r="20321" spans="3:3" x14ac:dyDescent="0.2">
      <c r="C20321" s="8" t="e">
        <f>VLOOKUP(A:A,'ITEM LIST'!A:C,3,0)</f>
        <v>#N/A</v>
      </c>
    </row>
    <row r="20322" spans="3:3" x14ac:dyDescent="0.2">
      <c r="C20322" s="8" t="e">
        <f>VLOOKUP(A:A,'ITEM LIST'!A:C,3,0)</f>
        <v>#N/A</v>
      </c>
    </row>
    <row r="20323" spans="3:3" x14ac:dyDescent="0.2">
      <c r="C20323" s="8" t="e">
        <f>VLOOKUP(A:A,'ITEM LIST'!A:C,3,0)</f>
        <v>#N/A</v>
      </c>
    </row>
    <row r="20324" spans="3:3" x14ac:dyDescent="0.2">
      <c r="C20324" s="8" t="e">
        <f>VLOOKUP(A:A,'ITEM LIST'!A:C,3,0)</f>
        <v>#N/A</v>
      </c>
    </row>
    <row r="20325" spans="3:3" x14ac:dyDescent="0.2">
      <c r="C20325" s="8" t="e">
        <f>VLOOKUP(A:A,'ITEM LIST'!A:C,3,0)</f>
        <v>#N/A</v>
      </c>
    </row>
    <row r="20326" spans="3:3" x14ac:dyDescent="0.2">
      <c r="C20326" s="8" t="e">
        <f>VLOOKUP(A:A,'ITEM LIST'!A:C,3,0)</f>
        <v>#N/A</v>
      </c>
    </row>
    <row r="20327" spans="3:3" x14ac:dyDescent="0.2">
      <c r="C20327" s="8" t="e">
        <f>VLOOKUP(A:A,'ITEM LIST'!A:C,3,0)</f>
        <v>#N/A</v>
      </c>
    </row>
    <row r="20328" spans="3:3" x14ac:dyDescent="0.2">
      <c r="C20328" s="8" t="e">
        <f>VLOOKUP(A:A,'ITEM LIST'!A:C,3,0)</f>
        <v>#N/A</v>
      </c>
    </row>
    <row r="20329" spans="3:3" x14ac:dyDescent="0.2">
      <c r="C20329" s="8" t="e">
        <f>VLOOKUP(A:A,'ITEM LIST'!A:C,3,0)</f>
        <v>#N/A</v>
      </c>
    </row>
    <row r="20330" spans="3:3" x14ac:dyDescent="0.2">
      <c r="C20330" s="8" t="e">
        <f>VLOOKUP(A:A,'ITEM LIST'!A:C,3,0)</f>
        <v>#N/A</v>
      </c>
    </row>
    <row r="20331" spans="3:3" x14ac:dyDescent="0.2">
      <c r="C20331" s="8" t="e">
        <f>VLOOKUP(A:A,'ITEM LIST'!A:C,3,0)</f>
        <v>#N/A</v>
      </c>
    </row>
    <row r="20332" spans="3:3" x14ac:dyDescent="0.2">
      <c r="C20332" s="8" t="e">
        <f>VLOOKUP(A:A,'ITEM LIST'!A:C,3,0)</f>
        <v>#N/A</v>
      </c>
    </row>
    <row r="20333" spans="3:3" x14ac:dyDescent="0.2">
      <c r="C20333" s="8" t="e">
        <f>VLOOKUP(A:A,'ITEM LIST'!A:C,3,0)</f>
        <v>#N/A</v>
      </c>
    </row>
    <row r="20334" spans="3:3" x14ac:dyDescent="0.2">
      <c r="C20334" s="8" t="e">
        <f>VLOOKUP(A:A,'ITEM LIST'!A:C,3,0)</f>
        <v>#N/A</v>
      </c>
    </row>
    <row r="20335" spans="3:3" x14ac:dyDescent="0.2">
      <c r="C20335" s="8" t="e">
        <f>VLOOKUP(A:A,'ITEM LIST'!A:C,3,0)</f>
        <v>#N/A</v>
      </c>
    </row>
    <row r="20336" spans="3:3" x14ac:dyDescent="0.2">
      <c r="C20336" s="8" t="e">
        <f>VLOOKUP(A:A,'ITEM LIST'!A:C,3,0)</f>
        <v>#N/A</v>
      </c>
    </row>
    <row r="20337" spans="3:3" x14ac:dyDescent="0.2">
      <c r="C20337" s="8" t="e">
        <f>VLOOKUP(A:A,'ITEM LIST'!A:C,3,0)</f>
        <v>#N/A</v>
      </c>
    </row>
    <row r="20338" spans="3:3" x14ac:dyDescent="0.2">
      <c r="C20338" s="8" t="e">
        <f>VLOOKUP(A:A,'ITEM LIST'!A:C,3,0)</f>
        <v>#N/A</v>
      </c>
    </row>
    <row r="20339" spans="3:3" x14ac:dyDescent="0.2">
      <c r="C20339" s="8" t="e">
        <f>VLOOKUP(A:A,'ITEM LIST'!A:C,3,0)</f>
        <v>#N/A</v>
      </c>
    </row>
    <row r="20340" spans="3:3" x14ac:dyDescent="0.2">
      <c r="C20340" s="8" t="e">
        <f>VLOOKUP(A:A,'ITEM LIST'!A:C,3,0)</f>
        <v>#N/A</v>
      </c>
    </row>
    <row r="20341" spans="3:3" x14ac:dyDescent="0.2">
      <c r="C20341" s="8" t="e">
        <f>VLOOKUP(A:A,'ITEM LIST'!A:C,3,0)</f>
        <v>#N/A</v>
      </c>
    </row>
    <row r="20342" spans="3:3" x14ac:dyDescent="0.2">
      <c r="C20342" s="8" t="e">
        <f>VLOOKUP(A:A,'ITEM LIST'!A:C,3,0)</f>
        <v>#N/A</v>
      </c>
    </row>
    <row r="20343" spans="3:3" x14ac:dyDescent="0.2">
      <c r="C20343" s="8" t="e">
        <f>VLOOKUP(A:A,'ITEM LIST'!A:C,3,0)</f>
        <v>#N/A</v>
      </c>
    </row>
    <row r="20344" spans="3:3" x14ac:dyDescent="0.2">
      <c r="C20344" s="8" t="e">
        <f>VLOOKUP(A:A,'ITEM LIST'!A:C,3,0)</f>
        <v>#N/A</v>
      </c>
    </row>
    <row r="20345" spans="3:3" x14ac:dyDescent="0.2">
      <c r="C20345" s="8" t="e">
        <f>VLOOKUP(A:A,'ITEM LIST'!A:C,3,0)</f>
        <v>#N/A</v>
      </c>
    </row>
    <row r="20346" spans="3:3" x14ac:dyDescent="0.2">
      <c r="C20346" s="8" t="e">
        <f>VLOOKUP(A:A,'ITEM LIST'!A:C,3,0)</f>
        <v>#N/A</v>
      </c>
    </row>
    <row r="20347" spans="3:3" x14ac:dyDescent="0.2">
      <c r="C20347" s="8" t="e">
        <f>VLOOKUP(A:A,'ITEM LIST'!A:C,3,0)</f>
        <v>#N/A</v>
      </c>
    </row>
    <row r="20348" spans="3:3" x14ac:dyDescent="0.2">
      <c r="C20348" s="8" t="e">
        <f>VLOOKUP(A:A,'ITEM LIST'!A:C,3,0)</f>
        <v>#N/A</v>
      </c>
    </row>
    <row r="20349" spans="3:3" x14ac:dyDescent="0.2">
      <c r="C20349" s="8" t="e">
        <f>VLOOKUP(A:A,'ITEM LIST'!A:C,3,0)</f>
        <v>#N/A</v>
      </c>
    </row>
    <row r="20350" spans="3:3" x14ac:dyDescent="0.2">
      <c r="C20350" s="8" t="e">
        <f>VLOOKUP(A:A,'ITEM LIST'!A:C,3,0)</f>
        <v>#N/A</v>
      </c>
    </row>
    <row r="20351" spans="3:3" x14ac:dyDescent="0.2">
      <c r="C20351" s="8" t="e">
        <f>VLOOKUP(A:A,'ITEM LIST'!A:C,3,0)</f>
        <v>#N/A</v>
      </c>
    </row>
    <row r="20352" spans="3:3" x14ac:dyDescent="0.2">
      <c r="C20352" s="8" t="e">
        <f>VLOOKUP(A:A,'ITEM LIST'!A:C,3,0)</f>
        <v>#N/A</v>
      </c>
    </row>
    <row r="20353" spans="3:3" x14ac:dyDescent="0.2">
      <c r="C20353" s="8" t="e">
        <f>VLOOKUP(A:A,'ITEM LIST'!A:C,3,0)</f>
        <v>#N/A</v>
      </c>
    </row>
    <row r="20354" spans="3:3" x14ac:dyDescent="0.2">
      <c r="C20354" s="8" t="e">
        <f>VLOOKUP(A:A,'ITEM LIST'!A:C,3,0)</f>
        <v>#N/A</v>
      </c>
    </row>
    <row r="20355" spans="3:3" x14ac:dyDescent="0.2">
      <c r="C20355" s="8" t="e">
        <f>VLOOKUP(A:A,'ITEM LIST'!A:C,3,0)</f>
        <v>#N/A</v>
      </c>
    </row>
    <row r="20356" spans="3:3" x14ac:dyDescent="0.2">
      <c r="C20356" s="8" t="e">
        <f>VLOOKUP(A:A,'ITEM LIST'!A:C,3,0)</f>
        <v>#N/A</v>
      </c>
    </row>
    <row r="20357" spans="3:3" x14ac:dyDescent="0.2">
      <c r="C20357" s="8" t="e">
        <f>VLOOKUP(A:A,'ITEM LIST'!A:C,3,0)</f>
        <v>#N/A</v>
      </c>
    </row>
    <row r="20358" spans="3:3" x14ac:dyDescent="0.2">
      <c r="C20358" s="8" t="e">
        <f>VLOOKUP(A:A,'ITEM LIST'!A:C,3,0)</f>
        <v>#N/A</v>
      </c>
    </row>
    <row r="20359" spans="3:3" x14ac:dyDescent="0.2">
      <c r="C20359" s="8" t="e">
        <f>VLOOKUP(A:A,'ITEM LIST'!A:C,3,0)</f>
        <v>#N/A</v>
      </c>
    </row>
    <row r="20360" spans="3:3" x14ac:dyDescent="0.2">
      <c r="C20360" s="8" t="e">
        <f>VLOOKUP(A:A,'ITEM LIST'!A:C,3,0)</f>
        <v>#N/A</v>
      </c>
    </row>
    <row r="20361" spans="3:3" x14ac:dyDescent="0.2">
      <c r="C20361" s="8" t="e">
        <f>VLOOKUP(A:A,'ITEM LIST'!A:C,3,0)</f>
        <v>#N/A</v>
      </c>
    </row>
    <row r="20362" spans="3:3" x14ac:dyDescent="0.2">
      <c r="C20362" s="8" t="e">
        <f>VLOOKUP(A:A,'ITEM LIST'!A:C,3,0)</f>
        <v>#N/A</v>
      </c>
    </row>
    <row r="20363" spans="3:3" x14ac:dyDescent="0.2">
      <c r="C20363" s="8" t="e">
        <f>VLOOKUP(A:A,'ITEM LIST'!A:C,3,0)</f>
        <v>#N/A</v>
      </c>
    </row>
    <row r="20364" spans="3:3" x14ac:dyDescent="0.2">
      <c r="C20364" s="8" t="e">
        <f>VLOOKUP(A:A,'ITEM LIST'!A:C,3,0)</f>
        <v>#N/A</v>
      </c>
    </row>
    <row r="20365" spans="3:3" x14ac:dyDescent="0.2">
      <c r="C20365" s="8" t="e">
        <f>VLOOKUP(A:A,'ITEM LIST'!A:C,3,0)</f>
        <v>#N/A</v>
      </c>
    </row>
    <row r="20366" spans="3:3" x14ac:dyDescent="0.2">
      <c r="C20366" s="8" t="e">
        <f>VLOOKUP(A:A,'ITEM LIST'!A:C,3,0)</f>
        <v>#N/A</v>
      </c>
    </row>
    <row r="20367" spans="3:3" x14ac:dyDescent="0.2">
      <c r="C20367" s="8" t="e">
        <f>VLOOKUP(A:A,'ITEM LIST'!A:C,3,0)</f>
        <v>#N/A</v>
      </c>
    </row>
    <row r="20368" spans="3:3" x14ac:dyDescent="0.2">
      <c r="C20368" s="8" t="e">
        <f>VLOOKUP(A:A,'ITEM LIST'!A:C,3,0)</f>
        <v>#N/A</v>
      </c>
    </row>
    <row r="20369" spans="3:3" x14ac:dyDescent="0.2">
      <c r="C20369" s="8" t="e">
        <f>VLOOKUP(A:A,'ITEM LIST'!A:C,3,0)</f>
        <v>#N/A</v>
      </c>
    </row>
    <row r="20370" spans="3:3" x14ac:dyDescent="0.2">
      <c r="C20370" s="8" t="e">
        <f>VLOOKUP(A:A,'ITEM LIST'!A:C,3,0)</f>
        <v>#N/A</v>
      </c>
    </row>
    <row r="20371" spans="3:3" x14ac:dyDescent="0.2">
      <c r="C20371" s="8" t="e">
        <f>VLOOKUP(A:A,'ITEM LIST'!A:C,3,0)</f>
        <v>#N/A</v>
      </c>
    </row>
    <row r="20372" spans="3:3" x14ac:dyDescent="0.2">
      <c r="C20372" s="8" t="e">
        <f>VLOOKUP(A:A,'ITEM LIST'!A:C,3,0)</f>
        <v>#N/A</v>
      </c>
    </row>
    <row r="20373" spans="3:3" x14ac:dyDescent="0.2">
      <c r="C20373" s="8" t="e">
        <f>VLOOKUP(A:A,'ITEM LIST'!A:C,3,0)</f>
        <v>#N/A</v>
      </c>
    </row>
    <row r="20374" spans="3:3" x14ac:dyDescent="0.2">
      <c r="C20374" s="8" t="e">
        <f>VLOOKUP(A:A,'ITEM LIST'!A:C,3,0)</f>
        <v>#N/A</v>
      </c>
    </row>
    <row r="20375" spans="3:3" x14ac:dyDescent="0.2">
      <c r="C20375" s="8" t="e">
        <f>VLOOKUP(A:A,'ITEM LIST'!A:C,3,0)</f>
        <v>#N/A</v>
      </c>
    </row>
    <row r="20376" spans="3:3" x14ac:dyDescent="0.2">
      <c r="C20376" s="8" t="e">
        <f>VLOOKUP(A:A,'ITEM LIST'!A:C,3,0)</f>
        <v>#N/A</v>
      </c>
    </row>
    <row r="20377" spans="3:3" x14ac:dyDescent="0.2">
      <c r="C20377" s="8" t="e">
        <f>VLOOKUP(A:A,'ITEM LIST'!A:C,3,0)</f>
        <v>#N/A</v>
      </c>
    </row>
    <row r="20378" spans="3:3" x14ac:dyDescent="0.2">
      <c r="C20378" s="8" t="e">
        <f>VLOOKUP(A:A,'ITEM LIST'!A:C,3,0)</f>
        <v>#N/A</v>
      </c>
    </row>
    <row r="20379" spans="3:3" x14ac:dyDescent="0.2">
      <c r="C20379" s="8" t="e">
        <f>VLOOKUP(A:A,'ITEM LIST'!A:C,3,0)</f>
        <v>#N/A</v>
      </c>
    </row>
    <row r="20380" spans="3:3" x14ac:dyDescent="0.2">
      <c r="C20380" s="8" t="e">
        <f>VLOOKUP(A:A,'ITEM LIST'!A:C,3,0)</f>
        <v>#N/A</v>
      </c>
    </row>
    <row r="20381" spans="3:3" x14ac:dyDescent="0.2">
      <c r="C20381" s="8" t="e">
        <f>VLOOKUP(A:A,'ITEM LIST'!A:C,3,0)</f>
        <v>#N/A</v>
      </c>
    </row>
    <row r="20382" spans="3:3" x14ac:dyDescent="0.2">
      <c r="C20382" s="8" t="e">
        <f>VLOOKUP(A:A,'ITEM LIST'!A:C,3,0)</f>
        <v>#N/A</v>
      </c>
    </row>
    <row r="20383" spans="3:3" x14ac:dyDescent="0.2">
      <c r="C20383" s="8" t="e">
        <f>VLOOKUP(A:A,'ITEM LIST'!A:C,3,0)</f>
        <v>#N/A</v>
      </c>
    </row>
    <row r="20384" spans="3:3" x14ac:dyDescent="0.2">
      <c r="C20384" s="8" t="e">
        <f>VLOOKUP(A:A,'ITEM LIST'!A:C,3,0)</f>
        <v>#N/A</v>
      </c>
    </row>
    <row r="20385" spans="3:3" x14ac:dyDescent="0.2">
      <c r="C20385" s="8" t="e">
        <f>VLOOKUP(A:A,'ITEM LIST'!A:C,3,0)</f>
        <v>#N/A</v>
      </c>
    </row>
    <row r="20386" spans="3:3" x14ac:dyDescent="0.2">
      <c r="C20386" s="8" t="e">
        <f>VLOOKUP(A:A,'ITEM LIST'!A:C,3,0)</f>
        <v>#N/A</v>
      </c>
    </row>
    <row r="20387" spans="3:3" x14ac:dyDescent="0.2">
      <c r="C20387" s="8" t="e">
        <f>VLOOKUP(A:A,'ITEM LIST'!A:C,3,0)</f>
        <v>#N/A</v>
      </c>
    </row>
    <row r="20388" spans="3:3" x14ac:dyDescent="0.2">
      <c r="C20388" s="8" t="e">
        <f>VLOOKUP(A:A,'ITEM LIST'!A:C,3,0)</f>
        <v>#N/A</v>
      </c>
    </row>
    <row r="20389" spans="3:3" x14ac:dyDescent="0.2">
      <c r="C20389" s="8" t="e">
        <f>VLOOKUP(A:A,'ITEM LIST'!A:C,3,0)</f>
        <v>#N/A</v>
      </c>
    </row>
    <row r="20390" spans="3:3" x14ac:dyDescent="0.2">
      <c r="C20390" s="8" t="e">
        <f>VLOOKUP(A:A,'ITEM LIST'!A:C,3,0)</f>
        <v>#N/A</v>
      </c>
    </row>
    <row r="20391" spans="3:3" x14ac:dyDescent="0.2">
      <c r="C20391" s="8" t="e">
        <f>VLOOKUP(A:A,'ITEM LIST'!A:C,3,0)</f>
        <v>#N/A</v>
      </c>
    </row>
    <row r="20392" spans="3:3" x14ac:dyDescent="0.2">
      <c r="C20392" s="8" t="e">
        <f>VLOOKUP(A:A,'ITEM LIST'!A:C,3,0)</f>
        <v>#N/A</v>
      </c>
    </row>
    <row r="20393" spans="3:3" x14ac:dyDescent="0.2">
      <c r="C20393" s="8" t="e">
        <f>VLOOKUP(A:A,'ITEM LIST'!A:C,3,0)</f>
        <v>#N/A</v>
      </c>
    </row>
    <row r="20394" spans="3:3" x14ac:dyDescent="0.2">
      <c r="C20394" s="8" t="e">
        <f>VLOOKUP(A:A,'ITEM LIST'!A:C,3,0)</f>
        <v>#N/A</v>
      </c>
    </row>
    <row r="20395" spans="3:3" x14ac:dyDescent="0.2">
      <c r="C20395" s="8" t="e">
        <f>VLOOKUP(A:A,'ITEM LIST'!A:C,3,0)</f>
        <v>#N/A</v>
      </c>
    </row>
    <row r="20396" spans="3:3" x14ac:dyDescent="0.2">
      <c r="C20396" s="8" t="e">
        <f>VLOOKUP(A:A,'ITEM LIST'!A:C,3,0)</f>
        <v>#N/A</v>
      </c>
    </row>
    <row r="20397" spans="3:3" x14ac:dyDescent="0.2">
      <c r="C20397" s="8" t="e">
        <f>VLOOKUP(A:A,'ITEM LIST'!A:C,3,0)</f>
        <v>#N/A</v>
      </c>
    </row>
    <row r="20398" spans="3:3" x14ac:dyDescent="0.2">
      <c r="C20398" s="8" t="e">
        <f>VLOOKUP(A:A,'ITEM LIST'!A:C,3,0)</f>
        <v>#N/A</v>
      </c>
    </row>
    <row r="20399" spans="3:3" x14ac:dyDescent="0.2">
      <c r="C20399" s="8" t="e">
        <f>VLOOKUP(A:A,'ITEM LIST'!A:C,3,0)</f>
        <v>#N/A</v>
      </c>
    </row>
    <row r="20400" spans="3:3" x14ac:dyDescent="0.2">
      <c r="C20400" s="8" t="e">
        <f>VLOOKUP(A:A,'ITEM LIST'!A:C,3,0)</f>
        <v>#N/A</v>
      </c>
    </row>
    <row r="20401" spans="3:3" x14ac:dyDescent="0.2">
      <c r="C20401" s="8" t="e">
        <f>VLOOKUP(A:A,'ITEM LIST'!A:C,3,0)</f>
        <v>#N/A</v>
      </c>
    </row>
    <row r="20402" spans="3:3" x14ac:dyDescent="0.2">
      <c r="C20402" s="8" t="e">
        <f>VLOOKUP(A:A,'ITEM LIST'!A:C,3,0)</f>
        <v>#N/A</v>
      </c>
    </row>
    <row r="20403" spans="3:3" x14ac:dyDescent="0.2">
      <c r="C20403" s="8" t="e">
        <f>VLOOKUP(A:A,'ITEM LIST'!A:C,3,0)</f>
        <v>#N/A</v>
      </c>
    </row>
    <row r="20404" spans="3:3" x14ac:dyDescent="0.2">
      <c r="C20404" s="8" t="e">
        <f>VLOOKUP(A:A,'ITEM LIST'!A:C,3,0)</f>
        <v>#N/A</v>
      </c>
    </row>
    <row r="20405" spans="3:3" x14ac:dyDescent="0.2">
      <c r="C20405" s="8" t="e">
        <f>VLOOKUP(A:A,'ITEM LIST'!A:C,3,0)</f>
        <v>#N/A</v>
      </c>
    </row>
    <row r="20406" spans="3:3" x14ac:dyDescent="0.2">
      <c r="C20406" s="8" t="e">
        <f>VLOOKUP(A:A,'ITEM LIST'!A:C,3,0)</f>
        <v>#N/A</v>
      </c>
    </row>
    <row r="20407" spans="3:3" x14ac:dyDescent="0.2">
      <c r="C20407" s="8" t="e">
        <f>VLOOKUP(A:A,'ITEM LIST'!A:C,3,0)</f>
        <v>#N/A</v>
      </c>
    </row>
    <row r="20408" spans="3:3" x14ac:dyDescent="0.2">
      <c r="C20408" s="8" t="e">
        <f>VLOOKUP(A:A,'ITEM LIST'!A:C,3,0)</f>
        <v>#N/A</v>
      </c>
    </row>
    <row r="20409" spans="3:3" x14ac:dyDescent="0.2">
      <c r="C20409" s="8" t="e">
        <f>VLOOKUP(A:A,'ITEM LIST'!A:C,3,0)</f>
        <v>#N/A</v>
      </c>
    </row>
    <row r="20410" spans="3:3" x14ac:dyDescent="0.2">
      <c r="C20410" s="8" t="e">
        <f>VLOOKUP(A:A,'ITEM LIST'!A:C,3,0)</f>
        <v>#N/A</v>
      </c>
    </row>
    <row r="20411" spans="3:3" x14ac:dyDescent="0.2">
      <c r="C20411" s="8" t="e">
        <f>VLOOKUP(A:A,'ITEM LIST'!A:C,3,0)</f>
        <v>#N/A</v>
      </c>
    </row>
    <row r="20412" spans="3:3" x14ac:dyDescent="0.2">
      <c r="C20412" s="8" t="e">
        <f>VLOOKUP(A:A,'ITEM LIST'!A:C,3,0)</f>
        <v>#N/A</v>
      </c>
    </row>
    <row r="20413" spans="3:3" x14ac:dyDescent="0.2">
      <c r="C20413" s="8" t="e">
        <f>VLOOKUP(A:A,'ITEM LIST'!A:C,3,0)</f>
        <v>#N/A</v>
      </c>
    </row>
    <row r="20414" spans="3:3" x14ac:dyDescent="0.2">
      <c r="C20414" s="8" t="e">
        <f>VLOOKUP(A:A,'ITEM LIST'!A:C,3,0)</f>
        <v>#N/A</v>
      </c>
    </row>
    <row r="20415" spans="3:3" x14ac:dyDescent="0.2">
      <c r="C20415" s="8" t="e">
        <f>VLOOKUP(A:A,'ITEM LIST'!A:C,3,0)</f>
        <v>#N/A</v>
      </c>
    </row>
    <row r="20416" spans="3:3" x14ac:dyDescent="0.2">
      <c r="C20416" s="8" t="e">
        <f>VLOOKUP(A:A,'ITEM LIST'!A:C,3,0)</f>
        <v>#N/A</v>
      </c>
    </row>
    <row r="20417" spans="3:3" x14ac:dyDescent="0.2">
      <c r="C20417" s="8" t="e">
        <f>VLOOKUP(A:A,'ITEM LIST'!A:C,3,0)</f>
        <v>#N/A</v>
      </c>
    </row>
    <row r="20418" spans="3:3" x14ac:dyDescent="0.2">
      <c r="C20418" s="8" t="e">
        <f>VLOOKUP(A:A,'ITEM LIST'!A:C,3,0)</f>
        <v>#N/A</v>
      </c>
    </row>
    <row r="20419" spans="3:3" x14ac:dyDescent="0.2">
      <c r="C20419" s="8" t="e">
        <f>VLOOKUP(A:A,'ITEM LIST'!A:C,3,0)</f>
        <v>#N/A</v>
      </c>
    </row>
    <row r="20420" spans="3:3" x14ac:dyDescent="0.2">
      <c r="C20420" s="8" t="e">
        <f>VLOOKUP(A:A,'ITEM LIST'!A:C,3,0)</f>
        <v>#N/A</v>
      </c>
    </row>
    <row r="20421" spans="3:3" x14ac:dyDescent="0.2">
      <c r="C20421" s="8" t="e">
        <f>VLOOKUP(A:A,'ITEM LIST'!A:C,3,0)</f>
        <v>#N/A</v>
      </c>
    </row>
    <row r="20422" spans="3:3" x14ac:dyDescent="0.2">
      <c r="C20422" s="8" t="e">
        <f>VLOOKUP(A:A,'ITEM LIST'!A:C,3,0)</f>
        <v>#N/A</v>
      </c>
    </row>
    <row r="20423" spans="3:3" x14ac:dyDescent="0.2">
      <c r="C20423" s="8" t="e">
        <f>VLOOKUP(A:A,'ITEM LIST'!A:C,3,0)</f>
        <v>#N/A</v>
      </c>
    </row>
    <row r="20424" spans="3:3" x14ac:dyDescent="0.2">
      <c r="C20424" s="8" t="e">
        <f>VLOOKUP(A:A,'ITEM LIST'!A:C,3,0)</f>
        <v>#N/A</v>
      </c>
    </row>
    <row r="20425" spans="3:3" x14ac:dyDescent="0.2">
      <c r="C20425" s="8" t="e">
        <f>VLOOKUP(A:A,'ITEM LIST'!A:C,3,0)</f>
        <v>#N/A</v>
      </c>
    </row>
    <row r="20426" spans="3:3" x14ac:dyDescent="0.2">
      <c r="C20426" s="8" t="e">
        <f>VLOOKUP(A:A,'ITEM LIST'!A:C,3,0)</f>
        <v>#N/A</v>
      </c>
    </row>
    <row r="20427" spans="3:3" x14ac:dyDescent="0.2">
      <c r="C20427" s="8" t="e">
        <f>VLOOKUP(A:A,'ITEM LIST'!A:C,3,0)</f>
        <v>#N/A</v>
      </c>
    </row>
    <row r="20428" spans="3:3" x14ac:dyDescent="0.2">
      <c r="C20428" s="8" t="e">
        <f>VLOOKUP(A:A,'ITEM LIST'!A:C,3,0)</f>
        <v>#N/A</v>
      </c>
    </row>
    <row r="20429" spans="3:3" x14ac:dyDescent="0.2">
      <c r="C20429" s="8" t="e">
        <f>VLOOKUP(A:A,'ITEM LIST'!A:C,3,0)</f>
        <v>#N/A</v>
      </c>
    </row>
    <row r="20430" spans="3:3" x14ac:dyDescent="0.2">
      <c r="C20430" s="8" t="e">
        <f>VLOOKUP(A:A,'ITEM LIST'!A:C,3,0)</f>
        <v>#N/A</v>
      </c>
    </row>
    <row r="20431" spans="3:3" x14ac:dyDescent="0.2">
      <c r="C20431" s="8" t="e">
        <f>VLOOKUP(A:A,'ITEM LIST'!A:C,3,0)</f>
        <v>#N/A</v>
      </c>
    </row>
    <row r="20432" spans="3:3" x14ac:dyDescent="0.2">
      <c r="C20432" s="8" t="e">
        <f>VLOOKUP(A:A,'ITEM LIST'!A:C,3,0)</f>
        <v>#N/A</v>
      </c>
    </row>
    <row r="20433" spans="3:3" x14ac:dyDescent="0.2">
      <c r="C20433" s="8" t="e">
        <f>VLOOKUP(A:A,'ITEM LIST'!A:C,3,0)</f>
        <v>#N/A</v>
      </c>
    </row>
    <row r="20434" spans="3:3" x14ac:dyDescent="0.2">
      <c r="C20434" s="8" t="e">
        <f>VLOOKUP(A:A,'ITEM LIST'!A:C,3,0)</f>
        <v>#N/A</v>
      </c>
    </row>
    <row r="20435" spans="3:3" x14ac:dyDescent="0.2">
      <c r="C20435" s="8" t="e">
        <f>VLOOKUP(A:A,'ITEM LIST'!A:C,3,0)</f>
        <v>#N/A</v>
      </c>
    </row>
    <row r="20436" spans="3:3" x14ac:dyDescent="0.2">
      <c r="C20436" s="8" t="e">
        <f>VLOOKUP(A:A,'ITEM LIST'!A:C,3,0)</f>
        <v>#N/A</v>
      </c>
    </row>
    <row r="20437" spans="3:3" x14ac:dyDescent="0.2">
      <c r="C20437" s="8" t="e">
        <f>VLOOKUP(A:A,'ITEM LIST'!A:C,3,0)</f>
        <v>#N/A</v>
      </c>
    </row>
    <row r="20438" spans="3:3" x14ac:dyDescent="0.2">
      <c r="C20438" s="8" t="e">
        <f>VLOOKUP(A:A,'ITEM LIST'!A:C,3,0)</f>
        <v>#N/A</v>
      </c>
    </row>
    <row r="20439" spans="3:3" x14ac:dyDescent="0.2">
      <c r="C20439" s="8" t="e">
        <f>VLOOKUP(A:A,'ITEM LIST'!A:C,3,0)</f>
        <v>#N/A</v>
      </c>
    </row>
    <row r="20440" spans="3:3" x14ac:dyDescent="0.2">
      <c r="C20440" s="8" t="e">
        <f>VLOOKUP(A:A,'ITEM LIST'!A:C,3,0)</f>
        <v>#N/A</v>
      </c>
    </row>
    <row r="20441" spans="3:3" x14ac:dyDescent="0.2">
      <c r="C20441" s="8" t="e">
        <f>VLOOKUP(A:A,'ITEM LIST'!A:C,3,0)</f>
        <v>#N/A</v>
      </c>
    </row>
    <row r="20442" spans="3:3" x14ac:dyDescent="0.2">
      <c r="C20442" s="8" t="e">
        <f>VLOOKUP(A:A,'ITEM LIST'!A:C,3,0)</f>
        <v>#N/A</v>
      </c>
    </row>
    <row r="20443" spans="3:3" x14ac:dyDescent="0.2">
      <c r="C20443" s="8" t="e">
        <f>VLOOKUP(A:A,'ITEM LIST'!A:C,3,0)</f>
        <v>#N/A</v>
      </c>
    </row>
    <row r="20444" spans="3:3" x14ac:dyDescent="0.2">
      <c r="C20444" s="8" t="e">
        <f>VLOOKUP(A:A,'ITEM LIST'!A:C,3,0)</f>
        <v>#N/A</v>
      </c>
    </row>
    <row r="20445" spans="3:3" x14ac:dyDescent="0.2">
      <c r="C20445" s="8" t="e">
        <f>VLOOKUP(A:A,'ITEM LIST'!A:C,3,0)</f>
        <v>#N/A</v>
      </c>
    </row>
    <row r="20446" spans="3:3" x14ac:dyDescent="0.2">
      <c r="C20446" s="8" t="e">
        <f>VLOOKUP(A:A,'ITEM LIST'!A:C,3,0)</f>
        <v>#N/A</v>
      </c>
    </row>
    <row r="20447" spans="3:3" x14ac:dyDescent="0.2">
      <c r="C20447" s="8" t="e">
        <f>VLOOKUP(A:A,'ITEM LIST'!A:C,3,0)</f>
        <v>#N/A</v>
      </c>
    </row>
    <row r="20448" spans="3:3" x14ac:dyDescent="0.2">
      <c r="C20448" s="8" t="e">
        <f>VLOOKUP(A:A,'ITEM LIST'!A:C,3,0)</f>
        <v>#N/A</v>
      </c>
    </row>
    <row r="20449" spans="3:3" x14ac:dyDescent="0.2">
      <c r="C20449" s="8" t="e">
        <f>VLOOKUP(A:A,'ITEM LIST'!A:C,3,0)</f>
        <v>#N/A</v>
      </c>
    </row>
    <row r="20450" spans="3:3" x14ac:dyDescent="0.2">
      <c r="C20450" s="8" t="e">
        <f>VLOOKUP(A:A,'ITEM LIST'!A:C,3,0)</f>
        <v>#N/A</v>
      </c>
    </row>
    <row r="20451" spans="3:3" x14ac:dyDescent="0.2">
      <c r="C20451" s="8" t="e">
        <f>VLOOKUP(A:A,'ITEM LIST'!A:C,3,0)</f>
        <v>#N/A</v>
      </c>
    </row>
    <row r="20452" spans="3:3" x14ac:dyDescent="0.2">
      <c r="C20452" s="8" t="e">
        <f>VLOOKUP(A:A,'ITEM LIST'!A:C,3,0)</f>
        <v>#N/A</v>
      </c>
    </row>
    <row r="20453" spans="3:3" x14ac:dyDescent="0.2">
      <c r="C20453" s="8" t="e">
        <f>VLOOKUP(A:A,'ITEM LIST'!A:C,3,0)</f>
        <v>#N/A</v>
      </c>
    </row>
    <row r="20454" spans="3:3" x14ac:dyDescent="0.2">
      <c r="C20454" s="8" t="e">
        <f>VLOOKUP(A:A,'ITEM LIST'!A:C,3,0)</f>
        <v>#N/A</v>
      </c>
    </row>
    <row r="20455" spans="3:3" x14ac:dyDescent="0.2">
      <c r="C20455" s="8" t="e">
        <f>VLOOKUP(A:A,'ITEM LIST'!A:C,3,0)</f>
        <v>#N/A</v>
      </c>
    </row>
    <row r="20456" spans="3:3" x14ac:dyDescent="0.2">
      <c r="C20456" s="8" t="e">
        <f>VLOOKUP(A:A,'ITEM LIST'!A:C,3,0)</f>
        <v>#N/A</v>
      </c>
    </row>
    <row r="20457" spans="3:3" x14ac:dyDescent="0.2">
      <c r="C20457" s="8" t="e">
        <f>VLOOKUP(A:A,'ITEM LIST'!A:C,3,0)</f>
        <v>#N/A</v>
      </c>
    </row>
    <row r="20458" spans="3:3" x14ac:dyDescent="0.2">
      <c r="C20458" s="8" t="e">
        <f>VLOOKUP(A:A,'ITEM LIST'!A:C,3,0)</f>
        <v>#N/A</v>
      </c>
    </row>
    <row r="20459" spans="3:3" x14ac:dyDescent="0.2">
      <c r="C20459" s="8" t="e">
        <f>VLOOKUP(A:A,'ITEM LIST'!A:C,3,0)</f>
        <v>#N/A</v>
      </c>
    </row>
    <row r="20460" spans="3:3" x14ac:dyDescent="0.2">
      <c r="C20460" s="8" t="e">
        <f>VLOOKUP(A:A,'ITEM LIST'!A:C,3,0)</f>
        <v>#N/A</v>
      </c>
    </row>
    <row r="20461" spans="3:3" x14ac:dyDescent="0.2">
      <c r="C20461" s="8" t="e">
        <f>VLOOKUP(A:A,'ITEM LIST'!A:C,3,0)</f>
        <v>#N/A</v>
      </c>
    </row>
    <row r="20462" spans="3:3" x14ac:dyDescent="0.2">
      <c r="C20462" s="8" t="e">
        <f>VLOOKUP(A:A,'ITEM LIST'!A:C,3,0)</f>
        <v>#N/A</v>
      </c>
    </row>
    <row r="20463" spans="3:3" x14ac:dyDescent="0.2">
      <c r="C20463" s="8" t="e">
        <f>VLOOKUP(A:A,'ITEM LIST'!A:C,3,0)</f>
        <v>#N/A</v>
      </c>
    </row>
    <row r="20464" spans="3:3" x14ac:dyDescent="0.2">
      <c r="C20464" s="8" t="e">
        <f>VLOOKUP(A:A,'ITEM LIST'!A:C,3,0)</f>
        <v>#N/A</v>
      </c>
    </row>
    <row r="20465" spans="3:3" x14ac:dyDescent="0.2">
      <c r="C20465" s="8" t="e">
        <f>VLOOKUP(A:A,'ITEM LIST'!A:C,3,0)</f>
        <v>#N/A</v>
      </c>
    </row>
    <row r="20466" spans="3:3" x14ac:dyDescent="0.2">
      <c r="C20466" s="8" t="e">
        <f>VLOOKUP(A:A,'ITEM LIST'!A:C,3,0)</f>
        <v>#N/A</v>
      </c>
    </row>
    <row r="20467" spans="3:3" x14ac:dyDescent="0.2">
      <c r="C20467" s="8" t="e">
        <f>VLOOKUP(A:A,'ITEM LIST'!A:C,3,0)</f>
        <v>#N/A</v>
      </c>
    </row>
    <row r="20468" spans="3:3" x14ac:dyDescent="0.2">
      <c r="C20468" s="8" t="e">
        <f>VLOOKUP(A:A,'ITEM LIST'!A:C,3,0)</f>
        <v>#N/A</v>
      </c>
    </row>
    <row r="20469" spans="3:3" x14ac:dyDescent="0.2">
      <c r="C20469" s="8" t="e">
        <f>VLOOKUP(A:A,'ITEM LIST'!A:C,3,0)</f>
        <v>#N/A</v>
      </c>
    </row>
    <row r="20470" spans="3:3" x14ac:dyDescent="0.2">
      <c r="C20470" s="8" t="e">
        <f>VLOOKUP(A:A,'ITEM LIST'!A:C,3,0)</f>
        <v>#N/A</v>
      </c>
    </row>
    <row r="20471" spans="3:3" x14ac:dyDescent="0.2">
      <c r="C20471" s="8" t="e">
        <f>VLOOKUP(A:A,'ITEM LIST'!A:C,3,0)</f>
        <v>#N/A</v>
      </c>
    </row>
    <row r="20472" spans="3:3" x14ac:dyDescent="0.2">
      <c r="C20472" s="8" t="e">
        <f>VLOOKUP(A:A,'ITEM LIST'!A:C,3,0)</f>
        <v>#N/A</v>
      </c>
    </row>
    <row r="20473" spans="3:3" x14ac:dyDescent="0.2">
      <c r="C20473" s="8" t="e">
        <f>VLOOKUP(A:A,'ITEM LIST'!A:C,3,0)</f>
        <v>#N/A</v>
      </c>
    </row>
    <row r="20474" spans="3:3" x14ac:dyDescent="0.2">
      <c r="C20474" s="8" t="e">
        <f>VLOOKUP(A:A,'ITEM LIST'!A:C,3,0)</f>
        <v>#N/A</v>
      </c>
    </row>
    <row r="20475" spans="3:3" x14ac:dyDescent="0.2">
      <c r="C20475" s="8" t="e">
        <f>VLOOKUP(A:A,'ITEM LIST'!A:C,3,0)</f>
        <v>#N/A</v>
      </c>
    </row>
    <row r="20476" spans="3:3" x14ac:dyDescent="0.2">
      <c r="C20476" s="8" t="e">
        <f>VLOOKUP(A:A,'ITEM LIST'!A:C,3,0)</f>
        <v>#N/A</v>
      </c>
    </row>
    <row r="20477" spans="3:3" x14ac:dyDescent="0.2">
      <c r="C20477" s="8" t="e">
        <f>VLOOKUP(A:A,'ITEM LIST'!A:C,3,0)</f>
        <v>#N/A</v>
      </c>
    </row>
    <row r="20478" spans="3:3" x14ac:dyDescent="0.2">
      <c r="C20478" s="8" t="e">
        <f>VLOOKUP(A:A,'ITEM LIST'!A:C,3,0)</f>
        <v>#N/A</v>
      </c>
    </row>
    <row r="20479" spans="3:3" x14ac:dyDescent="0.2">
      <c r="C20479" s="8" t="e">
        <f>VLOOKUP(A:A,'ITEM LIST'!A:C,3,0)</f>
        <v>#N/A</v>
      </c>
    </row>
    <row r="20480" spans="3:3" x14ac:dyDescent="0.2">
      <c r="C20480" s="8" t="e">
        <f>VLOOKUP(A:A,'ITEM LIST'!A:C,3,0)</f>
        <v>#N/A</v>
      </c>
    </row>
    <row r="20481" spans="3:3" x14ac:dyDescent="0.2">
      <c r="C20481" s="8" t="e">
        <f>VLOOKUP(A:A,'ITEM LIST'!A:C,3,0)</f>
        <v>#N/A</v>
      </c>
    </row>
    <row r="20482" spans="3:3" x14ac:dyDescent="0.2">
      <c r="C20482" s="8" t="e">
        <f>VLOOKUP(A:A,'ITEM LIST'!A:C,3,0)</f>
        <v>#N/A</v>
      </c>
    </row>
    <row r="20483" spans="3:3" x14ac:dyDescent="0.2">
      <c r="C20483" s="8" t="e">
        <f>VLOOKUP(A:A,'ITEM LIST'!A:C,3,0)</f>
        <v>#N/A</v>
      </c>
    </row>
    <row r="20484" spans="3:3" x14ac:dyDescent="0.2">
      <c r="C20484" s="8" t="e">
        <f>VLOOKUP(A:A,'ITEM LIST'!A:C,3,0)</f>
        <v>#N/A</v>
      </c>
    </row>
    <row r="20485" spans="3:3" x14ac:dyDescent="0.2">
      <c r="C20485" s="8" t="e">
        <f>VLOOKUP(A:A,'ITEM LIST'!A:C,3,0)</f>
        <v>#N/A</v>
      </c>
    </row>
    <row r="20486" spans="3:3" x14ac:dyDescent="0.2">
      <c r="C20486" s="8" t="e">
        <f>VLOOKUP(A:A,'ITEM LIST'!A:C,3,0)</f>
        <v>#N/A</v>
      </c>
    </row>
    <row r="20487" spans="3:3" x14ac:dyDescent="0.2">
      <c r="C20487" s="8" t="e">
        <f>VLOOKUP(A:A,'ITEM LIST'!A:C,3,0)</f>
        <v>#N/A</v>
      </c>
    </row>
    <row r="20488" spans="3:3" x14ac:dyDescent="0.2">
      <c r="C20488" s="8" t="e">
        <f>VLOOKUP(A:A,'ITEM LIST'!A:C,3,0)</f>
        <v>#N/A</v>
      </c>
    </row>
    <row r="20489" spans="3:3" x14ac:dyDescent="0.2">
      <c r="C20489" s="8" t="e">
        <f>VLOOKUP(A:A,'ITEM LIST'!A:C,3,0)</f>
        <v>#N/A</v>
      </c>
    </row>
    <row r="20490" spans="3:3" x14ac:dyDescent="0.2">
      <c r="C20490" s="8" t="e">
        <f>VLOOKUP(A:A,'ITEM LIST'!A:C,3,0)</f>
        <v>#N/A</v>
      </c>
    </row>
    <row r="20491" spans="3:3" x14ac:dyDescent="0.2">
      <c r="C20491" s="8" t="e">
        <f>VLOOKUP(A:A,'ITEM LIST'!A:C,3,0)</f>
        <v>#N/A</v>
      </c>
    </row>
    <row r="20492" spans="3:3" x14ac:dyDescent="0.2">
      <c r="C20492" s="8" t="e">
        <f>VLOOKUP(A:A,'ITEM LIST'!A:C,3,0)</f>
        <v>#N/A</v>
      </c>
    </row>
    <row r="20493" spans="3:3" x14ac:dyDescent="0.2">
      <c r="C20493" s="8" t="e">
        <f>VLOOKUP(A:A,'ITEM LIST'!A:C,3,0)</f>
        <v>#N/A</v>
      </c>
    </row>
    <row r="20494" spans="3:3" x14ac:dyDescent="0.2">
      <c r="C20494" s="8" t="e">
        <f>VLOOKUP(A:A,'ITEM LIST'!A:C,3,0)</f>
        <v>#N/A</v>
      </c>
    </row>
    <row r="20495" spans="3:3" x14ac:dyDescent="0.2">
      <c r="C20495" s="8" t="e">
        <f>VLOOKUP(A:A,'ITEM LIST'!A:C,3,0)</f>
        <v>#N/A</v>
      </c>
    </row>
    <row r="20496" spans="3:3" x14ac:dyDescent="0.2">
      <c r="C20496" s="8" t="e">
        <f>VLOOKUP(A:A,'ITEM LIST'!A:C,3,0)</f>
        <v>#N/A</v>
      </c>
    </row>
    <row r="20497" spans="3:3" x14ac:dyDescent="0.2">
      <c r="C20497" s="8" t="e">
        <f>VLOOKUP(A:A,'ITEM LIST'!A:C,3,0)</f>
        <v>#N/A</v>
      </c>
    </row>
    <row r="20498" spans="3:3" x14ac:dyDescent="0.2">
      <c r="C20498" s="8" t="e">
        <f>VLOOKUP(A:A,'ITEM LIST'!A:C,3,0)</f>
        <v>#N/A</v>
      </c>
    </row>
    <row r="20499" spans="3:3" x14ac:dyDescent="0.2">
      <c r="C20499" s="8" t="e">
        <f>VLOOKUP(A:A,'ITEM LIST'!A:C,3,0)</f>
        <v>#N/A</v>
      </c>
    </row>
    <row r="20500" spans="3:3" x14ac:dyDescent="0.2">
      <c r="C20500" s="8" t="e">
        <f>VLOOKUP(A:A,'ITEM LIST'!A:C,3,0)</f>
        <v>#N/A</v>
      </c>
    </row>
    <row r="20501" spans="3:3" x14ac:dyDescent="0.2">
      <c r="C20501" s="8" t="e">
        <f>VLOOKUP(A:A,'ITEM LIST'!A:C,3,0)</f>
        <v>#N/A</v>
      </c>
    </row>
    <row r="20502" spans="3:3" x14ac:dyDescent="0.2">
      <c r="C20502" s="8" t="e">
        <f>VLOOKUP(A:A,'ITEM LIST'!A:C,3,0)</f>
        <v>#N/A</v>
      </c>
    </row>
    <row r="20503" spans="3:3" x14ac:dyDescent="0.2">
      <c r="C20503" s="8" t="e">
        <f>VLOOKUP(A:A,'ITEM LIST'!A:C,3,0)</f>
        <v>#N/A</v>
      </c>
    </row>
    <row r="20504" spans="3:3" x14ac:dyDescent="0.2">
      <c r="C20504" s="8" t="e">
        <f>VLOOKUP(A:A,'ITEM LIST'!A:C,3,0)</f>
        <v>#N/A</v>
      </c>
    </row>
    <row r="20505" spans="3:3" x14ac:dyDescent="0.2">
      <c r="C20505" s="8" t="e">
        <f>VLOOKUP(A:A,'ITEM LIST'!A:C,3,0)</f>
        <v>#N/A</v>
      </c>
    </row>
    <row r="20506" spans="3:3" x14ac:dyDescent="0.2">
      <c r="C20506" s="8" t="e">
        <f>VLOOKUP(A:A,'ITEM LIST'!A:C,3,0)</f>
        <v>#N/A</v>
      </c>
    </row>
    <row r="20507" spans="3:3" x14ac:dyDescent="0.2">
      <c r="C20507" s="8" t="e">
        <f>VLOOKUP(A:A,'ITEM LIST'!A:C,3,0)</f>
        <v>#N/A</v>
      </c>
    </row>
    <row r="20508" spans="3:3" x14ac:dyDescent="0.2">
      <c r="C20508" s="8" t="e">
        <f>VLOOKUP(A:A,'ITEM LIST'!A:C,3,0)</f>
        <v>#N/A</v>
      </c>
    </row>
    <row r="20509" spans="3:3" x14ac:dyDescent="0.2">
      <c r="C20509" s="8" t="e">
        <f>VLOOKUP(A:A,'ITEM LIST'!A:C,3,0)</f>
        <v>#N/A</v>
      </c>
    </row>
    <row r="20510" spans="3:3" x14ac:dyDescent="0.2">
      <c r="C20510" s="8" t="e">
        <f>VLOOKUP(A:A,'ITEM LIST'!A:C,3,0)</f>
        <v>#N/A</v>
      </c>
    </row>
    <row r="20511" spans="3:3" x14ac:dyDescent="0.2">
      <c r="C20511" s="8" t="e">
        <f>VLOOKUP(A:A,'ITEM LIST'!A:C,3,0)</f>
        <v>#N/A</v>
      </c>
    </row>
    <row r="20512" spans="3:3" x14ac:dyDescent="0.2">
      <c r="C20512" s="8" t="e">
        <f>VLOOKUP(A:A,'ITEM LIST'!A:C,3,0)</f>
        <v>#N/A</v>
      </c>
    </row>
    <row r="20513" spans="3:3" x14ac:dyDescent="0.2">
      <c r="C20513" s="8" t="e">
        <f>VLOOKUP(A:A,'ITEM LIST'!A:C,3,0)</f>
        <v>#N/A</v>
      </c>
    </row>
    <row r="20514" spans="3:3" x14ac:dyDescent="0.2">
      <c r="C20514" s="8" t="e">
        <f>VLOOKUP(A:A,'ITEM LIST'!A:C,3,0)</f>
        <v>#N/A</v>
      </c>
    </row>
    <row r="20515" spans="3:3" x14ac:dyDescent="0.2">
      <c r="C20515" s="8" t="e">
        <f>VLOOKUP(A:A,'ITEM LIST'!A:C,3,0)</f>
        <v>#N/A</v>
      </c>
    </row>
    <row r="20516" spans="3:3" x14ac:dyDescent="0.2">
      <c r="C20516" s="8" t="e">
        <f>VLOOKUP(A:A,'ITEM LIST'!A:C,3,0)</f>
        <v>#N/A</v>
      </c>
    </row>
    <row r="20517" spans="3:3" x14ac:dyDescent="0.2">
      <c r="C20517" s="8" t="e">
        <f>VLOOKUP(A:A,'ITEM LIST'!A:C,3,0)</f>
        <v>#N/A</v>
      </c>
    </row>
    <row r="20518" spans="3:3" x14ac:dyDescent="0.2">
      <c r="C20518" s="8" t="e">
        <f>VLOOKUP(A:A,'ITEM LIST'!A:C,3,0)</f>
        <v>#N/A</v>
      </c>
    </row>
    <row r="20519" spans="3:3" x14ac:dyDescent="0.2">
      <c r="C20519" s="8" t="e">
        <f>VLOOKUP(A:A,'ITEM LIST'!A:C,3,0)</f>
        <v>#N/A</v>
      </c>
    </row>
    <row r="20520" spans="3:3" x14ac:dyDescent="0.2">
      <c r="C20520" s="8" t="e">
        <f>VLOOKUP(A:A,'ITEM LIST'!A:C,3,0)</f>
        <v>#N/A</v>
      </c>
    </row>
    <row r="20521" spans="3:3" x14ac:dyDescent="0.2">
      <c r="C20521" s="8" t="e">
        <f>VLOOKUP(A:A,'ITEM LIST'!A:C,3,0)</f>
        <v>#N/A</v>
      </c>
    </row>
    <row r="20522" spans="3:3" x14ac:dyDescent="0.2">
      <c r="C20522" s="8" t="e">
        <f>VLOOKUP(A:A,'ITEM LIST'!A:C,3,0)</f>
        <v>#N/A</v>
      </c>
    </row>
    <row r="20523" spans="3:3" x14ac:dyDescent="0.2">
      <c r="C20523" s="8" t="e">
        <f>VLOOKUP(A:A,'ITEM LIST'!A:C,3,0)</f>
        <v>#N/A</v>
      </c>
    </row>
    <row r="20524" spans="3:3" x14ac:dyDescent="0.2">
      <c r="C20524" s="8" t="e">
        <f>VLOOKUP(A:A,'ITEM LIST'!A:C,3,0)</f>
        <v>#N/A</v>
      </c>
    </row>
    <row r="20525" spans="3:3" x14ac:dyDescent="0.2">
      <c r="C20525" s="8" t="e">
        <f>VLOOKUP(A:A,'ITEM LIST'!A:C,3,0)</f>
        <v>#N/A</v>
      </c>
    </row>
    <row r="20526" spans="3:3" x14ac:dyDescent="0.2">
      <c r="C20526" s="8" t="e">
        <f>VLOOKUP(A:A,'ITEM LIST'!A:C,3,0)</f>
        <v>#N/A</v>
      </c>
    </row>
    <row r="20527" spans="3:3" x14ac:dyDescent="0.2">
      <c r="C20527" s="8" t="e">
        <f>VLOOKUP(A:A,'ITEM LIST'!A:C,3,0)</f>
        <v>#N/A</v>
      </c>
    </row>
    <row r="20528" spans="3:3" x14ac:dyDescent="0.2">
      <c r="C20528" s="8" t="e">
        <f>VLOOKUP(A:A,'ITEM LIST'!A:C,3,0)</f>
        <v>#N/A</v>
      </c>
    </row>
    <row r="20529" spans="3:3" x14ac:dyDescent="0.2">
      <c r="C20529" s="8" t="e">
        <f>VLOOKUP(A:A,'ITEM LIST'!A:C,3,0)</f>
        <v>#N/A</v>
      </c>
    </row>
    <row r="20530" spans="3:3" x14ac:dyDescent="0.2">
      <c r="C20530" s="8" t="e">
        <f>VLOOKUP(A:A,'ITEM LIST'!A:C,3,0)</f>
        <v>#N/A</v>
      </c>
    </row>
    <row r="20531" spans="3:3" x14ac:dyDescent="0.2">
      <c r="C20531" s="8" t="e">
        <f>VLOOKUP(A:A,'ITEM LIST'!A:C,3,0)</f>
        <v>#N/A</v>
      </c>
    </row>
    <row r="20532" spans="3:3" x14ac:dyDescent="0.2">
      <c r="C20532" s="8" t="e">
        <f>VLOOKUP(A:A,'ITEM LIST'!A:C,3,0)</f>
        <v>#N/A</v>
      </c>
    </row>
    <row r="20533" spans="3:3" x14ac:dyDescent="0.2">
      <c r="C20533" s="8" t="e">
        <f>VLOOKUP(A:A,'ITEM LIST'!A:C,3,0)</f>
        <v>#N/A</v>
      </c>
    </row>
    <row r="20534" spans="3:3" x14ac:dyDescent="0.2">
      <c r="C20534" s="8" t="e">
        <f>VLOOKUP(A:A,'ITEM LIST'!A:C,3,0)</f>
        <v>#N/A</v>
      </c>
    </row>
    <row r="20535" spans="3:3" x14ac:dyDescent="0.2">
      <c r="C20535" s="8" t="e">
        <f>VLOOKUP(A:A,'ITEM LIST'!A:C,3,0)</f>
        <v>#N/A</v>
      </c>
    </row>
    <row r="20536" spans="3:3" x14ac:dyDescent="0.2">
      <c r="C20536" s="8" t="e">
        <f>VLOOKUP(A:A,'ITEM LIST'!A:C,3,0)</f>
        <v>#N/A</v>
      </c>
    </row>
    <row r="20537" spans="3:3" x14ac:dyDescent="0.2">
      <c r="C20537" s="8" t="e">
        <f>VLOOKUP(A:A,'ITEM LIST'!A:C,3,0)</f>
        <v>#N/A</v>
      </c>
    </row>
    <row r="20538" spans="3:3" x14ac:dyDescent="0.2">
      <c r="C20538" s="8" t="e">
        <f>VLOOKUP(A:A,'ITEM LIST'!A:C,3,0)</f>
        <v>#N/A</v>
      </c>
    </row>
    <row r="20539" spans="3:3" x14ac:dyDescent="0.2">
      <c r="C20539" s="8" t="e">
        <f>VLOOKUP(A:A,'ITEM LIST'!A:C,3,0)</f>
        <v>#N/A</v>
      </c>
    </row>
    <row r="20540" spans="3:3" x14ac:dyDescent="0.2">
      <c r="C20540" s="8" t="e">
        <f>VLOOKUP(A:A,'ITEM LIST'!A:C,3,0)</f>
        <v>#N/A</v>
      </c>
    </row>
    <row r="20541" spans="3:3" x14ac:dyDescent="0.2">
      <c r="C20541" s="8" t="e">
        <f>VLOOKUP(A:A,'ITEM LIST'!A:C,3,0)</f>
        <v>#N/A</v>
      </c>
    </row>
    <row r="20542" spans="3:3" x14ac:dyDescent="0.2">
      <c r="C20542" s="8" t="e">
        <f>VLOOKUP(A:A,'ITEM LIST'!A:C,3,0)</f>
        <v>#N/A</v>
      </c>
    </row>
    <row r="20543" spans="3:3" x14ac:dyDescent="0.2">
      <c r="C20543" s="8" t="e">
        <f>VLOOKUP(A:A,'ITEM LIST'!A:C,3,0)</f>
        <v>#N/A</v>
      </c>
    </row>
    <row r="20544" spans="3:3" x14ac:dyDescent="0.2">
      <c r="C20544" s="8" t="e">
        <f>VLOOKUP(A:A,'ITEM LIST'!A:C,3,0)</f>
        <v>#N/A</v>
      </c>
    </row>
    <row r="20545" spans="3:3" x14ac:dyDescent="0.2">
      <c r="C20545" s="8" t="e">
        <f>VLOOKUP(A:A,'ITEM LIST'!A:C,3,0)</f>
        <v>#N/A</v>
      </c>
    </row>
    <row r="20546" spans="3:3" x14ac:dyDescent="0.2">
      <c r="C20546" s="8" t="e">
        <f>VLOOKUP(A:A,'ITEM LIST'!A:C,3,0)</f>
        <v>#N/A</v>
      </c>
    </row>
    <row r="20547" spans="3:3" x14ac:dyDescent="0.2">
      <c r="C20547" s="8" t="e">
        <f>VLOOKUP(A:A,'ITEM LIST'!A:C,3,0)</f>
        <v>#N/A</v>
      </c>
    </row>
    <row r="20548" spans="3:3" x14ac:dyDescent="0.2">
      <c r="C20548" s="8" t="e">
        <f>VLOOKUP(A:A,'ITEM LIST'!A:C,3,0)</f>
        <v>#N/A</v>
      </c>
    </row>
    <row r="20549" spans="3:3" x14ac:dyDescent="0.2">
      <c r="C20549" s="8" t="e">
        <f>VLOOKUP(A:A,'ITEM LIST'!A:C,3,0)</f>
        <v>#N/A</v>
      </c>
    </row>
    <row r="20550" spans="3:3" x14ac:dyDescent="0.2">
      <c r="C20550" s="8" t="e">
        <f>VLOOKUP(A:A,'ITEM LIST'!A:C,3,0)</f>
        <v>#N/A</v>
      </c>
    </row>
    <row r="20551" spans="3:3" x14ac:dyDescent="0.2">
      <c r="C20551" s="8" t="e">
        <f>VLOOKUP(A:A,'ITEM LIST'!A:C,3,0)</f>
        <v>#N/A</v>
      </c>
    </row>
    <row r="20552" spans="3:3" x14ac:dyDescent="0.2">
      <c r="C20552" s="8" t="e">
        <f>VLOOKUP(A:A,'ITEM LIST'!A:C,3,0)</f>
        <v>#N/A</v>
      </c>
    </row>
    <row r="20553" spans="3:3" x14ac:dyDescent="0.2">
      <c r="C20553" s="8" t="e">
        <f>VLOOKUP(A:A,'ITEM LIST'!A:C,3,0)</f>
        <v>#N/A</v>
      </c>
    </row>
    <row r="20554" spans="3:3" x14ac:dyDescent="0.2">
      <c r="C20554" s="8" t="e">
        <f>VLOOKUP(A:A,'ITEM LIST'!A:C,3,0)</f>
        <v>#N/A</v>
      </c>
    </row>
    <row r="20555" spans="3:3" x14ac:dyDescent="0.2">
      <c r="C20555" s="8" t="e">
        <f>VLOOKUP(A:A,'ITEM LIST'!A:C,3,0)</f>
        <v>#N/A</v>
      </c>
    </row>
    <row r="20556" spans="3:3" x14ac:dyDescent="0.2">
      <c r="C20556" s="8" t="e">
        <f>VLOOKUP(A:A,'ITEM LIST'!A:C,3,0)</f>
        <v>#N/A</v>
      </c>
    </row>
    <row r="20557" spans="3:3" x14ac:dyDescent="0.2">
      <c r="C20557" s="8" t="e">
        <f>VLOOKUP(A:A,'ITEM LIST'!A:C,3,0)</f>
        <v>#N/A</v>
      </c>
    </row>
    <row r="20558" spans="3:3" x14ac:dyDescent="0.2">
      <c r="C20558" s="8" t="e">
        <f>VLOOKUP(A:A,'ITEM LIST'!A:C,3,0)</f>
        <v>#N/A</v>
      </c>
    </row>
    <row r="20559" spans="3:3" x14ac:dyDescent="0.2">
      <c r="C20559" s="8" t="e">
        <f>VLOOKUP(A:A,'ITEM LIST'!A:C,3,0)</f>
        <v>#N/A</v>
      </c>
    </row>
    <row r="20560" spans="3:3" x14ac:dyDescent="0.2">
      <c r="C20560" s="8" t="e">
        <f>VLOOKUP(A:A,'ITEM LIST'!A:C,3,0)</f>
        <v>#N/A</v>
      </c>
    </row>
    <row r="20561" spans="3:3" x14ac:dyDescent="0.2">
      <c r="C20561" s="8" t="e">
        <f>VLOOKUP(A:A,'ITEM LIST'!A:C,3,0)</f>
        <v>#N/A</v>
      </c>
    </row>
    <row r="20562" spans="3:3" x14ac:dyDescent="0.2">
      <c r="C20562" s="8" t="e">
        <f>VLOOKUP(A:A,'ITEM LIST'!A:C,3,0)</f>
        <v>#N/A</v>
      </c>
    </row>
    <row r="20563" spans="3:3" x14ac:dyDescent="0.2">
      <c r="C20563" s="8" t="e">
        <f>VLOOKUP(A:A,'ITEM LIST'!A:C,3,0)</f>
        <v>#N/A</v>
      </c>
    </row>
    <row r="20564" spans="3:3" x14ac:dyDescent="0.2">
      <c r="C20564" s="8" t="e">
        <f>VLOOKUP(A:A,'ITEM LIST'!A:C,3,0)</f>
        <v>#N/A</v>
      </c>
    </row>
    <row r="20565" spans="3:3" x14ac:dyDescent="0.2">
      <c r="C20565" s="8" t="e">
        <f>VLOOKUP(A:A,'ITEM LIST'!A:C,3,0)</f>
        <v>#N/A</v>
      </c>
    </row>
    <row r="20566" spans="3:3" x14ac:dyDescent="0.2">
      <c r="C20566" s="8" t="e">
        <f>VLOOKUP(A:A,'ITEM LIST'!A:C,3,0)</f>
        <v>#N/A</v>
      </c>
    </row>
    <row r="20567" spans="3:3" x14ac:dyDescent="0.2">
      <c r="C20567" s="8" t="e">
        <f>VLOOKUP(A:A,'ITEM LIST'!A:C,3,0)</f>
        <v>#N/A</v>
      </c>
    </row>
    <row r="20568" spans="3:3" x14ac:dyDescent="0.2">
      <c r="C20568" s="8" t="e">
        <f>VLOOKUP(A:A,'ITEM LIST'!A:C,3,0)</f>
        <v>#N/A</v>
      </c>
    </row>
    <row r="20569" spans="3:3" x14ac:dyDescent="0.2">
      <c r="C20569" s="8" t="e">
        <f>VLOOKUP(A:A,'ITEM LIST'!A:C,3,0)</f>
        <v>#N/A</v>
      </c>
    </row>
    <row r="20570" spans="3:3" x14ac:dyDescent="0.2">
      <c r="C20570" s="8" t="e">
        <f>VLOOKUP(A:A,'ITEM LIST'!A:C,3,0)</f>
        <v>#N/A</v>
      </c>
    </row>
    <row r="20571" spans="3:3" x14ac:dyDescent="0.2">
      <c r="C20571" s="8" t="e">
        <f>VLOOKUP(A:A,'ITEM LIST'!A:C,3,0)</f>
        <v>#N/A</v>
      </c>
    </row>
    <row r="20572" spans="3:3" x14ac:dyDescent="0.2">
      <c r="C20572" s="8" t="e">
        <f>VLOOKUP(A:A,'ITEM LIST'!A:C,3,0)</f>
        <v>#N/A</v>
      </c>
    </row>
    <row r="20573" spans="3:3" x14ac:dyDescent="0.2">
      <c r="C20573" s="8" t="e">
        <f>VLOOKUP(A:A,'ITEM LIST'!A:C,3,0)</f>
        <v>#N/A</v>
      </c>
    </row>
    <row r="20574" spans="3:3" x14ac:dyDescent="0.2">
      <c r="C20574" s="8" t="e">
        <f>VLOOKUP(A:A,'ITEM LIST'!A:C,3,0)</f>
        <v>#N/A</v>
      </c>
    </row>
    <row r="20575" spans="3:3" x14ac:dyDescent="0.2">
      <c r="C20575" s="8" t="e">
        <f>VLOOKUP(A:A,'ITEM LIST'!A:C,3,0)</f>
        <v>#N/A</v>
      </c>
    </row>
    <row r="20576" spans="3:3" x14ac:dyDescent="0.2">
      <c r="C20576" s="8" t="e">
        <f>VLOOKUP(A:A,'ITEM LIST'!A:C,3,0)</f>
        <v>#N/A</v>
      </c>
    </row>
    <row r="20577" spans="3:3" x14ac:dyDescent="0.2">
      <c r="C20577" s="8" t="e">
        <f>VLOOKUP(A:A,'ITEM LIST'!A:C,3,0)</f>
        <v>#N/A</v>
      </c>
    </row>
    <row r="20578" spans="3:3" x14ac:dyDescent="0.2">
      <c r="C20578" s="8" t="e">
        <f>VLOOKUP(A:A,'ITEM LIST'!A:C,3,0)</f>
        <v>#N/A</v>
      </c>
    </row>
    <row r="20579" spans="3:3" x14ac:dyDescent="0.2">
      <c r="C20579" s="8" t="e">
        <f>VLOOKUP(A:A,'ITEM LIST'!A:C,3,0)</f>
        <v>#N/A</v>
      </c>
    </row>
    <row r="20580" spans="3:3" x14ac:dyDescent="0.2">
      <c r="C20580" s="8" t="e">
        <f>VLOOKUP(A:A,'ITEM LIST'!A:C,3,0)</f>
        <v>#N/A</v>
      </c>
    </row>
    <row r="20581" spans="3:3" x14ac:dyDescent="0.2">
      <c r="C20581" s="8" t="e">
        <f>VLOOKUP(A:A,'ITEM LIST'!A:C,3,0)</f>
        <v>#N/A</v>
      </c>
    </row>
    <row r="20582" spans="3:3" x14ac:dyDescent="0.2">
      <c r="C20582" s="8" t="e">
        <f>VLOOKUP(A:A,'ITEM LIST'!A:C,3,0)</f>
        <v>#N/A</v>
      </c>
    </row>
    <row r="20583" spans="3:3" x14ac:dyDescent="0.2">
      <c r="C20583" s="8" t="e">
        <f>VLOOKUP(A:A,'ITEM LIST'!A:C,3,0)</f>
        <v>#N/A</v>
      </c>
    </row>
    <row r="20584" spans="3:3" x14ac:dyDescent="0.2">
      <c r="C20584" s="8" t="e">
        <f>VLOOKUP(A:A,'ITEM LIST'!A:C,3,0)</f>
        <v>#N/A</v>
      </c>
    </row>
    <row r="20585" spans="3:3" x14ac:dyDescent="0.2">
      <c r="C20585" s="8" t="e">
        <f>VLOOKUP(A:A,'ITEM LIST'!A:C,3,0)</f>
        <v>#N/A</v>
      </c>
    </row>
    <row r="20586" spans="3:3" x14ac:dyDescent="0.2">
      <c r="C20586" s="8" t="e">
        <f>VLOOKUP(A:A,'ITEM LIST'!A:C,3,0)</f>
        <v>#N/A</v>
      </c>
    </row>
    <row r="20587" spans="3:3" x14ac:dyDescent="0.2">
      <c r="C20587" s="8" t="e">
        <f>VLOOKUP(A:A,'ITEM LIST'!A:C,3,0)</f>
        <v>#N/A</v>
      </c>
    </row>
    <row r="20588" spans="3:3" x14ac:dyDescent="0.2">
      <c r="C20588" s="8" t="e">
        <f>VLOOKUP(A:A,'ITEM LIST'!A:C,3,0)</f>
        <v>#N/A</v>
      </c>
    </row>
    <row r="20589" spans="3:3" x14ac:dyDescent="0.2">
      <c r="C20589" s="8" t="e">
        <f>VLOOKUP(A:A,'ITEM LIST'!A:C,3,0)</f>
        <v>#N/A</v>
      </c>
    </row>
    <row r="20590" spans="3:3" x14ac:dyDescent="0.2">
      <c r="C20590" s="8" t="e">
        <f>VLOOKUP(A:A,'ITEM LIST'!A:C,3,0)</f>
        <v>#N/A</v>
      </c>
    </row>
    <row r="20591" spans="3:3" x14ac:dyDescent="0.2">
      <c r="C20591" s="8" t="e">
        <f>VLOOKUP(A:A,'ITEM LIST'!A:C,3,0)</f>
        <v>#N/A</v>
      </c>
    </row>
    <row r="20592" spans="3:3" x14ac:dyDescent="0.2">
      <c r="C20592" s="8" t="e">
        <f>VLOOKUP(A:A,'ITEM LIST'!A:C,3,0)</f>
        <v>#N/A</v>
      </c>
    </row>
    <row r="20593" spans="3:3" x14ac:dyDescent="0.2">
      <c r="C20593" s="8" t="e">
        <f>VLOOKUP(A:A,'ITEM LIST'!A:C,3,0)</f>
        <v>#N/A</v>
      </c>
    </row>
    <row r="20594" spans="3:3" x14ac:dyDescent="0.2">
      <c r="C20594" s="8" t="e">
        <f>VLOOKUP(A:A,'ITEM LIST'!A:C,3,0)</f>
        <v>#N/A</v>
      </c>
    </row>
    <row r="20595" spans="3:3" x14ac:dyDescent="0.2">
      <c r="C20595" s="8" t="e">
        <f>VLOOKUP(A:A,'ITEM LIST'!A:C,3,0)</f>
        <v>#N/A</v>
      </c>
    </row>
    <row r="20596" spans="3:3" x14ac:dyDescent="0.2">
      <c r="C20596" s="8" t="e">
        <f>VLOOKUP(A:A,'ITEM LIST'!A:C,3,0)</f>
        <v>#N/A</v>
      </c>
    </row>
    <row r="20597" spans="3:3" x14ac:dyDescent="0.2">
      <c r="C20597" s="8" t="e">
        <f>VLOOKUP(A:A,'ITEM LIST'!A:C,3,0)</f>
        <v>#N/A</v>
      </c>
    </row>
    <row r="20598" spans="3:3" x14ac:dyDescent="0.2">
      <c r="C20598" s="8" t="e">
        <f>VLOOKUP(A:A,'ITEM LIST'!A:C,3,0)</f>
        <v>#N/A</v>
      </c>
    </row>
    <row r="20599" spans="3:3" x14ac:dyDescent="0.2">
      <c r="C20599" s="8" t="e">
        <f>VLOOKUP(A:A,'ITEM LIST'!A:C,3,0)</f>
        <v>#N/A</v>
      </c>
    </row>
    <row r="20600" spans="3:3" x14ac:dyDescent="0.2">
      <c r="C20600" s="8" t="e">
        <f>VLOOKUP(A:A,'ITEM LIST'!A:C,3,0)</f>
        <v>#N/A</v>
      </c>
    </row>
    <row r="20601" spans="3:3" x14ac:dyDescent="0.2">
      <c r="C20601" s="8" t="e">
        <f>VLOOKUP(A:A,'ITEM LIST'!A:C,3,0)</f>
        <v>#N/A</v>
      </c>
    </row>
    <row r="20602" spans="3:3" x14ac:dyDescent="0.2">
      <c r="C20602" s="8" t="e">
        <f>VLOOKUP(A:A,'ITEM LIST'!A:C,3,0)</f>
        <v>#N/A</v>
      </c>
    </row>
    <row r="20603" spans="3:3" x14ac:dyDescent="0.2">
      <c r="C20603" s="8" t="e">
        <f>VLOOKUP(A:A,'ITEM LIST'!A:C,3,0)</f>
        <v>#N/A</v>
      </c>
    </row>
    <row r="20604" spans="3:3" x14ac:dyDescent="0.2">
      <c r="C20604" s="8" t="e">
        <f>VLOOKUP(A:A,'ITEM LIST'!A:C,3,0)</f>
        <v>#N/A</v>
      </c>
    </row>
    <row r="20605" spans="3:3" x14ac:dyDescent="0.2">
      <c r="C20605" s="8" t="e">
        <f>VLOOKUP(A:A,'ITEM LIST'!A:C,3,0)</f>
        <v>#N/A</v>
      </c>
    </row>
    <row r="20606" spans="3:3" x14ac:dyDescent="0.2">
      <c r="C20606" s="8" t="e">
        <f>VLOOKUP(A:A,'ITEM LIST'!A:C,3,0)</f>
        <v>#N/A</v>
      </c>
    </row>
    <row r="20607" spans="3:3" x14ac:dyDescent="0.2">
      <c r="C20607" s="8" t="e">
        <f>VLOOKUP(A:A,'ITEM LIST'!A:C,3,0)</f>
        <v>#N/A</v>
      </c>
    </row>
    <row r="20608" spans="3:3" x14ac:dyDescent="0.2">
      <c r="C20608" s="8" t="e">
        <f>VLOOKUP(A:A,'ITEM LIST'!A:C,3,0)</f>
        <v>#N/A</v>
      </c>
    </row>
    <row r="20609" spans="3:3" x14ac:dyDescent="0.2">
      <c r="C20609" s="8" t="e">
        <f>VLOOKUP(A:A,'ITEM LIST'!A:C,3,0)</f>
        <v>#N/A</v>
      </c>
    </row>
    <row r="20610" spans="3:3" x14ac:dyDescent="0.2">
      <c r="C20610" s="8" t="e">
        <f>VLOOKUP(A:A,'ITEM LIST'!A:C,3,0)</f>
        <v>#N/A</v>
      </c>
    </row>
    <row r="20611" spans="3:3" x14ac:dyDescent="0.2">
      <c r="C20611" s="8" t="e">
        <f>VLOOKUP(A:A,'ITEM LIST'!A:C,3,0)</f>
        <v>#N/A</v>
      </c>
    </row>
    <row r="20612" spans="3:3" x14ac:dyDescent="0.2">
      <c r="C20612" s="8" t="e">
        <f>VLOOKUP(A:A,'ITEM LIST'!A:C,3,0)</f>
        <v>#N/A</v>
      </c>
    </row>
    <row r="20613" spans="3:3" x14ac:dyDescent="0.2">
      <c r="C20613" s="8" t="e">
        <f>VLOOKUP(A:A,'ITEM LIST'!A:C,3,0)</f>
        <v>#N/A</v>
      </c>
    </row>
    <row r="20614" spans="3:3" x14ac:dyDescent="0.2">
      <c r="C20614" s="8" t="e">
        <f>VLOOKUP(A:A,'ITEM LIST'!A:C,3,0)</f>
        <v>#N/A</v>
      </c>
    </row>
    <row r="20615" spans="3:3" x14ac:dyDescent="0.2">
      <c r="C20615" s="8" t="e">
        <f>VLOOKUP(A:A,'ITEM LIST'!A:C,3,0)</f>
        <v>#N/A</v>
      </c>
    </row>
    <row r="20616" spans="3:3" x14ac:dyDescent="0.2">
      <c r="C20616" s="8" t="e">
        <f>VLOOKUP(A:A,'ITEM LIST'!A:C,3,0)</f>
        <v>#N/A</v>
      </c>
    </row>
    <row r="20617" spans="3:3" x14ac:dyDescent="0.2">
      <c r="C20617" s="8" t="e">
        <f>VLOOKUP(A:A,'ITEM LIST'!A:C,3,0)</f>
        <v>#N/A</v>
      </c>
    </row>
    <row r="20618" spans="3:3" x14ac:dyDescent="0.2">
      <c r="C20618" s="8" t="e">
        <f>VLOOKUP(A:A,'ITEM LIST'!A:C,3,0)</f>
        <v>#N/A</v>
      </c>
    </row>
    <row r="20619" spans="3:3" x14ac:dyDescent="0.2">
      <c r="C20619" s="8" t="e">
        <f>VLOOKUP(A:A,'ITEM LIST'!A:C,3,0)</f>
        <v>#N/A</v>
      </c>
    </row>
    <row r="20620" spans="3:3" x14ac:dyDescent="0.2">
      <c r="C20620" s="8" t="e">
        <f>VLOOKUP(A:A,'ITEM LIST'!A:C,3,0)</f>
        <v>#N/A</v>
      </c>
    </row>
    <row r="20621" spans="3:3" x14ac:dyDescent="0.2">
      <c r="C20621" s="8" t="e">
        <f>VLOOKUP(A:A,'ITEM LIST'!A:C,3,0)</f>
        <v>#N/A</v>
      </c>
    </row>
    <row r="20622" spans="3:3" x14ac:dyDescent="0.2">
      <c r="C20622" s="8" t="e">
        <f>VLOOKUP(A:A,'ITEM LIST'!A:C,3,0)</f>
        <v>#N/A</v>
      </c>
    </row>
    <row r="20623" spans="3:3" x14ac:dyDescent="0.2">
      <c r="C20623" s="8" t="e">
        <f>VLOOKUP(A:A,'ITEM LIST'!A:C,3,0)</f>
        <v>#N/A</v>
      </c>
    </row>
    <row r="20624" spans="3:3" x14ac:dyDescent="0.2">
      <c r="C20624" s="8" t="e">
        <f>VLOOKUP(A:A,'ITEM LIST'!A:C,3,0)</f>
        <v>#N/A</v>
      </c>
    </row>
    <row r="20625" spans="3:3" x14ac:dyDescent="0.2">
      <c r="C20625" s="8" t="e">
        <f>VLOOKUP(A:A,'ITEM LIST'!A:C,3,0)</f>
        <v>#N/A</v>
      </c>
    </row>
    <row r="20626" spans="3:3" x14ac:dyDescent="0.2">
      <c r="C20626" s="8" t="e">
        <f>VLOOKUP(A:A,'ITEM LIST'!A:C,3,0)</f>
        <v>#N/A</v>
      </c>
    </row>
    <row r="20627" spans="3:3" x14ac:dyDescent="0.2">
      <c r="C20627" s="8" t="e">
        <f>VLOOKUP(A:A,'ITEM LIST'!A:C,3,0)</f>
        <v>#N/A</v>
      </c>
    </row>
    <row r="20628" spans="3:3" x14ac:dyDescent="0.2">
      <c r="C20628" s="8" t="e">
        <f>VLOOKUP(A:A,'ITEM LIST'!A:C,3,0)</f>
        <v>#N/A</v>
      </c>
    </row>
    <row r="20629" spans="3:3" x14ac:dyDescent="0.2">
      <c r="C20629" s="8" t="e">
        <f>VLOOKUP(A:A,'ITEM LIST'!A:C,3,0)</f>
        <v>#N/A</v>
      </c>
    </row>
    <row r="20630" spans="3:3" x14ac:dyDescent="0.2">
      <c r="C20630" s="8" t="e">
        <f>VLOOKUP(A:A,'ITEM LIST'!A:C,3,0)</f>
        <v>#N/A</v>
      </c>
    </row>
    <row r="20631" spans="3:3" x14ac:dyDescent="0.2">
      <c r="C20631" s="8" t="e">
        <f>VLOOKUP(A:A,'ITEM LIST'!A:C,3,0)</f>
        <v>#N/A</v>
      </c>
    </row>
    <row r="20632" spans="3:3" x14ac:dyDescent="0.2">
      <c r="C20632" s="8" t="e">
        <f>VLOOKUP(A:A,'ITEM LIST'!A:C,3,0)</f>
        <v>#N/A</v>
      </c>
    </row>
    <row r="20633" spans="3:3" x14ac:dyDescent="0.2">
      <c r="C20633" s="8" t="e">
        <f>VLOOKUP(A:A,'ITEM LIST'!A:C,3,0)</f>
        <v>#N/A</v>
      </c>
    </row>
    <row r="20634" spans="3:3" x14ac:dyDescent="0.2">
      <c r="C20634" s="8" t="e">
        <f>VLOOKUP(A:A,'ITEM LIST'!A:C,3,0)</f>
        <v>#N/A</v>
      </c>
    </row>
    <row r="20635" spans="3:3" x14ac:dyDescent="0.2">
      <c r="C20635" s="8" t="e">
        <f>VLOOKUP(A:A,'ITEM LIST'!A:C,3,0)</f>
        <v>#N/A</v>
      </c>
    </row>
    <row r="20636" spans="3:3" x14ac:dyDescent="0.2">
      <c r="C20636" s="8" t="e">
        <f>VLOOKUP(A:A,'ITEM LIST'!A:C,3,0)</f>
        <v>#N/A</v>
      </c>
    </row>
    <row r="20637" spans="3:3" x14ac:dyDescent="0.2">
      <c r="C20637" s="8" t="e">
        <f>VLOOKUP(A:A,'ITEM LIST'!A:C,3,0)</f>
        <v>#N/A</v>
      </c>
    </row>
    <row r="20638" spans="3:3" x14ac:dyDescent="0.2">
      <c r="C20638" s="8" t="e">
        <f>VLOOKUP(A:A,'ITEM LIST'!A:C,3,0)</f>
        <v>#N/A</v>
      </c>
    </row>
    <row r="20639" spans="3:3" x14ac:dyDescent="0.2">
      <c r="C20639" s="8" t="e">
        <f>VLOOKUP(A:A,'ITEM LIST'!A:C,3,0)</f>
        <v>#N/A</v>
      </c>
    </row>
    <row r="20640" spans="3:3" x14ac:dyDescent="0.2">
      <c r="C20640" s="8" t="e">
        <f>VLOOKUP(A:A,'ITEM LIST'!A:C,3,0)</f>
        <v>#N/A</v>
      </c>
    </row>
    <row r="20641" spans="3:3" x14ac:dyDescent="0.2">
      <c r="C20641" s="8" t="e">
        <f>VLOOKUP(A:A,'ITEM LIST'!A:C,3,0)</f>
        <v>#N/A</v>
      </c>
    </row>
    <row r="20642" spans="3:3" x14ac:dyDescent="0.2">
      <c r="C20642" s="8" t="e">
        <f>VLOOKUP(A:A,'ITEM LIST'!A:C,3,0)</f>
        <v>#N/A</v>
      </c>
    </row>
    <row r="20643" spans="3:3" x14ac:dyDescent="0.2">
      <c r="C20643" s="8" t="e">
        <f>VLOOKUP(A:A,'ITEM LIST'!A:C,3,0)</f>
        <v>#N/A</v>
      </c>
    </row>
    <row r="20644" spans="3:3" x14ac:dyDescent="0.2">
      <c r="C20644" s="8" t="e">
        <f>VLOOKUP(A:A,'ITEM LIST'!A:C,3,0)</f>
        <v>#N/A</v>
      </c>
    </row>
    <row r="20645" spans="3:3" x14ac:dyDescent="0.2">
      <c r="C20645" s="8" t="e">
        <f>VLOOKUP(A:A,'ITEM LIST'!A:C,3,0)</f>
        <v>#N/A</v>
      </c>
    </row>
    <row r="20646" spans="3:3" x14ac:dyDescent="0.2">
      <c r="C20646" s="8" t="e">
        <f>VLOOKUP(A:A,'ITEM LIST'!A:C,3,0)</f>
        <v>#N/A</v>
      </c>
    </row>
    <row r="20647" spans="3:3" x14ac:dyDescent="0.2">
      <c r="C20647" s="8" t="e">
        <f>VLOOKUP(A:A,'ITEM LIST'!A:C,3,0)</f>
        <v>#N/A</v>
      </c>
    </row>
    <row r="20648" spans="3:3" x14ac:dyDescent="0.2">
      <c r="C20648" s="8" t="e">
        <f>VLOOKUP(A:A,'ITEM LIST'!A:C,3,0)</f>
        <v>#N/A</v>
      </c>
    </row>
    <row r="20649" spans="3:3" x14ac:dyDescent="0.2">
      <c r="C20649" s="8" t="e">
        <f>VLOOKUP(A:A,'ITEM LIST'!A:C,3,0)</f>
        <v>#N/A</v>
      </c>
    </row>
    <row r="20650" spans="3:3" x14ac:dyDescent="0.2">
      <c r="C20650" s="8" t="e">
        <f>VLOOKUP(A:A,'ITEM LIST'!A:C,3,0)</f>
        <v>#N/A</v>
      </c>
    </row>
    <row r="20651" spans="3:3" x14ac:dyDescent="0.2">
      <c r="C20651" s="8" t="e">
        <f>VLOOKUP(A:A,'ITEM LIST'!A:C,3,0)</f>
        <v>#N/A</v>
      </c>
    </row>
    <row r="20652" spans="3:3" x14ac:dyDescent="0.2">
      <c r="C20652" s="8" t="e">
        <f>VLOOKUP(A:A,'ITEM LIST'!A:C,3,0)</f>
        <v>#N/A</v>
      </c>
    </row>
    <row r="20653" spans="3:3" x14ac:dyDescent="0.2">
      <c r="C20653" s="8" t="e">
        <f>VLOOKUP(A:A,'ITEM LIST'!A:C,3,0)</f>
        <v>#N/A</v>
      </c>
    </row>
    <row r="20654" spans="3:3" x14ac:dyDescent="0.2">
      <c r="C20654" s="8" t="e">
        <f>VLOOKUP(A:A,'ITEM LIST'!A:C,3,0)</f>
        <v>#N/A</v>
      </c>
    </row>
    <row r="20655" spans="3:3" x14ac:dyDescent="0.2">
      <c r="C20655" s="8" t="e">
        <f>VLOOKUP(A:A,'ITEM LIST'!A:C,3,0)</f>
        <v>#N/A</v>
      </c>
    </row>
    <row r="20656" spans="3:3" x14ac:dyDescent="0.2">
      <c r="C20656" s="8" t="e">
        <f>VLOOKUP(A:A,'ITEM LIST'!A:C,3,0)</f>
        <v>#N/A</v>
      </c>
    </row>
    <row r="20657" spans="3:3" x14ac:dyDescent="0.2">
      <c r="C20657" s="8" t="e">
        <f>VLOOKUP(A:A,'ITEM LIST'!A:C,3,0)</f>
        <v>#N/A</v>
      </c>
    </row>
    <row r="20658" spans="3:3" x14ac:dyDescent="0.2">
      <c r="C20658" s="8" t="e">
        <f>VLOOKUP(A:A,'ITEM LIST'!A:C,3,0)</f>
        <v>#N/A</v>
      </c>
    </row>
    <row r="20659" spans="3:3" x14ac:dyDescent="0.2">
      <c r="C20659" s="8" t="e">
        <f>VLOOKUP(A:A,'ITEM LIST'!A:C,3,0)</f>
        <v>#N/A</v>
      </c>
    </row>
    <row r="20660" spans="3:3" x14ac:dyDescent="0.2">
      <c r="C20660" s="8" t="e">
        <f>VLOOKUP(A:A,'ITEM LIST'!A:C,3,0)</f>
        <v>#N/A</v>
      </c>
    </row>
    <row r="20661" spans="3:3" x14ac:dyDescent="0.2">
      <c r="C20661" s="8" t="e">
        <f>VLOOKUP(A:A,'ITEM LIST'!A:C,3,0)</f>
        <v>#N/A</v>
      </c>
    </row>
    <row r="20662" spans="3:3" x14ac:dyDescent="0.2">
      <c r="C20662" s="8" t="e">
        <f>VLOOKUP(A:A,'ITEM LIST'!A:C,3,0)</f>
        <v>#N/A</v>
      </c>
    </row>
    <row r="20663" spans="3:3" x14ac:dyDescent="0.2">
      <c r="C20663" s="8" t="e">
        <f>VLOOKUP(A:A,'ITEM LIST'!A:C,3,0)</f>
        <v>#N/A</v>
      </c>
    </row>
    <row r="20664" spans="3:3" x14ac:dyDescent="0.2">
      <c r="C20664" s="8" t="e">
        <f>VLOOKUP(A:A,'ITEM LIST'!A:C,3,0)</f>
        <v>#N/A</v>
      </c>
    </row>
    <row r="20665" spans="3:3" x14ac:dyDescent="0.2">
      <c r="C20665" s="8" t="e">
        <f>VLOOKUP(A:A,'ITEM LIST'!A:C,3,0)</f>
        <v>#N/A</v>
      </c>
    </row>
    <row r="20666" spans="3:3" x14ac:dyDescent="0.2">
      <c r="C20666" s="8" t="e">
        <f>VLOOKUP(A:A,'ITEM LIST'!A:C,3,0)</f>
        <v>#N/A</v>
      </c>
    </row>
    <row r="20667" spans="3:3" x14ac:dyDescent="0.2">
      <c r="C20667" s="8" t="e">
        <f>VLOOKUP(A:A,'ITEM LIST'!A:C,3,0)</f>
        <v>#N/A</v>
      </c>
    </row>
    <row r="20668" spans="3:3" x14ac:dyDescent="0.2">
      <c r="C20668" s="8" t="e">
        <f>VLOOKUP(A:A,'ITEM LIST'!A:C,3,0)</f>
        <v>#N/A</v>
      </c>
    </row>
    <row r="20669" spans="3:3" x14ac:dyDescent="0.2">
      <c r="C20669" s="8" t="e">
        <f>VLOOKUP(A:A,'ITEM LIST'!A:C,3,0)</f>
        <v>#N/A</v>
      </c>
    </row>
    <row r="20670" spans="3:3" x14ac:dyDescent="0.2">
      <c r="C20670" s="8" t="e">
        <f>VLOOKUP(A:A,'ITEM LIST'!A:C,3,0)</f>
        <v>#N/A</v>
      </c>
    </row>
    <row r="20671" spans="3:3" x14ac:dyDescent="0.2">
      <c r="C20671" s="8" t="e">
        <f>VLOOKUP(A:A,'ITEM LIST'!A:C,3,0)</f>
        <v>#N/A</v>
      </c>
    </row>
    <row r="20672" spans="3:3" x14ac:dyDescent="0.2">
      <c r="C20672" s="8" t="e">
        <f>VLOOKUP(A:A,'ITEM LIST'!A:C,3,0)</f>
        <v>#N/A</v>
      </c>
    </row>
    <row r="20673" spans="3:3" x14ac:dyDescent="0.2">
      <c r="C20673" s="8" t="e">
        <f>VLOOKUP(A:A,'ITEM LIST'!A:C,3,0)</f>
        <v>#N/A</v>
      </c>
    </row>
    <row r="20674" spans="3:3" x14ac:dyDescent="0.2">
      <c r="C20674" s="8" t="e">
        <f>VLOOKUP(A:A,'ITEM LIST'!A:C,3,0)</f>
        <v>#N/A</v>
      </c>
    </row>
    <row r="20675" spans="3:3" x14ac:dyDescent="0.2">
      <c r="C20675" s="8" t="e">
        <f>VLOOKUP(A:A,'ITEM LIST'!A:C,3,0)</f>
        <v>#N/A</v>
      </c>
    </row>
    <row r="20676" spans="3:3" x14ac:dyDescent="0.2">
      <c r="C20676" s="8" t="e">
        <f>VLOOKUP(A:A,'ITEM LIST'!A:C,3,0)</f>
        <v>#N/A</v>
      </c>
    </row>
    <row r="20677" spans="3:3" x14ac:dyDescent="0.2">
      <c r="C20677" s="8" t="e">
        <f>VLOOKUP(A:A,'ITEM LIST'!A:C,3,0)</f>
        <v>#N/A</v>
      </c>
    </row>
    <row r="20678" spans="3:3" x14ac:dyDescent="0.2">
      <c r="C20678" s="8" t="e">
        <f>VLOOKUP(A:A,'ITEM LIST'!A:C,3,0)</f>
        <v>#N/A</v>
      </c>
    </row>
    <row r="20679" spans="3:3" x14ac:dyDescent="0.2">
      <c r="C20679" s="8" t="e">
        <f>VLOOKUP(A:A,'ITEM LIST'!A:C,3,0)</f>
        <v>#N/A</v>
      </c>
    </row>
    <row r="20680" spans="3:3" x14ac:dyDescent="0.2">
      <c r="C20680" s="8" t="e">
        <f>VLOOKUP(A:A,'ITEM LIST'!A:C,3,0)</f>
        <v>#N/A</v>
      </c>
    </row>
    <row r="20681" spans="3:3" x14ac:dyDescent="0.2">
      <c r="C20681" s="8" t="e">
        <f>VLOOKUP(A:A,'ITEM LIST'!A:C,3,0)</f>
        <v>#N/A</v>
      </c>
    </row>
    <row r="20682" spans="3:3" x14ac:dyDescent="0.2">
      <c r="C20682" s="8" t="e">
        <f>VLOOKUP(A:A,'ITEM LIST'!A:C,3,0)</f>
        <v>#N/A</v>
      </c>
    </row>
    <row r="20683" spans="3:3" x14ac:dyDescent="0.2">
      <c r="C20683" s="8" t="e">
        <f>VLOOKUP(A:A,'ITEM LIST'!A:C,3,0)</f>
        <v>#N/A</v>
      </c>
    </row>
    <row r="20684" spans="3:3" x14ac:dyDescent="0.2">
      <c r="C20684" s="8" t="e">
        <f>VLOOKUP(A:A,'ITEM LIST'!A:C,3,0)</f>
        <v>#N/A</v>
      </c>
    </row>
    <row r="20685" spans="3:3" x14ac:dyDescent="0.2">
      <c r="C20685" s="8" t="e">
        <f>VLOOKUP(A:A,'ITEM LIST'!A:C,3,0)</f>
        <v>#N/A</v>
      </c>
    </row>
    <row r="20686" spans="3:3" x14ac:dyDescent="0.2">
      <c r="C20686" s="8" t="e">
        <f>VLOOKUP(A:A,'ITEM LIST'!A:C,3,0)</f>
        <v>#N/A</v>
      </c>
    </row>
    <row r="20687" spans="3:3" x14ac:dyDescent="0.2">
      <c r="C20687" s="8" t="e">
        <f>VLOOKUP(A:A,'ITEM LIST'!A:C,3,0)</f>
        <v>#N/A</v>
      </c>
    </row>
    <row r="20688" spans="3:3" x14ac:dyDescent="0.2">
      <c r="C20688" s="8" t="e">
        <f>VLOOKUP(A:A,'ITEM LIST'!A:C,3,0)</f>
        <v>#N/A</v>
      </c>
    </row>
    <row r="20689" spans="3:3" x14ac:dyDescent="0.2">
      <c r="C20689" s="8" t="e">
        <f>VLOOKUP(A:A,'ITEM LIST'!A:C,3,0)</f>
        <v>#N/A</v>
      </c>
    </row>
    <row r="20690" spans="3:3" x14ac:dyDescent="0.2">
      <c r="C20690" s="8" t="e">
        <f>VLOOKUP(A:A,'ITEM LIST'!A:C,3,0)</f>
        <v>#N/A</v>
      </c>
    </row>
    <row r="20691" spans="3:3" x14ac:dyDescent="0.2">
      <c r="C20691" s="8" t="e">
        <f>VLOOKUP(A:A,'ITEM LIST'!A:C,3,0)</f>
        <v>#N/A</v>
      </c>
    </row>
    <row r="20692" spans="3:3" x14ac:dyDescent="0.2">
      <c r="C20692" s="8" t="e">
        <f>VLOOKUP(A:A,'ITEM LIST'!A:C,3,0)</f>
        <v>#N/A</v>
      </c>
    </row>
    <row r="20693" spans="3:3" x14ac:dyDescent="0.2">
      <c r="C20693" s="8" t="e">
        <f>VLOOKUP(A:A,'ITEM LIST'!A:C,3,0)</f>
        <v>#N/A</v>
      </c>
    </row>
    <row r="20694" spans="3:3" x14ac:dyDescent="0.2">
      <c r="C20694" s="8" t="e">
        <f>VLOOKUP(A:A,'ITEM LIST'!A:C,3,0)</f>
        <v>#N/A</v>
      </c>
    </row>
    <row r="20695" spans="3:3" x14ac:dyDescent="0.2">
      <c r="C20695" s="8" t="e">
        <f>VLOOKUP(A:A,'ITEM LIST'!A:C,3,0)</f>
        <v>#N/A</v>
      </c>
    </row>
    <row r="20696" spans="3:3" x14ac:dyDescent="0.2">
      <c r="C20696" s="8" t="e">
        <f>VLOOKUP(A:A,'ITEM LIST'!A:C,3,0)</f>
        <v>#N/A</v>
      </c>
    </row>
    <row r="20697" spans="3:3" x14ac:dyDescent="0.2">
      <c r="C20697" s="8" t="e">
        <f>VLOOKUP(A:A,'ITEM LIST'!A:C,3,0)</f>
        <v>#N/A</v>
      </c>
    </row>
    <row r="20698" spans="3:3" x14ac:dyDescent="0.2">
      <c r="C20698" s="8" t="e">
        <f>VLOOKUP(A:A,'ITEM LIST'!A:C,3,0)</f>
        <v>#N/A</v>
      </c>
    </row>
    <row r="20699" spans="3:3" x14ac:dyDescent="0.2">
      <c r="C20699" s="8" t="e">
        <f>VLOOKUP(A:A,'ITEM LIST'!A:C,3,0)</f>
        <v>#N/A</v>
      </c>
    </row>
    <row r="20700" spans="3:3" x14ac:dyDescent="0.2">
      <c r="C20700" s="8" t="e">
        <f>VLOOKUP(A:A,'ITEM LIST'!A:C,3,0)</f>
        <v>#N/A</v>
      </c>
    </row>
    <row r="20701" spans="3:3" x14ac:dyDescent="0.2">
      <c r="C20701" s="8" t="e">
        <f>VLOOKUP(A:A,'ITEM LIST'!A:C,3,0)</f>
        <v>#N/A</v>
      </c>
    </row>
    <row r="20702" spans="3:3" x14ac:dyDescent="0.2">
      <c r="C20702" s="8" t="e">
        <f>VLOOKUP(A:A,'ITEM LIST'!A:C,3,0)</f>
        <v>#N/A</v>
      </c>
    </row>
    <row r="20703" spans="3:3" x14ac:dyDescent="0.2">
      <c r="C20703" s="8" t="e">
        <f>VLOOKUP(A:A,'ITEM LIST'!A:C,3,0)</f>
        <v>#N/A</v>
      </c>
    </row>
    <row r="20704" spans="3:3" x14ac:dyDescent="0.2">
      <c r="C20704" s="8" t="e">
        <f>VLOOKUP(A:A,'ITEM LIST'!A:C,3,0)</f>
        <v>#N/A</v>
      </c>
    </row>
    <row r="20705" spans="3:3" x14ac:dyDescent="0.2">
      <c r="C20705" s="8" t="e">
        <f>VLOOKUP(A:A,'ITEM LIST'!A:C,3,0)</f>
        <v>#N/A</v>
      </c>
    </row>
    <row r="20706" spans="3:3" x14ac:dyDescent="0.2">
      <c r="C20706" s="8" t="e">
        <f>VLOOKUP(A:A,'ITEM LIST'!A:C,3,0)</f>
        <v>#N/A</v>
      </c>
    </row>
    <row r="20707" spans="3:3" x14ac:dyDescent="0.2">
      <c r="C20707" s="8" t="e">
        <f>VLOOKUP(A:A,'ITEM LIST'!A:C,3,0)</f>
        <v>#N/A</v>
      </c>
    </row>
    <row r="20708" spans="3:3" x14ac:dyDescent="0.2">
      <c r="C20708" s="8" t="e">
        <f>VLOOKUP(A:A,'ITEM LIST'!A:C,3,0)</f>
        <v>#N/A</v>
      </c>
    </row>
    <row r="20709" spans="3:3" x14ac:dyDescent="0.2">
      <c r="C20709" s="8" t="e">
        <f>VLOOKUP(A:A,'ITEM LIST'!A:C,3,0)</f>
        <v>#N/A</v>
      </c>
    </row>
    <row r="20710" spans="3:3" x14ac:dyDescent="0.2">
      <c r="C20710" s="8" t="e">
        <f>VLOOKUP(A:A,'ITEM LIST'!A:C,3,0)</f>
        <v>#N/A</v>
      </c>
    </row>
    <row r="20711" spans="3:3" x14ac:dyDescent="0.2">
      <c r="C20711" s="8" t="e">
        <f>VLOOKUP(A:A,'ITEM LIST'!A:C,3,0)</f>
        <v>#N/A</v>
      </c>
    </row>
    <row r="20712" spans="3:3" x14ac:dyDescent="0.2">
      <c r="C20712" s="8" t="e">
        <f>VLOOKUP(A:A,'ITEM LIST'!A:C,3,0)</f>
        <v>#N/A</v>
      </c>
    </row>
    <row r="20713" spans="3:3" x14ac:dyDescent="0.2">
      <c r="C20713" s="8" t="e">
        <f>VLOOKUP(A:A,'ITEM LIST'!A:C,3,0)</f>
        <v>#N/A</v>
      </c>
    </row>
    <row r="20714" spans="3:3" x14ac:dyDescent="0.2">
      <c r="C20714" s="8" t="e">
        <f>VLOOKUP(A:A,'ITEM LIST'!A:C,3,0)</f>
        <v>#N/A</v>
      </c>
    </row>
    <row r="20715" spans="3:3" x14ac:dyDescent="0.2">
      <c r="C20715" s="8" t="e">
        <f>VLOOKUP(A:A,'ITEM LIST'!A:C,3,0)</f>
        <v>#N/A</v>
      </c>
    </row>
    <row r="20716" spans="3:3" x14ac:dyDescent="0.2">
      <c r="C20716" s="8" t="e">
        <f>VLOOKUP(A:A,'ITEM LIST'!A:C,3,0)</f>
        <v>#N/A</v>
      </c>
    </row>
    <row r="20717" spans="3:3" x14ac:dyDescent="0.2">
      <c r="C20717" s="8" t="e">
        <f>VLOOKUP(A:A,'ITEM LIST'!A:C,3,0)</f>
        <v>#N/A</v>
      </c>
    </row>
    <row r="20718" spans="3:3" x14ac:dyDescent="0.2">
      <c r="C20718" s="8" t="e">
        <f>VLOOKUP(A:A,'ITEM LIST'!A:C,3,0)</f>
        <v>#N/A</v>
      </c>
    </row>
    <row r="20719" spans="3:3" x14ac:dyDescent="0.2">
      <c r="C20719" s="8" t="e">
        <f>VLOOKUP(A:A,'ITEM LIST'!A:C,3,0)</f>
        <v>#N/A</v>
      </c>
    </row>
    <row r="20720" spans="3:3" x14ac:dyDescent="0.2">
      <c r="C20720" s="8" t="e">
        <f>VLOOKUP(A:A,'ITEM LIST'!A:C,3,0)</f>
        <v>#N/A</v>
      </c>
    </row>
    <row r="20721" spans="3:3" x14ac:dyDescent="0.2">
      <c r="C20721" s="8" t="e">
        <f>VLOOKUP(A:A,'ITEM LIST'!A:C,3,0)</f>
        <v>#N/A</v>
      </c>
    </row>
    <row r="20722" spans="3:3" x14ac:dyDescent="0.2">
      <c r="C20722" s="8" t="e">
        <f>VLOOKUP(A:A,'ITEM LIST'!A:C,3,0)</f>
        <v>#N/A</v>
      </c>
    </row>
    <row r="20723" spans="3:3" x14ac:dyDescent="0.2">
      <c r="C20723" s="8" t="e">
        <f>VLOOKUP(A:A,'ITEM LIST'!A:C,3,0)</f>
        <v>#N/A</v>
      </c>
    </row>
    <row r="20724" spans="3:3" x14ac:dyDescent="0.2">
      <c r="C20724" s="8" t="e">
        <f>VLOOKUP(A:A,'ITEM LIST'!A:C,3,0)</f>
        <v>#N/A</v>
      </c>
    </row>
    <row r="20725" spans="3:3" x14ac:dyDescent="0.2">
      <c r="C20725" s="8" t="e">
        <f>VLOOKUP(A:A,'ITEM LIST'!A:C,3,0)</f>
        <v>#N/A</v>
      </c>
    </row>
    <row r="20726" spans="3:3" x14ac:dyDescent="0.2">
      <c r="C20726" s="8" t="e">
        <f>VLOOKUP(A:A,'ITEM LIST'!A:C,3,0)</f>
        <v>#N/A</v>
      </c>
    </row>
    <row r="20727" spans="3:3" x14ac:dyDescent="0.2">
      <c r="C20727" s="8" t="e">
        <f>VLOOKUP(A:A,'ITEM LIST'!A:C,3,0)</f>
        <v>#N/A</v>
      </c>
    </row>
    <row r="20728" spans="3:3" x14ac:dyDescent="0.2">
      <c r="C20728" s="8" t="e">
        <f>VLOOKUP(A:A,'ITEM LIST'!A:C,3,0)</f>
        <v>#N/A</v>
      </c>
    </row>
    <row r="20729" spans="3:3" x14ac:dyDescent="0.2">
      <c r="C20729" s="8" t="e">
        <f>VLOOKUP(A:A,'ITEM LIST'!A:C,3,0)</f>
        <v>#N/A</v>
      </c>
    </row>
    <row r="20730" spans="3:3" x14ac:dyDescent="0.2">
      <c r="C20730" s="8" t="e">
        <f>VLOOKUP(A:A,'ITEM LIST'!A:C,3,0)</f>
        <v>#N/A</v>
      </c>
    </row>
    <row r="20731" spans="3:3" x14ac:dyDescent="0.2">
      <c r="C20731" s="8" t="e">
        <f>VLOOKUP(A:A,'ITEM LIST'!A:C,3,0)</f>
        <v>#N/A</v>
      </c>
    </row>
    <row r="20732" spans="3:3" x14ac:dyDescent="0.2">
      <c r="C20732" s="8" t="e">
        <f>VLOOKUP(A:A,'ITEM LIST'!A:C,3,0)</f>
        <v>#N/A</v>
      </c>
    </row>
    <row r="20733" spans="3:3" x14ac:dyDescent="0.2">
      <c r="C20733" s="8" t="e">
        <f>VLOOKUP(A:A,'ITEM LIST'!A:C,3,0)</f>
        <v>#N/A</v>
      </c>
    </row>
    <row r="20734" spans="3:3" x14ac:dyDescent="0.2">
      <c r="C20734" s="8" t="e">
        <f>VLOOKUP(A:A,'ITEM LIST'!A:C,3,0)</f>
        <v>#N/A</v>
      </c>
    </row>
    <row r="20735" spans="3:3" x14ac:dyDescent="0.2">
      <c r="C20735" s="8" t="e">
        <f>VLOOKUP(A:A,'ITEM LIST'!A:C,3,0)</f>
        <v>#N/A</v>
      </c>
    </row>
    <row r="20736" spans="3:3" x14ac:dyDescent="0.2">
      <c r="C20736" s="8" t="e">
        <f>VLOOKUP(A:A,'ITEM LIST'!A:C,3,0)</f>
        <v>#N/A</v>
      </c>
    </row>
    <row r="20737" spans="3:3" x14ac:dyDescent="0.2">
      <c r="C20737" s="8" t="e">
        <f>VLOOKUP(A:A,'ITEM LIST'!A:C,3,0)</f>
        <v>#N/A</v>
      </c>
    </row>
    <row r="20738" spans="3:3" x14ac:dyDescent="0.2">
      <c r="C20738" s="8" t="e">
        <f>VLOOKUP(A:A,'ITEM LIST'!A:C,3,0)</f>
        <v>#N/A</v>
      </c>
    </row>
    <row r="20739" spans="3:3" x14ac:dyDescent="0.2">
      <c r="C20739" s="8" t="e">
        <f>VLOOKUP(A:A,'ITEM LIST'!A:C,3,0)</f>
        <v>#N/A</v>
      </c>
    </row>
    <row r="20740" spans="3:3" x14ac:dyDescent="0.2">
      <c r="C20740" s="8" t="e">
        <f>VLOOKUP(A:A,'ITEM LIST'!A:C,3,0)</f>
        <v>#N/A</v>
      </c>
    </row>
    <row r="20741" spans="3:3" x14ac:dyDescent="0.2">
      <c r="C20741" s="8" t="e">
        <f>VLOOKUP(A:A,'ITEM LIST'!A:C,3,0)</f>
        <v>#N/A</v>
      </c>
    </row>
    <row r="20742" spans="3:3" x14ac:dyDescent="0.2">
      <c r="C20742" s="8" t="e">
        <f>VLOOKUP(A:A,'ITEM LIST'!A:C,3,0)</f>
        <v>#N/A</v>
      </c>
    </row>
    <row r="20743" spans="3:3" x14ac:dyDescent="0.2">
      <c r="C20743" s="8" t="e">
        <f>VLOOKUP(A:A,'ITEM LIST'!A:C,3,0)</f>
        <v>#N/A</v>
      </c>
    </row>
    <row r="20744" spans="3:3" x14ac:dyDescent="0.2">
      <c r="C20744" s="8" t="e">
        <f>VLOOKUP(A:A,'ITEM LIST'!A:C,3,0)</f>
        <v>#N/A</v>
      </c>
    </row>
    <row r="20745" spans="3:3" x14ac:dyDescent="0.2">
      <c r="C20745" s="8" t="e">
        <f>VLOOKUP(A:A,'ITEM LIST'!A:C,3,0)</f>
        <v>#N/A</v>
      </c>
    </row>
    <row r="20746" spans="3:3" x14ac:dyDescent="0.2">
      <c r="C20746" s="8" t="e">
        <f>VLOOKUP(A:A,'ITEM LIST'!A:C,3,0)</f>
        <v>#N/A</v>
      </c>
    </row>
    <row r="20747" spans="3:3" x14ac:dyDescent="0.2">
      <c r="C20747" s="8" t="e">
        <f>VLOOKUP(A:A,'ITEM LIST'!A:C,3,0)</f>
        <v>#N/A</v>
      </c>
    </row>
    <row r="20748" spans="3:3" x14ac:dyDescent="0.2">
      <c r="C20748" s="8" t="e">
        <f>VLOOKUP(A:A,'ITEM LIST'!A:C,3,0)</f>
        <v>#N/A</v>
      </c>
    </row>
    <row r="20749" spans="3:3" x14ac:dyDescent="0.2">
      <c r="C20749" s="8" t="e">
        <f>VLOOKUP(A:A,'ITEM LIST'!A:C,3,0)</f>
        <v>#N/A</v>
      </c>
    </row>
    <row r="20750" spans="3:3" x14ac:dyDescent="0.2">
      <c r="C20750" s="8" t="e">
        <f>VLOOKUP(A:A,'ITEM LIST'!A:C,3,0)</f>
        <v>#N/A</v>
      </c>
    </row>
    <row r="20751" spans="3:3" x14ac:dyDescent="0.2">
      <c r="C20751" s="8" t="e">
        <f>VLOOKUP(A:A,'ITEM LIST'!A:C,3,0)</f>
        <v>#N/A</v>
      </c>
    </row>
    <row r="20752" spans="3:3" x14ac:dyDescent="0.2">
      <c r="C20752" s="8" t="e">
        <f>VLOOKUP(A:A,'ITEM LIST'!A:C,3,0)</f>
        <v>#N/A</v>
      </c>
    </row>
    <row r="20753" spans="3:3" x14ac:dyDescent="0.2">
      <c r="C20753" s="8" t="e">
        <f>VLOOKUP(A:A,'ITEM LIST'!A:C,3,0)</f>
        <v>#N/A</v>
      </c>
    </row>
    <row r="20754" spans="3:3" x14ac:dyDescent="0.2">
      <c r="C20754" s="8" t="e">
        <f>VLOOKUP(A:A,'ITEM LIST'!A:C,3,0)</f>
        <v>#N/A</v>
      </c>
    </row>
    <row r="20755" spans="3:3" x14ac:dyDescent="0.2">
      <c r="C20755" s="8" t="e">
        <f>VLOOKUP(A:A,'ITEM LIST'!A:C,3,0)</f>
        <v>#N/A</v>
      </c>
    </row>
    <row r="20756" spans="3:3" x14ac:dyDescent="0.2">
      <c r="C20756" s="8" t="e">
        <f>VLOOKUP(A:A,'ITEM LIST'!A:C,3,0)</f>
        <v>#N/A</v>
      </c>
    </row>
    <row r="20757" spans="3:3" x14ac:dyDescent="0.2">
      <c r="C20757" s="8" t="e">
        <f>VLOOKUP(A:A,'ITEM LIST'!A:C,3,0)</f>
        <v>#N/A</v>
      </c>
    </row>
    <row r="20758" spans="3:3" x14ac:dyDescent="0.2">
      <c r="C20758" s="8" t="e">
        <f>VLOOKUP(A:A,'ITEM LIST'!A:C,3,0)</f>
        <v>#N/A</v>
      </c>
    </row>
    <row r="20759" spans="3:3" x14ac:dyDescent="0.2">
      <c r="C20759" s="8" t="e">
        <f>VLOOKUP(A:A,'ITEM LIST'!A:C,3,0)</f>
        <v>#N/A</v>
      </c>
    </row>
    <row r="20760" spans="3:3" x14ac:dyDescent="0.2">
      <c r="C20760" s="8" t="e">
        <f>VLOOKUP(A:A,'ITEM LIST'!A:C,3,0)</f>
        <v>#N/A</v>
      </c>
    </row>
    <row r="20761" spans="3:3" x14ac:dyDescent="0.2">
      <c r="C20761" s="8" t="e">
        <f>VLOOKUP(A:A,'ITEM LIST'!A:C,3,0)</f>
        <v>#N/A</v>
      </c>
    </row>
    <row r="20762" spans="3:3" x14ac:dyDescent="0.2">
      <c r="C20762" s="8" t="e">
        <f>VLOOKUP(A:A,'ITEM LIST'!A:C,3,0)</f>
        <v>#N/A</v>
      </c>
    </row>
    <row r="20763" spans="3:3" x14ac:dyDescent="0.2">
      <c r="C20763" s="8" t="e">
        <f>VLOOKUP(A:A,'ITEM LIST'!A:C,3,0)</f>
        <v>#N/A</v>
      </c>
    </row>
    <row r="20764" spans="3:3" x14ac:dyDescent="0.2">
      <c r="C20764" s="8" t="e">
        <f>VLOOKUP(A:A,'ITEM LIST'!A:C,3,0)</f>
        <v>#N/A</v>
      </c>
    </row>
    <row r="20765" spans="3:3" x14ac:dyDescent="0.2">
      <c r="C20765" s="8" t="e">
        <f>VLOOKUP(A:A,'ITEM LIST'!A:C,3,0)</f>
        <v>#N/A</v>
      </c>
    </row>
    <row r="20766" spans="3:3" x14ac:dyDescent="0.2">
      <c r="C20766" s="8" t="e">
        <f>VLOOKUP(A:A,'ITEM LIST'!A:C,3,0)</f>
        <v>#N/A</v>
      </c>
    </row>
    <row r="20767" spans="3:3" x14ac:dyDescent="0.2">
      <c r="C20767" s="8" t="e">
        <f>VLOOKUP(A:A,'ITEM LIST'!A:C,3,0)</f>
        <v>#N/A</v>
      </c>
    </row>
    <row r="20768" spans="3:3" x14ac:dyDescent="0.2">
      <c r="C20768" s="8" t="e">
        <f>VLOOKUP(A:A,'ITEM LIST'!A:C,3,0)</f>
        <v>#N/A</v>
      </c>
    </row>
    <row r="20769" spans="3:3" x14ac:dyDescent="0.2">
      <c r="C20769" s="8" t="e">
        <f>VLOOKUP(A:A,'ITEM LIST'!A:C,3,0)</f>
        <v>#N/A</v>
      </c>
    </row>
    <row r="20770" spans="3:3" x14ac:dyDescent="0.2">
      <c r="C20770" s="8" t="e">
        <f>VLOOKUP(A:A,'ITEM LIST'!A:C,3,0)</f>
        <v>#N/A</v>
      </c>
    </row>
    <row r="20771" spans="3:3" x14ac:dyDescent="0.2">
      <c r="C20771" s="8" t="e">
        <f>VLOOKUP(A:A,'ITEM LIST'!A:C,3,0)</f>
        <v>#N/A</v>
      </c>
    </row>
    <row r="20772" spans="3:3" x14ac:dyDescent="0.2">
      <c r="C20772" s="8" t="e">
        <f>VLOOKUP(A:A,'ITEM LIST'!A:C,3,0)</f>
        <v>#N/A</v>
      </c>
    </row>
    <row r="20773" spans="3:3" x14ac:dyDescent="0.2">
      <c r="C20773" s="8" t="e">
        <f>VLOOKUP(A:A,'ITEM LIST'!A:C,3,0)</f>
        <v>#N/A</v>
      </c>
    </row>
    <row r="20774" spans="3:3" x14ac:dyDescent="0.2">
      <c r="C20774" s="8" t="e">
        <f>VLOOKUP(A:A,'ITEM LIST'!A:C,3,0)</f>
        <v>#N/A</v>
      </c>
    </row>
    <row r="20775" spans="3:3" x14ac:dyDescent="0.2">
      <c r="C20775" s="8" t="e">
        <f>VLOOKUP(A:A,'ITEM LIST'!A:C,3,0)</f>
        <v>#N/A</v>
      </c>
    </row>
    <row r="20776" spans="3:3" x14ac:dyDescent="0.2">
      <c r="C20776" s="8" t="e">
        <f>VLOOKUP(A:A,'ITEM LIST'!A:C,3,0)</f>
        <v>#N/A</v>
      </c>
    </row>
    <row r="20777" spans="3:3" x14ac:dyDescent="0.2">
      <c r="C20777" s="8" t="e">
        <f>VLOOKUP(A:A,'ITEM LIST'!A:C,3,0)</f>
        <v>#N/A</v>
      </c>
    </row>
    <row r="20778" spans="3:3" x14ac:dyDescent="0.2">
      <c r="C20778" s="8" t="e">
        <f>VLOOKUP(A:A,'ITEM LIST'!A:C,3,0)</f>
        <v>#N/A</v>
      </c>
    </row>
    <row r="20779" spans="3:3" x14ac:dyDescent="0.2">
      <c r="C20779" s="8" t="e">
        <f>VLOOKUP(A:A,'ITEM LIST'!A:C,3,0)</f>
        <v>#N/A</v>
      </c>
    </row>
    <row r="20780" spans="3:3" x14ac:dyDescent="0.2">
      <c r="C20780" s="8" t="e">
        <f>VLOOKUP(A:A,'ITEM LIST'!A:C,3,0)</f>
        <v>#N/A</v>
      </c>
    </row>
    <row r="20781" spans="3:3" x14ac:dyDescent="0.2">
      <c r="C20781" s="8" t="e">
        <f>VLOOKUP(A:A,'ITEM LIST'!A:C,3,0)</f>
        <v>#N/A</v>
      </c>
    </row>
    <row r="20782" spans="3:3" x14ac:dyDescent="0.2">
      <c r="C20782" s="8" t="e">
        <f>VLOOKUP(A:A,'ITEM LIST'!A:C,3,0)</f>
        <v>#N/A</v>
      </c>
    </row>
    <row r="20783" spans="3:3" x14ac:dyDescent="0.2">
      <c r="C20783" s="8" t="e">
        <f>VLOOKUP(A:A,'ITEM LIST'!A:C,3,0)</f>
        <v>#N/A</v>
      </c>
    </row>
    <row r="20784" spans="3:3" x14ac:dyDescent="0.2">
      <c r="C20784" s="8" t="e">
        <f>VLOOKUP(A:A,'ITEM LIST'!A:C,3,0)</f>
        <v>#N/A</v>
      </c>
    </row>
    <row r="20785" spans="3:3" x14ac:dyDescent="0.2">
      <c r="C20785" s="8" t="e">
        <f>VLOOKUP(A:A,'ITEM LIST'!A:C,3,0)</f>
        <v>#N/A</v>
      </c>
    </row>
    <row r="20786" spans="3:3" x14ac:dyDescent="0.2">
      <c r="C20786" s="8" t="e">
        <f>VLOOKUP(A:A,'ITEM LIST'!A:C,3,0)</f>
        <v>#N/A</v>
      </c>
    </row>
    <row r="20787" spans="3:3" x14ac:dyDescent="0.2">
      <c r="C20787" s="8" t="e">
        <f>VLOOKUP(A:A,'ITEM LIST'!A:C,3,0)</f>
        <v>#N/A</v>
      </c>
    </row>
    <row r="20788" spans="3:3" x14ac:dyDescent="0.2">
      <c r="C20788" s="8" t="e">
        <f>VLOOKUP(A:A,'ITEM LIST'!A:C,3,0)</f>
        <v>#N/A</v>
      </c>
    </row>
    <row r="20789" spans="3:3" x14ac:dyDescent="0.2">
      <c r="C20789" s="8" t="e">
        <f>VLOOKUP(A:A,'ITEM LIST'!A:C,3,0)</f>
        <v>#N/A</v>
      </c>
    </row>
    <row r="20790" spans="3:3" x14ac:dyDescent="0.2">
      <c r="C20790" s="8" t="e">
        <f>VLOOKUP(A:A,'ITEM LIST'!A:C,3,0)</f>
        <v>#N/A</v>
      </c>
    </row>
    <row r="20791" spans="3:3" x14ac:dyDescent="0.2">
      <c r="C20791" s="8" t="e">
        <f>VLOOKUP(A:A,'ITEM LIST'!A:C,3,0)</f>
        <v>#N/A</v>
      </c>
    </row>
    <row r="20792" spans="3:3" x14ac:dyDescent="0.2">
      <c r="C20792" s="8" t="e">
        <f>VLOOKUP(A:A,'ITEM LIST'!A:C,3,0)</f>
        <v>#N/A</v>
      </c>
    </row>
    <row r="20793" spans="3:3" x14ac:dyDescent="0.2">
      <c r="C20793" s="8" t="e">
        <f>VLOOKUP(A:A,'ITEM LIST'!A:C,3,0)</f>
        <v>#N/A</v>
      </c>
    </row>
    <row r="20794" spans="3:3" x14ac:dyDescent="0.2">
      <c r="C20794" s="8" t="e">
        <f>VLOOKUP(A:A,'ITEM LIST'!A:C,3,0)</f>
        <v>#N/A</v>
      </c>
    </row>
    <row r="20795" spans="3:3" x14ac:dyDescent="0.2">
      <c r="C20795" s="8" t="e">
        <f>VLOOKUP(A:A,'ITEM LIST'!A:C,3,0)</f>
        <v>#N/A</v>
      </c>
    </row>
    <row r="20796" spans="3:3" x14ac:dyDescent="0.2">
      <c r="C20796" s="8" t="e">
        <f>VLOOKUP(A:A,'ITEM LIST'!A:C,3,0)</f>
        <v>#N/A</v>
      </c>
    </row>
    <row r="20797" spans="3:3" x14ac:dyDescent="0.2">
      <c r="C20797" s="8" t="e">
        <f>VLOOKUP(A:A,'ITEM LIST'!A:C,3,0)</f>
        <v>#N/A</v>
      </c>
    </row>
    <row r="20798" spans="3:3" x14ac:dyDescent="0.2">
      <c r="C20798" s="8" t="e">
        <f>VLOOKUP(A:A,'ITEM LIST'!A:C,3,0)</f>
        <v>#N/A</v>
      </c>
    </row>
    <row r="20799" spans="3:3" x14ac:dyDescent="0.2">
      <c r="C20799" s="8" t="e">
        <f>VLOOKUP(A:A,'ITEM LIST'!A:C,3,0)</f>
        <v>#N/A</v>
      </c>
    </row>
    <row r="20800" spans="3:3" x14ac:dyDescent="0.2">
      <c r="C20800" s="8" t="e">
        <f>VLOOKUP(A:A,'ITEM LIST'!A:C,3,0)</f>
        <v>#N/A</v>
      </c>
    </row>
    <row r="20801" spans="3:3" x14ac:dyDescent="0.2">
      <c r="C20801" s="8" t="e">
        <f>VLOOKUP(A:A,'ITEM LIST'!A:C,3,0)</f>
        <v>#N/A</v>
      </c>
    </row>
    <row r="20802" spans="3:3" x14ac:dyDescent="0.2">
      <c r="C20802" s="8" t="e">
        <f>VLOOKUP(A:A,'ITEM LIST'!A:C,3,0)</f>
        <v>#N/A</v>
      </c>
    </row>
    <row r="20803" spans="3:3" x14ac:dyDescent="0.2">
      <c r="C20803" s="8" t="e">
        <f>VLOOKUP(A:A,'ITEM LIST'!A:C,3,0)</f>
        <v>#N/A</v>
      </c>
    </row>
    <row r="20804" spans="3:3" x14ac:dyDescent="0.2">
      <c r="C20804" s="8" t="e">
        <f>VLOOKUP(A:A,'ITEM LIST'!A:C,3,0)</f>
        <v>#N/A</v>
      </c>
    </row>
    <row r="20805" spans="3:3" x14ac:dyDescent="0.2">
      <c r="C20805" s="8" t="e">
        <f>VLOOKUP(A:A,'ITEM LIST'!A:C,3,0)</f>
        <v>#N/A</v>
      </c>
    </row>
    <row r="20806" spans="3:3" x14ac:dyDescent="0.2">
      <c r="C20806" s="8" t="e">
        <f>VLOOKUP(A:A,'ITEM LIST'!A:C,3,0)</f>
        <v>#N/A</v>
      </c>
    </row>
    <row r="20807" spans="3:3" x14ac:dyDescent="0.2">
      <c r="C20807" s="8" t="e">
        <f>VLOOKUP(A:A,'ITEM LIST'!A:C,3,0)</f>
        <v>#N/A</v>
      </c>
    </row>
    <row r="20808" spans="3:3" x14ac:dyDescent="0.2">
      <c r="C20808" s="8" t="e">
        <f>VLOOKUP(A:A,'ITEM LIST'!A:C,3,0)</f>
        <v>#N/A</v>
      </c>
    </row>
    <row r="20809" spans="3:3" x14ac:dyDescent="0.2">
      <c r="C20809" s="8" t="e">
        <f>VLOOKUP(A:A,'ITEM LIST'!A:C,3,0)</f>
        <v>#N/A</v>
      </c>
    </row>
    <row r="20810" spans="3:3" x14ac:dyDescent="0.2">
      <c r="C20810" s="8" t="e">
        <f>VLOOKUP(A:A,'ITEM LIST'!A:C,3,0)</f>
        <v>#N/A</v>
      </c>
    </row>
    <row r="20811" spans="3:3" x14ac:dyDescent="0.2">
      <c r="C20811" s="8" t="e">
        <f>VLOOKUP(A:A,'ITEM LIST'!A:C,3,0)</f>
        <v>#N/A</v>
      </c>
    </row>
    <row r="20812" spans="3:3" x14ac:dyDescent="0.2">
      <c r="C20812" s="8" t="e">
        <f>VLOOKUP(A:A,'ITEM LIST'!A:C,3,0)</f>
        <v>#N/A</v>
      </c>
    </row>
    <row r="20813" spans="3:3" x14ac:dyDescent="0.2">
      <c r="C20813" s="8" t="e">
        <f>VLOOKUP(A:A,'ITEM LIST'!A:C,3,0)</f>
        <v>#N/A</v>
      </c>
    </row>
    <row r="20814" spans="3:3" x14ac:dyDescent="0.2">
      <c r="C20814" s="8" t="e">
        <f>VLOOKUP(A:A,'ITEM LIST'!A:C,3,0)</f>
        <v>#N/A</v>
      </c>
    </row>
    <row r="20815" spans="3:3" x14ac:dyDescent="0.2">
      <c r="C20815" s="8" t="e">
        <f>VLOOKUP(A:A,'ITEM LIST'!A:C,3,0)</f>
        <v>#N/A</v>
      </c>
    </row>
    <row r="20816" spans="3:3" x14ac:dyDescent="0.2">
      <c r="C20816" s="8" t="e">
        <f>VLOOKUP(A:A,'ITEM LIST'!A:C,3,0)</f>
        <v>#N/A</v>
      </c>
    </row>
    <row r="20817" spans="3:3" x14ac:dyDescent="0.2">
      <c r="C20817" s="8" t="e">
        <f>VLOOKUP(A:A,'ITEM LIST'!A:C,3,0)</f>
        <v>#N/A</v>
      </c>
    </row>
    <row r="20818" spans="3:3" x14ac:dyDescent="0.2">
      <c r="C20818" s="8" t="e">
        <f>VLOOKUP(A:A,'ITEM LIST'!A:C,3,0)</f>
        <v>#N/A</v>
      </c>
    </row>
    <row r="20819" spans="3:3" x14ac:dyDescent="0.2">
      <c r="C20819" s="8" t="e">
        <f>VLOOKUP(A:A,'ITEM LIST'!A:C,3,0)</f>
        <v>#N/A</v>
      </c>
    </row>
    <row r="20820" spans="3:3" x14ac:dyDescent="0.2">
      <c r="C20820" s="8" t="e">
        <f>VLOOKUP(A:A,'ITEM LIST'!A:C,3,0)</f>
        <v>#N/A</v>
      </c>
    </row>
    <row r="20821" spans="3:3" x14ac:dyDescent="0.2">
      <c r="C20821" s="8" t="e">
        <f>VLOOKUP(A:A,'ITEM LIST'!A:C,3,0)</f>
        <v>#N/A</v>
      </c>
    </row>
    <row r="20822" spans="3:3" x14ac:dyDescent="0.2">
      <c r="C20822" s="8" t="e">
        <f>VLOOKUP(A:A,'ITEM LIST'!A:C,3,0)</f>
        <v>#N/A</v>
      </c>
    </row>
    <row r="20823" spans="3:3" x14ac:dyDescent="0.2">
      <c r="C20823" s="8" t="e">
        <f>VLOOKUP(A:A,'ITEM LIST'!A:C,3,0)</f>
        <v>#N/A</v>
      </c>
    </row>
    <row r="20824" spans="3:3" x14ac:dyDescent="0.2">
      <c r="C20824" s="8" t="e">
        <f>VLOOKUP(A:A,'ITEM LIST'!A:C,3,0)</f>
        <v>#N/A</v>
      </c>
    </row>
    <row r="20825" spans="3:3" x14ac:dyDescent="0.2">
      <c r="C20825" s="8" t="e">
        <f>VLOOKUP(A:A,'ITEM LIST'!A:C,3,0)</f>
        <v>#N/A</v>
      </c>
    </row>
    <row r="20826" spans="3:3" x14ac:dyDescent="0.2">
      <c r="C20826" s="8" t="e">
        <f>VLOOKUP(A:A,'ITEM LIST'!A:C,3,0)</f>
        <v>#N/A</v>
      </c>
    </row>
    <row r="20827" spans="3:3" x14ac:dyDescent="0.2">
      <c r="C20827" s="8" t="e">
        <f>VLOOKUP(A:A,'ITEM LIST'!A:C,3,0)</f>
        <v>#N/A</v>
      </c>
    </row>
    <row r="20828" spans="3:3" x14ac:dyDescent="0.2">
      <c r="C20828" s="8" t="e">
        <f>VLOOKUP(A:A,'ITEM LIST'!A:C,3,0)</f>
        <v>#N/A</v>
      </c>
    </row>
    <row r="20829" spans="3:3" x14ac:dyDescent="0.2">
      <c r="C20829" s="8" t="e">
        <f>VLOOKUP(A:A,'ITEM LIST'!A:C,3,0)</f>
        <v>#N/A</v>
      </c>
    </row>
    <row r="20830" spans="3:3" x14ac:dyDescent="0.2">
      <c r="C20830" s="8" t="e">
        <f>VLOOKUP(A:A,'ITEM LIST'!A:C,3,0)</f>
        <v>#N/A</v>
      </c>
    </row>
    <row r="20831" spans="3:3" x14ac:dyDescent="0.2">
      <c r="C20831" s="8" t="e">
        <f>VLOOKUP(A:A,'ITEM LIST'!A:C,3,0)</f>
        <v>#N/A</v>
      </c>
    </row>
    <row r="20832" spans="3:3" x14ac:dyDescent="0.2">
      <c r="C20832" s="8" t="e">
        <f>VLOOKUP(A:A,'ITEM LIST'!A:C,3,0)</f>
        <v>#N/A</v>
      </c>
    </row>
    <row r="20833" spans="3:3" x14ac:dyDescent="0.2">
      <c r="C20833" s="8" t="e">
        <f>VLOOKUP(A:A,'ITEM LIST'!A:C,3,0)</f>
        <v>#N/A</v>
      </c>
    </row>
    <row r="20834" spans="3:3" x14ac:dyDescent="0.2">
      <c r="C20834" s="8" t="e">
        <f>VLOOKUP(A:A,'ITEM LIST'!A:C,3,0)</f>
        <v>#N/A</v>
      </c>
    </row>
    <row r="20835" spans="3:3" x14ac:dyDescent="0.2">
      <c r="C20835" s="8" t="e">
        <f>VLOOKUP(A:A,'ITEM LIST'!A:C,3,0)</f>
        <v>#N/A</v>
      </c>
    </row>
    <row r="20836" spans="3:3" x14ac:dyDescent="0.2">
      <c r="C20836" s="8" t="e">
        <f>VLOOKUP(A:A,'ITEM LIST'!A:C,3,0)</f>
        <v>#N/A</v>
      </c>
    </row>
    <row r="20837" spans="3:3" x14ac:dyDescent="0.2">
      <c r="C20837" s="8" t="e">
        <f>VLOOKUP(A:A,'ITEM LIST'!A:C,3,0)</f>
        <v>#N/A</v>
      </c>
    </row>
    <row r="20838" spans="3:3" x14ac:dyDescent="0.2">
      <c r="C20838" s="8" t="e">
        <f>VLOOKUP(A:A,'ITEM LIST'!A:C,3,0)</f>
        <v>#N/A</v>
      </c>
    </row>
    <row r="20839" spans="3:3" x14ac:dyDescent="0.2">
      <c r="C20839" s="8" t="e">
        <f>VLOOKUP(A:A,'ITEM LIST'!A:C,3,0)</f>
        <v>#N/A</v>
      </c>
    </row>
    <row r="20840" spans="3:3" x14ac:dyDescent="0.2">
      <c r="C20840" s="8" t="e">
        <f>VLOOKUP(A:A,'ITEM LIST'!A:C,3,0)</f>
        <v>#N/A</v>
      </c>
    </row>
    <row r="20841" spans="3:3" x14ac:dyDescent="0.2">
      <c r="C20841" s="8" t="e">
        <f>VLOOKUP(A:A,'ITEM LIST'!A:C,3,0)</f>
        <v>#N/A</v>
      </c>
    </row>
    <row r="20842" spans="3:3" x14ac:dyDescent="0.2">
      <c r="C20842" s="8" t="e">
        <f>VLOOKUP(A:A,'ITEM LIST'!A:C,3,0)</f>
        <v>#N/A</v>
      </c>
    </row>
    <row r="20843" spans="3:3" x14ac:dyDescent="0.2">
      <c r="C20843" s="8" t="e">
        <f>VLOOKUP(A:A,'ITEM LIST'!A:C,3,0)</f>
        <v>#N/A</v>
      </c>
    </row>
    <row r="20844" spans="3:3" x14ac:dyDescent="0.2">
      <c r="C20844" s="8" t="e">
        <f>VLOOKUP(A:A,'ITEM LIST'!A:C,3,0)</f>
        <v>#N/A</v>
      </c>
    </row>
    <row r="20845" spans="3:3" x14ac:dyDescent="0.2">
      <c r="C20845" s="8" t="e">
        <f>VLOOKUP(A:A,'ITEM LIST'!A:C,3,0)</f>
        <v>#N/A</v>
      </c>
    </row>
    <row r="20846" spans="3:3" x14ac:dyDescent="0.2">
      <c r="C20846" s="8" t="e">
        <f>VLOOKUP(A:A,'ITEM LIST'!A:C,3,0)</f>
        <v>#N/A</v>
      </c>
    </row>
    <row r="20847" spans="3:3" x14ac:dyDescent="0.2">
      <c r="C20847" s="8" t="e">
        <f>VLOOKUP(A:A,'ITEM LIST'!A:C,3,0)</f>
        <v>#N/A</v>
      </c>
    </row>
    <row r="20848" spans="3:3" x14ac:dyDescent="0.2">
      <c r="C20848" s="8" t="e">
        <f>VLOOKUP(A:A,'ITEM LIST'!A:C,3,0)</f>
        <v>#N/A</v>
      </c>
    </row>
    <row r="20849" spans="3:3" x14ac:dyDescent="0.2">
      <c r="C20849" s="8" t="e">
        <f>VLOOKUP(A:A,'ITEM LIST'!A:C,3,0)</f>
        <v>#N/A</v>
      </c>
    </row>
    <row r="20850" spans="3:3" x14ac:dyDescent="0.2">
      <c r="C20850" s="8" t="e">
        <f>VLOOKUP(A:A,'ITEM LIST'!A:C,3,0)</f>
        <v>#N/A</v>
      </c>
    </row>
    <row r="20851" spans="3:3" x14ac:dyDescent="0.2">
      <c r="C20851" s="8" t="e">
        <f>VLOOKUP(A:A,'ITEM LIST'!A:C,3,0)</f>
        <v>#N/A</v>
      </c>
    </row>
    <row r="20852" spans="3:3" x14ac:dyDescent="0.2">
      <c r="C20852" s="8" t="e">
        <f>VLOOKUP(A:A,'ITEM LIST'!A:C,3,0)</f>
        <v>#N/A</v>
      </c>
    </row>
    <row r="20853" spans="3:3" x14ac:dyDescent="0.2">
      <c r="C20853" s="8" t="e">
        <f>VLOOKUP(A:A,'ITEM LIST'!A:C,3,0)</f>
        <v>#N/A</v>
      </c>
    </row>
    <row r="20854" spans="3:3" x14ac:dyDescent="0.2">
      <c r="C20854" s="8" t="e">
        <f>VLOOKUP(A:A,'ITEM LIST'!A:C,3,0)</f>
        <v>#N/A</v>
      </c>
    </row>
    <row r="20855" spans="3:3" x14ac:dyDescent="0.2">
      <c r="C20855" s="8" t="e">
        <f>VLOOKUP(A:A,'ITEM LIST'!A:C,3,0)</f>
        <v>#N/A</v>
      </c>
    </row>
    <row r="20856" spans="3:3" x14ac:dyDescent="0.2">
      <c r="C20856" s="8" t="e">
        <f>VLOOKUP(A:A,'ITEM LIST'!A:C,3,0)</f>
        <v>#N/A</v>
      </c>
    </row>
    <row r="20857" spans="3:3" x14ac:dyDescent="0.2">
      <c r="C20857" s="8" t="e">
        <f>VLOOKUP(A:A,'ITEM LIST'!A:C,3,0)</f>
        <v>#N/A</v>
      </c>
    </row>
    <row r="20858" spans="3:3" x14ac:dyDescent="0.2">
      <c r="C20858" s="8" t="e">
        <f>VLOOKUP(A:A,'ITEM LIST'!A:C,3,0)</f>
        <v>#N/A</v>
      </c>
    </row>
    <row r="20859" spans="3:3" x14ac:dyDescent="0.2">
      <c r="C20859" s="8" t="e">
        <f>VLOOKUP(A:A,'ITEM LIST'!A:C,3,0)</f>
        <v>#N/A</v>
      </c>
    </row>
    <row r="20860" spans="3:3" x14ac:dyDescent="0.2">
      <c r="C20860" s="8" t="e">
        <f>VLOOKUP(A:A,'ITEM LIST'!A:C,3,0)</f>
        <v>#N/A</v>
      </c>
    </row>
    <row r="20861" spans="3:3" x14ac:dyDescent="0.2">
      <c r="C20861" s="8" t="e">
        <f>VLOOKUP(A:A,'ITEM LIST'!A:C,3,0)</f>
        <v>#N/A</v>
      </c>
    </row>
    <row r="20862" spans="3:3" x14ac:dyDescent="0.2">
      <c r="C20862" s="8" t="e">
        <f>VLOOKUP(A:A,'ITEM LIST'!A:C,3,0)</f>
        <v>#N/A</v>
      </c>
    </row>
    <row r="20863" spans="3:3" x14ac:dyDescent="0.2">
      <c r="C20863" s="8" t="e">
        <f>VLOOKUP(A:A,'ITEM LIST'!A:C,3,0)</f>
        <v>#N/A</v>
      </c>
    </row>
    <row r="20864" spans="3:3" x14ac:dyDescent="0.2">
      <c r="C20864" s="8" t="e">
        <f>VLOOKUP(A:A,'ITEM LIST'!A:C,3,0)</f>
        <v>#N/A</v>
      </c>
    </row>
    <row r="20865" spans="3:3" x14ac:dyDescent="0.2">
      <c r="C20865" s="8" t="e">
        <f>VLOOKUP(A:A,'ITEM LIST'!A:C,3,0)</f>
        <v>#N/A</v>
      </c>
    </row>
    <row r="20866" spans="3:3" x14ac:dyDescent="0.2">
      <c r="C20866" s="8" t="e">
        <f>VLOOKUP(A:A,'ITEM LIST'!A:C,3,0)</f>
        <v>#N/A</v>
      </c>
    </row>
    <row r="20867" spans="3:3" x14ac:dyDescent="0.2">
      <c r="C20867" s="8" t="e">
        <f>VLOOKUP(A:A,'ITEM LIST'!A:C,3,0)</f>
        <v>#N/A</v>
      </c>
    </row>
    <row r="20868" spans="3:3" x14ac:dyDescent="0.2">
      <c r="C20868" s="8" t="e">
        <f>VLOOKUP(A:A,'ITEM LIST'!A:C,3,0)</f>
        <v>#N/A</v>
      </c>
    </row>
    <row r="20869" spans="3:3" x14ac:dyDescent="0.2">
      <c r="C20869" s="8" t="e">
        <f>VLOOKUP(A:A,'ITEM LIST'!A:C,3,0)</f>
        <v>#N/A</v>
      </c>
    </row>
    <row r="20870" spans="3:3" x14ac:dyDescent="0.2">
      <c r="C20870" s="8" t="e">
        <f>VLOOKUP(A:A,'ITEM LIST'!A:C,3,0)</f>
        <v>#N/A</v>
      </c>
    </row>
    <row r="20871" spans="3:3" x14ac:dyDescent="0.2">
      <c r="C20871" s="8" t="e">
        <f>VLOOKUP(A:A,'ITEM LIST'!A:C,3,0)</f>
        <v>#N/A</v>
      </c>
    </row>
    <row r="20872" spans="3:3" x14ac:dyDescent="0.2">
      <c r="C20872" s="8" t="e">
        <f>VLOOKUP(A:A,'ITEM LIST'!A:C,3,0)</f>
        <v>#N/A</v>
      </c>
    </row>
    <row r="20873" spans="3:3" x14ac:dyDescent="0.2">
      <c r="C20873" s="8" t="e">
        <f>VLOOKUP(A:A,'ITEM LIST'!A:C,3,0)</f>
        <v>#N/A</v>
      </c>
    </row>
    <row r="20874" spans="3:3" x14ac:dyDescent="0.2">
      <c r="C20874" s="8" t="e">
        <f>VLOOKUP(A:A,'ITEM LIST'!A:C,3,0)</f>
        <v>#N/A</v>
      </c>
    </row>
    <row r="20875" spans="3:3" x14ac:dyDescent="0.2">
      <c r="C20875" s="8" t="e">
        <f>VLOOKUP(A:A,'ITEM LIST'!A:C,3,0)</f>
        <v>#N/A</v>
      </c>
    </row>
    <row r="20876" spans="3:3" x14ac:dyDescent="0.2">
      <c r="C20876" s="8" t="e">
        <f>VLOOKUP(A:A,'ITEM LIST'!A:C,3,0)</f>
        <v>#N/A</v>
      </c>
    </row>
    <row r="20877" spans="3:3" x14ac:dyDescent="0.2">
      <c r="C20877" s="8" t="e">
        <f>VLOOKUP(A:A,'ITEM LIST'!A:C,3,0)</f>
        <v>#N/A</v>
      </c>
    </row>
    <row r="20878" spans="3:3" x14ac:dyDescent="0.2">
      <c r="C20878" s="8" t="e">
        <f>VLOOKUP(A:A,'ITEM LIST'!A:C,3,0)</f>
        <v>#N/A</v>
      </c>
    </row>
    <row r="20879" spans="3:3" x14ac:dyDescent="0.2">
      <c r="C20879" s="8" t="e">
        <f>VLOOKUP(A:A,'ITEM LIST'!A:C,3,0)</f>
        <v>#N/A</v>
      </c>
    </row>
    <row r="20880" spans="3:3" x14ac:dyDescent="0.2">
      <c r="C20880" s="8" t="e">
        <f>VLOOKUP(A:A,'ITEM LIST'!A:C,3,0)</f>
        <v>#N/A</v>
      </c>
    </row>
    <row r="20881" spans="3:3" x14ac:dyDescent="0.2">
      <c r="C20881" s="8" t="e">
        <f>VLOOKUP(A:A,'ITEM LIST'!A:C,3,0)</f>
        <v>#N/A</v>
      </c>
    </row>
    <row r="20882" spans="3:3" x14ac:dyDescent="0.2">
      <c r="C20882" s="8" t="e">
        <f>VLOOKUP(A:A,'ITEM LIST'!A:C,3,0)</f>
        <v>#N/A</v>
      </c>
    </row>
    <row r="20883" spans="3:3" x14ac:dyDescent="0.2">
      <c r="C20883" s="8" t="e">
        <f>VLOOKUP(A:A,'ITEM LIST'!A:C,3,0)</f>
        <v>#N/A</v>
      </c>
    </row>
    <row r="20884" spans="3:3" x14ac:dyDescent="0.2">
      <c r="C20884" s="8" t="e">
        <f>VLOOKUP(A:A,'ITEM LIST'!A:C,3,0)</f>
        <v>#N/A</v>
      </c>
    </row>
    <row r="20885" spans="3:3" x14ac:dyDescent="0.2">
      <c r="C20885" s="8" t="e">
        <f>VLOOKUP(A:A,'ITEM LIST'!A:C,3,0)</f>
        <v>#N/A</v>
      </c>
    </row>
    <row r="20886" spans="3:3" x14ac:dyDescent="0.2">
      <c r="C20886" s="8" t="e">
        <f>VLOOKUP(A:A,'ITEM LIST'!A:C,3,0)</f>
        <v>#N/A</v>
      </c>
    </row>
    <row r="20887" spans="3:3" x14ac:dyDescent="0.2">
      <c r="C20887" s="8" t="e">
        <f>VLOOKUP(A:A,'ITEM LIST'!A:C,3,0)</f>
        <v>#N/A</v>
      </c>
    </row>
    <row r="20888" spans="3:3" x14ac:dyDescent="0.2">
      <c r="C20888" s="8" t="e">
        <f>VLOOKUP(A:A,'ITEM LIST'!A:C,3,0)</f>
        <v>#N/A</v>
      </c>
    </row>
    <row r="20889" spans="3:3" x14ac:dyDescent="0.2">
      <c r="C20889" s="8" t="e">
        <f>VLOOKUP(A:A,'ITEM LIST'!A:C,3,0)</f>
        <v>#N/A</v>
      </c>
    </row>
    <row r="20890" spans="3:3" x14ac:dyDescent="0.2">
      <c r="C20890" s="8" t="e">
        <f>VLOOKUP(A:A,'ITEM LIST'!A:C,3,0)</f>
        <v>#N/A</v>
      </c>
    </row>
    <row r="20891" spans="3:3" x14ac:dyDescent="0.2">
      <c r="C20891" s="8" t="e">
        <f>VLOOKUP(A:A,'ITEM LIST'!A:C,3,0)</f>
        <v>#N/A</v>
      </c>
    </row>
    <row r="20892" spans="3:3" x14ac:dyDescent="0.2">
      <c r="C20892" s="8" t="e">
        <f>VLOOKUP(A:A,'ITEM LIST'!A:C,3,0)</f>
        <v>#N/A</v>
      </c>
    </row>
    <row r="20893" spans="3:3" x14ac:dyDescent="0.2">
      <c r="C20893" s="8" t="e">
        <f>VLOOKUP(A:A,'ITEM LIST'!A:C,3,0)</f>
        <v>#N/A</v>
      </c>
    </row>
    <row r="20894" spans="3:3" x14ac:dyDescent="0.2">
      <c r="C20894" s="8" t="e">
        <f>VLOOKUP(A:A,'ITEM LIST'!A:C,3,0)</f>
        <v>#N/A</v>
      </c>
    </row>
    <row r="20895" spans="3:3" x14ac:dyDescent="0.2">
      <c r="C20895" s="8" t="e">
        <f>VLOOKUP(A:A,'ITEM LIST'!A:C,3,0)</f>
        <v>#N/A</v>
      </c>
    </row>
    <row r="20896" spans="3:3" x14ac:dyDescent="0.2">
      <c r="C20896" s="8" t="e">
        <f>VLOOKUP(A:A,'ITEM LIST'!A:C,3,0)</f>
        <v>#N/A</v>
      </c>
    </row>
    <row r="20897" spans="3:3" x14ac:dyDescent="0.2">
      <c r="C20897" s="8" t="e">
        <f>VLOOKUP(A:A,'ITEM LIST'!A:C,3,0)</f>
        <v>#N/A</v>
      </c>
    </row>
    <row r="20898" spans="3:3" x14ac:dyDescent="0.2">
      <c r="C20898" s="8" t="e">
        <f>VLOOKUP(A:A,'ITEM LIST'!A:C,3,0)</f>
        <v>#N/A</v>
      </c>
    </row>
    <row r="20899" spans="3:3" x14ac:dyDescent="0.2">
      <c r="C20899" s="8" t="e">
        <f>VLOOKUP(A:A,'ITEM LIST'!A:C,3,0)</f>
        <v>#N/A</v>
      </c>
    </row>
    <row r="20900" spans="3:3" x14ac:dyDescent="0.2">
      <c r="C20900" s="8" t="e">
        <f>VLOOKUP(A:A,'ITEM LIST'!A:C,3,0)</f>
        <v>#N/A</v>
      </c>
    </row>
    <row r="20901" spans="3:3" x14ac:dyDescent="0.2">
      <c r="C20901" s="8" t="e">
        <f>VLOOKUP(A:A,'ITEM LIST'!A:C,3,0)</f>
        <v>#N/A</v>
      </c>
    </row>
    <row r="20902" spans="3:3" x14ac:dyDescent="0.2">
      <c r="C20902" s="8" t="e">
        <f>VLOOKUP(A:A,'ITEM LIST'!A:C,3,0)</f>
        <v>#N/A</v>
      </c>
    </row>
    <row r="20903" spans="3:3" x14ac:dyDescent="0.2">
      <c r="C20903" s="8" t="e">
        <f>VLOOKUP(A:A,'ITEM LIST'!A:C,3,0)</f>
        <v>#N/A</v>
      </c>
    </row>
    <row r="20904" spans="3:3" x14ac:dyDescent="0.2">
      <c r="C20904" s="8" t="e">
        <f>VLOOKUP(A:A,'ITEM LIST'!A:C,3,0)</f>
        <v>#N/A</v>
      </c>
    </row>
    <row r="20905" spans="3:3" x14ac:dyDescent="0.2">
      <c r="C20905" s="8" t="e">
        <f>VLOOKUP(A:A,'ITEM LIST'!A:C,3,0)</f>
        <v>#N/A</v>
      </c>
    </row>
    <row r="20906" spans="3:3" x14ac:dyDescent="0.2">
      <c r="C20906" s="8" t="e">
        <f>VLOOKUP(A:A,'ITEM LIST'!A:C,3,0)</f>
        <v>#N/A</v>
      </c>
    </row>
    <row r="20907" spans="3:3" x14ac:dyDescent="0.2">
      <c r="C20907" s="8" t="e">
        <f>VLOOKUP(A:A,'ITEM LIST'!A:C,3,0)</f>
        <v>#N/A</v>
      </c>
    </row>
    <row r="20908" spans="3:3" x14ac:dyDescent="0.2">
      <c r="C20908" s="8" t="e">
        <f>VLOOKUP(A:A,'ITEM LIST'!A:C,3,0)</f>
        <v>#N/A</v>
      </c>
    </row>
    <row r="20909" spans="3:3" x14ac:dyDescent="0.2">
      <c r="C20909" s="8" t="e">
        <f>VLOOKUP(A:A,'ITEM LIST'!A:C,3,0)</f>
        <v>#N/A</v>
      </c>
    </row>
    <row r="20910" spans="3:3" x14ac:dyDescent="0.2">
      <c r="C20910" s="8" t="e">
        <f>VLOOKUP(A:A,'ITEM LIST'!A:C,3,0)</f>
        <v>#N/A</v>
      </c>
    </row>
    <row r="20911" spans="3:3" x14ac:dyDescent="0.2">
      <c r="C20911" s="8" t="e">
        <f>VLOOKUP(A:A,'ITEM LIST'!A:C,3,0)</f>
        <v>#N/A</v>
      </c>
    </row>
    <row r="20912" spans="3:3" x14ac:dyDescent="0.2">
      <c r="C20912" s="8" t="e">
        <f>VLOOKUP(A:A,'ITEM LIST'!A:C,3,0)</f>
        <v>#N/A</v>
      </c>
    </row>
    <row r="20913" spans="3:3" x14ac:dyDescent="0.2">
      <c r="C20913" s="8" t="e">
        <f>VLOOKUP(A:A,'ITEM LIST'!A:C,3,0)</f>
        <v>#N/A</v>
      </c>
    </row>
    <row r="20914" spans="3:3" x14ac:dyDescent="0.2">
      <c r="C20914" s="8" t="e">
        <f>VLOOKUP(A:A,'ITEM LIST'!A:C,3,0)</f>
        <v>#N/A</v>
      </c>
    </row>
    <row r="20915" spans="3:3" x14ac:dyDescent="0.2">
      <c r="C20915" s="8" t="e">
        <f>VLOOKUP(A:A,'ITEM LIST'!A:C,3,0)</f>
        <v>#N/A</v>
      </c>
    </row>
    <row r="20916" spans="3:3" x14ac:dyDescent="0.2">
      <c r="C20916" s="8" t="e">
        <f>VLOOKUP(A:A,'ITEM LIST'!A:C,3,0)</f>
        <v>#N/A</v>
      </c>
    </row>
    <row r="20917" spans="3:3" x14ac:dyDescent="0.2">
      <c r="C20917" s="8" t="e">
        <f>VLOOKUP(A:A,'ITEM LIST'!A:C,3,0)</f>
        <v>#N/A</v>
      </c>
    </row>
    <row r="20918" spans="3:3" x14ac:dyDescent="0.2">
      <c r="C20918" s="8" t="e">
        <f>VLOOKUP(A:A,'ITEM LIST'!A:C,3,0)</f>
        <v>#N/A</v>
      </c>
    </row>
    <row r="20919" spans="3:3" x14ac:dyDescent="0.2">
      <c r="C20919" s="8" t="e">
        <f>VLOOKUP(A:A,'ITEM LIST'!A:C,3,0)</f>
        <v>#N/A</v>
      </c>
    </row>
    <row r="20920" spans="3:3" x14ac:dyDescent="0.2">
      <c r="C20920" s="8" t="e">
        <f>VLOOKUP(A:A,'ITEM LIST'!A:C,3,0)</f>
        <v>#N/A</v>
      </c>
    </row>
    <row r="20921" spans="3:3" x14ac:dyDescent="0.2">
      <c r="C20921" s="8" t="e">
        <f>VLOOKUP(A:A,'ITEM LIST'!A:C,3,0)</f>
        <v>#N/A</v>
      </c>
    </row>
    <row r="20922" spans="3:3" x14ac:dyDescent="0.2">
      <c r="C20922" s="8" t="e">
        <f>VLOOKUP(A:A,'ITEM LIST'!A:C,3,0)</f>
        <v>#N/A</v>
      </c>
    </row>
    <row r="20923" spans="3:3" x14ac:dyDescent="0.2">
      <c r="C20923" s="8" t="e">
        <f>VLOOKUP(A:A,'ITEM LIST'!A:C,3,0)</f>
        <v>#N/A</v>
      </c>
    </row>
    <row r="20924" spans="3:3" x14ac:dyDescent="0.2">
      <c r="C20924" s="8" t="e">
        <f>VLOOKUP(A:A,'ITEM LIST'!A:C,3,0)</f>
        <v>#N/A</v>
      </c>
    </row>
    <row r="20925" spans="3:3" x14ac:dyDescent="0.2">
      <c r="C20925" s="8" t="e">
        <f>VLOOKUP(A:A,'ITEM LIST'!A:C,3,0)</f>
        <v>#N/A</v>
      </c>
    </row>
    <row r="20926" spans="3:3" x14ac:dyDescent="0.2">
      <c r="C20926" s="8" t="e">
        <f>VLOOKUP(A:A,'ITEM LIST'!A:C,3,0)</f>
        <v>#N/A</v>
      </c>
    </row>
    <row r="20927" spans="3:3" x14ac:dyDescent="0.2">
      <c r="C20927" s="8" t="e">
        <f>VLOOKUP(A:A,'ITEM LIST'!A:C,3,0)</f>
        <v>#N/A</v>
      </c>
    </row>
    <row r="20928" spans="3:3" x14ac:dyDescent="0.2">
      <c r="C20928" s="8" t="e">
        <f>VLOOKUP(A:A,'ITEM LIST'!A:C,3,0)</f>
        <v>#N/A</v>
      </c>
    </row>
    <row r="20929" spans="3:3" x14ac:dyDescent="0.2">
      <c r="C20929" s="8" t="e">
        <f>VLOOKUP(A:A,'ITEM LIST'!A:C,3,0)</f>
        <v>#N/A</v>
      </c>
    </row>
    <row r="20930" spans="3:3" x14ac:dyDescent="0.2">
      <c r="C20930" s="8" t="e">
        <f>VLOOKUP(A:A,'ITEM LIST'!A:C,3,0)</f>
        <v>#N/A</v>
      </c>
    </row>
    <row r="20931" spans="3:3" x14ac:dyDescent="0.2">
      <c r="C20931" s="8" t="e">
        <f>VLOOKUP(A:A,'ITEM LIST'!A:C,3,0)</f>
        <v>#N/A</v>
      </c>
    </row>
    <row r="20932" spans="3:3" x14ac:dyDescent="0.2">
      <c r="C20932" s="8" t="e">
        <f>VLOOKUP(A:A,'ITEM LIST'!A:C,3,0)</f>
        <v>#N/A</v>
      </c>
    </row>
    <row r="20933" spans="3:3" x14ac:dyDescent="0.2">
      <c r="C20933" s="8" t="e">
        <f>VLOOKUP(A:A,'ITEM LIST'!A:C,3,0)</f>
        <v>#N/A</v>
      </c>
    </row>
    <row r="20934" spans="3:3" x14ac:dyDescent="0.2">
      <c r="C20934" s="8" t="e">
        <f>VLOOKUP(A:A,'ITEM LIST'!A:C,3,0)</f>
        <v>#N/A</v>
      </c>
    </row>
    <row r="20935" spans="3:3" x14ac:dyDescent="0.2">
      <c r="C20935" s="8" t="e">
        <f>VLOOKUP(A:A,'ITEM LIST'!A:C,3,0)</f>
        <v>#N/A</v>
      </c>
    </row>
    <row r="20936" spans="3:3" x14ac:dyDescent="0.2">
      <c r="C20936" s="8" t="e">
        <f>VLOOKUP(A:A,'ITEM LIST'!A:C,3,0)</f>
        <v>#N/A</v>
      </c>
    </row>
    <row r="20937" spans="3:3" x14ac:dyDescent="0.2">
      <c r="C20937" s="8" t="e">
        <f>VLOOKUP(A:A,'ITEM LIST'!A:C,3,0)</f>
        <v>#N/A</v>
      </c>
    </row>
    <row r="20938" spans="3:3" x14ac:dyDescent="0.2">
      <c r="C20938" s="8" t="e">
        <f>VLOOKUP(A:A,'ITEM LIST'!A:C,3,0)</f>
        <v>#N/A</v>
      </c>
    </row>
    <row r="20939" spans="3:3" x14ac:dyDescent="0.2">
      <c r="C20939" s="8" t="e">
        <f>VLOOKUP(A:A,'ITEM LIST'!A:C,3,0)</f>
        <v>#N/A</v>
      </c>
    </row>
    <row r="20940" spans="3:3" x14ac:dyDescent="0.2">
      <c r="C20940" s="8" t="e">
        <f>VLOOKUP(A:A,'ITEM LIST'!A:C,3,0)</f>
        <v>#N/A</v>
      </c>
    </row>
    <row r="20941" spans="3:3" x14ac:dyDescent="0.2">
      <c r="C20941" s="8" t="e">
        <f>VLOOKUP(A:A,'ITEM LIST'!A:C,3,0)</f>
        <v>#N/A</v>
      </c>
    </row>
    <row r="20942" spans="3:3" x14ac:dyDescent="0.2">
      <c r="C20942" s="8" t="e">
        <f>VLOOKUP(A:A,'ITEM LIST'!A:C,3,0)</f>
        <v>#N/A</v>
      </c>
    </row>
    <row r="20943" spans="3:3" x14ac:dyDescent="0.2">
      <c r="C20943" s="8" t="e">
        <f>VLOOKUP(A:A,'ITEM LIST'!A:C,3,0)</f>
        <v>#N/A</v>
      </c>
    </row>
    <row r="20944" spans="3:3" x14ac:dyDescent="0.2">
      <c r="C20944" s="8" t="e">
        <f>VLOOKUP(A:A,'ITEM LIST'!A:C,3,0)</f>
        <v>#N/A</v>
      </c>
    </row>
    <row r="20945" spans="3:3" x14ac:dyDescent="0.2">
      <c r="C20945" s="8" t="e">
        <f>VLOOKUP(A:A,'ITEM LIST'!A:C,3,0)</f>
        <v>#N/A</v>
      </c>
    </row>
    <row r="20946" spans="3:3" x14ac:dyDescent="0.2">
      <c r="C20946" s="8" t="e">
        <f>VLOOKUP(A:A,'ITEM LIST'!A:C,3,0)</f>
        <v>#N/A</v>
      </c>
    </row>
    <row r="20947" spans="3:3" x14ac:dyDescent="0.2">
      <c r="C20947" s="8" t="e">
        <f>VLOOKUP(A:A,'ITEM LIST'!A:C,3,0)</f>
        <v>#N/A</v>
      </c>
    </row>
    <row r="20948" spans="3:3" x14ac:dyDescent="0.2">
      <c r="C20948" s="8" t="e">
        <f>VLOOKUP(A:A,'ITEM LIST'!A:C,3,0)</f>
        <v>#N/A</v>
      </c>
    </row>
    <row r="20949" spans="3:3" x14ac:dyDescent="0.2">
      <c r="C20949" s="8" t="e">
        <f>VLOOKUP(A:A,'ITEM LIST'!A:C,3,0)</f>
        <v>#N/A</v>
      </c>
    </row>
    <row r="20950" spans="3:3" x14ac:dyDescent="0.2">
      <c r="C20950" s="8" t="e">
        <f>VLOOKUP(A:A,'ITEM LIST'!A:C,3,0)</f>
        <v>#N/A</v>
      </c>
    </row>
    <row r="20951" spans="3:3" x14ac:dyDescent="0.2">
      <c r="C20951" s="8" t="e">
        <f>VLOOKUP(A:A,'ITEM LIST'!A:C,3,0)</f>
        <v>#N/A</v>
      </c>
    </row>
    <row r="20952" spans="3:3" x14ac:dyDescent="0.2">
      <c r="C20952" s="8" t="e">
        <f>VLOOKUP(A:A,'ITEM LIST'!A:C,3,0)</f>
        <v>#N/A</v>
      </c>
    </row>
    <row r="20953" spans="3:3" x14ac:dyDescent="0.2">
      <c r="C20953" s="8" t="e">
        <f>VLOOKUP(A:A,'ITEM LIST'!A:C,3,0)</f>
        <v>#N/A</v>
      </c>
    </row>
    <row r="20954" spans="3:3" x14ac:dyDescent="0.2">
      <c r="C20954" s="8" t="e">
        <f>VLOOKUP(A:A,'ITEM LIST'!A:C,3,0)</f>
        <v>#N/A</v>
      </c>
    </row>
    <row r="20955" spans="3:3" x14ac:dyDescent="0.2">
      <c r="C20955" s="8" t="e">
        <f>VLOOKUP(A:A,'ITEM LIST'!A:C,3,0)</f>
        <v>#N/A</v>
      </c>
    </row>
    <row r="20956" spans="3:3" x14ac:dyDescent="0.2">
      <c r="C20956" s="8" t="e">
        <f>VLOOKUP(A:A,'ITEM LIST'!A:C,3,0)</f>
        <v>#N/A</v>
      </c>
    </row>
    <row r="20957" spans="3:3" x14ac:dyDescent="0.2">
      <c r="C20957" s="8" t="e">
        <f>VLOOKUP(A:A,'ITEM LIST'!A:C,3,0)</f>
        <v>#N/A</v>
      </c>
    </row>
    <row r="20958" spans="3:3" x14ac:dyDescent="0.2">
      <c r="C20958" s="8" t="e">
        <f>VLOOKUP(A:A,'ITEM LIST'!A:C,3,0)</f>
        <v>#N/A</v>
      </c>
    </row>
    <row r="20959" spans="3:3" x14ac:dyDescent="0.2">
      <c r="C20959" s="8" t="e">
        <f>VLOOKUP(A:A,'ITEM LIST'!A:C,3,0)</f>
        <v>#N/A</v>
      </c>
    </row>
    <row r="20960" spans="3:3" x14ac:dyDescent="0.2">
      <c r="C20960" s="8" t="e">
        <f>VLOOKUP(A:A,'ITEM LIST'!A:C,3,0)</f>
        <v>#N/A</v>
      </c>
    </row>
    <row r="20961" spans="3:3" x14ac:dyDescent="0.2">
      <c r="C20961" s="8" t="e">
        <f>VLOOKUP(A:A,'ITEM LIST'!A:C,3,0)</f>
        <v>#N/A</v>
      </c>
    </row>
    <row r="20962" spans="3:3" x14ac:dyDescent="0.2">
      <c r="C20962" s="8" t="e">
        <f>VLOOKUP(A:A,'ITEM LIST'!A:C,3,0)</f>
        <v>#N/A</v>
      </c>
    </row>
    <row r="20963" spans="3:3" x14ac:dyDescent="0.2">
      <c r="C20963" s="8" t="e">
        <f>VLOOKUP(A:A,'ITEM LIST'!A:C,3,0)</f>
        <v>#N/A</v>
      </c>
    </row>
    <row r="20964" spans="3:3" x14ac:dyDescent="0.2">
      <c r="C20964" s="8" t="e">
        <f>VLOOKUP(A:A,'ITEM LIST'!A:C,3,0)</f>
        <v>#N/A</v>
      </c>
    </row>
    <row r="20965" spans="3:3" x14ac:dyDescent="0.2">
      <c r="C20965" s="8" t="e">
        <f>VLOOKUP(A:A,'ITEM LIST'!A:C,3,0)</f>
        <v>#N/A</v>
      </c>
    </row>
    <row r="20966" spans="3:3" x14ac:dyDescent="0.2">
      <c r="C20966" s="8" t="e">
        <f>VLOOKUP(A:A,'ITEM LIST'!A:C,3,0)</f>
        <v>#N/A</v>
      </c>
    </row>
    <row r="20967" spans="3:3" x14ac:dyDescent="0.2">
      <c r="C20967" s="8" t="e">
        <f>VLOOKUP(A:A,'ITEM LIST'!A:C,3,0)</f>
        <v>#N/A</v>
      </c>
    </row>
    <row r="20968" spans="3:3" x14ac:dyDescent="0.2">
      <c r="C20968" s="8" t="e">
        <f>VLOOKUP(A:A,'ITEM LIST'!A:C,3,0)</f>
        <v>#N/A</v>
      </c>
    </row>
    <row r="20969" spans="3:3" x14ac:dyDescent="0.2">
      <c r="C20969" s="8" t="e">
        <f>VLOOKUP(A:A,'ITEM LIST'!A:C,3,0)</f>
        <v>#N/A</v>
      </c>
    </row>
    <row r="20970" spans="3:3" x14ac:dyDescent="0.2">
      <c r="C20970" s="8" t="e">
        <f>VLOOKUP(A:A,'ITEM LIST'!A:C,3,0)</f>
        <v>#N/A</v>
      </c>
    </row>
    <row r="20971" spans="3:3" x14ac:dyDescent="0.2">
      <c r="C20971" s="8" t="e">
        <f>VLOOKUP(A:A,'ITEM LIST'!A:C,3,0)</f>
        <v>#N/A</v>
      </c>
    </row>
    <row r="20972" spans="3:3" x14ac:dyDescent="0.2">
      <c r="C20972" s="8" t="e">
        <f>VLOOKUP(A:A,'ITEM LIST'!A:C,3,0)</f>
        <v>#N/A</v>
      </c>
    </row>
    <row r="20973" spans="3:3" x14ac:dyDescent="0.2">
      <c r="C20973" s="8" t="e">
        <f>VLOOKUP(A:A,'ITEM LIST'!A:C,3,0)</f>
        <v>#N/A</v>
      </c>
    </row>
    <row r="20974" spans="3:3" x14ac:dyDescent="0.2">
      <c r="C20974" s="8" t="e">
        <f>VLOOKUP(A:A,'ITEM LIST'!A:C,3,0)</f>
        <v>#N/A</v>
      </c>
    </row>
    <row r="20975" spans="3:3" x14ac:dyDescent="0.2">
      <c r="C20975" s="8" t="e">
        <f>VLOOKUP(A:A,'ITEM LIST'!A:C,3,0)</f>
        <v>#N/A</v>
      </c>
    </row>
    <row r="20976" spans="3:3" x14ac:dyDescent="0.2">
      <c r="C20976" s="8" t="e">
        <f>VLOOKUP(A:A,'ITEM LIST'!A:C,3,0)</f>
        <v>#N/A</v>
      </c>
    </row>
    <row r="20977" spans="3:3" x14ac:dyDescent="0.2">
      <c r="C20977" s="8" t="e">
        <f>VLOOKUP(A:A,'ITEM LIST'!A:C,3,0)</f>
        <v>#N/A</v>
      </c>
    </row>
    <row r="20978" spans="3:3" x14ac:dyDescent="0.2">
      <c r="C20978" s="8" t="e">
        <f>VLOOKUP(A:A,'ITEM LIST'!A:C,3,0)</f>
        <v>#N/A</v>
      </c>
    </row>
    <row r="20979" spans="3:3" x14ac:dyDescent="0.2">
      <c r="C20979" s="8" t="e">
        <f>VLOOKUP(A:A,'ITEM LIST'!A:C,3,0)</f>
        <v>#N/A</v>
      </c>
    </row>
    <row r="20980" spans="3:3" x14ac:dyDescent="0.2">
      <c r="C20980" s="8" t="e">
        <f>VLOOKUP(A:A,'ITEM LIST'!A:C,3,0)</f>
        <v>#N/A</v>
      </c>
    </row>
    <row r="20981" spans="3:3" x14ac:dyDescent="0.2">
      <c r="C20981" s="8" t="e">
        <f>VLOOKUP(A:A,'ITEM LIST'!A:C,3,0)</f>
        <v>#N/A</v>
      </c>
    </row>
    <row r="20982" spans="3:3" x14ac:dyDescent="0.2">
      <c r="C20982" s="8" t="e">
        <f>VLOOKUP(A:A,'ITEM LIST'!A:C,3,0)</f>
        <v>#N/A</v>
      </c>
    </row>
    <row r="20983" spans="3:3" x14ac:dyDescent="0.2">
      <c r="C20983" s="8" t="e">
        <f>VLOOKUP(A:A,'ITEM LIST'!A:C,3,0)</f>
        <v>#N/A</v>
      </c>
    </row>
    <row r="20984" spans="3:3" x14ac:dyDescent="0.2">
      <c r="C20984" s="8" t="e">
        <f>VLOOKUP(A:A,'ITEM LIST'!A:C,3,0)</f>
        <v>#N/A</v>
      </c>
    </row>
    <row r="20985" spans="3:3" x14ac:dyDescent="0.2">
      <c r="C20985" s="8" t="e">
        <f>VLOOKUP(A:A,'ITEM LIST'!A:C,3,0)</f>
        <v>#N/A</v>
      </c>
    </row>
    <row r="20986" spans="3:3" x14ac:dyDescent="0.2">
      <c r="C20986" s="8" t="e">
        <f>VLOOKUP(A:A,'ITEM LIST'!A:C,3,0)</f>
        <v>#N/A</v>
      </c>
    </row>
    <row r="20987" spans="3:3" x14ac:dyDescent="0.2">
      <c r="C20987" s="8" t="e">
        <f>VLOOKUP(A:A,'ITEM LIST'!A:C,3,0)</f>
        <v>#N/A</v>
      </c>
    </row>
    <row r="20988" spans="3:3" x14ac:dyDescent="0.2">
      <c r="C20988" s="8" t="e">
        <f>VLOOKUP(A:A,'ITEM LIST'!A:C,3,0)</f>
        <v>#N/A</v>
      </c>
    </row>
    <row r="20989" spans="3:3" x14ac:dyDescent="0.2">
      <c r="C20989" s="8" t="e">
        <f>VLOOKUP(A:A,'ITEM LIST'!A:C,3,0)</f>
        <v>#N/A</v>
      </c>
    </row>
    <row r="20990" spans="3:3" x14ac:dyDescent="0.2">
      <c r="C20990" s="8" t="e">
        <f>VLOOKUP(A:A,'ITEM LIST'!A:C,3,0)</f>
        <v>#N/A</v>
      </c>
    </row>
    <row r="20991" spans="3:3" x14ac:dyDescent="0.2">
      <c r="C20991" s="8" t="e">
        <f>VLOOKUP(A:A,'ITEM LIST'!A:C,3,0)</f>
        <v>#N/A</v>
      </c>
    </row>
    <row r="20992" spans="3:3" x14ac:dyDescent="0.2">
      <c r="C20992" s="8" t="e">
        <f>VLOOKUP(A:A,'ITEM LIST'!A:C,3,0)</f>
        <v>#N/A</v>
      </c>
    </row>
    <row r="20993" spans="3:3" x14ac:dyDescent="0.2">
      <c r="C20993" s="8" t="e">
        <f>VLOOKUP(A:A,'ITEM LIST'!A:C,3,0)</f>
        <v>#N/A</v>
      </c>
    </row>
    <row r="20994" spans="3:3" x14ac:dyDescent="0.2">
      <c r="C20994" s="8" t="e">
        <f>VLOOKUP(A:A,'ITEM LIST'!A:C,3,0)</f>
        <v>#N/A</v>
      </c>
    </row>
    <row r="20995" spans="3:3" x14ac:dyDescent="0.2">
      <c r="C20995" s="8" t="e">
        <f>VLOOKUP(A:A,'ITEM LIST'!A:C,3,0)</f>
        <v>#N/A</v>
      </c>
    </row>
    <row r="20996" spans="3:3" x14ac:dyDescent="0.2">
      <c r="C20996" s="8" t="e">
        <f>VLOOKUP(A:A,'ITEM LIST'!A:C,3,0)</f>
        <v>#N/A</v>
      </c>
    </row>
    <row r="20997" spans="3:3" x14ac:dyDescent="0.2">
      <c r="C20997" s="8" t="e">
        <f>VLOOKUP(A:A,'ITEM LIST'!A:C,3,0)</f>
        <v>#N/A</v>
      </c>
    </row>
    <row r="20998" spans="3:3" x14ac:dyDescent="0.2">
      <c r="C20998" s="8" t="e">
        <f>VLOOKUP(A:A,'ITEM LIST'!A:C,3,0)</f>
        <v>#N/A</v>
      </c>
    </row>
    <row r="20999" spans="3:3" x14ac:dyDescent="0.2">
      <c r="C20999" s="8" t="e">
        <f>VLOOKUP(A:A,'ITEM LIST'!A:C,3,0)</f>
        <v>#N/A</v>
      </c>
    </row>
    <row r="21000" spans="3:3" x14ac:dyDescent="0.2">
      <c r="C21000" s="8" t="e">
        <f>VLOOKUP(A:A,'ITEM LIST'!A:C,3,0)</f>
        <v>#N/A</v>
      </c>
    </row>
    <row r="21001" spans="3:3" x14ac:dyDescent="0.2">
      <c r="C21001" s="8" t="e">
        <f>VLOOKUP(A:A,'ITEM LIST'!A:C,3,0)</f>
        <v>#N/A</v>
      </c>
    </row>
    <row r="21002" spans="3:3" x14ac:dyDescent="0.2">
      <c r="C21002" s="8" t="e">
        <f>VLOOKUP(A:A,'ITEM LIST'!A:C,3,0)</f>
        <v>#N/A</v>
      </c>
    </row>
    <row r="21003" spans="3:3" x14ac:dyDescent="0.2">
      <c r="C21003" s="8" t="e">
        <f>VLOOKUP(A:A,'ITEM LIST'!A:C,3,0)</f>
        <v>#N/A</v>
      </c>
    </row>
    <row r="21004" spans="3:3" x14ac:dyDescent="0.2">
      <c r="C21004" s="8" t="e">
        <f>VLOOKUP(A:A,'ITEM LIST'!A:C,3,0)</f>
        <v>#N/A</v>
      </c>
    </row>
    <row r="21005" spans="3:3" x14ac:dyDescent="0.2">
      <c r="C21005" s="8" t="e">
        <f>VLOOKUP(A:A,'ITEM LIST'!A:C,3,0)</f>
        <v>#N/A</v>
      </c>
    </row>
    <row r="21006" spans="3:3" x14ac:dyDescent="0.2">
      <c r="C21006" s="8" t="e">
        <f>VLOOKUP(A:A,'ITEM LIST'!A:C,3,0)</f>
        <v>#N/A</v>
      </c>
    </row>
    <row r="21007" spans="3:3" x14ac:dyDescent="0.2">
      <c r="C21007" s="8" t="e">
        <f>VLOOKUP(A:A,'ITEM LIST'!A:C,3,0)</f>
        <v>#N/A</v>
      </c>
    </row>
    <row r="21008" spans="3:3" x14ac:dyDescent="0.2">
      <c r="C21008" s="8" t="e">
        <f>VLOOKUP(A:A,'ITEM LIST'!A:C,3,0)</f>
        <v>#N/A</v>
      </c>
    </row>
    <row r="21009" spans="3:3" x14ac:dyDescent="0.2">
      <c r="C21009" s="8" t="e">
        <f>VLOOKUP(A:A,'ITEM LIST'!A:C,3,0)</f>
        <v>#N/A</v>
      </c>
    </row>
    <row r="21010" spans="3:3" x14ac:dyDescent="0.2">
      <c r="C21010" s="8" t="e">
        <f>VLOOKUP(A:A,'ITEM LIST'!A:C,3,0)</f>
        <v>#N/A</v>
      </c>
    </row>
    <row r="21011" spans="3:3" x14ac:dyDescent="0.2">
      <c r="C21011" s="8" t="e">
        <f>VLOOKUP(A:A,'ITEM LIST'!A:C,3,0)</f>
        <v>#N/A</v>
      </c>
    </row>
    <row r="21012" spans="3:3" x14ac:dyDescent="0.2">
      <c r="C21012" s="8" t="e">
        <f>VLOOKUP(A:A,'ITEM LIST'!A:C,3,0)</f>
        <v>#N/A</v>
      </c>
    </row>
    <row r="21013" spans="3:3" x14ac:dyDescent="0.2">
      <c r="C21013" s="8" t="e">
        <f>VLOOKUP(A:A,'ITEM LIST'!A:C,3,0)</f>
        <v>#N/A</v>
      </c>
    </row>
    <row r="21014" spans="3:3" x14ac:dyDescent="0.2">
      <c r="C21014" s="8" t="e">
        <f>VLOOKUP(A:A,'ITEM LIST'!A:C,3,0)</f>
        <v>#N/A</v>
      </c>
    </row>
    <row r="21015" spans="3:3" x14ac:dyDescent="0.2">
      <c r="C21015" s="8" t="e">
        <f>VLOOKUP(A:A,'ITEM LIST'!A:C,3,0)</f>
        <v>#N/A</v>
      </c>
    </row>
    <row r="21016" spans="3:3" x14ac:dyDescent="0.2">
      <c r="C21016" s="8" t="e">
        <f>VLOOKUP(A:A,'ITEM LIST'!A:C,3,0)</f>
        <v>#N/A</v>
      </c>
    </row>
    <row r="21017" spans="3:3" x14ac:dyDescent="0.2">
      <c r="C21017" s="8" t="e">
        <f>VLOOKUP(A:A,'ITEM LIST'!A:C,3,0)</f>
        <v>#N/A</v>
      </c>
    </row>
    <row r="21018" spans="3:3" x14ac:dyDescent="0.2">
      <c r="C21018" s="8" t="e">
        <f>VLOOKUP(A:A,'ITEM LIST'!A:C,3,0)</f>
        <v>#N/A</v>
      </c>
    </row>
    <row r="21019" spans="3:3" x14ac:dyDescent="0.2">
      <c r="C21019" s="8" t="e">
        <f>VLOOKUP(A:A,'ITEM LIST'!A:C,3,0)</f>
        <v>#N/A</v>
      </c>
    </row>
    <row r="21020" spans="3:3" x14ac:dyDescent="0.2">
      <c r="C21020" s="8" t="e">
        <f>VLOOKUP(A:A,'ITEM LIST'!A:C,3,0)</f>
        <v>#N/A</v>
      </c>
    </row>
    <row r="21021" spans="3:3" x14ac:dyDescent="0.2">
      <c r="C21021" s="8" t="e">
        <f>VLOOKUP(A:A,'ITEM LIST'!A:C,3,0)</f>
        <v>#N/A</v>
      </c>
    </row>
    <row r="21022" spans="3:3" x14ac:dyDescent="0.2">
      <c r="C21022" s="8" t="e">
        <f>VLOOKUP(A:A,'ITEM LIST'!A:C,3,0)</f>
        <v>#N/A</v>
      </c>
    </row>
    <row r="21023" spans="3:3" x14ac:dyDescent="0.2">
      <c r="C21023" s="8" t="e">
        <f>VLOOKUP(A:A,'ITEM LIST'!A:C,3,0)</f>
        <v>#N/A</v>
      </c>
    </row>
    <row r="21024" spans="3:3" x14ac:dyDescent="0.2">
      <c r="C21024" s="8" t="e">
        <f>VLOOKUP(A:A,'ITEM LIST'!A:C,3,0)</f>
        <v>#N/A</v>
      </c>
    </row>
    <row r="21025" spans="3:3" x14ac:dyDescent="0.2">
      <c r="C21025" s="8" t="e">
        <f>VLOOKUP(A:A,'ITEM LIST'!A:C,3,0)</f>
        <v>#N/A</v>
      </c>
    </row>
    <row r="21026" spans="3:3" x14ac:dyDescent="0.2">
      <c r="C21026" s="8" t="e">
        <f>VLOOKUP(A:A,'ITEM LIST'!A:C,3,0)</f>
        <v>#N/A</v>
      </c>
    </row>
    <row r="21027" spans="3:3" x14ac:dyDescent="0.2">
      <c r="C21027" s="8" t="e">
        <f>VLOOKUP(A:A,'ITEM LIST'!A:C,3,0)</f>
        <v>#N/A</v>
      </c>
    </row>
    <row r="21028" spans="3:3" x14ac:dyDescent="0.2">
      <c r="C21028" s="8" t="e">
        <f>VLOOKUP(A:A,'ITEM LIST'!A:C,3,0)</f>
        <v>#N/A</v>
      </c>
    </row>
    <row r="21029" spans="3:3" x14ac:dyDescent="0.2">
      <c r="C21029" s="8" t="e">
        <f>VLOOKUP(A:A,'ITEM LIST'!A:C,3,0)</f>
        <v>#N/A</v>
      </c>
    </row>
    <row r="21030" spans="3:3" x14ac:dyDescent="0.2">
      <c r="C21030" s="8" t="e">
        <f>VLOOKUP(A:A,'ITEM LIST'!A:C,3,0)</f>
        <v>#N/A</v>
      </c>
    </row>
    <row r="21031" spans="3:3" x14ac:dyDescent="0.2">
      <c r="C21031" s="8" t="e">
        <f>VLOOKUP(A:A,'ITEM LIST'!A:C,3,0)</f>
        <v>#N/A</v>
      </c>
    </row>
    <row r="21032" spans="3:3" x14ac:dyDescent="0.2">
      <c r="C21032" s="8" t="e">
        <f>VLOOKUP(A:A,'ITEM LIST'!A:C,3,0)</f>
        <v>#N/A</v>
      </c>
    </row>
    <row r="21033" spans="3:3" x14ac:dyDescent="0.2">
      <c r="C21033" s="8" t="e">
        <f>VLOOKUP(A:A,'ITEM LIST'!A:C,3,0)</f>
        <v>#N/A</v>
      </c>
    </row>
    <row r="21034" spans="3:3" x14ac:dyDescent="0.2">
      <c r="C21034" s="8" t="e">
        <f>VLOOKUP(A:A,'ITEM LIST'!A:C,3,0)</f>
        <v>#N/A</v>
      </c>
    </row>
    <row r="21035" spans="3:3" x14ac:dyDescent="0.2">
      <c r="C21035" s="8" t="e">
        <f>VLOOKUP(A:A,'ITEM LIST'!A:C,3,0)</f>
        <v>#N/A</v>
      </c>
    </row>
    <row r="21036" spans="3:3" x14ac:dyDescent="0.2">
      <c r="C21036" s="8" t="e">
        <f>VLOOKUP(A:A,'ITEM LIST'!A:C,3,0)</f>
        <v>#N/A</v>
      </c>
    </row>
    <row r="21037" spans="3:3" x14ac:dyDescent="0.2">
      <c r="C21037" s="8" t="e">
        <f>VLOOKUP(A:A,'ITEM LIST'!A:C,3,0)</f>
        <v>#N/A</v>
      </c>
    </row>
    <row r="21038" spans="3:3" x14ac:dyDescent="0.2">
      <c r="C21038" s="8" t="e">
        <f>VLOOKUP(A:A,'ITEM LIST'!A:C,3,0)</f>
        <v>#N/A</v>
      </c>
    </row>
    <row r="21039" spans="3:3" x14ac:dyDescent="0.2">
      <c r="C21039" s="8" t="e">
        <f>VLOOKUP(A:A,'ITEM LIST'!A:C,3,0)</f>
        <v>#N/A</v>
      </c>
    </row>
    <row r="21040" spans="3:3" x14ac:dyDescent="0.2">
      <c r="C21040" s="8" t="e">
        <f>VLOOKUP(A:A,'ITEM LIST'!A:C,3,0)</f>
        <v>#N/A</v>
      </c>
    </row>
    <row r="21041" spans="3:3" x14ac:dyDescent="0.2">
      <c r="C21041" s="8" t="e">
        <f>VLOOKUP(A:A,'ITEM LIST'!A:C,3,0)</f>
        <v>#N/A</v>
      </c>
    </row>
    <row r="21042" spans="3:3" x14ac:dyDescent="0.2">
      <c r="C21042" s="8" t="e">
        <f>VLOOKUP(A:A,'ITEM LIST'!A:C,3,0)</f>
        <v>#N/A</v>
      </c>
    </row>
    <row r="21043" spans="3:3" x14ac:dyDescent="0.2">
      <c r="C21043" s="8" t="e">
        <f>VLOOKUP(A:A,'ITEM LIST'!A:C,3,0)</f>
        <v>#N/A</v>
      </c>
    </row>
    <row r="21044" spans="3:3" x14ac:dyDescent="0.2">
      <c r="C21044" s="8" t="e">
        <f>VLOOKUP(A:A,'ITEM LIST'!A:C,3,0)</f>
        <v>#N/A</v>
      </c>
    </row>
    <row r="21045" spans="3:3" x14ac:dyDescent="0.2">
      <c r="C21045" s="8" t="e">
        <f>VLOOKUP(A:A,'ITEM LIST'!A:C,3,0)</f>
        <v>#N/A</v>
      </c>
    </row>
    <row r="21046" spans="3:3" x14ac:dyDescent="0.2">
      <c r="C21046" s="8" t="e">
        <f>VLOOKUP(A:A,'ITEM LIST'!A:C,3,0)</f>
        <v>#N/A</v>
      </c>
    </row>
    <row r="21047" spans="3:3" x14ac:dyDescent="0.2">
      <c r="C21047" s="8" t="e">
        <f>VLOOKUP(A:A,'ITEM LIST'!A:C,3,0)</f>
        <v>#N/A</v>
      </c>
    </row>
    <row r="21048" spans="3:3" x14ac:dyDescent="0.2">
      <c r="C21048" s="8" t="e">
        <f>VLOOKUP(A:A,'ITEM LIST'!A:C,3,0)</f>
        <v>#N/A</v>
      </c>
    </row>
    <row r="21049" spans="3:3" x14ac:dyDescent="0.2">
      <c r="C21049" s="8" t="e">
        <f>VLOOKUP(A:A,'ITEM LIST'!A:C,3,0)</f>
        <v>#N/A</v>
      </c>
    </row>
    <row r="21050" spans="3:3" x14ac:dyDescent="0.2">
      <c r="C21050" s="8" t="e">
        <f>VLOOKUP(A:A,'ITEM LIST'!A:C,3,0)</f>
        <v>#N/A</v>
      </c>
    </row>
    <row r="21051" spans="3:3" x14ac:dyDescent="0.2">
      <c r="C21051" s="8" t="e">
        <f>VLOOKUP(A:A,'ITEM LIST'!A:C,3,0)</f>
        <v>#N/A</v>
      </c>
    </row>
    <row r="21052" spans="3:3" x14ac:dyDescent="0.2">
      <c r="C21052" s="8" t="e">
        <f>VLOOKUP(A:A,'ITEM LIST'!A:C,3,0)</f>
        <v>#N/A</v>
      </c>
    </row>
    <row r="21053" spans="3:3" x14ac:dyDescent="0.2">
      <c r="C21053" s="8" t="e">
        <f>VLOOKUP(A:A,'ITEM LIST'!A:C,3,0)</f>
        <v>#N/A</v>
      </c>
    </row>
    <row r="21054" spans="3:3" x14ac:dyDescent="0.2">
      <c r="C21054" s="8" t="e">
        <f>VLOOKUP(A:A,'ITEM LIST'!A:C,3,0)</f>
        <v>#N/A</v>
      </c>
    </row>
    <row r="21055" spans="3:3" x14ac:dyDescent="0.2">
      <c r="C21055" s="8" t="e">
        <f>VLOOKUP(A:A,'ITEM LIST'!A:C,3,0)</f>
        <v>#N/A</v>
      </c>
    </row>
    <row r="21056" spans="3:3" x14ac:dyDescent="0.2">
      <c r="C21056" s="8" t="e">
        <f>VLOOKUP(A:A,'ITEM LIST'!A:C,3,0)</f>
        <v>#N/A</v>
      </c>
    </row>
    <row r="21057" spans="3:3" x14ac:dyDescent="0.2">
      <c r="C21057" s="8" t="e">
        <f>VLOOKUP(A:A,'ITEM LIST'!A:C,3,0)</f>
        <v>#N/A</v>
      </c>
    </row>
    <row r="21058" spans="3:3" x14ac:dyDescent="0.2">
      <c r="C21058" s="8" t="e">
        <f>VLOOKUP(A:A,'ITEM LIST'!A:C,3,0)</f>
        <v>#N/A</v>
      </c>
    </row>
    <row r="21059" spans="3:3" x14ac:dyDescent="0.2">
      <c r="C21059" s="8" t="e">
        <f>VLOOKUP(A:A,'ITEM LIST'!A:C,3,0)</f>
        <v>#N/A</v>
      </c>
    </row>
    <row r="21060" spans="3:3" x14ac:dyDescent="0.2">
      <c r="C21060" s="8" t="e">
        <f>VLOOKUP(A:A,'ITEM LIST'!A:C,3,0)</f>
        <v>#N/A</v>
      </c>
    </row>
    <row r="21061" spans="3:3" x14ac:dyDescent="0.2">
      <c r="C21061" s="8" t="e">
        <f>VLOOKUP(A:A,'ITEM LIST'!A:C,3,0)</f>
        <v>#N/A</v>
      </c>
    </row>
    <row r="21062" spans="3:3" x14ac:dyDescent="0.2">
      <c r="C21062" s="8" t="e">
        <f>VLOOKUP(A:A,'ITEM LIST'!A:C,3,0)</f>
        <v>#N/A</v>
      </c>
    </row>
    <row r="21063" spans="3:3" x14ac:dyDescent="0.2">
      <c r="C21063" s="8" t="e">
        <f>VLOOKUP(A:A,'ITEM LIST'!A:C,3,0)</f>
        <v>#N/A</v>
      </c>
    </row>
    <row r="21064" spans="3:3" x14ac:dyDescent="0.2">
      <c r="C21064" s="8" t="e">
        <f>VLOOKUP(A:A,'ITEM LIST'!A:C,3,0)</f>
        <v>#N/A</v>
      </c>
    </row>
    <row r="21065" spans="3:3" x14ac:dyDescent="0.2">
      <c r="C21065" s="8" t="e">
        <f>VLOOKUP(A:A,'ITEM LIST'!A:C,3,0)</f>
        <v>#N/A</v>
      </c>
    </row>
    <row r="21066" spans="3:3" x14ac:dyDescent="0.2">
      <c r="C21066" s="8" t="e">
        <f>VLOOKUP(A:A,'ITEM LIST'!A:C,3,0)</f>
        <v>#N/A</v>
      </c>
    </row>
    <row r="21067" spans="3:3" x14ac:dyDescent="0.2">
      <c r="C21067" s="8" t="e">
        <f>VLOOKUP(A:A,'ITEM LIST'!A:C,3,0)</f>
        <v>#N/A</v>
      </c>
    </row>
    <row r="21068" spans="3:3" x14ac:dyDescent="0.2">
      <c r="C21068" s="8" t="e">
        <f>VLOOKUP(A:A,'ITEM LIST'!A:C,3,0)</f>
        <v>#N/A</v>
      </c>
    </row>
    <row r="21069" spans="3:3" x14ac:dyDescent="0.2">
      <c r="C21069" s="8" t="e">
        <f>VLOOKUP(A:A,'ITEM LIST'!A:C,3,0)</f>
        <v>#N/A</v>
      </c>
    </row>
    <row r="21070" spans="3:3" x14ac:dyDescent="0.2">
      <c r="C21070" s="8" t="e">
        <f>VLOOKUP(A:A,'ITEM LIST'!A:C,3,0)</f>
        <v>#N/A</v>
      </c>
    </row>
    <row r="21071" spans="3:3" x14ac:dyDescent="0.2">
      <c r="C21071" s="8" t="e">
        <f>VLOOKUP(A:A,'ITEM LIST'!A:C,3,0)</f>
        <v>#N/A</v>
      </c>
    </row>
    <row r="21072" spans="3:3" x14ac:dyDescent="0.2">
      <c r="C21072" s="8" t="e">
        <f>VLOOKUP(A:A,'ITEM LIST'!A:C,3,0)</f>
        <v>#N/A</v>
      </c>
    </row>
    <row r="21073" spans="3:3" x14ac:dyDescent="0.2">
      <c r="C21073" s="8" t="e">
        <f>VLOOKUP(A:A,'ITEM LIST'!A:C,3,0)</f>
        <v>#N/A</v>
      </c>
    </row>
    <row r="21074" spans="3:3" x14ac:dyDescent="0.2">
      <c r="C21074" s="8" t="e">
        <f>VLOOKUP(A:A,'ITEM LIST'!A:C,3,0)</f>
        <v>#N/A</v>
      </c>
    </row>
    <row r="21075" spans="3:3" x14ac:dyDescent="0.2">
      <c r="C21075" s="8" t="e">
        <f>VLOOKUP(A:A,'ITEM LIST'!A:C,3,0)</f>
        <v>#N/A</v>
      </c>
    </row>
    <row r="21076" spans="3:3" x14ac:dyDescent="0.2">
      <c r="C21076" s="8" t="e">
        <f>VLOOKUP(A:A,'ITEM LIST'!A:C,3,0)</f>
        <v>#N/A</v>
      </c>
    </row>
    <row r="21077" spans="3:3" x14ac:dyDescent="0.2">
      <c r="C21077" s="8" t="e">
        <f>VLOOKUP(A:A,'ITEM LIST'!A:C,3,0)</f>
        <v>#N/A</v>
      </c>
    </row>
    <row r="21078" spans="3:3" x14ac:dyDescent="0.2">
      <c r="C21078" s="8" t="e">
        <f>VLOOKUP(A:A,'ITEM LIST'!A:C,3,0)</f>
        <v>#N/A</v>
      </c>
    </row>
    <row r="21079" spans="3:3" x14ac:dyDescent="0.2">
      <c r="C21079" s="8" t="e">
        <f>VLOOKUP(A:A,'ITEM LIST'!A:C,3,0)</f>
        <v>#N/A</v>
      </c>
    </row>
    <row r="21080" spans="3:3" x14ac:dyDescent="0.2">
      <c r="C21080" s="8" t="e">
        <f>VLOOKUP(A:A,'ITEM LIST'!A:C,3,0)</f>
        <v>#N/A</v>
      </c>
    </row>
    <row r="21081" spans="3:3" x14ac:dyDescent="0.2">
      <c r="C21081" s="8" t="e">
        <f>VLOOKUP(A:A,'ITEM LIST'!A:C,3,0)</f>
        <v>#N/A</v>
      </c>
    </row>
    <row r="21082" spans="3:3" x14ac:dyDescent="0.2">
      <c r="C21082" s="8" t="e">
        <f>VLOOKUP(A:A,'ITEM LIST'!A:C,3,0)</f>
        <v>#N/A</v>
      </c>
    </row>
    <row r="21083" spans="3:3" x14ac:dyDescent="0.2">
      <c r="C21083" s="8" t="e">
        <f>VLOOKUP(A:A,'ITEM LIST'!A:C,3,0)</f>
        <v>#N/A</v>
      </c>
    </row>
    <row r="21084" spans="3:3" x14ac:dyDescent="0.2">
      <c r="C21084" s="8" t="e">
        <f>VLOOKUP(A:A,'ITEM LIST'!A:C,3,0)</f>
        <v>#N/A</v>
      </c>
    </row>
    <row r="21085" spans="3:3" x14ac:dyDescent="0.2">
      <c r="C21085" s="8" t="e">
        <f>VLOOKUP(A:A,'ITEM LIST'!A:C,3,0)</f>
        <v>#N/A</v>
      </c>
    </row>
    <row r="21086" spans="3:3" x14ac:dyDescent="0.2">
      <c r="C21086" s="8" t="e">
        <f>VLOOKUP(A:A,'ITEM LIST'!A:C,3,0)</f>
        <v>#N/A</v>
      </c>
    </row>
    <row r="21087" spans="3:3" x14ac:dyDescent="0.2">
      <c r="C21087" s="8" t="e">
        <f>VLOOKUP(A:A,'ITEM LIST'!A:C,3,0)</f>
        <v>#N/A</v>
      </c>
    </row>
    <row r="21088" spans="3:3" x14ac:dyDescent="0.2">
      <c r="C21088" s="8" t="e">
        <f>VLOOKUP(A:A,'ITEM LIST'!A:C,3,0)</f>
        <v>#N/A</v>
      </c>
    </row>
    <row r="21089" spans="3:3" x14ac:dyDescent="0.2">
      <c r="C21089" s="8" t="e">
        <f>VLOOKUP(A:A,'ITEM LIST'!A:C,3,0)</f>
        <v>#N/A</v>
      </c>
    </row>
    <row r="21090" spans="3:3" x14ac:dyDescent="0.2">
      <c r="C21090" s="8" t="e">
        <f>VLOOKUP(A:A,'ITEM LIST'!A:C,3,0)</f>
        <v>#N/A</v>
      </c>
    </row>
    <row r="21091" spans="3:3" x14ac:dyDescent="0.2">
      <c r="C21091" s="8" t="e">
        <f>VLOOKUP(A:A,'ITEM LIST'!A:C,3,0)</f>
        <v>#N/A</v>
      </c>
    </row>
    <row r="21092" spans="3:3" x14ac:dyDescent="0.2">
      <c r="C21092" s="8" t="e">
        <f>VLOOKUP(A:A,'ITEM LIST'!A:C,3,0)</f>
        <v>#N/A</v>
      </c>
    </row>
    <row r="21093" spans="3:3" x14ac:dyDescent="0.2">
      <c r="C21093" s="8" t="e">
        <f>VLOOKUP(A:A,'ITEM LIST'!A:C,3,0)</f>
        <v>#N/A</v>
      </c>
    </row>
    <row r="21094" spans="3:3" x14ac:dyDescent="0.2">
      <c r="C21094" s="8" t="e">
        <f>VLOOKUP(A:A,'ITEM LIST'!A:C,3,0)</f>
        <v>#N/A</v>
      </c>
    </row>
    <row r="21095" spans="3:3" x14ac:dyDescent="0.2">
      <c r="C21095" s="8" t="e">
        <f>VLOOKUP(A:A,'ITEM LIST'!A:C,3,0)</f>
        <v>#N/A</v>
      </c>
    </row>
    <row r="21096" spans="3:3" x14ac:dyDescent="0.2">
      <c r="C21096" s="8" t="e">
        <f>VLOOKUP(A:A,'ITEM LIST'!A:C,3,0)</f>
        <v>#N/A</v>
      </c>
    </row>
    <row r="21097" spans="3:3" x14ac:dyDescent="0.2">
      <c r="C21097" s="8" t="e">
        <f>VLOOKUP(A:A,'ITEM LIST'!A:C,3,0)</f>
        <v>#N/A</v>
      </c>
    </row>
    <row r="21098" spans="3:3" x14ac:dyDescent="0.2">
      <c r="C21098" s="8" t="e">
        <f>VLOOKUP(A:A,'ITEM LIST'!A:C,3,0)</f>
        <v>#N/A</v>
      </c>
    </row>
    <row r="21099" spans="3:3" x14ac:dyDescent="0.2">
      <c r="C21099" s="8" t="e">
        <f>VLOOKUP(A:A,'ITEM LIST'!A:C,3,0)</f>
        <v>#N/A</v>
      </c>
    </row>
    <row r="21100" spans="3:3" x14ac:dyDescent="0.2">
      <c r="C21100" s="8" t="e">
        <f>VLOOKUP(A:A,'ITEM LIST'!A:C,3,0)</f>
        <v>#N/A</v>
      </c>
    </row>
    <row r="21101" spans="3:3" x14ac:dyDescent="0.2">
      <c r="C21101" s="8" t="e">
        <f>VLOOKUP(A:A,'ITEM LIST'!A:C,3,0)</f>
        <v>#N/A</v>
      </c>
    </row>
    <row r="21102" spans="3:3" x14ac:dyDescent="0.2">
      <c r="C21102" s="8" t="e">
        <f>VLOOKUP(A:A,'ITEM LIST'!A:C,3,0)</f>
        <v>#N/A</v>
      </c>
    </row>
    <row r="21103" spans="3:3" x14ac:dyDescent="0.2">
      <c r="C21103" s="8" t="e">
        <f>VLOOKUP(A:A,'ITEM LIST'!A:C,3,0)</f>
        <v>#N/A</v>
      </c>
    </row>
    <row r="21104" spans="3:3" x14ac:dyDescent="0.2">
      <c r="C21104" s="8" t="e">
        <f>VLOOKUP(A:A,'ITEM LIST'!A:C,3,0)</f>
        <v>#N/A</v>
      </c>
    </row>
    <row r="21105" spans="3:3" x14ac:dyDescent="0.2">
      <c r="C21105" s="8" t="e">
        <f>VLOOKUP(A:A,'ITEM LIST'!A:C,3,0)</f>
        <v>#N/A</v>
      </c>
    </row>
    <row r="21106" spans="3:3" x14ac:dyDescent="0.2">
      <c r="C21106" s="8" t="e">
        <f>VLOOKUP(A:A,'ITEM LIST'!A:C,3,0)</f>
        <v>#N/A</v>
      </c>
    </row>
    <row r="21107" spans="3:3" x14ac:dyDescent="0.2">
      <c r="C21107" s="8" t="e">
        <f>VLOOKUP(A:A,'ITEM LIST'!A:C,3,0)</f>
        <v>#N/A</v>
      </c>
    </row>
    <row r="21108" spans="3:3" x14ac:dyDescent="0.2">
      <c r="C21108" s="8" t="e">
        <f>VLOOKUP(A:A,'ITEM LIST'!A:C,3,0)</f>
        <v>#N/A</v>
      </c>
    </row>
    <row r="21109" spans="3:3" x14ac:dyDescent="0.2">
      <c r="C21109" s="8" t="e">
        <f>VLOOKUP(A:A,'ITEM LIST'!A:C,3,0)</f>
        <v>#N/A</v>
      </c>
    </row>
    <row r="21110" spans="3:3" x14ac:dyDescent="0.2">
      <c r="C21110" s="8" t="e">
        <f>VLOOKUP(A:A,'ITEM LIST'!A:C,3,0)</f>
        <v>#N/A</v>
      </c>
    </row>
    <row r="21111" spans="3:3" x14ac:dyDescent="0.2">
      <c r="C21111" s="8" t="e">
        <f>VLOOKUP(A:A,'ITEM LIST'!A:C,3,0)</f>
        <v>#N/A</v>
      </c>
    </row>
    <row r="21112" spans="3:3" x14ac:dyDescent="0.2">
      <c r="C21112" s="8" t="e">
        <f>VLOOKUP(A:A,'ITEM LIST'!A:C,3,0)</f>
        <v>#N/A</v>
      </c>
    </row>
    <row r="21113" spans="3:3" x14ac:dyDescent="0.2">
      <c r="C21113" s="8" t="e">
        <f>VLOOKUP(A:A,'ITEM LIST'!A:C,3,0)</f>
        <v>#N/A</v>
      </c>
    </row>
    <row r="21114" spans="3:3" x14ac:dyDescent="0.2">
      <c r="C21114" s="8" t="e">
        <f>VLOOKUP(A:A,'ITEM LIST'!A:C,3,0)</f>
        <v>#N/A</v>
      </c>
    </row>
    <row r="21115" spans="3:3" x14ac:dyDescent="0.2">
      <c r="C21115" s="8" t="e">
        <f>VLOOKUP(A:A,'ITEM LIST'!A:C,3,0)</f>
        <v>#N/A</v>
      </c>
    </row>
    <row r="21116" spans="3:3" x14ac:dyDescent="0.2">
      <c r="C21116" s="8" t="e">
        <f>VLOOKUP(A:A,'ITEM LIST'!A:C,3,0)</f>
        <v>#N/A</v>
      </c>
    </row>
    <row r="21117" spans="3:3" x14ac:dyDescent="0.2">
      <c r="C21117" s="8" t="e">
        <f>VLOOKUP(A:A,'ITEM LIST'!A:C,3,0)</f>
        <v>#N/A</v>
      </c>
    </row>
    <row r="21118" spans="3:3" x14ac:dyDescent="0.2">
      <c r="C21118" s="8" t="e">
        <f>VLOOKUP(A:A,'ITEM LIST'!A:C,3,0)</f>
        <v>#N/A</v>
      </c>
    </row>
    <row r="21119" spans="3:3" x14ac:dyDescent="0.2">
      <c r="C21119" s="8" t="e">
        <f>VLOOKUP(A:A,'ITEM LIST'!A:C,3,0)</f>
        <v>#N/A</v>
      </c>
    </row>
    <row r="21120" spans="3:3" x14ac:dyDescent="0.2">
      <c r="C21120" s="8" t="e">
        <f>VLOOKUP(A:A,'ITEM LIST'!A:C,3,0)</f>
        <v>#N/A</v>
      </c>
    </row>
    <row r="21121" spans="3:3" x14ac:dyDescent="0.2">
      <c r="C21121" s="8" t="e">
        <f>VLOOKUP(A:A,'ITEM LIST'!A:C,3,0)</f>
        <v>#N/A</v>
      </c>
    </row>
    <row r="21122" spans="3:3" x14ac:dyDescent="0.2">
      <c r="C21122" s="8" t="e">
        <f>VLOOKUP(A:A,'ITEM LIST'!A:C,3,0)</f>
        <v>#N/A</v>
      </c>
    </row>
    <row r="21123" spans="3:3" x14ac:dyDescent="0.2">
      <c r="C21123" s="8" t="e">
        <f>VLOOKUP(A:A,'ITEM LIST'!A:C,3,0)</f>
        <v>#N/A</v>
      </c>
    </row>
    <row r="21124" spans="3:3" x14ac:dyDescent="0.2">
      <c r="C21124" s="8" t="e">
        <f>VLOOKUP(A:A,'ITEM LIST'!A:C,3,0)</f>
        <v>#N/A</v>
      </c>
    </row>
    <row r="21125" spans="3:3" x14ac:dyDescent="0.2">
      <c r="C21125" s="8" t="e">
        <f>VLOOKUP(A:A,'ITEM LIST'!A:C,3,0)</f>
        <v>#N/A</v>
      </c>
    </row>
    <row r="21126" spans="3:3" x14ac:dyDescent="0.2">
      <c r="C21126" s="8" t="e">
        <f>VLOOKUP(A:A,'ITEM LIST'!A:C,3,0)</f>
        <v>#N/A</v>
      </c>
    </row>
    <row r="21127" spans="3:3" x14ac:dyDescent="0.2">
      <c r="C21127" s="8" t="e">
        <f>VLOOKUP(A:A,'ITEM LIST'!A:C,3,0)</f>
        <v>#N/A</v>
      </c>
    </row>
    <row r="21128" spans="3:3" x14ac:dyDescent="0.2">
      <c r="C21128" s="8" t="e">
        <f>VLOOKUP(A:A,'ITEM LIST'!A:C,3,0)</f>
        <v>#N/A</v>
      </c>
    </row>
    <row r="21129" spans="3:3" x14ac:dyDescent="0.2">
      <c r="C21129" s="8" t="e">
        <f>VLOOKUP(A:A,'ITEM LIST'!A:C,3,0)</f>
        <v>#N/A</v>
      </c>
    </row>
    <row r="21130" spans="3:3" x14ac:dyDescent="0.2">
      <c r="C21130" s="8" t="e">
        <f>VLOOKUP(A:A,'ITEM LIST'!A:C,3,0)</f>
        <v>#N/A</v>
      </c>
    </row>
    <row r="21131" spans="3:3" x14ac:dyDescent="0.2">
      <c r="C21131" s="8" t="e">
        <f>VLOOKUP(A:A,'ITEM LIST'!A:C,3,0)</f>
        <v>#N/A</v>
      </c>
    </row>
    <row r="21132" spans="3:3" x14ac:dyDescent="0.2">
      <c r="C21132" s="8" t="e">
        <f>VLOOKUP(A:A,'ITEM LIST'!A:C,3,0)</f>
        <v>#N/A</v>
      </c>
    </row>
    <row r="21133" spans="3:3" x14ac:dyDescent="0.2">
      <c r="C21133" s="8" t="e">
        <f>VLOOKUP(A:A,'ITEM LIST'!A:C,3,0)</f>
        <v>#N/A</v>
      </c>
    </row>
    <row r="21134" spans="3:3" x14ac:dyDescent="0.2">
      <c r="C21134" s="8" t="e">
        <f>VLOOKUP(A:A,'ITEM LIST'!A:C,3,0)</f>
        <v>#N/A</v>
      </c>
    </row>
    <row r="21135" spans="3:3" x14ac:dyDescent="0.2">
      <c r="C21135" s="8" t="e">
        <f>VLOOKUP(A:A,'ITEM LIST'!A:C,3,0)</f>
        <v>#N/A</v>
      </c>
    </row>
    <row r="21136" spans="3:3" x14ac:dyDescent="0.2">
      <c r="C21136" s="8" t="e">
        <f>VLOOKUP(A:A,'ITEM LIST'!A:C,3,0)</f>
        <v>#N/A</v>
      </c>
    </row>
    <row r="21137" spans="3:3" x14ac:dyDescent="0.2">
      <c r="C21137" s="8" t="e">
        <f>VLOOKUP(A:A,'ITEM LIST'!A:C,3,0)</f>
        <v>#N/A</v>
      </c>
    </row>
    <row r="21138" spans="3:3" x14ac:dyDescent="0.2">
      <c r="C21138" s="8" t="e">
        <f>VLOOKUP(A:A,'ITEM LIST'!A:C,3,0)</f>
        <v>#N/A</v>
      </c>
    </row>
    <row r="21139" spans="3:3" x14ac:dyDescent="0.2">
      <c r="C21139" s="8" t="e">
        <f>VLOOKUP(A:A,'ITEM LIST'!A:C,3,0)</f>
        <v>#N/A</v>
      </c>
    </row>
    <row r="21140" spans="3:3" x14ac:dyDescent="0.2">
      <c r="C21140" s="8" t="e">
        <f>VLOOKUP(A:A,'ITEM LIST'!A:C,3,0)</f>
        <v>#N/A</v>
      </c>
    </row>
    <row r="21141" spans="3:3" x14ac:dyDescent="0.2">
      <c r="C21141" s="8" t="e">
        <f>VLOOKUP(A:A,'ITEM LIST'!A:C,3,0)</f>
        <v>#N/A</v>
      </c>
    </row>
    <row r="21142" spans="3:3" x14ac:dyDescent="0.2">
      <c r="C21142" s="8" t="e">
        <f>VLOOKUP(A:A,'ITEM LIST'!A:C,3,0)</f>
        <v>#N/A</v>
      </c>
    </row>
    <row r="21143" spans="3:3" x14ac:dyDescent="0.2">
      <c r="C21143" s="8" t="e">
        <f>VLOOKUP(A:A,'ITEM LIST'!A:C,3,0)</f>
        <v>#N/A</v>
      </c>
    </row>
    <row r="21144" spans="3:3" x14ac:dyDescent="0.2">
      <c r="C21144" s="8" t="e">
        <f>VLOOKUP(A:A,'ITEM LIST'!A:C,3,0)</f>
        <v>#N/A</v>
      </c>
    </row>
    <row r="21145" spans="3:3" x14ac:dyDescent="0.2">
      <c r="C21145" s="8" t="e">
        <f>VLOOKUP(A:A,'ITEM LIST'!A:C,3,0)</f>
        <v>#N/A</v>
      </c>
    </row>
    <row r="21146" spans="3:3" x14ac:dyDescent="0.2">
      <c r="C21146" s="8" t="e">
        <f>VLOOKUP(A:A,'ITEM LIST'!A:C,3,0)</f>
        <v>#N/A</v>
      </c>
    </row>
    <row r="21147" spans="3:3" x14ac:dyDescent="0.2">
      <c r="C21147" s="8" t="e">
        <f>VLOOKUP(A:A,'ITEM LIST'!A:C,3,0)</f>
        <v>#N/A</v>
      </c>
    </row>
    <row r="21148" spans="3:3" x14ac:dyDescent="0.2">
      <c r="C21148" s="8" t="e">
        <f>VLOOKUP(A:A,'ITEM LIST'!A:C,3,0)</f>
        <v>#N/A</v>
      </c>
    </row>
    <row r="21149" spans="3:3" x14ac:dyDescent="0.2">
      <c r="C21149" s="8" t="e">
        <f>VLOOKUP(A:A,'ITEM LIST'!A:C,3,0)</f>
        <v>#N/A</v>
      </c>
    </row>
    <row r="21150" spans="3:3" x14ac:dyDescent="0.2">
      <c r="C21150" s="8" t="e">
        <f>VLOOKUP(A:A,'ITEM LIST'!A:C,3,0)</f>
        <v>#N/A</v>
      </c>
    </row>
    <row r="21151" spans="3:3" x14ac:dyDescent="0.2">
      <c r="C21151" s="8" t="e">
        <f>VLOOKUP(A:A,'ITEM LIST'!A:C,3,0)</f>
        <v>#N/A</v>
      </c>
    </row>
    <row r="21152" spans="3:3" x14ac:dyDescent="0.2">
      <c r="C21152" s="8" t="e">
        <f>VLOOKUP(A:A,'ITEM LIST'!A:C,3,0)</f>
        <v>#N/A</v>
      </c>
    </row>
    <row r="21153" spans="3:3" x14ac:dyDescent="0.2">
      <c r="C21153" s="8" t="e">
        <f>VLOOKUP(A:A,'ITEM LIST'!A:C,3,0)</f>
        <v>#N/A</v>
      </c>
    </row>
    <row r="21154" spans="3:3" x14ac:dyDescent="0.2">
      <c r="C21154" s="8" t="e">
        <f>VLOOKUP(A:A,'ITEM LIST'!A:C,3,0)</f>
        <v>#N/A</v>
      </c>
    </row>
    <row r="21155" spans="3:3" x14ac:dyDescent="0.2">
      <c r="C21155" s="8" t="e">
        <f>VLOOKUP(A:A,'ITEM LIST'!A:C,3,0)</f>
        <v>#N/A</v>
      </c>
    </row>
    <row r="21156" spans="3:3" x14ac:dyDescent="0.2">
      <c r="C21156" s="8" t="e">
        <f>VLOOKUP(A:A,'ITEM LIST'!A:C,3,0)</f>
        <v>#N/A</v>
      </c>
    </row>
    <row r="21157" spans="3:3" x14ac:dyDescent="0.2">
      <c r="C21157" s="8" t="e">
        <f>VLOOKUP(A:A,'ITEM LIST'!A:C,3,0)</f>
        <v>#N/A</v>
      </c>
    </row>
    <row r="21158" spans="3:3" x14ac:dyDescent="0.2">
      <c r="C21158" s="8" t="e">
        <f>VLOOKUP(A:A,'ITEM LIST'!A:C,3,0)</f>
        <v>#N/A</v>
      </c>
    </row>
    <row r="21159" spans="3:3" x14ac:dyDescent="0.2">
      <c r="C21159" s="8" t="e">
        <f>VLOOKUP(A:A,'ITEM LIST'!A:C,3,0)</f>
        <v>#N/A</v>
      </c>
    </row>
    <row r="21160" spans="3:3" x14ac:dyDescent="0.2">
      <c r="C21160" s="8" t="e">
        <f>VLOOKUP(A:A,'ITEM LIST'!A:C,3,0)</f>
        <v>#N/A</v>
      </c>
    </row>
    <row r="21161" spans="3:3" x14ac:dyDescent="0.2">
      <c r="C21161" s="8" t="e">
        <f>VLOOKUP(A:A,'ITEM LIST'!A:C,3,0)</f>
        <v>#N/A</v>
      </c>
    </row>
    <row r="21162" spans="3:3" x14ac:dyDescent="0.2">
      <c r="C21162" s="8" t="e">
        <f>VLOOKUP(A:A,'ITEM LIST'!A:C,3,0)</f>
        <v>#N/A</v>
      </c>
    </row>
    <row r="21163" spans="3:3" x14ac:dyDescent="0.2">
      <c r="C21163" s="8" t="e">
        <f>VLOOKUP(A:A,'ITEM LIST'!A:C,3,0)</f>
        <v>#N/A</v>
      </c>
    </row>
    <row r="21164" spans="3:3" x14ac:dyDescent="0.2">
      <c r="C21164" s="8" t="e">
        <f>VLOOKUP(A:A,'ITEM LIST'!A:C,3,0)</f>
        <v>#N/A</v>
      </c>
    </row>
    <row r="21165" spans="3:3" x14ac:dyDescent="0.2">
      <c r="C21165" s="8" t="e">
        <f>VLOOKUP(A:A,'ITEM LIST'!A:C,3,0)</f>
        <v>#N/A</v>
      </c>
    </row>
    <row r="21166" spans="3:3" x14ac:dyDescent="0.2">
      <c r="C21166" s="8" t="e">
        <f>VLOOKUP(A:A,'ITEM LIST'!A:C,3,0)</f>
        <v>#N/A</v>
      </c>
    </row>
    <row r="21167" spans="3:3" x14ac:dyDescent="0.2">
      <c r="C21167" s="8" t="e">
        <f>VLOOKUP(A:A,'ITEM LIST'!A:C,3,0)</f>
        <v>#N/A</v>
      </c>
    </row>
    <row r="21168" spans="3:3" x14ac:dyDescent="0.2">
      <c r="C21168" s="8" t="e">
        <f>VLOOKUP(A:A,'ITEM LIST'!A:C,3,0)</f>
        <v>#N/A</v>
      </c>
    </row>
    <row r="21169" spans="3:3" x14ac:dyDescent="0.2">
      <c r="C21169" s="8" t="e">
        <f>VLOOKUP(A:A,'ITEM LIST'!A:C,3,0)</f>
        <v>#N/A</v>
      </c>
    </row>
    <row r="21170" spans="3:3" x14ac:dyDescent="0.2">
      <c r="C21170" s="8" t="e">
        <f>VLOOKUP(A:A,'ITEM LIST'!A:C,3,0)</f>
        <v>#N/A</v>
      </c>
    </row>
    <row r="21171" spans="3:3" x14ac:dyDescent="0.2">
      <c r="C21171" s="8" t="e">
        <f>VLOOKUP(A:A,'ITEM LIST'!A:C,3,0)</f>
        <v>#N/A</v>
      </c>
    </row>
    <row r="21172" spans="3:3" x14ac:dyDescent="0.2">
      <c r="C21172" s="8" t="e">
        <f>VLOOKUP(A:A,'ITEM LIST'!A:C,3,0)</f>
        <v>#N/A</v>
      </c>
    </row>
    <row r="21173" spans="3:3" x14ac:dyDescent="0.2">
      <c r="C21173" s="8" t="e">
        <f>VLOOKUP(A:A,'ITEM LIST'!A:C,3,0)</f>
        <v>#N/A</v>
      </c>
    </row>
    <row r="21174" spans="3:3" x14ac:dyDescent="0.2">
      <c r="C21174" s="8" t="e">
        <f>VLOOKUP(A:A,'ITEM LIST'!A:C,3,0)</f>
        <v>#N/A</v>
      </c>
    </row>
    <row r="21175" spans="3:3" x14ac:dyDescent="0.2">
      <c r="C21175" s="8" t="e">
        <f>VLOOKUP(A:A,'ITEM LIST'!A:C,3,0)</f>
        <v>#N/A</v>
      </c>
    </row>
    <row r="21176" spans="3:3" x14ac:dyDescent="0.2">
      <c r="C21176" s="8" t="e">
        <f>VLOOKUP(A:A,'ITEM LIST'!A:C,3,0)</f>
        <v>#N/A</v>
      </c>
    </row>
    <row r="21177" spans="3:3" x14ac:dyDescent="0.2">
      <c r="C21177" s="8" t="e">
        <f>VLOOKUP(A:A,'ITEM LIST'!A:C,3,0)</f>
        <v>#N/A</v>
      </c>
    </row>
    <row r="21178" spans="3:3" x14ac:dyDescent="0.2">
      <c r="C21178" s="8" t="e">
        <f>VLOOKUP(A:A,'ITEM LIST'!A:C,3,0)</f>
        <v>#N/A</v>
      </c>
    </row>
    <row r="21179" spans="3:3" x14ac:dyDescent="0.2">
      <c r="C21179" s="8" t="e">
        <f>VLOOKUP(A:A,'ITEM LIST'!A:C,3,0)</f>
        <v>#N/A</v>
      </c>
    </row>
    <row r="21180" spans="3:3" x14ac:dyDescent="0.2">
      <c r="C21180" s="8" t="e">
        <f>VLOOKUP(A:A,'ITEM LIST'!A:C,3,0)</f>
        <v>#N/A</v>
      </c>
    </row>
    <row r="21181" spans="3:3" x14ac:dyDescent="0.2">
      <c r="C21181" s="8" t="e">
        <f>VLOOKUP(A:A,'ITEM LIST'!A:C,3,0)</f>
        <v>#N/A</v>
      </c>
    </row>
    <row r="21182" spans="3:3" x14ac:dyDescent="0.2">
      <c r="C21182" s="8" t="e">
        <f>VLOOKUP(A:A,'ITEM LIST'!A:C,3,0)</f>
        <v>#N/A</v>
      </c>
    </row>
    <row r="21183" spans="3:3" x14ac:dyDescent="0.2">
      <c r="C21183" s="8" t="e">
        <f>VLOOKUP(A:A,'ITEM LIST'!A:C,3,0)</f>
        <v>#N/A</v>
      </c>
    </row>
    <row r="21184" spans="3:3" x14ac:dyDescent="0.2">
      <c r="C21184" s="8" t="e">
        <f>VLOOKUP(A:A,'ITEM LIST'!A:C,3,0)</f>
        <v>#N/A</v>
      </c>
    </row>
    <row r="21185" spans="3:3" x14ac:dyDescent="0.2">
      <c r="C21185" s="8" t="e">
        <f>VLOOKUP(A:A,'ITEM LIST'!A:C,3,0)</f>
        <v>#N/A</v>
      </c>
    </row>
    <row r="21186" spans="3:3" x14ac:dyDescent="0.2">
      <c r="C21186" s="8" t="e">
        <f>VLOOKUP(A:A,'ITEM LIST'!A:C,3,0)</f>
        <v>#N/A</v>
      </c>
    </row>
    <row r="21187" spans="3:3" x14ac:dyDescent="0.2">
      <c r="C21187" s="8" t="e">
        <f>VLOOKUP(A:A,'ITEM LIST'!A:C,3,0)</f>
        <v>#N/A</v>
      </c>
    </row>
    <row r="21188" spans="3:3" x14ac:dyDescent="0.2">
      <c r="C21188" s="8" t="e">
        <f>VLOOKUP(A:A,'ITEM LIST'!A:C,3,0)</f>
        <v>#N/A</v>
      </c>
    </row>
    <row r="21189" spans="3:3" x14ac:dyDescent="0.2">
      <c r="C21189" s="8" t="e">
        <f>VLOOKUP(A:A,'ITEM LIST'!A:C,3,0)</f>
        <v>#N/A</v>
      </c>
    </row>
    <row r="21190" spans="3:3" x14ac:dyDescent="0.2">
      <c r="C21190" s="8" t="e">
        <f>VLOOKUP(A:A,'ITEM LIST'!A:C,3,0)</f>
        <v>#N/A</v>
      </c>
    </row>
    <row r="21191" spans="3:3" x14ac:dyDescent="0.2">
      <c r="C21191" s="8" t="e">
        <f>VLOOKUP(A:A,'ITEM LIST'!A:C,3,0)</f>
        <v>#N/A</v>
      </c>
    </row>
    <row r="21192" spans="3:3" x14ac:dyDescent="0.2">
      <c r="C21192" s="8" t="e">
        <f>VLOOKUP(A:A,'ITEM LIST'!A:C,3,0)</f>
        <v>#N/A</v>
      </c>
    </row>
    <row r="21193" spans="3:3" x14ac:dyDescent="0.2">
      <c r="C21193" s="8" t="e">
        <f>VLOOKUP(A:A,'ITEM LIST'!A:C,3,0)</f>
        <v>#N/A</v>
      </c>
    </row>
    <row r="21194" spans="3:3" x14ac:dyDescent="0.2">
      <c r="C21194" s="8" t="e">
        <f>VLOOKUP(A:A,'ITEM LIST'!A:C,3,0)</f>
        <v>#N/A</v>
      </c>
    </row>
    <row r="21195" spans="3:3" x14ac:dyDescent="0.2">
      <c r="C21195" s="8" t="e">
        <f>VLOOKUP(A:A,'ITEM LIST'!A:C,3,0)</f>
        <v>#N/A</v>
      </c>
    </row>
    <row r="21196" spans="3:3" x14ac:dyDescent="0.2">
      <c r="C21196" s="8" t="e">
        <f>VLOOKUP(A:A,'ITEM LIST'!A:C,3,0)</f>
        <v>#N/A</v>
      </c>
    </row>
    <row r="21197" spans="3:3" x14ac:dyDescent="0.2">
      <c r="C21197" s="8" t="e">
        <f>VLOOKUP(A:A,'ITEM LIST'!A:C,3,0)</f>
        <v>#N/A</v>
      </c>
    </row>
    <row r="21198" spans="3:3" x14ac:dyDescent="0.2">
      <c r="C21198" s="8" t="e">
        <f>VLOOKUP(A:A,'ITEM LIST'!A:C,3,0)</f>
        <v>#N/A</v>
      </c>
    </row>
    <row r="21199" spans="3:3" x14ac:dyDescent="0.2">
      <c r="C21199" s="8" t="e">
        <f>VLOOKUP(A:A,'ITEM LIST'!A:C,3,0)</f>
        <v>#N/A</v>
      </c>
    </row>
    <row r="21200" spans="3:3" x14ac:dyDescent="0.2">
      <c r="C21200" s="8" t="e">
        <f>VLOOKUP(A:A,'ITEM LIST'!A:C,3,0)</f>
        <v>#N/A</v>
      </c>
    </row>
    <row r="21201" spans="3:3" x14ac:dyDescent="0.2">
      <c r="C21201" s="8" t="e">
        <f>VLOOKUP(A:A,'ITEM LIST'!A:C,3,0)</f>
        <v>#N/A</v>
      </c>
    </row>
    <row r="21202" spans="3:3" x14ac:dyDescent="0.2">
      <c r="C21202" s="8" t="e">
        <f>VLOOKUP(A:A,'ITEM LIST'!A:C,3,0)</f>
        <v>#N/A</v>
      </c>
    </row>
    <row r="21203" spans="3:3" x14ac:dyDescent="0.2">
      <c r="C21203" s="8" t="e">
        <f>VLOOKUP(A:A,'ITEM LIST'!A:C,3,0)</f>
        <v>#N/A</v>
      </c>
    </row>
    <row r="21204" spans="3:3" x14ac:dyDescent="0.2">
      <c r="C21204" s="8" t="e">
        <f>VLOOKUP(A:A,'ITEM LIST'!A:C,3,0)</f>
        <v>#N/A</v>
      </c>
    </row>
    <row r="21205" spans="3:3" x14ac:dyDescent="0.2">
      <c r="C21205" s="8" t="e">
        <f>VLOOKUP(A:A,'ITEM LIST'!A:C,3,0)</f>
        <v>#N/A</v>
      </c>
    </row>
    <row r="21206" spans="3:3" x14ac:dyDescent="0.2">
      <c r="C21206" s="8" t="e">
        <f>VLOOKUP(A:A,'ITEM LIST'!A:C,3,0)</f>
        <v>#N/A</v>
      </c>
    </row>
    <row r="21207" spans="3:3" x14ac:dyDescent="0.2">
      <c r="C21207" s="8" t="e">
        <f>VLOOKUP(A:A,'ITEM LIST'!A:C,3,0)</f>
        <v>#N/A</v>
      </c>
    </row>
    <row r="21208" spans="3:3" x14ac:dyDescent="0.2">
      <c r="C21208" s="8" t="e">
        <f>VLOOKUP(A:A,'ITEM LIST'!A:C,3,0)</f>
        <v>#N/A</v>
      </c>
    </row>
    <row r="21209" spans="3:3" x14ac:dyDescent="0.2">
      <c r="C21209" s="8" t="e">
        <f>VLOOKUP(A:A,'ITEM LIST'!A:C,3,0)</f>
        <v>#N/A</v>
      </c>
    </row>
    <row r="21210" spans="3:3" x14ac:dyDescent="0.2">
      <c r="C21210" s="8" t="e">
        <f>VLOOKUP(A:A,'ITEM LIST'!A:C,3,0)</f>
        <v>#N/A</v>
      </c>
    </row>
    <row r="21211" spans="3:3" x14ac:dyDescent="0.2">
      <c r="C21211" s="8" t="e">
        <f>VLOOKUP(A:A,'ITEM LIST'!A:C,3,0)</f>
        <v>#N/A</v>
      </c>
    </row>
    <row r="21212" spans="3:3" x14ac:dyDescent="0.2">
      <c r="C21212" s="8" t="e">
        <f>VLOOKUP(A:A,'ITEM LIST'!A:C,3,0)</f>
        <v>#N/A</v>
      </c>
    </row>
    <row r="21213" spans="3:3" x14ac:dyDescent="0.2">
      <c r="C21213" s="8" t="e">
        <f>VLOOKUP(A:A,'ITEM LIST'!A:C,3,0)</f>
        <v>#N/A</v>
      </c>
    </row>
    <row r="21214" spans="3:3" x14ac:dyDescent="0.2">
      <c r="C21214" s="8" t="e">
        <f>VLOOKUP(A:A,'ITEM LIST'!A:C,3,0)</f>
        <v>#N/A</v>
      </c>
    </row>
    <row r="21215" spans="3:3" x14ac:dyDescent="0.2">
      <c r="C21215" s="8" t="e">
        <f>VLOOKUP(A:A,'ITEM LIST'!A:C,3,0)</f>
        <v>#N/A</v>
      </c>
    </row>
    <row r="21216" spans="3:3" x14ac:dyDescent="0.2">
      <c r="C21216" s="8" t="e">
        <f>VLOOKUP(A:A,'ITEM LIST'!A:C,3,0)</f>
        <v>#N/A</v>
      </c>
    </row>
    <row r="21217" spans="3:3" x14ac:dyDescent="0.2">
      <c r="C21217" s="8" t="e">
        <f>VLOOKUP(A:A,'ITEM LIST'!A:C,3,0)</f>
        <v>#N/A</v>
      </c>
    </row>
    <row r="21218" spans="3:3" x14ac:dyDescent="0.2">
      <c r="C21218" s="8" t="e">
        <f>VLOOKUP(A:A,'ITEM LIST'!A:C,3,0)</f>
        <v>#N/A</v>
      </c>
    </row>
    <row r="21219" spans="3:3" x14ac:dyDescent="0.2">
      <c r="C21219" s="8" t="e">
        <f>VLOOKUP(A:A,'ITEM LIST'!A:C,3,0)</f>
        <v>#N/A</v>
      </c>
    </row>
    <row r="21220" spans="3:3" x14ac:dyDescent="0.2">
      <c r="C21220" s="8" t="e">
        <f>VLOOKUP(A:A,'ITEM LIST'!A:C,3,0)</f>
        <v>#N/A</v>
      </c>
    </row>
    <row r="21221" spans="3:3" x14ac:dyDescent="0.2">
      <c r="C21221" s="8" t="e">
        <f>VLOOKUP(A:A,'ITEM LIST'!A:C,3,0)</f>
        <v>#N/A</v>
      </c>
    </row>
    <row r="21222" spans="3:3" x14ac:dyDescent="0.2">
      <c r="C21222" s="8" t="e">
        <f>VLOOKUP(A:A,'ITEM LIST'!A:C,3,0)</f>
        <v>#N/A</v>
      </c>
    </row>
    <row r="21223" spans="3:3" x14ac:dyDescent="0.2">
      <c r="C21223" s="8" t="e">
        <f>VLOOKUP(A:A,'ITEM LIST'!A:C,3,0)</f>
        <v>#N/A</v>
      </c>
    </row>
    <row r="21224" spans="3:3" x14ac:dyDescent="0.2">
      <c r="C21224" s="8" t="e">
        <f>VLOOKUP(A:A,'ITEM LIST'!A:C,3,0)</f>
        <v>#N/A</v>
      </c>
    </row>
    <row r="21225" spans="3:3" x14ac:dyDescent="0.2">
      <c r="C21225" s="8" t="e">
        <f>VLOOKUP(A:A,'ITEM LIST'!A:C,3,0)</f>
        <v>#N/A</v>
      </c>
    </row>
    <row r="21226" spans="3:3" x14ac:dyDescent="0.2">
      <c r="C21226" s="8" t="e">
        <f>VLOOKUP(A:A,'ITEM LIST'!A:C,3,0)</f>
        <v>#N/A</v>
      </c>
    </row>
    <row r="21227" spans="3:3" x14ac:dyDescent="0.2">
      <c r="C21227" s="8" t="e">
        <f>VLOOKUP(A:A,'ITEM LIST'!A:C,3,0)</f>
        <v>#N/A</v>
      </c>
    </row>
    <row r="21228" spans="3:3" x14ac:dyDescent="0.2">
      <c r="C21228" s="8" t="e">
        <f>VLOOKUP(A:A,'ITEM LIST'!A:C,3,0)</f>
        <v>#N/A</v>
      </c>
    </row>
    <row r="21229" spans="3:3" x14ac:dyDescent="0.2">
      <c r="C21229" s="8" t="e">
        <f>VLOOKUP(A:A,'ITEM LIST'!A:C,3,0)</f>
        <v>#N/A</v>
      </c>
    </row>
    <row r="21230" spans="3:3" x14ac:dyDescent="0.2">
      <c r="C21230" s="8" t="e">
        <f>VLOOKUP(A:A,'ITEM LIST'!A:C,3,0)</f>
        <v>#N/A</v>
      </c>
    </row>
    <row r="21231" spans="3:3" x14ac:dyDescent="0.2">
      <c r="C21231" s="8" t="e">
        <f>VLOOKUP(A:A,'ITEM LIST'!A:C,3,0)</f>
        <v>#N/A</v>
      </c>
    </row>
    <row r="21232" spans="3:3" x14ac:dyDescent="0.2">
      <c r="C21232" s="8" t="e">
        <f>VLOOKUP(A:A,'ITEM LIST'!A:C,3,0)</f>
        <v>#N/A</v>
      </c>
    </row>
    <row r="21233" spans="3:3" x14ac:dyDescent="0.2">
      <c r="C21233" s="8" t="e">
        <f>VLOOKUP(A:A,'ITEM LIST'!A:C,3,0)</f>
        <v>#N/A</v>
      </c>
    </row>
    <row r="21234" spans="3:3" x14ac:dyDescent="0.2">
      <c r="C21234" s="8" t="e">
        <f>VLOOKUP(A:A,'ITEM LIST'!A:C,3,0)</f>
        <v>#N/A</v>
      </c>
    </row>
    <row r="21235" spans="3:3" x14ac:dyDescent="0.2">
      <c r="C21235" s="8" t="e">
        <f>VLOOKUP(A:A,'ITEM LIST'!A:C,3,0)</f>
        <v>#N/A</v>
      </c>
    </row>
    <row r="21236" spans="3:3" x14ac:dyDescent="0.2">
      <c r="C21236" s="8" t="e">
        <f>VLOOKUP(A:A,'ITEM LIST'!A:C,3,0)</f>
        <v>#N/A</v>
      </c>
    </row>
    <row r="21237" spans="3:3" x14ac:dyDescent="0.2">
      <c r="C21237" s="8" t="e">
        <f>VLOOKUP(A:A,'ITEM LIST'!A:C,3,0)</f>
        <v>#N/A</v>
      </c>
    </row>
    <row r="21238" spans="3:3" x14ac:dyDescent="0.2">
      <c r="C21238" s="8" t="e">
        <f>VLOOKUP(A:A,'ITEM LIST'!A:C,3,0)</f>
        <v>#N/A</v>
      </c>
    </row>
    <row r="21239" spans="3:3" x14ac:dyDescent="0.2">
      <c r="C21239" s="8" t="e">
        <f>VLOOKUP(A:A,'ITEM LIST'!A:C,3,0)</f>
        <v>#N/A</v>
      </c>
    </row>
    <row r="21240" spans="3:3" x14ac:dyDescent="0.2">
      <c r="C21240" s="8" t="e">
        <f>VLOOKUP(A:A,'ITEM LIST'!A:C,3,0)</f>
        <v>#N/A</v>
      </c>
    </row>
    <row r="21241" spans="3:3" x14ac:dyDescent="0.2">
      <c r="C21241" s="8" t="e">
        <f>VLOOKUP(A:A,'ITEM LIST'!A:C,3,0)</f>
        <v>#N/A</v>
      </c>
    </row>
    <row r="21242" spans="3:3" x14ac:dyDescent="0.2">
      <c r="C21242" s="8" t="e">
        <f>VLOOKUP(A:A,'ITEM LIST'!A:C,3,0)</f>
        <v>#N/A</v>
      </c>
    </row>
    <row r="21243" spans="3:3" x14ac:dyDescent="0.2">
      <c r="C21243" s="8" t="e">
        <f>VLOOKUP(A:A,'ITEM LIST'!A:C,3,0)</f>
        <v>#N/A</v>
      </c>
    </row>
    <row r="21244" spans="3:3" x14ac:dyDescent="0.2">
      <c r="C21244" s="8" t="e">
        <f>VLOOKUP(A:A,'ITEM LIST'!A:C,3,0)</f>
        <v>#N/A</v>
      </c>
    </row>
    <row r="21245" spans="3:3" x14ac:dyDescent="0.2">
      <c r="C21245" s="8" t="e">
        <f>VLOOKUP(A:A,'ITEM LIST'!A:C,3,0)</f>
        <v>#N/A</v>
      </c>
    </row>
    <row r="21246" spans="3:3" x14ac:dyDescent="0.2">
      <c r="C21246" s="8" t="e">
        <f>VLOOKUP(A:A,'ITEM LIST'!A:C,3,0)</f>
        <v>#N/A</v>
      </c>
    </row>
    <row r="21247" spans="3:3" x14ac:dyDescent="0.2">
      <c r="C21247" s="8" t="e">
        <f>VLOOKUP(A:A,'ITEM LIST'!A:C,3,0)</f>
        <v>#N/A</v>
      </c>
    </row>
    <row r="21248" spans="3:3" x14ac:dyDescent="0.2">
      <c r="C21248" s="8" t="e">
        <f>VLOOKUP(A:A,'ITEM LIST'!A:C,3,0)</f>
        <v>#N/A</v>
      </c>
    </row>
    <row r="21249" spans="3:3" x14ac:dyDescent="0.2">
      <c r="C21249" s="8" t="e">
        <f>VLOOKUP(A:A,'ITEM LIST'!A:C,3,0)</f>
        <v>#N/A</v>
      </c>
    </row>
    <row r="21250" spans="3:3" x14ac:dyDescent="0.2">
      <c r="C21250" s="8" t="e">
        <f>VLOOKUP(A:A,'ITEM LIST'!A:C,3,0)</f>
        <v>#N/A</v>
      </c>
    </row>
    <row r="21251" spans="3:3" x14ac:dyDescent="0.2">
      <c r="C21251" s="8" t="e">
        <f>VLOOKUP(A:A,'ITEM LIST'!A:C,3,0)</f>
        <v>#N/A</v>
      </c>
    </row>
    <row r="21252" spans="3:3" x14ac:dyDescent="0.2">
      <c r="C21252" s="8" t="e">
        <f>VLOOKUP(A:A,'ITEM LIST'!A:C,3,0)</f>
        <v>#N/A</v>
      </c>
    </row>
    <row r="21253" spans="3:3" x14ac:dyDescent="0.2">
      <c r="C21253" s="8" t="e">
        <f>VLOOKUP(A:A,'ITEM LIST'!A:C,3,0)</f>
        <v>#N/A</v>
      </c>
    </row>
    <row r="21254" spans="3:3" x14ac:dyDescent="0.2">
      <c r="C21254" s="8" t="e">
        <f>VLOOKUP(A:A,'ITEM LIST'!A:C,3,0)</f>
        <v>#N/A</v>
      </c>
    </row>
    <row r="21255" spans="3:3" x14ac:dyDescent="0.2">
      <c r="C21255" s="8" t="e">
        <f>VLOOKUP(A:A,'ITEM LIST'!A:C,3,0)</f>
        <v>#N/A</v>
      </c>
    </row>
    <row r="21256" spans="3:3" x14ac:dyDescent="0.2">
      <c r="C21256" s="8" t="e">
        <f>VLOOKUP(A:A,'ITEM LIST'!A:C,3,0)</f>
        <v>#N/A</v>
      </c>
    </row>
    <row r="21257" spans="3:3" x14ac:dyDescent="0.2">
      <c r="C21257" s="8" t="e">
        <f>VLOOKUP(A:A,'ITEM LIST'!A:C,3,0)</f>
        <v>#N/A</v>
      </c>
    </row>
    <row r="21258" spans="3:3" x14ac:dyDescent="0.2">
      <c r="C21258" s="8" t="e">
        <f>VLOOKUP(A:A,'ITEM LIST'!A:C,3,0)</f>
        <v>#N/A</v>
      </c>
    </row>
    <row r="21259" spans="3:3" x14ac:dyDescent="0.2">
      <c r="C21259" s="8" t="e">
        <f>VLOOKUP(A:A,'ITEM LIST'!A:C,3,0)</f>
        <v>#N/A</v>
      </c>
    </row>
    <row r="21260" spans="3:3" x14ac:dyDescent="0.2">
      <c r="C21260" s="8" t="e">
        <f>VLOOKUP(A:A,'ITEM LIST'!A:C,3,0)</f>
        <v>#N/A</v>
      </c>
    </row>
    <row r="21261" spans="3:3" x14ac:dyDescent="0.2">
      <c r="C21261" s="8" t="e">
        <f>VLOOKUP(A:A,'ITEM LIST'!A:C,3,0)</f>
        <v>#N/A</v>
      </c>
    </row>
    <row r="21262" spans="3:3" x14ac:dyDescent="0.2">
      <c r="C21262" s="8" t="e">
        <f>VLOOKUP(A:A,'ITEM LIST'!A:C,3,0)</f>
        <v>#N/A</v>
      </c>
    </row>
    <row r="21263" spans="3:3" x14ac:dyDescent="0.2">
      <c r="C21263" s="8" t="e">
        <f>VLOOKUP(A:A,'ITEM LIST'!A:C,3,0)</f>
        <v>#N/A</v>
      </c>
    </row>
    <row r="21264" spans="3:3" x14ac:dyDescent="0.2">
      <c r="C21264" s="8" t="e">
        <f>VLOOKUP(A:A,'ITEM LIST'!A:C,3,0)</f>
        <v>#N/A</v>
      </c>
    </row>
    <row r="21265" spans="3:3" x14ac:dyDescent="0.2">
      <c r="C21265" s="8" t="e">
        <f>VLOOKUP(A:A,'ITEM LIST'!A:C,3,0)</f>
        <v>#N/A</v>
      </c>
    </row>
    <row r="21266" spans="3:3" x14ac:dyDescent="0.2">
      <c r="C21266" s="8" t="e">
        <f>VLOOKUP(A:A,'ITEM LIST'!A:C,3,0)</f>
        <v>#N/A</v>
      </c>
    </row>
    <row r="21267" spans="3:3" x14ac:dyDescent="0.2">
      <c r="C21267" s="8" t="e">
        <f>VLOOKUP(A:A,'ITEM LIST'!A:C,3,0)</f>
        <v>#N/A</v>
      </c>
    </row>
    <row r="21268" spans="3:3" x14ac:dyDescent="0.2">
      <c r="C21268" s="8" t="e">
        <f>VLOOKUP(A:A,'ITEM LIST'!A:C,3,0)</f>
        <v>#N/A</v>
      </c>
    </row>
    <row r="21269" spans="3:3" x14ac:dyDescent="0.2">
      <c r="C21269" s="8" t="e">
        <f>VLOOKUP(A:A,'ITEM LIST'!A:C,3,0)</f>
        <v>#N/A</v>
      </c>
    </row>
    <row r="21270" spans="3:3" x14ac:dyDescent="0.2">
      <c r="C21270" s="8" t="e">
        <f>VLOOKUP(A:A,'ITEM LIST'!A:C,3,0)</f>
        <v>#N/A</v>
      </c>
    </row>
    <row r="21271" spans="3:3" x14ac:dyDescent="0.2">
      <c r="C21271" s="8" t="e">
        <f>VLOOKUP(A:A,'ITEM LIST'!A:C,3,0)</f>
        <v>#N/A</v>
      </c>
    </row>
    <row r="21272" spans="3:3" x14ac:dyDescent="0.2">
      <c r="C21272" s="8" t="e">
        <f>VLOOKUP(A:A,'ITEM LIST'!A:C,3,0)</f>
        <v>#N/A</v>
      </c>
    </row>
    <row r="21273" spans="3:3" x14ac:dyDescent="0.2">
      <c r="C21273" s="8" t="e">
        <f>VLOOKUP(A:A,'ITEM LIST'!A:C,3,0)</f>
        <v>#N/A</v>
      </c>
    </row>
    <row r="21274" spans="3:3" x14ac:dyDescent="0.2">
      <c r="C21274" s="8" t="e">
        <f>VLOOKUP(A:A,'ITEM LIST'!A:C,3,0)</f>
        <v>#N/A</v>
      </c>
    </row>
    <row r="21275" spans="3:3" x14ac:dyDescent="0.2">
      <c r="C21275" s="8" t="e">
        <f>VLOOKUP(A:A,'ITEM LIST'!A:C,3,0)</f>
        <v>#N/A</v>
      </c>
    </row>
    <row r="21276" spans="3:3" x14ac:dyDescent="0.2">
      <c r="C21276" s="8" t="e">
        <f>VLOOKUP(A:A,'ITEM LIST'!A:C,3,0)</f>
        <v>#N/A</v>
      </c>
    </row>
    <row r="21277" spans="3:3" x14ac:dyDescent="0.2">
      <c r="C21277" s="8" t="e">
        <f>VLOOKUP(A:A,'ITEM LIST'!A:C,3,0)</f>
        <v>#N/A</v>
      </c>
    </row>
    <row r="21278" spans="3:3" x14ac:dyDescent="0.2">
      <c r="C21278" s="8" t="e">
        <f>VLOOKUP(A:A,'ITEM LIST'!A:C,3,0)</f>
        <v>#N/A</v>
      </c>
    </row>
    <row r="21279" spans="3:3" x14ac:dyDescent="0.2">
      <c r="C21279" s="8" t="e">
        <f>VLOOKUP(A:A,'ITEM LIST'!A:C,3,0)</f>
        <v>#N/A</v>
      </c>
    </row>
    <row r="21280" spans="3:3" x14ac:dyDescent="0.2">
      <c r="C21280" s="8" t="e">
        <f>VLOOKUP(A:A,'ITEM LIST'!A:C,3,0)</f>
        <v>#N/A</v>
      </c>
    </row>
    <row r="21281" spans="3:3" x14ac:dyDescent="0.2">
      <c r="C21281" s="8" t="e">
        <f>VLOOKUP(A:A,'ITEM LIST'!A:C,3,0)</f>
        <v>#N/A</v>
      </c>
    </row>
    <row r="21282" spans="3:3" x14ac:dyDescent="0.2">
      <c r="C21282" s="8" t="e">
        <f>VLOOKUP(A:A,'ITEM LIST'!A:C,3,0)</f>
        <v>#N/A</v>
      </c>
    </row>
    <row r="21283" spans="3:3" x14ac:dyDescent="0.2">
      <c r="C21283" s="8" t="e">
        <f>VLOOKUP(A:A,'ITEM LIST'!A:C,3,0)</f>
        <v>#N/A</v>
      </c>
    </row>
    <row r="21284" spans="3:3" x14ac:dyDescent="0.2">
      <c r="C21284" s="8" t="e">
        <f>VLOOKUP(A:A,'ITEM LIST'!A:C,3,0)</f>
        <v>#N/A</v>
      </c>
    </row>
    <row r="21285" spans="3:3" x14ac:dyDescent="0.2">
      <c r="C21285" s="8" t="e">
        <f>VLOOKUP(A:A,'ITEM LIST'!A:C,3,0)</f>
        <v>#N/A</v>
      </c>
    </row>
    <row r="21286" spans="3:3" x14ac:dyDescent="0.2">
      <c r="C21286" s="8" t="e">
        <f>VLOOKUP(A:A,'ITEM LIST'!A:C,3,0)</f>
        <v>#N/A</v>
      </c>
    </row>
    <row r="21287" spans="3:3" x14ac:dyDescent="0.2">
      <c r="C21287" s="8" t="e">
        <f>VLOOKUP(A:A,'ITEM LIST'!A:C,3,0)</f>
        <v>#N/A</v>
      </c>
    </row>
    <row r="21288" spans="3:3" x14ac:dyDescent="0.2">
      <c r="C21288" s="8" t="e">
        <f>VLOOKUP(A:A,'ITEM LIST'!A:C,3,0)</f>
        <v>#N/A</v>
      </c>
    </row>
    <row r="21289" spans="3:3" x14ac:dyDescent="0.2">
      <c r="C21289" s="8" t="e">
        <f>VLOOKUP(A:A,'ITEM LIST'!A:C,3,0)</f>
        <v>#N/A</v>
      </c>
    </row>
    <row r="21290" spans="3:3" x14ac:dyDescent="0.2">
      <c r="C21290" s="8" t="e">
        <f>VLOOKUP(A:A,'ITEM LIST'!A:C,3,0)</f>
        <v>#N/A</v>
      </c>
    </row>
    <row r="21291" spans="3:3" x14ac:dyDescent="0.2">
      <c r="C21291" s="8" t="e">
        <f>VLOOKUP(A:A,'ITEM LIST'!A:C,3,0)</f>
        <v>#N/A</v>
      </c>
    </row>
    <row r="21292" spans="3:3" x14ac:dyDescent="0.2">
      <c r="C21292" s="8" t="e">
        <f>VLOOKUP(A:A,'ITEM LIST'!A:C,3,0)</f>
        <v>#N/A</v>
      </c>
    </row>
    <row r="21293" spans="3:3" x14ac:dyDescent="0.2">
      <c r="C21293" s="8" t="e">
        <f>VLOOKUP(A:A,'ITEM LIST'!A:C,3,0)</f>
        <v>#N/A</v>
      </c>
    </row>
    <row r="21294" spans="3:3" x14ac:dyDescent="0.2">
      <c r="C21294" s="8" t="e">
        <f>VLOOKUP(A:A,'ITEM LIST'!A:C,3,0)</f>
        <v>#N/A</v>
      </c>
    </row>
    <row r="21295" spans="3:3" x14ac:dyDescent="0.2">
      <c r="C21295" s="8" t="e">
        <f>VLOOKUP(A:A,'ITEM LIST'!A:C,3,0)</f>
        <v>#N/A</v>
      </c>
    </row>
    <row r="21296" spans="3:3" x14ac:dyDescent="0.2">
      <c r="C21296" s="8" t="e">
        <f>VLOOKUP(A:A,'ITEM LIST'!A:C,3,0)</f>
        <v>#N/A</v>
      </c>
    </row>
    <row r="21297" spans="3:3" x14ac:dyDescent="0.2">
      <c r="C21297" s="8" t="e">
        <f>VLOOKUP(A:A,'ITEM LIST'!A:C,3,0)</f>
        <v>#N/A</v>
      </c>
    </row>
    <row r="21298" spans="3:3" x14ac:dyDescent="0.2">
      <c r="C21298" s="8" t="e">
        <f>VLOOKUP(A:A,'ITEM LIST'!A:C,3,0)</f>
        <v>#N/A</v>
      </c>
    </row>
    <row r="21299" spans="3:3" x14ac:dyDescent="0.2">
      <c r="C21299" s="8" t="e">
        <f>VLOOKUP(A:A,'ITEM LIST'!A:C,3,0)</f>
        <v>#N/A</v>
      </c>
    </row>
    <row r="21300" spans="3:3" x14ac:dyDescent="0.2">
      <c r="C21300" s="8" t="e">
        <f>VLOOKUP(A:A,'ITEM LIST'!A:C,3,0)</f>
        <v>#N/A</v>
      </c>
    </row>
    <row r="21301" spans="3:3" x14ac:dyDescent="0.2">
      <c r="C21301" s="8" t="e">
        <f>VLOOKUP(A:A,'ITEM LIST'!A:C,3,0)</f>
        <v>#N/A</v>
      </c>
    </row>
    <row r="21302" spans="3:3" x14ac:dyDescent="0.2">
      <c r="C21302" s="8" t="e">
        <f>VLOOKUP(A:A,'ITEM LIST'!A:C,3,0)</f>
        <v>#N/A</v>
      </c>
    </row>
    <row r="21303" spans="3:3" x14ac:dyDescent="0.2">
      <c r="C21303" s="8" t="e">
        <f>VLOOKUP(A:A,'ITEM LIST'!A:C,3,0)</f>
        <v>#N/A</v>
      </c>
    </row>
    <row r="21304" spans="3:3" x14ac:dyDescent="0.2">
      <c r="C21304" s="8" t="e">
        <f>VLOOKUP(A:A,'ITEM LIST'!A:C,3,0)</f>
        <v>#N/A</v>
      </c>
    </row>
    <row r="21305" spans="3:3" x14ac:dyDescent="0.2">
      <c r="C21305" s="8" t="e">
        <f>VLOOKUP(A:A,'ITEM LIST'!A:C,3,0)</f>
        <v>#N/A</v>
      </c>
    </row>
    <row r="21306" spans="3:3" x14ac:dyDescent="0.2">
      <c r="C21306" s="8" t="e">
        <f>VLOOKUP(A:A,'ITEM LIST'!A:C,3,0)</f>
        <v>#N/A</v>
      </c>
    </row>
    <row r="21307" spans="3:3" x14ac:dyDescent="0.2">
      <c r="C21307" s="8" t="e">
        <f>VLOOKUP(A:A,'ITEM LIST'!A:C,3,0)</f>
        <v>#N/A</v>
      </c>
    </row>
    <row r="21308" spans="3:3" x14ac:dyDescent="0.2">
      <c r="C21308" s="8" t="e">
        <f>VLOOKUP(A:A,'ITEM LIST'!A:C,3,0)</f>
        <v>#N/A</v>
      </c>
    </row>
    <row r="21309" spans="3:3" x14ac:dyDescent="0.2">
      <c r="C21309" s="8" t="e">
        <f>VLOOKUP(A:A,'ITEM LIST'!A:C,3,0)</f>
        <v>#N/A</v>
      </c>
    </row>
    <row r="21310" spans="3:3" x14ac:dyDescent="0.2">
      <c r="C21310" s="8" t="e">
        <f>VLOOKUP(A:A,'ITEM LIST'!A:C,3,0)</f>
        <v>#N/A</v>
      </c>
    </row>
    <row r="21311" spans="3:3" x14ac:dyDescent="0.2">
      <c r="C21311" s="8" t="e">
        <f>VLOOKUP(A:A,'ITEM LIST'!A:C,3,0)</f>
        <v>#N/A</v>
      </c>
    </row>
    <row r="21312" spans="3:3" x14ac:dyDescent="0.2">
      <c r="C21312" s="8" t="e">
        <f>VLOOKUP(A:A,'ITEM LIST'!A:C,3,0)</f>
        <v>#N/A</v>
      </c>
    </row>
    <row r="21313" spans="3:3" x14ac:dyDescent="0.2">
      <c r="C21313" s="8" t="e">
        <f>VLOOKUP(A:A,'ITEM LIST'!A:C,3,0)</f>
        <v>#N/A</v>
      </c>
    </row>
    <row r="21314" spans="3:3" x14ac:dyDescent="0.2">
      <c r="C21314" s="8" t="e">
        <f>VLOOKUP(A:A,'ITEM LIST'!A:C,3,0)</f>
        <v>#N/A</v>
      </c>
    </row>
    <row r="21315" spans="3:3" x14ac:dyDescent="0.2">
      <c r="C21315" s="8" t="e">
        <f>VLOOKUP(A:A,'ITEM LIST'!A:C,3,0)</f>
        <v>#N/A</v>
      </c>
    </row>
    <row r="21316" spans="3:3" x14ac:dyDescent="0.2">
      <c r="C21316" s="8" t="e">
        <f>VLOOKUP(A:A,'ITEM LIST'!A:C,3,0)</f>
        <v>#N/A</v>
      </c>
    </row>
    <row r="21317" spans="3:3" x14ac:dyDescent="0.2">
      <c r="C21317" s="8" t="e">
        <f>VLOOKUP(A:A,'ITEM LIST'!A:C,3,0)</f>
        <v>#N/A</v>
      </c>
    </row>
    <row r="21318" spans="3:3" x14ac:dyDescent="0.2">
      <c r="C21318" s="8" t="e">
        <f>VLOOKUP(A:A,'ITEM LIST'!A:C,3,0)</f>
        <v>#N/A</v>
      </c>
    </row>
    <row r="21319" spans="3:3" x14ac:dyDescent="0.2">
      <c r="C21319" s="8" t="e">
        <f>VLOOKUP(A:A,'ITEM LIST'!A:C,3,0)</f>
        <v>#N/A</v>
      </c>
    </row>
    <row r="21320" spans="3:3" x14ac:dyDescent="0.2">
      <c r="C21320" s="8" t="e">
        <f>VLOOKUP(A:A,'ITEM LIST'!A:C,3,0)</f>
        <v>#N/A</v>
      </c>
    </row>
    <row r="21321" spans="3:3" x14ac:dyDescent="0.2">
      <c r="C21321" s="8" t="e">
        <f>VLOOKUP(A:A,'ITEM LIST'!A:C,3,0)</f>
        <v>#N/A</v>
      </c>
    </row>
    <row r="21322" spans="3:3" x14ac:dyDescent="0.2">
      <c r="C21322" s="8" t="e">
        <f>VLOOKUP(A:A,'ITEM LIST'!A:C,3,0)</f>
        <v>#N/A</v>
      </c>
    </row>
    <row r="21323" spans="3:3" x14ac:dyDescent="0.2">
      <c r="C21323" s="8" t="e">
        <f>VLOOKUP(A:A,'ITEM LIST'!A:C,3,0)</f>
        <v>#N/A</v>
      </c>
    </row>
    <row r="21324" spans="3:3" x14ac:dyDescent="0.2">
      <c r="C21324" s="8" t="e">
        <f>VLOOKUP(A:A,'ITEM LIST'!A:C,3,0)</f>
        <v>#N/A</v>
      </c>
    </row>
    <row r="21325" spans="3:3" x14ac:dyDescent="0.2">
      <c r="C21325" s="8" t="e">
        <f>VLOOKUP(A:A,'ITEM LIST'!A:C,3,0)</f>
        <v>#N/A</v>
      </c>
    </row>
    <row r="21326" spans="3:3" x14ac:dyDescent="0.2">
      <c r="C21326" s="8" t="e">
        <f>VLOOKUP(A:A,'ITEM LIST'!A:C,3,0)</f>
        <v>#N/A</v>
      </c>
    </row>
    <row r="21327" spans="3:3" x14ac:dyDescent="0.2">
      <c r="C21327" s="8" t="e">
        <f>VLOOKUP(A:A,'ITEM LIST'!A:C,3,0)</f>
        <v>#N/A</v>
      </c>
    </row>
    <row r="21328" spans="3:3" x14ac:dyDescent="0.2">
      <c r="C21328" s="8" t="e">
        <f>VLOOKUP(A:A,'ITEM LIST'!A:C,3,0)</f>
        <v>#N/A</v>
      </c>
    </row>
    <row r="21329" spans="3:3" x14ac:dyDescent="0.2">
      <c r="C21329" s="8" t="e">
        <f>VLOOKUP(A:A,'ITEM LIST'!A:C,3,0)</f>
        <v>#N/A</v>
      </c>
    </row>
    <row r="21330" spans="3:3" x14ac:dyDescent="0.2">
      <c r="C21330" s="8" t="e">
        <f>VLOOKUP(A:A,'ITEM LIST'!A:C,3,0)</f>
        <v>#N/A</v>
      </c>
    </row>
    <row r="21331" spans="3:3" x14ac:dyDescent="0.2">
      <c r="C21331" s="8" t="e">
        <f>VLOOKUP(A:A,'ITEM LIST'!A:C,3,0)</f>
        <v>#N/A</v>
      </c>
    </row>
    <row r="21332" spans="3:3" x14ac:dyDescent="0.2">
      <c r="C21332" s="8" t="e">
        <f>VLOOKUP(A:A,'ITEM LIST'!A:C,3,0)</f>
        <v>#N/A</v>
      </c>
    </row>
    <row r="21333" spans="3:3" x14ac:dyDescent="0.2">
      <c r="C21333" s="8" t="e">
        <f>VLOOKUP(A:A,'ITEM LIST'!A:C,3,0)</f>
        <v>#N/A</v>
      </c>
    </row>
    <row r="21334" spans="3:3" x14ac:dyDescent="0.2">
      <c r="C21334" s="8" t="e">
        <f>VLOOKUP(A:A,'ITEM LIST'!A:C,3,0)</f>
        <v>#N/A</v>
      </c>
    </row>
    <row r="21335" spans="3:3" x14ac:dyDescent="0.2">
      <c r="C21335" s="8" t="e">
        <f>VLOOKUP(A:A,'ITEM LIST'!A:C,3,0)</f>
        <v>#N/A</v>
      </c>
    </row>
    <row r="21336" spans="3:3" x14ac:dyDescent="0.2">
      <c r="C21336" s="8" t="e">
        <f>VLOOKUP(A:A,'ITEM LIST'!A:C,3,0)</f>
        <v>#N/A</v>
      </c>
    </row>
    <row r="21337" spans="3:3" x14ac:dyDescent="0.2">
      <c r="C21337" s="8" t="e">
        <f>VLOOKUP(A:A,'ITEM LIST'!A:C,3,0)</f>
        <v>#N/A</v>
      </c>
    </row>
    <row r="21338" spans="3:3" x14ac:dyDescent="0.2">
      <c r="C21338" s="8" t="e">
        <f>VLOOKUP(A:A,'ITEM LIST'!A:C,3,0)</f>
        <v>#N/A</v>
      </c>
    </row>
    <row r="21339" spans="3:3" x14ac:dyDescent="0.2">
      <c r="C21339" s="8" t="e">
        <f>VLOOKUP(A:A,'ITEM LIST'!A:C,3,0)</f>
        <v>#N/A</v>
      </c>
    </row>
    <row r="21340" spans="3:3" x14ac:dyDescent="0.2">
      <c r="C21340" s="8" t="e">
        <f>VLOOKUP(A:A,'ITEM LIST'!A:C,3,0)</f>
        <v>#N/A</v>
      </c>
    </row>
    <row r="21341" spans="3:3" x14ac:dyDescent="0.2">
      <c r="C21341" s="8" t="e">
        <f>VLOOKUP(A:A,'ITEM LIST'!A:C,3,0)</f>
        <v>#N/A</v>
      </c>
    </row>
    <row r="21342" spans="3:3" x14ac:dyDescent="0.2">
      <c r="C21342" s="8" t="e">
        <f>VLOOKUP(A:A,'ITEM LIST'!A:C,3,0)</f>
        <v>#N/A</v>
      </c>
    </row>
    <row r="21343" spans="3:3" x14ac:dyDescent="0.2">
      <c r="C21343" s="8" t="e">
        <f>VLOOKUP(A:A,'ITEM LIST'!A:C,3,0)</f>
        <v>#N/A</v>
      </c>
    </row>
    <row r="21344" spans="3:3" x14ac:dyDescent="0.2">
      <c r="C21344" s="8" t="e">
        <f>VLOOKUP(A:A,'ITEM LIST'!A:C,3,0)</f>
        <v>#N/A</v>
      </c>
    </row>
    <row r="21345" spans="3:3" x14ac:dyDescent="0.2">
      <c r="C21345" s="8" t="e">
        <f>VLOOKUP(A:A,'ITEM LIST'!A:C,3,0)</f>
        <v>#N/A</v>
      </c>
    </row>
    <row r="21346" spans="3:3" x14ac:dyDescent="0.2">
      <c r="C21346" s="8" t="e">
        <f>VLOOKUP(A:A,'ITEM LIST'!A:C,3,0)</f>
        <v>#N/A</v>
      </c>
    </row>
    <row r="21347" spans="3:3" x14ac:dyDescent="0.2">
      <c r="C21347" s="8" t="e">
        <f>VLOOKUP(A:A,'ITEM LIST'!A:C,3,0)</f>
        <v>#N/A</v>
      </c>
    </row>
    <row r="21348" spans="3:3" x14ac:dyDescent="0.2">
      <c r="C21348" s="8" t="e">
        <f>VLOOKUP(A:A,'ITEM LIST'!A:C,3,0)</f>
        <v>#N/A</v>
      </c>
    </row>
    <row r="21349" spans="3:3" x14ac:dyDescent="0.2">
      <c r="C21349" s="8" t="e">
        <f>VLOOKUP(A:A,'ITEM LIST'!A:C,3,0)</f>
        <v>#N/A</v>
      </c>
    </row>
    <row r="21350" spans="3:3" x14ac:dyDescent="0.2">
      <c r="C21350" s="8" t="e">
        <f>VLOOKUP(A:A,'ITEM LIST'!A:C,3,0)</f>
        <v>#N/A</v>
      </c>
    </row>
    <row r="21351" spans="3:3" x14ac:dyDescent="0.2">
      <c r="C21351" s="8" t="e">
        <f>VLOOKUP(A:A,'ITEM LIST'!A:C,3,0)</f>
        <v>#N/A</v>
      </c>
    </row>
    <row r="21352" spans="3:3" x14ac:dyDescent="0.2">
      <c r="C21352" s="8" t="e">
        <f>VLOOKUP(A:A,'ITEM LIST'!A:C,3,0)</f>
        <v>#N/A</v>
      </c>
    </row>
    <row r="21353" spans="3:3" x14ac:dyDescent="0.2">
      <c r="C21353" s="8" t="e">
        <f>VLOOKUP(A:A,'ITEM LIST'!A:C,3,0)</f>
        <v>#N/A</v>
      </c>
    </row>
    <row r="21354" spans="3:3" x14ac:dyDescent="0.2">
      <c r="C21354" s="8" t="e">
        <f>VLOOKUP(A:A,'ITEM LIST'!A:C,3,0)</f>
        <v>#N/A</v>
      </c>
    </row>
    <row r="21355" spans="3:3" x14ac:dyDescent="0.2">
      <c r="C21355" s="8" t="e">
        <f>VLOOKUP(A:A,'ITEM LIST'!A:C,3,0)</f>
        <v>#N/A</v>
      </c>
    </row>
    <row r="21356" spans="3:3" x14ac:dyDescent="0.2">
      <c r="C21356" s="8" t="e">
        <f>VLOOKUP(A:A,'ITEM LIST'!A:C,3,0)</f>
        <v>#N/A</v>
      </c>
    </row>
    <row r="21357" spans="3:3" x14ac:dyDescent="0.2">
      <c r="C21357" s="8" t="e">
        <f>VLOOKUP(A:A,'ITEM LIST'!A:C,3,0)</f>
        <v>#N/A</v>
      </c>
    </row>
    <row r="21358" spans="3:3" x14ac:dyDescent="0.2">
      <c r="C21358" s="8" t="e">
        <f>VLOOKUP(A:A,'ITEM LIST'!A:C,3,0)</f>
        <v>#N/A</v>
      </c>
    </row>
    <row r="21359" spans="3:3" x14ac:dyDescent="0.2">
      <c r="C21359" s="8" t="e">
        <f>VLOOKUP(A:A,'ITEM LIST'!A:C,3,0)</f>
        <v>#N/A</v>
      </c>
    </row>
    <row r="21360" spans="3:3" x14ac:dyDescent="0.2">
      <c r="C21360" s="8" t="e">
        <f>VLOOKUP(A:A,'ITEM LIST'!A:C,3,0)</f>
        <v>#N/A</v>
      </c>
    </row>
    <row r="21361" spans="3:3" x14ac:dyDescent="0.2">
      <c r="C21361" s="8" t="e">
        <f>VLOOKUP(A:A,'ITEM LIST'!A:C,3,0)</f>
        <v>#N/A</v>
      </c>
    </row>
    <row r="21362" spans="3:3" x14ac:dyDescent="0.2">
      <c r="C21362" s="8" t="e">
        <f>VLOOKUP(A:A,'ITEM LIST'!A:C,3,0)</f>
        <v>#N/A</v>
      </c>
    </row>
    <row r="21363" spans="3:3" x14ac:dyDescent="0.2">
      <c r="C21363" s="8" t="e">
        <f>VLOOKUP(A:A,'ITEM LIST'!A:C,3,0)</f>
        <v>#N/A</v>
      </c>
    </row>
    <row r="21364" spans="3:3" x14ac:dyDescent="0.2">
      <c r="C21364" s="8" t="e">
        <f>VLOOKUP(A:A,'ITEM LIST'!A:C,3,0)</f>
        <v>#N/A</v>
      </c>
    </row>
    <row r="21365" spans="3:3" x14ac:dyDescent="0.2">
      <c r="C21365" s="8" t="e">
        <f>VLOOKUP(A:A,'ITEM LIST'!A:C,3,0)</f>
        <v>#N/A</v>
      </c>
    </row>
    <row r="21366" spans="3:3" x14ac:dyDescent="0.2">
      <c r="C21366" s="8" t="e">
        <f>VLOOKUP(A:A,'ITEM LIST'!A:C,3,0)</f>
        <v>#N/A</v>
      </c>
    </row>
    <row r="21367" spans="3:3" x14ac:dyDescent="0.2">
      <c r="C21367" s="8" t="e">
        <f>VLOOKUP(A:A,'ITEM LIST'!A:C,3,0)</f>
        <v>#N/A</v>
      </c>
    </row>
    <row r="21368" spans="3:3" x14ac:dyDescent="0.2">
      <c r="C21368" s="8" t="e">
        <f>VLOOKUP(A:A,'ITEM LIST'!A:C,3,0)</f>
        <v>#N/A</v>
      </c>
    </row>
    <row r="21369" spans="3:3" x14ac:dyDescent="0.2">
      <c r="C21369" s="8" t="e">
        <f>VLOOKUP(A:A,'ITEM LIST'!A:C,3,0)</f>
        <v>#N/A</v>
      </c>
    </row>
    <row r="21370" spans="3:3" x14ac:dyDescent="0.2">
      <c r="C21370" s="8" t="e">
        <f>VLOOKUP(A:A,'ITEM LIST'!A:C,3,0)</f>
        <v>#N/A</v>
      </c>
    </row>
    <row r="21371" spans="3:3" x14ac:dyDescent="0.2">
      <c r="C21371" s="8" t="e">
        <f>VLOOKUP(A:A,'ITEM LIST'!A:C,3,0)</f>
        <v>#N/A</v>
      </c>
    </row>
    <row r="21372" spans="3:3" x14ac:dyDescent="0.2">
      <c r="C21372" s="8" t="e">
        <f>VLOOKUP(A:A,'ITEM LIST'!A:C,3,0)</f>
        <v>#N/A</v>
      </c>
    </row>
    <row r="21373" spans="3:3" x14ac:dyDescent="0.2">
      <c r="C21373" s="8" t="e">
        <f>VLOOKUP(A:A,'ITEM LIST'!A:C,3,0)</f>
        <v>#N/A</v>
      </c>
    </row>
    <row r="21374" spans="3:3" x14ac:dyDescent="0.2">
      <c r="C21374" s="8" t="e">
        <f>VLOOKUP(A:A,'ITEM LIST'!A:C,3,0)</f>
        <v>#N/A</v>
      </c>
    </row>
    <row r="21375" spans="3:3" x14ac:dyDescent="0.2">
      <c r="C21375" s="8" t="e">
        <f>VLOOKUP(A:A,'ITEM LIST'!A:C,3,0)</f>
        <v>#N/A</v>
      </c>
    </row>
    <row r="21376" spans="3:3" x14ac:dyDescent="0.2">
      <c r="C21376" s="8" t="e">
        <f>VLOOKUP(A:A,'ITEM LIST'!A:C,3,0)</f>
        <v>#N/A</v>
      </c>
    </row>
    <row r="21377" spans="3:3" x14ac:dyDescent="0.2">
      <c r="C21377" s="8" t="e">
        <f>VLOOKUP(A:A,'ITEM LIST'!A:C,3,0)</f>
        <v>#N/A</v>
      </c>
    </row>
    <row r="21378" spans="3:3" x14ac:dyDescent="0.2">
      <c r="C21378" s="8" t="e">
        <f>VLOOKUP(A:A,'ITEM LIST'!A:C,3,0)</f>
        <v>#N/A</v>
      </c>
    </row>
    <row r="21379" spans="3:3" x14ac:dyDescent="0.2">
      <c r="C21379" s="8" t="e">
        <f>VLOOKUP(A:A,'ITEM LIST'!A:C,3,0)</f>
        <v>#N/A</v>
      </c>
    </row>
    <row r="21380" spans="3:3" x14ac:dyDescent="0.2">
      <c r="C21380" s="8" t="e">
        <f>VLOOKUP(A:A,'ITEM LIST'!A:C,3,0)</f>
        <v>#N/A</v>
      </c>
    </row>
    <row r="21381" spans="3:3" x14ac:dyDescent="0.2">
      <c r="C21381" s="8" t="e">
        <f>VLOOKUP(A:A,'ITEM LIST'!A:C,3,0)</f>
        <v>#N/A</v>
      </c>
    </row>
    <row r="21382" spans="3:3" x14ac:dyDescent="0.2">
      <c r="C21382" s="8" t="e">
        <f>VLOOKUP(A:A,'ITEM LIST'!A:C,3,0)</f>
        <v>#N/A</v>
      </c>
    </row>
    <row r="21383" spans="3:3" x14ac:dyDescent="0.2">
      <c r="C21383" s="8" t="e">
        <f>VLOOKUP(A:A,'ITEM LIST'!A:C,3,0)</f>
        <v>#N/A</v>
      </c>
    </row>
    <row r="21384" spans="3:3" x14ac:dyDescent="0.2">
      <c r="C21384" s="8" t="e">
        <f>VLOOKUP(A:A,'ITEM LIST'!A:C,3,0)</f>
        <v>#N/A</v>
      </c>
    </row>
    <row r="21385" spans="3:3" x14ac:dyDescent="0.2">
      <c r="C21385" s="8" t="e">
        <f>VLOOKUP(A:A,'ITEM LIST'!A:C,3,0)</f>
        <v>#N/A</v>
      </c>
    </row>
    <row r="21386" spans="3:3" x14ac:dyDescent="0.2">
      <c r="C21386" s="8" t="e">
        <f>VLOOKUP(A:A,'ITEM LIST'!A:C,3,0)</f>
        <v>#N/A</v>
      </c>
    </row>
    <row r="21387" spans="3:3" x14ac:dyDescent="0.2">
      <c r="C21387" s="8" t="e">
        <f>VLOOKUP(A:A,'ITEM LIST'!A:C,3,0)</f>
        <v>#N/A</v>
      </c>
    </row>
    <row r="21388" spans="3:3" x14ac:dyDescent="0.2">
      <c r="C21388" s="8" t="e">
        <f>VLOOKUP(A:A,'ITEM LIST'!A:C,3,0)</f>
        <v>#N/A</v>
      </c>
    </row>
    <row r="21389" spans="3:3" x14ac:dyDescent="0.2">
      <c r="C21389" s="8" t="e">
        <f>VLOOKUP(A:A,'ITEM LIST'!A:C,3,0)</f>
        <v>#N/A</v>
      </c>
    </row>
    <row r="21390" spans="3:3" x14ac:dyDescent="0.2">
      <c r="C21390" s="8" t="e">
        <f>VLOOKUP(A:A,'ITEM LIST'!A:C,3,0)</f>
        <v>#N/A</v>
      </c>
    </row>
    <row r="21391" spans="3:3" x14ac:dyDescent="0.2">
      <c r="C21391" s="8" t="e">
        <f>VLOOKUP(A:A,'ITEM LIST'!A:C,3,0)</f>
        <v>#N/A</v>
      </c>
    </row>
    <row r="21392" spans="3:3" x14ac:dyDescent="0.2">
      <c r="C21392" s="8" t="e">
        <f>VLOOKUP(A:A,'ITEM LIST'!A:C,3,0)</f>
        <v>#N/A</v>
      </c>
    </row>
    <row r="21393" spans="3:3" x14ac:dyDescent="0.2">
      <c r="C21393" s="8" t="e">
        <f>VLOOKUP(A:A,'ITEM LIST'!A:C,3,0)</f>
        <v>#N/A</v>
      </c>
    </row>
    <row r="21394" spans="3:3" x14ac:dyDescent="0.2">
      <c r="C21394" s="8" t="e">
        <f>VLOOKUP(A:A,'ITEM LIST'!A:C,3,0)</f>
        <v>#N/A</v>
      </c>
    </row>
    <row r="21395" spans="3:3" x14ac:dyDescent="0.2">
      <c r="C21395" s="8" t="e">
        <f>VLOOKUP(A:A,'ITEM LIST'!A:C,3,0)</f>
        <v>#N/A</v>
      </c>
    </row>
    <row r="21396" spans="3:3" x14ac:dyDescent="0.2">
      <c r="C21396" s="8" t="e">
        <f>VLOOKUP(A:A,'ITEM LIST'!A:C,3,0)</f>
        <v>#N/A</v>
      </c>
    </row>
    <row r="21397" spans="3:3" x14ac:dyDescent="0.2">
      <c r="C21397" s="8" t="e">
        <f>VLOOKUP(A:A,'ITEM LIST'!A:C,3,0)</f>
        <v>#N/A</v>
      </c>
    </row>
    <row r="21398" spans="3:3" x14ac:dyDescent="0.2">
      <c r="C21398" s="8" t="e">
        <f>VLOOKUP(A:A,'ITEM LIST'!A:C,3,0)</f>
        <v>#N/A</v>
      </c>
    </row>
    <row r="21399" spans="3:3" x14ac:dyDescent="0.2">
      <c r="C21399" s="8" t="e">
        <f>VLOOKUP(A:A,'ITEM LIST'!A:C,3,0)</f>
        <v>#N/A</v>
      </c>
    </row>
    <row r="21400" spans="3:3" x14ac:dyDescent="0.2">
      <c r="C21400" s="8" t="e">
        <f>VLOOKUP(A:A,'ITEM LIST'!A:C,3,0)</f>
        <v>#N/A</v>
      </c>
    </row>
    <row r="21401" spans="3:3" x14ac:dyDescent="0.2">
      <c r="C21401" s="8" t="e">
        <f>VLOOKUP(A:A,'ITEM LIST'!A:C,3,0)</f>
        <v>#N/A</v>
      </c>
    </row>
    <row r="21402" spans="3:3" x14ac:dyDescent="0.2">
      <c r="C21402" s="8" t="e">
        <f>VLOOKUP(A:A,'ITEM LIST'!A:C,3,0)</f>
        <v>#N/A</v>
      </c>
    </row>
    <row r="21403" spans="3:3" x14ac:dyDescent="0.2">
      <c r="C21403" s="8" t="e">
        <f>VLOOKUP(A:A,'ITEM LIST'!A:C,3,0)</f>
        <v>#N/A</v>
      </c>
    </row>
    <row r="21404" spans="3:3" x14ac:dyDescent="0.2">
      <c r="C21404" s="8" t="e">
        <f>VLOOKUP(A:A,'ITEM LIST'!A:C,3,0)</f>
        <v>#N/A</v>
      </c>
    </row>
    <row r="21405" spans="3:3" x14ac:dyDescent="0.2">
      <c r="C21405" s="8" t="e">
        <f>VLOOKUP(A:A,'ITEM LIST'!A:C,3,0)</f>
        <v>#N/A</v>
      </c>
    </row>
    <row r="21406" spans="3:3" x14ac:dyDescent="0.2">
      <c r="C21406" s="8" t="e">
        <f>VLOOKUP(A:A,'ITEM LIST'!A:C,3,0)</f>
        <v>#N/A</v>
      </c>
    </row>
    <row r="21407" spans="3:3" x14ac:dyDescent="0.2">
      <c r="C21407" s="8" t="e">
        <f>VLOOKUP(A:A,'ITEM LIST'!A:C,3,0)</f>
        <v>#N/A</v>
      </c>
    </row>
    <row r="21408" spans="3:3" x14ac:dyDescent="0.2">
      <c r="C21408" s="8" t="e">
        <f>VLOOKUP(A:A,'ITEM LIST'!A:C,3,0)</f>
        <v>#N/A</v>
      </c>
    </row>
    <row r="21409" spans="3:3" x14ac:dyDescent="0.2">
      <c r="C21409" s="8" t="e">
        <f>VLOOKUP(A:A,'ITEM LIST'!A:C,3,0)</f>
        <v>#N/A</v>
      </c>
    </row>
    <row r="21410" spans="3:3" x14ac:dyDescent="0.2">
      <c r="C21410" s="8" t="e">
        <f>VLOOKUP(A:A,'ITEM LIST'!A:C,3,0)</f>
        <v>#N/A</v>
      </c>
    </row>
    <row r="21411" spans="3:3" x14ac:dyDescent="0.2">
      <c r="C21411" s="8" t="e">
        <f>VLOOKUP(A:A,'ITEM LIST'!A:C,3,0)</f>
        <v>#N/A</v>
      </c>
    </row>
    <row r="21412" spans="3:3" x14ac:dyDescent="0.2">
      <c r="C21412" s="8" t="e">
        <f>VLOOKUP(A:A,'ITEM LIST'!A:C,3,0)</f>
        <v>#N/A</v>
      </c>
    </row>
    <row r="21413" spans="3:3" x14ac:dyDescent="0.2">
      <c r="C21413" s="8" t="e">
        <f>VLOOKUP(A:A,'ITEM LIST'!A:C,3,0)</f>
        <v>#N/A</v>
      </c>
    </row>
    <row r="21414" spans="3:3" x14ac:dyDescent="0.2">
      <c r="C21414" s="8" t="e">
        <f>VLOOKUP(A:A,'ITEM LIST'!A:C,3,0)</f>
        <v>#N/A</v>
      </c>
    </row>
    <row r="21415" spans="3:3" x14ac:dyDescent="0.2">
      <c r="C21415" s="8" t="e">
        <f>VLOOKUP(A:A,'ITEM LIST'!A:C,3,0)</f>
        <v>#N/A</v>
      </c>
    </row>
    <row r="21416" spans="3:3" x14ac:dyDescent="0.2">
      <c r="C21416" s="8" t="e">
        <f>VLOOKUP(A:A,'ITEM LIST'!A:C,3,0)</f>
        <v>#N/A</v>
      </c>
    </row>
    <row r="21417" spans="3:3" x14ac:dyDescent="0.2">
      <c r="C21417" s="8" t="e">
        <f>VLOOKUP(A:A,'ITEM LIST'!A:C,3,0)</f>
        <v>#N/A</v>
      </c>
    </row>
    <row r="21418" spans="3:3" x14ac:dyDescent="0.2">
      <c r="C21418" s="8" t="e">
        <f>VLOOKUP(A:A,'ITEM LIST'!A:C,3,0)</f>
        <v>#N/A</v>
      </c>
    </row>
    <row r="21419" spans="3:3" x14ac:dyDescent="0.2">
      <c r="C21419" s="8" t="e">
        <f>VLOOKUP(A:A,'ITEM LIST'!A:C,3,0)</f>
        <v>#N/A</v>
      </c>
    </row>
    <row r="21420" spans="3:3" x14ac:dyDescent="0.2">
      <c r="C21420" s="8" t="e">
        <f>VLOOKUP(A:A,'ITEM LIST'!A:C,3,0)</f>
        <v>#N/A</v>
      </c>
    </row>
    <row r="21421" spans="3:3" x14ac:dyDescent="0.2">
      <c r="C21421" s="8" t="e">
        <f>VLOOKUP(A:A,'ITEM LIST'!A:C,3,0)</f>
        <v>#N/A</v>
      </c>
    </row>
    <row r="21422" spans="3:3" x14ac:dyDescent="0.2">
      <c r="C21422" s="8" t="e">
        <f>VLOOKUP(A:A,'ITEM LIST'!A:C,3,0)</f>
        <v>#N/A</v>
      </c>
    </row>
    <row r="21423" spans="3:3" x14ac:dyDescent="0.2">
      <c r="C21423" s="8" t="e">
        <f>VLOOKUP(A:A,'ITEM LIST'!A:C,3,0)</f>
        <v>#N/A</v>
      </c>
    </row>
    <row r="21424" spans="3:3" x14ac:dyDescent="0.2">
      <c r="C21424" s="8" t="e">
        <f>VLOOKUP(A:A,'ITEM LIST'!A:C,3,0)</f>
        <v>#N/A</v>
      </c>
    </row>
    <row r="21425" spans="3:3" x14ac:dyDescent="0.2">
      <c r="C21425" s="8" t="e">
        <f>VLOOKUP(A:A,'ITEM LIST'!A:C,3,0)</f>
        <v>#N/A</v>
      </c>
    </row>
    <row r="21426" spans="3:3" x14ac:dyDescent="0.2">
      <c r="C21426" s="8" t="e">
        <f>VLOOKUP(A:A,'ITEM LIST'!A:C,3,0)</f>
        <v>#N/A</v>
      </c>
    </row>
    <row r="21427" spans="3:3" x14ac:dyDescent="0.2">
      <c r="C21427" s="8" t="e">
        <f>VLOOKUP(A:A,'ITEM LIST'!A:C,3,0)</f>
        <v>#N/A</v>
      </c>
    </row>
    <row r="21428" spans="3:3" x14ac:dyDescent="0.2">
      <c r="C21428" s="8" t="e">
        <f>VLOOKUP(A:A,'ITEM LIST'!A:C,3,0)</f>
        <v>#N/A</v>
      </c>
    </row>
    <row r="21429" spans="3:3" x14ac:dyDescent="0.2">
      <c r="C21429" s="8" t="e">
        <f>VLOOKUP(A:A,'ITEM LIST'!A:C,3,0)</f>
        <v>#N/A</v>
      </c>
    </row>
    <row r="21430" spans="3:3" x14ac:dyDescent="0.2">
      <c r="C21430" s="8" t="e">
        <f>VLOOKUP(A:A,'ITEM LIST'!A:C,3,0)</f>
        <v>#N/A</v>
      </c>
    </row>
    <row r="21431" spans="3:3" x14ac:dyDescent="0.2">
      <c r="C21431" s="8" t="e">
        <f>VLOOKUP(A:A,'ITEM LIST'!A:C,3,0)</f>
        <v>#N/A</v>
      </c>
    </row>
    <row r="21432" spans="3:3" x14ac:dyDescent="0.2">
      <c r="C21432" s="8" t="e">
        <f>VLOOKUP(A:A,'ITEM LIST'!A:C,3,0)</f>
        <v>#N/A</v>
      </c>
    </row>
    <row r="21433" spans="3:3" x14ac:dyDescent="0.2">
      <c r="C21433" s="8" t="e">
        <f>VLOOKUP(A:A,'ITEM LIST'!A:C,3,0)</f>
        <v>#N/A</v>
      </c>
    </row>
    <row r="21434" spans="3:3" x14ac:dyDescent="0.2">
      <c r="C21434" s="8" t="e">
        <f>VLOOKUP(A:A,'ITEM LIST'!A:C,3,0)</f>
        <v>#N/A</v>
      </c>
    </row>
    <row r="21435" spans="3:3" x14ac:dyDescent="0.2">
      <c r="C21435" s="8" t="e">
        <f>VLOOKUP(A:A,'ITEM LIST'!A:C,3,0)</f>
        <v>#N/A</v>
      </c>
    </row>
    <row r="21436" spans="3:3" x14ac:dyDescent="0.2">
      <c r="C21436" s="8" t="e">
        <f>VLOOKUP(A:A,'ITEM LIST'!A:C,3,0)</f>
        <v>#N/A</v>
      </c>
    </row>
    <row r="21437" spans="3:3" x14ac:dyDescent="0.2">
      <c r="C21437" s="8" t="e">
        <f>VLOOKUP(A:A,'ITEM LIST'!A:C,3,0)</f>
        <v>#N/A</v>
      </c>
    </row>
    <row r="21438" spans="3:3" x14ac:dyDescent="0.2">
      <c r="C21438" s="8" t="e">
        <f>VLOOKUP(A:A,'ITEM LIST'!A:C,3,0)</f>
        <v>#N/A</v>
      </c>
    </row>
    <row r="21439" spans="3:3" x14ac:dyDescent="0.2">
      <c r="C21439" s="8" t="e">
        <f>VLOOKUP(A:A,'ITEM LIST'!A:C,3,0)</f>
        <v>#N/A</v>
      </c>
    </row>
    <row r="21440" spans="3:3" x14ac:dyDescent="0.2">
      <c r="C21440" s="8" t="e">
        <f>VLOOKUP(A:A,'ITEM LIST'!A:C,3,0)</f>
        <v>#N/A</v>
      </c>
    </row>
    <row r="21441" spans="3:3" x14ac:dyDescent="0.2">
      <c r="C21441" s="8" t="e">
        <f>VLOOKUP(A:A,'ITEM LIST'!A:C,3,0)</f>
        <v>#N/A</v>
      </c>
    </row>
    <row r="21442" spans="3:3" x14ac:dyDescent="0.2">
      <c r="C21442" s="8" t="e">
        <f>VLOOKUP(A:A,'ITEM LIST'!A:C,3,0)</f>
        <v>#N/A</v>
      </c>
    </row>
    <row r="21443" spans="3:3" x14ac:dyDescent="0.2">
      <c r="C21443" s="8" t="e">
        <f>VLOOKUP(A:A,'ITEM LIST'!A:C,3,0)</f>
        <v>#N/A</v>
      </c>
    </row>
    <row r="21444" spans="3:3" x14ac:dyDescent="0.2">
      <c r="C21444" s="8" t="e">
        <f>VLOOKUP(A:A,'ITEM LIST'!A:C,3,0)</f>
        <v>#N/A</v>
      </c>
    </row>
    <row r="21445" spans="3:3" x14ac:dyDescent="0.2">
      <c r="C21445" s="8" t="e">
        <f>VLOOKUP(A:A,'ITEM LIST'!A:C,3,0)</f>
        <v>#N/A</v>
      </c>
    </row>
    <row r="21446" spans="3:3" x14ac:dyDescent="0.2">
      <c r="C21446" s="8" t="e">
        <f>VLOOKUP(A:A,'ITEM LIST'!A:C,3,0)</f>
        <v>#N/A</v>
      </c>
    </row>
    <row r="21447" spans="3:3" x14ac:dyDescent="0.2">
      <c r="C21447" s="8" t="e">
        <f>VLOOKUP(A:A,'ITEM LIST'!A:C,3,0)</f>
        <v>#N/A</v>
      </c>
    </row>
    <row r="21448" spans="3:3" x14ac:dyDescent="0.2">
      <c r="C21448" s="8" t="e">
        <f>VLOOKUP(A:A,'ITEM LIST'!A:C,3,0)</f>
        <v>#N/A</v>
      </c>
    </row>
    <row r="21449" spans="3:3" x14ac:dyDescent="0.2">
      <c r="C21449" s="8" t="e">
        <f>VLOOKUP(A:A,'ITEM LIST'!A:C,3,0)</f>
        <v>#N/A</v>
      </c>
    </row>
    <row r="21450" spans="3:3" x14ac:dyDescent="0.2">
      <c r="C21450" s="8" t="e">
        <f>VLOOKUP(A:A,'ITEM LIST'!A:C,3,0)</f>
        <v>#N/A</v>
      </c>
    </row>
    <row r="21451" spans="3:3" x14ac:dyDescent="0.2">
      <c r="C21451" s="8" t="e">
        <f>VLOOKUP(A:A,'ITEM LIST'!A:C,3,0)</f>
        <v>#N/A</v>
      </c>
    </row>
    <row r="21452" spans="3:3" x14ac:dyDescent="0.2">
      <c r="C21452" s="8" t="e">
        <f>VLOOKUP(A:A,'ITEM LIST'!A:C,3,0)</f>
        <v>#N/A</v>
      </c>
    </row>
    <row r="21453" spans="3:3" x14ac:dyDescent="0.2">
      <c r="C21453" s="8" t="e">
        <f>VLOOKUP(A:A,'ITEM LIST'!A:C,3,0)</f>
        <v>#N/A</v>
      </c>
    </row>
    <row r="21454" spans="3:3" x14ac:dyDescent="0.2">
      <c r="C21454" s="8" t="e">
        <f>VLOOKUP(A:A,'ITEM LIST'!A:C,3,0)</f>
        <v>#N/A</v>
      </c>
    </row>
    <row r="21455" spans="3:3" x14ac:dyDescent="0.2">
      <c r="C21455" s="8" t="e">
        <f>VLOOKUP(A:A,'ITEM LIST'!A:C,3,0)</f>
        <v>#N/A</v>
      </c>
    </row>
    <row r="21456" spans="3:3" x14ac:dyDescent="0.2">
      <c r="C21456" s="8" t="e">
        <f>VLOOKUP(A:A,'ITEM LIST'!A:C,3,0)</f>
        <v>#N/A</v>
      </c>
    </row>
    <row r="21457" spans="3:3" x14ac:dyDescent="0.2">
      <c r="C21457" s="8" t="e">
        <f>VLOOKUP(A:A,'ITEM LIST'!A:C,3,0)</f>
        <v>#N/A</v>
      </c>
    </row>
    <row r="21458" spans="3:3" x14ac:dyDescent="0.2">
      <c r="C21458" s="8" t="e">
        <f>VLOOKUP(A:A,'ITEM LIST'!A:C,3,0)</f>
        <v>#N/A</v>
      </c>
    </row>
    <row r="21459" spans="3:3" x14ac:dyDescent="0.2">
      <c r="C21459" s="8" t="e">
        <f>VLOOKUP(A:A,'ITEM LIST'!A:C,3,0)</f>
        <v>#N/A</v>
      </c>
    </row>
    <row r="21460" spans="3:3" x14ac:dyDescent="0.2">
      <c r="C21460" s="8" t="e">
        <f>VLOOKUP(A:A,'ITEM LIST'!A:C,3,0)</f>
        <v>#N/A</v>
      </c>
    </row>
    <row r="21461" spans="3:3" x14ac:dyDescent="0.2">
      <c r="C21461" s="8" t="e">
        <f>VLOOKUP(A:A,'ITEM LIST'!A:C,3,0)</f>
        <v>#N/A</v>
      </c>
    </row>
    <row r="21462" spans="3:3" x14ac:dyDescent="0.2">
      <c r="C21462" s="8" t="e">
        <f>VLOOKUP(A:A,'ITEM LIST'!A:C,3,0)</f>
        <v>#N/A</v>
      </c>
    </row>
    <row r="21463" spans="3:3" x14ac:dyDescent="0.2">
      <c r="C21463" s="8" t="e">
        <f>VLOOKUP(A:A,'ITEM LIST'!A:C,3,0)</f>
        <v>#N/A</v>
      </c>
    </row>
    <row r="21464" spans="3:3" x14ac:dyDescent="0.2">
      <c r="C21464" s="8" t="e">
        <f>VLOOKUP(A:A,'ITEM LIST'!A:C,3,0)</f>
        <v>#N/A</v>
      </c>
    </row>
    <row r="21465" spans="3:3" x14ac:dyDescent="0.2">
      <c r="C21465" s="8" t="e">
        <f>VLOOKUP(A:A,'ITEM LIST'!A:C,3,0)</f>
        <v>#N/A</v>
      </c>
    </row>
    <row r="21466" spans="3:3" x14ac:dyDescent="0.2">
      <c r="C21466" s="8" t="e">
        <f>VLOOKUP(A:A,'ITEM LIST'!A:C,3,0)</f>
        <v>#N/A</v>
      </c>
    </row>
    <row r="21467" spans="3:3" x14ac:dyDescent="0.2">
      <c r="C21467" s="8" t="e">
        <f>VLOOKUP(A:A,'ITEM LIST'!A:C,3,0)</f>
        <v>#N/A</v>
      </c>
    </row>
    <row r="21468" spans="3:3" x14ac:dyDescent="0.2">
      <c r="C21468" s="8" t="e">
        <f>VLOOKUP(A:A,'ITEM LIST'!A:C,3,0)</f>
        <v>#N/A</v>
      </c>
    </row>
    <row r="21469" spans="3:3" x14ac:dyDescent="0.2">
      <c r="C21469" s="8" t="e">
        <f>VLOOKUP(A:A,'ITEM LIST'!A:C,3,0)</f>
        <v>#N/A</v>
      </c>
    </row>
    <row r="21470" spans="3:3" x14ac:dyDescent="0.2">
      <c r="C21470" s="8" t="e">
        <f>VLOOKUP(A:A,'ITEM LIST'!A:C,3,0)</f>
        <v>#N/A</v>
      </c>
    </row>
    <row r="21471" spans="3:3" x14ac:dyDescent="0.2">
      <c r="C21471" s="8" t="e">
        <f>VLOOKUP(A:A,'ITEM LIST'!A:C,3,0)</f>
        <v>#N/A</v>
      </c>
    </row>
    <row r="21472" spans="3:3" x14ac:dyDescent="0.2">
      <c r="C21472" s="8" t="e">
        <f>VLOOKUP(A:A,'ITEM LIST'!A:C,3,0)</f>
        <v>#N/A</v>
      </c>
    </row>
    <row r="21473" spans="3:3" x14ac:dyDescent="0.2">
      <c r="C21473" s="8" t="e">
        <f>VLOOKUP(A:A,'ITEM LIST'!A:C,3,0)</f>
        <v>#N/A</v>
      </c>
    </row>
    <row r="21474" spans="3:3" x14ac:dyDescent="0.2">
      <c r="C21474" s="8" t="e">
        <f>VLOOKUP(A:A,'ITEM LIST'!A:C,3,0)</f>
        <v>#N/A</v>
      </c>
    </row>
    <row r="21475" spans="3:3" x14ac:dyDescent="0.2">
      <c r="C21475" s="8" t="e">
        <f>VLOOKUP(A:A,'ITEM LIST'!A:C,3,0)</f>
        <v>#N/A</v>
      </c>
    </row>
    <row r="21476" spans="3:3" x14ac:dyDescent="0.2">
      <c r="C21476" s="8" t="e">
        <f>VLOOKUP(A:A,'ITEM LIST'!A:C,3,0)</f>
        <v>#N/A</v>
      </c>
    </row>
    <row r="21477" spans="3:3" x14ac:dyDescent="0.2">
      <c r="C21477" s="8" t="e">
        <f>VLOOKUP(A:A,'ITEM LIST'!A:C,3,0)</f>
        <v>#N/A</v>
      </c>
    </row>
    <row r="21478" spans="3:3" x14ac:dyDescent="0.2">
      <c r="C21478" s="8" t="e">
        <f>VLOOKUP(A:A,'ITEM LIST'!A:C,3,0)</f>
        <v>#N/A</v>
      </c>
    </row>
    <row r="21479" spans="3:3" x14ac:dyDescent="0.2">
      <c r="C21479" s="8" t="e">
        <f>VLOOKUP(A:A,'ITEM LIST'!A:C,3,0)</f>
        <v>#N/A</v>
      </c>
    </row>
    <row r="21480" spans="3:3" x14ac:dyDescent="0.2">
      <c r="C21480" s="8" t="e">
        <f>VLOOKUP(A:A,'ITEM LIST'!A:C,3,0)</f>
        <v>#N/A</v>
      </c>
    </row>
    <row r="21481" spans="3:3" x14ac:dyDescent="0.2">
      <c r="C21481" s="8" t="e">
        <f>VLOOKUP(A:A,'ITEM LIST'!A:C,3,0)</f>
        <v>#N/A</v>
      </c>
    </row>
    <row r="21482" spans="3:3" x14ac:dyDescent="0.2">
      <c r="C21482" s="8" t="e">
        <f>VLOOKUP(A:A,'ITEM LIST'!A:C,3,0)</f>
        <v>#N/A</v>
      </c>
    </row>
    <row r="21483" spans="3:3" x14ac:dyDescent="0.2">
      <c r="C21483" s="8" t="e">
        <f>VLOOKUP(A:A,'ITEM LIST'!A:C,3,0)</f>
        <v>#N/A</v>
      </c>
    </row>
    <row r="21484" spans="3:3" x14ac:dyDescent="0.2">
      <c r="C21484" s="8" t="e">
        <f>VLOOKUP(A:A,'ITEM LIST'!A:C,3,0)</f>
        <v>#N/A</v>
      </c>
    </row>
    <row r="21485" spans="3:3" x14ac:dyDescent="0.2">
      <c r="C21485" s="8" t="e">
        <f>VLOOKUP(A:A,'ITEM LIST'!A:C,3,0)</f>
        <v>#N/A</v>
      </c>
    </row>
    <row r="21486" spans="3:3" x14ac:dyDescent="0.2">
      <c r="C21486" s="8" t="e">
        <f>VLOOKUP(A:A,'ITEM LIST'!A:C,3,0)</f>
        <v>#N/A</v>
      </c>
    </row>
    <row r="21487" spans="3:3" x14ac:dyDescent="0.2">
      <c r="C21487" s="8" t="e">
        <f>VLOOKUP(A:A,'ITEM LIST'!A:C,3,0)</f>
        <v>#N/A</v>
      </c>
    </row>
    <row r="21488" spans="3:3" x14ac:dyDescent="0.2">
      <c r="C21488" s="8" t="e">
        <f>VLOOKUP(A:A,'ITEM LIST'!A:C,3,0)</f>
        <v>#N/A</v>
      </c>
    </row>
    <row r="21489" spans="3:3" x14ac:dyDescent="0.2">
      <c r="C21489" s="8" t="e">
        <f>VLOOKUP(A:A,'ITEM LIST'!A:C,3,0)</f>
        <v>#N/A</v>
      </c>
    </row>
    <row r="21490" spans="3:3" x14ac:dyDescent="0.2">
      <c r="C21490" s="8" t="e">
        <f>VLOOKUP(A:A,'ITEM LIST'!A:C,3,0)</f>
        <v>#N/A</v>
      </c>
    </row>
    <row r="21491" spans="3:3" x14ac:dyDescent="0.2">
      <c r="C21491" s="8" t="e">
        <f>VLOOKUP(A:A,'ITEM LIST'!A:C,3,0)</f>
        <v>#N/A</v>
      </c>
    </row>
    <row r="21492" spans="3:3" x14ac:dyDescent="0.2">
      <c r="C21492" s="8" t="e">
        <f>VLOOKUP(A:A,'ITEM LIST'!A:C,3,0)</f>
        <v>#N/A</v>
      </c>
    </row>
    <row r="21493" spans="3:3" x14ac:dyDescent="0.2">
      <c r="C21493" s="8" t="e">
        <f>VLOOKUP(A:A,'ITEM LIST'!A:C,3,0)</f>
        <v>#N/A</v>
      </c>
    </row>
    <row r="21494" spans="3:3" x14ac:dyDescent="0.2">
      <c r="C21494" s="8" t="e">
        <f>VLOOKUP(A:A,'ITEM LIST'!A:C,3,0)</f>
        <v>#N/A</v>
      </c>
    </row>
    <row r="21495" spans="3:3" x14ac:dyDescent="0.2">
      <c r="C21495" s="8" t="e">
        <f>VLOOKUP(A:A,'ITEM LIST'!A:C,3,0)</f>
        <v>#N/A</v>
      </c>
    </row>
    <row r="21496" spans="3:3" x14ac:dyDescent="0.2">
      <c r="C21496" s="8" t="e">
        <f>VLOOKUP(A:A,'ITEM LIST'!A:C,3,0)</f>
        <v>#N/A</v>
      </c>
    </row>
    <row r="21497" spans="3:3" x14ac:dyDescent="0.2">
      <c r="C21497" s="8" t="e">
        <f>VLOOKUP(A:A,'ITEM LIST'!A:C,3,0)</f>
        <v>#N/A</v>
      </c>
    </row>
    <row r="21498" spans="3:3" x14ac:dyDescent="0.2">
      <c r="C21498" s="8" t="e">
        <f>VLOOKUP(A:A,'ITEM LIST'!A:C,3,0)</f>
        <v>#N/A</v>
      </c>
    </row>
    <row r="21499" spans="3:3" x14ac:dyDescent="0.2">
      <c r="C21499" s="8" t="e">
        <f>VLOOKUP(A:A,'ITEM LIST'!A:C,3,0)</f>
        <v>#N/A</v>
      </c>
    </row>
    <row r="21500" spans="3:3" x14ac:dyDescent="0.2">
      <c r="C21500" s="8" t="e">
        <f>VLOOKUP(A:A,'ITEM LIST'!A:C,3,0)</f>
        <v>#N/A</v>
      </c>
    </row>
    <row r="21501" spans="3:3" x14ac:dyDescent="0.2">
      <c r="C21501" s="8" t="e">
        <f>VLOOKUP(A:A,'ITEM LIST'!A:C,3,0)</f>
        <v>#N/A</v>
      </c>
    </row>
    <row r="21502" spans="3:3" x14ac:dyDescent="0.2">
      <c r="C21502" s="8" t="e">
        <f>VLOOKUP(A:A,'ITEM LIST'!A:C,3,0)</f>
        <v>#N/A</v>
      </c>
    </row>
    <row r="21503" spans="3:3" x14ac:dyDescent="0.2">
      <c r="C21503" s="8" t="e">
        <f>VLOOKUP(A:A,'ITEM LIST'!A:C,3,0)</f>
        <v>#N/A</v>
      </c>
    </row>
    <row r="21504" spans="3:3" x14ac:dyDescent="0.2">
      <c r="C21504" s="8" t="e">
        <f>VLOOKUP(A:A,'ITEM LIST'!A:C,3,0)</f>
        <v>#N/A</v>
      </c>
    </row>
    <row r="21505" spans="3:3" x14ac:dyDescent="0.2">
      <c r="C21505" s="8" t="e">
        <f>VLOOKUP(A:A,'ITEM LIST'!A:C,3,0)</f>
        <v>#N/A</v>
      </c>
    </row>
    <row r="21506" spans="3:3" x14ac:dyDescent="0.2">
      <c r="C21506" s="8" t="e">
        <f>VLOOKUP(A:A,'ITEM LIST'!A:C,3,0)</f>
        <v>#N/A</v>
      </c>
    </row>
    <row r="21507" spans="3:3" x14ac:dyDescent="0.2">
      <c r="C21507" s="8" t="e">
        <f>VLOOKUP(A:A,'ITEM LIST'!A:C,3,0)</f>
        <v>#N/A</v>
      </c>
    </row>
    <row r="21508" spans="3:3" x14ac:dyDescent="0.2">
      <c r="C21508" s="8" t="e">
        <f>VLOOKUP(A:A,'ITEM LIST'!A:C,3,0)</f>
        <v>#N/A</v>
      </c>
    </row>
    <row r="21509" spans="3:3" x14ac:dyDescent="0.2">
      <c r="C21509" s="8" t="e">
        <f>VLOOKUP(A:A,'ITEM LIST'!A:C,3,0)</f>
        <v>#N/A</v>
      </c>
    </row>
    <row r="21510" spans="3:3" x14ac:dyDescent="0.2">
      <c r="C21510" s="8" t="e">
        <f>VLOOKUP(A:A,'ITEM LIST'!A:C,3,0)</f>
        <v>#N/A</v>
      </c>
    </row>
    <row r="21511" spans="3:3" x14ac:dyDescent="0.2">
      <c r="C21511" s="8" t="e">
        <f>VLOOKUP(A:A,'ITEM LIST'!A:C,3,0)</f>
        <v>#N/A</v>
      </c>
    </row>
    <row r="21512" spans="3:3" x14ac:dyDescent="0.2">
      <c r="C21512" s="8" t="e">
        <f>VLOOKUP(A:A,'ITEM LIST'!A:C,3,0)</f>
        <v>#N/A</v>
      </c>
    </row>
    <row r="21513" spans="3:3" x14ac:dyDescent="0.2">
      <c r="C21513" s="8" t="e">
        <f>VLOOKUP(A:A,'ITEM LIST'!A:C,3,0)</f>
        <v>#N/A</v>
      </c>
    </row>
    <row r="21514" spans="3:3" x14ac:dyDescent="0.2">
      <c r="C21514" s="8" t="e">
        <f>VLOOKUP(A:A,'ITEM LIST'!A:C,3,0)</f>
        <v>#N/A</v>
      </c>
    </row>
    <row r="21515" spans="3:3" x14ac:dyDescent="0.2">
      <c r="C21515" s="8" t="e">
        <f>VLOOKUP(A:A,'ITEM LIST'!A:C,3,0)</f>
        <v>#N/A</v>
      </c>
    </row>
    <row r="21516" spans="3:3" x14ac:dyDescent="0.2">
      <c r="C21516" s="8" t="e">
        <f>VLOOKUP(A:A,'ITEM LIST'!A:C,3,0)</f>
        <v>#N/A</v>
      </c>
    </row>
    <row r="21517" spans="3:3" x14ac:dyDescent="0.2">
      <c r="C21517" s="8" t="e">
        <f>VLOOKUP(A:A,'ITEM LIST'!A:C,3,0)</f>
        <v>#N/A</v>
      </c>
    </row>
    <row r="21518" spans="3:3" x14ac:dyDescent="0.2">
      <c r="C21518" s="8" t="e">
        <f>VLOOKUP(A:A,'ITEM LIST'!A:C,3,0)</f>
        <v>#N/A</v>
      </c>
    </row>
    <row r="21519" spans="3:3" x14ac:dyDescent="0.2">
      <c r="C21519" s="8" t="e">
        <f>VLOOKUP(A:A,'ITEM LIST'!A:C,3,0)</f>
        <v>#N/A</v>
      </c>
    </row>
    <row r="21520" spans="3:3" x14ac:dyDescent="0.2">
      <c r="C21520" s="8" t="e">
        <f>VLOOKUP(A:A,'ITEM LIST'!A:C,3,0)</f>
        <v>#N/A</v>
      </c>
    </row>
    <row r="21521" spans="3:3" x14ac:dyDescent="0.2">
      <c r="C21521" s="8" t="e">
        <f>VLOOKUP(A:A,'ITEM LIST'!A:C,3,0)</f>
        <v>#N/A</v>
      </c>
    </row>
    <row r="21522" spans="3:3" x14ac:dyDescent="0.2">
      <c r="C21522" s="8" t="e">
        <f>VLOOKUP(A:A,'ITEM LIST'!A:C,3,0)</f>
        <v>#N/A</v>
      </c>
    </row>
    <row r="21523" spans="3:3" x14ac:dyDescent="0.2">
      <c r="C21523" s="8" t="e">
        <f>VLOOKUP(A:A,'ITEM LIST'!A:C,3,0)</f>
        <v>#N/A</v>
      </c>
    </row>
    <row r="21524" spans="3:3" x14ac:dyDescent="0.2">
      <c r="C21524" s="8" t="e">
        <f>VLOOKUP(A:A,'ITEM LIST'!A:C,3,0)</f>
        <v>#N/A</v>
      </c>
    </row>
    <row r="21525" spans="3:3" x14ac:dyDescent="0.2">
      <c r="C21525" s="8" t="e">
        <f>VLOOKUP(A:A,'ITEM LIST'!A:C,3,0)</f>
        <v>#N/A</v>
      </c>
    </row>
    <row r="21526" spans="3:3" x14ac:dyDescent="0.2">
      <c r="C21526" s="8" t="e">
        <f>VLOOKUP(A:A,'ITEM LIST'!A:C,3,0)</f>
        <v>#N/A</v>
      </c>
    </row>
    <row r="21527" spans="3:3" x14ac:dyDescent="0.2">
      <c r="C21527" s="8" t="e">
        <f>VLOOKUP(A:A,'ITEM LIST'!A:C,3,0)</f>
        <v>#N/A</v>
      </c>
    </row>
    <row r="21528" spans="3:3" x14ac:dyDescent="0.2">
      <c r="C21528" s="8" t="e">
        <f>VLOOKUP(A:A,'ITEM LIST'!A:C,3,0)</f>
        <v>#N/A</v>
      </c>
    </row>
    <row r="21529" spans="3:3" x14ac:dyDescent="0.2">
      <c r="C21529" s="8" t="e">
        <f>VLOOKUP(A:A,'ITEM LIST'!A:C,3,0)</f>
        <v>#N/A</v>
      </c>
    </row>
    <row r="21530" spans="3:3" x14ac:dyDescent="0.2">
      <c r="C21530" s="8" t="e">
        <f>VLOOKUP(A:A,'ITEM LIST'!A:C,3,0)</f>
        <v>#N/A</v>
      </c>
    </row>
    <row r="21531" spans="3:3" x14ac:dyDescent="0.2">
      <c r="C21531" s="8" t="e">
        <f>VLOOKUP(A:A,'ITEM LIST'!A:C,3,0)</f>
        <v>#N/A</v>
      </c>
    </row>
    <row r="21532" spans="3:3" x14ac:dyDescent="0.2">
      <c r="C21532" s="8" t="e">
        <f>VLOOKUP(A:A,'ITEM LIST'!A:C,3,0)</f>
        <v>#N/A</v>
      </c>
    </row>
    <row r="21533" spans="3:3" x14ac:dyDescent="0.2">
      <c r="C21533" s="8" t="e">
        <f>VLOOKUP(A:A,'ITEM LIST'!A:C,3,0)</f>
        <v>#N/A</v>
      </c>
    </row>
    <row r="21534" spans="3:3" x14ac:dyDescent="0.2">
      <c r="C21534" s="8" t="e">
        <f>VLOOKUP(A:A,'ITEM LIST'!A:C,3,0)</f>
        <v>#N/A</v>
      </c>
    </row>
    <row r="21535" spans="3:3" x14ac:dyDescent="0.2">
      <c r="C21535" s="8" t="e">
        <f>VLOOKUP(A:A,'ITEM LIST'!A:C,3,0)</f>
        <v>#N/A</v>
      </c>
    </row>
    <row r="21536" spans="3:3" x14ac:dyDescent="0.2">
      <c r="C21536" s="8" t="e">
        <f>VLOOKUP(A:A,'ITEM LIST'!A:C,3,0)</f>
        <v>#N/A</v>
      </c>
    </row>
    <row r="21537" spans="3:3" x14ac:dyDescent="0.2">
      <c r="C21537" s="8" t="e">
        <f>VLOOKUP(A:A,'ITEM LIST'!A:C,3,0)</f>
        <v>#N/A</v>
      </c>
    </row>
    <row r="21538" spans="3:3" x14ac:dyDescent="0.2">
      <c r="C21538" s="8" t="e">
        <f>VLOOKUP(A:A,'ITEM LIST'!A:C,3,0)</f>
        <v>#N/A</v>
      </c>
    </row>
    <row r="21539" spans="3:3" x14ac:dyDescent="0.2">
      <c r="C21539" s="8" t="e">
        <f>VLOOKUP(A:A,'ITEM LIST'!A:C,3,0)</f>
        <v>#N/A</v>
      </c>
    </row>
    <row r="21540" spans="3:3" x14ac:dyDescent="0.2">
      <c r="C21540" s="8" t="e">
        <f>VLOOKUP(A:A,'ITEM LIST'!A:C,3,0)</f>
        <v>#N/A</v>
      </c>
    </row>
    <row r="21541" spans="3:3" x14ac:dyDescent="0.2">
      <c r="C21541" s="8" t="e">
        <f>VLOOKUP(A:A,'ITEM LIST'!A:C,3,0)</f>
        <v>#N/A</v>
      </c>
    </row>
    <row r="21542" spans="3:3" x14ac:dyDescent="0.2">
      <c r="C21542" s="8" t="e">
        <f>VLOOKUP(A:A,'ITEM LIST'!A:C,3,0)</f>
        <v>#N/A</v>
      </c>
    </row>
    <row r="21543" spans="3:3" x14ac:dyDescent="0.2">
      <c r="C21543" s="8" t="e">
        <f>VLOOKUP(A:A,'ITEM LIST'!A:C,3,0)</f>
        <v>#N/A</v>
      </c>
    </row>
    <row r="21544" spans="3:3" x14ac:dyDescent="0.2">
      <c r="C21544" s="8" t="e">
        <f>VLOOKUP(A:A,'ITEM LIST'!A:C,3,0)</f>
        <v>#N/A</v>
      </c>
    </row>
    <row r="21545" spans="3:3" x14ac:dyDescent="0.2">
      <c r="C21545" s="8" t="e">
        <f>VLOOKUP(A:A,'ITEM LIST'!A:C,3,0)</f>
        <v>#N/A</v>
      </c>
    </row>
    <row r="21546" spans="3:3" x14ac:dyDescent="0.2">
      <c r="C21546" s="8" t="e">
        <f>VLOOKUP(A:A,'ITEM LIST'!A:C,3,0)</f>
        <v>#N/A</v>
      </c>
    </row>
    <row r="21547" spans="3:3" x14ac:dyDescent="0.2">
      <c r="C21547" s="8" t="e">
        <f>VLOOKUP(A:A,'ITEM LIST'!A:C,3,0)</f>
        <v>#N/A</v>
      </c>
    </row>
    <row r="21548" spans="3:3" x14ac:dyDescent="0.2">
      <c r="C21548" s="8" t="e">
        <f>VLOOKUP(A:A,'ITEM LIST'!A:C,3,0)</f>
        <v>#N/A</v>
      </c>
    </row>
    <row r="21549" spans="3:3" x14ac:dyDescent="0.2">
      <c r="C21549" s="8" t="e">
        <f>VLOOKUP(A:A,'ITEM LIST'!A:C,3,0)</f>
        <v>#N/A</v>
      </c>
    </row>
    <row r="21550" spans="3:3" x14ac:dyDescent="0.2">
      <c r="C21550" s="8" t="e">
        <f>VLOOKUP(A:A,'ITEM LIST'!A:C,3,0)</f>
        <v>#N/A</v>
      </c>
    </row>
    <row r="21551" spans="3:3" x14ac:dyDescent="0.2">
      <c r="C21551" s="8" t="e">
        <f>VLOOKUP(A:A,'ITEM LIST'!A:C,3,0)</f>
        <v>#N/A</v>
      </c>
    </row>
    <row r="21552" spans="3:3" x14ac:dyDescent="0.2">
      <c r="C21552" s="8" t="e">
        <f>VLOOKUP(A:A,'ITEM LIST'!A:C,3,0)</f>
        <v>#N/A</v>
      </c>
    </row>
    <row r="21553" spans="3:3" x14ac:dyDescent="0.2">
      <c r="C21553" s="8" t="e">
        <f>VLOOKUP(A:A,'ITEM LIST'!A:C,3,0)</f>
        <v>#N/A</v>
      </c>
    </row>
    <row r="21554" spans="3:3" x14ac:dyDescent="0.2">
      <c r="C21554" s="8" t="e">
        <f>VLOOKUP(A:A,'ITEM LIST'!A:C,3,0)</f>
        <v>#N/A</v>
      </c>
    </row>
    <row r="21555" spans="3:3" x14ac:dyDescent="0.2">
      <c r="C21555" s="8" t="e">
        <f>VLOOKUP(A:A,'ITEM LIST'!A:C,3,0)</f>
        <v>#N/A</v>
      </c>
    </row>
    <row r="21556" spans="3:3" x14ac:dyDescent="0.2">
      <c r="C21556" s="8" t="e">
        <f>VLOOKUP(A:A,'ITEM LIST'!A:C,3,0)</f>
        <v>#N/A</v>
      </c>
    </row>
    <row r="21557" spans="3:3" x14ac:dyDescent="0.2">
      <c r="C21557" s="8" t="e">
        <f>VLOOKUP(A:A,'ITEM LIST'!A:C,3,0)</f>
        <v>#N/A</v>
      </c>
    </row>
    <row r="21558" spans="3:3" x14ac:dyDescent="0.2">
      <c r="C21558" s="8" t="e">
        <f>VLOOKUP(A:A,'ITEM LIST'!A:C,3,0)</f>
        <v>#N/A</v>
      </c>
    </row>
    <row r="21559" spans="3:3" x14ac:dyDescent="0.2">
      <c r="C21559" s="8" t="e">
        <f>VLOOKUP(A:A,'ITEM LIST'!A:C,3,0)</f>
        <v>#N/A</v>
      </c>
    </row>
    <row r="21560" spans="3:3" x14ac:dyDescent="0.2">
      <c r="C21560" s="8" t="e">
        <f>VLOOKUP(A:A,'ITEM LIST'!A:C,3,0)</f>
        <v>#N/A</v>
      </c>
    </row>
    <row r="21561" spans="3:3" x14ac:dyDescent="0.2">
      <c r="C21561" s="8" t="e">
        <f>VLOOKUP(A:A,'ITEM LIST'!A:C,3,0)</f>
        <v>#N/A</v>
      </c>
    </row>
    <row r="21562" spans="3:3" x14ac:dyDescent="0.2">
      <c r="C21562" s="8" t="e">
        <f>VLOOKUP(A:A,'ITEM LIST'!A:C,3,0)</f>
        <v>#N/A</v>
      </c>
    </row>
    <row r="21563" spans="3:3" x14ac:dyDescent="0.2">
      <c r="C21563" s="8" t="e">
        <f>VLOOKUP(A:A,'ITEM LIST'!A:C,3,0)</f>
        <v>#N/A</v>
      </c>
    </row>
    <row r="21564" spans="3:3" x14ac:dyDescent="0.2">
      <c r="C21564" s="8" t="e">
        <f>VLOOKUP(A:A,'ITEM LIST'!A:C,3,0)</f>
        <v>#N/A</v>
      </c>
    </row>
    <row r="21565" spans="3:3" x14ac:dyDescent="0.2">
      <c r="C21565" s="8" t="e">
        <f>VLOOKUP(A:A,'ITEM LIST'!A:C,3,0)</f>
        <v>#N/A</v>
      </c>
    </row>
    <row r="21566" spans="3:3" x14ac:dyDescent="0.2">
      <c r="C21566" s="8" t="e">
        <f>VLOOKUP(A:A,'ITEM LIST'!A:C,3,0)</f>
        <v>#N/A</v>
      </c>
    </row>
    <row r="21567" spans="3:3" x14ac:dyDescent="0.2">
      <c r="C21567" s="8" t="e">
        <f>VLOOKUP(A:A,'ITEM LIST'!A:C,3,0)</f>
        <v>#N/A</v>
      </c>
    </row>
    <row r="21568" spans="3:3" x14ac:dyDescent="0.2">
      <c r="C21568" s="8" t="e">
        <f>VLOOKUP(A:A,'ITEM LIST'!A:C,3,0)</f>
        <v>#N/A</v>
      </c>
    </row>
    <row r="21569" spans="3:3" x14ac:dyDescent="0.2">
      <c r="C21569" s="8" t="e">
        <f>VLOOKUP(A:A,'ITEM LIST'!A:C,3,0)</f>
        <v>#N/A</v>
      </c>
    </row>
    <row r="21570" spans="3:3" x14ac:dyDescent="0.2">
      <c r="C21570" s="8" t="e">
        <f>VLOOKUP(A:A,'ITEM LIST'!A:C,3,0)</f>
        <v>#N/A</v>
      </c>
    </row>
    <row r="21571" spans="3:3" x14ac:dyDescent="0.2">
      <c r="C21571" s="8" t="e">
        <f>VLOOKUP(A:A,'ITEM LIST'!A:C,3,0)</f>
        <v>#N/A</v>
      </c>
    </row>
    <row r="21572" spans="3:3" x14ac:dyDescent="0.2">
      <c r="C21572" s="8" t="e">
        <f>VLOOKUP(A:A,'ITEM LIST'!A:C,3,0)</f>
        <v>#N/A</v>
      </c>
    </row>
    <row r="21573" spans="3:3" x14ac:dyDescent="0.2">
      <c r="C21573" s="8" t="e">
        <f>VLOOKUP(A:A,'ITEM LIST'!A:C,3,0)</f>
        <v>#N/A</v>
      </c>
    </row>
    <row r="21574" spans="3:3" x14ac:dyDescent="0.2">
      <c r="C21574" s="8" t="e">
        <f>VLOOKUP(A:A,'ITEM LIST'!A:C,3,0)</f>
        <v>#N/A</v>
      </c>
    </row>
    <row r="21575" spans="3:3" x14ac:dyDescent="0.2">
      <c r="C21575" s="8" t="e">
        <f>VLOOKUP(A:A,'ITEM LIST'!A:C,3,0)</f>
        <v>#N/A</v>
      </c>
    </row>
    <row r="21576" spans="3:3" x14ac:dyDescent="0.2">
      <c r="C21576" s="8" t="e">
        <f>VLOOKUP(A:A,'ITEM LIST'!A:C,3,0)</f>
        <v>#N/A</v>
      </c>
    </row>
    <row r="21577" spans="3:3" x14ac:dyDescent="0.2">
      <c r="C21577" s="8" t="e">
        <f>VLOOKUP(A:A,'ITEM LIST'!A:C,3,0)</f>
        <v>#N/A</v>
      </c>
    </row>
    <row r="21578" spans="3:3" x14ac:dyDescent="0.2">
      <c r="C21578" s="8" t="e">
        <f>VLOOKUP(A:A,'ITEM LIST'!A:C,3,0)</f>
        <v>#N/A</v>
      </c>
    </row>
    <row r="21579" spans="3:3" x14ac:dyDescent="0.2">
      <c r="C21579" s="8" t="e">
        <f>VLOOKUP(A:A,'ITEM LIST'!A:C,3,0)</f>
        <v>#N/A</v>
      </c>
    </row>
    <row r="21580" spans="3:3" x14ac:dyDescent="0.2">
      <c r="C21580" s="8" t="e">
        <f>VLOOKUP(A:A,'ITEM LIST'!A:C,3,0)</f>
        <v>#N/A</v>
      </c>
    </row>
    <row r="21581" spans="3:3" x14ac:dyDescent="0.2">
      <c r="C21581" s="8" t="e">
        <f>VLOOKUP(A:A,'ITEM LIST'!A:C,3,0)</f>
        <v>#N/A</v>
      </c>
    </row>
    <row r="21582" spans="3:3" x14ac:dyDescent="0.2">
      <c r="C21582" s="8" t="e">
        <f>VLOOKUP(A:A,'ITEM LIST'!A:C,3,0)</f>
        <v>#N/A</v>
      </c>
    </row>
    <row r="21583" spans="3:3" x14ac:dyDescent="0.2">
      <c r="C21583" s="8" t="e">
        <f>VLOOKUP(A:A,'ITEM LIST'!A:C,3,0)</f>
        <v>#N/A</v>
      </c>
    </row>
    <row r="21584" spans="3:3" x14ac:dyDescent="0.2">
      <c r="C21584" s="8" t="e">
        <f>VLOOKUP(A:A,'ITEM LIST'!A:C,3,0)</f>
        <v>#N/A</v>
      </c>
    </row>
    <row r="21585" spans="3:3" x14ac:dyDescent="0.2">
      <c r="C21585" s="8" t="e">
        <f>VLOOKUP(A:A,'ITEM LIST'!A:C,3,0)</f>
        <v>#N/A</v>
      </c>
    </row>
    <row r="21586" spans="3:3" x14ac:dyDescent="0.2">
      <c r="C21586" s="8" t="e">
        <f>VLOOKUP(A:A,'ITEM LIST'!A:C,3,0)</f>
        <v>#N/A</v>
      </c>
    </row>
    <row r="21587" spans="3:3" x14ac:dyDescent="0.2">
      <c r="C21587" s="8" t="e">
        <f>VLOOKUP(A:A,'ITEM LIST'!A:C,3,0)</f>
        <v>#N/A</v>
      </c>
    </row>
    <row r="21588" spans="3:3" x14ac:dyDescent="0.2">
      <c r="C21588" s="8" t="e">
        <f>VLOOKUP(A:A,'ITEM LIST'!A:C,3,0)</f>
        <v>#N/A</v>
      </c>
    </row>
    <row r="21589" spans="3:3" x14ac:dyDescent="0.2">
      <c r="C21589" s="8" t="e">
        <f>VLOOKUP(A:A,'ITEM LIST'!A:C,3,0)</f>
        <v>#N/A</v>
      </c>
    </row>
    <row r="21590" spans="3:3" x14ac:dyDescent="0.2">
      <c r="C21590" s="8" t="e">
        <f>VLOOKUP(A:A,'ITEM LIST'!A:C,3,0)</f>
        <v>#N/A</v>
      </c>
    </row>
    <row r="21591" spans="3:3" x14ac:dyDescent="0.2">
      <c r="C21591" s="8" t="e">
        <f>VLOOKUP(A:A,'ITEM LIST'!A:C,3,0)</f>
        <v>#N/A</v>
      </c>
    </row>
    <row r="21592" spans="3:3" x14ac:dyDescent="0.2">
      <c r="C21592" s="8" t="e">
        <f>VLOOKUP(A:A,'ITEM LIST'!A:C,3,0)</f>
        <v>#N/A</v>
      </c>
    </row>
    <row r="21593" spans="3:3" x14ac:dyDescent="0.2">
      <c r="C21593" s="8" t="e">
        <f>VLOOKUP(A:A,'ITEM LIST'!A:C,3,0)</f>
        <v>#N/A</v>
      </c>
    </row>
    <row r="21594" spans="3:3" x14ac:dyDescent="0.2">
      <c r="C21594" s="8" t="e">
        <f>VLOOKUP(A:A,'ITEM LIST'!A:C,3,0)</f>
        <v>#N/A</v>
      </c>
    </row>
    <row r="21595" spans="3:3" x14ac:dyDescent="0.2">
      <c r="C21595" s="8" t="e">
        <f>VLOOKUP(A:A,'ITEM LIST'!A:C,3,0)</f>
        <v>#N/A</v>
      </c>
    </row>
    <row r="21596" spans="3:3" x14ac:dyDescent="0.2">
      <c r="C21596" s="8" t="e">
        <f>VLOOKUP(A:A,'ITEM LIST'!A:C,3,0)</f>
        <v>#N/A</v>
      </c>
    </row>
    <row r="21597" spans="3:3" x14ac:dyDescent="0.2">
      <c r="C21597" s="8" t="e">
        <f>VLOOKUP(A:A,'ITEM LIST'!A:C,3,0)</f>
        <v>#N/A</v>
      </c>
    </row>
    <row r="21598" spans="3:3" x14ac:dyDescent="0.2">
      <c r="C21598" s="8" t="e">
        <f>VLOOKUP(A:A,'ITEM LIST'!A:C,3,0)</f>
        <v>#N/A</v>
      </c>
    </row>
    <row r="21599" spans="3:3" x14ac:dyDescent="0.2">
      <c r="C21599" s="8" t="e">
        <f>VLOOKUP(A:A,'ITEM LIST'!A:C,3,0)</f>
        <v>#N/A</v>
      </c>
    </row>
    <row r="21600" spans="3:3" x14ac:dyDescent="0.2">
      <c r="C21600" s="8" t="e">
        <f>VLOOKUP(A:A,'ITEM LIST'!A:C,3,0)</f>
        <v>#N/A</v>
      </c>
    </row>
    <row r="21601" spans="3:3" x14ac:dyDescent="0.2">
      <c r="C21601" s="8" t="e">
        <f>VLOOKUP(A:A,'ITEM LIST'!A:C,3,0)</f>
        <v>#N/A</v>
      </c>
    </row>
    <row r="21602" spans="3:3" x14ac:dyDescent="0.2">
      <c r="C21602" s="8" t="e">
        <f>VLOOKUP(A:A,'ITEM LIST'!A:C,3,0)</f>
        <v>#N/A</v>
      </c>
    </row>
    <row r="21603" spans="3:3" x14ac:dyDescent="0.2">
      <c r="C21603" s="8" t="e">
        <f>VLOOKUP(A:A,'ITEM LIST'!A:C,3,0)</f>
        <v>#N/A</v>
      </c>
    </row>
    <row r="21604" spans="3:3" x14ac:dyDescent="0.2">
      <c r="C21604" s="8" t="e">
        <f>VLOOKUP(A:A,'ITEM LIST'!A:C,3,0)</f>
        <v>#N/A</v>
      </c>
    </row>
    <row r="21605" spans="3:3" x14ac:dyDescent="0.2">
      <c r="C21605" s="8" t="e">
        <f>VLOOKUP(A:A,'ITEM LIST'!A:C,3,0)</f>
        <v>#N/A</v>
      </c>
    </row>
    <row r="21606" spans="3:3" x14ac:dyDescent="0.2">
      <c r="C21606" s="8" t="e">
        <f>VLOOKUP(A:A,'ITEM LIST'!A:C,3,0)</f>
        <v>#N/A</v>
      </c>
    </row>
    <row r="21607" spans="3:3" x14ac:dyDescent="0.2">
      <c r="C21607" s="8" t="e">
        <f>VLOOKUP(A:A,'ITEM LIST'!A:C,3,0)</f>
        <v>#N/A</v>
      </c>
    </row>
    <row r="21608" spans="3:3" x14ac:dyDescent="0.2">
      <c r="C21608" s="8" t="e">
        <f>VLOOKUP(A:A,'ITEM LIST'!A:C,3,0)</f>
        <v>#N/A</v>
      </c>
    </row>
    <row r="21609" spans="3:3" x14ac:dyDescent="0.2">
      <c r="C21609" s="8" t="e">
        <f>VLOOKUP(A:A,'ITEM LIST'!A:C,3,0)</f>
        <v>#N/A</v>
      </c>
    </row>
    <row r="21610" spans="3:3" x14ac:dyDescent="0.2">
      <c r="C21610" s="8" t="e">
        <f>VLOOKUP(A:A,'ITEM LIST'!A:C,3,0)</f>
        <v>#N/A</v>
      </c>
    </row>
    <row r="21611" spans="3:3" x14ac:dyDescent="0.2">
      <c r="C21611" s="8" t="e">
        <f>VLOOKUP(A:A,'ITEM LIST'!A:C,3,0)</f>
        <v>#N/A</v>
      </c>
    </row>
    <row r="21612" spans="3:3" x14ac:dyDescent="0.2">
      <c r="C21612" s="8" t="e">
        <f>VLOOKUP(A:A,'ITEM LIST'!A:C,3,0)</f>
        <v>#N/A</v>
      </c>
    </row>
    <row r="21613" spans="3:3" x14ac:dyDescent="0.2">
      <c r="C21613" s="8" t="e">
        <f>VLOOKUP(A:A,'ITEM LIST'!A:C,3,0)</f>
        <v>#N/A</v>
      </c>
    </row>
    <row r="21614" spans="3:3" x14ac:dyDescent="0.2">
      <c r="C21614" s="8" t="e">
        <f>VLOOKUP(A:A,'ITEM LIST'!A:C,3,0)</f>
        <v>#N/A</v>
      </c>
    </row>
    <row r="21615" spans="3:3" x14ac:dyDescent="0.2">
      <c r="C21615" s="8" t="e">
        <f>VLOOKUP(A:A,'ITEM LIST'!A:C,3,0)</f>
        <v>#N/A</v>
      </c>
    </row>
    <row r="21616" spans="3:3" x14ac:dyDescent="0.2">
      <c r="C21616" s="8" t="e">
        <f>VLOOKUP(A:A,'ITEM LIST'!A:C,3,0)</f>
        <v>#N/A</v>
      </c>
    </row>
    <row r="21617" spans="3:3" x14ac:dyDescent="0.2">
      <c r="C21617" s="8" t="e">
        <f>VLOOKUP(A:A,'ITEM LIST'!A:C,3,0)</f>
        <v>#N/A</v>
      </c>
    </row>
    <row r="21618" spans="3:3" x14ac:dyDescent="0.2">
      <c r="C21618" s="8" t="e">
        <f>VLOOKUP(A:A,'ITEM LIST'!A:C,3,0)</f>
        <v>#N/A</v>
      </c>
    </row>
    <row r="21619" spans="3:3" x14ac:dyDescent="0.2">
      <c r="C21619" s="8" t="e">
        <f>VLOOKUP(A:A,'ITEM LIST'!A:C,3,0)</f>
        <v>#N/A</v>
      </c>
    </row>
    <row r="21620" spans="3:3" x14ac:dyDescent="0.2">
      <c r="C21620" s="8" t="e">
        <f>VLOOKUP(A:A,'ITEM LIST'!A:C,3,0)</f>
        <v>#N/A</v>
      </c>
    </row>
    <row r="21621" spans="3:3" x14ac:dyDescent="0.2">
      <c r="C21621" s="8" t="e">
        <f>VLOOKUP(A:A,'ITEM LIST'!A:C,3,0)</f>
        <v>#N/A</v>
      </c>
    </row>
    <row r="21622" spans="3:3" x14ac:dyDescent="0.2">
      <c r="C21622" s="8" t="e">
        <f>VLOOKUP(A:A,'ITEM LIST'!A:C,3,0)</f>
        <v>#N/A</v>
      </c>
    </row>
    <row r="21623" spans="3:3" x14ac:dyDescent="0.2">
      <c r="C21623" s="8" t="e">
        <f>VLOOKUP(A:A,'ITEM LIST'!A:C,3,0)</f>
        <v>#N/A</v>
      </c>
    </row>
    <row r="21624" spans="3:3" x14ac:dyDescent="0.2">
      <c r="C21624" s="8" t="e">
        <f>VLOOKUP(A:A,'ITEM LIST'!A:C,3,0)</f>
        <v>#N/A</v>
      </c>
    </row>
    <row r="21625" spans="3:3" x14ac:dyDescent="0.2">
      <c r="C21625" s="8" t="e">
        <f>VLOOKUP(A:A,'ITEM LIST'!A:C,3,0)</f>
        <v>#N/A</v>
      </c>
    </row>
    <row r="21626" spans="3:3" x14ac:dyDescent="0.2">
      <c r="C21626" s="8" t="e">
        <f>VLOOKUP(A:A,'ITEM LIST'!A:C,3,0)</f>
        <v>#N/A</v>
      </c>
    </row>
    <row r="21627" spans="3:3" x14ac:dyDescent="0.2">
      <c r="C21627" s="8" t="e">
        <f>VLOOKUP(A:A,'ITEM LIST'!A:C,3,0)</f>
        <v>#N/A</v>
      </c>
    </row>
    <row r="21628" spans="3:3" x14ac:dyDescent="0.2">
      <c r="C21628" s="8" t="e">
        <f>VLOOKUP(A:A,'ITEM LIST'!A:C,3,0)</f>
        <v>#N/A</v>
      </c>
    </row>
    <row r="21629" spans="3:3" x14ac:dyDescent="0.2">
      <c r="C21629" s="8" t="e">
        <f>VLOOKUP(A:A,'ITEM LIST'!A:C,3,0)</f>
        <v>#N/A</v>
      </c>
    </row>
    <row r="21630" spans="3:3" x14ac:dyDescent="0.2">
      <c r="C21630" s="8" t="e">
        <f>VLOOKUP(A:A,'ITEM LIST'!A:C,3,0)</f>
        <v>#N/A</v>
      </c>
    </row>
    <row r="21631" spans="3:3" x14ac:dyDescent="0.2">
      <c r="C21631" s="8" t="e">
        <f>VLOOKUP(A:A,'ITEM LIST'!A:C,3,0)</f>
        <v>#N/A</v>
      </c>
    </row>
    <row r="21632" spans="3:3" x14ac:dyDescent="0.2">
      <c r="C21632" s="8" t="e">
        <f>VLOOKUP(A:A,'ITEM LIST'!A:C,3,0)</f>
        <v>#N/A</v>
      </c>
    </row>
    <row r="21633" spans="3:3" x14ac:dyDescent="0.2">
      <c r="C21633" s="8" t="e">
        <f>VLOOKUP(A:A,'ITEM LIST'!A:C,3,0)</f>
        <v>#N/A</v>
      </c>
    </row>
    <row r="21634" spans="3:3" x14ac:dyDescent="0.2">
      <c r="C21634" s="8" t="e">
        <f>VLOOKUP(A:A,'ITEM LIST'!A:C,3,0)</f>
        <v>#N/A</v>
      </c>
    </row>
    <row r="21635" spans="3:3" x14ac:dyDescent="0.2">
      <c r="C21635" s="8" t="e">
        <f>VLOOKUP(A:A,'ITEM LIST'!A:C,3,0)</f>
        <v>#N/A</v>
      </c>
    </row>
    <row r="21636" spans="3:3" x14ac:dyDescent="0.2">
      <c r="C21636" s="8" t="e">
        <f>VLOOKUP(A:A,'ITEM LIST'!A:C,3,0)</f>
        <v>#N/A</v>
      </c>
    </row>
    <row r="21637" spans="3:3" x14ac:dyDescent="0.2">
      <c r="C21637" s="8" t="e">
        <f>VLOOKUP(A:A,'ITEM LIST'!A:C,3,0)</f>
        <v>#N/A</v>
      </c>
    </row>
    <row r="21638" spans="3:3" x14ac:dyDescent="0.2">
      <c r="C21638" s="8" t="e">
        <f>VLOOKUP(A:A,'ITEM LIST'!A:C,3,0)</f>
        <v>#N/A</v>
      </c>
    </row>
    <row r="21639" spans="3:3" x14ac:dyDescent="0.2">
      <c r="C21639" s="8" t="e">
        <f>VLOOKUP(A:A,'ITEM LIST'!A:C,3,0)</f>
        <v>#N/A</v>
      </c>
    </row>
    <row r="21640" spans="3:3" x14ac:dyDescent="0.2">
      <c r="C21640" s="8" t="e">
        <f>VLOOKUP(A:A,'ITEM LIST'!A:C,3,0)</f>
        <v>#N/A</v>
      </c>
    </row>
    <row r="21641" spans="3:3" x14ac:dyDescent="0.2">
      <c r="C21641" s="8" t="e">
        <f>VLOOKUP(A:A,'ITEM LIST'!A:C,3,0)</f>
        <v>#N/A</v>
      </c>
    </row>
    <row r="21642" spans="3:3" x14ac:dyDescent="0.2">
      <c r="C21642" s="8" t="e">
        <f>VLOOKUP(A:A,'ITEM LIST'!A:C,3,0)</f>
        <v>#N/A</v>
      </c>
    </row>
    <row r="21643" spans="3:3" x14ac:dyDescent="0.2">
      <c r="C21643" s="8" t="e">
        <f>VLOOKUP(A:A,'ITEM LIST'!A:C,3,0)</f>
        <v>#N/A</v>
      </c>
    </row>
    <row r="21644" spans="3:3" x14ac:dyDescent="0.2">
      <c r="C21644" s="8" t="e">
        <f>VLOOKUP(A:A,'ITEM LIST'!A:C,3,0)</f>
        <v>#N/A</v>
      </c>
    </row>
    <row r="21645" spans="3:3" x14ac:dyDescent="0.2">
      <c r="C21645" s="8" t="e">
        <f>VLOOKUP(A:A,'ITEM LIST'!A:C,3,0)</f>
        <v>#N/A</v>
      </c>
    </row>
    <row r="21646" spans="3:3" x14ac:dyDescent="0.2">
      <c r="C21646" s="8" t="e">
        <f>VLOOKUP(A:A,'ITEM LIST'!A:C,3,0)</f>
        <v>#N/A</v>
      </c>
    </row>
    <row r="21647" spans="3:3" x14ac:dyDescent="0.2">
      <c r="C21647" s="8" t="e">
        <f>VLOOKUP(A:A,'ITEM LIST'!A:C,3,0)</f>
        <v>#N/A</v>
      </c>
    </row>
    <row r="21648" spans="3:3" x14ac:dyDescent="0.2">
      <c r="C21648" s="8" t="e">
        <f>VLOOKUP(A:A,'ITEM LIST'!A:C,3,0)</f>
        <v>#N/A</v>
      </c>
    </row>
    <row r="21649" spans="3:3" x14ac:dyDescent="0.2">
      <c r="C21649" s="8" t="e">
        <f>VLOOKUP(A:A,'ITEM LIST'!A:C,3,0)</f>
        <v>#N/A</v>
      </c>
    </row>
    <row r="21650" spans="3:3" x14ac:dyDescent="0.2">
      <c r="C21650" s="8" t="e">
        <f>VLOOKUP(A:A,'ITEM LIST'!A:C,3,0)</f>
        <v>#N/A</v>
      </c>
    </row>
    <row r="21651" spans="3:3" x14ac:dyDescent="0.2">
      <c r="C21651" s="8" t="e">
        <f>VLOOKUP(A:A,'ITEM LIST'!A:C,3,0)</f>
        <v>#N/A</v>
      </c>
    </row>
    <row r="21652" spans="3:3" x14ac:dyDescent="0.2">
      <c r="C21652" s="8" t="e">
        <f>VLOOKUP(A:A,'ITEM LIST'!A:C,3,0)</f>
        <v>#N/A</v>
      </c>
    </row>
    <row r="21653" spans="3:3" x14ac:dyDescent="0.2">
      <c r="C21653" s="8" t="e">
        <f>VLOOKUP(A:A,'ITEM LIST'!A:C,3,0)</f>
        <v>#N/A</v>
      </c>
    </row>
    <row r="21654" spans="3:3" x14ac:dyDescent="0.2">
      <c r="C21654" s="8" t="e">
        <f>VLOOKUP(A:A,'ITEM LIST'!A:C,3,0)</f>
        <v>#N/A</v>
      </c>
    </row>
    <row r="21655" spans="3:3" x14ac:dyDescent="0.2">
      <c r="C21655" s="8" t="e">
        <f>VLOOKUP(A:A,'ITEM LIST'!A:C,3,0)</f>
        <v>#N/A</v>
      </c>
    </row>
    <row r="21656" spans="3:3" x14ac:dyDescent="0.2">
      <c r="C21656" s="8" t="e">
        <f>VLOOKUP(A:A,'ITEM LIST'!A:C,3,0)</f>
        <v>#N/A</v>
      </c>
    </row>
    <row r="21657" spans="3:3" x14ac:dyDescent="0.2">
      <c r="C21657" s="8" t="e">
        <f>VLOOKUP(A:A,'ITEM LIST'!A:C,3,0)</f>
        <v>#N/A</v>
      </c>
    </row>
    <row r="21658" spans="3:3" x14ac:dyDescent="0.2">
      <c r="C21658" s="8" t="e">
        <f>VLOOKUP(A:A,'ITEM LIST'!A:C,3,0)</f>
        <v>#N/A</v>
      </c>
    </row>
    <row r="21659" spans="3:3" x14ac:dyDescent="0.2">
      <c r="C21659" s="8" t="e">
        <f>VLOOKUP(A:A,'ITEM LIST'!A:C,3,0)</f>
        <v>#N/A</v>
      </c>
    </row>
    <row r="21660" spans="3:3" x14ac:dyDescent="0.2">
      <c r="C21660" s="8" t="e">
        <f>VLOOKUP(A:A,'ITEM LIST'!A:C,3,0)</f>
        <v>#N/A</v>
      </c>
    </row>
    <row r="21661" spans="3:3" x14ac:dyDescent="0.2">
      <c r="C21661" s="8" t="e">
        <f>VLOOKUP(A:A,'ITEM LIST'!A:C,3,0)</f>
        <v>#N/A</v>
      </c>
    </row>
    <row r="21662" spans="3:3" x14ac:dyDescent="0.2">
      <c r="C21662" s="8" t="e">
        <f>VLOOKUP(A:A,'ITEM LIST'!A:C,3,0)</f>
        <v>#N/A</v>
      </c>
    </row>
    <row r="21663" spans="3:3" x14ac:dyDescent="0.2">
      <c r="C21663" s="8" t="e">
        <f>VLOOKUP(A:A,'ITEM LIST'!A:C,3,0)</f>
        <v>#N/A</v>
      </c>
    </row>
    <row r="21664" spans="3:3" x14ac:dyDescent="0.2">
      <c r="C21664" s="8" t="e">
        <f>VLOOKUP(A:A,'ITEM LIST'!A:C,3,0)</f>
        <v>#N/A</v>
      </c>
    </row>
    <row r="21665" spans="3:3" x14ac:dyDescent="0.2">
      <c r="C21665" s="8" t="e">
        <f>VLOOKUP(A:A,'ITEM LIST'!A:C,3,0)</f>
        <v>#N/A</v>
      </c>
    </row>
    <row r="21666" spans="3:3" x14ac:dyDescent="0.2">
      <c r="C21666" s="8" t="e">
        <f>VLOOKUP(A:A,'ITEM LIST'!A:C,3,0)</f>
        <v>#N/A</v>
      </c>
    </row>
    <row r="21667" spans="3:3" x14ac:dyDescent="0.2">
      <c r="C21667" s="8" t="e">
        <f>VLOOKUP(A:A,'ITEM LIST'!A:C,3,0)</f>
        <v>#N/A</v>
      </c>
    </row>
    <row r="21668" spans="3:3" x14ac:dyDescent="0.2">
      <c r="C21668" s="8" t="e">
        <f>VLOOKUP(A:A,'ITEM LIST'!A:C,3,0)</f>
        <v>#N/A</v>
      </c>
    </row>
    <row r="21669" spans="3:3" x14ac:dyDescent="0.2">
      <c r="C21669" s="8" t="e">
        <f>VLOOKUP(A:A,'ITEM LIST'!A:C,3,0)</f>
        <v>#N/A</v>
      </c>
    </row>
    <row r="21670" spans="3:3" x14ac:dyDescent="0.2">
      <c r="C21670" s="8" t="e">
        <f>VLOOKUP(A:A,'ITEM LIST'!A:C,3,0)</f>
        <v>#N/A</v>
      </c>
    </row>
    <row r="21671" spans="3:3" x14ac:dyDescent="0.2">
      <c r="C21671" s="8" t="e">
        <f>VLOOKUP(A:A,'ITEM LIST'!A:C,3,0)</f>
        <v>#N/A</v>
      </c>
    </row>
    <row r="21672" spans="3:3" x14ac:dyDescent="0.2">
      <c r="C21672" s="8" t="e">
        <f>VLOOKUP(A:A,'ITEM LIST'!A:C,3,0)</f>
        <v>#N/A</v>
      </c>
    </row>
    <row r="21673" spans="3:3" x14ac:dyDescent="0.2">
      <c r="C21673" s="8" t="e">
        <f>VLOOKUP(A:A,'ITEM LIST'!A:C,3,0)</f>
        <v>#N/A</v>
      </c>
    </row>
    <row r="21674" spans="3:3" x14ac:dyDescent="0.2">
      <c r="C21674" s="8" t="e">
        <f>VLOOKUP(A:A,'ITEM LIST'!A:C,3,0)</f>
        <v>#N/A</v>
      </c>
    </row>
    <row r="21675" spans="3:3" x14ac:dyDescent="0.2">
      <c r="C21675" s="8" t="e">
        <f>VLOOKUP(A:A,'ITEM LIST'!A:C,3,0)</f>
        <v>#N/A</v>
      </c>
    </row>
    <row r="21676" spans="3:3" x14ac:dyDescent="0.2">
      <c r="C21676" s="8" t="e">
        <f>VLOOKUP(A:A,'ITEM LIST'!A:C,3,0)</f>
        <v>#N/A</v>
      </c>
    </row>
    <row r="21677" spans="3:3" x14ac:dyDescent="0.2">
      <c r="C21677" s="8" t="e">
        <f>VLOOKUP(A:A,'ITEM LIST'!A:C,3,0)</f>
        <v>#N/A</v>
      </c>
    </row>
    <row r="21678" spans="3:3" x14ac:dyDescent="0.2">
      <c r="C21678" s="8" t="e">
        <f>VLOOKUP(A:A,'ITEM LIST'!A:C,3,0)</f>
        <v>#N/A</v>
      </c>
    </row>
    <row r="21679" spans="3:3" x14ac:dyDescent="0.2">
      <c r="C21679" s="8" t="e">
        <f>VLOOKUP(A:A,'ITEM LIST'!A:C,3,0)</f>
        <v>#N/A</v>
      </c>
    </row>
    <row r="21680" spans="3:3" x14ac:dyDescent="0.2">
      <c r="C21680" s="8" t="e">
        <f>VLOOKUP(A:A,'ITEM LIST'!A:C,3,0)</f>
        <v>#N/A</v>
      </c>
    </row>
    <row r="21681" spans="3:3" x14ac:dyDescent="0.2">
      <c r="C21681" s="8" t="e">
        <f>VLOOKUP(A:A,'ITEM LIST'!A:C,3,0)</f>
        <v>#N/A</v>
      </c>
    </row>
    <row r="21682" spans="3:3" x14ac:dyDescent="0.2">
      <c r="C21682" s="8" t="e">
        <f>VLOOKUP(A:A,'ITEM LIST'!A:C,3,0)</f>
        <v>#N/A</v>
      </c>
    </row>
    <row r="21683" spans="3:3" x14ac:dyDescent="0.2">
      <c r="C21683" s="8" t="e">
        <f>VLOOKUP(A:A,'ITEM LIST'!A:C,3,0)</f>
        <v>#N/A</v>
      </c>
    </row>
    <row r="21684" spans="3:3" x14ac:dyDescent="0.2">
      <c r="C21684" s="8" t="e">
        <f>VLOOKUP(A:A,'ITEM LIST'!A:C,3,0)</f>
        <v>#N/A</v>
      </c>
    </row>
    <row r="21685" spans="3:3" x14ac:dyDescent="0.2">
      <c r="C21685" s="8" t="e">
        <f>VLOOKUP(A:A,'ITEM LIST'!A:C,3,0)</f>
        <v>#N/A</v>
      </c>
    </row>
    <row r="21686" spans="3:3" x14ac:dyDescent="0.2">
      <c r="C21686" s="8" t="e">
        <f>VLOOKUP(A:A,'ITEM LIST'!A:C,3,0)</f>
        <v>#N/A</v>
      </c>
    </row>
    <row r="21687" spans="3:3" x14ac:dyDescent="0.2">
      <c r="C21687" s="8" t="e">
        <f>VLOOKUP(A:A,'ITEM LIST'!A:C,3,0)</f>
        <v>#N/A</v>
      </c>
    </row>
    <row r="21688" spans="3:3" x14ac:dyDescent="0.2">
      <c r="C21688" s="8" t="e">
        <f>VLOOKUP(A:A,'ITEM LIST'!A:C,3,0)</f>
        <v>#N/A</v>
      </c>
    </row>
    <row r="21689" spans="3:3" x14ac:dyDescent="0.2">
      <c r="C21689" s="8" t="e">
        <f>VLOOKUP(A:A,'ITEM LIST'!A:C,3,0)</f>
        <v>#N/A</v>
      </c>
    </row>
    <row r="21690" spans="3:3" x14ac:dyDescent="0.2">
      <c r="C21690" s="8" t="e">
        <f>VLOOKUP(A:A,'ITEM LIST'!A:C,3,0)</f>
        <v>#N/A</v>
      </c>
    </row>
    <row r="21691" spans="3:3" x14ac:dyDescent="0.2">
      <c r="C21691" s="8" t="e">
        <f>VLOOKUP(A:A,'ITEM LIST'!A:C,3,0)</f>
        <v>#N/A</v>
      </c>
    </row>
    <row r="21692" spans="3:3" x14ac:dyDescent="0.2">
      <c r="C21692" s="8" t="e">
        <f>VLOOKUP(A:A,'ITEM LIST'!A:C,3,0)</f>
        <v>#N/A</v>
      </c>
    </row>
    <row r="21693" spans="3:3" x14ac:dyDescent="0.2">
      <c r="C21693" s="8" t="e">
        <f>VLOOKUP(A:A,'ITEM LIST'!A:C,3,0)</f>
        <v>#N/A</v>
      </c>
    </row>
    <row r="21694" spans="3:3" x14ac:dyDescent="0.2">
      <c r="C21694" s="8" t="e">
        <f>VLOOKUP(A:A,'ITEM LIST'!A:C,3,0)</f>
        <v>#N/A</v>
      </c>
    </row>
    <row r="21695" spans="3:3" x14ac:dyDescent="0.2">
      <c r="C21695" s="8" t="e">
        <f>VLOOKUP(A:A,'ITEM LIST'!A:C,3,0)</f>
        <v>#N/A</v>
      </c>
    </row>
    <row r="21696" spans="3:3" x14ac:dyDescent="0.2">
      <c r="C21696" s="8" t="e">
        <f>VLOOKUP(A:A,'ITEM LIST'!A:C,3,0)</f>
        <v>#N/A</v>
      </c>
    </row>
    <row r="21697" spans="3:3" x14ac:dyDescent="0.2">
      <c r="C21697" s="8" t="e">
        <f>VLOOKUP(A:A,'ITEM LIST'!A:C,3,0)</f>
        <v>#N/A</v>
      </c>
    </row>
    <row r="21698" spans="3:3" x14ac:dyDescent="0.2">
      <c r="C21698" s="8" t="e">
        <f>VLOOKUP(A:A,'ITEM LIST'!A:C,3,0)</f>
        <v>#N/A</v>
      </c>
    </row>
    <row r="21699" spans="3:3" x14ac:dyDescent="0.2">
      <c r="C21699" s="8" t="e">
        <f>VLOOKUP(A:A,'ITEM LIST'!A:C,3,0)</f>
        <v>#N/A</v>
      </c>
    </row>
    <row r="21700" spans="3:3" x14ac:dyDescent="0.2">
      <c r="C21700" s="8" t="e">
        <f>VLOOKUP(A:A,'ITEM LIST'!A:C,3,0)</f>
        <v>#N/A</v>
      </c>
    </row>
    <row r="21701" spans="3:3" x14ac:dyDescent="0.2">
      <c r="C21701" s="8" t="e">
        <f>VLOOKUP(A:A,'ITEM LIST'!A:C,3,0)</f>
        <v>#N/A</v>
      </c>
    </row>
    <row r="21702" spans="3:3" x14ac:dyDescent="0.2">
      <c r="C21702" s="8" t="e">
        <f>VLOOKUP(A:A,'ITEM LIST'!A:C,3,0)</f>
        <v>#N/A</v>
      </c>
    </row>
    <row r="21703" spans="3:3" x14ac:dyDescent="0.2">
      <c r="C21703" s="8" t="e">
        <f>VLOOKUP(A:A,'ITEM LIST'!A:C,3,0)</f>
        <v>#N/A</v>
      </c>
    </row>
    <row r="21704" spans="3:3" x14ac:dyDescent="0.2">
      <c r="C21704" s="8" t="e">
        <f>VLOOKUP(A:A,'ITEM LIST'!A:C,3,0)</f>
        <v>#N/A</v>
      </c>
    </row>
    <row r="21705" spans="3:3" x14ac:dyDescent="0.2">
      <c r="C21705" s="8" t="e">
        <f>VLOOKUP(A:A,'ITEM LIST'!A:C,3,0)</f>
        <v>#N/A</v>
      </c>
    </row>
    <row r="21706" spans="3:3" x14ac:dyDescent="0.2">
      <c r="C21706" s="8" t="e">
        <f>VLOOKUP(A:A,'ITEM LIST'!A:C,3,0)</f>
        <v>#N/A</v>
      </c>
    </row>
    <row r="21707" spans="3:3" x14ac:dyDescent="0.2">
      <c r="C21707" s="8" t="e">
        <f>VLOOKUP(A:A,'ITEM LIST'!A:C,3,0)</f>
        <v>#N/A</v>
      </c>
    </row>
    <row r="21708" spans="3:3" x14ac:dyDescent="0.2">
      <c r="C21708" s="8" t="e">
        <f>VLOOKUP(A:A,'ITEM LIST'!A:C,3,0)</f>
        <v>#N/A</v>
      </c>
    </row>
    <row r="21709" spans="3:3" x14ac:dyDescent="0.2">
      <c r="C21709" s="8" t="e">
        <f>VLOOKUP(A:A,'ITEM LIST'!A:C,3,0)</f>
        <v>#N/A</v>
      </c>
    </row>
    <row r="21710" spans="3:3" x14ac:dyDescent="0.2">
      <c r="C21710" s="8" t="e">
        <f>VLOOKUP(A:A,'ITEM LIST'!A:C,3,0)</f>
        <v>#N/A</v>
      </c>
    </row>
    <row r="21711" spans="3:3" x14ac:dyDescent="0.2">
      <c r="C21711" s="8" t="e">
        <f>VLOOKUP(A:A,'ITEM LIST'!A:C,3,0)</f>
        <v>#N/A</v>
      </c>
    </row>
    <row r="21712" spans="3:3" x14ac:dyDescent="0.2">
      <c r="C21712" s="8" t="e">
        <f>VLOOKUP(A:A,'ITEM LIST'!A:C,3,0)</f>
        <v>#N/A</v>
      </c>
    </row>
    <row r="21713" spans="3:3" x14ac:dyDescent="0.2">
      <c r="C21713" s="8" t="e">
        <f>VLOOKUP(A:A,'ITEM LIST'!A:C,3,0)</f>
        <v>#N/A</v>
      </c>
    </row>
    <row r="21714" spans="3:3" x14ac:dyDescent="0.2">
      <c r="C21714" s="8" t="e">
        <f>VLOOKUP(A:A,'ITEM LIST'!A:C,3,0)</f>
        <v>#N/A</v>
      </c>
    </row>
    <row r="21715" spans="3:3" x14ac:dyDescent="0.2">
      <c r="C21715" s="8" t="e">
        <f>VLOOKUP(A:A,'ITEM LIST'!A:C,3,0)</f>
        <v>#N/A</v>
      </c>
    </row>
    <row r="21716" spans="3:3" x14ac:dyDescent="0.2">
      <c r="C21716" s="8" t="e">
        <f>VLOOKUP(A:A,'ITEM LIST'!A:C,3,0)</f>
        <v>#N/A</v>
      </c>
    </row>
    <row r="21717" spans="3:3" x14ac:dyDescent="0.2">
      <c r="C21717" s="8" t="e">
        <f>VLOOKUP(A:A,'ITEM LIST'!A:C,3,0)</f>
        <v>#N/A</v>
      </c>
    </row>
    <row r="21718" spans="3:3" x14ac:dyDescent="0.2">
      <c r="C21718" s="8" t="e">
        <f>VLOOKUP(A:A,'ITEM LIST'!A:C,3,0)</f>
        <v>#N/A</v>
      </c>
    </row>
    <row r="21719" spans="3:3" x14ac:dyDescent="0.2">
      <c r="C21719" s="8" t="e">
        <f>VLOOKUP(A:A,'ITEM LIST'!A:C,3,0)</f>
        <v>#N/A</v>
      </c>
    </row>
    <row r="21720" spans="3:3" x14ac:dyDescent="0.2">
      <c r="C21720" s="8" t="e">
        <f>VLOOKUP(A:A,'ITEM LIST'!A:C,3,0)</f>
        <v>#N/A</v>
      </c>
    </row>
    <row r="21721" spans="3:3" x14ac:dyDescent="0.2">
      <c r="C21721" s="8" t="e">
        <f>VLOOKUP(A:A,'ITEM LIST'!A:C,3,0)</f>
        <v>#N/A</v>
      </c>
    </row>
    <row r="21722" spans="3:3" x14ac:dyDescent="0.2">
      <c r="C21722" s="8" t="e">
        <f>VLOOKUP(A:A,'ITEM LIST'!A:C,3,0)</f>
        <v>#N/A</v>
      </c>
    </row>
    <row r="21723" spans="3:3" x14ac:dyDescent="0.2">
      <c r="C21723" s="8" t="e">
        <f>VLOOKUP(A:A,'ITEM LIST'!A:C,3,0)</f>
        <v>#N/A</v>
      </c>
    </row>
    <row r="21724" spans="3:3" x14ac:dyDescent="0.2">
      <c r="C21724" s="8" t="e">
        <f>VLOOKUP(A:A,'ITEM LIST'!A:C,3,0)</f>
        <v>#N/A</v>
      </c>
    </row>
    <row r="21725" spans="3:3" x14ac:dyDescent="0.2">
      <c r="C21725" s="8" t="e">
        <f>VLOOKUP(A:A,'ITEM LIST'!A:C,3,0)</f>
        <v>#N/A</v>
      </c>
    </row>
    <row r="21726" spans="3:3" x14ac:dyDescent="0.2">
      <c r="C21726" s="8" t="e">
        <f>VLOOKUP(A:A,'ITEM LIST'!A:C,3,0)</f>
        <v>#N/A</v>
      </c>
    </row>
    <row r="21727" spans="3:3" x14ac:dyDescent="0.2">
      <c r="C21727" s="8" t="e">
        <f>VLOOKUP(A:A,'ITEM LIST'!A:C,3,0)</f>
        <v>#N/A</v>
      </c>
    </row>
    <row r="21728" spans="3:3" x14ac:dyDescent="0.2">
      <c r="C21728" s="8" t="e">
        <f>VLOOKUP(A:A,'ITEM LIST'!A:C,3,0)</f>
        <v>#N/A</v>
      </c>
    </row>
    <row r="21729" spans="3:3" x14ac:dyDescent="0.2">
      <c r="C21729" s="8" t="e">
        <f>VLOOKUP(A:A,'ITEM LIST'!A:C,3,0)</f>
        <v>#N/A</v>
      </c>
    </row>
    <row r="21730" spans="3:3" x14ac:dyDescent="0.2">
      <c r="C21730" s="8" t="e">
        <f>VLOOKUP(A:A,'ITEM LIST'!A:C,3,0)</f>
        <v>#N/A</v>
      </c>
    </row>
    <row r="21731" spans="3:3" x14ac:dyDescent="0.2">
      <c r="C21731" s="8" t="e">
        <f>VLOOKUP(A:A,'ITEM LIST'!A:C,3,0)</f>
        <v>#N/A</v>
      </c>
    </row>
    <row r="21732" spans="3:3" x14ac:dyDescent="0.2">
      <c r="C21732" s="8" t="e">
        <f>VLOOKUP(A:A,'ITEM LIST'!A:C,3,0)</f>
        <v>#N/A</v>
      </c>
    </row>
    <row r="21733" spans="3:3" x14ac:dyDescent="0.2">
      <c r="C21733" s="8" t="e">
        <f>VLOOKUP(A:A,'ITEM LIST'!A:C,3,0)</f>
        <v>#N/A</v>
      </c>
    </row>
    <row r="21734" spans="3:3" x14ac:dyDescent="0.2">
      <c r="C21734" s="8" t="e">
        <f>VLOOKUP(A:A,'ITEM LIST'!A:C,3,0)</f>
        <v>#N/A</v>
      </c>
    </row>
    <row r="21735" spans="3:3" x14ac:dyDescent="0.2">
      <c r="C21735" s="8" t="e">
        <f>VLOOKUP(A:A,'ITEM LIST'!A:C,3,0)</f>
        <v>#N/A</v>
      </c>
    </row>
    <row r="21736" spans="3:3" x14ac:dyDescent="0.2">
      <c r="C21736" s="8" t="e">
        <f>VLOOKUP(A:A,'ITEM LIST'!A:C,3,0)</f>
        <v>#N/A</v>
      </c>
    </row>
    <row r="21737" spans="3:3" x14ac:dyDescent="0.2">
      <c r="C21737" s="8" t="e">
        <f>VLOOKUP(A:A,'ITEM LIST'!A:C,3,0)</f>
        <v>#N/A</v>
      </c>
    </row>
    <row r="21738" spans="3:3" x14ac:dyDescent="0.2">
      <c r="C21738" s="8" t="e">
        <f>VLOOKUP(A:A,'ITEM LIST'!A:C,3,0)</f>
        <v>#N/A</v>
      </c>
    </row>
    <row r="21739" spans="3:3" x14ac:dyDescent="0.2">
      <c r="C21739" s="8" t="e">
        <f>VLOOKUP(A:A,'ITEM LIST'!A:C,3,0)</f>
        <v>#N/A</v>
      </c>
    </row>
    <row r="21740" spans="3:3" x14ac:dyDescent="0.2">
      <c r="C21740" s="8" t="e">
        <f>VLOOKUP(A:A,'ITEM LIST'!A:C,3,0)</f>
        <v>#N/A</v>
      </c>
    </row>
    <row r="21741" spans="3:3" x14ac:dyDescent="0.2">
      <c r="C21741" s="8" t="e">
        <f>VLOOKUP(A:A,'ITEM LIST'!A:C,3,0)</f>
        <v>#N/A</v>
      </c>
    </row>
    <row r="21742" spans="3:3" x14ac:dyDescent="0.2">
      <c r="C21742" s="8" t="e">
        <f>VLOOKUP(A:A,'ITEM LIST'!A:C,3,0)</f>
        <v>#N/A</v>
      </c>
    </row>
    <row r="21743" spans="3:3" x14ac:dyDescent="0.2">
      <c r="C21743" s="8" t="e">
        <f>VLOOKUP(A:A,'ITEM LIST'!A:C,3,0)</f>
        <v>#N/A</v>
      </c>
    </row>
    <row r="21744" spans="3:3" x14ac:dyDescent="0.2">
      <c r="C21744" s="8" t="e">
        <f>VLOOKUP(A:A,'ITEM LIST'!A:C,3,0)</f>
        <v>#N/A</v>
      </c>
    </row>
    <row r="21745" spans="3:3" x14ac:dyDescent="0.2">
      <c r="C21745" s="8" t="e">
        <f>VLOOKUP(A:A,'ITEM LIST'!A:C,3,0)</f>
        <v>#N/A</v>
      </c>
    </row>
    <row r="21746" spans="3:3" x14ac:dyDescent="0.2">
      <c r="C21746" s="8" t="e">
        <f>VLOOKUP(A:A,'ITEM LIST'!A:C,3,0)</f>
        <v>#N/A</v>
      </c>
    </row>
    <row r="21747" spans="3:3" x14ac:dyDescent="0.2">
      <c r="C21747" s="8" t="e">
        <f>VLOOKUP(A:A,'ITEM LIST'!A:C,3,0)</f>
        <v>#N/A</v>
      </c>
    </row>
    <row r="21748" spans="3:3" x14ac:dyDescent="0.2">
      <c r="C21748" s="8" t="e">
        <f>VLOOKUP(A:A,'ITEM LIST'!A:C,3,0)</f>
        <v>#N/A</v>
      </c>
    </row>
    <row r="21749" spans="3:3" x14ac:dyDescent="0.2">
      <c r="C21749" s="8" t="e">
        <f>VLOOKUP(A:A,'ITEM LIST'!A:C,3,0)</f>
        <v>#N/A</v>
      </c>
    </row>
    <row r="21750" spans="3:3" x14ac:dyDescent="0.2">
      <c r="C21750" s="8" t="e">
        <f>VLOOKUP(A:A,'ITEM LIST'!A:C,3,0)</f>
        <v>#N/A</v>
      </c>
    </row>
    <row r="21751" spans="3:3" x14ac:dyDescent="0.2">
      <c r="C21751" s="8" t="e">
        <f>VLOOKUP(A:A,'ITEM LIST'!A:C,3,0)</f>
        <v>#N/A</v>
      </c>
    </row>
    <row r="21752" spans="3:3" x14ac:dyDescent="0.2">
      <c r="C21752" s="8" t="e">
        <f>VLOOKUP(A:A,'ITEM LIST'!A:C,3,0)</f>
        <v>#N/A</v>
      </c>
    </row>
    <row r="21753" spans="3:3" x14ac:dyDescent="0.2">
      <c r="C21753" s="8" t="e">
        <f>VLOOKUP(A:A,'ITEM LIST'!A:C,3,0)</f>
        <v>#N/A</v>
      </c>
    </row>
    <row r="21754" spans="3:3" x14ac:dyDescent="0.2">
      <c r="C21754" s="8" t="e">
        <f>VLOOKUP(A:A,'ITEM LIST'!A:C,3,0)</f>
        <v>#N/A</v>
      </c>
    </row>
    <row r="21755" spans="3:3" x14ac:dyDescent="0.2">
      <c r="C21755" s="8" t="e">
        <f>VLOOKUP(A:A,'ITEM LIST'!A:C,3,0)</f>
        <v>#N/A</v>
      </c>
    </row>
    <row r="21756" spans="3:3" x14ac:dyDescent="0.2">
      <c r="C21756" s="8" t="e">
        <f>VLOOKUP(A:A,'ITEM LIST'!A:C,3,0)</f>
        <v>#N/A</v>
      </c>
    </row>
    <row r="21757" spans="3:3" x14ac:dyDescent="0.2">
      <c r="C21757" s="8" t="e">
        <f>VLOOKUP(A:A,'ITEM LIST'!A:C,3,0)</f>
        <v>#N/A</v>
      </c>
    </row>
    <row r="21758" spans="3:3" x14ac:dyDescent="0.2">
      <c r="C21758" s="8" t="e">
        <f>VLOOKUP(A:A,'ITEM LIST'!A:C,3,0)</f>
        <v>#N/A</v>
      </c>
    </row>
    <row r="21759" spans="3:3" x14ac:dyDescent="0.2">
      <c r="C21759" s="8" t="e">
        <f>VLOOKUP(A:A,'ITEM LIST'!A:C,3,0)</f>
        <v>#N/A</v>
      </c>
    </row>
    <row r="21760" spans="3:3" x14ac:dyDescent="0.2">
      <c r="C21760" s="8" t="e">
        <f>VLOOKUP(A:A,'ITEM LIST'!A:C,3,0)</f>
        <v>#N/A</v>
      </c>
    </row>
    <row r="21761" spans="3:3" x14ac:dyDescent="0.2">
      <c r="C21761" s="8" t="e">
        <f>VLOOKUP(A:A,'ITEM LIST'!A:C,3,0)</f>
        <v>#N/A</v>
      </c>
    </row>
    <row r="21762" spans="3:3" x14ac:dyDescent="0.2">
      <c r="C21762" s="8" t="e">
        <f>VLOOKUP(A:A,'ITEM LIST'!A:C,3,0)</f>
        <v>#N/A</v>
      </c>
    </row>
    <row r="21763" spans="3:3" x14ac:dyDescent="0.2">
      <c r="C21763" s="8" t="e">
        <f>VLOOKUP(A:A,'ITEM LIST'!A:C,3,0)</f>
        <v>#N/A</v>
      </c>
    </row>
    <row r="21764" spans="3:3" x14ac:dyDescent="0.2">
      <c r="C21764" s="8" t="e">
        <f>VLOOKUP(A:A,'ITEM LIST'!A:C,3,0)</f>
        <v>#N/A</v>
      </c>
    </row>
    <row r="21765" spans="3:3" x14ac:dyDescent="0.2">
      <c r="C21765" s="8" t="e">
        <f>VLOOKUP(A:A,'ITEM LIST'!A:C,3,0)</f>
        <v>#N/A</v>
      </c>
    </row>
    <row r="21766" spans="3:3" x14ac:dyDescent="0.2">
      <c r="C21766" s="8" t="e">
        <f>VLOOKUP(A:A,'ITEM LIST'!A:C,3,0)</f>
        <v>#N/A</v>
      </c>
    </row>
    <row r="21767" spans="3:3" x14ac:dyDescent="0.2">
      <c r="C21767" s="8" t="e">
        <f>VLOOKUP(A:A,'ITEM LIST'!A:C,3,0)</f>
        <v>#N/A</v>
      </c>
    </row>
    <row r="21768" spans="3:3" x14ac:dyDescent="0.2">
      <c r="C21768" s="8" t="e">
        <f>VLOOKUP(A:A,'ITEM LIST'!A:C,3,0)</f>
        <v>#N/A</v>
      </c>
    </row>
    <row r="21769" spans="3:3" x14ac:dyDescent="0.2">
      <c r="C21769" s="8" t="e">
        <f>VLOOKUP(A:A,'ITEM LIST'!A:C,3,0)</f>
        <v>#N/A</v>
      </c>
    </row>
    <row r="21770" spans="3:3" x14ac:dyDescent="0.2">
      <c r="C21770" s="8" t="e">
        <f>VLOOKUP(A:A,'ITEM LIST'!A:C,3,0)</f>
        <v>#N/A</v>
      </c>
    </row>
    <row r="21771" spans="3:3" x14ac:dyDescent="0.2">
      <c r="C21771" s="8" t="e">
        <f>VLOOKUP(A:A,'ITEM LIST'!A:C,3,0)</f>
        <v>#N/A</v>
      </c>
    </row>
    <row r="21772" spans="3:3" x14ac:dyDescent="0.2">
      <c r="C21772" s="8" t="e">
        <f>VLOOKUP(A:A,'ITEM LIST'!A:C,3,0)</f>
        <v>#N/A</v>
      </c>
    </row>
    <row r="21773" spans="3:3" x14ac:dyDescent="0.2">
      <c r="C21773" s="8" t="e">
        <f>VLOOKUP(A:A,'ITEM LIST'!A:C,3,0)</f>
        <v>#N/A</v>
      </c>
    </row>
    <row r="21774" spans="3:3" x14ac:dyDescent="0.2">
      <c r="C21774" s="8" t="e">
        <f>VLOOKUP(A:A,'ITEM LIST'!A:C,3,0)</f>
        <v>#N/A</v>
      </c>
    </row>
    <row r="21775" spans="3:3" x14ac:dyDescent="0.2">
      <c r="C21775" s="8" t="e">
        <f>VLOOKUP(A:A,'ITEM LIST'!A:C,3,0)</f>
        <v>#N/A</v>
      </c>
    </row>
    <row r="21776" spans="3:3" x14ac:dyDescent="0.2">
      <c r="C21776" s="8" t="e">
        <f>VLOOKUP(A:A,'ITEM LIST'!A:C,3,0)</f>
        <v>#N/A</v>
      </c>
    </row>
    <row r="21777" spans="3:3" x14ac:dyDescent="0.2">
      <c r="C21777" s="8" t="e">
        <f>VLOOKUP(A:A,'ITEM LIST'!A:C,3,0)</f>
        <v>#N/A</v>
      </c>
    </row>
    <row r="21778" spans="3:3" x14ac:dyDescent="0.2">
      <c r="C21778" s="8" t="e">
        <f>VLOOKUP(A:A,'ITEM LIST'!A:C,3,0)</f>
        <v>#N/A</v>
      </c>
    </row>
    <row r="21779" spans="3:3" x14ac:dyDescent="0.2">
      <c r="C21779" s="8" t="e">
        <f>VLOOKUP(A:A,'ITEM LIST'!A:C,3,0)</f>
        <v>#N/A</v>
      </c>
    </row>
    <row r="21780" spans="3:3" x14ac:dyDescent="0.2">
      <c r="C21780" s="8" t="e">
        <f>VLOOKUP(A:A,'ITEM LIST'!A:C,3,0)</f>
        <v>#N/A</v>
      </c>
    </row>
    <row r="21781" spans="3:3" x14ac:dyDescent="0.2">
      <c r="C21781" s="8" t="e">
        <f>VLOOKUP(A:A,'ITEM LIST'!A:C,3,0)</f>
        <v>#N/A</v>
      </c>
    </row>
    <row r="21782" spans="3:3" x14ac:dyDescent="0.2">
      <c r="C21782" s="8" t="e">
        <f>VLOOKUP(A:A,'ITEM LIST'!A:C,3,0)</f>
        <v>#N/A</v>
      </c>
    </row>
    <row r="21783" spans="3:3" x14ac:dyDescent="0.2">
      <c r="C21783" s="8" t="e">
        <f>VLOOKUP(A:A,'ITEM LIST'!A:C,3,0)</f>
        <v>#N/A</v>
      </c>
    </row>
    <row r="21784" spans="3:3" x14ac:dyDescent="0.2">
      <c r="C21784" s="8" t="e">
        <f>VLOOKUP(A:A,'ITEM LIST'!A:C,3,0)</f>
        <v>#N/A</v>
      </c>
    </row>
    <row r="21785" spans="3:3" x14ac:dyDescent="0.2">
      <c r="C21785" s="8" t="e">
        <f>VLOOKUP(A:A,'ITEM LIST'!A:C,3,0)</f>
        <v>#N/A</v>
      </c>
    </row>
    <row r="21786" spans="3:3" x14ac:dyDescent="0.2">
      <c r="C21786" s="8" t="e">
        <f>VLOOKUP(A:A,'ITEM LIST'!A:C,3,0)</f>
        <v>#N/A</v>
      </c>
    </row>
    <row r="21787" spans="3:3" x14ac:dyDescent="0.2">
      <c r="C21787" s="8" t="e">
        <f>VLOOKUP(A:A,'ITEM LIST'!A:C,3,0)</f>
        <v>#N/A</v>
      </c>
    </row>
    <row r="21788" spans="3:3" x14ac:dyDescent="0.2">
      <c r="C21788" s="8" t="e">
        <f>VLOOKUP(A:A,'ITEM LIST'!A:C,3,0)</f>
        <v>#N/A</v>
      </c>
    </row>
    <row r="21789" spans="3:3" x14ac:dyDescent="0.2">
      <c r="C21789" s="8" t="e">
        <f>VLOOKUP(A:A,'ITEM LIST'!A:C,3,0)</f>
        <v>#N/A</v>
      </c>
    </row>
    <row r="21790" spans="3:3" x14ac:dyDescent="0.2">
      <c r="C21790" s="8" t="e">
        <f>VLOOKUP(A:A,'ITEM LIST'!A:C,3,0)</f>
        <v>#N/A</v>
      </c>
    </row>
    <row r="21791" spans="3:3" x14ac:dyDescent="0.2">
      <c r="C21791" s="8" t="e">
        <f>VLOOKUP(A:A,'ITEM LIST'!A:C,3,0)</f>
        <v>#N/A</v>
      </c>
    </row>
    <row r="21792" spans="3:3" x14ac:dyDescent="0.2">
      <c r="C21792" s="8" t="e">
        <f>VLOOKUP(A:A,'ITEM LIST'!A:C,3,0)</f>
        <v>#N/A</v>
      </c>
    </row>
    <row r="21793" spans="3:3" x14ac:dyDescent="0.2">
      <c r="C21793" s="8" t="e">
        <f>VLOOKUP(A:A,'ITEM LIST'!A:C,3,0)</f>
        <v>#N/A</v>
      </c>
    </row>
    <row r="21794" spans="3:3" x14ac:dyDescent="0.2">
      <c r="C21794" s="8" t="e">
        <f>VLOOKUP(A:A,'ITEM LIST'!A:C,3,0)</f>
        <v>#N/A</v>
      </c>
    </row>
    <row r="21795" spans="3:3" x14ac:dyDescent="0.2">
      <c r="C21795" s="8" t="e">
        <f>VLOOKUP(A:A,'ITEM LIST'!A:C,3,0)</f>
        <v>#N/A</v>
      </c>
    </row>
    <row r="21796" spans="3:3" x14ac:dyDescent="0.2">
      <c r="C21796" s="8" t="e">
        <f>VLOOKUP(A:A,'ITEM LIST'!A:C,3,0)</f>
        <v>#N/A</v>
      </c>
    </row>
    <row r="21797" spans="3:3" x14ac:dyDescent="0.2">
      <c r="C21797" s="8" t="e">
        <f>VLOOKUP(A:A,'ITEM LIST'!A:C,3,0)</f>
        <v>#N/A</v>
      </c>
    </row>
    <row r="21798" spans="3:3" x14ac:dyDescent="0.2">
      <c r="C21798" s="8" t="e">
        <f>VLOOKUP(A:A,'ITEM LIST'!A:C,3,0)</f>
        <v>#N/A</v>
      </c>
    </row>
    <row r="21799" spans="3:3" x14ac:dyDescent="0.2">
      <c r="C21799" s="8" t="e">
        <f>VLOOKUP(A:A,'ITEM LIST'!A:C,3,0)</f>
        <v>#N/A</v>
      </c>
    </row>
    <row r="21800" spans="3:3" x14ac:dyDescent="0.2">
      <c r="C21800" s="8" t="e">
        <f>VLOOKUP(A:A,'ITEM LIST'!A:C,3,0)</f>
        <v>#N/A</v>
      </c>
    </row>
    <row r="21801" spans="3:3" x14ac:dyDescent="0.2">
      <c r="C21801" s="8" t="e">
        <f>VLOOKUP(A:A,'ITEM LIST'!A:C,3,0)</f>
        <v>#N/A</v>
      </c>
    </row>
    <row r="21802" spans="3:3" x14ac:dyDescent="0.2">
      <c r="C21802" s="8" t="e">
        <f>VLOOKUP(A:A,'ITEM LIST'!A:C,3,0)</f>
        <v>#N/A</v>
      </c>
    </row>
    <row r="21803" spans="3:3" x14ac:dyDescent="0.2">
      <c r="C21803" s="8" t="e">
        <f>VLOOKUP(A:A,'ITEM LIST'!A:C,3,0)</f>
        <v>#N/A</v>
      </c>
    </row>
    <row r="21804" spans="3:3" x14ac:dyDescent="0.2">
      <c r="C21804" s="8" t="e">
        <f>VLOOKUP(A:A,'ITEM LIST'!A:C,3,0)</f>
        <v>#N/A</v>
      </c>
    </row>
    <row r="21805" spans="3:3" x14ac:dyDescent="0.2">
      <c r="C21805" s="8" t="e">
        <f>VLOOKUP(A:A,'ITEM LIST'!A:C,3,0)</f>
        <v>#N/A</v>
      </c>
    </row>
    <row r="21806" spans="3:3" x14ac:dyDescent="0.2">
      <c r="C21806" s="8" t="e">
        <f>VLOOKUP(A:A,'ITEM LIST'!A:C,3,0)</f>
        <v>#N/A</v>
      </c>
    </row>
    <row r="21807" spans="3:3" x14ac:dyDescent="0.2">
      <c r="C21807" s="8" t="e">
        <f>VLOOKUP(A:A,'ITEM LIST'!A:C,3,0)</f>
        <v>#N/A</v>
      </c>
    </row>
    <row r="21808" spans="3:3" x14ac:dyDescent="0.2">
      <c r="C21808" s="8" t="e">
        <f>VLOOKUP(A:A,'ITEM LIST'!A:C,3,0)</f>
        <v>#N/A</v>
      </c>
    </row>
    <row r="21809" spans="3:3" x14ac:dyDescent="0.2">
      <c r="C21809" s="8" t="e">
        <f>VLOOKUP(A:A,'ITEM LIST'!A:C,3,0)</f>
        <v>#N/A</v>
      </c>
    </row>
    <row r="21810" spans="3:3" x14ac:dyDescent="0.2">
      <c r="C21810" s="8" t="e">
        <f>VLOOKUP(A:A,'ITEM LIST'!A:C,3,0)</f>
        <v>#N/A</v>
      </c>
    </row>
    <row r="21811" spans="3:3" x14ac:dyDescent="0.2">
      <c r="C21811" s="8" t="e">
        <f>VLOOKUP(A:A,'ITEM LIST'!A:C,3,0)</f>
        <v>#N/A</v>
      </c>
    </row>
    <row r="21812" spans="3:3" x14ac:dyDescent="0.2">
      <c r="C21812" s="8" t="e">
        <f>VLOOKUP(A:A,'ITEM LIST'!A:C,3,0)</f>
        <v>#N/A</v>
      </c>
    </row>
    <row r="21813" spans="3:3" x14ac:dyDescent="0.2">
      <c r="C21813" s="8" t="e">
        <f>VLOOKUP(A:A,'ITEM LIST'!A:C,3,0)</f>
        <v>#N/A</v>
      </c>
    </row>
    <row r="21814" spans="3:3" x14ac:dyDescent="0.2">
      <c r="C21814" s="8" t="e">
        <f>VLOOKUP(A:A,'ITEM LIST'!A:C,3,0)</f>
        <v>#N/A</v>
      </c>
    </row>
    <row r="21815" spans="3:3" x14ac:dyDescent="0.2">
      <c r="C21815" s="8" t="e">
        <f>VLOOKUP(A:A,'ITEM LIST'!A:C,3,0)</f>
        <v>#N/A</v>
      </c>
    </row>
    <row r="21816" spans="3:3" x14ac:dyDescent="0.2">
      <c r="C21816" s="8" t="e">
        <f>VLOOKUP(A:A,'ITEM LIST'!A:C,3,0)</f>
        <v>#N/A</v>
      </c>
    </row>
    <row r="21817" spans="3:3" x14ac:dyDescent="0.2">
      <c r="C21817" s="8" t="e">
        <f>VLOOKUP(A:A,'ITEM LIST'!A:C,3,0)</f>
        <v>#N/A</v>
      </c>
    </row>
    <row r="21818" spans="3:3" x14ac:dyDescent="0.2">
      <c r="C21818" s="8" t="e">
        <f>VLOOKUP(A:A,'ITEM LIST'!A:C,3,0)</f>
        <v>#N/A</v>
      </c>
    </row>
    <row r="21819" spans="3:3" x14ac:dyDescent="0.2">
      <c r="C21819" s="8" t="e">
        <f>VLOOKUP(A:A,'ITEM LIST'!A:C,3,0)</f>
        <v>#N/A</v>
      </c>
    </row>
    <row r="21820" spans="3:3" x14ac:dyDescent="0.2">
      <c r="C21820" s="8" t="e">
        <f>VLOOKUP(A:A,'ITEM LIST'!A:C,3,0)</f>
        <v>#N/A</v>
      </c>
    </row>
    <row r="21821" spans="3:3" x14ac:dyDescent="0.2">
      <c r="C21821" s="8" t="e">
        <f>VLOOKUP(A:A,'ITEM LIST'!A:C,3,0)</f>
        <v>#N/A</v>
      </c>
    </row>
    <row r="21822" spans="3:3" x14ac:dyDescent="0.2">
      <c r="C21822" s="8" t="e">
        <f>VLOOKUP(A:A,'ITEM LIST'!A:C,3,0)</f>
        <v>#N/A</v>
      </c>
    </row>
    <row r="21823" spans="3:3" x14ac:dyDescent="0.2">
      <c r="C21823" s="8" t="e">
        <f>VLOOKUP(A:A,'ITEM LIST'!A:C,3,0)</f>
        <v>#N/A</v>
      </c>
    </row>
    <row r="21824" spans="3:3" x14ac:dyDescent="0.2">
      <c r="C21824" s="8" t="e">
        <f>VLOOKUP(A:A,'ITEM LIST'!A:C,3,0)</f>
        <v>#N/A</v>
      </c>
    </row>
    <row r="21825" spans="3:3" x14ac:dyDescent="0.2">
      <c r="C21825" s="8" t="e">
        <f>VLOOKUP(A:A,'ITEM LIST'!A:C,3,0)</f>
        <v>#N/A</v>
      </c>
    </row>
    <row r="21826" spans="3:3" x14ac:dyDescent="0.2">
      <c r="C21826" s="8" t="e">
        <f>VLOOKUP(A:A,'ITEM LIST'!A:C,3,0)</f>
        <v>#N/A</v>
      </c>
    </row>
    <row r="21827" spans="3:3" x14ac:dyDescent="0.2">
      <c r="C21827" s="8" t="e">
        <f>VLOOKUP(A:A,'ITEM LIST'!A:C,3,0)</f>
        <v>#N/A</v>
      </c>
    </row>
    <row r="21828" spans="3:3" x14ac:dyDescent="0.2">
      <c r="C21828" s="8" t="e">
        <f>VLOOKUP(A:A,'ITEM LIST'!A:C,3,0)</f>
        <v>#N/A</v>
      </c>
    </row>
    <row r="21829" spans="3:3" x14ac:dyDescent="0.2">
      <c r="C21829" s="8" t="e">
        <f>VLOOKUP(A:A,'ITEM LIST'!A:C,3,0)</f>
        <v>#N/A</v>
      </c>
    </row>
    <row r="21830" spans="3:3" x14ac:dyDescent="0.2">
      <c r="C21830" s="8" t="e">
        <f>VLOOKUP(A:A,'ITEM LIST'!A:C,3,0)</f>
        <v>#N/A</v>
      </c>
    </row>
    <row r="21831" spans="3:3" x14ac:dyDescent="0.2">
      <c r="C21831" s="8" t="e">
        <f>VLOOKUP(A:A,'ITEM LIST'!A:C,3,0)</f>
        <v>#N/A</v>
      </c>
    </row>
    <row r="21832" spans="3:3" x14ac:dyDescent="0.2">
      <c r="C21832" s="8" t="e">
        <f>VLOOKUP(A:A,'ITEM LIST'!A:C,3,0)</f>
        <v>#N/A</v>
      </c>
    </row>
    <row r="21833" spans="3:3" x14ac:dyDescent="0.2">
      <c r="C21833" s="8" t="e">
        <f>VLOOKUP(A:A,'ITEM LIST'!A:C,3,0)</f>
        <v>#N/A</v>
      </c>
    </row>
    <row r="21834" spans="3:3" x14ac:dyDescent="0.2">
      <c r="C21834" s="8" t="e">
        <f>VLOOKUP(A:A,'ITEM LIST'!A:C,3,0)</f>
        <v>#N/A</v>
      </c>
    </row>
    <row r="21835" spans="3:3" x14ac:dyDescent="0.2">
      <c r="C21835" s="8" t="e">
        <f>VLOOKUP(A:A,'ITEM LIST'!A:C,3,0)</f>
        <v>#N/A</v>
      </c>
    </row>
    <row r="21836" spans="3:3" x14ac:dyDescent="0.2">
      <c r="C21836" s="8" t="e">
        <f>VLOOKUP(A:A,'ITEM LIST'!A:C,3,0)</f>
        <v>#N/A</v>
      </c>
    </row>
    <row r="21837" spans="3:3" x14ac:dyDescent="0.2">
      <c r="C21837" s="8" t="e">
        <f>VLOOKUP(A:A,'ITEM LIST'!A:C,3,0)</f>
        <v>#N/A</v>
      </c>
    </row>
    <row r="21838" spans="3:3" x14ac:dyDescent="0.2">
      <c r="C21838" s="8" t="e">
        <f>VLOOKUP(A:A,'ITEM LIST'!A:C,3,0)</f>
        <v>#N/A</v>
      </c>
    </row>
    <row r="21839" spans="3:3" x14ac:dyDescent="0.2">
      <c r="C21839" s="8" t="e">
        <f>VLOOKUP(A:A,'ITEM LIST'!A:C,3,0)</f>
        <v>#N/A</v>
      </c>
    </row>
    <row r="21840" spans="3:3" x14ac:dyDescent="0.2">
      <c r="C21840" s="8" t="e">
        <f>VLOOKUP(A:A,'ITEM LIST'!A:C,3,0)</f>
        <v>#N/A</v>
      </c>
    </row>
    <row r="21841" spans="3:3" x14ac:dyDescent="0.2">
      <c r="C21841" s="8" t="e">
        <f>VLOOKUP(A:A,'ITEM LIST'!A:C,3,0)</f>
        <v>#N/A</v>
      </c>
    </row>
    <row r="21842" spans="3:3" x14ac:dyDescent="0.2">
      <c r="C21842" s="8" t="e">
        <f>VLOOKUP(A:A,'ITEM LIST'!A:C,3,0)</f>
        <v>#N/A</v>
      </c>
    </row>
    <row r="21843" spans="3:3" x14ac:dyDescent="0.2">
      <c r="C21843" s="8" t="e">
        <f>VLOOKUP(A:A,'ITEM LIST'!A:C,3,0)</f>
        <v>#N/A</v>
      </c>
    </row>
    <row r="21844" spans="3:3" x14ac:dyDescent="0.2">
      <c r="C21844" s="8" t="e">
        <f>VLOOKUP(A:A,'ITEM LIST'!A:C,3,0)</f>
        <v>#N/A</v>
      </c>
    </row>
    <row r="21845" spans="3:3" x14ac:dyDescent="0.2">
      <c r="C21845" s="8" t="e">
        <f>VLOOKUP(A:A,'ITEM LIST'!A:C,3,0)</f>
        <v>#N/A</v>
      </c>
    </row>
    <row r="21846" spans="3:3" x14ac:dyDescent="0.2">
      <c r="C21846" s="8" t="e">
        <f>VLOOKUP(A:A,'ITEM LIST'!A:C,3,0)</f>
        <v>#N/A</v>
      </c>
    </row>
    <row r="21847" spans="3:3" x14ac:dyDescent="0.2">
      <c r="C21847" s="8" t="e">
        <f>VLOOKUP(A:A,'ITEM LIST'!A:C,3,0)</f>
        <v>#N/A</v>
      </c>
    </row>
    <row r="21848" spans="3:3" x14ac:dyDescent="0.2">
      <c r="C21848" s="8" t="e">
        <f>VLOOKUP(A:A,'ITEM LIST'!A:C,3,0)</f>
        <v>#N/A</v>
      </c>
    </row>
    <row r="21849" spans="3:3" x14ac:dyDescent="0.2">
      <c r="C21849" s="8" t="e">
        <f>VLOOKUP(A:A,'ITEM LIST'!A:C,3,0)</f>
        <v>#N/A</v>
      </c>
    </row>
    <row r="21850" spans="3:3" x14ac:dyDescent="0.2">
      <c r="C21850" s="8" t="e">
        <f>VLOOKUP(A:A,'ITEM LIST'!A:C,3,0)</f>
        <v>#N/A</v>
      </c>
    </row>
    <row r="21851" spans="3:3" x14ac:dyDescent="0.2">
      <c r="C21851" s="8" t="e">
        <f>VLOOKUP(A:A,'ITEM LIST'!A:C,3,0)</f>
        <v>#N/A</v>
      </c>
    </row>
    <row r="21852" spans="3:3" x14ac:dyDescent="0.2">
      <c r="C21852" s="8" t="e">
        <f>VLOOKUP(A:A,'ITEM LIST'!A:C,3,0)</f>
        <v>#N/A</v>
      </c>
    </row>
    <row r="21853" spans="3:3" x14ac:dyDescent="0.2">
      <c r="C21853" s="8" t="e">
        <f>VLOOKUP(A:A,'ITEM LIST'!A:C,3,0)</f>
        <v>#N/A</v>
      </c>
    </row>
    <row r="21854" spans="3:3" x14ac:dyDescent="0.2">
      <c r="C21854" s="8" t="e">
        <f>VLOOKUP(A:A,'ITEM LIST'!A:C,3,0)</f>
        <v>#N/A</v>
      </c>
    </row>
    <row r="21855" spans="3:3" x14ac:dyDescent="0.2">
      <c r="C21855" s="8" t="e">
        <f>VLOOKUP(A:A,'ITEM LIST'!A:C,3,0)</f>
        <v>#N/A</v>
      </c>
    </row>
    <row r="21856" spans="3:3" x14ac:dyDescent="0.2">
      <c r="C21856" s="8" t="e">
        <f>VLOOKUP(A:A,'ITEM LIST'!A:C,3,0)</f>
        <v>#N/A</v>
      </c>
    </row>
    <row r="21857" spans="3:3" x14ac:dyDescent="0.2">
      <c r="C21857" s="8" t="e">
        <f>VLOOKUP(A:A,'ITEM LIST'!A:C,3,0)</f>
        <v>#N/A</v>
      </c>
    </row>
    <row r="21858" spans="3:3" x14ac:dyDescent="0.2">
      <c r="C21858" s="8" t="e">
        <f>VLOOKUP(A:A,'ITEM LIST'!A:C,3,0)</f>
        <v>#N/A</v>
      </c>
    </row>
    <row r="21859" spans="3:3" x14ac:dyDescent="0.2">
      <c r="C21859" s="8" t="e">
        <f>VLOOKUP(A:A,'ITEM LIST'!A:C,3,0)</f>
        <v>#N/A</v>
      </c>
    </row>
    <row r="21860" spans="3:3" x14ac:dyDescent="0.2">
      <c r="C21860" s="8" t="e">
        <f>VLOOKUP(A:A,'ITEM LIST'!A:C,3,0)</f>
        <v>#N/A</v>
      </c>
    </row>
    <row r="21861" spans="3:3" x14ac:dyDescent="0.2">
      <c r="C21861" s="8" t="e">
        <f>VLOOKUP(A:A,'ITEM LIST'!A:C,3,0)</f>
        <v>#N/A</v>
      </c>
    </row>
    <row r="21862" spans="3:3" x14ac:dyDescent="0.2">
      <c r="C21862" s="8" t="e">
        <f>VLOOKUP(A:A,'ITEM LIST'!A:C,3,0)</f>
        <v>#N/A</v>
      </c>
    </row>
    <row r="21863" spans="3:3" x14ac:dyDescent="0.2">
      <c r="C21863" s="8" t="e">
        <f>VLOOKUP(A:A,'ITEM LIST'!A:C,3,0)</f>
        <v>#N/A</v>
      </c>
    </row>
    <row r="21864" spans="3:3" x14ac:dyDescent="0.2">
      <c r="C21864" s="8" t="e">
        <f>VLOOKUP(A:A,'ITEM LIST'!A:C,3,0)</f>
        <v>#N/A</v>
      </c>
    </row>
    <row r="21865" spans="3:3" x14ac:dyDescent="0.2">
      <c r="C21865" s="8" t="e">
        <f>VLOOKUP(A:A,'ITEM LIST'!A:C,3,0)</f>
        <v>#N/A</v>
      </c>
    </row>
    <row r="21866" spans="3:3" x14ac:dyDescent="0.2">
      <c r="C21866" s="8" t="e">
        <f>VLOOKUP(A:A,'ITEM LIST'!A:C,3,0)</f>
        <v>#N/A</v>
      </c>
    </row>
    <row r="21867" spans="3:3" x14ac:dyDescent="0.2">
      <c r="C21867" s="8" t="e">
        <f>VLOOKUP(A:A,'ITEM LIST'!A:C,3,0)</f>
        <v>#N/A</v>
      </c>
    </row>
    <row r="21868" spans="3:3" x14ac:dyDescent="0.2">
      <c r="C21868" s="8" t="e">
        <f>VLOOKUP(A:A,'ITEM LIST'!A:C,3,0)</f>
        <v>#N/A</v>
      </c>
    </row>
    <row r="21869" spans="3:3" x14ac:dyDescent="0.2">
      <c r="C21869" s="8" t="e">
        <f>VLOOKUP(A:A,'ITEM LIST'!A:C,3,0)</f>
        <v>#N/A</v>
      </c>
    </row>
    <row r="21870" spans="3:3" x14ac:dyDescent="0.2">
      <c r="C21870" s="8" t="e">
        <f>VLOOKUP(A:A,'ITEM LIST'!A:C,3,0)</f>
        <v>#N/A</v>
      </c>
    </row>
    <row r="21871" spans="3:3" x14ac:dyDescent="0.2">
      <c r="C21871" s="8" t="e">
        <f>VLOOKUP(A:A,'ITEM LIST'!A:C,3,0)</f>
        <v>#N/A</v>
      </c>
    </row>
    <row r="21872" spans="3:3" x14ac:dyDescent="0.2">
      <c r="C21872" s="8" t="e">
        <f>VLOOKUP(A:A,'ITEM LIST'!A:C,3,0)</f>
        <v>#N/A</v>
      </c>
    </row>
    <row r="21873" spans="3:3" x14ac:dyDescent="0.2">
      <c r="C21873" s="8" t="e">
        <f>VLOOKUP(A:A,'ITEM LIST'!A:C,3,0)</f>
        <v>#N/A</v>
      </c>
    </row>
    <row r="21874" spans="3:3" x14ac:dyDescent="0.2">
      <c r="C21874" s="8" t="e">
        <f>VLOOKUP(A:A,'ITEM LIST'!A:C,3,0)</f>
        <v>#N/A</v>
      </c>
    </row>
    <row r="21875" spans="3:3" x14ac:dyDescent="0.2">
      <c r="C21875" s="8" t="e">
        <f>VLOOKUP(A:A,'ITEM LIST'!A:C,3,0)</f>
        <v>#N/A</v>
      </c>
    </row>
    <row r="21876" spans="3:3" x14ac:dyDescent="0.2">
      <c r="C21876" s="8" t="e">
        <f>VLOOKUP(A:A,'ITEM LIST'!A:C,3,0)</f>
        <v>#N/A</v>
      </c>
    </row>
    <row r="21877" spans="3:3" x14ac:dyDescent="0.2">
      <c r="C21877" s="8" t="e">
        <f>VLOOKUP(A:A,'ITEM LIST'!A:C,3,0)</f>
        <v>#N/A</v>
      </c>
    </row>
    <row r="21878" spans="3:3" x14ac:dyDescent="0.2">
      <c r="C21878" s="8" t="e">
        <f>VLOOKUP(A:A,'ITEM LIST'!A:C,3,0)</f>
        <v>#N/A</v>
      </c>
    </row>
    <row r="21879" spans="3:3" x14ac:dyDescent="0.2">
      <c r="C21879" s="8" t="e">
        <f>VLOOKUP(A:A,'ITEM LIST'!A:C,3,0)</f>
        <v>#N/A</v>
      </c>
    </row>
    <row r="21880" spans="3:3" x14ac:dyDescent="0.2">
      <c r="C21880" s="8" t="e">
        <f>VLOOKUP(A:A,'ITEM LIST'!A:C,3,0)</f>
        <v>#N/A</v>
      </c>
    </row>
    <row r="21881" spans="3:3" x14ac:dyDescent="0.2">
      <c r="C21881" s="8" t="e">
        <f>VLOOKUP(A:A,'ITEM LIST'!A:C,3,0)</f>
        <v>#N/A</v>
      </c>
    </row>
    <row r="21882" spans="3:3" x14ac:dyDescent="0.2">
      <c r="C21882" s="8" t="e">
        <f>VLOOKUP(A:A,'ITEM LIST'!A:C,3,0)</f>
        <v>#N/A</v>
      </c>
    </row>
    <row r="21883" spans="3:3" x14ac:dyDescent="0.2">
      <c r="C21883" s="8" t="e">
        <f>VLOOKUP(A:A,'ITEM LIST'!A:C,3,0)</f>
        <v>#N/A</v>
      </c>
    </row>
    <row r="21884" spans="3:3" x14ac:dyDescent="0.2">
      <c r="C21884" s="8" t="e">
        <f>VLOOKUP(A:A,'ITEM LIST'!A:C,3,0)</f>
        <v>#N/A</v>
      </c>
    </row>
    <row r="21885" spans="3:3" x14ac:dyDescent="0.2">
      <c r="C21885" s="8" t="e">
        <f>VLOOKUP(A:A,'ITEM LIST'!A:C,3,0)</f>
        <v>#N/A</v>
      </c>
    </row>
    <row r="21886" spans="3:3" x14ac:dyDescent="0.2">
      <c r="C21886" s="8" t="e">
        <f>VLOOKUP(A:A,'ITEM LIST'!A:C,3,0)</f>
        <v>#N/A</v>
      </c>
    </row>
    <row r="21887" spans="3:3" x14ac:dyDescent="0.2">
      <c r="C21887" s="8" t="e">
        <f>VLOOKUP(A:A,'ITEM LIST'!A:C,3,0)</f>
        <v>#N/A</v>
      </c>
    </row>
    <row r="21888" spans="3:3" x14ac:dyDescent="0.2">
      <c r="C21888" s="8" t="e">
        <f>VLOOKUP(A:A,'ITEM LIST'!A:C,3,0)</f>
        <v>#N/A</v>
      </c>
    </row>
    <row r="21889" spans="3:3" x14ac:dyDescent="0.2">
      <c r="C21889" s="8" t="e">
        <f>VLOOKUP(A:A,'ITEM LIST'!A:C,3,0)</f>
        <v>#N/A</v>
      </c>
    </row>
    <row r="21890" spans="3:3" x14ac:dyDescent="0.2">
      <c r="C21890" s="8" t="e">
        <f>VLOOKUP(A:A,'ITEM LIST'!A:C,3,0)</f>
        <v>#N/A</v>
      </c>
    </row>
    <row r="21891" spans="3:3" x14ac:dyDescent="0.2">
      <c r="C21891" s="8" t="e">
        <f>VLOOKUP(A:A,'ITEM LIST'!A:C,3,0)</f>
        <v>#N/A</v>
      </c>
    </row>
    <row r="21892" spans="3:3" x14ac:dyDescent="0.2">
      <c r="C21892" s="8" t="e">
        <f>VLOOKUP(A:A,'ITEM LIST'!A:C,3,0)</f>
        <v>#N/A</v>
      </c>
    </row>
    <row r="21893" spans="3:3" x14ac:dyDescent="0.2">
      <c r="C21893" s="8" t="e">
        <f>VLOOKUP(A:A,'ITEM LIST'!A:C,3,0)</f>
        <v>#N/A</v>
      </c>
    </row>
    <row r="21894" spans="3:3" x14ac:dyDescent="0.2">
      <c r="C21894" s="8" t="e">
        <f>VLOOKUP(A:A,'ITEM LIST'!A:C,3,0)</f>
        <v>#N/A</v>
      </c>
    </row>
    <row r="21895" spans="3:3" x14ac:dyDescent="0.2">
      <c r="C21895" s="8" t="e">
        <f>VLOOKUP(A:A,'ITEM LIST'!A:C,3,0)</f>
        <v>#N/A</v>
      </c>
    </row>
    <row r="21896" spans="3:3" x14ac:dyDescent="0.2">
      <c r="C21896" s="8" t="e">
        <f>VLOOKUP(A:A,'ITEM LIST'!A:C,3,0)</f>
        <v>#N/A</v>
      </c>
    </row>
    <row r="21897" spans="3:3" x14ac:dyDescent="0.2">
      <c r="C21897" s="8" t="e">
        <f>VLOOKUP(A:A,'ITEM LIST'!A:C,3,0)</f>
        <v>#N/A</v>
      </c>
    </row>
    <row r="21898" spans="3:3" x14ac:dyDescent="0.2">
      <c r="C21898" s="8" t="e">
        <f>VLOOKUP(A:A,'ITEM LIST'!A:C,3,0)</f>
        <v>#N/A</v>
      </c>
    </row>
    <row r="21899" spans="3:3" x14ac:dyDescent="0.2">
      <c r="C21899" s="8" t="e">
        <f>VLOOKUP(A:A,'ITEM LIST'!A:C,3,0)</f>
        <v>#N/A</v>
      </c>
    </row>
    <row r="21900" spans="3:3" x14ac:dyDescent="0.2">
      <c r="C21900" s="8" t="e">
        <f>VLOOKUP(A:A,'ITEM LIST'!A:C,3,0)</f>
        <v>#N/A</v>
      </c>
    </row>
    <row r="21901" spans="3:3" x14ac:dyDescent="0.2">
      <c r="C21901" s="8" t="e">
        <f>VLOOKUP(A:A,'ITEM LIST'!A:C,3,0)</f>
        <v>#N/A</v>
      </c>
    </row>
    <row r="21902" spans="3:3" x14ac:dyDescent="0.2">
      <c r="C21902" s="8" t="e">
        <f>VLOOKUP(A:A,'ITEM LIST'!A:C,3,0)</f>
        <v>#N/A</v>
      </c>
    </row>
    <row r="21903" spans="3:3" x14ac:dyDescent="0.2">
      <c r="C21903" s="8" t="e">
        <f>VLOOKUP(A:A,'ITEM LIST'!A:C,3,0)</f>
        <v>#N/A</v>
      </c>
    </row>
    <row r="21904" spans="3:3" x14ac:dyDescent="0.2">
      <c r="C21904" s="8" t="e">
        <f>VLOOKUP(A:A,'ITEM LIST'!A:C,3,0)</f>
        <v>#N/A</v>
      </c>
    </row>
    <row r="21905" spans="3:3" x14ac:dyDescent="0.2">
      <c r="C21905" s="8" t="e">
        <f>VLOOKUP(A:A,'ITEM LIST'!A:C,3,0)</f>
        <v>#N/A</v>
      </c>
    </row>
    <row r="21906" spans="3:3" x14ac:dyDescent="0.2">
      <c r="C21906" s="8" t="e">
        <f>VLOOKUP(A:A,'ITEM LIST'!A:C,3,0)</f>
        <v>#N/A</v>
      </c>
    </row>
    <row r="21907" spans="3:3" x14ac:dyDescent="0.2">
      <c r="C21907" s="8" t="e">
        <f>VLOOKUP(A:A,'ITEM LIST'!A:C,3,0)</f>
        <v>#N/A</v>
      </c>
    </row>
    <row r="21908" spans="3:3" x14ac:dyDescent="0.2">
      <c r="C21908" s="8" t="e">
        <f>VLOOKUP(A:A,'ITEM LIST'!A:C,3,0)</f>
        <v>#N/A</v>
      </c>
    </row>
    <row r="21909" spans="3:3" x14ac:dyDescent="0.2">
      <c r="C21909" s="8" t="e">
        <f>VLOOKUP(A:A,'ITEM LIST'!A:C,3,0)</f>
        <v>#N/A</v>
      </c>
    </row>
    <row r="21910" spans="3:3" x14ac:dyDescent="0.2">
      <c r="C21910" s="8" t="e">
        <f>VLOOKUP(A:A,'ITEM LIST'!A:C,3,0)</f>
        <v>#N/A</v>
      </c>
    </row>
    <row r="21911" spans="3:3" x14ac:dyDescent="0.2">
      <c r="C21911" s="8" t="e">
        <f>VLOOKUP(A:A,'ITEM LIST'!A:C,3,0)</f>
        <v>#N/A</v>
      </c>
    </row>
    <row r="21912" spans="3:3" x14ac:dyDescent="0.2">
      <c r="C21912" s="8" t="e">
        <f>VLOOKUP(A:A,'ITEM LIST'!A:C,3,0)</f>
        <v>#N/A</v>
      </c>
    </row>
    <row r="21913" spans="3:3" x14ac:dyDescent="0.2">
      <c r="C21913" s="8" t="e">
        <f>VLOOKUP(A:A,'ITEM LIST'!A:C,3,0)</f>
        <v>#N/A</v>
      </c>
    </row>
    <row r="21914" spans="3:3" x14ac:dyDescent="0.2">
      <c r="C21914" s="8" t="e">
        <f>VLOOKUP(A:A,'ITEM LIST'!A:C,3,0)</f>
        <v>#N/A</v>
      </c>
    </row>
    <row r="21915" spans="3:3" x14ac:dyDescent="0.2">
      <c r="C21915" s="8" t="e">
        <f>VLOOKUP(A:A,'ITEM LIST'!A:C,3,0)</f>
        <v>#N/A</v>
      </c>
    </row>
    <row r="21916" spans="3:3" x14ac:dyDescent="0.2">
      <c r="C21916" s="8" t="e">
        <f>VLOOKUP(A:A,'ITEM LIST'!A:C,3,0)</f>
        <v>#N/A</v>
      </c>
    </row>
    <row r="21917" spans="3:3" x14ac:dyDescent="0.2">
      <c r="C21917" s="8" t="e">
        <f>VLOOKUP(A:A,'ITEM LIST'!A:C,3,0)</f>
        <v>#N/A</v>
      </c>
    </row>
    <row r="21918" spans="3:3" x14ac:dyDescent="0.2">
      <c r="C21918" s="8" t="e">
        <f>VLOOKUP(A:A,'ITEM LIST'!A:C,3,0)</f>
        <v>#N/A</v>
      </c>
    </row>
    <row r="21919" spans="3:3" x14ac:dyDescent="0.2">
      <c r="C21919" s="8" t="e">
        <f>VLOOKUP(A:A,'ITEM LIST'!A:C,3,0)</f>
        <v>#N/A</v>
      </c>
    </row>
    <row r="21920" spans="3:3" x14ac:dyDescent="0.2">
      <c r="C21920" s="8" t="e">
        <f>VLOOKUP(A:A,'ITEM LIST'!A:C,3,0)</f>
        <v>#N/A</v>
      </c>
    </row>
    <row r="21921" spans="3:3" x14ac:dyDescent="0.2">
      <c r="C21921" s="8" t="e">
        <f>VLOOKUP(A:A,'ITEM LIST'!A:C,3,0)</f>
        <v>#N/A</v>
      </c>
    </row>
    <row r="21922" spans="3:3" x14ac:dyDescent="0.2">
      <c r="C21922" s="8" t="e">
        <f>VLOOKUP(A:A,'ITEM LIST'!A:C,3,0)</f>
        <v>#N/A</v>
      </c>
    </row>
    <row r="21923" spans="3:3" x14ac:dyDescent="0.2">
      <c r="C21923" s="8" t="e">
        <f>VLOOKUP(A:A,'ITEM LIST'!A:C,3,0)</f>
        <v>#N/A</v>
      </c>
    </row>
    <row r="21924" spans="3:3" x14ac:dyDescent="0.2">
      <c r="C21924" s="8" t="e">
        <f>VLOOKUP(A:A,'ITEM LIST'!A:C,3,0)</f>
        <v>#N/A</v>
      </c>
    </row>
    <row r="21925" spans="3:3" x14ac:dyDescent="0.2">
      <c r="C21925" s="8" t="e">
        <f>VLOOKUP(A:A,'ITEM LIST'!A:C,3,0)</f>
        <v>#N/A</v>
      </c>
    </row>
    <row r="21926" spans="3:3" x14ac:dyDescent="0.2">
      <c r="C21926" s="8" t="e">
        <f>VLOOKUP(A:A,'ITEM LIST'!A:C,3,0)</f>
        <v>#N/A</v>
      </c>
    </row>
    <row r="21927" spans="3:3" x14ac:dyDescent="0.2">
      <c r="C21927" s="8" t="e">
        <f>VLOOKUP(A:A,'ITEM LIST'!A:C,3,0)</f>
        <v>#N/A</v>
      </c>
    </row>
    <row r="21928" spans="3:3" x14ac:dyDescent="0.2">
      <c r="C21928" s="8" t="e">
        <f>VLOOKUP(A:A,'ITEM LIST'!A:C,3,0)</f>
        <v>#N/A</v>
      </c>
    </row>
    <row r="21929" spans="3:3" x14ac:dyDescent="0.2">
      <c r="C21929" s="8" t="e">
        <f>VLOOKUP(A:A,'ITEM LIST'!A:C,3,0)</f>
        <v>#N/A</v>
      </c>
    </row>
    <row r="21930" spans="3:3" x14ac:dyDescent="0.2">
      <c r="C21930" s="8" t="e">
        <f>VLOOKUP(A:A,'ITEM LIST'!A:C,3,0)</f>
        <v>#N/A</v>
      </c>
    </row>
    <row r="21931" spans="3:3" x14ac:dyDescent="0.2">
      <c r="C21931" s="8" t="e">
        <f>VLOOKUP(A:A,'ITEM LIST'!A:C,3,0)</f>
        <v>#N/A</v>
      </c>
    </row>
    <row r="21932" spans="3:3" x14ac:dyDescent="0.2">
      <c r="C21932" s="8" t="e">
        <f>VLOOKUP(A:A,'ITEM LIST'!A:C,3,0)</f>
        <v>#N/A</v>
      </c>
    </row>
    <row r="21933" spans="3:3" x14ac:dyDescent="0.2">
      <c r="C21933" s="8" t="e">
        <f>VLOOKUP(A:A,'ITEM LIST'!A:C,3,0)</f>
        <v>#N/A</v>
      </c>
    </row>
    <row r="21934" spans="3:3" x14ac:dyDescent="0.2">
      <c r="C21934" s="8" t="e">
        <f>VLOOKUP(A:A,'ITEM LIST'!A:C,3,0)</f>
        <v>#N/A</v>
      </c>
    </row>
    <row r="21935" spans="3:3" x14ac:dyDescent="0.2">
      <c r="C21935" s="8" t="e">
        <f>VLOOKUP(A:A,'ITEM LIST'!A:C,3,0)</f>
        <v>#N/A</v>
      </c>
    </row>
    <row r="21936" spans="3:3" x14ac:dyDescent="0.2">
      <c r="C21936" s="8" t="e">
        <f>VLOOKUP(A:A,'ITEM LIST'!A:C,3,0)</f>
        <v>#N/A</v>
      </c>
    </row>
    <row r="21937" spans="3:3" x14ac:dyDescent="0.2">
      <c r="C21937" s="8" t="e">
        <f>VLOOKUP(A:A,'ITEM LIST'!A:C,3,0)</f>
        <v>#N/A</v>
      </c>
    </row>
    <row r="21938" spans="3:3" x14ac:dyDescent="0.2">
      <c r="C21938" s="8" t="e">
        <f>VLOOKUP(A:A,'ITEM LIST'!A:C,3,0)</f>
        <v>#N/A</v>
      </c>
    </row>
    <row r="21939" spans="3:3" x14ac:dyDescent="0.2">
      <c r="C21939" s="8" t="e">
        <f>VLOOKUP(A:A,'ITEM LIST'!A:C,3,0)</f>
        <v>#N/A</v>
      </c>
    </row>
    <row r="21940" spans="3:3" x14ac:dyDescent="0.2">
      <c r="C21940" s="8" t="e">
        <f>VLOOKUP(A:A,'ITEM LIST'!A:C,3,0)</f>
        <v>#N/A</v>
      </c>
    </row>
    <row r="21941" spans="3:3" x14ac:dyDescent="0.2">
      <c r="C21941" s="8" t="e">
        <f>VLOOKUP(A:A,'ITEM LIST'!A:C,3,0)</f>
        <v>#N/A</v>
      </c>
    </row>
    <row r="21942" spans="3:3" x14ac:dyDescent="0.2">
      <c r="C21942" s="8" t="e">
        <f>VLOOKUP(A:A,'ITEM LIST'!A:C,3,0)</f>
        <v>#N/A</v>
      </c>
    </row>
    <row r="21943" spans="3:3" x14ac:dyDescent="0.2">
      <c r="C21943" s="8" t="e">
        <f>VLOOKUP(A:A,'ITEM LIST'!A:C,3,0)</f>
        <v>#N/A</v>
      </c>
    </row>
    <row r="21944" spans="3:3" x14ac:dyDescent="0.2">
      <c r="C21944" s="8" t="e">
        <f>VLOOKUP(A:A,'ITEM LIST'!A:C,3,0)</f>
        <v>#N/A</v>
      </c>
    </row>
    <row r="21945" spans="3:3" x14ac:dyDescent="0.2">
      <c r="C21945" s="8" t="e">
        <f>VLOOKUP(A:A,'ITEM LIST'!A:C,3,0)</f>
        <v>#N/A</v>
      </c>
    </row>
    <row r="21946" spans="3:3" x14ac:dyDescent="0.2">
      <c r="C21946" s="8" t="e">
        <f>VLOOKUP(A:A,'ITEM LIST'!A:C,3,0)</f>
        <v>#N/A</v>
      </c>
    </row>
    <row r="21947" spans="3:3" x14ac:dyDescent="0.2">
      <c r="C21947" s="8" t="e">
        <f>VLOOKUP(A:A,'ITEM LIST'!A:C,3,0)</f>
        <v>#N/A</v>
      </c>
    </row>
    <row r="21948" spans="3:3" x14ac:dyDescent="0.2">
      <c r="C21948" s="8" t="e">
        <f>VLOOKUP(A:A,'ITEM LIST'!A:C,3,0)</f>
        <v>#N/A</v>
      </c>
    </row>
    <row r="21949" spans="3:3" x14ac:dyDescent="0.2">
      <c r="C21949" s="8" t="e">
        <f>VLOOKUP(A:A,'ITEM LIST'!A:C,3,0)</f>
        <v>#N/A</v>
      </c>
    </row>
    <row r="21950" spans="3:3" x14ac:dyDescent="0.2">
      <c r="C21950" s="8" t="e">
        <f>VLOOKUP(A:A,'ITEM LIST'!A:C,3,0)</f>
        <v>#N/A</v>
      </c>
    </row>
    <row r="21951" spans="3:3" x14ac:dyDescent="0.2">
      <c r="C21951" s="8" t="e">
        <f>VLOOKUP(A:A,'ITEM LIST'!A:C,3,0)</f>
        <v>#N/A</v>
      </c>
    </row>
    <row r="21952" spans="3:3" x14ac:dyDescent="0.2">
      <c r="C21952" s="8" t="e">
        <f>VLOOKUP(A:A,'ITEM LIST'!A:C,3,0)</f>
        <v>#N/A</v>
      </c>
    </row>
    <row r="21953" spans="3:3" x14ac:dyDescent="0.2">
      <c r="C21953" s="8" t="e">
        <f>VLOOKUP(A:A,'ITEM LIST'!A:C,3,0)</f>
        <v>#N/A</v>
      </c>
    </row>
    <row r="21954" spans="3:3" x14ac:dyDescent="0.2">
      <c r="C21954" s="8" t="e">
        <f>VLOOKUP(A:A,'ITEM LIST'!A:C,3,0)</f>
        <v>#N/A</v>
      </c>
    </row>
    <row r="21955" spans="3:3" x14ac:dyDescent="0.2">
      <c r="C21955" s="8" t="e">
        <f>VLOOKUP(A:A,'ITEM LIST'!A:C,3,0)</f>
        <v>#N/A</v>
      </c>
    </row>
    <row r="21956" spans="3:3" x14ac:dyDescent="0.2">
      <c r="C21956" s="8" t="e">
        <f>VLOOKUP(A:A,'ITEM LIST'!A:C,3,0)</f>
        <v>#N/A</v>
      </c>
    </row>
    <row r="21957" spans="3:3" x14ac:dyDescent="0.2">
      <c r="C21957" s="8" t="e">
        <f>VLOOKUP(A:A,'ITEM LIST'!A:C,3,0)</f>
        <v>#N/A</v>
      </c>
    </row>
    <row r="21958" spans="3:3" x14ac:dyDescent="0.2">
      <c r="C21958" s="8" t="e">
        <f>VLOOKUP(A:A,'ITEM LIST'!A:C,3,0)</f>
        <v>#N/A</v>
      </c>
    </row>
    <row r="21959" spans="3:3" x14ac:dyDescent="0.2">
      <c r="C21959" s="8" t="e">
        <f>VLOOKUP(A:A,'ITEM LIST'!A:C,3,0)</f>
        <v>#N/A</v>
      </c>
    </row>
    <row r="21960" spans="3:3" x14ac:dyDescent="0.2">
      <c r="C21960" s="8" t="e">
        <f>VLOOKUP(A:A,'ITEM LIST'!A:C,3,0)</f>
        <v>#N/A</v>
      </c>
    </row>
    <row r="21961" spans="3:3" x14ac:dyDescent="0.2">
      <c r="C21961" s="8" t="e">
        <f>VLOOKUP(A:A,'ITEM LIST'!A:C,3,0)</f>
        <v>#N/A</v>
      </c>
    </row>
    <row r="21962" spans="3:3" x14ac:dyDescent="0.2">
      <c r="C21962" s="8" t="e">
        <f>VLOOKUP(A:A,'ITEM LIST'!A:C,3,0)</f>
        <v>#N/A</v>
      </c>
    </row>
    <row r="21963" spans="3:3" x14ac:dyDescent="0.2">
      <c r="C21963" s="8" t="e">
        <f>VLOOKUP(A:A,'ITEM LIST'!A:C,3,0)</f>
        <v>#N/A</v>
      </c>
    </row>
    <row r="21964" spans="3:3" x14ac:dyDescent="0.2">
      <c r="C21964" s="8" t="e">
        <f>VLOOKUP(A:A,'ITEM LIST'!A:C,3,0)</f>
        <v>#N/A</v>
      </c>
    </row>
    <row r="21965" spans="3:3" x14ac:dyDescent="0.2">
      <c r="C21965" s="8" t="e">
        <f>VLOOKUP(A:A,'ITEM LIST'!A:C,3,0)</f>
        <v>#N/A</v>
      </c>
    </row>
    <row r="21966" spans="3:3" x14ac:dyDescent="0.2">
      <c r="C21966" s="8" t="e">
        <f>VLOOKUP(A:A,'ITEM LIST'!A:C,3,0)</f>
        <v>#N/A</v>
      </c>
    </row>
    <row r="21967" spans="3:3" x14ac:dyDescent="0.2">
      <c r="C21967" s="8" t="e">
        <f>VLOOKUP(A:A,'ITEM LIST'!A:C,3,0)</f>
        <v>#N/A</v>
      </c>
    </row>
    <row r="21968" spans="3:3" x14ac:dyDescent="0.2">
      <c r="C21968" s="8" t="e">
        <f>VLOOKUP(A:A,'ITEM LIST'!A:C,3,0)</f>
        <v>#N/A</v>
      </c>
    </row>
    <row r="21969" spans="3:3" x14ac:dyDescent="0.2">
      <c r="C21969" s="8" t="e">
        <f>VLOOKUP(A:A,'ITEM LIST'!A:C,3,0)</f>
        <v>#N/A</v>
      </c>
    </row>
    <row r="21970" spans="3:3" x14ac:dyDescent="0.2">
      <c r="C21970" s="8" t="e">
        <f>VLOOKUP(A:A,'ITEM LIST'!A:C,3,0)</f>
        <v>#N/A</v>
      </c>
    </row>
    <row r="21971" spans="3:3" x14ac:dyDescent="0.2">
      <c r="C21971" s="8" t="e">
        <f>VLOOKUP(A:A,'ITEM LIST'!A:C,3,0)</f>
        <v>#N/A</v>
      </c>
    </row>
    <row r="21972" spans="3:3" x14ac:dyDescent="0.2">
      <c r="C21972" s="8" t="e">
        <f>VLOOKUP(A:A,'ITEM LIST'!A:C,3,0)</f>
        <v>#N/A</v>
      </c>
    </row>
    <row r="21973" spans="3:3" x14ac:dyDescent="0.2">
      <c r="C21973" s="8" t="e">
        <f>VLOOKUP(A:A,'ITEM LIST'!A:C,3,0)</f>
        <v>#N/A</v>
      </c>
    </row>
    <row r="21974" spans="3:3" x14ac:dyDescent="0.2">
      <c r="C21974" s="8" t="e">
        <f>VLOOKUP(A:A,'ITEM LIST'!A:C,3,0)</f>
        <v>#N/A</v>
      </c>
    </row>
    <row r="21975" spans="3:3" x14ac:dyDescent="0.2">
      <c r="C21975" s="8" t="e">
        <f>VLOOKUP(A:A,'ITEM LIST'!A:C,3,0)</f>
        <v>#N/A</v>
      </c>
    </row>
    <row r="21976" spans="3:3" x14ac:dyDescent="0.2">
      <c r="C21976" s="8" t="e">
        <f>VLOOKUP(A:A,'ITEM LIST'!A:C,3,0)</f>
        <v>#N/A</v>
      </c>
    </row>
    <row r="21977" spans="3:3" x14ac:dyDescent="0.2">
      <c r="C21977" s="8" t="e">
        <f>VLOOKUP(A:A,'ITEM LIST'!A:C,3,0)</f>
        <v>#N/A</v>
      </c>
    </row>
    <row r="21978" spans="3:3" x14ac:dyDescent="0.2">
      <c r="C21978" s="8" t="e">
        <f>VLOOKUP(A:A,'ITEM LIST'!A:C,3,0)</f>
        <v>#N/A</v>
      </c>
    </row>
    <row r="21979" spans="3:3" x14ac:dyDescent="0.2">
      <c r="C21979" s="8" t="e">
        <f>VLOOKUP(A:A,'ITEM LIST'!A:C,3,0)</f>
        <v>#N/A</v>
      </c>
    </row>
    <row r="21980" spans="3:3" x14ac:dyDescent="0.2">
      <c r="C21980" s="8" t="e">
        <f>VLOOKUP(A:A,'ITEM LIST'!A:C,3,0)</f>
        <v>#N/A</v>
      </c>
    </row>
    <row r="21981" spans="3:3" x14ac:dyDescent="0.2">
      <c r="C21981" s="8" t="e">
        <f>VLOOKUP(A:A,'ITEM LIST'!A:C,3,0)</f>
        <v>#N/A</v>
      </c>
    </row>
    <row r="21982" spans="3:3" x14ac:dyDescent="0.2">
      <c r="C21982" s="8" t="e">
        <f>VLOOKUP(A:A,'ITEM LIST'!A:C,3,0)</f>
        <v>#N/A</v>
      </c>
    </row>
    <row r="21983" spans="3:3" x14ac:dyDescent="0.2">
      <c r="C21983" s="8" t="e">
        <f>VLOOKUP(A:A,'ITEM LIST'!A:C,3,0)</f>
        <v>#N/A</v>
      </c>
    </row>
    <row r="21984" spans="3:3" x14ac:dyDescent="0.2">
      <c r="C21984" s="8" t="e">
        <f>VLOOKUP(A:A,'ITEM LIST'!A:C,3,0)</f>
        <v>#N/A</v>
      </c>
    </row>
    <row r="21985" spans="3:3" x14ac:dyDescent="0.2">
      <c r="C21985" s="8" t="e">
        <f>VLOOKUP(A:A,'ITEM LIST'!A:C,3,0)</f>
        <v>#N/A</v>
      </c>
    </row>
    <row r="21986" spans="3:3" x14ac:dyDescent="0.2">
      <c r="C21986" s="8" t="e">
        <f>VLOOKUP(A:A,'ITEM LIST'!A:C,3,0)</f>
        <v>#N/A</v>
      </c>
    </row>
    <row r="21987" spans="3:3" x14ac:dyDescent="0.2">
      <c r="C21987" s="8" t="e">
        <f>VLOOKUP(A:A,'ITEM LIST'!A:C,3,0)</f>
        <v>#N/A</v>
      </c>
    </row>
    <row r="21988" spans="3:3" x14ac:dyDescent="0.2">
      <c r="C21988" s="8" t="e">
        <f>VLOOKUP(A:A,'ITEM LIST'!A:C,3,0)</f>
        <v>#N/A</v>
      </c>
    </row>
    <row r="21989" spans="3:3" x14ac:dyDescent="0.2">
      <c r="C21989" s="8" t="e">
        <f>VLOOKUP(A:A,'ITEM LIST'!A:C,3,0)</f>
        <v>#N/A</v>
      </c>
    </row>
    <row r="21990" spans="3:3" x14ac:dyDescent="0.2">
      <c r="C21990" s="8" t="e">
        <f>VLOOKUP(A:A,'ITEM LIST'!A:C,3,0)</f>
        <v>#N/A</v>
      </c>
    </row>
    <row r="21991" spans="3:3" x14ac:dyDescent="0.2">
      <c r="C21991" s="8" t="e">
        <f>VLOOKUP(A:A,'ITEM LIST'!A:C,3,0)</f>
        <v>#N/A</v>
      </c>
    </row>
    <row r="21992" spans="3:3" x14ac:dyDescent="0.2">
      <c r="C21992" s="8" t="e">
        <f>VLOOKUP(A:A,'ITEM LIST'!A:C,3,0)</f>
        <v>#N/A</v>
      </c>
    </row>
    <row r="21993" spans="3:3" x14ac:dyDescent="0.2">
      <c r="C21993" s="8" t="e">
        <f>VLOOKUP(A:A,'ITEM LIST'!A:C,3,0)</f>
        <v>#N/A</v>
      </c>
    </row>
    <row r="21994" spans="3:3" x14ac:dyDescent="0.2">
      <c r="C21994" s="8" t="e">
        <f>VLOOKUP(A:A,'ITEM LIST'!A:C,3,0)</f>
        <v>#N/A</v>
      </c>
    </row>
    <row r="21995" spans="3:3" x14ac:dyDescent="0.2">
      <c r="C21995" s="8" t="e">
        <f>VLOOKUP(A:A,'ITEM LIST'!A:C,3,0)</f>
        <v>#N/A</v>
      </c>
    </row>
    <row r="21996" spans="3:3" x14ac:dyDescent="0.2">
      <c r="C21996" s="8" t="e">
        <f>VLOOKUP(A:A,'ITEM LIST'!A:C,3,0)</f>
        <v>#N/A</v>
      </c>
    </row>
    <row r="21997" spans="3:3" x14ac:dyDescent="0.2">
      <c r="C21997" s="8" t="e">
        <f>VLOOKUP(A:A,'ITEM LIST'!A:C,3,0)</f>
        <v>#N/A</v>
      </c>
    </row>
    <row r="21998" spans="3:3" x14ac:dyDescent="0.2">
      <c r="C21998" s="8" t="e">
        <f>VLOOKUP(A:A,'ITEM LIST'!A:C,3,0)</f>
        <v>#N/A</v>
      </c>
    </row>
    <row r="21999" spans="3:3" x14ac:dyDescent="0.2">
      <c r="C21999" s="8" t="e">
        <f>VLOOKUP(A:A,'ITEM LIST'!A:C,3,0)</f>
        <v>#N/A</v>
      </c>
    </row>
    <row r="22000" spans="3:3" x14ac:dyDescent="0.2">
      <c r="C22000" s="8" t="e">
        <f>VLOOKUP(A:A,'ITEM LIST'!A:C,3,0)</f>
        <v>#N/A</v>
      </c>
    </row>
    <row r="22001" spans="3:3" x14ac:dyDescent="0.2">
      <c r="C22001" s="8" t="e">
        <f>VLOOKUP(A:A,'ITEM LIST'!A:C,3,0)</f>
        <v>#N/A</v>
      </c>
    </row>
    <row r="22002" spans="3:3" x14ac:dyDescent="0.2">
      <c r="C22002" s="8" t="e">
        <f>VLOOKUP(A:A,'ITEM LIST'!A:C,3,0)</f>
        <v>#N/A</v>
      </c>
    </row>
    <row r="22003" spans="3:3" x14ac:dyDescent="0.2">
      <c r="C22003" s="8" t="e">
        <f>VLOOKUP(A:A,'ITEM LIST'!A:C,3,0)</f>
        <v>#N/A</v>
      </c>
    </row>
    <row r="22004" spans="3:3" x14ac:dyDescent="0.2">
      <c r="C22004" s="8" t="e">
        <f>VLOOKUP(A:A,'ITEM LIST'!A:C,3,0)</f>
        <v>#N/A</v>
      </c>
    </row>
    <row r="22005" spans="3:3" x14ac:dyDescent="0.2">
      <c r="C22005" s="8" t="e">
        <f>VLOOKUP(A:A,'ITEM LIST'!A:C,3,0)</f>
        <v>#N/A</v>
      </c>
    </row>
    <row r="22006" spans="3:3" x14ac:dyDescent="0.2">
      <c r="C22006" s="8" t="e">
        <f>VLOOKUP(A:A,'ITEM LIST'!A:C,3,0)</f>
        <v>#N/A</v>
      </c>
    </row>
    <row r="22007" spans="3:3" x14ac:dyDescent="0.2">
      <c r="C22007" s="8" t="e">
        <f>VLOOKUP(A:A,'ITEM LIST'!A:C,3,0)</f>
        <v>#N/A</v>
      </c>
    </row>
    <row r="22008" spans="3:3" x14ac:dyDescent="0.2">
      <c r="C22008" s="8" t="e">
        <f>VLOOKUP(A:A,'ITEM LIST'!A:C,3,0)</f>
        <v>#N/A</v>
      </c>
    </row>
    <row r="22009" spans="3:3" x14ac:dyDescent="0.2">
      <c r="C22009" s="8" t="e">
        <f>VLOOKUP(A:A,'ITEM LIST'!A:C,3,0)</f>
        <v>#N/A</v>
      </c>
    </row>
    <row r="22010" spans="3:3" x14ac:dyDescent="0.2">
      <c r="C22010" s="8" t="e">
        <f>VLOOKUP(A:A,'ITEM LIST'!A:C,3,0)</f>
        <v>#N/A</v>
      </c>
    </row>
    <row r="22011" spans="3:3" x14ac:dyDescent="0.2">
      <c r="C22011" s="8" t="e">
        <f>VLOOKUP(A:A,'ITEM LIST'!A:C,3,0)</f>
        <v>#N/A</v>
      </c>
    </row>
    <row r="22012" spans="3:3" x14ac:dyDescent="0.2">
      <c r="C22012" s="8" t="e">
        <f>VLOOKUP(A:A,'ITEM LIST'!A:C,3,0)</f>
        <v>#N/A</v>
      </c>
    </row>
    <row r="22013" spans="3:3" x14ac:dyDescent="0.2">
      <c r="C22013" s="8" t="e">
        <f>VLOOKUP(A:A,'ITEM LIST'!A:C,3,0)</f>
        <v>#N/A</v>
      </c>
    </row>
    <row r="22014" spans="3:3" x14ac:dyDescent="0.2">
      <c r="C22014" s="8" t="e">
        <f>VLOOKUP(A:A,'ITEM LIST'!A:C,3,0)</f>
        <v>#N/A</v>
      </c>
    </row>
    <row r="22015" spans="3:3" x14ac:dyDescent="0.2">
      <c r="C22015" s="8" t="e">
        <f>VLOOKUP(A:A,'ITEM LIST'!A:C,3,0)</f>
        <v>#N/A</v>
      </c>
    </row>
    <row r="22016" spans="3:3" x14ac:dyDescent="0.2">
      <c r="C22016" s="8" t="e">
        <f>VLOOKUP(A:A,'ITEM LIST'!A:C,3,0)</f>
        <v>#N/A</v>
      </c>
    </row>
    <row r="22017" spans="3:3" x14ac:dyDescent="0.2">
      <c r="C22017" s="8" t="e">
        <f>VLOOKUP(A:A,'ITEM LIST'!A:C,3,0)</f>
        <v>#N/A</v>
      </c>
    </row>
    <row r="22018" spans="3:3" x14ac:dyDescent="0.2">
      <c r="C22018" s="8" t="e">
        <f>VLOOKUP(A:A,'ITEM LIST'!A:C,3,0)</f>
        <v>#N/A</v>
      </c>
    </row>
    <row r="22019" spans="3:3" x14ac:dyDescent="0.2">
      <c r="C22019" s="8" t="e">
        <f>VLOOKUP(A:A,'ITEM LIST'!A:C,3,0)</f>
        <v>#N/A</v>
      </c>
    </row>
    <row r="22020" spans="3:3" x14ac:dyDescent="0.2">
      <c r="C22020" s="8" t="e">
        <f>VLOOKUP(A:A,'ITEM LIST'!A:C,3,0)</f>
        <v>#N/A</v>
      </c>
    </row>
    <row r="22021" spans="3:3" x14ac:dyDescent="0.2">
      <c r="C22021" s="8" t="e">
        <f>VLOOKUP(A:A,'ITEM LIST'!A:C,3,0)</f>
        <v>#N/A</v>
      </c>
    </row>
    <row r="22022" spans="3:3" x14ac:dyDescent="0.2">
      <c r="C22022" s="8" t="e">
        <f>VLOOKUP(A:A,'ITEM LIST'!A:C,3,0)</f>
        <v>#N/A</v>
      </c>
    </row>
    <row r="22023" spans="3:3" x14ac:dyDescent="0.2">
      <c r="C22023" s="8" t="e">
        <f>VLOOKUP(A:A,'ITEM LIST'!A:C,3,0)</f>
        <v>#N/A</v>
      </c>
    </row>
    <row r="22024" spans="3:3" x14ac:dyDescent="0.2">
      <c r="C22024" s="8" t="e">
        <f>VLOOKUP(A:A,'ITEM LIST'!A:C,3,0)</f>
        <v>#N/A</v>
      </c>
    </row>
    <row r="22025" spans="3:3" x14ac:dyDescent="0.2">
      <c r="C22025" s="8" t="e">
        <f>VLOOKUP(A:A,'ITEM LIST'!A:C,3,0)</f>
        <v>#N/A</v>
      </c>
    </row>
    <row r="22026" spans="3:3" x14ac:dyDescent="0.2">
      <c r="C22026" s="8" t="e">
        <f>VLOOKUP(A:A,'ITEM LIST'!A:C,3,0)</f>
        <v>#N/A</v>
      </c>
    </row>
    <row r="22027" spans="3:3" x14ac:dyDescent="0.2">
      <c r="C22027" s="8" t="e">
        <f>VLOOKUP(A:A,'ITEM LIST'!A:C,3,0)</f>
        <v>#N/A</v>
      </c>
    </row>
    <row r="22028" spans="3:3" x14ac:dyDescent="0.2">
      <c r="C22028" s="8" t="e">
        <f>VLOOKUP(A:A,'ITEM LIST'!A:C,3,0)</f>
        <v>#N/A</v>
      </c>
    </row>
    <row r="22029" spans="3:3" x14ac:dyDescent="0.2">
      <c r="C22029" s="8" t="e">
        <f>VLOOKUP(A:A,'ITEM LIST'!A:C,3,0)</f>
        <v>#N/A</v>
      </c>
    </row>
    <row r="22030" spans="3:3" x14ac:dyDescent="0.2">
      <c r="C22030" s="8" t="e">
        <f>VLOOKUP(A:A,'ITEM LIST'!A:C,3,0)</f>
        <v>#N/A</v>
      </c>
    </row>
    <row r="22031" spans="3:3" x14ac:dyDescent="0.2">
      <c r="C22031" s="8" t="e">
        <f>VLOOKUP(A:A,'ITEM LIST'!A:C,3,0)</f>
        <v>#N/A</v>
      </c>
    </row>
    <row r="22032" spans="3:3" x14ac:dyDescent="0.2">
      <c r="C22032" s="8" t="e">
        <f>VLOOKUP(A:A,'ITEM LIST'!A:C,3,0)</f>
        <v>#N/A</v>
      </c>
    </row>
    <row r="22033" spans="3:3" x14ac:dyDescent="0.2">
      <c r="C22033" s="8" t="e">
        <f>VLOOKUP(A:A,'ITEM LIST'!A:C,3,0)</f>
        <v>#N/A</v>
      </c>
    </row>
    <row r="22034" spans="3:3" x14ac:dyDescent="0.2">
      <c r="C22034" s="8" t="e">
        <f>VLOOKUP(A:A,'ITEM LIST'!A:C,3,0)</f>
        <v>#N/A</v>
      </c>
    </row>
    <row r="22035" spans="3:3" x14ac:dyDescent="0.2">
      <c r="C22035" s="8" t="e">
        <f>VLOOKUP(A:A,'ITEM LIST'!A:C,3,0)</f>
        <v>#N/A</v>
      </c>
    </row>
    <row r="22036" spans="3:3" x14ac:dyDescent="0.2">
      <c r="C22036" s="8" t="e">
        <f>VLOOKUP(A:A,'ITEM LIST'!A:C,3,0)</f>
        <v>#N/A</v>
      </c>
    </row>
    <row r="22037" spans="3:3" x14ac:dyDescent="0.2">
      <c r="C22037" s="8" t="e">
        <f>VLOOKUP(A:A,'ITEM LIST'!A:C,3,0)</f>
        <v>#N/A</v>
      </c>
    </row>
    <row r="22038" spans="3:3" x14ac:dyDescent="0.2">
      <c r="C22038" s="8" t="e">
        <f>VLOOKUP(A:A,'ITEM LIST'!A:C,3,0)</f>
        <v>#N/A</v>
      </c>
    </row>
    <row r="22039" spans="3:3" x14ac:dyDescent="0.2">
      <c r="C22039" s="8" t="e">
        <f>VLOOKUP(A:A,'ITEM LIST'!A:C,3,0)</f>
        <v>#N/A</v>
      </c>
    </row>
    <row r="22040" spans="3:3" x14ac:dyDescent="0.2">
      <c r="C22040" s="8" t="e">
        <f>VLOOKUP(A:A,'ITEM LIST'!A:C,3,0)</f>
        <v>#N/A</v>
      </c>
    </row>
    <row r="22041" spans="3:3" x14ac:dyDescent="0.2">
      <c r="C22041" s="8" t="e">
        <f>VLOOKUP(A:A,'ITEM LIST'!A:C,3,0)</f>
        <v>#N/A</v>
      </c>
    </row>
    <row r="22042" spans="3:3" x14ac:dyDescent="0.2">
      <c r="C22042" s="8" t="e">
        <f>VLOOKUP(A:A,'ITEM LIST'!A:C,3,0)</f>
        <v>#N/A</v>
      </c>
    </row>
    <row r="22043" spans="3:3" x14ac:dyDescent="0.2">
      <c r="C22043" s="8" t="e">
        <f>VLOOKUP(A:A,'ITEM LIST'!A:C,3,0)</f>
        <v>#N/A</v>
      </c>
    </row>
    <row r="22044" spans="3:3" x14ac:dyDescent="0.2">
      <c r="C22044" s="8" t="e">
        <f>VLOOKUP(A:A,'ITEM LIST'!A:C,3,0)</f>
        <v>#N/A</v>
      </c>
    </row>
    <row r="22045" spans="3:3" x14ac:dyDescent="0.2">
      <c r="C22045" s="8" t="e">
        <f>VLOOKUP(A:A,'ITEM LIST'!A:C,3,0)</f>
        <v>#N/A</v>
      </c>
    </row>
    <row r="22046" spans="3:3" x14ac:dyDescent="0.2">
      <c r="C22046" s="8" t="e">
        <f>VLOOKUP(A:A,'ITEM LIST'!A:C,3,0)</f>
        <v>#N/A</v>
      </c>
    </row>
    <row r="22047" spans="3:3" x14ac:dyDescent="0.2">
      <c r="C22047" s="8" t="e">
        <f>VLOOKUP(A:A,'ITEM LIST'!A:C,3,0)</f>
        <v>#N/A</v>
      </c>
    </row>
    <row r="22048" spans="3:3" x14ac:dyDescent="0.2">
      <c r="C22048" s="8" t="e">
        <f>VLOOKUP(A:A,'ITEM LIST'!A:C,3,0)</f>
        <v>#N/A</v>
      </c>
    </row>
    <row r="22049" spans="3:3" x14ac:dyDescent="0.2">
      <c r="C22049" s="8" t="e">
        <f>VLOOKUP(A:A,'ITEM LIST'!A:C,3,0)</f>
        <v>#N/A</v>
      </c>
    </row>
    <row r="22050" spans="3:3" x14ac:dyDescent="0.2">
      <c r="C22050" s="8" t="e">
        <f>VLOOKUP(A:A,'ITEM LIST'!A:C,3,0)</f>
        <v>#N/A</v>
      </c>
    </row>
    <row r="22051" spans="3:3" x14ac:dyDescent="0.2">
      <c r="C22051" s="8" t="e">
        <f>VLOOKUP(A:A,'ITEM LIST'!A:C,3,0)</f>
        <v>#N/A</v>
      </c>
    </row>
    <row r="22052" spans="3:3" x14ac:dyDescent="0.2">
      <c r="C22052" s="8" t="e">
        <f>VLOOKUP(A:A,'ITEM LIST'!A:C,3,0)</f>
        <v>#N/A</v>
      </c>
    </row>
    <row r="22053" spans="3:3" x14ac:dyDescent="0.2">
      <c r="C22053" s="8" t="e">
        <f>VLOOKUP(A:A,'ITEM LIST'!A:C,3,0)</f>
        <v>#N/A</v>
      </c>
    </row>
    <row r="22054" spans="3:3" x14ac:dyDescent="0.2">
      <c r="C22054" s="8" t="e">
        <f>VLOOKUP(A:A,'ITEM LIST'!A:C,3,0)</f>
        <v>#N/A</v>
      </c>
    </row>
    <row r="22055" spans="3:3" x14ac:dyDescent="0.2">
      <c r="C22055" s="8" t="e">
        <f>VLOOKUP(A:A,'ITEM LIST'!A:C,3,0)</f>
        <v>#N/A</v>
      </c>
    </row>
    <row r="22056" spans="3:3" x14ac:dyDescent="0.2">
      <c r="C22056" s="8" t="e">
        <f>VLOOKUP(A:A,'ITEM LIST'!A:C,3,0)</f>
        <v>#N/A</v>
      </c>
    </row>
    <row r="22057" spans="3:3" x14ac:dyDescent="0.2">
      <c r="C22057" s="8" t="e">
        <f>VLOOKUP(A:A,'ITEM LIST'!A:C,3,0)</f>
        <v>#N/A</v>
      </c>
    </row>
    <row r="22058" spans="3:3" x14ac:dyDescent="0.2">
      <c r="C22058" s="8" t="e">
        <f>VLOOKUP(A:A,'ITEM LIST'!A:C,3,0)</f>
        <v>#N/A</v>
      </c>
    </row>
    <row r="22059" spans="3:3" x14ac:dyDescent="0.2">
      <c r="C22059" s="8" t="e">
        <f>VLOOKUP(A:A,'ITEM LIST'!A:C,3,0)</f>
        <v>#N/A</v>
      </c>
    </row>
    <row r="22060" spans="3:3" x14ac:dyDescent="0.2">
      <c r="C22060" s="8" t="e">
        <f>VLOOKUP(A:A,'ITEM LIST'!A:C,3,0)</f>
        <v>#N/A</v>
      </c>
    </row>
    <row r="22061" spans="3:3" x14ac:dyDescent="0.2">
      <c r="C22061" s="8" t="e">
        <f>VLOOKUP(A:A,'ITEM LIST'!A:C,3,0)</f>
        <v>#N/A</v>
      </c>
    </row>
    <row r="22062" spans="3:3" x14ac:dyDescent="0.2">
      <c r="C22062" s="8" t="e">
        <f>VLOOKUP(A:A,'ITEM LIST'!A:C,3,0)</f>
        <v>#N/A</v>
      </c>
    </row>
    <row r="22063" spans="3:3" x14ac:dyDescent="0.2">
      <c r="C22063" s="8" t="e">
        <f>VLOOKUP(A:A,'ITEM LIST'!A:C,3,0)</f>
        <v>#N/A</v>
      </c>
    </row>
    <row r="22064" spans="3:3" x14ac:dyDescent="0.2">
      <c r="C22064" s="8" t="e">
        <f>VLOOKUP(A:A,'ITEM LIST'!A:C,3,0)</f>
        <v>#N/A</v>
      </c>
    </row>
    <row r="22065" spans="3:3" x14ac:dyDescent="0.2">
      <c r="C22065" s="8" t="e">
        <f>VLOOKUP(A:A,'ITEM LIST'!A:C,3,0)</f>
        <v>#N/A</v>
      </c>
    </row>
    <row r="22066" spans="3:3" x14ac:dyDescent="0.2">
      <c r="C22066" s="8" t="e">
        <f>VLOOKUP(A:A,'ITEM LIST'!A:C,3,0)</f>
        <v>#N/A</v>
      </c>
    </row>
    <row r="22067" spans="3:3" x14ac:dyDescent="0.2">
      <c r="C22067" s="8" t="e">
        <f>VLOOKUP(A:A,'ITEM LIST'!A:C,3,0)</f>
        <v>#N/A</v>
      </c>
    </row>
    <row r="22068" spans="3:3" x14ac:dyDescent="0.2">
      <c r="C22068" s="8" t="e">
        <f>VLOOKUP(A:A,'ITEM LIST'!A:C,3,0)</f>
        <v>#N/A</v>
      </c>
    </row>
    <row r="22069" spans="3:3" x14ac:dyDescent="0.2">
      <c r="C22069" s="8" t="e">
        <f>VLOOKUP(A:A,'ITEM LIST'!A:C,3,0)</f>
        <v>#N/A</v>
      </c>
    </row>
    <row r="22070" spans="3:3" x14ac:dyDescent="0.2">
      <c r="C22070" s="8" t="e">
        <f>VLOOKUP(A:A,'ITEM LIST'!A:C,3,0)</f>
        <v>#N/A</v>
      </c>
    </row>
    <row r="22071" spans="3:3" x14ac:dyDescent="0.2">
      <c r="C22071" s="8" t="e">
        <f>VLOOKUP(A:A,'ITEM LIST'!A:C,3,0)</f>
        <v>#N/A</v>
      </c>
    </row>
    <row r="22072" spans="3:3" x14ac:dyDescent="0.2">
      <c r="C22072" s="8" t="e">
        <f>VLOOKUP(A:A,'ITEM LIST'!A:C,3,0)</f>
        <v>#N/A</v>
      </c>
    </row>
    <row r="22073" spans="3:3" x14ac:dyDescent="0.2">
      <c r="C22073" s="8" t="e">
        <f>VLOOKUP(A:A,'ITEM LIST'!A:C,3,0)</f>
        <v>#N/A</v>
      </c>
    </row>
    <row r="22074" spans="3:3" x14ac:dyDescent="0.2">
      <c r="C22074" s="8" t="e">
        <f>VLOOKUP(A:A,'ITEM LIST'!A:C,3,0)</f>
        <v>#N/A</v>
      </c>
    </row>
    <row r="22075" spans="3:3" x14ac:dyDescent="0.2">
      <c r="C22075" s="8" t="e">
        <f>VLOOKUP(A:A,'ITEM LIST'!A:C,3,0)</f>
        <v>#N/A</v>
      </c>
    </row>
    <row r="22076" spans="3:3" x14ac:dyDescent="0.2">
      <c r="C22076" s="8" t="e">
        <f>VLOOKUP(A:A,'ITEM LIST'!A:C,3,0)</f>
        <v>#N/A</v>
      </c>
    </row>
    <row r="22077" spans="3:3" x14ac:dyDescent="0.2">
      <c r="C22077" s="8" t="e">
        <f>VLOOKUP(A:A,'ITEM LIST'!A:C,3,0)</f>
        <v>#N/A</v>
      </c>
    </row>
    <row r="22078" spans="3:3" x14ac:dyDescent="0.2">
      <c r="C22078" s="8" t="e">
        <f>VLOOKUP(A:A,'ITEM LIST'!A:C,3,0)</f>
        <v>#N/A</v>
      </c>
    </row>
    <row r="22079" spans="3:3" x14ac:dyDescent="0.2">
      <c r="C22079" s="8" t="e">
        <f>VLOOKUP(A:A,'ITEM LIST'!A:C,3,0)</f>
        <v>#N/A</v>
      </c>
    </row>
    <row r="22080" spans="3:3" x14ac:dyDescent="0.2">
      <c r="C22080" s="8" t="e">
        <f>VLOOKUP(A:A,'ITEM LIST'!A:C,3,0)</f>
        <v>#N/A</v>
      </c>
    </row>
    <row r="22081" spans="3:3" x14ac:dyDescent="0.2">
      <c r="C22081" s="8" t="e">
        <f>VLOOKUP(A:A,'ITEM LIST'!A:C,3,0)</f>
        <v>#N/A</v>
      </c>
    </row>
    <row r="22082" spans="3:3" x14ac:dyDescent="0.2">
      <c r="C22082" s="8" t="e">
        <f>VLOOKUP(A:A,'ITEM LIST'!A:C,3,0)</f>
        <v>#N/A</v>
      </c>
    </row>
    <row r="22083" spans="3:3" x14ac:dyDescent="0.2">
      <c r="C22083" s="8" t="e">
        <f>VLOOKUP(A:A,'ITEM LIST'!A:C,3,0)</f>
        <v>#N/A</v>
      </c>
    </row>
    <row r="22084" spans="3:3" x14ac:dyDescent="0.2">
      <c r="C22084" s="8" t="e">
        <f>VLOOKUP(A:A,'ITEM LIST'!A:C,3,0)</f>
        <v>#N/A</v>
      </c>
    </row>
    <row r="22085" spans="3:3" x14ac:dyDescent="0.2">
      <c r="C22085" s="8" t="e">
        <f>VLOOKUP(A:A,'ITEM LIST'!A:C,3,0)</f>
        <v>#N/A</v>
      </c>
    </row>
    <row r="22086" spans="3:3" x14ac:dyDescent="0.2">
      <c r="C22086" s="8" t="e">
        <f>VLOOKUP(A:A,'ITEM LIST'!A:C,3,0)</f>
        <v>#N/A</v>
      </c>
    </row>
    <row r="22087" spans="3:3" x14ac:dyDescent="0.2">
      <c r="C22087" s="8" t="e">
        <f>VLOOKUP(A:A,'ITEM LIST'!A:C,3,0)</f>
        <v>#N/A</v>
      </c>
    </row>
    <row r="22088" spans="3:3" x14ac:dyDescent="0.2">
      <c r="C22088" s="8" t="e">
        <f>VLOOKUP(A:A,'ITEM LIST'!A:C,3,0)</f>
        <v>#N/A</v>
      </c>
    </row>
    <row r="22089" spans="3:3" x14ac:dyDescent="0.2">
      <c r="C22089" s="8" t="e">
        <f>VLOOKUP(A:A,'ITEM LIST'!A:C,3,0)</f>
        <v>#N/A</v>
      </c>
    </row>
    <row r="22090" spans="3:3" x14ac:dyDescent="0.2">
      <c r="C22090" s="8" t="e">
        <f>VLOOKUP(A:A,'ITEM LIST'!A:C,3,0)</f>
        <v>#N/A</v>
      </c>
    </row>
    <row r="22091" spans="3:3" x14ac:dyDescent="0.2">
      <c r="C22091" s="8" t="e">
        <f>VLOOKUP(A:A,'ITEM LIST'!A:C,3,0)</f>
        <v>#N/A</v>
      </c>
    </row>
    <row r="22092" spans="3:3" x14ac:dyDescent="0.2">
      <c r="C22092" s="8" t="e">
        <f>VLOOKUP(A:A,'ITEM LIST'!A:C,3,0)</f>
        <v>#N/A</v>
      </c>
    </row>
    <row r="22093" spans="3:3" x14ac:dyDescent="0.2">
      <c r="C22093" s="8" t="e">
        <f>VLOOKUP(A:A,'ITEM LIST'!A:C,3,0)</f>
        <v>#N/A</v>
      </c>
    </row>
    <row r="22094" spans="3:3" x14ac:dyDescent="0.2">
      <c r="C22094" s="8" t="e">
        <f>VLOOKUP(A:A,'ITEM LIST'!A:C,3,0)</f>
        <v>#N/A</v>
      </c>
    </row>
    <row r="22095" spans="3:3" x14ac:dyDescent="0.2">
      <c r="C22095" s="8" t="e">
        <f>VLOOKUP(A:A,'ITEM LIST'!A:C,3,0)</f>
        <v>#N/A</v>
      </c>
    </row>
    <row r="22096" spans="3:3" x14ac:dyDescent="0.2">
      <c r="C22096" s="8" t="e">
        <f>VLOOKUP(A:A,'ITEM LIST'!A:C,3,0)</f>
        <v>#N/A</v>
      </c>
    </row>
    <row r="22097" spans="3:3" x14ac:dyDescent="0.2">
      <c r="C22097" s="8" t="e">
        <f>VLOOKUP(A:A,'ITEM LIST'!A:C,3,0)</f>
        <v>#N/A</v>
      </c>
    </row>
    <row r="22098" spans="3:3" x14ac:dyDescent="0.2">
      <c r="C22098" s="8" t="e">
        <f>VLOOKUP(A:A,'ITEM LIST'!A:C,3,0)</f>
        <v>#N/A</v>
      </c>
    </row>
    <row r="22099" spans="3:3" x14ac:dyDescent="0.2">
      <c r="C22099" s="8" t="e">
        <f>VLOOKUP(A:A,'ITEM LIST'!A:C,3,0)</f>
        <v>#N/A</v>
      </c>
    </row>
    <row r="22100" spans="3:3" x14ac:dyDescent="0.2">
      <c r="C22100" s="8" t="e">
        <f>VLOOKUP(A:A,'ITEM LIST'!A:C,3,0)</f>
        <v>#N/A</v>
      </c>
    </row>
    <row r="22101" spans="3:3" x14ac:dyDescent="0.2">
      <c r="C22101" s="8" t="e">
        <f>VLOOKUP(A:A,'ITEM LIST'!A:C,3,0)</f>
        <v>#N/A</v>
      </c>
    </row>
    <row r="22102" spans="3:3" x14ac:dyDescent="0.2">
      <c r="C22102" s="8" t="e">
        <f>VLOOKUP(A:A,'ITEM LIST'!A:C,3,0)</f>
        <v>#N/A</v>
      </c>
    </row>
    <row r="22103" spans="3:3" x14ac:dyDescent="0.2">
      <c r="C22103" s="8" t="e">
        <f>VLOOKUP(A:A,'ITEM LIST'!A:C,3,0)</f>
        <v>#N/A</v>
      </c>
    </row>
    <row r="22104" spans="3:3" x14ac:dyDescent="0.2">
      <c r="C22104" s="8" t="e">
        <f>VLOOKUP(A:A,'ITEM LIST'!A:C,3,0)</f>
        <v>#N/A</v>
      </c>
    </row>
    <row r="22105" spans="3:3" x14ac:dyDescent="0.2">
      <c r="C22105" s="8" t="e">
        <f>VLOOKUP(A:A,'ITEM LIST'!A:C,3,0)</f>
        <v>#N/A</v>
      </c>
    </row>
    <row r="22106" spans="3:3" x14ac:dyDescent="0.2">
      <c r="C22106" s="8" t="e">
        <f>VLOOKUP(A:A,'ITEM LIST'!A:C,3,0)</f>
        <v>#N/A</v>
      </c>
    </row>
    <row r="22107" spans="3:3" x14ac:dyDescent="0.2">
      <c r="C22107" s="8" t="e">
        <f>VLOOKUP(A:A,'ITEM LIST'!A:C,3,0)</f>
        <v>#N/A</v>
      </c>
    </row>
    <row r="22108" spans="3:3" x14ac:dyDescent="0.2">
      <c r="C22108" s="8" t="e">
        <f>VLOOKUP(A:A,'ITEM LIST'!A:C,3,0)</f>
        <v>#N/A</v>
      </c>
    </row>
    <row r="22109" spans="3:3" x14ac:dyDescent="0.2">
      <c r="C22109" s="8" t="e">
        <f>VLOOKUP(A:A,'ITEM LIST'!A:C,3,0)</f>
        <v>#N/A</v>
      </c>
    </row>
    <row r="22110" spans="3:3" x14ac:dyDescent="0.2">
      <c r="C22110" s="8" t="e">
        <f>VLOOKUP(A:A,'ITEM LIST'!A:C,3,0)</f>
        <v>#N/A</v>
      </c>
    </row>
    <row r="22111" spans="3:3" x14ac:dyDescent="0.2">
      <c r="C22111" s="8" t="e">
        <f>VLOOKUP(A:A,'ITEM LIST'!A:C,3,0)</f>
        <v>#N/A</v>
      </c>
    </row>
    <row r="22112" spans="3:3" x14ac:dyDescent="0.2">
      <c r="C22112" s="8" t="e">
        <f>VLOOKUP(A:A,'ITEM LIST'!A:C,3,0)</f>
        <v>#N/A</v>
      </c>
    </row>
    <row r="22113" spans="3:3" x14ac:dyDescent="0.2">
      <c r="C22113" s="8" t="e">
        <f>VLOOKUP(A:A,'ITEM LIST'!A:C,3,0)</f>
        <v>#N/A</v>
      </c>
    </row>
    <row r="22114" spans="3:3" x14ac:dyDescent="0.2">
      <c r="C22114" s="8" t="e">
        <f>VLOOKUP(A:A,'ITEM LIST'!A:C,3,0)</f>
        <v>#N/A</v>
      </c>
    </row>
    <row r="22115" spans="3:3" x14ac:dyDescent="0.2">
      <c r="C22115" s="8" t="e">
        <f>VLOOKUP(A:A,'ITEM LIST'!A:C,3,0)</f>
        <v>#N/A</v>
      </c>
    </row>
    <row r="22116" spans="3:3" x14ac:dyDescent="0.2">
      <c r="C22116" s="8" t="e">
        <f>VLOOKUP(A:A,'ITEM LIST'!A:C,3,0)</f>
        <v>#N/A</v>
      </c>
    </row>
    <row r="22117" spans="3:3" x14ac:dyDescent="0.2">
      <c r="C22117" s="8" t="e">
        <f>VLOOKUP(A:A,'ITEM LIST'!A:C,3,0)</f>
        <v>#N/A</v>
      </c>
    </row>
    <row r="22118" spans="3:3" x14ac:dyDescent="0.2">
      <c r="C22118" s="8" t="e">
        <f>VLOOKUP(A:A,'ITEM LIST'!A:C,3,0)</f>
        <v>#N/A</v>
      </c>
    </row>
    <row r="22119" spans="3:3" x14ac:dyDescent="0.2">
      <c r="C22119" s="8" t="e">
        <f>VLOOKUP(A:A,'ITEM LIST'!A:C,3,0)</f>
        <v>#N/A</v>
      </c>
    </row>
    <row r="22120" spans="3:3" x14ac:dyDescent="0.2">
      <c r="C22120" s="8" t="e">
        <f>VLOOKUP(A:A,'ITEM LIST'!A:C,3,0)</f>
        <v>#N/A</v>
      </c>
    </row>
    <row r="22121" spans="3:3" x14ac:dyDescent="0.2">
      <c r="C22121" s="8" t="e">
        <f>VLOOKUP(A:A,'ITEM LIST'!A:C,3,0)</f>
        <v>#N/A</v>
      </c>
    </row>
    <row r="22122" spans="3:3" x14ac:dyDescent="0.2">
      <c r="C22122" s="8" t="e">
        <f>VLOOKUP(A:A,'ITEM LIST'!A:C,3,0)</f>
        <v>#N/A</v>
      </c>
    </row>
    <row r="22123" spans="3:3" x14ac:dyDescent="0.2">
      <c r="C22123" s="8" t="e">
        <f>VLOOKUP(A:A,'ITEM LIST'!A:C,3,0)</f>
        <v>#N/A</v>
      </c>
    </row>
    <row r="22124" spans="3:3" x14ac:dyDescent="0.2">
      <c r="C22124" s="8" t="e">
        <f>VLOOKUP(A:A,'ITEM LIST'!A:C,3,0)</f>
        <v>#N/A</v>
      </c>
    </row>
    <row r="22125" spans="3:3" x14ac:dyDescent="0.2">
      <c r="C22125" s="8" t="e">
        <f>VLOOKUP(A:A,'ITEM LIST'!A:C,3,0)</f>
        <v>#N/A</v>
      </c>
    </row>
    <row r="22126" spans="3:3" x14ac:dyDescent="0.2">
      <c r="C22126" s="8" t="e">
        <f>VLOOKUP(A:A,'ITEM LIST'!A:C,3,0)</f>
        <v>#N/A</v>
      </c>
    </row>
    <row r="22127" spans="3:3" x14ac:dyDescent="0.2">
      <c r="C22127" s="8" t="e">
        <f>VLOOKUP(A:A,'ITEM LIST'!A:C,3,0)</f>
        <v>#N/A</v>
      </c>
    </row>
    <row r="22128" spans="3:3" x14ac:dyDescent="0.2">
      <c r="C22128" s="8" t="e">
        <f>VLOOKUP(A:A,'ITEM LIST'!A:C,3,0)</f>
        <v>#N/A</v>
      </c>
    </row>
    <row r="22129" spans="3:3" x14ac:dyDescent="0.2">
      <c r="C22129" s="8" t="e">
        <f>VLOOKUP(A:A,'ITEM LIST'!A:C,3,0)</f>
        <v>#N/A</v>
      </c>
    </row>
    <row r="22130" spans="3:3" x14ac:dyDescent="0.2">
      <c r="C22130" s="8" t="e">
        <f>VLOOKUP(A:A,'ITEM LIST'!A:C,3,0)</f>
        <v>#N/A</v>
      </c>
    </row>
    <row r="22131" spans="3:3" x14ac:dyDescent="0.2">
      <c r="C22131" s="8" t="e">
        <f>VLOOKUP(A:A,'ITEM LIST'!A:C,3,0)</f>
        <v>#N/A</v>
      </c>
    </row>
    <row r="22132" spans="3:3" x14ac:dyDescent="0.2">
      <c r="C22132" s="8" t="e">
        <f>VLOOKUP(A:A,'ITEM LIST'!A:C,3,0)</f>
        <v>#N/A</v>
      </c>
    </row>
    <row r="22133" spans="3:3" x14ac:dyDescent="0.2">
      <c r="C22133" s="8" t="e">
        <f>VLOOKUP(A:A,'ITEM LIST'!A:C,3,0)</f>
        <v>#N/A</v>
      </c>
    </row>
    <row r="22134" spans="3:3" x14ac:dyDescent="0.2">
      <c r="C22134" s="8" t="e">
        <f>VLOOKUP(A:A,'ITEM LIST'!A:C,3,0)</f>
        <v>#N/A</v>
      </c>
    </row>
    <row r="22135" spans="3:3" x14ac:dyDescent="0.2">
      <c r="C22135" s="8" t="e">
        <f>VLOOKUP(A:A,'ITEM LIST'!A:C,3,0)</f>
        <v>#N/A</v>
      </c>
    </row>
    <row r="22136" spans="3:3" x14ac:dyDescent="0.2">
      <c r="C22136" s="8" t="e">
        <f>VLOOKUP(A:A,'ITEM LIST'!A:C,3,0)</f>
        <v>#N/A</v>
      </c>
    </row>
    <row r="22137" spans="3:3" x14ac:dyDescent="0.2">
      <c r="C22137" s="8" t="e">
        <f>VLOOKUP(A:A,'ITEM LIST'!A:C,3,0)</f>
        <v>#N/A</v>
      </c>
    </row>
    <row r="22138" spans="3:3" x14ac:dyDescent="0.2">
      <c r="C22138" s="8" t="e">
        <f>VLOOKUP(A:A,'ITEM LIST'!A:C,3,0)</f>
        <v>#N/A</v>
      </c>
    </row>
    <row r="22139" spans="3:3" x14ac:dyDescent="0.2">
      <c r="C22139" s="8" t="e">
        <f>VLOOKUP(A:A,'ITEM LIST'!A:C,3,0)</f>
        <v>#N/A</v>
      </c>
    </row>
    <row r="22140" spans="3:3" x14ac:dyDescent="0.2">
      <c r="C22140" s="8" t="e">
        <f>VLOOKUP(A:A,'ITEM LIST'!A:C,3,0)</f>
        <v>#N/A</v>
      </c>
    </row>
    <row r="22141" spans="3:3" x14ac:dyDescent="0.2">
      <c r="C22141" s="8" t="e">
        <f>VLOOKUP(A:A,'ITEM LIST'!A:C,3,0)</f>
        <v>#N/A</v>
      </c>
    </row>
    <row r="22142" spans="3:3" x14ac:dyDescent="0.2">
      <c r="C22142" s="8" t="e">
        <f>VLOOKUP(A:A,'ITEM LIST'!A:C,3,0)</f>
        <v>#N/A</v>
      </c>
    </row>
    <row r="22143" spans="3:3" x14ac:dyDescent="0.2">
      <c r="C22143" s="8" t="e">
        <f>VLOOKUP(A:A,'ITEM LIST'!A:C,3,0)</f>
        <v>#N/A</v>
      </c>
    </row>
    <row r="22144" spans="3:3" x14ac:dyDescent="0.2">
      <c r="C22144" s="8" t="e">
        <f>VLOOKUP(A:A,'ITEM LIST'!A:C,3,0)</f>
        <v>#N/A</v>
      </c>
    </row>
    <row r="22145" spans="3:3" x14ac:dyDescent="0.2">
      <c r="C22145" s="8" t="e">
        <f>VLOOKUP(A:A,'ITEM LIST'!A:C,3,0)</f>
        <v>#N/A</v>
      </c>
    </row>
    <row r="22146" spans="3:3" x14ac:dyDescent="0.2">
      <c r="C22146" s="8" t="e">
        <f>VLOOKUP(A:A,'ITEM LIST'!A:C,3,0)</f>
        <v>#N/A</v>
      </c>
    </row>
    <row r="22147" spans="3:3" x14ac:dyDescent="0.2">
      <c r="C22147" s="8" t="e">
        <f>VLOOKUP(A:A,'ITEM LIST'!A:C,3,0)</f>
        <v>#N/A</v>
      </c>
    </row>
    <row r="22148" spans="3:3" x14ac:dyDescent="0.2">
      <c r="C22148" s="8" t="e">
        <f>VLOOKUP(A:A,'ITEM LIST'!A:C,3,0)</f>
        <v>#N/A</v>
      </c>
    </row>
    <row r="22149" spans="3:3" x14ac:dyDescent="0.2">
      <c r="C22149" s="8" t="e">
        <f>VLOOKUP(A:A,'ITEM LIST'!A:C,3,0)</f>
        <v>#N/A</v>
      </c>
    </row>
    <row r="22150" spans="3:3" x14ac:dyDescent="0.2">
      <c r="C22150" s="8" t="e">
        <f>VLOOKUP(A:A,'ITEM LIST'!A:C,3,0)</f>
        <v>#N/A</v>
      </c>
    </row>
    <row r="22151" spans="3:3" x14ac:dyDescent="0.2">
      <c r="C22151" s="8" t="e">
        <f>VLOOKUP(A:A,'ITEM LIST'!A:C,3,0)</f>
        <v>#N/A</v>
      </c>
    </row>
    <row r="22152" spans="3:3" x14ac:dyDescent="0.2">
      <c r="C22152" s="8" t="e">
        <f>VLOOKUP(A:A,'ITEM LIST'!A:C,3,0)</f>
        <v>#N/A</v>
      </c>
    </row>
    <row r="22153" spans="3:3" x14ac:dyDescent="0.2">
      <c r="C22153" s="8" t="e">
        <f>VLOOKUP(A:A,'ITEM LIST'!A:C,3,0)</f>
        <v>#N/A</v>
      </c>
    </row>
    <row r="22154" spans="3:3" x14ac:dyDescent="0.2">
      <c r="C22154" s="8" t="e">
        <f>VLOOKUP(A:A,'ITEM LIST'!A:C,3,0)</f>
        <v>#N/A</v>
      </c>
    </row>
    <row r="22155" spans="3:3" x14ac:dyDescent="0.2">
      <c r="C22155" s="8" t="e">
        <f>VLOOKUP(A:A,'ITEM LIST'!A:C,3,0)</f>
        <v>#N/A</v>
      </c>
    </row>
    <row r="22156" spans="3:3" x14ac:dyDescent="0.2">
      <c r="C22156" s="8" t="e">
        <f>VLOOKUP(A:A,'ITEM LIST'!A:C,3,0)</f>
        <v>#N/A</v>
      </c>
    </row>
    <row r="22157" spans="3:3" x14ac:dyDescent="0.2">
      <c r="C22157" s="8" t="e">
        <f>VLOOKUP(A:A,'ITEM LIST'!A:C,3,0)</f>
        <v>#N/A</v>
      </c>
    </row>
    <row r="22158" spans="3:3" x14ac:dyDescent="0.2">
      <c r="C22158" s="8" t="e">
        <f>VLOOKUP(A:A,'ITEM LIST'!A:C,3,0)</f>
        <v>#N/A</v>
      </c>
    </row>
    <row r="22159" spans="3:3" x14ac:dyDescent="0.2">
      <c r="C22159" s="8" t="e">
        <f>VLOOKUP(A:A,'ITEM LIST'!A:C,3,0)</f>
        <v>#N/A</v>
      </c>
    </row>
    <row r="22160" spans="3:3" x14ac:dyDescent="0.2">
      <c r="C22160" s="8" t="e">
        <f>VLOOKUP(A:A,'ITEM LIST'!A:C,3,0)</f>
        <v>#N/A</v>
      </c>
    </row>
    <row r="22161" spans="3:3" x14ac:dyDescent="0.2">
      <c r="C22161" s="8" t="e">
        <f>VLOOKUP(A:A,'ITEM LIST'!A:C,3,0)</f>
        <v>#N/A</v>
      </c>
    </row>
    <row r="22162" spans="3:3" x14ac:dyDescent="0.2">
      <c r="C22162" s="8" t="e">
        <f>VLOOKUP(A:A,'ITEM LIST'!A:C,3,0)</f>
        <v>#N/A</v>
      </c>
    </row>
    <row r="22163" spans="3:3" x14ac:dyDescent="0.2">
      <c r="C22163" s="8" t="e">
        <f>VLOOKUP(A:A,'ITEM LIST'!A:C,3,0)</f>
        <v>#N/A</v>
      </c>
    </row>
    <row r="22164" spans="3:3" x14ac:dyDescent="0.2">
      <c r="C22164" s="8" t="e">
        <f>VLOOKUP(A:A,'ITEM LIST'!A:C,3,0)</f>
        <v>#N/A</v>
      </c>
    </row>
    <row r="22165" spans="3:3" x14ac:dyDescent="0.2">
      <c r="C22165" s="8" t="e">
        <f>VLOOKUP(A:A,'ITEM LIST'!A:C,3,0)</f>
        <v>#N/A</v>
      </c>
    </row>
    <row r="22166" spans="3:3" x14ac:dyDescent="0.2">
      <c r="C22166" s="8" t="e">
        <f>VLOOKUP(A:A,'ITEM LIST'!A:C,3,0)</f>
        <v>#N/A</v>
      </c>
    </row>
    <row r="22167" spans="3:3" x14ac:dyDescent="0.2">
      <c r="C22167" s="8" t="e">
        <f>VLOOKUP(A:A,'ITEM LIST'!A:C,3,0)</f>
        <v>#N/A</v>
      </c>
    </row>
    <row r="22168" spans="3:3" x14ac:dyDescent="0.2">
      <c r="C22168" s="8" t="e">
        <f>VLOOKUP(A:A,'ITEM LIST'!A:C,3,0)</f>
        <v>#N/A</v>
      </c>
    </row>
    <row r="22169" spans="3:3" x14ac:dyDescent="0.2">
      <c r="C22169" s="8" t="e">
        <f>VLOOKUP(A:A,'ITEM LIST'!A:C,3,0)</f>
        <v>#N/A</v>
      </c>
    </row>
    <row r="22170" spans="3:3" x14ac:dyDescent="0.2">
      <c r="C22170" s="8" t="e">
        <f>VLOOKUP(A:A,'ITEM LIST'!A:C,3,0)</f>
        <v>#N/A</v>
      </c>
    </row>
    <row r="22171" spans="3:3" x14ac:dyDescent="0.2">
      <c r="C22171" s="8" t="e">
        <f>VLOOKUP(A:A,'ITEM LIST'!A:C,3,0)</f>
        <v>#N/A</v>
      </c>
    </row>
    <row r="22172" spans="3:3" x14ac:dyDescent="0.2">
      <c r="C22172" s="8" t="e">
        <f>VLOOKUP(A:A,'ITEM LIST'!A:C,3,0)</f>
        <v>#N/A</v>
      </c>
    </row>
    <row r="22173" spans="3:3" x14ac:dyDescent="0.2">
      <c r="C22173" s="8" t="e">
        <f>VLOOKUP(A:A,'ITEM LIST'!A:C,3,0)</f>
        <v>#N/A</v>
      </c>
    </row>
    <row r="22174" spans="3:3" x14ac:dyDescent="0.2">
      <c r="C22174" s="8" t="e">
        <f>VLOOKUP(A:A,'ITEM LIST'!A:C,3,0)</f>
        <v>#N/A</v>
      </c>
    </row>
    <row r="22175" spans="3:3" x14ac:dyDescent="0.2">
      <c r="C22175" s="8" t="e">
        <f>VLOOKUP(A:A,'ITEM LIST'!A:C,3,0)</f>
        <v>#N/A</v>
      </c>
    </row>
    <row r="22176" spans="3:3" x14ac:dyDescent="0.2">
      <c r="C22176" s="8" t="e">
        <f>VLOOKUP(A:A,'ITEM LIST'!A:C,3,0)</f>
        <v>#N/A</v>
      </c>
    </row>
    <row r="22177" spans="3:3" x14ac:dyDescent="0.2">
      <c r="C22177" s="8" t="e">
        <f>VLOOKUP(A:A,'ITEM LIST'!A:C,3,0)</f>
        <v>#N/A</v>
      </c>
    </row>
    <row r="22178" spans="3:3" x14ac:dyDescent="0.2">
      <c r="C22178" s="8" t="e">
        <f>VLOOKUP(A:A,'ITEM LIST'!A:C,3,0)</f>
        <v>#N/A</v>
      </c>
    </row>
    <row r="22179" spans="3:3" x14ac:dyDescent="0.2">
      <c r="C22179" s="8" t="e">
        <f>VLOOKUP(A:A,'ITEM LIST'!A:C,3,0)</f>
        <v>#N/A</v>
      </c>
    </row>
    <row r="22180" spans="3:3" x14ac:dyDescent="0.2">
      <c r="C22180" s="8" t="e">
        <f>VLOOKUP(A:A,'ITEM LIST'!A:C,3,0)</f>
        <v>#N/A</v>
      </c>
    </row>
    <row r="22181" spans="3:3" x14ac:dyDescent="0.2">
      <c r="C22181" s="8" t="e">
        <f>VLOOKUP(A:A,'ITEM LIST'!A:C,3,0)</f>
        <v>#N/A</v>
      </c>
    </row>
    <row r="22182" spans="3:3" x14ac:dyDescent="0.2">
      <c r="C22182" s="8" t="e">
        <f>VLOOKUP(A:A,'ITEM LIST'!A:C,3,0)</f>
        <v>#N/A</v>
      </c>
    </row>
    <row r="22183" spans="3:3" x14ac:dyDescent="0.2">
      <c r="C22183" s="8" t="e">
        <f>VLOOKUP(A:A,'ITEM LIST'!A:C,3,0)</f>
        <v>#N/A</v>
      </c>
    </row>
    <row r="22184" spans="3:3" x14ac:dyDescent="0.2">
      <c r="C22184" s="8" t="e">
        <f>VLOOKUP(A:A,'ITEM LIST'!A:C,3,0)</f>
        <v>#N/A</v>
      </c>
    </row>
    <row r="22185" spans="3:3" x14ac:dyDescent="0.2">
      <c r="C22185" s="8" t="e">
        <f>VLOOKUP(A:A,'ITEM LIST'!A:C,3,0)</f>
        <v>#N/A</v>
      </c>
    </row>
    <row r="22186" spans="3:3" x14ac:dyDescent="0.2">
      <c r="C22186" s="8" t="e">
        <f>VLOOKUP(A:A,'ITEM LIST'!A:C,3,0)</f>
        <v>#N/A</v>
      </c>
    </row>
    <row r="22187" spans="3:3" x14ac:dyDescent="0.2">
      <c r="C22187" s="8" t="e">
        <f>VLOOKUP(A:A,'ITEM LIST'!A:C,3,0)</f>
        <v>#N/A</v>
      </c>
    </row>
    <row r="22188" spans="3:3" x14ac:dyDescent="0.2">
      <c r="C22188" s="8" t="e">
        <f>VLOOKUP(A:A,'ITEM LIST'!A:C,3,0)</f>
        <v>#N/A</v>
      </c>
    </row>
    <row r="22189" spans="3:3" x14ac:dyDescent="0.2">
      <c r="C22189" s="8" t="e">
        <f>VLOOKUP(A:A,'ITEM LIST'!A:C,3,0)</f>
        <v>#N/A</v>
      </c>
    </row>
    <row r="22190" spans="3:3" x14ac:dyDescent="0.2">
      <c r="C22190" s="8" t="e">
        <f>VLOOKUP(A:A,'ITEM LIST'!A:C,3,0)</f>
        <v>#N/A</v>
      </c>
    </row>
    <row r="22191" spans="3:3" x14ac:dyDescent="0.2">
      <c r="C22191" s="8" t="e">
        <f>VLOOKUP(A:A,'ITEM LIST'!A:C,3,0)</f>
        <v>#N/A</v>
      </c>
    </row>
    <row r="22192" spans="3:3" x14ac:dyDescent="0.2">
      <c r="C22192" s="8" t="e">
        <f>VLOOKUP(A:A,'ITEM LIST'!A:C,3,0)</f>
        <v>#N/A</v>
      </c>
    </row>
    <row r="22193" spans="3:3" x14ac:dyDescent="0.2">
      <c r="C22193" s="8" t="e">
        <f>VLOOKUP(A:A,'ITEM LIST'!A:C,3,0)</f>
        <v>#N/A</v>
      </c>
    </row>
    <row r="22194" spans="3:3" x14ac:dyDescent="0.2">
      <c r="C22194" s="8" t="e">
        <f>VLOOKUP(A:A,'ITEM LIST'!A:C,3,0)</f>
        <v>#N/A</v>
      </c>
    </row>
    <row r="22195" spans="3:3" x14ac:dyDescent="0.2">
      <c r="C22195" s="8" t="e">
        <f>VLOOKUP(A:A,'ITEM LIST'!A:C,3,0)</f>
        <v>#N/A</v>
      </c>
    </row>
    <row r="22196" spans="3:3" x14ac:dyDescent="0.2">
      <c r="C22196" s="8" t="e">
        <f>VLOOKUP(A:A,'ITEM LIST'!A:C,3,0)</f>
        <v>#N/A</v>
      </c>
    </row>
    <row r="22197" spans="3:3" x14ac:dyDescent="0.2">
      <c r="C22197" s="8" t="e">
        <f>VLOOKUP(A:A,'ITEM LIST'!A:C,3,0)</f>
        <v>#N/A</v>
      </c>
    </row>
    <row r="22198" spans="3:3" x14ac:dyDescent="0.2">
      <c r="C22198" s="8" t="e">
        <f>VLOOKUP(A:A,'ITEM LIST'!A:C,3,0)</f>
        <v>#N/A</v>
      </c>
    </row>
    <row r="22199" spans="3:3" x14ac:dyDescent="0.2">
      <c r="C22199" s="8" t="e">
        <f>VLOOKUP(A:A,'ITEM LIST'!A:C,3,0)</f>
        <v>#N/A</v>
      </c>
    </row>
    <row r="22200" spans="3:3" x14ac:dyDescent="0.2">
      <c r="C22200" s="8" t="e">
        <f>VLOOKUP(A:A,'ITEM LIST'!A:C,3,0)</f>
        <v>#N/A</v>
      </c>
    </row>
    <row r="22201" spans="3:3" x14ac:dyDescent="0.2">
      <c r="C22201" s="8" t="e">
        <f>VLOOKUP(A:A,'ITEM LIST'!A:C,3,0)</f>
        <v>#N/A</v>
      </c>
    </row>
    <row r="22202" spans="3:3" x14ac:dyDescent="0.2">
      <c r="C22202" s="8" t="e">
        <f>VLOOKUP(A:A,'ITEM LIST'!A:C,3,0)</f>
        <v>#N/A</v>
      </c>
    </row>
    <row r="22203" spans="3:3" x14ac:dyDescent="0.2">
      <c r="C22203" s="8" t="e">
        <f>VLOOKUP(A:A,'ITEM LIST'!A:C,3,0)</f>
        <v>#N/A</v>
      </c>
    </row>
    <row r="22204" spans="3:3" x14ac:dyDescent="0.2">
      <c r="C22204" s="8" t="e">
        <f>VLOOKUP(A:A,'ITEM LIST'!A:C,3,0)</f>
        <v>#N/A</v>
      </c>
    </row>
    <row r="22205" spans="3:3" x14ac:dyDescent="0.2">
      <c r="C22205" s="8" t="e">
        <f>VLOOKUP(A:A,'ITEM LIST'!A:C,3,0)</f>
        <v>#N/A</v>
      </c>
    </row>
    <row r="22206" spans="3:3" x14ac:dyDescent="0.2">
      <c r="C22206" s="8" t="e">
        <f>VLOOKUP(A:A,'ITEM LIST'!A:C,3,0)</f>
        <v>#N/A</v>
      </c>
    </row>
    <row r="22207" spans="3:3" x14ac:dyDescent="0.2">
      <c r="C22207" s="8" t="e">
        <f>VLOOKUP(A:A,'ITEM LIST'!A:C,3,0)</f>
        <v>#N/A</v>
      </c>
    </row>
    <row r="22208" spans="3:3" x14ac:dyDescent="0.2">
      <c r="C22208" s="8" t="e">
        <f>VLOOKUP(A:A,'ITEM LIST'!A:C,3,0)</f>
        <v>#N/A</v>
      </c>
    </row>
    <row r="22209" spans="3:3" x14ac:dyDescent="0.2">
      <c r="C22209" s="8" t="e">
        <f>VLOOKUP(A:A,'ITEM LIST'!A:C,3,0)</f>
        <v>#N/A</v>
      </c>
    </row>
    <row r="22210" spans="3:3" x14ac:dyDescent="0.2">
      <c r="C22210" s="8" t="e">
        <f>VLOOKUP(A:A,'ITEM LIST'!A:C,3,0)</f>
        <v>#N/A</v>
      </c>
    </row>
    <row r="22211" spans="3:3" x14ac:dyDescent="0.2">
      <c r="C22211" s="8" t="e">
        <f>VLOOKUP(A:A,'ITEM LIST'!A:C,3,0)</f>
        <v>#N/A</v>
      </c>
    </row>
    <row r="22212" spans="3:3" x14ac:dyDescent="0.2">
      <c r="C22212" s="8" t="e">
        <f>VLOOKUP(A:A,'ITEM LIST'!A:C,3,0)</f>
        <v>#N/A</v>
      </c>
    </row>
    <row r="22213" spans="3:3" x14ac:dyDescent="0.2">
      <c r="C22213" s="8" t="e">
        <f>VLOOKUP(A:A,'ITEM LIST'!A:C,3,0)</f>
        <v>#N/A</v>
      </c>
    </row>
    <row r="22214" spans="3:3" x14ac:dyDescent="0.2">
      <c r="C22214" s="8" t="e">
        <f>VLOOKUP(A:A,'ITEM LIST'!A:C,3,0)</f>
        <v>#N/A</v>
      </c>
    </row>
    <row r="22215" spans="3:3" x14ac:dyDescent="0.2">
      <c r="C22215" s="8" t="e">
        <f>VLOOKUP(A:A,'ITEM LIST'!A:C,3,0)</f>
        <v>#N/A</v>
      </c>
    </row>
    <row r="22216" spans="3:3" x14ac:dyDescent="0.2">
      <c r="C22216" s="8" t="e">
        <f>VLOOKUP(A:A,'ITEM LIST'!A:C,3,0)</f>
        <v>#N/A</v>
      </c>
    </row>
    <row r="22217" spans="3:3" x14ac:dyDescent="0.2">
      <c r="C22217" s="8" t="e">
        <f>VLOOKUP(A:A,'ITEM LIST'!A:C,3,0)</f>
        <v>#N/A</v>
      </c>
    </row>
    <row r="22218" spans="3:3" x14ac:dyDescent="0.2">
      <c r="C22218" s="8" t="e">
        <f>VLOOKUP(A:A,'ITEM LIST'!A:C,3,0)</f>
        <v>#N/A</v>
      </c>
    </row>
    <row r="22219" spans="3:3" x14ac:dyDescent="0.2">
      <c r="C22219" s="8" t="e">
        <f>VLOOKUP(A:A,'ITEM LIST'!A:C,3,0)</f>
        <v>#N/A</v>
      </c>
    </row>
    <row r="22220" spans="3:3" x14ac:dyDescent="0.2">
      <c r="C22220" s="8" t="e">
        <f>VLOOKUP(A:A,'ITEM LIST'!A:C,3,0)</f>
        <v>#N/A</v>
      </c>
    </row>
    <row r="22221" spans="3:3" x14ac:dyDescent="0.2">
      <c r="C22221" s="8" t="e">
        <f>VLOOKUP(A:A,'ITEM LIST'!A:C,3,0)</f>
        <v>#N/A</v>
      </c>
    </row>
    <row r="22222" spans="3:3" x14ac:dyDescent="0.2">
      <c r="C22222" s="8" t="e">
        <f>VLOOKUP(A:A,'ITEM LIST'!A:C,3,0)</f>
        <v>#N/A</v>
      </c>
    </row>
    <row r="22223" spans="3:3" x14ac:dyDescent="0.2">
      <c r="C22223" s="8" t="e">
        <f>VLOOKUP(A:A,'ITEM LIST'!A:C,3,0)</f>
        <v>#N/A</v>
      </c>
    </row>
    <row r="22224" spans="3:3" x14ac:dyDescent="0.2">
      <c r="C22224" s="8" t="e">
        <f>VLOOKUP(A:A,'ITEM LIST'!A:C,3,0)</f>
        <v>#N/A</v>
      </c>
    </row>
    <row r="22225" spans="3:3" x14ac:dyDescent="0.2">
      <c r="C22225" s="8" t="e">
        <f>VLOOKUP(A:A,'ITEM LIST'!A:C,3,0)</f>
        <v>#N/A</v>
      </c>
    </row>
    <row r="22226" spans="3:3" x14ac:dyDescent="0.2">
      <c r="C22226" s="8" t="e">
        <f>VLOOKUP(A:A,'ITEM LIST'!A:C,3,0)</f>
        <v>#N/A</v>
      </c>
    </row>
    <row r="22227" spans="3:3" x14ac:dyDescent="0.2">
      <c r="C22227" s="8" t="e">
        <f>VLOOKUP(A:A,'ITEM LIST'!A:C,3,0)</f>
        <v>#N/A</v>
      </c>
    </row>
    <row r="22228" spans="3:3" x14ac:dyDescent="0.2">
      <c r="C22228" s="8" t="e">
        <f>VLOOKUP(A:A,'ITEM LIST'!A:C,3,0)</f>
        <v>#N/A</v>
      </c>
    </row>
    <row r="22229" spans="3:3" x14ac:dyDescent="0.2">
      <c r="C22229" s="8" t="e">
        <f>VLOOKUP(A:A,'ITEM LIST'!A:C,3,0)</f>
        <v>#N/A</v>
      </c>
    </row>
    <row r="22230" spans="3:3" x14ac:dyDescent="0.2">
      <c r="C22230" s="8" t="e">
        <f>VLOOKUP(A:A,'ITEM LIST'!A:C,3,0)</f>
        <v>#N/A</v>
      </c>
    </row>
    <row r="22231" spans="3:3" x14ac:dyDescent="0.2">
      <c r="C22231" s="8" t="e">
        <f>VLOOKUP(A:A,'ITEM LIST'!A:C,3,0)</f>
        <v>#N/A</v>
      </c>
    </row>
    <row r="22232" spans="3:3" x14ac:dyDescent="0.2">
      <c r="C22232" s="8" t="e">
        <f>VLOOKUP(A:A,'ITEM LIST'!A:C,3,0)</f>
        <v>#N/A</v>
      </c>
    </row>
    <row r="22233" spans="3:3" x14ac:dyDescent="0.2">
      <c r="C22233" s="8" t="e">
        <f>VLOOKUP(A:A,'ITEM LIST'!A:C,3,0)</f>
        <v>#N/A</v>
      </c>
    </row>
    <row r="22234" spans="3:3" x14ac:dyDescent="0.2">
      <c r="C22234" s="8" t="e">
        <f>VLOOKUP(A:A,'ITEM LIST'!A:C,3,0)</f>
        <v>#N/A</v>
      </c>
    </row>
    <row r="22235" spans="3:3" x14ac:dyDescent="0.2">
      <c r="C22235" s="8" t="e">
        <f>VLOOKUP(A:A,'ITEM LIST'!A:C,3,0)</f>
        <v>#N/A</v>
      </c>
    </row>
    <row r="22236" spans="3:3" x14ac:dyDescent="0.2">
      <c r="C22236" s="8" t="e">
        <f>VLOOKUP(A:A,'ITEM LIST'!A:C,3,0)</f>
        <v>#N/A</v>
      </c>
    </row>
    <row r="22237" spans="3:3" x14ac:dyDescent="0.2">
      <c r="C22237" s="8" t="e">
        <f>VLOOKUP(A:A,'ITEM LIST'!A:C,3,0)</f>
        <v>#N/A</v>
      </c>
    </row>
    <row r="22238" spans="3:3" x14ac:dyDescent="0.2">
      <c r="C22238" s="8" t="e">
        <f>VLOOKUP(A:A,'ITEM LIST'!A:C,3,0)</f>
        <v>#N/A</v>
      </c>
    </row>
    <row r="22239" spans="3:3" x14ac:dyDescent="0.2">
      <c r="C22239" s="8" t="e">
        <f>VLOOKUP(A:A,'ITEM LIST'!A:C,3,0)</f>
        <v>#N/A</v>
      </c>
    </row>
    <row r="22240" spans="3:3" x14ac:dyDescent="0.2">
      <c r="C22240" s="8" t="e">
        <f>VLOOKUP(A:A,'ITEM LIST'!A:C,3,0)</f>
        <v>#N/A</v>
      </c>
    </row>
    <row r="22241" spans="3:3" x14ac:dyDescent="0.2">
      <c r="C22241" s="8" t="e">
        <f>VLOOKUP(A:A,'ITEM LIST'!A:C,3,0)</f>
        <v>#N/A</v>
      </c>
    </row>
    <row r="22242" spans="3:3" x14ac:dyDescent="0.2">
      <c r="C22242" s="8" t="e">
        <f>VLOOKUP(A:A,'ITEM LIST'!A:C,3,0)</f>
        <v>#N/A</v>
      </c>
    </row>
    <row r="22243" spans="3:3" x14ac:dyDescent="0.2">
      <c r="C22243" s="8" t="e">
        <f>VLOOKUP(A:A,'ITEM LIST'!A:C,3,0)</f>
        <v>#N/A</v>
      </c>
    </row>
    <row r="22244" spans="3:3" x14ac:dyDescent="0.2">
      <c r="C22244" s="8" t="e">
        <f>VLOOKUP(A:A,'ITEM LIST'!A:C,3,0)</f>
        <v>#N/A</v>
      </c>
    </row>
    <row r="22245" spans="3:3" x14ac:dyDescent="0.2">
      <c r="C22245" s="8" t="e">
        <f>VLOOKUP(A:A,'ITEM LIST'!A:C,3,0)</f>
        <v>#N/A</v>
      </c>
    </row>
    <row r="22246" spans="3:3" x14ac:dyDescent="0.2">
      <c r="C22246" s="8" t="e">
        <f>VLOOKUP(A:A,'ITEM LIST'!A:C,3,0)</f>
        <v>#N/A</v>
      </c>
    </row>
    <row r="22247" spans="3:3" x14ac:dyDescent="0.2">
      <c r="C22247" s="8" t="e">
        <f>VLOOKUP(A:A,'ITEM LIST'!A:C,3,0)</f>
        <v>#N/A</v>
      </c>
    </row>
    <row r="22248" spans="3:3" x14ac:dyDescent="0.2">
      <c r="C22248" s="8" t="e">
        <f>VLOOKUP(A:A,'ITEM LIST'!A:C,3,0)</f>
        <v>#N/A</v>
      </c>
    </row>
    <row r="22249" spans="3:3" x14ac:dyDescent="0.2">
      <c r="C22249" s="8" t="e">
        <f>VLOOKUP(A:A,'ITEM LIST'!A:C,3,0)</f>
        <v>#N/A</v>
      </c>
    </row>
    <row r="22250" spans="3:3" x14ac:dyDescent="0.2">
      <c r="C22250" s="8" t="e">
        <f>VLOOKUP(A:A,'ITEM LIST'!A:C,3,0)</f>
        <v>#N/A</v>
      </c>
    </row>
    <row r="22251" spans="3:3" x14ac:dyDescent="0.2">
      <c r="C22251" s="8" t="e">
        <f>VLOOKUP(A:A,'ITEM LIST'!A:C,3,0)</f>
        <v>#N/A</v>
      </c>
    </row>
    <row r="22252" spans="3:3" x14ac:dyDescent="0.2">
      <c r="C22252" s="8" t="e">
        <f>VLOOKUP(A:A,'ITEM LIST'!A:C,3,0)</f>
        <v>#N/A</v>
      </c>
    </row>
    <row r="22253" spans="3:3" x14ac:dyDescent="0.2">
      <c r="C22253" s="8" t="e">
        <f>VLOOKUP(A:A,'ITEM LIST'!A:C,3,0)</f>
        <v>#N/A</v>
      </c>
    </row>
    <row r="22254" spans="3:3" x14ac:dyDescent="0.2">
      <c r="C22254" s="8" t="e">
        <f>VLOOKUP(A:A,'ITEM LIST'!A:C,3,0)</f>
        <v>#N/A</v>
      </c>
    </row>
    <row r="22255" spans="3:3" x14ac:dyDescent="0.2">
      <c r="C22255" s="8" t="e">
        <f>VLOOKUP(A:A,'ITEM LIST'!A:C,3,0)</f>
        <v>#N/A</v>
      </c>
    </row>
    <row r="22256" spans="3:3" x14ac:dyDescent="0.2">
      <c r="C22256" s="8" t="e">
        <f>VLOOKUP(A:A,'ITEM LIST'!A:C,3,0)</f>
        <v>#N/A</v>
      </c>
    </row>
    <row r="22257" spans="3:3" x14ac:dyDescent="0.2">
      <c r="C22257" s="8" t="e">
        <f>VLOOKUP(A:A,'ITEM LIST'!A:C,3,0)</f>
        <v>#N/A</v>
      </c>
    </row>
    <row r="22258" spans="3:3" x14ac:dyDescent="0.2">
      <c r="C22258" s="8" t="e">
        <f>VLOOKUP(A:A,'ITEM LIST'!A:C,3,0)</f>
        <v>#N/A</v>
      </c>
    </row>
    <row r="22259" spans="3:3" x14ac:dyDescent="0.2">
      <c r="C22259" s="8" t="e">
        <f>VLOOKUP(A:A,'ITEM LIST'!A:C,3,0)</f>
        <v>#N/A</v>
      </c>
    </row>
    <row r="22260" spans="3:3" x14ac:dyDescent="0.2">
      <c r="C22260" s="8" t="e">
        <f>VLOOKUP(A:A,'ITEM LIST'!A:C,3,0)</f>
        <v>#N/A</v>
      </c>
    </row>
    <row r="22261" spans="3:3" x14ac:dyDescent="0.2">
      <c r="C22261" s="8" t="e">
        <f>VLOOKUP(A:A,'ITEM LIST'!A:C,3,0)</f>
        <v>#N/A</v>
      </c>
    </row>
    <row r="22262" spans="3:3" x14ac:dyDescent="0.2">
      <c r="C22262" s="8" t="e">
        <f>VLOOKUP(A:A,'ITEM LIST'!A:C,3,0)</f>
        <v>#N/A</v>
      </c>
    </row>
    <row r="22263" spans="3:3" x14ac:dyDescent="0.2">
      <c r="C22263" s="8" t="e">
        <f>VLOOKUP(A:A,'ITEM LIST'!A:C,3,0)</f>
        <v>#N/A</v>
      </c>
    </row>
    <row r="22264" spans="3:3" x14ac:dyDescent="0.2">
      <c r="C22264" s="8" t="e">
        <f>VLOOKUP(A:A,'ITEM LIST'!A:C,3,0)</f>
        <v>#N/A</v>
      </c>
    </row>
    <row r="22265" spans="3:3" x14ac:dyDescent="0.2">
      <c r="C22265" s="8" t="e">
        <f>VLOOKUP(A:A,'ITEM LIST'!A:C,3,0)</f>
        <v>#N/A</v>
      </c>
    </row>
    <row r="22266" spans="3:3" x14ac:dyDescent="0.2">
      <c r="C22266" s="8" t="e">
        <f>VLOOKUP(A:A,'ITEM LIST'!A:C,3,0)</f>
        <v>#N/A</v>
      </c>
    </row>
    <row r="22267" spans="3:3" x14ac:dyDescent="0.2">
      <c r="C22267" s="8" t="e">
        <f>VLOOKUP(A:A,'ITEM LIST'!A:C,3,0)</f>
        <v>#N/A</v>
      </c>
    </row>
    <row r="22268" spans="3:3" x14ac:dyDescent="0.2">
      <c r="C22268" s="8" t="e">
        <f>VLOOKUP(A:A,'ITEM LIST'!A:C,3,0)</f>
        <v>#N/A</v>
      </c>
    </row>
    <row r="22269" spans="3:3" x14ac:dyDescent="0.2">
      <c r="C22269" s="8" t="e">
        <f>VLOOKUP(A:A,'ITEM LIST'!A:C,3,0)</f>
        <v>#N/A</v>
      </c>
    </row>
    <row r="22270" spans="3:3" x14ac:dyDescent="0.2">
      <c r="C22270" s="8" t="e">
        <f>VLOOKUP(A:A,'ITEM LIST'!A:C,3,0)</f>
        <v>#N/A</v>
      </c>
    </row>
    <row r="22271" spans="3:3" x14ac:dyDescent="0.2">
      <c r="C22271" s="8" t="e">
        <f>VLOOKUP(A:A,'ITEM LIST'!A:C,3,0)</f>
        <v>#N/A</v>
      </c>
    </row>
    <row r="22272" spans="3:3" x14ac:dyDescent="0.2">
      <c r="C22272" s="8" t="e">
        <f>VLOOKUP(A:A,'ITEM LIST'!A:C,3,0)</f>
        <v>#N/A</v>
      </c>
    </row>
    <row r="22273" spans="3:3" x14ac:dyDescent="0.2">
      <c r="C22273" s="8" t="e">
        <f>VLOOKUP(A:A,'ITEM LIST'!A:C,3,0)</f>
        <v>#N/A</v>
      </c>
    </row>
    <row r="22274" spans="3:3" x14ac:dyDescent="0.2">
      <c r="C22274" s="8" t="e">
        <f>VLOOKUP(A:A,'ITEM LIST'!A:C,3,0)</f>
        <v>#N/A</v>
      </c>
    </row>
    <row r="22275" spans="3:3" x14ac:dyDescent="0.2">
      <c r="C22275" s="8" t="e">
        <f>VLOOKUP(A:A,'ITEM LIST'!A:C,3,0)</f>
        <v>#N/A</v>
      </c>
    </row>
    <row r="22276" spans="3:3" x14ac:dyDescent="0.2">
      <c r="C22276" s="8" t="e">
        <f>VLOOKUP(A:A,'ITEM LIST'!A:C,3,0)</f>
        <v>#N/A</v>
      </c>
    </row>
    <row r="22277" spans="3:3" x14ac:dyDescent="0.2">
      <c r="C22277" s="8" t="e">
        <f>VLOOKUP(A:A,'ITEM LIST'!A:C,3,0)</f>
        <v>#N/A</v>
      </c>
    </row>
    <row r="22278" spans="3:3" x14ac:dyDescent="0.2">
      <c r="C22278" s="8" t="e">
        <f>VLOOKUP(A:A,'ITEM LIST'!A:C,3,0)</f>
        <v>#N/A</v>
      </c>
    </row>
    <row r="22279" spans="3:3" x14ac:dyDescent="0.2">
      <c r="C22279" s="8" t="e">
        <f>VLOOKUP(A:A,'ITEM LIST'!A:C,3,0)</f>
        <v>#N/A</v>
      </c>
    </row>
    <row r="22280" spans="3:3" x14ac:dyDescent="0.2">
      <c r="C22280" s="8" t="e">
        <f>VLOOKUP(A:A,'ITEM LIST'!A:C,3,0)</f>
        <v>#N/A</v>
      </c>
    </row>
    <row r="22281" spans="3:3" x14ac:dyDescent="0.2">
      <c r="C22281" s="8" t="e">
        <f>VLOOKUP(A:A,'ITEM LIST'!A:C,3,0)</f>
        <v>#N/A</v>
      </c>
    </row>
    <row r="22282" spans="3:3" x14ac:dyDescent="0.2">
      <c r="C22282" s="8" t="e">
        <f>VLOOKUP(A:A,'ITEM LIST'!A:C,3,0)</f>
        <v>#N/A</v>
      </c>
    </row>
    <row r="22283" spans="3:3" x14ac:dyDescent="0.2">
      <c r="C22283" s="8" t="e">
        <f>VLOOKUP(A:A,'ITEM LIST'!A:C,3,0)</f>
        <v>#N/A</v>
      </c>
    </row>
    <row r="22284" spans="3:3" x14ac:dyDescent="0.2">
      <c r="C22284" s="8" t="e">
        <f>VLOOKUP(A:A,'ITEM LIST'!A:C,3,0)</f>
        <v>#N/A</v>
      </c>
    </row>
    <row r="22285" spans="3:3" x14ac:dyDescent="0.2">
      <c r="C22285" s="8" t="e">
        <f>VLOOKUP(A:A,'ITEM LIST'!A:C,3,0)</f>
        <v>#N/A</v>
      </c>
    </row>
    <row r="22286" spans="3:3" x14ac:dyDescent="0.2">
      <c r="C22286" s="8" t="e">
        <f>VLOOKUP(A:A,'ITEM LIST'!A:C,3,0)</f>
        <v>#N/A</v>
      </c>
    </row>
    <row r="22287" spans="3:3" x14ac:dyDescent="0.2">
      <c r="C22287" s="8" t="e">
        <f>VLOOKUP(A:A,'ITEM LIST'!A:C,3,0)</f>
        <v>#N/A</v>
      </c>
    </row>
    <row r="22288" spans="3:3" x14ac:dyDescent="0.2">
      <c r="C22288" s="8" t="e">
        <f>VLOOKUP(A:A,'ITEM LIST'!A:C,3,0)</f>
        <v>#N/A</v>
      </c>
    </row>
    <row r="22289" spans="3:3" x14ac:dyDescent="0.2">
      <c r="C22289" s="8" t="e">
        <f>VLOOKUP(A:A,'ITEM LIST'!A:C,3,0)</f>
        <v>#N/A</v>
      </c>
    </row>
    <row r="22290" spans="3:3" x14ac:dyDescent="0.2">
      <c r="C22290" s="8" t="e">
        <f>VLOOKUP(A:A,'ITEM LIST'!A:C,3,0)</f>
        <v>#N/A</v>
      </c>
    </row>
    <row r="22291" spans="3:3" x14ac:dyDescent="0.2">
      <c r="C22291" s="8" t="e">
        <f>VLOOKUP(A:A,'ITEM LIST'!A:C,3,0)</f>
        <v>#N/A</v>
      </c>
    </row>
    <row r="22292" spans="3:3" x14ac:dyDescent="0.2">
      <c r="C22292" s="8" t="e">
        <f>VLOOKUP(A:A,'ITEM LIST'!A:C,3,0)</f>
        <v>#N/A</v>
      </c>
    </row>
    <row r="22293" spans="3:3" x14ac:dyDescent="0.2">
      <c r="C22293" s="8" t="e">
        <f>VLOOKUP(A:A,'ITEM LIST'!A:C,3,0)</f>
        <v>#N/A</v>
      </c>
    </row>
    <row r="22294" spans="3:3" x14ac:dyDescent="0.2">
      <c r="C22294" s="8" t="e">
        <f>VLOOKUP(A:A,'ITEM LIST'!A:C,3,0)</f>
        <v>#N/A</v>
      </c>
    </row>
    <row r="22295" spans="3:3" x14ac:dyDescent="0.2">
      <c r="C22295" s="8" t="e">
        <f>VLOOKUP(A:A,'ITEM LIST'!A:C,3,0)</f>
        <v>#N/A</v>
      </c>
    </row>
    <row r="22296" spans="3:3" x14ac:dyDescent="0.2">
      <c r="C22296" s="8" t="e">
        <f>VLOOKUP(A:A,'ITEM LIST'!A:C,3,0)</f>
        <v>#N/A</v>
      </c>
    </row>
    <row r="22297" spans="3:3" x14ac:dyDescent="0.2">
      <c r="C22297" s="8" t="e">
        <f>VLOOKUP(A:A,'ITEM LIST'!A:C,3,0)</f>
        <v>#N/A</v>
      </c>
    </row>
    <row r="22298" spans="3:3" x14ac:dyDescent="0.2">
      <c r="C22298" s="8" t="e">
        <f>VLOOKUP(A:A,'ITEM LIST'!A:C,3,0)</f>
        <v>#N/A</v>
      </c>
    </row>
    <row r="22299" spans="3:3" x14ac:dyDescent="0.2">
      <c r="C22299" s="8" t="e">
        <f>VLOOKUP(A:A,'ITEM LIST'!A:C,3,0)</f>
        <v>#N/A</v>
      </c>
    </row>
    <row r="22300" spans="3:3" x14ac:dyDescent="0.2">
      <c r="C22300" s="8" t="e">
        <f>VLOOKUP(A:A,'ITEM LIST'!A:C,3,0)</f>
        <v>#N/A</v>
      </c>
    </row>
    <row r="22301" spans="3:3" x14ac:dyDescent="0.2">
      <c r="C22301" s="8" t="e">
        <f>VLOOKUP(A:A,'ITEM LIST'!A:C,3,0)</f>
        <v>#N/A</v>
      </c>
    </row>
    <row r="22302" spans="3:3" x14ac:dyDescent="0.2">
      <c r="C22302" s="8" t="e">
        <f>VLOOKUP(A:A,'ITEM LIST'!A:C,3,0)</f>
        <v>#N/A</v>
      </c>
    </row>
    <row r="22303" spans="3:3" x14ac:dyDescent="0.2">
      <c r="C22303" s="8" t="e">
        <f>VLOOKUP(A:A,'ITEM LIST'!A:C,3,0)</f>
        <v>#N/A</v>
      </c>
    </row>
    <row r="22304" spans="3:3" x14ac:dyDescent="0.2">
      <c r="C22304" s="8" t="e">
        <f>VLOOKUP(A:A,'ITEM LIST'!A:C,3,0)</f>
        <v>#N/A</v>
      </c>
    </row>
    <row r="22305" spans="3:3" x14ac:dyDescent="0.2">
      <c r="C22305" s="8" t="e">
        <f>VLOOKUP(A:A,'ITEM LIST'!A:C,3,0)</f>
        <v>#N/A</v>
      </c>
    </row>
    <row r="22306" spans="3:3" x14ac:dyDescent="0.2">
      <c r="C22306" s="8" t="e">
        <f>VLOOKUP(A:A,'ITEM LIST'!A:C,3,0)</f>
        <v>#N/A</v>
      </c>
    </row>
    <row r="22307" spans="3:3" x14ac:dyDescent="0.2">
      <c r="C22307" s="8" t="e">
        <f>VLOOKUP(A:A,'ITEM LIST'!A:C,3,0)</f>
        <v>#N/A</v>
      </c>
    </row>
    <row r="22308" spans="3:3" x14ac:dyDescent="0.2">
      <c r="C22308" s="8" t="e">
        <f>VLOOKUP(A:A,'ITEM LIST'!A:C,3,0)</f>
        <v>#N/A</v>
      </c>
    </row>
    <row r="22309" spans="3:3" x14ac:dyDescent="0.2">
      <c r="C22309" s="8" t="e">
        <f>VLOOKUP(A:A,'ITEM LIST'!A:C,3,0)</f>
        <v>#N/A</v>
      </c>
    </row>
    <row r="22310" spans="3:3" x14ac:dyDescent="0.2">
      <c r="C22310" s="8" t="e">
        <f>VLOOKUP(A:A,'ITEM LIST'!A:C,3,0)</f>
        <v>#N/A</v>
      </c>
    </row>
    <row r="22311" spans="3:3" x14ac:dyDescent="0.2">
      <c r="C22311" s="8" t="e">
        <f>VLOOKUP(A:A,'ITEM LIST'!A:C,3,0)</f>
        <v>#N/A</v>
      </c>
    </row>
    <row r="22312" spans="3:3" x14ac:dyDescent="0.2">
      <c r="C22312" s="8" t="e">
        <f>VLOOKUP(A:A,'ITEM LIST'!A:C,3,0)</f>
        <v>#N/A</v>
      </c>
    </row>
    <row r="22313" spans="3:3" x14ac:dyDescent="0.2">
      <c r="C22313" s="8" t="e">
        <f>VLOOKUP(A:A,'ITEM LIST'!A:C,3,0)</f>
        <v>#N/A</v>
      </c>
    </row>
    <row r="22314" spans="3:3" x14ac:dyDescent="0.2">
      <c r="C22314" s="8" t="e">
        <f>VLOOKUP(A:A,'ITEM LIST'!A:C,3,0)</f>
        <v>#N/A</v>
      </c>
    </row>
    <row r="22315" spans="3:3" x14ac:dyDescent="0.2">
      <c r="C22315" s="8" t="e">
        <f>VLOOKUP(A:A,'ITEM LIST'!A:C,3,0)</f>
        <v>#N/A</v>
      </c>
    </row>
    <row r="22316" spans="3:3" x14ac:dyDescent="0.2">
      <c r="C22316" s="8" t="e">
        <f>VLOOKUP(A:A,'ITEM LIST'!A:C,3,0)</f>
        <v>#N/A</v>
      </c>
    </row>
    <row r="22317" spans="3:3" x14ac:dyDescent="0.2">
      <c r="C22317" s="8" t="e">
        <f>VLOOKUP(A:A,'ITEM LIST'!A:C,3,0)</f>
        <v>#N/A</v>
      </c>
    </row>
    <row r="22318" spans="3:3" x14ac:dyDescent="0.2">
      <c r="C22318" s="8" t="e">
        <f>VLOOKUP(A:A,'ITEM LIST'!A:C,3,0)</f>
        <v>#N/A</v>
      </c>
    </row>
    <row r="22319" spans="3:3" x14ac:dyDescent="0.2">
      <c r="C22319" s="8" t="e">
        <f>VLOOKUP(A:A,'ITEM LIST'!A:C,3,0)</f>
        <v>#N/A</v>
      </c>
    </row>
    <row r="22320" spans="3:3" x14ac:dyDescent="0.2">
      <c r="C22320" s="8" t="e">
        <f>VLOOKUP(A:A,'ITEM LIST'!A:C,3,0)</f>
        <v>#N/A</v>
      </c>
    </row>
    <row r="22321" spans="3:3" x14ac:dyDescent="0.2">
      <c r="C22321" s="8" t="e">
        <f>VLOOKUP(A:A,'ITEM LIST'!A:C,3,0)</f>
        <v>#N/A</v>
      </c>
    </row>
    <row r="22322" spans="3:3" x14ac:dyDescent="0.2">
      <c r="C22322" s="8" t="e">
        <f>VLOOKUP(A:A,'ITEM LIST'!A:C,3,0)</f>
        <v>#N/A</v>
      </c>
    </row>
    <row r="22323" spans="3:3" x14ac:dyDescent="0.2">
      <c r="C22323" s="8" t="e">
        <f>VLOOKUP(A:A,'ITEM LIST'!A:C,3,0)</f>
        <v>#N/A</v>
      </c>
    </row>
    <row r="22324" spans="3:3" x14ac:dyDescent="0.2">
      <c r="C22324" s="8" t="e">
        <f>VLOOKUP(A:A,'ITEM LIST'!A:C,3,0)</f>
        <v>#N/A</v>
      </c>
    </row>
    <row r="22325" spans="3:3" x14ac:dyDescent="0.2">
      <c r="C22325" s="8" t="e">
        <f>VLOOKUP(A:A,'ITEM LIST'!A:C,3,0)</f>
        <v>#N/A</v>
      </c>
    </row>
    <row r="22326" spans="3:3" x14ac:dyDescent="0.2">
      <c r="C22326" s="8" t="e">
        <f>VLOOKUP(A:A,'ITEM LIST'!A:C,3,0)</f>
        <v>#N/A</v>
      </c>
    </row>
    <row r="22327" spans="3:3" x14ac:dyDescent="0.2">
      <c r="C22327" s="8" t="e">
        <f>VLOOKUP(A:A,'ITEM LIST'!A:C,3,0)</f>
        <v>#N/A</v>
      </c>
    </row>
    <row r="22328" spans="3:3" x14ac:dyDescent="0.2">
      <c r="C22328" s="8" t="e">
        <f>VLOOKUP(A:A,'ITEM LIST'!A:C,3,0)</f>
        <v>#N/A</v>
      </c>
    </row>
    <row r="22329" spans="3:3" x14ac:dyDescent="0.2">
      <c r="C22329" s="8" t="e">
        <f>VLOOKUP(A:A,'ITEM LIST'!A:C,3,0)</f>
        <v>#N/A</v>
      </c>
    </row>
    <row r="22330" spans="3:3" x14ac:dyDescent="0.2">
      <c r="C22330" s="8" t="e">
        <f>VLOOKUP(A:A,'ITEM LIST'!A:C,3,0)</f>
        <v>#N/A</v>
      </c>
    </row>
    <row r="22331" spans="3:3" x14ac:dyDescent="0.2">
      <c r="C22331" s="8" t="e">
        <f>VLOOKUP(A:A,'ITEM LIST'!A:C,3,0)</f>
        <v>#N/A</v>
      </c>
    </row>
    <row r="22332" spans="3:3" x14ac:dyDescent="0.2">
      <c r="C22332" s="8" t="e">
        <f>VLOOKUP(A:A,'ITEM LIST'!A:C,3,0)</f>
        <v>#N/A</v>
      </c>
    </row>
    <row r="22333" spans="3:3" x14ac:dyDescent="0.2">
      <c r="C22333" s="8" t="e">
        <f>VLOOKUP(A:A,'ITEM LIST'!A:C,3,0)</f>
        <v>#N/A</v>
      </c>
    </row>
    <row r="22334" spans="3:3" x14ac:dyDescent="0.2">
      <c r="C22334" s="8" t="e">
        <f>VLOOKUP(A:A,'ITEM LIST'!A:C,3,0)</f>
        <v>#N/A</v>
      </c>
    </row>
    <row r="22335" spans="3:3" x14ac:dyDescent="0.2">
      <c r="C22335" s="8" t="e">
        <f>VLOOKUP(A:A,'ITEM LIST'!A:C,3,0)</f>
        <v>#N/A</v>
      </c>
    </row>
    <row r="22336" spans="3:3" x14ac:dyDescent="0.2">
      <c r="C22336" s="8" t="e">
        <f>VLOOKUP(A:A,'ITEM LIST'!A:C,3,0)</f>
        <v>#N/A</v>
      </c>
    </row>
    <row r="22337" spans="3:3" x14ac:dyDescent="0.2">
      <c r="C22337" s="8" t="e">
        <f>VLOOKUP(A:A,'ITEM LIST'!A:C,3,0)</f>
        <v>#N/A</v>
      </c>
    </row>
    <row r="22338" spans="3:3" x14ac:dyDescent="0.2">
      <c r="C22338" s="8" t="e">
        <f>VLOOKUP(A:A,'ITEM LIST'!A:C,3,0)</f>
        <v>#N/A</v>
      </c>
    </row>
    <row r="22339" spans="3:3" x14ac:dyDescent="0.2">
      <c r="C22339" s="8" t="e">
        <f>VLOOKUP(A:A,'ITEM LIST'!A:C,3,0)</f>
        <v>#N/A</v>
      </c>
    </row>
    <row r="22340" spans="3:3" x14ac:dyDescent="0.2">
      <c r="C22340" s="8" t="e">
        <f>VLOOKUP(A:A,'ITEM LIST'!A:C,3,0)</f>
        <v>#N/A</v>
      </c>
    </row>
    <row r="22341" spans="3:3" x14ac:dyDescent="0.2">
      <c r="C22341" s="8" t="e">
        <f>VLOOKUP(A:A,'ITEM LIST'!A:C,3,0)</f>
        <v>#N/A</v>
      </c>
    </row>
    <row r="22342" spans="3:3" x14ac:dyDescent="0.2">
      <c r="C22342" s="8" t="e">
        <f>VLOOKUP(A:A,'ITEM LIST'!A:C,3,0)</f>
        <v>#N/A</v>
      </c>
    </row>
    <row r="22343" spans="3:3" x14ac:dyDescent="0.2">
      <c r="C22343" s="8" t="e">
        <f>VLOOKUP(A:A,'ITEM LIST'!A:C,3,0)</f>
        <v>#N/A</v>
      </c>
    </row>
    <row r="22344" spans="3:3" x14ac:dyDescent="0.2">
      <c r="C22344" s="8" t="e">
        <f>VLOOKUP(A:A,'ITEM LIST'!A:C,3,0)</f>
        <v>#N/A</v>
      </c>
    </row>
    <row r="22345" spans="3:3" x14ac:dyDescent="0.2">
      <c r="C22345" s="8" t="e">
        <f>VLOOKUP(A:A,'ITEM LIST'!A:C,3,0)</f>
        <v>#N/A</v>
      </c>
    </row>
    <row r="22346" spans="3:3" x14ac:dyDescent="0.2">
      <c r="C22346" s="8" t="e">
        <f>VLOOKUP(A:A,'ITEM LIST'!A:C,3,0)</f>
        <v>#N/A</v>
      </c>
    </row>
    <row r="22347" spans="3:3" x14ac:dyDescent="0.2">
      <c r="C22347" s="8" t="e">
        <f>VLOOKUP(A:A,'ITEM LIST'!A:C,3,0)</f>
        <v>#N/A</v>
      </c>
    </row>
    <row r="22348" spans="3:3" x14ac:dyDescent="0.2">
      <c r="C22348" s="8" t="e">
        <f>VLOOKUP(A:A,'ITEM LIST'!A:C,3,0)</f>
        <v>#N/A</v>
      </c>
    </row>
    <row r="22349" spans="3:3" x14ac:dyDescent="0.2">
      <c r="C22349" s="8" t="e">
        <f>VLOOKUP(A:A,'ITEM LIST'!A:C,3,0)</f>
        <v>#N/A</v>
      </c>
    </row>
    <row r="22350" spans="3:3" x14ac:dyDescent="0.2">
      <c r="C22350" s="8" t="e">
        <f>VLOOKUP(A:A,'ITEM LIST'!A:C,3,0)</f>
        <v>#N/A</v>
      </c>
    </row>
    <row r="22351" spans="3:3" x14ac:dyDescent="0.2">
      <c r="C22351" s="8" t="e">
        <f>VLOOKUP(A:A,'ITEM LIST'!A:C,3,0)</f>
        <v>#N/A</v>
      </c>
    </row>
    <row r="22352" spans="3:3" x14ac:dyDescent="0.2">
      <c r="C22352" s="8" t="e">
        <f>VLOOKUP(A:A,'ITEM LIST'!A:C,3,0)</f>
        <v>#N/A</v>
      </c>
    </row>
    <row r="22353" spans="3:3" x14ac:dyDescent="0.2">
      <c r="C22353" s="8" t="e">
        <f>VLOOKUP(A:A,'ITEM LIST'!A:C,3,0)</f>
        <v>#N/A</v>
      </c>
    </row>
    <row r="22354" spans="3:3" x14ac:dyDescent="0.2">
      <c r="C22354" s="8" t="e">
        <f>VLOOKUP(A:A,'ITEM LIST'!A:C,3,0)</f>
        <v>#N/A</v>
      </c>
    </row>
    <row r="22355" spans="3:3" x14ac:dyDescent="0.2">
      <c r="C22355" s="8" t="e">
        <f>VLOOKUP(A:A,'ITEM LIST'!A:C,3,0)</f>
        <v>#N/A</v>
      </c>
    </row>
    <row r="22356" spans="3:3" x14ac:dyDescent="0.2">
      <c r="C22356" s="8" t="e">
        <f>VLOOKUP(A:A,'ITEM LIST'!A:C,3,0)</f>
        <v>#N/A</v>
      </c>
    </row>
    <row r="22357" spans="3:3" x14ac:dyDescent="0.2">
      <c r="C22357" s="8" t="e">
        <f>VLOOKUP(A:A,'ITEM LIST'!A:C,3,0)</f>
        <v>#N/A</v>
      </c>
    </row>
    <row r="22358" spans="3:3" x14ac:dyDescent="0.2">
      <c r="C22358" s="8" t="e">
        <f>VLOOKUP(A:A,'ITEM LIST'!A:C,3,0)</f>
        <v>#N/A</v>
      </c>
    </row>
    <row r="22359" spans="3:3" x14ac:dyDescent="0.2">
      <c r="C22359" s="8" t="e">
        <f>VLOOKUP(A:A,'ITEM LIST'!A:C,3,0)</f>
        <v>#N/A</v>
      </c>
    </row>
    <row r="22360" spans="3:3" x14ac:dyDescent="0.2">
      <c r="C22360" s="8" t="e">
        <f>VLOOKUP(A:A,'ITEM LIST'!A:C,3,0)</f>
        <v>#N/A</v>
      </c>
    </row>
    <row r="22361" spans="3:3" x14ac:dyDescent="0.2">
      <c r="C22361" s="8" t="e">
        <f>VLOOKUP(A:A,'ITEM LIST'!A:C,3,0)</f>
        <v>#N/A</v>
      </c>
    </row>
    <row r="22362" spans="3:3" x14ac:dyDescent="0.2">
      <c r="C22362" s="8" t="e">
        <f>VLOOKUP(A:A,'ITEM LIST'!A:C,3,0)</f>
        <v>#N/A</v>
      </c>
    </row>
    <row r="22363" spans="3:3" x14ac:dyDescent="0.2">
      <c r="C22363" s="8" t="e">
        <f>VLOOKUP(A:A,'ITEM LIST'!A:C,3,0)</f>
        <v>#N/A</v>
      </c>
    </row>
    <row r="22364" spans="3:3" x14ac:dyDescent="0.2">
      <c r="C22364" s="8" t="e">
        <f>VLOOKUP(A:A,'ITEM LIST'!A:C,3,0)</f>
        <v>#N/A</v>
      </c>
    </row>
    <row r="22365" spans="3:3" x14ac:dyDescent="0.2">
      <c r="C22365" s="8" t="e">
        <f>VLOOKUP(A:A,'ITEM LIST'!A:C,3,0)</f>
        <v>#N/A</v>
      </c>
    </row>
    <row r="22366" spans="3:3" x14ac:dyDescent="0.2">
      <c r="C22366" s="8" t="e">
        <f>VLOOKUP(A:A,'ITEM LIST'!A:C,3,0)</f>
        <v>#N/A</v>
      </c>
    </row>
    <row r="22367" spans="3:3" x14ac:dyDescent="0.2">
      <c r="C22367" s="8" t="e">
        <f>VLOOKUP(A:A,'ITEM LIST'!A:C,3,0)</f>
        <v>#N/A</v>
      </c>
    </row>
    <row r="22368" spans="3:3" x14ac:dyDescent="0.2">
      <c r="C22368" s="8" t="e">
        <f>VLOOKUP(A:A,'ITEM LIST'!A:C,3,0)</f>
        <v>#N/A</v>
      </c>
    </row>
    <row r="22369" spans="3:3" x14ac:dyDescent="0.2">
      <c r="C22369" s="8" t="e">
        <f>VLOOKUP(A:A,'ITEM LIST'!A:C,3,0)</f>
        <v>#N/A</v>
      </c>
    </row>
    <row r="22370" spans="3:3" x14ac:dyDescent="0.2">
      <c r="C22370" s="8" t="e">
        <f>VLOOKUP(A:A,'ITEM LIST'!A:C,3,0)</f>
        <v>#N/A</v>
      </c>
    </row>
    <row r="22371" spans="3:3" x14ac:dyDescent="0.2">
      <c r="C22371" s="8" t="e">
        <f>VLOOKUP(A:A,'ITEM LIST'!A:C,3,0)</f>
        <v>#N/A</v>
      </c>
    </row>
    <row r="22372" spans="3:3" x14ac:dyDescent="0.2">
      <c r="C22372" s="8" t="e">
        <f>VLOOKUP(A:A,'ITEM LIST'!A:C,3,0)</f>
        <v>#N/A</v>
      </c>
    </row>
    <row r="22373" spans="3:3" x14ac:dyDescent="0.2">
      <c r="C22373" s="8" t="e">
        <f>VLOOKUP(A:A,'ITEM LIST'!A:C,3,0)</f>
        <v>#N/A</v>
      </c>
    </row>
    <row r="22374" spans="3:3" x14ac:dyDescent="0.2">
      <c r="C22374" s="8" t="e">
        <f>VLOOKUP(A:A,'ITEM LIST'!A:C,3,0)</f>
        <v>#N/A</v>
      </c>
    </row>
    <row r="22375" spans="3:3" x14ac:dyDescent="0.2">
      <c r="C22375" s="8" t="e">
        <f>VLOOKUP(A:A,'ITEM LIST'!A:C,3,0)</f>
        <v>#N/A</v>
      </c>
    </row>
    <row r="22376" spans="3:3" x14ac:dyDescent="0.2">
      <c r="C22376" s="8" t="e">
        <f>VLOOKUP(A:A,'ITEM LIST'!A:C,3,0)</f>
        <v>#N/A</v>
      </c>
    </row>
    <row r="22377" spans="3:3" x14ac:dyDescent="0.2">
      <c r="C22377" s="8" t="e">
        <f>VLOOKUP(A:A,'ITEM LIST'!A:C,3,0)</f>
        <v>#N/A</v>
      </c>
    </row>
    <row r="22378" spans="3:3" x14ac:dyDescent="0.2">
      <c r="C22378" s="8" t="e">
        <f>VLOOKUP(A:A,'ITEM LIST'!A:C,3,0)</f>
        <v>#N/A</v>
      </c>
    </row>
    <row r="22379" spans="3:3" x14ac:dyDescent="0.2">
      <c r="C22379" s="8" t="e">
        <f>VLOOKUP(A:A,'ITEM LIST'!A:C,3,0)</f>
        <v>#N/A</v>
      </c>
    </row>
    <row r="22380" spans="3:3" x14ac:dyDescent="0.2">
      <c r="C22380" s="8" t="e">
        <f>VLOOKUP(A:A,'ITEM LIST'!A:C,3,0)</f>
        <v>#N/A</v>
      </c>
    </row>
    <row r="22381" spans="3:3" x14ac:dyDescent="0.2">
      <c r="C22381" s="8" t="e">
        <f>VLOOKUP(A:A,'ITEM LIST'!A:C,3,0)</f>
        <v>#N/A</v>
      </c>
    </row>
    <row r="22382" spans="3:3" x14ac:dyDescent="0.2">
      <c r="C22382" s="8" t="e">
        <f>VLOOKUP(A:A,'ITEM LIST'!A:C,3,0)</f>
        <v>#N/A</v>
      </c>
    </row>
    <row r="22383" spans="3:3" x14ac:dyDescent="0.2">
      <c r="C22383" s="8" t="e">
        <f>VLOOKUP(A:A,'ITEM LIST'!A:C,3,0)</f>
        <v>#N/A</v>
      </c>
    </row>
    <row r="22384" spans="3:3" x14ac:dyDescent="0.2">
      <c r="C22384" s="8" t="e">
        <f>VLOOKUP(A:A,'ITEM LIST'!A:C,3,0)</f>
        <v>#N/A</v>
      </c>
    </row>
    <row r="22385" spans="3:3" x14ac:dyDescent="0.2">
      <c r="C22385" s="8" t="e">
        <f>VLOOKUP(A:A,'ITEM LIST'!A:C,3,0)</f>
        <v>#N/A</v>
      </c>
    </row>
    <row r="22386" spans="3:3" x14ac:dyDescent="0.2">
      <c r="C22386" s="8" t="e">
        <f>VLOOKUP(A:A,'ITEM LIST'!A:C,3,0)</f>
        <v>#N/A</v>
      </c>
    </row>
    <row r="22387" spans="3:3" x14ac:dyDescent="0.2">
      <c r="C22387" s="8" t="e">
        <f>VLOOKUP(A:A,'ITEM LIST'!A:C,3,0)</f>
        <v>#N/A</v>
      </c>
    </row>
    <row r="22388" spans="3:3" x14ac:dyDescent="0.2">
      <c r="C22388" s="8" t="e">
        <f>VLOOKUP(A:A,'ITEM LIST'!A:C,3,0)</f>
        <v>#N/A</v>
      </c>
    </row>
    <row r="22389" spans="3:3" x14ac:dyDescent="0.2">
      <c r="C22389" s="8" t="e">
        <f>VLOOKUP(A:A,'ITEM LIST'!A:C,3,0)</f>
        <v>#N/A</v>
      </c>
    </row>
    <row r="22390" spans="3:3" x14ac:dyDescent="0.2">
      <c r="C22390" s="8" t="e">
        <f>VLOOKUP(A:A,'ITEM LIST'!A:C,3,0)</f>
        <v>#N/A</v>
      </c>
    </row>
    <row r="22391" spans="3:3" x14ac:dyDescent="0.2">
      <c r="C22391" s="8" t="e">
        <f>VLOOKUP(A:A,'ITEM LIST'!A:C,3,0)</f>
        <v>#N/A</v>
      </c>
    </row>
    <row r="22392" spans="3:3" x14ac:dyDescent="0.2">
      <c r="C22392" s="8" t="e">
        <f>VLOOKUP(A:A,'ITEM LIST'!A:C,3,0)</f>
        <v>#N/A</v>
      </c>
    </row>
    <row r="22393" spans="3:3" x14ac:dyDescent="0.2">
      <c r="C22393" s="8" t="e">
        <f>VLOOKUP(A:A,'ITEM LIST'!A:C,3,0)</f>
        <v>#N/A</v>
      </c>
    </row>
    <row r="22394" spans="3:3" x14ac:dyDescent="0.2">
      <c r="C22394" s="8" t="e">
        <f>VLOOKUP(A:A,'ITEM LIST'!A:C,3,0)</f>
        <v>#N/A</v>
      </c>
    </row>
    <row r="22395" spans="3:3" x14ac:dyDescent="0.2">
      <c r="C22395" s="8" t="e">
        <f>VLOOKUP(A:A,'ITEM LIST'!A:C,3,0)</f>
        <v>#N/A</v>
      </c>
    </row>
    <row r="22396" spans="3:3" x14ac:dyDescent="0.2">
      <c r="C22396" s="8" t="e">
        <f>VLOOKUP(A:A,'ITEM LIST'!A:C,3,0)</f>
        <v>#N/A</v>
      </c>
    </row>
    <row r="22397" spans="3:3" x14ac:dyDescent="0.2">
      <c r="C22397" s="8" t="e">
        <f>VLOOKUP(A:A,'ITEM LIST'!A:C,3,0)</f>
        <v>#N/A</v>
      </c>
    </row>
    <row r="22398" spans="3:3" x14ac:dyDescent="0.2">
      <c r="C22398" s="8" t="e">
        <f>VLOOKUP(A:A,'ITEM LIST'!A:C,3,0)</f>
        <v>#N/A</v>
      </c>
    </row>
    <row r="22399" spans="3:3" x14ac:dyDescent="0.2">
      <c r="C22399" s="8" t="e">
        <f>VLOOKUP(A:A,'ITEM LIST'!A:C,3,0)</f>
        <v>#N/A</v>
      </c>
    </row>
    <row r="22400" spans="3:3" x14ac:dyDescent="0.2">
      <c r="C22400" s="8" t="e">
        <f>VLOOKUP(A:A,'ITEM LIST'!A:C,3,0)</f>
        <v>#N/A</v>
      </c>
    </row>
    <row r="22401" spans="3:3" x14ac:dyDescent="0.2">
      <c r="C22401" s="8" t="e">
        <f>VLOOKUP(A:A,'ITEM LIST'!A:C,3,0)</f>
        <v>#N/A</v>
      </c>
    </row>
    <row r="22402" spans="3:3" x14ac:dyDescent="0.2">
      <c r="C22402" s="8" t="e">
        <f>VLOOKUP(A:A,'ITEM LIST'!A:C,3,0)</f>
        <v>#N/A</v>
      </c>
    </row>
    <row r="22403" spans="3:3" x14ac:dyDescent="0.2">
      <c r="C22403" s="8" t="e">
        <f>VLOOKUP(A:A,'ITEM LIST'!A:C,3,0)</f>
        <v>#N/A</v>
      </c>
    </row>
    <row r="22404" spans="3:3" x14ac:dyDescent="0.2">
      <c r="C22404" s="8" t="e">
        <f>VLOOKUP(A:A,'ITEM LIST'!A:C,3,0)</f>
        <v>#N/A</v>
      </c>
    </row>
    <row r="22405" spans="3:3" x14ac:dyDescent="0.2">
      <c r="C22405" s="8" t="e">
        <f>VLOOKUP(A:A,'ITEM LIST'!A:C,3,0)</f>
        <v>#N/A</v>
      </c>
    </row>
    <row r="22406" spans="3:3" x14ac:dyDescent="0.2">
      <c r="C22406" s="8" t="e">
        <f>VLOOKUP(A:A,'ITEM LIST'!A:C,3,0)</f>
        <v>#N/A</v>
      </c>
    </row>
    <row r="22407" spans="3:3" x14ac:dyDescent="0.2">
      <c r="C22407" s="8" t="e">
        <f>VLOOKUP(A:A,'ITEM LIST'!A:C,3,0)</f>
        <v>#N/A</v>
      </c>
    </row>
    <row r="22408" spans="3:3" x14ac:dyDescent="0.2">
      <c r="C22408" s="8" t="e">
        <f>VLOOKUP(A:A,'ITEM LIST'!A:C,3,0)</f>
        <v>#N/A</v>
      </c>
    </row>
    <row r="22409" spans="3:3" x14ac:dyDescent="0.2">
      <c r="C22409" s="8" t="e">
        <f>VLOOKUP(A:A,'ITEM LIST'!A:C,3,0)</f>
        <v>#N/A</v>
      </c>
    </row>
    <row r="22410" spans="3:3" x14ac:dyDescent="0.2">
      <c r="C22410" s="8" t="e">
        <f>VLOOKUP(A:A,'ITEM LIST'!A:C,3,0)</f>
        <v>#N/A</v>
      </c>
    </row>
    <row r="22411" spans="3:3" x14ac:dyDescent="0.2">
      <c r="C22411" s="8" t="e">
        <f>VLOOKUP(A:A,'ITEM LIST'!A:C,3,0)</f>
        <v>#N/A</v>
      </c>
    </row>
    <row r="22412" spans="3:3" x14ac:dyDescent="0.2">
      <c r="C22412" s="8" t="e">
        <f>VLOOKUP(A:A,'ITEM LIST'!A:C,3,0)</f>
        <v>#N/A</v>
      </c>
    </row>
    <row r="22413" spans="3:3" x14ac:dyDescent="0.2">
      <c r="C22413" s="8" t="e">
        <f>VLOOKUP(A:A,'ITEM LIST'!A:C,3,0)</f>
        <v>#N/A</v>
      </c>
    </row>
    <row r="22414" spans="3:3" x14ac:dyDescent="0.2">
      <c r="C22414" s="8" t="e">
        <f>VLOOKUP(A:A,'ITEM LIST'!A:C,3,0)</f>
        <v>#N/A</v>
      </c>
    </row>
    <row r="22415" spans="3:3" x14ac:dyDescent="0.2">
      <c r="C22415" s="8" t="e">
        <f>VLOOKUP(A:A,'ITEM LIST'!A:C,3,0)</f>
        <v>#N/A</v>
      </c>
    </row>
    <row r="22416" spans="3:3" x14ac:dyDescent="0.2">
      <c r="C22416" s="8" t="e">
        <f>VLOOKUP(A:A,'ITEM LIST'!A:C,3,0)</f>
        <v>#N/A</v>
      </c>
    </row>
    <row r="22417" spans="3:3" x14ac:dyDescent="0.2">
      <c r="C22417" s="8" t="e">
        <f>VLOOKUP(A:A,'ITEM LIST'!A:C,3,0)</f>
        <v>#N/A</v>
      </c>
    </row>
    <row r="22418" spans="3:3" x14ac:dyDescent="0.2">
      <c r="C22418" s="8" t="e">
        <f>VLOOKUP(A:A,'ITEM LIST'!A:C,3,0)</f>
        <v>#N/A</v>
      </c>
    </row>
    <row r="22419" spans="3:3" x14ac:dyDescent="0.2">
      <c r="C22419" s="8" t="e">
        <f>VLOOKUP(A:A,'ITEM LIST'!A:C,3,0)</f>
        <v>#N/A</v>
      </c>
    </row>
    <row r="22420" spans="3:3" x14ac:dyDescent="0.2">
      <c r="C22420" s="8" t="e">
        <f>VLOOKUP(A:A,'ITEM LIST'!A:C,3,0)</f>
        <v>#N/A</v>
      </c>
    </row>
    <row r="22421" spans="3:3" x14ac:dyDescent="0.2">
      <c r="C22421" s="8" t="e">
        <f>VLOOKUP(A:A,'ITEM LIST'!A:C,3,0)</f>
        <v>#N/A</v>
      </c>
    </row>
    <row r="22422" spans="3:3" x14ac:dyDescent="0.2">
      <c r="C22422" s="8" t="e">
        <f>VLOOKUP(A:A,'ITEM LIST'!A:C,3,0)</f>
        <v>#N/A</v>
      </c>
    </row>
    <row r="22423" spans="3:3" x14ac:dyDescent="0.2">
      <c r="C22423" s="8" t="e">
        <f>VLOOKUP(A:A,'ITEM LIST'!A:C,3,0)</f>
        <v>#N/A</v>
      </c>
    </row>
    <row r="22424" spans="3:3" x14ac:dyDescent="0.2">
      <c r="C22424" s="8" t="e">
        <f>VLOOKUP(A:A,'ITEM LIST'!A:C,3,0)</f>
        <v>#N/A</v>
      </c>
    </row>
    <row r="22425" spans="3:3" x14ac:dyDescent="0.2">
      <c r="C22425" s="8" t="e">
        <f>VLOOKUP(A:A,'ITEM LIST'!A:C,3,0)</f>
        <v>#N/A</v>
      </c>
    </row>
    <row r="22426" spans="3:3" x14ac:dyDescent="0.2">
      <c r="C22426" s="8" t="e">
        <f>VLOOKUP(A:A,'ITEM LIST'!A:C,3,0)</f>
        <v>#N/A</v>
      </c>
    </row>
    <row r="22427" spans="3:3" x14ac:dyDescent="0.2">
      <c r="C22427" s="8" t="e">
        <f>VLOOKUP(A:A,'ITEM LIST'!A:C,3,0)</f>
        <v>#N/A</v>
      </c>
    </row>
    <row r="22428" spans="3:3" x14ac:dyDescent="0.2">
      <c r="C22428" s="8" t="e">
        <f>VLOOKUP(A:A,'ITEM LIST'!A:C,3,0)</f>
        <v>#N/A</v>
      </c>
    </row>
    <row r="22429" spans="3:3" x14ac:dyDescent="0.2">
      <c r="C22429" s="8" t="e">
        <f>VLOOKUP(A:A,'ITEM LIST'!A:C,3,0)</f>
        <v>#N/A</v>
      </c>
    </row>
    <row r="22430" spans="3:3" x14ac:dyDescent="0.2">
      <c r="C22430" s="8" t="e">
        <f>VLOOKUP(A:A,'ITEM LIST'!A:C,3,0)</f>
        <v>#N/A</v>
      </c>
    </row>
    <row r="22431" spans="3:3" x14ac:dyDescent="0.2">
      <c r="C22431" s="8" t="e">
        <f>VLOOKUP(A:A,'ITEM LIST'!A:C,3,0)</f>
        <v>#N/A</v>
      </c>
    </row>
    <row r="22432" spans="3:3" x14ac:dyDescent="0.2">
      <c r="C22432" s="8" t="e">
        <f>VLOOKUP(A:A,'ITEM LIST'!A:C,3,0)</f>
        <v>#N/A</v>
      </c>
    </row>
    <row r="22433" spans="3:3" x14ac:dyDescent="0.2">
      <c r="C22433" s="8" t="e">
        <f>VLOOKUP(A:A,'ITEM LIST'!A:C,3,0)</f>
        <v>#N/A</v>
      </c>
    </row>
    <row r="22434" spans="3:3" x14ac:dyDescent="0.2">
      <c r="C22434" s="8" t="e">
        <f>VLOOKUP(A:A,'ITEM LIST'!A:C,3,0)</f>
        <v>#N/A</v>
      </c>
    </row>
    <row r="22435" spans="3:3" x14ac:dyDescent="0.2">
      <c r="C22435" s="8" t="e">
        <f>VLOOKUP(A:A,'ITEM LIST'!A:C,3,0)</f>
        <v>#N/A</v>
      </c>
    </row>
    <row r="22436" spans="3:3" x14ac:dyDescent="0.2">
      <c r="C22436" s="8" t="e">
        <f>VLOOKUP(A:A,'ITEM LIST'!A:C,3,0)</f>
        <v>#N/A</v>
      </c>
    </row>
    <row r="22437" spans="3:3" x14ac:dyDescent="0.2">
      <c r="C22437" s="8" t="e">
        <f>VLOOKUP(A:A,'ITEM LIST'!A:C,3,0)</f>
        <v>#N/A</v>
      </c>
    </row>
    <row r="22438" spans="3:3" x14ac:dyDescent="0.2">
      <c r="C22438" s="8" t="e">
        <f>VLOOKUP(A:A,'ITEM LIST'!A:C,3,0)</f>
        <v>#N/A</v>
      </c>
    </row>
    <row r="22439" spans="3:3" x14ac:dyDescent="0.2">
      <c r="C22439" s="8" t="e">
        <f>VLOOKUP(A:A,'ITEM LIST'!A:C,3,0)</f>
        <v>#N/A</v>
      </c>
    </row>
    <row r="22440" spans="3:3" x14ac:dyDescent="0.2">
      <c r="C22440" s="8" t="e">
        <f>VLOOKUP(A:A,'ITEM LIST'!A:C,3,0)</f>
        <v>#N/A</v>
      </c>
    </row>
    <row r="22441" spans="3:3" x14ac:dyDescent="0.2">
      <c r="C22441" s="8" t="e">
        <f>VLOOKUP(A:A,'ITEM LIST'!A:C,3,0)</f>
        <v>#N/A</v>
      </c>
    </row>
    <row r="22442" spans="3:3" x14ac:dyDescent="0.2">
      <c r="C22442" s="8" t="e">
        <f>VLOOKUP(A:A,'ITEM LIST'!A:C,3,0)</f>
        <v>#N/A</v>
      </c>
    </row>
    <row r="22443" spans="3:3" x14ac:dyDescent="0.2">
      <c r="C22443" s="8" t="e">
        <f>VLOOKUP(A:A,'ITEM LIST'!A:C,3,0)</f>
        <v>#N/A</v>
      </c>
    </row>
    <row r="22444" spans="3:3" x14ac:dyDescent="0.2">
      <c r="C22444" s="8" t="e">
        <f>VLOOKUP(A:A,'ITEM LIST'!A:C,3,0)</f>
        <v>#N/A</v>
      </c>
    </row>
    <row r="22445" spans="3:3" x14ac:dyDescent="0.2">
      <c r="C22445" s="8" t="e">
        <f>VLOOKUP(A:A,'ITEM LIST'!A:C,3,0)</f>
        <v>#N/A</v>
      </c>
    </row>
    <row r="22446" spans="3:3" x14ac:dyDescent="0.2">
      <c r="C22446" s="8" t="e">
        <f>VLOOKUP(A:A,'ITEM LIST'!A:C,3,0)</f>
        <v>#N/A</v>
      </c>
    </row>
    <row r="22447" spans="3:3" x14ac:dyDescent="0.2">
      <c r="C22447" s="8" t="e">
        <f>VLOOKUP(A:A,'ITEM LIST'!A:C,3,0)</f>
        <v>#N/A</v>
      </c>
    </row>
    <row r="22448" spans="3:3" x14ac:dyDescent="0.2">
      <c r="C22448" s="8" t="e">
        <f>VLOOKUP(A:A,'ITEM LIST'!A:C,3,0)</f>
        <v>#N/A</v>
      </c>
    </row>
    <row r="22449" spans="3:3" x14ac:dyDescent="0.2">
      <c r="C22449" s="8" t="e">
        <f>VLOOKUP(A:A,'ITEM LIST'!A:C,3,0)</f>
        <v>#N/A</v>
      </c>
    </row>
    <row r="22450" spans="3:3" x14ac:dyDescent="0.2">
      <c r="C22450" s="8" t="e">
        <f>VLOOKUP(A:A,'ITEM LIST'!A:C,3,0)</f>
        <v>#N/A</v>
      </c>
    </row>
    <row r="22451" spans="3:3" x14ac:dyDescent="0.2">
      <c r="C22451" s="8" t="e">
        <f>VLOOKUP(A:A,'ITEM LIST'!A:C,3,0)</f>
        <v>#N/A</v>
      </c>
    </row>
    <row r="22452" spans="3:3" x14ac:dyDescent="0.2">
      <c r="C22452" s="8" t="e">
        <f>VLOOKUP(A:A,'ITEM LIST'!A:C,3,0)</f>
        <v>#N/A</v>
      </c>
    </row>
    <row r="22453" spans="3:3" x14ac:dyDescent="0.2">
      <c r="C22453" s="8" t="e">
        <f>VLOOKUP(A:A,'ITEM LIST'!A:C,3,0)</f>
        <v>#N/A</v>
      </c>
    </row>
    <row r="22454" spans="3:3" x14ac:dyDescent="0.2">
      <c r="C22454" s="8" t="e">
        <f>VLOOKUP(A:A,'ITEM LIST'!A:C,3,0)</f>
        <v>#N/A</v>
      </c>
    </row>
    <row r="22455" spans="3:3" x14ac:dyDescent="0.2">
      <c r="C22455" s="8" t="e">
        <f>VLOOKUP(A:A,'ITEM LIST'!A:C,3,0)</f>
        <v>#N/A</v>
      </c>
    </row>
    <row r="22456" spans="3:3" x14ac:dyDescent="0.2">
      <c r="C22456" s="8" t="e">
        <f>VLOOKUP(A:A,'ITEM LIST'!A:C,3,0)</f>
        <v>#N/A</v>
      </c>
    </row>
    <row r="22457" spans="3:3" x14ac:dyDescent="0.2">
      <c r="C22457" s="8" t="e">
        <f>VLOOKUP(A:A,'ITEM LIST'!A:C,3,0)</f>
        <v>#N/A</v>
      </c>
    </row>
    <row r="22458" spans="3:3" x14ac:dyDescent="0.2">
      <c r="C22458" s="8" t="e">
        <f>VLOOKUP(A:A,'ITEM LIST'!A:C,3,0)</f>
        <v>#N/A</v>
      </c>
    </row>
    <row r="22459" spans="3:3" x14ac:dyDescent="0.2">
      <c r="C22459" s="8" t="e">
        <f>VLOOKUP(A:A,'ITEM LIST'!A:C,3,0)</f>
        <v>#N/A</v>
      </c>
    </row>
    <row r="22460" spans="3:3" x14ac:dyDescent="0.2">
      <c r="C22460" s="8" t="e">
        <f>VLOOKUP(A:A,'ITEM LIST'!A:C,3,0)</f>
        <v>#N/A</v>
      </c>
    </row>
    <row r="22461" spans="3:3" x14ac:dyDescent="0.2">
      <c r="C22461" s="8" t="e">
        <f>VLOOKUP(A:A,'ITEM LIST'!A:C,3,0)</f>
        <v>#N/A</v>
      </c>
    </row>
    <row r="22462" spans="3:3" x14ac:dyDescent="0.2">
      <c r="C22462" s="8" t="e">
        <f>VLOOKUP(A:A,'ITEM LIST'!A:C,3,0)</f>
        <v>#N/A</v>
      </c>
    </row>
    <row r="22463" spans="3:3" x14ac:dyDescent="0.2">
      <c r="C22463" s="8" t="e">
        <f>VLOOKUP(A:A,'ITEM LIST'!A:C,3,0)</f>
        <v>#N/A</v>
      </c>
    </row>
    <row r="22464" spans="3:3" x14ac:dyDescent="0.2">
      <c r="C22464" s="8" t="e">
        <f>VLOOKUP(A:A,'ITEM LIST'!A:C,3,0)</f>
        <v>#N/A</v>
      </c>
    </row>
    <row r="22465" spans="3:3" x14ac:dyDescent="0.2">
      <c r="C22465" s="8" t="e">
        <f>VLOOKUP(A:A,'ITEM LIST'!A:C,3,0)</f>
        <v>#N/A</v>
      </c>
    </row>
    <row r="22466" spans="3:3" x14ac:dyDescent="0.2">
      <c r="C22466" s="8" t="e">
        <f>VLOOKUP(A:A,'ITEM LIST'!A:C,3,0)</f>
        <v>#N/A</v>
      </c>
    </row>
    <row r="22467" spans="3:3" x14ac:dyDescent="0.2">
      <c r="C22467" s="8" t="e">
        <f>VLOOKUP(A:A,'ITEM LIST'!A:C,3,0)</f>
        <v>#N/A</v>
      </c>
    </row>
    <row r="22468" spans="3:3" x14ac:dyDescent="0.2">
      <c r="C22468" s="8" t="e">
        <f>VLOOKUP(A:A,'ITEM LIST'!A:C,3,0)</f>
        <v>#N/A</v>
      </c>
    </row>
    <row r="22469" spans="3:3" x14ac:dyDescent="0.2">
      <c r="C22469" s="8" t="e">
        <f>VLOOKUP(A:A,'ITEM LIST'!A:C,3,0)</f>
        <v>#N/A</v>
      </c>
    </row>
    <row r="22470" spans="3:3" x14ac:dyDescent="0.2">
      <c r="C22470" s="8" t="e">
        <f>VLOOKUP(A:A,'ITEM LIST'!A:C,3,0)</f>
        <v>#N/A</v>
      </c>
    </row>
    <row r="22471" spans="3:3" x14ac:dyDescent="0.2">
      <c r="C22471" s="8" t="e">
        <f>VLOOKUP(A:A,'ITEM LIST'!A:C,3,0)</f>
        <v>#N/A</v>
      </c>
    </row>
    <row r="22472" spans="3:3" x14ac:dyDescent="0.2">
      <c r="C22472" s="8" t="e">
        <f>VLOOKUP(A:A,'ITEM LIST'!A:C,3,0)</f>
        <v>#N/A</v>
      </c>
    </row>
    <row r="22473" spans="3:3" x14ac:dyDescent="0.2">
      <c r="C22473" s="8" t="e">
        <f>VLOOKUP(A:A,'ITEM LIST'!A:C,3,0)</f>
        <v>#N/A</v>
      </c>
    </row>
    <row r="22474" spans="3:3" x14ac:dyDescent="0.2">
      <c r="C22474" s="8" t="e">
        <f>VLOOKUP(A:A,'ITEM LIST'!A:C,3,0)</f>
        <v>#N/A</v>
      </c>
    </row>
    <row r="22475" spans="3:3" x14ac:dyDescent="0.2">
      <c r="C22475" s="8" t="e">
        <f>VLOOKUP(A:A,'ITEM LIST'!A:C,3,0)</f>
        <v>#N/A</v>
      </c>
    </row>
    <row r="22476" spans="3:3" x14ac:dyDescent="0.2">
      <c r="C22476" s="8" t="e">
        <f>VLOOKUP(A:A,'ITEM LIST'!A:C,3,0)</f>
        <v>#N/A</v>
      </c>
    </row>
    <row r="22477" spans="3:3" x14ac:dyDescent="0.2">
      <c r="C22477" s="8" t="e">
        <f>VLOOKUP(A:A,'ITEM LIST'!A:C,3,0)</f>
        <v>#N/A</v>
      </c>
    </row>
    <row r="22478" spans="3:3" x14ac:dyDescent="0.2">
      <c r="C22478" s="8" t="e">
        <f>VLOOKUP(A:A,'ITEM LIST'!A:C,3,0)</f>
        <v>#N/A</v>
      </c>
    </row>
    <row r="22479" spans="3:3" x14ac:dyDescent="0.2">
      <c r="C22479" s="8" t="e">
        <f>VLOOKUP(A:A,'ITEM LIST'!A:C,3,0)</f>
        <v>#N/A</v>
      </c>
    </row>
    <row r="22480" spans="3:3" x14ac:dyDescent="0.2">
      <c r="C22480" s="8" t="e">
        <f>VLOOKUP(A:A,'ITEM LIST'!A:C,3,0)</f>
        <v>#N/A</v>
      </c>
    </row>
    <row r="22481" spans="3:3" x14ac:dyDescent="0.2">
      <c r="C22481" s="8" t="e">
        <f>VLOOKUP(A:A,'ITEM LIST'!A:C,3,0)</f>
        <v>#N/A</v>
      </c>
    </row>
    <row r="22482" spans="3:3" x14ac:dyDescent="0.2">
      <c r="C22482" s="8" t="e">
        <f>VLOOKUP(A:A,'ITEM LIST'!A:C,3,0)</f>
        <v>#N/A</v>
      </c>
    </row>
    <row r="22483" spans="3:3" x14ac:dyDescent="0.2">
      <c r="C22483" s="8" t="e">
        <f>VLOOKUP(A:A,'ITEM LIST'!A:C,3,0)</f>
        <v>#N/A</v>
      </c>
    </row>
    <row r="22484" spans="3:3" x14ac:dyDescent="0.2">
      <c r="C22484" s="8" t="e">
        <f>VLOOKUP(A:A,'ITEM LIST'!A:C,3,0)</f>
        <v>#N/A</v>
      </c>
    </row>
    <row r="22485" spans="3:3" x14ac:dyDescent="0.2">
      <c r="C22485" s="8" t="e">
        <f>VLOOKUP(A:A,'ITEM LIST'!A:C,3,0)</f>
        <v>#N/A</v>
      </c>
    </row>
    <row r="22486" spans="3:3" x14ac:dyDescent="0.2">
      <c r="C22486" s="8" t="e">
        <f>VLOOKUP(A:A,'ITEM LIST'!A:C,3,0)</f>
        <v>#N/A</v>
      </c>
    </row>
    <row r="22487" spans="3:3" x14ac:dyDescent="0.2">
      <c r="C22487" s="8" t="e">
        <f>VLOOKUP(A:A,'ITEM LIST'!A:C,3,0)</f>
        <v>#N/A</v>
      </c>
    </row>
    <row r="22488" spans="3:3" x14ac:dyDescent="0.2">
      <c r="C22488" s="8" t="e">
        <f>VLOOKUP(A:A,'ITEM LIST'!A:C,3,0)</f>
        <v>#N/A</v>
      </c>
    </row>
    <row r="22489" spans="3:3" x14ac:dyDescent="0.2">
      <c r="C22489" s="8" t="e">
        <f>VLOOKUP(A:A,'ITEM LIST'!A:C,3,0)</f>
        <v>#N/A</v>
      </c>
    </row>
    <row r="22490" spans="3:3" x14ac:dyDescent="0.2">
      <c r="C22490" s="8" t="e">
        <f>VLOOKUP(A:A,'ITEM LIST'!A:C,3,0)</f>
        <v>#N/A</v>
      </c>
    </row>
    <row r="22491" spans="3:3" x14ac:dyDescent="0.2">
      <c r="C22491" s="8" t="e">
        <f>VLOOKUP(A:A,'ITEM LIST'!A:C,3,0)</f>
        <v>#N/A</v>
      </c>
    </row>
    <row r="22492" spans="3:3" x14ac:dyDescent="0.2">
      <c r="C22492" s="8" t="e">
        <f>VLOOKUP(A:A,'ITEM LIST'!A:C,3,0)</f>
        <v>#N/A</v>
      </c>
    </row>
    <row r="22493" spans="3:3" x14ac:dyDescent="0.2">
      <c r="C22493" s="8" t="e">
        <f>VLOOKUP(A:A,'ITEM LIST'!A:C,3,0)</f>
        <v>#N/A</v>
      </c>
    </row>
    <row r="22494" spans="3:3" x14ac:dyDescent="0.2">
      <c r="C22494" s="8" t="e">
        <f>VLOOKUP(A:A,'ITEM LIST'!A:C,3,0)</f>
        <v>#N/A</v>
      </c>
    </row>
    <row r="22495" spans="3:3" x14ac:dyDescent="0.2">
      <c r="C22495" s="8" t="e">
        <f>VLOOKUP(A:A,'ITEM LIST'!A:C,3,0)</f>
        <v>#N/A</v>
      </c>
    </row>
    <row r="22496" spans="3:3" x14ac:dyDescent="0.2">
      <c r="C22496" s="8" t="e">
        <f>VLOOKUP(A:A,'ITEM LIST'!A:C,3,0)</f>
        <v>#N/A</v>
      </c>
    </row>
    <row r="22497" spans="3:3" x14ac:dyDescent="0.2">
      <c r="C22497" s="8" t="e">
        <f>VLOOKUP(A:A,'ITEM LIST'!A:C,3,0)</f>
        <v>#N/A</v>
      </c>
    </row>
    <row r="22498" spans="3:3" x14ac:dyDescent="0.2">
      <c r="C22498" s="8" t="e">
        <f>VLOOKUP(A:A,'ITEM LIST'!A:C,3,0)</f>
        <v>#N/A</v>
      </c>
    </row>
    <row r="22499" spans="3:3" x14ac:dyDescent="0.2">
      <c r="C22499" s="8" t="e">
        <f>VLOOKUP(A:A,'ITEM LIST'!A:C,3,0)</f>
        <v>#N/A</v>
      </c>
    </row>
    <row r="22500" spans="3:3" x14ac:dyDescent="0.2">
      <c r="C22500" s="8" t="e">
        <f>VLOOKUP(A:A,'ITEM LIST'!A:C,3,0)</f>
        <v>#N/A</v>
      </c>
    </row>
    <row r="22501" spans="3:3" x14ac:dyDescent="0.2">
      <c r="C22501" s="8" t="e">
        <f>VLOOKUP(A:A,'ITEM LIST'!A:C,3,0)</f>
        <v>#N/A</v>
      </c>
    </row>
    <row r="22502" spans="3:3" x14ac:dyDescent="0.2">
      <c r="C22502" s="8" t="e">
        <f>VLOOKUP(A:A,'ITEM LIST'!A:C,3,0)</f>
        <v>#N/A</v>
      </c>
    </row>
    <row r="22503" spans="3:3" x14ac:dyDescent="0.2">
      <c r="C22503" s="8" t="e">
        <f>VLOOKUP(A:A,'ITEM LIST'!A:C,3,0)</f>
        <v>#N/A</v>
      </c>
    </row>
    <row r="22504" spans="3:3" x14ac:dyDescent="0.2">
      <c r="C22504" s="8" t="e">
        <f>VLOOKUP(A:A,'ITEM LIST'!A:C,3,0)</f>
        <v>#N/A</v>
      </c>
    </row>
    <row r="22505" spans="3:3" x14ac:dyDescent="0.2">
      <c r="C22505" s="8" t="e">
        <f>VLOOKUP(A:A,'ITEM LIST'!A:C,3,0)</f>
        <v>#N/A</v>
      </c>
    </row>
    <row r="22506" spans="3:3" x14ac:dyDescent="0.2">
      <c r="C22506" s="8" t="e">
        <f>VLOOKUP(A:A,'ITEM LIST'!A:C,3,0)</f>
        <v>#N/A</v>
      </c>
    </row>
    <row r="22507" spans="3:3" x14ac:dyDescent="0.2">
      <c r="C22507" s="8" t="e">
        <f>VLOOKUP(A:A,'ITEM LIST'!A:C,3,0)</f>
        <v>#N/A</v>
      </c>
    </row>
    <row r="22508" spans="3:3" x14ac:dyDescent="0.2">
      <c r="C22508" s="8" t="e">
        <f>VLOOKUP(A:A,'ITEM LIST'!A:C,3,0)</f>
        <v>#N/A</v>
      </c>
    </row>
    <row r="22509" spans="3:3" x14ac:dyDescent="0.2">
      <c r="C22509" s="8" t="e">
        <f>VLOOKUP(A:A,'ITEM LIST'!A:C,3,0)</f>
        <v>#N/A</v>
      </c>
    </row>
    <row r="22510" spans="3:3" x14ac:dyDescent="0.2">
      <c r="C22510" s="8" t="e">
        <f>VLOOKUP(A:A,'ITEM LIST'!A:C,3,0)</f>
        <v>#N/A</v>
      </c>
    </row>
    <row r="22511" spans="3:3" x14ac:dyDescent="0.2">
      <c r="C22511" s="8" t="e">
        <f>VLOOKUP(A:A,'ITEM LIST'!A:C,3,0)</f>
        <v>#N/A</v>
      </c>
    </row>
    <row r="22512" spans="3:3" x14ac:dyDescent="0.2">
      <c r="C22512" s="8" t="e">
        <f>VLOOKUP(A:A,'ITEM LIST'!A:C,3,0)</f>
        <v>#N/A</v>
      </c>
    </row>
    <row r="22513" spans="3:3" x14ac:dyDescent="0.2">
      <c r="C22513" s="8" t="e">
        <f>VLOOKUP(A:A,'ITEM LIST'!A:C,3,0)</f>
        <v>#N/A</v>
      </c>
    </row>
    <row r="22514" spans="3:3" x14ac:dyDescent="0.2">
      <c r="C22514" s="8" t="e">
        <f>VLOOKUP(A:A,'ITEM LIST'!A:C,3,0)</f>
        <v>#N/A</v>
      </c>
    </row>
    <row r="22515" spans="3:3" x14ac:dyDescent="0.2">
      <c r="C22515" s="8" t="e">
        <f>VLOOKUP(A:A,'ITEM LIST'!A:C,3,0)</f>
        <v>#N/A</v>
      </c>
    </row>
    <row r="22516" spans="3:3" x14ac:dyDescent="0.2">
      <c r="C22516" s="8" t="e">
        <f>VLOOKUP(A:A,'ITEM LIST'!A:C,3,0)</f>
        <v>#N/A</v>
      </c>
    </row>
    <row r="22517" spans="3:3" x14ac:dyDescent="0.2">
      <c r="C22517" s="8" t="e">
        <f>VLOOKUP(A:A,'ITEM LIST'!A:C,3,0)</f>
        <v>#N/A</v>
      </c>
    </row>
    <row r="22518" spans="3:3" x14ac:dyDescent="0.2">
      <c r="C22518" s="8" t="e">
        <f>VLOOKUP(A:A,'ITEM LIST'!A:C,3,0)</f>
        <v>#N/A</v>
      </c>
    </row>
    <row r="22519" spans="3:3" x14ac:dyDescent="0.2">
      <c r="C22519" s="8" t="e">
        <f>VLOOKUP(A:A,'ITEM LIST'!A:C,3,0)</f>
        <v>#N/A</v>
      </c>
    </row>
    <row r="22520" spans="3:3" x14ac:dyDescent="0.2">
      <c r="C22520" s="8" t="e">
        <f>VLOOKUP(A:A,'ITEM LIST'!A:C,3,0)</f>
        <v>#N/A</v>
      </c>
    </row>
    <row r="22521" spans="3:3" x14ac:dyDescent="0.2">
      <c r="C22521" s="8" t="e">
        <f>VLOOKUP(A:A,'ITEM LIST'!A:C,3,0)</f>
        <v>#N/A</v>
      </c>
    </row>
    <row r="22522" spans="3:3" x14ac:dyDescent="0.2">
      <c r="C22522" s="8" t="e">
        <f>VLOOKUP(A:A,'ITEM LIST'!A:C,3,0)</f>
        <v>#N/A</v>
      </c>
    </row>
    <row r="22523" spans="3:3" x14ac:dyDescent="0.2">
      <c r="C22523" s="8" t="e">
        <f>VLOOKUP(A:A,'ITEM LIST'!A:C,3,0)</f>
        <v>#N/A</v>
      </c>
    </row>
    <row r="22524" spans="3:3" x14ac:dyDescent="0.2">
      <c r="C22524" s="8" t="e">
        <f>VLOOKUP(A:A,'ITEM LIST'!A:C,3,0)</f>
        <v>#N/A</v>
      </c>
    </row>
    <row r="22525" spans="3:3" x14ac:dyDescent="0.2">
      <c r="C22525" s="8" t="e">
        <f>VLOOKUP(A:A,'ITEM LIST'!A:C,3,0)</f>
        <v>#N/A</v>
      </c>
    </row>
    <row r="22526" spans="3:3" x14ac:dyDescent="0.2">
      <c r="C22526" s="8" t="e">
        <f>VLOOKUP(A:A,'ITEM LIST'!A:C,3,0)</f>
        <v>#N/A</v>
      </c>
    </row>
    <row r="22527" spans="3:3" x14ac:dyDescent="0.2">
      <c r="C22527" s="8" t="e">
        <f>VLOOKUP(A:A,'ITEM LIST'!A:C,3,0)</f>
        <v>#N/A</v>
      </c>
    </row>
    <row r="22528" spans="3:3" x14ac:dyDescent="0.2">
      <c r="C22528" s="8" t="e">
        <f>VLOOKUP(A:A,'ITEM LIST'!A:C,3,0)</f>
        <v>#N/A</v>
      </c>
    </row>
    <row r="22529" spans="3:3" x14ac:dyDescent="0.2">
      <c r="C22529" s="8" t="e">
        <f>VLOOKUP(A:A,'ITEM LIST'!A:C,3,0)</f>
        <v>#N/A</v>
      </c>
    </row>
    <row r="22530" spans="3:3" x14ac:dyDescent="0.2">
      <c r="C22530" s="8" t="e">
        <f>VLOOKUP(A:A,'ITEM LIST'!A:C,3,0)</f>
        <v>#N/A</v>
      </c>
    </row>
    <row r="22531" spans="3:3" x14ac:dyDescent="0.2">
      <c r="C22531" s="8" t="e">
        <f>VLOOKUP(A:A,'ITEM LIST'!A:C,3,0)</f>
        <v>#N/A</v>
      </c>
    </row>
    <row r="22532" spans="3:3" x14ac:dyDescent="0.2">
      <c r="C22532" s="8" t="e">
        <f>VLOOKUP(A:A,'ITEM LIST'!A:C,3,0)</f>
        <v>#N/A</v>
      </c>
    </row>
    <row r="22533" spans="3:3" x14ac:dyDescent="0.2">
      <c r="C22533" s="8" t="e">
        <f>VLOOKUP(A:A,'ITEM LIST'!A:C,3,0)</f>
        <v>#N/A</v>
      </c>
    </row>
    <row r="22534" spans="3:3" x14ac:dyDescent="0.2">
      <c r="C22534" s="8" t="e">
        <f>VLOOKUP(A:A,'ITEM LIST'!A:C,3,0)</f>
        <v>#N/A</v>
      </c>
    </row>
    <row r="22535" spans="3:3" x14ac:dyDescent="0.2">
      <c r="C22535" s="8" t="e">
        <f>VLOOKUP(A:A,'ITEM LIST'!A:C,3,0)</f>
        <v>#N/A</v>
      </c>
    </row>
    <row r="22536" spans="3:3" x14ac:dyDescent="0.2">
      <c r="C22536" s="8" t="e">
        <f>VLOOKUP(A:A,'ITEM LIST'!A:C,3,0)</f>
        <v>#N/A</v>
      </c>
    </row>
    <row r="22537" spans="3:3" x14ac:dyDescent="0.2">
      <c r="C22537" s="8" t="e">
        <f>VLOOKUP(A:A,'ITEM LIST'!A:C,3,0)</f>
        <v>#N/A</v>
      </c>
    </row>
    <row r="22538" spans="3:3" x14ac:dyDescent="0.2">
      <c r="C22538" s="8" t="e">
        <f>VLOOKUP(A:A,'ITEM LIST'!A:C,3,0)</f>
        <v>#N/A</v>
      </c>
    </row>
    <row r="22539" spans="3:3" x14ac:dyDescent="0.2">
      <c r="C22539" s="8" t="e">
        <f>VLOOKUP(A:A,'ITEM LIST'!A:C,3,0)</f>
        <v>#N/A</v>
      </c>
    </row>
    <row r="22540" spans="3:3" x14ac:dyDescent="0.2">
      <c r="C22540" s="8" t="e">
        <f>VLOOKUP(A:A,'ITEM LIST'!A:C,3,0)</f>
        <v>#N/A</v>
      </c>
    </row>
    <row r="22541" spans="3:3" x14ac:dyDescent="0.2">
      <c r="C22541" s="8" t="e">
        <f>VLOOKUP(A:A,'ITEM LIST'!A:C,3,0)</f>
        <v>#N/A</v>
      </c>
    </row>
    <row r="22542" spans="3:3" x14ac:dyDescent="0.2">
      <c r="C22542" s="8" t="e">
        <f>VLOOKUP(A:A,'ITEM LIST'!A:C,3,0)</f>
        <v>#N/A</v>
      </c>
    </row>
    <row r="22543" spans="3:3" x14ac:dyDescent="0.2">
      <c r="C22543" s="8" t="e">
        <f>VLOOKUP(A:A,'ITEM LIST'!A:C,3,0)</f>
        <v>#N/A</v>
      </c>
    </row>
    <row r="22544" spans="3:3" x14ac:dyDescent="0.2">
      <c r="C22544" s="8" t="e">
        <f>VLOOKUP(A:A,'ITEM LIST'!A:C,3,0)</f>
        <v>#N/A</v>
      </c>
    </row>
    <row r="22545" spans="3:3" x14ac:dyDescent="0.2">
      <c r="C22545" s="8" t="e">
        <f>VLOOKUP(A:A,'ITEM LIST'!A:C,3,0)</f>
        <v>#N/A</v>
      </c>
    </row>
    <row r="22546" spans="3:3" x14ac:dyDescent="0.2">
      <c r="C22546" s="8" t="e">
        <f>VLOOKUP(A:A,'ITEM LIST'!A:C,3,0)</f>
        <v>#N/A</v>
      </c>
    </row>
    <row r="22547" spans="3:3" x14ac:dyDescent="0.2">
      <c r="C22547" s="8" t="e">
        <f>VLOOKUP(A:A,'ITEM LIST'!A:C,3,0)</f>
        <v>#N/A</v>
      </c>
    </row>
    <row r="22548" spans="3:3" x14ac:dyDescent="0.2">
      <c r="C22548" s="8" t="e">
        <f>VLOOKUP(A:A,'ITEM LIST'!A:C,3,0)</f>
        <v>#N/A</v>
      </c>
    </row>
    <row r="22549" spans="3:3" x14ac:dyDescent="0.2">
      <c r="C22549" s="8" t="e">
        <f>VLOOKUP(A:A,'ITEM LIST'!A:C,3,0)</f>
        <v>#N/A</v>
      </c>
    </row>
    <row r="22550" spans="3:3" x14ac:dyDescent="0.2">
      <c r="C22550" s="8" t="e">
        <f>VLOOKUP(A:A,'ITEM LIST'!A:C,3,0)</f>
        <v>#N/A</v>
      </c>
    </row>
    <row r="22551" spans="3:3" x14ac:dyDescent="0.2">
      <c r="C22551" s="8" t="e">
        <f>VLOOKUP(A:A,'ITEM LIST'!A:C,3,0)</f>
        <v>#N/A</v>
      </c>
    </row>
    <row r="22552" spans="3:3" x14ac:dyDescent="0.2">
      <c r="C22552" s="8" t="e">
        <f>VLOOKUP(A:A,'ITEM LIST'!A:C,3,0)</f>
        <v>#N/A</v>
      </c>
    </row>
    <row r="22553" spans="3:3" x14ac:dyDescent="0.2">
      <c r="C22553" s="8" t="e">
        <f>VLOOKUP(A:A,'ITEM LIST'!A:C,3,0)</f>
        <v>#N/A</v>
      </c>
    </row>
    <row r="22554" spans="3:3" x14ac:dyDescent="0.2">
      <c r="C22554" s="8" t="e">
        <f>VLOOKUP(A:A,'ITEM LIST'!A:C,3,0)</f>
        <v>#N/A</v>
      </c>
    </row>
    <row r="22555" spans="3:3" x14ac:dyDescent="0.2">
      <c r="C22555" s="8" t="e">
        <f>VLOOKUP(A:A,'ITEM LIST'!A:C,3,0)</f>
        <v>#N/A</v>
      </c>
    </row>
    <row r="22556" spans="3:3" x14ac:dyDescent="0.2">
      <c r="C22556" s="8" t="e">
        <f>VLOOKUP(A:A,'ITEM LIST'!A:C,3,0)</f>
        <v>#N/A</v>
      </c>
    </row>
    <row r="22557" spans="3:3" x14ac:dyDescent="0.2">
      <c r="C22557" s="8" t="e">
        <f>VLOOKUP(A:A,'ITEM LIST'!A:C,3,0)</f>
        <v>#N/A</v>
      </c>
    </row>
    <row r="22558" spans="3:3" x14ac:dyDescent="0.2">
      <c r="C22558" s="8" t="e">
        <f>VLOOKUP(A:A,'ITEM LIST'!A:C,3,0)</f>
        <v>#N/A</v>
      </c>
    </row>
    <row r="22559" spans="3:3" x14ac:dyDescent="0.2">
      <c r="C22559" s="8" t="e">
        <f>VLOOKUP(A:A,'ITEM LIST'!A:C,3,0)</f>
        <v>#N/A</v>
      </c>
    </row>
    <row r="22560" spans="3:3" x14ac:dyDescent="0.2">
      <c r="C22560" s="8" t="e">
        <f>VLOOKUP(A:A,'ITEM LIST'!A:C,3,0)</f>
        <v>#N/A</v>
      </c>
    </row>
    <row r="22561" spans="3:3" x14ac:dyDescent="0.2">
      <c r="C22561" s="8" t="e">
        <f>VLOOKUP(A:A,'ITEM LIST'!A:C,3,0)</f>
        <v>#N/A</v>
      </c>
    </row>
    <row r="22562" spans="3:3" x14ac:dyDescent="0.2">
      <c r="C22562" s="8" t="e">
        <f>VLOOKUP(A:A,'ITEM LIST'!A:C,3,0)</f>
        <v>#N/A</v>
      </c>
    </row>
    <row r="22563" spans="3:3" x14ac:dyDescent="0.2">
      <c r="C22563" s="8" t="e">
        <f>VLOOKUP(A:A,'ITEM LIST'!A:C,3,0)</f>
        <v>#N/A</v>
      </c>
    </row>
    <row r="22564" spans="3:3" x14ac:dyDescent="0.2">
      <c r="C22564" s="8" t="e">
        <f>VLOOKUP(A:A,'ITEM LIST'!A:C,3,0)</f>
        <v>#N/A</v>
      </c>
    </row>
    <row r="22565" spans="3:3" x14ac:dyDescent="0.2">
      <c r="C22565" s="8" t="e">
        <f>VLOOKUP(A:A,'ITEM LIST'!A:C,3,0)</f>
        <v>#N/A</v>
      </c>
    </row>
    <row r="22566" spans="3:3" x14ac:dyDescent="0.2">
      <c r="C22566" s="8" t="e">
        <f>VLOOKUP(A:A,'ITEM LIST'!A:C,3,0)</f>
        <v>#N/A</v>
      </c>
    </row>
    <row r="22567" spans="3:3" x14ac:dyDescent="0.2">
      <c r="C22567" s="8" t="e">
        <f>VLOOKUP(A:A,'ITEM LIST'!A:C,3,0)</f>
        <v>#N/A</v>
      </c>
    </row>
    <row r="22568" spans="3:3" x14ac:dyDescent="0.2">
      <c r="C22568" s="8" t="e">
        <f>VLOOKUP(A:A,'ITEM LIST'!A:C,3,0)</f>
        <v>#N/A</v>
      </c>
    </row>
    <row r="22569" spans="3:3" x14ac:dyDescent="0.2">
      <c r="C22569" s="8" t="e">
        <f>VLOOKUP(A:A,'ITEM LIST'!A:C,3,0)</f>
        <v>#N/A</v>
      </c>
    </row>
    <row r="22570" spans="3:3" x14ac:dyDescent="0.2">
      <c r="C22570" s="8" t="e">
        <f>VLOOKUP(A:A,'ITEM LIST'!A:C,3,0)</f>
        <v>#N/A</v>
      </c>
    </row>
    <row r="22571" spans="3:3" x14ac:dyDescent="0.2">
      <c r="C22571" s="8" t="e">
        <f>VLOOKUP(A:A,'ITEM LIST'!A:C,3,0)</f>
        <v>#N/A</v>
      </c>
    </row>
    <row r="22572" spans="3:3" x14ac:dyDescent="0.2">
      <c r="C22572" s="8" t="e">
        <f>VLOOKUP(A:A,'ITEM LIST'!A:C,3,0)</f>
        <v>#N/A</v>
      </c>
    </row>
    <row r="22573" spans="3:3" x14ac:dyDescent="0.2">
      <c r="C22573" s="8" t="e">
        <f>VLOOKUP(A:A,'ITEM LIST'!A:C,3,0)</f>
        <v>#N/A</v>
      </c>
    </row>
    <row r="22574" spans="3:3" x14ac:dyDescent="0.2">
      <c r="C22574" s="8" t="e">
        <f>VLOOKUP(A:A,'ITEM LIST'!A:C,3,0)</f>
        <v>#N/A</v>
      </c>
    </row>
    <row r="22575" spans="3:3" x14ac:dyDescent="0.2">
      <c r="C22575" s="8" t="e">
        <f>VLOOKUP(A:A,'ITEM LIST'!A:C,3,0)</f>
        <v>#N/A</v>
      </c>
    </row>
    <row r="22576" spans="3:3" x14ac:dyDescent="0.2">
      <c r="C22576" s="8" t="e">
        <f>VLOOKUP(A:A,'ITEM LIST'!A:C,3,0)</f>
        <v>#N/A</v>
      </c>
    </row>
    <row r="22577" spans="3:3" x14ac:dyDescent="0.2">
      <c r="C22577" s="8" t="e">
        <f>VLOOKUP(A:A,'ITEM LIST'!A:C,3,0)</f>
        <v>#N/A</v>
      </c>
    </row>
    <row r="22578" spans="3:3" x14ac:dyDescent="0.2">
      <c r="C22578" s="8" t="e">
        <f>VLOOKUP(A:A,'ITEM LIST'!A:C,3,0)</f>
        <v>#N/A</v>
      </c>
    </row>
    <row r="22579" spans="3:3" x14ac:dyDescent="0.2">
      <c r="C22579" s="8" t="e">
        <f>VLOOKUP(A:A,'ITEM LIST'!A:C,3,0)</f>
        <v>#N/A</v>
      </c>
    </row>
    <row r="22580" spans="3:3" x14ac:dyDescent="0.2">
      <c r="C22580" s="8" t="e">
        <f>VLOOKUP(A:A,'ITEM LIST'!A:C,3,0)</f>
        <v>#N/A</v>
      </c>
    </row>
    <row r="22581" spans="3:3" x14ac:dyDescent="0.2">
      <c r="C22581" s="8" t="e">
        <f>VLOOKUP(A:A,'ITEM LIST'!A:C,3,0)</f>
        <v>#N/A</v>
      </c>
    </row>
    <row r="22582" spans="3:3" x14ac:dyDescent="0.2">
      <c r="C22582" s="8" t="e">
        <f>VLOOKUP(A:A,'ITEM LIST'!A:C,3,0)</f>
        <v>#N/A</v>
      </c>
    </row>
    <row r="22583" spans="3:3" x14ac:dyDescent="0.2">
      <c r="C22583" s="8" t="e">
        <f>VLOOKUP(A:A,'ITEM LIST'!A:C,3,0)</f>
        <v>#N/A</v>
      </c>
    </row>
    <row r="22584" spans="3:3" x14ac:dyDescent="0.2">
      <c r="C22584" s="8" t="e">
        <f>VLOOKUP(A:A,'ITEM LIST'!A:C,3,0)</f>
        <v>#N/A</v>
      </c>
    </row>
    <row r="22585" spans="3:3" x14ac:dyDescent="0.2">
      <c r="C22585" s="8" t="e">
        <f>VLOOKUP(A:A,'ITEM LIST'!A:C,3,0)</f>
        <v>#N/A</v>
      </c>
    </row>
    <row r="22586" spans="3:3" x14ac:dyDescent="0.2">
      <c r="C22586" s="8" t="e">
        <f>VLOOKUP(A:A,'ITEM LIST'!A:C,3,0)</f>
        <v>#N/A</v>
      </c>
    </row>
    <row r="22587" spans="3:3" x14ac:dyDescent="0.2">
      <c r="C22587" s="8" t="e">
        <f>VLOOKUP(A:A,'ITEM LIST'!A:C,3,0)</f>
        <v>#N/A</v>
      </c>
    </row>
    <row r="22588" spans="3:3" x14ac:dyDescent="0.2">
      <c r="C22588" s="8" t="e">
        <f>VLOOKUP(A:A,'ITEM LIST'!A:C,3,0)</f>
        <v>#N/A</v>
      </c>
    </row>
    <row r="22589" spans="3:3" x14ac:dyDescent="0.2">
      <c r="C22589" s="8" t="e">
        <f>VLOOKUP(A:A,'ITEM LIST'!A:C,3,0)</f>
        <v>#N/A</v>
      </c>
    </row>
    <row r="22590" spans="3:3" x14ac:dyDescent="0.2">
      <c r="C22590" s="8" t="e">
        <f>VLOOKUP(A:A,'ITEM LIST'!A:C,3,0)</f>
        <v>#N/A</v>
      </c>
    </row>
    <row r="22591" spans="3:3" x14ac:dyDescent="0.2">
      <c r="C22591" s="8" t="e">
        <f>VLOOKUP(A:A,'ITEM LIST'!A:C,3,0)</f>
        <v>#N/A</v>
      </c>
    </row>
    <row r="22592" spans="3:3" x14ac:dyDescent="0.2">
      <c r="C22592" s="8" t="e">
        <f>VLOOKUP(A:A,'ITEM LIST'!A:C,3,0)</f>
        <v>#N/A</v>
      </c>
    </row>
    <row r="22593" spans="3:3" x14ac:dyDescent="0.2">
      <c r="C22593" s="8" t="e">
        <f>VLOOKUP(A:A,'ITEM LIST'!A:C,3,0)</f>
        <v>#N/A</v>
      </c>
    </row>
    <row r="22594" spans="3:3" x14ac:dyDescent="0.2">
      <c r="C22594" s="8" t="e">
        <f>VLOOKUP(A:A,'ITEM LIST'!A:C,3,0)</f>
        <v>#N/A</v>
      </c>
    </row>
    <row r="22595" spans="3:3" x14ac:dyDescent="0.2">
      <c r="C22595" s="8" t="e">
        <f>VLOOKUP(A:A,'ITEM LIST'!A:C,3,0)</f>
        <v>#N/A</v>
      </c>
    </row>
    <row r="22596" spans="3:3" x14ac:dyDescent="0.2">
      <c r="C22596" s="8" t="e">
        <f>VLOOKUP(A:A,'ITEM LIST'!A:C,3,0)</f>
        <v>#N/A</v>
      </c>
    </row>
    <row r="22597" spans="3:3" x14ac:dyDescent="0.2">
      <c r="C22597" s="8" t="e">
        <f>VLOOKUP(A:A,'ITEM LIST'!A:C,3,0)</f>
        <v>#N/A</v>
      </c>
    </row>
    <row r="22598" spans="3:3" x14ac:dyDescent="0.2">
      <c r="C22598" s="8" t="e">
        <f>VLOOKUP(A:A,'ITEM LIST'!A:C,3,0)</f>
        <v>#N/A</v>
      </c>
    </row>
    <row r="22599" spans="3:3" x14ac:dyDescent="0.2">
      <c r="C22599" s="8" t="e">
        <f>VLOOKUP(A:A,'ITEM LIST'!A:C,3,0)</f>
        <v>#N/A</v>
      </c>
    </row>
    <row r="22600" spans="3:3" x14ac:dyDescent="0.2">
      <c r="C22600" s="8" t="e">
        <f>VLOOKUP(A:A,'ITEM LIST'!A:C,3,0)</f>
        <v>#N/A</v>
      </c>
    </row>
    <row r="22601" spans="3:3" x14ac:dyDescent="0.2">
      <c r="C22601" s="8" t="e">
        <f>VLOOKUP(A:A,'ITEM LIST'!A:C,3,0)</f>
        <v>#N/A</v>
      </c>
    </row>
    <row r="22602" spans="3:3" x14ac:dyDescent="0.2">
      <c r="C22602" s="8" t="e">
        <f>VLOOKUP(A:A,'ITEM LIST'!A:C,3,0)</f>
        <v>#N/A</v>
      </c>
    </row>
    <row r="22603" spans="3:3" x14ac:dyDescent="0.2">
      <c r="C22603" s="8" t="e">
        <f>VLOOKUP(A:A,'ITEM LIST'!A:C,3,0)</f>
        <v>#N/A</v>
      </c>
    </row>
    <row r="22604" spans="3:3" x14ac:dyDescent="0.2">
      <c r="C22604" s="8" t="e">
        <f>VLOOKUP(A:A,'ITEM LIST'!A:C,3,0)</f>
        <v>#N/A</v>
      </c>
    </row>
    <row r="22605" spans="3:3" x14ac:dyDescent="0.2">
      <c r="C22605" s="8" t="e">
        <f>VLOOKUP(A:A,'ITEM LIST'!A:C,3,0)</f>
        <v>#N/A</v>
      </c>
    </row>
    <row r="22606" spans="3:3" x14ac:dyDescent="0.2">
      <c r="C22606" s="8" t="e">
        <f>VLOOKUP(A:A,'ITEM LIST'!A:C,3,0)</f>
        <v>#N/A</v>
      </c>
    </row>
    <row r="22607" spans="3:3" x14ac:dyDescent="0.2">
      <c r="C22607" s="8" t="e">
        <f>VLOOKUP(A:A,'ITEM LIST'!A:C,3,0)</f>
        <v>#N/A</v>
      </c>
    </row>
    <row r="22608" spans="3:3" x14ac:dyDescent="0.2">
      <c r="C22608" s="8" t="e">
        <f>VLOOKUP(A:A,'ITEM LIST'!A:C,3,0)</f>
        <v>#N/A</v>
      </c>
    </row>
    <row r="22609" spans="3:3" x14ac:dyDescent="0.2">
      <c r="C22609" s="8" t="e">
        <f>VLOOKUP(A:A,'ITEM LIST'!A:C,3,0)</f>
        <v>#N/A</v>
      </c>
    </row>
    <row r="22610" spans="3:3" x14ac:dyDescent="0.2">
      <c r="C22610" s="8" t="e">
        <f>VLOOKUP(A:A,'ITEM LIST'!A:C,3,0)</f>
        <v>#N/A</v>
      </c>
    </row>
    <row r="22611" spans="3:3" x14ac:dyDescent="0.2">
      <c r="C22611" s="8" t="e">
        <f>VLOOKUP(A:A,'ITEM LIST'!A:C,3,0)</f>
        <v>#N/A</v>
      </c>
    </row>
    <row r="22612" spans="3:3" x14ac:dyDescent="0.2">
      <c r="C22612" s="8" t="e">
        <f>VLOOKUP(A:A,'ITEM LIST'!A:C,3,0)</f>
        <v>#N/A</v>
      </c>
    </row>
    <row r="22613" spans="3:3" x14ac:dyDescent="0.2">
      <c r="C22613" s="8" t="e">
        <f>VLOOKUP(A:A,'ITEM LIST'!A:C,3,0)</f>
        <v>#N/A</v>
      </c>
    </row>
    <row r="22614" spans="3:3" x14ac:dyDescent="0.2">
      <c r="C22614" s="8" t="e">
        <f>VLOOKUP(A:A,'ITEM LIST'!A:C,3,0)</f>
        <v>#N/A</v>
      </c>
    </row>
    <row r="22615" spans="3:3" x14ac:dyDescent="0.2">
      <c r="C22615" s="8" t="e">
        <f>VLOOKUP(A:A,'ITEM LIST'!A:C,3,0)</f>
        <v>#N/A</v>
      </c>
    </row>
    <row r="22616" spans="3:3" x14ac:dyDescent="0.2">
      <c r="C22616" s="8" t="e">
        <f>VLOOKUP(A:A,'ITEM LIST'!A:C,3,0)</f>
        <v>#N/A</v>
      </c>
    </row>
    <row r="22617" spans="3:3" x14ac:dyDescent="0.2">
      <c r="C22617" s="8" t="e">
        <f>VLOOKUP(A:A,'ITEM LIST'!A:C,3,0)</f>
        <v>#N/A</v>
      </c>
    </row>
    <row r="22618" spans="3:3" x14ac:dyDescent="0.2">
      <c r="C22618" s="8" t="e">
        <f>VLOOKUP(A:A,'ITEM LIST'!A:C,3,0)</f>
        <v>#N/A</v>
      </c>
    </row>
    <row r="22619" spans="3:3" x14ac:dyDescent="0.2">
      <c r="C22619" s="8" t="e">
        <f>VLOOKUP(A:A,'ITEM LIST'!A:C,3,0)</f>
        <v>#N/A</v>
      </c>
    </row>
    <row r="22620" spans="3:3" x14ac:dyDescent="0.2">
      <c r="C22620" s="8" t="e">
        <f>VLOOKUP(A:A,'ITEM LIST'!A:C,3,0)</f>
        <v>#N/A</v>
      </c>
    </row>
    <row r="22621" spans="3:3" x14ac:dyDescent="0.2">
      <c r="C22621" s="8" t="e">
        <f>VLOOKUP(A:A,'ITEM LIST'!A:C,3,0)</f>
        <v>#N/A</v>
      </c>
    </row>
    <row r="22622" spans="3:3" x14ac:dyDescent="0.2">
      <c r="C22622" s="8" t="e">
        <f>VLOOKUP(A:A,'ITEM LIST'!A:C,3,0)</f>
        <v>#N/A</v>
      </c>
    </row>
    <row r="22623" spans="3:3" x14ac:dyDescent="0.2">
      <c r="C22623" s="8" t="e">
        <f>VLOOKUP(A:A,'ITEM LIST'!A:C,3,0)</f>
        <v>#N/A</v>
      </c>
    </row>
    <row r="22624" spans="3:3" x14ac:dyDescent="0.2">
      <c r="C22624" s="8" t="e">
        <f>VLOOKUP(A:A,'ITEM LIST'!A:C,3,0)</f>
        <v>#N/A</v>
      </c>
    </row>
    <row r="22625" spans="3:3" x14ac:dyDescent="0.2">
      <c r="C22625" s="8" t="e">
        <f>VLOOKUP(A:A,'ITEM LIST'!A:C,3,0)</f>
        <v>#N/A</v>
      </c>
    </row>
    <row r="22626" spans="3:3" x14ac:dyDescent="0.2">
      <c r="C22626" s="8" t="e">
        <f>VLOOKUP(A:A,'ITEM LIST'!A:C,3,0)</f>
        <v>#N/A</v>
      </c>
    </row>
    <row r="22627" spans="3:3" x14ac:dyDescent="0.2">
      <c r="C22627" s="8" t="e">
        <f>VLOOKUP(A:A,'ITEM LIST'!A:C,3,0)</f>
        <v>#N/A</v>
      </c>
    </row>
    <row r="22628" spans="3:3" x14ac:dyDescent="0.2">
      <c r="C22628" s="8" t="e">
        <f>VLOOKUP(A:A,'ITEM LIST'!A:C,3,0)</f>
        <v>#N/A</v>
      </c>
    </row>
    <row r="22629" spans="3:3" x14ac:dyDescent="0.2">
      <c r="C22629" s="8" t="e">
        <f>VLOOKUP(A:A,'ITEM LIST'!A:C,3,0)</f>
        <v>#N/A</v>
      </c>
    </row>
    <row r="22630" spans="3:3" x14ac:dyDescent="0.2">
      <c r="C22630" s="8" t="e">
        <f>VLOOKUP(A:A,'ITEM LIST'!A:C,3,0)</f>
        <v>#N/A</v>
      </c>
    </row>
    <row r="22631" spans="3:3" x14ac:dyDescent="0.2">
      <c r="C22631" s="8" t="e">
        <f>VLOOKUP(A:A,'ITEM LIST'!A:C,3,0)</f>
        <v>#N/A</v>
      </c>
    </row>
    <row r="22632" spans="3:3" x14ac:dyDescent="0.2">
      <c r="C22632" s="8" t="e">
        <f>VLOOKUP(A:A,'ITEM LIST'!A:C,3,0)</f>
        <v>#N/A</v>
      </c>
    </row>
    <row r="22633" spans="3:3" x14ac:dyDescent="0.2">
      <c r="C22633" s="8" t="e">
        <f>VLOOKUP(A:A,'ITEM LIST'!A:C,3,0)</f>
        <v>#N/A</v>
      </c>
    </row>
    <row r="22634" spans="3:3" x14ac:dyDescent="0.2">
      <c r="C22634" s="8" t="e">
        <f>VLOOKUP(A:A,'ITEM LIST'!A:C,3,0)</f>
        <v>#N/A</v>
      </c>
    </row>
    <row r="22635" spans="3:3" x14ac:dyDescent="0.2">
      <c r="C22635" s="8" t="e">
        <f>VLOOKUP(A:A,'ITEM LIST'!A:C,3,0)</f>
        <v>#N/A</v>
      </c>
    </row>
    <row r="22636" spans="3:3" x14ac:dyDescent="0.2">
      <c r="C22636" s="8" t="e">
        <f>VLOOKUP(A:A,'ITEM LIST'!A:C,3,0)</f>
        <v>#N/A</v>
      </c>
    </row>
    <row r="22637" spans="3:3" x14ac:dyDescent="0.2">
      <c r="C22637" s="8" t="e">
        <f>VLOOKUP(A:A,'ITEM LIST'!A:C,3,0)</f>
        <v>#N/A</v>
      </c>
    </row>
    <row r="22638" spans="3:3" x14ac:dyDescent="0.2">
      <c r="C22638" s="8" t="e">
        <f>VLOOKUP(A:A,'ITEM LIST'!A:C,3,0)</f>
        <v>#N/A</v>
      </c>
    </row>
    <row r="22639" spans="3:3" x14ac:dyDescent="0.2">
      <c r="C22639" s="8" t="e">
        <f>VLOOKUP(A:A,'ITEM LIST'!A:C,3,0)</f>
        <v>#N/A</v>
      </c>
    </row>
    <row r="22640" spans="3:3" x14ac:dyDescent="0.2">
      <c r="C22640" s="8" t="e">
        <f>VLOOKUP(A:A,'ITEM LIST'!A:C,3,0)</f>
        <v>#N/A</v>
      </c>
    </row>
    <row r="22641" spans="3:3" x14ac:dyDescent="0.2">
      <c r="C22641" s="8" t="e">
        <f>VLOOKUP(A:A,'ITEM LIST'!A:C,3,0)</f>
        <v>#N/A</v>
      </c>
    </row>
    <row r="22642" spans="3:3" x14ac:dyDescent="0.2">
      <c r="C22642" s="8" t="e">
        <f>VLOOKUP(A:A,'ITEM LIST'!A:C,3,0)</f>
        <v>#N/A</v>
      </c>
    </row>
    <row r="22643" spans="3:3" x14ac:dyDescent="0.2">
      <c r="C22643" s="8" t="e">
        <f>VLOOKUP(A:A,'ITEM LIST'!A:C,3,0)</f>
        <v>#N/A</v>
      </c>
    </row>
    <row r="22644" spans="3:3" x14ac:dyDescent="0.2">
      <c r="C22644" s="8" t="e">
        <f>VLOOKUP(A:A,'ITEM LIST'!A:C,3,0)</f>
        <v>#N/A</v>
      </c>
    </row>
    <row r="22645" spans="3:3" x14ac:dyDescent="0.2">
      <c r="C22645" s="8" t="e">
        <f>VLOOKUP(A:A,'ITEM LIST'!A:C,3,0)</f>
        <v>#N/A</v>
      </c>
    </row>
    <row r="22646" spans="3:3" x14ac:dyDescent="0.2">
      <c r="C22646" s="8" t="e">
        <f>VLOOKUP(A:A,'ITEM LIST'!A:C,3,0)</f>
        <v>#N/A</v>
      </c>
    </row>
    <row r="22647" spans="3:3" x14ac:dyDescent="0.2">
      <c r="C22647" s="8" t="e">
        <f>VLOOKUP(A:A,'ITEM LIST'!A:C,3,0)</f>
        <v>#N/A</v>
      </c>
    </row>
    <row r="22648" spans="3:3" x14ac:dyDescent="0.2">
      <c r="C22648" s="8" t="e">
        <f>VLOOKUP(A:A,'ITEM LIST'!A:C,3,0)</f>
        <v>#N/A</v>
      </c>
    </row>
    <row r="22649" spans="3:3" x14ac:dyDescent="0.2">
      <c r="C22649" s="8" t="e">
        <f>VLOOKUP(A:A,'ITEM LIST'!A:C,3,0)</f>
        <v>#N/A</v>
      </c>
    </row>
    <row r="22650" spans="3:3" x14ac:dyDescent="0.2">
      <c r="C22650" s="8" t="e">
        <f>VLOOKUP(A:A,'ITEM LIST'!A:C,3,0)</f>
        <v>#N/A</v>
      </c>
    </row>
    <row r="22651" spans="3:3" x14ac:dyDescent="0.2">
      <c r="C22651" s="8" t="e">
        <f>VLOOKUP(A:A,'ITEM LIST'!A:C,3,0)</f>
        <v>#N/A</v>
      </c>
    </row>
    <row r="22652" spans="3:3" x14ac:dyDescent="0.2">
      <c r="C22652" s="8" t="e">
        <f>VLOOKUP(A:A,'ITEM LIST'!A:C,3,0)</f>
        <v>#N/A</v>
      </c>
    </row>
    <row r="22653" spans="3:3" x14ac:dyDescent="0.2">
      <c r="C22653" s="8" t="e">
        <f>VLOOKUP(A:A,'ITEM LIST'!A:C,3,0)</f>
        <v>#N/A</v>
      </c>
    </row>
    <row r="22654" spans="3:3" x14ac:dyDescent="0.2">
      <c r="C22654" s="8" t="e">
        <f>VLOOKUP(A:A,'ITEM LIST'!A:C,3,0)</f>
        <v>#N/A</v>
      </c>
    </row>
    <row r="22655" spans="3:3" x14ac:dyDescent="0.2">
      <c r="C22655" s="8" t="e">
        <f>VLOOKUP(A:A,'ITEM LIST'!A:C,3,0)</f>
        <v>#N/A</v>
      </c>
    </row>
    <row r="22656" spans="3:3" x14ac:dyDescent="0.2">
      <c r="C22656" s="8" t="e">
        <f>VLOOKUP(A:A,'ITEM LIST'!A:C,3,0)</f>
        <v>#N/A</v>
      </c>
    </row>
    <row r="22657" spans="3:3" x14ac:dyDescent="0.2">
      <c r="C22657" s="8" t="e">
        <f>VLOOKUP(A:A,'ITEM LIST'!A:C,3,0)</f>
        <v>#N/A</v>
      </c>
    </row>
    <row r="22658" spans="3:3" x14ac:dyDescent="0.2">
      <c r="C22658" s="8" t="e">
        <f>VLOOKUP(A:A,'ITEM LIST'!A:C,3,0)</f>
        <v>#N/A</v>
      </c>
    </row>
    <row r="22659" spans="3:3" x14ac:dyDescent="0.2">
      <c r="C22659" s="8" t="e">
        <f>VLOOKUP(A:A,'ITEM LIST'!A:C,3,0)</f>
        <v>#N/A</v>
      </c>
    </row>
    <row r="22660" spans="3:3" x14ac:dyDescent="0.2">
      <c r="C22660" s="8" t="e">
        <f>VLOOKUP(A:A,'ITEM LIST'!A:C,3,0)</f>
        <v>#N/A</v>
      </c>
    </row>
    <row r="22661" spans="3:3" x14ac:dyDescent="0.2">
      <c r="C22661" s="8" t="e">
        <f>VLOOKUP(A:A,'ITEM LIST'!A:C,3,0)</f>
        <v>#N/A</v>
      </c>
    </row>
    <row r="22662" spans="3:3" x14ac:dyDescent="0.2">
      <c r="C22662" s="8" t="e">
        <f>VLOOKUP(A:A,'ITEM LIST'!A:C,3,0)</f>
        <v>#N/A</v>
      </c>
    </row>
    <row r="22663" spans="3:3" x14ac:dyDescent="0.2">
      <c r="C22663" s="8" t="e">
        <f>VLOOKUP(A:A,'ITEM LIST'!A:C,3,0)</f>
        <v>#N/A</v>
      </c>
    </row>
    <row r="22664" spans="3:3" x14ac:dyDescent="0.2">
      <c r="C22664" s="8" t="e">
        <f>VLOOKUP(A:A,'ITEM LIST'!A:C,3,0)</f>
        <v>#N/A</v>
      </c>
    </row>
    <row r="22665" spans="3:3" x14ac:dyDescent="0.2">
      <c r="C22665" s="8" t="e">
        <f>VLOOKUP(A:A,'ITEM LIST'!A:C,3,0)</f>
        <v>#N/A</v>
      </c>
    </row>
    <row r="22666" spans="3:3" x14ac:dyDescent="0.2">
      <c r="C22666" s="8" t="e">
        <f>VLOOKUP(A:A,'ITEM LIST'!A:C,3,0)</f>
        <v>#N/A</v>
      </c>
    </row>
    <row r="22667" spans="3:3" x14ac:dyDescent="0.2">
      <c r="C22667" s="8" t="e">
        <f>VLOOKUP(A:A,'ITEM LIST'!A:C,3,0)</f>
        <v>#N/A</v>
      </c>
    </row>
    <row r="22668" spans="3:3" x14ac:dyDescent="0.2">
      <c r="C22668" s="8" t="e">
        <f>VLOOKUP(A:A,'ITEM LIST'!A:C,3,0)</f>
        <v>#N/A</v>
      </c>
    </row>
    <row r="22669" spans="3:3" x14ac:dyDescent="0.2">
      <c r="C22669" s="8" t="e">
        <f>VLOOKUP(A:A,'ITEM LIST'!A:C,3,0)</f>
        <v>#N/A</v>
      </c>
    </row>
    <row r="22670" spans="3:3" x14ac:dyDescent="0.2">
      <c r="C22670" s="8" t="e">
        <f>VLOOKUP(A:A,'ITEM LIST'!A:C,3,0)</f>
        <v>#N/A</v>
      </c>
    </row>
    <row r="22671" spans="3:3" x14ac:dyDescent="0.2">
      <c r="C22671" s="8" t="e">
        <f>VLOOKUP(A:A,'ITEM LIST'!A:C,3,0)</f>
        <v>#N/A</v>
      </c>
    </row>
    <row r="22672" spans="3:3" x14ac:dyDescent="0.2">
      <c r="C22672" s="8" t="e">
        <f>VLOOKUP(A:A,'ITEM LIST'!A:C,3,0)</f>
        <v>#N/A</v>
      </c>
    </row>
    <row r="22673" spans="3:3" x14ac:dyDescent="0.2">
      <c r="C22673" s="8" t="e">
        <f>VLOOKUP(A:A,'ITEM LIST'!A:C,3,0)</f>
        <v>#N/A</v>
      </c>
    </row>
    <row r="22674" spans="3:3" x14ac:dyDescent="0.2">
      <c r="C22674" s="8" t="e">
        <f>VLOOKUP(A:A,'ITEM LIST'!A:C,3,0)</f>
        <v>#N/A</v>
      </c>
    </row>
    <row r="22675" spans="3:3" x14ac:dyDescent="0.2">
      <c r="C22675" s="8" t="e">
        <f>VLOOKUP(A:A,'ITEM LIST'!A:C,3,0)</f>
        <v>#N/A</v>
      </c>
    </row>
    <row r="22676" spans="3:3" x14ac:dyDescent="0.2">
      <c r="C22676" s="8" t="e">
        <f>VLOOKUP(A:A,'ITEM LIST'!A:C,3,0)</f>
        <v>#N/A</v>
      </c>
    </row>
    <row r="22677" spans="3:3" x14ac:dyDescent="0.2">
      <c r="C22677" s="8" t="e">
        <f>VLOOKUP(A:A,'ITEM LIST'!A:C,3,0)</f>
        <v>#N/A</v>
      </c>
    </row>
    <row r="22678" spans="3:3" x14ac:dyDescent="0.2">
      <c r="C22678" s="8" t="e">
        <f>VLOOKUP(A:A,'ITEM LIST'!A:C,3,0)</f>
        <v>#N/A</v>
      </c>
    </row>
    <row r="22679" spans="3:3" x14ac:dyDescent="0.2">
      <c r="C22679" s="8" t="e">
        <f>VLOOKUP(A:A,'ITEM LIST'!A:C,3,0)</f>
        <v>#N/A</v>
      </c>
    </row>
    <row r="22680" spans="3:3" x14ac:dyDescent="0.2">
      <c r="C22680" s="8" t="e">
        <f>VLOOKUP(A:A,'ITEM LIST'!A:C,3,0)</f>
        <v>#N/A</v>
      </c>
    </row>
    <row r="22681" spans="3:3" x14ac:dyDescent="0.2">
      <c r="C22681" s="8" t="e">
        <f>VLOOKUP(A:A,'ITEM LIST'!A:C,3,0)</f>
        <v>#N/A</v>
      </c>
    </row>
    <row r="22682" spans="3:3" x14ac:dyDescent="0.2">
      <c r="C22682" s="8" t="e">
        <f>VLOOKUP(A:A,'ITEM LIST'!A:C,3,0)</f>
        <v>#N/A</v>
      </c>
    </row>
    <row r="22683" spans="3:3" x14ac:dyDescent="0.2">
      <c r="C22683" s="8" t="e">
        <f>VLOOKUP(A:A,'ITEM LIST'!A:C,3,0)</f>
        <v>#N/A</v>
      </c>
    </row>
    <row r="22684" spans="3:3" x14ac:dyDescent="0.2">
      <c r="C22684" s="8" t="e">
        <f>VLOOKUP(A:A,'ITEM LIST'!A:C,3,0)</f>
        <v>#N/A</v>
      </c>
    </row>
    <row r="22685" spans="3:3" x14ac:dyDescent="0.2">
      <c r="C22685" s="8" t="e">
        <f>VLOOKUP(A:A,'ITEM LIST'!A:C,3,0)</f>
        <v>#N/A</v>
      </c>
    </row>
    <row r="22686" spans="3:3" x14ac:dyDescent="0.2">
      <c r="C22686" s="8" t="e">
        <f>VLOOKUP(A:A,'ITEM LIST'!A:C,3,0)</f>
        <v>#N/A</v>
      </c>
    </row>
    <row r="22687" spans="3:3" x14ac:dyDescent="0.2">
      <c r="C22687" s="8" t="e">
        <f>VLOOKUP(A:A,'ITEM LIST'!A:C,3,0)</f>
        <v>#N/A</v>
      </c>
    </row>
    <row r="22688" spans="3:3" x14ac:dyDescent="0.2">
      <c r="C22688" s="8" t="e">
        <f>VLOOKUP(A:A,'ITEM LIST'!A:C,3,0)</f>
        <v>#N/A</v>
      </c>
    </row>
    <row r="22689" spans="3:3" x14ac:dyDescent="0.2">
      <c r="C22689" s="8" t="e">
        <f>VLOOKUP(A:A,'ITEM LIST'!A:C,3,0)</f>
        <v>#N/A</v>
      </c>
    </row>
    <row r="22690" spans="3:3" x14ac:dyDescent="0.2">
      <c r="C22690" s="8" t="e">
        <f>VLOOKUP(A:A,'ITEM LIST'!A:C,3,0)</f>
        <v>#N/A</v>
      </c>
    </row>
    <row r="22691" spans="3:3" x14ac:dyDescent="0.2">
      <c r="C22691" s="8" t="e">
        <f>VLOOKUP(A:A,'ITEM LIST'!A:C,3,0)</f>
        <v>#N/A</v>
      </c>
    </row>
    <row r="22692" spans="3:3" x14ac:dyDescent="0.2">
      <c r="C22692" s="8" t="e">
        <f>VLOOKUP(A:A,'ITEM LIST'!A:C,3,0)</f>
        <v>#N/A</v>
      </c>
    </row>
    <row r="22693" spans="3:3" x14ac:dyDescent="0.2">
      <c r="C22693" s="8" t="e">
        <f>VLOOKUP(A:A,'ITEM LIST'!A:C,3,0)</f>
        <v>#N/A</v>
      </c>
    </row>
    <row r="22694" spans="3:3" x14ac:dyDescent="0.2">
      <c r="C22694" s="8" t="e">
        <f>VLOOKUP(A:A,'ITEM LIST'!A:C,3,0)</f>
        <v>#N/A</v>
      </c>
    </row>
    <row r="22695" spans="3:3" x14ac:dyDescent="0.2">
      <c r="C22695" s="8" t="e">
        <f>VLOOKUP(A:A,'ITEM LIST'!A:C,3,0)</f>
        <v>#N/A</v>
      </c>
    </row>
    <row r="22696" spans="3:3" x14ac:dyDescent="0.2">
      <c r="C22696" s="8" t="e">
        <f>VLOOKUP(A:A,'ITEM LIST'!A:C,3,0)</f>
        <v>#N/A</v>
      </c>
    </row>
    <row r="22697" spans="3:3" x14ac:dyDescent="0.2">
      <c r="C22697" s="8" t="e">
        <f>VLOOKUP(A:A,'ITEM LIST'!A:C,3,0)</f>
        <v>#N/A</v>
      </c>
    </row>
    <row r="22698" spans="3:3" x14ac:dyDescent="0.2">
      <c r="C22698" s="8" t="e">
        <f>VLOOKUP(A:A,'ITEM LIST'!A:C,3,0)</f>
        <v>#N/A</v>
      </c>
    </row>
    <row r="22699" spans="3:3" x14ac:dyDescent="0.2">
      <c r="C22699" s="8" t="e">
        <f>VLOOKUP(A:A,'ITEM LIST'!A:C,3,0)</f>
        <v>#N/A</v>
      </c>
    </row>
    <row r="22700" spans="3:3" x14ac:dyDescent="0.2">
      <c r="C22700" s="8" t="e">
        <f>VLOOKUP(A:A,'ITEM LIST'!A:C,3,0)</f>
        <v>#N/A</v>
      </c>
    </row>
    <row r="22701" spans="3:3" x14ac:dyDescent="0.2">
      <c r="C22701" s="8" t="e">
        <f>VLOOKUP(A:A,'ITEM LIST'!A:C,3,0)</f>
        <v>#N/A</v>
      </c>
    </row>
    <row r="22702" spans="3:3" x14ac:dyDescent="0.2">
      <c r="C22702" s="8" t="e">
        <f>VLOOKUP(A:A,'ITEM LIST'!A:C,3,0)</f>
        <v>#N/A</v>
      </c>
    </row>
    <row r="22703" spans="3:3" x14ac:dyDescent="0.2">
      <c r="C22703" s="8" t="e">
        <f>VLOOKUP(A:A,'ITEM LIST'!A:C,3,0)</f>
        <v>#N/A</v>
      </c>
    </row>
    <row r="22704" spans="3:3" x14ac:dyDescent="0.2">
      <c r="C22704" s="8" t="e">
        <f>VLOOKUP(A:A,'ITEM LIST'!A:C,3,0)</f>
        <v>#N/A</v>
      </c>
    </row>
    <row r="22705" spans="3:3" x14ac:dyDescent="0.2">
      <c r="C22705" s="8" t="e">
        <f>VLOOKUP(A:A,'ITEM LIST'!A:C,3,0)</f>
        <v>#N/A</v>
      </c>
    </row>
    <row r="22706" spans="3:3" x14ac:dyDescent="0.2">
      <c r="C22706" s="8" t="e">
        <f>VLOOKUP(A:A,'ITEM LIST'!A:C,3,0)</f>
        <v>#N/A</v>
      </c>
    </row>
    <row r="22707" spans="3:3" x14ac:dyDescent="0.2">
      <c r="C22707" s="8" t="e">
        <f>VLOOKUP(A:A,'ITEM LIST'!A:C,3,0)</f>
        <v>#N/A</v>
      </c>
    </row>
    <row r="22708" spans="3:3" x14ac:dyDescent="0.2">
      <c r="C22708" s="8" t="e">
        <f>VLOOKUP(A:A,'ITEM LIST'!A:C,3,0)</f>
        <v>#N/A</v>
      </c>
    </row>
    <row r="22709" spans="3:3" x14ac:dyDescent="0.2">
      <c r="C22709" s="8" t="e">
        <f>VLOOKUP(A:A,'ITEM LIST'!A:C,3,0)</f>
        <v>#N/A</v>
      </c>
    </row>
    <row r="22710" spans="3:3" x14ac:dyDescent="0.2">
      <c r="C22710" s="8" t="e">
        <f>VLOOKUP(A:A,'ITEM LIST'!A:C,3,0)</f>
        <v>#N/A</v>
      </c>
    </row>
    <row r="22711" spans="3:3" x14ac:dyDescent="0.2">
      <c r="C22711" s="8" t="e">
        <f>VLOOKUP(A:A,'ITEM LIST'!A:C,3,0)</f>
        <v>#N/A</v>
      </c>
    </row>
    <row r="22712" spans="3:3" x14ac:dyDescent="0.2">
      <c r="C22712" s="8" t="e">
        <f>VLOOKUP(A:A,'ITEM LIST'!A:C,3,0)</f>
        <v>#N/A</v>
      </c>
    </row>
    <row r="22713" spans="3:3" x14ac:dyDescent="0.2">
      <c r="C22713" s="8" t="e">
        <f>VLOOKUP(A:A,'ITEM LIST'!A:C,3,0)</f>
        <v>#N/A</v>
      </c>
    </row>
    <row r="22714" spans="3:3" x14ac:dyDescent="0.2">
      <c r="C22714" s="8" t="e">
        <f>VLOOKUP(A:A,'ITEM LIST'!A:C,3,0)</f>
        <v>#N/A</v>
      </c>
    </row>
    <row r="22715" spans="3:3" x14ac:dyDescent="0.2">
      <c r="C22715" s="8" t="e">
        <f>VLOOKUP(A:A,'ITEM LIST'!A:C,3,0)</f>
        <v>#N/A</v>
      </c>
    </row>
    <row r="22716" spans="3:3" x14ac:dyDescent="0.2">
      <c r="C22716" s="8" t="e">
        <f>VLOOKUP(A:A,'ITEM LIST'!A:C,3,0)</f>
        <v>#N/A</v>
      </c>
    </row>
    <row r="22717" spans="3:3" x14ac:dyDescent="0.2">
      <c r="C22717" s="8" t="e">
        <f>VLOOKUP(A:A,'ITEM LIST'!A:C,3,0)</f>
        <v>#N/A</v>
      </c>
    </row>
    <row r="22718" spans="3:3" x14ac:dyDescent="0.2">
      <c r="C22718" s="8" t="e">
        <f>VLOOKUP(A:A,'ITEM LIST'!A:C,3,0)</f>
        <v>#N/A</v>
      </c>
    </row>
    <row r="22719" spans="3:3" x14ac:dyDescent="0.2">
      <c r="C22719" s="8" t="e">
        <f>VLOOKUP(A:A,'ITEM LIST'!A:C,3,0)</f>
        <v>#N/A</v>
      </c>
    </row>
    <row r="22720" spans="3:3" x14ac:dyDescent="0.2">
      <c r="C22720" s="8" t="e">
        <f>VLOOKUP(A:A,'ITEM LIST'!A:C,3,0)</f>
        <v>#N/A</v>
      </c>
    </row>
    <row r="22721" spans="3:3" x14ac:dyDescent="0.2">
      <c r="C22721" s="8" t="e">
        <f>VLOOKUP(A:A,'ITEM LIST'!A:C,3,0)</f>
        <v>#N/A</v>
      </c>
    </row>
    <row r="22722" spans="3:3" x14ac:dyDescent="0.2">
      <c r="C22722" s="8" t="e">
        <f>VLOOKUP(A:A,'ITEM LIST'!A:C,3,0)</f>
        <v>#N/A</v>
      </c>
    </row>
    <row r="22723" spans="3:3" x14ac:dyDescent="0.2">
      <c r="C22723" s="8" t="e">
        <f>VLOOKUP(A:A,'ITEM LIST'!A:C,3,0)</f>
        <v>#N/A</v>
      </c>
    </row>
    <row r="22724" spans="3:3" x14ac:dyDescent="0.2">
      <c r="C22724" s="8" t="e">
        <f>VLOOKUP(A:A,'ITEM LIST'!A:C,3,0)</f>
        <v>#N/A</v>
      </c>
    </row>
    <row r="22725" spans="3:3" x14ac:dyDescent="0.2">
      <c r="C22725" s="8" t="e">
        <f>VLOOKUP(A:A,'ITEM LIST'!A:C,3,0)</f>
        <v>#N/A</v>
      </c>
    </row>
    <row r="22726" spans="3:3" x14ac:dyDescent="0.2">
      <c r="C22726" s="8" t="e">
        <f>VLOOKUP(A:A,'ITEM LIST'!A:C,3,0)</f>
        <v>#N/A</v>
      </c>
    </row>
    <row r="22727" spans="3:3" x14ac:dyDescent="0.2">
      <c r="C22727" s="8" t="e">
        <f>VLOOKUP(A:A,'ITEM LIST'!A:C,3,0)</f>
        <v>#N/A</v>
      </c>
    </row>
    <row r="22728" spans="3:3" x14ac:dyDescent="0.2">
      <c r="C22728" s="8" t="e">
        <f>VLOOKUP(A:A,'ITEM LIST'!A:C,3,0)</f>
        <v>#N/A</v>
      </c>
    </row>
    <row r="22729" spans="3:3" x14ac:dyDescent="0.2">
      <c r="C22729" s="8" t="e">
        <f>VLOOKUP(A:A,'ITEM LIST'!A:C,3,0)</f>
        <v>#N/A</v>
      </c>
    </row>
    <row r="22730" spans="3:3" x14ac:dyDescent="0.2">
      <c r="C22730" s="8" t="e">
        <f>VLOOKUP(A:A,'ITEM LIST'!A:C,3,0)</f>
        <v>#N/A</v>
      </c>
    </row>
    <row r="22731" spans="3:3" x14ac:dyDescent="0.2">
      <c r="C22731" s="8" t="e">
        <f>VLOOKUP(A:A,'ITEM LIST'!A:C,3,0)</f>
        <v>#N/A</v>
      </c>
    </row>
    <row r="22732" spans="3:3" x14ac:dyDescent="0.2">
      <c r="C22732" s="8" t="e">
        <f>VLOOKUP(A:A,'ITEM LIST'!A:C,3,0)</f>
        <v>#N/A</v>
      </c>
    </row>
    <row r="22733" spans="3:3" x14ac:dyDescent="0.2">
      <c r="C22733" s="8" t="e">
        <f>VLOOKUP(A:A,'ITEM LIST'!A:C,3,0)</f>
        <v>#N/A</v>
      </c>
    </row>
    <row r="22734" spans="3:3" x14ac:dyDescent="0.2">
      <c r="C22734" s="8" t="e">
        <f>VLOOKUP(A:A,'ITEM LIST'!A:C,3,0)</f>
        <v>#N/A</v>
      </c>
    </row>
    <row r="22735" spans="3:3" x14ac:dyDescent="0.2">
      <c r="C22735" s="8" t="e">
        <f>VLOOKUP(A:A,'ITEM LIST'!A:C,3,0)</f>
        <v>#N/A</v>
      </c>
    </row>
    <row r="22736" spans="3:3" x14ac:dyDescent="0.2">
      <c r="C22736" s="8" t="e">
        <f>VLOOKUP(A:A,'ITEM LIST'!A:C,3,0)</f>
        <v>#N/A</v>
      </c>
    </row>
    <row r="22737" spans="3:3" x14ac:dyDescent="0.2">
      <c r="C22737" s="8" t="e">
        <f>VLOOKUP(A:A,'ITEM LIST'!A:C,3,0)</f>
        <v>#N/A</v>
      </c>
    </row>
    <row r="22738" spans="3:3" x14ac:dyDescent="0.2">
      <c r="C22738" s="8" t="e">
        <f>VLOOKUP(A:A,'ITEM LIST'!A:C,3,0)</f>
        <v>#N/A</v>
      </c>
    </row>
    <row r="22739" spans="3:3" x14ac:dyDescent="0.2">
      <c r="C22739" s="8" t="e">
        <f>VLOOKUP(A:A,'ITEM LIST'!A:C,3,0)</f>
        <v>#N/A</v>
      </c>
    </row>
    <row r="22740" spans="3:3" x14ac:dyDescent="0.2">
      <c r="C22740" s="8" t="e">
        <f>VLOOKUP(A:A,'ITEM LIST'!A:C,3,0)</f>
        <v>#N/A</v>
      </c>
    </row>
    <row r="22741" spans="3:3" x14ac:dyDescent="0.2">
      <c r="C22741" s="8" t="e">
        <f>VLOOKUP(A:A,'ITEM LIST'!A:C,3,0)</f>
        <v>#N/A</v>
      </c>
    </row>
    <row r="22742" spans="3:3" x14ac:dyDescent="0.2">
      <c r="C22742" s="8" t="e">
        <f>VLOOKUP(A:A,'ITEM LIST'!A:C,3,0)</f>
        <v>#N/A</v>
      </c>
    </row>
    <row r="22743" spans="3:3" x14ac:dyDescent="0.2">
      <c r="C22743" s="8" t="e">
        <f>VLOOKUP(A:A,'ITEM LIST'!A:C,3,0)</f>
        <v>#N/A</v>
      </c>
    </row>
    <row r="22744" spans="3:3" x14ac:dyDescent="0.2">
      <c r="C22744" s="8" t="e">
        <f>VLOOKUP(A:A,'ITEM LIST'!A:C,3,0)</f>
        <v>#N/A</v>
      </c>
    </row>
    <row r="22745" spans="3:3" x14ac:dyDescent="0.2">
      <c r="C22745" s="8" t="e">
        <f>VLOOKUP(A:A,'ITEM LIST'!A:C,3,0)</f>
        <v>#N/A</v>
      </c>
    </row>
    <row r="22746" spans="3:3" x14ac:dyDescent="0.2">
      <c r="C22746" s="8" t="e">
        <f>VLOOKUP(A:A,'ITEM LIST'!A:C,3,0)</f>
        <v>#N/A</v>
      </c>
    </row>
    <row r="22747" spans="3:3" x14ac:dyDescent="0.2">
      <c r="C22747" s="8" t="e">
        <f>VLOOKUP(A:A,'ITEM LIST'!A:C,3,0)</f>
        <v>#N/A</v>
      </c>
    </row>
    <row r="22748" spans="3:3" x14ac:dyDescent="0.2">
      <c r="C22748" s="8" t="e">
        <f>VLOOKUP(A:A,'ITEM LIST'!A:C,3,0)</f>
        <v>#N/A</v>
      </c>
    </row>
    <row r="22749" spans="3:3" x14ac:dyDescent="0.2">
      <c r="C22749" s="8" t="e">
        <f>VLOOKUP(A:A,'ITEM LIST'!A:C,3,0)</f>
        <v>#N/A</v>
      </c>
    </row>
    <row r="22750" spans="3:3" x14ac:dyDescent="0.2">
      <c r="C22750" s="8" t="e">
        <f>VLOOKUP(A:A,'ITEM LIST'!A:C,3,0)</f>
        <v>#N/A</v>
      </c>
    </row>
    <row r="22751" spans="3:3" x14ac:dyDescent="0.2">
      <c r="C22751" s="8" t="e">
        <f>VLOOKUP(A:A,'ITEM LIST'!A:C,3,0)</f>
        <v>#N/A</v>
      </c>
    </row>
    <row r="22752" spans="3:3" x14ac:dyDescent="0.2">
      <c r="C22752" s="8" t="e">
        <f>VLOOKUP(A:A,'ITEM LIST'!A:C,3,0)</f>
        <v>#N/A</v>
      </c>
    </row>
    <row r="22753" spans="3:3" x14ac:dyDescent="0.2">
      <c r="C22753" s="8" t="e">
        <f>VLOOKUP(A:A,'ITEM LIST'!A:C,3,0)</f>
        <v>#N/A</v>
      </c>
    </row>
    <row r="22754" spans="3:3" x14ac:dyDescent="0.2">
      <c r="C22754" s="8" t="e">
        <f>VLOOKUP(A:A,'ITEM LIST'!A:C,3,0)</f>
        <v>#N/A</v>
      </c>
    </row>
    <row r="22755" spans="3:3" x14ac:dyDescent="0.2">
      <c r="C22755" s="8" t="e">
        <f>VLOOKUP(A:A,'ITEM LIST'!A:C,3,0)</f>
        <v>#N/A</v>
      </c>
    </row>
    <row r="22756" spans="3:3" x14ac:dyDescent="0.2">
      <c r="C22756" s="8" t="e">
        <f>VLOOKUP(A:A,'ITEM LIST'!A:C,3,0)</f>
        <v>#N/A</v>
      </c>
    </row>
    <row r="22757" spans="3:3" x14ac:dyDescent="0.2">
      <c r="C22757" s="8" t="e">
        <f>VLOOKUP(A:A,'ITEM LIST'!A:C,3,0)</f>
        <v>#N/A</v>
      </c>
    </row>
    <row r="22758" spans="3:3" x14ac:dyDescent="0.2">
      <c r="C22758" s="8" t="e">
        <f>VLOOKUP(A:A,'ITEM LIST'!A:C,3,0)</f>
        <v>#N/A</v>
      </c>
    </row>
    <row r="22759" spans="3:3" x14ac:dyDescent="0.2">
      <c r="C22759" s="8" t="e">
        <f>VLOOKUP(A:A,'ITEM LIST'!A:C,3,0)</f>
        <v>#N/A</v>
      </c>
    </row>
    <row r="22760" spans="3:3" x14ac:dyDescent="0.2">
      <c r="C22760" s="8" t="e">
        <f>VLOOKUP(A:A,'ITEM LIST'!A:C,3,0)</f>
        <v>#N/A</v>
      </c>
    </row>
    <row r="22761" spans="3:3" x14ac:dyDescent="0.2">
      <c r="C22761" s="8" t="e">
        <f>VLOOKUP(A:A,'ITEM LIST'!A:C,3,0)</f>
        <v>#N/A</v>
      </c>
    </row>
    <row r="22762" spans="3:3" x14ac:dyDescent="0.2">
      <c r="C22762" s="8" t="e">
        <f>VLOOKUP(A:A,'ITEM LIST'!A:C,3,0)</f>
        <v>#N/A</v>
      </c>
    </row>
    <row r="22763" spans="3:3" x14ac:dyDescent="0.2">
      <c r="C22763" s="8" t="e">
        <f>VLOOKUP(A:A,'ITEM LIST'!A:C,3,0)</f>
        <v>#N/A</v>
      </c>
    </row>
    <row r="22764" spans="3:3" x14ac:dyDescent="0.2">
      <c r="C22764" s="8" t="e">
        <f>VLOOKUP(A:A,'ITEM LIST'!A:C,3,0)</f>
        <v>#N/A</v>
      </c>
    </row>
    <row r="22765" spans="3:3" x14ac:dyDescent="0.2">
      <c r="C22765" s="8" t="e">
        <f>VLOOKUP(A:A,'ITEM LIST'!A:C,3,0)</f>
        <v>#N/A</v>
      </c>
    </row>
    <row r="22766" spans="3:3" x14ac:dyDescent="0.2">
      <c r="C22766" s="8" t="e">
        <f>VLOOKUP(A:A,'ITEM LIST'!A:C,3,0)</f>
        <v>#N/A</v>
      </c>
    </row>
    <row r="22767" spans="3:3" x14ac:dyDescent="0.2">
      <c r="C22767" s="8" t="e">
        <f>VLOOKUP(A:A,'ITEM LIST'!A:C,3,0)</f>
        <v>#N/A</v>
      </c>
    </row>
    <row r="22768" spans="3:3" x14ac:dyDescent="0.2">
      <c r="C22768" s="8" t="e">
        <f>VLOOKUP(A:A,'ITEM LIST'!A:C,3,0)</f>
        <v>#N/A</v>
      </c>
    </row>
    <row r="22769" spans="3:3" x14ac:dyDescent="0.2">
      <c r="C22769" s="8" t="e">
        <f>VLOOKUP(A:A,'ITEM LIST'!A:C,3,0)</f>
        <v>#N/A</v>
      </c>
    </row>
    <row r="22770" spans="3:3" x14ac:dyDescent="0.2">
      <c r="C22770" s="8" t="e">
        <f>VLOOKUP(A:A,'ITEM LIST'!A:C,3,0)</f>
        <v>#N/A</v>
      </c>
    </row>
    <row r="22771" spans="3:3" x14ac:dyDescent="0.2">
      <c r="C22771" s="8" t="e">
        <f>VLOOKUP(A:A,'ITEM LIST'!A:C,3,0)</f>
        <v>#N/A</v>
      </c>
    </row>
    <row r="22772" spans="3:3" x14ac:dyDescent="0.2">
      <c r="C22772" s="8" t="e">
        <f>VLOOKUP(A:A,'ITEM LIST'!A:C,3,0)</f>
        <v>#N/A</v>
      </c>
    </row>
    <row r="22773" spans="3:3" x14ac:dyDescent="0.2">
      <c r="C22773" s="8" t="e">
        <f>VLOOKUP(A:A,'ITEM LIST'!A:C,3,0)</f>
        <v>#N/A</v>
      </c>
    </row>
    <row r="22774" spans="3:3" x14ac:dyDescent="0.2">
      <c r="C22774" s="8" t="e">
        <f>VLOOKUP(A:A,'ITEM LIST'!A:C,3,0)</f>
        <v>#N/A</v>
      </c>
    </row>
    <row r="22775" spans="3:3" x14ac:dyDescent="0.2">
      <c r="C22775" s="8" t="e">
        <f>VLOOKUP(A:A,'ITEM LIST'!A:C,3,0)</f>
        <v>#N/A</v>
      </c>
    </row>
    <row r="22776" spans="3:3" x14ac:dyDescent="0.2">
      <c r="C22776" s="8" t="e">
        <f>VLOOKUP(A:A,'ITEM LIST'!A:C,3,0)</f>
        <v>#N/A</v>
      </c>
    </row>
    <row r="22777" spans="3:3" x14ac:dyDescent="0.2">
      <c r="C22777" s="8" t="e">
        <f>VLOOKUP(A:A,'ITEM LIST'!A:C,3,0)</f>
        <v>#N/A</v>
      </c>
    </row>
    <row r="22778" spans="3:3" x14ac:dyDescent="0.2">
      <c r="C22778" s="8" t="e">
        <f>VLOOKUP(A:A,'ITEM LIST'!A:C,3,0)</f>
        <v>#N/A</v>
      </c>
    </row>
    <row r="22779" spans="3:3" x14ac:dyDescent="0.2">
      <c r="C22779" s="8" t="e">
        <f>VLOOKUP(A:A,'ITEM LIST'!A:C,3,0)</f>
        <v>#N/A</v>
      </c>
    </row>
    <row r="22780" spans="3:3" x14ac:dyDescent="0.2">
      <c r="C22780" s="8" t="e">
        <f>VLOOKUP(A:A,'ITEM LIST'!A:C,3,0)</f>
        <v>#N/A</v>
      </c>
    </row>
    <row r="22781" spans="3:3" x14ac:dyDescent="0.2">
      <c r="C22781" s="8" t="e">
        <f>VLOOKUP(A:A,'ITEM LIST'!A:C,3,0)</f>
        <v>#N/A</v>
      </c>
    </row>
    <row r="22782" spans="3:3" x14ac:dyDescent="0.2">
      <c r="C22782" s="8" t="e">
        <f>VLOOKUP(A:A,'ITEM LIST'!A:C,3,0)</f>
        <v>#N/A</v>
      </c>
    </row>
    <row r="22783" spans="3:3" x14ac:dyDescent="0.2">
      <c r="C22783" s="8" t="e">
        <f>VLOOKUP(A:A,'ITEM LIST'!A:C,3,0)</f>
        <v>#N/A</v>
      </c>
    </row>
    <row r="22784" spans="3:3" x14ac:dyDescent="0.2">
      <c r="C22784" s="8" t="e">
        <f>VLOOKUP(A:A,'ITEM LIST'!A:C,3,0)</f>
        <v>#N/A</v>
      </c>
    </row>
    <row r="22785" spans="3:3" x14ac:dyDescent="0.2">
      <c r="C22785" s="8" t="e">
        <f>VLOOKUP(A:A,'ITEM LIST'!A:C,3,0)</f>
        <v>#N/A</v>
      </c>
    </row>
    <row r="22786" spans="3:3" x14ac:dyDescent="0.2">
      <c r="C22786" s="8" t="e">
        <f>VLOOKUP(A:A,'ITEM LIST'!A:C,3,0)</f>
        <v>#N/A</v>
      </c>
    </row>
    <row r="22787" spans="3:3" x14ac:dyDescent="0.2">
      <c r="C22787" s="8" t="e">
        <f>VLOOKUP(A:A,'ITEM LIST'!A:C,3,0)</f>
        <v>#N/A</v>
      </c>
    </row>
    <row r="22788" spans="3:3" x14ac:dyDescent="0.2">
      <c r="C22788" s="8" t="e">
        <f>VLOOKUP(A:A,'ITEM LIST'!A:C,3,0)</f>
        <v>#N/A</v>
      </c>
    </row>
    <row r="22789" spans="3:3" x14ac:dyDescent="0.2">
      <c r="C22789" s="8" t="e">
        <f>VLOOKUP(A:A,'ITEM LIST'!A:C,3,0)</f>
        <v>#N/A</v>
      </c>
    </row>
    <row r="22790" spans="3:3" x14ac:dyDescent="0.2">
      <c r="C22790" s="8" t="e">
        <f>VLOOKUP(A:A,'ITEM LIST'!A:C,3,0)</f>
        <v>#N/A</v>
      </c>
    </row>
    <row r="22791" spans="3:3" x14ac:dyDescent="0.2">
      <c r="C22791" s="8" t="e">
        <f>VLOOKUP(A:A,'ITEM LIST'!A:C,3,0)</f>
        <v>#N/A</v>
      </c>
    </row>
    <row r="22792" spans="3:3" x14ac:dyDescent="0.2">
      <c r="C22792" s="8" t="e">
        <f>VLOOKUP(A:A,'ITEM LIST'!A:C,3,0)</f>
        <v>#N/A</v>
      </c>
    </row>
    <row r="22793" spans="3:3" x14ac:dyDescent="0.2">
      <c r="C22793" s="8" t="e">
        <f>VLOOKUP(A:A,'ITEM LIST'!A:C,3,0)</f>
        <v>#N/A</v>
      </c>
    </row>
    <row r="22794" spans="3:3" x14ac:dyDescent="0.2">
      <c r="C22794" s="8" t="e">
        <f>VLOOKUP(A:A,'ITEM LIST'!A:C,3,0)</f>
        <v>#N/A</v>
      </c>
    </row>
    <row r="22795" spans="3:3" x14ac:dyDescent="0.2">
      <c r="C22795" s="8" t="e">
        <f>VLOOKUP(A:A,'ITEM LIST'!A:C,3,0)</f>
        <v>#N/A</v>
      </c>
    </row>
    <row r="22796" spans="3:3" x14ac:dyDescent="0.2">
      <c r="C22796" s="8" t="e">
        <f>VLOOKUP(A:A,'ITEM LIST'!A:C,3,0)</f>
        <v>#N/A</v>
      </c>
    </row>
    <row r="22797" spans="3:3" x14ac:dyDescent="0.2">
      <c r="C22797" s="8" t="e">
        <f>VLOOKUP(A:A,'ITEM LIST'!A:C,3,0)</f>
        <v>#N/A</v>
      </c>
    </row>
    <row r="22798" spans="3:3" x14ac:dyDescent="0.2">
      <c r="C22798" s="8" t="e">
        <f>VLOOKUP(A:A,'ITEM LIST'!A:C,3,0)</f>
        <v>#N/A</v>
      </c>
    </row>
    <row r="22799" spans="3:3" x14ac:dyDescent="0.2">
      <c r="C22799" s="8" t="e">
        <f>VLOOKUP(A:A,'ITEM LIST'!A:C,3,0)</f>
        <v>#N/A</v>
      </c>
    </row>
    <row r="22800" spans="3:3" x14ac:dyDescent="0.2">
      <c r="C22800" s="8" t="e">
        <f>VLOOKUP(A:A,'ITEM LIST'!A:C,3,0)</f>
        <v>#N/A</v>
      </c>
    </row>
    <row r="22801" spans="3:3" x14ac:dyDescent="0.2">
      <c r="C22801" s="8" t="e">
        <f>VLOOKUP(A:A,'ITEM LIST'!A:C,3,0)</f>
        <v>#N/A</v>
      </c>
    </row>
    <row r="22802" spans="3:3" x14ac:dyDescent="0.2">
      <c r="C22802" s="8" t="e">
        <f>VLOOKUP(A:A,'ITEM LIST'!A:C,3,0)</f>
        <v>#N/A</v>
      </c>
    </row>
    <row r="22803" spans="3:3" x14ac:dyDescent="0.2">
      <c r="C22803" s="8" t="e">
        <f>VLOOKUP(A:A,'ITEM LIST'!A:C,3,0)</f>
        <v>#N/A</v>
      </c>
    </row>
    <row r="22804" spans="3:3" x14ac:dyDescent="0.2">
      <c r="C22804" s="8" t="e">
        <f>VLOOKUP(A:A,'ITEM LIST'!A:C,3,0)</f>
        <v>#N/A</v>
      </c>
    </row>
    <row r="22805" spans="3:3" x14ac:dyDescent="0.2">
      <c r="C22805" s="8" t="e">
        <f>VLOOKUP(A:A,'ITEM LIST'!A:C,3,0)</f>
        <v>#N/A</v>
      </c>
    </row>
    <row r="22806" spans="3:3" x14ac:dyDescent="0.2">
      <c r="C22806" s="8" t="e">
        <f>VLOOKUP(A:A,'ITEM LIST'!A:C,3,0)</f>
        <v>#N/A</v>
      </c>
    </row>
    <row r="22807" spans="3:3" x14ac:dyDescent="0.2">
      <c r="C22807" s="8" t="e">
        <f>VLOOKUP(A:A,'ITEM LIST'!A:C,3,0)</f>
        <v>#N/A</v>
      </c>
    </row>
    <row r="22808" spans="3:3" x14ac:dyDescent="0.2">
      <c r="C22808" s="8" t="e">
        <f>VLOOKUP(A:A,'ITEM LIST'!A:C,3,0)</f>
        <v>#N/A</v>
      </c>
    </row>
    <row r="22809" spans="3:3" x14ac:dyDescent="0.2">
      <c r="C22809" s="8" t="e">
        <f>VLOOKUP(A:A,'ITEM LIST'!A:C,3,0)</f>
        <v>#N/A</v>
      </c>
    </row>
    <row r="22810" spans="3:3" x14ac:dyDescent="0.2">
      <c r="C22810" s="8" t="e">
        <f>VLOOKUP(A:A,'ITEM LIST'!A:C,3,0)</f>
        <v>#N/A</v>
      </c>
    </row>
    <row r="22811" spans="3:3" x14ac:dyDescent="0.2">
      <c r="C22811" s="8" t="e">
        <f>VLOOKUP(A:A,'ITEM LIST'!A:C,3,0)</f>
        <v>#N/A</v>
      </c>
    </row>
    <row r="22812" spans="3:3" x14ac:dyDescent="0.2">
      <c r="C22812" s="8" t="e">
        <f>VLOOKUP(A:A,'ITEM LIST'!A:C,3,0)</f>
        <v>#N/A</v>
      </c>
    </row>
    <row r="22813" spans="3:3" x14ac:dyDescent="0.2">
      <c r="C22813" s="8" t="e">
        <f>VLOOKUP(A:A,'ITEM LIST'!A:C,3,0)</f>
        <v>#N/A</v>
      </c>
    </row>
    <row r="22814" spans="3:3" x14ac:dyDescent="0.2">
      <c r="C22814" s="8" t="e">
        <f>VLOOKUP(A:A,'ITEM LIST'!A:C,3,0)</f>
        <v>#N/A</v>
      </c>
    </row>
    <row r="22815" spans="3:3" x14ac:dyDescent="0.2">
      <c r="C22815" s="8" t="e">
        <f>VLOOKUP(A:A,'ITEM LIST'!A:C,3,0)</f>
        <v>#N/A</v>
      </c>
    </row>
    <row r="22816" spans="3:3" x14ac:dyDescent="0.2">
      <c r="C22816" s="8" t="e">
        <f>VLOOKUP(A:A,'ITEM LIST'!A:C,3,0)</f>
        <v>#N/A</v>
      </c>
    </row>
    <row r="22817" spans="3:3" x14ac:dyDescent="0.2">
      <c r="C22817" s="8" t="e">
        <f>VLOOKUP(A:A,'ITEM LIST'!A:C,3,0)</f>
        <v>#N/A</v>
      </c>
    </row>
    <row r="22818" spans="3:3" x14ac:dyDescent="0.2">
      <c r="C22818" s="8" t="e">
        <f>VLOOKUP(A:A,'ITEM LIST'!A:C,3,0)</f>
        <v>#N/A</v>
      </c>
    </row>
    <row r="22819" spans="3:3" x14ac:dyDescent="0.2">
      <c r="C22819" s="8" t="e">
        <f>VLOOKUP(A:A,'ITEM LIST'!A:C,3,0)</f>
        <v>#N/A</v>
      </c>
    </row>
    <row r="22820" spans="3:3" x14ac:dyDescent="0.2">
      <c r="C22820" s="8" t="e">
        <f>VLOOKUP(A:A,'ITEM LIST'!A:C,3,0)</f>
        <v>#N/A</v>
      </c>
    </row>
    <row r="22821" spans="3:3" x14ac:dyDescent="0.2">
      <c r="C22821" s="8" t="e">
        <f>VLOOKUP(A:A,'ITEM LIST'!A:C,3,0)</f>
        <v>#N/A</v>
      </c>
    </row>
    <row r="22822" spans="3:3" x14ac:dyDescent="0.2">
      <c r="C22822" s="8" t="e">
        <f>VLOOKUP(A:A,'ITEM LIST'!A:C,3,0)</f>
        <v>#N/A</v>
      </c>
    </row>
    <row r="22823" spans="3:3" x14ac:dyDescent="0.2">
      <c r="C22823" s="8" t="e">
        <f>VLOOKUP(A:A,'ITEM LIST'!A:C,3,0)</f>
        <v>#N/A</v>
      </c>
    </row>
    <row r="22824" spans="3:3" x14ac:dyDescent="0.2">
      <c r="C22824" s="8" t="e">
        <f>VLOOKUP(A:A,'ITEM LIST'!A:C,3,0)</f>
        <v>#N/A</v>
      </c>
    </row>
    <row r="22825" spans="3:3" x14ac:dyDescent="0.2">
      <c r="C22825" s="8" t="e">
        <f>VLOOKUP(A:A,'ITEM LIST'!A:C,3,0)</f>
        <v>#N/A</v>
      </c>
    </row>
    <row r="22826" spans="3:3" x14ac:dyDescent="0.2">
      <c r="C22826" s="8" t="e">
        <f>VLOOKUP(A:A,'ITEM LIST'!A:C,3,0)</f>
        <v>#N/A</v>
      </c>
    </row>
    <row r="22827" spans="3:3" x14ac:dyDescent="0.2">
      <c r="C22827" s="8" t="e">
        <f>VLOOKUP(A:A,'ITEM LIST'!A:C,3,0)</f>
        <v>#N/A</v>
      </c>
    </row>
    <row r="22828" spans="3:3" x14ac:dyDescent="0.2">
      <c r="C22828" s="8" t="e">
        <f>VLOOKUP(A:A,'ITEM LIST'!A:C,3,0)</f>
        <v>#N/A</v>
      </c>
    </row>
    <row r="22829" spans="3:3" x14ac:dyDescent="0.2">
      <c r="C22829" s="8" t="e">
        <f>VLOOKUP(A:A,'ITEM LIST'!A:C,3,0)</f>
        <v>#N/A</v>
      </c>
    </row>
    <row r="22830" spans="3:3" x14ac:dyDescent="0.2">
      <c r="C22830" s="8" t="e">
        <f>VLOOKUP(A:A,'ITEM LIST'!A:C,3,0)</f>
        <v>#N/A</v>
      </c>
    </row>
    <row r="22831" spans="3:3" x14ac:dyDescent="0.2">
      <c r="C22831" s="8" t="e">
        <f>VLOOKUP(A:A,'ITEM LIST'!A:C,3,0)</f>
        <v>#N/A</v>
      </c>
    </row>
    <row r="22832" spans="3:3" x14ac:dyDescent="0.2">
      <c r="C22832" s="8" t="e">
        <f>VLOOKUP(A:A,'ITEM LIST'!A:C,3,0)</f>
        <v>#N/A</v>
      </c>
    </row>
    <row r="22833" spans="3:3" x14ac:dyDescent="0.2">
      <c r="C22833" s="8" t="e">
        <f>VLOOKUP(A:A,'ITEM LIST'!A:C,3,0)</f>
        <v>#N/A</v>
      </c>
    </row>
    <row r="22834" spans="3:3" x14ac:dyDescent="0.2">
      <c r="C22834" s="8" t="e">
        <f>VLOOKUP(A:A,'ITEM LIST'!A:C,3,0)</f>
        <v>#N/A</v>
      </c>
    </row>
    <row r="22835" spans="3:3" x14ac:dyDescent="0.2">
      <c r="C22835" s="8" t="e">
        <f>VLOOKUP(A:A,'ITEM LIST'!A:C,3,0)</f>
        <v>#N/A</v>
      </c>
    </row>
    <row r="22836" spans="3:3" x14ac:dyDescent="0.2">
      <c r="C22836" s="8" t="e">
        <f>VLOOKUP(A:A,'ITEM LIST'!A:C,3,0)</f>
        <v>#N/A</v>
      </c>
    </row>
    <row r="22837" spans="3:3" x14ac:dyDescent="0.2">
      <c r="C22837" s="8" t="e">
        <f>VLOOKUP(A:A,'ITEM LIST'!A:C,3,0)</f>
        <v>#N/A</v>
      </c>
    </row>
    <row r="22838" spans="3:3" x14ac:dyDescent="0.2">
      <c r="C22838" s="8" t="e">
        <f>VLOOKUP(A:A,'ITEM LIST'!A:C,3,0)</f>
        <v>#N/A</v>
      </c>
    </row>
    <row r="22839" spans="3:3" x14ac:dyDescent="0.2">
      <c r="C22839" s="8" t="e">
        <f>VLOOKUP(A:A,'ITEM LIST'!A:C,3,0)</f>
        <v>#N/A</v>
      </c>
    </row>
    <row r="22840" spans="3:3" x14ac:dyDescent="0.2">
      <c r="C22840" s="8" t="e">
        <f>VLOOKUP(A:A,'ITEM LIST'!A:C,3,0)</f>
        <v>#N/A</v>
      </c>
    </row>
    <row r="22841" spans="3:3" x14ac:dyDescent="0.2">
      <c r="C22841" s="8" t="e">
        <f>VLOOKUP(A:A,'ITEM LIST'!A:C,3,0)</f>
        <v>#N/A</v>
      </c>
    </row>
    <row r="22842" spans="3:3" x14ac:dyDescent="0.2">
      <c r="C22842" s="8" t="e">
        <f>VLOOKUP(A:A,'ITEM LIST'!A:C,3,0)</f>
        <v>#N/A</v>
      </c>
    </row>
    <row r="22843" spans="3:3" x14ac:dyDescent="0.2">
      <c r="C22843" s="8" t="e">
        <f>VLOOKUP(A:A,'ITEM LIST'!A:C,3,0)</f>
        <v>#N/A</v>
      </c>
    </row>
    <row r="22844" spans="3:3" x14ac:dyDescent="0.2">
      <c r="C22844" s="8" t="e">
        <f>VLOOKUP(A:A,'ITEM LIST'!A:C,3,0)</f>
        <v>#N/A</v>
      </c>
    </row>
    <row r="22845" spans="3:3" x14ac:dyDescent="0.2">
      <c r="C22845" s="8" t="e">
        <f>VLOOKUP(A:A,'ITEM LIST'!A:C,3,0)</f>
        <v>#N/A</v>
      </c>
    </row>
    <row r="22846" spans="3:3" x14ac:dyDescent="0.2">
      <c r="C22846" s="8" t="e">
        <f>VLOOKUP(A:A,'ITEM LIST'!A:C,3,0)</f>
        <v>#N/A</v>
      </c>
    </row>
    <row r="22847" spans="3:3" x14ac:dyDescent="0.2">
      <c r="C22847" s="8" t="e">
        <f>VLOOKUP(A:A,'ITEM LIST'!A:C,3,0)</f>
        <v>#N/A</v>
      </c>
    </row>
    <row r="22848" spans="3:3" x14ac:dyDescent="0.2">
      <c r="C22848" s="8" t="e">
        <f>VLOOKUP(A:A,'ITEM LIST'!A:C,3,0)</f>
        <v>#N/A</v>
      </c>
    </row>
    <row r="22849" spans="3:3" x14ac:dyDescent="0.2">
      <c r="C22849" s="8" t="e">
        <f>VLOOKUP(A:A,'ITEM LIST'!A:C,3,0)</f>
        <v>#N/A</v>
      </c>
    </row>
    <row r="22850" spans="3:3" x14ac:dyDescent="0.2">
      <c r="C22850" s="8" t="e">
        <f>VLOOKUP(A:A,'ITEM LIST'!A:C,3,0)</f>
        <v>#N/A</v>
      </c>
    </row>
    <row r="22851" spans="3:3" x14ac:dyDescent="0.2">
      <c r="C22851" s="8" t="e">
        <f>VLOOKUP(A:A,'ITEM LIST'!A:C,3,0)</f>
        <v>#N/A</v>
      </c>
    </row>
    <row r="22852" spans="3:3" x14ac:dyDescent="0.2">
      <c r="C22852" s="8" t="e">
        <f>VLOOKUP(A:A,'ITEM LIST'!A:C,3,0)</f>
        <v>#N/A</v>
      </c>
    </row>
    <row r="22853" spans="3:3" x14ac:dyDescent="0.2">
      <c r="C22853" s="8" t="e">
        <f>VLOOKUP(A:A,'ITEM LIST'!A:C,3,0)</f>
        <v>#N/A</v>
      </c>
    </row>
    <row r="22854" spans="3:3" x14ac:dyDescent="0.2">
      <c r="C22854" s="8" t="e">
        <f>VLOOKUP(A:A,'ITEM LIST'!A:C,3,0)</f>
        <v>#N/A</v>
      </c>
    </row>
    <row r="22855" spans="3:3" x14ac:dyDescent="0.2">
      <c r="C22855" s="8" t="e">
        <f>VLOOKUP(A:A,'ITEM LIST'!A:C,3,0)</f>
        <v>#N/A</v>
      </c>
    </row>
    <row r="22856" spans="3:3" x14ac:dyDescent="0.2">
      <c r="C22856" s="8" t="e">
        <f>VLOOKUP(A:A,'ITEM LIST'!A:C,3,0)</f>
        <v>#N/A</v>
      </c>
    </row>
    <row r="22857" spans="3:3" x14ac:dyDescent="0.2">
      <c r="C22857" s="8" t="e">
        <f>VLOOKUP(A:A,'ITEM LIST'!A:C,3,0)</f>
        <v>#N/A</v>
      </c>
    </row>
    <row r="22858" spans="3:3" x14ac:dyDescent="0.2">
      <c r="C22858" s="8" t="e">
        <f>VLOOKUP(A:A,'ITEM LIST'!A:C,3,0)</f>
        <v>#N/A</v>
      </c>
    </row>
    <row r="22859" spans="3:3" x14ac:dyDescent="0.2">
      <c r="C22859" s="8" t="e">
        <f>VLOOKUP(A:A,'ITEM LIST'!A:C,3,0)</f>
        <v>#N/A</v>
      </c>
    </row>
    <row r="22860" spans="3:3" x14ac:dyDescent="0.2">
      <c r="C22860" s="8" t="e">
        <f>VLOOKUP(A:A,'ITEM LIST'!A:C,3,0)</f>
        <v>#N/A</v>
      </c>
    </row>
    <row r="22861" spans="3:3" x14ac:dyDescent="0.2">
      <c r="C22861" s="8" t="e">
        <f>VLOOKUP(A:A,'ITEM LIST'!A:C,3,0)</f>
        <v>#N/A</v>
      </c>
    </row>
    <row r="22862" spans="3:3" x14ac:dyDescent="0.2">
      <c r="C22862" s="8" t="e">
        <f>VLOOKUP(A:A,'ITEM LIST'!A:C,3,0)</f>
        <v>#N/A</v>
      </c>
    </row>
    <row r="22863" spans="3:3" x14ac:dyDescent="0.2">
      <c r="C22863" s="8" t="e">
        <f>VLOOKUP(A:A,'ITEM LIST'!A:C,3,0)</f>
        <v>#N/A</v>
      </c>
    </row>
    <row r="22864" spans="3:3" x14ac:dyDescent="0.2">
      <c r="C22864" s="8" t="e">
        <f>VLOOKUP(A:A,'ITEM LIST'!A:C,3,0)</f>
        <v>#N/A</v>
      </c>
    </row>
    <row r="22865" spans="3:3" x14ac:dyDescent="0.2">
      <c r="C22865" s="8" t="e">
        <f>VLOOKUP(A:A,'ITEM LIST'!A:C,3,0)</f>
        <v>#N/A</v>
      </c>
    </row>
    <row r="22866" spans="3:3" x14ac:dyDescent="0.2">
      <c r="C22866" s="8" t="e">
        <f>VLOOKUP(A:A,'ITEM LIST'!A:C,3,0)</f>
        <v>#N/A</v>
      </c>
    </row>
    <row r="22867" spans="3:3" x14ac:dyDescent="0.2">
      <c r="C22867" s="8" t="e">
        <f>VLOOKUP(A:A,'ITEM LIST'!A:C,3,0)</f>
        <v>#N/A</v>
      </c>
    </row>
    <row r="22868" spans="3:3" x14ac:dyDescent="0.2">
      <c r="C22868" s="8" t="e">
        <f>VLOOKUP(A:A,'ITEM LIST'!A:C,3,0)</f>
        <v>#N/A</v>
      </c>
    </row>
    <row r="22869" spans="3:3" x14ac:dyDescent="0.2">
      <c r="C22869" s="8" t="e">
        <f>VLOOKUP(A:A,'ITEM LIST'!A:C,3,0)</f>
        <v>#N/A</v>
      </c>
    </row>
    <row r="22870" spans="3:3" x14ac:dyDescent="0.2">
      <c r="C22870" s="8" t="e">
        <f>VLOOKUP(A:A,'ITEM LIST'!A:C,3,0)</f>
        <v>#N/A</v>
      </c>
    </row>
    <row r="22871" spans="3:3" x14ac:dyDescent="0.2">
      <c r="C22871" s="8" t="e">
        <f>VLOOKUP(A:A,'ITEM LIST'!A:C,3,0)</f>
        <v>#N/A</v>
      </c>
    </row>
    <row r="22872" spans="3:3" x14ac:dyDescent="0.2">
      <c r="C22872" s="8" t="e">
        <f>VLOOKUP(A:A,'ITEM LIST'!A:C,3,0)</f>
        <v>#N/A</v>
      </c>
    </row>
    <row r="22873" spans="3:3" x14ac:dyDescent="0.2">
      <c r="C22873" s="8" t="e">
        <f>VLOOKUP(A:A,'ITEM LIST'!A:C,3,0)</f>
        <v>#N/A</v>
      </c>
    </row>
    <row r="22874" spans="3:3" x14ac:dyDescent="0.2">
      <c r="C22874" s="8" t="e">
        <f>VLOOKUP(A:A,'ITEM LIST'!A:C,3,0)</f>
        <v>#N/A</v>
      </c>
    </row>
    <row r="22875" spans="3:3" x14ac:dyDescent="0.2">
      <c r="C22875" s="8" t="e">
        <f>VLOOKUP(A:A,'ITEM LIST'!A:C,3,0)</f>
        <v>#N/A</v>
      </c>
    </row>
    <row r="22876" spans="3:3" x14ac:dyDescent="0.2">
      <c r="C22876" s="8" t="e">
        <f>VLOOKUP(A:A,'ITEM LIST'!A:C,3,0)</f>
        <v>#N/A</v>
      </c>
    </row>
    <row r="22877" spans="3:3" x14ac:dyDescent="0.2">
      <c r="C22877" s="8" t="e">
        <f>VLOOKUP(A:A,'ITEM LIST'!A:C,3,0)</f>
        <v>#N/A</v>
      </c>
    </row>
    <row r="22878" spans="3:3" x14ac:dyDescent="0.2">
      <c r="C22878" s="8" t="e">
        <f>VLOOKUP(A:A,'ITEM LIST'!A:C,3,0)</f>
        <v>#N/A</v>
      </c>
    </row>
    <row r="22879" spans="3:3" x14ac:dyDescent="0.2">
      <c r="C22879" s="8" t="e">
        <f>VLOOKUP(A:A,'ITEM LIST'!A:C,3,0)</f>
        <v>#N/A</v>
      </c>
    </row>
    <row r="22880" spans="3:3" x14ac:dyDescent="0.2">
      <c r="C22880" s="8" t="e">
        <f>VLOOKUP(A:A,'ITEM LIST'!A:C,3,0)</f>
        <v>#N/A</v>
      </c>
    </row>
    <row r="22881" spans="3:3" x14ac:dyDescent="0.2">
      <c r="C22881" s="8" t="e">
        <f>VLOOKUP(A:A,'ITEM LIST'!A:C,3,0)</f>
        <v>#N/A</v>
      </c>
    </row>
    <row r="22882" spans="3:3" x14ac:dyDescent="0.2">
      <c r="C22882" s="8" t="e">
        <f>VLOOKUP(A:A,'ITEM LIST'!A:C,3,0)</f>
        <v>#N/A</v>
      </c>
    </row>
    <row r="22883" spans="3:3" x14ac:dyDescent="0.2">
      <c r="C22883" s="8" t="e">
        <f>VLOOKUP(A:A,'ITEM LIST'!A:C,3,0)</f>
        <v>#N/A</v>
      </c>
    </row>
    <row r="22884" spans="3:3" x14ac:dyDescent="0.2">
      <c r="C22884" s="8" t="e">
        <f>VLOOKUP(A:A,'ITEM LIST'!A:C,3,0)</f>
        <v>#N/A</v>
      </c>
    </row>
    <row r="22885" spans="3:3" x14ac:dyDescent="0.2">
      <c r="C22885" s="8" t="e">
        <f>VLOOKUP(A:A,'ITEM LIST'!A:C,3,0)</f>
        <v>#N/A</v>
      </c>
    </row>
    <row r="22886" spans="3:3" x14ac:dyDescent="0.2">
      <c r="C22886" s="8" t="e">
        <f>VLOOKUP(A:A,'ITEM LIST'!A:C,3,0)</f>
        <v>#N/A</v>
      </c>
    </row>
    <row r="22887" spans="3:3" x14ac:dyDescent="0.2">
      <c r="C22887" s="8" t="e">
        <f>VLOOKUP(A:A,'ITEM LIST'!A:C,3,0)</f>
        <v>#N/A</v>
      </c>
    </row>
    <row r="22888" spans="3:3" x14ac:dyDescent="0.2">
      <c r="C22888" s="8" t="e">
        <f>VLOOKUP(A:A,'ITEM LIST'!A:C,3,0)</f>
        <v>#N/A</v>
      </c>
    </row>
    <row r="22889" spans="3:3" x14ac:dyDescent="0.2">
      <c r="C22889" s="8" t="e">
        <f>VLOOKUP(A:A,'ITEM LIST'!A:C,3,0)</f>
        <v>#N/A</v>
      </c>
    </row>
    <row r="22890" spans="3:3" x14ac:dyDescent="0.2">
      <c r="C22890" s="8" t="e">
        <f>VLOOKUP(A:A,'ITEM LIST'!A:C,3,0)</f>
        <v>#N/A</v>
      </c>
    </row>
    <row r="22891" spans="3:3" x14ac:dyDescent="0.2">
      <c r="C22891" s="8" t="e">
        <f>VLOOKUP(A:A,'ITEM LIST'!A:C,3,0)</f>
        <v>#N/A</v>
      </c>
    </row>
    <row r="22892" spans="3:3" x14ac:dyDescent="0.2">
      <c r="C22892" s="8" t="e">
        <f>VLOOKUP(A:A,'ITEM LIST'!A:C,3,0)</f>
        <v>#N/A</v>
      </c>
    </row>
    <row r="22893" spans="3:3" x14ac:dyDescent="0.2">
      <c r="C22893" s="8" t="e">
        <f>VLOOKUP(A:A,'ITEM LIST'!A:C,3,0)</f>
        <v>#N/A</v>
      </c>
    </row>
    <row r="22894" spans="3:3" x14ac:dyDescent="0.2">
      <c r="C22894" s="8" t="e">
        <f>VLOOKUP(A:A,'ITEM LIST'!A:C,3,0)</f>
        <v>#N/A</v>
      </c>
    </row>
    <row r="22895" spans="3:3" x14ac:dyDescent="0.2">
      <c r="C22895" s="8" t="e">
        <f>VLOOKUP(A:A,'ITEM LIST'!A:C,3,0)</f>
        <v>#N/A</v>
      </c>
    </row>
    <row r="22896" spans="3:3" x14ac:dyDescent="0.2">
      <c r="C22896" s="8" t="e">
        <f>VLOOKUP(A:A,'ITEM LIST'!A:C,3,0)</f>
        <v>#N/A</v>
      </c>
    </row>
    <row r="22897" spans="3:3" x14ac:dyDescent="0.2">
      <c r="C22897" s="8" t="e">
        <f>VLOOKUP(A:A,'ITEM LIST'!A:C,3,0)</f>
        <v>#N/A</v>
      </c>
    </row>
    <row r="22898" spans="3:3" x14ac:dyDescent="0.2">
      <c r="C22898" s="8" t="e">
        <f>VLOOKUP(A:A,'ITEM LIST'!A:C,3,0)</f>
        <v>#N/A</v>
      </c>
    </row>
    <row r="22899" spans="3:3" x14ac:dyDescent="0.2">
      <c r="C22899" s="8" t="e">
        <f>VLOOKUP(A:A,'ITEM LIST'!A:C,3,0)</f>
        <v>#N/A</v>
      </c>
    </row>
    <row r="22900" spans="3:3" x14ac:dyDescent="0.2">
      <c r="C22900" s="8" t="e">
        <f>VLOOKUP(A:A,'ITEM LIST'!A:C,3,0)</f>
        <v>#N/A</v>
      </c>
    </row>
    <row r="22901" spans="3:3" x14ac:dyDescent="0.2">
      <c r="C22901" s="8" t="e">
        <f>VLOOKUP(A:A,'ITEM LIST'!A:C,3,0)</f>
        <v>#N/A</v>
      </c>
    </row>
    <row r="22902" spans="3:3" x14ac:dyDescent="0.2">
      <c r="C22902" s="8" t="e">
        <f>VLOOKUP(A:A,'ITEM LIST'!A:C,3,0)</f>
        <v>#N/A</v>
      </c>
    </row>
    <row r="22903" spans="3:3" x14ac:dyDescent="0.2">
      <c r="C22903" s="8" t="e">
        <f>VLOOKUP(A:A,'ITEM LIST'!A:C,3,0)</f>
        <v>#N/A</v>
      </c>
    </row>
    <row r="22904" spans="3:3" x14ac:dyDescent="0.2">
      <c r="C22904" s="8" t="e">
        <f>VLOOKUP(A:A,'ITEM LIST'!A:C,3,0)</f>
        <v>#N/A</v>
      </c>
    </row>
    <row r="22905" spans="3:3" x14ac:dyDescent="0.2">
      <c r="C22905" s="8" t="e">
        <f>VLOOKUP(A:A,'ITEM LIST'!A:C,3,0)</f>
        <v>#N/A</v>
      </c>
    </row>
    <row r="22906" spans="3:3" x14ac:dyDescent="0.2">
      <c r="C22906" s="8" t="e">
        <f>VLOOKUP(A:A,'ITEM LIST'!A:C,3,0)</f>
        <v>#N/A</v>
      </c>
    </row>
    <row r="22907" spans="3:3" x14ac:dyDescent="0.2">
      <c r="C22907" s="8" t="e">
        <f>VLOOKUP(A:A,'ITEM LIST'!A:C,3,0)</f>
        <v>#N/A</v>
      </c>
    </row>
    <row r="22908" spans="3:3" x14ac:dyDescent="0.2">
      <c r="C22908" s="8" t="e">
        <f>VLOOKUP(A:A,'ITEM LIST'!A:C,3,0)</f>
        <v>#N/A</v>
      </c>
    </row>
    <row r="22909" spans="3:3" x14ac:dyDescent="0.2">
      <c r="C22909" s="8" t="e">
        <f>VLOOKUP(A:A,'ITEM LIST'!A:C,3,0)</f>
        <v>#N/A</v>
      </c>
    </row>
    <row r="22910" spans="3:3" x14ac:dyDescent="0.2">
      <c r="C22910" s="8" t="e">
        <f>VLOOKUP(A:A,'ITEM LIST'!A:C,3,0)</f>
        <v>#N/A</v>
      </c>
    </row>
    <row r="22911" spans="3:3" x14ac:dyDescent="0.2">
      <c r="C22911" s="8" t="e">
        <f>VLOOKUP(A:A,'ITEM LIST'!A:C,3,0)</f>
        <v>#N/A</v>
      </c>
    </row>
    <row r="22912" spans="3:3" x14ac:dyDescent="0.2">
      <c r="C22912" s="8" t="e">
        <f>VLOOKUP(A:A,'ITEM LIST'!A:C,3,0)</f>
        <v>#N/A</v>
      </c>
    </row>
    <row r="22913" spans="3:3" x14ac:dyDescent="0.2">
      <c r="C22913" s="8" t="e">
        <f>VLOOKUP(A:A,'ITEM LIST'!A:C,3,0)</f>
        <v>#N/A</v>
      </c>
    </row>
    <row r="22914" spans="3:3" x14ac:dyDescent="0.2">
      <c r="C22914" s="8" t="e">
        <f>VLOOKUP(A:A,'ITEM LIST'!A:C,3,0)</f>
        <v>#N/A</v>
      </c>
    </row>
    <row r="22915" spans="3:3" x14ac:dyDescent="0.2">
      <c r="C22915" s="8" t="e">
        <f>VLOOKUP(A:A,'ITEM LIST'!A:C,3,0)</f>
        <v>#N/A</v>
      </c>
    </row>
    <row r="22916" spans="3:3" x14ac:dyDescent="0.2">
      <c r="C22916" s="8" t="e">
        <f>VLOOKUP(A:A,'ITEM LIST'!A:C,3,0)</f>
        <v>#N/A</v>
      </c>
    </row>
    <row r="22917" spans="3:3" x14ac:dyDescent="0.2">
      <c r="C22917" s="8" t="e">
        <f>VLOOKUP(A:A,'ITEM LIST'!A:C,3,0)</f>
        <v>#N/A</v>
      </c>
    </row>
    <row r="22918" spans="3:3" x14ac:dyDescent="0.2">
      <c r="C22918" s="8" t="e">
        <f>VLOOKUP(A:A,'ITEM LIST'!A:C,3,0)</f>
        <v>#N/A</v>
      </c>
    </row>
    <row r="22919" spans="3:3" x14ac:dyDescent="0.2">
      <c r="C22919" s="8" t="e">
        <f>VLOOKUP(A:A,'ITEM LIST'!A:C,3,0)</f>
        <v>#N/A</v>
      </c>
    </row>
    <row r="22920" spans="3:3" x14ac:dyDescent="0.2">
      <c r="C22920" s="8" t="e">
        <f>VLOOKUP(A:A,'ITEM LIST'!A:C,3,0)</f>
        <v>#N/A</v>
      </c>
    </row>
    <row r="22921" spans="3:3" x14ac:dyDescent="0.2">
      <c r="C22921" s="8" t="e">
        <f>VLOOKUP(A:A,'ITEM LIST'!A:C,3,0)</f>
        <v>#N/A</v>
      </c>
    </row>
    <row r="22922" spans="3:3" x14ac:dyDescent="0.2">
      <c r="C22922" s="8" t="e">
        <f>VLOOKUP(A:A,'ITEM LIST'!A:C,3,0)</f>
        <v>#N/A</v>
      </c>
    </row>
    <row r="22923" spans="3:3" x14ac:dyDescent="0.2">
      <c r="C22923" s="8" t="e">
        <f>VLOOKUP(A:A,'ITEM LIST'!A:C,3,0)</f>
        <v>#N/A</v>
      </c>
    </row>
    <row r="22924" spans="3:3" x14ac:dyDescent="0.2">
      <c r="C22924" s="8" t="e">
        <f>VLOOKUP(A:A,'ITEM LIST'!A:C,3,0)</f>
        <v>#N/A</v>
      </c>
    </row>
    <row r="22925" spans="3:3" x14ac:dyDescent="0.2">
      <c r="C22925" s="8" t="e">
        <f>VLOOKUP(A:A,'ITEM LIST'!A:C,3,0)</f>
        <v>#N/A</v>
      </c>
    </row>
    <row r="22926" spans="3:3" x14ac:dyDescent="0.2">
      <c r="C22926" s="8" t="e">
        <f>VLOOKUP(A:A,'ITEM LIST'!A:C,3,0)</f>
        <v>#N/A</v>
      </c>
    </row>
    <row r="22927" spans="3:3" x14ac:dyDescent="0.2">
      <c r="C22927" s="8" t="e">
        <f>VLOOKUP(A:A,'ITEM LIST'!A:C,3,0)</f>
        <v>#N/A</v>
      </c>
    </row>
    <row r="22928" spans="3:3" x14ac:dyDescent="0.2">
      <c r="C22928" s="8" t="e">
        <f>VLOOKUP(A:A,'ITEM LIST'!A:C,3,0)</f>
        <v>#N/A</v>
      </c>
    </row>
    <row r="22929" spans="3:3" x14ac:dyDescent="0.2">
      <c r="C22929" s="8" t="e">
        <f>VLOOKUP(A:A,'ITEM LIST'!A:C,3,0)</f>
        <v>#N/A</v>
      </c>
    </row>
    <row r="22930" spans="3:3" x14ac:dyDescent="0.2">
      <c r="C22930" s="8" t="e">
        <f>VLOOKUP(A:A,'ITEM LIST'!A:C,3,0)</f>
        <v>#N/A</v>
      </c>
    </row>
    <row r="22931" spans="3:3" x14ac:dyDescent="0.2">
      <c r="C22931" s="8" t="e">
        <f>VLOOKUP(A:A,'ITEM LIST'!A:C,3,0)</f>
        <v>#N/A</v>
      </c>
    </row>
    <row r="22932" spans="3:3" x14ac:dyDescent="0.2">
      <c r="C22932" s="8" t="e">
        <f>VLOOKUP(A:A,'ITEM LIST'!A:C,3,0)</f>
        <v>#N/A</v>
      </c>
    </row>
    <row r="22933" spans="3:3" x14ac:dyDescent="0.2">
      <c r="C22933" s="8" t="e">
        <f>VLOOKUP(A:A,'ITEM LIST'!A:C,3,0)</f>
        <v>#N/A</v>
      </c>
    </row>
    <row r="22934" spans="3:3" x14ac:dyDescent="0.2">
      <c r="C22934" s="8" t="e">
        <f>VLOOKUP(A:A,'ITEM LIST'!A:C,3,0)</f>
        <v>#N/A</v>
      </c>
    </row>
    <row r="22935" spans="3:3" x14ac:dyDescent="0.2">
      <c r="C22935" s="8" t="e">
        <f>VLOOKUP(A:A,'ITEM LIST'!A:C,3,0)</f>
        <v>#N/A</v>
      </c>
    </row>
    <row r="22936" spans="3:3" x14ac:dyDescent="0.2">
      <c r="C22936" s="8" t="e">
        <f>VLOOKUP(A:A,'ITEM LIST'!A:C,3,0)</f>
        <v>#N/A</v>
      </c>
    </row>
    <row r="22937" spans="3:3" x14ac:dyDescent="0.2">
      <c r="C22937" s="8" t="e">
        <f>VLOOKUP(A:A,'ITEM LIST'!A:C,3,0)</f>
        <v>#N/A</v>
      </c>
    </row>
    <row r="22938" spans="3:3" x14ac:dyDescent="0.2">
      <c r="C22938" s="8" t="e">
        <f>VLOOKUP(A:A,'ITEM LIST'!A:C,3,0)</f>
        <v>#N/A</v>
      </c>
    </row>
    <row r="22939" spans="3:3" x14ac:dyDescent="0.2">
      <c r="C22939" s="8" t="e">
        <f>VLOOKUP(A:A,'ITEM LIST'!A:C,3,0)</f>
        <v>#N/A</v>
      </c>
    </row>
    <row r="22940" spans="3:3" x14ac:dyDescent="0.2">
      <c r="C22940" s="8" t="e">
        <f>VLOOKUP(A:A,'ITEM LIST'!A:C,3,0)</f>
        <v>#N/A</v>
      </c>
    </row>
    <row r="22941" spans="3:3" x14ac:dyDescent="0.2">
      <c r="C22941" s="8" t="e">
        <f>VLOOKUP(A:A,'ITEM LIST'!A:C,3,0)</f>
        <v>#N/A</v>
      </c>
    </row>
    <row r="22942" spans="3:3" x14ac:dyDescent="0.2">
      <c r="C22942" s="8" t="e">
        <f>VLOOKUP(A:A,'ITEM LIST'!A:C,3,0)</f>
        <v>#N/A</v>
      </c>
    </row>
    <row r="22943" spans="3:3" x14ac:dyDescent="0.2">
      <c r="C22943" s="8" t="e">
        <f>VLOOKUP(A:A,'ITEM LIST'!A:C,3,0)</f>
        <v>#N/A</v>
      </c>
    </row>
    <row r="22944" spans="3:3" x14ac:dyDescent="0.2">
      <c r="C22944" s="8" t="e">
        <f>VLOOKUP(A:A,'ITEM LIST'!A:C,3,0)</f>
        <v>#N/A</v>
      </c>
    </row>
    <row r="22945" spans="3:3" x14ac:dyDescent="0.2">
      <c r="C22945" s="8" t="e">
        <f>VLOOKUP(A:A,'ITEM LIST'!A:C,3,0)</f>
        <v>#N/A</v>
      </c>
    </row>
    <row r="22946" spans="3:3" x14ac:dyDescent="0.2">
      <c r="C22946" s="8" t="e">
        <f>VLOOKUP(A:A,'ITEM LIST'!A:C,3,0)</f>
        <v>#N/A</v>
      </c>
    </row>
    <row r="22947" spans="3:3" x14ac:dyDescent="0.2">
      <c r="C22947" s="8" t="e">
        <f>VLOOKUP(A:A,'ITEM LIST'!A:C,3,0)</f>
        <v>#N/A</v>
      </c>
    </row>
    <row r="22948" spans="3:3" x14ac:dyDescent="0.2">
      <c r="C22948" s="8" t="e">
        <f>VLOOKUP(A:A,'ITEM LIST'!A:C,3,0)</f>
        <v>#N/A</v>
      </c>
    </row>
    <row r="22949" spans="3:3" x14ac:dyDescent="0.2">
      <c r="C22949" s="8" t="e">
        <f>VLOOKUP(A:A,'ITEM LIST'!A:C,3,0)</f>
        <v>#N/A</v>
      </c>
    </row>
    <row r="22950" spans="3:3" x14ac:dyDescent="0.2">
      <c r="C22950" s="8" t="e">
        <f>VLOOKUP(A:A,'ITEM LIST'!A:C,3,0)</f>
        <v>#N/A</v>
      </c>
    </row>
    <row r="22951" spans="3:3" x14ac:dyDescent="0.2">
      <c r="C22951" s="8" t="e">
        <f>VLOOKUP(A:A,'ITEM LIST'!A:C,3,0)</f>
        <v>#N/A</v>
      </c>
    </row>
    <row r="22952" spans="3:3" x14ac:dyDescent="0.2">
      <c r="C22952" s="8" t="e">
        <f>VLOOKUP(A:A,'ITEM LIST'!A:C,3,0)</f>
        <v>#N/A</v>
      </c>
    </row>
    <row r="22953" spans="3:3" x14ac:dyDescent="0.2">
      <c r="C22953" s="8" t="e">
        <f>VLOOKUP(A:A,'ITEM LIST'!A:C,3,0)</f>
        <v>#N/A</v>
      </c>
    </row>
    <row r="22954" spans="3:3" x14ac:dyDescent="0.2">
      <c r="C22954" s="8" t="e">
        <f>VLOOKUP(A:A,'ITEM LIST'!A:C,3,0)</f>
        <v>#N/A</v>
      </c>
    </row>
    <row r="22955" spans="3:3" x14ac:dyDescent="0.2">
      <c r="C22955" s="8" t="e">
        <f>VLOOKUP(A:A,'ITEM LIST'!A:C,3,0)</f>
        <v>#N/A</v>
      </c>
    </row>
    <row r="22956" spans="3:3" x14ac:dyDescent="0.2">
      <c r="C22956" s="8" t="e">
        <f>VLOOKUP(A:A,'ITEM LIST'!A:C,3,0)</f>
        <v>#N/A</v>
      </c>
    </row>
    <row r="22957" spans="3:3" x14ac:dyDescent="0.2">
      <c r="C22957" s="8" t="e">
        <f>VLOOKUP(A:A,'ITEM LIST'!A:C,3,0)</f>
        <v>#N/A</v>
      </c>
    </row>
    <row r="22958" spans="3:3" x14ac:dyDescent="0.2">
      <c r="C22958" s="8" t="e">
        <f>VLOOKUP(A:A,'ITEM LIST'!A:C,3,0)</f>
        <v>#N/A</v>
      </c>
    </row>
    <row r="22959" spans="3:3" x14ac:dyDescent="0.2">
      <c r="C22959" s="8" t="e">
        <f>VLOOKUP(A:A,'ITEM LIST'!A:C,3,0)</f>
        <v>#N/A</v>
      </c>
    </row>
    <row r="22960" spans="3:3" x14ac:dyDescent="0.2">
      <c r="C22960" s="8" t="e">
        <f>VLOOKUP(A:A,'ITEM LIST'!A:C,3,0)</f>
        <v>#N/A</v>
      </c>
    </row>
    <row r="22961" spans="3:3" x14ac:dyDescent="0.2">
      <c r="C22961" s="8" t="e">
        <f>VLOOKUP(A:A,'ITEM LIST'!A:C,3,0)</f>
        <v>#N/A</v>
      </c>
    </row>
    <row r="22962" spans="3:3" x14ac:dyDescent="0.2">
      <c r="C22962" s="8" t="e">
        <f>VLOOKUP(A:A,'ITEM LIST'!A:C,3,0)</f>
        <v>#N/A</v>
      </c>
    </row>
    <row r="22963" spans="3:3" x14ac:dyDescent="0.2">
      <c r="C22963" s="8" t="e">
        <f>VLOOKUP(A:A,'ITEM LIST'!A:C,3,0)</f>
        <v>#N/A</v>
      </c>
    </row>
    <row r="22964" spans="3:3" x14ac:dyDescent="0.2">
      <c r="C22964" s="8" t="e">
        <f>VLOOKUP(A:A,'ITEM LIST'!A:C,3,0)</f>
        <v>#N/A</v>
      </c>
    </row>
    <row r="22965" spans="3:3" x14ac:dyDescent="0.2">
      <c r="C22965" s="8" t="e">
        <f>VLOOKUP(A:A,'ITEM LIST'!A:C,3,0)</f>
        <v>#N/A</v>
      </c>
    </row>
    <row r="22966" spans="3:3" x14ac:dyDescent="0.2">
      <c r="C22966" s="8" t="e">
        <f>VLOOKUP(A:A,'ITEM LIST'!A:C,3,0)</f>
        <v>#N/A</v>
      </c>
    </row>
    <row r="22967" spans="3:3" x14ac:dyDescent="0.2">
      <c r="C22967" s="8" t="e">
        <f>VLOOKUP(A:A,'ITEM LIST'!A:C,3,0)</f>
        <v>#N/A</v>
      </c>
    </row>
    <row r="22968" spans="3:3" x14ac:dyDescent="0.2">
      <c r="C22968" s="8" t="e">
        <f>VLOOKUP(A:A,'ITEM LIST'!A:C,3,0)</f>
        <v>#N/A</v>
      </c>
    </row>
    <row r="22969" spans="3:3" x14ac:dyDescent="0.2">
      <c r="C22969" s="8" t="e">
        <f>VLOOKUP(A:A,'ITEM LIST'!A:C,3,0)</f>
        <v>#N/A</v>
      </c>
    </row>
    <row r="22970" spans="3:3" x14ac:dyDescent="0.2">
      <c r="C22970" s="8" t="e">
        <f>VLOOKUP(A:A,'ITEM LIST'!A:C,3,0)</f>
        <v>#N/A</v>
      </c>
    </row>
    <row r="22971" spans="3:3" x14ac:dyDescent="0.2">
      <c r="C22971" s="8" t="e">
        <f>VLOOKUP(A:A,'ITEM LIST'!A:C,3,0)</f>
        <v>#N/A</v>
      </c>
    </row>
    <row r="22972" spans="3:3" x14ac:dyDescent="0.2">
      <c r="C22972" s="8" t="e">
        <f>VLOOKUP(A:A,'ITEM LIST'!A:C,3,0)</f>
        <v>#N/A</v>
      </c>
    </row>
    <row r="22973" spans="3:3" x14ac:dyDescent="0.2">
      <c r="C22973" s="8" t="e">
        <f>VLOOKUP(A:A,'ITEM LIST'!A:C,3,0)</f>
        <v>#N/A</v>
      </c>
    </row>
    <row r="22974" spans="3:3" x14ac:dyDescent="0.2">
      <c r="C22974" s="8" t="e">
        <f>VLOOKUP(A:A,'ITEM LIST'!A:C,3,0)</f>
        <v>#N/A</v>
      </c>
    </row>
    <row r="22975" spans="3:3" x14ac:dyDescent="0.2">
      <c r="C22975" s="8" t="e">
        <f>VLOOKUP(A:A,'ITEM LIST'!A:C,3,0)</f>
        <v>#N/A</v>
      </c>
    </row>
    <row r="22976" spans="3:3" x14ac:dyDescent="0.2">
      <c r="C22976" s="8" t="e">
        <f>VLOOKUP(A:A,'ITEM LIST'!A:C,3,0)</f>
        <v>#N/A</v>
      </c>
    </row>
    <row r="22977" spans="3:3" x14ac:dyDescent="0.2">
      <c r="C22977" s="8" t="e">
        <f>VLOOKUP(A:A,'ITEM LIST'!A:C,3,0)</f>
        <v>#N/A</v>
      </c>
    </row>
    <row r="22978" spans="3:3" x14ac:dyDescent="0.2">
      <c r="C22978" s="8" t="e">
        <f>VLOOKUP(A:A,'ITEM LIST'!A:C,3,0)</f>
        <v>#N/A</v>
      </c>
    </row>
    <row r="22979" spans="3:3" x14ac:dyDescent="0.2">
      <c r="C22979" s="8" t="e">
        <f>VLOOKUP(A:A,'ITEM LIST'!A:C,3,0)</f>
        <v>#N/A</v>
      </c>
    </row>
    <row r="22980" spans="3:3" x14ac:dyDescent="0.2">
      <c r="C22980" s="8" t="e">
        <f>VLOOKUP(A:A,'ITEM LIST'!A:C,3,0)</f>
        <v>#N/A</v>
      </c>
    </row>
    <row r="22981" spans="3:3" x14ac:dyDescent="0.2">
      <c r="C22981" s="8" t="e">
        <f>VLOOKUP(A:A,'ITEM LIST'!A:C,3,0)</f>
        <v>#N/A</v>
      </c>
    </row>
    <row r="22982" spans="3:3" x14ac:dyDescent="0.2">
      <c r="C22982" s="8" t="e">
        <f>VLOOKUP(A:A,'ITEM LIST'!A:C,3,0)</f>
        <v>#N/A</v>
      </c>
    </row>
    <row r="22983" spans="3:3" x14ac:dyDescent="0.2">
      <c r="C22983" s="8" t="e">
        <f>VLOOKUP(A:A,'ITEM LIST'!A:C,3,0)</f>
        <v>#N/A</v>
      </c>
    </row>
    <row r="22984" spans="3:3" x14ac:dyDescent="0.2">
      <c r="C22984" s="8" t="e">
        <f>VLOOKUP(A:A,'ITEM LIST'!A:C,3,0)</f>
        <v>#N/A</v>
      </c>
    </row>
    <row r="22985" spans="3:3" x14ac:dyDescent="0.2">
      <c r="C22985" s="8" t="e">
        <f>VLOOKUP(A:A,'ITEM LIST'!A:C,3,0)</f>
        <v>#N/A</v>
      </c>
    </row>
    <row r="22986" spans="3:3" x14ac:dyDescent="0.2">
      <c r="C22986" s="8" t="e">
        <f>VLOOKUP(A:A,'ITEM LIST'!A:C,3,0)</f>
        <v>#N/A</v>
      </c>
    </row>
    <row r="22987" spans="3:3" x14ac:dyDescent="0.2">
      <c r="C22987" s="8" t="e">
        <f>VLOOKUP(A:A,'ITEM LIST'!A:C,3,0)</f>
        <v>#N/A</v>
      </c>
    </row>
    <row r="22988" spans="3:3" x14ac:dyDescent="0.2">
      <c r="C22988" s="8" t="e">
        <f>VLOOKUP(A:A,'ITEM LIST'!A:C,3,0)</f>
        <v>#N/A</v>
      </c>
    </row>
    <row r="22989" spans="3:3" x14ac:dyDescent="0.2">
      <c r="C22989" s="8" t="e">
        <f>VLOOKUP(A:A,'ITEM LIST'!A:C,3,0)</f>
        <v>#N/A</v>
      </c>
    </row>
    <row r="22990" spans="3:3" x14ac:dyDescent="0.2">
      <c r="C22990" s="8" t="e">
        <f>VLOOKUP(A:A,'ITEM LIST'!A:C,3,0)</f>
        <v>#N/A</v>
      </c>
    </row>
    <row r="22991" spans="3:3" x14ac:dyDescent="0.2">
      <c r="C22991" s="8" t="e">
        <f>VLOOKUP(A:A,'ITEM LIST'!A:C,3,0)</f>
        <v>#N/A</v>
      </c>
    </row>
    <row r="22992" spans="3:3" x14ac:dyDescent="0.2">
      <c r="C22992" s="8" t="e">
        <f>VLOOKUP(A:A,'ITEM LIST'!A:C,3,0)</f>
        <v>#N/A</v>
      </c>
    </row>
    <row r="22993" spans="3:3" x14ac:dyDescent="0.2">
      <c r="C22993" s="8" t="e">
        <f>VLOOKUP(A:A,'ITEM LIST'!A:C,3,0)</f>
        <v>#N/A</v>
      </c>
    </row>
    <row r="22994" spans="3:3" x14ac:dyDescent="0.2">
      <c r="C22994" s="8" t="e">
        <f>VLOOKUP(A:A,'ITEM LIST'!A:C,3,0)</f>
        <v>#N/A</v>
      </c>
    </row>
    <row r="22995" spans="3:3" x14ac:dyDescent="0.2">
      <c r="C22995" s="8" t="e">
        <f>VLOOKUP(A:A,'ITEM LIST'!A:C,3,0)</f>
        <v>#N/A</v>
      </c>
    </row>
    <row r="22996" spans="3:3" x14ac:dyDescent="0.2">
      <c r="C22996" s="8" t="e">
        <f>VLOOKUP(A:A,'ITEM LIST'!A:C,3,0)</f>
        <v>#N/A</v>
      </c>
    </row>
    <row r="22997" spans="3:3" x14ac:dyDescent="0.2">
      <c r="C22997" s="8" t="e">
        <f>VLOOKUP(A:A,'ITEM LIST'!A:C,3,0)</f>
        <v>#N/A</v>
      </c>
    </row>
    <row r="22998" spans="3:3" x14ac:dyDescent="0.2">
      <c r="C22998" s="8" t="e">
        <f>VLOOKUP(A:A,'ITEM LIST'!A:C,3,0)</f>
        <v>#N/A</v>
      </c>
    </row>
    <row r="22999" spans="3:3" x14ac:dyDescent="0.2">
      <c r="C22999" s="8" t="e">
        <f>VLOOKUP(A:A,'ITEM LIST'!A:C,3,0)</f>
        <v>#N/A</v>
      </c>
    </row>
    <row r="23000" spans="3:3" x14ac:dyDescent="0.2">
      <c r="C23000" s="8" t="e">
        <f>VLOOKUP(A:A,'ITEM LIST'!A:C,3,0)</f>
        <v>#N/A</v>
      </c>
    </row>
    <row r="23001" spans="3:3" x14ac:dyDescent="0.2">
      <c r="C23001" s="8" t="e">
        <f>VLOOKUP(A:A,'ITEM LIST'!A:C,3,0)</f>
        <v>#N/A</v>
      </c>
    </row>
    <row r="23002" spans="3:3" x14ac:dyDescent="0.2">
      <c r="C23002" s="8" t="e">
        <f>VLOOKUP(A:A,'ITEM LIST'!A:C,3,0)</f>
        <v>#N/A</v>
      </c>
    </row>
    <row r="23003" spans="3:3" x14ac:dyDescent="0.2">
      <c r="C23003" s="8" t="e">
        <f>VLOOKUP(A:A,'ITEM LIST'!A:C,3,0)</f>
        <v>#N/A</v>
      </c>
    </row>
    <row r="23004" spans="3:3" x14ac:dyDescent="0.2">
      <c r="C23004" s="8" t="e">
        <f>VLOOKUP(A:A,'ITEM LIST'!A:C,3,0)</f>
        <v>#N/A</v>
      </c>
    </row>
    <row r="23005" spans="3:3" x14ac:dyDescent="0.2">
      <c r="C23005" s="8" t="e">
        <f>VLOOKUP(A:A,'ITEM LIST'!A:C,3,0)</f>
        <v>#N/A</v>
      </c>
    </row>
    <row r="23006" spans="3:3" x14ac:dyDescent="0.2">
      <c r="C23006" s="8" t="e">
        <f>VLOOKUP(A:A,'ITEM LIST'!A:C,3,0)</f>
        <v>#N/A</v>
      </c>
    </row>
    <row r="23007" spans="3:3" x14ac:dyDescent="0.2">
      <c r="C23007" s="8" t="e">
        <f>VLOOKUP(A:A,'ITEM LIST'!A:C,3,0)</f>
        <v>#N/A</v>
      </c>
    </row>
    <row r="23008" spans="3:3" x14ac:dyDescent="0.2">
      <c r="C23008" s="8" t="e">
        <f>VLOOKUP(A:A,'ITEM LIST'!A:C,3,0)</f>
        <v>#N/A</v>
      </c>
    </row>
    <row r="23009" spans="3:3" x14ac:dyDescent="0.2">
      <c r="C23009" s="8" t="e">
        <f>VLOOKUP(A:A,'ITEM LIST'!A:C,3,0)</f>
        <v>#N/A</v>
      </c>
    </row>
    <row r="23010" spans="3:3" x14ac:dyDescent="0.2">
      <c r="C23010" s="8" t="e">
        <f>VLOOKUP(A:A,'ITEM LIST'!A:C,3,0)</f>
        <v>#N/A</v>
      </c>
    </row>
    <row r="23011" spans="3:3" x14ac:dyDescent="0.2">
      <c r="C23011" s="8" t="e">
        <f>VLOOKUP(A:A,'ITEM LIST'!A:C,3,0)</f>
        <v>#N/A</v>
      </c>
    </row>
    <row r="23012" spans="3:3" x14ac:dyDescent="0.2">
      <c r="C23012" s="8" t="e">
        <f>VLOOKUP(A:A,'ITEM LIST'!A:C,3,0)</f>
        <v>#N/A</v>
      </c>
    </row>
    <row r="23013" spans="3:3" x14ac:dyDescent="0.2">
      <c r="C23013" s="8" t="e">
        <f>VLOOKUP(A:A,'ITEM LIST'!A:C,3,0)</f>
        <v>#N/A</v>
      </c>
    </row>
    <row r="23014" spans="3:3" x14ac:dyDescent="0.2">
      <c r="C23014" s="8" t="e">
        <f>VLOOKUP(A:A,'ITEM LIST'!A:C,3,0)</f>
        <v>#N/A</v>
      </c>
    </row>
    <row r="23015" spans="3:3" x14ac:dyDescent="0.2">
      <c r="C23015" s="8" t="e">
        <f>VLOOKUP(A:A,'ITEM LIST'!A:C,3,0)</f>
        <v>#N/A</v>
      </c>
    </row>
    <row r="23016" spans="3:3" x14ac:dyDescent="0.2">
      <c r="C23016" s="8" t="e">
        <f>VLOOKUP(A:A,'ITEM LIST'!A:C,3,0)</f>
        <v>#N/A</v>
      </c>
    </row>
    <row r="23017" spans="3:3" x14ac:dyDescent="0.2">
      <c r="C23017" s="8" t="e">
        <f>VLOOKUP(A:A,'ITEM LIST'!A:C,3,0)</f>
        <v>#N/A</v>
      </c>
    </row>
    <row r="23018" spans="3:3" x14ac:dyDescent="0.2">
      <c r="C23018" s="8" t="e">
        <f>VLOOKUP(A:A,'ITEM LIST'!A:C,3,0)</f>
        <v>#N/A</v>
      </c>
    </row>
    <row r="23019" spans="3:3" x14ac:dyDescent="0.2">
      <c r="C23019" s="8" t="e">
        <f>VLOOKUP(A:A,'ITEM LIST'!A:C,3,0)</f>
        <v>#N/A</v>
      </c>
    </row>
    <row r="23020" spans="3:3" x14ac:dyDescent="0.2">
      <c r="C23020" s="8" t="e">
        <f>VLOOKUP(A:A,'ITEM LIST'!A:C,3,0)</f>
        <v>#N/A</v>
      </c>
    </row>
    <row r="23021" spans="3:3" x14ac:dyDescent="0.2">
      <c r="C23021" s="8" t="e">
        <f>VLOOKUP(A:A,'ITEM LIST'!A:C,3,0)</f>
        <v>#N/A</v>
      </c>
    </row>
    <row r="23022" spans="3:3" x14ac:dyDescent="0.2">
      <c r="C23022" s="8" t="e">
        <f>VLOOKUP(A:A,'ITEM LIST'!A:C,3,0)</f>
        <v>#N/A</v>
      </c>
    </row>
    <row r="23023" spans="3:3" x14ac:dyDescent="0.2">
      <c r="C23023" s="8" t="e">
        <f>VLOOKUP(A:A,'ITEM LIST'!A:C,3,0)</f>
        <v>#N/A</v>
      </c>
    </row>
    <row r="23024" spans="3:3" x14ac:dyDescent="0.2">
      <c r="C23024" s="8" t="e">
        <f>VLOOKUP(A:A,'ITEM LIST'!A:C,3,0)</f>
        <v>#N/A</v>
      </c>
    </row>
    <row r="23025" spans="3:3" x14ac:dyDescent="0.2">
      <c r="C23025" s="8" t="e">
        <f>VLOOKUP(A:A,'ITEM LIST'!A:C,3,0)</f>
        <v>#N/A</v>
      </c>
    </row>
    <row r="23026" spans="3:3" x14ac:dyDescent="0.2">
      <c r="C23026" s="8" t="e">
        <f>VLOOKUP(A:A,'ITEM LIST'!A:C,3,0)</f>
        <v>#N/A</v>
      </c>
    </row>
    <row r="23027" spans="3:3" x14ac:dyDescent="0.2">
      <c r="C23027" s="8" t="e">
        <f>VLOOKUP(A:A,'ITEM LIST'!A:C,3,0)</f>
        <v>#N/A</v>
      </c>
    </row>
    <row r="23028" spans="3:3" x14ac:dyDescent="0.2">
      <c r="C23028" s="8" t="e">
        <f>VLOOKUP(A:A,'ITEM LIST'!A:C,3,0)</f>
        <v>#N/A</v>
      </c>
    </row>
    <row r="23029" spans="3:3" x14ac:dyDescent="0.2">
      <c r="C23029" s="8" t="e">
        <f>VLOOKUP(A:A,'ITEM LIST'!A:C,3,0)</f>
        <v>#N/A</v>
      </c>
    </row>
    <row r="23030" spans="3:3" x14ac:dyDescent="0.2">
      <c r="C23030" s="8" t="e">
        <f>VLOOKUP(A:A,'ITEM LIST'!A:C,3,0)</f>
        <v>#N/A</v>
      </c>
    </row>
    <row r="23031" spans="3:3" x14ac:dyDescent="0.2">
      <c r="C23031" s="8" t="e">
        <f>VLOOKUP(A:A,'ITEM LIST'!A:C,3,0)</f>
        <v>#N/A</v>
      </c>
    </row>
    <row r="23032" spans="3:3" x14ac:dyDescent="0.2">
      <c r="C23032" s="8" t="e">
        <f>VLOOKUP(A:A,'ITEM LIST'!A:C,3,0)</f>
        <v>#N/A</v>
      </c>
    </row>
    <row r="23033" spans="3:3" x14ac:dyDescent="0.2">
      <c r="C23033" s="8" t="e">
        <f>VLOOKUP(A:A,'ITEM LIST'!A:C,3,0)</f>
        <v>#N/A</v>
      </c>
    </row>
    <row r="23034" spans="3:3" x14ac:dyDescent="0.2">
      <c r="C23034" s="8" t="e">
        <f>VLOOKUP(A:A,'ITEM LIST'!A:C,3,0)</f>
        <v>#N/A</v>
      </c>
    </row>
    <row r="23035" spans="3:3" x14ac:dyDescent="0.2">
      <c r="C23035" s="8" t="e">
        <f>VLOOKUP(A:A,'ITEM LIST'!A:C,3,0)</f>
        <v>#N/A</v>
      </c>
    </row>
    <row r="23036" spans="3:3" x14ac:dyDescent="0.2">
      <c r="C23036" s="8" t="e">
        <f>VLOOKUP(A:A,'ITEM LIST'!A:C,3,0)</f>
        <v>#N/A</v>
      </c>
    </row>
    <row r="23037" spans="3:3" x14ac:dyDescent="0.2">
      <c r="C23037" s="8" t="e">
        <f>VLOOKUP(A:A,'ITEM LIST'!A:C,3,0)</f>
        <v>#N/A</v>
      </c>
    </row>
    <row r="23038" spans="3:3" x14ac:dyDescent="0.2">
      <c r="C23038" s="8" t="e">
        <f>VLOOKUP(A:A,'ITEM LIST'!A:C,3,0)</f>
        <v>#N/A</v>
      </c>
    </row>
    <row r="23039" spans="3:3" x14ac:dyDescent="0.2">
      <c r="C23039" s="8" t="e">
        <f>VLOOKUP(A:A,'ITEM LIST'!A:C,3,0)</f>
        <v>#N/A</v>
      </c>
    </row>
    <row r="23040" spans="3:3" x14ac:dyDescent="0.2">
      <c r="C23040" s="8" t="e">
        <f>VLOOKUP(A:A,'ITEM LIST'!A:C,3,0)</f>
        <v>#N/A</v>
      </c>
    </row>
    <row r="23041" spans="3:3" x14ac:dyDescent="0.2">
      <c r="C23041" s="8" t="e">
        <f>VLOOKUP(A:A,'ITEM LIST'!A:C,3,0)</f>
        <v>#N/A</v>
      </c>
    </row>
    <row r="23042" spans="3:3" x14ac:dyDescent="0.2">
      <c r="C23042" s="8" t="e">
        <f>VLOOKUP(A:A,'ITEM LIST'!A:C,3,0)</f>
        <v>#N/A</v>
      </c>
    </row>
    <row r="23043" spans="3:3" x14ac:dyDescent="0.2">
      <c r="C23043" s="8" t="e">
        <f>VLOOKUP(A:A,'ITEM LIST'!A:C,3,0)</f>
        <v>#N/A</v>
      </c>
    </row>
    <row r="23044" spans="3:3" x14ac:dyDescent="0.2">
      <c r="C23044" s="8" t="e">
        <f>VLOOKUP(A:A,'ITEM LIST'!A:C,3,0)</f>
        <v>#N/A</v>
      </c>
    </row>
    <row r="23045" spans="3:3" x14ac:dyDescent="0.2">
      <c r="C23045" s="8" t="e">
        <f>VLOOKUP(A:A,'ITEM LIST'!A:C,3,0)</f>
        <v>#N/A</v>
      </c>
    </row>
    <row r="23046" spans="3:3" x14ac:dyDescent="0.2">
      <c r="C23046" s="8" t="e">
        <f>VLOOKUP(A:A,'ITEM LIST'!A:C,3,0)</f>
        <v>#N/A</v>
      </c>
    </row>
    <row r="23047" spans="3:3" x14ac:dyDescent="0.2">
      <c r="C23047" s="8" t="e">
        <f>VLOOKUP(A:A,'ITEM LIST'!A:C,3,0)</f>
        <v>#N/A</v>
      </c>
    </row>
    <row r="23048" spans="3:3" x14ac:dyDescent="0.2">
      <c r="C23048" s="8" t="e">
        <f>VLOOKUP(A:A,'ITEM LIST'!A:C,3,0)</f>
        <v>#N/A</v>
      </c>
    </row>
    <row r="23049" spans="3:3" x14ac:dyDescent="0.2">
      <c r="C23049" s="8" t="e">
        <f>VLOOKUP(A:A,'ITEM LIST'!A:C,3,0)</f>
        <v>#N/A</v>
      </c>
    </row>
    <row r="23050" spans="3:3" x14ac:dyDescent="0.2">
      <c r="C23050" s="8" t="e">
        <f>VLOOKUP(A:A,'ITEM LIST'!A:C,3,0)</f>
        <v>#N/A</v>
      </c>
    </row>
    <row r="23051" spans="3:3" x14ac:dyDescent="0.2">
      <c r="C23051" s="8" t="e">
        <f>VLOOKUP(A:A,'ITEM LIST'!A:C,3,0)</f>
        <v>#N/A</v>
      </c>
    </row>
    <row r="23052" spans="3:3" x14ac:dyDescent="0.2">
      <c r="C23052" s="8" t="e">
        <f>VLOOKUP(A:A,'ITEM LIST'!A:C,3,0)</f>
        <v>#N/A</v>
      </c>
    </row>
    <row r="23053" spans="3:3" x14ac:dyDescent="0.2">
      <c r="C23053" s="8" t="e">
        <f>VLOOKUP(A:A,'ITEM LIST'!A:C,3,0)</f>
        <v>#N/A</v>
      </c>
    </row>
    <row r="23054" spans="3:3" x14ac:dyDescent="0.2">
      <c r="C23054" s="8" t="e">
        <f>VLOOKUP(A:A,'ITEM LIST'!A:C,3,0)</f>
        <v>#N/A</v>
      </c>
    </row>
    <row r="23055" spans="3:3" x14ac:dyDescent="0.2">
      <c r="C23055" s="8" t="e">
        <f>VLOOKUP(A:A,'ITEM LIST'!A:C,3,0)</f>
        <v>#N/A</v>
      </c>
    </row>
    <row r="23056" spans="3:3" x14ac:dyDescent="0.2">
      <c r="C23056" s="8" t="e">
        <f>VLOOKUP(A:A,'ITEM LIST'!A:C,3,0)</f>
        <v>#N/A</v>
      </c>
    </row>
    <row r="23057" spans="3:3" x14ac:dyDescent="0.2">
      <c r="C23057" s="8" t="e">
        <f>VLOOKUP(A:A,'ITEM LIST'!A:C,3,0)</f>
        <v>#N/A</v>
      </c>
    </row>
    <row r="23058" spans="3:3" x14ac:dyDescent="0.2">
      <c r="C23058" s="8" t="e">
        <f>VLOOKUP(A:A,'ITEM LIST'!A:C,3,0)</f>
        <v>#N/A</v>
      </c>
    </row>
    <row r="23059" spans="3:3" x14ac:dyDescent="0.2">
      <c r="C23059" s="8" t="e">
        <f>VLOOKUP(A:A,'ITEM LIST'!A:C,3,0)</f>
        <v>#N/A</v>
      </c>
    </row>
    <row r="23060" spans="3:3" x14ac:dyDescent="0.2">
      <c r="C23060" s="8" t="e">
        <f>VLOOKUP(A:A,'ITEM LIST'!A:C,3,0)</f>
        <v>#N/A</v>
      </c>
    </row>
    <row r="23061" spans="3:3" x14ac:dyDescent="0.2">
      <c r="C23061" s="8" t="e">
        <f>VLOOKUP(A:A,'ITEM LIST'!A:C,3,0)</f>
        <v>#N/A</v>
      </c>
    </row>
    <row r="23062" spans="3:3" x14ac:dyDescent="0.2">
      <c r="C23062" s="8" t="e">
        <f>VLOOKUP(A:A,'ITEM LIST'!A:C,3,0)</f>
        <v>#N/A</v>
      </c>
    </row>
    <row r="23063" spans="3:3" x14ac:dyDescent="0.2">
      <c r="C23063" s="8" t="e">
        <f>VLOOKUP(A:A,'ITEM LIST'!A:C,3,0)</f>
        <v>#N/A</v>
      </c>
    </row>
    <row r="23064" spans="3:3" x14ac:dyDescent="0.2">
      <c r="C23064" s="8" t="e">
        <f>VLOOKUP(A:A,'ITEM LIST'!A:C,3,0)</f>
        <v>#N/A</v>
      </c>
    </row>
    <row r="23065" spans="3:3" x14ac:dyDescent="0.2">
      <c r="C23065" s="8" t="e">
        <f>VLOOKUP(A:A,'ITEM LIST'!A:C,3,0)</f>
        <v>#N/A</v>
      </c>
    </row>
    <row r="23066" spans="3:3" x14ac:dyDescent="0.2">
      <c r="C23066" s="8" t="e">
        <f>VLOOKUP(A:A,'ITEM LIST'!A:C,3,0)</f>
        <v>#N/A</v>
      </c>
    </row>
    <row r="23067" spans="3:3" x14ac:dyDescent="0.2">
      <c r="C23067" s="8" t="e">
        <f>VLOOKUP(A:A,'ITEM LIST'!A:C,3,0)</f>
        <v>#N/A</v>
      </c>
    </row>
    <row r="23068" spans="3:3" x14ac:dyDescent="0.2">
      <c r="C23068" s="8" t="e">
        <f>VLOOKUP(A:A,'ITEM LIST'!A:C,3,0)</f>
        <v>#N/A</v>
      </c>
    </row>
    <row r="23069" spans="3:3" x14ac:dyDescent="0.2">
      <c r="C23069" s="8" t="e">
        <f>VLOOKUP(A:A,'ITEM LIST'!A:C,3,0)</f>
        <v>#N/A</v>
      </c>
    </row>
    <row r="23070" spans="3:3" x14ac:dyDescent="0.2">
      <c r="C23070" s="8" t="e">
        <f>VLOOKUP(A:A,'ITEM LIST'!A:C,3,0)</f>
        <v>#N/A</v>
      </c>
    </row>
    <row r="23071" spans="3:3" x14ac:dyDescent="0.2">
      <c r="C23071" s="8" t="e">
        <f>VLOOKUP(A:A,'ITEM LIST'!A:C,3,0)</f>
        <v>#N/A</v>
      </c>
    </row>
    <row r="23072" spans="3:3" x14ac:dyDescent="0.2">
      <c r="C23072" s="8" t="e">
        <f>VLOOKUP(A:A,'ITEM LIST'!A:C,3,0)</f>
        <v>#N/A</v>
      </c>
    </row>
    <row r="23073" spans="3:3" x14ac:dyDescent="0.2">
      <c r="C23073" s="8" t="e">
        <f>VLOOKUP(A:A,'ITEM LIST'!A:C,3,0)</f>
        <v>#N/A</v>
      </c>
    </row>
    <row r="23074" spans="3:3" x14ac:dyDescent="0.2">
      <c r="C23074" s="8" t="e">
        <f>VLOOKUP(A:A,'ITEM LIST'!A:C,3,0)</f>
        <v>#N/A</v>
      </c>
    </row>
    <row r="23075" spans="3:3" x14ac:dyDescent="0.2">
      <c r="C23075" s="8" t="e">
        <f>VLOOKUP(A:A,'ITEM LIST'!A:C,3,0)</f>
        <v>#N/A</v>
      </c>
    </row>
    <row r="23076" spans="3:3" x14ac:dyDescent="0.2">
      <c r="C23076" s="8" t="e">
        <f>VLOOKUP(A:A,'ITEM LIST'!A:C,3,0)</f>
        <v>#N/A</v>
      </c>
    </row>
    <row r="23077" spans="3:3" x14ac:dyDescent="0.2">
      <c r="C23077" s="8" t="e">
        <f>VLOOKUP(A:A,'ITEM LIST'!A:C,3,0)</f>
        <v>#N/A</v>
      </c>
    </row>
    <row r="23078" spans="3:3" x14ac:dyDescent="0.2">
      <c r="C23078" s="8" t="e">
        <f>VLOOKUP(A:A,'ITEM LIST'!A:C,3,0)</f>
        <v>#N/A</v>
      </c>
    </row>
    <row r="23079" spans="3:3" x14ac:dyDescent="0.2">
      <c r="C23079" s="8" t="e">
        <f>VLOOKUP(A:A,'ITEM LIST'!A:C,3,0)</f>
        <v>#N/A</v>
      </c>
    </row>
    <row r="23080" spans="3:3" x14ac:dyDescent="0.2">
      <c r="C23080" s="8" t="e">
        <f>VLOOKUP(A:A,'ITEM LIST'!A:C,3,0)</f>
        <v>#N/A</v>
      </c>
    </row>
    <row r="23081" spans="3:3" x14ac:dyDescent="0.2">
      <c r="C23081" s="8" t="e">
        <f>VLOOKUP(A:A,'ITEM LIST'!A:C,3,0)</f>
        <v>#N/A</v>
      </c>
    </row>
    <row r="23082" spans="3:3" x14ac:dyDescent="0.2">
      <c r="C23082" s="8" t="e">
        <f>VLOOKUP(A:A,'ITEM LIST'!A:C,3,0)</f>
        <v>#N/A</v>
      </c>
    </row>
    <row r="23083" spans="3:3" x14ac:dyDescent="0.2">
      <c r="C23083" s="8" t="e">
        <f>VLOOKUP(A:A,'ITEM LIST'!A:C,3,0)</f>
        <v>#N/A</v>
      </c>
    </row>
    <row r="23084" spans="3:3" x14ac:dyDescent="0.2">
      <c r="C23084" s="8" t="e">
        <f>VLOOKUP(A:A,'ITEM LIST'!A:C,3,0)</f>
        <v>#N/A</v>
      </c>
    </row>
    <row r="23085" spans="3:3" x14ac:dyDescent="0.2">
      <c r="C23085" s="8" t="e">
        <f>VLOOKUP(A:A,'ITEM LIST'!A:C,3,0)</f>
        <v>#N/A</v>
      </c>
    </row>
    <row r="23086" spans="3:3" x14ac:dyDescent="0.2">
      <c r="C23086" s="8" t="e">
        <f>VLOOKUP(A:A,'ITEM LIST'!A:C,3,0)</f>
        <v>#N/A</v>
      </c>
    </row>
    <row r="23087" spans="3:3" x14ac:dyDescent="0.2">
      <c r="C23087" s="8" t="e">
        <f>VLOOKUP(A:A,'ITEM LIST'!A:C,3,0)</f>
        <v>#N/A</v>
      </c>
    </row>
    <row r="23088" spans="3:3" x14ac:dyDescent="0.2">
      <c r="C23088" s="8" t="e">
        <f>VLOOKUP(A:A,'ITEM LIST'!A:C,3,0)</f>
        <v>#N/A</v>
      </c>
    </row>
    <row r="23089" spans="3:3" x14ac:dyDescent="0.2">
      <c r="C23089" s="8" t="e">
        <f>VLOOKUP(A:A,'ITEM LIST'!A:C,3,0)</f>
        <v>#N/A</v>
      </c>
    </row>
    <row r="23090" spans="3:3" x14ac:dyDescent="0.2">
      <c r="C23090" s="8" t="e">
        <f>VLOOKUP(A:A,'ITEM LIST'!A:C,3,0)</f>
        <v>#N/A</v>
      </c>
    </row>
    <row r="23091" spans="3:3" x14ac:dyDescent="0.2">
      <c r="C23091" s="8" t="e">
        <f>VLOOKUP(A:A,'ITEM LIST'!A:C,3,0)</f>
        <v>#N/A</v>
      </c>
    </row>
    <row r="23092" spans="3:3" x14ac:dyDescent="0.2">
      <c r="C23092" s="8" t="e">
        <f>VLOOKUP(A:A,'ITEM LIST'!A:C,3,0)</f>
        <v>#N/A</v>
      </c>
    </row>
    <row r="23093" spans="3:3" x14ac:dyDescent="0.2">
      <c r="C23093" s="8" t="e">
        <f>VLOOKUP(A:A,'ITEM LIST'!A:C,3,0)</f>
        <v>#N/A</v>
      </c>
    </row>
    <row r="23094" spans="3:3" x14ac:dyDescent="0.2">
      <c r="C23094" s="8" t="e">
        <f>VLOOKUP(A:A,'ITEM LIST'!A:C,3,0)</f>
        <v>#N/A</v>
      </c>
    </row>
    <row r="23095" spans="3:3" x14ac:dyDescent="0.2">
      <c r="C23095" s="8" t="e">
        <f>VLOOKUP(A:A,'ITEM LIST'!A:C,3,0)</f>
        <v>#N/A</v>
      </c>
    </row>
    <row r="23096" spans="3:3" x14ac:dyDescent="0.2">
      <c r="C23096" s="8" t="e">
        <f>VLOOKUP(A:A,'ITEM LIST'!A:C,3,0)</f>
        <v>#N/A</v>
      </c>
    </row>
    <row r="23097" spans="3:3" x14ac:dyDescent="0.2">
      <c r="C23097" s="8" t="e">
        <f>VLOOKUP(A:A,'ITEM LIST'!A:C,3,0)</f>
        <v>#N/A</v>
      </c>
    </row>
    <row r="23098" spans="3:3" x14ac:dyDescent="0.2">
      <c r="C23098" s="8" t="e">
        <f>VLOOKUP(A:A,'ITEM LIST'!A:C,3,0)</f>
        <v>#N/A</v>
      </c>
    </row>
    <row r="23099" spans="3:3" x14ac:dyDescent="0.2">
      <c r="C23099" s="8" t="e">
        <f>VLOOKUP(A:A,'ITEM LIST'!A:C,3,0)</f>
        <v>#N/A</v>
      </c>
    </row>
    <row r="23100" spans="3:3" x14ac:dyDescent="0.2">
      <c r="C23100" s="8" t="e">
        <f>VLOOKUP(A:A,'ITEM LIST'!A:C,3,0)</f>
        <v>#N/A</v>
      </c>
    </row>
    <row r="23101" spans="3:3" x14ac:dyDescent="0.2">
      <c r="C23101" s="8" t="e">
        <f>VLOOKUP(A:A,'ITEM LIST'!A:C,3,0)</f>
        <v>#N/A</v>
      </c>
    </row>
    <row r="23102" spans="3:3" x14ac:dyDescent="0.2">
      <c r="C23102" s="8" t="e">
        <f>VLOOKUP(A:A,'ITEM LIST'!A:C,3,0)</f>
        <v>#N/A</v>
      </c>
    </row>
    <row r="23103" spans="3:3" x14ac:dyDescent="0.2">
      <c r="C23103" s="8" t="e">
        <f>VLOOKUP(A:A,'ITEM LIST'!A:C,3,0)</f>
        <v>#N/A</v>
      </c>
    </row>
    <row r="23104" spans="3:3" x14ac:dyDescent="0.2">
      <c r="C23104" s="8" t="e">
        <f>VLOOKUP(A:A,'ITEM LIST'!A:C,3,0)</f>
        <v>#N/A</v>
      </c>
    </row>
    <row r="23105" spans="3:3" x14ac:dyDescent="0.2">
      <c r="C23105" s="8" t="e">
        <f>VLOOKUP(A:A,'ITEM LIST'!A:C,3,0)</f>
        <v>#N/A</v>
      </c>
    </row>
    <row r="23106" spans="3:3" x14ac:dyDescent="0.2">
      <c r="C23106" s="8" t="e">
        <f>VLOOKUP(A:A,'ITEM LIST'!A:C,3,0)</f>
        <v>#N/A</v>
      </c>
    </row>
    <row r="23107" spans="3:3" x14ac:dyDescent="0.2">
      <c r="C23107" s="8" t="e">
        <f>VLOOKUP(A:A,'ITEM LIST'!A:C,3,0)</f>
        <v>#N/A</v>
      </c>
    </row>
    <row r="23108" spans="3:3" x14ac:dyDescent="0.2">
      <c r="C23108" s="8" t="e">
        <f>VLOOKUP(A:A,'ITEM LIST'!A:C,3,0)</f>
        <v>#N/A</v>
      </c>
    </row>
    <row r="23109" spans="3:3" x14ac:dyDescent="0.2">
      <c r="C23109" s="8" t="e">
        <f>VLOOKUP(A:A,'ITEM LIST'!A:C,3,0)</f>
        <v>#N/A</v>
      </c>
    </row>
    <row r="23110" spans="3:3" x14ac:dyDescent="0.2">
      <c r="C23110" s="8" t="e">
        <f>VLOOKUP(A:A,'ITEM LIST'!A:C,3,0)</f>
        <v>#N/A</v>
      </c>
    </row>
    <row r="23111" spans="3:3" x14ac:dyDescent="0.2">
      <c r="C23111" s="8" t="e">
        <f>VLOOKUP(A:A,'ITEM LIST'!A:C,3,0)</f>
        <v>#N/A</v>
      </c>
    </row>
    <row r="23112" spans="3:3" x14ac:dyDescent="0.2">
      <c r="C23112" s="8" t="e">
        <f>VLOOKUP(A:A,'ITEM LIST'!A:C,3,0)</f>
        <v>#N/A</v>
      </c>
    </row>
    <row r="23113" spans="3:3" x14ac:dyDescent="0.2">
      <c r="C23113" s="8" t="e">
        <f>VLOOKUP(A:A,'ITEM LIST'!A:C,3,0)</f>
        <v>#N/A</v>
      </c>
    </row>
    <row r="23114" spans="3:3" x14ac:dyDescent="0.2">
      <c r="C23114" s="8" t="e">
        <f>VLOOKUP(A:A,'ITEM LIST'!A:C,3,0)</f>
        <v>#N/A</v>
      </c>
    </row>
    <row r="23115" spans="3:3" x14ac:dyDescent="0.2">
      <c r="C23115" s="8" t="e">
        <f>VLOOKUP(A:A,'ITEM LIST'!A:C,3,0)</f>
        <v>#N/A</v>
      </c>
    </row>
    <row r="23116" spans="3:3" x14ac:dyDescent="0.2">
      <c r="C23116" s="8" t="e">
        <f>VLOOKUP(A:A,'ITEM LIST'!A:C,3,0)</f>
        <v>#N/A</v>
      </c>
    </row>
    <row r="23117" spans="3:3" x14ac:dyDescent="0.2">
      <c r="C23117" s="8" t="e">
        <f>VLOOKUP(A:A,'ITEM LIST'!A:C,3,0)</f>
        <v>#N/A</v>
      </c>
    </row>
    <row r="23118" spans="3:3" x14ac:dyDescent="0.2">
      <c r="C23118" s="8" t="e">
        <f>VLOOKUP(A:A,'ITEM LIST'!A:C,3,0)</f>
        <v>#N/A</v>
      </c>
    </row>
    <row r="23119" spans="3:3" x14ac:dyDescent="0.2">
      <c r="C23119" s="8" t="e">
        <f>VLOOKUP(A:A,'ITEM LIST'!A:C,3,0)</f>
        <v>#N/A</v>
      </c>
    </row>
    <row r="23120" spans="3:3" x14ac:dyDescent="0.2">
      <c r="C23120" s="8" t="e">
        <f>VLOOKUP(A:A,'ITEM LIST'!A:C,3,0)</f>
        <v>#N/A</v>
      </c>
    </row>
    <row r="23121" spans="3:3" x14ac:dyDescent="0.2">
      <c r="C23121" s="8" t="e">
        <f>VLOOKUP(A:A,'ITEM LIST'!A:C,3,0)</f>
        <v>#N/A</v>
      </c>
    </row>
    <row r="23122" spans="3:3" x14ac:dyDescent="0.2">
      <c r="C23122" s="8" t="e">
        <f>VLOOKUP(A:A,'ITEM LIST'!A:C,3,0)</f>
        <v>#N/A</v>
      </c>
    </row>
    <row r="23123" spans="3:3" x14ac:dyDescent="0.2">
      <c r="C23123" s="8" t="e">
        <f>VLOOKUP(A:A,'ITEM LIST'!A:C,3,0)</f>
        <v>#N/A</v>
      </c>
    </row>
    <row r="23124" spans="3:3" x14ac:dyDescent="0.2">
      <c r="C23124" s="8" t="e">
        <f>VLOOKUP(A:A,'ITEM LIST'!A:C,3,0)</f>
        <v>#N/A</v>
      </c>
    </row>
    <row r="23125" spans="3:3" x14ac:dyDescent="0.2">
      <c r="C23125" s="8" t="e">
        <f>VLOOKUP(A:A,'ITEM LIST'!A:C,3,0)</f>
        <v>#N/A</v>
      </c>
    </row>
    <row r="23126" spans="3:3" x14ac:dyDescent="0.2">
      <c r="C23126" s="8" t="e">
        <f>VLOOKUP(A:A,'ITEM LIST'!A:C,3,0)</f>
        <v>#N/A</v>
      </c>
    </row>
    <row r="23127" spans="3:3" x14ac:dyDescent="0.2">
      <c r="C23127" s="8" t="e">
        <f>VLOOKUP(A:A,'ITEM LIST'!A:C,3,0)</f>
        <v>#N/A</v>
      </c>
    </row>
    <row r="23128" spans="3:3" x14ac:dyDescent="0.2">
      <c r="C23128" s="8" t="e">
        <f>VLOOKUP(A:A,'ITEM LIST'!A:C,3,0)</f>
        <v>#N/A</v>
      </c>
    </row>
    <row r="23129" spans="3:3" x14ac:dyDescent="0.2">
      <c r="C23129" s="8" t="e">
        <f>VLOOKUP(A:A,'ITEM LIST'!A:C,3,0)</f>
        <v>#N/A</v>
      </c>
    </row>
    <row r="23130" spans="3:3" x14ac:dyDescent="0.2">
      <c r="C23130" s="8" t="e">
        <f>VLOOKUP(A:A,'ITEM LIST'!A:C,3,0)</f>
        <v>#N/A</v>
      </c>
    </row>
    <row r="23131" spans="3:3" x14ac:dyDescent="0.2">
      <c r="C23131" s="8" t="e">
        <f>VLOOKUP(A:A,'ITEM LIST'!A:C,3,0)</f>
        <v>#N/A</v>
      </c>
    </row>
    <row r="23132" spans="3:3" x14ac:dyDescent="0.2">
      <c r="C23132" s="8" t="e">
        <f>VLOOKUP(A:A,'ITEM LIST'!A:C,3,0)</f>
        <v>#N/A</v>
      </c>
    </row>
    <row r="23133" spans="3:3" x14ac:dyDescent="0.2">
      <c r="C23133" s="8" t="e">
        <f>VLOOKUP(A:A,'ITEM LIST'!A:C,3,0)</f>
        <v>#N/A</v>
      </c>
    </row>
    <row r="23134" spans="3:3" x14ac:dyDescent="0.2">
      <c r="C23134" s="8" t="e">
        <f>VLOOKUP(A:A,'ITEM LIST'!A:C,3,0)</f>
        <v>#N/A</v>
      </c>
    </row>
    <row r="23135" spans="3:3" x14ac:dyDescent="0.2">
      <c r="C23135" s="8" t="e">
        <f>VLOOKUP(A:A,'ITEM LIST'!A:C,3,0)</f>
        <v>#N/A</v>
      </c>
    </row>
    <row r="23136" spans="3:3" x14ac:dyDescent="0.2">
      <c r="C23136" s="8" t="e">
        <f>VLOOKUP(A:A,'ITEM LIST'!A:C,3,0)</f>
        <v>#N/A</v>
      </c>
    </row>
    <row r="23137" spans="3:3" x14ac:dyDescent="0.2">
      <c r="C23137" s="8" t="e">
        <f>VLOOKUP(A:A,'ITEM LIST'!A:C,3,0)</f>
        <v>#N/A</v>
      </c>
    </row>
    <row r="23138" spans="3:3" x14ac:dyDescent="0.2">
      <c r="C23138" s="8" t="e">
        <f>VLOOKUP(A:A,'ITEM LIST'!A:C,3,0)</f>
        <v>#N/A</v>
      </c>
    </row>
    <row r="23139" spans="3:3" x14ac:dyDescent="0.2">
      <c r="C23139" s="8" t="e">
        <f>VLOOKUP(A:A,'ITEM LIST'!A:C,3,0)</f>
        <v>#N/A</v>
      </c>
    </row>
    <row r="23140" spans="3:3" x14ac:dyDescent="0.2">
      <c r="C23140" s="8" t="e">
        <f>VLOOKUP(A:A,'ITEM LIST'!A:C,3,0)</f>
        <v>#N/A</v>
      </c>
    </row>
    <row r="23141" spans="3:3" x14ac:dyDescent="0.2">
      <c r="C23141" s="8" t="e">
        <f>VLOOKUP(A:A,'ITEM LIST'!A:C,3,0)</f>
        <v>#N/A</v>
      </c>
    </row>
    <row r="23142" spans="3:3" x14ac:dyDescent="0.2">
      <c r="C23142" s="8" t="e">
        <f>VLOOKUP(A:A,'ITEM LIST'!A:C,3,0)</f>
        <v>#N/A</v>
      </c>
    </row>
    <row r="23143" spans="3:3" x14ac:dyDescent="0.2">
      <c r="C23143" s="8" t="e">
        <f>VLOOKUP(A:A,'ITEM LIST'!A:C,3,0)</f>
        <v>#N/A</v>
      </c>
    </row>
    <row r="23144" spans="3:3" x14ac:dyDescent="0.2">
      <c r="C23144" s="8" t="e">
        <f>VLOOKUP(A:A,'ITEM LIST'!A:C,3,0)</f>
        <v>#N/A</v>
      </c>
    </row>
    <row r="23145" spans="3:3" x14ac:dyDescent="0.2">
      <c r="C23145" s="8" t="e">
        <f>VLOOKUP(A:A,'ITEM LIST'!A:C,3,0)</f>
        <v>#N/A</v>
      </c>
    </row>
    <row r="23146" spans="3:3" x14ac:dyDescent="0.2">
      <c r="C23146" s="8" t="e">
        <f>VLOOKUP(A:A,'ITEM LIST'!A:C,3,0)</f>
        <v>#N/A</v>
      </c>
    </row>
    <row r="23147" spans="3:3" x14ac:dyDescent="0.2">
      <c r="C23147" s="8" t="e">
        <f>VLOOKUP(A:A,'ITEM LIST'!A:C,3,0)</f>
        <v>#N/A</v>
      </c>
    </row>
    <row r="23148" spans="3:3" x14ac:dyDescent="0.2">
      <c r="C23148" s="8" t="e">
        <f>VLOOKUP(A:A,'ITEM LIST'!A:C,3,0)</f>
        <v>#N/A</v>
      </c>
    </row>
    <row r="23149" spans="3:3" x14ac:dyDescent="0.2">
      <c r="C23149" s="8" t="e">
        <f>VLOOKUP(A:A,'ITEM LIST'!A:C,3,0)</f>
        <v>#N/A</v>
      </c>
    </row>
    <row r="23150" spans="3:3" x14ac:dyDescent="0.2">
      <c r="C23150" s="8" t="e">
        <f>VLOOKUP(A:A,'ITEM LIST'!A:C,3,0)</f>
        <v>#N/A</v>
      </c>
    </row>
    <row r="23151" spans="3:3" x14ac:dyDescent="0.2">
      <c r="C23151" s="8" t="e">
        <f>VLOOKUP(A:A,'ITEM LIST'!A:C,3,0)</f>
        <v>#N/A</v>
      </c>
    </row>
    <row r="23152" spans="3:3" x14ac:dyDescent="0.2">
      <c r="C23152" s="8" t="e">
        <f>VLOOKUP(A:A,'ITEM LIST'!A:C,3,0)</f>
        <v>#N/A</v>
      </c>
    </row>
    <row r="23153" spans="3:3" x14ac:dyDescent="0.2">
      <c r="C23153" s="8" t="e">
        <f>VLOOKUP(A:A,'ITEM LIST'!A:C,3,0)</f>
        <v>#N/A</v>
      </c>
    </row>
    <row r="23154" spans="3:3" x14ac:dyDescent="0.2">
      <c r="C23154" s="8" t="e">
        <f>VLOOKUP(A:A,'ITEM LIST'!A:C,3,0)</f>
        <v>#N/A</v>
      </c>
    </row>
    <row r="23155" spans="3:3" x14ac:dyDescent="0.2">
      <c r="C23155" s="8" t="e">
        <f>VLOOKUP(A:A,'ITEM LIST'!A:C,3,0)</f>
        <v>#N/A</v>
      </c>
    </row>
    <row r="23156" spans="3:3" x14ac:dyDescent="0.2">
      <c r="C23156" s="8" t="e">
        <f>VLOOKUP(A:A,'ITEM LIST'!A:C,3,0)</f>
        <v>#N/A</v>
      </c>
    </row>
    <row r="23157" spans="3:3" x14ac:dyDescent="0.2">
      <c r="C23157" s="8" t="e">
        <f>VLOOKUP(A:A,'ITEM LIST'!A:C,3,0)</f>
        <v>#N/A</v>
      </c>
    </row>
    <row r="23158" spans="3:3" x14ac:dyDescent="0.2">
      <c r="C23158" s="8" t="e">
        <f>VLOOKUP(A:A,'ITEM LIST'!A:C,3,0)</f>
        <v>#N/A</v>
      </c>
    </row>
    <row r="23159" spans="3:3" x14ac:dyDescent="0.2">
      <c r="C23159" s="8" t="e">
        <f>VLOOKUP(A:A,'ITEM LIST'!A:C,3,0)</f>
        <v>#N/A</v>
      </c>
    </row>
    <row r="23160" spans="3:3" x14ac:dyDescent="0.2">
      <c r="C23160" s="8" t="e">
        <f>VLOOKUP(A:A,'ITEM LIST'!A:C,3,0)</f>
        <v>#N/A</v>
      </c>
    </row>
    <row r="23161" spans="3:3" x14ac:dyDescent="0.2">
      <c r="C23161" s="8" t="e">
        <f>VLOOKUP(A:A,'ITEM LIST'!A:C,3,0)</f>
        <v>#N/A</v>
      </c>
    </row>
    <row r="23162" spans="3:3" x14ac:dyDescent="0.2">
      <c r="C23162" s="8" t="e">
        <f>VLOOKUP(A:A,'ITEM LIST'!A:C,3,0)</f>
        <v>#N/A</v>
      </c>
    </row>
    <row r="23163" spans="3:3" x14ac:dyDescent="0.2">
      <c r="C23163" s="8" t="e">
        <f>VLOOKUP(A:A,'ITEM LIST'!A:C,3,0)</f>
        <v>#N/A</v>
      </c>
    </row>
    <row r="23164" spans="3:3" x14ac:dyDescent="0.2">
      <c r="C23164" s="8" t="e">
        <f>VLOOKUP(A:A,'ITEM LIST'!A:C,3,0)</f>
        <v>#N/A</v>
      </c>
    </row>
    <row r="23165" spans="3:3" x14ac:dyDescent="0.2">
      <c r="C23165" s="8" t="e">
        <f>VLOOKUP(A:A,'ITEM LIST'!A:C,3,0)</f>
        <v>#N/A</v>
      </c>
    </row>
    <row r="23166" spans="3:3" x14ac:dyDescent="0.2">
      <c r="C23166" s="8" t="e">
        <f>VLOOKUP(A:A,'ITEM LIST'!A:C,3,0)</f>
        <v>#N/A</v>
      </c>
    </row>
    <row r="23167" spans="3:3" x14ac:dyDescent="0.2">
      <c r="C23167" s="8" t="e">
        <f>VLOOKUP(A:A,'ITEM LIST'!A:C,3,0)</f>
        <v>#N/A</v>
      </c>
    </row>
    <row r="23168" spans="3:3" x14ac:dyDescent="0.2">
      <c r="C23168" s="8" t="e">
        <f>VLOOKUP(A:A,'ITEM LIST'!A:C,3,0)</f>
        <v>#N/A</v>
      </c>
    </row>
    <row r="23169" spans="3:3" x14ac:dyDescent="0.2">
      <c r="C23169" s="8" t="e">
        <f>VLOOKUP(A:A,'ITEM LIST'!A:C,3,0)</f>
        <v>#N/A</v>
      </c>
    </row>
    <row r="23170" spans="3:3" x14ac:dyDescent="0.2">
      <c r="C23170" s="8" t="e">
        <f>VLOOKUP(A:A,'ITEM LIST'!A:C,3,0)</f>
        <v>#N/A</v>
      </c>
    </row>
    <row r="23171" spans="3:3" x14ac:dyDescent="0.2">
      <c r="C23171" s="8" t="e">
        <f>VLOOKUP(A:A,'ITEM LIST'!A:C,3,0)</f>
        <v>#N/A</v>
      </c>
    </row>
    <row r="23172" spans="3:3" x14ac:dyDescent="0.2">
      <c r="C23172" s="8" t="e">
        <f>VLOOKUP(A:A,'ITEM LIST'!A:C,3,0)</f>
        <v>#N/A</v>
      </c>
    </row>
    <row r="23173" spans="3:3" x14ac:dyDescent="0.2">
      <c r="C23173" s="8" t="e">
        <f>VLOOKUP(A:A,'ITEM LIST'!A:C,3,0)</f>
        <v>#N/A</v>
      </c>
    </row>
    <row r="23174" spans="3:3" x14ac:dyDescent="0.2">
      <c r="C23174" s="8" t="e">
        <f>VLOOKUP(A:A,'ITEM LIST'!A:C,3,0)</f>
        <v>#N/A</v>
      </c>
    </row>
    <row r="23175" spans="3:3" x14ac:dyDescent="0.2">
      <c r="C23175" s="8" t="e">
        <f>VLOOKUP(A:A,'ITEM LIST'!A:C,3,0)</f>
        <v>#N/A</v>
      </c>
    </row>
    <row r="23176" spans="3:3" x14ac:dyDescent="0.2">
      <c r="C23176" s="8" t="e">
        <f>VLOOKUP(A:A,'ITEM LIST'!A:C,3,0)</f>
        <v>#N/A</v>
      </c>
    </row>
    <row r="23177" spans="3:3" x14ac:dyDescent="0.2">
      <c r="C23177" s="8" t="e">
        <f>VLOOKUP(A:A,'ITEM LIST'!A:C,3,0)</f>
        <v>#N/A</v>
      </c>
    </row>
    <row r="23178" spans="3:3" x14ac:dyDescent="0.2">
      <c r="C23178" s="8" t="e">
        <f>VLOOKUP(A:A,'ITEM LIST'!A:C,3,0)</f>
        <v>#N/A</v>
      </c>
    </row>
    <row r="23179" spans="3:3" x14ac:dyDescent="0.2">
      <c r="C23179" s="8" t="e">
        <f>VLOOKUP(A:A,'ITEM LIST'!A:C,3,0)</f>
        <v>#N/A</v>
      </c>
    </row>
    <row r="23180" spans="3:3" x14ac:dyDescent="0.2">
      <c r="C23180" s="8" t="e">
        <f>VLOOKUP(A:A,'ITEM LIST'!A:C,3,0)</f>
        <v>#N/A</v>
      </c>
    </row>
    <row r="23181" spans="3:3" x14ac:dyDescent="0.2">
      <c r="C23181" s="8" t="e">
        <f>VLOOKUP(A:A,'ITEM LIST'!A:C,3,0)</f>
        <v>#N/A</v>
      </c>
    </row>
    <row r="23182" spans="3:3" x14ac:dyDescent="0.2">
      <c r="C23182" s="8" t="e">
        <f>VLOOKUP(A:A,'ITEM LIST'!A:C,3,0)</f>
        <v>#N/A</v>
      </c>
    </row>
    <row r="23183" spans="3:3" x14ac:dyDescent="0.2">
      <c r="C23183" s="8" t="e">
        <f>VLOOKUP(A:A,'ITEM LIST'!A:C,3,0)</f>
        <v>#N/A</v>
      </c>
    </row>
    <row r="23184" spans="3:3" x14ac:dyDescent="0.2">
      <c r="C23184" s="8" t="e">
        <f>VLOOKUP(A:A,'ITEM LIST'!A:C,3,0)</f>
        <v>#N/A</v>
      </c>
    </row>
    <row r="23185" spans="3:3" x14ac:dyDescent="0.2">
      <c r="C23185" s="8" t="e">
        <f>VLOOKUP(A:A,'ITEM LIST'!A:C,3,0)</f>
        <v>#N/A</v>
      </c>
    </row>
    <row r="23186" spans="3:3" x14ac:dyDescent="0.2">
      <c r="C23186" s="8" t="e">
        <f>VLOOKUP(A:A,'ITEM LIST'!A:C,3,0)</f>
        <v>#N/A</v>
      </c>
    </row>
    <row r="23187" spans="3:3" x14ac:dyDescent="0.2">
      <c r="C23187" s="8" t="e">
        <f>VLOOKUP(A:A,'ITEM LIST'!A:C,3,0)</f>
        <v>#N/A</v>
      </c>
    </row>
    <row r="23188" spans="3:3" x14ac:dyDescent="0.2">
      <c r="C23188" s="8" t="e">
        <f>VLOOKUP(A:A,'ITEM LIST'!A:C,3,0)</f>
        <v>#N/A</v>
      </c>
    </row>
    <row r="23189" spans="3:3" x14ac:dyDescent="0.2">
      <c r="C23189" s="8" t="e">
        <f>VLOOKUP(A:A,'ITEM LIST'!A:C,3,0)</f>
        <v>#N/A</v>
      </c>
    </row>
    <row r="23190" spans="3:3" x14ac:dyDescent="0.2">
      <c r="C23190" s="8" t="e">
        <f>VLOOKUP(A:A,'ITEM LIST'!A:C,3,0)</f>
        <v>#N/A</v>
      </c>
    </row>
    <row r="23191" spans="3:3" x14ac:dyDescent="0.2">
      <c r="C23191" s="8" t="e">
        <f>VLOOKUP(A:A,'ITEM LIST'!A:C,3,0)</f>
        <v>#N/A</v>
      </c>
    </row>
    <row r="23192" spans="3:3" x14ac:dyDescent="0.2">
      <c r="C23192" s="8" t="e">
        <f>VLOOKUP(A:A,'ITEM LIST'!A:C,3,0)</f>
        <v>#N/A</v>
      </c>
    </row>
    <row r="23193" spans="3:3" x14ac:dyDescent="0.2">
      <c r="C23193" s="8" t="e">
        <f>VLOOKUP(A:A,'ITEM LIST'!A:C,3,0)</f>
        <v>#N/A</v>
      </c>
    </row>
    <row r="23194" spans="3:3" x14ac:dyDescent="0.2">
      <c r="C23194" s="8" t="e">
        <f>VLOOKUP(A:A,'ITEM LIST'!A:C,3,0)</f>
        <v>#N/A</v>
      </c>
    </row>
    <row r="23195" spans="3:3" x14ac:dyDescent="0.2">
      <c r="C23195" s="8" t="e">
        <f>VLOOKUP(A:A,'ITEM LIST'!A:C,3,0)</f>
        <v>#N/A</v>
      </c>
    </row>
    <row r="23196" spans="3:3" x14ac:dyDescent="0.2">
      <c r="C23196" s="8" t="e">
        <f>VLOOKUP(A:A,'ITEM LIST'!A:C,3,0)</f>
        <v>#N/A</v>
      </c>
    </row>
    <row r="23197" spans="3:3" x14ac:dyDescent="0.2">
      <c r="C23197" s="8" t="e">
        <f>VLOOKUP(A:A,'ITEM LIST'!A:C,3,0)</f>
        <v>#N/A</v>
      </c>
    </row>
    <row r="23198" spans="3:3" x14ac:dyDescent="0.2">
      <c r="C23198" s="8" t="e">
        <f>VLOOKUP(A:A,'ITEM LIST'!A:C,3,0)</f>
        <v>#N/A</v>
      </c>
    </row>
    <row r="23199" spans="3:3" x14ac:dyDescent="0.2">
      <c r="C23199" s="8" t="e">
        <f>VLOOKUP(A:A,'ITEM LIST'!A:C,3,0)</f>
        <v>#N/A</v>
      </c>
    </row>
    <row r="23200" spans="3:3" x14ac:dyDescent="0.2">
      <c r="C23200" s="8" t="e">
        <f>VLOOKUP(A:A,'ITEM LIST'!A:C,3,0)</f>
        <v>#N/A</v>
      </c>
    </row>
    <row r="23201" spans="3:3" x14ac:dyDescent="0.2">
      <c r="C23201" s="8" t="e">
        <f>VLOOKUP(A:A,'ITEM LIST'!A:C,3,0)</f>
        <v>#N/A</v>
      </c>
    </row>
    <row r="23202" spans="3:3" x14ac:dyDescent="0.2">
      <c r="C23202" s="8" t="e">
        <f>VLOOKUP(A:A,'ITEM LIST'!A:C,3,0)</f>
        <v>#N/A</v>
      </c>
    </row>
    <row r="23203" spans="3:3" x14ac:dyDescent="0.2">
      <c r="C23203" s="8" t="e">
        <f>VLOOKUP(A:A,'ITEM LIST'!A:C,3,0)</f>
        <v>#N/A</v>
      </c>
    </row>
    <row r="23204" spans="3:3" x14ac:dyDescent="0.2">
      <c r="C23204" s="8" t="e">
        <f>VLOOKUP(A:A,'ITEM LIST'!A:C,3,0)</f>
        <v>#N/A</v>
      </c>
    </row>
    <row r="23205" spans="3:3" x14ac:dyDescent="0.2">
      <c r="C23205" s="8" t="e">
        <f>VLOOKUP(A:A,'ITEM LIST'!A:C,3,0)</f>
        <v>#N/A</v>
      </c>
    </row>
    <row r="23206" spans="3:3" x14ac:dyDescent="0.2">
      <c r="C23206" s="8" t="e">
        <f>VLOOKUP(A:A,'ITEM LIST'!A:C,3,0)</f>
        <v>#N/A</v>
      </c>
    </row>
    <row r="23207" spans="3:3" x14ac:dyDescent="0.2">
      <c r="C23207" s="8" t="e">
        <f>VLOOKUP(A:A,'ITEM LIST'!A:C,3,0)</f>
        <v>#N/A</v>
      </c>
    </row>
    <row r="23208" spans="3:3" x14ac:dyDescent="0.2">
      <c r="C23208" s="8" t="e">
        <f>VLOOKUP(A:A,'ITEM LIST'!A:C,3,0)</f>
        <v>#N/A</v>
      </c>
    </row>
    <row r="23209" spans="3:3" x14ac:dyDescent="0.2">
      <c r="C23209" s="8" t="e">
        <f>VLOOKUP(A:A,'ITEM LIST'!A:C,3,0)</f>
        <v>#N/A</v>
      </c>
    </row>
    <row r="23210" spans="3:3" x14ac:dyDescent="0.2">
      <c r="C23210" s="8" t="e">
        <f>VLOOKUP(A:A,'ITEM LIST'!A:C,3,0)</f>
        <v>#N/A</v>
      </c>
    </row>
    <row r="23211" spans="3:3" x14ac:dyDescent="0.2">
      <c r="C23211" s="8" t="e">
        <f>VLOOKUP(A:A,'ITEM LIST'!A:C,3,0)</f>
        <v>#N/A</v>
      </c>
    </row>
    <row r="23212" spans="3:3" x14ac:dyDescent="0.2">
      <c r="C23212" s="8" t="e">
        <f>VLOOKUP(A:A,'ITEM LIST'!A:C,3,0)</f>
        <v>#N/A</v>
      </c>
    </row>
    <row r="23213" spans="3:3" x14ac:dyDescent="0.2">
      <c r="C23213" s="8" t="e">
        <f>VLOOKUP(A:A,'ITEM LIST'!A:C,3,0)</f>
        <v>#N/A</v>
      </c>
    </row>
    <row r="23214" spans="3:3" x14ac:dyDescent="0.2">
      <c r="C23214" s="8" t="e">
        <f>VLOOKUP(A:A,'ITEM LIST'!A:C,3,0)</f>
        <v>#N/A</v>
      </c>
    </row>
    <row r="23215" spans="3:3" x14ac:dyDescent="0.2">
      <c r="C23215" s="8" t="e">
        <f>VLOOKUP(A:A,'ITEM LIST'!A:C,3,0)</f>
        <v>#N/A</v>
      </c>
    </row>
    <row r="23216" spans="3:3" x14ac:dyDescent="0.2">
      <c r="C23216" s="8" t="e">
        <f>VLOOKUP(A:A,'ITEM LIST'!A:C,3,0)</f>
        <v>#N/A</v>
      </c>
    </row>
    <row r="23217" spans="3:3" x14ac:dyDescent="0.2">
      <c r="C23217" s="8" t="e">
        <f>VLOOKUP(A:A,'ITEM LIST'!A:C,3,0)</f>
        <v>#N/A</v>
      </c>
    </row>
    <row r="23218" spans="3:3" x14ac:dyDescent="0.2">
      <c r="C23218" s="8" t="e">
        <f>VLOOKUP(A:A,'ITEM LIST'!A:C,3,0)</f>
        <v>#N/A</v>
      </c>
    </row>
    <row r="23219" spans="3:3" x14ac:dyDescent="0.2">
      <c r="C23219" s="8" t="e">
        <f>VLOOKUP(A:A,'ITEM LIST'!A:C,3,0)</f>
        <v>#N/A</v>
      </c>
    </row>
    <row r="23220" spans="3:3" x14ac:dyDescent="0.2">
      <c r="C23220" s="8" t="e">
        <f>VLOOKUP(A:A,'ITEM LIST'!A:C,3,0)</f>
        <v>#N/A</v>
      </c>
    </row>
    <row r="23221" spans="3:3" x14ac:dyDescent="0.2">
      <c r="C23221" s="8" t="e">
        <f>VLOOKUP(A:A,'ITEM LIST'!A:C,3,0)</f>
        <v>#N/A</v>
      </c>
    </row>
    <row r="23222" spans="3:3" x14ac:dyDescent="0.2">
      <c r="C23222" s="8" t="e">
        <f>VLOOKUP(A:A,'ITEM LIST'!A:C,3,0)</f>
        <v>#N/A</v>
      </c>
    </row>
    <row r="23223" spans="3:3" x14ac:dyDescent="0.2">
      <c r="C23223" s="8" t="e">
        <f>VLOOKUP(A:A,'ITEM LIST'!A:C,3,0)</f>
        <v>#N/A</v>
      </c>
    </row>
    <row r="23224" spans="3:3" x14ac:dyDescent="0.2">
      <c r="C23224" s="8" t="e">
        <f>VLOOKUP(A:A,'ITEM LIST'!A:C,3,0)</f>
        <v>#N/A</v>
      </c>
    </row>
    <row r="23225" spans="3:3" x14ac:dyDescent="0.2">
      <c r="C23225" s="8" t="e">
        <f>VLOOKUP(A:A,'ITEM LIST'!A:C,3,0)</f>
        <v>#N/A</v>
      </c>
    </row>
    <row r="23226" spans="3:3" x14ac:dyDescent="0.2">
      <c r="C23226" s="8" t="e">
        <f>VLOOKUP(A:A,'ITEM LIST'!A:C,3,0)</f>
        <v>#N/A</v>
      </c>
    </row>
    <row r="23227" spans="3:3" x14ac:dyDescent="0.2">
      <c r="C23227" s="8" t="e">
        <f>VLOOKUP(A:A,'ITEM LIST'!A:C,3,0)</f>
        <v>#N/A</v>
      </c>
    </row>
    <row r="23228" spans="3:3" x14ac:dyDescent="0.2">
      <c r="C23228" s="8" t="e">
        <f>VLOOKUP(A:A,'ITEM LIST'!A:C,3,0)</f>
        <v>#N/A</v>
      </c>
    </row>
    <row r="23229" spans="3:3" x14ac:dyDescent="0.2">
      <c r="C23229" s="8" t="e">
        <f>VLOOKUP(A:A,'ITEM LIST'!A:C,3,0)</f>
        <v>#N/A</v>
      </c>
    </row>
    <row r="23230" spans="3:3" x14ac:dyDescent="0.2">
      <c r="C23230" s="8" t="e">
        <f>VLOOKUP(A:A,'ITEM LIST'!A:C,3,0)</f>
        <v>#N/A</v>
      </c>
    </row>
    <row r="23231" spans="3:3" x14ac:dyDescent="0.2">
      <c r="C23231" s="8" t="e">
        <f>VLOOKUP(A:A,'ITEM LIST'!A:C,3,0)</f>
        <v>#N/A</v>
      </c>
    </row>
    <row r="23232" spans="3:3" x14ac:dyDescent="0.2">
      <c r="C23232" s="8" t="e">
        <f>VLOOKUP(A:A,'ITEM LIST'!A:C,3,0)</f>
        <v>#N/A</v>
      </c>
    </row>
    <row r="23233" spans="3:3" x14ac:dyDescent="0.2">
      <c r="C23233" s="8" t="e">
        <f>VLOOKUP(A:A,'ITEM LIST'!A:C,3,0)</f>
        <v>#N/A</v>
      </c>
    </row>
    <row r="23234" spans="3:3" x14ac:dyDescent="0.2">
      <c r="C23234" s="8" t="e">
        <f>VLOOKUP(A:A,'ITEM LIST'!A:C,3,0)</f>
        <v>#N/A</v>
      </c>
    </row>
    <row r="23235" spans="3:3" x14ac:dyDescent="0.2">
      <c r="C23235" s="8" t="e">
        <f>VLOOKUP(A:A,'ITEM LIST'!A:C,3,0)</f>
        <v>#N/A</v>
      </c>
    </row>
    <row r="23236" spans="3:3" x14ac:dyDescent="0.2">
      <c r="C23236" s="8" t="e">
        <f>VLOOKUP(A:A,'ITEM LIST'!A:C,3,0)</f>
        <v>#N/A</v>
      </c>
    </row>
    <row r="23237" spans="3:3" x14ac:dyDescent="0.2">
      <c r="C23237" s="8" t="e">
        <f>VLOOKUP(A:A,'ITEM LIST'!A:C,3,0)</f>
        <v>#N/A</v>
      </c>
    </row>
    <row r="23238" spans="3:3" x14ac:dyDescent="0.2">
      <c r="C23238" s="8" t="e">
        <f>VLOOKUP(A:A,'ITEM LIST'!A:C,3,0)</f>
        <v>#N/A</v>
      </c>
    </row>
    <row r="23239" spans="3:3" x14ac:dyDescent="0.2">
      <c r="C23239" s="8" t="e">
        <f>VLOOKUP(A:A,'ITEM LIST'!A:C,3,0)</f>
        <v>#N/A</v>
      </c>
    </row>
    <row r="23240" spans="3:3" x14ac:dyDescent="0.2">
      <c r="C23240" s="8" t="e">
        <f>VLOOKUP(A:A,'ITEM LIST'!A:C,3,0)</f>
        <v>#N/A</v>
      </c>
    </row>
    <row r="23241" spans="3:3" x14ac:dyDescent="0.2">
      <c r="C23241" s="8" t="e">
        <f>VLOOKUP(A:A,'ITEM LIST'!A:C,3,0)</f>
        <v>#N/A</v>
      </c>
    </row>
    <row r="23242" spans="3:3" x14ac:dyDescent="0.2">
      <c r="C23242" s="8" t="e">
        <f>VLOOKUP(A:A,'ITEM LIST'!A:C,3,0)</f>
        <v>#N/A</v>
      </c>
    </row>
    <row r="23243" spans="3:3" x14ac:dyDescent="0.2">
      <c r="C23243" s="8" t="e">
        <f>VLOOKUP(A:A,'ITEM LIST'!A:C,3,0)</f>
        <v>#N/A</v>
      </c>
    </row>
    <row r="23244" spans="3:3" x14ac:dyDescent="0.2">
      <c r="C23244" s="8" t="e">
        <f>VLOOKUP(A:A,'ITEM LIST'!A:C,3,0)</f>
        <v>#N/A</v>
      </c>
    </row>
    <row r="23245" spans="3:3" x14ac:dyDescent="0.2">
      <c r="C23245" s="8" t="e">
        <f>VLOOKUP(A:A,'ITEM LIST'!A:C,3,0)</f>
        <v>#N/A</v>
      </c>
    </row>
    <row r="23246" spans="3:3" x14ac:dyDescent="0.2">
      <c r="C23246" s="8" t="e">
        <f>VLOOKUP(A:A,'ITEM LIST'!A:C,3,0)</f>
        <v>#N/A</v>
      </c>
    </row>
    <row r="23247" spans="3:3" x14ac:dyDescent="0.2">
      <c r="C23247" s="8" t="e">
        <f>VLOOKUP(A:A,'ITEM LIST'!A:C,3,0)</f>
        <v>#N/A</v>
      </c>
    </row>
    <row r="23248" spans="3:3" x14ac:dyDescent="0.2">
      <c r="C23248" s="8" t="e">
        <f>VLOOKUP(A:A,'ITEM LIST'!A:C,3,0)</f>
        <v>#N/A</v>
      </c>
    </row>
    <row r="23249" spans="3:3" x14ac:dyDescent="0.2">
      <c r="C23249" s="8" t="e">
        <f>VLOOKUP(A:A,'ITEM LIST'!A:C,3,0)</f>
        <v>#N/A</v>
      </c>
    </row>
    <row r="23250" spans="3:3" x14ac:dyDescent="0.2">
      <c r="C23250" s="8" t="e">
        <f>VLOOKUP(A:A,'ITEM LIST'!A:C,3,0)</f>
        <v>#N/A</v>
      </c>
    </row>
    <row r="23251" spans="3:3" x14ac:dyDescent="0.2">
      <c r="C23251" s="8" t="e">
        <f>VLOOKUP(A:A,'ITEM LIST'!A:C,3,0)</f>
        <v>#N/A</v>
      </c>
    </row>
    <row r="23252" spans="3:3" x14ac:dyDescent="0.2">
      <c r="C23252" s="8" t="e">
        <f>VLOOKUP(A:A,'ITEM LIST'!A:C,3,0)</f>
        <v>#N/A</v>
      </c>
    </row>
    <row r="23253" spans="3:3" x14ac:dyDescent="0.2">
      <c r="C23253" s="8" t="e">
        <f>VLOOKUP(A:A,'ITEM LIST'!A:C,3,0)</f>
        <v>#N/A</v>
      </c>
    </row>
    <row r="23254" spans="3:3" x14ac:dyDescent="0.2">
      <c r="C23254" s="8" t="e">
        <f>VLOOKUP(A:A,'ITEM LIST'!A:C,3,0)</f>
        <v>#N/A</v>
      </c>
    </row>
    <row r="23255" spans="3:3" x14ac:dyDescent="0.2">
      <c r="C23255" s="8" t="e">
        <f>VLOOKUP(A:A,'ITEM LIST'!A:C,3,0)</f>
        <v>#N/A</v>
      </c>
    </row>
    <row r="23256" spans="3:3" x14ac:dyDescent="0.2">
      <c r="C23256" s="8" t="e">
        <f>VLOOKUP(A:A,'ITEM LIST'!A:C,3,0)</f>
        <v>#N/A</v>
      </c>
    </row>
    <row r="23257" spans="3:3" x14ac:dyDescent="0.2">
      <c r="C23257" s="8" t="e">
        <f>VLOOKUP(A:A,'ITEM LIST'!A:C,3,0)</f>
        <v>#N/A</v>
      </c>
    </row>
    <row r="23258" spans="3:3" x14ac:dyDescent="0.2">
      <c r="C23258" s="8" t="e">
        <f>VLOOKUP(A:A,'ITEM LIST'!A:C,3,0)</f>
        <v>#N/A</v>
      </c>
    </row>
    <row r="23259" spans="3:3" x14ac:dyDescent="0.2">
      <c r="C23259" s="8" t="e">
        <f>VLOOKUP(A:A,'ITEM LIST'!A:C,3,0)</f>
        <v>#N/A</v>
      </c>
    </row>
    <row r="23260" spans="3:3" x14ac:dyDescent="0.2">
      <c r="C23260" s="8" t="e">
        <f>VLOOKUP(A:A,'ITEM LIST'!A:C,3,0)</f>
        <v>#N/A</v>
      </c>
    </row>
    <row r="23261" spans="3:3" x14ac:dyDescent="0.2">
      <c r="C23261" s="8" t="e">
        <f>VLOOKUP(A:A,'ITEM LIST'!A:C,3,0)</f>
        <v>#N/A</v>
      </c>
    </row>
    <row r="23262" spans="3:3" x14ac:dyDescent="0.2">
      <c r="C23262" s="8" t="e">
        <f>VLOOKUP(A:A,'ITEM LIST'!A:C,3,0)</f>
        <v>#N/A</v>
      </c>
    </row>
    <row r="23263" spans="3:3" x14ac:dyDescent="0.2">
      <c r="C23263" s="8" t="e">
        <f>VLOOKUP(A:A,'ITEM LIST'!A:C,3,0)</f>
        <v>#N/A</v>
      </c>
    </row>
    <row r="23264" spans="3:3" x14ac:dyDescent="0.2">
      <c r="C23264" s="8" t="e">
        <f>VLOOKUP(A:A,'ITEM LIST'!A:C,3,0)</f>
        <v>#N/A</v>
      </c>
    </row>
    <row r="23265" spans="3:3" x14ac:dyDescent="0.2">
      <c r="C23265" s="8" t="e">
        <f>VLOOKUP(A:A,'ITEM LIST'!A:C,3,0)</f>
        <v>#N/A</v>
      </c>
    </row>
    <row r="23266" spans="3:3" x14ac:dyDescent="0.2">
      <c r="C23266" s="8" t="e">
        <f>VLOOKUP(A:A,'ITEM LIST'!A:C,3,0)</f>
        <v>#N/A</v>
      </c>
    </row>
    <row r="23267" spans="3:3" x14ac:dyDescent="0.2">
      <c r="C23267" s="8" t="e">
        <f>VLOOKUP(A:A,'ITEM LIST'!A:C,3,0)</f>
        <v>#N/A</v>
      </c>
    </row>
    <row r="23268" spans="3:3" x14ac:dyDescent="0.2">
      <c r="C23268" s="8" t="e">
        <f>VLOOKUP(A:A,'ITEM LIST'!A:C,3,0)</f>
        <v>#N/A</v>
      </c>
    </row>
    <row r="23269" spans="3:3" x14ac:dyDescent="0.2">
      <c r="C23269" s="8" t="e">
        <f>VLOOKUP(A:A,'ITEM LIST'!A:C,3,0)</f>
        <v>#N/A</v>
      </c>
    </row>
    <row r="23270" spans="3:3" x14ac:dyDescent="0.2">
      <c r="C23270" s="8" t="e">
        <f>VLOOKUP(A:A,'ITEM LIST'!A:C,3,0)</f>
        <v>#N/A</v>
      </c>
    </row>
    <row r="23271" spans="3:3" x14ac:dyDescent="0.2">
      <c r="C23271" s="8" t="e">
        <f>VLOOKUP(A:A,'ITEM LIST'!A:C,3,0)</f>
        <v>#N/A</v>
      </c>
    </row>
    <row r="23272" spans="3:3" x14ac:dyDescent="0.2">
      <c r="C23272" s="8" t="e">
        <f>VLOOKUP(A:A,'ITEM LIST'!A:C,3,0)</f>
        <v>#N/A</v>
      </c>
    </row>
    <row r="23273" spans="3:3" x14ac:dyDescent="0.2">
      <c r="C23273" s="8" t="e">
        <f>VLOOKUP(A:A,'ITEM LIST'!A:C,3,0)</f>
        <v>#N/A</v>
      </c>
    </row>
    <row r="23274" spans="3:3" x14ac:dyDescent="0.2">
      <c r="C23274" s="8" t="e">
        <f>VLOOKUP(A:A,'ITEM LIST'!A:C,3,0)</f>
        <v>#N/A</v>
      </c>
    </row>
    <row r="23275" spans="3:3" x14ac:dyDescent="0.2">
      <c r="C23275" s="8" t="e">
        <f>VLOOKUP(A:A,'ITEM LIST'!A:C,3,0)</f>
        <v>#N/A</v>
      </c>
    </row>
    <row r="23276" spans="3:3" x14ac:dyDescent="0.2">
      <c r="C23276" s="8" t="e">
        <f>VLOOKUP(A:A,'ITEM LIST'!A:C,3,0)</f>
        <v>#N/A</v>
      </c>
    </row>
    <row r="23277" spans="3:3" x14ac:dyDescent="0.2">
      <c r="C23277" s="8" t="e">
        <f>VLOOKUP(A:A,'ITEM LIST'!A:C,3,0)</f>
        <v>#N/A</v>
      </c>
    </row>
    <row r="23278" spans="3:3" x14ac:dyDescent="0.2">
      <c r="C23278" s="8" t="e">
        <f>VLOOKUP(A:A,'ITEM LIST'!A:C,3,0)</f>
        <v>#N/A</v>
      </c>
    </row>
    <row r="23279" spans="3:3" x14ac:dyDescent="0.2">
      <c r="C23279" s="8" t="e">
        <f>VLOOKUP(A:A,'ITEM LIST'!A:C,3,0)</f>
        <v>#N/A</v>
      </c>
    </row>
    <row r="23280" spans="3:3" x14ac:dyDescent="0.2">
      <c r="C23280" s="8" t="e">
        <f>VLOOKUP(A:A,'ITEM LIST'!A:C,3,0)</f>
        <v>#N/A</v>
      </c>
    </row>
    <row r="23281" spans="3:3" x14ac:dyDescent="0.2">
      <c r="C23281" s="8" t="e">
        <f>VLOOKUP(A:A,'ITEM LIST'!A:C,3,0)</f>
        <v>#N/A</v>
      </c>
    </row>
    <row r="23282" spans="3:3" x14ac:dyDescent="0.2">
      <c r="C23282" s="8" t="e">
        <f>VLOOKUP(A:A,'ITEM LIST'!A:C,3,0)</f>
        <v>#N/A</v>
      </c>
    </row>
    <row r="23283" spans="3:3" x14ac:dyDescent="0.2">
      <c r="C23283" s="8" t="e">
        <f>VLOOKUP(A:A,'ITEM LIST'!A:C,3,0)</f>
        <v>#N/A</v>
      </c>
    </row>
    <row r="23284" spans="3:3" x14ac:dyDescent="0.2">
      <c r="C23284" s="8" t="e">
        <f>VLOOKUP(A:A,'ITEM LIST'!A:C,3,0)</f>
        <v>#N/A</v>
      </c>
    </row>
    <row r="23285" spans="3:3" x14ac:dyDescent="0.2">
      <c r="C23285" s="8" t="e">
        <f>VLOOKUP(A:A,'ITEM LIST'!A:C,3,0)</f>
        <v>#N/A</v>
      </c>
    </row>
    <row r="23286" spans="3:3" x14ac:dyDescent="0.2">
      <c r="C23286" s="8" t="e">
        <f>VLOOKUP(A:A,'ITEM LIST'!A:C,3,0)</f>
        <v>#N/A</v>
      </c>
    </row>
    <row r="23287" spans="3:3" x14ac:dyDescent="0.2">
      <c r="C23287" s="8" t="e">
        <f>VLOOKUP(A:A,'ITEM LIST'!A:C,3,0)</f>
        <v>#N/A</v>
      </c>
    </row>
    <row r="23288" spans="3:3" x14ac:dyDescent="0.2">
      <c r="C23288" s="8" t="e">
        <f>VLOOKUP(A:A,'ITEM LIST'!A:C,3,0)</f>
        <v>#N/A</v>
      </c>
    </row>
    <row r="23289" spans="3:3" x14ac:dyDescent="0.2">
      <c r="C23289" s="8" t="e">
        <f>VLOOKUP(A:A,'ITEM LIST'!A:C,3,0)</f>
        <v>#N/A</v>
      </c>
    </row>
    <row r="23290" spans="3:3" x14ac:dyDescent="0.2">
      <c r="C23290" s="8" t="e">
        <f>VLOOKUP(A:A,'ITEM LIST'!A:C,3,0)</f>
        <v>#N/A</v>
      </c>
    </row>
    <row r="23291" spans="3:3" x14ac:dyDescent="0.2">
      <c r="C23291" s="8" t="e">
        <f>VLOOKUP(A:A,'ITEM LIST'!A:C,3,0)</f>
        <v>#N/A</v>
      </c>
    </row>
    <row r="23292" spans="3:3" x14ac:dyDescent="0.2">
      <c r="C23292" s="8" t="e">
        <f>VLOOKUP(A:A,'ITEM LIST'!A:C,3,0)</f>
        <v>#N/A</v>
      </c>
    </row>
    <row r="23293" spans="3:3" x14ac:dyDescent="0.2">
      <c r="C23293" s="8" t="e">
        <f>VLOOKUP(A:A,'ITEM LIST'!A:C,3,0)</f>
        <v>#N/A</v>
      </c>
    </row>
    <row r="23294" spans="3:3" x14ac:dyDescent="0.2">
      <c r="C23294" s="8" t="e">
        <f>VLOOKUP(A:A,'ITEM LIST'!A:C,3,0)</f>
        <v>#N/A</v>
      </c>
    </row>
    <row r="23295" spans="3:3" x14ac:dyDescent="0.2">
      <c r="C23295" s="8" t="e">
        <f>VLOOKUP(A:A,'ITEM LIST'!A:C,3,0)</f>
        <v>#N/A</v>
      </c>
    </row>
    <row r="23296" spans="3:3" x14ac:dyDescent="0.2">
      <c r="C23296" s="8" t="e">
        <f>VLOOKUP(A:A,'ITEM LIST'!A:C,3,0)</f>
        <v>#N/A</v>
      </c>
    </row>
    <row r="23297" spans="3:3" x14ac:dyDescent="0.2">
      <c r="C23297" s="8" t="e">
        <f>VLOOKUP(A:A,'ITEM LIST'!A:C,3,0)</f>
        <v>#N/A</v>
      </c>
    </row>
    <row r="23298" spans="3:3" x14ac:dyDescent="0.2">
      <c r="C23298" s="8" t="e">
        <f>VLOOKUP(A:A,'ITEM LIST'!A:C,3,0)</f>
        <v>#N/A</v>
      </c>
    </row>
    <row r="23299" spans="3:3" x14ac:dyDescent="0.2">
      <c r="C23299" s="8" t="e">
        <f>VLOOKUP(A:A,'ITEM LIST'!A:C,3,0)</f>
        <v>#N/A</v>
      </c>
    </row>
    <row r="23300" spans="3:3" x14ac:dyDescent="0.2">
      <c r="C23300" s="8" t="e">
        <f>VLOOKUP(A:A,'ITEM LIST'!A:C,3,0)</f>
        <v>#N/A</v>
      </c>
    </row>
    <row r="23301" spans="3:3" x14ac:dyDescent="0.2">
      <c r="C23301" s="8" t="e">
        <f>VLOOKUP(A:A,'ITEM LIST'!A:C,3,0)</f>
        <v>#N/A</v>
      </c>
    </row>
    <row r="23302" spans="3:3" x14ac:dyDescent="0.2">
      <c r="C23302" s="8" t="e">
        <f>VLOOKUP(A:A,'ITEM LIST'!A:C,3,0)</f>
        <v>#N/A</v>
      </c>
    </row>
    <row r="23303" spans="3:3" x14ac:dyDescent="0.2">
      <c r="C23303" s="8" t="e">
        <f>VLOOKUP(A:A,'ITEM LIST'!A:C,3,0)</f>
        <v>#N/A</v>
      </c>
    </row>
    <row r="23304" spans="3:3" x14ac:dyDescent="0.2">
      <c r="C23304" s="8" t="e">
        <f>VLOOKUP(A:A,'ITEM LIST'!A:C,3,0)</f>
        <v>#N/A</v>
      </c>
    </row>
    <row r="23305" spans="3:3" x14ac:dyDescent="0.2">
      <c r="C23305" s="8" t="e">
        <f>VLOOKUP(A:A,'ITEM LIST'!A:C,3,0)</f>
        <v>#N/A</v>
      </c>
    </row>
    <row r="23306" spans="3:3" x14ac:dyDescent="0.2">
      <c r="C23306" s="8" t="e">
        <f>VLOOKUP(A:A,'ITEM LIST'!A:C,3,0)</f>
        <v>#N/A</v>
      </c>
    </row>
    <row r="23307" spans="3:3" x14ac:dyDescent="0.2">
      <c r="C23307" s="8" t="e">
        <f>VLOOKUP(A:A,'ITEM LIST'!A:C,3,0)</f>
        <v>#N/A</v>
      </c>
    </row>
    <row r="23308" spans="3:3" x14ac:dyDescent="0.2">
      <c r="C23308" s="8" t="e">
        <f>VLOOKUP(A:A,'ITEM LIST'!A:C,3,0)</f>
        <v>#N/A</v>
      </c>
    </row>
    <row r="23309" spans="3:3" x14ac:dyDescent="0.2">
      <c r="C23309" s="8" t="e">
        <f>VLOOKUP(A:A,'ITEM LIST'!A:C,3,0)</f>
        <v>#N/A</v>
      </c>
    </row>
    <row r="23310" spans="3:3" x14ac:dyDescent="0.2">
      <c r="C23310" s="8" t="e">
        <f>VLOOKUP(A:A,'ITEM LIST'!A:C,3,0)</f>
        <v>#N/A</v>
      </c>
    </row>
    <row r="23311" spans="3:3" x14ac:dyDescent="0.2">
      <c r="C23311" s="8" t="e">
        <f>VLOOKUP(A:A,'ITEM LIST'!A:C,3,0)</f>
        <v>#N/A</v>
      </c>
    </row>
    <row r="23312" spans="3:3" x14ac:dyDescent="0.2">
      <c r="C23312" s="8" t="e">
        <f>VLOOKUP(A:A,'ITEM LIST'!A:C,3,0)</f>
        <v>#N/A</v>
      </c>
    </row>
    <row r="23313" spans="3:3" x14ac:dyDescent="0.2">
      <c r="C23313" s="8" t="e">
        <f>VLOOKUP(A:A,'ITEM LIST'!A:C,3,0)</f>
        <v>#N/A</v>
      </c>
    </row>
    <row r="23314" spans="3:3" x14ac:dyDescent="0.2">
      <c r="C23314" s="8" t="e">
        <f>VLOOKUP(A:A,'ITEM LIST'!A:C,3,0)</f>
        <v>#N/A</v>
      </c>
    </row>
    <row r="23315" spans="3:3" x14ac:dyDescent="0.2">
      <c r="C23315" s="8" t="e">
        <f>VLOOKUP(A:A,'ITEM LIST'!A:C,3,0)</f>
        <v>#N/A</v>
      </c>
    </row>
    <row r="23316" spans="3:3" x14ac:dyDescent="0.2">
      <c r="C23316" s="8" t="e">
        <f>VLOOKUP(A:A,'ITEM LIST'!A:C,3,0)</f>
        <v>#N/A</v>
      </c>
    </row>
    <row r="23317" spans="3:3" x14ac:dyDescent="0.2">
      <c r="C23317" s="8" t="e">
        <f>VLOOKUP(A:A,'ITEM LIST'!A:C,3,0)</f>
        <v>#N/A</v>
      </c>
    </row>
    <row r="23318" spans="3:3" x14ac:dyDescent="0.2">
      <c r="C23318" s="8" t="e">
        <f>VLOOKUP(A:A,'ITEM LIST'!A:C,3,0)</f>
        <v>#N/A</v>
      </c>
    </row>
    <row r="23319" spans="3:3" x14ac:dyDescent="0.2">
      <c r="C23319" s="8" t="e">
        <f>VLOOKUP(A:A,'ITEM LIST'!A:C,3,0)</f>
        <v>#N/A</v>
      </c>
    </row>
    <row r="23320" spans="3:3" x14ac:dyDescent="0.2">
      <c r="C23320" s="8" t="e">
        <f>VLOOKUP(A:A,'ITEM LIST'!A:C,3,0)</f>
        <v>#N/A</v>
      </c>
    </row>
    <row r="23321" spans="3:3" x14ac:dyDescent="0.2">
      <c r="C23321" s="8" t="e">
        <f>VLOOKUP(A:A,'ITEM LIST'!A:C,3,0)</f>
        <v>#N/A</v>
      </c>
    </row>
    <row r="23322" spans="3:3" x14ac:dyDescent="0.2">
      <c r="C23322" s="8" t="e">
        <f>VLOOKUP(A:A,'ITEM LIST'!A:C,3,0)</f>
        <v>#N/A</v>
      </c>
    </row>
    <row r="23323" spans="3:3" x14ac:dyDescent="0.2">
      <c r="C23323" s="8" t="e">
        <f>VLOOKUP(A:A,'ITEM LIST'!A:C,3,0)</f>
        <v>#N/A</v>
      </c>
    </row>
    <row r="23324" spans="3:3" x14ac:dyDescent="0.2">
      <c r="C23324" s="8" t="e">
        <f>VLOOKUP(A:A,'ITEM LIST'!A:C,3,0)</f>
        <v>#N/A</v>
      </c>
    </row>
    <row r="23325" spans="3:3" x14ac:dyDescent="0.2">
      <c r="C23325" s="8" t="e">
        <f>VLOOKUP(A:A,'ITEM LIST'!A:C,3,0)</f>
        <v>#N/A</v>
      </c>
    </row>
    <row r="23326" spans="3:3" x14ac:dyDescent="0.2">
      <c r="C23326" s="8" t="e">
        <f>VLOOKUP(A:A,'ITEM LIST'!A:C,3,0)</f>
        <v>#N/A</v>
      </c>
    </row>
    <row r="23327" spans="3:3" x14ac:dyDescent="0.2">
      <c r="C23327" s="8" t="e">
        <f>VLOOKUP(A:A,'ITEM LIST'!A:C,3,0)</f>
        <v>#N/A</v>
      </c>
    </row>
    <row r="23328" spans="3:3" x14ac:dyDescent="0.2">
      <c r="C23328" s="8" t="e">
        <f>VLOOKUP(A:A,'ITEM LIST'!A:C,3,0)</f>
        <v>#N/A</v>
      </c>
    </row>
    <row r="23329" spans="3:3" x14ac:dyDescent="0.2">
      <c r="C23329" s="8" t="e">
        <f>VLOOKUP(A:A,'ITEM LIST'!A:C,3,0)</f>
        <v>#N/A</v>
      </c>
    </row>
    <row r="23330" spans="3:3" x14ac:dyDescent="0.2">
      <c r="C23330" s="8" t="e">
        <f>VLOOKUP(A:A,'ITEM LIST'!A:C,3,0)</f>
        <v>#N/A</v>
      </c>
    </row>
    <row r="23331" spans="3:3" x14ac:dyDescent="0.2">
      <c r="C23331" s="8" t="e">
        <f>VLOOKUP(A:A,'ITEM LIST'!A:C,3,0)</f>
        <v>#N/A</v>
      </c>
    </row>
    <row r="23332" spans="3:3" x14ac:dyDescent="0.2">
      <c r="C23332" s="8" t="e">
        <f>VLOOKUP(A:A,'ITEM LIST'!A:C,3,0)</f>
        <v>#N/A</v>
      </c>
    </row>
    <row r="23333" spans="3:3" x14ac:dyDescent="0.2">
      <c r="C23333" s="8" t="e">
        <f>VLOOKUP(A:A,'ITEM LIST'!A:C,3,0)</f>
        <v>#N/A</v>
      </c>
    </row>
    <row r="23334" spans="3:3" x14ac:dyDescent="0.2">
      <c r="C23334" s="8" t="e">
        <f>VLOOKUP(A:A,'ITEM LIST'!A:C,3,0)</f>
        <v>#N/A</v>
      </c>
    </row>
    <row r="23335" spans="3:3" x14ac:dyDescent="0.2">
      <c r="C23335" s="8" t="e">
        <f>VLOOKUP(A:A,'ITEM LIST'!A:C,3,0)</f>
        <v>#N/A</v>
      </c>
    </row>
    <row r="23336" spans="3:3" x14ac:dyDescent="0.2">
      <c r="C23336" s="8" t="e">
        <f>VLOOKUP(A:A,'ITEM LIST'!A:C,3,0)</f>
        <v>#N/A</v>
      </c>
    </row>
    <row r="23337" spans="3:3" x14ac:dyDescent="0.2">
      <c r="C23337" s="8" t="e">
        <f>VLOOKUP(A:A,'ITEM LIST'!A:C,3,0)</f>
        <v>#N/A</v>
      </c>
    </row>
    <row r="23338" spans="3:3" x14ac:dyDescent="0.2">
      <c r="C23338" s="8" t="e">
        <f>VLOOKUP(A:A,'ITEM LIST'!A:C,3,0)</f>
        <v>#N/A</v>
      </c>
    </row>
    <row r="23339" spans="3:3" x14ac:dyDescent="0.2">
      <c r="C23339" s="8" t="e">
        <f>VLOOKUP(A:A,'ITEM LIST'!A:C,3,0)</f>
        <v>#N/A</v>
      </c>
    </row>
    <row r="23340" spans="3:3" x14ac:dyDescent="0.2">
      <c r="C23340" s="8" t="e">
        <f>VLOOKUP(A:A,'ITEM LIST'!A:C,3,0)</f>
        <v>#N/A</v>
      </c>
    </row>
    <row r="23341" spans="3:3" x14ac:dyDescent="0.2">
      <c r="C23341" s="8" t="e">
        <f>VLOOKUP(A:A,'ITEM LIST'!A:C,3,0)</f>
        <v>#N/A</v>
      </c>
    </row>
    <row r="23342" spans="3:3" x14ac:dyDescent="0.2">
      <c r="C23342" s="8" t="e">
        <f>VLOOKUP(A:A,'ITEM LIST'!A:C,3,0)</f>
        <v>#N/A</v>
      </c>
    </row>
    <row r="23343" spans="3:3" x14ac:dyDescent="0.2">
      <c r="C23343" s="8" t="e">
        <f>VLOOKUP(A:A,'ITEM LIST'!A:C,3,0)</f>
        <v>#N/A</v>
      </c>
    </row>
    <row r="23344" spans="3:3" x14ac:dyDescent="0.2">
      <c r="C23344" s="8" t="e">
        <f>VLOOKUP(A:A,'ITEM LIST'!A:C,3,0)</f>
        <v>#N/A</v>
      </c>
    </row>
    <row r="23345" spans="3:3" x14ac:dyDescent="0.2">
      <c r="C23345" s="8" t="e">
        <f>VLOOKUP(A:A,'ITEM LIST'!A:C,3,0)</f>
        <v>#N/A</v>
      </c>
    </row>
    <row r="23346" spans="3:3" x14ac:dyDescent="0.2">
      <c r="C23346" s="8" t="e">
        <f>VLOOKUP(A:A,'ITEM LIST'!A:C,3,0)</f>
        <v>#N/A</v>
      </c>
    </row>
    <row r="23347" spans="3:3" x14ac:dyDescent="0.2">
      <c r="C23347" s="8" t="e">
        <f>VLOOKUP(A:A,'ITEM LIST'!A:C,3,0)</f>
        <v>#N/A</v>
      </c>
    </row>
    <row r="23348" spans="3:3" x14ac:dyDescent="0.2">
      <c r="C23348" s="8" t="e">
        <f>VLOOKUP(A:A,'ITEM LIST'!A:C,3,0)</f>
        <v>#N/A</v>
      </c>
    </row>
    <row r="23349" spans="3:3" x14ac:dyDescent="0.2">
      <c r="C23349" s="8" t="e">
        <f>VLOOKUP(A:A,'ITEM LIST'!A:C,3,0)</f>
        <v>#N/A</v>
      </c>
    </row>
    <row r="23350" spans="3:3" x14ac:dyDescent="0.2">
      <c r="C23350" s="8" t="e">
        <f>VLOOKUP(A:A,'ITEM LIST'!A:C,3,0)</f>
        <v>#N/A</v>
      </c>
    </row>
    <row r="23351" spans="3:3" x14ac:dyDescent="0.2">
      <c r="C23351" s="8" t="e">
        <f>VLOOKUP(A:A,'ITEM LIST'!A:C,3,0)</f>
        <v>#N/A</v>
      </c>
    </row>
    <row r="23352" spans="3:3" x14ac:dyDescent="0.2">
      <c r="C23352" s="8" t="e">
        <f>VLOOKUP(A:A,'ITEM LIST'!A:C,3,0)</f>
        <v>#N/A</v>
      </c>
    </row>
    <row r="23353" spans="3:3" x14ac:dyDescent="0.2">
      <c r="C23353" s="8" t="e">
        <f>VLOOKUP(A:A,'ITEM LIST'!A:C,3,0)</f>
        <v>#N/A</v>
      </c>
    </row>
    <row r="23354" spans="3:3" x14ac:dyDescent="0.2">
      <c r="C23354" s="8" t="e">
        <f>VLOOKUP(A:A,'ITEM LIST'!A:C,3,0)</f>
        <v>#N/A</v>
      </c>
    </row>
    <row r="23355" spans="3:3" x14ac:dyDescent="0.2">
      <c r="C23355" s="8" t="e">
        <f>VLOOKUP(A:A,'ITEM LIST'!A:C,3,0)</f>
        <v>#N/A</v>
      </c>
    </row>
    <row r="23356" spans="3:3" x14ac:dyDescent="0.2">
      <c r="C23356" s="8" t="e">
        <f>VLOOKUP(A:A,'ITEM LIST'!A:C,3,0)</f>
        <v>#N/A</v>
      </c>
    </row>
    <row r="23357" spans="3:3" x14ac:dyDescent="0.2">
      <c r="C23357" s="8" t="e">
        <f>VLOOKUP(A:A,'ITEM LIST'!A:C,3,0)</f>
        <v>#N/A</v>
      </c>
    </row>
    <row r="23358" spans="3:3" x14ac:dyDescent="0.2">
      <c r="C23358" s="8" t="e">
        <f>VLOOKUP(A:A,'ITEM LIST'!A:C,3,0)</f>
        <v>#N/A</v>
      </c>
    </row>
    <row r="23359" spans="3:3" x14ac:dyDescent="0.2">
      <c r="C23359" s="8" t="e">
        <f>VLOOKUP(A:A,'ITEM LIST'!A:C,3,0)</f>
        <v>#N/A</v>
      </c>
    </row>
    <row r="23360" spans="3:3" x14ac:dyDescent="0.2">
      <c r="C23360" s="8" t="e">
        <f>VLOOKUP(A:A,'ITEM LIST'!A:C,3,0)</f>
        <v>#N/A</v>
      </c>
    </row>
    <row r="23361" spans="3:3" x14ac:dyDescent="0.2">
      <c r="C23361" s="8" t="e">
        <f>VLOOKUP(A:A,'ITEM LIST'!A:C,3,0)</f>
        <v>#N/A</v>
      </c>
    </row>
    <row r="23362" spans="3:3" x14ac:dyDescent="0.2">
      <c r="C23362" s="8" t="e">
        <f>VLOOKUP(A:A,'ITEM LIST'!A:C,3,0)</f>
        <v>#N/A</v>
      </c>
    </row>
    <row r="23363" spans="3:3" x14ac:dyDescent="0.2">
      <c r="C23363" s="8" t="e">
        <f>VLOOKUP(A:A,'ITEM LIST'!A:C,3,0)</f>
        <v>#N/A</v>
      </c>
    </row>
    <row r="23364" spans="3:3" x14ac:dyDescent="0.2">
      <c r="C23364" s="8" t="e">
        <f>VLOOKUP(A:A,'ITEM LIST'!A:C,3,0)</f>
        <v>#N/A</v>
      </c>
    </row>
    <row r="23365" spans="3:3" x14ac:dyDescent="0.2">
      <c r="C23365" s="8" t="e">
        <f>VLOOKUP(A:A,'ITEM LIST'!A:C,3,0)</f>
        <v>#N/A</v>
      </c>
    </row>
    <row r="23366" spans="3:3" x14ac:dyDescent="0.2">
      <c r="C23366" s="8" t="e">
        <f>VLOOKUP(A:A,'ITEM LIST'!A:C,3,0)</f>
        <v>#N/A</v>
      </c>
    </row>
    <row r="23367" spans="3:3" x14ac:dyDescent="0.2">
      <c r="C23367" s="8" t="e">
        <f>VLOOKUP(A:A,'ITEM LIST'!A:C,3,0)</f>
        <v>#N/A</v>
      </c>
    </row>
    <row r="23368" spans="3:3" x14ac:dyDescent="0.2">
      <c r="C23368" s="8" t="e">
        <f>VLOOKUP(A:A,'ITEM LIST'!A:C,3,0)</f>
        <v>#N/A</v>
      </c>
    </row>
    <row r="23369" spans="3:3" x14ac:dyDescent="0.2">
      <c r="C23369" s="8" t="e">
        <f>VLOOKUP(A:A,'ITEM LIST'!A:C,3,0)</f>
        <v>#N/A</v>
      </c>
    </row>
    <row r="23370" spans="3:3" x14ac:dyDescent="0.2">
      <c r="C23370" s="8" t="e">
        <f>VLOOKUP(A:A,'ITEM LIST'!A:C,3,0)</f>
        <v>#N/A</v>
      </c>
    </row>
    <row r="23371" spans="3:3" x14ac:dyDescent="0.2">
      <c r="C23371" s="8" t="e">
        <f>VLOOKUP(A:A,'ITEM LIST'!A:C,3,0)</f>
        <v>#N/A</v>
      </c>
    </row>
    <row r="23372" spans="3:3" x14ac:dyDescent="0.2">
      <c r="C23372" s="8" t="e">
        <f>VLOOKUP(A:A,'ITEM LIST'!A:C,3,0)</f>
        <v>#N/A</v>
      </c>
    </row>
    <row r="23373" spans="3:3" x14ac:dyDescent="0.2">
      <c r="C23373" s="8" t="e">
        <f>VLOOKUP(A:A,'ITEM LIST'!A:C,3,0)</f>
        <v>#N/A</v>
      </c>
    </row>
    <row r="23374" spans="3:3" x14ac:dyDescent="0.2">
      <c r="C23374" s="8" t="e">
        <f>VLOOKUP(A:A,'ITEM LIST'!A:C,3,0)</f>
        <v>#N/A</v>
      </c>
    </row>
    <row r="23375" spans="3:3" x14ac:dyDescent="0.2">
      <c r="C23375" s="8" t="e">
        <f>VLOOKUP(A:A,'ITEM LIST'!A:C,3,0)</f>
        <v>#N/A</v>
      </c>
    </row>
    <row r="23376" spans="3:3" x14ac:dyDescent="0.2">
      <c r="C23376" s="8" t="e">
        <f>VLOOKUP(A:A,'ITEM LIST'!A:C,3,0)</f>
        <v>#N/A</v>
      </c>
    </row>
    <row r="23377" spans="3:3" x14ac:dyDescent="0.2">
      <c r="C23377" s="8" t="e">
        <f>VLOOKUP(A:A,'ITEM LIST'!A:C,3,0)</f>
        <v>#N/A</v>
      </c>
    </row>
    <row r="23378" spans="3:3" x14ac:dyDescent="0.2">
      <c r="C23378" s="8" t="e">
        <f>VLOOKUP(A:A,'ITEM LIST'!A:C,3,0)</f>
        <v>#N/A</v>
      </c>
    </row>
    <row r="23379" spans="3:3" x14ac:dyDescent="0.2">
      <c r="C23379" s="8" t="e">
        <f>VLOOKUP(A:A,'ITEM LIST'!A:C,3,0)</f>
        <v>#N/A</v>
      </c>
    </row>
    <row r="23380" spans="3:3" x14ac:dyDescent="0.2">
      <c r="C23380" s="8" t="e">
        <f>VLOOKUP(A:A,'ITEM LIST'!A:C,3,0)</f>
        <v>#N/A</v>
      </c>
    </row>
    <row r="23381" spans="3:3" x14ac:dyDescent="0.2">
      <c r="C23381" s="8" t="e">
        <f>VLOOKUP(A:A,'ITEM LIST'!A:C,3,0)</f>
        <v>#N/A</v>
      </c>
    </row>
    <row r="23382" spans="3:3" x14ac:dyDescent="0.2">
      <c r="C23382" s="8" t="e">
        <f>VLOOKUP(A:A,'ITEM LIST'!A:C,3,0)</f>
        <v>#N/A</v>
      </c>
    </row>
    <row r="23383" spans="3:3" x14ac:dyDescent="0.2">
      <c r="C23383" s="8" t="e">
        <f>VLOOKUP(A:A,'ITEM LIST'!A:C,3,0)</f>
        <v>#N/A</v>
      </c>
    </row>
    <row r="23384" spans="3:3" x14ac:dyDescent="0.2">
      <c r="C23384" s="8" t="e">
        <f>VLOOKUP(A:A,'ITEM LIST'!A:C,3,0)</f>
        <v>#N/A</v>
      </c>
    </row>
    <row r="23385" spans="3:3" x14ac:dyDescent="0.2">
      <c r="C23385" s="8" t="e">
        <f>VLOOKUP(A:A,'ITEM LIST'!A:C,3,0)</f>
        <v>#N/A</v>
      </c>
    </row>
    <row r="23386" spans="3:3" x14ac:dyDescent="0.2">
      <c r="C23386" s="8" t="e">
        <f>VLOOKUP(A:A,'ITEM LIST'!A:C,3,0)</f>
        <v>#N/A</v>
      </c>
    </row>
    <row r="23387" spans="3:3" x14ac:dyDescent="0.2">
      <c r="C23387" s="8" t="e">
        <f>VLOOKUP(A:A,'ITEM LIST'!A:C,3,0)</f>
        <v>#N/A</v>
      </c>
    </row>
    <row r="23388" spans="3:3" x14ac:dyDescent="0.2">
      <c r="C23388" s="8" t="e">
        <f>VLOOKUP(A:A,'ITEM LIST'!A:C,3,0)</f>
        <v>#N/A</v>
      </c>
    </row>
    <row r="23389" spans="3:3" x14ac:dyDescent="0.2">
      <c r="C23389" s="8" t="e">
        <f>VLOOKUP(A:A,'ITEM LIST'!A:C,3,0)</f>
        <v>#N/A</v>
      </c>
    </row>
    <row r="23390" spans="3:3" x14ac:dyDescent="0.2">
      <c r="C23390" s="8" t="e">
        <f>VLOOKUP(A:A,'ITEM LIST'!A:C,3,0)</f>
        <v>#N/A</v>
      </c>
    </row>
    <row r="23391" spans="3:3" x14ac:dyDescent="0.2">
      <c r="C23391" s="8" t="e">
        <f>VLOOKUP(A:A,'ITEM LIST'!A:C,3,0)</f>
        <v>#N/A</v>
      </c>
    </row>
    <row r="23392" spans="3:3" x14ac:dyDescent="0.2">
      <c r="C23392" s="8" t="e">
        <f>VLOOKUP(A:A,'ITEM LIST'!A:C,3,0)</f>
        <v>#N/A</v>
      </c>
    </row>
    <row r="23393" spans="3:3" x14ac:dyDescent="0.2">
      <c r="C23393" s="8" t="e">
        <f>VLOOKUP(A:A,'ITEM LIST'!A:C,3,0)</f>
        <v>#N/A</v>
      </c>
    </row>
    <row r="23394" spans="3:3" x14ac:dyDescent="0.2">
      <c r="C23394" s="8" t="e">
        <f>VLOOKUP(A:A,'ITEM LIST'!A:C,3,0)</f>
        <v>#N/A</v>
      </c>
    </row>
    <row r="23395" spans="3:3" x14ac:dyDescent="0.2">
      <c r="C23395" s="8" t="e">
        <f>VLOOKUP(A:A,'ITEM LIST'!A:C,3,0)</f>
        <v>#N/A</v>
      </c>
    </row>
    <row r="23396" spans="3:3" x14ac:dyDescent="0.2">
      <c r="C23396" s="8" t="e">
        <f>VLOOKUP(A:A,'ITEM LIST'!A:C,3,0)</f>
        <v>#N/A</v>
      </c>
    </row>
    <row r="23397" spans="3:3" x14ac:dyDescent="0.2">
      <c r="C23397" s="8" t="e">
        <f>VLOOKUP(A:A,'ITEM LIST'!A:C,3,0)</f>
        <v>#N/A</v>
      </c>
    </row>
    <row r="23398" spans="3:3" x14ac:dyDescent="0.2">
      <c r="C23398" s="8" t="e">
        <f>VLOOKUP(A:A,'ITEM LIST'!A:C,3,0)</f>
        <v>#N/A</v>
      </c>
    </row>
    <row r="23399" spans="3:3" x14ac:dyDescent="0.2">
      <c r="C23399" s="8" t="e">
        <f>VLOOKUP(A:A,'ITEM LIST'!A:C,3,0)</f>
        <v>#N/A</v>
      </c>
    </row>
    <row r="23400" spans="3:3" x14ac:dyDescent="0.2">
      <c r="C23400" s="8" t="e">
        <f>VLOOKUP(A:A,'ITEM LIST'!A:C,3,0)</f>
        <v>#N/A</v>
      </c>
    </row>
    <row r="23401" spans="3:3" x14ac:dyDescent="0.2">
      <c r="C23401" s="8" t="e">
        <f>VLOOKUP(A:A,'ITEM LIST'!A:C,3,0)</f>
        <v>#N/A</v>
      </c>
    </row>
    <row r="23402" spans="3:3" x14ac:dyDescent="0.2">
      <c r="C23402" s="8" t="e">
        <f>VLOOKUP(A:A,'ITEM LIST'!A:C,3,0)</f>
        <v>#N/A</v>
      </c>
    </row>
    <row r="23403" spans="3:3" x14ac:dyDescent="0.2">
      <c r="C23403" s="8" t="e">
        <f>VLOOKUP(A:A,'ITEM LIST'!A:C,3,0)</f>
        <v>#N/A</v>
      </c>
    </row>
    <row r="23404" spans="3:3" x14ac:dyDescent="0.2">
      <c r="C23404" s="8" t="e">
        <f>VLOOKUP(A:A,'ITEM LIST'!A:C,3,0)</f>
        <v>#N/A</v>
      </c>
    </row>
    <row r="23405" spans="3:3" x14ac:dyDescent="0.2">
      <c r="C23405" s="8" t="e">
        <f>VLOOKUP(A:A,'ITEM LIST'!A:C,3,0)</f>
        <v>#N/A</v>
      </c>
    </row>
    <row r="23406" spans="3:3" x14ac:dyDescent="0.2">
      <c r="C23406" s="8" t="e">
        <f>VLOOKUP(A:A,'ITEM LIST'!A:C,3,0)</f>
        <v>#N/A</v>
      </c>
    </row>
    <row r="23407" spans="3:3" x14ac:dyDescent="0.2">
      <c r="C23407" s="8" t="e">
        <f>VLOOKUP(A:A,'ITEM LIST'!A:C,3,0)</f>
        <v>#N/A</v>
      </c>
    </row>
    <row r="23408" spans="3:3" x14ac:dyDescent="0.2">
      <c r="C23408" s="8" t="e">
        <f>VLOOKUP(A:A,'ITEM LIST'!A:C,3,0)</f>
        <v>#N/A</v>
      </c>
    </row>
    <row r="23409" spans="3:3" x14ac:dyDescent="0.2">
      <c r="C23409" s="8" t="e">
        <f>VLOOKUP(A:A,'ITEM LIST'!A:C,3,0)</f>
        <v>#N/A</v>
      </c>
    </row>
    <row r="23410" spans="3:3" x14ac:dyDescent="0.2">
      <c r="C23410" s="8" t="e">
        <f>VLOOKUP(A:A,'ITEM LIST'!A:C,3,0)</f>
        <v>#N/A</v>
      </c>
    </row>
    <row r="23411" spans="3:3" x14ac:dyDescent="0.2">
      <c r="C23411" s="8" t="e">
        <f>VLOOKUP(A:A,'ITEM LIST'!A:C,3,0)</f>
        <v>#N/A</v>
      </c>
    </row>
    <row r="23412" spans="3:3" x14ac:dyDescent="0.2">
      <c r="C23412" s="8" t="e">
        <f>VLOOKUP(A:A,'ITEM LIST'!A:C,3,0)</f>
        <v>#N/A</v>
      </c>
    </row>
    <row r="23413" spans="3:3" x14ac:dyDescent="0.2">
      <c r="C23413" s="8" t="e">
        <f>VLOOKUP(A:A,'ITEM LIST'!A:C,3,0)</f>
        <v>#N/A</v>
      </c>
    </row>
    <row r="23414" spans="3:3" x14ac:dyDescent="0.2">
      <c r="C23414" s="8" t="e">
        <f>VLOOKUP(A:A,'ITEM LIST'!A:C,3,0)</f>
        <v>#N/A</v>
      </c>
    </row>
    <row r="23415" spans="3:3" x14ac:dyDescent="0.2">
      <c r="C23415" s="8" t="e">
        <f>VLOOKUP(A:A,'ITEM LIST'!A:C,3,0)</f>
        <v>#N/A</v>
      </c>
    </row>
    <row r="23416" spans="3:3" x14ac:dyDescent="0.2">
      <c r="C23416" s="8" t="e">
        <f>VLOOKUP(A:A,'ITEM LIST'!A:C,3,0)</f>
        <v>#N/A</v>
      </c>
    </row>
    <row r="23417" spans="3:3" x14ac:dyDescent="0.2">
      <c r="C23417" s="8" t="e">
        <f>VLOOKUP(A:A,'ITEM LIST'!A:C,3,0)</f>
        <v>#N/A</v>
      </c>
    </row>
    <row r="23418" spans="3:3" x14ac:dyDescent="0.2">
      <c r="C23418" s="8" t="e">
        <f>VLOOKUP(A:A,'ITEM LIST'!A:C,3,0)</f>
        <v>#N/A</v>
      </c>
    </row>
    <row r="23419" spans="3:3" x14ac:dyDescent="0.2">
      <c r="C23419" s="8" t="e">
        <f>VLOOKUP(A:A,'ITEM LIST'!A:C,3,0)</f>
        <v>#N/A</v>
      </c>
    </row>
    <row r="23420" spans="3:3" x14ac:dyDescent="0.2">
      <c r="C23420" s="8" t="e">
        <f>VLOOKUP(A:A,'ITEM LIST'!A:C,3,0)</f>
        <v>#N/A</v>
      </c>
    </row>
    <row r="23421" spans="3:3" x14ac:dyDescent="0.2">
      <c r="C23421" s="8" t="e">
        <f>VLOOKUP(A:A,'ITEM LIST'!A:C,3,0)</f>
        <v>#N/A</v>
      </c>
    </row>
    <row r="23422" spans="3:3" x14ac:dyDescent="0.2">
      <c r="C23422" s="8" t="e">
        <f>VLOOKUP(A:A,'ITEM LIST'!A:C,3,0)</f>
        <v>#N/A</v>
      </c>
    </row>
    <row r="23423" spans="3:3" x14ac:dyDescent="0.2">
      <c r="C23423" s="8" t="e">
        <f>VLOOKUP(A:A,'ITEM LIST'!A:C,3,0)</f>
        <v>#N/A</v>
      </c>
    </row>
    <row r="23424" spans="3:3" x14ac:dyDescent="0.2">
      <c r="C23424" s="8" t="e">
        <f>VLOOKUP(A:A,'ITEM LIST'!A:C,3,0)</f>
        <v>#N/A</v>
      </c>
    </row>
    <row r="23425" spans="3:3" x14ac:dyDescent="0.2">
      <c r="C23425" s="8" t="e">
        <f>VLOOKUP(A:A,'ITEM LIST'!A:C,3,0)</f>
        <v>#N/A</v>
      </c>
    </row>
    <row r="23426" spans="3:3" x14ac:dyDescent="0.2">
      <c r="C23426" s="8" t="e">
        <f>VLOOKUP(A:A,'ITEM LIST'!A:C,3,0)</f>
        <v>#N/A</v>
      </c>
    </row>
    <row r="23427" spans="3:3" x14ac:dyDescent="0.2">
      <c r="C23427" s="8" t="e">
        <f>VLOOKUP(A:A,'ITEM LIST'!A:C,3,0)</f>
        <v>#N/A</v>
      </c>
    </row>
    <row r="23428" spans="3:3" x14ac:dyDescent="0.2">
      <c r="C23428" s="8" t="e">
        <f>VLOOKUP(A:A,'ITEM LIST'!A:C,3,0)</f>
        <v>#N/A</v>
      </c>
    </row>
    <row r="23429" spans="3:3" x14ac:dyDescent="0.2">
      <c r="C23429" s="8" t="e">
        <f>VLOOKUP(A:A,'ITEM LIST'!A:C,3,0)</f>
        <v>#N/A</v>
      </c>
    </row>
    <row r="23430" spans="3:3" x14ac:dyDescent="0.2">
      <c r="C23430" s="8" t="e">
        <f>VLOOKUP(A:A,'ITEM LIST'!A:C,3,0)</f>
        <v>#N/A</v>
      </c>
    </row>
    <row r="23431" spans="3:3" x14ac:dyDescent="0.2">
      <c r="C23431" s="8" t="e">
        <f>VLOOKUP(A:A,'ITEM LIST'!A:C,3,0)</f>
        <v>#N/A</v>
      </c>
    </row>
    <row r="23432" spans="3:3" x14ac:dyDescent="0.2">
      <c r="C23432" s="8" t="e">
        <f>VLOOKUP(A:A,'ITEM LIST'!A:C,3,0)</f>
        <v>#N/A</v>
      </c>
    </row>
    <row r="23433" spans="3:3" x14ac:dyDescent="0.2">
      <c r="C23433" s="8" t="e">
        <f>VLOOKUP(A:A,'ITEM LIST'!A:C,3,0)</f>
        <v>#N/A</v>
      </c>
    </row>
    <row r="23434" spans="3:3" x14ac:dyDescent="0.2">
      <c r="C23434" s="8" t="e">
        <f>VLOOKUP(A:A,'ITEM LIST'!A:C,3,0)</f>
        <v>#N/A</v>
      </c>
    </row>
    <row r="23435" spans="3:3" x14ac:dyDescent="0.2">
      <c r="C23435" s="8" t="e">
        <f>VLOOKUP(A:A,'ITEM LIST'!A:C,3,0)</f>
        <v>#N/A</v>
      </c>
    </row>
    <row r="23436" spans="3:3" x14ac:dyDescent="0.2">
      <c r="C23436" s="8" t="e">
        <f>VLOOKUP(A:A,'ITEM LIST'!A:C,3,0)</f>
        <v>#N/A</v>
      </c>
    </row>
    <row r="23437" spans="3:3" x14ac:dyDescent="0.2">
      <c r="C23437" s="8" t="e">
        <f>VLOOKUP(A:A,'ITEM LIST'!A:C,3,0)</f>
        <v>#N/A</v>
      </c>
    </row>
    <row r="23438" spans="3:3" x14ac:dyDescent="0.2">
      <c r="C23438" s="8" t="e">
        <f>VLOOKUP(A:A,'ITEM LIST'!A:C,3,0)</f>
        <v>#N/A</v>
      </c>
    </row>
    <row r="23439" spans="3:3" x14ac:dyDescent="0.2">
      <c r="C23439" s="8" t="e">
        <f>VLOOKUP(A:A,'ITEM LIST'!A:C,3,0)</f>
        <v>#N/A</v>
      </c>
    </row>
    <row r="23440" spans="3:3" x14ac:dyDescent="0.2">
      <c r="C23440" s="8" t="e">
        <f>VLOOKUP(A:A,'ITEM LIST'!A:C,3,0)</f>
        <v>#N/A</v>
      </c>
    </row>
    <row r="23441" spans="3:3" x14ac:dyDescent="0.2">
      <c r="C23441" s="8" t="e">
        <f>VLOOKUP(A:A,'ITEM LIST'!A:C,3,0)</f>
        <v>#N/A</v>
      </c>
    </row>
    <row r="23442" spans="3:3" x14ac:dyDescent="0.2">
      <c r="C23442" s="8" t="e">
        <f>VLOOKUP(A:A,'ITEM LIST'!A:C,3,0)</f>
        <v>#N/A</v>
      </c>
    </row>
    <row r="23443" spans="3:3" x14ac:dyDescent="0.2">
      <c r="C23443" s="8" t="e">
        <f>VLOOKUP(A:A,'ITEM LIST'!A:C,3,0)</f>
        <v>#N/A</v>
      </c>
    </row>
    <row r="23444" spans="3:3" x14ac:dyDescent="0.2">
      <c r="C23444" s="8" t="e">
        <f>VLOOKUP(A:A,'ITEM LIST'!A:C,3,0)</f>
        <v>#N/A</v>
      </c>
    </row>
    <row r="23445" spans="3:3" x14ac:dyDescent="0.2">
      <c r="C23445" s="8" t="e">
        <f>VLOOKUP(A:A,'ITEM LIST'!A:C,3,0)</f>
        <v>#N/A</v>
      </c>
    </row>
    <row r="23446" spans="3:3" x14ac:dyDescent="0.2">
      <c r="C23446" s="8" t="e">
        <f>VLOOKUP(A:A,'ITEM LIST'!A:C,3,0)</f>
        <v>#N/A</v>
      </c>
    </row>
    <row r="23447" spans="3:3" x14ac:dyDescent="0.2">
      <c r="C23447" s="8" t="e">
        <f>VLOOKUP(A:A,'ITEM LIST'!A:C,3,0)</f>
        <v>#N/A</v>
      </c>
    </row>
    <row r="23448" spans="3:3" x14ac:dyDescent="0.2">
      <c r="C23448" s="8" t="e">
        <f>VLOOKUP(A:A,'ITEM LIST'!A:C,3,0)</f>
        <v>#N/A</v>
      </c>
    </row>
    <row r="23449" spans="3:3" x14ac:dyDescent="0.2">
      <c r="C23449" s="8" t="e">
        <f>VLOOKUP(A:A,'ITEM LIST'!A:C,3,0)</f>
        <v>#N/A</v>
      </c>
    </row>
    <row r="23450" spans="3:3" x14ac:dyDescent="0.2">
      <c r="C23450" s="8" t="e">
        <f>VLOOKUP(A:A,'ITEM LIST'!A:C,3,0)</f>
        <v>#N/A</v>
      </c>
    </row>
    <row r="23451" spans="3:3" x14ac:dyDescent="0.2">
      <c r="C23451" s="8" t="e">
        <f>VLOOKUP(A:A,'ITEM LIST'!A:C,3,0)</f>
        <v>#N/A</v>
      </c>
    </row>
    <row r="23452" spans="3:3" x14ac:dyDescent="0.2">
      <c r="C23452" s="8" t="e">
        <f>VLOOKUP(A:A,'ITEM LIST'!A:C,3,0)</f>
        <v>#N/A</v>
      </c>
    </row>
    <row r="23453" spans="3:3" x14ac:dyDescent="0.2">
      <c r="C23453" s="8" t="e">
        <f>VLOOKUP(A:A,'ITEM LIST'!A:C,3,0)</f>
        <v>#N/A</v>
      </c>
    </row>
    <row r="23454" spans="3:3" x14ac:dyDescent="0.2">
      <c r="C23454" s="8" t="e">
        <f>VLOOKUP(A:A,'ITEM LIST'!A:C,3,0)</f>
        <v>#N/A</v>
      </c>
    </row>
    <row r="23455" spans="3:3" x14ac:dyDescent="0.2">
      <c r="C23455" s="8" t="e">
        <f>VLOOKUP(A:A,'ITEM LIST'!A:C,3,0)</f>
        <v>#N/A</v>
      </c>
    </row>
    <row r="23456" spans="3:3" x14ac:dyDescent="0.2">
      <c r="C23456" s="8" t="e">
        <f>VLOOKUP(A:A,'ITEM LIST'!A:C,3,0)</f>
        <v>#N/A</v>
      </c>
    </row>
    <row r="23457" spans="3:3" x14ac:dyDescent="0.2">
      <c r="C23457" s="8" t="e">
        <f>VLOOKUP(A:A,'ITEM LIST'!A:C,3,0)</f>
        <v>#N/A</v>
      </c>
    </row>
    <row r="23458" spans="3:3" x14ac:dyDescent="0.2">
      <c r="C23458" s="8" t="e">
        <f>VLOOKUP(A:A,'ITEM LIST'!A:C,3,0)</f>
        <v>#N/A</v>
      </c>
    </row>
    <row r="23459" spans="3:3" x14ac:dyDescent="0.2">
      <c r="C23459" s="8" t="e">
        <f>VLOOKUP(A:A,'ITEM LIST'!A:C,3,0)</f>
        <v>#N/A</v>
      </c>
    </row>
    <row r="23460" spans="3:3" x14ac:dyDescent="0.2">
      <c r="C23460" s="8" t="e">
        <f>VLOOKUP(A:A,'ITEM LIST'!A:C,3,0)</f>
        <v>#N/A</v>
      </c>
    </row>
    <row r="23461" spans="3:3" x14ac:dyDescent="0.2">
      <c r="C23461" s="8" t="e">
        <f>VLOOKUP(A:A,'ITEM LIST'!A:C,3,0)</f>
        <v>#N/A</v>
      </c>
    </row>
    <row r="23462" spans="3:3" x14ac:dyDescent="0.2">
      <c r="C23462" s="8" t="e">
        <f>VLOOKUP(A:A,'ITEM LIST'!A:C,3,0)</f>
        <v>#N/A</v>
      </c>
    </row>
    <row r="23463" spans="3:3" x14ac:dyDescent="0.2">
      <c r="C23463" s="8" t="e">
        <f>VLOOKUP(A:A,'ITEM LIST'!A:C,3,0)</f>
        <v>#N/A</v>
      </c>
    </row>
    <row r="23464" spans="3:3" x14ac:dyDescent="0.2">
      <c r="C23464" s="8" t="e">
        <f>VLOOKUP(A:A,'ITEM LIST'!A:C,3,0)</f>
        <v>#N/A</v>
      </c>
    </row>
    <row r="23465" spans="3:3" x14ac:dyDescent="0.2">
      <c r="C23465" s="8" t="e">
        <f>VLOOKUP(A:A,'ITEM LIST'!A:C,3,0)</f>
        <v>#N/A</v>
      </c>
    </row>
    <row r="23466" spans="3:3" x14ac:dyDescent="0.2">
      <c r="C23466" s="8" t="e">
        <f>VLOOKUP(A:A,'ITEM LIST'!A:C,3,0)</f>
        <v>#N/A</v>
      </c>
    </row>
    <row r="23467" spans="3:3" x14ac:dyDescent="0.2">
      <c r="C23467" s="8" t="e">
        <f>VLOOKUP(A:A,'ITEM LIST'!A:C,3,0)</f>
        <v>#N/A</v>
      </c>
    </row>
    <row r="23468" spans="3:3" x14ac:dyDescent="0.2">
      <c r="C23468" s="8" t="e">
        <f>VLOOKUP(A:A,'ITEM LIST'!A:C,3,0)</f>
        <v>#N/A</v>
      </c>
    </row>
    <row r="23469" spans="3:3" x14ac:dyDescent="0.2">
      <c r="C23469" s="8" t="e">
        <f>VLOOKUP(A:A,'ITEM LIST'!A:C,3,0)</f>
        <v>#N/A</v>
      </c>
    </row>
    <row r="23470" spans="3:3" x14ac:dyDescent="0.2">
      <c r="C23470" s="8" t="e">
        <f>VLOOKUP(A:A,'ITEM LIST'!A:C,3,0)</f>
        <v>#N/A</v>
      </c>
    </row>
    <row r="23471" spans="3:3" x14ac:dyDescent="0.2">
      <c r="C23471" s="8" t="e">
        <f>VLOOKUP(A:A,'ITEM LIST'!A:C,3,0)</f>
        <v>#N/A</v>
      </c>
    </row>
    <row r="23472" spans="3:3" x14ac:dyDescent="0.2">
      <c r="C23472" s="8" t="e">
        <f>VLOOKUP(A:A,'ITEM LIST'!A:C,3,0)</f>
        <v>#N/A</v>
      </c>
    </row>
    <row r="23473" spans="3:3" x14ac:dyDescent="0.2">
      <c r="C23473" s="8" t="e">
        <f>VLOOKUP(A:A,'ITEM LIST'!A:C,3,0)</f>
        <v>#N/A</v>
      </c>
    </row>
    <row r="23474" spans="3:3" x14ac:dyDescent="0.2">
      <c r="C23474" s="8" t="e">
        <f>VLOOKUP(A:A,'ITEM LIST'!A:C,3,0)</f>
        <v>#N/A</v>
      </c>
    </row>
    <row r="23475" spans="3:3" x14ac:dyDescent="0.2">
      <c r="C23475" s="8" t="e">
        <f>VLOOKUP(A:A,'ITEM LIST'!A:C,3,0)</f>
        <v>#N/A</v>
      </c>
    </row>
    <row r="23476" spans="3:3" x14ac:dyDescent="0.2">
      <c r="C23476" s="8" t="e">
        <f>VLOOKUP(A:A,'ITEM LIST'!A:C,3,0)</f>
        <v>#N/A</v>
      </c>
    </row>
    <row r="23477" spans="3:3" x14ac:dyDescent="0.2">
      <c r="C23477" s="8" t="e">
        <f>VLOOKUP(A:A,'ITEM LIST'!A:C,3,0)</f>
        <v>#N/A</v>
      </c>
    </row>
    <row r="23478" spans="3:3" x14ac:dyDescent="0.2">
      <c r="C23478" s="8" t="e">
        <f>VLOOKUP(A:A,'ITEM LIST'!A:C,3,0)</f>
        <v>#N/A</v>
      </c>
    </row>
    <row r="23479" spans="3:3" x14ac:dyDescent="0.2">
      <c r="C23479" s="8" t="e">
        <f>VLOOKUP(A:A,'ITEM LIST'!A:C,3,0)</f>
        <v>#N/A</v>
      </c>
    </row>
    <row r="23480" spans="3:3" x14ac:dyDescent="0.2">
      <c r="C23480" s="8" t="e">
        <f>VLOOKUP(A:A,'ITEM LIST'!A:C,3,0)</f>
        <v>#N/A</v>
      </c>
    </row>
    <row r="23481" spans="3:3" x14ac:dyDescent="0.2">
      <c r="C23481" s="8" t="e">
        <f>VLOOKUP(A:A,'ITEM LIST'!A:C,3,0)</f>
        <v>#N/A</v>
      </c>
    </row>
    <row r="23482" spans="3:3" x14ac:dyDescent="0.2">
      <c r="C23482" s="8" t="e">
        <f>VLOOKUP(A:A,'ITEM LIST'!A:C,3,0)</f>
        <v>#N/A</v>
      </c>
    </row>
    <row r="23483" spans="3:3" x14ac:dyDescent="0.2">
      <c r="C23483" s="8" t="e">
        <f>VLOOKUP(A:A,'ITEM LIST'!A:C,3,0)</f>
        <v>#N/A</v>
      </c>
    </row>
    <row r="23484" spans="3:3" x14ac:dyDescent="0.2">
      <c r="C23484" s="8" t="e">
        <f>VLOOKUP(A:A,'ITEM LIST'!A:C,3,0)</f>
        <v>#N/A</v>
      </c>
    </row>
    <row r="23485" spans="3:3" x14ac:dyDescent="0.2">
      <c r="C23485" s="8" t="e">
        <f>VLOOKUP(A:A,'ITEM LIST'!A:C,3,0)</f>
        <v>#N/A</v>
      </c>
    </row>
    <row r="23486" spans="3:3" x14ac:dyDescent="0.2">
      <c r="C23486" s="8" t="e">
        <f>VLOOKUP(A:A,'ITEM LIST'!A:C,3,0)</f>
        <v>#N/A</v>
      </c>
    </row>
    <row r="23487" spans="3:3" x14ac:dyDescent="0.2">
      <c r="C23487" s="8" t="e">
        <f>VLOOKUP(A:A,'ITEM LIST'!A:C,3,0)</f>
        <v>#N/A</v>
      </c>
    </row>
    <row r="23488" spans="3:3" x14ac:dyDescent="0.2">
      <c r="C23488" s="8" t="e">
        <f>VLOOKUP(A:A,'ITEM LIST'!A:C,3,0)</f>
        <v>#N/A</v>
      </c>
    </row>
    <row r="23489" spans="3:3" x14ac:dyDescent="0.2">
      <c r="C23489" s="8" t="e">
        <f>VLOOKUP(A:A,'ITEM LIST'!A:C,3,0)</f>
        <v>#N/A</v>
      </c>
    </row>
    <row r="23490" spans="3:3" x14ac:dyDescent="0.2">
      <c r="C23490" s="8" t="e">
        <f>VLOOKUP(A:A,'ITEM LIST'!A:C,3,0)</f>
        <v>#N/A</v>
      </c>
    </row>
    <row r="23491" spans="3:3" x14ac:dyDescent="0.2">
      <c r="C23491" s="8" t="e">
        <f>VLOOKUP(A:A,'ITEM LIST'!A:C,3,0)</f>
        <v>#N/A</v>
      </c>
    </row>
    <row r="23492" spans="3:3" x14ac:dyDescent="0.2">
      <c r="C23492" s="8" t="e">
        <f>VLOOKUP(A:A,'ITEM LIST'!A:C,3,0)</f>
        <v>#N/A</v>
      </c>
    </row>
    <row r="23493" spans="3:3" x14ac:dyDescent="0.2">
      <c r="C23493" s="8" t="e">
        <f>VLOOKUP(A:A,'ITEM LIST'!A:C,3,0)</f>
        <v>#N/A</v>
      </c>
    </row>
    <row r="23494" spans="3:3" x14ac:dyDescent="0.2">
      <c r="C23494" s="8" t="e">
        <f>VLOOKUP(A:A,'ITEM LIST'!A:C,3,0)</f>
        <v>#N/A</v>
      </c>
    </row>
  </sheetData>
  <autoFilter ref="A1:E23494"/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O901"/>
  <sheetViews>
    <sheetView topLeftCell="G127" workbookViewId="0">
      <selection activeCell="O2" sqref="O2:O151"/>
    </sheetView>
  </sheetViews>
  <sheetFormatPr defaultRowHeight="15" x14ac:dyDescent="0.25"/>
  <cols>
    <col min="1" max="2" width="30.85546875" bestFit="1" customWidth="1"/>
    <col min="3" max="3" width="29.85546875" bestFit="1" customWidth="1"/>
    <col min="4" max="4" width="25.85546875" bestFit="1" customWidth="1"/>
    <col min="6" max="7" width="16" bestFit="1" customWidth="1"/>
    <col min="8" max="8" width="17" bestFit="1" customWidth="1"/>
    <col min="9" max="9" width="17.5703125" bestFit="1" customWidth="1"/>
    <col min="10" max="10" width="13.140625" bestFit="1" customWidth="1"/>
    <col min="11" max="11" width="15.140625" bestFit="1" customWidth="1"/>
    <col min="12" max="12" width="32.5703125" bestFit="1" customWidth="1"/>
    <col min="14" max="15" width="31.42578125" bestFit="1" customWidth="1"/>
  </cols>
  <sheetData>
    <row r="1" spans="1:15" x14ac:dyDescent="0.25">
      <c r="A1" t="s">
        <v>5959</v>
      </c>
      <c r="B1" t="s">
        <v>6674</v>
      </c>
      <c r="C1" t="s">
        <v>7579</v>
      </c>
      <c r="D1" t="s">
        <v>8184</v>
      </c>
      <c r="F1" t="s">
        <v>5960</v>
      </c>
      <c r="G1" t="s">
        <v>6671</v>
      </c>
      <c r="H1" t="s">
        <v>6672</v>
      </c>
      <c r="J1" t="s">
        <v>7577</v>
      </c>
      <c r="K1" t="s">
        <v>7578</v>
      </c>
      <c r="L1" t="s">
        <v>8184</v>
      </c>
    </row>
    <row r="2" spans="1:15" x14ac:dyDescent="0.25">
      <c r="A2" t="s">
        <v>5539</v>
      </c>
      <c r="B2" t="s">
        <v>6677</v>
      </c>
      <c r="C2" t="s">
        <v>7580</v>
      </c>
      <c r="D2" t="s">
        <v>8185</v>
      </c>
      <c r="F2" t="s">
        <v>6670</v>
      </c>
      <c r="G2" t="s">
        <v>6673</v>
      </c>
      <c r="H2" t="s">
        <v>6675</v>
      </c>
      <c r="I2" t="s">
        <v>6676</v>
      </c>
      <c r="L2" s="20" t="s">
        <v>8636</v>
      </c>
      <c r="N2" s="20" t="s">
        <v>8787</v>
      </c>
      <c r="O2" s="20" t="s">
        <v>8937</v>
      </c>
    </row>
    <row r="3" spans="1:15" x14ac:dyDescent="0.25">
      <c r="A3" t="s">
        <v>5961</v>
      </c>
      <c r="B3" t="s">
        <v>6678</v>
      </c>
      <c r="C3" t="s">
        <v>7581</v>
      </c>
      <c r="D3" t="s">
        <v>8186</v>
      </c>
      <c r="L3" s="20" t="s">
        <v>8637</v>
      </c>
      <c r="N3" s="20" t="s">
        <v>8788</v>
      </c>
      <c r="O3" s="20" t="s">
        <v>8938</v>
      </c>
    </row>
    <row r="4" spans="1:15" ht="15.75" thickBot="1" x14ac:dyDescent="0.3">
      <c r="A4" t="s">
        <v>5540</v>
      </c>
      <c r="B4" t="s">
        <v>6679</v>
      </c>
      <c r="C4" t="s">
        <v>7582</v>
      </c>
      <c r="D4" t="s">
        <v>8187</v>
      </c>
      <c r="G4" s="27" t="s">
        <v>8786</v>
      </c>
      <c r="L4" s="20" t="s">
        <v>8638</v>
      </c>
      <c r="N4" s="20" t="s">
        <v>8789</v>
      </c>
      <c r="O4" s="20" t="s">
        <v>8939</v>
      </c>
    </row>
    <row r="5" spans="1:15" x14ac:dyDescent="0.25">
      <c r="A5" t="s">
        <v>5962</v>
      </c>
      <c r="B5" t="s">
        <v>6680</v>
      </c>
      <c r="C5" t="s">
        <v>7583</v>
      </c>
      <c r="D5" t="s">
        <v>8188</v>
      </c>
      <c r="G5" t="s">
        <v>8936</v>
      </c>
      <c r="L5" s="20" t="s">
        <v>8639</v>
      </c>
      <c r="N5" s="20" t="s">
        <v>8790</v>
      </c>
      <c r="O5" s="20" t="s">
        <v>8940</v>
      </c>
    </row>
    <row r="6" spans="1:15" x14ac:dyDescent="0.25">
      <c r="A6" t="s">
        <v>5541</v>
      </c>
      <c r="B6" t="s">
        <v>6681</v>
      </c>
      <c r="C6" t="s">
        <v>7584</v>
      </c>
      <c r="D6" t="s">
        <v>8189</v>
      </c>
      <c r="L6" s="20" t="s">
        <v>8640</v>
      </c>
      <c r="N6" s="20" t="s">
        <v>8791</v>
      </c>
      <c r="O6" s="20" t="s">
        <v>8941</v>
      </c>
    </row>
    <row r="7" spans="1:15" x14ac:dyDescent="0.25">
      <c r="A7" t="s">
        <v>5963</v>
      </c>
      <c r="B7" t="s">
        <v>6682</v>
      </c>
      <c r="C7" t="s">
        <v>7585</v>
      </c>
      <c r="D7" t="s">
        <v>8190</v>
      </c>
      <c r="L7" s="20" t="s">
        <v>8641</v>
      </c>
      <c r="N7" s="20" t="s">
        <v>8792</v>
      </c>
      <c r="O7" s="20" t="s">
        <v>8942</v>
      </c>
    </row>
    <row r="8" spans="1:15" x14ac:dyDescent="0.25">
      <c r="A8" t="s">
        <v>5542</v>
      </c>
      <c r="B8" t="s">
        <v>6683</v>
      </c>
      <c r="C8" t="s">
        <v>7586</v>
      </c>
      <c r="D8" t="s">
        <v>8191</v>
      </c>
      <c r="L8" s="20" t="s">
        <v>8642</v>
      </c>
      <c r="N8" s="20" t="s">
        <v>8793</v>
      </c>
      <c r="O8" s="20" t="s">
        <v>8943</v>
      </c>
    </row>
    <row r="9" spans="1:15" x14ac:dyDescent="0.25">
      <c r="A9" t="s">
        <v>5964</v>
      </c>
      <c r="B9" t="s">
        <v>6684</v>
      </c>
      <c r="C9" t="s">
        <v>7587</v>
      </c>
      <c r="D9" t="s">
        <v>8192</v>
      </c>
      <c r="L9" s="20" t="s">
        <v>8643</v>
      </c>
      <c r="N9" s="20" t="s">
        <v>8794</v>
      </c>
      <c r="O9" s="20" t="s">
        <v>8944</v>
      </c>
    </row>
    <row r="10" spans="1:15" x14ac:dyDescent="0.25">
      <c r="A10" t="s">
        <v>5965</v>
      </c>
      <c r="B10" t="s">
        <v>6685</v>
      </c>
      <c r="C10" t="s">
        <v>7588</v>
      </c>
      <c r="D10" t="s">
        <v>8193</v>
      </c>
      <c r="L10" s="20" t="s">
        <v>8644</v>
      </c>
      <c r="N10" s="20" t="s">
        <v>8795</v>
      </c>
      <c r="O10" s="20" t="s">
        <v>8945</v>
      </c>
    </row>
    <row r="11" spans="1:15" x14ac:dyDescent="0.25">
      <c r="A11" t="s">
        <v>5966</v>
      </c>
      <c r="B11" t="s">
        <v>6686</v>
      </c>
      <c r="C11" t="s">
        <v>7589</v>
      </c>
      <c r="D11" t="s">
        <v>8194</v>
      </c>
      <c r="L11" s="20" t="s">
        <v>8645</v>
      </c>
      <c r="N11" s="20" t="s">
        <v>8796</v>
      </c>
      <c r="O11" s="20" t="s">
        <v>8946</v>
      </c>
    </row>
    <row r="12" spans="1:15" x14ac:dyDescent="0.25">
      <c r="A12" t="s">
        <v>5543</v>
      </c>
      <c r="B12" t="s">
        <v>6687</v>
      </c>
      <c r="C12" t="s">
        <v>7590</v>
      </c>
      <c r="D12" t="s">
        <v>8195</v>
      </c>
      <c r="L12" s="20" t="s">
        <v>8646</v>
      </c>
      <c r="N12" s="20" t="s">
        <v>8797</v>
      </c>
      <c r="O12" s="20" t="s">
        <v>8947</v>
      </c>
    </row>
    <row r="13" spans="1:15" x14ac:dyDescent="0.25">
      <c r="A13" t="s">
        <v>5967</v>
      </c>
      <c r="B13" t="s">
        <v>6688</v>
      </c>
      <c r="C13" t="s">
        <v>7591</v>
      </c>
      <c r="D13" t="s">
        <v>8196</v>
      </c>
      <c r="L13" s="20" t="s">
        <v>8647</v>
      </c>
      <c r="N13" s="20" t="s">
        <v>8798</v>
      </c>
      <c r="O13" s="20" t="s">
        <v>8948</v>
      </c>
    </row>
    <row r="14" spans="1:15" x14ac:dyDescent="0.25">
      <c r="A14" t="s">
        <v>5544</v>
      </c>
      <c r="B14" t="s">
        <v>6689</v>
      </c>
      <c r="C14" t="s">
        <v>7592</v>
      </c>
      <c r="D14" t="s">
        <v>8197</v>
      </c>
      <c r="L14" s="20" t="s">
        <v>8648</v>
      </c>
      <c r="N14" s="20" t="s">
        <v>8799</v>
      </c>
      <c r="O14" s="20" t="s">
        <v>8949</v>
      </c>
    </row>
    <row r="15" spans="1:15" x14ac:dyDescent="0.25">
      <c r="A15" t="s">
        <v>5968</v>
      </c>
      <c r="B15" t="s">
        <v>6690</v>
      </c>
      <c r="C15" t="s">
        <v>7593</v>
      </c>
      <c r="D15" t="s">
        <v>8198</v>
      </c>
      <c r="L15" s="20" t="s">
        <v>8649</v>
      </c>
      <c r="N15" s="20" t="s">
        <v>8800</v>
      </c>
      <c r="O15" s="20" t="s">
        <v>8950</v>
      </c>
    </row>
    <row r="16" spans="1:15" x14ac:dyDescent="0.25">
      <c r="A16" t="s">
        <v>5545</v>
      </c>
      <c r="B16" t="s">
        <v>6691</v>
      </c>
      <c r="C16" t="s">
        <v>7594</v>
      </c>
      <c r="D16" t="s">
        <v>8199</v>
      </c>
      <c r="L16" s="20" t="s">
        <v>8650</v>
      </c>
      <c r="N16" s="20" t="s">
        <v>8801</v>
      </c>
      <c r="O16" s="20" t="s">
        <v>8951</v>
      </c>
    </row>
    <row r="17" spans="1:15" x14ac:dyDescent="0.25">
      <c r="A17" t="s">
        <v>5546</v>
      </c>
      <c r="B17" t="s">
        <v>6692</v>
      </c>
      <c r="C17" t="s">
        <v>7595</v>
      </c>
      <c r="D17" t="s">
        <v>8200</v>
      </c>
      <c r="L17" s="20" t="s">
        <v>8651</v>
      </c>
      <c r="N17" s="20" t="s">
        <v>8802</v>
      </c>
      <c r="O17" s="20" t="s">
        <v>8952</v>
      </c>
    </row>
    <row r="18" spans="1:15" x14ac:dyDescent="0.25">
      <c r="A18" t="s">
        <v>5969</v>
      </c>
      <c r="B18" t="s">
        <v>6693</v>
      </c>
      <c r="C18" t="s">
        <v>7596</v>
      </c>
      <c r="D18" t="s">
        <v>8201</v>
      </c>
      <c r="L18" s="20" t="s">
        <v>8652</v>
      </c>
      <c r="N18" s="20" t="s">
        <v>8803</v>
      </c>
      <c r="O18" s="20" t="s">
        <v>8953</v>
      </c>
    </row>
    <row r="19" spans="1:15" x14ac:dyDescent="0.25">
      <c r="A19" t="s">
        <v>5547</v>
      </c>
      <c r="B19" t="s">
        <v>6694</v>
      </c>
      <c r="C19" t="s">
        <v>7597</v>
      </c>
      <c r="D19" t="s">
        <v>8202</v>
      </c>
      <c r="L19" s="20" t="s">
        <v>8653</v>
      </c>
      <c r="N19" s="20" t="s">
        <v>8804</v>
      </c>
      <c r="O19" s="20" t="s">
        <v>8954</v>
      </c>
    </row>
    <row r="20" spans="1:15" x14ac:dyDescent="0.25">
      <c r="A20" t="s">
        <v>5970</v>
      </c>
      <c r="B20" t="s">
        <v>6695</v>
      </c>
      <c r="C20" t="s">
        <v>7598</v>
      </c>
      <c r="D20" t="s">
        <v>8203</v>
      </c>
      <c r="L20" s="20" t="s">
        <v>8654</v>
      </c>
      <c r="N20" s="20" t="s">
        <v>8805</v>
      </c>
      <c r="O20" s="20" t="s">
        <v>8955</v>
      </c>
    </row>
    <row r="21" spans="1:15" x14ac:dyDescent="0.25">
      <c r="A21" t="s">
        <v>5548</v>
      </c>
      <c r="B21" t="s">
        <v>6696</v>
      </c>
      <c r="C21" t="s">
        <v>7599</v>
      </c>
      <c r="D21" t="s">
        <v>8204</v>
      </c>
      <c r="L21" s="20" t="s">
        <v>8655</v>
      </c>
      <c r="N21" s="20" t="s">
        <v>8806</v>
      </c>
      <c r="O21" s="20" t="s">
        <v>8956</v>
      </c>
    </row>
    <row r="22" spans="1:15" x14ac:dyDescent="0.25">
      <c r="A22" t="s">
        <v>5971</v>
      </c>
      <c r="B22" t="s">
        <v>6697</v>
      </c>
      <c r="C22" t="s">
        <v>7600</v>
      </c>
      <c r="D22" t="s">
        <v>8205</v>
      </c>
      <c r="L22" s="20" t="s">
        <v>8656</v>
      </c>
      <c r="N22" s="20" t="s">
        <v>8807</v>
      </c>
      <c r="O22" s="20" t="s">
        <v>8957</v>
      </c>
    </row>
    <row r="23" spans="1:15" x14ac:dyDescent="0.25">
      <c r="A23" t="s">
        <v>5549</v>
      </c>
      <c r="B23" t="s">
        <v>6698</v>
      </c>
      <c r="C23" t="s">
        <v>7601</v>
      </c>
      <c r="D23" t="s">
        <v>8206</v>
      </c>
      <c r="L23" s="20" t="s">
        <v>8657</v>
      </c>
      <c r="N23" s="20" t="s">
        <v>8808</v>
      </c>
      <c r="O23" s="20" t="s">
        <v>8958</v>
      </c>
    </row>
    <row r="24" spans="1:15" x14ac:dyDescent="0.25">
      <c r="A24" t="s">
        <v>5972</v>
      </c>
      <c r="B24" t="s">
        <v>6699</v>
      </c>
      <c r="C24" t="s">
        <v>7602</v>
      </c>
      <c r="D24" t="s">
        <v>8207</v>
      </c>
      <c r="L24" s="20" t="s">
        <v>8658</v>
      </c>
      <c r="N24" s="20" t="s">
        <v>8809</v>
      </c>
      <c r="O24" s="20" t="s">
        <v>8959</v>
      </c>
    </row>
    <row r="25" spans="1:15" x14ac:dyDescent="0.25">
      <c r="A25" t="s">
        <v>5973</v>
      </c>
      <c r="B25" t="s">
        <v>6700</v>
      </c>
      <c r="C25" t="s">
        <v>7603</v>
      </c>
      <c r="D25" t="s">
        <v>8208</v>
      </c>
      <c r="L25" s="20" t="s">
        <v>8659</v>
      </c>
      <c r="N25" s="20" t="s">
        <v>8810</v>
      </c>
      <c r="O25" s="20" t="s">
        <v>8960</v>
      </c>
    </row>
    <row r="26" spans="1:15" x14ac:dyDescent="0.25">
      <c r="A26" t="s">
        <v>5974</v>
      </c>
      <c r="B26" t="s">
        <v>6701</v>
      </c>
      <c r="C26" t="s">
        <v>7604</v>
      </c>
      <c r="D26" t="s">
        <v>8209</v>
      </c>
      <c r="L26" s="20" t="s">
        <v>8660</v>
      </c>
      <c r="N26" s="20" t="s">
        <v>8811</v>
      </c>
      <c r="O26" s="20" t="s">
        <v>8961</v>
      </c>
    </row>
    <row r="27" spans="1:15" x14ac:dyDescent="0.25">
      <c r="A27" t="s">
        <v>5550</v>
      </c>
      <c r="B27" t="s">
        <v>6702</v>
      </c>
      <c r="C27" t="s">
        <v>7605</v>
      </c>
      <c r="D27" t="s">
        <v>8210</v>
      </c>
      <c r="L27" s="20" t="s">
        <v>8661</v>
      </c>
      <c r="N27" s="20" t="s">
        <v>8812</v>
      </c>
      <c r="O27" s="20" t="s">
        <v>8962</v>
      </c>
    </row>
    <row r="28" spans="1:15" x14ac:dyDescent="0.25">
      <c r="A28" t="s">
        <v>5975</v>
      </c>
      <c r="B28" t="s">
        <v>6703</v>
      </c>
      <c r="C28" t="s">
        <v>7606</v>
      </c>
      <c r="D28" t="s">
        <v>8211</v>
      </c>
      <c r="L28" s="20" t="s">
        <v>8662</v>
      </c>
      <c r="N28" s="20" t="s">
        <v>8813</v>
      </c>
      <c r="O28" s="20" t="s">
        <v>8963</v>
      </c>
    </row>
    <row r="29" spans="1:15" x14ac:dyDescent="0.25">
      <c r="A29" t="s">
        <v>5551</v>
      </c>
      <c r="B29" t="s">
        <v>6704</v>
      </c>
      <c r="C29" t="s">
        <v>7607</v>
      </c>
      <c r="D29" t="s">
        <v>8212</v>
      </c>
      <c r="L29" s="20" t="s">
        <v>8663</v>
      </c>
      <c r="N29" s="20" t="s">
        <v>8814</v>
      </c>
      <c r="O29" s="20" t="s">
        <v>8964</v>
      </c>
    </row>
    <row r="30" spans="1:15" x14ac:dyDescent="0.25">
      <c r="A30" t="s">
        <v>5976</v>
      </c>
      <c r="B30" t="s">
        <v>6705</v>
      </c>
      <c r="C30" t="s">
        <v>7608</v>
      </c>
      <c r="D30" t="s">
        <v>8213</v>
      </c>
      <c r="L30" s="20" t="s">
        <v>8664</v>
      </c>
      <c r="N30" s="20" t="s">
        <v>8815</v>
      </c>
      <c r="O30" s="20" t="s">
        <v>8965</v>
      </c>
    </row>
    <row r="31" spans="1:15" x14ac:dyDescent="0.25">
      <c r="A31" t="s">
        <v>5552</v>
      </c>
      <c r="B31" t="s">
        <v>6706</v>
      </c>
      <c r="C31" t="s">
        <v>7609</v>
      </c>
      <c r="D31" t="s">
        <v>8214</v>
      </c>
      <c r="L31" s="20" t="s">
        <v>8665</v>
      </c>
      <c r="N31" s="20" t="s">
        <v>8816</v>
      </c>
      <c r="O31" s="20" t="s">
        <v>8966</v>
      </c>
    </row>
    <row r="32" spans="1:15" x14ac:dyDescent="0.25">
      <c r="A32" t="s">
        <v>5553</v>
      </c>
      <c r="B32" t="s">
        <v>6707</v>
      </c>
      <c r="C32" t="s">
        <v>7610</v>
      </c>
      <c r="D32" t="s">
        <v>8215</v>
      </c>
      <c r="L32" s="20" t="s">
        <v>8666</v>
      </c>
      <c r="N32" s="20" t="s">
        <v>8817</v>
      </c>
      <c r="O32" s="20" t="s">
        <v>8967</v>
      </c>
    </row>
    <row r="33" spans="1:15" x14ac:dyDescent="0.25">
      <c r="A33" t="s">
        <v>5977</v>
      </c>
      <c r="B33" t="s">
        <v>6708</v>
      </c>
      <c r="C33" t="s">
        <v>7611</v>
      </c>
      <c r="D33" t="s">
        <v>8216</v>
      </c>
      <c r="L33" s="20" t="s">
        <v>8667</v>
      </c>
      <c r="N33" s="20" t="s">
        <v>8818</v>
      </c>
      <c r="O33" s="20" t="s">
        <v>8968</v>
      </c>
    </row>
    <row r="34" spans="1:15" x14ac:dyDescent="0.25">
      <c r="A34" t="s">
        <v>5554</v>
      </c>
      <c r="B34" t="s">
        <v>6709</v>
      </c>
      <c r="C34" t="s">
        <v>7612</v>
      </c>
      <c r="D34" t="s">
        <v>8217</v>
      </c>
      <c r="L34" s="21" t="s">
        <v>8668</v>
      </c>
      <c r="N34" s="21" t="s">
        <v>8819</v>
      </c>
      <c r="O34" s="21" t="s">
        <v>8969</v>
      </c>
    </row>
    <row r="35" spans="1:15" x14ac:dyDescent="0.25">
      <c r="A35" t="s">
        <v>5978</v>
      </c>
      <c r="B35" t="s">
        <v>6710</v>
      </c>
      <c r="C35" t="s">
        <v>7613</v>
      </c>
      <c r="D35" t="s">
        <v>8218</v>
      </c>
      <c r="L35" s="21" t="s">
        <v>8669</v>
      </c>
      <c r="N35" s="21" t="s">
        <v>8820</v>
      </c>
      <c r="O35" s="21" t="s">
        <v>8970</v>
      </c>
    </row>
    <row r="36" spans="1:15" x14ac:dyDescent="0.25">
      <c r="A36" t="s">
        <v>5555</v>
      </c>
      <c r="B36" t="s">
        <v>6711</v>
      </c>
      <c r="C36" t="s">
        <v>7614</v>
      </c>
      <c r="D36" t="s">
        <v>8219</v>
      </c>
      <c r="L36" s="20" t="s">
        <v>8670</v>
      </c>
      <c r="N36" s="20" t="s">
        <v>8821</v>
      </c>
      <c r="O36" s="20" t="s">
        <v>8971</v>
      </c>
    </row>
    <row r="37" spans="1:15" x14ac:dyDescent="0.25">
      <c r="A37" t="s">
        <v>5979</v>
      </c>
      <c r="B37" t="s">
        <v>6712</v>
      </c>
      <c r="C37" t="s">
        <v>7615</v>
      </c>
      <c r="D37" t="s">
        <v>8220</v>
      </c>
      <c r="L37" s="20" t="s">
        <v>8671</v>
      </c>
      <c r="N37" s="20" t="s">
        <v>8822</v>
      </c>
      <c r="O37" s="20" t="s">
        <v>8972</v>
      </c>
    </row>
    <row r="38" spans="1:15" x14ac:dyDescent="0.25">
      <c r="A38" t="s">
        <v>5556</v>
      </c>
      <c r="B38" t="s">
        <v>6713</v>
      </c>
      <c r="C38" t="s">
        <v>7616</v>
      </c>
      <c r="D38" t="s">
        <v>8221</v>
      </c>
      <c r="L38" s="20" t="s">
        <v>8672</v>
      </c>
      <c r="N38" s="20" t="s">
        <v>8823</v>
      </c>
      <c r="O38" s="20" t="s">
        <v>8973</v>
      </c>
    </row>
    <row r="39" spans="1:15" x14ac:dyDescent="0.25">
      <c r="A39" t="s">
        <v>5980</v>
      </c>
      <c r="B39" t="s">
        <v>6714</v>
      </c>
      <c r="C39" t="s">
        <v>7617</v>
      </c>
      <c r="D39" t="s">
        <v>8222</v>
      </c>
      <c r="L39" s="20" t="s">
        <v>8673</v>
      </c>
      <c r="N39" s="20" t="s">
        <v>8824</v>
      </c>
      <c r="O39" s="20" t="s">
        <v>8974</v>
      </c>
    </row>
    <row r="40" spans="1:15" x14ac:dyDescent="0.25">
      <c r="A40" t="s">
        <v>5981</v>
      </c>
      <c r="B40" t="s">
        <v>6715</v>
      </c>
      <c r="C40" t="s">
        <v>7618</v>
      </c>
      <c r="D40" t="s">
        <v>8223</v>
      </c>
      <c r="L40" s="20" t="s">
        <v>8674</v>
      </c>
      <c r="N40" s="20" t="s">
        <v>8825</v>
      </c>
      <c r="O40" s="20" t="s">
        <v>8975</v>
      </c>
    </row>
    <row r="41" spans="1:15" x14ac:dyDescent="0.25">
      <c r="A41" t="s">
        <v>5982</v>
      </c>
      <c r="B41" t="s">
        <v>6716</v>
      </c>
      <c r="C41" t="s">
        <v>7619</v>
      </c>
      <c r="D41" t="s">
        <v>8224</v>
      </c>
      <c r="L41" s="20" t="s">
        <v>8675</v>
      </c>
      <c r="N41" s="20" t="s">
        <v>8826</v>
      </c>
      <c r="O41" s="20" t="s">
        <v>8976</v>
      </c>
    </row>
    <row r="42" spans="1:15" x14ac:dyDescent="0.25">
      <c r="A42" t="s">
        <v>5557</v>
      </c>
      <c r="B42" t="s">
        <v>6717</v>
      </c>
      <c r="C42" t="s">
        <v>7620</v>
      </c>
      <c r="D42" t="s">
        <v>8225</v>
      </c>
      <c r="L42" s="20" t="s">
        <v>8676</v>
      </c>
      <c r="N42" s="20" t="s">
        <v>8827</v>
      </c>
      <c r="O42" s="20" t="s">
        <v>8977</v>
      </c>
    </row>
    <row r="43" spans="1:15" x14ac:dyDescent="0.25">
      <c r="A43" t="s">
        <v>5983</v>
      </c>
      <c r="B43" t="s">
        <v>6718</v>
      </c>
      <c r="C43" t="s">
        <v>7621</v>
      </c>
      <c r="D43" t="s">
        <v>8226</v>
      </c>
      <c r="L43" s="20" t="s">
        <v>8677</v>
      </c>
      <c r="N43" s="20" t="s">
        <v>8828</v>
      </c>
      <c r="O43" s="20" t="s">
        <v>8978</v>
      </c>
    </row>
    <row r="44" spans="1:15" x14ac:dyDescent="0.25">
      <c r="A44" t="s">
        <v>5558</v>
      </c>
      <c r="B44" t="s">
        <v>6719</v>
      </c>
      <c r="C44" t="s">
        <v>7622</v>
      </c>
      <c r="D44" t="s">
        <v>8227</v>
      </c>
      <c r="L44" s="20" t="s">
        <v>8678</v>
      </c>
      <c r="N44" s="20" t="s">
        <v>8786</v>
      </c>
      <c r="O44" s="20" t="s">
        <v>8979</v>
      </c>
    </row>
    <row r="45" spans="1:15" x14ac:dyDescent="0.25">
      <c r="A45" t="s">
        <v>5984</v>
      </c>
      <c r="B45" t="s">
        <v>6720</v>
      </c>
      <c r="C45" t="s">
        <v>7623</v>
      </c>
      <c r="D45" t="s">
        <v>8228</v>
      </c>
      <c r="L45" s="20" t="s">
        <v>8679</v>
      </c>
      <c r="N45" s="20" t="s">
        <v>8829</v>
      </c>
      <c r="O45" s="20" t="s">
        <v>8980</v>
      </c>
    </row>
    <row r="46" spans="1:15" x14ac:dyDescent="0.25">
      <c r="A46" t="s">
        <v>5559</v>
      </c>
      <c r="B46" t="s">
        <v>6721</v>
      </c>
      <c r="C46" t="s">
        <v>7624</v>
      </c>
      <c r="D46" t="s">
        <v>8229</v>
      </c>
      <c r="L46" s="20" t="s">
        <v>8680</v>
      </c>
      <c r="N46" s="20" t="s">
        <v>8830</v>
      </c>
      <c r="O46" s="20" t="s">
        <v>8981</v>
      </c>
    </row>
    <row r="47" spans="1:15" x14ac:dyDescent="0.25">
      <c r="A47" t="s">
        <v>5560</v>
      </c>
      <c r="B47" t="s">
        <v>6722</v>
      </c>
      <c r="C47" t="s">
        <v>7625</v>
      </c>
      <c r="D47" t="s">
        <v>8230</v>
      </c>
      <c r="L47" s="20" t="s">
        <v>8681</v>
      </c>
      <c r="N47" s="20" t="s">
        <v>8831</v>
      </c>
      <c r="O47" s="20" t="s">
        <v>8982</v>
      </c>
    </row>
    <row r="48" spans="1:15" x14ac:dyDescent="0.25">
      <c r="A48" t="s">
        <v>5985</v>
      </c>
      <c r="B48" t="s">
        <v>6723</v>
      </c>
      <c r="C48" t="s">
        <v>7626</v>
      </c>
      <c r="D48" t="s">
        <v>8231</v>
      </c>
      <c r="L48" s="20" t="s">
        <v>8682</v>
      </c>
      <c r="N48" s="20" t="s">
        <v>8832</v>
      </c>
      <c r="O48" s="20" t="s">
        <v>8983</v>
      </c>
    </row>
    <row r="49" spans="1:15" x14ac:dyDescent="0.25">
      <c r="A49" t="s">
        <v>5561</v>
      </c>
      <c r="B49" t="s">
        <v>6724</v>
      </c>
      <c r="C49" t="s">
        <v>7627</v>
      </c>
      <c r="D49" t="s">
        <v>8232</v>
      </c>
      <c r="L49" s="20" t="s">
        <v>8683</v>
      </c>
      <c r="N49" s="20" t="s">
        <v>8833</v>
      </c>
      <c r="O49" s="20" t="s">
        <v>8984</v>
      </c>
    </row>
    <row r="50" spans="1:15" x14ac:dyDescent="0.25">
      <c r="A50" t="s">
        <v>5986</v>
      </c>
      <c r="B50" t="s">
        <v>6725</v>
      </c>
      <c r="C50" t="s">
        <v>7628</v>
      </c>
      <c r="D50" t="s">
        <v>8233</v>
      </c>
      <c r="L50" s="20" t="s">
        <v>8684</v>
      </c>
      <c r="N50" s="20" t="s">
        <v>8834</v>
      </c>
      <c r="O50" s="20" t="s">
        <v>8985</v>
      </c>
    </row>
    <row r="51" spans="1:15" x14ac:dyDescent="0.25">
      <c r="A51" t="s">
        <v>5562</v>
      </c>
      <c r="B51" t="s">
        <v>6726</v>
      </c>
      <c r="C51" t="s">
        <v>7629</v>
      </c>
      <c r="D51" t="s">
        <v>8234</v>
      </c>
      <c r="L51" s="20" t="s">
        <v>8685</v>
      </c>
      <c r="N51" s="20" t="s">
        <v>8835</v>
      </c>
      <c r="O51" s="20" t="s">
        <v>8986</v>
      </c>
    </row>
    <row r="52" spans="1:15" x14ac:dyDescent="0.25">
      <c r="A52" t="s">
        <v>5987</v>
      </c>
      <c r="B52" t="s">
        <v>6727</v>
      </c>
      <c r="C52" t="s">
        <v>7630</v>
      </c>
      <c r="D52" t="s">
        <v>8235</v>
      </c>
      <c r="L52" s="20" t="s">
        <v>8686</v>
      </c>
      <c r="N52" s="20" t="s">
        <v>8836</v>
      </c>
      <c r="O52" s="20" t="s">
        <v>8987</v>
      </c>
    </row>
    <row r="53" spans="1:15" x14ac:dyDescent="0.25">
      <c r="A53" t="s">
        <v>5563</v>
      </c>
      <c r="B53" t="s">
        <v>6728</v>
      </c>
      <c r="C53" t="s">
        <v>7631</v>
      </c>
      <c r="D53" t="s">
        <v>8236</v>
      </c>
      <c r="L53" s="20" t="s">
        <v>8687</v>
      </c>
      <c r="N53" s="20" t="s">
        <v>8837</v>
      </c>
      <c r="O53" s="20" t="s">
        <v>8988</v>
      </c>
    </row>
    <row r="54" spans="1:15" x14ac:dyDescent="0.25">
      <c r="A54" t="s">
        <v>5988</v>
      </c>
      <c r="B54" t="s">
        <v>6729</v>
      </c>
      <c r="C54" t="s">
        <v>7632</v>
      </c>
      <c r="D54" t="s">
        <v>8237</v>
      </c>
      <c r="L54" s="20" t="s">
        <v>8688</v>
      </c>
      <c r="N54" s="20" t="s">
        <v>8838</v>
      </c>
      <c r="O54" s="20" t="s">
        <v>8989</v>
      </c>
    </row>
    <row r="55" spans="1:15" x14ac:dyDescent="0.25">
      <c r="A55" t="s">
        <v>5989</v>
      </c>
      <c r="B55" t="s">
        <v>6730</v>
      </c>
      <c r="C55" t="s">
        <v>7633</v>
      </c>
      <c r="D55" t="s">
        <v>8238</v>
      </c>
      <c r="L55" s="20" t="s">
        <v>8689</v>
      </c>
      <c r="N55" s="20" t="s">
        <v>8839</v>
      </c>
      <c r="O55" s="20" t="s">
        <v>8990</v>
      </c>
    </row>
    <row r="56" spans="1:15" x14ac:dyDescent="0.25">
      <c r="A56" t="s">
        <v>5990</v>
      </c>
      <c r="B56" t="s">
        <v>6731</v>
      </c>
      <c r="C56" t="s">
        <v>7634</v>
      </c>
      <c r="D56" t="s">
        <v>8239</v>
      </c>
      <c r="L56" s="20" t="s">
        <v>8690</v>
      </c>
      <c r="N56" s="20" t="s">
        <v>8840</v>
      </c>
      <c r="O56" s="20" t="s">
        <v>8991</v>
      </c>
    </row>
    <row r="57" spans="1:15" x14ac:dyDescent="0.25">
      <c r="A57" t="s">
        <v>5564</v>
      </c>
      <c r="B57" t="s">
        <v>6732</v>
      </c>
      <c r="C57" t="s">
        <v>7635</v>
      </c>
      <c r="D57" t="s">
        <v>8240</v>
      </c>
      <c r="L57" s="20" t="s">
        <v>8691</v>
      </c>
      <c r="N57" s="20" t="s">
        <v>8841</v>
      </c>
      <c r="O57" s="20" t="s">
        <v>8992</v>
      </c>
    </row>
    <row r="58" spans="1:15" x14ac:dyDescent="0.25">
      <c r="A58" t="s">
        <v>5991</v>
      </c>
      <c r="B58" t="s">
        <v>6733</v>
      </c>
      <c r="C58" t="s">
        <v>7636</v>
      </c>
      <c r="D58" t="s">
        <v>8241</v>
      </c>
      <c r="L58" s="20" t="s">
        <v>8692</v>
      </c>
      <c r="N58" s="20" t="s">
        <v>8842</v>
      </c>
      <c r="O58" s="20" t="s">
        <v>8993</v>
      </c>
    </row>
    <row r="59" spans="1:15" x14ac:dyDescent="0.25">
      <c r="A59" t="s">
        <v>5565</v>
      </c>
      <c r="B59" t="s">
        <v>6734</v>
      </c>
      <c r="C59" t="s">
        <v>7637</v>
      </c>
      <c r="D59" t="s">
        <v>8242</v>
      </c>
      <c r="L59" s="20" t="s">
        <v>8693</v>
      </c>
      <c r="N59" s="20" t="s">
        <v>8843</v>
      </c>
      <c r="O59" s="20" t="s">
        <v>8994</v>
      </c>
    </row>
    <row r="60" spans="1:15" x14ac:dyDescent="0.25">
      <c r="A60" t="s">
        <v>5992</v>
      </c>
      <c r="B60" t="s">
        <v>6735</v>
      </c>
      <c r="C60" t="s">
        <v>7638</v>
      </c>
      <c r="D60" t="s">
        <v>8243</v>
      </c>
      <c r="L60" s="20" t="s">
        <v>8694</v>
      </c>
      <c r="N60" s="20" t="s">
        <v>8844</v>
      </c>
      <c r="O60" s="20" t="s">
        <v>8995</v>
      </c>
    </row>
    <row r="61" spans="1:15" x14ac:dyDescent="0.25">
      <c r="A61" t="s">
        <v>5566</v>
      </c>
      <c r="B61" t="s">
        <v>6736</v>
      </c>
      <c r="C61" t="s">
        <v>7639</v>
      </c>
      <c r="D61" t="s">
        <v>8244</v>
      </c>
      <c r="L61" s="20" t="s">
        <v>8695</v>
      </c>
      <c r="N61" s="20" t="s">
        <v>8845</v>
      </c>
      <c r="O61" s="20" t="s">
        <v>8996</v>
      </c>
    </row>
    <row r="62" spans="1:15" x14ac:dyDescent="0.25">
      <c r="A62" t="s">
        <v>5567</v>
      </c>
      <c r="B62" t="s">
        <v>6737</v>
      </c>
      <c r="C62" t="s">
        <v>7640</v>
      </c>
      <c r="D62" t="s">
        <v>8245</v>
      </c>
      <c r="L62" s="20" t="s">
        <v>8696</v>
      </c>
      <c r="N62" s="20" t="s">
        <v>8846</v>
      </c>
      <c r="O62" s="20" t="s">
        <v>8997</v>
      </c>
    </row>
    <row r="63" spans="1:15" x14ac:dyDescent="0.25">
      <c r="A63" t="s">
        <v>5993</v>
      </c>
      <c r="B63" t="s">
        <v>6738</v>
      </c>
      <c r="C63" t="s">
        <v>7641</v>
      </c>
      <c r="D63" t="s">
        <v>8246</v>
      </c>
      <c r="L63" s="20" t="s">
        <v>8697</v>
      </c>
      <c r="N63" s="20" t="s">
        <v>8847</v>
      </c>
      <c r="O63" s="20" t="s">
        <v>8998</v>
      </c>
    </row>
    <row r="64" spans="1:15" x14ac:dyDescent="0.25">
      <c r="A64" t="s">
        <v>5568</v>
      </c>
      <c r="B64" t="s">
        <v>6739</v>
      </c>
      <c r="C64" t="s">
        <v>7642</v>
      </c>
      <c r="D64" t="s">
        <v>8247</v>
      </c>
      <c r="L64" s="20" t="s">
        <v>8698</v>
      </c>
      <c r="N64" s="20" t="s">
        <v>8848</v>
      </c>
      <c r="O64" s="20" t="s">
        <v>8999</v>
      </c>
    </row>
    <row r="65" spans="1:15" x14ac:dyDescent="0.25">
      <c r="A65" t="s">
        <v>5994</v>
      </c>
      <c r="B65" t="s">
        <v>6740</v>
      </c>
      <c r="C65" t="s">
        <v>7643</v>
      </c>
      <c r="D65" t="s">
        <v>8248</v>
      </c>
      <c r="L65" s="20" t="s">
        <v>8699</v>
      </c>
      <c r="N65" s="20" t="s">
        <v>8849</v>
      </c>
      <c r="O65" s="20" t="s">
        <v>9000</v>
      </c>
    </row>
    <row r="66" spans="1:15" x14ac:dyDescent="0.25">
      <c r="A66" t="s">
        <v>5569</v>
      </c>
      <c r="B66" t="s">
        <v>6741</v>
      </c>
      <c r="C66" t="s">
        <v>7644</v>
      </c>
      <c r="D66" t="s">
        <v>8249</v>
      </c>
      <c r="L66" s="20" t="s">
        <v>8700</v>
      </c>
      <c r="N66" s="20" t="s">
        <v>8850</v>
      </c>
      <c r="O66" s="20" t="s">
        <v>9001</v>
      </c>
    </row>
    <row r="67" spans="1:15" x14ac:dyDescent="0.25">
      <c r="A67" t="s">
        <v>5995</v>
      </c>
      <c r="B67" t="s">
        <v>6742</v>
      </c>
      <c r="C67" t="s">
        <v>7645</v>
      </c>
      <c r="D67" t="s">
        <v>8250</v>
      </c>
      <c r="L67" s="20" t="s">
        <v>8701</v>
      </c>
      <c r="N67" s="20" t="s">
        <v>8851</v>
      </c>
      <c r="O67" s="20" t="s">
        <v>9002</v>
      </c>
    </row>
    <row r="68" spans="1:15" x14ac:dyDescent="0.25">
      <c r="A68" t="s">
        <v>5570</v>
      </c>
      <c r="B68" t="s">
        <v>6743</v>
      </c>
      <c r="C68" t="s">
        <v>7646</v>
      </c>
      <c r="D68" t="s">
        <v>8251</v>
      </c>
      <c r="L68" s="20" t="s">
        <v>8702</v>
      </c>
      <c r="N68" s="20" t="s">
        <v>8852</v>
      </c>
      <c r="O68" s="20" t="s">
        <v>9003</v>
      </c>
    </row>
    <row r="69" spans="1:15" x14ac:dyDescent="0.25">
      <c r="A69" t="s">
        <v>5996</v>
      </c>
      <c r="B69" t="s">
        <v>6744</v>
      </c>
      <c r="C69" t="s">
        <v>7647</v>
      </c>
      <c r="D69" t="s">
        <v>8252</v>
      </c>
      <c r="L69" s="20" t="s">
        <v>8703</v>
      </c>
      <c r="N69" s="20" t="s">
        <v>8853</v>
      </c>
      <c r="O69" s="20" t="s">
        <v>9004</v>
      </c>
    </row>
    <row r="70" spans="1:15" x14ac:dyDescent="0.25">
      <c r="A70" t="s">
        <v>5997</v>
      </c>
      <c r="B70" t="s">
        <v>6745</v>
      </c>
      <c r="C70" t="s">
        <v>7648</v>
      </c>
      <c r="D70" t="s">
        <v>8253</v>
      </c>
      <c r="L70" s="20" t="s">
        <v>8704</v>
      </c>
      <c r="N70" s="20" t="s">
        <v>8854</v>
      </c>
      <c r="O70" s="20" t="s">
        <v>9005</v>
      </c>
    </row>
    <row r="71" spans="1:15" x14ac:dyDescent="0.25">
      <c r="A71" t="s">
        <v>5998</v>
      </c>
      <c r="B71" t="s">
        <v>6746</v>
      </c>
      <c r="C71" t="s">
        <v>7649</v>
      </c>
      <c r="D71" t="s">
        <v>8254</v>
      </c>
      <c r="L71" s="21" t="s">
        <v>8705</v>
      </c>
      <c r="N71" s="21" t="s">
        <v>8855</v>
      </c>
      <c r="O71" s="21" t="s">
        <v>9006</v>
      </c>
    </row>
    <row r="72" spans="1:15" x14ac:dyDescent="0.25">
      <c r="A72" t="s">
        <v>5571</v>
      </c>
      <c r="B72" t="s">
        <v>6747</v>
      </c>
      <c r="C72" t="s">
        <v>7650</v>
      </c>
      <c r="D72" t="s">
        <v>8255</v>
      </c>
      <c r="L72" s="21" t="s">
        <v>8706</v>
      </c>
      <c r="N72" s="21" t="s">
        <v>8856</v>
      </c>
      <c r="O72" s="21" t="s">
        <v>9007</v>
      </c>
    </row>
    <row r="73" spans="1:15" x14ac:dyDescent="0.25">
      <c r="A73" t="s">
        <v>5999</v>
      </c>
      <c r="B73" t="s">
        <v>6748</v>
      </c>
      <c r="C73" t="s">
        <v>7651</v>
      </c>
      <c r="D73" t="s">
        <v>8256</v>
      </c>
      <c r="L73" s="20" t="s">
        <v>8707</v>
      </c>
      <c r="N73" s="20" t="s">
        <v>8857</v>
      </c>
      <c r="O73" s="20" t="s">
        <v>9008</v>
      </c>
    </row>
    <row r="74" spans="1:15" x14ac:dyDescent="0.25">
      <c r="A74" t="s">
        <v>5572</v>
      </c>
      <c r="B74" t="s">
        <v>6749</v>
      </c>
      <c r="C74" t="s">
        <v>7652</v>
      </c>
      <c r="D74" t="s">
        <v>8257</v>
      </c>
      <c r="L74" s="20" t="s">
        <v>8708</v>
      </c>
      <c r="N74" s="20" t="s">
        <v>8858</v>
      </c>
      <c r="O74" s="20" t="s">
        <v>9009</v>
      </c>
    </row>
    <row r="75" spans="1:15" x14ac:dyDescent="0.25">
      <c r="A75" t="s">
        <v>6000</v>
      </c>
      <c r="B75" t="s">
        <v>6750</v>
      </c>
      <c r="C75" t="s">
        <v>7653</v>
      </c>
      <c r="D75" t="s">
        <v>8258</v>
      </c>
      <c r="L75" s="20" t="s">
        <v>8709</v>
      </c>
      <c r="N75" s="20" t="s">
        <v>8859</v>
      </c>
      <c r="O75" s="20" t="s">
        <v>9010</v>
      </c>
    </row>
    <row r="76" spans="1:15" x14ac:dyDescent="0.25">
      <c r="A76" t="s">
        <v>5573</v>
      </c>
      <c r="B76" t="s">
        <v>6751</v>
      </c>
      <c r="C76" t="s">
        <v>7654</v>
      </c>
      <c r="D76" t="s">
        <v>8259</v>
      </c>
      <c r="L76" s="20" t="s">
        <v>8710</v>
      </c>
      <c r="N76" s="20" t="s">
        <v>8860</v>
      </c>
      <c r="O76" s="20" t="s">
        <v>9011</v>
      </c>
    </row>
    <row r="77" spans="1:15" x14ac:dyDescent="0.25">
      <c r="A77" t="s">
        <v>5574</v>
      </c>
      <c r="B77" t="s">
        <v>6752</v>
      </c>
      <c r="C77" t="s">
        <v>7655</v>
      </c>
      <c r="D77" t="s">
        <v>8260</v>
      </c>
      <c r="L77" s="20" t="s">
        <v>8711</v>
      </c>
      <c r="N77" s="20" t="s">
        <v>8861</v>
      </c>
      <c r="O77" s="20" t="s">
        <v>8937</v>
      </c>
    </row>
    <row r="78" spans="1:15" x14ac:dyDescent="0.25">
      <c r="A78" t="s">
        <v>6121</v>
      </c>
      <c r="B78" t="s">
        <v>6753</v>
      </c>
      <c r="C78" t="s">
        <v>7656</v>
      </c>
      <c r="D78" t="s">
        <v>8261</v>
      </c>
      <c r="L78" s="20" t="s">
        <v>8712</v>
      </c>
      <c r="N78" s="20" t="s">
        <v>8862</v>
      </c>
      <c r="O78" s="20" t="s">
        <v>8938</v>
      </c>
    </row>
    <row r="79" spans="1:15" x14ac:dyDescent="0.25">
      <c r="A79" t="s">
        <v>5575</v>
      </c>
      <c r="B79" t="s">
        <v>6754</v>
      </c>
      <c r="C79" t="s">
        <v>7657</v>
      </c>
      <c r="D79" t="s">
        <v>8262</v>
      </c>
      <c r="L79" s="20" t="s">
        <v>8713</v>
      </c>
      <c r="N79" s="20" t="s">
        <v>8863</v>
      </c>
      <c r="O79" s="20" t="s">
        <v>8939</v>
      </c>
    </row>
    <row r="80" spans="1:15" x14ac:dyDescent="0.25">
      <c r="A80" t="s">
        <v>6122</v>
      </c>
      <c r="B80" t="s">
        <v>6755</v>
      </c>
      <c r="C80" t="s">
        <v>7658</v>
      </c>
      <c r="D80" t="s">
        <v>8263</v>
      </c>
      <c r="L80" s="20" t="s">
        <v>8714</v>
      </c>
      <c r="N80" s="20" t="s">
        <v>8864</v>
      </c>
      <c r="O80" s="20" t="s">
        <v>8940</v>
      </c>
    </row>
    <row r="81" spans="1:15" x14ac:dyDescent="0.25">
      <c r="A81" t="s">
        <v>5576</v>
      </c>
      <c r="B81" t="s">
        <v>6756</v>
      </c>
      <c r="C81" t="s">
        <v>7659</v>
      </c>
      <c r="D81" t="s">
        <v>8264</v>
      </c>
      <c r="L81" s="20" t="s">
        <v>8715</v>
      </c>
      <c r="N81" s="20" t="s">
        <v>8865</v>
      </c>
      <c r="O81" s="20" t="s">
        <v>8941</v>
      </c>
    </row>
    <row r="82" spans="1:15" x14ac:dyDescent="0.25">
      <c r="A82" t="s">
        <v>6123</v>
      </c>
      <c r="B82" t="s">
        <v>6757</v>
      </c>
      <c r="C82" t="s">
        <v>7660</v>
      </c>
      <c r="D82" t="s">
        <v>8265</v>
      </c>
      <c r="L82" s="20" t="s">
        <v>8716</v>
      </c>
      <c r="N82" s="20" t="s">
        <v>8866</v>
      </c>
      <c r="O82" s="20" t="s">
        <v>8942</v>
      </c>
    </row>
    <row r="83" spans="1:15" x14ac:dyDescent="0.25">
      <c r="A83" t="s">
        <v>5577</v>
      </c>
      <c r="B83" t="s">
        <v>6758</v>
      </c>
      <c r="C83" t="s">
        <v>7661</v>
      </c>
      <c r="D83" t="s">
        <v>8266</v>
      </c>
      <c r="L83" s="20" t="s">
        <v>8717</v>
      </c>
      <c r="N83" s="20" t="s">
        <v>8867</v>
      </c>
      <c r="O83" s="20" t="s">
        <v>8943</v>
      </c>
    </row>
    <row r="84" spans="1:15" x14ac:dyDescent="0.25">
      <c r="A84" t="s">
        <v>6124</v>
      </c>
      <c r="B84" t="s">
        <v>6759</v>
      </c>
      <c r="C84" t="s">
        <v>7662</v>
      </c>
      <c r="D84" t="s">
        <v>8267</v>
      </c>
      <c r="L84" s="20" t="s">
        <v>8718</v>
      </c>
      <c r="N84" s="20" t="s">
        <v>8868</v>
      </c>
      <c r="O84" s="20" t="s">
        <v>8944</v>
      </c>
    </row>
    <row r="85" spans="1:15" x14ac:dyDescent="0.25">
      <c r="A85" t="s">
        <v>6125</v>
      </c>
      <c r="B85" t="s">
        <v>6760</v>
      </c>
      <c r="C85" t="s">
        <v>7663</v>
      </c>
      <c r="D85" t="s">
        <v>8268</v>
      </c>
      <c r="L85" s="20" t="s">
        <v>8719</v>
      </c>
      <c r="N85" s="20" t="s">
        <v>8869</v>
      </c>
      <c r="O85" s="20" t="s">
        <v>8945</v>
      </c>
    </row>
    <row r="86" spans="1:15" x14ac:dyDescent="0.25">
      <c r="A86" t="s">
        <v>6126</v>
      </c>
      <c r="B86" t="s">
        <v>6761</v>
      </c>
      <c r="C86" t="s">
        <v>7664</v>
      </c>
      <c r="D86" t="s">
        <v>8269</v>
      </c>
      <c r="L86" s="20" t="s">
        <v>8720</v>
      </c>
      <c r="N86" s="20" t="s">
        <v>8870</v>
      </c>
      <c r="O86" s="20" t="s">
        <v>8946</v>
      </c>
    </row>
    <row r="87" spans="1:15" x14ac:dyDescent="0.25">
      <c r="A87" t="s">
        <v>5578</v>
      </c>
      <c r="B87" t="s">
        <v>6762</v>
      </c>
      <c r="C87" t="s">
        <v>7665</v>
      </c>
      <c r="D87" t="s">
        <v>8270</v>
      </c>
      <c r="L87" s="20" t="s">
        <v>8721</v>
      </c>
      <c r="N87" s="20" t="s">
        <v>8871</v>
      </c>
      <c r="O87" s="20" t="s">
        <v>8947</v>
      </c>
    </row>
    <row r="88" spans="1:15" x14ac:dyDescent="0.25">
      <c r="A88" t="s">
        <v>6127</v>
      </c>
      <c r="B88" t="s">
        <v>6763</v>
      </c>
      <c r="C88" t="s">
        <v>7666</v>
      </c>
      <c r="D88" t="s">
        <v>8271</v>
      </c>
      <c r="L88" s="20" t="s">
        <v>8722</v>
      </c>
      <c r="N88" s="20" t="s">
        <v>8872</v>
      </c>
      <c r="O88" s="20" t="s">
        <v>8948</v>
      </c>
    </row>
    <row r="89" spans="1:15" x14ac:dyDescent="0.25">
      <c r="A89" t="s">
        <v>5579</v>
      </c>
      <c r="B89" t="s">
        <v>6764</v>
      </c>
      <c r="C89" t="s">
        <v>7667</v>
      </c>
      <c r="D89" t="s">
        <v>8272</v>
      </c>
      <c r="L89" s="20" t="s">
        <v>8723</v>
      </c>
      <c r="N89" s="20" t="s">
        <v>8873</v>
      </c>
      <c r="O89" s="20" t="s">
        <v>8949</v>
      </c>
    </row>
    <row r="90" spans="1:15" x14ac:dyDescent="0.25">
      <c r="A90" t="s">
        <v>6128</v>
      </c>
      <c r="B90" t="s">
        <v>6765</v>
      </c>
      <c r="C90" t="s">
        <v>7668</v>
      </c>
      <c r="D90" t="s">
        <v>8273</v>
      </c>
      <c r="L90" s="20" t="s">
        <v>8724</v>
      </c>
      <c r="N90" s="20" t="s">
        <v>8874</v>
      </c>
      <c r="O90" s="20" t="s">
        <v>8950</v>
      </c>
    </row>
    <row r="91" spans="1:15" x14ac:dyDescent="0.25">
      <c r="A91" t="s">
        <v>5580</v>
      </c>
      <c r="B91" t="s">
        <v>6766</v>
      </c>
      <c r="C91" t="s">
        <v>7669</v>
      </c>
      <c r="D91" t="s">
        <v>8274</v>
      </c>
      <c r="L91" s="20" t="s">
        <v>8725</v>
      </c>
      <c r="N91" s="20" t="s">
        <v>8875</v>
      </c>
      <c r="O91" s="20" t="s">
        <v>8951</v>
      </c>
    </row>
    <row r="92" spans="1:15" x14ac:dyDescent="0.25">
      <c r="A92" t="s">
        <v>5581</v>
      </c>
      <c r="B92" t="s">
        <v>6767</v>
      </c>
      <c r="C92" t="s">
        <v>7670</v>
      </c>
      <c r="D92" t="s">
        <v>8275</v>
      </c>
      <c r="L92" s="20" t="s">
        <v>8726</v>
      </c>
      <c r="N92" s="20" t="s">
        <v>8876</v>
      </c>
      <c r="O92" s="20" t="s">
        <v>8952</v>
      </c>
    </row>
    <row r="93" spans="1:15" x14ac:dyDescent="0.25">
      <c r="A93" t="s">
        <v>6129</v>
      </c>
      <c r="B93" t="s">
        <v>6768</v>
      </c>
      <c r="C93" t="s">
        <v>7671</v>
      </c>
      <c r="D93" t="s">
        <v>8276</v>
      </c>
      <c r="L93" s="20" t="s">
        <v>8727</v>
      </c>
      <c r="N93" s="20" t="s">
        <v>8877</v>
      </c>
      <c r="O93" s="20" t="s">
        <v>8953</v>
      </c>
    </row>
    <row r="94" spans="1:15" x14ac:dyDescent="0.25">
      <c r="A94" t="s">
        <v>5582</v>
      </c>
      <c r="B94" t="s">
        <v>6769</v>
      </c>
      <c r="C94" t="s">
        <v>7672</v>
      </c>
      <c r="D94" t="s">
        <v>8277</v>
      </c>
      <c r="L94" s="20" t="s">
        <v>8728</v>
      </c>
      <c r="N94" s="20" t="s">
        <v>8878</v>
      </c>
      <c r="O94" s="20" t="s">
        <v>8954</v>
      </c>
    </row>
    <row r="95" spans="1:15" x14ac:dyDescent="0.25">
      <c r="A95" t="s">
        <v>6130</v>
      </c>
      <c r="B95" t="s">
        <v>6770</v>
      </c>
      <c r="C95" t="s">
        <v>7673</v>
      </c>
      <c r="D95" t="s">
        <v>8278</v>
      </c>
      <c r="L95" s="20" t="s">
        <v>8729</v>
      </c>
      <c r="N95" s="20" t="s">
        <v>8879</v>
      </c>
      <c r="O95" s="20" t="s">
        <v>8955</v>
      </c>
    </row>
    <row r="96" spans="1:15" x14ac:dyDescent="0.25">
      <c r="A96" t="s">
        <v>5583</v>
      </c>
      <c r="B96" t="s">
        <v>6771</v>
      </c>
      <c r="C96" t="s">
        <v>7674</v>
      </c>
      <c r="D96" t="s">
        <v>8279</v>
      </c>
      <c r="L96" s="20" t="s">
        <v>8730</v>
      </c>
      <c r="N96" s="20" t="s">
        <v>8880</v>
      </c>
      <c r="O96" s="20" t="s">
        <v>8956</v>
      </c>
    </row>
    <row r="97" spans="1:15" x14ac:dyDescent="0.25">
      <c r="A97" t="s">
        <v>6131</v>
      </c>
      <c r="B97" t="s">
        <v>6772</v>
      </c>
      <c r="C97" t="s">
        <v>7675</v>
      </c>
      <c r="D97" t="s">
        <v>8280</v>
      </c>
      <c r="L97" s="20" t="s">
        <v>8731</v>
      </c>
      <c r="N97" s="20" t="s">
        <v>8881</v>
      </c>
      <c r="O97" s="20" t="s">
        <v>8957</v>
      </c>
    </row>
    <row r="98" spans="1:15" x14ac:dyDescent="0.25">
      <c r="A98" t="s">
        <v>5584</v>
      </c>
      <c r="B98" t="s">
        <v>6773</v>
      </c>
      <c r="C98" t="s">
        <v>7676</v>
      </c>
      <c r="D98" t="s">
        <v>8281</v>
      </c>
      <c r="L98" s="20" t="s">
        <v>8732</v>
      </c>
      <c r="N98" s="20" t="s">
        <v>8882</v>
      </c>
      <c r="O98" s="20" t="s">
        <v>8958</v>
      </c>
    </row>
    <row r="99" spans="1:15" x14ac:dyDescent="0.25">
      <c r="A99" t="s">
        <v>6132</v>
      </c>
      <c r="B99" t="s">
        <v>6774</v>
      </c>
      <c r="C99" t="s">
        <v>7677</v>
      </c>
      <c r="D99" t="s">
        <v>8282</v>
      </c>
      <c r="L99" s="20" t="s">
        <v>8733</v>
      </c>
      <c r="N99" s="20" t="s">
        <v>8883</v>
      </c>
      <c r="O99" s="20" t="s">
        <v>8959</v>
      </c>
    </row>
    <row r="100" spans="1:15" x14ac:dyDescent="0.25">
      <c r="A100" t="s">
        <v>6133</v>
      </c>
      <c r="B100" t="s">
        <v>6775</v>
      </c>
      <c r="C100" t="s">
        <v>7678</v>
      </c>
      <c r="D100" t="s">
        <v>8283</v>
      </c>
      <c r="L100" s="20" t="s">
        <v>8734</v>
      </c>
      <c r="N100" s="20" t="s">
        <v>8884</v>
      </c>
      <c r="O100" s="20" t="s">
        <v>8960</v>
      </c>
    </row>
    <row r="101" spans="1:15" x14ac:dyDescent="0.25">
      <c r="A101" t="s">
        <v>6134</v>
      </c>
      <c r="B101" t="s">
        <v>6776</v>
      </c>
      <c r="C101" t="s">
        <v>7679</v>
      </c>
      <c r="D101" t="s">
        <v>8284</v>
      </c>
      <c r="L101" s="20" t="s">
        <v>8735</v>
      </c>
      <c r="N101" s="20" t="s">
        <v>8885</v>
      </c>
      <c r="O101" s="20" t="s">
        <v>8961</v>
      </c>
    </row>
    <row r="102" spans="1:15" x14ac:dyDescent="0.25">
      <c r="A102" t="s">
        <v>5585</v>
      </c>
      <c r="B102" t="s">
        <v>6777</v>
      </c>
      <c r="C102" t="s">
        <v>7680</v>
      </c>
      <c r="D102" t="s">
        <v>8285</v>
      </c>
      <c r="L102" s="20" t="s">
        <v>8736</v>
      </c>
      <c r="N102" s="20" t="s">
        <v>8886</v>
      </c>
      <c r="O102" s="20" t="s">
        <v>8962</v>
      </c>
    </row>
    <row r="103" spans="1:15" x14ac:dyDescent="0.25">
      <c r="A103" t="s">
        <v>6135</v>
      </c>
      <c r="B103" t="s">
        <v>6778</v>
      </c>
      <c r="C103" t="s">
        <v>7681</v>
      </c>
      <c r="D103" t="s">
        <v>8286</v>
      </c>
      <c r="L103" s="20" t="s">
        <v>8737</v>
      </c>
      <c r="N103" s="20" t="s">
        <v>8887</v>
      </c>
      <c r="O103" s="20" t="s">
        <v>8963</v>
      </c>
    </row>
    <row r="104" spans="1:15" x14ac:dyDescent="0.25">
      <c r="A104" t="s">
        <v>5586</v>
      </c>
      <c r="B104" t="s">
        <v>6779</v>
      </c>
      <c r="C104" t="s">
        <v>7682</v>
      </c>
      <c r="D104" t="s">
        <v>8287</v>
      </c>
      <c r="L104" s="20" t="s">
        <v>8738</v>
      </c>
      <c r="N104" s="20" t="s">
        <v>8888</v>
      </c>
      <c r="O104" s="20" t="s">
        <v>8964</v>
      </c>
    </row>
    <row r="105" spans="1:15" x14ac:dyDescent="0.25">
      <c r="A105" t="s">
        <v>6136</v>
      </c>
      <c r="B105" t="s">
        <v>6780</v>
      </c>
      <c r="C105" t="s">
        <v>7683</v>
      </c>
      <c r="D105" t="s">
        <v>8288</v>
      </c>
      <c r="L105" s="20" t="s">
        <v>8739</v>
      </c>
      <c r="N105" s="20" t="s">
        <v>8889</v>
      </c>
      <c r="O105" s="20" t="s">
        <v>8965</v>
      </c>
    </row>
    <row r="106" spans="1:15" x14ac:dyDescent="0.25">
      <c r="A106" t="s">
        <v>5587</v>
      </c>
      <c r="B106" t="s">
        <v>6781</v>
      </c>
      <c r="C106" t="s">
        <v>7684</v>
      </c>
      <c r="D106" t="s">
        <v>8289</v>
      </c>
      <c r="L106" s="20" t="s">
        <v>8740</v>
      </c>
      <c r="N106" s="20" t="s">
        <v>8890</v>
      </c>
      <c r="O106" s="20" t="s">
        <v>8966</v>
      </c>
    </row>
    <row r="107" spans="1:15" x14ac:dyDescent="0.25">
      <c r="A107" t="s">
        <v>5588</v>
      </c>
      <c r="B107" t="s">
        <v>6782</v>
      </c>
      <c r="C107" t="s">
        <v>7685</v>
      </c>
      <c r="D107" t="s">
        <v>8290</v>
      </c>
      <c r="L107" s="20" t="s">
        <v>8741</v>
      </c>
      <c r="N107" s="20" t="s">
        <v>8891</v>
      </c>
      <c r="O107" s="20" t="s">
        <v>8967</v>
      </c>
    </row>
    <row r="108" spans="1:15" x14ac:dyDescent="0.25">
      <c r="A108" t="s">
        <v>6137</v>
      </c>
      <c r="B108" t="s">
        <v>6783</v>
      </c>
      <c r="C108" t="s">
        <v>7686</v>
      </c>
      <c r="D108" t="s">
        <v>8291</v>
      </c>
      <c r="L108" s="20" t="s">
        <v>8742</v>
      </c>
      <c r="N108" s="20" t="s">
        <v>8892</v>
      </c>
      <c r="O108" s="20" t="s">
        <v>8968</v>
      </c>
    </row>
    <row r="109" spans="1:15" x14ac:dyDescent="0.25">
      <c r="A109" t="s">
        <v>5589</v>
      </c>
      <c r="B109" t="s">
        <v>6784</v>
      </c>
      <c r="C109" t="s">
        <v>7687</v>
      </c>
      <c r="D109" t="s">
        <v>8292</v>
      </c>
      <c r="L109" s="21" t="s">
        <v>8743</v>
      </c>
      <c r="N109" s="21" t="s">
        <v>8893</v>
      </c>
      <c r="O109" s="21" t="s">
        <v>8969</v>
      </c>
    </row>
    <row r="110" spans="1:15" x14ac:dyDescent="0.25">
      <c r="A110" t="s">
        <v>6138</v>
      </c>
      <c r="B110" t="s">
        <v>6785</v>
      </c>
      <c r="C110" t="s">
        <v>7688</v>
      </c>
      <c r="D110" t="s">
        <v>8293</v>
      </c>
      <c r="L110" s="21" t="s">
        <v>8744</v>
      </c>
      <c r="N110" s="21" t="s">
        <v>8894</v>
      </c>
      <c r="O110" s="21" t="s">
        <v>8970</v>
      </c>
    </row>
    <row r="111" spans="1:15" x14ac:dyDescent="0.25">
      <c r="A111" t="s">
        <v>5590</v>
      </c>
      <c r="B111" t="s">
        <v>6786</v>
      </c>
      <c r="C111" t="s">
        <v>7689</v>
      </c>
      <c r="D111" t="s">
        <v>8294</v>
      </c>
      <c r="L111" s="20" t="s">
        <v>8745</v>
      </c>
      <c r="N111" s="20" t="s">
        <v>8895</v>
      </c>
      <c r="O111" s="20" t="s">
        <v>8971</v>
      </c>
    </row>
    <row r="112" spans="1:15" x14ac:dyDescent="0.25">
      <c r="A112" t="s">
        <v>6139</v>
      </c>
      <c r="B112" t="s">
        <v>6787</v>
      </c>
      <c r="C112" t="s">
        <v>7690</v>
      </c>
      <c r="D112" t="s">
        <v>8295</v>
      </c>
      <c r="L112" s="20" t="s">
        <v>8746</v>
      </c>
      <c r="N112" s="20" t="s">
        <v>8896</v>
      </c>
      <c r="O112" s="20" t="s">
        <v>8972</v>
      </c>
    </row>
    <row r="113" spans="1:15" x14ac:dyDescent="0.25">
      <c r="A113" t="s">
        <v>5591</v>
      </c>
      <c r="B113" t="s">
        <v>6788</v>
      </c>
      <c r="C113" t="s">
        <v>7691</v>
      </c>
      <c r="D113" t="s">
        <v>8296</v>
      </c>
      <c r="L113" s="20" t="s">
        <v>8747</v>
      </c>
      <c r="N113" s="20" t="s">
        <v>8897</v>
      </c>
      <c r="O113" s="20" t="s">
        <v>8973</v>
      </c>
    </row>
    <row r="114" spans="1:15" x14ac:dyDescent="0.25">
      <c r="A114" t="s">
        <v>6140</v>
      </c>
      <c r="B114" t="s">
        <v>6789</v>
      </c>
      <c r="C114" t="s">
        <v>7692</v>
      </c>
      <c r="D114" t="s">
        <v>8297</v>
      </c>
      <c r="L114" s="20" t="s">
        <v>8748</v>
      </c>
      <c r="N114" s="20" t="s">
        <v>8898</v>
      </c>
      <c r="O114" s="20" t="s">
        <v>8974</v>
      </c>
    </row>
    <row r="115" spans="1:15" x14ac:dyDescent="0.25">
      <c r="A115" t="s">
        <v>6141</v>
      </c>
      <c r="B115" t="s">
        <v>6790</v>
      </c>
      <c r="C115" t="s">
        <v>7693</v>
      </c>
      <c r="D115" t="s">
        <v>8298</v>
      </c>
      <c r="L115" s="20" t="s">
        <v>8749</v>
      </c>
      <c r="N115" s="20" t="s">
        <v>8899</v>
      </c>
      <c r="O115" s="20" t="s">
        <v>8975</v>
      </c>
    </row>
    <row r="116" spans="1:15" x14ac:dyDescent="0.25">
      <c r="A116" t="s">
        <v>6142</v>
      </c>
      <c r="B116" t="s">
        <v>6791</v>
      </c>
      <c r="C116" t="s">
        <v>7694</v>
      </c>
      <c r="D116" t="s">
        <v>8299</v>
      </c>
      <c r="L116" s="20" t="s">
        <v>8750</v>
      </c>
      <c r="N116" s="20" t="s">
        <v>8900</v>
      </c>
      <c r="O116" s="20" t="s">
        <v>8976</v>
      </c>
    </row>
    <row r="117" spans="1:15" x14ac:dyDescent="0.25">
      <c r="A117" t="s">
        <v>5592</v>
      </c>
      <c r="B117" t="s">
        <v>6792</v>
      </c>
      <c r="C117" t="s">
        <v>7695</v>
      </c>
      <c r="D117" t="s">
        <v>8300</v>
      </c>
      <c r="L117" s="20" t="s">
        <v>8751</v>
      </c>
      <c r="N117" s="20" t="s">
        <v>8901</v>
      </c>
      <c r="O117" s="20" t="s">
        <v>8977</v>
      </c>
    </row>
    <row r="118" spans="1:15" x14ac:dyDescent="0.25">
      <c r="A118" t="s">
        <v>6143</v>
      </c>
      <c r="B118" t="s">
        <v>6793</v>
      </c>
      <c r="C118" t="s">
        <v>7696</v>
      </c>
      <c r="D118" t="s">
        <v>8301</v>
      </c>
      <c r="L118" s="20" t="s">
        <v>8752</v>
      </c>
      <c r="N118" s="20" t="s">
        <v>8902</v>
      </c>
      <c r="O118" s="20" t="s">
        <v>8978</v>
      </c>
    </row>
    <row r="119" spans="1:15" x14ac:dyDescent="0.25">
      <c r="A119" t="s">
        <v>5593</v>
      </c>
      <c r="B119" t="s">
        <v>6794</v>
      </c>
      <c r="C119" t="s">
        <v>7697</v>
      </c>
      <c r="D119" t="s">
        <v>8302</v>
      </c>
      <c r="L119" s="20" t="s">
        <v>8753</v>
      </c>
      <c r="N119" s="20" t="s">
        <v>8903</v>
      </c>
      <c r="O119" s="20" t="s">
        <v>8979</v>
      </c>
    </row>
    <row r="120" spans="1:15" x14ac:dyDescent="0.25">
      <c r="A120" t="s">
        <v>6144</v>
      </c>
      <c r="B120" t="s">
        <v>6795</v>
      </c>
      <c r="C120" t="s">
        <v>7698</v>
      </c>
      <c r="D120" t="s">
        <v>8303</v>
      </c>
      <c r="L120" s="20" t="s">
        <v>8754</v>
      </c>
      <c r="N120" s="20" t="s">
        <v>8904</v>
      </c>
      <c r="O120" s="20" t="s">
        <v>8980</v>
      </c>
    </row>
    <row r="121" spans="1:15" x14ac:dyDescent="0.25">
      <c r="A121" t="s">
        <v>5594</v>
      </c>
      <c r="B121" t="s">
        <v>6796</v>
      </c>
      <c r="C121" t="s">
        <v>7699</v>
      </c>
      <c r="D121" t="s">
        <v>8304</v>
      </c>
      <c r="L121" s="20" t="s">
        <v>8755</v>
      </c>
      <c r="N121" s="20" t="s">
        <v>8905</v>
      </c>
      <c r="O121" s="20" t="s">
        <v>8981</v>
      </c>
    </row>
    <row r="122" spans="1:15" x14ac:dyDescent="0.25">
      <c r="A122" t="s">
        <v>5595</v>
      </c>
      <c r="B122" t="s">
        <v>6797</v>
      </c>
      <c r="C122" t="s">
        <v>7700</v>
      </c>
      <c r="D122" t="s">
        <v>8305</v>
      </c>
      <c r="L122" s="20" t="s">
        <v>8756</v>
      </c>
      <c r="N122" s="20" t="s">
        <v>8906</v>
      </c>
      <c r="O122" s="20" t="s">
        <v>8982</v>
      </c>
    </row>
    <row r="123" spans="1:15" x14ac:dyDescent="0.25">
      <c r="A123" t="s">
        <v>6145</v>
      </c>
      <c r="B123" t="s">
        <v>6798</v>
      </c>
      <c r="C123" t="s">
        <v>7701</v>
      </c>
      <c r="D123" t="s">
        <v>8306</v>
      </c>
      <c r="L123" s="20" t="s">
        <v>8757</v>
      </c>
      <c r="N123" s="20" t="s">
        <v>8907</v>
      </c>
      <c r="O123" s="20" t="s">
        <v>8983</v>
      </c>
    </row>
    <row r="124" spans="1:15" x14ac:dyDescent="0.25">
      <c r="A124" t="s">
        <v>5596</v>
      </c>
      <c r="B124" t="s">
        <v>6799</v>
      </c>
      <c r="C124" t="s">
        <v>7702</v>
      </c>
      <c r="D124" t="s">
        <v>8307</v>
      </c>
      <c r="L124" s="20" t="s">
        <v>8758</v>
      </c>
      <c r="N124" s="20" t="s">
        <v>8908</v>
      </c>
      <c r="O124" s="20" t="s">
        <v>8984</v>
      </c>
    </row>
    <row r="125" spans="1:15" x14ac:dyDescent="0.25">
      <c r="A125" t="s">
        <v>6146</v>
      </c>
      <c r="B125" t="s">
        <v>6800</v>
      </c>
      <c r="C125" t="s">
        <v>7703</v>
      </c>
      <c r="D125" t="s">
        <v>8308</v>
      </c>
      <c r="L125" s="20" t="s">
        <v>8759</v>
      </c>
      <c r="N125" s="20" t="s">
        <v>8909</v>
      </c>
      <c r="O125" s="20" t="s">
        <v>8985</v>
      </c>
    </row>
    <row r="126" spans="1:15" x14ac:dyDescent="0.25">
      <c r="A126" t="s">
        <v>5597</v>
      </c>
      <c r="B126" t="s">
        <v>6801</v>
      </c>
      <c r="C126" t="s">
        <v>7704</v>
      </c>
      <c r="D126" t="s">
        <v>8309</v>
      </c>
      <c r="L126" s="20" t="s">
        <v>8760</v>
      </c>
      <c r="N126" s="20" t="s">
        <v>8910</v>
      </c>
      <c r="O126" s="20" t="s">
        <v>8986</v>
      </c>
    </row>
    <row r="127" spans="1:15" x14ac:dyDescent="0.25">
      <c r="A127" t="s">
        <v>6147</v>
      </c>
      <c r="B127" t="s">
        <v>6802</v>
      </c>
      <c r="C127" t="s">
        <v>7705</v>
      </c>
      <c r="D127" t="s">
        <v>8310</v>
      </c>
      <c r="L127" s="20" t="s">
        <v>8761</v>
      </c>
      <c r="N127" s="20" t="s">
        <v>8911</v>
      </c>
      <c r="O127" s="20" t="s">
        <v>8987</v>
      </c>
    </row>
    <row r="128" spans="1:15" x14ac:dyDescent="0.25">
      <c r="A128" t="s">
        <v>5598</v>
      </c>
      <c r="B128" t="s">
        <v>6803</v>
      </c>
      <c r="C128" t="s">
        <v>7706</v>
      </c>
      <c r="D128" t="s">
        <v>8311</v>
      </c>
      <c r="L128" s="20" t="s">
        <v>8762</v>
      </c>
      <c r="N128" s="20" t="s">
        <v>8912</v>
      </c>
      <c r="O128" s="20" t="s">
        <v>8988</v>
      </c>
    </row>
    <row r="129" spans="1:15" x14ac:dyDescent="0.25">
      <c r="A129" t="s">
        <v>6148</v>
      </c>
      <c r="B129" t="s">
        <v>6804</v>
      </c>
      <c r="C129" t="s">
        <v>7707</v>
      </c>
      <c r="D129" t="s">
        <v>8312</v>
      </c>
      <c r="L129" s="20" t="s">
        <v>8763</v>
      </c>
      <c r="N129" s="20" t="s">
        <v>8913</v>
      </c>
      <c r="O129" s="20" t="s">
        <v>8989</v>
      </c>
    </row>
    <row r="130" spans="1:15" x14ac:dyDescent="0.25">
      <c r="A130" t="s">
        <v>6149</v>
      </c>
      <c r="B130" t="s">
        <v>6805</v>
      </c>
      <c r="C130" t="s">
        <v>7708</v>
      </c>
      <c r="D130" t="s">
        <v>8313</v>
      </c>
      <c r="L130" s="20" t="s">
        <v>8764</v>
      </c>
      <c r="N130" s="20" t="s">
        <v>8914</v>
      </c>
      <c r="O130" s="20" t="s">
        <v>8990</v>
      </c>
    </row>
    <row r="131" spans="1:15" x14ac:dyDescent="0.25">
      <c r="A131" t="s">
        <v>6150</v>
      </c>
      <c r="B131" t="s">
        <v>6806</v>
      </c>
      <c r="C131" t="s">
        <v>7709</v>
      </c>
      <c r="D131" t="s">
        <v>8314</v>
      </c>
      <c r="L131" s="20" t="s">
        <v>8765</v>
      </c>
      <c r="N131" s="20" t="s">
        <v>8915</v>
      </c>
      <c r="O131" s="20" t="s">
        <v>8991</v>
      </c>
    </row>
    <row r="132" spans="1:15" x14ac:dyDescent="0.25">
      <c r="A132" t="s">
        <v>5599</v>
      </c>
      <c r="B132" t="s">
        <v>6807</v>
      </c>
      <c r="C132" t="s">
        <v>7710</v>
      </c>
      <c r="D132" t="s">
        <v>8315</v>
      </c>
      <c r="L132" s="20" t="s">
        <v>8766</v>
      </c>
      <c r="N132" s="20" t="s">
        <v>8916</v>
      </c>
      <c r="O132" s="20" t="s">
        <v>8992</v>
      </c>
    </row>
    <row r="133" spans="1:15" x14ac:dyDescent="0.25">
      <c r="A133" t="s">
        <v>6151</v>
      </c>
      <c r="B133" t="s">
        <v>6808</v>
      </c>
      <c r="C133" t="s">
        <v>7711</v>
      </c>
      <c r="D133" t="s">
        <v>8316</v>
      </c>
      <c r="L133" s="20" t="s">
        <v>8767</v>
      </c>
      <c r="N133" s="20" t="s">
        <v>8917</v>
      </c>
      <c r="O133" s="20" t="s">
        <v>8993</v>
      </c>
    </row>
    <row r="134" spans="1:15" x14ac:dyDescent="0.25">
      <c r="A134" t="s">
        <v>5600</v>
      </c>
      <c r="B134" t="s">
        <v>6809</v>
      </c>
      <c r="C134" t="s">
        <v>7712</v>
      </c>
      <c r="D134" t="s">
        <v>8317</v>
      </c>
      <c r="L134" s="20" t="s">
        <v>8768</v>
      </c>
      <c r="N134" s="20" t="s">
        <v>8918</v>
      </c>
      <c r="O134" s="20" t="s">
        <v>8994</v>
      </c>
    </row>
    <row r="135" spans="1:15" x14ac:dyDescent="0.25">
      <c r="A135" t="s">
        <v>6152</v>
      </c>
      <c r="B135" t="s">
        <v>6810</v>
      </c>
      <c r="C135" t="s">
        <v>7713</v>
      </c>
      <c r="D135" t="s">
        <v>8318</v>
      </c>
      <c r="L135" s="20" t="s">
        <v>8769</v>
      </c>
      <c r="N135" s="20" t="s">
        <v>8919</v>
      </c>
      <c r="O135" s="20" t="s">
        <v>8995</v>
      </c>
    </row>
    <row r="136" spans="1:15" x14ac:dyDescent="0.25">
      <c r="A136" t="s">
        <v>5601</v>
      </c>
      <c r="B136" t="s">
        <v>6811</v>
      </c>
      <c r="C136" t="s">
        <v>7714</v>
      </c>
      <c r="D136" t="s">
        <v>8319</v>
      </c>
      <c r="L136" s="20" t="s">
        <v>8770</v>
      </c>
      <c r="N136" s="20" t="s">
        <v>8920</v>
      </c>
      <c r="O136" s="20" t="s">
        <v>8996</v>
      </c>
    </row>
    <row r="137" spans="1:15" x14ac:dyDescent="0.25">
      <c r="A137" t="s">
        <v>5602</v>
      </c>
      <c r="B137" t="s">
        <v>6812</v>
      </c>
      <c r="C137" t="s">
        <v>7715</v>
      </c>
      <c r="D137" t="s">
        <v>8320</v>
      </c>
      <c r="L137" s="20" t="s">
        <v>8771</v>
      </c>
      <c r="N137" s="20" t="s">
        <v>8921</v>
      </c>
      <c r="O137" s="20" t="s">
        <v>8997</v>
      </c>
    </row>
    <row r="138" spans="1:15" x14ac:dyDescent="0.25">
      <c r="A138" t="s">
        <v>6153</v>
      </c>
      <c r="B138" t="s">
        <v>6813</v>
      </c>
      <c r="C138" t="s">
        <v>7716</v>
      </c>
      <c r="D138" t="s">
        <v>8321</v>
      </c>
      <c r="L138" s="20" t="s">
        <v>8772</v>
      </c>
      <c r="N138" s="20" t="s">
        <v>8922</v>
      </c>
      <c r="O138" s="20" t="s">
        <v>8998</v>
      </c>
    </row>
    <row r="139" spans="1:15" x14ac:dyDescent="0.25">
      <c r="A139" t="s">
        <v>5603</v>
      </c>
      <c r="B139" t="s">
        <v>6814</v>
      </c>
      <c r="C139" t="s">
        <v>7717</v>
      </c>
      <c r="D139" t="s">
        <v>8322</v>
      </c>
      <c r="L139" s="20" t="s">
        <v>8773</v>
      </c>
      <c r="N139" s="20" t="s">
        <v>8923</v>
      </c>
      <c r="O139" s="20" t="s">
        <v>8999</v>
      </c>
    </row>
    <row r="140" spans="1:15" x14ac:dyDescent="0.25">
      <c r="A140" t="s">
        <v>6154</v>
      </c>
      <c r="B140" t="s">
        <v>6815</v>
      </c>
      <c r="C140" t="s">
        <v>7718</v>
      </c>
      <c r="D140" t="s">
        <v>8323</v>
      </c>
      <c r="L140" s="20" t="s">
        <v>8774</v>
      </c>
      <c r="N140" s="20" t="s">
        <v>8924</v>
      </c>
      <c r="O140" s="20" t="s">
        <v>9000</v>
      </c>
    </row>
    <row r="141" spans="1:15" x14ac:dyDescent="0.25">
      <c r="A141" t="s">
        <v>5604</v>
      </c>
      <c r="B141" t="s">
        <v>6816</v>
      </c>
      <c r="C141" t="s">
        <v>7719</v>
      </c>
      <c r="D141" t="s">
        <v>8324</v>
      </c>
      <c r="L141" s="20" t="s">
        <v>8775</v>
      </c>
      <c r="N141" s="20" t="s">
        <v>8925</v>
      </c>
      <c r="O141" s="20" t="s">
        <v>9001</v>
      </c>
    </row>
    <row r="142" spans="1:15" x14ac:dyDescent="0.25">
      <c r="A142" t="s">
        <v>6155</v>
      </c>
      <c r="B142" t="s">
        <v>6817</v>
      </c>
      <c r="C142" t="s">
        <v>7720</v>
      </c>
      <c r="D142" t="s">
        <v>8325</v>
      </c>
      <c r="L142" s="20" t="s">
        <v>8776</v>
      </c>
      <c r="N142" s="20" t="s">
        <v>8926</v>
      </c>
      <c r="O142" s="20" t="s">
        <v>9002</v>
      </c>
    </row>
    <row r="143" spans="1:15" x14ac:dyDescent="0.25">
      <c r="A143" t="s">
        <v>5605</v>
      </c>
      <c r="B143" t="s">
        <v>6818</v>
      </c>
      <c r="C143" t="s">
        <v>7721</v>
      </c>
      <c r="D143" t="s">
        <v>8326</v>
      </c>
      <c r="L143" s="20" t="s">
        <v>8777</v>
      </c>
      <c r="N143" s="20" t="s">
        <v>8927</v>
      </c>
      <c r="O143" s="20" t="s">
        <v>9003</v>
      </c>
    </row>
    <row r="144" spans="1:15" x14ac:dyDescent="0.25">
      <c r="A144" t="s">
        <v>6156</v>
      </c>
      <c r="B144" t="s">
        <v>6819</v>
      </c>
      <c r="C144" t="s">
        <v>7722</v>
      </c>
      <c r="D144" t="s">
        <v>8327</v>
      </c>
      <c r="L144" s="20" t="s">
        <v>8778</v>
      </c>
      <c r="N144" s="20" t="s">
        <v>8928</v>
      </c>
      <c r="O144" s="20" t="s">
        <v>9004</v>
      </c>
    </row>
    <row r="145" spans="1:15" x14ac:dyDescent="0.25">
      <c r="A145" t="s">
        <v>6157</v>
      </c>
      <c r="B145" t="s">
        <v>6820</v>
      </c>
      <c r="C145" t="s">
        <v>7723</v>
      </c>
      <c r="D145" t="s">
        <v>8328</v>
      </c>
      <c r="L145" s="20" t="s">
        <v>8779</v>
      </c>
      <c r="N145" s="20" t="s">
        <v>8929</v>
      </c>
      <c r="O145" s="20" t="s">
        <v>9005</v>
      </c>
    </row>
    <row r="146" spans="1:15" x14ac:dyDescent="0.25">
      <c r="A146" t="s">
        <v>6158</v>
      </c>
      <c r="B146" t="s">
        <v>6821</v>
      </c>
      <c r="C146" t="s">
        <v>7724</v>
      </c>
      <c r="D146" t="s">
        <v>8329</v>
      </c>
      <c r="L146" s="21" t="s">
        <v>8780</v>
      </c>
      <c r="N146" s="21" t="s">
        <v>8930</v>
      </c>
      <c r="O146" s="21" t="s">
        <v>9006</v>
      </c>
    </row>
    <row r="147" spans="1:15" x14ac:dyDescent="0.25">
      <c r="A147" t="s">
        <v>5606</v>
      </c>
      <c r="B147" t="s">
        <v>6822</v>
      </c>
      <c r="C147" t="s">
        <v>7725</v>
      </c>
      <c r="D147" t="s">
        <v>8330</v>
      </c>
      <c r="L147" s="21" t="s">
        <v>8781</v>
      </c>
      <c r="N147" s="21" t="s">
        <v>8931</v>
      </c>
      <c r="O147" s="21" t="s">
        <v>9007</v>
      </c>
    </row>
    <row r="148" spans="1:15" x14ac:dyDescent="0.25">
      <c r="A148" t="s">
        <v>6159</v>
      </c>
      <c r="B148" t="s">
        <v>6823</v>
      </c>
      <c r="C148" t="s">
        <v>7726</v>
      </c>
      <c r="D148" t="s">
        <v>8331</v>
      </c>
      <c r="L148" s="20" t="s">
        <v>8782</v>
      </c>
      <c r="N148" s="20" t="s">
        <v>8932</v>
      </c>
      <c r="O148" s="20" t="s">
        <v>9008</v>
      </c>
    </row>
    <row r="149" spans="1:15" x14ac:dyDescent="0.25">
      <c r="A149" t="s">
        <v>5607</v>
      </c>
      <c r="B149" t="s">
        <v>6824</v>
      </c>
      <c r="C149" t="s">
        <v>7727</v>
      </c>
      <c r="D149" t="s">
        <v>8332</v>
      </c>
      <c r="L149" s="20" t="s">
        <v>8783</v>
      </c>
      <c r="N149" s="20" t="s">
        <v>8933</v>
      </c>
      <c r="O149" s="20" t="s">
        <v>9009</v>
      </c>
    </row>
    <row r="150" spans="1:15" x14ac:dyDescent="0.25">
      <c r="A150" t="s">
        <v>6160</v>
      </c>
      <c r="B150" t="s">
        <v>6825</v>
      </c>
      <c r="C150" t="s">
        <v>7728</v>
      </c>
      <c r="D150" t="s">
        <v>8333</v>
      </c>
      <c r="L150" s="20" t="s">
        <v>8784</v>
      </c>
      <c r="N150" s="20" t="s">
        <v>8934</v>
      </c>
      <c r="O150" s="20" t="s">
        <v>9010</v>
      </c>
    </row>
    <row r="151" spans="1:15" x14ac:dyDescent="0.25">
      <c r="A151" t="s">
        <v>5608</v>
      </c>
      <c r="B151" t="s">
        <v>6826</v>
      </c>
      <c r="C151" t="s">
        <v>7729</v>
      </c>
      <c r="D151" t="s">
        <v>8334</v>
      </c>
      <c r="L151" s="20" t="s">
        <v>8785</v>
      </c>
      <c r="N151" s="20" t="s">
        <v>8935</v>
      </c>
      <c r="O151" s="20" t="s">
        <v>9011</v>
      </c>
    </row>
    <row r="152" spans="1:15" x14ac:dyDescent="0.25">
      <c r="A152" t="s">
        <v>5609</v>
      </c>
      <c r="B152" t="s">
        <v>6827</v>
      </c>
      <c r="C152" t="s">
        <v>7730</v>
      </c>
      <c r="D152" t="s">
        <v>8335</v>
      </c>
    </row>
    <row r="153" spans="1:15" x14ac:dyDescent="0.25">
      <c r="A153" t="s">
        <v>6281</v>
      </c>
      <c r="B153" t="s">
        <v>6828</v>
      </c>
      <c r="C153" t="s">
        <v>7731</v>
      </c>
      <c r="D153" t="s">
        <v>8336</v>
      </c>
    </row>
    <row r="154" spans="1:15" x14ac:dyDescent="0.25">
      <c r="A154" t="s">
        <v>5610</v>
      </c>
      <c r="B154" t="s">
        <v>6829</v>
      </c>
      <c r="C154" t="s">
        <v>7732</v>
      </c>
      <c r="D154" t="s">
        <v>8337</v>
      </c>
    </row>
    <row r="155" spans="1:15" x14ac:dyDescent="0.25">
      <c r="A155" t="s">
        <v>6282</v>
      </c>
      <c r="B155" t="s">
        <v>6830</v>
      </c>
      <c r="C155" t="s">
        <v>7733</v>
      </c>
      <c r="D155" t="s">
        <v>8338</v>
      </c>
    </row>
    <row r="156" spans="1:15" x14ac:dyDescent="0.25">
      <c r="A156" t="s">
        <v>5611</v>
      </c>
      <c r="B156" t="s">
        <v>6831</v>
      </c>
      <c r="C156" t="s">
        <v>7734</v>
      </c>
      <c r="D156" t="s">
        <v>8339</v>
      </c>
    </row>
    <row r="157" spans="1:15" x14ac:dyDescent="0.25">
      <c r="A157" t="s">
        <v>6283</v>
      </c>
      <c r="B157" t="s">
        <v>6832</v>
      </c>
      <c r="C157" t="s">
        <v>7735</v>
      </c>
      <c r="D157" t="s">
        <v>8340</v>
      </c>
    </row>
    <row r="158" spans="1:15" x14ac:dyDescent="0.25">
      <c r="A158" t="s">
        <v>5612</v>
      </c>
      <c r="B158" t="s">
        <v>6833</v>
      </c>
      <c r="C158" t="s">
        <v>7736</v>
      </c>
      <c r="D158" t="s">
        <v>8341</v>
      </c>
    </row>
    <row r="159" spans="1:15" x14ac:dyDescent="0.25">
      <c r="A159" t="s">
        <v>6284</v>
      </c>
      <c r="B159" t="s">
        <v>6834</v>
      </c>
      <c r="C159" t="s">
        <v>7737</v>
      </c>
      <c r="D159" t="s">
        <v>8342</v>
      </c>
    </row>
    <row r="160" spans="1:15" x14ac:dyDescent="0.25">
      <c r="A160" t="s">
        <v>6285</v>
      </c>
      <c r="B160" t="s">
        <v>6835</v>
      </c>
      <c r="C160" t="s">
        <v>7738</v>
      </c>
      <c r="D160" t="s">
        <v>8343</v>
      </c>
    </row>
    <row r="161" spans="1:4" x14ac:dyDescent="0.25">
      <c r="A161" t="s">
        <v>6286</v>
      </c>
      <c r="B161" t="s">
        <v>6836</v>
      </c>
      <c r="C161" t="s">
        <v>7739</v>
      </c>
      <c r="D161" t="s">
        <v>8344</v>
      </c>
    </row>
    <row r="162" spans="1:4" x14ac:dyDescent="0.25">
      <c r="A162" t="s">
        <v>5613</v>
      </c>
      <c r="B162" t="s">
        <v>6837</v>
      </c>
      <c r="C162" t="s">
        <v>7740</v>
      </c>
      <c r="D162" t="s">
        <v>8345</v>
      </c>
    </row>
    <row r="163" spans="1:4" x14ac:dyDescent="0.25">
      <c r="A163" t="s">
        <v>6287</v>
      </c>
      <c r="B163" t="s">
        <v>6838</v>
      </c>
      <c r="C163" t="s">
        <v>7741</v>
      </c>
      <c r="D163" t="s">
        <v>8346</v>
      </c>
    </row>
    <row r="164" spans="1:4" x14ac:dyDescent="0.25">
      <c r="A164" t="s">
        <v>5614</v>
      </c>
      <c r="B164" t="s">
        <v>6839</v>
      </c>
      <c r="C164" t="s">
        <v>7742</v>
      </c>
      <c r="D164" t="s">
        <v>8347</v>
      </c>
    </row>
    <row r="165" spans="1:4" x14ac:dyDescent="0.25">
      <c r="A165" t="s">
        <v>6288</v>
      </c>
      <c r="B165" t="s">
        <v>6840</v>
      </c>
      <c r="C165" t="s">
        <v>7743</v>
      </c>
      <c r="D165" t="s">
        <v>8348</v>
      </c>
    </row>
    <row r="166" spans="1:4" x14ac:dyDescent="0.25">
      <c r="A166" t="s">
        <v>5615</v>
      </c>
      <c r="B166" t="s">
        <v>6841</v>
      </c>
      <c r="C166" t="s">
        <v>7744</v>
      </c>
      <c r="D166" t="s">
        <v>8349</v>
      </c>
    </row>
    <row r="167" spans="1:4" x14ac:dyDescent="0.25">
      <c r="A167" t="s">
        <v>5616</v>
      </c>
      <c r="B167" t="s">
        <v>6842</v>
      </c>
      <c r="C167" t="s">
        <v>7745</v>
      </c>
      <c r="D167" t="s">
        <v>8350</v>
      </c>
    </row>
    <row r="168" spans="1:4" x14ac:dyDescent="0.25">
      <c r="A168" t="s">
        <v>6289</v>
      </c>
      <c r="B168" t="s">
        <v>6843</v>
      </c>
      <c r="C168" t="s">
        <v>7746</v>
      </c>
      <c r="D168" t="s">
        <v>8351</v>
      </c>
    </row>
    <row r="169" spans="1:4" x14ac:dyDescent="0.25">
      <c r="A169" t="s">
        <v>5617</v>
      </c>
      <c r="B169" t="s">
        <v>6844</v>
      </c>
      <c r="C169" t="s">
        <v>7747</v>
      </c>
      <c r="D169" t="s">
        <v>8352</v>
      </c>
    </row>
    <row r="170" spans="1:4" x14ac:dyDescent="0.25">
      <c r="A170" t="s">
        <v>6290</v>
      </c>
      <c r="B170" t="s">
        <v>6845</v>
      </c>
      <c r="C170" t="s">
        <v>7748</v>
      </c>
      <c r="D170" t="s">
        <v>8353</v>
      </c>
    </row>
    <row r="171" spans="1:4" x14ac:dyDescent="0.25">
      <c r="A171" t="s">
        <v>5618</v>
      </c>
      <c r="B171" t="s">
        <v>6846</v>
      </c>
      <c r="C171" t="s">
        <v>7749</v>
      </c>
      <c r="D171" t="s">
        <v>8354</v>
      </c>
    </row>
    <row r="172" spans="1:4" x14ac:dyDescent="0.25">
      <c r="A172" t="s">
        <v>6291</v>
      </c>
      <c r="B172" t="s">
        <v>6847</v>
      </c>
      <c r="C172" t="s">
        <v>7750</v>
      </c>
      <c r="D172" t="s">
        <v>8355</v>
      </c>
    </row>
    <row r="173" spans="1:4" x14ac:dyDescent="0.25">
      <c r="A173" t="s">
        <v>5619</v>
      </c>
      <c r="B173" t="s">
        <v>6848</v>
      </c>
      <c r="C173" t="s">
        <v>7751</v>
      </c>
      <c r="D173" t="s">
        <v>8356</v>
      </c>
    </row>
    <row r="174" spans="1:4" x14ac:dyDescent="0.25">
      <c r="A174" t="s">
        <v>6292</v>
      </c>
      <c r="B174" t="s">
        <v>6849</v>
      </c>
      <c r="C174" t="s">
        <v>7752</v>
      </c>
      <c r="D174" t="s">
        <v>8357</v>
      </c>
    </row>
    <row r="175" spans="1:4" x14ac:dyDescent="0.25">
      <c r="A175" t="s">
        <v>6293</v>
      </c>
      <c r="B175" t="s">
        <v>6850</v>
      </c>
      <c r="C175" t="s">
        <v>7753</v>
      </c>
      <c r="D175" t="s">
        <v>8358</v>
      </c>
    </row>
    <row r="176" spans="1:4" x14ac:dyDescent="0.25">
      <c r="A176" t="s">
        <v>6294</v>
      </c>
      <c r="B176" t="s">
        <v>6851</v>
      </c>
      <c r="C176" t="s">
        <v>7754</v>
      </c>
      <c r="D176" t="s">
        <v>8359</v>
      </c>
    </row>
    <row r="177" spans="1:4" x14ac:dyDescent="0.25">
      <c r="A177" t="s">
        <v>5620</v>
      </c>
      <c r="B177" t="s">
        <v>6852</v>
      </c>
      <c r="C177" t="s">
        <v>7755</v>
      </c>
      <c r="D177" t="s">
        <v>8360</v>
      </c>
    </row>
    <row r="178" spans="1:4" x14ac:dyDescent="0.25">
      <c r="A178" t="s">
        <v>6295</v>
      </c>
      <c r="B178" t="s">
        <v>6853</v>
      </c>
      <c r="C178" t="s">
        <v>7756</v>
      </c>
      <c r="D178" t="s">
        <v>8361</v>
      </c>
    </row>
    <row r="179" spans="1:4" x14ac:dyDescent="0.25">
      <c r="A179" t="s">
        <v>5621</v>
      </c>
      <c r="B179" t="s">
        <v>6854</v>
      </c>
      <c r="C179" t="s">
        <v>7757</v>
      </c>
      <c r="D179" t="s">
        <v>8362</v>
      </c>
    </row>
    <row r="180" spans="1:4" x14ac:dyDescent="0.25">
      <c r="A180" t="s">
        <v>6296</v>
      </c>
      <c r="B180" t="s">
        <v>6855</v>
      </c>
      <c r="C180" t="s">
        <v>7758</v>
      </c>
      <c r="D180" t="s">
        <v>8363</v>
      </c>
    </row>
    <row r="181" spans="1:4" x14ac:dyDescent="0.25">
      <c r="A181" t="s">
        <v>5622</v>
      </c>
      <c r="B181" t="s">
        <v>6856</v>
      </c>
      <c r="C181" t="s">
        <v>7759</v>
      </c>
      <c r="D181" t="s">
        <v>8364</v>
      </c>
    </row>
    <row r="182" spans="1:4" x14ac:dyDescent="0.25">
      <c r="A182" t="s">
        <v>5623</v>
      </c>
      <c r="B182" t="s">
        <v>6857</v>
      </c>
      <c r="C182" t="s">
        <v>7760</v>
      </c>
      <c r="D182" t="s">
        <v>8365</v>
      </c>
    </row>
    <row r="183" spans="1:4" x14ac:dyDescent="0.25">
      <c r="A183" t="s">
        <v>6297</v>
      </c>
      <c r="B183" t="s">
        <v>6858</v>
      </c>
      <c r="C183" t="s">
        <v>7761</v>
      </c>
      <c r="D183" t="s">
        <v>8366</v>
      </c>
    </row>
    <row r="184" spans="1:4" x14ac:dyDescent="0.25">
      <c r="A184" t="s">
        <v>5624</v>
      </c>
      <c r="B184" t="s">
        <v>6859</v>
      </c>
      <c r="C184" t="s">
        <v>7762</v>
      </c>
      <c r="D184" t="s">
        <v>8367</v>
      </c>
    </row>
    <row r="185" spans="1:4" x14ac:dyDescent="0.25">
      <c r="A185" t="s">
        <v>6298</v>
      </c>
      <c r="B185" t="s">
        <v>6860</v>
      </c>
      <c r="C185" t="s">
        <v>7763</v>
      </c>
      <c r="D185" t="s">
        <v>8368</v>
      </c>
    </row>
    <row r="186" spans="1:4" x14ac:dyDescent="0.25">
      <c r="A186" t="s">
        <v>5625</v>
      </c>
      <c r="B186" t="s">
        <v>6861</v>
      </c>
      <c r="C186" t="s">
        <v>7764</v>
      </c>
      <c r="D186" t="s">
        <v>8369</v>
      </c>
    </row>
    <row r="187" spans="1:4" x14ac:dyDescent="0.25">
      <c r="A187" t="s">
        <v>6299</v>
      </c>
      <c r="B187" t="s">
        <v>6862</v>
      </c>
      <c r="C187" t="s">
        <v>7765</v>
      </c>
      <c r="D187" t="s">
        <v>8370</v>
      </c>
    </row>
    <row r="188" spans="1:4" x14ac:dyDescent="0.25">
      <c r="A188" t="s">
        <v>5626</v>
      </c>
      <c r="B188" t="s">
        <v>6863</v>
      </c>
      <c r="C188" t="s">
        <v>7766</v>
      </c>
      <c r="D188" t="s">
        <v>8371</v>
      </c>
    </row>
    <row r="189" spans="1:4" x14ac:dyDescent="0.25">
      <c r="A189" t="s">
        <v>6300</v>
      </c>
      <c r="B189" t="s">
        <v>6864</v>
      </c>
      <c r="C189" t="s">
        <v>7767</v>
      </c>
      <c r="D189" t="s">
        <v>8372</v>
      </c>
    </row>
    <row r="190" spans="1:4" x14ac:dyDescent="0.25">
      <c r="A190" t="s">
        <v>6301</v>
      </c>
      <c r="B190" t="s">
        <v>6865</v>
      </c>
      <c r="C190" t="s">
        <v>7768</v>
      </c>
      <c r="D190" t="s">
        <v>8373</v>
      </c>
    </row>
    <row r="191" spans="1:4" x14ac:dyDescent="0.25">
      <c r="A191" t="s">
        <v>6302</v>
      </c>
      <c r="B191" t="s">
        <v>6866</v>
      </c>
      <c r="C191" t="s">
        <v>7769</v>
      </c>
      <c r="D191" t="s">
        <v>8374</v>
      </c>
    </row>
    <row r="192" spans="1:4" x14ac:dyDescent="0.25">
      <c r="A192" t="s">
        <v>5627</v>
      </c>
      <c r="B192" t="s">
        <v>6867</v>
      </c>
      <c r="C192" t="s">
        <v>7770</v>
      </c>
      <c r="D192" t="s">
        <v>8375</v>
      </c>
    </row>
    <row r="193" spans="1:4" x14ac:dyDescent="0.25">
      <c r="A193" t="s">
        <v>6303</v>
      </c>
      <c r="B193" t="s">
        <v>6868</v>
      </c>
      <c r="C193" t="s">
        <v>7771</v>
      </c>
      <c r="D193" t="s">
        <v>8376</v>
      </c>
    </row>
    <row r="194" spans="1:4" x14ac:dyDescent="0.25">
      <c r="A194" t="s">
        <v>5628</v>
      </c>
      <c r="B194" t="s">
        <v>6869</v>
      </c>
      <c r="C194" t="s">
        <v>7772</v>
      </c>
      <c r="D194" t="s">
        <v>8377</v>
      </c>
    </row>
    <row r="195" spans="1:4" x14ac:dyDescent="0.25">
      <c r="A195" t="s">
        <v>6304</v>
      </c>
      <c r="B195" t="s">
        <v>6870</v>
      </c>
      <c r="C195" t="s">
        <v>7773</v>
      </c>
      <c r="D195" t="s">
        <v>8378</v>
      </c>
    </row>
    <row r="196" spans="1:4" x14ac:dyDescent="0.25">
      <c r="A196" t="s">
        <v>5629</v>
      </c>
      <c r="B196" t="s">
        <v>6871</v>
      </c>
      <c r="C196" t="s">
        <v>7774</v>
      </c>
      <c r="D196" t="s">
        <v>8379</v>
      </c>
    </row>
    <row r="197" spans="1:4" x14ac:dyDescent="0.25">
      <c r="A197" t="s">
        <v>5630</v>
      </c>
      <c r="B197" t="s">
        <v>6872</v>
      </c>
      <c r="C197" t="s">
        <v>7775</v>
      </c>
      <c r="D197" t="s">
        <v>8380</v>
      </c>
    </row>
    <row r="198" spans="1:4" x14ac:dyDescent="0.25">
      <c r="A198" t="s">
        <v>6305</v>
      </c>
      <c r="B198" t="s">
        <v>6873</v>
      </c>
      <c r="C198" t="s">
        <v>7776</v>
      </c>
      <c r="D198" t="s">
        <v>8381</v>
      </c>
    </row>
    <row r="199" spans="1:4" x14ac:dyDescent="0.25">
      <c r="A199" t="s">
        <v>5631</v>
      </c>
      <c r="B199" t="s">
        <v>6874</v>
      </c>
      <c r="C199" t="s">
        <v>7777</v>
      </c>
      <c r="D199" t="s">
        <v>8382</v>
      </c>
    </row>
    <row r="200" spans="1:4" x14ac:dyDescent="0.25">
      <c r="A200" t="s">
        <v>6306</v>
      </c>
      <c r="B200" t="s">
        <v>6875</v>
      </c>
      <c r="C200" t="s">
        <v>7778</v>
      </c>
      <c r="D200" t="s">
        <v>8383</v>
      </c>
    </row>
    <row r="201" spans="1:4" x14ac:dyDescent="0.25">
      <c r="A201" t="s">
        <v>5632</v>
      </c>
      <c r="B201" t="s">
        <v>6876</v>
      </c>
      <c r="C201" t="s">
        <v>7779</v>
      </c>
      <c r="D201" t="s">
        <v>8384</v>
      </c>
    </row>
    <row r="202" spans="1:4" x14ac:dyDescent="0.25">
      <c r="A202" t="s">
        <v>6307</v>
      </c>
      <c r="B202" t="s">
        <v>6877</v>
      </c>
      <c r="C202" t="s">
        <v>7780</v>
      </c>
      <c r="D202" t="s">
        <v>8385</v>
      </c>
    </row>
    <row r="203" spans="1:4" x14ac:dyDescent="0.25">
      <c r="A203" t="s">
        <v>5633</v>
      </c>
      <c r="B203" t="s">
        <v>6878</v>
      </c>
      <c r="C203" t="s">
        <v>7781</v>
      </c>
      <c r="D203" t="s">
        <v>8386</v>
      </c>
    </row>
    <row r="204" spans="1:4" x14ac:dyDescent="0.25">
      <c r="A204" t="s">
        <v>6308</v>
      </c>
      <c r="B204" t="s">
        <v>6879</v>
      </c>
      <c r="C204" t="s">
        <v>7782</v>
      </c>
      <c r="D204" t="s">
        <v>8387</v>
      </c>
    </row>
    <row r="205" spans="1:4" x14ac:dyDescent="0.25">
      <c r="A205" t="s">
        <v>6309</v>
      </c>
      <c r="B205" t="s">
        <v>6880</v>
      </c>
      <c r="C205" t="s">
        <v>7783</v>
      </c>
      <c r="D205" t="s">
        <v>8388</v>
      </c>
    </row>
    <row r="206" spans="1:4" x14ac:dyDescent="0.25">
      <c r="A206" t="s">
        <v>6310</v>
      </c>
      <c r="B206" t="s">
        <v>6881</v>
      </c>
      <c r="C206" t="s">
        <v>7784</v>
      </c>
      <c r="D206" t="s">
        <v>8389</v>
      </c>
    </row>
    <row r="207" spans="1:4" x14ac:dyDescent="0.25">
      <c r="A207" t="s">
        <v>5634</v>
      </c>
      <c r="B207" t="s">
        <v>6882</v>
      </c>
      <c r="C207" t="s">
        <v>7785</v>
      </c>
      <c r="D207" t="s">
        <v>8390</v>
      </c>
    </row>
    <row r="208" spans="1:4" x14ac:dyDescent="0.25">
      <c r="A208" t="s">
        <v>6311</v>
      </c>
      <c r="B208" t="s">
        <v>6883</v>
      </c>
      <c r="C208" t="s">
        <v>7786</v>
      </c>
      <c r="D208" t="s">
        <v>8391</v>
      </c>
    </row>
    <row r="209" spans="1:4" x14ac:dyDescent="0.25">
      <c r="A209" t="s">
        <v>5635</v>
      </c>
      <c r="B209" t="s">
        <v>6884</v>
      </c>
      <c r="C209" t="s">
        <v>7787</v>
      </c>
      <c r="D209" t="s">
        <v>8392</v>
      </c>
    </row>
    <row r="210" spans="1:4" x14ac:dyDescent="0.25">
      <c r="A210" t="s">
        <v>6312</v>
      </c>
      <c r="B210" t="s">
        <v>6885</v>
      </c>
      <c r="C210" t="s">
        <v>7788</v>
      </c>
      <c r="D210" t="s">
        <v>8393</v>
      </c>
    </row>
    <row r="211" spans="1:4" x14ac:dyDescent="0.25">
      <c r="A211" t="s">
        <v>5636</v>
      </c>
      <c r="B211" t="s">
        <v>6886</v>
      </c>
      <c r="C211" t="s">
        <v>7789</v>
      </c>
      <c r="D211" t="s">
        <v>8394</v>
      </c>
    </row>
    <row r="212" spans="1:4" x14ac:dyDescent="0.25">
      <c r="A212" t="s">
        <v>5637</v>
      </c>
      <c r="B212" t="s">
        <v>6887</v>
      </c>
      <c r="C212" t="s">
        <v>7790</v>
      </c>
      <c r="D212" t="s">
        <v>8395</v>
      </c>
    </row>
    <row r="213" spans="1:4" x14ac:dyDescent="0.25">
      <c r="A213" t="s">
        <v>6313</v>
      </c>
      <c r="B213" t="s">
        <v>6888</v>
      </c>
      <c r="C213" t="s">
        <v>7791</v>
      </c>
      <c r="D213" t="s">
        <v>8396</v>
      </c>
    </row>
    <row r="214" spans="1:4" x14ac:dyDescent="0.25">
      <c r="A214" t="s">
        <v>5638</v>
      </c>
      <c r="B214" t="s">
        <v>6889</v>
      </c>
      <c r="C214" t="s">
        <v>7792</v>
      </c>
      <c r="D214" t="s">
        <v>8397</v>
      </c>
    </row>
    <row r="215" spans="1:4" x14ac:dyDescent="0.25">
      <c r="A215" t="s">
        <v>6314</v>
      </c>
      <c r="B215" t="s">
        <v>6890</v>
      </c>
      <c r="C215" t="s">
        <v>7793</v>
      </c>
      <c r="D215" t="s">
        <v>8398</v>
      </c>
    </row>
    <row r="216" spans="1:4" x14ac:dyDescent="0.25">
      <c r="A216" t="s">
        <v>5639</v>
      </c>
      <c r="B216" t="s">
        <v>6891</v>
      </c>
      <c r="C216" t="s">
        <v>7794</v>
      </c>
      <c r="D216" t="s">
        <v>8399</v>
      </c>
    </row>
    <row r="217" spans="1:4" x14ac:dyDescent="0.25">
      <c r="A217" t="s">
        <v>6315</v>
      </c>
      <c r="B217" t="s">
        <v>6892</v>
      </c>
      <c r="C217" t="s">
        <v>7795</v>
      </c>
      <c r="D217" t="s">
        <v>8400</v>
      </c>
    </row>
    <row r="218" spans="1:4" x14ac:dyDescent="0.25">
      <c r="A218" t="s">
        <v>5640</v>
      </c>
      <c r="B218" t="s">
        <v>6893</v>
      </c>
      <c r="C218" t="s">
        <v>7796</v>
      </c>
      <c r="D218" t="s">
        <v>8401</v>
      </c>
    </row>
    <row r="219" spans="1:4" x14ac:dyDescent="0.25">
      <c r="A219" t="s">
        <v>6316</v>
      </c>
      <c r="B219" t="s">
        <v>6894</v>
      </c>
      <c r="C219" t="s">
        <v>7797</v>
      </c>
      <c r="D219" t="s">
        <v>8402</v>
      </c>
    </row>
    <row r="220" spans="1:4" x14ac:dyDescent="0.25">
      <c r="A220" t="s">
        <v>6317</v>
      </c>
      <c r="B220" t="s">
        <v>6895</v>
      </c>
      <c r="C220" t="s">
        <v>7798</v>
      </c>
      <c r="D220" t="s">
        <v>8403</v>
      </c>
    </row>
    <row r="221" spans="1:4" x14ac:dyDescent="0.25">
      <c r="A221" t="s">
        <v>6318</v>
      </c>
      <c r="B221" t="s">
        <v>6896</v>
      </c>
      <c r="C221" t="s">
        <v>7799</v>
      </c>
      <c r="D221" t="s">
        <v>8404</v>
      </c>
    </row>
    <row r="222" spans="1:4" x14ac:dyDescent="0.25">
      <c r="A222" t="s">
        <v>5641</v>
      </c>
      <c r="B222" t="s">
        <v>6897</v>
      </c>
      <c r="C222" t="s">
        <v>7800</v>
      </c>
      <c r="D222" t="s">
        <v>8405</v>
      </c>
    </row>
    <row r="223" spans="1:4" x14ac:dyDescent="0.25">
      <c r="A223" t="s">
        <v>6319</v>
      </c>
      <c r="B223" t="s">
        <v>6898</v>
      </c>
      <c r="C223" t="s">
        <v>7801</v>
      </c>
      <c r="D223" t="s">
        <v>8406</v>
      </c>
    </row>
    <row r="224" spans="1:4" x14ac:dyDescent="0.25">
      <c r="A224" t="s">
        <v>5642</v>
      </c>
      <c r="B224" t="s">
        <v>6899</v>
      </c>
      <c r="C224" t="s">
        <v>7802</v>
      </c>
      <c r="D224" t="s">
        <v>8407</v>
      </c>
    </row>
    <row r="225" spans="1:4" x14ac:dyDescent="0.25">
      <c r="A225" t="s">
        <v>6320</v>
      </c>
      <c r="B225" t="s">
        <v>6900</v>
      </c>
      <c r="C225" t="s">
        <v>7803</v>
      </c>
      <c r="D225" t="s">
        <v>8408</v>
      </c>
    </row>
    <row r="226" spans="1:4" x14ac:dyDescent="0.25">
      <c r="A226" t="s">
        <v>5643</v>
      </c>
      <c r="B226" t="s">
        <v>6901</v>
      </c>
      <c r="C226" t="s">
        <v>7804</v>
      </c>
      <c r="D226" t="s">
        <v>8409</v>
      </c>
    </row>
    <row r="227" spans="1:4" x14ac:dyDescent="0.25">
      <c r="A227" t="s">
        <v>5644</v>
      </c>
      <c r="B227" t="s">
        <v>6902</v>
      </c>
      <c r="C227" t="s">
        <v>7805</v>
      </c>
    </row>
    <row r="228" spans="1:4" x14ac:dyDescent="0.25">
      <c r="A228" t="s">
        <v>6001</v>
      </c>
      <c r="B228" t="s">
        <v>6903</v>
      </c>
      <c r="C228" t="s">
        <v>7806</v>
      </c>
    </row>
    <row r="229" spans="1:4" x14ac:dyDescent="0.25">
      <c r="A229" t="s">
        <v>5645</v>
      </c>
      <c r="B229" t="s">
        <v>6904</v>
      </c>
      <c r="C229" t="s">
        <v>7807</v>
      </c>
    </row>
    <row r="230" spans="1:4" x14ac:dyDescent="0.25">
      <c r="A230" t="s">
        <v>6002</v>
      </c>
      <c r="B230" t="s">
        <v>6905</v>
      </c>
      <c r="C230" t="s">
        <v>7808</v>
      </c>
    </row>
    <row r="231" spans="1:4" x14ac:dyDescent="0.25">
      <c r="A231" t="s">
        <v>5646</v>
      </c>
      <c r="B231" t="s">
        <v>6906</v>
      </c>
      <c r="C231" t="s">
        <v>7809</v>
      </c>
    </row>
    <row r="232" spans="1:4" x14ac:dyDescent="0.25">
      <c r="A232" t="s">
        <v>6003</v>
      </c>
      <c r="B232" t="s">
        <v>6907</v>
      </c>
      <c r="C232" t="s">
        <v>7810</v>
      </c>
    </row>
    <row r="233" spans="1:4" x14ac:dyDescent="0.25">
      <c r="A233" t="s">
        <v>5647</v>
      </c>
      <c r="B233" t="s">
        <v>6908</v>
      </c>
      <c r="C233" t="s">
        <v>7811</v>
      </c>
    </row>
    <row r="234" spans="1:4" x14ac:dyDescent="0.25">
      <c r="A234" t="s">
        <v>6004</v>
      </c>
      <c r="B234" t="s">
        <v>6909</v>
      </c>
      <c r="C234" t="s">
        <v>7812</v>
      </c>
    </row>
    <row r="235" spans="1:4" x14ac:dyDescent="0.25">
      <c r="A235" t="s">
        <v>6005</v>
      </c>
      <c r="B235" t="s">
        <v>6910</v>
      </c>
      <c r="C235" t="s">
        <v>7813</v>
      </c>
    </row>
    <row r="236" spans="1:4" x14ac:dyDescent="0.25">
      <c r="A236" t="s">
        <v>6006</v>
      </c>
      <c r="B236" t="s">
        <v>6911</v>
      </c>
      <c r="C236" t="s">
        <v>7814</v>
      </c>
    </row>
    <row r="237" spans="1:4" x14ac:dyDescent="0.25">
      <c r="A237" t="s">
        <v>5648</v>
      </c>
      <c r="B237" t="s">
        <v>6912</v>
      </c>
      <c r="C237" t="s">
        <v>7815</v>
      </c>
    </row>
    <row r="238" spans="1:4" x14ac:dyDescent="0.25">
      <c r="A238" t="s">
        <v>6007</v>
      </c>
      <c r="B238" t="s">
        <v>6913</v>
      </c>
      <c r="C238" t="s">
        <v>7816</v>
      </c>
    </row>
    <row r="239" spans="1:4" x14ac:dyDescent="0.25">
      <c r="A239" t="s">
        <v>5649</v>
      </c>
      <c r="B239" t="s">
        <v>6914</v>
      </c>
      <c r="C239" t="s">
        <v>7817</v>
      </c>
    </row>
    <row r="240" spans="1:4" x14ac:dyDescent="0.25">
      <c r="A240" t="s">
        <v>6008</v>
      </c>
      <c r="B240" t="s">
        <v>6915</v>
      </c>
      <c r="C240" t="s">
        <v>7818</v>
      </c>
    </row>
    <row r="241" spans="1:3" x14ac:dyDescent="0.25">
      <c r="A241" t="s">
        <v>5650</v>
      </c>
      <c r="B241" t="s">
        <v>6916</v>
      </c>
      <c r="C241" t="s">
        <v>7819</v>
      </c>
    </row>
    <row r="242" spans="1:3" x14ac:dyDescent="0.25">
      <c r="A242" t="s">
        <v>5651</v>
      </c>
      <c r="B242" t="s">
        <v>6917</v>
      </c>
      <c r="C242" t="s">
        <v>7820</v>
      </c>
    </row>
    <row r="243" spans="1:3" x14ac:dyDescent="0.25">
      <c r="A243" t="s">
        <v>6009</v>
      </c>
      <c r="B243" t="s">
        <v>6918</v>
      </c>
      <c r="C243" t="s">
        <v>7821</v>
      </c>
    </row>
    <row r="244" spans="1:3" x14ac:dyDescent="0.25">
      <c r="A244" t="s">
        <v>5652</v>
      </c>
      <c r="B244" t="s">
        <v>6919</v>
      </c>
      <c r="C244" t="s">
        <v>7822</v>
      </c>
    </row>
    <row r="245" spans="1:3" x14ac:dyDescent="0.25">
      <c r="A245" t="s">
        <v>6010</v>
      </c>
      <c r="B245" t="s">
        <v>6920</v>
      </c>
      <c r="C245" t="s">
        <v>7823</v>
      </c>
    </row>
    <row r="246" spans="1:3" x14ac:dyDescent="0.25">
      <c r="A246" t="s">
        <v>5653</v>
      </c>
      <c r="B246" t="s">
        <v>6921</v>
      </c>
      <c r="C246" t="s">
        <v>7824</v>
      </c>
    </row>
    <row r="247" spans="1:3" x14ac:dyDescent="0.25">
      <c r="A247" t="s">
        <v>6011</v>
      </c>
      <c r="B247" t="s">
        <v>6922</v>
      </c>
      <c r="C247" t="s">
        <v>7825</v>
      </c>
    </row>
    <row r="248" spans="1:3" x14ac:dyDescent="0.25">
      <c r="A248" t="s">
        <v>5654</v>
      </c>
      <c r="B248" t="s">
        <v>6923</v>
      </c>
      <c r="C248" t="s">
        <v>7826</v>
      </c>
    </row>
    <row r="249" spans="1:3" x14ac:dyDescent="0.25">
      <c r="A249" t="s">
        <v>6012</v>
      </c>
      <c r="B249" t="s">
        <v>6924</v>
      </c>
      <c r="C249" t="s">
        <v>7827</v>
      </c>
    </row>
    <row r="250" spans="1:3" x14ac:dyDescent="0.25">
      <c r="A250" t="s">
        <v>6013</v>
      </c>
      <c r="B250" t="s">
        <v>6925</v>
      </c>
      <c r="C250" t="s">
        <v>7828</v>
      </c>
    </row>
    <row r="251" spans="1:3" x14ac:dyDescent="0.25">
      <c r="A251" t="s">
        <v>6014</v>
      </c>
      <c r="B251" t="s">
        <v>6926</v>
      </c>
      <c r="C251" t="s">
        <v>7829</v>
      </c>
    </row>
    <row r="252" spans="1:3" x14ac:dyDescent="0.25">
      <c r="A252" t="s">
        <v>5655</v>
      </c>
      <c r="B252" t="s">
        <v>6927</v>
      </c>
      <c r="C252" t="s">
        <v>7830</v>
      </c>
    </row>
    <row r="253" spans="1:3" x14ac:dyDescent="0.25">
      <c r="A253" t="s">
        <v>6015</v>
      </c>
      <c r="B253" t="s">
        <v>6928</v>
      </c>
      <c r="C253" t="s">
        <v>7831</v>
      </c>
    </row>
    <row r="254" spans="1:3" x14ac:dyDescent="0.25">
      <c r="A254" t="s">
        <v>5656</v>
      </c>
      <c r="B254" t="s">
        <v>6929</v>
      </c>
      <c r="C254" t="s">
        <v>7832</v>
      </c>
    </row>
    <row r="255" spans="1:3" x14ac:dyDescent="0.25">
      <c r="A255" t="s">
        <v>6016</v>
      </c>
      <c r="B255" t="s">
        <v>6930</v>
      </c>
      <c r="C255" t="s">
        <v>7833</v>
      </c>
    </row>
    <row r="256" spans="1:3" x14ac:dyDescent="0.25">
      <c r="A256" t="s">
        <v>5657</v>
      </c>
      <c r="B256" t="s">
        <v>6931</v>
      </c>
      <c r="C256" t="s">
        <v>7834</v>
      </c>
    </row>
    <row r="257" spans="1:3" x14ac:dyDescent="0.25">
      <c r="A257" t="s">
        <v>5658</v>
      </c>
      <c r="B257" t="s">
        <v>6932</v>
      </c>
      <c r="C257" t="s">
        <v>7835</v>
      </c>
    </row>
    <row r="258" spans="1:3" x14ac:dyDescent="0.25">
      <c r="A258" t="s">
        <v>6017</v>
      </c>
      <c r="B258" t="s">
        <v>6933</v>
      </c>
      <c r="C258" t="s">
        <v>7836</v>
      </c>
    </row>
    <row r="259" spans="1:3" x14ac:dyDescent="0.25">
      <c r="A259" t="s">
        <v>5659</v>
      </c>
      <c r="B259" t="s">
        <v>6934</v>
      </c>
      <c r="C259" t="s">
        <v>7837</v>
      </c>
    </row>
    <row r="260" spans="1:3" x14ac:dyDescent="0.25">
      <c r="A260" t="s">
        <v>6018</v>
      </c>
      <c r="B260" t="s">
        <v>6935</v>
      </c>
      <c r="C260" t="s">
        <v>7838</v>
      </c>
    </row>
    <row r="261" spans="1:3" x14ac:dyDescent="0.25">
      <c r="A261" t="s">
        <v>5660</v>
      </c>
      <c r="B261" t="s">
        <v>6936</v>
      </c>
      <c r="C261" t="s">
        <v>7839</v>
      </c>
    </row>
    <row r="262" spans="1:3" x14ac:dyDescent="0.25">
      <c r="A262" t="s">
        <v>6019</v>
      </c>
      <c r="B262" t="s">
        <v>6937</v>
      </c>
      <c r="C262" t="s">
        <v>7840</v>
      </c>
    </row>
    <row r="263" spans="1:3" x14ac:dyDescent="0.25">
      <c r="A263" t="s">
        <v>5661</v>
      </c>
      <c r="B263" t="s">
        <v>6938</v>
      </c>
      <c r="C263" t="s">
        <v>7841</v>
      </c>
    </row>
    <row r="264" spans="1:3" x14ac:dyDescent="0.25">
      <c r="A264" t="s">
        <v>6020</v>
      </c>
      <c r="B264" t="s">
        <v>6939</v>
      </c>
      <c r="C264" t="s">
        <v>7842</v>
      </c>
    </row>
    <row r="265" spans="1:3" x14ac:dyDescent="0.25">
      <c r="A265" t="s">
        <v>6021</v>
      </c>
      <c r="B265" t="s">
        <v>6940</v>
      </c>
      <c r="C265" t="s">
        <v>7843</v>
      </c>
    </row>
    <row r="266" spans="1:3" x14ac:dyDescent="0.25">
      <c r="A266" t="s">
        <v>6022</v>
      </c>
      <c r="B266" t="s">
        <v>6941</v>
      </c>
      <c r="C266" t="s">
        <v>7844</v>
      </c>
    </row>
    <row r="267" spans="1:3" x14ac:dyDescent="0.25">
      <c r="A267" t="s">
        <v>5662</v>
      </c>
      <c r="B267" t="s">
        <v>6942</v>
      </c>
      <c r="C267" t="s">
        <v>7845</v>
      </c>
    </row>
    <row r="268" spans="1:3" x14ac:dyDescent="0.25">
      <c r="A268" t="s">
        <v>6023</v>
      </c>
      <c r="B268" t="s">
        <v>6943</v>
      </c>
      <c r="C268" t="s">
        <v>7846</v>
      </c>
    </row>
    <row r="269" spans="1:3" x14ac:dyDescent="0.25">
      <c r="A269" t="s">
        <v>5663</v>
      </c>
      <c r="B269" t="s">
        <v>6944</v>
      </c>
      <c r="C269" t="s">
        <v>7847</v>
      </c>
    </row>
    <row r="270" spans="1:3" x14ac:dyDescent="0.25">
      <c r="A270" t="s">
        <v>6024</v>
      </c>
      <c r="B270" t="s">
        <v>6945</v>
      </c>
      <c r="C270" t="s">
        <v>7848</v>
      </c>
    </row>
    <row r="271" spans="1:3" x14ac:dyDescent="0.25">
      <c r="A271" t="s">
        <v>5664</v>
      </c>
      <c r="B271" t="s">
        <v>6946</v>
      </c>
      <c r="C271" t="s">
        <v>7849</v>
      </c>
    </row>
    <row r="272" spans="1:3" x14ac:dyDescent="0.25">
      <c r="A272" t="s">
        <v>5665</v>
      </c>
      <c r="B272" t="s">
        <v>6947</v>
      </c>
      <c r="C272" t="s">
        <v>7850</v>
      </c>
    </row>
    <row r="273" spans="1:3" x14ac:dyDescent="0.25">
      <c r="A273" t="s">
        <v>6025</v>
      </c>
      <c r="B273" t="s">
        <v>6948</v>
      </c>
      <c r="C273" t="s">
        <v>7851</v>
      </c>
    </row>
    <row r="274" spans="1:3" x14ac:dyDescent="0.25">
      <c r="A274" t="s">
        <v>5666</v>
      </c>
      <c r="B274" t="s">
        <v>6949</v>
      </c>
      <c r="C274" t="s">
        <v>7852</v>
      </c>
    </row>
    <row r="275" spans="1:3" x14ac:dyDescent="0.25">
      <c r="A275" t="s">
        <v>6026</v>
      </c>
      <c r="B275" t="s">
        <v>6950</v>
      </c>
      <c r="C275" t="s">
        <v>7853</v>
      </c>
    </row>
    <row r="276" spans="1:3" x14ac:dyDescent="0.25">
      <c r="A276" t="s">
        <v>5667</v>
      </c>
      <c r="B276" t="s">
        <v>6951</v>
      </c>
      <c r="C276" t="s">
        <v>7854</v>
      </c>
    </row>
    <row r="277" spans="1:3" x14ac:dyDescent="0.25">
      <c r="A277" t="s">
        <v>6027</v>
      </c>
      <c r="B277" t="s">
        <v>6952</v>
      </c>
      <c r="C277" t="s">
        <v>7855</v>
      </c>
    </row>
    <row r="278" spans="1:3" x14ac:dyDescent="0.25">
      <c r="A278" t="s">
        <v>5668</v>
      </c>
      <c r="B278" t="s">
        <v>6953</v>
      </c>
      <c r="C278" t="s">
        <v>7856</v>
      </c>
    </row>
    <row r="279" spans="1:3" x14ac:dyDescent="0.25">
      <c r="A279" t="s">
        <v>6028</v>
      </c>
      <c r="B279" t="s">
        <v>6954</v>
      </c>
      <c r="C279" t="s">
        <v>7857</v>
      </c>
    </row>
    <row r="280" spans="1:3" x14ac:dyDescent="0.25">
      <c r="A280" t="s">
        <v>6029</v>
      </c>
      <c r="B280" t="s">
        <v>6955</v>
      </c>
      <c r="C280" t="s">
        <v>7858</v>
      </c>
    </row>
    <row r="281" spans="1:3" x14ac:dyDescent="0.25">
      <c r="A281" t="s">
        <v>6030</v>
      </c>
      <c r="B281" t="s">
        <v>6956</v>
      </c>
      <c r="C281" t="s">
        <v>7859</v>
      </c>
    </row>
    <row r="282" spans="1:3" x14ac:dyDescent="0.25">
      <c r="A282" t="s">
        <v>5669</v>
      </c>
      <c r="B282" t="s">
        <v>6957</v>
      </c>
      <c r="C282" t="s">
        <v>7860</v>
      </c>
    </row>
    <row r="283" spans="1:3" x14ac:dyDescent="0.25">
      <c r="A283" t="s">
        <v>6031</v>
      </c>
      <c r="B283" t="s">
        <v>6958</v>
      </c>
      <c r="C283" t="s">
        <v>7861</v>
      </c>
    </row>
    <row r="284" spans="1:3" x14ac:dyDescent="0.25">
      <c r="A284" t="s">
        <v>5670</v>
      </c>
      <c r="B284" t="s">
        <v>6959</v>
      </c>
      <c r="C284" t="s">
        <v>7862</v>
      </c>
    </row>
    <row r="285" spans="1:3" x14ac:dyDescent="0.25">
      <c r="A285" t="s">
        <v>6032</v>
      </c>
      <c r="B285" t="s">
        <v>6960</v>
      </c>
      <c r="C285" t="s">
        <v>7863</v>
      </c>
    </row>
    <row r="286" spans="1:3" x14ac:dyDescent="0.25">
      <c r="A286" t="s">
        <v>5671</v>
      </c>
      <c r="B286" t="s">
        <v>6961</v>
      </c>
      <c r="C286" t="s">
        <v>7864</v>
      </c>
    </row>
    <row r="287" spans="1:3" x14ac:dyDescent="0.25">
      <c r="A287" t="s">
        <v>5672</v>
      </c>
      <c r="B287" t="s">
        <v>6962</v>
      </c>
      <c r="C287" t="s">
        <v>7865</v>
      </c>
    </row>
    <row r="288" spans="1:3" x14ac:dyDescent="0.25">
      <c r="A288" t="s">
        <v>6033</v>
      </c>
      <c r="B288" t="s">
        <v>6963</v>
      </c>
      <c r="C288" t="s">
        <v>7866</v>
      </c>
    </row>
    <row r="289" spans="1:3" x14ac:dyDescent="0.25">
      <c r="A289" t="s">
        <v>5673</v>
      </c>
      <c r="B289" t="s">
        <v>6964</v>
      </c>
      <c r="C289" t="s">
        <v>7867</v>
      </c>
    </row>
    <row r="290" spans="1:3" x14ac:dyDescent="0.25">
      <c r="A290" t="s">
        <v>6034</v>
      </c>
      <c r="B290" t="s">
        <v>6965</v>
      </c>
      <c r="C290" t="s">
        <v>7868</v>
      </c>
    </row>
    <row r="291" spans="1:3" x14ac:dyDescent="0.25">
      <c r="A291" t="s">
        <v>5674</v>
      </c>
      <c r="B291" t="s">
        <v>6966</v>
      </c>
      <c r="C291" t="s">
        <v>7869</v>
      </c>
    </row>
    <row r="292" spans="1:3" x14ac:dyDescent="0.25">
      <c r="A292" t="s">
        <v>6035</v>
      </c>
      <c r="B292" t="s">
        <v>6967</v>
      </c>
      <c r="C292" t="s">
        <v>7870</v>
      </c>
    </row>
    <row r="293" spans="1:3" x14ac:dyDescent="0.25">
      <c r="A293" t="s">
        <v>5675</v>
      </c>
      <c r="B293" t="s">
        <v>6968</v>
      </c>
      <c r="C293" t="s">
        <v>7871</v>
      </c>
    </row>
    <row r="294" spans="1:3" x14ac:dyDescent="0.25">
      <c r="A294" t="s">
        <v>6036</v>
      </c>
      <c r="B294" t="s">
        <v>6969</v>
      </c>
      <c r="C294" t="s">
        <v>7872</v>
      </c>
    </row>
    <row r="295" spans="1:3" x14ac:dyDescent="0.25">
      <c r="A295" t="s">
        <v>6037</v>
      </c>
      <c r="B295" t="s">
        <v>6970</v>
      </c>
      <c r="C295" t="s">
        <v>7873</v>
      </c>
    </row>
    <row r="296" spans="1:3" x14ac:dyDescent="0.25">
      <c r="A296" t="s">
        <v>6038</v>
      </c>
      <c r="B296" t="s">
        <v>6971</v>
      </c>
      <c r="C296" t="s">
        <v>7874</v>
      </c>
    </row>
    <row r="297" spans="1:3" x14ac:dyDescent="0.25">
      <c r="A297" t="s">
        <v>5676</v>
      </c>
      <c r="B297" t="s">
        <v>6972</v>
      </c>
      <c r="C297" t="s">
        <v>7875</v>
      </c>
    </row>
    <row r="298" spans="1:3" x14ac:dyDescent="0.25">
      <c r="A298" t="s">
        <v>6039</v>
      </c>
      <c r="B298" t="s">
        <v>6973</v>
      </c>
      <c r="C298" t="s">
        <v>7876</v>
      </c>
    </row>
    <row r="299" spans="1:3" x14ac:dyDescent="0.25">
      <c r="A299" t="s">
        <v>5677</v>
      </c>
      <c r="B299" t="s">
        <v>6974</v>
      </c>
      <c r="C299" t="s">
        <v>7877</v>
      </c>
    </row>
    <row r="300" spans="1:3" x14ac:dyDescent="0.25">
      <c r="A300" t="s">
        <v>6040</v>
      </c>
      <c r="B300" t="s">
        <v>6975</v>
      </c>
      <c r="C300" t="s">
        <v>7878</v>
      </c>
    </row>
    <row r="301" spans="1:3" x14ac:dyDescent="0.25">
      <c r="A301" t="s">
        <v>5678</v>
      </c>
      <c r="B301" t="s">
        <v>6976</v>
      </c>
      <c r="C301" t="s">
        <v>7879</v>
      </c>
    </row>
    <row r="302" spans="1:3" x14ac:dyDescent="0.25">
      <c r="A302" t="s">
        <v>5679</v>
      </c>
      <c r="B302" t="s">
        <v>6977</v>
      </c>
      <c r="C302" t="s">
        <v>7880</v>
      </c>
    </row>
    <row r="303" spans="1:3" x14ac:dyDescent="0.25">
      <c r="A303" t="s">
        <v>6161</v>
      </c>
      <c r="B303" t="s">
        <v>6978</v>
      </c>
      <c r="C303" t="s">
        <v>7881</v>
      </c>
    </row>
    <row r="304" spans="1:3" x14ac:dyDescent="0.25">
      <c r="A304" t="s">
        <v>5680</v>
      </c>
      <c r="B304" t="s">
        <v>6979</v>
      </c>
      <c r="C304" t="s">
        <v>7882</v>
      </c>
    </row>
    <row r="305" spans="1:3" x14ac:dyDescent="0.25">
      <c r="A305" t="s">
        <v>6162</v>
      </c>
      <c r="B305" t="s">
        <v>6980</v>
      </c>
      <c r="C305" t="s">
        <v>7883</v>
      </c>
    </row>
    <row r="306" spans="1:3" x14ac:dyDescent="0.25">
      <c r="A306" t="s">
        <v>5681</v>
      </c>
      <c r="B306" t="s">
        <v>6981</v>
      </c>
      <c r="C306" t="s">
        <v>7884</v>
      </c>
    </row>
    <row r="307" spans="1:3" x14ac:dyDescent="0.25">
      <c r="A307" t="s">
        <v>6163</v>
      </c>
      <c r="B307" t="s">
        <v>6982</v>
      </c>
      <c r="C307" t="s">
        <v>7885</v>
      </c>
    </row>
    <row r="308" spans="1:3" x14ac:dyDescent="0.25">
      <c r="A308" t="s">
        <v>5682</v>
      </c>
      <c r="B308" t="s">
        <v>6983</v>
      </c>
      <c r="C308" t="s">
        <v>7886</v>
      </c>
    </row>
    <row r="309" spans="1:3" x14ac:dyDescent="0.25">
      <c r="A309" t="s">
        <v>6164</v>
      </c>
      <c r="B309" t="s">
        <v>6984</v>
      </c>
      <c r="C309" t="s">
        <v>7887</v>
      </c>
    </row>
    <row r="310" spans="1:3" x14ac:dyDescent="0.25">
      <c r="A310" t="s">
        <v>6165</v>
      </c>
      <c r="B310" t="s">
        <v>6985</v>
      </c>
      <c r="C310" t="s">
        <v>7888</v>
      </c>
    </row>
    <row r="311" spans="1:3" x14ac:dyDescent="0.25">
      <c r="A311" t="s">
        <v>6166</v>
      </c>
      <c r="B311" t="s">
        <v>6986</v>
      </c>
      <c r="C311" t="s">
        <v>7889</v>
      </c>
    </row>
    <row r="312" spans="1:3" x14ac:dyDescent="0.25">
      <c r="A312" t="s">
        <v>5683</v>
      </c>
      <c r="B312" t="s">
        <v>6987</v>
      </c>
      <c r="C312" t="s">
        <v>7890</v>
      </c>
    </row>
    <row r="313" spans="1:3" x14ac:dyDescent="0.25">
      <c r="A313" t="s">
        <v>6167</v>
      </c>
      <c r="B313" t="s">
        <v>6988</v>
      </c>
      <c r="C313" t="s">
        <v>7891</v>
      </c>
    </row>
    <row r="314" spans="1:3" x14ac:dyDescent="0.25">
      <c r="A314" t="s">
        <v>5684</v>
      </c>
      <c r="B314" t="s">
        <v>6989</v>
      </c>
      <c r="C314" t="s">
        <v>7892</v>
      </c>
    </row>
    <row r="315" spans="1:3" x14ac:dyDescent="0.25">
      <c r="A315" t="s">
        <v>6168</v>
      </c>
      <c r="B315" t="s">
        <v>6990</v>
      </c>
      <c r="C315" t="s">
        <v>7893</v>
      </c>
    </row>
    <row r="316" spans="1:3" x14ac:dyDescent="0.25">
      <c r="A316" t="s">
        <v>5685</v>
      </c>
      <c r="B316" t="s">
        <v>6991</v>
      </c>
      <c r="C316" t="s">
        <v>7894</v>
      </c>
    </row>
    <row r="317" spans="1:3" x14ac:dyDescent="0.25">
      <c r="A317" t="s">
        <v>5686</v>
      </c>
      <c r="B317" t="s">
        <v>6992</v>
      </c>
      <c r="C317" t="s">
        <v>7895</v>
      </c>
    </row>
    <row r="318" spans="1:3" x14ac:dyDescent="0.25">
      <c r="A318" t="s">
        <v>6169</v>
      </c>
      <c r="B318" t="s">
        <v>6993</v>
      </c>
      <c r="C318" t="s">
        <v>7896</v>
      </c>
    </row>
    <row r="319" spans="1:3" x14ac:dyDescent="0.25">
      <c r="A319" t="s">
        <v>5687</v>
      </c>
      <c r="B319" t="s">
        <v>6994</v>
      </c>
      <c r="C319" t="s">
        <v>7897</v>
      </c>
    </row>
    <row r="320" spans="1:3" x14ac:dyDescent="0.25">
      <c r="A320" t="s">
        <v>6170</v>
      </c>
      <c r="B320" t="s">
        <v>6995</v>
      </c>
      <c r="C320" t="s">
        <v>7898</v>
      </c>
    </row>
    <row r="321" spans="1:3" x14ac:dyDescent="0.25">
      <c r="A321" t="s">
        <v>5688</v>
      </c>
      <c r="B321" t="s">
        <v>6996</v>
      </c>
      <c r="C321" t="s">
        <v>7899</v>
      </c>
    </row>
    <row r="322" spans="1:3" x14ac:dyDescent="0.25">
      <c r="A322" t="s">
        <v>6171</v>
      </c>
      <c r="B322" t="s">
        <v>6997</v>
      </c>
      <c r="C322" t="s">
        <v>7900</v>
      </c>
    </row>
    <row r="323" spans="1:3" x14ac:dyDescent="0.25">
      <c r="A323" t="s">
        <v>5689</v>
      </c>
      <c r="B323" t="s">
        <v>6998</v>
      </c>
      <c r="C323" t="s">
        <v>7901</v>
      </c>
    </row>
    <row r="324" spans="1:3" x14ac:dyDescent="0.25">
      <c r="A324" t="s">
        <v>6172</v>
      </c>
      <c r="B324" t="s">
        <v>6999</v>
      </c>
      <c r="C324" t="s">
        <v>7902</v>
      </c>
    </row>
    <row r="325" spans="1:3" x14ac:dyDescent="0.25">
      <c r="A325" t="s">
        <v>6173</v>
      </c>
      <c r="B325" t="s">
        <v>7000</v>
      </c>
      <c r="C325" t="s">
        <v>7903</v>
      </c>
    </row>
    <row r="326" spans="1:3" x14ac:dyDescent="0.25">
      <c r="A326" t="s">
        <v>6174</v>
      </c>
      <c r="B326" t="s">
        <v>7001</v>
      </c>
      <c r="C326" t="s">
        <v>7904</v>
      </c>
    </row>
    <row r="327" spans="1:3" x14ac:dyDescent="0.25">
      <c r="A327" t="s">
        <v>5690</v>
      </c>
      <c r="B327" t="s">
        <v>7002</v>
      </c>
      <c r="C327" t="s">
        <v>7905</v>
      </c>
    </row>
    <row r="328" spans="1:3" x14ac:dyDescent="0.25">
      <c r="A328" t="s">
        <v>6175</v>
      </c>
      <c r="B328" t="s">
        <v>7003</v>
      </c>
      <c r="C328" t="s">
        <v>7906</v>
      </c>
    </row>
    <row r="329" spans="1:3" x14ac:dyDescent="0.25">
      <c r="A329" t="s">
        <v>5691</v>
      </c>
      <c r="B329" t="s">
        <v>7004</v>
      </c>
      <c r="C329" t="s">
        <v>7907</v>
      </c>
    </row>
    <row r="330" spans="1:3" x14ac:dyDescent="0.25">
      <c r="A330" t="s">
        <v>6176</v>
      </c>
      <c r="B330" t="s">
        <v>7005</v>
      </c>
      <c r="C330" t="s">
        <v>7908</v>
      </c>
    </row>
    <row r="331" spans="1:3" x14ac:dyDescent="0.25">
      <c r="A331" t="s">
        <v>5692</v>
      </c>
      <c r="B331" t="s">
        <v>7006</v>
      </c>
      <c r="C331" t="s">
        <v>7909</v>
      </c>
    </row>
    <row r="332" spans="1:3" x14ac:dyDescent="0.25">
      <c r="A332" t="s">
        <v>5693</v>
      </c>
      <c r="B332" t="s">
        <v>7007</v>
      </c>
      <c r="C332" t="s">
        <v>7910</v>
      </c>
    </row>
    <row r="333" spans="1:3" x14ac:dyDescent="0.25">
      <c r="A333" t="s">
        <v>6177</v>
      </c>
      <c r="B333" t="s">
        <v>7008</v>
      </c>
      <c r="C333" t="s">
        <v>7911</v>
      </c>
    </row>
    <row r="334" spans="1:3" x14ac:dyDescent="0.25">
      <c r="A334" t="s">
        <v>5694</v>
      </c>
      <c r="B334" t="s">
        <v>7009</v>
      </c>
      <c r="C334" t="s">
        <v>7912</v>
      </c>
    </row>
    <row r="335" spans="1:3" x14ac:dyDescent="0.25">
      <c r="A335" t="s">
        <v>6178</v>
      </c>
      <c r="B335" t="s">
        <v>7010</v>
      </c>
      <c r="C335" t="s">
        <v>7913</v>
      </c>
    </row>
    <row r="336" spans="1:3" x14ac:dyDescent="0.25">
      <c r="A336" t="s">
        <v>5695</v>
      </c>
      <c r="B336" t="s">
        <v>7011</v>
      </c>
      <c r="C336" t="s">
        <v>7914</v>
      </c>
    </row>
    <row r="337" spans="1:3" x14ac:dyDescent="0.25">
      <c r="A337" t="s">
        <v>6179</v>
      </c>
      <c r="B337" t="s">
        <v>7012</v>
      </c>
      <c r="C337" t="s">
        <v>7915</v>
      </c>
    </row>
    <row r="338" spans="1:3" x14ac:dyDescent="0.25">
      <c r="A338" t="s">
        <v>5696</v>
      </c>
      <c r="B338" t="s">
        <v>7013</v>
      </c>
      <c r="C338" t="s">
        <v>7916</v>
      </c>
    </row>
    <row r="339" spans="1:3" x14ac:dyDescent="0.25">
      <c r="A339" t="s">
        <v>6180</v>
      </c>
      <c r="B339" t="s">
        <v>7014</v>
      </c>
      <c r="C339" t="s">
        <v>7917</v>
      </c>
    </row>
    <row r="340" spans="1:3" x14ac:dyDescent="0.25">
      <c r="A340" t="s">
        <v>6181</v>
      </c>
      <c r="B340" t="s">
        <v>7015</v>
      </c>
      <c r="C340" t="s">
        <v>7918</v>
      </c>
    </row>
    <row r="341" spans="1:3" x14ac:dyDescent="0.25">
      <c r="A341" t="s">
        <v>6182</v>
      </c>
      <c r="B341" t="s">
        <v>7016</v>
      </c>
      <c r="C341" t="s">
        <v>7919</v>
      </c>
    </row>
    <row r="342" spans="1:3" x14ac:dyDescent="0.25">
      <c r="A342" t="s">
        <v>5697</v>
      </c>
      <c r="B342" t="s">
        <v>7017</v>
      </c>
      <c r="C342" t="s">
        <v>7920</v>
      </c>
    </row>
    <row r="343" spans="1:3" x14ac:dyDescent="0.25">
      <c r="A343" t="s">
        <v>6183</v>
      </c>
      <c r="B343" t="s">
        <v>7018</v>
      </c>
      <c r="C343" t="s">
        <v>7921</v>
      </c>
    </row>
    <row r="344" spans="1:3" x14ac:dyDescent="0.25">
      <c r="A344" t="s">
        <v>5698</v>
      </c>
      <c r="B344" t="s">
        <v>7019</v>
      </c>
      <c r="C344" t="s">
        <v>7922</v>
      </c>
    </row>
    <row r="345" spans="1:3" x14ac:dyDescent="0.25">
      <c r="A345" t="s">
        <v>6184</v>
      </c>
      <c r="B345" t="s">
        <v>7020</v>
      </c>
      <c r="C345" t="s">
        <v>7923</v>
      </c>
    </row>
    <row r="346" spans="1:3" x14ac:dyDescent="0.25">
      <c r="A346" t="s">
        <v>5699</v>
      </c>
      <c r="B346" t="s">
        <v>7021</v>
      </c>
      <c r="C346" t="s">
        <v>7924</v>
      </c>
    </row>
    <row r="347" spans="1:3" x14ac:dyDescent="0.25">
      <c r="A347" t="s">
        <v>5700</v>
      </c>
      <c r="B347" t="s">
        <v>7022</v>
      </c>
      <c r="C347" t="s">
        <v>7925</v>
      </c>
    </row>
    <row r="348" spans="1:3" x14ac:dyDescent="0.25">
      <c r="A348" t="s">
        <v>6185</v>
      </c>
      <c r="B348" t="s">
        <v>7023</v>
      </c>
      <c r="C348" t="s">
        <v>7926</v>
      </c>
    </row>
    <row r="349" spans="1:3" x14ac:dyDescent="0.25">
      <c r="A349" t="s">
        <v>5701</v>
      </c>
      <c r="B349" t="s">
        <v>7024</v>
      </c>
      <c r="C349" t="s">
        <v>7927</v>
      </c>
    </row>
    <row r="350" spans="1:3" x14ac:dyDescent="0.25">
      <c r="A350" t="s">
        <v>6186</v>
      </c>
      <c r="B350" t="s">
        <v>7025</v>
      </c>
      <c r="C350" t="s">
        <v>7928</v>
      </c>
    </row>
    <row r="351" spans="1:3" x14ac:dyDescent="0.25">
      <c r="A351" t="s">
        <v>5702</v>
      </c>
      <c r="B351" t="s">
        <v>7026</v>
      </c>
      <c r="C351" t="s">
        <v>7929</v>
      </c>
    </row>
    <row r="352" spans="1:3" x14ac:dyDescent="0.25">
      <c r="A352" t="s">
        <v>6187</v>
      </c>
      <c r="B352" t="s">
        <v>7027</v>
      </c>
      <c r="C352" t="s">
        <v>7930</v>
      </c>
    </row>
    <row r="353" spans="1:3" x14ac:dyDescent="0.25">
      <c r="A353" t="s">
        <v>5703</v>
      </c>
      <c r="B353" t="s">
        <v>7028</v>
      </c>
      <c r="C353" t="s">
        <v>7931</v>
      </c>
    </row>
    <row r="354" spans="1:3" x14ac:dyDescent="0.25">
      <c r="A354" t="s">
        <v>6188</v>
      </c>
      <c r="B354" t="s">
        <v>7029</v>
      </c>
      <c r="C354" t="s">
        <v>7932</v>
      </c>
    </row>
    <row r="355" spans="1:3" x14ac:dyDescent="0.25">
      <c r="A355" t="s">
        <v>6189</v>
      </c>
      <c r="B355" t="s">
        <v>7030</v>
      </c>
      <c r="C355" t="s">
        <v>7933</v>
      </c>
    </row>
    <row r="356" spans="1:3" x14ac:dyDescent="0.25">
      <c r="A356" t="s">
        <v>6190</v>
      </c>
      <c r="B356" t="s">
        <v>7031</v>
      </c>
      <c r="C356" t="s">
        <v>7934</v>
      </c>
    </row>
    <row r="357" spans="1:3" x14ac:dyDescent="0.25">
      <c r="A357" t="s">
        <v>5704</v>
      </c>
      <c r="B357" t="s">
        <v>7032</v>
      </c>
      <c r="C357" t="s">
        <v>7935</v>
      </c>
    </row>
    <row r="358" spans="1:3" x14ac:dyDescent="0.25">
      <c r="A358" t="s">
        <v>6191</v>
      </c>
      <c r="B358" t="s">
        <v>7033</v>
      </c>
      <c r="C358" t="s">
        <v>7936</v>
      </c>
    </row>
    <row r="359" spans="1:3" x14ac:dyDescent="0.25">
      <c r="A359" t="s">
        <v>5705</v>
      </c>
      <c r="B359" t="s">
        <v>7034</v>
      </c>
      <c r="C359" t="s">
        <v>7937</v>
      </c>
    </row>
    <row r="360" spans="1:3" x14ac:dyDescent="0.25">
      <c r="A360" t="s">
        <v>6192</v>
      </c>
      <c r="B360" t="s">
        <v>7035</v>
      </c>
      <c r="C360" t="s">
        <v>7938</v>
      </c>
    </row>
    <row r="361" spans="1:3" x14ac:dyDescent="0.25">
      <c r="A361" t="s">
        <v>5706</v>
      </c>
      <c r="B361" t="s">
        <v>7036</v>
      </c>
      <c r="C361" t="s">
        <v>7939</v>
      </c>
    </row>
    <row r="362" spans="1:3" x14ac:dyDescent="0.25">
      <c r="A362" t="s">
        <v>5707</v>
      </c>
      <c r="B362" t="s">
        <v>7037</v>
      </c>
      <c r="C362" t="s">
        <v>7940</v>
      </c>
    </row>
    <row r="363" spans="1:3" x14ac:dyDescent="0.25">
      <c r="A363" t="s">
        <v>6193</v>
      </c>
      <c r="B363" t="s">
        <v>7038</v>
      </c>
      <c r="C363" t="s">
        <v>7941</v>
      </c>
    </row>
    <row r="364" spans="1:3" x14ac:dyDescent="0.25">
      <c r="A364" t="s">
        <v>5708</v>
      </c>
      <c r="B364" t="s">
        <v>7039</v>
      </c>
      <c r="C364" t="s">
        <v>7942</v>
      </c>
    </row>
    <row r="365" spans="1:3" x14ac:dyDescent="0.25">
      <c r="A365" t="s">
        <v>6194</v>
      </c>
      <c r="B365" t="s">
        <v>7040</v>
      </c>
      <c r="C365" t="s">
        <v>7943</v>
      </c>
    </row>
    <row r="366" spans="1:3" x14ac:dyDescent="0.25">
      <c r="A366" t="s">
        <v>5709</v>
      </c>
      <c r="B366" t="s">
        <v>7041</v>
      </c>
      <c r="C366" t="s">
        <v>7944</v>
      </c>
    </row>
    <row r="367" spans="1:3" x14ac:dyDescent="0.25">
      <c r="A367" t="s">
        <v>6195</v>
      </c>
      <c r="B367" t="s">
        <v>7042</v>
      </c>
      <c r="C367" t="s">
        <v>7945</v>
      </c>
    </row>
    <row r="368" spans="1:3" x14ac:dyDescent="0.25">
      <c r="A368" t="s">
        <v>5710</v>
      </c>
      <c r="B368" t="s">
        <v>7043</v>
      </c>
      <c r="C368" t="s">
        <v>7946</v>
      </c>
    </row>
    <row r="369" spans="1:3" x14ac:dyDescent="0.25">
      <c r="A369" t="s">
        <v>6196</v>
      </c>
      <c r="B369" t="s">
        <v>7044</v>
      </c>
      <c r="C369" t="s">
        <v>7947</v>
      </c>
    </row>
    <row r="370" spans="1:3" x14ac:dyDescent="0.25">
      <c r="A370" t="s">
        <v>6197</v>
      </c>
      <c r="B370" t="s">
        <v>7045</v>
      </c>
      <c r="C370" t="s">
        <v>7948</v>
      </c>
    </row>
    <row r="371" spans="1:3" x14ac:dyDescent="0.25">
      <c r="A371" t="s">
        <v>6198</v>
      </c>
      <c r="B371" t="s">
        <v>7046</v>
      </c>
      <c r="C371" t="s">
        <v>7949</v>
      </c>
    </row>
    <row r="372" spans="1:3" x14ac:dyDescent="0.25">
      <c r="A372" t="s">
        <v>5711</v>
      </c>
      <c r="B372" t="s">
        <v>7047</v>
      </c>
      <c r="C372" t="s">
        <v>7950</v>
      </c>
    </row>
    <row r="373" spans="1:3" x14ac:dyDescent="0.25">
      <c r="A373" t="s">
        <v>6199</v>
      </c>
      <c r="B373" t="s">
        <v>7048</v>
      </c>
      <c r="C373" t="s">
        <v>7951</v>
      </c>
    </row>
    <row r="374" spans="1:3" x14ac:dyDescent="0.25">
      <c r="A374" t="s">
        <v>5712</v>
      </c>
      <c r="B374" t="s">
        <v>7049</v>
      </c>
      <c r="C374" t="s">
        <v>7952</v>
      </c>
    </row>
    <row r="375" spans="1:3" x14ac:dyDescent="0.25">
      <c r="A375" t="s">
        <v>6200</v>
      </c>
      <c r="B375" t="s">
        <v>7050</v>
      </c>
      <c r="C375" t="s">
        <v>7953</v>
      </c>
    </row>
    <row r="376" spans="1:3" x14ac:dyDescent="0.25">
      <c r="A376" t="s">
        <v>5713</v>
      </c>
      <c r="B376" t="s">
        <v>7051</v>
      </c>
      <c r="C376" t="s">
        <v>7954</v>
      </c>
    </row>
    <row r="377" spans="1:3" x14ac:dyDescent="0.25">
      <c r="A377" t="s">
        <v>5714</v>
      </c>
      <c r="B377" t="s">
        <v>7052</v>
      </c>
      <c r="C377" t="s">
        <v>7955</v>
      </c>
    </row>
    <row r="378" spans="1:3" x14ac:dyDescent="0.25">
      <c r="A378" t="s">
        <v>6321</v>
      </c>
      <c r="B378" t="s">
        <v>7053</v>
      </c>
      <c r="C378" t="s">
        <v>7956</v>
      </c>
    </row>
    <row r="379" spans="1:3" x14ac:dyDescent="0.25">
      <c r="A379" t="s">
        <v>5715</v>
      </c>
      <c r="B379" t="s">
        <v>7054</v>
      </c>
      <c r="C379" t="s">
        <v>7957</v>
      </c>
    </row>
    <row r="380" spans="1:3" x14ac:dyDescent="0.25">
      <c r="A380" t="s">
        <v>6322</v>
      </c>
      <c r="B380" t="s">
        <v>7055</v>
      </c>
      <c r="C380" t="s">
        <v>7958</v>
      </c>
    </row>
    <row r="381" spans="1:3" x14ac:dyDescent="0.25">
      <c r="A381" t="s">
        <v>5716</v>
      </c>
      <c r="B381" t="s">
        <v>7056</v>
      </c>
      <c r="C381" t="s">
        <v>7959</v>
      </c>
    </row>
    <row r="382" spans="1:3" x14ac:dyDescent="0.25">
      <c r="A382" t="s">
        <v>6323</v>
      </c>
      <c r="B382" t="s">
        <v>7057</v>
      </c>
      <c r="C382" t="s">
        <v>7960</v>
      </c>
    </row>
    <row r="383" spans="1:3" x14ac:dyDescent="0.25">
      <c r="A383" t="s">
        <v>5717</v>
      </c>
      <c r="B383" t="s">
        <v>7058</v>
      </c>
      <c r="C383" t="s">
        <v>7961</v>
      </c>
    </row>
    <row r="384" spans="1:3" x14ac:dyDescent="0.25">
      <c r="A384" t="s">
        <v>6324</v>
      </c>
      <c r="B384" t="s">
        <v>7059</v>
      </c>
      <c r="C384" t="s">
        <v>7962</v>
      </c>
    </row>
    <row r="385" spans="1:3" x14ac:dyDescent="0.25">
      <c r="A385" t="s">
        <v>6325</v>
      </c>
      <c r="B385" t="s">
        <v>7060</v>
      </c>
      <c r="C385" t="s">
        <v>7963</v>
      </c>
    </row>
    <row r="386" spans="1:3" x14ac:dyDescent="0.25">
      <c r="A386" t="s">
        <v>6326</v>
      </c>
      <c r="B386" t="s">
        <v>7061</v>
      </c>
      <c r="C386" t="s">
        <v>7964</v>
      </c>
    </row>
    <row r="387" spans="1:3" x14ac:dyDescent="0.25">
      <c r="A387" t="s">
        <v>5718</v>
      </c>
      <c r="B387" t="s">
        <v>7062</v>
      </c>
      <c r="C387" t="s">
        <v>7965</v>
      </c>
    </row>
    <row r="388" spans="1:3" x14ac:dyDescent="0.25">
      <c r="A388" t="s">
        <v>6327</v>
      </c>
      <c r="B388" t="s">
        <v>7063</v>
      </c>
      <c r="C388" t="s">
        <v>7966</v>
      </c>
    </row>
    <row r="389" spans="1:3" x14ac:dyDescent="0.25">
      <c r="A389" t="s">
        <v>5719</v>
      </c>
      <c r="B389" t="s">
        <v>7064</v>
      </c>
      <c r="C389" t="s">
        <v>7967</v>
      </c>
    </row>
    <row r="390" spans="1:3" x14ac:dyDescent="0.25">
      <c r="A390" t="s">
        <v>6328</v>
      </c>
      <c r="B390" t="s">
        <v>7065</v>
      </c>
      <c r="C390" t="s">
        <v>7968</v>
      </c>
    </row>
    <row r="391" spans="1:3" x14ac:dyDescent="0.25">
      <c r="A391" t="s">
        <v>5720</v>
      </c>
      <c r="B391" t="s">
        <v>7066</v>
      </c>
      <c r="C391" t="s">
        <v>7969</v>
      </c>
    </row>
    <row r="392" spans="1:3" x14ac:dyDescent="0.25">
      <c r="A392" t="s">
        <v>5721</v>
      </c>
      <c r="B392" t="s">
        <v>7067</v>
      </c>
      <c r="C392" t="s">
        <v>7970</v>
      </c>
    </row>
    <row r="393" spans="1:3" x14ac:dyDescent="0.25">
      <c r="A393" t="s">
        <v>6329</v>
      </c>
      <c r="B393" t="s">
        <v>7068</v>
      </c>
      <c r="C393" t="s">
        <v>7971</v>
      </c>
    </row>
    <row r="394" spans="1:3" x14ac:dyDescent="0.25">
      <c r="A394" t="s">
        <v>5722</v>
      </c>
      <c r="B394" t="s">
        <v>7069</v>
      </c>
      <c r="C394" t="s">
        <v>7972</v>
      </c>
    </row>
    <row r="395" spans="1:3" x14ac:dyDescent="0.25">
      <c r="A395" t="s">
        <v>6330</v>
      </c>
      <c r="B395" t="s">
        <v>7070</v>
      </c>
      <c r="C395" t="s">
        <v>7973</v>
      </c>
    </row>
    <row r="396" spans="1:3" x14ac:dyDescent="0.25">
      <c r="A396" t="s">
        <v>5723</v>
      </c>
      <c r="B396" t="s">
        <v>7071</v>
      </c>
      <c r="C396" t="s">
        <v>7974</v>
      </c>
    </row>
    <row r="397" spans="1:3" x14ac:dyDescent="0.25">
      <c r="A397" t="s">
        <v>6331</v>
      </c>
      <c r="B397" t="s">
        <v>7072</v>
      </c>
      <c r="C397" t="s">
        <v>7975</v>
      </c>
    </row>
    <row r="398" spans="1:3" x14ac:dyDescent="0.25">
      <c r="A398" t="s">
        <v>5724</v>
      </c>
      <c r="B398" t="s">
        <v>7073</v>
      </c>
      <c r="C398" t="s">
        <v>7976</v>
      </c>
    </row>
    <row r="399" spans="1:3" x14ac:dyDescent="0.25">
      <c r="A399" t="s">
        <v>6332</v>
      </c>
      <c r="B399" t="s">
        <v>7074</v>
      </c>
      <c r="C399" t="s">
        <v>7977</v>
      </c>
    </row>
    <row r="400" spans="1:3" x14ac:dyDescent="0.25">
      <c r="A400" t="s">
        <v>6333</v>
      </c>
      <c r="B400" t="s">
        <v>7075</v>
      </c>
      <c r="C400" t="s">
        <v>7978</v>
      </c>
    </row>
    <row r="401" spans="1:3" x14ac:dyDescent="0.25">
      <c r="A401" t="s">
        <v>6334</v>
      </c>
      <c r="B401" t="s">
        <v>7076</v>
      </c>
      <c r="C401" t="s">
        <v>7979</v>
      </c>
    </row>
    <row r="402" spans="1:3" x14ac:dyDescent="0.25">
      <c r="A402" t="s">
        <v>5725</v>
      </c>
      <c r="B402" t="s">
        <v>7077</v>
      </c>
      <c r="C402" t="s">
        <v>7980</v>
      </c>
    </row>
    <row r="403" spans="1:3" x14ac:dyDescent="0.25">
      <c r="A403" t="s">
        <v>6335</v>
      </c>
      <c r="B403" t="s">
        <v>7078</v>
      </c>
      <c r="C403" t="s">
        <v>7981</v>
      </c>
    </row>
    <row r="404" spans="1:3" x14ac:dyDescent="0.25">
      <c r="A404" t="s">
        <v>5726</v>
      </c>
      <c r="B404" t="s">
        <v>7079</v>
      </c>
      <c r="C404" t="s">
        <v>7982</v>
      </c>
    </row>
    <row r="405" spans="1:3" x14ac:dyDescent="0.25">
      <c r="A405" t="s">
        <v>6336</v>
      </c>
      <c r="B405" t="s">
        <v>7080</v>
      </c>
      <c r="C405" t="s">
        <v>7983</v>
      </c>
    </row>
    <row r="406" spans="1:3" x14ac:dyDescent="0.25">
      <c r="A406" t="s">
        <v>5727</v>
      </c>
      <c r="B406" t="s">
        <v>7081</v>
      </c>
      <c r="C406" t="s">
        <v>7984</v>
      </c>
    </row>
    <row r="407" spans="1:3" x14ac:dyDescent="0.25">
      <c r="A407" t="s">
        <v>5728</v>
      </c>
      <c r="B407" t="s">
        <v>7082</v>
      </c>
      <c r="C407" t="s">
        <v>7985</v>
      </c>
    </row>
    <row r="408" spans="1:3" x14ac:dyDescent="0.25">
      <c r="A408" t="s">
        <v>6337</v>
      </c>
      <c r="B408" t="s">
        <v>7083</v>
      </c>
      <c r="C408" t="s">
        <v>7986</v>
      </c>
    </row>
    <row r="409" spans="1:3" x14ac:dyDescent="0.25">
      <c r="A409" t="s">
        <v>5729</v>
      </c>
      <c r="B409" t="s">
        <v>7084</v>
      </c>
      <c r="C409" t="s">
        <v>7987</v>
      </c>
    </row>
    <row r="410" spans="1:3" x14ac:dyDescent="0.25">
      <c r="A410" t="s">
        <v>6338</v>
      </c>
      <c r="B410" t="s">
        <v>7085</v>
      </c>
      <c r="C410" t="s">
        <v>7988</v>
      </c>
    </row>
    <row r="411" spans="1:3" x14ac:dyDescent="0.25">
      <c r="A411" t="s">
        <v>5730</v>
      </c>
      <c r="B411" t="s">
        <v>7086</v>
      </c>
      <c r="C411" t="s">
        <v>7989</v>
      </c>
    </row>
    <row r="412" spans="1:3" x14ac:dyDescent="0.25">
      <c r="A412" t="s">
        <v>6339</v>
      </c>
      <c r="B412" t="s">
        <v>7087</v>
      </c>
      <c r="C412" t="s">
        <v>7990</v>
      </c>
    </row>
    <row r="413" spans="1:3" x14ac:dyDescent="0.25">
      <c r="A413" t="s">
        <v>5731</v>
      </c>
      <c r="B413" t="s">
        <v>7088</v>
      </c>
      <c r="C413" t="s">
        <v>7991</v>
      </c>
    </row>
    <row r="414" spans="1:3" x14ac:dyDescent="0.25">
      <c r="A414" t="s">
        <v>6340</v>
      </c>
      <c r="B414" t="s">
        <v>7089</v>
      </c>
      <c r="C414" t="s">
        <v>7992</v>
      </c>
    </row>
    <row r="415" spans="1:3" x14ac:dyDescent="0.25">
      <c r="A415" t="s">
        <v>6341</v>
      </c>
      <c r="B415" t="s">
        <v>7090</v>
      </c>
      <c r="C415" t="s">
        <v>7993</v>
      </c>
    </row>
    <row r="416" spans="1:3" x14ac:dyDescent="0.25">
      <c r="A416" t="s">
        <v>6342</v>
      </c>
      <c r="B416" t="s">
        <v>7091</v>
      </c>
      <c r="C416" t="s">
        <v>7994</v>
      </c>
    </row>
    <row r="417" spans="1:3" x14ac:dyDescent="0.25">
      <c r="A417" t="s">
        <v>5732</v>
      </c>
      <c r="B417" t="s">
        <v>7092</v>
      </c>
      <c r="C417" t="s">
        <v>7995</v>
      </c>
    </row>
    <row r="418" spans="1:3" x14ac:dyDescent="0.25">
      <c r="A418" t="s">
        <v>6343</v>
      </c>
      <c r="B418" t="s">
        <v>7093</v>
      </c>
      <c r="C418" t="s">
        <v>7996</v>
      </c>
    </row>
    <row r="419" spans="1:3" x14ac:dyDescent="0.25">
      <c r="A419" t="s">
        <v>5733</v>
      </c>
      <c r="B419" t="s">
        <v>7094</v>
      </c>
      <c r="C419" t="s">
        <v>7997</v>
      </c>
    </row>
    <row r="420" spans="1:3" x14ac:dyDescent="0.25">
      <c r="A420" t="s">
        <v>6344</v>
      </c>
      <c r="B420" t="s">
        <v>7095</v>
      </c>
      <c r="C420" t="s">
        <v>7998</v>
      </c>
    </row>
    <row r="421" spans="1:3" x14ac:dyDescent="0.25">
      <c r="A421" t="s">
        <v>5734</v>
      </c>
      <c r="B421" t="s">
        <v>7096</v>
      </c>
      <c r="C421" t="s">
        <v>7999</v>
      </c>
    </row>
    <row r="422" spans="1:3" x14ac:dyDescent="0.25">
      <c r="A422" t="s">
        <v>5735</v>
      </c>
      <c r="B422" t="s">
        <v>7097</v>
      </c>
      <c r="C422" t="s">
        <v>8000</v>
      </c>
    </row>
    <row r="423" spans="1:3" x14ac:dyDescent="0.25">
      <c r="A423" t="s">
        <v>6345</v>
      </c>
      <c r="B423" t="s">
        <v>7098</v>
      </c>
      <c r="C423" t="s">
        <v>8001</v>
      </c>
    </row>
    <row r="424" spans="1:3" x14ac:dyDescent="0.25">
      <c r="A424" t="s">
        <v>5736</v>
      </c>
      <c r="B424" t="s">
        <v>7099</v>
      </c>
      <c r="C424" t="s">
        <v>8002</v>
      </c>
    </row>
    <row r="425" spans="1:3" x14ac:dyDescent="0.25">
      <c r="A425" t="s">
        <v>6346</v>
      </c>
      <c r="B425" t="s">
        <v>7100</v>
      </c>
      <c r="C425" t="s">
        <v>8003</v>
      </c>
    </row>
    <row r="426" spans="1:3" x14ac:dyDescent="0.25">
      <c r="A426" t="s">
        <v>5737</v>
      </c>
      <c r="B426" t="s">
        <v>7101</v>
      </c>
      <c r="C426" t="s">
        <v>8004</v>
      </c>
    </row>
    <row r="427" spans="1:3" x14ac:dyDescent="0.25">
      <c r="A427" t="s">
        <v>6347</v>
      </c>
      <c r="B427" t="s">
        <v>7102</v>
      </c>
      <c r="C427" t="s">
        <v>8005</v>
      </c>
    </row>
    <row r="428" spans="1:3" x14ac:dyDescent="0.25">
      <c r="A428" t="s">
        <v>5738</v>
      </c>
      <c r="B428" t="s">
        <v>7103</v>
      </c>
      <c r="C428" t="s">
        <v>8006</v>
      </c>
    </row>
    <row r="429" spans="1:3" x14ac:dyDescent="0.25">
      <c r="A429" t="s">
        <v>6348</v>
      </c>
      <c r="B429" t="s">
        <v>7104</v>
      </c>
      <c r="C429" t="s">
        <v>8007</v>
      </c>
    </row>
    <row r="430" spans="1:3" x14ac:dyDescent="0.25">
      <c r="A430" t="s">
        <v>6349</v>
      </c>
      <c r="B430" t="s">
        <v>7105</v>
      </c>
      <c r="C430" t="s">
        <v>8008</v>
      </c>
    </row>
    <row r="431" spans="1:3" x14ac:dyDescent="0.25">
      <c r="A431" t="s">
        <v>6350</v>
      </c>
      <c r="B431" t="s">
        <v>7106</v>
      </c>
      <c r="C431" t="s">
        <v>8009</v>
      </c>
    </row>
    <row r="432" spans="1:3" x14ac:dyDescent="0.25">
      <c r="A432" t="s">
        <v>5739</v>
      </c>
      <c r="B432" t="s">
        <v>7107</v>
      </c>
      <c r="C432" t="s">
        <v>8010</v>
      </c>
    </row>
    <row r="433" spans="1:3" x14ac:dyDescent="0.25">
      <c r="A433" t="s">
        <v>6351</v>
      </c>
      <c r="B433" t="s">
        <v>7108</v>
      </c>
      <c r="C433" t="s">
        <v>8011</v>
      </c>
    </row>
    <row r="434" spans="1:3" x14ac:dyDescent="0.25">
      <c r="A434" t="s">
        <v>5740</v>
      </c>
      <c r="B434" t="s">
        <v>7109</v>
      </c>
      <c r="C434" t="s">
        <v>8012</v>
      </c>
    </row>
    <row r="435" spans="1:3" x14ac:dyDescent="0.25">
      <c r="A435" t="s">
        <v>6352</v>
      </c>
      <c r="B435" t="s">
        <v>7110</v>
      </c>
      <c r="C435" t="s">
        <v>8013</v>
      </c>
    </row>
    <row r="436" spans="1:3" x14ac:dyDescent="0.25">
      <c r="A436" t="s">
        <v>5741</v>
      </c>
      <c r="B436" t="s">
        <v>7111</v>
      </c>
      <c r="C436" t="s">
        <v>8014</v>
      </c>
    </row>
    <row r="437" spans="1:3" x14ac:dyDescent="0.25">
      <c r="A437" t="s">
        <v>5742</v>
      </c>
      <c r="B437" t="s">
        <v>7112</v>
      </c>
      <c r="C437" t="s">
        <v>8015</v>
      </c>
    </row>
    <row r="438" spans="1:3" x14ac:dyDescent="0.25">
      <c r="A438" t="s">
        <v>6353</v>
      </c>
      <c r="B438" t="s">
        <v>7113</v>
      </c>
      <c r="C438" t="s">
        <v>8016</v>
      </c>
    </row>
    <row r="439" spans="1:3" x14ac:dyDescent="0.25">
      <c r="A439" t="s">
        <v>5743</v>
      </c>
      <c r="B439" t="s">
        <v>7114</v>
      </c>
      <c r="C439" t="s">
        <v>8017</v>
      </c>
    </row>
    <row r="440" spans="1:3" x14ac:dyDescent="0.25">
      <c r="A440" t="s">
        <v>6354</v>
      </c>
      <c r="B440" t="s">
        <v>7115</v>
      </c>
      <c r="C440" t="s">
        <v>8018</v>
      </c>
    </row>
    <row r="441" spans="1:3" x14ac:dyDescent="0.25">
      <c r="A441" t="s">
        <v>5744</v>
      </c>
      <c r="B441" t="s">
        <v>7116</v>
      </c>
      <c r="C441" t="s">
        <v>8019</v>
      </c>
    </row>
    <row r="442" spans="1:3" x14ac:dyDescent="0.25">
      <c r="A442" t="s">
        <v>6355</v>
      </c>
      <c r="B442" t="s">
        <v>7117</v>
      </c>
      <c r="C442" t="s">
        <v>8020</v>
      </c>
    </row>
    <row r="443" spans="1:3" x14ac:dyDescent="0.25">
      <c r="A443" t="s">
        <v>5745</v>
      </c>
      <c r="B443" t="s">
        <v>7118</v>
      </c>
      <c r="C443" t="s">
        <v>8021</v>
      </c>
    </row>
    <row r="444" spans="1:3" x14ac:dyDescent="0.25">
      <c r="A444" t="s">
        <v>6356</v>
      </c>
      <c r="B444" t="s">
        <v>7119</v>
      </c>
      <c r="C444" t="s">
        <v>8022</v>
      </c>
    </row>
    <row r="445" spans="1:3" x14ac:dyDescent="0.25">
      <c r="A445" t="s">
        <v>6357</v>
      </c>
      <c r="B445" t="s">
        <v>7120</v>
      </c>
      <c r="C445" t="s">
        <v>8023</v>
      </c>
    </row>
    <row r="446" spans="1:3" x14ac:dyDescent="0.25">
      <c r="A446" t="s">
        <v>6358</v>
      </c>
      <c r="B446" t="s">
        <v>7121</v>
      </c>
      <c r="C446" t="s">
        <v>8024</v>
      </c>
    </row>
    <row r="447" spans="1:3" x14ac:dyDescent="0.25">
      <c r="A447" t="s">
        <v>5746</v>
      </c>
      <c r="B447" t="s">
        <v>7122</v>
      </c>
      <c r="C447" t="s">
        <v>8025</v>
      </c>
    </row>
    <row r="448" spans="1:3" x14ac:dyDescent="0.25">
      <c r="A448" t="s">
        <v>6359</v>
      </c>
      <c r="B448" t="s">
        <v>7123</v>
      </c>
      <c r="C448" t="s">
        <v>8026</v>
      </c>
    </row>
    <row r="449" spans="1:3" x14ac:dyDescent="0.25">
      <c r="A449" t="s">
        <v>5747</v>
      </c>
      <c r="B449" t="s">
        <v>7124</v>
      </c>
      <c r="C449" t="s">
        <v>8027</v>
      </c>
    </row>
    <row r="450" spans="1:3" x14ac:dyDescent="0.25">
      <c r="A450" t="s">
        <v>6360</v>
      </c>
      <c r="B450" t="s">
        <v>7125</v>
      </c>
      <c r="C450" t="s">
        <v>8028</v>
      </c>
    </row>
    <row r="451" spans="1:3" x14ac:dyDescent="0.25">
      <c r="A451" t="s">
        <v>5748</v>
      </c>
      <c r="B451" t="s">
        <v>7126</v>
      </c>
      <c r="C451" t="s">
        <v>8029</v>
      </c>
    </row>
    <row r="452" spans="1:3" x14ac:dyDescent="0.25">
      <c r="A452" t="s">
        <v>5749</v>
      </c>
      <c r="B452" t="s">
        <v>7127</v>
      </c>
      <c r="C452" t="s">
        <v>8030</v>
      </c>
    </row>
    <row r="453" spans="1:3" x14ac:dyDescent="0.25">
      <c r="A453" t="s">
        <v>6041</v>
      </c>
      <c r="B453" t="s">
        <v>7128</v>
      </c>
      <c r="C453" t="s">
        <v>8031</v>
      </c>
    </row>
    <row r="454" spans="1:3" x14ac:dyDescent="0.25">
      <c r="A454" t="s">
        <v>5750</v>
      </c>
      <c r="B454" t="s">
        <v>7129</v>
      </c>
      <c r="C454" t="s">
        <v>8032</v>
      </c>
    </row>
    <row r="455" spans="1:3" x14ac:dyDescent="0.25">
      <c r="A455" t="s">
        <v>6042</v>
      </c>
      <c r="B455" t="s">
        <v>7130</v>
      </c>
      <c r="C455" t="s">
        <v>8033</v>
      </c>
    </row>
    <row r="456" spans="1:3" x14ac:dyDescent="0.25">
      <c r="A456" t="s">
        <v>5751</v>
      </c>
      <c r="B456" t="s">
        <v>7131</v>
      </c>
      <c r="C456" t="s">
        <v>8034</v>
      </c>
    </row>
    <row r="457" spans="1:3" x14ac:dyDescent="0.25">
      <c r="A457" t="s">
        <v>6043</v>
      </c>
      <c r="B457" t="s">
        <v>7132</v>
      </c>
      <c r="C457" t="s">
        <v>8035</v>
      </c>
    </row>
    <row r="458" spans="1:3" x14ac:dyDescent="0.25">
      <c r="A458" t="s">
        <v>5752</v>
      </c>
      <c r="B458" t="s">
        <v>7133</v>
      </c>
      <c r="C458" t="s">
        <v>8036</v>
      </c>
    </row>
    <row r="459" spans="1:3" x14ac:dyDescent="0.25">
      <c r="A459" t="s">
        <v>6044</v>
      </c>
      <c r="B459" t="s">
        <v>7134</v>
      </c>
      <c r="C459" t="s">
        <v>8037</v>
      </c>
    </row>
    <row r="460" spans="1:3" x14ac:dyDescent="0.25">
      <c r="A460" t="s">
        <v>6045</v>
      </c>
      <c r="B460" t="s">
        <v>7135</v>
      </c>
      <c r="C460" t="s">
        <v>8038</v>
      </c>
    </row>
    <row r="461" spans="1:3" x14ac:dyDescent="0.25">
      <c r="A461" t="s">
        <v>6046</v>
      </c>
      <c r="B461" t="s">
        <v>7136</v>
      </c>
      <c r="C461" t="s">
        <v>8039</v>
      </c>
    </row>
    <row r="462" spans="1:3" x14ac:dyDescent="0.25">
      <c r="A462" t="s">
        <v>5753</v>
      </c>
      <c r="B462" t="s">
        <v>7137</v>
      </c>
      <c r="C462" t="s">
        <v>8040</v>
      </c>
    </row>
    <row r="463" spans="1:3" x14ac:dyDescent="0.25">
      <c r="A463" t="s">
        <v>6047</v>
      </c>
      <c r="B463" t="s">
        <v>7138</v>
      </c>
      <c r="C463" t="s">
        <v>8041</v>
      </c>
    </row>
    <row r="464" spans="1:3" x14ac:dyDescent="0.25">
      <c r="A464" t="s">
        <v>5754</v>
      </c>
      <c r="B464" t="s">
        <v>7139</v>
      </c>
      <c r="C464" t="s">
        <v>8042</v>
      </c>
    </row>
    <row r="465" spans="1:3" x14ac:dyDescent="0.25">
      <c r="A465" t="s">
        <v>6048</v>
      </c>
      <c r="B465" t="s">
        <v>7140</v>
      </c>
      <c r="C465" t="s">
        <v>8043</v>
      </c>
    </row>
    <row r="466" spans="1:3" x14ac:dyDescent="0.25">
      <c r="A466" t="s">
        <v>5755</v>
      </c>
      <c r="B466" t="s">
        <v>7141</v>
      </c>
      <c r="C466" t="s">
        <v>8044</v>
      </c>
    </row>
    <row r="467" spans="1:3" x14ac:dyDescent="0.25">
      <c r="A467" t="s">
        <v>5756</v>
      </c>
      <c r="B467" t="s">
        <v>7142</v>
      </c>
      <c r="C467" t="s">
        <v>8045</v>
      </c>
    </row>
    <row r="468" spans="1:3" x14ac:dyDescent="0.25">
      <c r="A468" t="s">
        <v>6049</v>
      </c>
      <c r="B468" t="s">
        <v>7143</v>
      </c>
      <c r="C468" t="s">
        <v>8046</v>
      </c>
    </row>
    <row r="469" spans="1:3" x14ac:dyDescent="0.25">
      <c r="A469" t="s">
        <v>5757</v>
      </c>
      <c r="B469" t="s">
        <v>7144</v>
      </c>
      <c r="C469" t="s">
        <v>8047</v>
      </c>
    </row>
    <row r="470" spans="1:3" x14ac:dyDescent="0.25">
      <c r="A470" t="s">
        <v>6050</v>
      </c>
      <c r="B470" t="s">
        <v>7145</v>
      </c>
      <c r="C470" t="s">
        <v>8048</v>
      </c>
    </row>
    <row r="471" spans="1:3" x14ac:dyDescent="0.25">
      <c r="A471" t="s">
        <v>5758</v>
      </c>
      <c r="B471" t="s">
        <v>7146</v>
      </c>
      <c r="C471" t="s">
        <v>8049</v>
      </c>
    </row>
    <row r="472" spans="1:3" x14ac:dyDescent="0.25">
      <c r="A472" t="s">
        <v>6051</v>
      </c>
      <c r="B472" t="s">
        <v>7147</v>
      </c>
      <c r="C472" t="s">
        <v>8050</v>
      </c>
    </row>
    <row r="473" spans="1:3" x14ac:dyDescent="0.25">
      <c r="A473" t="s">
        <v>5759</v>
      </c>
      <c r="B473" t="s">
        <v>7148</v>
      </c>
      <c r="C473" t="s">
        <v>8051</v>
      </c>
    </row>
    <row r="474" spans="1:3" x14ac:dyDescent="0.25">
      <c r="A474" t="s">
        <v>6052</v>
      </c>
      <c r="B474" t="s">
        <v>7149</v>
      </c>
      <c r="C474" t="s">
        <v>8052</v>
      </c>
    </row>
    <row r="475" spans="1:3" x14ac:dyDescent="0.25">
      <c r="A475" t="s">
        <v>6053</v>
      </c>
      <c r="B475" t="s">
        <v>7150</v>
      </c>
      <c r="C475" t="s">
        <v>8053</v>
      </c>
    </row>
    <row r="476" spans="1:3" x14ac:dyDescent="0.25">
      <c r="A476" t="s">
        <v>6054</v>
      </c>
      <c r="B476" t="s">
        <v>7151</v>
      </c>
      <c r="C476" t="s">
        <v>8054</v>
      </c>
    </row>
    <row r="477" spans="1:3" x14ac:dyDescent="0.25">
      <c r="A477" t="s">
        <v>5760</v>
      </c>
      <c r="B477" t="s">
        <v>7152</v>
      </c>
      <c r="C477" t="s">
        <v>8055</v>
      </c>
    </row>
    <row r="478" spans="1:3" x14ac:dyDescent="0.25">
      <c r="A478" t="s">
        <v>6055</v>
      </c>
      <c r="B478" t="s">
        <v>7153</v>
      </c>
      <c r="C478" t="s">
        <v>8056</v>
      </c>
    </row>
    <row r="479" spans="1:3" x14ac:dyDescent="0.25">
      <c r="A479" t="s">
        <v>5761</v>
      </c>
      <c r="B479" t="s">
        <v>7154</v>
      </c>
      <c r="C479" t="s">
        <v>8057</v>
      </c>
    </row>
    <row r="480" spans="1:3" x14ac:dyDescent="0.25">
      <c r="A480" t="s">
        <v>6056</v>
      </c>
      <c r="B480" t="s">
        <v>7155</v>
      </c>
      <c r="C480" t="s">
        <v>8058</v>
      </c>
    </row>
    <row r="481" spans="1:3" x14ac:dyDescent="0.25">
      <c r="A481" t="s">
        <v>5762</v>
      </c>
      <c r="B481" t="s">
        <v>7156</v>
      </c>
      <c r="C481" t="s">
        <v>8059</v>
      </c>
    </row>
    <row r="482" spans="1:3" x14ac:dyDescent="0.25">
      <c r="A482" t="s">
        <v>5763</v>
      </c>
      <c r="B482" t="s">
        <v>7157</v>
      </c>
      <c r="C482" t="s">
        <v>8060</v>
      </c>
    </row>
    <row r="483" spans="1:3" x14ac:dyDescent="0.25">
      <c r="A483" t="s">
        <v>6057</v>
      </c>
      <c r="B483" t="s">
        <v>7158</v>
      </c>
      <c r="C483" t="s">
        <v>8061</v>
      </c>
    </row>
    <row r="484" spans="1:3" x14ac:dyDescent="0.25">
      <c r="A484" t="s">
        <v>5764</v>
      </c>
      <c r="B484" t="s">
        <v>7159</v>
      </c>
      <c r="C484" t="s">
        <v>8062</v>
      </c>
    </row>
    <row r="485" spans="1:3" x14ac:dyDescent="0.25">
      <c r="A485" t="s">
        <v>6058</v>
      </c>
      <c r="B485" t="s">
        <v>7160</v>
      </c>
      <c r="C485" t="s">
        <v>8063</v>
      </c>
    </row>
    <row r="486" spans="1:3" x14ac:dyDescent="0.25">
      <c r="A486" t="s">
        <v>5765</v>
      </c>
      <c r="B486" t="s">
        <v>7161</v>
      </c>
      <c r="C486" t="s">
        <v>8064</v>
      </c>
    </row>
    <row r="487" spans="1:3" x14ac:dyDescent="0.25">
      <c r="A487" t="s">
        <v>6059</v>
      </c>
      <c r="B487" t="s">
        <v>7162</v>
      </c>
      <c r="C487" t="s">
        <v>8065</v>
      </c>
    </row>
    <row r="488" spans="1:3" x14ac:dyDescent="0.25">
      <c r="A488" t="s">
        <v>5766</v>
      </c>
      <c r="B488" t="s">
        <v>7163</v>
      </c>
      <c r="C488" t="s">
        <v>8066</v>
      </c>
    </row>
    <row r="489" spans="1:3" x14ac:dyDescent="0.25">
      <c r="A489" t="s">
        <v>6060</v>
      </c>
      <c r="B489" t="s">
        <v>7164</v>
      </c>
      <c r="C489" t="s">
        <v>8067</v>
      </c>
    </row>
    <row r="490" spans="1:3" x14ac:dyDescent="0.25">
      <c r="A490" t="s">
        <v>6061</v>
      </c>
      <c r="B490" t="s">
        <v>7165</v>
      </c>
      <c r="C490" t="s">
        <v>8068</v>
      </c>
    </row>
    <row r="491" spans="1:3" x14ac:dyDescent="0.25">
      <c r="A491" t="s">
        <v>6062</v>
      </c>
      <c r="B491" t="s">
        <v>7166</v>
      </c>
      <c r="C491" t="s">
        <v>8069</v>
      </c>
    </row>
    <row r="492" spans="1:3" x14ac:dyDescent="0.25">
      <c r="A492" t="s">
        <v>5767</v>
      </c>
      <c r="B492" t="s">
        <v>7167</v>
      </c>
      <c r="C492" t="s">
        <v>8070</v>
      </c>
    </row>
    <row r="493" spans="1:3" x14ac:dyDescent="0.25">
      <c r="A493" t="s">
        <v>6063</v>
      </c>
      <c r="B493" t="s">
        <v>7168</v>
      </c>
      <c r="C493" t="s">
        <v>8071</v>
      </c>
    </row>
    <row r="494" spans="1:3" x14ac:dyDescent="0.25">
      <c r="A494" t="s">
        <v>5768</v>
      </c>
      <c r="B494" t="s">
        <v>7169</v>
      </c>
      <c r="C494" t="s">
        <v>8072</v>
      </c>
    </row>
    <row r="495" spans="1:3" x14ac:dyDescent="0.25">
      <c r="A495" t="s">
        <v>6064</v>
      </c>
      <c r="B495" t="s">
        <v>7170</v>
      </c>
      <c r="C495" t="s">
        <v>8073</v>
      </c>
    </row>
    <row r="496" spans="1:3" x14ac:dyDescent="0.25">
      <c r="A496" t="s">
        <v>5769</v>
      </c>
      <c r="B496" t="s">
        <v>7171</v>
      </c>
      <c r="C496" t="s">
        <v>8074</v>
      </c>
    </row>
    <row r="497" spans="1:3" x14ac:dyDescent="0.25">
      <c r="A497" t="s">
        <v>5770</v>
      </c>
      <c r="B497" t="s">
        <v>7172</v>
      </c>
      <c r="C497" t="s">
        <v>8075</v>
      </c>
    </row>
    <row r="498" spans="1:3" x14ac:dyDescent="0.25">
      <c r="A498" t="s">
        <v>6065</v>
      </c>
      <c r="B498" t="s">
        <v>7173</v>
      </c>
      <c r="C498" t="s">
        <v>8076</v>
      </c>
    </row>
    <row r="499" spans="1:3" x14ac:dyDescent="0.25">
      <c r="A499" t="s">
        <v>5771</v>
      </c>
      <c r="B499" t="s">
        <v>7174</v>
      </c>
      <c r="C499" t="s">
        <v>8077</v>
      </c>
    </row>
    <row r="500" spans="1:3" x14ac:dyDescent="0.25">
      <c r="A500" t="s">
        <v>6066</v>
      </c>
      <c r="B500" t="s">
        <v>7175</v>
      </c>
      <c r="C500" t="s">
        <v>8078</v>
      </c>
    </row>
    <row r="501" spans="1:3" x14ac:dyDescent="0.25">
      <c r="A501" t="s">
        <v>5772</v>
      </c>
      <c r="B501" t="s">
        <v>7176</v>
      </c>
      <c r="C501" t="s">
        <v>8079</v>
      </c>
    </row>
    <row r="502" spans="1:3" x14ac:dyDescent="0.25">
      <c r="A502" t="s">
        <v>6067</v>
      </c>
      <c r="B502" t="s">
        <v>7177</v>
      </c>
      <c r="C502" t="s">
        <v>8080</v>
      </c>
    </row>
    <row r="503" spans="1:3" x14ac:dyDescent="0.25">
      <c r="A503" t="s">
        <v>5773</v>
      </c>
      <c r="B503" t="s">
        <v>7178</v>
      </c>
      <c r="C503" t="s">
        <v>8081</v>
      </c>
    </row>
    <row r="504" spans="1:3" x14ac:dyDescent="0.25">
      <c r="A504" t="s">
        <v>6068</v>
      </c>
      <c r="B504" t="s">
        <v>7179</v>
      </c>
      <c r="C504" t="s">
        <v>8082</v>
      </c>
    </row>
    <row r="505" spans="1:3" x14ac:dyDescent="0.25">
      <c r="A505" t="s">
        <v>6069</v>
      </c>
      <c r="B505" t="s">
        <v>7180</v>
      </c>
      <c r="C505" t="s">
        <v>8083</v>
      </c>
    </row>
    <row r="506" spans="1:3" x14ac:dyDescent="0.25">
      <c r="A506" t="s">
        <v>6070</v>
      </c>
      <c r="B506" t="s">
        <v>7181</v>
      </c>
      <c r="C506" t="s">
        <v>8084</v>
      </c>
    </row>
    <row r="507" spans="1:3" x14ac:dyDescent="0.25">
      <c r="A507" t="s">
        <v>5774</v>
      </c>
      <c r="B507" t="s">
        <v>7182</v>
      </c>
      <c r="C507" t="s">
        <v>8085</v>
      </c>
    </row>
    <row r="508" spans="1:3" x14ac:dyDescent="0.25">
      <c r="A508" t="s">
        <v>6071</v>
      </c>
      <c r="B508" t="s">
        <v>7183</v>
      </c>
      <c r="C508" t="s">
        <v>8086</v>
      </c>
    </row>
    <row r="509" spans="1:3" x14ac:dyDescent="0.25">
      <c r="A509" t="s">
        <v>5775</v>
      </c>
      <c r="B509" t="s">
        <v>7184</v>
      </c>
      <c r="C509" t="s">
        <v>8087</v>
      </c>
    </row>
    <row r="510" spans="1:3" x14ac:dyDescent="0.25">
      <c r="A510" t="s">
        <v>6072</v>
      </c>
      <c r="B510" t="s">
        <v>7185</v>
      </c>
      <c r="C510" t="s">
        <v>8088</v>
      </c>
    </row>
    <row r="511" spans="1:3" x14ac:dyDescent="0.25">
      <c r="A511" t="s">
        <v>5776</v>
      </c>
      <c r="B511" t="s">
        <v>7186</v>
      </c>
      <c r="C511" t="s">
        <v>8089</v>
      </c>
    </row>
    <row r="512" spans="1:3" x14ac:dyDescent="0.25">
      <c r="A512" t="s">
        <v>5777</v>
      </c>
      <c r="B512" t="s">
        <v>7187</v>
      </c>
      <c r="C512" t="s">
        <v>8090</v>
      </c>
    </row>
    <row r="513" spans="1:3" x14ac:dyDescent="0.25">
      <c r="A513" t="s">
        <v>6073</v>
      </c>
      <c r="B513" t="s">
        <v>7188</v>
      </c>
      <c r="C513" t="s">
        <v>8091</v>
      </c>
    </row>
    <row r="514" spans="1:3" x14ac:dyDescent="0.25">
      <c r="A514" t="s">
        <v>5778</v>
      </c>
      <c r="B514" t="s">
        <v>7189</v>
      </c>
      <c r="C514" t="s">
        <v>8092</v>
      </c>
    </row>
    <row r="515" spans="1:3" x14ac:dyDescent="0.25">
      <c r="A515" t="s">
        <v>6074</v>
      </c>
      <c r="B515" t="s">
        <v>7190</v>
      </c>
      <c r="C515" t="s">
        <v>8093</v>
      </c>
    </row>
    <row r="516" spans="1:3" x14ac:dyDescent="0.25">
      <c r="A516" t="s">
        <v>5779</v>
      </c>
      <c r="B516" t="s">
        <v>7191</v>
      </c>
      <c r="C516" t="s">
        <v>8094</v>
      </c>
    </row>
    <row r="517" spans="1:3" x14ac:dyDescent="0.25">
      <c r="A517" t="s">
        <v>6075</v>
      </c>
      <c r="B517" t="s">
        <v>7192</v>
      </c>
      <c r="C517" t="s">
        <v>8095</v>
      </c>
    </row>
    <row r="518" spans="1:3" x14ac:dyDescent="0.25">
      <c r="A518" t="s">
        <v>5780</v>
      </c>
      <c r="B518" t="s">
        <v>7193</v>
      </c>
      <c r="C518" t="s">
        <v>8096</v>
      </c>
    </row>
    <row r="519" spans="1:3" x14ac:dyDescent="0.25">
      <c r="A519" t="s">
        <v>6076</v>
      </c>
      <c r="B519" t="s">
        <v>7194</v>
      </c>
      <c r="C519" t="s">
        <v>8097</v>
      </c>
    </row>
    <row r="520" spans="1:3" x14ac:dyDescent="0.25">
      <c r="A520" t="s">
        <v>6077</v>
      </c>
      <c r="B520" t="s">
        <v>7195</v>
      </c>
      <c r="C520" t="s">
        <v>8098</v>
      </c>
    </row>
    <row r="521" spans="1:3" x14ac:dyDescent="0.25">
      <c r="A521" t="s">
        <v>6078</v>
      </c>
      <c r="B521" t="s">
        <v>7196</v>
      </c>
      <c r="C521" t="s">
        <v>8099</v>
      </c>
    </row>
    <row r="522" spans="1:3" x14ac:dyDescent="0.25">
      <c r="A522" t="s">
        <v>5781</v>
      </c>
      <c r="B522" t="s">
        <v>7197</v>
      </c>
      <c r="C522" t="s">
        <v>8100</v>
      </c>
    </row>
    <row r="523" spans="1:3" x14ac:dyDescent="0.25">
      <c r="A523" t="s">
        <v>6079</v>
      </c>
      <c r="B523" t="s">
        <v>7198</v>
      </c>
      <c r="C523" t="s">
        <v>8101</v>
      </c>
    </row>
    <row r="524" spans="1:3" x14ac:dyDescent="0.25">
      <c r="A524" t="s">
        <v>5782</v>
      </c>
      <c r="B524" t="s">
        <v>7199</v>
      </c>
      <c r="C524" t="s">
        <v>8102</v>
      </c>
    </row>
    <row r="525" spans="1:3" x14ac:dyDescent="0.25">
      <c r="A525" t="s">
        <v>6080</v>
      </c>
      <c r="B525" t="s">
        <v>7200</v>
      </c>
      <c r="C525" t="s">
        <v>8103</v>
      </c>
    </row>
    <row r="526" spans="1:3" x14ac:dyDescent="0.25">
      <c r="A526" t="s">
        <v>5783</v>
      </c>
      <c r="B526" t="s">
        <v>7201</v>
      </c>
      <c r="C526" t="s">
        <v>8104</v>
      </c>
    </row>
    <row r="527" spans="1:3" x14ac:dyDescent="0.25">
      <c r="A527" t="s">
        <v>5784</v>
      </c>
      <c r="B527" t="s">
        <v>7202</v>
      </c>
    </row>
    <row r="528" spans="1:3" x14ac:dyDescent="0.25">
      <c r="A528" t="s">
        <v>6201</v>
      </c>
      <c r="B528" t="s">
        <v>7203</v>
      </c>
    </row>
    <row r="529" spans="1:2" x14ac:dyDescent="0.25">
      <c r="A529" t="s">
        <v>5785</v>
      </c>
      <c r="B529" t="s">
        <v>7204</v>
      </c>
    </row>
    <row r="530" spans="1:2" x14ac:dyDescent="0.25">
      <c r="A530" t="s">
        <v>6202</v>
      </c>
      <c r="B530" t="s">
        <v>7205</v>
      </c>
    </row>
    <row r="531" spans="1:2" x14ac:dyDescent="0.25">
      <c r="A531" t="s">
        <v>5786</v>
      </c>
      <c r="B531" t="s">
        <v>7206</v>
      </c>
    </row>
    <row r="532" spans="1:2" x14ac:dyDescent="0.25">
      <c r="A532" t="s">
        <v>6203</v>
      </c>
      <c r="B532" t="s">
        <v>7207</v>
      </c>
    </row>
    <row r="533" spans="1:2" x14ac:dyDescent="0.25">
      <c r="A533" t="s">
        <v>5787</v>
      </c>
      <c r="B533" t="s">
        <v>7208</v>
      </c>
    </row>
    <row r="534" spans="1:2" x14ac:dyDescent="0.25">
      <c r="A534" t="s">
        <v>6204</v>
      </c>
      <c r="B534" t="s">
        <v>7209</v>
      </c>
    </row>
    <row r="535" spans="1:2" x14ac:dyDescent="0.25">
      <c r="A535" t="s">
        <v>6205</v>
      </c>
      <c r="B535" t="s">
        <v>7210</v>
      </c>
    </row>
    <row r="536" spans="1:2" x14ac:dyDescent="0.25">
      <c r="A536" t="s">
        <v>6206</v>
      </c>
      <c r="B536" t="s">
        <v>7211</v>
      </c>
    </row>
    <row r="537" spans="1:2" x14ac:dyDescent="0.25">
      <c r="A537" t="s">
        <v>5788</v>
      </c>
      <c r="B537" t="s">
        <v>7212</v>
      </c>
    </row>
    <row r="538" spans="1:2" x14ac:dyDescent="0.25">
      <c r="A538" t="s">
        <v>6207</v>
      </c>
      <c r="B538" t="s">
        <v>7213</v>
      </c>
    </row>
    <row r="539" spans="1:2" x14ac:dyDescent="0.25">
      <c r="A539" t="s">
        <v>5789</v>
      </c>
      <c r="B539" t="s">
        <v>7214</v>
      </c>
    </row>
    <row r="540" spans="1:2" x14ac:dyDescent="0.25">
      <c r="A540" t="s">
        <v>6208</v>
      </c>
      <c r="B540" t="s">
        <v>7215</v>
      </c>
    </row>
    <row r="541" spans="1:2" x14ac:dyDescent="0.25">
      <c r="A541" t="s">
        <v>5790</v>
      </c>
      <c r="B541" t="s">
        <v>7216</v>
      </c>
    </row>
    <row r="542" spans="1:2" x14ac:dyDescent="0.25">
      <c r="A542" t="s">
        <v>5791</v>
      </c>
      <c r="B542" t="s">
        <v>7217</v>
      </c>
    </row>
    <row r="543" spans="1:2" x14ac:dyDescent="0.25">
      <c r="A543" t="s">
        <v>6209</v>
      </c>
      <c r="B543" t="s">
        <v>7218</v>
      </c>
    </row>
    <row r="544" spans="1:2" x14ac:dyDescent="0.25">
      <c r="A544" t="s">
        <v>5792</v>
      </c>
      <c r="B544" t="s">
        <v>7219</v>
      </c>
    </row>
    <row r="545" spans="1:2" x14ac:dyDescent="0.25">
      <c r="A545" t="s">
        <v>6210</v>
      </c>
      <c r="B545" t="s">
        <v>7220</v>
      </c>
    </row>
    <row r="546" spans="1:2" x14ac:dyDescent="0.25">
      <c r="A546" t="s">
        <v>5793</v>
      </c>
      <c r="B546" t="s">
        <v>7221</v>
      </c>
    </row>
    <row r="547" spans="1:2" x14ac:dyDescent="0.25">
      <c r="A547" t="s">
        <v>6211</v>
      </c>
      <c r="B547" t="s">
        <v>7222</v>
      </c>
    </row>
    <row r="548" spans="1:2" x14ac:dyDescent="0.25">
      <c r="A548" t="s">
        <v>5794</v>
      </c>
      <c r="B548" t="s">
        <v>7223</v>
      </c>
    </row>
    <row r="549" spans="1:2" x14ac:dyDescent="0.25">
      <c r="A549" t="s">
        <v>6212</v>
      </c>
      <c r="B549" t="s">
        <v>7224</v>
      </c>
    </row>
    <row r="550" spans="1:2" x14ac:dyDescent="0.25">
      <c r="A550" t="s">
        <v>6213</v>
      </c>
      <c r="B550" t="s">
        <v>7225</v>
      </c>
    </row>
    <row r="551" spans="1:2" x14ac:dyDescent="0.25">
      <c r="A551" t="s">
        <v>6214</v>
      </c>
      <c r="B551" t="s">
        <v>7226</v>
      </c>
    </row>
    <row r="552" spans="1:2" x14ac:dyDescent="0.25">
      <c r="A552" t="s">
        <v>5795</v>
      </c>
      <c r="B552" t="s">
        <v>7227</v>
      </c>
    </row>
    <row r="553" spans="1:2" x14ac:dyDescent="0.25">
      <c r="A553" t="s">
        <v>6215</v>
      </c>
      <c r="B553" t="s">
        <v>7228</v>
      </c>
    </row>
    <row r="554" spans="1:2" x14ac:dyDescent="0.25">
      <c r="A554" t="s">
        <v>5796</v>
      </c>
      <c r="B554" t="s">
        <v>7229</v>
      </c>
    </row>
    <row r="555" spans="1:2" x14ac:dyDescent="0.25">
      <c r="A555" t="s">
        <v>6216</v>
      </c>
      <c r="B555" t="s">
        <v>7230</v>
      </c>
    </row>
    <row r="556" spans="1:2" x14ac:dyDescent="0.25">
      <c r="A556" t="s">
        <v>5797</v>
      </c>
      <c r="B556" t="s">
        <v>7231</v>
      </c>
    </row>
    <row r="557" spans="1:2" x14ac:dyDescent="0.25">
      <c r="A557" t="s">
        <v>5798</v>
      </c>
      <c r="B557" t="s">
        <v>7232</v>
      </c>
    </row>
    <row r="558" spans="1:2" x14ac:dyDescent="0.25">
      <c r="A558" t="s">
        <v>6217</v>
      </c>
      <c r="B558" t="s">
        <v>7233</v>
      </c>
    </row>
    <row r="559" spans="1:2" x14ac:dyDescent="0.25">
      <c r="A559" t="s">
        <v>5799</v>
      </c>
      <c r="B559" t="s">
        <v>7234</v>
      </c>
    </row>
    <row r="560" spans="1:2" x14ac:dyDescent="0.25">
      <c r="A560" t="s">
        <v>6218</v>
      </c>
      <c r="B560" t="s">
        <v>7235</v>
      </c>
    </row>
    <row r="561" spans="1:2" x14ac:dyDescent="0.25">
      <c r="A561" t="s">
        <v>5800</v>
      </c>
      <c r="B561" t="s">
        <v>7236</v>
      </c>
    </row>
    <row r="562" spans="1:2" x14ac:dyDescent="0.25">
      <c r="A562" t="s">
        <v>6219</v>
      </c>
      <c r="B562" t="s">
        <v>7237</v>
      </c>
    </row>
    <row r="563" spans="1:2" x14ac:dyDescent="0.25">
      <c r="A563" t="s">
        <v>5801</v>
      </c>
      <c r="B563" t="s">
        <v>7238</v>
      </c>
    </row>
    <row r="564" spans="1:2" x14ac:dyDescent="0.25">
      <c r="A564" t="s">
        <v>6220</v>
      </c>
      <c r="B564" t="s">
        <v>7239</v>
      </c>
    </row>
    <row r="565" spans="1:2" x14ac:dyDescent="0.25">
      <c r="A565" t="s">
        <v>6221</v>
      </c>
      <c r="B565" t="s">
        <v>7240</v>
      </c>
    </row>
    <row r="566" spans="1:2" x14ac:dyDescent="0.25">
      <c r="A566" t="s">
        <v>6222</v>
      </c>
      <c r="B566" t="s">
        <v>7241</v>
      </c>
    </row>
    <row r="567" spans="1:2" x14ac:dyDescent="0.25">
      <c r="A567" t="s">
        <v>5802</v>
      </c>
      <c r="B567" t="s">
        <v>7242</v>
      </c>
    </row>
    <row r="568" spans="1:2" x14ac:dyDescent="0.25">
      <c r="A568" t="s">
        <v>6223</v>
      </c>
      <c r="B568" t="s">
        <v>7243</v>
      </c>
    </row>
    <row r="569" spans="1:2" x14ac:dyDescent="0.25">
      <c r="A569" t="s">
        <v>5803</v>
      </c>
      <c r="B569" t="s">
        <v>7244</v>
      </c>
    </row>
    <row r="570" spans="1:2" x14ac:dyDescent="0.25">
      <c r="A570" t="s">
        <v>6224</v>
      </c>
      <c r="B570" t="s">
        <v>7245</v>
      </c>
    </row>
    <row r="571" spans="1:2" x14ac:dyDescent="0.25">
      <c r="A571" t="s">
        <v>5804</v>
      </c>
      <c r="B571" t="s">
        <v>7246</v>
      </c>
    </row>
    <row r="572" spans="1:2" x14ac:dyDescent="0.25">
      <c r="A572" t="s">
        <v>5805</v>
      </c>
      <c r="B572" t="s">
        <v>7247</v>
      </c>
    </row>
    <row r="573" spans="1:2" x14ac:dyDescent="0.25">
      <c r="A573" t="s">
        <v>6225</v>
      </c>
      <c r="B573" t="s">
        <v>7248</v>
      </c>
    </row>
    <row r="574" spans="1:2" x14ac:dyDescent="0.25">
      <c r="A574" t="s">
        <v>5806</v>
      </c>
      <c r="B574" t="s">
        <v>7249</v>
      </c>
    </row>
    <row r="575" spans="1:2" x14ac:dyDescent="0.25">
      <c r="A575" t="s">
        <v>6226</v>
      </c>
      <c r="B575" t="s">
        <v>7250</v>
      </c>
    </row>
    <row r="576" spans="1:2" x14ac:dyDescent="0.25">
      <c r="A576" t="s">
        <v>5807</v>
      </c>
      <c r="B576" t="s">
        <v>7251</v>
      </c>
    </row>
    <row r="577" spans="1:2" x14ac:dyDescent="0.25">
      <c r="A577" t="s">
        <v>6227</v>
      </c>
      <c r="B577" t="s">
        <v>7252</v>
      </c>
    </row>
    <row r="578" spans="1:2" x14ac:dyDescent="0.25">
      <c r="A578" t="s">
        <v>5808</v>
      </c>
      <c r="B578" t="s">
        <v>7253</v>
      </c>
    </row>
    <row r="579" spans="1:2" x14ac:dyDescent="0.25">
      <c r="A579" t="s">
        <v>6228</v>
      </c>
      <c r="B579" t="s">
        <v>7254</v>
      </c>
    </row>
    <row r="580" spans="1:2" x14ac:dyDescent="0.25">
      <c r="A580" t="s">
        <v>6229</v>
      </c>
      <c r="B580" t="s">
        <v>7255</v>
      </c>
    </row>
    <row r="581" spans="1:2" x14ac:dyDescent="0.25">
      <c r="A581" t="s">
        <v>6230</v>
      </c>
      <c r="B581" t="s">
        <v>7256</v>
      </c>
    </row>
    <row r="582" spans="1:2" x14ac:dyDescent="0.25">
      <c r="A582" t="s">
        <v>5809</v>
      </c>
      <c r="B582" t="s">
        <v>7257</v>
      </c>
    </row>
    <row r="583" spans="1:2" x14ac:dyDescent="0.25">
      <c r="A583" t="s">
        <v>6231</v>
      </c>
      <c r="B583" t="s">
        <v>7258</v>
      </c>
    </row>
    <row r="584" spans="1:2" x14ac:dyDescent="0.25">
      <c r="A584" t="s">
        <v>5810</v>
      </c>
      <c r="B584" t="s">
        <v>7259</v>
      </c>
    </row>
    <row r="585" spans="1:2" x14ac:dyDescent="0.25">
      <c r="A585" t="s">
        <v>6232</v>
      </c>
      <c r="B585" t="s">
        <v>7260</v>
      </c>
    </row>
    <row r="586" spans="1:2" x14ac:dyDescent="0.25">
      <c r="A586" t="s">
        <v>5811</v>
      </c>
      <c r="B586" t="s">
        <v>7261</v>
      </c>
    </row>
    <row r="587" spans="1:2" x14ac:dyDescent="0.25">
      <c r="A587" t="s">
        <v>5812</v>
      </c>
      <c r="B587" t="s">
        <v>7262</v>
      </c>
    </row>
    <row r="588" spans="1:2" x14ac:dyDescent="0.25">
      <c r="A588" t="s">
        <v>6233</v>
      </c>
      <c r="B588" t="s">
        <v>7263</v>
      </c>
    </row>
    <row r="589" spans="1:2" x14ac:dyDescent="0.25">
      <c r="A589" t="s">
        <v>5813</v>
      </c>
      <c r="B589" t="s">
        <v>7264</v>
      </c>
    </row>
    <row r="590" spans="1:2" x14ac:dyDescent="0.25">
      <c r="A590" t="s">
        <v>6234</v>
      </c>
      <c r="B590" t="s">
        <v>7265</v>
      </c>
    </row>
    <row r="591" spans="1:2" x14ac:dyDescent="0.25">
      <c r="A591" t="s">
        <v>5814</v>
      </c>
      <c r="B591" t="s">
        <v>7266</v>
      </c>
    </row>
    <row r="592" spans="1:2" x14ac:dyDescent="0.25">
      <c r="A592" t="s">
        <v>6235</v>
      </c>
      <c r="B592" t="s">
        <v>7267</v>
      </c>
    </row>
    <row r="593" spans="1:2" x14ac:dyDescent="0.25">
      <c r="A593" t="s">
        <v>5815</v>
      </c>
      <c r="B593" t="s">
        <v>7268</v>
      </c>
    </row>
    <row r="594" spans="1:2" x14ac:dyDescent="0.25">
      <c r="A594" t="s">
        <v>6236</v>
      </c>
      <c r="B594" t="s">
        <v>7269</v>
      </c>
    </row>
    <row r="595" spans="1:2" x14ac:dyDescent="0.25">
      <c r="A595" t="s">
        <v>6237</v>
      </c>
      <c r="B595" t="s">
        <v>7270</v>
      </c>
    </row>
    <row r="596" spans="1:2" x14ac:dyDescent="0.25">
      <c r="A596" t="s">
        <v>6238</v>
      </c>
      <c r="B596" t="s">
        <v>7271</v>
      </c>
    </row>
    <row r="597" spans="1:2" x14ac:dyDescent="0.25">
      <c r="A597" t="s">
        <v>5816</v>
      </c>
      <c r="B597" t="s">
        <v>7272</v>
      </c>
    </row>
    <row r="598" spans="1:2" x14ac:dyDescent="0.25">
      <c r="A598" t="s">
        <v>6239</v>
      </c>
      <c r="B598" t="s">
        <v>7273</v>
      </c>
    </row>
    <row r="599" spans="1:2" x14ac:dyDescent="0.25">
      <c r="A599" t="s">
        <v>5817</v>
      </c>
      <c r="B599" t="s">
        <v>7274</v>
      </c>
    </row>
    <row r="600" spans="1:2" x14ac:dyDescent="0.25">
      <c r="A600" t="s">
        <v>6240</v>
      </c>
      <c r="B600" t="s">
        <v>7275</v>
      </c>
    </row>
    <row r="601" spans="1:2" x14ac:dyDescent="0.25">
      <c r="A601" t="s">
        <v>5818</v>
      </c>
      <c r="B601" t="s">
        <v>7276</v>
      </c>
    </row>
    <row r="602" spans="1:2" x14ac:dyDescent="0.25">
      <c r="A602" t="s">
        <v>5819</v>
      </c>
      <c r="B602" t="s">
        <v>7277</v>
      </c>
    </row>
    <row r="603" spans="1:2" x14ac:dyDescent="0.25">
      <c r="A603" t="s">
        <v>6361</v>
      </c>
      <c r="B603" t="s">
        <v>7278</v>
      </c>
    </row>
    <row r="604" spans="1:2" x14ac:dyDescent="0.25">
      <c r="A604" t="s">
        <v>5820</v>
      </c>
      <c r="B604" t="s">
        <v>7279</v>
      </c>
    </row>
    <row r="605" spans="1:2" x14ac:dyDescent="0.25">
      <c r="A605" t="s">
        <v>6362</v>
      </c>
      <c r="B605" t="s">
        <v>7280</v>
      </c>
    </row>
    <row r="606" spans="1:2" x14ac:dyDescent="0.25">
      <c r="A606" t="s">
        <v>5821</v>
      </c>
      <c r="B606" t="s">
        <v>7281</v>
      </c>
    </row>
    <row r="607" spans="1:2" x14ac:dyDescent="0.25">
      <c r="A607" t="s">
        <v>6363</v>
      </c>
      <c r="B607" t="s">
        <v>7282</v>
      </c>
    </row>
    <row r="608" spans="1:2" x14ac:dyDescent="0.25">
      <c r="A608" t="s">
        <v>5822</v>
      </c>
      <c r="B608" t="s">
        <v>7283</v>
      </c>
    </row>
    <row r="609" spans="1:2" x14ac:dyDescent="0.25">
      <c r="A609" t="s">
        <v>6364</v>
      </c>
      <c r="B609" t="s">
        <v>7284</v>
      </c>
    </row>
    <row r="610" spans="1:2" x14ac:dyDescent="0.25">
      <c r="A610" t="s">
        <v>6365</v>
      </c>
      <c r="B610" t="s">
        <v>7285</v>
      </c>
    </row>
    <row r="611" spans="1:2" x14ac:dyDescent="0.25">
      <c r="A611" t="s">
        <v>6366</v>
      </c>
      <c r="B611" t="s">
        <v>7286</v>
      </c>
    </row>
    <row r="612" spans="1:2" x14ac:dyDescent="0.25">
      <c r="A612" t="s">
        <v>5823</v>
      </c>
      <c r="B612" t="s">
        <v>7287</v>
      </c>
    </row>
    <row r="613" spans="1:2" x14ac:dyDescent="0.25">
      <c r="A613" t="s">
        <v>6367</v>
      </c>
      <c r="B613" t="s">
        <v>7288</v>
      </c>
    </row>
    <row r="614" spans="1:2" x14ac:dyDescent="0.25">
      <c r="A614" t="s">
        <v>5824</v>
      </c>
      <c r="B614" t="s">
        <v>7289</v>
      </c>
    </row>
    <row r="615" spans="1:2" x14ac:dyDescent="0.25">
      <c r="A615" t="s">
        <v>6368</v>
      </c>
      <c r="B615" t="s">
        <v>7290</v>
      </c>
    </row>
    <row r="616" spans="1:2" x14ac:dyDescent="0.25">
      <c r="A616" t="s">
        <v>5825</v>
      </c>
      <c r="B616" t="s">
        <v>7291</v>
      </c>
    </row>
    <row r="617" spans="1:2" x14ac:dyDescent="0.25">
      <c r="A617" t="s">
        <v>5826</v>
      </c>
      <c r="B617" t="s">
        <v>7292</v>
      </c>
    </row>
    <row r="618" spans="1:2" x14ac:dyDescent="0.25">
      <c r="A618" t="s">
        <v>6369</v>
      </c>
      <c r="B618" t="s">
        <v>7293</v>
      </c>
    </row>
    <row r="619" spans="1:2" x14ac:dyDescent="0.25">
      <c r="A619" t="s">
        <v>5827</v>
      </c>
      <c r="B619" t="s">
        <v>7294</v>
      </c>
    </row>
    <row r="620" spans="1:2" x14ac:dyDescent="0.25">
      <c r="A620" t="s">
        <v>6370</v>
      </c>
      <c r="B620" t="s">
        <v>7295</v>
      </c>
    </row>
    <row r="621" spans="1:2" x14ac:dyDescent="0.25">
      <c r="A621" t="s">
        <v>5828</v>
      </c>
      <c r="B621" t="s">
        <v>7296</v>
      </c>
    </row>
    <row r="622" spans="1:2" x14ac:dyDescent="0.25">
      <c r="A622" t="s">
        <v>6371</v>
      </c>
      <c r="B622" t="s">
        <v>7297</v>
      </c>
    </row>
    <row r="623" spans="1:2" x14ac:dyDescent="0.25">
      <c r="A623" t="s">
        <v>5829</v>
      </c>
      <c r="B623" t="s">
        <v>7298</v>
      </c>
    </row>
    <row r="624" spans="1:2" x14ac:dyDescent="0.25">
      <c r="A624" t="s">
        <v>6372</v>
      </c>
      <c r="B624" t="s">
        <v>7299</v>
      </c>
    </row>
    <row r="625" spans="1:2" x14ac:dyDescent="0.25">
      <c r="A625" t="s">
        <v>6373</v>
      </c>
      <c r="B625" t="s">
        <v>7300</v>
      </c>
    </row>
    <row r="626" spans="1:2" x14ac:dyDescent="0.25">
      <c r="A626" t="s">
        <v>6374</v>
      </c>
      <c r="B626" t="s">
        <v>7301</v>
      </c>
    </row>
    <row r="627" spans="1:2" x14ac:dyDescent="0.25">
      <c r="A627" t="s">
        <v>5830</v>
      </c>
      <c r="B627" t="s">
        <v>7302</v>
      </c>
    </row>
    <row r="628" spans="1:2" x14ac:dyDescent="0.25">
      <c r="A628" t="s">
        <v>6375</v>
      </c>
      <c r="B628" t="s">
        <v>7303</v>
      </c>
    </row>
    <row r="629" spans="1:2" x14ac:dyDescent="0.25">
      <c r="A629" t="s">
        <v>5831</v>
      </c>
      <c r="B629" t="s">
        <v>7304</v>
      </c>
    </row>
    <row r="630" spans="1:2" x14ac:dyDescent="0.25">
      <c r="A630" t="s">
        <v>6376</v>
      </c>
      <c r="B630" t="s">
        <v>7305</v>
      </c>
    </row>
    <row r="631" spans="1:2" x14ac:dyDescent="0.25">
      <c r="A631" t="s">
        <v>5832</v>
      </c>
      <c r="B631" t="s">
        <v>7306</v>
      </c>
    </row>
    <row r="632" spans="1:2" x14ac:dyDescent="0.25">
      <c r="A632" t="s">
        <v>5833</v>
      </c>
      <c r="B632" t="s">
        <v>7307</v>
      </c>
    </row>
    <row r="633" spans="1:2" x14ac:dyDescent="0.25">
      <c r="A633" t="s">
        <v>6377</v>
      </c>
      <c r="B633" t="s">
        <v>7308</v>
      </c>
    </row>
    <row r="634" spans="1:2" x14ac:dyDescent="0.25">
      <c r="A634" t="s">
        <v>5834</v>
      </c>
      <c r="B634" t="s">
        <v>7309</v>
      </c>
    </row>
    <row r="635" spans="1:2" x14ac:dyDescent="0.25">
      <c r="A635" t="s">
        <v>6378</v>
      </c>
      <c r="B635" t="s">
        <v>7310</v>
      </c>
    </row>
    <row r="636" spans="1:2" x14ac:dyDescent="0.25">
      <c r="A636" t="s">
        <v>5835</v>
      </c>
      <c r="B636" t="s">
        <v>7311</v>
      </c>
    </row>
    <row r="637" spans="1:2" x14ac:dyDescent="0.25">
      <c r="A637" t="s">
        <v>6379</v>
      </c>
      <c r="B637" t="s">
        <v>7312</v>
      </c>
    </row>
    <row r="638" spans="1:2" x14ac:dyDescent="0.25">
      <c r="A638" t="s">
        <v>5836</v>
      </c>
      <c r="B638" t="s">
        <v>7313</v>
      </c>
    </row>
    <row r="639" spans="1:2" x14ac:dyDescent="0.25">
      <c r="A639" t="s">
        <v>6380</v>
      </c>
      <c r="B639" t="s">
        <v>7314</v>
      </c>
    </row>
    <row r="640" spans="1:2" x14ac:dyDescent="0.25">
      <c r="A640" t="s">
        <v>6381</v>
      </c>
      <c r="B640" t="s">
        <v>7315</v>
      </c>
    </row>
    <row r="641" spans="1:2" x14ac:dyDescent="0.25">
      <c r="A641" t="s">
        <v>6382</v>
      </c>
      <c r="B641" t="s">
        <v>7316</v>
      </c>
    </row>
    <row r="642" spans="1:2" x14ac:dyDescent="0.25">
      <c r="A642" t="s">
        <v>5837</v>
      </c>
      <c r="B642" t="s">
        <v>7317</v>
      </c>
    </row>
    <row r="643" spans="1:2" x14ac:dyDescent="0.25">
      <c r="A643" t="s">
        <v>6383</v>
      </c>
      <c r="B643" t="s">
        <v>7318</v>
      </c>
    </row>
    <row r="644" spans="1:2" x14ac:dyDescent="0.25">
      <c r="A644" t="s">
        <v>5838</v>
      </c>
      <c r="B644" t="s">
        <v>7319</v>
      </c>
    </row>
    <row r="645" spans="1:2" x14ac:dyDescent="0.25">
      <c r="A645" t="s">
        <v>6384</v>
      </c>
      <c r="B645" t="s">
        <v>7320</v>
      </c>
    </row>
    <row r="646" spans="1:2" x14ac:dyDescent="0.25">
      <c r="A646" t="s">
        <v>5839</v>
      </c>
      <c r="B646" t="s">
        <v>7321</v>
      </c>
    </row>
    <row r="647" spans="1:2" x14ac:dyDescent="0.25">
      <c r="A647" t="s">
        <v>5840</v>
      </c>
      <c r="B647" t="s">
        <v>7322</v>
      </c>
    </row>
    <row r="648" spans="1:2" x14ac:dyDescent="0.25">
      <c r="A648" t="s">
        <v>6385</v>
      </c>
      <c r="B648" t="s">
        <v>7323</v>
      </c>
    </row>
    <row r="649" spans="1:2" x14ac:dyDescent="0.25">
      <c r="A649" t="s">
        <v>5841</v>
      </c>
      <c r="B649" t="s">
        <v>7324</v>
      </c>
    </row>
    <row r="650" spans="1:2" x14ac:dyDescent="0.25">
      <c r="A650" t="s">
        <v>6386</v>
      </c>
      <c r="B650" t="s">
        <v>7325</v>
      </c>
    </row>
    <row r="651" spans="1:2" x14ac:dyDescent="0.25">
      <c r="A651" t="s">
        <v>5842</v>
      </c>
      <c r="B651" t="s">
        <v>7326</v>
      </c>
    </row>
    <row r="652" spans="1:2" x14ac:dyDescent="0.25">
      <c r="A652" t="s">
        <v>6387</v>
      </c>
      <c r="B652" t="s">
        <v>7327</v>
      </c>
    </row>
    <row r="653" spans="1:2" x14ac:dyDescent="0.25">
      <c r="A653" t="s">
        <v>5843</v>
      </c>
      <c r="B653" t="s">
        <v>7328</v>
      </c>
    </row>
    <row r="654" spans="1:2" x14ac:dyDescent="0.25">
      <c r="A654" t="s">
        <v>6388</v>
      </c>
      <c r="B654" t="s">
        <v>7329</v>
      </c>
    </row>
    <row r="655" spans="1:2" x14ac:dyDescent="0.25">
      <c r="A655" t="s">
        <v>6389</v>
      </c>
      <c r="B655" t="s">
        <v>7330</v>
      </c>
    </row>
    <row r="656" spans="1:2" x14ac:dyDescent="0.25">
      <c r="A656" t="s">
        <v>6390</v>
      </c>
      <c r="B656" t="s">
        <v>7331</v>
      </c>
    </row>
    <row r="657" spans="1:2" x14ac:dyDescent="0.25">
      <c r="A657" t="s">
        <v>5844</v>
      </c>
      <c r="B657" t="s">
        <v>7332</v>
      </c>
    </row>
    <row r="658" spans="1:2" x14ac:dyDescent="0.25">
      <c r="A658" t="s">
        <v>6391</v>
      </c>
      <c r="B658" t="s">
        <v>7333</v>
      </c>
    </row>
    <row r="659" spans="1:2" x14ac:dyDescent="0.25">
      <c r="A659" t="s">
        <v>5845</v>
      </c>
      <c r="B659" t="s">
        <v>7334</v>
      </c>
    </row>
    <row r="660" spans="1:2" x14ac:dyDescent="0.25">
      <c r="A660" t="s">
        <v>6392</v>
      </c>
      <c r="B660" t="s">
        <v>7335</v>
      </c>
    </row>
    <row r="661" spans="1:2" x14ac:dyDescent="0.25">
      <c r="A661" t="s">
        <v>5846</v>
      </c>
      <c r="B661" t="s">
        <v>7336</v>
      </c>
    </row>
    <row r="662" spans="1:2" x14ac:dyDescent="0.25">
      <c r="A662" t="s">
        <v>5847</v>
      </c>
      <c r="B662" t="s">
        <v>7337</v>
      </c>
    </row>
    <row r="663" spans="1:2" x14ac:dyDescent="0.25">
      <c r="A663" t="s">
        <v>6393</v>
      </c>
      <c r="B663" t="s">
        <v>7338</v>
      </c>
    </row>
    <row r="664" spans="1:2" x14ac:dyDescent="0.25">
      <c r="A664" t="s">
        <v>5848</v>
      </c>
      <c r="B664" t="s">
        <v>7339</v>
      </c>
    </row>
    <row r="665" spans="1:2" x14ac:dyDescent="0.25">
      <c r="A665" t="s">
        <v>6394</v>
      </c>
      <c r="B665" t="s">
        <v>7340</v>
      </c>
    </row>
    <row r="666" spans="1:2" x14ac:dyDescent="0.25">
      <c r="A666" t="s">
        <v>5849</v>
      </c>
      <c r="B666" t="s">
        <v>7341</v>
      </c>
    </row>
    <row r="667" spans="1:2" x14ac:dyDescent="0.25">
      <c r="A667" t="s">
        <v>6395</v>
      </c>
      <c r="B667" t="s">
        <v>7342</v>
      </c>
    </row>
    <row r="668" spans="1:2" x14ac:dyDescent="0.25">
      <c r="A668" t="s">
        <v>5850</v>
      </c>
      <c r="B668" t="s">
        <v>7343</v>
      </c>
    </row>
    <row r="669" spans="1:2" x14ac:dyDescent="0.25">
      <c r="A669" t="s">
        <v>6396</v>
      </c>
      <c r="B669" t="s">
        <v>7344</v>
      </c>
    </row>
    <row r="670" spans="1:2" x14ac:dyDescent="0.25">
      <c r="A670" t="s">
        <v>6397</v>
      </c>
      <c r="B670" t="s">
        <v>7345</v>
      </c>
    </row>
    <row r="671" spans="1:2" x14ac:dyDescent="0.25">
      <c r="A671" t="s">
        <v>6398</v>
      </c>
      <c r="B671" t="s">
        <v>7346</v>
      </c>
    </row>
    <row r="672" spans="1:2" x14ac:dyDescent="0.25">
      <c r="A672" t="s">
        <v>5851</v>
      </c>
      <c r="B672" t="s">
        <v>7347</v>
      </c>
    </row>
    <row r="673" spans="1:2" x14ac:dyDescent="0.25">
      <c r="A673" t="s">
        <v>6399</v>
      </c>
      <c r="B673" t="s">
        <v>7348</v>
      </c>
    </row>
    <row r="674" spans="1:2" x14ac:dyDescent="0.25">
      <c r="A674" t="s">
        <v>5852</v>
      </c>
      <c r="B674" t="s">
        <v>7349</v>
      </c>
    </row>
    <row r="675" spans="1:2" x14ac:dyDescent="0.25">
      <c r="A675" t="s">
        <v>6400</v>
      </c>
      <c r="B675" t="s">
        <v>7350</v>
      </c>
    </row>
    <row r="676" spans="1:2" x14ac:dyDescent="0.25">
      <c r="A676" t="s">
        <v>5853</v>
      </c>
      <c r="B676" t="s">
        <v>7351</v>
      </c>
    </row>
    <row r="677" spans="1:2" x14ac:dyDescent="0.25">
      <c r="A677" t="s">
        <v>5854</v>
      </c>
      <c r="B677" t="s">
        <v>7352</v>
      </c>
    </row>
    <row r="678" spans="1:2" x14ac:dyDescent="0.25">
      <c r="A678" t="s">
        <v>6081</v>
      </c>
      <c r="B678" t="s">
        <v>7353</v>
      </c>
    </row>
    <row r="679" spans="1:2" x14ac:dyDescent="0.25">
      <c r="A679" t="s">
        <v>5855</v>
      </c>
      <c r="B679" t="s">
        <v>7354</v>
      </c>
    </row>
    <row r="680" spans="1:2" x14ac:dyDescent="0.25">
      <c r="A680" t="s">
        <v>6082</v>
      </c>
      <c r="B680" t="s">
        <v>7355</v>
      </c>
    </row>
    <row r="681" spans="1:2" x14ac:dyDescent="0.25">
      <c r="A681" t="s">
        <v>5856</v>
      </c>
      <c r="B681" t="s">
        <v>7356</v>
      </c>
    </row>
    <row r="682" spans="1:2" x14ac:dyDescent="0.25">
      <c r="A682" t="s">
        <v>6083</v>
      </c>
      <c r="B682" t="s">
        <v>7357</v>
      </c>
    </row>
    <row r="683" spans="1:2" x14ac:dyDescent="0.25">
      <c r="A683" t="s">
        <v>5857</v>
      </c>
      <c r="B683" t="s">
        <v>7358</v>
      </c>
    </row>
    <row r="684" spans="1:2" x14ac:dyDescent="0.25">
      <c r="A684" t="s">
        <v>6084</v>
      </c>
      <c r="B684" t="s">
        <v>7359</v>
      </c>
    </row>
    <row r="685" spans="1:2" x14ac:dyDescent="0.25">
      <c r="A685" t="s">
        <v>6085</v>
      </c>
      <c r="B685" t="s">
        <v>7360</v>
      </c>
    </row>
    <row r="686" spans="1:2" x14ac:dyDescent="0.25">
      <c r="A686" t="s">
        <v>6086</v>
      </c>
      <c r="B686" t="s">
        <v>7361</v>
      </c>
    </row>
    <row r="687" spans="1:2" x14ac:dyDescent="0.25">
      <c r="A687" t="s">
        <v>5858</v>
      </c>
      <c r="B687" t="s">
        <v>7362</v>
      </c>
    </row>
    <row r="688" spans="1:2" x14ac:dyDescent="0.25">
      <c r="A688" t="s">
        <v>6087</v>
      </c>
      <c r="B688" t="s">
        <v>7363</v>
      </c>
    </row>
    <row r="689" spans="1:2" x14ac:dyDescent="0.25">
      <c r="A689" t="s">
        <v>5859</v>
      </c>
      <c r="B689" t="s">
        <v>7364</v>
      </c>
    </row>
    <row r="690" spans="1:2" x14ac:dyDescent="0.25">
      <c r="A690" t="s">
        <v>6088</v>
      </c>
      <c r="B690" t="s">
        <v>7365</v>
      </c>
    </row>
    <row r="691" spans="1:2" x14ac:dyDescent="0.25">
      <c r="A691" t="s">
        <v>5860</v>
      </c>
      <c r="B691" t="s">
        <v>7366</v>
      </c>
    </row>
    <row r="692" spans="1:2" x14ac:dyDescent="0.25">
      <c r="A692" t="s">
        <v>5861</v>
      </c>
      <c r="B692" t="s">
        <v>7367</v>
      </c>
    </row>
    <row r="693" spans="1:2" x14ac:dyDescent="0.25">
      <c r="A693" t="s">
        <v>6089</v>
      </c>
      <c r="B693" t="s">
        <v>7368</v>
      </c>
    </row>
    <row r="694" spans="1:2" x14ac:dyDescent="0.25">
      <c r="A694" t="s">
        <v>5862</v>
      </c>
      <c r="B694" t="s">
        <v>7369</v>
      </c>
    </row>
    <row r="695" spans="1:2" x14ac:dyDescent="0.25">
      <c r="A695" t="s">
        <v>6090</v>
      </c>
      <c r="B695" t="s">
        <v>7370</v>
      </c>
    </row>
    <row r="696" spans="1:2" x14ac:dyDescent="0.25">
      <c r="A696" t="s">
        <v>5863</v>
      </c>
      <c r="B696" t="s">
        <v>7371</v>
      </c>
    </row>
    <row r="697" spans="1:2" x14ac:dyDescent="0.25">
      <c r="A697" t="s">
        <v>6091</v>
      </c>
      <c r="B697" t="s">
        <v>7372</v>
      </c>
    </row>
    <row r="698" spans="1:2" x14ac:dyDescent="0.25">
      <c r="A698" t="s">
        <v>5864</v>
      </c>
      <c r="B698" t="s">
        <v>7373</v>
      </c>
    </row>
    <row r="699" spans="1:2" x14ac:dyDescent="0.25">
      <c r="A699" t="s">
        <v>6092</v>
      </c>
      <c r="B699" t="s">
        <v>7374</v>
      </c>
    </row>
    <row r="700" spans="1:2" x14ac:dyDescent="0.25">
      <c r="A700" t="s">
        <v>6093</v>
      </c>
      <c r="B700" t="s">
        <v>7375</v>
      </c>
    </row>
    <row r="701" spans="1:2" x14ac:dyDescent="0.25">
      <c r="A701" t="s">
        <v>6094</v>
      </c>
      <c r="B701" t="s">
        <v>7376</v>
      </c>
    </row>
    <row r="702" spans="1:2" x14ac:dyDescent="0.25">
      <c r="A702" t="s">
        <v>5865</v>
      </c>
      <c r="B702" t="s">
        <v>7377</v>
      </c>
    </row>
    <row r="703" spans="1:2" x14ac:dyDescent="0.25">
      <c r="A703" t="s">
        <v>6095</v>
      </c>
      <c r="B703" t="s">
        <v>7378</v>
      </c>
    </row>
    <row r="704" spans="1:2" x14ac:dyDescent="0.25">
      <c r="A704" t="s">
        <v>5866</v>
      </c>
      <c r="B704" t="s">
        <v>7379</v>
      </c>
    </row>
    <row r="705" spans="1:2" x14ac:dyDescent="0.25">
      <c r="A705" t="s">
        <v>6096</v>
      </c>
      <c r="B705" t="s">
        <v>7380</v>
      </c>
    </row>
    <row r="706" spans="1:2" x14ac:dyDescent="0.25">
      <c r="A706" t="s">
        <v>5867</v>
      </c>
      <c r="B706" t="s">
        <v>7381</v>
      </c>
    </row>
    <row r="707" spans="1:2" x14ac:dyDescent="0.25">
      <c r="A707" t="s">
        <v>5868</v>
      </c>
      <c r="B707" t="s">
        <v>7382</v>
      </c>
    </row>
    <row r="708" spans="1:2" x14ac:dyDescent="0.25">
      <c r="A708" t="s">
        <v>6097</v>
      </c>
      <c r="B708" t="s">
        <v>7383</v>
      </c>
    </row>
    <row r="709" spans="1:2" x14ac:dyDescent="0.25">
      <c r="A709" t="s">
        <v>5869</v>
      </c>
      <c r="B709" t="s">
        <v>7384</v>
      </c>
    </row>
    <row r="710" spans="1:2" x14ac:dyDescent="0.25">
      <c r="A710" t="s">
        <v>6098</v>
      </c>
      <c r="B710" t="s">
        <v>7385</v>
      </c>
    </row>
    <row r="711" spans="1:2" x14ac:dyDescent="0.25">
      <c r="A711" t="s">
        <v>5870</v>
      </c>
      <c r="B711" t="s">
        <v>7386</v>
      </c>
    </row>
    <row r="712" spans="1:2" x14ac:dyDescent="0.25">
      <c r="A712" t="s">
        <v>6099</v>
      </c>
      <c r="B712" t="s">
        <v>7387</v>
      </c>
    </row>
    <row r="713" spans="1:2" x14ac:dyDescent="0.25">
      <c r="A713" t="s">
        <v>5871</v>
      </c>
      <c r="B713" t="s">
        <v>7388</v>
      </c>
    </row>
    <row r="714" spans="1:2" x14ac:dyDescent="0.25">
      <c r="A714" t="s">
        <v>6100</v>
      </c>
      <c r="B714" t="s">
        <v>7389</v>
      </c>
    </row>
    <row r="715" spans="1:2" x14ac:dyDescent="0.25">
      <c r="A715" t="s">
        <v>6101</v>
      </c>
      <c r="B715" t="s">
        <v>7390</v>
      </c>
    </row>
    <row r="716" spans="1:2" x14ac:dyDescent="0.25">
      <c r="A716" t="s">
        <v>6102</v>
      </c>
      <c r="B716" t="s">
        <v>7391</v>
      </c>
    </row>
    <row r="717" spans="1:2" x14ac:dyDescent="0.25">
      <c r="A717" t="s">
        <v>5872</v>
      </c>
      <c r="B717" t="s">
        <v>7392</v>
      </c>
    </row>
    <row r="718" spans="1:2" x14ac:dyDescent="0.25">
      <c r="A718" t="s">
        <v>6103</v>
      </c>
      <c r="B718" t="s">
        <v>7393</v>
      </c>
    </row>
    <row r="719" spans="1:2" x14ac:dyDescent="0.25">
      <c r="A719" t="s">
        <v>5873</v>
      </c>
      <c r="B719" t="s">
        <v>7394</v>
      </c>
    </row>
    <row r="720" spans="1:2" x14ac:dyDescent="0.25">
      <c r="A720" t="s">
        <v>6104</v>
      </c>
      <c r="B720" t="s">
        <v>7395</v>
      </c>
    </row>
    <row r="721" spans="1:2" x14ac:dyDescent="0.25">
      <c r="A721" t="s">
        <v>5874</v>
      </c>
      <c r="B721" t="s">
        <v>7396</v>
      </c>
    </row>
    <row r="722" spans="1:2" x14ac:dyDescent="0.25">
      <c r="A722" t="s">
        <v>5875</v>
      </c>
      <c r="B722" t="s">
        <v>7397</v>
      </c>
    </row>
    <row r="723" spans="1:2" x14ac:dyDescent="0.25">
      <c r="A723" t="s">
        <v>6105</v>
      </c>
      <c r="B723" t="s">
        <v>7398</v>
      </c>
    </row>
    <row r="724" spans="1:2" x14ac:dyDescent="0.25">
      <c r="A724" t="s">
        <v>5876</v>
      </c>
      <c r="B724" t="s">
        <v>7399</v>
      </c>
    </row>
    <row r="725" spans="1:2" x14ac:dyDescent="0.25">
      <c r="A725" t="s">
        <v>6106</v>
      </c>
      <c r="B725" t="s">
        <v>7400</v>
      </c>
    </row>
    <row r="726" spans="1:2" x14ac:dyDescent="0.25">
      <c r="A726" t="s">
        <v>5877</v>
      </c>
      <c r="B726" t="s">
        <v>7401</v>
      </c>
    </row>
    <row r="727" spans="1:2" x14ac:dyDescent="0.25">
      <c r="A727" t="s">
        <v>6107</v>
      </c>
      <c r="B727" t="s">
        <v>7402</v>
      </c>
    </row>
    <row r="728" spans="1:2" x14ac:dyDescent="0.25">
      <c r="A728" t="s">
        <v>5878</v>
      </c>
      <c r="B728" t="s">
        <v>7403</v>
      </c>
    </row>
    <row r="729" spans="1:2" x14ac:dyDescent="0.25">
      <c r="A729" t="s">
        <v>6108</v>
      </c>
      <c r="B729" t="s">
        <v>7404</v>
      </c>
    </row>
    <row r="730" spans="1:2" x14ac:dyDescent="0.25">
      <c r="A730" t="s">
        <v>6109</v>
      </c>
      <c r="B730" t="s">
        <v>7405</v>
      </c>
    </row>
    <row r="731" spans="1:2" x14ac:dyDescent="0.25">
      <c r="A731" t="s">
        <v>6110</v>
      </c>
      <c r="B731" t="s">
        <v>7406</v>
      </c>
    </row>
    <row r="732" spans="1:2" x14ac:dyDescent="0.25">
      <c r="A732" t="s">
        <v>5879</v>
      </c>
      <c r="B732" t="s">
        <v>7407</v>
      </c>
    </row>
    <row r="733" spans="1:2" x14ac:dyDescent="0.25">
      <c r="A733" t="s">
        <v>6111</v>
      </c>
      <c r="B733" t="s">
        <v>7408</v>
      </c>
    </row>
    <row r="734" spans="1:2" x14ac:dyDescent="0.25">
      <c r="A734" t="s">
        <v>5880</v>
      </c>
      <c r="B734" t="s">
        <v>7409</v>
      </c>
    </row>
    <row r="735" spans="1:2" x14ac:dyDescent="0.25">
      <c r="A735" t="s">
        <v>6112</v>
      </c>
      <c r="B735" t="s">
        <v>7410</v>
      </c>
    </row>
    <row r="736" spans="1:2" x14ac:dyDescent="0.25">
      <c r="A736" t="s">
        <v>5881</v>
      </c>
      <c r="B736" t="s">
        <v>7411</v>
      </c>
    </row>
    <row r="737" spans="1:2" x14ac:dyDescent="0.25">
      <c r="A737" t="s">
        <v>5882</v>
      </c>
      <c r="B737" t="s">
        <v>7412</v>
      </c>
    </row>
    <row r="738" spans="1:2" x14ac:dyDescent="0.25">
      <c r="A738" t="s">
        <v>6113</v>
      </c>
      <c r="B738" t="s">
        <v>7413</v>
      </c>
    </row>
    <row r="739" spans="1:2" x14ac:dyDescent="0.25">
      <c r="A739" t="s">
        <v>5883</v>
      </c>
      <c r="B739" t="s">
        <v>7414</v>
      </c>
    </row>
    <row r="740" spans="1:2" x14ac:dyDescent="0.25">
      <c r="A740" t="s">
        <v>6114</v>
      </c>
      <c r="B740" t="s">
        <v>7415</v>
      </c>
    </row>
    <row r="741" spans="1:2" x14ac:dyDescent="0.25">
      <c r="A741" t="s">
        <v>5884</v>
      </c>
      <c r="B741" t="s">
        <v>7416</v>
      </c>
    </row>
    <row r="742" spans="1:2" x14ac:dyDescent="0.25">
      <c r="A742" t="s">
        <v>6115</v>
      </c>
      <c r="B742" t="s">
        <v>7417</v>
      </c>
    </row>
    <row r="743" spans="1:2" x14ac:dyDescent="0.25">
      <c r="A743" t="s">
        <v>5885</v>
      </c>
      <c r="B743" t="s">
        <v>7418</v>
      </c>
    </row>
    <row r="744" spans="1:2" x14ac:dyDescent="0.25">
      <c r="A744" t="s">
        <v>6116</v>
      </c>
      <c r="B744" t="s">
        <v>7419</v>
      </c>
    </row>
    <row r="745" spans="1:2" x14ac:dyDescent="0.25">
      <c r="A745" t="s">
        <v>6117</v>
      </c>
      <c r="B745" t="s">
        <v>7420</v>
      </c>
    </row>
    <row r="746" spans="1:2" x14ac:dyDescent="0.25">
      <c r="A746" t="s">
        <v>6118</v>
      </c>
      <c r="B746" t="s">
        <v>7421</v>
      </c>
    </row>
    <row r="747" spans="1:2" x14ac:dyDescent="0.25">
      <c r="A747" t="s">
        <v>5886</v>
      </c>
      <c r="B747" t="s">
        <v>7422</v>
      </c>
    </row>
    <row r="748" spans="1:2" x14ac:dyDescent="0.25">
      <c r="A748" t="s">
        <v>6119</v>
      </c>
      <c r="B748" t="s">
        <v>7423</v>
      </c>
    </row>
    <row r="749" spans="1:2" x14ac:dyDescent="0.25">
      <c r="A749" t="s">
        <v>5887</v>
      </c>
      <c r="B749" t="s">
        <v>7424</v>
      </c>
    </row>
    <row r="750" spans="1:2" x14ac:dyDescent="0.25">
      <c r="A750" t="s">
        <v>6120</v>
      </c>
      <c r="B750" t="s">
        <v>7425</v>
      </c>
    </row>
    <row r="751" spans="1:2" x14ac:dyDescent="0.25">
      <c r="A751" t="s">
        <v>5888</v>
      </c>
      <c r="B751" t="s">
        <v>7426</v>
      </c>
    </row>
    <row r="752" spans="1:2" x14ac:dyDescent="0.25">
      <c r="A752" t="s">
        <v>5889</v>
      </c>
      <c r="B752" t="s">
        <v>7427</v>
      </c>
    </row>
    <row r="753" spans="1:2" x14ac:dyDescent="0.25">
      <c r="A753" t="s">
        <v>6241</v>
      </c>
      <c r="B753" t="s">
        <v>7428</v>
      </c>
    </row>
    <row r="754" spans="1:2" x14ac:dyDescent="0.25">
      <c r="A754" t="s">
        <v>5890</v>
      </c>
      <c r="B754" t="s">
        <v>7429</v>
      </c>
    </row>
    <row r="755" spans="1:2" x14ac:dyDescent="0.25">
      <c r="A755" t="s">
        <v>6242</v>
      </c>
      <c r="B755" t="s">
        <v>7430</v>
      </c>
    </row>
    <row r="756" spans="1:2" x14ac:dyDescent="0.25">
      <c r="A756" t="s">
        <v>5891</v>
      </c>
      <c r="B756" t="s">
        <v>7431</v>
      </c>
    </row>
    <row r="757" spans="1:2" x14ac:dyDescent="0.25">
      <c r="A757" t="s">
        <v>6243</v>
      </c>
      <c r="B757" t="s">
        <v>7432</v>
      </c>
    </row>
    <row r="758" spans="1:2" x14ac:dyDescent="0.25">
      <c r="A758" t="s">
        <v>5892</v>
      </c>
      <c r="B758" t="s">
        <v>7433</v>
      </c>
    </row>
    <row r="759" spans="1:2" x14ac:dyDescent="0.25">
      <c r="A759" t="s">
        <v>6244</v>
      </c>
      <c r="B759" t="s">
        <v>7434</v>
      </c>
    </row>
    <row r="760" spans="1:2" x14ac:dyDescent="0.25">
      <c r="A760" t="s">
        <v>6245</v>
      </c>
      <c r="B760" t="s">
        <v>7435</v>
      </c>
    </row>
    <row r="761" spans="1:2" x14ac:dyDescent="0.25">
      <c r="A761" t="s">
        <v>6246</v>
      </c>
      <c r="B761" t="s">
        <v>7436</v>
      </c>
    </row>
    <row r="762" spans="1:2" x14ac:dyDescent="0.25">
      <c r="A762" t="s">
        <v>5893</v>
      </c>
      <c r="B762" t="s">
        <v>7437</v>
      </c>
    </row>
    <row r="763" spans="1:2" x14ac:dyDescent="0.25">
      <c r="A763" t="s">
        <v>6247</v>
      </c>
      <c r="B763" t="s">
        <v>7438</v>
      </c>
    </row>
    <row r="764" spans="1:2" x14ac:dyDescent="0.25">
      <c r="A764" t="s">
        <v>5894</v>
      </c>
      <c r="B764" t="s">
        <v>7439</v>
      </c>
    </row>
    <row r="765" spans="1:2" x14ac:dyDescent="0.25">
      <c r="A765" t="s">
        <v>6248</v>
      </c>
      <c r="B765" t="s">
        <v>7440</v>
      </c>
    </row>
    <row r="766" spans="1:2" x14ac:dyDescent="0.25">
      <c r="A766" t="s">
        <v>5895</v>
      </c>
      <c r="B766" t="s">
        <v>7441</v>
      </c>
    </row>
    <row r="767" spans="1:2" x14ac:dyDescent="0.25">
      <c r="A767" t="s">
        <v>5896</v>
      </c>
      <c r="B767" t="s">
        <v>7442</v>
      </c>
    </row>
    <row r="768" spans="1:2" x14ac:dyDescent="0.25">
      <c r="A768" t="s">
        <v>6249</v>
      </c>
      <c r="B768" t="s">
        <v>7443</v>
      </c>
    </row>
    <row r="769" spans="1:2" x14ac:dyDescent="0.25">
      <c r="A769" t="s">
        <v>5897</v>
      </c>
      <c r="B769" t="s">
        <v>7444</v>
      </c>
    </row>
    <row r="770" spans="1:2" x14ac:dyDescent="0.25">
      <c r="A770" t="s">
        <v>6250</v>
      </c>
      <c r="B770" t="s">
        <v>7445</v>
      </c>
    </row>
    <row r="771" spans="1:2" x14ac:dyDescent="0.25">
      <c r="A771" t="s">
        <v>5898</v>
      </c>
      <c r="B771" t="s">
        <v>7446</v>
      </c>
    </row>
    <row r="772" spans="1:2" x14ac:dyDescent="0.25">
      <c r="A772" t="s">
        <v>6251</v>
      </c>
      <c r="B772" t="s">
        <v>7447</v>
      </c>
    </row>
    <row r="773" spans="1:2" x14ac:dyDescent="0.25">
      <c r="A773" t="s">
        <v>5899</v>
      </c>
      <c r="B773" t="s">
        <v>7448</v>
      </c>
    </row>
    <row r="774" spans="1:2" x14ac:dyDescent="0.25">
      <c r="A774" t="s">
        <v>6252</v>
      </c>
      <c r="B774" t="s">
        <v>7449</v>
      </c>
    </row>
    <row r="775" spans="1:2" x14ac:dyDescent="0.25">
      <c r="A775" t="s">
        <v>6253</v>
      </c>
      <c r="B775" t="s">
        <v>7450</v>
      </c>
    </row>
    <row r="776" spans="1:2" x14ac:dyDescent="0.25">
      <c r="A776" t="s">
        <v>6254</v>
      </c>
      <c r="B776" t="s">
        <v>7451</v>
      </c>
    </row>
    <row r="777" spans="1:2" x14ac:dyDescent="0.25">
      <c r="A777" t="s">
        <v>5900</v>
      </c>
      <c r="B777" t="s">
        <v>7452</v>
      </c>
    </row>
    <row r="778" spans="1:2" x14ac:dyDescent="0.25">
      <c r="A778" t="s">
        <v>6255</v>
      </c>
      <c r="B778" t="s">
        <v>7453</v>
      </c>
    </row>
    <row r="779" spans="1:2" x14ac:dyDescent="0.25">
      <c r="A779" t="s">
        <v>5901</v>
      </c>
      <c r="B779" t="s">
        <v>7454</v>
      </c>
    </row>
    <row r="780" spans="1:2" x14ac:dyDescent="0.25">
      <c r="A780" t="s">
        <v>6256</v>
      </c>
      <c r="B780" t="s">
        <v>7455</v>
      </c>
    </row>
    <row r="781" spans="1:2" x14ac:dyDescent="0.25">
      <c r="A781" t="s">
        <v>5902</v>
      </c>
      <c r="B781" t="s">
        <v>7456</v>
      </c>
    </row>
    <row r="782" spans="1:2" x14ac:dyDescent="0.25">
      <c r="A782" t="s">
        <v>5903</v>
      </c>
      <c r="B782" t="s">
        <v>7457</v>
      </c>
    </row>
    <row r="783" spans="1:2" x14ac:dyDescent="0.25">
      <c r="A783" t="s">
        <v>6257</v>
      </c>
      <c r="B783" t="s">
        <v>7458</v>
      </c>
    </row>
    <row r="784" spans="1:2" x14ac:dyDescent="0.25">
      <c r="A784" t="s">
        <v>5904</v>
      </c>
      <c r="B784" t="s">
        <v>7459</v>
      </c>
    </row>
    <row r="785" spans="1:2" x14ac:dyDescent="0.25">
      <c r="A785" t="s">
        <v>6258</v>
      </c>
      <c r="B785" t="s">
        <v>7460</v>
      </c>
    </row>
    <row r="786" spans="1:2" x14ac:dyDescent="0.25">
      <c r="A786" t="s">
        <v>5905</v>
      </c>
      <c r="B786" t="s">
        <v>7461</v>
      </c>
    </row>
    <row r="787" spans="1:2" x14ac:dyDescent="0.25">
      <c r="A787" t="s">
        <v>6259</v>
      </c>
      <c r="B787" t="s">
        <v>7462</v>
      </c>
    </row>
    <row r="788" spans="1:2" x14ac:dyDescent="0.25">
      <c r="A788" t="s">
        <v>5906</v>
      </c>
      <c r="B788" t="s">
        <v>7463</v>
      </c>
    </row>
    <row r="789" spans="1:2" x14ac:dyDescent="0.25">
      <c r="A789" t="s">
        <v>6260</v>
      </c>
      <c r="B789" t="s">
        <v>7464</v>
      </c>
    </row>
    <row r="790" spans="1:2" x14ac:dyDescent="0.25">
      <c r="A790" t="s">
        <v>6261</v>
      </c>
      <c r="B790" t="s">
        <v>7465</v>
      </c>
    </row>
    <row r="791" spans="1:2" x14ac:dyDescent="0.25">
      <c r="A791" t="s">
        <v>6262</v>
      </c>
      <c r="B791" t="s">
        <v>7466</v>
      </c>
    </row>
    <row r="792" spans="1:2" x14ac:dyDescent="0.25">
      <c r="A792" t="s">
        <v>5907</v>
      </c>
      <c r="B792" t="s">
        <v>7467</v>
      </c>
    </row>
    <row r="793" spans="1:2" x14ac:dyDescent="0.25">
      <c r="A793" t="s">
        <v>6263</v>
      </c>
      <c r="B793" t="s">
        <v>7468</v>
      </c>
    </row>
    <row r="794" spans="1:2" x14ac:dyDescent="0.25">
      <c r="A794" t="s">
        <v>5908</v>
      </c>
      <c r="B794" t="s">
        <v>7469</v>
      </c>
    </row>
    <row r="795" spans="1:2" x14ac:dyDescent="0.25">
      <c r="A795" t="s">
        <v>6264</v>
      </c>
      <c r="B795" t="s">
        <v>7470</v>
      </c>
    </row>
    <row r="796" spans="1:2" x14ac:dyDescent="0.25">
      <c r="A796" t="s">
        <v>5909</v>
      </c>
      <c r="B796" t="s">
        <v>7471</v>
      </c>
    </row>
    <row r="797" spans="1:2" x14ac:dyDescent="0.25">
      <c r="A797" t="s">
        <v>5910</v>
      </c>
      <c r="B797" t="s">
        <v>7472</v>
      </c>
    </row>
    <row r="798" spans="1:2" x14ac:dyDescent="0.25">
      <c r="A798" t="s">
        <v>6265</v>
      </c>
      <c r="B798" t="s">
        <v>7473</v>
      </c>
    </row>
    <row r="799" spans="1:2" x14ac:dyDescent="0.25">
      <c r="A799" t="s">
        <v>5911</v>
      </c>
      <c r="B799" t="s">
        <v>7474</v>
      </c>
    </row>
    <row r="800" spans="1:2" x14ac:dyDescent="0.25">
      <c r="A800" t="s">
        <v>6266</v>
      </c>
      <c r="B800" t="s">
        <v>7475</v>
      </c>
    </row>
    <row r="801" spans="1:2" x14ac:dyDescent="0.25">
      <c r="A801" t="s">
        <v>5912</v>
      </c>
      <c r="B801" t="s">
        <v>7476</v>
      </c>
    </row>
    <row r="802" spans="1:2" x14ac:dyDescent="0.25">
      <c r="A802" t="s">
        <v>6267</v>
      </c>
      <c r="B802" t="s">
        <v>7477</v>
      </c>
    </row>
    <row r="803" spans="1:2" x14ac:dyDescent="0.25">
      <c r="A803" t="s">
        <v>5913</v>
      </c>
      <c r="B803" t="s">
        <v>7478</v>
      </c>
    </row>
    <row r="804" spans="1:2" x14ac:dyDescent="0.25">
      <c r="A804" t="s">
        <v>6268</v>
      </c>
      <c r="B804" t="s">
        <v>7479</v>
      </c>
    </row>
    <row r="805" spans="1:2" x14ac:dyDescent="0.25">
      <c r="A805" t="s">
        <v>6269</v>
      </c>
      <c r="B805" t="s">
        <v>7480</v>
      </c>
    </row>
    <row r="806" spans="1:2" x14ac:dyDescent="0.25">
      <c r="A806" t="s">
        <v>6270</v>
      </c>
      <c r="B806" t="s">
        <v>7481</v>
      </c>
    </row>
    <row r="807" spans="1:2" x14ac:dyDescent="0.25">
      <c r="A807" t="s">
        <v>5914</v>
      </c>
      <c r="B807" t="s">
        <v>7482</v>
      </c>
    </row>
    <row r="808" spans="1:2" x14ac:dyDescent="0.25">
      <c r="A808" t="s">
        <v>6271</v>
      </c>
      <c r="B808" t="s">
        <v>7483</v>
      </c>
    </row>
    <row r="809" spans="1:2" x14ac:dyDescent="0.25">
      <c r="A809" t="s">
        <v>5915</v>
      </c>
      <c r="B809" t="s">
        <v>7484</v>
      </c>
    </row>
    <row r="810" spans="1:2" x14ac:dyDescent="0.25">
      <c r="A810" t="s">
        <v>6272</v>
      </c>
      <c r="B810" t="s">
        <v>7485</v>
      </c>
    </row>
    <row r="811" spans="1:2" x14ac:dyDescent="0.25">
      <c r="A811" t="s">
        <v>5916</v>
      </c>
      <c r="B811" t="s">
        <v>7486</v>
      </c>
    </row>
    <row r="812" spans="1:2" x14ac:dyDescent="0.25">
      <c r="A812" t="s">
        <v>5917</v>
      </c>
      <c r="B812" t="s">
        <v>7487</v>
      </c>
    </row>
    <row r="813" spans="1:2" x14ac:dyDescent="0.25">
      <c r="A813" t="s">
        <v>6273</v>
      </c>
      <c r="B813" t="s">
        <v>7488</v>
      </c>
    </row>
    <row r="814" spans="1:2" x14ac:dyDescent="0.25">
      <c r="A814" t="s">
        <v>5918</v>
      </c>
      <c r="B814" t="s">
        <v>7489</v>
      </c>
    </row>
    <row r="815" spans="1:2" x14ac:dyDescent="0.25">
      <c r="A815" t="s">
        <v>6274</v>
      </c>
      <c r="B815" t="s">
        <v>7490</v>
      </c>
    </row>
    <row r="816" spans="1:2" x14ac:dyDescent="0.25">
      <c r="A816" t="s">
        <v>5919</v>
      </c>
      <c r="B816" t="s">
        <v>7491</v>
      </c>
    </row>
    <row r="817" spans="1:2" x14ac:dyDescent="0.25">
      <c r="A817" t="s">
        <v>6275</v>
      </c>
      <c r="B817" t="s">
        <v>7492</v>
      </c>
    </row>
    <row r="818" spans="1:2" x14ac:dyDescent="0.25">
      <c r="A818" t="s">
        <v>5920</v>
      </c>
      <c r="B818" t="s">
        <v>7493</v>
      </c>
    </row>
    <row r="819" spans="1:2" x14ac:dyDescent="0.25">
      <c r="A819" t="s">
        <v>6276</v>
      </c>
      <c r="B819" t="s">
        <v>7494</v>
      </c>
    </row>
    <row r="820" spans="1:2" x14ac:dyDescent="0.25">
      <c r="A820" t="s">
        <v>6277</v>
      </c>
      <c r="B820" t="s">
        <v>7495</v>
      </c>
    </row>
    <row r="821" spans="1:2" x14ac:dyDescent="0.25">
      <c r="A821" t="s">
        <v>6278</v>
      </c>
      <c r="B821" t="s">
        <v>7496</v>
      </c>
    </row>
    <row r="822" spans="1:2" x14ac:dyDescent="0.25">
      <c r="A822" t="s">
        <v>5921</v>
      </c>
      <c r="B822" t="s">
        <v>7497</v>
      </c>
    </row>
    <row r="823" spans="1:2" x14ac:dyDescent="0.25">
      <c r="A823" t="s">
        <v>6279</v>
      </c>
      <c r="B823" t="s">
        <v>7498</v>
      </c>
    </row>
    <row r="824" spans="1:2" x14ac:dyDescent="0.25">
      <c r="A824" t="s">
        <v>5922</v>
      </c>
      <c r="B824" t="s">
        <v>7499</v>
      </c>
    </row>
    <row r="825" spans="1:2" x14ac:dyDescent="0.25">
      <c r="A825" t="s">
        <v>6280</v>
      </c>
      <c r="B825" t="s">
        <v>7500</v>
      </c>
    </row>
    <row r="826" spans="1:2" x14ac:dyDescent="0.25">
      <c r="A826" t="s">
        <v>5923</v>
      </c>
      <c r="B826" t="s">
        <v>7501</v>
      </c>
    </row>
    <row r="827" spans="1:2" x14ac:dyDescent="0.25">
      <c r="A827" t="s">
        <v>5924</v>
      </c>
      <c r="B827" t="s">
        <v>7502</v>
      </c>
    </row>
    <row r="828" spans="1:2" x14ac:dyDescent="0.25">
      <c r="A828" t="s">
        <v>6401</v>
      </c>
      <c r="B828" t="s">
        <v>7503</v>
      </c>
    </row>
    <row r="829" spans="1:2" x14ac:dyDescent="0.25">
      <c r="A829" t="s">
        <v>5925</v>
      </c>
      <c r="B829" t="s">
        <v>7504</v>
      </c>
    </row>
    <row r="830" spans="1:2" x14ac:dyDescent="0.25">
      <c r="A830" t="s">
        <v>6402</v>
      </c>
      <c r="B830" t="s">
        <v>7505</v>
      </c>
    </row>
    <row r="831" spans="1:2" x14ac:dyDescent="0.25">
      <c r="A831" t="s">
        <v>5926</v>
      </c>
      <c r="B831" t="s">
        <v>7506</v>
      </c>
    </row>
    <row r="832" spans="1:2" x14ac:dyDescent="0.25">
      <c r="A832" t="s">
        <v>6403</v>
      </c>
      <c r="B832" t="s">
        <v>7507</v>
      </c>
    </row>
    <row r="833" spans="1:2" x14ac:dyDescent="0.25">
      <c r="A833" t="s">
        <v>5927</v>
      </c>
      <c r="B833" t="s">
        <v>7508</v>
      </c>
    </row>
    <row r="834" spans="1:2" x14ac:dyDescent="0.25">
      <c r="A834" t="s">
        <v>6404</v>
      </c>
      <c r="B834" t="s">
        <v>7509</v>
      </c>
    </row>
    <row r="835" spans="1:2" x14ac:dyDescent="0.25">
      <c r="A835" t="s">
        <v>6405</v>
      </c>
      <c r="B835" t="s">
        <v>7510</v>
      </c>
    </row>
    <row r="836" spans="1:2" x14ac:dyDescent="0.25">
      <c r="A836" t="s">
        <v>6406</v>
      </c>
      <c r="B836" t="s">
        <v>7511</v>
      </c>
    </row>
    <row r="837" spans="1:2" x14ac:dyDescent="0.25">
      <c r="A837" t="s">
        <v>5928</v>
      </c>
      <c r="B837" t="s">
        <v>7512</v>
      </c>
    </row>
    <row r="838" spans="1:2" x14ac:dyDescent="0.25">
      <c r="A838" t="s">
        <v>6407</v>
      </c>
      <c r="B838" t="s">
        <v>7513</v>
      </c>
    </row>
    <row r="839" spans="1:2" x14ac:dyDescent="0.25">
      <c r="A839" t="s">
        <v>5929</v>
      </c>
      <c r="B839" t="s">
        <v>7514</v>
      </c>
    </row>
    <row r="840" spans="1:2" x14ac:dyDescent="0.25">
      <c r="A840" t="s">
        <v>6408</v>
      </c>
      <c r="B840" t="s">
        <v>7515</v>
      </c>
    </row>
    <row r="841" spans="1:2" x14ac:dyDescent="0.25">
      <c r="A841" t="s">
        <v>5930</v>
      </c>
      <c r="B841" t="s">
        <v>7516</v>
      </c>
    </row>
    <row r="842" spans="1:2" x14ac:dyDescent="0.25">
      <c r="A842" t="s">
        <v>5931</v>
      </c>
      <c r="B842" t="s">
        <v>7517</v>
      </c>
    </row>
    <row r="843" spans="1:2" x14ac:dyDescent="0.25">
      <c r="A843" t="s">
        <v>6409</v>
      </c>
      <c r="B843" t="s">
        <v>7518</v>
      </c>
    </row>
    <row r="844" spans="1:2" x14ac:dyDescent="0.25">
      <c r="A844" t="s">
        <v>5932</v>
      </c>
      <c r="B844" t="s">
        <v>7519</v>
      </c>
    </row>
    <row r="845" spans="1:2" x14ac:dyDescent="0.25">
      <c r="A845" t="s">
        <v>6410</v>
      </c>
      <c r="B845" t="s">
        <v>7520</v>
      </c>
    </row>
    <row r="846" spans="1:2" x14ac:dyDescent="0.25">
      <c r="A846" t="s">
        <v>5933</v>
      </c>
      <c r="B846" t="s">
        <v>7521</v>
      </c>
    </row>
    <row r="847" spans="1:2" x14ac:dyDescent="0.25">
      <c r="A847" t="s">
        <v>6411</v>
      </c>
      <c r="B847" t="s">
        <v>7522</v>
      </c>
    </row>
    <row r="848" spans="1:2" x14ac:dyDescent="0.25">
      <c r="A848" t="s">
        <v>5934</v>
      </c>
      <c r="B848" t="s">
        <v>7523</v>
      </c>
    </row>
    <row r="849" spans="1:2" x14ac:dyDescent="0.25">
      <c r="A849" t="s">
        <v>6412</v>
      </c>
      <c r="B849" t="s">
        <v>7524</v>
      </c>
    </row>
    <row r="850" spans="1:2" x14ac:dyDescent="0.25">
      <c r="A850" t="s">
        <v>6413</v>
      </c>
      <c r="B850" t="s">
        <v>7525</v>
      </c>
    </row>
    <row r="851" spans="1:2" x14ac:dyDescent="0.25">
      <c r="A851" t="s">
        <v>6414</v>
      </c>
      <c r="B851" t="s">
        <v>7526</v>
      </c>
    </row>
    <row r="852" spans="1:2" x14ac:dyDescent="0.25">
      <c r="A852" t="s">
        <v>5935</v>
      </c>
      <c r="B852" t="s">
        <v>7527</v>
      </c>
    </row>
    <row r="853" spans="1:2" x14ac:dyDescent="0.25">
      <c r="A853" t="s">
        <v>6415</v>
      </c>
      <c r="B853" t="s">
        <v>7528</v>
      </c>
    </row>
    <row r="854" spans="1:2" x14ac:dyDescent="0.25">
      <c r="A854" t="s">
        <v>5936</v>
      </c>
      <c r="B854" t="s">
        <v>7529</v>
      </c>
    </row>
    <row r="855" spans="1:2" x14ac:dyDescent="0.25">
      <c r="A855" t="s">
        <v>6416</v>
      </c>
      <c r="B855" t="s">
        <v>7530</v>
      </c>
    </row>
    <row r="856" spans="1:2" x14ac:dyDescent="0.25">
      <c r="A856" t="s">
        <v>5937</v>
      </c>
      <c r="B856" t="s">
        <v>7531</v>
      </c>
    </row>
    <row r="857" spans="1:2" x14ac:dyDescent="0.25">
      <c r="A857" t="s">
        <v>5938</v>
      </c>
      <c r="B857" t="s">
        <v>7532</v>
      </c>
    </row>
    <row r="858" spans="1:2" x14ac:dyDescent="0.25">
      <c r="A858" t="s">
        <v>6417</v>
      </c>
      <c r="B858" t="s">
        <v>7533</v>
      </c>
    </row>
    <row r="859" spans="1:2" x14ac:dyDescent="0.25">
      <c r="A859" t="s">
        <v>5939</v>
      </c>
      <c r="B859" t="s">
        <v>7534</v>
      </c>
    </row>
    <row r="860" spans="1:2" x14ac:dyDescent="0.25">
      <c r="A860" t="s">
        <v>6418</v>
      </c>
      <c r="B860" t="s">
        <v>7535</v>
      </c>
    </row>
    <row r="861" spans="1:2" x14ac:dyDescent="0.25">
      <c r="A861" t="s">
        <v>5940</v>
      </c>
      <c r="B861" t="s">
        <v>7536</v>
      </c>
    </row>
    <row r="862" spans="1:2" x14ac:dyDescent="0.25">
      <c r="A862" t="s">
        <v>6419</v>
      </c>
      <c r="B862" t="s">
        <v>7537</v>
      </c>
    </row>
    <row r="863" spans="1:2" x14ac:dyDescent="0.25">
      <c r="A863" t="s">
        <v>5941</v>
      </c>
      <c r="B863" t="s">
        <v>7538</v>
      </c>
    </row>
    <row r="864" spans="1:2" x14ac:dyDescent="0.25">
      <c r="A864" t="s">
        <v>6420</v>
      </c>
      <c r="B864" t="s">
        <v>7539</v>
      </c>
    </row>
    <row r="865" spans="1:2" x14ac:dyDescent="0.25">
      <c r="A865" t="s">
        <v>6421</v>
      </c>
      <c r="B865" t="s">
        <v>7540</v>
      </c>
    </row>
    <row r="866" spans="1:2" x14ac:dyDescent="0.25">
      <c r="A866" t="s">
        <v>6422</v>
      </c>
      <c r="B866" t="s">
        <v>7541</v>
      </c>
    </row>
    <row r="867" spans="1:2" x14ac:dyDescent="0.25">
      <c r="A867" t="s">
        <v>5942</v>
      </c>
      <c r="B867" t="s">
        <v>7542</v>
      </c>
    </row>
    <row r="868" spans="1:2" x14ac:dyDescent="0.25">
      <c r="A868" t="s">
        <v>6423</v>
      </c>
      <c r="B868" t="s">
        <v>7543</v>
      </c>
    </row>
    <row r="869" spans="1:2" x14ac:dyDescent="0.25">
      <c r="A869" t="s">
        <v>5943</v>
      </c>
      <c r="B869" t="s">
        <v>7544</v>
      </c>
    </row>
    <row r="870" spans="1:2" x14ac:dyDescent="0.25">
      <c r="A870" t="s">
        <v>6424</v>
      </c>
      <c r="B870" t="s">
        <v>7545</v>
      </c>
    </row>
    <row r="871" spans="1:2" x14ac:dyDescent="0.25">
      <c r="A871" t="s">
        <v>5944</v>
      </c>
      <c r="B871" t="s">
        <v>7546</v>
      </c>
    </row>
    <row r="872" spans="1:2" x14ac:dyDescent="0.25">
      <c r="A872" t="s">
        <v>5945</v>
      </c>
      <c r="B872" t="s">
        <v>7547</v>
      </c>
    </row>
    <row r="873" spans="1:2" x14ac:dyDescent="0.25">
      <c r="A873" t="s">
        <v>6425</v>
      </c>
      <c r="B873" t="s">
        <v>7548</v>
      </c>
    </row>
    <row r="874" spans="1:2" x14ac:dyDescent="0.25">
      <c r="A874" t="s">
        <v>5946</v>
      </c>
      <c r="B874" t="s">
        <v>7549</v>
      </c>
    </row>
    <row r="875" spans="1:2" x14ac:dyDescent="0.25">
      <c r="A875" t="s">
        <v>6426</v>
      </c>
      <c r="B875" t="s">
        <v>7550</v>
      </c>
    </row>
    <row r="876" spans="1:2" x14ac:dyDescent="0.25">
      <c r="A876" t="s">
        <v>5947</v>
      </c>
      <c r="B876" t="s">
        <v>7551</v>
      </c>
    </row>
    <row r="877" spans="1:2" x14ac:dyDescent="0.25">
      <c r="A877" t="s">
        <v>6427</v>
      </c>
      <c r="B877" t="s">
        <v>7552</v>
      </c>
    </row>
    <row r="878" spans="1:2" x14ac:dyDescent="0.25">
      <c r="A878" t="s">
        <v>5948</v>
      </c>
      <c r="B878" t="s">
        <v>7553</v>
      </c>
    </row>
    <row r="879" spans="1:2" x14ac:dyDescent="0.25">
      <c r="A879" t="s">
        <v>6428</v>
      </c>
      <c r="B879" t="s">
        <v>7554</v>
      </c>
    </row>
    <row r="880" spans="1:2" x14ac:dyDescent="0.25">
      <c r="A880" t="s">
        <v>6429</v>
      </c>
      <c r="B880" t="s">
        <v>7555</v>
      </c>
    </row>
    <row r="881" spans="1:2" x14ac:dyDescent="0.25">
      <c r="A881" t="s">
        <v>6430</v>
      </c>
      <c r="B881" t="s">
        <v>7556</v>
      </c>
    </row>
    <row r="882" spans="1:2" x14ac:dyDescent="0.25">
      <c r="A882" t="s">
        <v>5949</v>
      </c>
      <c r="B882" t="s">
        <v>7557</v>
      </c>
    </row>
    <row r="883" spans="1:2" x14ac:dyDescent="0.25">
      <c r="A883" t="s">
        <v>6431</v>
      </c>
      <c r="B883" t="s">
        <v>7558</v>
      </c>
    </row>
    <row r="884" spans="1:2" x14ac:dyDescent="0.25">
      <c r="A884" t="s">
        <v>5950</v>
      </c>
      <c r="B884" t="s">
        <v>7559</v>
      </c>
    </row>
    <row r="885" spans="1:2" x14ac:dyDescent="0.25">
      <c r="A885" t="s">
        <v>6432</v>
      </c>
      <c r="B885" t="s">
        <v>7560</v>
      </c>
    </row>
    <row r="886" spans="1:2" x14ac:dyDescent="0.25">
      <c r="A886" t="s">
        <v>5951</v>
      </c>
      <c r="B886" t="s">
        <v>7561</v>
      </c>
    </row>
    <row r="887" spans="1:2" x14ac:dyDescent="0.25">
      <c r="A887" t="s">
        <v>5952</v>
      </c>
      <c r="B887" t="s">
        <v>7562</v>
      </c>
    </row>
    <row r="888" spans="1:2" x14ac:dyDescent="0.25">
      <c r="A888" t="s">
        <v>6433</v>
      </c>
      <c r="B888" t="s">
        <v>7563</v>
      </c>
    </row>
    <row r="889" spans="1:2" x14ac:dyDescent="0.25">
      <c r="A889" t="s">
        <v>5953</v>
      </c>
      <c r="B889" t="s">
        <v>7564</v>
      </c>
    </row>
    <row r="890" spans="1:2" x14ac:dyDescent="0.25">
      <c r="A890" t="s">
        <v>6434</v>
      </c>
      <c r="B890" t="s">
        <v>7565</v>
      </c>
    </row>
    <row r="891" spans="1:2" x14ac:dyDescent="0.25">
      <c r="A891" t="s">
        <v>5954</v>
      </c>
      <c r="B891" t="s">
        <v>7566</v>
      </c>
    </row>
    <row r="892" spans="1:2" x14ac:dyDescent="0.25">
      <c r="A892" t="s">
        <v>6435</v>
      </c>
      <c r="B892" t="s">
        <v>7567</v>
      </c>
    </row>
    <row r="893" spans="1:2" x14ac:dyDescent="0.25">
      <c r="A893" t="s">
        <v>5955</v>
      </c>
      <c r="B893" t="s">
        <v>7568</v>
      </c>
    </row>
    <row r="894" spans="1:2" x14ac:dyDescent="0.25">
      <c r="A894" t="s">
        <v>6436</v>
      </c>
      <c r="B894" t="s">
        <v>7569</v>
      </c>
    </row>
    <row r="895" spans="1:2" x14ac:dyDescent="0.25">
      <c r="A895" t="s">
        <v>6437</v>
      </c>
      <c r="B895" t="s">
        <v>7570</v>
      </c>
    </row>
    <row r="896" spans="1:2" x14ac:dyDescent="0.25">
      <c r="A896" t="s">
        <v>6438</v>
      </c>
      <c r="B896" t="s">
        <v>7571</v>
      </c>
    </row>
    <row r="897" spans="1:2" x14ac:dyDescent="0.25">
      <c r="A897" t="s">
        <v>5956</v>
      </c>
      <c r="B897" t="s">
        <v>7572</v>
      </c>
    </row>
    <row r="898" spans="1:2" x14ac:dyDescent="0.25">
      <c r="A898" t="s">
        <v>6439</v>
      </c>
      <c r="B898" t="s">
        <v>7573</v>
      </c>
    </row>
    <row r="899" spans="1:2" x14ac:dyDescent="0.25">
      <c r="A899" t="s">
        <v>5957</v>
      </c>
      <c r="B899" t="s">
        <v>7574</v>
      </c>
    </row>
    <row r="900" spans="1:2" x14ac:dyDescent="0.25">
      <c r="A900" t="s">
        <v>6440</v>
      </c>
      <c r="B900" t="s">
        <v>7575</v>
      </c>
    </row>
    <row r="901" spans="1:2" x14ac:dyDescent="0.25">
      <c r="A901" t="s">
        <v>5958</v>
      </c>
      <c r="B901" t="s">
        <v>7576</v>
      </c>
    </row>
  </sheetData>
  <autoFilter ref="A1:D90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3:B81"/>
  <sheetViews>
    <sheetView topLeftCell="A59" workbookViewId="0">
      <selection activeCell="A4" sqref="A4:B80"/>
    </sheetView>
  </sheetViews>
  <sheetFormatPr defaultRowHeight="15" x14ac:dyDescent="0.25"/>
  <cols>
    <col min="1" max="1" width="35" bestFit="1" customWidth="1"/>
    <col min="2" max="2" width="8.5703125" bestFit="1" customWidth="1"/>
  </cols>
  <sheetData>
    <row r="3" spans="1:2" x14ac:dyDescent="0.25">
      <c r="A3" s="32" t="s">
        <v>9060</v>
      </c>
      <c r="B3" t="s">
        <v>9062</v>
      </c>
    </row>
    <row r="4" spans="1:2" x14ac:dyDescent="0.25">
      <c r="A4" s="13" t="s">
        <v>6441</v>
      </c>
      <c r="B4" s="33">
        <v>1</v>
      </c>
    </row>
    <row r="5" spans="1:2" x14ac:dyDescent="0.25">
      <c r="A5" s="13" t="s">
        <v>6516</v>
      </c>
      <c r="B5" s="33">
        <v>2</v>
      </c>
    </row>
    <row r="6" spans="1:2" x14ac:dyDescent="0.25">
      <c r="A6" s="13" t="s">
        <v>6443</v>
      </c>
      <c r="B6" s="33">
        <v>1</v>
      </c>
    </row>
    <row r="7" spans="1:2" x14ac:dyDescent="0.25">
      <c r="A7" s="13" t="s">
        <v>6518</v>
      </c>
      <c r="B7" s="33">
        <v>1</v>
      </c>
    </row>
    <row r="8" spans="1:2" x14ac:dyDescent="0.25">
      <c r="A8" s="13" t="s">
        <v>6445</v>
      </c>
      <c r="B8" s="33">
        <v>1</v>
      </c>
    </row>
    <row r="9" spans="1:2" x14ac:dyDescent="0.25">
      <c r="A9" s="13" t="s">
        <v>6447</v>
      </c>
      <c r="B9" s="33">
        <v>4</v>
      </c>
    </row>
    <row r="10" spans="1:2" x14ac:dyDescent="0.25">
      <c r="A10" s="13" t="s">
        <v>6522</v>
      </c>
      <c r="B10" s="33">
        <v>3</v>
      </c>
    </row>
    <row r="11" spans="1:2" x14ac:dyDescent="0.25">
      <c r="A11" s="13" t="s">
        <v>6526</v>
      </c>
      <c r="B11" s="33">
        <v>1</v>
      </c>
    </row>
    <row r="12" spans="1:2" x14ac:dyDescent="0.25">
      <c r="A12" s="13" t="s">
        <v>6455</v>
      </c>
      <c r="B12" s="33">
        <v>1</v>
      </c>
    </row>
    <row r="13" spans="1:2" x14ac:dyDescent="0.25">
      <c r="A13" s="13" t="s">
        <v>6533</v>
      </c>
      <c r="B13" s="33">
        <v>2</v>
      </c>
    </row>
    <row r="14" spans="1:2" x14ac:dyDescent="0.25">
      <c r="A14" s="13" t="s">
        <v>6462</v>
      </c>
      <c r="B14" s="33">
        <v>1</v>
      </c>
    </row>
    <row r="15" spans="1:2" x14ac:dyDescent="0.25">
      <c r="A15" s="13" t="s">
        <v>6537</v>
      </c>
      <c r="B15" s="33">
        <v>1</v>
      </c>
    </row>
    <row r="16" spans="1:2" x14ac:dyDescent="0.25">
      <c r="A16" s="13" t="s">
        <v>6466</v>
      </c>
      <c r="B16" s="33">
        <v>6</v>
      </c>
    </row>
    <row r="17" spans="1:2" x14ac:dyDescent="0.25">
      <c r="A17" s="13" t="s">
        <v>6541</v>
      </c>
      <c r="B17" s="33">
        <v>4</v>
      </c>
    </row>
    <row r="18" spans="1:2" x14ac:dyDescent="0.25">
      <c r="A18" s="13" t="s">
        <v>6468</v>
      </c>
      <c r="B18" s="33">
        <v>1</v>
      </c>
    </row>
    <row r="19" spans="1:2" x14ac:dyDescent="0.25">
      <c r="A19" s="13" t="s">
        <v>6545</v>
      </c>
      <c r="B19" s="33">
        <v>3</v>
      </c>
    </row>
    <row r="20" spans="1:2" x14ac:dyDescent="0.25">
      <c r="A20" s="13" t="s">
        <v>6628</v>
      </c>
      <c r="B20" s="33">
        <v>1</v>
      </c>
    </row>
    <row r="21" spans="1:2" x14ac:dyDescent="0.25">
      <c r="A21" s="13" t="s">
        <v>6481</v>
      </c>
      <c r="B21" s="33">
        <v>3</v>
      </c>
    </row>
    <row r="22" spans="1:2" x14ac:dyDescent="0.25">
      <c r="A22" s="13" t="s">
        <v>6632</v>
      </c>
      <c r="B22" s="33">
        <v>1</v>
      </c>
    </row>
    <row r="23" spans="1:2" x14ac:dyDescent="0.25">
      <c r="A23" s="13" t="s">
        <v>6560</v>
      </c>
      <c r="B23" s="33">
        <v>4</v>
      </c>
    </row>
    <row r="24" spans="1:2" x14ac:dyDescent="0.25">
      <c r="A24" s="13" t="s">
        <v>6635</v>
      </c>
      <c r="B24" s="33">
        <v>1</v>
      </c>
    </row>
    <row r="25" spans="1:2" x14ac:dyDescent="0.25">
      <c r="A25" s="13" t="s">
        <v>6573</v>
      </c>
      <c r="B25" s="33">
        <v>2</v>
      </c>
    </row>
    <row r="26" spans="1:2" x14ac:dyDescent="0.25">
      <c r="A26" s="13" t="s">
        <v>6575</v>
      </c>
      <c r="B26" s="33">
        <v>1</v>
      </c>
    </row>
    <row r="27" spans="1:2" x14ac:dyDescent="0.25">
      <c r="A27" s="13" t="s">
        <v>6650</v>
      </c>
      <c r="B27" s="33">
        <v>2</v>
      </c>
    </row>
    <row r="28" spans="1:2" x14ac:dyDescent="0.25">
      <c r="A28" s="13" t="s">
        <v>5</v>
      </c>
      <c r="B28" s="33">
        <v>1</v>
      </c>
    </row>
    <row r="29" spans="1:2" x14ac:dyDescent="0.25">
      <c r="A29" s="13" t="s">
        <v>8</v>
      </c>
      <c r="B29" s="33">
        <v>2</v>
      </c>
    </row>
    <row r="30" spans="1:2" x14ac:dyDescent="0.25">
      <c r="A30" s="13" t="s">
        <v>304</v>
      </c>
      <c r="B30" s="33">
        <v>2</v>
      </c>
    </row>
    <row r="31" spans="1:2" x14ac:dyDescent="0.25">
      <c r="A31" s="13" t="s">
        <v>549</v>
      </c>
      <c r="B31" s="33">
        <v>5</v>
      </c>
    </row>
    <row r="32" spans="1:2" x14ac:dyDescent="0.25">
      <c r="A32" s="13" t="s">
        <v>310</v>
      </c>
      <c r="B32" s="33">
        <v>1</v>
      </c>
    </row>
    <row r="33" spans="1:2" x14ac:dyDescent="0.25">
      <c r="A33" s="13" t="s">
        <v>555</v>
      </c>
      <c r="B33" s="33">
        <v>1</v>
      </c>
    </row>
    <row r="34" spans="1:2" x14ac:dyDescent="0.25">
      <c r="A34" s="13" t="s">
        <v>2089</v>
      </c>
      <c r="B34" s="33">
        <v>1</v>
      </c>
    </row>
    <row r="35" spans="1:2" x14ac:dyDescent="0.25">
      <c r="A35" s="13" t="s">
        <v>3804</v>
      </c>
      <c r="B35" s="33">
        <v>1</v>
      </c>
    </row>
    <row r="36" spans="1:2" x14ac:dyDescent="0.25">
      <c r="A36" s="13" t="s">
        <v>3565</v>
      </c>
      <c r="B36" s="33">
        <v>1</v>
      </c>
    </row>
    <row r="37" spans="1:2" x14ac:dyDescent="0.25">
      <c r="A37" s="13" t="s">
        <v>5432</v>
      </c>
      <c r="B37" s="33">
        <v>5</v>
      </c>
    </row>
    <row r="38" spans="1:2" x14ac:dyDescent="0.25">
      <c r="A38" s="13" t="s">
        <v>5433</v>
      </c>
      <c r="B38" s="33">
        <v>17</v>
      </c>
    </row>
    <row r="39" spans="1:2" x14ac:dyDescent="0.25">
      <c r="A39" s="13" t="s">
        <v>5435</v>
      </c>
      <c r="B39" s="33">
        <v>5</v>
      </c>
    </row>
    <row r="40" spans="1:2" x14ac:dyDescent="0.25">
      <c r="A40" s="13" t="s">
        <v>5436</v>
      </c>
      <c r="B40" s="33">
        <v>3</v>
      </c>
    </row>
    <row r="41" spans="1:2" x14ac:dyDescent="0.25">
      <c r="A41" s="13" t="s">
        <v>5438</v>
      </c>
      <c r="B41" s="33">
        <v>3</v>
      </c>
    </row>
    <row r="42" spans="1:2" x14ac:dyDescent="0.25">
      <c r="A42" s="13" t="s">
        <v>5439</v>
      </c>
      <c r="B42" s="33">
        <v>2</v>
      </c>
    </row>
    <row r="43" spans="1:2" x14ac:dyDescent="0.25">
      <c r="A43" s="13" t="s">
        <v>5453</v>
      </c>
      <c r="B43" s="33">
        <v>3</v>
      </c>
    </row>
    <row r="44" spans="1:2" x14ac:dyDescent="0.25">
      <c r="A44" s="13" t="s">
        <v>5456</v>
      </c>
      <c r="B44" s="33">
        <v>1</v>
      </c>
    </row>
    <row r="45" spans="1:2" x14ac:dyDescent="0.25">
      <c r="A45" s="13" t="s">
        <v>5459</v>
      </c>
      <c r="B45" s="33">
        <v>1</v>
      </c>
    </row>
    <row r="46" spans="1:2" x14ac:dyDescent="0.25">
      <c r="A46" s="13" t="s">
        <v>5468</v>
      </c>
      <c r="B46" s="33">
        <v>1</v>
      </c>
    </row>
    <row r="47" spans="1:2" x14ac:dyDescent="0.25">
      <c r="A47" s="13" t="s">
        <v>5477</v>
      </c>
      <c r="B47" s="33">
        <v>1</v>
      </c>
    </row>
    <row r="48" spans="1:2" x14ac:dyDescent="0.25">
      <c r="A48" s="13" t="s">
        <v>5478</v>
      </c>
      <c r="B48" s="33">
        <v>1</v>
      </c>
    </row>
    <row r="49" spans="1:2" x14ac:dyDescent="0.25">
      <c r="A49" s="13" t="s">
        <v>5483</v>
      </c>
      <c r="B49" s="33">
        <v>2</v>
      </c>
    </row>
    <row r="50" spans="1:2" x14ac:dyDescent="0.25">
      <c r="A50" s="13" t="s">
        <v>948</v>
      </c>
      <c r="B50" s="33">
        <v>1</v>
      </c>
    </row>
    <row r="51" spans="1:2" x14ac:dyDescent="0.25">
      <c r="A51" s="13" t="s">
        <v>975</v>
      </c>
      <c r="B51" s="33">
        <v>3</v>
      </c>
    </row>
    <row r="52" spans="1:2" x14ac:dyDescent="0.25">
      <c r="A52" s="13" t="s">
        <v>4914</v>
      </c>
      <c r="B52" s="33">
        <v>1</v>
      </c>
    </row>
    <row r="53" spans="1:2" x14ac:dyDescent="0.25">
      <c r="A53" s="13" t="s">
        <v>4300</v>
      </c>
      <c r="B53" s="33">
        <v>1</v>
      </c>
    </row>
    <row r="54" spans="1:2" x14ac:dyDescent="0.25">
      <c r="A54" s="13" t="s">
        <v>9073</v>
      </c>
      <c r="B54" s="33">
        <v>1</v>
      </c>
    </row>
    <row r="55" spans="1:2" x14ac:dyDescent="0.25">
      <c r="A55" s="13" t="s">
        <v>1325</v>
      </c>
      <c r="B55" s="33">
        <v>1</v>
      </c>
    </row>
    <row r="56" spans="1:2" x14ac:dyDescent="0.25">
      <c r="A56" s="13" t="s">
        <v>9070</v>
      </c>
      <c r="B56" s="33">
        <v>2</v>
      </c>
    </row>
    <row r="57" spans="1:2" x14ac:dyDescent="0.25">
      <c r="A57" s="13" t="s">
        <v>9071</v>
      </c>
      <c r="B57" s="33">
        <v>1</v>
      </c>
    </row>
    <row r="58" spans="1:2" x14ac:dyDescent="0.25">
      <c r="A58" s="13" t="s">
        <v>8410</v>
      </c>
      <c r="B58" s="33">
        <v>5</v>
      </c>
    </row>
    <row r="59" spans="1:2" x14ac:dyDescent="0.25">
      <c r="A59" s="13" t="s">
        <v>8560</v>
      </c>
      <c r="B59" s="33">
        <v>4</v>
      </c>
    </row>
    <row r="60" spans="1:2" x14ac:dyDescent="0.25">
      <c r="A60" s="13" t="s">
        <v>8412</v>
      </c>
      <c r="B60" s="33">
        <v>3</v>
      </c>
    </row>
    <row r="61" spans="1:2" x14ac:dyDescent="0.25">
      <c r="A61" s="13" t="s">
        <v>8487</v>
      </c>
      <c r="B61" s="33">
        <v>3</v>
      </c>
    </row>
    <row r="62" spans="1:2" x14ac:dyDescent="0.25">
      <c r="A62" s="13" t="s">
        <v>8415</v>
      </c>
      <c r="B62" s="33">
        <v>1</v>
      </c>
    </row>
    <row r="63" spans="1:2" x14ac:dyDescent="0.25">
      <c r="A63" s="13" t="s">
        <v>8490</v>
      </c>
      <c r="B63" s="33">
        <v>1</v>
      </c>
    </row>
    <row r="64" spans="1:2" x14ac:dyDescent="0.25">
      <c r="A64" s="13" t="s">
        <v>8416</v>
      </c>
      <c r="B64" s="33">
        <v>5</v>
      </c>
    </row>
    <row r="65" spans="1:2" x14ac:dyDescent="0.25">
      <c r="A65" s="13" t="s">
        <v>8491</v>
      </c>
      <c r="B65" s="33">
        <v>9</v>
      </c>
    </row>
    <row r="66" spans="1:2" x14ac:dyDescent="0.25">
      <c r="A66" s="13" t="s">
        <v>8427</v>
      </c>
      <c r="B66" s="33">
        <v>4</v>
      </c>
    </row>
    <row r="67" spans="1:2" x14ac:dyDescent="0.25">
      <c r="A67" s="13" t="s">
        <v>8429</v>
      </c>
      <c r="B67" s="33">
        <v>2</v>
      </c>
    </row>
    <row r="68" spans="1:2" x14ac:dyDescent="0.25">
      <c r="A68" s="13" t="s">
        <v>8431</v>
      </c>
      <c r="B68" s="33">
        <v>9</v>
      </c>
    </row>
    <row r="69" spans="1:2" x14ac:dyDescent="0.25">
      <c r="A69" s="13" t="s">
        <v>8506</v>
      </c>
      <c r="B69" s="33">
        <v>12</v>
      </c>
    </row>
    <row r="70" spans="1:2" x14ac:dyDescent="0.25">
      <c r="A70" s="13" t="s">
        <v>8581</v>
      </c>
      <c r="B70" s="33">
        <v>1</v>
      </c>
    </row>
    <row r="71" spans="1:2" x14ac:dyDescent="0.25">
      <c r="A71" s="13" t="s">
        <v>8507</v>
      </c>
      <c r="B71" s="33">
        <v>2</v>
      </c>
    </row>
    <row r="72" spans="1:2" x14ac:dyDescent="0.25">
      <c r="A72" s="13" t="s">
        <v>8435</v>
      </c>
      <c r="B72" s="33">
        <v>8</v>
      </c>
    </row>
    <row r="73" spans="1:2" x14ac:dyDescent="0.25">
      <c r="A73" s="13" t="s">
        <v>8510</v>
      </c>
      <c r="B73" s="33">
        <v>34</v>
      </c>
    </row>
    <row r="74" spans="1:2" x14ac:dyDescent="0.25">
      <c r="A74" s="13" t="s">
        <v>8585</v>
      </c>
      <c r="B74" s="33">
        <v>12</v>
      </c>
    </row>
    <row r="75" spans="1:2" x14ac:dyDescent="0.25">
      <c r="A75" s="13" t="s">
        <v>8439</v>
      </c>
      <c r="B75" s="33">
        <v>4</v>
      </c>
    </row>
    <row r="76" spans="1:2" x14ac:dyDescent="0.25">
      <c r="A76" s="13" t="s">
        <v>8514</v>
      </c>
      <c r="B76" s="33">
        <v>10</v>
      </c>
    </row>
    <row r="77" spans="1:2" x14ac:dyDescent="0.25">
      <c r="A77" s="13" t="s">
        <v>8589</v>
      </c>
      <c r="B77" s="33">
        <v>12</v>
      </c>
    </row>
    <row r="78" spans="1:2" x14ac:dyDescent="0.25">
      <c r="A78" s="13" t="s">
        <v>8596</v>
      </c>
      <c r="B78" s="33">
        <v>1</v>
      </c>
    </row>
    <row r="79" spans="1:2" x14ac:dyDescent="0.25">
      <c r="A79" s="13" t="s">
        <v>8450</v>
      </c>
      <c r="B79" s="33">
        <v>8</v>
      </c>
    </row>
    <row r="80" spans="1:2" x14ac:dyDescent="0.25">
      <c r="A80" s="13" t="s">
        <v>8525</v>
      </c>
      <c r="B80" s="33">
        <v>8</v>
      </c>
    </row>
    <row r="81" spans="1:2" x14ac:dyDescent="0.25">
      <c r="A81" s="13" t="s">
        <v>9061</v>
      </c>
      <c r="B81" s="33">
        <v>277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D118"/>
  <sheetViews>
    <sheetView topLeftCell="A31" workbookViewId="0">
      <selection activeCell="D2" sqref="D2:D78"/>
    </sheetView>
  </sheetViews>
  <sheetFormatPr defaultRowHeight="15" x14ac:dyDescent="0.25"/>
  <cols>
    <col min="1" max="1" width="44.28515625" bestFit="1" customWidth="1"/>
    <col min="3" max="3" width="35" bestFit="1" customWidth="1"/>
  </cols>
  <sheetData>
    <row r="1" spans="1:4" x14ac:dyDescent="0.25">
      <c r="A1">
        <v>1</v>
      </c>
      <c r="B1">
        <v>2</v>
      </c>
    </row>
    <row r="2" spans="1:4" x14ac:dyDescent="0.25">
      <c r="A2" s="23" t="s">
        <v>5</v>
      </c>
      <c r="B2" s="26">
        <v>1</v>
      </c>
      <c r="C2" t="s">
        <v>6441</v>
      </c>
      <c r="D2">
        <v>1</v>
      </c>
    </row>
    <row r="3" spans="1:4" x14ac:dyDescent="0.25">
      <c r="A3" s="23" t="s">
        <v>6526</v>
      </c>
      <c r="B3" s="26">
        <v>1</v>
      </c>
      <c r="C3" t="s">
        <v>6516</v>
      </c>
      <c r="D3">
        <v>2</v>
      </c>
    </row>
    <row r="4" spans="1:4" x14ac:dyDescent="0.25">
      <c r="A4" s="23" t="s">
        <v>6533</v>
      </c>
      <c r="B4" s="26">
        <v>2</v>
      </c>
      <c r="C4" t="s">
        <v>6443</v>
      </c>
      <c r="D4">
        <v>1</v>
      </c>
    </row>
    <row r="5" spans="1:4" x14ac:dyDescent="0.25">
      <c r="A5" s="23" t="s">
        <v>6466</v>
      </c>
      <c r="B5" s="26">
        <v>1</v>
      </c>
      <c r="C5" t="s">
        <v>6518</v>
      </c>
      <c r="D5">
        <v>1</v>
      </c>
    </row>
    <row r="6" spans="1:4" x14ac:dyDescent="0.25">
      <c r="A6" s="23" t="s">
        <v>6635</v>
      </c>
      <c r="B6" s="26">
        <v>1</v>
      </c>
      <c r="C6" t="s">
        <v>6445</v>
      </c>
      <c r="D6">
        <v>1</v>
      </c>
    </row>
    <row r="7" spans="1:4" x14ac:dyDescent="0.25">
      <c r="A7" s="23" t="s">
        <v>6468</v>
      </c>
      <c r="B7" s="26">
        <v>1</v>
      </c>
      <c r="C7" t="s">
        <v>6447</v>
      </c>
      <c r="D7">
        <v>4</v>
      </c>
    </row>
    <row r="8" spans="1:4" x14ac:dyDescent="0.25">
      <c r="A8" s="23" t="s">
        <v>6522</v>
      </c>
      <c r="B8" s="26">
        <v>1</v>
      </c>
      <c r="C8" t="s">
        <v>6522</v>
      </c>
      <c r="D8">
        <v>3</v>
      </c>
    </row>
    <row r="9" spans="1:4" x14ac:dyDescent="0.25">
      <c r="A9" s="23" t="s">
        <v>6545</v>
      </c>
      <c r="B9" s="26">
        <v>1</v>
      </c>
      <c r="C9" t="s">
        <v>6526</v>
      </c>
      <c r="D9">
        <v>1</v>
      </c>
    </row>
    <row r="10" spans="1:4" x14ac:dyDescent="0.25">
      <c r="A10" s="23" t="s">
        <v>6573</v>
      </c>
      <c r="B10" s="26">
        <v>2</v>
      </c>
      <c r="C10" t="s">
        <v>6455</v>
      </c>
      <c r="D10">
        <v>1</v>
      </c>
    </row>
    <row r="11" spans="1:4" x14ac:dyDescent="0.25">
      <c r="A11" s="23" t="s">
        <v>6522</v>
      </c>
      <c r="B11" s="26">
        <v>1</v>
      </c>
      <c r="C11" t="s">
        <v>6533</v>
      </c>
      <c r="D11">
        <v>2</v>
      </c>
    </row>
    <row r="12" spans="1:4" x14ac:dyDescent="0.25">
      <c r="A12" s="23" t="s">
        <v>5459</v>
      </c>
      <c r="B12" s="26">
        <v>1</v>
      </c>
      <c r="C12" t="s">
        <v>6462</v>
      </c>
      <c r="D12">
        <v>1</v>
      </c>
    </row>
    <row r="13" spans="1:4" x14ac:dyDescent="0.25">
      <c r="A13" s="23" t="s">
        <v>5483</v>
      </c>
      <c r="B13" s="26">
        <v>2</v>
      </c>
      <c r="C13" t="s">
        <v>6537</v>
      </c>
      <c r="D13">
        <v>1</v>
      </c>
    </row>
    <row r="14" spans="1:4" x14ac:dyDescent="0.25">
      <c r="A14" s="23" t="s">
        <v>975</v>
      </c>
      <c r="B14" s="26">
        <v>2</v>
      </c>
      <c r="C14" t="s">
        <v>6466</v>
      </c>
      <c r="D14">
        <v>6</v>
      </c>
    </row>
    <row r="15" spans="1:4" x14ac:dyDescent="0.25">
      <c r="A15" s="23" t="s">
        <v>975</v>
      </c>
      <c r="B15" s="6">
        <v>1</v>
      </c>
      <c r="C15" t="s">
        <v>6541</v>
      </c>
      <c r="D15">
        <v>4</v>
      </c>
    </row>
    <row r="16" spans="1:4" x14ac:dyDescent="0.25">
      <c r="A16" s="23" t="s">
        <v>4914</v>
      </c>
      <c r="B16" s="6">
        <v>1</v>
      </c>
      <c r="C16" t="s">
        <v>6468</v>
      </c>
      <c r="D16">
        <v>1</v>
      </c>
    </row>
    <row r="17" spans="1:4" x14ac:dyDescent="0.25">
      <c r="A17" s="23" t="s">
        <v>4300</v>
      </c>
      <c r="B17" s="6">
        <v>1</v>
      </c>
      <c r="C17" t="s">
        <v>6545</v>
      </c>
      <c r="D17">
        <v>3</v>
      </c>
    </row>
    <row r="18" spans="1:4" x14ac:dyDescent="0.25">
      <c r="A18" s="8" t="s">
        <v>1325</v>
      </c>
      <c r="B18" s="6">
        <v>1</v>
      </c>
      <c r="C18" t="s">
        <v>6628</v>
      </c>
      <c r="D18">
        <v>1</v>
      </c>
    </row>
    <row r="19" spans="1:4" x14ac:dyDescent="0.25">
      <c r="A19" s="8" t="s">
        <v>8560</v>
      </c>
      <c r="B19" s="6">
        <v>4</v>
      </c>
      <c r="C19" t="s">
        <v>6481</v>
      </c>
      <c r="D19">
        <v>3</v>
      </c>
    </row>
    <row r="20" spans="1:4" x14ac:dyDescent="0.25">
      <c r="A20" s="8" t="s">
        <v>8491</v>
      </c>
      <c r="B20" s="6">
        <v>2</v>
      </c>
      <c r="C20" t="s">
        <v>6632</v>
      </c>
      <c r="D20">
        <v>1</v>
      </c>
    </row>
    <row r="21" spans="1:4" x14ac:dyDescent="0.25">
      <c r="A21" s="8" t="s">
        <v>8427</v>
      </c>
      <c r="B21" s="6">
        <v>2</v>
      </c>
      <c r="C21" t="s">
        <v>6560</v>
      </c>
      <c r="D21">
        <v>4</v>
      </c>
    </row>
    <row r="22" spans="1:4" x14ac:dyDescent="0.25">
      <c r="A22" s="8" t="s">
        <v>8431</v>
      </c>
      <c r="B22" s="6">
        <v>3</v>
      </c>
      <c r="C22" t="s">
        <v>6635</v>
      </c>
      <c r="D22">
        <v>1</v>
      </c>
    </row>
    <row r="23" spans="1:4" x14ac:dyDescent="0.25">
      <c r="A23" s="8" t="s">
        <v>8581</v>
      </c>
      <c r="B23" s="6">
        <v>1</v>
      </c>
      <c r="C23" t="s">
        <v>6573</v>
      </c>
      <c r="D23">
        <v>2</v>
      </c>
    </row>
    <row r="24" spans="1:4" x14ac:dyDescent="0.25">
      <c r="A24" s="8" t="s">
        <v>8435</v>
      </c>
      <c r="B24" s="6">
        <v>4</v>
      </c>
      <c r="C24" t="s">
        <v>6575</v>
      </c>
      <c r="D24">
        <v>1</v>
      </c>
    </row>
    <row r="25" spans="1:4" x14ac:dyDescent="0.25">
      <c r="A25" s="8" t="s">
        <v>8510</v>
      </c>
      <c r="B25" s="6">
        <v>15</v>
      </c>
      <c r="C25" t="s">
        <v>6650</v>
      </c>
      <c r="D25">
        <v>2</v>
      </c>
    </row>
    <row r="26" spans="1:4" x14ac:dyDescent="0.25">
      <c r="A26" s="8" t="s">
        <v>8510</v>
      </c>
      <c r="B26" s="6">
        <v>10</v>
      </c>
      <c r="C26" t="s">
        <v>5</v>
      </c>
      <c r="D26">
        <v>1</v>
      </c>
    </row>
    <row r="27" spans="1:4" x14ac:dyDescent="0.25">
      <c r="A27" s="8" t="s">
        <v>8585</v>
      </c>
      <c r="B27" s="6">
        <v>2</v>
      </c>
      <c r="C27" t="s">
        <v>8</v>
      </c>
      <c r="D27">
        <v>2</v>
      </c>
    </row>
    <row r="28" spans="1:4" x14ac:dyDescent="0.25">
      <c r="A28" s="8" t="s">
        <v>8585</v>
      </c>
      <c r="B28" s="6">
        <v>10</v>
      </c>
      <c r="C28" t="s">
        <v>304</v>
      </c>
      <c r="D28">
        <v>2</v>
      </c>
    </row>
    <row r="29" spans="1:4" x14ac:dyDescent="0.25">
      <c r="A29" s="8" t="s">
        <v>8439</v>
      </c>
      <c r="B29" s="6">
        <v>4</v>
      </c>
      <c r="C29" t="s">
        <v>549</v>
      </c>
      <c r="D29">
        <v>5</v>
      </c>
    </row>
    <row r="30" spans="1:4" x14ac:dyDescent="0.25">
      <c r="A30" s="8" t="s">
        <v>8514</v>
      </c>
      <c r="B30" s="6">
        <v>10</v>
      </c>
      <c r="C30" t="s">
        <v>310</v>
      </c>
      <c r="D30">
        <v>1</v>
      </c>
    </row>
    <row r="31" spans="1:4" x14ac:dyDescent="0.25">
      <c r="A31" s="8" t="s">
        <v>8589</v>
      </c>
      <c r="B31" s="6">
        <v>2</v>
      </c>
      <c r="C31" t="s">
        <v>555</v>
      </c>
      <c r="D31">
        <v>1</v>
      </c>
    </row>
    <row r="32" spans="1:4" x14ac:dyDescent="0.25">
      <c r="A32" s="8" t="s">
        <v>8589</v>
      </c>
      <c r="B32" s="6">
        <v>10</v>
      </c>
      <c r="C32" t="s">
        <v>2089</v>
      </c>
      <c r="D32">
        <v>1</v>
      </c>
    </row>
    <row r="33" spans="1:4" x14ac:dyDescent="0.25">
      <c r="A33" s="8" t="s">
        <v>8596</v>
      </c>
      <c r="B33" s="6">
        <v>1</v>
      </c>
      <c r="C33" t="s">
        <v>3804</v>
      </c>
      <c r="D33">
        <v>1</v>
      </c>
    </row>
    <row r="34" spans="1:4" x14ac:dyDescent="0.25">
      <c r="A34" s="8" t="s">
        <v>8525</v>
      </c>
      <c r="B34" s="6">
        <v>6</v>
      </c>
      <c r="C34" t="s">
        <v>3565</v>
      </c>
      <c r="D34">
        <v>1</v>
      </c>
    </row>
    <row r="35" spans="1:4" x14ac:dyDescent="0.25">
      <c r="A35" s="8" t="s">
        <v>6560</v>
      </c>
      <c r="B35" s="6">
        <v>1</v>
      </c>
      <c r="C35" t="s">
        <v>5432</v>
      </c>
      <c r="D35">
        <v>5</v>
      </c>
    </row>
    <row r="36" spans="1:4" x14ac:dyDescent="0.25">
      <c r="A36" s="8" t="s">
        <v>6445</v>
      </c>
      <c r="B36" s="6">
        <v>1</v>
      </c>
      <c r="C36" t="s">
        <v>5433</v>
      </c>
      <c r="D36">
        <v>17</v>
      </c>
    </row>
    <row r="37" spans="1:4" x14ac:dyDescent="0.25">
      <c r="A37" s="8" t="s">
        <v>6650</v>
      </c>
      <c r="B37" s="6">
        <v>2</v>
      </c>
      <c r="C37" t="s">
        <v>5435</v>
      </c>
      <c r="D37">
        <v>5</v>
      </c>
    </row>
    <row r="38" spans="1:4" x14ac:dyDescent="0.25">
      <c r="A38" s="8" t="s">
        <v>6455</v>
      </c>
      <c r="B38" s="6">
        <v>1</v>
      </c>
      <c r="C38" t="s">
        <v>5436</v>
      </c>
      <c r="D38">
        <v>3</v>
      </c>
    </row>
    <row r="39" spans="1:4" x14ac:dyDescent="0.25">
      <c r="A39" s="8" t="s">
        <v>6466</v>
      </c>
      <c r="B39" s="6">
        <v>1</v>
      </c>
      <c r="C39" t="s">
        <v>5438</v>
      </c>
      <c r="D39">
        <v>3</v>
      </c>
    </row>
    <row r="40" spans="1:4" x14ac:dyDescent="0.25">
      <c r="A40" s="8" t="s">
        <v>6447</v>
      </c>
      <c r="B40" s="6">
        <v>1</v>
      </c>
      <c r="C40" t="s">
        <v>5439</v>
      </c>
      <c r="D40">
        <v>2</v>
      </c>
    </row>
    <row r="41" spans="1:4" x14ac:dyDescent="0.25">
      <c r="A41" s="8" t="s">
        <v>8</v>
      </c>
      <c r="B41" s="6">
        <v>2</v>
      </c>
      <c r="C41" t="s">
        <v>5453</v>
      </c>
      <c r="D41">
        <v>3</v>
      </c>
    </row>
    <row r="42" spans="1:4" x14ac:dyDescent="0.25">
      <c r="A42" s="8" t="s">
        <v>549</v>
      </c>
      <c r="B42" s="6">
        <v>1</v>
      </c>
      <c r="C42" t="s">
        <v>5456</v>
      </c>
      <c r="D42">
        <v>1</v>
      </c>
    </row>
    <row r="43" spans="1:4" x14ac:dyDescent="0.25">
      <c r="A43" s="8" t="s">
        <v>549</v>
      </c>
      <c r="B43" s="6">
        <v>1</v>
      </c>
      <c r="C43" t="s">
        <v>5459</v>
      </c>
      <c r="D43">
        <v>1</v>
      </c>
    </row>
    <row r="44" spans="1:4" x14ac:dyDescent="0.25">
      <c r="A44" s="8" t="s">
        <v>2089</v>
      </c>
      <c r="B44" s="6">
        <v>1</v>
      </c>
      <c r="C44" t="s">
        <v>5468</v>
      </c>
      <c r="D44">
        <v>1</v>
      </c>
    </row>
    <row r="45" spans="1:4" x14ac:dyDescent="0.25">
      <c r="A45" s="8" t="s">
        <v>6560</v>
      </c>
      <c r="B45" s="6">
        <v>1</v>
      </c>
      <c r="C45" t="s">
        <v>5477</v>
      </c>
      <c r="D45">
        <v>1</v>
      </c>
    </row>
    <row r="46" spans="1:4" x14ac:dyDescent="0.25">
      <c r="A46" s="8" t="s">
        <v>6466</v>
      </c>
      <c r="B46" s="6">
        <v>1</v>
      </c>
      <c r="C46" t="s">
        <v>5478</v>
      </c>
      <c r="D46">
        <v>1</v>
      </c>
    </row>
    <row r="47" spans="1:4" x14ac:dyDescent="0.25">
      <c r="A47" s="8" t="s">
        <v>6541</v>
      </c>
      <c r="B47" s="6">
        <v>2</v>
      </c>
      <c r="C47" t="s">
        <v>5483</v>
      </c>
      <c r="D47">
        <v>2</v>
      </c>
    </row>
    <row r="48" spans="1:4" x14ac:dyDescent="0.25">
      <c r="A48" s="8" t="s">
        <v>6575</v>
      </c>
      <c r="B48" s="6">
        <v>1</v>
      </c>
      <c r="C48" t="s">
        <v>948</v>
      </c>
      <c r="D48">
        <v>1</v>
      </c>
    </row>
    <row r="49" spans="1:4" x14ac:dyDescent="0.25">
      <c r="A49" s="8" t="s">
        <v>6516</v>
      </c>
      <c r="B49" s="6">
        <v>2</v>
      </c>
      <c r="C49" t="s">
        <v>975</v>
      </c>
      <c r="D49">
        <v>3</v>
      </c>
    </row>
    <row r="50" spans="1:4" x14ac:dyDescent="0.25">
      <c r="A50" s="8" t="s">
        <v>6447</v>
      </c>
      <c r="B50" s="6">
        <v>1</v>
      </c>
      <c r="C50" t="s">
        <v>4914</v>
      </c>
      <c r="D50">
        <v>1</v>
      </c>
    </row>
    <row r="51" spans="1:4" x14ac:dyDescent="0.25">
      <c r="A51" s="8" t="s">
        <v>6447</v>
      </c>
      <c r="B51" s="6">
        <v>1</v>
      </c>
      <c r="C51" t="s">
        <v>4300</v>
      </c>
      <c r="D51">
        <v>1</v>
      </c>
    </row>
    <row r="52" spans="1:4" x14ac:dyDescent="0.25">
      <c r="A52" s="8" t="s">
        <v>6522</v>
      </c>
      <c r="B52" s="6">
        <v>1</v>
      </c>
      <c r="C52" t="s">
        <v>9073</v>
      </c>
      <c r="D52">
        <v>1</v>
      </c>
    </row>
    <row r="53" spans="1:4" x14ac:dyDescent="0.25">
      <c r="A53" s="8" t="s">
        <v>6537</v>
      </c>
      <c r="B53" s="6">
        <v>1</v>
      </c>
      <c r="C53" t="s">
        <v>1325</v>
      </c>
      <c r="D53">
        <v>1</v>
      </c>
    </row>
    <row r="54" spans="1:4" x14ac:dyDescent="0.25">
      <c r="A54" s="8" t="s">
        <v>6481</v>
      </c>
      <c r="B54" s="6">
        <v>1</v>
      </c>
      <c r="C54" t="s">
        <v>9070</v>
      </c>
      <c r="D54">
        <v>2</v>
      </c>
    </row>
    <row r="55" spans="1:4" x14ac:dyDescent="0.25">
      <c r="A55" s="8" t="s">
        <v>6560</v>
      </c>
      <c r="B55" s="6">
        <v>2</v>
      </c>
      <c r="C55" t="s">
        <v>9071</v>
      </c>
      <c r="D55">
        <v>1</v>
      </c>
    </row>
    <row r="56" spans="1:4" x14ac:dyDescent="0.25">
      <c r="A56" s="8" t="s">
        <v>6443</v>
      </c>
      <c r="B56" s="6">
        <v>1</v>
      </c>
      <c r="C56" t="s">
        <v>8410</v>
      </c>
      <c r="D56">
        <v>5</v>
      </c>
    </row>
    <row r="57" spans="1:4" x14ac:dyDescent="0.25">
      <c r="A57" s="8" t="s">
        <v>6628</v>
      </c>
      <c r="B57" s="6">
        <v>1</v>
      </c>
      <c r="C57" t="s">
        <v>8560</v>
      </c>
      <c r="D57">
        <v>4</v>
      </c>
    </row>
    <row r="58" spans="1:4" x14ac:dyDescent="0.25">
      <c r="A58" s="8" t="s">
        <v>6632</v>
      </c>
      <c r="B58" s="6">
        <v>1</v>
      </c>
      <c r="C58" t="s">
        <v>8412</v>
      </c>
      <c r="D58">
        <v>3</v>
      </c>
    </row>
    <row r="59" spans="1:4" x14ac:dyDescent="0.25">
      <c r="A59" s="8" t="s">
        <v>6545</v>
      </c>
      <c r="B59" s="6">
        <v>2</v>
      </c>
      <c r="C59" t="s">
        <v>8487</v>
      </c>
      <c r="D59">
        <v>3</v>
      </c>
    </row>
    <row r="60" spans="1:4" x14ac:dyDescent="0.25">
      <c r="A60" s="8" t="s">
        <v>6462</v>
      </c>
      <c r="B60" s="6">
        <v>1</v>
      </c>
      <c r="C60" t="s">
        <v>8415</v>
      </c>
      <c r="D60">
        <v>1</v>
      </c>
    </row>
    <row r="61" spans="1:4" x14ac:dyDescent="0.25">
      <c r="A61" s="8" t="s">
        <v>6447</v>
      </c>
      <c r="B61" s="6">
        <v>1</v>
      </c>
      <c r="C61" t="s">
        <v>8490</v>
      </c>
      <c r="D61">
        <v>1</v>
      </c>
    </row>
    <row r="62" spans="1:4" x14ac:dyDescent="0.25">
      <c r="A62" s="8" t="s">
        <v>6481</v>
      </c>
      <c r="B62" s="6">
        <v>2</v>
      </c>
      <c r="C62" t="s">
        <v>8416</v>
      </c>
      <c r="D62">
        <v>5</v>
      </c>
    </row>
    <row r="63" spans="1:4" x14ac:dyDescent="0.25">
      <c r="A63" s="8" t="s">
        <v>6441</v>
      </c>
      <c r="B63" s="6">
        <v>1</v>
      </c>
      <c r="C63" t="s">
        <v>8491</v>
      </c>
      <c r="D63">
        <v>9</v>
      </c>
    </row>
    <row r="64" spans="1:4" x14ac:dyDescent="0.25">
      <c r="A64" s="8" t="s">
        <v>6466</v>
      </c>
      <c r="B64" s="6">
        <v>3</v>
      </c>
      <c r="C64" t="s">
        <v>8427</v>
      </c>
      <c r="D64">
        <v>4</v>
      </c>
    </row>
    <row r="65" spans="1:4" x14ac:dyDescent="0.25">
      <c r="A65" s="8" t="s">
        <v>5432</v>
      </c>
      <c r="B65" s="6">
        <v>5</v>
      </c>
      <c r="C65" t="s">
        <v>8429</v>
      </c>
      <c r="D65">
        <v>2</v>
      </c>
    </row>
    <row r="66" spans="1:4" x14ac:dyDescent="0.25">
      <c r="A66" s="8" t="s">
        <v>5433</v>
      </c>
      <c r="B66" s="6">
        <v>6</v>
      </c>
      <c r="C66" t="s">
        <v>8431</v>
      </c>
      <c r="D66">
        <v>9</v>
      </c>
    </row>
    <row r="67" spans="1:4" x14ac:dyDescent="0.25">
      <c r="A67" s="8" t="s">
        <v>5435</v>
      </c>
      <c r="B67" s="6">
        <v>1</v>
      </c>
      <c r="C67" t="s">
        <v>8506</v>
      </c>
      <c r="D67">
        <v>12</v>
      </c>
    </row>
    <row r="68" spans="1:4" x14ac:dyDescent="0.25">
      <c r="A68" s="8" t="s">
        <v>5436</v>
      </c>
      <c r="B68" s="6">
        <v>2</v>
      </c>
      <c r="C68" t="s">
        <v>8581</v>
      </c>
      <c r="D68">
        <v>1</v>
      </c>
    </row>
    <row r="69" spans="1:4" x14ac:dyDescent="0.25">
      <c r="A69" s="8" t="s">
        <v>5438</v>
      </c>
      <c r="B69" s="6">
        <v>2</v>
      </c>
      <c r="C69" t="s">
        <v>8507</v>
      </c>
      <c r="D69">
        <v>2</v>
      </c>
    </row>
    <row r="70" spans="1:4" x14ac:dyDescent="0.25">
      <c r="A70" s="8" t="s">
        <v>5439</v>
      </c>
      <c r="B70" s="6">
        <v>1</v>
      </c>
      <c r="C70" t="s">
        <v>8435</v>
      </c>
      <c r="D70">
        <v>8</v>
      </c>
    </row>
    <row r="71" spans="1:4" x14ac:dyDescent="0.25">
      <c r="A71" s="8" t="s">
        <v>5468</v>
      </c>
      <c r="B71" s="6">
        <v>1</v>
      </c>
      <c r="C71" t="s">
        <v>8510</v>
      </c>
      <c r="D71">
        <v>34</v>
      </c>
    </row>
    <row r="72" spans="1:4" x14ac:dyDescent="0.25">
      <c r="A72" s="8" t="s">
        <v>5433</v>
      </c>
      <c r="B72" s="6">
        <v>5</v>
      </c>
      <c r="C72" t="s">
        <v>8585</v>
      </c>
      <c r="D72">
        <v>12</v>
      </c>
    </row>
    <row r="73" spans="1:4" x14ac:dyDescent="0.25">
      <c r="A73" s="8" t="s">
        <v>5433</v>
      </c>
      <c r="B73" s="6">
        <v>6</v>
      </c>
      <c r="C73" t="s">
        <v>8439</v>
      </c>
      <c r="D73">
        <v>4</v>
      </c>
    </row>
    <row r="74" spans="1:4" x14ac:dyDescent="0.25">
      <c r="A74" s="8" t="s">
        <v>5435</v>
      </c>
      <c r="B74" s="6">
        <v>2</v>
      </c>
      <c r="C74" t="s">
        <v>8514</v>
      </c>
      <c r="D74">
        <v>10</v>
      </c>
    </row>
    <row r="75" spans="1:4" x14ac:dyDescent="0.25">
      <c r="A75" s="8" t="s">
        <v>5436</v>
      </c>
      <c r="B75" s="6">
        <v>1</v>
      </c>
      <c r="C75" t="s">
        <v>8589</v>
      </c>
      <c r="D75">
        <v>12</v>
      </c>
    </row>
    <row r="76" spans="1:4" x14ac:dyDescent="0.25">
      <c r="A76" s="8" t="s">
        <v>5438</v>
      </c>
      <c r="B76" s="6">
        <v>1</v>
      </c>
      <c r="C76" t="s">
        <v>8596</v>
      </c>
      <c r="D76">
        <v>1</v>
      </c>
    </row>
    <row r="77" spans="1:4" x14ac:dyDescent="0.25">
      <c r="A77" s="8" t="s">
        <v>5439</v>
      </c>
      <c r="B77" s="6">
        <v>1</v>
      </c>
      <c r="C77" t="s">
        <v>8450</v>
      </c>
      <c r="D77">
        <v>8</v>
      </c>
    </row>
    <row r="78" spans="1:4" x14ac:dyDescent="0.25">
      <c r="A78" s="8" t="s">
        <v>5456</v>
      </c>
      <c r="B78" s="6">
        <v>1</v>
      </c>
      <c r="C78" t="s">
        <v>8525</v>
      </c>
      <c r="D78">
        <v>8</v>
      </c>
    </row>
    <row r="79" spans="1:4" x14ac:dyDescent="0.25">
      <c r="A79" s="8" t="s">
        <v>5477</v>
      </c>
      <c r="B79" s="6">
        <v>1</v>
      </c>
    </row>
    <row r="80" spans="1:4" x14ac:dyDescent="0.25">
      <c r="A80" s="8" t="s">
        <v>5478</v>
      </c>
      <c r="B80" s="6">
        <v>1</v>
      </c>
    </row>
    <row r="81" spans="1:2" x14ac:dyDescent="0.25">
      <c r="A81" s="8" t="s">
        <v>948</v>
      </c>
      <c r="B81" s="6">
        <v>1</v>
      </c>
    </row>
    <row r="82" spans="1:2" x14ac:dyDescent="0.25">
      <c r="A82" s="8" t="s">
        <v>9073</v>
      </c>
      <c r="B82" s="6">
        <v>1</v>
      </c>
    </row>
    <row r="83" spans="1:2" x14ac:dyDescent="0.25">
      <c r="A83" s="8" t="s">
        <v>9070</v>
      </c>
      <c r="B83" s="6">
        <v>2</v>
      </c>
    </row>
    <row r="84" spans="1:2" x14ac:dyDescent="0.25">
      <c r="A84" s="8" t="s">
        <v>9071</v>
      </c>
      <c r="B84" s="6">
        <v>1</v>
      </c>
    </row>
    <row r="85" spans="1:2" x14ac:dyDescent="0.25">
      <c r="A85" s="8" t="s">
        <v>8410</v>
      </c>
      <c r="B85" s="6">
        <v>5</v>
      </c>
    </row>
    <row r="86" spans="1:2" x14ac:dyDescent="0.25">
      <c r="A86" s="8" t="s">
        <v>8412</v>
      </c>
      <c r="B86" s="6">
        <v>2</v>
      </c>
    </row>
    <row r="87" spans="1:2" x14ac:dyDescent="0.25">
      <c r="A87" s="8" t="s">
        <v>8487</v>
      </c>
      <c r="B87" s="6">
        <v>2</v>
      </c>
    </row>
    <row r="88" spans="1:2" x14ac:dyDescent="0.25">
      <c r="A88" s="8" t="s">
        <v>8415</v>
      </c>
      <c r="B88" s="6">
        <v>1</v>
      </c>
    </row>
    <row r="89" spans="1:2" x14ac:dyDescent="0.25">
      <c r="A89" s="8" t="s">
        <v>8490</v>
      </c>
      <c r="B89" s="6">
        <v>1</v>
      </c>
    </row>
    <row r="90" spans="1:2" x14ac:dyDescent="0.25">
      <c r="A90" s="8" t="s">
        <v>8427</v>
      </c>
      <c r="B90" s="6">
        <v>2</v>
      </c>
    </row>
    <row r="91" spans="1:2" x14ac:dyDescent="0.25">
      <c r="A91" s="8" t="s">
        <v>8429</v>
      </c>
      <c r="B91" s="6">
        <v>2</v>
      </c>
    </row>
    <row r="92" spans="1:2" x14ac:dyDescent="0.25">
      <c r="A92" s="8" t="s">
        <v>8431</v>
      </c>
      <c r="B92" s="6">
        <v>2</v>
      </c>
    </row>
    <row r="93" spans="1:2" x14ac:dyDescent="0.25">
      <c r="A93" s="8" t="s">
        <v>8506</v>
      </c>
      <c r="B93" s="6">
        <v>8</v>
      </c>
    </row>
    <row r="94" spans="1:2" x14ac:dyDescent="0.25">
      <c r="A94" s="8" t="s">
        <v>8507</v>
      </c>
      <c r="B94" s="6">
        <v>2</v>
      </c>
    </row>
    <row r="95" spans="1:2" x14ac:dyDescent="0.25">
      <c r="A95" s="8" t="s">
        <v>8435</v>
      </c>
      <c r="B95" s="6">
        <v>4</v>
      </c>
    </row>
    <row r="96" spans="1:2" x14ac:dyDescent="0.25">
      <c r="A96" s="8" t="s">
        <v>8510</v>
      </c>
      <c r="B96" s="6">
        <v>3</v>
      </c>
    </row>
    <row r="97" spans="1:2" x14ac:dyDescent="0.25">
      <c r="A97" s="8" t="s">
        <v>8450</v>
      </c>
      <c r="B97" s="6">
        <v>3</v>
      </c>
    </row>
    <row r="98" spans="1:2" x14ac:dyDescent="0.25">
      <c r="A98" s="8" t="s">
        <v>304</v>
      </c>
      <c r="B98" s="6">
        <v>2</v>
      </c>
    </row>
    <row r="99" spans="1:2" x14ac:dyDescent="0.25">
      <c r="A99" s="8" t="s">
        <v>549</v>
      </c>
      <c r="B99" s="6">
        <v>3</v>
      </c>
    </row>
    <row r="100" spans="1:2" x14ac:dyDescent="0.25">
      <c r="A100" s="8" t="s">
        <v>555</v>
      </c>
      <c r="B100" s="6">
        <v>1</v>
      </c>
    </row>
    <row r="101" spans="1:2" x14ac:dyDescent="0.25">
      <c r="A101" s="8" t="s">
        <v>310</v>
      </c>
      <c r="B101" s="6">
        <v>1</v>
      </c>
    </row>
    <row r="102" spans="1:2" x14ac:dyDescent="0.25">
      <c r="A102" s="8" t="s">
        <v>3804</v>
      </c>
      <c r="B102" s="6">
        <v>1</v>
      </c>
    </row>
    <row r="103" spans="1:2" x14ac:dyDescent="0.25">
      <c r="A103" s="8" t="s">
        <v>6518</v>
      </c>
      <c r="B103" s="6">
        <v>1</v>
      </c>
    </row>
    <row r="104" spans="1:2" x14ac:dyDescent="0.25">
      <c r="A104" s="8" t="s">
        <v>6541</v>
      </c>
      <c r="B104" s="6">
        <v>1</v>
      </c>
    </row>
    <row r="105" spans="1:2" x14ac:dyDescent="0.25">
      <c r="A105" s="8" t="s">
        <v>6541</v>
      </c>
      <c r="B105" s="6">
        <v>1</v>
      </c>
    </row>
    <row r="106" spans="1:2" x14ac:dyDescent="0.25">
      <c r="A106" s="8" t="s">
        <v>3565</v>
      </c>
      <c r="B106" s="6">
        <v>1</v>
      </c>
    </row>
    <row r="107" spans="1:2" x14ac:dyDescent="0.25">
      <c r="A107" s="8" t="s">
        <v>5435</v>
      </c>
      <c r="B107" s="6">
        <v>2</v>
      </c>
    </row>
    <row r="108" spans="1:2" x14ac:dyDescent="0.25">
      <c r="A108" s="8" t="s">
        <v>5453</v>
      </c>
      <c r="B108" s="6">
        <v>1</v>
      </c>
    </row>
    <row r="109" spans="1:2" x14ac:dyDescent="0.25">
      <c r="A109" s="8" t="s">
        <v>5453</v>
      </c>
      <c r="B109" s="6">
        <v>2</v>
      </c>
    </row>
    <row r="110" spans="1:2" x14ac:dyDescent="0.25">
      <c r="A110" s="8" t="s">
        <v>8412</v>
      </c>
      <c r="B110" s="6">
        <v>1</v>
      </c>
    </row>
    <row r="111" spans="1:2" x14ac:dyDescent="0.25">
      <c r="A111" s="8" t="s">
        <v>8487</v>
      </c>
      <c r="B111" s="6">
        <v>1</v>
      </c>
    </row>
    <row r="112" spans="1:2" x14ac:dyDescent="0.25">
      <c r="A112" s="8" t="s">
        <v>8416</v>
      </c>
      <c r="B112" s="6">
        <v>5</v>
      </c>
    </row>
    <row r="113" spans="1:2" x14ac:dyDescent="0.25">
      <c r="A113" s="8" t="s">
        <v>8491</v>
      </c>
      <c r="B113" s="6">
        <v>7</v>
      </c>
    </row>
    <row r="114" spans="1:2" x14ac:dyDescent="0.25">
      <c r="A114" s="8" t="s">
        <v>8431</v>
      </c>
      <c r="B114" s="6">
        <v>4</v>
      </c>
    </row>
    <row r="115" spans="1:2" x14ac:dyDescent="0.25">
      <c r="A115" s="8" t="s">
        <v>8506</v>
      </c>
      <c r="B115" s="6">
        <v>4</v>
      </c>
    </row>
    <row r="116" spans="1:2" x14ac:dyDescent="0.25">
      <c r="A116" s="8" t="s">
        <v>8510</v>
      </c>
      <c r="B116" s="6">
        <v>6</v>
      </c>
    </row>
    <row r="117" spans="1:2" x14ac:dyDescent="0.25">
      <c r="A117" s="8" t="s">
        <v>8450</v>
      </c>
      <c r="B117" s="6">
        <v>5</v>
      </c>
    </row>
    <row r="118" spans="1:2" x14ac:dyDescent="0.25">
      <c r="A118" s="8" t="s">
        <v>8525</v>
      </c>
      <c r="B118" s="6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8"/>
  <sheetViews>
    <sheetView tabSelected="1" topLeftCell="A130" zoomScale="70" zoomScaleNormal="70" workbookViewId="0">
      <selection activeCell="D135" sqref="D135"/>
    </sheetView>
  </sheetViews>
  <sheetFormatPr defaultRowHeight="26.25" x14ac:dyDescent="0.4"/>
  <cols>
    <col min="1" max="1" width="25.42578125" style="68" customWidth="1"/>
    <col min="2" max="2" width="52.5703125" style="68" customWidth="1"/>
    <col min="3" max="3" width="85.85546875" style="68" customWidth="1"/>
    <col min="4" max="4" width="60.140625" style="68" customWidth="1"/>
    <col min="5" max="5" width="13.42578125" style="68" customWidth="1"/>
    <col min="6" max="6" width="32.5703125" customWidth="1"/>
    <col min="7" max="7" width="63.140625" style="65" customWidth="1"/>
    <col min="8" max="8" width="20" style="65" customWidth="1"/>
  </cols>
  <sheetData>
    <row r="1" spans="1:8" x14ac:dyDescent="0.25">
      <c r="A1" s="67" t="s">
        <v>9238</v>
      </c>
      <c r="B1" s="67" t="s">
        <v>5511</v>
      </c>
      <c r="C1" s="67" t="s">
        <v>9235</v>
      </c>
      <c r="D1" s="67" t="s">
        <v>9343</v>
      </c>
      <c r="E1" s="69" t="s">
        <v>9402</v>
      </c>
      <c r="F1" s="69" t="s">
        <v>9366</v>
      </c>
      <c r="G1" s="69" t="s">
        <v>10849</v>
      </c>
      <c r="H1" s="69" t="s">
        <v>9366</v>
      </c>
    </row>
    <row r="2" spans="1:8" x14ac:dyDescent="0.4">
      <c r="A2" s="73">
        <v>1</v>
      </c>
      <c r="B2" s="91" t="s">
        <v>9256</v>
      </c>
      <c r="C2" s="91" t="s">
        <v>9254</v>
      </c>
      <c r="D2" s="92" t="s">
        <v>9325</v>
      </c>
      <c r="E2" s="92" t="s">
        <v>9332</v>
      </c>
      <c r="F2" s="85"/>
      <c r="G2" s="74"/>
      <c r="H2" s="74"/>
    </row>
    <row r="3" spans="1:8" x14ac:dyDescent="0.4">
      <c r="A3" s="73">
        <v>2</v>
      </c>
      <c r="B3" s="91" t="s">
        <v>9257</v>
      </c>
      <c r="C3" s="91" t="s">
        <v>9254</v>
      </c>
      <c r="D3" s="92" t="s">
        <v>9325</v>
      </c>
      <c r="E3" s="92" t="s">
        <v>9332</v>
      </c>
      <c r="F3" s="85"/>
      <c r="G3" s="74"/>
      <c r="H3" s="74"/>
    </row>
    <row r="4" spans="1:8" x14ac:dyDescent="0.4">
      <c r="A4" s="73">
        <v>3</v>
      </c>
      <c r="B4" s="91" t="s">
        <v>9255</v>
      </c>
      <c r="C4" s="91" t="s">
        <v>9254</v>
      </c>
      <c r="D4" s="92" t="s">
        <v>9325</v>
      </c>
      <c r="E4" s="92" t="s">
        <v>9332</v>
      </c>
      <c r="F4" s="85"/>
      <c r="G4" s="74"/>
      <c r="H4" s="74"/>
    </row>
    <row r="5" spans="1:8" x14ac:dyDescent="0.4">
      <c r="A5" s="73">
        <v>4</v>
      </c>
      <c r="B5" s="91" t="s">
        <v>9344</v>
      </c>
      <c r="C5" s="91" t="s">
        <v>9254</v>
      </c>
      <c r="D5" s="92" t="s">
        <v>9325</v>
      </c>
      <c r="E5" s="92" t="s">
        <v>9332</v>
      </c>
      <c r="F5" s="85"/>
      <c r="G5" s="74"/>
      <c r="H5" s="74"/>
    </row>
    <row r="6" spans="1:8" x14ac:dyDescent="0.4">
      <c r="A6" s="73">
        <v>5</v>
      </c>
      <c r="B6" s="91" t="s">
        <v>9345</v>
      </c>
      <c r="C6" s="91" t="s">
        <v>9254</v>
      </c>
      <c r="D6" s="92" t="s">
        <v>9325</v>
      </c>
      <c r="E6" s="92" t="s">
        <v>9332</v>
      </c>
      <c r="F6" s="85"/>
      <c r="G6" s="74"/>
      <c r="H6" s="74"/>
    </row>
    <row r="7" spans="1:8" x14ac:dyDescent="0.4">
      <c r="A7" s="73">
        <v>6</v>
      </c>
      <c r="B7" s="91" t="s">
        <v>9253</v>
      </c>
      <c r="C7" s="91" t="s">
        <v>9254</v>
      </c>
      <c r="D7" s="92" t="s">
        <v>9325</v>
      </c>
      <c r="E7" s="92" t="s">
        <v>9332</v>
      </c>
      <c r="F7" s="85"/>
      <c r="G7" s="74"/>
      <c r="H7" s="74"/>
    </row>
    <row r="8" spans="1:8" x14ac:dyDescent="0.4">
      <c r="A8" s="73">
        <v>7</v>
      </c>
      <c r="B8" s="91" t="s">
        <v>9260</v>
      </c>
      <c r="C8" s="91" t="s">
        <v>9259</v>
      </c>
      <c r="D8" s="84" t="s">
        <v>9324</v>
      </c>
      <c r="E8" s="92" t="s">
        <v>9332</v>
      </c>
      <c r="F8" s="85"/>
      <c r="G8" s="74"/>
      <c r="H8" s="74"/>
    </row>
    <row r="9" spans="1:8" x14ac:dyDescent="0.4">
      <c r="A9" s="73">
        <v>8</v>
      </c>
      <c r="B9" s="91" t="s">
        <v>9258</v>
      </c>
      <c r="C9" s="91" t="s">
        <v>9259</v>
      </c>
      <c r="D9" s="84" t="s">
        <v>9324</v>
      </c>
      <c r="E9" s="92" t="s">
        <v>9332</v>
      </c>
      <c r="F9" s="85"/>
      <c r="G9" s="74"/>
      <c r="H9" s="74"/>
    </row>
    <row r="10" spans="1:8" x14ac:dyDescent="0.4">
      <c r="A10" s="73">
        <v>9</v>
      </c>
      <c r="B10" s="91" t="s">
        <v>9262</v>
      </c>
      <c r="C10" s="91" t="s">
        <v>9259</v>
      </c>
      <c r="D10" s="84" t="s">
        <v>9324</v>
      </c>
      <c r="E10" s="92" t="s">
        <v>9332</v>
      </c>
      <c r="F10" s="85"/>
      <c r="G10" s="74"/>
      <c r="H10" s="74"/>
    </row>
    <row r="11" spans="1:8" x14ac:dyDescent="0.4">
      <c r="A11" s="73">
        <v>10</v>
      </c>
      <c r="B11" s="91" t="s">
        <v>9263</v>
      </c>
      <c r="C11" s="91" t="s">
        <v>9259</v>
      </c>
      <c r="D11" s="84" t="s">
        <v>9324</v>
      </c>
      <c r="E11" s="92" t="s">
        <v>9332</v>
      </c>
      <c r="F11" s="85"/>
      <c r="G11" s="74"/>
      <c r="H11" s="74"/>
    </row>
    <row r="12" spans="1:8" x14ac:dyDescent="0.4">
      <c r="A12" s="73">
        <v>11</v>
      </c>
      <c r="B12" s="91" t="s">
        <v>9346</v>
      </c>
      <c r="C12" s="91" t="s">
        <v>9259</v>
      </c>
      <c r="D12" s="84" t="s">
        <v>9324</v>
      </c>
      <c r="E12" s="92" t="s">
        <v>9332</v>
      </c>
      <c r="F12" s="85"/>
      <c r="G12" s="74"/>
      <c r="H12" s="74"/>
    </row>
    <row r="13" spans="1:8" x14ac:dyDescent="0.4">
      <c r="A13" s="73">
        <v>12</v>
      </c>
      <c r="B13" s="91" t="s">
        <v>9347</v>
      </c>
      <c r="C13" s="91" t="s">
        <v>9259</v>
      </c>
      <c r="D13" s="84" t="s">
        <v>9324</v>
      </c>
      <c r="E13" s="92" t="s">
        <v>9332</v>
      </c>
      <c r="F13" s="85"/>
      <c r="G13" s="74"/>
      <c r="H13" s="74"/>
    </row>
    <row r="14" spans="1:8" x14ac:dyDescent="0.4">
      <c r="A14" s="73">
        <v>13</v>
      </c>
      <c r="B14" s="91" t="s">
        <v>9348</v>
      </c>
      <c r="C14" s="91" t="s">
        <v>9259</v>
      </c>
      <c r="D14" s="84" t="s">
        <v>9324</v>
      </c>
      <c r="E14" s="92" t="s">
        <v>9332</v>
      </c>
      <c r="F14" s="85"/>
      <c r="G14" s="74"/>
      <c r="H14" s="74"/>
    </row>
    <row r="15" spans="1:8" x14ac:dyDescent="0.4">
      <c r="A15" s="73">
        <v>14</v>
      </c>
      <c r="B15" s="91" t="s">
        <v>9349</v>
      </c>
      <c r="C15" s="91" t="s">
        <v>9259</v>
      </c>
      <c r="D15" s="84" t="s">
        <v>9324</v>
      </c>
      <c r="E15" s="92" t="s">
        <v>9332</v>
      </c>
      <c r="F15" s="85"/>
      <c r="G15" s="74"/>
      <c r="H15" s="74"/>
    </row>
    <row r="16" spans="1:8" x14ac:dyDescent="0.4">
      <c r="A16" s="73">
        <v>15</v>
      </c>
      <c r="B16" s="73" t="s">
        <v>9264</v>
      </c>
      <c r="C16" s="73" t="s">
        <v>9259</v>
      </c>
      <c r="D16" s="84" t="s">
        <v>9411</v>
      </c>
      <c r="E16" s="84" t="s">
        <v>9332</v>
      </c>
      <c r="F16" s="85"/>
      <c r="G16" s="74"/>
      <c r="H16" s="74"/>
    </row>
    <row r="17" spans="1:8" x14ac:dyDescent="0.4">
      <c r="A17" s="73">
        <v>16</v>
      </c>
      <c r="B17" s="73" t="s">
        <v>9261</v>
      </c>
      <c r="C17" s="73" t="s">
        <v>9259</v>
      </c>
      <c r="D17" s="84" t="s">
        <v>9411</v>
      </c>
      <c r="E17" s="84" t="s">
        <v>9332</v>
      </c>
      <c r="F17" s="85"/>
      <c r="G17" s="74"/>
      <c r="H17" s="74"/>
    </row>
    <row r="18" spans="1:8" x14ac:dyDescent="0.4">
      <c r="A18" s="73">
        <v>17</v>
      </c>
      <c r="B18" s="86" t="s">
        <v>9265</v>
      </c>
      <c r="C18" s="86" t="s">
        <v>9259</v>
      </c>
      <c r="D18" s="84" t="s">
        <v>9411</v>
      </c>
      <c r="E18" s="84" t="s">
        <v>9332</v>
      </c>
      <c r="F18" s="85"/>
      <c r="G18" s="74"/>
      <c r="H18" s="74"/>
    </row>
    <row r="19" spans="1:8" x14ac:dyDescent="0.4">
      <c r="A19" s="73">
        <v>18</v>
      </c>
      <c r="B19" s="73" t="s">
        <v>9350</v>
      </c>
      <c r="C19" s="73" t="s">
        <v>9259</v>
      </c>
      <c r="D19" s="84" t="s">
        <v>9411</v>
      </c>
      <c r="E19" s="84" t="s">
        <v>9332</v>
      </c>
      <c r="F19" s="85"/>
      <c r="G19" s="74"/>
      <c r="H19" s="74"/>
    </row>
    <row r="20" spans="1:8" x14ac:dyDescent="0.4">
      <c r="A20" s="73">
        <v>19</v>
      </c>
      <c r="B20" s="73" t="s">
        <v>9351</v>
      </c>
      <c r="C20" s="73" t="s">
        <v>9259</v>
      </c>
      <c r="D20" s="84" t="s">
        <v>9411</v>
      </c>
      <c r="E20" s="84" t="s">
        <v>9332</v>
      </c>
      <c r="F20" s="85"/>
      <c r="G20" s="74"/>
      <c r="H20" s="74"/>
    </row>
    <row r="21" spans="1:8" x14ac:dyDescent="0.4">
      <c r="A21" s="73">
        <v>20</v>
      </c>
      <c r="B21" s="86" t="s">
        <v>9352</v>
      </c>
      <c r="C21" s="86" t="s">
        <v>9259</v>
      </c>
      <c r="D21" s="84" t="s">
        <v>9411</v>
      </c>
      <c r="E21" s="84" t="s">
        <v>9332</v>
      </c>
      <c r="F21" s="85"/>
      <c r="G21" s="74"/>
      <c r="H21" s="74"/>
    </row>
    <row r="22" spans="1:8" x14ac:dyDescent="0.4">
      <c r="A22" s="73">
        <v>21</v>
      </c>
      <c r="B22" s="73" t="s">
        <v>9268</v>
      </c>
      <c r="C22" s="73" t="s">
        <v>9267</v>
      </c>
      <c r="D22" s="84" t="s">
        <v>9324</v>
      </c>
      <c r="E22" s="84" t="s">
        <v>9332</v>
      </c>
      <c r="F22" s="85"/>
      <c r="G22" s="74"/>
      <c r="H22" s="74"/>
    </row>
    <row r="23" spans="1:8" x14ac:dyDescent="0.4">
      <c r="A23" s="73">
        <v>22</v>
      </c>
      <c r="B23" s="73" t="s">
        <v>9270</v>
      </c>
      <c r="C23" s="73" t="s">
        <v>9267</v>
      </c>
      <c r="D23" s="84" t="s">
        <v>9324</v>
      </c>
      <c r="E23" s="84" t="s">
        <v>9332</v>
      </c>
      <c r="F23" s="85"/>
      <c r="G23" s="74"/>
      <c r="H23" s="74"/>
    </row>
    <row r="24" spans="1:8" x14ac:dyDescent="0.4">
      <c r="A24" s="73">
        <v>23</v>
      </c>
      <c r="B24" s="73" t="s">
        <v>9272</v>
      </c>
      <c r="C24" s="73" t="s">
        <v>9267</v>
      </c>
      <c r="D24" s="84" t="s">
        <v>9324</v>
      </c>
      <c r="E24" s="84" t="s">
        <v>9332</v>
      </c>
      <c r="F24" s="85"/>
      <c r="G24" s="74"/>
      <c r="H24" s="74"/>
    </row>
    <row r="25" spans="1:8" x14ac:dyDescent="0.4">
      <c r="A25" s="73">
        <v>24</v>
      </c>
      <c r="B25" s="73" t="s">
        <v>9276</v>
      </c>
      <c r="C25" s="73" t="s">
        <v>9267</v>
      </c>
      <c r="D25" s="84" t="s">
        <v>9324</v>
      </c>
      <c r="E25" s="84" t="s">
        <v>9332</v>
      </c>
      <c r="F25" s="85"/>
      <c r="G25" s="74"/>
      <c r="H25" s="74"/>
    </row>
    <row r="26" spans="1:8" x14ac:dyDescent="0.4">
      <c r="A26" s="73">
        <v>25</v>
      </c>
      <c r="B26" s="73" t="s">
        <v>9271</v>
      </c>
      <c r="C26" s="73" t="s">
        <v>9267</v>
      </c>
      <c r="D26" s="84" t="s">
        <v>9324</v>
      </c>
      <c r="E26" s="84" t="s">
        <v>9332</v>
      </c>
      <c r="F26" s="85"/>
      <c r="G26" s="74"/>
      <c r="H26" s="74"/>
    </row>
    <row r="27" spans="1:8" x14ac:dyDescent="0.4">
      <c r="A27" s="73">
        <v>26</v>
      </c>
      <c r="B27" s="73" t="s">
        <v>9274</v>
      </c>
      <c r="C27" s="73" t="s">
        <v>9267</v>
      </c>
      <c r="D27" s="84" t="s">
        <v>9324</v>
      </c>
      <c r="E27" s="84" t="s">
        <v>9332</v>
      </c>
      <c r="F27" s="85"/>
      <c r="G27" s="74"/>
      <c r="H27" s="74"/>
    </row>
    <row r="28" spans="1:8" x14ac:dyDescent="0.4">
      <c r="A28" s="73">
        <v>27</v>
      </c>
      <c r="B28" s="73" t="s">
        <v>9353</v>
      </c>
      <c r="C28" s="73" t="s">
        <v>9267</v>
      </c>
      <c r="D28" s="84" t="s">
        <v>9411</v>
      </c>
      <c r="E28" s="84" t="s">
        <v>9332</v>
      </c>
      <c r="F28" s="85"/>
      <c r="G28" s="74"/>
      <c r="H28" s="74"/>
    </row>
    <row r="29" spans="1:8" x14ac:dyDescent="0.4">
      <c r="A29" s="73">
        <v>28</v>
      </c>
      <c r="B29" s="73" t="s">
        <v>9354</v>
      </c>
      <c r="C29" s="73" t="s">
        <v>9267</v>
      </c>
      <c r="D29" s="84" t="s">
        <v>9411</v>
      </c>
      <c r="E29" s="84" t="s">
        <v>9332</v>
      </c>
      <c r="F29" s="85"/>
      <c r="G29" s="74"/>
      <c r="H29" s="74"/>
    </row>
    <row r="30" spans="1:8" x14ac:dyDescent="0.4">
      <c r="A30" s="73">
        <v>29</v>
      </c>
      <c r="B30" s="73" t="s">
        <v>9275</v>
      </c>
      <c r="C30" s="73" t="s">
        <v>9267</v>
      </c>
      <c r="D30" s="84" t="s">
        <v>9411</v>
      </c>
      <c r="E30" s="84" t="s">
        <v>9332</v>
      </c>
      <c r="F30" s="85"/>
      <c r="G30" s="74"/>
      <c r="H30" s="74"/>
    </row>
    <row r="31" spans="1:8" x14ac:dyDescent="0.4">
      <c r="A31" s="73">
        <v>30</v>
      </c>
      <c r="B31" s="73" t="s">
        <v>9273</v>
      </c>
      <c r="C31" s="73" t="s">
        <v>9267</v>
      </c>
      <c r="D31" s="84" t="s">
        <v>9411</v>
      </c>
      <c r="E31" s="84" t="s">
        <v>9332</v>
      </c>
      <c r="F31" s="85"/>
      <c r="G31" s="74"/>
      <c r="H31" s="74"/>
    </row>
    <row r="32" spans="1:8" x14ac:dyDescent="0.4">
      <c r="A32" s="73">
        <v>31</v>
      </c>
      <c r="B32" s="73" t="s">
        <v>9269</v>
      </c>
      <c r="C32" s="73" t="s">
        <v>9267</v>
      </c>
      <c r="D32" s="84" t="s">
        <v>9411</v>
      </c>
      <c r="E32" s="84" t="s">
        <v>9332</v>
      </c>
      <c r="F32" s="85"/>
      <c r="G32" s="74"/>
      <c r="H32" s="74"/>
    </row>
    <row r="33" spans="1:8" x14ac:dyDescent="0.4">
      <c r="A33" s="73">
        <v>32</v>
      </c>
      <c r="B33" s="73" t="s">
        <v>9266</v>
      </c>
      <c r="C33" s="73" t="s">
        <v>9267</v>
      </c>
      <c r="D33" s="84" t="s">
        <v>9411</v>
      </c>
      <c r="E33" s="84" t="s">
        <v>9332</v>
      </c>
      <c r="F33" s="85"/>
      <c r="G33" s="74"/>
      <c r="H33" s="74"/>
    </row>
    <row r="34" spans="1:8" x14ac:dyDescent="0.4">
      <c r="A34" s="73">
        <v>33</v>
      </c>
      <c r="B34" s="73" t="s">
        <v>9279</v>
      </c>
      <c r="C34" s="73" t="s">
        <v>9278</v>
      </c>
      <c r="D34" s="84" t="s">
        <v>9324</v>
      </c>
      <c r="E34" s="84" t="s">
        <v>9332</v>
      </c>
      <c r="F34" s="85"/>
      <c r="G34" s="74"/>
      <c r="H34" s="74"/>
    </row>
    <row r="35" spans="1:8" x14ac:dyDescent="0.4">
      <c r="A35" s="73">
        <v>34</v>
      </c>
      <c r="B35" s="73" t="s">
        <v>9277</v>
      </c>
      <c r="C35" s="73" t="s">
        <v>9278</v>
      </c>
      <c r="D35" s="84" t="s">
        <v>9324</v>
      </c>
      <c r="E35" s="84" t="s">
        <v>9332</v>
      </c>
      <c r="F35" s="85"/>
      <c r="G35" s="74"/>
      <c r="H35" s="74"/>
    </row>
    <row r="36" spans="1:8" x14ac:dyDescent="0.4">
      <c r="A36" s="73">
        <v>35</v>
      </c>
      <c r="B36" s="73" t="s">
        <v>9283</v>
      </c>
      <c r="C36" s="73" t="s">
        <v>9278</v>
      </c>
      <c r="D36" s="84" t="s">
        <v>9324</v>
      </c>
      <c r="E36" s="84" t="s">
        <v>9332</v>
      </c>
      <c r="F36" s="85"/>
      <c r="G36" s="74"/>
      <c r="H36" s="74"/>
    </row>
    <row r="37" spans="1:8" x14ac:dyDescent="0.4">
      <c r="A37" s="73">
        <v>36</v>
      </c>
      <c r="B37" s="73" t="s">
        <v>9288</v>
      </c>
      <c r="C37" s="86" t="s">
        <v>9278</v>
      </c>
      <c r="D37" s="84" t="s">
        <v>9324</v>
      </c>
      <c r="E37" s="84" t="s">
        <v>9332</v>
      </c>
      <c r="F37" s="85"/>
      <c r="G37" s="74"/>
      <c r="H37" s="74"/>
    </row>
    <row r="38" spans="1:8" x14ac:dyDescent="0.4">
      <c r="A38" s="73">
        <v>37</v>
      </c>
      <c r="B38" s="73" t="s">
        <v>9284</v>
      </c>
      <c r="C38" s="73" t="s">
        <v>9278</v>
      </c>
      <c r="D38" s="84" t="s">
        <v>9324</v>
      </c>
      <c r="E38" s="84" t="s">
        <v>9332</v>
      </c>
      <c r="F38" s="85"/>
      <c r="G38" s="74"/>
      <c r="H38" s="74"/>
    </row>
    <row r="39" spans="1:8" x14ac:dyDescent="0.4">
      <c r="A39" s="73">
        <v>38</v>
      </c>
      <c r="B39" s="73" t="s">
        <v>9285</v>
      </c>
      <c r="C39" s="73" t="s">
        <v>9278</v>
      </c>
      <c r="D39" s="84" t="s">
        <v>9324</v>
      </c>
      <c r="E39" s="84" t="s">
        <v>9332</v>
      </c>
      <c r="F39" s="85"/>
      <c r="G39" s="74"/>
      <c r="H39" s="74"/>
    </row>
    <row r="40" spans="1:8" x14ac:dyDescent="0.4">
      <c r="A40" s="73">
        <v>39</v>
      </c>
      <c r="B40" s="73" t="s">
        <v>9289</v>
      </c>
      <c r="C40" s="73" t="s">
        <v>9278</v>
      </c>
      <c r="D40" s="84" t="s">
        <v>9411</v>
      </c>
      <c r="E40" s="84" t="s">
        <v>9332</v>
      </c>
      <c r="F40" s="85"/>
      <c r="G40" s="74"/>
      <c r="H40" s="74"/>
    </row>
    <row r="41" spans="1:8" x14ac:dyDescent="0.4">
      <c r="A41" s="73">
        <v>40</v>
      </c>
      <c r="B41" s="73" t="s">
        <v>9281</v>
      </c>
      <c r="C41" s="73" t="s">
        <v>9278</v>
      </c>
      <c r="D41" s="84" t="s">
        <v>9411</v>
      </c>
      <c r="E41" s="84" t="s">
        <v>9332</v>
      </c>
      <c r="F41" s="85"/>
      <c r="G41" s="74"/>
      <c r="H41" s="74"/>
    </row>
    <row r="42" spans="1:8" x14ac:dyDescent="0.4">
      <c r="A42" s="73">
        <v>41</v>
      </c>
      <c r="B42" s="73" t="s">
        <v>9282</v>
      </c>
      <c r="C42" s="73" t="s">
        <v>9278</v>
      </c>
      <c r="D42" s="84" t="s">
        <v>9411</v>
      </c>
      <c r="E42" s="84" t="s">
        <v>9332</v>
      </c>
      <c r="F42" s="85"/>
      <c r="G42" s="74"/>
      <c r="H42" s="74"/>
    </row>
    <row r="43" spans="1:8" x14ac:dyDescent="0.4">
      <c r="A43" s="73">
        <v>42</v>
      </c>
      <c r="B43" s="73" t="s">
        <v>9286</v>
      </c>
      <c r="C43" s="73" t="s">
        <v>9278</v>
      </c>
      <c r="D43" s="84" t="s">
        <v>9411</v>
      </c>
      <c r="E43" s="84" t="s">
        <v>9332</v>
      </c>
      <c r="F43" s="85"/>
      <c r="G43" s="74"/>
      <c r="H43" s="74"/>
    </row>
    <row r="44" spans="1:8" x14ac:dyDescent="0.4">
      <c r="A44" s="73">
        <v>43</v>
      </c>
      <c r="B44" s="73" t="s">
        <v>9280</v>
      </c>
      <c r="C44" s="73" t="s">
        <v>9278</v>
      </c>
      <c r="D44" s="84" t="s">
        <v>9411</v>
      </c>
      <c r="E44" s="84" t="s">
        <v>9332</v>
      </c>
      <c r="F44" s="85"/>
      <c r="G44" s="74"/>
      <c r="H44" s="74"/>
    </row>
    <row r="45" spans="1:8" x14ac:dyDescent="0.4">
      <c r="A45" s="73">
        <v>44</v>
      </c>
      <c r="B45" s="73" t="s">
        <v>9287</v>
      </c>
      <c r="C45" s="73" t="s">
        <v>9278</v>
      </c>
      <c r="D45" s="84" t="s">
        <v>9411</v>
      </c>
      <c r="E45" s="84" t="s">
        <v>9332</v>
      </c>
      <c r="F45" s="85"/>
      <c r="G45" s="74"/>
      <c r="H45" s="74"/>
    </row>
    <row r="46" spans="1:8" x14ac:dyDescent="0.4">
      <c r="A46" s="73">
        <v>45</v>
      </c>
      <c r="B46" s="91" t="s">
        <v>9293</v>
      </c>
      <c r="C46" s="91" t="s">
        <v>9236</v>
      </c>
      <c r="D46" s="92" t="s">
        <v>9326</v>
      </c>
      <c r="E46" s="92" t="s">
        <v>9332</v>
      </c>
      <c r="F46" s="85"/>
      <c r="G46" s="74"/>
      <c r="H46" s="74"/>
    </row>
    <row r="47" spans="1:8" x14ac:dyDescent="0.4">
      <c r="A47" s="73">
        <v>46</v>
      </c>
      <c r="B47" s="91" t="s">
        <v>9294</v>
      </c>
      <c r="C47" s="91" t="s">
        <v>9236</v>
      </c>
      <c r="D47" s="92" t="s">
        <v>9326</v>
      </c>
      <c r="E47" s="92" t="s">
        <v>9332</v>
      </c>
      <c r="F47" s="85"/>
      <c r="G47" s="74"/>
      <c r="H47" s="74"/>
    </row>
    <row r="48" spans="1:8" x14ac:dyDescent="0.4">
      <c r="A48" s="73">
        <v>47</v>
      </c>
      <c r="B48" s="91" t="s">
        <v>9295</v>
      </c>
      <c r="C48" s="91" t="s">
        <v>9236</v>
      </c>
      <c r="D48" s="92" t="s">
        <v>9326</v>
      </c>
      <c r="E48" s="92" t="s">
        <v>9332</v>
      </c>
      <c r="F48" s="85"/>
      <c r="G48" s="74"/>
      <c r="H48" s="74"/>
    </row>
    <row r="49" spans="1:8" x14ac:dyDescent="0.4">
      <c r="A49" s="73">
        <v>48</v>
      </c>
      <c r="B49" s="91" t="s">
        <v>9291</v>
      </c>
      <c r="C49" s="91" t="s">
        <v>9236</v>
      </c>
      <c r="D49" s="92" t="s">
        <v>9326</v>
      </c>
      <c r="E49" s="92" t="s">
        <v>9332</v>
      </c>
      <c r="F49" s="85"/>
      <c r="G49" s="74"/>
      <c r="H49" s="74"/>
    </row>
    <row r="50" spans="1:8" x14ac:dyDescent="0.4">
      <c r="A50" s="73">
        <v>49</v>
      </c>
      <c r="B50" s="91" t="s">
        <v>9290</v>
      </c>
      <c r="C50" s="91" t="s">
        <v>9236</v>
      </c>
      <c r="D50" s="92" t="s">
        <v>9326</v>
      </c>
      <c r="E50" s="92" t="s">
        <v>9332</v>
      </c>
      <c r="F50" s="85"/>
      <c r="G50" s="74">
        <v>15</v>
      </c>
      <c r="H50" s="74"/>
    </row>
    <row r="51" spans="1:8" x14ac:dyDescent="0.4">
      <c r="A51" s="73">
        <v>50</v>
      </c>
      <c r="B51" s="91" t="s">
        <v>9292</v>
      </c>
      <c r="C51" s="91" t="s">
        <v>9236</v>
      </c>
      <c r="D51" s="92" t="s">
        <v>9326</v>
      </c>
      <c r="E51" s="92" t="s">
        <v>9332</v>
      </c>
      <c r="F51" s="85"/>
      <c r="G51" s="74"/>
      <c r="H51" s="74"/>
    </row>
    <row r="52" spans="1:8" x14ac:dyDescent="0.4">
      <c r="A52" s="73">
        <v>51</v>
      </c>
      <c r="B52" s="91" t="s">
        <v>9298</v>
      </c>
      <c r="C52" s="91" t="s">
        <v>9297</v>
      </c>
      <c r="D52" s="92" t="s">
        <v>9327</v>
      </c>
      <c r="E52" s="92" t="s">
        <v>9332</v>
      </c>
      <c r="F52" s="85"/>
      <c r="G52" s="74"/>
      <c r="H52" s="74"/>
    </row>
    <row r="53" spans="1:8" x14ac:dyDescent="0.4">
      <c r="A53" s="73">
        <v>52</v>
      </c>
      <c r="B53" s="91" t="s">
        <v>9296</v>
      </c>
      <c r="C53" s="91" t="s">
        <v>9297</v>
      </c>
      <c r="D53" s="92" t="s">
        <v>9327</v>
      </c>
      <c r="E53" s="92" t="s">
        <v>9332</v>
      </c>
      <c r="F53" s="85"/>
      <c r="G53" s="74"/>
      <c r="H53" s="74"/>
    </row>
    <row r="54" spans="1:8" x14ac:dyDescent="0.4">
      <c r="A54" s="73">
        <v>53</v>
      </c>
      <c r="B54" s="91" t="s">
        <v>9355</v>
      </c>
      <c r="C54" s="91" t="s">
        <v>9297</v>
      </c>
      <c r="D54" s="92" t="s">
        <v>9327</v>
      </c>
      <c r="E54" s="92" t="s">
        <v>9332</v>
      </c>
      <c r="F54" s="85"/>
      <c r="G54" s="74"/>
      <c r="H54" s="74"/>
    </row>
    <row r="55" spans="1:8" x14ac:dyDescent="0.4">
      <c r="A55" s="73">
        <v>54</v>
      </c>
      <c r="B55" s="91" t="s">
        <v>9342</v>
      </c>
      <c r="C55" s="91" t="s">
        <v>9297</v>
      </c>
      <c r="D55" s="92" t="s">
        <v>9327</v>
      </c>
      <c r="E55" s="92" t="s">
        <v>9332</v>
      </c>
      <c r="F55" s="85"/>
      <c r="G55" s="74"/>
      <c r="H55" s="74"/>
    </row>
    <row r="56" spans="1:8" x14ac:dyDescent="0.4">
      <c r="A56" s="73">
        <v>55</v>
      </c>
      <c r="B56" s="91" t="s">
        <v>9299</v>
      </c>
      <c r="C56" s="91" t="s">
        <v>9297</v>
      </c>
      <c r="D56" s="92" t="s">
        <v>9327</v>
      </c>
      <c r="E56" s="92" t="s">
        <v>9332</v>
      </c>
      <c r="F56" s="85"/>
      <c r="G56" s="74"/>
      <c r="H56" s="74"/>
    </row>
    <row r="57" spans="1:8" x14ac:dyDescent="0.4">
      <c r="A57" s="73">
        <v>56</v>
      </c>
      <c r="B57" s="91" t="s">
        <v>9356</v>
      </c>
      <c r="C57" s="91" t="s">
        <v>9297</v>
      </c>
      <c r="D57" s="92" t="s">
        <v>9327</v>
      </c>
      <c r="E57" s="92" t="s">
        <v>9332</v>
      </c>
      <c r="F57" s="85"/>
      <c r="G57" s="74"/>
      <c r="H57" s="74"/>
    </row>
    <row r="58" spans="1:8" x14ac:dyDescent="0.4">
      <c r="A58" s="73">
        <v>57</v>
      </c>
      <c r="B58" s="91" t="s">
        <v>9384</v>
      </c>
      <c r="C58" s="91" t="s">
        <v>9386</v>
      </c>
      <c r="D58" s="92" t="s">
        <v>9382</v>
      </c>
      <c r="E58" s="92" t="s">
        <v>9332</v>
      </c>
      <c r="F58" s="85"/>
      <c r="G58" s="74"/>
      <c r="H58" s="74"/>
    </row>
    <row r="59" spans="1:8" x14ac:dyDescent="0.4">
      <c r="A59" s="73">
        <v>58</v>
      </c>
      <c r="B59" s="91" t="s">
        <v>9383</v>
      </c>
      <c r="C59" s="91" t="s">
        <v>9386</v>
      </c>
      <c r="D59" s="92" t="s">
        <v>9382</v>
      </c>
      <c r="E59" s="92" t="s">
        <v>9332</v>
      </c>
      <c r="F59" s="85"/>
      <c r="G59" s="74"/>
      <c r="H59" s="74"/>
    </row>
    <row r="60" spans="1:8" x14ac:dyDescent="0.4">
      <c r="A60" s="73">
        <v>59</v>
      </c>
      <c r="B60" s="91" t="s">
        <v>9385</v>
      </c>
      <c r="C60" s="91" t="s">
        <v>9386</v>
      </c>
      <c r="D60" s="92" t="s">
        <v>9382</v>
      </c>
      <c r="E60" s="92" t="s">
        <v>9332</v>
      </c>
      <c r="F60" s="85"/>
      <c r="G60" s="74"/>
      <c r="H60" s="74"/>
    </row>
    <row r="61" spans="1:8" x14ac:dyDescent="0.4">
      <c r="A61" s="73">
        <v>60</v>
      </c>
      <c r="B61" s="91" t="s">
        <v>9387</v>
      </c>
      <c r="C61" s="91" t="s">
        <v>9386</v>
      </c>
      <c r="D61" s="92" t="s">
        <v>9382</v>
      </c>
      <c r="E61" s="92" t="s">
        <v>9332</v>
      </c>
      <c r="F61" s="85"/>
      <c r="G61" s="74"/>
      <c r="H61" s="74"/>
    </row>
    <row r="62" spans="1:8" x14ac:dyDescent="0.4">
      <c r="A62" s="73">
        <v>61</v>
      </c>
      <c r="B62" s="91" t="s">
        <v>9388</v>
      </c>
      <c r="C62" s="91" t="s">
        <v>9386</v>
      </c>
      <c r="D62" s="92" t="s">
        <v>9382</v>
      </c>
      <c r="E62" s="92" t="s">
        <v>9332</v>
      </c>
      <c r="F62" s="85"/>
      <c r="G62" s="74"/>
      <c r="H62" s="74"/>
    </row>
    <row r="63" spans="1:8" x14ac:dyDescent="0.4">
      <c r="A63" s="73">
        <v>62</v>
      </c>
      <c r="B63" s="91" t="s">
        <v>9389</v>
      </c>
      <c r="C63" s="91" t="s">
        <v>9386</v>
      </c>
      <c r="D63" s="92" t="s">
        <v>9382</v>
      </c>
      <c r="E63" s="92" t="s">
        <v>9332</v>
      </c>
      <c r="F63" s="85"/>
      <c r="G63" s="74"/>
      <c r="H63" s="74"/>
    </row>
    <row r="64" spans="1:8" x14ac:dyDescent="0.4">
      <c r="A64" s="73">
        <v>63</v>
      </c>
      <c r="B64" s="91" t="s">
        <v>9380</v>
      </c>
      <c r="C64" s="91" t="s">
        <v>5530</v>
      </c>
      <c r="D64" s="92" t="s">
        <v>9378</v>
      </c>
      <c r="E64" s="92" t="s">
        <v>9332</v>
      </c>
      <c r="F64" s="85"/>
      <c r="G64" s="74"/>
      <c r="H64" s="74"/>
    </row>
    <row r="65" spans="1:8" x14ac:dyDescent="0.4">
      <c r="A65" s="73">
        <v>64</v>
      </c>
      <c r="B65" s="91" t="s">
        <v>9381</v>
      </c>
      <c r="C65" s="91" t="s">
        <v>5530</v>
      </c>
      <c r="D65" s="92" t="s">
        <v>9378</v>
      </c>
      <c r="E65" s="92" t="s">
        <v>9332</v>
      </c>
      <c r="F65" s="85"/>
      <c r="G65" s="74"/>
      <c r="H65" s="74"/>
    </row>
    <row r="66" spans="1:8" x14ac:dyDescent="0.4">
      <c r="A66" s="73">
        <v>65</v>
      </c>
      <c r="B66" s="91" t="s">
        <v>9379</v>
      </c>
      <c r="C66" s="91" t="s">
        <v>5530</v>
      </c>
      <c r="D66" s="92" t="s">
        <v>9378</v>
      </c>
      <c r="E66" s="92" t="s">
        <v>9332</v>
      </c>
      <c r="F66" s="85"/>
      <c r="G66" s="74"/>
      <c r="H66" s="74"/>
    </row>
    <row r="67" spans="1:8" x14ac:dyDescent="0.4">
      <c r="A67" s="73">
        <v>66</v>
      </c>
      <c r="B67" s="91" t="s">
        <v>9390</v>
      </c>
      <c r="C67" s="91" t="s">
        <v>5530</v>
      </c>
      <c r="D67" s="92" t="s">
        <v>9378</v>
      </c>
      <c r="E67" s="92" t="s">
        <v>9332</v>
      </c>
      <c r="F67" s="85"/>
      <c r="G67" s="74"/>
      <c r="H67" s="74"/>
    </row>
    <row r="68" spans="1:8" x14ac:dyDescent="0.4">
      <c r="A68" s="73">
        <v>67</v>
      </c>
      <c r="B68" s="91" t="s">
        <v>9391</v>
      </c>
      <c r="C68" s="91" t="s">
        <v>5530</v>
      </c>
      <c r="D68" s="92" t="s">
        <v>9378</v>
      </c>
      <c r="E68" s="92" t="s">
        <v>9332</v>
      </c>
      <c r="F68" s="85"/>
      <c r="G68" s="74"/>
      <c r="H68" s="74"/>
    </row>
    <row r="69" spans="1:8" x14ac:dyDescent="0.4">
      <c r="A69" s="73">
        <v>68</v>
      </c>
      <c r="B69" s="91" t="s">
        <v>9392</v>
      </c>
      <c r="C69" s="91" t="s">
        <v>5530</v>
      </c>
      <c r="D69" s="92" t="s">
        <v>9378</v>
      </c>
      <c r="E69" s="92" t="s">
        <v>9332</v>
      </c>
      <c r="F69" s="85"/>
      <c r="G69" s="74"/>
      <c r="H69" s="74"/>
    </row>
    <row r="70" spans="1:8" x14ac:dyDescent="0.4">
      <c r="A70" s="73">
        <v>69</v>
      </c>
      <c r="B70" s="91" t="s">
        <v>9393</v>
      </c>
      <c r="C70" s="91" t="s">
        <v>5530</v>
      </c>
      <c r="D70" s="92" t="s">
        <v>9378</v>
      </c>
      <c r="E70" s="92" t="s">
        <v>9332</v>
      </c>
      <c r="F70" s="85"/>
      <c r="G70" s="74"/>
      <c r="H70" s="74"/>
    </row>
    <row r="71" spans="1:8" x14ac:dyDescent="0.4">
      <c r="A71" s="73">
        <v>70</v>
      </c>
      <c r="B71" s="91" t="s">
        <v>9394</v>
      </c>
      <c r="C71" s="91" t="s">
        <v>5530</v>
      </c>
      <c r="D71" s="92" t="s">
        <v>9378</v>
      </c>
      <c r="E71" s="92" t="s">
        <v>9332</v>
      </c>
      <c r="F71" s="85"/>
      <c r="G71" s="74"/>
      <c r="H71" s="74"/>
    </row>
    <row r="72" spans="1:8" x14ac:dyDescent="0.4">
      <c r="A72" s="73">
        <v>71</v>
      </c>
      <c r="B72" s="91" t="s">
        <v>9395</v>
      </c>
      <c r="C72" s="91" t="s">
        <v>5530</v>
      </c>
      <c r="D72" s="92" t="s">
        <v>9378</v>
      </c>
      <c r="E72" s="92" t="s">
        <v>9332</v>
      </c>
      <c r="F72" s="85"/>
      <c r="G72" s="74"/>
      <c r="H72" s="74"/>
    </row>
    <row r="73" spans="1:8" x14ac:dyDescent="0.4">
      <c r="A73" s="73">
        <v>72</v>
      </c>
      <c r="B73" s="91" t="s">
        <v>9305</v>
      </c>
      <c r="C73" s="91" t="s">
        <v>5526</v>
      </c>
      <c r="D73" s="92" t="s">
        <v>9328</v>
      </c>
      <c r="E73" s="92" t="s">
        <v>9332</v>
      </c>
      <c r="F73" s="85"/>
      <c r="G73" s="74"/>
      <c r="H73" s="74"/>
    </row>
    <row r="74" spans="1:8" x14ac:dyDescent="0.4">
      <c r="A74" s="73">
        <v>73</v>
      </c>
      <c r="B74" s="91" t="s">
        <v>9303</v>
      </c>
      <c r="C74" s="91" t="s">
        <v>5526</v>
      </c>
      <c r="D74" s="92" t="s">
        <v>9328</v>
      </c>
      <c r="E74" s="92" t="s">
        <v>9332</v>
      </c>
      <c r="F74" s="85"/>
      <c r="G74" s="74"/>
      <c r="H74" s="74"/>
    </row>
    <row r="75" spans="1:8" x14ac:dyDescent="0.4">
      <c r="A75" s="73">
        <v>74</v>
      </c>
      <c r="B75" s="91" t="s">
        <v>9357</v>
      </c>
      <c r="C75" s="91" t="s">
        <v>5526</v>
      </c>
      <c r="D75" s="92" t="s">
        <v>9328</v>
      </c>
      <c r="E75" s="92" t="s">
        <v>9332</v>
      </c>
      <c r="F75" s="85"/>
      <c r="G75" s="74"/>
      <c r="H75" s="74"/>
    </row>
    <row r="76" spans="1:8" x14ac:dyDescent="0.4">
      <c r="A76" s="73">
        <v>75</v>
      </c>
      <c r="B76" s="91" t="s">
        <v>9306</v>
      </c>
      <c r="C76" s="91" t="s">
        <v>5526</v>
      </c>
      <c r="D76" s="92" t="s">
        <v>9328</v>
      </c>
      <c r="E76" s="92" t="s">
        <v>9332</v>
      </c>
      <c r="F76" s="85"/>
      <c r="G76" s="74"/>
      <c r="H76" s="74"/>
    </row>
    <row r="77" spans="1:8" x14ac:dyDescent="0.4">
      <c r="A77" s="73">
        <v>76</v>
      </c>
      <c r="B77" s="91" t="s">
        <v>9304</v>
      </c>
      <c r="C77" s="91" t="s">
        <v>5526</v>
      </c>
      <c r="D77" s="92" t="s">
        <v>9328</v>
      </c>
      <c r="E77" s="92" t="s">
        <v>9332</v>
      </c>
      <c r="F77" s="85"/>
      <c r="G77" s="74"/>
      <c r="H77" s="74"/>
    </row>
    <row r="78" spans="1:8" x14ac:dyDescent="0.4">
      <c r="A78" s="73">
        <v>77</v>
      </c>
      <c r="B78" s="91" t="s">
        <v>9358</v>
      </c>
      <c r="C78" s="91" t="s">
        <v>5526</v>
      </c>
      <c r="D78" s="92" t="s">
        <v>9328</v>
      </c>
      <c r="E78" s="92" t="s">
        <v>9332</v>
      </c>
      <c r="F78" s="85"/>
      <c r="G78" s="74"/>
      <c r="H78" s="74"/>
    </row>
    <row r="79" spans="1:8" x14ac:dyDescent="0.4">
      <c r="A79" s="73"/>
      <c r="B79" s="91" t="s">
        <v>10852</v>
      </c>
      <c r="C79" s="91" t="s">
        <v>5526</v>
      </c>
      <c r="D79" s="92" t="s">
        <v>9328</v>
      </c>
      <c r="E79" s="92" t="s">
        <v>9332</v>
      </c>
      <c r="F79" s="85"/>
      <c r="G79" s="74"/>
      <c r="H79" s="74"/>
    </row>
    <row r="80" spans="1:8" x14ac:dyDescent="0.4">
      <c r="A80" s="73">
        <v>78</v>
      </c>
      <c r="B80" s="73" t="s">
        <v>9308</v>
      </c>
      <c r="C80" s="73" t="s">
        <v>8635</v>
      </c>
      <c r="D80" s="84" t="s">
        <v>9329</v>
      </c>
      <c r="E80" s="84" t="s">
        <v>9332</v>
      </c>
      <c r="F80" s="85"/>
      <c r="G80" s="74"/>
      <c r="H80" s="74"/>
    </row>
    <row r="81" spans="1:8" x14ac:dyDescent="0.4">
      <c r="A81" s="73">
        <v>79</v>
      </c>
      <c r="B81" s="73" t="s">
        <v>9309</v>
      </c>
      <c r="C81" s="73" t="s">
        <v>8635</v>
      </c>
      <c r="D81" s="84" t="s">
        <v>9329</v>
      </c>
      <c r="E81" s="84" t="s">
        <v>9332</v>
      </c>
      <c r="F81" s="85"/>
      <c r="G81" s="74"/>
      <c r="H81" s="74"/>
    </row>
    <row r="82" spans="1:8" x14ac:dyDescent="0.4">
      <c r="A82" s="73">
        <v>80</v>
      </c>
      <c r="B82" s="73" t="s">
        <v>9310</v>
      </c>
      <c r="C82" s="73" t="s">
        <v>8635</v>
      </c>
      <c r="D82" s="84" t="s">
        <v>9329</v>
      </c>
      <c r="E82" s="84" t="s">
        <v>9332</v>
      </c>
      <c r="F82" s="85"/>
      <c r="G82" s="74"/>
      <c r="H82" s="74"/>
    </row>
    <row r="83" spans="1:8" x14ac:dyDescent="0.4">
      <c r="A83" s="73">
        <v>81</v>
      </c>
      <c r="B83" s="73" t="s">
        <v>9360</v>
      </c>
      <c r="C83" s="73" t="s">
        <v>9359</v>
      </c>
      <c r="D83" s="84" t="s">
        <v>9329</v>
      </c>
      <c r="E83" s="84" t="s">
        <v>9332</v>
      </c>
      <c r="F83" s="85"/>
      <c r="G83" s="74"/>
      <c r="H83" s="74"/>
    </row>
    <row r="84" spans="1:8" x14ac:dyDescent="0.4">
      <c r="A84" s="73">
        <v>82</v>
      </c>
      <c r="B84" s="73" t="s">
        <v>9361</v>
      </c>
      <c r="C84" s="73" t="s">
        <v>9359</v>
      </c>
      <c r="D84" s="84" t="s">
        <v>9329</v>
      </c>
      <c r="E84" s="84" t="s">
        <v>9332</v>
      </c>
      <c r="F84" s="85"/>
      <c r="G84" s="74"/>
      <c r="H84" s="74"/>
    </row>
    <row r="85" spans="1:8" x14ac:dyDescent="0.4">
      <c r="A85" s="73">
        <v>83</v>
      </c>
      <c r="B85" s="73" t="s">
        <v>9362</v>
      </c>
      <c r="C85" s="73" t="s">
        <v>9359</v>
      </c>
      <c r="D85" s="84" t="s">
        <v>9329</v>
      </c>
      <c r="E85" s="84" t="s">
        <v>9332</v>
      </c>
      <c r="F85" s="85"/>
      <c r="G85" s="74"/>
      <c r="H85" s="74"/>
    </row>
    <row r="86" spans="1:8" x14ac:dyDescent="0.4">
      <c r="A86" s="73">
        <v>84</v>
      </c>
      <c r="B86" s="73" t="s">
        <v>9398</v>
      </c>
      <c r="C86" s="73" t="s">
        <v>9397</v>
      </c>
      <c r="D86" s="84" t="s">
        <v>9396</v>
      </c>
      <c r="E86" s="84" t="s">
        <v>9332</v>
      </c>
      <c r="F86" s="85"/>
      <c r="G86" s="74"/>
      <c r="H86" s="74"/>
    </row>
    <row r="87" spans="1:8" x14ac:dyDescent="0.4">
      <c r="A87" s="73">
        <v>85</v>
      </c>
      <c r="B87" s="73" t="s">
        <v>9399</v>
      </c>
      <c r="C87" s="73" t="s">
        <v>9397</v>
      </c>
      <c r="D87" s="84" t="s">
        <v>9396</v>
      </c>
      <c r="E87" s="84" t="s">
        <v>9332</v>
      </c>
      <c r="F87" s="85"/>
      <c r="G87" s="74"/>
      <c r="H87" s="74"/>
    </row>
    <row r="88" spans="1:8" x14ac:dyDescent="0.4">
      <c r="A88" s="73">
        <v>86</v>
      </c>
      <c r="B88" s="73" t="s">
        <v>9400</v>
      </c>
      <c r="C88" s="73" t="s">
        <v>9397</v>
      </c>
      <c r="D88" s="84" t="s">
        <v>9396</v>
      </c>
      <c r="E88" s="84" t="s">
        <v>9332</v>
      </c>
      <c r="F88" s="85"/>
      <c r="G88" s="74"/>
      <c r="H88" s="74"/>
    </row>
    <row r="89" spans="1:8" x14ac:dyDescent="0.4">
      <c r="A89" s="73">
        <v>87</v>
      </c>
      <c r="B89" s="73" t="s">
        <v>9316</v>
      </c>
      <c r="C89" s="73" t="s">
        <v>9315</v>
      </c>
      <c r="D89" s="84" t="s">
        <v>9401</v>
      </c>
      <c r="E89" s="84" t="s">
        <v>9332</v>
      </c>
      <c r="F89" s="85"/>
      <c r="G89" s="74"/>
      <c r="H89" s="74"/>
    </row>
    <row r="90" spans="1:8" x14ac:dyDescent="0.4">
      <c r="A90" s="73">
        <v>88</v>
      </c>
      <c r="B90" s="73" t="s">
        <v>9317</v>
      </c>
      <c r="C90" s="73" t="s">
        <v>9315</v>
      </c>
      <c r="D90" s="84" t="s">
        <v>9401</v>
      </c>
      <c r="E90" s="84" t="s">
        <v>9332</v>
      </c>
      <c r="F90" s="85"/>
      <c r="G90" s="74"/>
      <c r="H90" s="74"/>
    </row>
    <row r="91" spans="1:8" x14ac:dyDescent="0.4">
      <c r="A91" s="73">
        <v>89</v>
      </c>
      <c r="B91" s="73" t="s">
        <v>9318</v>
      </c>
      <c r="C91" s="73" t="s">
        <v>9315</v>
      </c>
      <c r="D91" s="84" t="s">
        <v>9401</v>
      </c>
      <c r="E91" s="84" t="s">
        <v>9332</v>
      </c>
      <c r="F91" s="85"/>
      <c r="G91" s="74"/>
      <c r="H91" s="74"/>
    </row>
    <row r="92" spans="1:8" x14ac:dyDescent="0.4">
      <c r="A92" s="73">
        <v>90</v>
      </c>
      <c r="B92" s="73" t="s">
        <v>9407</v>
      </c>
      <c r="C92" s="73" t="s">
        <v>9410</v>
      </c>
      <c r="D92" s="84" t="s">
        <v>9411</v>
      </c>
      <c r="E92" s="84" t="s">
        <v>9332</v>
      </c>
      <c r="F92" s="85"/>
      <c r="G92" s="74"/>
      <c r="H92" s="74"/>
    </row>
    <row r="93" spans="1:8" x14ac:dyDescent="0.4">
      <c r="A93" s="73">
        <v>91</v>
      </c>
      <c r="B93" s="73" t="s">
        <v>9408</v>
      </c>
      <c r="C93" s="73" t="s">
        <v>9410</v>
      </c>
      <c r="D93" s="84" t="s">
        <v>9411</v>
      </c>
      <c r="E93" s="84" t="s">
        <v>9332</v>
      </c>
      <c r="F93" s="85"/>
      <c r="G93" s="74"/>
      <c r="H93" s="74"/>
    </row>
    <row r="94" spans="1:8" x14ac:dyDescent="0.4">
      <c r="A94" s="73">
        <v>92</v>
      </c>
      <c r="B94" s="73" t="s">
        <v>9409</v>
      </c>
      <c r="C94" s="73" t="s">
        <v>9410</v>
      </c>
      <c r="D94" s="84" t="s">
        <v>9411</v>
      </c>
      <c r="E94" s="84" t="s">
        <v>9332</v>
      </c>
      <c r="F94" s="85"/>
      <c r="G94" s="74"/>
      <c r="H94" s="74"/>
    </row>
    <row r="95" spans="1:8" x14ac:dyDescent="0.4">
      <c r="A95" s="73">
        <v>93</v>
      </c>
      <c r="B95" s="73" t="s">
        <v>9368</v>
      </c>
      <c r="C95" s="73" t="s">
        <v>9363</v>
      </c>
      <c r="D95" s="84" t="s">
        <v>9364</v>
      </c>
      <c r="E95" s="84" t="s">
        <v>9331</v>
      </c>
      <c r="F95" s="85" t="s">
        <v>9365</v>
      </c>
      <c r="G95" s="74"/>
      <c r="H95" s="74"/>
    </row>
    <row r="96" spans="1:8" x14ac:dyDescent="0.4">
      <c r="A96" s="73">
        <v>94</v>
      </c>
      <c r="B96" s="73" t="s">
        <v>9369</v>
      </c>
      <c r="C96" s="73" t="s">
        <v>9363</v>
      </c>
      <c r="D96" s="84" t="s">
        <v>9364</v>
      </c>
      <c r="E96" s="84" t="s">
        <v>9331</v>
      </c>
      <c r="F96" s="85" t="s">
        <v>9370</v>
      </c>
      <c r="G96" s="74"/>
      <c r="H96" s="74"/>
    </row>
    <row r="97" spans="1:8" x14ac:dyDescent="0.4">
      <c r="A97" s="73">
        <v>95</v>
      </c>
      <c r="B97" s="73" t="s">
        <v>9307</v>
      </c>
      <c r="C97" s="73" t="s">
        <v>9363</v>
      </c>
      <c r="D97" s="84" t="s">
        <v>9364</v>
      </c>
      <c r="E97" s="84" t="s">
        <v>9331</v>
      </c>
      <c r="F97" s="85" t="s">
        <v>9371</v>
      </c>
      <c r="G97" s="74"/>
      <c r="H97" s="74"/>
    </row>
    <row r="98" spans="1:8" x14ac:dyDescent="0.4">
      <c r="A98" s="73">
        <v>96</v>
      </c>
      <c r="B98" s="73" t="s">
        <v>9367</v>
      </c>
      <c r="C98" s="73" t="s">
        <v>9363</v>
      </c>
      <c r="D98" s="84" t="s">
        <v>9364</v>
      </c>
      <c r="E98" s="84" t="s">
        <v>9331</v>
      </c>
      <c r="F98" s="85" t="s">
        <v>9372</v>
      </c>
      <c r="G98" s="74"/>
      <c r="H98" s="74"/>
    </row>
    <row r="99" spans="1:8" x14ac:dyDescent="0.4">
      <c r="A99" s="73">
        <v>97</v>
      </c>
      <c r="B99" s="73" t="s">
        <v>9314</v>
      </c>
      <c r="C99" s="73" t="s">
        <v>9312</v>
      </c>
      <c r="D99" s="84" t="s">
        <v>9413</v>
      </c>
      <c r="E99" s="84" t="s">
        <v>9331</v>
      </c>
      <c r="F99" s="85" t="s">
        <v>9415</v>
      </c>
      <c r="G99" s="85"/>
      <c r="H99" s="85"/>
    </row>
    <row r="100" spans="1:8" x14ac:dyDescent="0.4">
      <c r="A100" s="73">
        <v>98</v>
      </c>
      <c r="B100" s="73" t="s">
        <v>9313</v>
      </c>
      <c r="C100" s="73" t="s">
        <v>9312</v>
      </c>
      <c r="D100" s="84" t="s">
        <v>9413</v>
      </c>
      <c r="E100" s="84" t="s">
        <v>9331</v>
      </c>
      <c r="F100" s="85" t="s">
        <v>9416</v>
      </c>
      <c r="G100" s="85"/>
      <c r="H100" s="85"/>
    </row>
    <row r="101" spans="1:8" x14ac:dyDescent="0.4">
      <c r="A101" s="73">
        <v>99</v>
      </c>
      <c r="B101" s="73" t="s">
        <v>9311</v>
      </c>
      <c r="C101" s="73" t="s">
        <v>9312</v>
      </c>
      <c r="D101" s="84" t="s">
        <v>9413</v>
      </c>
      <c r="E101" s="84" t="s">
        <v>9331</v>
      </c>
      <c r="F101" s="85" t="s">
        <v>9417</v>
      </c>
      <c r="G101" s="85"/>
      <c r="H101" s="85"/>
    </row>
    <row r="102" spans="1:8" x14ac:dyDescent="0.4">
      <c r="A102" s="73">
        <v>100</v>
      </c>
      <c r="B102" s="73" t="s">
        <v>9300</v>
      </c>
      <c r="C102" s="73" t="s">
        <v>9301</v>
      </c>
      <c r="D102" s="84" t="s">
        <v>9413</v>
      </c>
      <c r="E102" s="84" t="s">
        <v>9331</v>
      </c>
      <c r="F102" s="85" t="s">
        <v>9414</v>
      </c>
      <c r="G102" s="85" t="s">
        <v>10850</v>
      </c>
      <c r="H102" s="85" t="s">
        <v>10846</v>
      </c>
    </row>
    <row r="103" spans="1:8" x14ac:dyDescent="0.4">
      <c r="A103" s="73">
        <v>101</v>
      </c>
      <c r="B103" s="73" t="s">
        <v>9302</v>
      </c>
      <c r="C103" s="73" t="s">
        <v>9301</v>
      </c>
      <c r="D103" s="84" t="s">
        <v>9413</v>
      </c>
      <c r="E103" s="84" t="s">
        <v>9331</v>
      </c>
      <c r="F103" s="85" t="s">
        <v>9412</v>
      </c>
      <c r="G103" s="85" t="s">
        <v>10850</v>
      </c>
      <c r="H103" s="85" t="s">
        <v>10846</v>
      </c>
    </row>
    <row r="104" spans="1:8" x14ac:dyDescent="0.4">
      <c r="A104" s="73">
        <v>102</v>
      </c>
      <c r="B104" s="73" t="s">
        <v>9320</v>
      </c>
      <c r="C104" s="73" t="s">
        <v>9319</v>
      </c>
      <c r="D104" s="84" t="s">
        <v>9424</v>
      </c>
      <c r="E104" s="84" t="s">
        <v>9331</v>
      </c>
      <c r="F104" s="85" t="s">
        <v>9418</v>
      </c>
      <c r="G104" s="70" t="s">
        <v>10851</v>
      </c>
      <c r="H104" s="70" t="s">
        <v>10848</v>
      </c>
    </row>
    <row r="105" spans="1:8" x14ac:dyDescent="0.4">
      <c r="A105" s="73">
        <v>103</v>
      </c>
      <c r="B105" s="73" t="s">
        <v>9321</v>
      </c>
      <c r="C105" s="73" t="s">
        <v>9319</v>
      </c>
      <c r="D105" s="84" t="s">
        <v>9424</v>
      </c>
      <c r="E105" s="84" t="s">
        <v>9331</v>
      </c>
      <c r="F105" s="85" t="s">
        <v>9419</v>
      </c>
      <c r="G105" s="70" t="s">
        <v>10851</v>
      </c>
      <c r="H105" s="70" t="s">
        <v>10848</v>
      </c>
    </row>
    <row r="106" spans="1:8" x14ac:dyDescent="0.4">
      <c r="A106" s="73">
        <v>104</v>
      </c>
      <c r="B106" s="73" t="s">
        <v>9322</v>
      </c>
      <c r="C106" s="73" t="s">
        <v>9319</v>
      </c>
      <c r="D106" s="84" t="s">
        <v>9424</v>
      </c>
      <c r="E106" s="84" t="s">
        <v>9331</v>
      </c>
      <c r="F106" s="85" t="s">
        <v>9420</v>
      </c>
      <c r="G106" s="70" t="s">
        <v>10851</v>
      </c>
      <c r="H106" s="70" t="s">
        <v>10848</v>
      </c>
    </row>
    <row r="107" spans="1:8" x14ac:dyDescent="0.4">
      <c r="A107" s="73">
        <v>105</v>
      </c>
      <c r="B107" s="73" t="s">
        <v>9404</v>
      </c>
      <c r="C107" s="73" t="s">
        <v>9403</v>
      </c>
      <c r="D107" s="84" t="s">
        <v>9424</v>
      </c>
      <c r="E107" s="84" t="s">
        <v>9331</v>
      </c>
      <c r="F107" s="85" t="s">
        <v>9421</v>
      </c>
      <c r="G107" s="88" t="s">
        <v>10847</v>
      </c>
      <c r="H107" s="88" t="s">
        <v>10848</v>
      </c>
    </row>
    <row r="108" spans="1:8" x14ac:dyDescent="0.4">
      <c r="A108" s="73">
        <v>106</v>
      </c>
      <c r="B108" s="73" t="s">
        <v>9405</v>
      </c>
      <c r="C108" s="73" t="s">
        <v>9403</v>
      </c>
      <c r="D108" s="84" t="s">
        <v>9424</v>
      </c>
      <c r="E108" s="84" t="s">
        <v>9331</v>
      </c>
      <c r="F108" s="85" t="s">
        <v>9422</v>
      </c>
      <c r="G108" s="88" t="s">
        <v>10847</v>
      </c>
      <c r="H108" s="88" t="s">
        <v>10848</v>
      </c>
    </row>
    <row r="109" spans="1:8" x14ac:dyDescent="0.4">
      <c r="A109" s="73">
        <v>107</v>
      </c>
      <c r="B109" s="73" t="s">
        <v>9406</v>
      </c>
      <c r="C109" s="73" t="s">
        <v>9403</v>
      </c>
      <c r="D109" s="84" t="s">
        <v>9424</v>
      </c>
      <c r="E109" s="84" t="s">
        <v>9331</v>
      </c>
      <c r="F109" s="85" t="s">
        <v>9423</v>
      </c>
      <c r="G109" s="88" t="s">
        <v>10847</v>
      </c>
      <c r="H109" s="88" t="s">
        <v>10848</v>
      </c>
    </row>
    <row r="110" spans="1:8" x14ac:dyDescent="0.4">
      <c r="A110" s="73">
        <v>108</v>
      </c>
      <c r="B110" s="91" t="s">
        <v>10871</v>
      </c>
      <c r="C110" s="91" t="s">
        <v>10854</v>
      </c>
      <c r="D110" s="92" t="s">
        <v>10853</v>
      </c>
      <c r="E110" s="92" t="s">
        <v>9332</v>
      </c>
      <c r="F110" s="88"/>
      <c r="G110" s="88"/>
      <c r="H110" s="88"/>
    </row>
    <row r="111" spans="1:8" x14ac:dyDescent="0.4">
      <c r="A111" s="73">
        <v>109</v>
      </c>
      <c r="B111" s="91" t="s">
        <v>10872</v>
      </c>
      <c r="C111" s="91" t="s">
        <v>10855</v>
      </c>
      <c r="D111" s="92" t="s">
        <v>10853</v>
      </c>
      <c r="E111" s="92" t="s">
        <v>9332</v>
      </c>
      <c r="F111" s="88"/>
      <c r="G111" s="85"/>
      <c r="H111" s="70"/>
    </row>
    <row r="112" spans="1:8" x14ac:dyDescent="0.4">
      <c r="A112" s="73">
        <v>110</v>
      </c>
      <c r="B112" s="91" t="s">
        <v>10873</v>
      </c>
      <c r="C112" s="91" t="s">
        <v>10856</v>
      </c>
      <c r="D112" s="92" t="s">
        <v>10853</v>
      </c>
      <c r="E112" s="92" t="s">
        <v>9332</v>
      </c>
      <c r="F112" s="88"/>
      <c r="G112" s="85"/>
      <c r="H112" s="70"/>
    </row>
    <row r="113" spans="1:8" x14ac:dyDescent="0.4">
      <c r="A113" s="73">
        <v>111</v>
      </c>
      <c r="B113" s="98" t="s">
        <v>10893</v>
      </c>
      <c r="C113" s="98" t="s">
        <v>10890</v>
      </c>
      <c r="D113" s="99" t="s">
        <v>10896</v>
      </c>
      <c r="E113" s="92" t="s">
        <v>9332</v>
      </c>
      <c r="F113" s="100"/>
      <c r="G113" s="101"/>
      <c r="H113" s="102"/>
    </row>
    <row r="114" spans="1:8" x14ac:dyDescent="0.4">
      <c r="A114" s="73">
        <v>112</v>
      </c>
      <c r="B114" s="98" t="s">
        <v>10894</v>
      </c>
      <c r="C114" s="98" t="s">
        <v>10891</v>
      </c>
      <c r="D114" s="99" t="s">
        <v>10896</v>
      </c>
      <c r="E114" s="92" t="s">
        <v>9332</v>
      </c>
      <c r="F114" s="100"/>
      <c r="G114" s="101"/>
      <c r="H114" s="102"/>
    </row>
    <row r="115" spans="1:8" x14ac:dyDescent="0.4">
      <c r="A115" s="73">
        <v>113</v>
      </c>
      <c r="B115" s="98" t="s">
        <v>10895</v>
      </c>
      <c r="C115" s="98" t="s">
        <v>10892</v>
      </c>
      <c r="D115" s="99" t="s">
        <v>10896</v>
      </c>
      <c r="E115" s="92" t="s">
        <v>9332</v>
      </c>
      <c r="F115" s="100"/>
      <c r="G115" s="101"/>
      <c r="H115" s="102"/>
    </row>
    <row r="116" spans="1:8" x14ac:dyDescent="0.4">
      <c r="A116" s="73">
        <v>114</v>
      </c>
      <c r="B116" s="98" t="s">
        <v>10897</v>
      </c>
      <c r="C116" s="98" t="s">
        <v>10900</v>
      </c>
      <c r="D116" s="99" t="s">
        <v>10971</v>
      </c>
      <c r="E116" s="92" t="s">
        <v>9332</v>
      </c>
      <c r="F116" s="100"/>
      <c r="G116" s="101"/>
      <c r="H116" s="102"/>
    </row>
    <row r="117" spans="1:8" x14ac:dyDescent="0.4">
      <c r="A117" s="73">
        <v>115</v>
      </c>
      <c r="B117" s="98" t="s">
        <v>10898</v>
      </c>
      <c r="C117" s="98" t="s">
        <v>10901</v>
      </c>
      <c r="D117" s="99" t="s">
        <v>10971</v>
      </c>
      <c r="E117" s="92" t="s">
        <v>9332</v>
      </c>
      <c r="F117" s="100"/>
      <c r="G117" s="101"/>
      <c r="H117" s="102"/>
    </row>
    <row r="118" spans="1:8" x14ac:dyDescent="0.4">
      <c r="A118" s="73">
        <v>116</v>
      </c>
      <c r="B118" s="98" t="s">
        <v>10899</v>
      </c>
      <c r="C118" s="98" t="s">
        <v>10902</v>
      </c>
      <c r="D118" s="99" t="s">
        <v>10971</v>
      </c>
      <c r="E118" s="92" t="s">
        <v>9332</v>
      </c>
      <c r="F118" s="100"/>
      <c r="G118" s="101"/>
      <c r="H118" s="102"/>
    </row>
    <row r="119" spans="1:8" x14ac:dyDescent="0.4">
      <c r="A119" s="73">
        <v>117</v>
      </c>
      <c r="B119" s="98" t="s">
        <v>10903</v>
      </c>
      <c r="C119" s="98" t="s">
        <v>10906</v>
      </c>
      <c r="D119" s="99" t="s">
        <v>10909</v>
      </c>
      <c r="E119" s="92" t="s">
        <v>9332</v>
      </c>
      <c r="F119" s="100"/>
      <c r="G119" s="101"/>
      <c r="H119" s="102"/>
    </row>
    <row r="120" spans="1:8" x14ac:dyDescent="0.4">
      <c r="A120" s="73">
        <v>118</v>
      </c>
      <c r="B120" s="98" t="s">
        <v>10904</v>
      </c>
      <c r="C120" s="98" t="s">
        <v>10907</v>
      </c>
      <c r="D120" s="99" t="s">
        <v>10909</v>
      </c>
      <c r="E120" s="92" t="s">
        <v>9332</v>
      </c>
      <c r="F120" s="100"/>
      <c r="G120" s="101"/>
      <c r="H120" s="102"/>
    </row>
    <row r="121" spans="1:8" x14ac:dyDescent="0.4">
      <c r="A121" s="73">
        <v>119</v>
      </c>
      <c r="B121" s="98" t="s">
        <v>10905</v>
      </c>
      <c r="C121" s="98" t="s">
        <v>10908</v>
      </c>
      <c r="D121" s="99" t="s">
        <v>10909</v>
      </c>
      <c r="E121" s="92" t="s">
        <v>9332</v>
      </c>
      <c r="F121" s="100"/>
      <c r="G121" s="101"/>
      <c r="H121" s="102"/>
    </row>
    <row r="122" spans="1:8" x14ac:dyDescent="0.4">
      <c r="A122" s="73">
        <v>120</v>
      </c>
      <c r="B122" s="98" t="s">
        <v>10910</v>
      </c>
      <c r="C122" s="98" t="s">
        <v>10913</v>
      </c>
      <c r="D122" s="99" t="s">
        <v>10914</v>
      </c>
      <c r="E122" s="92" t="s">
        <v>9332</v>
      </c>
      <c r="F122" s="100"/>
      <c r="G122" s="101"/>
      <c r="H122" s="102"/>
    </row>
    <row r="123" spans="1:8" x14ac:dyDescent="0.4">
      <c r="A123" s="73">
        <v>121</v>
      </c>
      <c r="B123" s="98" t="s">
        <v>10911</v>
      </c>
      <c r="C123" s="98" t="s">
        <v>10913</v>
      </c>
      <c r="D123" s="99" t="s">
        <v>10914</v>
      </c>
      <c r="E123" s="92" t="s">
        <v>9332</v>
      </c>
      <c r="F123" s="100"/>
      <c r="G123" s="101"/>
      <c r="H123" s="102"/>
    </row>
    <row r="124" spans="1:8" x14ac:dyDescent="0.4">
      <c r="A124" s="73">
        <v>122</v>
      </c>
      <c r="B124" s="98" t="s">
        <v>10912</v>
      </c>
      <c r="C124" s="98" t="s">
        <v>10913</v>
      </c>
      <c r="D124" s="99" t="s">
        <v>10914</v>
      </c>
      <c r="E124" s="92" t="s">
        <v>9332</v>
      </c>
      <c r="F124" s="100"/>
      <c r="G124" s="101"/>
      <c r="H124" s="102"/>
    </row>
    <row r="125" spans="1:8" x14ac:dyDescent="0.4">
      <c r="A125" s="97"/>
      <c r="B125" s="98"/>
      <c r="C125" s="98"/>
      <c r="D125" s="99"/>
      <c r="E125" s="99"/>
      <c r="F125" s="100"/>
      <c r="G125" s="101"/>
      <c r="H125" s="102"/>
    </row>
    <row r="126" spans="1:8" x14ac:dyDescent="0.4">
      <c r="A126" s="97"/>
      <c r="B126" s="98"/>
      <c r="C126" s="98"/>
      <c r="D126" s="99"/>
      <c r="E126" s="99"/>
      <c r="F126" s="100"/>
      <c r="G126" s="101"/>
      <c r="H126" s="102"/>
    </row>
    <row r="127" spans="1:8" x14ac:dyDescent="0.4">
      <c r="A127" s="97"/>
      <c r="B127" s="98"/>
      <c r="C127" s="98"/>
      <c r="D127" s="99"/>
      <c r="E127" s="99"/>
      <c r="F127" s="100"/>
      <c r="G127" s="101"/>
      <c r="H127" s="102"/>
    </row>
    <row r="128" spans="1:8" x14ac:dyDescent="0.4">
      <c r="A128" s="97"/>
      <c r="B128" s="98"/>
      <c r="C128" s="98"/>
      <c r="D128" s="99"/>
      <c r="E128" s="99"/>
      <c r="F128" s="100"/>
      <c r="G128" s="101"/>
      <c r="H128" s="102"/>
    </row>
    <row r="129" spans="1:8" x14ac:dyDescent="0.4">
      <c r="A129" s="97"/>
      <c r="B129" s="98"/>
      <c r="C129" s="98"/>
      <c r="D129" s="99"/>
      <c r="E129" s="99"/>
      <c r="F129" s="100"/>
      <c r="G129" s="101"/>
      <c r="H129" s="102"/>
    </row>
    <row r="130" spans="1:8" x14ac:dyDescent="0.4">
      <c r="A130" s="97"/>
      <c r="B130" s="98"/>
      <c r="C130" s="98"/>
      <c r="D130" s="99"/>
      <c r="E130" s="99"/>
      <c r="F130" s="100"/>
      <c r="G130" s="101"/>
      <c r="H130" s="102"/>
    </row>
    <row r="131" spans="1:8" x14ac:dyDescent="0.4">
      <c r="A131" s="73"/>
      <c r="B131" s="91"/>
      <c r="C131" s="91" t="s">
        <v>10857</v>
      </c>
      <c r="D131" s="92" t="s">
        <v>10860</v>
      </c>
      <c r="E131" s="92" t="s">
        <v>9332</v>
      </c>
      <c r="F131" s="88"/>
      <c r="G131" s="88"/>
      <c r="H131" s="88"/>
    </row>
    <row r="132" spans="1:8" x14ac:dyDescent="0.4">
      <c r="A132" s="73"/>
      <c r="B132" s="91"/>
      <c r="C132" s="91" t="s">
        <v>10858</v>
      </c>
      <c r="D132" s="92" t="s">
        <v>10860</v>
      </c>
      <c r="E132" s="92" t="s">
        <v>9332</v>
      </c>
      <c r="F132" s="88"/>
      <c r="G132" s="88"/>
      <c r="H132" s="88"/>
    </row>
    <row r="133" spans="1:8" x14ac:dyDescent="0.4">
      <c r="A133" s="73"/>
      <c r="B133" s="91"/>
      <c r="C133" s="91" t="s">
        <v>10859</v>
      </c>
      <c r="D133" s="92" t="s">
        <v>10860</v>
      </c>
      <c r="E133" s="92" t="s">
        <v>9332</v>
      </c>
      <c r="F133" s="88"/>
      <c r="G133" s="88"/>
      <c r="H133" s="88"/>
    </row>
    <row r="134" spans="1:8" x14ac:dyDescent="0.4">
      <c r="A134" s="73"/>
      <c r="B134" s="91"/>
      <c r="C134" s="91" t="s">
        <v>10861</v>
      </c>
      <c r="D134" s="92" t="s">
        <v>10862</v>
      </c>
      <c r="E134" s="92" t="s">
        <v>9332</v>
      </c>
      <c r="F134" s="88"/>
      <c r="G134" s="88"/>
      <c r="H134" s="88"/>
    </row>
    <row r="135" spans="1:8" x14ac:dyDescent="0.4">
      <c r="A135" s="73"/>
      <c r="B135" s="91"/>
      <c r="C135" s="91" t="s">
        <v>10863</v>
      </c>
      <c r="D135" s="92" t="s">
        <v>10866</v>
      </c>
      <c r="E135" s="92" t="s">
        <v>9332</v>
      </c>
      <c r="F135" s="88"/>
      <c r="G135" s="88"/>
      <c r="H135" s="88"/>
    </row>
    <row r="136" spans="1:8" x14ac:dyDescent="0.4">
      <c r="A136" s="73"/>
      <c r="B136" s="91"/>
      <c r="C136" s="91" t="s">
        <v>10864</v>
      </c>
      <c r="D136" s="92" t="s">
        <v>10866</v>
      </c>
      <c r="E136" s="92" t="s">
        <v>9332</v>
      </c>
      <c r="F136" s="88"/>
      <c r="G136" s="88"/>
      <c r="H136" s="88"/>
    </row>
    <row r="137" spans="1:8" x14ac:dyDescent="0.4">
      <c r="A137" s="73"/>
      <c r="B137" s="91"/>
      <c r="C137" s="91" t="s">
        <v>10865</v>
      </c>
      <c r="D137" s="92" t="s">
        <v>10866</v>
      </c>
      <c r="E137" s="92" t="s">
        <v>9332</v>
      </c>
      <c r="F137" s="88"/>
      <c r="G137" s="88"/>
      <c r="H137" s="88"/>
    </row>
    <row r="138" spans="1:8" x14ac:dyDescent="0.4">
      <c r="A138" s="73"/>
      <c r="B138" s="91"/>
      <c r="C138" s="91" t="s">
        <v>10867</v>
      </c>
      <c r="D138" s="92" t="s">
        <v>10870</v>
      </c>
      <c r="E138" s="92" t="s">
        <v>9332</v>
      </c>
      <c r="F138" s="88"/>
      <c r="G138" s="88"/>
      <c r="H138" s="88"/>
    </row>
    <row r="139" spans="1:8" x14ac:dyDescent="0.4">
      <c r="A139" s="73"/>
      <c r="B139" s="91"/>
      <c r="C139" s="91" t="s">
        <v>10868</v>
      </c>
      <c r="D139" s="92" t="s">
        <v>10870</v>
      </c>
      <c r="E139" s="92" t="s">
        <v>9332</v>
      </c>
      <c r="F139" s="88"/>
      <c r="G139" s="88"/>
      <c r="H139" s="88"/>
    </row>
    <row r="140" spans="1:8" x14ac:dyDescent="0.4">
      <c r="A140" s="73"/>
      <c r="B140" s="91"/>
      <c r="C140" s="91" t="s">
        <v>10869</v>
      </c>
      <c r="D140" s="92" t="s">
        <v>10870</v>
      </c>
      <c r="E140" s="92" t="s">
        <v>9332</v>
      </c>
      <c r="F140" s="88"/>
      <c r="G140" s="88"/>
      <c r="H140" s="88"/>
    </row>
    <row r="141" spans="1:8" x14ac:dyDescent="0.4">
      <c r="A141" s="73"/>
      <c r="B141" s="91"/>
      <c r="C141" s="91"/>
      <c r="D141" s="92"/>
      <c r="E141" s="92"/>
      <c r="F141" s="88"/>
      <c r="G141" s="88"/>
      <c r="H141" s="88"/>
    </row>
    <row r="142" spans="1:8" x14ac:dyDescent="0.4">
      <c r="A142" s="73"/>
      <c r="B142" s="91" t="s">
        <v>9279</v>
      </c>
      <c r="C142" s="91"/>
      <c r="D142" s="92"/>
      <c r="E142" s="92"/>
      <c r="F142" s="88"/>
      <c r="G142" s="88"/>
      <c r="H142" s="88"/>
    </row>
    <row r="143" spans="1:8" x14ac:dyDescent="0.4">
      <c r="A143" s="73"/>
      <c r="B143" s="91" t="s">
        <v>10874</v>
      </c>
      <c r="C143" s="91" t="s">
        <v>10875</v>
      </c>
      <c r="D143" s="92" t="s">
        <v>9329</v>
      </c>
      <c r="E143" s="92" t="s">
        <v>9332</v>
      </c>
      <c r="F143" s="88"/>
      <c r="G143" s="88"/>
      <c r="H143" s="88"/>
    </row>
    <row r="144" spans="1:8" x14ac:dyDescent="0.4">
      <c r="A144" s="73"/>
      <c r="B144" s="91"/>
      <c r="C144" s="91"/>
      <c r="D144" s="92"/>
      <c r="E144" s="92"/>
      <c r="F144" s="88"/>
      <c r="G144" s="88"/>
      <c r="H144" s="88"/>
    </row>
    <row r="145" spans="1:8" x14ac:dyDescent="0.4">
      <c r="A145" s="73"/>
      <c r="B145" s="91"/>
      <c r="C145" s="91"/>
      <c r="D145" s="92"/>
      <c r="E145" s="92"/>
      <c r="F145" s="88"/>
      <c r="G145" s="88"/>
      <c r="H145" s="88"/>
    </row>
    <row r="146" spans="1:8" x14ac:dyDescent="0.4">
      <c r="A146" s="73"/>
      <c r="B146" s="91"/>
      <c r="C146" s="91"/>
      <c r="D146" s="92"/>
      <c r="E146" s="92"/>
      <c r="F146" s="88"/>
      <c r="G146" s="88"/>
      <c r="H146" s="88"/>
    </row>
    <row r="147" spans="1:8" x14ac:dyDescent="0.4">
      <c r="A147" s="73"/>
      <c r="B147" s="91"/>
      <c r="C147" s="91"/>
      <c r="D147" s="92"/>
      <c r="E147" s="92"/>
      <c r="F147" s="88"/>
      <c r="G147" s="88"/>
      <c r="H147" s="88"/>
    </row>
    <row r="148" spans="1:8" x14ac:dyDescent="0.4">
      <c r="A148" s="73"/>
      <c r="B148" s="91"/>
      <c r="C148" s="91"/>
      <c r="D148" s="92"/>
      <c r="E148" s="92"/>
      <c r="F148" s="88"/>
      <c r="G148" s="88"/>
      <c r="H148" s="88"/>
    </row>
    <row r="149" spans="1:8" x14ac:dyDescent="0.4">
      <c r="A149" s="73"/>
      <c r="B149" s="91"/>
      <c r="C149" s="91"/>
      <c r="D149" s="92"/>
      <c r="E149" s="92"/>
      <c r="F149" s="88"/>
      <c r="G149" s="88"/>
      <c r="H149" s="88"/>
    </row>
    <row r="150" spans="1:8" x14ac:dyDescent="0.4">
      <c r="A150" s="73"/>
      <c r="B150" s="91"/>
      <c r="C150" s="91"/>
      <c r="D150" s="92"/>
      <c r="E150" s="92"/>
      <c r="F150" s="88"/>
      <c r="G150" s="88"/>
      <c r="H150" s="88"/>
    </row>
    <row r="151" spans="1:8" x14ac:dyDescent="0.4">
      <c r="A151" s="73"/>
      <c r="B151" s="91"/>
      <c r="C151" s="91"/>
      <c r="D151" s="92"/>
      <c r="E151" s="92"/>
      <c r="F151" s="88"/>
      <c r="G151" s="88"/>
      <c r="H151" s="88"/>
    </row>
    <row r="152" spans="1:8" x14ac:dyDescent="0.4">
      <c r="A152" s="73"/>
      <c r="B152" s="91"/>
      <c r="C152" s="91"/>
      <c r="D152" s="92"/>
      <c r="E152" s="92"/>
      <c r="F152" s="88"/>
      <c r="G152" s="88"/>
      <c r="H152" s="88"/>
    </row>
    <row r="153" spans="1:8" x14ac:dyDescent="0.4">
      <c r="A153" s="73"/>
      <c r="B153" s="91"/>
      <c r="C153" s="91"/>
      <c r="D153" s="92"/>
      <c r="E153" s="92"/>
      <c r="F153" s="88"/>
      <c r="G153" s="88"/>
      <c r="H153" s="88"/>
    </row>
    <row r="154" spans="1:8" x14ac:dyDescent="0.4">
      <c r="A154" s="73"/>
      <c r="B154" s="91"/>
      <c r="C154" s="91"/>
      <c r="D154" s="92"/>
      <c r="E154" s="92"/>
      <c r="F154" s="88"/>
      <c r="G154" s="88"/>
      <c r="H154" s="88"/>
    </row>
    <row r="155" spans="1:8" x14ac:dyDescent="0.4">
      <c r="A155" s="73"/>
      <c r="B155" s="91"/>
      <c r="C155" s="91"/>
      <c r="D155" s="92"/>
      <c r="E155" s="92"/>
      <c r="F155" s="88"/>
      <c r="G155" s="88"/>
      <c r="H155" s="88"/>
    </row>
    <row r="156" spans="1:8" x14ac:dyDescent="0.4">
      <c r="A156" s="73"/>
      <c r="B156" s="91"/>
      <c r="C156" s="91"/>
      <c r="D156" s="92"/>
      <c r="E156" s="92"/>
      <c r="F156" s="88"/>
      <c r="G156" s="88"/>
      <c r="H156" s="88"/>
    </row>
    <row r="157" spans="1:8" x14ac:dyDescent="0.4">
      <c r="A157" s="73"/>
      <c r="B157" s="91"/>
      <c r="C157" s="91"/>
      <c r="D157" s="92"/>
      <c r="E157" s="92"/>
      <c r="F157" s="88"/>
      <c r="G157" s="88"/>
      <c r="H157" s="88"/>
    </row>
    <row r="158" spans="1:8" x14ac:dyDescent="0.4">
      <c r="A158" s="73"/>
      <c r="B158" s="91"/>
      <c r="C158" s="91"/>
      <c r="D158" s="92"/>
      <c r="E158" s="92"/>
      <c r="F158" s="88"/>
      <c r="G158" s="88"/>
      <c r="H158" s="88"/>
    </row>
    <row r="159" spans="1:8" x14ac:dyDescent="0.4">
      <c r="A159" s="73"/>
      <c r="B159" s="91"/>
      <c r="C159" s="91"/>
      <c r="D159" s="92"/>
      <c r="E159" s="92"/>
      <c r="F159" s="88"/>
      <c r="G159" s="88"/>
      <c r="H159" s="88"/>
    </row>
    <row r="160" spans="1:8" x14ac:dyDescent="0.4">
      <c r="A160" s="73"/>
      <c r="B160" s="91"/>
      <c r="C160" s="91"/>
      <c r="D160" s="92"/>
      <c r="E160" s="92"/>
      <c r="F160" s="88"/>
      <c r="G160" s="88"/>
      <c r="H160" s="88"/>
    </row>
    <row r="161" spans="1:8" x14ac:dyDescent="0.4">
      <c r="A161" s="73"/>
      <c r="B161" s="91"/>
      <c r="C161" s="91"/>
      <c r="D161" s="92"/>
      <c r="E161" s="92"/>
      <c r="F161" s="88"/>
      <c r="G161" s="88"/>
      <c r="H161" s="88"/>
    </row>
    <row r="162" spans="1:8" x14ac:dyDescent="0.4">
      <c r="A162" s="73"/>
      <c r="B162" s="91"/>
      <c r="C162" s="91"/>
      <c r="D162" s="92"/>
      <c r="E162" s="92"/>
      <c r="F162" s="88"/>
      <c r="G162" s="88"/>
      <c r="H162" s="88"/>
    </row>
    <row r="163" spans="1:8" x14ac:dyDescent="0.4">
      <c r="A163" s="73"/>
      <c r="B163" s="91"/>
      <c r="C163" s="91"/>
      <c r="D163" s="92"/>
      <c r="E163" s="92"/>
      <c r="F163" s="88"/>
      <c r="G163" s="88"/>
      <c r="H163" s="88"/>
    </row>
    <row r="164" spans="1:8" x14ac:dyDescent="0.4">
      <c r="A164" s="73"/>
      <c r="B164" s="91"/>
      <c r="C164" s="91"/>
      <c r="D164" s="92"/>
      <c r="E164" s="92"/>
      <c r="F164" s="88"/>
      <c r="G164" s="88"/>
      <c r="H164" s="88"/>
    </row>
    <row r="165" spans="1:8" x14ac:dyDescent="0.4">
      <c r="A165" s="73"/>
      <c r="B165" s="91"/>
      <c r="C165" s="91"/>
      <c r="D165" s="92"/>
      <c r="E165" s="92"/>
      <c r="F165" s="88"/>
      <c r="G165" s="88"/>
      <c r="H165" s="88"/>
    </row>
    <row r="166" spans="1:8" x14ac:dyDescent="0.4">
      <c r="A166" s="73"/>
      <c r="B166" s="91"/>
      <c r="C166" s="91"/>
      <c r="D166" s="92"/>
      <c r="E166" s="92"/>
      <c r="F166" s="88"/>
      <c r="G166" s="88"/>
      <c r="H166" s="88"/>
    </row>
    <row r="167" spans="1:8" x14ac:dyDescent="0.4">
      <c r="A167" s="73"/>
      <c r="B167" s="91"/>
      <c r="C167" s="91"/>
      <c r="D167" s="92"/>
      <c r="E167" s="92"/>
      <c r="F167" s="88"/>
      <c r="G167" s="88"/>
      <c r="H167" s="88"/>
    </row>
    <row r="168" spans="1:8" x14ac:dyDescent="0.4">
      <c r="A168" s="73"/>
      <c r="B168" s="91"/>
      <c r="C168" s="91"/>
      <c r="D168" s="92"/>
      <c r="E168" s="92"/>
      <c r="F168" s="88"/>
      <c r="G168" s="88"/>
      <c r="H168" s="88"/>
    </row>
    <row r="169" spans="1:8" x14ac:dyDescent="0.4">
      <c r="A169" s="73"/>
      <c r="B169" s="91"/>
      <c r="C169" s="91"/>
      <c r="D169" s="92"/>
      <c r="E169" s="92"/>
      <c r="F169" s="88"/>
      <c r="G169" s="88"/>
      <c r="H169" s="88"/>
    </row>
    <row r="170" spans="1:8" x14ac:dyDescent="0.4">
      <c r="A170" s="73"/>
      <c r="B170" s="91"/>
      <c r="C170" s="91"/>
      <c r="D170" s="92"/>
      <c r="E170" s="92"/>
      <c r="F170" s="88"/>
      <c r="G170" s="88"/>
      <c r="H170" s="88"/>
    </row>
    <row r="171" spans="1:8" x14ac:dyDescent="0.4">
      <c r="A171" s="73"/>
      <c r="B171" s="91"/>
      <c r="C171" s="91"/>
      <c r="D171" s="92"/>
      <c r="E171" s="92"/>
      <c r="F171" s="88"/>
      <c r="G171" s="88"/>
      <c r="H171" s="88"/>
    </row>
    <row r="172" spans="1:8" x14ac:dyDescent="0.4">
      <c r="A172" s="73"/>
      <c r="B172" s="91"/>
      <c r="C172" s="91"/>
      <c r="D172" s="92"/>
      <c r="E172" s="92"/>
      <c r="F172" s="88"/>
      <c r="G172" s="88"/>
      <c r="H172" s="88"/>
    </row>
    <row r="173" spans="1:8" x14ac:dyDescent="0.4">
      <c r="A173" s="73"/>
      <c r="B173" s="91"/>
      <c r="C173" s="91"/>
      <c r="D173" s="92"/>
      <c r="E173" s="92"/>
      <c r="F173" s="88"/>
      <c r="G173" s="88"/>
      <c r="H173" s="88"/>
    </row>
    <row r="174" spans="1:8" x14ac:dyDescent="0.4">
      <c r="A174" s="73"/>
      <c r="B174" s="91"/>
      <c r="C174" s="91"/>
      <c r="D174" s="92"/>
      <c r="E174" s="92"/>
      <c r="F174" s="88"/>
      <c r="G174" s="88"/>
      <c r="H174" s="88"/>
    </row>
    <row r="175" spans="1:8" x14ac:dyDescent="0.4">
      <c r="A175" s="73"/>
      <c r="B175" s="91"/>
      <c r="C175" s="91"/>
      <c r="D175" s="92"/>
      <c r="E175" s="92"/>
      <c r="F175" s="88"/>
      <c r="G175" s="88"/>
      <c r="H175" s="88"/>
    </row>
    <row r="176" spans="1:8" x14ac:dyDescent="0.4">
      <c r="A176" s="73"/>
      <c r="B176" s="91"/>
      <c r="C176" s="91"/>
      <c r="D176" s="92"/>
      <c r="E176" s="92"/>
      <c r="F176" s="88"/>
      <c r="G176" s="88"/>
      <c r="H176" s="88"/>
    </row>
    <row r="177" spans="1:8" x14ac:dyDescent="0.4">
      <c r="A177" s="73"/>
      <c r="B177" s="91"/>
      <c r="C177" s="91"/>
      <c r="D177" s="92"/>
      <c r="E177" s="92"/>
      <c r="F177" s="88"/>
      <c r="G177" s="88"/>
      <c r="H177" s="88"/>
    </row>
    <row r="178" spans="1:8" x14ac:dyDescent="0.4">
      <c r="A178" s="73"/>
      <c r="B178" s="91"/>
      <c r="C178" s="91"/>
      <c r="D178" s="92"/>
      <c r="E178" s="92"/>
      <c r="F178" s="88"/>
      <c r="G178" s="88"/>
      <c r="H178" s="88"/>
    </row>
  </sheetData>
  <autoFilter ref="A1:H112"/>
  <conditionalFormatting sqref="B12:B14">
    <cfRule type="duplicateValues" dxfId="96" priority="43"/>
  </conditionalFormatting>
  <conditionalFormatting sqref="B19:B21">
    <cfRule type="duplicateValues" dxfId="95" priority="7"/>
  </conditionalFormatting>
  <conditionalFormatting sqref="B19:B21">
    <cfRule type="duplicateValues" dxfId="94" priority="8"/>
  </conditionalFormatting>
  <conditionalFormatting sqref="B102:B103">
    <cfRule type="duplicateValues" dxfId="93" priority="6"/>
  </conditionalFormatting>
  <conditionalFormatting sqref="B61:B63">
    <cfRule type="duplicateValues" dxfId="92" priority="5"/>
  </conditionalFormatting>
  <conditionalFormatting sqref="B67:B69">
    <cfRule type="duplicateValues" dxfId="91" priority="3"/>
  </conditionalFormatting>
  <conditionalFormatting sqref="B67:B69">
    <cfRule type="duplicateValues" dxfId="90" priority="4"/>
  </conditionalFormatting>
  <conditionalFormatting sqref="B98 B64:B66 B2:B11 B15:B18 B22:B36 B38:B42 B44 B70:B72">
    <cfRule type="duplicateValues" dxfId="89" priority="88"/>
  </conditionalFormatting>
  <conditionalFormatting sqref="B179:B1048576 B15:B18 B1:B11 B22:B60 B64:B66 B70:B101 B104:B130">
    <cfRule type="duplicateValues" dxfId="88" priority="119"/>
  </conditionalFormatting>
  <conditionalFormatting sqref="B131:B133">
    <cfRule type="duplicateValues" dxfId="87" priority="2"/>
  </conditionalFormatting>
  <conditionalFormatting sqref="B134:B178">
    <cfRule type="duplicateValues" dxfId="86" priority="1"/>
  </conditionalFormatting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54"/>
  <sheetViews>
    <sheetView workbookViewId="0">
      <selection activeCell="B1654" sqref="B1654"/>
    </sheetView>
  </sheetViews>
  <sheetFormatPr defaultRowHeight="15" x14ac:dyDescent="0.25"/>
  <cols>
    <col min="1" max="1" width="8.140625" customWidth="1"/>
    <col min="2" max="2" width="58.28515625" customWidth="1"/>
    <col min="3" max="3" width="10.28515625" customWidth="1"/>
    <col min="4" max="4" width="17" bestFit="1" customWidth="1"/>
  </cols>
  <sheetData>
    <row r="1" spans="1:4" ht="18" x14ac:dyDescent="0.25">
      <c r="A1" s="79" t="s">
        <v>9425</v>
      </c>
      <c r="B1" s="79" t="s">
        <v>0</v>
      </c>
      <c r="C1" s="79" t="s">
        <v>9402</v>
      </c>
      <c r="D1" s="79" t="s">
        <v>9377</v>
      </c>
    </row>
    <row r="2" spans="1:4" ht="18" x14ac:dyDescent="0.25">
      <c r="A2" s="80">
        <v>1</v>
      </c>
      <c r="B2" s="80" t="s">
        <v>9338</v>
      </c>
      <c r="C2" s="80" t="s">
        <v>9331</v>
      </c>
      <c r="D2" s="81">
        <v>0.125</v>
      </c>
    </row>
    <row r="3" spans="1:4" ht="18" x14ac:dyDescent="0.25">
      <c r="A3" s="80">
        <v>2</v>
      </c>
      <c r="B3" s="80" t="s">
        <v>10688</v>
      </c>
      <c r="C3" s="80" t="s">
        <v>9331</v>
      </c>
      <c r="D3" s="81">
        <v>0.26700000000000002</v>
      </c>
    </row>
    <row r="4" spans="1:4" ht="18" x14ac:dyDescent="0.25">
      <c r="A4" s="80">
        <v>3</v>
      </c>
      <c r="B4" s="80" t="s">
        <v>10689</v>
      </c>
      <c r="C4" s="80" t="s">
        <v>9331</v>
      </c>
      <c r="D4" s="81">
        <v>1.603</v>
      </c>
    </row>
    <row r="5" spans="1:4" ht="18" x14ac:dyDescent="0.25">
      <c r="A5" s="80">
        <v>4</v>
      </c>
      <c r="B5" s="80" t="s">
        <v>10690</v>
      </c>
      <c r="C5" s="80" t="s">
        <v>9331</v>
      </c>
      <c r="D5" s="81">
        <v>1.7629999999999999</v>
      </c>
    </row>
    <row r="6" spans="1:4" ht="18" x14ac:dyDescent="0.25">
      <c r="A6" s="80">
        <v>5</v>
      </c>
      <c r="B6" s="80" t="s">
        <v>10691</v>
      </c>
      <c r="C6" s="80" t="s">
        <v>9331</v>
      </c>
      <c r="D6" s="81">
        <v>1.923</v>
      </c>
    </row>
    <row r="7" spans="1:4" ht="18" x14ac:dyDescent="0.25">
      <c r="A7" s="80">
        <v>6</v>
      </c>
      <c r="B7" s="80" t="s">
        <v>10692</v>
      </c>
      <c r="C7" s="80" t="s">
        <v>9331</v>
      </c>
      <c r="D7" s="81">
        <v>2.0830000000000002</v>
      </c>
    </row>
    <row r="8" spans="1:4" ht="18" x14ac:dyDescent="0.25">
      <c r="A8" s="80">
        <v>7</v>
      </c>
      <c r="B8" s="80" t="s">
        <v>10693</v>
      </c>
      <c r="C8" s="80" t="s">
        <v>9331</v>
      </c>
      <c r="D8" s="81">
        <v>2.2440000000000002</v>
      </c>
    </row>
    <row r="9" spans="1:4" ht="18" x14ac:dyDescent="0.25">
      <c r="A9" s="80">
        <v>8</v>
      </c>
      <c r="B9" s="80" t="s">
        <v>10694</v>
      </c>
      <c r="C9" s="80" t="s">
        <v>9331</v>
      </c>
      <c r="D9" s="81">
        <v>2.4039999999999999</v>
      </c>
    </row>
    <row r="10" spans="1:4" ht="18" x14ac:dyDescent="0.25">
      <c r="A10" s="80">
        <v>9</v>
      </c>
      <c r="B10" s="80" t="s">
        <v>10695</v>
      </c>
      <c r="C10" s="80" t="s">
        <v>9331</v>
      </c>
      <c r="D10" s="81">
        <v>2.5640000000000001</v>
      </c>
    </row>
    <row r="11" spans="1:4" ht="18" x14ac:dyDescent="0.25">
      <c r="A11" s="80">
        <v>10</v>
      </c>
      <c r="B11" s="80" t="s">
        <v>10696</v>
      </c>
      <c r="C11" s="80" t="s">
        <v>9331</v>
      </c>
      <c r="D11" s="81">
        <v>2.7240000000000002</v>
      </c>
    </row>
    <row r="12" spans="1:4" ht="18" x14ac:dyDescent="0.25">
      <c r="A12" s="80">
        <v>11</v>
      </c>
      <c r="B12" s="80" t="s">
        <v>10697</v>
      </c>
      <c r="C12" s="80" t="s">
        <v>9331</v>
      </c>
      <c r="D12" s="81">
        <v>2.8849999999999998</v>
      </c>
    </row>
    <row r="13" spans="1:4" ht="18" x14ac:dyDescent="0.25">
      <c r="A13" s="80">
        <v>12</v>
      </c>
      <c r="B13" s="80" t="s">
        <v>10698</v>
      </c>
      <c r="C13" s="80" t="s">
        <v>9331</v>
      </c>
      <c r="D13" s="81">
        <v>3.0449999999999999</v>
      </c>
    </row>
    <row r="14" spans="1:4" ht="18" x14ac:dyDescent="0.25">
      <c r="A14" s="80">
        <v>13</v>
      </c>
      <c r="B14" s="80" t="s">
        <v>10699</v>
      </c>
      <c r="C14" s="80" t="s">
        <v>9331</v>
      </c>
      <c r="D14" s="81">
        <v>3.2050000000000001</v>
      </c>
    </row>
    <row r="15" spans="1:4" ht="18" x14ac:dyDescent="0.25">
      <c r="A15" s="80">
        <v>14</v>
      </c>
      <c r="B15" s="80" t="s">
        <v>10700</v>
      </c>
      <c r="C15" s="80" t="s">
        <v>9331</v>
      </c>
      <c r="D15" s="81">
        <v>3.3650000000000002</v>
      </c>
    </row>
    <row r="16" spans="1:4" ht="18" x14ac:dyDescent="0.25">
      <c r="A16" s="80">
        <v>15</v>
      </c>
      <c r="B16" s="80" t="s">
        <v>10701</v>
      </c>
      <c r="C16" s="80" t="s">
        <v>9331</v>
      </c>
      <c r="D16" s="81">
        <v>3.5259999999999998</v>
      </c>
    </row>
    <row r="17" spans="1:4" ht="18" x14ac:dyDescent="0.25">
      <c r="A17" s="80">
        <v>16</v>
      </c>
      <c r="B17" s="80" t="s">
        <v>10702</v>
      </c>
      <c r="C17" s="80" t="s">
        <v>9331</v>
      </c>
      <c r="D17" s="81">
        <v>3.6859999999999999</v>
      </c>
    </row>
    <row r="18" spans="1:4" ht="18" x14ac:dyDescent="0.25">
      <c r="A18" s="80">
        <v>17</v>
      </c>
      <c r="B18" s="80" t="s">
        <v>10703</v>
      </c>
      <c r="C18" s="80" t="s">
        <v>9331</v>
      </c>
      <c r="D18" s="81">
        <v>3.8460000000000001</v>
      </c>
    </row>
    <row r="19" spans="1:4" ht="18" x14ac:dyDescent="0.25">
      <c r="A19" s="80">
        <v>18</v>
      </c>
      <c r="B19" s="80" t="s">
        <v>10704</v>
      </c>
      <c r="C19" s="80" t="s">
        <v>9331</v>
      </c>
      <c r="D19" s="81">
        <v>1.669</v>
      </c>
    </row>
    <row r="20" spans="1:4" ht="18" x14ac:dyDescent="0.25">
      <c r="A20" s="80">
        <v>19</v>
      </c>
      <c r="B20" s="80" t="s">
        <v>10705</v>
      </c>
      <c r="C20" s="80" t="s">
        <v>9331</v>
      </c>
      <c r="D20" s="81">
        <v>1.8360000000000001</v>
      </c>
    </row>
    <row r="21" spans="1:4" ht="18" x14ac:dyDescent="0.25">
      <c r="A21" s="80">
        <v>20</v>
      </c>
      <c r="B21" s="80" t="s">
        <v>10706</v>
      </c>
      <c r="C21" s="80" t="s">
        <v>9331</v>
      </c>
      <c r="D21" s="81">
        <v>2.0030000000000001</v>
      </c>
    </row>
    <row r="22" spans="1:4" ht="18" x14ac:dyDescent="0.25">
      <c r="A22" s="80">
        <v>21</v>
      </c>
      <c r="B22" s="80" t="s">
        <v>10707</v>
      </c>
      <c r="C22" s="80" t="s">
        <v>9331</v>
      </c>
      <c r="D22" s="81">
        <v>2.17</v>
      </c>
    </row>
    <row r="23" spans="1:4" ht="18" x14ac:dyDescent="0.25">
      <c r="A23" s="80">
        <v>22</v>
      </c>
      <c r="B23" s="80" t="s">
        <v>10708</v>
      </c>
      <c r="C23" s="80" t="s">
        <v>9331</v>
      </c>
      <c r="D23" s="81">
        <v>2.3370000000000002</v>
      </c>
    </row>
    <row r="24" spans="1:4" ht="18" x14ac:dyDescent="0.25">
      <c r="A24" s="80">
        <v>23</v>
      </c>
      <c r="B24" s="80" t="s">
        <v>10709</v>
      </c>
      <c r="C24" s="80" t="s">
        <v>9331</v>
      </c>
      <c r="D24" s="81">
        <v>2.504</v>
      </c>
    </row>
    <row r="25" spans="1:4" ht="18" x14ac:dyDescent="0.25">
      <c r="A25" s="80">
        <v>24</v>
      </c>
      <c r="B25" s="80" t="s">
        <v>10710</v>
      </c>
      <c r="C25" s="80" t="s">
        <v>9331</v>
      </c>
      <c r="D25" s="81">
        <v>2.6709999999999998</v>
      </c>
    </row>
    <row r="26" spans="1:4" ht="18" x14ac:dyDescent="0.25">
      <c r="A26" s="80">
        <v>25</v>
      </c>
      <c r="B26" s="80" t="s">
        <v>10711</v>
      </c>
      <c r="C26" s="80" t="s">
        <v>9331</v>
      </c>
      <c r="D26" s="81">
        <v>2.8380000000000001</v>
      </c>
    </row>
    <row r="27" spans="1:4" ht="18" x14ac:dyDescent="0.25">
      <c r="A27" s="80">
        <v>26</v>
      </c>
      <c r="B27" s="80" t="s">
        <v>10712</v>
      </c>
      <c r="C27" s="80" t="s">
        <v>9331</v>
      </c>
      <c r="D27" s="81">
        <v>3.0049999999999999</v>
      </c>
    </row>
    <row r="28" spans="1:4" ht="18" x14ac:dyDescent="0.25">
      <c r="A28" s="80">
        <v>27</v>
      </c>
      <c r="B28" s="80" t="s">
        <v>10713</v>
      </c>
      <c r="C28" s="80" t="s">
        <v>9331</v>
      </c>
      <c r="D28" s="81">
        <v>3.1720000000000002</v>
      </c>
    </row>
    <row r="29" spans="1:4" ht="18" x14ac:dyDescent="0.25">
      <c r="A29" s="80">
        <v>28</v>
      </c>
      <c r="B29" s="80" t="s">
        <v>10714</v>
      </c>
      <c r="C29" s="80" t="s">
        <v>9331</v>
      </c>
      <c r="D29" s="81">
        <v>3.339</v>
      </c>
    </row>
    <row r="30" spans="1:4" ht="18" x14ac:dyDescent="0.25">
      <c r="A30" s="80">
        <v>29</v>
      </c>
      <c r="B30" s="80" t="s">
        <v>10715</v>
      </c>
      <c r="C30" s="80" t="s">
        <v>9331</v>
      </c>
      <c r="D30" s="81">
        <v>3.5059999999999998</v>
      </c>
    </row>
    <row r="31" spans="1:4" ht="18" x14ac:dyDescent="0.25">
      <c r="A31" s="80">
        <v>30</v>
      </c>
      <c r="B31" s="80" t="s">
        <v>10716</v>
      </c>
      <c r="C31" s="80" t="s">
        <v>9331</v>
      </c>
      <c r="D31" s="81">
        <v>3.673</v>
      </c>
    </row>
    <row r="32" spans="1:4" ht="18" x14ac:dyDescent="0.25">
      <c r="A32" s="80">
        <v>31</v>
      </c>
      <c r="B32" s="80" t="s">
        <v>10717</v>
      </c>
      <c r="C32" s="80" t="s">
        <v>9331</v>
      </c>
      <c r="D32" s="81">
        <v>3.84</v>
      </c>
    </row>
    <row r="33" spans="1:4" ht="18" x14ac:dyDescent="0.25">
      <c r="A33" s="80">
        <v>32</v>
      </c>
      <c r="B33" s="80" t="s">
        <v>10718</v>
      </c>
      <c r="C33" s="80" t="s">
        <v>9331</v>
      </c>
      <c r="D33" s="81">
        <v>4.0060000000000002</v>
      </c>
    </row>
    <row r="34" spans="1:4" ht="18" x14ac:dyDescent="0.25">
      <c r="A34" s="80">
        <v>33</v>
      </c>
      <c r="B34" s="80" t="s">
        <v>10719</v>
      </c>
      <c r="C34" s="80" t="s">
        <v>9331</v>
      </c>
      <c r="D34" s="81">
        <v>1.736</v>
      </c>
    </row>
    <row r="35" spans="1:4" ht="18" x14ac:dyDescent="0.25">
      <c r="A35" s="80">
        <v>34</v>
      </c>
      <c r="B35" s="80" t="s">
        <v>10720</v>
      </c>
      <c r="C35" s="80" t="s">
        <v>9331</v>
      </c>
      <c r="D35" s="81">
        <v>1.91</v>
      </c>
    </row>
    <row r="36" spans="1:4" ht="18" x14ac:dyDescent="0.25">
      <c r="A36" s="80">
        <v>35</v>
      </c>
      <c r="B36" s="80" t="s">
        <v>10721</v>
      </c>
      <c r="C36" s="80" t="s">
        <v>9331</v>
      </c>
      <c r="D36" s="81">
        <v>2.0830000000000002</v>
      </c>
    </row>
    <row r="37" spans="1:4" ht="18" x14ac:dyDescent="0.25">
      <c r="A37" s="80">
        <v>36</v>
      </c>
      <c r="B37" s="80" t="s">
        <v>10722</v>
      </c>
      <c r="C37" s="80" t="s">
        <v>9331</v>
      </c>
      <c r="D37" s="81">
        <v>2.2570000000000001</v>
      </c>
    </row>
    <row r="38" spans="1:4" ht="18" x14ac:dyDescent="0.25">
      <c r="A38" s="80">
        <v>37</v>
      </c>
      <c r="B38" s="80" t="s">
        <v>10723</v>
      </c>
      <c r="C38" s="80" t="s">
        <v>9331</v>
      </c>
      <c r="D38" s="81">
        <v>2.431</v>
      </c>
    </row>
    <row r="39" spans="1:4" ht="18" x14ac:dyDescent="0.25">
      <c r="A39" s="80">
        <v>38</v>
      </c>
      <c r="B39" s="80" t="s">
        <v>10724</v>
      </c>
      <c r="C39" s="80" t="s">
        <v>9331</v>
      </c>
      <c r="D39" s="81">
        <v>2.6040000000000001</v>
      </c>
    </row>
    <row r="40" spans="1:4" ht="18" x14ac:dyDescent="0.25">
      <c r="A40" s="80">
        <v>39</v>
      </c>
      <c r="B40" s="80" t="s">
        <v>10725</v>
      </c>
      <c r="C40" s="80" t="s">
        <v>9331</v>
      </c>
      <c r="D40" s="81">
        <v>2.778</v>
      </c>
    </row>
    <row r="41" spans="1:4" ht="18" x14ac:dyDescent="0.25">
      <c r="A41" s="80">
        <v>40</v>
      </c>
      <c r="B41" s="80" t="s">
        <v>10726</v>
      </c>
      <c r="C41" s="80" t="s">
        <v>9331</v>
      </c>
      <c r="D41" s="81">
        <v>2.9510000000000001</v>
      </c>
    </row>
    <row r="42" spans="1:4" ht="18" x14ac:dyDescent="0.25">
      <c r="A42" s="80">
        <v>41</v>
      </c>
      <c r="B42" s="80" t="s">
        <v>10727</v>
      </c>
      <c r="C42" s="80" t="s">
        <v>9331</v>
      </c>
      <c r="D42" s="81">
        <v>3.125</v>
      </c>
    </row>
    <row r="43" spans="1:4" ht="18" x14ac:dyDescent="0.25">
      <c r="A43" s="80">
        <v>42</v>
      </c>
      <c r="B43" s="80" t="s">
        <v>10728</v>
      </c>
      <c r="C43" s="80" t="s">
        <v>9331</v>
      </c>
      <c r="D43" s="81">
        <v>3.2989999999999999</v>
      </c>
    </row>
    <row r="44" spans="1:4" ht="18" x14ac:dyDescent="0.25">
      <c r="A44" s="80">
        <v>43</v>
      </c>
      <c r="B44" s="80" t="s">
        <v>10729</v>
      </c>
      <c r="C44" s="80" t="s">
        <v>9331</v>
      </c>
      <c r="D44" s="81">
        <v>3.472</v>
      </c>
    </row>
    <row r="45" spans="1:4" ht="18" x14ac:dyDescent="0.25">
      <c r="A45" s="80">
        <v>44</v>
      </c>
      <c r="B45" s="80" t="s">
        <v>10730</v>
      </c>
      <c r="C45" s="80" t="s">
        <v>9331</v>
      </c>
      <c r="D45" s="81">
        <v>3.6459999999999999</v>
      </c>
    </row>
    <row r="46" spans="1:4" ht="18" x14ac:dyDescent="0.25">
      <c r="A46" s="80">
        <v>45</v>
      </c>
      <c r="B46" s="80" t="s">
        <v>10731</v>
      </c>
      <c r="C46" s="80" t="s">
        <v>9331</v>
      </c>
      <c r="D46" s="81">
        <v>3.819</v>
      </c>
    </row>
    <row r="47" spans="1:4" ht="18" x14ac:dyDescent="0.25">
      <c r="A47" s="80">
        <v>46</v>
      </c>
      <c r="B47" s="80" t="s">
        <v>10732</v>
      </c>
      <c r="C47" s="80" t="s">
        <v>9331</v>
      </c>
      <c r="D47" s="81">
        <v>3.9929999999999999</v>
      </c>
    </row>
    <row r="48" spans="1:4" ht="18" x14ac:dyDescent="0.25">
      <c r="A48" s="80">
        <v>47</v>
      </c>
      <c r="B48" s="80" t="s">
        <v>10733</v>
      </c>
      <c r="C48" s="80" t="s">
        <v>9331</v>
      </c>
      <c r="D48" s="81">
        <v>4.1669999999999998</v>
      </c>
    </row>
    <row r="49" spans="1:4" ht="18" x14ac:dyDescent="0.25">
      <c r="A49" s="80">
        <v>48</v>
      </c>
      <c r="B49" s="80" t="s">
        <v>10734</v>
      </c>
      <c r="C49" s="80" t="s">
        <v>9331</v>
      </c>
      <c r="D49" s="81">
        <v>1.7809999999999999</v>
      </c>
    </row>
    <row r="50" spans="1:4" ht="18" x14ac:dyDescent="0.25">
      <c r="A50" s="80">
        <v>49</v>
      </c>
      <c r="B50" s="80" t="s">
        <v>10735</v>
      </c>
      <c r="C50" s="80" t="s">
        <v>9331</v>
      </c>
      <c r="D50" s="81">
        <v>1.9590000000000001</v>
      </c>
    </row>
    <row r="51" spans="1:4" ht="18" x14ac:dyDescent="0.25">
      <c r="A51" s="80">
        <v>50</v>
      </c>
      <c r="B51" s="80" t="s">
        <v>10736</v>
      </c>
      <c r="C51" s="80" t="s">
        <v>9331</v>
      </c>
      <c r="D51" s="81">
        <v>2.137</v>
      </c>
    </row>
    <row r="52" spans="1:4" ht="18" x14ac:dyDescent="0.25">
      <c r="A52" s="80">
        <v>51</v>
      </c>
      <c r="B52" s="80" t="s">
        <v>10737</v>
      </c>
      <c r="C52" s="80" t="s">
        <v>9331</v>
      </c>
      <c r="D52" s="81">
        <v>2.3149999999999999</v>
      </c>
    </row>
    <row r="53" spans="1:4" ht="18" x14ac:dyDescent="0.25">
      <c r="A53" s="80">
        <v>52</v>
      </c>
      <c r="B53" s="80" t="s">
        <v>10738</v>
      </c>
      <c r="C53" s="80" t="s">
        <v>9331</v>
      </c>
      <c r="D53" s="81">
        <v>2.4929999999999999</v>
      </c>
    </row>
    <row r="54" spans="1:4" ht="18" x14ac:dyDescent="0.25">
      <c r="A54" s="80">
        <v>53</v>
      </c>
      <c r="B54" s="80" t="s">
        <v>10739</v>
      </c>
      <c r="C54" s="80" t="s">
        <v>9331</v>
      </c>
      <c r="D54" s="81">
        <v>2.6709999999999998</v>
      </c>
    </row>
    <row r="55" spans="1:4" ht="18" x14ac:dyDescent="0.25">
      <c r="A55" s="80">
        <v>54</v>
      </c>
      <c r="B55" s="80" t="s">
        <v>10740</v>
      </c>
      <c r="C55" s="80" t="s">
        <v>9331</v>
      </c>
      <c r="D55" s="81">
        <v>2.8490000000000002</v>
      </c>
    </row>
    <row r="56" spans="1:4" ht="18" x14ac:dyDescent="0.25">
      <c r="A56" s="80">
        <v>55</v>
      </c>
      <c r="B56" s="80" t="s">
        <v>10741</v>
      </c>
      <c r="C56" s="80" t="s">
        <v>9331</v>
      </c>
      <c r="D56" s="81">
        <v>3.0270000000000001</v>
      </c>
    </row>
    <row r="57" spans="1:4" ht="18" x14ac:dyDescent="0.25">
      <c r="A57" s="80">
        <v>56</v>
      </c>
      <c r="B57" s="80" t="s">
        <v>10742</v>
      </c>
      <c r="C57" s="80" t="s">
        <v>9331</v>
      </c>
      <c r="D57" s="81">
        <v>3.2050000000000001</v>
      </c>
    </row>
    <row r="58" spans="1:4" ht="18" x14ac:dyDescent="0.25">
      <c r="A58" s="80">
        <v>57</v>
      </c>
      <c r="B58" s="80" t="s">
        <v>10743</v>
      </c>
      <c r="C58" s="80" t="s">
        <v>9331</v>
      </c>
      <c r="D58" s="81">
        <v>3.383</v>
      </c>
    </row>
    <row r="59" spans="1:4" ht="18" x14ac:dyDescent="0.25">
      <c r="A59" s="80">
        <v>58</v>
      </c>
      <c r="B59" s="80" t="s">
        <v>10744</v>
      </c>
      <c r="C59" s="80" t="s">
        <v>9331</v>
      </c>
      <c r="D59" s="81">
        <v>3.5609999999999999</v>
      </c>
    </row>
    <row r="60" spans="1:4" ht="18" x14ac:dyDescent="0.25">
      <c r="A60" s="80">
        <v>59</v>
      </c>
      <c r="B60" s="80" t="s">
        <v>10745</v>
      </c>
      <c r="C60" s="80" t="s">
        <v>9331</v>
      </c>
      <c r="D60" s="81">
        <v>3.7389999999999999</v>
      </c>
    </row>
    <row r="61" spans="1:4" ht="18" x14ac:dyDescent="0.25">
      <c r="A61" s="80">
        <v>60</v>
      </c>
      <c r="B61" s="80" t="s">
        <v>10746</v>
      </c>
      <c r="C61" s="80" t="s">
        <v>9331</v>
      </c>
      <c r="D61" s="81">
        <v>3.9169999999999998</v>
      </c>
    </row>
    <row r="62" spans="1:4" ht="18" x14ac:dyDescent="0.25">
      <c r="A62" s="80">
        <v>61</v>
      </c>
      <c r="B62" s="80" t="s">
        <v>10747</v>
      </c>
      <c r="C62" s="80" t="s">
        <v>9331</v>
      </c>
      <c r="D62" s="81">
        <v>4.0949999999999998</v>
      </c>
    </row>
    <row r="63" spans="1:4" ht="18" x14ac:dyDescent="0.25">
      <c r="A63" s="80">
        <v>62</v>
      </c>
      <c r="B63" s="80" t="s">
        <v>10748</v>
      </c>
      <c r="C63" s="80" t="s">
        <v>9331</v>
      </c>
      <c r="D63" s="81">
        <v>4.274</v>
      </c>
    </row>
    <row r="64" spans="1:4" ht="18" x14ac:dyDescent="0.25">
      <c r="A64" s="80">
        <v>63</v>
      </c>
      <c r="B64" s="80" t="s">
        <v>10749</v>
      </c>
      <c r="C64" s="80" t="s">
        <v>9331</v>
      </c>
      <c r="D64" s="81">
        <v>1.87</v>
      </c>
    </row>
    <row r="65" spans="1:4" ht="18" x14ac:dyDescent="0.25">
      <c r="A65" s="80">
        <v>64</v>
      </c>
      <c r="B65" s="80" t="s">
        <v>10750</v>
      </c>
      <c r="C65" s="80" t="s">
        <v>9331</v>
      </c>
      <c r="D65" s="81">
        <v>2.0569999999999999</v>
      </c>
    </row>
    <row r="66" spans="1:4" ht="18" x14ac:dyDescent="0.25">
      <c r="A66" s="80">
        <v>65</v>
      </c>
      <c r="B66" s="80" t="s">
        <v>10751</v>
      </c>
      <c r="C66" s="80" t="s">
        <v>9331</v>
      </c>
      <c r="D66" s="81">
        <v>2.2440000000000002</v>
      </c>
    </row>
    <row r="67" spans="1:4" ht="18" x14ac:dyDescent="0.25">
      <c r="A67" s="80">
        <v>66</v>
      </c>
      <c r="B67" s="80" t="s">
        <v>10752</v>
      </c>
      <c r="C67" s="80" t="s">
        <v>9331</v>
      </c>
      <c r="D67" s="81">
        <v>2.431</v>
      </c>
    </row>
    <row r="68" spans="1:4" ht="18" x14ac:dyDescent="0.25">
      <c r="A68" s="80">
        <v>67</v>
      </c>
      <c r="B68" s="80" t="s">
        <v>10753</v>
      </c>
      <c r="C68" s="80" t="s">
        <v>9331</v>
      </c>
      <c r="D68" s="81">
        <v>2.6179999999999999</v>
      </c>
    </row>
    <row r="69" spans="1:4" ht="18" x14ac:dyDescent="0.25">
      <c r="A69" s="80">
        <v>68</v>
      </c>
      <c r="B69" s="80" t="s">
        <v>10754</v>
      </c>
      <c r="C69" s="80" t="s">
        <v>9331</v>
      </c>
      <c r="D69" s="81">
        <v>2.8050000000000002</v>
      </c>
    </row>
    <row r="70" spans="1:4" ht="18" x14ac:dyDescent="0.25">
      <c r="A70" s="80">
        <v>69</v>
      </c>
      <c r="B70" s="80" t="s">
        <v>10755</v>
      </c>
      <c r="C70" s="80" t="s">
        <v>9331</v>
      </c>
      <c r="D70" s="81">
        <v>2.9910000000000001</v>
      </c>
    </row>
    <row r="71" spans="1:4" ht="18" x14ac:dyDescent="0.25">
      <c r="A71" s="80">
        <v>70</v>
      </c>
      <c r="B71" s="80" t="s">
        <v>10756</v>
      </c>
      <c r="C71" s="80" t="s">
        <v>9331</v>
      </c>
      <c r="D71" s="81">
        <v>3.1779999999999999</v>
      </c>
    </row>
    <row r="72" spans="1:4" ht="18" x14ac:dyDescent="0.25">
      <c r="A72" s="80">
        <v>71</v>
      </c>
      <c r="B72" s="80" t="s">
        <v>10757</v>
      </c>
      <c r="C72" s="80" t="s">
        <v>9331</v>
      </c>
      <c r="D72" s="81">
        <v>3.3650000000000002</v>
      </c>
    </row>
    <row r="73" spans="1:4" ht="18" x14ac:dyDescent="0.25">
      <c r="A73" s="80">
        <v>72</v>
      </c>
      <c r="B73" s="80" t="s">
        <v>10758</v>
      </c>
      <c r="C73" s="80" t="s">
        <v>9331</v>
      </c>
      <c r="D73" s="81">
        <v>3.552</v>
      </c>
    </row>
    <row r="74" spans="1:4" ht="18" x14ac:dyDescent="0.25">
      <c r="A74" s="80">
        <v>73</v>
      </c>
      <c r="B74" s="80" t="s">
        <v>10759</v>
      </c>
      <c r="C74" s="80" t="s">
        <v>9331</v>
      </c>
      <c r="D74" s="81">
        <v>3.7389999999999999</v>
      </c>
    </row>
    <row r="75" spans="1:4" ht="18" x14ac:dyDescent="0.25">
      <c r="A75" s="80">
        <v>74</v>
      </c>
      <c r="B75" s="80" t="s">
        <v>10760</v>
      </c>
      <c r="C75" s="80" t="s">
        <v>9331</v>
      </c>
      <c r="D75" s="81">
        <v>3.9260000000000002</v>
      </c>
    </row>
    <row r="76" spans="1:4" ht="18" x14ac:dyDescent="0.25">
      <c r="A76" s="80">
        <v>75</v>
      </c>
      <c r="B76" s="80" t="s">
        <v>10761</v>
      </c>
      <c r="C76" s="80" t="s">
        <v>9331</v>
      </c>
      <c r="D76" s="81">
        <v>4.1130000000000004</v>
      </c>
    </row>
    <row r="77" spans="1:4" ht="18" x14ac:dyDescent="0.25">
      <c r="A77" s="80">
        <v>76</v>
      </c>
      <c r="B77" s="80" t="s">
        <v>10762</v>
      </c>
      <c r="C77" s="80" t="s">
        <v>9331</v>
      </c>
      <c r="D77" s="81">
        <v>4.3</v>
      </c>
    </row>
    <row r="78" spans="1:4" ht="18" x14ac:dyDescent="0.25">
      <c r="A78" s="80">
        <v>77</v>
      </c>
      <c r="B78" s="80" t="s">
        <v>10763</v>
      </c>
      <c r="C78" s="80" t="s">
        <v>9331</v>
      </c>
      <c r="D78" s="81">
        <v>4.4870000000000001</v>
      </c>
    </row>
    <row r="79" spans="1:4" ht="18" x14ac:dyDescent="0.25">
      <c r="A79" s="80">
        <v>78</v>
      </c>
      <c r="B79" s="80" t="s">
        <v>9339</v>
      </c>
      <c r="C79" s="80" t="s">
        <v>9331</v>
      </c>
      <c r="D79" s="81">
        <v>0.20100000000000001</v>
      </c>
    </row>
    <row r="80" spans="1:4" ht="18" x14ac:dyDescent="0.25">
      <c r="A80" s="80">
        <v>79</v>
      </c>
      <c r="B80" s="80" t="s">
        <v>10764</v>
      </c>
      <c r="C80" s="80" t="s">
        <v>9331</v>
      </c>
      <c r="D80" s="81">
        <v>0.42699999999999999</v>
      </c>
    </row>
    <row r="81" spans="1:4" ht="18" x14ac:dyDescent="0.25">
      <c r="A81" s="80">
        <v>80</v>
      </c>
      <c r="B81" s="80" t="s">
        <v>10765</v>
      </c>
      <c r="C81" s="80" t="s">
        <v>9331</v>
      </c>
      <c r="D81" s="81">
        <v>2.5640000000000001</v>
      </c>
    </row>
    <row r="82" spans="1:4" ht="18" x14ac:dyDescent="0.25">
      <c r="A82" s="80">
        <v>81</v>
      </c>
      <c r="B82" s="80" t="s">
        <v>10766</v>
      </c>
      <c r="C82" s="80" t="s">
        <v>9331</v>
      </c>
      <c r="D82" s="81">
        <v>2.8210000000000002</v>
      </c>
    </row>
    <row r="83" spans="1:4" ht="18" x14ac:dyDescent="0.25">
      <c r="A83" s="80">
        <v>82</v>
      </c>
      <c r="B83" s="80" t="s">
        <v>10767</v>
      </c>
      <c r="C83" s="80" t="s">
        <v>9331</v>
      </c>
      <c r="D83" s="81">
        <v>3.077</v>
      </c>
    </row>
    <row r="84" spans="1:4" ht="18" x14ac:dyDescent="0.25">
      <c r="A84" s="80">
        <v>83</v>
      </c>
      <c r="B84" s="80" t="s">
        <v>10768</v>
      </c>
      <c r="C84" s="80" t="s">
        <v>9331</v>
      </c>
      <c r="D84" s="81">
        <v>3.3330000000000002</v>
      </c>
    </row>
    <row r="85" spans="1:4" ht="18" x14ac:dyDescent="0.25">
      <c r="A85" s="80">
        <v>84</v>
      </c>
      <c r="B85" s="80" t="s">
        <v>10769</v>
      </c>
      <c r="C85" s="80" t="s">
        <v>9331</v>
      </c>
      <c r="D85" s="81">
        <v>3.59</v>
      </c>
    </row>
    <row r="86" spans="1:4" ht="18" x14ac:dyDescent="0.25">
      <c r="A86" s="80">
        <v>85</v>
      </c>
      <c r="B86" s="80" t="s">
        <v>10770</v>
      </c>
      <c r="C86" s="80" t="s">
        <v>9331</v>
      </c>
      <c r="D86" s="81">
        <v>3.8460000000000001</v>
      </c>
    </row>
    <row r="87" spans="1:4" ht="18" x14ac:dyDescent="0.25">
      <c r="A87" s="80">
        <v>86</v>
      </c>
      <c r="B87" s="80" t="s">
        <v>10771</v>
      </c>
      <c r="C87" s="80" t="s">
        <v>9331</v>
      </c>
      <c r="D87" s="81">
        <v>4.1029999999999998</v>
      </c>
    </row>
    <row r="88" spans="1:4" ht="18" x14ac:dyDescent="0.25">
      <c r="A88" s="80">
        <v>87</v>
      </c>
      <c r="B88" s="80" t="s">
        <v>10772</v>
      </c>
      <c r="C88" s="80" t="s">
        <v>9331</v>
      </c>
      <c r="D88" s="81">
        <v>4.359</v>
      </c>
    </row>
    <row r="89" spans="1:4" ht="18" x14ac:dyDescent="0.25">
      <c r="A89" s="80">
        <v>88</v>
      </c>
      <c r="B89" s="80" t="s">
        <v>10773</v>
      </c>
      <c r="C89" s="80" t="s">
        <v>9331</v>
      </c>
      <c r="D89" s="81">
        <v>4.6150000000000002</v>
      </c>
    </row>
    <row r="90" spans="1:4" ht="18" x14ac:dyDescent="0.25">
      <c r="A90" s="80">
        <v>89</v>
      </c>
      <c r="B90" s="80" t="s">
        <v>10774</v>
      </c>
      <c r="C90" s="80" t="s">
        <v>9331</v>
      </c>
      <c r="D90" s="81">
        <v>4.8719999999999999</v>
      </c>
    </row>
    <row r="91" spans="1:4" ht="18" x14ac:dyDescent="0.25">
      <c r="A91" s="80">
        <v>90</v>
      </c>
      <c r="B91" s="80" t="s">
        <v>10775</v>
      </c>
      <c r="C91" s="80" t="s">
        <v>9331</v>
      </c>
      <c r="D91" s="81">
        <v>5.1280000000000001</v>
      </c>
    </row>
    <row r="92" spans="1:4" ht="18" x14ac:dyDescent="0.25">
      <c r="A92" s="80">
        <v>91</v>
      </c>
      <c r="B92" s="80" t="s">
        <v>10776</v>
      </c>
      <c r="C92" s="80" t="s">
        <v>9331</v>
      </c>
      <c r="D92" s="81">
        <v>5.3849999999999998</v>
      </c>
    </row>
    <row r="93" spans="1:4" ht="18" x14ac:dyDescent="0.25">
      <c r="A93" s="80">
        <v>92</v>
      </c>
      <c r="B93" s="80" t="s">
        <v>10777</v>
      </c>
      <c r="C93" s="80" t="s">
        <v>9331</v>
      </c>
      <c r="D93" s="81">
        <v>5.641</v>
      </c>
    </row>
    <row r="94" spans="1:4" ht="18" x14ac:dyDescent="0.25">
      <c r="A94" s="80">
        <v>93</v>
      </c>
      <c r="B94" s="80" t="s">
        <v>10778</v>
      </c>
      <c r="C94" s="80" t="s">
        <v>9331</v>
      </c>
      <c r="D94" s="81">
        <v>5.8970000000000002</v>
      </c>
    </row>
    <row r="95" spans="1:4" ht="18" x14ac:dyDescent="0.25">
      <c r="A95" s="80">
        <v>94</v>
      </c>
      <c r="B95" s="80" t="s">
        <v>10779</v>
      </c>
      <c r="C95" s="80" t="s">
        <v>9331</v>
      </c>
      <c r="D95" s="81">
        <v>6.1539999999999999</v>
      </c>
    </row>
    <row r="96" spans="1:4" ht="18" x14ac:dyDescent="0.25">
      <c r="A96" s="80">
        <v>95</v>
      </c>
      <c r="B96" s="80" t="s">
        <v>10780</v>
      </c>
      <c r="C96" s="80" t="s">
        <v>9331</v>
      </c>
      <c r="D96" s="81">
        <v>2.6709999999999998</v>
      </c>
    </row>
    <row r="97" spans="1:4" ht="18" x14ac:dyDescent="0.25">
      <c r="A97" s="80">
        <v>96</v>
      </c>
      <c r="B97" s="80" t="s">
        <v>10781</v>
      </c>
      <c r="C97" s="80" t="s">
        <v>9331</v>
      </c>
      <c r="D97" s="81">
        <v>2.9380000000000002</v>
      </c>
    </row>
    <row r="98" spans="1:4" ht="18" x14ac:dyDescent="0.25">
      <c r="A98" s="80">
        <v>97</v>
      </c>
      <c r="B98" s="80" t="s">
        <v>10782</v>
      </c>
      <c r="C98" s="80" t="s">
        <v>9331</v>
      </c>
      <c r="D98" s="81">
        <v>3.2050000000000001</v>
      </c>
    </row>
    <row r="99" spans="1:4" ht="18" x14ac:dyDescent="0.25">
      <c r="A99" s="80">
        <v>98</v>
      </c>
      <c r="B99" s="80" t="s">
        <v>10783</v>
      </c>
      <c r="C99" s="80" t="s">
        <v>9331</v>
      </c>
      <c r="D99" s="81">
        <v>3.472</v>
      </c>
    </row>
    <row r="100" spans="1:4" ht="18" x14ac:dyDescent="0.25">
      <c r="A100" s="80">
        <v>99</v>
      </c>
      <c r="B100" s="80" t="s">
        <v>10784</v>
      </c>
      <c r="C100" s="80" t="s">
        <v>9331</v>
      </c>
      <c r="D100" s="81">
        <v>3.7389999999999999</v>
      </c>
    </row>
    <row r="101" spans="1:4" ht="18" x14ac:dyDescent="0.25">
      <c r="A101" s="80">
        <v>100</v>
      </c>
      <c r="B101" s="80" t="s">
        <v>10785</v>
      </c>
      <c r="C101" s="80" t="s">
        <v>9331</v>
      </c>
      <c r="D101" s="81">
        <v>4.0060000000000002</v>
      </c>
    </row>
    <row r="102" spans="1:4" ht="18" x14ac:dyDescent="0.25">
      <c r="A102" s="80">
        <v>101</v>
      </c>
      <c r="B102" s="80" t="s">
        <v>10786</v>
      </c>
      <c r="C102" s="80" t="s">
        <v>9331</v>
      </c>
      <c r="D102" s="81">
        <v>4.274</v>
      </c>
    </row>
    <row r="103" spans="1:4" ht="18" x14ac:dyDescent="0.25">
      <c r="A103" s="80">
        <v>102</v>
      </c>
      <c r="B103" s="80" t="s">
        <v>10787</v>
      </c>
      <c r="C103" s="80" t="s">
        <v>9331</v>
      </c>
      <c r="D103" s="81">
        <v>4.5410000000000004</v>
      </c>
    </row>
    <row r="104" spans="1:4" ht="18" x14ac:dyDescent="0.25">
      <c r="A104" s="80">
        <v>103</v>
      </c>
      <c r="B104" s="80" t="s">
        <v>10788</v>
      </c>
      <c r="C104" s="80" t="s">
        <v>9331</v>
      </c>
      <c r="D104" s="81">
        <v>4.8079999999999998</v>
      </c>
    </row>
    <row r="105" spans="1:4" ht="18" x14ac:dyDescent="0.25">
      <c r="A105" s="80">
        <v>104</v>
      </c>
      <c r="B105" s="80" t="s">
        <v>10789</v>
      </c>
      <c r="C105" s="80" t="s">
        <v>9331</v>
      </c>
      <c r="D105" s="81">
        <v>5.0750000000000002</v>
      </c>
    </row>
    <row r="106" spans="1:4" ht="18" x14ac:dyDescent="0.25">
      <c r="A106" s="80">
        <v>105</v>
      </c>
      <c r="B106" s="80" t="s">
        <v>10790</v>
      </c>
      <c r="C106" s="80" t="s">
        <v>9331</v>
      </c>
      <c r="D106" s="81">
        <v>5.3419999999999996</v>
      </c>
    </row>
    <row r="107" spans="1:4" ht="18" x14ac:dyDescent="0.25">
      <c r="A107" s="80">
        <v>106</v>
      </c>
      <c r="B107" s="80" t="s">
        <v>10791</v>
      </c>
      <c r="C107" s="80" t="s">
        <v>9331</v>
      </c>
      <c r="D107" s="81">
        <v>5.609</v>
      </c>
    </row>
    <row r="108" spans="1:4" ht="18" x14ac:dyDescent="0.25">
      <c r="A108" s="80">
        <v>107</v>
      </c>
      <c r="B108" s="80" t="s">
        <v>10792</v>
      </c>
      <c r="C108" s="80" t="s">
        <v>9331</v>
      </c>
      <c r="D108" s="81">
        <v>5.8760000000000003</v>
      </c>
    </row>
    <row r="109" spans="1:4" ht="18" x14ac:dyDescent="0.25">
      <c r="A109" s="80">
        <v>108</v>
      </c>
      <c r="B109" s="80" t="s">
        <v>10793</v>
      </c>
      <c r="C109" s="80" t="s">
        <v>9331</v>
      </c>
      <c r="D109" s="81">
        <v>6.1429999999999998</v>
      </c>
    </row>
    <row r="110" spans="1:4" ht="18" x14ac:dyDescent="0.25">
      <c r="A110" s="80">
        <v>109</v>
      </c>
      <c r="B110" s="80" t="s">
        <v>10794</v>
      </c>
      <c r="C110" s="80" t="s">
        <v>9331</v>
      </c>
      <c r="D110" s="81">
        <v>6.41</v>
      </c>
    </row>
    <row r="111" spans="1:4" ht="18" x14ac:dyDescent="0.25">
      <c r="A111" s="80">
        <v>110</v>
      </c>
      <c r="B111" s="80" t="s">
        <v>10795</v>
      </c>
      <c r="C111" s="80" t="s">
        <v>9331</v>
      </c>
      <c r="D111" s="81">
        <v>2.778</v>
      </c>
    </row>
    <row r="112" spans="1:4" ht="18" x14ac:dyDescent="0.25">
      <c r="A112" s="80">
        <v>111</v>
      </c>
      <c r="B112" s="80" t="s">
        <v>10796</v>
      </c>
      <c r="C112" s="80" t="s">
        <v>9331</v>
      </c>
      <c r="D112" s="81">
        <v>3.056</v>
      </c>
    </row>
    <row r="113" spans="1:4" ht="18" x14ac:dyDescent="0.25">
      <c r="A113" s="80">
        <v>112</v>
      </c>
      <c r="B113" s="80" t="s">
        <v>10797</v>
      </c>
      <c r="C113" s="80" t="s">
        <v>9331</v>
      </c>
      <c r="D113" s="81">
        <v>3.3330000000000002</v>
      </c>
    </row>
    <row r="114" spans="1:4" ht="18" x14ac:dyDescent="0.25">
      <c r="A114" s="80">
        <v>113</v>
      </c>
      <c r="B114" s="80" t="s">
        <v>10798</v>
      </c>
      <c r="C114" s="80" t="s">
        <v>9331</v>
      </c>
      <c r="D114" s="81">
        <v>3.6110000000000002</v>
      </c>
    </row>
    <row r="115" spans="1:4" ht="18" x14ac:dyDescent="0.25">
      <c r="A115" s="80">
        <v>114</v>
      </c>
      <c r="B115" s="80" t="s">
        <v>10799</v>
      </c>
      <c r="C115" s="80" t="s">
        <v>9331</v>
      </c>
      <c r="D115" s="81">
        <v>3.8889999999999998</v>
      </c>
    </row>
    <row r="116" spans="1:4" ht="18" x14ac:dyDescent="0.25">
      <c r="A116" s="80">
        <v>115</v>
      </c>
      <c r="B116" s="80" t="s">
        <v>10800</v>
      </c>
      <c r="C116" s="80" t="s">
        <v>9331</v>
      </c>
      <c r="D116" s="81">
        <v>4.1669999999999998</v>
      </c>
    </row>
    <row r="117" spans="1:4" ht="18" x14ac:dyDescent="0.25">
      <c r="A117" s="80">
        <v>116</v>
      </c>
      <c r="B117" s="80" t="s">
        <v>10801</v>
      </c>
      <c r="C117" s="80" t="s">
        <v>9331</v>
      </c>
      <c r="D117" s="81">
        <v>4.444</v>
      </c>
    </row>
    <row r="118" spans="1:4" ht="18" x14ac:dyDescent="0.25">
      <c r="A118" s="80">
        <v>117</v>
      </c>
      <c r="B118" s="80" t="s">
        <v>10802</v>
      </c>
      <c r="C118" s="80" t="s">
        <v>9331</v>
      </c>
      <c r="D118" s="81">
        <v>4.7220000000000004</v>
      </c>
    </row>
    <row r="119" spans="1:4" ht="18" x14ac:dyDescent="0.25">
      <c r="A119" s="80">
        <v>118</v>
      </c>
      <c r="B119" s="80" t="s">
        <v>10803</v>
      </c>
      <c r="C119" s="80" t="s">
        <v>9331</v>
      </c>
      <c r="D119" s="81">
        <v>5</v>
      </c>
    </row>
    <row r="120" spans="1:4" ht="18" x14ac:dyDescent="0.25">
      <c r="A120" s="80">
        <v>119</v>
      </c>
      <c r="B120" s="80" t="s">
        <v>10804</v>
      </c>
      <c r="C120" s="80" t="s">
        <v>9331</v>
      </c>
      <c r="D120" s="81">
        <v>5.2779999999999996</v>
      </c>
    </row>
    <row r="121" spans="1:4" ht="18" x14ac:dyDescent="0.25">
      <c r="A121" s="80">
        <v>120</v>
      </c>
      <c r="B121" s="80" t="s">
        <v>10805</v>
      </c>
      <c r="C121" s="80" t="s">
        <v>9331</v>
      </c>
      <c r="D121" s="81">
        <v>5.556</v>
      </c>
    </row>
    <row r="122" spans="1:4" ht="18" x14ac:dyDescent="0.25">
      <c r="A122" s="80">
        <v>121</v>
      </c>
      <c r="B122" s="80" t="s">
        <v>10806</v>
      </c>
      <c r="C122" s="80" t="s">
        <v>9331</v>
      </c>
      <c r="D122" s="81">
        <v>5.8330000000000002</v>
      </c>
    </row>
    <row r="123" spans="1:4" ht="18" x14ac:dyDescent="0.25">
      <c r="A123" s="80">
        <v>122</v>
      </c>
      <c r="B123" s="80" t="s">
        <v>10807</v>
      </c>
      <c r="C123" s="80" t="s">
        <v>9331</v>
      </c>
      <c r="D123" s="81">
        <v>6.1109999999999998</v>
      </c>
    </row>
    <row r="124" spans="1:4" ht="18" x14ac:dyDescent="0.25">
      <c r="A124" s="80">
        <v>123</v>
      </c>
      <c r="B124" s="80" t="s">
        <v>10808</v>
      </c>
      <c r="C124" s="80" t="s">
        <v>9331</v>
      </c>
      <c r="D124" s="81">
        <v>6.3890000000000002</v>
      </c>
    </row>
    <row r="125" spans="1:4" ht="18" x14ac:dyDescent="0.25">
      <c r="A125" s="80">
        <v>124</v>
      </c>
      <c r="B125" s="80" t="s">
        <v>10809</v>
      </c>
      <c r="C125" s="80" t="s">
        <v>9331</v>
      </c>
      <c r="D125" s="81">
        <v>6.6669999999999998</v>
      </c>
    </row>
    <row r="126" spans="1:4" ht="18" x14ac:dyDescent="0.25">
      <c r="A126" s="80">
        <v>125</v>
      </c>
      <c r="B126" s="80" t="s">
        <v>10810</v>
      </c>
      <c r="C126" s="80" t="s">
        <v>9331</v>
      </c>
      <c r="D126" s="81">
        <v>2.8490000000000002</v>
      </c>
    </row>
    <row r="127" spans="1:4" ht="18" x14ac:dyDescent="0.25">
      <c r="A127" s="80">
        <v>126</v>
      </c>
      <c r="B127" s="80" t="s">
        <v>10811</v>
      </c>
      <c r="C127" s="80" t="s">
        <v>9331</v>
      </c>
      <c r="D127" s="81">
        <v>3.1339999999999999</v>
      </c>
    </row>
    <row r="128" spans="1:4" ht="18" x14ac:dyDescent="0.25">
      <c r="A128" s="80">
        <v>127</v>
      </c>
      <c r="B128" s="80" t="s">
        <v>10812</v>
      </c>
      <c r="C128" s="80" t="s">
        <v>9331</v>
      </c>
      <c r="D128" s="81">
        <v>3.419</v>
      </c>
    </row>
    <row r="129" spans="1:4" ht="18" x14ac:dyDescent="0.25">
      <c r="A129" s="80">
        <v>128</v>
      </c>
      <c r="B129" s="80" t="s">
        <v>10813</v>
      </c>
      <c r="C129" s="80" t="s">
        <v>9331</v>
      </c>
      <c r="D129" s="81">
        <v>3.7040000000000002</v>
      </c>
    </row>
    <row r="130" spans="1:4" ht="18" x14ac:dyDescent="0.25">
      <c r="A130" s="80">
        <v>129</v>
      </c>
      <c r="B130" s="80" t="s">
        <v>10814</v>
      </c>
      <c r="C130" s="80" t="s">
        <v>9331</v>
      </c>
      <c r="D130" s="81">
        <v>3.9889999999999999</v>
      </c>
    </row>
    <row r="131" spans="1:4" ht="18" x14ac:dyDescent="0.25">
      <c r="A131" s="80">
        <v>130</v>
      </c>
      <c r="B131" s="80" t="s">
        <v>10815</v>
      </c>
      <c r="C131" s="80" t="s">
        <v>9331</v>
      </c>
      <c r="D131" s="81">
        <v>4.274</v>
      </c>
    </row>
    <row r="132" spans="1:4" ht="18" x14ac:dyDescent="0.25">
      <c r="A132" s="80">
        <v>131</v>
      </c>
      <c r="B132" s="80" t="s">
        <v>10816</v>
      </c>
      <c r="C132" s="80" t="s">
        <v>9331</v>
      </c>
      <c r="D132" s="81">
        <v>4.5579999999999998</v>
      </c>
    </row>
    <row r="133" spans="1:4" ht="18" x14ac:dyDescent="0.25">
      <c r="A133" s="80">
        <v>132</v>
      </c>
      <c r="B133" s="80" t="s">
        <v>10817</v>
      </c>
      <c r="C133" s="80" t="s">
        <v>9331</v>
      </c>
      <c r="D133" s="81">
        <v>4.843</v>
      </c>
    </row>
    <row r="134" spans="1:4" ht="18" x14ac:dyDescent="0.25">
      <c r="A134" s="80">
        <v>133</v>
      </c>
      <c r="B134" s="80" t="s">
        <v>10818</v>
      </c>
      <c r="C134" s="80" t="s">
        <v>9331</v>
      </c>
      <c r="D134" s="81">
        <v>5.1280000000000001</v>
      </c>
    </row>
    <row r="135" spans="1:4" ht="18" x14ac:dyDescent="0.25">
      <c r="A135" s="80">
        <v>134</v>
      </c>
      <c r="B135" s="80" t="s">
        <v>10819</v>
      </c>
      <c r="C135" s="80" t="s">
        <v>9331</v>
      </c>
      <c r="D135" s="81">
        <v>5.4130000000000003</v>
      </c>
    </row>
    <row r="136" spans="1:4" ht="18" x14ac:dyDescent="0.25">
      <c r="A136" s="80">
        <v>135</v>
      </c>
      <c r="B136" s="80" t="s">
        <v>10820</v>
      </c>
      <c r="C136" s="80" t="s">
        <v>9331</v>
      </c>
      <c r="D136" s="81">
        <v>5.6980000000000004</v>
      </c>
    </row>
    <row r="137" spans="1:4" ht="18" x14ac:dyDescent="0.25">
      <c r="A137" s="80">
        <v>136</v>
      </c>
      <c r="B137" s="80" t="s">
        <v>10821</v>
      </c>
      <c r="C137" s="80" t="s">
        <v>9331</v>
      </c>
      <c r="D137" s="81">
        <v>5.9829999999999997</v>
      </c>
    </row>
    <row r="138" spans="1:4" ht="18" x14ac:dyDescent="0.25">
      <c r="A138" s="80">
        <v>137</v>
      </c>
      <c r="B138" s="80" t="s">
        <v>10822</v>
      </c>
      <c r="C138" s="80" t="s">
        <v>9331</v>
      </c>
      <c r="D138" s="81">
        <v>6.2679999999999998</v>
      </c>
    </row>
    <row r="139" spans="1:4" ht="18" x14ac:dyDescent="0.25">
      <c r="A139" s="80">
        <v>138</v>
      </c>
      <c r="B139" s="80" t="s">
        <v>10823</v>
      </c>
      <c r="C139" s="80" t="s">
        <v>9331</v>
      </c>
      <c r="D139" s="81">
        <v>6.5529999999999999</v>
      </c>
    </row>
    <row r="140" spans="1:4" ht="18" x14ac:dyDescent="0.25">
      <c r="A140" s="80">
        <v>139</v>
      </c>
      <c r="B140" s="80" t="s">
        <v>10824</v>
      </c>
      <c r="C140" s="80" t="s">
        <v>9331</v>
      </c>
      <c r="D140" s="81">
        <v>6.8380000000000001</v>
      </c>
    </row>
    <row r="141" spans="1:4" ht="18" x14ac:dyDescent="0.25">
      <c r="A141" s="80">
        <v>140</v>
      </c>
      <c r="B141" s="80" t="s">
        <v>10825</v>
      </c>
      <c r="C141" s="80" t="s">
        <v>9331</v>
      </c>
      <c r="D141" s="81">
        <v>2.9910000000000001</v>
      </c>
    </row>
    <row r="142" spans="1:4" ht="18" x14ac:dyDescent="0.25">
      <c r="A142" s="80">
        <v>141</v>
      </c>
      <c r="B142" s="80" t="s">
        <v>10826</v>
      </c>
      <c r="C142" s="80" t="s">
        <v>9331</v>
      </c>
      <c r="D142" s="81">
        <v>3.2909999999999999</v>
      </c>
    </row>
    <row r="143" spans="1:4" ht="18" x14ac:dyDescent="0.25">
      <c r="A143" s="80">
        <v>142</v>
      </c>
      <c r="B143" s="80" t="s">
        <v>10827</v>
      </c>
      <c r="C143" s="80" t="s">
        <v>9331</v>
      </c>
      <c r="D143" s="81">
        <v>3.59</v>
      </c>
    </row>
    <row r="144" spans="1:4" ht="18" x14ac:dyDescent="0.25">
      <c r="A144" s="80">
        <v>143</v>
      </c>
      <c r="B144" s="80" t="s">
        <v>10828</v>
      </c>
      <c r="C144" s="80" t="s">
        <v>9331</v>
      </c>
      <c r="D144" s="81">
        <v>3.8889999999999998</v>
      </c>
    </row>
    <row r="145" spans="1:4" ht="18" x14ac:dyDescent="0.25">
      <c r="A145" s="80">
        <v>144</v>
      </c>
      <c r="B145" s="80" t="s">
        <v>10829</v>
      </c>
      <c r="C145" s="80" t="s">
        <v>9331</v>
      </c>
      <c r="D145" s="81">
        <v>4.1879999999999997</v>
      </c>
    </row>
    <row r="146" spans="1:4" ht="18" x14ac:dyDescent="0.25">
      <c r="A146" s="80">
        <v>145</v>
      </c>
      <c r="B146" s="80" t="s">
        <v>10830</v>
      </c>
      <c r="C146" s="80" t="s">
        <v>9331</v>
      </c>
      <c r="D146" s="81">
        <v>4.4870000000000001</v>
      </c>
    </row>
    <row r="147" spans="1:4" ht="18" x14ac:dyDescent="0.25">
      <c r="A147" s="80">
        <v>146</v>
      </c>
      <c r="B147" s="80" t="s">
        <v>10831</v>
      </c>
      <c r="C147" s="80" t="s">
        <v>9331</v>
      </c>
      <c r="D147" s="81">
        <v>4.7859999999999996</v>
      </c>
    </row>
    <row r="148" spans="1:4" ht="18" x14ac:dyDescent="0.25">
      <c r="A148" s="80">
        <v>147</v>
      </c>
      <c r="B148" s="80" t="s">
        <v>10832</v>
      </c>
      <c r="C148" s="80" t="s">
        <v>9331</v>
      </c>
      <c r="D148" s="81">
        <v>5.0860000000000003</v>
      </c>
    </row>
    <row r="149" spans="1:4" ht="18" x14ac:dyDescent="0.25">
      <c r="A149" s="80">
        <v>148</v>
      </c>
      <c r="B149" s="80" t="s">
        <v>10833</v>
      </c>
      <c r="C149" s="80" t="s">
        <v>9331</v>
      </c>
      <c r="D149" s="81">
        <v>5.3849999999999998</v>
      </c>
    </row>
    <row r="150" spans="1:4" ht="18" x14ac:dyDescent="0.25">
      <c r="A150" s="80">
        <v>149</v>
      </c>
      <c r="B150" s="80" t="s">
        <v>10834</v>
      </c>
      <c r="C150" s="80" t="s">
        <v>9331</v>
      </c>
      <c r="D150" s="81">
        <v>5.6840000000000002</v>
      </c>
    </row>
    <row r="151" spans="1:4" ht="18" x14ac:dyDescent="0.25">
      <c r="A151" s="80">
        <v>150</v>
      </c>
      <c r="B151" s="80" t="s">
        <v>10835</v>
      </c>
      <c r="C151" s="80" t="s">
        <v>9331</v>
      </c>
      <c r="D151" s="81">
        <v>5.9829999999999997</v>
      </c>
    </row>
    <row r="152" spans="1:4" ht="18" x14ac:dyDescent="0.25">
      <c r="A152" s="80">
        <v>151</v>
      </c>
      <c r="B152" s="80" t="s">
        <v>10836</v>
      </c>
      <c r="C152" s="80" t="s">
        <v>9331</v>
      </c>
      <c r="D152" s="81">
        <v>6.282</v>
      </c>
    </row>
    <row r="153" spans="1:4" ht="18" x14ac:dyDescent="0.25">
      <c r="A153" s="80">
        <v>152</v>
      </c>
      <c r="B153" s="80" t="s">
        <v>10837</v>
      </c>
      <c r="C153" s="80" t="s">
        <v>9331</v>
      </c>
      <c r="D153" s="81">
        <v>6.5810000000000004</v>
      </c>
    </row>
    <row r="154" spans="1:4" ht="18" x14ac:dyDescent="0.25">
      <c r="A154" s="80">
        <v>153</v>
      </c>
      <c r="B154" s="80" t="s">
        <v>10838</v>
      </c>
      <c r="C154" s="80" t="s">
        <v>9331</v>
      </c>
      <c r="D154" s="81">
        <v>6.88</v>
      </c>
    </row>
    <row r="155" spans="1:4" ht="18" x14ac:dyDescent="0.25">
      <c r="A155" s="80">
        <v>154</v>
      </c>
      <c r="B155" s="80" t="s">
        <v>10839</v>
      </c>
      <c r="C155" s="80" t="s">
        <v>9331</v>
      </c>
      <c r="D155" s="81">
        <v>7.18</v>
      </c>
    </row>
    <row r="156" spans="1:4" ht="18" x14ac:dyDescent="0.25">
      <c r="A156" s="80">
        <v>155</v>
      </c>
      <c r="B156" s="80" t="s">
        <v>9340</v>
      </c>
      <c r="C156" s="80" t="s">
        <v>9331</v>
      </c>
      <c r="D156" s="81">
        <v>0.251</v>
      </c>
    </row>
    <row r="157" spans="1:4" ht="18" x14ac:dyDescent="0.25">
      <c r="A157" s="80">
        <v>156</v>
      </c>
      <c r="B157" s="80" t="s">
        <v>9426</v>
      </c>
      <c r="C157" s="80" t="s">
        <v>9331</v>
      </c>
      <c r="D157" s="81">
        <v>0.53400000000000003</v>
      </c>
    </row>
    <row r="158" spans="1:4" ht="18" x14ac:dyDescent="0.25">
      <c r="A158" s="80">
        <v>157</v>
      </c>
      <c r="B158" s="80" t="s">
        <v>9427</v>
      </c>
      <c r="C158" s="80" t="s">
        <v>9331</v>
      </c>
      <c r="D158" s="81">
        <v>3.2050000000000001</v>
      </c>
    </row>
    <row r="159" spans="1:4" ht="18" x14ac:dyDescent="0.25">
      <c r="A159" s="80">
        <v>158</v>
      </c>
      <c r="B159" s="80" t="s">
        <v>9428</v>
      </c>
      <c r="C159" s="80" t="s">
        <v>9331</v>
      </c>
      <c r="D159" s="81">
        <v>3.5259999999999998</v>
      </c>
    </row>
    <row r="160" spans="1:4" ht="18" x14ac:dyDescent="0.25">
      <c r="A160" s="80">
        <v>159</v>
      </c>
      <c r="B160" s="80" t="s">
        <v>9429</v>
      </c>
      <c r="C160" s="80" t="s">
        <v>9331</v>
      </c>
      <c r="D160" s="81">
        <v>3.8460000000000001</v>
      </c>
    </row>
    <row r="161" spans="1:4" ht="18" x14ac:dyDescent="0.25">
      <c r="A161" s="80">
        <v>160</v>
      </c>
      <c r="B161" s="80" t="s">
        <v>9430</v>
      </c>
      <c r="C161" s="80" t="s">
        <v>9331</v>
      </c>
      <c r="D161" s="81">
        <v>4.1669999999999998</v>
      </c>
    </row>
    <row r="162" spans="1:4" ht="18" x14ac:dyDescent="0.25">
      <c r="A162" s="80">
        <v>161</v>
      </c>
      <c r="B162" s="80" t="s">
        <v>9431</v>
      </c>
      <c r="C162" s="80" t="s">
        <v>9331</v>
      </c>
      <c r="D162" s="81">
        <v>4.4870000000000001</v>
      </c>
    </row>
    <row r="163" spans="1:4" ht="18" x14ac:dyDescent="0.25">
      <c r="A163" s="80">
        <v>162</v>
      </c>
      <c r="B163" s="80" t="s">
        <v>9432</v>
      </c>
      <c r="C163" s="80" t="s">
        <v>9331</v>
      </c>
      <c r="D163" s="81">
        <v>4.8079999999999998</v>
      </c>
    </row>
    <row r="164" spans="1:4" ht="18" x14ac:dyDescent="0.25">
      <c r="A164" s="80">
        <v>163</v>
      </c>
      <c r="B164" s="80" t="s">
        <v>9433</v>
      </c>
      <c r="C164" s="80" t="s">
        <v>9331</v>
      </c>
      <c r="D164" s="81">
        <v>5.1280000000000001</v>
      </c>
    </row>
    <row r="165" spans="1:4" ht="18" x14ac:dyDescent="0.25">
      <c r="A165" s="80">
        <v>164</v>
      </c>
      <c r="B165" s="80" t="s">
        <v>9434</v>
      </c>
      <c r="C165" s="80" t="s">
        <v>9331</v>
      </c>
      <c r="D165" s="81">
        <v>5.4489999999999998</v>
      </c>
    </row>
    <row r="166" spans="1:4" ht="18" x14ac:dyDescent="0.25">
      <c r="A166" s="80">
        <v>165</v>
      </c>
      <c r="B166" s="80" t="s">
        <v>9435</v>
      </c>
      <c r="C166" s="80" t="s">
        <v>9331</v>
      </c>
      <c r="D166" s="81">
        <v>5.7690000000000001</v>
      </c>
    </row>
    <row r="167" spans="1:4" ht="18" x14ac:dyDescent="0.25">
      <c r="A167" s="80">
        <v>166</v>
      </c>
      <c r="B167" s="80" t="s">
        <v>9436</v>
      </c>
      <c r="C167" s="80" t="s">
        <v>9331</v>
      </c>
      <c r="D167" s="81">
        <v>6.09</v>
      </c>
    </row>
    <row r="168" spans="1:4" ht="18" x14ac:dyDescent="0.25">
      <c r="A168" s="80">
        <v>167</v>
      </c>
      <c r="B168" s="80" t="s">
        <v>9437</v>
      </c>
      <c r="C168" s="80" t="s">
        <v>9331</v>
      </c>
      <c r="D168" s="81">
        <v>6.41</v>
      </c>
    </row>
    <row r="169" spans="1:4" ht="18" x14ac:dyDescent="0.25">
      <c r="A169" s="80">
        <v>168</v>
      </c>
      <c r="B169" s="80" t="s">
        <v>9438</v>
      </c>
      <c r="C169" s="80" t="s">
        <v>9331</v>
      </c>
      <c r="D169" s="81">
        <v>6.7309999999999999</v>
      </c>
    </row>
    <row r="170" spans="1:4" ht="18" x14ac:dyDescent="0.25">
      <c r="A170" s="80">
        <v>169</v>
      </c>
      <c r="B170" s="80" t="s">
        <v>9439</v>
      </c>
      <c r="C170" s="80" t="s">
        <v>9331</v>
      </c>
      <c r="D170" s="81">
        <v>7.0510000000000002</v>
      </c>
    </row>
    <row r="171" spans="1:4" ht="18" x14ac:dyDescent="0.25">
      <c r="A171" s="80">
        <v>170</v>
      </c>
      <c r="B171" s="80" t="s">
        <v>9440</v>
      </c>
      <c r="C171" s="80" t="s">
        <v>9331</v>
      </c>
      <c r="D171" s="81">
        <v>7.3719999999999999</v>
      </c>
    </row>
    <row r="172" spans="1:4" ht="18" x14ac:dyDescent="0.25">
      <c r="A172" s="80">
        <v>171</v>
      </c>
      <c r="B172" s="80" t="s">
        <v>9441</v>
      </c>
      <c r="C172" s="80" t="s">
        <v>9331</v>
      </c>
      <c r="D172" s="81">
        <v>7.6920000000000002</v>
      </c>
    </row>
    <row r="173" spans="1:4" ht="18" x14ac:dyDescent="0.25">
      <c r="A173" s="80">
        <v>172</v>
      </c>
      <c r="B173" s="80" t="s">
        <v>9442</v>
      </c>
      <c r="C173" s="80" t="s">
        <v>9331</v>
      </c>
      <c r="D173" s="81">
        <v>3.339</v>
      </c>
    </row>
    <row r="174" spans="1:4" ht="18" x14ac:dyDescent="0.25">
      <c r="A174" s="80">
        <v>173</v>
      </c>
      <c r="B174" s="80" t="s">
        <v>9443</v>
      </c>
      <c r="C174" s="80" t="s">
        <v>9331</v>
      </c>
      <c r="D174" s="81">
        <v>3.673</v>
      </c>
    </row>
    <row r="175" spans="1:4" ht="18" x14ac:dyDescent="0.25">
      <c r="A175" s="80">
        <v>174</v>
      </c>
      <c r="B175" s="80" t="s">
        <v>9444</v>
      </c>
      <c r="C175" s="80" t="s">
        <v>9331</v>
      </c>
      <c r="D175" s="81">
        <v>4.0060000000000002</v>
      </c>
    </row>
    <row r="176" spans="1:4" ht="18" x14ac:dyDescent="0.25">
      <c r="A176" s="80">
        <v>175</v>
      </c>
      <c r="B176" s="80" t="s">
        <v>9445</v>
      </c>
      <c r="C176" s="80" t="s">
        <v>9331</v>
      </c>
      <c r="D176" s="81">
        <v>4.34</v>
      </c>
    </row>
    <row r="177" spans="1:4" ht="18" x14ac:dyDescent="0.25">
      <c r="A177" s="80">
        <v>176</v>
      </c>
      <c r="B177" s="80" t="s">
        <v>9446</v>
      </c>
      <c r="C177" s="80" t="s">
        <v>9331</v>
      </c>
      <c r="D177" s="81">
        <v>4.6740000000000004</v>
      </c>
    </row>
    <row r="178" spans="1:4" ht="18" x14ac:dyDescent="0.25">
      <c r="A178" s="80">
        <v>177</v>
      </c>
      <c r="B178" s="80" t="s">
        <v>9447</v>
      </c>
      <c r="C178" s="80" t="s">
        <v>9331</v>
      </c>
      <c r="D178" s="81">
        <v>5.008</v>
      </c>
    </row>
    <row r="179" spans="1:4" ht="18" x14ac:dyDescent="0.25">
      <c r="A179" s="80">
        <v>178</v>
      </c>
      <c r="B179" s="80" t="s">
        <v>9448</v>
      </c>
      <c r="C179" s="80" t="s">
        <v>9331</v>
      </c>
      <c r="D179" s="81">
        <v>5.3419999999999996</v>
      </c>
    </row>
    <row r="180" spans="1:4" ht="18" x14ac:dyDescent="0.25">
      <c r="A180" s="80">
        <v>179</v>
      </c>
      <c r="B180" s="80" t="s">
        <v>9449</v>
      </c>
      <c r="C180" s="80" t="s">
        <v>9331</v>
      </c>
      <c r="D180" s="81">
        <v>5.6760000000000002</v>
      </c>
    </row>
    <row r="181" spans="1:4" ht="18" x14ac:dyDescent="0.25">
      <c r="A181" s="80">
        <v>180</v>
      </c>
      <c r="B181" s="80" t="s">
        <v>9450</v>
      </c>
      <c r="C181" s="80" t="s">
        <v>9331</v>
      </c>
      <c r="D181" s="81">
        <v>6.01</v>
      </c>
    </row>
    <row r="182" spans="1:4" ht="18" x14ac:dyDescent="0.25">
      <c r="A182" s="80">
        <v>181</v>
      </c>
      <c r="B182" s="80" t="s">
        <v>9451</v>
      </c>
      <c r="C182" s="80" t="s">
        <v>9331</v>
      </c>
      <c r="D182" s="81">
        <v>6.3440000000000003</v>
      </c>
    </row>
    <row r="183" spans="1:4" ht="18" x14ac:dyDescent="0.25">
      <c r="A183" s="80">
        <v>182</v>
      </c>
      <c r="B183" s="80" t="s">
        <v>9452</v>
      </c>
      <c r="C183" s="80" t="s">
        <v>9331</v>
      </c>
      <c r="D183" s="81">
        <v>6.6769999999999996</v>
      </c>
    </row>
    <row r="184" spans="1:4" ht="18" x14ac:dyDescent="0.25">
      <c r="A184" s="80">
        <v>183</v>
      </c>
      <c r="B184" s="80" t="s">
        <v>9453</v>
      </c>
      <c r="C184" s="80" t="s">
        <v>9331</v>
      </c>
      <c r="D184" s="81">
        <v>7.0110000000000001</v>
      </c>
    </row>
    <row r="185" spans="1:4" ht="18" x14ac:dyDescent="0.25">
      <c r="A185" s="80">
        <v>184</v>
      </c>
      <c r="B185" s="80" t="s">
        <v>9454</v>
      </c>
      <c r="C185" s="80" t="s">
        <v>9331</v>
      </c>
      <c r="D185" s="81">
        <v>7.3449999999999998</v>
      </c>
    </row>
    <row r="186" spans="1:4" ht="18" x14ac:dyDescent="0.25">
      <c r="A186" s="80">
        <v>185</v>
      </c>
      <c r="B186" s="80" t="s">
        <v>9455</v>
      </c>
      <c r="C186" s="80" t="s">
        <v>9331</v>
      </c>
      <c r="D186" s="81">
        <v>7.6790000000000003</v>
      </c>
    </row>
    <row r="187" spans="1:4" ht="18" x14ac:dyDescent="0.25">
      <c r="A187" s="80">
        <v>186</v>
      </c>
      <c r="B187" s="80" t="s">
        <v>9456</v>
      </c>
      <c r="C187" s="80" t="s">
        <v>9331</v>
      </c>
      <c r="D187" s="81">
        <v>8.0129999999999999</v>
      </c>
    </row>
    <row r="188" spans="1:4" ht="18" x14ac:dyDescent="0.25">
      <c r="A188" s="80">
        <v>187</v>
      </c>
      <c r="B188" s="80" t="s">
        <v>9457</v>
      </c>
      <c r="C188" s="80" t="s">
        <v>9331</v>
      </c>
      <c r="D188" s="81">
        <v>3.472</v>
      </c>
    </row>
    <row r="189" spans="1:4" ht="18" x14ac:dyDescent="0.25">
      <c r="A189" s="80">
        <v>188</v>
      </c>
      <c r="B189" s="80" t="s">
        <v>9458</v>
      </c>
      <c r="C189" s="80" t="s">
        <v>9331</v>
      </c>
      <c r="D189" s="81">
        <v>3.819</v>
      </c>
    </row>
    <row r="190" spans="1:4" ht="18" x14ac:dyDescent="0.25">
      <c r="A190" s="80">
        <v>189</v>
      </c>
      <c r="B190" s="80" t="s">
        <v>9459</v>
      </c>
      <c r="C190" s="80" t="s">
        <v>9331</v>
      </c>
      <c r="D190" s="81">
        <v>4.1669999999999998</v>
      </c>
    </row>
    <row r="191" spans="1:4" ht="18" x14ac:dyDescent="0.25">
      <c r="A191" s="80">
        <v>190</v>
      </c>
      <c r="B191" s="80" t="s">
        <v>9460</v>
      </c>
      <c r="C191" s="80" t="s">
        <v>9331</v>
      </c>
      <c r="D191" s="81">
        <v>4.5140000000000002</v>
      </c>
    </row>
    <row r="192" spans="1:4" ht="18" x14ac:dyDescent="0.25">
      <c r="A192" s="80">
        <v>191</v>
      </c>
      <c r="B192" s="80" t="s">
        <v>9461</v>
      </c>
      <c r="C192" s="80" t="s">
        <v>9331</v>
      </c>
      <c r="D192" s="81">
        <v>4.8609999999999998</v>
      </c>
    </row>
    <row r="193" spans="1:4" ht="18" x14ac:dyDescent="0.25">
      <c r="A193" s="80">
        <v>192</v>
      </c>
      <c r="B193" s="80" t="s">
        <v>9462</v>
      </c>
      <c r="C193" s="80" t="s">
        <v>9331</v>
      </c>
      <c r="D193" s="81">
        <v>5.2080000000000002</v>
      </c>
    </row>
    <row r="194" spans="1:4" ht="18" x14ac:dyDescent="0.25">
      <c r="A194" s="80">
        <v>193</v>
      </c>
      <c r="B194" s="80" t="s">
        <v>9463</v>
      </c>
      <c r="C194" s="80" t="s">
        <v>9331</v>
      </c>
      <c r="D194" s="81">
        <v>5.556</v>
      </c>
    </row>
    <row r="195" spans="1:4" ht="18" x14ac:dyDescent="0.25">
      <c r="A195" s="80">
        <v>194</v>
      </c>
      <c r="B195" s="80" t="s">
        <v>9464</v>
      </c>
      <c r="C195" s="80" t="s">
        <v>9331</v>
      </c>
      <c r="D195" s="81">
        <v>5.9029999999999996</v>
      </c>
    </row>
    <row r="196" spans="1:4" ht="18" x14ac:dyDescent="0.25">
      <c r="A196" s="80">
        <v>195</v>
      </c>
      <c r="B196" s="80" t="s">
        <v>9465</v>
      </c>
      <c r="C196" s="80" t="s">
        <v>9331</v>
      </c>
      <c r="D196" s="81">
        <v>6.25</v>
      </c>
    </row>
    <row r="197" spans="1:4" ht="18" x14ac:dyDescent="0.25">
      <c r="A197" s="80">
        <v>196</v>
      </c>
      <c r="B197" s="80" t="s">
        <v>9466</v>
      </c>
      <c r="C197" s="80" t="s">
        <v>9331</v>
      </c>
      <c r="D197" s="81">
        <v>6.5970000000000004</v>
      </c>
    </row>
    <row r="198" spans="1:4" ht="18" x14ac:dyDescent="0.25">
      <c r="A198" s="80">
        <v>197</v>
      </c>
      <c r="B198" s="80" t="s">
        <v>9467</v>
      </c>
      <c r="C198" s="80" t="s">
        <v>9331</v>
      </c>
      <c r="D198" s="81">
        <v>6.9450000000000003</v>
      </c>
    </row>
    <row r="199" spans="1:4" ht="18" x14ac:dyDescent="0.25">
      <c r="A199" s="80">
        <v>198</v>
      </c>
      <c r="B199" s="80" t="s">
        <v>9468</v>
      </c>
      <c r="C199" s="80" t="s">
        <v>9331</v>
      </c>
      <c r="D199" s="81">
        <v>7.2919999999999998</v>
      </c>
    </row>
    <row r="200" spans="1:4" ht="18" x14ac:dyDescent="0.25">
      <c r="A200" s="80">
        <v>199</v>
      </c>
      <c r="B200" s="80" t="s">
        <v>9469</v>
      </c>
      <c r="C200" s="80" t="s">
        <v>9331</v>
      </c>
      <c r="D200" s="81">
        <v>7.6390000000000002</v>
      </c>
    </row>
    <row r="201" spans="1:4" ht="18" x14ac:dyDescent="0.25">
      <c r="A201" s="80">
        <v>200</v>
      </c>
      <c r="B201" s="80" t="s">
        <v>9470</v>
      </c>
      <c r="C201" s="80" t="s">
        <v>9331</v>
      </c>
      <c r="D201" s="81">
        <v>7.9859999999999998</v>
      </c>
    </row>
    <row r="202" spans="1:4" ht="18" x14ac:dyDescent="0.25">
      <c r="A202" s="80">
        <v>201</v>
      </c>
      <c r="B202" s="80" t="s">
        <v>9471</v>
      </c>
      <c r="C202" s="80" t="s">
        <v>9331</v>
      </c>
      <c r="D202" s="81">
        <v>8.3330000000000002</v>
      </c>
    </row>
    <row r="203" spans="1:4" ht="18" x14ac:dyDescent="0.25">
      <c r="A203" s="80">
        <v>202</v>
      </c>
      <c r="B203" s="80" t="s">
        <v>9472</v>
      </c>
      <c r="C203" s="80" t="s">
        <v>9331</v>
      </c>
      <c r="D203" s="81">
        <v>3.5609999999999999</v>
      </c>
    </row>
    <row r="204" spans="1:4" ht="18" x14ac:dyDescent="0.25">
      <c r="A204" s="80">
        <v>203</v>
      </c>
      <c r="B204" s="80" t="s">
        <v>9473</v>
      </c>
      <c r="C204" s="80" t="s">
        <v>9331</v>
      </c>
      <c r="D204" s="81">
        <v>3.9169999999999998</v>
      </c>
    </row>
    <row r="205" spans="1:4" ht="18" x14ac:dyDescent="0.25">
      <c r="A205" s="80">
        <v>204</v>
      </c>
      <c r="B205" s="80" t="s">
        <v>9474</v>
      </c>
      <c r="C205" s="80" t="s">
        <v>9331</v>
      </c>
      <c r="D205" s="81">
        <v>4.274</v>
      </c>
    </row>
    <row r="206" spans="1:4" ht="18" x14ac:dyDescent="0.25">
      <c r="A206" s="80">
        <v>205</v>
      </c>
      <c r="B206" s="80" t="s">
        <v>9475</v>
      </c>
      <c r="C206" s="80" t="s">
        <v>9331</v>
      </c>
      <c r="D206" s="81">
        <v>4.63</v>
      </c>
    </row>
    <row r="207" spans="1:4" ht="18" x14ac:dyDescent="0.25">
      <c r="A207" s="80">
        <v>206</v>
      </c>
      <c r="B207" s="80" t="s">
        <v>9476</v>
      </c>
      <c r="C207" s="80" t="s">
        <v>9331</v>
      </c>
      <c r="D207" s="81">
        <v>4.9859999999999998</v>
      </c>
    </row>
    <row r="208" spans="1:4" ht="18" x14ac:dyDescent="0.25">
      <c r="A208" s="80">
        <v>207</v>
      </c>
      <c r="B208" s="80" t="s">
        <v>9477</v>
      </c>
      <c r="C208" s="80" t="s">
        <v>9331</v>
      </c>
      <c r="D208" s="81">
        <v>5.3419999999999996</v>
      </c>
    </row>
    <row r="209" spans="1:4" ht="18" x14ac:dyDescent="0.25">
      <c r="A209" s="80">
        <v>208</v>
      </c>
      <c r="B209" s="80" t="s">
        <v>9478</v>
      </c>
      <c r="C209" s="80" t="s">
        <v>9331</v>
      </c>
      <c r="D209" s="81">
        <v>5.6980000000000004</v>
      </c>
    </row>
    <row r="210" spans="1:4" ht="18" x14ac:dyDescent="0.25">
      <c r="A210" s="80">
        <v>209</v>
      </c>
      <c r="B210" s="80" t="s">
        <v>9479</v>
      </c>
      <c r="C210" s="80" t="s">
        <v>9331</v>
      </c>
      <c r="D210" s="81">
        <v>6.0540000000000003</v>
      </c>
    </row>
    <row r="211" spans="1:4" ht="18" x14ac:dyDescent="0.25">
      <c r="A211" s="80">
        <v>210</v>
      </c>
      <c r="B211" s="80" t="s">
        <v>9480</v>
      </c>
      <c r="C211" s="80" t="s">
        <v>9331</v>
      </c>
      <c r="D211" s="81">
        <v>6.41</v>
      </c>
    </row>
    <row r="212" spans="1:4" ht="18" x14ac:dyDescent="0.25">
      <c r="A212" s="80">
        <v>211</v>
      </c>
      <c r="B212" s="80" t="s">
        <v>9481</v>
      </c>
      <c r="C212" s="80" t="s">
        <v>9331</v>
      </c>
      <c r="D212" s="81">
        <v>6.766</v>
      </c>
    </row>
    <row r="213" spans="1:4" ht="18" x14ac:dyDescent="0.25">
      <c r="A213" s="80">
        <v>212</v>
      </c>
      <c r="B213" s="80" t="s">
        <v>9482</v>
      </c>
      <c r="C213" s="80" t="s">
        <v>9331</v>
      </c>
      <c r="D213" s="81">
        <v>7.1230000000000002</v>
      </c>
    </row>
    <row r="214" spans="1:4" ht="18" x14ac:dyDescent="0.25">
      <c r="A214" s="80">
        <v>213</v>
      </c>
      <c r="B214" s="80" t="s">
        <v>9483</v>
      </c>
      <c r="C214" s="80" t="s">
        <v>9331</v>
      </c>
      <c r="D214" s="81">
        <v>7.4790000000000001</v>
      </c>
    </row>
    <row r="215" spans="1:4" ht="18" x14ac:dyDescent="0.25">
      <c r="A215" s="80">
        <v>214</v>
      </c>
      <c r="B215" s="80" t="s">
        <v>9484</v>
      </c>
      <c r="C215" s="80" t="s">
        <v>9331</v>
      </c>
      <c r="D215" s="81">
        <v>7.835</v>
      </c>
    </row>
    <row r="216" spans="1:4" ht="18" x14ac:dyDescent="0.25">
      <c r="A216" s="80">
        <v>215</v>
      </c>
      <c r="B216" s="80" t="s">
        <v>9485</v>
      </c>
      <c r="C216" s="80" t="s">
        <v>9331</v>
      </c>
      <c r="D216" s="81">
        <v>8.1910000000000007</v>
      </c>
    </row>
    <row r="217" spans="1:4" ht="18" x14ac:dyDescent="0.25">
      <c r="A217" s="80">
        <v>216</v>
      </c>
      <c r="B217" s="80" t="s">
        <v>9486</v>
      </c>
      <c r="C217" s="80" t="s">
        <v>9331</v>
      </c>
      <c r="D217" s="81">
        <v>8.5470000000000006</v>
      </c>
    </row>
    <row r="218" spans="1:4" ht="18" x14ac:dyDescent="0.25">
      <c r="A218" s="80">
        <v>217</v>
      </c>
      <c r="B218" s="80" t="s">
        <v>9487</v>
      </c>
      <c r="C218" s="80" t="s">
        <v>9331</v>
      </c>
      <c r="D218" s="81">
        <v>3.7389999999999999</v>
      </c>
    </row>
    <row r="219" spans="1:4" ht="18" x14ac:dyDescent="0.25">
      <c r="A219" s="80">
        <v>218</v>
      </c>
      <c r="B219" s="80" t="s">
        <v>9488</v>
      </c>
      <c r="C219" s="80" t="s">
        <v>9331</v>
      </c>
      <c r="D219" s="81">
        <v>4.1130000000000004</v>
      </c>
    </row>
    <row r="220" spans="1:4" ht="18" x14ac:dyDescent="0.25">
      <c r="A220" s="80">
        <v>219</v>
      </c>
      <c r="B220" s="80" t="s">
        <v>9489</v>
      </c>
      <c r="C220" s="80" t="s">
        <v>9331</v>
      </c>
      <c r="D220" s="81">
        <v>4.4870000000000001</v>
      </c>
    </row>
    <row r="221" spans="1:4" ht="18" x14ac:dyDescent="0.25">
      <c r="A221" s="80">
        <v>220</v>
      </c>
      <c r="B221" s="80" t="s">
        <v>9490</v>
      </c>
      <c r="C221" s="80" t="s">
        <v>9331</v>
      </c>
      <c r="D221" s="81">
        <v>4.8609999999999998</v>
      </c>
    </row>
    <row r="222" spans="1:4" ht="18" x14ac:dyDescent="0.25">
      <c r="A222" s="80">
        <v>221</v>
      </c>
      <c r="B222" s="80" t="s">
        <v>9491</v>
      </c>
      <c r="C222" s="80" t="s">
        <v>9331</v>
      </c>
      <c r="D222" s="81">
        <v>5.2350000000000003</v>
      </c>
    </row>
    <row r="223" spans="1:4" ht="18" x14ac:dyDescent="0.25">
      <c r="A223" s="80">
        <v>222</v>
      </c>
      <c r="B223" s="80" t="s">
        <v>9492</v>
      </c>
      <c r="C223" s="80" t="s">
        <v>9331</v>
      </c>
      <c r="D223" s="81">
        <v>5.609</v>
      </c>
    </row>
    <row r="224" spans="1:4" ht="18" x14ac:dyDescent="0.25">
      <c r="A224" s="80">
        <v>223</v>
      </c>
      <c r="B224" s="80" t="s">
        <v>9493</v>
      </c>
      <c r="C224" s="80" t="s">
        <v>9331</v>
      </c>
      <c r="D224" s="81">
        <v>5.9829999999999997</v>
      </c>
    </row>
    <row r="225" spans="1:4" ht="18" x14ac:dyDescent="0.25">
      <c r="A225" s="80">
        <v>224</v>
      </c>
      <c r="B225" s="80" t="s">
        <v>9494</v>
      </c>
      <c r="C225" s="80" t="s">
        <v>9331</v>
      </c>
      <c r="D225" s="81">
        <v>6.3570000000000002</v>
      </c>
    </row>
    <row r="226" spans="1:4" ht="18" x14ac:dyDescent="0.25">
      <c r="A226" s="80">
        <v>225</v>
      </c>
      <c r="B226" s="80" t="s">
        <v>9495</v>
      </c>
      <c r="C226" s="80" t="s">
        <v>9331</v>
      </c>
      <c r="D226" s="81">
        <v>6.7309999999999999</v>
      </c>
    </row>
    <row r="227" spans="1:4" ht="18" x14ac:dyDescent="0.25">
      <c r="A227" s="80">
        <v>226</v>
      </c>
      <c r="B227" s="80" t="s">
        <v>9496</v>
      </c>
      <c r="C227" s="80" t="s">
        <v>9331</v>
      </c>
      <c r="D227" s="81">
        <v>7.1050000000000004</v>
      </c>
    </row>
    <row r="228" spans="1:4" ht="18" x14ac:dyDescent="0.25">
      <c r="A228" s="80">
        <v>227</v>
      </c>
      <c r="B228" s="80" t="s">
        <v>9497</v>
      </c>
      <c r="C228" s="80" t="s">
        <v>9331</v>
      </c>
      <c r="D228" s="81">
        <v>7.4790000000000001</v>
      </c>
    </row>
    <row r="229" spans="1:4" ht="18" x14ac:dyDescent="0.25">
      <c r="A229" s="80">
        <v>228</v>
      </c>
      <c r="B229" s="80" t="s">
        <v>9498</v>
      </c>
      <c r="C229" s="80" t="s">
        <v>9331</v>
      </c>
      <c r="D229" s="81">
        <v>7.8529999999999998</v>
      </c>
    </row>
    <row r="230" spans="1:4" ht="18" x14ac:dyDescent="0.25">
      <c r="A230" s="80">
        <v>229</v>
      </c>
      <c r="B230" s="80" t="s">
        <v>9499</v>
      </c>
      <c r="C230" s="80" t="s">
        <v>9331</v>
      </c>
      <c r="D230" s="81">
        <v>8.2270000000000003</v>
      </c>
    </row>
    <row r="231" spans="1:4" ht="18" x14ac:dyDescent="0.25">
      <c r="A231" s="80">
        <v>230</v>
      </c>
      <c r="B231" s="80" t="s">
        <v>9500</v>
      </c>
      <c r="C231" s="80" t="s">
        <v>9331</v>
      </c>
      <c r="D231" s="81">
        <v>8.6</v>
      </c>
    </row>
    <row r="232" spans="1:4" ht="18" x14ac:dyDescent="0.25">
      <c r="A232" s="80">
        <v>231</v>
      </c>
      <c r="B232" s="80" t="s">
        <v>9501</v>
      </c>
      <c r="C232" s="80" t="s">
        <v>9331</v>
      </c>
      <c r="D232" s="81">
        <v>8.9740000000000002</v>
      </c>
    </row>
    <row r="233" spans="1:4" ht="18" x14ac:dyDescent="0.25">
      <c r="A233" s="80">
        <v>232</v>
      </c>
      <c r="B233" s="80" t="s">
        <v>9341</v>
      </c>
      <c r="C233" s="80" t="s">
        <v>9331</v>
      </c>
      <c r="D233" s="81">
        <v>0.311</v>
      </c>
    </row>
    <row r="234" spans="1:4" ht="18" x14ac:dyDescent="0.25">
      <c r="A234" s="80">
        <v>233</v>
      </c>
      <c r="B234" s="80" t="s">
        <v>9502</v>
      </c>
      <c r="C234" s="80" t="s">
        <v>9331</v>
      </c>
      <c r="D234" s="81">
        <v>0.66200000000000003</v>
      </c>
    </row>
    <row r="235" spans="1:4" ht="18" x14ac:dyDescent="0.25">
      <c r="A235" s="80">
        <v>234</v>
      </c>
      <c r="B235" s="80" t="s">
        <v>9503</v>
      </c>
      <c r="C235" s="80" t="s">
        <v>9331</v>
      </c>
      <c r="D235" s="81">
        <v>3.9740000000000002</v>
      </c>
    </row>
    <row r="236" spans="1:4" ht="18" x14ac:dyDescent="0.25">
      <c r="A236" s="80">
        <v>235</v>
      </c>
      <c r="B236" s="80" t="s">
        <v>9504</v>
      </c>
      <c r="C236" s="80" t="s">
        <v>9331</v>
      </c>
      <c r="D236" s="81">
        <v>4.3719999999999999</v>
      </c>
    </row>
    <row r="237" spans="1:4" ht="18" x14ac:dyDescent="0.25">
      <c r="A237" s="80">
        <v>236</v>
      </c>
      <c r="B237" s="80" t="s">
        <v>9505</v>
      </c>
      <c r="C237" s="80" t="s">
        <v>9331</v>
      </c>
      <c r="D237" s="81">
        <v>4.7690000000000001</v>
      </c>
    </row>
    <row r="238" spans="1:4" ht="18" x14ac:dyDescent="0.25">
      <c r="A238" s="80">
        <v>237</v>
      </c>
      <c r="B238" s="80" t="s">
        <v>9506</v>
      </c>
      <c r="C238" s="80" t="s">
        <v>9331</v>
      </c>
      <c r="D238" s="81">
        <v>5.1669999999999998</v>
      </c>
    </row>
    <row r="239" spans="1:4" ht="18" x14ac:dyDescent="0.25">
      <c r="A239" s="80">
        <v>238</v>
      </c>
      <c r="B239" s="80" t="s">
        <v>9507</v>
      </c>
      <c r="C239" s="80" t="s">
        <v>9331</v>
      </c>
      <c r="D239" s="81">
        <v>5.5640000000000001</v>
      </c>
    </row>
    <row r="240" spans="1:4" ht="18" x14ac:dyDescent="0.25">
      <c r="A240" s="80">
        <v>239</v>
      </c>
      <c r="B240" s="80" t="s">
        <v>9508</v>
      </c>
      <c r="C240" s="80" t="s">
        <v>9331</v>
      </c>
      <c r="D240" s="81">
        <v>5.9619999999999997</v>
      </c>
    </row>
    <row r="241" spans="1:4" ht="18" x14ac:dyDescent="0.25">
      <c r="A241" s="80">
        <v>240</v>
      </c>
      <c r="B241" s="80" t="s">
        <v>9509</v>
      </c>
      <c r="C241" s="80" t="s">
        <v>9331</v>
      </c>
      <c r="D241" s="81">
        <v>6.359</v>
      </c>
    </row>
    <row r="242" spans="1:4" ht="18" x14ac:dyDescent="0.25">
      <c r="A242" s="80">
        <v>241</v>
      </c>
      <c r="B242" s="80" t="s">
        <v>9510</v>
      </c>
      <c r="C242" s="80" t="s">
        <v>9331</v>
      </c>
      <c r="D242" s="81">
        <v>6.7560000000000002</v>
      </c>
    </row>
    <row r="243" spans="1:4" ht="18" x14ac:dyDescent="0.25">
      <c r="A243" s="80">
        <v>242</v>
      </c>
      <c r="B243" s="80" t="s">
        <v>9511</v>
      </c>
      <c r="C243" s="80" t="s">
        <v>9331</v>
      </c>
      <c r="D243" s="81">
        <v>7.1539999999999999</v>
      </c>
    </row>
    <row r="244" spans="1:4" ht="18" x14ac:dyDescent="0.25">
      <c r="A244" s="80">
        <v>243</v>
      </c>
      <c r="B244" s="80" t="s">
        <v>9512</v>
      </c>
      <c r="C244" s="80" t="s">
        <v>9331</v>
      </c>
      <c r="D244" s="81">
        <v>7.5510000000000002</v>
      </c>
    </row>
    <row r="245" spans="1:4" ht="18" x14ac:dyDescent="0.25">
      <c r="A245" s="80">
        <v>244</v>
      </c>
      <c r="B245" s="80" t="s">
        <v>9513</v>
      </c>
      <c r="C245" s="80" t="s">
        <v>9331</v>
      </c>
      <c r="D245" s="81">
        <v>7.9489999999999998</v>
      </c>
    </row>
    <row r="246" spans="1:4" ht="18" x14ac:dyDescent="0.25">
      <c r="A246" s="80">
        <v>245</v>
      </c>
      <c r="B246" s="80" t="s">
        <v>9514</v>
      </c>
      <c r="C246" s="80" t="s">
        <v>9331</v>
      </c>
      <c r="D246" s="81">
        <v>8.3460000000000001</v>
      </c>
    </row>
    <row r="247" spans="1:4" ht="18" x14ac:dyDescent="0.25">
      <c r="A247" s="80">
        <v>246</v>
      </c>
      <c r="B247" s="80" t="s">
        <v>9515</v>
      </c>
      <c r="C247" s="80" t="s">
        <v>9331</v>
      </c>
      <c r="D247" s="81">
        <v>8.7439999999999998</v>
      </c>
    </row>
    <row r="248" spans="1:4" ht="18" x14ac:dyDescent="0.25">
      <c r="A248" s="80">
        <v>247</v>
      </c>
      <c r="B248" s="80" t="s">
        <v>9516</v>
      </c>
      <c r="C248" s="80" t="s">
        <v>9331</v>
      </c>
      <c r="D248" s="81">
        <v>9.141</v>
      </c>
    </row>
    <row r="249" spans="1:4" ht="18" x14ac:dyDescent="0.25">
      <c r="A249" s="80">
        <v>248</v>
      </c>
      <c r="B249" s="80" t="s">
        <v>9517</v>
      </c>
      <c r="C249" s="80" t="s">
        <v>9331</v>
      </c>
      <c r="D249" s="81">
        <v>9.5389999999999997</v>
      </c>
    </row>
    <row r="250" spans="1:4" ht="18" x14ac:dyDescent="0.25">
      <c r="A250" s="80">
        <v>249</v>
      </c>
      <c r="B250" s="80" t="s">
        <v>9518</v>
      </c>
      <c r="C250" s="80" t="s">
        <v>9331</v>
      </c>
      <c r="D250" s="81">
        <v>4.1399999999999997</v>
      </c>
    </row>
    <row r="251" spans="1:4" ht="18" x14ac:dyDescent="0.25">
      <c r="A251" s="80">
        <v>250</v>
      </c>
      <c r="B251" s="80" t="s">
        <v>9519</v>
      </c>
      <c r="C251" s="80" t="s">
        <v>9331</v>
      </c>
      <c r="D251" s="81">
        <v>4.5540000000000003</v>
      </c>
    </row>
    <row r="252" spans="1:4" ht="18" x14ac:dyDescent="0.25">
      <c r="A252" s="80">
        <v>251</v>
      </c>
      <c r="B252" s="80" t="s">
        <v>9520</v>
      </c>
      <c r="C252" s="80" t="s">
        <v>9331</v>
      </c>
      <c r="D252" s="81">
        <v>4.968</v>
      </c>
    </row>
    <row r="253" spans="1:4" ht="18" x14ac:dyDescent="0.25">
      <c r="A253" s="80">
        <v>252</v>
      </c>
      <c r="B253" s="80" t="s">
        <v>9521</v>
      </c>
      <c r="C253" s="80" t="s">
        <v>9331</v>
      </c>
      <c r="D253" s="81">
        <v>5.3819999999999997</v>
      </c>
    </row>
    <row r="254" spans="1:4" ht="18" x14ac:dyDescent="0.25">
      <c r="A254" s="80">
        <v>253</v>
      </c>
      <c r="B254" s="80" t="s">
        <v>9522</v>
      </c>
      <c r="C254" s="80" t="s">
        <v>9331</v>
      </c>
      <c r="D254" s="81">
        <v>5.7960000000000003</v>
      </c>
    </row>
    <row r="255" spans="1:4" ht="18" x14ac:dyDescent="0.25">
      <c r="A255" s="80">
        <v>254</v>
      </c>
      <c r="B255" s="80" t="s">
        <v>9523</v>
      </c>
      <c r="C255" s="80" t="s">
        <v>9331</v>
      </c>
      <c r="D255" s="81">
        <v>6.21</v>
      </c>
    </row>
    <row r="256" spans="1:4" ht="18" x14ac:dyDescent="0.25">
      <c r="A256" s="80">
        <v>255</v>
      </c>
      <c r="B256" s="80" t="s">
        <v>9524</v>
      </c>
      <c r="C256" s="80" t="s">
        <v>9331</v>
      </c>
      <c r="D256" s="81">
        <v>6.6239999999999997</v>
      </c>
    </row>
    <row r="257" spans="1:4" ht="18" x14ac:dyDescent="0.25">
      <c r="A257" s="80">
        <v>256</v>
      </c>
      <c r="B257" s="80" t="s">
        <v>9525</v>
      </c>
      <c r="C257" s="80" t="s">
        <v>9331</v>
      </c>
      <c r="D257" s="81">
        <v>7.0380000000000003</v>
      </c>
    </row>
    <row r="258" spans="1:4" ht="18" x14ac:dyDescent="0.25">
      <c r="A258" s="80">
        <v>257</v>
      </c>
      <c r="B258" s="80" t="s">
        <v>9526</v>
      </c>
      <c r="C258" s="80" t="s">
        <v>9331</v>
      </c>
      <c r="D258" s="81">
        <v>7.452</v>
      </c>
    </row>
    <row r="259" spans="1:4" ht="18" x14ac:dyDescent="0.25">
      <c r="A259" s="80">
        <v>258</v>
      </c>
      <c r="B259" s="80" t="s">
        <v>9527</v>
      </c>
      <c r="C259" s="80" t="s">
        <v>9331</v>
      </c>
      <c r="D259" s="81">
        <v>7.8659999999999997</v>
      </c>
    </row>
    <row r="260" spans="1:4" ht="18" x14ac:dyDescent="0.25">
      <c r="A260" s="80">
        <v>259</v>
      </c>
      <c r="B260" s="80" t="s">
        <v>9528</v>
      </c>
      <c r="C260" s="80" t="s">
        <v>9331</v>
      </c>
      <c r="D260" s="81">
        <v>8.2799999999999994</v>
      </c>
    </row>
    <row r="261" spans="1:4" ht="18" x14ac:dyDescent="0.25">
      <c r="A261" s="80">
        <v>260</v>
      </c>
      <c r="B261" s="80" t="s">
        <v>9529</v>
      </c>
      <c r="C261" s="80" t="s">
        <v>9331</v>
      </c>
      <c r="D261" s="81">
        <v>8.6940000000000008</v>
      </c>
    </row>
    <row r="262" spans="1:4" ht="18" x14ac:dyDescent="0.25">
      <c r="A262" s="80">
        <v>261</v>
      </c>
      <c r="B262" s="80" t="s">
        <v>9530</v>
      </c>
      <c r="C262" s="80" t="s">
        <v>9331</v>
      </c>
      <c r="D262" s="81">
        <v>9.1080000000000005</v>
      </c>
    </row>
    <row r="263" spans="1:4" ht="18" x14ac:dyDescent="0.25">
      <c r="A263" s="80">
        <v>262</v>
      </c>
      <c r="B263" s="80" t="s">
        <v>9531</v>
      </c>
      <c r="C263" s="80" t="s">
        <v>9331</v>
      </c>
      <c r="D263" s="81">
        <v>9.5220000000000002</v>
      </c>
    </row>
    <row r="264" spans="1:4" ht="18" x14ac:dyDescent="0.25">
      <c r="A264" s="80">
        <v>263</v>
      </c>
      <c r="B264" s="80" t="s">
        <v>9532</v>
      </c>
      <c r="C264" s="80" t="s">
        <v>9331</v>
      </c>
      <c r="D264" s="81">
        <v>9.9359999999999999</v>
      </c>
    </row>
    <row r="265" spans="1:4" ht="18" x14ac:dyDescent="0.25">
      <c r="A265" s="80">
        <v>264</v>
      </c>
      <c r="B265" s="80" t="s">
        <v>9533</v>
      </c>
      <c r="C265" s="80" t="s">
        <v>9331</v>
      </c>
      <c r="D265" s="81">
        <v>4.306</v>
      </c>
    </row>
    <row r="266" spans="1:4" ht="18" x14ac:dyDescent="0.25">
      <c r="A266" s="80">
        <v>265</v>
      </c>
      <c r="B266" s="80" t="s">
        <v>9534</v>
      </c>
      <c r="C266" s="80" t="s">
        <v>9331</v>
      </c>
      <c r="D266" s="81">
        <v>4.7359999999999998</v>
      </c>
    </row>
    <row r="267" spans="1:4" ht="18" x14ac:dyDescent="0.25">
      <c r="A267" s="80">
        <v>266</v>
      </c>
      <c r="B267" s="80" t="s">
        <v>9535</v>
      </c>
      <c r="C267" s="80" t="s">
        <v>9331</v>
      </c>
      <c r="D267" s="81">
        <v>5.1669999999999998</v>
      </c>
    </row>
    <row r="268" spans="1:4" ht="18" x14ac:dyDescent="0.25">
      <c r="A268" s="80">
        <v>267</v>
      </c>
      <c r="B268" s="80" t="s">
        <v>9536</v>
      </c>
      <c r="C268" s="80" t="s">
        <v>9331</v>
      </c>
      <c r="D268" s="81">
        <v>5.5970000000000004</v>
      </c>
    </row>
    <row r="269" spans="1:4" ht="18" x14ac:dyDescent="0.25">
      <c r="A269" s="80">
        <v>268</v>
      </c>
      <c r="B269" s="80" t="s">
        <v>9537</v>
      </c>
      <c r="C269" s="80" t="s">
        <v>9331</v>
      </c>
      <c r="D269" s="81">
        <v>6.0279999999999996</v>
      </c>
    </row>
    <row r="270" spans="1:4" ht="18" x14ac:dyDescent="0.25">
      <c r="A270" s="80">
        <v>269</v>
      </c>
      <c r="B270" s="80" t="s">
        <v>9538</v>
      </c>
      <c r="C270" s="80" t="s">
        <v>9331</v>
      </c>
      <c r="D270" s="81">
        <v>6.4580000000000002</v>
      </c>
    </row>
    <row r="271" spans="1:4" ht="18" x14ac:dyDescent="0.25">
      <c r="A271" s="80">
        <v>270</v>
      </c>
      <c r="B271" s="80" t="s">
        <v>9539</v>
      </c>
      <c r="C271" s="80" t="s">
        <v>9331</v>
      </c>
      <c r="D271" s="81">
        <v>6.8890000000000002</v>
      </c>
    </row>
    <row r="272" spans="1:4" ht="18" x14ac:dyDescent="0.25">
      <c r="A272" s="80">
        <v>271</v>
      </c>
      <c r="B272" s="80" t="s">
        <v>9540</v>
      </c>
      <c r="C272" s="80" t="s">
        <v>9331</v>
      </c>
      <c r="D272" s="81">
        <v>7.32</v>
      </c>
    </row>
    <row r="273" spans="1:4" ht="18" x14ac:dyDescent="0.25">
      <c r="A273" s="80">
        <v>272</v>
      </c>
      <c r="B273" s="80" t="s">
        <v>9541</v>
      </c>
      <c r="C273" s="80" t="s">
        <v>9331</v>
      </c>
      <c r="D273" s="81">
        <v>7.75</v>
      </c>
    </row>
    <row r="274" spans="1:4" ht="18" x14ac:dyDescent="0.25">
      <c r="A274" s="80">
        <v>273</v>
      </c>
      <c r="B274" s="80" t="s">
        <v>9542</v>
      </c>
      <c r="C274" s="80" t="s">
        <v>9331</v>
      </c>
      <c r="D274" s="81">
        <v>8.1809999999999992</v>
      </c>
    </row>
    <row r="275" spans="1:4" ht="18" x14ac:dyDescent="0.25">
      <c r="A275" s="80">
        <v>274</v>
      </c>
      <c r="B275" s="80" t="s">
        <v>9543</v>
      </c>
      <c r="C275" s="80" t="s">
        <v>9331</v>
      </c>
      <c r="D275" s="81">
        <v>8.6110000000000007</v>
      </c>
    </row>
    <row r="276" spans="1:4" ht="18" x14ac:dyDescent="0.25">
      <c r="A276" s="80">
        <v>275</v>
      </c>
      <c r="B276" s="80" t="s">
        <v>9544</v>
      </c>
      <c r="C276" s="80" t="s">
        <v>9331</v>
      </c>
      <c r="D276" s="81">
        <v>9.0419999999999998</v>
      </c>
    </row>
    <row r="277" spans="1:4" ht="18" x14ac:dyDescent="0.25">
      <c r="A277" s="80">
        <v>276</v>
      </c>
      <c r="B277" s="80" t="s">
        <v>9545</v>
      </c>
      <c r="C277" s="80" t="s">
        <v>9331</v>
      </c>
      <c r="D277" s="81">
        <v>9.4719999999999995</v>
      </c>
    </row>
    <row r="278" spans="1:4" ht="18" x14ac:dyDescent="0.25">
      <c r="A278" s="80">
        <v>277</v>
      </c>
      <c r="B278" s="80" t="s">
        <v>9546</v>
      </c>
      <c r="C278" s="80" t="s">
        <v>9331</v>
      </c>
      <c r="D278" s="81">
        <v>9.9030000000000005</v>
      </c>
    </row>
    <row r="279" spans="1:4" ht="18" x14ac:dyDescent="0.25">
      <c r="A279" s="80">
        <v>278</v>
      </c>
      <c r="B279" s="80" t="s">
        <v>9547</v>
      </c>
      <c r="C279" s="80" t="s">
        <v>9331</v>
      </c>
      <c r="D279" s="81">
        <v>10.333</v>
      </c>
    </row>
    <row r="280" spans="1:4" ht="18" x14ac:dyDescent="0.25">
      <c r="A280" s="80">
        <v>279</v>
      </c>
      <c r="B280" s="80" t="s">
        <v>9548</v>
      </c>
      <c r="C280" s="80" t="s">
        <v>9331</v>
      </c>
      <c r="D280" s="81">
        <v>4.4160000000000004</v>
      </c>
    </row>
    <row r="281" spans="1:4" ht="18" x14ac:dyDescent="0.25">
      <c r="A281" s="80">
        <v>280</v>
      </c>
      <c r="B281" s="80" t="s">
        <v>9549</v>
      </c>
      <c r="C281" s="80" t="s">
        <v>9331</v>
      </c>
      <c r="D281" s="81">
        <v>4.8579999999999997</v>
      </c>
    </row>
    <row r="282" spans="1:4" ht="18" x14ac:dyDescent="0.25">
      <c r="A282" s="80">
        <v>281</v>
      </c>
      <c r="B282" s="80" t="s">
        <v>9550</v>
      </c>
      <c r="C282" s="80" t="s">
        <v>9331</v>
      </c>
      <c r="D282" s="81">
        <v>5.2990000000000004</v>
      </c>
    </row>
    <row r="283" spans="1:4" ht="18" x14ac:dyDescent="0.25">
      <c r="A283" s="80">
        <v>282</v>
      </c>
      <c r="B283" s="80" t="s">
        <v>9551</v>
      </c>
      <c r="C283" s="80" t="s">
        <v>9331</v>
      </c>
      <c r="D283" s="81">
        <v>5.7409999999999997</v>
      </c>
    </row>
    <row r="284" spans="1:4" ht="18" x14ac:dyDescent="0.25">
      <c r="A284" s="80">
        <v>283</v>
      </c>
      <c r="B284" s="80" t="s">
        <v>9552</v>
      </c>
      <c r="C284" s="80" t="s">
        <v>9331</v>
      </c>
      <c r="D284" s="81">
        <v>6.1820000000000004</v>
      </c>
    </row>
    <row r="285" spans="1:4" ht="18" x14ac:dyDescent="0.25">
      <c r="A285" s="80">
        <v>284</v>
      </c>
      <c r="B285" s="80" t="s">
        <v>9553</v>
      </c>
      <c r="C285" s="80" t="s">
        <v>9331</v>
      </c>
      <c r="D285" s="81">
        <v>6.6239999999999997</v>
      </c>
    </row>
    <row r="286" spans="1:4" ht="18" x14ac:dyDescent="0.25">
      <c r="A286" s="80">
        <v>285</v>
      </c>
      <c r="B286" s="80" t="s">
        <v>9554</v>
      </c>
      <c r="C286" s="80" t="s">
        <v>9331</v>
      </c>
      <c r="D286" s="81">
        <v>7.0659999999999998</v>
      </c>
    </row>
    <row r="287" spans="1:4" ht="18" x14ac:dyDescent="0.25">
      <c r="A287" s="80">
        <v>286</v>
      </c>
      <c r="B287" s="80" t="s">
        <v>9555</v>
      </c>
      <c r="C287" s="80" t="s">
        <v>9331</v>
      </c>
      <c r="D287" s="81">
        <v>7.5069999999999997</v>
      </c>
    </row>
    <row r="288" spans="1:4" ht="18" x14ac:dyDescent="0.25">
      <c r="A288" s="80">
        <v>287</v>
      </c>
      <c r="B288" s="80" t="s">
        <v>9556</v>
      </c>
      <c r="C288" s="80" t="s">
        <v>9331</v>
      </c>
      <c r="D288" s="81">
        <v>7.9489999999999998</v>
      </c>
    </row>
    <row r="289" spans="1:4" ht="18" x14ac:dyDescent="0.25">
      <c r="A289" s="80">
        <v>288</v>
      </c>
      <c r="B289" s="80" t="s">
        <v>9557</v>
      </c>
      <c r="C289" s="80" t="s">
        <v>9331</v>
      </c>
      <c r="D289" s="81">
        <v>8.39</v>
      </c>
    </row>
    <row r="290" spans="1:4" ht="18" x14ac:dyDescent="0.25">
      <c r="A290" s="80">
        <v>289</v>
      </c>
      <c r="B290" s="80" t="s">
        <v>9558</v>
      </c>
      <c r="C290" s="80" t="s">
        <v>9331</v>
      </c>
      <c r="D290" s="81">
        <v>8.8320000000000007</v>
      </c>
    </row>
    <row r="291" spans="1:4" ht="18" x14ac:dyDescent="0.25">
      <c r="A291" s="80">
        <v>290</v>
      </c>
      <c r="B291" s="80" t="s">
        <v>9559</v>
      </c>
      <c r="C291" s="80" t="s">
        <v>9331</v>
      </c>
      <c r="D291" s="81">
        <v>9.2739999999999991</v>
      </c>
    </row>
    <row r="292" spans="1:4" ht="18" x14ac:dyDescent="0.25">
      <c r="A292" s="80">
        <v>291</v>
      </c>
      <c r="B292" s="80" t="s">
        <v>9560</v>
      </c>
      <c r="C292" s="80" t="s">
        <v>9331</v>
      </c>
      <c r="D292" s="81">
        <v>9.7149999999999999</v>
      </c>
    </row>
    <row r="293" spans="1:4" ht="18" x14ac:dyDescent="0.25">
      <c r="A293" s="80">
        <v>292</v>
      </c>
      <c r="B293" s="80" t="s">
        <v>9561</v>
      </c>
      <c r="C293" s="80" t="s">
        <v>9331</v>
      </c>
      <c r="D293" s="81">
        <v>10.157</v>
      </c>
    </row>
    <row r="294" spans="1:4" ht="18" x14ac:dyDescent="0.25">
      <c r="A294" s="80">
        <v>293</v>
      </c>
      <c r="B294" s="80" t="s">
        <v>9562</v>
      </c>
      <c r="C294" s="80" t="s">
        <v>9331</v>
      </c>
      <c r="D294" s="81">
        <v>10.598000000000001</v>
      </c>
    </row>
    <row r="295" spans="1:4" ht="18" x14ac:dyDescent="0.25">
      <c r="A295" s="80">
        <v>294</v>
      </c>
      <c r="B295" s="80" t="s">
        <v>9563</v>
      </c>
      <c r="C295" s="80" t="s">
        <v>9331</v>
      </c>
      <c r="D295" s="81">
        <v>4.6369999999999996</v>
      </c>
    </row>
    <row r="296" spans="1:4" ht="18" x14ac:dyDescent="0.25">
      <c r="A296" s="80">
        <v>295</v>
      </c>
      <c r="B296" s="80" t="s">
        <v>9564</v>
      </c>
      <c r="C296" s="80" t="s">
        <v>9331</v>
      </c>
      <c r="D296" s="81">
        <v>5.0999999999999996</v>
      </c>
    </row>
    <row r="297" spans="1:4" ht="18" x14ac:dyDescent="0.25">
      <c r="A297" s="80">
        <v>296</v>
      </c>
      <c r="B297" s="80" t="s">
        <v>9565</v>
      </c>
      <c r="C297" s="80" t="s">
        <v>9331</v>
      </c>
      <c r="D297" s="81">
        <v>5.5640000000000001</v>
      </c>
    </row>
    <row r="298" spans="1:4" ht="18" x14ac:dyDescent="0.25">
      <c r="A298" s="80">
        <v>297</v>
      </c>
      <c r="B298" s="80" t="s">
        <v>9566</v>
      </c>
      <c r="C298" s="80" t="s">
        <v>9331</v>
      </c>
      <c r="D298" s="81">
        <v>6.0279999999999996</v>
      </c>
    </row>
    <row r="299" spans="1:4" ht="18" x14ac:dyDescent="0.25">
      <c r="A299" s="80">
        <v>298</v>
      </c>
      <c r="B299" s="80" t="s">
        <v>9567</v>
      </c>
      <c r="C299" s="80" t="s">
        <v>9331</v>
      </c>
      <c r="D299" s="81">
        <v>6.492</v>
      </c>
    </row>
    <row r="300" spans="1:4" ht="18" x14ac:dyDescent="0.25">
      <c r="A300" s="80">
        <v>299</v>
      </c>
      <c r="B300" s="80" t="s">
        <v>9568</v>
      </c>
      <c r="C300" s="80" t="s">
        <v>9331</v>
      </c>
      <c r="D300" s="81">
        <v>6.9550000000000001</v>
      </c>
    </row>
    <row r="301" spans="1:4" ht="18" x14ac:dyDescent="0.25">
      <c r="A301" s="80">
        <v>300</v>
      </c>
      <c r="B301" s="80" t="s">
        <v>9569</v>
      </c>
      <c r="C301" s="80" t="s">
        <v>9331</v>
      </c>
      <c r="D301" s="81">
        <v>7.4189999999999996</v>
      </c>
    </row>
    <row r="302" spans="1:4" ht="18" x14ac:dyDescent="0.25">
      <c r="A302" s="80">
        <v>301</v>
      </c>
      <c r="B302" s="80" t="s">
        <v>9570</v>
      </c>
      <c r="C302" s="80" t="s">
        <v>9331</v>
      </c>
      <c r="D302" s="81">
        <v>7.883</v>
      </c>
    </row>
    <row r="303" spans="1:4" ht="18" x14ac:dyDescent="0.25">
      <c r="A303" s="80">
        <v>302</v>
      </c>
      <c r="B303" s="80" t="s">
        <v>9571</v>
      </c>
      <c r="C303" s="80" t="s">
        <v>9331</v>
      </c>
      <c r="D303" s="81">
        <v>8.3460000000000001</v>
      </c>
    </row>
    <row r="304" spans="1:4" ht="18" x14ac:dyDescent="0.25">
      <c r="A304" s="80">
        <v>303</v>
      </c>
      <c r="B304" s="80" t="s">
        <v>9572</v>
      </c>
      <c r="C304" s="80" t="s">
        <v>9331</v>
      </c>
      <c r="D304" s="81">
        <v>8.81</v>
      </c>
    </row>
    <row r="305" spans="1:4" ht="18" x14ac:dyDescent="0.25">
      <c r="A305" s="80">
        <v>304</v>
      </c>
      <c r="B305" s="80" t="s">
        <v>9573</v>
      </c>
      <c r="C305" s="80" t="s">
        <v>9331</v>
      </c>
      <c r="D305" s="81">
        <v>9.2739999999999991</v>
      </c>
    </row>
    <row r="306" spans="1:4" ht="18" x14ac:dyDescent="0.25">
      <c r="A306" s="80">
        <v>305</v>
      </c>
      <c r="B306" s="80" t="s">
        <v>9574</v>
      </c>
      <c r="C306" s="80" t="s">
        <v>9331</v>
      </c>
      <c r="D306" s="81">
        <v>9.7370000000000001</v>
      </c>
    </row>
    <row r="307" spans="1:4" ht="18" x14ac:dyDescent="0.25">
      <c r="A307" s="80">
        <v>306</v>
      </c>
      <c r="B307" s="80" t="s">
        <v>9575</v>
      </c>
      <c r="C307" s="80" t="s">
        <v>9331</v>
      </c>
      <c r="D307" s="81">
        <v>10.201000000000001</v>
      </c>
    </row>
    <row r="308" spans="1:4" ht="18" x14ac:dyDescent="0.25">
      <c r="A308" s="80">
        <v>307</v>
      </c>
      <c r="B308" s="80" t="s">
        <v>9576</v>
      </c>
      <c r="C308" s="80" t="s">
        <v>9331</v>
      </c>
      <c r="D308" s="81">
        <v>10.664999999999999</v>
      </c>
    </row>
    <row r="309" spans="1:4" ht="18" x14ac:dyDescent="0.25">
      <c r="A309" s="80">
        <v>308</v>
      </c>
      <c r="B309" s="80" t="s">
        <v>9577</v>
      </c>
      <c r="C309" s="80" t="s">
        <v>9331</v>
      </c>
      <c r="D309" s="81">
        <v>11.128</v>
      </c>
    </row>
    <row r="310" spans="1:4" ht="18" x14ac:dyDescent="0.25">
      <c r="A310" s="80">
        <v>309</v>
      </c>
      <c r="B310" s="80" t="s">
        <v>9999</v>
      </c>
      <c r="C310" s="80" t="s">
        <v>9331</v>
      </c>
      <c r="D310" s="81">
        <v>5.5E-2</v>
      </c>
    </row>
    <row r="311" spans="1:4" ht="18" x14ac:dyDescent="0.25">
      <c r="A311" s="80">
        <v>310</v>
      </c>
      <c r="B311" s="80" t="s">
        <v>10000</v>
      </c>
      <c r="C311" s="80" t="s">
        <v>9331</v>
      </c>
      <c r="D311" s="81">
        <v>0.11600000000000001</v>
      </c>
    </row>
    <row r="312" spans="1:4" ht="18" x14ac:dyDescent="0.25">
      <c r="A312" s="80">
        <v>311</v>
      </c>
      <c r="B312" s="80" t="s">
        <v>10001</v>
      </c>
      <c r="C312" s="80" t="s">
        <v>9331</v>
      </c>
      <c r="D312" s="81">
        <v>0.69699999999999995</v>
      </c>
    </row>
    <row r="313" spans="1:4" ht="18" x14ac:dyDescent="0.25">
      <c r="A313" s="80">
        <v>312</v>
      </c>
      <c r="B313" s="80" t="s">
        <v>10002</v>
      </c>
      <c r="C313" s="80" t="s">
        <v>9331</v>
      </c>
      <c r="D313" s="81">
        <v>0.83599999999999997</v>
      </c>
    </row>
    <row r="314" spans="1:4" ht="18" x14ac:dyDescent="0.25">
      <c r="A314" s="80">
        <v>313</v>
      </c>
      <c r="B314" s="80" t="s">
        <v>10003</v>
      </c>
      <c r="C314" s="80" t="s">
        <v>9331</v>
      </c>
      <c r="D314" s="81">
        <v>0.97499999999999998</v>
      </c>
    </row>
    <row r="315" spans="1:4" ht="18" x14ac:dyDescent="0.25">
      <c r="A315" s="80">
        <v>314</v>
      </c>
      <c r="B315" s="80" t="s">
        <v>10004</v>
      </c>
      <c r="C315" s="80" t="s">
        <v>9331</v>
      </c>
      <c r="D315" s="81">
        <v>1.115</v>
      </c>
    </row>
    <row r="316" spans="1:4" ht="18" x14ac:dyDescent="0.25">
      <c r="A316" s="80">
        <v>315</v>
      </c>
      <c r="B316" s="80" t="s">
        <v>10005</v>
      </c>
      <c r="C316" s="80" t="s">
        <v>9331</v>
      </c>
      <c r="D316" s="81">
        <v>1.3939999999999999</v>
      </c>
    </row>
    <row r="317" spans="1:4" ht="18" x14ac:dyDescent="0.25">
      <c r="A317" s="80">
        <v>316</v>
      </c>
      <c r="B317" s="80" t="s">
        <v>10006</v>
      </c>
      <c r="C317" s="80" t="s">
        <v>9331</v>
      </c>
      <c r="D317" s="81">
        <v>1.5329999999999999</v>
      </c>
    </row>
    <row r="318" spans="1:4" ht="18" x14ac:dyDescent="0.25">
      <c r="A318" s="80">
        <v>317</v>
      </c>
      <c r="B318" s="80" t="s">
        <v>10007</v>
      </c>
      <c r="C318" s="80" t="s">
        <v>9331</v>
      </c>
      <c r="D318" s="81">
        <v>1.6719999999999999</v>
      </c>
    </row>
    <row r="319" spans="1:4" ht="18" x14ac:dyDescent="0.25">
      <c r="A319" s="80">
        <v>318</v>
      </c>
      <c r="B319" s="80" t="s">
        <v>10008</v>
      </c>
      <c r="C319" s="80" t="s">
        <v>9331</v>
      </c>
      <c r="D319" s="81">
        <v>0.72599999999999998</v>
      </c>
    </row>
    <row r="320" spans="1:4" ht="18" x14ac:dyDescent="0.25">
      <c r="A320" s="80">
        <v>319</v>
      </c>
      <c r="B320" s="80" t="s">
        <v>10009</v>
      </c>
      <c r="C320" s="80" t="s">
        <v>9331</v>
      </c>
      <c r="D320" s="81">
        <v>0.871</v>
      </c>
    </row>
    <row r="321" spans="1:4" ht="18" x14ac:dyDescent="0.25">
      <c r="A321" s="80">
        <v>320</v>
      </c>
      <c r="B321" s="80" t="s">
        <v>10010</v>
      </c>
      <c r="C321" s="80" t="s">
        <v>9331</v>
      </c>
      <c r="D321" s="81">
        <v>1.016</v>
      </c>
    </row>
    <row r="322" spans="1:4" ht="18" x14ac:dyDescent="0.25">
      <c r="A322" s="80">
        <v>321</v>
      </c>
      <c r="B322" s="80" t="s">
        <v>10011</v>
      </c>
      <c r="C322" s="80" t="s">
        <v>9331</v>
      </c>
      <c r="D322" s="81">
        <v>1.161</v>
      </c>
    </row>
    <row r="323" spans="1:4" ht="18" x14ac:dyDescent="0.25">
      <c r="A323" s="80">
        <v>322</v>
      </c>
      <c r="B323" s="80" t="s">
        <v>10012</v>
      </c>
      <c r="C323" s="80" t="s">
        <v>9331</v>
      </c>
      <c r="D323" s="81">
        <v>1.452</v>
      </c>
    </row>
    <row r="324" spans="1:4" ht="18" x14ac:dyDescent="0.25">
      <c r="A324" s="80">
        <v>323</v>
      </c>
      <c r="B324" s="80" t="s">
        <v>10013</v>
      </c>
      <c r="C324" s="80" t="s">
        <v>9331</v>
      </c>
      <c r="D324" s="81">
        <v>1.597</v>
      </c>
    </row>
    <row r="325" spans="1:4" ht="18" x14ac:dyDescent="0.25">
      <c r="A325" s="80">
        <v>324</v>
      </c>
      <c r="B325" s="80" t="s">
        <v>10014</v>
      </c>
      <c r="C325" s="80" t="s">
        <v>9331</v>
      </c>
      <c r="D325" s="81">
        <v>1.742</v>
      </c>
    </row>
    <row r="326" spans="1:4" ht="18" x14ac:dyDescent="0.25">
      <c r="A326" s="80">
        <v>325</v>
      </c>
      <c r="B326" s="80" t="s">
        <v>10015</v>
      </c>
      <c r="C326" s="80" t="s">
        <v>9331</v>
      </c>
      <c r="D326" s="81">
        <v>0.755</v>
      </c>
    </row>
    <row r="327" spans="1:4" ht="18" x14ac:dyDescent="0.25">
      <c r="A327" s="80">
        <v>326</v>
      </c>
      <c r="B327" s="80" t="s">
        <v>10016</v>
      </c>
      <c r="C327" s="80" t="s">
        <v>9331</v>
      </c>
      <c r="D327" s="81">
        <v>0.90600000000000003</v>
      </c>
    </row>
    <row r="328" spans="1:4" ht="18" x14ac:dyDescent="0.25">
      <c r="A328" s="80">
        <v>327</v>
      </c>
      <c r="B328" s="80" t="s">
        <v>10017</v>
      </c>
      <c r="C328" s="80" t="s">
        <v>9331</v>
      </c>
      <c r="D328" s="81">
        <v>1.0569999999999999</v>
      </c>
    </row>
    <row r="329" spans="1:4" ht="18" x14ac:dyDescent="0.25">
      <c r="A329" s="80">
        <v>328</v>
      </c>
      <c r="B329" s="80" t="s">
        <v>10018</v>
      </c>
      <c r="C329" s="80" t="s">
        <v>9331</v>
      </c>
      <c r="D329" s="81">
        <v>1.208</v>
      </c>
    </row>
    <row r="330" spans="1:4" ht="18" x14ac:dyDescent="0.25">
      <c r="A330" s="80">
        <v>329</v>
      </c>
      <c r="B330" s="80" t="s">
        <v>10019</v>
      </c>
      <c r="C330" s="80" t="s">
        <v>9331</v>
      </c>
      <c r="D330" s="81">
        <v>1.51</v>
      </c>
    </row>
    <row r="331" spans="1:4" ht="18" x14ac:dyDescent="0.25">
      <c r="A331" s="80">
        <v>330</v>
      </c>
      <c r="B331" s="80" t="s">
        <v>10020</v>
      </c>
      <c r="C331" s="80" t="s">
        <v>9331</v>
      </c>
      <c r="D331" s="81">
        <v>1.661</v>
      </c>
    </row>
    <row r="332" spans="1:4" ht="18" x14ac:dyDescent="0.25">
      <c r="A332" s="80">
        <v>331</v>
      </c>
      <c r="B332" s="80" t="s">
        <v>10021</v>
      </c>
      <c r="C332" s="80" t="s">
        <v>9331</v>
      </c>
      <c r="D332" s="81">
        <v>1.8120000000000001</v>
      </c>
    </row>
    <row r="333" spans="1:4" ht="18" x14ac:dyDescent="0.25">
      <c r="A333" s="80">
        <v>332</v>
      </c>
      <c r="B333" s="80" t="s">
        <v>10022</v>
      </c>
      <c r="C333" s="80" t="s">
        <v>9331</v>
      </c>
      <c r="D333" s="81">
        <v>0.77400000000000002</v>
      </c>
    </row>
    <row r="334" spans="1:4" ht="18" x14ac:dyDescent="0.25">
      <c r="A334" s="80">
        <v>333</v>
      </c>
      <c r="B334" s="80" t="s">
        <v>10023</v>
      </c>
      <c r="C334" s="80" t="s">
        <v>9331</v>
      </c>
      <c r="D334" s="81">
        <v>0.92900000000000005</v>
      </c>
    </row>
    <row r="335" spans="1:4" ht="18" x14ac:dyDescent="0.25">
      <c r="A335" s="80">
        <v>334</v>
      </c>
      <c r="B335" s="80" t="s">
        <v>10024</v>
      </c>
      <c r="C335" s="80" t="s">
        <v>9331</v>
      </c>
      <c r="D335" s="81">
        <v>1.0840000000000001</v>
      </c>
    </row>
    <row r="336" spans="1:4" ht="18" x14ac:dyDescent="0.25">
      <c r="A336" s="80">
        <v>335</v>
      </c>
      <c r="B336" s="80" t="s">
        <v>10025</v>
      </c>
      <c r="C336" s="80" t="s">
        <v>9331</v>
      </c>
      <c r="D336" s="81">
        <v>1.2390000000000001</v>
      </c>
    </row>
    <row r="337" spans="1:4" ht="18" x14ac:dyDescent="0.25">
      <c r="A337" s="80">
        <v>336</v>
      </c>
      <c r="B337" s="80" t="s">
        <v>10026</v>
      </c>
      <c r="C337" s="80" t="s">
        <v>9331</v>
      </c>
      <c r="D337" s="81">
        <v>1.548</v>
      </c>
    </row>
    <row r="338" spans="1:4" ht="18" x14ac:dyDescent="0.25">
      <c r="A338" s="80">
        <v>337</v>
      </c>
      <c r="B338" s="80" t="s">
        <v>10027</v>
      </c>
      <c r="C338" s="80" t="s">
        <v>9331</v>
      </c>
      <c r="D338" s="81">
        <v>1.7030000000000001</v>
      </c>
    </row>
    <row r="339" spans="1:4" ht="18" x14ac:dyDescent="0.25">
      <c r="A339" s="80">
        <v>338</v>
      </c>
      <c r="B339" s="80" t="s">
        <v>10028</v>
      </c>
      <c r="C339" s="80" t="s">
        <v>9331</v>
      </c>
      <c r="D339" s="81">
        <v>1.8580000000000001</v>
      </c>
    </row>
    <row r="340" spans="1:4" ht="18" x14ac:dyDescent="0.25">
      <c r="A340" s="80">
        <v>339</v>
      </c>
      <c r="B340" s="80" t="s">
        <v>10029</v>
      </c>
      <c r="C340" s="80" t="s">
        <v>9331</v>
      </c>
      <c r="D340" s="81">
        <v>0.81299999999999994</v>
      </c>
    </row>
    <row r="341" spans="1:4" ht="18" x14ac:dyDescent="0.25">
      <c r="A341" s="80">
        <v>340</v>
      </c>
      <c r="B341" s="80" t="s">
        <v>10030</v>
      </c>
      <c r="C341" s="80" t="s">
        <v>9331</v>
      </c>
      <c r="D341" s="81">
        <v>0.97499999999999998</v>
      </c>
    </row>
    <row r="342" spans="1:4" ht="18" x14ac:dyDescent="0.25">
      <c r="A342" s="80">
        <v>341</v>
      </c>
      <c r="B342" s="80" t="s">
        <v>10031</v>
      </c>
      <c r="C342" s="80" t="s">
        <v>9331</v>
      </c>
      <c r="D342" s="81">
        <v>1.1379999999999999</v>
      </c>
    </row>
    <row r="343" spans="1:4" ht="18" x14ac:dyDescent="0.25">
      <c r="A343" s="80">
        <v>342</v>
      </c>
      <c r="B343" s="80" t="s">
        <v>10032</v>
      </c>
      <c r="C343" s="80" t="s">
        <v>9331</v>
      </c>
      <c r="D343" s="81">
        <v>1.3009999999999999</v>
      </c>
    </row>
    <row r="344" spans="1:4" ht="18" x14ac:dyDescent="0.25">
      <c r="A344" s="80">
        <v>343</v>
      </c>
      <c r="B344" s="80" t="s">
        <v>10033</v>
      </c>
      <c r="C344" s="80" t="s">
        <v>9331</v>
      </c>
      <c r="D344" s="81">
        <v>1.6259999999999999</v>
      </c>
    </row>
    <row r="345" spans="1:4" ht="18" x14ac:dyDescent="0.25">
      <c r="A345" s="80">
        <v>344</v>
      </c>
      <c r="B345" s="80" t="s">
        <v>10034</v>
      </c>
      <c r="C345" s="80" t="s">
        <v>9331</v>
      </c>
      <c r="D345" s="81">
        <v>1.788</v>
      </c>
    </row>
    <row r="346" spans="1:4" ht="18" x14ac:dyDescent="0.25">
      <c r="A346" s="80">
        <v>345</v>
      </c>
      <c r="B346" s="80" t="s">
        <v>10035</v>
      </c>
      <c r="C346" s="80" t="s">
        <v>9331</v>
      </c>
      <c r="D346" s="81">
        <v>1.9510000000000001</v>
      </c>
    </row>
    <row r="347" spans="1:4" ht="18" x14ac:dyDescent="0.25">
      <c r="A347" s="80">
        <v>346</v>
      </c>
      <c r="B347" s="80" t="s">
        <v>10036</v>
      </c>
      <c r="C347" s="80" t="s">
        <v>9331</v>
      </c>
      <c r="D347" s="81">
        <v>0.76600000000000001</v>
      </c>
    </row>
    <row r="348" spans="1:4" ht="18" x14ac:dyDescent="0.25">
      <c r="A348" s="80">
        <v>347</v>
      </c>
      <c r="B348" s="80" t="s">
        <v>10037</v>
      </c>
      <c r="C348" s="80" t="s">
        <v>9331</v>
      </c>
      <c r="D348" s="81">
        <v>0.90600000000000003</v>
      </c>
    </row>
    <row r="349" spans="1:4" ht="18" x14ac:dyDescent="0.25">
      <c r="A349" s="80">
        <v>348</v>
      </c>
      <c r="B349" s="80" t="s">
        <v>10038</v>
      </c>
      <c r="C349" s="80" t="s">
        <v>9331</v>
      </c>
      <c r="D349" s="81">
        <v>1.0449999999999999</v>
      </c>
    </row>
    <row r="350" spans="1:4" ht="18" x14ac:dyDescent="0.25">
      <c r="A350" s="80">
        <v>349</v>
      </c>
      <c r="B350" s="80" t="s">
        <v>10039</v>
      </c>
      <c r="C350" s="80" t="s">
        <v>9331</v>
      </c>
      <c r="D350" s="81">
        <v>1.1850000000000001</v>
      </c>
    </row>
    <row r="351" spans="1:4" ht="18" x14ac:dyDescent="0.25">
      <c r="A351" s="80">
        <v>350</v>
      </c>
      <c r="B351" s="80" t="s">
        <v>10040</v>
      </c>
      <c r="C351" s="80" t="s">
        <v>9331</v>
      </c>
      <c r="D351" s="81">
        <v>1.254</v>
      </c>
    </row>
    <row r="352" spans="1:4" ht="18" x14ac:dyDescent="0.25">
      <c r="A352" s="80">
        <v>351</v>
      </c>
      <c r="B352" s="80" t="s">
        <v>10041</v>
      </c>
      <c r="C352" s="80" t="s">
        <v>9331</v>
      </c>
      <c r="D352" s="81">
        <v>1.3240000000000001</v>
      </c>
    </row>
    <row r="353" spans="1:4" ht="18" x14ac:dyDescent="0.25">
      <c r="A353" s="80">
        <v>352</v>
      </c>
      <c r="B353" s="80" t="s">
        <v>10042</v>
      </c>
      <c r="C353" s="80" t="s">
        <v>9331</v>
      </c>
      <c r="D353" s="81">
        <v>1.4630000000000001</v>
      </c>
    </row>
    <row r="354" spans="1:4" ht="18" x14ac:dyDescent="0.25">
      <c r="A354" s="80">
        <v>353</v>
      </c>
      <c r="B354" s="80" t="s">
        <v>10043</v>
      </c>
      <c r="C354" s="80" t="s">
        <v>9331</v>
      </c>
      <c r="D354" s="81">
        <v>1.603</v>
      </c>
    </row>
    <row r="355" spans="1:4" ht="18" x14ac:dyDescent="0.25">
      <c r="A355" s="80">
        <v>354</v>
      </c>
      <c r="B355" s="80" t="s">
        <v>10044</v>
      </c>
      <c r="C355" s="80" t="s">
        <v>9331</v>
      </c>
      <c r="D355" s="81">
        <v>0.79800000000000004</v>
      </c>
    </row>
    <row r="356" spans="1:4" ht="18" x14ac:dyDescent="0.25">
      <c r="A356" s="80">
        <v>355</v>
      </c>
      <c r="B356" s="80" t="s">
        <v>10045</v>
      </c>
      <c r="C356" s="80" t="s">
        <v>9331</v>
      </c>
      <c r="D356" s="81">
        <v>0.94399999999999995</v>
      </c>
    </row>
    <row r="357" spans="1:4" ht="18" x14ac:dyDescent="0.25">
      <c r="A357" s="80">
        <v>356</v>
      </c>
      <c r="B357" s="80" t="s">
        <v>10046</v>
      </c>
      <c r="C357" s="80" t="s">
        <v>9331</v>
      </c>
      <c r="D357" s="81">
        <v>1.089</v>
      </c>
    </row>
    <row r="358" spans="1:4" ht="18" x14ac:dyDescent="0.25">
      <c r="A358" s="80">
        <v>357</v>
      </c>
      <c r="B358" s="80" t="s">
        <v>10047</v>
      </c>
      <c r="C358" s="80" t="s">
        <v>9331</v>
      </c>
      <c r="D358" s="81">
        <v>1.234</v>
      </c>
    </row>
    <row r="359" spans="1:4" ht="18" x14ac:dyDescent="0.25">
      <c r="A359" s="80">
        <v>358</v>
      </c>
      <c r="B359" s="80" t="s">
        <v>10048</v>
      </c>
      <c r="C359" s="80" t="s">
        <v>9331</v>
      </c>
      <c r="D359" s="81">
        <v>1.306</v>
      </c>
    </row>
    <row r="360" spans="1:4" ht="18" x14ac:dyDescent="0.25">
      <c r="A360" s="80">
        <v>359</v>
      </c>
      <c r="B360" s="80" t="s">
        <v>10049</v>
      </c>
      <c r="C360" s="80" t="s">
        <v>9331</v>
      </c>
      <c r="D360" s="81">
        <v>1.379</v>
      </c>
    </row>
    <row r="361" spans="1:4" ht="18" x14ac:dyDescent="0.25">
      <c r="A361" s="80">
        <v>360</v>
      </c>
      <c r="B361" s="80" t="s">
        <v>10050</v>
      </c>
      <c r="C361" s="80" t="s">
        <v>9331</v>
      </c>
      <c r="D361" s="81">
        <v>1.524</v>
      </c>
    </row>
    <row r="362" spans="1:4" ht="18" x14ac:dyDescent="0.25">
      <c r="A362" s="80">
        <v>361</v>
      </c>
      <c r="B362" s="80" t="s">
        <v>10051</v>
      </c>
      <c r="C362" s="80" t="s">
        <v>9331</v>
      </c>
      <c r="D362" s="81">
        <v>1.669</v>
      </c>
    </row>
    <row r="363" spans="1:4" ht="18" x14ac:dyDescent="0.25">
      <c r="A363" s="80">
        <v>362</v>
      </c>
      <c r="B363" s="80" t="s">
        <v>10052</v>
      </c>
      <c r="C363" s="80" t="s">
        <v>9331</v>
      </c>
      <c r="D363" s="81">
        <v>0.83</v>
      </c>
    </row>
    <row r="364" spans="1:4" ht="18" x14ac:dyDescent="0.25">
      <c r="A364" s="80">
        <v>363</v>
      </c>
      <c r="B364" s="80" t="s">
        <v>10053</v>
      </c>
      <c r="C364" s="80" t="s">
        <v>9331</v>
      </c>
      <c r="D364" s="81">
        <v>0.98099999999999998</v>
      </c>
    </row>
    <row r="365" spans="1:4" ht="18" x14ac:dyDescent="0.25">
      <c r="A365" s="80">
        <v>364</v>
      </c>
      <c r="B365" s="80" t="s">
        <v>10054</v>
      </c>
      <c r="C365" s="80" t="s">
        <v>9331</v>
      </c>
      <c r="D365" s="81">
        <v>1.1319999999999999</v>
      </c>
    </row>
    <row r="366" spans="1:4" ht="18" x14ac:dyDescent="0.25">
      <c r="A366" s="80">
        <v>365</v>
      </c>
      <c r="B366" s="80" t="s">
        <v>10055</v>
      </c>
      <c r="C366" s="80" t="s">
        <v>9331</v>
      </c>
      <c r="D366" s="81">
        <v>1.2829999999999999</v>
      </c>
    </row>
    <row r="367" spans="1:4" ht="18" x14ac:dyDescent="0.25">
      <c r="A367" s="80">
        <v>366</v>
      </c>
      <c r="B367" s="80" t="s">
        <v>10056</v>
      </c>
      <c r="C367" s="80" t="s">
        <v>9331</v>
      </c>
      <c r="D367" s="81">
        <v>1.359</v>
      </c>
    </row>
    <row r="368" spans="1:4" ht="18" x14ac:dyDescent="0.25">
      <c r="A368" s="80">
        <v>367</v>
      </c>
      <c r="B368" s="80" t="s">
        <v>10057</v>
      </c>
      <c r="C368" s="80" t="s">
        <v>9331</v>
      </c>
      <c r="D368" s="81">
        <v>1.4339999999999999</v>
      </c>
    </row>
    <row r="369" spans="1:4" ht="18" x14ac:dyDescent="0.25">
      <c r="A369" s="80">
        <v>368</v>
      </c>
      <c r="B369" s="80" t="s">
        <v>10058</v>
      </c>
      <c r="C369" s="80" t="s">
        <v>9331</v>
      </c>
      <c r="D369" s="81">
        <v>1.585</v>
      </c>
    </row>
    <row r="370" spans="1:4" ht="18" x14ac:dyDescent="0.25">
      <c r="A370" s="80">
        <v>369</v>
      </c>
      <c r="B370" s="80" t="s">
        <v>10059</v>
      </c>
      <c r="C370" s="80" t="s">
        <v>9331</v>
      </c>
      <c r="D370" s="81">
        <v>1.736</v>
      </c>
    </row>
    <row r="371" spans="1:4" ht="18" x14ac:dyDescent="0.25">
      <c r="A371" s="80">
        <v>370</v>
      </c>
      <c r="B371" s="80" t="s">
        <v>10060</v>
      </c>
      <c r="C371" s="80" t="s">
        <v>9331</v>
      </c>
      <c r="D371" s="81">
        <v>0.85199999999999998</v>
      </c>
    </row>
    <row r="372" spans="1:4" ht="18" x14ac:dyDescent="0.25">
      <c r="A372" s="80">
        <v>371</v>
      </c>
      <c r="B372" s="80" t="s">
        <v>10061</v>
      </c>
      <c r="C372" s="80" t="s">
        <v>9331</v>
      </c>
      <c r="D372" s="81">
        <v>1.006</v>
      </c>
    </row>
    <row r="373" spans="1:4" ht="18" x14ac:dyDescent="0.25">
      <c r="A373" s="80">
        <v>372</v>
      </c>
      <c r="B373" s="80" t="s">
        <v>10062</v>
      </c>
      <c r="C373" s="80" t="s">
        <v>9331</v>
      </c>
      <c r="D373" s="81">
        <v>1.161</v>
      </c>
    </row>
    <row r="374" spans="1:4" ht="18" x14ac:dyDescent="0.25">
      <c r="A374" s="80">
        <v>373</v>
      </c>
      <c r="B374" s="80" t="s">
        <v>10063</v>
      </c>
      <c r="C374" s="80" t="s">
        <v>9331</v>
      </c>
      <c r="D374" s="81">
        <v>1.3160000000000001</v>
      </c>
    </row>
    <row r="375" spans="1:4" ht="18" x14ac:dyDescent="0.25">
      <c r="A375" s="80">
        <v>374</v>
      </c>
      <c r="B375" s="80" t="s">
        <v>10064</v>
      </c>
      <c r="C375" s="80" t="s">
        <v>9331</v>
      </c>
      <c r="D375" s="81">
        <v>1.3939999999999999</v>
      </c>
    </row>
    <row r="376" spans="1:4" ht="18" x14ac:dyDescent="0.25">
      <c r="A376" s="80">
        <v>375</v>
      </c>
      <c r="B376" s="80" t="s">
        <v>10065</v>
      </c>
      <c r="C376" s="80" t="s">
        <v>9331</v>
      </c>
      <c r="D376" s="81">
        <v>1.4710000000000001</v>
      </c>
    </row>
    <row r="377" spans="1:4" ht="18" x14ac:dyDescent="0.25">
      <c r="A377" s="80">
        <v>376</v>
      </c>
      <c r="B377" s="80" t="s">
        <v>10066</v>
      </c>
      <c r="C377" s="80" t="s">
        <v>9331</v>
      </c>
      <c r="D377" s="81">
        <v>1.6259999999999999</v>
      </c>
    </row>
    <row r="378" spans="1:4" ht="18" x14ac:dyDescent="0.25">
      <c r="A378" s="80">
        <v>377</v>
      </c>
      <c r="B378" s="80" t="s">
        <v>10067</v>
      </c>
      <c r="C378" s="80" t="s">
        <v>9331</v>
      </c>
      <c r="D378" s="81">
        <v>1.7809999999999999</v>
      </c>
    </row>
    <row r="379" spans="1:4" ht="18" x14ac:dyDescent="0.25">
      <c r="A379" s="80">
        <v>378</v>
      </c>
      <c r="B379" s="80" t="s">
        <v>10068</v>
      </c>
      <c r="C379" s="80" t="s">
        <v>9331</v>
      </c>
      <c r="D379" s="81">
        <v>0.89400000000000002</v>
      </c>
    </row>
    <row r="380" spans="1:4" ht="18" x14ac:dyDescent="0.25">
      <c r="A380" s="80">
        <v>379</v>
      </c>
      <c r="B380" s="80" t="s">
        <v>10069</v>
      </c>
      <c r="C380" s="80" t="s">
        <v>9331</v>
      </c>
      <c r="D380" s="81">
        <v>1.0569999999999999</v>
      </c>
    </row>
    <row r="381" spans="1:4" ht="18" x14ac:dyDescent="0.25">
      <c r="A381" s="80">
        <v>380</v>
      </c>
      <c r="B381" s="80" t="s">
        <v>10070</v>
      </c>
      <c r="C381" s="80" t="s">
        <v>9331</v>
      </c>
      <c r="D381" s="81">
        <v>1.2190000000000001</v>
      </c>
    </row>
    <row r="382" spans="1:4" ht="18" x14ac:dyDescent="0.25">
      <c r="A382" s="80">
        <v>381</v>
      </c>
      <c r="B382" s="80" t="s">
        <v>10071</v>
      </c>
      <c r="C382" s="80" t="s">
        <v>9331</v>
      </c>
      <c r="D382" s="81">
        <v>1.3819999999999999</v>
      </c>
    </row>
    <row r="383" spans="1:4" ht="18" x14ac:dyDescent="0.25">
      <c r="A383" s="80">
        <v>382</v>
      </c>
      <c r="B383" s="80" t="s">
        <v>10072</v>
      </c>
      <c r="C383" s="80" t="s">
        <v>9331</v>
      </c>
      <c r="D383" s="81">
        <v>1.4630000000000001</v>
      </c>
    </row>
    <row r="384" spans="1:4" ht="18" x14ac:dyDescent="0.25">
      <c r="A384" s="80">
        <v>383</v>
      </c>
      <c r="B384" s="80" t="s">
        <v>10073</v>
      </c>
      <c r="C384" s="80" t="s">
        <v>9331</v>
      </c>
      <c r="D384" s="81">
        <v>1.5449999999999999</v>
      </c>
    </row>
    <row r="385" spans="1:4" ht="18" x14ac:dyDescent="0.25">
      <c r="A385" s="80">
        <v>384</v>
      </c>
      <c r="B385" s="80" t="s">
        <v>10074</v>
      </c>
      <c r="C385" s="80" t="s">
        <v>9331</v>
      </c>
      <c r="D385" s="81">
        <v>1.7070000000000001</v>
      </c>
    </row>
    <row r="386" spans="1:4" ht="18" x14ac:dyDescent="0.25">
      <c r="A386" s="80">
        <v>385</v>
      </c>
      <c r="B386" s="80" t="s">
        <v>10075</v>
      </c>
      <c r="C386" s="80" t="s">
        <v>9331</v>
      </c>
      <c r="D386" s="81">
        <v>1.87</v>
      </c>
    </row>
    <row r="387" spans="1:4" ht="18" x14ac:dyDescent="0.25">
      <c r="A387" s="80">
        <v>386</v>
      </c>
      <c r="B387" s="80" t="s">
        <v>10076</v>
      </c>
      <c r="C387" s="80" t="s">
        <v>9331</v>
      </c>
      <c r="D387" s="81">
        <v>0.123</v>
      </c>
    </row>
    <row r="388" spans="1:4" ht="18" x14ac:dyDescent="0.25">
      <c r="A388" s="80">
        <v>387</v>
      </c>
      <c r="B388" s="80" t="s">
        <v>10077</v>
      </c>
      <c r="C388" s="80" t="s">
        <v>9331</v>
      </c>
      <c r="D388" s="81">
        <v>0.26100000000000001</v>
      </c>
    </row>
    <row r="389" spans="1:4" ht="18" x14ac:dyDescent="0.25">
      <c r="A389" s="80">
        <v>388</v>
      </c>
      <c r="B389" s="80" t="s">
        <v>10078</v>
      </c>
      <c r="C389" s="80" t="s">
        <v>9331</v>
      </c>
      <c r="D389" s="81">
        <v>1.5680000000000001</v>
      </c>
    </row>
    <row r="390" spans="1:4" ht="18" x14ac:dyDescent="0.25">
      <c r="A390" s="80">
        <v>389</v>
      </c>
      <c r="B390" s="80" t="s">
        <v>10079</v>
      </c>
      <c r="C390" s="80" t="s">
        <v>9331</v>
      </c>
      <c r="D390" s="81">
        <v>1.881</v>
      </c>
    </row>
    <row r="391" spans="1:4" ht="18" x14ac:dyDescent="0.25">
      <c r="A391" s="80">
        <v>390</v>
      </c>
      <c r="B391" s="80" t="s">
        <v>10080</v>
      </c>
      <c r="C391" s="80" t="s">
        <v>9331</v>
      </c>
      <c r="D391" s="81">
        <v>2.1949999999999998</v>
      </c>
    </row>
    <row r="392" spans="1:4" ht="18" x14ac:dyDescent="0.25">
      <c r="A392" s="80">
        <v>391</v>
      </c>
      <c r="B392" s="80" t="s">
        <v>10081</v>
      </c>
      <c r="C392" s="80" t="s">
        <v>9331</v>
      </c>
      <c r="D392" s="81">
        <v>2.508</v>
      </c>
    </row>
    <row r="393" spans="1:4" ht="18" x14ac:dyDescent="0.25">
      <c r="A393" s="80">
        <v>392</v>
      </c>
      <c r="B393" s="80" t="s">
        <v>10082</v>
      </c>
      <c r="C393" s="80" t="s">
        <v>9331</v>
      </c>
      <c r="D393" s="81">
        <v>3.1349999999999998</v>
      </c>
    </row>
    <row r="394" spans="1:4" ht="18" x14ac:dyDescent="0.25">
      <c r="A394" s="80">
        <v>393</v>
      </c>
      <c r="B394" s="80" t="s">
        <v>10083</v>
      </c>
      <c r="C394" s="80" t="s">
        <v>9331</v>
      </c>
      <c r="D394" s="81">
        <v>3.4489999999999998</v>
      </c>
    </row>
    <row r="395" spans="1:4" ht="18" x14ac:dyDescent="0.25">
      <c r="A395" s="80">
        <v>394</v>
      </c>
      <c r="B395" s="80" t="s">
        <v>10084</v>
      </c>
      <c r="C395" s="80" t="s">
        <v>9331</v>
      </c>
      <c r="D395" s="81">
        <v>3.7629999999999999</v>
      </c>
    </row>
    <row r="396" spans="1:4" ht="18" x14ac:dyDescent="0.25">
      <c r="A396" s="80">
        <v>395</v>
      </c>
      <c r="B396" s="80" t="s">
        <v>10085</v>
      </c>
      <c r="C396" s="80" t="s">
        <v>9331</v>
      </c>
      <c r="D396" s="81">
        <v>1.633</v>
      </c>
    </row>
    <row r="397" spans="1:4" ht="18" x14ac:dyDescent="0.25">
      <c r="A397" s="80">
        <v>396</v>
      </c>
      <c r="B397" s="80" t="s">
        <v>10086</v>
      </c>
      <c r="C397" s="80" t="s">
        <v>9331</v>
      </c>
      <c r="D397" s="81">
        <v>1.96</v>
      </c>
    </row>
    <row r="398" spans="1:4" ht="18" x14ac:dyDescent="0.25">
      <c r="A398" s="80">
        <v>397</v>
      </c>
      <c r="B398" s="80" t="s">
        <v>10087</v>
      </c>
      <c r="C398" s="80" t="s">
        <v>9331</v>
      </c>
      <c r="D398" s="81">
        <v>2.286</v>
      </c>
    </row>
    <row r="399" spans="1:4" ht="18" x14ac:dyDescent="0.25">
      <c r="A399" s="80">
        <v>398</v>
      </c>
      <c r="B399" s="80" t="s">
        <v>10088</v>
      </c>
      <c r="C399" s="80" t="s">
        <v>9331</v>
      </c>
      <c r="D399" s="81">
        <v>2.613</v>
      </c>
    </row>
    <row r="400" spans="1:4" ht="18" x14ac:dyDescent="0.25">
      <c r="A400" s="80">
        <v>399</v>
      </c>
      <c r="B400" s="80" t="s">
        <v>10089</v>
      </c>
      <c r="C400" s="80" t="s">
        <v>9331</v>
      </c>
      <c r="D400" s="81">
        <v>3.266</v>
      </c>
    </row>
    <row r="401" spans="1:4" ht="18" x14ac:dyDescent="0.25">
      <c r="A401" s="80">
        <v>400</v>
      </c>
      <c r="B401" s="80" t="s">
        <v>10090</v>
      </c>
      <c r="C401" s="80" t="s">
        <v>9331</v>
      </c>
      <c r="D401" s="81">
        <v>3.593</v>
      </c>
    </row>
    <row r="402" spans="1:4" ht="18" x14ac:dyDescent="0.25">
      <c r="A402" s="80">
        <v>401</v>
      </c>
      <c r="B402" s="80" t="s">
        <v>10091</v>
      </c>
      <c r="C402" s="80" t="s">
        <v>9331</v>
      </c>
      <c r="D402" s="81">
        <v>3.919</v>
      </c>
    </row>
    <row r="403" spans="1:4" ht="18" x14ac:dyDescent="0.25">
      <c r="A403" s="80">
        <v>402</v>
      </c>
      <c r="B403" s="80" t="s">
        <v>10092</v>
      </c>
      <c r="C403" s="80" t="s">
        <v>9331</v>
      </c>
      <c r="D403" s="81">
        <v>1.698</v>
      </c>
    </row>
    <row r="404" spans="1:4" ht="18" x14ac:dyDescent="0.25">
      <c r="A404" s="80">
        <v>403</v>
      </c>
      <c r="B404" s="80" t="s">
        <v>10093</v>
      </c>
      <c r="C404" s="80" t="s">
        <v>9331</v>
      </c>
      <c r="D404" s="81">
        <v>2.0379999999999998</v>
      </c>
    </row>
    <row r="405" spans="1:4" ht="18" x14ac:dyDescent="0.25">
      <c r="A405" s="80">
        <v>404</v>
      </c>
      <c r="B405" s="80" t="s">
        <v>10094</v>
      </c>
      <c r="C405" s="80" t="s">
        <v>9331</v>
      </c>
      <c r="D405" s="81">
        <v>2.3780000000000001</v>
      </c>
    </row>
    <row r="406" spans="1:4" ht="18" x14ac:dyDescent="0.25">
      <c r="A406" s="80">
        <v>405</v>
      </c>
      <c r="B406" s="80" t="s">
        <v>10095</v>
      </c>
      <c r="C406" s="80" t="s">
        <v>9331</v>
      </c>
      <c r="D406" s="81">
        <v>2.7170000000000001</v>
      </c>
    </row>
    <row r="407" spans="1:4" ht="18" x14ac:dyDescent="0.25">
      <c r="A407" s="80">
        <v>406</v>
      </c>
      <c r="B407" s="80" t="s">
        <v>10096</v>
      </c>
      <c r="C407" s="80" t="s">
        <v>9331</v>
      </c>
      <c r="D407" s="81">
        <v>3.3969999999999998</v>
      </c>
    </row>
    <row r="408" spans="1:4" ht="18" x14ac:dyDescent="0.25">
      <c r="A408" s="80">
        <v>407</v>
      </c>
      <c r="B408" s="80" t="s">
        <v>10097</v>
      </c>
      <c r="C408" s="80" t="s">
        <v>9331</v>
      </c>
      <c r="D408" s="81">
        <v>3.7360000000000002</v>
      </c>
    </row>
    <row r="409" spans="1:4" ht="18" x14ac:dyDescent="0.25">
      <c r="A409" s="80">
        <v>408</v>
      </c>
      <c r="B409" s="82" t="s">
        <v>10098</v>
      </c>
      <c r="C409" s="80" t="s">
        <v>9331</v>
      </c>
      <c r="D409" s="83">
        <v>4.0759999999999996</v>
      </c>
    </row>
    <row r="410" spans="1:4" ht="18" x14ac:dyDescent="0.25">
      <c r="A410" s="80">
        <v>409</v>
      </c>
      <c r="B410" s="80" t="s">
        <v>10099</v>
      </c>
      <c r="C410" s="80" t="s">
        <v>9331</v>
      </c>
      <c r="D410" s="81">
        <v>1.742</v>
      </c>
    </row>
    <row r="411" spans="1:4" ht="18" x14ac:dyDescent="0.25">
      <c r="A411" s="80">
        <v>410</v>
      </c>
      <c r="B411" s="80" t="s">
        <v>10100</v>
      </c>
      <c r="C411" s="80" t="s">
        <v>9331</v>
      </c>
      <c r="D411" s="81">
        <v>2.09</v>
      </c>
    </row>
    <row r="412" spans="1:4" ht="18" x14ac:dyDescent="0.25">
      <c r="A412" s="80">
        <v>411</v>
      </c>
      <c r="B412" s="80" t="s">
        <v>10101</v>
      </c>
      <c r="C412" s="80" t="s">
        <v>9331</v>
      </c>
      <c r="D412" s="81">
        <v>2.4390000000000001</v>
      </c>
    </row>
    <row r="413" spans="1:4" ht="18" x14ac:dyDescent="0.25">
      <c r="A413" s="80">
        <v>412</v>
      </c>
      <c r="B413" s="80" t="s">
        <v>10102</v>
      </c>
      <c r="C413" s="80" t="s">
        <v>9331</v>
      </c>
      <c r="D413" s="81">
        <v>2.7869999999999999</v>
      </c>
    </row>
    <row r="414" spans="1:4" ht="18" x14ac:dyDescent="0.25">
      <c r="A414" s="80">
        <v>413</v>
      </c>
      <c r="B414" s="80" t="s">
        <v>10103</v>
      </c>
      <c r="C414" s="80" t="s">
        <v>9331</v>
      </c>
      <c r="D414" s="81">
        <v>3.484</v>
      </c>
    </row>
    <row r="415" spans="1:4" ht="18" x14ac:dyDescent="0.25">
      <c r="A415" s="80">
        <v>414</v>
      </c>
      <c r="B415" s="80" t="s">
        <v>10104</v>
      </c>
      <c r="C415" s="80" t="s">
        <v>9331</v>
      </c>
      <c r="D415" s="81">
        <v>3.8319999999999999</v>
      </c>
    </row>
    <row r="416" spans="1:4" ht="18" x14ac:dyDescent="0.25">
      <c r="A416" s="80">
        <v>415</v>
      </c>
      <c r="B416" s="80" t="s">
        <v>10105</v>
      </c>
      <c r="C416" s="80" t="s">
        <v>9331</v>
      </c>
      <c r="D416" s="81">
        <v>4.181</v>
      </c>
    </row>
    <row r="417" spans="1:4" ht="18" x14ac:dyDescent="0.25">
      <c r="A417" s="80">
        <v>416</v>
      </c>
      <c r="B417" s="80" t="s">
        <v>10106</v>
      </c>
      <c r="C417" s="80" t="s">
        <v>9331</v>
      </c>
      <c r="D417" s="81">
        <v>1.829</v>
      </c>
    </row>
    <row r="418" spans="1:4" ht="18" x14ac:dyDescent="0.25">
      <c r="A418" s="80">
        <v>417</v>
      </c>
      <c r="B418" s="80" t="s">
        <v>10107</v>
      </c>
      <c r="C418" s="80" t="s">
        <v>9331</v>
      </c>
      <c r="D418" s="81">
        <v>2.1949999999999998</v>
      </c>
    </row>
    <row r="419" spans="1:4" ht="18" x14ac:dyDescent="0.25">
      <c r="A419" s="80">
        <v>418</v>
      </c>
      <c r="B419" s="80" t="s">
        <v>10108</v>
      </c>
      <c r="C419" s="80" t="s">
        <v>9331</v>
      </c>
      <c r="D419" s="81">
        <v>2.5609999999999999</v>
      </c>
    </row>
    <row r="420" spans="1:4" ht="18" x14ac:dyDescent="0.25">
      <c r="A420" s="80">
        <v>419</v>
      </c>
      <c r="B420" s="80" t="s">
        <v>10109</v>
      </c>
      <c r="C420" s="80" t="s">
        <v>9331</v>
      </c>
      <c r="D420" s="81">
        <v>2.9260000000000002</v>
      </c>
    </row>
    <row r="421" spans="1:4" ht="18" x14ac:dyDescent="0.25">
      <c r="A421" s="80">
        <v>420</v>
      </c>
      <c r="B421" s="80" t="s">
        <v>10110</v>
      </c>
      <c r="C421" s="80" t="s">
        <v>9331</v>
      </c>
      <c r="D421" s="81">
        <v>3.6579999999999999</v>
      </c>
    </row>
    <row r="422" spans="1:4" ht="18" x14ac:dyDescent="0.25">
      <c r="A422" s="80">
        <v>421</v>
      </c>
      <c r="B422" s="80" t="s">
        <v>10111</v>
      </c>
      <c r="C422" s="80" t="s">
        <v>9331</v>
      </c>
      <c r="D422" s="81">
        <v>4.024</v>
      </c>
    </row>
    <row r="423" spans="1:4" ht="18" x14ac:dyDescent="0.25">
      <c r="A423" s="80">
        <v>422</v>
      </c>
      <c r="B423" s="80" t="s">
        <v>10112</v>
      </c>
      <c r="C423" s="80" t="s">
        <v>9331</v>
      </c>
      <c r="D423" s="81">
        <v>4.3899999999999997</v>
      </c>
    </row>
    <row r="424" spans="1:4" ht="18" x14ac:dyDescent="0.25">
      <c r="A424" s="80">
        <v>423</v>
      </c>
      <c r="B424" s="80" t="s">
        <v>10113</v>
      </c>
      <c r="C424" s="80" t="s">
        <v>9331</v>
      </c>
      <c r="D424" s="81">
        <v>1.7250000000000001</v>
      </c>
    </row>
    <row r="425" spans="1:4" ht="18" x14ac:dyDescent="0.25">
      <c r="A425" s="80">
        <v>424</v>
      </c>
      <c r="B425" s="80" t="s">
        <v>10114</v>
      </c>
      <c r="C425" s="80" t="s">
        <v>9331</v>
      </c>
      <c r="D425" s="81">
        <v>2.0379999999999998</v>
      </c>
    </row>
    <row r="426" spans="1:4" ht="18" x14ac:dyDescent="0.25">
      <c r="A426" s="80">
        <v>425</v>
      </c>
      <c r="B426" s="80" t="s">
        <v>10115</v>
      </c>
      <c r="C426" s="80" t="s">
        <v>9331</v>
      </c>
      <c r="D426" s="81">
        <v>2.3519999999999999</v>
      </c>
    </row>
    <row r="427" spans="1:4" ht="18" x14ac:dyDescent="0.25">
      <c r="A427" s="80">
        <v>426</v>
      </c>
      <c r="B427" s="80" t="s">
        <v>10116</v>
      </c>
      <c r="C427" s="80" t="s">
        <v>9331</v>
      </c>
      <c r="D427" s="81">
        <v>2.665</v>
      </c>
    </row>
    <row r="428" spans="1:4" ht="18" x14ac:dyDescent="0.25">
      <c r="A428" s="80">
        <v>427</v>
      </c>
      <c r="B428" s="80" t="s">
        <v>10117</v>
      </c>
      <c r="C428" s="80" t="s">
        <v>9331</v>
      </c>
      <c r="D428" s="81">
        <v>2.8220000000000001</v>
      </c>
    </row>
    <row r="429" spans="1:4" ht="18" x14ac:dyDescent="0.25">
      <c r="A429" s="80">
        <v>428</v>
      </c>
      <c r="B429" s="80" t="s">
        <v>10118</v>
      </c>
      <c r="C429" s="80" t="s">
        <v>9331</v>
      </c>
      <c r="D429" s="81">
        <v>2.9790000000000001</v>
      </c>
    </row>
    <row r="430" spans="1:4" ht="18" x14ac:dyDescent="0.25">
      <c r="A430" s="80">
        <v>429</v>
      </c>
      <c r="B430" s="80" t="s">
        <v>10119</v>
      </c>
      <c r="C430" s="80" t="s">
        <v>9331</v>
      </c>
      <c r="D430" s="81">
        <v>3.2919999999999998</v>
      </c>
    </row>
    <row r="431" spans="1:4" ht="18" x14ac:dyDescent="0.25">
      <c r="A431" s="80">
        <v>430</v>
      </c>
      <c r="B431" s="80" t="s">
        <v>10120</v>
      </c>
      <c r="C431" s="80" t="s">
        <v>9331</v>
      </c>
      <c r="D431" s="81">
        <v>3.6059999999999999</v>
      </c>
    </row>
    <row r="432" spans="1:4" ht="18" x14ac:dyDescent="0.25">
      <c r="A432" s="80">
        <v>431</v>
      </c>
      <c r="B432" s="80" t="s">
        <v>10121</v>
      </c>
      <c r="C432" s="80" t="s">
        <v>9331</v>
      </c>
      <c r="D432" s="81">
        <v>1.796</v>
      </c>
    </row>
    <row r="433" spans="1:4" ht="18" x14ac:dyDescent="0.25">
      <c r="A433" s="80">
        <v>432</v>
      </c>
      <c r="B433" s="80" t="s">
        <v>10122</v>
      </c>
      <c r="C433" s="80" t="s">
        <v>9331</v>
      </c>
      <c r="D433" s="81">
        <v>2.1230000000000002</v>
      </c>
    </row>
    <row r="434" spans="1:4" ht="18" x14ac:dyDescent="0.25">
      <c r="A434" s="80">
        <v>433</v>
      </c>
      <c r="B434" s="80" t="s">
        <v>10123</v>
      </c>
      <c r="C434" s="80" t="s">
        <v>9331</v>
      </c>
      <c r="D434" s="81">
        <v>2.4500000000000002</v>
      </c>
    </row>
    <row r="435" spans="1:4" ht="18" x14ac:dyDescent="0.25">
      <c r="A435" s="80">
        <v>434</v>
      </c>
      <c r="B435" s="80" t="s">
        <v>10124</v>
      </c>
      <c r="C435" s="80" t="s">
        <v>9331</v>
      </c>
      <c r="D435" s="81">
        <v>2.7759999999999998</v>
      </c>
    </row>
    <row r="436" spans="1:4" ht="18" x14ac:dyDescent="0.25">
      <c r="A436" s="80">
        <v>435</v>
      </c>
      <c r="B436" s="80" t="s">
        <v>10125</v>
      </c>
      <c r="C436" s="80" t="s">
        <v>9331</v>
      </c>
      <c r="D436" s="81">
        <v>2.94</v>
      </c>
    </row>
    <row r="437" spans="1:4" ht="18" x14ac:dyDescent="0.25">
      <c r="A437" s="80">
        <v>436</v>
      </c>
      <c r="B437" s="80" t="s">
        <v>10126</v>
      </c>
      <c r="C437" s="80" t="s">
        <v>9331</v>
      </c>
      <c r="D437" s="81">
        <v>3.1030000000000002</v>
      </c>
    </row>
    <row r="438" spans="1:4" ht="18" x14ac:dyDescent="0.25">
      <c r="A438" s="80">
        <v>437</v>
      </c>
      <c r="B438" s="80" t="s">
        <v>10127</v>
      </c>
      <c r="C438" s="80" t="s">
        <v>9331</v>
      </c>
      <c r="D438" s="81">
        <v>3.4289999999999998</v>
      </c>
    </row>
    <row r="439" spans="1:4" ht="18" x14ac:dyDescent="0.25">
      <c r="A439" s="80">
        <v>438</v>
      </c>
      <c r="B439" s="80" t="s">
        <v>10128</v>
      </c>
      <c r="C439" s="80" t="s">
        <v>9331</v>
      </c>
      <c r="D439" s="81">
        <v>3.7559999999999998</v>
      </c>
    </row>
    <row r="440" spans="1:4" ht="18" x14ac:dyDescent="0.25">
      <c r="A440" s="80">
        <v>439</v>
      </c>
      <c r="B440" s="80" t="s">
        <v>10129</v>
      </c>
      <c r="C440" s="80" t="s">
        <v>9331</v>
      </c>
      <c r="D440" s="81">
        <v>1.8680000000000001</v>
      </c>
    </row>
    <row r="441" spans="1:4" ht="18" x14ac:dyDescent="0.25">
      <c r="A441" s="80">
        <v>440</v>
      </c>
      <c r="B441" s="80" t="s">
        <v>10130</v>
      </c>
      <c r="C441" s="80" t="s">
        <v>9331</v>
      </c>
      <c r="D441" s="81">
        <v>2.2080000000000002</v>
      </c>
    </row>
    <row r="442" spans="1:4" ht="18" x14ac:dyDescent="0.25">
      <c r="A442" s="80">
        <v>441</v>
      </c>
      <c r="B442" s="80" t="s">
        <v>10131</v>
      </c>
      <c r="C442" s="80" t="s">
        <v>9331</v>
      </c>
      <c r="D442" s="81">
        <v>2.548</v>
      </c>
    </row>
    <row r="443" spans="1:4" ht="18" x14ac:dyDescent="0.25">
      <c r="A443" s="80">
        <v>442</v>
      </c>
      <c r="B443" s="80" t="s">
        <v>10132</v>
      </c>
      <c r="C443" s="80" t="s">
        <v>9331</v>
      </c>
      <c r="D443" s="81">
        <v>2.887</v>
      </c>
    </row>
    <row r="444" spans="1:4" ht="18" x14ac:dyDescent="0.25">
      <c r="A444" s="80">
        <v>443</v>
      </c>
      <c r="B444" s="80" t="s">
        <v>10133</v>
      </c>
      <c r="C444" s="80" t="s">
        <v>9331</v>
      </c>
      <c r="D444" s="81">
        <v>3.0569999999999999</v>
      </c>
    </row>
    <row r="445" spans="1:4" ht="18" x14ac:dyDescent="0.25">
      <c r="A445" s="80">
        <v>444</v>
      </c>
      <c r="B445" s="80" t="s">
        <v>10134</v>
      </c>
      <c r="C445" s="80" t="s">
        <v>9331</v>
      </c>
      <c r="D445" s="81">
        <v>3.2269999999999999</v>
      </c>
    </row>
    <row r="446" spans="1:4" ht="18" x14ac:dyDescent="0.25">
      <c r="A446" s="80">
        <v>445</v>
      </c>
      <c r="B446" s="80" t="s">
        <v>10135</v>
      </c>
      <c r="C446" s="80" t="s">
        <v>9331</v>
      </c>
      <c r="D446" s="81">
        <v>3.5670000000000002</v>
      </c>
    </row>
    <row r="447" spans="1:4" ht="18" x14ac:dyDescent="0.25">
      <c r="A447" s="80">
        <v>446</v>
      </c>
      <c r="B447" s="80" t="s">
        <v>10136</v>
      </c>
      <c r="C447" s="80" t="s">
        <v>9331</v>
      </c>
      <c r="D447" s="81">
        <v>3.9060000000000001</v>
      </c>
    </row>
    <row r="448" spans="1:4" ht="18" x14ac:dyDescent="0.25">
      <c r="A448" s="80">
        <v>447</v>
      </c>
      <c r="B448" s="80" t="s">
        <v>10137</v>
      </c>
      <c r="C448" s="80" t="s">
        <v>9331</v>
      </c>
      <c r="D448" s="81">
        <v>1.9159999999999999</v>
      </c>
    </row>
    <row r="449" spans="1:4" ht="18" x14ac:dyDescent="0.25">
      <c r="A449" s="80">
        <v>448</v>
      </c>
      <c r="B449" s="80" t="s">
        <v>10138</v>
      </c>
      <c r="C449" s="80" t="s">
        <v>9331</v>
      </c>
      <c r="D449" s="81">
        <v>2.2650000000000001</v>
      </c>
    </row>
    <row r="450" spans="1:4" ht="18" x14ac:dyDescent="0.25">
      <c r="A450" s="80">
        <v>449</v>
      </c>
      <c r="B450" s="80" t="s">
        <v>10139</v>
      </c>
      <c r="C450" s="80" t="s">
        <v>9331</v>
      </c>
      <c r="D450" s="81">
        <v>2.613</v>
      </c>
    </row>
    <row r="451" spans="1:4" ht="18" x14ac:dyDescent="0.25">
      <c r="A451" s="80">
        <v>450</v>
      </c>
      <c r="B451" s="80" t="s">
        <v>10140</v>
      </c>
      <c r="C451" s="80" t="s">
        <v>9331</v>
      </c>
      <c r="D451" s="81">
        <v>2.9609999999999999</v>
      </c>
    </row>
    <row r="452" spans="1:4" ht="18" x14ac:dyDescent="0.25">
      <c r="A452" s="80">
        <v>451</v>
      </c>
      <c r="B452" s="80" t="s">
        <v>10141</v>
      </c>
      <c r="C452" s="80" t="s">
        <v>9331</v>
      </c>
      <c r="D452" s="81">
        <v>3.1349999999999998</v>
      </c>
    </row>
    <row r="453" spans="1:4" ht="18" x14ac:dyDescent="0.25">
      <c r="A453" s="80">
        <v>452</v>
      </c>
      <c r="B453" s="80" t="s">
        <v>10142</v>
      </c>
      <c r="C453" s="80" t="s">
        <v>9331</v>
      </c>
      <c r="D453" s="81">
        <v>3.31</v>
      </c>
    </row>
    <row r="454" spans="1:4" ht="18" x14ac:dyDescent="0.25">
      <c r="A454" s="80">
        <v>453</v>
      </c>
      <c r="B454" s="80" t="s">
        <v>10143</v>
      </c>
      <c r="C454" s="80" t="s">
        <v>9331</v>
      </c>
      <c r="D454" s="81">
        <v>3.6579999999999999</v>
      </c>
    </row>
    <row r="455" spans="1:4" ht="18" x14ac:dyDescent="0.25">
      <c r="A455" s="80">
        <v>454</v>
      </c>
      <c r="B455" s="80" t="s">
        <v>10144</v>
      </c>
      <c r="C455" s="80" t="s">
        <v>9331</v>
      </c>
      <c r="D455" s="81">
        <v>4.0060000000000002</v>
      </c>
    </row>
    <row r="456" spans="1:4" ht="18" x14ac:dyDescent="0.25">
      <c r="A456" s="80">
        <v>455</v>
      </c>
      <c r="B456" s="80" t="s">
        <v>10145</v>
      </c>
      <c r="C456" s="80" t="s">
        <v>9331</v>
      </c>
      <c r="D456" s="81">
        <v>2.012</v>
      </c>
    </row>
    <row r="457" spans="1:4" ht="18" x14ac:dyDescent="0.25">
      <c r="A457" s="80">
        <v>456</v>
      </c>
      <c r="B457" s="80" t="s">
        <v>10146</v>
      </c>
      <c r="C457" s="80" t="s">
        <v>9331</v>
      </c>
      <c r="D457" s="81">
        <v>2.3780000000000001</v>
      </c>
    </row>
    <row r="458" spans="1:4" ht="18" x14ac:dyDescent="0.25">
      <c r="A458" s="80">
        <v>457</v>
      </c>
      <c r="B458" s="80" t="s">
        <v>10147</v>
      </c>
      <c r="C458" s="80" t="s">
        <v>9331</v>
      </c>
      <c r="D458" s="81">
        <v>2.7440000000000002</v>
      </c>
    </row>
    <row r="459" spans="1:4" ht="18" x14ac:dyDescent="0.25">
      <c r="A459" s="80">
        <v>458</v>
      </c>
      <c r="B459" s="80" t="s">
        <v>10148</v>
      </c>
      <c r="C459" s="80" t="s">
        <v>9331</v>
      </c>
      <c r="D459" s="81">
        <v>3.109</v>
      </c>
    </row>
    <row r="460" spans="1:4" ht="18" x14ac:dyDescent="0.25">
      <c r="A460" s="80">
        <v>459</v>
      </c>
      <c r="B460" s="80" t="s">
        <v>10149</v>
      </c>
      <c r="C460" s="80" t="s">
        <v>9331</v>
      </c>
      <c r="D460" s="81">
        <v>3.2919999999999998</v>
      </c>
    </row>
    <row r="461" spans="1:4" ht="18" x14ac:dyDescent="0.25">
      <c r="A461" s="80">
        <v>460</v>
      </c>
      <c r="B461" s="80" t="s">
        <v>10150</v>
      </c>
      <c r="C461" s="80" t="s">
        <v>9331</v>
      </c>
      <c r="D461" s="81">
        <v>3.4750000000000001</v>
      </c>
    </row>
    <row r="462" spans="1:4" ht="18" x14ac:dyDescent="0.25">
      <c r="A462" s="80">
        <v>461</v>
      </c>
      <c r="B462" s="80" t="s">
        <v>10151</v>
      </c>
      <c r="C462" s="80" t="s">
        <v>9331</v>
      </c>
      <c r="D462" s="81">
        <v>3.8410000000000002</v>
      </c>
    </row>
    <row r="463" spans="1:4" ht="18" x14ac:dyDescent="0.25">
      <c r="A463" s="80">
        <v>462</v>
      </c>
      <c r="B463" s="80" t="s">
        <v>10152</v>
      </c>
      <c r="C463" s="80" t="s">
        <v>9331</v>
      </c>
      <c r="D463" s="81">
        <v>4.2069999999999999</v>
      </c>
    </row>
    <row r="464" spans="1:4" ht="18" x14ac:dyDescent="0.25">
      <c r="A464" s="80">
        <v>463</v>
      </c>
      <c r="B464" s="80" t="s">
        <v>10153</v>
      </c>
      <c r="C464" s="80" t="s">
        <v>9331</v>
      </c>
      <c r="D464" s="81">
        <v>0.41899999999999998</v>
      </c>
    </row>
    <row r="465" spans="1:4" ht="18" x14ac:dyDescent="0.25">
      <c r="A465" s="80">
        <v>464</v>
      </c>
      <c r="B465" s="80" t="s">
        <v>10154</v>
      </c>
      <c r="C465" s="80" t="s">
        <v>9331</v>
      </c>
      <c r="D465" s="81">
        <v>0.89200000000000002</v>
      </c>
    </row>
    <row r="466" spans="1:4" ht="18" x14ac:dyDescent="0.25">
      <c r="A466" s="80">
        <v>465</v>
      </c>
      <c r="B466" s="80" t="s">
        <v>10155</v>
      </c>
      <c r="C466" s="80" t="s">
        <v>9331</v>
      </c>
      <c r="D466" s="81">
        <v>5.351</v>
      </c>
    </row>
    <row r="467" spans="1:4" ht="18" x14ac:dyDescent="0.25">
      <c r="A467" s="80">
        <v>466</v>
      </c>
      <c r="B467" s="80" t="s">
        <v>10156</v>
      </c>
      <c r="C467" s="80" t="s">
        <v>9331</v>
      </c>
      <c r="D467" s="81">
        <v>5.8860000000000001</v>
      </c>
    </row>
    <row r="468" spans="1:4" ht="18" x14ac:dyDescent="0.25">
      <c r="A468" s="80">
        <v>467</v>
      </c>
      <c r="B468" s="80" t="s">
        <v>10157</v>
      </c>
      <c r="C468" s="80" t="s">
        <v>9331</v>
      </c>
      <c r="D468" s="81">
        <v>6.4210000000000003</v>
      </c>
    </row>
    <row r="469" spans="1:4" ht="18" x14ac:dyDescent="0.25">
      <c r="A469" s="80">
        <v>468</v>
      </c>
      <c r="B469" s="80" t="s">
        <v>10158</v>
      </c>
      <c r="C469" s="80" t="s">
        <v>9331</v>
      </c>
      <c r="D469" s="81">
        <v>6.9569999999999999</v>
      </c>
    </row>
    <row r="470" spans="1:4" ht="18" x14ac:dyDescent="0.25">
      <c r="A470" s="80">
        <v>469</v>
      </c>
      <c r="B470" s="80" t="s">
        <v>10159</v>
      </c>
      <c r="C470" s="80" t="s">
        <v>9331</v>
      </c>
      <c r="D470" s="81">
        <v>7.492</v>
      </c>
    </row>
    <row r="471" spans="1:4" ht="18" x14ac:dyDescent="0.25">
      <c r="A471" s="80">
        <v>470</v>
      </c>
      <c r="B471" s="80" t="s">
        <v>10160</v>
      </c>
      <c r="C471" s="80" t="s">
        <v>9331</v>
      </c>
      <c r="D471" s="81">
        <v>8.0269999999999992</v>
      </c>
    </row>
    <row r="472" spans="1:4" ht="18" x14ac:dyDescent="0.25">
      <c r="A472" s="80">
        <v>471</v>
      </c>
      <c r="B472" s="80" t="s">
        <v>10161</v>
      </c>
      <c r="C472" s="80" t="s">
        <v>9331</v>
      </c>
      <c r="D472" s="81">
        <v>8.5619999999999994</v>
      </c>
    </row>
    <row r="473" spans="1:4" ht="18" x14ac:dyDescent="0.25">
      <c r="A473" s="80">
        <v>472</v>
      </c>
      <c r="B473" s="80" t="s">
        <v>10162</v>
      </c>
      <c r="C473" s="80" t="s">
        <v>9331</v>
      </c>
      <c r="D473" s="81">
        <v>9.0969999999999995</v>
      </c>
    </row>
    <row r="474" spans="1:4" ht="18" x14ac:dyDescent="0.25">
      <c r="A474" s="80">
        <v>473</v>
      </c>
      <c r="B474" s="80" t="s">
        <v>10163</v>
      </c>
      <c r="C474" s="80" t="s">
        <v>9331</v>
      </c>
      <c r="D474" s="81">
        <v>9.6319999999999997</v>
      </c>
    </row>
    <row r="475" spans="1:4" ht="18" x14ac:dyDescent="0.25">
      <c r="A475" s="80">
        <v>474</v>
      </c>
      <c r="B475" s="80" t="s">
        <v>10164</v>
      </c>
      <c r="C475" s="80" t="s">
        <v>9331</v>
      </c>
      <c r="D475" s="81">
        <v>10.167</v>
      </c>
    </row>
    <row r="476" spans="1:4" ht="18" x14ac:dyDescent="0.25">
      <c r="A476" s="80">
        <v>475</v>
      </c>
      <c r="B476" s="80" t="s">
        <v>10165</v>
      </c>
      <c r="C476" s="80" t="s">
        <v>9331</v>
      </c>
      <c r="D476" s="81">
        <v>10.702</v>
      </c>
    </row>
    <row r="477" spans="1:4" ht="18" x14ac:dyDescent="0.25">
      <c r="A477" s="80">
        <v>476</v>
      </c>
      <c r="B477" s="80" t="s">
        <v>10166</v>
      </c>
      <c r="C477" s="80" t="s">
        <v>9331</v>
      </c>
      <c r="D477" s="81">
        <v>11.238</v>
      </c>
    </row>
    <row r="478" spans="1:4" ht="18" x14ac:dyDescent="0.25">
      <c r="A478" s="80">
        <v>477</v>
      </c>
      <c r="B478" s="80" t="s">
        <v>10167</v>
      </c>
      <c r="C478" s="80" t="s">
        <v>9331</v>
      </c>
      <c r="D478" s="81">
        <v>11.773</v>
      </c>
    </row>
    <row r="479" spans="1:4" ht="18" x14ac:dyDescent="0.25">
      <c r="A479" s="80">
        <v>478</v>
      </c>
      <c r="B479" s="80" t="s">
        <v>10168</v>
      </c>
      <c r="C479" s="80" t="s">
        <v>9331</v>
      </c>
      <c r="D479" s="81">
        <v>12.308</v>
      </c>
    </row>
    <row r="480" spans="1:4" ht="18" x14ac:dyDescent="0.25">
      <c r="A480" s="80">
        <v>479</v>
      </c>
      <c r="B480" s="80" t="s">
        <v>10169</v>
      </c>
      <c r="C480" s="80" t="s">
        <v>9331</v>
      </c>
      <c r="D480" s="81">
        <v>12.843</v>
      </c>
    </row>
    <row r="481" spans="1:4" ht="18" x14ac:dyDescent="0.25">
      <c r="A481" s="80">
        <v>480</v>
      </c>
      <c r="B481" s="80" t="s">
        <v>10170</v>
      </c>
      <c r="C481" s="80" t="s">
        <v>9331</v>
      </c>
      <c r="D481" s="81">
        <v>5.5739999999999998</v>
      </c>
    </row>
    <row r="482" spans="1:4" ht="18" x14ac:dyDescent="0.25">
      <c r="A482" s="80">
        <v>481</v>
      </c>
      <c r="B482" s="80" t="s">
        <v>10171</v>
      </c>
      <c r="C482" s="80" t="s">
        <v>9331</v>
      </c>
      <c r="D482" s="81">
        <v>6.1319999999999997</v>
      </c>
    </row>
    <row r="483" spans="1:4" ht="18" x14ac:dyDescent="0.25">
      <c r="A483" s="80">
        <v>482</v>
      </c>
      <c r="B483" s="80" t="s">
        <v>10172</v>
      </c>
      <c r="C483" s="80" t="s">
        <v>9331</v>
      </c>
      <c r="D483" s="81">
        <v>6.6890000000000001</v>
      </c>
    </row>
    <row r="484" spans="1:4" ht="18" x14ac:dyDescent="0.25">
      <c r="A484" s="80">
        <v>483</v>
      </c>
      <c r="B484" s="80" t="s">
        <v>10173</v>
      </c>
      <c r="C484" s="80" t="s">
        <v>9331</v>
      </c>
      <c r="D484" s="81">
        <v>7.2460000000000004</v>
      </c>
    </row>
    <row r="485" spans="1:4" ht="18" x14ac:dyDescent="0.25">
      <c r="A485" s="80">
        <v>484</v>
      </c>
      <c r="B485" s="80" t="s">
        <v>10174</v>
      </c>
      <c r="C485" s="80" t="s">
        <v>9331</v>
      </c>
      <c r="D485" s="81">
        <v>7.8040000000000003</v>
      </c>
    </row>
    <row r="486" spans="1:4" ht="18" x14ac:dyDescent="0.25">
      <c r="A486" s="80">
        <v>485</v>
      </c>
      <c r="B486" s="80" t="s">
        <v>10175</v>
      </c>
      <c r="C486" s="80" t="s">
        <v>9331</v>
      </c>
      <c r="D486" s="81">
        <v>8.3610000000000007</v>
      </c>
    </row>
    <row r="487" spans="1:4" ht="18" x14ac:dyDescent="0.25">
      <c r="A487" s="80">
        <v>486</v>
      </c>
      <c r="B487" s="80" t="s">
        <v>10176</v>
      </c>
      <c r="C487" s="80" t="s">
        <v>9331</v>
      </c>
      <c r="D487" s="81">
        <v>8.9190000000000005</v>
      </c>
    </row>
    <row r="488" spans="1:4" ht="18" x14ac:dyDescent="0.25">
      <c r="A488" s="80">
        <v>487</v>
      </c>
      <c r="B488" s="80" t="s">
        <v>10177</v>
      </c>
      <c r="C488" s="80" t="s">
        <v>9331</v>
      </c>
      <c r="D488" s="81">
        <v>9.4760000000000009</v>
      </c>
    </row>
    <row r="489" spans="1:4" ht="18" x14ac:dyDescent="0.25">
      <c r="A489" s="80">
        <v>488</v>
      </c>
      <c r="B489" s="80" t="s">
        <v>10178</v>
      </c>
      <c r="C489" s="80" t="s">
        <v>9331</v>
      </c>
      <c r="D489" s="81">
        <v>10.034000000000001</v>
      </c>
    </row>
    <row r="490" spans="1:4" ht="18" x14ac:dyDescent="0.25">
      <c r="A490" s="80">
        <v>489</v>
      </c>
      <c r="B490" s="80" t="s">
        <v>10179</v>
      </c>
      <c r="C490" s="80" t="s">
        <v>9331</v>
      </c>
      <c r="D490" s="81">
        <v>10.590999999999999</v>
      </c>
    </row>
    <row r="491" spans="1:4" ht="18" x14ac:dyDescent="0.25">
      <c r="A491" s="80">
        <v>490</v>
      </c>
      <c r="B491" s="80" t="s">
        <v>10180</v>
      </c>
      <c r="C491" s="80" t="s">
        <v>9331</v>
      </c>
      <c r="D491" s="81">
        <v>11.148</v>
      </c>
    </row>
    <row r="492" spans="1:4" ht="18" x14ac:dyDescent="0.25">
      <c r="A492" s="80">
        <v>491</v>
      </c>
      <c r="B492" s="80" t="s">
        <v>10181</v>
      </c>
      <c r="C492" s="80" t="s">
        <v>9331</v>
      </c>
      <c r="D492" s="81">
        <v>11.706</v>
      </c>
    </row>
    <row r="493" spans="1:4" ht="18" x14ac:dyDescent="0.25">
      <c r="A493" s="80">
        <v>492</v>
      </c>
      <c r="B493" s="80" t="s">
        <v>10182</v>
      </c>
      <c r="C493" s="80" t="s">
        <v>9331</v>
      </c>
      <c r="D493" s="81">
        <v>12.263</v>
      </c>
    </row>
    <row r="494" spans="1:4" ht="18" x14ac:dyDescent="0.25">
      <c r="A494" s="80">
        <v>493</v>
      </c>
      <c r="B494" s="80" t="s">
        <v>10183</v>
      </c>
      <c r="C494" s="80" t="s">
        <v>9331</v>
      </c>
      <c r="D494" s="81">
        <v>12.821</v>
      </c>
    </row>
    <row r="495" spans="1:4" ht="18" x14ac:dyDescent="0.25">
      <c r="A495" s="80">
        <v>494</v>
      </c>
      <c r="B495" s="80" t="s">
        <v>10184</v>
      </c>
      <c r="C495" s="80" t="s">
        <v>9331</v>
      </c>
      <c r="D495" s="81">
        <v>13.378</v>
      </c>
    </row>
    <row r="496" spans="1:4" ht="18" x14ac:dyDescent="0.25">
      <c r="A496" s="80">
        <v>495</v>
      </c>
      <c r="B496" s="80" t="s">
        <v>10185</v>
      </c>
      <c r="C496" s="80" t="s">
        <v>9331</v>
      </c>
      <c r="D496" s="81">
        <v>5.7969999999999997</v>
      </c>
    </row>
    <row r="497" spans="1:4" ht="18" x14ac:dyDescent="0.25">
      <c r="A497" s="80">
        <v>496</v>
      </c>
      <c r="B497" s="80" t="s">
        <v>10186</v>
      </c>
      <c r="C497" s="80" t="s">
        <v>9331</v>
      </c>
      <c r="D497" s="81">
        <v>6.3769999999999998</v>
      </c>
    </row>
    <row r="498" spans="1:4" ht="18" x14ac:dyDescent="0.25">
      <c r="A498" s="80">
        <v>497</v>
      </c>
      <c r="B498" s="80" t="s">
        <v>10187</v>
      </c>
      <c r="C498" s="80" t="s">
        <v>9331</v>
      </c>
      <c r="D498" s="81">
        <v>6.9569999999999999</v>
      </c>
    </row>
    <row r="499" spans="1:4" ht="18" x14ac:dyDescent="0.25">
      <c r="A499" s="80">
        <v>498</v>
      </c>
      <c r="B499" s="80" t="s">
        <v>10188</v>
      </c>
      <c r="C499" s="80" t="s">
        <v>9331</v>
      </c>
      <c r="D499" s="81">
        <v>7.5359999999999996</v>
      </c>
    </row>
    <row r="500" spans="1:4" ht="18" x14ac:dyDescent="0.25">
      <c r="A500" s="80">
        <v>499</v>
      </c>
      <c r="B500" s="80" t="s">
        <v>10189</v>
      </c>
      <c r="C500" s="80" t="s">
        <v>9331</v>
      </c>
      <c r="D500" s="81">
        <v>8.1159999999999997</v>
      </c>
    </row>
    <row r="501" spans="1:4" ht="18" x14ac:dyDescent="0.25">
      <c r="A501" s="80">
        <v>500</v>
      </c>
      <c r="B501" s="80" t="s">
        <v>10190</v>
      </c>
      <c r="C501" s="80" t="s">
        <v>9331</v>
      </c>
      <c r="D501" s="81">
        <v>8.6959999999999997</v>
      </c>
    </row>
    <row r="502" spans="1:4" ht="18" x14ac:dyDescent="0.25">
      <c r="A502" s="80">
        <v>501</v>
      </c>
      <c r="B502" s="80" t="s">
        <v>10191</v>
      </c>
      <c r="C502" s="80" t="s">
        <v>9331</v>
      </c>
      <c r="D502" s="81">
        <v>9.2750000000000004</v>
      </c>
    </row>
    <row r="503" spans="1:4" ht="18" x14ac:dyDescent="0.25">
      <c r="A503" s="80">
        <v>502</v>
      </c>
      <c r="B503" s="80" t="s">
        <v>10192</v>
      </c>
      <c r="C503" s="80" t="s">
        <v>9331</v>
      </c>
      <c r="D503" s="81">
        <v>9.8550000000000004</v>
      </c>
    </row>
    <row r="504" spans="1:4" ht="18" x14ac:dyDescent="0.25">
      <c r="A504" s="80">
        <v>503</v>
      </c>
      <c r="B504" s="80" t="s">
        <v>10193</v>
      </c>
      <c r="C504" s="80" t="s">
        <v>9331</v>
      </c>
      <c r="D504" s="81">
        <v>10.435</v>
      </c>
    </row>
    <row r="505" spans="1:4" ht="18" x14ac:dyDescent="0.25">
      <c r="A505" s="80">
        <v>504</v>
      </c>
      <c r="B505" s="80" t="s">
        <v>10194</v>
      </c>
      <c r="C505" s="80" t="s">
        <v>9331</v>
      </c>
      <c r="D505" s="81">
        <v>11.015000000000001</v>
      </c>
    </row>
    <row r="506" spans="1:4" ht="18" x14ac:dyDescent="0.25">
      <c r="A506" s="80">
        <v>505</v>
      </c>
      <c r="B506" s="80" t="s">
        <v>10195</v>
      </c>
      <c r="C506" s="80" t="s">
        <v>9331</v>
      </c>
      <c r="D506" s="81">
        <v>11.593999999999999</v>
      </c>
    </row>
    <row r="507" spans="1:4" ht="18" x14ac:dyDescent="0.25">
      <c r="A507" s="80">
        <v>506</v>
      </c>
      <c r="B507" s="80" t="s">
        <v>10196</v>
      </c>
      <c r="C507" s="80" t="s">
        <v>9331</v>
      </c>
      <c r="D507" s="81">
        <v>12.173999999999999</v>
      </c>
    </row>
    <row r="508" spans="1:4" ht="18" x14ac:dyDescent="0.25">
      <c r="A508" s="80">
        <v>507</v>
      </c>
      <c r="B508" s="80" t="s">
        <v>10197</v>
      </c>
      <c r="C508" s="80" t="s">
        <v>9331</v>
      </c>
      <c r="D508" s="81">
        <v>12.754</v>
      </c>
    </row>
    <row r="509" spans="1:4" ht="18" x14ac:dyDescent="0.25">
      <c r="A509" s="80">
        <v>508</v>
      </c>
      <c r="B509" s="80" t="s">
        <v>10198</v>
      </c>
      <c r="C509" s="80" t="s">
        <v>9331</v>
      </c>
      <c r="D509" s="81">
        <v>13.333</v>
      </c>
    </row>
    <row r="510" spans="1:4" ht="18" x14ac:dyDescent="0.25">
      <c r="A510" s="80">
        <v>509</v>
      </c>
      <c r="B510" s="80" t="s">
        <v>9330</v>
      </c>
      <c r="C510" s="80" t="s">
        <v>9331</v>
      </c>
      <c r="D510" s="81">
        <v>13.913</v>
      </c>
    </row>
    <row r="511" spans="1:4" ht="18" x14ac:dyDescent="0.25">
      <c r="A511" s="80">
        <v>510</v>
      </c>
      <c r="B511" s="80" t="s">
        <v>10199</v>
      </c>
      <c r="C511" s="80" t="s">
        <v>9331</v>
      </c>
      <c r="D511" s="81">
        <v>5.9459999999999997</v>
      </c>
    </row>
    <row r="512" spans="1:4" ht="18" x14ac:dyDescent="0.25">
      <c r="A512" s="80">
        <v>511</v>
      </c>
      <c r="B512" s="80" t="s">
        <v>10200</v>
      </c>
      <c r="C512" s="80" t="s">
        <v>9331</v>
      </c>
      <c r="D512" s="81">
        <v>6.54</v>
      </c>
    </row>
    <row r="513" spans="1:4" ht="18" x14ac:dyDescent="0.25">
      <c r="A513" s="80">
        <v>512</v>
      </c>
      <c r="B513" s="80" t="s">
        <v>10201</v>
      </c>
      <c r="C513" s="80" t="s">
        <v>9331</v>
      </c>
      <c r="D513" s="81">
        <v>7.1349999999999998</v>
      </c>
    </row>
    <row r="514" spans="1:4" ht="18" x14ac:dyDescent="0.25">
      <c r="A514" s="80">
        <v>513</v>
      </c>
      <c r="B514" s="80" t="s">
        <v>10202</v>
      </c>
      <c r="C514" s="80" t="s">
        <v>9331</v>
      </c>
      <c r="D514" s="81">
        <v>7.73</v>
      </c>
    </row>
    <row r="515" spans="1:4" ht="18" x14ac:dyDescent="0.25">
      <c r="A515" s="80">
        <v>514</v>
      </c>
      <c r="B515" s="80" t="s">
        <v>10203</v>
      </c>
      <c r="C515" s="80" t="s">
        <v>9331</v>
      </c>
      <c r="D515" s="81">
        <v>8.3239999999999998</v>
      </c>
    </row>
    <row r="516" spans="1:4" ht="18" x14ac:dyDescent="0.25">
      <c r="A516" s="80">
        <v>515</v>
      </c>
      <c r="B516" s="80" t="s">
        <v>10204</v>
      </c>
      <c r="C516" s="80" t="s">
        <v>9331</v>
      </c>
      <c r="D516" s="81">
        <v>8.9190000000000005</v>
      </c>
    </row>
    <row r="517" spans="1:4" ht="18" x14ac:dyDescent="0.25">
      <c r="A517" s="80">
        <v>516</v>
      </c>
      <c r="B517" s="80" t="s">
        <v>10205</v>
      </c>
      <c r="C517" s="80" t="s">
        <v>9331</v>
      </c>
      <c r="D517" s="81">
        <v>9.5129999999999999</v>
      </c>
    </row>
    <row r="518" spans="1:4" ht="18" x14ac:dyDescent="0.25">
      <c r="A518" s="80">
        <v>517</v>
      </c>
      <c r="B518" s="80" t="s">
        <v>10206</v>
      </c>
      <c r="C518" s="80" t="s">
        <v>9331</v>
      </c>
      <c r="D518" s="81">
        <v>10.108000000000001</v>
      </c>
    </row>
    <row r="519" spans="1:4" ht="18" x14ac:dyDescent="0.25">
      <c r="A519" s="80">
        <v>518</v>
      </c>
      <c r="B519" s="80" t="s">
        <v>10207</v>
      </c>
      <c r="C519" s="80" t="s">
        <v>9331</v>
      </c>
      <c r="D519" s="81">
        <v>10.702</v>
      </c>
    </row>
    <row r="520" spans="1:4" ht="18" x14ac:dyDescent="0.25">
      <c r="A520" s="80">
        <v>519</v>
      </c>
      <c r="B520" s="80" t="s">
        <v>10208</v>
      </c>
      <c r="C520" s="80" t="s">
        <v>9331</v>
      </c>
      <c r="D520" s="81">
        <v>11.297000000000001</v>
      </c>
    </row>
    <row r="521" spans="1:4" ht="18" x14ac:dyDescent="0.25">
      <c r="A521" s="80">
        <v>520</v>
      </c>
      <c r="B521" s="80" t="s">
        <v>10209</v>
      </c>
      <c r="C521" s="80" t="s">
        <v>9331</v>
      </c>
      <c r="D521" s="81">
        <v>11.891999999999999</v>
      </c>
    </row>
    <row r="522" spans="1:4" ht="18" x14ac:dyDescent="0.25">
      <c r="A522" s="80">
        <v>521</v>
      </c>
      <c r="B522" s="80" t="s">
        <v>10210</v>
      </c>
      <c r="C522" s="80" t="s">
        <v>9331</v>
      </c>
      <c r="D522" s="81">
        <v>12.486000000000001</v>
      </c>
    </row>
    <row r="523" spans="1:4" ht="18" x14ac:dyDescent="0.25">
      <c r="A523" s="80">
        <v>522</v>
      </c>
      <c r="B523" s="80" t="s">
        <v>10211</v>
      </c>
      <c r="C523" s="80" t="s">
        <v>9331</v>
      </c>
      <c r="D523" s="81">
        <v>13.081</v>
      </c>
    </row>
    <row r="524" spans="1:4" ht="18" x14ac:dyDescent="0.25">
      <c r="A524" s="80">
        <v>523</v>
      </c>
      <c r="B524" s="80" t="s">
        <v>10212</v>
      </c>
      <c r="C524" s="80" t="s">
        <v>9331</v>
      </c>
      <c r="D524" s="81">
        <v>13.675000000000001</v>
      </c>
    </row>
    <row r="525" spans="1:4" ht="18" x14ac:dyDescent="0.25">
      <c r="A525" s="80">
        <v>524</v>
      </c>
      <c r="B525" s="80" t="s">
        <v>10213</v>
      </c>
      <c r="C525" s="80" t="s">
        <v>9331</v>
      </c>
      <c r="D525" s="81">
        <v>14.27</v>
      </c>
    </row>
    <row r="526" spans="1:4" ht="18" x14ac:dyDescent="0.25">
      <c r="A526" s="80">
        <v>525</v>
      </c>
      <c r="B526" s="80" t="s">
        <v>10214</v>
      </c>
      <c r="C526" s="80" t="s">
        <v>9331</v>
      </c>
      <c r="D526" s="81">
        <v>6.2430000000000003</v>
      </c>
    </row>
    <row r="527" spans="1:4" ht="18" x14ac:dyDescent="0.25">
      <c r="A527" s="80">
        <v>526</v>
      </c>
      <c r="B527" s="80" t="s">
        <v>10215</v>
      </c>
      <c r="C527" s="80" t="s">
        <v>9331</v>
      </c>
      <c r="D527" s="81">
        <v>6.867</v>
      </c>
    </row>
    <row r="528" spans="1:4" ht="18" x14ac:dyDescent="0.25">
      <c r="A528" s="80">
        <v>527</v>
      </c>
      <c r="B528" s="80" t="s">
        <v>10216</v>
      </c>
      <c r="C528" s="80" t="s">
        <v>9331</v>
      </c>
      <c r="D528" s="81">
        <v>7.492</v>
      </c>
    </row>
    <row r="529" spans="1:4" ht="18" x14ac:dyDescent="0.25">
      <c r="A529" s="80">
        <v>528</v>
      </c>
      <c r="B529" s="80" t="s">
        <v>10217</v>
      </c>
      <c r="C529" s="80" t="s">
        <v>9331</v>
      </c>
      <c r="D529" s="81">
        <v>8.1159999999999997</v>
      </c>
    </row>
    <row r="530" spans="1:4" ht="18" x14ac:dyDescent="0.25">
      <c r="A530" s="80">
        <v>529</v>
      </c>
      <c r="B530" s="80" t="s">
        <v>10218</v>
      </c>
      <c r="C530" s="80" t="s">
        <v>9331</v>
      </c>
      <c r="D530" s="81">
        <v>8.74</v>
      </c>
    </row>
    <row r="531" spans="1:4" ht="18" x14ac:dyDescent="0.25">
      <c r="A531" s="80">
        <v>530</v>
      </c>
      <c r="B531" s="80" t="s">
        <v>10219</v>
      </c>
      <c r="C531" s="80" t="s">
        <v>9331</v>
      </c>
      <c r="D531" s="81">
        <v>9.3650000000000002</v>
      </c>
    </row>
    <row r="532" spans="1:4" ht="18" x14ac:dyDescent="0.25">
      <c r="A532" s="80">
        <v>531</v>
      </c>
      <c r="B532" s="80" t="s">
        <v>10220</v>
      </c>
      <c r="C532" s="80" t="s">
        <v>9331</v>
      </c>
      <c r="D532" s="81">
        <v>9.9890000000000008</v>
      </c>
    </row>
    <row r="533" spans="1:4" ht="18" x14ac:dyDescent="0.25">
      <c r="A533" s="80">
        <v>532</v>
      </c>
      <c r="B533" s="80" t="s">
        <v>10221</v>
      </c>
      <c r="C533" s="80" t="s">
        <v>9331</v>
      </c>
      <c r="D533" s="81">
        <v>10.613</v>
      </c>
    </row>
    <row r="534" spans="1:4" ht="18" x14ac:dyDescent="0.25">
      <c r="A534" s="80">
        <v>533</v>
      </c>
      <c r="B534" s="80" t="s">
        <v>10222</v>
      </c>
      <c r="C534" s="80" t="s">
        <v>9331</v>
      </c>
      <c r="D534" s="81">
        <v>11.238</v>
      </c>
    </row>
    <row r="535" spans="1:4" ht="18" x14ac:dyDescent="0.25">
      <c r="A535" s="80">
        <v>534</v>
      </c>
      <c r="B535" s="80" t="s">
        <v>10223</v>
      </c>
      <c r="C535" s="80" t="s">
        <v>9331</v>
      </c>
      <c r="D535" s="81">
        <v>11.862</v>
      </c>
    </row>
    <row r="536" spans="1:4" ht="18" x14ac:dyDescent="0.25">
      <c r="A536" s="80">
        <v>535</v>
      </c>
      <c r="B536" s="80" t="s">
        <v>10224</v>
      </c>
      <c r="C536" s="80" t="s">
        <v>9331</v>
      </c>
      <c r="D536" s="81">
        <v>12.486000000000001</v>
      </c>
    </row>
    <row r="537" spans="1:4" ht="18" x14ac:dyDescent="0.25">
      <c r="A537" s="80">
        <v>536</v>
      </c>
      <c r="B537" s="80" t="s">
        <v>10225</v>
      </c>
      <c r="C537" s="80" t="s">
        <v>9331</v>
      </c>
      <c r="D537" s="81">
        <v>13.11</v>
      </c>
    </row>
    <row r="538" spans="1:4" ht="18" x14ac:dyDescent="0.25">
      <c r="A538" s="80">
        <v>537</v>
      </c>
      <c r="B538" s="80" t="s">
        <v>10226</v>
      </c>
      <c r="C538" s="80" t="s">
        <v>9331</v>
      </c>
      <c r="D538" s="81">
        <v>13.734999999999999</v>
      </c>
    </row>
    <row r="539" spans="1:4" ht="18" x14ac:dyDescent="0.25">
      <c r="A539" s="80">
        <v>538</v>
      </c>
      <c r="B539" s="80" t="s">
        <v>10227</v>
      </c>
      <c r="C539" s="80" t="s">
        <v>9331</v>
      </c>
      <c r="D539" s="81">
        <v>14.359</v>
      </c>
    </row>
    <row r="540" spans="1:4" ht="18" x14ac:dyDescent="0.25">
      <c r="A540" s="80">
        <v>539</v>
      </c>
      <c r="B540" s="80" t="s">
        <v>10228</v>
      </c>
      <c r="C540" s="80" t="s">
        <v>9331</v>
      </c>
      <c r="D540" s="81">
        <v>14.983000000000001</v>
      </c>
    </row>
    <row r="541" spans="1:4" ht="18" x14ac:dyDescent="0.25">
      <c r="A541" s="80">
        <v>540</v>
      </c>
      <c r="B541" s="80" t="s">
        <v>10229</v>
      </c>
      <c r="C541" s="80" t="s">
        <v>9331</v>
      </c>
      <c r="D541" s="81">
        <v>0.50600000000000001</v>
      </c>
    </row>
    <row r="542" spans="1:4" ht="18" x14ac:dyDescent="0.25">
      <c r="A542" s="80">
        <v>541</v>
      </c>
      <c r="B542" s="80" t="s">
        <v>10230</v>
      </c>
      <c r="C542" s="80" t="s">
        <v>9331</v>
      </c>
      <c r="D542" s="81">
        <v>1.0780000000000001</v>
      </c>
    </row>
    <row r="543" spans="1:4" ht="18" x14ac:dyDescent="0.25">
      <c r="A543" s="80">
        <v>542</v>
      </c>
      <c r="B543" s="80" t="s">
        <v>10231</v>
      </c>
      <c r="C543" s="80" t="s">
        <v>9331</v>
      </c>
      <c r="D543" s="81">
        <v>6.4660000000000002</v>
      </c>
    </row>
    <row r="544" spans="1:4" ht="18" x14ac:dyDescent="0.25">
      <c r="A544" s="80">
        <v>543</v>
      </c>
      <c r="B544" s="80" t="s">
        <v>10232</v>
      </c>
      <c r="C544" s="80" t="s">
        <v>9331</v>
      </c>
      <c r="D544" s="81">
        <v>7.1130000000000004</v>
      </c>
    </row>
    <row r="545" spans="1:4" ht="18" x14ac:dyDescent="0.25">
      <c r="A545" s="80">
        <v>544</v>
      </c>
      <c r="B545" s="80" t="s">
        <v>10233</v>
      </c>
      <c r="C545" s="80" t="s">
        <v>9331</v>
      </c>
      <c r="D545" s="81">
        <v>7.7590000000000003</v>
      </c>
    </row>
    <row r="546" spans="1:4" ht="18" x14ac:dyDescent="0.25">
      <c r="A546" s="80">
        <v>545</v>
      </c>
      <c r="B546" s="80" t="s">
        <v>10234</v>
      </c>
      <c r="C546" s="80" t="s">
        <v>9331</v>
      </c>
      <c r="D546" s="81">
        <v>8.4060000000000006</v>
      </c>
    </row>
    <row r="547" spans="1:4" ht="18" x14ac:dyDescent="0.25">
      <c r="A547" s="80">
        <v>546</v>
      </c>
      <c r="B547" s="80" t="s">
        <v>10235</v>
      </c>
      <c r="C547" s="80" t="s">
        <v>9331</v>
      </c>
      <c r="D547" s="81">
        <v>9.0519999999999996</v>
      </c>
    </row>
    <row r="548" spans="1:4" ht="18" x14ac:dyDescent="0.25">
      <c r="A548" s="80">
        <v>547</v>
      </c>
      <c r="B548" s="80" t="s">
        <v>10236</v>
      </c>
      <c r="C548" s="80" t="s">
        <v>9331</v>
      </c>
      <c r="D548" s="81">
        <v>9.6989999999999998</v>
      </c>
    </row>
    <row r="549" spans="1:4" ht="18" x14ac:dyDescent="0.25">
      <c r="A549" s="80">
        <v>548</v>
      </c>
      <c r="B549" s="80" t="s">
        <v>10237</v>
      </c>
      <c r="C549" s="80" t="s">
        <v>9331</v>
      </c>
      <c r="D549" s="81">
        <v>10.346</v>
      </c>
    </row>
    <row r="550" spans="1:4" ht="18" x14ac:dyDescent="0.25">
      <c r="A550" s="80">
        <v>549</v>
      </c>
      <c r="B550" s="80" t="s">
        <v>10238</v>
      </c>
      <c r="C550" s="80" t="s">
        <v>9331</v>
      </c>
      <c r="D550" s="81">
        <v>10.992000000000001</v>
      </c>
    </row>
    <row r="551" spans="1:4" ht="18" x14ac:dyDescent="0.25">
      <c r="A551" s="80">
        <v>550</v>
      </c>
      <c r="B551" s="80" t="s">
        <v>10239</v>
      </c>
      <c r="C551" s="80" t="s">
        <v>9331</v>
      </c>
      <c r="D551" s="81">
        <v>11.638999999999999</v>
      </c>
    </row>
    <row r="552" spans="1:4" ht="18" x14ac:dyDescent="0.25">
      <c r="A552" s="80">
        <v>551</v>
      </c>
      <c r="B552" s="80" t="s">
        <v>10240</v>
      </c>
      <c r="C552" s="80" t="s">
        <v>9331</v>
      </c>
      <c r="D552" s="81">
        <v>12.285</v>
      </c>
    </row>
    <row r="553" spans="1:4" ht="18" x14ac:dyDescent="0.25">
      <c r="A553" s="80">
        <v>552</v>
      </c>
      <c r="B553" s="80" t="s">
        <v>10241</v>
      </c>
      <c r="C553" s="80" t="s">
        <v>9331</v>
      </c>
      <c r="D553" s="81">
        <v>12.932</v>
      </c>
    </row>
    <row r="554" spans="1:4" ht="18" x14ac:dyDescent="0.25">
      <c r="A554" s="80">
        <v>553</v>
      </c>
      <c r="B554" s="80" t="s">
        <v>10242</v>
      </c>
      <c r="C554" s="80" t="s">
        <v>9331</v>
      </c>
      <c r="D554" s="81">
        <v>13.579000000000001</v>
      </c>
    </row>
    <row r="555" spans="1:4" ht="18" x14ac:dyDescent="0.25">
      <c r="A555" s="80">
        <v>554</v>
      </c>
      <c r="B555" s="80" t="s">
        <v>10243</v>
      </c>
      <c r="C555" s="80" t="s">
        <v>9331</v>
      </c>
      <c r="D555" s="81">
        <v>14.225</v>
      </c>
    </row>
    <row r="556" spans="1:4" ht="18" x14ac:dyDescent="0.25">
      <c r="A556" s="80">
        <v>555</v>
      </c>
      <c r="B556" s="80" t="s">
        <v>10244</v>
      </c>
      <c r="C556" s="80" t="s">
        <v>9331</v>
      </c>
      <c r="D556" s="81">
        <v>14.872</v>
      </c>
    </row>
    <row r="557" spans="1:4" ht="18" x14ac:dyDescent="0.25">
      <c r="A557" s="80">
        <v>556</v>
      </c>
      <c r="B557" s="80" t="s">
        <v>10245</v>
      </c>
      <c r="C557" s="80" t="s">
        <v>9331</v>
      </c>
      <c r="D557" s="81">
        <v>15.519</v>
      </c>
    </row>
    <row r="558" spans="1:4" ht="18" x14ac:dyDescent="0.25">
      <c r="A558" s="80">
        <v>557</v>
      </c>
      <c r="B558" s="80" t="s">
        <v>10246</v>
      </c>
      <c r="C558" s="80" t="s">
        <v>9331</v>
      </c>
      <c r="D558" s="81">
        <v>6.7350000000000003</v>
      </c>
    </row>
    <row r="559" spans="1:4" ht="18" x14ac:dyDescent="0.25">
      <c r="A559" s="80">
        <v>558</v>
      </c>
      <c r="B559" s="82" t="s">
        <v>10247</v>
      </c>
      <c r="C559" s="80" t="s">
        <v>9331</v>
      </c>
      <c r="D559" s="83">
        <v>7.4089999999999998</v>
      </c>
    </row>
    <row r="560" spans="1:4" ht="18" x14ac:dyDescent="0.25">
      <c r="A560" s="80">
        <v>559</v>
      </c>
      <c r="B560" s="80" t="s">
        <v>10248</v>
      </c>
      <c r="C560" s="80" t="s">
        <v>9331</v>
      </c>
      <c r="D560" s="81">
        <v>8.0830000000000002</v>
      </c>
    </row>
    <row r="561" spans="1:4" ht="18" x14ac:dyDescent="0.25">
      <c r="A561" s="80">
        <v>560</v>
      </c>
      <c r="B561" s="80" t="s">
        <v>10249</v>
      </c>
      <c r="C561" s="80" t="s">
        <v>9331</v>
      </c>
      <c r="D561" s="81">
        <v>8.7560000000000002</v>
      </c>
    </row>
    <row r="562" spans="1:4" ht="18" x14ac:dyDescent="0.25">
      <c r="A562" s="80">
        <v>561</v>
      </c>
      <c r="B562" s="80" t="s">
        <v>10250</v>
      </c>
      <c r="C562" s="80" t="s">
        <v>9331</v>
      </c>
      <c r="D562" s="81">
        <v>9.43</v>
      </c>
    </row>
    <row r="563" spans="1:4" ht="18" x14ac:dyDescent="0.25">
      <c r="A563" s="80">
        <v>562</v>
      </c>
      <c r="B563" s="80" t="s">
        <v>10251</v>
      </c>
      <c r="C563" s="80" t="s">
        <v>9331</v>
      </c>
      <c r="D563" s="81">
        <v>10.103</v>
      </c>
    </row>
    <row r="564" spans="1:4" ht="18" x14ac:dyDescent="0.25">
      <c r="A564" s="80">
        <v>563</v>
      </c>
      <c r="B564" s="80" t="s">
        <v>10252</v>
      </c>
      <c r="C564" s="80" t="s">
        <v>9331</v>
      </c>
      <c r="D564" s="81">
        <v>10.776999999999999</v>
      </c>
    </row>
    <row r="565" spans="1:4" ht="18" x14ac:dyDescent="0.25">
      <c r="A565" s="80">
        <v>564</v>
      </c>
      <c r="B565" s="80" t="s">
        <v>10253</v>
      </c>
      <c r="C565" s="80" t="s">
        <v>9331</v>
      </c>
      <c r="D565" s="81">
        <v>11.45</v>
      </c>
    </row>
    <row r="566" spans="1:4" ht="18" x14ac:dyDescent="0.25">
      <c r="A566" s="80">
        <v>565</v>
      </c>
      <c r="B566" s="80" t="s">
        <v>10254</v>
      </c>
      <c r="C566" s="80" t="s">
        <v>9331</v>
      </c>
      <c r="D566" s="81">
        <v>12.124000000000001</v>
      </c>
    </row>
    <row r="567" spans="1:4" ht="18" x14ac:dyDescent="0.25">
      <c r="A567" s="80">
        <v>566</v>
      </c>
      <c r="B567" s="80" t="s">
        <v>10255</v>
      </c>
      <c r="C567" s="80" t="s">
        <v>9331</v>
      </c>
      <c r="D567" s="81">
        <v>12.797000000000001</v>
      </c>
    </row>
    <row r="568" spans="1:4" ht="18" x14ac:dyDescent="0.25">
      <c r="A568" s="80">
        <v>567</v>
      </c>
      <c r="B568" s="80" t="s">
        <v>10256</v>
      </c>
      <c r="C568" s="80" t="s">
        <v>9331</v>
      </c>
      <c r="D568" s="81">
        <v>13.471</v>
      </c>
    </row>
    <row r="569" spans="1:4" ht="18" x14ac:dyDescent="0.25">
      <c r="A569" s="80">
        <v>568</v>
      </c>
      <c r="B569" s="80" t="s">
        <v>10257</v>
      </c>
      <c r="C569" s="80" t="s">
        <v>9331</v>
      </c>
      <c r="D569" s="81">
        <v>14.144</v>
      </c>
    </row>
    <row r="570" spans="1:4" ht="18" x14ac:dyDescent="0.25">
      <c r="A570" s="80">
        <v>569</v>
      </c>
      <c r="B570" s="80" t="s">
        <v>10258</v>
      </c>
      <c r="C570" s="80" t="s">
        <v>9331</v>
      </c>
      <c r="D570" s="81">
        <v>14.818</v>
      </c>
    </row>
    <row r="571" spans="1:4" ht="18" x14ac:dyDescent="0.25">
      <c r="A571" s="80">
        <v>570</v>
      </c>
      <c r="B571" s="80" t="s">
        <v>10259</v>
      </c>
      <c r="C571" s="80" t="s">
        <v>9331</v>
      </c>
      <c r="D571" s="81">
        <v>15.492000000000001</v>
      </c>
    </row>
    <row r="572" spans="1:4" ht="18" x14ac:dyDescent="0.25">
      <c r="A572" s="80">
        <v>571</v>
      </c>
      <c r="B572" s="80" t="s">
        <v>10260</v>
      </c>
      <c r="C572" s="80" t="s">
        <v>9331</v>
      </c>
      <c r="D572" s="81">
        <v>16.164999999999999</v>
      </c>
    </row>
    <row r="573" spans="1:4" ht="18" x14ac:dyDescent="0.25">
      <c r="A573" s="80">
        <v>572</v>
      </c>
      <c r="B573" s="80" t="s">
        <v>10261</v>
      </c>
      <c r="C573" s="80" t="s">
        <v>9331</v>
      </c>
      <c r="D573" s="81">
        <v>7.0049999999999999</v>
      </c>
    </row>
    <row r="574" spans="1:4" ht="18" x14ac:dyDescent="0.25">
      <c r="A574" s="80">
        <v>573</v>
      </c>
      <c r="B574" s="80" t="s">
        <v>10262</v>
      </c>
      <c r="C574" s="80" t="s">
        <v>9331</v>
      </c>
      <c r="D574" s="81">
        <v>7.7050000000000001</v>
      </c>
    </row>
    <row r="575" spans="1:4" ht="18" x14ac:dyDescent="0.25">
      <c r="A575" s="80">
        <v>574</v>
      </c>
      <c r="B575" s="80" t="s">
        <v>10263</v>
      </c>
      <c r="C575" s="80" t="s">
        <v>9331</v>
      </c>
      <c r="D575" s="81">
        <v>8.4060000000000006</v>
      </c>
    </row>
    <row r="576" spans="1:4" ht="18" x14ac:dyDescent="0.25">
      <c r="A576" s="80">
        <v>575</v>
      </c>
      <c r="B576" s="80" t="s">
        <v>10264</v>
      </c>
      <c r="C576" s="80" t="s">
        <v>9331</v>
      </c>
      <c r="D576" s="81">
        <v>9.1059999999999999</v>
      </c>
    </row>
    <row r="577" spans="1:4" ht="18" x14ac:dyDescent="0.25">
      <c r="A577" s="80">
        <v>576</v>
      </c>
      <c r="B577" s="80" t="s">
        <v>10265</v>
      </c>
      <c r="C577" s="80" t="s">
        <v>9331</v>
      </c>
      <c r="D577" s="81">
        <v>9.8070000000000004</v>
      </c>
    </row>
    <row r="578" spans="1:4" ht="18" x14ac:dyDescent="0.25">
      <c r="A578" s="80">
        <v>577</v>
      </c>
      <c r="B578" s="80" t="s">
        <v>10266</v>
      </c>
      <c r="C578" s="80" t="s">
        <v>9331</v>
      </c>
      <c r="D578" s="81">
        <v>10.507</v>
      </c>
    </row>
    <row r="579" spans="1:4" ht="18" x14ac:dyDescent="0.25">
      <c r="A579" s="80">
        <v>578</v>
      </c>
      <c r="B579" s="80" t="s">
        <v>10267</v>
      </c>
      <c r="C579" s="80" t="s">
        <v>9331</v>
      </c>
      <c r="D579" s="81">
        <v>11.208</v>
      </c>
    </row>
    <row r="580" spans="1:4" ht="18" x14ac:dyDescent="0.25">
      <c r="A580" s="80">
        <v>579</v>
      </c>
      <c r="B580" s="80" t="s">
        <v>10268</v>
      </c>
      <c r="C580" s="80" t="s">
        <v>9331</v>
      </c>
      <c r="D580" s="81">
        <v>11.907999999999999</v>
      </c>
    </row>
    <row r="581" spans="1:4" ht="18" x14ac:dyDescent="0.25">
      <c r="A581" s="80">
        <v>580</v>
      </c>
      <c r="B581" s="80" t="s">
        <v>10269</v>
      </c>
      <c r="C581" s="80" t="s">
        <v>9331</v>
      </c>
      <c r="D581" s="81">
        <v>12.609</v>
      </c>
    </row>
    <row r="582" spans="1:4" ht="18" x14ac:dyDescent="0.25">
      <c r="A582" s="80">
        <v>581</v>
      </c>
      <c r="B582" s="80" t="s">
        <v>10270</v>
      </c>
      <c r="C582" s="80" t="s">
        <v>9331</v>
      </c>
      <c r="D582" s="81">
        <v>13.308999999999999</v>
      </c>
    </row>
    <row r="583" spans="1:4" ht="18" x14ac:dyDescent="0.25">
      <c r="A583" s="80">
        <v>582</v>
      </c>
      <c r="B583" s="80" t="s">
        <v>10271</v>
      </c>
      <c r="C583" s="80" t="s">
        <v>9331</v>
      </c>
      <c r="D583" s="81">
        <v>14.01</v>
      </c>
    </row>
    <row r="584" spans="1:4" ht="18" x14ac:dyDescent="0.25">
      <c r="A584" s="80">
        <v>583</v>
      </c>
      <c r="B584" s="80" t="s">
        <v>10272</v>
      </c>
      <c r="C584" s="80" t="s">
        <v>9331</v>
      </c>
      <c r="D584" s="81">
        <v>14.71</v>
      </c>
    </row>
    <row r="585" spans="1:4" ht="18" x14ac:dyDescent="0.25">
      <c r="A585" s="80">
        <v>584</v>
      </c>
      <c r="B585" s="80" t="s">
        <v>10273</v>
      </c>
      <c r="C585" s="80" t="s">
        <v>9331</v>
      </c>
      <c r="D585" s="81">
        <v>15.411</v>
      </c>
    </row>
    <row r="586" spans="1:4" ht="18" x14ac:dyDescent="0.25">
      <c r="A586" s="80">
        <v>585</v>
      </c>
      <c r="B586" s="80" t="s">
        <v>10274</v>
      </c>
      <c r="C586" s="80" t="s">
        <v>9331</v>
      </c>
      <c r="D586" s="81">
        <v>16.111000000000001</v>
      </c>
    </row>
    <row r="587" spans="1:4" ht="18" x14ac:dyDescent="0.25">
      <c r="A587" s="80">
        <v>586</v>
      </c>
      <c r="B587" s="80" t="s">
        <v>9333</v>
      </c>
      <c r="C587" s="80" t="s">
        <v>9331</v>
      </c>
      <c r="D587" s="81">
        <v>16.812000000000001</v>
      </c>
    </row>
    <row r="588" spans="1:4" ht="18" x14ac:dyDescent="0.25">
      <c r="A588" s="80">
        <v>587</v>
      </c>
      <c r="B588" s="80" t="s">
        <v>10275</v>
      </c>
      <c r="C588" s="80" t="s">
        <v>9331</v>
      </c>
      <c r="D588" s="81">
        <v>7.1849999999999996</v>
      </c>
    </row>
    <row r="589" spans="1:4" ht="18" x14ac:dyDescent="0.25">
      <c r="A589" s="80">
        <v>588</v>
      </c>
      <c r="B589" s="80" t="s">
        <v>10276</v>
      </c>
      <c r="C589" s="80" t="s">
        <v>9331</v>
      </c>
      <c r="D589" s="81">
        <v>7.9029999999999996</v>
      </c>
    </row>
    <row r="590" spans="1:4" ht="18" x14ac:dyDescent="0.25">
      <c r="A590" s="80">
        <v>589</v>
      </c>
      <c r="B590" s="80" t="s">
        <v>10277</v>
      </c>
      <c r="C590" s="80" t="s">
        <v>9331</v>
      </c>
      <c r="D590" s="81">
        <v>8.6210000000000004</v>
      </c>
    </row>
    <row r="591" spans="1:4" ht="18" x14ac:dyDescent="0.25">
      <c r="A591" s="80">
        <v>590</v>
      </c>
      <c r="B591" s="80" t="s">
        <v>10278</v>
      </c>
      <c r="C591" s="80" t="s">
        <v>9331</v>
      </c>
      <c r="D591" s="81">
        <v>9.34</v>
      </c>
    </row>
    <row r="592" spans="1:4" ht="18" x14ac:dyDescent="0.25">
      <c r="A592" s="80">
        <v>591</v>
      </c>
      <c r="B592" s="80" t="s">
        <v>10279</v>
      </c>
      <c r="C592" s="80" t="s">
        <v>9331</v>
      </c>
      <c r="D592" s="81">
        <v>10.058</v>
      </c>
    </row>
    <row r="593" spans="1:4" ht="18" x14ac:dyDescent="0.25">
      <c r="A593" s="80">
        <v>592</v>
      </c>
      <c r="B593" s="80" t="s">
        <v>10280</v>
      </c>
      <c r="C593" s="80" t="s">
        <v>9331</v>
      </c>
      <c r="D593" s="81">
        <v>10.776999999999999</v>
      </c>
    </row>
    <row r="594" spans="1:4" ht="18" x14ac:dyDescent="0.25">
      <c r="A594" s="80">
        <v>593</v>
      </c>
      <c r="B594" s="80" t="s">
        <v>10281</v>
      </c>
      <c r="C594" s="80" t="s">
        <v>9331</v>
      </c>
      <c r="D594" s="81">
        <v>11.494999999999999</v>
      </c>
    </row>
    <row r="595" spans="1:4" ht="18" x14ac:dyDescent="0.25">
      <c r="A595" s="80">
        <v>594</v>
      </c>
      <c r="B595" s="80" t="s">
        <v>10282</v>
      </c>
      <c r="C595" s="80" t="s">
        <v>9331</v>
      </c>
      <c r="D595" s="81">
        <v>12.214</v>
      </c>
    </row>
    <row r="596" spans="1:4" ht="18" x14ac:dyDescent="0.25">
      <c r="A596" s="80">
        <v>595</v>
      </c>
      <c r="B596" s="80" t="s">
        <v>10283</v>
      </c>
      <c r="C596" s="80" t="s">
        <v>9331</v>
      </c>
      <c r="D596" s="81">
        <v>12.932</v>
      </c>
    </row>
    <row r="597" spans="1:4" ht="18" x14ac:dyDescent="0.25">
      <c r="A597" s="80">
        <v>596</v>
      </c>
      <c r="B597" s="80" t="s">
        <v>10284</v>
      </c>
      <c r="C597" s="80" t="s">
        <v>9331</v>
      </c>
      <c r="D597" s="81">
        <v>13.651</v>
      </c>
    </row>
    <row r="598" spans="1:4" ht="18" x14ac:dyDescent="0.25">
      <c r="A598" s="80">
        <v>597</v>
      </c>
      <c r="B598" s="80" t="s">
        <v>10285</v>
      </c>
      <c r="C598" s="80" t="s">
        <v>9331</v>
      </c>
      <c r="D598" s="81">
        <v>14.369</v>
      </c>
    </row>
    <row r="599" spans="1:4" ht="18" x14ac:dyDescent="0.25">
      <c r="A599" s="80">
        <v>598</v>
      </c>
      <c r="B599" s="80" t="s">
        <v>10286</v>
      </c>
      <c r="C599" s="80" t="s">
        <v>9331</v>
      </c>
      <c r="D599" s="81">
        <v>15.087</v>
      </c>
    </row>
    <row r="600" spans="1:4" ht="18" x14ac:dyDescent="0.25">
      <c r="A600" s="80">
        <v>599</v>
      </c>
      <c r="B600" s="80" t="s">
        <v>10287</v>
      </c>
      <c r="C600" s="80" t="s">
        <v>9331</v>
      </c>
      <c r="D600" s="81">
        <v>15.805999999999999</v>
      </c>
    </row>
    <row r="601" spans="1:4" ht="18" x14ac:dyDescent="0.25">
      <c r="A601" s="80">
        <v>600</v>
      </c>
      <c r="B601" s="80" t="s">
        <v>10288</v>
      </c>
      <c r="C601" s="80" t="s">
        <v>9331</v>
      </c>
      <c r="D601" s="81">
        <v>16.524000000000001</v>
      </c>
    </row>
    <row r="602" spans="1:4" ht="18" x14ac:dyDescent="0.25">
      <c r="A602" s="80">
        <v>601</v>
      </c>
      <c r="B602" s="80" t="s">
        <v>10289</v>
      </c>
      <c r="C602" s="80" t="s">
        <v>9331</v>
      </c>
      <c r="D602" s="81">
        <v>17.242999999999999</v>
      </c>
    </row>
    <row r="603" spans="1:4" ht="18" x14ac:dyDescent="0.25">
      <c r="A603" s="80">
        <v>602</v>
      </c>
      <c r="B603" s="80" t="s">
        <v>10290</v>
      </c>
      <c r="C603" s="80" t="s">
        <v>9331</v>
      </c>
      <c r="D603" s="81">
        <v>7.5439999999999996</v>
      </c>
    </row>
    <row r="604" spans="1:4" ht="18" x14ac:dyDescent="0.25">
      <c r="A604" s="80">
        <v>603</v>
      </c>
      <c r="B604" s="80" t="s">
        <v>10291</v>
      </c>
      <c r="C604" s="80" t="s">
        <v>9331</v>
      </c>
      <c r="D604" s="81">
        <v>8.298</v>
      </c>
    </row>
    <row r="605" spans="1:4" ht="18" x14ac:dyDescent="0.25">
      <c r="A605" s="80">
        <v>604</v>
      </c>
      <c r="B605" s="80" t="s">
        <v>10292</v>
      </c>
      <c r="C605" s="80" t="s">
        <v>9331</v>
      </c>
      <c r="D605" s="81">
        <v>9.0519999999999996</v>
      </c>
    </row>
    <row r="606" spans="1:4" ht="18" x14ac:dyDescent="0.25">
      <c r="A606" s="80">
        <v>605</v>
      </c>
      <c r="B606" s="80" t="s">
        <v>10293</v>
      </c>
      <c r="C606" s="80" t="s">
        <v>9331</v>
      </c>
      <c r="D606" s="81">
        <v>9.8070000000000004</v>
      </c>
    </row>
    <row r="607" spans="1:4" ht="18" x14ac:dyDescent="0.25">
      <c r="A607" s="80">
        <v>606</v>
      </c>
      <c r="B607" s="80" t="s">
        <v>10294</v>
      </c>
      <c r="C607" s="80" t="s">
        <v>9331</v>
      </c>
      <c r="D607" s="81">
        <v>10.561</v>
      </c>
    </row>
    <row r="608" spans="1:4" ht="18" x14ac:dyDescent="0.25">
      <c r="A608" s="80">
        <v>607</v>
      </c>
      <c r="B608" s="80" t="s">
        <v>10295</v>
      </c>
      <c r="C608" s="80" t="s">
        <v>9331</v>
      </c>
      <c r="D608" s="81">
        <v>11.316000000000001</v>
      </c>
    </row>
    <row r="609" spans="1:4" ht="18" x14ac:dyDescent="0.25">
      <c r="A609" s="80">
        <v>608</v>
      </c>
      <c r="B609" s="80" t="s">
        <v>10296</v>
      </c>
      <c r="C609" s="80" t="s">
        <v>9331</v>
      </c>
      <c r="D609" s="81">
        <v>12.07</v>
      </c>
    </row>
    <row r="610" spans="1:4" ht="18" x14ac:dyDescent="0.25">
      <c r="A610" s="80">
        <v>609</v>
      </c>
      <c r="B610" s="80" t="s">
        <v>10297</v>
      </c>
      <c r="C610" s="80" t="s">
        <v>9331</v>
      </c>
      <c r="D610" s="81">
        <v>12.824</v>
      </c>
    </row>
    <row r="611" spans="1:4" ht="18" x14ac:dyDescent="0.25">
      <c r="A611" s="80">
        <v>610</v>
      </c>
      <c r="B611" s="80" t="s">
        <v>10298</v>
      </c>
      <c r="C611" s="80" t="s">
        <v>9331</v>
      </c>
      <c r="D611" s="81">
        <v>13.579000000000001</v>
      </c>
    </row>
    <row r="612" spans="1:4" ht="18" x14ac:dyDescent="0.25">
      <c r="A612" s="80">
        <v>611</v>
      </c>
      <c r="B612" s="80" t="s">
        <v>10299</v>
      </c>
      <c r="C612" s="80" t="s">
        <v>9331</v>
      </c>
      <c r="D612" s="81">
        <v>14.333</v>
      </c>
    </row>
    <row r="613" spans="1:4" ht="18" x14ac:dyDescent="0.25">
      <c r="A613" s="80">
        <v>612</v>
      </c>
      <c r="B613" s="80" t="s">
        <v>10300</v>
      </c>
      <c r="C613" s="80" t="s">
        <v>9331</v>
      </c>
      <c r="D613" s="81">
        <v>15.087</v>
      </c>
    </row>
    <row r="614" spans="1:4" ht="18" x14ac:dyDescent="0.25">
      <c r="A614" s="80">
        <v>613</v>
      </c>
      <c r="B614" s="80" t="s">
        <v>10301</v>
      </c>
      <c r="C614" s="80" t="s">
        <v>9331</v>
      </c>
      <c r="D614" s="81">
        <v>15.842000000000001</v>
      </c>
    </row>
    <row r="615" spans="1:4" ht="18" x14ac:dyDescent="0.25">
      <c r="A615" s="80">
        <v>614</v>
      </c>
      <c r="B615" s="80" t="s">
        <v>10302</v>
      </c>
      <c r="C615" s="80" t="s">
        <v>9331</v>
      </c>
      <c r="D615" s="81">
        <v>16.596</v>
      </c>
    </row>
    <row r="616" spans="1:4" ht="18" x14ac:dyDescent="0.25">
      <c r="A616" s="80">
        <v>615</v>
      </c>
      <c r="B616" s="80" t="s">
        <v>10303</v>
      </c>
      <c r="C616" s="80" t="s">
        <v>9331</v>
      </c>
      <c r="D616" s="81">
        <v>17.350999999999999</v>
      </c>
    </row>
    <row r="617" spans="1:4" ht="18" x14ac:dyDescent="0.25">
      <c r="A617" s="80">
        <v>616</v>
      </c>
      <c r="B617" s="80" t="s">
        <v>10304</v>
      </c>
      <c r="C617" s="80" t="s">
        <v>9331</v>
      </c>
      <c r="D617" s="81">
        <v>18.105</v>
      </c>
    </row>
    <row r="618" spans="1:4" ht="18" x14ac:dyDescent="0.25">
      <c r="A618" s="80">
        <v>617</v>
      </c>
      <c r="B618" s="80" t="s">
        <v>10305</v>
      </c>
      <c r="C618" s="80" t="s">
        <v>9331</v>
      </c>
      <c r="D618" s="81">
        <v>0.68</v>
      </c>
    </row>
    <row r="619" spans="1:4" ht="18" x14ac:dyDescent="0.25">
      <c r="A619" s="80">
        <v>618</v>
      </c>
      <c r="B619" s="80" t="s">
        <v>10306</v>
      </c>
      <c r="C619" s="80" t="s">
        <v>9331</v>
      </c>
      <c r="D619" s="81">
        <v>1.4490000000000001</v>
      </c>
    </row>
    <row r="620" spans="1:4" ht="18" x14ac:dyDescent="0.25">
      <c r="A620" s="80">
        <v>619</v>
      </c>
      <c r="B620" s="80" t="s">
        <v>10307</v>
      </c>
      <c r="C620" s="80" t="s">
        <v>9331</v>
      </c>
      <c r="D620" s="81">
        <v>8.6959999999999997</v>
      </c>
    </row>
    <row r="621" spans="1:4" ht="18" x14ac:dyDescent="0.25">
      <c r="A621" s="80">
        <v>620</v>
      </c>
      <c r="B621" s="80" t="s">
        <v>10308</v>
      </c>
      <c r="C621" s="80" t="s">
        <v>9331</v>
      </c>
      <c r="D621" s="81">
        <v>9.5649999999999995</v>
      </c>
    </row>
    <row r="622" spans="1:4" ht="18" x14ac:dyDescent="0.25">
      <c r="A622" s="80">
        <v>621</v>
      </c>
      <c r="B622" s="80" t="s">
        <v>10309</v>
      </c>
      <c r="C622" s="80" t="s">
        <v>9331</v>
      </c>
      <c r="D622" s="81">
        <v>10.435</v>
      </c>
    </row>
    <row r="623" spans="1:4" ht="18" x14ac:dyDescent="0.25">
      <c r="A623" s="80">
        <v>622</v>
      </c>
      <c r="B623" s="80" t="s">
        <v>10310</v>
      </c>
      <c r="C623" s="80" t="s">
        <v>9331</v>
      </c>
      <c r="D623" s="81">
        <v>11.304</v>
      </c>
    </row>
    <row r="624" spans="1:4" ht="18" x14ac:dyDescent="0.25">
      <c r="A624" s="80">
        <v>623</v>
      </c>
      <c r="B624" s="80" t="s">
        <v>10311</v>
      </c>
      <c r="C624" s="80" t="s">
        <v>9331</v>
      </c>
      <c r="D624" s="81">
        <v>12.173999999999999</v>
      </c>
    </row>
    <row r="625" spans="1:4" ht="18" x14ac:dyDescent="0.25">
      <c r="A625" s="80">
        <v>624</v>
      </c>
      <c r="B625" s="80" t="s">
        <v>10312</v>
      </c>
      <c r="C625" s="80" t="s">
        <v>9331</v>
      </c>
      <c r="D625" s="81">
        <v>13.044</v>
      </c>
    </row>
    <row r="626" spans="1:4" ht="18" x14ac:dyDescent="0.25">
      <c r="A626" s="80">
        <v>625</v>
      </c>
      <c r="B626" s="80" t="s">
        <v>10313</v>
      </c>
      <c r="C626" s="80" t="s">
        <v>9331</v>
      </c>
      <c r="D626" s="81">
        <v>13.913</v>
      </c>
    </row>
    <row r="627" spans="1:4" ht="18" x14ac:dyDescent="0.25">
      <c r="A627" s="80">
        <v>626</v>
      </c>
      <c r="B627" s="80" t="s">
        <v>10314</v>
      </c>
      <c r="C627" s="80" t="s">
        <v>9331</v>
      </c>
      <c r="D627" s="81">
        <v>14.782999999999999</v>
      </c>
    </row>
    <row r="628" spans="1:4" ht="18" x14ac:dyDescent="0.25">
      <c r="A628" s="80">
        <v>627</v>
      </c>
      <c r="B628" s="80" t="s">
        <v>10315</v>
      </c>
      <c r="C628" s="80" t="s">
        <v>9331</v>
      </c>
      <c r="D628" s="81">
        <v>15.651999999999999</v>
      </c>
    </row>
    <row r="629" spans="1:4" ht="18" x14ac:dyDescent="0.25">
      <c r="A629" s="80">
        <v>628</v>
      </c>
      <c r="B629" s="80" t="s">
        <v>10316</v>
      </c>
      <c r="C629" s="80" t="s">
        <v>9331</v>
      </c>
      <c r="D629" s="81">
        <v>16.521999999999998</v>
      </c>
    </row>
    <row r="630" spans="1:4" ht="18" x14ac:dyDescent="0.25">
      <c r="A630" s="80">
        <v>629</v>
      </c>
      <c r="B630" s="80" t="s">
        <v>10317</v>
      </c>
      <c r="C630" s="80" t="s">
        <v>9331</v>
      </c>
      <c r="D630" s="81">
        <v>17.390999999999998</v>
      </c>
    </row>
    <row r="631" spans="1:4" ht="18" x14ac:dyDescent="0.25">
      <c r="A631" s="80">
        <v>630</v>
      </c>
      <c r="B631" s="80" t="s">
        <v>10318</v>
      </c>
      <c r="C631" s="80" t="s">
        <v>9331</v>
      </c>
      <c r="D631" s="81">
        <v>18.260999999999999</v>
      </c>
    </row>
    <row r="632" spans="1:4" ht="18" x14ac:dyDescent="0.25">
      <c r="A632" s="80">
        <v>631</v>
      </c>
      <c r="B632" s="80" t="s">
        <v>10319</v>
      </c>
      <c r="C632" s="80" t="s">
        <v>9331</v>
      </c>
      <c r="D632" s="81">
        <v>19.131</v>
      </c>
    </row>
    <row r="633" spans="1:4" ht="18" x14ac:dyDescent="0.25">
      <c r="A633" s="80">
        <v>632</v>
      </c>
      <c r="B633" s="80" t="s">
        <v>10320</v>
      </c>
      <c r="C633" s="80" t="s">
        <v>9331</v>
      </c>
      <c r="D633" s="81">
        <v>20</v>
      </c>
    </row>
    <row r="634" spans="1:4" ht="18" x14ac:dyDescent="0.25">
      <c r="A634" s="80">
        <v>633</v>
      </c>
      <c r="B634" s="80" t="s">
        <v>10321</v>
      </c>
      <c r="C634" s="80" t="s">
        <v>9331</v>
      </c>
      <c r="D634" s="81">
        <v>20.87</v>
      </c>
    </row>
    <row r="635" spans="1:4" ht="18" x14ac:dyDescent="0.25">
      <c r="A635" s="80">
        <v>634</v>
      </c>
      <c r="B635" s="80" t="s">
        <v>10322</v>
      </c>
      <c r="C635" s="80" t="s">
        <v>9331</v>
      </c>
      <c r="D635" s="81">
        <v>9.0579999999999998</v>
      </c>
    </row>
    <row r="636" spans="1:4" ht="18" x14ac:dyDescent="0.25">
      <c r="A636" s="80">
        <v>635</v>
      </c>
      <c r="B636" s="80" t="s">
        <v>10323</v>
      </c>
      <c r="C636" s="80" t="s">
        <v>9331</v>
      </c>
      <c r="D636" s="81">
        <v>9.9640000000000004</v>
      </c>
    </row>
    <row r="637" spans="1:4" ht="18" x14ac:dyDescent="0.25">
      <c r="A637" s="80">
        <v>636</v>
      </c>
      <c r="B637" s="80" t="s">
        <v>10324</v>
      </c>
      <c r="C637" s="80" t="s">
        <v>9331</v>
      </c>
      <c r="D637" s="81">
        <v>10.87</v>
      </c>
    </row>
    <row r="638" spans="1:4" ht="18" x14ac:dyDescent="0.25">
      <c r="A638" s="80">
        <v>637</v>
      </c>
      <c r="B638" s="80" t="s">
        <v>10325</v>
      </c>
      <c r="C638" s="80" t="s">
        <v>9331</v>
      </c>
      <c r="D638" s="81">
        <v>11.775</v>
      </c>
    </row>
    <row r="639" spans="1:4" ht="18" x14ac:dyDescent="0.25">
      <c r="A639" s="80">
        <v>638</v>
      </c>
      <c r="B639" s="80" t="s">
        <v>10326</v>
      </c>
      <c r="C639" s="80" t="s">
        <v>9331</v>
      </c>
      <c r="D639" s="81">
        <v>12.680999999999999</v>
      </c>
    </row>
    <row r="640" spans="1:4" ht="18" x14ac:dyDescent="0.25">
      <c r="A640" s="80">
        <v>639</v>
      </c>
      <c r="B640" s="80" t="s">
        <v>10327</v>
      </c>
      <c r="C640" s="80" t="s">
        <v>9331</v>
      </c>
      <c r="D640" s="81">
        <v>13.587</v>
      </c>
    </row>
    <row r="641" spans="1:4" ht="18" x14ac:dyDescent="0.25">
      <c r="A641" s="80">
        <v>640</v>
      </c>
      <c r="B641" s="80" t="s">
        <v>10328</v>
      </c>
      <c r="C641" s="80" t="s">
        <v>9331</v>
      </c>
      <c r="D641" s="81">
        <v>14.493</v>
      </c>
    </row>
    <row r="642" spans="1:4" ht="18" x14ac:dyDescent="0.25">
      <c r="A642" s="80">
        <v>641</v>
      </c>
      <c r="B642" s="80" t="s">
        <v>10329</v>
      </c>
      <c r="C642" s="80" t="s">
        <v>9331</v>
      </c>
      <c r="D642" s="81">
        <v>15.398999999999999</v>
      </c>
    </row>
    <row r="643" spans="1:4" ht="18" x14ac:dyDescent="0.25">
      <c r="A643" s="80">
        <v>642</v>
      </c>
      <c r="B643" s="80" t="s">
        <v>10330</v>
      </c>
      <c r="C643" s="80" t="s">
        <v>9331</v>
      </c>
      <c r="D643" s="81">
        <v>16.303999999999998</v>
      </c>
    </row>
    <row r="644" spans="1:4" ht="18" x14ac:dyDescent="0.25">
      <c r="A644" s="80">
        <v>643</v>
      </c>
      <c r="B644" s="80" t="s">
        <v>10331</v>
      </c>
      <c r="C644" s="80" t="s">
        <v>9331</v>
      </c>
      <c r="D644" s="81">
        <v>17.21</v>
      </c>
    </row>
    <row r="645" spans="1:4" ht="18" x14ac:dyDescent="0.25">
      <c r="A645" s="80">
        <v>644</v>
      </c>
      <c r="B645" s="80" t="s">
        <v>10332</v>
      </c>
      <c r="C645" s="80" t="s">
        <v>9331</v>
      </c>
      <c r="D645" s="81">
        <v>18.116</v>
      </c>
    </row>
    <row r="646" spans="1:4" ht="18" x14ac:dyDescent="0.25">
      <c r="A646" s="80">
        <v>645</v>
      </c>
      <c r="B646" s="80" t="s">
        <v>10333</v>
      </c>
      <c r="C646" s="80" t="s">
        <v>9331</v>
      </c>
      <c r="D646" s="81">
        <v>19.021999999999998</v>
      </c>
    </row>
    <row r="647" spans="1:4" ht="18" x14ac:dyDescent="0.25">
      <c r="A647" s="80">
        <v>646</v>
      </c>
      <c r="B647" s="80" t="s">
        <v>10334</v>
      </c>
      <c r="C647" s="80" t="s">
        <v>9331</v>
      </c>
      <c r="D647" s="81">
        <v>19.928000000000001</v>
      </c>
    </row>
    <row r="648" spans="1:4" ht="18" x14ac:dyDescent="0.25">
      <c r="A648" s="80">
        <v>647</v>
      </c>
      <c r="B648" s="80" t="s">
        <v>10335</v>
      </c>
      <c r="C648" s="80" t="s">
        <v>9331</v>
      </c>
      <c r="D648" s="81">
        <v>20.834</v>
      </c>
    </row>
    <row r="649" spans="1:4" ht="18" x14ac:dyDescent="0.25">
      <c r="A649" s="80">
        <v>648</v>
      </c>
      <c r="B649" s="80" t="s">
        <v>10336</v>
      </c>
      <c r="C649" s="80" t="s">
        <v>9331</v>
      </c>
      <c r="D649" s="81">
        <v>21.739000000000001</v>
      </c>
    </row>
    <row r="650" spans="1:4" ht="18" x14ac:dyDescent="0.25">
      <c r="A650" s="80">
        <v>649</v>
      </c>
      <c r="B650" s="80" t="s">
        <v>10337</v>
      </c>
      <c r="C650" s="80" t="s">
        <v>9331</v>
      </c>
      <c r="D650" s="81">
        <v>9.42</v>
      </c>
    </row>
    <row r="651" spans="1:4" ht="18" x14ac:dyDescent="0.25">
      <c r="A651" s="80">
        <v>650</v>
      </c>
      <c r="B651" s="80" t="s">
        <v>10338</v>
      </c>
      <c r="C651" s="80" t="s">
        <v>9331</v>
      </c>
      <c r="D651" s="81">
        <v>10.362</v>
      </c>
    </row>
    <row r="652" spans="1:4" ht="18" x14ac:dyDescent="0.25">
      <c r="A652" s="80">
        <v>651</v>
      </c>
      <c r="B652" s="80" t="s">
        <v>10339</v>
      </c>
      <c r="C652" s="80" t="s">
        <v>9331</v>
      </c>
      <c r="D652" s="81">
        <v>11.304</v>
      </c>
    </row>
    <row r="653" spans="1:4" ht="18" x14ac:dyDescent="0.25">
      <c r="A653" s="80">
        <v>652</v>
      </c>
      <c r="B653" s="80" t="s">
        <v>10340</v>
      </c>
      <c r="C653" s="80" t="s">
        <v>9331</v>
      </c>
      <c r="D653" s="81">
        <v>12.246</v>
      </c>
    </row>
    <row r="654" spans="1:4" ht="18" x14ac:dyDescent="0.25">
      <c r="A654" s="80">
        <v>653</v>
      </c>
      <c r="B654" s="80" t="s">
        <v>10341</v>
      </c>
      <c r="C654" s="80" t="s">
        <v>9331</v>
      </c>
      <c r="D654" s="81">
        <v>13.189</v>
      </c>
    </row>
    <row r="655" spans="1:4" ht="18" x14ac:dyDescent="0.25">
      <c r="A655" s="80">
        <v>654</v>
      </c>
      <c r="B655" s="80" t="s">
        <v>10342</v>
      </c>
      <c r="C655" s="80" t="s">
        <v>9331</v>
      </c>
      <c r="D655" s="81">
        <v>14.131</v>
      </c>
    </row>
    <row r="656" spans="1:4" ht="18" x14ac:dyDescent="0.25">
      <c r="A656" s="80">
        <v>655</v>
      </c>
      <c r="B656" s="80" t="s">
        <v>10343</v>
      </c>
      <c r="C656" s="80" t="s">
        <v>9331</v>
      </c>
      <c r="D656" s="81">
        <v>15.073</v>
      </c>
    </row>
    <row r="657" spans="1:4" ht="18" x14ac:dyDescent="0.25">
      <c r="A657" s="80">
        <v>656</v>
      </c>
      <c r="B657" s="80" t="s">
        <v>10344</v>
      </c>
      <c r="C657" s="80" t="s">
        <v>9331</v>
      </c>
      <c r="D657" s="81">
        <v>16.015000000000001</v>
      </c>
    </row>
    <row r="658" spans="1:4" ht="18" x14ac:dyDescent="0.25">
      <c r="A658" s="80">
        <v>657</v>
      </c>
      <c r="B658" s="80" t="s">
        <v>10345</v>
      </c>
      <c r="C658" s="80" t="s">
        <v>9331</v>
      </c>
      <c r="D658" s="81">
        <v>16.957000000000001</v>
      </c>
    </row>
    <row r="659" spans="1:4" ht="18" x14ac:dyDescent="0.25">
      <c r="A659" s="80">
        <v>658</v>
      </c>
      <c r="B659" s="80" t="s">
        <v>10346</v>
      </c>
      <c r="C659" s="80" t="s">
        <v>9331</v>
      </c>
      <c r="D659" s="81">
        <v>17.899000000000001</v>
      </c>
    </row>
    <row r="660" spans="1:4" ht="18" x14ac:dyDescent="0.25">
      <c r="A660" s="80">
        <v>659</v>
      </c>
      <c r="B660" s="80" t="s">
        <v>10347</v>
      </c>
      <c r="C660" s="80" t="s">
        <v>9331</v>
      </c>
      <c r="D660" s="81">
        <v>18.841000000000001</v>
      </c>
    </row>
    <row r="661" spans="1:4" ht="18" x14ac:dyDescent="0.25">
      <c r="A661" s="80">
        <v>660</v>
      </c>
      <c r="B661" s="80" t="s">
        <v>10348</v>
      </c>
      <c r="C661" s="80" t="s">
        <v>9331</v>
      </c>
      <c r="D661" s="81">
        <v>19.783000000000001</v>
      </c>
    </row>
    <row r="662" spans="1:4" ht="18" x14ac:dyDescent="0.25">
      <c r="A662" s="80">
        <v>661</v>
      </c>
      <c r="B662" s="80" t="s">
        <v>10349</v>
      </c>
      <c r="C662" s="80" t="s">
        <v>9331</v>
      </c>
      <c r="D662" s="81">
        <v>20.725000000000001</v>
      </c>
    </row>
    <row r="663" spans="1:4" ht="18" x14ac:dyDescent="0.25">
      <c r="A663" s="80">
        <v>662</v>
      </c>
      <c r="B663" s="80" t="s">
        <v>10350</v>
      </c>
      <c r="C663" s="80" t="s">
        <v>9331</v>
      </c>
      <c r="D663" s="81">
        <v>21.667000000000002</v>
      </c>
    </row>
    <row r="664" spans="1:4" ht="18" x14ac:dyDescent="0.25">
      <c r="A664" s="80">
        <v>663</v>
      </c>
      <c r="B664" s="80" t="s">
        <v>9334</v>
      </c>
      <c r="C664" s="80" t="s">
        <v>9331</v>
      </c>
      <c r="D664" s="81">
        <v>22.609000000000002</v>
      </c>
    </row>
    <row r="665" spans="1:4" ht="18" x14ac:dyDescent="0.25">
      <c r="A665" s="80">
        <v>664</v>
      </c>
      <c r="B665" s="80" t="s">
        <v>10351</v>
      </c>
      <c r="C665" s="80" t="s">
        <v>9331</v>
      </c>
      <c r="D665" s="81">
        <v>9.6620000000000008</v>
      </c>
    </row>
    <row r="666" spans="1:4" ht="18" x14ac:dyDescent="0.25">
      <c r="A666" s="80">
        <v>665</v>
      </c>
      <c r="B666" s="80" t="s">
        <v>10352</v>
      </c>
      <c r="C666" s="80" t="s">
        <v>9331</v>
      </c>
      <c r="D666" s="81">
        <v>10.628</v>
      </c>
    </row>
    <row r="667" spans="1:4" ht="18" x14ac:dyDescent="0.25">
      <c r="A667" s="80">
        <v>666</v>
      </c>
      <c r="B667" s="80" t="s">
        <v>10353</v>
      </c>
      <c r="C667" s="80" t="s">
        <v>9331</v>
      </c>
      <c r="D667" s="81">
        <v>11.593999999999999</v>
      </c>
    </row>
    <row r="668" spans="1:4" ht="18" x14ac:dyDescent="0.25">
      <c r="A668" s="80">
        <v>667</v>
      </c>
      <c r="B668" s="80" t="s">
        <v>10354</v>
      </c>
      <c r="C668" s="80" t="s">
        <v>9331</v>
      </c>
      <c r="D668" s="81">
        <v>12.56</v>
      </c>
    </row>
    <row r="669" spans="1:4" ht="18" x14ac:dyDescent="0.25">
      <c r="A669" s="80">
        <v>668</v>
      </c>
      <c r="B669" s="80" t="s">
        <v>10355</v>
      </c>
      <c r="C669" s="80" t="s">
        <v>9331</v>
      </c>
      <c r="D669" s="81">
        <v>13.526999999999999</v>
      </c>
    </row>
    <row r="670" spans="1:4" ht="18" x14ac:dyDescent="0.25">
      <c r="A670" s="80">
        <v>669</v>
      </c>
      <c r="B670" s="80" t="s">
        <v>10356</v>
      </c>
      <c r="C670" s="80" t="s">
        <v>9331</v>
      </c>
      <c r="D670" s="81">
        <v>14.493</v>
      </c>
    </row>
    <row r="671" spans="1:4" ht="18" x14ac:dyDescent="0.25">
      <c r="A671" s="80">
        <v>670</v>
      </c>
      <c r="B671" s="80" t="s">
        <v>10357</v>
      </c>
      <c r="C671" s="80" t="s">
        <v>9331</v>
      </c>
      <c r="D671" s="81">
        <v>15.459</v>
      </c>
    </row>
    <row r="672" spans="1:4" ht="18" x14ac:dyDescent="0.25">
      <c r="A672" s="80">
        <v>671</v>
      </c>
      <c r="B672" s="80" t="s">
        <v>10358</v>
      </c>
      <c r="C672" s="80" t="s">
        <v>9331</v>
      </c>
      <c r="D672" s="81">
        <v>16.425000000000001</v>
      </c>
    </row>
    <row r="673" spans="1:4" ht="18" x14ac:dyDescent="0.25">
      <c r="A673" s="80">
        <v>672</v>
      </c>
      <c r="B673" s="80" t="s">
        <v>10359</v>
      </c>
      <c r="C673" s="80" t="s">
        <v>9331</v>
      </c>
      <c r="D673" s="81">
        <v>17.390999999999998</v>
      </c>
    </row>
    <row r="674" spans="1:4" ht="18" x14ac:dyDescent="0.25">
      <c r="A674" s="80">
        <v>673</v>
      </c>
      <c r="B674" s="80" t="s">
        <v>10360</v>
      </c>
      <c r="C674" s="80" t="s">
        <v>9331</v>
      </c>
      <c r="D674" s="81">
        <v>18.358000000000001</v>
      </c>
    </row>
    <row r="675" spans="1:4" ht="18" x14ac:dyDescent="0.25">
      <c r="A675" s="80">
        <v>674</v>
      </c>
      <c r="B675" s="80" t="s">
        <v>10361</v>
      </c>
      <c r="C675" s="80" t="s">
        <v>9331</v>
      </c>
      <c r="D675" s="81">
        <v>19.324000000000002</v>
      </c>
    </row>
    <row r="676" spans="1:4" ht="18" x14ac:dyDescent="0.25">
      <c r="A676" s="80">
        <v>675</v>
      </c>
      <c r="B676" s="80" t="s">
        <v>10362</v>
      </c>
      <c r="C676" s="80" t="s">
        <v>9331</v>
      </c>
      <c r="D676" s="81">
        <v>20.29</v>
      </c>
    </row>
    <row r="677" spans="1:4" ht="18" x14ac:dyDescent="0.25">
      <c r="A677" s="80">
        <v>676</v>
      </c>
      <c r="B677" s="80" t="s">
        <v>10363</v>
      </c>
      <c r="C677" s="80" t="s">
        <v>9331</v>
      </c>
      <c r="D677" s="81">
        <v>21.256</v>
      </c>
    </row>
    <row r="678" spans="1:4" ht="18" x14ac:dyDescent="0.25">
      <c r="A678" s="80">
        <v>677</v>
      </c>
      <c r="B678" s="80" t="s">
        <v>10364</v>
      </c>
      <c r="C678" s="80" t="s">
        <v>9331</v>
      </c>
      <c r="D678" s="81">
        <v>22.222000000000001</v>
      </c>
    </row>
    <row r="679" spans="1:4" ht="18" x14ac:dyDescent="0.25">
      <c r="A679" s="80">
        <v>678</v>
      </c>
      <c r="B679" s="80" t="s">
        <v>10365</v>
      </c>
      <c r="C679" s="80" t="s">
        <v>9331</v>
      </c>
      <c r="D679" s="81">
        <v>23.189</v>
      </c>
    </row>
    <row r="680" spans="1:4" ht="18" x14ac:dyDescent="0.25">
      <c r="A680" s="80">
        <v>679</v>
      </c>
      <c r="B680" s="80" t="s">
        <v>10366</v>
      </c>
      <c r="C680" s="80" t="s">
        <v>9331</v>
      </c>
      <c r="D680" s="81">
        <v>10.145</v>
      </c>
    </row>
    <row r="681" spans="1:4" ht="18" x14ac:dyDescent="0.25">
      <c r="A681" s="80">
        <v>680</v>
      </c>
      <c r="B681" s="80" t="s">
        <v>10367</v>
      </c>
      <c r="C681" s="80" t="s">
        <v>9331</v>
      </c>
      <c r="D681" s="81">
        <v>11.16</v>
      </c>
    </row>
    <row r="682" spans="1:4" ht="18" x14ac:dyDescent="0.25">
      <c r="A682" s="80">
        <v>681</v>
      </c>
      <c r="B682" s="80" t="s">
        <v>10368</v>
      </c>
      <c r="C682" s="80" t="s">
        <v>9331</v>
      </c>
      <c r="D682" s="81">
        <v>12.173999999999999</v>
      </c>
    </row>
    <row r="683" spans="1:4" ht="18" x14ac:dyDescent="0.25">
      <c r="A683" s="80">
        <v>682</v>
      </c>
      <c r="B683" s="80" t="s">
        <v>10369</v>
      </c>
      <c r="C683" s="80" t="s">
        <v>9331</v>
      </c>
      <c r="D683" s="81">
        <v>13.189</v>
      </c>
    </row>
    <row r="684" spans="1:4" ht="18" x14ac:dyDescent="0.25">
      <c r="A684" s="80">
        <v>683</v>
      </c>
      <c r="B684" s="80" t="s">
        <v>10370</v>
      </c>
      <c r="C684" s="80" t="s">
        <v>9331</v>
      </c>
      <c r="D684" s="81">
        <v>14.202999999999999</v>
      </c>
    </row>
    <row r="685" spans="1:4" ht="18" x14ac:dyDescent="0.25">
      <c r="A685" s="80">
        <v>684</v>
      </c>
      <c r="B685" s="80" t="s">
        <v>10371</v>
      </c>
      <c r="C685" s="80" t="s">
        <v>9331</v>
      </c>
      <c r="D685" s="81">
        <v>15.218</v>
      </c>
    </row>
    <row r="686" spans="1:4" ht="18" x14ac:dyDescent="0.25">
      <c r="A686" s="80">
        <v>685</v>
      </c>
      <c r="B686" s="80" t="s">
        <v>10372</v>
      </c>
      <c r="C686" s="80" t="s">
        <v>9331</v>
      </c>
      <c r="D686" s="81">
        <v>16.231999999999999</v>
      </c>
    </row>
    <row r="687" spans="1:4" ht="18" x14ac:dyDescent="0.25">
      <c r="A687" s="80">
        <v>686</v>
      </c>
      <c r="B687" s="80" t="s">
        <v>10373</v>
      </c>
      <c r="C687" s="80" t="s">
        <v>9331</v>
      </c>
      <c r="D687" s="81">
        <v>17.247</v>
      </c>
    </row>
    <row r="688" spans="1:4" ht="18" x14ac:dyDescent="0.25">
      <c r="A688" s="80">
        <v>687</v>
      </c>
      <c r="B688" s="80" t="s">
        <v>10374</v>
      </c>
      <c r="C688" s="80" t="s">
        <v>9331</v>
      </c>
      <c r="D688" s="81">
        <v>18.260999999999999</v>
      </c>
    </row>
    <row r="689" spans="1:4" ht="18" x14ac:dyDescent="0.25">
      <c r="A689" s="80">
        <v>688</v>
      </c>
      <c r="B689" s="80" t="s">
        <v>10375</v>
      </c>
      <c r="C689" s="80" t="s">
        <v>9331</v>
      </c>
      <c r="D689" s="81">
        <v>19.276</v>
      </c>
    </row>
    <row r="690" spans="1:4" ht="18" x14ac:dyDescent="0.25">
      <c r="A690" s="80">
        <v>689</v>
      </c>
      <c r="B690" s="80" t="s">
        <v>10376</v>
      </c>
      <c r="C690" s="80" t="s">
        <v>9331</v>
      </c>
      <c r="D690" s="81">
        <v>20.29</v>
      </c>
    </row>
    <row r="691" spans="1:4" ht="18" x14ac:dyDescent="0.25">
      <c r="A691" s="80">
        <v>690</v>
      </c>
      <c r="B691" s="80" t="s">
        <v>10377</v>
      </c>
      <c r="C691" s="80" t="s">
        <v>9331</v>
      </c>
      <c r="D691" s="81">
        <v>21.305</v>
      </c>
    </row>
    <row r="692" spans="1:4" ht="18" x14ac:dyDescent="0.25">
      <c r="A692" s="80">
        <v>691</v>
      </c>
      <c r="B692" s="80" t="s">
        <v>10378</v>
      </c>
      <c r="C692" s="80" t="s">
        <v>9331</v>
      </c>
      <c r="D692" s="81">
        <v>22.318999999999999</v>
      </c>
    </row>
    <row r="693" spans="1:4" ht="18" x14ac:dyDescent="0.25">
      <c r="A693" s="80">
        <v>692</v>
      </c>
      <c r="B693" s="80" t="s">
        <v>10379</v>
      </c>
      <c r="C693" s="80" t="s">
        <v>9331</v>
      </c>
      <c r="D693" s="81">
        <v>23.334</v>
      </c>
    </row>
    <row r="694" spans="1:4" ht="18" x14ac:dyDescent="0.25">
      <c r="A694" s="80">
        <v>693</v>
      </c>
      <c r="B694" s="80" t="s">
        <v>10380</v>
      </c>
      <c r="C694" s="80" t="s">
        <v>9331</v>
      </c>
      <c r="D694" s="81">
        <v>24.347999999999999</v>
      </c>
    </row>
    <row r="695" spans="1:4" ht="18" x14ac:dyDescent="0.25">
      <c r="A695" s="80">
        <v>694</v>
      </c>
      <c r="B695" s="80" t="s">
        <v>10381</v>
      </c>
      <c r="C695" s="80" t="s">
        <v>9331</v>
      </c>
      <c r="D695" s="81">
        <v>0.38400000000000001</v>
      </c>
    </row>
    <row r="696" spans="1:4" ht="18" x14ac:dyDescent="0.25">
      <c r="A696" s="80">
        <v>695</v>
      </c>
      <c r="B696" s="80" t="s">
        <v>10382</v>
      </c>
      <c r="C696" s="80" t="s">
        <v>9331</v>
      </c>
      <c r="D696" s="81">
        <v>0.81799999999999995</v>
      </c>
    </row>
    <row r="697" spans="1:4" ht="18" x14ac:dyDescent="0.25">
      <c r="A697" s="80">
        <v>696</v>
      </c>
      <c r="B697" s="80" t="s">
        <v>10383</v>
      </c>
      <c r="C697" s="80" t="s">
        <v>9331</v>
      </c>
      <c r="D697" s="81">
        <v>4.9050000000000002</v>
      </c>
    </row>
    <row r="698" spans="1:4" ht="18" x14ac:dyDescent="0.25">
      <c r="A698" s="80">
        <v>697</v>
      </c>
      <c r="B698" s="80" t="s">
        <v>10384</v>
      </c>
      <c r="C698" s="80" t="s">
        <v>9331</v>
      </c>
      <c r="D698" s="81">
        <v>5.3959999999999999</v>
      </c>
    </row>
    <row r="699" spans="1:4" ht="18" x14ac:dyDescent="0.25">
      <c r="A699" s="80">
        <v>698</v>
      </c>
      <c r="B699" s="80" t="s">
        <v>10385</v>
      </c>
      <c r="C699" s="80" t="s">
        <v>9331</v>
      </c>
      <c r="D699" s="81">
        <v>5.8860000000000001</v>
      </c>
    </row>
    <row r="700" spans="1:4" ht="18" x14ac:dyDescent="0.25">
      <c r="A700" s="80">
        <v>699</v>
      </c>
      <c r="B700" s="80" t="s">
        <v>10386</v>
      </c>
      <c r="C700" s="80" t="s">
        <v>9331</v>
      </c>
      <c r="D700" s="81">
        <v>6.3769999999999998</v>
      </c>
    </row>
    <row r="701" spans="1:4" ht="18" x14ac:dyDescent="0.25">
      <c r="A701" s="80">
        <v>700</v>
      </c>
      <c r="B701" s="80" t="s">
        <v>10387</v>
      </c>
      <c r="C701" s="80" t="s">
        <v>9331</v>
      </c>
      <c r="D701" s="81">
        <v>6.867</v>
      </c>
    </row>
    <row r="702" spans="1:4" ht="18" x14ac:dyDescent="0.25">
      <c r="A702" s="80">
        <v>701</v>
      </c>
      <c r="B702" s="80" t="s">
        <v>10388</v>
      </c>
      <c r="C702" s="80" t="s">
        <v>9331</v>
      </c>
      <c r="D702" s="81">
        <v>7.3579999999999997</v>
      </c>
    </row>
    <row r="703" spans="1:4" ht="18" x14ac:dyDescent="0.25">
      <c r="A703" s="80">
        <v>702</v>
      </c>
      <c r="B703" s="80" t="s">
        <v>10389</v>
      </c>
      <c r="C703" s="80" t="s">
        <v>9331</v>
      </c>
      <c r="D703" s="81">
        <v>7.8479999999999999</v>
      </c>
    </row>
    <row r="704" spans="1:4" ht="18" x14ac:dyDescent="0.25">
      <c r="A704" s="80">
        <v>703</v>
      </c>
      <c r="B704" s="80" t="s">
        <v>10390</v>
      </c>
      <c r="C704" s="80" t="s">
        <v>9331</v>
      </c>
      <c r="D704" s="81">
        <v>8.3390000000000004</v>
      </c>
    </row>
    <row r="705" spans="1:4" ht="18" x14ac:dyDescent="0.25">
      <c r="A705" s="80">
        <v>704</v>
      </c>
      <c r="B705" s="80" t="s">
        <v>10391</v>
      </c>
      <c r="C705" s="80" t="s">
        <v>9331</v>
      </c>
      <c r="D705" s="81">
        <v>8.83</v>
      </c>
    </row>
    <row r="706" spans="1:4" ht="18" x14ac:dyDescent="0.25">
      <c r="A706" s="80">
        <v>705</v>
      </c>
      <c r="B706" s="80" t="s">
        <v>10392</v>
      </c>
      <c r="C706" s="80" t="s">
        <v>9331</v>
      </c>
      <c r="D706" s="81">
        <v>9.32</v>
      </c>
    </row>
    <row r="707" spans="1:4" ht="18" x14ac:dyDescent="0.25">
      <c r="A707" s="80">
        <v>706</v>
      </c>
      <c r="B707" s="80" t="s">
        <v>10393</v>
      </c>
      <c r="C707" s="80" t="s">
        <v>9331</v>
      </c>
      <c r="D707" s="81">
        <v>9.8109999999999999</v>
      </c>
    </row>
    <row r="708" spans="1:4" ht="18" x14ac:dyDescent="0.25">
      <c r="A708" s="80">
        <v>707</v>
      </c>
      <c r="B708" s="80" t="s">
        <v>10394</v>
      </c>
      <c r="C708" s="80" t="s">
        <v>9331</v>
      </c>
      <c r="D708" s="81">
        <v>10.301</v>
      </c>
    </row>
    <row r="709" spans="1:4" ht="18" x14ac:dyDescent="0.25">
      <c r="A709" s="80">
        <v>708</v>
      </c>
      <c r="B709" s="80" t="s">
        <v>10395</v>
      </c>
      <c r="C709" s="80" t="s">
        <v>9331</v>
      </c>
      <c r="D709" s="81">
        <v>10.792</v>
      </c>
    </row>
    <row r="710" spans="1:4" ht="18" x14ac:dyDescent="0.25">
      <c r="A710" s="80">
        <v>709</v>
      </c>
      <c r="B710" s="80" t="s">
        <v>10396</v>
      </c>
      <c r="C710" s="80" t="s">
        <v>9331</v>
      </c>
      <c r="D710" s="81">
        <v>11.282</v>
      </c>
    </row>
    <row r="711" spans="1:4" ht="18" x14ac:dyDescent="0.25">
      <c r="A711" s="80">
        <v>710</v>
      </c>
      <c r="B711" s="80" t="s">
        <v>10397</v>
      </c>
      <c r="C711" s="80" t="s">
        <v>9331</v>
      </c>
      <c r="D711" s="81">
        <v>11.773</v>
      </c>
    </row>
    <row r="712" spans="1:4" ht="18" x14ac:dyDescent="0.25">
      <c r="A712" s="80">
        <v>711</v>
      </c>
      <c r="B712" s="80" t="s">
        <v>10398</v>
      </c>
      <c r="C712" s="80" t="s">
        <v>9331</v>
      </c>
      <c r="D712" s="81">
        <v>5.1100000000000003</v>
      </c>
    </row>
    <row r="713" spans="1:4" ht="18" x14ac:dyDescent="0.25">
      <c r="A713" s="80">
        <v>712</v>
      </c>
      <c r="B713" s="80" t="s">
        <v>10399</v>
      </c>
      <c r="C713" s="80" t="s">
        <v>9331</v>
      </c>
      <c r="D713" s="81">
        <v>5.6210000000000004</v>
      </c>
    </row>
    <row r="714" spans="1:4" ht="18" x14ac:dyDescent="0.25">
      <c r="A714" s="80">
        <v>713</v>
      </c>
      <c r="B714" s="80" t="s">
        <v>10400</v>
      </c>
      <c r="C714" s="80" t="s">
        <v>9331</v>
      </c>
      <c r="D714" s="81">
        <v>6.1319999999999997</v>
      </c>
    </row>
    <row r="715" spans="1:4" ht="18" x14ac:dyDescent="0.25">
      <c r="A715" s="80">
        <v>714</v>
      </c>
      <c r="B715" s="80" t="s">
        <v>10401</v>
      </c>
      <c r="C715" s="80" t="s">
        <v>9331</v>
      </c>
      <c r="D715" s="81">
        <v>6.6429999999999998</v>
      </c>
    </row>
    <row r="716" spans="1:4" ht="18" x14ac:dyDescent="0.25">
      <c r="A716" s="80">
        <v>715</v>
      </c>
      <c r="B716" s="80" t="s">
        <v>10402</v>
      </c>
      <c r="C716" s="80" t="s">
        <v>9331</v>
      </c>
      <c r="D716" s="81">
        <v>7.1539999999999999</v>
      </c>
    </row>
    <row r="717" spans="1:4" ht="18" x14ac:dyDescent="0.25">
      <c r="A717" s="80">
        <v>716</v>
      </c>
      <c r="B717" s="80" t="s">
        <v>10403</v>
      </c>
      <c r="C717" s="80" t="s">
        <v>9331</v>
      </c>
      <c r="D717" s="81">
        <v>7.665</v>
      </c>
    </row>
    <row r="718" spans="1:4" ht="18" x14ac:dyDescent="0.25">
      <c r="A718" s="80">
        <v>717</v>
      </c>
      <c r="B718" s="80" t="s">
        <v>10404</v>
      </c>
      <c r="C718" s="80" t="s">
        <v>9331</v>
      </c>
      <c r="D718" s="81">
        <v>8.1750000000000007</v>
      </c>
    </row>
    <row r="719" spans="1:4" ht="18" x14ac:dyDescent="0.25">
      <c r="A719" s="80">
        <v>718</v>
      </c>
      <c r="B719" s="80" t="s">
        <v>10405</v>
      </c>
      <c r="C719" s="80" t="s">
        <v>9331</v>
      </c>
      <c r="D719" s="81">
        <v>8.6859999999999999</v>
      </c>
    </row>
    <row r="720" spans="1:4" ht="18" x14ac:dyDescent="0.25">
      <c r="A720" s="80">
        <v>719</v>
      </c>
      <c r="B720" s="80" t="s">
        <v>10406</v>
      </c>
      <c r="C720" s="80" t="s">
        <v>9331</v>
      </c>
      <c r="D720" s="81">
        <v>9.1969999999999992</v>
      </c>
    </row>
    <row r="721" spans="1:4" ht="18" x14ac:dyDescent="0.25">
      <c r="A721" s="80">
        <v>720</v>
      </c>
      <c r="B721" s="80" t="s">
        <v>10407</v>
      </c>
      <c r="C721" s="80" t="s">
        <v>9331</v>
      </c>
      <c r="D721" s="81">
        <v>9.7080000000000002</v>
      </c>
    </row>
    <row r="722" spans="1:4" ht="18" x14ac:dyDescent="0.25">
      <c r="A722" s="80">
        <v>721</v>
      </c>
      <c r="B722" s="80" t="s">
        <v>10408</v>
      </c>
      <c r="C722" s="80" t="s">
        <v>9331</v>
      </c>
      <c r="D722" s="81">
        <v>10.218999999999999</v>
      </c>
    </row>
    <row r="723" spans="1:4" ht="18" x14ac:dyDescent="0.25">
      <c r="A723" s="80">
        <v>722</v>
      </c>
      <c r="B723" s="80" t="s">
        <v>10409</v>
      </c>
      <c r="C723" s="80" t="s">
        <v>9331</v>
      </c>
      <c r="D723" s="81">
        <v>10.73</v>
      </c>
    </row>
    <row r="724" spans="1:4" ht="18" x14ac:dyDescent="0.25">
      <c r="A724" s="80">
        <v>723</v>
      </c>
      <c r="B724" s="80" t="s">
        <v>10410</v>
      </c>
      <c r="C724" s="80" t="s">
        <v>9331</v>
      </c>
      <c r="D724" s="81">
        <v>11.241</v>
      </c>
    </row>
    <row r="725" spans="1:4" ht="18" x14ac:dyDescent="0.25">
      <c r="A725" s="80">
        <v>724</v>
      </c>
      <c r="B725" s="80" t="s">
        <v>10411</v>
      </c>
      <c r="C725" s="80" t="s">
        <v>9331</v>
      </c>
      <c r="D725" s="81">
        <v>11.752000000000001</v>
      </c>
    </row>
    <row r="726" spans="1:4" ht="18" x14ac:dyDescent="0.25">
      <c r="A726" s="80">
        <v>725</v>
      </c>
      <c r="B726" s="80" t="s">
        <v>10412</v>
      </c>
      <c r="C726" s="80" t="s">
        <v>9331</v>
      </c>
      <c r="D726" s="81">
        <v>12.263</v>
      </c>
    </row>
    <row r="727" spans="1:4" ht="18" x14ac:dyDescent="0.25">
      <c r="A727" s="80">
        <v>726</v>
      </c>
      <c r="B727" s="80" t="s">
        <v>10413</v>
      </c>
      <c r="C727" s="80" t="s">
        <v>9331</v>
      </c>
      <c r="D727" s="81">
        <v>5.3140000000000001</v>
      </c>
    </row>
    <row r="728" spans="1:4" ht="18" x14ac:dyDescent="0.25">
      <c r="A728" s="80">
        <v>727</v>
      </c>
      <c r="B728" s="80" t="s">
        <v>10414</v>
      </c>
      <c r="C728" s="80" t="s">
        <v>9331</v>
      </c>
      <c r="D728" s="81">
        <v>5.8449999999999998</v>
      </c>
    </row>
    <row r="729" spans="1:4" ht="18" x14ac:dyDescent="0.25">
      <c r="A729" s="80">
        <v>728</v>
      </c>
      <c r="B729" s="80" t="s">
        <v>10415</v>
      </c>
      <c r="C729" s="80" t="s">
        <v>9331</v>
      </c>
      <c r="D729" s="81">
        <v>6.3769999999999998</v>
      </c>
    </row>
    <row r="730" spans="1:4" ht="18" x14ac:dyDescent="0.25">
      <c r="A730" s="80">
        <v>729</v>
      </c>
      <c r="B730" s="80" t="s">
        <v>10416</v>
      </c>
      <c r="C730" s="80" t="s">
        <v>9331</v>
      </c>
      <c r="D730" s="81">
        <v>6.9080000000000004</v>
      </c>
    </row>
    <row r="731" spans="1:4" ht="18" x14ac:dyDescent="0.25">
      <c r="A731" s="80">
        <v>730</v>
      </c>
      <c r="B731" s="80" t="s">
        <v>10417</v>
      </c>
      <c r="C731" s="80" t="s">
        <v>9331</v>
      </c>
      <c r="D731" s="81">
        <v>7.44</v>
      </c>
    </row>
    <row r="732" spans="1:4" ht="18" x14ac:dyDescent="0.25">
      <c r="A732" s="80">
        <v>731</v>
      </c>
      <c r="B732" s="80" t="s">
        <v>10418</v>
      </c>
      <c r="C732" s="80" t="s">
        <v>9331</v>
      </c>
      <c r="D732" s="81">
        <v>7.9710000000000001</v>
      </c>
    </row>
    <row r="733" spans="1:4" ht="18" x14ac:dyDescent="0.25">
      <c r="A733" s="80">
        <v>732</v>
      </c>
      <c r="B733" s="80" t="s">
        <v>10419</v>
      </c>
      <c r="C733" s="80" t="s">
        <v>9331</v>
      </c>
      <c r="D733" s="81">
        <v>8.5020000000000007</v>
      </c>
    </row>
    <row r="734" spans="1:4" ht="18" x14ac:dyDescent="0.25">
      <c r="A734" s="80">
        <v>733</v>
      </c>
      <c r="B734" s="80" t="s">
        <v>10420</v>
      </c>
      <c r="C734" s="80" t="s">
        <v>9331</v>
      </c>
      <c r="D734" s="81">
        <v>9.0340000000000007</v>
      </c>
    </row>
    <row r="735" spans="1:4" ht="18" x14ac:dyDescent="0.25">
      <c r="A735" s="80">
        <v>734</v>
      </c>
      <c r="B735" s="80" t="s">
        <v>10421</v>
      </c>
      <c r="C735" s="80" t="s">
        <v>9331</v>
      </c>
      <c r="D735" s="81">
        <v>9.5649999999999995</v>
      </c>
    </row>
    <row r="736" spans="1:4" ht="18" x14ac:dyDescent="0.25">
      <c r="A736" s="80">
        <v>735</v>
      </c>
      <c r="B736" s="80" t="s">
        <v>10422</v>
      </c>
      <c r="C736" s="80" t="s">
        <v>9331</v>
      </c>
      <c r="D736" s="81">
        <v>10.097</v>
      </c>
    </row>
    <row r="737" spans="1:4" ht="18" x14ac:dyDescent="0.25">
      <c r="A737" s="80">
        <v>736</v>
      </c>
      <c r="B737" s="80" t="s">
        <v>10423</v>
      </c>
      <c r="C737" s="80" t="s">
        <v>9331</v>
      </c>
      <c r="D737" s="81">
        <v>10.628</v>
      </c>
    </row>
    <row r="738" spans="1:4" ht="18" x14ac:dyDescent="0.25">
      <c r="A738" s="80">
        <v>737</v>
      </c>
      <c r="B738" s="80" t="s">
        <v>10424</v>
      </c>
      <c r="C738" s="80" t="s">
        <v>9331</v>
      </c>
      <c r="D738" s="81">
        <v>11.16</v>
      </c>
    </row>
    <row r="739" spans="1:4" ht="18" x14ac:dyDescent="0.25">
      <c r="A739" s="80">
        <v>738</v>
      </c>
      <c r="B739" s="80" t="s">
        <v>10425</v>
      </c>
      <c r="C739" s="80" t="s">
        <v>9331</v>
      </c>
      <c r="D739" s="81">
        <v>11.691000000000001</v>
      </c>
    </row>
    <row r="740" spans="1:4" ht="18" x14ac:dyDescent="0.25">
      <c r="A740" s="80">
        <v>739</v>
      </c>
      <c r="B740" s="80" t="s">
        <v>10426</v>
      </c>
      <c r="C740" s="80" t="s">
        <v>9331</v>
      </c>
      <c r="D740" s="81">
        <v>12.222</v>
      </c>
    </row>
    <row r="741" spans="1:4" ht="18" x14ac:dyDescent="0.25">
      <c r="A741" s="80">
        <v>740</v>
      </c>
      <c r="B741" s="80" t="s">
        <v>9335</v>
      </c>
      <c r="C741" s="80" t="s">
        <v>9331</v>
      </c>
      <c r="D741" s="81">
        <v>12.754</v>
      </c>
    </row>
    <row r="742" spans="1:4" ht="18" x14ac:dyDescent="0.25">
      <c r="A742" s="80">
        <v>741</v>
      </c>
      <c r="B742" s="80" t="s">
        <v>10427</v>
      </c>
      <c r="C742" s="80" t="s">
        <v>9331</v>
      </c>
      <c r="D742" s="81">
        <v>5.45</v>
      </c>
    </row>
    <row r="743" spans="1:4" ht="18" x14ac:dyDescent="0.25">
      <c r="A743" s="80">
        <v>742</v>
      </c>
      <c r="B743" s="80" t="s">
        <v>10428</v>
      </c>
      <c r="C743" s="80" t="s">
        <v>9331</v>
      </c>
      <c r="D743" s="81">
        <v>5.9950000000000001</v>
      </c>
    </row>
    <row r="744" spans="1:4" ht="18" x14ac:dyDescent="0.25">
      <c r="A744" s="80">
        <v>743</v>
      </c>
      <c r="B744" s="80" t="s">
        <v>10429</v>
      </c>
      <c r="C744" s="80" t="s">
        <v>9331</v>
      </c>
      <c r="D744" s="81">
        <v>6.54</v>
      </c>
    </row>
    <row r="745" spans="1:4" ht="18" x14ac:dyDescent="0.25">
      <c r="A745" s="80">
        <v>744</v>
      </c>
      <c r="B745" s="80" t="s">
        <v>10430</v>
      </c>
      <c r="C745" s="80" t="s">
        <v>9331</v>
      </c>
      <c r="D745" s="81">
        <v>7.085</v>
      </c>
    </row>
    <row r="746" spans="1:4" ht="18" x14ac:dyDescent="0.25">
      <c r="A746" s="80">
        <v>745</v>
      </c>
      <c r="B746" s="80" t="s">
        <v>10431</v>
      </c>
      <c r="C746" s="80" t="s">
        <v>9331</v>
      </c>
      <c r="D746" s="81">
        <v>7.63</v>
      </c>
    </row>
    <row r="747" spans="1:4" ht="18" x14ac:dyDescent="0.25">
      <c r="A747" s="80">
        <v>746</v>
      </c>
      <c r="B747" s="80" t="s">
        <v>10432</v>
      </c>
      <c r="C747" s="80" t="s">
        <v>9331</v>
      </c>
      <c r="D747" s="81">
        <v>8.1750000000000007</v>
      </c>
    </row>
    <row r="748" spans="1:4" ht="18" x14ac:dyDescent="0.25">
      <c r="A748" s="80">
        <v>747</v>
      </c>
      <c r="B748" s="80" t="s">
        <v>10433</v>
      </c>
      <c r="C748" s="80" t="s">
        <v>9331</v>
      </c>
      <c r="D748" s="81">
        <v>8.7200000000000006</v>
      </c>
    </row>
    <row r="749" spans="1:4" ht="18" x14ac:dyDescent="0.25">
      <c r="A749" s="80">
        <v>748</v>
      </c>
      <c r="B749" s="80" t="s">
        <v>10434</v>
      </c>
      <c r="C749" s="80" t="s">
        <v>9331</v>
      </c>
      <c r="D749" s="81">
        <v>9.266</v>
      </c>
    </row>
    <row r="750" spans="1:4" ht="18" x14ac:dyDescent="0.25">
      <c r="A750" s="80">
        <v>749</v>
      </c>
      <c r="B750" s="80" t="s">
        <v>10435</v>
      </c>
      <c r="C750" s="80" t="s">
        <v>9331</v>
      </c>
      <c r="D750" s="81">
        <v>9.8109999999999999</v>
      </c>
    </row>
    <row r="751" spans="1:4" ht="18" x14ac:dyDescent="0.25">
      <c r="A751" s="80">
        <v>750</v>
      </c>
      <c r="B751" s="80" t="s">
        <v>10436</v>
      </c>
      <c r="C751" s="80" t="s">
        <v>9331</v>
      </c>
      <c r="D751" s="81">
        <v>10.356</v>
      </c>
    </row>
    <row r="752" spans="1:4" ht="18" x14ac:dyDescent="0.25">
      <c r="A752" s="80">
        <v>751</v>
      </c>
      <c r="B752" s="80" t="s">
        <v>10437</v>
      </c>
      <c r="C752" s="80" t="s">
        <v>9331</v>
      </c>
      <c r="D752" s="81">
        <v>10.901</v>
      </c>
    </row>
    <row r="753" spans="1:4" ht="18" x14ac:dyDescent="0.25">
      <c r="A753" s="80">
        <v>752</v>
      </c>
      <c r="B753" s="80" t="s">
        <v>10438</v>
      </c>
      <c r="C753" s="80" t="s">
        <v>9331</v>
      </c>
      <c r="D753" s="81">
        <v>11.446</v>
      </c>
    </row>
    <row r="754" spans="1:4" ht="18" x14ac:dyDescent="0.25">
      <c r="A754" s="80">
        <v>753</v>
      </c>
      <c r="B754" s="80" t="s">
        <v>10439</v>
      </c>
      <c r="C754" s="80" t="s">
        <v>9331</v>
      </c>
      <c r="D754" s="81">
        <v>11.991</v>
      </c>
    </row>
    <row r="755" spans="1:4" ht="18" x14ac:dyDescent="0.25">
      <c r="A755" s="80">
        <v>754</v>
      </c>
      <c r="B755" s="80" t="s">
        <v>10440</v>
      </c>
      <c r="C755" s="80" t="s">
        <v>9331</v>
      </c>
      <c r="D755" s="81">
        <v>12.536</v>
      </c>
    </row>
    <row r="756" spans="1:4" ht="18" x14ac:dyDescent="0.25">
      <c r="A756" s="80">
        <v>755</v>
      </c>
      <c r="B756" s="80" t="s">
        <v>10441</v>
      </c>
      <c r="C756" s="80" t="s">
        <v>9331</v>
      </c>
      <c r="D756" s="81">
        <v>13.081</v>
      </c>
    </row>
    <row r="757" spans="1:4" ht="18" x14ac:dyDescent="0.25">
      <c r="A757" s="80">
        <v>756</v>
      </c>
      <c r="B757" s="80" t="s">
        <v>10442</v>
      </c>
      <c r="C757" s="80" t="s">
        <v>9331</v>
      </c>
      <c r="D757" s="81">
        <v>5.7229999999999999</v>
      </c>
    </row>
    <row r="758" spans="1:4" ht="18" x14ac:dyDescent="0.25">
      <c r="A758" s="80">
        <v>757</v>
      </c>
      <c r="B758" s="80" t="s">
        <v>10443</v>
      </c>
      <c r="C758" s="80" t="s">
        <v>9331</v>
      </c>
      <c r="D758" s="81">
        <v>6.2949999999999999</v>
      </c>
    </row>
    <row r="759" spans="1:4" ht="18" x14ac:dyDescent="0.25">
      <c r="A759" s="80">
        <v>758</v>
      </c>
      <c r="B759" s="80" t="s">
        <v>10444</v>
      </c>
      <c r="C759" s="80" t="s">
        <v>9331</v>
      </c>
      <c r="D759" s="81">
        <v>6.867</v>
      </c>
    </row>
    <row r="760" spans="1:4" ht="18" x14ac:dyDescent="0.25">
      <c r="A760" s="80">
        <v>759</v>
      </c>
      <c r="B760" s="80" t="s">
        <v>10445</v>
      </c>
      <c r="C760" s="80" t="s">
        <v>9331</v>
      </c>
      <c r="D760" s="81">
        <v>7.44</v>
      </c>
    </row>
    <row r="761" spans="1:4" ht="18" x14ac:dyDescent="0.25">
      <c r="A761" s="80">
        <v>760</v>
      </c>
      <c r="B761" s="80" t="s">
        <v>10446</v>
      </c>
      <c r="C761" s="80" t="s">
        <v>9331</v>
      </c>
      <c r="D761" s="81">
        <v>8.0120000000000005</v>
      </c>
    </row>
    <row r="762" spans="1:4" ht="18" x14ac:dyDescent="0.25">
      <c r="A762" s="80">
        <v>761</v>
      </c>
      <c r="B762" s="80" t="s">
        <v>10447</v>
      </c>
      <c r="C762" s="80" t="s">
        <v>9331</v>
      </c>
      <c r="D762" s="81">
        <v>8.5839999999999996</v>
      </c>
    </row>
    <row r="763" spans="1:4" ht="18" x14ac:dyDescent="0.25">
      <c r="A763" s="80">
        <v>762</v>
      </c>
      <c r="B763" s="80" t="s">
        <v>10448</v>
      </c>
      <c r="C763" s="80" t="s">
        <v>9331</v>
      </c>
      <c r="D763" s="81">
        <v>9.157</v>
      </c>
    </row>
    <row r="764" spans="1:4" ht="18" x14ac:dyDescent="0.25">
      <c r="A764" s="80">
        <v>763</v>
      </c>
      <c r="B764" s="80" t="s">
        <v>10449</v>
      </c>
      <c r="C764" s="80" t="s">
        <v>9331</v>
      </c>
      <c r="D764" s="81">
        <v>9.7289999999999992</v>
      </c>
    </row>
    <row r="765" spans="1:4" ht="18" x14ac:dyDescent="0.25">
      <c r="A765" s="80">
        <v>764</v>
      </c>
      <c r="B765" s="80" t="s">
        <v>10450</v>
      </c>
      <c r="C765" s="80" t="s">
        <v>9331</v>
      </c>
      <c r="D765" s="81">
        <v>10.301</v>
      </c>
    </row>
    <row r="766" spans="1:4" ht="18" x14ac:dyDescent="0.25">
      <c r="A766" s="80">
        <v>765</v>
      </c>
      <c r="B766" s="80" t="s">
        <v>10451</v>
      </c>
      <c r="C766" s="80" t="s">
        <v>9331</v>
      </c>
      <c r="D766" s="81">
        <v>10.872999999999999</v>
      </c>
    </row>
    <row r="767" spans="1:4" ht="18" x14ac:dyDescent="0.25">
      <c r="A767" s="80">
        <v>766</v>
      </c>
      <c r="B767" s="80" t="s">
        <v>10452</v>
      </c>
      <c r="C767" s="80" t="s">
        <v>9331</v>
      </c>
      <c r="D767" s="81">
        <v>11.446</v>
      </c>
    </row>
    <row r="768" spans="1:4" ht="18" x14ac:dyDescent="0.25">
      <c r="A768" s="80">
        <v>767</v>
      </c>
      <c r="B768" s="80" t="s">
        <v>10453</v>
      </c>
      <c r="C768" s="80" t="s">
        <v>9331</v>
      </c>
      <c r="D768" s="81">
        <v>12.018000000000001</v>
      </c>
    </row>
    <row r="769" spans="1:4" ht="18" x14ac:dyDescent="0.25">
      <c r="A769" s="80">
        <v>768</v>
      </c>
      <c r="B769" s="80" t="s">
        <v>10454</v>
      </c>
      <c r="C769" s="80" t="s">
        <v>9331</v>
      </c>
      <c r="D769" s="81">
        <v>12.59</v>
      </c>
    </row>
    <row r="770" spans="1:4" ht="18" x14ac:dyDescent="0.25">
      <c r="A770" s="80">
        <v>769</v>
      </c>
      <c r="B770" s="80" t="s">
        <v>10455</v>
      </c>
      <c r="C770" s="80" t="s">
        <v>9331</v>
      </c>
      <c r="D770" s="81">
        <v>13.163</v>
      </c>
    </row>
    <row r="771" spans="1:4" ht="18" x14ac:dyDescent="0.25">
      <c r="A771" s="80">
        <v>770</v>
      </c>
      <c r="B771" s="80" t="s">
        <v>10456</v>
      </c>
      <c r="C771" s="80" t="s">
        <v>9331</v>
      </c>
      <c r="D771" s="81">
        <v>13.734999999999999</v>
      </c>
    </row>
    <row r="772" spans="1:4" ht="18" x14ac:dyDescent="0.25">
      <c r="A772" s="80">
        <v>771</v>
      </c>
      <c r="B772" s="80" t="s">
        <v>10457</v>
      </c>
      <c r="C772" s="80" t="s">
        <v>9331</v>
      </c>
      <c r="D772" s="81">
        <v>0.47099999999999997</v>
      </c>
    </row>
    <row r="773" spans="1:4" ht="18" x14ac:dyDescent="0.25">
      <c r="A773" s="80">
        <v>772</v>
      </c>
      <c r="B773" s="80" t="s">
        <v>10458</v>
      </c>
      <c r="C773" s="80" t="s">
        <v>9331</v>
      </c>
      <c r="D773" s="81">
        <v>1.0029999999999999</v>
      </c>
    </row>
    <row r="774" spans="1:4" ht="18" x14ac:dyDescent="0.25">
      <c r="A774" s="80">
        <v>773</v>
      </c>
      <c r="B774" s="80" t="s">
        <v>10459</v>
      </c>
      <c r="C774" s="80" t="s">
        <v>9331</v>
      </c>
      <c r="D774" s="81">
        <v>6.02</v>
      </c>
    </row>
    <row r="775" spans="1:4" ht="18" x14ac:dyDescent="0.25">
      <c r="A775" s="80">
        <v>774</v>
      </c>
      <c r="B775" s="80" t="s">
        <v>10460</v>
      </c>
      <c r="C775" s="80" t="s">
        <v>9331</v>
      </c>
      <c r="D775" s="81">
        <v>6.6219999999999999</v>
      </c>
    </row>
    <row r="776" spans="1:4" ht="18" x14ac:dyDescent="0.25">
      <c r="A776" s="80">
        <v>775</v>
      </c>
      <c r="B776" s="80" t="s">
        <v>10461</v>
      </c>
      <c r="C776" s="80" t="s">
        <v>9331</v>
      </c>
      <c r="D776" s="81">
        <v>7.2240000000000002</v>
      </c>
    </row>
    <row r="777" spans="1:4" ht="18" x14ac:dyDescent="0.25">
      <c r="A777" s="80">
        <v>776</v>
      </c>
      <c r="B777" s="80" t="s">
        <v>10462</v>
      </c>
      <c r="C777" s="80" t="s">
        <v>9331</v>
      </c>
      <c r="D777" s="81">
        <v>7.8259999999999996</v>
      </c>
    </row>
    <row r="778" spans="1:4" ht="18" x14ac:dyDescent="0.25">
      <c r="A778" s="80">
        <v>777</v>
      </c>
      <c r="B778" s="80" t="s">
        <v>10463</v>
      </c>
      <c r="C778" s="80" t="s">
        <v>9331</v>
      </c>
      <c r="D778" s="81">
        <v>8.4280000000000008</v>
      </c>
    </row>
    <row r="779" spans="1:4" ht="18" x14ac:dyDescent="0.25">
      <c r="A779" s="80">
        <v>778</v>
      </c>
      <c r="B779" s="80" t="s">
        <v>10464</v>
      </c>
      <c r="C779" s="80" t="s">
        <v>9331</v>
      </c>
      <c r="D779" s="81">
        <v>9.0299999999999994</v>
      </c>
    </row>
    <row r="780" spans="1:4" ht="18" x14ac:dyDescent="0.25">
      <c r="A780" s="80">
        <v>779</v>
      </c>
      <c r="B780" s="80" t="s">
        <v>10465</v>
      </c>
      <c r="C780" s="80" t="s">
        <v>9331</v>
      </c>
      <c r="D780" s="81">
        <v>9.6319999999999997</v>
      </c>
    </row>
    <row r="781" spans="1:4" ht="18" x14ac:dyDescent="0.25">
      <c r="A781" s="80">
        <v>780</v>
      </c>
      <c r="B781" s="80" t="s">
        <v>10466</v>
      </c>
      <c r="C781" s="80" t="s">
        <v>9331</v>
      </c>
      <c r="D781" s="81">
        <v>10.234</v>
      </c>
    </row>
    <row r="782" spans="1:4" ht="18" x14ac:dyDescent="0.25">
      <c r="A782" s="80">
        <v>781</v>
      </c>
      <c r="B782" s="80" t="s">
        <v>10467</v>
      </c>
      <c r="C782" s="80" t="s">
        <v>9331</v>
      </c>
      <c r="D782" s="81">
        <v>10.836</v>
      </c>
    </row>
    <row r="783" spans="1:4" ht="18" x14ac:dyDescent="0.25">
      <c r="A783" s="80">
        <v>782</v>
      </c>
      <c r="B783" s="80" t="s">
        <v>10468</v>
      </c>
      <c r="C783" s="80" t="s">
        <v>9331</v>
      </c>
      <c r="D783" s="81">
        <v>11.438000000000001</v>
      </c>
    </row>
    <row r="784" spans="1:4" ht="18" x14ac:dyDescent="0.25">
      <c r="A784" s="80">
        <v>783</v>
      </c>
      <c r="B784" s="80" t="s">
        <v>10469</v>
      </c>
      <c r="C784" s="80" t="s">
        <v>9331</v>
      </c>
      <c r="D784" s="81">
        <v>12.04</v>
      </c>
    </row>
    <row r="785" spans="1:4" ht="18" x14ac:dyDescent="0.25">
      <c r="A785" s="80">
        <v>784</v>
      </c>
      <c r="B785" s="80" t="s">
        <v>10470</v>
      </c>
      <c r="C785" s="80" t="s">
        <v>9331</v>
      </c>
      <c r="D785" s="81">
        <v>12.641999999999999</v>
      </c>
    </row>
    <row r="786" spans="1:4" ht="18" x14ac:dyDescent="0.25">
      <c r="A786" s="80">
        <v>785</v>
      </c>
      <c r="B786" s="80" t="s">
        <v>10471</v>
      </c>
      <c r="C786" s="80" t="s">
        <v>9331</v>
      </c>
      <c r="D786" s="81">
        <v>13.244</v>
      </c>
    </row>
    <row r="787" spans="1:4" ht="18" x14ac:dyDescent="0.25">
      <c r="A787" s="80">
        <v>786</v>
      </c>
      <c r="B787" s="80" t="s">
        <v>10472</v>
      </c>
      <c r="C787" s="80" t="s">
        <v>9331</v>
      </c>
      <c r="D787" s="81">
        <v>13.846</v>
      </c>
    </row>
    <row r="788" spans="1:4" ht="18" x14ac:dyDescent="0.25">
      <c r="A788" s="80">
        <v>787</v>
      </c>
      <c r="B788" s="80" t="s">
        <v>10473</v>
      </c>
      <c r="C788" s="80" t="s">
        <v>9331</v>
      </c>
      <c r="D788" s="81">
        <v>14.448</v>
      </c>
    </row>
    <row r="789" spans="1:4" ht="18" x14ac:dyDescent="0.25">
      <c r="A789" s="80">
        <v>788</v>
      </c>
      <c r="B789" s="80" t="s">
        <v>10474</v>
      </c>
      <c r="C789" s="80" t="s">
        <v>9331</v>
      </c>
      <c r="D789" s="81">
        <v>6.2709999999999999</v>
      </c>
    </row>
    <row r="790" spans="1:4" ht="18" x14ac:dyDescent="0.25">
      <c r="A790" s="80">
        <v>789</v>
      </c>
      <c r="B790" s="80" t="s">
        <v>10475</v>
      </c>
      <c r="C790" s="80" t="s">
        <v>9331</v>
      </c>
      <c r="D790" s="81">
        <v>6.8979999999999997</v>
      </c>
    </row>
    <row r="791" spans="1:4" ht="18" x14ac:dyDescent="0.25">
      <c r="A791" s="80">
        <v>790</v>
      </c>
      <c r="B791" s="80" t="s">
        <v>10476</v>
      </c>
      <c r="C791" s="80" t="s">
        <v>9331</v>
      </c>
      <c r="D791" s="81">
        <v>7.5250000000000004</v>
      </c>
    </row>
    <row r="792" spans="1:4" ht="18" x14ac:dyDescent="0.25">
      <c r="A792" s="80">
        <v>791</v>
      </c>
      <c r="B792" s="80" t="s">
        <v>10477</v>
      </c>
      <c r="C792" s="80" t="s">
        <v>9331</v>
      </c>
      <c r="D792" s="81">
        <v>8.1519999999999992</v>
      </c>
    </row>
    <row r="793" spans="1:4" ht="18" x14ac:dyDescent="0.25">
      <c r="A793" s="80">
        <v>792</v>
      </c>
      <c r="B793" s="80" t="s">
        <v>10478</v>
      </c>
      <c r="C793" s="80" t="s">
        <v>9331</v>
      </c>
      <c r="D793" s="81">
        <v>8.7789999999999999</v>
      </c>
    </row>
    <row r="794" spans="1:4" ht="18" x14ac:dyDescent="0.25">
      <c r="A794" s="80">
        <v>793</v>
      </c>
      <c r="B794" s="80" t="s">
        <v>10479</v>
      </c>
      <c r="C794" s="80" t="s">
        <v>9331</v>
      </c>
      <c r="D794" s="81">
        <v>9.4060000000000006</v>
      </c>
    </row>
    <row r="795" spans="1:4" ht="18" x14ac:dyDescent="0.25">
      <c r="A795" s="80">
        <v>794</v>
      </c>
      <c r="B795" s="80" t="s">
        <v>10480</v>
      </c>
      <c r="C795" s="80" t="s">
        <v>9331</v>
      </c>
      <c r="D795" s="81">
        <v>10.034000000000001</v>
      </c>
    </row>
    <row r="796" spans="1:4" ht="18" x14ac:dyDescent="0.25">
      <c r="A796" s="80">
        <v>795</v>
      </c>
      <c r="B796" s="80" t="s">
        <v>10481</v>
      </c>
      <c r="C796" s="80" t="s">
        <v>9331</v>
      </c>
      <c r="D796" s="81">
        <v>10.661</v>
      </c>
    </row>
    <row r="797" spans="1:4" ht="18" x14ac:dyDescent="0.25">
      <c r="A797" s="80">
        <v>796</v>
      </c>
      <c r="B797" s="80" t="s">
        <v>10482</v>
      </c>
      <c r="C797" s="80" t="s">
        <v>9331</v>
      </c>
      <c r="D797" s="81">
        <v>11.288</v>
      </c>
    </row>
    <row r="798" spans="1:4" ht="18" x14ac:dyDescent="0.25">
      <c r="A798" s="80">
        <v>797</v>
      </c>
      <c r="B798" s="80" t="s">
        <v>10483</v>
      </c>
      <c r="C798" s="80" t="s">
        <v>9331</v>
      </c>
      <c r="D798" s="81">
        <v>11.914999999999999</v>
      </c>
    </row>
    <row r="799" spans="1:4" ht="18" x14ac:dyDescent="0.25">
      <c r="A799" s="80">
        <v>798</v>
      </c>
      <c r="B799" s="80" t="s">
        <v>10484</v>
      </c>
      <c r="C799" s="80" t="s">
        <v>9331</v>
      </c>
      <c r="D799" s="81">
        <v>12.542</v>
      </c>
    </row>
    <row r="800" spans="1:4" ht="18" x14ac:dyDescent="0.25">
      <c r="A800" s="80">
        <v>799</v>
      </c>
      <c r="B800" s="80" t="s">
        <v>10485</v>
      </c>
      <c r="C800" s="80" t="s">
        <v>9331</v>
      </c>
      <c r="D800" s="81">
        <v>13.169</v>
      </c>
    </row>
    <row r="801" spans="1:4" ht="18" x14ac:dyDescent="0.25">
      <c r="A801" s="80">
        <v>800</v>
      </c>
      <c r="B801" s="80" t="s">
        <v>10486</v>
      </c>
      <c r="C801" s="80" t="s">
        <v>9331</v>
      </c>
      <c r="D801" s="81">
        <v>13.795999999999999</v>
      </c>
    </row>
    <row r="802" spans="1:4" ht="18" x14ac:dyDescent="0.25">
      <c r="A802" s="80">
        <v>801</v>
      </c>
      <c r="B802" s="80" t="s">
        <v>10487</v>
      </c>
      <c r="C802" s="80" t="s">
        <v>9331</v>
      </c>
      <c r="D802" s="81">
        <v>14.423</v>
      </c>
    </row>
    <row r="803" spans="1:4" ht="18" x14ac:dyDescent="0.25">
      <c r="A803" s="80">
        <v>802</v>
      </c>
      <c r="B803" s="80" t="s">
        <v>10488</v>
      </c>
      <c r="C803" s="80" t="s">
        <v>9331</v>
      </c>
      <c r="D803" s="81">
        <v>15.05</v>
      </c>
    </row>
    <row r="804" spans="1:4" ht="18" x14ac:dyDescent="0.25">
      <c r="A804" s="80">
        <v>803</v>
      </c>
      <c r="B804" s="80" t="s">
        <v>10489</v>
      </c>
      <c r="C804" s="80" t="s">
        <v>9331</v>
      </c>
      <c r="D804" s="81">
        <v>6.5220000000000002</v>
      </c>
    </row>
    <row r="805" spans="1:4" ht="18" x14ac:dyDescent="0.25">
      <c r="A805" s="80">
        <v>804</v>
      </c>
      <c r="B805" s="80" t="s">
        <v>10490</v>
      </c>
      <c r="C805" s="80" t="s">
        <v>9331</v>
      </c>
      <c r="D805" s="81">
        <v>7.1740000000000004</v>
      </c>
    </row>
    <row r="806" spans="1:4" ht="18" x14ac:dyDescent="0.25">
      <c r="A806" s="80">
        <v>805</v>
      </c>
      <c r="B806" s="80" t="s">
        <v>10491</v>
      </c>
      <c r="C806" s="80" t="s">
        <v>9331</v>
      </c>
      <c r="D806" s="81">
        <v>7.8259999999999996</v>
      </c>
    </row>
    <row r="807" spans="1:4" ht="18" x14ac:dyDescent="0.25">
      <c r="A807" s="80">
        <v>806</v>
      </c>
      <c r="B807" s="80" t="s">
        <v>10492</v>
      </c>
      <c r="C807" s="80" t="s">
        <v>9331</v>
      </c>
      <c r="D807" s="81">
        <v>8.4779999999999998</v>
      </c>
    </row>
    <row r="808" spans="1:4" ht="18" x14ac:dyDescent="0.25">
      <c r="A808" s="80">
        <v>807</v>
      </c>
      <c r="B808" s="80" t="s">
        <v>10493</v>
      </c>
      <c r="C808" s="80" t="s">
        <v>9331</v>
      </c>
      <c r="D808" s="81">
        <v>9.1310000000000002</v>
      </c>
    </row>
    <row r="809" spans="1:4" ht="18" x14ac:dyDescent="0.25">
      <c r="A809" s="80">
        <v>808</v>
      </c>
      <c r="B809" s="80" t="s">
        <v>10494</v>
      </c>
      <c r="C809" s="80" t="s">
        <v>9331</v>
      </c>
      <c r="D809" s="81">
        <v>9.7829999999999995</v>
      </c>
    </row>
    <row r="810" spans="1:4" ht="18" x14ac:dyDescent="0.25">
      <c r="A810" s="80">
        <v>809</v>
      </c>
      <c r="B810" s="80" t="s">
        <v>10495</v>
      </c>
      <c r="C810" s="80" t="s">
        <v>9331</v>
      </c>
      <c r="D810" s="81">
        <v>10.435</v>
      </c>
    </row>
    <row r="811" spans="1:4" ht="18" x14ac:dyDescent="0.25">
      <c r="A811" s="80">
        <v>810</v>
      </c>
      <c r="B811" s="80" t="s">
        <v>10496</v>
      </c>
      <c r="C811" s="80" t="s">
        <v>9331</v>
      </c>
      <c r="D811" s="81">
        <v>11.087</v>
      </c>
    </row>
    <row r="812" spans="1:4" ht="18" x14ac:dyDescent="0.25">
      <c r="A812" s="80">
        <v>811</v>
      </c>
      <c r="B812" s="80" t="s">
        <v>10497</v>
      </c>
      <c r="C812" s="80" t="s">
        <v>9331</v>
      </c>
      <c r="D812" s="81">
        <v>11.739000000000001</v>
      </c>
    </row>
    <row r="813" spans="1:4" ht="18" x14ac:dyDescent="0.25">
      <c r="A813" s="80">
        <v>812</v>
      </c>
      <c r="B813" s="80" t="s">
        <v>10498</v>
      </c>
      <c r="C813" s="80" t="s">
        <v>9331</v>
      </c>
      <c r="D813" s="81">
        <v>12.391</v>
      </c>
    </row>
    <row r="814" spans="1:4" ht="18" x14ac:dyDescent="0.25">
      <c r="A814" s="80">
        <v>813</v>
      </c>
      <c r="B814" s="80" t="s">
        <v>10499</v>
      </c>
      <c r="C814" s="80" t="s">
        <v>9331</v>
      </c>
      <c r="D814" s="81">
        <v>13.044</v>
      </c>
    </row>
    <row r="815" spans="1:4" ht="18" x14ac:dyDescent="0.25">
      <c r="A815" s="80">
        <v>814</v>
      </c>
      <c r="B815" s="80" t="s">
        <v>10500</v>
      </c>
      <c r="C815" s="80" t="s">
        <v>9331</v>
      </c>
      <c r="D815" s="81">
        <v>13.696</v>
      </c>
    </row>
    <row r="816" spans="1:4" ht="18" x14ac:dyDescent="0.25">
      <c r="A816" s="80">
        <v>815</v>
      </c>
      <c r="B816" s="80" t="s">
        <v>10501</v>
      </c>
      <c r="C816" s="80" t="s">
        <v>9331</v>
      </c>
      <c r="D816" s="81">
        <v>14.348000000000001</v>
      </c>
    </row>
    <row r="817" spans="1:4" ht="18" x14ac:dyDescent="0.25">
      <c r="A817" s="80">
        <v>816</v>
      </c>
      <c r="B817" s="80" t="s">
        <v>10502</v>
      </c>
      <c r="C817" s="80" t="s">
        <v>9331</v>
      </c>
      <c r="D817" s="81">
        <v>15</v>
      </c>
    </row>
    <row r="818" spans="1:4" ht="18" x14ac:dyDescent="0.25">
      <c r="A818" s="80">
        <v>817</v>
      </c>
      <c r="B818" s="80" t="s">
        <v>9336</v>
      </c>
      <c r="C818" s="80" t="s">
        <v>9331</v>
      </c>
      <c r="D818" s="81">
        <v>15.651999999999999</v>
      </c>
    </row>
    <row r="819" spans="1:4" ht="18" x14ac:dyDescent="0.25">
      <c r="A819" s="80">
        <v>818</v>
      </c>
      <c r="B819" s="80" t="s">
        <v>10503</v>
      </c>
      <c r="C819" s="80" t="s">
        <v>9331</v>
      </c>
      <c r="D819" s="81">
        <v>6.6890000000000001</v>
      </c>
    </row>
    <row r="820" spans="1:4" ht="18" x14ac:dyDescent="0.25">
      <c r="A820" s="80">
        <v>819</v>
      </c>
      <c r="B820" s="80" t="s">
        <v>10504</v>
      </c>
      <c r="C820" s="80" t="s">
        <v>9331</v>
      </c>
      <c r="D820" s="81">
        <v>7.3579999999999997</v>
      </c>
    </row>
    <row r="821" spans="1:4" ht="18" x14ac:dyDescent="0.25">
      <c r="A821" s="80">
        <v>820</v>
      </c>
      <c r="B821" s="80" t="s">
        <v>10505</v>
      </c>
      <c r="C821" s="80" t="s">
        <v>9331</v>
      </c>
      <c r="D821" s="81">
        <v>8.0269999999999992</v>
      </c>
    </row>
    <row r="822" spans="1:4" ht="18" x14ac:dyDescent="0.25">
      <c r="A822" s="80">
        <v>821</v>
      </c>
      <c r="B822" s="80" t="s">
        <v>10506</v>
      </c>
      <c r="C822" s="80" t="s">
        <v>9331</v>
      </c>
      <c r="D822" s="81">
        <v>8.6959999999999997</v>
      </c>
    </row>
    <row r="823" spans="1:4" ht="18" x14ac:dyDescent="0.25">
      <c r="A823" s="80">
        <v>822</v>
      </c>
      <c r="B823" s="80" t="s">
        <v>10507</v>
      </c>
      <c r="C823" s="80" t="s">
        <v>9331</v>
      </c>
      <c r="D823" s="81">
        <v>9.3650000000000002</v>
      </c>
    </row>
    <row r="824" spans="1:4" ht="18" x14ac:dyDescent="0.25">
      <c r="A824" s="80">
        <v>823</v>
      </c>
      <c r="B824" s="80" t="s">
        <v>10508</v>
      </c>
      <c r="C824" s="80" t="s">
        <v>9331</v>
      </c>
      <c r="D824" s="81">
        <v>10.034000000000001</v>
      </c>
    </row>
    <row r="825" spans="1:4" ht="18" x14ac:dyDescent="0.25">
      <c r="A825" s="80">
        <v>824</v>
      </c>
      <c r="B825" s="80" t="s">
        <v>10509</v>
      </c>
      <c r="C825" s="80" t="s">
        <v>9331</v>
      </c>
      <c r="D825" s="81">
        <v>10.702</v>
      </c>
    </row>
    <row r="826" spans="1:4" ht="18" x14ac:dyDescent="0.25">
      <c r="A826" s="80">
        <v>825</v>
      </c>
      <c r="B826" s="80" t="s">
        <v>10510</v>
      </c>
      <c r="C826" s="80" t="s">
        <v>9331</v>
      </c>
      <c r="D826" s="81">
        <v>11.371</v>
      </c>
    </row>
    <row r="827" spans="1:4" ht="18" x14ac:dyDescent="0.25">
      <c r="A827" s="80">
        <v>826</v>
      </c>
      <c r="B827" s="80" t="s">
        <v>10511</v>
      </c>
      <c r="C827" s="80" t="s">
        <v>9331</v>
      </c>
      <c r="D827" s="81">
        <v>12.04</v>
      </c>
    </row>
    <row r="828" spans="1:4" ht="18" x14ac:dyDescent="0.25">
      <c r="A828" s="80">
        <v>827</v>
      </c>
      <c r="B828" s="80" t="s">
        <v>10512</v>
      </c>
      <c r="C828" s="80" t="s">
        <v>9331</v>
      </c>
      <c r="D828" s="81">
        <v>12.709</v>
      </c>
    </row>
    <row r="829" spans="1:4" ht="18" x14ac:dyDescent="0.25">
      <c r="A829" s="80">
        <v>828</v>
      </c>
      <c r="B829" s="80" t="s">
        <v>10513</v>
      </c>
      <c r="C829" s="80" t="s">
        <v>9331</v>
      </c>
      <c r="D829" s="81">
        <v>13.378</v>
      </c>
    </row>
    <row r="830" spans="1:4" ht="18" x14ac:dyDescent="0.25">
      <c r="A830" s="80">
        <v>829</v>
      </c>
      <c r="B830" s="80" t="s">
        <v>10514</v>
      </c>
      <c r="C830" s="80" t="s">
        <v>9331</v>
      </c>
      <c r="D830" s="81">
        <v>14.047000000000001</v>
      </c>
    </row>
    <row r="831" spans="1:4" ht="18" x14ac:dyDescent="0.25">
      <c r="A831" s="80">
        <v>830</v>
      </c>
      <c r="B831" s="80" t="s">
        <v>10515</v>
      </c>
      <c r="C831" s="80" t="s">
        <v>9331</v>
      </c>
      <c r="D831" s="81">
        <v>14.715999999999999</v>
      </c>
    </row>
    <row r="832" spans="1:4" ht="18" x14ac:dyDescent="0.25">
      <c r="A832" s="80">
        <v>831</v>
      </c>
      <c r="B832" s="80" t="s">
        <v>10516</v>
      </c>
      <c r="C832" s="80" t="s">
        <v>9331</v>
      </c>
      <c r="D832" s="81">
        <v>15.385</v>
      </c>
    </row>
    <row r="833" spans="1:4" ht="18" x14ac:dyDescent="0.25">
      <c r="A833" s="80">
        <v>832</v>
      </c>
      <c r="B833" s="80" t="s">
        <v>10517</v>
      </c>
      <c r="C833" s="80" t="s">
        <v>9331</v>
      </c>
      <c r="D833" s="81">
        <v>16.053999999999998</v>
      </c>
    </row>
    <row r="834" spans="1:4" ht="18" x14ac:dyDescent="0.25">
      <c r="A834" s="80">
        <v>833</v>
      </c>
      <c r="B834" s="80" t="s">
        <v>10518</v>
      </c>
      <c r="C834" s="80" t="s">
        <v>9331</v>
      </c>
      <c r="D834" s="81">
        <v>7.0229999999999997</v>
      </c>
    </row>
    <row r="835" spans="1:4" ht="18" x14ac:dyDescent="0.25">
      <c r="A835" s="80">
        <v>834</v>
      </c>
      <c r="B835" s="80" t="s">
        <v>10519</v>
      </c>
      <c r="C835" s="80" t="s">
        <v>9331</v>
      </c>
      <c r="D835" s="81">
        <v>7.726</v>
      </c>
    </row>
    <row r="836" spans="1:4" ht="18" x14ac:dyDescent="0.25">
      <c r="A836" s="80">
        <v>835</v>
      </c>
      <c r="B836" s="80" t="s">
        <v>10520</v>
      </c>
      <c r="C836" s="80" t="s">
        <v>9331</v>
      </c>
      <c r="D836" s="81">
        <v>8.4280000000000008</v>
      </c>
    </row>
    <row r="837" spans="1:4" ht="18" x14ac:dyDescent="0.25">
      <c r="A837" s="80">
        <v>836</v>
      </c>
      <c r="B837" s="80" t="s">
        <v>10521</v>
      </c>
      <c r="C837" s="80" t="s">
        <v>9331</v>
      </c>
      <c r="D837" s="81">
        <v>9.1310000000000002</v>
      </c>
    </row>
    <row r="838" spans="1:4" ht="18" x14ac:dyDescent="0.25">
      <c r="A838" s="80">
        <v>837</v>
      </c>
      <c r="B838" s="80" t="s">
        <v>10522</v>
      </c>
      <c r="C838" s="80" t="s">
        <v>9331</v>
      </c>
      <c r="D838" s="81">
        <v>9.8330000000000002</v>
      </c>
    </row>
    <row r="839" spans="1:4" ht="18" x14ac:dyDescent="0.25">
      <c r="A839" s="80">
        <v>838</v>
      </c>
      <c r="B839" s="80" t="s">
        <v>10523</v>
      </c>
      <c r="C839" s="80" t="s">
        <v>9331</v>
      </c>
      <c r="D839" s="81">
        <v>10.535</v>
      </c>
    </row>
    <row r="840" spans="1:4" ht="18" x14ac:dyDescent="0.25">
      <c r="A840" s="80">
        <v>839</v>
      </c>
      <c r="B840" s="80" t="s">
        <v>10524</v>
      </c>
      <c r="C840" s="80" t="s">
        <v>9331</v>
      </c>
      <c r="D840" s="81">
        <v>11.238</v>
      </c>
    </row>
    <row r="841" spans="1:4" ht="18" x14ac:dyDescent="0.25">
      <c r="A841" s="80">
        <v>840</v>
      </c>
      <c r="B841" s="80" t="s">
        <v>10525</v>
      </c>
      <c r="C841" s="80" t="s">
        <v>9331</v>
      </c>
      <c r="D841" s="81">
        <v>11.94</v>
      </c>
    </row>
    <row r="842" spans="1:4" ht="18" x14ac:dyDescent="0.25">
      <c r="A842" s="80">
        <v>841</v>
      </c>
      <c r="B842" s="80" t="s">
        <v>10526</v>
      </c>
      <c r="C842" s="80" t="s">
        <v>9331</v>
      </c>
      <c r="D842" s="81">
        <v>12.641999999999999</v>
      </c>
    </row>
    <row r="843" spans="1:4" ht="18" x14ac:dyDescent="0.25">
      <c r="A843" s="80">
        <v>842</v>
      </c>
      <c r="B843" s="80" t="s">
        <v>10527</v>
      </c>
      <c r="C843" s="80" t="s">
        <v>9331</v>
      </c>
      <c r="D843" s="81">
        <v>13.345000000000001</v>
      </c>
    </row>
    <row r="844" spans="1:4" ht="18" x14ac:dyDescent="0.25">
      <c r="A844" s="80">
        <v>843</v>
      </c>
      <c r="B844" s="80" t="s">
        <v>10528</v>
      </c>
      <c r="C844" s="80" t="s">
        <v>9331</v>
      </c>
      <c r="D844" s="81">
        <v>14.047000000000001</v>
      </c>
    </row>
    <row r="845" spans="1:4" ht="18" x14ac:dyDescent="0.25">
      <c r="A845" s="80">
        <v>844</v>
      </c>
      <c r="B845" s="80" t="s">
        <v>10529</v>
      </c>
      <c r="C845" s="80" t="s">
        <v>9331</v>
      </c>
      <c r="D845" s="81">
        <v>14.749000000000001</v>
      </c>
    </row>
    <row r="846" spans="1:4" ht="18" x14ac:dyDescent="0.25">
      <c r="A846" s="80">
        <v>845</v>
      </c>
      <c r="B846" s="80" t="s">
        <v>10530</v>
      </c>
      <c r="C846" s="80" t="s">
        <v>9331</v>
      </c>
      <c r="D846" s="81">
        <v>15.452</v>
      </c>
    </row>
    <row r="847" spans="1:4" ht="18" x14ac:dyDescent="0.25">
      <c r="A847" s="80">
        <v>846</v>
      </c>
      <c r="B847" s="80" t="s">
        <v>10531</v>
      </c>
      <c r="C847" s="80" t="s">
        <v>9331</v>
      </c>
      <c r="D847" s="81">
        <v>16.154</v>
      </c>
    </row>
    <row r="848" spans="1:4" ht="18" x14ac:dyDescent="0.25">
      <c r="A848" s="80">
        <v>847</v>
      </c>
      <c r="B848" s="80" t="s">
        <v>10532</v>
      </c>
      <c r="C848" s="80" t="s">
        <v>9331</v>
      </c>
      <c r="D848" s="81">
        <v>16.856000000000002</v>
      </c>
    </row>
    <row r="849" spans="1:4" ht="18" x14ac:dyDescent="0.25">
      <c r="A849" s="80">
        <v>848</v>
      </c>
      <c r="B849" s="80" t="s">
        <v>10533</v>
      </c>
      <c r="C849" s="80" t="s">
        <v>9331</v>
      </c>
      <c r="D849" s="81">
        <v>0.66300000000000003</v>
      </c>
    </row>
    <row r="850" spans="1:4" ht="18" x14ac:dyDescent="0.25">
      <c r="A850" s="80">
        <v>849</v>
      </c>
      <c r="B850" s="80" t="s">
        <v>10534</v>
      </c>
      <c r="C850" s="80" t="s">
        <v>9331</v>
      </c>
      <c r="D850" s="81">
        <v>1.4119999999999999</v>
      </c>
    </row>
    <row r="851" spans="1:4" ht="18" x14ac:dyDescent="0.25">
      <c r="A851" s="80">
        <v>850</v>
      </c>
      <c r="B851" s="80" t="s">
        <v>10535</v>
      </c>
      <c r="C851" s="80" t="s">
        <v>9331</v>
      </c>
      <c r="D851" s="81">
        <v>8.4730000000000008</v>
      </c>
    </row>
    <row r="852" spans="1:4" ht="18" x14ac:dyDescent="0.25">
      <c r="A852" s="80">
        <v>851</v>
      </c>
      <c r="B852" s="80" t="s">
        <v>10536</v>
      </c>
      <c r="C852" s="80" t="s">
        <v>9331</v>
      </c>
      <c r="D852" s="81">
        <v>9.32</v>
      </c>
    </row>
    <row r="853" spans="1:4" ht="18" x14ac:dyDescent="0.25">
      <c r="A853" s="80">
        <v>852</v>
      </c>
      <c r="B853" s="80" t="s">
        <v>10537</v>
      </c>
      <c r="C853" s="80" t="s">
        <v>9331</v>
      </c>
      <c r="D853" s="81">
        <v>10.167</v>
      </c>
    </row>
    <row r="854" spans="1:4" ht="18" x14ac:dyDescent="0.25">
      <c r="A854" s="80">
        <v>853</v>
      </c>
      <c r="B854" s="80" t="s">
        <v>10538</v>
      </c>
      <c r="C854" s="80" t="s">
        <v>9331</v>
      </c>
      <c r="D854" s="81">
        <v>11.015000000000001</v>
      </c>
    </row>
    <row r="855" spans="1:4" ht="18" x14ac:dyDescent="0.25">
      <c r="A855" s="80">
        <v>854</v>
      </c>
      <c r="B855" s="80" t="s">
        <v>10539</v>
      </c>
      <c r="C855" s="80" t="s">
        <v>9331</v>
      </c>
      <c r="D855" s="81">
        <v>11.862</v>
      </c>
    </row>
    <row r="856" spans="1:4" ht="18" x14ac:dyDescent="0.25">
      <c r="A856" s="80">
        <v>855</v>
      </c>
      <c r="B856" s="80" t="s">
        <v>10540</v>
      </c>
      <c r="C856" s="80" t="s">
        <v>9331</v>
      </c>
      <c r="D856" s="81">
        <v>12.709</v>
      </c>
    </row>
    <row r="857" spans="1:4" ht="18" x14ac:dyDescent="0.25">
      <c r="A857" s="80">
        <v>856</v>
      </c>
      <c r="B857" s="80" t="s">
        <v>10541</v>
      </c>
      <c r="C857" s="80" t="s">
        <v>9331</v>
      </c>
      <c r="D857" s="81">
        <v>13.555999999999999</v>
      </c>
    </row>
    <row r="858" spans="1:4" ht="18" x14ac:dyDescent="0.25">
      <c r="A858" s="80">
        <v>857</v>
      </c>
      <c r="B858" s="80" t="s">
        <v>10542</v>
      </c>
      <c r="C858" s="80" t="s">
        <v>9331</v>
      </c>
      <c r="D858" s="81">
        <v>14.404</v>
      </c>
    </row>
    <row r="859" spans="1:4" ht="18" x14ac:dyDescent="0.25">
      <c r="A859" s="80">
        <v>858</v>
      </c>
      <c r="B859" s="80" t="s">
        <v>10543</v>
      </c>
      <c r="C859" s="80" t="s">
        <v>9331</v>
      </c>
      <c r="D859" s="81">
        <v>15.250999999999999</v>
      </c>
    </row>
    <row r="860" spans="1:4" ht="18" x14ac:dyDescent="0.25">
      <c r="A860" s="80">
        <v>859</v>
      </c>
      <c r="B860" s="80" t="s">
        <v>10544</v>
      </c>
      <c r="C860" s="80" t="s">
        <v>9331</v>
      </c>
      <c r="D860" s="81">
        <v>16.097999999999999</v>
      </c>
    </row>
    <row r="861" spans="1:4" ht="18" x14ac:dyDescent="0.25">
      <c r="A861" s="80">
        <v>860</v>
      </c>
      <c r="B861" s="80" t="s">
        <v>10545</v>
      </c>
      <c r="C861" s="80" t="s">
        <v>9331</v>
      </c>
      <c r="D861" s="81">
        <v>16.946000000000002</v>
      </c>
    </row>
    <row r="862" spans="1:4" ht="18" x14ac:dyDescent="0.25">
      <c r="A862" s="80">
        <v>861</v>
      </c>
      <c r="B862" s="80" t="s">
        <v>10546</v>
      </c>
      <c r="C862" s="80" t="s">
        <v>9331</v>
      </c>
      <c r="D862" s="81">
        <v>17.792999999999999</v>
      </c>
    </row>
    <row r="863" spans="1:4" ht="18" x14ac:dyDescent="0.25">
      <c r="A863" s="80">
        <v>862</v>
      </c>
      <c r="B863" s="80" t="s">
        <v>10547</v>
      </c>
      <c r="C863" s="80" t="s">
        <v>9331</v>
      </c>
      <c r="D863" s="81">
        <v>18.64</v>
      </c>
    </row>
    <row r="864" spans="1:4" ht="18" x14ac:dyDescent="0.25">
      <c r="A864" s="80">
        <v>863</v>
      </c>
      <c r="B864" s="80" t="s">
        <v>10548</v>
      </c>
      <c r="C864" s="80" t="s">
        <v>9331</v>
      </c>
      <c r="D864" s="81">
        <v>19.486999999999998</v>
      </c>
    </row>
    <row r="865" spans="1:4" ht="18" x14ac:dyDescent="0.25">
      <c r="A865" s="80">
        <v>864</v>
      </c>
      <c r="B865" s="80" t="s">
        <v>10549</v>
      </c>
      <c r="C865" s="80" t="s">
        <v>9331</v>
      </c>
      <c r="D865" s="81">
        <v>20.335000000000001</v>
      </c>
    </row>
    <row r="866" spans="1:4" ht="18" x14ac:dyDescent="0.25">
      <c r="A866" s="80">
        <v>865</v>
      </c>
      <c r="B866" s="80" t="s">
        <v>10550</v>
      </c>
      <c r="C866" s="80" t="s">
        <v>9331</v>
      </c>
      <c r="D866" s="81">
        <v>8.8260000000000005</v>
      </c>
    </row>
    <row r="867" spans="1:4" ht="18" x14ac:dyDescent="0.25">
      <c r="A867" s="80">
        <v>866</v>
      </c>
      <c r="B867" s="80" t="s">
        <v>10551</v>
      </c>
      <c r="C867" s="80" t="s">
        <v>9331</v>
      </c>
      <c r="D867" s="81">
        <v>9.7080000000000002</v>
      </c>
    </row>
    <row r="868" spans="1:4" ht="18" x14ac:dyDescent="0.25">
      <c r="A868" s="80">
        <v>867</v>
      </c>
      <c r="B868" s="80" t="s">
        <v>10552</v>
      </c>
      <c r="C868" s="80" t="s">
        <v>9331</v>
      </c>
      <c r="D868" s="81">
        <v>10.590999999999999</v>
      </c>
    </row>
    <row r="869" spans="1:4" ht="18" x14ac:dyDescent="0.25">
      <c r="A869" s="80">
        <v>868</v>
      </c>
      <c r="B869" s="80" t="s">
        <v>10553</v>
      </c>
      <c r="C869" s="80" t="s">
        <v>9331</v>
      </c>
      <c r="D869" s="81">
        <v>11.474</v>
      </c>
    </row>
    <row r="870" spans="1:4" ht="18" x14ac:dyDescent="0.25">
      <c r="A870" s="80">
        <v>869</v>
      </c>
      <c r="B870" s="80" t="s">
        <v>10554</v>
      </c>
      <c r="C870" s="80" t="s">
        <v>9331</v>
      </c>
      <c r="D870" s="81">
        <v>12.356</v>
      </c>
    </row>
    <row r="871" spans="1:4" ht="18" x14ac:dyDescent="0.25">
      <c r="A871" s="80">
        <v>870</v>
      </c>
      <c r="B871" s="80" t="s">
        <v>10555</v>
      </c>
      <c r="C871" s="80" t="s">
        <v>9331</v>
      </c>
      <c r="D871" s="81">
        <v>13.239000000000001</v>
      </c>
    </row>
    <row r="872" spans="1:4" ht="18" x14ac:dyDescent="0.25">
      <c r="A872" s="80">
        <v>871</v>
      </c>
      <c r="B872" s="80" t="s">
        <v>10556</v>
      </c>
      <c r="C872" s="80" t="s">
        <v>9331</v>
      </c>
      <c r="D872" s="81">
        <v>14.121</v>
      </c>
    </row>
    <row r="873" spans="1:4" ht="18" x14ac:dyDescent="0.25">
      <c r="A873" s="80">
        <v>872</v>
      </c>
      <c r="B873" s="80" t="s">
        <v>10557</v>
      </c>
      <c r="C873" s="80" t="s">
        <v>9331</v>
      </c>
      <c r="D873" s="81">
        <v>15.004</v>
      </c>
    </row>
    <row r="874" spans="1:4" ht="18" x14ac:dyDescent="0.25">
      <c r="A874" s="80">
        <v>873</v>
      </c>
      <c r="B874" s="80" t="s">
        <v>10558</v>
      </c>
      <c r="C874" s="80" t="s">
        <v>9331</v>
      </c>
      <c r="D874" s="81">
        <v>15.885999999999999</v>
      </c>
    </row>
    <row r="875" spans="1:4" ht="18" x14ac:dyDescent="0.25">
      <c r="A875" s="80">
        <v>874</v>
      </c>
      <c r="B875" s="80" t="s">
        <v>10559</v>
      </c>
      <c r="C875" s="80" t="s">
        <v>9331</v>
      </c>
      <c r="D875" s="81">
        <v>16.768999999999998</v>
      </c>
    </row>
    <row r="876" spans="1:4" ht="18" x14ac:dyDescent="0.25">
      <c r="A876" s="80">
        <v>875</v>
      </c>
      <c r="B876" s="80" t="s">
        <v>10560</v>
      </c>
      <c r="C876" s="80" t="s">
        <v>9331</v>
      </c>
      <c r="D876" s="81">
        <v>17.652000000000001</v>
      </c>
    </row>
    <row r="877" spans="1:4" ht="18" x14ac:dyDescent="0.25">
      <c r="A877" s="80">
        <v>876</v>
      </c>
      <c r="B877" s="80" t="s">
        <v>10561</v>
      </c>
      <c r="C877" s="80" t="s">
        <v>9331</v>
      </c>
      <c r="D877" s="81">
        <v>18.533999999999999</v>
      </c>
    </row>
    <row r="878" spans="1:4" ht="18" x14ac:dyDescent="0.25">
      <c r="A878" s="80">
        <v>877</v>
      </c>
      <c r="B878" s="80" t="s">
        <v>10562</v>
      </c>
      <c r="C878" s="80" t="s">
        <v>9331</v>
      </c>
      <c r="D878" s="81">
        <v>19.417000000000002</v>
      </c>
    </row>
    <row r="879" spans="1:4" ht="18" x14ac:dyDescent="0.25">
      <c r="A879" s="80">
        <v>878</v>
      </c>
      <c r="B879" s="80" t="s">
        <v>10563</v>
      </c>
      <c r="C879" s="80" t="s">
        <v>9331</v>
      </c>
      <c r="D879" s="81">
        <v>20.298999999999999</v>
      </c>
    </row>
    <row r="880" spans="1:4" ht="18" x14ac:dyDescent="0.25">
      <c r="A880" s="80">
        <v>879</v>
      </c>
      <c r="B880" s="80" t="s">
        <v>10564</v>
      </c>
      <c r="C880" s="80" t="s">
        <v>9331</v>
      </c>
      <c r="D880" s="81">
        <v>21.181999999999999</v>
      </c>
    </row>
    <row r="881" spans="1:4" ht="18" x14ac:dyDescent="0.25">
      <c r="A881" s="80">
        <v>880</v>
      </c>
      <c r="B881" s="80" t="s">
        <v>10565</v>
      </c>
      <c r="C881" s="80" t="s">
        <v>9331</v>
      </c>
      <c r="D881" s="81">
        <v>9.1790000000000003</v>
      </c>
    </row>
    <row r="882" spans="1:4" ht="18" x14ac:dyDescent="0.25">
      <c r="A882" s="80">
        <v>881</v>
      </c>
      <c r="B882" s="80" t="s">
        <v>10566</v>
      </c>
      <c r="C882" s="80" t="s">
        <v>9331</v>
      </c>
      <c r="D882" s="81">
        <v>10.097</v>
      </c>
    </row>
    <row r="883" spans="1:4" ht="18" x14ac:dyDescent="0.25">
      <c r="A883" s="80">
        <v>882</v>
      </c>
      <c r="B883" s="80" t="s">
        <v>10567</v>
      </c>
      <c r="C883" s="80" t="s">
        <v>9331</v>
      </c>
      <c r="D883" s="81">
        <v>11.015000000000001</v>
      </c>
    </row>
    <row r="884" spans="1:4" ht="18" x14ac:dyDescent="0.25">
      <c r="A884" s="80">
        <v>883</v>
      </c>
      <c r="B884" s="80" t="s">
        <v>10568</v>
      </c>
      <c r="C884" s="80" t="s">
        <v>9331</v>
      </c>
      <c r="D884" s="81">
        <v>11.932</v>
      </c>
    </row>
    <row r="885" spans="1:4" ht="18" x14ac:dyDescent="0.25">
      <c r="A885" s="80">
        <v>884</v>
      </c>
      <c r="B885" s="80" t="s">
        <v>10569</v>
      </c>
      <c r="C885" s="80" t="s">
        <v>9331</v>
      </c>
      <c r="D885" s="81">
        <v>12.85</v>
      </c>
    </row>
    <row r="886" spans="1:4" ht="18" x14ac:dyDescent="0.25">
      <c r="A886" s="80">
        <v>885</v>
      </c>
      <c r="B886" s="80" t="s">
        <v>10570</v>
      </c>
      <c r="C886" s="80" t="s">
        <v>9331</v>
      </c>
      <c r="D886" s="81">
        <v>13.768000000000001</v>
      </c>
    </row>
    <row r="887" spans="1:4" ht="18" x14ac:dyDescent="0.25">
      <c r="A887" s="80">
        <v>886</v>
      </c>
      <c r="B887" s="80" t="s">
        <v>10571</v>
      </c>
      <c r="C887" s="80" t="s">
        <v>9331</v>
      </c>
      <c r="D887" s="81">
        <v>14.686</v>
      </c>
    </row>
    <row r="888" spans="1:4" ht="18" x14ac:dyDescent="0.25">
      <c r="A888" s="80">
        <v>887</v>
      </c>
      <c r="B888" s="80" t="s">
        <v>10572</v>
      </c>
      <c r="C888" s="80" t="s">
        <v>9331</v>
      </c>
      <c r="D888" s="81">
        <v>15.603999999999999</v>
      </c>
    </row>
    <row r="889" spans="1:4" ht="18" x14ac:dyDescent="0.25">
      <c r="A889" s="80">
        <v>888</v>
      </c>
      <c r="B889" s="80" t="s">
        <v>10573</v>
      </c>
      <c r="C889" s="80" t="s">
        <v>9331</v>
      </c>
      <c r="D889" s="81">
        <v>16.521999999999998</v>
      </c>
    </row>
    <row r="890" spans="1:4" ht="18" x14ac:dyDescent="0.25">
      <c r="A890" s="80">
        <v>889</v>
      </c>
      <c r="B890" s="80" t="s">
        <v>10574</v>
      </c>
      <c r="C890" s="80" t="s">
        <v>9331</v>
      </c>
      <c r="D890" s="81">
        <v>17.440000000000001</v>
      </c>
    </row>
    <row r="891" spans="1:4" ht="18" x14ac:dyDescent="0.25">
      <c r="A891" s="80">
        <v>890</v>
      </c>
      <c r="B891" s="80" t="s">
        <v>10575</v>
      </c>
      <c r="C891" s="80" t="s">
        <v>9331</v>
      </c>
      <c r="D891" s="81">
        <v>18.358000000000001</v>
      </c>
    </row>
    <row r="892" spans="1:4" ht="18" x14ac:dyDescent="0.25">
      <c r="A892" s="80">
        <v>891</v>
      </c>
      <c r="B892" s="80" t="s">
        <v>10576</v>
      </c>
      <c r="C892" s="80" t="s">
        <v>9331</v>
      </c>
      <c r="D892" s="81">
        <v>19.276</v>
      </c>
    </row>
    <row r="893" spans="1:4" ht="18" x14ac:dyDescent="0.25">
      <c r="A893" s="80">
        <v>892</v>
      </c>
      <c r="B893" s="80" t="s">
        <v>10577</v>
      </c>
      <c r="C893" s="80" t="s">
        <v>9331</v>
      </c>
      <c r="D893" s="81">
        <v>20.193000000000001</v>
      </c>
    </row>
    <row r="894" spans="1:4" ht="18" x14ac:dyDescent="0.25">
      <c r="A894" s="80">
        <v>893</v>
      </c>
      <c r="B894" s="80" t="s">
        <v>10578</v>
      </c>
      <c r="C894" s="80" t="s">
        <v>9331</v>
      </c>
      <c r="D894" s="81">
        <v>21.111000000000001</v>
      </c>
    </row>
    <row r="895" spans="1:4" ht="18" x14ac:dyDescent="0.25">
      <c r="A895" s="80">
        <v>894</v>
      </c>
      <c r="B895" s="80" t="s">
        <v>9337</v>
      </c>
      <c r="C895" s="80" t="s">
        <v>9331</v>
      </c>
      <c r="D895" s="81">
        <v>22.029</v>
      </c>
    </row>
    <row r="896" spans="1:4" ht="18" x14ac:dyDescent="0.25">
      <c r="A896" s="80">
        <v>895</v>
      </c>
      <c r="B896" s="80" t="s">
        <v>10579</v>
      </c>
      <c r="C896" s="80" t="s">
        <v>9331</v>
      </c>
      <c r="D896" s="81">
        <v>9.4139999999999997</v>
      </c>
    </row>
    <row r="897" spans="1:4" ht="18" x14ac:dyDescent="0.25">
      <c r="A897" s="80">
        <v>896</v>
      </c>
      <c r="B897" s="80" t="s">
        <v>10580</v>
      </c>
      <c r="C897" s="80" t="s">
        <v>9331</v>
      </c>
      <c r="D897" s="81">
        <v>10.356</v>
      </c>
    </row>
    <row r="898" spans="1:4" ht="18" x14ac:dyDescent="0.25">
      <c r="A898" s="80">
        <v>897</v>
      </c>
      <c r="B898" s="80" t="s">
        <v>10581</v>
      </c>
      <c r="C898" s="80" t="s">
        <v>9331</v>
      </c>
      <c r="D898" s="81">
        <v>11.297000000000001</v>
      </c>
    </row>
    <row r="899" spans="1:4" ht="18" x14ac:dyDescent="0.25">
      <c r="A899" s="80">
        <v>898</v>
      </c>
      <c r="B899" s="80" t="s">
        <v>10582</v>
      </c>
      <c r="C899" s="80" t="s">
        <v>9331</v>
      </c>
      <c r="D899" s="81">
        <v>12.238</v>
      </c>
    </row>
    <row r="900" spans="1:4" ht="18" x14ac:dyDescent="0.25">
      <c r="A900" s="80">
        <v>899</v>
      </c>
      <c r="B900" s="80" t="s">
        <v>10583</v>
      </c>
      <c r="C900" s="80" t="s">
        <v>9331</v>
      </c>
      <c r="D900" s="81">
        <v>13.18</v>
      </c>
    </row>
    <row r="901" spans="1:4" ht="18" x14ac:dyDescent="0.25">
      <c r="A901" s="80">
        <v>900</v>
      </c>
      <c r="B901" s="80" t="s">
        <v>10584</v>
      </c>
      <c r="C901" s="80" t="s">
        <v>9331</v>
      </c>
      <c r="D901" s="81">
        <v>14.121</v>
      </c>
    </row>
    <row r="902" spans="1:4" ht="18" x14ac:dyDescent="0.25">
      <c r="A902" s="80">
        <v>901</v>
      </c>
      <c r="B902" s="80" t="s">
        <v>10585</v>
      </c>
      <c r="C902" s="80" t="s">
        <v>9331</v>
      </c>
      <c r="D902" s="81">
        <v>15.063000000000001</v>
      </c>
    </row>
    <row r="903" spans="1:4" ht="18" x14ac:dyDescent="0.25">
      <c r="A903" s="80">
        <v>902</v>
      </c>
      <c r="B903" s="80" t="s">
        <v>10586</v>
      </c>
      <c r="C903" s="80" t="s">
        <v>9331</v>
      </c>
      <c r="D903" s="81">
        <v>16.004000000000001</v>
      </c>
    </row>
    <row r="904" spans="1:4" ht="18" x14ac:dyDescent="0.25">
      <c r="A904" s="80">
        <v>903</v>
      </c>
      <c r="B904" s="80" t="s">
        <v>10587</v>
      </c>
      <c r="C904" s="80" t="s">
        <v>9331</v>
      </c>
      <c r="D904" s="81">
        <v>16.946000000000002</v>
      </c>
    </row>
    <row r="905" spans="1:4" ht="18" x14ac:dyDescent="0.25">
      <c r="A905" s="80">
        <v>904</v>
      </c>
      <c r="B905" s="80" t="s">
        <v>10588</v>
      </c>
      <c r="C905" s="80" t="s">
        <v>9331</v>
      </c>
      <c r="D905" s="81">
        <v>17.887</v>
      </c>
    </row>
    <row r="906" spans="1:4" ht="18" x14ac:dyDescent="0.25">
      <c r="A906" s="80">
        <v>905</v>
      </c>
      <c r="B906" s="80" t="s">
        <v>10589</v>
      </c>
      <c r="C906" s="80" t="s">
        <v>9331</v>
      </c>
      <c r="D906" s="81">
        <v>18.827999999999999</v>
      </c>
    </row>
    <row r="907" spans="1:4" ht="18" x14ac:dyDescent="0.25">
      <c r="A907" s="80">
        <v>906</v>
      </c>
      <c r="B907" s="80" t="s">
        <v>10590</v>
      </c>
      <c r="C907" s="80" t="s">
        <v>9331</v>
      </c>
      <c r="D907" s="81">
        <v>19.77</v>
      </c>
    </row>
    <row r="908" spans="1:4" ht="18" x14ac:dyDescent="0.25">
      <c r="A908" s="80">
        <v>907</v>
      </c>
      <c r="B908" s="80" t="s">
        <v>10591</v>
      </c>
      <c r="C908" s="80" t="s">
        <v>9331</v>
      </c>
      <c r="D908" s="81">
        <v>20.710999999999999</v>
      </c>
    </row>
    <row r="909" spans="1:4" ht="18" x14ac:dyDescent="0.25">
      <c r="A909" s="80">
        <v>908</v>
      </c>
      <c r="B909" s="80" t="s">
        <v>10592</v>
      </c>
      <c r="C909" s="80" t="s">
        <v>9331</v>
      </c>
      <c r="D909" s="81">
        <v>21.652999999999999</v>
      </c>
    </row>
    <row r="910" spans="1:4" ht="18" x14ac:dyDescent="0.25">
      <c r="A910" s="80">
        <v>909</v>
      </c>
      <c r="B910" s="80" t="s">
        <v>10593</v>
      </c>
      <c r="C910" s="80" t="s">
        <v>9331</v>
      </c>
      <c r="D910" s="81">
        <v>22.594000000000001</v>
      </c>
    </row>
    <row r="911" spans="1:4" ht="18" x14ac:dyDescent="0.25">
      <c r="A911" s="80">
        <v>910</v>
      </c>
      <c r="B911" s="80" t="s">
        <v>10594</v>
      </c>
      <c r="C911" s="80" t="s">
        <v>9331</v>
      </c>
      <c r="D911" s="81">
        <v>9.8849999999999998</v>
      </c>
    </row>
    <row r="912" spans="1:4" ht="18" x14ac:dyDescent="0.25">
      <c r="A912" s="80">
        <v>911</v>
      </c>
      <c r="B912" s="80" t="s">
        <v>10595</v>
      </c>
      <c r="C912" s="80" t="s">
        <v>9331</v>
      </c>
      <c r="D912" s="81">
        <v>10.872999999999999</v>
      </c>
    </row>
    <row r="913" spans="1:4" ht="18" x14ac:dyDescent="0.25">
      <c r="A913" s="80">
        <v>912</v>
      </c>
      <c r="B913" s="80" t="s">
        <v>10596</v>
      </c>
      <c r="C913" s="80" t="s">
        <v>9331</v>
      </c>
      <c r="D913" s="81">
        <v>11.862</v>
      </c>
    </row>
    <row r="914" spans="1:4" ht="18" x14ac:dyDescent="0.25">
      <c r="A914" s="80">
        <v>913</v>
      </c>
      <c r="B914" s="80" t="s">
        <v>10597</v>
      </c>
      <c r="C914" s="80" t="s">
        <v>9331</v>
      </c>
      <c r="D914" s="81">
        <v>12.85</v>
      </c>
    </row>
    <row r="915" spans="1:4" ht="18" x14ac:dyDescent="0.25">
      <c r="A915" s="80">
        <v>914</v>
      </c>
      <c r="B915" s="80" t="s">
        <v>10598</v>
      </c>
      <c r="C915" s="80" t="s">
        <v>9331</v>
      </c>
      <c r="D915" s="81">
        <v>13.839</v>
      </c>
    </row>
    <row r="916" spans="1:4" ht="18" x14ac:dyDescent="0.25">
      <c r="A916" s="80">
        <v>915</v>
      </c>
      <c r="B916" s="80" t="s">
        <v>10599</v>
      </c>
      <c r="C916" s="80" t="s">
        <v>9331</v>
      </c>
      <c r="D916" s="81">
        <v>14.827</v>
      </c>
    </row>
    <row r="917" spans="1:4" ht="18" x14ac:dyDescent="0.25">
      <c r="A917" s="80">
        <v>916</v>
      </c>
      <c r="B917" s="80" t="s">
        <v>10600</v>
      </c>
      <c r="C917" s="80" t="s">
        <v>9331</v>
      </c>
      <c r="D917" s="81">
        <v>15.816000000000001</v>
      </c>
    </row>
    <row r="918" spans="1:4" ht="18" x14ac:dyDescent="0.25">
      <c r="A918" s="80">
        <v>917</v>
      </c>
      <c r="B918" s="80" t="s">
        <v>10601</v>
      </c>
      <c r="C918" s="80" t="s">
        <v>9331</v>
      </c>
      <c r="D918" s="81">
        <v>16.803999999999998</v>
      </c>
    </row>
    <row r="919" spans="1:4" ht="18" x14ac:dyDescent="0.25">
      <c r="A919" s="80">
        <v>918</v>
      </c>
      <c r="B919" s="80" t="s">
        <v>10602</v>
      </c>
      <c r="C919" s="80" t="s">
        <v>9331</v>
      </c>
      <c r="D919" s="81">
        <v>17.792999999999999</v>
      </c>
    </row>
    <row r="920" spans="1:4" ht="18" x14ac:dyDescent="0.25">
      <c r="A920" s="80">
        <v>919</v>
      </c>
      <c r="B920" s="80" t="s">
        <v>10603</v>
      </c>
      <c r="C920" s="80" t="s">
        <v>9331</v>
      </c>
      <c r="D920" s="81">
        <v>18.780999999999999</v>
      </c>
    </row>
    <row r="921" spans="1:4" ht="18" x14ac:dyDescent="0.25">
      <c r="A921" s="80">
        <v>920</v>
      </c>
      <c r="B921" s="80" t="s">
        <v>10604</v>
      </c>
      <c r="C921" s="80" t="s">
        <v>9331</v>
      </c>
      <c r="D921" s="81">
        <v>19.77</v>
      </c>
    </row>
    <row r="922" spans="1:4" ht="18" x14ac:dyDescent="0.25">
      <c r="A922" s="80">
        <v>921</v>
      </c>
      <c r="B922" s="80" t="s">
        <v>10605</v>
      </c>
      <c r="C922" s="80" t="s">
        <v>9331</v>
      </c>
      <c r="D922" s="81">
        <v>20.757999999999999</v>
      </c>
    </row>
    <row r="923" spans="1:4" ht="18" x14ac:dyDescent="0.25">
      <c r="A923" s="80">
        <v>922</v>
      </c>
      <c r="B923" s="80" t="s">
        <v>10606</v>
      </c>
      <c r="C923" s="80" t="s">
        <v>9331</v>
      </c>
      <c r="D923" s="81">
        <v>21.747</v>
      </c>
    </row>
    <row r="924" spans="1:4" ht="18" x14ac:dyDescent="0.25">
      <c r="A924" s="80">
        <v>923</v>
      </c>
      <c r="B924" s="80" t="s">
        <v>10607</v>
      </c>
      <c r="C924" s="80" t="s">
        <v>9331</v>
      </c>
      <c r="D924" s="81">
        <v>22.734999999999999</v>
      </c>
    </row>
    <row r="925" spans="1:4" ht="18" x14ac:dyDescent="0.25">
      <c r="A925" s="80">
        <v>924</v>
      </c>
      <c r="B925" s="80" t="s">
        <v>10608</v>
      </c>
      <c r="C925" s="80" t="s">
        <v>9331</v>
      </c>
      <c r="D925" s="81">
        <v>23.724</v>
      </c>
    </row>
    <row r="926" spans="1:4" ht="18" x14ac:dyDescent="0.25">
      <c r="A926" s="80">
        <v>925</v>
      </c>
      <c r="B926" s="80" t="s">
        <v>10609</v>
      </c>
      <c r="C926" s="80" t="s">
        <v>9331</v>
      </c>
      <c r="D926" s="81">
        <v>0.113</v>
      </c>
    </row>
    <row r="927" spans="1:4" ht="18" x14ac:dyDescent="0.25">
      <c r="A927" s="80">
        <v>926</v>
      </c>
      <c r="B927" s="80" t="s">
        <v>10610</v>
      </c>
      <c r="C927" s="80" t="s">
        <v>9331</v>
      </c>
      <c r="D927" s="81">
        <v>0.248</v>
      </c>
    </row>
    <row r="928" spans="1:4" ht="18" x14ac:dyDescent="0.25">
      <c r="A928" s="80">
        <v>927</v>
      </c>
      <c r="B928" s="80" t="s">
        <v>10611</v>
      </c>
      <c r="C928" s="80" t="s">
        <v>9331</v>
      </c>
      <c r="D928" s="81">
        <v>1.5309999999999999</v>
      </c>
    </row>
    <row r="929" spans="1:4" ht="18" x14ac:dyDescent="0.25">
      <c r="A929" s="80">
        <v>928</v>
      </c>
      <c r="B929" s="80" t="s">
        <v>10612</v>
      </c>
      <c r="C929" s="80" t="s">
        <v>9331</v>
      </c>
      <c r="D929" s="81">
        <v>1.6870000000000001</v>
      </c>
    </row>
    <row r="930" spans="1:4" ht="18" x14ac:dyDescent="0.25">
      <c r="A930" s="80">
        <v>929</v>
      </c>
      <c r="B930" s="80" t="s">
        <v>10613</v>
      </c>
      <c r="C930" s="80" t="s">
        <v>9331</v>
      </c>
      <c r="D930" s="81">
        <v>1.8420000000000001</v>
      </c>
    </row>
    <row r="931" spans="1:4" ht="18" x14ac:dyDescent="0.25">
      <c r="A931" s="80">
        <v>930</v>
      </c>
      <c r="B931" s="80" t="s">
        <v>10614</v>
      </c>
      <c r="C931" s="80" t="s">
        <v>9331</v>
      </c>
      <c r="D931" s="81">
        <v>1.998</v>
      </c>
    </row>
    <row r="932" spans="1:4" ht="18" x14ac:dyDescent="0.25">
      <c r="A932" s="80">
        <v>931</v>
      </c>
      <c r="B932" s="80" t="s">
        <v>10615</v>
      </c>
      <c r="C932" s="80" t="s">
        <v>9331</v>
      </c>
      <c r="D932" s="81">
        <v>2.1539999999999999</v>
      </c>
    </row>
    <row r="933" spans="1:4" ht="18" x14ac:dyDescent="0.25">
      <c r="A933" s="80">
        <v>932</v>
      </c>
      <c r="B933" s="80" t="s">
        <v>10616</v>
      </c>
      <c r="C933" s="80" t="s">
        <v>9331</v>
      </c>
      <c r="D933" s="81">
        <v>2.3090000000000002</v>
      </c>
    </row>
    <row r="934" spans="1:4" ht="18" x14ac:dyDescent="0.25">
      <c r="A934" s="80">
        <v>933</v>
      </c>
      <c r="B934" s="80" t="s">
        <v>10617</v>
      </c>
      <c r="C934" s="80" t="s">
        <v>9331</v>
      </c>
      <c r="D934" s="81">
        <v>2.4649999999999999</v>
      </c>
    </row>
    <row r="935" spans="1:4" ht="18" x14ac:dyDescent="0.25">
      <c r="A935" s="80">
        <v>934</v>
      </c>
      <c r="B935" s="80" t="s">
        <v>10618</v>
      </c>
      <c r="C935" s="80" t="s">
        <v>9331</v>
      </c>
      <c r="D935" s="81">
        <v>2.621</v>
      </c>
    </row>
    <row r="936" spans="1:4" ht="18" x14ac:dyDescent="0.25">
      <c r="A936" s="80">
        <v>935</v>
      </c>
      <c r="B936" s="80" t="s">
        <v>10619</v>
      </c>
      <c r="C936" s="80" t="s">
        <v>9331</v>
      </c>
      <c r="D936" s="81">
        <v>2.7759999999999998</v>
      </c>
    </row>
    <row r="937" spans="1:4" ht="18" x14ac:dyDescent="0.25">
      <c r="A937" s="80">
        <v>936</v>
      </c>
      <c r="B937" s="80" t="s">
        <v>10620</v>
      </c>
      <c r="C937" s="80" t="s">
        <v>9331</v>
      </c>
      <c r="D937" s="81">
        <v>2.9319999999999999</v>
      </c>
    </row>
    <row r="938" spans="1:4" ht="18" x14ac:dyDescent="0.25">
      <c r="A938" s="80">
        <v>937</v>
      </c>
      <c r="B938" s="80" t="s">
        <v>10621</v>
      </c>
      <c r="C938" s="80" t="s">
        <v>9331</v>
      </c>
      <c r="D938" s="81">
        <v>3.0880000000000001</v>
      </c>
    </row>
    <row r="939" spans="1:4" ht="18" x14ac:dyDescent="0.25">
      <c r="A939" s="80">
        <v>938</v>
      </c>
      <c r="B939" s="80" t="s">
        <v>10622</v>
      </c>
      <c r="C939" s="80" t="s">
        <v>9331</v>
      </c>
      <c r="D939" s="81">
        <v>3.2429999999999999</v>
      </c>
    </row>
    <row r="940" spans="1:4" ht="18" x14ac:dyDescent="0.25">
      <c r="A940" s="80">
        <v>939</v>
      </c>
      <c r="B940" s="80" t="s">
        <v>10623</v>
      </c>
      <c r="C940" s="80" t="s">
        <v>9331</v>
      </c>
      <c r="D940" s="81">
        <v>3.399</v>
      </c>
    </row>
    <row r="941" spans="1:4" ht="18" x14ac:dyDescent="0.25">
      <c r="A941" s="80">
        <v>940</v>
      </c>
      <c r="B941" s="80" t="s">
        <v>10624</v>
      </c>
      <c r="C941" s="80" t="s">
        <v>9331</v>
      </c>
      <c r="D941" s="81">
        <v>3.5550000000000002</v>
      </c>
    </row>
    <row r="942" spans="1:4" ht="18" x14ac:dyDescent="0.25">
      <c r="A942" s="80">
        <v>941</v>
      </c>
      <c r="B942" s="80" t="s">
        <v>10625</v>
      </c>
      <c r="C942" s="80" t="s">
        <v>9331</v>
      </c>
      <c r="D942" s="81">
        <v>3.71</v>
      </c>
    </row>
    <row r="943" spans="1:4" ht="18" x14ac:dyDescent="0.25">
      <c r="A943" s="80">
        <v>942</v>
      </c>
      <c r="B943" s="80" t="s">
        <v>10626</v>
      </c>
      <c r="C943" s="80" t="s">
        <v>9331</v>
      </c>
      <c r="D943" s="81">
        <v>1.595</v>
      </c>
    </row>
    <row r="944" spans="1:4" ht="18" x14ac:dyDescent="0.25">
      <c r="A944" s="80">
        <v>943</v>
      </c>
      <c r="B944" s="80" t="s">
        <v>10627</v>
      </c>
      <c r="C944" s="80" t="s">
        <v>9331</v>
      </c>
      <c r="D944" s="81">
        <v>1.7569999999999999</v>
      </c>
    </row>
    <row r="945" spans="1:4" ht="18" x14ac:dyDescent="0.25">
      <c r="A945" s="80">
        <v>944</v>
      </c>
      <c r="B945" s="80" t="s">
        <v>10628</v>
      </c>
      <c r="C945" s="80" t="s">
        <v>9331</v>
      </c>
      <c r="D945" s="81">
        <v>1.92</v>
      </c>
    </row>
    <row r="946" spans="1:4" ht="18" x14ac:dyDescent="0.25">
      <c r="A946" s="80">
        <v>945</v>
      </c>
      <c r="B946" s="80" t="s">
        <v>10629</v>
      </c>
      <c r="C946" s="80" t="s">
        <v>9331</v>
      </c>
      <c r="D946" s="81">
        <v>2.0819999999999999</v>
      </c>
    </row>
    <row r="947" spans="1:4" ht="18" x14ac:dyDescent="0.25">
      <c r="A947" s="80">
        <v>946</v>
      </c>
      <c r="B947" s="80" t="s">
        <v>10630</v>
      </c>
      <c r="C947" s="80" t="s">
        <v>9331</v>
      </c>
      <c r="D947" s="81">
        <v>2.2440000000000002</v>
      </c>
    </row>
    <row r="948" spans="1:4" ht="18" x14ac:dyDescent="0.25">
      <c r="A948" s="80">
        <v>947</v>
      </c>
      <c r="B948" s="80" t="s">
        <v>10631</v>
      </c>
      <c r="C948" s="80" t="s">
        <v>9331</v>
      </c>
      <c r="D948" s="81">
        <v>2.4060000000000001</v>
      </c>
    </row>
    <row r="949" spans="1:4" ht="18" x14ac:dyDescent="0.25">
      <c r="A949" s="80">
        <v>948</v>
      </c>
      <c r="B949" s="80" t="s">
        <v>10632</v>
      </c>
      <c r="C949" s="80" t="s">
        <v>9331</v>
      </c>
      <c r="D949" s="81">
        <v>2.5680000000000001</v>
      </c>
    </row>
    <row r="950" spans="1:4" ht="18" x14ac:dyDescent="0.25">
      <c r="A950" s="80">
        <v>949</v>
      </c>
      <c r="B950" s="80" t="s">
        <v>10633</v>
      </c>
      <c r="C950" s="80" t="s">
        <v>9331</v>
      </c>
      <c r="D950" s="81">
        <v>2.7309999999999999</v>
      </c>
    </row>
    <row r="951" spans="1:4" ht="18" x14ac:dyDescent="0.25">
      <c r="A951" s="80">
        <v>950</v>
      </c>
      <c r="B951" s="80" t="s">
        <v>10634</v>
      </c>
      <c r="C951" s="80" t="s">
        <v>9331</v>
      </c>
      <c r="D951" s="81">
        <v>2.8929999999999998</v>
      </c>
    </row>
    <row r="952" spans="1:4" ht="18" x14ac:dyDescent="0.25">
      <c r="A952" s="80">
        <v>951</v>
      </c>
      <c r="B952" s="80" t="s">
        <v>10635</v>
      </c>
      <c r="C952" s="80" t="s">
        <v>9331</v>
      </c>
      <c r="D952" s="81">
        <v>3.0550000000000002</v>
      </c>
    </row>
    <row r="953" spans="1:4" ht="18" x14ac:dyDescent="0.25">
      <c r="A953" s="80">
        <v>952</v>
      </c>
      <c r="B953" s="80" t="s">
        <v>10636</v>
      </c>
      <c r="C953" s="80" t="s">
        <v>9331</v>
      </c>
      <c r="D953" s="81">
        <v>3.2170000000000001</v>
      </c>
    </row>
    <row r="954" spans="1:4" ht="18" x14ac:dyDescent="0.25">
      <c r="A954" s="80">
        <v>953</v>
      </c>
      <c r="B954" s="80" t="s">
        <v>10637</v>
      </c>
      <c r="C954" s="80" t="s">
        <v>9331</v>
      </c>
      <c r="D954" s="81">
        <v>3.38</v>
      </c>
    </row>
    <row r="955" spans="1:4" ht="18" x14ac:dyDescent="0.25">
      <c r="A955" s="80">
        <v>954</v>
      </c>
      <c r="B955" s="80" t="s">
        <v>10638</v>
      </c>
      <c r="C955" s="80" t="s">
        <v>9331</v>
      </c>
      <c r="D955" s="81">
        <v>3.5419999999999998</v>
      </c>
    </row>
    <row r="956" spans="1:4" ht="18" x14ac:dyDescent="0.25">
      <c r="A956" s="80">
        <v>955</v>
      </c>
      <c r="B956" s="80" t="s">
        <v>10639</v>
      </c>
      <c r="C956" s="80" t="s">
        <v>9331</v>
      </c>
      <c r="D956" s="81">
        <v>3.7040000000000002</v>
      </c>
    </row>
    <row r="957" spans="1:4" ht="18" x14ac:dyDescent="0.25">
      <c r="A957" s="80">
        <v>956</v>
      </c>
      <c r="B957" s="80" t="s">
        <v>10640</v>
      </c>
      <c r="C957" s="80" t="s">
        <v>9331</v>
      </c>
      <c r="D957" s="81">
        <v>3.8660000000000001</v>
      </c>
    </row>
    <row r="958" spans="1:4" ht="18" x14ac:dyDescent="0.25">
      <c r="A958" s="80">
        <v>957</v>
      </c>
      <c r="B958" s="80" t="s">
        <v>10641</v>
      </c>
      <c r="C958" s="80" t="s">
        <v>9331</v>
      </c>
      <c r="D958" s="81">
        <v>1.659</v>
      </c>
    </row>
    <row r="959" spans="1:4" ht="18" x14ac:dyDescent="0.25">
      <c r="A959" s="80">
        <v>958</v>
      </c>
      <c r="B959" s="80" t="s">
        <v>10642</v>
      </c>
      <c r="C959" s="80" t="s">
        <v>9331</v>
      </c>
      <c r="D959" s="81">
        <v>1.8280000000000001</v>
      </c>
    </row>
    <row r="960" spans="1:4" ht="18" x14ac:dyDescent="0.25">
      <c r="A960" s="80">
        <v>959</v>
      </c>
      <c r="B960" s="80" t="s">
        <v>10643</v>
      </c>
      <c r="C960" s="80" t="s">
        <v>9331</v>
      </c>
      <c r="D960" s="81">
        <v>1.9970000000000001</v>
      </c>
    </row>
    <row r="961" spans="1:4" ht="18" x14ac:dyDescent="0.25">
      <c r="A961" s="80">
        <v>960</v>
      </c>
      <c r="B961" s="80" t="s">
        <v>10644</v>
      </c>
      <c r="C961" s="80" t="s">
        <v>9331</v>
      </c>
      <c r="D961" s="81">
        <v>2.1659999999999999</v>
      </c>
    </row>
    <row r="962" spans="1:4" ht="18" x14ac:dyDescent="0.25">
      <c r="A962" s="80">
        <v>961</v>
      </c>
      <c r="B962" s="80" t="s">
        <v>10645</v>
      </c>
      <c r="C962" s="80" t="s">
        <v>9331</v>
      </c>
      <c r="D962" s="81">
        <v>2.3340000000000001</v>
      </c>
    </row>
    <row r="963" spans="1:4" ht="18" x14ac:dyDescent="0.25">
      <c r="A963" s="80">
        <v>962</v>
      </c>
      <c r="B963" s="80" t="s">
        <v>10646</v>
      </c>
      <c r="C963" s="80" t="s">
        <v>9331</v>
      </c>
      <c r="D963" s="81">
        <v>2.5030000000000001</v>
      </c>
    </row>
    <row r="964" spans="1:4" ht="18" x14ac:dyDescent="0.25">
      <c r="A964" s="80">
        <v>963</v>
      </c>
      <c r="B964" s="80" t="s">
        <v>10647</v>
      </c>
      <c r="C964" s="80" t="s">
        <v>9331</v>
      </c>
      <c r="D964" s="81">
        <v>2.6720000000000002</v>
      </c>
    </row>
    <row r="965" spans="1:4" ht="18" x14ac:dyDescent="0.25">
      <c r="A965" s="80">
        <v>964</v>
      </c>
      <c r="B965" s="80" t="s">
        <v>10648</v>
      </c>
      <c r="C965" s="80" t="s">
        <v>9331</v>
      </c>
      <c r="D965" s="81">
        <v>2.8410000000000002</v>
      </c>
    </row>
    <row r="966" spans="1:4" ht="18" x14ac:dyDescent="0.25">
      <c r="A966" s="80">
        <v>965</v>
      </c>
      <c r="B966" s="80" t="s">
        <v>10649</v>
      </c>
      <c r="C966" s="80" t="s">
        <v>9331</v>
      </c>
      <c r="D966" s="81">
        <v>3.0089999999999999</v>
      </c>
    </row>
    <row r="967" spans="1:4" ht="18" x14ac:dyDescent="0.25">
      <c r="A967" s="80">
        <v>966</v>
      </c>
      <c r="B967" s="80" t="s">
        <v>10650</v>
      </c>
      <c r="C967" s="80" t="s">
        <v>9331</v>
      </c>
      <c r="D967" s="81">
        <v>3.1779999999999999</v>
      </c>
    </row>
    <row r="968" spans="1:4" ht="18" x14ac:dyDescent="0.25">
      <c r="A968" s="80">
        <v>967</v>
      </c>
      <c r="B968" s="80" t="s">
        <v>10651</v>
      </c>
      <c r="C968" s="80" t="s">
        <v>9331</v>
      </c>
      <c r="D968" s="81">
        <v>3.347</v>
      </c>
    </row>
    <row r="969" spans="1:4" ht="18" x14ac:dyDescent="0.25">
      <c r="A969" s="80">
        <v>968</v>
      </c>
      <c r="B969" s="80" t="s">
        <v>10652</v>
      </c>
      <c r="C969" s="80" t="s">
        <v>9331</v>
      </c>
      <c r="D969" s="81">
        <v>3.516</v>
      </c>
    </row>
    <row r="970" spans="1:4" ht="18" x14ac:dyDescent="0.25">
      <c r="A970" s="80">
        <v>969</v>
      </c>
      <c r="B970" s="80" t="s">
        <v>10653</v>
      </c>
      <c r="C970" s="80" t="s">
        <v>9331</v>
      </c>
      <c r="D970" s="81">
        <v>3.6840000000000002</v>
      </c>
    </row>
    <row r="971" spans="1:4" ht="18" x14ac:dyDescent="0.25">
      <c r="A971" s="80">
        <v>970</v>
      </c>
      <c r="B971" s="80" t="s">
        <v>10654</v>
      </c>
      <c r="C971" s="80" t="s">
        <v>9331</v>
      </c>
      <c r="D971" s="81">
        <v>3.8530000000000002</v>
      </c>
    </row>
    <row r="972" spans="1:4" ht="18" x14ac:dyDescent="0.25">
      <c r="A972" s="80">
        <v>971</v>
      </c>
      <c r="B972" s="80" t="s">
        <v>10655</v>
      </c>
      <c r="C972" s="80" t="s">
        <v>9331</v>
      </c>
      <c r="D972" s="81">
        <v>4.0220000000000002</v>
      </c>
    </row>
    <row r="973" spans="1:4" ht="18" x14ac:dyDescent="0.25">
      <c r="A973" s="80">
        <v>972</v>
      </c>
      <c r="B973" s="80" t="s">
        <v>10656</v>
      </c>
      <c r="C973" s="80" t="s">
        <v>9331</v>
      </c>
      <c r="D973" s="81">
        <v>1.702</v>
      </c>
    </row>
    <row r="974" spans="1:4" ht="18" x14ac:dyDescent="0.25">
      <c r="A974" s="80">
        <v>973</v>
      </c>
      <c r="B974" s="80" t="s">
        <v>10657</v>
      </c>
      <c r="C974" s="80" t="s">
        <v>9331</v>
      </c>
      <c r="D974" s="81">
        <v>1.875</v>
      </c>
    </row>
    <row r="975" spans="1:4" ht="18" x14ac:dyDescent="0.25">
      <c r="A975" s="80">
        <v>974</v>
      </c>
      <c r="B975" s="80" t="s">
        <v>10658</v>
      </c>
      <c r="C975" s="80" t="s">
        <v>9331</v>
      </c>
      <c r="D975" s="81">
        <v>2.048</v>
      </c>
    </row>
    <row r="976" spans="1:4" ht="18" x14ac:dyDescent="0.25">
      <c r="A976" s="80">
        <v>975</v>
      </c>
      <c r="B976" s="80" t="s">
        <v>10659</v>
      </c>
      <c r="C976" s="80" t="s">
        <v>9331</v>
      </c>
      <c r="D976" s="81">
        <v>2.222</v>
      </c>
    </row>
    <row r="977" spans="1:4" ht="18" x14ac:dyDescent="0.25">
      <c r="A977" s="80">
        <v>976</v>
      </c>
      <c r="B977" s="80" t="s">
        <v>10660</v>
      </c>
      <c r="C977" s="80" t="s">
        <v>9331</v>
      </c>
      <c r="D977" s="81">
        <v>2.395</v>
      </c>
    </row>
    <row r="978" spans="1:4" ht="18" x14ac:dyDescent="0.25">
      <c r="A978" s="80">
        <v>977</v>
      </c>
      <c r="B978" s="80" t="s">
        <v>10661</v>
      </c>
      <c r="C978" s="80" t="s">
        <v>9331</v>
      </c>
      <c r="D978" s="81">
        <v>2.5680000000000001</v>
      </c>
    </row>
    <row r="979" spans="1:4" ht="18" x14ac:dyDescent="0.25">
      <c r="A979" s="80">
        <v>978</v>
      </c>
      <c r="B979" s="80" t="s">
        <v>10662</v>
      </c>
      <c r="C979" s="80" t="s">
        <v>9331</v>
      </c>
      <c r="D979" s="81">
        <v>2.7410000000000001</v>
      </c>
    </row>
    <row r="980" spans="1:4" ht="18" x14ac:dyDescent="0.25">
      <c r="A980" s="80">
        <v>979</v>
      </c>
      <c r="B980" s="80" t="s">
        <v>10663</v>
      </c>
      <c r="C980" s="80" t="s">
        <v>9331</v>
      </c>
      <c r="D980" s="81">
        <v>2.9140000000000001</v>
      </c>
    </row>
    <row r="981" spans="1:4" ht="18" x14ac:dyDescent="0.25">
      <c r="A981" s="80">
        <v>980</v>
      </c>
      <c r="B981" s="80" t="s">
        <v>10664</v>
      </c>
      <c r="C981" s="80" t="s">
        <v>9331</v>
      </c>
      <c r="D981" s="81">
        <v>3.0870000000000002</v>
      </c>
    </row>
    <row r="982" spans="1:4" ht="18" x14ac:dyDescent="0.25">
      <c r="A982" s="80">
        <v>981</v>
      </c>
      <c r="B982" s="80" t="s">
        <v>10665</v>
      </c>
      <c r="C982" s="80" t="s">
        <v>9331</v>
      </c>
      <c r="D982" s="81">
        <v>3.26</v>
      </c>
    </row>
    <row r="983" spans="1:4" ht="18" x14ac:dyDescent="0.25">
      <c r="A983" s="80">
        <v>982</v>
      </c>
      <c r="B983" s="80" t="s">
        <v>10666</v>
      </c>
      <c r="C983" s="80" t="s">
        <v>9331</v>
      </c>
      <c r="D983" s="81">
        <v>3.4329999999999998</v>
      </c>
    </row>
    <row r="984" spans="1:4" ht="18" x14ac:dyDescent="0.25">
      <c r="A984" s="80">
        <v>983</v>
      </c>
      <c r="B984" s="80" t="s">
        <v>10667</v>
      </c>
      <c r="C984" s="80" t="s">
        <v>9331</v>
      </c>
      <c r="D984" s="81">
        <v>3.6059999999999999</v>
      </c>
    </row>
    <row r="985" spans="1:4" ht="18" x14ac:dyDescent="0.25">
      <c r="A985" s="80">
        <v>984</v>
      </c>
      <c r="B985" s="80" t="s">
        <v>10668</v>
      </c>
      <c r="C985" s="80" t="s">
        <v>9331</v>
      </c>
      <c r="D985" s="81">
        <v>3.7789999999999999</v>
      </c>
    </row>
    <row r="986" spans="1:4" ht="18" x14ac:dyDescent="0.25">
      <c r="A986" s="80">
        <v>985</v>
      </c>
      <c r="B986" s="80" t="s">
        <v>10669</v>
      </c>
      <c r="C986" s="80" t="s">
        <v>9331</v>
      </c>
      <c r="D986" s="81">
        <v>3.9529999999999998</v>
      </c>
    </row>
    <row r="987" spans="1:4" ht="18" x14ac:dyDescent="0.25">
      <c r="A987" s="80">
        <v>986</v>
      </c>
      <c r="B987" s="80" t="s">
        <v>10670</v>
      </c>
      <c r="C987" s="80" t="s">
        <v>9331</v>
      </c>
      <c r="D987" s="81">
        <v>4.1260000000000003</v>
      </c>
    </row>
    <row r="988" spans="1:4" ht="18" x14ac:dyDescent="0.25">
      <c r="A988" s="80">
        <v>987</v>
      </c>
      <c r="B988" s="80" t="s">
        <v>10671</v>
      </c>
      <c r="C988" s="80" t="s">
        <v>9331</v>
      </c>
      <c r="D988" s="81">
        <v>1.788</v>
      </c>
    </row>
    <row r="989" spans="1:4" ht="18" x14ac:dyDescent="0.25">
      <c r="A989" s="80">
        <v>988</v>
      </c>
      <c r="B989" s="80" t="s">
        <v>10672</v>
      </c>
      <c r="C989" s="80" t="s">
        <v>9331</v>
      </c>
      <c r="D989" s="81">
        <v>1.97</v>
      </c>
    </row>
    <row r="990" spans="1:4" ht="18" x14ac:dyDescent="0.25">
      <c r="A990" s="80">
        <v>989</v>
      </c>
      <c r="B990" s="80" t="s">
        <v>10673</v>
      </c>
      <c r="C990" s="80" t="s">
        <v>9331</v>
      </c>
      <c r="D990" s="81">
        <v>2.1509999999999998</v>
      </c>
    </row>
    <row r="991" spans="1:4" ht="18" x14ac:dyDescent="0.25">
      <c r="A991" s="80">
        <v>990</v>
      </c>
      <c r="B991" s="80" t="s">
        <v>10674</v>
      </c>
      <c r="C991" s="80" t="s">
        <v>9331</v>
      </c>
      <c r="D991" s="81">
        <v>2.3330000000000002</v>
      </c>
    </row>
    <row r="992" spans="1:4" ht="18" x14ac:dyDescent="0.25">
      <c r="A992" s="80">
        <v>991</v>
      </c>
      <c r="B992" s="80" t="s">
        <v>10675</v>
      </c>
      <c r="C992" s="80" t="s">
        <v>9331</v>
      </c>
      <c r="D992" s="81">
        <v>2.5150000000000001</v>
      </c>
    </row>
    <row r="993" spans="1:4" ht="18" x14ac:dyDescent="0.25">
      <c r="A993" s="80">
        <v>992</v>
      </c>
      <c r="B993" s="80" t="s">
        <v>10676</v>
      </c>
      <c r="C993" s="80" t="s">
        <v>9331</v>
      </c>
      <c r="D993" s="81">
        <v>2.6970000000000001</v>
      </c>
    </row>
    <row r="994" spans="1:4" ht="18" x14ac:dyDescent="0.25">
      <c r="A994" s="80">
        <v>993</v>
      </c>
      <c r="B994" s="80" t="s">
        <v>10677</v>
      </c>
      <c r="C994" s="80" t="s">
        <v>9331</v>
      </c>
      <c r="D994" s="81">
        <v>2.879</v>
      </c>
    </row>
    <row r="995" spans="1:4" ht="18" x14ac:dyDescent="0.25">
      <c r="A995" s="80">
        <v>994</v>
      </c>
      <c r="B995" s="80" t="s">
        <v>10678</v>
      </c>
      <c r="C995" s="80" t="s">
        <v>9331</v>
      </c>
      <c r="D995" s="81">
        <v>3.0609999999999999</v>
      </c>
    </row>
    <row r="996" spans="1:4" ht="18" x14ac:dyDescent="0.25">
      <c r="A996" s="80">
        <v>995</v>
      </c>
      <c r="B996" s="80" t="s">
        <v>10679</v>
      </c>
      <c r="C996" s="80" t="s">
        <v>9331</v>
      </c>
      <c r="D996" s="81">
        <v>3.242</v>
      </c>
    </row>
    <row r="997" spans="1:4" ht="18" x14ac:dyDescent="0.25">
      <c r="A997" s="80">
        <v>996</v>
      </c>
      <c r="B997" s="80" t="s">
        <v>10680</v>
      </c>
      <c r="C997" s="80" t="s">
        <v>9331</v>
      </c>
      <c r="D997" s="81">
        <v>3.4239999999999999</v>
      </c>
    </row>
    <row r="998" spans="1:4" ht="18" x14ac:dyDescent="0.25">
      <c r="A998" s="80">
        <v>997</v>
      </c>
      <c r="B998" s="80" t="s">
        <v>10681</v>
      </c>
      <c r="C998" s="80" t="s">
        <v>9331</v>
      </c>
      <c r="D998" s="81">
        <v>3.6059999999999999</v>
      </c>
    </row>
    <row r="999" spans="1:4" ht="18" x14ac:dyDescent="0.25">
      <c r="A999" s="80">
        <v>998</v>
      </c>
      <c r="B999" s="80" t="s">
        <v>10682</v>
      </c>
      <c r="C999" s="80" t="s">
        <v>9331</v>
      </c>
      <c r="D999" s="81">
        <v>3.7879999999999998</v>
      </c>
    </row>
    <row r="1000" spans="1:4" ht="18" x14ac:dyDescent="0.25">
      <c r="A1000" s="80">
        <v>999</v>
      </c>
      <c r="B1000" s="80" t="s">
        <v>10683</v>
      </c>
      <c r="C1000" s="80" t="s">
        <v>9331</v>
      </c>
      <c r="D1000" s="81">
        <v>3.97</v>
      </c>
    </row>
    <row r="1001" spans="1:4" ht="18" x14ac:dyDescent="0.25">
      <c r="A1001" s="80">
        <v>1000</v>
      </c>
      <c r="B1001" s="80" t="s">
        <v>10684</v>
      </c>
      <c r="C1001" s="80" t="s">
        <v>9331</v>
      </c>
      <c r="D1001" s="81">
        <v>4.1509999999999998</v>
      </c>
    </row>
    <row r="1002" spans="1:4" ht="18" x14ac:dyDescent="0.25">
      <c r="A1002" s="80">
        <v>1001</v>
      </c>
      <c r="B1002" s="80" t="s">
        <v>10685</v>
      </c>
      <c r="C1002" s="80" t="s">
        <v>9331</v>
      </c>
      <c r="D1002" s="81">
        <v>4.3330000000000002</v>
      </c>
    </row>
    <row r="1003" spans="1:4" ht="18" x14ac:dyDescent="0.25">
      <c r="A1003" s="80">
        <v>1002</v>
      </c>
      <c r="B1003" s="80" t="s">
        <v>9578</v>
      </c>
      <c r="C1003" s="80" t="s">
        <v>9331</v>
      </c>
      <c r="D1003" s="87">
        <v>0.245</v>
      </c>
    </row>
    <row r="1004" spans="1:4" ht="18" x14ac:dyDescent="0.25">
      <c r="A1004" s="80">
        <v>1003</v>
      </c>
      <c r="B1004" s="80" t="s">
        <v>9579</v>
      </c>
      <c r="C1004" s="80" t="s">
        <v>9331</v>
      </c>
      <c r="D1004" s="87">
        <v>0.27</v>
      </c>
    </row>
    <row r="1005" spans="1:4" ht="18" x14ac:dyDescent="0.25">
      <c r="A1005" s="80">
        <v>1004</v>
      </c>
      <c r="B1005" s="80" t="s">
        <v>9580</v>
      </c>
      <c r="C1005" s="80" t="s">
        <v>9331</v>
      </c>
      <c r="D1005" s="87">
        <v>0.29499999999999998</v>
      </c>
    </row>
    <row r="1006" spans="1:4" ht="18" x14ac:dyDescent="0.25">
      <c r="A1006" s="80">
        <v>1005</v>
      </c>
      <c r="B1006" s="80" t="s">
        <v>9581</v>
      </c>
      <c r="C1006" s="80" t="s">
        <v>9331</v>
      </c>
      <c r="D1006" s="87">
        <v>0.32</v>
      </c>
    </row>
    <row r="1007" spans="1:4" ht="18" x14ac:dyDescent="0.25">
      <c r="A1007" s="80">
        <v>1006</v>
      </c>
      <c r="B1007" s="80" t="s">
        <v>9582</v>
      </c>
      <c r="C1007" s="80" t="s">
        <v>9331</v>
      </c>
      <c r="D1007" s="87">
        <v>0.34499999999999997</v>
      </c>
    </row>
    <row r="1008" spans="1:4" ht="18" x14ac:dyDescent="0.25">
      <c r="A1008" s="80">
        <v>1007</v>
      </c>
      <c r="B1008" s="80" t="s">
        <v>9583</v>
      </c>
      <c r="C1008" s="80" t="s">
        <v>9331</v>
      </c>
      <c r="D1008" s="87">
        <v>0.36899999999999999</v>
      </c>
    </row>
    <row r="1009" spans="1:4" ht="18" x14ac:dyDescent="0.25">
      <c r="A1009" s="80">
        <v>1008</v>
      </c>
      <c r="B1009" s="80" t="s">
        <v>9584</v>
      </c>
      <c r="C1009" s="80" t="s">
        <v>9331</v>
      </c>
      <c r="D1009" s="87">
        <v>0.39400000000000002</v>
      </c>
    </row>
    <row r="1010" spans="1:4" ht="18" x14ac:dyDescent="0.25">
      <c r="A1010" s="80">
        <v>1009</v>
      </c>
      <c r="B1010" s="80" t="s">
        <v>9585</v>
      </c>
      <c r="C1010" s="80" t="s">
        <v>9331</v>
      </c>
      <c r="D1010" s="87">
        <v>0.41899999999999998</v>
      </c>
    </row>
    <row r="1011" spans="1:4" ht="18" x14ac:dyDescent="0.25">
      <c r="A1011" s="80">
        <v>1010</v>
      </c>
      <c r="B1011" s="80" t="s">
        <v>9586</v>
      </c>
      <c r="C1011" s="80" t="s">
        <v>9331</v>
      </c>
      <c r="D1011" s="87">
        <v>0.44400000000000001</v>
      </c>
    </row>
    <row r="1012" spans="1:4" ht="18" x14ac:dyDescent="0.25">
      <c r="A1012" s="80">
        <v>1011</v>
      </c>
      <c r="B1012" s="80" t="s">
        <v>9587</v>
      </c>
      <c r="C1012" s="80" t="s">
        <v>9331</v>
      </c>
      <c r="D1012" s="87">
        <v>0.46899999999999997</v>
      </c>
    </row>
    <row r="1013" spans="1:4" ht="18" x14ac:dyDescent="0.25">
      <c r="A1013" s="80">
        <v>1012</v>
      </c>
      <c r="B1013" s="80" t="s">
        <v>9588</v>
      </c>
      <c r="C1013" s="80" t="s">
        <v>9331</v>
      </c>
      <c r="D1013" s="87">
        <v>0.49399999999999999</v>
      </c>
    </row>
    <row r="1014" spans="1:4" ht="18" x14ac:dyDescent="0.25">
      <c r="A1014" s="80">
        <v>1013</v>
      </c>
      <c r="B1014" s="80" t="s">
        <v>9589</v>
      </c>
      <c r="C1014" s="80" t="s">
        <v>9331</v>
      </c>
      <c r="D1014" s="87">
        <v>0.51900000000000002</v>
      </c>
    </row>
    <row r="1015" spans="1:4" ht="18" x14ac:dyDescent="0.25">
      <c r="A1015" s="80">
        <v>1014</v>
      </c>
      <c r="B1015" s="80" t="s">
        <v>9590</v>
      </c>
      <c r="C1015" s="80" t="s">
        <v>9331</v>
      </c>
      <c r="D1015" s="87">
        <v>0.56899999999999995</v>
      </c>
    </row>
    <row r="1016" spans="1:4" ht="18" x14ac:dyDescent="0.25">
      <c r="A1016" s="80">
        <v>1015</v>
      </c>
      <c r="B1016" s="80" t="s">
        <v>9591</v>
      </c>
      <c r="C1016" s="80" t="s">
        <v>9331</v>
      </c>
      <c r="D1016" s="87">
        <v>0.59399999999999997</v>
      </c>
    </row>
    <row r="1017" spans="1:4" ht="18" x14ac:dyDescent="0.25">
      <c r="A1017" s="80">
        <v>1016</v>
      </c>
      <c r="B1017" s="80" t="s">
        <v>9592</v>
      </c>
      <c r="C1017" s="80" t="s">
        <v>9331</v>
      </c>
      <c r="D1017" s="87">
        <v>0.255</v>
      </c>
    </row>
    <row r="1018" spans="1:4" ht="18" x14ac:dyDescent="0.25">
      <c r="A1018" s="80">
        <v>1017</v>
      </c>
      <c r="B1018" s="80" t="s">
        <v>9593</v>
      </c>
      <c r="C1018" s="80" t="s">
        <v>9331</v>
      </c>
      <c r="D1018" s="87">
        <v>0.28100000000000003</v>
      </c>
    </row>
    <row r="1019" spans="1:4" ht="18" x14ac:dyDescent="0.25">
      <c r="A1019" s="80">
        <v>1018</v>
      </c>
      <c r="B1019" s="80" t="s">
        <v>9594</v>
      </c>
      <c r="C1019" s="80" t="s">
        <v>9331</v>
      </c>
      <c r="D1019" s="87">
        <v>0.307</v>
      </c>
    </row>
    <row r="1020" spans="1:4" ht="18" x14ac:dyDescent="0.25">
      <c r="A1020" s="80">
        <v>1019</v>
      </c>
      <c r="B1020" s="80" t="s">
        <v>9595</v>
      </c>
      <c r="C1020" s="80" t="s">
        <v>9331</v>
      </c>
      <c r="D1020" s="87">
        <v>0.33300000000000002</v>
      </c>
    </row>
    <row r="1021" spans="1:4" ht="18" x14ac:dyDescent="0.25">
      <c r="A1021" s="80">
        <v>1020</v>
      </c>
      <c r="B1021" s="80" t="s">
        <v>9596</v>
      </c>
      <c r="C1021" s="80" t="s">
        <v>9331</v>
      </c>
      <c r="D1021" s="87">
        <v>0.35899999999999999</v>
      </c>
    </row>
    <row r="1022" spans="1:4" ht="18" x14ac:dyDescent="0.25">
      <c r="A1022" s="80">
        <v>1021</v>
      </c>
      <c r="B1022" s="80" t="s">
        <v>9597</v>
      </c>
      <c r="C1022" s="80" t="s">
        <v>9331</v>
      </c>
      <c r="D1022" s="87">
        <v>0.38500000000000001</v>
      </c>
    </row>
    <row r="1023" spans="1:4" ht="18" x14ac:dyDescent="0.25">
      <c r="A1023" s="80">
        <v>1022</v>
      </c>
      <c r="B1023" s="80" t="s">
        <v>9598</v>
      </c>
      <c r="C1023" s="80" t="s">
        <v>9331</v>
      </c>
      <c r="D1023" s="87">
        <v>0.41099999999999998</v>
      </c>
    </row>
    <row r="1024" spans="1:4" ht="18" x14ac:dyDescent="0.25">
      <c r="A1024" s="80">
        <v>1023</v>
      </c>
      <c r="B1024" s="80" t="s">
        <v>9599</v>
      </c>
      <c r="C1024" s="80" t="s">
        <v>9331</v>
      </c>
      <c r="D1024" s="87">
        <v>0.437</v>
      </c>
    </row>
    <row r="1025" spans="1:4" ht="18" x14ac:dyDescent="0.25">
      <c r="A1025" s="80">
        <v>1024</v>
      </c>
      <c r="B1025" s="80" t="s">
        <v>9600</v>
      </c>
      <c r="C1025" s="80" t="s">
        <v>9331</v>
      </c>
      <c r="D1025" s="87">
        <v>0.46300000000000002</v>
      </c>
    </row>
    <row r="1026" spans="1:4" ht="18" x14ac:dyDescent="0.25">
      <c r="A1026" s="80">
        <v>1025</v>
      </c>
      <c r="B1026" s="80" t="s">
        <v>9601</v>
      </c>
      <c r="C1026" s="80" t="s">
        <v>9331</v>
      </c>
      <c r="D1026" s="87">
        <v>0.48899999999999999</v>
      </c>
    </row>
    <row r="1027" spans="1:4" ht="18" x14ac:dyDescent="0.25">
      <c r="A1027" s="80">
        <v>1026</v>
      </c>
      <c r="B1027" s="80" t="s">
        <v>9602</v>
      </c>
      <c r="C1027" s="80" t="s">
        <v>9331</v>
      </c>
      <c r="D1027" s="87">
        <v>0.51500000000000001</v>
      </c>
    </row>
    <row r="1028" spans="1:4" ht="18" x14ac:dyDescent="0.25">
      <c r="A1028" s="80">
        <v>1027</v>
      </c>
      <c r="B1028" s="80" t="s">
        <v>9603</v>
      </c>
      <c r="C1028" s="80" t="s">
        <v>9331</v>
      </c>
      <c r="D1028" s="87">
        <v>0.54100000000000004</v>
      </c>
    </row>
    <row r="1029" spans="1:4" ht="18" x14ac:dyDescent="0.25">
      <c r="A1029" s="80">
        <v>1028</v>
      </c>
      <c r="B1029" s="80" t="s">
        <v>9604</v>
      </c>
      <c r="C1029" s="80" t="s">
        <v>9331</v>
      </c>
      <c r="D1029" s="87">
        <v>0.56699999999999995</v>
      </c>
    </row>
    <row r="1030" spans="1:4" ht="18" x14ac:dyDescent="0.25">
      <c r="A1030" s="80">
        <v>1029</v>
      </c>
      <c r="B1030" s="80" t="s">
        <v>9605</v>
      </c>
      <c r="C1030" s="80" t="s">
        <v>9331</v>
      </c>
      <c r="D1030" s="87">
        <v>0.59299999999999997</v>
      </c>
    </row>
    <row r="1031" spans="1:4" ht="18" x14ac:dyDescent="0.25">
      <c r="A1031" s="80">
        <v>1030</v>
      </c>
      <c r="B1031" s="80" t="s">
        <v>9606</v>
      </c>
      <c r="C1031" s="80" t="s">
        <v>9331</v>
      </c>
      <c r="D1031" s="87">
        <v>0.61899999999999999</v>
      </c>
    </row>
    <row r="1032" spans="1:4" ht="18" x14ac:dyDescent="0.25">
      <c r="A1032" s="80">
        <v>1031</v>
      </c>
      <c r="B1032" s="80" t="s">
        <v>9607</v>
      </c>
      <c r="C1032" s="80" t="s">
        <v>9331</v>
      </c>
      <c r="D1032" s="87">
        <v>0.26500000000000001</v>
      </c>
    </row>
    <row r="1033" spans="1:4" ht="18" x14ac:dyDescent="0.25">
      <c r="A1033" s="80">
        <v>1032</v>
      </c>
      <c r="B1033" s="80" t="s">
        <v>9608</v>
      </c>
      <c r="C1033" s="80" t="s">
        <v>9331</v>
      </c>
      <c r="D1033" s="87">
        <v>0.29199999999999998</v>
      </c>
    </row>
    <row r="1034" spans="1:4" ht="18" x14ac:dyDescent="0.25">
      <c r="A1034" s="80">
        <v>1033</v>
      </c>
      <c r="B1034" s="80" t="s">
        <v>9609</v>
      </c>
      <c r="C1034" s="80" t="s">
        <v>9331</v>
      </c>
      <c r="D1034" s="87">
        <v>0.31900000000000001</v>
      </c>
    </row>
    <row r="1035" spans="1:4" ht="18" x14ac:dyDescent="0.25">
      <c r="A1035" s="80">
        <v>1034</v>
      </c>
      <c r="B1035" s="80" t="s">
        <v>9610</v>
      </c>
      <c r="C1035" s="80" t="s">
        <v>9331</v>
      </c>
      <c r="D1035" s="87">
        <v>0.34599999999999997</v>
      </c>
    </row>
    <row r="1036" spans="1:4" ht="18" x14ac:dyDescent="0.25">
      <c r="A1036" s="80">
        <v>1035</v>
      </c>
      <c r="B1036" s="80" t="s">
        <v>9611</v>
      </c>
      <c r="C1036" s="80" t="s">
        <v>9331</v>
      </c>
      <c r="D1036" s="87">
        <v>0.373</v>
      </c>
    </row>
    <row r="1037" spans="1:4" ht="18" x14ac:dyDescent="0.25">
      <c r="A1037" s="80">
        <v>1036</v>
      </c>
      <c r="B1037" s="80" t="s">
        <v>9612</v>
      </c>
      <c r="C1037" s="80" t="s">
        <v>9331</v>
      </c>
      <c r="D1037" s="87">
        <v>0.4</v>
      </c>
    </row>
    <row r="1038" spans="1:4" ht="18" x14ac:dyDescent="0.25">
      <c r="A1038" s="80">
        <v>1037</v>
      </c>
      <c r="B1038" s="80" t="s">
        <v>9613</v>
      </c>
      <c r="C1038" s="80" t="s">
        <v>9331</v>
      </c>
      <c r="D1038" s="87">
        <v>0.42699999999999999</v>
      </c>
    </row>
    <row r="1039" spans="1:4" ht="18" x14ac:dyDescent="0.25">
      <c r="A1039" s="80">
        <v>1038</v>
      </c>
      <c r="B1039" s="80" t="s">
        <v>9614</v>
      </c>
      <c r="C1039" s="80" t="s">
        <v>9331</v>
      </c>
      <c r="D1039" s="87">
        <v>0.45400000000000001</v>
      </c>
    </row>
    <row r="1040" spans="1:4" ht="18" x14ac:dyDescent="0.25">
      <c r="A1040" s="80">
        <v>1039</v>
      </c>
      <c r="B1040" s="80" t="s">
        <v>9615</v>
      </c>
      <c r="C1040" s="80" t="s">
        <v>9331</v>
      </c>
      <c r="D1040" s="87">
        <v>0.48099999999999998</v>
      </c>
    </row>
    <row r="1041" spans="1:4" ht="18" x14ac:dyDescent="0.25">
      <c r="A1041" s="80">
        <v>1040</v>
      </c>
      <c r="B1041" s="80" t="s">
        <v>9616</v>
      </c>
      <c r="C1041" s="80" t="s">
        <v>9331</v>
      </c>
      <c r="D1041" s="87">
        <v>0.50800000000000001</v>
      </c>
    </row>
    <row r="1042" spans="1:4" ht="18" x14ac:dyDescent="0.25">
      <c r="A1042" s="80">
        <v>1041</v>
      </c>
      <c r="B1042" s="80" t="s">
        <v>9617</v>
      </c>
      <c r="C1042" s="80" t="s">
        <v>9331</v>
      </c>
      <c r="D1042" s="87">
        <v>0.56200000000000006</v>
      </c>
    </row>
    <row r="1043" spans="1:4" ht="18" x14ac:dyDescent="0.25">
      <c r="A1043" s="80">
        <v>1042</v>
      </c>
      <c r="B1043" s="80" t="s">
        <v>9618</v>
      </c>
      <c r="C1043" s="80" t="s">
        <v>9331</v>
      </c>
      <c r="D1043" s="87">
        <v>0.58899999999999997</v>
      </c>
    </row>
    <row r="1044" spans="1:4" ht="18" x14ac:dyDescent="0.25">
      <c r="A1044" s="80">
        <v>1043</v>
      </c>
      <c r="B1044" s="80" t="s">
        <v>9619</v>
      </c>
      <c r="C1044" s="80" t="s">
        <v>9331</v>
      </c>
      <c r="D1044" s="87">
        <v>0.61599999999999999</v>
      </c>
    </row>
    <row r="1045" spans="1:4" ht="18" x14ac:dyDescent="0.25">
      <c r="A1045" s="80">
        <v>1044</v>
      </c>
      <c r="B1045" s="80" t="s">
        <v>9620</v>
      </c>
      <c r="C1045" s="80" t="s">
        <v>9331</v>
      </c>
      <c r="D1045" s="87">
        <v>0.64300000000000002</v>
      </c>
    </row>
    <row r="1046" spans="1:4" ht="18" x14ac:dyDescent="0.25">
      <c r="A1046" s="80">
        <v>1045</v>
      </c>
      <c r="B1046" s="80" t="s">
        <v>9621</v>
      </c>
      <c r="C1046" s="80" t="s">
        <v>9331</v>
      </c>
      <c r="D1046" s="87">
        <v>0.27200000000000002</v>
      </c>
    </row>
    <row r="1047" spans="1:4" ht="18" x14ac:dyDescent="0.25">
      <c r="A1047" s="80">
        <v>1046</v>
      </c>
      <c r="B1047" s="80" t="s">
        <v>9622</v>
      </c>
      <c r="C1047" s="80" t="s">
        <v>9331</v>
      </c>
      <c r="D1047" s="87">
        <v>0.3</v>
      </c>
    </row>
    <row r="1048" spans="1:4" ht="18" x14ac:dyDescent="0.25">
      <c r="A1048" s="80">
        <v>1047</v>
      </c>
      <c r="B1048" s="80" t="s">
        <v>9623</v>
      </c>
      <c r="C1048" s="80" t="s">
        <v>9331</v>
      </c>
      <c r="D1048" s="87">
        <v>0.32800000000000001</v>
      </c>
    </row>
    <row r="1049" spans="1:4" ht="18" x14ac:dyDescent="0.25">
      <c r="A1049" s="80">
        <v>1048</v>
      </c>
      <c r="B1049" s="80" t="s">
        <v>9624</v>
      </c>
      <c r="C1049" s="80" t="s">
        <v>9331</v>
      </c>
      <c r="D1049" s="87">
        <v>0.35499999999999998</v>
      </c>
    </row>
    <row r="1050" spans="1:4" ht="18" x14ac:dyDescent="0.25">
      <c r="A1050" s="80">
        <v>1049</v>
      </c>
      <c r="B1050" s="80" t="s">
        <v>9625</v>
      </c>
      <c r="C1050" s="80" t="s">
        <v>9331</v>
      </c>
      <c r="D1050" s="87">
        <v>0.38300000000000001</v>
      </c>
    </row>
    <row r="1051" spans="1:4" ht="18" x14ac:dyDescent="0.25">
      <c r="A1051" s="80">
        <v>1050</v>
      </c>
      <c r="B1051" s="80" t="s">
        <v>9626</v>
      </c>
      <c r="C1051" s="80" t="s">
        <v>9331</v>
      </c>
      <c r="D1051" s="87">
        <v>0.41099999999999998</v>
      </c>
    </row>
    <row r="1052" spans="1:4" ht="18" x14ac:dyDescent="0.25">
      <c r="A1052" s="80">
        <v>1051</v>
      </c>
      <c r="B1052" s="80" t="s">
        <v>9627</v>
      </c>
      <c r="C1052" s="80" t="s">
        <v>9331</v>
      </c>
      <c r="D1052" s="87">
        <v>0.439</v>
      </c>
    </row>
    <row r="1053" spans="1:4" ht="18" x14ac:dyDescent="0.25">
      <c r="A1053" s="80">
        <v>1052</v>
      </c>
      <c r="B1053" s="80" t="s">
        <v>9628</v>
      </c>
      <c r="C1053" s="80" t="s">
        <v>9331</v>
      </c>
      <c r="D1053" s="87">
        <v>0.46600000000000003</v>
      </c>
    </row>
    <row r="1054" spans="1:4" ht="18" x14ac:dyDescent="0.25">
      <c r="A1054" s="80">
        <v>1053</v>
      </c>
      <c r="B1054" s="80" t="s">
        <v>9629</v>
      </c>
      <c r="C1054" s="80" t="s">
        <v>9331</v>
      </c>
      <c r="D1054" s="87">
        <v>0.49399999999999999</v>
      </c>
    </row>
    <row r="1055" spans="1:4" ht="18" x14ac:dyDescent="0.25">
      <c r="A1055" s="80">
        <v>1054</v>
      </c>
      <c r="B1055" s="80" t="s">
        <v>9630</v>
      </c>
      <c r="C1055" s="80" t="s">
        <v>9331</v>
      </c>
      <c r="D1055" s="87">
        <v>0.52200000000000002</v>
      </c>
    </row>
    <row r="1056" spans="1:4" ht="18" x14ac:dyDescent="0.25">
      <c r="A1056" s="80">
        <v>1055</v>
      </c>
      <c r="B1056" s="80" t="s">
        <v>9631</v>
      </c>
      <c r="C1056" s="80" t="s">
        <v>9331</v>
      </c>
      <c r="D1056" s="87">
        <v>0.54900000000000004</v>
      </c>
    </row>
    <row r="1057" spans="1:4" ht="18" x14ac:dyDescent="0.25">
      <c r="A1057" s="80">
        <v>1056</v>
      </c>
      <c r="B1057" s="80" t="s">
        <v>9632</v>
      </c>
      <c r="C1057" s="80" t="s">
        <v>9331</v>
      </c>
      <c r="D1057" s="87">
        <v>0.57699999999999996</v>
      </c>
    </row>
    <row r="1058" spans="1:4" ht="18" x14ac:dyDescent="0.25">
      <c r="A1058" s="80">
        <v>1057</v>
      </c>
      <c r="B1058" s="80" t="s">
        <v>9633</v>
      </c>
      <c r="C1058" s="80" t="s">
        <v>9331</v>
      </c>
      <c r="D1058" s="87">
        <v>0.60499999999999998</v>
      </c>
    </row>
    <row r="1059" spans="1:4" ht="18" x14ac:dyDescent="0.25">
      <c r="A1059" s="80">
        <v>1058</v>
      </c>
      <c r="B1059" s="80" t="s">
        <v>9634</v>
      </c>
      <c r="C1059" s="80" t="s">
        <v>9331</v>
      </c>
      <c r="D1059" s="87">
        <v>0.63200000000000001</v>
      </c>
    </row>
    <row r="1060" spans="1:4" ht="18" x14ac:dyDescent="0.25">
      <c r="A1060" s="80">
        <v>1059</v>
      </c>
      <c r="B1060" s="80" t="s">
        <v>9635</v>
      </c>
      <c r="C1060" s="80" t="s">
        <v>9331</v>
      </c>
      <c r="D1060" s="87">
        <v>0.66</v>
      </c>
    </row>
    <row r="1061" spans="1:4" ht="18" x14ac:dyDescent="0.25">
      <c r="A1061" s="80">
        <v>1060</v>
      </c>
      <c r="B1061" s="80" t="s">
        <v>9636</v>
      </c>
      <c r="C1061" s="80" t="s">
        <v>9331</v>
      </c>
      <c r="D1061" s="87">
        <v>0.28599999999999998</v>
      </c>
    </row>
    <row r="1062" spans="1:4" ht="18" x14ac:dyDescent="0.25">
      <c r="A1062" s="80">
        <v>1061</v>
      </c>
      <c r="B1062" s="80" t="s">
        <v>9637</v>
      </c>
      <c r="C1062" s="80" t="s">
        <v>9331</v>
      </c>
      <c r="D1062" s="87">
        <v>0.315</v>
      </c>
    </row>
    <row r="1063" spans="1:4" ht="18" x14ac:dyDescent="0.25">
      <c r="A1063" s="80">
        <v>1062</v>
      </c>
      <c r="B1063" s="80" t="s">
        <v>9638</v>
      </c>
      <c r="C1063" s="80" t="s">
        <v>9331</v>
      </c>
      <c r="D1063" s="87">
        <v>0.34399999999999997</v>
      </c>
    </row>
    <row r="1064" spans="1:4" ht="18" x14ac:dyDescent="0.25">
      <c r="A1064" s="80">
        <v>1063</v>
      </c>
      <c r="B1064" s="80" t="s">
        <v>9639</v>
      </c>
      <c r="C1064" s="80" t="s">
        <v>9331</v>
      </c>
      <c r="D1064" s="87">
        <v>0.373</v>
      </c>
    </row>
    <row r="1065" spans="1:4" ht="18" x14ac:dyDescent="0.25">
      <c r="A1065" s="80">
        <v>1064</v>
      </c>
      <c r="B1065" s="80" t="s">
        <v>9640</v>
      </c>
      <c r="C1065" s="80" t="s">
        <v>9331</v>
      </c>
      <c r="D1065" s="87">
        <v>0.40200000000000002</v>
      </c>
    </row>
    <row r="1066" spans="1:4" ht="18" x14ac:dyDescent="0.25">
      <c r="A1066" s="80">
        <v>1065</v>
      </c>
      <c r="B1066" s="80" t="s">
        <v>9641</v>
      </c>
      <c r="C1066" s="80" t="s">
        <v>9331</v>
      </c>
      <c r="D1066" s="87">
        <v>0.432</v>
      </c>
    </row>
    <row r="1067" spans="1:4" ht="18" x14ac:dyDescent="0.25">
      <c r="A1067" s="80">
        <v>1066</v>
      </c>
      <c r="B1067" s="80" t="s">
        <v>9642</v>
      </c>
      <c r="C1067" s="80" t="s">
        <v>9331</v>
      </c>
      <c r="D1067" s="87">
        <v>0.46100000000000002</v>
      </c>
    </row>
    <row r="1068" spans="1:4" ht="18" x14ac:dyDescent="0.25">
      <c r="A1068" s="80">
        <v>1067</v>
      </c>
      <c r="B1068" s="80" t="s">
        <v>9643</v>
      </c>
      <c r="C1068" s="80" t="s">
        <v>9331</v>
      </c>
      <c r="D1068" s="87">
        <v>0.49</v>
      </c>
    </row>
    <row r="1069" spans="1:4" ht="18" x14ac:dyDescent="0.25">
      <c r="A1069" s="80">
        <v>1068</v>
      </c>
      <c r="B1069" s="80" t="s">
        <v>9644</v>
      </c>
      <c r="C1069" s="80" t="s">
        <v>9331</v>
      </c>
      <c r="D1069" s="87">
        <v>0.51900000000000002</v>
      </c>
    </row>
    <row r="1070" spans="1:4" ht="18" x14ac:dyDescent="0.25">
      <c r="A1070" s="80">
        <v>1069</v>
      </c>
      <c r="B1070" s="80" t="s">
        <v>9645</v>
      </c>
      <c r="C1070" s="80" t="s">
        <v>9331</v>
      </c>
      <c r="D1070" s="87">
        <v>0.54800000000000004</v>
      </c>
    </row>
    <row r="1071" spans="1:4" ht="18" x14ac:dyDescent="0.25">
      <c r="A1071" s="80">
        <v>1070</v>
      </c>
      <c r="B1071" s="80" t="s">
        <v>9646</v>
      </c>
      <c r="C1071" s="80" t="s">
        <v>9331</v>
      </c>
      <c r="D1071" s="87">
        <v>0.57699999999999996</v>
      </c>
    </row>
    <row r="1072" spans="1:4" ht="18" x14ac:dyDescent="0.25">
      <c r="A1072" s="80">
        <v>1071</v>
      </c>
      <c r="B1072" s="80" t="s">
        <v>9647</v>
      </c>
      <c r="C1072" s="80" t="s">
        <v>9331</v>
      </c>
      <c r="D1072" s="87">
        <v>0.60599999999999998</v>
      </c>
    </row>
    <row r="1073" spans="1:4" ht="18" x14ac:dyDescent="0.25">
      <c r="A1073" s="80">
        <v>1072</v>
      </c>
      <c r="B1073" s="80" t="s">
        <v>9648</v>
      </c>
      <c r="C1073" s="80" t="s">
        <v>9331</v>
      </c>
      <c r="D1073" s="87">
        <v>0.63500000000000001</v>
      </c>
    </row>
    <row r="1074" spans="1:4" ht="18" x14ac:dyDescent="0.25">
      <c r="A1074" s="80">
        <v>1073</v>
      </c>
      <c r="B1074" s="80" t="s">
        <v>9649</v>
      </c>
      <c r="C1074" s="80" t="s">
        <v>9331</v>
      </c>
      <c r="D1074" s="87">
        <v>0.66400000000000003</v>
      </c>
    </row>
    <row r="1075" spans="1:4" ht="18" x14ac:dyDescent="0.25">
      <c r="A1075" s="80">
        <v>1074</v>
      </c>
      <c r="B1075" s="80" t="s">
        <v>9650</v>
      </c>
      <c r="C1075" s="80" t="s">
        <v>9331</v>
      </c>
      <c r="D1075" s="87">
        <v>0.69299999999999995</v>
      </c>
    </row>
    <row r="1076" spans="1:4" ht="18" x14ac:dyDescent="0.25">
      <c r="A1076" s="80">
        <v>1075</v>
      </c>
      <c r="B1076" s="80" t="s">
        <v>9651</v>
      </c>
      <c r="C1076" s="80" t="s">
        <v>9331</v>
      </c>
      <c r="D1076" s="87">
        <v>0.54400000000000004</v>
      </c>
    </row>
    <row r="1077" spans="1:4" ht="18" x14ac:dyDescent="0.25">
      <c r="A1077" s="80">
        <v>1076</v>
      </c>
      <c r="B1077" s="80" t="s">
        <v>9652</v>
      </c>
      <c r="C1077" s="80" t="s">
        <v>9331</v>
      </c>
      <c r="D1077" s="87">
        <v>0.6</v>
      </c>
    </row>
    <row r="1078" spans="1:4" ht="18" x14ac:dyDescent="0.25">
      <c r="A1078" s="80">
        <v>1077</v>
      </c>
      <c r="B1078" s="80" t="s">
        <v>9653</v>
      </c>
      <c r="C1078" s="80" t="s">
        <v>9331</v>
      </c>
      <c r="D1078" s="87">
        <v>0.65500000000000003</v>
      </c>
    </row>
    <row r="1079" spans="1:4" ht="18" x14ac:dyDescent="0.25">
      <c r="A1079" s="80">
        <v>1078</v>
      </c>
      <c r="B1079" s="80" t="s">
        <v>9654</v>
      </c>
      <c r="C1079" s="80" t="s">
        <v>9331</v>
      </c>
      <c r="D1079" s="87">
        <v>0.71</v>
      </c>
    </row>
    <row r="1080" spans="1:4" ht="18" x14ac:dyDescent="0.25">
      <c r="A1080" s="80">
        <v>1079</v>
      </c>
      <c r="B1080" s="80" t="s">
        <v>9655</v>
      </c>
      <c r="C1080" s="80" t="s">
        <v>9331</v>
      </c>
      <c r="D1080" s="87">
        <v>0.76600000000000001</v>
      </c>
    </row>
    <row r="1081" spans="1:4" ht="18" x14ac:dyDescent="0.25">
      <c r="A1081" s="80">
        <v>1080</v>
      </c>
      <c r="B1081" s="80" t="s">
        <v>9656</v>
      </c>
      <c r="C1081" s="80" t="s">
        <v>9331</v>
      </c>
      <c r="D1081" s="87">
        <v>0.82099999999999995</v>
      </c>
    </row>
    <row r="1082" spans="1:4" ht="18" x14ac:dyDescent="0.25">
      <c r="A1082" s="80">
        <v>1081</v>
      </c>
      <c r="B1082" s="80" t="s">
        <v>9657</v>
      </c>
      <c r="C1082" s="80" t="s">
        <v>9331</v>
      </c>
      <c r="D1082" s="87">
        <v>0.876</v>
      </c>
    </row>
    <row r="1083" spans="1:4" ht="18" x14ac:dyDescent="0.25">
      <c r="A1083" s="80">
        <v>1082</v>
      </c>
      <c r="B1083" s="80" t="s">
        <v>9658</v>
      </c>
      <c r="C1083" s="80" t="s">
        <v>9331</v>
      </c>
      <c r="D1083" s="87">
        <v>0.93200000000000005</v>
      </c>
    </row>
    <row r="1084" spans="1:4" ht="18" x14ac:dyDescent="0.25">
      <c r="A1084" s="80">
        <v>1083</v>
      </c>
      <c r="B1084" s="80" t="s">
        <v>9659</v>
      </c>
      <c r="C1084" s="80" t="s">
        <v>9331</v>
      </c>
      <c r="D1084" s="87">
        <v>0.98699999999999999</v>
      </c>
    </row>
    <row r="1085" spans="1:4" ht="18" x14ac:dyDescent="0.25">
      <c r="A1085" s="80">
        <v>1084</v>
      </c>
      <c r="B1085" s="80" t="s">
        <v>9660</v>
      </c>
      <c r="C1085" s="80" t="s">
        <v>9331</v>
      </c>
      <c r="D1085" s="87">
        <v>1.0429999999999999</v>
      </c>
    </row>
    <row r="1086" spans="1:4" ht="18" x14ac:dyDescent="0.25">
      <c r="A1086" s="80">
        <v>1085</v>
      </c>
      <c r="B1086" s="80" t="s">
        <v>9661</v>
      </c>
      <c r="C1086" s="80" t="s">
        <v>9331</v>
      </c>
      <c r="D1086" s="87">
        <v>1.0980000000000001</v>
      </c>
    </row>
    <row r="1087" spans="1:4" ht="18" x14ac:dyDescent="0.25">
      <c r="A1087" s="80">
        <v>1086</v>
      </c>
      <c r="B1087" s="80" t="s">
        <v>9662</v>
      </c>
      <c r="C1087" s="80" t="s">
        <v>9331</v>
      </c>
      <c r="D1087" s="87">
        <v>1.153</v>
      </c>
    </row>
    <row r="1088" spans="1:4" ht="18" x14ac:dyDescent="0.25">
      <c r="A1088" s="80">
        <v>1087</v>
      </c>
      <c r="B1088" s="80" t="s">
        <v>9663</v>
      </c>
      <c r="C1088" s="80" t="s">
        <v>9331</v>
      </c>
      <c r="D1088" s="87">
        <v>1.2090000000000001</v>
      </c>
    </row>
    <row r="1089" spans="1:4" ht="18" x14ac:dyDescent="0.25">
      <c r="A1089" s="80">
        <v>1088</v>
      </c>
      <c r="B1089" s="80" t="s">
        <v>9664</v>
      </c>
      <c r="C1089" s="80" t="s">
        <v>9331</v>
      </c>
      <c r="D1089" s="87">
        <v>1.264</v>
      </c>
    </row>
    <row r="1090" spans="1:4" ht="18" x14ac:dyDescent="0.25">
      <c r="A1090" s="80">
        <v>1089</v>
      </c>
      <c r="B1090" s="80" t="s">
        <v>9665</v>
      </c>
      <c r="C1090" s="80" t="s">
        <v>9331</v>
      </c>
      <c r="D1090" s="87">
        <v>1.319</v>
      </c>
    </row>
    <row r="1091" spans="1:4" ht="18" x14ac:dyDescent="0.25">
      <c r="A1091" s="80">
        <v>1090</v>
      </c>
      <c r="B1091" s="80" t="s">
        <v>9666</v>
      </c>
      <c r="C1091" s="80" t="s">
        <v>9331</v>
      </c>
      <c r="D1091" s="87">
        <v>0.56699999999999995</v>
      </c>
    </row>
    <row r="1092" spans="1:4" ht="18" x14ac:dyDescent="0.25">
      <c r="A1092" s="80">
        <v>1091</v>
      </c>
      <c r="B1092" s="80" t="s">
        <v>9667</v>
      </c>
      <c r="C1092" s="80" t="s">
        <v>9331</v>
      </c>
      <c r="D1092" s="87">
        <v>0.625</v>
      </c>
    </row>
    <row r="1093" spans="1:4" ht="18" x14ac:dyDescent="0.25">
      <c r="A1093" s="80">
        <v>1092</v>
      </c>
      <c r="B1093" s="80" t="s">
        <v>9668</v>
      </c>
      <c r="C1093" s="80" t="s">
        <v>9331</v>
      </c>
      <c r="D1093" s="87">
        <v>0.68300000000000005</v>
      </c>
    </row>
    <row r="1094" spans="1:4" ht="18" x14ac:dyDescent="0.25">
      <c r="A1094" s="80">
        <v>1093</v>
      </c>
      <c r="B1094" s="80" t="s">
        <v>9669</v>
      </c>
      <c r="C1094" s="80" t="s">
        <v>9331</v>
      </c>
      <c r="D1094" s="87">
        <v>0.74</v>
      </c>
    </row>
    <row r="1095" spans="1:4" ht="18" x14ac:dyDescent="0.25">
      <c r="A1095" s="80">
        <v>1094</v>
      </c>
      <c r="B1095" s="80" t="s">
        <v>9670</v>
      </c>
      <c r="C1095" s="80" t="s">
        <v>9331</v>
      </c>
      <c r="D1095" s="87">
        <v>0.79800000000000004</v>
      </c>
    </row>
    <row r="1096" spans="1:4" ht="18" x14ac:dyDescent="0.25">
      <c r="A1096" s="80">
        <v>1095</v>
      </c>
      <c r="B1096" s="80" t="s">
        <v>9671</v>
      </c>
      <c r="C1096" s="80" t="s">
        <v>9331</v>
      </c>
      <c r="D1096" s="87">
        <v>0.85599999999999998</v>
      </c>
    </row>
    <row r="1097" spans="1:4" ht="18" x14ac:dyDescent="0.25">
      <c r="A1097" s="80">
        <v>1096</v>
      </c>
      <c r="B1097" s="80" t="s">
        <v>9672</v>
      </c>
      <c r="C1097" s="80" t="s">
        <v>9331</v>
      </c>
      <c r="D1097" s="87">
        <v>0.91300000000000003</v>
      </c>
    </row>
    <row r="1098" spans="1:4" ht="18" x14ac:dyDescent="0.25">
      <c r="A1098" s="80">
        <v>1097</v>
      </c>
      <c r="B1098" s="80" t="s">
        <v>9673</v>
      </c>
      <c r="C1098" s="80" t="s">
        <v>9331</v>
      </c>
      <c r="D1098" s="87">
        <v>0.97099999999999997</v>
      </c>
    </row>
    <row r="1099" spans="1:4" ht="18" x14ac:dyDescent="0.25">
      <c r="A1099" s="80">
        <v>1098</v>
      </c>
      <c r="B1099" s="80" t="s">
        <v>9674</v>
      </c>
      <c r="C1099" s="80" t="s">
        <v>9331</v>
      </c>
      <c r="D1099" s="87">
        <v>1.0289999999999999</v>
      </c>
    </row>
    <row r="1100" spans="1:4" ht="18" x14ac:dyDescent="0.25">
      <c r="A1100" s="80">
        <v>1099</v>
      </c>
      <c r="B1100" s="80" t="s">
        <v>9675</v>
      </c>
      <c r="C1100" s="80" t="s">
        <v>9331</v>
      </c>
      <c r="D1100" s="87">
        <v>1.0860000000000001</v>
      </c>
    </row>
    <row r="1101" spans="1:4" ht="18" x14ac:dyDescent="0.25">
      <c r="A1101" s="80">
        <v>1100</v>
      </c>
      <c r="B1101" s="80" t="s">
        <v>9676</v>
      </c>
      <c r="C1101" s="80" t="s">
        <v>9331</v>
      </c>
      <c r="D1101" s="87">
        <v>1.1439999999999999</v>
      </c>
    </row>
    <row r="1102" spans="1:4" ht="18" x14ac:dyDescent="0.25">
      <c r="A1102" s="80">
        <v>1101</v>
      </c>
      <c r="B1102" s="80" t="s">
        <v>9677</v>
      </c>
      <c r="C1102" s="80" t="s">
        <v>9331</v>
      </c>
      <c r="D1102" s="87">
        <v>1.202</v>
      </c>
    </row>
    <row r="1103" spans="1:4" ht="18" x14ac:dyDescent="0.25">
      <c r="A1103" s="80">
        <v>1102</v>
      </c>
      <c r="B1103" s="80" t="s">
        <v>9678</v>
      </c>
      <c r="C1103" s="80" t="s">
        <v>9331</v>
      </c>
      <c r="D1103" s="87">
        <v>1.2589999999999999</v>
      </c>
    </row>
    <row r="1104" spans="1:4" ht="18" x14ac:dyDescent="0.25">
      <c r="A1104" s="80">
        <v>1103</v>
      </c>
      <c r="B1104" s="80" t="s">
        <v>9679</v>
      </c>
      <c r="C1104" s="80" t="s">
        <v>9331</v>
      </c>
      <c r="D1104" s="87">
        <v>1.3169999999999999</v>
      </c>
    </row>
    <row r="1105" spans="1:4" ht="18" x14ac:dyDescent="0.25">
      <c r="A1105" s="80">
        <v>1104</v>
      </c>
      <c r="B1105" s="80" t="s">
        <v>9680</v>
      </c>
      <c r="C1105" s="80" t="s">
        <v>9331</v>
      </c>
      <c r="D1105" s="87">
        <v>1.375</v>
      </c>
    </row>
    <row r="1106" spans="1:4" ht="18" x14ac:dyDescent="0.25">
      <c r="A1106" s="80">
        <v>1105</v>
      </c>
      <c r="B1106" s="80" t="s">
        <v>9681</v>
      </c>
      <c r="C1106" s="80" t="s">
        <v>9331</v>
      </c>
      <c r="D1106" s="87">
        <v>0.59</v>
      </c>
    </row>
    <row r="1107" spans="1:4" ht="18" x14ac:dyDescent="0.25">
      <c r="A1107" s="80">
        <v>1106</v>
      </c>
      <c r="B1107" s="80" t="s">
        <v>9682</v>
      </c>
      <c r="C1107" s="80" t="s">
        <v>9331</v>
      </c>
      <c r="D1107" s="87">
        <v>0.65</v>
      </c>
    </row>
    <row r="1108" spans="1:4" ht="18" x14ac:dyDescent="0.25">
      <c r="A1108" s="80">
        <v>1107</v>
      </c>
      <c r="B1108" s="80" t="s">
        <v>9683</v>
      </c>
      <c r="C1108" s="80" t="s">
        <v>9331</v>
      </c>
      <c r="D1108" s="87">
        <v>0.71</v>
      </c>
    </row>
    <row r="1109" spans="1:4" ht="18" x14ac:dyDescent="0.25">
      <c r="A1109" s="80">
        <v>1108</v>
      </c>
      <c r="B1109" s="80" t="s">
        <v>9684</v>
      </c>
      <c r="C1109" s="80" t="s">
        <v>9331</v>
      </c>
      <c r="D1109" s="87">
        <v>0.77</v>
      </c>
    </row>
    <row r="1110" spans="1:4" ht="18" x14ac:dyDescent="0.25">
      <c r="A1110" s="80">
        <v>1109</v>
      </c>
      <c r="B1110" s="80" t="s">
        <v>9685</v>
      </c>
      <c r="C1110" s="80" t="s">
        <v>9331</v>
      </c>
      <c r="D1110" s="87">
        <v>0.83</v>
      </c>
    </row>
    <row r="1111" spans="1:4" ht="18" x14ac:dyDescent="0.25">
      <c r="A1111" s="80">
        <v>1110</v>
      </c>
      <c r="B1111" s="80" t="s">
        <v>9686</v>
      </c>
      <c r="C1111" s="80" t="s">
        <v>9331</v>
      </c>
      <c r="D1111" s="87">
        <v>0.89</v>
      </c>
    </row>
    <row r="1112" spans="1:4" ht="18" x14ac:dyDescent="0.25">
      <c r="A1112" s="80">
        <v>1111</v>
      </c>
      <c r="B1112" s="80" t="s">
        <v>9687</v>
      </c>
      <c r="C1112" s="80" t="s">
        <v>9331</v>
      </c>
      <c r="D1112" s="87">
        <v>0.95</v>
      </c>
    </row>
    <row r="1113" spans="1:4" ht="18" x14ac:dyDescent="0.25">
      <c r="A1113" s="80">
        <v>1112</v>
      </c>
      <c r="B1113" s="80" t="s">
        <v>9688</v>
      </c>
      <c r="C1113" s="80" t="s">
        <v>9331</v>
      </c>
      <c r="D1113" s="87">
        <v>1.01</v>
      </c>
    </row>
    <row r="1114" spans="1:4" ht="18" x14ac:dyDescent="0.25">
      <c r="A1114" s="80">
        <v>1113</v>
      </c>
      <c r="B1114" s="80" t="s">
        <v>9689</v>
      </c>
      <c r="C1114" s="80" t="s">
        <v>9331</v>
      </c>
      <c r="D1114" s="87">
        <v>1.07</v>
      </c>
    </row>
    <row r="1115" spans="1:4" ht="18" x14ac:dyDescent="0.25">
      <c r="A1115" s="80">
        <v>1114</v>
      </c>
      <c r="B1115" s="80" t="s">
        <v>9690</v>
      </c>
      <c r="C1115" s="80" t="s">
        <v>9331</v>
      </c>
      <c r="D1115" s="87">
        <v>1.1299999999999999</v>
      </c>
    </row>
    <row r="1116" spans="1:4" ht="18" x14ac:dyDescent="0.25">
      <c r="A1116" s="80">
        <v>1115</v>
      </c>
      <c r="B1116" s="80" t="s">
        <v>9691</v>
      </c>
      <c r="C1116" s="80" t="s">
        <v>9331</v>
      </c>
      <c r="D1116" s="87">
        <v>1.19</v>
      </c>
    </row>
    <row r="1117" spans="1:4" ht="18" x14ac:dyDescent="0.25">
      <c r="A1117" s="80">
        <v>1116</v>
      </c>
      <c r="B1117" s="80" t="s">
        <v>9692</v>
      </c>
      <c r="C1117" s="80" t="s">
        <v>9331</v>
      </c>
      <c r="D1117" s="87">
        <v>1.25</v>
      </c>
    </row>
    <row r="1118" spans="1:4" ht="18" x14ac:dyDescent="0.25">
      <c r="A1118" s="80">
        <v>1117</v>
      </c>
      <c r="B1118" s="80" t="s">
        <v>9693</v>
      </c>
      <c r="C1118" s="80" t="s">
        <v>9331</v>
      </c>
      <c r="D1118" s="87">
        <v>1.31</v>
      </c>
    </row>
    <row r="1119" spans="1:4" ht="18" x14ac:dyDescent="0.25">
      <c r="A1119" s="80">
        <v>1118</v>
      </c>
      <c r="B1119" s="80" t="s">
        <v>9694</v>
      </c>
      <c r="C1119" s="80" t="s">
        <v>9331</v>
      </c>
      <c r="D1119" s="87">
        <v>1.37</v>
      </c>
    </row>
    <row r="1120" spans="1:4" ht="18" x14ac:dyDescent="0.25">
      <c r="A1120" s="80">
        <v>1119</v>
      </c>
      <c r="B1120" s="80" t="s">
        <v>9695</v>
      </c>
      <c r="C1120" s="80" t="s">
        <v>9331</v>
      </c>
      <c r="D1120" s="87">
        <v>1.43</v>
      </c>
    </row>
    <row r="1121" spans="1:4" ht="18" x14ac:dyDescent="0.25">
      <c r="A1121" s="80">
        <v>1120</v>
      </c>
      <c r="B1121" s="80" t="s">
        <v>9696</v>
      </c>
      <c r="C1121" s="80" t="s">
        <v>9331</v>
      </c>
      <c r="D1121" s="87">
        <v>0.60499999999999998</v>
      </c>
    </row>
    <row r="1122" spans="1:4" ht="18" x14ac:dyDescent="0.25">
      <c r="A1122" s="80">
        <v>1121</v>
      </c>
      <c r="B1122" s="80" t="s">
        <v>9697</v>
      </c>
      <c r="C1122" s="80" t="s">
        <v>9331</v>
      </c>
      <c r="D1122" s="87">
        <v>0.66700000000000004</v>
      </c>
    </row>
    <row r="1123" spans="1:4" ht="18" x14ac:dyDescent="0.25">
      <c r="A1123" s="80">
        <v>1122</v>
      </c>
      <c r="B1123" s="80" t="s">
        <v>9698</v>
      </c>
      <c r="C1123" s="80" t="s">
        <v>9331</v>
      </c>
      <c r="D1123" s="87">
        <v>0.72799999999999998</v>
      </c>
    </row>
    <row r="1124" spans="1:4" ht="18" x14ac:dyDescent="0.25">
      <c r="A1124" s="80">
        <v>1123</v>
      </c>
      <c r="B1124" s="80" t="s">
        <v>9699</v>
      </c>
      <c r="C1124" s="80" t="s">
        <v>9331</v>
      </c>
      <c r="D1124" s="87">
        <v>0.79</v>
      </c>
    </row>
    <row r="1125" spans="1:4" ht="18" x14ac:dyDescent="0.25">
      <c r="A1125" s="80">
        <v>1124</v>
      </c>
      <c r="B1125" s="80" t="s">
        <v>9700</v>
      </c>
      <c r="C1125" s="80" t="s">
        <v>9331</v>
      </c>
      <c r="D1125" s="87">
        <v>0.85099999999999998</v>
      </c>
    </row>
    <row r="1126" spans="1:4" ht="18" x14ac:dyDescent="0.25">
      <c r="A1126" s="80">
        <v>1125</v>
      </c>
      <c r="B1126" s="80" t="s">
        <v>9701</v>
      </c>
      <c r="C1126" s="80" t="s">
        <v>9331</v>
      </c>
      <c r="D1126" s="87">
        <v>0.91300000000000003</v>
      </c>
    </row>
    <row r="1127" spans="1:4" ht="18" x14ac:dyDescent="0.25">
      <c r="A1127" s="80">
        <v>1126</v>
      </c>
      <c r="B1127" s="80" t="s">
        <v>9702</v>
      </c>
      <c r="C1127" s="80" t="s">
        <v>9331</v>
      </c>
      <c r="D1127" s="87">
        <v>0.97499999999999998</v>
      </c>
    </row>
    <row r="1128" spans="1:4" ht="18" x14ac:dyDescent="0.25">
      <c r="A1128" s="80">
        <v>1127</v>
      </c>
      <c r="B1128" s="80" t="s">
        <v>9703</v>
      </c>
      <c r="C1128" s="80" t="s">
        <v>9331</v>
      </c>
      <c r="D1128" s="87">
        <v>1.036</v>
      </c>
    </row>
    <row r="1129" spans="1:4" ht="18" x14ac:dyDescent="0.25">
      <c r="A1129" s="80">
        <v>1128</v>
      </c>
      <c r="B1129" s="80" t="s">
        <v>9704</v>
      </c>
      <c r="C1129" s="80" t="s">
        <v>9331</v>
      </c>
      <c r="D1129" s="87">
        <v>1.0980000000000001</v>
      </c>
    </row>
    <row r="1130" spans="1:4" ht="18" x14ac:dyDescent="0.25">
      <c r="A1130" s="80">
        <v>1129</v>
      </c>
      <c r="B1130" s="80" t="s">
        <v>9705</v>
      </c>
      <c r="C1130" s="80" t="s">
        <v>9331</v>
      </c>
      <c r="D1130" s="87">
        <v>1.159</v>
      </c>
    </row>
    <row r="1131" spans="1:4" ht="18" x14ac:dyDescent="0.25">
      <c r="A1131" s="80">
        <v>1130</v>
      </c>
      <c r="B1131" s="80" t="s">
        <v>9706</v>
      </c>
      <c r="C1131" s="80" t="s">
        <v>9331</v>
      </c>
      <c r="D1131" s="87">
        <v>1.2210000000000001</v>
      </c>
    </row>
    <row r="1132" spans="1:4" ht="18" x14ac:dyDescent="0.25">
      <c r="A1132" s="80">
        <v>1131</v>
      </c>
      <c r="B1132" s="80" t="s">
        <v>9707</v>
      </c>
      <c r="C1132" s="80" t="s">
        <v>9331</v>
      </c>
      <c r="D1132" s="87">
        <v>1.282</v>
      </c>
    </row>
    <row r="1133" spans="1:4" ht="18" x14ac:dyDescent="0.25">
      <c r="A1133" s="80">
        <v>1132</v>
      </c>
      <c r="B1133" s="80" t="s">
        <v>9708</v>
      </c>
      <c r="C1133" s="80" t="s">
        <v>9331</v>
      </c>
      <c r="D1133" s="87">
        <v>1.3440000000000001</v>
      </c>
    </row>
    <row r="1134" spans="1:4" ht="18" x14ac:dyDescent="0.25">
      <c r="A1134" s="80">
        <v>1133</v>
      </c>
      <c r="B1134" s="80" t="s">
        <v>9709</v>
      </c>
      <c r="C1134" s="80" t="s">
        <v>9331</v>
      </c>
      <c r="D1134" s="87">
        <v>1.405</v>
      </c>
    </row>
    <row r="1135" spans="1:4" ht="18" x14ac:dyDescent="0.25">
      <c r="A1135" s="80">
        <v>1134</v>
      </c>
      <c r="B1135" s="80" t="s">
        <v>9710</v>
      </c>
      <c r="C1135" s="80" t="s">
        <v>9331</v>
      </c>
      <c r="D1135" s="87">
        <v>1.4670000000000001</v>
      </c>
    </row>
    <row r="1136" spans="1:4" ht="18" x14ac:dyDescent="0.25">
      <c r="A1136" s="80">
        <v>1135</v>
      </c>
      <c r="B1136" s="80" t="s">
        <v>9711</v>
      </c>
      <c r="C1136" s="80" t="s">
        <v>9331</v>
      </c>
      <c r="D1136" s="87">
        <v>0.63600000000000001</v>
      </c>
    </row>
    <row r="1137" spans="1:4" ht="18" x14ac:dyDescent="0.25">
      <c r="A1137" s="80">
        <v>1136</v>
      </c>
      <c r="B1137" s="80" t="s">
        <v>9712</v>
      </c>
      <c r="C1137" s="80" t="s">
        <v>9331</v>
      </c>
      <c r="D1137" s="87">
        <v>0.7</v>
      </c>
    </row>
    <row r="1138" spans="1:4" ht="18" x14ac:dyDescent="0.25">
      <c r="A1138" s="80">
        <v>1137</v>
      </c>
      <c r="B1138" s="80" t="s">
        <v>9713</v>
      </c>
      <c r="C1138" s="80" t="s">
        <v>9331</v>
      </c>
      <c r="D1138" s="87">
        <v>0.76500000000000001</v>
      </c>
    </row>
    <row r="1139" spans="1:4" ht="18" x14ac:dyDescent="0.25">
      <c r="A1139" s="80">
        <v>1138</v>
      </c>
      <c r="B1139" s="80" t="s">
        <v>9714</v>
      </c>
      <c r="C1139" s="80" t="s">
        <v>9331</v>
      </c>
      <c r="D1139" s="87">
        <v>0.83</v>
      </c>
    </row>
    <row r="1140" spans="1:4" ht="18" x14ac:dyDescent="0.25">
      <c r="A1140" s="80">
        <v>1139</v>
      </c>
      <c r="B1140" s="80" t="s">
        <v>9715</v>
      </c>
      <c r="C1140" s="80" t="s">
        <v>9331</v>
      </c>
      <c r="D1140" s="87">
        <v>0.89400000000000002</v>
      </c>
    </row>
    <row r="1141" spans="1:4" ht="18" x14ac:dyDescent="0.25">
      <c r="A1141" s="80">
        <v>1140</v>
      </c>
      <c r="B1141" s="80" t="s">
        <v>9716</v>
      </c>
      <c r="C1141" s="80" t="s">
        <v>9331</v>
      </c>
      <c r="D1141" s="87">
        <v>0.95899999999999996</v>
      </c>
    </row>
    <row r="1142" spans="1:4" ht="18" x14ac:dyDescent="0.25">
      <c r="A1142" s="80">
        <v>1141</v>
      </c>
      <c r="B1142" s="80" t="s">
        <v>9717</v>
      </c>
      <c r="C1142" s="80" t="s">
        <v>9331</v>
      </c>
      <c r="D1142" s="87">
        <v>1.024</v>
      </c>
    </row>
    <row r="1143" spans="1:4" ht="18" x14ac:dyDescent="0.25">
      <c r="A1143" s="80">
        <v>1142</v>
      </c>
      <c r="B1143" s="80" t="s">
        <v>9718</v>
      </c>
      <c r="C1143" s="80" t="s">
        <v>9331</v>
      </c>
      <c r="D1143" s="87">
        <v>1.0880000000000001</v>
      </c>
    </row>
    <row r="1144" spans="1:4" ht="18" x14ac:dyDescent="0.25">
      <c r="A1144" s="80">
        <v>1143</v>
      </c>
      <c r="B1144" s="80" t="s">
        <v>9719</v>
      </c>
      <c r="C1144" s="80" t="s">
        <v>9331</v>
      </c>
      <c r="D1144" s="87">
        <v>1.153</v>
      </c>
    </row>
    <row r="1145" spans="1:4" ht="18" x14ac:dyDescent="0.25">
      <c r="A1145" s="80">
        <v>1144</v>
      </c>
      <c r="B1145" s="80" t="s">
        <v>9720</v>
      </c>
      <c r="C1145" s="80" t="s">
        <v>9331</v>
      </c>
      <c r="D1145" s="87">
        <v>1.2170000000000001</v>
      </c>
    </row>
    <row r="1146" spans="1:4" ht="18" x14ac:dyDescent="0.25">
      <c r="A1146" s="80">
        <v>1145</v>
      </c>
      <c r="B1146" s="80" t="s">
        <v>9721</v>
      </c>
      <c r="C1146" s="80" t="s">
        <v>9331</v>
      </c>
      <c r="D1146" s="87">
        <v>1.282</v>
      </c>
    </row>
    <row r="1147" spans="1:4" ht="18" x14ac:dyDescent="0.25">
      <c r="A1147" s="80">
        <v>1146</v>
      </c>
      <c r="B1147" s="80" t="s">
        <v>9722</v>
      </c>
      <c r="C1147" s="80" t="s">
        <v>9331</v>
      </c>
      <c r="D1147" s="87">
        <v>1.347</v>
      </c>
    </row>
    <row r="1148" spans="1:4" ht="18" x14ac:dyDescent="0.25">
      <c r="A1148" s="80">
        <v>1147</v>
      </c>
      <c r="B1148" s="80" t="s">
        <v>9723</v>
      </c>
      <c r="C1148" s="80" t="s">
        <v>9331</v>
      </c>
      <c r="D1148" s="87">
        <v>1.411</v>
      </c>
    </row>
    <row r="1149" spans="1:4" ht="18" x14ac:dyDescent="0.25">
      <c r="A1149" s="80">
        <v>1148</v>
      </c>
      <c r="B1149" s="80" t="s">
        <v>9724</v>
      </c>
      <c r="C1149" s="80" t="s">
        <v>9331</v>
      </c>
      <c r="D1149" s="87">
        <v>1.476</v>
      </c>
    </row>
    <row r="1150" spans="1:4" ht="18" x14ac:dyDescent="0.25">
      <c r="A1150" s="80">
        <v>1149</v>
      </c>
      <c r="B1150" s="80" t="s">
        <v>9725</v>
      </c>
      <c r="C1150" s="80" t="s">
        <v>9331</v>
      </c>
      <c r="D1150" s="87">
        <v>1.5409999999999999</v>
      </c>
    </row>
    <row r="1151" spans="1:4" ht="18" x14ac:dyDescent="0.25">
      <c r="A1151" s="80">
        <v>1150</v>
      </c>
      <c r="B1151" s="80" t="s">
        <v>9726</v>
      </c>
      <c r="C1151" s="80" t="s">
        <v>9331</v>
      </c>
      <c r="D1151" s="87">
        <v>3.952</v>
      </c>
    </row>
    <row r="1152" spans="1:4" ht="18" x14ac:dyDescent="0.25">
      <c r="A1152" s="80">
        <v>1151</v>
      </c>
      <c r="B1152" s="80" t="s">
        <v>9727</v>
      </c>
      <c r="C1152" s="80" t="s">
        <v>9331</v>
      </c>
      <c r="D1152" s="87">
        <v>4.1210000000000004</v>
      </c>
    </row>
    <row r="1153" spans="1:4" ht="18" x14ac:dyDescent="0.25">
      <c r="A1153" s="80">
        <v>1152</v>
      </c>
      <c r="B1153" s="80" t="s">
        <v>9728</v>
      </c>
      <c r="C1153" s="80" t="s">
        <v>9331</v>
      </c>
      <c r="D1153" s="87">
        <v>1.716</v>
      </c>
    </row>
    <row r="1154" spans="1:4" ht="18" x14ac:dyDescent="0.25">
      <c r="A1154" s="80">
        <v>1153</v>
      </c>
      <c r="B1154" s="80" t="s">
        <v>9729</v>
      </c>
      <c r="C1154" s="80" t="s">
        <v>9331</v>
      </c>
      <c r="D1154" s="87">
        <v>2.0840000000000001</v>
      </c>
    </row>
    <row r="1155" spans="1:4" ht="18" x14ac:dyDescent="0.25">
      <c r="A1155" s="80">
        <v>1154</v>
      </c>
      <c r="B1155" s="80" t="s">
        <v>9730</v>
      </c>
      <c r="C1155" s="80" t="s">
        <v>9331</v>
      </c>
      <c r="D1155" s="87">
        <v>2.452</v>
      </c>
    </row>
    <row r="1156" spans="1:4" ht="18" x14ac:dyDescent="0.25">
      <c r="A1156" s="80">
        <v>1155</v>
      </c>
      <c r="B1156" s="80" t="s">
        <v>9731</v>
      </c>
      <c r="C1156" s="80" t="s">
        <v>9331</v>
      </c>
      <c r="D1156" s="87">
        <v>2.819</v>
      </c>
    </row>
    <row r="1157" spans="1:4" ht="18" x14ac:dyDescent="0.25">
      <c r="A1157" s="80">
        <v>1156</v>
      </c>
      <c r="B1157" s="80" t="s">
        <v>9732</v>
      </c>
      <c r="C1157" s="80" t="s">
        <v>9331</v>
      </c>
      <c r="D1157" s="87">
        <v>3.5550000000000002</v>
      </c>
    </row>
    <row r="1158" spans="1:4" ht="18" x14ac:dyDescent="0.25">
      <c r="A1158" s="80">
        <v>1157</v>
      </c>
      <c r="B1158" s="80" t="s">
        <v>9733</v>
      </c>
      <c r="C1158" s="80" t="s">
        <v>9331</v>
      </c>
      <c r="D1158" s="87">
        <v>3.923</v>
      </c>
    </row>
    <row r="1159" spans="1:4" ht="18" x14ac:dyDescent="0.25">
      <c r="A1159" s="80">
        <v>1158</v>
      </c>
      <c r="B1159" s="80" t="s">
        <v>9734</v>
      </c>
      <c r="C1159" s="80" t="s">
        <v>9331</v>
      </c>
      <c r="D1159" s="87">
        <v>4.29</v>
      </c>
    </row>
    <row r="1160" spans="1:4" ht="18" x14ac:dyDescent="0.25">
      <c r="A1160" s="80">
        <v>1159</v>
      </c>
      <c r="B1160" s="80" t="s">
        <v>9735</v>
      </c>
      <c r="C1160" s="80" t="s">
        <v>9331</v>
      </c>
      <c r="D1160" s="87">
        <v>1.7609999999999999</v>
      </c>
    </row>
    <row r="1161" spans="1:4" ht="18" x14ac:dyDescent="0.25">
      <c r="A1161" s="80">
        <v>1160</v>
      </c>
      <c r="B1161" s="80" t="s">
        <v>9736</v>
      </c>
      <c r="C1161" s="80" t="s">
        <v>9331</v>
      </c>
      <c r="D1161" s="87">
        <v>2.1389999999999998</v>
      </c>
    </row>
    <row r="1162" spans="1:4" ht="18" x14ac:dyDescent="0.25">
      <c r="A1162" s="80">
        <v>1161</v>
      </c>
      <c r="B1162" s="80" t="s">
        <v>9737</v>
      </c>
      <c r="C1162" s="80" t="s">
        <v>9331</v>
      </c>
      <c r="D1162" s="87">
        <v>2.516</v>
      </c>
    </row>
    <row r="1163" spans="1:4" ht="18" x14ac:dyDescent="0.25">
      <c r="A1163" s="80">
        <v>1162</v>
      </c>
      <c r="B1163" s="80" t="s">
        <v>9738</v>
      </c>
      <c r="C1163" s="80" t="s">
        <v>9331</v>
      </c>
      <c r="D1163" s="87">
        <v>2.8940000000000001</v>
      </c>
    </row>
    <row r="1164" spans="1:4" ht="18" x14ac:dyDescent="0.25">
      <c r="A1164" s="80">
        <v>1163</v>
      </c>
      <c r="B1164" s="80" t="s">
        <v>9739</v>
      </c>
      <c r="C1164" s="80" t="s">
        <v>9331</v>
      </c>
      <c r="D1164" s="87">
        <v>3.6480000000000001</v>
      </c>
    </row>
    <row r="1165" spans="1:4" ht="18" x14ac:dyDescent="0.25">
      <c r="A1165" s="80">
        <v>1164</v>
      </c>
      <c r="B1165" s="80" t="s">
        <v>9740</v>
      </c>
      <c r="C1165" s="80" t="s">
        <v>9331</v>
      </c>
      <c r="D1165" s="87">
        <v>4.0259999999999998</v>
      </c>
    </row>
    <row r="1166" spans="1:4" ht="18" x14ac:dyDescent="0.25">
      <c r="A1166" s="80">
        <v>1165</v>
      </c>
      <c r="B1166" s="80" t="s">
        <v>9741</v>
      </c>
      <c r="C1166" s="80" t="s">
        <v>9331</v>
      </c>
      <c r="D1166" s="87">
        <v>4.4029999999999996</v>
      </c>
    </row>
    <row r="1167" spans="1:4" ht="18" x14ac:dyDescent="0.25">
      <c r="A1167" s="80">
        <v>1166</v>
      </c>
      <c r="B1167" s="80" t="s">
        <v>9742</v>
      </c>
      <c r="C1167" s="80" t="s">
        <v>9331</v>
      </c>
      <c r="D1167" s="87">
        <v>1.8520000000000001</v>
      </c>
    </row>
    <row r="1168" spans="1:4" ht="18" x14ac:dyDescent="0.25">
      <c r="A1168" s="80">
        <v>1167</v>
      </c>
      <c r="B1168" s="80" t="s">
        <v>9743</v>
      </c>
      <c r="C1168" s="80" t="s">
        <v>9331</v>
      </c>
      <c r="D1168" s="87">
        <v>2.2480000000000002</v>
      </c>
    </row>
    <row r="1169" spans="1:4" ht="18" x14ac:dyDescent="0.25">
      <c r="A1169" s="80">
        <v>1168</v>
      </c>
      <c r="B1169" s="80" t="s">
        <v>9744</v>
      </c>
      <c r="C1169" s="80" t="s">
        <v>9331</v>
      </c>
      <c r="D1169" s="87">
        <v>2.645</v>
      </c>
    </row>
    <row r="1170" spans="1:4" ht="18" x14ac:dyDescent="0.25">
      <c r="A1170" s="80">
        <v>1169</v>
      </c>
      <c r="B1170" s="80" t="s">
        <v>9745</v>
      </c>
      <c r="C1170" s="80" t="s">
        <v>9331</v>
      </c>
      <c r="D1170" s="87">
        <v>3.0419999999999998</v>
      </c>
    </row>
    <row r="1171" spans="1:4" ht="18" x14ac:dyDescent="0.25">
      <c r="A1171" s="80">
        <v>1170</v>
      </c>
      <c r="B1171" s="80" t="s">
        <v>9746</v>
      </c>
      <c r="C1171" s="80" t="s">
        <v>9331</v>
      </c>
      <c r="D1171" s="87">
        <v>3.835</v>
      </c>
    </row>
    <row r="1172" spans="1:4" ht="18" x14ac:dyDescent="0.25">
      <c r="A1172" s="80">
        <v>1171</v>
      </c>
      <c r="B1172" s="80" t="s">
        <v>9747</v>
      </c>
      <c r="C1172" s="80" t="s">
        <v>9331</v>
      </c>
      <c r="D1172" s="87">
        <v>4.2320000000000002</v>
      </c>
    </row>
    <row r="1173" spans="1:4" ht="18" x14ac:dyDescent="0.25">
      <c r="A1173" s="80">
        <v>1172</v>
      </c>
      <c r="B1173" s="80" t="s">
        <v>9748</v>
      </c>
      <c r="C1173" s="80" t="s">
        <v>9331</v>
      </c>
      <c r="D1173" s="87">
        <v>4.6289999999999996</v>
      </c>
    </row>
    <row r="1174" spans="1:4" ht="18" x14ac:dyDescent="0.25">
      <c r="A1174" s="80">
        <v>1173</v>
      </c>
      <c r="B1174" s="80" t="s">
        <v>9749</v>
      </c>
      <c r="C1174" s="80" t="s">
        <v>9331</v>
      </c>
      <c r="D1174" s="87">
        <v>3.839</v>
      </c>
    </row>
    <row r="1175" spans="1:4" ht="18" x14ac:dyDescent="0.25">
      <c r="A1175" s="80">
        <v>1174</v>
      </c>
      <c r="B1175" s="80" t="s">
        <v>9750</v>
      </c>
      <c r="C1175" s="80" t="s">
        <v>9331</v>
      </c>
      <c r="D1175" s="87">
        <v>4.0030000000000001</v>
      </c>
    </row>
    <row r="1176" spans="1:4" ht="18" x14ac:dyDescent="0.25">
      <c r="A1176" s="80">
        <v>1175</v>
      </c>
      <c r="B1176" s="80" t="s">
        <v>9751</v>
      </c>
      <c r="C1176" s="80" t="s">
        <v>9331</v>
      </c>
      <c r="D1176" s="87">
        <v>1.9</v>
      </c>
    </row>
    <row r="1177" spans="1:4" ht="18" x14ac:dyDescent="0.25">
      <c r="A1177" s="80">
        <v>1176</v>
      </c>
      <c r="B1177" s="80" t="s">
        <v>9752</v>
      </c>
      <c r="C1177" s="80" t="s">
        <v>9331</v>
      </c>
      <c r="D1177" s="87">
        <v>2.2679999999999998</v>
      </c>
    </row>
    <row r="1178" spans="1:4" ht="18" x14ac:dyDescent="0.25">
      <c r="A1178" s="80">
        <v>1177</v>
      </c>
      <c r="B1178" s="80" t="s">
        <v>9753</v>
      </c>
      <c r="C1178" s="80" t="s">
        <v>9331</v>
      </c>
      <c r="D1178" s="87">
        <v>2.6349999999999998</v>
      </c>
    </row>
    <row r="1179" spans="1:4" ht="18" x14ac:dyDescent="0.25">
      <c r="A1179" s="80">
        <v>1178</v>
      </c>
      <c r="B1179" s="80" t="s">
        <v>9754</v>
      </c>
      <c r="C1179" s="80" t="s">
        <v>9331</v>
      </c>
      <c r="D1179" s="87">
        <v>3.0030000000000001</v>
      </c>
    </row>
    <row r="1180" spans="1:4" ht="18" x14ac:dyDescent="0.25">
      <c r="A1180" s="80">
        <v>1179</v>
      </c>
      <c r="B1180" s="80" t="s">
        <v>9755</v>
      </c>
      <c r="C1180" s="80" t="s">
        <v>9331</v>
      </c>
      <c r="D1180" s="87">
        <v>3.1869999999999998</v>
      </c>
    </row>
    <row r="1181" spans="1:4" ht="18" x14ac:dyDescent="0.25">
      <c r="A1181" s="80">
        <v>1180</v>
      </c>
      <c r="B1181" s="80" t="s">
        <v>9756</v>
      </c>
      <c r="C1181" s="80" t="s">
        <v>9331</v>
      </c>
      <c r="D1181" s="87">
        <v>3.371</v>
      </c>
    </row>
    <row r="1182" spans="1:4" ht="18" x14ac:dyDescent="0.25">
      <c r="A1182" s="80">
        <v>1181</v>
      </c>
      <c r="B1182" s="80" t="s">
        <v>9757</v>
      </c>
      <c r="C1182" s="80" t="s">
        <v>9331</v>
      </c>
      <c r="D1182" s="87">
        <v>3.7389999999999999</v>
      </c>
    </row>
    <row r="1183" spans="1:4" ht="18" x14ac:dyDescent="0.25">
      <c r="A1183" s="80">
        <v>1182</v>
      </c>
      <c r="B1183" s="80" t="s">
        <v>9758</v>
      </c>
      <c r="C1183" s="80" t="s">
        <v>9331</v>
      </c>
      <c r="D1183" s="87">
        <v>1.95</v>
      </c>
    </row>
    <row r="1184" spans="1:4" ht="18" x14ac:dyDescent="0.25">
      <c r="A1184" s="80">
        <v>1183</v>
      </c>
      <c r="B1184" s="80" t="s">
        <v>9759</v>
      </c>
      <c r="C1184" s="80" t="s">
        <v>9331</v>
      </c>
      <c r="D1184" s="87">
        <v>2.327</v>
      </c>
    </row>
    <row r="1185" spans="1:4" ht="18" x14ac:dyDescent="0.25">
      <c r="A1185" s="80">
        <v>1184</v>
      </c>
      <c r="B1185" s="80" t="s">
        <v>9760</v>
      </c>
      <c r="C1185" s="80" t="s">
        <v>9331</v>
      </c>
      <c r="D1185" s="87">
        <v>2.7050000000000001</v>
      </c>
    </row>
    <row r="1186" spans="1:4" ht="18" x14ac:dyDescent="0.25">
      <c r="A1186" s="80">
        <v>1185</v>
      </c>
      <c r="B1186" s="80" t="s">
        <v>9761</v>
      </c>
      <c r="C1186" s="80" t="s">
        <v>9331</v>
      </c>
      <c r="D1186" s="87">
        <v>3.0819999999999999</v>
      </c>
    </row>
    <row r="1187" spans="1:4" ht="18" x14ac:dyDescent="0.25">
      <c r="A1187" s="80">
        <v>1186</v>
      </c>
      <c r="B1187" s="80" t="s">
        <v>9762</v>
      </c>
      <c r="C1187" s="80" t="s">
        <v>9331</v>
      </c>
      <c r="D1187" s="87">
        <v>3.2709999999999999</v>
      </c>
    </row>
    <row r="1188" spans="1:4" ht="18" x14ac:dyDescent="0.25">
      <c r="A1188" s="80">
        <v>1187</v>
      </c>
      <c r="B1188" s="80" t="s">
        <v>9763</v>
      </c>
      <c r="C1188" s="80" t="s">
        <v>9331</v>
      </c>
      <c r="D1188" s="87">
        <v>3.46</v>
      </c>
    </row>
    <row r="1189" spans="1:4" ht="18" x14ac:dyDescent="0.25">
      <c r="A1189" s="80">
        <v>1188</v>
      </c>
      <c r="B1189" s="80" t="s">
        <v>9764</v>
      </c>
      <c r="C1189" s="80" t="s">
        <v>9331</v>
      </c>
      <c r="D1189" s="87">
        <v>3.8370000000000002</v>
      </c>
    </row>
    <row r="1190" spans="1:4" ht="18" x14ac:dyDescent="0.25">
      <c r="A1190" s="80">
        <v>1189</v>
      </c>
      <c r="B1190" s="80" t="s">
        <v>9765</v>
      </c>
      <c r="C1190" s="80" t="s">
        <v>9331</v>
      </c>
      <c r="D1190" s="87">
        <v>4.2770000000000001</v>
      </c>
    </row>
    <row r="1191" spans="1:4" ht="18" x14ac:dyDescent="0.25">
      <c r="A1191" s="80">
        <v>1190</v>
      </c>
      <c r="B1191" s="80" t="s">
        <v>9766</v>
      </c>
      <c r="C1191" s="80" t="s">
        <v>9331</v>
      </c>
      <c r="D1191" s="87">
        <v>2.0499999999999998</v>
      </c>
    </row>
    <row r="1192" spans="1:4" ht="18" x14ac:dyDescent="0.25">
      <c r="A1192" s="80">
        <v>1191</v>
      </c>
      <c r="B1192" s="80" t="s">
        <v>9767</v>
      </c>
      <c r="C1192" s="80" t="s">
        <v>9331</v>
      </c>
      <c r="D1192" s="87">
        <v>2.4470000000000001</v>
      </c>
    </row>
    <row r="1193" spans="1:4" ht="18" x14ac:dyDescent="0.25">
      <c r="A1193" s="80">
        <v>1192</v>
      </c>
      <c r="B1193" s="80" t="s">
        <v>9768</v>
      </c>
      <c r="C1193" s="80" t="s">
        <v>9331</v>
      </c>
      <c r="D1193" s="87">
        <v>2.8439999999999999</v>
      </c>
    </row>
    <row r="1194" spans="1:4" ht="18" x14ac:dyDescent="0.25">
      <c r="A1194" s="80">
        <v>1193</v>
      </c>
      <c r="B1194" s="80" t="s">
        <v>9769</v>
      </c>
      <c r="C1194" s="80" t="s">
        <v>9331</v>
      </c>
      <c r="D1194" s="87">
        <v>3.24</v>
      </c>
    </row>
    <row r="1195" spans="1:4" ht="18" x14ac:dyDescent="0.25">
      <c r="A1195" s="80">
        <v>1194</v>
      </c>
      <c r="B1195" s="80" t="s">
        <v>9770</v>
      </c>
      <c r="C1195" s="80" t="s">
        <v>9331</v>
      </c>
      <c r="D1195" s="87">
        <v>3.4390000000000001</v>
      </c>
    </row>
    <row r="1196" spans="1:4" ht="18" x14ac:dyDescent="0.25">
      <c r="A1196" s="80">
        <v>1195</v>
      </c>
      <c r="B1196" s="80" t="s">
        <v>9771</v>
      </c>
      <c r="C1196" s="80" t="s">
        <v>9331</v>
      </c>
      <c r="D1196" s="87">
        <v>3.637</v>
      </c>
    </row>
    <row r="1197" spans="1:4" ht="18" x14ac:dyDescent="0.25">
      <c r="A1197" s="80">
        <v>1196</v>
      </c>
      <c r="B1197" s="80" t="s">
        <v>9772</v>
      </c>
      <c r="C1197" s="80" t="s">
        <v>9331</v>
      </c>
      <c r="D1197" s="87">
        <v>4.0339999999999998</v>
      </c>
    </row>
    <row r="1198" spans="1:4" ht="18" x14ac:dyDescent="0.25">
      <c r="A1198" s="80">
        <v>1197</v>
      </c>
      <c r="B1198" s="80" t="s">
        <v>9773</v>
      </c>
      <c r="C1198" s="80" t="s">
        <v>9331</v>
      </c>
      <c r="D1198" s="87">
        <v>4.4969999999999999</v>
      </c>
    </row>
    <row r="1199" spans="1:4" ht="18" x14ac:dyDescent="0.25">
      <c r="A1199" s="80">
        <v>1198</v>
      </c>
      <c r="B1199" s="80" t="s">
        <v>9774</v>
      </c>
      <c r="C1199" s="80" t="s">
        <v>9331</v>
      </c>
      <c r="D1199" s="87">
        <v>0.65700000000000003</v>
      </c>
    </row>
    <row r="1200" spans="1:4" ht="18" x14ac:dyDescent="0.25">
      <c r="A1200" s="80">
        <v>1199</v>
      </c>
      <c r="B1200" s="80" t="s">
        <v>9775</v>
      </c>
      <c r="C1200" s="80" t="s">
        <v>9331</v>
      </c>
      <c r="D1200" s="87">
        <v>0.81799999999999995</v>
      </c>
    </row>
    <row r="1201" spans="1:4" ht="18" x14ac:dyDescent="0.25">
      <c r="A1201" s="80">
        <v>1200</v>
      </c>
      <c r="B1201" s="80" t="s">
        <v>9776</v>
      </c>
      <c r="C1201" s="80" t="s">
        <v>9331</v>
      </c>
      <c r="D1201" s="87">
        <v>0.97899999999999998</v>
      </c>
    </row>
    <row r="1202" spans="1:4" ht="18" x14ac:dyDescent="0.25">
      <c r="A1202" s="80">
        <v>1201</v>
      </c>
      <c r="B1202" s="80" t="s">
        <v>9777</v>
      </c>
      <c r="C1202" s="80" t="s">
        <v>9331</v>
      </c>
      <c r="D1202" s="87">
        <v>1.1399999999999999</v>
      </c>
    </row>
    <row r="1203" spans="1:4" ht="18" x14ac:dyDescent="0.25">
      <c r="A1203" s="80">
        <v>1202</v>
      </c>
      <c r="B1203" s="80" t="s">
        <v>9778</v>
      </c>
      <c r="C1203" s="80" t="s">
        <v>9331</v>
      </c>
      <c r="D1203" s="87">
        <v>1.4610000000000001</v>
      </c>
    </row>
    <row r="1204" spans="1:4" ht="18" x14ac:dyDescent="0.25">
      <c r="A1204" s="80">
        <v>1203</v>
      </c>
      <c r="B1204" s="80" t="s">
        <v>9779</v>
      </c>
      <c r="C1204" s="80" t="s">
        <v>9331</v>
      </c>
      <c r="D1204" s="87">
        <v>1.6220000000000001</v>
      </c>
    </row>
    <row r="1205" spans="1:4" ht="18" x14ac:dyDescent="0.25">
      <c r="A1205" s="80">
        <v>1204</v>
      </c>
      <c r="B1205" s="80" t="s">
        <v>9780</v>
      </c>
      <c r="C1205" s="80" t="s">
        <v>9331</v>
      </c>
      <c r="D1205" s="87">
        <v>1.7829999999999999</v>
      </c>
    </row>
    <row r="1206" spans="1:4" ht="18" x14ac:dyDescent="0.25">
      <c r="A1206" s="80">
        <v>1205</v>
      </c>
      <c r="B1206" s="80" t="s">
        <v>9781</v>
      </c>
      <c r="C1206" s="80" t="s">
        <v>9331</v>
      </c>
      <c r="D1206" s="87">
        <v>0.68700000000000006</v>
      </c>
    </row>
    <row r="1207" spans="1:4" ht="18" x14ac:dyDescent="0.25">
      <c r="A1207" s="80">
        <v>1206</v>
      </c>
      <c r="B1207" s="80" t="s">
        <v>9782</v>
      </c>
      <c r="C1207" s="80" t="s">
        <v>9331</v>
      </c>
      <c r="D1207" s="87">
        <v>0.85499999999999998</v>
      </c>
    </row>
    <row r="1208" spans="1:4" ht="18" x14ac:dyDescent="0.25">
      <c r="A1208" s="80">
        <v>1207</v>
      </c>
      <c r="B1208" s="80" t="s">
        <v>9783</v>
      </c>
      <c r="C1208" s="80" t="s">
        <v>9331</v>
      </c>
      <c r="D1208" s="87">
        <v>1.0229999999999999</v>
      </c>
    </row>
    <row r="1209" spans="1:4" ht="18" x14ac:dyDescent="0.25">
      <c r="A1209" s="80">
        <v>1208</v>
      </c>
      <c r="B1209" s="80" t="s">
        <v>9784</v>
      </c>
      <c r="C1209" s="80" t="s">
        <v>9331</v>
      </c>
      <c r="D1209" s="87">
        <v>1.1910000000000001</v>
      </c>
    </row>
    <row r="1210" spans="1:4" ht="18" x14ac:dyDescent="0.25">
      <c r="A1210" s="80">
        <v>1209</v>
      </c>
      <c r="B1210" s="80" t="s">
        <v>9785</v>
      </c>
      <c r="C1210" s="80" t="s">
        <v>9331</v>
      </c>
      <c r="D1210" s="87">
        <v>1.5269999999999999</v>
      </c>
    </row>
    <row r="1211" spans="1:4" ht="18" x14ac:dyDescent="0.25">
      <c r="A1211" s="80">
        <v>1210</v>
      </c>
      <c r="B1211" s="80" t="s">
        <v>9786</v>
      </c>
      <c r="C1211" s="80" t="s">
        <v>9331</v>
      </c>
      <c r="D1211" s="87">
        <v>1.6950000000000001</v>
      </c>
    </row>
    <row r="1212" spans="1:4" ht="18" x14ac:dyDescent="0.25">
      <c r="A1212" s="80">
        <v>1211</v>
      </c>
      <c r="B1212" s="80" t="s">
        <v>9787</v>
      </c>
      <c r="C1212" s="80" t="s">
        <v>9331</v>
      </c>
      <c r="D1212" s="87">
        <v>1.8640000000000001</v>
      </c>
    </row>
    <row r="1213" spans="1:4" ht="18" x14ac:dyDescent="0.25">
      <c r="A1213" s="80">
        <v>1212</v>
      </c>
      <c r="B1213" s="80" t="s">
        <v>9788</v>
      </c>
      <c r="C1213" s="80" t="s">
        <v>9331</v>
      </c>
      <c r="D1213" s="87">
        <v>0.71599999999999997</v>
      </c>
    </row>
    <row r="1214" spans="1:4" ht="18" x14ac:dyDescent="0.25">
      <c r="A1214" s="80">
        <v>1213</v>
      </c>
      <c r="B1214" s="80" t="s">
        <v>9789</v>
      </c>
      <c r="C1214" s="80" t="s">
        <v>9331</v>
      </c>
      <c r="D1214" s="87">
        <v>0.89200000000000002</v>
      </c>
    </row>
    <row r="1215" spans="1:4" ht="18" x14ac:dyDescent="0.25">
      <c r="A1215" s="80">
        <v>1214</v>
      </c>
      <c r="B1215" s="80" t="s">
        <v>9790</v>
      </c>
      <c r="C1215" s="80" t="s">
        <v>9331</v>
      </c>
      <c r="D1215" s="87">
        <v>1.0669999999999999</v>
      </c>
    </row>
    <row r="1216" spans="1:4" ht="18" x14ac:dyDescent="0.25">
      <c r="A1216" s="80">
        <v>1215</v>
      </c>
      <c r="B1216" s="80" t="s">
        <v>9791</v>
      </c>
      <c r="C1216" s="80" t="s">
        <v>9331</v>
      </c>
      <c r="D1216" s="87">
        <v>1.242</v>
      </c>
    </row>
    <row r="1217" spans="1:4" ht="18" x14ac:dyDescent="0.25">
      <c r="A1217" s="80">
        <v>1216</v>
      </c>
      <c r="B1217" s="80" t="s">
        <v>9792</v>
      </c>
      <c r="C1217" s="80" t="s">
        <v>9331</v>
      </c>
      <c r="D1217" s="87">
        <v>1.593</v>
      </c>
    </row>
    <row r="1218" spans="1:4" ht="18" x14ac:dyDescent="0.25">
      <c r="A1218" s="80">
        <v>1217</v>
      </c>
      <c r="B1218" s="80" t="s">
        <v>9793</v>
      </c>
      <c r="C1218" s="80" t="s">
        <v>9331</v>
      </c>
      <c r="D1218" s="87">
        <v>1.7689999999999999</v>
      </c>
    </row>
    <row r="1219" spans="1:4" ht="18" x14ac:dyDescent="0.25">
      <c r="A1219" s="80">
        <v>1218</v>
      </c>
      <c r="B1219" s="80" t="s">
        <v>9794</v>
      </c>
      <c r="C1219" s="80" t="s">
        <v>9331</v>
      </c>
      <c r="D1219" s="87">
        <v>1.944</v>
      </c>
    </row>
    <row r="1220" spans="1:4" ht="18" x14ac:dyDescent="0.25">
      <c r="A1220" s="80">
        <v>1219</v>
      </c>
      <c r="B1220" s="80" t="s">
        <v>9795</v>
      </c>
      <c r="C1220" s="80" t="s">
        <v>9331</v>
      </c>
      <c r="D1220" s="87">
        <v>0.73599999999999999</v>
      </c>
    </row>
    <row r="1221" spans="1:4" ht="18" x14ac:dyDescent="0.25">
      <c r="A1221" s="80">
        <v>1220</v>
      </c>
      <c r="B1221" s="80" t="s">
        <v>9796</v>
      </c>
      <c r="C1221" s="80" t="s">
        <v>9331</v>
      </c>
      <c r="D1221" s="87">
        <v>0.91600000000000004</v>
      </c>
    </row>
    <row r="1222" spans="1:4" ht="18" x14ac:dyDescent="0.25">
      <c r="A1222" s="80">
        <v>1221</v>
      </c>
      <c r="B1222" s="80" t="s">
        <v>9797</v>
      </c>
      <c r="C1222" s="80" t="s">
        <v>9331</v>
      </c>
      <c r="D1222" s="87">
        <v>1.0960000000000001</v>
      </c>
    </row>
    <row r="1223" spans="1:4" ht="18" x14ac:dyDescent="0.25">
      <c r="A1223" s="80">
        <v>1222</v>
      </c>
      <c r="B1223" s="80" t="s">
        <v>9798</v>
      </c>
      <c r="C1223" s="80" t="s">
        <v>9331</v>
      </c>
      <c r="D1223" s="87">
        <v>1.2769999999999999</v>
      </c>
    </row>
    <row r="1224" spans="1:4" ht="18" x14ac:dyDescent="0.25">
      <c r="A1224" s="80">
        <v>1223</v>
      </c>
      <c r="B1224" s="80" t="s">
        <v>9799</v>
      </c>
      <c r="C1224" s="80" t="s">
        <v>9331</v>
      </c>
      <c r="D1224" s="87">
        <v>1.637</v>
      </c>
    </row>
    <row r="1225" spans="1:4" ht="18" x14ac:dyDescent="0.25">
      <c r="A1225" s="80">
        <v>1224</v>
      </c>
      <c r="B1225" s="80" t="s">
        <v>9800</v>
      </c>
      <c r="C1225" s="80" t="s">
        <v>9331</v>
      </c>
      <c r="D1225" s="87">
        <v>1.8169999999999999</v>
      </c>
    </row>
    <row r="1226" spans="1:4" ht="18" x14ac:dyDescent="0.25">
      <c r="A1226" s="80">
        <v>1225</v>
      </c>
      <c r="B1226" s="80" t="s">
        <v>9801</v>
      </c>
      <c r="C1226" s="80" t="s">
        <v>9331</v>
      </c>
      <c r="D1226" s="87">
        <v>1.998</v>
      </c>
    </row>
    <row r="1227" spans="1:4" ht="18" x14ac:dyDescent="0.25">
      <c r="A1227" s="80">
        <v>1226</v>
      </c>
      <c r="B1227" s="80" t="s">
        <v>9802</v>
      </c>
      <c r="C1227" s="80" t="s">
        <v>9331</v>
      </c>
      <c r="D1227" s="87">
        <v>0.77600000000000002</v>
      </c>
    </row>
    <row r="1228" spans="1:4" ht="18" x14ac:dyDescent="0.25">
      <c r="A1228" s="80">
        <v>1227</v>
      </c>
      <c r="B1228" s="80" t="s">
        <v>9803</v>
      </c>
      <c r="C1228" s="80" t="s">
        <v>9331</v>
      </c>
      <c r="D1228" s="87">
        <v>0.96499999999999997</v>
      </c>
    </row>
    <row r="1229" spans="1:4" ht="18" x14ac:dyDescent="0.25">
      <c r="A1229" s="80">
        <v>1228</v>
      </c>
      <c r="B1229" s="80" t="s">
        <v>9804</v>
      </c>
      <c r="C1229" s="80" t="s">
        <v>9331</v>
      </c>
      <c r="D1229" s="87">
        <v>1.155</v>
      </c>
    </row>
    <row r="1230" spans="1:4" ht="18" x14ac:dyDescent="0.25">
      <c r="A1230" s="80">
        <v>1229</v>
      </c>
      <c r="B1230" s="80" t="s">
        <v>9805</v>
      </c>
      <c r="C1230" s="80" t="s">
        <v>9331</v>
      </c>
      <c r="D1230" s="87">
        <v>1.345</v>
      </c>
    </row>
    <row r="1231" spans="1:4" ht="18" x14ac:dyDescent="0.25">
      <c r="A1231" s="80">
        <v>1230</v>
      </c>
      <c r="B1231" s="80" t="s">
        <v>9806</v>
      </c>
      <c r="C1231" s="80" t="s">
        <v>9331</v>
      </c>
      <c r="D1231" s="87">
        <v>1.7250000000000001</v>
      </c>
    </row>
    <row r="1232" spans="1:4" ht="18" x14ac:dyDescent="0.25">
      <c r="A1232" s="80">
        <v>1231</v>
      </c>
      <c r="B1232" s="80" t="s">
        <v>9807</v>
      </c>
      <c r="C1232" s="80" t="s">
        <v>9331</v>
      </c>
      <c r="D1232" s="87">
        <v>1.915</v>
      </c>
    </row>
    <row r="1233" spans="1:4" ht="18" x14ac:dyDescent="0.25">
      <c r="A1233" s="80">
        <v>1232</v>
      </c>
      <c r="B1233" s="80" t="s">
        <v>9808</v>
      </c>
      <c r="C1233" s="80" t="s">
        <v>9331</v>
      </c>
      <c r="D1233" s="87">
        <v>2.105</v>
      </c>
    </row>
    <row r="1234" spans="1:4" ht="18" x14ac:dyDescent="0.25">
      <c r="A1234" s="80">
        <v>1233</v>
      </c>
      <c r="B1234" s="80" t="s">
        <v>9809</v>
      </c>
      <c r="C1234" s="80" t="s">
        <v>9331</v>
      </c>
      <c r="D1234" s="87">
        <v>0.73699999999999999</v>
      </c>
    </row>
    <row r="1235" spans="1:4" ht="18" x14ac:dyDescent="0.25">
      <c r="A1235" s="80">
        <v>1234</v>
      </c>
      <c r="B1235" s="80" t="s">
        <v>9810</v>
      </c>
      <c r="C1235" s="80" t="s">
        <v>9331</v>
      </c>
      <c r="D1235" s="87">
        <v>0.89800000000000002</v>
      </c>
    </row>
    <row r="1236" spans="1:4" ht="18" x14ac:dyDescent="0.25">
      <c r="A1236" s="80">
        <v>1235</v>
      </c>
      <c r="B1236" s="80" t="s">
        <v>9811</v>
      </c>
      <c r="C1236" s="80" t="s">
        <v>9331</v>
      </c>
      <c r="D1236" s="87">
        <v>1.0589999999999999</v>
      </c>
    </row>
    <row r="1237" spans="1:4" ht="18" x14ac:dyDescent="0.25">
      <c r="A1237" s="80">
        <v>1236</v>
      </c>
      <c r="B1237" s="80" t="s">
        <v>9812</v>
      </c>
      <c r="C1237" s="80" t="s">
        <v>9331</v>
      </c>
      <c r="D1237" s="87">
        <v>1.22</v>
      </c>
    </row>
    <row r="1238" spans="1:4" ht="18" x14ac:dyDescent="0.25">
      <c r="A1238" s="80">
        <v>1237</v>
      </c>
      <c r="B1238" s="80" t="s">
        <v>9813</v>
      </c>
      <c r="C1238" s="80" t="s">
        <v>9331</v>
      </c>
      <c r="D1238" s="87">
        <v>1.3009999999999999</v>
      </c>
    </row>
    <row r="1239" spans="1:4" ht="18" x14ac:dyDescent="0.25">
      <c r="A1239" s="80">
        <v>1238</v>
      </c>
      <c r="B1239" s="80" t="s">
        <v>9814</v>
      </c>
      <c r="C1239" s="80" t="s">
        <v>9331</v>
      </c>
      <c r="D1239" s="87">
        <v>1.381</v>
      </c>
    </row>
    <row r="1240" spans="1:4" ht="18" x14ac:dyDescent="0.25">
      <c r="A1240" s="80">
        <v>1239</v>
      </c>
      <c r="B1240" s="80" t="s">
        <v>9815</v>
      </c>
      <c r="C1240" s="80" t="s">
        <v>9331</v>
      </c>
      <c r="D1240" s="87">
        <v>1.542</v>
      </c>
    </row>
    <row r="1241" spans="1:4" ht="18" x14ac:dyDescent="0.25">
      <c r="A1241" s="80">
        <v>1240</v>
      </c>
      <c r="B1241" s="80" t="s">
        <v>9816</v>
      </c>
      <c r="C1241" s="80" t="s">
        <v>9331</v>
      </c>
      <c r="D1241" s="87">
        <v>1.7030000000000001</v>
      </c>
    </row>
    <row r="1242" spans="1:4" ht="18" x14ac:dyDescent="0.25">
      <c r="A1242" s="80">
        <v>1241</v>
      </c>
      <c r="B1242" s="80" t="s">
        <v>9817</v>
      </c>
      <c r="C1242" s="80" t="s">
        <v>9331</v>
      </c>
      <c r="D1242" s="87">
        <v>0.77100000000000002</v>
      </c>
    </row>
    <row r="1243" spans="1:4" ht="18" x14ac:dyDescent="0.25">
      <c r="A1243" s="80">
        <v>1242</v>
      </c>
      <c r="B1243" s="80" t="s">
        <v>9818</v>
      </c>
      <c r="C1243" s="80" t="s">
        <v>9331</v>
      </c>
      <c r="D1243" s="87">
        <v>0.93899999999999995</v>
      </c>
    </row>
    <row r="1244" spans="1:4" ht="18" x14ac:dyDescent="0.25">
      <c r="A1244" s="80">
        <v>1243</v>
      </c>
      <c r="B1244" s="80" t="s">
        <v>9819</v>
      </c>
      <c r="C1244" s="80" t="s">
        <v>9331</v>
      </c>
      <c r="D1244" s="87">
        <v>1.107</v>
      </c>
    </row>
    <row r="1245" spans="1:4" ht="18" x14ac:dyDescent="0.25">
      <c r="A1245" s="80">
        <v>1244</v>
      </c>
      <c r="B1245" s="80" t="s">
        <v>9820</v>
      </c>
      <c r="C1245" s="80" t="s">
        <v>9331</v>
      </c>
      <c r="D1245" s="87">
        <v>1.2749999999999999</v>
      </c>
    </row>
    <row r="1246" spans="1:4" ht="18" x14ac:dyDescent="0.25">
      <c r="A1246" s="80">
        <v>1245</v>
      </c>
      <c r="B1246" s="80" t="s">
        <v>9821</v>
      </c>
      <c r="C1246" s="80" t="s">
        <v>9331</v>
      </c>
      <c r="D1246" s="87">
        <v>1.359</v>
      </c>
    </row>
    <row r="1247" spans="1:4" ht="18" x14ac:dyDescent="0.25">
      <c r="A1247" s="80">
        <v>1246</v>
      </c>
      <c r="B1247" s="80" t="s">
        <v>9822</v>
      </c>
      <c r="C1247" s="80" t="s">
        <v>9331</v>
      </c>
      <c r="D1247" s="87">
        <v>1.4430000000000001</v>
      </c>
    </row>
    <row r="1248" spans="1:4" ht="18" x14ac:dyDescent="0.25">
      <c r="A1248" s="80">
        <v>1247</v>
      </c>
      <c r="B1248" s="80" t="s">
        <v>9823</v>
      </c>
      <c r="C1248" s="80" t="s">
        <v>9331</v>
      </c>
      <c r="D1248" s="87">
        <v>1.611</v>
      </c>
    </row>
    <row r="1249" spans="1:4" ht="18" x14ac:dyDescent="0.25">
      <c r="A1249" s="80">
        <v>1248</v>
      </c>
      <c r="B1249" s="80" t="s">
        <v>9824</v>
      </c>
      <c r="C1249" s="80" t="s">
        <v>9331</v>
      </c>
      <c r="D1249" s="87">
        <v>1.78</v>
      </c>
    </row>
    <row r="1250" spans="1:4" ht="18" x14ac:dyDescent="0.25">
      <c r="A1250" s="80">
        <v>1249</v>
      </c>
      <c r="B1250" s="80" t="s">
        <v>9825</v>
      </c>
      <c r="C1250" s="80" t="s">
        <v>9331</v>
      </c>
      <c r="D1250" s="87">
        <v>0.80400000000000005</v>
      </c>
    </row>
    <row r="1251" spans="1:4" ht="18" x14ac:dyDescent="0.25">
      <c r="A1251" s="80">
        <v>1250</v>
      </c>
      <c r="B1251" s="80" t="s">
        <v>9826</v>
      </c>
      <c r="C1251" s="80" t="s">
        <v>9331</v>
      </c>
      <c r="D1251" s="87">
        <v>0.97899999999999998</v>
      </c>
    </row>
    <row r="1252" spans="1:4" ht="18" x14ac:dyDescent="0.25">
      <c r="A1252" s="80">
        <v>1251</v>
      </c>
      <c r="B1252" s="80" t="s">
        <v>9827</v>
      </c>
      <c r="C1252" s="80" t="s">
        <v>9331</v>
      </c>
      <c r="D1252" s="87">
        <v>1.155</v>
      </c>
    </row>
    <row r="1253" spans="1:4" ht="18" x14ac:dyDescent="0.25">
      <c r="A1253" s="80">
        <v>1252</v>
      </c>
      <c r="B1253" s="80" t="s">
        <v>9828</v>
      </c>
      <c r="C1253" s="80" t="s">
        <v>9331</v>
      </c>
      <c r="D1253" s="87">
        <v>1.33</v>
      </c>
    </row>
    <row r="1254" spans="1:4" ht="18" x14ac:dyDescent="0.25">
      <c r="A1254" s="80">
        <v>1253</v>
      </c>
      <c r="B1254" s="80" t="s">
        <v>9829</v>
      </c>
      <c r="C1254" s="80" t="s">
        <v>9331</v>
      </c>
      <c r="D1254" s="87">
        <v>1.4179999999999999</v>
      </c>
    </row>
    <row r="1255" spans="1:4" ht="18" x14ac:dyDescent="0.25">
      <c r="A1255" s="80">
        <v>1254</v>
      </c>
      <c r="B1255" s="80" t="s">
        <v>9830</v>
      </c>
      <c r="C1255" s="80" t="s">
        <v>9331</v>
      </c>
      <c r="D1255" s="87">
        <v>1.506</v>
      </c>
    </row>
    <row r="1256" spans="1:4" ht="18" x14ac:dyDescent="0.25">
      <c r="A1256" s="80">
        <v>1255</v>
      </c>
      <c r="B1256" s="80" t="s">
        <v>9831</v>
      </c>
      <c r="C1256" s="80" t="s">
        <v>9331</v>
      </c>
      <c r="D1256" s="87">
        <v>1.681</v>
      </c>
    </row>
    <row r="1257" spans="1:4" ht="18" x14ac:dyDescent="0.25">
      <c r="A1257" s="80">
        <v>1256</v>
      </c>
      <c r="B1257" s="80" t="s">
        <v>9832</v>
      </c>
      <c r="C1257" s="80" t="s">
        <v>9331</v>
      </c>
      <c r="D1257" s="87">
        <v>1.8560000000000001</v>
      </c>
    </row>
    <row r="1258" spans="1:4" ht="18" x14ac:dyDescent="0.25">
      <c r="A1258" s="80">
        <v>1257</v>
      </c>
      <c r="B1258" s="80" t="s">
        <v>9833</v>
      </c>
      <c r="C1258" s="80" t="s">
        <v>9331</v>
      </c>
      <c r="D1258" s="87">
        <v>0.82599999999999996</v>
      </c>
    </row>
    <row r="1259" spans="1:4" ht="18" x14ac:dyDescent="0.25">
      <c r="A1259" s="80">
        <v>1258</v>
      </c>
      <c r="B1259" s="80" t="s">
        <v>9834</v>
      </c>
      <c r="C1259" s="80" t="s">
        <v>9331</v>
      </c>
      <c r="D1259" s="87">
        <v>1.006</v>
      </c>
    </row>
    <row r="1260" spans="1:4" ht="18" x14ac:dyDescent="0.25">
      <c r="A1260" s="80">
        <v>1259</v>
      </c>
      <c r="B1260" s="80" t="s">
        <v>9835</v>
      </c>
      <c r="C1260" s="80" t="s">
        <v>9331</v>
      </c>
      <c r="D1260" s="87">
        <v>1.1870000000000001</v>
      </c>
    </row>
    <row r="1261" spans="1:4" ht="18" x14ac:dyDescent="0.25">
      <c r="A1261" s="80">
        <v>1260</v>
      </c>
      <c r="B1261" s="80" t="s">
        <v>9836</v>
      </c>
      <c r="C1261" s="80" t="s">
        <v>9331</v>
      </c>
      <c r="D1261" s="87">
        <v>1.367</v>
      </c>
    </row>
    <row r="1262" spans="1:4" ht="18" x14ac:dyDescent="0.25">
      <c r="A1262" s="80">
        <v>1261</v>
      </c>
      <c r="B1262" s="80" t="s">
        <v>9837</v>
      </c>
      <c r="C1262" s="80" t="s">
        <v>9331</v>
      </c>
      <c r="D1262" s="87">
        <v>1.4570000000000001</v>
      </c>
    </row>
    <row r="1263" spans="1:4" ht="18" x14ac:dyDescent="0.25">
      <c r="A1263" s="80">
        <v>1262</v>
      </c>
      <c r="B1263" s="80" t="s">
        <v>9838</v>
      </c>
      <c r="C1263" s="80" t="s">
        <v>9331</v>
      </c>
      <c r="D1263" s="87">
        <v>1.5469999999999999</v>
      </c>
    </row>
    <row r="1264" spans="1:4" ht="18" x14ac:dyDescent="0.25">
      <c r="A1264" s="80">
        <v>1263</v>
      </c>
      <c r="B1264" s="80" t="s">
        <v>9839</v>
      </c>
      <c r="C1264" s="80" t="s">
        <v>9331</v>
      </c>
      <c r="D1264" s="87">
        <v>1.7270000000000001</v>
      </c>
    </row>
    <row r="1265" spans="1:4" ht="18" x14ac:dyDescent="0.25">
      <c r="A1265" s="80">
        <v>1264</v>
      </c>
      <c r="B1265" s="80" t="s">
        <v>9840</v>
      </c>
      <c r="C1265" s="80" t="s">
        <v>9331</v>
      </c>
      <c r="D1265" s="87">
        <v>1.9079999999999999</v>
      </c>
    </row>
    <row r="1266" spans="1:4" ht="18" x14ac:dyDescent="0.25">
      <c r="A1266" s="80">
        <v>1265</v>
      </c>
      <c r="B1266" s="80" t="s">
        <v>9841</v>
      </c>
      <c r="C1266" s="80" t="s">
        <v>9331</v>
      </c>
      <c r="D1266" s="87">
        <v>0.87</v>
      </c>
    </row>
    <row r="1267" spans="1:4" ht="18" x14ac:dyDescent="0.25">
      <c r="A1267" s="80">
        <v>1266</v>
      </c>
      <c r="B1267" s="80" t="s">
        <v>9842</v>
      </c>
      <c r="C1267" s="80" t="s">
        <v>9331</v>
      </c>
      <c r="D1267" s="87">
        <v>1.06</v>
      </c>
    </row>
    <row r="1268" spans="1:4" ht="18" x14ac:dyDescent="0.25">
      <c r="A1268" s="80">
        <v>1267</v>
      </c>
      <c r="B1268" s="80" t="s">
        <v>9843</v>
      </c>
      <c r="C1268" s="80" t="s">
        <v>9331</v>
      </c>
      <c r="D1268" s="87">
        <v>1.25</v>
      </c>
    </row>
    <row r="1269" spans="1:4" ht="18" x14ac:dyDescent="0.25">
      <c r="A1269" s="80">
        <v>1268</v>
      </c>
      <c r="B1269" s="80" t="s">
        <v>9844</v>
      </c>
      <c r="C1269" s="80" t="s">
        <v>9331</v>
      </c>
      <c r="D1269" s="87">
        <v>1.44</v>
      </c>
    </row>
    <row r="1270" spans="1:4" ht="18" x14ac:dyDescent="0.25">
      <c r="A1270" s="80">
        <v>1269</v>
      </c>
      <c r="B1270" s="80" t="s">
        <v>9845</v>
      </c>
      <c r="C1270" s="80" t="s">
        <v>9331</v>
      </c>
      <c r="D1270" s="87">
        <v>1.5349999999999999</v>
      </c>
    </row>
    <row r="1271" spans="1:4" ht="18" x14ac:dyDescent="0.25">
      <c r="A1271" s="80">
        <v>1270</v>
      </c>
      <c r="B1271" s="80" t="s">
        <v>9846</v>
      </c>
      <c r="C1271" s="80" t="s">
        <v>9331</v>
      </c>
      <c r="D1271" s="87">
        <v>1.63</v>
      </c>
    </row>
    <row r="1272" spans="1:4" ht="18" x14ac:dyDescent="0.25">
      <c r="A1272" s="80">
        <v>1271</v>
      </c>
      <c r="B1272" s="80" t="s">
        <v>9847</v>
      </c>
      <c r="C1272" s="80" t="s">
        <v>9331</v>
      </c>
      <c r="D1272" s="87">
        <v>1.82</v>
      </c>
    </row>
    <row r="1273" spans="1:4" ht="18" x14ac:dyDescent="0.25">
      <c r="A1273" s="80">
        <v>1272</v>
      </c>
      <c r="B1273" s="80" t="s">
        <v>9848</v>
      </c>
      <c r="C1273" s="80" t="s">
        <v>9331</v>
      </c>
      <c r="D1273" s="87">
        <v>2.0099999999999998</v>
      </c>
    </row>
    <row r="1274" spans="1:4" ht="18" x14ac:dyDescent="0.25">
      <c r="A1274" s="80">
        <v>1273</v>
      </c>
      <c r="B1274" s="80" t="s">
        <v>9849</v>
      </c>
      <c r="C1274" s="80" t="s">
        <v>9331</v>
      </c>
      <c r="D1274" s="87">
        <v>0.67500000000000004</v>
      </c>
    </row>
    <row r="1275" spans="1:4" ht="18" x14ac:dyDescent="0.25">
      <c r="A1275" s="80">
        <v>1274</v>
      </c>
      <c r="B1275" s="80" t="s">
        <v>9850</v>
      </c>
      <c r="C1275" s="80" t="s">
        <v>9331</v>
      </c>
      <c r="D1275" s="87">
        <v>0.75600000000000001</v>
      </c>
    </row>
    <row r="1276" spans="1:4" ht="18" x14ac:dyDescent="0.25">
      <c r="A1276" s="80">
        <v>1275</v>
      </c>
      <c r="B1276" s="80" t="s">
        <v>9851</v>
      </c>
      <c r="C1276" s="80" t="s">
        <v>9331</v>
      </c>
      <c r="D1276" s="87">
        <v>0.83699999999999997</v>
      </c>
    </row>
    <row r="1277" spans="1:4" ht="18" x14ac:dyDescent="0.25">
      <c r="A1277" s="80">
        <v>1276</v>
      </c>
      <c r="B1277" s="80" t="s">
        <v>9852</v>
      </c>
      <c r="C1277" s="80" t="s">
        <v>9331</v>
      </c>
      <c r="D1277" s="87">
        <v>0.91900000000000004</v>
      </c>
    </row>
    <row r="1278" spans="1:4" ht="18" x14ac:dyDescent="0.25">
      <c r="A1278" s="80">
        <v>1277</v>
      </c>
      <c r="B1278" s="80" t="s">
        <v>9853</v>
      </c>
      <c r="C1278" s="80" t="s">
        <v>9331</v>
      </c>
      <c r="D1278" s="87">
        <v>1</v>
      </c>
    </row>
    <row r="1279" spans="1:4" ht="18" x14ac:dyDescent="0.25">
      <c r="A1279" s="80">
        <v>1278</v>
      </c>
      <c r="B1279" s="80" t="s">
        <v>9854</v>
      </c>
      <c r="C1279" s="80" t="s">
        <v>9331</v>
      </c>
      <c r="D1279" s="87">
        <v>1.081</v>
      </c>
    </row>
    <row r="1280" spans="1:4" ht="18" x14ac:dyDescent="0.25">
      <c r="A1280" s="80">
        <v>1279</v>
      </c>
      <c r="B1280" s="80" t="s">
        <v>9855</v>
      </c>
      <c r="C1280" s="80" t="s">
        <v>9331</v>
      </c>
      <c r="D1280" s="87">
        <v>1.1619999999999999</v>
      </c>
    </row>
    <row r="1281" spans="1:4" ht="18" x14ac:dyDescent="0.25">
      <c r="A1281" s="80">
        <v>1280</v>
      </c>
      <c r="B1281" s="80" t="s">
        <v>9856</v>
      </c>
      <c r="C1281" s="80" t="s">
        <v>9331</v>
      </c>
      <c r="D1281" s="87">
        <v>1.2430000000000001</v>
      </c>
    </row>
    <row r="1282" spans="1:4" ht="18" x14ac:dyDescent="0.25">
      <c r="A1282" s="80">
        <v>1281</v>
      </c>
      <c r="B1282" s="80" t="s">
        <v>9857</v>
      </c>
      <c r="C1282" s="80" t="s">
        <v>9331</v>
      </c>
      <c r="D1282" s="87">
        <v>1.3240000000000001</v>
      </c>
    </row>
    <row r="1283" spans="1:4" ht="18" x14ac:dyDescent="0.25">
      <c r="A1283" s="80">
        <v>1282</v>
      </c>
      <c r="B1283" s="80" t="s">
        <v>9858</v>
      </c>
      <c r="C1283" s="80" t="s">
        <v>9331</v>
      </c>
      <c r="D1283" s="87">
        <v>1.405</v>
      </c>
    </row>
    <row r="1284" spans="1:4" ht="18" x14ac:dyDescent="0.25">
      <c r="A1284" s="80">
        <v>1283</v>
      </c>
      <c r="B1284" s="80" t="s">
        <v>9859</v>
      </c>
      <c r="C1284" s="80" t="s">
        <v>9331</v>
      </c>
      <c r="D1284" s="87">
        <v>1.486</v>
      </c>
    </row>
    <row r="1285" spans="1:4" ht="18" x14ac:dyDescent="0.25">
      <c r="A1285" s="80">
        <v>1284</v>
      </c>
      <c r="B1285" s="80" t="s">
        <v>9860</v>
      </c>
      <c r="C1285" s="80" t="s">
        <v>9331</v>
      </c>
      <c r="D1285" s="87">
        <v>1.5669999999999999</v>
      </c>
    </row>
    <row r="1286" spans="1:4" ht="18" x14ac:dyDescent="0.25">
      <c r="A1286" s="80">
        <v>1285</v>
      </c>
      <c r="B1286" s="80" t="s">
        <v>9861</v>
      </c>
      <c r="C1286" s="80" t="s">
        <v>9331</v>
      </c>
      <c r="D1286" s="87">
        <v>1.6479999999999999</v>
      </c>
    </row>
    <row r="1287" spans="1:4" ht="18" x14ac:dyDescent="0.25">
      <c r="A1287" s="80">
        <v>1286</v>
      </c>
      <c r="B1287" s="80" t="s">
        <v>9862</v>
      </c>
      <c r="C1287" s="80" t="s">
        <v>9331</v>
      </c>
      <c r="D1287" s="87">
        <v>1.7290000000000001</v>
      </c>
    </row>
    <row r="1288" spans="1:4" ht="18" x14ac:dyDescent="0.25">
      <c r="A1288" s="80">
        <v>1287</v>
      </c>
      <c r="B1288" s="80" t="s">
        <v>9863</v>
      </c>
      <c r="C1288" s="80" t="s">
        <v>9331</v>
      </c>
      <c r="D1288" s="87">
        <v>1.81</v>
      </c>
    </row>
    <row r="1289" spans="1:4" ht="18" x14ac:dyDescent="0.25">
      <c r="A1289" s="80">
        <v>1288</v>
      </c>
      <c r="B1289" s="80" t="s">
        <v>9864</v>
      </c>
      <c r="C1289" s="80" t="s">
        <v>9331</v>
      </c>
      <c r="D1289" s="87">
        <v>0.70599999999999996</v>
      </c>
    </row>
    <row r="1290" spans="1:4" ht="18" x14ac:dyDescent="0.25">
      <c r="A1290" s="80">
        <v>1289</v>
      </c>
      <c r="B1290" s="80" t="s">
        <v>9865</v>
      </c>
      <c r="C1290" s="80" t="s">
        <v>9331</v>
      </c>
      <c r="D1290" s="87">
        <v>0.79</v>
      </c>
    </row>
    <row r="1291" spans="1:4" ht="18" x14ac:dyDescent="0.25">
      <c r="A1291" s="80">
        <v>1290</v>
      </c>
      <c r="B1291" s="80" t="s">
        <v>9866</v>
      </c>
      <c r="C1291" s="80" t="s">
        <v>9331</v>
      </c>
      <c r="D1291" s="87">
        <v>0.875</v>
      </c>
    </row>
    <row r="1292" spans="1:4" ht="18" x14ac:dyDescent="0.25">
      <c r="A1292" s="80">
        <v>1291</v>
      </c>
      <c r="B1292" s="80" t="s">
        <v>9867</v>
      </c>
      <c r="C1292" s="80" t="s">
        <v>9331</v>
      </c>
      <c r="D1292" s="87">
        <v>0.96</v>
      </c>
    </row>
    <row r="1293" spans="1:4" ht="18" x14ac:dyDescent="0.25">
      <c r="A1293" s="80">
        <v>1292</v>
      </c>
      <c r="B1293" s="80" t="s">
        <v>9868</v>
      </c>
      <c r="C1293" s="80" t="s">
        <v>9331</v>
      </c>
      <c r="D1293" s="87">
        <v>1.044</v>
      </c>
    </row>
    <row r="1294" spans="1:4" ht="18" x14ac:dyDescent="0.25">
      <c r="A1294" s="80">
        <v>1293</v>
      </c>
      <c r="B1294" s="80" t="s">
        <v>9869</v>
      </c>
      <c r="C1294" s="80" t="s">
        <v>9331</v>
      </c>
      <c r="D1294" s="87">
        <v>1.129</v>
      </c>
    </row>
    <row r="1295" spans="1:4" ht="18" x14ac:dyDescent="0.25">
      <c r="A1295" s="80">
        <v>1294</v>
      </c>
      <c r="B1295" s="80" t="s">
        <v>9870</v>
      </c>
      <c r="C1295" s="80" t="s">
        <v>9331</v>
      </c>
      <c r="D1295" s="87">
        <v>1.214</v>
      </c>
    </row>
    <row r="1296" spans="1:4" ht="18" x14ac:dyDescent="0.25">
      <c r="A1296" s="80">
        <v>1295</v>
      </c>
      <c r="B1296" s="80" t="s">
        <v>9871</v>
      </c>
      <c r="C1296" s="80" t="s">
        <v>9331</v>
      </c>
      <c r="D1296" s="87">
        <v>1.298</v>
      </c>
    </row>
    <row r="1297" spans="1:4" ht="18" x14ac:dyDescent="0.25">
      <c r="A1297" s="80">
        <v>1296</v>
      </c>
      <c r="B1297" s="80" t="s">
        <v>9872</v>
      </c>
      <c r="C1297" s="80" t="s">
        <v>9331</v>
      </c>
      <c r="D1297" s="87">
        <v>1.383</v>
      </c>
    </row>
    <row r="1298" spans="1:4" ht="18" x14ac:dyDescent="0.25">
      <c r="A1298" s="80">
        <v>1297</v>
      </c>
      <c r="B1298" s="80" t="s">
        <v>9873</v>
      </c>
      <c r="C1298" s="80" t="s">
        <v>9331</v>
      </c>
      <c r="D1298" s="87">
        <v>1.468</v>
      </c>
    </row>
    <row r="1299" spans="1:4" ht="18" x14ac:dyDescent="0.25">
      <c r="A1299" s="80">
        <v>1298</v>
      </c>
      <c r="B1299" s="80" t="s">
        <v>9874</v>
      </c>
      <c r="C1299" s="80" t="s">
        <v>9331</v>
      </c>
      <c r="D1299" s="87">
        <v>1.552</v>
      </c>
    </row>
    <row r="1300" spans="1:4" ht="18" x14ac:dyDescent="0.25">
      <c r="A1300" s="80">
        <v>1299</v>
      </c>
      <c r="B1300" s="80" t="s">
        <v>9875</v>
      </c>
      <c r="C1300" s="80" t="s">
        <v>9331</v>
      </c>
      <c r="D1300" s="87">
        <v>1.637</v>
      </c>
    </row>
    <row r="1301" spans="1:4" ht="18" x14ac:dyDescent="0.25">
      <c r="A1301" s="80">
        <v>1300</v>
      </c>
      <c r="B1301" s="80" t="s">
        <v>9876</v>
      </c>
      <c r="C1301" s="80" t="s">
        <v>9331</v>
      </c>
      <c r="D1301" s="87">
        <v>1.722</v>
      </c>
    </row>
    <row r="1302" spans="1:4" ht="18" x14ac:dyDescent="0.25">
      <c r="A1302" s="80">
        <v>1301</v>
      </c>
      <c r="B1302" s="80" t="s">
        <v>9877</v>
      </c>
      <c r="C1302" s="80" t="s">
        <v>9331</v>
      </c>
      <c r="D1302" s="87">
        <v>1.806</v>
      </c>
    </row>
    <row r="1303" spans="1:4" ht="18" x14ac:dyDescent="0.25">
      <c r="A1303" s="80">
        <v>1302</v>
      </c>
      <c r="B1303" s="80" t="s">
        <v>9878</v>
      </c>
      <c r="C1303" s="80" t="s">
        <v>9331</v>
      </c>
      <c r="D1303" s="87">
        <v>1.891</v>
      </c>
    </row>
    <row r="1304" spans="1:4" ht="18" x14ac:dyDescent="0.25">
      <c r="A1304" s="80">
        <v>1303</v>
      </c>
      <c r="B1304" s="80" t="s">
        <v>9879</v>
      </c>
      <c r="C1304" s="80" t="s">
        <v>9331</v>
      </c>
      <c r="D1304" s="87">
        <v>0.73599999999999999</v>
      </c>
    </row>
    <row r="1305" spans="1:4" ht="18" x14ac:dyDescent="0.25">
      <c r="A1305" s="80">
        <v>1304</v>
      </c>
      <c r="B1305" s="80" t="s">
        <v>9880</v>
      </c>
      <c r="C1305" s="80" t="s">
        <v>9331</v>
      </c>
      <c r="D1305" s="87">
        <v>0.82399999999999995</v>
      </c>
    </row>
    <row r="1306" spans="1:4" ht="18" x14ac:dyDescent="0.25">
      <c r="A1306" s="80">
        <v>1305</v>
      </c>
      <c r="B1306" s="80" t="s">
        <v>9881</v>
      </c>
      <c r="C1306" s="80" t="s">
        <v>9331</v>
      </c>
      <c r="D1306" s="87">
        <v>0.91200000000000003</v>
      </c>
    </row>
    <row r="1307" spans="1:4" ht="18" x14ac:dyDescent="0.25">
      <c r="A1307" s="80">
        <v>1306</v>
      </c>
      <c r="B1307" s="80" t="s">
        <v>9882</v>
      </c>
      <c r="C1307" s="80" t="s">
        <v>9331</v>
      </c>
      <c r="D1307" s="87">
        <v>1.0009999999999999</v>
      </c>
    </row>
    <row r="1308" spans="1:4" ht="18" x14ac:dyDescent="0.25">
      <c r="A1308" s="80">
        <v>1307</v>
      </c>
      <c r="B1308" s="80" t="s">
        <v>9883</v>
      </c>
      <c r="C1308" s="80" t="s">
        <v>9331</v>
      </c>
      <c r="D1308" s="87">
        <v>1.089</v>
      </c>
    </row>
    <row r="1309" spans="1:4" ht="18" x14ac:dyDescent="0.25">
      <c r="A1309" s="80">
        <v>1308</v>
      </c>
      <c r="B1309" s="80" t="s">
        <v>9884</v>
      </c>
      <c r="C1309" s="80" t="s">
        <v>9331</v>
      </c>
      <c r="D1309" s="87">
        <v>1.177</v>
      </c>
    </row>
    <row r="1310" spans="1:4" ht="18" x14ac:dyDescent="0.25">
      <c r="A1310" s="80">
        <v>1309</v>
      </c>
      <c r="B1310" s="80" t="s">
        <v>9885</v>
      </c>
      <c r="C1310" s="80" t="s">
        <v>9331</v>
      </c>
      <c r="D1310" s="87">
        <v>1.266</v>
      </c>
    </row>
    <row r="1311" spans="1:4" ht="18" x14ac:dyDescent="0.25">
      <c r="A1311" s="80">
        <v>1310</v>
      </c>
      <c r="B1311" s="80" t="s">
        <v>9886</v>
      </c>
      <c r="C1311" s="80" t="s">
        <v>9331</v>
      </c>
      <c r="D1311" s="87">
        <v>1.3540000000000001</v>
      </c>
    </row>
    <row r="1312" spans="1:4" ht="18" x14ac:dyDescent="0.25">
      <c r="A1312" s="80">
        <v>1311</v>
      </c>
      <c r="B1312" s="80" t="s">
        <v>9887</v>
      </c>
      <c r="C1312" s="80" t="s">
        <v>9331</v>
      </c>
      <c r="D1312" s="87">
        <v>1.4419999999999999</v>
      </c>
    </row>
    <row r="1313" spans="1:4" ht="18" x14ac:dyDescent="0.25">
      <c r="A1313" s="80">
        <v>1312</v>
      </c>
      <c r="B1313" s="80" t="s">
        <v>9888</v>
      </c>
      <c r="C1313" s="80" t="s">
        <v>9331</v>
      </c>
      <c r="D1313" s="87">
        <v>1.5309999999999999</v>
      </c>
    </row>
    <row r="1314" spans="1:4" ht="18" x14ac:dyDescent="0.25">
      <c r="A1314" s="80">
        <v>1313</v>
      </c>
      <c r="B1314" s="80" t="s">
        <v>9889</v>
      </c>
      <c r="C1314" s="80" t="s">
        <v>9331</v>
      </c>
      <c r="D1314" s="87">
        <v>1.619</v>
      </c>
    </row>
    <row r="1315" spans="1:4" ht="18" x14ac:dyDescent="0.25">
      <c r="A1315" s="80">
        <v>1314</v>
      </c>
      <c r="B1315" s="80" t="s">
        <v>9890</v>
      </c>
      <c r="C1315" s="80" t="s">
        <v>9331</v>
      </c>
      <c r="D1315" s="87">
        <v>1.7070000000000001</v>
      </c>
    </row>
    <row r="1316" spans="1:4" ht="18" x14ac:dyDescent="0.25">
      <c r="A1316" s="80">
        <v>1315</v>
      </c>
      <c r="B1316" s="80" t="s">
        <v>9891</v>
      </c>
      <c r="C1316" s="80" t="s">
        <v>9331</v>
      </c>
      <c r="D1316" s="87">
        <v>1.796</v>
      </c>
    </row>
    <row r="1317" spans="1:4" ht="18" x14ac:dyDescent="0.25">
      <c r="A1317" s="80">
        <v>1316</v>
      </c>
      <c r="B1317" s="80" t="s">
        <v>9892</v>
      </c>
      <c r="C1317" s="80" t="s">
        <v>9331</v>
      </c>
      <c r="D1317" s="87">
        <v>1.8839999999999999</v>
      </c>
    </row>
    <row r="1318" spans="1:4" ht="18" x14ac:dyDescent="0.25">
      <c r="A1318" s="80">
        <v>1317</v>
      </c>
      <c r="B1318" s="80" t="s">
        <v>9893</v>
      </c>
      <c r="C1318" s="80" t="s">
        <v>9331</v>
      </c>
      <c r="D1318" s="87">
        <v>1.972</v>
      </c>
    </row>
    <row r="1319" spans="1:4" ht="18" x14ac:dyDescent="0.25">
      <c r="A1319" s="80">
        <v>1318</v>
      </c>
      <c r="B1319" s="80" t="s">
        <v>9894</v>
      </c>
      <c r="C1319" s="80" t="s">
        <v>9331</v>
      </c>
      <c r="D1319" s="87">
        <v>0.75600000000000001</v>
      </c>
    </row>
    <row r="1320" spans="1:4" ht="18" x14ac:dyDescent="0.25">
      <c r="A1320" s="80">
        <v>1319</v>
      </c>
      <c r="B1320" s="80" t="s">
        <v>9895</v>
      </c>
      <c r="C1320" s="80" t="s">
        <v>9331</v>
      </c>
      <c r="D1320" s="87">
        <v>0.84699999999999998</v>
      </c>
    </row>
    <row r="1321" spans="1:4" ht="18" x14ac:dyDescent="0.25">
      <c r="A1321" s="80">
        <v>1320</v>
      </c>
      <c r="B1321" s="80" t="s">
        <v>9896</v>
      </c>
      <c r="C1321" s="80" t="s">
        <v>9331</v>
      </c>
      <c r="D1321" s="87">
        <v>0.93700000000000006</v>
      </c>
    </row>
    <row r="1322" spans="1:4" ht="18" x14ac:dyDescent="0.25">
      <c r="A1322" s="80">
        <v>1321</v>
      </c>
      <c r="B1322" s="80" t="s">
        <v>9897</v>
      </c>
      <c r="C1322" s="80" t="s">
        <v>9331</v>
      </c>
      <c r="D1322" s="87">
        <v>1.028</v>
      </c>
    </row>
    <row r="1323" spans="1:4" ht="18" x14ac:dyDescent="0.25">
      <c r="A1323" s="80">
        <v>1322</v>
      </c>
      <c r="B1323" s="80" t="s">
        <v>9898</v>
      </c>
      <c r="C1323" s="80" t="s">
        <v>9331</v>
      </c>
      <c r="D1323" s="87">
        <v>1.119</v>
      </c>
    </row>
    <row r="1324" spans="1:4" ht="18" x14ac:dyDescent="0.25">
      <c r="A1324" s="80">
        <v>1323</v>
      </c>
      <c r="B1324" s="80" t="s">
        <v>9899</v>
      </c>
      <c r="C1324" s="80" t="s">
        <v>9331</v>
      </c>
      <c r="D1324" s="87">
        <v>1.21</v>
      </c>
    </row>
    <row r="1325" spans="1:4" ht="18" x14ac:dyDescent="0.25">
      <c r="A1325" s="80">
        <v>1324</v>
      </c>
      <c r="B1325" s="80" t="s">
        <v>9900</v>
      </c>
      <c r="C1325" s="80" t="s">
        <v>9331</v>
      </c>
      <c r="D1325" s="87">
        <v>1.3</v>
      </c>
    </row>
    <row r="1326" spans="1:4" ht="18" x14ac:dyDescent="0.25">
      <c r="A1326" s="80">
        <v>1325</v>
      </c>
      <c r="B1326" s="80" t="s">
        <v>9901</v>
      </c>
      <c r="C1326" s="80" t="s">
        <v>9331</v>
      </c>
      <c r="D1326" s="87">
        <v>1.391</v>
      </c>
    </row>
    <row r="1327" spans="1:4" ht="18" x14ac:dyDescent="0.25">
      <c r="A1327" s="80">
        <v>1326</v>
      </c>
      <c r="B1327" s="80" t="s">
        <v>9902</v>
      </c>
      <c r="C1327" s="80" t="s">
        <v>9331</v>
      </c>
      <c r="D1327" s="87">
        <v>1.482</v>
      </c>
    </row>
    <row r="1328" spans="1:4" ht="18" x14ac:dyDescent="0.25">
      <c r="A1328" s="80">
        <v>1327</v>
      </c>
      <c r="B1328" s="80" t="s">
        <v>9903</v>
      </c>
      <c r="C1328" s="80" t="s">
        <v>9331</v>
      </c>
      <c r="D1328" s="87">
        <v>1.573</v>
      </c>
    </row>
    <row r="1329" spans="1:4" ht="18" x14ac:dyDescent="0.25">
      <c r="A1329" s="80">
        <v>1328</v>
      </c>
      <c r="B1329" s="80" t="s">
        <v>9904</v>
      </c>
      <c r="C1329" s="80" t="s">
        <v>9331</v>
      </c>
      <c r="D1329" s="87">
        <v>1.663</v>
      </c>
    </row>
    <row r="1330" spans="1:4" ht="18" x14ac:dyDescent="0.25">
      <c r="A1330" s="80">
        <v>1329</v>
      </c>
      <c r="B1330" s="80" t="s">
        <v>9905</v>
      </c>
      <c r="C1330" s="80" t="s">
        <v>9331</v>
      </c>
      <c r="D1330" s="87">
        <v>1.754</v>
      </c>
    </row>
    <row r="1331" spans="1:4" ht="18" x14ac:dyDescent="0.25">
      <c r="A1331" s="80">
        <v>1330</v>
      </c>
      <c r="B1331" s="80" t="s">
        <v>9906</v>
      </c>
      <c r="C1331" s="80" t="s">
        <v>9331</v>
      </c>
      <c r="D1331" s="87">
        <v>1.845</v>
      </c>
    </row>
    <row r="1332" spans="1:4" ht="18" x14ac:dyDescent="0.25">
      <c r="A1332" s="80">
        <v>1331</v>
      </c>
      <c r="B1332" s="80" t="s">
        <v>9907</v>
      </c>
      <c r="C1332" s="80" t="s">
        <v>9331</v>
      </c>
      <c r="D1332" s="87">
        <v>1.9350000000000001</v>
      </c>
    </row>
    <row r="1333" spans="1:4" ht="18" x14ac:dyDescent="0.25">
      <c r="A1333" s="80">
        <v>1332</v>
      </c>
      <c r="B1333" s="80" t="s">
        <v>9908</v>
      </c>
      <c r="C1333" s="80" t="s">
        <v>9331</v>
      </c>
      <c r="D1333" s="87">
        <v>2.0259999999999998</v>
      </c>
    </row>
    <row r="1334" spans="1:4" ht="18" x14ac:dyDescent="0.25">
      <c r="A1334" s="80">
        <v>1333</v>
      </c>
      <c r="B1334" s="80" t="s">
        <v>9909</v>
      </c>
      <c r="C1334" s="80" t="s">
        <v>9331</v>
      </c>
      <c r="D1334" s="87">
        <v>0.79600000000000004</v>
      </c>
    </row>
    <row r="1335" spans="1:4" ht="18" x14ac:dyDescent="0.25">
      <c r="A1335" s="80">
        <v>1334</v>
      </c>
      <c r="B1335" s="80" t="s">
        <v>9910</v>
      </c>
      <c r="C1335" s="80" t="s">
        <v>9331</v>
      </c>
      <c r="D1335" s="87">
        <v>0.89200000000000002</v>
      </c>
    </row>
    <row r="1336" spans="1:4" ht="18" x14ac:dyDescent="0.25">
      <c r="A1336" s="80">
        <v>1335</v>
      </c>
      <c r="B1336" s="80" t="s">
        <v>9911</v>
      </c>
      <c r="C1336" s="80" t="s">
        <v>9331</v>
      </c>
      <c r="D1336" s="87">
        <v>0.98699999999999999</v>
      </c>
    </row>
    <row r="1337" spans="1:4" ht="18" x14ac:dyDescent="0.25">
      <c r="A1337" s="80">
        <v>1336</v>
      </c>
      <c r="B1337" s="80" t="s">
        <v>9912</v>
      </c>
      <c r="C1337" s="80" t="s">
        <v>9331</v>
      </c>
      <c r="D1337" s="87">
        <v>1.083</v>
      </c>
    </row>
    <row r="1338" spans="1:4" ht="18" x14ac:dyDescent="0.25">
      <c r="A1338" s="80">
        <v>1337</v>
      </c>
      <c r="B1338" s="80" t="s">
        <v>9913</v>
      </c>
      <c r="C1338" s="80" t="s">
        <v>9331</v>
      </c>
      <c r="D1338" s="87">
        <v>1.179</v>
      </c>
    </row>
    <row r="1339" spans="1:4" ht="18" x14ac:dyDescent="0.25">
      <c r="A1339" s="80">
        <v>1338</v>
      </c>
      <c r="B1339" s="80" t="s">
        <v>9914</v>
      </c>
      <c r="C1339" s="80" t="s">
        <v>9331</v>
      </c>
      <c r="D1339" s="87">
        <v>1.274</v>
      </c>
    </row>
    <row r="1340" spans="1:4" ht="18" x14ac:dyDescent="0.25">
      <c r="A1340" s="80">
        <v>1339</v>
      </c>
      <c r="B1340" s="80" t="s">
        <v>9915</v>
      </c>
      <c r="C1340" s="80" t="s">
        <v>9331</v>
      </c>
      <c r="D1340" s="87">
        <v>1.37</v>
      </c>
    </row>
    <row r="1341" spans="1:4" ht="18" x14ac:dyDescent="0.25">
      <c r="A1341" s="80">
        <v>1340</v>
      </c>
      <c r="B1341" s="80" t="s">
        <v>9916</v>
      </c>
      <c r="C1341" s="80" t="s">
        <v>9331</v>
      </c>
      <c r="D1341" s="87">
        <v>1.4650000000000001</v>
      </c>
    </row>
    <row r="1342" spans="1:4" ht="18" x14ac:dyDescent="0.25">
      <c r="A1342" s="80">
        <v>1341</v>
      </c>
      <c r="B1342" s="80" t="s">
        <v>9917</v>
      </c>
      <c r="C1342" s="80" t="s">
        <v>9331</v>
      </c>
      <c r="D1342" s="87">
        <v>1.5609999999999999</v>
      </c>
    </row>
    <row r="1343" spans="1:4" ht="18" x14ac:dyDescent="0.25">
      <c r="A1343" s="80">
        <v>1342</v>
      </c>
      <c r="B1343" s="80" t="s">
        <v>9918</v>
      </c>
      <c r="C1343" s="80" t="s">
        <v>9331</v>
      </c>
      <c r="D1343" s="87">
        <v>1.6559999999999999</v>
      </c>
    </row>
    <row r="1344" spans="1:4" ht="18" x14ac:dyDescent="0.25">
      <c r="A1344" s="80">
        <v>1343</v>
      </c>
      <c r="B1344" s="80" t="s">
        <v>9919</v>
      </c>
      <c r="C1344" s="80" t="s">
        <v>9331</v>
      </c>
      <c r="D1344" s="87">
        <v>1.752</v>
      </c>
    </row>
    <row r="1345" spans="1:4" ht="18" x14ac:dyDescent="0.25">
      <c r="A1345" s="80">
        <v>1344</v>
      </c>
      <c r="B1345" s="80" t="s">
        <v>9920</v>
      </c>
      <c r="C1345" s="80" t="s">
        <v>9331</v>
      </c>
      <c r="D1345" s="87">
        <v>1.8480000000000001</v>
      </c>
    </row>
    <row r="1346" spans="1:4" ht="18" x14ac:dyDescent="0.25">
      <c r="A1346" s="80">
        <v>1345</v>
      </c>
      <c r="B1346" s="80" t="s">
        <v>9921</v>
      </c>
      <c r="C1346" s="80" t="s">
        <v>9331</v>
      </c>
      <c r="D1346" s="87">
        <v>1.9430000000000001</v>
      </c>
    </row>
    <row r="1347" spans="1:4" ht="18" x14ac:dyDescent="0.25">
      <c r="A1347" s="80">
        <v>1346</v>
      </c>
      <c r="B1347" s="80" t="s">
        <v>9922</v>
      </c>
      <c r="C1347" s="80" t="s">
        <v>9331</v>
      </c>
      <c r="D1347" s="87">
        <v>2.0390000000000001</v>
      </c>
    </row>
    <row r="1348" spans="1:4" ht="18" x14ac:dyDescent="0.25">
      <c r="A1348" s="80">
        <v>1347</v>
      </c>
      <c r="B1348" s="80" t="s">
        <v>9923</v>
      </c>
      <c r="C1348" s="80" t="s">
        <v>9331</v>
      </c>
      <c r="D1348" s="87">
        <v>2.1339999999999999</v>
      </c>
    </row>
    <row r="1349" spans="1:4" ht="18" x14ac:dyDescent="0.25">
      <c r="A1349" s="80">
        <v>1348</v>
      </c>
      <c r="B1349" s="80" t="s">
        <v>9924</v>
      </c>
      <c r="C1349" s="80" t="s">
        <v>9331</v>
      </c>
      <c r="D1349" s="87">
        <v>1.351</v>
      </c>
    </row>
    <row r="1350" spans="1:4" ht="18" x14ac:dyDescent="0.25">
      <c r="A1350" s="80">
        <v>1349</v>
      </c>
      <c r="B1350" s="80" t="s">
        <v>9925</v>
      </c>
      <c r="C1350" s="80" t="s">
        <v>9331</v>
      </c>
      <c r="D1350" s="87">
        <v>1.5129999999999999</v>
      </c>
    </row>
    <row r="1351" spans="1:4" ht="18" x14ac:dyDescent="0.25">
      <c r="A1351" s="80">
        <v>1350</v>
      </c>
      <c r="B1351" s="80" t="s">
        <v>9926</v>
      </c>
      <c r="C1351" s="80" t="s">
        <v>9331</v>
      </c>
      <c r="D1351" s="87">
        <v>1.675</v>
      </c>
    </row>
    <row r="1352" spans="1:4" ht="18" x14ac:dyDescent="0.25">
      <c r="A1352" s="80">
        <v>1351</v>
      </c>
      <c r="B1352" s="80" t="s">
        <v>9927</v>
      </c>
      <c r="C1352" s="80" t="s">
        <v>9331</v>
      </c>
      <c r="D1352" s="87">
        <v>1.837</v>
      </c>
    </row>
    <row r="1353" spans="1:4" ht="18" x14ac:dyDescent="0.25">
      <c r="A1353" s="80">
        <v>1352</v>
      </c>
      <c r="B1353" s="80" t="s">
        <v>9928</v>
      </c>
      <c r="C1353" s="80" t="s">
        <v>9331</v>
      </c>
      <c r="D1353" s="87">
        <v>1.9990000000000001</v>
      </c>
    </row>
    <row r="1354" spans="1:4" ht="18" x14ac:dyDescent="0.25">
      <c r="A1354" s="80">
        <v>1353</v>
      </c>
      <c r="B1354" s="80" t="s">
        <v>9929</v>
      </c>
      <c r="C1354" s="80" t="s">
        <v>9331</v>
      </c>
      <c r="D1354" s="87">
        <v>2.161</v>
      </c>
    </row>
    <row r="1355" spans="1:4" ht="18" x14ac:dyDescent="0.25">
      <c r="A1355" s="80">
        <v>1354</v>
      </c>
      <c r="B1355" s="80" t="s">
        <v>9930</v>
      </c>
      <c r="C1355" s="80" t="s">
        <v>9331</v>
      </c>
      <c r="D1355" s="87">
        <v>2.323</v>
      </c>
    </row>
    <row r="1356" spans="1:4" ht="18" x14ac:dyDescent="0.25">
      <c r="A1356" s="80">
        <v>1355</v>
      </c>
      <c r="B1356" s="80" t="s">
        <v>9931</v>
      </c>
      <c r="C1356" s="80" t="s">
        <v>9331</v>
      </c>
      <c r="D1356" s="87">
        <v>2.4849999999999999</v>
      </c>
    </row>
    <row r="1357" spans="1:4" ht="18" x14ac:dyDescent="0.25">
      <c r="A1357" s="80">
        <v>1356</v>
      </c>
      <c r="B1357" s="80" t="s">
        <v>9932</v>
      </c>
      <c r="C1357" s="80" t="s">
        <v>9331</v>
      </c>
      <c r="D1357" s="87">
        <v>2.6480000000000001</v>
      </c>
    </row>
    <row r="1358" spans="1:4" ht="18" x14ac:dyDescent="0.25">
      <c r="A1358" s="80">
        <v>1357</v>
      </c>
      <c r="B1358" s="80" t="s">
        <v>9933</v>
      </c>
      <c r="C1358" s="80" t="s">
        <v>9331</v>
      </c>
      <c r="D1358" s="87">
        <v>2.81</v>
      </c>
    </row>
    <row r="1359" spans="1:4" ht="18" x14ac:dyDescent="0.25">
      <c r="A1359" s="80">
        <v>1358</v>
      </c>
      <c r="B1359" s="80" t="s">
        <v>9934</v>
      </c>
      <c r="C1359" s="80" t="s">
        <v>9331</v>
      </c>
      <c r="D1359" s="87">
        <v>2.972</v>
      </c>
    </row>
    <row r="1360" spans="1:4" ht="18" x14ac:dyDescent="0.25">
      <c r="A1360" s="80">
        <v>1359</v>
      </c>
      <c r="B1360" s="80" t="s">
        <v>9935</v>
      </c>
      <c r="C1360" s="80" t="s">
        <v>9331</v>
      </c>
      <c r="D1360" s="87">
        <v>3.1339999999999999</v>
      </c>
    </row>
    <row r="1361" spans="1:4" ht="18" x14ac:dyDescent="0.25">
      <c r="A1361" s="80">
        <v>1360</v>
      </c>
      <c r="B1361" s="80" t="s">
        <v>9936</v>
      </c>
      <c r="C1361" s="80" t="s">
        <v>9331</v>
      </c>
      <c r="D1361" s="87">
        <v>3.2959999999999998</v>
      </c>
    </row>
    <row r="1362" spans="1:4" ht="18" x14ac:dyDescent="0.25">
      <c r="A1362" s="80">
        <v>1361</v>
      </c>
      <c r="B1362" s="80" t="s">
        <v>9937</v>
      </c>
      <c r="C1362" s="80" t="s">
        <v>9331</v>
      </c>
      <c r="D1362" s="87">
        <v>3.4580000000000002</v>
      </c>
    </row>
    <row r="1363" spans="1:4" ht="18" x14ac:dyDescent="0.25">
      <c r="A1363" s="80">
        <v>1362</v>
      </c>
      <c r="B1363" s="80" t="s">
        <v>9938</v>
      </c>
      <c r="C1363" s="80" t="s">
        <v>9331</v>
      </c>
      <c r="D1363" s="87">
        <v>3.62</v>
      </c>
    </row>
    <row r="1364" spans="1:4" ht="18" x14ac:dyDescent="0.25">
      <c r="A1364" s="80">
        <v>1363</v>
      </c>
      <c r="B1364" s="80" t="s">
        <v>9939</v>
      </c>
      <c r="C1364" s="80" t="s">
        <v>9331</v>
      </c>
      <c r="D1364" s="87">
        <v>1.411</v>
      </c>
    </row>
    <row r="1365" spans="1:4" ht="18" x14ac:dyDescent="0.25">
      <c r="A1365" s="80">
        <v>1364</v>
      </c>
      <c r="B1365" s="80" t="s">
        <v>9940</v>
      </c>
      <c r="C1365" s="80" t="s">
        <v>9331</v>
      </c>
      <c r="D1365" s="87">
        <v>1.581</v>
      </c>
    </row>
    <row r="1366" spans="1:4" ht="18" x14ac:dyDescent="0.25">
      <c r="A1366" s="80">
        <v>1365</v>
      </c>
      <c r="B1366" s="80" t="s">
        <v>9941</v>
      </c>
      <c r="C1366" s="80" t="s">
        <v>9331</v>
      </c>
      <c r="D1366" s="87">
        <v>1.75</v>
      </c>
    </row>
    <row r="1367" spans="1:4" ht="18" x14ac:dyDescent="0.25">
      <c r="A1367" s="80">
        <v>1366</v>
      </c>
      <c r="B1367" s="80" t="s">
        <v>9942</v>
      </c>
      <c r="C1367" s="80" t="s">
        <v>9331</v>
      </c>
      <c r="D1367" s="87">
        <v>1.919</v>
      </c>
    </row>
    <row r="1368" spans="1:4" ht="18" x14ac:dyDescent="0.25">
      <c r="A1368" s="80">
        <v>1367</v>
      </c>
      <c r="B1368" s="80" t="s">
        <v>9943</v>
      </c>
      <c r="C1368" s="80" t="s">
        <v>9331</v>
      </c>
      <c r="D1368" s="87">
        <v>2.089</v>
      </c>
    </row>
    <row r="1369" spans="1:4" ht="18" x14ac:dyDescent="0.25">
      <c r="A1369" s="80">
        <v>1368</v>
      </c>
      <c r="B1369" s="80" t="s">
        <v>9944</v>
      </c>
      <c r="C1369" s="80" t="s">
        <v>9331</v>
      </c>
      <c r="D1369" s="87">
        <v>2.258</v>
      </c>
    </row>
    <row r="1370" spans="1:4" ht="18" x14ac:dyDescent="0.25">
      <c r="A1370" s="80">
        <v>1369</v>
      </c>
      <c r="B1370" s="80" t="s">
        <v>9945</v>
      </c>
      <c r="C1370" s="80" t="s">
        <v>9331</v>
      </c>
      <c r="D1370" s="87">
        <v>2.427</v>
      </c>
    </row>
    <row r="1371" spans="1:4" ht="18" x14ac:dyDescent="0.25">
      <c r="A1371" s="80">
        <v>1370</v>
      </c>
      <c r="B1371" s="80" t="s">
        <v>9946</v>
      </c>
      <c r="C1371" s="80" t="s">
        <v>9331</v>
      </c>
      <c r="D1371" s="87">
        <v>2.597</v>
      </c>
    </row>
    <row r="1372" spans="1:4" ht="18" x14ac:dyDescent="0.25">
      <c r="A1372" s="80">
        <v>1371</v>
      </c>
      <c r="B1372" s="80" t="s">
        <v>9947</v>
      </c>
      <c r="C1372" s="80" t="s">
        <v>9331</v>
      </c>
      <c r="D1372" s="87">
        <v>2.766</v>
      </c>
    </row>
    <row r="1373" spans="1:4" ht="18" x14ac:dyDescent="0.25">
      <c r="A1373" s="80">
        <v>1372</v>
      </c>
      <c r="B1373" s="80" t="s">
        <v>9948</v>
      </c>
      <c r="C1373" s="80" t="s">
        <v>9331</v>
      </c>
      <c r="D1373" s="87">
        <v>2.9350000000000001</v>
      </c>
    </row>
    <row r="1374" spans="1:4" ht="18" x14ac:dyDescent="0.25">
      <c r="A1374" s="80">
        <v>1373</v>
      </c>
      <c r="B1374" s="80" t="s">
        <v>9949</v>
      </c>
      <c r="C1374" s="80" t="s">
        <v>9331</v>
      </c>
      <c r="D1374" s="87">
        <v>3.105</v>
      </c>
    </row>
    <row r="1375" spans="1:4" ht="18" x14ac:dyDescent="0.25">
      <c r="A1375" s="80">
        <v>1374</v>
      </c>
      <c r="B1375" s="80" t="s">
        <v>9950</v>
      </c>
      <c r="C1375" s="80" t="s">
        <v>9331</v>
      </c>
      <c r="D1375" s="87">
        <v>3.274</v>
      </c>
    </row>
    <row r="1376" spans="1:4" ht="18" x14ac:dyDescent="0.25">
      <c r="A1376" s="80">
        <v>1375</v>
      </c>
      <c r="B1376" s="80" t="s">
        <v>9951</v>
      </c>
      <c r="C1376" s="80" t="s">
        <v>9331</v>
      </c>
      <c r="D1376" s="87">
        <v>3.444</v>
      </c>
    </row>
    <row r="1377" spans="1:4" ht="18" x14ac:dyDescent="0.25">
      <c r="A1377" s="80">
        <v>1376</v>
      </c>
      <c r="B1377" s="80" t="s">
        <v>9952</v>
      </c>
      <c r="C1377" s="80" t="s">
        <v>9331</v>
      </c>
      <c r="D1377" s="87">
        <v>3.613</v>
      </c>
    </row>
    <row r="1378" spans="1:4" ht="18" x14ac:dyDescent="0.25">
      <c r="A1378" s="80">
        <v>1377</v>
      </c>
      <c r="B1378" s="80" t="s">
        <v>9953</v>
      </c>
      <c r="C1378" s="80" t="s">
        <v>9331</v>
      </c>
      <c r="D1378" s="87">
        <v>3.782</v>
      </c>
    </row>
    <row r="1379" spans="1:4" ht="18" x14ac:dyDescent="0.25">
      <c r="A1379" s="80">
        <v>1378</v>
      </c>
      <c r="B1379" s="80" t="s">
        <v>9954</v>
      </c>
      <c r="C1379" s="80" t="s">
        <v>9331</v>
      </c>
      <c r="D1379" s="87">
        <v>1.472</v>
      </c>
    </row>
    <row r="1380" spans="1:4" ht="18" x14ac:dyDescent="0.25">
      <c r="A1380" s="80">
        <v>1379</v>
      </c>
      <c r="B1380" s="80" t="s">
        <v>9955</v>
      </c>
      <c r="C1380" s="80" t="s">
        <v>9331</v>
      </c>
      <c r="D1380" s="87">
        <v>1.6479999999999999</v>
      </c>
    </row>
    <row r="1381" spans="1:4" ht="18" x14ac:dyDescent="0.25">
      <c r="A1381" s="80">
        <v>1380</v>
      </c>
      <c r="B1381" s="80" t="s">
        <v>9956</v>
      </c>
      <c r="C1381" s="80" t="s">
        <v>9331</v>
      </c>
      <c r="D1381" s="87">
        <v>1.825</v>
      </c>
    </row>
    <row r="1382" spans="1:4" ht="18" x14ac:dyDescent="0.25">
      <c r="A1382" s="80">
        <v>1381</v>
      </c>
      <c r="B1382" s="80" t="s">
        <v>9957</v>
      </c>
      <c r="C1382" s="80" t="s">
        <v>9331</v>
      </c>
      <c r="D1382" s="87">
        <v>2.0019999999999998</v>
      </c>
    </row>
    <row r="1383" spans="1:4" ht="18" x14ac:dyDescent="0.25">
      <c r="A1383" s="80">
        <v>1382</v>
      </c>
      <c r="B1383" s="80" t="s">
        <v>9958</v>
      </c>
      <c r="C1383" s="80" t="s">
        <v>9331</v>
      </c>
      <c r="D1383" s="87">
        <v>2.1779999999999999</v>
      </c>
    </row>
    <row r="1384" spans="1:4" ht="18" x14ac:dyDescent="0.25">
      <c r="A1384" s="80">
        <v>1383</v>
      </c>
      <c r="B1384" s="80" t="s">
        <v>9959</v>
      </c>
      <c r="C1384" s="80" t="s">
        <v>9331</v>
      </c>
      <c r="D1384" s="87">
        <v>2.355</v>
      </c>
    </row>
    <row r="1385" spans="1:4" ht="18" x14ac:dyDescent="0.25">
      <c r="A1385" s="80">
        <v>1384</v>
      </c>
      <c r="B1385" s="80" t="s">
        <v>9960</v>
      </c>
      <c r="C1385" s="80" t="s">
        <v>9331</v>
      </c>
      <c r="D1385" s="87">
        <v>2.5310000000000001</v>
      </c>
    </row>
    <row r="1386" spans="1:4" ht="18" x14ac:dyDescent="0.25">
      <c r="A1386" s="80">
        <v>1385</v>
      </c>
      <c r="B1386" s="80" t="s">
        <v>9961</v>
      </c>
      <c r="C1386" s="80" t="s">
        <v>9331</v>
      </c>
      <c r="D1386" s="87">
        <v>2.7080000000000002</v>
      </c>
    </row>
    <row r="1387" spans="1:4" ht="18" x14ac:dyDescent="0.25">
      <c r="A1387" s="80">
        <v>1386</v>
      </c>
      <c r="B1387" s="80" t="s">
        <v>9962</v>
      </c>
      <c r="C1387" s="80" t="s">
        <v>9331</v>
      </c>
      <c r="D1387" s="87">
        <v>2.8849999999999998</v>
      </c>
    </row>
    <row r="1388" spans="1:4" ht="18" x14ac:dyDescent="0.25">
      <c r="A1388" s="80">
        <v>1387</v>
      </c>
      <c r="B1388" s="80" t="s">
        <v>9963</v>
      </c>
      <c r="C1388" s="80" t="s">
        <v>9331</v>
      </c>
      <c r="D1388" s="87">
        <v>3.0609999999999999</v>
      </c>
    </row>
    <row r="1389" spans="1:4" ht="18" x14ac:dyDescent="0.25">
      <c r="A1389" s="80">
        <v>1388</v>
      </c>
      <c r="B1389" s="80" t="s">
        <v>9964</v>
      </c>
      <c r="C1389" s="80" t="s">
        <v>9331</v>
      </c>
      <c r="D1389" s="87">
        <v>3.238</v>
      </c>
    </row>
    <row r="1390" spans="1:4" ht="18" x14ac:dyDescent="0.25">
      <c r="A1390" s="80">
        <v>1389</v>
      </c>
      <c r="B1390" s="80" t="s">
        <v>9965</v>
      </c>
      <c r="C1390" s="80" t="s">
        <v>9331</v>
      </c>
      <c r="D1390" s="87">
        <v>3.415</v>
      </c>
    </row>
    <row r="1391" spans="1:4" ht="18" x14ac:dyDescent="0.25">
      <c r="A1391" s="80">
        <v>1390</v>
      </c>
      <c r="B1391" s="80" t="s">
        <v>9966</v>
      </c>
      <c r="C1391" s="80" t="s">
        <v>9331</v>
      </c>
      <c r="D1391" s="87">
        <v>3.5910000000000002</v>
      </c>
    </row>
    <row r="1392" spans="1:4" ht="18" x14ac:dyDescent="0.25">
      <c r="A1392" s="80">
        <v>1391</v>
      </c>
      <c r="B1392" s="80" t="s">
        <v>9967</v>
      </c>
      <c r="C1392" s="80" t="s">
        <v>9331</v>
      </c>
      <c r="D1392" s="87">
        <v>3.7679999999999998</v>
      </c>
    </row>
    <row r="1393" spans="1:4" ht="18" x14ac:dyDescent="0.25">
      <c r="A1393" s="80">
        <v>1392</v>
      </c>
      <c r="B1393" s="80" t="s">
        <v>9968</v>
      </c>
      <c r="C1393" s="80" t="s">
        <v>9331</v>
      </c>
      <c r="D1393" s="87">
        <v>3.944</v>
      </c>
    </row>
    <row r="1394" spans="1:4" ht="18" x14ac:dyDescent="0.25">
      <c r="A1394" s="80">
        <v>1393</v>
      </c>
      <c r="B1394" s="80" t="s">
        <v>9969</v>
      </c>
      <c r="C1394" s="80" t="s">
        <v>9331</v>
      </c>
      <c r="D1394" s="87">
        <v>1.512</v>
      </c>
    </row>
    <row r="1395" spans="1:4" ht="18" x14ac:dyDescent="0.25">
      <c r="A1395" s="80">
        <v>1394</v>
      </c>
      <c r="B1395" s="80" t="s">
        <v>9970</v>
      </c>
      <c r="C1395" s="80" t="s">
        <v>9331</v>
      </c>
      <c r="D1395" s="87">
        <v>1.694</v>
      </c>
    </row>
    <row r="1396" spans="1:4" ht="18" x14ac:dyDescent="0.25">
      <c r="A1396" s="80">
        <v>1395</v>
      </c>
      <c r="B1396" s="80" t="s">
        <v>9971</v>
      </c>
      <c r="C1396" s="80" t="s">
        <v>9331</v>
      </c>
      <c r="D1396" s="87">
        <v>1.875</v>
      </c>
    </row>
    <row r="1397" spans="1:4" ht="18" x14ac:dyDescent="0.25">
      <c r="A1397" s="80">
        <v>1396</v>
      </c>
      <c r="B1397" s="80" t="s">
        <v>9972</v>
      </c>
      <c r="C1397" s="80" t="s">
        <v>9331</v>
      </c>
      <c r="D1397" s="87">
        <v>2.056</v>
      </c>
    </row>
    <row r="1398" spans="1:4" ht="18" x14ac:dyDescent="0.25">
      <c r="A1398" s="80">
        <v>1397</v>
      </c>
      <c r="B1398" s="80" t="s">
        <v>9973</v>
      </c>
      <c r="C1398" s="80" t="s">
        <v>9331</v>
      </c>
      <c r="D1398" s="87">
        <v>2.238</v>
      </c>
    </row>
    <row r="1399" spans="1:4" ht="18" x14ac:dyDescent="0.25">
      <c r="A1399" s="80">
        <v>1398</v>
      </c>
      <c r="B1399" s="80" t="s">
        <v>9974</v>
      </c>
      <c r="C1399" s="80" t="s">
        <v>9331</v>
      </c>
      <c r="D1399" s="87">
        <v>2.419</v>
      </c>
    </row>
    <row r="1400" spans="1:4" ht="18" x14ac:dyDescent="0.25">
      <c r="A1400" s="80">
        <v>1399</v>
      </c>
      <c r="B1400" s="80" t="s">
        <v>9975</v>
      </c>
      <c r="C1400" s="80" t="s">
        <v>9331</v>
      </c>
      <c r="D1400" s="87">
        <v>2.601</v>
      </c>
    </row>
    <row r="1401" spans="1:4" ht="18" x14ac:dyDescent="0.25">
      <c r="A1401" s="80">
        <v>1400</v>
      </c>
      <c r="B1401" s="80" t="s">
        <v>9976</v>
      </c>
      <c r="C1401" s="80" t="s">
        <v>9331</v>
      </c>
      <c r="D1401" s="87">
        <v>2.782</v>
      </c>
    </row>
    <row r="1402" spans="1:4" ht="18" x14ac:dyDescent="0.25">
      <c r="A1402" s="80">
        <v>1401</v>
      </c>
      <c r="B1402" s="80" t="s">
        <v>9977</v>
      </c>
      <c r="C1402" s="80" t="s">
        <v>9331</v>
      </c>
      <c r="D1402" s="87">
        <v>2.964</v>
      </c>
    </row>
    <row r="1403" spans="1:4" ht="18" x14ac:dyDescent="0.25">
      <c r="A1403" s="80">
        <v>1402</v>
      </c>
      <c r="B1403" s="80" t="s">
        <v>9978</v>
      </c>
      <c r="C1403" s="80" t="s">
        <v>9331</v>
      </c>
      <c r="D1403" s="87">
        <v>3.145</v>
      </c>
    </row>
    <row r="1404" spans="1:4" ht="18" x14ac:dyDescent="0.25">
      <c r="A1404" s="80">
        <v>1403</v>
      </c>
      <c r="B1404" s="80" t="s">
        <v>9979</v>
      </c>
      <c r="C1404" s="80" t="s">
        <v>9331</v>
      </c>
      <c r="D1404" s="87">
        <v>3.327</v>
      </c>
    </row>
    <row r="1405" spans="1:4" ht="18" x14ac:dyDescent="0.25">
      <c r="A1405" s="80">
        <v>1404</v>
      </c>
      <c r="B1405" s="80" t="s">
        <v>9980</v>
      </c>
      <c r="C1405" s="80" t="s">
        <v>9331</v>
      </c>
      <c r="D1405" s="87">
        <v>3.508</v>
      </c>
    </row>
    <row r="1406" spans="1:4" ht="18" x14ac:dyDescent="0.25">
      <c r="A1406" s="80">
        <v>1405</v>
      </c>
      <c r="B1406" s="80" t="s">
        <v>9981</v>
      </c>
      <c r="C1406" s="80" t="s">
        <v>9331</v>
      </c>
      <c r="D1406" s="87">
        <v>3.69</v>
      </c>
    </row>
    <row r="1407" spans="1:4" ht="18" x14ac:dyDescent="0.25">
      <c r="A1407" s="80">
        <v>1406</v>
      </c>
      <c r="B1407" s="80" t="s">
        <v>9982</v>
      </c>
      <c r="C1407" s="80" t="s">
        <v>9331</v>
      </c>
      <c r="D1407" s="87">
        <v>3.871</v>
      </c>
    </row>
    <row r="1408" spans="1:4" ht="18" x14ac:dyDescent="0.25">
      <c r="A1408" s="80">
        <v>1407</v>
      </c>
      <c r="B1408" s="80" t="s">
        <v>9983</v>
      </c>
      <c r="C1408" s="80" t="s">
        <v>9331</v>
      </c>
      <c r="D1408" s="87">
        <v>4.0519999999999996</v>
      </c>
    </row>
    <row r="1409" spans="1:4" ht="18" x14ac:dyDescent="0.25">
      <c r="A1409" s="80">
        <v>1408</v>
      </c>
      <c r="B1409" s="80" t="s">
        <v>9984</v>
      </c>
      <c r="C1409" s="80" t="s">
        <v>9331</v>
      </c>
      <c r="D1409" s="87">
        <v>1.593</v>
      </c>
    </row>
    <row r="1410" spans="1:4" ht="18" x14ac:dyDescent="0.25">
      <c r="A1410" s="80">
        <v>1409</v>
      </c>
      <c r="B1410" s="80" t="s">
        <v>9985</v>
      </c>
      <c r="C1410" s="80" t="s">
        <v>9331</v>
      </c>
      <c r="D1410" s="87">
        <v>1.784</v>
      </c>
    </row>
    <row r="1411" spans="1:4" ht="18" x14ac:dyDescent="0.25">
      <c r="A1411" s="80">
        <v>1410</v>
      </c>
      <c r="B1411" s="80" t="s">
        <v>9986</v>
      </c>
      <c r="C1411" s="80" t="s">
        <v>9331</v>
      </c>
      <c r="D1411" s="87">
        <v>1.9750000000000001</v>
      </c>
    </row>
    <row r="1412" spans="1:4" ht="18" x14ac:dyDescent="0.25">
      <c r="A1412" s="80">
        <v>1411</v>
      </c>
      <c r="B1412" s="80" t="s">
        <v>9987</v>
      </c>
      <c r="C1412" s="80" t="s">
        <v>9331</v>
      </c>
      <c r="D1412" s="87">
        <v>2.1659999999999999</v>
      </c>
    </row>
    <row r="1413" spans="1:4" ht="18" x14ac:dyDescent="0.25">
      <c r="A1413" s="80">
        <v>1412</v>
      </c>
      <c r="B1413" s="80" t="s">
        <v>9988</v>
      </c>
      <c r="C1413" s="80" t="s">
        <v>9331</v>
      </c>
      <c r="D1413" s="87">
        <v>2.3570000000000002</v>
      </c>
    </row>
    <row r="1414" spans="1:4" ht="18" x14ac:dyDescent="0.25">
      <c r="A1414" s="80">
        <v>1413</v>
      </c>
      <c r="B1414" s="80" t="s">
        <v>9989</v>
      </c>
      <c r="C1414" s="80" t="s">
        <v>9331</v>
      </c>
      <c r="D1414" s="87">
        <v>2.548</v>
      </c>
    </row>
    <row r="1415" spans="1:4" ht="18" x14ac:dyDescent="0.25">
      <c r="A1415" s="80">
        <v>1414</v>
      </c>
      <c r="B1415" s="80" t="s">
        <v>9990</v>
      </c>
      <c r="C1415" s="80" t="s">
        <v>9331</v>
      </c>
      <c r="D1415" s="87">
        <v>2.74</v>
      </c>
    </row>
    <row r="1416" spans="1:4" ht="18" x14ac:dyDescent="0.25">
      <c r="A1416" s="80">
        <v>1415</v>
      </c>
      <c r="B1416" s="80" t="s">
        <v>9991</v>
      </c>
      <c r="C1416" s="80" t="s">
        <v>9331</v>
      </c>
      <c r="D1416" s="87">
        <v>2.931</v>
      </c>
    </row>
    <row r="1417" spans="1:4" ht="18" x14ac:dyDescent="0.25">
      <c r="A1417" s="80">
        <v>1416</v>
      </c>
      <c r="B1417" s="80" t="s">
        <v>9992</v>
      </c>
      <c r="C1417" s="80" t="s">
        <v>9331</v>
      </c>
      <c r="D1417" s="87">
        <v>3.1219999999999999</v>
      </c>
    </row>
    <row r="1418" spans="1:4" ht="18" x14ac:dyDescent="0.25">
      <c r="A1418" s="80">
        <v>1417</v>
      </c>
      <c r="B1418" s="80" t="s">
        <v>9993</v>
      </c>
      <c r="C1418" s="80" t="s">
        <v>9331</v>
      </c>
      <c r="D1418" s="87">
        <v>3.3130000000000002</v>
      </c>
    </row>
    <row r="1419" spans="1:4" ht="18" x14ac:dyDescent="0.25">
      <c r="A1419" s="80">
        <v>1418</v>
      </c>
      <c r="B1419" s="80" t="s">
        <v>9994</v>
      </c>
      <c r="C1419" s="80" t="s">
        <v>9331</v>
      </c>
      <c r="D1419" s="87">
        <v>3.504</v>
      </c>
    </row>
    <row r="1420" spans="1:4" ht="18" x14ac:dyDescent="0.25">
      <c r="A1420" s="80">
        <v>1419</v>
      </c>
      <c r="B1420" s="80" t="s">
        <v>9995</v>
      </c>
      <c r="C1420" s="80" t="s">
        <v>9331</v>
      </c>
      <c r="D1420" s="87">
        <v>3.6949999999999998</v>
      </c>
    </row>
    <row r="1421" spans="1:4" ht="18" x14ac:dyDescent="0.25">
      <c r="A1421" s="80">
        <v>1420</v>
      </c>
      <c r="B1421" s="80" t="s">
        <v>9996</v>
      </c>
      <c r="C1421" s="80" t="s">
        <v>9331</v>
      </c>
      <c r="D1421" s="87">
        <v>3.8860000000000001</v>
      </c>
    </row>
    <row r="1422" spans="1:4" ht="18" x14ac:dyDescent="0.25">
      <c r="A1422" s="80">
        <v>1421</v>
      </c>
      <c r="B1422" s="80" t="s">
        <v>9997</v>
      </c>
      <c r="C1422" s="80" t="s">
        <v>9331</v>
      </c>
      <c r="D1422" s="87">
        <v>4.077</v>
      </c>
    </row>
    <row r="1423" spans="1:4" ht="18" x14ac:dyDescent="0.25">
      <c r="A1423" s="80">
        <v>1422</v>
      </c>
      <c r="B1423" s="80" t="s">
        <v>9998</v>
      </c>
      <c r="C1423" s="80" t="s">
        <v>9331</v>
      </c>
      <c r="D1423" s="87">
        <v>4.2690000000000001</v>
      </c>
    </row>
    <row r="1424" spans="1:4" ht="18" x14ac:dyDescent="0.25">
      <c r="A1424" s="80">
        <v>1423</v>
      </c>
      <c r="B1424" s="80" t="s">
        <v>8787</v>
      </c>
      <c r="C1424" s="80" t="s">
        <v>9331</v>
      </c>
      <c r="D1424" s="87">
        <v>4.1459999999999999</v>
      </c>
    </row>
    <row r="1425" spans="1:4" ht="18" x14ac:dyDescent="0.25">
      <c r="A1425" s="80">
        <v>1424</v>
      </c>
      <c r="B1425" s="80" t="s">
        <v>8788</v>
      </c>
      <c r="C1425" s="80" t="s">
        <v>9331</v>
      </c>
      <c r="D1425" s="87">
        <v>4.5599999999999996</v>
      </c>
    </row>
    <row r="1426" spans="1:4" ht="18" x14ac:dyDescent="0.25">
      <c r="A1426" s="80">
        <v>1425</v>
      </c>
      <c r="B1426" s="80" t="s">
        <v>8789</v>
      </c>
      <c r="C1426" s="80" t="s">
        <v>9331</v>
      </c>
      <c r="D1426" s="87">
        <v>4.9749999999999996</v>
      </c>
    </row>
    <row r="1427" spans="1:4" ht="18" x14ac:dyDescent="0.25">
      <c r="A1427" s="80">
        <v>1426</v>
      </c>
      <c r="B1427" s="80" t="s">
        <v>8790</v>
      </c>
      <c r="C1427" s="80" t="s">
        <v>9331</v>
      </c>
      <c r="D1427" s="87">
        <v>5.39</v>
      </c>
    </row>
    <row r="1428" spans="1:4" ht="18" x14ac:dyDescent="0.25">
      <c r="A1428" s="80">
        <v>1427</v>
      </c>
      <c r="B1428" s="80" t="s">
        <v>8791</v>
      </c>
      <c r="C1428" s="80" t="s">
        <v>9331</v>
      </c>
      <c r="D1428" s="87">
        <v>5.8040000000000003</v>
      </c>
    </row>
    <row r="1429" spans="1:4" ht="18" x14ac:dyDescent="0.25">
      <c r="A1429" s="80">
        <v>1428</v>
      </c>
      <c r="B1429" s="80" t="s">
        <v>8792</v>
      </c>
      <c r="C1429" s="80" t="s">
        <v>9331</v>
      </c>
      <c r="D1429" s="87">
        <v>6.2190000000000003</v>
      </c>
    </row>
    <row r="1430" spans="1:4" ht="18" x14ac:dyDescent="0.25">
      <c r="A1430" s="80">
        <v>1429</v>
      </c>
      <c r="B1430" s="80" t="s">
        <v>8793</v>
      </c>
      <c r="C1430" s="80" t="s">
        <v>9331</v>
      </c>
      <c r="D1430" s="87">
        <v>6.633</v>
      </c>
    </row>
    <row r="1431" spans="1:4" ht="18" x14ac:dyDescent="0.25">
      <c r="A1431" s="80">
        <v>1430</v>
      </c>
      <c r="B1431" s="80" t="s">
        <v>8794</v>
      </c>
      <c r="C1431" s="80" t="s">
        <v>9331</v>
      </c>
      <c r="D1431" s="87">
        <v>7.048</v>
      </c>
    </row>
    <row r="1432" spans="1:4" ht="18" x14ac:dyDescent="0.25">
      <c r="A1432" s="80">
        <v>1431</v>
      </c>
      <c r="B1432" s="80" t="s">
        <v>8795</v>
      </c>
      <c r="C1432" s="80" t="s">
        <v>9331</v>
      </c>
      <c r="D1432" s="87">
        <v>7.4619999999999997</v>
      </c>
    </row>
    <row r="1433" spans="1:4" ht="18" x14ac:dyDescent="0.25">
      <c r="A1433" s="80">
        <v>1432</v>
      </c>
      <c r="B1433" s="80" t="s">
        <v>8796</v>
      </c>
      <c r="C1433" s="80" t="s">
        <v>9331</v>
      </c>
      <c r="D1433" s="87">
        <v>7.8769999999999998</v>
      </c>
    </row>
    <row r="1434" spans="1:4" ht="18" x14ac:dyDescent="0.25">
      <c r="A1434" s="80">
        <v>1433</v>
      </c>
      <c r="B1434" s="80" t="s">
        <v>8797</v>
      </c>
      <c r="C1434" s="80" t="s">
        <v>9331</v>
      </c>
      <c r="D1434" s="87">
        <v>8.2919999999999998</v>
      </c>
    </row>
    <row r="1435" spans="1:4" ht="18" x14ac:dyDescent="0.25">
      <c r="A1435" s="80">
        <v>1434</v>
      </c>
      <c r="B1435" s="80" t="s">
        <v>8798</v>
      </c>
      <c r="C1435" s="80" t="s">
        <v>9331</v>
      </c>
      <c r="D1435" s="87">
        <v>8.7059999999999995</v>
      </c>
    </row>
    <row r="1436" spans="1:4" ht="18" x14ac:dyDescent="0.25">
      <c r="A1436" s="80">
        <v>1435</v>
      </c>
      <c r="B1436" s="80" t="s">
        <v>8799</v>
      </c>
      <c r="C1436" s="80" t="s">
        <v>9331</v>
      </c>
      <c r="D1436" s="87">
        <v>9.1210000000000004</v>
      </c>
    </row>
    <row r="1437" spans="1:4" ht="18" x14ac:dyDescent="0.25">
      <c r="A1437" s="80">
        <v>1436</v>
      </c>
      <c r="B1437" s="80" t="s">
        <v>8800</v>
      </c>
      <c r="C1437" s="80" t="s">
        <v>9331</v>
      </c>
      <c r="D1437" s="87">
        <v>9.5350000000000001</v>
      </c>
    </row>
    <row r="1438" spans="1:4" ht="18" x14ac:dyDescent="0.25">
      <c r="A1438" s="80">
        <v>1437</v>
      </c>
      <c r="B1438" s="80" t="s">
        <v>8801</v>
      </c>
      <c r="C1438" s="80" t="s">
        <v>9331</v>
      </c>
      <c r="D1438" s="87">
        <v>9.9499999999999993</v>
      </c>
    </row>
    <row r="1439" spans="1:4" ht="18" x14ac:dyDescent="0.25">
      <c r="A1439" s="80">
        <v>1438</v>
      </c>
      <c r="B1439" s="80" t="s">
        <v>8802</v>
      </c>
      <c r="C1439" s="80" t="s">
        <v>9331</v>
      </c>
      <c r="D1439" s="87">
        <v>4.319</v>
      </c>
    </row>
    <row r="1440" spans="1:4" ht="18" x14ac:dyDescent="0.25">
      <c r="A1440" s="80">
        <v>1439</v>
      </c>
      <c r="B1440" s="80" t="s">
        <v>8803</v>
      </c>
      <c r="C1440" s="80" t="s">
        <v>9331</v>
      </c>
      <c r="D1440" s="87">
        <v>4.75</v>
      </c>
    </row>
    <row r="1441" spans="1:4" ht="18" x14ac:dyDescent="0.25">
      <c r="A1441" s="80">
        <v>1440</v>
      </c>
      <c r="B1441" s="80" t="s">
        <v>8804</v>
      </c>
      <c r="C1441" s="80" t="s">
        <v>9331</v>
      </c>
      <c r="D1441" s="87">
        <v>5.1820000000000004</v>
      </c>
    </row>
    <row r="1442" spans="1:4" ht="18" x14ac:dyDescent="0.25">
      <c r="A1442" s="80">
        <v>1441</v>
      </c>
      <c r="B1442" s="80" t="s">
        <v>8805</v>
      </c>
      <c r="C1442" s="80" t="s">
        <v>9331</v>
      </c>
      <c r="D1442" s="87">
        <v>5.6139999999999999</v>
      </c>
    </row>
    <row r="1443" spans="1:4" ht="18" x14ac:dyDescent="0.25">
      <c r="A1443" s="80">
        <v>1442</v>
      </c>
      <c r="B1443" s="80" t="s">
        <v>8806</v>
      </c>
      <c r="C1443" s="80" t="s">
        <v>9331</v>
      </c>
      <c r="D1443" s="87">
        <v>6.0460000000000003</v>
      </c>
    </row>
    <row r="1444" spans="1:4" ht="18" x14ac:dyDescent="0.25">
      <c r="A1444" s="80">
        <v>1443</v>
      </c>
      <c r="B1444" s="80" t="s">
        <v>8807</v>
      </c>
      <c r="C1444" s="80" t="s">
        <v>9331</v>
      </c>
      <c r="D1444" s="87">
        <v>6.4779999999999998</v>
      </c>
    </row>
    <row r="1445" spans="1:4" ht="18" x14ac:dyDescent="0.25">
      <c r="A1445" s="80">
        <v>1444</v>
      </c>
      <c r="B1445" s="80" t="s">
        <v>8808</v>
      </c>
      <c r="C1445" s="80" t="s">
        <v>9331</v>
      </c>
      <c r="D1445" s="87">
        <v>6.91</v>
      </c>
    </row>
    <row r="1446" spans="1:4" ht="18" x14ac:dyDescent="0.25">
      <c r="A1446" s="80">
        <v>1445</v>
      </c>
      <c r="B1446" s="80" t="s">
        <v>8809</v>
      </c>
      <c r="C1446" s="80" t="s">
        <v>9331</v>
      </c>
      <c r="D1446" s="87">
        <v>7.3419999999999996</v>
      </c>
    </row>
    <row r="1447" spans="1:4" ht="18" x14ac:dyDescent="0.25">
      <c r="A1447" s="80">
        <v>1446</v>
      </c>
      <c r="B1447" s="80" t="s">
        <v>8810</v>
      </c>
      <c r="C1447" s="80" t="s">
        <v>9331</v>
      </c>
      <c r="D1447" s="87">
        <v>7.7729999999999997</v>
      </c>
    </row>
    <row r="1448" spans="1:4" ht="18" x14ac:dyDescent="0.25">
      <c r="A1448" s="80">
        <v>1447</v>
      </c>
      <c r="B1448" s="80" t="s">
        <v>8811</v>
      </c>
      <c r="C1448" s="80" t="s">
        <v>9331</v>
      </c>
      <c r="D1448" s="87">
        <v>8.2050000000000001</v>
      </c>
    </row>
    <row r="1449" spans="1:4" ht="18" x14ac:dyDescent="0.25">
      <c r="A1449" s="80">
        <v>1448</v>
      </c>
      <c r="B1449" s="80" t="s">
        <v>8812</v>
      </c>
      <c r="C1449" s="80" t="s">
        <v>9331</v>
      </c>
      <c r="D1449" s="87">
        <v>8.6370000000000005</v>
      </c>
    </row>
    <row r="1450" spans="1:4" ht="18" x14ac:dyDescent="0.25">
      <c r="A1450" s="80">
        <v>1449</v>
      </c>
      <c r="B1450" s="80" t="s">
        <v>8813</v>
      </c>
      <c r="C1450" s="80" t="s">
        <v>9331</v>
      </c>
      <c r="D1450" s="87">
        <v>9.0690000000000008</v>
      </c>
    </row>
    <row r="1451" spans="1:4" ht="18" x14ac:dyDescent="0.25">
      <c r="A1451" s="80">
        <v>1450</v>
      </c>
      <c r="B1451" s="80" t="s">
        <v>8814</v>
      </c>
      <c r="C1451" s="80" t="s">
        <v>9331</v>
      </c>
      <c r="D1451" s="87">
        <v>9.5009999999999994</v>
      </c>
    </row>
    <row r="1452" spans="1:4" ht="18" x14ac:dyDescent="0.25">
      <c r="A1452" s="80">
        <v>1451</v>
      </c>
      <c r="B1452" s="80" t="s">
        <v>8815</v>
      </c>
      <c r="C1452" s="80" t="s">
        <v>9331</v>
      </c>
      <c r="D1452" s="87">
        <v>9.9329999999999998</v>
      </c>
    </row>
    <row r="1453" spans="1:4" ht="18" x14ac:dyDescent="0.25">
      <c r="A1453" s="80">
        <v>1452</v>
      </c>
      <c r="B1453" s="80" t="s">
        <v>8816</v>
      </c>
      <c r="C1453" s="80" t="s">
        <v>9331</v>
      </c>
      <c r="D1453" s="87">
        <v>10.364000000000001</v>
      </c>
    </row>
    <row r="1454" spans="1:4" ht="18" x14ac:dyDescent="0.25">
      <c r="A1454" s="80">
        <v>1453</v>
      </c>
      <c r="B1454" s="80" t="s">
        <v>8817</v>
      </c>
      <c r="C1454" s="80" t="s">
        <v>9331</v>
      </c>
      <c r="D1454" s="87">
        <v>4.4909999999999997</v>
      </c>
    </row>
    <row r="1455" spans="1:4" ht="18" x14ac:dyDescent="0.25">
      <c r="A1455" s="80">
        <v>1454</v>
      </c>
      <c r="B1455" s="80" t="s">
        <v>8818</v>
      </c>
      <c r="C1455" s="80" t="s">
        <v>9331</v>
      </c>
      <c r="D1455" s="87">
        <v>4.9400000000000004</v>
      </c>
    </row>
    <row r="1456" spans="1:4" ht="18" x14ac:dyDescent="0.25">
      <c r="A1456" s="80">
        <v>1455</v>
      </c>
      <c r="B1456" s="80" t="s">
        <v>8819</v>
      </c>
      <c r="C1456" s="80" t="s">
        <v>9331</v>
      </c>
      <c r="D1456" s="87">
        <v>5.39</v>
      </c>
    </row>
    <row r="1457" spans="1:4" ht="18" x14ac:dyDescent="0.25">
      <c r="A1457" s="80">
        <v>1456</v>
      </c>
      <c r="B1457" s="80" t="s">
        <v>8820</v>
      </c>
      <c r="C1457" s="80" t="s">
        <v>9331</v>
      </c>
      <c r="D1457" s="87">
        <v>5.8390000000000004</v>
      </c>
    </row>
    <row r="1458" spans="1:4" ht="18" x14ac:dyDescent="0.25">
      <c r="A1458" s="80">
        <v>1457</v>
      </c>
      <c r="B1458" s="80" t="s">
        <v>8821</v>
      </c>
      <c r="C1458" s="80" t="s">
        <v>9331</v>
      </c>
      <c r="D1458" s="87">
        <v>6.2880000000000003</v>
      </c>
    </row>
    <row r="1459" spans="1:4" ht="18" x14ac:dyDescent="0.25">
      <c r="A1459" s="80">
        <v>1458</v>
      </c>
      <c r="B1459" s="80" t="s">
        <v>8822</v>
      </c>
      <c r="C1459" s="80" t="s">
        <v>9331</v>
      </c>
      <c r="D1459" s="87">
        <v>6.7370000000000001</v>
      </c>
    </row>
    <row r="1460" spans="1:4" ht="18" x14ac:dyDescent="0.25">
      <c r="A1460" s="80">
        <v>1459</v>
      </c>
      <c r="B1460" s="80" t="s">
        <v>8823</v>
      </c>
      <c r="C1460" s="80" t="s">
        <v>9331</v>
      </c>
      <c r="D1460" s="87">
        <v>7.1859999999999999</v>
      </c>
    </row>
    <row r="1461" spans="1:4" ht="18" x14ac:dyDescent="0.25">
      <c r="A1461" s="80">
        <v>1460</v>
      </c>
      <c r="B1461" s="80" t="s">
        <v>8824</v>
      </c>
      <c r="C1461" s="80" t="s">
        <v>9331</v>
      </c>
      <c r="D1461" s="87">
        <v>7.6349999999999998</v>
      </c>
    </row>
    <row r="1462" spans="1:4" ht="18" x14ac:dyDescent="0.25">
      <c r="A1462" s="80">
        <v>1461</v>
      </c>
      <c r="B1462" s="80" t="s">
        <v>8825</v>
      </c>
      <c r="C1462" s="80" t="s">
        <v>9331</v>
      </c>
      <c r="D1462" s="87">
        <v>8.0839999999999996</v>
      </c>
    </row>
    <row r="1463" spans="1:4" ht="18" x14ac:dyDescent="0.25">
      <c r="A1463" s="80">
        <v>1462</v>
      </c>
      <c r="B1463" s="80" t="s">
        <v>8826</v>
      </c>
      <c r="C1463" s="80" t="s">
        <v>9331</v>
      </c>
      <c r="D1463" s="87">
        <v>8.5329999999999995</v>
      </c>
    </row>
    <row r="1464" spans="1:4" ht="18" x14ac:dyDescent="0.25">
      <c r="A1464" s="80">
        <v>1463</v>
      </c>
      <c r="B1464" s="80" t="s">
        <v>8827</v>
      </c>
      <c r="C1464" s="80" t="s">
        <v>9331</v>
      </c>
      <c r="D1464" s="87">
        <v>8.9830000000000005</v>
      </c>
    </row>
    <row r="1465" spans="1:4" ht="18" x14ac:dyDescent="0.25">
      <c r="A1465" s="80">
        <v>1464</v>
      </c>
      <c r="B1465" s="80" t="s">
        <v>8828</v>
      </c>
      <c r="C1465" s="80" t="s">
        <v>9331</v>
      </c>
      <c r="D1465" s="87">
        <v>9.4320000000000004</v>
      </c>
    </row>
    <row r="1466" spans="1:4" ht="18" x14ac:dyDescent="0.25">
      <c r="A1466" s="80">
        <v>1465</v>
      </c>
      <c r="B1466" s="80" t="s">
        <v>8786</v>
      </c>
      <c r="C1466" s="80" t="s">
        <v>9331</v>
      </c>
      <c r="D1466" s="87">
        <v>9.8810000000000002</v>
      </c>
    </row>
    <row r="1467" spans="1:4" ht="18" x14ac:dyDescent="0.25">
      <c r="A1467" s="80">
        <v>1466</v>
      </c>
      <c r="B1467" s="80" t="s">
        <v>8829</v>
      </c>
      <c r="C1467" s="80" t="s">
        <v>9331</v>
      </c>
      <c r="D1467" s="87">
        <v>10.33</v>
      </c>
    </row>
    <row r="1468" spans="1:4" ht="18" x14ac:dyDescent="0.25">
      <c r="A1468" s="80">
        <v>1467</v>
      </c>
      <c r="B1468" s="80" t="s">
        <v>8830</v>
      </c>
      <c r="C1468" s="80" t="s">
        <v>9331</v>
      </c>
      <c r="D1468" s="87">
        <v>10.779</v>
      </c>
    </row>
    <row r="1469" spans="1:4" ht="18" x14ac:dyDescent="0.25">
      <c r="A1469" s="80">
        <v>1468</v>
      </c>
      <c r="B1469" s="80" t="s">
        <v>8831</v>
      </c>
      <c r="C1469" s="80" t="s">
        <v>9331</v>
      </c>
      <c r="D1469" s="87">
        <v>4.6059999999999999</v>
      </c>
    </row>
    <row r="1470" spans="1:4" ht="18" x14ac:dyDescent="0.25">
      <c r="A1470" s="80">
        <v>1469</v>
      </c>
      <c r="B1470" s="80" t="s">
        <v>8832</v>
      </c>
      <c r="C1470" s="80" t="s">
        <v>9331</v>
      </c>
      <c r="D1470" s="87">
        <v>5.0670000000000002</v>
      </c>
    </row>
    <row r="1471" spans="1:4" ht="18" x14ac:dyDescent="0.25">
      <c r="A1471" s="80">
        <v>1470</v>
      </c>
      <c r="B1471" s="80" t="s">
        <v>8833</v>
      </c>
      <c r="C1471" s="80" t="s">
        <v>9331</v>
      </c>
      <c r="D1471" s="87">
        <v>5.5279999999999996</v>
      </c>
    </row>
    <row r="1472" spans="1:4" ht="18" x14ac:dyDescent="0.25">
      <c r="A1472" s="80">
        <v>1471</v>
      </c>
      <c r="B1472" s="80" t="s">
        <v>8834</v>
      </c>
      <c r="C1472" s="80" t="s">
        <v>9331</v>
      </c>
      <c r="D1472" s="87">
        <v>5.9880000000000004</v>
      </c>
    </row>
    <row r="1473" spans="1:4" ht="18" x14ac:dyDescent="0.25">
      <c r="A1473" s="80">
        <v>1472</v>
      </c>
      <c r="B1473" s="80" t="s">
        <v>8835</v>
      </c>
      <c r="C1473" s="80" t="s">
        <v>9331</v>
      </c>
      <c r="D1473" s="87">
        <v>6.4489999999999998</v>
      </c>
    </row>
    <row r="1474" spans="1:4" ht="18" x14ac:dyDescent="0.25">
      <c r="A1474" s="80">
        <v>1473</v>
      </c>
      <c r="B1474" s="80" t="s">
        <v>8836</v>
      </c>
      <c r="C1474" s="80" t="s">
        <v>9331</v>
      </c>
      <c r="D1474" s="87">
        <v>6.91</v>
      </c>
    </row>
    <row r="1475" spans="1:4" ht="18" x14ac:dyDescent="0.25">
      <c r="A1475" s="80">
        <v>1474</v>
      </c>
      <c r="B1475" s="80" t="s">
        <v>8837</v>
      </c>
      <c r="C1475" s="80" t="s">
        <v>9331</v>
      </c>
      <c r="D1475" s="87">
        <v>7.37</v>
      </c>
    </row>
    <row r="1476" spans="1:4" ht="18" x14ac:dyDescent="0.25">
      <c r="A1476" s="80">
        <v>1475</v>
      </c>
      <c r="B1476" s="80" t="s">
        <v>8838</v>
      </c>
      <c r="C1476" s="80" t="s">
        <v>9331</v>
      </c>
      <c r="D1476" s="87">
        <v>7.8310000000000004</v>
      </c>
    </row>
    <row r="1477" spans="1:4" ht="18" x14ac:dyDescent="0.25">
      <c r="A1477" s="80">
        <v>1476</v>
      </c>
      <c r="B1477" s="80" t="s">
        <v>8839</v>
      </c>
      <c r="C1477" s="80" t="s">
        <v>9331</v>
      </c>
      <c r="D1477" s="87">
        <v>8.2919999999999998</v>
      </c>
    </row>
    <row r="1478" spans="1:4" ht="18" x14ac:dyDescent="0.25">
      <c r="A1478" s="80">
        <v>1477</v>
      </c>
      <c r="B1478" s="80" t="s">
        <v>8840</v>
      </c>
      <c r="C1478" s="80" t="s">
        <v>9331</v>
      </c>
      <c r="D1478" s="87">
        <v>8.7520000000000007</v>
      </c>
    </row>
    <row r="1479" spans="1:4" ht="18" x14ac:dyDescent="0.25">
      <c r="A1479" s="80">
        <v>1478</v>
      </c>
      <c r="B1479" s="80" t="s">
        <v>8841</v>
      </c>
      <c r="C1479" s="80" t="s">
        <v>9331</v>
      </c>
      <c r="D1479" s="87">
        <v>9.2129999999999992</v>
      </c>
    </row>
    <row r="1480" spans="1:4" ht="18" x14ac:dyDescent="0.25">
      <c r="A1480" s="80">
        <v>1479</v>
      </c>
      <c r="B1480" s="80" t="s">
        <v>8842</v>
      </c>
      <c r="C1480" s="80" t="s">
        <v>9331</v>
      </c>
      <c r="D1480" s="87">
        <v>9.6739999999999995</v>
      </c>
    </row>
    <row r="1481" spans="1:4" ht="18" x14ac:dyDescent="0.25">
      <c r="A1481" s="80">
        <v>1480</v>
      </c>
      <c r="B1481" s="80" t="s">
        <v>8843</v>
      </c>
      <c r="C1481" s="80" t="s">
        <v>9331</v>
      </c>
      <c r="D1481" s="87">
        <v>10.134</v>
      </c>
    </row>
    <row r="1482" spans="1:4" ht="18" x14ac:dyDescent="0.25">
      <c r="A1482" s="80">
        <v>1481</v>
      </c>
      <c r="B1482" s="80" t="s">
        <v>8844</v>
      </c>
      <c r="C1482" s="80" t="s">
        <v>9331</v>
      </c>
      <c r="D1482" s="87">
        <v>10.595000000000001</v>
      </c>
    </row>
    <row r="1483" spans="1:4" ht="18" x14ac:dyDescent="0.25">
      <c r="A1483" s="80">
        <v>1482</v>
      </c>
      <c r="B1483" s="80" t="s">
        <v>8845</v>
      </c>
      <c r="C1483" s="80" t="s">
        <v>9331</v>
      </c>
      <c r="D1483" s="87">
        <v>11.055</v>
      </c>
    </row>
    <row r="1484" spans="1:4" ht="18" x14ac:dyDescent="0.25">
      <c r="A1484" s="80">
        <v>1483</v>
      </c>
      <c r="B1484" s="80" t="s">
        <v>8846</v>
      </c>
      <c r="C1484" s="80" t="s">
        <v>9331</v>
      </c>
      <c r="D1484" s="87">
        <v>4.8369999999999997</v>
      </c>
    </row>
    <row r="1485" spans="1:4" ht="18" x14ac:dyDescent="0.25">
      <c r="A1485" s="80">
        <v>1484</v>
      </c>
      <c r="B1485" s="80" t="s">
        <v>8847</v>
      </c>
      <c r="C1485" s="80" t="s">
        <v>9331</v>
      </c>
      <c r="D1485" s="87">
        <v>5.32</v>
      </c>
    </row>
    <row r="1486" spans="1:4" ht="18" x14ac:dyDescent="0.25">
      <c r="A1486" s="80">
        <v>1485</v>
      </c>
      <c r="B1486" s="80" t="s">
        <v>8848</v>
      </c>
      <c r="C1486" s="80" t="s">
        <v>9331</v>
      </c>
      <c r="D1486" s="87">
        <v>5.8040000000000003</v>
      </c>
    </row>
    <row r="1487" spans="1:4" ht="18" x14ac:dyDescent="0.25">
      <c r="A1487" s="80">
        <v>1486</v>
      </c>
      <c r="B1487" s="80" t="s">
        <v>8849</v>
      </c>
      <c r="C1487" s="80" t="s">
        <v>9331</v>
      </c>
      <c r="D1487" s="87">
        <v>6.2880000000000003</v>
      </c>
    </row>
    <row r="1488" spans="1:4" ht="18" x14ac:dyDescent="0.25">
      <c r="A1488" s="80">
        <v>1487</v>
      </c>
      <c r="B1488" s="80" t="s">
        <v>8850</v>
      </c>
      <c r="C1488" s="80" t="s">
        <v>9331</v>
      </c>
      <c r="D1488" s="87">
        <v>6.7709999999999999</v>
      </c>
    </row>
    <row r="1489" spans="1:4" ht="18" x14ac:dyDescent="0.25">
      <c r="A1489" s="80">
        <v>1488</v>
      </c>
      <c r="B1489" s="80" t="s">
        <v>8851</v>
      </c>
      <c r="C1489" s="80" t="s">
        <v>9331</v>
      </c>
      <c r="D1489" s="87">
        <v>7.2549999999999999</v>
      </c>
    </row>
    <row r="1490" spans="1:4" ht="18" x14ac:dyDescent="0.25">
      <c r="A1490" s="80">
        <v>1489</v>
      </c>
      <c r="B1490" s="80" t="s">
        <v>8852</v>
      </c>
      <c r="C1490" s="80" t="s">
        <v>9331</v>
      </c>
      <c r="D1490" s="87">
        <v>7.7389999999999999</v>
      </c>
    </row>
    <row r="1491" spans="1:4" ht="18" x14ac:dyDescent="0.25">
      <c r="A1491" s="80">
        <v>1490</v>
      </c>
      <c r="B1491" s="80" t="s">
        <v>8853</v>
      </c>
      <c r="C1491" s="80" t="s">
        <v>9331</v>
      </c>
      <c r="D1491" s="87">
        <v>8.2219999999999995</v>
      </c>
    </row>
    <row r="1492" spans="1:4" ht="18" x14ac:dyDescent="0.25">
      <c r="A1492" s="80">
        <v>1491</v>
      </c>
      <c r="B1492" s="80" t="s">
        <v>8854</v>
      </c>
      <c r="C1492" s="80" t="s">
        <v>9331</v>
      </c>
      <c r="D1492" s="87">
        <v>8.7059999999999995</v>
      </c>
    </row>
    <row r="1493" spans="1:4" ht="18" x14ac:dyDescent="0.25">
      <c r="A1493" s="80">
        <v>1492</v>
      </c>
      <c r="B1493" s="80" t="s">
        <v>8855</v>
      </c>
      <c r="C1493" s="80" t="s">
        <v>9331</v>
      </c>
      <c r="D1493" s="87">
        <v>9.19</v>
      </c>
    </row>
    <row r="1494" spans="1:4" ht="18" x14ac:dyDescent="0.25">
      <c r="A1494" s="80">
        <v>1493</v>
      </c>
      <c r="B1494" s="80" t="s">
        <v>8856</v>
      </c>
      <c r="C1494" s="80" t="s">
        <v>9331</v>
      </c>
      <c r="D1494" s="87">
        <v>9.6739999999999995</v>
      </c>
    </row>
    <row r="1495" spans="1:4" ht="18" x14ac:dyDescent="0.25">
      <c r="A1495" s="80">
        <v>1494</v>
      </c>
      <c r="B1495" s="80" t="s">
        <v>8857</v>
      </c>
      <c r="C1495" s="80" t="s">
        <v>9331</v>
      </c>
      <c r="D1495" s="87">
        <v>10.157</v>
      </c>
    </row>
    <row r="1496" spans="1:4" ht="18" x14ac:dyDescent="0.25">
      <c r="A1496" s="80">
        <v>1495</v>
      </c>
      <c r="B1496" s="80" t="s">
        <v>8858</v>
      </c>
      <c r="C1496" s="80" t="s">
        <v>9331</v>
      </c>
      <c r="D1496" s="87">
        <v>10.641</v>
      </c>
    </row>
    <row r="1497" spans="1:4" ht="18" x14ac:dyDescent="0.25">
      <c r="A1497" s="80">
        <v>1496</v>
      </c>
      <c r="B1497" s="80" t="s">
        <v>8859</v>
      </c>
      <c r="C1497" s="80" t="s">
        <v>9331</v>
      </c>
      <c r="D1497" s="87">
        <v>11.125</v>
      </c>
    </row>
    <row r="1498" spans="1:4" ht="18" x14ac:dyDescent="0.25">
      <c r="A1498" s="80">
        <v>1497</v>
      </c>
      <c r="B1498" s="80" t="s">
        <v>8860</v>
      </c>
      <c r="C1498" s="80" t="s">
        <v>9331</v>
      </c>
      <c r="D1498" s="87">
        <v>11.608000000000001</v>
      </c>
    </row>
    <row r="1499" spans="1:4" ht="18" x14ac:dyDescent="0.25">
      <c r="A1499" s="80">
        <v>1498</v>
      </c>
      <c r="B1499" s="80" t="s">
        <v>8861</v>
      </c>
      <c r="C1499" s="80" t="s">
        <v>9331</v>
      </c>
      <c r="D1499" s="87">
        <v>0.91</v>
      </c>
    </row>
    <row r="1500" spans="1:4" ht="18" x14ac:dyDescent="0.25">
      <c r="A1500" s="80">
        <v>1499</v>
      </c>
      <c r="B1500" s="80" t="s">
        <v>8862</v>
      </c>
      <c r="C1500" s="80" t="s">
        <v>9331</v>
      </c>
      <c r="D1500" s="87">
        <v>0.999</v>
      </c>
    </row>
    <row r="1501" spans="1:4" ht="18" x14ac:dyDescent="0.25">
      <c r="A1501" s="80">
        <v>1500</v>
      </c>
      <c r="B1501" s="80" t="s">
        <v>8863</v>
      </c>
      <c r="C1501" s="80" t="s">
        <v>9331</v>
      </c>
      <c r="D1501" s="87">
        <v>0.39</v>
      </c>
    </row>
    <row r="1502" spans="1:4" ht="18" x14ac:dyDescent="0.25">
      <c r="A1502" s="80">
        <v>1501</v>
      </c>
      <c r="B1502" s="80" t="s">
        <v>8864</v>
      </c>
      <c r="C1502" s="80" t="s">
        <v>9331</v>
      </c>
      <c r="D1502" s="87">
        <v>0.48299999999999998</v>
      </c>
    </row>
    <row r="1503" spans="1:4" ht="18" x14ac:dyDescent="0.25">
      <c r="A1503" s="80">
        <v>1502</v>
      </c>
      <c r="B1503" s="80" t="s">
        <v>8865</v>
      </c>
      <c r="C1503" s="80" t="s">
        <v>9331</v>
      </c>
      <c r="D1503" s="87">
        <v>0.57599999999999996</v>
      </c>
    </row>
    <row r="1504" spans="1:4" ht="18" x14ac:dyDescent="0.25">
      <c r="A1504" s="80">
        <v>1503</v>
      </c>
      <c r="B1504" s="80" t="s">
        <v>8866</v>
      </c>
      <c r="C1504" s="80" t="s">
        <v>9331</v>
      </c>
      <c r="D1504" s="87">
        <v>0.67</v>
      </c>
    </row>
    <row r="1505" spans="1:4" ht="18" x14ac:dyDescent="0.25">
      <c r="A1505" s="80">
        <v>1504</v>
      </c>
      <c r="B1505" s="80" t="s">
        <v>8867</v>
      </c>
      <c r="C1505" s="80" t="s">
        <v>9331</v>
      </c>
      <c r="D1505" s="87">
        <v>0.85699999999999998</v>
      </c>
    </row>
    <row r="1506" spans="1:4" ht="18" x14ac:dyDescent="0.25">
      <c r="A1506" s="80">
        <v>1505</v>
      </c>
      <c r="B1506" s="80" t="s">
        <v>8868</v>
      </c>
      <c r="C1506" s="80" t="s">
        <v>9331</v>
      </c>
      <c r="D1506" s="87">
        <v>0.95</v>
      </c>
    </row>
    <row r="1507" spans="1:4" ht="18" x14ac:dyDescent="0.25">
      <c r="A1507" s="80">
        <v>1506</v>
      </c>
      <c r="B1507" s="80" t="s">
        <v>8869</v>
      </c>
      <c r="C1507" s="80" t="s">
        <v>9331</v>
      </c>
      <c r="D1507" s="87">
        <v>1.044</v>
      </c>
    </row>
    <row r="1508" spans="1:4" ht="18" x14ac:dyDescent="0.25">
      <c r="A1508" s="80">
        <v>1507</v>
      </c>
      <c r="B1508" s="80" t="s">
        <v>8870</v>
      </c>
      <c r="C1508" s="80" t="s">
        <v>9331</v>
      </c>
      <c r="D1508" s="87">
        <v>0.40600000000000003</v>
      </c>
    </row>
    <row r="1509" spans="1:4" ht="18" x14ac:dyDescent="0.25">
      <c r="A1509" s="80">
        <v>1508</v>
      </c>
      <c r="B1509" s="80" t="s">
        <v>8871</v>
      </c>
      <c r="C1509" s="80" t="s">
        <v>9331</v>
      </c>
      <c r="D1509" s="87">
        <v>0.504</v>
      </c>
    </row>
    <row r="1510" spans="1:4" ht="18" x14ac:dyDescent="0.25">
      <c r="A1510" s="80">
        <v>1509</v>
      </c>
      <c r="B1510" s="80" t="s">
        <v>8872</v>
      </c>
      <c r="C1510" s="80" t="s">
        <v>9331</v>
      </c>
      <c r="D1510" s="87">
        <v>0.60099999999999998</v>
      </c>
    </row>
    <row r="1511" spans="1:4" ht="18" x14ac:dyDescent="0.25">
      <c r="A1511" s="80">
        <v>1510</v>
      </c>
      <c r="B1511" s="80" t="s">
        <v>8873</v>
      </c>
      <c r="C1511" s="80" t="s">
        <v>9331</v>
      </c>
      <c r="D1511" s="87">
        <v>0.69899999999999995</v>
      </c>
    </row>
    <row r="1512" spans="1:4" ht="18" x14ac:dyDescent="0.25">
      <c r="A1512" s="80">
        <v>1511</v>
      </c>
      <c r="B1512" s="80" t="s">
        <v>8874</v>
      </c>
      <c r="C1512" s="80" t="s">
        <v>9331</v>
      </c>
      <c r="D1512" s="87">
        <v>0.89400000000000002</v>
      </c>
    </row>
    <row r="1513" spans="1:4" ht="18" x14ac:dyDescent="0.25">
      <c r="A1513" s="80">
        <v>1512</v>
      </c>
      <c r="B1513" s="80" t="s">
        <v>8875</v>
      </c>
      <c r="C1513" s="80" t="s">
        <v>9331</v>
      </c>
      <c r="D1513" s="87">
        <v>0.99099999999999999</v>
      </c>
    </row>
    <row r="1514" spans="1:4" ht="18" x14ac:dyDescent="0.25">
      <c r="A1514" s="80">
        <v>1513</v>
      </c>
      <c r="B1514" s="80" t="s">
        <v>8876</v>
      </c>
      <c r="C1514" s="80" t="s">
        <v>9331</v>
      </c>
      <c r="D1514" s="87">
        <v>1.089</v>
      </c>
    </row>
    <row r="1515" spans="1:4" ht="18" x14ac:dyDescent="0.25">
      <c r="A1515" s="80">
        <v>1514</v>
      </c>
      <c r="B1515" s="80" t="s">
        <v>8877</v>
      </c>
      <c r="C1515" s="80" t="s">
        <v>9331</v>
      </c>
      <c r="D1515" s="87">
        <v>0.41699999999999998</v>
      </c>
    </row>
    <row r="1516" spans="1:4" ht="18" x14ac:dyDescent="0.25">
      <c r="A1516" s="80">
        <v>1515</v>
      </c>
      <c r="B1516" s="80" t="s">
        <v>8878</v>
      </c>
      <c r="C1516" s="80" t="s">
        <v>9331</v>
      </c>
      <c r="D1516" s="87">
        <v>0.51700000000000002</v>
      </c>
    </row>
    <row r="1517" spans="1:4" ht="18" x14ac:dyDescent="0.25">
      <c r="A1517" s="80">
        <v>1516</v>
      </c>
      <c r="B1517" s="80" t="s">
        <v>8879</v>
      </c>
      <c r="C1517" s="80" t="s">
        <v>9331</v>
      </c>
      <c r="D1517" s="87">
        <v>0.61799999999999999</v>
      </c>
    </row>
    <row r="1518" spans="1:4" ht="18" x14ac:dyDescent="0.25">
      <c r="A1518" s="80">
        <v>1517</v>
      </c>
      <c r="B1518" s="80" t="s">
        <v>8880</v>
      </c>
      <c r="C1518" s="80" t="s">
        <v>9331</v>
      </c>
      <c r="D1518" s="87">
        <v>0.71799999999999997</v>
      </c>
    </row>
    <row r="1519" spans="1:4" ht="18" x14ac:dyDescent="0.25">
      <c r="A1519" s="80">
        <v>1518</v>
      </c>
      <c r="B1519" s="80" t="s">
        <v>8881</v>
      </c>
      <c r="C1519" s="80" t="s">
        <v>9331</v>
      </c>
      <c r="D1519" s="87">
        <v>0.91800000000000004</v>
      </c>
    </row>
    <row r="1520" spans="1:4" ht="18" x14ac:dyDescent="0.25">
      <c r="A1520" s="80">
        <v>1519</v>
      </c>
      <c r="B1520" s="80" t="s">
        <v>8882</v>
      </c>
      <c r="C1520" s="80" t="s">
        <v>9331</v>
      </c>
      <c r="D1520" s="87">
        <v>1.018</v>
      </c>
    </row>
    <row r="1521" spans="1:4" ht="18" x14ac:dyDescent="0.25">
      <c r="A1521" s="80">
        <v>1520</v>
      </c>
      <c r="B1521" s="80" t="s">
        <v>8883</v>
      </c>
      <c r="C1521" s="80" t="s">
        <v>9331</v>
      </c>
      <c r="D1521" s="87">
        <v>1.1180000000000001</v>
      </c>
    </row>
    <row r="1522" spans="1:4" ht="18" x14ac:dyDescent="0.25">
      <c r="A1522" s="80">
        <v>1521</v>
      </c>
      <c r="B1522" s="80" t="s">
        <v>8884</v>
      </c>
      <c r="C1522" s="80" t="s">
        <v>9331</v>
      </c>
      <c r="D1522" s="87">
        <v>0.44</v>
      </c>
    </row>
    <row r="1523" spans="1:4" ht="18" x14ac:dyDescent="0.25">
      <c r="A1523" s="80">
        <v>1522</v>
      </c>
      <c r="B1523" s="80" t="s">
        <v>8885</v>
      </c>
      <c r="C1523" s="80" t="s">
        <v>9331</v>
      </c>
      <c r="D1523" s="87">
        <v>0.54500000000000004</v>
      </c>
    </row>
    <row r="1524" spans="1:4" ht="18" x14ac:dyDescent="0.25">
      <c r="A1524" s="80">
        <v>1523</v>
      </c>
      <c r="B1524" s="80" t="s">
        <v>8886</v>
      </c>
      <c r="C1524" s="80" t="s">
        <v>9331</v>
      </c>
      <c r="D1524" s="87">
        <v>0.65100000000000002</v>
      </c>
    </row>
    <row r="1525" spans="1:4" ht="18" x14ac:dyDescent="0.25">
      <c r="A1525" s="80">
        <v>1524</v>
      </c>
      <c r="B1525" s="80" t="s">
        <v>8887</v>
      </c>
      <c r="C1525" s="80" t="s">
        <v>9331</v>
      </c>
      <c r="D1525" s="87">
        <v>0.75600000000000001</v>
      </c>
    </row>
    <row r="1526" spans="1:4" ht="18" x14ac:dyDescent="0.25">
      <c r="A1526" s="80">
        <v>1525</v>
      </c>
      <c r="B1526" s="80" t="s">
        <v>8888</v>
      </c>
      <c r="C1526" s="80" t="s">
        <v>9331</v>
      </c>
      <c r="D1526" s="87">
        <v>0.96699999999999997</v>
      </c>
    </row>
    <row r="1527" spans="1:4" ht="18" x14ac:dyDescent="0.25">
      <c r="A1527" s="80">
        <v>1526</v>
      </c>
      <c r="B1527" s="80" t="s">
        <v>8889</v>
      </c>
      <c r="C1527" s="80" t="s">
        <v>9331</v>
      </c>
      <c r="D1527" s="87">
        <v>1.073</v>
      </c>
    </row>
    <row r="1528" spans="1:4" ht="18" x14ac:dyDescent="0.25">
      <c r="A1528" s="80">
        <v>1527</v>
      </c>
      <c r="B1528" s="80" t="s">
        <v>8890</v>
      </c>
      <c r="C1528" s="80" t="s">
        <v>9331</v>
      </c>
      <c r="D1528" s="87">
        <v>15</v>
      </c>
    </row>
    <row r="1529" spans="1:4" ht="18" x14ac:dyDescent="0.25">
      <c r="A1529" s="80">
        <v>1528</v>
      </c>
      <c r="B1529" s="80" t="s">
        <v>8891</v>
      </c>
      <c r="C1529" s="80" t="s">
        <v>9331</v>
      </c>
      <c r="D1529" s="87">
        <v>0.249</v>
      </c>
    </row>
    <row r="1530" spans="1:4" ht="18" x14ac:dyDescent="0.25">
      <c r="A1530" s="80">
        <v>1529</v>
      </c>
      <c r="B1530" s="80" t="s">
        <v>8892</v>
      </c>
      <c r="C1530" s="80" t="s">
        <v>9331</v>
      </c>
      <c r="D1530" s="87">
        <v>0.308</v>
      </c>
    </row>
    <row r="1531" spans="1:4" ht="18" x14ac:dyDescent="0.25">
      <c r="A1531" s="80">
        <v>1530</v>
      </c>
      <c r="B1531" s="80" t="s">
        <v>8893</v>
      </c>
      <c r="C1531" s="80" t="s">
        <v>9331</v>
      </c>
      <c r="D1531" s="87">
        <v>0.36799999999999999</v>
      </c>
    </row>
    <row r="1532" spans="1:4" ht="18" x14ac:dyDescent="0.25">
      <c r="A1532" s="80">
        <v>1531</v>
      </c>
      <c r="B1532" s="80" t="s">
        <v>8894</v>
      </c>
      <c r="C1532" s="80" t="s">
        <v>9331</v>
      </c>
      <c r="D1532" s="87">
        <v>0.42799999999999999</v>
      </c>
    </row>
    <row r="1533" spans="1:4" ht="18" x14ac:dyDescent="0.25">
      <c r="A1533" s="80">
        <v>1532</v>
      </c>
      <c r="B1533" s="80" t="s">
        <v>8895</v>
      </c>
      <c r="C1533" s="80" t="s">
        <v>9331</v>
      </c>
      <c r="D1533" s="87">
        <v>0.54700000000000004</v>
      </c>
    </row>
    <row r="1534" spans="1:4" ht="18" x14ac:dyDescent="0.25">
      <c r="A1534" s="80">
        <v>1533</v>
      </c>
      <c r="B1534" s="80" t="s">
        <v>8896</v>
      </c>
      <c r="C1534" s="80" t="s">
        <v>9331</v>
      </c>
      <c r="D1534" s="87">
        <v>0.60599999999999998</v>
      </c>
    </row>
    <row r="1535" spans="1:4" ht="18" x14ac:dyDescent="0.25">
      <c r="A1535" s="80">
        <v>1534</v>
      </c>
      <c r="B1535" s="80" t="s">
        <v>8897</v>
      </c>
      <c r="C1535" s="80" t="s">
        <v>9331</v>
      </c>
      <c r="D1535" s="87">
        <v>0.66600000000000004</v>
      </c>
    </row>
    <row r="1536" spans="1:4" ht="18" x14ac:dyDescent="0.25">
      <c r="A1536" s="80">
        <v>1535</v>
      </c>
      <c r="B1536" s="80" t="s">
        <v>8898</v>
      </c>
      <c r="C1536" s="80" t="s">
        <v>9331</v>
      </c>
      <c r="D1536" s="87">
        <v>0.26</v>
      </c>
    </row>
    <row r="1537" spans="1:4" ht="18" x14ac:dyDescent="0.25">
      <c r="A1537" s="80">
        <v>1536</v>
      </c>
      <c r="B1537" s="80" t="s">
        <v>8899</v>
      </c>
      <c r="C1537" s="80" t="s">
        <v>9331</v>
      </c>
      <c r="D1537" s="87">
        <v>0.32200000000000001</v>
      </c>
    </row>
    <row r="1538" spans="1:4" ht="18" x14ac:dyDescent="0.25">
      <c r="A1538" s="80">
        <v>1537</v>
      </c>
      <c r="B1538" s="80" t="s">
        <v>8900</v>
      </c>
      <c r="C1538" s="80" t="s">
        <v>9331</v>
      </c>
      <c r="D1538" s="87">
        <v>0.38400000000000001</v>
      </c>
    </row>
    <row r="1539" spans="1:4" ht="18" x14ac:dyDescent="0.25">
      <c r="A1539" s="80">
        <v>1538</v>
      </c>
      <c r="B1539" s="80" t="s">
        <v>8901</v>
      </c>
      <c r="C1539" s="80" t="s">
        <v>9331</v>
      </c>
      <c r="D1539" s="87">
        <v>15</v>
      </c>
    </row>
    <row r="1540" spans="1:4" ht="18" x14ac:dyDescent="0.25">
      <c r="A1540" s="80">
        <v>1539</v>
      </c>
      <c r="B1540" s="80" t="s">
        <v>8902</v>
      </c>
      <c r="C1540" s="80" t="s">
        <v>9331</v>
      </c>
      <c r="D1540" s="87">
        <v>0.57099999999999995</v>
      </c>
    </row>
    <row r="1541" spans="1:4" ht="18" x14ac:dyDescent="0.25">
      <c r="A1541" s="80">
        <v>1540</v>
      </c>
      <c r="B1541" s="80" t="s">
        <v>8903</v>
      </c>
      <c r="C1541" s="80" t="s">
        <v>9331</v>
      </c>
      <c r="D1541" s="87">
        <v>0.63400000000000001</v>
      </c>
    </row>
    <row r="1542" spans="1:4" ht="18" x14ac:dyDescent="0.25">
      <c r="A1542" s="80">
        <v>1541</v>
      </c>
      <c r="B1542" s="80" t="s">
        <v>8904</v>
      </c>
      <c r="C1542" s="80" t="s">
        <v>9331</v>
      </c>
      <c r="D1542" s="87">
        <v>0.69599999999999995</v>
      </c>
    </row>
    <row r="1543" spans="1:4" ht="18" x14ac:dyDescent="0.25">
      <c r="A1543" s="80">
        <v>1542</v>
      </c>
      <c r="B1543" s="80" t="s">
        <v>8905</v>
      </c>
      <c r="C1543" s="80" t="s">
        <v>9331</v>
      </c>
      <c r="D1543" s="87">
        <v>17</v>
      </c>
    </row>
    <row r="1544" spans="1:4" ht="18" x14ac:dyDescent="0.25">
      <c r="A1544" s="80">
        <v>1543</v>
      </c>
      <c r="B1544" s="80" t="s">
        <v>8906</v>
      </c>
      <c r="C1544" s="80" t="s">
        <v>9331</v>
      </c>
      <c r="D1544" s="87">
        <v>0.33600000000000002</v>
      </c>
    </row>
    <row r="1545" spans="1:4" ht="18" x14ac:dyDescent="0.25">
      <c r="A1545" s="80">
        <v>1544</v>
      </c>
      <c r="B1545" s="80" t="s">
        <v>8907</v>
      </c>
      <c r="C1545" s="80" t="s">
        <v>9331</v>
      </c>
      <c r="D1545" s="87">
        <v>0.40100000000000002</v>
      </c>
    </row>
    <row r="1546" spans="1:4" ht="18" x14ac:dyDescent="0.25">
      <c r="A1546" s="80">
        <v>1545</v>
      </c>
      <c r="B1546" s="80" t="s">
        <v>8908</v>
      </c>
      <c r="C1546" s="80" t="s">
        <v>9331</v>
      </c>
      <c r="D1546" s="87">
        <v>0.46600000000000003</v>
      </c>
    </row>
    <row r="1547" spans="1:4" ht="18" x14ac:dyDescent="0.25">
      <c r="A1547" s="80">
        <v>1546</v>
      </c>
      <c r="B1547" s="80" t="s">
        <v>8909</v>
      </c>
      <c r="C1547" s="80" t="s">
        <v>9331</v>
      </c>
      <c r="D1547" s="87">
        <v>0.59599999999999997</v>
      </c>
    </row>
    <row r="1548" spans="1:4" ht="18" x14ac:dyDescent="0.25">
      <c r="A1548" s="80">
        <v>1547</v>
      </c>
      <c r="B1548" s="80" t="s">
        <v>8910</v>
      </c>
      <c r="C1548" s="80" t="s">
        <v>9331</v>
      </c>
      <c r="D1548" s="87">
        <v>0.66100000000000003</v>
      </c>
    </row>
    <row r="1549" spans="1:4" ht="18" x14ac:dyDescent="0.25">
      <c r="A1549" s="80">
        <v>1548</v>
      </c>
      <c r="B1549" s="80" t="s">
        <v>8911</v>
      </c>
      <c r="C1549" s="80" t="s">
        <v>9331</v>
      </c>
      <c r="D1549" s="87">
        <v>0.72599999999999998</v>
      </c>
    </row>
    <row r="1550" spans="1:4" ht="18" x14ac:dyDescent="0.25">
      <c r="A1550" s="80">
        <v>1549</v>
      </c>
      <c r="B1550" s="80" t="s">
        <v>8912</v>
      </c>
      <c r="C1550" s="80" t="s">
        <v>9331</v>
      </c>
      <c r="D1550" s="87">
        <v>0.27800000000000002</v>
      </c>
    </row>
    <row r="1551" spans="1:4" ht="18" x14ac:dyDescent="0.25">
      <c r="A1551" s="80">
        <v>1550</v>
      </c>
      <c r="B1551" s="80" t="s">
        <v>8913</v>
      </c>
      <c r="C1551" s="80" t="s">
        <v>9331</v>
      </c>
      <c r="D1551" s="87">
        <v>0.34499999999999997</v>
      </c>
    </row>
    <row r="1552" spans="1:4" ht="18" x14ac:dyDescent="0.25">
      <c r="A1552" s="80">
        <v>1551</v>
      </c>
      <c r="B1552" s="80" t="s">
        <v>8914</v>
      </c>
      <c r="C1552" s="80" t="s">
        <v>9331</v>
      </c>
      <c r="D1552" s="87">
        <v>0.41199999999999998</v>
      </c>
    </row>
    <row r="1553" spans="1:4" ht="18" x14ac:dyDescent="0.25">
      <c r="A1553" s="80">
        <v>1552</v>
      </c>
      <c r="B1553" s="80" t="s">
        <v>8915</v>
      </c>
      <c r="C1553" s="80" t="s">
        <v>9331</v>
      </c>
      <c r="D1553" s="87">
        <v>0.47899999999999998</v>
      </c>
    </row>
    <row r="1554" spans="1:4" ht="18" x14ac:dyDescent="0.25">
      <c r="A1554" s="80">
        <v>1553</v>
      </c>
      <c r="B1554" s="80" t="s">
        <v>8916</v>
      </c>
      <c r="C1554" s="80" t="s">
        <v>9331</v>
      </c>
      <c r="D1554" s="87">
        <v>0.61199999999999999</v>
      </c>
    </row>
    <row r="1555" spans="1:4" ht="18" x14ac:dyDescent="0.25">
      <c r="A1555" s="80">
        <v>1554</v>
      </c>
      <c r="B1555" s="80" t="s">
        <v>8917</v>
      </c>
      <c r="C1555" s="80" t="s">
        <v>9331</v>
      </c>
      <c r="D1555" s="87">
        <v>0.67900000000000005</v>
      </c>
    </row>
    <row r="1556" spans="1:4" ht="18" x14ac:dyDescent="0.25">
      <c r="A1556" s="80">
        <v>1555</v>
      </c>
      <c r="B1556" s="80" t="s">
        <v>8918</v>
      </c>
      <c r="C1556" s="80" t="s">
        <v>9331</v>
      </c>
      <c r="D1556" s="87">
        <v>0.746</v>
      </c>
    </row>
    <row r="1557" spans="1:4" ht="18" x14ac:dyDescent="0.25">
      <c r="A1557" s="80">
        <v>1556</v>
      </c>
      <c r="B1557" s="80" t="s">
        <v>8919</v>
      </c>
      <c r="C1557" s="80" t="s">
        <v>9331</v>
      </c>
      <c r="D1557" s="87">
        <v>0.29299999999999998</v>
      </c>
    </row>
    <row r="1558" spans="1:4" ht="18" x14ac:dyDescent="0.25">
      <c r="A1558" s="80">
        <v>1557</v>
      </c>
      <c r="B1558" s="80" t="s">
        <v>8920</v>
      </c>
      <c r="C1558" s="80" t="s">
        <v>9331</v>
      </c>
      <c r="D1558" s="87">
        <v>0.36299999999999999</v>
      </c>
    </row>
    <row r="1559" spans="1:4" ht="18" x14ac:dyDescent="0.25">
      <c r="A1559" s="80">
        <v>1558</v>
      </c>
      <c r="B1559" s="80" t="s">
        <v>8921</v>
      </c>
      <c r="C1559" s="80" t="s">
        <v>9331</v>
      </c>
      <c r="D1559" s="87">
        <v>0.434</v>
      </c>
    </row>
    <row r="1560" spans="1:4" ht="18" x14ac:dyDescent="0.25">
      <c r="A1560" s="80">
        <v>1559</v>
      </c>
      <c r="B1560" s="80" t="s">
        <v>8922</v>
      </c>
      <c r="C1560" s="80" t="s">
        <v>9331</v>
      </c>
      <c r="D1560" s="87">
        <v>0.504</v>
      </c>
    </row>
    <row r="1561" spans="1:4" ht="18" x14ac:dyDescent="0.25">
      <c r="A1561" s="80">
        <v>1560</v>
      </c>
      <c r="B1561" s="80" t="s">
        <v>8923</v>
      </c>
      <c r="C1561" s="80" t="s">
        <v>9331</v>
      </c>
      <c r="D1561" s="87">
        <v>0.64500000000000002</v>
      </c>
    </row>
    <row r="1562" spans="1:4" ht="18" x14ac:dyDescent="0.25">
      <c r="A1562" s="80">
        <v>1561</v>
      </c>
      <c r="B1562" s="80" t="s">
        <v>8924</v>
      </c>
      <c r="C1562" s="80" t="s">
        <v>9331</v>
      </c>
      <c r="D1562" s="87">
        <v>0.71499999999999997</v>
      </c>
    </row>
    <row r="1563" spans="1:4" ht="18" x14ac:dyDescent="0.25">
      <c r="A1563" s="80">
        <v>1562</v>
      </c>
      <c r="B1563" s="80" t="s">
        <v>8925</v>
      </c>
      <c r="C1563" s="80" t="s">
        <v>9331</v>
      </c>
      <c r="D1563" s="87">
        <v>0.78500000000000003</v>
      </c>
    </row>
    <row r="1564" spans="1:4" ht="18" x14ac:dyDescent="0.25">
      <c r="A1564" s="80">
        <v>1563</v>
      </c>
      <c r="B1564" s="80" t="s">
        <v>8926</v>
      </c>
      <c r="C1564" s="80" t="s">
        <v>9331</v>
      </c>
      <c r="D1564" s="87">
        <v>0.249</v>
      </c>
    </row>
    <row r="1565" spans="1:4" ht="18" x14ac:dyDescent="0.25">
      <c r="A1565" s="80">
        <v>1564</v>
      </c>
      <c r="B1565" s="80" t="s">
        <v>8927</v>
      </c>
      <c r="C1565" s="80" t="s">
        <v>9331</v>
      </c>
      <c r="D1565" s="87">
        <v>0.308</v>
      </c>
    </row>
    <row r="1566" spans="1:4" ht="18" x14ac:dyDescent="0.25">
      <c r="A1566" s="80">
        <v>1565</v>
      </c>
      <c r="B1566" s="80" t="s">
        <v>8928</v>
      </c>
      <c r="C1566" s="80" t="s">
        <v>9331</v>
      </c>
      <c r="D1566" s="87">
        <v>0.36799999999999999</v>
      </c>
    </row>
    <row r="1567" spans="1:4" ht="18" x14ac:dyDescent="0.25">
      <c r="A1567" s="80">
        <v>1566</v>
      </c>
      <c r="B1567" s="80" t="s">
        <v>8929</v>
      </c>
      <c r="C1567" s="80" t="s">
        <v>9331</v>
      </c>
      <c r="D1567" s="87">
        <v>0.42799999999999999</v>
      </c>
    </row>
    <row r="1568" spans="1:4" ht="18" x14ac:dyDescent="0.25">
      <c r="A1568" s="80">
        <v>1567</v>
      </c>
      <c r="B1568" s="80" t="s">
        <v>8930</v>
      </c>
      <c r="C1568" s="80" t="s">
        <v>9331</v>
      </c>
      <c r="D1568" s="87">
        <v>0.54700000000000004</v>
      </c>
    </row>
    <row r="1569" spans="1:4" ht="18" x14ac:dyDescent="0.25">
      <c r="A1569" s="80">
        <v>1568</v>
      </c>
      <c r="B1569" s="80" t="s">
        <v>8931</v>
      </c>
      <c r="C1569" s="80" t="s">
        <v>9331</v>
      </c>
      <c r="D1569" s="87">
        <v>0.60599999999999998</v>
      </c>
    </row>
    <row r="1570" spans="1:4" ht="18" x14ac:dyDescent="0.25">
      <c r="A1570" s="80">
        <v>1569</v>
      </c>
      <c r="B1570" s="80" t="s">
        <v>8932</v>
      </c>
      <c r="C1570" s="80" t="s">
        <v>9331</v>
      </c>
      <c r="D1570" s="87">
        <v>0.66600000000000004</v>
      </c>
    </row>
    <row r="1571" spans="1:4" ht="18" x14ac:dyDescent="0.25">
      <c r="A1571" s="80">
        <v>1570</v>
      </c>
      <c r="B1571" s="80" t="s">
        <v>8933</v>
      </c>
      <c r="C1571" s="80" t="s">
        <v>9331</v>
      </c>
      <c r="D1571" s="87">
        <v>0.26</v>
      </c>
    </row>
    <row r="1572" spans="1:4" ht="18" x14ac:dyDescent="0.25">
      <c r="A1572" s="80">
        <v>1571</v>
      </c>
      <c r="B1572" s="80" t="s">
        <v>8934</v>
      </c>
      <c r="C1572" s="80" t="s">
        <v>9331</v>
      </c>
      <c r="D1572" s="87">
        <v>0.32200000000000001</v>
      </c>
    </row>
    <row r="1573" spans="1:4" ht="18" x14ac:dyDescent="0.25">
      <c r="A1573" s="80">
        <v>1572</v>
      </c>
      <c r="B1573" s="80" t="s">
        <v>8935</v>
      </c>
      <c r="C1573" s="80" t="s">
        <v>9331</v>
      </c>
      <c r="D1573" s="87">
        <v>0.38400000000000001</v>
      </c>
    </row>
    <row r="1574" spans="1:4" ht="18" x14ac:dyDescent="0.25">
      <c r="A1574" s="80">
        <v>1573</v>
      </c>
      <c r="B1574" s="80" t="s">
        <v>10840</v>
      </c>
      <c r="C1574" s="80" t="s">
        <v>9331</v>
      </c>
      <c r="D1574" s="87">
        <v>0.69099999999999995</v>
      </c>
    </row>
    <row r="1575" spans="1:4" ht="18" x14ac:dyDescent="0.25">
      <c r="A1575" s="80">
        <v>1574</v>
      </c>
      <c r="B1575" s="80" t="s">
        <v>10841</v>
      </c>
      <c r="C1575" s="80" t="s">
        <v>9331</v>
      </c>
      <c r="D1575" s="87">
        <v>0.32400000000000001</v>
      </c>
    </row>
    <row r="1576" spans="1:4" ht="18" x14ac:dyDescent="0.25">
      <c r="A1576" s="80">
        <v>1575</v>
      </c>
      <c r="B1576" s="80" t="s">
        <v>10842</v>
      </c>
      <c r="C1576" s="80" t="s">
        <v>9331</v>
      </c>
      <c r="D1576" s="87">
        <v>0.98699999999999999</v>
      </c>
    </row>
    <row r="1577" spans="1:4" ht="18" x14ac:dyDescent="0.25">
      <c r="A1577" s="80">
        <v>1576</v>
      </c>
      <c r="B1577" s="80" t="s">
        <v>10843</v>
      </c>
      <c r="C1577" s="80" t="s">
        <v>9331</v>
      </c>
      <c r="D1577" s="87">
        <v>0.46300000000000002</v>
      </c>
    </row>
    <row r="1578" spans="1:4" ht="18" x14ac:dyDescent="0.25">
      <c r="A1578" s="80">
        <v>1577</v>
      </c>
      <c r="B1578" s="80" t="s">
        <v>8937</v>
      </c>
      <c r="C1578" s="80" t="s">
        <v>9331</v>
      </c>
      <c r="D1578" s="87">
        <v>1.3939999999999999</v>
      </c>
    </row>
    <row r="1579" spans="1:4" ht="18" x14ac:dyDescent="0.25">
      <c r="A1579" s="80">
        <v>1578</v>
      </c>
      <c r="B1579" s="80" t="s">
        <v>8938</v>
      </c>
      <c r="C1579" s="80" t="s">
        <v>9331</v>
      </c>
      <c r="D1579" s="87">
        <v>1.5329999999999999</v>
      </c>
    </row>
    <row r="1580" spans="1:4" ht="18" x14ac:dyDescent="0.25">
      <c r="A1580" s="80">
        <v>1579</v>
      </c>
      <c r="B1580" s="80" t="s">
        <v>8939</v>
      </c>
      <c r="C1580" s="80" t="s">
        <v>9331</v>
      </c>
      <c r="D1580" s="87">
        <v>1.6719999999999999</v>
      </c>
    </row>
    <row r="1581" spans="1:4" ht="18" x14ac:dyDescent="0.25">
      <c r="A1581" s="80">
        <v>1580</v>
      </c>
      <c r="B1581" s="80" t="s">
        <v>8940</v>
      </c>
      <c r="C1581" s="80" t="s">
        <v>9331</v>
      </c>
      <c r="D1581" s="87">
        <v>1.8120000000000001</v>
      </c>
    </row>
    <row r="1582" spans="1:4" ht="18" x14ac:dyDescent="0.25">
      <c r="A1582" s="80">
        <v>1581</v>
      </c>
      <c r="B1582" s="80" t="s">
        <v>8941</v>
      </c>
      <c r="C1582" s="80" t="s">
        <v>9331</v>
      </c>
      <c r="D1582" s="87">
        <v>1.9510000000000001</v>
      </c>
    </row>
    <row r="1583" spans="1:4" ht="18" x14ac:dyDescent="0.25">
      <c r="A1583" s="80">
        <v>1582</v>
      </c>
      <c r="B1583" s="80" t="s">
        <v>8942</v>
      </c>
      <c r="C1583" s="80" t="s">
        <v>9331</v>
      </c>
      <c r="D1583" s="87">
        <v>2.09</v>
      </c>
    </row>
    <row r="1584" spans="1:4" ht="18" x14ac:dyDescent="0.25">
      <c r="A1584" s="80">
        <v>1583</v>
      </c>
      <c r="B1584" s="80" t="s">
        <v>8943</v>
      </c>
      <c r="C1584" s="80" t="s">
        <v>9331</v>
      </c>
      <c r="D1584" s="87">
        <v>2.23</v>
      </c>
    </row>
    <row r="1585" spans="1:4" ht="18" x14ac:dyDescent="0.25">
      <c r="A1585" s="80">
        <v>1584</v>
      </c>
      <c r="B1585" s="80" t="s">
        <v>8944</v>
      </c>
      <c r="C1585" s="80" t="s">
        <v>9331</v>
      </c>
      <c r="D1585" s="87">
        <v>2.3690000000000002</v>
      </c>
    </row>
    <row r="1586" spans="1:4" ht="18" x14ac:dyDescent="0.25">
      <c r="A1586" s="80">
        <v>1585</v>
      </c>
      <c r="B1586" s="80" t="s">
        <v>8945</v>
      </c>
      <c r="C1586" s="80" t="s">
        <v>9331</v>
      </c>
      <c r="D1586" s="87">
        <v>2.508</v>
      </c>
    </row>
    <row r="1587" spans="1:4" ht="18" x14ac:dyDescent="0.25">
      <c r="A1587" s="80">
        <v>1586</v>
      </c>
      <c r="B1587" s="80" t="s">
        <v>8946</v>
      </c>
      <c r="C1587" s="80" t="s">
        <v>9331</v>
      </c>
      <c r="D1587" s="87">
        <v>2.6480000000000001</v>
      </c>
    </row>
    <row r="1588" spans="1:4" ht="18" x14ac:dyDescent="0.25">
      <c r="A1588" s="80">
        <v>1587</v>
      </c>
      <c r="B1588" s="80" t="s">
        <v>8947</v>
      </c>
      <c r="C1588" s="80" t="s">
        <v>9331</v>
      </c>
      <c r="D1588" s="87">
        <v>2.7869999999999999</v>
      </c>
    </row>
    <row r="1589" spans="1:4" ht="18" x14ac:dyDescent="0.25">
      <c r="A1589" s="80">
        <v>1588</v>
      </c>
      <c r="B1589" s="80" t="s">
        <v>8948</v>
      </c>
      <c r="C1589" s="80" t="s">
        <v>9331</v>
      </c>
      <c r="D1589" s="87">
        <v>2.9260000000000002</v>
      </c>
    </row>
    <row r="1590" spans="1:4" ht="18" x14ac:dyDescent="0.25">
      <c r="A1590" s="80">
        <v>1589</v>
      </c>
      <c r="B1590" s="80" t="s">
        <v>8949</v>
      </c>
      <c r="C1590" s="80" t="s">
        <v>9331</v>
      </c>
      <c r="D1590" s="87">
        <v>3.0659999999999998</v>
      </c>
    </row>
    <row r="1591" spans="1:4" ht="18" x14ac:dyDescent="0.25">
      <c r="A1591" s="80">
        <v>1590</v>
      </c>
      <c r="B1591" s="80" t="s">
        <v>8950</v>
      </c>
      <c r="C1591" s="80" t="s">
        <v>9331</v>
      </c>
      <c r="D1591" s="87">
        <v>3.2050000000000001</v>
      </c>
    </row>
    <row r="1592" spans="1:4" ht="18" x14ac:dyDescent="0.25">
      <c r="A1592" s="80">
        <v>1591</v>
      </c>
      <c r="B1592" s="80" t="s">
        <v>8951</v>
      </c>
      <c r="C1592" s="80" t="s">
        <v>9331</v>
      </c>
      <c r="D1592" s="87">
        <v>3.3450000000000002</v>
      </c>
    </row>
    <row r="1593" spans="1:4" ht="18" x14ac:dyDescent="0.25">
      <c r="A1593" s="80">
        <v>1592</v>
      </c>
      <c r="B1593" s="80" t="s">
        <v>8952</v>
      </c>
      <c r="C1593" s="80" t="s">
        <v>9331</v>
      </c>
      <c r="D1593" s="87">
        <v>1.452</v>
      </c>
    </row>
    <row r="1594" spans="1:4" ht="18" x14ac:dyDescent="0.25">
      <c r="A1594" s="80">
        <v>1593</v>
      </c>
      <c r="B1594" s="80" t="s">
        <v>8953</v>
      </c>
      <c r="C1594" s="80" t="s">
        <v>9331</v>
      </c>
      <c r="D1594" s="87">
        <v>1.597</v>
      </c>
    </row>
    <row r="1595" spans="1:4" ht="18" x14ac:dyDescent="0.25">
      <c r="A1595" s="80">
        <v>1594</v>
      </c>
      <c r="B1595" s="80" t="s">
        <v>8954</v>
      </c>
      <c r="C1595" s="80" t="s">
        <v>9331</v>
      </c>
      <c r="D1595" s="87">
        <v>1.742</v>
      </c>
    </row>
    <row r="1596" spans="1:4" ht="18" x14ac:dyDescent="0.25">
      <c r="A1596" s="80">
        <v>1595</v>
      </c>
      <c r="B1596" s="80" t="s">
        <v>8955</v>
      </c>
      <c r="C1596" s="80" t="s">
        <v>9331</v>
      </c>
      <c r="D1596" s="87">
        <v>1.887</v>
      </c>
    </row>
    <row r="1597" spans="1:4" ht="18" x14ac:dyDescent="0.25">
      <c r="A1597" s="80">
        <v>1596</v>
      </c>
      <c r="B1597" s="80" t="s">
        <v>8956</v>
      </c>
      <c r="C1597" s="80" t="s">
        <v>9331</v>
      </c>
      <c r="D1597" s="87">
        <v>2.032</v>
      </c>
    </row>
    <row r="1598" spans="1:4" ht="18" x14ac:dyDescent="0.25">
      <c r="A1598" s="80">
        <v>1597</v>
      </c>
      <c r="B1598" s="80" t="s">
        <v>8957</v>
      </c>
      <c r="C1598" s="80" t="s">
        <v>9331</v>
      </c>
      <c r="D1598" s="87">
        <v>2.177</v>
      </c>
    </row>
    <row r="1599" spans="1:4" ht="18" x14ac:dyDescent="0.25">
      <c r="A1599" s="80">
        <v>1598</v>
      </c>
      <c r="B1599" s="80" t="s">
        <v>8958</v>
      </c>
      <c r="C1599" s="80" t="s">
        <v>9331</v>
      </c>
      <c r="D1599" s="87">
        <v>2.323</v>
      </c>
    </row>
    <row r="1600" spans="1:4" ht="18" x14ac:dyDescent="0.25">
      <c r="A1600" s="80">
        <v>1599</v>
      </c>
      <c r="B1600" s="80" t="s">
        <v>8959</v>
      </c>
      <c r="C1600" s="80" t="s">
        <v>9331</v>
      </c>
      <c r="D1600" s="87">
        <v>2.468</v>
      </c>
    </row>
    <row r="1601" spans="1:4" ht="18" x14ac:dyDescent="0.25">
      <c r="A1601" s="80">
        <v>1600</v>
      </c>
      <c r="B1601" s="80" t="s">
        <v>8960</v>
      </c>
      <c r="C1601" s="80" t="s">
        <v>9331</v>
      </c>
      <c r="D1601" s="87">
        <v>2.613</v>
      </c>
    </row>
    <row r="1602" spans="1:4" ht="18" x14ac:dyDescent="0.25">
      <c r="A1602" s="80">
        <v>1601</v>
      </c>
      <c r="B1602" s="80" t="s">
        <v>8961</v>
      </c>
      <c r="C1602" s="80" t="s">
        <v>9331</v>
      </c>
      <c r="D1602" s="87">
        <v>2.758</v>
      </c>
    </row>
    <row r="1603" spans="1:4" ht="18" x14ac:dyDescent="0.25">
      <c r="A1603" s="80">
        <v>1602</v>
      </c>
      <c r="B1603" s="80" t="s">
        <v>8962</v>
      </c>
      <c r="C1603" s="80" t="s">
        <v>9331</v>
      </c>
      <c r="D1603" s="87">
        <v>2.903</v>
      </c>
    </row>
    <row r="1604" spans="1:4" ht="18" x14ac:dyDescent="0.25">
      <c r="A1604" s="80">
        <v>1603</v>
      </c>
      <c r="B1604" s="80" t="s">
        <v>8963</v>
      </c>
      <c r="C1604" s="80" t="s">
        <v>9331</v>
      </c>
      <c r="D1604" s="87">
        <v>3.048</v>
      </c>
    </row>
    <row r="1605" spans="1:4" ht="18" x14ac:dyDescent="0.25">
      <c r="A1605" s="80">
        <v>1604</v>
      </c>
      <c r="B1605" s="80" t="s">
        <v>8964</v>
      </c>
      <c r="C1605" s="80" t="s">
        <v>9331</v>
      </c>
      <c r="D1605" s="87">
        <v>3.194</v>
      </c>
    </row>
    <row r="1606" spans="1:4" ht="18" x14ac:dyDescent="0.25">
      <c r="A1606" s="80">
        <v>1605</v>
      </c>
      <c r="B1606" s="80" t="s">
        <v>8965</v>
      </c>
      <c r="C1606" s="80" t="s">
        <v>9331</v>
      </c>
      <c r="D1606" s="87">
        <v>3.339</v>
      </c>
    </row>
    <row r="1607" spans="1:4" ht="18" x14ac:dyDescent="0.25">
      <c r="A1607" s="80">
        <v>1606</v>
      </c>
      <c r="B1607" s="80" t="s">
        <v>8966</v>
      </c>
      <c r="C1607" s="80" t="s">
        <v>9331</v>
      </c>
      <c r="D1607" s="87">
        <v>3.484</v>
      </c>
    </row>
    <row r="1608" spans="1:4" ht="18" x14ac:dyDescent="0.25">
      <c r="A1608" s="80">
        <v>1607</v>
      </c>
      <c r="B1608" s="80" t="s">
        <v>8967</v>
      </c>
      <c r="C1608" s="80" t="s">
        <v>9331</v>
      </c>
      <c r="D1608" s="87">
        <v>1.51</v>
      </c>
    </row>
    <row r="1609" spans="1:4" ht="18" x14ac:dyDescent="0.25">
      <c r="A1609" s="80">
        <v>1608</v>
      </c>
      <c r="B1609" s="80" t="s">
        <v>8968</v>
      </c>
      <c r="C1609" s="80" t="s">
        <v>9331</v>
      </c>
      <c r="D1609" s="87">
        <v>1.661</v>
      </c>
    </row>
    <row r="1610" spans="1:4" ht="18" x14ac:dyDescent="0.25">
      <c r="A1610" s="80">
        <v>1609</v>
      </c>
      <c r="B1610" s="80" t="s">
        <v>8969</v>
      </c>
      <c r="C1610" s="80" t="s">
        <v>9331</v>
      </c>
      <c r="D1610" s="87">
        <v>1.8120000000000001</v>
      </c>
    </row>
    <row r="1611" spans="1:4" ht="18" x14ac:dyDescent="0.25">
      <c r="A1611" s="80">
        <v>1610</v>
      </c>
      <c r="B1611" s="80" t="s">
        <v>8970</v>
      </c>
      <c r="C1611" s="80" t="s">
        <v>9331</v>
      </c>
      <c r="D1611" s="87">
        <v>1.9630000000000001</v>
      </c>
    </row>
    <row r="1612" spans="1:4" ht="18" x14ac:dyDescent="0.25">
      <c r="A1612" s="80">
        <v>1611</v>
      </c>
      <c r="B1612" s="80" t="s">
        <v>8971</v>
      </c>
      <c r="C1612" s="80" t="s">
        <v>9331</v>
      </c>
      <c r="D1612" s="87">
        <v>2.1139999999999999</v>
      </c>
    </row>
    <row r="1613" spans="1:4" ht="18" x14ac:dyDescent="0.25">
      <c r="A1613" s="80">
        <v>1612</v>
      </c>
      <c r="B1613" s="80" t="s">
        <v>8972</v>
      </c>
      <c r="C1613" s="80" t="s">
        <v>9331</v>
      </c>
      <c r="D1613" s="87">
        <v>2.2650000000000001</v>
      </c>
    </row>
    <row r="1614" spans="1:4" ht="18" x14ac:dyDescent="0.25">
      <c r="A1614" s="80">
        <v>1613</v>
      </c>
      <c r="B1614" s="80" t="s">
        <v>8973</v>
      </c>
      <c r="C1614" s="80" t="s">
        <v>9331</v>
      </c>
      <c r="D1614" s="87">
        <v>2.415</v>
      </c>
    </row>
    <row r="1615" spans="1:4" ht="18" x14ac:dyDescent="0.25">
      <c r="A1615" s="80">
        <v>1614</v>
      </c>
      <c r="B1615" s="80" t="s">
        <v>8974</v>
      </c>
      <c r="C1615" s="80" t="s">
        <v>9331</v>
      </c>
      <c r="D1615" s="87">
        <v>2.5659999999999998</v>
      </c>
    </row>
    <row r="1616" spans="1:4" ht="18" x14ac:dyDescent="0.25">
      <c r="A1616" s="80">
        <v>1615</v>
      </c>
      <c r="B1616" s="80" t="s">
        <v>8975</v>
      </c>
      <c r="C1616" s="80" t="s">
        <v>9331</v>
      </c>
      <c r="D1616" s="87">
        <v>2.7170000000000001</v>
      </c>
    </row>
    <row r="1617" spans="1:4" ht="18" x14ac:dyDescent="0.25">
      <c r="A1617" s="80">
        <v>1616</v>
      </c>
      <c r="B1617" s="80" t="s">
        <v>8976</v>
      </c>
      <c r="C1617" s="80" t="s">
        <v>9331</v>
      </c>
      <c r="D1617" s="87">
        <v>2.8679999999999999</v>
      </c>
    </row>
    <row r="1618" spans="1:4" ht="18" x14ac:dyDescent="0.25">
      <c r="A1618" s="80">
        <v>1617</v>
      </c>
      <c r="B1618" s="80" t="s">
        <v>8977</v>
      </c>
      <c r="C1618" s="80" t="s">
        <v>9331</v>
      </c>
      <c r="D1618" s="87">
        <v>3.0190000000000001</v>
      </c>
    </row>
    <row r="1619" spans="1:4" ht="18" x14ac:dyDescent="0.25">
      <c r="A1619" s="80">
        <v>1618</v>
      </c>
      <c r="B1619" s="80" t="s">
        <v>8978</v>
      </c>
      <c r="C1619" s="80" t="s">
        <v>9331</v>
      </c>
      <c r="D1619" s="87">
        <v>3.17</v>
      </c>
    </row>
    <row r="1620" spans="1:4" ht="18" x14ac:dyDescent="0.25">
      <c r="A1620" s="80">
        <v>1619</v>
      </c>
      <c r="B1620" s="80" t="s">
        <v>8979</v>
      </c>
      <c r="C1620" s="80" t="s">
        <v>9331</v>
      </c>
      <c r="D1620" s="87">
        <v>3.3210000000000002</v>
      </c>
    </row>
    <row r="1621" spans="1:4" ht="18" x14ac:dyDescent="0.25">
      <c r="A1621" s="80">
        <v>1620</v>
      </c>
      <c r="B1621" s="80" t="s">
        <v>8980</v>
      </c>
      <c r="C1621" s="80" t="s">
        <v>9331</v>
      </c>
      <c r="D1621" s="87">
        <v>3.472</v>
      </c>
    </row>
    <row r="1622" spans="1:4" ht="18" x14ac:dyDescent="0.25">
      <c r="A1622" s="80">
        <v>1621</v>
      </c>
      <c r="B1622" s="80" t="s">
        <v>8981</v>
      </c>
      <c r="C1622" s="80" t="s">
        <v>9331</v>
      </c>
      <c r="D1622" s="87">
        <v>3.6230000000000002</v>
      </c>
    </row>
    <row r="1623" spans="1:4" ht="18" x14ac:dyDescent="0.25">
      <c r="A1623" s="80">
        <v>1622</v>
      </c>
      <c r="B1623" s="80" t="s">
        <v>8982</v>
      </c>
      <c r="C1623" s="80" t="s">
        <v>9331</v>
      </c>
      <c r="D1623" s="87">
        <v>1.548</v>
      </c>
    </row>
    <row r="1624" spans="1:4" ht="18" x14ac:dyDescent="0.25">
      <c r="A1624" s="80">
        <v>1623</v>
      </c>
      <c r="B1624" s="80" t="s">
        <v>8983</v>
      </c>
      <c r="C1624" s="80" t="s">
        <v>9331</v>
      </c>
      <c r="D1624" s="87">
        <v>1.7030000000000001</v>
      </c>
    </row>
    <row r="1625" spans="1:4" ht="18" x14ac:dyDescent="0.25">
      <c r="A1625" s="80">
        <v>1624</v>
      </c>
      <c r="B1625" s="80" t="s">
        <v>8984</v>
      </c>
      <c r="C1625" s="80" t="s">
        <v>9331</v>
      </c>
      <c r="D1625" s="87">
        <v>1.8580000000000001</v>
      </c>
    </row>
    <row r="1626" spans="1:4" ht="18" x14ac:dyDescent="0.25">
      <c r="A1626" s="80">
        <v>1625</v>
      </c>
      <c r="B1626" s="80" t="s">
        <v>8985</v>
      </c>
      <c r="C1626" s="80" t="s">
        <v>9331</v>
      </c>
      <c r="D1626" s="87">
        <v>2.0129999999999999</v>
      </c>
    </row>
    <row r="1627" spans="1:4" ht="18" x14ac:dyDescent="0.25">
      <c r="A1627" s="80">
        <v>1626</v>
      </c>
      <c r="B1627" s="80" t="s">
        <v>8986</v>
      </c>
      <c r="C1627" s="80" t="s">
        <v>9331</v>
      </c>
      <c r="D1627" s="87">
        <v>2.1680000000000001</v>
      </c>
    </row>
    <row r="1628" spans="1:4" ht="18" x14ac:dyDescent="0.25">
      <c r="A1628" s="80">
        <v>1627</v>
      </c>
      <c r="B1628" s="80" t="s">
        <v>8987</v>
      </c>
      <c r="C1628" s="80" t="s">
        <v>9331</v>
      </c>
      <c r="D1628" s="87">
        <v>2.323</v>
      </c>
    </row>
    <row r="1629" spans="1:4" ht="18" x14ac:dyDescent="0.25">
      <c r="A1629" s="80">
        <v>1628</v>
      </c>
      <c r="B1629" s="80" t="s">
        <v>8988</v>
      </c>
      <c r="C1629" s="80" t="s">
        <v>9331</v>
      </c>
      <c r="D1629" s="87">
        <v>2.4769999999999999</v>
      </c>
    </row>
    <row r="1630" spans="1:4" ht="18" x14ac:dyDescent="0.25">
      <c r="A1630" s="80">
        <v>1629</v>
      </c>
      <c r="B1630" s="80" t="s">
        <v>8989</v>
      </c>
      <c r="C1630" s="80" t="s">
        <v>9331</v>
      </c>
      <c r="D1630" s="87">
        <v>2.6320000000000001</v>
      </c>
    </row>
    <row r="1631" spans="1:4" ht="18" x14ac:dyDescent="0.25">
      <c r="A1631" s="80">
        <v>1630</v>
      </c>
      <c r="B1631" s="80" t="s">
        <v>8990</v>
      </c>
      <c r="C1631" s="80" t="s">
        <v>9331</v>
      </c>
      <c r="D1631" s="87">
        <v>2.7869999999999999</v>
      </c>
    </row>
    <row r="1632" spans="1:4" ht="18" x14ac:dyDescent="0.25">
      <c r="A1632" s="80">
        <v>1631</v>
      </c>
      <c r="B1632" s="80" t="s">
        <v>8991</v>
      </c>
      <c r="C1632" s="80" t="s">
        <v>9331</v>
      </c>
      <c r="D1632" s="87">
        <v>2.9420000000000002</v>
      </c>
    </row>
    <row r="1633" spans="1:4" ht="18" x14ac:dyDescent="0.25">
      <c r="A1633" s="80">
        <v>1632</v>
      </c>
      <c r="B1633" s="80" t="s">
        <v>8992</v>
      </c>
      <c r="C1633" s="80" t="s">
        <v>9331</v>
      </c>
      <c r="D1633" s="87">
        <v>3.097</v>
      </c>
    </row>
    <row r="1634" spans="1:4" ht="18" x14ac:dyDescent="0.25">
      <c r="A1634" s="80">
        <v>1633</v>
      </c>
      <c r="B1634" s="80" t="s">
        <v>8993</v>
      </c>
      <c r="C1634" s="80" t="s">
        <v>9331</v>
      </c>
      <c r="D1634" s="87">
        <v>3.2519999999999998</v>
      </c>
    </row>
    <row r="1635" spans="1:4" ht="18" x14ac:dyDescent="0.25">
      <c r="A1635" s="80">
        <v>1634</v>
      </c>
      <c r="B1635" s="80" t="s">
        <v>8994</v>
      </c>
      <c r="C1635" s="80" t="s">
        <v>9331</v>
      </c>
      <c r="D1635" s="87">
        <v>3.4060000000000001</v>
      </c>
    </row>
    <row r="1636" spans="1:4" ht="18" x14ac:dyDescent="0.25">
      <c r="A1636" s="80">
        <v>1635</v>
      </c>
      <c r="B1636" s="80" t="s">
        <v>8995</v>
      </c>
      <c r="C1636" s="80" t="s">
        <v>9331</v>
      </c>
      <c r="D1636" s="87">
        <v>3.5609999999999999</v>
      </c>
    </row>
    <row r="1637" spans="1:4" ht="18" x14ac:dyDescent="0.25">
      <c r="A1637" s="80">
        <v>1636</v>
      </c>
      <c r="B1637" s="80" t="s">
        <v>8996</v>
      </c>
      <c r="C1637" s="80" t="s">
        <v>9331</v>
      </c>
      <c r="D1637" s="87">
        <v>3.7160000000000002</v>
      </c>
    </row>
    <row r="1638" spans="1:4" ht="18" x14ac:dyDescent="0.25">
      <c r="A1638" s="80">
        <v>1637</v>
      </c>
      <c r="B1638" s="80" t="s">
        <v>8997</v>
      </c>
      <c r="C1638" s="80" t="s">
        <v>9331</v>
      </c>
      <c r="D1638" s="87">
        <v>1.6259999999999999</v>
      </c>
    </row>
    <row r="1639" spans="1:4" ht="18" x14ac:dyDescent="0.25">
      <c r="A1639" s="80">
        <v>1638</v>
      </c>
      <c r="B1639" s="80" t="s">
        <v>8998</v>
      </c>
      <c r="C1639" s="80" t="s">
        <v>9331</v>
      </c>
      <c r="D1639" s="87">
        <v>1.788</v>
      </c>
    </row>
    <row r="1640" spans="1:4" ht="18" x14ac:dyDescent="0.25">
      <c r="A1640" s="80">
        <v>1639</v>
      </c>
      <c r="B1640" s="80" t="s">
        <v>8999</v>
      </c>
      <c r="C1640" s="80" t="s">
        <v>9331</v>
      </c>
      <c r="D1640" s="87">
        <v>1.9510000000000001</v>
      </c>
    </row>
    <row r="1641" spans="1:4" ht="18" x14ac:dyDescent="0.25">
      <c r="A1641" s="80">
        <v>1640</v>
      </c>
      <c r="B1641" s="80" t="s">
        <v>9000</v>
      </c>
      <c r="C1641" s="80" t="s">
        <v>9331</v>
      </c>
      <c r="D1641" s="87">
        <v>2.1139999999999999</v>
      </c>
    </row>
    <row r="1642" spans="1:4" ht="18" x14ac:dyDescent="0.25">
      <c r="A1642" s="80">
        <v>1641</v>
      </c>
      <c r="B1642" s="80" t="s">
        <v>9001</v>
      </c>
      <c r="C1642" s="80" t="s">
        <v>9331</v>
      </c>
      <c r="D1642" s="87">
        <v>2.2759999999999998</v>
      </c>
    </row>
    <row r="1643" spans="1:4" ht="18" x14ac:dyDescent="0.25">
      <c r="A1643" s="80">
        <v>1642</v>
      </c>
      <c r="B1643" s="80" t="s">
        <v>9002</v>
      </c>
      <c r="C1643" s="80" t="s">
        <v>9331</v>
      </c>
      <c r="D1643" s="87">
        <v>2.4390000000000001</v>
      </c>
    </row>
    <row r="1644" spans="1:4" ht="18" x14ac:dyDescent="0.25">
      <c r="A1644" s="80">
        <v>1643</v>
      </c>
      <c r="B1644" s="80" t="s">
        <v>9003</v>
      </c>
      <c r="C1644" s="80" t="s">
        <v>9331</v>
      </c>
      <c r="D1644" s="87">
        <v>2.601</v>
      </c>
    </row>
    <row r="1645" spans="1:4" ht="18" x14ac:dyDescent="0.25">
      <c r="A1645" s="80">
        <v>1644</v>
      </c>
      <c r="B1645" s="80" t="s">
        <v>9004</v>
      </c>
      <c r="C1645" s="80" t="s">
        <v>9331</v>
      </c>
      <c r="D1645" s="87">
        <v>2.7639999999999998</v>
      </c>
    </row>
    <row r="1646" spans="1:4" ht="18" x14ac:dyDescent="0.25">
      <c r="A1646" s="80">
        <v>1645</v>
      </c>
      <c r="B1646" s="80" t="s">
        <v>9005</v>
      </c>
      <c r="C1646" s="80" t="s">
        <v>9331</v>
      </c>
      <c r="D1646" s="87">
        <v>2.9260000000000002</v>
      </c>
    </row>
    <row r="1647" spans="1:4" ht="18" x14ac:dyDescent="0.25">
      <c r="A1647" s="80">
        <v>1646</v>
      </c>
      <c r="B1647" s="80" t="s">
        <v>9006</v>
      </c>
      <c r="C1647" s="80" t="s">
        <v>9331</v>
      </c>
      <c r="D1647" s="87">
        <v>3.089</v>
      </c>
    </row>
    <row r="1648" spans="1:4" ht="18" x14ac:dyDescent="0.25">
      <c r="A1648" s="80">
        <v>1647</v>
      </c>
      <c r="B1648" s="80" t="s">
        <v>9007</v>
      </c>
      <c r="C1648" s="80" t="s">
        <v>9331</v>
      </c>
      <c r="D1648" s="87">
        <v>3.2519999999999998</v>
      </c>
    </row>
    <row r="1649" spans="1:4" ht="18" x14ac:dyDescent="0.25">
      <c r="A1649" s="80">
        <v>1648</v>
      </c>
      <c r="B1649" s="80" t="s">
        <v>9008</v>
      </c>
      <c r="C1649" s="80" t="s">
        <v>9331</v>
      </c>
      <c r="D1649" s="87">
        <v>3.4140000000000001</v>
      </c>
    </row>
    <row r="1650" spans="1:4" ht="18" x14ac:dyDescent="0.25">
      <c r="A1650" s="80">
        <v>1649</v>
      </c>
      <c r="B1650" s="80" t="s">
        <v>9009</v>
      </c>
      <c r="C1650" s="80" t="s">
        <v>9331</v>
      </c>
      <c r="D1650" s="87">
        <v>3.577</v>
      </c>
    </row>
    <row r="1651" spans="1:4" ht="18" x14ac:dyDescent="0.25">
      <c r="A1651" s="80">
        <v>1650</v>
      </c>
      <c r="B1651" s="80" t="s">
        <v>9010</v>
      </c>
      <c r="C1651" s="80" t="s">
        <v>9331</v>
      </c>
      <c r="D1651" s="87">
        <v>3.7389999999999999</v>
      </c>
    </row>
    <row r="1652" spans="1:4" ht="18" x14ac:dyDescent="0.25">
      <c r="A1652" s="80">
        <v>1651</v>
      </c>
      <c r="B1652" s="80" t="s">
        <v>9011</v>
      </c>
      <c r="C1652" s="80" t="s">
        <v>9331</v>
      </c>
      <c r="D1652" s="87">
        <v>3.9020000000000001</v>
      </c>
    </row>
    <row r="1653" spans="1:4" ht="18" x14ac:dyDescent="0.25">
      <c r="A1653" s="80">
        <v>1652</v>
      </c>
      <c r="B1653" s="80" t="s">
        <v>10844</v>
      </c>
      <c r="C1653" s="80" t="s">
        <v>9331</v>
      </c>
      <c r="D1653" s="87">
        <v>0.23200000000000001</v>
      </c>
    </row>
    <row r="1654" spans="1:4" ht="18" x14ac:dyDescent="0.25">
      <c r="A1654" s="80">
        <v>1653</v>
      </c>
      <c r="B1654" s="80" t="s">
        <v>10845</v>
      </c>
      <c r="C1654" s="80" t="s">
        <v>9331</v>
      </c>
      <c r="D1654" s="87">
        <v>0.109</v>
      </c>
    </row>
  </sheetData>
  <autoFilter ref="A1:D1654"/>
  <conditionalFormatting sqref="B81:B155">
    <cfRule type="duplicateValues" dxfId="85" priority="58"/>
  </conditionalFormatting>
  <conditionalFormatting sqref="B79:B80">
    <cfRule type="duplicateValues" dxfId="84" priority="55"/>
  </conditionalFormatting>
  <conditionalFormatting sqref="B79:B80">
    <cfRule type="duplicateValues" dxfId="83" priority="56"/>
  </conditionalFormatting>
  <conditionalFormatting sqref="B1">
    <cfRule type="duplicateValues" dxfId="82" priority="53"/>
  </conditionalFormatting>
  <conditionalFormatting sqref="B4:B78">
    <cfRule type="duplicateValues" dxfId="81" priority="52"/>
  </conditionalFormatting>
  <conditionalFormatting sqref="B2:B3">
    <cfRule type="duplicateValues" dxfId="80" priority="49"/>
  </conditionalFormatting>
  <conditionalFormatting sqref="B2:B3">
    <cfRule type="duplicateValues" dxfId="79" priority="50"/>
  </conditionalFormatting>
  <conditionalFormatting sqref="B158:B232">
    <cfRule type="duplicateValues" dxfId="78" priority="47"/>
  </conditionalFormatting>
  <conditionalFormatting sqref="B156:B157">
    <cfRule type="duplicateValues" dxfId="77" priority="44"/>
  </conditionalFormatting>
  <conditionalFormatting sqref="B156:B157">
    <cfRule type="duplicateValues" dxfId="76" priority="45"/>
  </conditionalFormatting>
  <conditionalFormatting sqref="B235:B309">
    <cfRule type="duplicateValues" dxfId="75" priority="42"/>
  </conditionalFormatting>
  <conditionalFormatting sqref="B233:B234">
    <cfRule type="duplicateValues" dxfId="74" priority="39"/>
  </conditionalFormatting>
  <conditionalFormatting sqref="B233:B234">
    <cfRule type="duplicateValues" dxfId="73" priority="40"/>
  </conditionalFormatting>
  <conditionalFormatting sqref="B310:B311">
    <cfRule type="duplicateValues" dxfId="72" priority="36"/>
  </conditionalFormatting>
  <conditionalFormatting sqref="B310:B386">
    <cfRule type="duplicateValues" dxfId="71" priority="33"/>
  </conditionalFormatting>
  <conditionalFormatting sqref="B312:B359">
    <cfRule type="duplicateValues" dxfId="70" priority="34"/>
  </conditionalFormatting>
  <conditionalFormatting sqref="B360">
    <cfRule type="duplicateValues" dxfId="69" priority="35"/>
  </conditionalFormatting>
  <conditionalFormatting sqref="B361:B386">
    <cfRule type="duplicateValues" dxfId="68" priority="37"/>
  </conditionalFormatting>
  <conditionalFormatting sqref="B387:B388">
    <cfRule type="duplicateValues" dxfId="67" priority="31"/>
  </conditionalFormatting>
  <conditionalFormatting sqref="B387:B463">
    <cfRule type="duplicateValues" dxfId="66" priority="28"/>
  </conditionalFormatting>
  <conditionalFormatting sqref="B389:B436">
    <cfRule type="duplicateValues" dxfId="65" priority="29"/>
  </conditionalFormatting>
  <conditionalFormatting sqref="B437">
    <cfRule type="duplicateValues" dxfId="64" priority="30"/>
  </conditionalFormatting>
  <conditionalFormatting sqref="B438:B463">
    <cfRule type="duplicateValues" dxfId="63" priority="32"/>
  </conditionalFormatting>
  <conditionalFormatting sqref="B464:B540">
    <cfRule type="duplicateValues" dxfId="62" priority="25"/>
    <cfRule type="duplicateValues" dxfId="61" priority="26"/>
    <cfRule type="duplicateValues" dxfId="60" priority="27"/>
  </conditionalFormatting>
  <conditionalFormatting sqref="B541:B617">
    <cfRule type="duplicateValues" dxfId="59" priority="22"/>
    <cfRule type="duplicateValues" dxfId="58" priority="23"/>
    <cfRule type="duplicateValues" dxfId="57" priority="24"/>
  </conditionalFormatting>
  <conditionalFormatting sqref="B618:B694">
    <cfRule type="duplicateValues" dxfId="56" priority="19"/>
    <cfRule type="duplicateValues" dxfId="55" priority="20"/>
    <cfRule type="duplicateValues" dxfId="54" priority="21"/>
  </conditionalFormatting>
  <conditionalFormatting sqref="B695:B771">
    <cfRule type="duplicateValues" dxfId="53" priority="17"/>
  </conditionalFormatting>
  <conditionalFormatting sqref="B695:B771">
    <cfRule type="duplicateValues" dxfId="52" priority="18"/>
  </conditionalFormatting>
  <conditionalFormatting sqref="B695:B771">
    <cfRule type="duplicateValues" dxfId="51" priority="16"/>
  </conditionalFormatting>
  <conditionalFormatting sqref="B772:B848">
    <cfRule type="duplicateValues" dxfId="50" priority="14"/>
  </conditionalFormatting>
  <conditionalFormatting sqref="B772:B848">
    <cfRule type="duplicateValues" dxfId="49" priority="15"/>
  </conditionalFormatting>
  <conditionalFormatting sqref="B772:B848">
    <cfRule type="duplicateValues" dxfId="48" priority="13"/>
  </conditionalFormatting>
  <conditionalFormatting sqref="B849:B925">
    <cfRule type="duplicateValues" dxfId="47" priority="11"/>
  </conditionalFormatting>
  <conditionalFormatting sqref="B849:B925">
    <cfRule type="duplicateValues" dxfId="46" priority="12"/>
  </conditionalFormatting>
  <conditionalFormatting sqref="B849:B925">
    <cfRule type="duplicateValues" dxfId="45" priority="10"/>
  </conditionalFormatting>
  <conditionalFormatting sqref="B926:B1002">
    <cfRule type="duplicateValues" dxfId="44" priority="5"/>
  </conditionalFormatting>
  <conditionalFormatting sqref="B928:B975">
    <cfRule type="duplicateValues" dxfId="43" priority="6"/>
  </conditionalFormatting>
  <conditionalFormatting sqref="B976">
    <cfRule type="duplicateValues" dxfId="42" priority="7"/>
  </conditionalFormatting>
  <conditionalFormatting sqref="B926:B1002">
    <cfRule type="duplicateValues" dxfId="41" priority="8"/>
  </conditionalFormatting>
  <conditionalFormatting sqref="B977:B1002">
    <cfRule type="duplicateValues" dxfId="40" priority="9"/>
  </conditionalFormatting>
  <conditionalFormatting sqref="B1389:B1576">
    <cfRule type="duplicateValues" dxfId="39" priority="3"/>
  </conditionalFormatting>
  <conditionalFormatting sqref="B1577">
    <cfRule type="duplicateValues" dxfId="38" priority="116"/>
  </conditionalFormatting>
  <conditionalFormatting sqref="B2:B1388">
    <cfRule type="duplicateValues" dxfId="37" priority="117"/>
  </conditionalFormatting>
  <conditionalFormatting sqref="B1578:B1654">
    <cfRule type="duplicateValues" dxfId="36" priority="1"/>
  </conditionalFormatting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5"/>
  <sheetViews>
    <sheetView zoomScaleNormal="100" workbookViewId="0">
      <selection activeCell="B2" sqref="B2:C3"/>
    </sheetView>
  </sheetViews>
  <sheetFormatPr defaultRowHeight="15" x14ac:dyDescent="0.25"/>
  <cols>
    <col min="2" max="2" width="57.140625" customWidth="1"/>
  </cols>
  <sheetData>
    <row r="1" spans="1:3" ht="21.75" thickBot="1" x14ac:dyDescent="0.3">
      <c r="A1" s="60" t="s">
        <v>9237</v>
      </c>
      <c r="B1" s="108" t="s">
        <v>0</v>
      </c>
      <c r="C1" s="109" t="s">
        <v>5377</v>
      </c>
    </row>
    <row r="2" spans="1:3" ht="19.899999999999999" customHeight="1" x14ac:dyDescent="0.25">
      <c r="A2" s="61">
        <v>1</v>
      </c>
      <c r="B2" s="126" t="s">
        <v>10972</v>
      </c>
      <c r="C2" s="126">
        <v>1</v>
      </c>
    </row>
    <row r="3" spans="1:3" ht="19.899999999999999" customHeight="1" x14ac:dyDescent="0.25">
      <c r="A3" s="61">
        <v>2</v>
      </c>
      <c r="B3" s="126" t="s">
        <v>10973</v>
      </c>
      <c r="C3" s="126">
        <v>1</v>
      </c>
    </row>
    <row r="4" spans="1:3" ht="19.899999999999999" customHeight="1" x14ac:dyDescent="0.25">
      <c r="A4" s="61">
        <v>3</v>
      </c>
      <c r="B4" s="50"/>
      <c r="C4" s="116"/>
    </row>
    <row r="5" spans="1:3" ht="19.899999999999999" customHeight="1" x14ac:dyDescent="0.25">
      <c r="A5" s="61">
        <v>4</v>
      </c>
      <c r="B5" s="50"/>
      <c r="C5" s="116"/>
    </row>
    <row r="6" spans="1:3" ht="19.899999999999999" customHeight="1" x14ac:dyDescent="0.25">
      <c r="A6" s="61">
        <v>5</v>
      </c>
      <c r="B6" s="50"/>
      <c r="C6" s="116"/>
    </row>
    <row r="7" spans="1:3" ht="19.899999999999999" customHeight="1" x14ac:dyDescent="0.25">
      <c r="A7" s="61">
        <v>6</v>
      </c>
      <c r="B7" s="50"/>
      <c r="C7" s="116"/>
    </row>
    <row r="8" spans="1:3" ht="19.899999999999999" customHeight="1" x14ac:dyDescent="0.25">
      <c r="A8" s="61">
        <v>7</v>
      </c>
      <c r="B8" s="50"/>
      <c r="C8" s="116"/>
    </row>
    <row r="9" spans="1:3" ht="19.899999999999999" customHeight="1" x14ac:dyDescent="0.25">
      <c r="A9" s="61">
        <v>8</v>
      </c>
      <c r="B9" s="117"/>
      <c r="C9" s="121"/>
    </row>
    <row r="10" spans="1:3" ht="19.899999999999999" customHeight="1" x14ac:dyDescent="0.25">
      <c r="A10" s="61">
        <v>9</v>
      </c>
      <c r="B10" s="117"/>
      <c r="C10" s="119"/>
    </row>
    <row r="11" spans="1:3" ht="19.899999999999999" customHeight="1" x14ac:dyDescent="0.25">
      <c r="A11" s="61">
        <v>10</v>
      </c>
      <c r="B11" s="118"/>
      <c r="C11" s="120"/>
    </row>
    <row r="12" spans="1:3" ht="19.899999999999999" customHeight="1" x14ac:dyDescent="0.25">
      <c r="A12" s="61">
        <v>11</v>
      </c>
      <c r="B12" s="118"/>
      <c r="C12" s="120"/>
    </row>
    <row r="13" spans="1:3" ht="19.899999999999999" customHeight="1" x14ac:dyDescent="0.25">
      <c r="A13" s="61">
        <v>12</v>
      </c>
      <c r="B13" s="117"/>
      <c r="C13" s="119"/>
    </row>
    <row r="14" spans="1:3" ht="19.899999999999999" customHeight="1" x14ac:dyDescent="0.25">
      <c r="A14" s="61">
        <v>13</v>
      </c>
      <c r="B14" s="117"/>
      <c r="C14" s="121"/>
    </row>
    <row r="15" spans="1:3" ht="19.899999999999999" customHeight="1" x14ac:dyDescent="0.25">
      <c r="A15" s="61">
        <v>14</v>
      </c>
      <c r="B15" s="117"/>
      <c r="C15" s="121"/>
    </row>
    <row r="16" spans="1:3" ht="19.899999999999999" customHeight="1" x14ac:dyDescent="0.25">
      <c r="A16" s="61">
        <v>15</v>
      </c>
      <c r="B16" s="117"/>
      <c r="C16" s="121"/>
    </row>
    <row r="17" spans="1:3" ht="19.899999999999999" customHeight="1" x14ac:dyDescent="0.25">
      <c r="A17" s="61">
        <v>16</v>
      </c>
      <c r="B17" s="50"/>
      <c r="C17" s="116"/>
    </row>
    <row r="18" spans="1:3" ht="19.899999999999999" customHeight="1" x14ac:dyDescent="0.25">
      <c r="A18" s="61">
        <v>17</v>
      </c>
      <c r="B18" s="50"/>
      <c r="C18" s="116"/>
    </row>
    <row r="19" spans="1:3" ht="19.899999999999999" customHeight="1" x14ac:dyDescent="0.25">
      <c r="A19" s="61">
        <v>18</v>
      </c>
      <c r="B19" s="50"/>
      <c r="C19" s="116"/>
    </row>
    <row r="20" spans="1:3" ht="19.899999999999999" customHeight="1" x14ac:dyDescent="0.25">
      <c r="A20" s="61">
        <v>19</v>
      </c>
      <c r="B20" s="50"/>
      <c r="C20" s="116"/>
    </row>
    <row r="21" spans="1:3" ht="19.899999999999999" customHeight="1" x14ac:dyDescent="0.25">
      <c r="A21" s="61">
        <v>20</v>
      </c>
      <c r="B21" s="50"/>
      <c r="C21" s="116"/>
    </row>
    <row r="22" spans="1:3" ht="19.899999999999999" customHeight="1" x14ac:dyDescent="0.25">
      <c r="A22" s="61">
        <v>21</v>
      </c>
      <c r="B22" s="50"/>
      <c r="C22" s="116"/>
    </row>
    <row r="23" spans="1:3" ht="19.899999999999999" customHeight="1" x14ac:dyDescent="0.25">
      <c r="A23" s="96">
        <v>22</v>
      </c>
      <c r="B23" s="122" t="s">
        <v>8642</v>
      </c>
      <c r="C23" s="116"/>
    </row>
    <row r="24" spans="1:3" ht="19.899999999999999" customHeight="1" x14ac:dyDescent="0.25">
      <c r="A24" s="61">
        <v>23</v>
      </c>
      <c r="B24" s="50"/>
      <c r="C24" s="116"/>
    </row>
    <row r="25" spans="1:3" ht="19.899999999999999" customHeight="1" x14ac:dyDescent="0.25">
      <c r="A25" s="61">
        <v>24</v>
      </c>
      <c r="B25" s="50"/>
      <c r="C25" s="116"/>
    </row>
    <row r="26" spans="1:3" ht="19.899999999999999" customHeight="1" x14ac:dyDescent="0.25">
      <c r="A26" s="61">
        <v>25</v>
      </c>
      <c r="B26" s="50"/>
      <c r="C26" s="116"/>
    </row>
    <row r="27" spans="1:3" ht="19.899999999999999" customHeight="1" x14ac:dyDescent="0.25">
      <c r="A27" s="61">
        <v>26</v>
      </c>
      <c r="B27" s="50"/>
      <c r="C27" s="116"/>
    </row>
    <row r="28" spans="1:3" ht="19.899999999999999" customHeight="1" x14ac:dyDescent="0.25">
      <c r="A28" s="61">
        <v>27</v>
      </c>
      <c r="B28" s="50"/>
      <c r="C28" s="116"/>
    </row>
    <row r="29" spans="1:3" ht="19.899999999999999" customHeight="1" x14ac:dyDescent="0.25">
      <c r="A29" s="61">
        <v>28</v>
      </c>
      <c r="B29" s="50"/>
      <c r="C29" s="116"/>
    </row>
    <row r="30" spans="1:3" ht="19.899999999999999" customHeight="1" x14ac:dyDescent="0.25">
      <c r="A30" s="61">
        <v>29</v>
      </c>
      <c r="B30" s="50"/>
      <c r="C30" s="116"/>
    </row>
    <row r="31" spans="1:3" ht="19.899999999999999" customHeight="1" x14ac:dyDescent="0.25">
      <c r="A31" s="61">
        <v>30</v>
      </c>
      <c r="B31" s="50"/>
      <c r="C31" s="116"/>
    </row>
    <row r="32" spans="1:3" ht="18" x14ac:dyDescent="0.25">
      <c r="A32" s="61">
        <v>31</v>
      </c>
      <c r="B32" s="50"/>
      <c r="C32" s="116"/>
    </row>
    <row r="33" spans="1:3" ht="18" x14ac:dyDescent="0.25">
      <c r="A33" s="61">
        <v>32</v>
      </c>
      <c r="B33" s="50"/>
      <c r="C33" s="116"/>
    </row>
    <row r="34" spans="1:3" ht="18" x14ac:dyDescent="0.25">
      <c r="A34" s="61">
        <v>33</v>
      </c>
      <c r="B34" s="50"/>
      <c r="C34" s="116"/>
    </row>
    <row r="35" spans="1:3" ht="18" x14ac:dyDescent="0.25">
      <c r="A35" s="61">
        <v>34</v>
      </c>
      <c r="B35" s="50"/>
      <c r="C35" s="116"/>
    </row>
    <row r="36" spans="1:3" ht="18" x14ac:dyDescent="0.25">
      <c r="A36" s="61">
        <v>35</v>
      </c>
      <c r="B36" s="50"/>
      <c r="C36" s="116"/>
    </row>
    <row r="37" spans="1:3" ht="18" x14ac:dyDescent="0.25">
      <c r="A37" s="61">
        <v>36</v>
      </c>
      <c r="B37" s="50"/>
      <c r="C37" s="116"/>
    </row>
    <row r="38" spans="1:3" ht="18" x14ac:dyDescent="0.25">
      <c r="A38" s="61">
        <v>37</v>
      </c>
      <c r="B38" s="50"/>
      <c r="C38" s="116"/>
    </row>
    <row r="39" spans="1:3" ht="18" x14ac:dyDescent="0.25">
      <c r="A39" s="61">
        <v>38</v>
      </c>
      <c r="B39" s="50"/>
      <c r="C39" s="116"/>
    </row>
    <row r="40" spans="1:3" ht="18" x14ac:dyDescent="0.25">
      <c r="A40" s="61">
        <v>39</v>
      </c>
      <c r="B40" s="50"/>
      <c r="C40" s="116"/>
    </row>
    <row r="41" spans="1:3" ht="18" x14ac:dyDescent="0.25">
      <c r="A41" s="61">
        <v>40</v>
      </c>
      <c r="B41" s="50"/>
      <c r="C41" s="116"/>
    </row>
    <row r="42" spans="1:3" ht="18" x14ac:dyDescent="0.25">
      <c r="A42" s="61">
        <v>41</v>
      </c>
      <c r="B42" s="50"/>
      <c r="C42" s="116"/>
    </row>
    <row r="43" spans="1:3" ht="18" x14ac:dyDescent="0.25">
      <c r="A43" s="61">
        <v>42</v>
      </c>
      <c r="B43" s="50"/>
      <c r="C43" s="116"/>
    </row>
    <row r="44" spans="1:3" ht="18" x14ac:dyDescent="0.25">
      <c r="A44" s="61">
        <v>43</v>
      </c>
      <c r="B44" s="50"/>
      <c r="C44" s="116"/>
    </row>
    <row r="45" spans="1:3" ht="18" x14ac:dyDescent="0.25">
      <c r="A45" s="61">
        <v>44</v>
      </c>
      <c r="B45" s="50"/>
      <c r="C45" s="116"/>
    </row>
    <row r="46" spans="1:3" ht="18" x14ac:dyDescent="0.25">
      <c r="A46" s="61">
        <v>45</v>
      </c>
      <c r="B46" s="50"/>
      <c r="C46" s="116"/>
    </row>
    <row r="47" spans="1:3" ht="18" x14ac:dyDescent="0.25">
      <c r="A47" s="61">
        <v>46</v>
      </c>
      <c r="B47" s="50"/>
      <c r="C47" s="116"/>
    </row>
    <row r="48" spans="1:3" ht="18" x14ac:dyDescent="0.25">
      <c r="A48" s="61">
        <v>47</v>
      </c>
      <c r="B48" s="50"/>
      <c r="C48" s="116"/>
    </row>
    <row r="49" spans="1:3" ht="18" x14ac:dyDescent="0.25">
      <c r="A49" s="61">
        <v>48</v>
      </c>
      <c r="B49" s="114"/>
      <c r="C49" s="115"/>
    </row>
    <row r="50" spans="1:3" ht="18" x14ac:dyDescent="0.25">
      <c r="A50" s="61">
        <v>49</v>
      </c>
      <c r="B50" s="114"/>
      <c r="C50" s="115"/>
    </row>
    <row r="51" spans="1:3" ht="18" x14ac:dyDescent="0.25">
      <c r="A51" s="61">
        <v>50</v>
      </c>
      <c r="B51" s="114"/>
      <c r="C51" s="115"/>
    </row>
    <row r="52" spans="1:3" ht="18" x14ac:dyDescent="0.25">
      <c r="A52" s="61">
        <v>51</v>
      </c>
      <c r="B52" s="114"/>
      <c r="C52" s="115"/>
    </row>
    <row r="53" spans="1:3" ht="18" x14ac:dyDescent="0.25">
      <c r="A53" s="61">
        <v>52</v>
      </c>
      <c r="B53" s="114"/>
      <c r="C53" s="115"/>
    </row>
    <row r="54" spans="1:3" ht="18" x14ac:dyDescent="0.25">
      <c r="A54" s="61">
        <v>53</v>
      </c>
      <c r="B54" s="114"/>
      <c r="C54" s="115"/>
    </row>
    <row r="55" spans="1:3" ht="18" x14ac:dyDescent="0.25">
      <c r="A55" s="61">
        <v>54</v>
      </c>
      <c r="B55" s="114"/>
      <c r="C55" s="115"/>
    </row>
    <row r="56" spans="1:3" ht="18" x14ac:dyDescent="0.25">
      <c r="A56" s="61">
        <v>55</v>
      </c>
      <c r="B56" s="114"/>
      <c r="C56" s="115"/>
    </row>
    <row r="57" spans="1:3" ht="18" x14ac:dyDescent="0.25">
      <c r="A57" s="61">
        <v>56</v>
      </c>
      <c r="B57" s="114"/>
      <c r="C57" s="115"/>
    </row>
    <row r="58" spans="1:3" ht="18" x14ac:dyDescent="0.25">
      <c r="A58" s="61">
        <v>57</v>
      </c>
      <c r="B58" s="114"/>
      <c r="C58" s="115"/>
    </row>
    <row r="59" spans="1:3" ht="18" x14ac:dyDescent="0.25">
      <c r="A59" s="61">
        <v>58</v>
      </c>
      <c r="B59" s="114"/>
      <c r="C59" s="115"/>
    </row>
    <row r="60" spans="1:3" ht="18" x14ac:dyDescent="0.25">
      <c r="A60" s="61">
        <v>59</v>
      </c>
      <c r="B60" s="114"/>
      <c r="C60" s="115"/>
    </row>
    <row r="61" spans="1:3" ht="18" x14ac:dyDescent="0.25">
      <c r="A61" s="61">
        <v>60</v>
      </c>
      <c r="B61" s="114"/>
      <c r="C61" s="115"/>
    </row>
    <row r="62" spans="1:3" ht="18" x14ac:dyDescent="0.25">
      <c r="A62" s="61">
        <v>61</v>
      </c>
      <c r="B62" s="114"/>
      <c r="C62" s="115"/>
    </row>
    <row r="63" spans="1:3" ht="18" x14ac:dyDescent="0.25">
      <c r="A63" s="61">
        <v>62</v>
      </c>
      <c r="B63" s="114"/>
      <c r="C63" s="115"/>
    </row>
    <row r="64" spans="1:3" ht="18" x14ac:dyDescent="0.25">
      <c r="A64" s="61">
        <v>63</v>
      </c>
      <c r="B64" s="114"/>
      <c r="C64" s="115"/>
    </row>
    <row r="65" spans="1:3" ht="18" x14ac:dyDescent="0.25">
      <c r="A65" s="61">
        <v>64</v>
      </c>
      <c r="B65" s="114"/>
      <c r="C65" s="115"/>
    </row>
    <row r="66" spans="1:3" ht="18" x14ac:dyDescent="0.25">
      <c r="A66" s="61">
        <v>65</v>
      </c>
      <c r="B66" s="114"/>
      <c r="C66" s="115"/>
    </row>
    <row r="67" spans="1:3" ht="18" x14ac:dyDescent="0.25">
      <c r="A67" s="61">
        <v>66</v>
      </c>
      <c r="B67" s="114"/>
      <c r="C67" s="115"/>
    </row>
    <row r="68" spans="1:3" ht="18" x14ac:dyDescent="0.25">
      <c r="A68" s="61">
        <v>67</v>
      </c>
      <c r="B68" s="114"/>
      <c r="C68" s="115"/>
    </row>
    <row r="69" spans="1:3" ht="18" x14ac:dyDescent="0.25">
      <c r="A69" s="61">
        <v>68</v>
      </c>
      <c r="B69" s="114"/>
      <c r="C69" s="115"/>
    </row>
    <row r="70" spans="1:3" ht="18" x14ac:dyDescent="0.25">
      <c r="A70" s="61">
        <v>69</v>
      </c>
      <c r="B70" s="114"/>
      <c r="C70" s="115"/>
    </row>
    <row r="71" spans="1:3" ht="18" x14ac:dyDescent="0.25">
      <c r="A71" s="61">
        <v>70</v>
      </c>
      <c r="B71" s="114"/>
      <c r="C71" s="115"/>
    </row>
    <row r="72" spans="1:3" ht="18" x14ac:dyDescent="0.25">
      <c r="A72" s="61">
        <v>71</v>
      </c>
      <c r="B72" s="114"/>
      <c r="C72" s="115"/>
    </row>
    <row r="73" spans="1:3" ht="18" x14ac:dyDescent="0.25">
      <c r="A73" s="61">
        <v>72</v>
      </c>
      <c r="B73" s="114"/>
      <c r="C73" s="115"/>
    </row>
    <row r="74" spans="1:3" ht="18" x14ac:dyDescent="0.25">
      <c r="A74" s="61">
        <v>73</v>
      </c>
      <c r="B74" s="114"/>
      <c r="C74" s="115"/>
    </row>
    <row r="75" spans="1:3" ht="18" x14ac:dyDescent="0.25">
      <c r="A75" s="61">
        <v>74</v>
      </c>
      <c r="B75" s="114"/>
      <c r="C75" s="115"/>
    </row>
    <row r="76" spans="1:3" ht="18" x14ac:dyDescent="0.25">
      <c r="A76" s="61">
        <v>75</v>
      </c>
      <c r="B76" s="114"/>
      <c r="C76" s="115"/>
    </row>
    <row r="77" spans="1:3" ht="18" x14ac:dyDescent="0.25">
      <c r="A77" s="61">
        <v>76</v>
      </c>
      <c r="B77" s="114"/>
      <c r="C77" s="115"/>
    </row>
    <row r="78" spans="1:3" ht="18" x14ac:dyDescent="0.25">
      <c r="A78" s="61">
        <v>77</v>
      </c>
      <c r="B78" s="114"/>
      <c r="C78" s="115"/>
    </row>
    <row r="79" spans="1:3" ht="18" x14ac:dyDescent="0.25">
      <c r="A79" s="61">
        <v>78</v>
      </c>
      <c r="B79" s="114"/>
      <c r="C79" s="115"/>
    </row>
    <row r="80" spans="1:3" ht="18" x14ac:dyDescent="0.25">
      <c r="A80" s="61">
        <v>79</v>
      </c>
      <c r="B80" s="114"/>
      <c r="C80" s="115"/>
    </row>
    <row r="81" spans="1:3" ht="18" x14ac:dyDescent="0.25">
      <c r="A81" s="61">
        <v>80</v>
      </c>
      <c r="B81" s="114"/>
      <c r="C81" s="115"/>
    </row>
    <row r="82" spans="1:3" ht="18" x14ac:dyDescent="0.25">
      <c r="A82" s="61">
        <v>81</v>
      </c>
      <c r="B82" s="114"/>
      <c r="C82" s="115"/>
    </row>
    <row r="83" spans="1:3" ht="18" x14ac:dyDescent="0.25">
      <c r="A83" s="61">
        <v>82</v>
      </c>
      <c r="B83" s="114"/>
      <c r="C83" s="115"/>
    </row>
    <row r="84" spans="1:3" ht="18" x14ac:dyDescent="0.25">
      <c r="A84" s="61">
        <v>83</v>
      </c>
      <c r="B84" s="114"/>
      <c r="C84" s="115"/>
    </row>
    <row r="85" spans="1:3" ht="18" x14ac:dyDescent="0.25">
      <c r="A85" s="61">
        <v>84</v>
      </c>
      <c r="B85" s="114"/>
      <c r="C85" s="115"/>
    </row>
    <row r="86" spans="1:3" ht="18" x14ac:dyDescent="0.25">
      <c r="A86" s="61">
        <v>85</v>
      </c>
      <c r="B86" s="114"/>
      <c r="C86" s="115"/>
    </row>
    <row r="87" spans="1:3" ht="18" x14ac:dyDescent="0.25">
      <c r="A87" s="61">
        <v>86</v>
      </c>
      <c r="B87" s="114"/>
      <c r="C87" s="115"/>
    </row>
    <row r="88" spans="1:3" ht="18" x14ac:dyDescent="0.25">
      <c r="A88" s="61">
        <v>87</v>
      </c>
      <c r="B88" s="114"/>
      <c r="C88" s="115"/>
    </row>
    <row r="89" spans="1:3" ht="18" x14ac:dyDescent="0.25">
      <c r="A89" s="61">
        <v>88</v>
      </c>
      <c r="B89" s="111"/>
      <c r="C89" s="113"/>
    </row>
    <row r="90" spans="1:3" ht="18" x14ac:dyDescent="0.25">
      <c r="A90" s="61">
        <v>89</v>
      </c>
      <c r="B90" s="110"/>
      <c r="C90" s="112"/>
    </row>
    <row r="91" spans="1:3" ht="18" x14ac:dyDescent="0.25">
      <c r="A91" s="61">
        <v>90</v>
      </c>
      <c r="B91" s="111"/>
      <c r="C91" s="113"/>
    </row>
    <row r="92" spans="1:3" ht="18" x14ac:dyDescent="0.25">
      <c r="A92" s="61">
        <v>91</v>
      </c>
      <c r="B92" s="110"/>
      <c r="C92" s="112"/>
    </row>
    <row r="93" spans="1:3" ht="18" x14ac:dyDescent="0.25">
      <c r="A93" s="61">
        <v>92</v>
      </c>
      <c r="B93" s="111"/>
      <c r="C93" s="113"/>
    </row>
    <row r="94" spans="1:3" ht="18" x14ac:dyDescent="0.25">
      <c r="A94" s="61">
        <v>93</v>
      </c>
      <c r="B94" s="110"/>
      <c r="C94" s="112"/>
    </row>
    <row r="95" spans="1:3" ht="18" x14ac:dyDescent="0.25">
      <c r="A95" s="61">
        <v>94</v>
      </c>
      <c r="B95" s="111"/>
      <c r="C95" s="113"/>
    </row>
    <row r="96" spans="1:3" ht="18" x14ac:dyDescent="0.25">
      <c r="A96" s="61">
        <v>95</v>
      </c>
      <c r="B96" s="110"/>
      <c r="C96" s="112"/>
    </row>
    <row r="97" spans="1:3" ht="18" x14ac:dyDescent="0.25">
      <c r="A97" s="61">
        <v>96</v>
      </c>
      <c r="B97" s="111"/>
      <c r="C97" s="113"/>
    </row>
    <row r="98" spans="1:3" ht="18" x14ac:dyDescent="0.25">
      <c r="A98" s="61">
        <v>97</v>
      </c>
      <c r="B98" s="110"/>
      <c r="C98" s="112"/>
    </row>
    <row r="99" spans="1:3" ht="18" x14ac:dyDescent="0.25">
      <c r="A99" s="61">
        <v>98</v>
      </c>
      <c r="B99" s="111"/>
      <c r="C99" s="113"/>
    </row>
    <row r="100" spans="1:3" ht="18" x14ac:dyDescent="0.25">
      <c r="A100" s="61">
        <v>99</v>
      </c>
      <c r="B100" s="110"/>
      <c r="C100" s="112"/>
    </row>
    <row r="101" spans="1:3" ht="18" x14ac:dyDescent="0.25">
      <c r="A101" s="61">
        <v>100</v>
      </c>
      <c r="B101" s="111"/>
      <c r="C101" s="113"/>
    </row>
    <row r="102" spans="1:3" ht="20.25" x14ac:dyDescent="0.3">
      <c r="A102" s="103"/>
      <c r="B102" s="106"/>
      <c r="C102" s="107"/>
    </row>
    <row r="103" spans="1:3" ht="20.25" x14ac:dyDescent="0.3">
      <c r="A103" s="103"/>
      <c r="B103" s="106"/>
      <c r="C103" s="107"/>
    </row>
    <row r="104" spans="1:3" ht="20.25" x14ac:dyDescent="0.3">
      <c r="A104" s="103"/>
      <c r="B104" s="106"/>
      <c r="C104" s="107"/>
    </row>
    <row r="105" spans="1:3" ht="20.25" x14ac:dyDescent="0.3">
      <c r="A105" s="103"/>
      <c r="B105" s="106"/>
      <c r="C105" s="107"/>
    </row>
    <row r="106" spans="1:3" ht="20.25" x14ac:dyDescent="0.3">
      <c r="A106" s="103"/>
      <c r="B106" s="106"/>
      <c r="C106" s="107"/>
    </row>
    <row r="107" spans="1:3" ht="20.25" x14ac:dyDescent="0.3">
      <c r="A107" s="103"/>
      <c r="B107" s="106"/>
      <c r="C107" s="107"/>
    </row>
    <row r="108" spans="1:3" ht="20.25" x14ac:dyDescent="0.3">
      <c r="A108" s="103"/>
      <c r="B108" s="106"/>
      <c r="C108" s="107"/>
    </row>
    <row r="109" spans="1:3" ht="20.25" x14ac:dyDescent="0.3">
      <c r="A109" s="103"/>
      <c r="B109" s="106"/>
      <c r="C109" s="107"/>
    </row>
    <row r="110" spans="1:3" ht="20.25" x14ac:dyDescent="0.3">
      <c r="A110" s="103"/>
      <c r="B110" s="106"/>
      <c r="C110" s="107"/>
    </row>
    <row r="111" spans="1:3" ht="20.25" x14ac:dyDescent="0.3">
      <c r="A111" s="103"/>
      <c r="B111" s="106"/>
      <c r="C111" s="107"/>
    </row>
    <row r="112" spans="1:3" ht="20.25" x14ac:dyDescent="0.3">
      <c r="A112" s="103"/>
      <c r="B112" s="106"/>
      <c r="C112" s="107"/>
    </row>
    <row r="113" spans="1:3" ht="20.25" x14ac:dyDescent="0.3">
      <c r="A113" s="103"/>
      <c r="B113" s="106"/>
      <c r="C113" s="107"/>
    </row>
    <row r="114" spans="1:3" ht="20.25" x14ac:dyDescent="0.3">
      <c r="A114" s="103"/>
      <c r="B114" s="106"/>
      <c r="C114" s="107"/>
    </row>
    <row r="115" spans="1:3" ht="20.25" x14ac:dyDescent="0.3">
      <c r="A115" s="103"/>
      <c r="B115" s="106"/>
      <c r="C115" s="107"/>
    </row>
    <row r="116" spans="1:3" ht="20.25" x14ac:dyDescent="0.3">
      <c r="A116" s="103"/>
      <c r="B116" s="106"/>
      <c r="C116" s="107"/>
    </row>
    <row r="117" spans="1:3" ht="20.25" x14ac:dyDescent="0.3">
      <c r="A117" s="103"/>
      <c r="B117" s="106"/>
      <c r="C117" s="107"/>
    </row>
    <row r="118" spans="1:3" ht="20.25" x14ac:dyDescent="0.3">
      <c r="A118" s="103"/>
      <c r="B118" s="106"/>
      <c r="C118" s="107"/>
    </row>
    <row r="119" spans="1:3" ht="20.25" x14ac:dyDescent="0.3">
      <c r="A119" s="103"/>
      <c r="B119" s="106"/>
      <c r="C119" s="107"/>
    </row>
    <row r="120" spans="1:3" ht="20.25" x14ac:dyDescent="0.3">
      <c r="A120" s="103"/>
      <c r="B120" s="106"/>
      <c r="C120" s="107"/>
    </row>
    <row r="121" spans="1:3" ht="20.25" x14ac:dyDescent="0.3">
      <c r="A121" s="103"/>
      <c r="B121" s="106"/>
      <c r="C121" s="107"/>
    </row>
    <row r="122" spans="1:3" ht="20.25" x14ac:dyDescent="0.3">
      <c r="A122" s="103"/>
      <c r="B122" s="106"/>
      <c r="C122" s="107"/>
    </row>
    <row r="123" spans="1:3" ht="20.25" x14ac:dyDescent="0.3">
      <c r="A123" s="103"/>
      <c r="B123" s="106"/>
      <c r="C123" s="107"/>
    </row>
    <row r="124" spans="1:3" ht="20.25" x14ac:dyDescent="0.3">
      <c r="A124" s="103"/>
      <c r="B124" s="106"/>
      <c r="C124" s="107"/>
    </row>
    <row r="125" spans="1:3" ht="20.25" x14ac:dyDescent="0.3">
      <c r="A125" s="103"/>
      <c r="B125" s="106"/>
      <c r="C125" s="107"/>
    </row>
    <row r="126" spans="1:3" ht="20.25" x14ac:dyDescent="0.3">
      <c r="A126" s="103"/>
      <c r="B126" s="106"/>
      <c r="C126" s="107"/>
    </row>
    <row r="127" spans="1:3" ht="20.25" x14ac:dyDescent="0.3">
      <c r="A127" s="103"/>
      <c r="B127" s="106"/>
      <c r="C127" s="107"/>
    </row>
    <row r="128" spans="1:3" ht="20.25" x14ac:dyDescent="0.3">
      <c r="A128" s="103"/>
      <c r="B128" s="106"/>
      <c r="C128" s="107"/>
    </row>
    <row r="129" spans="1:3" ht="20.25" x14ac:dyDescent="0.3">
      <c r="A129" s="103"/>
      <c r="B129" s="106"/>
      <c r="C129" s="107"/>
    </row>
    <row r="130" spans="1:3" ht="20.25" x14ac:dyDescent="0.3">
      <c r="A130" s="103"/>
      <c r="B130" s="106"/>
      <c r="C130" s="107"/>
    </row>
    <row r="131" spans="1:3" ht="20.25" x14ac:dyDescent="0.3">
      <c r="A131" s="103"/>
      <c r="B131" s="106"/>
      <c r="C131" s="107"/>
    </row>
    <row r="132" spans="1:3" ht="20.25" x14ac:dyDescent="0.3">
      <c r="A132" s="103"/>
      <c r="B132" s="106"/>
      <c r="C132" s="107"/>
    </row>
    <row r="133" spans="1:3" ht="20.25" x14ac:dyDescent="0.3">
      <c r="A133" s="103"/>
      <c r="B133" s="106"/>
      <c r="C133" s="107"/>
    </row>
    <row r="134" spans="1:3" ht="20.25" x14ac:dyDescent="0.3">
      <c r="A134" s="103"/>
      <c r="B134" s="106"/>
      <c r="C134" s="107"/>
    </row>
    <row r="135" spans="1:3" ht="20.25" x14ac:dyDescent="0.3">
      <c r="A135" s="103"/>
      <c r="B135" s="106"/>
      <c r="C135" s="107"/>
    </row>
    <row r="136" spans="1:3" ht="20.25" x14ac:dyDescent="0.3">
      <c r="A136" s="103"/>
      <c r="B136" s="106"/>
      <c r="C136" s="107"/>
    </row>
    <row r="137" spans="1:3" ht="20.25" x14ac:dyDescent="0.3">
      <c r="A137" s="103"/>
      <c r="B137" s="106"/>
      <c r="C137" s="107"/>
    </row>
    <row r="138" spans="1:3" ht="20.25" x14ac:dyDescent="0.3">
      <c r="A138" s="103"/>
      <c r="B138" s="106"/>
      <c r="C138" s="107"/>
    </row>
    <row r="139" spans="1:3" ht="20.25" x14ac:dyDescent="0.3">
      <c r="A139" s="103"/>
      <c r="B139" s="106"/>
      <c r="C139" s="107"/>
    </row>
    <row r="140" spans="1:3" ht="20.25" x14ac:dyDescent="0.3">
      <c r="A140" s="103"/>
      <c r="B140" s="106"/>
      <c r="C140" s="107"/>
    </row>
    <row r="141" spans="1:3" ht="20.25" x14ac:dyDescent="0.3">
      <c r="A141" s="103"/>
      <c r="B141" s="106"/>
      <c r="C141" s="107"/>
    </row>
    <row r="142" spans="1:3" ht="20.25" x14ac:dyDescent="0.3">
      <c r="A142" s="103"/>
      <c r="B142" s="106"/>
      <c r="C142" s="107"/>
    </row>
    <row r="143" spans="1:3" ht="20.25" x14ac:dyDescent="0.3">
      <c r="A143" s="103"/>
      <c r="B143" s="106"/>
      <c r="C143" s="107"/>
    </row>
    <row r="144" spans="1:3" ht="20.25" x14ac:dyDescent="0.3">
      <c r="A144" s="103"/>
      <c r="B144" s="106"/>
      <c r="C144" s="107"/>
    </row>
    <row r="145" spans="1:3" ht="20.25" x14ac:dyDescent="0.3">
      <c r="A145" s="103"/>
      <c r="B145" s="106"/>
      <c r="C145" s="107"/>
    </row>
    <row r="146" spans="1:3" ht="20.25" x14ac:dyDescent="0.3">
      <c r="A146" s="103"/>
      <c r="B146" s="106"/>
      <c r="C146" s="107"/>
    </row>
    <row r="147" spans="1:3" ht="20.25" x14ac:dyDescent="0.3">
      <c r="A147" s="105"/>
      <c r="B147" s="106"/>
      <c r="C147" s="107"/>
    </row>
    <row r="148" spans="1:3" ht="20.25" x14ac:dyDescent="0.3">
      <c r="A148" s="105"/>
      <c r="B148" s="106"/>
      <c r="C148" s="107"/>
    </row>
    <row r="149" spans="1:3" ht="20.25" x14ac:dyDescent="0.3">
      <c r="A149" s="105"/>
      <c r="B149" s="106"/>
      <c r="C149" s="107"/>
    </row>
    <row r="150" spans="1:3" ht="20.25" x14ac:dyDescent="0.3">
      <c r="A150" s="105"/>
      <c r="B150" s="106"/>
      <c r="C150" s="107"/>
    </row>
    <row r="151" spans="1:3" ht="20.25" x14ac:dyDescent="0.3">
      <c r="A151" s="105"/>
      <c r="B151" s="106"/>
      <c r="C151" s="107"/>
    </row>
    <row r="152" spans="1:3" ht="20.25" x14ac:dyDescent="0.3">
      <c r="A152" s="105"/>
      <c r="B152" s="106"/>
      <c r="C152" s="107"/>
    </row>
    <row r="153" spans="1:3" ht="20.25" x14ac:dyDescent="0.3">
      <c r="A153" s="105"/>
      <c r="B153" s="106"/>
      <c r="C153" s="107"/>
    </row>
    <row r="154" spans="1:3" ht="20.25" x14ac:dyDescent="0.3">
      <c r="A154" s="105"/>
      <c r="B154" s="106"/>
      <c r="C154" s="107"/>
    </row>
    <row r="155" spans="1:3" ht="20.25" x14ac:dyDescent="0.3">
      <c r="A155" s="105"/>
      <c r="B155" s="106"/>
      <c r="C155" s="107"/>
    </row>
    <row r="156" spans="1:3" ht="20.25" x14ac:dyDescent="0.3">
      <c r="A156" s="105"/>
      <c r="B156" s="106"/>
      <c r="C156" s="107"/>
    </row>
    <row r="157" spans="1:3" ht="20.25" x14ac:dyDescent="0.3">
      <c r="A157" s="105"/>
      <c r="B157" s="106"/>
      <c r="C157" s="107"/>
    </row>
    <row r="158" spans="1:3" ht="20.25" x14ac:dyDescent="0.3">
      <c r="A158" s="105"/>
      <c r="B158" s="106"/>
      <c r="C158" s="107"/>
    </row>
    <row r="159" spans="1:3" ht="20.25" x14ac:dyDescent="0.3">
      <c r="A159" s="105"/>
      <c r="B159" s="106"/>
      <c r="C159" s="107"/>
    </row>
    <row r="160" spans="1:3" ht="20.25" x14ac:dyDescent="0.3">
      <c r="A160" s="105"/>
      <c r="B160" s="106"/>
      <c r="C160" s="107"/>
    </row>
    <row r="161" spans="1:3" ht="20.25" x14ac:dyDescent="0.3">
      <c r="A161" s="105"/>
      <c r="B161" s="106"/>
      <c r="C161" s="107"/>
    </row>
    <row r="162" spans="1:3" ht="20.25" x14ac:dyDescent="0.3">
      <c r="A162" s="105"/>
      <c r="B162" s="106"/>
      <c r="C162" s="107"/>
    </row>
    <row r="163" spans="1:3" ht="20.25" x14ac:dyDescent="0.3">
      <c r="A163" s="105"/>
      <c r="B163" s="106"/>
      <c r="C163" s="107"/>
    </row>
    <row r="164" spans="1:3" ht="20.25" x14ac:dyDescent="0.3">
      <c r="A164" s="105"/>
      <c r="B164" s="106"/>
      <c r="C164" s="107"/>
    </row>
    <row r="165" spans="1:3" ht="20.25" x14ac:dyDescent="0.3">
      <c r="A165" s="105"/>
      <c r="B165" s="106"/>
      <c r="C165" s="107"/>
    </row>
    <row r="166" spans="1:3" ht="20.25" x14ac:dyDescent="0.3">
      <c r="A166" s="105"/>
      <c r="B166" s="106"/>
      <c r="C166" s="107"/>
    </row>
    <row r="167" spans="1:3" ht="20.25" x14ac:dyDescent="0.3">
      <c r="A167" s="105"/>
      <c r="B167" s="106"/>
      <c r="C167" s="107"/>
    </row>
    <row r="168" spans="1:3" ht="20.25" x14ac:dyDescent="0.3">
      <c r="A168" s="105"/>
      <c r="B168" s="106"/>
      <c r="C168" s="107"/>
    </row>
    <row r="169" spans="1:3" ht="20.25" x14ac:dyDescent="0.3">
      <c r="A169" s="105"/>
      <c r="B169" s="106"/>
      <c r="C169" s="107"/>
    </row>
    <row r="170" spans="1:3" ht="20.25" x14ac:dyDescent="0.3">
      <c r="A170" s="105"/>
      <c r="B170" s="106"/>
      <c r="C170" s="107"/>
    </row>
    <row r="171" spans="1:3" ht="20.25" x14ac:dyDescent="0.3">
      <c r="A171" s="105"/>
      <c r="B171" s="106"/>
      <c r="C171" s="107"/>
    </row>
    <row r="172" spans="1:3" ht="20.25" x14ac:dyDescent="0.3">
      <c r="A172" s="105"/>
      <c r="B172" s="106"/>
      <c r="C172" s="107"/>
    </row>
    <row r="173" spans="1:3" ht="20.25" x14ac:dyDescent="0.3">
      <c r="A173" s="105"/>
      <c r="B173" s="106"/>
      <c r="C173" s="107"/>
    </row>
    <row r="174" spans="1:3" ht="20.25" x14ac:dyDescent="0.3">
      <c r="A174" s="105"/>
      <c r="B174" s="106"/>
      <c r="C174" s="107"/>
    </row>
    <row r="175" spans="1:3" ht="20.25" x14ac:dyDescent="0.3">
      <c r="A175" s="105"/>
      <c r="B175" s="106"/>
      <c r="C175" s="107"/>
    </row>
    <row r="176" spans="1:3" ht="20.25" x14ac:dyDescent="0.3">
      <c r="A176" s="105"/>
      <c r="B176" s="106"/>
      <c r="C176" s="107"/>
    </row>
    <row r="177" spans="1:3" ht="20.25" x14ac:dyDescent="0.3">
      <c r="A177" s="105"/>
      <c r="B177" s="106"/>
      <c r="C177" s="107"/>
    </row>
    <row r="178" spans="1:3" ht="20.25" x14ac:dyDescent="0.3">
      <c r="A178" s="105"/>
      <c r="B178" s="106"/>
      <c r="C178" s="107"/>
    </row>
    <row r="179" spans="1:3" ht="20.25" x14ac:dyDescent="0.3">
      <c r="A179" s="105"/>
      <c r="B179" s="106"/>
      <c r="C179" s="107"/>
    </row>
    <row r="180" spans="1:3" ht="20.25" x14ac:dyDescent="0.3">
      <c r="A180" s="105"/>
      <c r="B180" s="106"/>
      <c r="C180" s="107"/>
    </row>
    <row r="181" spans="1:3" ht="20.25" x14ac:dyDescent="0.3">
      <c r="A181" s="105"/>
      <c r="B181" s="106"/>
      <c r="C181" s="107"/>
    </row>
    <row r="182" spans="1:3" ht="20.25" x14ac:dyDescent="0.3">
      <c r="A182" s="105"/>
      <c r="B182" s="106"/>
      <c r="C182" s="107"/>
    </row>
    <row r="183" spans="1:3" ht="20.25" x14ac:dyDescent="0.3">
      <c r="A183" s="105"/>
      <c r="B183" s="106"/>
      <c r="C183" s="107"/>
    </row>
    <row r="184" spans="1:3" ht="20.25" x14ac:dyDescent="0.3">
      <c r="A184" s="105"/>
      <c r="B184" s="106"/>
      <c r="C184" s="107"/>
    </row>
    <row r="185" spans="1:3" ht="20.25" x14ac:dyDescent="0.3">
      <c r="A185" s="105"/>
      <c r="B185" s="106"/>
      <c r="C185" s="107"/>
    </row>
    <row r="186" spans="1:3" ht="20.25" x14ac:dyDescent="0.3">
      <c r="A186" s="105"/>
      <c r="B186" s="106"/>
      <c r="C186" s="107"/>
    </row>
    <row r="187" spans="1:3" ht="20.25" x14ac:dyDescent="0.3">
      <c r="A187" s="105"/>
      <c r="B187" s="106"/>
      <c r="C187" s="107"/>
    </row>
    <row r="188" spans="1:3" ht="20.25" x14ac:dyDescent="0.3">
      <c r="A188" s="105"/>
      <c r="B188" s="106"/>
      <c r="C188" s="107"/>
    </row>
    <row r="189" spans="1:3" ht="20.25" x14ac:dyDescent="0.3">
      <c r="A189" s="105"/>
      <c r="B189" s="106"/>
      <c r="C189" s="107"/>
    </row>
    <row r="190" spans="1:3" ht="20.25" x14ac:dyDescent="0.3">
      <c r="A190" s="105"/>
      <c r="B190" s="106"/>
      <c r="C190" s="107"/>
    </row>
    <row r="191" spans="1:3" ht="20.25" x14ac:dyDescent="0.3">
      <c r="A191" s="105"/>
      <c r="B191" s="106"/>
      <c r="C191" s="107"/>
    </row>
    <row r="192" spans="1:3" ht="20.25" x14ac:dyDescent="0.3">
      <c r="A192" s="105"/>
      <c r="B192" s="106"/>
      <c r="C192" s="107"/>
    </row>
    <row r="193" spans="1:3" ht="20.25" x14ac:dyDescent="0.3">
      <c r="A193" s="105"/>
      <c r="B193" s="106"/>
      <c r="C193" s="107"/>
    </row>
    <row r="194" spans="1:3" ht="20.25" x14ac:dyDescent="0.3">
      <c r="A194" s="105"/>
      <c r="B194" s="106"/>
      <c r="C194" s="107"/>
    </row>
    <row r="195" spans="1:3" ht="20.25" x14ac:dyDescent="0.3">
      <c r="A195" s="105"/>
      <c r="B195" s="106"/>
      <c r="C195" s="107"/>
    </row>
    <row r="196" spans="1:3" ht="20.25" x14ac:dyDescent="0.3">
      <c r="A196" s="105"/>
      <c r="B196" s="106"/>
      <c r="C196" s="107"/>
    </row>
    <row r="197" spans="1:3" ht="20.25" x14ac:dyDescent="0.3">
      <c r="A197" s="105"/>
      <c r="B197" s="106"/>
      <c r="C197" s="107"/>
    </row>
    <row r="198" spans="1:3" ht="20.25" x14ac:dyDescent="0.3">
      <c r="A198" s="105"/>
      <c r="B198" s="106"/>
      <c r="C198" s="107"/>
    </row>
    <row r="199" spans="1:3" ht="20.25" x14ac:dyDescent="0.3">
      <c r="A199" s="105"/>
      <c r="B199" s="106"/>
      <c r="C199" s="107"/>
    </row>
    <row r="200" spans="1:3" ht="20.25" x14ac:dyDescent="0.3">
      <c r="A200" s="105"/>
      <c r="B200" s="106"/>
      <c r="C200" s="107"/>
    </row>
    <row r="201" spans="1:3" ht="20.25" x14ac:dyDescent="0.3">
      <c r="A201" s="105"/>
      <c r="B201" s="106"/>
      <c r="C201" s="107"/>
    </row>
    <row r="202" spans="1:3" ht="20.25" x14ac:dyDescent="0.3">
      <c r="A202" s="105"/>
      <c r="B202" s="106"/>
      <c r="C202" s="107"/>
    </row>
    <row r="203" spans="1:3" ht="20.25" x14ac:dyDescent="0.3">
      <c r="A203" s="105"/>
      <c r="B203" s="106"/>
      <c r="C203" s="107"/>
    </row>
    <row r="204" spans="1:3" ht="20.25" x14ac:dyDescent="0.3">
      <c r="A204" s="105"/>
      <c r="B204" s="106"/>
      <c r="C204" s="107"/>
    </row>
    <row r="205" spans="1:3" ht="20.25" x14ac:dyDescent="0.3">
      <c r="A205" s="105"/>
      <c r="B205" s="106"/>
      <c r="C205" s="107"/>
    </row>
    <row r="206" spans="1:3" ht="20.25" x14ac:dyDescent="0.3">
      <c r="A206" s="105"/>
      <c r="B206" s="106"/>
      <c r="C206" s="107"/>
    </row>
    <row r="207" spans="1:3" ht="20.25" x14ac:dyDescent="0.3">
      <c r="A207" s="105"/>
      <c r="B207" s="106"/>
      <c r="C207" s="107"/>
    </row>
    <row r="208" spans="1:3" ht="20.25" x14ac:dyDescent="0.3">
      <c r="A208" s="105"/>
      <c r="B208" s="106"/>
      <c r="C208" s="107"/>
    </row>
    <row r="209" spans="1:3" ht="20.25" x14ac:dyDescent="0.3">
      <c r="A209" s="105"/>
      <c r="B209" s="106"/>
      <c r="C209" s="107"/>
    </row>
    <row r="210" spans="1:3" ht="20.25" x14ac:dyDescent="0.3">
      <c r="A210" s="105"/>
      <c r="B210" s="106"/>
      <c r="C210" s="107"/>
    </row>
    <row r="211" spans="1:3" ht="20.25" x14ac:dyDescent="0.3">
      <c r="A211" s="105"/>
      <c r="B211" s="106"/>
      <c r="C211" s="107"/>
    </row>
    <row r="212" spans="1:3" ht="20.25" x14ac:dyDescent="0.3">
      <c r="A212" s="105"/>
      <c r="B212" s="106"/>
      <c r="C212" s="107"/>
    </row>
    <row r="213" spans="1:3" ht="20.25" x14ac:dyDescent="0.3">
      <c r="A213" s="105"/>
      <c r="B213" s="106"/>
      <c r="C213" s="107"/>
    </row>
    <row r="214" spans="1:3" ht="20.25" x14ac:dyDescent="0.3">
      <c r="A214" s="105"/>
      <c r="B214" s="106"/>
      <c r="C214" s="107"/>
    </row>
    <row r="215" spans="1:3" ht="20.25" x14ac:dyDescent="0.3">
      <c r="A215" s="105"/>
      <c r="B215" s="106"/>
      <c r="C215" s="107"/>
    </row>
    <row r="216" spans="1:3" ht="20.25" x14ac:dyDescent="0.3">
      <c r="A216" s="105"/>
      <c r="B216" s="106"/>
      <c r="C216" s="107"/>
    </row>
    <row r="217" spans="1:3" ht="20.25" x14ac:dyDescent="0.3">
      <c r="A217" s="105"/>
      <c r="B217" s="106"/>
      <c r="C217" s="107"/>
    </row>
    <row r="218" spans="1:3" ht="20.25" x14ac:dyDescent="0.3">
      <c r="A218" s="105"/>
      <c r="B218" s="106"/>
      <c r="C218" s="107"/>
    </row>
    <row r="219" spans="1:3" ht="20.25" x14ac:dyDescent="0.3">
      <c r="A219" s="105"/>
      <c r="B219" s="106"/>
      <c r="C219" s="107"/>
    </row>
    <row r="220" spans="1:3" ht="20.25" x14ac:dyDescent="0.3">
      <c r="A220" s="105"/>
      <c r="B220" s="106"/>
      <c r="C220" s="107"/>
    </row>
    <row r="221" spans="1:3" ht="20.25" x14ac:dyDescent="0.3">
      <c r="A221" s="105"/>
      <c r="B221" s="106"/>
      <c r="C221" s="107"/>
    </row>
    <row r="222" spans="1:3" ht="20.25" x14ac:dyDescent="0.3">
      <c r="A222" s="105"/>
      <c r="B222" s="106"/>
      <c r="C222" s="107"/>
    </row>
    <row r="223" spans="1:3" ht="20.25" x14ac:dyDescent="0.3">
      <c r="A223" s="105"/>
      <c r="B223" s="106"/>
      <c r="C223" s="107"/>
    </row>
    <row r="224" spans="1:3" ht="20.25" x14ac:dyDescent="0.3">
      <c r="A224" s="105"/>
      <c r="B224" s="106"/>
      <c r="C224" s="107"/>
    </row>
    <row r="225" spans="1:3" ht="20.25" x14ac:dyDescent="0.3">
      <c r="A225" s="105"/>
      <c r="B225" s="106"/>
      <c r="C225" s="107"/>
    </row>
    <row r="226" spans="1:3" ht="20.25" x14ac:dyDescent="0.3">
      <c r="A226" s="105"/>
      <c r="B226" s="106"/>
      <c r="C226" s="107"/>
    </row>
    <row r="227" spans="1:3" ht="20.25" x14ac:dyDescent="0.3">
      <c r="A227" s="105"/>
      <c r="B227" s="106"/>
      <c r="C227" s="107"/>
    </row>
    <row r="228" spans="1:3" ht="20.25" x14ac:dyDescent="0.3">
      <c r="A228" s="105"/>
      <c r="B228" s="106"/>
      <c r="C228" s="107"/>
    </row>
    <row r="229" spans="1:3" ht="20.25" x14ac:dyDescent="0.3">
      <c r="A229" s="105"/>
      <c r="B229" s="106"/>
      <c r="C229" s="107"/>
    </row>
    <row r="230" spans="1:3" ht="20.25" x14ac:dyDescent="0.3">
      <c r="A230" s="105"/>
      <c r="B230" s="106"/>
      <c r="C230" s="107"/>
    </row>
    <row r="231" spans="1:3" ht="20.25" x14ac:dyDescent="0.3">
      <c r="A231" s="105"/>
      <c r="B231" s="106"/>
      <c r="C231" s="107"/>
    </row>
    <row r="232" spans="1:3" ht="20.25" x14ac:dyDescent="0.3">
      <c r="A232" s="105"/>
      <c r="B232" s="106"/>
      <c r="C232" s="107"/>
    </row>
    <row r="233" spans="1:3" ht="20.25" x14ac:dyDescent="0.3">
      <c r="A233" s="105"/>
      <c r="B233" s="106"/>
      <c r="C233" s="107"/>
    </row>
    <row r="234" spans="1:3" ht="20.25" x14ac:dyDescent="0.3">
      <c r="A234" s="105"/>
      <c r="B234" s="106"/>
      <c r="C234" s="107"/>
    </row>
    <row r="235" spans="1:3" ht="20.25" x14ac:dyDescent="0.3">
      <c r="A235" s="105"/>
      <c r="B235" s="106"/>
      <c r="C235" s="107"/>
    </row>
    <row r="236" spans="1:3" ht="20.25" x14ac:dyDescent="0.3">
      <c r="A236" s="105"/>
      <c r="B236" s="106"/>
      <c r="C236" s="107"/>
    </row>
    <row r="237" spans="1:3" ht="20.25" x14ac:dyDescent="0.3">
      <c r="A237" s="105"/>
      <c r="B237" s="106"/>
      <c r="C237" s="107"/>
    </row>
    <row r="238" spans="1:3" ht="20.25" x14ac:dyDescent="0.3">
      <c r="A238" s="105"/>
      <c r="B238" s="106"/>
      <c r="C238" s="107"/>
    </row>
    <row r="239" spans="1:3" ht="20.25" x14ac:dyDescent="0.3">
      <c r="A239" s="105"/>
      <c r="B239" s="106"/>
      <c r="C239" s="107"/>
    </row>
    <row r="240" spans="1:3" ht="20.25" x14ac:dyDescent="0.3">
      <c r="A240" s="105"/>
      <c r="B240" s="106"/>
      <c r="C240" s="107"/>
    </row>
    <row r="241" spans="1:3" ht="20.25" x14ac:dyDescent="0.3">
      <c r="A241" s="105"/>
      <c r="B241" s="106"/>
      <c r="C241" s="107"/>
    </row>
    <row r="242" spans="1:3" ht="20.25" x14ac:dyDescent="0.3">
      <c r="A242" s="105"/>
      <c r="B242" s="106"/>
      <c r="C242" s="107"/>
    </row>
    <row r="243" spans="1:3" ht="20.25" x14ac:dyDescent="0.3">
      <c r="A243" s="105"/>
      <c r="B243" s="106"/>
      <c r="C243" s="107"/>
    </row>
    <row r="244" spans="1:3" ht="20.25" x14ac:dyDescent="0.3">
      <c r="A244" s="105"/>
      <c r="B244" s="106"/>
      <c r="C244" s="107"/>
    </row>
    <row r="245" spans="1:3" ht="20.25" x14ac:dyDescent="0.3">
      <c r="A245" s="105"/>
      <c r="B245" s="106"/>
      <c r="C245" s="107"/>
    </row>
    <row r="246" spans="1:3" ht="20.25" x14ac:dyDescent="0.3">
      <c r="A246" s="105"/>
      <c r="B246" s="106"/>
      <c r="C246" s="107"/>
    </row>
    <row r="247" spans="1:3" ht="20.25" x14ac:dyDescent="0.3">
      <c r="A247" s="105"/>
      <c r="B247" s="106"/>
      <c r="C247" s="107"/>
    </row>
    <row r="248" spans="1:3" ht="20.25" x14ac:dyDescent="0.3">
      <c r="A248" s="105"/>
      <c r="B248" s="106"/>
      <c r="C248" s="107"/>
    </row>
    <row r="249" spans="1:3" ht="20.25" x14ac:dyDescent="0.3">
      <c r="A249" s="105"/>
      <c r="B249" s="106"/>
      <c r="C249" s="107"/>
    </row>
    <row r="250" spans="1:3" ht="20.25" x14ac:dyDescent="0.3">
      <c r="A250" s="105"/>
      <c r="B250" s="106"/>
      <c r="C250" s="107"/>
    </row>
    <row r="251" spans="1:3" ht="20.25" x14ac:dyDescent="0.3">
      <c r="A251" s="105"/>
      <c r="B251" s="106"/>
      <c r="C251" s="107"/>
    </row>
    <row r="252" spans="1:3" ht="20.25" x14ac:dyDescent="0.3">
      <c r="A252" s="105"/>
      <c r="B252" s="106"/>
      <c r="C252" s="107"/>
    </row>
    <row r="253" spans="1:3" ht="20.25" x14ac:dyDescent="0.3">
      <c r="A253" s="105"/>
      <c r="B253" s="106"/>
      <c r="C253" s="107"/>
    </row>
    <row r="254" spans="1:3" ht="20.25" x14ac:dyDescent="0.3">
      <c r="A254" s="105"/>
      <c r="B254" s="106"/>
      <c r="C254" s="107"/>
    </row>
    <row r="255" spans="1:3" ht="20.25" x14ac:dyDescent="0.3">
      <c r="A255" s="105"/>
      <c r="B255" s="106"/>
      <c r="C255" s="107"/>
    </row>
    <row r="256" spans="1:3" ht="20.25" x14ac:dyDescent="0.3">
      <c r="A256" s="105"/>
      <c r="B256" s="106"/>
      <c r="C256" s="107"/>
    </row>
    <row r="257" spans="1:3" ht="20.25" x14ac:dyDescent="0.3">
      <c r="A257" s="105"/>
      <c r="B257" s="106"/>
      <c r="C257" s="107"/>
    </row>
    <row r="258" spans="1:3" ht="20.25" x14ac:dyDescent="0.3">
      <c r="A258" s="105"/>
      <c r="B258" s="106"/>
      <c r="C258" s="107"/>
    </row>
    <row r="259" spans="1:3" ht="20.25" x14ac:dyDescent="0.3">
      <c r="A259" s="105"/>
      <c r="B259" s="106"/>
      <c r="C259" s="107"/>
    </row>
    <row r="260" spans="1:3" ht="20.25" x14ac:dyDescent="0.3">
      <c r="A260" s="105"/>
      <c r="B260" s="106"/>
      <c r="C260" s="107"/>
    </row>
    <row r="261" spans="1:3" ht="20.25" x14ac:dyDescent="0.3">
      <c r="A261" s="105"/>
      <c r="B261" s="106"/>
      <c r="C261" s="107"/>
    </row>
    <row r="262" spans="1:3" ht="20.25" x14ac:dyDescent="0.3">
      <c r="A262" s="105"/>
      <c r="B262" s="106"/>
      <c r="C262" s="107"/>
    </row>
    <row r="263" spans="1:3" ht="20.25" x14ac:dyDescent="0.3">
      <c r="A263" s="105"/>
      <c r="B263" s="106"/>
      <c r="C263" s="107"/>
    </row>
    <row r="264" spans="1:3" ht="20.25" x14ac:dyDescent="0.3">
      <c r="A264" s="105"/>
      <c r="B264" s="106"/>
      <c r="C264" s="107"/>
    </row>
    <row r="265" spans="1:3" ht="20.25" x14ac:dyDescent="0.3">
      <c r="A265" s="105"/>
      <c r="B265" s="106"/>
      <c r="C265" s="107"/>
    </row>
    <row r="266" spans="1:3" ht="20.25" x14ac:dyDescent="0.3">
      <c r="A266" s="105"/>
      <c r="B266" s="106"/>
      <c r="C266" s="107"/>
    </row>
    <row r="267" spans="1:3" ht="20.25" x14ac:dyDescent="0.3">
      <c r="A267" s="105"/>
      <c r="B267" s="106"/>
      <c r="C267" s="107"/>
    </row>
    <row r="268" spans="1:3" ht="20.25" x14ac:dyDescent="0.3">
      <c r="A268" s="105"/>
      <c r="B268" s="106"/>
      <c r="C268" s="107"/>
    </row>
    <row r="269" spans="1:3" ht="20.25" x14ac:dyDescent="0.3">
      <c r="A269" s="105"/>
      <c r="B269" s="106"/>
      <c r="C269" s="107"/>
    </row>
    <row r="270" spans="1:3" ht="20.25" x14ac:dyDescent="0.3">
      <c r="A270" s="105"/>
      <c r="B270" s="106"/>
      <c r="C270" s="107"/>
    </row>
    <row r="271" spans="1:3" ht="20.25" x14ac:dyDescent="0.3">
      <c r="A271" s="105"/>
      <c r="B271" s="106"/>
      <c r="C271" s="107"/>
    </row>
    <row r="272" spans="1:3" ht="20.25" x14ac:dyDescent="0.3">
      <c r="A272" s="105"/>
      <c r="B272" s="106"/>
      <c r="C272" s="107"/>
    </row>
    <row r="273" spans="1:3" ht="20.25" x14ac:dyDescent="0.3">
      <c r="A273" s="105"/>
      <c r="B273" s="106"/>
      <c r="C273" s="107"/>
    </row>
    <row r="274" spans="1:3" ht="20.25" x14ac:dyDescent="0.3">
      <c r="A274" s="105"/>
      <c r="B274" s="106"/>
      <c r="C274" s="107"/>
    </row>
    <row r="275" spans="1:3" ht="20.25" x14ac:dyDescent="0.3">
      <c r="A275" s="105"/>
      <c r="B275" s="106"/>
      <c r="C275" s="107"/>
    </row>
    <row r="276" spans="1:3" ht="20.25" x14ac:dyDescent="0.3">
      <c r="A276" s="105"/>
      <c r="B276" s="106"/>
      <c r="C276" s="107"/>
    </row>
    <row r="277" spans="1:3" ht="20.25" x14ac:dyDescent="0.3">
      <c r="A277" s="105"/>
      <c r="B277" s="106"/>
      <c r="C277" s="107"/>
    </row>
    <row r="278" spans="1:3" ht="20.25" x14ac:dyDescent="0.3">
      <c r="A278" s="105"/>
      <c r="B278" s="106"/>
      <c r="C278" s="107"/>
    </row>
    <row r="279" spans="1:3" ht="20.25" x14ac:dyDescent="0.3">
      <c r="A279" s="105"/>
      <c r="B279" s="106"/>
      <c r="C279" s="107"/>
    </row>
    <row r="280" spans="1:3" ht="20.25" x14ac:dyDescent="0.3">
      <c r="A280" s="105"/>
      <c r="B280" s="106"/>
      <c r="C280" s="107"/>
    </row>
    <row r="281" spans="1:3" ht="20.25" x14ac:dyDescent="0.3">
      <c r="A281" s="105"/>
      <c r="B281" s="106"/>
      <c r="C281" s="107"/>
    </row>
    <row r="282" spans="1:3" ht="20.25" x14ac:dyDescent="0.3">
      <c r="A282" s="105"/>
      <c r="B282" s="106"/>
      <c r="C282" s="107"/>
    </row>
    <row r="283" spans="1:3" ht="20.25" x14ac:dyDescent="0.3">
      <c r="A283" s="105"/>
      <c r="B283" s="106"/>
      <c r="C283" s="107"/>
    </row>
    <row r="284" spans="1:3" ht="20.25" x14ac:dyDescent="0.3">
      <c r="A284" s="105"/>
      <c r="B284" s="106"/>
      <c r="C284" s="107"/>
    </row>
    <row r="285" spans="1:3" ht="20.25" x14ac:dyDescent="0.3">
      <c r="A285" s="105"/>
      <c r="B285" s="106"/>
      <c r="C285" s="107"/>
    </row>
    <row r="286" spans="1:3" ht="20.25" x14ac:dyDescent="0.3">
      <c r="A286" s="105"/>
      <c r="B286" s="106"/>
      <c r="C286" s="107"/>
    </row>
    <row r="287" spans="1:3" ht="20.25" x14ac:dyDescent="0.3">
      <c r="A287" s="105"/>
      <c r="B287" s="106"/>
      <c r="C287" s="107"/>
    </row>
    <row r="288" spans="1:3" ht="20.25" x14ac:dyDescent="0.3">
      <c r="A288" s="105"/>
      <c r="B288" s="106"/>
      <c r="C288" s="107"/>
    </row>
    <row r="289" spans="1:3" ht="20.25" x14ac:dyDescent="0.3">
      <c r="A289" s="105"/>
      <c r="B289" s="106"/>
      <c r="C289" s="107"/>
    </row>
    <row r="290" spans="1:3" ht="20.25" x14ac:dyDescent="0.3">
      <c r="A290" s="105"/>
      <c r="B290" s="106"/>
      <c r="C290" s="107"/>
    </row>
    <row r="291" spans="1:3" ht="20.25" x14ac:dyDescent="0.3">
      <c r="A291" s="105"/>
      <c r="B291" s="106"/>
      <c r="C291" s="107"/>
    </row>
    <row r="292" spans="1:3" ht="20.25" x14ac:dyDescent="0.3">
      <c r="A292" s="105"/>
      <c r="B292" s="106"/>
      <c r="C292" s="107"/>
    </row>
    <row r="293" spans="1:3" ht="20.25" x14ac:dyDescent="0.3">
      <c r="A293" s="105"/>
      <c r="B293" s="106"/>
      <c r="C293" s="107"/>
    </row>
    <row r="294" spans="1:3" ht="20.25" x14ac:dyDescent="0.3">
      <c r="A294" s="105"/>
      <c r="B294" s="106"/>
      <c r="C294" s="107"/>
    </row>
    <row r="295" spans="1:3" ht="20.25" x14ac:dyDescent="0.3">
      <c r="A295" s="105"/>
      <c r="B295" s="106"/>
      <c r="C295" s="107"/>
    </row>
    <row r="296" spans="1:3" ht="20.25" x14ac:dyDescent="0.3">
      <c r="A296" s="105"/>
      <c r="B296" s="106"/>
      <c r="C296" s="107"/>
    </row>
    <row r="297" spans="1:3" ht="20.25" x14ac:dyDescent="0.3">
      <c r="A297" s="105"/>
      <c r="B297" s="106"/>
      <c r="C297" s="107"/>
    </row>
    <row r="298" spans="1:3" ht="20.25" x14ac:dyDescent="0.3">
      <c r="A298" s="105"/>
      <c r="B298" s="106"/>
      <c r="C298" s="107"/>
    </row>
    <row r="299" spans="1:3" ht="20.25" x14ac:dyDescent="0.3">
      <c r="A299" s="105"/>
      <c r="B299" s="106"/>
      <c r="C299" s="107"/>
    </row>
    <row r="300" spans="1:3" ht="20.25" x14ac:dyDescent="0.3">
      <c r="A300" s="105"/>
      <c r="B300" s="106"/>
      <c r="C300" s="107"/>
    </row>
    <row r="301" spans="1:3" ht="20.25" x14ac:dyDescent="0.3">
      <c r="A301" s="105"/>
      <c r="B301" s="106"/>
      <c r="C301" s="107"/>
    </row>
    <row r="302" spans="1:3" ht="20.25" x14ac:dyDescent="0.3">
      <c r="A302" s="105"/>
      <c r="B302" s="106"/>
      <c r="C302" s="107"/>
    </row>
    <row r="303" spans="1:3" ht="20.25" x14ac:dyDescent="0.3">
      <c r="A303" s="105"/>
      <c r="B303" s="106"/>
      <c r="C303" s="107"/>
    </row>
    <row r="304" spans="1:3" ht="20.25" x14ac:dyDescent="0.3">
      <c r="A304" s="105"/>
      <c r="B304" s="106"/>
      <c r="C304" s="107"/>
    </row>
    <row r="305" spans="1:3" ht="20.25" x14ac:dyDescent="0.3">
      <c r="A305" s="105"/>
      <c r="B305" s="106"/>
      <c r="C305" s="107"/>
    </row>
    <row r="306" spans="1:3" ht="20.25" x14ac:dyDescent="0.3">
      <c r="A306" s="105"/>
      <c r="B306" s="106"/>
      <c r="C306" s="107"/>
    </row>
    <row r="307" spans="1:3" ht="20.25" x14ac:dyDescent="0.3">
      <c r="A307" s="105"/>
      <c r="B307" s="106"/>
      <c r="C307" s="107"/>
    </row>
    <row r="308" spans="1:3" ht="20.25" x14ac:dyDescent="0.3">
      <c r="A308" s="105"/>
      <c r="B308" s="106"/>
      <c r="C308" s="107"/>
    </row>
    <row r="309" spans="1:3" ht="20.25" x14ac:dyDescent="0.3">
      <c r="A309" s="105"/>
      <c r="B309" s="106"/>
      <c r="C309" s="107"/>
    </row>
    <row r="310" spans="1:3" ht="20.25" x14ac:dyDescent="0.3">
      <c r="A310" s="105"/>
      <c r="B310" s="106"/>
      <c r="C310" s="107"/>
    </row>
    <row r="311" spans="1:3" ht="20.25" x14ac:dyDescent="0.3">
      <c r="A311" s="105"/>
      <c r="B311" s="106"/>
      <c r="C311" s="107"/>
    </row>
    <row r="312" spans="1:3" ht="20.25" x14ac:dyDescent="0.3">
      <c r="A312" s="105"/>
      <c r="B312" s="106"/>
      <c r="C312" s="107"/>
    </row>
    <row r="313" spans="1:3" ht="20.25" x14ac:dyDescent="0.3">
      <c r="A313" s="105"/>
      <c r="B313" s="106"/>
      <c r="C313" s="107"/>
    </row>
    <row r="314" spans="1:3" ht="20.25" x14ac:dyDescent="0.3">
      <c r="A314" s="105"/>
      <c r="B314" s="106"/>
      <c r="C314" s="107"/>
    </row>
    <row r="315" spans="1:3" ht="20.25" x14ac:dyDescent="0.3">
      <c r="A315" s="105"/>
      <c r="B315" s="106"/>
      <c r="C315" s="107"/>
    </row>
    <row r="316" spans="1:3" ht="20.25" x14ac:dyDescent="0.3">
      <c r="A316" s="105"/>
      <c r="B316" s="106"/>
      <c r="C316" s="107"/>
    </row>
    <row r="317" spans="1:3" ht="20.25" x14ac:dyDescent="0.3">
      <c r="A317" s="105"/>
      <c r="B317" s="106"/>
      <c r="C317" s="107"/>
    </row>
    <row r="318" spans="1:3" ht="20.25" x14ac:dyDescent="0.3">
      <c r="A318" s="105"/>
      <c r="B318" s="106"/>
      <c r="C318" s="107"/>
    </row>
    <row r="319" spans="1:3" ht="20.25" x14ac:dyDescent="0.3">
      <c r="A319" s="105"/>
      <c r="B319" s="106"/>
      <c r="C319" s="107"/>
    </row>
    <row r="320" spans="1:3" ht="20.25" x14ac:dyDescent="0.3">
      <c r="A320" s="105"/>
      <c r="B320" s="106"/>
      <c r="C320" s="107"/>
    </row>
    <row r="321" spans="1:3" ht="20.25" x14ac:dyDescent="0.3">
      <c r="A321" s="105"/>
      <c r="B321" s="106"/>
      <c r="C321" s="107"/>
    </row>
    <row r="322" spans="1:3" ht="20.25" x14ac:dyDescent="0.3">
      <c r="A322" s="105"/>
      <c r="B322" s="106"/>
      <c r="C322" s="107"/>
    </row>
    <row r="323" spans="1:3" ht="20.25" x14ac:dyDescent="0.3">
      <c r="A323" s="105"/>
      <c r="B323" s="106"/>
      <c r="C323" s="107"/>
    </row>
    <row r="324" spans="1:3" ht="20.25" x14ac:dyDescent="0.3">
      <c r="A324" s="105"/>
      <c r="B324" s="106"/>
      <c r="C324" s="107"/>
    </row>
    <row r="325" spans="1:3" ht="20.25" x14ac:dyDescent="0.3">
      <c r="A325" s="105"/>
      <c r="B325" s="106"/>
      <c r="C325" s="107"/>
    </row>
    <row r="326" spans="1:3" ht="20.25" x14ac:dyDescent="0.3">
      <c r="A326" s="105"/>
      <c r="B326" s="106"/>
      <c r="C326" s="107"/>
    </row>
    <row r="327" spans="1:3" ht="20.25" x14ac:dyDescent="0.3">
      <c r="A327" s="105"/>
      <c r="B327" s="106"/>
      <c r="C327" s="107"/>
    </row>
    <row r="328" spans="1:3" ht="20.25" x14ac:dyDescent="0.3">
      <c r="A328" s="105"/>
      <c r="B328" s="106"/>
      <c r="C328" s="107"/>
    </row>
    <row r="329" spans="1:3" ht="20.25" x14ac:dyDescent="0.3">
      <c r="A329" s="105"/>
      <c r="B329" s="106"/>
      <c r="C329" s="107"/>
    </row>
    <row r="330" spans="1:3" ht="20.25" x14ac:dyDescent="0.3">
      <c r="A330" s="105"/>
      <c r="B330" s="106"/>
      <c r="C330" s="107"/>
    </row>
    <row r="331" spans="1:3" ht="20.25" x14ac:dyDescent="0.3">
      <c r="A331" s="105"/>
      <c r="B331" s="106"/>
      <c r="C331" s="107"/>
    </row>
    <row r="332" spans="1:3" ht="20.25" x14ac:dyDescent="0.3">
      <c r="A332" s="105"/>
      <c r="B332" s="106"/>
      <c r="C332" s="107"/>
    </row>
    <row r="333" spans="1:3" ht="20.25" x14ac:dyDescent="0.3">
      <c r="A333" s="105"/>
      <c r="B333" s="106"/>
      <c r="C333" s="107"/>
    </row>
    <row r="334" spans="1:3" ht="20.25" x14ac:dyDescent="0.3">
      <c r="A334" s="105"/>
      <c r="B334" s="106"/>
      <c r="C334" s="107"/>
    </row>
    <row r="335" spans="1:3" ht="20.25" x14ac:dyDescent="0.3">
      <c r="A335" s="105"/>
      <c r="B335" s="106"/>
      <c r="C335" s="107"/>
    </row>
    <row r="336" spans="1:3" ht="20.25" x14ac:dyDescent="0.3">
      <c r="A336" s="105"/>
      <c r="B336" s="106"/>
      <c r="C336" s="107"/>
    </row>
    <row r="337" spans="1:3" ht="20.25" x14ac:dyDescent="0.3">
      <c r="A337" s="105"/>
      <c r="B337" s="106"/>
      <c r="C337" s="107"/>
    </row>
    <row r="338" spans="1:3" ht="20.25" x14ac:dyDescent="0.3">
      <c r="A338" s="105"/>
      <c r="B338" s="106"/>
      <c r="C338" s="107"/>
    </row>
    <row r="339" spans="1:3" ht="20.25" x14ac:dyDescent="0.3">
      <c r="A339" s="105"/>
      <c r="B339" s="106"/>
      <c r="C339" s="107"/>
    </row>
    <row r="340" spans="1:3" ht="20.25" x14ac:dyDescent="0.3">
      <c r="A340" s="105"/>
      <c r="B340" s="106"/>
      <c r="C340" s="107"/>
    </row>
    <row r="341" spans="1:3" ht="20.25" x14ac:dyDescent="0.3">
      <c r="A341" s="105"/>
      <c r="B341" s="106"/>
      <c r="C341" s="107"/>
    </row>
    <row r="342" spans="1:3" ht="20.25" x14ac:dyDescent="0.3">
      <c r="A342" s="105"/>
      <c r="B342" s="106"/>
      <c r="C342" s="107"/>
    </row>
    <row r="343" spans="1:3" ht="20.25" x14ac:dyDescent="0.3">
      <c r="A343" s="105"/>
      <c r="B343" s="106"/>
      <c r="C343" s="107"/>
    </row>
    <row r="344" spans="1:3" ht="20.25" x14ac:dyDescent="0.3">
      <c r="A344" s="105"/>
      <c r="B344" s="106"/>
      <c r="C344" s="107"/>
    </row>
    <row r="345" spans="1:3" ht="20.25" x14ac:dyDescent="0.3">
      <c r="A345" s="105"/>
      <c r="B345" s="106"/>
      <c r="C345" s="107"/>
    </row>
  </sheetData>
  <pageMargins left="0.7" right="0.7" top="0.75" bottom="0.75" header="0.3" footer="0.3"/>
  <pageSetup paperSize="256" orientation="portrait" horizontalDpi="203" verticalDpi="203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162"/>
  <sheetViews>
    <sheetView workbookViewId="0">
      <selection activeCell="B4" sqref="B4"/>
    </sheetView>
  </sheetViews>
  <sheetFormatPr defaultRowHeight="15" x14ac:dyDescent="0.25"/>
  <cols>
    <col min="1" max="1" width="31.42578125" customWidth="1"/>
    <col min="2" max="2" width="11.140625" customWidth="1"/>
    <col min="7" max="7" width="35.28515625" bestFit="1" customWidth="1"/>
  </cols>
  <sheetData>
    <row r="3" spans="1:8" x14ac:dyDescent="0.25">
      <c r="A3" s="123" t="s">
        <v>9060</v>
      </c>
      <c r="B3" t="s">
        <v>9186</v>
      </c>
      <c r="G3" t="s">
        <v>10955</v>
      </c>
      <c r="H3">
        <v>2</v>
      </c>
    </row>
    <row r="4" spans="1:8" x14ac:dyDescent="0.25">
      <c r="A4" s="13"/>
      <c r="B4" s="124">
        <v>2</v>
      </c>
      <c r="G4" t="s">
        <v>10921</v>
      </c>
      <c r="H4">
        <v>17</v>
      </c>
    </row>
    <row r="5" spans="1:8" x14ac:dyDescent="0.25">
      <c r="A5" s="13" t="s">
        <v>9185</v>
      </c>
      <c r="B5" s="124"/>
      <c r="G5" t="s">
        <v>10958</v>
      </c>
      <c r="H5">
        <v>2</v>
      </c>
    </row>
    <row r="6" spans="1:8" x14ac:dyDescent="0.25">
      <c r="A6" s="13" t="s">
        <v>8793</v>
      </c>
      <c r="B6" s="124">
        <v>0</v>
      </c>
      <c r="G6" t="s">
        <v>10922</v>
      </c>
      <c r="H6">
        <v>5</v>
      </c>
    </row>
    <row r="7" spans="1:8" x14ac:dyDescent="0.25">
      <c r="A7" s="13" t="s">
        <v>9061</v>
      </c>
      <c r="B7" s="124">
        <v>2</v>
      </c>
      <c r="G7" t="s">
        <v>6522</v>
      </c>
      <c r="H7">
        <v>5</v>
      </c>
    </row>
    <row r="8" spans="1:8" x14ac:dyDescent="0.25">
      <c r="G8" t="s">
        <v>6466</v>
      </c>
      <c r="H8">
        <v>4</v>
      </c>
    </row>
    <row r="9" spans="1:8" x14ac:dyDescent="0.25">
      <c r="G9" t="s">
        <v>6541</v>
      </c>
      <c r="H9">
        <v>11</v>
      </c>
    </row>
    <row r="10" spans="1:8" x14ac:dyDescent="0.25">
      <c r="G10" t="s">
        <v>6470</v>
      </c>
      <c r="H10">
        <v>4</v>
      </c>
    </row>
    <row r="11" spans="1:8" x14ac:dyDescent="0.25">
      <c r="G11" t="s">
        <v>6458</v>
      </c>
      <c r="H11">
        <v>3</v>
      </c>
    </row>
    <row r="12" spans="1:8" x14ac:dyDescent="0.25">
      <c r="G12" t="s">
        <v>6481</v>
      </c>
      <c r="H12">
        <v>7</v>
      </c>
    </row>
    <row r="13" spans="1:8" x14ac:dyDescent="0.25">
      <c r="G13" t="s">
        <v>1793</v>
      </c>
      <c r="H13">
        <v>4</v>
      </c>
    </row>
    <row r="14" spans="1:8" x14ac:dyDescent="0.25">
      <c r="G14" t="s">
        <v>6516</v>
      </c>
      <c r="H14">
        <v>1</v>
      </c>
    </row>
    <row r="15" spans="1:8" x14ac:dyDescent="0.25">
      <c r="G15" t="s">
        <v>6518</v>
      </c>
      <c r="H15">
        <v>1</v>
      </c>
    </row>
    <row r="16" spans="1:8" x14ac:dyDescent="0.25">
      <c r="G16" t="s">
        <v>6447</v>
      </c>
      <c r="H16">
        <v>1</v>
      </c>
    </row>
    <row r="17" spans="7:8" x14ac:dyDescent="0.25">
      <c r="G17" t="s">
        <v>6462</v>
      </c>
      <c r="H17">
        <v>1</v>
      </c>
    </row>
    <row r="18" spans="7:8" x14ac:dyDescent="0.25">
      <c r="G18" t="s">
        <v>6631</v>
      </c>
      <c r="H18">
        <v>2</v>
      </c>
    </row>
    <row r="19" spans="7:8" x14ac:dyDescent="0.25">
      <c r="G19" t="s">
        <v>6445</v>
      </c>
      <c r="H19">
        <v>1</v>
      </c>
    </row>
    <row r="20" spans="7:8" x14ac:dyDescent="0.25">
      <c r="G20" t="s">
        <v>6443</v>
      </c>
      <c r="H20">
        <v>1</v>
      </c>
    </row>
    <row r="21" spans="7:8" x14ac:dyDescent="0.25">
      <c r="G21" t="s">
        <v>6537</v>
      </c>
      <c r="H21">
        <v>7</v>
      </c>
    </row>
    <row r="22" spans="7:8" x14ac:dyDescent="0.25">
      <c r="G22" t="s">
        <v>6616</v>
      </c>
      <c r="H22">
        <v>1</v>
      </c>
    </row>
    <row r="23" spans="7:8" x14ac:dyDescent="0.25">
      <c r="G23" t="s">
        <v>6485</v>
      </c>
      <c r="H23">
        <v>1</v>
      </c>
    </row>
    <row r="24" spans="7:8" x14ac:dyDescent="0.25">
      <c r="G24" t="s">
        <v>10948</v>
      </c>
      <c r="H24">
        <v>1</v>
      </c>
    </row>
    <row r="25" spans="7:8" x14ac:dyDescent="0.25">
      <c r="G25" t="s">
        <v>10923</v>
      </c>
      <c r="H25">
        <v>2</v>
      </c>
    </row>
    <row r="26" spans="7:8" x14ac:dyDescent="0.25">
      <c r="G26" t="s">
        <v>10924</v>
      </c>
      <c r="H26">
        <v>5</v>
      </c>
    </row>
    <row r="27" spans="7:8" x14ac:dyDescent="0.25">
      <c r="G27" t="s">
        <v>10959</v>
      </c>
      <c r="H27">
        <v>1</v>
      </c>
    </row>
    <row r="28" spans="7:8" x14ac:dyDescent="0.25">
      <c r="G28" t="s">
        <v>10925</v>
      </c>
      <c r="H28">
        <v>11</v>
      </c>
    </row>
    <row r="29" spans="7:8" x14ac:dyDescent="0.25">
      <c r="G29" t="s">
        <v>6526</v>
      </c>
      <c r="H29">
        <v>1</v>
      </c>
    </row>
    <row r="30" spans="7:8" x14ac:dyDescent="0.25">
      <c r="G30" t="s">
        <v>6560</v>
      </c>
      <c r="H30">
        <v>2</v>
      </c>
    </row>
    <row r="31" spans="7:8" x14ac:dyDescent="0.25">
      <c r="G31" t="s">
        <v>10956</v>
      </c>
      <c r="H31">
        <v>4</v>
      </c>
    </row>
    <row r="32" spans="7:8" x14ac:dyDescent="0.25">
      <c r="G32" t="s">
        <v>10926</v>
      </c>
      <c r="H32">
        <v>4</v>
      </c>
    </row>
    <row r="33" spans="7:8" x14ac:dyDescent="0.25">
      <c r="G33" t="s">
        <v>10957</v>
      </c>
      <c r="H33">
        <v>5</v>
      </c>
    </row>
    <row r="34" spans="7:8" x14ac:dyDescent="0.25">
      <c r="G34" t="s">
        <v>10949</v>
      </c>
      <c r="H34">
        <v>3</v>
      </c>
    </row>
    <row r="35" spans="7:8" x14ac:dyDescent="0.25">
      <c r="G35" t="s">
        <v>10960</v>
      </c>
      <c r="H35">
        <v>3</v>
      </c>
    </row>
    <row r="36" spans="7:8" x14ac:dyDescent="0.25">
      <c r="G36" t="s">
        <v>6591</v>
      </c>
      <c r="H36">
        <v>1</v>
      </c>
    </row>
    <row r="37" spans="7:8" x14ac:dyDescent="0.25">
      <c r="G37" t="s">
        <v>6635</v>
      </c>
      <c r="H37">
        <v>2</v>
      </c>
    </row>
    <row r="38" spans="7:8" x14ac:dyDescent="0.25">
      <c r="G38" t="s">
        <v>10927</v>
      </c>
      <c r="H38">
        <v>4</v>
      </c>
    </row>
    <row r="39" spans="7:8" x14ac:dyDescent="0.25">
      <c r="G39" t="s">
        <v>6533</v>
      </c>
      <c r="H39">
        <v>6</v>
      </c>
    </row>
    <row r="40" spans="7:8" x14ac:dyDescent="0.25">
      <c r="G40" t="s">
        <v>10961</v>
      </c>
      <c r="H40">
        <v>1</v>
      </c>
    </row>
    <row r="41" spans="7:8" x14ac:dyDescent="0.25">
      <c r="G41" t="s">
        <v>6535</v>
      </c>
      <c r="H41">
        <v>1</v>
      </c>
    </row>
    <row r="42" spans="7:8" x14ac:dyDescent="0.25">
      <c r="G42" t="s">
        <v>10962</v>
      </c>
      <c r="H42">
        <v>1</v>
      </c>
    </row>
    <row r="43" spans="7:8" x14ac:dyDescent="0.25">
      <c r="G43" t="s">
        <v>10928</v>
      </c>
      <c r="H43">
        <v>1</v>
      </c>
    </row>
    <row r="44" spans="7:8" x14ac:dyDescent="0.25">
      <c r="G44" t="s">
        <v>10929</v>
      </c>
      <c r="H44">
        <v>2</v>
      </c>
    </row>
    <row r="45" spans="7:8" x14ac:dyDescent="0.25">
      <c r="G45" t="s">
        <v>10963</v>
      </c>
      <c r="H45">
        <v>1</v>
      </c>
    </row>
    <row r="46" spans="7:8" x14ac:dyDescent="0.25">
      <c r="G46" t="s">
        <v>6665</v>
      </c>
      <c r="H46">
        <v>1</v>
      </c>
    </row>
    <row r="47" spans="7:8" x14ac:dyDescent="0.25">
      <c r="G47" t="s">
        <v>10950</v>
      </c>
      <c r="H47">
        <v>1</v>
      </c>
    </row>
    <row r="48" spans="7:8" x14ac:dyDescent="0.25">
      <c r="G48" t="s">
        <v>10964</v>
      </c>
      <c r="H48">
        <v>1</v>
      </c>
    </row>
    <row r="49" spans="7:8" x14ac:dyDescent="0.25">
      <c r="G49" t="s">
        <v>10930</v>
      </c>
      <c r="H49">
        <v>2</v>
      </c>
    </row>
    <row r="50" spans="7:8" x14ac:dyDescent="0.25">
      <c r="G50" t="s">
        <v>10931</v>
      </c>
      <c r="H50">
        <v>2</v>
      </c>
    </row>
    <row r="51" spans="7:8" x14ac:dyDescent="0.25">
      <c r="G51" t="s">
        <v>10933</v>
      </c>
      <c r="H51">
        <v>5</v>
      </c>
    </row>
    <row r="52" spans="7:8" x14ac:dyDescent="0.25">
      <c r="G52" t="s">
        <v>10942</v>
      </c>
      <c r="H52">
        <v>1</v>
      </c>
    </row>
    <row r="53" spans="7:8" x14ac:dyDescent="0.25">
      <c r="G53" t="s">
        <v>10937</v>
      </c>
      <c r="H53">
        <v>1</v>
      </c>
    </row>
    <row r="54" spans="7:8" x14ac:dyDescent="0.25">
      <c r="G54" t="s">
        <v>10938</v>
      </c>
      <c r="H54">
        <v>5</v>
      </c>
    </row>
    <row r="55" spans="7:8" x14ac:dyDescent="0.25">
      <c r="G55" t="s">
        <v>8111</v>
      </c>
      <c r="H55">
        <v>1</v>
      </c>
    </row>
    <row r="56" spans="7:8" x14ac:dyDescent="0.25">
      <c r="G56" t="s">
        <v>6614</v>
      </c>
      <c r="H56">
        <v>1</v>
      </c>
    </row>
    <row r="57" spans="7:8" x14ac:dyDescent="0.25">
      <c r="G57" t="s">
        <v>10951</v>
      </c>
      <c r="H57">
        <v>1</v>
      </c>
    </row>
    <row r="58" spans="7:8" x14ac:dyDescent="0.25">
      <c r="G58" t="s">
        <v>10953</v>
      </c>
      <c r="H58">
        <v>1</v>
      </c>
    </row>
    <row r="59" spans="7:8" x14ac:dyDescent="0.25">
      <c r="G59" t="s">
        <v>10954</v>
      </c>
      <c r="H59">
        <v>1</v>
      </c>
    </row>
    <row r="60" spans="7:8" x14ac:dyDescent="0.25">
      <c r="G60" t="s">
        <v>10965</v>
      </c>
      <c r="H60">
        <v>1</v>
      </c>
    </row>
    <row r="61" spans="7:8" x14ac:dyDescent="0.25">
      <c r="G61" t="s">
        <v>10966</v>
      </c>
      <c r="H61">
        <v>1</v>
      </c>
    </row>
    <row r="62" spans="7:8" x14ac:dyDescent="0.25">
      <c r="G62" t="s">
        <v>10967</v>
      </c>
      <c r="H62">
        <v>1</v>
      </c>
    </row>
    <row r="63" spans="7:8" x14ac:dyDescent="0.25">
      <c r="G63" t="s">
        <v>10968</v>
      </c>
      <c r="H63">
        <v>1</v>
      </c>
    </row>
    <row r="64" spans="7:8" x14ac:dyDescent="0.25">
      <c r="G64" t="s">
        <v>10969</v>
      </c>
      <c r="H64">
        <v>1</v>
      </c>
    </row>
    <row r="65" spans="7:8" x14ac:dyDescent="0.25">
      <c r="G65" t="s">
        <v>6515</v>
      </c>
      <c r="H65">
        <v>1</v>
      </c>
    </row>
    <row r="66" spans="7:8" x14ac:dyDescent="0.25">
      <c r="G66" t="s">
        <v>6466</v>
      </c>
      <c r="H66">
        <v>7</v>
      </c>
    </row>
    <row r="67" spans="7:8" x14ac:dyDescent="0.25">
      <c r="G67" t="s">
        <v>6541</v>
      </c>
      <c r="H67">
        <v>7</v>
      </c>
    </row>
    <row r="68" spans="7:8" x14ac:dyDescent="0.25">
      <c r="G68" t="s">
        <v>5432</v>
      </c>
      <c r="H68">
        <v>7</v>
      </c>
    </row>
    <row r="69" spans="7:8" x14ac:dyDescent="0.25">
      <c r="G69" t="s">
        <v>5438</v>
      </c>
      <c r="H69">
        <v>37</v>
      </c>
    </row>
    <row r="70" spans="7:8" x14ac:dyDescent="0.25">
      <c r="G70" t="s">
        <v>5457</v>
      </c>
      <c r="H70">
        <v>14</v>
      </c>
    </row>
    <row r="71" spans="7:8" x14ac:dyDescent="0.25">
      <c r="G71" t="s">
        <v>8410</v>
      </c>
      <c r="H71">
        <v>23</v>
      </c>
    </row>
    <row r="72" spans="7:8" x14ac:dyDescent="0.25">
      <c r="G72" t="s">
        <v>8412</v>
      </c>
      <c r="H72">
        <v>40</v>
      </c>
    </row>
    <row r="73" spans="7:8" x14ac:dyDescent="0.25">
      <c r="G73" t="s">
        <v>8416</v>
      </c>
      <c r="H73">
        <v>117</v>
      </c>
    </row>
    <row r="74" spans="7:8" x14ac:dyDescent="0.25">
      <c r="G74" t="s">
        <v>8427</v>
      </c>
      <c r="H74">
        <v>19</v>
      </c>
    </row>
    <row r="75" spans="7:8" x14ac:dyDescent="0.25">
      <c r="G75" t="s">
        <v>8431</v>
      </c>
      <c r="H75">
        <v>51</v>
      </c>
    </row>
    <row r="76" spans="7:8" x14ac:dyDescent="0.25">
      <c r="G76" t="s">
        <v>8506</v>
      </c>
      <c r="H76">
        <v>29</v>
      </c>
    </row>
    <row r="77" spans="7:8" x14ac:dyDescent="0.25">
      <c r="G77" t="s">
        <v>8435</v>
      </c>
      <c r="H77">
        <v>23</v>
      </c>
    </row>
    <row r="78" spans="7:8" x14ac:dyDescent="0.25">
      <c r="G78" t="s">
        <v>8510</v>
      </c>
      <c r="H78">
        <v>68</v>
      </c>
    </row>
    <row r="79" spans="7:8" x14ac:dyDescent="0.25">
      <c r="G79" t="s">
        <v>8585</v>
      </c>
      <c r="H79">
        <v>17</v>
      </c>
    </row>
    <row r="80" spans="7:8" x14ac:dyDescent="0.25">
      <c r="G80" t="s">
        <v>8439</v>
      </c>
      <c r="H80">
        <v>3</v>
      </c>
    </row>
    <row r="81" spans="7:8" x14ac:dyDescent="0.25">
      <c r="G81" t="s">
        <v>8514</v>
      </c>
      <c r="H81">
        <v>22</v>
      </c>
    </row>
    <row r="82" spans="7:8" x14ac:dyDescent="0.25">
      <c r="G82" t="s">
        <v>4944</v>
      </c>
      <c r="H82">
        <v>1</v>
      </c>
    </row>
    <row r="83" spans="7:8" x14ac:dyDescent="0.25">
      <c r="G83" t="s">
        <v>8491</v>
      </c>
      <c r="H83">
        <v>36</v>
      </c>
    </row>
    <row r="84" spans="7:8" x14ac:dyDescent="0.25">
      <c r="G84" t="s">
        <v>8485</v>
      </c>
      <c r="H84">
        <v>24</v>
      </c>
    </row>
    <row r="85" spans="7:8" x14ac:dyDescent="0.25">
      <c r="G85" t="s">
        <v>8487</v>
      </c>
      <c r="H85">
        <v>12</v>
      </c>
    </row>
    <row r="86" spans="7:8" x14ac:dyDescent="0.25">
      <c r="G86" t="s">
        <v>8566</v>
      </c>
      <c r="H86">
        <v>7</v>
      </c>
    </row>
    <row r="87" spans="7:8" x14ac:dyDescent="0.25">
      <c r="G87" t="s">
        <v>8495</v>
      </c>
      <c r="H87">
        <v>4</v>
      </c>
    </row>
    <row r="88" spans="7:8" x14ac:dyDescent="0.25">
      <c r="G88" t="s">
        <v>8429</v>
      </c>
      <c r="H88">
        <v>7</v>
      </c>
    </row>
    <row r="89" spans="7:8" x14ac:dyDescent="0.25">
      <c r="G89" t="s">
        <v>8581</v>
      </c>
      <c r="H89">
        <v>6</v>
      </c>
    </row>
    <row r="90" spans="7:8" x14ac:dyDescent="0.25">
      <c r="G90" t="s">
        <v>8589</v>
      </c>
      <c r="H90">
        <v>12</v>
      </c>
    </row>
    <row r="91" spans="7:8" x14ac:dyDescent="0.25">
      <c r="G91" t="s">
        <v>5439</v>
      </c>
      <c r="H91">
        <v>12</v>
      </c>
    </row>
    <row r="92" spans="7:8" x14ac:dyDescent="0.25">
      <c r="G92" t="s">
        <v>5441</v>
      </c>
      <c r="H92">
        <v>1</v>
      </c>
    </row>
    <row r="93" spans="7:8" x14ac:dyDescent="0.25">
      <c r="G93" t="s">
        <v>5456</v>
      </c>
      <c r="H93">
        <v>18</v>
      </c>
    </row>
    <row r="94" spans="7:8" x14ac:dyDescent="0.25">
      <c r="G94" t="s">
        <v>5459</v>
      </c>
      <c r="H94">
        <v>56</v>
      </c>
    </row>
    <row r="95" spans="7:8" x14ac:dyDescent="0.25">
      <c r="G95" t="s">
        <v>5460</v>
      </c>
      <c r="H95">
        <v>29</v>
      </c>
    </row>
    <row r="96" spans="7:8" x14ac:dyDescent="0.25">
      <c r="G96" t="s">
        <v>5477</v>
      </c>
      <c r="H96">
        <v>14</v>
      </c>
    </row>
    <row r="97" spans="7:8" x14ac:dyDescent="0.25">
      <c r="G97" t="s">
        <v>5483</v>
      </c>
      <c r="H97">
        <v>15</v>
      </c>
    </row>
    <row r="98" spans="7:8" x14ac:dyDescent="0.25">
      <c r="G98" t="s">
        <v>5484</v>
      </c>
      <c r="H98">
        <v>4</v>
      </c>
    </row>
    <row r="99" spans="7:8" x14ac:dyDescent="0.25">
      <c r="G99" t="s">
        <v>5435</v>
      </c>
      <c r="H99">
        <v>7</v>
      </c>
    </row>
    <row r="100" spans="7:8" x14ac:dyDescent="0.25">
      <c r="G100" t="s">
        <v>5478</v>
      </c>
      <c r="H100">
        <v>8</v>
      </c>
    </row>
    <row r="101" spans="7:8" x14ac:dyDescent="0.25">
      <c r="G101" t="s">
        <v>770</v>
      </c>
      <c r="H101">
        <v>1</v>
      </c>
    </row>
    <row r="102" spans="7:8" x14ac:dyDescent="0.25">
      <c r="G102" t="s">
        <v>5453</v>
      </c>
      <c r="H102">
        <v>12</v>
      </c>
    </row>
    <row r="103" spans="7:8" x14ac:dyDescent="0.25">
      <c r="G103" t="s">
        <v>6477</v>
      </c>
      <c r="H103">
        <v>1</v>
      </c>
    </row>
    <row r="104" spans="7:8" x14ac:dyDescent="0.25">
      <c r="G104" t="s">
        <v>6545</v>
      </c>
      <c r="H104">
        <v>2</v>
      </c>
    </row>
    <row r="105" spans="7:8" x14ac:dyDescent="0.25">
      <c r="G105" t="s">
        <v>5442</v>
      </c>
      <c r="H105">
        <v>10</v>
      </c>
    </row>
    <row r="106" spans="7:8" x14ac:dyDescent="0.25">
      <c r="G106" t="s">
        <v>9142</v>
      </c>
      <c r="H106">
        <v>4</v>
      </c>
    </row>
    <row r="107" spans="7:8" x14ac:dyDescent="0.25">
      <c r="G107" t="s">
        <v>5454</v>
      </c>
      <c r="H107">
        <v>3</v>
      </c>
    </row>
    <row r="108" spans="7:8" x14ac:dyDescent="0.25">
      <c r="G108" t="s">
        <v>8502</v>
      </c>
      <c r="H108">
        <v>25</v>
      </c>
    </row>
    <row r="109" spans="7:8" x14ac:dyDescent="0.25">
      <c r="G109" t="s">
        <v>8430</v>
      </c>
      <c r="H109">
        <v>1</v>
      </c>
    </row>
    <row r="110" spans="7:8" x14ac:dyDescent="0.25">
      <c r="G110" t="s">
        <v>5466</v>
      </c>
      <c r="H110">
        <v>3</v>
      </c>
    </row>
    <row r="111" spans="7:8" x14ac:dyDescent="0.25">
      <c r="G111" t="s">
        <v>5475</v>
      </c>
      <c r="H111">
        <v>2</v>
      </c>
    </row>
    <row r="112" spans="7:8" x14ac:dyDescent="0.25">
      <c r="G112" t="s">
        <v>1500</v>
      </c>
      <c r="H112">
        <v>1</v>
      </c>
    </row>
    <row r="113" spans="7:8" x14ac:dyDescent="0.25">
      <c r="G113" t="s">
        <v>8504</v>
      </c>
      <c r="H113">
        <v>2</v>
      </c>
    </row>
    <row r="114" spans="7:8" x14ac:dyDescent="0.25">
      <c r="G114" t="s">
        <v>773</v>
      </c>
      <c r="H114">
        <v>1</v>
      </c>
    </row>
    <row r="115" spans="7:8" x14ac:dyDescent="0.25">
      <c r="G115" t="s">
        <v>6612</v>
      </c>
      <c r="H115">
        <v>1</v>
      </c>
    </row>
    <row r="116" spans="7:8" x14ac:dyDescent="0.25">
      <c r="G116" t="s">
        <v>5458</v>
      </c>
      <c r="H116">
        <v>1</v>
      </c>
    </row>
    <row r="117" spans="7:8" x14ac:dyDescent="0.25">
      <c r="G117" t="s">
        <v>5467</v>
      </c>
      <c r="H117">
        <v>3</v>
      </c>
    </row>
    <row r="118" spans="7:8" x14ac:dyDescent="0.25">
      <c r="G118" t="s">
        <v>948</v>
      </c>
      <c r="H118">
        <v>1</v>
      </c>
    </row>
    <row r="119" spans="7:8" x14ac:dyDescent="0.25">
      <c r="G119" t="s">
        <v>5433</v>
      </c>
      <c r="H119">
        <v>5</v>
      </c>
    </row>
    <row r="120" spans="7:8" x14ac:dyDescent="0.25">
      <c r="G120" t="s">
        <v>1494</v>
      </c>
      <c r="H120">
        <v>2</v>
      </c>
    </row>
    <row r="121" spans="7:8" x14ac:dyDescent="0.25">
      <c r="G121" t="s">
        <v>4938</v>
      </c>
      <c r="H121">
        <v>2</v>
      </c>
    </row>
    <row r="122" spans="7:8" x14ac:dyDescent="0.25">
      <c r="G122" t="s">
        <v>1473</v>
      </c>
      <c r="H122">
        <v>1</v>
      </c>
    </row>
    <row r="123" spans="7:8" x14ac:dyDescent="0.25">
      <c r="G123" t="s">
        <v>6665</v>
      </c>
      <c r="H123">
        <v>2</v>
      </c>
    </row>
    <row r="124" spans="7:8" x14ac:dyDescent="0.25">
      <c r="G124" t="s">
        <v>8574</v>
      </c>
      <c r="H124">
        <v>3</v>
      </c>
    </row>
    <row r="125" spans="7:8" x14ac:dyDescent="0.25">
      <c r="G125" t="s">
        <v>5479</v>
      </c>
      <c r="H125">
        <v>2</v>
      </c>
    </row>
    <row r="126" spans="7:8" x14ac:dyDescent="0.25">
      <c r="G126" t="s">
        <v>5473</v>
      </c>
      <c r="H126">
        <v>1</v>
      </c>
    </row>
    <row r="127" spans="7:8" x14ac:dyDescent="0.25">
      <c r="G127" t="s">
        <v>9045</v>
      </c>
      <c r="H127">
        <v>1</v>
      </c>
    </row>
    <row r="128" spans="7:8" x14ac:dyDescent="0.25">
      <c r="G128" t="s">
        <v>6511</v>
      </c>
      <c r="H128">
        <v>1</v>
      </c>
    </row>
    <row r="129" spans="7:8" x14ac:dyDescent="0.25">
      <c r="G129" t="s">
        <v>4965</v>
      </c>
      <c r="H129">
        <v>1</v>
      </c>
    </row>
    <row r="130" spans="7:8" x14ac:dyDescent="0.25">
      <c r="G130" t="s">
        <v>8560</v>
      </c>
      <c r="H130">
        <v>130</v>
      </c>
    </row>
    <row r="131" spans="7:8" x14ac:dyDescent="0.25">
      <c r="G131" t="s">
        <v>8120</v>
      </c>
      <c r="H131">
        <v>1</v>
      </c>
    </row>
    <row r="132" spans="7:8" x14ac:dyDescent="0.25">
      <c r="G132" t="s">
        <v>10934</v>
      </c>
      <c r="H132">
        <v>1</v>
      </c>
    </row>
    <row r="133" spans="7:8" x14ac:dyDescent="0.25">
      <c r="G133" t="s">
        <v>945</v>
      </c>
      <c r="H133">
        <v>1</v>
      </c>
    </row>
    <row r="134" spans="7:8" x14ac:dyDescent="0.25">
      <c r="G134" t="s">
        <v>8149</v>
      </c>
      <c r="H134">
        <v>4</v>
      </c>
    </row>
    <row r="135" spans="7:8" x14ac:dyDescent="0.25">
      <c r="G135" t="s">
        <v>924</v>
      </c>
      <c r="H135">
        <v>1</v>
      </c>
    </row>
    <row r="136" spans="7:8" x14ac:dyDescent="0.25">
      <c r="G136" t="s">
        <v>10943</v>
      </c>
      <c r="H136">
        <v>1</v>
      </c>
    </row>
    <row r="137" spans="7:8" x14ac:dyDescent="0.25">
      <c r="G137" t="s">
        <v>8413</v>
      </c>
      <c r="H137">
        <v>1</v>
      </c>
    </row>
    <row r="138" spans="7:8" x14ac:dyDescent="0.25">
      <c r="G138" t="s">
        <v>6538</v>
      </c>
      <c r="H138">
        <v>1</v>
      </c>
    </row>
    <row r="139" spans="7:8" x14ac:dyDescent="0.25">
      <c r="G139" t="s">
        <v>4914</v>
      </c>
      <c r="H139">
        <v>1</v>
      </c>
    </row>
    <row r="140" spans="7:8" x14ac:dyDescent="0.25">
      <c r="G140" t="s">
        <v>5480</v>
      </c>
      <c r="H140">
        <v>1</v>
      </c>
    </row>
    <row r="141" spans="7:8" x14ac:dyDescent="0.25">
      <c r="G141" t="s">
        <v>9119</v>
      </c>
      <c r="H141">
        <v>1</v>
      </c>
    </row>
    <row r="142" spans="7:8" x14ac:dyDescent="0.25">
      <c r="G142" t="s">
        <v>1147</v>
      </c>
      <c r="H142">
        <v>1</v>
      </c>
    </row>
    <row r="143" spans="7:8" x14ac:dyDescent="0.25">
      <c r="G143" t="s">
        <v>4935</v>
      </c>
      <c r="H143">
        <v>1</v>
      </c>
    </row>
    <row r="144" spans="7:8" x14ac:dyDescent="0.25">
      <c r="G144" t="s">
        <v>1304</v>
      </c>
      <c r="H144">
        <v>1</v>
      </c>
    </row>
    <row r="145" spans="7:8" x14ac:dyDescent="0.25">
      <c r="G145" t="s">
        <v>1542</v>
      </c>
      <c r="H145">
        <v>3</v>
      </c>
    </row>
    <row r="146" spans="7:8" x14ac:dyDescent="0.25">
      <c r="G146" t="s">
        <v>8588</v>
      </c>
      <c r="H146">
        <v>1</v>
      </c>
    </row>
    <row r="147" spans="7:8" x14ac:dyDescent="0.25">
      <c r="G147" t="s">
        <v>8517</v>
      </c>
      <c r="H147">
        <v>2</v>
      </c>
    </row>
    <row r="148" spans="7:8" x14ac:dyDescent="0.25">
      <c r="G148" t="s">
        <v>8600</v>
      </c>
      <c r="H148">
        <v>2</v>
      </c>
    </row>
    <row r="149" spans="7:8" x14ac:dyDescent="0.25">
      <c r="G149" t="s">
        <v>8604</v>
      </c>
      <c r="H149">
        <v>2</v>
      </c>
    </row>
    <row r="150" spans="7:8" x14ac:dyDescent="0.25">
      <c r="G150" t="s">
        <v>8521</v>
      </c>
      <c r="H150">
        <v>1</v>
      </c>
    </row>
    <row r="151" spans="7:8" x14ac:dyDescent="0.25">
      <c r="G151" t="s">
        <v>10940</v>
      </c>
      <c r="H151">
        <v>2</v>
      </c>
    </row>
    <row r="152" spans="7:8" x14ac:dyDescent="0.25">
      <c r="G152" t="s">
        <v>10932</v>
      </c>
      <c r="H152">
        <v>2</v>
      </c>
    </row>
    <row r="153" spans="7:8" x14ac:dyDescent="0.25">
      <c r="G153" t="s">
        <v>10941</v>
      </c>
      <c r="H153">
        <v>2</v>
      </c>
    </row>
    <row r="154" spans="7:8" x14ac:dyDescent="0.25">
      <c r="G154" t="s">
        <v>10935</v>
      </c>
      <c r="H154">
        <v>1</v>
      </c>
    </row>
    <row r="155" spans="7:8" x14ac:dyDescent="0.25">
      <c r="G155" t="s">
        <v>10944</v>
      </c>
      <c r="H155">
        <v>1</v>
      </c>
    </row>
    <row r="156" spans="7:8" x14ac:dyDescent="0.25">
      <c r="G156" t="s">
        <v>10936</v>
      </c>
      <c r="H156">
        <v>3</v>
      </c>
    </row>
    <row r="157" spans="7:8" x14ac:dyDescent="0.25">
      <c r="G157" t="s">
        <v>10945</v>
      </c>
      <c r="H157">
        <v>4</v>
      </c>
    </row>
    <row r="158" spans="7:8" x14ac:dyDescent="0.25">
      <c r="G158" t="s">
        <v>10946</v>
      </c>
      <c r="H158">
        <v>1</v>
      </c>
    </row>
    <row r="159" spans="7:8" x14ac:dyDescent="0.25">
      <c r="G159" t="s">
        <v>10947</v>
      </c>
      <c r="H159">
        <v>1</v>
      </c>
    </row>
    <row r="160" spans="7:8" x14ac:dyDescent="0.25">
      <c r="G160" t="s">
        <v>10952</v>
      </c>
      <c r="H160">
        <v>1</v>
      </c>
    </row>
    <row r="161" spans="7:8" x14ac:dyDescent="0.25">
      <c r="G161" t="s">
        <v>10939</v>
      </c>
      <c r="H161">
        <v>1</v>
      </c>
    </row>
    <row r="162" spans="7:8" x14ac:dyDescent="0.25">
      <c r="G162" t="s">
        <v>10970</v>
      </c>
      <c r="H162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1"/>
  <sheetViews>
    <sheetView topLeftCell="Q1" zoomScaleNormal="100" workbookViewId="0">
      <pane ySplit="1" topLeftCell="A8" activePane="bottomLeft" state="frozen"/>
      <selection activeCell="X1" sqref="X1"/>
      <selection pane="bottomLeft" activeCell="W2" sqref="W2:W101"/>
    </sheetView>
  </sheetViews>
  <sheetFormatPr defaultColWidth="8.85546875" defaultRowHeight="15" x14ac:dyDescent="0.25"/>
  <cols>
    <col min="1" max="1" width="6.140625" style="65" bestFit="1" customWidth="1"/>
    <col min="2" max="2" width="53.5703125" style="65" customWidth="1"/>
    <col min="3" max="3" width="26.5703125" style="65" bestFit="1" customWidth="1"/>
    <col min="4" max="4" width="17" style="65" customWidth="1"/>
    <col min="5" max="7" width="7.140625" style="65" customWidth="1"/>
    <col min="8" max="8" width="7.85546875" style="65" customWidth="1"/>
    <col min="9" max="10" width="7.42578125" style="65" customWidth="1"/>
    <col min="11" max="11" width="9.42578125" style="65" customWidth="1"/>
    <col min="12" max="12" width="12.7109375" style="65" customWidth="1"/>
    <col min="13" max="13" width="13.42578125" style="65" customWidth="1"/>
    <col min="14" max="14" width="25.85546875" style="65" customWidth="1"/>
    <col min="15" max="15" width="66" style="65" customWidth="1"/>
    <col min="16" max="16" width="56.5703125" style="65" customWidth="1"/>
    <col min="17" max="17" width="10.5703125" style="65" customWidth="1"/>
    <col min="18" max="18" width="2.85546875" style="65" customWidth="1"/>
    <col min="19" max="19" width="32.140625" style="65" customWidth="1"/>
    <col min="20" max="20" width="42.42578125" style="65" customWidth="1"/>
    <col min="21" max="21" width="50.42578125" style="65" customWidth="1"/>
    <col min="22" max="22" width="11.5703125" style="65" customWidth="1"/>
    <col min="23" max="23" width="18.28515625" style="65" customWidth="1"/>
    <col min="24" max="16384" width="8.85546875" style="65"/>
  </cols>
  <sheetData>
    <row r="1" spans="1:23" ht="31.5" x14ac:dyDescent="0.25">
      <c r="A1" s="62" t="s">
        <v>9238</v>
      </c>
      <c r="B1" s="62" t="s">
        <v>9239</v>
      </c>
      <c r="C1" s="63" t="s">
        <v>9240</v>
      </c>
      <c r="D1" s="63" t="s">
        <v>9241</v>
      </c>
      <c r="E1" s="63" t="s">
        <v>9242</v>
      </c>
      <c r="F1" s="63" t="s">
        <v>9243</v>
      </c>
      <c r="G1" s="63" t="s">
        <v>9244</v>
      </c>
      <c r="H1" s="63" t="s">
        <v>9245</v>
      </c>
      <c r="I1" s="63" t="s">
        <v>9246</v>
      </c>
      <c r="J1" s="63" t="s">
        <v>9247</v>
      </c>
      <c r="K1" s="63" t="s">
        <v>9248</v>
      </c>
      <c r="L1" s="63" t="s">
        <v>9249</v>
      </c>
      <c r="M1" s="63" t="s">
        <v>9250</v>
      </c>
      <c r="N1" s="64" t="s">
        <v>9251</v>
      </c>
      <c r="O1" s="64" t="s">
        <v>9252</v>
      </c>
      <c r="P1" s="64" t="s">
        <v>9235</v>
      </c>
      <c r="Q1" s="64" t="s">
        <v>5377</v>
      </c>
      <c r="R1" s="78" t="s">
        <v>10686</v>
      </c>
      <c r="S1" s="64" t="s">
        <v>9235</v>
      </c>
      <c r="T1" s="64" t="s">
        <v>9343</v>
      </c>
      <c r="U1" s="64" t="s">
        <v>0</v>
      </c>
      <c r="V1" s="90" t="s">
        <v>10687</v>
      </c>
      <c r="W1" s="64" t="s">
        <v>5377</v>
      </c>
    </row>
    <row r="2" spans="1:23" ht="15.75" x14ac:dyDescent="0.25">
      <c r="A2" s="66">
        <f>ROW()-1</f>
        <v>1</v>
      </c>
      <c r="B2" s="66" t="str">
        <f>LEFT(Table13[[#This Row],[ITEM CODE]],MIN(FIND({0,1,2,3,4,5,6,7,8,9},Table13[[#This Row],[ITEM CODE]]&amp;"0123456789"))-1)</f>
        <v>HYPMIRFMDB</v>
      </c>
      <c r="C2" s="64" t="str">
        <f>SUBSTITUTE(Table13[[#This Row],[ITEM CODE]],B2,"")</f>
        <v>72X36X04-ECOM</v>
      </c>
      <c r="D2" s="64" t="str">
        <f t="shared" ref="D2:D51" si="0">IFERROR(LEFT(C2,FIND("-",C2)-1),C2)</f>
        <v>72X36X04</v>
      </c>
      <c r="E2" s="64">
        <f t="shared" ref="E2:E51" si="1">IFERROR(SEARCH("X",D2),"")</f>
        <v>3</v>
      </c>
      <c r="F2" s="64">
        <f t="shared" ref="F2:F51" si="2">IFERROR(SEARCH("X",D2,E2+1),"")</f>
        <v>6</v>
      </c>
      <c r="G2" s="64" t="str">
        <f t="shared" ref="G2:G51" si="3">IFERROR(LEFT(C2,SEARCH("x",C2)-1),"")</f>
        <v>72</v>
      </c>
      <c r="H2" s="64" t="str">
        <f t="shared" ref="H2:H51" si="4">IFERROR(MID(D2,E2+1,F2-E2-1),"")</f>
        <v>36</v>
      </c>
      <c r="I2" s="64" t="str">
        <f t="shared" ref="I2:I51" si="5">IFERROR(MID(D2,F2+1,20),"")</f>
        <v>04</v>
      </c>
      <c r="J2" s="64" t="str">
        <f>IFERROR(IF(Table2[[#This Row],[L]]&lt;Table2[[#This Row],[W]],Table2[[#This Row],[W]],Table2[[#This Row],[L]]),"")</f>
        <v>72</v>
      </c>
      <c r="K2" s="64" t="str">
        <f>IF(Table2[[#This Row],[L]]&lt;Table2[[#This Row],[W]],Table2[[#This Row],[L]],Table2[[#This Row],[W]])</f>
        <v>36</v>
      </c>
      <c r="L2" s="64" t="str">
        <f>IFERROR(IF(J2="","",IF(VALUE(J2)&gt;=VALUE(K2),IF(OR(VALUE(J2)=13,VALUE(J2)=20,VALUE(J2)=72,VALUE(J2)=75,VALUE(J2)=78,VALUE(J2)=80,VALUE(J2)=84),J2,IF(VALUE(J2)&lt;72,72,IF(VALUE(J2)&lt;75,75,IF(VALUE(J2)&lt;78,78,IF(VALUE(J2)&lt;80,80,IF(VALUE(J2)&lt;84,84,IF(VALUE(J2)&gt;84,84,""""))))))))),0)</f>
        <v>72</v>
      </c>
      <c r="M2" s="64" t="str">
        <f>IF(H2="","",IF(VALUE(J2)&gt;=VALUE(K2),IF(OR(VALUE(K2)=13,VALUE(K2)=18,VALUE(K2)=18,VALUE(K2)=30,VALUE(K2)=33,VALUE(K2)=36,VALUE(K2)=39,VALUE(K2)=42,VALUE(K2)=45,VALUE(K2)=48,VALUE(K2)=51,VALUE(K2)=54,VALUE(K2)=57,VALUE(K2)=60,VALUE(K2)=63,VALUE(K2)=66,VALUE(K2)=69,VALUE(K2)=72),K2,IF(VALUE(K2)&lt;30,30,IF(VALUE(K2)&lt;33,33,IF(VALUE(H2)&lt;36,36,IF(VALUE(H2)&lt;39,39,IF(VALUE(H2)&lt;42,42,IF(VALUE(H2)&lt;45,45,IF(VALUE(H2)&lt;48,48,IF(VALUE(H2)&lt;51,51,IF(VALUE(H2)&lt;54,54,IF(VALUE(H2)&lt;57,57,IF(VALUE(K2)&lt;60,60,IF(VALUE(K2)&lt;63,63,IF(VALUE(K2)&lt;66,66,IF(VALUE(K2)&lt;69,69,IF(VALUE(K2)&lt;72,72,IF(VALUE(K2)&gt;72,72,"""")))))))))))))))))))</f>
        <v>36</v>
      </c>
      <c r="N2" s="64" t="str">
        <f t="shared" ref="N2:N51" si="6">IFERROR(CONCATENATE(L2,"X",M2,"X",I2),"")</f>
        <v>72X36X04</v>
      </c>
      <c r="O2" s="64" t="str">
        <f t="shared" ref="O2:O33" si="7">IFERROR(CONCATENATE(B2,N2),"")</f>
        <v>HYPMIRFMDB72X36X04</v>
      </c>
      <c r="P2" s="64" t="str">
        <f>+CONCATENATE(Table2[[#This Row],[1]],Table2[[#This Row],[H]])</f>
        <v>HYPMIRFMDB04</v>
      </c>
      <c r="Q2" s="64">
        <f>IFERROR(Table13[[#This Row],[QTY]],"")</f>
        <v>1</v>
      </c>
      <c r="R2" s="76"/>
      <c r="S2" s="64" t="str">
        <f>+Table2[[#This Row],[VARIETY]]</f>
        <v>HYPMIRFMDB04</v>
      </c>
      <c r="T2" s="64" t="str">
        <f>IFERROR(VLOOKUP(Table9[[#This Row],[VARIETY]],MASTER!B:D,3,0),"")</f>
        <v/>
      </c>
      <c r="U2" s="64" t="str">
        <f>IFERROR(IF(OR(S2=MASTER!$B$95,S2=MASTER!$B$96,S2=MASTER!$B$97,S2=MASTER!$B$98,S2=MASTER!$B$102,S2=MASTER!$B$103,S2=MASTER!$B$99,S2=MASTER!$B$100,S2=MASTER!$B$101,S2=MASTER!$B$104,S2=MASTER!$B$105,S2=MASTER!$B$106,S2=MASTER!$B$107,S2=MASTER!$B$108,S2=MASTER!$B$109),(CONCATENATE(VLOOKUP(S2,MASTER!$B:$D,3,0),L2,"X",M2,"X",VLOOKUP(S2,MASTER!$B:$F,5,0))),(CONCATENATE(VLOOKUP(S2,MASTER!$B:$D,3,0),N2))),"")</f>
        <v/>
      </c>
      <c r="V2" s="64" t="str">
        <f>IFERROR(VLOOKUP(Table9[[#This Row],[ITEM CODE]],FW!$B:$D,3,0),"")</f>
        <v/>
      </c>
      <c r="W2" s="64">
        <f>IF(OR(S2=MASTER!$B$95,S2=MASTER!$B$96,S2=MASTER!$B$97,S2=MASTER!$B$98,S2=MASTER!$B$102,S2=MASTER!$B$103,S2=MASTER!$B$99,S2=MASTER!$B$100,S2=MASTER!$B$101,S2=MASTER!$B$104,S2=MASTER!$B$105,S2=MASTER!$B$106,S2=MASTER!$B$107,S2=MASTER!$B$108,S2=MASTER!$B$109),(Q2*V2),Q2)</f>
        <v>1</v>
      </c>
    </row>
    <row r="3" spans="1:23" ht="15.75" x14ac:dyDescent="0.25">
      <c r="A3" s="66">
        <f>ROW()-1</f>
        <v>2</v>
      </c>
      <c r="B3" s="66" t="str">
        <f>LEFT(Table13[[#This Row],[ITEM CODE]],MIN(FIND({0,1,2,3,4,5,6,7,8,9},Table13[[#This Row],[ITEM CODE]]&amp;"0123456789"))-1)</f>
        <v>HYPMIRFMDB</v>
      </c>
      <c r="C3" s="64" t="str">
        <f>SUBSTITUTE(Table13[[#This Row],[ITEM CODE]],B3,"")</f>
        <v>72X30X04-ECOM</v>
      </c>
      <c r="D3" s="64" t="str">
        <f t="shared" si="0"/>
        <v>72X30X04</v>
      </c>
      <c r="E3" s="64">
        <f t="shared" si="1"/>
        <v>3</v>
      </c>
      <c r="F3" s="64">
        <f t="shared" si="2"/>
        <v>6</v>
      </c>
      <c r="G3" s="64" t="str">
        <f t="shared" si="3"/>
        <v>72</v>
      </c>
      <c r="H3" s="64" t="str">
        <f t="shared" si="4"/>
        <v>30</v>
      </c>
      <c r="I3" s="64" t="str">
        <f t="shared" si="5"/>
        <v>04</v>
      </c>
      <c r="J3" s="64" t="str">
        <f>IFERROR(IF(Table2[[#This Row],[L]]&lt;Table2[[#This Row],[W]],Table2[[#This Row],[W]],Table2[[#This Row],[L]]),"")</f>
        <v>72</v>
      </c>
      <c r="K3" s="64" t="str">
        <f>IF(Table2[[#This Row],[L]]&lt;Table2[[#This Row],[W]],Table2[[#This Row],[L]],Table2[[#This Row],[W]])</f>
        <v>30</v>
      </c>
      <c r="L3" s="64" t="str">
        <f t="shared" ref="L3:L51" si="8">IFERROR(IF(J3="","",IF(VALUE(J3)&gt;=VALUE(K3),IF(OR(VALUE(J3)=13,VALUE(J3)=20,VALUE(J3)=72,VALUE(J3)=75,VALUE(J3)=78,VALUE(J3)=80,VALUE(J3)=84),J3,IF(VALUE(J3)&lt;72,72,IF(VALUE(J3)&lt;75,75,IF(VALUE(J3)&lt;78,78,IF(VALUE(J3)&lt;80,80,IF(VALUE(J3)&lt;84,84,IF(VALUE(J3)&gt;84,84,""""))))))))),0)</f>
        <v>72</v>
      </c>
      <c r="M3" s="64" t="str">
        <f t="shared" ref="M3:M51" si="9">IF(H3="","",IF(VALUE(J3)&gt;=VALUE(K3),IF(OR(VALUE(K3)=13,VALUE(K3)=18,VALUE(K3)=18,VALUE(K3)=30,VALUE(K3)=33,VALUE(K3)=36,VALUE(K3)=39,VALUE(K3)=42,VALUE(K3)=45,VALUE(K3)=48,VALUE(K3)=51,VALUE(K3)=54,VALUE(K3)=57,VALUE(K3)=60,VALUE(K3)=63,VALUE(K3)=66,VALUE(K3)=69,VALUE(K3)=72),K3,IF(VALUE(K3)&lt;30,30,IF(VALUE(K3)&lt;33,33,IF(VALUE(H3)&lt;36,36,IF(VALUE(H3)&lt;39,39,IF(VALUE(H3)&lt;42,42,IF(VALUE(H3)&lt;45,45,IF(VALUE(H3)&lt;48,48,IF(VALUE(H3)&lt;51,51,IF(VALUE(H3)&lt;54,54,IF(VALUE(H3)&lt;57,57,IF(VALUE(K3)&lt;60,60,IF(VALUE(K3)&lt;63,63,IF(VALUE(K3)&lt;66,66,IF(VALUE(K3)&lt;69,69,IF(VALUE(K3)&lt;72,72,IF(VALUE(K3)&gt;72,72,"""")))))))))))))))))))</f>
        <v>30</v>
      </c>
      <c r="N3" s="64" t="str">
        <f t="shared" si="6"/>
        <v>72X30X04</v>
      </c>
      <c r="O3" s="64" t="str">
        <f t="shared" si="7"/>
        <v>HYPMIRFMDB72X30X04</v>
      </c>
      <c r="P3" s="64" t="str">
        <f>+CONCATENATE(Table2[[#This Row],[1]],Table2[[#This Row],[H]])</f>
        <v>HYPMIRFMDB04</v>
      </c>
      <c r="Q3" s="64">
        <f>IFERROR(Table13[[#This Row],[QTY]],"")</f>
        <v>1</v>
      </c>
      <c r="R3" s="75"/>
      <c r="S3" s="64" t="str">
        <f>+Table2[[#This Row],[VARIETY]]</f>
        <v>HYPMIRFMDB04</v>
      </c>
      <c r="T3" s="64" t="str">
        <f>IFERROR(VLOOKUP(Table9[[#This Row],[VARIETY]],MASTER!B:D,3,0),"")</f>
        <v/>
      </c>
      <c r="U3" s="64" t="str">
        <f>IFERROR(IF(OR(S3=MASTER!$B$95,S3=MASTER!$B$96,S3=MASTER!$B$97,S3=MASTER!$B$98,S3=MASTER!$B$102,S3=MASTER!$B$103,S3=MASTER!$B$99,S3=MASTER!$B$100,S3=MASTER!$B$101,S3=MASTER!$B$104,S3=MASTER!$B$105,S3=MASTER!$B$106,S3=MASTER!$B$107,S3=MASTER!$B$108,S3=MASTER!$B$109),(CONCATENATE(VLOOKUP(S3,MASTER!$B:$D,3,0),L3,"X",M3,"X",VLOOKUP(S3,MASTER!$B:$F,5,0))),(CONCATENATE(VLOOKUP(S3,MASTER!$B:$D,3,0),N3))),"")</f>
        <v/>
      </c>
      <c r="V3" s="64" t="str">
        <f>IFERROR(VLOOKUP(Table9[[#This Row],[ITEM CODE]],FW!$B:$D,3,0),"")</f>
        <v/>
      </c>
      <c r="W3" s="64">
        <f>IF(OR(S3=MASTER!$B$95,S3=MASTER!$B$96,S3=MASTER!$B$97,S3=MASTER!$B$98,S3=MASTER!$B$102,S3=MASTER!$B$103,S3=MASTER!$B$99,S3=MASTER!$B$100,S3=MASTER!$B$101,S3=MASTER!$B$104,S3=MASTER!$B$105,S3=MASTER!$B$106,S3=MASTER!$B$107,S3=MASTER!$B$108,S3=MASTER!$B$109),(Q3*V3),Q3)</f>
        <v>1</v>
      </c>
    </row>
    <row r="4" spans="1:23" ht="15.75" x14ac:dyDescent="0.25">
      <c r="A4" s="66">
        <f t="shared" ref="A4:A30" si="10">ROW()-1</f>
        <v>3</v>
      </c>
      <c r="B4" s="66" t="str">
        <f>LEFT(Table13[[#This Row],[ITEM CODE]],MIN(FIND({0,1,2,3,4,5,6,7,8,9},Table13[[#This Row],[ITEM CODE]]&amp;"0123456789"))-1)</f>
        <v/>
      </c>
      <c r="C4" s="64" t="str">
        <f>SUBSTITUTE(Table13[[#This Row],[ITEM CODE]],B4,"")</f>
        <v/>
      </c>
      <c r="D4" s="64" t="str">
        <f t="shared" si="0"/>
        <v/>
      </c>
      <c r="E4" s="64" t="str">
        <f t="shared" si="1"/>
        <v/>
      </c>
      <c r="F4" s="64" t="str">
        <f t="shared" si="2"/>
        <v/>
      </c>
      <c r="G4" s="64" t="str">
        <f t="shared" si="3"/>
        <v/>
      </c>
      <c r="H4" s="64" t="str">
        <f t="shared" si="4"/>
        <v/>
      </c>
      <c r="I4" s="64" t="str">
        <f t="shared" si="5"/>
        <v/>
      </c>
      <c r="J4" s="64" t="str">
        <f>IFERROR(IF(Table2[[#This Row],[L]]&lt;Table2[[#This Row],[W]],Table2[[#This Row],[W]],Table2[[#This Row],[L]]),"")</f>
        <v/>
      </c>
      <c r="K4" s="64" t="str">
        <f>IF(Table2[[#This Row],[L]]&lt;Table2[[#This Row],[W]],Table2[[#This Row],[L]],Table2[[#This Row],[W]])</f>
        <v/>
      </c>
      <c r="L4" s="64" t="str">
        <f t="shared" si="8"/>
        <v/>
      </c>
      <c r="M4" s="64" t="str">
        <f t="shared" si="9"/>
        <v/>
      </c>
      <c r="N4" s="64" t="str">
        <f t="shared" si="6"/>
        <v>XX</v>
      </c>
      <c r="O4" s="64" t="str">
        <f t="shared" si="7"/>
        <v>XX</v>
      </c>
      <c r="P4" s="64" t="str">
        <f>+CONCATENATE(Table2[[#This Row],[1]],Table2[[#This Row],[H]])</f>
        <v/>
      </c>
      <c r="Q4" s="64">
        <f>IFERROR(Table13[[#This Row],[QTY]],"")</f>
        <v>0</v>
      </c>
      <c r="R4" s="75"/>
      <c r="S4" s="64" t="str">
        <f>+Table2[[#This Row],[VARIETY]]</f>
        <v/>
      </c>
      <c r="T4" s="64" t="str">
        <f>IFERROR(VLOOKUP(Table9[[#This Row],[VARIETY]],MASTER!B:D,3,0),"")</f>
        <v/>
      </c>
      <c r="U4" s="64" t="str">
        <f>IFERROR(IF(OR(S4=MASTER!$B$95,S4=MASTER!$B$96,S4=MASTER!$B$97,S4=MASTER!$B$98,S4=MASTER!$B$102,S4=MASTER!$B$103,S4=MASTER!$B$99,S4=MASTER!$B$100,S4=MASTER!$B$101,S4=MASTER!$B$104,S4=MASTER!$B$105,S4=MASTER!$B$106,S4=MASTER!$B$107,S4=MASTER!$B$108,S4=MASTER!$B$109),(CONCATENATE(VLOOKUP(S4,MASTER!$B:$D,3,0),L4,"X",M4,"X",VLOOKUP(S4,MASTER!$B:$F,5,0))),(CONCATENATE(VLOOKUP(S4,MASTER!$B:$D,3,0),N4))),"")</f>
        <v/>
      </c>
      <c r="V4" s="64" t="str">
        <f>IFERROR(VLOOKUP(Table9[[#This Row],[ITEM CODE]],FW!$B:$D,3,0),"")</f>
        <v/>
      </c>
      <c r="W4" s="64">
        <f>IF(OR(S4=MASTER!$B$95,S4=MASTER!$B$96,S4=MASTER!$B$97,S4=MASTER!$B$98,S4=MASTER!$B$102,S4=MASTER!$B$103,S4=MASTER!$B$99,S4=MASTER!$B$100,S4=MASTER!$B$101,S4=MASTER!$B$104,S4=MASTER!$B$105,S4=MASTER!$B$106,S4=MASTER!$B$107,S4=MASTER!$B$108,S4=MASTER!$B$109),(Q4*V4),Q4)</f>
        <v>0</v>
      </c>
    </row>
    <row r="5" spans="1:23" ht="15.75" x14ac:dyDescent="0.25">
      <c r="A5" s="66">
        <f t="shared" si="10"/>
        <v>4</v>
      </c>
      <c r="B5" s="66" t="str">
        <f>LEFT(Table13[[#This Row],[ITEM CODE]],MIN(FIND({0,1,2,3,4,5,6,7,8,9},Table13[[#This Row],[ITEM CODE]]&amp;"0123456789"))-1)</f>
        <v/>
      </c>
      <c r="C5" s="64" t="str">
        <f>SUBSTITUTE(Table13[[#This Row],[ITEM CODE]],B5,"")</f>
        <v/>
      </c>
      <c r="D5" s="64" t="str">
        <f t="shared" si="0"/>
        <v/>
      </c>
      <c r="E5" s="64" t="str">
        <f t="shared" si="1"/>
        <v/>
      </c>
      <c r="F5" s="64" t="str">
        <f t="shared" si="2"/>
        <v/>
      </c>
      <c r="G5" s="64" t="str">
        <f t="shared" si="3"/>
        <v/>
      </c>
      <c r="H5" s="64" t="str">
        <f t="shared" si="4"/>
        <v/>
      </c>
      <c r="I5" s="64" t="str">
        <f t="shared" si="5"/>
        <v/>
      </c>
      <c r="J5" s="64" t="str">
        <f>IFERROR(IF(Table2[[#This Row],[L]]&lt;Table2[[#This Row],[W]],Table2[[#This Row],[W]],Table2[[#This Row],[L]]),"")</f>
        <v/>
      </c>
      <c r="K5" s="64" t="str">
        <f>IF(Table2[[#This Row],[L]]&lt;Table2[[#This Row],[W]],Table2[[#This Row],[L]],Table2[[#This Row],[W]])</f>
        <v/>
      </c>
      <c r="L5" s="64" t="str">
        <f t="shared" si="8"/>
        <v/>
      </c>
      <c r="M5" s="64" t="str">
        <f t="shared" si="9"/>
        <v/>
      </c>
      <c r="N5" s="64" t="str">
        <f t="shared" si="6"/>
        <v>XX</v>
      </c>
      <c r="O5" s="64" t="str">
        <f t="shared" si="7"/>
        <v>XX</v>
      </c>
      <c r="P5" s="64" t="str">
        <f>+CONCATENATE(Table2[[#This Row],[1]],Table2[[#This Row],[H]])</f>
        <v/>
      </c>
      <c r="Q5" s="64">
        <f>IFERROR(Table13[[#This Row],[QTY]],"")</f>
        <v>0</v>
      </c>
      <c r="R5" s="75"/>
      <c r="S5" s="64" t="str">
        <f>+Table2[[#This Row],[VARIETY]]</f>
        <v/>
      </c>
      <c r="T5" s="64" t="str">
        <f>IFERROR(VLOOKUP(Table9[[#This Row],[VARIETY]],MASTER!B:D,3,0),"")</f>
        <v/>
      </c>
      <c r="U5" s="64" t="str">
        <f>IFERROR(IF(OR(S5=MASTER!$B$95,S5=MASTER!$B$96,S5=MASTER!$B$97,S5=MASTER!$B$98,S5=MASTER!$B$102,S5=MASTER!$B$103,S5=MASTER!$B$99,S5=MASTER!$B$100,S5=MASTER!$B$101,S5=MASTER!$B$104,S5=MASTER!$B$105,S5=MASTER!$B$106,S5=MASTER!$B$107,S5=MASTER!$B$108,S5=MASTER!$B$109),(CONCATENATE(VLOOKUP(S5,MASTER!$B:$D,3,0),L5,"X",M5,"X",VLOOKUP(S5,MASTER!$B:$F,5,0))),(CONCATENATE(VLOOKUP(S5,MASTER!$B:$D,3,0),N5))),"")</f>
        <v/>
      </c>
      <c r="V5" s="64" t="str">
        <f>IFERROR(VLOOKUP(Table9[[#This Row],[ITEM CODE]],FW!$B:$D,3,0),"")</f>
        <v/>
      </c>
      <c r="W5" s="64">
        <f>IF(OR(S5=MASTER!$B$95,S5=MASTER!$B$96,S5=MASTER!$B$97,S5=MASTER!$B$98,S5=MASTER!$B$102,S5=MASTER!$B$103,S5=MASTER!$B$99,S5=MASTER!$B$100,S5=MASTER!$B$101,S5=MASTER!$B$104,S5=MASTER!$B$105,S5=MASTER!$B$106,S5=MASTER!$B$107,S5=MASTER!$B$108,S5=MASTER!$B$109),(Q5*V5),Q5)</f>
        <v>0</v>
      </c>
    </row>
    <row r="6" spans="1:23" ht="15.75" x14ac:dyDescent="0.25">
      <c r="A6" s="66">
        <f t="shared" si="10"/>
        <v>5</v>
      </c>
      <c r="B6" s="66" t="str">
        <f>LEFT(Table13[[#This Row],[ITEM CODE]],MIN(FIND({0,1,2,3,4,5,6,7,8,9},Table13[[#This Row],[ITEM CODE]]&amp;"0123456789"))-1)</f>
        <v/>
      </c>
      <c r="C6" s="64" t="str">
        <f>SUBSTITUTE(Table13[[#This Row],[ITEM CODE]],B6,"")</f>
        <v/>
      </c>
      <c r="D6" s="64" t="str">
        <f t="shared" si="0"/>
        <v/>
      </c>
      <c r="E6" s="64" t="str">
        <f t="shared" si="1"/>
        <v/>
      </c>
      <c r="F6" s="64" t="str">
        <f t="shared" si="2"/>
        <v/>
      </c>
      <c r="G6" s="64" t="str">
        <f t="shared" si="3"/>
        <v/>
      </c>
      <c r="H6" s="64" t="str">
        <f t="shared" si="4"/>
        <v/>
      </c>
      <c r="I6" s="64" t="str">
        <f t="shared" si="5"/>
        <v/>
      </c>
      <c r="J6" s="64" t="str">
        <f>IFERROR(IF(Table2[[#This Row],[L]]&lt;Table2[[#This Row],[W]],Table2[[#This Row],[W]],Table2[[#This Row],[L]]),"")</f>
        <v/>
      </c>
      <c r="K6" s="64" t="str">
        <f>IF(Table2[[#This Row],[L]]&lt;Table2[[#This Row],[W]],Table2[[#This Row],[L]],Table2[[#This Row],[W]])</f>
        <v/>
      </c>
      <c r="L6" s="64" t="str">
        <f t="shared" si="8"/>
        <v/>
      </c>
      <c r="M6" s="64" t="str">
        <f t="shared" si="9"/>
        <v/>
      </c>
      <c r="N6" s="64" t="str">
        <f t="shared" si="6"/>
        <v>XX</v>
      </c>
      <c r="O6" s="64" t="str">
        <f t="shared" si="7"/>
        <v>XX</v>
      </c>
      <c r="P6" s="64" t="str">
        <f>+CONCATENATE(Table2[[#This Row],[1]],Table2[[#This Row],[H]])</f>
        <v/>
      </c>
      <c r="Q6" s="64">
        <f>IFERROR(Table13[[#This Row],[QTY]],"")</f>
        <v>0</v>
      </c>
      <c r="R6" s="75"/>
      <c r="S6" s="64" t="str">
        <f>+Table2[[#This Row],[VARIETY]]</f>
        <v/>
      </c>
      <c r="T6" s="64" t="str">
        <f>IFERROR(VLOOKUP(Table9[[#This Row],[VARIETY]],MASTER!B:D,3,0),"")</f>
        <v/>
      </c>
      <c r="U6" s="64" t="str">
        <f>IFERROR(IF(OR(S6=MASTER!$B$95,S6=MASTER!$B$96,S6=MASTER!$B$97,S6=MASTER!$B$98,S6=MASTER!$B$102,S6=MASTER!$B$103,S6=MASTER!$B$99,S6=MASTER!$B$100,S6=MASTER!$B$101,S6=MASTER!$B$104,S6=MASTER!$B$105,S6=MASTER!$B$106,S6=MASTER!$B$107,S6=MASTER!$B$108,S6=MASTER!$B$109),(CONCATENATE(VLOOKUP(S6,MASTER!$B:$D,3,0),L6,"X",M6,"X",VLOOKUP(S6,MASTER!$B:$F,5,0))),(CONCATENATE(VLOOKUP(S6,MASTER!$B:$D,3,0),N6))),"")</f>
        <v/>
      </c>
      <c r="V6" s="64" t="str">
        <f>IFERROR(VLOOKUP(Table9[[#This Row],[ITEM CODE]],FW!$B:$D,3,0),"")</f>
        <v/>
      </c>
      <c r="W6" s="64">
        <f>IF(OR(S6=MASTER!$B$95,S6=MASTER!$B$96,S6=MASTER!$B$97,S6=MASTER!$B$98,S6=MASTER!$B$102,S6=MASTER!$B$103,S6=MASTER!$B$99,S6=MASTER!$B$100,S6=MASTER!$B$101,S6=MASTER!$B$104,S6=MASTER!$B$105,S6=MASTER!$B$106,S6=MASTER!$B$107,S6=MASTER!$B$108,S6=MASTER!$B$109),(Q6*V6),Q6)</f>
        <v>0</v>
      </c>
    </row>
    <row r="7" spans="1:23" ht="15.75" x14ac:dyDescent="0.25">
      <c r="A7" s="66">
        <f t="shared" si="10"/>
        <v>6</v>
      </c>
      <c r="B7" s="66" t="str">
        <f>LEFT(Table13[[#This Row],[ITEM CODE]],MIN(FIND({0,1,2,3,4,5,6,7,8,9},Table13[[#This Row],[ITEM CODE]]&amp;"0123456789"))-1)</f>
        <v/>
      </c>
      <c r="C7" s="64" t="str">
        <f>SUBSTITUTE(Table13[[#This Row],[ITEM CODE]],B7,"")</f>
        <v/>
      </c>
      <c r="D7" s="64" t="str">
        <f t="shared" si="0"/>
        <v/>
      </c>
      <c r="E7" s="64" t="str">
        <f t="shared" si="1"/>
        <v/>
      </c>
      <c r="F7" s="64" t="str">
        <f t="shared" si="2"/>
        <v/>
      </c>
      <c r="G7" s="64" t="str">
        <f t="shared" si="3"/>
        <v/>
      </c>
      <c r="H7" s="64" t="str">
        <f t="shared" si="4"/>
        <v/>
      </c>
      <c r="I7" s="64" t="str">
        <f t="shared" si="5"/>
        <v/>
      </c>
      <c r="J7" s="64" t="str">
        <f>IFERROR(IF(Table2[[#This Row],[L]]&lt;Table2[[#This Row],[W]],Table2[[#This Row],[W]],Table2[[#This Row],[L]]),"")</f>
        <v/>
      </c>
      <c r="K7" s="64" t="str">
        <f>IF(Table2[[#This Row],[L]]&lt;Table2[[#This Row],[W]],Table2[[#This Row],[L]],Table2[[#This Row],[W]])</f>
        <v/>
      </c>
      <c r="L7" s="64" t="str">
        <f t="shared" si="8"/>
        <v/>
      </c>
      <c r="M7" s="64" t="str">
        <f t="shared" si="9"/>
        <v/>
      </c>
      <c r="N7" s="64" t="str">
        <f t="shared" si="6"/>
        <v>XX</v>
      </c>
      <c r="O7" s="64" t="str">
        <f t="shared" si="7"/>
        <v>XX</v>
      </c>
      <c r="P7" s="64" t="str">
        <f>+CONCATENATE(Table2[[#This Row],[1]],Table2[[#This Row],[H]])</f>
        <v/>
      </c>
      <c r="Q7" s="64">
        <f>IFERROR(Table13[[#This Row],[QTY]],"")</f>
        <v>0</v>
      </c>
      <c r="R7" s="75"/>
      <c r="S7" s="64" t="str">
        <f>+Table2[[#This Row],[VARIETY]]</f>
        <v/>
      </c>
      <c r="T7" s="64" t="str">
        <f>IFERROR(VLOOKUP(Table9[[#This Row],[VARIETY]],MASTER!B:D,3,0),"")</f>
        <v/>
      </c>
      <c r="U7" s="64" t="str">
        <f>IFERROR(IF(OR(S7=MASTER!$B$95,S7=MASTER!$B$96,S7=MASTER!$B$97,S7=MASTER!$B$98,S7=MASTER!$B$102,S7=MASTER!$B$103,S7=MASTER!$B$99,S7=MASTER!$B$100,S7=MASTER!$B$101,S7=MASTER!$B$104,S7=MASTER!$B$105,S7=MASTER!$B$106,S7=MASTER!$B$107,S7=MASTER!$B$108,S7=MASTER!$B$109),(CONCATENATE(VLOOKUP(S7,MASTER!$B:$D,3,0),L7,"X",M7,"X",VLOOKUP(S7,MASTER!$B:$F,5,0))),(CONCATENATE(VLOOKUP(S7,MASTER!$B:$D,3,0),N7))),"")</f>
        <v/>
      </c>
      <c r="V7" s="64" t="str">
        <f>IFERROR(VLOOKUP(Table9[[#This Row],[ITEM CODE]],FW!$B:$D,3,0),"")</f>
        <v/>
      </c>
      <c r="W7" s="64">
        <f>IF(OR(S7=MASTER!$B$95,S7=MASTER!$B$96,S7=MASTER!$B$97,S7=MASTER!$B$98,S7=MASTER!$B$102,S7=MASTER!$B$103,S7=MASTER!$B$99,S7=MASTER!$B$100,S7=MASTER!$B$101,S7=MASTER!$B$104,S7=MASTER!$B$105,S7=MASTER!$B$106,S7=MASTER!$B$107,S7=MASTER!$B$108,S7=MASTER!$B$109),(Q7*V7),Q7)</f>
        <v>0</v>
      </c>
    </row>
    <row r="8" spans="1:23" ht="15.75" x14ac:dyDescent="0.25">
      <c r="A8" s="66">
        <f t="shared" si="10"/>
        <v>7</v>
      </c>
      <c r="B8" s="66" t="str">
        <f>LEFT(Table13[[#This Row],[ITEM CODE]],MIN(FIND({0,1,2,3,4,5,6,7,8,9},Table13[[#This Row],[ITEM CODE]]&amp;"0123456789"))-1)</f>
        <v/>
      </c>
      <c r="C8" s="64" t="str">
        <f>SUBSTITUTE(Table13[[#This Row],[ITEM CODE]],B8,"")</f>
        <v/>
      </c>
      <c r="D8" s="64" t="str">
        <f t="shared" si="0"/>
        <v/>
      </c>
      <c r="E8" s="64" t="str">
        <f t="shared" si="1"/>
        <v/>
      </c>
      <c r="F8" s="64" t="str">
        <f t="shared" si="2"/>
        <v/>
      </c>
      <c r="G8" s="64" t="str">
        <f t="shared" si="3"/>
        <v/>
      </c>
      <c r="H8" s="64" t="str">
        <f t="shared" si="4"/>
        <v/>
      </c>
      <c r="I8" s="64" t="str">
        <f t="shared" si="5"/>
        <v/>
      </c>
      <c r="J8" s="64" t="str">
        <f>IFERROR(IF(Table2[[#This Row],[L]]&lt;Table2[[#This Row],[W]],Table2[[#This Row],[W]],Table2[[#This Row],[L]]),"")</f>
        <v/>
      </c>
      <c r="K8" s="64" t="str">
        <f>IF(Table2[[#This Row],[L]]&lt;Table2[[#This Row],[W]],Table2[[#This Row],[L]],Table2[[#This Row],[W]])</f>
        <v/>
      </c>
      <c r="L8" s="64" t="str">
        <f t="shared" si="8"/>
        <v/>
      </c>
      <c r="M8" s="64" t="str">
        <f t="shared" si="9"/>
        <v/>
      </c>
      <c r="N8" s="64" t="str">
        <f t="shared" si="6"/>
        <v>XX</v>
      </c>
      <c r="O8" s="64" t="str">
        <f t="shared" si="7"/>
        <v>XX</v>
      </c>
      <c r="P8" s="64" t="str">
        <f>+CONCATENATE(Table2[[#This Row],[1]],Table2[[#This Row],[H]])</f>
        <v/>
      </c>
      <c r="Q8" s="64">
        <f>IFERROR(Table13[[#This Row],[QTY]],"")</f>
        <v>0</v>
      </c>
      <c r="R8" s="75"/>
      <c r="S8" s="64" t="str">
        <f>+Table2[[#This Row],[VARIETY]]</f>
        <v/>
      </c>
      <c r="T8" s="64" t="str">
        <f>IFERROR(VLOOKUP(Table9[[#This Row],[VARIETY]],MASTER!B:D,3,0),"")</f>
        <v/>
      </c>
      <c r="U8" s="64" t="str">
        <f>IFERROR(IF(OR(S8=MASTER!$B$95,S8=MASTER!$B$96,S8=MASTER!$B$97,S8=MASTER!$B$98,S8=MASTER!$B$102,S8=MASTER!$B$103,S8=MASTER!$B$99,S8=MASTER!$B$100,S8=MASTER!$B$101,S8=MASTER!$B$104,S8=MASTER!$B$105,S8=MASTER!$B$106,S8=MASTER!$B$107,S8=MASTER!$B$108,S8=MASTER!$B$109),(CONCATENATE(VLOOKUP(S8,MASTER!$B:$D,3,0),L8,"X",M8,"X",VLOOKUP(S8,MASTER!$B:$F,5,0))),(CONCATENATE(VLOOKUP(S8,MASTER!$B:$D,3,0),N8))),"")</f>
        <v/>
      </c>
      <c r="V8" s="64" t="str">
        <f>IFERROR(VLOOKUP(Table9[[#This Row],[ITEM CODE]],FW!$B:$D,3,0),"")</f>
        <v/>
      </c>
      <c r="W8" s="64">
        <f>IF(OR(S8=MASTER!$B$95,S8=MASTER!$B$96,S8=MASTER!$B$97,S8=MASTER!$B$98,S8=MASTER!$B$102,S8=MASTER!$B$103,S8=MASTER!$B$99,S8=MASTER!$B$100,S8=MASTER!$B$101,S8=MASTER!$B$104,S8=MASTER!$B$105,S8=MASTER!$B$106,S8=MASTER!$B$107,S8=MASTER!$B$108,S8=MASTER!$B$109),(Q8*V8),Q8)</f>
        <v>0</v>
      </c>
    </row>
    <row r="9" spans="1:23" ht="15.75" x14ac:dyDescent="0.25">
      <c r="A9" s="66">
        <f t="shared" si="10"/>
        <v>8</v>
      </c>
      <c r="B9" s="66" t="str">
        <f>LEFT(Table13[[#This Row],[ITEM CODE]],MIN(FIND({0,1,2,3,4,5,6,7,8,9},Table13[[#This Row],[ITEM CODE]]&amp;"0123456789"))-1)</f>
        <v/>
      </c>
      <c r="C9" s="64" t="str">
        <f>SUBSTITUTE(Table13[[#This Row],[ITEM CODE]],B9,"")</f>
        <v/>
      </c>
      <c r="D9" s="64" t="str">
        <f t="shared" si="0"/>
        <v/>
      </c>
      <c r="E9" s="64" t="str">
        <f t="shared" si="1"/>
        <v/>
      </c>
      <c r="F9" s="64" t="str">
        <f t="shared" si="2"/>
        <v/>
      </c>
      <c r="G9" s="64" t="str">
        <f t="shared" si="3"/>
        <v/>
      </c>
      <c r="H9" s="64" t="str">
        <f t="shared" si="4"/>
        <v/>
      </c>
      <c r="I9" s="64" t="str">
        <f t="shared" si="5"/>
        <v/>
      </c>
      <c r="J9" s="64" t="str">
        <f>IFERROR(IF(Table2[[#This Row],[L]]&lt;Table2[[#This Row],[W]],Table2[[#This Row],[W]],Table2[[#This Row],[L]]),"")</f>
        <v/>
      </c>
      <c r="K9" s="64" t="str">
        <f>IF(Table2[[#This Row],[L]]&lt;Table2[[#This Row],[W]],Table2[[#This Row],[L]],Table2[[#This Row],[W]])</f>
        <v/>
      </c>
      <c r="L9" s="64" t="str">
        <f t="shared" si="8"/>
        <v/>
      </c>
      <c r="M9" s="64" t="str">
        <f t="shared" si="9"/>
        <v/>
      </c>
      <c r="N9" s="64" t="str">
        <f t="shared" si="6"/>
        <v>XX</v>
      </c>
      <c r="O9" s="64" t="str">
        <f t="shared" si="7"/>
        <v>XX</v>
      </c>
      <c r="P9" s="64" t="str">
        <f>+CONCATENATE(Table2[[#This Row],[1]],Table2[[#This Row],[H]])</f>
        <v/>
      </c>
      <c r="Q9" s="64">
        <f>IFERROR(Table13[[#This Row],[QTY]],"")</f>
        <v>0</v>
      </c>
      <c r="R9" s="75"/>
      <c r="S9" s="64" t="str">
        <f>+Table2[[#This Row],[VARIETY]]</f>
        <v/>
      </c>
      <c r="T9" s="64" t="str">
        <f>IFERROR(VLOOKUP(Table9[[#This Row],[VARIETY]],MASTER!B:D,3,0),"")</f>
        <v/>
      </c>
      <c r="U9" s="64" t="str">
        <f>IFERROR(IF(OR(S9=MASTER!$B$95,S9=MASTER!$B$96,S9=MASTER!$B$97,S9=MASTER!$B$98,S9=MASTER!$B$102,S9=MASTER!$B$103,S9=MASTER!$B$99,S9=MASTER!$B$100,S9=MASTER!$B$101,S9=MASTER!$B$104,S9=MASTER!$B$105,S9=MASTER!$B$106,S9=MASTER!$B$107,S9=MASTER!$B$108,S9=MASTER!$B$109),(CONCATENATE(VLOOKUP(S9,MASTER!$B:$D,3,0),L9,"X",M9,"X",VLOOKUP(S9,MASTER!$B:$F,5,0))),(CONCATENATE(VLOOKUP(S9,MASTER!$B:$D,3,0),N9))),"")</f>
        <v/>
      </c>
      <c r="V9" s="64" t="str">
        <f>IFERROR(VLOOKUP(Table9[[#This Row],[ITEM CODE]],FW!$B:$D,3,0),"")</f>
        <v/>
      </c>
      <c r="W9" s="64">
        <f>IF(OR(S9=MASTER!$B$95,S9=MASTER!$B$96,S9=MASTER!$B$97,S9=MASTER!$B$98,S9=MASTER!$B$102,S9=MASTER!$B$103,S9=MASTER!$B$99,S9=MASTER!$B$100,S9=MASTER!$B$101,S9=MASTER!$B$104,S9=MASTER!$B$105,S9=MASTER!$B$106,S9=MASTER!$B$107,S9=MASTER!$B$108,S9=MASTER!$B$109),(Q9*V9),Q9)</f>
        <v>0</v>
      </c>
    </row>
    <row r="10" spans="1:23" ht="15.75" x14ac:dyDescent="0.25">
      <c r="A10" s="66">
        <f t="shared" si="10"/>
        <v>9</v>
      </c>
      <c r="B10" s="66" t="str">
        <f>LEFT(Table13[[#This Row],[ITEM CODE]],MIN(FIND({0,1,2,3,4,5,6,7,8,9},Table13[[#This Row],[ITEM CODE]]&amp;"0123456789"))-1)</f>
        <v/>
      </c>
      <c r="C10" s="64" t="str">
        <f>SUBSTITUTE(Table13[[#This Row],[ITEM CODE]],B10,"")</f>
        <v/>
      </c>
      <c r="D10" s="64" t="str">
        <f t="shared" si="0"/>
        <v/>
      </c>
      <c r="E10" s="64" t="str">
        <f t="shared" si="1"/>
        <v/>
      </c>
      <c r="F10" s="64" t="str">
        <f t="shared" si="2"/>
        <v/>
      </c>
      <c r="G10" s="64" t="str">
        <f t="shared" si="3"/>
        <v/>
      </c>
      <c r="H10" s="64" t="str">
        <f t="shared" si="4"/>
        <v/>
      </c>
      <c r="I10" s="64" t="str">
        <f t="shared" si="5"/>
        <v/>
      </c>
      <c r="J10" s="64" t="str">
        <f>IFERROR(IF(Table2[[#This Row],[L]]&lt;Table2[[#This Row],[W]],Table2[[#This Row],[W]],Table2[[#This Row],[L]]),"")</f>
        <v/>
      </c>
      <c r="K10" s="64" t="str">
        <f>IF(Table2[[#This Row],[L]]&lt;Table2[[#This Row],[W]],Table2[[#This Row],[L]],Table2[[#This Row],[W]])</f>
        <v/>
      </c>
      <c r="L10" s="64" t="str">
        <f t="shared" si="8"/>
        <v/>
      </c>
      <c r="M10" s="64" t="str">
        <f t="shared" si="9"/>
        <v/>
      </c>
      <c r="N10" s="64" t="str">
        <f t="shared" si="6"/>
        <v>XX</v>
      </c>
      <c r="O10" s="64" t="str">
        <f t="shared" si="7"/>
        <v>XX</v>
      </c>
      <c r="P10" s="64" t="str">
        <f>+CONCATENATE(Table2[[#This Row],[1]],Table2[[#This Row],[H]])</f>
        <v/>
      </c>
      <c r="Q10" s="64">
        <f>IFERROR(Table13[[#This Row],[QTY]],"")</f>
        <v>0</v>
      </c>
      <c r="R10" s="75"/>
      <c r="S10" s="64" t="str">
        <f>+Table2[[#This Row],[VARIETY]]</f>
        <v/>
      </c>
      <c r="T10" s="64" t="str">
        <f>IFERROR(VLOOKUP(Table9[[#This Row],[VARIETY]],MASTER!B:D,3,0),"")</f>
        <v/>
      </c>
      <c r="U10" s="64" t="str">
        <f>IFERROR(IF(OR(S10=MASTER!$B$95,S10=MASTER!$B$96,S10=MASTER!$B$97,S10=MASTER!$B$98,S10=MASTER!$B$102,S10=MASTER!$B$103,S10=MASTER!$B$99,S10=MASTER!$B$100,S10=MASTER!$B$101,S10=MASTER!$B$104,S10=MASTER!$B$105,S10=MASTER!$B$106,S10=MASTER!$B$107,S10=MASTER!$B$108,S10=MASTER!$B$109),(CONCATENATE(VLOOKUP(S10,MASTER!$B:$D,3,0),L10,"X",M10,"X",VLOOKUP(S10,MASTER!$B:$F,5,0))),(CONCATENATE(VLOOKUP(S10,MASTER!$B:$D,3,0),N10))),"")</f>
        <v/>
      </c>
      <c r="V10" s="64" t="str">
        <f>IFERROR(VLOOKUP(Table9[[#This Row],[ITEM CODE]],FW!$B:$D,3,0),"")</f>
        <v/>
      </c>
      <c r="W10" s="64">
        <f>IF(OR(S10=MASTER!$B$95,S10=MASTER!$B$96,S10=MASTER!$B$97,S10=MASTER!$B$98,S10=MASTER!$B$102,S10=MASTER!$B$103,S10=MASTER!$B$99,S10=MASTER!$B$100,S10=MASTER!$B$101,S10=MASTER!$B$104,S10=MASTER!$B$105,S10=MASTER!$B$106,S10=MASTER!$B$107,S10=MASTER!$B$108,S10=MASTER!$B$109),(Q10*V10),Q10)</f>
        <v>0</v>
      </c>
    </row>
    <row r="11" spans="1:23" ht="15.75" x14ac:dyDescent="0.25">
      <c r="A11" s="66">
        <f t="shared" si="10"/>
        <v>10</v>
      </c>
      <c r="B11" s="66" t="str">
        <f>LEFT(Table13[[#This Row],[ITEM CODE]],MIN(FIND({0,1,2,3,4,5,6,7,8,9},Table13[[#This Row],[ITEM CODE]]&amp;"0123456789"))-1)</f>
        <v/>
      </c>
      <c r="C11" s="64" t="str">
        <f>SUBSTITUTE(Table13[[#This Row],[ITEM CODE]],B11,"")</f>
        <v/>
      </c>
      <c r="D11" s="64" t="str">
        <f t="shared" si="0"/>
        <v/>
      </c>
      <c r="E11" s="64" t="str">
        <f t="shared" si="1"/>
        <v/>
      </c>
      <c r="F11" s="64" t="str">
        <f t="shared" si="2"/>
        <v/>
      </c>
      <c r="G11" s="64" t="str">
        <f t="shared" si="3"/>
        <v/>
      </c>
      <c r="H11" s="64" t="str">
        <f t="shared" si="4"/>
        <v/>
      </c>
      <c r="I11" s="64" t="str">
        <f t="shared" si="5"/>
        <v/>
      </c>
      <c r="J11" s="64" t="str">
        <f>IFERROR(IF(Table2[[#This Row],[L]]&lt;Table2[[#This Row],[W]],Table2[[#This Row],[W]],Table2[[#This Row],[L]]),"")</f>
        <v/>
      </c>
      <c r="K11" s="64" t="str">
        <f>IF(Table2[[#This Row],[L]]&lt;Table2[[#This Row],[W]],Table2[[#This Row],[L]],Table2[[#This Row],[W]])</f>
        <v/>
      </c>
      <c r="L11" s="64" t="str">
        <f t="shared" si="8"/>
        <v/>
      </c>
      <c r="M11" s="64" t="str">
        <f t="shared" si="9"/>
        <v/>
      </c>
      <c r="N11" s="64" t="str">
        <f t="shared" si="6"/>
        <v>XX</v>
      </c>
      <c r="O11" s="64" t="str">
        <f t="shared" si="7"/>
        <v>XX</v>
      </c>
      <c r="P11" s="64" t="str">
        <f>+CONCATENATE(Table2[[#This Row],[1]],Table2[[#This Row],[H]])</f>
        <v/>
      </c>
      <c r="Q11" s="64">
        <f>IFERROR(Table13[[#This Row],[QTY]],"")</f>
        <v>0</v>
      </c>
      <c r="R11" s="75"/>
      <c r="S11" s="64" t="str">
        <f>+Table2[[#This Row],[VARIETY]]</f>
        <v/>
      </c>
      <c r="T11" s="64" t="str">
        <f>IFERROR(VLOOKUP(Table9[[#This Row],[VARIETY]],MASTER!B:D,3,0),"")</f>
        <v/>
      </c>
      <c r="U11" s="64" t="str">
        <f>IFERROR(IF(OR(S11=MASTER!$B$95,S11=MASTER!$B$96,S11=MASTER!$B$97,S11=MASTER!$B$98,S11=MASTER!$B$102,S11=MASTER!$B$103,S11=MASTER!$B$99,S11=MASTER!$B$100,S11=MASTER!$B$101,S11=MASTER!$B$104,S11=MASTER!$B$105,S11=MASTER!$B$106,S11=MASTER!$B$107,S11=MASTER!$B$108,S11=MASTER!$B$109),(CONCATENATE(VLOOKUP(S11,MASTER!$B:$D,3,0),L11,"X",M11,"X",VLOOKUP(S11,MASTER!$B:$F,5,0))),(CONCATENATE(VLOOKUP(S11,MASTER!$B:$D,3,0),N11))),"")</f>
        <v/>
      </c>
      <c r="V11" s="64" t="str">
        <f>IFERROR(VLOOKUP(Table9[[#This Row],[ITEM CODE]],FW!$B:$D,3,0),"")</f>
        <v/>
      </c>
      <c r="W11" s="64">
        <f>IF(OR(S11=MASTER!$B$95,S11=MASTER!$B$96,S11=MASTER!$B$97,S11=MASTER!$B$98,S11=MASTER!$B$102,S11=MASTER!$B$103,S11=MASTER!$B$99,S11=MASTER!$B$100,S11=MASTER!$B$101,S11=MASTER!$B$104,S11=MASTER!$B$105,S11=MASTER!$B$106,S11=MASTER!$B$107,S11=MASTER!$B$108,S11=MASTER!$B$109),(Q11*V11),Q11)</f>
        <v>0</v>
      </c>
    </row>
    <row r="12" spans="1:23" ht="15.75" x14ac:dyDescent="0.25">
      <c r="A12" s="66">
        <f t="shared" si="10"/>
        <v>11</v>
      </c>
      <c r="B12" s="66" t="str">
        <f>LEFT(Table13[[#This Row],[ITEM CODE]],MIN(FIND({0,1,2,3,4,5,6,7,8,9},Table13[[#This Row],[ITEM CODE]]&amp;"0123456789"))-1)</f>
        <v/>
      </c>
      <c r="C12" s="64" t="str">
        <f>SUBSTITUTE(Table13[[#This Row],[ITEM CODE]],B12,"")</f>
        <v/>
      </c>
      <c r="D12" s="64" t="str">
        <f t="shared" si="0"/>
        <v/>
      </c>
      <c r="E12" s="64" t="str">
        <f t="shared" si="1"/>
        <v/>
      </c>
      <c r="F12" s="64" t="str">
        <f t="shared" si="2"/>
        <v/>
      </c>
      <c r="G12" s="64" t="str">
        <f t="shared" si="3"/>
        <v/>
      </c>
      <c r="H12" s="64" t="str">
        <f t="shared" si="4"/>
        <v/>
      </c>
      <c r="I12" s="64" t="str">
        <f t="shared" si="5"/>
        <v/>
      </c>
      <c r="J12" s="64" t="str">
        <f>IFERROR(IF(Table2[[#This Row],[L]]&lt;Table2[[#This Row],[W]],Table2[[#This Row],[W]],Table2[[#This Row],[L]]),"")</f>
        <v/>
      </c>
      <c r="K12" s="64" t="str">
        <f>IF(Table2[[#This Row],[L]]&lt;Table2[[#This Row],[W]],Table2[[#This Row],[L]],Table2[[#This Row],[W]])</f>
        <v/>
      </c>
      <c r="L12" s="64" t="str">
        <f t="shared" si="8"/>
        <v/>
      </c>
      <c r="M12" s="64" t="str">
        <f t="shared" si="9"/>
        <v/>
      </c>
      <c r="N12" s="64" t="str">
        <f t="shared" si="6"/>
        <v>XX</v>
      </c>
      <c r="O12" s="64" t="str">
        <f t="shared" si="7"/>
        <v>XX</v>
      </c>
      <c r="P12" s="64" t="str">
        <f>+CONCATENATE(Table2[[#This Row],[1]],Table2[[#This Row],[H]])</f>
        <v/>
      </c>
      <c r="Q12" s="64">
        <f>IFERROR(Table13[[#This Row],[QTY]],"")</f>
        <v>0</v>
      </c>
      <c r="R12" s="75"/>
      <c r="S12" s="64" t="str">
        <f>+Table2[[#This Row],[VARIETY]]</f>
        <v/>
      </c>
      <c r="T12" s="64" t="str">
        <f>IFERROR(VLOOKUP(Table9[[#This Row],[VARIETY]],MASTER!B:D,3,0),"")</f>
        <v/>
      </c>
      <c r="U12" s="64" t="str">
        <f>IFERROR(IF(OR(S12=MASTER!$B$95,S12=MASTER!$B$96,S12=MASTER!$B$97,S12=MASTER!$B$98,S12=MASTER!$B$102,S12=MASTER!$B$103,S12=MASTER!$B$99,S12=MASTER!$B$100,S12=MASTER!$B$101,S12=MASTER!$B$104,S12=MASTER!$B$105,S12=MASTER!$B$106,S12=MASTER!$B$107,S12=MASTER!$B$108,S12=MASTER!$B$109),(CONCATENATE(VLOOKUP(S12,MASTER!$B:$D,3,0),L12,"X",M12,"X",VLOOKUP(S12,MASTER!$B:$F,5,0))),(CONCATENATE(VLOOKUP(S12,MASTER!$B:$D,3,0),N12))),"")</f>
        <v/>
      </c>
      <c r="V12" s="64" t="str">
        <f>IFERROR(VLOOKUP(Table9[[#This Row],[ITEM CODE]],FW!$B:$D,3,0),"")</f>
        <v/>
      </c>
      <c r="W12" s="64">
        <f>IF(OR(S12=MASTER!$B$95,S12=MASTER!$B$96,S12=MASTER!$B$97,S12=MASTER!$B$98,S12=MASTER!$B$102,S12=MASTER!$B$103,S12=MASTER!$B$99,S12=MASTER!$B$100,S12=MASTER!$B$101,S12=MASTER!$B$104,S12=MASTER!$B$105,S12=MASTER!$B$106,S12=MASTER!$B$107,S12=MASTER!$B$108,S12=MASTER!$B$109),(Q12*V12),Q12)</f>
        <v>0</v>
      </c>
    </row>
    <row r="13" spans="1:23" ht="15.75" x14ac:dyDescent="0.25">
      <c r="A13" s="66">
        <f t="shared" si="10"/>
        <v>12</v>
      </c>
      <c r="B13" s="66" t="str">
        <f>LEFT(Table13[[#This Row],[ITEM CODE]],MIN(FIND({0,1,2,3,4,5,6,7,8,9},Table13[[#This Row],[ITEM CODE]]&amp;"0123456789"))-1)</f>
        <v/>
      </c>
      <c r="C13" s="64" t="str">
        <f>SUBSTITUTE(Table13[[#This Row],[ITEM CODE]],B13,"")</f>
        <v/>
      </c>
      <c r="D13" s="64" t="str">
        <f t="shared" si="0"/>
        <v/>
      </c>
      <c r="E13" s="64" t="str">
        <f t="shared" si="1"/>
        <v/>
      </c>
      <c r="F13" s="64" t="str">
        <f t="shared" si="2"/>
        <v/>
      </c>
      <c r="G13" s="64" t="str">
        <f t="shared" si="3"/>
        <v/>
      </c>
      <c r="H13" s="64" t="str">
        <f t="shared" si="4"/>
        <v/>
      </c>
      <c r="I13" s="64" t="str">
        <f t="shared" si="5"/>
        <v/>
      </c>
      <c r="J13" s="64" t="str">
        <f>IFERROR(IF(Table2[[#This Row],[L]]&lt;Table2[[#This Row],[W]],Table2[[#This Row],[W]],Table2[[#This Row],[L]]),"")</f>
        <v/>
      </c>
      <c r="K13" s="64" t="str">
        <f>IF(Table2[[#This Row],[L]]&lt;Table2[[#This Row],[W]],Table2[[#This Row],[L]],Table2[[#This Row],[W]])</f>
        <v/>
      </c>
      <c r="L13" s="64" t="str">
        <f t="shared" si="8"/>
        <v/>
      </c>
      <c r="M13" s="64" t="str">
        <f t="shared" si="9"/>
        <v/>
      </c>
      <c r="N13" s="64" t="str">
        <f t="shared" si="6"/>
        <v>XX</v>
      </c>
      <c r="O13" s="64" t="str">
        <f t="shared" si="7"/>
        <v>XX</v>
      </c>
      <c r="P13" s="64" t="str">
        <f>+CONCATENATE(Table2[[#This Row],[1]],Table2[[#This Row],[H]])</f>
        <v/>
      </c>
      <c r="Q13" s="64">
        <f>IFERROR(Table13[[#This Row],[QTY]],"")</f>
        <v>0</v>
      </c>
      <c r="R13" s="75"/>
      <c r="S13" s="64" t="str">
        <f>+Table2[[#This Row],[VARIETY]]</f>
        <v/>
      </c>
      <c r="T13" s="64" t="str">
        <f>IFERROR(VLOOKUP(Table9[[#This Row],[VARIETY]],MASTER!B:D,3,0),"")</f>
        <v/>
      </c>
      <c r="U13" s="64" t="str">
        <f>IFERROR(IF(OR(S13=MASTER!$B$95,S13=MASTER!$B$96,S13=MASTER!$B$97,S13=MASTER!$B$98,S13=MASTER!$B$102,S13=MASTER!$B$103,S13=MASTER!$B$99,S13=MASTER!$B$100,S13=MASTER!$B$101,S13=MASTER!$B$104,S13=MASTER!$B$105,S13=MASTER!$B$106,S13=MASTER!$B$107,S13=MASTER!$B$108,S13=MASTER!$B$109),(CONCATENATE(VLOOKUP(S13,MASTER!$B:$D,3,0),L13,"X",M13,"X",VLOOKUP(S13,MASTER!$B:$F,5,0))),(CONCATENATE(VLOOKUP(S13,MASTER!$B:$D,3,0),N13))),"")</f>
        <v/>
      </c>
      <c r="V13" s="64" t="str">
        <f>IFERROR(VLOOKUP(Table9[[#This Row],[ITEM CODE]],FW!$B:$D,3,0),"")</f>
        <v/>
      </c>
      <c r="W13" s="64">
        <f>IF(OR(S13=MASTER!$B$95,S13=MASTER!$B$96,S13=MASTER!$B$97,S13=MASTER!$B$98,S13=MASTER!$B$102,S13=MASTER!$B$103,S13=MASTER!$B$99,S13=MASTER!$B$100,S13=MASTER!$B$101,S13=MASTER!$B$104,S13=MASTER!$B$105,S13=MASTER!$B$106,S13=MASTER!$B$107,S13=MASTER!$B$108,S13=MASTER!$B$109),(Q13*V13),Q13)</f>
        <v>0</v>
      </c>
    </row>
    <row r="14" spans="1:23" ht="15.75" x14ac:dyDescent="0.25">
      <c r="A14" s="66">
        <f t="shared" si="10"/>
        <v>13</v>
      </c>
      <c r="B14" s="66" t="str">
        <f>LEFT(Table13[[#This Row],[ITEM CODE]],MIN(FIND({0,1,2,3,4,5,6,7,8,9},Table13[[#This Row],[ITEM CODE]]&amp;"0123456789"))-1)</f>
        <v/>
      </c>
      <c r="C14" s="64" t="str">
        <f>SUBSTITUTE(Table13[[#This Row],[ITEM CODE]],B14,"")</f>
        <v/>
      </c>
      <c r="D14" s="64" t="str">
        <f t="shared" si="0"/>
        <v/>
      </c>
      <c r="E14" s="64" t="str">
        <f t="shared" si="1"/>
        <v/>
      </c>
      <c r="F14" s="64" t="str">
        <f t="shared" si="2"/>
        <v/>
      </c>
      <c r="G14" s="64" t="str">
        <f t="shared" si="3"/>
        <v/>
      </c>
      <c r="H14" s="64" t="str">
        <f t="shared" si="4"/>
        <v/>
      </c>
      <c r="I14" s="64" t="str">
        <f t="shared" si="5"/>
        <v/>
      </c>
      <c r="J14" s="64" t="str">
        <f>IFERROR(IF(Table2[[#This Row],[L]]&lt;Table2[[#This Row],[W]],Table2[[#This Row],[W]],Table2[[#This Row],[L]]),"")</f>
        <v/>
      </c>
      <c r="K14" s="64" t="str">
        <f>IF(Table2[[#This Row],[L]]&lt;Table2[[#This Row],[W]],Table2[[#This Row],[L]],Table2[[#This Row],[W]])</f>
        <v/>
      </c>
      <c r="L14" s="64" t="str">
        <f t="shared" si="8"/>
        <v/>
      </c>
      <c r="M14" s="64" t="str">
        <f t="shared" si="9"/>
        <v/>
      </c>
      <c r="N14" s="64" t="str">
        <f t="shared" si="6"/>
        <v>XX</v>
      </c>
      <c r="O14" s="64" t="str">
        <f t="shared" si="7"/>
        <v>XX</v>
      </c>
      <c r="P14" s="64" t="str">
        <f>+CONCATENATE(Table2[[#This Row],[1]],Table2[[#This Row],[H]])</f>
        <v/>
      </c>
      <c r="Q14" s="64">
        <f>IFERROR(Table13[[#This Row],[QTY]],"")</f>
        <v>0</v>
      </c>
      <c r="R14" s="75"/>
      <c r="S14" s="64" t="str">
        <f>+Table2[[#This Row],[VARIETY]]</f>
        <v/>
      </c>
      <c r="T14" s="64" t="str">
        <f>IFERROR(VLOOKUP(Table9[[#This Row],[VARIETY]],MASTER!B:D,3,0),"")</f>
        <v/>
      </c>
      <c r="U14" s="64" t="str">
        <f>IFERROR(IF(OR(S14=MASTER!$B$95,S14=MASTER!$B$96,S14=MASTER!$B$97,S14=MASTER!$B$98,S14=MASTER!$B$102,S14=MASTER!$B$103,S14=MASTER!$B$99,S14=MASTER!$B$100,S14=MASTER!$B$101,S14=MASTER!$B$104,S14=MASTER!$B$105,S14=MASTER!$B$106,S14=MASTER!$B$107,S14=MASTER!$B$108,S14=MASTER!$B$109),(CONCATENATE(VLOOKUP(S14,MASTER!$B:$D,3,0),L14,"X",M14,"X",VLOOKUP(S14,MASTER!$B:$F,5,0))),(CONCATENATE(VLOOKUP(S14,MASTER!$B:$D,3,0),N14))),"")</f>
        <v/>
      </c>
      <c r="V14" s="64" t="str">
        <f>IFERROR(VLOOKUP(Table9[[#This Row],[ITEM CODE]],FW!$B:$D,3,0),"")</f>
        <v/>
      </c>
      <c r="W14" s="64">
        <f>IF(OR(S14=MASTER!$B$95,S14=MASTER!$B$96,S14=MASTER!$B$97,S14=MASTER!$B$98,S14=MASTER!$B$102,S14=MASTER!$B$103,S14=MASTER!$B$99,S14=MASTER!$B$100,S14=MASTER!$B$101,S14=MASTER!$B$104,S14=MASTER!$B$105,S14=MASTER!$B$106,S14=MASTER!$B$107,S14=MASTER!$B$108,S14=MASTER!$B$109),(Q14*V14),Q14)</f>
        <v>0</v>
      </c>
    </row>
    <row r="15" spans="1:23" ht="15.75" x14ac:dyDescent="0.25">
      <c r="A15" s="66">
        <f t="shared" si="10"/>
        <v>14</v>
      </c>
      <c r="B15" s="66" t="str">
        <f>LEFT(Table13[[#This Row],[ITEM CODE]],MIN(FIND({0,1,2,3,4,5,6,7,8,9},Table13[[#This Row],[ITEM CODE]]&amp;"0123456789"))-1)</f>
        <v/>
      </c>
      <c r="C15" s="64" t="str">
        <f>SUBSTITUTE(Table13[[#This Row],[ITEM CODE]],B15,"")</f>
        <v/>
      </c>
      <c r="D15" s="64" t="str">
        <f t="shared" si="0"/>
        <v/>
      </c>
      <c r="E15" s="64" t="str">
        <f t="shared" si="1"/>
        <v/>
      </c>
      <c r="F15" s="64" t="str">
        <f t="shared" si="2"/>
        <v/>
      </c>
      <c r="G15" s="64" t="str">
        <f t="shared" si="3"/>
        <v/>
      </c>
      <c r="H15" s="64" t="str">
        <f t="shared" si="4"/>
        <v/>
      </c>
      <c r="I15" s="64" t="str">
        <f t="shared" si="5"/>
        <v/>
      </c>
      <c r="J15" s="64" t="str">
        <f>IFERROR(IF(Table2[[#This Row],[L]]&lt;Table2[[#This Row],[W]],Table2[[#This Row],[W]],Table2[[#This Row],[L]]),"")</f>
        <v/>
      </c>
      <c r="K15" s="64" t="str">
        <f>IF(Table2[[#This Row],[L]]&lt;Table2[[#This Row],[W]],Table2[[#This Row],[L]],Table2[[#This Row],[W]])</f>
        <v/>
      </c>
      <c r="L15" s="64" t="str">
        <f t="shared" si="8"/>
        <v/>
      </c>
      <c r="M15" s="64" t="str">
        <f t="shared" si="9"/>
        <v/>
      </c>
      <c r="N15" s="64" t="str">
        <f t="shared" si="6"/>
        <v>XX</v>
      </c>
      <c r="O15" s="64" t="str">
        <f t="shared" si="7"/>
        <v>XX</v>
      </c>
      <c r="P15" s="64" t="str">
        <f>+CONCATENATE(Table2[[#This Row],[1]],Table2[[#This Row],[H]])</f>
        <v/>
      </c>
      <c r="Q15" s="64">
        <f>IFERROR(Table13[[#This Row],[QTY]],"")</f>
        <v>0</v>
      </c>
      <c r="R15" s="75"/>
      <c r="S15" s="64" t="str">
        <f>+Table2[[#This Row],[VARIETY]]</f>
        <v/>
      </c>
      <c r="T15" s="64" t="str">
        <f>IFERROR(VLOOKUP(Table9[[#This Row],[VARIETY]],MASTER!B:D,3,0),"")</f>
        <v/>
      </c>
      <c r="U15" s="64" t="str">
        <f>IFERROR(IF(OR(S15=MASTER!$B$95,S15=MASTER!$B$96,S15=MASTER!$B$97,S15=MASTER!$B$98,S15=MASTER!$B$102,S15=MASTER!$B$103,S15=MASTER!$B$99,S15=MASTER!$B$100,S15=MASTER!$B$101,S15=MASTER!$B$104,S15=MASTER!$B$105,S15=MASTER!$B$106,S15=MASTER!$B$107,S15=MASTER!$B$108,S15=MASTER!$B$109),(CONCATENATE(VLOOKUP(S15,MASTER!$B:$D,3,0),L15,"X",M15,"X",VLOOKUP(S15,MASTER!$B:$F,5,0))),(CONCATENATE(VLOOKUP(S15,MASTER!$B:$D,3,0),N15))),"")</f>
        <v/>
      </c>
      <c r="V15" s="64" t="str">
        <f>IFERROR(VLOOKUP(Table9[[#This Row],[ITEM CODE]],FW!$B:$D,3,0),"")</f>
        <v/>
      </c>
      <c r="W15" s="64">
        <f>IF(OR(S15=MASTER!$B$95,S15=MASTER!$B$96,S15=MASTER!$B$97,S15=MASTER!$B$98,S15=MASTER!$B$102,S15=MASTER!$B$103,S15=MASTER!$B$99,S15=MASTER!$B$100,S15=MASTER!$B$101,S15=MASTER!$B$104,S15=MASTER!$B$105,S15=MASTER!$B$106,S15=MASTER!$B$107,S15=MASTER!$B$108,S15=MASTER!$B$109),(Q15*V15),Q15)</f>
        <v>0</v>
      </c>
    </row>
    <row r="16" spans="1:23" ht="15.75" x14ac:dyDescent="0.25">
      <c r="A16" s="66">
        <f t="shared" si="10"/>
        <v>15</v>
      </c>
      <c r="B16" s="66" t="str">
        <f>LEFT(Table13[[#This Row],[ITEM CODE]],MIN(FIND({0,1,2,3,4,5,6,7,8,9},Table13[[#This Row],[ITEM CODE]]&amp;"0123456789"))-1)</f>
        <v/>
      </c>
      <c r="C16" s="64" t="str">
        <f>SUBSTITUTE(Table13[[#This Row],[ITEM CODE]],B16,"")</f>
        <v/>
      </c>
      <c r="D16" s="64" t="str">
        <f t="shared" si="0"/>
        <v/>
      </c>
      <c r="E16" s="64" t="str">
        <f t="shared" si="1"/>
        <v/>
      </c>
      <c r="F16" s="64" t="str">
        <f t="shared" si="2"/>
        <v/>
      </c>
      <c r="G16" s="64" t="str">
        <f t="shared" si="3"/>
        <v/>
      </c>
      <c r="H16" s="64" t="str">
        <f t="shared" si="4"/>
        <v/>
      </c>
      <c r="I16" s="64" t="str">
        <f t="shared" si="5"/>
        <v/>
      </c>
      <c r="J16" s="64" t="str">
        <f>IFERROR(IF(Table2[[#This Row],[L]]&lt;Table2[[#This Row],[W]],Table2[[#This Row],[W]],Table2[[#This Row],[L]]),"")</f>
        <v/>
      </c>
      <c r="K16" s="64" t="str">
        <f>IF(Table2[[#This Row],[L]]&lt;Table2[[#This Row],[W]],Table2[[#This Row],[L]],Table2[[#This Row],[W]])</f>
        <v/>
      </c>
      <c r="L16" s="64" t="str">
        <f t="shared" si="8"/>
        <v/>
      </c>
      <c r="M16" s="64" t="str">
        <f t="shared" si="9"/>
        <v/>
      </c>
      <c r="N16" s="64" t="str">
        <f t="shared" si="6"/>
        <v>XX</v>
      </c>
      <c r="O16" s="64" t="str">
        <f t="shared" si="7"/>
        <v>XX</v>
      </c>
      <c r="P16" s="64" t="str">
        <f>+CONCATENATE(Table2[[#This Row],[1]],Table2[[#This Row],[H]])</f>
        <v/>
      </c>
      <c r="Q16" s="64">
        <f>IFERROR(Table13[[#This Row],[QTY]],"")</f>
        <v>0</v>
      </c>
      <c r="R16" s="75"/>
      <c r="S16" s="64" t="str">
        <f>+Table2[[#This Row],[VARIETY]]</f>
        <v/>
      </c>
      <c r="T16" s="64" t="str">
        <f>IFERROR(VLOOKUP(Table9[[#This Row],[VARIETY]],MASTER!B:D,3,0),"")</f>
        <v/>
      </c>
      <c r="U16" s="64" t="str">
        <f>IFERROR(IF(OR(S16=MASTER!$B$95,S16=MASTER!$B$96,S16=MASTER!$B$97,S16=MASTER!$B$98,S16=MASTER!$B$102,S16=MASTER!$B$103,S16=MASTER!$B$99,S16=MASTER!$B$100,S16=MASTER!$B$101,S16=MASTER!$B$104,S16=MASTER!$B$105,S16=MASTER!$B$106,S16=MASTER!$B$107,S16=MASTER!$B$108,S16=MASTER!$B$109),(CONCATENATE(VLOOKUP(S16,MASTER!$B:$D,3,0),L16,"X",M16,"X",VLOOKUP(S16,MASTER!$B:$F,5,0))),(CONCATENATE(VLOOKUP(S16,MASTER!$B:$D,3,0),N16))),"")</f>
        <v/>
      </c>
      <c r="V16" s="64" t="str">
        <f>IFERROR(VLOOKUP(Table9[[#This Row],[ITEM CODE]],FW!$B:$D,3,0),"")</f>
        <v/>
      </c>
      <c r="W16" s="64">
        <f>IF(OR(S16=MASTER!$B$95,S16=MASTER!$B$96,S16=MASTER!$B$97,S16=MASTER!$B$98,S16=MASTER!$B$102,S16=MASTER!$B$103,S16=MASTER!$B$99,S16=MASTER!$B$100,S16=MASTER!$B$101,S16=MASTER!$B$104,S16=MASTER!$B$105,S16=MASTER!$B$106,S16=MASTER!$B$107,S16=MASTER!$B$108,S16=MASTER!$B$109),(Q16*V16),Q16)</f>
        <v>0</v>
      </c>
    </row>
    <row r="17" spans="1:23" ht="15.75" x14ac:dyDescent="0.25">
      <c r="A17" s="66">
        <f t="shared" si="10"/>
        <v>16</v>
      </c>
      <c r="B17" s="66" t="str">
        <f>LEFT(Table13[[#This Row],[ITEM CODE]],MIN(FIND({0,1,2,3,4,5,6,7,8,9},Table13[[#This Row],[ITEM CODE]]&amp;"0123456789"))-1)</f>
        <v/>
      </c>
      <c r="C17" s="64" t="str">
        <f>SUBSTITUTE(Table13[[#This Row],[ITEM CODE]],B17,"")</f>
        <v/>
      </c>
      <c r="D17" s="64" t="str">
        <f t="shared" si="0"/>
        <v/>
      </c>
      <c r="E17" s="64" t="str">
        <f t="shared" si="1"/>
        <v/>
      </c>
      <c r="F17" s="64" t="str">
        <f t="shared" si="2"/>
        <v/>
      </c>
      <c r="G17" s="64" t="str">
        <f t="shared" si="3"/>
        <v/>
      </c>
      <c r="H17" s="64" t="str">
        <f t="shared" si="4"/>
        <v/>
      </c>
      <c r="I17" s="64" t="str">
        <f t="shared" si="5"/>
        <v/>
      </c>
      <c r="J17" s="64" t="str">
        <f>IFERROR(IF(Table2[[#This Row],[L]]&lt;Table2[[#This Row],[W]],Table2[[#This Row],[W]],Table2[[#This Row],[L]]),"")</f>
        <v/>
      </c>
      <c r="K17" s="64" t="str">
        <f>IF(Table2[[#This Row],[L]]&lt;Table2[[#This Row],[W]],Table2[[#This Row],[L]],Table2[[#This Row],[W]])</f>
        <v/>
      </c>
      <c r="L17" s="64" t="str">
        <f t="shared" si="8"/>
        <v/>
      </c>
      <c r="M17" s="64" t="str">
        <f t="shared" si="9"/>
        <v/>
      </c>
      <c r="N17" s="64" t="str">
        <f t="shared" si="6"/>
        <v>XX</v>
      </c>
      <c r="O17" s="64" t="str">
        <f t="shared" si="7"/>
        <v>XX</v>
      </c>
      <c r="P17" s="64" t="str">
        <f>+CONCATENATE(Table2[[#This Row],[1]],Table2[[#This Row],[H]])</f>
        <v/>
      </c>
      <c r="Q17" s="64">
        <f>IFERROR(Table13[[#This Row],[QTY]],"")</f>
        <v>0</v>
      </c>
      <c r="R17" s="75"/>
      <c r="S17" s="64" t="str">
        <f>+Table2[[#This Row],[VARIETY]]</f>
        <v/>
      </c>
      <c r="T17" s="64" t="str">
        <f>IFERROR(VLOOKUP(Table9[[#This Row],[VARIETY]],MASTER!B:D,3,0),"")</f>
        <v/>
      </c>
      <c r="U17" s="64" t="str">
        <f>IFERROR(IF(OR(S17=MASTER!$B$95,S17=MASTER!$B$96,S17=MASTER!$B$97,S17=MASTER!$B$98,S17=MASTER!$B$102,S17=MASTER!$B$103,S17=MASTER!$B$99,S17=MASTER!$B$100,S17=MASTER!$B$101,S17=MASTER!$B$104,S17=MASTER!$B$105,S17=MASTER!$B$106,S17=MASTER!$B$107,S17=MASTER!$B$108,S17=MASTER!$B$109),(CONCATENATE(VLOOKUP(S17,MASTER!$B:$D,3,0),L17,"X",M17,"X",VLOOKUP(S17,MASTER!$B:$F,5,0))),(CONCATENATE(VLOOKUP(S17,MASTER!$B:$D,3,0),N17))),"")</f>
        <v/>
      </c>
      <c r="V17" s="64" t="str">
        <f>IFERROR(VLOOKUP(Table9[[#This Row],[ITEM CODE]],FW!$B:$D,3,0),"")</f>
        <v/>
      </c>
      <c r="W17" s="64">
        <f>IF(OR(S17=MASTER!$B$95,S17=MASTER!$B$96,S17=MASTER!$B$97,S17=MASTER!$B$98,S17=MASTER!$B$102,S17=MASTER!$B$103,S17=MASTER!$B$99,S17=MASTER!$B$100,S17=MASTER!$B$101,S17=MASTER!$B$104,S17=MASTER!$B$105,S17=MASTER!$B$106,S17=MASTER!$B$107,S17=MASTER!$B$108,S17=MASTER!$B$109),(Q17*V17),Q17)</f>
        <v>0</v>
      </c>
    </row>
    <row r="18" spans="1:23" ht="15.75" x14ac:dyDescent="0.25">
      <c r="A18" s="66">
        <f t="shared" si="10"/>
        <v>17</v>
      </c>
      <c r="B18" s="66" t="str">
        <f>LEFT(Table13[[#This Row],[ITEM CODE]],MIN(FIND({0,1,2,3,4,5,6,7,8,9},Table13[[#This Row],[ITEM CODE]]&amp;"0123456789"))-1)</f>
        <v/>
      </c>
      <c r="C18" s="64" t="str">
        <f>SUBSTITUTE(Table13[[#This Row],[ITEM CODE]],B18,"")</f>
        <v/>
      </c>
      <c r="D18" s="64" t="str">
        <f t="shared" si="0"/>
        <v/>
      </c>
      <c r="E18" s="64" t="str">
        <f t="shared" si="1"/>
        <v/>
      </c>
      <c r="F18" s="64" t="str">
        <f t="shared" si="2"/>
        <v/>
      </c>
      <c r="G18" s="64" t="str">
        <f t="shared" si="3"/>
        <v/>
      </c>
      <c r="H18" s="64" t="str">
        <f t="shared" si="4"/>
        <v/>
      </c>
      <c r="I18" s="64" t="str">
        <f t="shared" si="5"/>
        <v/>
      </c>
      <c r="J18" s="64" t="str">
        <f>IFERROR(IF(Table2[[#This Row],[L]]&lt;Table2[[#This Row],[W]],Table2[[#This Row],[W]],Table2[[#This Row],[L]]),"")</f>
        <v/>
      </c>
      <c r="K18" s="64" t="str">
        <f>IF(Table2[[#This Row],[L]]&lt;Table2[[#This Row],[W]],Table2[[#This Row],[L]],Table2[[#This Row],[W]])</f>
        <v/>
      </c>
      <c r="L18" s="64" t="str">
        <f t="shared" si="8"/>
        <v/>
      </c>
      <c r="M18" s="64" t="str">
        <f t="shared" si="9"/>
        <v/>
      </c>
      <c r="N18" s="64" t="str">
        <f t="shared" si="6"/>
        <v>XX</v>
      </c>
      <c r="O18" s="64" t="str">
        <f t="shared" si="7"/>
        <v>XX</v>
      </c>
      <c r="P18" s="64" t="str">
        <f>+CONCATENATE(Table2[[#This Row],[1]],Table2[[#This Row],[H]])</f>
        <v/>
      </c>
      <c r="Q18" s="64">
        <f>IFERROR(Table13[[#This Row],[QTY]],"")</f>
        <v>0</v>
      </c>
      <c r="R18" s="75"/>
      <c r="S18" s="64" t="str">
        <f>+Table2[[#This Row],[VARIETY]]</f>
        <v/>
      </c>
      <c r="T18" s="64" t="str">
        <f>IFERROR(VLOOKUP(Table9[[#This Row],[VARIETY]],MASTER!B:D,3,0),"")</f>
        <v/>
      </c>
      <c r="U18" s="64" t="str">
        <f>IFERROR(IF(OR(S18=MASTER!$B$95,S18=MASTER!$B$96,S18=MASTER!$B$97,S18=MASTER!$B$98,S18=MASTER!$B$102,S18=MASTER!$B$103,S18=MASTER!$B$99,S18=MASTER!$B$100,S18=MASTER!$B$101,S18=MASTER!$B$104,S18=MASTER!$B$105,S18=MASTER!$B$106,S18=MASTER!$B$107,S18=MASTER!$B$108,S18=MASTER!$B$109),(CONCATENATE(VLOOKUP(S18,MASTER!$B:$D,3,0),L18,"X",M18,"X",VLOOKUP(S18,MASTER!$B:$F,5,0))),(CONCATENATE(VLOOKUP(S18,MASTER!$B:$D,3,0),N18))),"")</f>
        <v/>
      </c>
      <c r="V18" s="64" t="str">
        <f>IFERROR(VLOOKUP(Table9[[#This Row],[ITEM CODE]],FW!$B:$D,3,0),"")</f>
        <v/>
      </c>
      <c r="W18" s="64">
        <f>IF(OR(S18=MASTER!$B$95,S18=MASTER!$B$96,S18=MASTER!$B$97,S18=MASTER!$B$98,S18=MASTER!$B$102,S18=MASTER!$B$103,S18=MASTER!$B$99,S18=MASTER!$B$100,S18=MASTER!$B$101,S18=MASTER!$B$104,S18=MASTER!$B$105,S18=MASTER!$B$106,S18=MASTER!$B$107,S18=MASTER!$B$108,S18=MASTER!$B$109),(Q18*V18),Q18)</f>
        <v>0</v>
      </c>
    </row>
    <row r="19" spans="1:23" ht="15.75" x14ac:dyDescent="0.25">
      <c r="A19" s="66">
        <f t="shared" si="10"/>
        <v>18</v>
      </c>
      <c r="B19" s="66" t="str">
        <f>LEFT(Table13[[#This Row],[ITEM CODE]],MIN(FIND({0,1,2,3,4,5,6,7,8,9},Table13[[#This Row],[ITEM CODE]]&amp;"0123456789"))-1)</f>
        <v/>
      </c>
      <c r="C19" s="64" t="str">
        <f>SUBSTITUTE(Table13[[#This Row],[ITEM CODE]],B19,"")</f>
        <v/>
      </c>
      <c r="D19" s="64" t="str">
        <f t="shared" si="0"/>
        <v/>
      </c>
      <c r="E19" s="64" t="str">
        <f t="shared" si="1"/>
        <v/>
      </c>
      <c r="F19" s="64" t="str">
        <f t="shared" si="2"/>
        <v/>
      </c>
      <c r="G19" s="64" t="str">
        <f t="shared" si="3"/>
        <v/>
      </c>
      <c r="H19" s="64" t="str">
        <f t="shared" si="4"/>
        <v/>
      </c>
      <c r="I19" s="64" t="str">
        <f t="shared" si="5"/>
        <v/>
      </c>
      <c r="J19" s="64" t="str">
        <f>IFERROR(IF(Table2[[#This Row],[L]]&lt;Table2[[#This Row],[W]],Table2[[#This Row],[W]],Table2[[#This Row],[L]]),"")</f>
        <v/>
      </c>
      <c r="K19" s="64" t="str">
        <f>IF(Table2[[#This Row],[L]]&lt;Table2[[#This Row],[W]],Table2[[#This Row],[L]],Table2[[#This Row],[W]])</f>
        <v/>
      </c>
      <c r="L19" s="64" t="str">
        <f t="shared" si="8"/>
        <v/>
      </c>
      <c r="M19" s="64" t="str">
        <f t="shared" si="9"/>
        <v/>
      </c>
      <c r="N19" s="64" t="str">
        <f t="shared" si="6"/>
        <v>XX</v>
      </c>
      <c r="O19" s="64" t="str">
        <f t="shared" si="7"/>
        <v>XX</v>
      </c>
      <c r="P19" s="64" t="str">
        <f>+CONCATENATE(Table2[[#This Row],[1]],Table2[[#This Row],[H]])</f>
        <v/>
      </c>
      <c r="Q19" s="64">
        <f>IFERROR(Table13[[#This Row],[QTY]],"")</f>
        <v>0</v>
      </c>
      <c r="R19" s="75"/>
      <c r="S19" s="64" t="str">
        <f>+Table2[[#This Row],[VARIETY]]</f>
        <v/>
      </c>
      <c r="T19" s="64" t="str">
        <f>IFERROR(VLOOKUP(Table9[[#This Row],[VARIETY]],MASTER!B:D,3,0),"")</f>
        <v/>
      </c>
      <c r="U19" s="64" t="str">
        <f>IFERROR(IF(OR(S19=MASTER!$B$95,S19=MASTER!$B$96,S19=MASTER!$B$97,S19=MASTER!$B$98,S19=MASTER!$B$102,S19=MASTER!$B$103,S19=MASTER!$B$99,S19=MASTER!$B$100,S19=MASTER!$B$101,S19=MASTER!$B$104,S19=MASTER!$B$105,S19=MASTER!$B$106,S19=MASTER!$B$107,S19=MASTER!$B$108,S19=MASTER!$B$109),(CONCATENATE(VLOOKUP(S19,MASTER!$B:$D,3,0),L19,"X",M19,"X",VLOOKUP(S19,MASTER!$B:$F,5,0))),(CONCATENATE(VLOOKUP(S19,MASTER!$B:$D,3,0),N19))),"")</f>
        <v/>
      </c>
      <c r="V19" s="64" t="str">
        <f>IFERROR(VLOOKUP(Table9[[#This Row],[ITEM CODE]],FW!$B:$D,3,0),"")</f>
        <v/>
      </c>
      <c r="W19" s="64">
        <f>IF(OR(S19=MASTER!$B$95,S19=MASTER!$B$96,S19=MASTER!$B$97,S19=MASTER!$B$98,S19=MASTER!$B$102,S19=MASTER!$B$103,S19=MASTER!$B$99,S19=MASTER!$B$100,S19=MASTER!$B$101,S19=MASTER!$B$104,S19=MASTER!$B$105,S19=MASTER!$B$106,S19=MASTER!$B$107,S19=MASTER!$B$108,S19=MASTER!$B$109),(Q19*V19),Q19)</f>
        <v>0</v>
      </c>
    </row>
    <row r="20" spans="1:23" ht="15.75" x14ac:dyDescent="0.25">
      <c r="A20" s="66">
        <f t="shared" si="10"/>
        <v>19</v>
      </c>
      <c r="B20" s="66" t="str">
        <f>LEFT(Table13[[#This Row],[ITEM CODE]],MIN(FIND({0,1,2,3,4,5,6,7,8,9},Table13[[#This Row],[ITEM CODE]]&amp;"0123456789"))-1)</f>
        <v/>
      </c>
      <c r="C20" s="64" t="str">
        <f>SUBSTITUTE(Table13[[#This Row],[ITEM CODE]],B20,"")</f>
        <v/>
      </c>
      <c r="D20" s="64" t="str">
        <f t="shared" si="0"/>
        <v/>
      </c>
      <c r="E20" s="64" t="str">
        <f t="shared" si="1"/>
        <v/>
      </c>
      <c r="F20" s="64" t="str">
        <f t="shared" si="2"/>
        <v/>
      </c>
      <c r="G20" s="64" t="str">
        <f t="shared" si="3"/>
        <v/>
      </c>
      <c r="H20" s="64" t="str">
        <f t="shared" si="4"/>
        <v/>
      </c>
      <c r="I20" s="64" t="str">
        <f t="shared" si="5"/>
        <v/>
      </c>
      <c r="J20" s="64" t="str">
        <f>IFERROR(IF(Table2[[#This Row],[L]]&lt;Table2[[#This Row],[W]],Table2[[#This Row],[W]],Table2[[#This Row],[L]]),"")</f>
        <v/>
      </c>
      <c r="K20" s="64" t="str">
        <f>IF(Table2[[#This Row],[L]]&lt;Table2[[#This Row],[W]],Table2[[#This Row],[L]],Table2[[#This Row],[W]])</f>
        <v/>
      </c>
      <c r="L20" s="64" t="str">
        <f t="shared" si="8"/>
        <v/>
      </c>
      <c r="M20" s="64" t="str">
        <f t="shared" si="9"/>
        <v/>
      </c>
      <c r="N20" s="64" t="str">
        <f t="shared" si="6"/>
        <v>XX</v>
      </c>
      <c r="O20" s="64" t="str">
        <f t="shared" si="7"/>
        <v>XX</v>
      </c>
      <c r="P20" s="64" t="str">
        <f>+CONCATENATE(Table2[[#This Row],[1]],Table2[[#This Row],[H]])</f>
        <v/>
      </c>
      <c r="Q20" s="64">
        <f>IFERROR(Table13[[#This Row],[QTY]],"")</f>
        <v>0</v>
      </c>
      <c r="R20" s="75"/>
      <c r="S20" s="64" t="str">
        <f>+Table2[[#This Row],[VARIETY]]</f>
        <v/>
      </c>
      <c r="T20" s="64" t="str">
        <f>IFERROR(VLOOKUP(Table9[[#This Row],[VARIETY]],MASTER!B:D,3,0),"")</f>
        <v/>
      </c>
      <c r="U20" s="64" t="str">
        <f>IFERROR(IF(OR(S20=MASTER!$B$95,S20=MASTER!$B$96,S20=MASTER!$B$97,S20=MASTER!$B$98,S20=MASTER!$B$102,S20=MASTER!$B$103,S20=MASTER!$B$99,S20=MASTER!$B$100,S20=MASTER!$B$101,S20=MASTER!$B$104,S20=MASTER!$B$105,S20=MASTER!$B$106,S20=MASTER!$B$107,S20=MASTER!$B$108,S20=MASTER!$B$109),(CONCATENATE(VLOOKUP(S20,MASTER!$B:$D,3,0),L20,"X",M20,"X",VLOOKUP(S20,MASTER!$B:$F,5,0))),(CONCATENATE(VLOOKUP(S20,MASTER!$B:$D,3,0),N20))),"")</f>
        <v/>
      </c>
      <c r="V20" s="64" t="str">
        <f>IFERROR(VLOOKUP(Table9[[#This Row],[ITEM CODE]],FW!$B:$D,3,0),"")</f>
        <v/>
      </c>
      <c r="W20" s="64">
        <f>IF(OR(S20=MASTER!$B$95,S20=MASTER!$B$96,S20=MASTER!$B$97,S20=MASTER!$B$98,S20=MASTER!$B$102,S20=MASTER!$B$103,S20=MASTER!$B$99,S20=MASTER!$B$100,S20=MASTER!$B$101,S20=MASTER!$B$104,S20=MASTER!$B$105,S20=MASTER!$B$106,S20=MASTER!$B$107,S20=MASTER!$B$108,S20=MASTER!$B$109),(Q20*V20),Q20)</f>
        <v>0</v>
      </c>
    </row>
    <row r="21" spans="1:23" ht="15.75" x14ac:dyDescent="0.25">
      <c r="A21" s="66">
        <f t="shared" si="10"/>
        <v>20</v>
      </c>
      <c r="B21" s="66" t="str">
        <f>LEFT(Table13[[#This Row],[ITEM CODE]],MIN(FIND({0,1,2,3,4,5,6,7,8,9},Table13[[#This Row],[ITEM CODE]]&amp;"0123456789"))-1)</f>
        <v/>
      </c>
      <c r="C21" s="64" t="str">
        <f>SUBSTITUTE(Table13[[#This Row],[ITEM CODE]],B21,"")</f>
        <v/>
      </c>
      <c r="D21" s="64" t="str">
        <f t="shared" si="0"/>
        <v/>
      </c>
      <c r="E21" s="64" t="str">
        <f t="shared" si="1"/>
        <v/>
      </c>
      <c r="F21" s="64" t="str">
        <f t="shared" si="2"/>
        <v/>
      </c>
      <c r="G21" s="64" t="str">
        <f t="shared" si="3"/>
        <v/>
      </c>
      <c r="H21" s="64" t="str">
        <f t="shared" si="4"/>
        <v/>
      </c>
      <c r="I21" s="64" t="str">
        <f t="shared" si="5"/>
        <v/>
      </c>
      <c r="J21" s="64" t="str">
        <f>IFERROR(IF(Table2[[#This Row],[L]]&lt;Table2[[#This Row],[W]],Table2[[#This Row],[W]],Table2[[#This Row],[L]]),"")</f>
        <v/>
      </c>
      <c r="K21" s="64" t="str">
        <f>IF(Table2[[#This Row],[L]]&lt;Table2[[#This Row],[W]],Table2[[#This Row],[L]],Table2[[#This Row],[W]])</f>
        <v/>
      </c>
      <c r="L21" s="64" t="str">
        <f t="shared" si="8"/>
        <v/>
      </c>
      <c r="M21" s="64" t="str">
        <f t="shared" si="9"/>
        <v/>
      </c>
      <c r="N21" s="64" t="str">
        <f t="shared" si="6"/>
        <v>XX</v>
      </c>
      <c r="O21" s="64" t="str">
        <f t="shared" si="7"/>
        <v>XX</v>
      </c>
      <c r="P21" s="64" t="str">
        <f>+CONCATENATE(Table2[[#This Row],[1]],Table2[[#This Row],[H]])</f>
        <v/>
      </c>
      <c r="Q21" s="64">
        <f>IFERROR(Table13[[#This Row],[QTY]],"")</f>
        <v>0</v>
      </c>
      <c r="R21" s="75"/>
      <c r="S21" s="64" t="str">
        <f>+Table2[[#This Row],[VARIETY]]</f>
        <v/>
      </c>
      <c r="T21" s="64" t="str">
        <f>IFERROR(VLOOKUP(Table9[[#This Row],[VARIETY]],MASTER!B:D,3,0),"")</f>
        <v/>
      </c>
      <c r="U21" s="64" t="str">
        <f>IFERROR(IF(OR(S21=MASTER!$B$95,S21=MASTER!$B$96,S21=MASTER!$B$97,S21=MASTER!$B$98,S21=MASTER!$B$102,S21=MASTER!$B$103,S21=MASTER!$B$99,S21=MASTER!$B$100,S21=MASTER!$B$101,S21=MASTER!$B$104,S21=MASTER!$B$105,S21=MASTER!$B$106,S21=MASTER!$B$107,S21=MASTER!$B$108,S21=MASTER!$B$109),(CONCATENATE(VLOOKUP(S21,MASTER!$B:$D,3,0),L21,"X",M21,"X",VLOOKUP(S21,MASTER!$B:$F,5,0))),(CONCATENATE(VLOOKUP(S21,MASTER!$B:$D,3,0),N21))),"")</f>
        <v/>
      </c>
      <c r="V21" s="64" t="str">
        <f>IFERROR(VLOOKUP(Table9[[#This Row],[ITEM CODE]],FW!$B:$D,3,0),"")</f>
        <v/>
      </c>
      <c r="W21" s="64">
        <f>IF(OR(S21=MASTER!$B$95,S21=MASTER!$B$96,S21=MASTER!$B$97,S21=MASTER!$B$98,S21=MASTER!$B$102,S21=MASTER!$B$103,S21=MASTER!$B$99,S21=MASTER!$B$100,S21=MASTER!$B$101,S21=MASTER!$B$104,S21=MASTER!$B$105,S21=MASTER!$B$106,S21=MASTER!$B$107,S21=MASTER!$B$108,S21=MASTER!$B$109),(Q21*V21),Q21)</f>
        <v>0</v>
      </c>
    </row>
    <row r="22" spans="1:23" ht="15.75" x14ac:dyDescent="0.25">
      <c r="A22" s="66">
        <f t="shared" si="10"/>
        <v>21</v>
      </c>
      <c r="B22" s="66" t="str">
        <f>LEFT(Table13[[#This Row],[ITEM CODE]],MIN(FIND({0,1,2,3,4,5,6,7,8,9},Table13[[#This Row],[ITEM CODE]]&amp;"0123456789"))-1)</f>
        <v/>
      </c>
      <c r="C22" s="64" t="str">
        <f>SUBSTITUTE(Table13[[#This Row],[ITEM CODE]],B22,"")</f>
        <v/>
      </c>
      <c r="D22" s="64" t="str">
        <f t="shared" si="0"/>
        <v/>
      </c>
      <c r="E22" s="64" t="str">
        <f t="shared" si="1"/>
        <v/>
      </c>
      <c r="F22" s="64" t="str">
        <f t="shared" si="2"/>
        <v/>
      </c>
      <c r="G22" s="64" t="str">
        <f t="shared" si="3"/>
        <v/>
      </c>
      <c r="H22" s="64" t="str">
        <f t="shared" si="4"/>
        <v/>
      </c>
      <c r="I22" s="64" t="str">
        <f t="shared" si="5"/>
        <v/>
      </c>
      <c r="J22" s="64" t="str">
        <f>IFERROR(IF(Table2[[#This Row],[L]]&lt;Table2[[#This Row],[W]],Table2[[#This Row],[W]],Table2[[#This Row],[L]]),"")</f>
        <v/>
      </c>
      <c r="K22" s="64" t="str">
        <f>IF(Table2[[#This Row],[L]]&lt;Table2[[#This Row],[W]],Table2[[#This Row],[L]],Table2[[#This Row],[W]])</f>
        <v/>
      </c>
      <c r="L22" s="64" t="str">
        <f t="shared" si="8"/>
        <v/>
      </c>
      <c r="M22" s="64" t="str">
        <f t="shared" si="9"/>
        <v/>
      </c>
      <c r="N22" s="64" t="str">
        <f t="shared" si="6"/>
        <v>XX</v>
      </c>
      <c r="O22" s="64" t="str">
        <f t="shared" si="7"/>
        <v>XX</v>
      </c>
      <c r="P22" s="64" t="str">
        <f>+CONCATENATE(Table2[[#This Row],[1]],Table2[[#This Row],[H]])</f>
        <v/>
      </c>
      <c r="Q22" s="64">
        <f>IFERROR(Table13[[#This Row],[QTY]],"")</f>
        <v>0</v>
      </c>
      <c r="R22" s="75"/>
      <c r="S22" s="64" t="str">
        <f>+Table2[[#This Row],[VARIETY]]</f>
        <v/>
      </c>
      <c r="T22" s="64" t="str">
        <f>IFERROR(VLOOKUP(Table9[[#This Row],[VARIETY]],MASTER!B:D,3,0),"")</f>
        <v/>
      </c>
      <c r="U22" s="64" t="str">
        <f>IFERROR(IF(OR(S22=MASTER!$B$95,S22=MASTER!$B$96,S22=MASTER!$B$97,S22=MASTER!$B$98,S22=MASTER!$B$102,S22=MASTER!$B$103,S22=MASTER!$B$99,S22=MASTER!$B$100,S22=MASTER!$B$101,S22=MASTER!$B$104,S22=MASTER!$B$105,S22=MASTER!$B$106,S22=MASTER!$B$107,S22=MASTER!$B$108,S22=MASTER!$B$109),(CONCATENATE(VLOOKUP(S22,MASTER!$B:$D,3,0),L22,"X",M22,"X",VLOOKUP(S22,MASTER!$B:$F,5,0))),(CONCATENATE(VLOOKUP(S22,MASTER!$B:$D,3,0),N22))),"")</f>
        <v/>
      </c>
      <c r="V22" s="64" t="str">
        <f>IFERROR(VLOOKUP(Table9[[#This Row],[ITEM CODE]],FW!$B:$D,3,0),"")</f>
        <v/>
      </c>
      <c r="W22" s="64">
        <f>IF(OR(S22=MASTER!$B$95,S22=MASTER!$B$96,S22=MASTER!$B$97,S22=MASTER!$B$98,S22=MASTER!$B$102,S22=MASTER!$B$103,S22=MASTER!$B$99,S22=MASTER!$B$100,S22=MASTER!$B$101,S22=MASTER!$B$104,S22=MASTER!$B$105,S22=MASTER!$B$106,S22=MASTER!$B$107,S22=MASTER!$B$108,S22=MASTER!$B$109),(Q22*V22),Q22)</f>
        <v>0</v>
      </c>
    </row>
    <row r="23" spans="1:23" ht="15.75" x14ac:dyDescent="0.25">
      <c r="A23" s="66">
        <f t="shared" si="10"/>
        <v>22</v>
      </c>
      <c r="B23" s="66" t="str">
        <f>LEFT(Table13[[#This Row],[ITEM CODE]],MIN(FIND({0,1,2,3,4,5,6,7,8,9},Table13[[#This Row],[ITEM CODE]]&amp;"0123456789"))-1)</f>
        <v>SKSGFM</v>
      </c>
      <c r="C23" s="64" t="str">
        <f>SUBSTITUTE(Table13[[#This Row],[ITEM CODE]],B23,"")</f>
        <v>72X48X06</v>
      </c>
      <c r="D23" s="64" t="str">
        <f t="shared" si="0"/>
        <v>72X48X06</v>
      </c>
      <c r="E23" s="64">
        <f t="shared" si="1"/>
        <v>3</v>
      </c>
      <c r="F23" s="64">
        <f t="shared" si="2"/>
        <v>6</v>
      </c>
      <c r="G23" s="64" t="str">
        <f t="shared" si="3"/>
        <v>72</v>
      </c>
      <c r="H23" s="64" t="str">
        <f t="shared" si="4"/>
        <v>48</v>
      </c>
      <c r="I23" s="64" t="str">
        <f t="shared" si="5"/>
        <v>06</v>
      </c>
      <c r="J23" s="64" t="str">
        <f>IFERROR(IF(Table2[[#This Row],[L]]&lt;Table2[[#This Row],[W]],Table2[[#This Row],[W]],Table2[[#This Row],[L]]),"")</f>
        <v>72</v>
      </c>
      <c r="K23" s="64" t="str">
        <f>IF(Table2[[#This Row],[L]]&lt;Table2[[#This Row],[W]],Table2[[#This Row],[L]],Table2[[#This Row],[W]])</f>
        <v>48</v>
      </c>
      <c r="L23" s="64" t="str">
        <f t="shared" si="8"/>
        <v>72</v>
      </c>
      <c r="M23" s="64" t="str">
        <f t="shared" si="9"/>
        <v>48</v>
      </c>
      <c r="N23" s="64" t="str">
        <f t="shared" si="6"/>
        <v>72X48X06</v>
      </c>
      <c r="O23" s="64" t="str">
        <f t="shared" si="7"/>
        <v>SKSGFM72X48X06</v>
      </c>
      <c r="P23" s="64" t="str">
        <f>+CONCATENATE(Table2[[#This Row],[1]],Table2[[#This Row],[H]])</f>
        <v>SKSGFM06</v>
      </c>
      <c r="Q23" s="64">
        <f>IFERROR(Table13[[#This Row],[QTY]],"")</f>
        <v>0</v>
      </c>
      <c r="R23" s="75"/>
      <c r="S23" s="64" t="str">
        <f>+Table2[[#This Row],[VARIETY]]</f>
        <v>SKSGFM06</v>
      </c>
      <c r="T23" s="64" t="str">
        <f>IFERROR(VLOOKUP(Table9[[#This Row],[VARIETY]],MASTER!B:D,3,0),"")</f>
        <v>25D-HELIXA-FOAM-</v>
      </c>
      <c r="U23" s="64" t="str">
        <f>IFERROR(IF(OR(S23=MASTER!$B$95,S23=MASTER!$B$96,S23=MASTER!$B$97,S23=MASTER!$B$98,S23=MASTER!$B$102,S23=MASTER!$B$103,S23=MASTER!$B$99,S23=MASTER!$B$100,S23=MASTER!$B$101,S23=MASTER!$B$104,S23=MASTER!$B$105,S23=MASTER!$B$106,S23=MASTER!$B$107,S23=MASTER!$B$108,S23=MASTER!$B$109),(CONCATENATE(VLOOKUP(S23,MASTER!$B:$D,3,0),L23,"X",M23,"X",VLOOKUP(S23,MASTER!$B:$F,5,0))),(CONCATENATE(VLOOKUP(S23,MASTER!$B:$D,3,0),N23))),"")</f>
        <v>25D-HELIXA-FOAM-72X48X119MM</v>
      </c>
      <c r="V23" s="64">
        <f>IFERROR(VLOOKUP(Table9[[#This Row],[ITEM CODE]],FW!$B:$D,3,0),"")</f>
        <v>6.633</v>
      </c>
      <c r="W23" s="64">
        <f>IF(OR(S23=MASTER!$B$95,S23=MASTER!$B$96,S23=MASTER!$B$97,S23=MASTER!$B$98,S23=MASTER!$B$102,S23=MASTER!$B$103,S23=MASTER!$B$99,S23=MASTER!$B$100,S23=MASTER!$B$101,S23=MASTER!$B$104,S23=MASTER!$B$105,S23=MASTER!$B$106,S23=MASTER!$B$107,S23=MASTER!$B$108,S23=MASTER!$B$109),(Q23*V23),Q23)</f>
        <v>0</v>
      </c>
    </row>
    <row r="24" spans="1:23" ht="15.75" x14ac:dyDescent="0.25">
      <c r="A24" s="66">
        <f t="shared" si="10"/>
        <v>23</v>
      </c>
      <c r="B24" s="66" t="str">
        <f>LEFT(Table13[[#This Row],[ITEM CODE]],MIN(FIND({0,1,2,3,4,5,6,7,8,9},Table13[[#This Row],[ITEM CODE]]&amp;"0123456789"))-1)</f>
        <v/>
      </c>
      <c r="C24" s="64" t="str">
        <f>SUBSTITUTE(Table13[[#This Row],[ITEM CODE]],B24,"")</f>
        <v/>
      </c>
      <c r="D24" s="64" t="str">
        <f t="shared" si="0"/>
        <v/>
      </c>
      <c r="E24" s="64" t="str">
        <f t="shared" si="1"/>
        <v/>
      </c>
      <c r="F24" s="64" t="str">
        <f t="shared" si="2"/>
        <v/>
      </c>
      <c r="G24" s="64" t="str">
        <f t="shared" si="3"/>
        <v/>
      </c>
      <c r="H24" s="64" t="str">
        <f t="shared" si="4"/>
        <v/>
      </c>
      <c r="I24" s="64" t="str">
        <f t="shared" si="5"/>
        <v/>
      </c>
      <c r="J24" s="64" t="str">
        <f>IFERROR(IF(Table2[[#This Row],[L]]&lt;Table2[[#This Row],[W]],Table2[[#This Row],[W]],Table2[[#This Row],[L]]),"")</f>
        <v/>
      </c>
      <c r="K24" s="64" t="str">
        <f>IF(Table2[[#This Row],[L]]&lt;Table2[[#This Row],[W]],Table2[[#This Row],[L]],Table2[[#This Row],[W]])</f>
        <v/>
      </c>
      <c r="L24" s="64" t="str">
        <f t="shared" si="8"/>
        <v/>
      </c>
      <c r="M24" s="64" t="str">
        <f t="shared" si="9"/>
        <v/>
      </c>
      <c r="N24" s="64" t="str">
        <f t="shared" si="6"/>
        <v>XX</v>
      </c>
      <c r="O24" s="64" t="str">
        <f t="shared" si="7"/>
        <v>XX</v>
      </c>
      <c r="P24" s="64" t="str">
        <f>+CONCATENATE(Table2[[#This Row],[1]],Table2[[#This Row],[H]])</f>
        <v/>
      </c>
      <c r="Q24" s="64">
        <f>IFERROR(Table13[[#This Row],[QTY]],"")</f>
        <v>0</v>
      </c>
      <c r="R24" s="75"/>
      <c r="S24" s="64" t="str">
        <f>+Table2[[#This Row],[VARIETY]]</f>
        <v/>
      </c>
      <c r="T24" s="64" t="str">
        <f>IFERROR(VLOOKUP(Table9[[#This Row],[VARIETY]],MASTER!B:D,3,0),"")</f>
        <v/>
      </c>
      <c r="U24" s="64" t="str">
        <f>IFERROR(IF(OR(S24=MASTER!$B$95,S24=MASTER!$B$96,S24=MASTER!$B$97,S24=MASTER!$B$98,S24=MASTER!$B$102,S24=MASTER!$B$103,S24=MASTER!$B$99,S24=MASTER!$B$100,S24=MASTER!$B$101,S24=MASTER!$B$104,S24=MASTER!$B$105,S24=MASTER!$B$106,S24=MASTER!$B$107,S24=MASTER!$B$108,S24=MASTER!$B$109),(CONCATENATE(VLOOKUP(S24,MASTER!$B:$D,3,0),L24,"X",M24,"X",VLOOKUP(S24,MASTER!$B:$F,5,0))),(CONCATENATE(VLOOKUP(S24,MASTER!$B:$D,3,0),N24))),"")</f>
        <v/>
      </c>
      <c r="V24" s="64" t="str">
        <f>IFERROR(VLOOKUP(Table9[[#This Row],[ITEM CODE]],FW!$B:$D,3,0),"")</f>
        <v/>
      </c>
      <c r="W24" s="64">
        <f>IF(OR(S24=MASTER!$B$95,S24=MASTER!$B$96,S24=MASTER!$B$97,S24=MASTER!$B$98,S24=MASTER!$B$102,S24=MASTER!$B$103,S24=MASTER!$B$99,S24=MASTER!$B$100,S24=MASTER!$B$101,S24=MASTER!$B$104,S24=MASTER!$B$105,S24=MASTER!$B$106,S24=MASTER!$B$107,S24=MASTER!$B$108,S24=MASTER!$B$109),(Q24*V24),Q24)</f>
        <v>0</v>
      </c>
    </row>
    <row r="25" spans="1:23" ht="15.75" x14ac:dyDescent="0.25">
      <c r="A25" s="66">
        <f t="shared" si="10"/>
        <v>24</v>
      </c>
      <c r="B25" s="66" t="str">
        <f>LEFT(Table13[[#This Row],[ITEM CODE]],MIN(FIND({0,1,2,3,4,5,6,7,8,9},Table13[[#This Row],[ITEM CODE]]&amp;"0123456789"))-1)</f>
        <v/>
      </c>
      <c r="C25" s="64" t="str">
        <f>SUBSTITUTE(Table13[[#This Row],[ITEM CODE]],B25,"")</f>
        <v/>
      </c>
      <c r="D25" s="64" t="str">
        <f t="shared" si="0"/>
        <v/>
      </c>
      <c r="E25" s="64" t="str">
        <f t="shared" si="1"/>
        <v/>
      </c>
      <c r="F25" s="64" t="str">
        <f t="shared" si="2"/>
        <v/>
      </c>
      <c r="G25" s="64" t="str">
        <f t="shared" si="3"/>
        <v/>
      </c>
      <c r="H25" s="64" t="str">
        <f t="shared" si="4"/>
        <v/>
      </c>
      <c r="I25" s="64" t="str">
        <f t="shared" si="5"/>
        <v/>
      </c>
      <c r="J25" s="64" t="str">
        <f>IFERROR(IF(Table2[[#This Row],[L]]&lt;Table2[[#This Row],[W]],Table2[[#This Row],[W]],Table2[[#This Row],[L]]),"")</f>
        <v/>
      </c>
      <c r="K25" s="64" t="str">
        <f>IF(Table2[[#This Row],[L]]&lt;Table2[[#This Row],[W]],Table2[[#This Row],[L]],Table2[[#This Row],[W]])</f>
        <v/>
      </c>
      <c r="L25" s="64" t="str">
        <f t="shared" si="8"/>
        <v/>
      </c>
      <c r="M25" s="64" t="str">
        <f t="shared" si="9"/>
        <v/>
      </c>
      <c r="N25" s="64" t="str">
        <f t="shared" si="6"/>
        <v>XX</v>
      </c>
      <c r="O25" s="64" t="str">
        <f t="shared" si="7"/>
        <v>XX</v>
      </c>
      <c r="P25" s="64" t="str">
        <f>+CONCATENATE(Table2[[#This Row],[1]],Table2[[#This Row],[H]])</f>
        <v/>
      </c>
      <c r="Q25" s="64">
        <f>IFERROR(Table13[[#This Row],[QTY]],"")</f>
        <v>0</v>
      </c>
      <c r="R25" s="75"/>
      <c r="S25" s="64" t="str">
        <f>+Table2[[#This Row],[VARIETY]]</f>
        <v/>
      </c>
      <c r="T25" s="64" t="str">
        <f>IFERROR(VLOOKUP(Table9[[#This Row],[VARIETY]],MASTER!B:D,3,0),"")</f>
        <v/>
      </c>
      <c r="U25" s="64" t="str">
        <f>IFERROR(IF(OR(S25=MASTER!$B$95,S25=MASTER!$B$96,S25=MASTER!$B$97,S25=MASTER!$B$98,S25=MASTER!$B$102,S25=MASTER!$B$103,S25=MASTER!$B$99,S25=MASTER!$B$100,S25=MASTER!$B$101,S25=MASTER!$B$104,S25=MASTER!$B$105,S25=MASTER!$B$106,S25=MASTER!$B$107,S25=MASTER!$B$108,S25=MASTER!$B$109),(CONCATENATE(VLOOKUP(S25,MASTER!$B:$D,3,0),L25,"X",M25,"X",VLOOKUP(S25,MASTER!$B:$F,5,0))),(CONCATENATE(VLOOKUP(S25,MASTER!$B:$D,3,0),N25))),"")</f>
        <v/>
      </c>
      <c r="V25" s="64" t="str">
        <f>IFERROR(VLOOKUP(Table9[[#This Row],[ITEM CODE]],FW!$B:$D,3,0),"")</f>
        <v/>
      </c>
      <c r="W25" s="64">
        <f>IF(OR(S25=MASTER!$B$95,S25=MASTER!$B$96,S25=MASTER!$B$97,S25=MASTER!$B$98,S25=MASTER!$B$102,S25=MASTER!$B$103,S25=MASTER!$B$99,S25=MASTER!$B$100,S25=MASTER!$B$101,S25=MASTER!$B$104,S25=MASTER!$B$105,S25=MASTER!$B$106,S25=MASTER!$B$107,S25=MASTER!$B$108,S25=MASTER!$B$109),(Q25*V25),Q25)</f>
        <v>0</v>
      </c>
    </row>
    <row r="26" spans="1:23" ht="15.75" x14ac:dyDescent="0.25">
      <c r="A26" s="66">
        <f t="shared" si="10"/>
        <v>25</v>
      </c>
      <c r="B26" s="66" t="str">
        <f>LEFT(Table13[[#This Row],[ITEM CODE]],MIN(FIND({0,1,2,3,4,5,6,7,8,9},Table13[[#This Row],[ITEM CODE]]&amp;"0123456789"))-1)</f>
        <v/>
      </c>
      <c r="C26" s="64" t="str">
        <f>SUBSTITUTE(Table13[[#This Row],[ITEM CODE]],B26,"")</f>
        <v/>
      </c>
      <c r="D26" s="64" t="str">
        <f t="shared" si="0"/>
        <v/>
      </c>
      <c r="E26" s="64" t="str">
        <f t="shared" si="1"/>
        <v/>
      </c>
      <c r="F26" s="64" t="str">
        <f t="shared" si="2"/>
        <v/>
      </c>
      <c r="G26" s="64" t="str">
        <f t="shared" si="3"/>
        <v/>
      </c>
      <c r="H26" s="64" t="str">
        <f t="shared" si="4"/>
        <v/>
      </c>
      <c r="I26" s="64" t="str">
        <f t="shared" si="5"/>
        <v/>
      </c>
      <c r="J26" s="64" t="str">
        <f>IFERROR(IF(Table2[[#This Row],[L]]&lt;Table2[[#This Row],[W]],Table2[[#This Row],[W]],Table2[[#This Row],[L]]),"")</f>
        <v/>
      </c>
      <c r="K26" s="64" t="str">
        <f>IF(Table2[[#This Row],[L]]&lt;Table2[[#This Row],[W]],Table2[[#This Row],[L]],Table2[[#This Row],[W]])</f>
        <v/>
      </c>
      <c r="L26" s="64" t="str">
        <f t="shared" si="8"/>
        <v/>
      </c>
      <c r="M26" s="64" t="str">
        <f t="shared" si="9"/>
        <v/>
      </c>
      <c r="N26" s="64" t="str">
        <f t="shared" si="6"/>
        <v>XX</v>
      </c>
      <c r="O26" s="64" t="str">
        <f t="shared" si="7"/>
        <v>XX</v>
      </c>
      <c r="P26" s="64" t="str">
        <f>+CONCATENATE(Table2[[#This Row],[1]],Table2[[#This Row],[H]])</f>
        <v/>
      </c>
      <c r="Q26" s="64">
        <f>IFERROR(Table13[[#This Row],[QTY]],"")</f>
        <v>0</v>
      </c>
      <c r="R26" s="75"/>
      <c r="S26" s="64" t="str">
        <f>+Table2[[#This Row],[VARIETY]]</f>
        <v/>
      </c>
      <c r="T26" s="64" t="str">
        <f>IFERROR(VLOOKUP(Table9[[#This Row],[VARIETY]],MASTER!B:D,3,0),"")</f>
        <v/>
      </c>
      <c r="U26" s="64" t="str">
        <f>IFERROR(IF(OR(S26=MASTER!$B$95,S26=MASTER!$B$96,S26=MASTER!$B$97,S26=MASTER!$B$98,S26=MASTER!$B$102,S26=MASTER!$B$103,S26=MASTER!$B$99,S26=MASTER!$B$100,S26=MASTER!$B$101,S26=MASTER!$B$104,S26=MASTER!$B$105,S26=MASTER!$B$106,S26=MASTER!$B$107,S26=MASTER!$B$108,S26=MASTER!$B$109),(CONCATENATE(VLOOKUP(S26,MASTER!$B:$D,3,0),L26,"X",M26,"X",VLOOKUP(S26,MASTER!$B:$F,5,0))),(CONCATENATE(VLOOKUP(S26,MASTER!$B:$D,3,0),N26))),"")</f>
        <v/>
      </c>
      <c r="V26" s="64" t="str">
        <f>IFERROR(VLOOKUP(Table9[[#This Row],[ITEM CODE]],FW!$B:$D,3,0),"")</f>
        <v/>
      </c>
      <c r="W26" s="64">
        <f>IF(OR(S26=MASTER!$B$95,S26=MASTER!$B$96,S26=MASTER!$B$97,S26=MASTER!$B$98,S26=MASTER!$B$102,S26=MASTER!$B$103,S26=MASTER!$B$99,S26=MASTER!$B$100,S26=MASTER!$B$101,S26=MASTER!$B$104,S26=MASTER!$B$105,S26=MASTER!$B$106,S26=MASTER!$B$107,S26=MASTER!$B$108,S26=MASTER!$B$109),(Q26*V26),Q26)</f>
        <v>0</v>
      </c>
    </row>
    <row r="27" spans="1:23" ht="15.75" x14ac:dyDescent="0.25">
      <c r="A27" s="66">
        <f t="shared" si="10"/>
        <v>26</v>
      </c>
      <c r="B27" s="66" t="str">
        <f>LEFT(Table13[[#This Row],[ITEM CODE]],MIN(FIND({0,1,2,3,4,5,6,7,8,9},Table13[[#This Row],[ITEM CODE]]&amp;"0123456789"))-1)</f>
        <v/>
      </c>
      <c r="C27" s="64" t="str">
        <f>SUBSTITUTE(Table13[[#This Row],[ITEM CODE]],B27,"")</f>
        <v/>
      </c>
      <c r="D27" s="64" t="str">
        <f t="shared" si="0"/>
        <v/>
      </c>
      <c r="E27" s="64" t="str">
        <f t="shared" si="1"/>
        <v/>
      </c>
      <c r="F27" s="64" t="str">
        <f t="shared" si="2"/>
        <v/>
      </c>
      <c r="G27" s="64" t="str">
        <f t="shared" si="3"/>
        <v/>
      </c>
      <c r="H27" s="64" t="str">
        <f t="shared" si="4"/>
        <v/>
      </c>
      <c r="I27" s="64" t="str">
        <f t="shared" si="5"/>
        <v/>
      </c>
      <c r="J27" s="64" t="str">
        <f>IFERROR(IF(Table2[[#This Row],[L]]&lt;Table2[[#This Row],[W]],Table2[[#This Row],[W]],Table2[[#This Row],[L]]),"")</f>
        <v/>
      </c>
      <c r="K27" s="64" t="str">
        <f>IF(Table2[[#This Row],[L]]&lt;Table2[[#This Row],[W]],Table2[[#This Row],[L]],Table2[[#This Row],[W]])</f>
        <v/>
      </c>
      <c r="L27" s="64" t="str">
        <f t="shared" si="8"/>
        <v/>
      </c>
      <c r="M27" s="64" t="str">
        <f t="shared" si="9"/>
        <v/>
      </c>
      <c r="N27" s="64" t="str">
        <f t="shared" si="6"/>
        <v>XX</v>
      </c>
      <c r="O27" s="64" t="str">
        <f t="shared" si="7"/>
        <v>XX</v>
      </c>
      <c r="P27" s="64" t="str">
        <f>+CONCATENATE(Table2[[#This Row],[1]],Table2[[#This Row],[H]])</f>
        <v/>
      </c>
      <c r="Q27" s="64">
        <f>IFERROR(Table13[[#This Row],[QTY]],"")</f>
        <v>0</v>
      </c>
      <c r="R27" s="75"/>
      <c r="S27" s="64" t="str">
        <f>+Table2[[#This Row],[VARIETY]]</f>
        <v/>
      </c>
      <c r="T27" s="64" t="str">
        <f>IFERROR(VLOOKUP(Table9[[#This Row],[VARIETY]],MASTER!B:D,3,0),"")</f>
        <v/>
      </c>
      <c r="U27" s="64" t="str">
        <f>IFERROR(IF(OR(S27=MASTER!$B$95,S27=MASTER!$B$96,S27=MASTER!$B$97,S27=MASTER!$B$98,S27=MASTER!$B$102,S27=MASTER!$B$103,S27=MASTER!$B$99,S27=MASTER!$B$100,S27=MASTER!$B$101,S27=MASTER!$B$104,S27=MASTER!$B$105,S27=MASTER!$B$106,S27=MASTER!$B$107,S27=MASTER!$B$108,S27=MASTER!$B$109),(CONCATENATE(VLOOKUP(S27,MASTER!$B:$D,3,0),L27,"X",M27,"X",VLOOKUP(S27,MASTER!$B:$F,5,0))),(CONCATENATE(VLOOKUP(S27,MASTER!$B:$D,3,0),N27))),"")</f>
        <v/>
      </c>
      <c r="V27" s="64" t="str">
        <f>IFERROR(VLOOKUP(Table9[[#This Row],[ITEM CODE]],FW!$B:$D,3,0),"")</f>
        <v/>
      </c>
      <c r="W27" s="64">
        <f>IF(OR(S27=MASTER!$B$95,S27=MASTER!$B$96,S27=MASTER!$B$97,S27=MASTER!$B$98,S27=MASTER!$B$102,S27=MASTER!$B$103,S27=MASTER!$B$99,S27=MASTER!$B$100,S27=MASTER!$B$101,S27=MASTER!$B$104,S27=MASTER!$B$105,S27=MASTER!$B$106,S27=MASTER!$B$107,S27=MASTER!$B$108,S27=MASTER!$B$109),(Q27*V27),Q27)</f>
        <v>0</v>
      </c>
    </row>
    <row r="28" spans="1:23" ht="15.75" x14ac:dyDescent="0.25">
      <c r="A28" s="66">
        <f t="shared" si="10"/>
        <v>27</v>
      </c>
      <c r="B28" s="66" t="str">
        <f>LEFT(Table13[[#This Row],[ITEM CODE]],MIN(FIND({0,1,2,3,4,5,6,7,8,9},Table13[[#This Row],[ITEM CODE]]&amp;"0123456789"))-1)</f>
        <v/>
      </c>
      <c r="C28" s="64" t="str">
        <f>SUBSTITUTE(Table13[[#This Row],[ITEM CODE]],B28,"")</f>
        <v/>
      </c>
      <c r="D28" s="64" t="str">
        <f t="shared" si="0"/>
        <v/>
      </c>
      <c r="E28" s="64" t="str">
        <f t="shared" si="1"/>
        <v/>
      </c>
      <c r="F28" s="64" t="str">
        <f t="shared" si="2"/>
        <v/>
      </c>
      <c r="G28" s="64" t="str">
        <f t="shared" si="3"/>
        <v/>
      </c>
      <c r="H28" s="64" t="str">
        <f t="shared" si="4"/>
        <v/>
      </c>
      <c r="I28" s="64" t="str">
        <f t="shared" si="5"/>
        <v/>
      </c>
      <c r="J28" s="64" t="str">
        <f>IFERROR(IF(Table2[[#This Row],[L]]&lt;Table2[[#This Row],[W]],Table2[[#This Row],[W]],Table2[[#This Row],[L]]),"")</f>
        <v/>
      </c>
      <c r="K28" s="64" t="str">
        <f>IF(Table2[[#This Row],[L]]&lt;Table2[[#This Row],[W]],Table2[[#This Row],[L]],Table2[[#This Row],[W]])</f>
        <v/>
      </c>
      <c r="L28" s="64" t="str">
        <f t="shared" si="8"/>
        <v/>
      </c>
      <c r="M28" s="64" t="str">
        <f t="shared" si="9"/>
        <v/>
      </c>
      <c r="N28" s="64" t="str">
        <f t="shared" si="6"/>
        <v>XX</v>
      </c>
      <c r="O28" s="64" t="str">
        <f t="shared" si="7"/>
        <v>XX</v>
      </c>
      <c r="P28" s="64" t="str">
        <f>+CONCATENATE(Table2[[#This Row],[1]],Table2[[#This Row],[H]])</f>
        <v/>
      </c>
      <c r="Q28" s="64">
        <f>IFERROR(Table13[[#This Row],[QTY]],"")</f>
        <v>0</v>
      </c>
      <c r="R28" s="75"/>
      <c r="S28" s="64" t="str">
        <f>+Table2[[#This Row],[VARIETY]]</f>
        <v/>
      </c>
      <c r="T28" s="64" t="str">
        <f>IFERROR(VLOOKUP(Table9[[#This Row],[VARIETY]],MASTER!B:D,3,0),"")</f>
        <v/>
      </c>
      <c r="U28" s="64" t="str">
        <f>IFERROR(IF(OR(S28=MASTER!$B$95,S28=MASTER!$B$96,S28=MASTER!$B$97,S28=MASTER!$B$98,S28=MASTER!$B$102,S28=MASTER!$B$103,S28=MASTER!$B$99,S28=MASTER!$B$100,S28=MASTER!$B$101,S28=MASTER!$B$104,S28=MASTER!$B$105,S28=MASTER!$B$106,S28=MASTER!$B$107,S28=MASTER!$B$108,S28=MASTER!$B$109),(CONCATENATE(VLOOKUP(S28,MASTER!$B:$D,3,0),L28,"X",M28,"X",VLOOKUP(S28,MASTER!$B:$F,5,0))),(CONCATENATE(VLOOKUP(S28,MASTER!$B:$D,3,0),N28))),"")</f>
        <v/>
      </c>
      <c r="V28" s="64" t="str">
        <f>IFERROR(VLOOKUP(Table9[[#This Row],[ITEM CODE]],FW!$B:$D,3,0),"")</f>
        <v/>
      </c>
      <c r="W28" s="64">
        <f>IF(OR(S28=MASTER!$B$95,S28=MASTER!$B$96,S28=MASTER!$B$97,S28=MASTER!$B$98,S28=MASTER!$B$102,S28=MASTER!$B$103,S28=MASTER!$B$99,S28=MASTER!$B$100,S28=MASTER!$B$101,S28=MASTER!$B$104,S28=MASTER!$B$105,S28=MASTER!$B$106,S28=MASTER!$B$107,S28=MASTER!$B$108,S28=MASTER!$B$109),(Q28*V28),Q28)</f>
        <v>0</v>
      </c>
    </row>
    <row r="29" spans="1:23" ht="15.75" x14ac:dyDescent="0.25">
      <c r="A29" s="66">
        <f t="shared" si="10"/>
        <v>28</v>
      </c>
      <c r="B29" s="66" t="str">
        <f>LEFT(Table13[[#This Row],[ITEM CODE]],MIN(FIND({0,1,2,3,4,5,6,7,8,9},Table13[[#This Row],[ITEM CODE]]&amp;"0123456789"))-1)</f>
        <v/>
      </c>
      <c r="C29" s="64" t="str">
        <f>SUBSTITUTE(Table13[[#This Row],[ITEM CODE]],B29,"")</f>
        <v/>
      </c>
      <c r="D29" s="64" t="str">
        <f t="shared" si="0"/>
        <v/>
      </c>
      <c r="E29" s="64" t="str">
        <f t="shared" si="1"/>
        <v/>
      </c>
      <c r="F29" s="64" t="str">
        <f t="shared" si="2"/>
        <v/>
      </c>
      <c r="G29" s="64" t="str">
        <f t="shared" si="3"/>
        <v/>
      </c>
      <c r="H29" s="64" t="str">
        <f t="shared" si="4"/>
        <v/>
      </c>
      <c r="I29" s="64" t="str">
        <f t="shared" si="5"/>
        <v/>
      </c>
      <c r="J29" s="64" t="str">
        <f>IFERROR(IF(Table2[[#This Row],[L]]&lt;Table2[[#This Row],[W]],Table2[[#This Row],[W]],Table2[[#This Row],[L]]),"")</f>
        <v/>
      </c>
      <c r="K29" s="64" t="str">
        <f>IF(Table2[[#This Row],[L]]&lt;Table2[[#This Row],[W]],Table2[[#This Row],[L]],Table2[[#This Row],[W]])</f>
        <v/>
      </c>
      <c r="L29" s="64" t="str">
        <f t="shared" si="8"/>
        <v/>
      </c>
      <c r="M29" s="64" t="str">
        <f t="shared" si="9"/>
        <v/>
      </c>
      <c r="N29" s="64" t="str">
        <f t="shared" si="6"/>
        <v>XX</v>
      </c>
      <c r="O29" s="64" t="str">
        <f t="shared" si="7"/>
        <v>XX</v>
      </c>
      <c r="P29" s="64" t="str">
        <f>+CONCATENATE(Table2[[#This Row],[1]],Table2[[#This Row],[H]])</f>
        <v/>
      </c>
      <c r="Q29" s="64">
        <f>IFERROR(Table13[[#This Row],[QTY]],"")</f>
        <v>0</v>
      </c>
      <c r="R29" s="75"/>
      <c r="S29" s="64" t="str">
        <f>+Table2[[#This Row],[VARIETY]]</f>
        <v/>
      </c>
      <c r="T29" s="64" t="str">
        <f>IFERROR(VLOOKUP(Table9[[#This Row],[VARIETY]],MASTER!B:D,3,0),"")</f>
        <v/>
      </c>
      <c r="U29" s="64" t="str">
        <f>IFERROR(IF(OR(S29=MASTER!$B$95,S29=MASTER!$B$96,S29=MASTER!$B$97,S29=MASTER!$B$98,S29=MASTER!$B$102,S29=MASTER!$B$103,S29=MASTER!$B$99,S29=MASTER!$B$100,S29=MASTER!$B$101,S29=MASTER!$B$104,S29=MASTER!$B$105,S29=MASTER!$B$106,S29=MASTER!$B$107,S29=MASTER!$B$108,S29=MASTER!$B$109),(CONCATENATE(VLOOKUP(S29,MASTER!$B:$D,3,0),L29,"X",M29,"X",VLOOKUP(S29,MASTER!$B:$F,5,0))),(CONCATENATE(VLOOKUP(S29,MASTER!$B:$D,3,0),N29))),"")</f>
        <v/>
      </c>
      <c r="V29" s="64" t="str">
        <f>IFERROR(VLOOKUP(Table9[[#This Row],[ITEM CODE]],FW!$B:$D,3,0),"")</f>
        <v/>
      </c>
      <c r="W29" s="64">
        <f>IF(OR(S29=MASTER!$B$95,S29=MASTER!$B$96,S29=MASTER!$B$97,S29=MASTER!$B$98,S29=MASTER!$B$102,S29=MASTER!$B$103,S29=MASTER!$B$99,S29=MASTER!$B$100,S29=MASTER!$B$101,S29=MASTER!$B$104,S29=MASTER!$B$105,S29=MASTER!$B$106,S29=MASTER!$B$107,S29=MASTER!$B$108,S29=MASTER!$B$109),(Q29*V29),Q29)</f>
        <v>0</v>
      </c>
    </row>
    <row r="30" spans="1:23" ht="15.75" x14ac:dyDescent="0.25">
      <c r="A30" s="66">
        <f t="shared" si="10"/>
        <v>29</v>
      </c>
      <c r="B30" s="66" t="str">
        <f>LEFT(Table13[[#This Row],[ITEM CODE]],MIN(FIND({0,1,2,3,4,5,6,7,8,9},Table13[[#This Row],[ITEM CODE]]&amp;"0123456789"))-1)</f>
        <v/>
      </c>
      <c r="C30" s="64" t="str">
        <f>SUBSTITUTE(Table13[[#This Row],[ITEM CODE]],B30,"")</f>
        <v/>
      </c>
      <c r="D30" s="64" t="str">
        <f t="shared" si="0"/>
        <v/>
      </c>
      <c r="E30" s="64" t="str">
        <f t="shared" si="1"/>
        <v/>
      </c>
      <c r="F30" s="64" t="str">
        <f t="shared" si="2"/>
        <v/>
      </c>
      <c r="G30" s="64" t="str">
        <f t="shared" si="3"/>
        <v/>
      </c>
      <c r="H30" s="64" t="str">
        <f t="shared" si="4"/>
        <v/>
      </c>
      <c r="I30" s="64" t="str">
        <f t="shared" si="5"/>
        <v/>
      </c>
      <c r="J30" s="64" t="str">
        <f>IFERROR(IF(Table2[[#This Row],[L]]&lt;Table2[[#This Row],[W]],Table2[[#This Row],[W]],Table2[[#This Row],[L]]),"")</f>
        <v/>
      </c>
      <c r="K30" s="64" t="str">
        <f>IF(Table2[[#This Row],[L]]&lt;Table2[[#This Row],[W]],Table2[[#This Row],[L]],Table2[[#This Row],[W]])</f>
        <v/>
      </c>
      <c r="L30" s="64" t="str">
        <f t="shared" si="8"/>
        <v/>
      </c>
      <c r="M30" s="64" t="str">
        <f t="shared" si="9"/>
        <v/>
      </c>
      <c r="N30" s="64" t="str">
        <f t="shared" si="6"/>
        <v>XX</v>
      </c>
      <c r="O30" s="64" t="str">
        <f t="shared" si="7"/>
        <v>XX</v>
      </c>
      <c r="P30" s="64" t="str">
        <f>+CONCATENATE(Table2[[#This Row],[1]],Table2[[#This Row],[H]])</f>
        <v/>
      </c>
      <c r="Q30" s="64">
        <f>IFERROR(Table13[[#This Row],[QTY]],"")</f>
        <v>0</v>
      </c>
      <c r="R30" s="75"/>
      <c r="S30" s="64" t="str">
        <f>+Table2[[#This Row],[VARIETY]]</f>
        <v/>
      </c>
      <c r="T30" s="64" t="str">
        <f>IFERROR(VLOOKUP(Table9[[#This Row],[VARIETY]],MASTER!B:D,3,0),"")</f>
        <v/>
      </c>
      <c r="U30" s="64" t="str">
        <f>IFERROR(IF(OR(S30=MASTER!$B$95,S30=MASTER!$B$96,S30=MASTER!$B$97,S30=MASTER!$B$98,S30=MASTER!$B$102,S30=MASTER!$B$103,S30=MASTER!$B$99,S30=MASTER!$B$100,S30=MASTER!$B$101,S30=MASTER!$B$104,S30=MASTER!$B$105,S30=MASTER!$B$106,S30=MASTER!$B$107,S30=MASTER!$B$108,S30=MASTER!$B$109),(CONCATENATE(VLOOKUP(S30,MASTER!$B:$D,3,0),L30,"X",M30,"X",VLOOKUP(S30,MASTER!$B:$F,5,0))),(CONCATENATE(VLOOKUP(S30,MASTER!$B:$D,3,0),N30))),"")</f>
        <v/>
      </c>
      <c r="V30" s="64" t="str">
        <f>IFERROR(VLOOKUP(Table9[[#This Row],[ITEM CODE]],FW!$B:$D,3,0),"")</f>
        <v/>
      </c>
      <c r="W30" s="64">
        <f>IF(OR(S30=MASTER!$B$95,S30=MASTER!$B$96,S30=MASTER!$B$97,S30=MASTER!$B$98,S30=MASTER!$B$102,S30=MASTER!$B$103,S30=MASTER!$B$99,S30=MASTER!$B$100,S30=MASTER!$B$101,S30=MASTER!$B$104,S30=MASTER!$B$105,S30=MASTER!$B$106,S30=MASTER!$B$107,S30=MASTER!$B$108,S30=MASTER!$B$109),(Q30*V30),Q30)</f>
        <v>0</v>
      </c>
    </row>
    <row r="31" spans="1:23" ht="15.75" x14ac:dyDescent="0.25">
      <c r="A31" s="66">
        <f>ROW()-1</f>
        <v>30</v>
      </c>
      <c r="B31" s="66" t="str">
        <f>LEFT(Table13[[#This Row],[ITEM CODE]],MIN(FIND({0,1,2,3,4,5,6,7,8,9},Table13[[#This Row],[ITEM CODE]]&amp;"0123456789"))-1)</f>
        <v/>
      </c>
      <c r="C31" s="64" t="str">
        <f>SUBSTITUTE(Table13[[#This Row],[ITEM CODE]],B31,"")</f>
        <v/>
      </c>
      <c r="D31" s="64" t="str">
        <f t="shared" si="0"/>
        <v/>
      </c>
      <c r="E31" s="64" t="str">
        <f t="shared" si="1"/>
        <v/>
      </c>
      <c r="F31" s="64" t="str">
        <f t="shared" si="2"/>
        <v/>
      </c>
      <c r="G31" s="64" t="str">
        <f t="shared" si="3"/>
        <v/>
      </c>
      <c r="H31" s="64" t="str">
        <f t="shared" si="4"/>
        <v/>
      </c>
      <c r="I31" s="64" t="str">
        <f t="shared" si="5"/>
        <v/>
      </c>
      <c r="J31" s="64" t="str">
        <f>IFERROR(IF(Table2[[#This Row],[L]]&lt;Table2[[#This Row],[W]],Table2[[#This Row],[W]],Table2[[#This Row],[L]]),"")</f>
        <v/>
      </c>
      <c r="K31" s="64" t="str">
        <f>IF(Table2[[#This Row],[L]]&lt;Table2[[#This Row],[W]],Table2[[#This Row],[L]],Table2[[#This Row],[W]])</f>
        <v/>
      </c>
      <c r="L31" s="64" t="str">
        <f t="shared" si="8"/>
        <v/>
      </c>
      <c r="M31" s="64" t="str">
        <f t="shared" si="9"/>
        <v/>
      </c>
      <c r="N31" s="64" t="str">
        <f t="shared" si="6"/>
        <v>XX</v>
      </c>
      <c r="O31" s="64" t="str">
        <f t="shared" si="7"/>
        <v>XX</v>
      </c>
      <c r="P31" s="64" t="str">
        <f>+CONCATENATE(Table2[[#This Row],[1]],Table2[[#This Row],[H]])</f>
        <v/>
      </c>
      <c r="Q31" s="64">
        <f>IFERROR(Table13[[#This Row],[QTY]],"")</f>
        <v>0</v>
      </c>
      <c r="R31" s="75"/>
      <c r="S31" s="64" t="str">
        <f>+Table2[[#This Row],[VARIETY]]</f>
        <v/>
      </c>
      <c r="T31" s="64" t="str">
        <f>IFERROR(VLOOKUP(Table9[[#This Row],[VARIETY]],MASTER!B:D,3,0),"")</f>
        <v/>
      </c>
      <c r="U31" s="64" t="str">
        <f>IFERROR(IF(OR(S31=MASTER!$B$95,S31=MASTER!$B$96,S31=MASTER!$B$97,S31=MASTER!$B$98,S31=MASTER!$B$102,S31=MASTER!$B$103,S31=MASTER!$B$99,S31=MASTER!$B$100,S31=MASTER!$B$101,S31=MASTER!$B$104,S31=MASTER!$B$105,S31=MASTER!$B$106,S31=MASTER!$B$107,S31=MASTER!$B$108,S31=MASTER!$B$109),(CONCATENATE(VLOOKUP(S31,MASTER!$B:$D,3,0),L31,"X",M31,"X",VLOOKUP(S31,MASTER!$B:$F,5,0))),(CONCATENATE(VLOOKUP(S31,MASTER!$B:$D,3,0),N31))),"")</f>
        <v/>
      </c>
      <c r="V31" s="64" t="str">
        <f>IFERROR(VLOOKUP(Table9[[#This Row],[ITEM CODE]],FW!$B:$D,3,0),"")</f>
        <v/>
      </c>
      <c r="W31" s="64">
        <f>IF(OR(S31=MASTER!$B$95,S31=MASTER!$B$96,S31=MASTER!$B$97,S31=MASTER!$B$98,S31=MASTER!$B$102,S31=MASTER!$B$103,S31=MASTER!$B$99,S31=MASTER!$B$100,S31=MASTER!$B$101,S31=MASTER!$B$104,S31=MASTER!$B$105,S31=MASTER!$B$106,S31=MASTER!$B$107,S31=MASTER!$B$108,S31=MASTER!$B$109),(Q31*V31),Q31)</f>
        <v>0</v>
      </c>
    </row>
    <row r="32" spans="1:23" ht="15.75" x14ac:dyDescent="0.25">
      <c r="A32" s="66">
        <f t="shared" ref="A32:A95" si="11">ROW()-1</f>
        <v>31</v>
      </c>
      <c r="B32" s="66" t="str">
        <f>LEFT(Table13[[#This Row],[ITEM CODE]],MIN(FIND({0,1,2,3,4,5,6,7,8,9},Table13[[#This Row],[ITEM CODE]]&amp;"0123456789"))-1)</f>
        <v/>
      </c>
      <c r="C32" s="64" t="str">
        <f>SUBSTITUTE(Table13[[#This Row],[ITEM CODE]],B32,"")</f>
        <v/>
      </c>
      <c r="D32" s="64" t="str">
        <f t="shared" si="0"/>
        <v/>
      </c>
      <c r="E32" s="64" t="str">
        <f t="shared" si="1"/>
        <v/>
      </c>
      <c r="F32" s="64" t="str">
        <f t="shared" si="2"/>
        <v/>
      </c>
      <c r="G32" s="64" t="str">
        <f t="shared" si="3"/>
        <v/>
      </c>
      <c r="H32" s="64" t="str">
        <f t="shared" si="4"/>
        <v/>
      </c>
      <c r="I32" s="64" t="str">
        <f t="shared" si="5"/>
        <v/>
      </c>
      <c r="J32" s="64" t="str">
        <f>IFERROR(IF(Table2[[#This Row],[L]]&lt;Table2[[#This Row],[W]],Table2[[#This Row],[W]],Table2[[#This Row],[L]]),"")</f>
        <v/>
      </c>
      <c r="K32" s="64" t="str">
        <f>IF(Table2[[#This Row],[L]]&lt;Table2[[#This Row],[W]],Table2[[#This Row],[L]],Table2[[#This Row],[W]])</f>
        <v/>
      </c>
      <c r="L32" s="64" t="str">
        <f t="shared" si="8"/>
        <v/>
      </c>
      <c r="M32" s="64" t="str">
        <f t="shared" si="9"/>
        <v/>
      </c>
      <c r="N32" s="64" t="str">
        <f t="shared" si="6"/>
        <v>XX</v>
      </c>
      <c r="O32" s="64" t="str">
        <f t="shared" si="7"/>
        <v>XX</v>
      </c>
      <c r="P32" s="64" t="str">
        <f>+CONCATENATE(Table2[[#This Row],[1]],Table2[[#This Row],[H]])</f>
        <v/>
      </c>
      <c r="Q32" s="64">
        <f>IFERROR(Table13[[#This Row],[QTY]],"")</f>
        <v>0</v>
      </c>
      <c r="R32" s="75"/>
      <c r="S32" s="64" t="str">
        <f>+Table2[[#This Row],[VARIETY]]</f>
        <v/>
      </c>
      <c r="T32" s="64" t="str">
        <f>IFERROR(VLOOKUP(Table9[[#This Row],[VARIETY]],MASTER!B:D,3,0),"")</f>
        <v/>
      </c>
      <c r="U32" s="64" t="str">
        <f>IFERROR(IF(OR(S32=MASTER!$B$95,S32=MASTER!$B$96,S32=MASTER!$B$97,S32=MASTER!$B$98,S32=MASTER!$B$102,S32=MASTER!$B$103,S32=MASTER!$B$99,S32=MASTER!$B$100,S32=MASTER!$B$101,S32=MASTER!$B$104,S32=MASTER!$B$105,S32=MASTER!$B$106,S32=MASTER!$B$107,S32=MASTER!$B$108,S32=MASTER!$B$109),(CONCATENATE(VLOOKUP(S32,MASTER!$B:$D,3,0),L32,"X",M32,"X",VLOOKUP(S32,MASTER!$B:$F,5,0))),(CONCATENATE(VLOOKUP(S32,MASTER!$B:$D,3,0),N32))),"")</f>
        <v/>
      </c>
      <c r="V32" s="64" t="str">
        <f>IFERROR(VLOOKUP(Table9[[#This Row],[ITEM CODE]],FW!$B:$D,3,0),"")</f>
        <v/>
      </c>
      <c r="W32" s="64">
        <f>IF(OR(S32=MASTER!$B$95,S32=MASTER!$B$96,S32=MASTER!$B$97,S32=MASTER!$B$98,S32=MASTER!$B$102,S32=MASTER!$B$103,S32=MASTER!$B$99,S32=MASTER!$B$100,S32=MASTER!$B$101,S32=MASTER!$B$104,S32=MASTER!$B$105,S32=MASTER!$B$106,S32=MASTER!$B$107,S32=MASTER!$B$108,S32=MASTER!$B$109),(Q32*V32),Q32)</f>
        <v>0</v>
      </c>
    </row>
    <row r="33" spans="1:23" ht="15.75" x14ac:dyDescent="0.25">
      <c r="A33" s="66">
        <f t="shared" si="11"/>
        <v>32</v>
      </c>
      <c r="B33" s="66" t="str">
        <f>LEFT(Table13[[#This Row],[ITEM CODE]],MIN(FIND({0,1,2,3,4,5,6,7,8,9},Table13[[#This Row],[ITEM CODE]]&amp;"0123456789"))-1)</f>
        <v/>
      </c>
      <c r="C33" s="64" t="str">
        <f>SUBSTITUTE(Table13[[#This Row],[ITEM CODE]],B33,"")</f>
        <v/>
      </c>
      <c r="D33" s="64" t="str">
        <f t="shared" si="0"/>
        <v/>
      </c>
      <c r="E33" s="64" t="str">
        <f t="shared" si="1"/>
        <v/>
      </c>
      <c r="F33" s="64" t="str">
        <f t="shared" si="2"/>
        <v/>
      </c>
      <c r="G33" s="64" t="str">
        <f t="shared" si="3"/>
        <v/>
      </c>
      <c r="H33" s="64" t="str">
        <f t="shared" si="4"/>
        <v/>
      </c>
      <c r="I33" s="64" t="str">
        <f t="shared" si="5"/>
        <v/>
      </c>
      <c r="J33" s="64" t="str">
        <f>IFERROR(IF(Table2[[#This Row],[L]]&lt;Table2[[#This Row],[W]],Table2[[#This Row],[W]],Table2[[#This Row],[L]]),"")</f>
        <v/>
      </c>
      <c r="K33" s="64" t="str">
        <f>IF(Table2[[#This Row],[L]]&lt;Table2[[#This Row],[W]],Table2[[#This Row],[L]],Table2[[#This Row],[W]])</f>
        <v/>
      </c>
      <c r="L33" s="64" t="str">
        <f t="shared" si="8"/>
        <v/>
      </c>
      <c r="M33" s="64" t="str">
        <f t="shared" si="9"/>
        <v/>
      </c>
      <c r="N33" s="64" t="str">
        <f t="shared" si="6"/>
        <v>XX</v>
      </c>
      <c r="O33" s="64" t="str">
        <f t="shared" si="7"/>
        <v>XX</v>
      </c>
      <c r="P33" s="64" t="str">
        <f>+CONCATENATE(Table2[[#This Row],[1]],Table2[[#This Row],[H]])</f>
        <v/>
      </c>
      <c r="Q33" s="64">
        <f>IFERROR(Table13[[#This Row],[QTY]],"")</f>
        <v>0</v>
      </c>
      <c r="R33" s="75"/>
      <c r="S33" s="64" t="str">
        <f>+Table2[[#This Row],[VARIETY]]</f>
        <v/>
      </c>
      <c r="T33" s="64" t="str">
        <f>IFERROR(VLOOKUP(Table9[[#This Row],[VARIETY]],MASTER!B:D,3,0),"")</f>
        <v/>
      </c>
      <c r="U33" s="64" t="str">
        <f>IFERROR(IF(OR(S33=MASTER!$B$95,S33=MASTER!$B$96,S33=MASTER!$B$97,S33=MASTER!$B$98,S33=MASTER!$B$102,S33=MASTER!$B$103,S33=MASTER!$B$99,S33=MASTER!$B$100,S33=MASTER!$B$101,S33=MASTER!$B$104,S33=MASTER!$B$105,S33=MASTER!$B$106,S33=MASTER!$B$107,S33=MASTER!$B$108,S33=MASTER!$B$109),(CONCATENATE(VLOOKUP(S33,MASTER!$B:$D,3,0),L33,"X",M33,"X",VLOOKUP(S33,MASTER!$B:$F,5,0))),(CONCATENATE(VLOOKUP(S33,MASTER!$B:$D,3,0),N33))),"")</f>
        <v/>
      </c>
      <c r="V33" s="64" t="str">
        <f>IFERROR(VLOOKUP(Table9[[#This Row],[ITEM CODE]],FW!$B:$D,3,0),"")</f>
        <v/>
      </c>
      <c r="W33" s="64">
        <f>IF(OR(S33=MASTER!$B$95,S33=MASTER!$B$96,S33=MASTER!$B$97,S33=MASTER!$B$98,S33=MASTER!$B$102,S33=MASTER!$B$103,S33=MASTER!$B$99,S33=MASTER!$B$100,S33=MASTER!$B$101,S33=MASTER!$B$104,S33=MASTER!$B$105,S33=MASTER!$B$106,S33=MASTER!$B$107,S33=MASTER!$B$108,S33=MASTER!$B$109),(Q33*V33),Q33)</f>
        <v>0</v>
      </c>
    </row>
    <row r="34" spans="1:23" ht="15.75" x14ac:dyDescent="0.25">
      <c r="A34" s="66">
        <f t="shared" si="11"/>
        <v>33</v>
      </c>
      <c r="B34" s="66" t="str">
        <f>LEFT(Table13[[#This Row],[ITEM CODE]],MIN(FIND({0,1,2,3,4,5,6,7,8,9},Table13[[#This Row],[ITEM CODE]]&amp;"0123456789"))-1)</f>
        <v/>
      </c>
      <c r="C34" s="64" t="str">
        <f>SUBSTITUTE(Table13[[#This Row],[ITEM CODE]],B34,"")</f>
        <v/>
      </c>
      <c r="D34" s="64" t="str">
        <f t="shared" si="0"/>
        <v/>
      </c>
      <c r="E34" s="64" t="str">
        <f t="shared" si="1"/>
        <v/>
      </c>
      <c r="F34" s="64" t="str">
        <f t="shared" si="2"/>
        <v/>
      </c>
      <c r="G34" s="64" t="str">
        <f t="shared" si="3"/>
        <v/>
      </c>
      <c r="H34" s="64" t="str">
        <f t="shared" si="4"/>
        <v/>
      </c>
      <c r="I34" s="64" t="str">
        <f t="shared" si="5"/>
        <v/>
      </c>
      <c r="J34" s="64" t="str">
        <f>IFERROR(IF(Table2[[#This Row],[L]]&lt;Table2[[#This Row],[W]],Table2[[#This Row],[W]],Table2[[#This Row],[L]]),"")</f>
        <v/>
      </c>
      <c r="K34" s="64" t="str">
        <f>IF(Table2[[#This Row],[L]]&lt;Table2[[#This Row],[W]],Table2[[#This Row],[L]],Table2[[#This Row],[W]])</f>
        <v/>
      </c>
      <c r="L34" s="64" t="str">
        <f t="shared" si="8"/>
        <v/>
      </c>
      <c r="M34" s="64" t="str">
        <f t="shared" si="9"/>
        <v/>
      </c>
      <c r="N34" s="64" t="str">
        <f t="shared" si="6"/>
        <v>XX</v>
      </c>
      <c r="O34" s="64" t="str">
        <f t="shared" ref="O34:O51" si="12">IFERROR(CONCATENATE(B34,N34),"")</f>
        <v>XX</v>
      </c>
      <c r="P34" s="64" t="str">
        <f>+CONCATENATE(Table2[[#This Row],[1]],Table2[[#This Row],[H]])</f>
        <v/>
      </c>
      <c r="Q34" s="64">
        <f>IFERROR(Table13[[#This Row],[QTY]],"")</f>
        <v>0</v>
      </c>
      <c r="R34" s="75"/>
      <c r="S34" s="64" t="str">
        <f>+Table2[[#This Row],[VARIETY]]</f>
        <v/>
      </c>
      <c r="T34" s="64" t="str">
        <f>IFERROR(VLOOKUP(Table9[[#This Row],[VARIETY]],MASTER!B:D,3,0),"")</f>
        <v/>
      </c>
      <c r="U34" s="64" t="str">
        <f>IFERROR(IF(OR(S34=MASTER!$B$95,S34=MASTER!$B$96,S34=MASTER!$B$97,S34=MASTER!$B$98,S34=MASTER!$B$102,S34=MASTER!$B$103,S34=MASTER!$B$99,S34=MASTER!$B$100,S34=MASTER!$B$101,S34=MASTER!$B$104,S34=MASTER!$B$105,S34=MASTER!$B$106,S34=MASTER!$B$107,S34=MASTER!$B$108,S34=MASTER!$B$109),(CONCATENATE(VLOOKUP(S34,MASTER!$B:$D,3,0),L34,"X",M34,"X",VLOOKUP(S34,MASTER!$B:$F,5,0))),(CONCATENATE(VLOOKUP(S34,MASTER!$B:$D,3,0),N34))),"")</f>
        <v/>
      </c>
      <c r="V34" s="64" t="str">
        <f>IFERROR(VLOOKUP(Table9[[#This Row],[ITEM CODE]],FW!$B:$D,3,0),"")</f>
        <v/>
      </c>
      <c r="W34" s="64">
        <f>IF(OR(S34=MASTER!$B$95,S34=MASTER!$B$96,S34=MASTER!$B$97,S34=MASTER!$B$98,S34=MASTER!$B$102,S34=MASTER!$B$103,S34=MASTER!$B$99,S34=MASTER!$B$100,S34=MASTER!$B$101,S34=MASTER!$B$104,S34=MASTER!$B$105,S34=MASTER!$B$106,S34=MASTER!$B$107,S34=MASTER!$B$108,S34=MASTER!$B$109),(Q34*V34),Q34)</f>
        <v>0</v>
      </c>
    </row>
    <row r="35" spans="1:23" ht="15.75" x14ac:dyDescent="0.25">
      <c r="A35" s="66">
        <f t="shared" si="11"/>
        <v>34</v>
      </c>
      <c r="B35" s="66" t="str">
        <f>LEFT(Table13[[#This Row],[ITEM CODE]],MIN(FIND({0,1,2,3,4,5,6,7,8,9},Table13[[#This Row],[ITEM CODE]]&amp;"0123456789"))-1)</f>
        <v/>
      </c>
      <c r="C35" s="64" t="str">
        <f>SUBSTITUTE(Table13[[#This Row],[ITEM CODE]],B35,"")</f>
        <v/>
      </c>
      <c r="D35" s="64" t="str">
        <f t="shared" si="0"/>
        <v/>
      </c>
      <c r="E35" s="64" t="str">
        <f t="shared" si="1"/>
        <v/>
      </c>
      <c r="F35" s="64" t="str">
        <f t="shared" si="2"/>
        <v/>
      </c>
      <c r="G35" s="64" t="str">
        <f t="shared" si="3"/>
        <v/>
      </c>
      <c r="H35" s="64" t="str">
        <f t="shared" si="4"/>
        <v/>
      </c>
      <c r="I35" s="64" t="str">
        <f t="shared" si="5"/>
        <v/>
      </c>
      <c r="J35" s="64" t="str">
        <f>IFERROR(IF(Table2[[#This Row],[L]]&lt;Table2[[#This Row],[W]],Table2[[#This Row],[W]],Table2[[#This Row],[L]]),"")</f>
        <v/>
      </c>
      <c r="K35" s="64" t="str">
        <f>IF(Table2[[#This Row],[L]]&lt;Table2[[#This Row],[W]],Table2[[#This Row],[L]],Table2[[#This Row],[W]])</f>
        <v/>
      </c>
      <c r="L35" s="64" t="str">
        <f t="shared" si="8"/>
        <v/>
      </c>
      <c r="M35" s="64" t="str">
        <f t="shared" si="9"/>
        <v/>
      </c>
      <c r="N35" s="64" t="str">
        <f t="shared" si="6"/>
        <v>XX</v>
      </c>
      <c r="O35" s="64" t="str">
        <f t="shared" si="12"/>
        <v>XX</v>
      </c>
      <c r="P35" s="64" t="str">
        <f>+CONCATENATE(Table2[[#This Row],[1]],Table2[[#This Row],[H]])</f>
        <v/>
      </c>
      <c r="Q35" s="64">
        <f>IFERROR(Table13[[#This Row],[QTY]],"")</f>
        <v>0</v>
      </c>
      <c r="R35" s="75"/>
      <c r="S35" s="64" t="str">
        <f>+Table2[[#This Row],[VARIETY]]</f>
        <v/>
      </c>
      <c r="T35" s="64" t="str">
        <f>IFERROR(VLOOKUP(Table9[[#This Row],[VARIETY]],MASTER!B:D,3,0),"")</f>
        <v/>
      </c>
      <c r="U35" s="64" t="str">
        <f>IFERROR(IF(OR(S35=MASTER!$B$95,S35=MASTER!$B$96,S35=MASTER!$B$97,S35=MASTER!$B$98,S35=MASTER!$B$102,S35=MASTER!$B$103,S35=MASTER!$B$99,S35=MASTER!$B$100,S35=MASTER!$B$101,S35=MASTER!$B$104,S35=MASTER!$B$105,S35=MASTER!$B$106,S35=MASTER!$B$107,S35=MASTER!$B$108,S35=MASTER!$B$109),(CONCATENATE(VLOOKUP(S35,MASTER!$B:$D,3,0),L35,"X",M35,"X",VLOOKUP(S35,MASTER!$B:$F,5,0))),(CONCATENATE(VLOOKUP(S35,MASTER!$B:$D,3,0),N35))),"")</f>
        <v/>
      </c>
      <c r="V35" s="64" t="str">
        <f>IFERROR(VLOOKUP(Table9[[#This Row],[ITEM CODE]],FW!$B:$D,3,0),"")</f>
        <v/>
      </c>
      <c r="W35" s="64">
        <f>IF(OR(S35=MASTER!$B$95,S35=MASTER!$B$96,S35=MASTER!$B$97,S35=MASTER!$B$98,S35=MASTER!$B$102,S35=MASTER!$B$103,S35=MASTER!$B$99,S35=MASTER!$B$100,S35=MASTER!$B$101,S35=MASTER!$B$104,S35=MASTER!$B$105,S35=MASTER!$B$106,S35=MASTER!$B$107,S35=MASTER!$B$108,S35=MASTER!$B$109),(Q35*V35),Q35)</f>
        <v>0</v>
      </c>
    </row>
    <row r="36" spans="1:23" ht="15.75" x14ac:dyDescent="0.25">
      <c r="A36" s="66">
        <f t="shared" si="11"/>
        <v>35</v>
      </c>
      <c r="B36" s="66" t="str">
        <f>LEFT(Table13[[#This Row],[ITEM CODE]],MIN(FIND({0,1,2,3,4,5,6,7,8,9},Table13[[#This Row],[ITEM CODE]]&amp;"0123456789"))-1)</f>
        <v/>
      </c>
      <c r="C36" s="64" t="str">
        <f>SUBSTITUTE(Table13[[#This Row],[ITEM CODE]],B36,"")</f>
        <v/>
      </c>
      <c r="D36" s="64" t="str">
        <f t="shared" si="0"/>
        <v/>
      </c>
      <c r="E36" s="64" t="str">
        <f t="shared" si="1"/>
        <v/>
      </c>
      <c r="F36" s="64" t="str">
        <f t="shared" si="2"/>
        <v/>
      </c>
      <c r="G36" s="64" t="str">
        <f t="shared" si="3"/>
        <v/>
      </c>
      <c r="H36" s="64" t="str">
        <f t="shared" si="4"/>
        <v/>
      </c>
      <c r="I36" s="64" t="str">
        <f t="shared" si="5"/>
        <v/>
      </c>
      <c r="J36" s="64" t="str">
        <f>IFERROR(IF(Table2[[#This Row],[L]]&lt;Table2[[#This Row],[W]],Table2[[#This Row],[W]],Table2[[#This Row],[L]]),"")</f>
        <v/>
      </c>
      <c r="K36" s="64" t="str">
        <f>IF(Table2[[#This Row],[L]]&lt;Table2[[#This Row],[W]],Table2[[#This Row],[L]],Table2[[#This Row],[W]])</f>
        <v/>
      </c>
      <c r="L36" s="64" t="str">
        <f t="shared" si="8"/>
        <v/>
      </c>
      <c r="M36" s="64" t="str">
        <f t="shared" si="9"/>
        <v/>
      </c>
      <c r="N36" s="64" t="str">
        <f t="shared" si="6"/>
        <v>XX</v>
      </c>
      <c r="O36" s="64" t="str">
        <f t="shared" si="12"/>
        <v>XX</v>
      </c>
      <c r="P36" s="64" t="str">
        <f>+CONCATENATE(Table2[[#This Row],[1]],Table2[[#This Row],[H]])</f>
        <v/>
      </c>
      <c r="Q36" s="64">
        <f>IFERROR(Table13[[#This Row],[QTY]],"")</f>
        <v>0</v>
      </c>
      <c r="R36" s="75"/>
      <c r="S36" s="64" t="str">
        <f>+Table2[[#This Row],[VARIETY]]</f>
        <v/>
      </c>
      <c r="T36" s="64" t="str">
        <f>IFERROR(VLOOKUP(Table9[[#This Row],[VARIETY]],MASTER!B:D,3,0),"")</f>
        <v/>
      </c>
      <c r="U36" s="64" t="str">
        <f>IFERROR(IF(OR(S36=MASTER!$B$95,S36=MASTER!$B$96,S36=MASTER!$B$97,S36=MASTER!$B$98,S36=MASTER!$B$102,S36=MASTER!$B$103,S36=MASTER!$B$99,S36=MASTER!$B$100,S36=MASTER!$B$101,S36=MASTER!$B$104,S36=MASTER!$B$105,S36=MASTER!$B$106,S36=MASTER!$B$107,S36=MASTER!$B$108,S36=MASTER!$B$109),(CONCATENATE(VLOOKUP(S36,MASTER!$B:$D,3,0),L36,"X",M36,"X",VLOOKUP(S36,MASTER!$B:$F,5,0))),(CONCATENATE(VLOOKUP(S36,MASTER!$B:$D,3,0),N36))),"")</f>
        <v/>
      </c>
      <c r="V36" s="64" t="str">
        <f>IFERROR(VLOOKUP(Table9[[#This Row],[ITEM CODE]],FW!$B:$D,3,0),"")</f>
        <v/>
      </c>
      <c r="W36" s="64">
        <f>IF(OR(S36=MASTER!$B$95,S36=MASTER!$B$96,S36=MASTER!$B$97,S36=MASTER!$B$98,S36=MASTER!$B$102,S36=MASTER!$B$103,S36=MASTER!$B$99,S36=MASTER!$B$100,S36=MASTER!$B$101,S36=MASTER!$B$104,S36=MASTER!$B$105,S36=MASTER!$B$106,S36=MASTER!$B$107,S36=MASTER!$B$108,S36=MASTER!$B$109),(Q36*V36),Q36)</f>
        <v>0</v>
      </c>
    </row>
    <row r="37" spans="1:23" ht="15.75" x14ac:dyDescent="0.25">
      <c r="A37" s="66">
        <f t="shared" si="11"/>
        <v>36</v>
      </c>
      <c r="B37" s="66" t="str">
        <f>LEFT(Table13[[#This Row],[ITEM CODE]],MIN(FIND({0,1,2,3,4,5,6,7,8,9},Table13[[#This Row],[ITEM CODE]]&amp;"0123456789"))-1)</f>
        <v/>
      </c>
      <c r="C37" s="64" t="str">
        <f>SUBSTITUTE(Table13[[#This Row],[ITEM CODE]],B37,"")</f>
        <v/>
      </c>
      <c r="D37" s="64" t="str">
        <f t="shared" si="0"/>
        <v/>
      </c>
      <c r="E37" s="64" t="str">
        <f t="shared" si="1"/>
        <v/>
      </c>
      <c r="F37" s="64" t="str">
        <f t="shared" si="2"/>
        <v/>
      </c>
      <c r="G37" s="64" t="str">
        <f t="shared" si="3"/>
        <v/>
      </c>
      <c r="H37" s="64" t="str">
        <f t="shared" si="4"/>
        <v/>
      </c>
      <c r="I37" s="64" t="str">
        <f t="shared" si="5"/>
        <v/>
      </c>
      <c r="J37" s="64" t="str">
        <f>IFERROR(IF(Table2[[#This Row],[L]]&lt;Table2[[#This Row],[W]],Table2[[#This Row],[W]],Table2[[#This Row],[L]]),"")</f>
        <v/>
      </c>
      <c r="K37" s="64" t="str">
        <f>IF(Table2[[#This Row],[L]]&lt;Table2[[#This Row],[W]],Table2[[#This Row],[L]],Table2[[#This Row],[W]])</f>
        <v/>
      </c>
      <c r="L37" s="64" t="str">
        <f t="shared" si="8"/>
        <v/>
      </c>
      <c r="M37" s="64" t="str">
        <f t="shared" si="9"/>
        <v/>
      </c>
      <c r="N37" s="64" t="str">
        <f t="shared" si="6"/>
        <v>XX</v>
      </c>
      <c r="O37" s="64" t="str">
        <f t="shared" si="12"/>
        <v>XX</v>
      </c>
      <c r="P37" s="64" t="str">
        <f>+CONCATENATE(Table2[[#This Row],[1]],Table2[[#This Row],[H]])</f>
        <v/>
      </c>
      <c r="Q37" s="64">
        <f>IFERROR(Table13[[#This Row],[QTY]],"")</f>
        <v>0</v>
      </c>
      <c r="R37" s="75"/>
      <c r="S37" s="64" t="str">
        <f>+Table2[[#This Row],[VARIETY]]</f>
        <v/>
      </c>
      <c r="T37" s="64" t="str">
        <f>IFERROR(VLOOKUP(Table9[[#This Row],[VARIETY]],MASTER!B:D,3,0),"")</f>
        <v/>
      </c>
      <c r="U37" s="64" t="str">
        <f>IFERROR(IF(OR(S37=MASTER!$B$95,S37=MASTER!$B$96,S37=MASTER!$B$97,S37=MASTER!$B$98,S37=MASTER!$B$102,S37=MASTER!$B$103,S37=MASTER!$B$99,S37=MASTER!$B$100,S37=MASTER!$B$101,S37=MASTER!$B$104,S37=MASTER!$B$105,S37=MASTER!$B$106,S37=MASTER!$B$107,S37=MASTER!$B$108,S37=MASTER!$B$109),(CONCATENATE(VLOOKUP(S37,MASTER!$B:$D,3,0),L37,"X",M37,"X",VLOOKUP(S37,MASTER!$B:$F,5,0))),(CONCATENATE(VLOOKUP(S37,MASTER!$B:$D,3,0),N37))),"")</f>
        <v/>
      </c>
      <c r="V37" s="64" t="str">
        <f>IFERROR(VLOOKUP(Table9[[#This Row],[ITEM CODE]],FW!$B:$D,3,0),"")</f>
        <v/>
      </c>
      <c r="W37" s="64">
        <f>IF(OR(S37=MASTER!$B$95,S37=MASTER!$B$96,S37=MASTER!$B$97,S37=MASTER!$B$98,S37=MASTER!$B$102,S37=MASTER!$B$103,S37=MASTER!$B$99,S37=MASTER!$B$100,S37=MASTER!$B$101,S37=MASTER!$B$104,S37=MASTER!$B$105,S37=MASTER!$B$106,S37=MASTER!$B$107,S37=MASTER!$B$108,S37=MASTER!$B$109),(Q37*V37),Q37)</f>
        <v>0</v>
      </c>
    </row>
    <row r="38" spans="1:23" ht="15.75" x14ac:dyDescent="0.25">
      <c r="A38" s="66">
        <f t="shared" si="11"/>
        <v>37</v>
      </c>
      <c r="B38" s="66" t="str">
        <f>LEFT(Table13[[#This Row],[ITEM CODE]],MIN(FIND({0,1,2,3,4,5,6,7,8,9},Table13[[#This Row],[ITEM CODE]]&amp;"0123456789"))-1)</f>
        <v/>
      </c>
      <c r="C38" s="64" t="str">
        <f>SUBSTITUTE(Table13[[#This Row],[ITEM CODE]],B38,"")</f>
        <v/>
      </c>
      <c r="D38" s="64" t="str">
        <f t="shared" si="0"/>
        <v/>
      </c>
      <c r="E38" s="64" t="str">
        <f t="shared" si="1"/>
        <v/>
      </c>
      <c r="F38" s="64" t="str">
        <f t="shared" si="2"/>
        <v/>
      </c>
      <c r="G38" s="64" t="str">
        <f t="shared" si="3"/>
        <v/>
      </c>
      <c r="H38" s="64" t="str">
        <f t="shared" si="4"/>
        <v/>
      </c>
      <c r="I38" s="64" t="str">
        <f t="shared" si="5"/>
        <v/>
      </c>
      <c r="J38" s="64" t="str">
        <f>IFERROR(IF(Table2[[#This Row],[L]]&lt;Table2[[#This Row],[W]],Table2[[#This Row],[W]],Table2[[#This Row],[L]]),"")</f>
        <v/>
      </c>
      <c r="K38" s="64" t="str">
        <f>IF(Table2[[#This Row],[L]]&lt;Table2[[#This Row],[W]],Table2[[#This Row],[L]],Table2[[#This Row],[W]])</f>
        <v/>
      </c>
      <c r="L38" s="64" t="str">
        <f t="shared" si="8"/>
        <v/>
      </c>
      <c r="M38" s="64" t="str">
        <f t="shared" si="9"/>
        <v/>
      </c>
      <c r="N38" s="64" t="str">
        <f t="shared" si="6"/>
        <v>XX</v>
      </c>
      <c r="O38" s="64" t="str">
        <f t="shared" si="12"/>
        <v>XX</v>
      </c>
      <c r="P38" s="64" t="str">
        <f>+CONCATENATE(Table2[[#This Row],[1]],Table2[[#This Row],[H]])</f>
        <v/>
      </c>
      <c r="Q38" s="64">
        <f>IFERROR(Table13[[#This Row],[QTY]],"")</f>
        <v>0</v>
      </c>
      <c r="R38" s="75"/>
      <c r="S38" s="64" t="str">
        <f>+Table2[[#This Row],[VARIETY]]</f>
        <v/>
      </c>
      <c r="T38" s="64" t="str">
        <f>IFERROR(VLOOKUP(Table9[[#This Row],[VARIETY]],MASTER!B:D,3,0),"")</f>
        <v/>
      </c>
      <c r="U38" s="64" t="str">
        <f>IFERROR(IF(OR(S38=MASTER!$B$95,S38=MASTER!$B$96,S38=MASTER!$B$97,S38=MASTER!$B$98,S38=MASTER!$B$102,S38=MASTER!$B$103,S38=MASTER!$B$99,S38=MASTER!$B$100,S38=MASTER!$B$101,S38=MASTER!$B$104,S38=MASTER!$B$105,S38=MASTER!$B$106,S38=MASTER!$B$107,S38=MASTER!$B$108,S38=MASTER!$B$109),(CONCATENATE(VLOOKUP(S38,MASTER!$B:$D,3,0),L38,"X",M38,"X",VLOOKUP(S38,MASTER!$B:$F,5,0))),(CONCATENATE(VLOOKUP(S38,MASTER!$B:$D,3,0),N38))),"")</f>
        <v/>
      </c>
      <c r="V38" s="64" t="str">
        <f>IFERROR(VLOOKUP(Table9[[#This Row],[ITEM CODE]],FW!$B:$D,3,0),"")</f>
        <v/>
      </c>
      <c r="W38" s="64">
        <f>IF(OR(S38=MASTER!$B$95,S38=MASTER!$B$96,S38=MASTER!$B$97,S38=MASTER!$B$98,S38=MASTER!$B$102,S38=MASTER!$B$103,S38=MASTER!$B$99,S38=MASTER!$B$100,S38=MASTER!$B$101,S38=MASTER!$B$104,S38=MASTER!$B$105,S38=MASTER!$B$106,S38=MASTER!$B$107,S38=MASTER!$B$108,S38=MASTER!$B$109),(Q38*V38),Q38)</f>
        <v>0</v>
      </c>
    </row>
    <row r="39" spans="1:23" ht="15.75" x14ac:dyDescent="0.25">
      <c r="A39" s="66">
        <f t="shared" si="11"/>
        <v>38</v>
      </c>
      <c r="B39" s="66" t="str">
        <f>LEFT(Table13[[#This Row],[ITEM CODE]],MIN(FIND({0,1,2,3,4,5,6,7,8,9},Table13[[#This Row],[ITEM CODE]]&amp;"0123456789"))-1)</f>
        <v/>
      </c>
      <c r="C39" s="64" t="str">
        <f>SUBSTITUTE(Table13[[#This Row],[ITEM CODE]],B39,"")</f>
        <v/>
      </c>
      <c r="D39" s="64" t="str">
        <f t="shared" si="0"/>
        <v/>
      </c>
      <c r="E39" s="64" t="str">
        <f t="shared" si="1"/>
        <v/>
      </c>
      <c r="F39" s="64" t="str">
        <f t="shared" si="2"/>
        <v/>
      </c>
      <c r="G39" s="64" t="str">
        <f t="shared" si="3"/>
        <v/>
      </c>
      <c r="H39" s="64" t="str">
        <f t="shared" si="4"/>
        <v/>
      </c>
      <c r="I39" s="64" t="str">
        <f t="shared" si="5"/>
        <v/>
      </c>
      <c r="J39" s="64" t="str">
        <f>IFERROR(IF(Table2[[#This Row],[L]]&lt;Table2[[#This Row],[W]],Table2[[#This Row],[W]],Table2[[#This Row],[L]]),"")</f>
        <v/>
      </c>
      <c r="K39" s="64" t="str">
        <f>IF(Table2[[#This Row],[L]]&lt;Table2[[#This Row],[W]],Table2[[#This Row],[L]],Table2[[#This Row],[W]])</f>
        <v/>
      </c>
      <c r="L39" s="64" t="str">
        <f t="shared" si="8"/>
        <v/>
      </c>
      <c r="M39" s="64" t="str">
        <f t="shared" si="9"/>
        <v/>
      </c>
      <c r="N39" s="64" t="str">
        <f t="shared" si="6"/>
        <v>XX</v>
      </c>
      <c r="O39" s="64" t="str">
        <f t="shared" si="12"/>
        <v>XX</v>
      </c>
      <c r="P39" s="64" t="str">
        <f>+CONCATENATE(Table2[[#This Row],[1]],Table2[[#This Row],[H]])</f>
        <v/>
      </c>
      <c r="Q39" s="64">
        <f>IFERROR(Table13[[#This Row],[QTY]],"")</f>
        <v>0</v>
      </c>
      <c r="R39" s="75"/>
      <c r="S39" s="64" t="str">
        <f>+Table2[[#This Row],[VARIETY]]</f>
        <v/>
      </c>
      <c r="T39" s="64" t="str">
        <f>IFERROR(VLOOKUP(Table9[[#This Row],[VARIETY]],MASTER!B:D,3,0),"")</f>
        <v/>
      </c>
      <c r="U39" s="64" t="str">
        <f>IFERROR(IF(OR(S39=MASTER!$B$95,S39=MASTER!$B$96,S39=MASTER!$B$97,S39=MASTER!$B$98,S39=MASTER!$B$102,S39=MASTER!$B$103,S39=MASTER!$B$99,S39=MASTER!$B$100,S39=MASTER!$B$101,S39=MASTER!$B$104,S39=MASTER!$B$105,S39=MASTER!$B$106,S39=MASTER!$B$107,S39=MASTER!$B$108,S39=MASTER!$B$109),(CONCATENATE(VLOOKUP(S39,MASTER!$B:$D,3,0),L39,"X",M39,"X",VLOOKUP(S39,MASTER!$B:$F,5,0))),(CONCATENATE(VLOOKUP(S39,MASTER!$B:$D,3,0),N39))),"")</f>
        <v/>
      </c>
      <c r="V39" s="64" t="str">
        <f>IFERROR(VLOOKUP(Table9[[#This Row],[ITEM CODE]],FW!$B:$D,3,0),"")</f>
        <v/>
      </c>
      <c r="W39" s="64">
        <f>IF(OR(S39=MASTER!$B$95,S39=MASTER!$B$96,S39=MASTER!$B$97,S39=MASTER!$B$98,S39=MASTER!$B$102,S39=MASTER!$B$103,S39=MASTER!$B$99,S39=MASTER!$B$100,S39=MASTER!$B$101,S39=MASTER!$B$104,S39=MASTER!$B$105,S39=MASTER!$B$106,S39=MASTER!$B$107,S39=MASTER!$B$108,S39=MASTER!$B$109),(Q39*V39),Q39)</f>
        <v>0</v>
      </c>
    </row>
    <row r="40" spans="1:23" ht="15.75" x14ac:dyDescent="0.25">
      <c r="A40" s="66">
        <f t="shared" si="11"/>
        <v>39</v>
      </c>
      <c r="B40" s="66" t="str">
        <f>LEFT(Table13[[#This Row],[ITEM CODE]],MIN(FIND({0,1,2,3,4,5,6,7,8,9},Table13[[#This Row],[ITEM CODE]]&amp;"0123456789"))-1)</f>
        <v/>
      </c>
      <c r="C40" s="64" t="str">
        <f>SUBSTITUTE(Table13[[#This Row],[ITEM CODE]],B40,"")</f>
        <v/>
      </c>
      <c r="D40" s="64" t="str">
        <f t="shared" si="0"/>
        <v/>
      </c>
      <c r="E40" s="64" t="str">
        <f t="shared" si="1"/>
        <v/>
      </c>
      <c r="F40" s="64" t="str">
        <f t="shared" si="2"/>
        <v/>
      </c>
      <c r="G40" s="64" t="str">
        <f t="shared" si="3"/>
        <v/>
      </c>
      <c r="H40" s="64" t="str">
        <f t="shared" si="4"/>
        <v/>
      </c>
      <c r="I40" s="64" t="str">
        <f t="shared" si="5"/>
        <v/>
      </c>
      <c r="J40" s="64" t="str">
        <f>IFERROR(IF(Table2[[#This Row],[L]]&lt;Table2[[#This Row],[W]],Table2[[#This Row],[W]],Table2[[#This Row],[L]]),"")</f>
        <v/>
      </c>
      <c r="K40" s="64" t="str">
        <f>IF(Table2[[#This Row],[L]]&lt;Table2[[#This Row],[W]],Table2[[#This Row],[L]],Table2[[#This Row],[W]])</f>
        <v/>
      </c>
      <c r="L40" s="64" t="str">
        <f t="shared" si="8"/>
        <v/>
      </c>
      <c r="M40" s="64" t="str">
        <f t="shared" si="9"/>
        <v/>
      </c>
      <c r="N40" s="64" t="str">
        <f t="shared" si="6"/>
        <v>XX</v>
      </c>
      <c r="O40" s="64" t="str">
        <f t="shared" si="12"/>
        <v>XX</v>
      </c>
      <c r="P40" s="64" t="str">
        <f>+CONCATENATE(Table2[[#This Row],[1]],Table2[[#This Row],[H]])</f>
        <v/>
      </c>
      <c r="Q40" s="64">
        <f>IFERROR(Table13[[#This Row],[QTY]],"")</f>
        <v>0</v>
      </c>
      <c r="R40" s="75"/>
      <c r="S40" s="64" t="str">
        <f>+Table2[[#This Row],[VARIETY]]</f>
        <v/>
      </c>
      <c r="T40" s="64" t="str">
        <f>IFERROR(VLOOKUP(Table9[[#This Row],[VARIETY]],MASTER!B:D,3,0),"")</f>
        <v/>
      </c>
      <c r="U40" s="64" t="str">
        <f>IFERROR(IF(OR(S40=MASTER!$B$95,S40=MASTER!$B$96,S40=MASTER!$B$97,S40=MASTER!$B$98,S40=MASTER!$B$102,S40=MASTER!$B$103,S40=MASTER!$B$99,S40=MASTER!$B$100,S40=MASTER!$B$101,S40=MASTER!$B$104,S40=MASTER!$B$105,S40=MASTER!$B$106,S40=MASTER!$B$107,S40=MASTER!$B$108,S40=MASTER!$B$109),(CONCATENATE(VLOOKUP(S40,MASTER!$B:$D,3,0),L40,"X",M40,"X",VLOOKUP(S40,MASTER!$B:$F,5,0))),(CONCATENATE(VLOOKUP(S40,MASTER!$B:$D,3,0),N40))),"")</f>
        <v/>
      </c>
      <c r="V40" s="64" t="str">
        <f>IFERROR(VLOOKUP(Table9[[#This Row],[ITEM CODE]],FW!$B:$D,3,0),"")</f>
        <v/>
      </c>
      <c r="W40" s="64">
        <f>IF(OR(S40=MASTER!$B$95,S40=MASTER!$B$96,S40=MASTER!$B$97,S40=MASTER!$B$98,S40=MASTER!$B$102,S40=MASTER!$B$103,S40=MASTER!$B$99,S40=MASTER!$B$100,S40=MASTER!$B$101,S40=MASTER!$B$104,S40=MASTER!$B$105,S40=MASTER!$B$106,S40=MASTER!$B$107,S40=MASTER!$B$108,S40=MASTER!$B$109),(Q40*V40),Q40)</f>
        <v>0</v>
      </c>
    </row>
    <row r="41" spans="1:23" ht="15.75" x14ac:dyDescent="0.25">
      <c r="A41" s="66">
        <f t="shared" si="11"/>
        <v>40</v>
      </c>
      <c r="B41" s="66" t="str">
        <f>LEFT(Table13[[#This Row],[ITEM CODE]],MIN(FIND({0,1,2,3,4,5,6,7,8,9},Table13[[#This Row],[ITEM CODE]]&amp;"0123456789"))-1)</f>
        <v/>
      </c>
      <c r="C41" s="64" t="str">
        <f>SUBSTITUTE(Table13[[#This Row],[ITEM CODE]],B41,"")</f>
        <v/>
      </c>
      <c r="D41" s="64" t="str">
        <f t="shared" si="0"/>
        <v/>
      </c>
      <c r="E41" s="64" t="str">
        <f t="shared" si="1"/>
        <v/>
      </c>
      <c r="F41" s="64" t="str">
        <f t="shared" si="2"/>
        <v/>
      </c>
      <c r="G41" s="64" t="str">
        <f t="shared" si="3"/>
        <v/>
      </c>
      <c r="H41" s="64" t="str">
        <f t="shared" si="4"/>
        <v/>
      </c>
      <c r="I41" s="64" t="str">
        <f t="shared" si="5"/>
        <v/>
      </c>
      <c r="J41" s="64" t="str">
        <f>IFERROR(IF(Table2[[#This Row],[L]]&lt;Table2[[#This Row],[W]],Table2[[#This Row],[W]],Table2[[#This Row],[L]]),"")</f>
        <v/>
      </c>
      <c r="K41" s="64" t="str">
        <f>IF(Table2[[#This Row],[L]]&lt;Table2[[#This Row],[W]],Table2[[#This Row],[L]],Table2[[#This Row],[W]])</f>
        <v/>
      </c>
      <c r="L41" s="64" t="str">
        <f t="shared" si="8"/>
        <v/>
      </c>
      <c r="M41" s="64" t="str">
        <f t="shared" si="9"/>
        <v/>
      </c>
      <c r="N41" s="64" t="str">
        <f t="shared" si="6"/>
        <v>XX</v>
      </c>
      <c r="O41" s="64" t="str">
        <f t="shared" si="12"/>
        <v>XX</v>
      </c>
      <c r="P41" s="64" t="str">
        <f>+CONCATENATE(Table2[[#This Row],[1]],Table2[[#This Row],[H]])</f>
        <v/>
      </c>
      <c r="Q41" s="64">
        <f>IFERROR(Table13[[#This Row],[QTY]],"")</f>
        <v>0</v>
      </c>
      <c r="R41" s="75"/>
      <c r="S41" s="64" t="str">
        <f>+Table2[[#This Row],[VARIETY]]</f>
        <v/>
      </c>
      <c r="T41" s="64" t="str">
        <f>IFERROR(VLOOKUP(Table9[[#This Row],[VARIETY]],MASTER!B:D,3,0),"")</f>
        <v/>
      </c>
      <c r="U41" s="64" t="str">
        <f>IFERROR(IF(OR(S41=MASTER!$B$95,S41=MASTER!$B$96,S41=MASTER!$B$97,S41=MASTER!$B$98,S41=MASTER!$B$102,S41=MASTER!$B$103,S41=MASTER!$B$99,S41=MASTER!$B$100,S41=MASTER!$B$101,S41=MASTER!$B$104,S41=MASTER!$B$105,S41=MASTER!$B$106,S41=MASTER!$B$107,S41=MASTER!$B$108,S41=MASTER!$B$109),(CONCATENATE(VLOOKUP(S41,MASTER!$B:$D,3,0),L41,"X",M41,"X",VLOOKUP(S41,MASTER!$B:$F,5,0))),(CONCATENATE(VLOOKUP(S41,MASTER!$B:$D,3,0),N41))),"")</f>
        <v/>
      </c>
      <c r="V41" s="64" t="str">
        <f>IFERROR(VLOOKUP(Table9[[#This Row],[ITEM CODE]],FW!$B:$D,3,0),"")</f>
        <v/>
      </c>
      <c r="W41" s="64">
        <f>IF(OR(S41=MASTER!$B$95,S41=MASTER!$B$96,S41=MASTER!$B$97,S41=MASTER!$B$98,S41=MASTER!$B$102,S41=MASTER!$B$103,S41=MASTER!$B$99,S41=MASTER!$B$100,S41=MASTER!$B$101,S41=MASTER!$B$104,S41=MASTER!$B$105,S41=MASTER!$B$106,S41=MASTER!$B$107,S41=MASTER!$B$108,S41=MASTER!$B$109),(Q41*V41),Q41)</f>
        <v>0</v>
      </c>
    </row>
    <row r="42" spans="1:23" ht="15.75" x14ac:dyDescent="0.25">
      <c r="A42" s="66">
        <f t="shared" si="11"/>
        <v>41</v>
      </c>
      <c r="B42" s="66" t="str">
        <f>LEFT(Table13[[#This Row],[ITEM CODE]],MIN(FIND({0,1,2,3,4,5,6,7,8,9},Table13[[#This Row],[ITEM CODE]]&amp;"0123456789"))-1)</f>
        <v/>
      </c>
      <c r="C42" s="64" t="str">
        <f>SUBSTITUTE(Table13[[#This Row],[ITEM CODE]],B42,"")</f>
        <v/>
      </c>
      <c r="D42" s="64" t="str">
        <f t="shared" si="0"/>
        <v/>
      </c>
      <c r="E42" s="64" t="str">
        <f t="shared" si="1"/>
        <v/>
      </c>
      <c r="F42" s="64" t="str">
        <f t="shared" si="2"/>
        <v/>
      </c>
      <c r="G42" s="64" t="str">
        <f t="shared" si="3"/>
        <v/>
      </c>
      <c r="H42" s="64" t="str">
        <f t="shared" si="4"/>
        <v/>
      </c>
      <c r="I42" s="64" t="str">
        <f t="shared" si="5"/>
        <v/>
      </c>
      <c r="J42" s="64" t="str">
        <f>IFERROR(IF(Table2[[#This Row],[L]]&lt;Table2[[#This Row],[W]],Table2[[#This Row],[W]],Table2[[#This Row],[L]]),"")</f>
        <v/>
      </c>
      <c r="K42" s="64" t="str">
        <f>IF(Table2[[#This Row],[L]]&lt;Table2[[#This Row],[W]],Table2[[#This Row],[L]],Table2[[#This Row],[W]])</f>
        <v/>
      </c>
      <c r="L42" s="64" t="str">
        <f t="shared" si="8"/>
        <v/>
      </c>
      <c r="M42" s="64" t="str">
        <f t="shared" si="9"/>
        <v/>
      </c>
      <c r="N42" s="64" t="str">
        <f t="shared" si="6"/>
        <v>XX</v>
      </c>
      <c r="O42" s="64" t="str">
        <f t="shared" si="12"/>
        <v>XX</v>
      </c>
      <c r="P42" s="64" t="str">
        <f>+CONCATENATE(Table2[[#This Row],[1]],Table2[[#This Row],[H]])</f>
        <v/>
      </c>
      <c r="Q42" s="64">
        <f>IFERROR(Table13[[#This Row],[QTY]],"")</f>
        <v>0</v>
      </c>
      <c r="R42" s="75"/>
      <c r="S42" s="64" t="str">
        <f>+Table2[[#This Row],[VARIETY]]</f>
        <v/>
      </c>
      <c r="T42" s="64" t="str">
        <f>IFERROR(VLOOKUP(Table9[[#This Row],[VARIETY]],MASTER!B:D,3,0),"")</f>
        <v/>
      </c>
      <c r="U42" s="64" t="str">
        <f>IFERROR(IF(OR(S42=MASTER!$B$95,S42=MASTER!$B$96,S42=MASTER!$B$97,S42=MASTER!$B$98,S42=MASTER!$B$102,S42=MASTER!$B$103,S42=MASTER!$B$99,S42=MASTER!$B$100,S42=MASTER!$B$101,S42=MASTER!$B$104,S42=MASTER!$B$105,S42=MASTER!$B$106,S42=MASTER!$B$107,S42=MASTER!$B$108,S42=MASTER!$B$109),(CONCATENATE(VLOOKUP(S42,MASTER!$B:$D,3,0),L42,"X",M42,"X",VLOOKUP(S42,MASTER!$B:$F,5,0))),(CONCATENATE(VLOOKUP(S42,MASTER!$B:$D,3,0),N42))),"")</f>
        <v/>
      </c>
      <c r="V42" s="64" t="str">
        <f>IFERROR(VLOOKUP(Table9[[#This Row],[ITEM CODE]],FW!$B:$D,3,0),"")</f>
        <v/>
      </c>
      <c r="W42" s="64">
        <f>IF(OR(S42=MASTER!$B$95,S42=MASTER!$B$96,S42=MASTER!$B$97,S42=MASTER!$B$98,S42=MASTER!$B$102,S42=MASTER!$B$103,S42=MASTER!$B$99,S42=MASTER!$B$100,S42=MASTER!$B$101,S42=MASTER!$B$104,S42=MASTER!$B$105,S42=MASTER!$B$106,S42=MASTER!$B$107,S42=MASTER!$B$108,S42=MASTER!$B$109),(Q42*V42),Q42)</f>
        <v>0</v>
      </c>
    </row>
    <row r="43" spans="1:23" ht="15.75" x14ac:dyDescent="0.25">
      <c r="A43" s="66">
        <f t="shared" si="11"/>
        <v>42</v>
      </c>
      <c r="B43" s="66" t="str">
        <f>LEFT(Table13[[#This Row],[ITEM CODE]],MIN(FIND({0,1,2,3,4,5,6,7,8,9},Table13[[#This Row],[ITEM CODE]]&amp;"0123456789"))-1)</f>
        <v/>
      </c>
      <c r="C43" s="64" t="str">
        <f>SUBSTITUTE(Table13[[#This Row],[ITEM CODE]],B43,"")</f>
        <v/>
      </c>
      <c r="D43" s="64" t="str">
        <f t="shared" si="0"/>
        <v/>
      </c>
      <c r="E43" s="64" t="str">
        <f t="shared" si="1"/>
        <v/>
      </c>
      <c r="F43" s="64" t="str">
        <f t="shared" si="2"/>
        <v/>
      </c>
      <c r="G43" s="64" t="str">
        <f t="shared" si="3"/>
        <v/>
      </c>
      <c r="H43" s="64" t="str">
        <f t="shared" si="4"/>
        <v/>
      </c>
      <c r="I43" s="64" t="str">
        <f t="shared" si="5"/>
        <v/>
      </c>
      <c r="J43" s="64" t="str">
        <f>IFERROR(IF(Table2[[#This Row],[L]]&lt;Table2[[#This Row],[W]],Table2[[#This Row],[W]],Table2[[#This Row],[L]]),"")</f>
        <v/>
      </c>
      <c r="K43" s="64" t="str">
        <f>IF(Table2[[#This Row],[L]]&lt;Table2[[#This Row],[W]],Table2[[#This Row],[L]],Table2[[#This Row],[W]])</f>
        <v/>
      </c>
      <c r="L43" s="64" t="str">
        <f t="shared" si="8"/>
        <v/>
      </c>
      <c r="M43" s="64" t="str">
        <f t="shared" si="9"/>
        <v/>
      </c>
      <c r="N43" s="64" t="str">
        <f t="shared" si="6"/>
        <v>XX</v>
      </c>
      <c r="O43" s="64" t="str">
        <f t="shared" si="12"/>
        <v>XX</v>
      </c>
      <c r="P43" s="64" t="str">
        <f>+CONCATENATE(Table2[[#This Row],[1]],Table2[[#This Row],[H]])</f>
        <v/>
      </c>
      <c r="Q43" s="64">
        <f>IFERROR(Table13[[#This Row],[QTY]],"")</f>
        <v>0</v>
      </c>
      <c r="R43" s="75"/>
      <c r="S43" s="64" t="str">
        <f>+Table2[[#This Row],[VARIETY]]</f>
        <v/>
      </c>
      <c r="T43" s="64" t="str">
        <f>IFERROR(VLOOKUP(Table9[[#This Row],[VARIETY]],MASTER!B:D,3,0),"")</f>
        <v/>
      </c>
      <c r="U43" s="64" t="str">
        <f>IFERROR(IF(OR(S43=MASTER!$B$95,S43=MASTER!$B$96,S43=MASTER!$B$97,S43=MASTER!$B$98,S43=MASTER!$B$102,S43=MASTER!$B$103,S43=MASTER!$B$99,S43=MASTER!$B$100,S43=MASTER!$B$101,S43=MASTER!$B$104,S43=MASTER!$B$105,S43=MASTER!$B$106,S43=MASTER!$B$107,S43=MASTER!$B$108,S43=MASTER!$B$109),(CONCATENATE(VLOOKUP(S43,MASTER!$B:$D,3,0),L43,"X",M43,"X",VLOOKUP(S43,MASTER!$B:$F,5,0))),(CONCATENATE(VLOOKUP(S43,MASTER!$B:$D,3,0),N43))),"")</f>
        <v/>
      </c>
      <c r="V43" s="64" t="str">
        <f>IFERROR(VLOOKUP(Table9[[#This Row],[ITEM CODE]],FW!$B:$D,3,0),"")</f>
        <v/>
      </c>
      <c r="W43" s="64">
        <f>IF(OR(S43=MASTER!$B$95,S43=MASTER!$B$96,S43=MASTER!$B$97,S43=MASTER!$B$98,S43=MASTER!$B$102,S43=MASTER!$B$103,S43=MASTER!$B$99,S43=MASTER!$B$100,S43=MASTER!$B$101,S43=MASTER!$B$104,S43=MASTER!$B$105,S43=MASTER!$B$106,S43=MASTER!$B$107,S43=MASTER!$B$108,S43=MASTER!$B$109),(Q43*V43),Q43)</f>
        <v>0</v>
      </c>
    </row>
    <row r="44" spans="1:23" ht="15.75" x14ac:dyDescent="0.25">
      <c r="A44" s="66">
        <f t="shared" si="11"/>
        <v>43</v>
      </c>
      <c r="B44" s="66" t="str">
        <f>LEFT(Table13[[#This Row],[ITEM CODE]],MIN(FIND({0,1,2,3,4,5,6,7,8,9},Table13[[#This Row],[ITEM CODE]]&amp;"0123456789"))-1)</f>
        <v/>
      </c>
      <c r="C44" s="64" t="str">
        <f>SUBSTITUTE(Table13[[#This Row],[ITEM CODE]],B44,"")</f>
        <v/>
      </c>
      <c r="D44" s="64" t="str">
        <f t="shared" si="0"/>
        <v/>
      </c>
      <c r="E44" s="64" t="str">
        <f t="shared" si="1"/>
        <v/>
      </c>
      <c r="F44" s="64" t="str">
        <f t="shared" si="2"/>
        <v/>
      </c>
      <c r="G44" s="64" t="str">
        <f t="shared" si="3"/>
        <v/>
      </c>
      <c r="H44" s="64" t="str">
        <f t="shared" si="4"/>
        <v/>
      </c>
      <c r="I44" s="64" t="str">
        <f t="shared" si="5"/>
        <v/>
      </c>
      <c r="J44" s="64" t="str">
        <f>IFERROR(IF(Table2[[#This Row],[L]]&lt;Table2[[#This Row],[W]],Table2[[#This Row],[W]],Table2[[#This Row],[L]]),"")</f>
        <v/>
      </c>
      <c r="K44" s="64" t="str">
        <f>IF(Table2[[#This Row],[L]]&lt;Table2[[#This Row],[W]],Table2[[#This Row],[L]],Table2[[#This Row],[W]])</f>
        <v/>
      </c>
      <c r="L44" s="64" t="str">
        <f t="shared" si="8"/>
        <v/>
      </c>
      <c r="M44" s="64" t="str">
        <f t="shared" si="9"/>
        <v/>
      </c>
      <c r="N44" s="64" t="str">
        <f t="shared" si="6"/>
        <v>XX</v>
      </c>
      <c r="O44" s="64" t="str">
        <f t="shared" si="12"/>
        <v>XX</v>
      </c>
      <c r="P44" s="64" t="str">
        <f>+CONCATENATE(Table2[[#This Row],[1]],Table2[[#This Row],[H]])</f>
        <v/>
      </c>
      <c r="Q44" s="64">
        <f>IFERROR(Table13[[#This Row],[QTY]],"")</f>
        <v>0</v>
      </c>
      <c r="R44" s="75"/>
      <c r="S44" s="64" t="str">
        <f>+Table2[[#This Row],[VARIETY]]</f>
        <v/>
      </c>
      <c r="T44" s="64" t="str">
        <f>IFERROR(VLOOKUP(Table9[[#This Row],[VARIETY]],MASTER!B:D,3,0),"")</f>
        <v/>
      </c>
      <c r="U44" s="64" t="str">
        <f>IFERROR(IF(OR(S44=MASTER!$B$95,S44=MASTER!$B$96,S44=MASTER!$B$97,S44=MASTER!$B$98,S44=MASTER!$B$102,S44=MASTER!$B$103,S44=MASTER!$B$99,S44=MASTER!$B$100,S44=MASTER!$B$101,S44=MASTER!$B$104,S44=MASTER!$B$105,S44=MASTER!$B$106,S44=MASTER!$B$107,S44=MASTER!$B$108,S44=MASTER!$B$109),(CONCATENATE(VLOOKUP(S44,MASTER!$B:$D,3,0),L44,"X",M44,"X",VLOOKUP(S44,MASTER!$B:$F,5,0))),(CONCATENATE(VLOOKUP(S44,MASTER!$B:$D,3,0),N44))),"")</f>
        <v/>
      </c>
      <c r="V44" s="64" t="str">
        <f>IFERROR(VLOOKUP(Table9[[#This Row],[ITEM CODE]],FW!$B:$D,3,0),"")</f>
        <v/>
      </c>
      <c r="W44" s="64">
        <f>IF(OR(S44=MASTER!$B$95,S44=MASTER!$B$96,S44=MASTER!$B$97,S44=MASTER!$B$98,S44=MASTER!$B$102,S44=MASTER!$B$103,S44=MASTER!$B$99,S44=MASTER!$B$100,S44=MASTER!$B$101,S44=MASTER!$B$104,S44=MASTER!$B$105,S44=MASTER!$B$106,S44=MASTER!$B$107,S44=MASTER!$B$108,S44=MASTER!$B$109),(Q44*V44),Q44)</f>
        <v>0</v>
      </c>
    </row>
    <row r="45" spans="1:23" ht="15.75" x14ac:dyDescent="0.25">
      <c r="A45" s="66">
        <f t="shared" si="11"/>
        <v>44</v>
      </c>
      <c r="B45" s="66" t="str">
        <f>LEFT(Table13[[#This Row],[ITEM CODE]],MIN(FIND({0,1,2,3,4,5,6,7,8,9},Table13[[#This Row],[ITEM CODE]]&amp;"0123456789"))-1)</f>
        <v/>
      </c>
      <c r="C45" s="64" t="str">
        <f>SUBSTITUTE(Table13[[#This Row],[ITEM CODE]],B45,"")</f>
        <v/>
      </c>
      <c r="D45" s="64" t="str">
        <f t="shared" si="0"/>
        <v/>
      </c>
      <c r="E45" s="64" t="str">
        <f t="shared" si="1"/>
        <v/>
      </c>
      <c r="F45" s="64" t="str">
        <f t="shared" si="2"/>
        <v/>
      </c>
      <c r="G45" s="64" t="str">
        <f t="shared" si="3"/>
        <v/>
      </c>
      <c r="H45" s="64" t="str">
        <f t="shared" si="4"/>
        <v/>
      </c>
      <c r="I45" s="64" t="str">
        <f t="shared" si="5"/>
        <v/>
      </c>
      <c r="J45" s="64" t="str">
        <f>IFERROR(IF(Table2[[#This Row],[L]]&lt;Table2[[#This Row],[W]],Table2[[#This Row],[W]],Table2[[#This Row],[L]]),"")</f>
        <v/>
      </c>
      <c r="K45" s="64" t="str">
        <f>IF(Table2[[#This Row],[L]]&lt;Table2[[#This Row],[W]],Table2[[#This Row],[L]],Table2[[#This Row],[W]])</f>
        <v/>
      </c>
      <c r="L45" s="64" t="str">
        <f t="shared" si="8"/>
        <v/>
      </c>
      <c r="M45" s="64" t="str">
        <f t="shared" si="9"/>
        <v/>
      </c>
      <c r="N45" s="64" t="str">
        <f t="shared" si="6"/>
        <v>XX</v>
      </c>
      <c r="O45" s="64" t="str">
        <f t="shared" si="12"/>
        <v>XX</v>
      </c>
      <c r="P45" s="64" t="str">
        <f>+CONCATENATE(Table2[[#This Row],[1]],Table2[[#This Row],[H]])</f>
        <v/>
      </c>
      <c r="Q45" s="64">
        <f>IFERROR(Table13[[#This Row],[QTY]],"")</f>
        <v>0</v>
      </c>
      <c r="R45" s="75"/>
      <c r="S45" s="64" t="str">
        <f>+Table2[[#This Row],[VARIETY]]</f>
        <v/>
      </c>
      <c r="T45" s="64" t="str">
        <f>IFERROR(VLOOKUP(Table9[[#This Row],[VARIETY]],MASTER!B:D,3,0),"")</f>
        <v/>
      </c>
      <c r="U45" s="64" t="str">
        <f>IFERROR(IF(OR(S45=MASTER!$B$95,S45=MASTER!$B$96,S45=MASTER!$B$97,S45=MASTER!$B$98,S45=MASTER!$B$102,S45=MASTER!$B$103,S45=MASTER!$B$99,S45=MASTER!$B$100,S45=MASTER!$B$101,S45=MASTER!$B$104,S45=MASTER!$B$105,S45=MASTER!$B$106,S45=MASTER!$B$107,S45=MASTER!$B$108,S45=MASTER!$B$109),(CONCATENATE(VLOOKUP(S45,MASTER!$B:$D,3,0),L45,"X",M45,"X",VLOOKUP(S45,MASTER!$B:$F,5,0))),(CONCATENATE(VLOOKUP(S45,MASTER!$B:$D,3,0),N45))),"")</f>
        <v/>
      </c>
      <c r="V45" s="64" t="str">
        <f>IFERROR(VLOOKUP(Table9[[#This Row],[ITEM CODE]],FW!$B:$D,3,0),"")</f>
        <v/>
      </c>
      <c r="W45" s="64">
        <f>IF(OR(S45=MASTER!$B$95,S45=MASTER!$B$96,S45=MASTER!$B$97,S45=MASTER!$B$98,S45=MASTER!$B$102,S45=MASTER!$B$103,S45=MASTER!$B$99,S45=MASTER!$B$100,S45=MASTER!$B$101,S45=MASTER!$B$104,S45=MASTER!$B$105,S45=MASTER!$B$106,S45=MASTER!$B$107,S45=MASTER!$B$108,S45=MASTER!$B$109),(Q45*V45),Q45)</f>
        <v>0</v>
      </c>
    </row>
    <row r="46" spans="1:23" ht="15.75" x14ac:dyDescent="0.25">
      <c r="A46" s="66">
        <f t="shared" si="11"/>
        <v>45</v>
      </c>
      <c r="B46" s="66" t="str">
        <f>LEFT(Table13[[#This Row],[ITEM CODE]],MIN(FIND({0,1,2,3,4,5,6,7,8,9},Table13[[#This Row],[ITEM CODE]]&amp;"0123456789"))-1)</f>
        <v/>
      </c>
      <c r="C46" s="64" t="str">
        <f>SUBSTITUTE(Table13[[#This Row],[ITEM CODE]],B46,"")</f>
        <v/>
      </c>
      <c r="D46" s="64" t="str">
        <f t="shared" si="0"/>
        <v/>
      </c>
      <c r="E46" s="64" t="str">
        <f t="shared" si="1"/>
        <v/>
      </c>
      <c r="F46" s="64" t="str">
        <f t="shared" si="2"/>
        <v/>
      </c>
      <c r="G46" s="64" t="str">
        <f t="shared" si="3"/>
        <v/>
      </c>
      <c r="H46" s="64" t="str">
        <f t="shared" si="4"/>
        <v/>
      </c>
      <c r="I46" s="64" t="str">
        <f t="shared" si="5"/>
        <v/>
      </c>
      <c r="J46" s="64" t="str">
        <f>IFERROR(IF(Table2[[#This Row],[L]]&lt;Table2[[#This Row],[W]],Table2[[#This Row],[W]],Table2[[#This Row],[L]]),"")</f>
        <v/>
      </c>
      <c r="K46" s="64" t="str">
        <f>IF(Table2[[#This Row],[L]]&lt;Table2[[#This Row],[W]],Table2[[#This Row],[L]],Table2[[#This Row],[W]])</f>
        <v/>
      </c>
      <c r="L46" s="64" t="str">
        <f t="shared" si="8"/>
        <v/>
      </c>
      <c r="M46" s="64" t="str">
        <f t="shared" si="9"/>
        <v/>
      </c>
      <c r="N46" s="64" t="str">
        <f t="shared" si="6"/>
        <v>XX</v>
      </c>
      <c r="O46" s="64" t="str">
        <f t="shared" si="12"/>
        <v>XX</v>
      </c>
      <c r="P46" s="64" t="str">
        <f>+CONCATENATE(Table2[[#This Row],[1]],Table2[[#This Row],[H]])</f>
        <v/>
      </c>
      <c r="Q46" s="64">
        <f>IFERROR(Table13[[#This Row],[QTY]],"")</f>
        <v>0</v>
      </c>
      <c r="R46" s="75"/>
      <c r="S46" s="64" t="str">
        <f>+Table2[[#This Row],[VARIETY]]</f>
        <v/>
      </c>
      <c r="T46" s="64" t="str">
        <f>IFERROR(VLOOKUP(Table9[[#This Row],[VARIETY]],MASTER!B:D,3,0),"")</f>
        <v/>
      </c>
      <c r="U46" s="64" t="str">
        <f>IFERROR(IF(OR(S46=MASTER!$B$95,S46=MASTER!$B$96,S46=MASTER!$B$97,S46=MASTER!$B$98,S46=MASTER!$B$102,S46=MASTER!$B$103,S46=MASTER!$B$99,S46=MASTER!$B$100,S46=MASTER!$B$101,S46=MASTER!$B$104,S46=MASTER!$B$105,S46=MASTER!$B$106,S46=MASTER!$B$107,S46=MASTER!$B$108,S46=MASTER!$B$109),(CONCATENATE(VLOOKUP(S46,MASTER!$B:$D,3,0),L46,"X",M46,"X",VLOOKUP(S46,MASTER!$B:$F,5,0))),(CONCATENATE(VLOOKUP(S46,MASTER!$B:$D,3,0),N46))),"")</f>
        <v/>
      </c>
      <c r="V46" s="64" t="str">
        <f>IFERROR(VLOOKUP(Table9[[#This Row],[ITEM CODE]],FW!$B:$D,3,0),"")</f>
        <v/>
      </c>
      <c r="W46" s="64">
        <f>IF(OR(S46=MASTER!$B$95,S46=MASTER!$B$96,S46=MASTER!$B$97,S46=MASTER!$B$98,S46=MASTER!$B$102,S46=MASTER!$B$103,S46=MASTER!$B$99,S46=MASTER!$B$100,S46=MASTER!$B$101,S46=MASTER!$B$104,S46=MASTER!$B$105,S46=MASTER!$B$106,S46=MASTER!$B$107,S46=MASTER!$B$108,S46=MASTER!$B$109),(Q46*V46),Q46)</f>
        <v>0</v>
      </c>
    </row>
    <row r="47" spans="1:23" ht="15.75" x14ac:dyDescent="0.25">
      <c r="A47" s="66">
        <f t="shared" si="11"/>
        <v>46</v>
      </c>
      <c r="B47" s="66" t="str">
        <f>LEFT(Table13[[#This Row],[ITEM CODE]],MIN(FIND({0,1,2,3,4,5,6,7,8,9},Table13[[#This Row],[ITEM CODE]]&amp;"0123456789"))-1)</f>
        <v/>
      </c>
      <c r="C47" s="64" t="str">
        <f>SUBSTITUTE(Table13[[#This Row],[ITEM CODE]],B47,"")</f>
        <v/>
      </c>
      <c r="D47" s="64" t="str">
        <f t="shared" si="0"/>
        <v/>
      </c>
      <c r="E47" s="64" t="str">
        <f t="shared" si="1"/>
        <v/>
      </c>
      <c r="F47" s="64" t="str">
        <f t="shared" si="2"/>
        <v/>
      </c>
      <c r="G47" s="64" t="str">
        <f t="shared" si="3"/>
        <v/>
      </c>
      <c r="H47" s="64" t="str">
        <f t="shared" si="4"/>
        <v/>
      </c>
      <c r="I47" s="64" t="str">
        <f t="shared" si="5"/>
        <v/>
      </c>
      <c r="J47" s="64" t="str">
        <f>IFERROR(IF(Table2[[#This Row],[L]]&lt;Table2[[#This Row],[W]],Table2[[#This Row],[W]],Table2[[#This Row],[L]]),"")</f>
        <v/>
      </c>
      <c r="K47" s="64" t="str">
        <f>IF(Table2[[#This Row],[L]]&lt;Table2[[#This Row],[W]],Table2[[#This Row],[L]],Table2[[#This Row],[W]])</f>
        <v/>
      </c>
      <c r="L47" s="64" t="str">
        <f t="shared" si="8"/>
        <v/>
      </c>
      <c r="M47" s="64" t="str">
        <f t="shared" si="9"/>
        <v/>
      </c>
      <c r="N47" s="64" t="str">
        <f t="shared" si="6"/>
        <v>XX</v>
      </c>
      <c r="O47" s="64" t="str">
        <f t="shared" si="12"/>
        <v>XX</v>
      </c>
      <c r="P47" s="64" t="str">
        <f>+CONCATENATE(Table2[[#This Row],[1]],Table2[[#This Row],[H]])</f>
        <v/>
      </c>
      <c r="Q47" s="64">
        <f>IFERROR(Table13[[#This Row],[QTY]],"")</f>
        <v>0</v>
      </c>
      <c r="R47" s="75"/>
      <c r="S47" s="64" t="str">
        <f>+Table2[[#This Row],[VARIETY]]</f>
        <v/>
      </c>
      <c r="T47" s="64" t="str">
        <f>IFERROR(VLOOKUP(Table9[[#This Row],[VARIETY]],MASTER!B:D,3,0),"")</f>
        <v/>
      </c>
      <c r="U47" s="64" t="str">
        <f>IFERROR(IF(OR(S47=MASTER!$B$95,S47=MASTER!$B$96,S47=MASTER!$B$97,S47=MASTER!$B$98,S47=MASTER!$B$102,S47=MASTER!$B$103,S47=MASTER!$B$99,S47=MASTER!$B$100,S47=MASTER!$B$101,S47=MASTER!$B$104,S47=MASTER!$B$105,S47=MASTER!$B$106,S47=MASTER!$B$107,S47=MASTER!$B$108,S47=MASTER!$B$109),(CONCATENATE(VLOOKUP(S47,MASTER!$B:$D,3,0),L47,"X",M47,"X",VLOOKUP(S47,MASTER!$B:$F,5,0))),(CONCATENATE(VLOOKUP(S47,MASTER!$B:$D,3,0),N47))),"")</f>
        <v/>
      </c>
      <c r="V47" s="64" t="str">
        <f>IFERROR(VLOOKUP(Table9[[#This Row],[ITEM CODE]],FW!$B:$D,3,0),"")</f>
        <v/>
      </c>
      <c r="W47" s="64">
        <f>IF(OR(S47=MASTER!$B$95,S47=MASTER!$B$96,S47=MASTER!$B$97,S47=MASTER!$B$98,S47=MASTER!$B$102,S47=MASTER!$B$103,S47=MASTER!$B$99,S47=MASTER!$B$100,S47=MASTER!$B$101,S47=MASTER!$B$104,S47=MASTER!$B$105,S47=MASTER!$B$106,S47=MASTER!$B$107,S47=MASTER!$B$108,S47=MASTER!$B$109),(Q47*V47),Q47)</f>
        <v>0</v>
      </c>
    </row>
    <row r="48" spans="1:23" ht="15.75" x14ac:dyDescent="0.25">
      <c r="A48" s="66">
        <f t="shared" si="11"/>
        <v>47</v>
      </c>
      <c r="B48" s="66" t="str">
        <f>LEFT(Table13[[#This Row],[ITEM CODE]],MIN(FIND({0,1,2,3,4,5,6,7,8,9},Table13[[#This Row],[ITEM CODE]]&amp;"0123456789"))-1)</f>
        <v/>
      </c>
      <c r="C48" s="64" t="str">
        <f>SUBSTITUTE(Table13[[#This Row],[ITEM CODE]],B48,"")</f>
        <v/>
      </c>
      <c r="D48" s="64" t="str">
        <f t="shared" si="0"/>
        <v/>
      </c>
      <c r="E48" s="64" t="str">
        <f t="shared" si="1"/>
        <v/>
      </c>
      <c r="F48" s="64" t="str">
        <f t="shared" si="2"/>
        <v/>
      </c>
      <c r="G48" s="64" t="str">
        <f t="shared" si="3"/>
        <v/>
      </c>
      <c r="H48" s="64" t="str">
        <f t="shared" si="4"/>
        <v/>
      </c>
      <c r="I48" s="64" t="str">
        <f t="shared" si="5"/>
        <v/>
      </c>
      <c r="J48" s="64" t="str">
        <f>IFERROR(IF(Table2[[#This Row],[L]]&lt;Table2[[#This Row],[W]],Table2[[#This Row],[W]],Table2[[#This Row],[L]]),"")</f>
        <v/>
      </c>
      <c r="K48" s="64" t="str">
        <f>IF(Table2[[#This Row],[L]]&lt;Table2[[#This Row],[W]],Table2[[#This Row],[L]],Table2[[#This Row],[W]])</f>
        <v/>
      </c>
      <c r="L48" s="64" t="str">
        <f t="shared" si="8"/>
        <v/>
      </c>
      <c r="M48" s="64" t="str">
        <f t="shared" si="9"/>
        <v/>
      </c>
      <c r="N48" s="64" t="str">
        <f t="shared" si="6"/>
        <v>XX</v>
      </c>
      <c r="O48" s="64" t="str">
        <f t="shared" si="12"/>
        <v>XX</v>
      </c>
      <c r="P48" s="64" t="str">
        <f>+CONCATENATE(Table2[[#This Row],[1]],Table2[[#This Row],[H]])</f>
        <v/>
      </c>
      <c r="Q48" s="64">
        <f>IFERROR(Table13[[#This Row],[QTY]],"")</f>
        <v>0</v>
      </c>
      <c r="R48" s="75"/>
      <c r="S48" s="64" t="str">
        <f>+Table2[[#This Row],[VARIETY]]</f>
        <v/>
      </c>
      <c r="T48" s="64" t="str">
        <f>IFERROR(VLOOKUP(Table9[[#This Row],[VARIETY]],MASTER!B:D,3,0),"")</f>
        <v/>
      </c>
      <c r="U48" s="64" t="str">
        <f>IFERROR(IF(OR(S48=MASTER!$B$95,S48=MASTER!$B$96,S48=MASTER!$B$97,S48=MASTER!$B$98,S48=MASTER!$B$102,S48=MASTER!$B$103,S48=MASTER!$B$99,S48=MASTER!$B$100,S48=MASTER!$B$101,S48=MASTER!$B$104,S48=MASTER!$B$105,S48=MASTER!$B$106,S48=MASTER!$B$107,S48=MASTER!$B$108,S48=MASTER!$B$109),(CONCATENATE(VLOOKUP(S48,MASTER!$B:$D,3,0),L48,"X",M48,"X",VLOOKUP(S48,MASTER!$B:$F,5,0))),(CONCATENATE(VLOOKUP(S48,MASTER!$B:$D,3,0),N48))),"")</f>
        <v/>
      </c>
      <c r="V48" s="64" t="str">
        <f>IFERROR(VLOOKUP(Table9[[#This Row],[ITEM CODE]],FW!$B:$D,3,0),"")</f>
        <v/>
      </c>
      <c r="W48" s="64">
        <f>IF(OR(S48=MASTER!$B$95,S48=MASTER!$B$96,S48=MASTER!$B$97,S48=MASTER!$B$98,S48=MASTER!$B$102,S48=MASTER!$B$103,S48=MASTER!$B$99,S48=MASTER!$B$100,S48=MASTER!$B$101,S48=MASTER!$B$104,S48=MASTER!$B$105,S48=MASTER!$B$106,S48=MASTER!$B$107,S48=MASTER!$B$108,S48=MASTER!$B$109),(Q48*V48),Q48)</f>
        <v>0</v>
      </c>
    </row>
    <row r="49" spans="1:23" ht="15.75" x14ac:dyDescent="0.25">
      <c r="A49" s="66">
        <f t="shared" si="11"/>
        <v>48</v>
      </c>
      <c r="B49" s="66" t="str">
        <f>LEFT(Table13[[#This Row],[ITEM CODE]],MIN(FIND({0,1,2,3,4,5,6,7,8,9},Table13[[#This Row],[ITEM CODE]]&amp;"0123456789"))-1)</f>
        <v/>
      </c>
      <c r="C49" s="64" t="str">
        <f>SUBSTITUTE(Table13[[#This Row],[ITEM CODE]],B49,"")</f>
        <v/>
      </c>
      <c r="D49" s="64" t="str">
        <f t="shared" si="0"/>
        <v/>
      </c>
      <c r="E49" s="64" t="str">
        <f t="shared" si="1"/>
        <v/>
      </c>
      <c r="F49" s="64" t="str">
        <f t="shared" si="2"/>
        <v/>
      </c>
      <c r="G49" s="64" t="str">
        <f t="shared" si="3"/>
        <v/>
      </c>
      <c r="H49" s="64" t="str">
        <f t="shared" si="4"/>
        <v/>
      </c>
      <c r="I49" s="64" t="str">
        <f t="shared" si="5"/>
        <v/>
      </c>
      <c r="J49" s="64" t="str">
        <f>IFERROR(IF(Table2[[#This Row],[L]]&lt;Table2[[#This Row],[W]],Table2[[#This Row],[W]],Table2[[#This Row],[L]]),"")</f>
        <v/>
      </c>
      <c r="K49" s="64" t="str">
        <f>IF(Table2[[#This Row],[L]]&lt;Table2[[#This Row],[W]],Table2[[#This Row],[L]],Table2[[#This Row],[W]])</f>
        <v/>
      </c>
      <c r="L49" s="64" t="str">
        <f t="shared" si="8"/>
        <v/>
      </c>
      <c r="M49" s="64" t="str">
        <f t="shared" si="9"/>
        <v/>
      </c>
      <c r="N49" s="64" t="str">
        <f t="shared" si="6"/>
        <v>XX</v>
      </c>
      <c r="O49" s="64" t="str">
        <f t="shared" si="12"/>
        <v>XX</v>
      </c>
      <c r="P49" s="64" t="str">
        <f>+CONCATENATE(Table2[[#This Row],[1]],Table2[[#This Row],[H]])</f>
        <v/>
      </c>
      <c r="Q49" s="64">
        <f>IFERROR(Table13[[#This Row],[QTY]],"")</f>
        <v>0</v>
      </c>
      <c r="R49" s="75"/>
      <c r="S49" s="64" t="str">
        <f>+Table2[[#This Row],[VARIETY]]</f>
        <v/>
      </c>
      <c r="T49" s="64" t="str">
        <f>IFERROR(VLOOKUP(Table9[[#This Row],[VARIETY]],MASTER!B:D,3,0),"")</f>
        <v/>
      </c>
      <c r="U49" s="64" t="str">
        <f>IFERROR(IF(OR(S49=MASTER!$B$95,S49=MASTER!$B$96,S49=MASTER!$B$97,S49=MASTER!$B$98,S49=MASTER!$B$102,S49=MASTER!$B$103,S49=MASTER!$B$99,S49=MASTER!$B$100,S49=MASTER!$B$101,S49=MASTER!$B$104,S49=MASTER!$B$105,S49=MASTER!$B$106,S49=MASTER!$B$107,S49=MASTER!$B$108,S49=MASTER!$B$109),(CONCATENATE(VLOOKUP(S49,MASTER!$B:$D,3,0),L49,"X",M49,"X",VLOOKUP(S49,MASTER!$B:$F,5,0))),(CONCATENATE(VLOOKUP(S49,MASTER!$B:$D,3,0),N49))),"")</f>
        <v/>
      </c>
      <c r="V49" s="64" t="str">
        <f>IFERROR(VLOOKUP(Table9[[#This Row],[ITEM CODE]],FW!$B:$D,3,0),"")</f>
        <v/>
      </c>
      <c r="W49" s="64">
        <f>IF(OR(S49=MASTER!$B$95,S49=MASTER!$B$96,S49=MASTER!$B$97,S49=MASTER!$B$98,S49=MASTER!$B$102,S49=MASTER!$B$103,S49=MASTER!$B$99,S49=MASTER!$B$100,S49=MASTER!$B$101,S49=MASTER!$B$104,S49=MASTER!$B$105,S49=MASTER!$B$106,S49=MASTER!$B$107,S49=MASTER!$B$108,S49=MASTER!$B$109),(Q49*V49),Q49)</f>
        <v>0</v>
      </c>
    </row>
    <row r="50" spans="1:23" ht="15.75" x14ac:dyDescent="0.25">
      <c r="A50" s="66">
        <f t="shared" si="11"/>
        <v>49</v>
      </c>
      <c r="B50" s="66" t="str">
        <f>LEFT(Table13[[#This Row],[ITEM CODE]],MIN(FIND({0,1,2,3,4,5,6,7,8,9},Table13[[#This Row],[ITEM CODE]]&amp;"0123456789"))-1)</f>
        <v/>
      </c>
      <c r="C50" s="64" t="str">
        <f>SUBSTITUTE(Table13[[#This Row],[ITEM CODE]],B50,"")</f>
        <v/>
      </c>
      <c r="D50" s="64" t="str">
        <f t="shared" si="0"/>
        <v/>
      </c>
      <c r="E50" s="64" t="str">
        <f t="shared" si="1"/>
        <v/>
      </c>
      <c r="F50" s="64" t="str">
        <f t="shared" si="2"/>
        <v/>
      </c>
      <c r="G50" s="64" t="str">
        <f t="shared" si="3"/>
        <v/>
      </c>
      <c r="H50" s="64" t="str">
        <f t="shared" si="4"/>
        <v/>
      </c>
      <c r="I50" s="64" t="str">
        <f t="shared" si="5"/>
        <v/>
      </c>
      <c r="J50" s="64" t="str">
        <f>IFERROR(IF(Table2[[#This Row],[L]]&lt;Table2[[#This Row],[W]],Table2[[#This Row],[W]],Table2[[#This Row],[L]]),"")</f>
        <v/>
      </c>
      <c r="K50" s="64" t="str">
        <f>IF(Table2[[#This Row],[L]]&lt;Table2[[#This Row],[W]],Table2[[#This Row],[L]],Table2[[#This Row],[W]])</f>
        <v/>
      </c>
      <c r="L50" s="64" t="str">
        <f t="shared" si="8"/>
        <v/>
      </c>
      <c r="M50" s="64" t="str">
        <f t="shared" si="9"/>
        <v/>
      </c>
      <c r="N50" s="64" t="str">
        <f t="shared" si="6"/>
        <v>XX</v>
      </c>
      <c r="O50" s="64" t="str">
        <f t="shared" si="12"/>
        <v>XX</v>
      </c>
      <c r="P50" s="64" t="str">
        <f>+CONCATENATE(Table2[[#This Row],[1]],Table2[[#This Row],[H]])</f>
        <v/>
      </c>
      <c r="Q50" s="64">
        <f>IFERROR(Table13[[#This Row],[QTY]],"")</f>
        <v>0</v>
      </c>
      <c r="R50" s="75"/>
      <c r="S50" s="64" t="str">
        <f>+Table2[[#This Row],[VARIETY]]</f>
        <v/>
      </c>
      <c r="T50" s="64" t="str">
        <f>IFERROR(VLOOKUP(Table9[[#This Row],[VARIETY]],MASTER!B:D,3,0),"")</f>
        <v/>
      </c>
      <c r="U50" s="64" t="str">
        <f>IFERROR(IF(OR(S50=MASTER!$B$95,S50=MASTER!$B$96,S50=MASTER!$B$97,S50=MASTER!$B$98,S50=MASTER!$B$102,S50=MASTER!$B$103,S50=MASTER!$B$99,S50=MASTER!$B$100,S50=MASTER!$B$101,S50=MASTER!$B$104,S50=MASTER!$B$105,S50=MASTER!$B$106,S50=MASTER!$B$107,S50=MASTER!$B$108,S50=MASTER!$B$109),(CONCATENATE(VLOOKUP(S50,MASTER!$B:$D,3,0),L50,"X",M50,"X",VLOOKUP(S50,MASTER!$B:$F,5,0))),(CONCATENATE(VLOOKUP(S50,MASTER!$B:$D,3,0),N50))),"")</f>
        <v/>
      </c>
      <c r="V50" s="64" t="str">
        <f>IFERROR(VLOOKUP(Table9[[#This Row],[ITEM CODE]],FW!$B:$D,3,0),"")</f>
        <v/>
      </c>
      <c r="W50" s="64">
        <f>IF(OR(S50=MASTER!$B$95,S50=MASTER!$B$96,S50=MASTER!$B$97,S50=MASTER!$B$98,S50=MASTER!$B$102,S50=MASTER!$B$103,S50=MASTER!$B$99,S50=MASTER!$B$100,S50=MASTER!$B$101,S50=MASTER!$B$104,S50=MASTER!$B$105,S50=MASTER!$B$106,S50=MASTER!$B$107,S50=MASTER!$B$108,S50=MASTER!$B$109),(Q50*V50),Q50)</f>
        <v>0</v>
      </c>
    </row>
    <row r="51" spans="1:23" ht="15.75" x14ac:dyDescent="0.25">
      <c r="A51" s="66">
        <f t="shared" si="11"/>
        <v>50</v>
      </c>
      <c r="B51" s="66" t="str">
        <f>LEFT(Table13[[#This Row],[ITEM CODE]],MIN(FIND({0,1,2,3,4,5,6,7,8,9},Table13[[#This Row],[ITEM CODE]]&amp;"0123456789"))-1)</f>
        <v/>
      </c>
      <c r="C51" s="64" t="str">
        <f>SUBSTITUTE(Table13[[#This Row],[ITEM CODE]],B51,"")</f>
        <v/>
      </c>
      <c r="D51" s="64" t="str">
        <f t="shared" si="0"/>
        <v/>
      </c>
      <c r="E51" s="64" t="str">
        <f t="shared" si="1"/>
        <v/>
      </c>
      <c r="F51" s="64" t="str">
        <f t="shared" si="2"/>
        <v/>
      </c>
      <c r="G51" s="64" t="str">
        <f t="shared" si="3"/>
        <v/>
      </c>
      <c r="H51" s="64" t="str">
        <f t="shared" si="4"/>
        <v/>
      </c>
      <c r="I51" s="64" t="str">
        <f t="shared" si="5"/>
        <v/>
      </c>
      <c r="J51" s="64" t="str">
        <f>IFERROR(IF(Table2[[#This Row],[L]]&lt;Table2[[#This Row],[W]],Table2[[#This Row],[W]],Table2[[#This Row],[L]]),"")</f>
        <v/>
      </c>
      <c r="K51" s="64" t="str">
        <f>IF(Table2[[#This Row],[L]]&lt;Table2[[#This Row],[W]],Table2[[#This Row],[L]],Table2[[#This Row],[W]])</f>
        <v/>
      </c>
      <c r="L51" s="64" t="str">
        <f t="shared" si="8"/>
        <v/>
      </c>
      <c r="M51" s="64" t="str">
        <f t="shared" si="9"/>
        <v/>
      </c>
      <c r="N51" s="64" t="str">
        <f t="shared" si="6"/>
        <v>XX</v>
      </c>
      <c r="O51" s="64" t="str">
        <f t="shared" si="12"/>
        <v>XX</v>
      </c>
      <c r="P51" s="64" t="str">
        <f>+CONCATENATE(Table2[[#This Row],[1]],Table2[[#This Row],[H]])</f>
        <v/>
      </c>
      <c r="Q51" s="64">
        <f>IFERROR(Table13[[#This Row],[QTY]],"")</f>
        <v>0</v>
      </c>
      <c r="R51" s="77"/>
      <c r="S51" s="64" t="str">
        <f>+Table2[[#This Row],[VARIETY]]</f>
        <v/>
      </c>
      <c r="T51" s="64" t="str">
        <f>IFERROR(VLOOKUP(Table9[[#This Row],[VARIETY]],MASTER!B:D,3,0),"")</f>
        <v/>
      </c>
      <c r="U51" s="64" t="str">
        <f>IFERROR(IF(OR(S51=MASTER!$B$95,S51=MASTER!$B$96,S51=MASTER!$B$97,S51=MASTER!$B$98,S51=MASTER!$B$102,S51=MASTER!$B$103,S51=MASTER!$B$99,S51=MASTER!$B$100,S51=MASTER!$B$101,S51=MASTER!$B$104,S51=MASTER!$B$105,S51=MASTER!$B$106,S51=MASTER!$B$107,S51=MASTER!$B$108,S51=MASTER!$B$109),(CONCATENATE(VLOOKUP(S51,MASTER!$B:$D,3,0),L51,"X",M51,"X",VLOOKUP(S51,MASTER!$B:$F,5,0))),(CONCATENATE(VLOOKUP(S51,MASTER!$B:$D,3,0),N51))),"")</f>
        <v/>
      </c>
      <c r="V51" s="64" t="str">
        <f>IFERROR(VLOOKUP(Table9[[#This Row],[ITEM CODE]],FW!$B:$D,3,0),"")</f>
        <v/>
      </c>
      <c r="W51" s="64">
        <f>IF(OR(S51=MASTER!$B$95,S51=MASTER!$B$96,S51=MASTER!$B$97,S51=MASTER!$B$98,S51=MASTER!$B$102,S51=MASTER!$B$103,S51=MASTER!$B$99,S51=MASTER!$B$100,S51=MASTER!$B$101,S51=MASTER!$B$104,S51=MASTER!$B$105,S51=MASTER!$B$106,S51=MASTER!$B$107,S51=MASTER!$B$108,S51=MASTER!$B$109),(Q51*V51),Q51)</f>
        <v>0</v>
      </c>
    </row>
    <row r="52" spans="1:23" ht="15.75" x14ac:dyDescent="0.25">
      <c r="A52" s="66">
        <f t="shared" si="11"/>
        <v>51</v>
      </c>
      <c r="B52" s="66" t="str">
        <f>LEFT(Table13[[#This Row],[ITEM CODE]],MIN(FIND({0,1,2,3,4,5,6,7,8,9},Table13[[#This Row],[ITEM CODE]]&amp;"0123456789"))-1)</f>
        <v/>
      </c>
      <c r="C52" s="64" t="str">
        <f>SUBSTITUTE(Table13[[#This Row],[ITEM CODE]],B52,"")</f>
        <v/>
      </c>
      <c r="D52" s="64" t="str">
        <f t="shared" ref="D52:D83" si="13">IFERROR(LEFT(C52,FIND("-",C52)-1),C52)</f>
        <v/>
      </c>
      <c r="E52" s="89" t="str">
        <f t="shared" ref="E52:E83" si="14">IFERROR(SEARCH("X",D52),"")</f>
        <v/>
      </c>
      <c r="F52" s="89" t="str">
        <f t="shared" ref="F52:F83" si="15">IFERROR(SEARCH("X",D52,E52+1),"")</f>
        <v/>
      </c>
      <c r="G52" s="89" t="str">
        <f t="shared" ref="G52:G83" si="16">IFERROR(LEFT(C52,SEARCH("x",C52)-1),"")</f>
        <v/>
      </c>
      <c r="H52" s="89" t="str">
        <f t="shared" ref="H52:H83" si="17">IFERROR(MID(D52,E52+1,F52-E52-1),"")</f>
        <v/>
      </c>
      <c r="I52" s="89" t="str">
        <f t="shared" ref="I52:I83" si="18">IFERROR(MID(D52,F52+1,20),"")</f>
        <v/>
      </c>
      <c r="J52" s="64" t="str">
        <f>IFERROR(IF(Table2[[#This Row],[L]]&lt;Table2[[#This Row],[W]],Table2[[#This Row],[W]],Table2[[#This Row],[L]]),"")</f>
        <v/>
      </c>
      <c r="K52" s="64" t="str">
        <f>IF(Table2[[#This Row],[L]]&lt;Table2[[#This Row],[W]],Table2[[#This Row],[L]],Table2[[#This Row],[W]])</f>
        <v/>
      </c>
      <c r="L52" s="89" t="str">
        <f t="shared" ref="L52:L83" si="19">IFERROR(IF(J52="","",IF(VALUE(J52)&gt;=VALUE(K52),IF(OR(VALUE(J52)=13,VALUE(J52)=20,VALUE(J52)=72,VALUE(J52)=75,VALUE(J52)=78,VALUE(J52)=80,VALUE(J52)=84),J52,IF(VALUE(J52)&lt;72,72,IF(VALUE(J52)&lt;75,75,IF(VALUE(J52)&lt;78,78,IF(VALUE(J52)&lt;80,80,IF(VALUE(J52)&lt;84,84,IF(VALUE(J52)&gt;84,84,""""))))))))),0)</f>
        <v/>
      </c>
      <c r="M52" s="89" t="str">
        <f t="shared" ref="M52:M83" si="20">IF(H52="","",IF(VALUE(J52)&gt;=VALUE(K52),IF(OR(VALUE(K52)=13,VALUE(K52)=18,VALUE(K52)=18,VALUE(K52)=30,VALUE(K52)=33,VALUE(K52)=36,VALUE(K52)=39,VALUE(K52)=42,VALUE(K52)=45,VALUE(K52)=48,VALUE(K52)=51,VALUE(K52)=54,VALUE(K52)=57,VALUE(K52)=60,VALUE(K52)=63,VALUE(K52)=66,VALUE(K52)=69,VALUE(K52)=72),K52,IF(VALUE(K52)&lt;30,30,IF(VALUE(K52)&lt;33,33,IF(VALUE(H52)&lt;36,36,IF(VALUE(H52)&lt;39,39,IF(VALUE(H52)&lt;42,42,IF(VALUE(H52)&lt;45,45,IF(VALUE(H52)&lt;48,48,IF(VALUE(H52)&lt;51,51,IF(VALUE(H52)&lt;54,54,IF(VALUE(H52)&lt;57,57,IF(VALUE(K52)&lt;60,60,IF(VALUE(K52)&lt;63,63,IF(VALUE(K52)&lt;66,66,IF(VALUE(K52)&lt;69,69,IF(VALUE(K52)&lt;72,72,IF(VALUE(K52)&gt;72,72,"""")))))))))))))))))))</f>
        <v/>
      </c>
      <c r="N52" s="89" t="str">
        <f t="shared" ref="N52:N83" si="21">IFERROR(CONCATENATE(L52,"X",M52,"X",I52),"")</f>
        <v>XX</v>
      </c>
      <c r="O52" s="89" t="str">
        <f t="shared" ref="O52:O83" si="22">IFERROR(CONCATENATE(B52,N52),"")</f>
        <v>XX</v>
      </c>
      <c r="P52" s="89" t="str">
        <f>+CONCATENATE(Table2[[#This Row],[1]],Table2[[#This Row],[H]])</f>
        <v/>
      </c>
      <c r="Q52" s="89">
        <f>IFERROR(Table13[[#This Row],[QTY]],"")</f>
        <v>0</v>
      </c>
      <c r="R52" s="89"/>
      <c r="S52" s="64" t="str">
        <f>+Table2[[#This Row],[VARIETY]]</f>
        <v/>
      </c>
      <c r="T52" s="89" t="str">
        <f>IFERROR(VLOOKUP(Table9[[#This Row],[VARIETY]],MASTER!B:D,3,0),"")</f>
        <v/>
      </c>
      <c r="U52" s="64" t="str">
        <f>IFERROR(IF(OR(S52=MASTER!$B$95,S52=MASTER!$B$96,S52=MASTER!$B$97,S52=MASTER!$B$98,S52=MASTER!$B$102,S52=MASTER!$B$103,S52=MASTER!$B$99,S52=MASTER!$B$100,S52=MASTER!$B$101,S52=MASTER!$B$104,S52=MASTER!$B$105,S52=MASTER!$B$106,S52=MASTER!$B$107,S52=MASTER!$B$108,S52=MASTER!$B$109),(CONCATENATE(VLOOKUP(S52,MASTER!$B:$D,3,0),L52,"X",M52,"X",VLOOKUP(S52,MASTER!$B:$F,5,0))),(CONCATENATE(VLOOKUP(S52,MASTER!$B:$D,3,0),N52))),"")</f>
        <v/>
      </c>
      <c r="V52" s="89" t="str">
        <f>IFERROR(VLOOKUP(Table9[[#This Row],[ITEM CODE]],FW!$B:$D,3,0),"")</f>
        <v/>
      </c>
      <c r="W52" s="89">
        <f>IF(OR(S52=MASTER!$B$95,S52=MASTER!$B$96,S52=MASTER!$B$97,S52=MASTER!$B$98,S52=MASTER!$B$102,S52=MASTER!$B$103,S52=MASTER!$B$99,S52=MASTER!$B$100,S52=MASTER!$B$101,S52=MASTER!$B$104,S52=MASTER!$B$105,S52=MASTER!$B$106,S52=MASTER!$B$107,S52=MASTER!$B$108,S52=MASTER!$B$109),(Q52*V52),Q52)</f>
        <v>0</v>
      </c>
    </row>
    <row r="53" spans="1:23" ht="15.75" x14ac:dyDescent="0.25">
      <c r="A53" s="66">
        <f t="shared" si="11"/>
        <v>52</v>
      </c>
      <c r="B53" s="66" t="str">
        <f>LEFT(Table13[[#This Row],[ITEM CODE]],MIN(FIND({0,1,2,3,4,5,6,7,8,9},Table13[[#This Row],[ITEM CODE]]&amp;"0123456789"))-1)</f>
        <v/>
      </c>
      <c r="C53" s="64" t="str">
        <f>SUBSTITUTE(Table13[[#This Row],[ITEM CODE]],B53,"")</f>
        <v/>
      </c>
      <c r="D53" s="64" t="str">
        <f t="shared" si="13"/>
        <v/>
      </c>
      <c r="E53" s="89" t="str">
        <f t="shared" si="14"/>
        <v/>
      </c>
      <c r="F53" s="89" t="str">
        <f t="shared" si="15"/>
        <v/>
      </c>
      <c r="G53" s="89" t="str">
        <f t="shared" si="16"/>
        <v/>
      </c>
      <c r="H53" s="89" t="str">
        <f t="shared" si="17"/>
        <v/>
      </c>
      <c r="I53" s="89" t="str">
        <f t="shared" si="18"/>
        <v/>
      </c>
      <c r="J53" s="64" t="str">
        <f>IFERROR(IF(Table2[[#This Row],[L]]&lt;Table2[[#This Row],[W]],Table2[[#This Row],[W]],Table2[[#This Row],[L]]),"")</f>
        <v/>
      </c>
      <c r="K53" s="64" t="str">
        <f>IF(Table2[[#This Row],[L]]&lt;Table2[[#This Row],[W]],Table2[[#This Row],[L]],Table2[[#This Row],[W]])</f>
        <v/>
      </c>
      <c r="L53" s="89" t="str">
        <f t="shared" si="19"/>
        <v/>
      </c>
      <c r="M53" s="89" t="str">
        <f t="shared" si="20"/>
        <v/>
      </c>
      <c r="N53" s="89" t="str">
        <f t="shared" si="21"/>
        <v>XX</v>
      </c>
      <c r="O53" s="89" t="str">
        <f t="shared" si="22"/>
        <v>XX</v>
      </c>
      <c r="P53" s="89" t="str">
        <f>+CONCATENATE(Table2[[#This Row],[1]],Table2[[#This Row],[H]])</f>
        <v/>
      </c>
      <c r="Q53" s="89">
        <f>IFERROR(Table13[[#This Row],[QTY]],"")</f>
        <v>0</v>
      </c>
      <c r="R53" s="89"/>
      <c r="S53" s="64" t="str">
        <f>+Table2[[#This Row],[VARIETY]]</f>
        <v/>
      </c>
      <c r="T53" s="89" t="str">
        <f>IFERROR(VLOOKUP(Table9[[#This Row],[VARIETY]],MASTER!B:D,3,0),"")</f>
        <v/>
      </c>
      <c r="U53" s="64" t="str">
        <f>IFERROR(IF(OR(S53=MASTER!$B$95,S53=MASTER!$B$96,S53=MASTER!$B$97,S53=MASTER!$B$98,S53=MASTER!$B$102,S53=MASTER!$B$103,S53=MASTER!$B$99,S53=MASTER!$B$100,S53=MASTER!$B$101,S53=MASTER!$B$104,S53=MASTER!$B$105,S53=MASTER!$B$106,S53=MASTER!$B$107,S53=MASTER!$B$108,S53=MASTER!$B$109),(CONCATENATE(VLOOKUP(S53,MASTER!$B:$D,3,0),L53,"X",M53,"X",VLOOKUP(S53,MASTER!$B:$F,5,0))),(CONCATENATE(VLOOKUP(S53,MASTER!$B:$D,3,0),N53))),"")</f>
        <v/>
      </c>
      <c r="V53" s="89" t="str">
        <f>IFERROR(VLOOKUP(Table9[[#This Row],[ITEM CODE]],FW!$B:$D,3,0),"")</f>
        <v/>
      </c>
      <c r="W53" s="89">
        <f>IF(OR(S53=MASTER!$B$95,S53=MASTER!$B$96,S53=MASTER!$B$97,S53=MASTER!$B$98,S53=MASTER!$B$102,S53=MASTER!$B$103,S53=MASTER!$B$99,S53=MASTER!$B$100,S53=MASTER!$B$101,S53=MASTER!$B$104,S53=MASTER!$B$105,S53=MASTER!$B$106,S53=MASTER!$B$107,S53=MASTER!$B$108,S53=MASTER!$B$109),(Q53*V53),Q53)</f>
        <v>0</v>
      </c>
    </row>
    <row r="54" spans="1:23" ht="15.75" x14ac:dyDescent="0.25">
      <c r="A54" s="66">
        <f t="shared" si="11"/>
        <v>53</v>
      </c>
      <c r="B54" s="66" t="str">
        <f>LEFT(Table13[[#This Row],[ITEM CODE]],MIN(FIND({0,1,2,3,4,5,6,7,8,9},Table13[[#This Row],[ITEM CODE]]&amp;"0123456789"))-1)</f>
        <v/>
      </c>
      <c r="C54" s="64" t="str">
        <f>SUBSTITUTE(Table13[[#This Row],[ITEM CODE]],B54,"")</f>
        <v/>
      </c>
      <c r="D54" s="64" t="str">
        <f t="shared" si="13"/>
        <v/>
      </c>
      <c r="E54" s="89" t="str">
        <f t="shared" si="14"/>
        <v/>
      </c>
      <c r="F54" s="89" t="str">
        <f t="shared" si="15"/>
        <v/>
      </c>
      <c r="G54" s="89" t="str">
        <f t="shared" si="16"/>
        <v/>
      </c>
      <c r="H54" s="89" t="str">
        <f t="shared" si="17"/>
        <v/>
      </c>
      <c r="I54" s="89" t="str">
        <f t="shared" si="18"/>
        <v/>
      </c>
      <c r="J54" s="64" t="str">
        <f>IFERROR(IF(Table2[[#This Row],[L]]&lt;Table2[[#This Row],[W]],Table2[[#This Row],[W]],Table2[[#This Row],[L]]),"")</f>
        <v/>
      </c>
      <c r="K54" s="64" t="str">
        <f>IF(Table2[[#This Row],[L]]&lt;Table2[[#This Row],[W]],Table2[[#This Row],[L]],Table2[[#This Row],[W]])</f>
        <v/>
      </c>
      <c r="L54" s="89" t="str">
        <f t="shared" si="19"/>
        <v/>
      </c>
      <c r="M54" s="89" t="str">
        <f t="shared" si="20"/>
        <v/>
      </c>
      <c r="N54" s="89" t="str">
        <f t="shared" si="21"/>
        <v>XX</v>
      </c>
      <c r="O54" s="89" t="str">
        <f t="shared" si="22"/>
        <v>XX</v>
      </c>
      <c r="P54" s="89" t="str">
        <f>+CONCATENATE(Table2[[#This Row],[1]],Table2[[#This Row],[H]])</f>
        <v/>
      </c>
      <c r="Q54" s="89">
        <f>IFERROR(Table13[[#This Row],[QTY]],"")</f>
        <v>0</v>
      </c>
      <c r="R54" s="89"/>
      <c r="S54" s="64" t="str">
        <f>+Table2[[#This Row],[VARIETY]]</f>
        <v/>
      </c>
      <c r="T54" s="89" t="str">
        <f>IFERROR(VLOOKUP(Table9[[#This Row],[VARIETY]],MASTER!B:D,3,0),"")</f>
        <v/>
      </c>
      <c r="U54" s="64" t="str">
        <f>IFERROR(IF(OR(S54=MASTER!$B$95,S54=MASTER!$B$96,S54=MASTER!$B$97,S54=MASTER!$B$98,S54=MASTER!$B$102,S54=MASTER!$B$103,S54=MASTER!$B$99,S54=MASTER!$B$100,S54=MASTER!$B$101,S54=MASTER!$B$104,S54=MASTER!$B$105,S54=MASTER!$B$106,S54=MASTER!$B$107,S54=MASTER!$B$108,S54=MASTER!$B$109),(CONCATENATE(VLOOKUP(S54,MASTER!$B:$D,3,0),L54,"X",M54,"X",VLOOKUP(S54,MASTER!$B:$F,5,0))),(CONCATENATE(VLOOKUP(S54,MASTER!$B:$D,3,0),N54))),"")</f>
        <v/>
      </c>
      <c r="V54" s="89" t="str">
        <f>IFERROR(VLOOKUP(Table9[[#This Row],[ITEM CODE]],FW!$B:$D,3,0),"")</f>
        <v/>
      </c>
      <c r="W54" s="89">
        <f>IF(OR(S54=MASTER!$B$95,S54=MASTER!$B$96,S54=MASTER!$B$97,S54=MASTER!$B$98,S54=MASTER!$B$102,S54=MASTER!$B$103,S54=MASTER!$B$99,S54=MASTER!$B$100,S54=MASTER!$B$101,S54=MASTER!$B$104,S54=MASTER!$B$105,S54=MASTER!$B$106,S54=MASTER!$B$107,S54=MASTER!$B$108,S54=MASTER!$B$109),(Q54*V54),Q54)</f>
        <v>0</v>
      </c>
    </row>
    <row r="55" spans="1:23" ht="15.75" x14ac:dyDescent="0.25">
      <c r="A55" s="66">
        <f t="shared" si="11"/>
        <v>54</v>
      </c>
      <c r="B55" s="66" t="str">
        <f>LEFT(Table13[[#This Row],[ITEM CODE]],MIN(FIND({0,1,2,3,4,5,6,7,8,9},Table13[[#This Row],[ITEM CODE]]&amp;"0123456789"))-1)</f>
        <v/>
      </c>
      <c r="C55" s="64" t="str">
        <f>SUBSTITUTE(Table13[[#This Row],[ITEM CODE]],B55,"")</f>
        <v/>
      </c>
      <c r="D55" s="64" t="str">
        <f t="shared" si="13"/>
        <v/>
      </c>
      <c r="E55" s="89" t="str">
        <f t="shared" si="14"/>
        <v/>
      </c>
      <c r="F55" s="89" t="str">
        <f t="shared" si="15"/>
        <v/>
      </c>
      <c r="G55" s="89" t="str">
        <f t="shared" si="16"/>
        <v/>
      </c>
      <c r="H55" s="89" t="str">
        <f t="shared" si="17"/>
        <v/>
      </c>
      <c r="I55" s="89" t="str">
        <f t="shared" si="18"/>
        <v/>
      </c>
      <c r="J55" s="64" t="str">
        <f>IFERROR(IF(Table2[[#This Row],[L]]&lt;Table2[[#This Row],[W]],Table2[[#This Row],[W]],Table2[[#This Row],[L]]),"")</f>
        <v/>
      </c>
      <c r="K55" s="64" t="str">
        <f>IF(Table2[[#This Row],[L]]&lt;Table2[[#This Row],[W]],Table2[[#This Row],[L]],Table2[[#This Row],[W]])</f>
        <v/>
      </c>
      <c r="L55" s="89" t="str">
        <f t="shared" si="19"/>
        <v/>
      </c>
      <c r="M55" s="89" t="str">
        <f t="shared" si="20"/>
        <v/>
      </c>
      <c r="N55" s="89" t="str">
        <f t="shared" si="21"/>
        <v>XX</v>
      </c>
      <c r="O55" s="89" t="str">
        <f t="shared" si="22"/>
        <v>XX</v>
      </c>
      <c r="P55" s="89" t="str">
        <f>+CONCATENATE(Table2[[#This Row],[1]],Table2[[#This Row],[H]])</f>
        <v/>
      </c>
      <c r="Q55" s="89">
        <f>IFERROR(Table13[[#This Row],[QTY]],"")</f>
        <v>0</v>
      </c>
      <c r="R55" s="89"/>
      <c r="S55" s="64" t="str">
        <f>+Table2[[#This Row],[VARIETY]]</f>
        <v/>
      </c>
      <c r="T55" s="89" t="str">
        <f>IFERROR(VLOOKUP(Table9[[#This Row],[VARIETY]],MASTER!B:D,3,0),"")</f>
        <v/>
      </c>
      <c r="U55" s="64" t="str">
        <f>IFERROR(IF(OR(S55=MASTER!$B$95,S55=MASTER!$B$96,S55=MASTER!$B$97,S55=MASTER!$B$98,S55=MASTER!$B$102,S55=MASTER!$B$103,S55=MASTER!$B$99,S55=MASTER!$B$100,S55=MASTER!$B$101,S55=MASTER!$B$104,S55=MASTER!$B$105,S55=MASTER!$B$106,S55=MASTER!$B$107,S55=MASTER!$B$108,S55=MASTER!$B$109),(CONCATENATE(VLOOKUP(S55,MASTER!$B:$D,3,0),L55,"X",M55,"X",VLOOKUP(S55,MASTER!$B:$F,5,0))),(CONCATENATE(VLOOKUP(S55,MASTER!$B:$D,3,0),N55))),"")</f>
        <v/>
      </c>
      <c r="V55" s="89" t="str">
        <f>IFERROR(VLOOKUP(Table9[[#This Row],[ITEM CODE]],FW!$B:$D,3,0),"")</f>
        <v/>
      </c>
      <c r="W55" s="89">
        <f>IF(OR(S55=MASTER!$B$95,S55=MASTER!$B$96,S55=MASTER!$B$97,S55=MASTER!$B$98,S55=MASTER!$B$102,S55=MASTER!$B$103,S55=MASTER!$B$99,S55=MASTER!$B$100,S55=MASTER!$B$101,S55=MASTER!$B$104,S55=MASTER!$B$105,S55=MASTER!$B$106,S55=MASTER!$B$107,S55=MASTER!$B$108,S55=MASTER!$B$109),(Q55*V55),Q55)</f>
        <v>0</v>
      </c>
    </row>
    <row r="56" spans="1:23" ht="15.75" x14ac:dyDescent="0.25">
      <c r="A56" s="66">
        <f t="shared" si="11"/>
        <v>55</v>
      </c>
      <c r="B56" s="66" t="str">
        <f>LEFT(Table13[[#This Row],[ITEM CODE]],MIN(FIND({0,1,2,3,4,5,6,7,8,9},Table13[[#This Row],[ITEM CODE]]&amp;"0123456789"))-1)</f>
        <v/>
      </c>
      <c r="C56" s="64" t="str">
        <f>SUBSTITUTE(Table13[[#This Row],[ITEM CODE]],B56,"")</f>
        <v/>
      </c>
      <c r="D56" s="64" t="str">
        <f t="shared" si="13"/>
        <v/>
      </c>
      <c r="E56" s="89" t="str">
        <f t="shared" si="14"/>
        <v/>
      </c>
      <c r="F56" s="89" t="str">
        <f t="shared" si="15"/>
        <v/>
      </c>
      <c r="G56" s="89" t="str">
        <f t="shared" si="16"/>
        <v/>
      </c>
      <c r="H56" s="89" t="str">
        <f t="shared" si="17"/>
        <v/>
      </c>
      <c r="I56" s="89" t="str">
        <f t="shared" si="18"/>
        <v/>
      </c>
      <c r="J56" s="64" t="str">
        <f>IFERROR(IF(Table2[[#This Row],[L]]&lt;Table2[[#This Row],[W]],Table2[[#This Row],[W]],Table2[[#This Row],[L]]),"")</f>
        <v/>
      </c>
      <c r="K56" s="64" t="str">
        <f>IF(Table2[[#This Row],[L]]&lt;Table2[[#This Row],[W]],Table2[[#This Row],[L]],Table2[[#This Row],[W]])</f>
        <v/>
      </c>
      <c r="L56" s="89" t="str">
        <f t="shared" si="19"/>
        <v/>
      </c>
      <c r="M56" s="89" t="str">
        <f t="shared" si="20"/>
        <v/>
      </c>
      <c r="N56" s="89" t="str">
        <f t="shared" si="21"/>
        <v>XX</v>
      </c>
      <c r="O56" s="89" t="str">
        <f t="shared" si="22"/>
        <v>XX</v>
      </c>
      <c r="P56" s="89" t="str">
        <f>+CONCATENATE(Table2[[#This Row],[1]],Table2[[#This Row],[H]])</f>
        <v/>
      </c>
      <c r="Q56" s="89">
        <f>IFERROR(Table13[[#This Row],[QTY]],"")</f>
        <v>0</v>
      </c>
      <c r="R56" s="89"/>
      <c r="S56" s="64" t="str">
        <f>+Table2[[#This Row],[VARIETY]]</f>
        <v/>
      </c>
      <c r="T56" s="89" t="str">
        <f>IFERROR(VLOOKUP(Table9[[#This Row],[VARIETY]],MASTER!B:D,3,0),"")</f>
        <v/>
      </c>
      <c r="U56" s="64" t="str">
        <f>IFERROR(IF(OR(S56=MASTER!$B$95,S56=MASTER!$B$96,S56=MASTER!$B$97,S56=MASTER!$B$98,S56=MASTER!$B$102,S56=MASTER!$B$103,S56=MASTER!$B$99,S56=MASTER!$B$100,S56=MASTER!$B$101,S56=MASTER!$B$104,S56=MASTER!$B$105,S56=MASTER!$B$106,S56=MASTER!$B$107,S56=MASTER!$B$108,S56=MASTER!$B$109),(CONCATENATE(VLOOKUP(S56,MASTER!$B:$D,3,0),L56,"X",M56,"X",VLOOKUP(S56,MASTER!$B:$F,5,0))),(CONCATENATE(VLOOKUP(S56,MASTER!$B:$D,3,0),N56))),"")</f>
        <v/>
      </c>
      <c r="V56" s="89" t="str">
        <f>IFERROR(VLOOKUP(Table9[[#This Row],[ITEM CODE]],FW!$B:$D,3,0),"")</f>
        <v/>
      </c>
      <c r="W56" s="89">
        <f>IF(OR(S56=MASTER!$B$95,S56=MASTER!$B$96,S56=MASTER!$B$97,S56=MASTER!$B$98,S56=MASTER!$B$102,S56=MASTER!$B$103,S56=MASTER!$B$99,S56=MASTER!$B$100,S56=MASTER!$B$101,S56=MASTER!$B$104,S56=MASTER!$B$105,S56=MASTER!$B$106,S56=MASTER!$B$107,S56=MASTER!$B$108,S56=MASTER!$B$109),(Q56*V56),Q56)</f>
        <v>0</v>
      </c>
    </row>
    <row r="57" spans="1:23" ht="15.75" x14ac:dyDescent="0.25">
      <c r="A57" s="66">
        <f t="shared" si="11"/>
        <v>56</v>
      </c>
      <c r="B57" s="66" t="str">
        <f>LEFT(Table13[[#This Row],[ITEM CODE]],MIN(FIND({0,1,2,3,4,5,6,7,8,9},Table13[[#This Row],[ITEM CODE]]&amp;"0123456789"))-1)</f>
        <v/>
      </c>
      <c r="C57" s="64" t="str">
        <f>SUBSTITUTE(Table13[[#This Row],[ITEM CODE]],B57,"")</f>
        <v/>
      </c>
      <c r="D57" s="64" t="str">
        <f t="shared" si="13"/>
        <v/>
      </c>
      <c r="E57" s="89" t="str">
        <f t="shared" si="14"/>
        <v/>
      </c>
      <c r="F57" s="89" t="str">
        <f t="shared" si="15"/>
        <v/>
      </c>
      <c r="G57" s="89" t="str">
        <f t="shared" si="16"/>
        <v/>
      </c>
      <c r="H57" s="89" t="str">
        <f t="shared" si="17"/>
        <v/>
      </c>
      <c r="I57" s="89" t="str">
        <f t="shared" si="18"/>
        <v/>
      </c>
      <c r="J57" s="64" t="str">
        <f>IFERROR(IF(Table2[[#This Row],[L]]&lt;Table2[[#This Row],[W]],Table2[[#This Row],[W]],Table2[[#This Row],[L]]),"")</f>
        <v/>
      </c>
      <c r="K57" s="64" t="str">
        <f>IF(Table2[[#This Row],[L]]&lt;Table2[[#This Row],[W]],Table2[[#This Row],[L]],Table2[[#This Row],[W]])</f>
        <v/>
      </c>
      <c r="L57" s="89" t="str">
        <f t="shared" si="19"/>
        <v/>
      </c>
      <c r="M57" s="89" t="str">
        <f t="shared" si="20"/>
        <v/>
      </c>
      <c r="N57" s="89" t="str">
        <f t="shared" si="21"/>
        <v>XX</v>
      </c>
      <c r="O57" s="89" t="str">
        <f t="shared" si="22"/>
        <v>XX</v>
      </c>
      <c r="P57" s="89" t="str">
        <f>+CONCATENATE(Table2[[#This Row],[1]],Table2[[#This Row],[H]])</f>
        <v/>
      </c>
      <c r="Q57" s="89">
        <f>IFERROR(Table13[[#This Row],[QTY]],"")</f>
        <v>0</v>
      </c>
      <c r="R57" s="89"/>
      <c r="S57" s="64" t="str">
        <f>+Table2[[#This Row],[VARIETY]]</f>
        <v/>
      </c>
      <c r="T57" s="89" t="str">
        <f>IFERROR(VLOOKUP(Table9[[#This Row],[VARIETY]],MASTER!B:D,3,0),"")</f>
        <v/>
      </c>
      <c r="U57" s="64" t="str">
        <f>IFERROR(IF(OR(S57=MASTER!$B$95,S57=MASTER!$B$96,S57=MASTER!$B$97,S57=MASTER!$B$98,S57=MASTER!$B$102,S57=MASTER!$B$103,S57=MASTER!$B$99,S57=MASTER!$B$100,S57=MASTER!$B$101,S57=MASTER!$B$104,S57=MASTER!$B$105,S57=MASTER!$B$106,S57=MASTER!$B$107,S57=MASTER!$B$108,S57=MASTER!$B$109),(CONCATENATE(VLOOKUP(S57,MASTER!$B:$D,3,0),L57,"X",M57,"X",VLOOKUP(S57,MASTER!$B:$F,5,0))),(CONCATENATE(VLOOKUP(S57,MASTER!$B:$D,3,0),N57))),"")</f>
        <v/>
      </c>
      <c r="V57" s="89" t="str">
        <f>IFERROR(VLOOKUP(Table9[[#This Row],[ITEM CODE]],FW!$B:$D,3,0),"")</f>
        <v/>
      </c>
      <c r="W57" s="89">
        <f>IF(OR(S57=MASTER!$B$95,S57=MASTER!$B$96,S57=MASTER!$B$97,S57=MASTER!$B$98,S57=MASTER!$B$102,S57=MASTER!$B$103,S57=MASTER!$B$99,S57=MASTER!$B$100,S57=MASTER!$B$101,S57=MASTER!$B$104,S57=MASTER!$B$105,S57=MASTER!$B$106,S57=MASTER!$B$107,S57=MASTER!$B$108,S57=MASTER!$B$109),(Q57*V57),Q57)</f>
        <v>0</v>
      </c>
    </row>
    <row r="58" spans="1:23" ht="15.75" x14ac:dyDescent="0.25">
      <c r="A58" s="66">
        <f t="shared" si="11"/>
        <v>57</v>
      </c>
      <c r="B58" s="66" t="str">
        <f>LEFT(Table13[[#This Row],[ITEM CODE]],MIN(FIND({0,1,2,3,4,5,6,7,8,9},Table13[[#This Row],[ITEM CODE]]&amp;"0123456789"))-1)</f>
        <v/>
      </c>
      <c r="C58" s="64" t="str">
        <f>SUBSTITUTE(Table13[[#This Row],[ITEM CODE]],B58,"")</f>
        <v/>
      </c>
      <c r="D58" s="64" t="str">
        <f t="shared" si="13"/>
        <v/>
      </c>
      <c r="E58" s="89" t="str">
        <f t="shared" si="14"/>
        <v/>
      </c>
      <c r="F58" s="89" t="str">
        <f t="shared" si="15"/>
        <v/>
      </c>
      <c r="G58" s="89" t="str">
        <f t="shared" si="16"/>
        <v/>
      </c>
      <c r="H58" s="89" t="str">
        <f t="shared" si="17"/>
        <v/>
      </c>
      <c r="I58" s="89" t="str">
        <f t="shared" si="18"/>
        <v/>
      </c>
      <c r="J58" s="64" t="str">
        <f>IFERROR(IF(Table2[[#This Row],[L]]&lt;Table2[[#This Row],[W]],Table2[[#This Row],[W]],Table2[[#This Row],[L]]),"")</f>
        <v/>
      </c>
      <c r="K58" s="64" t="str">
        <f>IF(Table2[[#This Row],[L]]&lt;Table2[[#This Row],[W]],Table2[[#This Row],[L]],Table2[[#This Row],[W]])</f>
        <v/>
      </c>
      <c r="L58" s="89" t="str">
        <f t="shared" si="19"/>
        <v/>
      </c>
      <c r="M58" s="89" t="str">
        <f t="shared" si="20"/>
        <v/>
      </c>
      <c r="N58" s="89" t="str">
        <f t="shared" si="21"/>
        <v>XX</v>
      </c>
      <c r="O58" s="89" t="str">
        <f t="shared" si="22"/>
        <v>XX</v>
      </c>
      <c r="P58" s="89" t="str">
        <f>+CONCATENATE(Table2[[#This Row],[1]],Table2[[#This Row],[H]])</f>
        <v/>
      </c>
      <c r="Q58" s="89">
        <f>IFERROR(Table13[[#This Row],[QTY]],"")</f>
        <v>0</v>
      </c>
      <c r="R58" s="89"/>
      <c r="S58" s="89" t="str">
        <f>+Table2[[#This Row],[VARIETY]]</f>
        <v/>
      </c>
      <c r="T58" s="89" t="str">
        <f>IFERROR(VLOOKUP(Table9[[#This Row],[VARIETY]],MASTER!B:D,3,0),"")</f>
        <v/>
      </c>
      <c r="U58" s="89" t="str">
        <f>IFERROR(IF(OR(S58=MASTER!$B$95,S58=MASTER!$B$96,S58=MASTER!$B$97,S58=MASTER!$B$98,S58=MASTER!$B$102,S58=MASTER!$B$103,S58=MASTER!$B$99,S58=MASTER!$B$100,S58=MASTER!$B$101,S58=MASTER!$B$104,S58=MASTER!$B$105,S58=MASTER!$B$106,S58=MASTER!$B$107,S58=MASTER!$B$108,S58=MASTER!$B$109),(CONCATENATE(VLOOKUP(S58,MASTER!$B:$D,3,0),L58,"X",M58,"X",VLOOKUP(S58,MASTER!$B:$F,5,0))),(CONCATENATE(VLOOKUP(S58,MASTER!$B:$D,3,0),N58))),"")</f>
        <v/>
      </c>
      <c r="V58" s="89" t="str">
        <f>IFERROR(VLOOKUP(Table9[[#This Row],[ITEM CODE]],FW!$B:$D,3,0),"")</f>
        <v/>
      </c>
      <c r="W58" s="89">
        <f>IF(OR(S58=MASTER!$B$95,S58=MASTER!$B$96,S58=MASTER!$B$97,S58=MASTER!$B$98,S58=MASTER!$B$102,S58=MASTER!$B$103,S58=MASTER!$B$99,S58=MASTER!$B$100,S58=MASTER!$B$101,S58=MASTER!$B$104,S58=MASTER!$B$105,S58=MASTER!$B$106,S58=MASTER!$B$107,S58=MASTER!$B$108,S58=MASTER!$B$109),(Q58*V58),Q58)</f>
        <v>0</v>
      </c>
    </row>
    <row r="59" spans="1:23" ht="15.75" x14ac:dyDescent="0.25">
      <c r="A59" s="66">
        <f t="shared" si="11"/>
        <v>58</v>
      </c>
      <c r="B59" s="66" t="str">
        <f>LEFT(Table13[[#This Row],[ITEM CODE]],MIN(FIND({0,1,2,3,4,5,6,7,8,9},Table13[[#This Row],[ITEM CODE]]&amp;"0123456789"))-1)</f>
        <v/>
      </c>
      <c r="C59" s="64" t="str">
        <f>SUBSTITUTE(Table13[[#This Row],[ITEM CODE]],B59,"")</f>
        <v/>
      </c>
      <c r="D59" s="64" t="str">
        <f t="shared" si="13"/>
        <v/>
      </c>
      <c r="E59" s="89" t="str">
        <f t="shared" si="14"/>
        <v/>
      </c>
      <c r="F59" s="89" t="str">
        <f t="shared" si="15"/>
        <v/>
      </c>
      <c r="G59" s="89" t="str">
        <f t="shared" si="16"/>
        <v/>
      </c>
      <c r="H59" s="89" t="str">
        <f t="shared" si="17"/>
        <v/>
      </c>
      <c r="I59" s="89" t="str">
        <f t="shared" si="18"/>
        <v/>
      </c>
      <c r="J59" s="64" t="str">
        <f>IFERROR(IF(Table2[[#This Row],[L]]&lt;Table2[[#This Row],[W]],Table2[[#This Row],[W]],Table2[[#This Row],[L]]),"")</f>
        <v/>
      </c>
      <c r="K59" s="64" t="str">
        <f>IF(Table2[[#This Row],[L]]&lt;Table2[[#This Row],[W]],Table2[[#This Row],[L]],Table2[[#This Row],[W]])</f>
        <v/>
      </c>
      <c r="L59" s="89" t="str">
        <f t="shared" si="19"/>
        <v/>
      </c>
      <c r="M59" s="89" t="str">
        <f t="shared" si="20"/>
        <v/>
      </c>
      <c r="N59" s="89" t="str">
        <f t="shared" si="21"/>
        <v>XX</v>
      </c>
      <c r="O59" s="89" t="str">
        <f t="shared" si="22"/>
        <v>XX</v>
      </c>
      <c r="P59" s="89" t="str">
        <f>+CONCATENATE(Table2[[#This Row],[1]],Table2[[#This Row],[H]])</f>
        <v/>
      </c>
      <c r="Q59" s="89">
        <f>IFERROR(Table13[[#This Row],[QTY]],"")</f>
        <v>0</v>
      </c>
      <c r="R59" s="89"/>
      <c r="S59" s="89" t="str">
        <f>+Table2[[#This Row],[VARIETY]]</f>
        <v/>
      </c>
      <c r="T59" s="89" t="str">
        <f>IFERROR(VLOOKUP(Table9[[#This Row],[VARIETY]],MASTER!B:D,3,0),"")</f>
        <v/>
      </c>
      <c r="U59" s="89" t="str">
        <f>IFERROR(IF(OR(S59=MASTER!$B$95,S59=MASTER!$B$96,S59=MASTER!$B$97,S59=MASTER!$B$98,S59=MASTER!$B$102,S59=MASTER!$B$103,S59=MASTER!$B$99,S59=MASTER!$B$100,S59=MASTER!$B$101,S59=MASTER!$B$104,S59=MASTER!$B$105,S59=MASTER!$B$106,S59=MASTER!$B$107,S59=MASTER!$B$108,S59=MASTER!$B$109),(CONCATENATE(VLOOKUP(S59,MASTER!$B:$D,3,0),L59,"X",M59,"X",VLOOKUP(S59,MASTER!$B:$F,5,0))),(CONCATENATE(VLOOKUP(S59,MASTER!$B:$D,3,0),N59))),"")</f>
        <v/>
      </c>
      <c r="V59" s="89" t="str">
        <f>IFERROR(VLOOKUP(Table9[[#This Row],[ITEM CODE]],FW!$B:$D,3,0),"")</f>
        <v/>
      </c>
      <c r="W59" s="89">
        <f>IF(OR(S59=MASTER!$B$95,S59=MASTER!$B$96,S59=MASTER!$B$97,S59=MASTER!$B$98,S59=MASTER!$B$102,S59=MASTER!$B$103,S59=MASTER!$B$99,S59=MASTER!$B$100,S59=MASTER!$B$101,S59=MASTER!$B$104,S59=MASTER!$B$105,S59=MASTER!$B$106,S59=MASTER!$B$107,S59=MASTER!$B$108,S59=MASTER!$B$109),(Q59*V59),Q59)</f>
        <v>0</v>
      </c>
    </row>
    <row r="60" spans="1:23" ht="15.75" x14ac:dyDescent="0.25">
      <c r="A60" s="66">
        <f t="shared" si="11"/>
        <v>59</v>
      </c>
      <c r="B60" s="66" t="str">
        <f>LEFT(Table13[[#This Row],[ITEM CODE]],MIN(FIND({0,1,2,3,4,5,6,7,8,9},Table13[[#This Row],[ITEM CODE]]&amp;"0123456789"))-1)</f>
        <v/>
      </c>
      <c r="C60" s="64" t="str">
        <f>SUBSTITUTE(Table13[[#This Row],[ITEM CODE]],B60,"")</f>
        <v/>
      </c>
      <c r="D60" s="64" t="str">
        <f t="shared" si="13"/>
        <v/>
      </c>
      <c r="E60" s="89" t="str">
        <f t="shared" si="14"/>
        <v/>
      </c>
      <c r="F60" s="89" t="str">
        <f t="shared" si="15"/>
        <v/>
      </c>
      <c r="G60" s="89" t="str">
        <f t="shared" si="16"/>
        <v/>
      </c>
      <c r="H60" s="89" t="str">
        <f t="shared" si="17"/>
        <v/>
      </c>
      <c r="I60" s="89" t="str">
        <f t="shared" si="18"/>
        <v/>
      </c>
      <c r="J60" s="64" t="str">
        <f>IFERROR(IF(Table2[[#This Row],[L]]&lt;Table2[[#This Row],[W]],Table2[[#This Row],[W]],Table2[[#This Row],[L]]),"")</f>
        <v/>
      </c>
      <c r="K60" s="64" t="str">
        <f>IF(Table2[[#This Row],[L]]&lt;Table2[[#This Row],[W]],Table2[[#This Row],[L]],Table2[[#This Row],[W]])</f>
        <v/>
      </c>
      <c r="L60" s="89" t="str">
        <f t="shared" si="19"/>
        <v/>
      </c>
      <c r="M60" s="89" t="str">
        <f t="shared" si="20"/>
        <v/>
      </c>
      <c r="N60" s="89" t="str">
        <f t="shared" si="21"/>
        <v>XX</v>
      </c>
      <c r="O60" s="89" t="str">
        <f t="shared" si="22"/>
        <v>XX</v>
      </c>
      <c r="P60" s="89" t="str">
        <f>+CONCATENATE(Table2[[#This Row],[1]],Table2[[#This Row],[H]])</f>
        <v/>
      </c>
      <c r="Q60" s="89">
        <f>IFERROR(Table13[[#This Row],[QTY]],"")</f>
        <v>0</v>
      </c>
      <c r="R60" s="89"/>
      <c r="S60" s="89" t="str">
        <f>+Table2[[#This Row],[VARIETY]]</f>
        <v/>
      </c>
      <c r="T60" s="89" t="str">
        <f>IFERROR(VLOOKUP(Table9[[#This Row],[VARIETY]],MASTER!B:D,3,0),"")</f>
        <v/>
      </c>
      <c r="U60" s="89" t="str">
        <f>IFERROR(IF(OR(S60=MASTER!$B$95,S60=MASTER!$B$96,S60=MASTER!$B$97,S60=MASTER!$B$98,S60=MASTER!$B$102,S60=MASTER!$B$103,S60=MASTER!$B$99,S60=MASTER!$B$100,S60=MASTER!$B$101,S60=MASTER!$B$104,S60=MASTER!$B$105,S60=MASTER!$B$106,S60=MASTER!$B$107,S60=MASTER!$B$108,S60=MASTER!$B$109),(CONCATENATE(VLOOKUP(S60,MASTER!$B:$D,3,0),L60,"X",M60,"X",VLOOKUP(S60,MASTER!$B:$F,5,0))),(CONCATENATE(VLOOKUP(S60,MASTER!$B:$D,3,0),N60))),"")</f>
        <v/>
      </c>
      <c r="V60" s="89" t="str">
        <f>IFERROR(VLOOKUP(Table9[[#This Row],[ITEM CODE]],FW!$B:$D,3,0),"")</f>
        <v/>
      </c>
      <c r="W60" s="89">
        <f>IF(OR(S60=MASTER!$B$95,S60=MASTER!$B$96,S60=MASTER!$B$97,S60=MASTER!$B$98,S60=MASTER!$B$102,S60=MASTER!$B$103,S60=MASTER!$B$99,S60=MASTER!$B$100,S60=MASTER!$B$101,S60=MASTER!$B$104,S60=MASTER!$B$105,S60=MASTER!$B$106,S60=MASTER!$B$107,S60=MASTER!$B$108,S60=MASTER!$B$109),(Q60*V60),Q60)</f>
        <v>0</v>
      </c>
    </row>
    <row r="61" spans="1:23" ht="15.75" x14ac:dyDescent="0.25">
      <c r="A61" s="66">
        <f t="shared" si="11"/>
        <v>60</v>
      </c>
      <c r="B61" s="66" t="str">
        <f>LEFT(Table13[[#This Row],[ITEM CODE]],MIN(FIND({0,1,2,3,4,5,6,7,8,9},Table13[[#This Row],[ITEM CODE]]&amp;"0123456789"))-1)</f>
        <v/>
      </c>
      <c r="C61" s="64" t="str">
        <f>SUBSTITUTE(Table13[[#This Row],[ITEM CODE]],B61,"")</f>
        <v/>
      </c>
      <c r="D61" s="64" t="str">
        <f t="shared" si="13"/>
        <v/>
      </c>
      <c r="E61" s="89" t="str">
        <f t="shared" si="14"/>
        <v/>
      </c>
      <c r="F61" s="89" t="str">
        <f t="shared" si="15"/>
        <v/>
      </c>
      <c r="G61" s="89" t="str">
        <f t="shared" si="16"/>
        <v/>
      </c>
      <c r="H61" s="89" t="str">
        <f t="shared" si="17"/>
        <v/>
      </c>
      <c r="I61" s="89" t="str">
        <f t="shared" si="18"/>
        <v/>
      </c>
      <c r="J61" s="64" t="str">
        <f>IFERROR(IF(Table2[[#This Row],[L]]&lt;Table2[[#This Row],[W]],Table2[[#This Row],[W]],Table2[[#This Row],[L]]),"")</f>
        <v/>
      </c>
      <c r="K61" s="64" t="str">
        <f>IF(Table2[[#This Row],[L]]&lt;Table2[[#This Row],[W]],Table2[[#This Row],[L]],Table2[[#This Row],[W]])</f>
        <v/>
      </c>
      <c r="L61" s="89" t="str">
        <f t="shared" si="19"/>
        <v/>
      </c>
      <c r="M61" s="89" t="str">
        <f t="shared" si="20"/>
        <v/>
      </c>
      <c r="N61" s="89" t="str">
        <f t="shared" si="21"/>
        <v>XX</v>
      </c>
      <c r="O61" s="89" t="str">
        <f t="shared" si="22"/>
        <v>XX</v>
      </c>
      <c r="P61" s="89" t="str">
        <f>+CONCATENATE(Table2[[#This Row],[1]],Table2[[#This Row],[H]])</f>
        <v/>
      </c>
      <c r="Q61" s="89">
        <f>IFERROR(Table13[[#This Row],[QTY]],"")</f>
        <v>0</v>
      </c>
      <c r="R61" s="89"/>
      <c r="S61" s="89" t="str">
        <f>+Table2[[#This Row],[VARIETY]]</f>
        <v/>
      </c>
      <c r="T61" s="89" t="str">
        <f>IFERROR(VLOOKUP(Table9[[#This Row],[VARIETY]],MASTER!B:D,3,0),"")</f>
        <v/>
      </c>
      <c r="U61" s="89" t="str">
        <f>IFERROR(IF(OR(S61=MASTER!$B$95,S61=MASTER!$B$96,S61=MASTER!$B$97,S61=MASTER!$B$98,S61=MASTER!$B$102,S61=MASTER!$B$103,S61=MASTER!$B$99,S61=MASTER!$B$100,S61=MASTER!$B$101,S61=MASTER!$B$104,S61=MASTER!$B$105,S61=MASTER!$B$106,S61=MASTER!$B$107,S61=MASTER!$B$108,S61=MASTER!$B$109),(CONCATENATE(VLOOKUP(S61,MASTER!$B:$D,3,0),L61,"X",M61,"X",VLOOKUP(S61,MASTER!$B:$F,5,0))),(CONCATENATE(VLOOKUP(S61,MASTER!$B:$D,3,0),N61))),"")</f>
        <v/>
      </c>
      <c r="V61" s="89" t="str">
        <f>IFERROR(VLOOKUP(Table9[[#This Row],[ITEM CODE]],FW!$B:$D,3,0),"")</f>
        <v/>
      </c>
      <c r="W61" s="89">
        <f>IF(OR(S61=MASTER!$B$95,S61=MASTER!$B$96,S61=MASTER!$B$97,S61=MASTER!$B$98,S61=MASTER!$B$102,S61=MASTER!$B$103,S61=MASTER!$B$99,S61=MASTER!$B$100,S61=MASTER!$B$101,S61=MASTER!$B$104,S61=MASTER!$B$105,S61=MASTER!$B$106,S61=MASTER!$B$107,S61=MASTER!$B$108,S61=MASTER!$B$109),(Q61*V61),Q61)</f>
        <v>0</v>
      </c>
    </row>
    <row r="62" spans="1:23" ht="15.75" x14ac:dyDescent="0.25">
      <c r="A62" s="66">
        <f t="shared" si="11"/>
        <v>61</v>
      </c>
      <c r="B62" s="66" t="str">
        <f>LEFT(Table13[[#This Row],[ITEM CODE]],MIN(FIND({0,1,2,3,4,5,6,7,8,9},Table13[[#This Row],[ITEM CODE]]&amp;"0123456789"))-1)</f>
        <v/>
      </c>
      <c r="C62" s="64" t="str">
        <f>SUBSTITUTE(Table13[[#This Row],[ITEM CODE]],B62,"")</f>
        <v/>
      </c>
      <c r="D62" s="64" t="str">
        <f t="shared" si="13"/>
        <v/>
      </c>
      <c r="E62" s="89" t="str">
        <f t="shared" si="14"/>
        <v/>
      </c>
      <c r="F62" s="89" t="str">
        <f t="shared" si="15"/>
        <v/>
      </c>
      <c r="G62" s="89" t="str">
        <f t="shared" si="16"/>
        <v/>
      </c>
      <c r="H62" s="89" t="str">
        <f t="shared" si="17"/>
        <v/>
      </c>
      <c r="I62" s="89" t="str">
        <f t="shared" si="18"/>
        <v/>
      </c>
      <c r="J62" s="64" t="str">
        <f>IFERROR(IF(Table2[[#This Row],[L]]&lt;Table2[[#This Row],[W]],Table2[[#This Row],[W]],Table2[[#This Row],[L]]),"")</f>
        <v/>
      </c>
      <c r="K62" s="64" t="str">
        <f>IF(Table2[[#This Row],[L]]&lt;Table2[[#This Row],[W]],Table2[[#This Row],[L]],Table2[[#This Row],[W]])</f>
        <v/>
      </c>
      <c r="L62" s="89" t="str">
        <f t="shared" si="19"/>
        <v/>
      </c>
      <c r="M62" s="89" t="str">
        <f t="shared" si="20"/>
        <v/>
      </c>
      <c r="N62" s="89" t="str">
        <f t="shared" si="21"/>
        <v>XX</v>
      </c>
      <c r="O62" s="89" t="str">
        <f t="shared" si="22"/>
        <v>XX</v>
      </c>
      <c r="P62" s="89" t="str">
        <f>+CONCATENATE(Table2[[#This Row],[1]],Table2[[#This Row],[H]])</f>
        <v/>
      </c>
      <c r="Q62" s="89">
        <f>IFERROR(Table13[[#This Row],[QTY]],"")</f>
        <v>0</v>
      </c>
      <c r="R62" s="89"/>
      <c r="S62" s="89" t="str">
        <f>+Table2[[#This Row],[VARIETY]]</f>
        <v/>
      </c>
      <c r="T62" s="89" t="str">
        <f>IFERROR(VLOOKUP(Table9[[#This Row],[VARIETY]],MASTER!B:D,3,0),"")</f>
        <v/>
      </c>
      <c r="U62" s="89" t="str">
        <f>IFERROR(IF(OR(S62=MASTER!$B$95,S62=MASTER!$B$96,S62=MASTER!$B$97,S62=MASTER!$B$98,S62=MASTER!$B$102,S62=MASTER!$B$103,S62=MASTER!$B$99,S62=MASTER!$B$100,S62=MASTER!$B$101,S62=MASTER!$B$104,S62=MASTER!$B$105,S62=MASTER!$B$106,S62=MASTER!$B$107,S62=MASTER!$B$108,S62=MASTER!$B$109),(CONCATENATE(VLOOKUP(S62,MASTER!$B:$D,3,0),L62,"X",M62,"X",VLOOKUP(S62,MASTER!$B:$F,5,0))),(CONCATENATE(VLOOKUP(S62,MASTER!$B:$D,3,0),N62))),"")</f>
        <v/>
      </c>
      <c r="V62" s="89" t="str">
        <f>IFERROR(VLOOKUP(Table9[[#This Row],[ITEM CODE]],FW!$B:$D,3,0),"")</f>
        <v/>
      </c>
      <c r="W62" s="89">
        <f>IF(OR(S62=MASTER!$B$95,S62=MASTER!$B$96,S62=MASTER!$B$97,S62=MASTER!$B$98,S62=MASTER!$B$102,S62=MASTER!$B$103,S62=MASTER!$B$99,S62=MASTER!$B$100,S62=MASTER!$B$101,S62=MASTER!$B$104,S62=MASTER!$B$105,S62=MASTER!$B$106,S62=MASTER!$B$107,S62=MASTER!$B$108,S62=MASTER!$B$109),(Q62*V62),Q62)</f>
        <v>0</v>
      </c>
    </row>
    <row r="63" spans="1:23" ht="15.75" x14ac:dyDescent="0.25">
      <c r="A63" s="66">
        <f t="shared" si="11"/>
        <v>62</v>
      </c>
      <c r="B63" s="66" t="str">
        <f>LEFT(Table13[[#This Row],[ITEM CODE]],MIN(FIND({0,1,2,3,4,5,6,7,8,9},Table13[[#This Row],[ITEM CODE]]&amp;"0123456789"))-1)</f>
        <v/>
      </c>
      <c r="C63" s="64" t="str">
        <f>SUBSTITUTE(Table13[[#This Row],[ITEM CODE]],B63,"")</f>
        <v/>
      </c>
      <c r="D63" s="64" t="str">
        <f t="shared" si="13"/>
        <v/>
      </c>
      <c r="E63" s="89" t="str">
        <f t="shared" si="14"/>
        <v/>
      </c>
      <c r="F63" s="89" t="str">
        <f t="shared" si="15"/>
        <v/>
      </c>
      <c r="G63" s="89" t="str">
        <f t="shared" si="16"/>
        <v/>
      </c>
      <c r="H63" s="89" t="str">
        <f t="shared" si="17"/>
        <v/>
      </c>
      <c r="I63" s="89" t="str">
        <f t="shared" si="18"/>
        <v/>
      </c>
      <c r="J63" s="64" t="str">
        <f>IFERROR(IF(Table2[[#This Row],[L]]&lt;Table2[[#This Row],[W]],Table2[[#This Row],[W]],Table2[[#This Row],[L]]),"")</f>
        <v/>
      </c>
      <c r="K63" s="64" t="str">
        <f>IF(Table2[[#This Row],[L]]&lt;Table2[[#This Row],[W]],Table2[[#This Row],[L]],Table2[[#This Row],[W]])</f>
        <v/>
      </c>
      <c r="L63" s="89" t="str">
        <f t="shared" si="19"/>
        <v/>
      </c>
      <c r="M63" s="89" t="str">
        <f t="shared" si="20"/>
        <v/>
      </c>
      <c r="N63" s="89" t="str">
        <f t="shared" si="21"/>
        <v>XX</v>
      </c>
      <c r="O63" s="89" t="str">
        <f t="shared" si="22"/>
        <v>XX</v>
      </c>
      <c r="P63" s="89" t="str">
        <f>+CONCATENATE(Table2[[#This Row],[1]],Table2[[#This Row],[H]])</f>
        <v/>
      </c>
      <c r="Q63" s="89">
        <f>IFERROR(Table13[[#This Row],[QTY]],"")</f>
        <v>0</v>
      </c>
      <c r="R63" s="89"/>
      <c r="S63" s="89" t="str">
        <f>+Table2[[#This Row],[VARIETY]]</f>
        <v/>
      </c>
      <c r="T63" s="89" t="str">
        <f>IFERROR(VLOOKUP(Table9[[#This Row],[VARIETY]],MASTER!B:D,3,0),"")</f>
        <v/>
      </c>
      <c r="U63" s="89" t="str">
        <f>IFERROR(IF(OR(S63=MASTER!$B$95,S63=MASTER!$B$96,S63=MASTER!$B$97,S63=MASTER!$B$98,S63=MASTER!$B$102,S63=MASTER!$B$103,S63=MASTER!$B$99,S63=MASTER!$B$100,S63=MASTER!$B$101,S63=MASTER!$B$104,S63=MASTER!$B$105,S63=MASTER!$B$106,S63=MASTER!$B$107,S63=MASTER!$B$108,S63=MASTER!$B$109),(CONCATENATE(VLOOKUP(S63,MASTER!$B:$D,3,0),L63,"X",M63,"X",VLOOKUP(S63,MASTER!$B:$F,5,0))),(CONCATENATE(VLOOKUP(S63,MASTER!$B:$D,3,0),N63))),"")</f>
        <v/>
      </c>
      <c r="V63" s="89" t="str">
        <f>IFERROR(VLOOKUP(Table9[[#This Row],[ITEM CODE]],FW!$B:$D,3,0),"")</f>
        <v/>
      </c>
      <c r="W63" s="89">
        <f>IF(OR(S63=MASTER!$B$95,S63=MASTER!$B$96,S63=MASTER!$B$97,S63=MASTER!$B$98,S63=MASTER!$B$102,S63=MASTER!$B$103,S63=MASTER!$B$99,S63=MASTER!$B$100,S63=MASTER!$B$101,S63=MASTER!$B$104,S63=MASTER!$B$105,S63=MASTER!$B$106,S63=MASTER!$B$107,S63=MASTER!$B$108,S63=MASTER!$B$109),(Q63*V63),Q63)</f>
        <v>0</v>
      </c>
    </row>
    <row r="64" spans="1:23" ht="15.75" x14ac:dyDescent="0.25">
      <c r="A64" s="66">
        <f t="shared" si="11"/>
        <v>63</v>
      </c>
      <c r="B64" s="66" t="str">
        <f>LEFT(Table13[[#This Row],[ITEM CODE]],MIN(FIND({0,1,2,3,4,5,6,7,8,9},Table13[[#This Row],[ITEM CODE]]&amp;"0123456789"))-1)</f>
        <v/>
      </c>
      <c r="C64" s="64" t="str">
        <f>SUBSTITUTE(Table13[[#This Row],[ITEM CODE]],B64,"")</f>
        <v/>
      </c>
      <c r="D64" s="64" t="str">
        <f t="shared" si="13"/>
        <v/>
      </c>
      <c r="E64" s="89" t="str">
        <f t="shared" si="14"/>
        <v/>
      </c>
      <c r="F64" s="89" t="str">
        <f t="shared" si="15"/>
        <v/>
      </c>
      <c r="G64" s="89" t="str">
        <f t="shared" si="16"/>
        <v/>
      </c>
      <c r="H64" s="89" t="str">
        <f t="shared" si="17"/>
        <v/>
      </c>
      <c r="I64" s="89" t="str">
        <f t="shared" si="18"/>
        <v/>
      </c>
      <c r="J64" s="64" t="str">
        <f>IFERROR(IF(Table2[[#This Row],[L]]&lt;Table2[[#This Row],[W]],Table2[[#This Row],[W]],Table2[[#This Row],[L]]),"")</f>
        <v/>
      </c>
      <c r="K64" s="64" t="str">
        <f>IF(Table2[[#This Row],[L]]&lt;Table2[[#This Row],[W]],Table2[[#This Row],[L]],Table2[[#This Row],[W]])</f>
        <v/>
      </c>
      <c r="L64" s="89" t="str">
        <f t="shared" si="19"/>
        <v/>
      </c>
      <c r="M64" s="89" t="str">
        <f t="shared" si="20"/>
        <v/>
      </c>
      <c r="N64" s="89" t="str">
        <f t="shared" si="21"/>
        <v>XX</v>
      </c>
      <c r="O64" s="89" t="str">
        <f t="shared" si="22"/>
        <v>XX</v>
      </c>
      <c r="P64" s="89" t="str">
        <f>+CONCATENATE(Table2[[#This Row],[1]],Table2[[#This Row],[H]])</f>
        <v/>
      </c>
      <c r="Q64" s="89">
        <f>IFERROR(Table13[[#This Row],[QTY]],"")</f>
        <v>0</v>
      </c>
      <c r="R64" s="89"/>
      <c r="S64" s="89" t="str">
        <f>+Table2[[#This Row],[VARIETY]]</f>
        <v/>
      </c>
      <c r="T64" s="89" t="str">
        <f>IFERROR(VLOOKUP(Table9[[#This Row],[VARIETY]],MASTER!B:D,3,0),"")</f>
        <v/>
      </c>
      <c r="U64" s="89" t="str">
        <f>IFERROR(IF(OR(S64=MASTER!$B$95,S64=MASTER!$B$96,S64=MASTER!$B$97,S64=MASTER!$B$98,S64=MASTER!$B$102,S64=MASTER!$B$103,S64=MASTER!$B$99,S64=MASTER!$B$100,S64=MASTER!$B$101,S64=MASTER!$B$104,S64=MASTER!$B$105,S64=MASTER!$B$106,S64=MASTER!$B$107,S64=MASTER!$B$108,S64=MASTER!$B$109),(CONCATENATE(VLOOKUP(S64,MASTER!$B:$D,3,0),L64,"X",M64,"X",VLOOKUP(S64,MASTER!$B:$F,5,0))),(CONCATENATE(VLOOKUP(S64,MASTER!$B:$D,3,0),N64))),"")</f>
        <v/>
      </c>
      <c r="V64" s="89" t="str">
        <f>IFERROR(VLOOKUP(Table9[[#This Row],[ITEM CODE]],FW!$B:$D,3,0),"")</f>
        <v/>
      </c>
      <c r="W64" s="89">
        <f>IF(OR(S64=MASTER!$B$95,S64=MASTER!$B$96,S64=MASTER!$B$97,S64=MASTER!$B$98,S64=MASTER!$B$102,S64=MASTER!$B$103,S64=MASTER!$B$99,S64=MASTER!$B$100,S64=MASTER!$B$101,S64=MASTER!$B$104,S64=MASTER!$B$105,S64=MASTER!$B$106,S64=MASTER!$B$107,S64=MASTER!$B$108,S64=MASTER!$B$109),(Q64*V64),Q64)</f>
        <v>0</v>
      </c>
    </row>
    <row r="65" spans="1:23" ht="15.75" x14ac:dyDescent="0.25">
      <c r="A65" s="66">
        <f t="shared" si="11"/>
        <v>64</v>
      </c>
      <c r="B65" s="66" t="str">
        <f>LEFT(Table13[[#This Row],[ITEM CODE]],MIN(FIND({0,1,2,3,4,5,6,7,8,9},Table13[[#This Row],[ITEM CODE]]&amp;"0123456789"))-1)</f>
        <v/>
      </c>
      <c r="C65" s="64" t="str">
        <f>SUBSTITUTE(Table13[[#This Row],[ITEM CODE]],B65,"")</f>
        <v/>
      </c>
      <c r="D65" s="64" t="str">
        <f t="shared" si="13"/>
        <v/>
      </c>
      <c r="E65" s="89" t="str">
        <f t="shared" si="14"/>
        <v/>
      </c>
      <c r="F65" s="89" t="str">
        <f t="shared" si="15"/>
        <v/>
      </c>
      <c r="G65" s="89" t="str">
        <f t="shared" si="16"/>
        <v/>
      </c>
      <c r="H65" s="89" t="str">
        <f t="shared" si="17"/>
        <v/>
      </c>
      <c r="I65" s="89" t="str">
        <f t="shared" si="18"/>
        <v/>
      </c>
      <c r="J65" s="64" t="str">
        <f>IFERROR(IF(Table2[[#This Row],[L]]&lt;Table2[[#This Row],[W]],Table2[[#This Row],[W]],Table2[[#This Row],[L]]),"")</f>
        <v/>
      </c>
      <c r="K65" s="64" t="str">
        <f>IF(Table2[[#This Row],[L]]&lt;Table2[[#This Row],[W]],Table2[[#This Row],[L]],Table2[[#This Row],[W]])</f>
        <v/>
      </c>
      <c r="L65" s="89" t="str">
        <f t="shared" si="19"/>
        <v/>
      </c>
      <c r="M65" s="89" t="str">
        <f t="shared" si="20"/>
        <v/>
      </c>
      <c r="N65" s="89" t="str">
        <f t="shared" si="21"/>
        <v>XX</v>
      </c>
      <c r="O65" s="89" t="str">
        <f t="shared" si="22"/>
        <v>XX</v>
      </c>
      <c r="P65" s="89" t="str">
        <f>+CONCATENATE(Table2[[#This Row],[1]],Table2[[#This Row],[H]])</f>
        <v/>
      </c>
      <c r="Q65" s="89">
        <f>IFERROR(Table13[[#This Row],[QTY]],"")</f>
        <v>0</v>
      </c>
      <c r="R65" s="89"/>
      <c r="S65" s="89" t="str">
        <f>+Table2[[#This Row],[VARIETY]]</f>
        <v/>
      </c>
      <c r="T65" s="89" t="str">
        <f>IFERROR(VLOOKUP(Table9[[#This Row],[VARIETY]],MASTER!B:D,3,0),"")</f>
        <v/>
      </c>
      <c r="U65" s="89" t="str">
        <f>IFERROR(IF(OR(S65=MASTER!$B$95,S65=MASTER!$B$96,S65=MASTER!$B$97,S65=MASTER!$B$98,S65=MASTER!$B$102,S65=MASTER!$B$103,S65=MASTER!$B$99,S65=MASTER!$B$100,S65=MASTER!$B$101,S65=MASTER!$B$104,S65=MASTER!$B$105,S65=MASTER!$B$106,S65=MASTER!$B$107,S65=MASTER!$B$108,S65=MASTER!$B$109),(CONCATENATE(VLOOKUP(S65,MASTER!$B:$D,3,0),L65,"X",M65,"X",VLOOKUP(S65,MASTER!$B:$F,5,0))),(CONCATENATE(VLOOKUP(S65,MASTER!$B:$D,3,0),N65))),"")</f>
        <v/>
      </c>
      <c r="V65" s="89" t="str">
        <f>IFERROR(VLOOKUP(Table9[[#This Row],[ITEM CODE]],FW!$B:$D,3,0),"")</f>
        <v/>
      </c>
      <c r="W65" s="89">
        <f>IF(OR(S65=MASTER!$B$95,S65=MASTER!$B$96,S65=MASTER!$B$97,S65=MASTER!$B$98,S65=MASTER!$B$102,S65=MASTER!$B$103,S65=MASTER!$B$99,S65=MASTER!$B$100,S65=MASTER!$B$101,S65=MASTER!$B$104,S65=MASTER!$B$105,S65=MASTER!$B$106,S65=MASTER!$B$107,S65=MASTER!$B$108,S65=MASTER!$B$109),(Q65*V65),Q65)</f>
        <v>0</v>
      </c>
    </row>
    <row r="66" spans="1:23" ht="15.75" x14ac:dyDescent="0.25">
      <c r="A66" s="66">
        <f t="shared" si="11"/>
        <v>65</v>
      </c>
      <c r="B66" s="66" t="str">
        <f>LEFT(Table13[[#This Row],[ITEM CODE]],MIN(FIND({0,1,2,3,4,5,6,7,8,9},Table13[[#This Row],[ITEM CODE]]&amp;"0123456789"))-1)</f>
        <v/>
      </c>
      <c r="C66" s="64" t="str">
        <f>SUBSTITUTE(Table13[[#This Row],[ITEM CODE]],B66,"")</f>
        <v/>
      </c>
      <c r="D66" s="64" t="str">
        <f t="shared" si="13"/>
        <v/>
      </c>
      <c r="E66" s="89" t="str">
        <f t="shared" si="14"/>
        <v/>
      </c>
      <c r="F66" s="89" t="str">
        <f t="shared" si="15"/>
        <v/>
      </c>
      <c r="G66" s="89" t="str">
        <f t="shared" si="16"/>
        <v/>
      </c>
      <c r="H66" s="89" t="str">
        <f t="shared" si="17"/>
        <v/>
      </c>
      <c r="I66" s="89" t="str">
        <f t="shared" si="18"/>
        <v/>
      </c>
      <c r="J66" s="64" t="str">
        <f>IFERROR(IF(Table2[[#This Row],[L]]&lt;Table2[[#This Row],[W]],Table2[[#This Row],[W]],Table2[[#This Row],[L]]),"")</f>
        <v/>
      </c>
      <c r="K66" s="64" t="str">
        <f>IF(Table2[[#This Row],[L]]&lt;Table2[[#This Row],[W]],Table2[[#This Row],[L]],Table2[[#This Row],[W]])</f>
        <v/>
      </c>
      <c r="L66" s="89" t="str">
        <f t="shared" si="19"/>
        <v/>
      </c>
      <c r="M66" s="89" t="str">
        <f t="shared" si="20"/>
        <v/>
      </c>
      <c r="N66" s="89" t="str">
        <f t="shared" si="21"/>
        <v>XX</v>
      </c>
      <c r="O66" s="89" t="str">
        <f t="shared" si="22"/>
        <v>XX</v>
      </c>
      <c r="P66" s="89" t="str">
        <f>+CONCATENATE(Table2[[#This Row],[1]],Table2[[#This Row],[H]])</f>
        <v/>
      </c>
      <c r="Q66" s="89">
        <f>IFERROR(Table13[[#This Row],[QTY]],"")</f>
        <v>0</v>
      </c>
      <c r="R66" s="89"/>
      <c r="S66" s="89" t="str">
        <f>+Table2[[#This Row],[VARIETY]]</f>
        <v/>
      </c>
      <c r="T66" s="89" t="str">
        <f>IFERROR(VLOOKUP(Table9[[#This Row],[VARIETY]],MASTER!B:D,3,0),"")</f>
        <v/>
      </c>
      <c r="U66" s="89" t="str">
        <f>IFERROR(IF(OR(S66=MASTER!$B$95,S66=MASTER!$B$96,S66=MASTER!$B$97,S66=MASTER!$B$98,S66=MASTER!$B$102,S66=MASTER!$B$103,S66=MASTER!$B$99,S66=MASTER!$B$100,S66=MASTER!$B$101,S66=MASTER!$B$104,S66=MASTER!$B$105,S66=MASTER!$B$106,S66=MASTER!$B$107,S66=MASTER!$B$108,S66=MASTER!$B$109),(CONCATENATE(VLOOKUP(S66,MASTER!$B:$D,3,0),L66,"X",M66,"X",VLOOKUP(S66,MASTER!$B:$F,5,0))),(CONCATENATE(VLOOKUP(S66,MASTER!$B:$D,3,0),N66))),"")</f>
        <v/>
      </c>
      <c r="V66" s="89" t="str">
        <f>IFERROR(VLOOKUP(Table9[[#This Row],[ITEM CODE]],FW!$B:$D,3,0),"")</f>
        <v/>
      </c>
      <c r="W66" s="89">
        <f>IF(OR(S66=MASTER!$B$95,S66=MASTER!$B$96,S66=MASTER!$B$97,S66=MASTER!$B$98,S66=MASTER!$B$102,S66=MASTER!$B$103,S66=MASTER!$B$99,S66=MASTER!$B$100,S66=MASTER!$B$101,S66=MASTER!$B$104,S66=MASTER!$B$105,S66=MASTER!$B$106,S66=MASTER!$B$107,S66=MASTER!$B$108,S66=MASTER!$B$109),(Q66*V66),Q66)</f>
        <v>0</v>
      </c>
    </row>
    <row r="67" spans="1:23" ht="15.75" x14ac:dyDescent="0.25">
      <c r="A67" s="66">
        <f t="shared" si="11"/>
        <v>66</v>
      </c>
      <c r="B67" s="66" t="str">
        <f>LEFT(Table13[[#This Row],[ITEM CODE]],MIN(FIND({0,1,2,3,4,5,6,7,8,9},Table13[[#This Row],[ITEM CODE]]&amp;"0123456789"))-1)</f>
        <v/>
      </c>
      <c r="C67" s="64" t="str">
        <f>SUBSTITUTE(Table13[[#This Row],[ITEM CODE]],B67,"")</f>
        <v/>
      </c>
      <c r="D67" s="64" t="str">
        <f t="shared" si="13"/>
        <v/>
      </c>
      <c r="E67" s="89" t="str">
        <f t="shared" si="14"/>
        <v/>
      </c>
      <c r="F67" s="89" t="str">
        <f t="shared" si="15"/>
        <v/>
      </c>
      <c r="G67" s="89" t="str">
        <f t="shared" si="16"/>
        <v/>
      </c>
      <c r="H67" s="89" t="str">
        <f t="shared" si="17"/>
        <v/>
      </c>
      <c r="I67" s="89" t="str">
        <f t="shared" si="18"/>
        <v/>
      </c>
      <c r="J67" s="64" t="str">
        <f>IFERROR(IF(Table2[[#This Row],[L]]&lt;Table2[[#This Row],[W]],Table2[[#This Row],[W]],Table2[[#This Row],[L]]),"")</f>
        <v/>
      </c>
      <c r="K67" s="64" t="str">
        <f>IF(Table2[[#This Row],[L]]&lt;Table2[[#This Row],[W]],Table2[[#This Row],[L]],Table2[[#This Row],[W]])</f>
        <v/>
      </c>
      <c r="L67" s="89" t="str">
        <f t="shared" si="19"/>
        <v/>
      </c>
      <c r="M67" s="89" t="str">
        <f t="shared" si="20"/>
        <v/>
      </c>
      <c r="N67" s="89" t="str">
        <f t="shared" si="21"/>
        <v>XX</v>
      </c>
      <c r="O67" s="89" t="str">
        <f t="shared" si="22"/>
        <v>XX</v>
      </c>
      <c r="P67" s="89" t="str">
        <f>+CONCATENATE(Table2[[#This Row],[1]],Table2[[#This Row],[H]])</f>
        <v/>
      </c>
      <c r="Q67" s="89">
        <f>IFERROR(Table13[[#This Row],[QTY]],"")</f>
        <v>0</v>
      </c>
      <c r="R67" s="89"/>
      <c r="S67" s="89" t="str">
        <f>+Table2[[#This Row],[VARIETY]]</f>
        <v/>
      </c>
      <c r="T67" s="89" t="str">
        <f>IFERROR(VLOOKUP(Table9[[#This Row],[VARIETY]],MASTER!B:D,3,0),"")</f>
        <v/>
      </c>
      <c r="U67" s="89" t="str">
        <f>IFERROR(IF(OR(S67=MASTER!$B$95,S67=MASTER!$B$96,S67=MASTER!$B$97,S67=MASTER!$B$98,S67=MASTER!$B$102,S67=MASTER!$B$103,S67=MASTER!$B$99,S67=MASTER!$B$100,S67=MASTER!$B$101,S67=MASTER!$B$104,S67=MASTER!$B$105,S67=MASTER!$B$106,S67=MASTER!$B$107,S67=MASTER!$B$108,S67=MASTER!$B$109),(CONCATENATE(VLOOKUP(S67,MASTER!$B:$D,3,0),L67,"X",M67,"X",VLOOKUP(S67,MASTER!$B:$F,5,0))),(CONCATENATE(VLOOKUP(S67,MASTER!$B:$D,3,0),N67))),"")</f>
        <v/>
      </c>
      <c r="V67" s="89" t="str">
        <f>IFERROR(VLOOKUP(Table9[[#This Row],[ITEM CODE]],FW!$B:$D,3,0),"")</f>
        <v/>
      </c>
      <c r="W67" s="89">
        <f>IF(OR(S67=MASTER!$B$95,S67=MASTER!$B$96,S67=MASTER!$B$97,S67=MASTER!$B$98,S67=MASTER!$B$102,S67=MASTER!$B$103,S67=MASTER!$B$99,S67=MASTER!$B$100,S67=MASTER!$B$101,S67=MASTER!$B$104,S67=MASTER!$B$105,S67=MASTER!$B$106,S67=MASTER!$B$107,S67=MASTER!$B$108,S67=MASTER!$B$109),(Q67*V67),Q67)</f>
        <v>0</v>
      </c>
    </row>
    <row r="68" spans="1:23" ht="15.75" x14ac:dyDescent="0.25">
      <c r="A68" s="66">
        <f t="shared" si="11"/>
        <v>67</v>
      </c>
      <c r="B68" s="66" t="str">
        <f>LEFT(Table13[[#This Row],[ITEM CODE]],MIN(FIND({0,1,2,3,4,5,6,7,8,9},Table13[[#This Row],[ITEM CODE]]&amp;"0123456789"))-1)</f>
        <v/>
      </c>
      <c r="C68" s="64" t="str">
        <f>SUBSTITUTE(Table13[[#This Row],[ITEM CODE]],B68,"")</f>
        <v/>
      </c>
      <c r="D68" s="64" t="str">
        <f t="shared" si="13"/>
        <v/>
      </c>
      <c r="E68" s="89" t="str">
        <f t="shared" si="14"/>
        <v/>
      </c>
      <c r="F68" s="89" t="str">
        <f t="shared" si="15"/>
        <v/>
      </c>
      <c r="G68" s="89" t="str">
        <f t="shared" si="16"/>
        <v/>
      </c>
      <c r="H68" s="89" t="str">
        <f t="shared" si="17"/>
        <v/>
      </c>
      <c r="I68" s="89" t="str">
        <f t="shared" si="18"/>
        <v/>
      </c>
      <c r="J68" s="64" t="str">
        <f>IFERROR(IF(Table2[[#This Row],[L]]&lt;Table2[[#This Row],[W]],Table2[[#This Row],[W]],Table2[[#This Row],[L]]),"")</f>
        <v/>
      </c>
      <c r="K68" s="64" t="str">
        <f>IF(Table2[[#This Row],[L]]&lt;Table2[[#This Row],[W]],Table2[[#This Row],[L]],Table2[[#This Row],[W]])</f>
        <v/>
      </c>
      <c r="L68" s="89" t="str">
        <f t="shared" si="19"/>
        <v/>
      </c>
      <c r="M68" s="89" t="str">
        <f t="shared" si="20"/>
        <v/>
      </c>
      <c r="N68" s="89" t="str">
        <f t="shared" si="21"/>
        <v>XX</v>
      </c>
      <c r="O68" s="89" t="str">
        <f t="shared" si="22"/>
        <v>XX</v>
      </c>
      <c r="P68" s="89" t="str">
        <f>+CONCATENATE(Table2[[#This Row],[1]],Table2[[#This Row],[H]])</f>
        <v/>
      </c>
      <c r="Q68" s="89">
        <f>IFERROR(Table13[[#This Row],[QTY]],"")</f>
        <v>0</v>
      </c>
      <c r="R68" s="89"/>
      <c r="S68" s="89" t="str">
        <f>+Table2[[#This Row],[VARIETY]]</f>
        <v/>
      </c>
      <c r="T68" s="89" t="str">
        <f>IFERROR(VLOOKUP(Table9[[#This Row],[VARIETY]],MASTER!B:D,3,0),"")</f>
        <v/>
      </c>
      <c r="U68" s="89" t="str">
        <f>IFERROR(IF(OR(S68=MASTER!$B$95,S68=MASTER!$B$96,S68=MASTER!$B$97,S68=MASTER!$B$98,S68=MASTER!$B$102,S68=MASTER!$B$103,S68=MASTER!$B$99,S68=MASTER!$B$100,S68=MASTER!$B$101,S68=MASTER!$B$104,S68=MASTER!$B$105,S68=MASTER!$B$106,S68=MASTER!$B$107,S68=MASTER!$B$108,S68=MASTER!$B$109),(CONCATENATE(VLOOKUP(S68,MASTER!$B:$D,3,0),L68,"X",M68,"X",VLOOKUP(S68,MASTER!$B:$F,5,0))),(CONCATENATE(VLOOKUP(S68,MASTER!$B:$D,3,0),N68))),"")</f>
        <v/>
      </c>
      <c r="V68" s="89" t="str">
        <f>IFERROR(VLOOKUP(Table9[[#This Row],[ITEM CODE]],FW!$B:$D,3,0),"")</f>
        <v/>
      </c>
      <c r="W68" s="89">
        <f>IF(OR(S68=MASTER!$B$95,S68=MASTER!$B$96,S68=MASTER!$B$97,S68=MASTER!$B$98,S68=MASTER!$B$102,S68=MASTER!$B$103,S68=MASTER!$B$99,S68=MASTER!$B$100,S68=MASTER!$B$101,S68=MASTER!$B$104,S68=MASTER!$B$105,S68=MASTER!$B$106,S68=MASTER!$B$107,S68=MASTER!$B$108,S68=MASTER!$B$109),(Q68*V68),Q68)</f>
        <v>0</v>
      </c>
    </row>
    <row r="69" spans="1:23" ht="15.75" x14ac:dyDescent="0.25">
      <c r="A69" s="66">
        <f t="shared" si="11"/>
        <v>68</v>
      </c>
      <c r="B69" s="66" t="str">
        <f>LEFT(Table13[[#This Row],[ITEM CODE]],MIN(FIND({0,1,2,3,4,5,6,7,8,9},Table13[[#This Row],[ITEM CODE]]&amp;"0123456789"))-1)</f>
        <v/>
      </c>
      <c r="C69" s="64" t="str">
        <f>SUBSTITUTE(Table13[[#This Row],[ITEM CODE]],B69,"")</f>
        <v/>
      </c>
      <c r="D69" s="64" t="str">
        <f t="shared" si="13"/>
        <v/>
      </c>
      <c r="E69" s="89" t="str">
        <f t="shared" si="14"/>
        <v/>
      </c>
      <c r="F69" s="89" t="str">
        <f t="shared" si="15"/>
        <v/>
      </c>
      <c r="G69" s="89" t="str">
        <f t="shared" si="16"/>
        <v/>
      </c>
      <c r="H69" s="89" t="str">
        <f t="shared" si="17"/>
        <v/>
      </c>
      <c r="I69" s="89" t="str">
        <f t="shared" si="18"/>
        <v/>
      </c>
      <c r="J69" s="64" t="str">
        <f>IFERROR(IF(Table2[[#This Row],[L]]&lt;Table2[[#This Row],[W]],Table2[[#This Row],[W]],Table2[[#This Row],[L]]),"")</f>
        <v/>
      </c>
      <c r="K69" s="64" t="str">
        <f>IF(Table2[[#This Row],[L]]&lt;Table2[[#This Row],[W]],Table2[[#This Row],[L]],Table2[[#This Row],[W]])</f>
        <v/>
      </c>
      <c r="L69" s="89" t="str">
        <f t="shared" si="19"/>
        <v/>
      </c>
      <c r="M69" s="89" t="str">
        <f t="shared" si="20"/>
        <v/>
      </c>
      <c r="N69" s="89" t="str">
        <f t="shared" si="21"/>
        <v>XX</v>
      </c>
      <c r="O69" s="89" t="str">
        <f t="shared" si="22"/>
        <v>XX</v>
      </c>
      <c r="P69" s="89" t="str">
        <f>+CONCATENATE(Table2[[#This Row],[1]],Table2[[#This Row],[H]])</f>
        <v/>
      </c>
      <c r="Q69" s="89">
        <f>IFERROR(Table13[[#This Row],[QTY]],"")</f>
        <v>0</v>
      </c>
      <c r="R69" s="89"/>
      <c r="S69" s="89" t="str">
        <f>+Table2[[#This Row],[VARIETY]]</f>
        <v/>
      </c>
      <c r="T69" s="89" t="str">
        <f>IFERROR(VLOOKUP(Table9[[#This Row],[VARIETY]],MASTER!B:D,3,0),"")</f>
        <v/>
      </c>
      <c r="U69" s="89" t="str">
        <f>IFERROR(IF(OR(S69=MASTER!$B$95,S69=MASTER!$B$96,S69=MASTER!$B$97,S69=MASTER!$B$98,S69=MASTER!$B$102,S69=MASTER!$B$103,S69=MASTER!$B$99,S69=MASTER!$B$100,S69=MASTER!$B$101,S69=MASTER!$B$104,S69=MASTER!$B$105,S69=MASTER!$B$106,S69=MASTER!$B$107,S69=MASTER!$B$108,S69=MASTER!$B$109),(CONCATENATE(VLOOKUP(S69,MASTER!$B:$D,3,0),L69,"X",M69,"X",VLOOKUP(S69,MASTER!$B:$F,5,0))),(CONCATENATE(VLOOKUP(S69,MASTER!$B:$D,3,0),N69))),"")</f>
        <v/>
      </c>
      <c r="V69" s="89" t="str">
        <f>IFERROR(VLOOKUP(Table9[[#This Row],[ITEM CODE]],FW!$B:$D,3,0),"")</f>
        <v/>
      </c>
      <c r="W69" s="89">
        <f>IF(OR(S69=MASTER!$B$95,S69=MASTER!$B$96,S69=MASTER!$B$97,S69=MASTER!$B$98,S69=MASTER!$B$102,S69=MASTER!$B$103,S69=MASTER!$B$99,S69=MASTER!$B$100,S69=MASTER!$B$101,S69=MASTER!$B$104,S69=MASTER!$B$105,S69=MASTER!$B$106,S69=MASTER!$B$107,S69=MASTER!$B$108,S69=MASTER!$B$109),(Q69*V69),Q69)</f>
        <v>0</v>
      </c>
    </row>
    <row r="70" spans="1:23" ht="15.75" x14ac:dyDescent="0.25">
      <c r="A70" s="66">
        <f t="shared" si="11"/>
        <v>69</v>
      </c>
      <c r="B70" s="66" t="str">
        <f>LEFT(Table13[[#This Row],[ITEM CODE]],MIN(FIND({0,1,2,3,4,5,6,7,8,9},Table13[[#This Row],[ITEM CODE]]&amp;"0123456789"))-1)</f>
        <v/>
      </c>
      <c r="C70" s="64" t="str">
        <f>SUBSTITUTE(Table13[[#This Row],[ITEM CODE]],B70,"")</f>
        <v/>
      </c>
      <c r="D70" s="64" t="str">
        <f t="shared" si="13"/>
        <v/>
      </c>
      <c r="E70" s="89" t="str">
        <f t="shared" si="14"/>
        <v/>
      </c>
      <c r="F70" s="89" t="str">
        <f t="shared" si="15"/>
        <v/>
      </c>
      <c r="G70" s="89" t="str">
        <f t="shared" si="16"/>
        <v/>
      </c>
      <c r="H70" s="89" t="str">
        <f t="shared" si="17"/>
        <v/>
      </c>
      <c r="I70" s="89" t="str">
        <f t="shared" si="18"/>
        <v/>
      </c>
      <c r="J70" s="64" t="str">
        <f>IFERROR(IF(Table2[[#This Row],[L]]&lt;Table2[[#This Row],[W]],Table2[[#This Row],[W]],Table2[[#This Row],[L]]),"")</f>
        <v/>
      </c>
      <c r="K70" s="64" t="str">
        <f>IF(Table2[[#This Row],[L]]&lt;Table2[[#This Row],[W]],Table2[[#This Row],[L]],Table2[[#This Row],[W]])</f>
        <v/>
      </c>
      <c r="L70" s="89" t="str">
        <f t="shared" si="19"/>
        <v/>
      </c>
      <c r="M70" s="89" t="str">
        <f t="shared" si="20"/>
        <v/>
      </c>
      <c r="N70" s="89" t="str">
        <f t="shared" si="21"/>
        <v>XX</v>
      </c>
      <c r="O70" s="89" t="str">
        <f t="shared" si="22"/>
        <v>XX</v>
      </c>
      <c r="P70" s="89" t="str">
        <f>+CONCATENATE(Table2[[#This Row],[1]],Table2[[#This Row],[H]])</f>
        <v/>
      </c>
      <c r="Q70" s="89">
        <f>IFERROR(Table13[[#This Row],[QTY]],"")</f>
        <v>0</v>
      </c>
      <c r="R70" s="89"/>
      <c r="S70" s="89" t="str">
        <f>+Table2[[#This Row],[VARIETY]]</f>
        <v/>
      </c>
      <c r="T70" s="89" t="str">
        <f>IFERROR(VLOOKUP(Table9[[#This Row],[VARIETY]],MASTER!B:D,3,0),"")</f>
        <v/>
      </c>
      <c r="U70" s="89" t="str">
        <f>IFERROR(IF(OR(S70=MASTER!$B$95,S70=MASTER!$B$96,S70=MASTER!$B$97,S70=MASTER!$B$98,S70=MASTER!$B$102,S70=MASTER!$B$103,S70=MASTER!$B$99,S70=MASTER!$B$100,S70=MASTER!$B$101,S70=MASTER!$B$104,S70=MASTER!$B$105,S70=MASTER!$B$106,S70=MASTER!$B$107,S70=MASTER!$B$108,S70=MASTER!$B$109),(CONCATENATE(VLOOKUP(S70,MASTER!$B:$D,3,0),L70,"X",M70,"X",VLOOKUP(S70,MASTER!$B:$F,5,0))),(CONCATENATE(VLOOKUP(S70,MASTER!$B:$D,3,0),N70))),"")</f>
        <v/>
      </c>
      <c r="V70" s="89" t="str">
        <f>IFERROR(VLOOKUP(Table9[[#This Row],[ITEM CODE]],FW!$B:$D,3,0),"")</f>
        <v/>
      </c>
      <c r="W70" s="89">
        <f>IF(OR(S70=MASTER!$B$95,S70=MASTER!$B$96,S70=MASTER!$B$97,S70=MASTER!$B$98,S70=MASTER!$B$102,S70=MASTER!$B$103,S70=MASTER!$B$99,S70=MASTER!$B$100,S70=MASTER!$B$101,S70=MASTER!$B$104,S70=MASTER!$B$105,S70=MASTER!$B$106,S70=MASTER!$B$107,S70=MASTER!$B$108,S70=MASTER!$B$109),(Q70*V70),Q70)</f>
        <v>0</v>
      </c>
    </row>
    <row r="71" spans="1:23" ht="15.75" x14ac:dyDescent="0.25">
      <c r="A71" s="66">
        <f t="shared" si="11"/>
        <v>70</v>
      </c>
      <c r="B71" s="66" t="str">
        <f>LEFT(Table13[[#This Row],[ITEM CODE]],MIN(FIND({0,1,2,3,4,5,6,7,8,9},Table13[[#This Row],[ITEM CODE]]&amp;"0123456789"))-1)</f>
        <v/>
      </c>
      <c r="C71" s="64" t="str">
        <f>SUBSTITUTE(Table13[[#This Row],[ITEM CODE]],B71,"")</f>
        <v/>
      </c>
      <c r="D71" s="64" t="str">
        <f t="shared" si="13"/>
        <v/>
      </c>
      <c r="E71" s="89" t="str">
        <f t="shared" si="14"/>
        <v/>
      </c>
      <c r="F71" s="89" t="str">
        <f t="shared" si="15"/>
        <v/>
      </c>
      <c r="G71" s="89" t="str">
        <f t="shared" si="16"/>
        <v/>
      </c>
      <c r="H71" s="89" t="str">
        <f t="shared" si="17"/>
        <v/>
      </c>
      <c r="I71" s="89" t="str">
        <f t="shared" si="18"/>
        <v/>
      </c>
      <c r="J71" s="64" t="str">
        <f>IFERROR(IF(Table2[[#This Row],[L]]&lt;Table2[[#This Row],[W]],Table2[[#This Row],[W]],Table2[[#This Row],[L]]),"")</f>
        <v/>
      </c>
      <c r="K71" s="64" t="str">
        <f>IF(Table2[[#This Row],[L]]&lt;Table2[[#This Row],[W]],Table2[[#This Row],[L]],Table2[[#This Row],[W]])</f>
        <v/>
      </c>
      <c r="L71" s="89" t="str">
        <f t="shared" si="19"/>
        <v/>
      </c>
      <c r="M71" s="89" t="str">
        <f t="shared" si="20"/>
        <v/>
      </c>
      <c r="N71" s="89" t="str">
        <f t="shared" si="21"/>
        <v>XX</v>
      </c>
      <c r="O71" s="89" t="str">
        <f t="shared" si="22"/>
        <v>XX</v>
      </c>
      <c r="P71" s="89" t="str">
        <f>+CONCATENATE(Table2[[#This Row],[1]],Table2[[#This Row],[H]])</f>
        <v/>
      </c>
      <c r="Q71" s="89">
        <f>IFERROR(Table13[[#This Row],[QTY]],"")</f>
        <v>0</v>
      </c>
      <c r="R71" s="89"/>
      <c r="S71" s="89" t="str">
        <f>+Table2[[#This Row],[VARIETY]]</f>
        <v/>
      </c>
      <c r="T71" s="89" t="str">
        <f>IFERROR(VLOOKUP(Table9[[#This Row],[VARIETY]],MASTER!B:D,3,0),"")</f>
        <v/>
      </c>
      <c r="U71" s="89" t="str">
        <f>IFERROR(IF(OR(S71=MASTER!$B$95,S71=MASTER!$B$96,S71=MASTER!$B$97,S71=MASTER!$B$98,S71=MASTER!$B$102,S71=MASTER!$B$103,S71=MASTER!$B$99,S71=MASTER!$B$100,S71=MASTER!$B$101,S71=MASTER!$B$104,S71=MASTER!$B$105,S71=MASTER!$B$106,S71=MASTER!$B$107,S71=MASTER!$B$108,S71=MASTER!$B$109),(CONCATENATE(VLOOKUP(S71,MASTER!$B:$D,3,0),L71,"X",M71,"X",VLOOKUP(S71,MASTER!$B:$F,5,0))),(CONCATENATE(VLOOKUP(S71,MASTER!$B:$D,3,0),N71))),"")</f>
        <v/>
      </c>
      <c r="V71" s="89" t="str">
        <f>IFERROR(VLOOKUP(Table9[[#This Row],[ITEM CODE]],FW!$B:$D,3,0),"")</f>
        <v/>
      </c>
      <c r="W71" s="89">
        <f>IF(OR(S71=MASTER!$B$95,S71=MASTER!$B$96,S71=MASTER!$B$97,S71=MASTER!$B$98,S71=MASTER!$B$102,S71=MASTER!$B$103,S71=MASTER!$B$99,S71=MASTER!$B$100,S71=MASTER!$B$101,S71=MASTER!$B$104,S71=MASTER!$B$105,S71=MASTER!$B$106,S71=MASTER!$B$107,S71=MASTER!$B$108,S71=MASTER!$B$109),(Q71*V71),Q71)</f>
        <v>0</v>
      </c>
    </row>
    <row r="72" spans="1:23" ht="15.75" x14ac:dyDescent="0.25">
      <c r="A72" s="66">
        <f t="shared" si="11"/>
        <v>71</v>
      </c>
      <c r="B72" s="66" t="str">
        <f>LEFT(Table13[[#This Row],[ITEM CODE]],MIN(FIND({0,1,2,3,4,5,6,7,8,9},Table13[[#This Row],[ITEM CODE]]&amp;"0123456789"))-1)</f>
        <v/>
      </c>
      <c r="C72" s="64" t="str">
        <f>SUBSTITUTE(Table13[[#This Row],[ITEM CODE]],B72,"")</f>
        <v/>
      </c>
      <c r="D72" s="64" t="str">
        <f t="shared" si="13"/>
        <v/>
      </c>
      <c r="E72" s="89" t="str">
        <f t="shared" si="14"/>
        <v/>
      </c>
      <c r="F72" s="89" t="str">
        <f t="shared" si="15"/>
        <v/>
      </c>
      <c r="G72" s="89" t="str">
        <f t="shared" si="16"/>
        <v/>
      </c>
      <c r="H72" s="89" t="str">
        <f t="shared" si="17"/>
        <v/>
      </c>
      <c r="I72" s="89" t="str">
        <f t="shared" si="18"/>
        <v/>
      </c>
      <c r="J72" s="64" t="str">
        <f>IFERROR(IF(Table2[[#This Row],[L]]&lt;Table2[[#This Row],[W]],Table2[[#This Row],[W]],Table2[[#This Row],[L]]),"")</f>
        <v/>
      </c>
      <c r="K72" s="64" t="str">
        <f>IF(Table2[[#This Row],[L]]&lt;Table2[[#This Row],[W]],Table2[[#This Row],[L]],Table2[[#This Row],[W]])</f>
        <v/>
      </c>
      <c r="L72" s="89" t="str">
        <f t="shared" si="19"/>
        <v/>
      </c>
      <c r="M72" s="89" t="str">
        <f t="shared" si="20"/>
        <v/>
      </c>
      <c r="N72" s="89" t="str">
        <f t="shared" si="21"/>
        <v>XX</v>
      </c>
      <c r="O72" s="89" t="str">
        <f t="shared" si="22"/>
        <v>XX</v>
      </c>
      <c r="P72" s="89" t="str">
        <f>+CONCATENATE(Table2[[#This Row],[1]],Table2[[#This Row],[H]])</f>
        <v/>
      </c>
      <c r="Q72" s="89">
        <f>IFERROR(Table13[[#This Row],[QTY]],"")</f>
        <v>0</v>
      </c>
      <c r="R72" s="89"/>
      <c r="S72" s="89" t="str">
        <f>+Table2[[#This Row],[VARIETY]]</f>
        <v/>
      </c>
      <c r="T72" s="89" t="str">
        <f>IFERROR(VLOOKUP(Table9[[#This Row],[VARIETY]],MASTER!B:D,3,0),"")</f>
        <v/>
      </c>
      <c r="U72" s="89" t="str">
        <f>IFERROR(IF(OR(S72=MASTER!$B$95,S72=MASTER!$B$96,S72=MASTER!$B$97,S72=MASTER!$B$98,S72=MASTER!$B$102,S72=MASTER!$B$103,S72=MASTER!$B$99,S72=MASTER!$B$100,S72=MASTER!$B$101,S72=MASTER!$B$104,S72=MASTER!$B$105,S72=MASTER!$B$106,S72=MASTER!$B$107,S72=MASTER!$B$108,S72=MASTER!$B$109),(CONCATENATE(VLOOKUP(S72,MASTER!$B:$D,3,0),L72,"X",M72,"X",VLOOKUP(S72,MASTER!$B:$F,5,0))),(CONCATENATE(VLOOKUP(S72,MASTER!$B:$D,3,0),N72))),"")</f>
        <v/>
      </c>
      <c r="V72" s="89" t="str">
        <f>IFERROR(VLOOKUP(Table9[[#This Row],[ITEM CODE]],FW!$B:$D,3,0),"")</f>
        <v/>
      </c>
      <c r="W72" s="89">
        <f>IF(OR(S72=MASTER!$B$95,S72=MASTER!$B$96,S72=MASTER!$B$97,S72=MASTER!$B$98,S72=MASTER!$B$102,S72=MASTER!$B$103,S72=MASTER!$B$99,S72=MASTER!$B$100,S72=MASTER!$B$101,S72=MASTER!$B$104,S72=MASTER!$B$105,S72=MASTER!$B$106,S72=MASTER!$B$107,S72=MASTER!$B$108,S72=MASTER!$B$109),(Q72*V72),Q72)</f>
        <v>0</v>
      </c>
    </row>
    <row r="73" spans="1:23" ht="15.75" x14ac:dyDescent="0.25">
      <c r="A73" s="66">
        <f t="shared" si="11"/>
        <v>72</v>
      </c>
      <c r="B73" s="66" t="str">
        <f>LEFT(Table13[[#This Row],[ITEM CODE]],MIN(FIND({0,1,2,3,4,5,6,7,8,9},Table13[[#This Row],[ITEM CODE]]&amp;"0123456789"))-1)</f>
        <v/>
      </c>
      <c r="C73" s="64" t="str">
        <f>SUBSTITUTE(Table13[[#This Row],[ITEM CODE]],B73,"")</f>
        <v/>
      </c>
      <c r="D73" s="64" t="str">
        <f t="shared" si="13"/>
        <v/>
      </c>
      <c r="E73" s="89" t="str">
        <f t="shared" si="14"/>
        <v/>
      </c>
      <c r="F73" s="89" t="str">
        <f t="shared" si="15"/>
        <v/>
      </c>
      <c r="G73" s="89" t="str">
        <f t="shared" si="16"/>
        <v/>
      </c>
      <c r="H73" s="89" t="str">
        <f t="shared" si="17"/>
        <v/>
      </c>
      <c r="I73" s="89" t="str">
        <f t="shared" si="18"/>
        <v/>
      </c>
      <c r="J73" s="64" t="str">
        <f>IFERROR(IF(Table2[[#This Row],[L]]&lt;Table2[[#This Row],[W]],Table2[[#This Row],[W]],Table2[[#This Row],[L]]),"")</f>
        <v/>
      </c>
      <c r="K73" s="64" t="str">
        <f>IF(Table2[[#This Row],[L]]&lt;Table2[[#This Row],[W]],Table2[[#This Row],[L]],Table2[[#This Row],[W]])</f>
        <v/>
      </c>
      <c r="L73" s="89" t="str">
        <f t="shared" si="19"/>
        <v/>
      </c>
      <c r="M73" s="89" t="str">
        <f t="shared" si="20"/>
        <v/>
      </c>
      <c r="N73" s="89" t="str">
        <f t="shared" si="21"/>
        <v>XX</v>
      </c>
      <c r="O73" s="89" t="str">
        <f t="shared" si="22"/>
        <v>XX</v>
      </c>
      <c r="P73" s="89" t="str">
        <f>+CONCATENATE(Table2[[#This Row],[1]],Table2[[#This Row],[H]])</f>
        <v/>
      </c>
      <c r="Q73" s="89">
        <f>IFERROR(Table13[[#This Row],[QTY]],"")</f>
        <v>0</v>
      </c>
      <c r="R73" s="89"/>
      <c r="S73" s="89" t="str">
        <f>+Table2[[#This Row],[VARIETY]]</f>
        <v/>
      </c>
      <c r="T73" s="89" t="str">
        <f>IFERROR(VLOOKUP(Table9[[#This Row],[VARIETY]],MASTER!B:D,3,0),"")</f>
        <v/>
      </c>
      <c r="U73" s="89" t="str">
        <f>IFERROR(IF(OR(S73=MASTER!$B$95,S73=MASTER!$B$96,S73=MASTER!$B$97,S73=MASTER!$B$98,S73=MASTER!$B$102,S73=MASTER!$B$103,S73=MASTER!$B$99,S73=MASTER!$B$100,S73=MASTER!$B$101,S73=MASTER!$B$104,S73=MASTER!$B$105,S73=MASTER!$B$106,S73=MASTER!$B$107,S73=MASTER!$B$108,S73=MASTER!$B$109),(CONCATENATE(VLOOKUP(S73,MASTER!$B:$D,3,0),L73,"X",M73,"X",VLOOKUP(S73,MASTER!$B:$F,5,0))),(CONCATENATE(VLOOKUP(S73,MASTER!$B:$D,3,0),N73))),"")</f>
        <v/>
      </c>
      <c r="V73" s="89" t="str">
        <f>IFERROR(VLOOKUP(Table9[[#This Row],[ITEM CODE]],FW!$B:$D,3,0),"")</f>
        <v/>
      </c>
      <c r="W73" s="89">
        <f>IF(OR(S73=MASTER!$B$95,S73=MASTER!$B$96,S73=MASTER!$B$97,S73=MASTER!$B$98,S73=MASTER!$B$102,S73=MASTER!$B$103,S73=MASTER!$B$99,S73=MASTER!$B$100,S73=MASTER!$B$101,S73=MASTER!$B$104,S73=MASTER!$B$105,S73=MASTER!$B$106,S73=MASTER!$B$107,S73=MASTER!$B$108,S73=MASTER!$B$109),(Q73*V73),Q73)</f>
        <v>0</v>
      </c>
    </row>
    <row r="74" spans="1:23" ht="15.75" x14ac:dyDescent="0.25">
      <c r="A74" s="66">
        <f t="shared" si="11"/>
        <v>73</v>
      </c>
      <c r="B74" s="66" t="str">
        <f>LEFT(Table13[[#This Row],[ITEM CODE]],MIN(FIND({0,1,2,3,4,5,6,7,8,9},Table13[[#This Row],[ITEM CODE]]&amp;"0123456789"))-1)</f>
        <v/>
      </c>
      <c r="C74" s="64" t="str">
        <f>SUBSTITUTE(Table13[[#This Row],[ITEM CODE]],B74,"")</f>
        <v/>
      </c>
      <c r="D74" s="64" t="str">
        <f t="shared" si="13"/>
        <v/>
      </c>
      <c r="E74" s="89" t="str">
        <f t="shared" si="14"/>
        <v/>
      </c>
      <c r="F74" s="89" t="str">
        <f t="shared" si="15"/>
        <v/>
      </c>
      <c r="G74" s="89" t="str">
        <f t="shared" si="16"/>
        <v/>
      </c>
      <c r="H74" s="89" t="str">
        <f t="shared" si="17"/>
        <v/>
      </c>
      <c r="I74" s="89" t="str">
        <f t="shared" si="18"/>
        <v/>
      </c>
      <c r="J74" s="64" t="str">
        <f>IFERROR(IF(Table2[[#This Row],[L]]&lt;Table2[[#This Row],[W]],Table2[[#This Row],[W]],Table2[[#This Row],[L]]),"")</f>
        <v/>
      </c>
      <c r="K74" s="64" t="str">
        <f>IF(Table2[[#This Row],[L]]&lt;Table2[[#This Row],[W]],Table2[[#This Row],[L]],Table2[[#This Row],[W]])</f>
        <v/>
      </c>
      <c r="L74" s="89" t="str">
        <f t="shared" si="19"/>
        <v/>
      </c>
      <c r="M74" s="89" t="str">
        <f t="shared" si="20"/>
        <v/>
      </c>
      <c r="N74" s="89" t="str">
        <f t="shared" si="21"/>
        <v>XX</v>
      </c>
      <c r="O74" s="89" t="str">
        <f t="shared" si="22"/>
        <v>XX</v>
      </c>
      <c r="P74" s="89" t="str">
        <f>+CONCATENATE(Table2[[#This Row],[1]],Table2[[#This Row],[H]])</f>
        <v/>
      </c>
      <c r="Q74" s="89">
        <f>IFERROR(Table13[[#This Row],[QTY]],"")</f>
        <v>0</v>
      </c>
      <c r="R74" s="89"/>
      <c r="S74" s="89" t="str">
        <f>+Table2[[#This Row],[VARIETY]]</f>
        <v/>
      </c>
      <c r="T74" s="89" t="str">
        <f>IFERROR(VLOOKUP(Table9[[#This Row],[VARIETY]],MASTER!B:D,3,0),"")</f>
        <v/>
      </c>
      <c r="U74" s="89" t="str">
        <f>IFERROR(IF(OR(S74=MASTER!$B$95,S74=MASTER!$B$96,S74=MASTER!$B$97,S74=MASTER!$B$98,S74=MASTER!$B$102,S74=MASTER!$B$103,S74=MASTER!$B$99,S74=MASTER!$B$100,S74=MASTER!$B$101,S74=MASTER!$B$104,S74=MASTER!$B$105,S74=MASTER!$B$106,S74=MASTER!$B$107,S74=MASTER!$B$108,S74=MASTER!$B$109),(CONCATENATE(VLOOKUP(S74,MASTER!$B:$D,3,0),L74,"X",M74,"X",VLOOKUP(S74,MASTER!$B:$F,5,0))),(CONCATENATE(VLOOKUP(S74,MASTER!$B:$D,3,0),N74))),"")</f>
        <v/>
      </c>
      <c r="V74" s="89" t="str">
        <f>IFERROR(VLOOKUP(Table9[[#This Row],[ITEM CODE]],FW!$B:$D,3,0),"")</f>
        <v/>
      </c>
      <c r="W74" s="89">
        <f>IF(OR(S74=MASTER!$B$95,S74=MASTER!$B$96,S74=MASTER!$B$97,S74=MASTER!$B$98,S74=MASTER!$B$102,S74=MASTER!$B$103,S74=MASTER!$B$99,S74=MASTER!$B$100,S74=MASTER!$B$101,S74=MASTER!$B$104,S74=MASTER!$B$105,S74=MASTER!$B$106,S74=MASTER!$B$107,S74=MASTER!$B$108,S74=MASTER!$B$109),(Q74*V74),Q74)</f>
        <v>0</v>
      </c>
    </row>
    <row r="75" spans="1:23" ht="15.75" x14ac:dyDescent="0.25">
      <c r="A75" s="66">
        <f t="shared" si="11"/>
        <v>74</v>
      </c>
      <c r="B75" s="66" t="str">
        <f>LEFT(Table13[[#This Row],[ITEM CODE]],MIN(FIND({0,1,2,3,4,5,6,7,8,9},Table13[[#This Row],[ITEM CODE]]&amp;"0123456789"))-1)</f>
        <v/>
      </c>
      <c r="C75" s="64" t="str">
        <f>SUBSTITUTE(Table13[[#This Row],[ITEM CODE]],B75,"")</f>
        <v/>
      </c>
      <c r="D75" s="64" t="str">
        <f t="shared" si="13"/>
        <v/>
      </c>
      <c r="E75" s="89" t="str">
        <f t="shared" si="14"/>
        <v/>
      </c>
      <c r="F75" s="89" t="str">
        <f t="shared" si="15"/>
        <v/>
      </c>
      <c r="G75" s="89" t="str">
        <f t="shared" si="16"/>
        <v/>
      </c>
      <c r="H75" s="89" t="str">
        <f t="shared" si="17"/>
        <v/>
      </c>
      <c r="I75" s="89" t="str">
        <f t="shared" si="18"/>
        <v/>
      </c>
      <c r="J75" s="64" t="str">
        <f>IFERROR(IF(Table2[[#This Row],[L]]&lt;Table2[[#This Row],[W]],Table2[[#This Row],[W]],Table2[[#This Row],[L]]),"")</f>
        <v/>
      </c>
      <c r="K75" s="64" t="str">
        <f>IF(Table2[[#This Row],[L]]&lt;Table2[[#This Row],[W]],Table2[[#This Row],[L]],Table2[[#This Row],[W]])</f>
        <v/>
      </c>
      <c r="L75" s="89" t="str">
        <f t="shared" si="19"/>
        <v/>
      </c>
      <c r="M75" s="89" t="str">
        <f t="shared" si="20"/>
        <v/>
      </c>
      <c r="N75" s="89" t="str">
        <f t="shared" si="21"/>
        <v>XX</v>
      </c>
      <c r="O75" s="89" t="str">
        <f t="shared" si="22"/>
        <v>XX</v>
      </c>
      <c r="P75" s="89" t="str">
        <f>+CONCATENATE(Table2[[#This Row],[1]],Table2[[#This Row],[H]])</f>
        <v/>
      </c>
      <c r="Q75" s="89">
        <f>IFERROR(Table13[[#This Row],[QTY]],"")</f>
        <v>0</v>
      </c>
      <c r="R75" s="89"/>
      <c r="S75" s="89" t="str">
        <f>+Table2[[#This Row],[VARIETY]]</f>
        <v/>
      </c>
      <c r="T75" s="89" t="str">
        <f>IFERROR(VLOOKUP(Table9[[#This Row],[VARIETY]],MASTER!B:D,3,0),"")</f>
        <v/>
      </c>
      <c r="U75" s="89" t="str">
        <f>IFERROR(IF(OR(S75=MASTER!$B$95,S75=MASTER!$B$96,S75=MASTER!$B$97,S75=MASTER!$B$98,S75=MASTER!$B$102,S75=MASTER!$B$103,S75=MASTER!$B$99,S75=MASTER!$B$100,S75=MASTER!$B$101,S75=MASTER!$B$104,S75=MASTER!$B$105,S75=MASTER!$B$106,S75=MASTER!$B$107,S75=MASTER!$B$108,S75=MASTER!$B$109),(CONCATENATE(VLOOKUP(S75,MASTER!$B:$D,3,0),L75,"X",M75,"X",VLOOKUP(S75,MASTER!$B:$F,5,0))),(CONCATENATE(VLOOKUP(S75,MASTER!$B:$D,3,0),N75))),"")</f>
        <v/>
      </c>
      <c r="V75" s="89" t="str">
        <f>IFERROR(VLOOKUP(Table9[[#This Row],[ITEM CODE]],FW!$B:$D,3,0),"")</f>
        <v/>
      </c>
      <c r="W75" s="89">
        <f>IF(OR(S75=MASTER!$B$95,S75=MASTER!$B$96,S75=MASTER!$B$97,S75=MASTER!$B$98,S75=MASTER!$B$102,S75=MASTER!$B$103,S75=MASTER!$B$99,S75=MASTER!$B$100,S75=MASTER!$B$101,S75=MASTER!$B$104,S75=MASTER!$B$105,S75=MASTER!$B$106,S75=MASTER!$B$107,S75=MASTER!$B$108,S75=MASTER!$B$109),(Q75*V75),Q75)</f>
        <v>0</v>
      </c>
    </row>
    <row r="76" spans="1:23" ht="15.75" x14ac:dyDescent="0.25">
      <c r="A76" s="66">
        <f t="shared" si="11"/>
        <v>75</v>
      </c>
      <c r="B76" s="66" t="str">
        <f>LEFT(Table13[[#This Row],[ITEM CODE]],MIN(FIND({0,1,2,3,4,5,6,7,8,9},Table13[[#This Row],[ITEM CODE]]&amp;"0123456789"))-1)</f>
        <v/>
      </c>
      <c r="C76" s="64" t="str">
        <f>SUBSTITUTE(Table13[[#This Row],[ITEM CODE]],B76,"")</f>
        <v/>
      </c>
      <c r="D76" s="64" t="str">
        <f t="shared" si="13"/>
        <v/>
      </c>
      <c r="E76" s="89" t="str">
        <f t="shared" si="14"/>
        <v/>
      </c>
      <c r="F76" s="89" t="str">
        <f t="shared" si="15"/>
        <v/>
      </c>
      <c r="G76" s="89" t="str">
        <f t="shared" si="16"/>
        <v/>
      </c>
      <c r="H76" s="89" t="str">
        <f t="shared" si="17"/>
        <v/>
      </c>
      <c r="I76" s="89" t="str">
        <f t="shared" si="18"/>
        <v/>
      </c>
      <c r="J76" s="64" t="str">
        <f>IFERROR(IF(Table2[[#This Row],[L]]&lt;Table2[[#This Row],[W]],Table2[[#This Row],[W]],Table2[[#This Row],[L]]),"")</f>
        <v/>
      </c>
      <c r="K76" s="64" t="str">
        <f>IF(Table2[[#This Row],[L]]&lt;Table2[[#This Row],[W]],Table2[[#This Row],[L]],Table2[[#This Row],[W]])</f>
        <v/>
      </c>
      <c r="L76" s="89" t="str">
        <f t="shared" si="19"/>
        <v/>
      </c>
      <c r="M76" s="89" t="str">
        <f t="shared" si="20"/>
        <v/>
      </c>
      <c r="N76" s="89" t="str">
        <f t="shared" si="21"/>
        <v>XX</v>
      </c>
      <c r="O76" s="89" t="str">
        <f t="shared" si="22"/>
        <v>XX</v>
      </c>
      <c r="P76" s="89" t="str">
        <f>+CONCATENATE(Table2[[#This Row],[1]],Table2[[#This Row],[H]])</f>
        <v/>
      </c>
      <c r="Q76" s="89">
        <f>IFERROR(Table13[[#This Row],[QTY]],"")</f>
        <v>0</v>
      </c>
      <c r="R76" s="89"/>
      <c r="S76" s="89" t="str">
        <f>+Table2[[#This Row],[VARIETY]]</f>
        <v/>
      </c>
      <c r="T76" s="89" t="str">
        <f>IFERROR(VLOOKUP(Table9[[#This Row],[VARIETY]],MASTER!B:D,3,0),"")</f>
        <v/>
      </c>
      <c r="U76" s="89" t="str">
        <f>IFERROR(IF(OR(S76=MASTER!$B$95,S76=MASTER!$B$96,S76=MASTER!$B$97,S76=MASTER!$B$98,S76=MASTER!$B$102,S76=MASTER!$B$103,S76=MASTER!$B$99,S76=MASTER!$B$100,S76=MASTER!$B$101,S76=MASTER!$B$104,S76=MASTER!$B$105,S76=MASTER!$B$106,S76=MASTER!$B$107,S76=MASTER!$B$108,S76=MASTER!$B$109),(CONCATENATE(VLOOKUP(S76,MASTER!$B:$D,3,0),L76,"X",M76,"X",VLOOKUP(S76,MASTER!$B:$F,5,0))),(CONCATENATE(VLOOKUP(S76,MASTER!$B:$D,3,0),N76))),"")</f>
        <v/>
      </c>
      <c r="V76" s="89" t="str">
        <f>IFERROR(VLOOKUP(Table9[[#This Row],[ITEM CODE]],FW!$B:$D,3,0),"")</f>
        <v/>
      </c>
      <c r="W76" s="89">
        <f>IF(OR(S76=MASTER!$B$95,S76=MASTER!$B$96,S76=MASTER!$B$97,S76=MASTER!$B$98,S76=MASTER!$B$102,S76=MASTER!$B$103,S76=MASTER!$B$99,S76=MASTER!$B$100,S76=MASTER!$B$101,S76=MASTER!$B$104,S76=MASTER!$B$105,S76=MASTER!$B$106,S76=MASTER!$B$107,S76=MASTER!$B$108,S76=MASTER!$B$109),(Q76*V76),Q76)</f>
        <v>0</v>
      </c>
    </row>
    <row r="77" spans="1:23" ht="15.75" x14ac:dyDescent="0.25">
      <c r="A77" s="66">
        <f t="shared" si="11"/>
        <v>76</v>
      </c>
      <c r="B77" s="66" t="str">
        <f>LEFT(Table13[[#This Row],[ITEM CODE]],MIN(FIND({0,1,2,3,4,5,6,7,8,9},Table13[[#This Row],[ITEM CODE]]&amp;"0123456789"))-1)</f>
        <v/>
      </c>
      <c r="C77" s="64" t="str">
        <f>SUBSTITUTE(Table13[[#This Row],[ITEM CODE]],B77,"")</f>
        <v/>
      </c>
      <c r="D77" s="64" t="str">
        <f t="shared" si="13"/>
        <v/>
      </c>
      <c r="E77" s="89" t="str">
        <f t="shared" si="14"/>
        <v/>
      </c>
      <c r="F77" s="89" t="str">
        <f t="shared" si="15"/>
        <v/>
      </c>
      <c r="G77" s="89" t="str">
        <f t="shared" si="16"/>
        <v/>
      </c>
      <c r="H77" s="89" t="str">
        <f t="shared" si="17"/>
        <v/>
      </c>
      <c r="I77" s="89" t="str">
        <f t="shared" si="18"/>
        <v/>
      </c>
      <c r="J77" s="64" t="str">
        <f>IFERROR(IF(Table2[[#This Row],[L]]&lt;Table2[[#This Row],[W]],Table2[[#This Row],[W]],Table2[[#This Row],[L]]),"")</f>
        <v/>
      </c>
      <c r="K77" s="64" t="str">
        <f>IF(Table2[[#This Row],[L]]&lt;Table2[[#This Row],[W]],Table2[[#This Row],[L]],Table2[[#This Row],[W]])</f>
        <v/>
      </c>
      <c r="L77" s="89" t="str">
        <f t="shared" si="19"/>
        <v/>
      </c>
      <c r="M77" s="89" t="str">
        <f t="shared" si="20"/>
        <v/>
      </c>
      <c r="N77" s="89" t="str">
        <f t="shared" si="21"/>
        <v>XX</v>
      </c>
      <c r="O77" s="89" t="str">
        <f t="shared" si="22"/>
        <v>XX</v>
      </c>
      <c r="P77" s="89" t="str">
        <f>+CONCATENATE(Table2[[#This Row],[1]],Table2[[#This Row],[H]])</f>
        <v/>
      </c>
      <c r="Q77" s="89">
        <f>IFERROR(Table13[[#This Row],[QTY]],"")</f>
        <v>0</v>
      </c>
      <c r="R77" s="89"/>
      <c r="S77" s="89" t="str">
        <f>+Table2[[#This Row],[VARIETY]]</f>
        <v/>
      </c>
      <c r="T77" s="89" t="str">
        <f>IFERROR(VLOOKUP(Table9[[#This Row],[VARIETY]],MASTER!B:D,3,0),"")</f>
        <v/>
      </c>
      <c r="U77" s="89" t="str">
        <f>IFERROR(IF(OR(S77=MASTER!$B$95,S77=MASTER!$B$96,S77=MASTER!$B$97,S77=MASTER!$B$98,S77=MASTER!$B$102,S77=MASTER!$B$103,S77=MASTER!$B$99,S77=MASTER!$B$100,S77=MASTER!$B$101,S77=MASTER!$B$104,S77=MASTER!$B$105,S77=MASTER!$B$106,S77=MASTER!$B$107,S77=MASTER!$B$108,S77=MASTER!$B$109),(CONCATENATE(VLOOKUP(S77,MASTER!$B:$D,3,0),L77,"X",M77,"X",VLOOKUP(S77,MASTER!$B:$F,5,0))),(CONCATENATE(VLOOKUP(S77,MASTER!$B:$D,3,0),N77))),"")</f>
        <v/>
      </c>
      <c r="V77" s="89" t="str">
        <f>IFERROR(VLOOKUP(Table9[[#This Row],[ITEM CODE]],FW!$B:$D,3,0),"")</f>
        <v/>
      </c>
      <c r="W77" s="89">
        <f>IF(OR(S77=MASTER!$B$95,S77=MASTER!$B$96,S77=MASTER!$B$97,S77=MASTER!$B$98,S77=MASTER!$B$102,S77=MASTER!$B$103,S77=MASTER!$B$99,S77=MASTER!$B$100,S77=MASTER!$B$101,S77=MASTER!$B$104,S77=MASTER!$B$105,S77=MASTER!$B$106,S77=MASTER!$B$107,S77=MASTER!$B$108,S77=MASTER!$B$109),(Q77*V77),Q77)</f>
        <v>0</v>
      </c>
    </row>
    <row r="78" spans="1:23" ht="15.75" x14ac:dyDescent="0.25">
      <c r="A78" s="66">
        <f t="shared" si="11"/>
        <v>77</v>
      </c>
      <c r="B78" s="66" t="str">
        <f>LEFT(Table13[[#This Row],[ITEM CODE]],MIN(FIND({0,1,2,3,4,5,6,7,8,9},Table13[[#This Row],[ITEM CODE]]&amp;"0123456789"))-1)</f>
        <v/>
      </c>
      <c r="C78" s="64" t="str">
        <f>SUBSTITUTE(Table13[[#This Row],[ITEM CODE]],B78,"")</f>
        <v/>
      </c>
      <c r="D78" s="64" t="str">
        <f t="shared" si="13"/>
        <v/>
      </c>
      <c r="E78" s="89" t="str">
        <f t="shared" si="14"/>
        <v/>
      </c>
      <c r="F78" s="89" t="str">
        <f t="shared" si="15"/>
        <v/>
      </c>
      <c r="G78" s="89" t="str">
        <f t="shared" si="16"/>
        <v/>
      </c>
      <c r="H78" s="89" t="str">
        <f t="shared" si="17"/>
        <v/>
      </c>
      <c r="I78" s="89" t="str">
        <f t="shared" si="18"/>
        <v/>
      </c>
      <c r="J78" s="64" t="str">
        <f>IFERROR(IF(Table2[[#This Row],[L]]&lt;Table2[[#This Row],[W]],Table2[[#This Row],[W]],Table2[[#This Row],[L]]),"")</f>
        <v/>
      </c>
      <c r="K78" s="64" t="str">
        <f>IF(Table2[[#This Row],[L]]&lt;Table2[[#This Row],[W]],Table2[[#This Row],[L]],Table2[[#This Row],[W]])</f>
        <v/>
      </c>
      <c r="L78" s="89" t="str">
        <f t="shared" si="19"/>
        <v/>
      </c>
      <c r="M78" s="89" t="str">
        <f t="shared" si="20"/>
        <v/>
      </c>
      <c r="N78" s="89" t="str">
        <f t="shared" si="21"/>
        <v>XX</v>
      </c>
      <c r="O78" s="89" t="str">
        <f t="shared" si="22"/>
        <v>XX</v>
      </c>
      <c r="P78" s="89" t="str">
        <f>+CONCATENATE(Table2[[#This Row],[1]],Table2[[#This Row],[H]])</f>
        <v/>
      </c>
      <c r="Q78" s="89">
        <f>IFERROR(Table13[[#This Row],[QTY]],"")</f>
        <v>0</v>
      </c>
      <c r="R78" s="89"/>
      <c r="S78" s="89" t="str">
        <f>+Table2[[#This Row],[VARIETY]]</f>
        <v/>
      </c>
      <c r="T78" s="89" t="str">
        <f>IFERROR(VLOOKUP(Table9[[#This Row],[VARIETY]],MASTER!B:D,3,0),"")</f>
        <v/>
      </c>
      <c r="U78" s="89" t="str">
        <f>IFERROR(IF(OR(S78=MASTER!$B$95,S78=MASTER!$B$96,S78=MASTER!$B$97,S78=MASTER!$B$98,S78=MASTER!$B$102,S78=MASTER!$B$103,S78=MASTER!$B$99,S78=MASTER!$B$100,S78=MASTER!$B$101,S78=MASTER!$B$104,S78=MASTER!$B$105,S78=MASTER!$B$106,S78=MASTER!$B$107,S78=MASTER!$B$108,S78=MASTER!$B$109),(CONCATENATE(VLOOKUP(S78,MASTER!$B:$D,3,0),L78,"X",M78,"X",VLOOKUP(S78,MASTER!$B:$F,5,0))),(CONCATENATE(VLOOKUP(S78,MASTER!$B:$D,3,0),N78))),"")</f>
        <v/>
      </c>
      <c r="V78" s="89" t="str">
        <f>IFERROR(VLOOKUP(Table9[[#This Row],[ITEM CODE]],FW!$B:$D,3,0),"")</f>
        <v/>
      </c>
      <c r="W78" s="89">
        <f>IF(OR(S78=MASTER!$B$95,S78=MASTER!$B$96,S78=MASTER!$B$97,S78=MASTER!$B$98,S78=MASTER!$B$102,S78=MASTER!$B$103,S78=MASTER!$B$99,S78=MASTER!$B$100,S78=MASTER!$B$101,S78=MASTER!$B$104,S78=MASTER!$B$105,S78=MASTER!$B$106,S78=MASTER!$B$107,S78=MASTER!$B$108,S78=MASTER!$B$109),(Q78*V78),Q78)</f>
        <v>0</v>
      </c>
    </row>
    <row r="79" spans="1:23" ht="15.75" x14ac:dyDescent="0.25">
      <c r="A79" s="66">
        <f t="shared" si="11"/>
        <v>78</v>
      </c>
      <c r="B79" s="66" t="str">
        <f>LEFT(Table13[[#This Row],[ITEM CODE]],MIN(FIND({0,1,2,3,4,5,6,7,8,9},Table13[[#This Row],[ITEM CODE]]&amp;"0123456789"))-1)</f>
        <v/>
      </c>
      <c r="C79" s="64" t="str">
        <f>SUBSTITUTE(Table13[[#This Row],[ITEM CODE]],B79,"")</f>
        <v/>
      </c>
      <c r="D79" s="64" t="str">
        <f t="shared" si="13"/>
        <v/>
      </c>
      <c r="E79" s="89" t="str">
        <f t="shared" si="14"/>
        <v/>
      </c>
      <c r="F79" s="89" t="str">
        <f t="shared" si="15"/>
        <v/>
      </c>
      <c r="G79" s="89" t="str">
        <f t="shared" si="16"/>
        <v/>
      </c>
      <c r="H79" s="89" t="str">
        <f t="shared" si="17"/>
        <v/>
      </c>
      <c r="I79" s="89" t="str">
        <f t="shared" si="18"/>
        <v/>
      </c>
      <c r="J79" s="64" t="str">
        <f>IFERROR(IF(Table2[[#This Row],[L]]&lt;Table2[[#This Row],[W]],Table2[[#This Row],[W]],Table2[[#This Row],[L]]),"")</f>
        <v/>
      </c>
      <c r="K79" s="64" t="str">
        <f>IF(Table2[[#This Row],[L]]&lt;Table2[[#This Row],[W]],Table2[[#This Row],[L]],Table2[[#This Row],[W]])</f>
        <v/>
      </c>
      <c r="L79" s="89" t="str">
        <f t="shared" si="19"/>
        <v/>
      </c>
      <c r="M79" s="89" t="str">
        <f t="shared" si="20"/>
        <v/>
      </c>
      <c r="N79" s="89" t="str">
        <f t="shared" si="21"/>
        <v>XX</v>
      </c>
      <c r="O79" s="89" t="str">
        <f t="shared" si="22"/>
        <v>XX</v>
      </c>
      <c r="P79" s="89" t="str">
        <f>+CONCATENATE(Table2[[#This Row],[1]],Table2[[#This Row],[H]])</f>
        <v/>
      </c>
      <c r="Q79" s="89">
        <f>IFERROR(Table13[[#This Row],[QTY]],"")</f>
        <v>0</v>
      </c>
      <c r="R79" s="89"/>
      <c r="S79" s="89" t="str">
        <f>+Table2[[#This Row],[VARIETY]]</f>
        <v/>
      </c>
      <c r="T79" s="89" t="str">
        <f>IFERROR(VLOOKUP(Table9[[#This Row],[VARIETY]],MASTER!B:D,3,0),"")</f>
        <v/>
      </c>
      <c r="U79" s="89" t="str">
        <f>IFERROR(IF(OR(S79=MASTER!$B$95,S79=MASTER!$B$96,S79=MASTER!$B$97,S79=MASTER!$B$98,S79=MASTER!$B$102,S79=MASTER!$B$103,S79=MASTER!$B$99,S79=MASTER!$B$100,S79=MASTER!$B$101,S79=MASTER!$B$104,S79=MASTER!$B$105,S79=MASTER!$B$106,S79=MASTER!$B$107,S79=MASTER!$B$108,S79=MASTER!$B$109),(CONCATENATE(VLOOKUP(S79,MASTER!$B:$D,3,0),L79,"X",M79,"X",VLOOKUP(S79,MASTER!$B:$F,5,0))),(CONCATENATE(VLOOKUP(S79,MASTER!$B:$D,3,0),N79))),"")</f>
        <v/>
      </c>
      <c r="V79" s="89" t="str">
        <f>IFERROR(VLOOKUP(Table9[[#This Row],[ITEM CODE]],FW!$B:$D,3,0),"")</f>
        <v/>
      </c>
      <c r="W79" s="89">
        <f>IF(OR(S79=MASTER!$B$95,S79=MASTER!$B$96,S79=MASTER!$B$97,S79=MASTER!$B$98,S79=MASTER!$B$102,S79=MASTER!$B$103,S79=MASTER!$B$99,S79=MASTER!$B$100,S79=MASTER!$B$101,S79=MASTER!$B$104,S79=MASTER!$B$105,S79=MASTER!$B$106,S79=MASTER!$B$107,S79=MASTER!$B$108,S79=MASTER!$B$109),(Q79*V79),Q79)</f>
        <v>0</v>
      </c>
    </row>
    <row r="80" spans="1:23" ht="15.75" x14ac:dyDescent="0.25">
      <c r="A80" s="66">
        <f t="shared" si="11"/>
        <v>79</v>
      </c>
      <c r="B80" s="66" t="str">
        <f>LEFT(Table13[[#This Row],[ITEM CODE]],MIN(FIND({0,1,2,3,4,5,6,7,8,9},Table13[[#This Row],[ITEM CODE]]&amp;"0123456789"))-1)</f>
        <v/>
      </c>
      <c r="C80" s="64" t="str">
        <f>SUBSTITUTE(Table13[[#This Row],[ITEM CODE]],B80,"")</f>
        <v/>
      </c>
      <c r="D80" s="64" t="str">
        <f t="shared" si="13"/>
        <v/>
      </c>
      <c r="E80" s="89" t="str">
        <f t="shared" si="14"/>
        <v/>
      </c>
      <c r="F80" s="89" t="str">
        <f t="shared" si="15"/>
        <v/>
      </c>
      <c r="G80" s="89" t="str">
        <f t="shared" si="16"/>
        <v/>
      </c>
      <c r="H80" s="89" t="str">
        <f t="shared" si="17"/>
        <v/>
      </c>
      <c r="I80" s="89" t="str">
        <f t="shared" si="18"/>
        <v/>
      </c>
      <c r="J80" s="64" t="str">
        <f>IFERROR(IF(Table2[[#This Row],[L]]&lt;Table2[[#This Row],[W]],Table2[[#This Row],[W]],Table2[[#This Row],[L]]),"")</f>
        <v/>
      </c>
      <c r="K80" s="64" t="str">
        <f>IF(Table2[[#This Row],[L]]&lt;Table2[[#This Row],[W]],Table2[[#This Row],[L]],Table2[[#This Row],[W]])</f>
        <v/>
      </c>
      <c r="L80" s="89" t="str">
        <f t="shared" si="19"/>
        <v/>
      </c>
      <c r="M80" s="89" t="str">
        <f t="shared" si="20"/>
        <v/>
      </c>
      <c r="N80" s="89" t="str">
        <f t="shared" si="21"/>
        <v>XX</v>
      </c>
      <c r="O80" s="89" t="str">
        <f t="shared" si="22"/>
        <v>XX</v>
      </c>
      <c r="P80" s="89" t="str">
        <f>+CONCATENATE(Table2[[#This Row],[1]],Table2[[#This Row],[H]])</f>
        <v/>
      </c>
      <c r="Q80" s="89">
        <f>IFERROR(Table13[[#This Row],[QTY]],"")</f>
        <v>0</v>
      </c>
      <c r="R80" s="89"/>
      <c r="S80" s="89" t="str">
        <f>+Table2[[#This Row],[VARIETY]]</f>
        <v/>
      </c>
      <c r="T80" s="89" t="str">
        <f>IFERROR(VLOOKUP(Table9[[#This Row],[VARIETY]],MASTER!B:D,3,0),"")</f>
        <v/>
      </c>
      <c r="U80" s="89" t="str">
        <f>IFERROR(IF(OR(S80=MASTER!$B$95,S80=MASTER!$B$96,S80=MASTER!$B$97,S80=MASTER!$B$98,S80=MASTER!$B$102,S80=MASTER!$B$103,S80=MASTER!$B$99,S80=MASTER!$B$100,S80=MASTER!$B$101,S80=MASTER!$B$104,S80=MASTER!$B$105,S80=MASTER!$B$106,S80=MASTER!$B$107,S80=MASTER!$B$108,S80=MASTER!$B$109),(CONCATENATE(VLOOKUP(S80,MASTER!$B:$D,3,0),L80,"X",M80,"X",VLOOKUP(S80,MASTER!$B:$F,5,0))),(CONCATENATE(VLOOKUP(S80,MASTER!$B:$D,3,0),N80))),"")</f>
        <v/>
      </c>
      <c r="V80" s="89" t="str">
        <f>IFERROR(VLOOKUP(Table9[[#This Row],[ITEM CODE]],FW!$B:$D,3,0),"")</f>
        <v/>
      </c>
      <c r="W80" s="89">
        <f>IF(OR(S80=MASTER!$B$95,S80=MASTER!$B$96,S80=MASTER!$B$97,S80=MASTER!$B$98,S80=MASTER!$B$102,S80=MASTER!$B$103,S80=MASTER!$B$99,S80=MASTER!$B$100,S80=MASTER!$B$101,S80=MASTER!$B$104,S80=MASTER!$B$105,S80=MASTER!$B$106,S80=MASTER!$B$107,S80=MASTER!$B$108,S80=MASTER!$B$109),(Q80*V80),Q80)</f>
        <v>0</v>
      </c>
    </row>
    <row r="81" spans="1:23" ht="15.75" x14ac:dyDescent="0.25">
      <c r="A81" s="66">
        <f t="shared" si="11"/>
        <v>80</v>
      </c>
      <c r="B81" s="66" t="str">
        <f>LEFT(Table13[[#This Row],[ITEM CODE]],MIN(FIND({0,1,2,3,4,5,6,7,8,9},Table13[[#This Row],[ITEM CODE]]&amp;"0123456789"))-1)</f>
        <v/>
      </c>
      <c r="C81" s="64" t="str">
        <f>SUBSTITUTE(Table13[[#This Row],[ITEM CODE]],B81,"")</f>
        <v/>
      </c>
      <c r="D81" s="64" t="str">
        <f t="shared" si="13"/>
        <v/>
      </c>
      <c r="E81" s="89" t="str">
        <f t="shared" si="14"/>
        <v/>
      </c>
      <c r="F81" s="89" t="str">
        <f t="shared" si="15"/>
        <v/>
      </c>
      <c r="G81" s="89" t="str">
        <f t="shared" si="16"/>
        <v/>
      </c>
      <c r="H81" s="89" t="str">
        <f t="shared" si="17"/>
        <v/>
      </c>
      <c r="I81" s="89" t="str">
        <f t="shared" si="18"/>
        <v/>
      </c>
      <c r="J81" s="64" t="str">
        <f>IFERROR(IF(Table2[[#This Row],[L]]&lt;Table2[[#This Row],[W]],Table2[[#This Row],[W]],Table2[[#This Row],[L]]),"")</f>
        <v/>
      </c>
      <c r="K81" s="64" t="str">
        <f>IF(Table2[[#This Row],[L]]&lt;Table2[[#This Row],[W]],Table2[[#This Row],[L]],Table2[[#This Row],[W]])</f>
        <v/>
      </c>
      <c r="L81" s="89" t="str">
        <f t="shared" si="19"/>
        <v/>
      </c>
      <c r="M81" s="89" t="str">
        <f t="shared" si="20"/>
        <v/>
      </c>
      <c r="N81" s="89" t="str">
        <f t="shared" si="21"/>
        <v>XX</v>
      </c>
      <c r="O81" s="89" t="str">
        <f t="shared" si="22"/>
        <v>XX</v>
      </c>
      <c r="P81" s="89" t="str">
        <f>+CONCATENATE(Table2[[#This Row],[1]],Table2[[#This Row],[H]])</f>
        <v/>
      </c>
      <c r="Q81" s="89">
        <f>IFERROR(Table13[[#This Row],[QTY]],"")</f>
        <v>0</v>
      </c>
      <c r="R81" s="89"/>
      <c r="S81" s="89" t="str">
        <f>+Table2[[#This Row],[VARIETY]]</f>
        <v/>
      </c>
      <c r="T81" s="89" t="str">
        <f>IFERROR(VLOOKUP(Table9[[#This Row],[VARIETY]],MASTER!B:D,3,0),"")</f>
        <v/>
      </c>
      <c r="U81" s="89" t="str">
        <f>IFERROR(IF(OR(S81=MASTER!$B$95,S81=MASTER!$B$96,S81=MASTER!$B$97,S81=MASTER!$B$98,S81=MASTER!$B$102,S81=MASTER!$B$103,S81=MASTER!$B$99,S81=MASTER!$B$100,S81=MASTER!$B$101,S81=MASTER!$B$104,S81=MASTER!$B$105,S81=MASTER!$B$106,S81=MASTER!$B$107,S81=MASTER!$B$108,S81=MASTER!$B$109),(CONCATENATE(VLOOKUP(S81,MASTER!$B:$D,3,0),L81,"X",M81,"X",VLOOKUP(S81,MASTER!$B:$F,5,0))),(CONCATENATE(VLOOKUP(S81,MASTER!$B:$D,3,0),N81))),"")</f>
        <v/>
      </c>
      <c r="V81" s="89" t="str">
        <f>IFERROR(VLOOKUP(Table9[[#This Row],[ITEM CODE]],FW!$B:$D,3,0),"")</f>
        <v/>
      </c>
      <c r="W81" s="89">
        <f>IF(OR(S81=MASTER!$B$95,S81=MASTER!$B$96,S81=MASTER!$B$97,S81=MASTER!$B$98,S81=MASTER!$B$102,S81=MASTER!$B$103,S81=MASTER!$B$99,S81=MASTER!$B$100,S81=MASTER!$B$101,S81=MASTER!$B$104,S81=MASTER!$B$105,S81=MASTER!$B$106,S81=MASTER!$B$107,S81=MASTER!$B$108,S81=MASTER!$B$109),(Q81*V81),Q81)</f>
        <v>0</v>
      </c>
    </row>
    <row r="82" spans="1:23" ht="15.75" x14ac:dyDescent="0.25">
      <c r="A82" s="66">
        <f t="shared" si="11"/>
        <v>81</v>
      </c>
      <c r="B82" s="66" t="str">
        <f>LEFT(Table13[[#This Row],[ITEM CODE]],MIN(FIND({0,1,2,3,4,5,6,7,8,9},Table13[[#This Row],[ITEM CODE]]&amp;"0123456789"))-1)</f>
        <v/>
      </c>
      <c r="C82" s="64" t="str">
        <f>SUBSTITUTE(Table13[[#This Row],[ITEM CODE]],B82,"")</f>
        <v/>
      </c>
      <c r="D82" s="64" t="str">
        <f t="shared" si="13"/>
        <v/>
      </c>
      <c r="E82" s="89" t="str">
        <f t="shared" si="14"/>
        <v/>
      </c>
      <c r="F82" s="89" t="str">
        <f t="shared" si="15"/>
        <v/>
      </c>
      <c r="G82" s="89" t="str">
        <f t="shared" si="16"/>
        <v/>
      </c>
      <c r="H82" s="89" t="str">
        <f t="shared" si="17"/>
        <v/>
      </c>
      <c r="I82" s="89" t="str">
        <f t="shared" si="18"/>
        <v/>
      </c>
      <c r="J82" s="64" t="str">
        <f>IFERROR(IF(Table2[[#This Row],[L]]&lt;Table2[[#This Row],[W]],Table2[[#This Row],[W]],Table2[[#This Row],[L]]),"")</f>
        <v/>
      </c>
      <c r="K82" s="64" t="str">
        <f>IF(Table2[[#This Row],[L]]&lt;Table2[[#This Row],[W]],Table2[[#This Row],[L]],Table2[[#This Row],[W]])</f>
        <v/>
      </c>
      <c r="L82" s="89" t="str">
        <f t="shared" si="19"/>
        <v/>
      </c>
      <c r="M82" s="89" t="str">
        <f t="shared" si="20"/>
        <v/>
      </c>
      <c r="N82" s="89" t="str">
        <f t="shared" si="21"/>
        <v>XX</v>
      </c>
      <c r="O82" s="89" t="str">
        <f t="shared" si="22"/>
        <v>XX</v>
      </c>
      <c r="P82" s="89" t="str">
        <f>+CONCATENATE(Table2[[#This Row],[1]],Table2[[#This Row],[H]])</f>
        <v/>
      </c>
      <c r="Q82" s="89">
        <f>IFERROR(Table13[[#This Row],[QTY]],"")</f>
        <v>0</v>
      </c>
      <c r="R82" s="89"/>
      <c r="S82" s="89" t="str">
        <f>+Table2[[#This Row],[VARIETY]]</f>
        <v/>
      </c>
      <c r="T82" s="89" t="str">
        <f>IFERROR(VLOOKUP(Table9[[#This Row],[VARIETY]],MASTER!B:D,3,0),"")</f>
        <v/>
      </c>
      <c r="U82" s="89" t="str">
        <f>IFERROR(IF(OR(S82=MASTER!$B$95,S82=MASTER!$B$96,S82=MASTER!$B$97,S82=MASTER!$B$98,S82=MASTER!$B$102,S82=MASTER!$B$103,S82=MASTER!$B$99,S82=MASTER!$B$100,S82=MASTER!$B$101,S82=MASTER!$B$104,S82=MASTER!$B$105,S82=MASTER!$B$106,S82=MASTER!$B$107,S82=MASTER!$B$108,S82=MASTER!$B$109),(CONCATENATE(VLOOKUP(S82,MASTER!$B:$D,3,0),L82,"X",M82,"X",VLOOKUP(S82,MASTER!$B:$F,5,0))),(CONCATENATE(VLOOKUP(S82,MASTER!$B:$D,3,0),N82))),"")</f>
        <v/>
      </c>
      <c r="V82" s="89" t="str">
        <f>IFERROR(VLOOKUP(Table9[[#This Row],[ITEM CODE]],FW!$B:$D,3,0),"")</f>
        <v/>
      </c>
      <c r="W82" s="89">
        <f>IF(OR(S82=MASTER!$B$95,S82=MASTER!$B$96,S82=MASTER!$B$97,S82=MASTER!$B$98,S82=MASTER!$B$102,S82=MASTER!$B$103,S82=MASTER!$B$99,S82=MASTER!$B$100,S82=MASTER!$B$101,S82=MASTER!$B$104,S82=MASTER!$B$105,S82=MASTER!$B$106,S82=MASTER!$B$107,S82=MASTER!$B$108,S82=MASTER!$B$109),(Q82*V82),Q82)</f>
        <v>0</v>
      </c>
    </row>
    <row r="83" spans="1:23" ht="15.75" x14ac:dyDescent="0.25">
      <c r="A83" s="66">
        <f t="shared" si="11"/>
        <v>82</v>
      </c>
      <c r="B83" s="66" t="str">
        <f>LEFT(Table13[[#This Row],[ITEM CODE]],MIN(FIND({0,1,2,3,4,5,6,7,8,9},Table13[[#This Row],[ITEM CODE]]&amp;"0123456789"))-1)</f>
        <v/>
      </c>
      <c r="C83" s="64" t="str">
        <f>SUBSTITUTE(Table13[[#This Row],[ITEM CODE]],B83,"")</f>
        <v/>
      </c>
      <c r="D83" s="64" t="str">
        <f t="shared" si="13"/>
        <v/>
      </c>
      <c r="E83" s="89" t="str">
        <f t="shared" si="14"/>
        <v/>
      </c>
      <c r="F83" s="89" t="str">
        <f t="shared" si="15"/>
        <v/>
      </c>
      <c r="G83" s="89" t="str">
        <f t="shared" si="16"/>
        <v/>
      </c>
      <c r="H83" s="89" t="str">
        <f t="shared" si="17"/>
        <v/>
      </c>
      <c r="I83" s="89" t="str">
        <f t="shared" si="18"/>
        <v/>
      </c>
      <c r="J83" s="64" t="str">
        <f>IFERROR(IF(Table2[[#This Row],[L]]&lt;Table2[[#This Row],[W]],Table2[[#This Row],[W]],Table2[[#This Row],[L]]),"")</f>
        <v/>
      </c>
      <c r="K83" s="64" t="str">
        <f>IF(Table2[[#This Row],[L]]&lt;Table2[[#This Row],[W]],Table2[[#This Row],[L]],Table2[[#This Row],[W]])</f>
        <v/>
      </c>
      <c r="L83" s="89" t="str">
        <f t="shared" si="19"/>
        <v/>
      </c>
      <c r="M83" s="89" t="str">
        <f t="shared" si="20"/>
        <v/>
      </c>
      <c r="N83" s="89" t="str">
        <f t="shared" si="21"/>
        <v>XX</v>
      </c>
      <c r="O83" s="89" t="str">
        <f t="shared" si="22"/>
        <v>XX</v>
      </c>
      <c r="P83" s="89" t="str">
        <f>+CONCATENATE(Table2[[#This Row],[1]],Table2[[#This Row],[H]])</f>
        <v/>
      </c>
      <c r="Q83" s="89">
        <f>IFERROR(Table13[[#This Row],[QTY]],"")</f>
        <v>0</v>
      </c>
      <c r="R83" s="89"/>
      <c r="S83" s="89" t="str">
        <f>+Table2[[#This Row],[VARIETY]]</f>
        <v/>
      </c>
      <c r="T83" s="89" t="str">
        <f>IFERROR(VLOOKUP(Table9[[#This Row],[VARIETY]],MASTER!B:D,3,0),"")</f>
        <v/>
      </c>
      <c r="U83" s="89" t="str">
        <f>IFERROR(IF(OR(S83=MASTER!$B$95,S83=MASTER!$B$96,S83=MASTER!$B$97,S83=MASTER!$B$98,S83=MASTER!$B$102,S83=MASTER!$B$103,S83=MASTER!$B$99,S83=MASTER!$B$100,S83=MASTER!$B$101,S83=MASTER!$B$104,S83=MASTER!$B$105,S83=MASTER!$B$106,S83=MASTER!$B$107,S83=MASTER!$B$108,S83=MASTER!$B$109),(CONCATENATE(VLOOKUP(S83,MASTER!$B:$D,3,0),L83,"X",M83,"X",VLOOKUP(S83,MASTER!$B:$F,5,0))),(CONCATENATE(VLOOKUP(S83,MASTER!$B:$D,3,0),N83))),"")</f>
        <v/>
      </c>
      <c r="V83" s="89" t="str">
        <f>IFERROR(VLOOKUP(Table9[[#This Row],[ITEM CODE]],FW!$B:$D,3,0),"")</f>
        <v/>
      </c>
      <c r="W83" s="89">
        <f>IF(OR(S83=MASTER!$B$95,S83=MASTER!$B$96,S83=MASTER!$B$97,S83=MASTER!$B$98,S83=MASTER!$B$102,S83=MASTER!$B$103,S83=MASTER!$B$99,S83=MASTER!$B$100,S83=MASTER!$B$101,S83=MASTER!$B$104,S83=MASTER!$B$105,S83=MASTER!$B$106,S83=MASTER!$B$107,S83=MASTER!$B$108,S83=MASTER!$B$109),(Q83*V83),Q83)</f>
        <v>0</v>
      </c>
    </row>
    <row r="84" spans="1:23" ht="15.75" x14ac:dyDescent="0.25">
      <c r="A84" s="66">
        <f t="shared" si="11"/>
        <v>83</v>
      </c>
      <c r="B84" s="66" t="str">
        <f>LEFT(Table13[[#This Row],[ITEM CODE]],MIN(FIND({0,1,2,3,4,5,6,7,8,9},Table13[[#This Row],[ITEM CODE]]&amp;"0123456789"))-1)</f>
        <v/>
      </c>
      <c r="C84" s="64" t="str">
        <f>SUBSTITUTE(Table13[[#This Row],[ITEM CODE]],B84,"")</f>
        <v/>
      </c>
      <c r="D84" s="64" t="str">
        <f t="shared" ref="D84:D101" si="23">IFERROR(LEFT(C84,FIND("-",C84)-1),C84)</f>
        <v/>
      </c>
      <c r="E84" s="89" t="str">
        <f t="shared" ref="E84:E101" si="24">IFERROR(SEARCH("X",D84),"")</f>
        <v/>
      </c>
      <c r="F84" s="89" t="str">
        <f t="shared" ref="F84:F101" si="25">IFERROR(SEARCH("X",D84,E84+1),"")</f>
        <v/>
      </c>
      <c r="G84" s="89" t="str">
        <f t="shared" ref="G84:G101" si="26">IFERROR(LEFT(C84,SEARCH("x",C84)-1),"")</f>
        <v/>
      </c>
      <c r="H84" s="89" t="str">
        <f t="shared" ref="H84:H101" si="27">IFERROR(MID(D84,E84+1,F84-E84-1),"")</f>
        <v/>
      </c>
      <c r="I84" s="89" t="str">
        <f t="shared" ref="I84:I101" si="28">IFERROR(MID(D84,F84+1,20),"")</f>
        <v/>
      </c>
      <c r="J84" s="64" t="str">
        <f>IFERROR(IF(Table2[[#This Row],[L]]&lt;Table2[[#This Row],[W]],Table2[[#This Row],[W]],Table2[[#This Row],[L]]),"")</f>
        <v/>
      </c>
      <c r="K84" s="64" t="str">
        <f>IF(Table2[[#This Row],[L]]&lt;Table2[[#This Row],[W]],Table2[[#This Row],[L]],Table2[[#This Row],[W]])</f>
        <v/>
      </c>
      <c r="L84" s="89" t="str">
        <f t="shared" ref="L84:L101" si="29">IFERROR(IF(J84="","",IF(VALUE(J84)&gt;=VALUE(K84),IF(OR(VALUE(J84)=13,VALUE(J84)=20,VALUE(J84)=72,VALUE(J84)=75,VALUE(J84)=78,VALUE(J84)=80,VALUE(J84)=84),J84,IF(VALUE(J84)&lt;72,72,IF(VALUE(J84)&lt;75,75,IF(VALUE(J84)&lt;78,78,IF(VALUE(J84)&lt;80,80,IF(VALUE(J84)&lt;84,84,IF(VALUE(J84)&gt;84,84,""""))))))))),0)</f>
        <v/>
      </c>
      <c r="M84" s="89" t="str">
        <f t="shared" ref="M84:M101" si="30">IF(H84="","",IF(VALUE(J84)&gt;=VALUE(K84),IF(OR(VALUE(K84)=13,VALUE(K84)=18,VALUE(K84)=18,VALUE(K84)=30,VALUE(K84)=33,VALUE(K84)=36,VALUE(K84)=39,VALUE(K84)=42,VALUE(K84)=45,VALUE(K84)=48,VALUE(K84)=51,VALUE(K84)=54,VALUE(K84)=57,VALUE(K84)=60,VALUE(K84)=63,VALUE(K84)=66,VALUE(K84)=69,VALUE(K84)=72),K84,IF(VALUE(K84)&lt;30,30,IF(VALUE(K84)&lt;33,33,IF(VALUE(H84)&lt;36,36,IF(VALUE(H84)&lt;39,39,IF(VALUE(H84)&lt;42,42,IF(VALUE(H84)&lt;45,45,IF(VALUE(H84)&lt;48,48,IF(VALUE(H84)&lt;51,51,IF(VALUE(H84)&lt;54,54,IF(VALUE(H84)&lt;57,57,IF(VALUE(K84)&lt;60,60,IF(VALUE(K84)&lt;63,63,IF(VALUE(K84)&lt;66,66,IF(VALUE(K84)&lt;69,69,IF(VALUE(K84)&lt;72,72,IF(VALUE(K84)&gt;72,72,"""")))))))))))))))))))</f>
        <v/>
      </c>
      <c r="N84" s="89" t="str">
        <f t="shared" ref="N84:N101" si="31">IFERROR(CONCATENATE(L84,"X",M84,"X",I84),"")</f>
        <v>XX</v>
      </c>
      <c r="O84" s="89" t="str">
        <f t="shared" ref="O84:O101" si="32">IFERROR(CONCATENATE(B84,N84),"")</f>
        <v>XX</v>
      </c>
      <c r="P84" s="89" t="str">
        <f>+CONCATENATE(Table2[[#This Row],[1]],Table2[[#This Row],[H]])</f>
        <v/>
      </c>
      <c r="Q84" s="89">
        <f>IFERROR(Table13[[#This Row],[QTY]],"")</f>
        <v>0</v>
      </c>
      <c r="R84" s="89"/>
      <c r="S84" s="89" t="str">
        <f>+Table2[[#This Row],[VARIETY]]</f>
        <v/>
      </c>
      <c r="T84" s="89" t="str">
        <f>IFERROR(VLOOKUP(Table9[[#This Row],[VARIETY]],MASTER!B:D,3,0),"")</f>
        <v/>
      </c>
      <c r="U84" s="89" t="str">
        <f>IFERROR(IF(OR(S84=MASTER!$B$95,S84=MASTER!$B$96,S84=MASTER!$B$97,S84=MASTER!$B$98,S84=MASTER!$B$102,S84=MASTER!$B$103,S84=MASTER!$B$99,S84=MASTER!$B$100,S84=MASTER!$B$101,S84=MASTER!$B$104,S84=MASTER!$B$105,S84=MASTER!$B$106,S84=MASTER!$B$107,S84=MASTER!$B$108,S84=MASTER!$B$109),(CONCATENATE(VLOOKUP(S84,MASTER!$B:$D,3,0),L84,"X",M84,"X",VLOOKUP(S84,MASTER!$B:$F,5,0))),(CONCATENATE(VLOOKUP(S84,MASTER!$B:$D,3,0),N84))),"")</f>
        <v/>
      </c>
      <c r="V84" s="89" t="str">
        <f>IFERROR(VLOOKUP(Table9[[#This Row],[ITEM CODE]],FW!$B:$D,3,0),"")</f>
        <v/>
      </c>
      <c r="W84" s="89">
        <f>IF(OR(S84=MASTER!$B$95,S84=MASTER!$B$96,S84=MASTER!$B$97,S84=MASTER!$B$98,S84=MASTER!$B$102,S84=MASTER!$B$103,S84=MASTER!$B$99,S84=MASTER!$B$100,S84=MASTER!$B$101,S84=MASTER!$B$104,S84=MASTER!$B$105,S84=MASTER!$B$106,S84=MASTER!$B$107,S84=MASTER!$B$108,S84=MASTER!$B$109),(Q84*V84),Q84)</f>
        <v>0</v>
      </c>
    </row>
    <row r="85" spans="1:23" ht="15.75" x14ac:dyDescent="0.25">
      <c r="A85" s="66">
        <f t="shared" si="11"/>
        <v>84</v>
      </c>
      <c r="B85" s="66" t="str">
        <f>LEFT(Table13[[#This Row],[ITEM CODE]],MIN(FIND({0,1,2,3,4,5,6,7,8,9},Table13[[#This Row],[ITEM CODE]]&amp;"0123456789"))-1)</f>
        <v/>
      </c>
      <c r="C85" s="64" t="str">
        <f>SUBSTITUTE(Table13[[#This Row],[ITEM CODE]],B85,"")</f>
        <v/>
      </c>
      <c r="D85" s="64" t="str">
        <f t="shared" si="23"/>
        <v/>
      </c>
      <c r="E85" s="89" t="str">
        <f t="shared" si="24"/>
        <v/>
      </c>
      <c r="F85" s="89" t="str">
        <f t="shared" si="25"/>
        <v/>
      </c>
      <c r="G85" s="89" t="str">
        <f t="shared" si="26"/>
        <v/>
      </c>
      <c r="H85" s="89" t="str">
        <f t="shared" si="27"/>
        <v/>
      </c>
      <c r="I85" s="89" t="str">
        <f t="shared" si="28"/>
        <v/>
      </c>
      <c r="J85" s="64" t="str">
        <f>IFERROR(IF(Table2[[#This Row],[L]]&lt;Table2[[#This Row],[W]],Table2[[#This Row],[W]],Table2[[#This Row],[L]]),"")</f>
        <v/>
      </c>
      <c r="K85" s="64" t="str">
        <f>IF(Table2[[#This Row],[L]]&lt;Table2[[#This Row],[W]],Table2[[#This Row],[L]],Table2[[#This Row],[W]])</f>
        <v/>
      </c>
      <c r="L85" s="89" t="str">
        <f t="shared" si="29"/>
        <v/>
      </c>
      <c r="M85" s="89" t="str">
        <f t="shared" si="30"/>
        <v/>
      </c>
      <c r="N85" s="89" t="str">
        <f t="shared" si="31"/>
        <v>XX</v>
      </c>
      <c r="O85" s="89" t="str">
        <f t="shared" si="32"/>
        <v>XX</v>
      </c>
      <c r="P85" s="89" t="str">
        <f>+CONCATENATE(Table2[[#This Row],[1]],Table2[[#This Row],[H]])</f>
        <v/>
      </c>
      <c r="Q85" s="89">
        <f>IFERROR(Table13[[#This Row],[QTY]],"")</f>
        <v>0</v>
      </c>
      <c r="R85" s="89"/>
      <c r="S85" s="89" t="str">
        <f>+Table2[[#This Row],[VARIETY]]</f>
        <v/>
      </c>
      <c r="T85" s="89" t="str">
        <f>IFERROR(VLOOKUP(Table9[[#This Row],[VARIETY]],MASTER!B:D,3,0),"")</f>
        <v/>
      </c>
      <c r="U85" s="89" t="str">
        <f>IFERROR(IF(OR(S85=MASTER!$B$95,S85=MASTER!$B$96,S85=MASTER!$B$97,S85=MASTER!$B$98,S85=MASTER!$B$102,S85=MASTER!$B$103,S85=MASTER!$B$99,S85=MASTER!$B$100,S85=MASTER!$B$101,S85=MASTER!$B$104,S85=MASTER!$B$105,S85=MASTER!$B$106,S85=MASTER!$B$107,S85=MASTER!$B$108,S85=MASTER!$B$109),(CONCATENATE(VLOOKUP(S85,MASTER!$B:$D,3,0),L85,"X",M85,"X",VLOOKUP(S85,MASTER!$B:$F,5,0))),(CONCATENATE(VLOOKUP(S85,MASTER!$B:$D,3,0),N85))),"")</f>
        <v/>
      </c>
      <c r="V85" s="89" t="str">
        <f>IFERROR(VLOOKUP(Table9[[#This Row],[ITEM CODE]],FW!$B:$D,3,0),"")</f>
        <v/>
      </c>
      <c r="W85" s="89">
        <f>IF(OR(S85=MASTER!$B$95,S85=MASTER!$B$96,S85=MASTER!$B$97,S85=MASTER!$B$98,S85=MASTER!$B$102,S85=MASTER!$B$103,S85=MASTER!$B$99,S85=MASTER!$B$100,S85=MASTER!$B$101,S85=MASTER!$B$104,S85=MASTER!$B$105,S85=MASTER!$B$106,S85=MASTER!$B$107,S85=MASTER!$B$108,S85=MASTER!$B$109),(Q85*V85),Q85)</f>
        <v>0</v>
      </c>
    </row>
    <row r="86" spans="1:23" ht="15.75" x14ac:dyDescent="0.25">
      <c r="A86" s="66">
        <f t="shared" si="11"/>
        <v>85</v>
      </c>
      <c r="B86" s="66" t="str">
        <f>LEFT(Table13[[#This Row],[ITEM CODE]],MIN(FIND({0,1,2,3,4,5,6,7,8,9},Table13[[#This Row],[ITEM CODE]]&amp;"0123456789"))-1)</f>
        <v/>
      </c>
      <c r="C86" s="64" t="str">
        <f>SUBSTITUTE(Table13[[#This Row],[ITEM CODE]],B86,"")</f>
        <v/>
      </c>
      <c r="D86" s="64" t="str">
        <f t="shared" si="23"/>
        <v/>
      </c>
      <c r="E86" s="89" t="str">
        <f t="shared" si="24"/>
        <v/>
      </c>
      <c r="F86" s="89" t="str">
        <f t="shared" si="25"/>
        <v/>
      </c>
      <c r="G86" s="89" t="str">
        <f t="shared" si="26"/>
        <v/>
      </c>
      <c r="H86" s="89" t="str">
        <f t="shared" si="27"/>
        <v/>
      </c>
      <c r="I86" s="89" t="str">
        <f t="shared" si="28"/>
        <v/>
      </c>
      <c r="J86" s="64" t="str">
        <f>IFERROR(IF(Table2[[#This Row],[L]]&lt;Table2[[#This Row],[W]],Table2[[#This Row],[W]],Table2[[#This Row],[L]]),"")</f>
        <v/>
      </c>
      <c r="K86" s="64" t="str">
        <f>IF(Table2[[#This Row],[L]]&lt;Table2[[#This Row],[W]],Table2[[#This Row],[L]],Table2[[#This Row],[W]])</f>
        <v/>
      </c>
      <c r="L86" s="89" t="str">
        <f t="shared" si="29"/>
        <v/>
      </c>
      <c r="M86" s="89" t="str">
        <f t="shared" si="30"/>
        <v/>
      </c>
      <c r="N86" s="89" t="str">
        <f t="shared" si="31"/>
        <v>XX</v>
      </c>
      <c r="O86" s="89" t="str">
        <f t="shared" si="32"/>
        <v>XX</v>
      </c>
      <c r="P86" s="89" t="str">
        <f>+CONCATENATE(Table2[[#This Row],[1]],Table2[[#This Row],[H]])</f>
        <v/>
      </c>
      <c r="Q86" s="89">
        <f>IFERROR(Table13[[#This Row],[QTY]],"")</f>
        <v>0</v>
      </c>
      <c r="R86" s="89"/>
      <c r="S86" s="89" t="str">
        <f>+Table2[[#This Row],[VARIETY]]</f>
        <v/>
      </c>
      <c r="T86" s="89" t="str">
        <f>IFERROR(VLOOKUP(Table9[[#This Row],[VARIETY]],MASTER!B:D,3,0),"")</f>
        <v/>
      </c>
      <c r="U86" s="89" t="str">
        <f>IFERROR(IF(OR(S86=MASTER!$B$95,S86=MASTER!$B$96,S86=MASTER!$B$97,S86=MASTER!$B$98,S86=MASTER!$B$102,S86=MASTER!$B$103,S86=MASTER!$B$99,S86=MASTER!$B$100,S86=MASTER!$B$101,S86=MASTER!$B$104,S86=MASTER!$B$105,S86=MASTER!$B$106,S86=MASTER!$B$107,S86=MASTER!$B$108,S86=MASTER!$B$109),(CONCATENATE(VLOOKUP(S86,MASTER!$B:$D,3,0),L86,"X",M86,"X",VLOOKUP(S86,MASTER!$B:$F,5,0))),(CONCATENATE(VLOOKUP(S86,MASTER!$B:$D,3,0),N86))),"")</f>
        <v/>
      </c>
      <c r="V86" s="89" t="str">
        <f>IFERROR(VLOOKUP(Table9[[#This Row],[ITEM CODE]],FW!$B:$D,3,0),"")</f>
        <v/>
      </c>
      <c r="W86" s="89">
        <f>IF(OR(S86=MASTER!$B$95,S86=MASTER!$B$96,S86=MASTER!$B$97,S86=MASTER!$B$98,S86=MASTER!$B$102,S86=MASTER!$B$103,S86=MASTER!$B$99,S86=MASTER!$B$100,S86=MASTER!$B$101,S86=MASTER!$B$104,S86=MASTER!$B$105,S86=MASTER!$B$106,S86=MASTER!$B$107,S86=MASTER!$B$108,S86=MASTER!$B$109),(Q86*V86),Q86)</f>
        <v>0</v>
      </c>
    </row>
    <row r="87" spans="1:23" ht="15.75" x14ac:dyDescent="0.25">
      <c r="A87" s="66">
        <f t="shared" si="11"/>
        <v>86</v>
      </c>
      <c r="B87" s="66" t="str">
        <f>LEFT(Table13[[#This Row],[ITEM CODE]],MIN(FIND({0,1,2,3,4,5,6,7,8,9},Table13[[#This Row],[ITEM CODE]]&amp;"0123456789"))-1)</f>
        <v/>
      </c>
      <c r="C87" s="64" t="str">
        <f>SUBSTITUTE(Table13[[#This Row],[ITEM CODE]],B87,"")</f>
        <v/>
      </c>
      <c r="D87" s="64" t="str">
        <f t="shared" si="23"/>
        <v/>
      </c>
      <c r="E87" s="89" t="str">
        <f t="shared" si="24"/>
        <v/>
      </c>
      <c r="F87" s="89" t="str">
        <f t="shared" si="25"/>
        <v/>
      </c>
      <c r="G87" s="89" t="str">
        <f t="shared" si="26"/>
        <v/>
      </c>
      <c r="H87" s="89" t="str">
        <f t="shared" si="27"/>
        <v/>
      </c>
      <c r="I87" s="89" t="str">
        <f t="shared" si="28"/>
        <v/>
      </c>
      <c r="J87" s="64" t="str">
        <f>IFERROR(IF(Table2[[#This Row],[L]]&lt;Table2[[#This Row],[W]],Table2[[#This Row],[W]],Table2[[#This Row],[L]]),"")</f>
        <v/>
      </c>
      <c r="K87" s="64" t="str">
        <f>IF(Table2[[#This Row],[L]]&lt;Table2[[#This Row],[W]],Table2[[#This Row],[L]],Table2[[#This Row],[W]])</f>
        <v/>
      </c>
      <c r="L87" s="89" t="str">
        <f t="shared" si="29"/>
        <v/>
      </c>
      <c r="M87" s="89" t="str">
        <f t="shared" si="30"/>
        <v/>
      </c>
      <c r="N87" s="89" t="str">
        <f t="shared" si="31"/>
        <v>XX</v>
      </c>
      <c r="O87" s="89" t="str">
        <f t="shared" si="32"/>
        <v>XX</v>
      </c>
      <c r="P87" s="89" t="str">
        <f>+CONCATENATE(Table2[[#This Row],[1]],Table2[[#This Row],[H]])</f>
        <v/>
      </c>
      <c r="Q87" s="89">
        <f>IFERROR(Table13[[#This Row],[QTY]],"")</f>
        <v>0</v>
      </c>
      <c r="R87" s="89"/>
      <c r="S87" s="89" t="str">
        <f>+Table2[[#This Row],[VARIETY]]</f>
        <v/>
      </c>
      <c r="T87" s="89" t="str">
        <f>IFERROR(VLOOKUP(Table9[[#This Row],[VARIETY]],MASTER!B:D,3,0),"")</f>
        <v/>
      </c>
      <c r="U87" s="89" t="str">
        <f>IFERROR(IF(OR(S87=MASTER!$B$95,S87=MASTER!$B$96,S87=MASTER!$B$97,S87=MASTER!$B$98,S87=MASTER!$B$102,S87=MASTER!$B$103,S87=MASTER!$B$99,S87=MASTER!$B$100,S87=MASTER!$B$101,S87=MASTER!$B$104,S87=MASTER!$B$105,S87=MASTER!$B$106,S87=MASTER!$B$107,S87=MASTER!$B$108,S87=MASTER!$B$109),(CONCATENATE(VLOOKUP(S87,MASTER!$B:$D,3,0),L87,"X",M87,"X",VLOOKUP(S87,MASTER!$B:$F,5,0))),(CONCATENATE(VLOOKUP(S87,MASTER!$B:$D,3,0),N87))),"")</f>
        <v/>
      </c>
      <c r="V87" s="89" t="str">
        <f>IFERROR(VLOOKUP(Table9[[#This Row],[ITEM CODE]],FW!$B:$D,3,0),"")</f>
        <v/>
      </c>
      <c r="W87" s="89">
        <f>IF(OR(S87=MASTER!$B$95,S87=MASTER!$B$96,S87=MASTER!$B$97,S87=MASTER!$B$98,S87=MASTER!$B$102,S87=MASTER!$B$103,S87=MASTER!$B$99,S87=MASTER!$B$100,S87=MASTER!$B$101,S87=MASTER!$B$104,S87=MASTER!$B$105,S87=MASTER!$B$106,S87=MASTER!$B$107,S87=MASTER!$B$108,S87=MASTER!$B$109),(Q87*V87),Q87)</f>
        <v>0</v>
      </c>
    </row>
    <row r="88" spans="1:23" ht="15.75" x14ac:dyDescent="0.25">
      <c r="A88" s="66">
        <f t="shared" si="11"/>
        <v>87</v>
      </c>
      <c r="B88" s="66" t="str">
        <f>LEFT(Table13[[#This Row],[ITEM CODE]],MIN(FIND({0,1,2,3,4,5,6,7,8,9},Table13[[#This Row],[ITEM CODE]]&amp;"0123456789"))-1)</f>
        <v/>
      </c>
      <c r="C88" s="64" t="str">
        <f>SUBSTITUTE(Table13[[#This Row],[ITEM CODE]],B88,"")</f>
        <v/>
      </c>
      <c r="D88" s="64" t="str">
        <f t="shared" si="23"/>
        <v/>
      </c>
      <c r="E88" s="89" t="str">
        <f t="shared" si="24"/>
        <v/>
      </c>
      <c r="F88" s="89" t="str">
        <f t="shared" si="25"/>
        <v/>
      </c>
      <c r="G88" s="89" t="str">
        <f t="shared" si="26"/>
        <v/>
      </c>
      <c r="H88" s="89" t="str">
        <f t="shared" si="27"/>
        <v/>
      </c>
      <c r="I88" s="89" t="str">
        <f t="shared" si="28"/>
        <v/>
      </c>
      <c r="J88" s="64" t="str">
        <f>IFERROR(IF(Table2[[#This Row],[L]]&lt;Table2[[#This Row],[W]],Table2[[#This Row],[W]],Table2[[#This Row],[L]]),"")</f>
        <v/>
      </c>
      <c r="K88" s="64" t="str">
        <f>IF(Table2[[#This Row],[L]]&lt;Table2[[#This Row],[W]],Table2[[#This Row],[L]],Table2[[#This Row],[W]])</f>
        <v/>
      </c>
      <c r="L88" s="89" t="str">
        <f t="shared" si="29"/>
        <v/>
      </c>
      <c r="M88" s="89" t="str">
        <f t="shared" si="30"/>
        <v/>
      </c>
      <c r="N88" s="89" t="str">
        <f t="shared" si="31"/>
        <v>XX</v>
      </c>
      <c r="O88" s="89" t="str">
        <f t="shared" si="32"/>
        <v>XX</v>
      </c>
      <c r="P88" s="89" t="str">
        <f>+CONCATENATE(Table2[[#This Row],[1]],Table2[[#This Row],[H]])</f>
        <v/>
      </c>
      <c r="Q88" s="89">
        <f>IFERROR(Table13[[#This Row],[QTY]],"")</f>
        <v>0</v>
      </c>
      <c r="R88" s="89"/>
      <c r="S88" s="89" t="str">
        <f>+Table2[[#This Row],[VARIETY]]</f>
        <v/>
      </c>
      <c r="T88" s="89" t="str">
        <f>IFERROR(VLOOKUP(Table9[[#This Row],[VARIETY]],MASTER!B:D,3,0),"")</f>
        <v/>
      </c>
      <c r="U88" s="89" t="str">
        <f>IFERROR(IF(OR(S88=MASTER!$B$95,S88=MASTER!$B$96,S88=MASTER!$B$97,S88=MASTER!$B$98,S88=MASTER!$B$102,S88=MASTER!$B$103,S88=MASTER!$B$99,S88=MASTER!$B$100,S88=MASTER!$B$101,S88=MASTER!$B$104,S88=MASTER!$B$105,S88=MASTER!$B$106,S88=MASTER!$B$107,S88=MASTER!$B$108,S88=MASTER!$B$109),(CONCATENATE(VLOOKUP(S88,MASTER!$B:$D,3,0),L88,"X",M88,"X",VLOOKUP(S88,MASTER!$B:$F,5,0))),(CONCATENATE(VLOOKUP(S88,MASTER!$B:$D,3,0),N88))),"")</f>
        <v/>
      </c>
      <c r="V88" s="89" t="str">
        <f>IFERROR(VLOOKUP(Table9[[#This Row],[ITEM CODE]],FW!$B:$D,3,0),"")</f>
        <v/>
      </c>
      <c r="W88" s="89">
        <f>IF(OR(S88=MASTER!$B$95,S88=MASTER!$B$96,S88=MASTER!$B$97,S88=MASTER!$B$98,S88=MASTER!$B$102,S88=MASTER!$B$103,S88=MASTER!$B$99,S88=MASTER!$B$100,S88=MASTER!$B$101,S88=MASTER!$B$104,S88=MASTER!$B$105,S88=MASTER!$B$106,S88=MASTER!$B$107,S88=MASTER!$B$108,S88=MASTER!$B$109),(Q88*V88),Q88)</f>
        <v>0</v>
      </c>
    </row>
    <row r="89" spans="1:23" ht="15.75" x14ac:dyDescent="0.25">
      <c r="A89" s="66">
        <f t="shared" si="11"/>
        <v>88</v>
      </c>
      <c r="B89" s="66" t="str">
        <f>LEFT(Table13[[#This Row],[ITEM CODE]],MIN(FIND({0,1,2,3,4,5,6,7,8,9},Table13[[#This Row],[ITEM CODE]]&amp;"0123456789"))-1)</f>
        <v/>
      </c>
      <c r="C89" s="64" t="str">
        <f>SUBSTITUTE(Table13[[#This Row],[ITEM CODE]],B89,"")</f>
        <v/>
      </c>
      <c r="D89" s="64" t="str">
        <f t="shared" si="23"/>
        <v/>
      </c>
      <c r="E89" s="89" t="str">
        <f t="shared" si="24"/>
        <v/>
      </c>
      <c r="F89" s="89" t="str">
        <f t="shared" si="25"/>
        <v/>
      </c>
      <c r="G89" s="89" t="str">
        <f t="shared" si="26"/>
        <v/>
      </c>
      <c r="H89" s="89" t="str">
        <f t="shared" si="27"/>
        <v/>
      </c>
      <c r="I89" s="89" t="str">
        <f t="shared" si="28"/>
        <v/>
      </c>
      <c r="J89" s="64" t="str">
        <f>IFERROR(IF(Table2[[#This Row],[L]]&lt;Table2[[#This Row],[W]],Table2[[#This Row],[W]],Table2[[#This Row],[L]]),"")</f>
        <v/>
      </c>
      <c r="K89" s="64" t="str">
        <f>IF(Table2[[#This Row],[L]]&lt;Table2[[#This Row],[W]],Table2[[#This Row],[L]],Table2[[#This Row],[W]])</f>
        <v/>
      </c>
      <c r="L89" s="89" t="str">
        <f t="shared" si="29"/>
        <v/>
      </c>
      <c r="M89" s="89" t="str">
        <f t="shared" si="30"/>
        <v/>
      </c>
      <c r="N89" s="89" t="str">
        <f t="shared" si="31"/>
        <v>XX</v>
      </c>
      <c r="O89" s="89" t="str">
        <f t="shared" si="32"/>
        <v>XX</v>
      </c>
      <c r="P89" s="89" t="str">
        <f>+CONCATENATE(Table2[[#This Row],[1]],Table2[[#This Row],[H]])</f>
        <v/>
      </c>
      <c r="Q89" s="89">
        <f>IFERROR(Table13[[#This Row],[QTY]],"")</f>
        <v>0</v>
      </c>
      <c r="R89" s="89"/>
      <c r="S89" s="89" t="str">
        <f>+Table2[[#This Row],[VARIETY]]</f>
        <v/>
      </c>
      <c r="T89" s="89" t="str">
        <f>IFERROR(VLOOKUP(Table9[[#This Row],[VARIETY]],MASTER!B:D,3,0),"")</f>
        <v/>
      </c>
      <c r="U89" s="89" t="str">
        <f>IFERROR(IF(OR(S89=MASTER!$B$95,S89=MASTER!$B$96,S89=MASTER!$B$97,S89=MASTER!$B$98,S89=MASTER!$B$102,S89=MASTER!$B$103,S89=MASTER!$B$99,S89=MASTER!$B$100,S89=MASTER!$B$101,S89=MASTER!$B$104,S89=MASTER!$B$105,S89=MASTER!$B$106,S89=MASTER!$B$107,S89=MASTER!$B$108,S89=MASTER!$B$109),(CONCATENATE(VLOOKUP(S89,MASTER!$B:$D,3,0),L89,"X",M89,"X",VLOOKUP(S89,MASTER!$B:$F,5,0))),(CONCATENATE(VLOOKUP(S89,MASTER!$B:$D,3,0),N89))),"")</f>
        <v/>
      </c>
      <c r="V89" s="89" t="str">
        <f>IFERROR(VLOOKUP(Table9[[#This Row],[ITEM CODE]],FW!$B:$D,3,0),"")</f>
        <v/>
      </c>
      <c r="W89" s="89">
        <f>IF(OR(S89=MASTER!$B$95,S89=MASTER!$B$96,S89=MASTER!$B$97,S89=MASTER!$B$98,S89=MASTER!$B$102,S89=MASTER!$B$103,S89=MASTER!$B$99,S89=MASTER!$B$100,S89=MASTER!$B$101,S89=MASTER!$B$104,S89=MASTER!$B$105,S89=MASTER!$B$106,S89=MASTER!$B$107,S89=MASTER!$B$108,S89=MASTER!$B$109),(Q89*V89),Q89)</f>
        <v>0</v>
      </c>
    </row>
    <row r="90" spans="1:23" ht="15.75" x14ac:dyDescent="0.25">
      <c r="A90" s="66">
        <f t="shared" si="11"/>
        <v>89</v>
      </c>
      <c r="B90" s="66" t="str">
        <f>LEFT(Table13[[#This Row],[ITEM CODE]],MIN(FIND({0,1,2,3,4,5,6,7,8,9},Table13[[#This Row],[ITEM CODE]]&amp;"0123456789"))-1)</f>
        <v/>
      </c>
      <c r="C90" s="64" t="str">
        <f>SUBSTITUTE(Table13[[#This Row],[ITEM CODE]],B90,"")</f>
        <v/>
      </c>
      <c r="D90" s="64" t="str">
        <f t="shared" si="23"/>
        <v/>
      </c>
      <c r="E90" s="89" t="str">
        <f t="shared" si="24"/>
        <v/>
      </c>
      <c r="F90" s="89" t="str">
        <f t="shared" si="25"/>
        <v/>
      </c>
      <c r="G90" s="89" t="str">
        <f t="shared" si="26"/>
        <v/>
      </c>
      <c r="H90" s="89" t="str">
        <f t="shared" si="27"/>
        <v/>
      </c>
      <c r="I90" s="89" t="str">
        <f t="shared" si="28"/>
        <v/>
      </c>
      <c r="J90" s="64" t="str">
        <f>IFERROR(IF(Table2[[#This Row],[L]]&lt;Table2[[#This Row],[W]],Table2[[#This Row],[W]],Table2[[#This Row],[L]]),"")</f>
        <v/>
      </c>
      <c r="K90" s="64" t="str">
        <f>IF(Table2[[#This Row],[L]]&lt;Table2[[#This Row],[W]],Table2[[#This Row],[L]],Table2[[#This Row],[W]])</f>
        <v/>
      </c>
      <c r="L90" s="89" t="str">
        <f t="shared" si="29"/>
        <v/>
      </c>
      <c r="M90" s="89" t="str">
        <f t="shared" si="30"/>
        <v/>
      </c>
      <c r="N90" s="89" t="str">
        <f t="shared" si="31"/>
        <v>XX</v>
      </c>
      <c r="O90" s="89" t="str">
        <f t="shared" si="32"/>
        <v>XX</v>
      </c>
      <c r="P90" s="89" t="str">
        <f>+CONCATENATE(Table2[[#This Row],[1]],Table2[[#This Row],[H]])</f>
        <v/>
      </c>
      <c r="Q90" s="89">
        <f>IFERROR(Table13[[#This Row],[QTY]],"")</f>
        <v>0</v>
      </c>
      <c r="R90" s="89"/>
      <c r="S90" s="89" t="str">
        <f>+Table2[[#This Row],[VARIETY]]</f>
        <v/>
      </c>
      <c r="T90" s="89" t="str">
        <f>IFERROR(VLOOKUP(Table9[[#This Row],[VARIETY]],MASTER!B:D,3,0),"")</f>
        <v/>
      </c>
      <c r="U90" s="89" t="str">
        <f>IFERROR(IF(OR(S90=MASTER!$B$95,S90=MASTER!$B$96,S90=MASTER!$B$97,S90=MASTER!$B$98,S90=MASTER!$B$102,S90=MASTER!$B$103,S90=MASTER!$B$99,S90=MASTER!$B$100,S90=MASTER!$B$101,S90=MASTER!$B$104,S90=MASTER!$B$105,S90=MASTER!$B$106,S90=MASTER!$B$107,S90=MASTER!$B$108,S90=MASTER!$B$109),(CONCATENATE(VLOOKUP(S90,MASTER!$B:$D,3,0),L90,"X",M90,"X",VLOOKUP(S90,MASTER!$B:$F,5,0))),(CONCATENATE(VLOOKUP(S90,MASTER!$B:$D,3,0),N90))),"")</f>
        <v/>
      </c>
      <c r="V90" s="89" t="str">
        <f>IFERROR(VLOOKUP(Table9[[#This Row],[ITEM CODE]],FW!$B:$D,3,0),"")</f>
        <v/>
      </c>
      <c r="W90" s="89">
        <f>IF(OR(S90=MASTER!$B$95,S90=MASTER!$B$96,S90=MASTER!$B$97,S90=MASTER!$B$98,S90=MASTER!$B$102,S90=MASTER!$B$103,S90=MASTER!$B$99,S90=MASTER!$B$100,S90=MASTER!$B$101,S90=MASTER!$B$104,S90=MASTER!$B$105,S90=MASTER!$B$106,S90=MASTER!$B$107,S90=MASTER!$B$108,S90=MASTER!$B$109),(Q90*V90),Q90)</f>
        <v>0</v>
      </c>
    </row>
    <row r="91" spans="1:23" ht="15.75" x14ac:dyDescent="0.25">
      <c r="A91" s="66">
        <f t="shared" si="11"/>
        <v>90</v>
      </c>
      <c r="B91" s="66" t="str">
        <f>LEFT(Table13[[#This Row],[ITEM CODE]],MIN(FIND({0,1,2,3,4,5,6,7,8,9},Table13[[#This Row],[ITEM CODE]]&amp;"0123456789"))-1)</f>
        <v/>
      </c>
      <c r="C91" s="64" t="str">
        <f>SUBSTITUTE(Table13[[#This Row],[ITEM CODE]],B91,"")</f>
        <v/>
      </c>
      <c r="D91" s="64" t="str">
        <f t="shared" si="23"/>
        <v/>
      </c>
      <c r="E91" s="89" t="str">
        <f t="shared" si="24"/>
        <v/>
      </c>
      <c r="F91" s="89" t="str">
        <f t="shared" si="25"/>
        <v/>
      </c>
      <c r="G91" s="89" t="str">
        <f t="shared" si="26"/>
        <v/>
      </c>
      <c r="H91" s="89" t="str">
        <f t="shared" si="27"/>
        <v/>
      </c>
      <c r="I91" s="89" t="str">
        <f t="shared" si="28"/>
        <v/>
      </c>
      <c r="J91" s="64" t="str">
        <f>IFERROR(IF(Table2[[#This Row],[L]]&lt;Table2[[#This Row],[W]],Table2[[#This Row],[W]],Table2[[#This Row],[L]]),"")</f>
        <v/>
      </c>
      <c r="K91" s="64" t="str">
        <f>IF(Table2[[#This Row],[L]]&lt;Table2[[#This Row],[W]],Table2[[#This Row],[L]],Table2[[#This Row],[W]])</f>
        <v/>
      </c>
      <c r="L91" s="89" t="str">
        <f t="shared" si="29"/>
        <v/>
      </c>
      <c r="M91" s="89" t="str">
        <f t="shared" si="30"/>
        <v/>
      </c>
      <c r="N91" s="89" t="str">
        <f t="shared" si="31"/>
        <v>XX</v>
      </c>
      <c r="O91" s="89" t="str">
        <f t="shared" si="32"/>
        <v>XX</v>
      </c>
      <c r="P91" s="89" t="str">
        <f>+CONCATENATE(Table2[[#This Row],[1]],Table2[[#This Row],[H]])</f>
        <v/>
      </c>
      <c r="Q91" s="89">
        <f>IFERROR(Table13[[#This Row],[QTY]],"")</f>
        <v>0</v>
      </c>
      <c r="R91" s="89"/>
      <c r="S91" s="89" t="str">
        <f>+Table2[[#This Row],[VARIETY]]</f>
        <v/>
      </c>
      <c r="T91" s="89" t="str">
        <f>IFERROR(VLOOKUP(Table9[[#This Row],[VARIETY]],MASTER!B:D,3,0),"")</f>
        <v/>
      </c>
      <c r="U91" s="89" t="str">
        <f>IFERROR(IF(OR(S91=MASTER!$B$95,S91=MASTER!$B$96,S91=MASTER!$B$97,S91=MASTER!$B$98,S91=MASTER!$B$102,S91=MASTER!$B$103,S91=MASTER!$B$99,S91=MASTER!$B$100,S91=MASTER!$B$101,S91=MASTER!$B$104,S91=MASTER!$B$105,S91=MASTER!$B$106,S91=MASTER!$B$107,S91=MASTER!$B$108,S91=MASTER!$B$109),(CONCATENATE(VLOOKUP(S91,MASTER!$B:$D,3,0),L91,"X",M91,"X",VLOOKUP(S91,MASTER!$B:$F,5,0))),(CONCATENATE(VLOOKUP(S91,MASTER!$B:$D,3,0),N91))),"")</f>
        <v/>
      </c>
      <c r="V91" s="89" t="str">
        <f>IFERROR(VLOOKUP(Table9[[#This Row],[ITEM CODE]],FW!$B:$D,3,0),"")</f>
        <v/>
      </c>
      <c r="W91" s="89">
        <f>IF(OR(S91=MASTER!$B$95,S91=MASTER!$B$96,S91=MASTER!$B$97,S91=MASTER!$B$98,S91=MASTER!$B$102,S91=MASTER!$B$103,S91=MASTER!$B$99,S91=MASTER!$B$100,S91=MASTER!$B$101,S91=MASTER!$B$104,S91=MASTER!$B$105,S91=MASTER!$B$106,S91=MASTER!$B$107,S91=MASTER!$B$108,S91=MASTER!$B$109),(Q91*V91),Q91)</f>
        <v>0</v>
      </c>
    </row>
    <row r="92" spans="1:23" ht="15.75" x14ac:dyDescent="0.25">
      <c r="A92" s="66">
        <f t="shared" si="11"/>
        <v>91</v>
      </c>
      <c r="B92" s="66" t="str">
        <f>LEFT(Table13[[#This Row],[ITEM CODE]],MIN(FIND({0,1,2,3,4,5,6,7,8,9},Table13[[#This Row],[ITEM CODE]]&amp;"0123456789"))-1)</f>
        <v/>
      </c>
      <c r="C92" s="64" t="str">
        <f>SUBSTITUTE(Table13[[#This Row],[ITEM CODE]],B92,"")</f>
        <v/>
      </c>
      <c r="D92" s="64" t="str">
        <f t="shared" si="23"/>
        <v/>
      </c>
      <c r="E92" s="89" t="str">
        <f t="shared" si="24"/>
        <v/>
      </c>
      <c r="F92" s="89" t="str">
        <f t="shared" si="25"/>
        <v/>
      </c>
      <c r="G92" s="89" t="str">
        <f t="shared" si="26"/>
        <v/>
      </c>
      <c r="H92" s="89" t="str">
        <f t="shared" si="27"/>
        <v/>
      </c>
      <c r="I92" s="89" t="str">
        <f t="shared" si="28"/>
        <v/>
      </c>
      <c r="J92" s="64" t="str">
        <f>IFERROR(IF(Table2[[#This Row],[L]]&lt;Table2[[#This Row],[W]],Table2[[#This Row],[W]],Table2[[#This Row],[L]]),"")</f>
        <v/>
      </c>
      <c r="K92" s="64" t="str">
        <f>IF(Table2[[#This Row],[L]]&lt;Table2[[#This Row],[W]],Table2[[#This Row],[L]],Table2[[#This Row],[W]])</f>
        <v/>
      </c>
      <c r="L92" s="89" t="str">
        <f t="shared" si="29"/>
        <v/>
      </c>
      <c r="M92" s="89" t="str">
        <f t="shared" si="30"/>
        <v/>
      </c>
      <c r="N92" s="89" t="str">
        <f t="shared" si="31"/>
        <v>XX</v>
      </c>
      <c r="O92" s="89" t="str">
        <f t="shared" si="32"/>
        <v>XX</v>
      </c>
      <c r="P92" s="89" t="str">
        <f>+CONCATENATE(Table2[[#This Row],[1]],Table2[[#This Row],[H]])</f>
        <v/>
      </c>
      <c r="Q92" s="89">
        <f>IFERROR(Table13[[#This Row],[QTY]],"")</f>
        <v>0</v>
      </c>
      <c r="R92" s="89"/>
      <c r="S92" s="89" t="str">
        <f>+Table2[[#This Row],[VARIETY]]</f>
        <v/>
      </c>
      <c r="T92" s="89" t="str">
        <f>IFERROR(VLOOKUP(Table9[[#This Row],[VARIETY]],MASTER!B:D,3,0),"")</f>
        <v/>
      </c>
      <c r="U92" s="89" t="str">
        <f>IFERROR(IF(OR(S92=MASTER!$B$95,S92=MASTER!$B$96,S92=MASTER!$B$97,S92=MASTER!$B$98,S92=MASTER!$B$102,S92=MASTER!$B$103,S92=MASTER!$B$99,S92=MASTER!$B$100,S92=MASTER!$B$101,S92=MASTER!$B$104,S92=MASTER!$B$105,S92=MASTER!$B$106,S92=MASTER!$B$107,S92=MASTER!$B$108,S92=MASTER!$B$109),(CONCATENATE(VLOOKUP(S92,MASTER!$B:$D,3,0),L92,"X",M92,"X",VLOOKUP(S92,MASTER!$B:$F,5,0))),(CONCATENATE(VLOOKUP(S92,MASTER!$B:$D,3,0),N92))),"")</f>
        <v/>
      </c>
      <c r="V92" s="89" t="str">
        <f>IFERROR(VLOOKUP(Table9[[#This Row],[ITEM CODE]],FW!$B:$D,3,0),"")</f>
        <v/>
      </c>
      <c r="W92" s="89">
        <f>IF(OR(S92=MASTER!$B$95,S92=MASTER!$B$96,S92=MASTER!$B$97,S92=MASTER!$B$98,S92=MASTER!$B$102,S92=MASTER!$B$103,S92=MASTER!$B$99,S92=MASTER!$B$100,S92=MASTER!$B$101,S92=MASTER!$B$104,S92=MASTER!$B$105,S92=MASTER!$B$106,S92=MASTER!$B$107,S92=MASTER!$B$108,S92=MASTER!$B$109),(Q92*V92),Q92)</f>
        <v>0</v>
      </c>
    </row>
    <row r="93" spans="1:23" ht="15.75" x14ac:dyDescent="0.25">
      <c r="A93" s="66">
        <f t="shared" si="11"/>
        <v>92</v>
      </c>
      <c r="B93" s="66" t="str">
        <f>LEFT(Table13[[#This Row],[ITEM CODE]],MIN(FIND({0,1,2,3,4,5,6,7,8,9},Table13[[#This Row],[ITEM CODE]]&amp;"0123456789"))-1)</f>
        <v/>
      </c>
      <c r="C93" s="64" t="str">
        <f>SUBSTITUTE(Table13[[#This Row],[ITEM CODE]],B93,"")</f>
        <v/>
      </c>
      <c r="D93" s="64" t="str">
        <f t="shared" si="23"/>
        <v/>
      </c>
      <c r="E93" s="89" t="str">
        <f t="shared" si="24"/>
        <v/>
      </c>
      <c r="F93" s="89" t="str">
        <f t="shared" si="25"/>
        <v/>
      </c>
      <c r="G93" s="89" t="str">
        <f t="shared" si="26"/>
        <v/>
      </c>
      <c r="H93" s="89" t="str">
        <f t="shared" si="27"/>
        <v/>
      </c>
      <c r="I93" s="89" t="str">
        <f t="shared" si="28"/>
        <v/>
      </c>
      <c r="J93" s="64" t="str">
        <f>IFERROR(IF(Table2[[#This Row],[L]]&lt;Table2[[#This Row],[W]],Table2[[#This Row],[W]],Table2[[#This Row],[L]]),"")</f>
        <v/>
      </c>
      <c r="K93" s="64" t="str">
        <f>IF(Table2[[#This Row],[L]]&lt;Table2[[#This Row],[W]],Table2[[#This Row],[L]],Table2[[#This Row],[W]])</f>
        <v/>
      </c>
      <c r="L93" s="89" t="str">
        <f t="shared" si="29"/>
        <v/>
      </c>
      <c r="M93" s="89" t="str">
        <f t="shared" si="30"/>
        <v/>
      </c>
      <c r="N93" s="89" t="str">
        <f t="shared" si="31"/>
        <v>XX</v>
      </c>
      <c r="O93" s="89" t="str">
        <f t="shared" si="32"/>
        <v>XX</v>
      </c>
      <c r="P93" s="89" t="str">
        <f>+CONCATENATE(Table2[[#This Row],[1]],Table2[[#This Row],[H]])</f>
        <v/>
      </c>
      <c r="Q93" s="89">
        <f>IFERROR(Table13[[#This Row],[QTY]],"")</f>
        <v>0</v>
      </c>
      <c r="R93" s="89"/>
      <c r="S93" s="89" t="str">
        <f>+Table2[[#This Row],[VARIETY]]</f>
        <v/>
      </c>
      <c r="T93" s="89" t="str">
        <f>IFERROR(VLOOKUP(Table9[[#This Row],[VARIETY]],MASTER!B:D,3,0),"")</f>
        <v/>
      </c>
      <c r="U93" s="89" t="str">
        <f>IFERROR(IF(OR(S93=MASTER!$B$95,S93=MASTER!$B$96,S93=MASTER!$B$97,S93=MASTER!$B$98,S93=MASTER!$B$102,S93=MASTER!$B$103,S93=MASTER!$B$99,S93=MASTER!$B$100,S93=MASTER!$B$101,S93=MASTER!$B$104,S93=MASTER!$B$105,S93=MASTER!$B$106,S93=MASTER!$B$107,S93=MASTER!$B$108,S93=MASTER!$B$109),(CONCATENATE(VLOOKUP(S93,MASTER!$B:$D,3,0),L93,"X",M93,"X",VLOOKUP(S93,MASTER!$B:$F,5,0))),(CONCATENATE(VLOOKUP(S93,MASTER!$B:$D,3,0),N93))),"")</f>
        <v/>
      </c>
      <c r="V93" s="89" t="str">
        <f>IFERROR(VLOOKUP(Table9[[#This Row],[ITEM CODE]],FW!$B:$D,3,0),"")</f>
        <v/>
      </c>
      <c r="W93" s="89">
        <f>IF(OR(S93=MASTER!$B$95,S93=MASTER!$B$96,S93=MASTER!$B$97,S93=MASTER!$B$98,S93=MASTER!$B$102,S93=MASTER!$B$103,S93=MASTER!$B$99,S93=MASTER!$B$100,S93=MASTER!$B$101,S93=MASTER!$B$104,S93=MASTER!$B$105,S93=MASTER!$B$106,S93=MASTER!$B$107,S93=MASTER!$B$108,S93=MASTER!$B$109),(Q93*V93),Q93)</f>
        <v>0</v>
      </c>
    </row>
    <row r="94" spans="1:23" ht="15.75" x14ac:dyDescent="0.25">
      <c r="A94" s="66">
        <f t="shared" si="11"/>
        <v>93</v>
      </c>
      <c r="B94" s="66" t="str">
        <f>LEFT(Table13[[#This Row],[ITEM CODE]],MIN(FIND({0,1,2,3,4,5,6,7,8,9},Table13[[#This Row],[ITEM CODE]]&amp;"0123456789"))-1)</f>
        <v/>
      </c>
      <c r="C94" s="64" t="str">
        <f>SUBSTITUTE(Table13[[#This Row],[ITEM CODE]],B94,"")</f>
        <v/>
      </c>
      <c r="D94" s="64" t="str">
        <f t="shared" si="23"/>
        <v/>
      </c>
      <c r="E94" s="89" t="str">
        <f t="shared" si="24"/>
        <v/>
      </c>
      <c r="F94" s="89" t="str">
        <f t="shared" si="25"/>
        <v/>
      </c>
      <c r="G94" s="89" t="str">
        <f t="shared" si="26"/>
        <v/>
      </c>
      <c r="H94" s="89" t="str">
        <f t="shared" si="27"/>
        <v/>
      </c>
      <c r="I94" s="89" t="str">
        <f t="shared" si="28"/>
        <v/>
      </c>
      <c r="J94" s="64" t="str">
        <f>IFERROR(IF(Table2[[#This Row],[L]]&lt;Table2[[#This Row],[W]],Table2[[#This Row],[W]],Table2[[#This Row],[L]]),"")</f>
        <v/>
      </c>
      <c r="K94" s="64" t="str">
        <f>IF(Table2[[#This Row],[L]]&lt;Table2[[#This Row],[W]],Table2[[#This Row],[L]],Table2[[#This Row],[W]])</f>
        <v/>
      </c>
      <c r="L94" s="89" t="str">
        <f t="shared" si="29"/>
        <v/>
      </c>
      <c r="M94" s="89" t="str">
        <f t="shared" si="30"/>
        <v/>
      </c>
      <c r="N94" s="89" t="str">
        <f t="shared" si="31"/>
        <v>XX</v>
      </c>
      <c r="O94" s="89" t="str">
        <f t="shared" si="32"/>
        <v>XX</v>
      </c>
      <c r="P94" s="89" t="str">
        <f>+CONCATENATE(Table2[[#This Row],[1]],Table2[[#This Row],[H]])</f>
        <v/>
      </c>
      <c r="Q94" s="89">
        <f>IFERROR(Table13[[#This Row],[QTY]],"")</f>
        <v>0</v>
      </c>
      <c r="R94" s="89"/>
      <c r="S94" s="89" t="str">
        <f>+Table2[[#This Row],[VARIETY]]</f>
        <v/>
      </c>
      <c r="T94" s="89" t="str">
        <f>IFERROR(VLOOKUP(Table9[[#This Row],[VARIETY]],MASTER!B:D,3,0),"")</f>
        <v/>
      </c>
      <c r="U94" s="89" t="str">
        <f>IFERROR(IF(OR(S94=MASTER!$B$95,S94=MASTER!$B$96,S94=MASTER!$B$97,S94=MASTER!$B$98,S94=MASTER!$B$102,S94=MASTER!$B$103,S94=MASTER!$B$99,S94=MASTER!$B$100,S94=MASTER!$B$101,S94=MASTER!$B$104,S94=MASTER!$B$105,S94=MASTER!$B$106,S94=MASTER!$B$107,S94=MASTER!$B$108,S94=MASTER!$B$109),(CONCATENATE(VLOOKUP(S94,MASTER!$B:$D,3,0),L94,"X",M94,"X",VLOOKUP(S94,MASTER!$B:$F,5,0))),(CONCATENATE(VLOOKUP(S94,MASTER!$B:$D,3,0),N94))),"")</f>
        <v/>
      </c>
      <c r="V94" s="89" t="str">
        <f>IFERROR(VLOOKUP(Table9[[#This Row],[ITEM CODE]],FW!$B:$D,3,0),"")</f>
        <v/>
      </c>
      <c r="W94" s="89">
        <f>IF(OR(S94=MASTER!$B$95,S94=MASTER!$B$96,S94=MASTER!$B$97,S94=MASTER!$B$98,S94=MASTER!$B$102,S94=MASTER!$B$103,S94=MASTER!$B$99,S94=MASTER!$B$100,S94=MASTER!$B$101,S94=MASTER!$B$104,S94=MASTER!$B$105,S94=MASTER!$B$106,S94=MASTER!$B$107,S94=MASTER!$B$108,S94=MASTER!$B$109),(Q94*V94),Q94)</f>
        <v>0</v>
      </c>
    </row>
    <row r="95" spans="1:23" ht="15.75" x14ac:dyDescent="0.25">
      <c r="A95" s="66">
        <f t="shared" si="11"/>
        <v>94</v>
      </c>
      <c r="B95" s="66" t="str">
        <f>LEFT(Table13[[#This Row],[ITEM CODE]],MIN(FIND({0,1,2,3,4,5,6,7,8,9},Table13[[#This Row],[ITEM CODE]]&amp;"0123456789"))-1)</f>
        <v/>
      </c>
      <c r="C95" s="64" t="str">
        <f>SUBSTITUTE(Table13[[#This Row],[ITEM CODE]],B95,"")</f>
        <v/>
      </c>
      <c r="D95" s="64" t="str">
        <f t="shared" si="23"/>
        <v/>
      </c>
      <c r="E95" s="89" t="str">
        <f t="shared" si="24"/>
        <v/>
      </c>
      <c r="F95" s="89" t="str">
        <f t="shared" si="25"/>
        <v/>
      </c>
      <c r="G95" s="89" t="str">
        <f t="shared" si="26"/>
        <v/>
      </c>
      <c r="H95" s="89" t="str">
        <f t="shared" si="27"/>
        <v/>
      </c>
      <c r="I95" s="89" t="str">
        <f t="shared" si="28"/>
        <v/>
      </c>
      <c r="J95" s="64" t="str">
        <f>IFERROR(IF(Table2[[#This Row],[L]]&lt;Table2[[#This Row],[W]],Table2[[#This Row],[W]],Table2[[#This Row],[L]]),"")</f>
        <v/>
      </c>
      <c r="K95" s="64" t="str">
        <f>IF(Table2[[#This Row],[L]]&lt;Table2[[#This Row],[W]],Table2[[#This Row],[L]],Table2[[#This Row],[W]])</f>
        <v/>
      </c>
      <c r="L95" s="89" t="str">
        <f t="shared" si="29"/>
        <v/>
      </c>
      <c r="M95" s="89" t="str">
        <f t="shared" si="30"/>
        <v/>
      </c>
      <c r="N95" s="89" t="str">
        <f t="shared" si="31"/>
        <v>XX</v>
      </c>
      <c r="O95" s="89" t="str">
        <f t="shared" si="32"/>
        <v>XX</v>
      </c>
      <c r="P95" s="89" t="str">
        <f>+CONCATENATE(Table2[[#This Row],[1]],Table2[[#This Row],[H]])</f>
        <v/>
      </c>
      <c r="Q95" s="89">
        <f>IFERROR(Table13[[#This Row],[QTY]],"")</f>
        <v>0</v>
      </c>
      <c r="R95" s="89"/>
      <c r="S95" s="89" t="str">
        <f>+Table2[[#This Row],[VARIETY]]</f>
        <v/>
      </c>
      <c r="T95" s="89" t="str">
        <f>IFERROR(VLOOKUP(Table9[[#This Row],[VARIETY]],MASTER!B:D,3,0),"")</f>
        <v/>
      </c>
      <c r="U95" s="89" t="str">
        <f>IFERROR(IF(OR(S95=MASTER!$B$95,S95=MASTER!$B$96,S95=MASTER!$B$97,S95=MASTER!$B$98,S95=MASTER!$B$102,S95=MASTER!$B$103,S95=MASTER!$B$99,S95=MASTER!$B$100,S95=MASTER!$B$101,S95=MASTER!$B$104,S95=MASTER!$B$105,S95=MASTER!$B$106,S95=MASTER!$B$107,S95=MASTER!$B$108,S95=MASTER!$B$109),(CONCATENATE(VLOOKUP(S95,MASTER!$B:$D,3,0),L95,"X",M95,"X",VLOOKUP(S95,MASTER!$B:$F,5,0))),(CONCATENATE(VLOOKUP(S95,MASTER!$B:$D,3,0),N95))),"")</f>
        <v/>
      </c>
      <c r="V95" s="89" t="str">
        <f>IFERROR(VLOOKUP(Table9[[#This Row],[ITEM CODE]],FW!$B:$D,3,0),"")</f>
        <v/>
      </c>
      <c r="W95" s="89">
        <f>IF(OR(S95=MASTER!$B$95,S95=MASTER!$B$96,S95=MASTER!$B$97,S95=MASTER!$B$98,S95=MASTER!$B$102,S95=MASTER!$B$103,S95=MASTER!$B$99,S95=MASTER!$B$100,S95=MASTER!$B$101,S95=MASTER!$B$104,S95=MASTER!$B$105,S95=MASTER!$B$106,S95=MASTER!$B$107,S95=MASTER!$B$108,S95=MASTER!$B$109),(Q95*V95),Q95)</f>
        <v>0</v>
      </c>
    </row>
    <row r="96" spans="1:23" ht="15.75" x14ac:dyDescent="0.25">
      <c r="A96" s="66">
        <f t="shared" ref="A96:A101" si="33">ROW()-1</f>
        <v>95</v>
      </c>
      <c r="B96" s="66" t="str">
        <f>LEFT(Table13[[#This Row],[ITEM CODE]],MIN(FIND({0,1,2,3,4,5,6,7,8,9},Table13[[#This Row],[ITEM CODE]]&amp;"0123456789"))-1)</f>
        <v/>
      </c>
      <c r="C96" s="64" t="str">
        <f>SUBSTITUTE(Table13[[#This Row],[ITEM CODE]],B96,"")</f>
        <v/>
      </c>
      <c r="D96" s="64" t="str">
        <f t="shared" si="23"/>
        <v/>
      </c>
      <c r="E96" s="89" t="str">
        <f t="shared" si="24"/>
        <v/>
      </c>
      <c r="F96" s="89" t="str">
        <f t="shared" si="25"/>
        <v/>
      </c>
      <c r="G96" s="89" t="str">
        <f t="shared" si="26"/>
        <v/>
      </c>
      <c r="H96" s="89" t="str">
        <f t="shared" si="27"/>
        <v/>
      </c>
      <c r="I96" s="89" t="str">
        <f t="shared" si="28"/>
        <v/>
      </c>
      <c r="J96" s="64" t="str">
        <f>IFERROR(IF(Table2[[#This Row],[L]]&lt;Table2[[#This Row],[W]],Table2[[#This Row],[W]],Table2[[#This Row],[L]]),"")</f>
        <v/>
      </c>
      <c r="K96" s="64" t="str">
        <f>IF(Table2[[#This Row],[L]]&lt;Table2[[#This Row],[W]],Table2[[#This Row],[L]],Table2[[#This Row],[W]])</f>
        <v/>
      </c>
      <c r="L96" s="89" t="str">
        <f t="shared" si="29"/>
        <v/>
      </c>
      <c r="M96" s="89" t="str">
        <f t="shared" si="30"/>
        <v/>
      </c>
      <c r="N96" s="89" t="str">
        <f t="shared" si="31"/>
        <v>XX</v>
      </c>
      <c r="O96" s="89" t="str">
        <f t="shared" si="32"/>
        <v>XX</v>
      </c>
      <c r="P96" s="89" t="str">
        <f>+CONCATENATE(Table2[[#This Row],[1]],Table2[[#This Row],[H]])</f>
        <v/>
      </c>
      <c r="Q96" s="89">
        <f>IFERROR(Table13[[#This Row],[QTY]],"")</f>
        <v>0</v>
      </c>
      <c r="R96" s="89"/>
      <c r="S96" s="89" t="str">
        <f>+Table2[[#This Row],[VARIETY]]</f>
        <v/>
      </c>
      <c r="T96" s="89" t="str">
        <f>IFERROR(VLOOKUP(Table9[[#This Row],[VARIETY]],MASTER!B:D,3,0),"")</f>
        <v/>
      </c>
      <c r="U96" s="89" t="str">
        <f>IFERROR(IF(OR(S96=MASTER!$B$95,S96=MASTER!$B$96,S96=MASTER!$B$97,S96=MASTER!$B$98,S96=MASTER!$B$102,S96=MASTER!$B$103,S96=MASTER!$B$99,S96=MASTER!$B$100,S96=MASTER!$B$101,S96=MASTER!$B$104,S96=MASTER!$B$105,S96=MASTER!$B$106,S96=MASTER!$B$107,S96=MASTER!$B$108,S96=MASTER!$B$109),(CONCATENATE(VLOOKUP(S96,MASTER!$B:$D,3,0),L96,"X",M96,"X",VLOOKUP(S96,MASTER!$B:$F,5,0))),(CONCATENATE(VLOOKUP(S96,MASTER!$B:$D,3,0),N96))),"")</f>
        <v/>
      </c>
      <c r="V96" s="89" t="str">
        <f>IFERROR(VLOOKUP(Table9[[#This Row],[ITEM CODE]],FW!$B:$D,3,0),"")</f>
        <v/>
      </c>
      <c r="W96" s="89">
        <f>IF(OR(S96=MASTER!$B$95,S96=MASTER!$B$96,S96=MASTER!$B$97,S96=MASTER!$B$98,S96=MASTER!$B$102,S96=MASTER!$B$103,S96=MASTER!$B$99,S96=MASTER!$B$100,S96=MASTER!$B$101,S96=MASTER!$B$104,S96=MASTER!$B$105,S96=MASTER!$B$106,S96=MASTER!$B$107,S96=MASTER!$B$108,S96=MASTER!$B$109),(Q96*V96),Q96)</f>
        <v>0</v>
      </c>
    </row>
    <row r="97" spans="1:23" ht="15.75" x14ac:dyDescent="0.25">
      <c r="A97" s="66">
        <f t="shared" si="33"/>
        <v>96</v>
      </c>
      <c r="B97" s="66" t="str">
        <f>LEFT(Table13[[#This Row],[ITEM CODE]],MIN(FIND({0,1,2,3,4,5,6,7,8,9},Table13[[#This Row],[ITEM CODE]]&amp;"0123456789"))-1)</f>
        <v/>
      </c>
      <c r="C97" s="64" t="str">
        <f>SUBSTITUTE(Table13[[#This Row],[ITEM CODE]],B97,"")</f>
        <v/>
      </c>
      <c r="D97" s="64" t="str">
        <f t="shared" si="23"/>
        <v/>
      </c>
      <c r="E97" s="89" t="str">
        <f t="shared" si="24"/>
        <v/>
      </c>
      <c r="F97" s="89" t="str">
        <f t="shared" si="25"/>
        <v/>
      </c>
      <c r="G97" s="89" t="str">
        <f t="shared" si="26"/>
        <v/>
      </c>
      <c r="H97" s="89" t="str">
        <f t="shared" si="27"/>
        <v/>
      </c>
      <c r="I97" s="89" t="str">
        <f t="shared" si="28"/>
        <v/>
      </c>
      <c r="J97" s="64" t="str">
        <f>IFERROR(IF(Table2[[#This Row],[L]]&lt;Table2[[#This Row],[W]],Table2[[#This Row],[W]],Table2[[#This Row],[L]]),"")</f>
        <v/>
      </c>
      <c r="K97" s="64" t="str">
        <f>IF(Table2[[#This Row],[L]]&lt;Table2[[#This Row],[W]],Table2[[#This Row],[L]],Table2[[#This Row],[W]])</f>
        <v/>
      </c>
      <c r="L97" s="89" t="str">
        <f t="shared" si="29"/>
        <v/>
      </c>
      <c r="M97" s="89" t="str">
        <f t="shared" si="30"/>
        <v/>
      </c>
      <c r="N97" s="89" t="str">
        <f t="shared" si="31"/>
        <v>XX</v>
      </c>
      <c r="O97" s="89" t="str">
        <f t="shared" si="32"/>
        <v>XX</v>
      </c>
      <c r="P97" s="89" t="str">
        <f>+CONCATENATE(Table2[[#This Row],[1]],Table2[[#This Row],[H]])</f>
        <v/>
      </c>
      <c r="Q97" s="89">
        <f>IFERROR(Table13[[#This Row],[QTY]],"")</f>
        <v>0</v>
      </c>
      <c r="R97" s="89"/>
      <c r="S97" s="89" t="str">
        <f>+Table2[[#This Row],[VARIETY]]</f>
        <v/>
      </c>
      <c r="T97" s="89" t="str">
        <f>IFERROR(VLOOKUP(Table9[[#This Row],[VARIETY]],MASTER!B:D,3,0),"")</f>
        <v/>
      </c>
      <c r="U97" s="89" t="str">
        <f>IFERROR(IF(OR(S97=MASTER!$B$95,S97=MASTER!$B$96,S97=MASTER!$B$97,S97=MASTER!$B$98,S97=MASTER!$B$102,S97=MASTER!$B$103,S97=MASTER!$B$99,S97=MASTER!$B$100,S97=MASTER!$B$101,S97=MASTER!$B$104,S97=MASTER!$B$105,S97=MASTER!$B$106,S97=MASTER!$B$107,S97=MASTER!$B$108,S97=MASTER!$B$109),(CONCATENATE(VLOOKUP(S97,MASTER!$B:$D,3,0),L97,"X",M97,"X",VLOOKUP(S97,MASTER!$B:$F,5,0))),(CONCATENATE(VLOOKUP(S97,MASTER!$B:$D,3,0),N97))),"")</f>
        <v/>
      </c>
      <c r="V97" s="89" t="str">
        <f>IFERROR(VLOOKUP(Table9[[#This Row],[ITEM CODE]],FW!$B:$D,3,0),"")</f>
        <v/>
      </c>
      <c r="W97" s="89">
        <f>IF(OR(S97=MASTER!$B$95,S97=MASTER!$B$96,S97=MASTER!$B$97,S97=MASTER!$B$98,S97=MASTER!$B$102,S97=MASTER!$B$103,S97=MASTER!$B$99,S97=MASTER!$B$100,S97=MASTER!$B$101,S97=MASTER!$B$104,S97=MASTER!$B$105,S97=MASTER!$B$106,S97=MASTER!$B$107,S97=MASTER!$B$108,S97=MASTER!$B$109),(Q97*V97),Q97)</f>
        <v>0</v>
      </c>
    </row>
    <row r="98" spans="1:23" ht="15.75" x14ac:dyDescent="0.25">
      <c r="A98" s="66">
        <f t="shared" si="33"/>
        <v>97</v>
      </c>
      <c r="B98" s="66" t="str">
        <f>LEFT(Table13[[#This Row],[ITEM CODE]],MIN(FIND({0,1,2,3,4,5,6,7,8,9},Table13[[#This Row],[ITEM CODE]]&amp;"0123456789"))-1)</f>
        <v/>
      </c>
      <c r="C98" s="64" t="str">
        <f>SUBSTITUTE(Table13[[#This Row],[ITEM CODE]],B98,"")</f>
        <v/>
      </c>
      <c r="D98" s="64" t="str">
        <f t="shared" si="23"/>
        <v/>
      </c>
      <c r="E98" s="89" t="str">
        <f t="shared" si="24"/>
        <v/>
      </c>
      <c r="F98" s="89" t="str">
        <f t="shared" si="25"/>
        <v/>
      </c>
      <c r="G98" s="89" t="str">
        <f t="shared" si="26"/>
        <v/>
      </c>
      <c r="H98" s="89" t="str">
        <f t="shared" si="27"/>
        <v/>
      </c>
      <c r="I98" s="89" t="str">
        <f t="shared" si="28"/>
        <v/>
      </c>
      <c r="J98" s="64" t="str">
        <f>IFERROR(IF(Table2[[#This Row],[L]]&lt;Table2[[#This Row],[W]],Table2[[#This Row],[W]],Table2[[#This Row],[L]]),"")</f>
        <v/>
      </c>
      <c r="K98" s="64" t="str">
        <f>IF(Table2[[#This Row],[L]]&lt;Table2[[#This Row],[W]],Table2[[#This Row],[L]],Table2[[#This Row],[W]])</f>
        <v/>
      </c>
      <c r="L98" s="89" t="str">
        <f t="shared" si="29"/>
        <v/>
      </c>
      <c r="M98" s="89" t="str">
        <f t="shared" si="30"/>
        <v/>
      </c>
      <c r="N98" s="89" t="str">
        <f t="shared" si="31"/>
        <v>XX</v>
      </c>
      <c r="O98" s="89" t="str">
        <f t="shared" si="32"/>
        <v>XX</v>
      </c>
      <c r="P98" s="89" t="str">
        <f>+CONCATENATE(Table2[[#This Row],[1]],Table2[[#This Row],[H]])</f>
        <v/>
      </c>
      <c r="Q98" s="89">
        <f>IFERROR(Table13[[#This Row],[QTY]],"")</f>
        <v>0</v>
      </c>
      <c r="R98" s="89"/>
      <c r="S98" s="89" t="str">
        <f>+Table2[[#This Row],[VARIETY]]</f>
        <v/>
      </c>
      <c r="T98" s="89" t="str">
        <f>IFERROR(VLOOKUP(Table9[[#This Row],[VARIETY]],MASTER!B:D,3,0),"")</f>
        <v/>
      </c>
      <c r="U98" s="89" t="str">
        <f>IFERROR(IF(OR(S98=MASTER!$B$95,S98=MASTER!$B$96,S98=MASTER!$B$97,S98=MASTER!$B$98,S98=MASTER!$B$102,S98=MASTER!$B$103,S98=MASTER!$B$99,S98=MASTER!$B$100,S98=MASTER!$B$101,S98=MASTER!$B$104,S98=MASTER!$B$105,S98=MASTER!$B$106,S98=MASTER!$B$107,S98=MASTER!$B$108,S98=MASTER!$B$109),(CONCATENATE(VLOOKUP(S98,MASTER!$B:$D,3,0),L98,"X",M98,"X",VLOOKUP(S98,MASTER!$B:$F,5,0))),(CONCATENATE(VLOOKUP(S98,MASTER!$B:$D,3,0),N98))),"")</f>
        <v/>
      </c>
      <c r="V98" s="89" t="str">
        <f>IFERROR(VLOOKUP(Table9[[#This Row],[ITEM CODE]],FW!$B:$D,3,0),"")</f>
        <v/>
      </c>
      <c r="W98" s="89">
        <f>IF(OR(S98=MASTER!$B$95,S98=MASTER!$B$96,S98=MASTER!$B$97,S98=MASTER!$B$98,S98=MASTER!$B$102,S98=MASTER!$B$103,S98=MASTER!$B$99,S98=MASTER!$B$100,S98=MASTER!$B$101,S98=MASTER!$B$104,S98=MASTER!$B$105,S98=MASTER!$B$106,S98=MASTER!$B$107,S98=MASTER!$B$108,S98=MASTER!$B$109),(Q98*V98),Q98)</f>
        <v>0</v>
      </c>
    </row>
    <row r="99" spans="1:23" ht="15.75" x14ac:dyDescent="0.25">
      <c r="A99" s="66">
        <f t="shared" si="33"/>
        <v>98</v>
      </c>
      <c r="B99" s="66" t="str">
        <f>LEFT(Table13[[#This Row],[ITEM CODE]],MIN(FIND({0,1,2,3,4,5,6,7,8,9},Table13[[#This Row],[ITEM CODE]]&amp;"0123456789"))-1)</f>
        <v/>
      </c>
      <c r="C99" s="64" t="str">
        <f>SUBSTITUTE(Table13[[#This Row],[ITEM CODE]],B99,"")</f>
        <v/>
      </c>
      <c r="D99" s="64" t="str">
        <f t="shared" si="23"/>
        <v/>
      </c>
      <c r="E99" s="89" t="str">
        <f t="shared" si="24"/>
        <v/>
      </c>
      <c r="F99" s="89" t="str">
        <f t="shared" si="25"/>
        <v/>
      </c>
      <c r="G99" s="89" t="str">
        <f t="shared" si="26"/>
        <v/>
      </c>
      <c r="H99" s="89" t="str">
        <f t="shared" si="27"/>
        <v/>
      </c>
      <c r="I99" s="89" t="str">
        <f t="shared" si="28"/>
        <v/>
      </c>
      <c r="J99" s="64" t="str">
        <f>IFERROR(IF(Table2[[#This Row],[L]]&lt;Table2[[#This Row],[W]],Table2[[#This Row],[W]],Table2[[#This Row],[L]]),"")</f>
        <v/>
      </c>
      <c r="K99" s="64" t="str">
        <f>IF(Table2[[#This Row],[L]]&lt;Table2[[#This Row],[W]],Table2[[#This Row],[L]],Table2[[#This Row],[W]])</f>
        <v/>
      </c>
      <c r="L99" s="89" t="str">
        <f t="shared" si="29"/>
        <v/>
      </c>
      <c r="M99" s="89" t="str">
        <f t="shared" si="30"/>
        <v/>
      </c>
      <c r="N99" s="89" t="str">
        <f t="shared" si="31"/>
        <v>XX</v>
      </c>
      <c r="O99" s="89" t="str">
        <f t="shared" si="32"/>
        <v>XX</v>
      </c>
      <c r="P99" s="89" t="str">
        <f>+CONCATENATE(Table2[[#This Row],[1]],Table2[[#This Row],[H]])</f>
        <v/>
      </c>
      <c r="Q99" s="89">
        <f>IFERROR(Table13[[#This Row],[QTY]],"")</f>
        <v>0</v>
      </c>
      <c r="R99" s="89"/>
      <c r="S99" s="89" t="str">
        <f>+Table2[[#This Row],[VARIETY]]</f>
        <v/>
      </c>
      <c r="T99" s="89" t="str">
        <f>IFERROR(VLOOKUP(Table9[[#This Row],[VARIETY]],MASTER!B:D,3,0),"")</f>
        <v/>
      </c>
      <c r="U99" s="89" t="str">
        <f>IFERROR(IF(OR(S99=MASTER!$B$95,S99=MASTER!$B$96,S99=MASTER!$B$97,S99=MASTER!$B$98,S99=MASTER!$B$102,S99=MASTER!$B$103,S99=MASTER!$B$99,S99=MASTER!$B$100,S99=MASTER!$B$101,S99=MASTER!$B$104,S99=MASTER!$B$105,S99=MASTER!$B$106,S99=MASTER!$B$107,S99=MASTER!$B$108,S99=MASTER!$B$109),(CONCATENATE(VLOOKUP(S99,MASTER!$B:$D,3,0),L99,"X",M99,"X",VLOOKUP(S99,MASTER!$B:$F,5,0))),(CONCATENATE(VLOOKUP(S99,MASTER!$B:$D,3,0),N99))),"")</f>
        <v/>
      </c>
      <c r="V99" s="89" t="str">
        <f>IFERROR(VLOOKUP(Table9[[#This Row],[ITEM CODE]],FW!$B:$D,3,0),"")</f>
        <v/>
      </c>
      <c r="W99" s="89">
        <f>IF(OR(S99=MASTER!$B$95,S99=MASTER!$B$96,S99=MASTER!$B$97,S99=MASTER!$B$98,S99=MASTER!$B$102,S99=MASTER!$B$103,S99=MASTER!$B$99,S99=MASTER!$B$100,S99=MASTER!$B$101,S99=MASTER!$B$104,S99=MASTER!$B$105,S99=MASTER!$B$106,S99=MASTER!$B$107,S99=MASTER!$B$108,S99=MASTER!$B$109),(Q99*V99),Q99)</f>
        <v>0</v>
      </c>
    </row>
    <row r="100" spans="1:23" ht="15.75" x14ac:dyDescent="0.25">
      <c r="A100" s="66">
        <f t="shared" si="33"/>
        <v>99</v>
      </c>
      <c r="B100" s="66" t="str">
        <f>LEFT(Table13[[#This Row],[ITEM CODE]],MIN(FIND({0,1,2,3,4,5,6,7,8,9},Table13[[#This Row],[ITEM CODE]]&amp;"0123456789"))-1)</f>
        <v/>
      </c>
      <c r="C100" s="64" t="str">
        <f>SUBSTITUTE(Table13[[#This Row],[ITEM CODE]],B100,"")</f>
        <v/>
      </c>
      <c r="D100" s="64" t="str">
        <f t="shared" si="23"/>
        <v/>
      </c>
      <c r="E100" s="89" t="str">
        <f t="shared" si="24"/>
        <v/>
      </c>
      <c r="F100" s="89" t="str">
        <f t="shared" si="25"/>
        <v/>
      </c>
      <c r="G100" s="89" t="str">
        <f t="shared" si="26"/>
        <v/>
      </c>
      <c r="H100" s="89" t="str">
        <f t="shared" si="27"/>
        <v/>
      </c>
      <c r="I100" s="89" t="str">
        <f t="shared" si="28"/>
        <v/>
      </c>
      <c r="J100" s="64" t="str">
        <f>IFERROR(IF(Table2[[#This Row],[L]]&lt;Table2[[#This Row],[W]],Table2[[#This Row],[W]],Table2[[#This Row],[L]]),"")</f>
        <v/>
      </c>
      <c r="K100" s="64" t="str">
        <f>IF(Table2[[#This Row],[L]]&lt;Table2[[#This Row],[W]],Table2[[#This Row],[L]],Table2[[#This Row],[W]])</f>
        <v/>
      </c>
      <c r="L100" s="89" t="str">
        <f t="shared" si="29"/>
        <v/>
      </c>
      <c r="M100" s="89" t="str">
        <f t="shared" si="30"/>
        <v/>
      </c>
      <c r="N100" s="89" t="str">
        <f t="shared" si="31"/>
        <v>XX</v>
      </c>
      <c r="O100" s="89" t="str">
        <f t="shared" si="32"/>
        <v>XX</v>
      </c>
      <c r="P100" s="89" t="str">
        <f>+CONCATENATE(Table2[[#This Row],[1]],Table2[[#This Row],[H]])</f>
        <v/>
      </c>
      <c r="Q100" s="89">
        <f>IFERROR(Table13[[#This Row],[QTY]],"")</f>
        <v>0</v>
      </c>
      <c r="R100" s="89"/>
      <c r="S100" s="89" t="str">
        <f>+Table2[[#This Row],[VARIETY]]</f>
        <v/>
      </c>
      <c r="T100" s="89" t="str">
        <f>IFERROR(VLOOKUP(Table9[[#This Row],[VARIETY]],MASTER!B:D,3,0),"")</f>
        <v/>
      </c>
      <c r="U100" s="89" t="str">
        <f>IFERROR(IF(OR(S100=MASTER!$B$95,S100=MASTER!$B$96,S100=MASTER!$B$97,S100=MASTER!$B$98,S100=MASTER!$B$102,S100=MASTER!$B$103,S100=MASTER!$B$99,S100=MASTER!$B$100,S100=MASTER!$B$101,S100=MASTER!$B$104,S100=MASTER!$B$105,S100=MASTER!$B$106,S100=MASTER!$B$107,S100=MASTER!$B$108,S100=MASTER!$B$109),(CONCATENATE(VLOOKUP(S100,MASTER!$B:$D,3,0),L100,"X",M100,"X",VLOOKUP(S100,MASTER!$B:$F,5,0))),(CONCATENATE(VLOOKUP(S100,MASTER!$B:$D,3,0),N100))),"")</f>
        <v/>
      </c>
      <c r="V100" s="89" t="str">
        <f>IFERROR(VLOOKUP(Table9[[#This Row],[ITEM CODE]],FW!$B:$D,3,0),"")</f>
        <v/>
      </c>
      <c r="W100" s="89">
        <f>IF(OR(S100=MASTER!$B$95,S100=MASTER!$B$96,S100=MASTER!$B$97,S100=MASTER!$B$98,S100=MASTER!$B$102,S100=MASTER!$B$103,S100=MASTER!$B$99,S100=MASTER!$B$100,S100=MASTER!$B$101,S100=MASTER!$B$104,S100=MASTER!$B$105,S100=MASTER!$B$106,S100=MASTER!$B$107,S100=MASTER!$B$108,S100=MASTER!$B$109),(Q100*V100),Q100)</f>
        <v>0</v>
      </c>
    </row>
    <row r="101" spans="1:23" ht="15.75" x14ac:dyDescent="0.25">
      <c r="A101" s="66">
        <f t="shared" si="33"/>
        <v>100</v>
      </c>
      <c r="B101" s="66" t="str">
        <f>LEFT(Table13[[#This Row],[ITEM CODE]],MIN(FIND({0,1,2,3,4,5,6,7,8,9},Table13[[#This Row],[ITEM CODE]]&amp;"0123456789"))-1)</f>
        <v/>
      </c>
      <c r="C101" s="64" t="str">
        <f>SUBSTITUTE(Table13[[#This Row],[ITEM CODE]],B101,"")</f>
        <v/>
      </c>
      <c r="D101" s="64" t="str">
        <f t="shared" si="23"/>
        <v/>
      </c>
      <c r="E101" s="89" t="str">
        <f t="shared" si="24"/>
        <v/>
      </c>
      <c r="F101" s="89" t="str">
        <f t="shared" si="25"/>
        <v/>
      </c>
      <c r="G101" s="89" t="str">
        <f t="shared" si="26"/>
        <v/>
      </c>
      <c r="H101" s="89" t="str">
        <f t="shared" si="27"/>
        <v/>
      </c>
      <c r="I101" s="89" t="str">
        <f t="shared" si="28"/>
        <v/>
      </c>
      <c r="J101" s="64" t="str">
        <f>IFERROR(IF(Table2[[#This Row],[L]]&lt;Table2[[#This Row],[W]],Table2[[#This Row],[W]],Table2[[#This Row],[L]]),"")</f>
        <v/>
      </c>
      <c r="K101" s="64" t="str">
        <f>IF(Table2[[#This Row],[L]]&lt;Table2[[#This Row],[W]],Table2[[#This Row],[L]],Table2[[#This Row],[W]])</f>
        <v/>
      </c>
      <c r="L101" s="89" t="str">
        <f t="shared" si="29"/>
        <v/>
      </c>
      <c r="M101" s="89" t="str">
        <f t="shared" si="30"/>
        <v/>
      </c>
      <c r="N101" s="89" t="str">
        <f t="shared" si="31"/>
        <v>XX</v>
      </c>
      <c r="O101" s="89" t="str">
        <f t="shared" si="32"/>
        <v>XX</v>
      </c>
      <c r="P101" s="89" t="str">
        <f>+CONCATENATE(Table2[[#This Row],[1]],Table2[[#This Row],[H]])</f>
        <v/>
      </c>
      <c r="Q101" s="89">
        <f>IFERROR(Table13[[#This Row],[QTY]],"")</f>
        <v>0</v>
      </c>
      <c r="R101" s="89"/>
      <c r="S101" s="89" t="str">
        <f>+Table2[[#This Row],[VARIETY]]</f>
        <v/>
      </c>
      <c r="T101" s="89" t="str">
        <f>IFERROR(VLOOKUP(Table9[[#This Row],[VARIETY]],MASTER!B:D,3,0),"")</f>
        <v/>
      </c>
      <c r="U101" s="89" t="str">
        <f>IFERROR(IF(OR(S101=MASTER!$B$95,S101=MASTER!$B$96,S101=MASTER!$B$97,S101=MASTER!$B$98,S101=MASTER!$B$102,S101=MASTER!$B$103,S101=MASTER!$B$99,S101=MASTER!$B$100,S101=MASTER!$B$101,S101=MASTER!$B$104,S101=MASTER!$B$105,S101=MASTER!$B$106,S101=MASTER!$B$107,S101=MASTER!$B$108,S101=MASTER!$B$109),(CONCATENATE(VLOOKUP(S101,MASTER!$B:$D,3,0),L101,"X",M101,"X",VLOOKUP(S101,MASTER!$B:$F,5,0))),(CONCATENATE(VLOOKUP(S101,MASTER!$B:$D,3,0),N101))),"")</f>
        <v/>
      </c>
      <c r="V101" s="89" t="str">
        <f>IFERROR(VLOOKUP(Table9[[#This Row],[ITEM CODE]],FW!$B:$D,3,0),"")</f>
        <v/>
      </c>
      <c r="W101" s="89">
        <f>IF(OR(S101=MASTER!$B$95,S101=MASTER!$B$96,S101=MASTER!$B$97,S101=MASTER!$B$98,S101=MASTER!$B$102,S101=MASTER!$B$103,S101=MASTER!$B$99,S101=MASTER!$B$100,S101=MASTER!$B$101,S101=MASTER!$B$104,S101=MASTER!$B$105,S101=MASTER!$B$106,S101=MASTER!$B$107,S101=MASTER!$B$108,S101=MASTER!$B$109),(Q101*V101),Q101)</f>
        <v>0</v>
      </c>
    </row>
  </sheetData>
  <pageMargins left="0.7" right="0.7" top="0.75" bottom="0.75" header="0.3" footer="0.3"/>
  <pageSetup paperSize="9" orientation="portrait" verticalDpi="203" r:id="rId1"/>
  <tableParts count="2">
    <tablePart r:id="rId2"/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workbookViewId="0">
      <selection activeCell="D24" sqref="D24"/>
    </sheetView>
  </sheetViews>
  <sheetFormatPr defaultRowHeight="15" x14ac:dyDescent="0.25"/>
  <cols>
    <col min="1" max="1" width="33" style="65" customWidth="1"/>
    <col min="2" max="2" width="23.28515625" style="65" hidden="1" customWidth="1"/>
    <col min="3" max="3" width="18.42578125" style="65" hidden="1" customWidth="1"/>
    <col min="4" max="4" width="33.7109375" style="65" customWidth="1"/>
    <col min="5" max="5" width="12.28515625" style="65" bestFit="1" customWidth="1"/>
    <col min="6" max="6" width="28.5703125" style="65" bestFit="1" customWidth="1"/>
    <col min="7" max="7" width="15.42578125" style="65" bestFit="1" customWidth="1"/>
  </cols>
  <sheetData>
    <row r="1" spans="1:7" ht="18" x14ac:dyDescent="0.25">
      <c r="A1" s="125" t="s">
        <v>10876</v>
      </c>
      <c r="B1" s="125"/>
      <c r="C1" s="125"/>
      <c r="D1" s="125"/>
      <c r="E1" s="125"/>
      <c r="F1" s="125"/>
      <c r="G1" s="125"/>
    </row>
    <row r="2" spans="1:7" ht="18" x14ac:dyDescent="0.25">
      <c r="A2" s="95" t="s">
        <v>10877</v>
      </c>
      <c r="B2" s="95" t="s">
        <v>10882</v>
      </c>
      <c r="C2" s="95" t="s">
        <v>10883</v>
      </c>
      <c r="D2" s="95" t="s">
        <v>10879</v>
      </c>
      <c r="E2" s="95" t="s">
        <v>10878</v>
      </c>
      <c r="F2" s="95" t="s">
        <v>10880</v>
      </c>
      <c r="G2" s="95" t="s">
        <v>10881</v>
      </c>
    </row>
    <row r="3" spans="1:7" ht="16.5" hidden="1" customHeight="1" x14ac:dyDescent="0.25">
      <c r="A3" s="94">
        <v>46055</v>
      </c>
      <c r="B3" s="93"/>
      <c r="C3" s="93"/>
      <c r="D3" s="93" t="s">
        <v>10884</v>
      </c>
      <c r="E3" s="93"/>
      <c r="F3" s="93"/>
      <c r="G3" s="93"/>
    </row>
    <row r="4" spans="1:7" ht="16.5" hidden="1" customHeight="1" x14ac:dyDescent="0.25">
      <c r="A4" s="94">
        <v>46056</v>
      </c>
      <c r="B4" s="93"/>
      <c r="C4" s="93"/>
      <c r="D4" s="93" t="s">
        <v>10885</v>
      </c>
      <c r="E4" s="93"/>
      <c r="F4" s="93"/>
      <c r="G4" s="93"/>
    </row>
    <row r="5" spans="1:7" ht="16.5" hidden="1" customHeight="1" x14ac:dyDescent="0.25">
      <c r="A5" s="94">
        <v>46057</v>
      </c>
      <c r="B5" s="93"/>
      <c r="C5" s="93"/>
      <c r="D5" s="93" t="s">
        <v>10886</v>
      </c>
      <c r="E5" s="93"/>
      <c r="F5" s="93"/>
      <c r="G5" s="93"/>
    </row>
    <row r="6" spans="1:7" ht="16.5" hidden="1" customHeight="1" x14ac:dyDescent="0.25">
      <c r="A6" s="94">
        <v>46058</v>
      </c>
      <c r="B6" s="93"/>
      <c r="C6" s="93"/>
      <c r="D6" s="93" t="s">
        <v>10887</v>
      </c>
      <c r="E6" s="93"/>
      <c r="F6" s="93"/>
      <c r="G6" s="93"/>
    </row>
    <row r="7" spans="1:7" ht="16.5" hidden="1" customHeight="1" x14ac:dyDescent="0.25">
      <c r="A7" s="94">
        <v>46059</v>
      </c>
      <c r="B7" s="93"/>
      <c r="C7" s="93"/>
      <c r="D7" s="93" t="s">
        <v>10888</v>
      </c>
      <c r="E7" s="93"/>
      <c r="F7" s="93"/>
      <c r="G7" s="93"/>
    </row>
    <row r="8" spans="1:7" ht="16.5" hidden="1" customHeight="1" x14ac:dyDescent="0.25">
      <c r="A8" s="94">
        <v>46060</v>
      </c>
      <c r="B8" s="93"/>
      <c r="C8" s="93"/>
      <c r="D8" s="93" t="s">
        <v>10889</v>
      </c>
      <c r="E8" s="93"/>
      <c r="F8" s="93"/>
      <c r="G8" s="93"/>
    </row>
    <row r="9" spans="1:7" ht="16.5" customHeight="1" x14ac:dyDescent="0.25">
      <c r="A9" s="104" t="s">
        <v>10917</v>
      </c>
      <c r="B9" s="93"/>
      <c r="C9" s="93"/>
      <c r="D9" s="93" t="s">
        <v>10915</v>
      </c>
      <c r="E9" s="93"/>
      <c r="F9" s="93"/>
      <c r="G9" s="93"/>
    </row>
    <row r="10" spans="1:7" ht="36" x14ac:dyDescent="0.25">
      <c r="A10" s="104" t="s">
        <v>10916</v>
      </c>
      <c r="B10" s="93"/>
      <c r="C10" s="93"/>
      <c r="D10" s="93" t="s">
        <v>10918</v>
      </c>
      <c r="E10" s="93"/>
      <c r="F10" s="93"/>
      <c r="G10" s="93"/>
    </row>
    <row r="11" spans="1:7" ht="36" x14ac:dyDescent="0.25">
      <c r="A11" s="104" t="s">
        <v>10919</v>
      </c>
      <c r="B11" s="93"/>
      <c r="C11" s="93"/>
      <c r="D11" s="93" t="s">
        <v>10920</v>
      </c>
      <c r="E11" s="93"/>
      <c r="F11" s="93"/>
      <c r="G11" s="93"/>
    </row>
    <row r="12" spans="1:7" ht="18" x14ac:dyDescent="0.25">
      <c r="A12" s="93"/>
      <c r="B12" s="93"/>
      <c r="C12" s="93"/>
      <c r="D12" s="93"/>
      <c r="E12" s="93"/>
      <c r="F12" s="93"/>
      <c r="G12" s="93"/>
    </row>
    <row r="13" spans="1:7" ht="18" x14ac:dyDescent="0.25">
      <c r="A13" s="93"/>
      <c r="B13" s="93"/>
      <c r="C13" s="93"/>
      <c r="D13" s="93"/>
      <c r="E13" s="93"/>
      <c r="F13" s="93"/>
      <c r="G13" s="93"/>
    </row>
    <row r="14" spans="1:7" ht="18" x14ac:dyDescent="0.25">
      <c r="A14" s="93"/>
      <c r="B14" s="93"/>
      <c r="C14" s="93"/>
      <c r="D14" s="93"/>
      <c r="E14" s="93"/>
      <c r="F14" s="93"/>
      <c r="G14" s="93"/>
    </row>
    <row r="15" spans="1:7" ht="18" x14ac:dyDescent="0.25">
      <c r="A15" s="93"/>
      <c r="B15" s="93"/>
      <c r="C15" s="93"/>
      <c r="D15" s="93"/>
      <c r="E15" s="93"/>
      <c r="F15" s="93"/>
      <c r="G15" s="93"/>
    </row>
    <row r="16" spans="1:7" ht="18" x14ac:dyDescent="0.25">
      <c r="A16" s="93"/>
      <c r="B16" s="93"/>
      <c r="C16" s="93"/>
      <c r="D16" s="93"/>
      <c r="E16" s="93"/>
      <c r="F16" s="93"/>
      <c r="G16" s="93"/>
    </row>
    <row r="17" spans="1:7" ht="18" x14ac:dyDescent="0.25">
      <c r="A17" s="93"/>
      <c r="B17" s="93"/>
      <c r="C17" s="93"/>
      <c r="D17" s="93"/>
      <c r="E17" s="93"/>
      <c r="F17" s="93"/>
      <c r="G17" s="93"/>
    </row>
    <row r="18" spans="1:7" ht="18" x14ac:dyDescent="0.25">
      <c r="A18" s="93"/>
      <c r="B18" s="93"/>
      <c r="C18" s="93"/>
      <c r="D18" s="93"/>
      <c r="E18" s="93"/>
      <c r="F18" s="93"/>
      <c r="G18" s="93"/>
    </row>
    <row r="19" spans="1:7" ht="18" x14ac:dyDescent="0.25">
      <c r="A19" s="93"/>
      <c r="B19" s="93"/>
      <c r="C19" s="93"/>
      <c r="D19" s="93"/>
      <c r="E19" s="93"/>
      <c r="F19" s="93"/>
      <c r="G19" s="93"/>
    </row>
    <row r="20" spans="1:7" ht="18" x14ac:dyDescent="0.25">
      <c r="A20" s="93"/>
      <c r="B20" s="93"/>
      <c r="C20" s="93"/>
      <c r="D20" s="93"/>
      <c r="E20" s="93"/>
      <c r="F20" s="93"/>
      <c r="G20" s="93"/>
    </row>
    <row r="21" spans="1:7" ht="18" x14ac:dyDescent="0.25">
      <c r="A21" s="93"/>
      <c r="B21" s="93"/>
      <c r="C21" s="93"/>
      <c r="D21" s="93"/>
      <c r="E21" s="93"/>
      <c r="F21" s="93"/>
      <c r="G21" s="93"/>
    </row>
    <row r="22" spans="1:7" ht="18" x14ac:dyDescent="0.25">
      <c r="A22" s="93"/>
      <c r="B22" s="93"/>
      <c r="C22" s="93"/>
      <c r="D22" s="93"/>
      <c r="E22" s="93"/>
      <c r="F22" s="93"/>
      <c r="G22" s="93"/>
    </row>
    <row r="23" spans="1:7" ht="18" x14ac:dyDescent="0.25">
      <c r="A23" s="93"/>
      <c r="B23" s="93"/>
      <c r="C23" s="93"/>
      <c r="D23" s="93"/>
      <c r="E23" s="93"/>
      <c r="F23" s="93"/>
      <c r="G23" s="93"/>
    </row>
    <row r="24" spans="1:7" ht="18" x14ac:dyDescent="0.25">
      <c r="A24" s="93"/>
      <c r="B24" s="93"/>
      <c r="C24" s="93"/>
      <c r="D24" s="93"/>
      <c r="E24" s="93"/>
      <c r="F24" s="93"/>
      <c r="G24" s="93"/>
    </row>
    <row r="25" spans="1:7" ht="18" x14ac:dyDescent="0.25">
      <c r="A25" s="93"/>
      <c r="B25" s="93"/>
      <c r="C25" s="93"/>
      <c r="D25" s="93"/>
      <c r="E25" s="93"/>
      <c r="F25" s="93"/>
      <c r="G25" s="93"/>
    </row>
    <row r="26" spans="1:7" ht="18" x14ac:dyDescent="0.25">
      <c r="A26" s="93"/>
      <c r="B26" s="93"/>
      <c r="C26" s="93"/>
      <c r="D26" s="93"/>
      <c r="E26" s="93"/>
      <c r="F26" s="93"/>
      <c r="G26" s="93"/>
    </row>
    <row r="27" spans="1:7" ht="18" x14ac:dyDescent="0.25">
      <c r="A27" s="93"/>
      <c r="B27" s="93"/>
      <c r="C27" s="93"/>
      <c r="D27" s="93"/>
      <c r="E27" s="93"/>
      <c r="F27" s="93"/>
      <c r="G27" s="93"/>
    </row>
    <row r="28" spans="1:7" ht="18" x14ac:dyDescent="0.25">
      <c r="A28" s="93"/>
      <c r="B28" s="93"/>
      <c r="C28" s="93"/>
      <c r="D28" s="93"/>
      <c r="E28" s="93"/>
      <c r="F28" s="93"/>
      <c r="G28" s="93"/>
    </row>
    <row r="29" spans="1:7" ht="18" x14ac:dyDescent="0.25">
      <c r="A29" s="93"/>
      <c r="B29" s="93"/>
      <c r="C29" s="93"/>
      <c r="D29" s="93"/>
      <c r="E29" s="93"/>
      <c r="F29" s="93"/>
      <c r="G29" s="93"/>
    </row>
    <row r="30" spans="1:7" ht="18" x14ac:dyDescent="0.25">
      <c r="A30" s="93"/>
      <c r="B30" s="93"/>
      <c r="C30" s="93"/>
      <c r="D30" s="93"/>
      <c r="E30" s="93"/>
      <c r="F30" s="93"/>
      <c r="G30" s="93"/>
    </row>
    <row r="31" spans="1:7" ht="18" x14ac:dyDescent="0.25">
      <c r="A31" s="93"/>
      <c r="B31" s="93"/>
      <c r="C31" s="93"/>
      <c r="D31" s="93"/>
      <c r="E31" s="93"/>
      <c r="F31" s="93"/>
      <c r="G31" s="93"/>
    </row>
    <row r="32" spans="1:7" ht="18" x14ac:dyDescent="0.25">
      <c r="A32" s="93"/>
      <c r="B32" s="93"/>
      <c r="C32" s="93"/>
      <c r="D32" s="93"/>
      <c r="E32" s="93"/>
      <c r="F32" s="93"/>
      <c r="G32" s="93"/>
    </row>
    <row r="33" spans="1:7" ht="18" x14ac:dyDescent="0.25">
      <c r="A33" s="93"/>
      <c r="B33" s="93"/>
      <c r="C33" s="93"/>
      <c r="D33" s="93"/>
      <c r="E33" s="93"/>
      <c r="F33" s="93"/>
      <c r="G33" s="93"/>
    </row>
    <row r="34" spans="1:7" ht="18" x14ac:dyDescent="0.25">
      <c r="A34" s="93"/>
      <c r="B34" s="93"/>
      <c r="C34" s="93"/>
      <c r="D34" s="93"/>
      <c r="E34" s="93"/>
      <c r="F34" s="93"/>
      <c r="G34" s="93"/>
    </row>
    <row r="35" spans="1:7" ht="18" x14ac:dyDescent="0.25">
      <c r="A35" s="93"/>
      <c r="B35" s="93"/>
      <c r="C35" s="93"/>
      <c r="D35" s="93"/>
      <c r="E35" s="93"/>
      <c r="F35" s="93"/>
      <c r="G35" s="93"/>
    </row>
  </sheetData>
  <mergeCells count="1">
    <mergeCell ref="A1:G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3"/>
  <sheetViews>
    <sheetView topLeftCell="A114" workbookViewId="0">
      <selection activeCell="I289" sqref="I289"/>
    </sheetView>
  </sheetViews>
  <sheetFormatPr defaultRowHeight="15" x14ac:dyDescent="0.25"/>
  <cols>
    <col min="5" max="5" width="29" customWidth="1"/>
  </cols>
  <sheetData>
    <row r="1" spans="1:8" x14ac:dyDescent="0.25">
      <c r="A1" s="71" t="s">
        <v>9373</v>
      </c>
      <c r="B1" s="71" t="s">
        <v>9374</v>
      </c>
      <c r="C1" s="71" t="s">
        <v>9375</v>
      </c>
      <c r="D1" s="71" t="s">
        <v>9376</v>
      </c>
      <c r="E1" s="72" t="s">
        <v>9323</v>
      </c>
      <c r="F1" s="72" t="s">
        <v>9377</v>
      </c>
    </row>
    <row r="2" spans="1:8" x14ac:dyDescent="0.25">
      <c r="A2">
        <v>13</v>
      </c>
      <c r="B2">
        <v>13</v>
      </c>
      <c r="C2">
        <v>50</v>
      </c>
      <c r="D2">
        <v>23</v>
      </c>
      <c r="E2" t="str">
        <f>CONCATENATE(D2,"D-ECO-FOAM-",A2,"X",B2,"X",C2,"MM")</f>
        <v>23D-ECO-FOAM-13X13X50MM</v>
      </c>
      <c r="F2">
        <f>ROUND((D2*A2*0.0254*B2*0.0254*(C2/1000)),3)</f>
        <v>0.125</v>
      </c>
      <c r="H2" t="s">
        <v>9338</v>
      </c>
    </row>
    <row r="3" spans="1:8" x14ac:dyDescent="0.25">
      <c r="A3">
        <v>20</v>
      </c>
      <c r="B3">
        <v>18</v>
      </c>
      <c r="C3">
        <v>50</v>
      </c>
      <c r="D3">
        <v>23</v>
      </c>
      <c r="E3" t="str">
        <f t="shared" ref="E3:E66" si="0">CONCATENATE(D3,"D-ECO-FOAM-",A3,"X",B3,"X",C3,"MM")</f>
        <v>23D-ECO-FOAM-20X18X50MM</v>
      </c>
      <c r="F3">
        <f t="shared" ref="F3:F66" si="1">ROUND((D3*A3*0.0254*B3*0.0254*(C3/1000)),3)</f>
        <v>0.26700000000000002</v>
      </c>
    </row>
    <row r="4" spans="1:8" x14ac:dyDescent="0.25">
      <c r="A4">
        <v>72</v>
      </c>
      <c r="B4">
        <v>30</v>
      </c>
      <c r="C4">
        <v>50</v>
      </c>
      <c r="D4">
        <v>23</v>
      </c>
      <c r="E4" t="str">
        <f t="shared" si="0"/>
        <v>23D-ECO-FOAM-72X30X50MM</v>
      </c>
      <c r="F4">
        <f t="shared" si="1"/>
        <v>1.603</v>
      </c>
    </row>
    <row r="5" spans="1:8" x14ac:dyDescent="0.25">
      <c r="A5">
        <v>72</v>
      </c>
      <c r="B5">
        <v>33</v>
      </c>
      <c r="C5">
        <v>50</v>
      </c>
      <c r="D5">
        <v>23</v>
      </c>
      <c r="E5" t="str">
        <f t="shared" si="0"/>
        <v>23D-ECO-FOAM-72X33X50MM</v>
      </c>
      <c r="F5">
        <f t="shared" si="1"/>
        <v>1.7629999999999999</v>
      </c>
    </row>
    <row r="6" spans="1:8" x14ac:dyDescent="0.25">
      <c r="A6">
        <v>72</v>
      </c>
      <c r="B6">
        <v>36</v>
      </c>
      <c r="C6">
        <v>50</v>
      </c>
      <c r="D6">
        <v>23</v>
      </c>
      <c r="E6" t="str">
        <f t="shared" si="0"/>
        <v>23D-ECO-FOAM-72X36X50MM</v>
      </c>
      <c r="F6">
        <f t="shared" si="1"/>
        <v>1.923</v>
      </c>
    </row>
    <row r="7" spans="1:8" x14ac:dyDescent="0.25">
      <c r="A7">
        <v>72</v>
      </c>
      <c r="B7">
        <v>39</v>
      </c>
      <c r="C7">
        <v>50</v>
      </c>
      <c r="D7">
        <v>23</v>
      </c>
      <c r="E7" t="str">
        <f t="shared" si="0"/>
        <v>23D-ECO-FOAM-72X39X50MM</v>
      </c>
      <c r="F7">
        <f t="shared" si="1"/>
        <v>2.0830000000000002</v>
      </c>
    </row>
    <row r="8" spans="1:8" x14ac:dyDescent="0.25">
      <c r="A8">
        <v>72</v>
      </c>
      <c r="B8">
        <v>42</v>
      </c>
      <c r="C8">
        <v>50</v>
      </c>
      <c r="D8">
        <v>23</v>
      </c>
      <c r="E8" t="str">
        <f t="shared" si="0"/>
        <v>23D-ECO-FOAM-72X42X50MM</v>
      </c>
      <c r="F8">
        <f t="shared" si="1"/>
        <v>2.2440000000000002</v>
      </c>
    </row>
    <row r="9" spans="1:8" x14ac:dyDescent="0.25">
      <c r="A9">
        <v>72</v>
      </c>
      <c r="B9">
        <v>45</v>
      </c>
      <c r="C9">
        <v>50</v>
      </c>
      <c r="D9">
        <v>23</v>
      </c>
      <c r="E9" t="str">
        <f t="shared" si="0"/>
        <v>23D-ECO-FOAM-72X45X50MM</v>
      </c>
      <c r="F9">
        <f t="shared" si="1"/>
        <v>2.4039999999999999</v>
      </c>
    </row>
    <row r="10" spans="1:8" x14ac:dyDescent="0.25">
      <c r="A10">
        <v>72</v>
      </c>
      <c r="B10">
        <v>48</v>
      </c>
      <c r="C10">
        <v>50</v>
      </c>
      <c r="D10">
        <v>23</v>
      </c>
      <c r="E10" t="str">
        <f t="shared" si="0"/>
        <v>23D-ECO-FOAM-72X48X50MM</v>
      </c>
      <c r="F10">
        <f t="shared" si="1"/>
        <v>2.5640000000000001</v>
      </c>
    </row>
    <row r="11" spans="1:8" x14ac:dyDescent="0.25">
      <c r="A11">
        <v>72</v>
      </c>
      <c r="B11">
        <v>51</v>
      </c>
      <c r="C11">
        <v>50</v>
      </c>
      <c r="D11">
        <v>23</v>
      </c>
      <c r="E11" t="str">
        <f t="shared" si="0"/>
        <v>23D-ECO-FOAM-72X51X50MM</v>
      </c>
      <c r="F11">
        <f t="shared" si="1"/>
        <v>2.7240000000000002</v>
      </c>
    </row>
    <row r="12" spans="1:8" x14ac:dyDescent="0.25">
      <c r="A12">
        <v>72</v>
      </c>
      <c r="B12">
        <v>54</v>
      </c>
      <c r="C12">
        <v>50</v>
      </c>
      <c r="D12">
        <v>23</v>
      </c>
      <c r="E12" t="str">
        <f t="shared" si="0"/>
        <v>23D-ECO-FOAM-72X54X50MM</v>
      </c>
      <c r="F12">
        <f t="shared" si="1"/>
        <v>2.8849999999999998</v>
      </c>
    </row>
    <row r="13" spans="1:8" x14ac:dyDescent="0.25">
      <c r="A13">
        <v>72</v>
      </c>
      <c r="B13">
        <v>57</v>
      </c>
      <c r="C13">
        <v>50</v>
      </c>
      <c r="D13">
        <v>23</v>
      </c>
      <c r="E13" t="str">
        <f t="shared" si="0"/>
        <v>23D-ECO-FOAM-72X57X50MM</v>
      </c>
      <c r="F13">
        <f t="shared" si="1"/>
        <v>3.0449999999999999</v>
      </c>
    </row>
    <row r="14" spans="1:8" x14ac:dyDescent="0.25">
      <c r="A14">
        <v>72</v>
      </c>
      <c r="B14">
        <v>60</v>
      </c>
      <c r="C14">
        <v>50</v>
      </c>
      <c r="D14">
        <v>23</v>
      </c>
      <c r="E14" t="str">
        <f t="shared" si="0"/>
        <v>23D-ECO-FOAM-72X60X50MM</v>
      </c>
      <c r="F14">
        <f t="shared" si="1"/>
        <v>3.2050000000000001</v>
      </c>
    </row>
    <row r="15" spans="1:8" x14ac:dyDescent="0.25">
      <c r="A15">
        <v>72</v>
      </c>
      <c r="B15">
        <v>63</v>
      </c>
      <c r="C15">
        <v>50</v>
      </c>
      <c r="D15">
        <v>23</v>
      </c>
      <c r="E15" t="str">
        <f t="shared" si="0"/>
        <v>23D-ECO-FOAM-72X63X50MM</v>
      </c>
      <c r="F15">
        <f t="shared" si="1"/>
        <v>3.3650000000000002</v>
      </c>
    </row>
    <row r="16" spans="1:8" x14ac:dyDescent="0.25">
      <c r="A16">
        <v>72</v>
      </c>
      <c r="B16">
        <v>66</v>
      </c>
      <c r="C16">
        <v>50</v>
      </c>
      <c r="D16">
        <v>23</v>
      </c>
      <c r="E16" t="str">
        <f t="shared" si="0"/>
        <v>23D-ECO-FOAM-72X66X50MM</v>
      </c>
      <c r="F16">
        <f t="shared" si="1"/>
        <v>3.5259999999999998</v>
      </c>
    </row>
    <row r="17" spans="1:6" x14ac:dyDescent="0.25">
      <c r="A17">
        <v>72</v>
      </c>
      <c r="B17">
        <v>69</v>
      </c>
      <c r="C17">
        <v>50</v>
      </c>
      <c r="D17">
        <v>23</v>
      </c>
      <c r="E17" t="str">
        <f t="shared" si="0"/>
        <v>23D-ECO-FOAM-72X69X50MM</v>
      </c>
      <c r="F17">
        <f t="shared" si="1"/>
        <v>3.6859999999999999</v>
      </c>
    </row>
    <row r="18" spans="1:6" x14ac:dyDescent="0.25">
      <c r="A18">
        <v>72</v>
      </c>
      <c r="B18">
        <v>72</v>
      </c>
      <c r="C18">
        <v>50</v>
      </c>
      <c r="D18">
        <v>23</v>
      </c>
      <c r="E18" t="str">
        <f t="shared" si="0"/>
        <v>23D-ECO-FOAM-72X72X50MM</v>
      </c>
      <c r="F18">
        <f t="shared" si="1"/>
        <v>3.8460000000000001</v>
      </c>
    </row>
    <row r="19" spans="1:6" x14ac:dyDescent="0.25">
      <c r="A19">
        <v>75</v>
      </c>
      <c r="B19">
        <v>33</v>
      </c>
      <c r="C19">
        <v>50</v>
      </c>
      <c r="D19">
        <v>23</v>
      </c>
      <c r="E19" t="str">
        <f t="shared" si="0"/>
        <v>23D-ECO-FOAM-75X33X50MM</v>
      </c>
      <c r="F19">
        <f t="shared" si="1"/>
        <v>1.8360000000000001</v>
      </c>
    </row>
    <row r="20" spans="1:6" x14ac:dyDescent="0.25">
      <c r="A20">
        <v>75</v>
      </c>
      <c r="B20">
        <v>36</v>
      </c>
      <c r="C20">
        <v>50</v>
      </c>
      <c r="D20">
        <v>23</v>
      </c>
      <c r="E20" t="str">
        <f t="shared" si="0"/>
        <v>23D-ECO-FOAM-75X36X50MM</v>
      </c>
      <c r="F20">
        <f t="shared" si="1"/>
        <v>2.0030000000000001</v>
      </c>
    </row>
    <row r="21" spans="1:6" x14ac:dyDescent="0.25">
      <c r="A21">
        <v>75</v>
      </c>
      <c r="B21">
        <v>39</v>
      </c>
      <c r="C21">
        <v>50</v>
      </c>
      <c r="D21">
        <v>23</v>
      </c>
      <c r="E21" t="str">
        <f t="shared" si="0"/>
        <v>23D-ECO-FOAM-75X39X50MM</v>
      </c>
      <c r="F21">
        <f t="shared" si="1"/>
        <v>2.17</v>
      </c>
    </row>
    <row r="22" spans="1:6" x14ac:dyDescent="0.25">
      <c r="A22">
        <v>75</v>
      </c>
      <c r="B22">
        <v>42</v>
      </c>
      <c r="C22">
        <v>50</v>
      </c>
      <c r="D22">
        <v>23</v>
      </c>
      <c r="E22" t="str">
        <f t="shared" si="0"/>
        <v>23D-ECO-FOAM-75X42X50MM</v>
      </c>
      <c r="F22">
        <f t="shared" si="1"/>
        <v>2.3370000000000002</v>
      </c>
    </row>
    <row r="23" spans="1:6" x14ac:dyDescent="0.25">
      <c r="A23">
        <v>75</v>
      </c>
      <c r="B23">
        <v>45</v>
      </c>
      <c r="C23">
        <v>50</v>
      </c>
      <c r="D23">
        <v>23</v>
      </c>
      <c r="E23" t="str">
        <f t="shared" si="0"/>
        <v>23D-ECO-FOAM-75X45X50MM</v>
      </c>
      <c r="F23">
        <f t="shared" si="1"/>
        <v>2.504</v>
      </c>
    </row>
    <row r="24" spans="1:6" x14ac:dyDescent="0.25">
      <c r="A24">
        <v>75</v>
      </c>
      <c r="B24">
        <v>48</v>
      </c>
      <c r="C24">
        <v>50</v>
      </c>
      <c r="D24">
        <v>23</v>
      </c>
      <c r="E24" t="str">
        <f t="shared" si="0"/>
        <v>23D-ECO-FOAM-75X48X50MM</v>
      </c>
      <c r="F24">
        <f t="shared" si="1"/>
        <v>2.6709999999999998</v>
      </c>
    </row>
    <row r="25" spans="1:6" x14ac:dyDescent="0.25">
      <c r="A25">
        <v>75</v>
      </c>
      <c r="B25">
        <v>51</v>
      </c>
      <c r="C25">
        <v>50</v>
      </c>
      <c r="D25">
        <v>23</v>
      </c>
      <c r="E25" t="str">
        <f t="shared" si="0"/>
        <v>23D-ECO-FOAM-75X51X50MM</v>
      </c>
      <c r="F25">
        <f t="shared" si="1"/>
        <v>2.8380000000000001</v>
      </c>
    </row>
    <row r="26" spans="1:6" x14ac:dyDescent="0.25">
      <c r="A26">
        <v>75</v>
      </c>
      <c r="B26">
        <v>54</v>
      </c>
      <c r="C26">
        <v>50</v>
      </c>
      <c r="D26">
        <v>23</v>
      </c>
      <c r="E26" t="str">
        <f t="shared" si="0"/>
        <v>23D-ECO-FOAM-75X54X50MM</v>
      </c>
      <c r="F26">
        <f t="shared" si="1"/>
        <v>3.0049999999999999</v>
      </c>
    </row>
    <row r="27" spans="1:6" x14ac:dyDescent="0.25">
      <c r="A27">
        <v>75</v>
      </c>
      <c r="B27">
        <v>57</v>
      </c>
      <c r="C27">
        <v>50</v>
      </c>
      <c r="D27">
        <v>23</v>
      </c>
      <c r="E27" t="str">
        <f t="shared" si="0"/>
        <v>23D-ECO-FOAM-75X57X50MM</v>
      </c>
      <c r="F27">
        <f t="shared" si="1"/>
        <v>3.1720000000000002</v>
      </c>
    </row>
    <row r="28" spans="1:6" x14ac:dyDescent="0.25">
      <c r="A28">
        <v>75</v>
      </c>
      <c r="B28">
        <v>60</v>
      </c>
      <c r="C28">
        <v>50</v>
      </c>
      <c r="D28">
        <v>23</v>
      </c>
      <c r="E28" t="str">
        <f t="shared" si="0"/>
        <v>23D-ECO-FOAM-75X60X50MM</v>
      </c>
      <c r="F28">
        <f t="shared" si="1"/>
        <v>3.339</v>
      </c>
    </row>
    <row r="29" spans="1:6" x14ac:dyDescent="0.25">
      <c r="A29">
        <v>75</v>
      </c>
      <c r="B29">
        <v>63</v>
      </c>
      <c r="C29">
        <v>50</v>
      </c>
      <c r="D29">
        <v>23</v>
      </c>
      <c r="E29" t="str">
        <f t="shared" si="0"/>
        <v>23D-ECO-FOAM-75X63X50MM</v>
      </c>
      <c r="F29">
        <f t="shared" si="1"/>
        <v>3.5059999999999998</v>
      </c>
    </row>
    <row r="30" spans="1:6" x14ac:dyDescent="0.25">
      <c r="A30">
        <v>75</v>
      </c>
      <c r="B30">
        <v>66</v>
      </c>
      <c r="C30">
        <v>50</v>
      </c>
      <c r="D30">
        <v>23</v>
      </c>
      <c r="E30" t="str">
        <f t="shared" si="0"/>
        <v>23D-ECO-FOAM-75X66X50MM</v>
      </c>
      <c r="F30">
        <f t="shared" si="1"/>
        <v>3.673</v>
      </c>
    </row>
    <row r="31" spans="1:6" x14ac:dyDescent="0.25">
      <c r="A31">
        <v>75</v>
      </c>
      <c r="B31">
        <v>69</v>
      </c>
      <c r="C31">
        <v>50</v>
      </c>
      <c r="D31">
        <v>23</v>
      </c>
      <c r="E31" t="str">
        <f t="shared" si="0"/>
        <v>23D-ECO-FOAM-75X69X50MM</v>
      </c>
      <c r="F31">
        <f t="shared" si="1"/>
        <v>3.84</v>
      </c>
    </row>
    <row r="32" spans="1:6" x14ac:dyDescent="0.25">
      <c r="A32">
        <v>75</v>
      </c>
      <c r="B32">
        <v>72</v>
      </c>
      <c r="C32">
        <v>50</v>
      </c>
      <c r="D32">
        <v>23</v>
      </c>
      <c r="E32" t="str">
        <f t="shared" si="0"/>
        <v>23D-ECO-FOAM-75X72X50MM</v>
      </c>
      <c r="F32">
        <f t="shared" si="1"/>
        <v>4.0060000000000002</v>
      </c>
    </row>
    <row r="33" spans="1:6" x14ac:dyDescent="0.25">
      <c r="A33">
        <v>78</v>
      </c>
      <c r="B33">
        <v>33</v>
      </c>
      <c r="C33">
        <v>50</v>
      </c>
      <c r="D33">
        <v>23</v>
      </c>
      <c r="E33" t="str">
        <f t="shared" si="0"/>
        <v>23D-ECO-FOAM-78X33X50MM</v>
      </c>
      <c r="F33">
        <f t="shared" si="1"/>
        <v>1.91</v>
      </c>
    </row>
    <row r="34" spans="1:6" x14ac:dyDescent="0.25">
      <c r="A34">
        <v>78</v>
      </c>
      <c r="B34">
        <v>36</v>
      </c>
      <c r="C34">
        <v>50</v>
      </c>
      <c r="D34">
        <v>23</v>
      </c>
      <c r="E34" t="str">
        <f t="shared" si="0"/>
        <v>23D-ECO-FOAM-78X36X50MM</v>
      </c>
      <c r="F34">
        <f t="shared" si="1"/>
        <v>2.0830000000000002</v>
      </c>
    </row>
    <row r="35" spans="1:6" x14ac:dyDescent="0.25">
      <c r="A35">
        <v>78</v>
      </c>
      <c r="B35">
        <v>39</v>
      </c>
      <c r="C35">
        <v>50</v>
      </c>
      <c r="D35">
        <v>23</v>
      </c>
      <c r="E35" t="str">
        <f t="shared" si="0"/>
        <v>23D-ECO-FOAM-78X39X50MM</v>
      </c>
      <c r="F35">
        <f t="shared" si="1"/>
        <v>2.2570000000000001</v>
      </c>
    </row>
    <row r="36" spans="1:6" x14ac:dyDescent="0.25">
      <c r="A36">
        <v>78</v>
      </c>
      <c r="B36">
        <v>42</v>
      </c>
      <c r="C36">
        <v>50</v>
      </c>
      <c r="D36">
        <v>23</v>
      </c>
      <c r="E36" t="str">
        <f t="shared" si="0"/>
        <v>23D-ECO-FOAM-78X42X50MM</v>
      </c>
      <c r="F36">
        <f t="shared" si="1"/>
        <v>2.431</v>
      </c>
    </row>
    <row r="37" spans="1:6" x14ac:dyDescent="0.25">
      <c r="A37">
        <v>78</v>
      </c>
      <c r="B37">
        <v>45</v>
      </c>
      <c r="C37">
        <v>50</v>
      </c>
      <c r="D37">
        <v>23</v>
      </c>
      <c r="E37" t="str">
        <f t="shared" si="0"/>
        <v>23D-ECO-FOAM-78X45X50MM</v>
      </c>
      <c r="F37">
        <f t="shared" si="1"/>
        <v>2.6040000000000001</v>
      </c>
    </row>
    <row r="38" spans="1:6" x14ac:dyDescent="0.25">
      <c r="A38">
        <v>78</v>
      </c>
      <c r="B38">
        <v>48</v>
      </c>
      <c r="C38">
        <v>50</v>
      </c>
      <c r="D38">
        <v>23</v>
      </c>
      <c r="E38" t="str">
        <f t="shared" si="0"/>
        <v>23D-ECO-FOAM-78X48X50MM</v>
      </c>
      <c r="F38">
        <f t="shared" si="1"/>
        <v>2.778</v>
      </c>
    </row>
    <row r="39" spans="1:6" x14ac:dyDescent="0.25">
      <c r="A39">
        <v>78</v>
      </c>
      <c r="B39">
        <v>51</v>
      </c>
      <c r="C39">
        <v>50</v>
      </c>
      <c r="D39">
        <v>23</v>
      </c>
      <c r="E39" t="str">
        <f t="shared" si="0"/>
        <v>23D-ECO-FOAM-78X51X50MM</v>
      </c>
      <c r="F39">
        <f t="shared" si="1"/>
        <v>2.9510000000000001</v>
      </c>
    </row>
    <row r="40" spans="1:6" x14ac:dyDescent="0.25">
      <c r="A40">
        <v>78</v>
      </c>
      <c r="B40">
        <v>54</v>
      </c>
      <c r="C40">
        <v>50</v>
      </c>
      <c r="D40">
        <v>23</v>
      </c>
      <c r="E40" t="str">
        <f t="shared" si="0"/>
        <v>23D-ECO-FOAM-78X54X50MM</v>
      </c>
      <c r="F40">
        <f t="shared" si="1"/>
        <v>3.125</v>
      </c>
    </row>
    <row r="41" spans="1:6" x14ac:dyDescent="0.25">
      <c r="A41">
        <v>78</v>
      </c>
      <c r="B41">
        <v>57</v>
      </c>
      <c r="C41">
        <v>50</v>
      </c>
      <c r="D41">
        <v>23</v>
      </c>
      <c r="E41" t="str">
        <f t="shared" si="0"/>
        <v>23D-ECO-FOAM-78X57X50MM</v>
      </c>
      <c r="F41">
        <f t="shared" si="1"/>
        <v>3.2989999999999999</v>
      </c>
    </row>
    <row r="42" spans="1:6" x14ac:dyDescent="0.25">
      <c r="A42">
        <v>78</v>
      </c>
      <c r="B42">
        <v>60</v>
      </c>
      <c r="C42">
        <v>50</v>
      </c>
      <c r="D42">
        <v>23</v>
      </c>
      <c r="E42" t="str">
        <f t="shared" si="0"/>
        <v>23D-ECO-FOAM-78X60X50MM</v>
      </c>
      <c r="F42">
        <f t="shared" si="1"/>
        <v>3.472</v>
      </c>
    </row>
    <row r="43" spans="1:6" x14ac:dyDescent="0.25">
      <c r="A43">
        <v>78</v>
      </c>
      <c r="B43">
        <v>63</v>
      </c>
      <c r="C43">
        <v>50</v>
      </c>
      <c r="D43">
        <v>23</v>
      </c>
      <c r="E43" t="str">
        <f t="shared" si="0"/>
        <v>23D-ECO-FOAM-78X63X50MM</v>
      </c>
      <c r="F43">
        <f t="shared" si="1"/>
        <v>3.6459999999999999</v>
      </c>
    </row>
    <row r="44" spans="1:6" x14ac:dyDescent="0.25">
      <c r="A44">
        <v>78</v>
      </c>
      <c r="B44">
        <v>66</v>
      </c>
      <c r="C44">
        <v>50</v>
      </c>
      <c r="D44">
        <v>23</v>
      </c>
      <c r="E44" t="str">
        <f t="shared" si="0"/>
        <v>23D-ECO-FOAM-78X66X50MM</v>
      </c>
      <c r="F44">
        <f t="shared" si="1"/>
        <v>3.819</v>
      </c>
    </row>
    <row r="45" spans="1:6" x14ac:dyDescent="0.25">
      <c r="A45">
        <v>78</v>
      </c>
      <c r="B45">
        <v>69</v>
      </c>
      <c r="C45">
        <v>50</v>
      </c>
      <c r="D45">
        <v>23</v>
      </c>
      <c r="E45" t="str">
        <f t="shared" si="0"/>
        <v>23D-ECO-FOAM-78X69X50MM</v>
      </c>
      <c r="F45">
        <f t="shared" si="1"/>
        <v>3.9929999999999999</v>
      </c>
    </row>
    <row r="46" spans="1:6" x14ac:dyDescent="0.25">
      <c r="A46">
        <v>78</v>
      </c>
      <c r="B46">
        <v>72</v>
      </c>
      <c r="C46">
        <v>50</v>
      </c>
      <c r="D46">
        <v>23</v>
      </c>
      <c r="E46" t="str">
        <f t="shared" si="0"/>
        <v>23D-ECO-FOAM-78X72X50MM</v>
      </c>
      <c r="F46">
        <f t="shared" si="1"/>
        <v>4.1669999999999998</v>
      </c>
    </row>
    <row r="47" spans="1:6" x14ac:dyDescent="0.25">
      <c r="A47">
        <v>80</v>
      </c>
      <c r="B47">
        <v>33</v>
      </c>
      <c r="C47">
        <v>50</v>
      </c>
      <c r="D47">
        <v>23</v>
      </c>
      <c r="E47" t="str">
        <f t="shared" si="0"/>
        <v>23D-ECO-FOAM-80X33X50MM</v>
      </c>
      <c r="F47">
        <f t="shared" si="1"/>
        <v>1.9590000000000001</v>
      </c>
    </row>
    <row r="48" spans="1:6" x14ac:dyDescent="0.25">
      <c r="A48">
        <v>80</v>
      </c>
      <c r="B48">
        <v>36</v>
      </c>
      <c r="C48">
        <v>50</v>
      </c>
      <c r="D48">
        <v>23</v>
      </c>
      <c r="E48" t="str">
        <f t="shared" si="0"/>
        <v>23D-ECO-FOAM-80X36X50MM</v>
      </c>
      <c r="F48">
        <f t="shared" si="1"/>
        <v>2.137</v>
      </c>
    </row>
    <row r="49" spans="1:6" x14ac:dyDescent="0.25">
      <c r="A49">
        <v>80</v>
      </c>
      <c r="B49">
        <v>39</v>
      </c>
      <c r="C49">
        <v>50</v>
      </c>
      <c r="D49">
        <v>23</v>
      </c>
      <c r="E49" t="str">
        <f t="shared" si="0"/>
        <v>23D-ECO-FOAM-80X39X50MM</v>
      </c>
      <c r="F49">
        <f t="shared" si="1"/>
        <v>2.3149999999999999</v>
      </c>
    </row>
    <row r="50" spans="1:6" x14ac:dyDescent="0.25">
      <c r="A50">
        <v>80</v>
      </c>
      <c r="B50">
        <v>42</v>
      </c>
      <c r="C50">
        <v>50</v>
      </c>
      <c r="D50">
        <v>23</v>
      </c>
      <c r="E50" t="str">
        <f t="shared" si="0"/>
        <v>23D-ECO-FOAM-80X42X50MM</v>
      </c>
      <c r="F50">
        <f t="shared" si="1"/>
        <v>2.4929999999999999</v>
      </c>
    </row>
    <row r="51" spans="1:6" x14ac:dyDescent="0.25">
      <c r="A51">
        <v>80</v>
      </c>
      <c r="B51">
        <v>45</v>
      </c>
      <c r="C51">
        <v>50</v>
      </c>
      <c r="D51">
        <v>23</v>
      </c>
      <c r="E51" t="str">
        <f t="shared" si="0"/>
        <v>23D-ECO-FOAM-80X45X50MM</v>
      </c>
      <c r="F51">
        <f t="shared" si="1"/>
        <v>2.6709999999999998</v>
      </c>
    </row>
    <row r="52" spans="1:6" x14ac:dyDescent="0.25">
      <c r="A52">
        <v>80</v>
      </c>
      <c r="B52">
        <v>48</v>
      </c>
      <c r="C52">
        <v>50</v>
      </c>
      <c r="D52">
        <v>23</v>
      </c>
      <c r="E52" t="str">
        <f t="shared" si="0"/>
        <v>23D-ECO-FOAM-80X48X50MM</v>
      </c>
      <c r="F52">
        <f t="shared" si="1"/>
        <v>2.8490000000000002</v>
      </c>
    </row>
    <row r="53" spans="1:6" x14ac:dyDescent="0.25">
      <c r="A53">
        <v>80</v>
      </c>
      <c r="B53">
        <v>51</v>
      </c>
      <c r="C53">
        <v>50</v>
      </c>
      <c r="D53">
        <v>23</v>
      </c>
      <c r="E53" t="str">
        <f t="shared" si="0"/>
        <v>23D-ECO-FOAM-80X51X50MM</v>
      </c>
      <c r="F53">
        <f t="shared" si="1"/>
        <v>3.0270000000000001</v>
      </c>
    </row>
    <row r="54" spans="1:6" x14ac:dyDescent="0.25">
      <c r="A54">
        <v>80</v>
      </c>
      <c r="B54">
        <v>54</v>
      </c>
      <c r="C54">
        <v>50</v>
      </c>
      <c r="D54">
        <v>23</v>
      </c>
      <c r="E54" t="str">
        <f t="shared" si="0"/>
        <v>23D-ECO-FOAM-80X54X50MM</v>
      </c>
      <c r="F54">
        <f t="shared" si="1"/>
        <v>3.2050000000000001</v>
      </c>
    </row>
    <row r="55" spans="1:6" x14ac:dyDescent="0.25">
      <c r="A55">
        <v>80</v>
      </c>
      <c r="B55">
        <v>57</v>
      </c>
      <c r="C55">
        <v>50</v>
      </c>
      <c r="D55">
        <v>23</v>
      </c>
      <c r="E55" t="str">
        <f t="shared" si="0"/>
        <v>23D-ECO-FOAM-80X57X50MM</v>
      </c>
      <c r="F55">
        <f t="shared" si="1"/>
        <v>3.383</v>
      </c>
    </row>
    <row r="56" spans="1:6" x14ac:dyDescent="0.25">
      <c r="A56">
        <v>80</v>
      </c>
      <c r="B56">
        <v>60</v>
      </c>
      <c r="C56">
        <v>50</v>
      </c>
      <c r="D56">
        <v>23</v>
      </c>
      <c r="E56" t="str">
        <f t="shared" si="0"/>
        <v>23D-ECO-FOAM-80X60X50MM</v>
      </c>
      <c r="F56">
        <f t="shared" si="1"/>
        <v>3.5609999999999999</v>
      </c>
    </row>
    <row r="57" spans="1:6" x14ac:dyDescent="0.25">
      <c r="A57">
        <v>80</v>
      </c>
      <c r="B57">
        <v>63</v>
      </c>
      <c r="C57">
        <v>50</v>
      </c>
      <c r="D57">
        <v>23</v>
      </c>
      <c r="E57" t="str">
        <f t="shared" si="0"/>
        <v>23D-ECO-FOAM-80X63X50MM</v>
      </c>
      <c r="F57">
        <f t="shared" si="1"/>
        <v>3.7389999999999999</v>
      </c>
    </row>
    <row r="58" spans="1:6" x14ac:dyDescent="0.25">
      <c r="A58">
        <v>80</v>
      </c>
      <c r="B58">
        <v>66</v>
      </c>
      <c r="C58">
        <v>50</v>
      </c>
      <c r="D58">
        <v>23</v>
      </c>
      <c r="E58" t="str">
        <f t="shared" si="0"/>
        <v>23D-ECO-FOAM-80X66X50MM</v>
      </c>
      <c r="F58">
        <f t="shared" si="1"/>
        <v>3.9169999999999998</v>
      </c>
    </row>
    <row r="59" spans="1:6" x14ac:dyDescent="0.25">
      <c r="A59">
        <v>80</v>
      </c>
      <c r="B59">
        <v>69</v>
      </c>
      <c r="C59">
        <v>50</v>
      </c>
      <c r="D59">
        <v>23</v>
      </c>
      <c r="E59" t="str">
        <f t="shared" si="0"/>
        <v>23D-ECO-FOAM-80X69X50MM</v>
      </c>
      <c r="F59">
        <f t="shared" si="1"/>
        <v>4.0949999999999998</v>
      </c>
    </row>
    <row r="60" spans="1:6" x14ac:dyDescent="0.25">
      <c r="A60">
        <v>80</v>
      </c>
      <c r="B60">
        <v>72</v>
      </c>
      <c r="C60">
        <v>50</v>
      </c>
      <c r="D60">
        <v>23</v>
      </c>
      <c r="E60" t="str">
        <f t="shared" si="0"/>
        <v>23D-ECO-FOAM-80X72X50MM</v>
      </c>
      <c r="F60">
        <f t="shared" si="1"/>
        <v>4.274</v>
      </c>
    </row>
    <row r="61" spans="1:6" x14ac:dyDescent="0.25">
      <c r="A61">
        <v>84</v>
      </c>
      <c r="B61">
        <v>33</v>
      </c>
      <c r="C61">
        <v>50</v>
      </c>
      <c r="D61">
        <v>23</v>
      </c>
      <c r="E61" t="str">
        <f t="shared" si="0"/>
        <v>23D-ECO-FOAM-84X33X50MM</v>
      </c>
      <c r="F61">
        <f t="shared" si="1"/>
        <v>2.0569999999999999</v>
      </c>
    </row>
    <row r="62" spans="1:6" x14ac:dyDescent="0.25">
      <c r="A62">
        <v>84</v>
      </c>
      <c r="B62">
        <v>36</v>
      </c>
      <c r="C62">
        <v>50</v>
      </c>
      <c r="D62">
        <v>23</v>
      </c>
      <c r="E62" t="str">
        <f t="shared" si="0"/>
        <v>23D-ECO-FOAM-84X36X50MM</v>
      </c>
      <c r="F62">
        <f t="shared" si="1"/>
        <v>2.2440000000000002</v>
      </c>
    </row>
    <row r="63" spans="1:6" x14ac:dyDescent="0.25">
      <c r="A63">
        <v>84</v>
      </c>
      <c r="B63">
        <v>39</v>
      </c>
      <c r="C63">
        <v>50</v>
      </c>
      <c r="D63">
        <v>23</v>
      </c>
      <c r="E63" t="str">
        <f t="shared" si="0"/>
        <v>23D-ECO-FOAM-84X39X50MM</v>
      </c>
      <c r="F63">
        <f t="shared" si="1"/>
        <v>2.431</v>
      </c>
    </row>
    <row r="64" spans="1:6" x14ac:dyDescent="0.25">
      <c r="A64">
        <v>84</v>
      </c>
      <c r="B64">
        <v>42</v>
      </c>
      <c r="C64">
        <v>50</v>
      </c>
      <c r="D64">
        <v>23</v>
      </c>
      <c r="E64" t="str">
        <f t="shared" si="0"/>
        <v>23D-ECO-FOAM-84X42X50MM</v>
      </c>
      <c r="F64">
        <f t="shared" si="1"/>
        <v>2.6179999999999999</v>
      </c>
    </row>
    <row r="65" spans="1:6" x14ac:dyDescent="0.25">
      <c r="A65">
        <v>84</v>
      </c>
      <c r="B65">
        <v>45</v>
      </c>
      <c r="C65">
        <v>50</v>
      </c>
      <c r="D65">
        <v>23</v>
      </c>
      <c r="E65" t="str">
        <f t="shared" si="0"/>
        <v>23D-ECO-FOAM-84X45X50MM</v>
      </c>
      <c r="F65">
        <f t="shared" si="1"/>
        <v>2.8050000000000002</v>
      </c>
    </row>
    <row r="66" spans="1:6" x14ac:dyDescent="0.25">
      <c r="A66">
        <v>84</v>
      </c>
      <c r="B66">
        <v>48</v>
      </c>
      <c r="C66">
        <v>50</v>
      </c>
      <c r="D66">
        <v>23</v>
      </c>
      <c r="E66" t="str">
        <f t="shared" si="0"/>
        <v>23D-ECO-FOAM-84X48X50MM</v>
      </c>
      <c r="F66">
        <f t="shared" si="1"/>
        <v>2.9910000000000001</v>
      </c>
    </row>
    <row r="67" spans="1:6" x14ac:dyDescent="0.25">
      <c r="A67">
        <v>84</v>
      </c>
      <c r="B67">
        <v>51</v>
      </c>
      <c r="C67">
        <v>50</v>
      </c>
      <c r="D67">
        <v>23</v>
      </c>
      <c r="E67" t="str">
        <f t="shared" ref="E67:E74" si="2">CONCATENATE(D67,"D-ECO-FOAM-",A67,"X",B67,"X",C67,"MM")</f>
        <v>23D-ECO-FOAM-84X51X50MM</v>
      </c>
      <c r="F67">
        <f t="shared" ref="F67:F74" si="3">ROUND((D67*A67*0.0254*B67*0.0254*(C67/1000)),3)</f>
        <v>3.1779999999999999</v>
      </c>
    </row>
    <row r="68" spans="1:6" x14ac:dyDescent="0.25">
      <c r="A68">
        <v>84</v>
      </c>
      <c r="B68">
        <v>54</v>
      </c>
      <c r="C68">
        <v>50</v>
      </c>
      <c r="D68">
        <v>23</v>
      </c>
      <c r="E68" t="str">
        <f t="shared" si="2"/>
        <v>23D-ECO-FOAM-84X54X50MM</v>
      </c>
      <c r="F68">
        <f t="shared" si="3"/>
        <v>3.3650000000000002</v>
      </c>
    </row>
    <row r="69" spans="1:6" x14ac:dyDescent="0.25">
      <c r="A69">
        <v>84</v>
      </c>
      <c r="B69">
        <v>57</v>
      </c>
      <c r="C69">
        <v>50</v>
      </c>
      <c r="D69">
        <v>23</v>
      </c>
      <c r="E69" t="str">
        <f t="shared" si="2"/>
        <v>23D-ECO-FOAM-84X57X50MM</v>
      </c>
      <c r="F69">
        <f t="shared" si="3"/>
        <v>3.552</v>
      </c>
    </row>
    <row r="70" spans="1:6" x14ac:dyDescent="0.25">
      <c r="A70">
        <v>84</v>
      </c>
      <c r="B70">
        <v>60</v>
      </c>
      <c r="C70">
        <v>50</v>
      </c>
      <c r="D70">
        <v>23</v>
      </c>
      <c r="E70" t="str">
        <f t="shared" si="2"/>
        <v>23D-ECO-FOAM-84X60X50MM</v>
      </c>
      <c r="F70">
        <f t="shared" si="3"/>
        <v>3.7389999999999999</v>
      </c>
    </row>
    <row r="71" spans="1:6" x14ac:dyDescent="0.25">
      <c r="A71">
        <v>84</v>
      </c>
      <c r="B71">
        <v>63</v>
      </c>
      <c r="C71">
        <v>50</v>
      </c>
      <c r="D71">
        <v>23</v>
      </c>
      <c r="E71" t="str">
        <f t="shared" si="2"/>
        <v>23D-ECO-FOAM-84X63X50MM</v>
      </c>
      <c r="F71">
        <f t="shared" si="3"/>
        <v>3.9260000000000002</v>
      </c>
    </row>
    <row r="72" spans="1:6" x14ac:dyDescent="0.25">
      <c r="A72">
        <v>84</v>
      </c>
      <c r="B72">
        <v>66</v>
      </c>
      <c r="C72">
        <v>50</v>
      </c>
      <c r="D72">
        <v>23</v>
      </c>
      <c r="E72" t="str">
        <f t="shared" si="2"/>
        <v>23D-ECO-FOAM-84X66X50MM</v>
      </c>
      <c r="F72">
        <f t="shared" si="3"/>
        <v>4.1130000000000004</v>
      </c>
    </row>
    <row r="73" spans="1:6" x14ac:dyDescent="0.25">
      <c r="A73">
        <v>84</v>
      </c>
      <c r="B73">
        <v>69</v>
      </c>
      <c r="C73">
        <v>50</v>
      </c>
      <c r="D73">
        <v>23</v>
      </c>
      <c r="E73" t="str">
        <f t="shared" si="2"/>
        <v>23D-ECO-FOAM-84X69X50MM</v>
      </c>
      <c r="F73">
        <f t="shared" si="3"/>
        <v>4.3</v>
      </c>
    </row>
    <row r="74" spans="1:6" x14ac:dyDescent="0.25">
      <c r="A74">
        <v>84</v>
      </c>
      <c r="B74">
        <v>72</v>
      </c>
      <c r="C74">
        <v>50</v>
      </c>
      <c r="D74">
        <v>23</v>
      </c>
      <c r="E74" t="str">
        <f t="shared" si="2"/>
        <v>23D-ECO-FOAM-84X72X50MM</v>
      </c>
      <c r="F74">
        <f t="shared" si="3"/>
        <v>4.4870000000000001</v>
      </c>
    </row>
    <row r="75" spans="1:6" x14ac:dyDescent="0.25">
      <c r="A75">
        <v>13</v>
      </c>
      <c r="B75">
        <v>13</v>
      </c>
      <c r="C75">
        <v>80</v>
      </c>
      <c r="D75">
        <v>23</v>
      </c>
      <c r="E75" t="str">
        <f t="shared" ref="E75:E138" si="4">CONCATENATE(D75,"D-ECO-FOAM-",A75,"X",B75,"X",C75,"MM")</f>
        <v>23D-ECO-FOAM-13X13X80MM</v>
      </c>
      <c r="F75">
        <f t="shared" ref="F75:F138" si="5">ROUND((D75*A75*0.0254*B75*0.0254*(C75/1000)),3)</f>
        <v>0.20100000000000001</v>
      </c>
    </row>
    <row r="76" spans="1:6" x14ac:dyDescent="0.25">
      <c r="A76">
        <v>20</v>
      </c>
      <c r="B76">
        <v>18</v>
      </c>
      <c r="C76">
        <v>80</v>
      </c>
      <c r="D76">
        <v>23</v>
      </c>
      <c r="E76" t="str">
        <f t="shared" si="4"/>
        <v>23D-ECO-FOAM-20X18X80MM</v>
      </c>
      <c r="F76">
        <f t="shared" si="5"/>
        <v>0.42699999999999999</v>
      </c>
    </row>
    <row r="77" spans="1:6" x14ac:dyDescent="0.25">
      <c r="A77">
        <v>72</v>
      </c>
      <c r="B77">
        <v>30</v>
      </c>
      <c r="C77">
        <v>80</v>
      </c>
      <c r="D77">
        <v>23</v>
      </c>
      <c r="E77" t="str">
        <f t="shared" si="4"/>
        <v>23D-ECO-FOAM-72X30X80MM</v>
      </c>
      <c r="F77">
        <f t="shared" si="5"/>
        <v>2.5640000000000001</v>
      </c>
    </row>
    <row r="78" spans="1:6" x14ac:dyDescent="0.25">
      <c r="A78">
        <v>72</v>
      </c>
      <c r="B78">
        <v>33</v>
      </c>
      <c r="C78">
        <v>80</v>
      </c>
      <c r="D78">
        <v>23</v>
      </c>
      <c r="E78" t="str">
        <f t="shared" si="4"/>
        <v>23D-ECO-FOAM-72X33X80MM</v>
      </c>
      <c r="F78">
        <f t="shared" si="5"/>
        <v>2.8210000000000002</v>
      </c>
    </row>
    <row r="79" spans="1:6" x14ac:dyDescent="0.25">
      <c r="A79">
        <v>72</v>
      </c>
      <c r="B79">
        <v>36</v>
      </c>
      <c r="C79">
        <v>80</v>
      </c>
      <c r="D79">
        <v>23</v>
      </c>
      <c r="E79" t="str">
        <f t="shared" si="4"/>
        <v>23D-ECO-FOAM-72X36X80MM</v>
      </c>
      <c r="F79">
        <f t="shared" si="5"/>
        <v>3.077</v>
      </c>
    </row>
    <row r="80" spans="1:6" x14ac:dyDescent="0.25">
      <c r="A80">
        <v>72</v>
      </c>
      <c r="B80">
        <v>39</v>
      </c>
      <c r="C80">
        <v>80</v>
      </c>
      <c r="D80">
        <v>23</v>
      </c>
      <c r="E80" t="str">
        <f t="shared" si="4"/>
        <v>23D-ECO-FOAM-72X39X80MM</v>
      </c>
      <c r="F80">
        <f t="shared" si="5"/>
        <v>3.3330000000000002</v>
      </c>
    </row>
    <row r="81" spans="1:6" x14ac:dyDescent="0.25">
      <c r="A81">
        <v>72</v>
      </c>
      <c r="B81">
        <v>42</v>
      </c>
      <c r="C81">
        <v>80</v>
      </c>
      <c r="D81">
        <v>23</v>
      </c>
      <c r="E81" t="str">
        <f t="shared" si="4"/>
        <v>23D-ECO-FOAM-72X42X80MM</v>
      </c>
      <c r="F81">
        <f t="shared" si="5"/>
        <v>3.59</v>
      </c>
    </row>
    <row r="82" spans="1:6" x14ac:dyDescent="0.25">
      <c r="A82">
        <v>72</v>
      </c>
      <c r="B82">
        <v>45</v>
      </c>
      <c r="C82">
        <v>80</v>
      </c>
      <c r="D82">
        <v>23</v>
      </c>
      <c r="E82" t="str">
        <f t="shared" si="4"/>
        <v>23D-ECO-FOAM-72X45X80MM</v>
      </c>
      <c r="F82">
        <f t="shared" si="5"/>
        <v>3.8460000000000001</v>
      </c>
    </row>
    <row r="83" spans="1:6" x14ac:dyDescent="0.25">
      <c r="A83">
        <v>72</v>
      </c>
      <c r="B83">
        <v>48</v>
      </c>
      <c r="C83">
        <v>80</v>
      </c>
      <c r="D83">
        <v>23</v>
      </c>
      <c r="E83" t="str">
        <f t="shared" si="4"/>
        <v>23D-ECO-FOAM-72X48X80MM</v>
      </c>
      <c r="F83">
        <f t="shared" si="5"/>
        <v>4.1029999999999998</v>
      </c>
    </row>
    <row r="84" spans="1:6" x14ac:dyDescent="0.25">
      <c r="A84">
        <v>72</v>
      </c>
      <c r="B84">
        <v>51</v>
      </c>
      <c r="C84">
        <v>80</v>
      </c>
      <c r="D84">
        <v>23</v>
      </c>
      <c r="E84" t="str">
        <f t="shared" si="4"/>
        <v>23D-ECO-FOAM-72X51X80MM</v>
      </c>
      <c r="F84">
        <f t="shared" si="5"/>
        <v>4.359</v>
      </c>
    </row>
    <row r="85" spans="1:6" x14ac:dyDescent="0.25">
      <c r="A85">
        <v>72</v>
      </c>
      <c r="B85">
        <v>54</v>
      </c>
      <c r="C85">
        <v>80</v>
      </c>
      <c r="D85">
        <v>23</v>
      </c>
      <c r="E85" t="str">
        <f t="shared" si="4"/>
        <v>23D-ECO-FOAM-72X54X80MM</v>
      </c>
      <c r="F85">
        <f t="shared" si="5"/>
        <v>4.6150000000000002</v>
      </c>
    </row>
    <row r="86" spans="1:6" x14ac:dyDescent="0.25">
      <c r="A86">
        <v>72</v>
      </c>
      <c r="B86">
        <v>57</v>
      </c>
      <c r="C86">
        <v>80</v>
      </c>
      <c r="D86">
        <v>23</v>
      </c>
      <c r="E86" t="str">
        <f t="shared" si="4"/>
        <v>23D-ECO-FOAM-72X57X80MM</v>
      </c>
      <c r="F86">
        <f t="shared" si="5"/>
        <v>4.8719999999999999</v>
      </c>
    </row>
    <row r="87" spans="1:6" x14ac:dyDescent="0.25">
      <c r="A87">
        <v>72</v>
      </c>
      <c r="B87">
        <v>60</v>
      </c>
      <c r="C87">
        <v>80</v>
      </c>
      <c r="D87">
        <v>23</v>
      </c>
      <c r="E87" t="str">
        <f t="shared" si="4"/>
        <v>23D-ECO-FOAM-72X60X80MM</v>
      </c>
      <c r="F87">
        <f t="shared" si="5"/>
        <v>5.1280000000000001</v>
      </c>
    </row>
    <row r="88" spans="1:6" x14ac:dyDescent="0.25">
      <c r="A88">
        <v>72</v>
      </c>
      <c r="B88">
        <v>63</v>
      </c>
      <c r="C88">
        <v>80</v>
      </c>
      <c r="D88">
        <v>23</v>
      </c>
      <c r="E88" t="str">
        <f t="shared" si="4"/>
        <v>23D-ECO-FOAM-72X63X80MM</v>
      </c>
      <c r="F88">
        <f t="shared" si="5"/>
        <v>5.3849999999999998</v>
      </c>
    </row>
    <row r="89" spans="1:6" x14ac:dyDescent="0.25">
      <c r="A89">
        <v>72</v>
      </c>
      <c r="B89">
        <v>66</v>
      </c>
      <c r="C89">
        <v>80</v>
      </c>
      <c r="D89">
        <v>23</v>
      </c>
      <c r="E89" t="str">
        <f t="shared" si="4"/>
        <v>23D-ECO-FOAM-72X66X80MM</v>
      </c>
      <c r="F89">
        <f t="shared" si="5"/>
        <v>5.641</v>
      </c>
    </row>
    <row r="90" spans="1:6" x14ac:dyDescent="0.25">
      <c r="A90">
        <v>72</v>
      </c>
      <c r="B90">
        <v>69</v>
      </c>
      <c r="C90">
        <v>80</v>
      </c>
      <c r="D90">
        <v>23</v>
      </c>
      <c r="E90" t="str">
        <f t="shared" si="4"/>
        <v>23D-ECO-FOAM-72X69X80MM</v>
      </c>
      <c r="F90">
        <f t="shared" si="5"/>
        <v>5.8970000000000002</v>
      </c>
    </row>
    <row r="91" spans="1:6" x14ac:dyDescent="0.25">
      <c r="A91">
        <v>72</v>
      </c>
      <c r="B91">
        <v>72</v>
      </c>
      <c r="C91">
        <v>80</v>
      </c>
      <c r="D91">
        <v>23</v>
      </c>
      <c r="E91" t="str">
        <f t="shared" si="4"/>
        <v>23D-ECO-FOAM-72X72X80MM</v>
      </c>
      <c r="F91">
        <f t="shared" si="5"/>
        <v>6.1539999999999999</v>
      </c>
    </row>
    <row r="92" spans="1:6" x14ac:dyDescent="0.25">
      <c r="A92">
        <v>75</v>
      </c>
      <c r="B92">
        <v>33</v>
      </c>
      <c r="C92">
        <v>80</v>
      </c>
      <c r="D92">
        <v>23</v>
      </c>
      <c r="E92" t="str">
        <f t="shared" si="4"/>
        <v>23D-ECO-FOAM-75X33X80MM</v>
      </c>
      <c r="F92">
        <f t="shared" si="5"/>
        <v>2.9380000000000002</v>
      </c>
    </row>
    <row r="93" spans="1:6" x14ac:dyDescent="0.25">
      <c r="A93">
        <v>75</v>
      </c>
      <c r="B93">
        <v>36</v>
      </c>
      <c r="C93">
        <v>80</v>
      </c>
      <c r="D93">
        <v>23</v>
      </c>
      <c r="E93" t="str">
        <f t="shared" si="4"/>
        <v>23D-ECO-FOAM-75X36X80MM</v>
      </c>
      <c r="F93">
        <f t="shared" si="5"/>
        <v>3.2050000000000001</v>
      </c>
    </row>
    <row r="94" spans="1:6" x14ac:dyDescent="0.25">
      <c r="A94">
        <v>75</v>
      </c>
      <c r="B94">
        <v>39</v>
      </c>
      <c r="C94">
        <v>80</v>
      </c>
      <c r="D94">
        <v>23</v>
      </c>
      <c r="E94" t="str">
        <f t="shared" si="4"/>
        <v>23D-ECO-FOAM-75X39X80MM</v>
      </c>
      <c r="F94">
        <f t="shared" si="5"/>
        <v>3.472</v>
      </c>
    </row>
    <row r="95" spans="1:6" x14ac:dyDescent="0.25">
      <c r="A95">
        <v>75</v>
      </c>
      <c r="B95">
        <v>42</v>
      </c>
      <c r="C95">
        <v>80</v>
      </c>
      <c r="D95">
        <v>23</v>
      </c>
      <c r="E95" t="str">
        <f t="shared" si="4"/>
        <v>23D-ECO-FOAM-75X42X80MM</v>
      </c>
      <c r="F95">
        <f t="shared" si="5"/>
        <v>3.7389999999999999</v>
      </c>
    </row>
    <row r="96" spans="1:6" x14ac:dyDescent="0.25">
      <c r="A96">
        <v>75</v>
      </c>
      <c r="B96">
        <v>45</v>
      </c>
      <c r="C96">
        <v>80</v>
      </c>
      <c r="D96">
        <v>23</v>
      </c>
      <c r="E96" t="str">
        <f t="shared" si="4"/>
        <v>23D-ECO-FOAM-75X45X80MM</v>
      </c>
      <c r="F96">
        <f t="shared" si="5"/>
        <v>4.0060000000000002</v>
      </c>
    </row>
    <row r="97" spans="1:6" x14ac:dyDescent="0.25">
      <c r="A97">
        <v>75</v>
      </c>
      <c r="B97">
        <v>48</v>
      </c>
      <c r="C97">
        <v>80</v>
      </c>
      <c r="D97">
        <v>23</v>
      </c>
      <c r="E97" t="str">
        <f t="shared" si="4"/>
        <v>23D-ECO-FOAM-75X48X80MM</v>
      </c>
      <c r="F97">
        <f t="shared" si="5"/>
        <v>4.274</v>
      </c>
    </row>
    <row r="98" spans="1:6" x14ac:dyDescent="0.25">
      <c r="A98">
        <v>75</v>
      </c>
      <c r="B98">
        <v>51</v>
      </c>
      <c r="C98">
        <v>80</v>
      </c>
      <c r="D98">
        <v>23</v>
      </c>
      <c r="E98" t="str">
        <f t="shared" si="4"/>
        <v>23D-ECO-FOAM-75X51X80MM</v>
      </c>
      <c r="F98">
        <f t="shared" si="5"/>
        <v>4.5410000000000004</v>
      </c>
    </row>
    <row r="99" spans="1:6" x14ac:dyDescent="0.25">
      <c r="A99">
        <v>75</v>
      </c>
      <c r="B99">
        <v>54</v>
      </c>
      <c r="C99">
        <v>80</v>
      </c>
      <c r="D99">
        <v>23</v>
      </c>
      <c r="E99" t="str">
        <f t="shared" si="4"/>
        <v>23D-ECO-FOAM-75X54X80MM</v>
      </c>
      <c r="F99">
        <f t="shared" si="5"/>
        <v>4.8079999999999998</v>
      </c>
    </row>
    <row r="100" spans="1:6" x14ac:dyDescent="0.25">
      <c r="A100">
        <v>75</v>
      </c>
      <c r="B100">
        <v>57</v>
      </c>
      <c r="C100">
        <v>80</v>
      </c>
      <c r="D100">
        <v>23</v>
      </c>
      <c r="E100" t="str">
        <f t="shared" si="4"/>
        <v>23D-ECO-FOAM-75X57X80MM</v>
      </c>
      <c r="F100">
        <f t="shared" si="5"/>
        <v>5.0750000000000002</v>
      </c>
    </row>
    <row r="101" spans="1:6" x14ac:dyDescent="0.25">
      <c r="A101">
        <v>75</v>
      </c>
      <c r="B101">
        <v>60</v>
      </c>
      <c r="C101">
        <v>80</v>
      </c>
      <c r="D101">
        <v>23</v>
      </c>
      <c r="E101" t="str">
        <f t="shared" si="4"/>
        <v>23D-ECO-FOAM-75X60X80MM</v>
      </c>
      <c r="F101">
        <f t="shared" si="5"/>
        <v>5.3419999999999996</v>
      </c>
    </row>
    <row r="102" spans="1:6" x14ac:dyDescent="0.25">
      <c r="A102">
        <v>75</v>
      </c>
      <c r="B102">
        <v>63</v>
      </c>
      <c r="C102">
        <v>80</v>
      </c>
      <c r="D102">
        <v>23</v>
      </c>
      <c r="E102" t="str">
        <f t="shared" si="4"/>
        <v>23D-ECO-FOAM-75X63X80MM</v>
      </c>
      <c r="F102">
        <f t="shared" si="5"/>
        <v>5.609</v>
      </c>
    </row>
    <row r="103" spans="1:6" x14ac:dyDescent="0.25">
      <c r="A103">
        <v>75</v>
      </c>
      <c r="B103">
        <v>66</v>
      </c>
      <c r="C103">
        <v>80</v>
      </c>
      <c r="D103">
        <v>23</v>
      </c>
      <c r="E103" t="str">
        <f t="shared" si="4"/>
        <v>23D-ECO-FOAM-75X66X80MM</v>
      </c>
      <c r="F103">
        <f t="shared" si="5"/>
        <v>5.8760000000000003</v>
      </c>
    </row>
    <row r="104" spans="1:6" x14ac:dyDescent="0.25">
      <c r="A104">
        <v>75</v>
      </c>
      <c r="B104">
        <v>69</v>
      </c>
      <c r="C104">
        <v>80</v>
      </c>
      <c r="D104">
        <v>23</v>
      </c>
      <c r="E104" t="str">
        <f t="shared" si="4"/>
        <v>23D-ECO-FOAM-75X69X80MM</v>
      </c>
      <c r="F104">
        <f t="shared" si="5"/>
        <v>6.1429999999999998</v>
      </c>
    </row>
    <row r="105" spans="1:6" x14ac:dyDescent="0.25">
      <c r="A105">
        <v>75</v>
      </c>
      <c r="B105">
        <v>72</v>
      </c>
      <c r="C105">
        <v>80</v>
      </c>
      <c r="D105">
        <v>23</v>
      </c>
      <c r="E105" t="str">
        <f t="shared" si="4"/>
        <v>23D-ECO-FOAM-75X72X80MM</v>
      </c>
      <c r="F105">
        <f t="shared" si="5"/>
        <v>6.41</v>
      </c>
    </row>
    <row r="106" spans="1:6" x14ac:dyDescent="0.25">
      <c r="A106">
        <v>78</v>
      </c>
      <c r="B106">
        <v>33</v>
      </c>
      <c r="C106">
        <v>80</v>
      </c>
      <c r="D106">
        <v>23</v>
      </c>
      <c r="E106" t="str">
        <f t="shared" si="4"/>
        <v>23D-ECO-FOAM-78X33X80MM</v>
      </c>
      <c r="F106">
        <f t="shared" si="5"/>
        <v>3.056</v>
      </c>
    </row>
    <row r="107" spans="1:6" x14ac:dyDescent="0.25">
      <c r="A107">
        <v>78</v>
      </c>
      <c r="B107">
        <v>36</v>
      </c>
      <c r="C107">
        <v>80</v>
      </c>
      <c r="D107">
        <v>23</v>
      </c>
      <c r="E107" t="str">
        <f t="shared" si="4"/>
        <v>23D-ECO-FOAM-78X36X80MM</v>
      </c>
      <c r="F107">
        <f t="shared" si="5"/>
        <v>3.3330000000000002</v>
      </c>
    </row>
    <row r="108" spans="1:6" x14ac:dyDescent="0.25">
      <c r="A108">
        <v>78</v>
      </c>
      <c r="B108">
        <v>39</v>
      </c>
      <c r="C108">
        <v>80</v>
      </c>
      <c r="D108">
        <v>23</v>
      </c>
      <c r="E108" t="str">
        <f t="shared" si="4"/>
        <v>23D-ECO-FOAM-78X39X80MM</v>
      </c>
      <c r="F108">
        <f t="shared" si="5"/>
        <v>3.6110000000000002</v>
      </c>
    </row>
    <row r="109" spans="1:6" x14ac:dyDescent="0.25">
      <c r="A109">
        <v>78</v>
      </c>
      <c r="B109">
        <v>42</v>
      </c>
      <c r="C109">
        <v>80</v>
      </c>
      <c r="D109">
        <v>23</v>
      </c>
      <c r="E109" t="str">
        <f t="shared" si="4"/>
        <v>23D-ECO-FOAM-78X42X80MM</v>
      </c>
      <c r="F109">
        <f t="shared" si="5"/>
        <v>3.8889999999999998</v>
      </c>
    </row>
    <row r="110" spans="1:6" x14ac:dyDescent="0.25">
      <c r="A110">
        <v>78</v>
      </c>
      <c r="B110">
        <v>45</v>
      </c>
      <c r="C110">
        <v>80</v>
      </c>
      <c r="D110">
        <v>23</v>
      </c>
      <c r="E110" t="str">
        <f t="shared" si="4"/>
        <v>23D-ECO-FOAM-78X45X80MM</v>
      </c>
      <c r="F110">
        <f t="shared" si="5"/>
        <v>4.1669999999999998</v>
      </c>
    </row>
    <row r="111" spans="1:6" x14ac:dyDescent="0.25">
      <c r="A111">
        <v>78</v>
      </c>
      <c r="B111">
        <v>48</v>
      </c>
      <c r="C111">
        <v>80</v>
      </c>
      <c r="D111">
        <v>23</v>
      </c>
      <c r="E111" t="str">
        <f t="shared" si="4"/>
        <v>23D-ECO-FOAM-78X48X80MM</v>
      </c>
      <c r="F111">
        <f t="shared" si="5"/>
        <v>4.444</v>
      </c>
    </row>
    <row r="112" spans="1:6" x14ac:dyDescent="0.25">
      <c r="A112">
        <v>78</v>
      </c>
      <c r="B112">
        <v>51</v>
      </c>
      <c r="C112">
        <v>80</v>
      </c>
      <c r="D112">
        <v>23</v>
      </c>
      <c r="E112" t="str">
        <f t="shared" si="4"/>
        <v>23D-ECO-FOAM-78X51X80MM</v>
      </c>
      <c r="F112">
        <f t="shared" si="5"/>
        <v>4.7220000000000004</v>
      </c>
    </row>
    <row r="113" spans="1:6" x14ac:dyDescent="0.25">
      <c r="A113">
        <v>78</v>
      </c>
      <c r="B113">
        <v>54</v>
      </c>
      <c r="C113">
        <v>80</v>
      </c>
      <c r="D113">
        <v>23</v>
      </c>
      <c r="E113" t="str">
        <f t="shared" si="4"/>
        <v>23D-ECO-FOAM-78X54X80MM</v>
      </c>
      <c r="F113">
        <f t="shared" si="5"/>
        <v>5</v>
      </c>
    </row>
    <row r="114" spans="1:6" x14ac:dyDescent="0.25">
      <c r="A114">
        <v>78</v>
      </c>
      <c r="B114">
        <v>57</v>
      </c>
      <c r="C114">
        <v>80</v>
      </c>
      <c r="D114">
        <v>23</v>
      </c>
      <c r="E114" t="str">
        <f t="shared" si="4"/>
        <v>23D-ECO-FOAM-78X57X80MM</v>
      </c>
      <c r="F114">
        <f t="shared" si="5"/>
        <v>5.2779999999999996</v>
      </c>
    </row>
    <row r="115" spans="1:6" x14ac:dyDescent="0.25">
      <c r="A115">
        <v>78</v>
      </c>
      <c r="B115">
        <v>60</v>
      </c>
      <c r="C115">
        <v>80</v>
      </c>
      <c r="D115">
        <v>23</v>
      </c>
      <c r="E115" t="str">
        <f t="shared" si="4"/>
        <v>23D-ECO-FOAM-78X60X80MM</v>
      </c>
      <c r="F115">
        <f t="shared" si="5"/>
        <v>5.556</v>
      </c>
    </row>
    <row r="116" spans="1:6" x14ac:dyDescent="0.25">
      <c r="A116">
        <v>78</v>
      </c>
      <c r="B116">
        <v>63</v>
      </c>
      <c r="C116">
        <v>80</v>
      </c>
      <c r="D116">
        <v>23</v>
      </c>
      <c r="E116" t="str">
        <f t="shared" si="4"/>
        <v>23D-ECO-FOAM-78X63X80MM</v>
      </c>
      <c r="F116">
        <f t="shared" si="5"/>
        <v>5.8330000000000002</v>
      </c>
    </row>
    <row r="117" spans="1:6" x14ac:dyDescent="0.25">
      <c r="A117">
        <v>78</v>
      </c>
      <c r="B117">
        <v>66</v>
      </c>
      <c r="C117">
        <v>80</v>
      </c>
      <c r="D117">
        <v>23</v>
      </c>
      <c r="E117" t="str">
        <f t="shared" si="4"/>
        <v>23D-ECO-FOAM-78X66X80MM</v>
      </c>
      <c r="F117">
        <f t="shared" si="5"/>
        <v>6.1109999999999998</v>
      </c>
    </row>
    <row r="118" spans="1:6" x14ac:dyDescent="0.25">
      <c r="A118">
        <v>78</v>
      </c>
      <c r="B118">
        <v>69</v>
      </c>
      <c r="C118">
        <v>80</v>
      </c>
      <c r="D118">
        <v>23</v>
      </c>
      <c r="E118" t="str">
        <f t="shared" si="4"/>
        <v>23D-ECO-FOAM-78X69X80MM</v>
      </c>
      <c r="F118">
        <f t="shared" si="5"/>
        <v>6.3890000000000002</v>
      </c>
    </row>
    <row r="119" spans="1:6" x14ac:dyDescent="0.25">
      <c r="A119">
        <v>78</v>
      </c>
      <c r="B119">
        <v>72</v>
      </c>
      <c r="C119">
        <v>80</v>
      </c>
      <c r="D119">
        <v>23</v>
      </c>
      <c r="E119" t="str">
        <f t="shared" si="4"/>
        <v>23D-ECO-FOAM-78X72X80MM</v>
      </c>
      <c r="F119">
        <f t="shared" si="5"/>
        <v>6.6669999999999998</v>
      </c>
    </row>
    <row r="120" spans="1:6" x14ac:dyDescent="0.25">
      <c r="A120">
        <v>80</v>
      </c>
      <c r="B120">
        <v>33</v>
      </c>
      <c r="C120">
        <v>80</v>
      </c>
      <c r="D120">
        <v>23</v>
      </c>
      <c r="E120" t="str">
        <f t="shared" si="4"/>
        <v>23D-ECO-FOAM-80X33X80MM</v>
      </c>
      <c r="F120">
        <f t="shared" si="5"/>
        <v>3.1339999999999999</v>
      </c>
    </row>
    <row r="121" spans="1:6" x14ac:dyDescent="0.25">
      <c r="A121">
        <v>80</v>
      </c>
      <c r="B121">
        <v>36</v>
      </c>
      <c r="C121">
        <v>80</v>
      </c>
      <c r="D121">
        <v>23</v>
      </c>
      <c r="E121" t="str">
        <f t="shared" si="4"/>
        <v>23D-ECO-FOAM-80X36X80MM</v>
      </c>
      <c r="F121">
        <f t="shared" si="5"/>
        <v>3.419</v>
      </c>
    </row>
    <row r="122" spans="1:6" x14ac:dyDescent="0.25">
      <c r="A122">
        <v>80</v>
      </c>
      <c r="B122">
        <v>39</v>
      </c>
      <c r="C122">
        <v>80</v>
      </c>
      <c r="D122">
        <v>23</v>
      </c>
      <c r="E122" t="str">
        <f t="shared" si="4"/>
        <v>23D-ECO-FOAM-80X39X80MM</v>
      </c>
      <c r="F122">
        <f t="shared" si="5"/>
        <v>3.7040000000000002</v>
      </c>
    </row>
    <row r="123" spans="1:6" x14ac:dyDescent="0.25">
      <c r="A123">
        <v>80</v>
      </c>
      <c r="B123">
        <v>42</v>
      </c>
      <c r="C123">
        <v>80</v>
      </c>
      <c r="D123">
        <v>23</v>
      </c>
      <c r="E123" t="str">
        <f t="shared" si="4"/>
        <v>23D-ECO-FOAM-80X42X80MM</v>
      </c>
      <c r="F123">
        <f t="shared" si="5"/>
        <v>3.9889999999999999</v>
      </c>
    </row>
    <row r="124" spans="1:6" x14ac:dyDescent="0.25">
      <c r="A124">
        <v>80</v>
      </c>
      <c r="B124">
        <v>45</v>
      </c>
      <c r="C124">
        <v>80</v>
      </c>
      <c r="D124">
        <v>23</v>
      </c>
      <c r="E124" t="str">
        <f t="shared" si="4"/>
        <v>23D-ECO-FOAM-80X45X80MM</v>
      </c>
      <c r="F124">
        <f t="shared" si="5"/>
        <v>4.274</v>
      </c>
    </row>
    <row r="125" spans="1:6" x14ac:dyDescent="0.25">
      <c r="A125">
        <v>80</v>
      </c>
      <c r="B125">
        <v>48</v>
      </c>
      <c r="C125">
        <v>80</v>
      </c>
      <c r="D125">
        <v>23</v>
      </c>
      <c r="E125" t="str">
        <f t="shared" si="4"/>
        <v>23D-ECO-FOAM-80X48X80MM</v>
      </c>
      <c r="F125">
        <f t="shared" si="5"/>
        <v>4.5579999999999998</v>
      </c>
    </row>
    <row r="126" spans="1:6" x14ac:dyDescent="0.25">
      <c r="A126">
        <v>80</v>
      </c>
      <c r="B126">
        <v>51</v>
      </c>
      <c r="C126">
        <v>80</v>
      </c>
      <c r="D126">
        <v>23</v>
      </c>
      <c r="E126" t="str">
        <f t="shared" si="4"/>
        <v>23D-ECO-FOAM-80X51X80MM</v>
      </c>
      <c r="F126">
        <f t="shared" si="5"/>
        <v>4.843</v>
      </c>
    </row>
    <row r="127" spans="1:6" x14ac:dyDescent="0.25">
      <c r="A127">
        <v>80</v>
      </c>
      <c r="B127">
        <v>54</v>
      </c>
      <c r="C127">
        <v>80</v>
      </c>
      <c r="D127">
        <v>23</v>
      </c>
      <c r="E127" t="str">
        <f t="shared" si="4"/>
        <v>23D-ECO-FOAM-80X54X80MM</v>
      </c>
      <c r="F127">
        <f t="shared" si="5"/>
        <v>5.1280000000000001</v>
      </c>
    </row>
    <row r="128" spans="1:6" x14ac:dyDescent="0.25">
      <c r="A128">
        <v>80</v>
      </c>
      <c r="B128">
        <v>57</v>
      </c>
      <c r="C128">
        <v>80</v>
      </c>
      <c r="D128">
        <v>23</v>
      </c>
      <c r="E128" t="str">
        <f t="shared" si="4"/>
        <v>23D-ECO-FOAM-80X57X80MM</v>
      </c>
      <c r="F128">
        <f t="shared" si="5"/>
        <v>5.4130000000000003</v>
      </c>
    </row>
    <row r="129" spans="1:6" x14ac:dyDescent="0.25">
      <c r="A129">
        <v>80</v>
      </c>
      <c r="B129">
        <v>60</v>
      </c>
      <c r="C129">
        <v>80</v>
      </c>
      <c r="D129">
        <v>23</v>
      </c>
      <c r="E129" t="str">
        <f t="shared" si="4"/>
        <v>23D-ECO-FOAM-80X60X80MM</v>
      </c>
      <c r="F129">
        <f t="shared" si="5"/>
        <v>5.6980000000000004</v>
      </c>
    </row>
    <row r="130" spans="1:6" x14ac:dyDescent="0.25">
      <c r="A130">
        <v>80</v>
      </c>
      <c r="B130">
        <v>63</v>
      </c>
      <c r="C130">
        <v>80</v>
      </c>
      <c r="D130">
        <v>23</v>
      </c>
      <c r="E130" t="str">
        <f t="shared" si="4"/>
        <v>23D-ECO-FOAM-80X63X80MM</v>
      </c>
      <c r="F130">
        <f t="shared" si="5"/>
        <v>5.9829999999999997</v>
      </c>
    </row>
    <row r="131" spans="1:6" x14ac:dyDescent="0.25">
      <c r="A131">
        <v>80</v>
      </c>
      <c r="B131">
        <v>66</v>
      </c>
      <c r="C131">
        <v>80</v>
      </c>
      <c r="D131">
        <v>23</v>
      </c>
      <c r="E131" t="str">
        <f t="shared" si="4"/>
        <v>23D-ECO-FOAM-80X66X80MM</v>
      </c>
      <c r="F131">
        <f t="shared" si="5"/>
        <v>6.2679999999999998</v>
      </c>
    </row>
    <row r="132" spans="1:6" x14ac:dyDescent="0.25">
      <c r="A132">
        <v>80</v>
      </c>
      <c r="B132">
        <v>69</v>
      </c>
      <c r="C132">
        <v>80</v>
      </c>
      <c r="D132">
        <v>23</v>
      </c>
      <c r="E132" t="str">
        <f t="shared" si="4"/>
        <v>23D-ECO-FOAM-80X69X80MM</v>
      </c>
      <c r="F132">
        <f t="shared" si="5"/>
        <v>6.5529999999999999</v>
      </c>
    </row>
    <row r="133" spans="1:6" x14ac:dyDescent="0.25">
      <c r="A133">
        <v>80</v>
      </c>
      <c r="B133">
        <v>72</v>
      </c>
      <c r="C133">
        <v>80</v>
      </c>
      <c r="D133">
        <v>23</v>
      </c>
      <c r="E133" t="str">
        <f t="shared" si="4"/>
        <v>23D-ECO-FOAM-80X72X80MM</v>
      </c>
      <c r="F133">
        <f t="shared" si="5"/>
        <v>6.8380000000000001</v>
      </c>
    </row>
    <row r="134" spans="1:6" x14ac:dyDescent="0.25">
      <c r="A134">
        <v>84</v>
      </c>
      <c r="B134">
        <v>33</v>
      </c>
      <c r="C134">
        <v>80</v>
      </c>
      <c r="D134">
        <v>23</v>
      </c>
      <c r="E134" t="str">
        <f t="shared" si="4"/>
        <v>23D-ECO-FOAM-84X33X80MM</v>
      </c>
      <c r="F134">
        <f t="shared" si="5"/>
        <v>3.2909999999999999</v>
      </c>
    </row>
    <row r="135" spans="1:6" x14ac:dyDescent="0.25">
      <c r="A135">
        <v>84</v>
      </c>
      <c r="B135">
        <v>36</v>
      </c>
      <c r="C135">
        <v>80</v>
      </c>
      <c r="D135">
        <v>23</v>
      </c>
      <c r="E135" t="str">
        <f t="shared" si="4"/>
        <v>23D-ECO-FOAM-84X36X80MM</v>
      </c>
      <c r="F135">
        <f t="shared" si="5"/>
        <v>3.59</v>
      </c>
    </row>
    <row r="136" spans="1:6" x14ac:dyDescent="0.25">
      <c r="A136">
        <v>84</v>
      </c>
      <c r="B136">
        <v>39</v>
      </c>
      <c r="C136">
        <v>80</v>
      </c>
      <c r="D136">
        <v>23</v>
      </c>
      <c r="E136" t="str">
        <f t="shared" si="4"/>
        <v>23D-ECO-FOAM-84X39X80MM</v>
      </c>
      <c r="F136">
        <f t="shared" si="5"/>
        <v>3.8889999999999998</v>
      </c>
    </row>
    <row r="137" spans="1:6" x14ac:dyDescent="0.25">
      <c r="A137">
        <v>84</v>
      </c>
      <c r="B137">
        <v>42</v>
      </c>
      <c r="C137">
        <v>80</v>
      </c>
      <c r="D137">
        <v>23</v>
      </c>
      <c r="E137" t="str">
        <f t="shared" si="4"/>
        <v>23D-ECO-FOAM-84X42X80MM</v>
      </c>
      <c r="F137">
        <f t="shared" si="5"/>
        <v>4.1879999999999997</v>
      </c>
    </row>
    <row r="138" spans="1:6" x14ac:dyDescent="0.25">
      <c r="A138">
        <v>84</v>
      </c>
      <c r="B138">
        <v>45</v>
      </c>
      <c r="C138">
        <v>80</v>
      </c>
      <c r="D138">
        <v>23</v>
      </c>
      <c r="E138" t="str">
        <f t="shared" si="4"/>
        <v>23D-ECO-FOAM-84X45X80MM</v>
      </c>
      <c r="F138">
        <f t="shared" si="5"/>
        <v>4.4870000000000001</v>
      </c>
    </row>
    <row r="139" spans="1:6" x14ac:dyDescent="0.25">
      <c r="A139">
        <v>84</v>
      </c>
      <c r="B139">
        <v>48</v>
      </c>
      <c r="C139">
        <v>80</v>
      </c>
      <c r="D139">
        <v>23</v>
      </c>
      <c r="E139" t="str">
        <f t="shared" ref="E139:E147" si="6">CONCATENATE(D139,"D-ECO-FOAM-",A139,"X",B139,"X",C139,"MM")</f>
        <v>23D-ECO-FOAM-84X48X80MM</v>
      </c>
      <c r="F139">
        <f t="shared" ref="F139:F147" si="7">ROUND((D139*A139*0.0254*B139*0.0254*(C139/1000)),3)</f>
        <v>4.7859999999999996</v>
      </c>
    </row>
    <row r="140" spans="1:6" x14ac:dyDescent="0.25">
      <c r="A140">
        <v>84</v>
      </c>
      <c r="B140">
        <v>51</v>
      </c>
      <c r="C140">
        <v>80</v>
      </c>
      <c r="D140">
        <v>23</v>
      </c>
      <c r="E140" t="str">
        <f t="shared" si="6"/>
        <v>23D-ECO-FOAM-84X51X80MM</v>
      </c>
      <c r="F140">
        <f t="shared" si="7"/>
        <v>5.0860000000000003</v>
      </c>
    </row>
    <row r="141" spans="1:6" x14ac:dyDescent="0.25">
      <c r="A141">
        <v>84</v>
      </c>
      <c r="B141">
        <v>54</v>
      </c>
      <c r="C141">
        <v>80</v>
      </c>
      <c r="D141">
        <v>23</v>
      </c>
      <c r="E141" t="str">
        <f t="shared" si="6"/>
        <v>23D-ECO-FOAM-84X54X80MM</v>
      </c>
      <c r="F141">
        <f t="shared" si="7"/>
        <v>5.3849999999999998</v>
      </c>
    </row>
    <row r="142" spans="1:6" x14ac:dyDescent="0.25">
      <c r="A142">
        <v>84</v>
      </c>
      <c r="B142">
        <v>57</v>
      </c>
      <c r="C142">
        <v>80</v>
      </c>
      <c r="D142">
        <v>23</v>
      </c>
      <c r="E142" t="str">
        <f t="shared" si="6"/>
        <v>23D-ECO-FOAM-84X57X80MM</v>
      </c>
      <c r="F142">
        <f t="shared" si="7"/>
        <v>5.6840000000000002</v>
      </c>
    </row>
    <row r="143" spans="1:6" x14ac:dyDescent="0.25">
      <c r="A143">
        <v>84</v>
      </c>
      <c r="B143">
        <v>60</v>
      </c>
      <c r="C143">
        <v>80</v>
      </c>
      <c r="D143">
        <v>23</v>
      </c>
      <c r="E143" t="str">
        <f t="shared" si="6"/>
        <v>23D-ECO-FOAM-84X60X80MM</v>
      </c>
      <c r="F143">
        <f t="shared" si="7"/>
        <v>5.9829999999999997</v>
      </c>
    </row>
    <row r="144" spans="1:6" x14ac:dyDescent="0.25">
      <c r="A144">
        <v>84</v>
      </c>
      <c r="B144">
        <v>63</v>
      </c>
      <c r="C144">
        <v>80</v>
      </c>
      <c r="D144">
        <v>23</v>
      </c>
      <c r="E144" t="str">
        <f t="shared" si="6"/>
        <v>23D-ECO-FOAM-84X63X80MM</v>
      </c>
      <c r="F144">
        <f t="shared" si="7"/>
        <v>6.282</v>
      </c>
    </row>
    <row r="145" spans="1:6" x14ac:dyDescent="0.25">
      <c r="A145">
        <v>84</v>
      </c>
      <c r="B145">
        <v>66</v>
      </c>
      <c r="C145">
        <v>80</v>
      </c>
      <c r="D145">
        <v>23</v>
      </c>
      <c r="E145" t="str">
        <f t="shared" si="6"/>
        <v>23D-ECO-FOAM-84X66X80MM</v>
      </c>
      <c r="F145">
        <f t="shared" si="7"/>
        <v>6.5810000000000004</v>
      </c>
    </row>
    <row r="146" spans="1:6" x14ac:dyDescent="0.25">
      <c r="A146">
        <v>84</v>
      </c>
      <c r="B146">
        <v>69</v>
      </c>
      <c r="C146">
        <v>80</v>
      </c>
      <c r="D146">
        <v>23</v>
      </c>
      <c r="E146" t="str">
        <f t="shared" si="6"/>
        <v>23D-ECO-FOAM-84X69X80MM</v>
      </c>
      <c r="F146">
        <f t="shared" si="7"/>
        <v>6.88</v>
      </c>
    </row>
    <row r="147" spans="1:6" x14ac:dyDescent="0.25">
      <c r="A147">
        <v>84</v>
      </c>
      <c r="B147">
        <v>72</v>
      </c>
      <c r="C147">
        <v>80</v>
      </c>
      <c r="D147">
        <v>23</v>
      </c>
      <c r="E147" t="str">
        <f t="shared" si="6"/>
        <v>23D-ECO-FOAM-84X72X80MM</v>
      </c>
      <c r="F147">
        <f t="shared" si="7"/>
        <v>7.18</v>
      </c>
    </row>
    <row r="148" spans="1:6" x14ac:dyDescent="0.25">
      <c r="A148">
        <v>13</v>
      </c>
      <c r="B148">
        <v>13</v>
      </c>
      <c r="C148">
        <v>100</v>
      </c>
      <c r="D148">
        <v>23</v>
      </c>
      <c r="E148" t="str">
        <f t="shared" ref="E148:E211" si="8">CONCATENATE(D148,"D-ECO-FOAM-",A148,"X",B148,"X",C148,"MM")</f>
        <v>23D-ECO-FOAM-13X13X100MM</v>
      </c>
      <c r="F148">
        <f t="shared" ref="F148:F211" si="9">ROUND((D148*A148*0.0254*B148*0.0254*(C148/1000)),3)</f>
        <v>0.251</v>
      </c>
    </row>
    <row r="149" spans="1:6" x14ac:dyDescent="0.25">
      <c r="A149">
        <v>20</v>
      </c>
      <c r="B149">
        <v>18</v>
      </c>
      <c r="C149">
        <v>100</v>
      </c>
      <c r="D149">
        <v>23</v>
      </c>
      <c r="E149" t="str">
        <f t="shared" si="8"/>
        <v>23D-ECO-FOAM-20X18X100MM</v>
      </c>
      <c r="F149">
        <f t="shared" si="9"/>
        <v>0.53400000000000003</v>
      </c>
    </row>
    <row r="150" spans="1:6" x14ac:dyDescent="0.25">
      <c r="A150">
        <v>72</v>
      </c>
      <c r="B150">
        <v>30</v>
      </c>
      <c r="C150">
        <v>100</v>
      </c>
      <c r="D150">
        <v>23</v>
      </c>
      <c r="E150" t="str">
        <f t="shared" si="8"/>
        <v>23D-ECO-FOAM-72X30X100MM</v>
      </c>
      <c r="F150">
        <f t="shared" si="9"/>
        <v>3.2050000000000001</v>
      </c>
    </row>
    <row r="151" spans="1:6" x14ac:dyDescent="0.25">
      <c r="A151">
        <v>72</v>
      </c>
      <c r="B151">
        <v>33</v>
      </c>
      <c r="C151">
        <v>100</v>
      </c>
      <c r="D151">
        <v>23</v>
      </c>
      <c r="E151" t="str">
        <f t="shared" si="8"/>
        <v>23D-ECO-FOAM-72X33X100MM</v>
      </c>
      <c r="F151">
        <f t="shared" si="9"/>
        <v>3.5259999999999998</v>
      </c>
    </row>
    <row r="152" spans="1:6" x14ac:dyDescent="0.25">
      <c r="A152">
        <v>72</v>
      </c>
      <c r="B152">
        <v>36</v>
      </c>
      <c r="C152">
        <v>100</v>
      </c>
      <c r="D152">
        <v>23</v>
      </c>
      <c r="E152" t="str">
        <f t="shared" si="8"/>
        <v>23D-ECO-FOAM-72X36X100MM</v>
      </c>
      <c r="F152">
        <f t="shared" si="9"/>
        <v>3.8460000000000001</v>
      </c>
    </row>
    <row r="153" spans="1:6" x14ac:dyDescent="0.25">
      <c r="A153">
        <v>72</v>
      </c>
      <c r="B153">
        <v>39</v>
      </c>
      <c r="C153">
        <v>100</v>
      </c>
      <c r="D153">
        <v>23</v>
      </c>
      <c r="E153" t="str">
        <f t="shared" si="8"/>
        <v>23D-ECO-FOAM-72X39X100MM</v>
      </c>
      <c r="F153">
        <f t="shared" si="9"/>
        <v>4.1669999999999998</v>
      </c>
    </row>
    <row r="154" spans="1:6" x14ac:dyDescent="0.25">
      <c r="A154">
        <v>72</v>
      </c>
      <c r="B154">
        <v>42</v>
      </c>
      <c r="C154">
        <v>100</v>
      </c>
      <c r="D154">
        <v>23</v>
      </c>
      <c r="E154" t="str">
        <f t="shared" si="8"/>
        <v>23D-ECO-FOAM-72X42X100MM</v>
      </c>
      <c r="F154">
        <f t="shared" si="9"/>
        <v>4.4870000000000001</v>
      </c>
    </row>
    <row r="155" spans="1:6" x14ac:dyDescent="0.25">
      <c r="A155">
        <v>72</v>
      </c>
      <c r="B155">
        <v>45</v>
      </c>
      <c r="C155">
        <v>100</v>
      </c>
      <c r="D155">
        <v>23</v>
      </c>
      <c r="E155" t="str">
        <f t="shared" si="8"/>
        <v>23D-ECO-FOAM-72X45X100MM</v>
      </c>
      <c r="F155">
        <f t="shared" si="9"/>
        <v>4.8079999999999998</v>
      </c>
    </row>
    <row r="156" spans="1:6" x14ac:dyDescent="0.25">
      <c r="A156">
        <v>72</v>
      </c>
      <c r="B156">
        <v>48</v>
      </c>
      <c r="C156">
        <v>100</v>
      </c>
      <c r="D156">
        <v>23</v>
      </c>
      <c r="E156" t="str">
        <f t="shared" si="8"/>
        <v>23D-ECO-FOAM-72X48X100MM</v>
      </c>
      <c r="F156">
        <f t="shared" si="9"/>
        <v>5.1280000000000001</v>
      </c>
    </row>
    <row r="157" spans="1:6" x14ac:dyDescent="0.25">
      <c r="A157">
        <v>72</v>
      </c>
      <c r="B157">
        <v>51</v>
      </c>
      <c r="C157">
        <v>100</v>
      </c>
      <c r="D157">
        <v>23</v>
      </c>
      <c r="E157" t="str">
        <f t="shared" si="8"/>
        <v>23D-ECO-FOAM-72X51X100MM</v>
      </c>
      <c r="F157">
        <f t="shared" si="9"/>
        <v>5.4489999999999998</v>
      </c>
    </row>
    <row r="158" spans="1:6" x14ac:dyDescent="0.25">
      <c r="A158">
        <v>72</v>
      </c>
      <c r="B158">
        <v>54</v>
      </c>
      <c r="C158">
        <v>100</v>
      </c>
      <c r="D158">
        <v>23</v>
      </c>
      <c r="E158" t="str">
        <f t="shared" si="8"/>
        <v>23D-ECO-FOAM-72X54X100MM</v>
      </c>
      <c r="F158">
        <f t="shared" si="9"/>
        <v>5.7690000000000001</v>
      </c>
    </row>
    <row r="159" spans="1:6" x14ac:dyDescent="0.25">
      <c r="A159">
        <v>72</v>
      </c>
      <c r="B159">
        <v>57</v>
      </c>
      <c r="C159">
        <v>100</v>
      </c>
      <c r="D159">
        <v>23</v>
      </c>
      <c r="E159" t="str">
        <f t="shared" si="8"/>
        <v>23D-ECO-FOAM-72X57X100MM</v>
      </c>
      <c r="F159">
        <f t="shared" si="9"/>
        <v>6.09</v>
      </c>
    </row>
    <row r="160" spans="1:6" x14ac:dyDescent="0.25">
      <c r="A160">
        <v>72</v>
      </c>
      <c r="B160">
        <v>60</v>
      </c>
      <c r="C160">
        <v>100</v>
      </c>
      <c r="D160">
        <v>23</v>
      </c>
      <c r="E160" t="str">
        <f t="shared" si="8"/>
        <v>23D-ECO-FOAM-72X60X100MM</v>
      </c>
      <c r="F160">
        <f t="shared" si="9"/>
        <v>6.41</v>
      </c>
    </row>
    <row r="161" spans="1:6" x14ac:dyDescent="0.25">
      <c r="A161">
        <v>72</v>
      </c>
      <c r="B161">
        <v>63</v>
      </c>
      <c r="C161">
        <v>100</v>
      </c>
      <c r="D161">
        <v>23</v>
      </c>
      <c r="E161" t="str">
        <f t="shared" si="8"/>
        <v>23D-ECO-FOAM-72X63X100MM</v>
      </c>
      <c r="F161">
        <f t="shared" si="9"/>
        <v>6.7309999999999999</v>
      </c>
    </row>
    <row r="162" spans="1:6" x14ac:dyDescent="0.25">
      <c r="A162">
        <v>72</v>
      </c>
      <c r="B162">
        <v>66</v>
      </c>
      <c r="C162">
        <v>100</v>
      </c>
      <c r="D162">
        <v>23</v>
      </c>
      <c r="E162" t="str">
        <f t="shared" si="8"/>
        <v>23D-ECO-FOAM-72X66X100MM</v>
      </c>
      <c r="F162">
        <f t="shared" si="9"/>
        <v>7.0510000000000002</v>
      </c>
    </row>
    <row r="163" spans="1:6" x14ac:dyDescent="0.25">
      <c r="A163">
        <v>72</v>
      </c>
      <c r="B163">
        <v>69</v>
      </c>
      <c r="C163">
        <v>100</v>
      </c>
      <c r="D163">
        <v>23</v>
      </c>
      <c r="E163" t="str">
        <f t="shared" si="8"/>
        <v>23D-ECO-FOAM-72X69X100MM</v>
      </c>
      <c r="F163">
        <f t="shared" si="9"/>
        <v>7.3719999999999999</v>
      </c>
    </row>
    <row r="164" spans="1:6" x14ac:dyDescent="0.25">
      <c r="A164">
        <v>72</v>
      </c>
      <c r="B164">
        <v>72</v>
      </c>
      <c r="C164">
        <v>100</v>
      </c>
      <c r="D164">
        <v>23</v>
      </c>
      <c r="E164" t="str">
        <f t="shared" si="8"/>
        <v>23D-ECO-FOAM-72X72X100MM</v>
      </c>
      <c r="F164">
        <f t="shared" si="9"/>
        <v>7.6920000000000002</v>
      </c>
    </row>
    <row r="165" spans="1:6" x14ac:dyDescent="0.25">
      <c r="A165">
        <v>75</v>
      </c>
      <c r="B165">
        <v>33</v>
      </c>
      <c r="C165">
        <v>100</v>
      </c>
      <c r="D165">
        <v>23</v>
      </c>
      <c r="E165" t="str">
        <f t="shared" si="8"/>
        <v>23D-ECO-FOAM-75X33X100MM</v>
      </c>
      <c r="F165">
        <f t="shared" si="9"/>
        <v>3.673</v>
      </c>
    </row>
    <row r="166" spans="1:6" x14ac:dyDescent="0.25">
      <c r="A166">
        <v>75</v>
      </c>
      <c r="B166">
        <v>36</v>
      </c>
      <c r="C166">
        <v>100</v>
      </c>
      <c r="D166">
        <v>23</v>
      </c>
      <c r="E166" t="str">
        <f t="shared" si="8"/>
        <v>23D-ECO-FOAM-75X36X100MM</v>
      </c>
      <c r="F166">
        <f t="shared" si="9"/>
        <v>4.0060000000000002</v>
      </c>
    </row>
    <row r="167" spans="1:6" x14ac:dyDescent="0.25">
      <c r="A167">
        <v>75</v>
      </c>
      <c r="B167">
        <v>39</v>
      </c>
      <c r="C167">
        <v>100</v>
      </c>
      <c r="D167">
        <v>23</v>
      </c>
      <c r="E167" t="str">
        <f t="shared" si="8"/>
        <v>23D-ECO-FOAM-75X39X100MM</v>
      </c>
      <c r="F167">
        <f t="shared" si="9"/>
        <v>4.34</v>
      </c>
    </row>
    <row r="168" spans="1:6" x14ac:dyDescent="0.25">
      <c r="A168">
        <v>75</v>
      </c>
      <c r="B168">
        <v>42</v>
      </c>
      <c r="C168">
        <v>100</v>
      </c>
      <c r="D168">
        <v>23</v>
      </c>
      <c r="E168" t="str">
        <f t="shared" si="8"/>
        <v>23D-ECO-FOAM-75X42X100MM</v>
      </c>
      <c r="F168">
        <f t="shared" si="9"/>
        <v>4.6740000000000004</v>
      </c>
    </row>
    <row r="169" spans="1:6" x14ac:dyDescent="0.25">
      <c r="A169">
        <v>75</v>
      </c>
      <c r="B169">
        <v>45</v>
      </c>
      <c r="C169">
        <v>100</v>
      </c>
      <c r="D169">
        <v>23</v>
      </c>
      <c r="E169" t="str">
        <f t="shared" si="8"/>
        <v>23D-ECO-FOAM-75X45X100MM</v>
      </c>
      <c r="F169">
        <f t="shared" si="9"/>
        <v>5.008</v>
      </c>
    </row>
    <row r="170" spans="1:6" x14ac:dyDescent="0.25">
      <c r="A170">
        <v>75</v>
      </c>
      <c r="B170">
        <v>48</v>
      </c>
      <c r="C170">
        <v>100</v>
      </c>
      <c r="D170">
        <v>23</v>
      </c>
      <c r="E170" t="str">
        <f t="shared" si="8"/>
        <v>23D-ECO-FOAM-75X48X100MM</v>
      </c>
      <c r="F170">
        <f t="shared" si="9"/>
        <v>5.3419999999999996</v>
      </c>
    </row>
    <row r="171" spans="1:6" x14ac:dyDescent="0.25">
      <c r="A171">
        <v>75</v>
      </c>
      <c r="B171">
        <v>51</v>
      </c>
      <c r="C171">
        <v>100</v>
      </c>
      <c r="D171">
        <v>23</v>
      </c>
      <c r="E171" t="str">
        <f t="shared" si="8"/>
        <v>23D-ECO-FOAM-75X51X100MM</v>
      </c>
      <c r="F171">
        <f t="shared" si="9"/>
        <v>5.6760000000000002</v>
      </c>
    </row>
    <row r="172" spans="1:6" x14ac:dyDescent="0.25">
      <c r="A172">
        <v>75</v>
      </c>
      <c r="B172">
        <v>54</v>
      </c>
      <c r="C172">
        <v>100</v>
      </c>
      <c r="D172">
        <v>23</v>
      </c>
      <c r="E172" t="str">
        <f t="shared" si="8"/>
        <v>23D-ECO-FOAM-75X54X100MM</v>
      </c>
      <c r="F172">
        <f t="shared" si="9"/>
        <v>6.01</v>
      </c>
    </row>
    <row r="173" spans="1:6" x14ac:dyDescent="0.25">
      <c r="A173">
        <v>75</v>
      </c>
      <c r="B173">
        <v>57</v>
      </c>
      <c r="C173">
        <v>100</v>
      </c>
      <c r="D173">
        <v>23</v>
      </c>
      <c r="E173" t="str">
        <f t="shared" si="8"/>
        <v>23D-ECO-FOAM-75X57X100MM</v>
      </c>
      <c r="F173">
        <f t="shared" si="9"/>
        <v>6.3440000000000003</v>
      </c>
    </row>
    <row r="174" spans="1:6" x14ac:dyDescent="0.25">
      <c r="A174">
        <v>75</v>
      </c>
      <c r="B174">
        <v>60</v>
      </c>
      <c r="C174">
        <v>100</v>
      </c>
      <c r="D174">
        <v>23</v>
      </c>
      <c r="E174" t="str">
        <f t="shared" si="8"/>
        <v>23D-ECO-FOAM-75X60X100MM</v>
      </c>
      <c r="F174">
        <f t="shared" si="9"/>
        <v>6.6769999999999996</v>
      </c>
    </row>
    <row r="175" spans="1:6" x14ac:dyDescent="0.25">
      <c r="A175">
        <v>75</v>
      </c>
      <c r="B175">
        <v>63</v>
      </c>
      <c r="C175">
        <v>100</v>
      </c>
      <c r="D175">
        <v>23</v>
      </c>
      <c r="E175" t="str">
        <f t="shared" si="8"/>
        <v>23D-ECO-FOAM-75X63X100MM</v>
      </c>
      <c r="F175">
        <f t="shared" si="9"/>
        <v>7.0110000000000001</v>
      </c>
    </row>
    <row r="176" spans="1:6" x14ac:dyDescent="0.25">
      <c r="A176">
        <v>75</v>
      </c>
      <c r="B176">
        <v>66</v>
      </c>
      <c r="C176">
        <v>100</v>
      </c>
      <c r="D176">
        <v>23</v>
      </c>
      <c r="E176" t="str">
        <f t="shared" si="8"/>
        <v>23D-ECO-FOAM-75X66X100MM</v>
      </c>
      <c r="F176">
        <f t="shared" si="9"/>
        <v>7.3449999999999998</v>
      </c>
    </row>
    <row r="177" spans="1:6" x14ac:dyDescent="0.25">
      <c r="A177">
        <v>75</v>
      </c>
      <c r="B177">
        <v>69</v>
      </c>
      <c r="C177">
        <v>100</v>
      </c>
      <c r="D177">
        <v>23</v>
      </c>
      <c r="E177" t="str">
        <f t="shared" si="8"/>
        <v>23D-ECO-FOAM-75X69X100MM</v>
      </c>
      <c r="F177">
        <f t="shared" si="9"/>
        <v>7.6790000000000003</v>
      </c>
    </row>
    <row r="178" spans="1:6" x14ac:dyDescent="0.25">
      <c r="A178">
        <v>75</v>
      </c>
      <c r="B178">
        <v>72</v>
      </c>
      <c r="C178">
        <v>100</v>
      </c>
      <c r="D178">
        <v>23</v>
      </c>
      <c r="E178" t="str">
        <f t="shared" si="8"/>
        <v>23D-ECO-FOAM-75X72X100MM</v>
      </c>
      <c r="F178">
        <f t="shared" si="9"/>
        <v>8.0129999999999999</v>
      </c>
    </row>
    <row r="179" spans="1:6" x14ac:dyDescent="0.25">
      <c r="A179">
        <v>78</v>
      </c>
      <c r="B179">
        <v>33</v>
      </c>
      <c r="C179">
        <v>100</v>
      </c>
      <c r="D179">
        <v>23</v>
      </c>
      <c r="E179" t="str">
        <f t="shared" si="8"/>
        <v>23D-ECO-FOAM-78X33X100MM</v>
      </c>
      <c r="F179">
        <f t="shared" si="9"/>
        <v>3.819</v>
      </c>
    </row>
    <row r="180" spans="1:6" x14ac:dyDescent="0.25">
      <c r="A180">
        <v>78</v>
      </c>
      <c r="B180">
        <v>36</v>
      </c>
      <c r="C180">
        <v>100</v>
      </c>
      <c r="D180">
        <v>23</v>
      </c>
      <c r="E180" t="str">
        <f t="shared" si="8"/>
        <v>23D-ECO-FOAM-78X36X100MM</v>
      </c>
      <c r="F180">
        <f t="shared" si="9"/>
        <v>4.1669999999999998</v>
      </c>
    </row>
    <row r="181" spans="1:6" x14ac:dyDescent="0.25">
      <c r="A181">
        <v>78</v>
      </c>
      <c r="B181">
        <v>39</v>
      </c>
      <c r="C181">
        <v>100</v>
      </c>
      <c r="D181">
        <v>23</v>
      </c>
      <c r="E181" t="str">
        <f t="shared" si="8"/>
        <v>23D-ECO-FOAM-78X39X100MM</v>
      </c>
      <c r="F181">
        <f t="shared" si="9"/>
        <v>4.5140000000000002</v>
      </c>
    </row>
    <row r="182" spans="1:6" x14ac:dyDescent="0.25">
      <c r="A182">
        <v>78</v>
      </c>
      <c r="B182">
        <v>42</v>
      </c>
      <c r="C182">
        <v>100</v>
      </c>
      <c r="D182">
        <v>23</v>
      </c>
      <c r="E182" t="str">
        <f t="shared" si="8"/>
        <v>23D-ECO-FOAM-78X42X100MM</v>
      </c>
      <c r="F182">
        <f t="shared" si="9"/>
        <v>4.8609999999999998</v>
      </c>
    </row>
    <row r="183" spans="1:6" x14ac:dyDescent="0.25">
      <c r="A183">
        <v>78</v>
      </c>
      <c r="B183">
        <v>45</v>
      </c>
      <c r="C183">
        <v>100</v>
      </c>
      <c r="D183">
        <v>23</v>
      </c>
      <c r="E183" t="str">
        <f t="shared" si="8"/>
        <v>23D-ECO-FOAM-78X45X100MM</v>
      </c>
      <c r="F183">
        <f t="shared" si="9"/>
        <v>5.2080000000000002</v>
      </c>
    </row>
    <row r="184" spans="1:6" x14ac:dyDescent="0.25">
      <c r="A184">
        <v>78</v>
      </c>
      <c r="B184">
        <v>48</v>
      </c>
      <c r="C184">
        <v>100</v>
      </c>
      <c r="D184">
        <v>23</v>
      </c>
      <c r="E184" t="str">
        <f t="shared" si="8"/>
        <v>23D-ECO-FOAM-78X48X100MM</v>
      </c>
      <c r="F184">
        <f t="shared" si="9"/>
        <v>5.556</v>
      </c>
    </row>
    <row r="185" spans="1:6" x14ac:dyDescent="0.25">
      <c r="A185">
        <v>78</v>
      </c>
      <c r="B185">
        <v>51</v>
      </c>
      <c r="C185">
        <v>100</v>
      </c>
      <c r="D185">
        <v>23</v>
      </c>
      <c r="E185" t="str">
        <f t="shared" si="8"/>
        <v>23D-ECO-FOAM-78X51X100MM</v>
      </c>
      <c r="F185">
        <f t="shared" si="9"/>
        <v>5.9029999999999996</v>
      </c>
    </row>
    <row r="186" spans="1:6" x14ac:dyDescent="0.25">
      <c r="A186">
        <v>78</v>
      </c>
      <c r="B186">
        <v>54</v>
      </c>
      <c r="C186">
        <v>100</v>
      </c>
      <c r="D186">
        <v>23</v>
      </c>
      <c r="E186" t="str">
        <f t="shared" si="8"/>
        <v>23D-ECO-FOAM-78X54X100MM</v>
      </c>
      <c r="F186">
        <f t="shared" si="9"/>
        <v>6.25</v>
      </c>
    </row>
    <row r="187" spans="1:6" x14ac:dyDescent="0.25">
      <c r="A187">
        <v>78</v>
      </c>
      <c r="B187">
        <v>57</v>
      </c>
      <c r="C187">
        <v>100</v>
      </c>
      <c r="D187">
        <v>23</v>
      </c>
      <c r="E187" t="str">
        <f t="shared" si="8"/>
        <v>23D-ECO-FOAM-78X57X100MM</v>
      </c>
      <c r="F187">
        <f t="shared" si="9"/>
        <v>6.5970000000000004</v>
      </c>
    </row>
    <row r="188" spans="1:6" x14ac:dyDescent="0.25">
      <c r="A188">
        <v>78</v>
      </c>
      <c r="B188">
        <v>60</v>
      </c>
      <c r="C188">
        <v>100</v>
      </c>
      <c r="D188">
        <v>23</v>
      </c>
      <c r="E188" t="str">
        <f t="shared" si="8"/>
        <v>23D-ECO-FOAM-78X60X100MM</v>
      </c>
      <c r="F188">
        <f t="shared" si="9"/>
        <v>6.9450000000000003</v>
      </c>
    </row>
    <row r="189" spans="1:6" x14ac:dyDescent="0.25">
      <c r="A189">
        <v>78</v>
      </c>
      <c r="B189">
        <v>63</v>
      </c>
      <c r="C189">
        <v>100</v>
      </c>
      <c r="D189">
        <v>23</v>
      </c>
      <c r="E189" t="str">
        <f t="shared" si="8"/>
        <v>23D-ECO-FOAM-78X63X100MM</v>
      </c>
      <c r="F189">
        <f t="shared" si="9"/>
        <v>7.2919999999999998</v>
      </c>
    </row>
    <row r="190" spans="1:6" x14ac:dyDescent="0.25">
      <c r="A190">
        <v>78</v>
      </c>
      <c r="B190">
        <v>66</v>
      </c>
      <c r="C190">
        <v>100</v>
      </c>
      <c r="D190">
        <v>23</v>
      </c>
      <c r="E190" t="str">
        <f t="shared" si="8"/>
        <v>23D-ECO-FOAM-78X66X100MM</v>
      </c>
      <c r="F190">
        <f t="shared" si="9"/>
        <v>7.6390000000000002</v>
      </c>
    </row>
    <row r="191" spans="1:6" x14ac:dyDescent="0.25">
      <c r="A191">
        <v>78</v>
      </c>
      <c r="B191">
        <v>69</v>
      </c>
      <c r="C191">
        <v>100</v>
      </c>
      <c r="D191">
        <v>23</v>
      </c>
      <c r="E191" t="str">
        <f t="shared" si="8"/>
        <v>23D-ECO-FOAM-78X69X100MM</v>
      </c>
      <c r="F191">
        <f t="shared" si="9"/>
        <v>7.9859999999999998</v>
      </c>
    </row>
    <row r="192" spans="1:6" x14ac:dyDescent="0.25">
      <c r="A192">
        <v>78</v>
      </c>
      <c r="B192">
        <v>72</v>
      </c>
      <c r="C192">
        <v>100</v>
      </c>
      <c r="D192">
        <v>23</v>
      </c>
      <c r="E192" t="str">
        <f t="shared" si="8"/>
        <v>23D-ECO-FOAM-78X72X100MM</v>
      </c>
      <c r="F192">
        <f t="shared" si="9"/>
        <v>8.3330000000000002</v>
      </c>
    </row>
    <row r="193" spans="1:6" x14ac:dyDescent="0.25">
      <c r="A193">
        <v>80</v>
      </c>
      <c r="B193">
        <v>33</v>
      </c>
      <c r="C193">
        <v>100</v>
      </c>
      <c r="D193">
        <v>23</v>
      </c>
      <c r="E193" t="str">
        <f t="shared" si="8"/>
        <v>23D-ECO-FOAM-80X33X100MM</v>
      </c>
      <c r="F193">
        <f t="shared" si="9"/>
        <v>3.9169999999999998</v>
      </c>
    </row>
    <row r="194" spans="1:6" x14ac:dyDescent="0.25">
      <c r="A194">
        <v>80</v>
      </c>
      <c r="B194">
        <v>36</v>
      </c>
      <c r="C194">
        <v>100</v>
      </c>
      <c r="D194">
        <v>23</v>
      </c>
      <c r="E194" t="str">
        <f t="shared" si="8"/>
        <v>23D-ECO-FOAM-80X36X100MM</v>
      </c>
      <c r="F194">
        <f t="shared" si="9"/>
        <v>4.274</v>
      </c>
    </row>
    <row r="195" spans="1:6" x14ac:dyDescent="0.25">
      <c r="A195">
        <v>80</v>
      </c>
      <c r="B195">
        <v>39</v>
      </c>
      <c r="C195">
        <v>100</v>
      </c>
      <c r="D195">
        <v>23</v>
      </c>
      <c r="E195" t="str">
        <f t="shared" si="8"/>
        <v>23D-ECO-FOAM-80X39X100MM</v>
      </c>
      <c r="F195">
        <f t="shared" si="9"/>
        <v>4.63</v>
      </c>
    </row>
    <row r="196" spans="1:6" x14ac:dyDescent="0.25">
      <c r="A196">
        <v>80</v>
      </c>
      <c r="B196">
        <v>42</v>
      </c>
      <c r="C196">
        <v>100</v>
      </c>
      <c r="D196">
        <v>23</v>
      </c>
      <c r="E196" t="str">
        <f t="shared" si="8"/>
        <v>23D-ECO-FOAM-80X42X100MM</v>
      </c>
      <c r="F196">
        <f t="shared" si="9"/>
        <v>4.9859999999999998</v>
      </c>
    </row>
    <row r="197" spans="1:6" x14ac:dyDescent="0.25">
      <c r="A197">
        <v>80</v>
      </c>
      <c r="B197">
        <v>45</v>
      </c>
      <c r="C197">
        <v>100</v>
      </c>
      <c r="D197">
        <v>23</v>
      </c>
      <c r="E197" t="str">
        <f t="shared" si="8"/>
        <v>23D-ECO-FOAM-80X45X100MM</v>
      </c>
      <c r="F197">
        <f t="shared" si="9"/>
        <v>5.3419999999999996</v>
      </c>
    </row>
    <row r="198" spans="1:6" x14ac:dyDescent="0.25">
      <c r="A198">
        <v>80</v>
      </c>
      <c r="B198">
        <v>48</v>
      </c>
      <c r="C198">
        <v>100</v>
      </c>
      <c r="D198">
        <v>23</v>
      </c>
      <c r="E198" t="str">
        <f t="shared" si="8"/>
        <v>23D-ECO-FOAM-80X48X100MM</v>
      </c>
      <c r="F198">
        <f t="shared" si="9"/>
        <v>5.6980000000000004</v>
      </c>
    </row>
    <row r="199" spans="1:6" x14ac:dyDescent="0.25">
      <c r="A199">
        <v>80</v>
      </c>
      <c r="B199">
        <v>51</v>
      </c>
      <c r="C199">
        <v>100</v>
      </c>
      <c r="D199">
        <v>23</v>
      </c>
      <c r="E199" t="str">
        <f t="shared" si="8"/>
        <v>23D-ECO-FOAM-80X51X100MM</v>
      </c>
      <c r="F199">
        <f t="shared" si="9"/>
        <v>6.0540000000000003</v>
      </c>
    </row>
    <row r="200" spans="1:6" x14ac:dyDescent="0.25">
      <c r="A200">
        <v>80</v>
      </c>
      <c r="B200">
        <v>54</v>
      </c>
      <c r="C200">
        <v>100</v>
      </c>
      <c r="D200">
        <v>23</v>
      </c>
      <c r="E200" t="str">
        <f t="shared" si="8"/>
        <v>23D-ECO-FOAM-80X54X100MM</v>
      </c>
      <c r="F200">
        <f t="shared" si="9"/>
        <v>6.41</v>
      </c>
    </row>
    <row r="201" spans="1:6" x14ac:dyDescent="0.25">
      <c r="A201">
        <v>80</v>
      </c>
      <c r="B201">
        <v>57</v>
      </c>
      <c r="C201">
        <v>100</v>
      </c>
      <c r="D201">
        <v>23</v>
      </c>
      <c r="E201" t="str">
        <f t="shared" si="8"/>
        <v>23D-ECO-FOAM-80X57X100MM</v>
      </c>
      <c r="F201">
        <f t="shared" si="9"/>
        <v>6.766</v>
      </c>
    </row>
    <row r="202" spans="1:6" x14ac:dyDescent="0.25">
      <c r="A202">
        <v>80</v>
      </c>
      <c r="B202">
        <v>60</v>
      </c>
      <c r="C202">
        <v>100</v>
      </c>
      <c r="D202">
        <v>23</v>
      </c>
      <c r="E202" t="str">
        <f t="shared" si="8"/>
        <v>23D-ECO-FOAM-80X60X100MM</v>
      </c>
      <c r="F202">
        <f t="shared" si="9"/>
        <v>7.1230000000000002</v>
      </c>
    </row>
    <row r="203" spans="1:6" x14ac:dyDescent="0.25">
      <c r="A203">
        <v>80</v>
      </c>
      <c r="B203">
        <v>63</v>
      </c>
      <c r="C203">
        <v>100</v>
      </c>
      <c r="D203">
        <v>23</v>
      </c>
      <c r="E203" t="str">
        <f t="shared" si="8"/>
        <v>23D-ECO-FOAM-80X63X100MM</v>
      </c>
      <c r="F203">
        <f t="shared" si="9"/>
        <v>7.4790000000000001</v>
      </c>
    </row>
    <row r="204" spans="1:6" x14ac:dyDescent="0.25">
      <c r="A204">
        <v>80</v>
      </c>
      <c r="B204">
        <v>66</v>
      </c>
      <c r="C204">
        <v>100</v>
      </c>
      <c r="D204">
        <v>23</v>
      </c>
      <c r="E204" t="str">
        <f t="shared" si="8"/>
        <v>23D-ECO-FOAM-80X66X100MM</v>
      </c>
      <c r="F204">
        <f t="shared" si="9"/>
        <v>7.835</v>
      </c>
    </row>
    <row r="205" spans="1:6" x14ac:dyDescent="0.25">
      <c r="A205">
        <v>80</v>
      </c>
      <c r="B205">
        <v>69</v>
      </c>
      <c r="C205">
        <v>100</v>
      </c>
      <c r="D205">
        <v>23</v>
      </c>
      <c r="E205" t="str">
        <f t="shared" si="8"/>
        <v>23D-ECO-FOAM-80X69X100MM</v>
      </c>
      <c r="F205">
        <f t="shared" si="9"/>
        <v>8.1910000000000007</v>
      </c>
    </row>
    <row r="206" spans="1:6" x14ac:dyDescent="0.25">
      <c r="A206">
        <v>80</v>
      </c>
      <c r="B206">
        <v>72</v>
      </c>
      <c r="C206">
        <v>100</v>
      </c>
      <c r="D206">
        <v>23</v>
      </c>
      <c r="E206" t="str">
        <f t="shared" si="8"/>
        <v>23D-ECO-FOAM-80X72X100MM</v>
      </c>
      <c r="F206">
        <f t="shared" si="9"/>
        <v>8.5470000000000006</v>
      </c>
    </row>
    <row r="207" spans="1:6" x14ac:dyDescent="0.25">
      <c r="A207">
        <v>84</v>
      </c>
      <c r="B207">
        <v>33</v>
      </c>
      <c r="C207">
        <v>100</v>
      </c>
      <c r="D207">
        <v>23</v>
      </c>
      <c r="E207" t="str">
        <f t="shared" si="8"/>
        <v>23D-ECO-FOAM-84X33X100MM</v>
      </c>
      <c r="F207">
        <f t="shared" si="9"/>
        <v>4.1130000000000004</v>
      </c>
    </row>
    <row r="208" spans="1:6" x14ac:dyDescent="0.25">
      <c r="A208">
        <v>84</v>
      </c>
      <c r="B208">
        <v>36</v>
      </c>
      <c r="C208">
        <v>100</v>
      </c>
      <c r="D208">
        <v>23</v>
      </c>
      <c r="E208" t="str">
        <f t="shared" si="8"/>
        <v>23D-ECO-FOAM-84X36X100MM</v>
      </c>
      <c r="F208">
        <f t="shared" si="9"/>
        <v>4.4870000000000001</v>
      </c>
    </row>
    <row r="209" spans="1:6" x14ac:dyDescent="0.25">
      <c r="A209">
        <v>84</v>
      </c>
      <c r="B209">
        <v>39</v>
      </c>
      <c r="C209">
        <v>100</v>
      </c>
      <c r="D209">
        <v>23</v>
      </c>
      <c r="E209" t="str">
        <f t="shared" si="8"/>
        <v>23D-ECO-FOAM-84X39X100MM</v>
      </c>
      <c r="F209">
        <f t="shared" si="9"/>
        <v>4.8609999999999998</v>
      </c>
    </row>
    <row r="210" spans="1:6" x14ac:dyDescent="0.25">
      <c r="A210">
        <v>84</v>
      </c>
      <c r="B210">
        <v>42</v>
      </c>
      <c r="C210">
        <v>100</v>
      </c>
      <c r="D210">
        <v>23</v>
      </c>
      <c r="E210" t="str">
        <f t="shared" si="8"/>
        <v>23D-ECO-FOAM-84X42X100MM</v>
      </c>
      <c r="F210">
        <f t="shared" si="9"/>
        <v>5.2350000000000003</v>
      </c>
    </row>
    <row r="211" spans="1:6" x14ac:dyDescent="0.25">
      <c r="A211">
        <v>84</v>
      </c>
      <c r="B211">
        <v>45</v>
      </c>
      <c r="C211">
        <v>100</v>
      </c>
      <c r="D211">
        <v>23</v>
      </c>
      <c r="E211" t="str">
        <f t="shared" si="8"/>
        <v>23D-ECO-FOAM-84X45X100MM</v>
      </c>
      <c r="F211">
        <f t="shared" si="9"/>
        <v>5.609</v>
      </c>
    </row>
    <row r="212" spans="1:6" x14ac:dyDescent="0.25">
      <c r="A212">
        <v>84</v>
      </c>
      <c r="B212">
        <v>48</v>
      </c>
      <c r="C212">
        <v>100</v>
      </c>
      <c r="D212">
        <v>23</v>
      </c>
      <c r="E212" t="str">
        <f t="shared" ref="E212:E221" si="10">CONCATENATE(D212,"D-ECO-FOAM-",A212,"X",B212,"X",C212,"MM")</f>
        <v>23D-ECO-FOAM-84X48X100MM</v>
      </c>
      <c r="F212">
        <f t="shared" ref="F212:F221" si="11">ROUND((D212*A212*0.0254*B212*0.0254*(C212/1000)),3)</f>
        <v>5.9829999999999997</v>
      </c>
    </row>
    <row r="213" spans="1:6" x14ac:dyDescent="0.25">
      <c r="A213">
        <v>84</v>
      </c>
      <c r="B213">
        <v>51</v>
      </c>
      <c r="C213">
        <v>100</v>
      </c>
      <c r="D213">
        <v>23</v>
      </c>
      <c r="E213" t="str">
        <f t="shared" si="10"/>
        <v>23D-ECO-FOAM-84X51X100MM</v>
      </c>
      <c r="F213">
        <f t="shared" si="11"/>
        <v>6.3570000000000002</v>
      </c>
    </row>
    <row r="214" spans="1:6" x14ac:dyDescent="0.25">
      <c r="A214">
        <v>84</v>
      </c>
      <c r="B214">
        <v>54</v>
      </c>
      <c r="C214">
        <v>100</v>
      </c>
      <c r="D214">
        <v>23</v>
      </c>
      <c r="E214" t="str">
        <f t="shared" si="10"/>
        <v>23D-ECO-FOAM-84X54X100MM</v>
      </c>
      <c r="F214">
        <f t="shared" si="11"/>
        <v>6.7309999999999999</v>
      </c>
    </row>
    <row r="215" spans="1:6" x14ac:dyDescent="0.25">
      <c r="A215">
        <v>84</v>
      </c>
      <c r="B215">
        <v>57</v>
      </c>
      <c r="C215">
        <v>100</v>
      </c>
      <c r="D215">
        <v>23</v>
      </c>
      <c r="E215" t="str">
        <f t="shared" si="10"/>
        <v>23D-ECO-FOAM-84X57X100MM</v>
      </c>
      <c r="F215">
        <f t="shared" si="11"/>
        <v>7.1050000000000004</v>
      </c>
    </row>
    <row r="216" spans="1:6" x14ac:dyDescent="0.25">
      <c r="A216">
        <v>84</v>
      </c>
      <c r="B216">
        <v>60</v>
      </c>
      <c r="C216">
        <v>100</v>
      </c>
      <c r="D216">
        <v>23</v>
      </c>
      <c r="E216" t="str">
        <f t="shared" si="10"/>
        <v>23D-ECO-FOAM-84X60X100MM</v>
      </c>
      <c r="F216">
        <f t="shared" si="11"/>
        <v>7.4790000000000001</v>
      </c>
    </row>
    <row r="217" spans="1:6" x14ac:dyDescent="0.25">
      <c r="A217">
        <v>84</v>
      </c>
      <c r="B217">
        <v>63</v>
      </c>
      <c r="C217">
        <v>100</v>
      </c>
      <c r="D217">
        <v>23</v>
      </c>
      <c r="E217" t="str">
        <f t="shared" si="10"/>
        <v>23D-ECO-FOAM-84X63X100MM</v>
      </c>
      <c r="F217">
        <f t="shared" si="11"/>
        <v>7.8529999999999998</v>
      </c>
    </row>
    <row r="218" spans="1:6" x14ac:dyDescent="0.25">
      <c r="A218">
        <v>84</v>
      </c>
      <c r="B218">
        <v>66</v>
      </c>
      <c r="C218">
        <v>100</v>
      </c>
      <c r="D218">
        <v>23</v>
      </c>
      <c r="E218" t="str">
        <f t="shared" si="10"/>
        <v>23D-ECO-FOAM-84X66X100MM</v>
      </c>
      <c r="F218">
        <f t="shared" si="11"/>
        <v>8.2270000000000003</v>
      </c>
    </row>
    <row r="219" spans="1:6" x14ac:dyDescent="0.25">
      <c r="A219">
        <v>84</v>
      </c>
      <c r="B219">
        <v>69</v>
      </c>
      <c r="C219">
        <v>100</v>
      </c>
      <c r="D219">
        <v>23</v>
      </c>
      <c r="E219" t="str">
        <f t="shared" si="10"/>
        <v>23D-ECO-FOAM-84X69X100MM</v>
      </c>
      <c r="F219">
        <f t="shared" si="11"/>
        <v>8.6</v>
      </c>
    </row>
    <row r="220" spans="1:6" x14ac:dyDescent="0.25">
      <c r="A220">
        <v>84</v>
      </c>
      <c r="B220">
        <v>72</v>
      </c>
      <c r="C220">
        <v>100</v>
      </c>
      <c r="D220">
        <v>23</v>
      </c>
      <c r="E220" t="str">
        <f t="shared" si="10"/>
        <v>23D-ECO-FOAM-84X72X100MM</v>
      </c>
      <c r="F220">
        <f t="shared" si="11"/>
        <v>8.9740000000000002</v>
      </c>
    </row>
    <row r="221" spans="1:6" x14ac:dyDescent="0.25">
      <c r="A221">
        <v>13</v>
      </c>
      <c r="B221">
        <v>13</v>
      </c>
      <c r="C221">
        <v>124</v>
      </c>
      <c r="D221">
        <v>23</v>
      </c>
      <c r="E221" t="str">
        <f t="shared" si="10"/>
        <v>23D-ECO-FOAM-13X13X124MM</v>
      </c>
      <c r="F221">
        <f t="shared" si="11"/>
        <v>0.311</v>
      </c>
    </row>
    <row r="222" spans="1:6" x14ac:dyDescent="0.25">
      <c r="A222">
        <v>20</v>
      </c>
      <c r="B222">
        <v>18</v>
      </c>
      <c r="C222">
        <v>124</v>
      </c>
      <c r="D222">
        <v>23</v>
      </c>
      <c r="E222" t="str">
        <f t="shared" ref="E222:E285" si="12">CONCATENATE(D222,"D-ECO-FOAM-",A222,"X",B222,"X",C222,"MM")</f>
        <v>23D-ECO-FOAM-20X18X124MM</v>
      </c>
      <c r="F222">
        <f t="shared" ref="F222:F285" si="13">ROUND((D222*A222*0.0254*B222*0.0254*(C222/1000)),3)</f>
        <v>0.66200000000000003</v>
      </c>
    </row>
    <row r="223" spans="1:6" x14ac:dyDescent="0.25">
      <c r="A223">
        <v>72</v>
      </c>
      <c r="B223">
        <v>30</v>
      </c>
      <c r="C223">
        <v>124</v>
      </c>
      <c r="D223">
        <v>23</v>
      </c>
      <c r="E223" t="str">
        <f t="shared" si="12"/>
        <v>23D-ECO-FOAM-72X30X124MM</v>
      </c>
      <c r="F223">
        <f t="shared" si="13"/>
        <v>3.9740000000000002</v>
      </c>
    </row>
    <row r="224" spans="1:6" x14ac:dyDescent="0.25">
      <c r="A224">
        <v>72</v>
      </c>
      <c r="B224">
        <v>33</v>
      </c>
      <c r="C224">
        <v>124</v>
      </c>
      <c r="D224">
        <v>23</v>
      </c>
      <c r="E224" t="str">
        <f t="shared" si="12"/>
        <v>23D-ECO-FOAM-72X33X124MM</v>
      </c>
      <c r="F224">
        <f t="shared" si="13"/>
        <v>4.3719999999999999</v>
      </c>
    </row>
    <row r="225" spans="1:6" x14ac:dyDescent="0.25">
      <c r="A225">
        <v>72</v>
      </c>
      <c r="B225">
        <v>36</v>
      </c>
      <c r="C225">
        <v>124</v>
      </c>
      <c r="D225">
        <v>23</v>
      </c>
      <c r="E225" t="str">
        <f t="shared" si="12"/>
        <v>23D-ECO-FOAM-72X36X124MM</v>
      </c>
      <c r="F225">
        <f t="shared" si="13"/>
        <v>4.7690000000000001</v>
      </c>
    </row>
    <row r="226" spans="1:6" x14ac:dyDescent="0.25">
      <c r="A226">
        <v>72</v>
      </c>
      <c r="B226">
        <v>39</v>
      </c>
      <c r="C226">
        <v>124</v>
      </c>
      <c r="D226">
        <v>23</v>
      </c>
      <c r="E226" t="str">
        <f t="shared" si="12"/>
        <v>23D-ECO-FOAM-72X39X124MM</v>
      </c>
      <c r="F226">
        <f t="shared" si="13"/>
        <v>5.1669999999999998</v>
      </c>
    </row>
    <row r="227" spans="1:6" x14ac:dyDescent="0.25">
      <c r="A227">
        <v>72</v>
      </c>
      <c r="B227">
        <v>42</v>
      </c>
      <c r="C227">
        <v>124</v>
      </c>
      <c r="D227">
        <v>23</v>
      </c>
      <c r="E227" t="str">
        <f t="shared" si="12"/>
        <v>23D-ECO-FOAM-72X42X124MM</v>
      </c>
      <c r="F227">
        <f t="shared" si="13"/>
        <v>5.5640000000000001</v>
      </c>
    </row>
    <row r="228" spans="1:6" x14ac:dyDescent="0.25">
      <c r="A228">
        <v>72</v>
      </c>
      <c r="B228">
        <v>45</v>
      </c>
      <c r="C228">
        <v>124</v>
      </c>
      <c r="D228">
        <v>23</v>
      </c>
      <c r="E228" t="str">
        <f t="shared" si="12"/>
        <v>23D-ECO-FOAM-72X45X124MM</v>
      </c>
      <c r="F228">
        <f t="shared" si="13"/>
        <v>5.9619999999999997</v>
      </c>
    </row>
    <row r="229" spans="1:6" x14ac:dyDescent="0.25">
      <c r="A229">
        <v>72</v>
      </c>
      <c r="B229">
        <v>48</v>
      </c>
      <c r="C229">
        <v>124</v>
      </c>
      <c r="D229">
        <v>23</v>
      </c>
      <c r="E229" t="str">
        <f t="shared" si="12"/>
        <v>23D-ECO-FOAM-72X48X124MM</v>
      </c>
      <c r="F229">
        <f t="shared" si="13"/>
        <v>6.359</v>
      </c>
    </row>
    <row r="230" spans="1:6" x14ac:dyDescent="0.25">
      <c r="A230">
        <v>72</v>
      </c>
      <c r="B230">
        <v>51</v>
      </c>
      <c r="C230">
        <v>124</v>
      </c>
      <c r="D230">
        <v>23</v>
      </c>
      <c r="E230" t="str">
        <f t="shared" si="12"/>
        <v>23D-ECO-FOAM-72X51X124MM</v>
      </c>
      <c r="F230">
        <f t="shared" si="13"/>
        <v>6.7560000000000002</v>
      </c>
    </row>
    <row r="231" spans="1:6" x14ac:dyDescent="0.25">
      <c r="A231">
        <v>72</v>
      </c>
      <c r="B231">
        <v>54</v>
      </c>
      <c r="C231">
        <v>124</v>
      </c>
      <c r="D231">
        <v>23</v>
      </c>
      <c r="E231" t="str">
        <f t="shared" si="12"/>
        <v>23D-ECO-FOAM-72X54X124MM</v>
      </c>
      <c r="F231">
        <f t="shared" si="13"/>
        <v>7.1539999999999999</v>
      </c>
    </row>
    <row r="232" spans="1:6" x14ac:dyDescent="0.25">
      <c r="A232">
        <v>72</v>
      </c>
      <c r="B232">
        <v>57</v>
      </c>
      <c r="C232">
        <v>124</v>
      </c>
      <c r="D232">
        <v>23</v>
      </c>
      <c r="E232" t="str">
        <f t="shared" si="12"/>
        <v>23D-ECO-FOAM-72X57X124MM</v>
      </c>
      <c r="F232">
        <f t="shared" si="13"/>
        <v>7.5510000000000002</v>
      </c>
    </row>
    <row r="233" spans="1:6" x14ac:dyDescent="0.25">
      <c r="A233">
        <v>72</v>
      </c>
      <c r="B233">
        <v>60</v>
      </c>
      <c r="C233">
        <v>124</v>
      </c>
      <c r="D233">
        <v>23</v>
      </c>
      <c r="E233" t="str">
        <f t="shared" si="12"/>
        <v>23D-ECO-FOAM-72X60X124MM</v>
      </c>
      <c r="F233">
        <f t="shared" si="13"/>
        <v>7.9489999999999998</v>
      </c>
    </row>
    <row r="234" spans="1:6" x14ac:dyDescent="0.25">
      <c r="A234">
        <v>72</v>
      </c>
      <c r="B234">
        <v>63</v>
      </c>
      <c r="C234">
        <v>124</v>
      </c>
      <c r="D234">
        <v>23</v>
      </c>
      <c r="E234" t="str">
        <f t="shared" si="12"/>
        <v>23D-ECO-FOAM-72X63X124MM</v>
      </c>
      <c r="F234">
        <f t="shared" si="13"/>
        <v>8.3460000000000001</v>
      </c>
    </row>
    <row r="235" spans="1:6" x14ac:dyDescent="0.25">
      <c r="A235">
        <v>72</v>
      </c>
      <c r="B235">
        <v>66</v>
      </c>
      <c r="C235">
        <v>124</v>
      </c>
      <c r="D235">
        <v>23</v>
      </c>
      <c r="E235" t="str">
        <f t="shared" si="12"/>
        <v>23D-ECO-FOAM-72X66X124MM</v>
      </c>
      <c r="F235">
        <f t="shared" si="13"/>
        <v>8.7439999999999998</v>
      </c>
    </row>
    <row r="236" spans="1:6" x14ac:dyDescent="0.25">
      <c r="A236">
        <v>72</v>
      </c>
      <c r="B236">
        <v>69</v>
      </c>
      <c r="C236">
        <v>124</v>
      </c>
      <c r="D236">
        <v>23</v>
      </c>
      <c r="E236" t="str">
        <f t="shared" si="12"/>
        <v>23D-ECO-FOAM-72X69X124MM</v>
      </c>
      <c r="F236">
        <f t="shared" si="13"/>
        <v>9.141</v>
      </c>
    </row>
    <row r="237" spans="1:6" x14ac:dyDescent="0.25">
      <c r="A237">
        <v>72</v>
      </c>
      <c r="B237">
        <v>72</v>
      </c>
      <c r="C237">
        <v>124</v>
      </c>
      <c r="D237">
        <v>23</v>
      </c>
      <c r="E237" t="str">
        <f t="shared" si="12"/>
        <v>23D-ECO-FOAM-72X72X124MM</v>
      </c>
      <c r="F237">
        <f t="shared" si="13"/>
        <v>9.5389999999999997</v>
      </c>
    </row>
    <row r="238" spans="1:6" x14ac:dyDescent="0.25">
      <c r="A238">
        <v>75</v>
      </c>
      <c r="B238">
        <v>33</v>
      </c>
      <c r="C238">
        <v>124</v>
      </c>
      <c r="D238">
        <v>23</v>
      </c>
      <c r="E238" t="str">
        <f t="shared" si="12"/>
        <v>23D-ECO-FOAM-75X33X124MM</v>
      </c>
      <c r="F238">
        <f t="shared" si="13"/>
        <v>4.5540000000000003</v>
      </c>
    </row>
    <row r="239" spans="1:6" x14ac:dyDescent="0.25">
      <c r="A239">
        <v>75</v>
      </c>
      <c r="B239">
        <v>36</v>
      </c>
      <c r="C239">
        <v>124</v>
      </c>
      <c r="D239">
        <v>23</v>
      </c>
      <c r="E239" t="str">
        <f t="shared" si="12"/>
        <v>23D-ECO-FOAM-75X36X124MM</v>
      </c>
      <c r="F239">
        <f t="shared" si="13"/>
        <v>4.968</v>
      </c>
    </row>
    <row r="240" spans="1:6" x14ac:dyDescent="0.25">
      <c r="A240">
        <v>75</v>
      </c>
      <c r="B240">
        <v>39</v>
      </c>
      <c r="C240">
        <v>124</v>
      </c>
      <c r="D240">
        <v>23</v>
      </c>
      <c r="E240" t="str">
        <f t="shared" si="12"/>
        <v>23D-ECO-FOAM-75X39X124MM</v>
      </c>
      <c r="F240">
        <f t="shared" si="13"/>
        <v>5.3819999999999997</v>
      </c>
    </row>
    <row r="241" spans="1:6" x14ac:dyDescent="0.25">
      <c r="A241">
        <v>75</v>
      </c>
      <c r="B241">
        <v>42</v>
      </c>
      <c r="C241">
        <v>124</v>
      </c>
      <c r="D241">
        <v>23</v>
      </c>
      <c r="E241" t="str">
        <f t="shared" si="12"/>
        <v>23D-ECO-FOAM-75X42X124MM</v>
      </c>
      <c r="F241">
        <f t="shared" si="13"/>
        <v>5.7960000000000003</v>
      </c>
    </row>
    <row r="242" spans="1:6" x14ac:dyDescent="0.25">
      <c r="A242">
        <v>75</v>
      </c>
      <c r="B242">
        <v>45</v>
      </c>
      <c r="C242">
        <v>124</v>
      </c>
      <c r="D242">
        <v>23</v>
      </c>
      <c r="E242" t="str">
        <f t="shared" si="12"/>
        <v>23D-ECO-FOAM-75X45X124MM</v>
      </c>
      <c r="F242">
        <f t="shared" si="13"/>
        <v>6.21</v>
      </c>
    </row>
    <row r="243" spans="1:6" x14ac:dyDescent="0.25">
      <c r="A243">
        <v>75</v>
      </c>
      <c r="B243">
        <v>48</v>
      </c>
      <c r="C243">
        <v>124</v>
      </c>
      <c r="D243">
        <v>23</v>
      </c>
      <c r="E243" t="str">
        <f t="shared" si="12"/>
        <v>23D-ECO-FOAM-75X48X124MM</v>
      </c>
      <c r="F243">
        <f t="shared" si="13"/>
        <v>6.6239999999999997</v>
      </c>
    </row>
    <row r="244" spans="1:6" x14ac:dyDescent="0.25">
      <c r="A244">
        <v>75</v>
      </c>
      <c r="B244">
        <v>51</v>
      </c>
      <c r="C244">
        <v>124</v>
      </c>
      <c r="D244">
        <v>23</v>
      </c>
      <c r="E244" t="str">
        <f t="shared" si="12"/>
        <v>23D-ECO-FOAM-75X51X124MM</v>
      </c>
      <c r="F244">
        <f t="shared" si="13"/>
        <v>7.0380000000000003</v>
      </c>
    </row>
    <row r="245" spans="1:6" x14ac:dyDescent="0.25">
      <c r="A245">
        <v>75</v>
      </c>
      <c r="B245">
        <v>54</v>
      </c>
      <c r="C245">
        <v>124</v>
      </c>
      <c r="D245">
        <v>23</v>
      </c>
      <c r="E245" t="str">
        <f t="shared" si="12"/>
        <v>23D-ECO-FOAM-75X54X124MM</v>
      </c>
      <c r="F245">
        <f t="shared" si="13"/>
        <v>7.452</v>
      </c>
    </row>
    <row r="246" spans="1:6" x14ac:dyDescent="0.25">
      <c r="A246">
        <v>75</v>
      </c>
      <c r="B246">
        <v>57</v>
      </c>
      <c r="C246">
        <v>124</v>
      </c>
      <c r="D246">
        <v>23</v>
      </c>
      <c r="E246" t="str">
        <f t="shared" si="12"/>
        <v>23D-ECO-FOAM-75X57X124MM</v>
      </c>
      <c r="F246">
        <f t="shared" si="13"/>
        <v>7.8659999999999997</v>
      </c>
    </row>
    <row r="247" spans="1:6" x14ac:dyDescent="0.25">
      <c r="A247">
        <v>75</v>
      </c>
      <c r="B247">
        <v>60</v>
      </c>
      <c r="C247">
        <v>124</v>
      </c>
      <c r="D247">
        <v>23</v>
      </c>
      <c r="E247" t="str">
        <f t="shared" si="12"/>
        <v>23D-ECO-FOAM-75X60X124MM</v>
      </c>
      <c r="F247">
        <f t="shared" si="13"/>
        <v>8.2799999999999994</v>
      </c>
    </row>
    <row r="248" spans="1:6" x14ac:dyDescent="0.25">
      <c r="A248">
        <v>75</v>
      </c>
      <c r="B248">
        <v>63</v>
      </c>
      <c r="C248">
        <v>124</v>
      </c>
      <c r="D248">
        <v>23</v>
      </c>
      <c r="E248" t="str">
        <f t="shared" si="12"/>
        <v>23D-ECO-FOAM-75X63X124MM</v>
      </c>
      <c r="F248">
        <f t="shared" si="13"/>
        <v>8.6940000000000008</v>
      </c>
    </row>
    <row r="249" spans="1:6" x14ac:dyDescent="0.25">
      <c r="A249">
        <v>75</v>
      </c>
      <c r="B249">
        <v>66</v>
      </c>
      <c r="C249">
        <v>124</v>
      </c>
      <c r="D249">
        <v>23</v>
      </c>
      <c r="E249" t="str">
        <f t="shared" si="12"/>
        <v>23D-ECO-FOAM-75X66X124MM</v>
      </c>
      <c r="F249">
        <f t="shared" si="13"/>
        <v>9.1080000000000005</v>
      </c>
    </row>
    <row r="250" spans="1:6" x14ac:dyDescent="0.25">
      <c r="A250">
        <v>75</v>
      </c>
      <c r="B250">
        <v>69</v>
      </c>
      <c r="C250">
        <v>124</v>
      </c>
      <c r="D250">
        <v>23</v>
      </c>
      <c r="E250" t="str">
        <f t="shared" si="12"/>
        <v>23D-ECO-FOAM-75X69X124MM</v>
      </c>
      <c r="F250">
        <f t="shared" si="13"/>
        <v>9.5220000000000002</v>
      </c>
    </row>
    <row r="251" spans="1:6" x14ac:dyDescent="0.25">
      <c r="A251">
        <v>75</v>
      </c>
      <c r="B251">
        <v>72</v>
      </c>
      <c r="C251">
        <v>124</v>
      </c>
      <c r="D251">
        <v>23</v>
      </c>
      <c r="E251" t="str">
        <f t="shared" si="12"/>
        <v>23D-ECO-FOAM-75X72X124MM</v>
      </c>
      <c r="F251">
        <f t="shared" si="13"/>
        <v>9.9359999999999999</v>
      </c>
    </row>
    <row r="252" spans="1:6" x14ac:dyDescent="0.25">
      <c r="A252">
        <v>78</v>
      </c>
      <c r="B252">
        <v>33</v>
      </c>
      <c r="C252">
        <v>124</v>
      </c>
      <c r="D252">
        <v>23</v>
      </c>
      <c r="E252" t="str">
        <f t="shared" si="12"/>
        <v>23D-ECO-FOAM-78X33X124MM</v>
      </c>
      <c r="F252">
        <f t="shared" si="13"/>
        <v>4.7359999999999998</v>
      </c>
    </row>
    <row r="253" spans="1:6" x14ac:dyDescent="0.25">
      <c r="A253">
        <v>78</v>
      </c>
      <c r="B253">
        <v>36</v>
      </c>
      <c r="C253">
        <v>124</v>
      </c>
      <c r="D253">
        <v>23</v>
      </c>
      <c r="E253" t="str">
        <f t="shared" si="12"/>
        <v>23D-ECO-FOAM-78X36X124MM</v>
      </c>
      <c r="F253">
        <f t="shared" si="13"/>
        <v>5.1669999999999998</v>
      </c>
    </row>
    <row r="254" spans="1:6" x14ac:dyDescent="0.25">
      <c r="A254">
        <v>78</v>
      </c>
      <c r="B254">
        <v>39</v>
      </c>
      <c r="C254">
        <v>124</v>
      </c>
      <c r="D254">
        <v>23</v>
      </c>
      <c r="E254" t="str">
        <f t="shared" si="12"/>
        <v>23D-ECO-FOAM-78X39X124MM</v>
      </c>
      <c r="F254">
        <f t="shared" si="13"/>
        <v>5.5970000000000004</v>
      </c>
    </row>
    <row r="255" spans="1:6" x14ac:dyDescent="0.25">
      <c r="A255">
        <v>78</v>
      </c>
      <c r="B255">
        <v>42</v>
      </c>
      <c r="C255">
        <v>124</v>
      </c>
      <c r="D255">
        <v>23</v>
      </c>
      <c r="E255" t="str">
        <f t="shared" si="12"/>
        <v>23D-ECO-FOAM-78X42X124MM</v>
      </c>
      <c r="F255">
        <f t="shared" si="13"/>
        <v>6.0279999999999996</v>
      </c>
    </row>
    <row r="256" spans="1:6" x14ac:dyDescent="0.25">
      <c r="A256">
        <v>78</v>
      </c>
      <c r="B256">
        <v>45</v>
      </c>
      <c r="C256">
        <v>124</v>
      </c>
      <c r="D256">
        <v>23</v>
      </c>
      <c r="E256" t="str">
        <f t="shared" si="12"/>
        <v>23D-ECO-FOAM-78X45X124MM</v>
      </c>
      <c r="F256">
        <f t="shared" si="13"/>
        <v>6.4580000000000002</v>
      </c>
    </row>
    <row r="257" spans="1:6" x14ac:dyDescent="0.25">
      <c r="A257">
        <v>78</v>
      </c>
      <c r="B257">
        <v>48</v>
      </c>
      <c r="C257">
        <v>124</v>
      </c>
      <c r="D257">
        <v>23</v>
      </c>
      <c r="E257" t="str">
        <f t="shared" si="12"/>
        <v>23D-ECO-FOAM-78X48X124MM</v>
      </c>
      <c r="F257">
        <f t="shared" si="13"/>
        <v>6.8890000000000002</v>
      </c>
    </row>
    <row r="258" spans="1:6" x14ac:dyDescent="0.25">
      <c r="A258">
        <v>78</v>
      </c>
      <c r="B258">
        <v>51</v>
      </c>
      <c r="C258">
        <v>124</v>
      </c>
      <c r="D258">
        <v>23</v>
      </c>
      <c r="E258" t="str">
        <f t="shared" si="12"/>
        <v>23D-ECO-FOAM-78X51X124MM</v>
      </c>
      <c r="F258">
        <f t="shared" si="13"/>
        <v>7.32</v>
      </c>
    </row>
    <row r="259" spans="1:6" x14ac:dyDescent="0.25">
      <c r="A259">
        <v>78</v>
      </c>
      <c r="B259">
        <v>54</v>
      </c>
      <c r="C259">
        <v>124</v>
      </c>
      <c r="D259">
        <v>23</v>
      </c>
      <c r="E259" t="str">
        <f t="shared" si="12"/>
        <v>23D-ECO-FOAM-78X54X124MM</v>
      </c>
      <c r="F259">
        <f t="shared" si="13"/>
        <v>7.75</v>
      </c>
    </row>
    <row r="260" spans="1:6" x14ac:dyDescent="0.25">
      <c r="A260">
        <v>78</v>
      </c>
      <c r="B260">
        <v>57</v>
      </c>
      <c r="C260">
        <v>124</v>
      </c>
      <c r="D260">
        <v>23</v>
      </c>
      <c r="E260" t="str">
        <f t="shared" si="12"/>
        <v>23D-ECO-FOAM-78X57X124MM</v>
      </c>
      <c r="F260">
        <f t="shared" si="13"/>
        <v>8.1809999999999992</v>
      </c>
    </row>
    <row r="261" spans="1:6" x14ac:dyDescent="0.25">
      <c r="A261">
        <v>78</v>
      </c>
      <c r="B261">
        <v>60</v>
      </c>
      <c r="C261">
        <v>124</v>
      </c>
      <c r="D261">
        <v>23</v>
      </c>
      <c r="E261" t="str">
        <f t="shared" si="12"/>
        <v>23D-ECO-FOAM-78X60X124MM</v>
      </c>
      <c r="F261">
        <f t="shared" si="13"/>
        <v>8.6110000000000007</v>
      </c>
    </row>
    <row r="262" spans="1:6" x14ac:dyDescent="0.25">
      <c r="A262">
        <v>78</v>
      </c>
      <c r="B262">
        <v>63</v>
      </c>
      <c r="C262">
        <v>124</v>
      </c>
      <c r="D262">
        <v>23</v>
      </c>
      <c r="E262" t="str">
        <f t="shared" si="12"/>
        <v>23D-ECO-FOAM-78X63X124MM</v>
      </c>
      <c r="F262">
        <f t="shared" si="13"/>
        <v>9.0419999999999998</v>
      </c>
    </row>
    <row r="263" spans="1:6" x14ac:dyDescent="0.25">
      <c r="A263">
        <v>78</v>
      </c>
      <c r="B263">
        <v>66</v>
      </c>
      <c r="C263">
        <v>124</v>
      </c>
      <c r="D263">
        <v>23</v>
      </c>
      <c r="E263" t="str">
        <f t="shared" si="12"/>
        <v>23D-ECO-FOAM-78X66X124MM</v>
      </c>
      <c r="F263">
        <f t="shared" si="13"/>
        <v>9.4719999999999995</v>
      </c>
    </row>
    <row r="264" spans="1:6" x14ac:dyDescent="0.25">
      <c r="A264">
        <v>78</v>
      </c>
      <c r="B264">
        <v>69</v>
      </c>
      <c r="C264">
        <v>124</v>
      </c>
      <c r="D264">
        <v>23</v>
      </c>
      <c r="E264" t="str">
        <f t="shared" si="12"/>
        <v>23D-ECO-FOAM-78X69X124MM</v>
      </c>
      <c r="F264">
        <f t="shared" si="13"/>
        <v>9.9030000000000005</v>
      </c>
    </row>
    <row r="265" spans="1:6" x14ac:dyDescent="0.25">
      <c r="A265">
        <v>78</v>
      </c>
      <c r="B265">
        <v>72</v>
      </c>
      <c r="C265">
        <v>124</v>
      </c>
      <c r="D265">
        <v>23</v>
      </c>
      <c r="E265" t="str">
        <f t="shared" si="12"/>
        <v>23D-ECO-FOAM-78X72X124MM</v>
      </c>
      <c r="F265">
        <f t="shared" si="13"/>
        <v>10.333</v>
      </c>
    </row>
    <row r="266" spans="1:6" x14ac:dyDescent="0.25">
      <c r="A266">
        <v>80</v>
      </c>
      <c r="B266">
        <v>33</v>
      </c>
      <c r="C266">
        <v>124</v>
      </c>
      <c r="D266">
        <v>23</v>
      </c>
      <c r="E266" t="str">
        <f t="shared" si="12"/>
        <v>23D-ECO-FOAM-80X33X124MM</v>
      </c>
      <c r="F266">
        <f t="shared" si="13"/>
        <v>4.8579999999999997</v>
      </c>
    </row>
    <row r="267" spans="1:6" x14ac:dyDescent="0.25">
      <c r="A267">
        <v>80</v>
      </c>
      <c r="B267">
        <v>36</v>
      </c>
      <c r="C267">
        <v>124</v>
      </c>
      <c r="D267">
        <v>23</v>
      </c>
      <c r="E267" t="str">
        <f t="shared" si="12"/>
        <v>23D-ECO-FOAM-80X36X124MM</v>
      </c>
      <c r="F267">
        <f t="shared" si="13"/>
        <v>5.2990000000000004</v>
      </c>
    </row>
    <row r="268" spans="1:6" x14ac:dyDescent="0.25">
      <c r="A268">
        <v>80</v>
      </c>
      <c r="B268">
        <v>39</v>
      </c>
      <c r="C268">
        <v>124</v>
      </c>
      <c r="D268">
        <v>23</v>
      </c>
      <c r="E268" t="str">
        <f t="shared" si="12"/>
        <v>23D-ECO-FOAM-80X39X124MM</v>
      </c>
      <c r="F268">
        <f t="shared" si="13"/>
        <v>5.7409999999999997</v>
      </c>
    </row>
    <row r="269" spans="1:6" x14ac:dyDescent="0.25">
      <c r="A269">
        <v>80</v>
      </c>
      <c r="B269">
        <v>42</v>
      </c>
      <c r="C269">
        <v>124</v>
      </c>
      <c r="D269">
        <v>23</v>
      </c>
      <c r="E269" t="str">
        <f t="shared" si="12"/>
        <v>23D-ECO-FOAM-80X42X124MM</v>
      </c>
      <c r="F269">
        <f t="shared" si="13"/>
        <v>6.1820000000000004</v>
      </c>
    </row>
    <row r="270" spans="1:6" x14ac:dyDescent="0.25">
      <c r="A270">
        <v>80</v>
      </c>
      <c r="B270">
        <v>45</v>
      </c>
      <c r="C270">
        <v>124</v>
      </c>
      <c r="D270">
        <v>23</v>
      </c>
      <c r="E270" t="str">
        <f t="shared" si="12"/>
        <v>23D-ECO-FOAM-80X45X124MM</v>
      </c>
      <c r="F270">
        <f t="shared" si="13"/>
        <v>6.6239999999999997</v>
      </c>
    </row>
    <row r="271" spans="1:6" x14ac:dyDescent="0.25">
      <c r="A271">
        <v>80</v>
      </c>
      <c r="B271">
        <v>48</v>
      </c>
      <c r="C271">
        <v>124</v>
      </c>
      <c r="D271">
        <v>23</v>
      </c>
      <c r="E271" t="str">
        <f t="shared" si="12"/>
        <v>23D-ECO-FOAM-80X48X124MM</v>
      </c>
      <c r="F271">
        <f t="shared" si="13"/>
        <v>7.0659999999999998</v>
      </c>
    </row>
    <row r="272" spans="1:6" x14ac:dyDescent="0.25">
      <c r="A272">
        <v>80</v>
      </c>
      <c r="B272">
        <v>51</v>
      </c>
      <c r="C272">
        <v>124</v>
      </c>
      <c r="D272">
        <v>23</v>
      </c>
      <c r="E272" t="str">
        <f t="shared" si="12"/>
        <v>23D-ECO-FOAM-80X51X124MM</v>
      </c>
      <c r="F272">
        <f t="shared" si="13"/>
        <v>7.5069999999999997</v>
      </c>
    </row>
    <row r="273" spans="1:6" x14ac:dyDescent="0.25">
      <c r="A273">
        <v>80</v>
      </c>
      <c r="B273">
        <v>54</v>
      </c>
      <c r="C273">
        <v>124</v>
      </c>
      <c r="D273">
        <v>23</v>
      </c>
      <c r="E273" t="str">
        <f t="shared" si="12"/>
        <v>23D-ECO-FOAM-80X54X124MM</v>
      </c>
      <c r="F273">
        <f t="shared" si="13"/>
        <v>7.9489999999999998</v>
      </c>
    </row>
    <row r="274" spans="1:6" x14ac:dyDescent="0.25">
      <c r="A274">
        <v>80</v>
      </c>
      <c r="B274">
        <v>57</v>
      </c>
      <c r="C274">
        <v>124</v>
      </c>
      <c r="D274">
        <v>23</v>
      </c>
      <c r="E274" t="str">
        <f t="shared" si="12"/>
        <v>23D-ECO-FOAM-80X57X124MM</v>
      </c>
      <c r="F274">
        <f t="shared" si="13"/>
        <v>8.39</v>
      </c>
    </row>
    <row r="275" spans="1:6" x14ac:dyDescent="0.25">
      <c r="A275">
        <v>80</v>
      </c>
      <c r="B275">
        <v>60</v>
      </c>
      <c r="C275">
        <v>124</v>
      </c>
      <c r="D275">
        <v>23</v>
      </c>
      <c r="E275" t="str">
        <f t="shared" si="12"/>
        <v>23D-ECO-FOAM-80X60X124MM</v>
      </c>
      <c r="F275">
        <f t="shared" si="13"/>
        <v>8.8320000000000007</v>
      </c>
    </row>
    <row r="276" spans="1:6" x14ac:dyDescent="0.25">
      <c r="A276">
        <v>80</v>
      </c>
      <c r="B276">
        <v>63</v>
      </c>
      <c r="C276">
        <v>124</v>
      </c>
      <c r="D276">
        <v>23</v>
      </c>
      <c r="E276" t="str">
        <f t="shared" si="12"/>
        <v>23D-ECO-FOAM-80X63X124MM</v>
      </c>
      <c r="F276">
        <f t="shared" si="13"/>
        <v>9.2739999999999991</v>
      </c>
    </row>
    <row r="277" spans="1:6" x14ac:dyDescent="0.25">
      <c r="A277">
        <v>80</v>
      </c>
      <c r="B277">
        <v>66</v>
      </c>
      <c r="C277">
        <v>124</v>
      </c>
      <c r="D277">
        <v>23</v>
      </c>
      <c r="E277" t="str">
        <f t="shared" si="12"/>
        <v>23D-ECO-FOAM-80X66X124MM</v>
      </c>
      <c r="F277">
        <f t="shared" si="13"/>
        <v>9.7149999999999999</v>
      </c>
    </row>
    <row r="278" spans="1:6" x14ac:dyDescent="0.25">
      <c r="A278">
        <v>80</v>
      </c>
      <c r="B278">
        <v>69</v>
      </c>
      <c r="C278">
        <v>124</v>
      </c>
      <c r="D278">
        <v>23</v>
      </c>
      <c r="E278" t="str">
        <f t="shared" si="12"/>
        <v>23D-ECO-FOAM-80X69X124MM</v>
      </c>
      <c r="F278">
        <f t="shared" si="13"/>
        <v>10.157</v>
      </c>
    </row>
    <row r="279" spans="1:6" x14ac:dyDescent="0.25">
      <c r="A279">
        <v>80</v>
      </c>
      <c r="B279">
        <v>72</v>
      </c>
      <c r="C279">
        <v>124</v>
      </c>
      <c r="D279">
        <v>23</v>
      </c>
      <c r="E279" t="str">
        <f t="shared" si="12"/>
        <v>23D-ECO-FOAM-80X72X124MM</v>
      </c>
      <c r="F279">
        <f t="shared" si="13"/>
        <v>10.598000000000001</v>
      </c>
    </row>
    <row r="280" spans="1:6" x14ac:dyDescent="0.25">
      <c r="A280">
        <v>84</v>
      </c>
      <c r="B280">
        <v>33</v>
      </c>
      <c r="C280">
        <v>124</v>
      </c>
      <c r="D280">
        <v>23</v>
      </c>
      <c r="E280" t="str">
        <f t="shared" si="12"/>
        <v>23D-ECO-FOAM-84X33X124MM</v>
      </c>
      <c r="F280">
        <f t="shared" si="13"/>
        <v>5.0999999999999996</v>
      </c>
    </row>
    <row r="281" spans="1:6" x14ac:dyDescent="0.25">
      <c r="A281">
        <v>84</v>
      </c>
      <c r="B281">
        <v>36</v>
      </c>
      <c r="C281">
        <v>124</v>
      </c>
      <c r="D281">
        <v>23</v>
      </c>
      <c r="E281" t="str">
        <f t="shared" si="12"/>
        <v>23D-ECO-FOAM-84X36X124MM</v>
      </c>
      <c r="F281">
        <f t="shared" si="13"/>
        <v>5.5640000000000001</v>
      </c>
    </row>
    <row r="282" spans="1:6" x14ac:dyDescent="0.25">
      <c r="A282">
        <v>84</v>
      </c>
      <c r="B282">
        <v>39</v>
      </c>
      <c r="C282">
        <v>124</v>
      </c>
      <c r="D282">
        <v>23</v>
      </c>
      <c r="E282" t="str">
        <f t="shared" si="12"/>
        <v>23D-ECO-FOAM-84X39X124MM</v>
      </c>
      <c r="F282">
        <f t="shared" si="13"/>
        <v>6.0279999999999996</v>
      </c>
    </row>
    <row r="283" spans="1:6" x14ac:dyDescent="0.25">
      <c r="A283">
        <v>84</v>
      </c>
      <c r="B283">
        <v>42</v>
      </c>
      <c r="C283">
        <v>124</v>
      </c>
      <c r="D283">
        <v>23</v>
      </c>
      <c r="E283" t="str">
        <f t="shared" si="12"/>
        <v>23D-ECO-FOAM-84X42X124MM</v>
      </c>
      <c r="F283">
        <f t="shared" si="13"/>
        <v>6.492</v>
      </c>
    </row>
    <row r="284" spans="1:6" x14ac:dyDescent="0.25">
      <c r="A284">
        <v>84</v>
      </c>
      <c r="B284">
        <v>45</v>
      </c>
      <c r="C284">
        <v>124</v>
      </c>
      <c r="D284">
        <v>23</v>
      </c>
      <c r="E284" t="str">
        <f t="shared" si="12"/>
        <v>23D-ECO-FOAM-84X45X124MM</v>
      </c>
      <c r="F284">
        <f t="shared" si="13"/>
        <v>6.9550000000000001</v>
      </c>
    </row>
    <row r="285" spans="1:6" x14ac:dyDescent="0.25">
      <c r="A285">
        <v>84</v>
      </c>
      <c r="B285">
        <v>48</v>
      </c>
      <c r="C285">
        <v>124</v>
      </c>
      <c r="D285">
        <v>23</v>
      </c>
      <c r="E285" t="str">
        <f t="shared" si="12"/>
        <v>23D-ECO-FOAM-84X48X124MM</v>
      </c>
      <c r="F285">
        <f t="shared" si="13"/>
        <v>7.4189999999999996</v>
      </c>
    </row>
    <row r="286" spans="1:6" x14ac:dyDescent="0.25">
      <c r="A286">
        <v>84</v>
      </c>
      <c r="B286">
        <v>51</v>
      </c>
      <c r="C286">
        <v>124</v>
      </c>
      <c r="D286">
        <v>23</v>
      </c>
      <c r="E286" t="str">
        <f t="shared" ref="E286:E293" si="14">CONCATENATE(D286,"D-ECO-FOAM-",A286,"X",B286,"X",C286,"MM")</f>
        <v>23D-ECO-FOAM-84X51X124MM</v>
      </c>
      <c r="F286">
        <f t="shared" ref="F286:F293" si="15">ROUND((D286*A286*0.0254*B286*0.0254*(C286/1000)),3)</f>
        <v>7.883</v>
      </c>
    </row>
    <row r="287" spans="1:6" x14ac:dyDescent="0.25">
      <c r="A287">
        <v>84</v>
      </c>
      <c r="B287">
        <v>54</v>
      </c>
      <c r="C287">
        <v>124</v>
      </c>
      <c r="D287">
        <v>23</v>
      </c>
      <c r="E287" t="str">
        <f t="shared" si="14"/>
        <v>23D-ECO-FOAM-84X54X124MM</v>
      </c>
      <c r="F287">
        <f t="shared" si="15"/>
        <v>8.3460000000000001</v>
      </c>
    </row>
    <row r="288" spans="1:6" x14ac:dyDescent="0.25">
      <c r="A288">
        <v>84</v>
      </c>
      <c r="B288">
        <v>57</v>
      </c>
      <c r="C288">
        <v>124</v>
      </c>
      <c r="D288">
        <v>23</v>
      </c>
      <c r="E288" t="str">
        <f t="shared" si="14"/>
        <v>23D-ECO-FOAM-84X57X124MM</v>
      </c>
      <c r="F288">
        <f t="shared" si="15"/>
        <v>8.81</v>
      </c>
    </row>
    <row r="289" spans="1:6" x14ac:dyDescent="0.25">
      <c r="A289">
        <v>84</v>
      </c>
      <c r="B289">
        <v>60</v>
      </c>
      <c r="C289">
        <v>124</v>
      </c>
      <c r="D289">
        <v>23</v>
      </c>
      <c r="E289" t="str">
        <f t="shared" si="14"/>
        <v>23D-ECO-FOAM-84X60X124MM</v>
      </c>
      <c r="F289">
        <f t="shared" si="15"/>
        <v>9.2739999999999991</v>
      </c>
    </row>
    <row r="290" spans="1:6" x14ac:dyDescent="0.25">
      <c r="A290">
        <v>84</v>
      </c>
      <c r="B290">
        <v>63</v>
      </c>
      <c r="C290">
        <v>124</v>
      </c>
      <c r="D290">
        <v>23</v>
      </c>
      <c r="E290" t="str">
        <f t="shared" si="14"/>
        <v>23D-ECO-FOAM-84X63X124MM</v>
      </c>
      <c r="F290">
        <f t="shared" si="15"/>
        <v>9.7370000000000001</v>
      </c>
    </row>
    <row r="291" spans="1:6" x14ac:dyDescent="0.25">
      <c r="A291">
        <v>84</v>
      </c>
      <c r="B291">
        <v>66</v>
      </c>
      <c r="C291">
        <v>124</v>
      </c>
      <c r="D291">
        <v>23</v>
      </c>
      <c r="E291" t="str">
        <f t="shared" si="14"/>
        <v>23D-ECO-FOAM-84X66X124MM</v>
      </c>
      <c r="F291">
        <f t="shared" si="15"/>
        <v>10.201000000000001</v>
      </c>
    </row>
    <row r="292" spans="1:6" x14ac:dyDescent="0.25">
      <c r="A292">
        <v>84</v>
      </c>
      <c r="B292">
        <v>69</v>
      </c>
      <c r="C292">
        <v>124</v>
      </c>
      <c r="D292">
        <v>23</v>
      </c>
      <c r="E292" t="str">
        <f t="shared" si="14"/>
        <v>23D-ECO-FOAM-84X69X124MM</v>
      </c>
      <c r="F292">
        <f t="shared" si="15"/>
        <v>10.664999999999999</v>
      </c>
    </row>
    <row r="293" spans="1:6" x14ac:dyDescent="0.25">
      <c r="A293">
        <v>84</v>
      </c>
      <c r="B293">
        <v>72</v>
      </c>
      <c r="C293">
        <v>124</v>
      </c>
      <c r="D293">
        <v>23</v>
      </c>
      <c r="E293" t="str">
        <f t="shared" si="14"/>
        <v>23D-ECO-FOAM-84X72X124MM</v>
      </c>
      <c r="F293">
        <f t="shared" si="15"/>
        <v>11.128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ITEM LIST</vt:lpstr>
      <vt:lpstr>PIVOT</vt:lpstr>
      <vt:lpstr>WORK ORDER</vt:lpstr>
      <vt:lpstr>Sheet2</vt:lpstr>
      <vt:lpstr>Sheet3</vt:lpstr>
      <vt:lpstr>Sheet1</vt:lpstr>
      <vt:lpstr>MASTER</vt:lpstr>
      <vt:lpstr>FW</vt:lpstr>
      <vt:lpstr>INPUT</vt:lpstr>
      <vt:lpstr>Sheet4</vt:lpstr>
      <vt:lpstr>STEP-1</vt:lpstr>
      <vt:lpstr>Sheet5</vt:lpstr>
      <vt:lpstr>ALL FOAM ITEM 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2026-02-24T09:25:00Z</dcterms:modified>
</cp:coreProperties>
</file>